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lar\Downloads\Saul\"/>
    </mc:Choice>
  </mc:AlternateContent>
  <xr:revisionPtr revIDLastSave="0" documentId="13_ncr:1_{57B8C190-08C8-4DE6-BD75-3B728B6571D7}" xr6:coauthVersionLast="47" xr6:coauthVersionMax="47" xr10:uidLastSave="{00000000-0000-0000-0000-000000000000}"/>
  <bookViews>
    <workbookView xWindow="1530" yWindow="1245" windowWidth="20910" windowHeight="10755" tabRatio="718" firstSheet="5" activeTab="5" xr2:uid="{00000000-000D-0000-FFFF-FFFF00000000}"/>
  </bookViews>
  <sheets>
    <sheet name="Sheet1" sheetId="1" state="hidden" r:id="rId1"/>
    <sheet name="Hoja1" sheetId="5" state="hidden" r:id="rId2"/>
    <sheet name="Productos" sheetId="4" state="hidden" r:id="rId3"/>
    <sheet name="Proveedores" sheetId="3" state="hidden" r:id="rId4"/>
    <sheet name="Base Limpia" sheetId="2" state="hidden" r:id="rId5"/>
    <sheet name="Base Sin Negativos" sheetId="6" r:id="rId6"/>
    <sheet name="Base para lista de precios" sheetId="7" state="hidden" r:id="rId7"/>
    <sheet name="Lista de precios Versiones" sheetId="8" state="hidden" r:id="rId8"/>
    <sheet name="Tabla" sheetId="10" r:id="rId9"/>
    <sheet name="Resumen" sheetId="11" r:id="rId10"/>
    <sheet name="Products" sheetId="12" r:id="rId11"/>
    <sheet name="Price List" sheetId="13" r:id="rId12"/>
  </sheets>
  <definedNames>
    <definedName name="_xlnm._FilterDatabase" localSheetId="4" hidden="1">'Base Limpia'!$A$1:$M$1466</definedName>
    <definedName name="_xlnm._FilterDatabase" localSheetId="5" hidden="1">'Base Sin Negativos'!$A$1:$Z$1438</definedName>
    <definedName name="_xlnm._FilterDatabase" localSheetId="1" hidden="1">Hoja1!$A$4:$F$1453</definedName>
    <definedName name="_xlnm._FilterDatabase" localSheetId="7" hidden="1">'Lista de precios Versiones'!$A$1:$D$746</definedName>
    <definedName name="_xlnm._FilterDatabase" localSheetId="10" hidden="1">Products!$A$1:$H$447</definedName>
  </definedNames>
  <calcPr calcId="191029"/>
  <pivotCaches>
    <pivotCache cacheId="0" r:id="rId13"/>
    <pivotCache cacheId="1" r:id="rId1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1438" i="6" l="1"/>
  <c r="Z1437" i="6"/>
  <c r="Z1436" i="6"/>
  <c r="Z1435" i="6"/>
  <c r="Z1434" i="6"/>
  <c r="Z1433" i="6"/>
  <c r="Z1432" i="6"/>
  <c r="Z1431" i="6"/>
  <c r="Z1430" i="6"/>
  <c r="Z1429" i="6"/>
  <c r="Z1428" i="6"/>
  <c r="Z1427" i="6"/>
  <c r="Z1426" i="6"/>
  <c r="Z1425" i="6"/>
  <c r="Z1424" i="6"/>
  <c r="Z1423" i="6"/>
  <c r="Z1422" i="6"/>
  <c r="Z1421" i="6"/>
  <c r="Z1420" i="6"/>
  <c r="Z1419" i="6"/>
  <c r="Z1418" i="6"/>
  <c r="Z1417" i="6"/>
  <c r="Z1416" i="6"/>
  <c r="Z1415" i="6"/>
  <c r="Z1414" i="6"/>
  <c r="Z1413" i="6"/>
  <c r="Z1412" i="6"/>
  <c r="Z1411" i="6"/>
  <c r="Z1410" i="6"/>
  <c r="Z1409" i="6"/>
  <c r="Z1408" i="6"/>
  <c r="Z1407" i="6"/>
  <c r="Z1406" i="6"/>
  <c r="Z1405" i="6"/>
  <c r="Z1404" i="6"/>
  <c r="Z1403" i="6"/>
  <c r="Z1402" i="6"/>
  <c r="Z1401" i="6"/>
  <c r="Z1400" i="6"/>
  <c r="Z1399" i="6"/>
  <c r="Z1398" i="6"/>
  <c r="Z1397" i="6"/>
  <c r="Z1396" i="6"/>
  <c r="Z1395" i="6"/>
  <c r="Z1394" i="6"/>
  <c r="Z1393" i="6"/>
  <c r="Z1392" i="6"/>
  <c r="Z1391" i="6"/>
  <c r="Z1390" i="6"/>
  <c r="Z1389" i="6"/>
  <c r="Z1388" i="6"/>
  <c r="Z1387" i="6"/>
  <c r="Z1386" i="6"/>
  <c r="Z1385" i="6"/>
  <c r="Z1384" i="6"/>
  <c r="Z1383" i="6"/>
  <c r="Z1382" i="6"/>
  <c r="Z1381" i="6"/>
  <c r="Z1380" i="6"/>
  <c r="Z1379" i="6"/>
  <c r="Z1378" i="6"/>
  <c r="Z1377" i="6"/>
  <c r="Z1376" i="6"/>
  <c r="Z1375" i="6"/>
  <c r="Z1374" i="6"/>
  <c r="Z1373" i="6"/>
  <c r="Z1372" i="6"/>
  <c r="Z1371" i="6"/>
  <c r="Z1370" i="6"/>
  <c r="Z1369" i="6"/>
  <c r="Z1368" i="6"/>
  <c r="Z1367" i="6"/>
  <c r="Z1366" i="6"/>
  <c r="Z1365" i="6"/>
  <c r="Z1364" i="6"/>
  <c r="Z1363" i="6"/>
  <c r="Z1362" i="6"/>
  <c r="Z1361" i="6"/>
  <c r="Z1360" i="6"/>
  <c r="Z1359" i="6"/>
  <c r="Z1358" i="6"/>
  <c r="Z1357" i="6"/>
  <c r="Z1356" i="6"/>
  <c r="Z1355" i="6"/>
  <c r="Z1354" i="6"/>
  <c r="Z1353" i="6"/>
  <c r="Z1352" i="6"/>
  <c r="Z1351" i="6"/>
  <c r="Z1350" i="6"/>
  <c r="Z1349" i="6"/>
  <c r="Z1348" i="6"/>
  <c r="Z1347" i="6"/>
  <c r="Z1346" i="6"/>
  <c r="Z1345" i="6"/>
  <c r="Z1344" i="6"/>
  <c r="Z1343" i="6"/>
  <c r="Z1342" i="6"/>
  <c r="Z1341" i="6"/>
  <c r="Z1340" i="6"/>
  <c r="Z1339" i="6"/>
  <c r="Z1338" i="6"/>
  <c r="Z1337" i="6"/>
  <c r="Z1336" i="6"/>
  <c r="Z1335" i="6"/>
  <c r="Z1334" i="6"/>
  <c r="Z1333" i="6"/>
  <c r="Z1332" i="6"/>
  <c r="Z1331" i="6"/>
  <c r="Z1330" i="6"/>
  <c r="Z1329" i="6"/>
  <c r="Z1328" i="6"/>
  <c r="Z1327" i="6"/>
  <c r="Z1326" i="6"/>
  <c r="Z1325" i="6"/>
  <c r="Z1324" i="6"/>
  <c r="Z1323" i="6"/>
  <c r="Z1322" i="6"/>
  <c r="Z1321" i="6"/>
  <c r="Z1320" i="6"/>
  <c r="Z1319" i="6"/>
  <c r="Z1318" i="6"/>
  <c r="Z1317" i="6"/>
  <c r="Z1316" i="6"/>
  <c r="Z1315" i="6"/>
  <c r="Z1314" i="6"/>
  <c r="Z1313" i="6"/>
  <c r="Z1312" i="6"/>
  <c r="Z1311" i="6"/>
  <c r="Z1310" i="6"/>
  <c r="Z1309" i="6"/>
  <c r="Z1308" i="6"/>
  <c r="Z1307" i="6"/>
  <c r="Z1306" i="6"/>
  <c r="Z1305" i="6"/>
  <c r="Z1304" i="6"/>
  <c r="Z1303" i="6"/>
  <c r="Z1302" i="6"/>
  <c r="Z1301" i="6"/>
  <c r="Z1300" i="6"/>
  <c r="Z1299" i="6"/>
  <c r="Z1298" i="6"/>
  <c r="Z1297" i="6"/>
  <c r="Z1296" i="6"/>
  <c r="Z1295" i="6"/>
  <c r="Z1294" i="6"/>
  <c r="Z1293" i="6"/>
  <c r="Z1292" i="6"/>
  <c r="Z1291" i="6"/>
  <c r="Z1290" i="6"/>
  <c r="Z1289" i="6"/>
  <c r="Z1288" i="6"/>
  <c r="Z1287" i="6"/>
  <c r="Z1286" i="6"/>
  <c r="Z1285" i="6"/>
  <c r="Z1284" i="6"/>
  <c r="Z1283" i="6"/>
  <c r="Z1282" i="6"/>
  <c r="Z1281" i="6"/>
  <c r="Z1280" i="6"/>
  <c r="Z1279" i="6"/>
  <c r="Z1278" i="6"/>
  <c r="Z1277" i="6"/>
  <c r="Z1276" i="6"/>
  <c r="Z1275" i="6"/>
  <c r="Z1274" i="6"/>
  <c r="Z1273" i="6"/>
  <c r="Z1272" i="6"/>
  <c r="Z1271" i="6"/>
  <c r="Z1270" i="6"/>
  <c r="Z1269" i="6"/>
  <c r="Z1268" i="6"/>
  <c r="Z1267" i="6"/>
  <c r="Z1266" i="6"/>
  <c r="Z1265" i="6"/>
  <c r="Z1264" i="6"/>
  <c r="Z1263" i="6"/>
  <c r="Z1262" i="6"/>
  <c r="Z1261" i="6"/>
  <c r="Z1260" i="6"/>
  <c r="Z1259" i="6"/>
  <c r="Z1258" i="6"/>
  <c r="Z1257" i="6"/>
  <c r="Z1256" i="6"/>
  <c r="Z1255" i="6"/>
  <c r="Z1254" i="6"/>
  <c r="Z1253" i="6"/>
  <c r="Z1252" i="6"/>
  <c r="Z1251" i="6"/>
  <c r="Z1250" i="6"/>
  <c r="Z1249" i="6"/>
  <c r="Z1248" i="6"/>
  <c r="Z1247" i="6"/>
  <c r="Z1246" i="6"/>
  <c r="Z1245" i="6"/>
  <c r="Z1244" i="6"/>
  <c r="Z1243" i="6"/>
  <c r="Z1242" i="6"/>
  <c r="Z1241" i="6"/>
  <c r="Z1240" i="6"/>
  <c r="Z1239" i="6"/>
  <c r="Z1238" i="6"/>
  <c r="Z1237" i="6"/>
  <c r="Z1236" i="6"/>
  <c r="Z1235" i="6"/>
  <c r="Z1234" i="6"/>
  <c r="Z1233" i="6"/>
  <c r="Z1232" i="6"/>
  <c r="Z1231" i="6"/>
  <c r="Z1230" i="6"/>
  <c r="Z1229" i="6"/>
  <c r="Z1228" i="6"/>
  <c r="Z1227" i="6"/>
  <c r="Z1226" i="6"/>
  <c r="Z1225" i="6"/>
  <c r="Z1224" i="6"/>
  <c r="Z1223" i="6"/>
  <c r="Z1222" i="6"/>
  <c r="Z1221" i="6"/>
  <c r="Z1220" i="6"/>
  <c r="Z1219" i="6"/>
  <c r="Z1218" i="6"/>
  <c r="Z1217" i="6"/>
  <c r="Z1216" i="6"/>
  <c r="Z1215" i="6"/>
  <c r="Z1214" i="6"/>
  <c r="Z1213" i="6"/>
  <c r="Z1212" i="6"/>
  <c r="Z1211" i="6"/>
  <c r="Z1210" i="6"/>
  <c r="Z1209" i="6"/>
  <c r="Z1208" i="6"/>
  <c r="Z1207" i="6"/>
  <c r="Z1206" i="6"/>
  <c r="Z1205" i="6"/>
  <c r="Z1204" i="6"/>
  <c r="Z1203" i="6"/>
  <c r="Z1202" i="6"/>
  <c r="Z1201" i="6"/>
  <c r="Z1200" i="6"/>
  <c r="Z1199" i="6"/>
  <c r="Z1198" i="6"/>
  <c r="Z1197" i="6"/>
  <c r="Z1196" i="6"/>
  <c r="Z1195" i="6"/>
  <c r="Z1194" i="6"/>
  <c r="Z1193" i="6"/>
  <c r="Z1192" i="6"/>
  <c r="Z1191" i="6"/>
  <c r="Z1190" i="6"/>
  <c r="Z1189" i="6"/>
  <c r="Z1188" i="6"/>
  <c r="Z1187" i="6"/>
  <c r="Z1186" i="6"/>
  <c r="Z1185" i="6"/>
  <c r="Z1184" i="6"/>
  <c r="Z1183" i="6"/>
  <c r="Z1182" i="6"/>
  <c r="Z1181" i="6"/>
  <c r="Z1180" i="6"/>
  <c r="Z1179" i="6"/>
  <c r="Z1178" i="6"/>
  <c r="Z1177" i="6"/>
  <c r="Z1176" i="6"/>
  <c r="Z1175" i="6"/>
  <c r="Z1174" i="6"/>
  <c r="Z1173" i="6"/>
  <c r="Z1172" i="6"/>
  <c r="Z1171" i="6"/>
  <c r="Z1170" i="6"/>
  <c r="Z1169" i="6"/>
  <c r="Z1168" i="6"/>
  <c r="Z1167" i="6"/>
  <c r="Z1166" i="6"/>
  <c r="Z1165" i="6"/>
  <c r="Z1164" i="6"/>
  <c r="Z1163" i="6"/>
  <c r="Z1162" i="6"/>
  <c r="Z1161" i="6"/>
  <c r="Z1160" i="6"/>
  <c r="Z1159" i="6"/>
  <c r="Z1158" i="6"/>
  <c r="Z1157" i="6"/>
  <c r="Z1156" i="6"/>
  <c r="Z1155" i="6"/>
  <c r="Z1154" i="6"/>
  <c r="Z1153" i="6"/>
  <c r="Z1152" i="6"/>
  <c r="Z1151" i="6"/>
  <c r="Z1150" i="6"/>
  <c r="Z1149" i="6"/>
  <c r="Z1148" i="6"/>
  <c r="Z1147" i="6"/>
  <c r="Z1146" i="6"/>
  <c r="Z1145" i="6"/>
  <c r="Z1144" i="6"/>
  <c r="Z1143" i="6"/>
  <c r="Z1142" i="6"/>
  <c r="Z1141" i="6"/>
  <c r="Z1140" i="6"/>
  <c r="Z1139" i="6"/>
  <c r="Z1138" i="6"/>
  <c r="Z1137" i="6"/>
  <c r="Z1136" i="6"/>
  <c r="Z1135" i="6"/>
  <c r="Z1134" i="6"/>
  <c r="Z1133" i="6"/>
  <c r="Z1132" i="6"/>
  <c r="Z1131" i="6"/>
  <c r="Z1130" i="6"/>
  <c r="Z1129" i="6"/>
  <c r="Z1128" i="6"/>
  <c r="Z1127" i="6"/>
  <c r="Z1126" i="6"/>
  <c r="Z1125" i="6"/>
  <c r="Z1124" i="6"/>
  <c r="Z1123" i="6"/>
  <c r="Z1122" i="6"/>
  <c r="Z1121" i="6"/>
  <c r="Z1120" i="6"/>
  <c r="Z1119" i="6"/>
  <c r="Z1118" i="6"/>
  <c r="Z1117" i="6"/>
  <c r="Z1116" i="6"/>
  <c r="Z1115" i="6"/>
  <c r="Z1114" i="6"/>
  <c r="Z1113" i="6"/>
  <c r="Z1112" i="6"/>
  <c r="Z1111" i="6"/>
  <c r="Z1110" i="6"/>
  <c r="Z1109" i="6"/>
  <c r="Z1108" i="6"/>
  <c r="Z1107" i="6"/>
  <c r="Z1106" i="6"/>
  <c r="Z1105" i="6"/>
  <c r="Z1104" i="6"/>
  <c r="Z1103" i="6"/>
  <c r="Z1102" i="6"/>
  <c r="Z1101" i="6"/>
  <c r="Z1100" i="6"/>
  <c r="Z1099" i="6"/>
  <c r="Z1098" i="6"/>
  <c r="Z1097" i="6"/>
  <c r="Z1096" i="6"/>
  <c r="Z1095" i="6"/>
  <c r="Z1094" i="6"/>
  <c r="Z1093" i="6"/>
  <c r="Z1092" i="6"/>
  <c r="Z1091" i="6"/>
  <c r="Z1090" i="6"/>
  <c r="Z1089" i="6"/>
  <c r="Z1088" i="6"/>
  <c r="Z1087" i="6"/>
  <c r="Z1086" i="6"/>
  <c r="Z1085" i="6"/>
  <c r="Z1084" i="6"/>
  <c r="Z1083" i="6"/>
  <c r="Z1082" i="6"/>
  <c r="Z1081" i="6"/>
  <c r="Z1080" i="6"/>
  <c r="Z1079" i="6"/>
  <c r="Z1078" i="6"/>
  <c r="Z1077" i="6"/>
  <c r="Z1076" i="6"/>
  <c r="Z1075" i="6"/>
  <c r="Z1074" i="6"/>
  <c r="Z1073" i="6"/>
  <c r="Z1072" i="6"/>
  <c r="Z1071" i="6"/>
  <c r="Z1070" i="6"/>
  <c r="Z1069" i="6"/>
  <c r="Z1068" i="6"/>
  <c r="Z1067" i="6"/>
  <c r="Z1066" i="6"/>
  <c r="Z1065" i="6"/>
  <c r="Z1064" i="6"/>
  <c r="Z1063" i="6"/>
  <c r="Z1062" i="6"/>
  <c r="Z1061" i="6"/>
  <c r="Z1060" i="6"/>
  <c r="Z1059" i="6"/>
  <c r="Z1058" i="6"/>
  <c r="Z1057" i="6"/>
  <c r="Z1056" i="6"/>
  <c r="Z1055" i="6"/>
  <c r="Z1054" i="6"/>
  <c r="Z1053" i="6"/>
  <c r="Z1052" i="6"/>
  <c r="Z1051" i="6"/>
  <c r="Z1050" i="6"/>
  <c r="Z1049" i="6"/>
  <c r="Z1048" i="6"/>
  <c r="Z1047" i="6"/>
  <c r="Z1046" i="6"/>
  <c r="Z1045" i="6"/>
  <c r="Z1044" i="6"/>
  <c r="Z1043" i="6"/>
  <c r="Z1042" i="6"/>
  <c r="Z1041" i="6"/>
  <c r="Z1040" i="6"/>
  <c r="Z1039" i="6"/>
  <c r="Z1038" i="6"/>
  <c r="Z1037" i="6"/>
  <c r="Z1036" i="6"/>
  <c r="Z1035" i="6"/>
  <c r="Z1034" i="6"/>
  <c r="Z1033" i="6"/>
  <c r="Z1032" i="6"/>
  <c r="Z1031" i="6"/>
  <c r="Z1030" i="6"/>
  <c r="Z1029" i="6"/>
  <c r="Z1028" i="6"/>
  <c r="Z1027" i="6"/>
  <c r="Z1026" i="6"/>
  <c r="Z1025" i="6"/>
  <c r="Z1024" i="6"/>
  <c r="Z1023" i="6"/>
  <c r="Z1022" i="6"/>
  <c r="Z1021" i="6"/>
  <c r="Z1020" i="6"/>
  <c r="Z1019" i="6"/>
  <c r="Z1018" i="6"/>
  <c r="Z1017" i="6"/>
  <c r="Z1016" i="6"/>
  <c r="Z1015" i="6"/>
  <c r="Z1014" i="6"/>
  <c r="Z1013" i="6"/>
  <c r="Z1012" i="6"/>
  <c r="Z1011" i="6"/>
  <c r="Z1010" i="6"/>
  <c r="Z1009" i="6"/>
  <c r="Z1008" i="6"/>
  <c r="Z1007" i="6"/>
  <c r="Z1006" i="6"/>
  <c r="Z1005" i="6"/>
  <c r="Z1004" i="6"/>
  <c r="Z1003" i="6"/>
  <c r="Z1002" i="6"/>
  <c r="Z1001" i="6"/>
  <c r="Z1000" i="6"/>
  <c r="Z999" i="6"/>
  <c r="Z998" i="6"/>
  <c r="Z997" i="6"/>
  <c r="Z996" i="6"/>
  <c r="Z995" i="6"/>
  <c r="Z994" i="6"/>
  <c r="Z993" i="6"/>
  <c r="Z992" i="6"/>
  <c r="Z991" i="6"/>
  <c r="Z990" i="6"/>
  <c r="Z989" i="6"/>
  <c r="Z988" i="6"/>
  <c r="Z987" i="6"/>
  <c r="Z986" i="6"/>
  <c r="Z985" i="6"/>
  <c r="Z984" i="6"/>
  <c r="Z983" i="6"/>
  <c r="Z982" i="6"/>
  <c r="Z981" i="6"/>
  <c r="Z980" i="6"/>
  <c r="Z979" i="6"/>
  <c r="Z978" i="6"/>
  <c r="Z977" i="6"/>
  <c r="Z976" i="6"/>
  <c r="Z975" i="6"/>
  <c r="Z974" i="6"/>
  <c r="Z973" i="6"/>
  <c r="Z972" i="6"/>
  <c r="Z971" i="6"/>
  <c r="Z970" i="6"/>
  <c r="Z969" i="6"/>
  <c r="Z968" i="6"/>
  <c r="Z967" i="6"/>
  <c r="Z966" i="6"/>
  <c r="Z965" i="6"/>
  <c r="Z964" i="6"/>
  <c r="Z963" i="6"/>
  <c r="Z962" i="6"/>
  <c r="Z961" i="6"/>
  <c r="Z960" i="6"/>
  <c r="Z959" i="6"/>
  <c r="Z958" i="6"/>
  <c r="Z957" i="6"/>
  <c r="Z956" i="6"/>
  <c r="Z955" i="6"/>
  <c r="Z954" i="6"/>
  <c r="Z953" i="6"/>
  <c r="Z952" i="6"/>
  <c r="Z951" i="6"/>
  <c r="Z950" i="6"/>
  <c r="Z949" i="6"/>
  <c r="Z948" i="6"/>
  <c r="Z947" i="6"/>
  <c r="Z946" i="6"/>
  <c r="Z945" i="6"/>
  <c r="Z944" i="6"/>
  <c r="Z943" i="6"/>
  <c r="Z942" i="6"/>
  <c r="Z941" i="6"/>
  <c r="Z940" i="6"/>
  <c r="Z939" i="6"/>
  <c r="Z938" i="6"/>
  <c r="Z937" i="6"/>
  <c r="Z936" i="6"/>
  <c r="Z935" i="6"/>
  <c r="Z934" i="6"/>
  <c r="Z933" i="6"/>
  <c r="Z932" i="6"/>
  <c r="Z931" i="6"/>
  <c r="Z930" i="6"/>
  <c r="Z929" i="6"/>
  <c r="Z928" i="6"/>
  <c r="Z927" i="6"/>
  <c r="Z926" i="6"/>
  <c r="Z925" i="6"/>
  <c r="Z924" i="6"/>
  <c r="Z923" i="6"/>
  <c r="Z922" i="6"/>
  <c r="Z921" i="6"/>
  <c r="Z920" i="6"/>
  <c r="Z919" i="6"/>
  <c r="Z918" i="6"/>
  <c r="Z917" i="6"/>
  <c r="Z916" i="6"/>
  <c r="Z915" i="6"/>
  <c r="Z914" i="6"/>
  <c r="Z913" i="6"/>
  <c r="Z912" i="6"/>
  <c r="Z911" i="6"/>
  <c r="Z910" i="6"/>
  <c r="Z909" i="6"/>
  <c r="Z908" i="6"/>
  <c r="Z907" i="6"/>
  <c r="Z906" i="6"/>
  <c r="Z905" i="6"/>
  <c r="Z904" i="6"/>
  <c r="Z903" i="6"/>
  <c r="Z902" i="6"/>
  <c r="Z901" i="6"/>
  <c r="Z900" i="6"/>
  <c r="Z899" i="6"/>
  <c r="Z898" i="6"/>
  <c r="Z897" i="6"/>
  <c r="Z896" i="6"/>
  <c r="Z895" i="6"/>
  <c r="Z894" i="6"/>
  <c r="Z893" i="6"/>
  <c r="Z892" i="6"/>
  <c r="Z891" i="6"/>
  <c r="Z890" i="6"/>
  <c r="Z889" i="6"/>
  <c r="Z888" i="6"/>
  <c r="Z887" i="6"/>
  <c r="Z886" i="6"/>
  <c r="Z885" i="6"/>
  <c r="Z884" i="6"/>
  <c r="Z883" i="6"/>
  <c r="Z882" i="6"/>
  <c r="Z881" i="6"/>
  <c r="Z880" i="6"/>
  <c r="Z879" i="6"/>
  <c r="Z878" i="6"/>
  <c r="Z877" i="6"/>
  <c r="Z876" i="6"/>
  <c r="Z875" i="6"/>
  <c r="Z874" i="6"/>
  <c r="Z873" i="6"/>
  <c r="Z872" i="6"/>
  <c r="Z871" i="6"/>
  <c r="Z870" i="6"/>
  <c r="Z869" i="6"/>
  <c r="Z868" i="6"/>
  <c r="Z867" i="6"/>
  <c r="Z866" i="6"/>
  <c r="Z865" i="6"/>
  <c r="Z864" i="6"/>
  <c r="Z863" i="6"/>
  <c r="Z862" i="6"/>
  <c r="Z861" i="6"/>
  <c r="Z860" i="6"/>
  <c r="Z859" i="6"/>
  <c r="Z858" i="6"/>
  <c r="Z857" i="6"/>
  <c r="Z856" i="6"/>
  <c r="Z855" i="6"/>
  <c r="Z854" i="6"/>
  <c r="Z853" i="6"/>
  <c r="Z852" i="6"/>
  <c r="Z851" i="6"/>
  <c r="Z850" i="6"/>
  <c r="Z849" i="6"/>
  <c r="Z848" i="6"/>
  <c r="Z847" i="6"/>
  <c r="Z846" i="6"/>
  <c r="Z845" i="6"/>
  <c r="Z844" i="6"/>
  <c r="Z843" i="6"/>
  <c r="Z842" i="6"/>
  <c r="Z841" i="6"/>
  <c r="Z840" i="6"/>
  <c r="Z839" i="6"/>
  <c r="Z838" i="6"/>
  <c r="Z837" i="6"/>
  <c r="Z836" i="6"/>
  <c r="Z835" i="6"/>
  <c r="Z834" i="6"/>
  <c r="Z833" i="6"/>
  <c r="Z832" i="6"/>
  <c r="Z831" i="6"/>
  <c r="Z830" i="6"/>
  <c r="Z829" i="6"/>
  <c r="Z828" i="6"/>
  <c r="Z827" i="6"/>
  <c r="Z826" i="6"/>
  <c r="Z825" i="6"/>
  <c r="Z824" i="6"/>
  <c r="Z823" i="6"/>
  <c r="Z822" i="6"/>
  <c r="Z821" i="6"/>
  <c r="Z820" i="6"/>
  <c r="Z819" i="6"/>
  <c r="Z818" i="6"/>
  <c r="Z817" i="6"/>
  <c r="Z816" i="6"/>
  <c r="Z815" i="6"/>
  <c r="Z814" i="6"/>
  <c r="Z813" i="6"/>
  <c r="Z812" i="6"/>
  <c r="Z811" i="6"/>
  <c r="Z810" i="6"/>
  <c r="Z809" i="6"/>
  <c r="Z808" i="6"/>
  <c r="Z807" i="6"/>
  <c r="Z806" i="6"/>
  <c r="Z805" i="6"/>
  <c r="Z804" i="6"/>
  <c r="Z803" i="6"/>
  <c r="Z802" i="6"/>
  <c r="Z801" i="6"/>
  <c r="Z800" i="6"/>
  <c r="Z799" i="6"/>
  <c r="Z798" i="6"/>
  <c r="Z797" i="6"/>
  <c r="Z796" i="6"/>
  <c r="Z795" i="6"/>
  <c r="Z794" i="6"/>
  <c r="Z793" i="6"/>
  <c r="Z792" i="6"/>
  <c r="Z791" i="6"/>
  <c r="Z790" i="6"/>
  <c r="Z789" i="6"/>
  <c r="Z788" i="6"/>
  <c r="Z787" i="6"/>
  <c r="Z786" i="6"/>
  <c r="Z785" i="6"/>
  <c r="Z784" i="6"/>
  <c r="Z783" i="6"/>
  <c r="Z782" i="6"/>
  <c r="Z781" i="6"/>
  <c r="Z780" i="6"/>
  <c r="Z779" i="6"/>
  <c r="Z778" i="6"/>
  <c r="Z777" i="6"/>
  <c r="Z776" i="6"/>
  <c r="Z775" i="6"/>
  <c r="Z774" i="6"/>
  <c r="Z773" i="6"/>
  <c r="Z772" i="6"/>
  <c r="Z771" i="6"/>
  <c r="Z770" i="6"/>
  <c r="Z769" i="6"/>
  <c r="Z768" i="6"/>
  <c r="Z767" i="6"/>
  <c r="Z766" i="6"/>
  <c r="Z765" i="6"/>
  <c r="Z764" i="6"/>
  <c r="Z763" i="6"/>
  <c r="Z762" i="6"/>
  <c r="Z761" i="6"/>
  <c r="Z760" i="6"/>
  <c r="Z759" i="6"/>
  <c r="Z758" i="6"/>
  <c r="Z757" i="6"/>
  <c r="Z756" i="6"/>
  <c r="Z755" i="6"/>
  <c r="Z754" i="6"/>
  <c r="Z753" i="6"/>
  <c r="Z752" i="6"/>
  <c r="Z751" i="6"/>
  <c r="Z750" i="6"/>
  <c r="Z749" i="6"/>
  <c r="Z748" i="6"/>
  <c r="Z747" i="6"/>
  <c r="Z746" i="6"/>
  <c r="Z745" i="6"/>
  <c r="Z744" i="6"/>
  <c r="Z743" i="6"/>
  <c r="Z742" i="6"/>
  <c r="Z741" i="6"/>
  <c r="Z740" i="6"/>
  <c r="Z739" i="6"/>
  <c r="Z738" i="6"/>
  <c r="Z737" i="6"/>
  <c r="Z736" i="6"/>
  <c r="Z735" i="6"/>
  <c r="Z734" i="6"/>
  <c r="Z733" i="6"/>
  <c r="Z732" i="6"/>
  <c r="Z731" i="6"/>
  <c r="Z730" i="6"/>
  <c r="Z729" i="6"/>
  <c r="Z728" i="6"/>
  <c r="Z727" i="6"/>
  <c r="Z726" i="6"/>
  <c r="Z725" i="6"/>
  <c r="Z724" i="6"/>
  <c r="Z723" i="6"/>
  <c r="Z722" i="6"/>
  <c r="Z721" i="6"/>
  <c r="Z720" i="6"/>
  <c r="Z719" i="6"/>
  <c r="Z718" i="6"/>
  <c r="Z717" i="6"/>
  <c r="Z716" i="6"/>
  <c r="Z715" i="6"/>
  <c r="Z714" i="6"/>
  <c r="Z713" i="6"/>
  <c r="Z712" i="6"/>
  <c r="Z711" i="6"/>
  <c r="Z710" i="6"/>
  <c r="Z709" i="6"/>
  <c r="Z708" i="6"/>
  <c r="Z707" i="6"/>
  <c r="Z706" i="6"/>
  <c r="Z705" i="6"/>
  <c r="Z704" i="6"/>
  <c r="Z703" i="6"/>
  <c r="Z702" i="6"/>
  <c r="Z701" i="6"/>
  <c r="Z700" i="6"/>
  <c r="Z699" i="6"/>
  <c r="Z698" i="6"/>
  <c r="Z697" i="6"/>
  <c r="Z696" i="6"/>
  <c r="Z695" i="6"/>
  <c r="Z694" i="6"/>
  <c r="Z693" i="6"/>
  <c r="Z692" i="6"/>
  <c r="Z691" i="6"/>
  <c r="Z690" i="6"/>
  <c r="Z689" i="6"/>
  <c r="Z688" i="6"/>
  <c r="Z687" i="6"/>
  <c r="Z686" i="6"/>
  <c r="Z685" i="6"/>
  <c r="Z684" i="6"/>
  <c r="Z683" i="6"/>
  <c r="Z682" i="6"/>
  <c r="Z681" i="6"/>
  <c r="Z680" i="6"/>
  <c r="Z679" i="6"/>
  <c r="Z678" i="6"/>
  <c r="Z677" i="6"/>
  <c r="Z676" i="6"/>
  <c r="Z675" i="6"/>
  <c r="Z674" i="6"/>
  <c r="Z673" i="6"/>
  <c r="Z672" i="6"/>
  <c r="Z671" i="6"/>
  <c r="Z670" i="6"/>
  <c r="Z669" i="6"/>
  <c r="Z668" i="6"/>
  <c r="Z667" i="6"/>
  <c r="Z666" i="6"/>
  <c r="Z665" i="6"/>
  <c r="Z664" i="6"/>
  <c r="Z663" i="6"/>
  <c r="Z662" i="6"/>
  <c r="Z661" i="6"/>
  <c r="Z660" i="6"/>
  <c r="Z659" i="6"/>
  <c r="Z658" i="6"/>
  <c r="Z657" i="6"/>
  <c r="Z656" i="6"/>
  <c r="Z655" i="6"/>
  <c r="Z654" i="6"/>
  <c r="Z653" i="6"/>
  <c r="Z652" i="6"/>
  <c r="Z651" i="6"/>
  <c r="Z650" i="6"/>
  <c r="Z649" i="6"/>
  <c r="Z648" i="6"/>
  <c r="Z647" i="6"/>
  <c r="Z646" i="6"/>
  <c r="Z645" i="6"/>
  <c r="Z644" i="6"/>
  <c r="Z643" i="6"/>
  <c r="Z642" i="6"/>
  <c r="Z641" i="6"/>
  <c r="Z640" i="6"/>
  <c r="Z639" i="6"/>
  <c r="Z638" i="6"/>
  <c r="Z637" i="6"/>
  <c r="Z636" i="6"/>
  <c r="Z635" i="6"/>
  <c r="Z634" i="6"/>
  <c r="Z633" i="6"/>
  <c r="Z632" i="6"/>
  <c r="Z631" i="6"/>
  <c r="Z630" i="6"/>
  <c r="Z629" i="6"/>
  <c r="Z628" i="6"/>
  <c r="Z627" i="6"/>
  <c r="Z626" i="6"/>
  <c r="Z625" i="6"/>
  <c r="Z624" i="6"/>
  <c r="Z623" i="6"/>
  <c r="Z622" i="6"/>
  <c r="Z621" i="6"/>
  <c r="Z620" i="6"/>
  <c r="Z619" i="6"/>
  <c r="Z618" i="6"/>
  <c r="Z617" i="6"/>
  <c r="Z616" i="6"/>
  <c r="Z615" i="6"/>
  <c r="Z614" i="6"/>
  <c r="Z613" i="6"/>
  <c r="Z612" i="6"/>
  <c r="Z611" i="6"/>
  <c r="Z610" i="6"/>
  <c r="Z609" i="6"/>
  <c r="Z608" i="6"/>
  <c r="Z607" i="6"/>
  <c r="Z606" i="6"/>
  <c r="Z605" i="6"/>
  <c r="Z604" i="6"/>
  <c r="Z603" i="6"/>
  <c r="Z602" i="6"/>
  <c r="Z601" i="6"/>
  <c r="Z600" i="6"/>
  <c r="Z599" i="6"/>
  <c r="Z598" i="6"/>
  <c r="Z597" i="6"/>
  <c r="Z596" i="6"/>
  <c r="Z595" i="6"/>
  <c r="Z594" i="6"/>
  <c r="Z593" i="6"/>
  <c r="Z592" i="6"/>
  <c r="Z591" i="6"/>
  <c r="Z590" i="6"/>
  <c r="Z589" i="6"/>
  <c r="Z588" i="6"/>
  <c r="Z587" i="6"/>
  <c r="Z586" i="6"/>
  <c r="Z585" i="6"/>
  <c r="Z584" i="6"/>
  <c r="Z583" i="6"/>
  <c r="Z582" i="6"/>
  <c r="Z581" i="6"/>
  <c r="Z580" i="6"/>
  <c r="Z579" i="6"/>
  <c r="Z578" i="6"/>
  <c r="Z577" i="6"/>
  <c r="Z576" i="6"/>
  <c r="Z575" i="6"/>
  <c r="Z574" i="6"/>
  <c r="Z573" i="6"/>
  <c r="Z572" i="6"/>
  <c r="Z571" i="6"/>
  <c r="Z570" i="6"/>
  <c r="Z569" i="6"/>
  <c r="Z568" i="6"/>
  <c r="Z567" i="6"/>
  <c r="Z566" i="6"/>
  <c r="Z565" i="6"/>
  <c r="Z564" i="6"/>
  <c r="Z563" i="6"/>
  <c r="Z562" i="6"/>
  <c r="Z561" i="6"/>
  <c r="Z560" i="6"/>
  <c r="Z559" i="6"/>
  <c r="Z558" i="6"/>
  <c r="Z557" i="6"/>
  <c r="Z556" i="6"/>
  <c r="Z555" i="6"/>
  <c r="Z554" i="6"/>
  <c r="Z553" i="6"/>
  <c r="Z552" i="6"/>
  <c r="Z551" i="6"/>
  <c r="Z550" i="6"/>
  <c r="Z549" i="6"/>
  <c r="Z548" i="6"/>
  <c r="Z547" i="6"/>
  <c r="Z546" i="6"/>
  <c r="Z545" i="6"/>
  <c r="Z544" i="6"/>
  <c r="Z543" i="6"/>
  <c r="Z542" i="6"/>
  <c r="Z541" i="6"/>
  <c r="Z540" i="6"/>
  <c r="Z539" i="6"/>
  <c r="Z538" i="6"/>
  <c r="Z537" i="6"/>
  <c r="Z536" i="6"/>
  <c r="Z535" i="6"/>
  <c r="Z534" i="6"/>
  <c r="Z533" i="6"/>
  <c r="Z532" i="6"/>
  <c r="Z531" i="6"/>
  <c r="Z530" i="6"/>
  <c r="Z529" i="6"/>
  <c r="Z528" i="6"/>
  <c r="Z527" i="6"/>
  <c r="Z526" i="6"/>
  <c r="Z525" i="6"/>
  <c r="Z524" i="6"/>
  <c r="Z523" i="6"/>
  <c r="Z522" i="6"/>
  <c r="Z521" i="6"/>
  <c r="Z520" i="6"/>
  <c r="Z519" i="6"/>
  <c r="Z518" i="6"/>
  <c r="Z517" i="6"/>
  <c r="Z516" i="6"/>
  <c r="Z515" i="6"/>
  <c r="Z514" i="6"/>
  <c r="Z513" i="6"/>
  <c r="Z512" i="6"/>
  <c r="Z511" i="6"/>
  <c r="Z510" i="6"/>
  <c r="Z509" i="6"/>
  <c r="Z508" i="6"/>
  <c r="Z507" i="6"/>
  <c r="Z506" i="6"/>
  <c r="Z505" i="6"/>
  <c r="Z504" i="6"/>
  <c r="Z503" i="6"/>
  <c r="Z502" i="6"/>
  <c r="Z501" i="6"/>
  <c r="Z500" i="6"/>
  <c r="Z499" i="6"/>
  <c r="Z498" i="6"/>
  <c r="Z497" i="6"/>
  <c r="Z496" i="6"/>
  <c r="Z495" i="6"/>
  <c r="Z494" i="6"/>
  <c r="Z493" i="6"/>
  <c r="Z492" i="6"/>
  <c r="Z491" i="6"/>
  <c r="Z490" i="6"/>
  <c r="Z489" i="6"/>
  <c r="Z488" i="6"/>
  <c r="Z487" i="6"/>
  <c r="Z486" i="6"/>
  <c r="Z485" i="6"/>
  <c r="Z484" i="6"/>
  <c r="Z483" i="6"/>
  <c r="Z482" i="6"/>
  <c r="Z481" i="6"/>
  <c r="Z480" i="6"/>
  <c r="Z479" i="6"/>
  <c r="Z478" i="6"/>
  <c r="Z477" i="6"/>
  <c r="Z476" i="6"/>
  <c r="Z475" i="6"/>
  <c r="Z474" i="6"/>
  <c r="Z473" i="6"/>
  <c r="Z472" i="6"/>
  <c r="Z471" i="6"/>
  <c r="Z470" i="6"/>
  <c r="Z469" i="6"/>
  <c r="Z468" i="6"/>
  <c r="Z467" i="6"/>
  <c r="Z466" i="6"/>
  <c r="Z465" i="6"/>
  <c r="Z464" i="6"/>
  <c r="Z463" i="6"/>
  <c r="Z462" i="6"/>
  <c r="Z461" i="6"/>
  <c r="Z460" i="6"/>
  <c r="Z459" i="6"/>
  <c r="Z458" i="6"/>
  <c r="Z457" i="6"/>
  <c r="Z456" i="6"/>
  <c r="Z455" i="6"/>
  <c r="Z454" i="6"/>
  <c r="Z453" i="6"/>
  <c r="Z452" i="6"/>
  <c r="Z451" i="6"/>
  <c r="Z450" i="6"/>
  <c r="Z449" i="6"/>
  <c r="Z448" i="6"/>
  <c r="Z447" i="6"/>
  <c r="Z446" i="6"/>
  <c r="Z445" i="6"/>
  <c r="Z444" i="6"/>
  <c r="Z443" i="6"/>
  <c r="Z442" i="6"/>
  <c r="Z441" i="6"/>
  <c r="Z440" i="6"/>
  <c r="Z439" i="6"/>
  <c r="Z438" i="6"/>
  <c r="Z437" i="6"/>
  <c r="Z436" i="6"/>
  <c r="Z435" i="6"/>
  <c r="Z434" i="6"/>
  <c r="Z433" i="6"/>
  <c r="Z432" i="6"/>
  <c r="Z431" i="6"/>
  <c r="Z430" i="6"/>
  <c r="Z429" i="6"/>
  <c r="Z428" i="6"/>
  <c r="Z427" i="6"/>
  <c r="Z426" i="6"/>
  <c r="Z425" i="6"/>
  <c r="Z424" i="6"/>
  <c r="Z423" i="6"/>
  <c r="Z422" i="6"/>
  <c r="Z421" i="6"/>
  <c r="Z420" i="6"/>
  <c r="Z419" i="6"/>
  <c r="Z418" i="6"/>
  <c r="Z417" i="6"/>
  <c r="Z416" i="6"/>
  <c r="Z415" i="6"/>
  <c r="Z414" i="6"/>
  <c r="Z413" i="6"/>
  <c r="Z412" i="6"/>
  <c r="Z411" i="6"/>
  <c r="Z410" i="6"/>
  <c r="Z409" i="6"/>
  <c r="Z408" i="6"/>
  <c r="Z407" i="6"/>
  <c r="Z406" i="6"/>
  <c r="Z405" i="6"/>
  <c r="Z404" i="6"/>
  <c r="Z403" i="6"/>
  <c r="Z402" i="6"/>
  <c r="Z401" i="6"/>
  <c r="Z400" i="6"/>
  <c r="Z399" i="6"/>
  <c r="Z398" i="6"/>
  <c r="Z397" i="6"/>
  <c r="Z396" i="6"/>
  <c r="Z395" i="6"/>
  <c r="Z394" i="6"/>
  <c r="Z393" i="6"/>
  <c r="Z392" i="6"/>
  <c r="Z391" i="6"/>
  <c r="Z390" i="6"/>
  <c r="Z389" i="6"/>
  <c r="Z388" i="6"/>
  <c r="Z387" i="6"/>
  <c r="Z386" i="6"/>
  <c r="Z385" i="6"/>
  <c r="Z384" i="6"/>
  <c r="Z383" i="6"/>
  <c r="Z382" i="6"/>
  <c r="Z381" i="6"/>
  <c r="Z380" i="6"/>
  <c r="Z379" i="6"/>
  <c r="Z378" i="6"/>
  <c r="Z377" i="6"/>
  <c r="Z376" i="6"/>
  <c r="Z375" i="6"/>
  <c r="Z374" i="6"/>
  <c r="Z373" i="6"/>
  <c r="Z372" i="6"/>
  <c r="Z371" i="6"/>
  <c r="Z370" i="6"/>
  <c r="Z369" i="6"/>
  <c r="Z368" i="6"/>
  <c r="Z367" i="6"/>
  <c r="Z366" i="6"/>
  <c r="Z365" i="6"/>
  <c r="Z364" i="6"/>
  <c r="Z363" i="6"/>
  <c r="Z362" i="6"/>
  <c r="Z361" i="6"/>
  <c r="Z360" i="6"/>
  <c r="Z359" i="6"/>
  <c r="Z358" i="6"/>
  <c r="Z357" i="6"/>
  <c r="Z356" i="6"/>
  <c r="Z355" i="6"/>
  <c r="Z354" i="6"/>
  <c r="Z353" i="6"/>
  <c r="Z352" i="6"/>
  <c r="Z351" i="6"/>
  <c r="Z350" i="6"/>
  <c r="Z349" i="6"/>
  <c r="Z348" i="6"/>
  <c r="Z347" i="6"/>
  <c r="Z346" i="6"/>
  <c r="Z345" i="6"/>
  <c r="Z344" i="6"/>
  <c r="Z343" i="6"/>
  <c r="Z342" i="6"/>
  <c r="Z341" i="6"/>
  <c r="Z340" i="6"/>
  <c r="Z339" i="6"/>
  <c r="Z338" i="6"/>
  <c r="Z337" i="6"/>
  <c r="Z336" i="6"/>
  <c r="Z335" i="6"/>
  <c r="Z334" i="6"/>
  <c r="Z333" i="6"/>
  <c r="Z332" i="6"/>
  <c r="Z331" i="6"/>
  <c r="Z330" i="6"/>
  <c r="Z329" i="6"/>
  <c r="Z328" i="6"/>
  <c r="Z327" i="6"/>
  <c r="Z326" i="6"/>
  <c r="Z325" i="6"/>
  <c r="Z324" i="6"/>
  <c r="Z323" i="6"/>
  <c r="Z322" i="6"/>
  <c r="Z321" i="6"/>
  <c r="Z320" i="6"/>
  <c r="Z319" i="6"/>
  <c r="Z318" i="6"/>
  <c r="Z317" i="6"/>
  <c r="Z316" i="6"/>
  <c r="Z315" i="6"/>
  <c r="Z314" i="6"/>
  <c r="Z313" i="6"/>
  <c r="Z312" i="6"/>
  <c r="Z311" i="6"/>
  <c r="Z310" i="6"/>
  <c r="Z309" i="6"/>
  <c r="Z308" i="6"/>
  <c r="Z307" i="6"/>
  <c r="Z306" i="6"/>
  <c r="Z305" i="6"/>
  <c r="Z304" i="6"/>
  <c r="Z303" i="6"/>
  <c r="Z302" i="6"/>
  <c r="Z301" i="6"/>
  <c r="Z300" i="6"/>
  <c r="Z299" i="6"/>
  <c r="Z298" i="6"/>
  <c r="Z297" i="6"/>
  <c r="Z296" i="6"/>
  <c r="Z295" i="6"/>
  <c r="Z294" i="6"/>
  <c r="Z293" i="6"/>
  <c r="Z292" i="6"/>
  <c r="Z291" i="6"/>
  <c r="Z290" i="6"/>
  <c r="Z289" i="6"/>
  <c r="Z288" i="6"/>
  <c r="Z287" i="6"/>
  <c r="Z286" i="6"/>
  <c r="Z285" i="6"/>
  <c r="Z284" i="6"/>
  <c r="Z283" i="6"/>
  <c r="Z282" i="6"/>
  <c r="Z281" i="6"/>
  <c r="Z280" i="6"/>
  <c r="Z279" i="6"/>
  <c r="Z278" i="6"/>
  <c r="Z277" i="6"/>
  <c r="Z276" i="6"/>
  <c r="Z275" i="6"/>
  <c r="Z274" i="6"/>
  <c r="Z273" i="6"/>
  <c r="Z272" i="6"/>
  <c r="Z271" i="6"/>
  <c r="Z270" i="6"/>
  <c r="Z269" i="6"/>
  <c r="Z268" i="6"/>
  <c r="Z267" i="6"/>
  <c r="Z266" i="6"/>
  <c r="Z265" i="6"/>
  <c r="Z264" i="6"/>
  <c r="Z263" i="6"/>
  <c r="Z262" i="6"/>
  <c r="Z261" i="6"/>
  <c r="Z260" i="6"/>
  <c r="Z259" i="6"/>
  <c r="Z258" i="6"/>
  <c r="Z257" i="6"/>
  <c r="Z256" i="6"/>
  <c r="Z255" i="6"/>
  <c r="Z254" i="6"/>
  <c r="Z253" i="6"/>
  <c r="Z252" i="6"/>
  <c r="Z251" i="6"/>
  <c r="Z250" i="6"/>
  <c r="Z249" i="6"/>
  <c r="Z248" i="6"/>
  <c r="Z247" i="6"/>
  <c r="Z246" i="6"/>
  <c r="Z245" i="6"/>
  <c r="Z244" i="6"/>
  <c r="Z243" i="6"/>
  <c r="Z242" i="6"/>
  <c r="Z241" i="6"/>
  <c r="Z240" i="6"/>
  <c r="Z239" i="6"/>
  <c r="Z238" i="6"/>
  <c r="Z237" i="6"/>
  <c r="Z236" i="6"/>
  <c r="Z235" i="6"/>
  <c r="Z234" i="6"/>
  <c r="Z233" i="6"/>
  <c r="Z232" i="6"/>
  <c r="Z231" i="6"/>
  <c r="Z230" i="6"/>
  <c r="Z229" i="6"/>
  <c r="Z228" i="6"/>
  <c r="Z227" i="6"/>
  <c r="Z226" i="6"/>
  <c r="Z225" i="6"/>
  <c r="Z224" i="6"/>
  <c r="Z223" i="6"/>
  <c r="Z222" i="6"/>
  <c r="Z221" i="6"/>
  <c r="Z220" i="6"/>
  <c r="Z219" i="6"/>
  <c r="Z218" i="6"/>
  <c r="Z217" i="6"/>
  <c r="Z216" i="6"/>
  <c r="Z215" i="6"/>
  <c r="Z214" i="6"/>
  <c r="Z213" i="6"/>
  <c r="Z212" i="6"/>
  <c r="Z211" i="6"/>
  <c r="Z210" i="6"/>
  <c r="Z209" i="6"/>
  <c r="Z208" i="6"/>
  <c r="Z207" i="6"/>
  <c r="Z206" i="6"/>
  <c r="Z205" i="6"/>
  <c r="Z204" i="6"/>
  <c r="Z203" i="6"/>
  <c r="Z202" i="6"/>
  <c r="Z201" i="6"/>
  <c r="Z200" i="6"/>
  <c r="Z199" i="6"/>
  <c r="Z198" i="6"/>
  <c r="Z197" i="6"/>
  <c r="Z196" i="6"/>
  <c r="Z195" i="6"/>
  <c r="Z194" i="6"/>
  <c r="Z193" i="6"/>
  <c r="Z192" i="6"/>
  <c r="Z191" i="6"/>
  <c r="Z190" i="6"/>
  <c r="Z189" i="6"/>
  <c r="Z188" i="6"/>
  <c r="Z187" i="6"/>
  <c r="Z186" i="6"/>
  <c r="Z185" i="6"/>
  <c r="Z184" i="6"/>
  <c r="Z183" i="6"/>
  <c r="Z182" i="6"/>
  <c r="Z181" i="6"/>
  <c r="Z180" i="6"/>
  <c r="Z179" i="6"/>
  <c r="Z178" i="6"/>
  <c r="Z177" i="6"/>
  <c r="Z176" i="6"/>
  <c r="Z175" i="6"/>
  <c r="Z174" i="6"/>
  <c r="Z173" i="6"/>
  <c r="Z172" i="6"/>
  <c r="Z171" i="6"/>
  <c r="Z170" i="6"/>
  <c r="Z169" i="6"/>
  <c r="Z168" i="6"/>
  <c r="Z167" i="6"/>
  <c r="Z166" i="6"/>
  <c r="Z165" i="6"/>
  <c r="Z164" i="6"/>
  <c r="Z163" i="6"/>
  <c r="Z162" i="6"/>
  <c r="Z161" i="6"/>
  <c r="Z160" i="6"/>
  <c r="Z159" i="6"/>
  <c r="Z158" i="6"/>
  <c r="Z157" i="6"/>
  <c r="Z156" i="6"/>
  <c r="Z155" i="6"/>
  <c r="Z154" i="6"/>
  <c r="Z153" i="6"/>
  <c r="Z152" i="6"/>
  <c r="Z151" i="6"/>
  <c r="Z150" i="6"/>
  <c r="Z149" i="6"/>
  <c r="Z148" i="6"/>
  <c r="Z147" i="6"/>
  <c r="Z146" i="6"/>
  <c r="Z145" i="6"/>
  <c r="Z144" i="6"/>
  <c r="Z143" i="6"/>
  <c r="Z142" i="6"/>
  <c r="Z141" i="6"/>
  <c r="Z140" i="6"/>
  <c r="Z139" i="6"/>
  <c r="Z138" i="6"/>
  <c r="Z137" i="6"/>
  <c r="Z136" i="6"/>
  <c r="Z135" i="6"/>
  <c r="Z134" i="6"/>
  <c r="Z133" i="6"/>
  <c r="Z132" i="6"/>
  <c r="Z131" i="6"/>
  <c r="Z130" i="6"/>
  <c r="Z129" i="6"/>
  <c r="Z128" i="6"/>
  <c r="Z127" i="6"/>
  <c r="Z126" i="6"/>
  <c r="Z125" i="6"/>
  <c r="Z124" i="6"/>
  <c r="Z123" i="6"/>
  <c r="Z122" i="6"/>
  <c r="Z121" i="6"/>
  <c r="Z120" i="6"/>
  <c r="Z119" i="6"/>
  <c r="Z118" i="6"/>
  <c r="Z117" i="6"/>
  <c r="Z116" i="6"/>
  <c r="Z115" i="6"/>
  <c r="Z114" i="6"/>
  <c r="Z113" i="6"/>
  <c r="Z112" i="6"/>
  <c r="Z111" i="6"/>
  <c r="Z110" i="6"/>
  <c r="Z109" i="6"/>
  <c r="Z108" i="6"/>
  <c r="Z107" i="6"/>
  <c r="Z106" i="6"/>
  <c r="Z105" i="6"/>
  <c r="Z104" i="6"/>
  <c r="Z103" i="6"/>
  <c r="Z102" i="6"/>
  <c r="Z101" i="6"/>
  <c r="Z100" i="6"/>
  <c r="Z99" i="6"/>
  <c r="Z98" i="6"/>
  <c r="Z97" i="6"/>
  <c r="Z96" i="6"/>
  <c r="Z95" i="6"/>
  <c r="Z94" i="6"/>
  <c r="Z93" i="6"/>
  <c r="Z92" i="6"/>
  <c r="Z91" i="6"/>
  <c r="Z90" i="6"/>
  <c r="Z89" i="6"/>
  <c r="Z88" i="6"/>
  <c r="Z87" i="6"/>
  <c r="Z86" i="6"/>
  <c r="Z85" i="6"/>
  <c r="Z84" i="6"/>
  <c r="Z83" i="6"/>
  <c r="Z82" i="6"/>
  <c r="Z81" i="6"/>
  <c r="Z80" i="6"/>
  <c r="Z79" i="6"/>
  <c r="Z78" i="6"/>
  <c r="Z77" i="6"/>
  <c r="Z76" i="6"/>
  <c r="Z75" i="6"/>
  <c r="Z74" i="6"/>
  <c r="Z73" i="6"/>
  <c r="Z72" i="6"/>
  <c r="Z71" i="6"/>
  <c r="Z70" i="6"/>
  <c r="Z69" i="6"/>
  <c r="Z68" i="6"/>
  <c r="Z67" i="6"/>
  <c r="Z66" i="6"/>
  <c r="Z65" i="6"/>
  <c r="Z64" i="6"/>
  <c r="Z63" i="6"/>
  <c r="Z62" i="6"/>
  <c r="Z61" i="6"/>
  <c r="Z60" i="6"/>
  <c r="Z59" i="6"/>
  <c r="Z58" i="6"/>
  <c r="Z57" i="6"/>
  <c r="Z56" i="6"/>
  <c r="Z55" i="6"/>
  <c r="Z54" i="6"/>
  <c r="Z53" i="6"/>
  <c r="Z52" i="6"/>
  <c r="Z51" i="6"/>
  <c r="Z50" i="6"/>
  <c r="Z49" i="6"/>
  <c r="Z48" i="6"/>
  <c r="Z47" i="6"/>
  <c r="Z46" i="6"/>
  <c r="Z45" i="6"/>
  <c r="Z44" i="6"/>
  <c r="Z43" i="6"/>
  <c r="Z42" i="6"/>
  <c r="Z41" i="6"/>
  <c r="Z40" i="6"/>
  <c r="Z39" i="6"/>
  <c r="Z38" i="6"/>
  <c r="Z37" i="6"/>
  <c r="Z36" i="6"/>
  <c r="Z35" i="6"/>
  <c r="Z34" i="6"/>
  <c r="Z33" i="6"/>
  <c r="Z32" i="6"/>
  <c r="Z31" i="6"/>
  <c r="Z30" i="6"/>
  <c r="Z29" i="6"/>
  <c r="Z28" i="6"/>
  <c r="Z27" i="6"/>
  <c r="Z26" i="6"/>
  <c r="Z25" i="6"/>
  <c r="Z24" i="6"/>
  <c r="Z23" i="6"/>
  <c r="Z22" i="6"/>
  <c r="Z21" i="6"/>
  <c r="Z20" i="6"/>
  <c r="Z19" i="6"/>
  <c r="Z18" i="6"/>
  <c r="Z17" i="6"/>
  <c r="Z16" i="6"/>
  <c r="Z15" i="6"/>
  <c r="Z14" i="6"/>
  <c r="Z13" i="6"/>
  <c r="Z12" i="6"/>
  <c r="Z11" i="6"/>
  <c r="Z10" i="6"/>
  <c r="Z9" i="6"/>
  <c r="Z8" i="6"/>
  <c r="Z7" i="6"/>
  <c r="Z6" i="6"/>
  <c r="Z5" i="6"/>
  <c r="Z4" i="6"/>
  <c r="Z3" i="6"/>
  <c r="Z2" i="6"/>
  <c r="W1438" i="6"/>
  <c r="W1437" i="6"/>
  <c r="W1436" i="6"/>
  <c r="W1435" i="6"/>
  <c r="W1434" i="6"/>
  <c r="W1433" i="6"/>
  <c r="W1432" i="6"/>
  <c r="W1431" i="6"/>
  <c r="W1430" i="6"/>
  <c r="W1429" i="6"/>
  <c r="W1428" i="6"/>
  <c r="W1427" i="6"/>
  <c r="W1426" i="6"/>
  <c r="W1425" i="6"/>
  <c r="W1424" i="6"/>
  <c r="W1423" i="6"/>
  <c r="W1422" i="6"/>
  <c r="W1421" i="6"/>
  <c r="W1420" i="6"/>
  <c r="W1419" i="6"/>
  <c r="W1418" i="6"/>
  <c r="W1417" i="6"/>
  <c r="W1416" i="6"/>
  <c r="W1415" i="6"/>
  <c r="W1414" i="6"/>
  <c r="W1413" i="6"/>
  <c r="W1412" i="6"/>
  <c r="W1411" i="6"/>
  <c r="W1410" i="6"/>
  <c r="W1409" i="6"/>
  <c r="W1408" i="6"/>
  <c r="W1407" i="6"/>
  <c r="W1406" i="6"/>
  <c r="W1405" i="6"/>
  <c r="W1404" i="6"/>
  <c r="W1403" i="6"/>
  <c r="W1402" i="6"/>
  <c r="W1401" i="6"/>
  <c r="W1400" i="6"/>
  <c r="W1399" i="6"/>
  <c r="W1398" i="6"/>
  <c r="W1397" i="6"/>
  <c r="W1396" i="6"/>
  <c r="W1395" i="6"/>
  <c r="W1394" i="6"/>
  <c r="W1393" i="6"/>
  <c r="W1392" i="6"/>
  <c r="W1391" i="6"/>
  <c r="W1390" i="6"/>
  <c r="W1389" i="6"/>
  <c r="W1388" i="6"/>
  <c r="W1387" i="6"/>
  <c r="W1386" i="6"/>
  <c r="W1385" i="6"/>
  <c r="W1384" i="6"/>
  <c r="W1383" i="6"/>
  <c r="W1382" i="6"/>
  <c r="W1381" i="6"/>
  <c r="W1380" i="6"/>
  <c r="W1379" i="6"/>
  <c r="W1378" i="6"/>
  <c r="W1377" i="6"/>
  <c r="W1376" i="6"/>
  <c r="W1375" i="6"/>
  <c r="W1374" i="6"/>
  <c r="W1373" i="6"/>
  <c r="W1372" i="6"/>
  <c r="W1371" i="6"/>
  <c r="W1370" i="6"/>
  <c r="W1369" i="6"/>
  <c r="W1368" i="6"/>
  <c r="W1367" i="6"/>
  <c r="W1366" i="6"/>
  <c r="W1365" i="6"/>
  <c r="W1364" i="6"/>
  <c r="W1363" i="6"/>
  <c r="W1362" i="6"/>
  <c r="W1361" i="6"/>
  <c r="W1360" i="6"/>
  <c r="W1359" i="6"/>
  <c r="W1358" i="6"/>
  <c r="W1357" i="6"/>
  <c r="W1356" i="6"/>
  <c r="W1355" i="6"/>
  <c r="W1354" i="6"/>
  <c r="W1353" i="6"/>
  <c r="W1352" i="6"/>
  <c r="W1351" i="6"/>
  <c r="W1350" i="6"/>
  <c r="W1349" i="6"/>
  <c r="W1348" i="6"/>
  <c r="W1347" i="6"/>
  <c r="W1346" i="6"/>
  <c r="W1345" i="6"/>
  <c r="W1344" i="6"/>
  <c r="W1343" i="6"/>
  <c r="W1342" i="6"/>
  <c r="W1341" i="6"/>
  <c r="W1340" i="6"/>
  <c r="W1339" i="6"/>
  <c r="W1338" i="6"/>
  <c r="W1337" i="6"/>
  <c r="W1336" i="6"/>
  <c r="W1335" i="6"/>
  <c r="W1334" i="6"/>
  <c r="W1333" i="6"/>
  <c r="W1332" i="6"/>
  <c r="W1331" i="6"/>
  <c r="W1330" i="6"/>
  <c r="W1329" i="6"/>
  <c r="W1328" i="6"/>
  <c r="W1327" i="6"/>
  <c r="W1326" i="6"/>
  <c r="W1325" i="6"/>
  <c r="W1324" i="6"/>
  <c r="W1323" i="6"/>
  <c r="W1322" i="6"/>
  <c r="W1321" i="6"/>
  <c r="W1320" i="6"/>
  <c r="W1319" i="6"/>
  <c r="W1318" i="6"/>
  <c r="W1317" i="6"/>
  <c r="W1316" i="6"/>
  <c r="W1315" i="6"/>
  <c r="W1314" i="6"/>
  <c r="W1313" i="6"/>
  <c r="W1312" i="6"/>
  <c r="W1311" i="6"/>
  <c r="W1310" i="6"/>
  <c r="W1309" i="6"/>
  <c r="W1308" i="6"/>
  <c r="W1307" i="6"/>
  <c r="W1306" i="6"/>
  <c r="W1305" i="6"/>
  <c r="W1304" i="6"/>
  <c r="W1303" i="6"/>
  <c r="W1302" i="6"/>
  <c r="W1301" i="6"/>
  <c r="W1300" i="6"/>
  <c r="W1299" i="6"/>
  <c r="W1298" i="6"/>
  <c r="W1297" i="6"/>
  <c r="W1296" i="6"/>
  <c r="W1295" i="6"/>
  <c r="W1294" i="6"/>
  <c r="W1293" i="6"/>
  <c r="W1292" i="6"/>
  <c r="W1291" i="6"/>
  <c r="W1290" i="6"/>
  <c r="W1289" i="6"/>
  <c r="W1288" i="6"/>
  <c r="W1287" i="6"/>
  <c r="W1286" i="6"/>
  <c r="W1285" i="6"/>
  <c r="W1284" i="6"/>
  <c r="W1283" i="6"/>
  <c r="W1282" i="6"/>
  <c r="W1281" i="6"/>
  <c r="W1280" i="6"/>
  <c r="W1279" i="6"/>
  <c r="W1278" i="6"/>
  <c r="W1277" i="6"/>
  <c r="W1276" i="6"/>
  <c r="W1275" i="6"/>
  <c r="W1274" i="6"/>
  <c r="W1273" i="6"/>
  <c r="W1272" i="6"/>
  <c r="W1271" i="6"/>
  <c r="W1270" i="6"/>
  <c r="W1269" i="6"/>
  <c r="W1268" i="6"/>
  <c r="W1267" i="6"/>
  <c r="W1266" i="6"/>
  <c r="W1265" i="6"/>
  <c r="W1264" i="6"/>
  <c r="W1263" i="6"/>
  <c r="W1262" i="6"/>
  <c r="W1261" i="6"/>
  <c r="W1260" i="6"/>
  <c r="W1259" i="6"/>
  <c r="W1258" i="6"/>
  <c r="W1257" i="6"/>
  <c r="W1256" i="6"/>
  <c r="W1255" i="6"/>
  <c r="W1254" i="6"/>
  <c r="W1253" i="6"/>
  <c r="W1252" i="6"/>
  <c r="W1251" i="6"/>
  <c r="W1250" i="6"/>
  <c r="W1249" i="6"/>
  <c r="W1248" i="6"/>
  <c r="W1247" i="6"/>
  <c r="W1246" i="6"/>
  <c r="W1245" i="6"/>
  <c r="W1244" i="6"/>
  <c r="W1243" i="6"/>
  <c r="W1242" i="6"/>
  <c r="W1241" i="6"/>
  <c r="W1240" i="6"/>
  <c r="W1239" i="6"/>
  <c r="W1238" i="6"/>
  <c r="W1237" i="6"/>
  <c r="W1236" i="6"/>
  <c r="W1235" i="6"/>
  <c r="W1234" i="6"/>
  <c r="W1233" i="6"/>
  <c r="W1232" i="6"/>
  <c r="W1231" i="6"/>
  <c r="W1230" i="6"/>
  <c r="W1229" i="6"/>
  <c r="W1228" i="6"/>
  <c r="W1227" i="6"/>
  <c r="W1226" i="6"/>
  <c r="W1225" i="6"/>
  <c r="W1224" i="6"/>
  <c r="W1223" i="6"/>
  <c r="W1222" i="6"/>
  <c r="W1221" i="6"/>
  <c r="W1220" i="6"/>
  <c r="W1219" i="6"/>
  <c r="W1218" i="6"/>
  <c r="W1217" i="6"/>
  <c r="W1216" i="6"/>
  <c r="W1215" i="6"/>
  <c r="W1214" i="6"/>
  <c r="W1213" i="6"/>
  <c r="W1212" i="6"/>
  <c r="W1211" i="6"/>
  <c r="W1210" i="6"/>
  <c r="W1209" i="6"/>
  <c r="W1208" i="6"/>
  <c r="W1207" i="6"/>
  <c r="W1206" i="6"/>
  <c r="W1205" i="6"/>
  <c r="W1204" i="6"/>
  <c r="W1203" i="6"/>
  <c r="W1202" i="6"/>
  <c r="W1201" i="6"/>
  <c r="W1200" i="6"/>
  <c r="W1199" i="6"/>
  <c r="W1198" i="6"/>
  <c r="W1197" i="6"/>
  <c r="W1196" i="6"/>
  <c r="W1195" i="6"/>
  <c r="W1194" i="6"/>
  <c r="W1193" i="6"/>
  <c r="W1192" i="6"/>
  <c r="W1191" i="6"/>
  <c r="W1190" i="6"/>
  <c r="W1189" i="6"/>
  <c r="W1188" i="6"/>
  <c r="W1187" i="6"/>
  <c r="W1186" i="6"/>
  <c r="W1185" i="6"/>
  <c r="W1184" i="6"/>
  <c r="W1183" i="6"/>
  <c r="W1182" i="6"/>
  <c r="W1181" i="6"/>
  <c r="W1180" i="6"/>
  <c r="W1179" i="6"/>
  <c r="W1178" i="6"/>
  <c r="W1177" i="6"/>
  <c r="W1176" i="6"/>
  <c r="W1175" i="6"/>
  <c r="W1174" i="6"/>
  <c r="W1173" i="6"/>
  <c r="W1172" i="6"/>
  <c r="W1171" i="6"/>
  <c r="W1170" i="6"/>
  <c r="W1169" i="6"/>
  <c r="W1168" i="6"/>
  <c r="W1167" i="6"/>
  <c r="W1166" i="6"/>
  <c r="W1165" i="6"/>
  <c r="W1164" i="6"/>
  <c r="W1163" i="6"/>
  <c r="W1162" i="6"/>
  <c r="W1161" i="6"/>
  <c r="W1160" i="6"/>
  <c r="W1159" i="6"/>
  <c r="W1158" i="6"/>
  <c r="W1157" i="6"/>
  <c r="W1156" i="6"/>
  <c r="W1155" i="6"/>
  <c r="W1154" i="6"/>
  <c r="W1153" i="6"/>
  <c r="W1152" i="6"/>
  <c r="W1151" i="6"/>
  <c r="W1150" i="6"/>
  <c r="W1149" i="6"/>
  <c r="W1148" i="6"/>
  <c r="W1147" i="6"/>
  <c r="W1146" i="6"/>
  <c r="W1145" i="6"/>
  <c r="W1144" i="6"/>
  <c r="W1143" i="6"/>
  <c r="W1142" i="6"/>
  <c r="W1141" i="6"/>
  <c r="W1140" i="6"/>
  <c r="W1139" i="6"/>
  <c r="W1138" i="6"/>
  <c r="W1137" i="6"/>
  <c r="W1136" i="6"/>
  <c r="W1135" i="6"/>
  <c r="W1134" i="6"/>
  <c r="W1133" i="6"/>
  <c r="W1132" i="6"/>
  <c r="W1131" i="6"/>
  <c r="W1130" i="6"/>
  <c r="W1129" i="6"/>
  <c r="W1128" i="6"/>
  <c r="W1127" i="6"/>
  <c r="W1126" i="6"/>
  <c r="W1125" i="6"/>
  <c r="W1124" i="6"/>
  <c r="W1123" i="6"/>
  <c r="W1122" i="6"/>
  <c r="W1121" i="6"/>
  <c r="W1120" i="6"/>
  <c r="W1119" i="6"/>
  <c r="W1118" i="6"/>
  <c r="W1117" i="6"/>
  <c r="W1116" i="6"/>
  <c r="W1115" i="6"/>
  <c r="W1114" i="6"/>
  <c r="W1113" i="6"/>
  <c r="W1112" i="6"/>
  <c r="W1111" i="6"/>
  <c r="W1110" i="6"/>
  <c r="W1109" i="6"/>
  <c r="W1108" i="6"/>
  <c r="W1107" i="6"/>
  <c r="W1106" i="6"/>
  <c r="W1105" i="6"/>
  <c r="W1104" i="6"/>
  <c r="W1103" i="6"/>
  <c r="W1102" i="6"/>
  <c r="W1101" i="6"/>
  <c r="W1100" i="6"/>
  <c r="W1099" i="6"/>
  <c r="W1098" i="6"/>
  <c r="W1097" i="6"/>
  <c r="W1096" i="6"/>
  <c r="W1095" i="6"/>
  <c r="W1094" i="6"/>
  <c r="W1093" i="6"/>
  <c r="W1092" i="6"/>
  <c r="W1091" i="6"/>
  <c r="W1090" i="6"/>
  <c r="W1089" i="6"/>
  <c r="W1088" i="6"/>
  <c r="W1087" i="6"/>
  <c r="W1086" i="6"/>
  <c r="W1085" i="6"/>
  <c r="W1084" i="6"/>
  <c r="W1083" i="6"/>
  <c r="W1082" i="6"/>
  <c r="W1081" i="6"/>
  <c r="W1080" i="6"/>
  <c r="W1079" i="6"/>
  <c r="W1078" i="6"/>
  <c r="W1077" i="6"/>
  <c r="W1076" i="6"/>
  <c r="W1075" i="6"/>
  <c r="W1074" i="6"/>
  <c r="W1073" i="6"/>
  <c r="W1072" i="6"/>
  <c r="W1071" i="6"/>
  <c r="W1070" i="6"/>
  <c r="W1069" i="6"/>
  <c r="W1068" i="6"/>
  <c r="W1067" i="6"/>
  <c r="W1066" i="6"/>
  <c r="W1065" i="6"/>
  <c r="W1064" i="6"/>
  <c r="W1063" i="6"/>
  <c r="W1062" i="6"/>
  <c r="W1061" i="6"/>
  <c r="W1060" i="6"/>
  <c r="W1059" i="6"/>
  <c r="W1058" i="6"/>
  <c r="W1057" i="6"/>
  <c r="W1056" i="6"/>
  <c r="W1055" i="6"/>
  <c r="W1054" i="6"/>
  <c r="W1053" i="6"/>
  <c r="W1052" i="6"/>
  <c r="W1051" i="6"/>
  <c r="W1050" i="6"/>
  <c r="W1049" i="6"/>
  <c r="W1048" i="6"/>
  <c r="W1047" i="6"/>
  <c r="W1046" i="6"/>
  <c r="W1045" i="6"/>
  <c r="W1044" i="6"/>
  <c r="W1043" i="6"/>
  <c r="W1042" i="6"/>
  <c r="W1041" i="6"/>
  <c r="W1040" i="6"/>
  <c r="W1039" i="6"/>
  <c r="W1038" i="6"/>
  <c r="W1037" i="6"/>
  <c r="W1036" i="6"/>
  <c r="W1035" i="6"/>
  <c r="W1034" i="6"/>
  <c r="W1033" i="6"/>
  <c r="W1032" i="6"/>
  <c r="W1031" i="6"/>
  <c r="W1030" i="6"/>
  <c r="W1029" i="6"/>
  <c r="W1028" i="6"/>
  <c r="W1027" i="6"/>
  <c r="W1026" i="6"/>
  <c r="W1025" i="6"/>
  <c r="W1024" i="6"/>
  <c r="W1023" i="6"/>
  <c r="W1022" i="6"/>
  <c r="W1021" i="6"/>
  <c r="W1020" i="6"/>
  <c r="W1019" i="6"/>
  <c r="W1018" i="6"/>
  <c r="W1017" i="6"/>
  <c r="W1016" i="6"/>
  <c r="W1015" i="6"/>
  <c r="W1014" i="6"/>
  <c r="W1013" i="6"/>
  <c r="W1012" i="6"/>
  <c r="W1011" i="6"/>
  <c r="W1010" i="6"/>
  <c r="W1009" i="6"/>
  <c r="W1008" i="6"/>
  <c r="W1007" i="6"/>
  <c r="W1006" i="6"/>
  <c r="W1005" i="6"/>
  <c r="W1004" i="6"/>
  <c r="W1003" i="6"/>
  <c r="W1002" i="6"/>
  <c r="W1001" i="6"/>
  <c r="W1000" i="6"/>
  <c r="W999" i="6"/>
  <c r="W998" i="6"/>
  <c r="W997" i="6"/>
  <c r="W996" i="6"/>
  <c r="W995" i="6"/>
  <c r="W994" i="6"/>
  <c r="W993" i="6"/>
  <c r="W992" i="6"/>
  <c r="W991" i="6"/>
  <c r="W990" i="6"/>
  <c r="W989" i="6"/>
  <c r="W988" i="6"/>
  <c r="W987" i="6"/>
  <c r="W986" i="6"/>
  <c r="W985" i="6"/>
  <c r="W984" i="6"/>
  <c r="W983" i="6"/>
  <c r="W982" i="6"/>
  <c r="W981" i="6"/>
  <c r="W980" i="6"/>
  <c r="W979" i="6"/>
  <c r="W978" i="6"/>
  <c r="W977" i="6"/>
  <c r="W976" i="6"/>
  <c r="W975" i="6"/>
  <c r="W974" i="6"/>
  <c r="W973" i="6"/>
  <c r="W972" i="6"/>
  <c r="W971" i="6"/>
  <c r="W970" i="6"/>
  <c r="W969" i="6"/>
  <c r="W968" i="6"/>
  <c r="W967" i="6"/>
  <c r="W966" i="6"/>
  <c r="W965" i="6"/>
  <c r="W964" i="6"/>
  <c r="W963" i="6"/>
  <c r="W962" i="6"/>
  <c r="W961" i="6"/>
  <c r="W960" i="6"/>
  <c r="W959" i="6"/>
  <c r="W958" i="6"/>
  <c r="W957" i="6"/>
  <c r="W956" i="6"/>
  <c r="W955" i="6"/>
  <c r="W954" i="6"/>
  <c r="W953" i="6"/>
  <c r="W952" i="6"/>
  <c r="W951" i="6"/>
  <c r="W950" i="6"/>
  <c r="W949" i="6"/>
  <c r="W948" i="6"/>
  <c r="W947" i="6"/>
  <c r="W946" i="6"/>
  <c r="W945" i="6"/>
  <c r="W944" i="6"/>
  <c r="W943" i="6"/>
  <c r="W942" i="6"/>
  <c r="W941" i="6"/>
  <c r="W940" i="6"/>
  <c r="W939" i="6"/>
  <c r="W938" i="6"/>
  <c r="W937" i="6"/>
  <c r="W936" i="6"/>
  <c r="W935" i="6"/>
  <c r="W934" i="6"/>
  <c r="W933" i="6"/>
  <c r="W932" i="6"/>
  <c r="W931" i="6"/>
  <c r="W930" i="6"/>
  <c r="W929" i="6"/>
  <c r="W928" i="6"/>
  <c r="W927" i="6"/>
  <c r="W926" i="6"/>
  <c r="W925" i="6"/>
  <c r="W924" i="6"/>
  <c r="W923" i="6"/>
  <c r="W922" i="6"/>
  <c r="W921" i="6"/>
  <c r="W920" i="6"/>
  <c r="W919" i="6"/>
  <c r="W918" i="6"/>
  <c r="W917" i="6"/>
  <c r="W916" i="6"/>
  <c r="W915" i="6"/>
  <c r="W914" i="6"/>
  <c r="W913" i="6"/>
  <c r="W912" i="6"/>
  <c r="W911" i="6"/>
  <c r="W910" i="6"/>
  <c r="W909" i="6"/>
  <c r="W908" i="6"/>
  <c r="W907" i="6"/>
  <c r="W906" i="6"/>
  <c r="W905" i="6"/>
  <c r="W904" i="6"/>
  <c r="W903" i="6"/>
  <c r="W902" i="6"/>
  <c r="W901" i="6"/>
  <c r="W900" i="6"/>
  <c r="W899" i="6"/>
  <c r="W898" i="6"/>
  <c r="W897" i="6"/>
  <c r="W896" i="6"/>
  <c r="W895" i="6"/>
  <c r="W894" i="6"/>
  <c r="W893" i="6"/>
  <c r="W892" i="6"/>
  <c r="W891" i="6"/>
  <c r="W890" i="6"/>
  <c r="W889" i="6"/>
  <c r="W888" i="6"/>
  <c r="W887" i="6"/>
  <c r="W886" i="6"/>
  <c r="W885" i="6"/>
  <c r="W884" i="6"/>
  <c r="W883" i="6"/>
  <c r="W882" i="6"/>
  <c r="W881" i="6"/>
  <c r="W880" i="6"/>
  <c r="W879" i="6"/>
  <c r="W878" i="6"/>
  <c r="W877" i="6"/>
  <c r="W876" i="6"/>
  <c r="W875" i="6"/>
  <c r="W874" i="6"/>
  <c r="W873" i="6"/>
  <c r="W872" i="6"/>
  <c r="W871" i="6"/>
  <c r="W870" i="6"/>
  <c r="W869" i="6"/>
  <c r="W868" i="6"/>
  <c r="W867" i="6"/>
  <c r="W866" i="6"/>
  <c r="W865" i="6"/>
  <c r="W864" i="6"/>
  <c r="W863" i="6"/>
  <c r="W862" i="6"/>
  <c r="W861" i="6"/>
  <c r="W860" i="6"/>
  <c r="W859" i="6"/>
  <c r="W858" i="6"/>
  <c r="W857" i="6"/>
  <c r="W856" i="6"/>
  <c r="W855" i="6"/>
  <c r="W854" i="6"/>
  <c r="W853" i="6"/>
  <c r="W852" i="6"/>
  <c r="W851" i="6"/>
  <c r="W850" i="6"/>
  <c r="W849" i="6"/>
  <c r="W848" i="6"/>
  <c r="W847" i="6"/>
  <c r="W846" i="6"/>
  <c r="W845" i="6"/>
  <c r="W844" i="6"/>
  <c r="W843" i="6"/>
  <c r="W842" i="6"/>
  <c r="W841" i="6"/>
  <c r="W840" i="6"/>
  <c r="W839" i="6"/>
  <c r="W838" i="6"/>
  <c r="W837" i="6"/>
  <c r="W836" i="6"/>
  <c r="W835" i="6"/>
  <c r="W834" i="6"/>
  <c r="W833" i="6"/>
  <c r="W832" i="6"/>
  <c r="W831" i="6"/>
  <c r="W830" i="6"/>
  <c r="W829" i="6"/>
  <c r="W828" i="6"/>
  <c r="W827" i="6"/>
  <c r="W826" i="6"/>
  <c r="W825" i="6"/>
  <c r="W824" i="6"/>
  <c r="W823" i="6"/>
  <c r="W822" i="6"/>
  <c r="W821" i="6"/>
  <c r="W820" i="6"/>
  <c r="W819" i="6"/>
  <c r="W818" i="6"/>
  <c r="W817" i="6"/>
  <c r="W816" i="6"/>
  <c r="W815" i="6"/>
  <c r="W814" i="6"/>
  <c r="W813" i="6"/>
  <c r="W812" i="6"/>
  <c r="W811" i="6"/>
  <c r="W810" i="6"/>
  <c r="W809" i="6"/>
  <c r="W808" i="6"/>
  <c r="W807" i="6"/>
  <c r="W806" i="6"/>
  <c r="W805" i="6"/>
  <c r="W804" i="6"/>
  <c r="W803" i="6"/>
  <c r="W802" i="6"/>
  <c r="W801" i="6"/>
  <c r="W800" i="6"/>
  <c r="W799" i="6"/>
  <c r="W798" i="6"/>
  <c r="W797" i="6"/>
  <c r="W796" i="6"/>
  <c r="W795" i="6"/>
  <c r="W794" i="6"/>
  <c r="W793" i="6"/>
  <c r="W792" i="6"/>
  <c r="W791" i="6"/>
  <c r="W790" i="6"/>
  <c r="W789" i="6"/>
  <c r="W788" i="6"/>
  <c r="W787" i="6"/>
  <c r="W786" i="6"/>
  <c r="W785" i="6"/>
  <c r="W784" i="6"/>
  <c r="W783" i="6"/>
  <c r="W782" i="6"/>
  <c r="W781" i="6"/>
  <c r="W780" i="6"/>
  <c r="W779" i="6"/>
  <c r="W778" i="6"/>
  <c r="W777" i="6"/>
  <c r="W776" i="6"/>
  <c r="W775" i="6"/>
  <c r="W774" i="6"/>
  <c r="W773" i="6"/>
  <c r="W772" i="6"/>
  <c r="W771" i="6"/>
  <c r="W770" i="6"/>
  <c r="W769" i="6"/>
  <c r="W768" i="6"/>
  <c r="W767" i="6"/>
  <c r="W766" i="6"/>
  <c r="W765" i="6"/>
  <c r="W764" i="6"/>
  <c r="W763" i="6"/>
  <c r="W762" i="6"/>
  <c r="W761" i="6"/>
  <c r="W760" i="6"/>
  <c r="W759" i="6"/>
  <c r="W758" i="6"/>
  <c r="W757" i="6"/>
  <c r="W756" i="6"/>
  <c r="W755" i="6"/>
  <c r="W754" i="6"/>
  <c r="W753" i="6"/>
  <c r="W752" i="6"/>
  <c r="W751" i="6"/>
  <c r="W750" i="6"/>
  <c r="W749" i="6"/>
  <c r="W748" i="6"/>
  <c r="W747" i="6"/>
  <c r="W746" i="6"/>
  <c r="W745" i="6"/>
  <c r="W744" i="6"/>
  <c r="W743" i="6"/>
  <c r="W742" i="6"/>
  <c r="W741" i="6"/>
  <c r="W740" i="6"/>
  <c r="W739" i="6"/>
  <c r="W738" i="6"/>
  <c r="W737" i="6"/>
  <c r="W736" i="6"/>
  <c r="W735" i="6"/>
  <c r="W734" i="6"/>
  <c r="W733" i="6"/>
  <c r="W732" i="6"/>
  <c r="W731" i="6"/>
  <c r="W730" i="6"/>
  <c r="W729" i="6"/>
  <c r="W728" i="6"/>
  <c r="W727" i="6"/>
  <c r="W726" i="6"/>
  <c r="W725" i="6"/>
  <c r="W724" i="6"/>
  <c r="W723" i="6"/>
  <c r="W722" i="6"/>
  <c r="W721" i="6"/>
  <c r="W720" i="6"/>
  <c r="W719" i="6"/>
  <c r="W718" i="6"/>
  <c r="W717" i="6"/>
  <c r="W716" i="6"/>
  <c r="W715" i="6"/>
  <c r="W714" i="6"/>
  <c r="W713" i="6"/>
  <c r="W712" i="6"/>
  <c r="W711" i="6"/>
  <c r="W710" i="6"/>
  <c r="W709" i="6"/>
  <c r="W708" i="6"/>
  <c r="W707" i="6"/>
  <c r="W706" i="6"/>
  <c r="W705" i="6"/>
  <c r="W704" i="6"/>
  <c r="W703" i="6"/>
  <c r="W702" i="6"/>
  <c r="W701" i="6"/>
  <c r="W700" i="6"/>
  <c r="W699" i="6"/>
  <c r="W698" i="6"/>
  <c r="W697" i="6"/>
  <c r="W696" i="6"/>
  <c r="W695" i="6"/>
  <c r="W694" i="6"/>
  <c r="W693" i="6"/>
  <c r="W692" i="6"/>
  <c r="W691" i="6"/>
  <c r="W690" i="6"/>
  <c r="W689" i="6"/>
  <c r="W688" i="6"/>
  <c r="W687" i="6"/>
  <c r="W686" i="6"/>
  <c r="W685" i="6"/>
  <c r="W684" i="6"/>
  <c r="W683" i="6"/>
  <c r="W682" i="6"/>
  <c r="W681" i="6"/>
  <c r="W680" i="6"/>
  <c r="W679" i="6"/>
  <c r="W678" i="6"/>
  <c r="W677" i="6"/>
  <c r="W676" i="6"/>
  <c r="W675" i="6"/>
  <c r="W674" i="6"/>
  <c r="W673" i="6"/>
  <c r="W672" i="6"/>
  <c r="W671" i="6"/>
  <c r="W670" i="6"/>
  <c r="W669" i="6"/>
  <c r="W668" i="6"/>
  <c r="W667" i="6"/>
  <c r="W666" i="6"/>
  <c r="W665" i="6"/>
  <c r="W664" i="6"/>
  <c r="W663" i="6"/>
  <c r="W662" i="6"/>
  <c r="W661" i="6"/>
  <c r="W660" i="6"/>
  <c r="W659" i="6"/>
  <c r="W658" i="6"/>
  <c r="W657" i="6"/>
  <c r="W656" i="6"/>
  <c r="W655" i="6"/>
  <c r="W654" i="6"/>
  <c r="W653" i="6"/>
  <c r="W652" i="6"/>
  <c r="W651" i="6"/>
  <c r="W650" i="6"/>
  <c r="W649" i="6"/>
  <c r="W648" i="6"/>
  <c r="W647" i="6"/>
  <c r="W646" i="6"/>
  <c r="W645" i="6"/>
  <c r="W644" i="6"/>
  <c r="W643" i="6"/>
  <c r="W642" i="6"/>
  <c r="W641" i="6"/>
  <c r="W640" i="6"/>
  <c r="W639" i="6"/>
  <c r="W638" i="6"/>
  <c r="W637" i="6"/>
  <c r="W636" i="6"/>
  <c r="W635" i="6"/>
  <c r="W634" i="6"/>
  <c r="W633" i="6"/>
  <c r="W632" i="6"/>
  <c r="W631" i="6"/>
  <c r="W630" i="6"/>
  <c r="W629" i="6"/>
  <c r="W628" i="6"/>
  <c r="W627" i="6"/>
  <c r="W626" i="6"/>
  <c r="W625" i="6"/>
  <c r="W624" i="6"/>
  <c r="W623" i="6"/>
  <c r="W622" i="6"/>
  <c r="W621" i="6"/>
  <c r="W620" i="6"/>
  <c r="W619" i="6"/>
  <c r="W618" i="6"/>
  <c r="W617" i="6"/>
  <c r="W616" i="6"/>
  <c r="W615" i="6"/>
  <c r="W614" i="6"/>
  <c r="W613" i="6"/>
  <c r="W612" i="6"/>
  <c r="W611" i="6"/>
  <c r="W610" i="6"/>
  <c r="W609" i="6"/>
  <c r="W608" i="6"/>
  <c r="W607" i="6"/>
  <c r="W606" i="6"/>
  <c r="W605" i="6"/>
  <c r="W604" i="6"/>
  <c r="W603" i="6"/>
  <c r="W602" i="6"/>
  <c r="W601" i="6"/>
  <c r="W600" i="6"/>
  <c r="W599" i="6"/>
  <c r="W598" i="6"/>
  <c r="W597" i="6"/>
  <c r="W596" i="6"/>
  <c r="W595" i="6"/>
  <c r="W594" i="6"/>
  <c r="W593" i="6"/>
  <c r="W592" i="6"/>
  <c r="W591" i="6"/>
  <c r="W590" i="6"/>
  <c r="W589" i="6"/>
  <c r="W588" i="6"/>
  <c r="W587" i="6"/>
  <c r="W586" i="6"/>
  <c r="W585" i="6"/>
  <c r="W584" i="6"/>
  <c r="W583" i="6"/>
  <c r="W582" i="6"/>
  <c r="W581" i="6"/>
  <c r="W580" i="6"/>
  <c r="W579" i="6"/>
  <c r="W578" i="6"/>
  <c r="W577" i="6"/>
  <c r="W576" i="6"/>
  <c r="W575" i="6"/>
  <c r="W574" i="6"/>
  <c r="W573" i="6"/>
  <c r="W572" i="6"/>
  <c r="W571" i="6"/>
  <c r="W570" i="6"/>
  <c r="W569" i="6"/>
  <c r="W568" i="6"/>
  <c r="W567" i="6"/>
  <c r="W566" i="6"/>
  <c r="W565" i="6"/>
  <c r="W564" i="6"/>
  <c r="W563" i="6"/>
  <c r="W562" i="6"/>
  <c r="W561" i="6"/>
  <c r="W560" i="6"/>
  <c r="W559" i="6"/>
  <c r="W558" i="6"/>
  <c r="W557" i="6"/>
  <c r="W556" i="6"/>
  <c r="W555" i="6"/>
  <c r="W554" i="6"/>
  <c r="W553" i="6"/>
  <c r="W552" i="6"/>
  <c r="W551" i="6"/>
  <c r="W550" i="6"/>
  <c r="W549" i="6"/>
  <c r="W548" i="6"/>
  <c r="W547" i="6"/>
  <c r="W546" i="6"/>
  <c r="W545" i="6"/>
  <c r="W544" i="6"/>
  <c r="W543" i="6"/>
  <c r="W542" i="6"/>
  <c r="W541" i="6"/>
  <c r="W540" i="6"/>
  <c r="W539" i="6"/>
  <c r="W538" i="6"/>
  <c r="W537" i="6"/>
  <c r="W536" i="6"/>
  <c r="W535" i="6"/>
  <c r="W534" i="6"/>
  <c r="W533" i="6"/>
  <c r="W532" i="6"/>
  <c r="W531" i="6"/>
  <c r="W530" i="6"/>
  <c r="W529" i="6"/>
  <c r="W528" i="6"/>
  <c r="W527" i="6"/>
  <c r="W526" i="6"/>
  <c r="W525" i="6"/>
  <c r="W524" i="6"/>
  <c r="W523" i="6"/>
  <c r="W522" i="6"/>
  <c r="W521" i="6"/>
  <c r="W520" i="6"/>
  <c r="W519" i="6"/>
  <c r="W518" i="6"/>
  <c r="W517" i="6"/>
  <c r="W516" i="6"/>
  <c r="W515" i="6"/>
  <c r="W514" i="6"/>
  <c r="W513" i="6"/>
  <c r="W512" i="6"/>
  <c r="W511" i="6"/>
  <c r="W510" i="6"/>
  <c r="W509" i="6"/>
  <c r="W508" i="6"/>
  <c r="W507" i="6"/>
  <c r="W506" i="6"/>
  <c r="W505" i="6"/>
  <c r="W504" i="6"/>
  <c r="W503" i="6"/>
  <c r="W502" i="6"/>
  <c r="W501" i="6"/>
  <c r="W500" i="6"/>
  <c r="W499" i="6"/>
  <c r="W498" i="6"/>
  <c r="W497" i="6"/>
  <c r="W496" i="6"/>
  <c r="W495" i="6"/>
  <c r="W494" i="6"/>
  <c r="W493" i="6"/>
  <c r="W492" i="6"/>
  <c r="W491" i="6"/>
  <c r="W490" i="6"/>
  <c r="W489" i="6"/>
  <c r="W488" i="6"/>
  <c r="W487" i="6"/>
  <c r="W486" i="6"/>
  <c r="W485" i="6"/>
  <c r="W484" i="6"/>
  <c r="W483" i="6"/>
  <c r="W482" i="6"/>
  <c r="W481" i="6"/>
  <c r="W480" i="6"/>
  <c r="W479" i="6"/>
  <c r="W478" i="6"/>
  <c r="W477" i="6"/>
  <c r="W476" i="6"/>
  <c r="W475" i="6"/>
  <c r="W474" i="6"/>
  <c r="W473" i="6"/>
  <c r="W472" i="6"/>
  <c r="W471" i="6"/>
  <c r="W470" i="6"/>
  <c r="W469" i="6"/>
  <c r="W468" i="6"/>
  <c r="W467" i="6"/>
  <c r="W466" i="6"/>
  <c r="W465" i="6"/>
  <c r="W464" i="6"/>
  <c r="W463" i="6"/>
  <c r="W462" i="6"/>
  <c r="W461" i="6"/>
  <c r="W460" i="6"/>
  <c r="W459" i="6"/>
  <c r="W458" i="6"/>
  <c r="W457" i="6"/>
  <c r="W456" i="6"/>
  <c r="W455" i="6"/>
  <c r="W454" i="6"/>
  <c r="W453" i="6"/>
  <c r="W452" i="6"/>
  <c r="W451" i="6"/>
  <c r="W450" i="6"/>
  <c r="W449" i="6"/>
  <c r="W448" i="6"/>
  <c r="W447" i="6"/>
  <c r="W446" i="6"/>
  <c r="W445" i="6"/>
  <c r="W444" i="6"/>
  <c r="W443" i="6"/>
  <c r="W442" i="6"/>
  <c r="W441" i="6"/>
  <c r="W440" i="6"/>
  <c r="W439" i="6"/>
  <c r="W438" i="6"/>
  <c r="W437" i="6"/>
  <c r="W436" i="6"/>
  <c r="W435" i="6"/>
  <c r="W434" i="6"/>
  <c r="W433" i="6"/>
  <c r="W432" i="6"/>
  <c r="W431" i="6"/>
  <c r="W430" i="6"/>
  <c r="W429" i="6"/>
  <c r="W428" i="6"/>
  <c r="W427" i="6"/>
  <c r="W426" i="6"/>
  <c r="W425" i="6"/>
  <c r="W424" i="6"/>
  <c r="W423" i="6"/>
  <c r="W422" i="6"/>
  <c r="W421" i="6"/>
  <c r="W420" i="6"/>
  <c r="W419" i="6"/>
  <c r="W418" i="6"/>
  <c r="W417" i="6"/>
  <c r="W416" i="6"/>
  <c r="W415" i="6"/>
  <c r="W414" i="6"/>
  <c r="W413" i="6"/>
  <c r="W412" i="6"/>
  <c r="W411" i="6"/>
  <c r="W410" i="6"/>
  <c r="W409" i="6"/>
  <c r="W408" i="6"/>
  <c r="W407" i="6"/>
  <c r="W406" i="6"/>
  <c r="W405" i="6"/>
  <c r="W404" i="6"/>
  <c r="W403" i="6"/>
  <c r="W402" i="6"/>
  <c r="W401" i="6"/>
  <c r="W400" i="6"/>
  <c r="W399" i="6"/>
  <c r="W398" i="6"/>
  <c r="W397" i="6"/>
  <c r="W396" i="6"/>
  <c r="W395" i="6"/>
  <c r="W394" i="6"/>
  <c r="W393" i="6"/>
  <c r="W392" i="6"/>
  <c r="W391" i="6"/>
  <c r="W390" i="6"/>
  <c r="W389" i="6"/>
  <c r="W388" i="6"/>
  <c r="W387" i="6"/>
  <c r="W386" i="6"/>
  <c r="W385" i="6"/>
  <c r="W384" i="6"/>
  <c r="W383" i="6"/>
  <c r="W382" i="6"/>
  <c r="W381" i="6"/>
  <c r="W380" i="6"/>
  <c r="W379" i="6"/>
  <c r="W378" i="6"/>
  <c r="W377" i="6"/>
  <c r="W376" i="6"/>
  <c r="W375" i="6"/>
  <c r="W374" i="6"/>
  <c r="W373" i="6"/>
  <c r="W372" i="6"/>
  <c r="W371" i="6"/>
  <c r="W370" i="6"/>
  <c r="W369" i="6"/>
  <c r="W368" i="6"/>
  <c r="W367" i="6"/>
  <c r="W366" i="6"/>
  <c r="W365" i="6"/>
  <c r="W364" i="6"/>
  <c r="W363" i="6"/>
  <c r="W362" i="6"/>
  <c r="W361" i="6"/>
  <c r="W360" i="6"/>
  <c r="W359" i="6"/>
  <c r="W358" i="6"/>
  <c r="W357" i="6"/>
  <c r="W356" i="6"/>
  <c r="W355" i="6"/>
  <c r="W354" i="6"/>
  <c r="W353" i="6"/>
  <c r="W352" i="6"/>
  <c r="W351" i="6"/>
  <c r="W350" i="6"/>
  <c r="W349" i="6"/>
  <c r="W348" i="6"/>
  <c r="W347" i="6"/>
  <c r="W346" i="6"/>
  <c r="W345" i="6"/>
  <c r="W344" i="6"/>
  <c r="W343" i="6"/>
  <c r="W342" i="6"/>
  <c r="W341" i="6"/>
  <c r="W340" i="6"/>
  <c r="W339" i="6"/>
  <c r="W338" i="6"/>
  <c r="W337" i="6"/>
  <c r="W336" i="6"/>
  <c r="W335" i="6"/>
  <c r="W334" i="6"/>
  <c r="W333" i="6"/>
  <c r="W332" i="6"/>
  <c r="W331" i="6"/>
  <c r="W330" i="6"/>
  <c r="W329" i="6"/>
  <c r="W328" i="6"/>
  <c r="W327" i="6"/>
  <c r="W326" i="6"/>
  <c r="W325" i="6"/>
  <c r="W324" i="6"/>
  <c r="W323" i="6"/>
  <c r="W322" i="6"/>
  <c r="W321" i="6"/>
  <c r="W320" i="6"/>
  <c r="W319" i="6"/>
  <c r="W318" i="6"/>
  <c r="W317" i="6"/>
  <c r="W316" i="6"/>
  <c r="W315" i="6"/>
  <c r="W314" i="6"/>
  <c r="W313" i="6"/>
  <c r="W312" i="6"/>
  <c r="W311" i="6"/>
  <c r="W310" i="6"/>
  <c r="W309" i="6"/>
  <c r="W308" i="6"/>
  <c r="W307" i="6"/>
  <c r="W306" i="6"/>
  <c r="W305" i="6"/>
  <c r="W304" i="6"/>
  <c r="W303" i="6"/>
  <c r="W302" i="6"/>
  <c r="W301" i="6"/>
  <c r="W300" i="6"/>
  <c r="W299" i="6"/>
  <c r="W298" i="6"/>
  <c r="W297" i="6"/>
  <c r="W296" i="6"/>
  <c r="W295" i="6"/>
  <c r="W294" i="6"/>
  <c r="W293" i="6"/>
  <c r="W292" i="6"/>
  <c r="W291" i="6"/>
  <c r="W290" i="6"/>
  <c r="W289" i="6"/>
  <c r="W288" i="6"/>
  <c r="W287" i="6"/>
  <c r="W286" i="6"/>
  <c r="W285" i="6"/>
  <c r="W284" i="6"/>
  <c r="W283" i="6"/>
  <c r="W282" i="6"/>
  <c r="W281" i="6"/>
  <c r="W280" i="6"/>
  <c r="W279" i="6"/>
  <c r="W278" i="6"/>
  <c r="W277" i="6"/>
  <c r="W276" i="6"/>
  <c r="W275" i="6"/>
  <c r="W274" i="6"/>
  <c r="W273" i="6"/>
  <c r="W272" i="6"/>
  <c r="W271" i="6"/>
  <c r="W270" i="6"/>
  <c r="W269" i="6"/>
  <c r="W268" i="6"/>
  <c r="W267" i="6"/>
  <c r="W266" i="6"/>
  <c r="W265" i="6"/>
  <c r="W264" i="6"/>
  <c r="W263" i="6"/>
  <c r="W262" i="6"/>
  <c r="W261" i="6"/>
  <c r="W260" i="6"/>
  <c r="W259" i="6"/>
  <c r="W258" i="6"/>
  <c r="W257" i="6"/>
  <c r="W256" i="6"/>
  <c r="W255" i="6"/>
  <c r="W254" i="6"/>
  <c r="W253" i="6"/>
  <c r="W252" i="6"/>
  <c r="W251" i="6"/>
  <c r="W250" i="6"/>
  <c r="W249" i="6"/>
  <c r="W248" i="6"/>
  <c r="W247" i="6"/>
  <c r="W246" i="6"/>
  <c r="W245" i="6"/>
  <c r="W244" i="6"/>
  <c r="W243" i="6"/>
  <c r="W242" i="6"/>
  <c r="W241" i="6"/>
  <c r="W240" i="6"/>
  <c r="W239" i="6"/>
  <c r="W238" i="6"/>
  <c r="W237" i="6"/>
  <c r="W236" i="6"/>
  <c r="W235" i="6"/>
  <c r="W234" i="6"/>
  <c r="W233" i="6"/>
  <c r="W232" i="6"/>
  <c r="W231" i="6"/>
  <c r="W230" i="6"/>
  <c r="W229" i="6"/>
  <c r="W228" i="6"/>
  <c r="W227" i="6"/>
  <c r="W226" i="6"/>
  <c r="W225" i="6"/>
  <c r="W224" i="6"/>
  <c r="W223" i="6"/>
  <c r="W222" i="6"/>
  <c r="W221" i="6"/>
  <c r="W220" i="6"/>
  <c r="W219" i="6"/>
  <c r="W218" i="6"/>
  <c r="W217" i="6"/>
  <c r="W216" i="6"/>
  <c r="W215" i="6"/>
  <c r="W214" i="6"/>
  <c r="W213" i="6"/>
  <c r="W212" i="6"/>
  <c r="W211" i="6"/>
  <c r="W210" i="6"/>
  <c r="W209" i="6"/>
  <c r="W208" i="6"/>
  <c r="W207" i="6"/>
  <c r="W206" i="6"/>
  <c r="W205" i="6"/>
  <c r="W204" i="6"/>
  <c r="W203" i="6"/>
  <c r="W202" i="6"/>
  <c r="W201" i="6"/>
  <c r="W200" i="6"/>
  <c r="W199" i="6"/>
  <c r="W198" i="6"/>
  <c r="W197" i="6"/>
  <c r="W196" i="6"/>
  <c r="W195" i="6"/>
  <c r="W194" i="6"/>
  <c r="W193" i="6"/>
  <c r="W192" i="6"/>
  <c r="W191" i="6"/>
  <c r="W190" i="6"/>
  <c r="W189" i="6"/>
  <c r="W188" i="6"/>
  <c r="W187" i="6"/>
  <c r="W186" i="6"/>
  <c r="W185" i="6"/>
  <c r="W184" i="6"/>
  <c r="W183" i="6"/>
  <c r="W182" i="6"/>
  <c r="W181" i="6"/>
  <c r="W180" i="6"/>
  <c r="W179" i="6"/>
  <c r="W178" i="6"/>
  <c r="W177" i="6"/>
  <c r="W176" i="6"/>
  <c r="W175" i="6"/>
  <c r="W174" i="6"/>
  <c r="W173" i="6"/>
  <c r="W172" i="6"/>
  <c r="W171" i="6"/>
  <c r="W170" i="6"/>
  <c r="W169" i="6"/>
  <c r="W168" i="6"/>
  <c r="W167" i="6"/>
  <c r="W166" i="6"/>
  <c r="W165" i="6"/>
  <c r="W164" i="6"/>
  <c r="W163" i="6"/>
  <c r="W162" i="6"/>
  <c r="W161" i="6"/>
  <c r="W160" i="6"/>
  <c r="W159" i="6"/>
  <c r="W158" i="6"/>
  <c r="W157" i="6"/>
  <c r="W156" i="6"/>
  <c r="W155" i="6"/>
  <c r="W154" i="6"/>
  <c r="W153" i="6"/>
  <c r="W152" i="6"/>
  <c r="W151" i="6"/>
  <c r="W150" i="6"/>
  <c r="W149" i="6"/>
  <c r="W148" i="6"/>
  <c r="W147" i="6"/>
  <c r="W146" i="6"/>
  <c r="W145" i="6"/>
  <c r="W144" i="6"/>
  <c r="W143" i="6"/>
  <c r="W142" i="6"/>
  <c r="W141" i="6"/>
  <c r="W140" i="6"/>
  <c r="W139" i="6"/>
  <c r="W138" i="6"/>
  <c r="W137" i="6"/>
  <c r="W136" i="6"/>
  <c r="W135" i="6"/>
  <c r="W134" i="6"/>
  <c r="W133" i="6"/>
  <c r="W132" i="6"/>
  <c r="W131" i="6"/>
  <c r="W130" i="6"/>
  <c r="W129" i="6"/>
  <c r="W128" i="6"/>
  <c r="W127" i="6"/>
  <c r="W126" i="6"/>
  <c r="W125" i="6"/>
  <c r="W124" i="6"/>
  <c r="W123" i="6"/>
  <c r="W122" i="6"/>
  <c r="W121" i="6"/>
  <c r="W120" i="6"/>
  <c r="W119" i="6"/>
  <c r="W118" i="6"/>
  <c r="W117" i="6"/>
  <c r="W116" i="6"/>
  <c r="W115" i="6"/>
  <c r="W114" i="6"/>
  <c r="W113" i="6"/>
  <c r="W112" i="6"/>
  <c r="W111" i="6"/>
  <c r="W110" i="6"/>
  <c r="W109" i="6"/>
  <c r="W108" i="6"/>
  <c r="W107" i="6"/>
  <c r="W106" i="6"/>
  <c r="W105" i="6"/>
  <c r="W104" i="6"/>
  <c r="W103" i="6"/>
  <c r="W102" i="6"/>
  <c r="W101" i="6"/>
  <c r="W100" i="6"/>
  <c r="W99" i="6"/>
  <c r="W98" i="6"/>
  <c r="W97" i="6"/>
  <c r="W96" i="6"/>
  <c r="W95" i="6"/>
  <c r="W94" i="6"/>
  <c r="W93" i="6"/>
  <c r="W92" i="6"/>
  <c r="W91" i="6"/>
  <c r="W90" i="6"/>
  <c r="W89" i="6"/>
  <c r="W88" i="6"/>
  <c r="W87" i="6"/>
  <c r="W86" i="6"/>
  <c r="W85" i="6"/>
  <c r="W84" i="6"/>
  <c r="W83" i="6"/>
  <c r="W82" i="6"/>
  <c r="W81" i="6"/>
  <c r="W80" i="6"/>
  <c r="W79" i="6"/>
  <c r="W78" i="6"/>
  <c r="W77" i="6"/>
  <c r="W76" i="6"/>
  <c r="W75" i="6"/>
  <c r="W74" i="6"/>
  <c r="W73" i="6"/>
  <c r="W72" i="6"/>
  <c r="W71" i="6"/>
  <c r="W70" i="6"/>
  <c r="W69" i="6"/>
  <c r="W68" i="6"/>
  <c r="W67" i="6"/>
  <c r="W66" i="6"/>
  <c r="W65" i="6"/>
  <c r="W64" i="6"/>
  <c r="W63" i="6"/>
  <c r="W62" i="6"/>
  <c r="W61" i="6"/>
  <c r="W60" i="6"/>
  <c r="W59" i="6"/>
  <c r="W58" i="6"/>
  <c r="W57" i="6"/>
  <c r="W56" i="6"/>
  <c r="W55" i="6"/>
  <c r="W54" i="6"/>
  <c r="W53" i="6"/>
  <c r="W52" i="6"/>
  <c r="W51" i="6"/>
  <c r="W50" i="6"/>
  <c r="W49" i="6"/>
  <c r="W48" i="6"/>
  <c r="W47" i="6"/>
  <c r="W46" i="6"/>
  <c r="W45" i="6"/>
  <c r="W44" i="6"/>
  <c r="W43" i="6"/>
  <c r="W42" i="6"/>
  <c r="W41" i="6"/>
  <c r="W40" i="6"/>
  <c r="W39" i="6"/>
  <c r="W38" i="6"/>
  <c r="W37" i="6"/>
  <c r="W36" i="6"/>
  <c r="W35" i="6"/>
  <c r="W34" i="6"/>
  <c r="W33" i="6"/>
  <c r="W32" i="6"/>
  <c r="W31" i="6"/>
  <c r="W30" i="6"/>
  <c r="W29" i="6"/>
  <c r="W28" i="6"/>
  <c r="W27" i="6"/>
  <c r="W26" i="6"/>
  <c r="W25" i="6"/>
  <c r="W24" i="6"/>
  <c r="W23" i="6"/>
  <c r="W22" i="6"/>
  <c r="W21" i="6"/>
  <c r="W20" i="6"/>
  <c r="W19" i="6"/>
  <c r="W18" i="6"/>
  <c r="W17" i="6"/>
  <c r="W16" i="6"/>
  <c r="W15" i="6"/>
  <c r="W14" i="6"/>
  <c r="W13" i="6"/>
  <c r="W12" i="6"/>
  <c r="W11" i="6"/>
  <c r="W10" i="6"/>
  <c r="W9" i="6"/>
  <c r="W8" i="6"/>
  <c r="W7" i="6"/>
  <c r="W5" i="6"/>
  <c r="W4" i="6"/>
  <c r="W3" i="6"/>
  <c r="W2" i="6"/>
  <c r="K1" i="11"/>
  <c r="H1" i="11"/>
  <c r="E1" i="11"/>
  <c r="B1" i="11"/>
  <c r="D746" i="8"/>
  <c r="D745" i="8"/>
  <c r="D740" i="8"/>
  <c r="D739" i="8"/>
  <c r="D738" i="8"/>
  <c r="D737" i="8"/>
  <c r="D524" i="8"/>
  <c r="D523" i="8"/>
  <c r="D522" i="8"/>
  <c r="D521" i="8"/>
  <c r="D668" i="8"/>
  <c r="D667" i="8"/>
  <c r="D666" i="8"/>
  <c r="D520" i="8"/>
  <c r="D519" i="8"/>
  <c r="D238" i="8"/>
  <c r="D237" i="8"/>
  <c r="D236" i="8"/>
  <c r="D235" i="8"/>
  <c r="D234" i="8"/>
  <c r="D233" i="8"/>
  <c r="D232" i="8"/>
  <c r="D231" i="8"/>
  <c r="D230" i="8"/>
  <c r="D229" i="8"/>
  <c r="D228" i="8"/>
  <c r="D227" i="8"/>
  <c r="D518" i="8"/>
  <c r="D517" i="8"/>
  <c r="D226" i="8"/>
  <c r="D516" i="8"/>
  <c r="D515" i="8"/>
  <c r="D225" i="8"/>
  <c r="D224" i="8"/>
  <c r="D223" i="8"/>
  <c r="D222" i="8"/>
  <c r="D221" i="8"/>
  <c r="D220" i="8"/>
  <c r="D219" i="8"/>
  <c r="D514" i="8"/>
  <c r="D513" i="8"/>
  <c r="D512" i="8"/>
  <c r="D511" i="8"/>
  <c r="D510" i="8"/>
  <c r="D509" i="8"/>
  <c r="D508" i="8"/>
  <c r="D507" i="8"/>
  <c r="D506" i="8"/>
  <c r="D505" i="8"/>
  <c r="D504" i="8"/>
  <c r="D503" i="8"/>
  <c r="D502" i="8"/>
  <c r="D501" i="8"/>
  <c r="D218" i="8"/>
  <c r="D217" i="8"/>
  <c r="D216" i="8"/>
  <c r="D215" i="8"/>
  <c r="D500" i="8"/>
  <c r="D499" i="8"/>
  <c r="D665" i="8"/>
  <c r="D664" i="8"/>
  <c r="D663" i="8"/>
  <c r="D498" i="8"/>
  <c r="D497" i="8"/>
  <c r="D214" i="8"/>
  <c r="D662" i="8"/>
  <c r="D661" i="8"/>
  <c r="D660" i="8"/>
  <c r="D496" i="8"/>
  <c r="D495" i="8"/>
  <c r="D494" i="8"/>
  <c r="D493" i="8"/>
  <c r="D213" i="8"/>
  <c r="D212" i="8"/>
  <c r="D211" i="8"/>
  <c r="D210" i="8"/>
  <c r="D209" i="8"/>
  <c r="D208" i="8"/>
  <c r="D207" i="8"/>
  <c r="D206" i="8"/>
  <c r="D205" i="8"/>
  <c r="D204" i="8"/>
  <c r="D203" i="8"/>
  <c r="D202" i="8"/>
  <c r="D492" i="8"/>
  <c r="D491" i="8"/>
  <c r="D201" i="8"/>
  <c r="D490" i="8"/>
  <c r="D489" i="8"/>
  <c r="D488" i="8"/>
  <c r="D487" i="8"/>
  <c r="D200" i="8"/>
  <c r="D486" i="8"/>
  <c r="D485" i="8"/>
  <c r="D659" i="8"/>
  <c r="D658" i="8"/>
  <c r="D657" i="8"/>
  <c r="D656" i="8"/>
  <c r="D655" i="8"/>
  <c r="D654" i="8"/>
  <c r="D484" i="8"/>
  <c r="D483" i="8"/>
  <c r="D199" i="8"/>
  <c r="D482" i="8"/>
  <c r="D481" i="8"/>
  <c r="D198" i="8"/>
  <c r="D480" i="8"/>
  <c r="D479" i="8"/>
  <c r="D197" i="8"/>
  <c r="D196" i="8"/>
  <c r="D195" i="8"/>
  <c r="D194" i="8"/>
  <c r="D193" i="8"/>
  <c r="D192" i="8"/>
  <c r="D653" i="8"/>
  <c r="D652" i="8"/>
  <c r="D651" i="8"/>
  <c r="D650" i="8"/>
  <c r="D649" i="8"/>
  <c r="D648" i="8"/>
  <c r="D191" i="8"/>
  <c r="D190" i="8"/>
  <c r="D647" i="8"/>
  <c r="D646" i="8"/>
  <c r="D645" i="8"/>
  <c r="D478" i="8"/>
  <c r="D477" i="8"/>
  <c r="D189" i="8"/>
  <c r="D476" i="8"/>
  <c r="D475" i="8"/>
  <c r="D474" i="8"/>
  <c r="D473" i="8"/>
  <c r="D188" i="8"/>
  <c r="D187" i="8"/>
  <c r="D186" i="8"/>
  <c r="D185" i="8"/>
  <c r="D184" i="8"/>
  <c r="D472" i="8"/>
  <c r="D471" i="8"/>
  <c r="D470" i="8"/>
  <c r="D469" i="8"/>
  <c r="D183" i="8"/>
  <c r="D468" i="8"/>
  <c r="D467" i="8"/>
  <c r="D182" i="8"/>
  <c r="D466" i="8"/>
  <c r="D465" i="8"/>
  <c r="D464" i="8"/>
  <c r="D463" i="8"/>
  <c r="D462" i="8"/>
  <c r="D461" i="8"/>
  <c r="D460" i="8"/>
  <c r="D459" i="8"/>
  <c r="D458" i="8"/>
  <c r="D457" i="8"/>
  <c r="D181" i="8"/>
  <c r="D180" i="8"/>
  <c r="D456" i="8"/>
  <c r="D455" i="8"/>
  <c r="D454" i="8"/>
  <c r="D453" i="8"/>
  <c r="D179" i="8"/>
  <c r="D178" i="8"/>
  <c r="D452" i="8"/>
  <c r="D451" i="8"/>
  <c r="D450" i="8"/>
  <c r="D449" i="8"/>
  <c r="D177" i="8"/>
  <c r="D448" i="8"/>
  <c r="D447" i="8"/>
  <c r="D176" i="8"/>
  <c r="D446" i="8"/>
  <c r="D445" i="8"/>
  <c r="D175" i="8"/>
  <c r="D444" i="8"/>
  <c r="D443" i="8"/>
  <c r="D174" i="8"/>
  <c r="D442" i="8"/>
  <c r="D441" i="8"/>
  <c r="D173" i="8"/>
  <c r="D440" i="8"/>
  <c r="D439" i="8"/>
  <c r="D438" i="8"/>
  <c r="D437" i="8"/>
  <c r="D436" i="8"/>
  <c r="D435" i="8"/>
  <c r="D172" i="8"/>
  <c r="D434" i="8"/>
  <c r="D433" i="8"/>
  <c r="D171" i="8"/>
  <c r="D432" i="8"/>
  <c r="D431" i="8"/>
  <c r="D430" i="8"/>
  <c r="D429" i="8"/>
  <c r="D170" i="8"/>
  <c r="D169" i="8"/>
  <c r="D428" i="8"/>
  <c r="D427" i="8"/>
  <c r="D168" i="8"/>
  <c r="D167" i="8"/>
  <c r="D426" i="8"/>
  <c r="D425" i="8"/>
  <c r="D424" i="8"/>
  <c r="D423" i="8"/>
  <c r="D422" i="8"/>
  <c r="D421" i="8"/>
  <c r="D420" i="8"/>
  <c r="D419" i="8"/>
  <c r="D418" i="8"/>
  <c r="D417" i="8"/>
  <c r="D644" i="8"/>
  <c r="D643" i="8"/>
  <c r="D642" i="8"/>
  <c r="D416" i="8"/>
  <c r="D415" i="8"/>
  <c r="D414" i="8"/>
  <c r="D413" i="8"/>
  <c r="D412" i="8"/>
  <c r="D411" i="8"/>
  <c r="D166" i="8"/>
  <c r="D165" i="8"/>
  <c r="D164" i="8"/>
  <c r="D410" i="8"/>
  <c r="D409" i="8"/>
  <c r="D408" i="8"/>
  <c r="D407" i="8"/>
  <c r="D163" i="8"/>
  <c r="D406" i="8"/>
  <c r="D405" i="8"/>
  <c r="D162" i="8"/>
  <c r="D404" i="8"/>
  <c r="D403" i="8"/>
  <c r="D402" i="8"/>
  <c r="D401" i="8"/>
  <c r="D161" i="8"/>
  <c r="D160" i="8"/>
  <c r="D159" i="8"/>
  <c r="D400" i="8"/>
  <c r="D399" i="8"/>
  <c r="D641" i="8"/>
  <c r="D640" i="8"/>
  <c r="D639" i="8"/>
  <c r="D158" i="8"/>
  <c r="D157" i="8"/>
  <c r="D156" i="8"/>
  <c r="D155" i="8"/>
  <c r="D154" i="8"/>
  <c r="D398" i="8"/>
  <c r="D397" i="8"/>
  <c r="D638" i="8"/>
  <c r="D637" i="8"/>
  <c r="D636" i="8"/>
  <c r="D153" i="8"/>
  <c r="D396" i="8"/>
  <c r="D395" i="8"/>
  <c r="D394" i="8"/>
  <c r="D393" i="8"/>
  <c r="D152" i="8"/>
  <c r="D392" i="8"/>
  <c r="D391" i="8"/>
  <c r="D390" i="8"/>
  <c r="D389" i="8"/>
  <c r="D388" i="8"/>
  <c r="D387" i="8"/>
  <c r="D386" i="8"/>
  <c r="D385" i="8"/>
  <c r="D635" i="8"/>
  <c r="D634" i="8"/>
  <c r="D633" i="8"/>
  <c r="D384" i="8"/>
  <c r="D383" i="8"/>
  <c r="D151" i="8"/>
  <c r="D150" i="8"/>
  <c r="D632" i="8"/>
  <c r="D631" i="8"/>
  <c r="D630" i="8"/>
  <c r="D149" i="8"/>
  <c r="D382" i="8"/>
  <c r="D381" i="8"/>
  <c r="D629" i="8"/>
  <c r="D628" i="8"/>
  <c r="D627" i="8"/>
  <c r="D380" i="8"/>
  <c r="D379" i="8"/>
  <c r="D378" i="8"/>
  <c r="D377" i="8"/>
  <c r="D626" i="8"/>
  <c r="D625" i="8"/>
  <c r="D624" i="8"/>
  <c r="D376" i="8"/>
  <c r="D375" i="8"/>
  <c r="D623" i="8"/>
  <c r="D622" i="8"/>
  <c r="D621" i="8"/>
  <c r="D374" i="8"/>
  <c r="D373" i="8"/>
  <c r="D148" i="8"/>
  <c r="D372" i="8"/>
  <c r="D371" i="8"/>
  <c r="D147" i="8"/>
  <c r="D146" i="8"/>
  <c r="D145" i="8"/>
  <c r="D144" i="8"/>
  <c r="D143" i="8"/>
  <c r="D370" i="8"/>
  <c r="D369" i="8"/>
  <c r="D368" i="8"/>
  <c r="D367" i="8"/>
  <c r="D620" i="8"/>
  <c r="D619" i="8"/>
  <c r="D366" i="8"/>
  <c r="D365" i="8"/>
  <c r="D364" i="8"/>
  <c r="D363" i="8"/>
  <c r="D362" i="8"/>
  <c r="D361" i="8"/>
  <c r="D360" i="8"/>
  <c r="D359" i="8"/>
  <c r="D358" i="8"/>
  <c r="D357" i="8"/>
  <c r="D720" i="8"/>
  <c r="D719" i="8"/>
  <c r="D618" i="8"/>
  <c r="D617" i="8"/>
  <c r="D616" i="8"/>
  <c r="D356" i="8"/>
  <c r="D718" i="8"/>
  <c r="D717" i="8"/>
  <c r="D716" i="8"/>
  <c r="D715" i="8"/>
  <c r="D714" i="8"/>
  <c r="D355" i="8"/>
  <c r="D354" i="8"/>
  <c r="D353" i="8"/>
  <c r="D352" i="8"/>
  <c r="D142" i="8"/>
  <c r="D736" i="8"/>
  <c r="D735" i="8"/>
  <c r="D734" i="8"/>
  <c r="D141" i="8"/>
  <c r="D140" i="8"/>
  <c r="D139" i="8"/>
  <c r="D713" i="8"/>
  <c r="D351" i="8"/>
  <c r="D350" i="8"/>
  <c r="D615" i="8"/>
  <c r="D349" i="8"/>
  <c r="D348" i="8"/>
  <c r="D712" i="8"/>
  <c r="D711" i="8"/>
  <c r="D347" i="8"/>
  <c r="D744" i="8"/>
  <c r="D743" i="8"/>
  <c r="D742" i="8"/>
  <c r="D741" i="8"/>
  <c r="D138" i="8"/>
  <c r="D710" i="8"/>
  <c r="D709" i="8"/>
  <c r="D733" i="8"/>
  <c r="D614" i="8"/>
  <c r="D613" i="8"/>
  <c r="D612" i="8"/>
  <c r="D346" i="8"/>
  <c r="D345" i="8"/>
  <c r="D137" i="8"/>
  <c r="D136" i="8"/>
  <c r="D135" i="8"/>
  <c r="D134" i="8"/>
  <c r="D708" i="8"/>
  <c r="D707" i="8"/>
  <c r="D706" i="8"/>
  <c r="D705" i="8"/>
  <c r="D133" i="8"/>
  <c r="D611" i="8"/>
  <c r="D610" i="8"/>
  <c r="D609" i="8"/>
  <c r="D704" i="8"/>
  <c r="D703" i="8"/>
  <c r="D702" i="8"/>
  <c r="D701" i="8"/>
  <c r="D132" i="8"/>
  <c r="D608" i="8"/>
  <c r="D344" i="8"/>
  <c r="D343" i="8"/>
  <c r="D607" i="8"/>
  <c r="D606" i="8"/>
  <c r="D605" i="8"/>
  <c r="D604" i="8"/>
  <c r="D603" i="8"/>
  <c r="D602" i="8"/>
  <c r="D601" i="8"/>
  <c r="D131" i="8"/>
  <c r="D342" i="8"/>
  <c r="D341" i="8"/>
  <c r="D340" i="8"/>
  <c r="D339" i="8"/>
  <c r="D338" i="8"/>
  <c r="D700" i="8"/>
  <c r="D699" i="8"/>
  <c r="D600" i="8"/>
  <c r="D599" i="8"/>
  <c r="D698" i="8"/>
  <c r="D697" i="8"/>
  <c r="D696" i="8"/>
  <c r="D695" i="8"/>
  <c r="D598" i="8"/>
  <c r="D130" i="8"/>
  <c r="D129" i="8"/>
  <c r="D337" i="8"/>
  <c r="D336" i="8"/>
  <c r="D128" i="8"/>
  <c r="D335" i="8"/>
  <c r="D334" i="8"/>
  <c r="D127" i="8"/>
  <c r="D126" i="8"/>
  <c r="D125" i="8"/>
  <c r="D333" i="8"/>
  <c r="D332" i="8"/>
  <c r="D124" i="8"/>
  <c r="D597" i="8"/>
  <c r="D596" i="8"/>
  <c r="D595" i="8"/>
  <c r="D123" i="8"/>
  <c r="D122" i="8"/>
  <c r="D121" i="8"/>
  <c r="D120" i="8"/>
  <c r="D119" i="8"/>
  <c r="D594" i="8"/>
  <c r="D593" i="8"/>
  <c r="D592" i="8"/>
  <c r="D118" i="8"/>
  <c r="D117" i="8"/>
  <c r="D591" i="8"/>
  <c r="D590" i="8"/>
  <c r="D589" i="8"/>
  <c r="D116" i="8"/>
  <c r="D115" i="8"/>
  <c r="D114" i="8"/>
  <c r="D331" i="8"/>
  <c r="D330" i="8"/>
  <c r="D113" i="8"/>
  <c r="D112" i="8"/>
  <c r="D111" i="8"/>
  <c r="D110" i="8"/>
  <c r="D588" i="8"/>
  <c r="D587" i="8"/>
  <c r="D586" i="8"/>
  <c r="D109" i="8"/>
  <c r="D108" i="8"/>
  <c r="D107" i="8"/>
  <c r="D329" i="8"/>
  <c r="D328" i="8"/>
  <c r="D106" i="8"/>
  <c r="D585" i="8"/>
  <c r="D584" i="8"/>
  <c r="D583" i="8"/>
  <c r="D582" i="8"/>
  <c r="D581" i="8"/>
  <c r="D580" i="8"/>
  <c r="D105" i="8"/>
  <c r="D104" i="8"/>
  <c r="D579" i="8"/>
  <c r="D578" i="8"/>
  <c r="D577" i="8"/>
  <c r="D576" i="8"/>
  <c r="D575" i="8"/>
  <c r="D574" i="8"/>
  <c r="D103" i="8"/>
  <c r="D102" i="8"/>
  <c r="D101" i="8"/>
  <c r="D100" i="8"/>
  <c r="D573" i="8"/>
  <c r="D572" i="8"/>
  <c r="D571" i="8"/>
  <c r="D99" i="8"/>
  <c r="D327" i="8"/>
  <c r="D326" i="8"/>
  <c r="D98" i="8"/>
  <c r="D570" i="8"/>
  <c r="D569" i="8"/>
  <c r="D568" i="8"/>
  <c r="D325" i="8"/>
  <c r="D324" i="8"/>
  <c r="D323" i="8"/>
  <c r="D322" i="8"/>
  <c r="D97" i="8"/>
  <c r="D96" i="8"/>
  <c r="D567" i="8"/>
  <c r="D566" i="8"/>
  <c r="D565" i="8"/>
  <c r="D95" i="8"/>
  <c r="D321" i="8"/>
  <c r="D320" i="8"/>
  <c r="D94" i="8"/>
  <c r="D93" i="8"/>
  <c r="D92" i="8"/>
  <c r="D91" i="8"/>
  <c r="D90" i="8"/>
  <c r="D319" i="8"/>
  <c r="D318" i="8"/>
  <c r="D317" i="8"/>
  <c r="D316" i="8"/>
  <c r="D89" i="8"/>
  <c r="D88" i="8"/>
  <c r="D87" i="8"/>
  <c r="D86" i="8"/>
  <c r="D315" i="8"/>
  <c r="D314" i="8"/>
  <c r="D313" i="8"/>
  <c r="D312" i="8"/>
  <c r="D85" i="8"/>
  <c r="D84" i="8"/>
  <c r="D311" i="8"/>
  <c r="D310" i="8"/>
  <c r="D564" i="8"/>
  <c r="D563" i="8"/>
  <c r="D562" i="8"/>
  <c r="D309" i="8"/>
  <c r="D308" i="8"/>
  <c r="D307" i="8"/>
  <c r="D306" i="8"/>
  <c r="D83" i="8"/>
  <c r="D82" i="8"/>
  <c r="D81" i="8"/>
  <c r="D80" i="8"/>
  <c r="D305" i="8"/>
  <c r="D304" i="8"/>
  <c r="D79" i="8"/>
  <c r="D78" i="8"/>
  <c r="D77" i="8"/>
  <c r="D76" i="8"/>
  <c r="D75" i="8"/>
  <c r="D303" i="8"/>
  <c r="D302" i="8"/>
  <c r="D74" i="8"/>
  <c r="D73" i="8"/>
  <c r="D72" i="8"/>
  <c r="D301" i="8"/>
  <c r="D300" i="8"/>
  <c r="D71" i="8"/>
  <c r="D70" i="8"/>
  <c r="D69" i="8"/>
  <c r="D68" i="8"/>
  <c r="D561" i="8"/>
  <c r="D299" i="8"/>
  <c r="D298" i="8"/>
  <c r="D297" i="8"/>
  <c r="D296" i="8"/>
  <c r="D560" i="8"/>
  <c r="D559" i="8"/>
  <c r="D67" i="8"/>
  <c r="D66" i="8"/>
  <c r="D295" i="8"/>
  <c r="D294" i="8"/>
  <c r="D65" i="8"/>
  <c r="D64" i="8"/>
  <c r="D63" i="8"/>
  <c r="D293" i="8"/>
  <c r="D292" i="8"/>
  <c r="D291" i="8"/>
  <c r="D290" i="8"/>
  <c r="D289" i="8"/>
  <c r="D288" i="8"/>
  <c r="D62" i="8"/>
  <c r="D558" i="8"/>
  <c r="D694" i="8"/>
  <c r="D557" i="8"/>
  <c r="D556" i="8"/>
  <c r="D555" i="8"/>
  <c r="D554" i="8"/>
  <c r="D553" i="8"/>
  <c r="D61" i="8"/>
  <c r="D693" i="8"/>
  <c r="D287" i="8"/>
  <c r="D286" i="8"/>
  <c r="D285" i="8"/>
  <c r="D284" i="8"/>
  <c r="D60" i="8"/>
  <c r="D59" i="8"/>
  <c r="D58" i="8"/>
  <c r="D692" i="8"/>
  <c r="D691" i="8"/>
  <c r="D690" i="8"/>
  <c r="D283" i="8"/>
  <c r="D282" i="8"/>
  <c r="D689" i="8"/>
  <c r="D688" i="8"/>
  <c r="D732" i="8"/>
  <c r="D281" i="8"/>
  <c r="D280" i="8"/>
  <c r="D279" i="8"/>
  <c r="D278" i="8"/>
  <c r="D277" i="8"/>
  <c r="D731" i="8"/>
  <c r="D730" i="8"/>
  <c r="D729" i="8"/>
  <c r="D552" i="8"/>
  <c r="D551" i="8"/>
  <c r="D687" i="8"/>
  <c r="D728" i="8"/>
  <c r="D727" i="8"/>
  <c r="D726" i="8"/>
  <c r="D550" i="8"/>
  <c r="D549" i="8"/>
  <c r="D548" i="8"/>
  <c r="D547" i="8"/>
  <c r="D686" i="8"/>
  <c r="D276" i="8"/>
  <c r="D275" i="8"/>
  <c r="D57" i="8"/>
  <c r="D56" i="8"/>
  <c r="D55" i="8"/>
  <c r="D54" i="8"/>
  <c r="D53" i="8"/>
  <c r="D52" i="8"/>
  <c r="D51" i="8"/>
  <c r="D546" i="8"/>
  <c r="D545" i="8"/>
  <c r="D544" i="8"/>
  <c r="D50" i="8"/>
  <c r="D49" i="8"/>
  <c r="D274" i="8"/>
  <c r="D273" i="8"/>
  <c r="D272" i="8"/>
  <c r="D271" i="8"/>
  <c r="D543" i="8"/>
  <c r="D542" i="8"/>
  <c r="D541" i="8"/>
  <c r="D270" i="8"/>
  <c r="D269" i="8"/>
  <c r="D268" i="8"/>
  <c r="D267" i="8"/>
  <c r="D685" i="8"/>
  <c r="D684" i="8"/>
  <c r="D266" i="8"/>
  <c r="D265" i="8"/>
  <c r="D540" i="8"/>
  <c r="D539" i="8"/>
  <c r="D538" i="8"/>
  <c r="D537" i="8"/>
  <c r="D48" i="8"/>
  <c r="D264" i="8"/>
  <c r="D683" i="8"/>
  <c r="D682" i="8"/>
  <c r="D536" i="8"/>
  <c r="D681" i="8"/>
  <c r="D680" i="8"/>
  <c r="D263" i="8"/>
  <c r="D262" i="8"/>
  <c r="D679" i="8"/>
  <c r="D678" i="8"/>
  <c r="D535" i="8"/>
  <c r="D534" i="8"/>
  <c r="D261" i="8"/>
  <c r="D260" i="8"/>
  <c r="D259" i="8"/>
  <c r="D258" i="8"/>
  <c r="D533" i="8"/>
  <c r="D532" i="8"/>
  <c r="D47" i="8"/>
  <c r="D257" i="8"/>
  <c r="D256" i="8"/>
  <c r="D46" i="8"/>
  <c r="D45" i="8"/>
  <c r="D531" i="8"/>
  <c r="D530" i="8"/>
  <c r="D44" i="8"/>
  <c r="D529" i="8"/>
  <c r="D528" i="8"/>
  <c r="D677" i="8"/>
  <c r="D43" i="8"/>
  <c r="D255" i="8"/>
  <c r="D254" i="8"/>
  <c r="D527" i="8"/>
  <c r="D253" i="8"/>
  <c r="D676" i="8"/>
  <c r="D675" i="8"/>
  <c r="D674" i="8"/>
  <c r="D673" i="8"/>
  <c r="D672" i="8"/>
  <c r="D725" i="8"/>
  <c r="D252" i="8"/>
  <c r="D251" i="8"/>
  <c r="D250" i="8"/>
  <c r="D249" i="8"/>
  <c r="D42" i="8"/>
  <c r="D248" i="8"/>
  <c r="D724" i="8"/>
  <c r="D723" i="8"/>
  <c r="D526" i="8"/>
  <c r="D671" i="8"/>
  <c r="D670" i="8"/>
  <c r="D722" i="8"/>
  <c r="D721" i="8"/>
  <c r="D247" i="8"/>
  <c r="D246" i="8"/>
  <c r="D41" i="8"/>
  <c r="D40" i="8"/>
  <c r="D39" i="8"/>
  <c r="D38" i="8"/>
  <c r="D37" i="8"/>
  <c r="D36" i="8"/>
  <c r="D35" i="8"/>
  <c r="D34" i="8"/>
  <c r="D33" i="8"/>
  <c r="D32" i="8"/>
  <c r="D31" i="8"/>
  <c r="D30" i="8"/>
  <c r="D29" i="8"/>
  <c r="D28" i="8"/>
  <c r="D27" i="8"/>
  <c r="D26" i="8"/>
  <c r="D25" i="8"/>
  <c r="D24" i="8"/>
  <c r="D23" i="8"/>
  <c r="D245" i="8"/>
  <c r="D244" i="8"/>
  <c r="D22" i="8"/>
  <c r="D21" i="8"/>
  <c r="D243" i="8"/>
  <c r="D242" i="8"/>
  <c r="D20" i="8"/>
  <c r="D19" i="8"/>
  <c r="D18" i="8"/>
  <c r="D17" i="8"/>
  <c r="D16" i="8"/>
  <c r="D15" i="8"/>
  <c r="D14" i="8"/>
  <c r="D13" i="8"/>
  <c r="D12" i="8"/>
  <c r="D11" i="8"/>
  <c r="D10" i="8"/>
  <c r="D9" i="8"/>
  <c r="D8" i="8"/>
  <c r="D7" i="8"/>
  <c r="D6" i="8"/>
  <c r="D241" i="8"/>
  <c r="D240" i="8"/>
  <c r="D5" i="8"/>
  <c r="D4" i="8"/>
  <c r="D525" i="8"/>
  <c r="D669" i="8"/>
  <c r="D239" i="8"/>
  <c r="D3" i="8"/>
  <c r="D2" i="8"/>
  <c r="V1438" i="6"/>
  <c r="U1438" i="6"/>
  <c r="T1438" i="6"/>
  <c r="V1437" i="6"/>
  <c r="U1437" i="6"/>
  <c r="T1437" i="6"/>
  <c r="V1436" i="6"/>
  <c r="U1436" i="6"/>
  <c r="T1436" i="6"/>
  <c r="V1435" i="6"/>
  <c r="U1435" i="6"/>
  <c r="T1435" i="6"/>
  <c r="V1434" i="6"/>
  <c r="U1434" i="6"/>
  <c r="T1434" i="6"/>
  <c r="V1433" i="6"/>
  <c r="U1433" i="6"/>
  <c r="T1433" i="6"/>
  <c r="V1432" i="6"/>
  <c r="U1432" i="6"/>
  <c r="T1432" i="6"/>
  <c r="V1431" i="6"/>
  <c r="U1431" i="6"/>
  <c r="T1431" i="6"/>
  <c r="V1430" i="6"/>
  <c r="U1430" i="6"/>
  <c r="T1430" i="6"/>
  <c r="V1429" i="6"/>
  <c r="U1429" i="6"/>
  <c r="T1429" i="6"/>
  <c r="V1428" i="6"/>
  <c r="U1428" i="6"/>
  <c r="T1428" i="6"/>
  <c r="V1427" i="6"/>
  <c r="U1427" i="6"/>
  <c r="T1427" i="6"/>
  <c r="V1426" i="6"/>
  <c r="U1426" i="6"/>
  <c r="T1426" i="6"/>
  <c r="V1425" i="6"/>
  <c r="U1425" i="6"/>
  <c r="T1425" i="6"/>
  <c r="V1424" i="6"/>
  <c r="U1424" i="6"/>
  <c r="T1424" i="6"/>
  <c r="V1423" i="6"/>
  <c r="U1423" i="6"/>
  <c r="T1423" i="6"/>
  <c r="V1422" i="6"/>
  <c r="U1422" i="6"/>
  <c r="T1422" i="6"/>
  <c r="V1421" i="6"/>
  <c r="U1421" i="6"/>
  <c r="T1421" i="6"/>
  <c r="V1420" i="6"/>
  <c r="U1420" i="6"/>
  <c r="T1420" i="6"/>
  <c r="V1419" i="6"/>
  <c r="U1419" i="6"/>
  <c r="T1419" i="6"/>
  <c r="V1418" i="6"/>
  <c r="U1418" i="6"/>
  <c r="T1418" i="6"/>
  <c r="V1417" i="6"/>
  <c r="U1417" i="6"/>
  <c r="T1417" i="6"/>
  <c r="V1416" i="6"/>
  <c r="U1416" i="6"/>
  <c r="T1416" i="6"/>
  <c r="V1415" i="6"/>
  <c r="U1415" i="6"/>
  <c r="T1415" i="6"/>
  <c r="V1414" i="6"/>
  <c r="U1414" i="6"/>
  <c r="T1414" i="6"/>
  <c r="V1413" i="6"/>
  <c r="U1413" i="6"/>
  <c r="T1413" i="6"/>
  <c r="V1412" i="6"/>
  <c r="U1412" i="6"/>
  <c r="T1412" i="6"/>
  <c r="V1411" i="6"/>
  <c r="U1411" i="6"/>
  <c r="T1411" i="6"/>
  <c r="V1410" i="6"/>
  <c r="U1410" i="6"/>
  <c r="T1410" i="6"/>
  <c r="V1409" i="6"/>
  <c r="U1409" i="6"/>
  <c r="T1409" i="6"/>
  <c r="V1408" i="6"/>
  <c r="U1408" i="6"/>
  <c r="T1408" i="6"/>
  <c r="V1407" i="6"/>
  <c r="U1407" i="6"/>
  <c r="T1407" i="6"/>
  <c r="V1406" i="6"/>
  <c r="U1406" i="6"/>
  <c r="T1406" i="6"/>
  <c r="V1405" i="6"/>
  <c r="U1405" i="6"/>
  <c r="T1405" i="6"/>
  <c r="V1404" i="6"/>
  <c r="U1404" i="6"/>
  <c r="T1404" i="6"/>
  <c r="V1403" i="6"/>
  <c r="U1403" i="6"/>
  <c r="T1403" i="6"/>
  <c r="V1402" i="6"/>
  <c r="U1402" i="6"/>
  <c r="T1402" i="6"/>
  <c r="V1401" i="6"/>
  <c r="U1401" i="6"/>
  <c r="T1401" i="6"/>
  <c r="V1400" i="6"/>
  <c r="U1400" i="6"/>
  <c r="T1400" i="6"/>
  <c r="V1399" i="6"/>
  <c r="U1399" i="6"/>
  <c r="T1399" i="6"/>
  <c r="V1398" i="6"/>
  <c r="U1398" i="6"/>
  <c r="T1398" i="6"/>
  <c r="V1397" i="6"/>
  <c r="U1397" i="6"/>
  <c r="T1397" i="6"/>
  <c r="V1396" i="6"/>
  <c r="U1396" i="6"/>
  <c r="T1396" i="6"/>
  <c r="V1395" i="6"/>
  <c r="U1395" i="6"/>
  <c r="T1395" i="6"/>
  <c r="V1394" i="6"/>
  <c r="U1394" i="6"/>
  <c r="T1394" i="6"/>
  <c r="V1393" i="6"/>
  <c r="U1393" i="6"/>
  <c r="T1393" i="6"/>
  <c r="V1392" i="6"/>
  <c r="U1392" i="6"/>
  <c r="T1392" i="6"/>
  <c r="V1391" i="6"/>
  <c r="U1391" i="6"/>
  <c r="T1391" i="6"/>
  <c r="V1390" i="6"/>
  <c r="U1390" i="6"/>
  <c r="T1390" i="6"/>
  <c r="V1389" i="6"/>
  <c r="U1389" i="6"/>
  <c r="T1389" i="6"/>
  <c r="V1388" i="6"/>
  <c r="U1388" i="6"/>
  <c r="T1388" i="6"/>
  <c r="V1387" i="6"/>
  <c r="U1387" i="6"/>
  <c r="T1387" i="6"/>
  <c r="V1386" i="6"/>
  <c r="U1386" i="6"/>
  <c r="T1386" i="6"/>
  <c r="V1385" i="6"/>
  <c r="U1385" i="6"/>
  <c r="T1385" i="6"/>
  <c r="V1384" i="6"/>
  <c r="U1384" i="6"/>
  <c r="T1384" i="6"/>
  <c r="V1383" i="6"/>
  <c r="U1383" i="6"/>
  <c r="T1383" i="6"/>
  <c r="V1382" i="6"/>
  <c r="U1382" i="6"/>
  <c r="T1382" i="6"/>
  <c r="V1381" i="6"/>
  <c r="U1381" i="6"/>
  <c r="T1381" i="6"/>
  <c r="V1380" i="6"/>
  <c r="U1380" i="6"/>
  <c r="T1380" i="6"/>
  <c r="V1379" i="6"/>
  <c r="U1379" i="6"/>
  <c r="T1379" i="6"/>
  <c r="V1378" i="6"/>
  <c r="U1378" i="6"/>
  <c r="T1378" i="6"/>
  <c r="V1377" i="6"/>
  <c r="U1377" i="6"/>
  <c r="T1377" i="6"/>
  <c r="V1376" i="6"/>
  <c r="U1376" i="6"/>
  <c r="T1376" i="6"/>
  <c r="V1375" i="6"/>
  <c r="U1375" i="6"/>
  <c r="T1375" i="6"/>
  <c r="V1374" i="6"/>
  <c r="U1374" i="6"/>
  <c r="T1374" i="6"/>
  <c r="V1373" i="6"/>
  <c r="U1373" i="6"/>
  <c r="T1373" i="6"/>
  <c r="V1372" i="6"/>
  <c r="U1372" i="6"/>
  <c r="T1372" i="6"/>
  <c r="V1371" i="6"/>
  <c r="U1371" i="6"/>
  <c r="T1371" i="6"/>
  <c r="V1370" i="6"/>
  <c r="U1370" i="6"/>
  <c r="T1370" i="6"/>
  <c r="V1369" i="6"/>
  <c r="U1369" i="6"/>
  <c r="T1369" i="6"/>
  <c r="V1368" i="6"/>
  <c r="U1368" i="6"/>
  <c r="T1368" i="6"/>
  <c r="V1367" i="6"/>
  <c r="U1367" i="6"/>
  <c r="T1367" i="6"/>
  <c r="V1366" i="6"/>
  <c r="U1366" i="6"/>
  <c r="T1366" i="6"/>
  <c r="V1365" i="6"/>
  <c r="U1365" i="6"/>
  <c r="T1365" i="6"/>
  <c r="V1364" i="6"/>
  <c r="U1364" i="6"/>
  <c r="T1364" i="6"/>
  <c r="V1363" i="6"/>
  <c r="U1363" i="6"/>
  <c r="T1363" i="6"/>
  <c r="V1362" i="6"/>
  <c r="U1362" i="6"/>
  <c r="T1362" i="6"/>
  <c r="V1361" i="6"/>
  <c r="U1361" i="6"/>
  <c r="T1361" i="6"/>
  <c r="V1360" i="6"/>
  <c r="U1360" i="6"/>
  <c r="T1360" i="6"/>
  <c r="V1359" i="6"/>
  <c r="U1359" i="6"/>
  <c r="T1359" i="6"/>
  <c r="V1358" i="6"/>
  <c r="U1358" i="6"/>
  <c r="T1358" i="6"/>
  <c r="V1357" i="6"/>
  <c r="U1357" i="6"/>
  <c r="T1357" i="6"/>
  <c r="V1356" i="6"/>
  <c r="U1356" i="6"/>
  <c r="T1356" i="6"/>
  <c r="V1355" i="6"/>
  <c r="U1355" i="6"/>
  <c r="T1355" i="6"/>
  <c r="V1354" i="6"/>
  <c r="U1354" i="6"/>
  <c r="T1354" i="6"/>
  <c r="V1353" i="6"/>
  <c r="U1353" i="6"/>
  <c r="T1353" i="6"/>
  <c r="V1352" i="6"/>
  <c r="U1352" i="6"/>
  <c r="T1352" i="6"/>
  <c r="V1351" i="6"/>
  <c r="U1351" i="6"/>
  <c r="T1351" i="6"/>
  <c r="V1350" i="6"/>
  <c r="U1350" i="6"/>
  <c r="T1350" i="6"/>
  <c r="V1349" i="6"/>
  <c r="U1349" i="6"/>
  <c r="T1349" i="6"/>
  <c r="V1348" i="6"/>
  <c r="U1348" i="6"/>
  <c r="T1348" i="6"/>
  <c r="V1347" i="6"/>
  <c r="U1347" i="6"/>
  <c r="T1347" i="6"/>
  <c r="V1346" i="6"/>
  <c r="U1346" i="6"/>
  <c r="T1346" i="6"/>
  <c r="V1345" i="6"/>
  <c r="U1345" i="6"/>
  <c r="T1345" i="6"/>
  <c r="V1344" i="6"/>
  <c r="U1344" i="6"/>
  <c r="T1344" i="6"/>
  <c r="V1343" i="6"/>
  <c r="U1343" i="6"/>
  <c r="T1343" i="6"/>
  <c r="V1342" i="6"/>
  <c r="U1342" i="6"/>
  <c r="T1342" i="6"/>
  <c r="V1341" i="6"/>
  <c r="U1341" i="6"/>
  <c r="T1341" i="6"/>
  <c r="V1340" i="6"/>
  <c r="U1340" i="6"/>
  <c r="T1340" i="6"/>
  <c r="V1339" i="6"/>
  <c r="U1339" i="6"/>
  <c r="T1339" i="6"/>
  <c r="V1338" i="6"/>
  <c r="U1338" i="6"/>
  <c r="T1338" i="6"/>
  <c r="V1337" i="6"/>
  <c r="U1337" i="6"/>
  <c r="T1337" i="6"/>
  <c r="V1336" i="6"/>
  <c r="U1336" i="6"/>
  <c r="T1336" i="6"/>
  <c r="V1335" i="6"/>
  <c r="U1335" i="6"/>
  <c r="T1335" i="6"/>
  <c r="V1334" i="6"/>
  <c r="U1334" i="6"/>
  <c r="T1334" i="6"/>
  <c r="V1333" i="6"/>
  <c r="U1333" i="6"/>
  <c r="T1333" i="6"/>
  <c r="V1332" i="6"/>
  <c r="U1332" i="6"/>
  <c r="T1332" i="6"/>
  <c r="V1331" i="6"/>
  <c r="U1331" i="6"/>
  <c r="T1331" i="6"/>
  <c r="V1330" i="6"/>
  <c r="U1330" i="6"/>
  <c r="T1330" i="6"/>
  <c r="V1329" i="6"/>
  <c r="U1329" i="6"/>
  <c r="T1329" i="6"/>
  <c r="V1328" i="6"/>
  <c r="U1328" i="6"/>
  <c r="T1328" i="6"/>
  <c r="V1327" i="6"/>
  <c r="U1327" i="6"/>
  <c r="T1327" i="6"/>
  <c r="V1326" i="6"/>
  <c r="U1326" i="6"/>
  <c r="T1326" i="6"/>
  <c r="V1325" i="6"/>
  <c r="U1325" i="6"/>
  <c r="T1325" i="6"/>
  <c r="V1324" i="6"/>
  <c r="U1324" i="6"/>
  <c r="T1324" i="6"/>
  <c r="V1323" i="6"/>
  <c r="U1323" i="6"/>
  <c r="T1323" i="6"/>
  <c r="V1322" i="6"/>
  <c r="U1322" i="6"/>
  <c r="T1322" i="6"/>
  <c r="V1321" i="6"/>
  <c r="U1321" i="6"/>
  <c r="T1321" i="6"/>
  <c r="V1320" i="6"/>
  <c r="U1320" i="6"/>
  <c r="T1320" i="6"/>
  <c r="V1319" i="6"/>
  <c r="U1319" i="6"/>
  <c r="T1319" i="6"/>
  <c r="V1318" i="6"/>
  <c r="U1318" i="6"/>
  <c r="T1318" i="6"/>
  <c r="V1317" i="6"/>
  <c r="U1317" i="6"/>
  <c r="T1317" i="6"/>
  <c r="V1316" i="6"/>
  <c r="U1316" i="6"/>
  <c r="T1316" i="6"/>
  <c r="V1315" i="6"/>
  <c r="U1315" i="6"/>
  <c r="T1315" i="6"/>
  <c r="V1314" i="6"/>
  <c r="U1314" i="6"/>
  <c r="T1314" i="6"/>
  <c r="V1313" i="6"/>
  <c r="U1313" i="6"/>
  <c r="T1313" i="6"/>
  <c r="V1312" i="6"/>
  <c r="U1312" i="6"/>
  <c r="T1312" i="6"/>
  <c r="V1311" i="6"/>
  <c r="U1311" i="6"/>
  <c r="T1311" i="6"/>
  <c r="V1310" i="6"/>
  <c r="U1310" i="6"/>
  <c r="T1310" i="6"/>
  <c r="V1309" i="6"/>
  <c r="U1309" i="6"/>
  <c r="T1309" i="6"/>
  <c r="V1308" i="6"/>
  <c r="U1308" i="6"/>
  <c r="T1308" i="6"/>
  <c r="V1307" i="6"/>
  <c r="U1307" i="6"/>
  <c r="T1307" i="6"/>
  <c r="V1306" i="6"/>
  <c r="U1306" i="6"/>
  <c r="T1306" i="6"/>
  <c r="V1305" i="6"/>
  <c r="U1305" i="6"/>
  <c r="T1305" i="6"/>
  <c r="V1304" i="6"/>
  <c r="U1304" i="6"/>
  <c r="T1304" i="6"/>
  <c r="V1303" i="6"/>
  <c r="U1303" i="6"/>
  <c r="T1303" i="6"/>
  <c r="V1302" i="6"/>
  <c r="U1302" i="6"/>
  <c r="T1302" i="6"/>
  <c r="V1301" i="6"/>
  <c r="U1301" i="6"/>
  <c r="T1301" i="6"/>
  <c r="V1300" i="6"/>
  <c r="U1300" i="6"/>
  <c r="T1300" i="6"/>
  <c r="V1299" i="6"/>
  <c r="U1299" i="6"/>
  <c r="T1299" i="6"/>
  <c r="V1298" i="6"/>
  <c r="U1298" i="6"/>
  <c r="T1298" i="6"/>
  <c r="V1297" i="6"/>
  <c r="U1297" i="6"/>
  <c r="T1297" i="6"/>
  <c r="V1296" i="6"/>
  <c r="U1296" i="6"/>
  <c r="T1296" i="6"/>
  <c r="V1295" i="6"/>
  <c r="U1295" i="6"/>
  <c r="T1295" i="6"/>
  <c r="V1294" i="6"/>
  <c r="U1294" i="6"/>
  <c r="T1294" i="6"/>
  <c r="V1293" i="6"/>
  <c r="U1293" i="6"/>
  <c r="T1293" i="6"/>
  <c r="V1292" i="6"/>
  <c r="U1292" i="6"/>
  <c r="T1292" i="6"/>
  <c r="V1291" i="6"/>
  <c r="U1291" i="6"/>
  <c r="T1291" i="6"/>
  <c r="V1290" i="6"/>
  <c r="U1290" i="6"/>
  <c r="T1290" i="6"/>
  <c r="V1289" i="6"/>
  <c r="U1289" i="6"/>
  <c r="T1289" i="6"/>
  <c r="V1288" i="6"/>
  <c r="U1288" i="6"/>
  <c r="T1288" i="6"/>
  <c r="V1287" i="6"/>
  <c r="U1287" i="6"/>
  <c r="T1287" i="6"/>
  <c r="V1286" i="6"/>
  <c r="U1286" i="6"/>
  <c r="T1286" i="6"/>
  <c r="V1285" i="6"/>
  <c r="U1285" i="6"/>
  <c r="T1285" i="6"/>
  <c r="V1284" i="6"/>
  <c r="U1284" i="6"/>
  <c r="T1284" i="6"/>
  <c r="V1283" i="6"/>
  <c r="U1283" i="6"/>
  <c r="T1283" i="6"/>
  <c r="V1282" i="6"/>
  <c r="U1282" i="6"/>
  <c r="T1282" i="6"/>
  <c r="V1281" i="6"/>
  <c r="U1281" i="6"/>
  <c r="T1281" i="6"/>
  <c r="V1280" i="6"/>
  <c r="U1280" i="6"/>
  <c r="T1280" i="6"/>
  <c r="V1279" i="6"/>
  <c r="U1279" i="6"/>
  <c r="T1279" i="6"/>
  <c r="V1278" i="6"/>
  <c r="U1278" i="6"/>
  <c r="T1278" i="6"/>
  <c r="V1277" i="6"/>
  <c r="U1277" i="6"/>
  <c r="T1277" i="6"/>
  <c r="V1276" i="6"/>
  <c r="U1276" i="6"/>
  <c r="T1276" i="6"/>
  <c r="V1275" i="6"/>
  <c r="U1275" i="6"/>
  <c r="T1275" i="6"/>
  <c r="V1274" i="6"/>
  <c r="U1274" i="6"/>
  <c r="T1274" i="6"/>
  <c r="V1273" i="6"/>
  <c r="U1273" i="6"/>
  <c r="T1273" i="6"/>
  <c r="V1272" i="6"/>
  <c r="U1272" i="6"/>
  <c r="T1272" i="6"/>
  <c r="V1271" i="6"/>
  <c r="U1271" i="6"/>
  <c r="T1271" i="6"/>
  <c r="V1270" i="6"/>
  <c r="U1270" i="6"/>
  <c r="T1270" i="6"/>
  <c r="V1269" i="6"/>
  <c r="U1269" i="6"/>
  <c r="T1269" i="6"/>
  <c r="V1268" i="6"/>
  <c r="U1268" i="6"/>
  <c r="T1268" i="6"/>
  <c r="V1267" i="6"/>
  <c r="U1267" i="6"/>
  <c r="T1267" i="6"/>
  <c r="V1266" i="6"/>
  <c r="U1266" i="6"/>
  <c r="T1266" i="6"/>
  <c r="V1265" i="6"/>
  <c r="U1265" i="6"/>
  <c r="T1265" i="6"/>
  <c r="V1264" i="6"/>
  <c r="U1264" i="6"/>
  <c r="T1264" i="6"/>
  <c r="V1263" i="6"/>
  <c r="U1263" i="6"/>
  <c r="T1263" i="6"/>
  <c r="V1262" i="6"/>
  <c r="U1262" i="6"/>
  <c r="T1262" i="6"/>
  <c r="V1261" i="6"/>
  <c r="U1261" i="6"/>
  <c r="T1261" i="6"/>
  <c r="V1260" i="6"/>
  <c r="U1260" i="6"/>
  <c r="T1260" i="6"/>
  <c r="V1259" i="6"/>
  <c r="U1259" i="6"/>
  <c r="T1259" i="6"/>
  <c r="V1258" i="6"/>
  <c r="U1258" i="6"/>
  <c r="T1258" i="6"/>
  <c r="V1257" i="6"/>
  <c r="U1257" i="6"/>
  <c r="T1257" i="6"/>
  <c r="V1256" i="6"/>
  <c r="U1256" i="6"/>
  <c r="T1256" i="6"/>
  <c r="V1255" i="6"/>
  <c r="U1255" i="6"/>
  <c r="T1255" i="6"/>
  <c r="V1254" i="6"/>
  <c r="U1254" i="6"/>
  <c r="T1254" i="6"/>
  <c r="V1253" i="6"/>
  <c r="U1253" i="6"/>
  <c r="T1253" i="6"/>
  <c r="V1252" i="6"/>
  <c r="U1252" i="6"/>
  <c r="T1252" i="6"/>
  <c r="V1251" i="6"/>
  <c r="U1251" i="6"/>
  <c r="T1251" i="6"/>
  <c r="V1250" i="6"/>
  <c r="U1250" i="6"/>
  <c r="T1250" i="6"/>
  <c r="V1249" i="6"/>
  <c r="U1249" i="6"/>
  <c r="T1249" i="6"/>
  <c r="V1248" i="6"/>
  <c r="U1248" i="6"/>
  <c r="T1248" i="6"/>
  <c r="V1247" i="6"/>
  <c r="U1247" i="6"/>
  <c r="T1247" i="6"/>
  <c r="V1246" i="6"/>
  <c r="U1246" i="6"/>
  <c r="T1246" i="6"/>
  <c r="V1245" i="6"/>
  <c r="U1245" i="6"/>
  <c r="T1245" i="6"/>
  <c r="V1244" i="6"/>
  <c r="U1244" i="6"/>
  <c r="T1244" i="6"/>
  <c r="V1243" i="6"/>
  <c r="U1243" i="6"/>
  <c r="T1243" i="6"/>
  <c r="V1242" i="6"/>
  <c r="U1242" i="6"/>
  <c r="T1242" i="6"/>
  <c r="V1241" i="6"/>
  <c r="U1241" i="6"/>
  <c r="T1241" i="6"/>
  <c r="V1240" i="6"/>
  <c r="U1240" i="6"/>
  <c r="T1240" i="6"/>
  <c r="V1239" i="6"/>
  <c r="U1239" i="6"/>
  <c r="T1239" i="6"/>
  <c r="V1238" i="6"/>
  <c r="U1238" i="6"/>
  <c r="T1238" i="6"/>
  <c r="V1237" i="6"/>
  <c r="U1237" i="6"/>
  <c r="T1237" i="6"/>
  <c r="V1236" i="6"/>
  <c r="U1236" i="6"/>
  <c r="T1236" i="6"/>
  <c r="V1235" i="6"/>
  <c r="U1235" i="6"/>
  <c r="T1235" i="6"/>
  <c r="V1234" i="6"/>
  <c r="U1234" i="6"/>
  <c r="T1234" i="6"/>
  <c r="V1233" i="6"/>
  <c r="U1233" i="6"/>
  <c r="T1233" i="6"/>
  <c r="V1232" i="6"/>
  <c r="U1232" i="6"/>
  <c r="T1232" i="6"/>
  <c r="V1231" i="6"/>
  <c r="U1231" i="6"/>
  <c r="T1231" i="6"/>
  <c r="V1230" i="6"/>
  <c r="U1230" i="6"/>
  <c r="T1230" i="6"/>
  <c r="V1229" i="6"/>
  <c r="U1229" i="6"/>
  <c r="T1229" i="6"/>
  <c r="V1228" i="6"/>
  <c r="U1228" i="6"/>
  <c r="T1228" i="6"/>
  <c r="V1227" i="6"/>
  <c r="U1227" i="6"/>
  <c r="T1227" i="6"/>
  <c r="V1226" i="6"/>
  <c r="U1226" i="6"/>
  <c r="T1226" i="6"/>
  <c r="V1225" i="6"/>
  <c r="U1225" i="6"/>
  <c r="T1225" i="6"/>
  <c r="V1224" i="6"/>
  <c r="U1224" i="6"/>
  <c r="T1224" i="6"/>
  <c r="V1223" i="6"/>
  <c r="U1223" i="6"/>
  <c r="T1223" i="6"/>
  <c r="V1222" i="6"/>
  <c r="U1222" i="6"/>
  <c r="T1222" i="6"/>
  <c r="V1221" i="6"/>
  <c r="U1221" i="6"/>
  <c r="T1221" i="6"/>
  <c r="V1220" i="6"/>
  <c r="U1220" i="6"/>
  <c r="T1220" i="6"/>
  <c r="V1219" i="6"/>
  <c r="U1219" i="6"/>
  <c r="T1219" i="6"/>
  <c r="V1218" i="6"/>
  <c r="U1218" i="6"/>
  <c r="T1218" i="6"/>
  <c r="V1217" i="6"/>
  <c r="U1217" i="6"/>
  <c r="T1217" i="6"/>
  <c r="V1216" i="6"/>
  <c r="U1216" i="6"/>
  <c r="T1216" i="6"/>
  <c r="V1215" i="6"/>
  <c r="U1215" i="6"/>
  <c r="T1215" i="6"/>
  <c r="V1214" i="6"/>
  <c r="U1214" i="6"/>
  <c r="T1214" i="6"/>
  <c r="V1213" i="6"/>
  <c r="U1213" i="6"/>
  <c r="T1213" i="6"/>
  <c r="V1212" i="6"/>
  <c r="U1212" i="6"/>
  <c r="T1212" i="6"/>
  <c r="V1211" i="6"/>
  <c r="U1211" i="6"/>
  <c r="T1211" i="6"/>
  <c r="V1210" i="6"/>
  <c r="U1210" i="6"/>
  <c r="T1210" i="6"/>
  <c r="V1209" i="6"/>
  <c r="U1209" i="6"/>
  <c r="T1209" i="6"/>
  <c r="V1208" i="6"/>
  <c r="U1208" i="6"/>
  <c r="T1208" i="6"/>
  <c r="V1207" i="6"/>
  <c r="U1207" i="6"/>
  <c r="T1207" i="6"/>
  <c r="V1206" i="6"/>
  <c r="U1206" i="6"/>
  <c r="T1206" i="6"/>
  <c r="V1205" i="6"/>
  <c r="U1205" i="6"/>
  <c r="T1205" i="6"/>
  <c r="V1204" i="6"/>
  <c r="U1204" i="6"/>
  <c r="T1204" i="6"/>
  <c r="V1203" i="6"/>
  <c r="U1203" i="6"/>
  <c r="T1203" i="6"/>
  <c r="V1202" i="6"/>
  <c r="U1202" i="6"/>
  <c r="T1202" i="6"/>
  <c r="V1201" i="6"/>
  <c r="U1201" i="6"/>
  <c r="T1201" i="6"/>
  <c r="V1200" i="6"/>
  <c r="U1200" i="6"/>
  <c r="T1200" i="6"/>
  <c r="V1199" i="6"/>
  <c r="U1199" i="6"/>
  <c r="T1199" i="6"/>
  <c r="V1198" i="6"/>
  <c r="U1198" i="6"/>
  <c r="T1198" i="6"/>
  <c r="V1197" i="6"/>
  <c r="U1197" i="6"/>
  <c r="T1197" i="6"/>
  <c r="V1196" i="6"/>
  <c r="U1196" i="6"/>
  <c r="T1196" i="6"/>
  <c r="V1195" i="6"/>
  <c r="U1195" i="6"/>
  <c r="T1195" i="6"/>
  <c r="V1194" i="6"/>
  <c r="U1194" i="6"/>
  <c r="T1194" i="6"/>
  <c r="V1193" i="6"/>
  <c r="U1193" i="6"/>
  <c r="T1193" i="6"/>
  <c r="V1192" i="6"/>
  <c r="U1192" i="6"/>
  <c r="T1192" i="6"/>
  <c r="V1191" i="6"/>
  <c r="U1191" i="6"/>
  <c r="T1191" i="6"/>
  <c r="V1190" i="6"/>
  <c r="U1190" i="6"/>
  <c r="T1190" i="6"/>
  <c r="V1189" i="6"/>
  <c r="U1189" i="6"/>
  <c r="T1189" i="6"/>
  <c r="V1188" i="6"/>
  <c r="U1188" i="6"/>
  <c r="T1188" i="6"/>
  <c r="V1187" i="6"/>
  <c r="U1187" i="6"/>
  <c r="T1187" i="6"/>
  <c r="V1186" i="6"/>
  <c r="U1186" i="6"/>
  <c r="T1186" i="6"/>
  <c r="V1185" i="6"/>
  <c r="U1185" i="6"/>
  <c r="T1185" i="6"/>
  <c r="V1184" i="6"/>
  <c r="U1184" i="6"/>
  <c r="T1184" i="6"/>
  <c r="V1183" i="6"/>
  <c r="U1183" i="6"/>
  <c r="T1183" i="6"/>
  <c r="V1182" i="6"/>
  <c r="U1182" i="6"/>
  <c r="T1182" i="6"/>
  <c r="V1181" i="6"/>
  <c r="U1181" i="6"/>
  <c r="T1181" i="6"/>
  <c r="V1180" i="6"/>
  <c r="U1180" i="6"/>
  <c r="T1180" i="6"/>
  <c r="V1179" i="6"/>
  <c r="U1179" i="6"/>
  <c r="T1179" i="6"/>
  <c r="V1178" i="6"/>
  <c r="U1178" i="6"/>
  <c r="T1178" i="6"/>
  <c r="V1177" i="6"/>
  <c r="U1177" i="6"/>
  <c r="T1177" i="6"/>
  <c r="V1176" i="6"/>
  <c r="U1176" i="6"/>
  <c r="T1176" i="6"/>
  <c r="V1175" i="6"/>
  <c r="U1175" i="6"/>
  <c r="T1175" i="6"/>
  <c r="V1174" i="6"/>
  <c r="U1174" i="6"/>
  <c r="T1174" i="6"/>
  <c r="V1173" i="6"/>
  <c r="U1173" i="6"/>
  <c r="T1173" i="6"/>
  <c r="V1172" i="6"/>
  <c r="U1172" i="6"/>
  <c r="T1172" i="6"/>
  <c r="V1171" i="6"/>
  <c r="U1171" i="6"/>
  <c r="T1171" i="6"/>
  <c r="V1170" i="6"/>
  <c r="U1170" i="6"/>
  <c r="T1170" i="6"/>
  <c r="V1169" i="6"/>
  <c r="U1169" i="6"/>
  <c r="T1169" i="6"/>
  <c r="V1168" i="6"/>
  <c r="U1168" i="6"/>
  <c r="T1168" i="6"/>
  <c r="V1167" i="6"/>
  <c r="U1167" i="6"/>
  <c r="T1167" i="6"/>
  <c r="V1166" i="6"/>
  <c r="U1166" i="6"/>
  <c r="T1166" i="6"/>
  <c r="V1165" i="6"/>
  <c r="U1165" i="6"/>
  <c r="T1165" i="6"/>
  <c r="V1164" i="6"/>
  <c r="U1164" i="6"/>
  <c r="T1164" i="6"/>
  <c r="V1163" i="6"/>
  <c r="U1163" i="6"/>
  <c r="T1163" i="6"/>
  <c r="V1162" i="6"/>
  <c r="U1162" i="6"/>
  <c r="T1162" i="6"/>
  <c r="V1161" i="6"/>
  <c r="U1161" i="6"/>
  <c r="T1161" i="6"/>
  <c r="V1160" i="6"/>
  <c r="U1160" i="6"/>
  <c r="T1160" i="6"/>
  <c r="V1159" i="6"/>
  <c r="U1159" i="6"/>
  <c r="T1159" i="6"/>
  <c r="V1158" i="6"/>
  <c r="U1158" i="6"/>
  <c r="T1158" i="6"/>
  <c r="V1157" i="6"/>
  <c r="U1157" i="6"/>
  <c r="T1157" i="6"/>
  <c r="V1156" i="6"/>
  <c r="U1156" i="6"/>
  <c r="T1156" i="6"/>
  <c r="V1155" i="6"/>
  <c r="U1155" i="6"/>
  <c r="T1155" i="6"/>
  <c r="V1154" i="6"/>
  <c r="U1154" i="6"/>
  <c r="T1154" i="6"/>
  <c r="V1153" i="6"/>
  <c r="U1153" i="6"/>
  <c r="T1153" i="6"/>
  <c r="V1152" i="6"/>
  <c r="U1152" i="6"/>
  <c r="T1152" i="6"/>
  <c r="V1151" i="6"/>
  <c r="U1151" i="6"/>
  <c r="T1151" i="6"/>
  <c r="V1150" i="6"/>
  <c r="U1150" i="6"/>
  <c r="T1150" i="6"/>
  <c r="V1149" i="6"/>
  <c r="U1149" i="6"/>
  <c r="T1149" i="6"/>
  <c r="V1148" i="6"/>
  <c r="U1148" i="6"/>
  <c r="T1148" i="6"/>
  <c r="V1147" i="6"/>
  <c r="U1147" i="6"/>
  <c r="T1147" i="6"/>
  <c r="V1146" i="6"/>
  <c r="U1146" i="6"/>
  <c r="T1146" i="6"/>
  <c r="V1145" i="6"/>
  <c r="U1145" i="6"/>
  <c r="T1145" i="6"/>
  <c r="V1144" i="6"/>
  <c r="U1144" i="6"/>
  <c r="T1144" i="6"/>
  <c r="V1143" i="6"/>
  <c r="U1143" i="6"/>
  <c r="T1143" i="6"/>
  <c r="V1142" i="6"/>
  <c r="U1142" i="6"/>
  <c r="T1142" i="6"/>
  <c r="V1141" i="6"/>
  <c r="U1141" i="6"/>
  <c r="T1141" i="6"/>
  <c r="V1140" i="6"/>
  <c r="U1140" i="6"/>
  <c r="T1140" i="6"/>
  <c r="V1139" i="6"/>
  <c r="U1139" i="6"/>
  <c r="T1139" i="6"/>
  <c r="V1138" i="6"/>
  <c r="U1138" i="6"/>
  <c r="T1138" i="6"/>
  <c r="V1137" i="6"/>
  <c r="U1137" i="6"/>
  <c r="T1137" i="6"/>
  <c r="V1136" i="6"/>
  <c r="U1136" i="6"/>
  <c r="T1136" i="6"/>
  <c r="V1135" i="6"/>
  <c r="U1135" i="6"/>
  <c r="T1135" i="6"/>
  <c r="V1134" i="6"/>
  <c r="U1134" i="6"/>
  <c r="T1134" i="6"/>
  <c r="V1133" i="6"/>
  <c r="U1133" i="6"/>
  <c r="T1133" i="6"/>
  <c r="V1132" i="6"/>
  <c r="U1132" i="6"/>
  <c r="T1132" i="6"/>
  <c r="V1131" i="6"/>
  <c r="U1131" i="6"/>
  <c r="T1131" i="6"/>
  <c r="V1130" i="6"/>
  <c r="U1130" i="6"/>
  <c r="T1130" i="6"/>
  <c r="V1129" i="6"/>
  <c r="U1129" i="6"/>
  <c r="T1129" i="6"/>
  <c r="V1128" i="6"/>
  <c r="U1128" i="6"/>
  <c r="T1128" i="6"/>
  <c r="V1127" i="6"/>
  <c r="U1127" i="6"/>
  <c r="T1127" i="6"/>
  <c r="V1126" i="6"/>
  <c r="U1126" i="6"/>
  <c r="T1126" i="6"/>
  <c r="V1125" i="6"/>
  <c r="U1125" i="6"/>
  <c r="T1125" i="6"/>
  <c r="V1124" i="6"/>
  <c r="U1124" i="6"/>
  <c r="T1124" i="6"/>
  <c r="V1123" i="6"/>
  <c r="U1123" i="6"/>
  <c r="T1123" i="6"/>
  <c r="V1122" i="6"/>
  <c r="U1122" i="6"/>
  <c r="T1122" i="6"/>
  <c r="V1121" i="6"/>
  <c r="U1121" i="6"/>
  <c r="T1121" i="6"/>
  <c r="V1120" i="6"/>
  <c r="U1120" i="6"/>
  <c r="T1120" i="6"/>
  <c r="V1119" i="6"/>
  <c r="U1119" i="6"/>
  <c r="T1119" i="6"/>
  <c r="V1118" i="6"/>
  <c r="U1118" i="6"/>
  <c r="T1118" i="6"/>
  <c r="V1117" i="6"/>
  <c r="U1117" i="6"/>
  <c r="T1117" i="6"/>
  <c r="V1116" i="6"/>
  <c r="U1116" i="6"/>
  <c r="T1116" i="6"/>
  <c r="V1115" i="6"/>
  <c r="U1115" i="6"/>
  <c r="T1115" i="6"/>
  <c r="V1114" i="6"/>
  <c r="U1114" i="6"/>
  <c r="T1114" i="6"/>
  <c r="V1113" i="6"/>
  <c r="U1113" i="6"/>
  <c r="T1113" i="6"/>
  <c r="V1112" i="6"/>
  <c r="U1112" i="6"/>
  <c r="T1112" i="6"/>
  <c r="V1111" i="6"/>
  <c r="U1111" i="6"/>
  <c r="T1111" i="6"/>
  <c r="V1110" i="6"/>
  <c r="U1110" i="6"/>
  <c r="T1110" i="6"/>
  <c r="V1109" i="6"/>
  <c r="U1109" i="6"/>
  <c r="T1109" i="6"/>
  <c r="V1108" i="6"/>
  <c r="U1108" i="6"/>
  <c r="T1108" i="6"/>
  <c r="V1107" i="6"/>
  <c r="U1107" i="6"/>
  <c r="T1107" i="6"/>
  <c r="V1106" i="6"/>
  <c r="U1106" i="6"/>
  <c r="T1106" i="6"/>
  <c r="V1105" i="6"/>
  <c r="U1105" i="6"/>
  <c r="T1105" i="6"/>
  <c r="V1104" i="6"/>
  <c r="U1104" i="6"/>
  <c r="T1104" i="6"/>
  <c r="V1103" i="6"/>
  <c r="U1103" i="6"/>
  <c r="T1103" i="6"/>
  <c r="V1102" i="6"/>
  <c r="U1102" i="6"/>
  <c r="T1102" i="6"/>
  <c r="V1101" i="6"/>
  <c r="U1101" i="6"/>
  <c r="T1101" i="6"/>
  <c r="V1100" i="6"/>
  <c r="U1100" i="6"/>
  <c r="T1100" i="6"/>
  <c r="V1099" i="6"/>
  <c r="U1099" i="6"/>
  <c r="T1099" i="6"/>
  <c r="V1098" i="6"/>
  <c r="U1098" i="6"/>
  <c r="T1098" i="6"/>
  <c r="V1097" i="6"/>
  <c r="U1097" i="6"/>
  <c r="T1097" i="6"/>
  <c r="V1096" i="6"/>
  <c r="U1096" i="6"/>
  <c r="T1096" i="6"/>
  <c r="V1095" i="6"/>
  <c r="U1095" i="6"/>
  <c r="T1095" i="6"/>
  <c r="V1094" i="6"/>
  <c r="U1094" i="6"/>
  <c r="T1094" i="6"/>
  <c r="V1093" i="6"/>
  <c r="U1093" i="6"/>
  <c r="T1093" i="6"/>
  <c r="V1092" i="6"/>
  <c r="U1092" i="6"/>
  <c r="T1092" i="6"/>
  <c r="V1091" i="6"/>
  <c r="U1091" i="6"/>
  <c r="T1091" i="6"/>
  <c r="V1090" i="6"/>
  <c r="U1090" i="6"/>
  <c r="T1090" i="6"/>
  <c r="V1089" i="6"/>
  <c r="U1089" i="6"/>
  <c r="T1089" i="6"/>
  <c r="V1088" i="6"/>
  <c r="U1088" i="6"/>
  <c r="T1088" i="6"/>
  <c r="V1087" i="6"/>
  <c r="U1087" i="6"/>
  <c r="T1087" i="6"/>
  <c r="V1086" i="6"/>
  <c r="U1086" i="6"/>
  <c r="T1086" i="6"/>
  <c r="V1085" i="6"/>
  <c r="U1085" i="6"/>
  <c r="T1085" i="6"/>
  <c r="V1084" i="6"/>
  <c r="U1084" i="6"/>
  <c r="T1084" i="6"/>
  <c r="V1083" i="6"/>
  <c r="U1083" i="6"/>
  <c r="T1083" i="6"/>
  <c r="V1082" i="6"/>
  <c r="U1082" i="6"/>
  <c r="T1082" i="6"/>
  <c r="V1081" i="6"/>
  <c r="U1081" i="6"/>
  <c r="T1081" i="6"/>
  <c r="V1080" i="6"/>
  <c r="U1080" i="6"/>
  <c r="T1080" i="6"/>
  <c r="V1079" i="6"/>
  <c r="U1079" i="6"/>
  <c r="T1079" i="6"/>
  <c r="V1078" i="6"/>
  <c r="U1078" i="6"/>
  <c r="T1078" i="6"/>
  <c r="V1077" i="6"/>
  <c r="U1077" i="6"/>
  <c r="T1077" i="6"/>
  <c r="V1076" i="6"/>
  <c r="U1076" i="6"/>
  <c r="T1076" i="6"/>
  <c r="V1075" i="6"/>
  <c r="U1075" i="6"/>
  <c r="T1075" i="6"/>
  <c r="V1074" i="6"/>
  <c r="U1074" i="6"/>
  <c r="T1074" i="6"/>
  <c r="V1073" i="6"/>
  <c r="U1073" i="6"/>
  <c r="T1073" i="6"/>
  <c r="V1072" i="6"/>
  <c r="U1072" i="6"/>
  <c r="T1072" i="6"/>
  <c r="V1071" i="6"/>
  <c r="U1071" i="6"/>
  <c r="T1071" i="6"/>
  <c r="V1070" i="6"/>
  <c r="U1070" i="6"/>
  <c r="T1070" i="6"/>
  <c r="V1069" i="6"/>
  <c r="U1069" i="6"/>
  <c r="T1069" i="6"/>
  <c r="V1068" i="6"/>
  <c r="U1068" i="6"/>
  <c r="T1068" i="6"/>
  <c r="V1067" i="6"/>
  <c r="U1067" i="6"/>
  <c r="T1067" i="6"/>
  <c r="V1066" i="6"/>
  <c r="U1066" i="6"/>
  <c r="T1066" i="6"/>
  <c r="V1065" i="6"/>
  <c r="U1065" i="6"/>
  <c r="T1065" i="6"/>
  <c r="V1064" i="6"/>
  <c r="U1064" i="6"/>
  <c r="T1064" i="6"/>
  <c r="V1063" i="6"/>
  <c r="U1063" i="6"/>
  <c r="T1063" i="6"/>
  <c r="V1062" i="6"/>
  <c r="U1062" i="6"/>
  <c r="T1062" i="6"/>
  <c r="V1061" i="6"/>
  <c r="U1061" i="6"/>
  <c r="T1061" i="6"/>
  <c r="V1060" i="6"/>
  <c r="U1060" i="6"/>
  <c r="T1060" i="6"/>
  <c r="V1059" i="6"/>
  <c r="U1059" i="6"/>
  <c r="T1059" i="6"/>
  <c r="V1058" i="6"/>
  <c r="U1058" i="6"/>
  <c r="T1058" i="6"/>
  <c r="V1057" i="6"/>
  <c r="U1057" i="6"/>
  <c r="T1057" i="6"/>
  <c r="V1056" i="6"/>
  <c r="U1056" i="6"/>
  <c r="T1056" i="6"/>
  <c r="V1055" i="6"/>
  <c r="U1055" i="6"/>
  <c r="T1055" i="6"/>
  <c r="V1054" i="6"/>
  <c r="U1054" i="6"/>
  <c r="T1054" i="6"/>
  <c r="V1053" i="6"/>
  <c r="U1053" i="6"/>
  <c r="T1053" i="6"/>
  <c r="V1052" i="6"/>
  <c r="U1052" i="6"/>
  <c r="T1052" i="6"/>
  <c r="V1051" i="6"/>
  <c r="U1051" i="6"/>
  <c r="T1051" i="6"/>
  <c r="V1050" i="6"/>
  <c r="U1050" i="6"/>
  <c r="T1050" i="6"/>
  <c r="V1049" i="6"/>
  <c r="U1049" i="6"/>
  <c r="T1049" i="6"/>
  <c r="V1048" i="6"/>
  <c r="U1048" i="6"/>
  <c r="T1048" i="6"/>
  <c r="V1047" i="6"/>
  <c r="U1047" i="6"/>
  <c r="T1047" i="6"/>
  <c r="V1046" i="6"/>
  <c r="U1046" i="6"/>
  <c r="T1046" i="6"/>
  <c r="V1045" i="6"/>
  <c r="U1045" i="6"/>
  <c r="T1045" i="6"/>
  <c r="V1044" i="6"/>
  <c r="U1044" i="6"/>
  <c r="T1044" i="6"/>
  <c r="V1043" i="6"/>
  <c r="U1043" i="6"/>
  <c r="T1043" i="6"/>
  <c r="V1042" i="6"/>
  <c r="U1042" i="6"/>
  <c r="T1042" i="6"/>
  <c r="V1041" i="6"/>
  <c r="U1041" i="6"/>
  <c r="T1041" i="6"/>
  <c r="V1040" i="6"/>
  <c r="U1040" i="6"/>
  <c r="T1040" i="6"/>
  <c r="V1039" i="6"/>
  <c r="U1039" i="6"/>
  <c r="T1039" i="6"/>
  <c r="V1038" i="6"/>
  <c r="U1038" i="6"/>
  <c r="T1038" i="6"/>
  <c r="V1037" i="6"/>
  <c r="U1037" i="6"/>
  <c r="T1037" i="6"/>
  <c r="V1036" i="6"/>
  <c r="U1036" i="6"/>
  <c r="T1036" i="6"/>
  <c r="V1035" i="6"/>
  <c r="U1035" i="6"/>
  <c r="T1035" i="6"/>
  <c r="V1034" i="6"/>
  <c r="U1034" i="6"/>
  <c r="T1034" i="6"/>
  <c r="V1033" i="6"/>
  <c r="U1033" i="6"/>
  <c r="T1033" i="6"/>
  <c r="V1032" i="6"/>
  <c r="U1032" i="6"/>
  <c r="T1032" i="6"/>
  <c r="V1031" i="6"/>
  <c r="U1031" i="6"/>
  <c r="T1031" i="6"/>
  <c r="V1030" i="6"/>
  <c r="U1030" i="6"/>
  <c r="T1030" i="6"/>
  <c r="V1029" i="6"/>
  <c r="U1029" i="6"/>
  <c r="T1029" i="6"/>
  <c r="V1028" i="6"/>
  <c r="U1028" i="6"/>
  <c r="T1028" i="6"/>
  <c r="V1027" i="6"/>
  <c r="U1027" i="6"/>
  <c r="T1027" i="6"/>
  <c r="V1026" i="6"/>
  <c r="U1026" i="6"/>
  <c r="T1026" i="6"/>
  <c r="V1025" i="6"/>
  <c r="U1025" i="6"/>
  <c r="T1025" i="6"/>
  <c r="V1024" i="6"/>
  <c r="U1024" i="6"/>
  <c r="T1024" i="6"/>
  <c r="V1023" i="6"/>
  <c r="U1023" i="6"/>
  <c r="T1023" i="6"/>
  <c r="V1022" i="6"/>
  <c r="U1022" i="6"/>
  <c r="T1022" i="6"/>
  <c r="V1021" i="6"/>
  <c r="U1021" i="6"/>
  <c r="T1021" i="6"/>
  <c r="V1020" i="6"/>
  <c r="U1020" i="6"/>
  <c r="T1020" i="6"/>
  <c r="V1019" i="6"/>
  <c r="U1019" i="6"/>
  <c r="T1019" i="6"/>
  <c r="V1018" i="6"/>
  <c r="U1018" i="6"/>
  <c r="T1018" i="6"/>
  <c r="V1017" i="6"/>
  <c r="U1017" i="6"/>
  <c r="T1017" i="6"/>
  <c r="V1016" i="6"/>
  <c r="U1016" i="6"/>
  <c r="T1016" i="6"/>
  <c r="V1015" i="6"/>
  <c r="U1015" i="6"/>
  <c r="T1015" i="6"/>
  <c r="V1014" i="6"/>
  <c r="U1014" i="6"/>
  <c r="T1014" i="6"/>
  <c r="V1013" i="6"/>
  <c r="U1013" i="6"/>
  <c r="T1013" i="6"/>
  <c r="V1012" i="6"/>
  <c r="U1012" i="6"/>
  <c r="T1012" i="6"/>
  <c r="V1011" i="6"/>
  <c r="U1011" i="6"/>
  <c r="T1011" i="6"/>
  <c r="V1010" i="6"/>
  <c r="U1010" i="6"/>
  <c r="T1010" i="6"/>
  <c r="V1009" i="6"/>
  <c r="U1009" i="6"/>
  <c r="T1009" i="6"/>
  <c r="V1008" i="6"/>
  <c r="U1008" i="6"/>
  <c r="T1008" i="6"/>
  <c r="V1007" i="6"/>
  <c r="U1007" i="6"/>
  <c r="T1007" i="6"/>
  <c r="V1006" i="6"/>
  <c r="U1006" i="6"/>
  <c r="T1006" i="6"/>
  <c r="V1005" i="6"/>
  <c r="U1005" i="6"/>
  <c r="T1005" i="6"/>
  <c r="V1004" i="6"/>
  <c r="U1004" i="6"/>
  <c r="T1004" i="6"/>
  <c r="V1003" i="6"/>
  <c r="U1003" i="6"/>
  <c r="T1003" i="6"/>
  <c r="V1002" i="6"/>
  <c r="U1002" i="6"/>
  <c r="T1002" i="6"/>
  <c r="V1001" i="6"/>
  <c r="U1001" i="6"/>
  <c r="T1001" i="6"/>
  <c r="V1000" i="6"/>
  <c r="U1000" i="6"/>
  <c r="T1000" i="6"/>
  <c r="V999" i="6"/>
  <c r="U999" i="6"/>
  <c r="T999" i="6"/>
  <c r="V998" i="6"/>
  <c r="U998" i="6"/>
  <c r="T998" i="6"/>
  <c r="V997" i="6"/>
  <c r="U997" i="6"/>
  <c r="T997" i="6"/>
  <c r="V996" i="6"/>
  <c r="U996" i="6"/>
  <c r="T996" i="6"/>
  <c r="V995" i="6"/>
  <c r="U995" i="6"/>
  <c r="T995" i="6"/>
  <c r="V994" i="6"/>
  <c r="U994" i="6"/>
  <c r="T994" i="6"/>
  <c r="V993" i="6"/>
  <c r="U993" i="6"/>
  <c r="T993" i="6"/>
  <c r="V992" i="6"/>
  <c r="U992" i="6"/>
  <c r="T992" i="6"/>
  <c r="V991" i="6"/>
  <c r="U991" i="6"/>
  <c r="T991" i="6"/>
  <c r="V990" i="6"/>
  <c r="U990" i="6"/>
  <c r="T990" i="6"/>
  <c r="V989" i="6"/>
  <c r="U989" i="6"/>
  <c r="T989" i="6"/>
  <c r="V988" i="6"/>
  <c r="U988" i="6"/>
  <c r="T988" i="6"/>
  <c r="V987" i="6"/>
  <c r="U987" i="6"/>
  <c r="T987" i="6"/>
  <c r="V986" i="6"/>
  <c r="U986" i="6"/>
  <c r="T986" i="6"/>
  <c r="V985" i="6"/>
  <c r="U985" i="6"/>
  <c r="T985" i="6"/>
  <c r="V984" i="6"/>
  <c r="U984" i="6"/>
  <c r="T984" i="6"/>
  <c r="V983" i="6"/>
  <c r="U983" i="6"/>
  <c r="T983" i="6"/>
  <c r="V982" i="6"/>
  <c r="U982" i="6"/>
  <c r="T982" i="6"/>
  <c r="V981" i="6"/>
  <c r="U981" i="6"/>
  <c r="T981" i="6"/>
  <c r="V980" i="6"/>
  <c r="U980" i="6"/>
  <c r="T980" i="6"/>
  <c r="V979" i="6"/>
  <c r="U979" i="6"/>
  <c r="T979" i="6"/>
  <c r="V978" i="6"/>
  <c r="U978" i="6"/>
  <c r="T978" i="6"/>
  <c r="V977" i="6"/>
  <c r="U977" i="6"/>
  <c r="T977" i="6"/>
  <c r="V976" i="6"/>
  <c r="U976" i="6"/>
  <c r="T976" i="6"/>
  <c r="V975" i="6"/>
  <c r="U975" i="6"/>
  <c r="T975" i="6"/>
  <c r="V974" i="6"/>
  <c r="U974" i="6"/>
  <c r="T974" i="6"/>
  <c r="V973" i="6"/>
  <c r="U973" i="6"/>
  <c r="T973" i="6"/>
  <c r="V972" i="6"/>
  <c r="U972" i="6"/>
  <c r="T972" i="6"/>
  <c r="V971" i="6"/>
  <c r="U971" i="6"/>
  <c r="T971" i="6"/>
  <c r="V970" i="6"/>
  <c r="U970" i="6"/>
  <c r="T970" i="6"/>
  <c r="V969" i="6"/>
  <c r="U969" i="6"/>
  <c r="T969" i="6"/>
  <c r="V968" i="6"/>
  <c r="U968" i="6"/>
  <c r="T968" i="6"/>
  <c r="V967" i="6"/>
  <c r="U967" i="6"/>
  <c r="T967" i="6"/>
  <c r="V966" i="6"/>
  <c r="U966" i="6"/>
  <c r="T966" i="6"/>
  <c r="V965" i="6"/>
  <c r="U965" i="6"/>
  <c r="T965" i="6"/>
  <c r="V964" i="6"/>
  <c r="U964" i="6"/>
  <c r="T964" i="6"/>
  <c r="V963" i="6"/>
  <c r="U963" i="6"/>
  <c r="T963" i="6"/>
  <c r="V962" i="6"/>
  <c r="U962" i="6"/>
  <c r="T962" i="6"/>
  <c r="V961" i="6"/>
  <c r="U961" i="6"/>
  <c r="T961" i="6"/>
  <c r="V960" i="6"/>
  <c r="U960" i="6"/>
  <c r="T960" i="6"/>
  <c r="V959" i="6"/>
  <c r="U959" i="6"/>
  <c r="T959" i="6"/>
  <c r="V958" i="6"/>
  <c r="U958" i="6"/>
  <c r="T958" i="6"/>
  <c r="V957" i="6"/>
  <c r="U957" i="6"/>
  <c r="T957" i="6"/>
  <c r="V956" i="6"/>
  <c r="U956" i="6"/>
  <c r="T956" i="6"/>
  <c r="V955" i="6"/>
  <c r="U955" i="6"/>
  <c r="T955" i="6"/>
  <c r="V954" i="6"/>
  <c r="U954" i="6"/>
  <c r="T954" i="6"/>
  <c r="V953" i="6"/>
  <c r="U953" i="6"/>
  <c r="T953" i="6"/>
  <c r="V952" i="6"/>
  <c r="U952" i="6"/>
  <c r="T952" i="6"/>
  <c r="V951" i="6"/>
  <c r="U951" i="6"/>
  <c r="T951" i="6"/>
  <c r="V950" i="6"/>
  <c r="U950" i="6"/>
  <c r="T950" i="6"/>
  <c r="V949" i="6"/>
  <c r="U949" i="6"/>
  <c r="T949" i="6"/>
  <c r="V948" i="6"/>
  <c r="U948" i="6"/>
  <c r="T948" i="6"/>
  <c r="V947" i="6"/>
  <c r="U947" i="6"/>
  <c r="T947" i="6"/>
  <c r="V946" i="6"/>
  <c r="U946" i="6"/>
  <c r="T946" i="6"/>
  <c r="V945" i="6"/>
  <c r="U945" i="6"/>
  <c r="T945" i="6"/>
  <c r="V944" i="6"/>
  <c r="U944" i="6"/>
  <c r="T944" i="6"/>
  <c r="V943" i="6"/>
  <c r="U943" i="6"/>
  <c r="T943" i="6"/>
  <c r="V942" i="6"/>
  <c r="U942" i="6"/>
  <c r="T942" i="6"/>
  <c r="V941" i="6"/>
  <c r="U941" i="6"/>
  <c r="T941" i="6"/>
  <c r="V940" i="6"/>
  <c r="U940" i="6"/>
  <c r="T940" i="6"/>
  <c r="V939" i="6"/>
  <c r="U939" i="6"/>
  <c r="T939" i="6"/>
  <c r="V938" i="6"/>
  <c r="U938" i="6"/>
  <c r="T938" i="6"/>
  <c r="V937" i="6"/>
  <c r="U937" i="6"/>
  <c r="T937" i="6"/>
  <c r="V936" i="6"/>
  <c r="U936" i="6"/>
  <c r="T936" i="6"/>
  <c r="V935" i="6"/>
  <c r="U935" i="6"/>
  <c r="T935" i="6"/>
  <c r="V934" i="6"/>
  <c r="U934" i="6"/>
  <c r="T934" i="6"/>
  <c r="V933" i="6"/>
  <c r="U933" i="6"/>
  <c r="T933" i="6"/>
  <c r="V932" i="6"/>
  <c r="U932" i="6"/>
  <c r="T932" i="6"/>
  <c r="V931" i="6"/>
  <c r="U931" i="6"/>
  <c r="T931" i="6"/>
  <c r="V930" i="6"/>
  <c r="U930" i="6"/>
  <c r="T930" i="6"/>
  <c r="V929" i="6"/>
  <c r="U929" i="6"/>
  <c r="T929" i="6"/>
  <c r="V928" i="6"/>
  <c r="U928" i="6"/>
  <c r="T928" i="6"/>
  <c r="V927" i="6"/>
  <c r="U927" i="6"/>
  <c r="T927" i="6"/>
  <c r="V926" i="6"/>
  <c r="U926" i="6"/>
  <c r="T926" i="6"/>
  <c r="V925" i="6"/>
  <c r="U925" i="6"/>
  <c r="T925" i="6"/>
  <c r="V924" i="6"/>
  <c r="U924" i="6"/>
  <c r="T924" i="6"/>
  <c r="V923" i="6"/>
  <c r="U923" i="6"/>
  <c r="T923" i="6"/>
  <c r="V922" i="6"/>
  <c r="U922" i="6"/>
  <c r="T922" i="6"/>
  <c r="V921" i="6"/>
  <c r="U921" i="6"/>
  <c r="T921" i="6"/>
  <c r="V920" i="6"/>
  <c r="U920" i="6"/>
  <c r="T920" i="6"/>
  <c r="V919" i="6"/>
  <c r="U919" i="6"/>
  <c r="T919" i="6"/>
  <c r="V918" i="6"/>
  <c r="U918" i="6"/>
  <c r="T918" i="6"/>
  <c r="V917" i="6"/>
  <c r="U917" i="6"/>
  <c r="T917" i="6"/>
  <c r="V916" i="6"/>
  <c r="U916" i="6"/>
  <c r="T916" i="6"/>
  <c r="V915" i="6"/>
  <c r="U915" i="6"/>
  <c r="T915" i="6"/>
  <c r="V914" i="6"/>
  <c r="U914" i="6"/>
  <c r="T914" i="6"/>
  <c r="V913" i="6"/>
  <c r="U913" i="6"/>
  <c r="T913" i="6"/>
  <c r="V912" i="6"/>
  <c r="U912" i="6"/>
  <c r="T912" i="6"/>
  <c r="V911" i="6"/>
  <c r="U911" i="6"/>
  <c r="T911" i="6"/>
  <c r="V910" i="6"/>
  <c r="U910" i="6"/>
  <c r="T910" i="6"/>
  <c r="V909" i="6"/>
  <c r="U909" i="6"/>
  <c r="T909" i="6"/>
  <c r="V908" i="6"/>
  <c r="U908" i="6"/>
  <c r="T908" i="6"/>
  <c r="V907" i="6"/>
  <c r="U907" i="6"/>
  <c r="T907" i="6"/>
  <c r="V906" i="6"/>
  <c r="U906" i="6"/>
  <c r="T906" i="6"/>
  <c r="V905" i="6"/>
  <c r="U905" i="6"/>
  <c r="T905" i="6"/>
  <c r="V904" i="6"/>
  <c r="U904" i="6"/>
  <c r="T904" i="6"/>
  <c r="V903" i="6"/>
  <c r="U903" i="6"/>
  <c r="T903" i="6"/>
  <c r="V902" i="6"/>
  <c r="U902" i="6"/>
  <c r="T902" i="6"/>
  <c r="V901" i="6"/>
  <c r="U901" i="6"/>
  <c r="T901" i="6"/>
  <c r="V900" i="6"/>
  <c r="U900" i="6"/>
  <c r="T900" i="6"/>
  <c r="V899" i="6"/>
  <c r="U899" i="6"/>
  <c r="T899" i="6"/>
  <c r="V898" i="6"/>
  <c r="U898" i="6"/>
  <c r="T898" i="6"/>
  <c r="V897" i="6"/>
  <c r="U897" i="6"/>
  <c r="T897" i="6"/>
  <c r="V896" i="6"/>
  <c r="U896" i="6"/>
  <c r="T896" i="6"/>
  <c r="V895" i="6"/>
  <c r="U895" i="6"/>
  <c r="T895" i="6"/>
  <c r="V894" i="6"/>
  <c r="U894" i="6"/>
  <c r="T894" i="6"/>
  <c r="V893" i="6"/>
  <c r="U893" i="6"/>
  <c r="T893" i="6"/>
  <c r="V892" i="6"/>
  <c r="U892" i="6"/>
  <c r="T892" i="6"/>
  <c r="V891" i="6"/>
  <c r="U891" i="6"/>
  <c r="T891" i="6"/>
  <c r="V890" i="6"/>
  <c r="U890" i="6"/>
  <c r="T890" i="6"/>
  <c r="V889" i="6"/>
  <c r="U889" i="6"/>
  <c r="T889" i="6"/>
  <c r="V888" i="6"/>
  <c r="U888" i="6"/>
  <c r="T888" i="6"/>
  <c r="V887" i="6"/>
  <c r="U887" i="6"/>
  <c r="T887" i="6"/>
  <c r="V886" i="6"/>
  <c r="U886" i="6"/>
  <c r="T886" i="6"/>
  <c r="V885" i="6"/>
  <c r="U885" i="6"/>
  <c r="T885" i="6"/>
  <c r="V884" i="6"/>
  <c r="U884" i="6"/>
  <c r="T884" i="6"/>
  <c r="V883" i="6"/>
  <c r="U883" i="6"/>
  <c r="T883" i="6"/>
  <c r="V882" i="6"/>
  <c r="U882" i="6"/>
  <c r="T882" i="6"/>
  <c r="V881" i="6"/>
  <c r="U881" i="6"/>
  <c r="T881" i="6"/>
  <c r="V880" i="6"/>
  <c r="U880" i="6"/>
  <c r="T880" i="6"/>
  <c r="V879" i="6"/>
  <c r="U879" i="6"/>
  <c r="T879" i="6"/>
  <c r="V878" i="6"/>
  <c r="U878" i="6"/>
  <c r="T878" i="6"/>
  <c r="V877" i="6"/>
  <c r="U877" i="6"/>
  <c r="T877" i="6"/>
  <c r="V876" i="6"/>
  <c r="U876" i="6"/>
  <c r="T876" i="6"/>
  <c r="V875" i="6"/>
  <c r="U875" i="6"/>
  <c r="T875" i="6"/>
  <c r="V874" i="6"/>
  <c r="U874" i="6"/>
  <c r="T874" i="6"/>
  <c r="V873" i="6"/>
  <c r="U873" i="6"/>
  <c r="T873" i="6"/>
  <c r="V872" i="6"/>
  <c r="U872" i="6"/>
  <c r="T872" i="6"/>
  <c r="V871" i="6"/>
  <c r="U871" i="6"/>
  <c r="T871" i="6"/>
  <c r="V870" i="6"/>
  <c r="U870" i="6"/>
  <c r="T870" i="6"/>
  <c r="V869" i="6"/>
  <c r="U869" i="6"/>
  <c r="T869" i="6"/>
  <c r="V868" i="6"/>
  <c r="U868" i="6"/>
  <c r="T868" i="6"/>
  <c r="V867" i="6"/>
  <c r="U867" i="6"/>
  <c r="T867" i="6"/>
  <c r="V866" i="6"/>
  <c r="U866" i="6"/>
  <c r="T866" i="6"/>
  <c r="V865" i="6"/>
  <c r="U865" i="6"/>
  <c r="T865" i="6"/>
  <c r="V864" i="6"/>
  <c r="U864" i="6"/>
  <c r="T864" i="6"/>
  <c r="V863" i="6"/>
  <c r="U863" i="6"/>
  <c r="T863" i="6"/>
  <c r="V862" i="6"/>
  <c r="U862" i="6"/>
  <c r="T862" i="6"/>
  <c r="V861" i="6"/>
  <c r="U861" i="6"/>
  <c r="T861" i="6"/>
  <c r="V860" i="6"/>
  <c r="U860" i="6"/>
  <c r="T860" i="6"/>
  <c r="V859" i="6"/>
  <c r="U859" i="6"/>
  <c r="T859" i="6"/>
  <c r="V858" i="6"/>
  <c r="U858" i="6"/>
  <c r="T858" i="6"/>
  <c r="V857" i="6"/>
  <c r="U857" i="6"/>
  <c r="T857" i="6"/>
  <c r="V856" i="6"/>
  <c r="U856" i="6"/>
  <c r="T856" i="6"/>
  <c r="V855" i="6"/>
  <c r="U855" i="6"/>
  <c r="T855" i="6"/>
  <c r="V854" i="6"/>
  <c r="U854" i="6"/>
  <c r="T854" i="6"/>
  <c r="V853" i="6"/>
  <c r="U853" i="6"/>
  <c r="T853" i="6"/>
  <c r="V852" i="6"/>
  <c r="U852" i="6"/>
  <c r="T852" i="6"/>
  <c r="V851" i="6"/>
  <c r="U851" i="6"/>
  <c r="T851" i="6"/>
  <c r="V850" i="6"/>
  <c r="U850" i="6"/>
  <c r="T850" i="6"/>
  <c r="V849" i="6"/>
  <c r="U849" i="6"/>
  <c r="T849" i="6"/>
  <c r="V848" i="6"/>
  <c r="U848" i="6"/>
  <c r="T848" i="6"/>
  <c r="V847" i="6"/>
  <c r="U847" i="6"/>
  <c r="T847" i="6"/>
  <c r="V846" i="6"/>
  <c r="U846" i="6"/>
  <c r="T846" i="6"/>
  <c r="V845" i="6"/>
  <c r="U845" i="6"/>
  <c r="T845" i="6"/>
  <c r="V844" i="6"/>
  <c r="U844" i="6"/>
  <c r="T844" i="6"/>
  <c r="V843" i="6"/>
  <c r="U843" i="6"/>
  <c r="T843" i="6"/>
  <c r="V842" i="6"/>
  <c r="U842" i="6"/>
  <c r="T842" i="6"/>
  <c r="V841" i="6"/>
  <c r="U841" i="6"/>
  <c r="T841" i="6"/>
  <c r="V840" i="6"/>
  <c r="U840" i="6"/>
  <c r="T840" i="6"/>
  <c r="V839" i="6"/>
  <c r="U839" i="6"/>
  <c r="T839" i="6"/>
  <c r="V838" i="6"/>
  <c r="U838" i="6"/>
  <c r="T838" i="6"/>
  <c r="V837" i="6"/>
  <c r="U837" i="6"/>
  <c r="T837" i="6"/>
  <c r="V836" i="6"/>
  <c r="U836" i="6"/>
  <c r="T836" i="6"/>
  <c r="V835" i="6"/>
  <c r="U835" i="6"/>
  <c r="T835" i="6"/>
  <c r="V834" i="6"/>
  <c r="U834" i="6"/>
  <c r="T834" i="6"/>
  <c r="V833" i="6"/>
  <c r="U833" i="6"/>
  <c r="T833" i="6"/>
  <c r="V832" i="6"/>
  <c r="U832" i="6"/>
  <c r="T832" i="6"/>
  <c r="V831" i="6"/>
  <c r="U831" i="6"/>
  <c r="T831" i="6"/>
  <c r="V830" i="6"/>
  <c r="U830" i="6"/>
  <c r="T830" i="6"/>
  <c r="V829" i="6"/>
  <c r="U829" i="6"/>
  <c r="T829" i="6"/>
  <c r="V828" i="6"/>
  <c r="U828" i="6"/>
  <c r="T828" i="6"/>
  <c r="V827" i="6"/>
  <c r="U827" i="6"/>
  <c r="T827" i="6"/>
  <c r="V826" i="6"/>
  <c r="U826" i="6"/>
  <c r="T826" i="6"/>
  <c r="V825" i="6"/>
  <c r="U825" i="6"/>
  <c r="T825" i="6"/>
  <c r="V824" i="6"/>
  <c r="U824" i="6"/>
  <c r="T824" i="6"/>
  <c r="V823" i="6"/>
  <c r="U823" i="6"/>
  <c r="T823" i="6"/>
  <c r="V822" i="6"/>
  <c r="U822" i="6"/>
  <c r="T822" i="6"/>
  <c r="V821" i="6"/>
  <c r="U821" i="6"/>
  <c r="T821" i="6"/>
  <c r="V820" i="6"/>
  <c r="U820" i="6"/>
  <c r="T820" i="6"/>
  <c r="V819" i="6"/>
  <c r="U819" i="6"/>
  <c r="T819" i="6"/>
  <c r="V818" i="6"/>
  <c r="U818" i="6"/>
  <c r="T818" i="6"/>
  <c r="V817" i="6"/>
  <c r="U817" i="6"/>
  <c r="T817" i="6"/>
  <c r="V816" i="6"/>
  <c r="U816" i="6"/>
  <c r="T816" i="6"/>
  <c r="V815" i="6"/>
  <c r="U815" i="6"/>
  <c r="T815" i="6"/>
  <c r="V814" i="6"/>
  <c r="U814" i="6"/>
  <c r="T814" i="6"/>
  <c r="V813" i="6"/>
  <c r="U813" i="6"/>
  <c r="T813" i="6"/>
  <c r="V812" i="6"/>
  <c r="U812" i="6"/>
  <c r="T812" i="6"/>
  <c r="V811" i="6"/>
  <c r="U811" i="6"/>
  <c r="T811" i="6"/>
  <c r="V810" i="6"/>
  <c r="U810" i="6"/>
  <c r="T810" i="6"/>
  <c r="V809" i="6"/>
  <c r="U809" i="6"/>
  <c r="T809" i="6"/>
  <c r="V808" i="6"/>
  <c r="U808" i="6"/>
  <c r="T808" i="6"/>
  <c r="V807" i="6"/>
  <c r="U807" i="6"/>
  <c r="T807" i="6"/>
  <c r="V806" i="6"/>
  <c r="U806" i="6"/>
  <c r="T806" i="6"/>
  <c r="V805" i="6"/>
  <c r="U805" i="6"/>
  <c r="T805" i="6"/>
  <c r="V804" i="6"/>
  <c r="U804" i="6"/>
  <c r="T804" i="6"/>
  <c r="V803" i="6"/>
  <c r="U803" i="6"/>
  <c r="T803" i="6"/>
  <c r="V802" i="6"/>
  <c r="U802" i="6"/>
  <c r="T802" i="6"/>
  <c r="V801" i="6"/>
  <c r="U801" i="6"/>
  <c r="T801" i="6"/>
  <c r="V800" i="6"/>
  <c r="U800" i="6"/>
  <c r="T800" i="6"/>
  <c r="V799" i="6"/>
  <c r="U799" i="6"/>
  <c r="T799" i="6"/>
  <c r="V798" i="6"/>
  <c r="U798" i="6"/>
  <c r="T798" i="6"/>
  <c r="V797" i="6"/>
  <c r="U797" i="6"/>
  <c r="T797" i="6"/>
  <c r="V796" i="6"/>
  <c r="U796" i="6"/>
  <c r="T796" i="6"/>
  <c r="V795" i="6"/>
  <c r="U795" i="6"/>
  <c r="T795" i="6"/>
  <c r="V794" i="6"/>
  <c r="U794" i="6"/>
  <c r="T794" i="6"/>
  <c r="V793" i="6"/>
  <c r="U793" i="6"/>
  <c r="T793" i="6"/>
  <c r="V792" i="6"/>
  <c r="U792" i="6"/>
  <c r="T792" i="6"/>
  <c r="V791" i="6"/>
  <c r="U791" i="6"/>
  <c r="T791" i="6"/>
  <c r="V790" i="6"/>
  <c r="U790" i="6"/>
  <c r="T790" i="6"/>
  <c r="V789" i="6"/>
  <c r="U789" i="6"/>
  <c r="T789" i="6"/>
  <c r="V788" i="6"/>
  <c r="U788" i="6"/>
  <c r="T788" i="6"/>
  <c r="V787" i="6"/>
  <c r="U787" i="6"/>
  <c r="T787" i="6"/>
  <c r="V786" i="6"/>
  <c r="U786" i="6"/>
  <c r="T786" i="6"/>
  <c r="V785" i="6"/>
  <c r="U785" i="6"/>
  <c r="T785" i="6"/>
  <c r="V784" i="6"/>
  <c r="U784" i="6"/>
  <c r="T784" i="6"/>
  <c r="V783" i="6"/>
  <c r="U783" i="6"/>
  <c r="T783" i="6"/>
  <c r="V782" i="6"/>
  <c r="U782" i="6"/>
  <c r="T782" i="6"/>
  <c r="V781" i="6"/>
  <c r="U781" i="6"/>
  <c r="T781" i="6"/>
  <c r="V780" i="6"/>
  <c r="U780" i="6"/>
  <c r="T780" i="6"/>
  <c r="V779" i="6"/>
  <c r="U779" i="6"/>
  <c r="T779" i="6"/>
  <c r="V778" i="6"/>
  <c r="U778" i="6"/>
  <c r="T778" i="6"/>
  <c r="V777" i="6"/>
  <c r="U777" i="6"/>
  <c r="T777" i="6"/>
  <c r="V776" i="6"/>
  <c r="U776" i="6"/>
  <c r="T776" i="6"/>
  <c r="V775" i="6"/>
  <c r="U775" i="6"/>
  <c r="T775" i="6"/>
  <c r="V774" i="6"/>
  <c r="U774" i="6"/>
  <c r="T774" i="6"/>
  <c r="V773" i="6"/>
  <c r="U773" i="6"/>
  <c r="T773" i="6"/>
  <c r="V772" i="6"/>
  <c r="U772" i="6"/>
  <c r="T772" i="6"/>
  <c r="V771" i="6"/>
  <c r="U771" i="6"/>
  <c r="T771" i="6"/>
  <c r="V770" i="6"/>
  <c r="U770" i="6"/>
  <c r="T770" i="6"/>
  <c r="V769" i="6"/>
  <c r="U769" i="6"/>
  <c r="T769" i="6"/>
  <c r="V768" i="6"/>
  <c r="U768" i="6"/>
  <c r="T768" i="6"/>
  <c r="V767" i="6"/>
  <c r="U767" i="6"/>
  <c r="T767" i="6"/>
  <c r="V766" i="6"/>
  <c r="U766" i="6"/>
  <c r="T766" i="6"/>
  <c r="V765" i="6"/>
  <c r="U765" i="6"/>
  <c r="T765" i="6"/>
  <c r="V764" i="6"/>
  <c r="U764" i="6"/>
  <c r="T764" i="6"/>
  <c r="V763" i="6"/>
  <c r="U763" i="6"/>
  <c r="T763" i="6"/>
  <c r="V762" i="6"/>
  <c r="U762" i="6"/>
  <c r="T762" i="6"/>
  <c r="V761" i="6"/>
  <c r="U761" i="6"/>
  <c r="T761" i="6"/>
  <c r="V760" i="6"/>
  <c r="U760" i="6"/>
  <c r="T760" i="6"/>
  <c r="V759" i="6"/>
  <c r="U759" i="6"/>
  <c r="T759" i="6"/>
  <c r="V758" i="6"/>
  <c r="U758" i="6"/>
  <c r="T758" i="6"/>
  <c r="V757" i="6"/>
  <c r="U757" i="6"/>
  <c r="T757" i="6"/>
  <c r="V756" i="6"/>
  <c r="U756" i="6"/>
  <c r="T756" i="6"/>
  <c r="V755" i="6"/>
  <c r="U755" i="6"/>
  <c r="T755" i="6"/>
  <c r="V754" i="6"/>
  <c r="U754" i="6"/>
  <c r="T754" i="6"/>
  <c r="V753" i="6"/>
  <c r="U753" i="6"/>
  <c r="T753" i="6"/>
  <c r="V752" i="6"/>
  <c r="U752" i="6"/>
  <c r="T752" i="6"/>
  <c r="V751" i="6"/>
  <c r="U751" i="6"/>
  <c r="T751" i="6"/>
  <c r="V750" i="6"/>
  <c r="U750" i="6"/>
  <c r="T750" i="6"/>
  <c r="V749" i="6"/>
  <c r="U749" i="6"/>
  <c r="T749" i="6"/>
  <c r="V748" i="6"/>
  <c r="U748" i="6"/>
  <c r="T748" i="6"/>
  <c r="V747" i="6"/>
  <c r="U747" i="6"/>
  <c r="T747" i="6"/>
  <c r="V746" i="6"/>
  <c r="U746" i="6"/>
  <c r="T746" i="6"/>
  <c r="V745" i="6"/>
  <c r="U745" i="6"/>
  <c r="T745" i="6"/>
  <c r="V744" i="6"/>
  <c r="U744" i="6"/>
  <c r="T744" i="6"/>
  <c r="V743" i="6"/>
  <c r="U743" i="6"/>
  <c r="T743" i="6"/>
  <c r="V742" i="6"/>
  <c r="U742" i="6"/>
  <c r="T742" i="6"/>
  <c r="V741" i="6"/>
  <c r="U741" i="6"/>
  <c r="T741" i="6"/>
  <c r="V740" i="6"/>
  <c r="U740" i="6"/>
  <c r="T740" i="6"/>
  <c r="V739" i="6"/>
  <c r="U739" i="6"/>
  <c r="T739" i="6"/>
  <c r="V738" i="6"/>
  <c r="U738" i="6"/>
  <c r="T738" i="6"/>
  <c r="V737" i="6"/>
  <c r="U737" i="6"/>
  <c r="T737" i="6"/>
  <c r="V736" i="6"/>
  <c r="U736" i="6"/>
  <c r="T736" i="6"/>
  <c r="V735" i="6"/>
  <c r="U735" i="6"/>
  <c r="T735" i="6"/>
  <c r="V734" i="6"/>
  <c r="U734" i="6"/>
  <c r="T734" i="6"/>
  <c r="V733" i="6"/>
  <c r="U733" i="6"/>
  <c r="T733" i="6"/>
  <c r="V732" i="6"/>
  <c r="U732" i="6"/>
  <c r="T732" i="6"/>
  <c r="V731" i="6"/>
  <c r="U731" i="6"/>
  <c r="T731" i="6"/>
  <c r="V730" i="6"/>
  <c r="U730" i="6"/>
  <c r="T730" i="6"/>
  <c r="V729" i="6"/>
  <c r="U729" i="6"/>
  <c r="T729" i="6"/>
  <c r="V728" i="6"/>
  <c r="U728" i="6"/>
  <c r="T728" i="6"/>
  <c r="V727" i="6"/>
  <c r="U727" i="6"/>
  <c r="T727" i="6"/>
  <c r="V726" i="6"/>
  <c r="U726" i="6"/>
  <c r="T726" i="6"/>
  <c r="V725" i="6"/>
  <c r="U725" i="6"/>
  <c r="T725" i="6"/>
  <c r="V724" i="6"/>
  <c r="U724" i="6"/>
  <c r="T724" i="6"/>
  <c r="V723" i="6"/>
  <c r="U723" i="6"/>
  <c r="T723" i="6"/>
  <c r="V722" i="6"/>
  <c r="U722" i="6"/>
  <c r="T722" i="6"/>
  <c r="V721" i="6"/>
  <c r="U721" i="6"/>
  <c r="T721" i="6"/>
  <c r="V720" i="6"/>
  <c r="U720" i="6"/>
  <c r="T720" i="6"/>
  <c r="V719" i="6"/>
  <c r="U719" i="6"/>
  <c r="T719" i="6"/>
  <c r="V718" i="6"/>
  <c r="U718" i="6"/>
  <c r="T718" i="6"/>
  <c r="V717" i="6"/>
  <c r="U717" i="6"/>
  <c r="T717" i="6"/>
  <c r="V716" i="6"/>
  <c r="U716" i="6"/>
  <c r="T716" i="6"/>
  <c r="V715" i="6"/>
  <c r="U715" i="6"/>
  <c r="T715" i="6"/>
  <c r="V714" i="6"/>
  <c r="U714" i="6"/>
  <c r="T714" i="6"/>
  <c r="V713" i="6"/>
  <c r="U713" i="6"/>
  <c r="T713" i="6"/>
  <c r="V712" i="6"/>
  <c r="U712" i="6"/>
  <c r="T712" i="6"/>
  <c r="V711" i="6"/>
  <c r="U711" i="6"/>
  <c r="T711" i="6"/>
  <c r="V710" i="6"/>
  <c r="U710" i="6"/>
  <c r="T710" i="6"/>
  <c r="V709" i="6"/>
  <c r="U709" i="6"/>
  <c r="T709" i="6"/>
  <c r="V708" i="6"/>
  <c r="U708" i="6"/>
  <c r="T708" i="6"/>
  <c r="V707" i="6"/>
  <c r="U707" i="6"/>
  <c r="T707" i="6"/>
  <c r="V706" i="6"/>
  <c r="U706" i="6"/>
  <c r="T706" i="6"/>
  <c r="V705" i="6"/>
  <c r="U705" i="6"/>
  <c r="T705" i="6"/>
  <c r="V704" i="6"/>
  <c r="U704" i="6"/>
  <c r="T704" i="6"/>
  <c r="V703" i="6"/>
  <c r="U703" i="6"/>
  <c r="T703" i="6"/>
  <c r="V702" i="6"/>
  <c r="U702" i="6"/>
  <c r="T702" i="6"/>
  <c r="V701" i="6"/>
  <c r="U701" i="6"/>
  <c r="T701" i="6"/>
  <c r="V700" i="6"/>
  <c r="U700" i="6"/>
  <c r="T700" i="6"/>
  <c r="V699" i="6"/>
  <c r="U699" i="6"/>
  <c r="T699" i="6"/>
  <c r="V698" i="6"/>
  <c r="U698" i="6"/>
  <c r="T698" i="6"/>
  <c r="V697" i="6"/>
  <c r="U697" i="6"/>
  <c r="T697" i="6"/>
  <c r="V696" i="6"/>
  <c r="U696" i="6"/>
  <c r="T696" i="6"/>
  <c r="V695" i="6"/>
  <c r="U695" i="6"/>
  <c r="T695" i="6"/>
  <c r="V694" i="6"/>
  <c r="U694" i="6"/>
  <c r="T694" i="6"/>
  <c r="V693" i="6"/>
  <c r="U693" i="6"/>
  <c r="T693" i="6"/>
  <c r="V692" i="6"/>
  <c r="U692" i="6"/>
  <c r="T692" i="6"/>
  <c r="V691" i="6"/>
  <c r="U691" i="6"/>
  <c r="T691" i="6"/>
  <c r="V690" i="6"/>
  <c r="U690" i="6"/>
  <c r="T690" i="6"/>
  <c r="V689" i="6"/>
  <c r="U689" i="6"/>
  <c r="T689" i="6"/>
  <c r="V688" i="6"/>
  <c r="U688" i="6"/>
  <c r="T688" i="6"/>
  <c r="V687" i="6"/>
  <c r="U687" i="6"/>
  <c r="T687" i="6"/>
  <c r="V686" i="6"/>
  <c r="U686" i="6"/>
  <c r="T686" i="6"/>
  <c r="V685" i="6"/>
  <c r="U685" i="6"/>
  <c r="T685" i="6"/>
  <c r="V684" i="6"/>
  <c r="U684" i="6"/>
  <c r="T684" i="6"/>
  <c r="V683" i="6"/>
  <c r="U683" i="6"/>
  <c r="T683" i="6"/>
  <c r="V682" i="6"/>
  <c r="U682" i="6"/>
  <c r="T682" i="6"/>
  <c r="V681" i="6"/>
  <c r="U681" i="6"/>
  <c r="T681" i="6"/>
  <c r="V680" i="6"/>
  <c r="U680" i="6"/>
  <c r="T680" i="6"/>
  <c r="V679" i="6"/>
  <c r="U679" i="6"/>
  <c r="T679" i="6"/>
  <c r="V678" i="6"/>
  <c r="U678" i="6"/>
  <c r="T678" i="6"/>
  <c r="V677" i="6"/>
  <c r="U677" i="6"/>
  <c r="T677" i="6"/>
  <c r="V676" i="6"/>
  <c r="U676" i="6"/>
  <c r="T676" i="6"/>
  <c r="V675" i="6"/>
  <c r="U675" i="6"/>
  <c r="T675" i="6"/>
  <c r="V674" i="6"/>
  <c r="U674" i="6"/>
  <c r="T674" i="6"/>
  <c r="V673" i="6"/>
  <c r="U673" i="6"/>
  <c r="T673" i="6"/>
  <c r="V672" i="6"/>
  <c r="U672" i="6"/>
  <c r="T672" i="6"/>
  <c r="V671" i="6"/>
  <c r="U671" i="6"/>
  <c r="T671" i="6"/>
  <c r="V670" i="6"/>
  <c r="U670" i="6"/>
  <c r="T670" i="6"/>
  <c r="V669" i="6"/>
  <c r="U669" i="6"/>
  <c r="T669" i="6"/>
  <c r="V668" i="6"/>
  <c r="U668" i="6"/>
  <c r="T668" i="6"/>
  <c r="V667" i="6"/>
  <c r="U667" i="6"/>
  <c r="T667" i="6"/>
  <c r="V666" i="6"/>
  <c r="U666" i="6"/>
  <c r="T666" i="6"/>
  <c r="V665" i="6"/>
  <c r="U665" i="6"/>
  <c r="T665" i="6"/>
  <c r="V664" i="6"/>
  <c r="U664" i="6"/>
  <c r="T664" i="6"/>
  <c r="V663" i="6"/>
  <c r="U663" i="6"/>
  <c r="T663" i="6"/>
  <c r="V662" i="6"/>
  <c r="U662" i="6"/>
  <c r="T662" i="6"/>
  <c r="V661" i="6"/>
  <c r="U661" i="6"/>
  <c r="T661" i="6"/>
  <c r="V660" i="6"/>
  <c r="U660" i="6"/>
  <c r="T660" i="6"/>
  <c r="V659" i="6"/>
  <c r="U659" i="6"/>
  <c r="T659" i="6"/>
  <c r="V658" i="6"/>
  <c r="U658" i="6"/>
  <c r="T658" i="6"/>
  <c r="V657" i="6"/>
  <c r="U657" i="6"/>
  <c r="T657" i="6"/>
  <c r="V656" i="6"/>
  <c r="U656" i="6"/>
  <c r="T656" i="6"/>
  <c r="V655" i="6"/>
  <c r="U655" i="6"/>
  <c r="T655" i="6"/>
  <c r="V654" i="6"/>
  <c r="U654" i="6"/>
  <c r="T654" i="6"/>
  <c r="V653" i="6"/>
  <c r="U653" i="6"/>
  <c r="T653" i="6"/>
  <c r="V652" i="6"/>
  <c r="U652" i="6"/>
  <c r="T652" i="6"/>
  <c r="V651" i="6"/>
  <c r="U651" i="6"/>
  <c r="T651" i="6"/>
  <c r="V650" i="6"/>
  <c r="U650" i="6"/>
  <c r="T650" i="6"/>
  <c r="V649" i="6"/>
  <c r="U649" i="6"/>
  <c r="T649" i="6"/>
  <c r="V648" i="6"/>
  <c r="U648" i="6"/>
  <c r="T648" i="6"/>
  <c r="V647" i="6"/>
  <c r="U647" i="6"/>
  <c r="T647" i="6"/>
  <c r="V646" i="6"/>
  <c r="U646" i="6"/>
  <c r="T646" i="6"/>
  <c r="V645" i="6"/>
  <c r="U645" i="6"/>
  <c r="T645" i="6"/>
  <c r="V644" i="6"/>
  <c r="U644" i="6"/>
  <c r="T644" i="6"/>
  <c r="V643" i="6"/>
  <c r="U643" i="6"/>
  <c r="T643" i="6"/>
  <c r="V642" i="6"/>
  <c r="U642" i="6"/>
  <c r="T642" i="6"/>
  <c r="V641" i="6"/>
  <c r="U641" i="6"/>
  <c r="T641" i="6"/>
  <c r="V640" i="6"/>
  <c r="U640" i="6"/>
  <c r="T640" i="6"/>
  <c r="V639" i="6"/>
  <c r="U639" i="6"/>
  <c r="T639" i="6"/>
  <c r="V638" i="6"/>
  <c r="U638" i="6"/>
  <c r="T638" i="6"/>
  <c r="V637" i="6"/>
  <c r="U637" i="6"/>
  <c r="T637" i="6"/>
  <c r="V636" i="6"/>
  <c r="U636" i="6"/>
  <c r="T636" i="6"/>
  <c r="V635" i="6"/>
  <c r="U635" i="6"/>
  <c r="T635" i="6"/>
  <c r="V634" i="6"/>
  <c r="U634" i="6"/>
  <c r="T634" i="6"/>
  <c r="V633" i="6"/>
  <c r="U633" i="6"/>
  <c r="T633" i="6"/>
  <c r="V632" i="6"/>
  <c r="U632" i="6"/>
  <c r="T632" i="6"/>
  <c r="V631" i="6"/>
  <c r="U631" i="6"/>
  <c r="T631" i="6"/>
  <c r="V630" i="6"/>
  <c r="U630" i="6"/>
  <c r="T630" i="6"/>
  <c r="V629" i="6"/>
  <c r="U629" i="6"/>
  <c r="T629" i="6"/>
  <c r="V628" i="6"/>
  <c r="U628" i="6"/>
  <c r="T628" i="6"/>
  <c r="V627" i="6"/>
  <c r="U627" i="6"/>
  <c r="T627" i="6"/>
  <c r="V626" i="6"/>
  <c r="U626" i="6"/>
  <c r="T626" i="6"/>
  <c r="V625" i="6"/>
  <c r="U625" i="6"/>
  <c r="T625" i="6"/>
  <c r="V624" i="6"/>
  <c r="U624" i="6"/>
  <c r="T624" i="6"/>
  <c r="V623" i="6"/>
  <c r="U623" i="6"/>
  <c r="T623" i="6"/>
  <c r="V622" i="6"/>
  <c r="U622" i="6"/>
  <c r="T622" i="6"/>
  <c r="V621" i="6"/>
  <c r="U621" i="6"/>
  <c r="T621" i="6"/>
  <c r="V620" i="6"/>
  <c r="U620" i="6"/>
  <c r="T620" i="6"/>
  <c r="V619" i="6"/>
  <c r="U619" i="6"/>
  <c r="T619" i="6"/>
  <c r="V618" i="6"/>
  <c r="U618" i="6"/>
  <c r="T618" i="6"/>
  <c r="V617" i="6"/>
  <c r="U617" i="6"/>
  <c r="T617" i="6"/>
  <c r="V616" i="6"/>
  <c r="U616" i="6"/>
  <c r="T616" i="6"/>
  <c r="V615" i="6"/>
  <c r="U615" i="6"/>
  <c r="T615" i="6"/>
  <c r="V614" i="6"/>
  <c r="U614" i="6"/>
  <c r="T614" i="6"/>
  <c r="V613" i="6"/>
  <c r="U613" i="6"/>
  <c r="T613" i="6"/>
  <c r="V612" i="6"/>
  <c r="U612" i="6"/>
  <c r="T612" i="6"/>
  <c r="V611" i="6"/>
  <c r="U611" i="6"/>
  <c r="T611" i="6"/>
  <c r="V610" i="6"/>
  <c r="U610" i="6"/>
  <c r="T610" i="6"/>
  <c r="V609" i="6"/>
  <c r="U609" i="6"/>
  <c r="T609" i="6"/>
  <c r="V608" i="6"/>
  <c r="U608" i="6"/>
  <c r="T608" i="6"/>
  <c r="V607" i="6"/>
  <c r="U607" i="6"/>
  <c r="T607" i="6"/>
  <c r="V606" i="6"/>
  <c r="U606" i="6"/>
  <c r="T606" i="6"/>
  <c r="V605" i="6"/>
  <c r="U605" i="6"/>
  <c r="T605" i="6"/>
  <c r="V604" i="6"/>
  <c r="U604" i="6"/>
  <c r="T604" i="6"/>
  <c r="V603" i="6"/>
  <c r="U603" i="6"/>
  <c r="T603" i="6"/>
  <c r="V602" i="6"/>
  <c r="U602" i="6"/>
  <c r="T602" i="6"/>
  <c r="V601" i="6"/>
  <c r="U601" i="6"/>
  <c r="T601" i="6"/>
  <c r="V600" i="6"/>
  <c r="U600" i="6"/>
  <c r="T600" i="6"/>
  <c r="V599" i="6"/>
  <c r="U599" i="6"/>
  <c r="T599" i="6"/>
  <c r="V598" i="6"/>
  <c r="U598" i="6"/>
  <c r="T598" i="6"/>
  <c r="V597" i="6"/>
  <c r="U597" i="6"/>
  <c r="T597" i="6"/>
  <c r="V596" i="6"/>
  <c r="U596" i="6"/>
  <c r="T596" i="6"/>
  <c r="V595" i="6"/>
  <c r="U595" i="6"/>
  <c r="T595" i="6"/>
  <c r="V594" i="6"/>
  <c r="U594" i="6"/>
  <c r="T594" i="6"/>
  <c r="V593" i="6"/>
  <c r="U593" i="6"/>
  <c r="T593" i="6"/>
  <c r="V592" i="6"/>
  <c r="U592" i="6"/>
  <c r="T592" i="6"/>
  <c r="V591" i="6"/>
  <c r="U591" i="6"/>
  <c r="T591" i="6"/>
  <c r="V590" i="6"/>
  <c r="U590" i="6"/>
  <c r="T590" i="6"/>
  <c r="V589" i="6"/>
  <c r="U589" i="6"/>
  <c r="T589" i="6"/>
  <c r="V588" i="6"/>
  <c r="U588" i="6"/>
  <c r="T588" i="6"/>
  <c r="V587" i="6"/>
  <c r="U587" i="6"/>
  <c r="T587" i="6"/>
  <c r="V586" i="6"/>
  <c r="U586" i="6"/>
  <c r="T586" i="6"/>
  <c r="V585" i="6"/>
  <c r="U585" i="6"/>
  <c r="T585" i="6"/>
  <c r="V584" i="6"/>
  <c r="U584" i="6"/>
  <c r="T584" i="6"/>
  <c r="V583" i="6"/>
  <c r="U583" i="6"/>
  <c r="T583" i="6"/>
  <c r="V582" i="6"/>
  <c r="U582" i="6"/>
  <c r="T582" i="6"/>
  <c r="V581" i="6"/>
  <c r="U581" i="6"/>
  <c r="T581" i="6"/>
  <c r="V580" i="6"/>
  <c r="U580" i="6"/>
  <c r="T580" i="6"/>
  <c r="V579" i="6"/>
  <c r="U579" i="6"/>
  <c r="T579" i="6"/>
  <c r="V578" i="6"/>
  <c r="U578" i="6"/>
  <c r="T578" i="6"/>
  <c r="V577" i="6"/>
  <c r="U577" i="6"/>
  <c r="T577" i="6"/>
  <c r="V576" i="6"/>
  <c r="U576" i="6"/>
  <c r="T576" i="6"/>
  <c r="V575" i="6"/>
  <c r="U575" i="6"/>
  <c r="T575" i="6"/>
  <c r="V574" i="6"/>
  <c r="U574" i="6"/>
  <c r="T574" i="6"/>
  <c r="V573" i="6"/>
  <c r="U573" i="6"/>
  <c r="T573" i="6"/>
  <c r="V572" i="6"/>
  <c r="U572" i="6"/>
  <c r="T572" i="6"/>
  <c r="V571" i="6"/>
  <c r="U571" i="6"/>
  <c r="T571" i="6"/>
  <c r="V570" i="6"/>
  <c r="U570" i="6"/>
  <c r="T570" i="6"/>
  <c r="V569" i="6"/>
  <c r="U569" i="6"/>
  <c r="T569" i="6"/>
  <c r="V568" i="6"/>
  <c r="U568" i="6"/>
  <c r="T568" i="6"/>
  <c r="V567" i="6"/>
  <c r="U567" i="6"/>
  <c r="T567" i="6"/>
  <c r="V566" i="6"/>
  <c r="U566" i="6"/>
  <c r="T566" i="6"/>
  <c r="V565" i="6"/>
  <c r="U565" i="6"/>
  <c r="T565" i="6"/>
  <c r="V564" i="6"/>
  <c r="U564" i="6"/>
  <c r="T564" i="6"/>
  <c r="V563" i="6"/>
  <c r="U563" i="6"/>
  <c r="T563" i="6"/>
  <c r="V562" i="6"/>
  <c r="U562" i="6"/>
  <c r="T562" i="6"/>
  <c r="V561" i="6"/>
  <c r="U561" i="6"/>
  <c r="T561" i="6"/>
  <c r="V560" i="6"/>
  <c r="U560" i="6"/>
  <c r="T560" i="6"/>
  <c r="V559" i="6"/>
  <c r="U559" i="6"/>
  <c r="T559" i="6"/>
  <c r="V558" i="6"/>
  <c r="U558" i="6"/>
  <c r="T558" i="6"/>
  <c r="V557" i="6"/>
  <c r="U557" i="6"/>
  <c r="T557" i="6"/>
  <c r="V556" i="6"/>
  <c r="U556" i="6"/>
  <c r="T556" i="6"/>
  <c r="V555" i="6"/>
  <c r="U555" i="6"/>
  <c r="T555" i="6"/>
  <c r="V554" i="6"/>
  <c r="U554" i="6"/>
  <c r="T554" i="6"/>
  <c r="V553" i="6"/>
  <c r="U553" i="6"/>
  <c r="T553" i="6"/>
  <c r="V552" i="6"/>
  <c r="U552" i="6"/>
  <c r="T552" i="6"/>
  <c r="V551" i="6"/>
  <c r="U551" i="6"/>
  <c r="T551" i="6"/>
  <c r="V550" i="6"/>
  <c r="U550" i="6"/>
  <c r="T550" i="6"/>
  <c r="V549" i="6"/>
  <c r="U549" i="6"/>
  <c r="T549" i="6"/>
  <c r="V548" i="6"/>
  <c r="U548" i="6"/>
  <c r="T548" i="6"/>
  <c r="V547" i="6"/>
  <c r="U547" i="6"/>
  <c r="T547" i="6"/>
  <c r="V546" i="6"/>
  <c r="U546" i="6"/>
  <c r="T546" i="6"/>
  <c r="V545" i="6"/>
  <c r="U545" i="6"/>
  <c r="T545" i="6"/>
  <c r="V544" i="6"/>
  <c r="U544" i="6"/>
  <c r="T544" i="6"/>
  <c r="V543" i="6"/>
  <c r="U543" i="6"/>
  <c r="T543" i="6"/>
  <c r="V542" i="6"/>
  <c r="U542" i="6"/>
  <c r="T542" i="6"/>
  <c r="V541" i="6"/>
  <c r="U541" i="6"/>
  <c r="T541" i="6"/>
  <c r="V540" i="6"/>
  <c r="U540" i="6"/>
  <c r="T540" i="6"/>
  <c r="V539" i="6"/>
  <c r="U539" i="6"/>
  <c r="T539" i="6"/>
  <c r="V538" i="6"/>
  <c r="U538" i="6"/>
  <c r="T538" i="6"/>
  <c r="V537" i="6"/>
  <c r="U537" i="6"/>
  <c r="T537" i="6"/>
  <c r="V536" i="6"/>
  <c r="U536" i="6"/>
  <c r="T536" i="6"/>
  <c r="V535" i="6"/>
  <c r="U535" i="6"/>
  <c r="T535" i="6"/>
  <c r="V534" i="6"/>
  <c r="U534" i="6"/>
  <c r="T534" i="6"/>
  <c r="V533" i="6"/>
  <c r="U533" i="6"/>
  <c r="T533" i="6"/>
  <c r="V532" i="6"/>
  <c r="U532" i="6"/>
  <c r="T532" i="6"/>
  <c r="V531" i="6"/>
  <c r="U531" i="6"/>
  <c r="T531" i="6"/>
  <c r="V530" i="6"/>
  <c r="U530" i="6"/>
  <c r="T530" i="6"/>
  <c r="V529" i="6"/>
  <c r="U529" i="6"/>
  <c r="T529" i="6"/>
  <c r="V528" i="6"/>
  <c r="U528" i="6"/>
  <c r="T528" i="6"/>
  <c r="V527" i="6"/>
  <c r="U527" i="6"/>
  <c r="T527" i="6"/>
  <c r="V526" i="6"/>
  <c r="U526" i="6"/>
  <c r="T526" i="6"/>
  <c r="V525" i="6"/>
  <c r="U525" i="6"/>
  <c r="T525" i="6"/>
  <c r="V524" i="6"/>
  <c r="U524" i="6"/>
  <c r="T524" i="6"/>
  <c r="V523" i="6"/>
  <c r="U523" i="6"/>
  <c r="T523" i="6"/>
  <c r="V522" i="6"/>
  <c r="U522" i="6"/>
  <c r="T522" i="6"/>
  <c r="V521" i="6"/>
  <c r="U521" i="6"/>
  <c r="T521" i="6"/>
  <c r="V520" i="6"/>
  <c r="U520" i="6"/>
  <c r="T520" i="6"/>
  <c r="V519" i="6"/>
  <c r="U519" i="6"/>
  <c r="T519" i="6"/>
  <c r="V518" i="6"/>
  <c r="U518" i="6"/>
  <c r="T518" i="6"/>
  <c r="V517" i="6"/>
  <c r="U517" i="6"/>
  <c r="T517" i="6"/>
  <c r="V516" i="6"/>
  <c r="U516" i="6"/>
  <c r="T516" i="6"/>
  <c r="V515" i="6"/>
  <c r="U515" i="6"/>
  <c r="T515" i="6"/>
  <c r="V514" i="6"/>
  <c r="U514" i="6"/>
  <c r="T514" i="6"/>
  <c r="V513" i="6"/>
  <c r="U513" i="6"/>
  <c r="T513" i="6"/>
  <c r="V512" i="6"/>
  <c r="U512" i="6"/>
  <c r="T512" i="6"/>
  <c r="V511" i="6"/>
  <c r="U511" i="6"/>
  <c r="T511" i="6"/>
  <c r="V510" i="6"/>
  <c r="U510" i="6"/>
  <c r="T510" i="6"/>
  <c r="V509" i="6"/>
  <c r="U509" i="6"/>
  <c r="T509" i="6"/>
  <c r="V508" i="6"/>
  <c r="U508" i="6"/>
  <c r="T508" i="6"/>
  <c r="V507" i="6"/>
  <c r="U507" i="6"/>
  <c r="T507" i="6"/>
  <c r="V506" i="6"/>
  <c r="U506" i="6"/>
  <c r="T506" i="6"/>
  <c r="V505" i="6"/>
  <c r="U505" i="6"/>
  <c r="T505" i="6"/>
  <c r="V504" i="6"/>
  <c r="U504" i="6"/>
  <c r="T504" i="6"/>
  <c r="V503" i="6"/>
  <c r="U503" i="6"/>
  <c r="T503" i="6"/>
  <c r="V502" i="6"/>
  <c r="U502" i="6"/>
  <c r="T502" i="6"/>
  <c r="V501" i="6"/>
  <c r="U501" i="6"/>
  <c r="T501" i="6"/>
  <c r="V500" i="6"/>
  <c r="U500" i="6"/>
  <c r="T500" i="6"/>
  <c r="V499" i="6"/>
  <c r="U499" i="6"/>
  <c r="T499" i="6"/>
  <c r="V498" i="6"/>
  <c r="U498" i="6"/>
  <c r="T498" i="6"/>
  <c r="V497" i="6"/>
  <c r="U497" i="6"/>
  <c r="T497" i="6"/>
  <c r="V496" i="6"/>
  <c r="U496" i="6"/>
  <c r="T496" i="6"/>
  <c r="V495" i="6"/>
  <c r="U495" i="6"/>
  <c r="T495" i="6"/>
  <c r="V494" i="6"/>
  <c r="U494" i="6"/>
  <c r="T494" i="6"/>
  <c r="V493" i="6"/>
  <c r="U493" i="6"/>
  <c r="T493" i="6"/>
  <c r="V492" i="6"/>
  <c r="U492" i="6"/>
  <c r="T492" i="6"/>
  <c r="V491" i="6"/>
  <c r="U491" i="6"/>
  <c r="T491" i="6"/>
  <c r="V490" i="6"/>
  <c r="U490" i="6"/>
  <c r="T490" i="6"/>
  <c r="V489" i="6"/>
  <c r="U489" i="6"/>
  <c r="T489" i="6"/>
  <c r="V488" i="6"/>
  <c r="U488" i="6"/>
  <c r="T488" i="6"/>
  <c r="V487" i="6"/>
  <c r="U487" i="6"/>
  <c r="T487" i="6"/>
  <c r="V486" i="6"/>
  <c r="U486" i="6"/>
  <c r="T486" i="6"/>
  <c r="V485" i="6"/>
  <c r="U485" i="6"/>
  <c r="T485" i="6"/>
  <c r="V484" i="6"/>
  <c r="U484" i="6"/>
  <c r="T484" i="6"/>
  <c r="V483" i="6"/>
  <c r="U483" i="6"/>
  <c r="T483" i="6"/>
  <c r="V482" i="6"/>
  <c r="U482" i="6"/>
  <c r="T482" i="6"/>
  <c r="V481" i="6"/>
  <c r="U481" i="6"/>
  <c r="T481" i="6"/>
  <c r="V480" i="6"/>
  <c r="U480" i="6"/>
  <c r="T480" i="6"/>
  <c r="V479" i="6"/>
  <c r="U479" i="6"/>
  <c r="T479" i="6"/>
  <c r="V478" i="6"/>
  <c r="U478" i="6"/>
  <c r="T478" i="6"/>
  <c r="V477" i="6"/>
  <c r="U477" i="6"/>
  <c r="T477" i="6"/>
  <c r="V476" i="6"/>
  <c r="U476" i="6"/>
  <c r="T476" i="6"/>
  <c r="V475" i="6"/>
  <c r="U475" i="6"/>
  <c r="T475" i="6"/>
  <c r="V474" i="6"/>
  <c r="U474" i="6"/>
  <c r="T474" i="6"/>
  <c r="V473" i="6"/>
  <c r="U473" i="6"/>
  <c r="T473" i="6"/>
  <c r="V472" i="6"/>
  <c r="U472" i="6"/>
  <c r="T472" i="6"/>
  <c r="V471" i="6"/>
  <c r="U471" i="6"/>
  <c r="T471" i="6"/>
  <c r="V470" i="6"/>
  <c r="U470" i="6"/>
  <c r="T470" i="6"/>
  <c r="V469" i="6"/>
  <c r="U469" i="6"/>
  <c r="T469" i="6"/>
  <c r="V468" i="6"/>
  <c r="U468" i="6"/>
  <c r="T468" i="6"/>
  <c r="V467" i="6"/>
  <c r="U467" i="6"/>
  <c r="T467" i="6"/>
  <c r="V466" i="6"/>
  <c r="U466" i="6"/>
  <c r="T466" i="6"/>
  <c r="V465" i="6"/>
  <c r="U465" i="6"/>
  <c r="T465" i="6"/>
  <c r="V464" i="6"/>
  <c r="U464" i="6"/>
  <c r="T464" i="6"/>
  <c r="V463" i="6"/>
  <c r="U463" i="6"/>
  <c r="T463" i="6"/>
  <c r="V462" i="6"/>
  <c r="U462" i="6"/>
  <c r="T462" i="6"/>
  <c r="V461" i="6"/>
  <c r="U461" i="6"/>
  <c r="T461" i="6"/>
  <c r="V460" i="6"/>
  <c r="U460" i="6"/>
  <c r="T460" i="6"/>
  <c r="V459" i="6"/>
  <c r="U459" i="6"/>
  <c r="T459" i="6"/>
  <c r="V458" i="6"/>
  <c r="U458" i="6"/>
  <c r="T458" i="6"/>
  <c r="V457" i="6"/>
  <c r="U457" i="6"/>
  <c r="T457" i="6"/>
  <c r="V456" i="6"/>
  <c r="U456" i="6"/>
  <c r="T456" i="6"/>
  <c r="V455" i="6"/>
  <c r="U455" i="6"/>
  <c r="T455" i="6"/>
  <c r="V454" i="6"/>
  <c r="U454" i="6"/>
  <c r="T454" i="6"/>
  <c r="V453" i="6"/>
  <c r="U453" i="6"/>
  <c r="T453" i="6"/>
  <c r="V452" i="6"/>
  <c r="U452" i="6"/>
  <c r="T452" i="6"/>
  <c r="V451" i="6"/>
  <c r="U451" i="6"/>
  <c r="T451" i="6"/>
  <c r="V450" i="6"/>
  <c r="U450" i="6"/>
  <c r="T450" i="6"/>
  <c r="V449" i="6"/>
  <c r="U449" i="6"/>
  <c r="T449" i="6"/>
  <c r="V448" i="6"/>
  <c r="U448" i="6"/>
  <c r="T448" i="6"/>
  <c r="V447" i="6"/>
  <c r="U447" i="6"/>
  <c r="T447" i="6"/>
  <c r="V446" i="6"/>
  <c r="U446" i="6"/>
  <c r="T446" i="6"/>
  <c r="V445" i="6"/>
  <c r="U445" i="6"/>
  <c r="T445" i="6"/>
  <c r="V444" i="6"/>
  <c r="U444" i="6"/>
  <c r="T444" i="6"/>
  <c r="V443" i="6"/>
  <c r="U443" i="6"/>
  <c r="T443" i="6"/>
  <c r="V442" i="6"/>
  <c r="U442" i="6"/>
  <c r="T442" i="6"/>
  <c r="V441" i="6"/>
  <c r="U441" i="6"/>
  <c r="T441" i="6"/>
  <c r="V440" i="6"/>
  <c r="U440" i="6"/>
  <c r="T440" i="6"/>
  <c r="V439" i="6"/>
  <c r="U439" i="6"/>
  <c r="T439" i="6"/>
  <c r="V438" i="6"/>
  <c r="U438" i="6"/>
  <c r="T438" i="6"/>
  <c r="V437" i="6"/>
  <c r="U437" i="6"/>
  <c r="T437" i="6"/>
  <c r="V436" i="6"/>
  <c r="U436" i="6"/>
  <c r="T436" i="6"/>
  <c r="V435" i="6"/>
  <c r="U435" i="6"/>
  <c r="T435" i="6"/>
  <c r="V434" i="6"/>
  <c r="U434" i="6"/>
  <c r="T434" i="6"/>
  <c r="V433" i="6"/>
  <c r="U433" i="6"/>
  <c r="T433" i="6"/>
  <c r="V432" i="6"/>
  <c r="U432" i="6"/>
  <c r="T432" i="6"/>
  <c r="V431" i="6"/>
  <c r="U431" i="6"/>
  <c r="T431" i="6"/>
  <c r="V430" i="6"/>
  <c r="U430" i="6"/>
  <c r="T430" i="6"/>
  <c r="V429" i="6"/>
  <c r="U429" i="6"/>
  <c r="T429" i="6"/>
  <c r="V428" i="6"/>
  <c r="U428" i="6"/>
  <c r="T428" i="6"/>
  <c r="V427" i="6"/>
  <c r="U427" i="6"/>
  <c r="T427" i="6"/>
  <c r="V426" i="6"/>
  <c r="U426" i="6"/>
  <c r="T426" i="6"/>
  <c r="V425" i="6"/>
  <c r="U425" i="6"/>
  <c r="T425" i="6"/>
  <c r="V424" i="6"/>
  <c r="U424" i="6"/>
  <c r="T424" i="6"/>
  <c r="V423" i="6"/>
  <c r="U423" i="6"/>
  <c r="T423" i="6"/>
  <c r="V422" i="6"/>
  <c r="U422" i="6"/>
  <c r="T422" i="6"/>
  <c r="V421" i="6"/>
  <c r="U421" i="6"/>
  <c r="T421" i="6"/>
  <c r="V420" i="6"/>
  <c r="U420" i="6"/>
  <c r="T420" i="6"/>
  <c r="V419" i="6"/>
  <c r="U419" i="6"/>
  <c r="T419" i="6"/>
  <c r="V418" i="6"/>
  <c r="U418" i="6"/>
  <c r="T418" i="6"/>
  <c r="V417" i="6"/>
  <c r="U417" i="6"/>
  <c r="T417" i="6"/>
  <c r="V416" i="6"/>
  <c r="U416" i="6"/>
  <c r="T416" i="6"/>
  <c r="V415" i="6"/>
  <c r="U415" i="6"/>
  <c r="T415" i="6"/>
  <c r="V414" i="6"/>
  <c r="U414" i="6"/>
  <c r="T414" i="6"/>
  <c r="V413" i="6"/>
  <c r="U413" i="6"/>
  <c r="T413" i="6"/>
  <c r="V412" i="6"/>
  <c r="U412" i="6"/>
  <c r="T412" i="6"/>
  <c r="V411" i="6"/>
  <c r="U411" i="6"/>
  <c r="T411" i="6"/>
  <c r="V410" i="6"/>
  <c r="U410" i="6"/>
  <c r="T410" i="6"/>
  <c r="V409" i="6"/>
  <c r="U409" i="6"/>
  <c r="T409" i="6"/>
  <c r="V408" i="6"/>
  <c r="U408" i="6"/>
  <c r="T408" i="6"/>
  <c r="V407" i="6"/>
  <c r="U407" i="6"/>
  <c r="T407" i="6"/>
  <c r="V406" i="6"/>
  <c r="U406" i="6"/>
  <c r="T406" i="6"/>
  <c r="V405" i="6"/>
  <c r="U405" i="6"/>
  <c r="T405" i="6"/>
  <c r="V404" i="6"/>
  <c r="U404" i="6"/>
  <c r="T404" i="6"/>
  <c r="V403" i="6"/>
  <c r="U403" i="6"/>
  <c r="T403" i="6"/>
  <c r="V402" i="6"/>
  <c r="U402" i="6"/>
  <c r="T402" i="6"/>
  <c r="V401" i="6"/>
  <c r="U401" i="6"/>
  <c r="T401" i="6"/>
  <c r="V400" i="6"/>
  <c r="U400" i="6"/>
  <c r="T400" i="6"/>
  <c r="V399" i="6"/>
  <c r="U399" i="6"/>
  <c r="T399" i="6"/>
  <c r="V398" i="6"/>
  <c r="U398" i="6"/>
  <c r="T398" i="6"/>
  <c r="V397" i="6"/>
  <c r="U397" i="6"/>
  <c r="T397" i="6"/>
  <c r="V396" i="6"/>
  <c r="U396" i="6"/>
  <c r="T396" i="6"/>
  <c r="V395" i="6"/>
  <c r="U395" i="6"/>
  <c r="T395" i="6"/>
  <c r="V394" i="6"/>
  <c r="U394" i="6"/>
  <c r="T394" i="6"/>
  <c r="V393" i="6"/>
  <c r="U393" i="6"/>
  <c r="T393" i="6"/>
  <c r="V392" i="6"/>
  <c r="U392" i="6"/>
  <c r="T392" i="6"/>
  <c r="V391" i="6"/>
  <c r="U391" i="6"/>
  <c r="T391" i="6"/>
  <c r="V390" i="6"/>
  <c r="U390" i="6"/>
  <c r="T390" i="6"/>
  <c r="V389" i="6"/>
  <c r="U389" i="6"/>
  <c r="T389" i="6"/>
  <c r="V388" i="6"/>
  <c r="U388" i="6"/>
  <c r="T388" i="6"/>
  <c r="V387" i="6"/>
  <c r="U387" i="6"/>
  <c r="T387" i="6"/>
  <c r="V386" i="6"/>
  <c r="U386" i="6"/>
  <c r="T386" i="6"/>
  <c r="V385" i="6"/>
  <c r="U385" i="6"/>
  <c r="T385" i="6"/>
  <c r="V384" i="6"/>
  <c r="U384" i="6"/>
  <c r="T384" i="6"/>
  <c r="V383" i="6"/>
  <c r="U383" i="6"/>
  <c r="T383" i="6"/>
  <c r="V382" i="6"/>
  <c r="U382" i="6"/>
  <c r="T382" i="6"/>
  <c r="V381" i="6"/>
  <c r="U381" i="6"/>
  <c r="T381" i="6"/>
  <c r="V380" i="6"/>
  <c r="U380" i="6"/>
  <c r="T380" i="6"/>
  <c r="V379" i="6"/>
  <c r="U379" i="6"/>
  <c r="T379" i="6"/>
  <c r="V378" i="6"/>
  <c r="U378" i="6"/>
  <c r="T378" i="6"/>
  <c r="V377" i="6"/>
  <c r="U377" i="6"/>
  <c r="T377" i="6"/>
  <c r="V376" i="6"/>
  <c r="U376" i="6"/>
  <c r="T376" i="6"/>
  <c r="V375" i="6"/>
  <c r="U375" i="6"/>
  <c r="T375" i="6"/>
  <c r="V374" i="6"/>
  <c r="U374" i="6"/>
  <c r="T374" i="6"/>
  <c r="V373" i="6"/>
  <c r="U373" i="6"/>
  <c r="T373" i="6"/>
  <c r="V372" i="6"/>
  <c r="U372" i="6"/>
  <c r="T372" i="6"/>
  <c r="V371" i="6"/>
  <c r="U371" i="6"/>
  <c r="T371" i="6"/>
  <c r="V370" i="6"/>
  <c r="U370" i="6"/>
  <c r="T370" i="6"/>
  <c r="V369" i="6"/>
  <c r="U369" i="6"/>
  <c r="T369" i="6"/>
  <c r="V368" i="6"/>
  <c r="U368" i="6"/>
  <c r="T368" i="6"/>
  <c r="V367" i="6"/>
  <c r="U367" i="6"/>
  <c r="T367" i="6"/>
  <c r="V366" i="6"/>
  <c r="U366" i="6"/>
  <c r="T366" i="6"/>
  <c r="V365" i="6"/>
  <c r="U365" i="6"/>
  <c r="T365" i="6"/>
  <c r="V364" i="6"/>
  <c r="U364" i="6"/>
  <c r="T364" i="6"/>
  <c r="V363" i="6"/>
  <c r="U363" i="6"/>
  <c r="T363" i="6"/>
  <c r="V362" i="6"/>
  <c r="U362" i="6"/>
  <c r="T362" i="6"/>
  <c r="V361" i="6"/>
  <c r="U361" i="6"/>
  <c r="T361" i="6"/>
  <c r="V360" i="6"/>
  <c r="U360" i="6"/>
  <c r="T360" i="6"/>
  <c r="V359" i="6"/>
  <c r="U359" i="6"/>
  <c r="T359" i="6"/>
  <c r="V358" i="6"/>
  <c r="U358" i="6"/>
  <c r="T358" i="6"/>
  <c r="V357" i="6"/>
  <c r="U357" i="6"/>
  <c r="T357" i="6"/>
  <c r="V356" i="6"/>
  <c r="U356" i="6"/>
  <c r="T356" i="6"/>
  <c r="V355" i="6"/>
  <c r="U355" i="6"/>
  <c r="T355" i="6"/>
  <c r="V354" i="6"/>
  <c r="U354" i="6"/>
  <c r="T354" i="6"/>
  <c r="V353" i="6"/>
  <c r="U353" i="6"/>
  <c r="T353" i="6"/>
  <c r="V352" i="6"/>
  <c r="U352" i="6"/>
  <c r="T352" i="6"/>
  <c r="V351" i="6"/>
  <c r="U351" i="6"/>
  <c r="T351" i="6"/>
  <c r="V350" i="6"/>
  <c r="U350" i="6"/>
  <c r="T350" i="6"/>
  <c r="V349" i="6"/>
  <c r="U349" i="6"/>
  <c r="T349" i="6"/>
  <c r="V348" i="6"/>
  <c r="U348" i="6"/>
  <c r="T348" i="6"/>
  <c r="V347" i="6"/>
  <c r="U347" i="6"/>
  <c r="T347" i="6"/>
  <c r="V346" i="6"/>
  <c r="U346" i="6"/>
  <c r="T346" i="6"/>
  <c r="V345" i="6"/>
  <c r="U345" i="6"/>
  <c r="T345" i="6"/>
  <c r="V344" i="6"/>
  <c r="U344" i="6"/>
  <c r="T344" i="6"/>
  <c r="V343" i="6"/>
  <c r="U343" i="6"/>
  <c r="T343" i="6"/>
  <c r="V342" i="6"/>
  <c r="U342" i="6"/>
  <c r="T342" i="6"/>
  <c r="V341" i="6"/>
  <c r="U341" i="6"/>
  <c r="T341" i="6"/>
  <c r="V340" i="6"/>
  <c r="U340" i="6"/>
  <c r="T340" i="6"/>
  <c r="V339" i="6"/>
  <c r="U339" i="6"/>
  <c r="T339" i="6"/>
  <c r="V338" i="6"/>
  <c r="U338" i="6"/>
  <c r="T338" i="6"/>
  <c r="V337" i="6"/>
  <c r="U337" i="6"/>
  <c r="T337" i="6"/>
  <c r="V336" i="6"/>
  <c r="U336" i="6"/>
  <c r="T336" i="6"/>
  <c r="V335" i="6"/>
  <c r="U335" i="6"/>
  <c r="T335" i="6"/>
  <c r="V334" i="6"/>
  <c r="U334" i="6"/>
  <c r="T334" i="6"/>
  <c r="V333" i="6"/>
  <c r="U333" i="6"/>
  <c r="T333" i="6"/>
  <c r="V332" i="6"/>
  <c r="U332" i="6"/>
  <c r="T332" i="6"/>
  <c r="V331" i="6"/>
  <c r="U331" i="6"/>
  <c r="T331" i="6"/>
  <c r="V330" i="6"/>
  <c r="U330" i="6"/>
  <c r="T330" i="6"/>
  <c r="V329" i="6"/>
  <c r="U329" i="6"/>
  <c r="T329" i="6"/>
  <c r="V328" i="6"/>
  <c r="U328" i="6"/>
  <c r="T328" i="6"/>
  <c r="V327" i="6"/>
  <c r="U327" i="6"/>
  <c r="T327" i="6"/>
  <c r="V326" i="6"/>
  <c r="U326" i="6"/>
  <c r="T326" i="6"/>
  <c r="V325" i="6"/>
  <c r="U325" i="6"/>
  <c r="T325" i="6"/>
  <c r="V324" i="6"/>
  <c r="U324" i="6"/>
  <c r="T324" i="6"/>
  <c r="V323" i="6"/>
  <c r="U323" i="6"/>
  <c r="T323" i="6"/>
  <c r="V322" i="6"/>
  <c r="U322" i="6"/>
  <c r="T322" i="6"/>
  <c r="V321" i="6"/>
  <c r="U321" i="6"/>
  <c r="T321" i="6"/>
  <c r="V320" i="6"/>
  <c r="U320" i="6"/>
  <c r="T320" i="6"/>
  <c r="V319" i="6"/>
  <c r="U319" i="6"/>
  <c r="T319" i="6"/>
  <c r="V318" i="6"/>
  <c r="U318" i="6"/>
  <c r="T318" i="6"/>
  <c r="V317" i="6"/>
  <c r="U317" i="6"/>
  <c r="T317" i="6"/>
  <c r="V316" i="6"/>
  <c r="U316" i="6"/>
  <c r="T316" i="6"/>
  <c r="V315" i="6"/>
  <c r="U315" i="6"/>
  <c r="T315" i="6"/>
  <c r="V314" i="6"/>
  <c r="U314" i="6"/>
  <c r="T314" i="6"/>
  <c r="V313" i="6"/>
  <c r="U313" i="6"/>
  <c r="T313" i="6"/>
  <c r="V312" i="6"/>
  <c r="U312" i="6"/>
  <c r="T312" i="6"/>
  <c r="V311" i="6"/>
  <c r="U311" i="6"/>
  <c r="T311" i="6"/>
  <c r="V310" i="6"/>
  <c r="U310" i="6"/>
  <c r="T310" i="6"/>
  <c r="V309" i="6"/>
  <c r="U309" i="6"/>
  <c r="T309" i="6"/>
  <c r="V308" i="6"/>
  <c r="U308" i="6"/>
  <c r="T308" i="6"/>
  <c r="V307" i="6"/>
  <c r="U307" i="6"/>
  <c r="T307" i="6"/>
  <c r="V306" i="6"/>
  <c r="U306" i="6"/>
  <c r="T306" i="6"/>
  <c r="V305" i="6"/>
  <c r="U305" i="6"/>
  <c r="T305" i="6"/>
  <c r="V304" i="6"/>
  <c r="U304" i="6"/>
  <c r="T304" i="6"/>
  <c r="V303" i="6"/>
  <c r="U303" i="6"/>
  <c r="T303" i="6"/>
  <c r="V302" i="6"/>
  <c r="U302" i="6"/>
  <c r="T302" i="6"/>
  <c r="V301" i="6"/>
  <c r="U301" i="6"/>
  <c r="T301" i="6"/>
  <c r="V300" i="6"/>
  <c r="U300" i="6"/>
  <c r="T300" i="6"/>
  <c r="V299" i="6"/>
  <c r="U299" i="6"/>
  <c r="T299" i="6"/>
  <c r="V298" i="6"/>
  <c r="U298" i="6"/>
  <c r="T298" i="6"/>
  <c r="V297" i="6"/>
  <c r="U297" i="6"/>
  <c r="T297" i="6"/>
  <c r="V296" i="6"/>
  <c r="U296" i="6"/>
  <c r="T296" i="6"/>
  <c r="V295" i="6"/>
  <c r="U295" i="6"/>
  <c r="T295" i="6"/>
  <c r="V294" i="6"/>
  <c r="U294" i="6"/>
  <c r="T294" i="6"/>
  <c r="V293" i="6"/>
  <c r="U293" i="6"/>
  <c r="T293" i="6"/>
  <c r="V292" i="6"/>
  <c r="U292" i="6"/>
  <c r="T292" i="6"/>
  <c r="V291" i="6"/>
  <c r="U291" i="6"/>
  <c r="T291" i="6"/>
  <c r="V290" i="6"/>
  <c r="U290" i="6"/>
  <c r="T290" i="6"/>
  <c r="V289" i="6"/>
  <c r="U289" i="6"/>
  <c r="T289" i="6"/>
  <c r="V288" i="6"/>
  <c r="U288" i="6"/>
  <c r="T288" i="6"/>
  <c r="V287" i="6"/>
  <c r="U287" i="6"/>
  <c r="T287" i="6"/>
  <c r="V286" i="6"/>
  <c r="U286" i="6"/>
  <c r="T286" i="6"/>
  <c r="V285" i="6"/>
  <c r="U285" i="6"/>
  <c r="T285" i="6"/>
  <c r="V284" i="6"/>
  <c r="U284" i="6"/>
  <c r="T284" i="6"/>
  <c r="V283" i="6"/>
  <c r="U283" i="6"/>
  <c r="T283" i="6"/>
  <c r="V282" i="6"/>
  <c r="U282" i="6"/>
  <c r="T282" i="6"/>
  <c r="V281" i="6"/>
  <c r="U281" i="6"/>
  <c r="T281" i="6"/>
  <c r="V280" i="6"/>
  <c r="U280" i="6"/>
  <c r="T280" i="6"/>
  <c r="V279" i="6"/>
  <c r="U279" i="6"/>
  <c r="T279" i="6"/>
  <c r="V278" i="6"/>
  <c r="U278" i="6"/>
  <c r="T278" i="6"/>
  <c r="V277" i="6"/>
  <c r="U277" i="6"/>
  <c r="T277" i="6"/>
  <c r="V276" i="6"/>
  <c r="U276" i="6"/>
  <c r="T276" i="6"/>
  <c r="V275" i="6"/>
  <c r="U275" i="6"/>
  <c r="T275" i="6"/>
  <c r="V274" i="6"/>
  <c r="U274" i="6"/>
  <c r="T274" i="6"/>
  <c r="V273" i="6"/>
  <c r="U273" i="6"/>
  <c r="T273" i="6"/>
  <c r="V272" i="6"/>
  <c r="U272" i="6"/>
  <c r="T272" i="6"/>
  <c r="V271" i="6"/>
  <c r="U271" i="6"/>
  <c r="T271" i="6"/>
  <c r="V270" i="6"/>
  <c r="U270" i="6"/>
  <c r="T270" i="6"/>
  <c r="V269" i="6"/>
  <c r="U269" i="6"/>
  <c r="T269" i="6"/>
  <c r="V268" i="6"/>
  <c r="U268" i="6"/>
  <c r="T268" i="6"/>
  <c r="V267" i="6"/>
  <c r="U267" i="6"/>
  <c r="T267" i="6"/>
  <c r="V266" i="6"/>
  <c r="U266" i="6"/>
  <c r="T266" i="6"/>
  <c r="V265" i="6"/>
  <c r="U265" i="6"/>
  <c r="T265" i="6"/>
  <c r="V264" i="6"/>
  <c r="U264" i="6"/>
  <c r="T264" i="6"/>
  <c r="V263" i="6"/>
  <c r="U263" i="6"/>
  <c r="T263" i="6"/>
  <c r="V262" i="6"/>
  <c r="U262" i="6"/>
  <c r="T262" i="6"/>
  <c r="V261" i="6"/>
  <c r="U261" i="6"/>
  <c r="T261" i="6"/>
  <c r="V260" i="6"/>
  <c r="U260" i="6"/>
  <c r="T260" i="6"/>
  <c r="V259" i="6"/>
  <c r="U259" i="6"/>
  <c r="T259" i="6"/>
  <c r="V258" i="6"/>
  <c r="U258" i="6"/>
  <c r="T258" i="6"/>
  <c r="V257" i="6"/>
  <c r="U257" i="6"/>
  <c r="T257" i="6"/>
  <c r="V256" i="6"/>
  <c r="U256" i="6"/>
  <c r="T256" i="6"/>
  <c r="V255" i="6"/>
  <c r="U255" i="6"/>
  <c r="T255" i="6"/>
  <c r="V254" i="6"/>
  <c r="U254" i="6"/>
  <c r="T254" i="6"/>
  <c r="V253" i="6"/>
  <c r="U253" i="6"/>
  <c r="T253" i="6"/>
  <c r="V252" i="6"/>
  <c r="U252" i="6"/>
  <c r="T252" i="6"/>
  <c r="V251" i="6"/>
  <c r="U251" i="6"/>
  <c r="T251" i="6"/>
  <c r="V250" i="6"/>
  <c r="U250" i="6"/>
  <c r="T250" i="6"/>
  <c r="V249" i="6"/>
  <c r="U249" i="6"/>
  <c r="T249" i="6"/>
  <c r="V248" i="6"/>
  <c r="U248" i="6"/>
  <c r="T248" i="6"/>
  <c r="V247" i="6"/>
  <c r="U247" i="6"/>
  <c r="T247" i="6"/>
  <c r="V246" i="6"/>
  <c r="U246" i="6"/>
  <c r="T246" i="6"/>
  <c r="V245" i="6"/>
  <c r="U245" i="6"/>
  <c r="T245" i="6"/>
  <c r="V244" i="6"/>
  <c r="U244" i="6"/>
  <c r="T244" i="6"/>
  <c r="V243" i="6"/>
  <c r="U243" i="6"/>
  <c r="T243" i="6"/>
  <c r="V242" i="6"/>
  <c r="U242" i="6"/>
  <c r="T242" i="6"/>
  <c r="V241" i="6"/>
  <c r="U241" i="6"/>
  <c r="T241" i="6"/>
  <c r="V240" i="6"/>
  <c r="U240" i="6"/>
  <c r="T240" i="6"/>
  <c r="V239" i="6"/>
  <c r="U239" i="6"/>
  <c r="T239" i="6"/>
  <c r="V238" i="6"/>
  <c r="U238" i="6"/>
  <c r="T238" i="6"/>
  <c r="V237" i="6"/>
  <c r="U237" i="6"/>
  <c r="T237" i="6"/>
  <c r="V236" i="6"/>
  <c r="U236" i="6"/>
  <c r="T236" i="6"/>
  <c r="V235" i="6"/>
  <c r="U235" i="6"/>
  <c r="T235" i="6"/>
  <c r="V234" i="6"/>
  <c r="U234" i="6"/>
  <c r="T234" i="6"/>
  <c r="V233" i="6"/>
  <c r="U233" i="6"/>
  <c r="T233" i="6"/>
  <c r="V232" i="6"/>
  <c r="U232" i="6"/>
  <c r="T232" i="6"/>
  <c r="V231" i="6"/>
  <c r="U231" i="6"/>
  <c r="T231" i="6"/>
  <c r="V230" i="6"/>
  <c r="U230" i="6"/>
  <c r="T230" i="6"/>
  <c r="V229" i="6"/>
  <c r="U229" i="6"/>
  <c r="T229" i="6"/>
  <c r="V228" i="6"/>
  <c r="U228" i="6"/>
  <c r="T228" i="6"/>
  <c r="V227" i="6"/>
  <c r="U227" i="6"/>
  <c r="T227" i="6"/>
  <c r="V226" i="6"/>
  <c r="U226" i="6"/>
  <c r="T226" i="6"/>
  <c r="V225" i="6"/>
  <c r="U225" i="6"/>
  <c r="T225" i="6"/>
  <c r="V224" i="6"/>
  <c r="U224" i="6"/>
  <c r="T224" i="6"/>
  <c r="V223" i="6"/>
  <c r="U223" i="6"/>
  <c r="T223" i="6"/>
  <c r="V222" i="6"/>
  <c r="U222" i="6"/>
  <c r="T222" i="6"/>
  <c r="V221" i="6"/>
  <c r="U221" i="6"/>
  <c r="T221" i="6"/>
  <c r="V220" i="6"/>
  <c r="U220" i="6"/>
  <c r="T220" i="6"/>
  <c r="V219" i="6"/>
  <c r="U219" i="6"/>
  <c r="T219" i="6"/>
  <c r="V218" i="6"/>
  <c r="U218" i="6"/>
  <c r="T218" i="6"/>
  <c r="V217" i="6"/>
  <c r="U217" i="6"/>
  <c r="T217" i="6"/>
  <c r="V216" i="6"/>
  <c r="U216" i="6"/>
  <c r="T216" i="6"/>
  <c r="V215" i="6"/>
  <c r="U215" i="6"/>
  <c r="T215" i="6"/>
  <c r="V214" i="6"/>
  <c r="U214" i="6"/>
  <c r="T214" i="6"/>
  <c r="V213" i="6"/>
  <c r="U213" i="6"/>
  <c r="T213" i="6"/>
  <c r="V212" i="6"/>
  <c r="U212" i="6"/>
  <c r="T212" i="6"/>
  <c r="V211" i="6"/>
  <c r="U211" i="6"/>
  <c r="T211" i="6"/>
  <c r="V210" i="6"/>
  <c r="U210" i="6"/>
  <c r="T210" i="6"/>
  <c r="V209" i="6"/>
  <c r="U209" i="6"/>
  <c r="T209" i="6"/>
  <c r="V208" i="6"/>
  <c r="U208" i="6"/>
  <c r="T208" i="6"/>
  <c r="V207" i="6"/>
  <c r="U207" i="6"/>
  <c r="T207" i="6"/>
  <c r="V206" i="6"/>
  <c r="U206" i="6"/>
  <c r="T206" i="6"/>
  <c r="V205" i="6"/>
  <c r="U205" i="6"/>
  <c r="T205" i="6"/>
  <c r="V204" i="6"/>
  <c r="U204" i="6"/>
  <c r="T204" i="6"/>
  <c r="V203" i="6"/>
  <c r="U203" i="6"/>
  <c r="T203" i="6"/>
  <c r="V202" i="6"/>
  <c r="U202" i="6"/>
  <c r="T202" i="6"/>
  <c r="V201" i="6"/>
  <c r="U201" i="6"/>
  <c r="T201" i="6"/>
  <c r="V200" i="6"/>
  <c r="U200" i="6"/>
  <c r="T200" i="6"/>
  <c r="V199" i="6"/>
  <c r="U199" i="6"/>
  <c r="T199" i="6"/>
  <c r="V198" i="6"/>
  <c r="U198" i="6"/>
  <c r="T198" i="6"/>
  <c r="V197" i="6"/>
  <c r="U197" i="6"/>
  <c r="T197" i="6"/>
  <c r="V196" i="6"/>
  <c r="U196" i="6"/>
  <c r="T196" i="6"/>
  <c r="V195" i="6"/>
  <c r="U195" i="6"/>
  <c r="T195" i="6"/>
  <c r="V194" i="6"/>
  <c r="U194" i="6"/>
  <c r="T194" i="6"/>
  <c r="V193" i="6"/>
  <c r="U193" i="6"/>
  <c r="T193" i="6"/>
  <c r="V192" i="6"/>
  <c r="U192" i="6"/>
  <c r="T192" i="6"/>
  <c r="V191" i="6"/>
  <c r="U191" i="6"/>
  <c r="T191" i="6"/>
  <c r="V190" i="6"/>
  <c r="U190" i="6"/>
  <c r="T190" i="6"/>
  <c r="V189" i="6"/>
  <c r="U189" i="6"/>
  <c r="T189" i="6"/>
  <c r="V188" i="6"/>
  <c r="U188" i="6"/>
  <c r="T188" i="6"/>
  <c r="V187" i="6"/>
  <c r="U187" i="6"/>
  <c r="T187" i="6"/>
  <c r="V186" i="6"/>
  <c r="U186" i="6"/>
  <c r="T186" i="6"/>
  <c r="V185" i="6"/>
  <c r="U185" i="6"/>
  <c r="T185" i="6"/>
  <c r="V184" i="6"/>
  <c r="U184" i="6"/>
  <c r="T184" i="6"/>
  <c r="V183" i="6"/>
  <c r="U183" i="6"/>
  <c r="T183" i="6"/>
  <c r="V182" i="6"/>
  <c r="U182" i="6"/>
  <c r="T182" i="6"/>
  <c r="V181" i="6"/>
  <c r="U181" i="6"/>
  <c r="T181" i="6"/>
  <c r="V180" i="6"/>
  <c r="U180" i="6"/>
  <c r="T180" i="6"/>
  <c r="V179" i="6"/>
  <c r="U179" i="6"/>
  <c r="T179" i="6"/>
  <c r="V178" i="6"/>
  <c r="U178" i="6"/>
  <c r="T178" i="6"/>
  <c r="V177" i="6"/>
  <c r="U177" i="6"/>
  <c r="T177" i="6"/>
  <c r="V176" i="6"/>
  <c r="U176" i="6"/>
  <c r="T176" i="6"/>
  <c r="V175" i="6"/>
  <c r="U175" i="6"/>
  <c r="T175" i="6"/>
  <c r="V174" i="6"/>
  <c r="U174" i="6"/>
  <c r="T174" i="6"/>
  <c r="V173" i="6"/>
  <c r="U173" i="6"/>
  <c r="T173" i="6"/>
  <c r="V172" i="6"/>
  <c r="U172" i="6"/>
  <c r="T172" i="6"/>
  <c r="V171" i="6"/>
  <c r="U171" i="6"/>
  <c r="T171" i="6"/>
  <c r="V170" i="6"/>
  <c r="U170" i="6"/>
  <c r="T170" i="6"/>
  <c r="V169" i="6"/>
  <c r="U169" i="6"/>
  <c r="T169" i="6"/>
  <c r="V168" i="6"/>
  <c r="U168" i="6"/>
  <c r="T168" i="6"/>
  <c r="V167" i="6"/>
  <c r="U167" i="6"/>
  <c r="T167" i="6"/>
  <c r="V166" i="6"/>
  <c r="U166" i="6"/>
  <c r="T166" i="6"/>
  <c r="V165" i="6"/>
  <c r="U165" i="6"/>
  <c r="T165" i="6"/>
  <c r="V164" i="6"/>
  <c r="U164" i="6"/>
  <c r="T164" i="6"/>
  <c r="V163" i="6"/>
  <c r="U163" i="6"/>
  <c r="T163" i="6"/>
  <c r="V162" i="6"/>
  <c r="U162" i="6"/>
  <c r="T162" i="6"/>
  <c r="V161" i="6"/>
  <c r="U161" i="6"/>
  <c r="T161" i="6"/>
  <c r="V160" i="6"/>
  <c r="U160" i="6"/>
  <c r="T160" i="6"/>
  <c r="V159" i="6"/>
  <c r="U159" i="6"/>
  <c r="T159" i="6"/>
  <c r="V158" i="6"/>
  <c r="U158" i="6"/>
  <c r="T158" i="6"/>
  <c r="V157" i="6"/>
  <c r="U157" i="6"/>
  <c r="T157" i="6"/>
  <c r="V156" i="6"/>
  <c r="U156" i="6"/>
  <c r="T156" i="6"/>
  <c r="V155" i="6"/>
  <c r="U155" i="6"/>
  <c r="T155" i="6"/>
  <c r="V154" i="6"/>
  <c r="U154" i="6"/>
  <c r="T154" i="6"/>
  <c r="V153" i="6"/>
  <c r="U153" i="6"/>
  <c r="T153" i="6"/>
  <c r="V152" i="6"/>
  <c r="U152" i="6"/>
  <c r="T152" i="6"/>
  <c r="V151" i="6"/>
  <c r="U151" i="6"/>
  <c r="T151" i="6"/>
  <c r="V150" i="6"/>
  <c r="U150" i="6"/>
  <c r="T150" i="6"/>
  <c r="V149" i="6"/>
  <c r="U149" i="6"/>
  <c r="T149" i="6"/>
  <c r="V148" i="6"/>
  <c r="U148" i="6"/>
  <c r="T148" i="6"/>
  <c r="V147" i="6"/>
  <c r="U147" i="6"/>
  <c r="T147" i="6"/>
  <c r="V146" i="6"/>
  <c r="U146" i="6"/>
  <c r="T146" i="6"/>
  <c r="V145" i="6"/>
  <c r="U145" i="6"/>
  <c r="T145" i="6"/>
  <c r="V144" i="6"/>
  <c r="U144" i="6"/>
  <c r="T144" i="6"/>
  <c r="V143" i="6"/>
  <c r="U143" i="6"/>
  <c r="T143" i="6"/>
  <c r="V142" i="6"/>
  <c r="U142" i="6"/>
  <c r="T142" i="6"/>
  <c r="V141" i="6"/>
  <c r="U141" i="6"/>
  <c r="T141" i="6"/>
  <c r="V140" i="6"/>
  <c r="U140" i="6"/>
  <c r="T140" i="6"/>
  <c r="V139" i="6"/>
  <c r="U139" i="6"/>
  <c r="T139" i="6"/>
  <c r="V138" i="6"/>
  <c r="U138" i="6"/>
  <c r="T138" i="6"/>
  <c r="V137" i="6"/>
  <c r="U137" i="6"/>
  <c r="T137" i="6"/>
  <c r="V136" i="6"/>
  <c r="U136" i="6"/>
  <c r="T136" i="6"/>
  <c r="V135" i="6"/>
  <c r="U135" i="6"/>
  <c r="T135" i="6"/>
  <c r="V134" i="6"/>
  <c r="U134" i="6"/>
  <c r="T134" i="6"/>
  <c r="V133" i="6"/>
  <c r="U133" i="6"/>
  <c r="T133" i="6"/>
  <c r="V132" i="6"/>
  <c r="U132" i="6"/>
  <c r="T132" i="6"/>
  <c r="V131" i="6"/>
  <c r="U131" i="6"/>
  <c r="T131" i="6"/>
  <c r="V130" i="6"/>
  <c r="U130" i="6"/>
  <c r="T130" i="6"/>
  <c r="V129" i="6"/>
  <c r="U129" i="6"/>
  <c r="T129" i="6"/>
  <c r="V128" i="6"/>
  <c r="U128" i="6"/>
  <c r="T128" i="6"/>
  <c r="V127" i="6"/>
  <c r="U127" i="6"/>
  <c r="T127" i="6"/>
  <c r="V126" i="6"/>
  <c r="U126" i="6"/>
  <c r="T126" i="6"/>
  <c r="V125" i="6"/>
  <c r="U125" i="6"/>
  <c r="T125" i="6"/>
  <c r="V124" i="6"/>
  <c r="U124" i="6"/>
  <c r="T124" i="6"/>
  <c r="V123" i="6"/>
  <c r="U123" i="6"/>
  <c r="T123" i="6"/>
  <c r="V122" i="6"/>
  <c r="U122" i="6"/>
  <c r="T122" i="6"/>
  <c r="V121" i="6"/>
  <c r="U121" i="6"/>
  <c r="T121" i="6"/>
  <c r="V120" i="6"/>
  <c r="U120" i="6"/>
  <c r="T120" i="6"/>
  <c r="V119" i="6"/>
  <c r="U119" i="6"/>
  <c r="T119" i="6"/>
  <c r="V118" i="6"/>
  <c r="U118" i="6"/>
  <c r="T118" i="6"/>
  <c r="V117" i="6"/>
  <c r="U117" i="6"/>
  <c r="T117" i="6"/>
  <c r="V116" i="6"/>
  <c r="U116" i="6"/>
  <c r="T116" i="6"/>
  <c r="V115" i="6"/>
  <c r="U115" i="6"/>
  <c r="T115" i="6"/>
  <c r="V114" i="6"/>
  <c r="U114" i="6"/>
  <c r="T114" i="6"/>
  <c r="V113" i="6"/>
  <c r="U113" i="6"/>
  <c r="T113" i="6"/>
  <c r="V112" i="6"/>
  <c r="U112" i="6"/>
  <c r="T112" i="6"/>
  <c r="V111" i="6"/>
  <c r="U111" i="6"/>
  <c r="T111" i="6"/>
  <c r="V110" i="6"/>
  <c r="U110" i="6"/>
  <c r="T110" i="6"/>
  <c r="V109" i="6"/>
  <c r="U109" i="6"/>
  <c r="T109" i="6"/>
  <c r="V108" i="6"/>
  <c r="U108" i="6"/>
  <c r="T108" i="6"/>
  <c r="V107" i="6"/>
  <c r="U107" i="6"/>
  <c r="T107" i="6"/>
  <c r="V106" i="6"/>
  <c r="U106" i="6"/>
  <c r="T106" i="6"/>
  <c r="V105" i="6"/>
  <c r="U105" i="6"/>
  <c r="T105" i="6"/>
  <c r="V104" i="6"/>
  <c r="U104" i="6"/>
  <c r="T104" i="6"/>
  <c r="V103" i="6"/>
  <c r="U103" i="6"/>
  <c r="T103" i="6"/>
  <c r="V102" i="6"/>
  <c r="U102" i="6"/>
  <c r="T102" i="6"/>
  <c r="V101" i="6"/>
  <c r="U101" i="6"/>
  <c r="T101" i="6"/>
  <c r="V100" i="6"/>
  <c r="U100" i="6"/>
  <c r="T100" i="6"/>
  <c r="V99" i="6"/>
  <c r="U99" i="6"/>
  <c r="T99" i="6"/>
  <c r="V98" i="6"/>
  <c r="U98" i="6"/>
  <c r="T98" i="6"/>
  <c r="V97" i="6"/>
  <c r="U97" i="6"/>
  <c r="T97" i="6"/>
  <c r="V96" i="6"/>
  <c r="U96" i="6"/>
  <c r="T96" i="6"/>
  <c r="V95" i="6"/>
  <c r="U95" i="6"/>
  <c r="T95" i="6"/>
  <c r="V94" i="6"/>
  <c r="U94" i="6"/>
  <c r="T94" i="6"/>
  <c r="V93" i="6"/>
  <c r="U93" i="6"/>
  <c r="T93" i="6"/>
  <c r="V92" i="6"/>
  <c r="U92" i="6"/>
  <c r="T92" i="6"/>
  <c r="V91" i="6"/>
  <c r="U91" i="6"/>
  <c r="T91" i="6"/>
  <c r="V90" i="6"/>
  <c r="U90" i="6"/>
  <c r="T90" i="6"/>
  <c r="V89" i="6"/>
  <c r="U89" i="6"/>
  <c r="T89" i="6"/>
  <c r="V88" i="6"/>
  <c r="U88" i="6"/>
  <c r="T88" i="6"/>
  <c r="V87" i="6"/>
  <c r="U87" i="6"/>
  <c r="T87" i="6"/>
  <c r="V86" i="6"/>
  <c r="U86" i="6"/>
  <c r="T86" i="6"/>
  <c r="V85" i="6"/>
  <c r="U85" i="6"/>
  <c r="T85" i="6"/>
  <c r="V84" i="6"/>
  <c r="U84" i="6"/>
  <c r="T84" i="6"/>
  <c r="V83" i="6"/>
  <c r="U83" i="6"/>
  <c r="T83" i="6"/>
  <c r="V82" i="6"/>
  <c r="U82" i="6"/>
  <c r="T82" i="6"/>
  <c r="V81" i="6"/>
  <c r="U81" i="6"/>
  <c r="T81" i="6"/>
  <c r="V80" i="6"/>
  <c r="U80" i="6"/>
  <c r="T80" i="6"/>
  <c r="V79" i="6"/>
  <c r="U79" i="6"/>
  <c r="T79" i="6"/>
  <c r="V78" i="6"/>
  <c r="U78" i="6"/>
  <c r="T78" i="6"/>
  <c r="V77" i="6"/>
  <c r="U77" i="6"/>
  <c r="T77" i="6"/>
  <c r="V76" i="6"/>
  <c r="U76" i="6"/>
  <c r="T76" i="6"/>
  <c r="V75" i="6"/>
  <c r="U75" i="6"/>
  <c r="T75" i="6"/>
  <c r="V74" i="6"/>
  <c r="U74" i="6"/>
  <c r="T74" i="6"/>
  <c r="V73" i="6"/>
  <c r="U73" i="6"/>
  <c r="T73" i="6"/>
  <c r="V72" i="6"/>
  <c r="U72" i="6"/>
  <c r="T72" i="6"/>
  <c r="V71" i="6"/>
  <c r="U71" i="6"/>
  <c r="T71" i="6"/>
  <c r="V70" i="6"/>
  <c r="U70" i="6"/>
  <c r="T70" i="6"/>
  <c r="V69" i="6"/>
  <c r="U69" i="6"/>
  <c r="T69" i="6"/>
  <c r="V68" i="6"/>
  <c r="U68" i="6"/>
  <c r="T68" i="6"/>
  <c r="V67" i="6"/>
  <c r="U67" i="6"/>
  <c r="T67" i="6"/>
  <c r="V66" i="6"/>
  <c r="U66" i="6"/>
  <c r="T66" i="6"/>
  <c r="V65" i="6"/>
  <c r="U65" i="6"/>
  <c r="T65" i="6"/>
  <c r="V64" i="6"/>
  <c r="U64" i="6"/>
  <c r="T64" i="6"/>
  <c r="V63" i="6"/>
  <c r="U63" i="6"/>
  <c r="T63" i="6"/>
  <c r="V62" i="6"/>
  <c r="U62" i="6"/>
  <c r="T62" i="6"/>
  <c r="V61" i="6"/>
  <c r="U61" i="6"/>
  <c r="T61" i="6"/>
  <c r="V60" i="6"/>
  <c r="U60" i="6"/>
  <c r="T60" i="6"/>
  <c r="V59" i="6"/>
  <c r="U59" i="6"/>
  <c r="T59" i="6"/>
  <c r="V58" i="6"/>
  <c r="U58" i="6"/>
  <c r="T58" i="6"/>
  <c r="V57" i="6"/>
  <c r="U57" i="6"/>
  <c r="T57" i="6"/>
  <c r="V56" i="6"/>
  <c r="U56" i="6"/>
  <c r="T56" i="6"/>
  <c r="V55" i="6"/>
  <c r="U55" i="6"/>
  <c r="T55" i="6"/>
  <c r="V54" i="6"/>
  <c r="U54" i="6"/>
  <c r="T54" i="6"/>
  <c r="V53" i="6"/>
  <c r="U53" i="6"/>
  <c r="T53" i="6"/>
  <c r="V52" i="6"/>
  <c r="U52" i="6"/>
  <c r="T52" i="6"/>
  <c r="V51" i="6"/>
  <c r="U51" i="6"/>
  <c r="T51" i="6"/>
  <c r="V50" i="6"/>
  <c r="U50" i="6"/>
  <c r="T50" i="6"/>
  <c r="V49" i="6"/>
  <c r="U49" i="6"/>
  <c r="T49" i="6"/>
  <c r="V48" i="6"/>
  <c r="U48" i="6"/>
  <c r="T48" i="6"/>
  <c r="V47" i="6"/>
  <c r="U47" i="6"/>
  <c r="T47" i="6"/>
  <c r="V46" i="6"/>
  <c r="U46" i="6"/>
  <c r="T46" i="6"/>
  <c r="V45" i="6"/>
  <c r="U45" i="6"/>
  <c r="T45" i="6"/>
  <c r="V44" i="6"/>
  <c r="U44" i="6"/>
  <c r="T44" i="6"/>
  <c r="V43" i="6"/>
  <c r="U43" i="6"/>
  <c r="T43" i="6"/>
  <c r="V42" i="6"/>
  <c r="U42" i="6"/>
  <c r="T42" i="6"/>
  <c r="V41" i="6"/>
  <c r="U41" i="6"/>
  <c r="T41" i="6"/>
  <c r="V40" i="6"/>
  <c r="U40" i="6"/>
  <c r="T40" i="6"/>
  <c r="V39" i="6"/>
  <c r="U39" i="6"/>
  <c r="T39" i="6"/>
  <c r="V38" i="6"/>
  <c r="U38" i="6"/>
  <c r="T38" i="6"/>
  <c r="V37" i="6"/>
  <c r="U37" i="6"/>
  <c r="T37" i="6"/>
  <c r="V36" i="6"/>
  <c r="U36" i="6"/>
  <c r="T36" i="6"/>
  <c r="V35" i="6"/>
  <c r="U35" i="6"/>
  <c r="T35" i="6"/>
  <c r="V34" i="6"/>
  <c r="U34" i="6"/>
  <c r="T34" i="6"/>
  <c r="V33" i="6"/>
  <c r="U33" i="6"/>
  <c r="T33" i="6"/>
  <c r="V32" i="6"/>
  <c r="U32" i="6"/>
  <c r="T32" i="6"/>
  <c r="V31" i="6"/>
  <c r="U31" i="6"/>
  <c r="T31" i="6"/>
  <c r="V30" i="6"/>
  <c r="U30" i="6"/>
  <c r="T30" i="6"/>
  <c r="V29" i="6"/>
  <c r="U29" i="6"/>
  <c r="T29" i="6"/>
  <c r="V28" i="6"/>
  <c r="U28" i="6"/>
  <c r="T28" i="6"/>
  <c r="V27" i="6"/>
  <c r="U27" i="6"/>
  <c r="T27" i="6"/>
  <c r="V26" i="6"/>
  <c r="U26" i="6"/>
  <c r="T26" i="6"/>
  <c r="V25" i="6"/>
  <c r="U25" i="6"/>
  <c r="T25" i="6"/>
  <c r="V24" i="6"/>
  <c r="U24" i="6"/>
  <c r="T24" i="6"/>
  <c r="V23" i="6"/>
  <c r="U23" i="6"/>
  <c r="T23" i="6"/>
  <c r="V22" i="6"/>
  <c r="U22" i="6"/>
  <c r="T22" i="6"/>
  <c r="V21" i="6"/>
  <c r="U21" i="6"/>
  <c r="T21" i="6"/>
  <c r="V20" i="6"/>
  <c r="U20" i="6"/>
  <c r="T20" i="6"/>
  <c r="V19" i="6"/>
  <c r="U19" i="6"/>
  <c r="T19" i="6"/>
  <c r="V18" i="6"/>
  <c r="U18" i="6"/>
  <c r="T18" i="6"/>
  <c r="V17" i="6"/>
  <c r="U17" i="6"/>
  <c r="T17" i="6"/>
  <c r="V16" i="6"/>
  <c r="U16" i="6"/>
  <c r="T16" i="6"/>
  <c r="V15" i="6"/>
  <c r="U15" i="6"/>
  <c r="T15" i="6"/>
  <c r="V14" i="6"/>
  <c r="U14" i="6"/>
  <c r="T14" i="6"/>
  <c r="V13" i="6"/>
  <c r="U13" i="6"/>
  <c r="T13" i="6"/>
  <c r="V12" i="6"/>
  <c r="U12" i="6"/>
  <c r="T12" i="6"/>
  <c r="V11" i="6"/>
  <c r="U11" i="6"/>
  <c r="T11" i="6"/>
  <c r="V10" i="6"/>
  <c r="U10" i="6"/>
  <c r="T10" i="6"/>
  <c r="V9" i="6"/>
  <c r="U9" i="6"/>
  <c r="T9" i="6"/>
  <c r="V8" i="6"/>
  <c r="U8" i="6"/>
  <c r="T8" i="6"/>
  <c r="V7" i="6"/>
  <c r="U7" i="6"/>
  <c r="T7" i="6"/>
  <c r="V6" i="6"/>
  <c r="U6" i="6"/>
  <c r="T6" i="6"/>
  <c r="V5" i="6"/>
  <c r="U5" i="6"/>
  <c r="T5" i="6"/>
  <c r="V4" i="6"/>
  <c r="U4" i="6"/>
  <c r="T4" i="6"/>
  <c r="V3" i="6"/>
  <c r="U3" i="6"/>
  <c r="T3" i="6"/>
  <c r="V2" i="6"/>
  <c r="U2" i="6"/>
  <c r="T2" i="6"/>
  <c r="P1438" i="6"/>
  <c r="M1438" i="6"/>
  <c r="K1438" i="6"/>
  <c r="L1438" i="6" s="1"/>
  <c r="P1437" i="6"/>
  <c r="M1437" i="6"/>
  <c r="K1437" i="6"/>
  <c r="L1437" i="6" s="1"/>
  <c r="P1436" i="6"/>
  <c r="M1436" i="6"/>
  <c r="K1436" i="6"/>
  <c r="L1436" i="6" s="1"/>
  <c r="P1435" i="6"/>
  <c r="M1435" i="6"/>
  <c r="K1435" i="6"/>
  <c r="L1435" i="6" s="1"/>
  <c r="P1434" i="6"/>
  <c r="M1434" i="6"/>
  <c r="K1434" i="6"/>
  <c r="L1434" i="6" s="1"/>
  <c r="P1433" i="6"/>
  <c r="M1433" i="6"/>
  <c r="K1433" i="6"/>
  <c r="L1433" i="6" s="1"/>
  <c r="P1432" i="6"/>
  <c r="M1432" i="6"/>
  <c r="K1432" i="6"/>
  <c r="L1432" i="6" s="1"/>
  <c r="P1431" i="6"/>
  <c r="M1431" i="6"/>
  <c r="K1431" i="6"/>
  <c r="L1431" i="6" s="1"/>
  <c r="P1430" i="6"/>
  <c r="M1430" i="6"/>
  <c r="K1430" i="6"/>
  <c r="L1430" i="6" s="1"/>
  <c r="P1429" i="6"/>
  <c r="M1429" i="6"/>
  <c r="K1429" i="6"/>
  <c r="L1429" i="6" s="1"/>
  <c r="P1428" i="6"/>
  <c r="M1428" i="6"/>
  <c r="K1428" i="6"/>
  <c r="L1428" i="6" s="1"/>
  <c r="P1427" i="6"/>
  <c r="M1427" i="6"/>
  <c r="K1427" i="6"/>
  <c r="L1427" i="6" s="1"/>
  <c r="P1426" i="6"/>
  <c r="M1426" i="6"/>
  <c r="K1426" i="6"/>
  <c r="L1426" i="6" s="1"/>
  <c r="P1425" i="6"/>
  <c r="M1425" i="6"/>
  <c r="K1425" i="6"/>
  <c r="L1425" i="6" s="1"/>
  <c r="P1424" i="6"/>
  <c r="M1424" i="6"/>
  <c r="K1424" i="6"/>
  <c r="L1424" i="6" s="1"/>
  <c r="P1423" i="6"/>
  <c r="M1423" i="6"/>
  <c r="K1423" i="6"/>
  <c r="L1423" i="6" s="1"/>
  <c r="P1422" i="6"/>
  <c r="M1422" i="6"/>
  <c r="K1422" i="6"/>
  <c r="L1422" i="6" s="1"/>
  <c r="P1421" i="6"/>
  <c r="M1421" i="6"/>
  <c r="K1421" i="6"/>
  <c r="L1421" i="6" s="1"/>
  <c r="P1420" i="6"/>
  <c r="M1420" i="6"/>
  <c r="K1420" i="6"/>
  <c r="L1420" i="6" s="1"/>
  <c r="P1419" i="6"/>
  <c r="M1419" i="6"/>
  <c r="K1419" i="6"/>
  <c r="L1419" i="6" s="1"/>
  <c r="P1418" i="6"/>
  <c r="M1418" i="6"/>
  <c r="K1418" i="6"/>
  <c r="L1418" i="6" s="1"/>
  <c r="P1417" i="6"/>
  <c r="M1417" i="6"/>
  <c r="K1417" i="6"/>
  <c r="L1417" i="6" s="1"/>
  <c r="P1416" i="6"/>
  <c r="M1416" i="6"/>
  <c r="K1416" i="6"/>
  <c r="L1416" i="6" s="1"/>
  <c r="P1415" i="6"/>
  <c r="M1415" i="6"/>
  <c r="K1415" i="6"/>
  <c r="L1415" i="6" s="1"/>
  <c r="P1414" i="6"/>
  <c r="M1414" i="6"/>
  <c r="K1414" i="6"/>
  <c r="L1414" i="6" s="1"/>
  <c r="P1413" i="6"/>
  <c r="M1413" i="6"/>
  <c r="K1413" i="6"/>
  <c r="L1413" i="6" s="1"/>
  <c r="P1412" i="6"/>
  <c r="M1412" i="6"/>
  <c r="K1412" i="6"/>
  <c r="L1412" i="6" s="1"/>
  <c r="P1411" i="6"/>
  <c r="M1411" i="6"/>
  <c r="K1411" i="6"/>
  <c r="L1411" i="6" s="1"/>
  <c r="P1410" i="6"/>
  <c r="M1410" i="6"/>
  <c r="K1410" i="6"/>
  <c r="L1410" i="6" s="1"/>
  <c r="P1409" i="6"/>
  <c r="M1409" i="6"/>
  <c r="K1409" i="6"/>
  <c r="L1409" i="6" s="1"/>
  <c r="P1408" i="6"/>
  <c r="M1408" i="6"/>
  <c r="K1408" i="6"/>
  <c r="L1408" i="6" s="1"/>
  <c r="P1407" i="6"/>
  <c r="M1407" i="6"/>
  <c r="K1407" i="6"/>
  <c r="L1407" i="6" s="1"/>
  <c r="P1406" i="6"/>
  <c r="M1406" i="6"/>
  <c r="K1406" i="6"/>
  <c r="L1406" i="6" s="1"/>
  <c r="P1405" i="6"/>
  <c r="M1405" i="6"/>
  <c r="K1405" i="6"/>
  <c r="L1405" i="6" s="1"/>
  <c r="P1404" i="6"/>
  <c r="M1404" i="6"/>
  <c r="K1404" i="6"/>
  <c r="L1404" i="6" s="1"/>
  <c r="P1403" i="6"/>
  <c r="M1403" i="6"/>
  <c r="K1403" i="6"/>
  <c r="L1403" i="6" s="1"/>
  <c r="P1402" i="6"/>
  <c r="M1402" i="6"/>
  <c r="K1402" i="6"/>
  <c r="L1402" i="6" s="1"/>
  <c r="P1401" i="6"/>
  <c r="M1401" i="6"/>
  <c r="K1401" i="6"/>
  <c r="L1401" i="6" s="1"/>
  <c r="P1400" i="6"/>
  <c r="M1400" i="6"/>
  <c r="K1400" i="6"/>
  <c r="L1400" i="6" s="1"/>
  <c r="P1399" i="6"/>
  <c r="M1399" i="6"/>
  <c r="K1399" i="6"/>
  <c r="L1399" i="6" s="1"/>
  <c r="P1398" i="6"/>
  <c r="M1398" i="6"/>
  <c r="K1398" i="6"/>
  <c r="L1398" i="6" s="1"/>
  <c r="P1397" i="6"/>
  <c r="M1397" i="6"/>
  <c r="K1397" i="6"/>
  <c r="L1397" i="6" s="1"/>
  <c r="P1396" i="6"/>
  <c r="M1396" i="6"/>
  <c r="K1396" i="6"/>
  <c r="L1396" i="6" s="1"/>
  <c r="P1395" i="6"/>
  <c r="M1395" i="6"/>
  <c r="K1395" i="6"/>
  <c r="L1395" i="6" s="1"/>
  <c r="P1394" i="6"/>
  <c r="M1394" i="6"/>
  <c r="K1394" i="6"/>
  <c r="L1394" i="6" s="1"/>
  <c r="P1393" i="6"/>
  <c r="M1393" i="6"/>
  <c r="K1393" i="6"/>
  <c r="L1393" i="6" s="1"/>
  <c r="P1392" i="6"/>
  <c r="M1392" i="6"/>
  <c r="K1392" i="6"/>
  <c r="L1392" i="6" s="1"/>
  <c r="P1391" i="6"/>
  <c r="M1391" i="6"/>
  <c r="K1391" i="6"/>
  <c r="L1391" i="6" s="1"/>
  <c r="P1390" i="6"/>
  <c r="M1390" i="6"/>
  <c r="K1390" i="6"/>
  <c r="L1390" i="6" s="1"/>
  <c r="P1389" i="6"/>
  <c r="M1389" i="6"/>
  <c r="K1389" i="6"/>
  <c r="L1389" i="6" s="1"/>
  <c r="P1388" i="6"/>
  <c r="M1388" i="6"/>
  <c r="K1388" i="6"/>
  <c r="L1388" i="6" s="1"/>
  <c r="P1387" i="6"/>
  <c r="M1387" i="6"/>
  <c r="K1387" i="6"/>
  <c r="L1387" i="6" s="1"/>
  <c r="P1386" i="6"/>
  <c r="M1386" i="6"/>
  <c r="K1386" i="6"/>
  <c r="L1386" i="6" s="1"/>
  <c r="P1385" i="6"/>
  <c r="M1385" i="6"/>
  <c r="K1385" i="6"/>
  <c r="L1385" i="6" s="1"/>
  <c r="P1384" i="6"/>
  <c r="M1384" i="6"/>
  <c r="K1384" i="6"/>
  <c r="L1384" i="6" s="1"/>
  <c r="P1383" i="6"/>
  <c r="M1383" i="6"/>
  <c r="K1383" i="6"/>
  <c r="L1383" i="6" s="1"/>
  <c r="P1382" i="6"/>
  <c r="M1382" i="6"/>
  <c r="K1382" i="6"/>
  <c r="L1382" i="6" s="1"/>
  <c r="P1381" i="6"/>
  <c r="M1381" i="6"/>
  <c r="K1381" i="6"/>
  <c r="L1381" i="6" s="1"/>
  <c r="P1380" i="6"/>
  <c r="M1380" i="6"/>
  <c r="K1380" i="6"/>
  <c r="L1380" i="6" s="1"/>
  <c r="P1379" i="6"/>
  <c r="M1379" i="6"/>
  <c r="K1379" i="6"/>
  <c r="L1379" i="6" s="1"/>
  <c r="P1378" i="6"/>
  <c r="M1378" i="6"/>
  <c r="K1378" i="6"/>
  <c r="L1378" i="6" s="1"/>
  <c r="P1377" i="6"/>
  <c r="M1377" i="6"/>
  <c r="K1377" i="6"/>
  <c r="L1377" i="6" s="1"/>
  <c r="P1376" i="6"/>
  <c r="M1376" i="6"/>
  <c r="K1376" i="6"/>
  <c r="L1376" i="6" s="1"/>
  <c r="P1375" i="6"/>
  <c r="M1375" i="6"/>
  <c r="K1375" i="6"/>
  <c r="L1375" i="6" s="1"/>
  <c r="P1374" i="6"/>
  <c r="M1374" i="6"/>
  <c r="K1374" i="6"/>
  <c r="L1374" i="6" s="1"/>
  <c r="P1373" i="6"/>
  <c r="M1373" i="6"/>
  <c r="K1373" i="6"/>
  <c r="L1373" i="6" s="1"/>
  <c r="P1372" i="6"/>
  <c r="M1372" i="6"/>
  <c r="K1372" i="6"/>
  <c r="L1372" i="6" s="1"/>
  <c r="P1371" i="6"/>
  <c r="M1371" i="6"/>
  <c r="K1371" i="6"/>
  <c r="L1371" i="6" s="1"/>
  <c r="P1370" i="6"/>
  <c r="M1370" i="6"/>
  <c r="K1370" i="6"/>
  <c r="L1370" i="6" s="1"/>
  <c r="P1369" i="6"/>
  <c r="M1369" i="6"/>
  <c r="K1369" i="6"/>
  <c r="L1369" i="6" s="1"/>
  <c r="P1368" i="6"/>
  <c r="M1368" i="6"/>
  <c r="K1368" i="6"/>
  <c r="L1368" i="6" s="1"/>
  <c r="P1367" i="6"/>
  <c r="M1367" i="6"/>
  <c r="K1367" i="6"/>
  <c r="L1367" i="6" s="1"/>
  <c r="P1366" i="6"/>
  <c r="M1366" i="6"/>
  <c r="K1366" i="6"/>
  <c r="L1366" i="6" s="1"/>
  <c r="P1365" i="6"/>
  <c r="M1365" i="6"/>
  <c r="K1365" i="6"/>
  <c r="L1365" i="6" s="1"/>
  <c r="P1364" i="6"/>
  <c r="M1364" i="6"/>
  <c r="K1364" i="6"/>
  <c r="L1364" i="6" s="1"/>
  <c r="P1363" i="6"/>
  <c r="M1363" i="6"/>
  <c r="K1363" i="6"/>
  <c r="L1363" i="6" s="1"/>
  <c r="P1362" i="6"/>
  <c r="M1362" i="6"/>
  <c r="K1362" i="6"/>
  <c r="L1362" i="6" s="1"/>
  <c r="P1361" i="6"/>
  <c r="M1361" i="6"/>
  <c r="K1361" i="6"/>
  <c r="L1361" i="6" s="1"/>
  <c r="P1360" i="6"/>
  <c r="M1360" i="6"/>
  <c r="K1360" i="6"/>
  <c r="L1360" i="6" s="1"/>
  <c r="P1359" i="6"/>
  <c r="M1359" i="6"/>
  <c r="K1359" i="6"/>
  <c r="L1359" i="6" s="1"/>
  <c r="P1358" i="6"/>
  <c r="M1358" i="6"/>
  <c r="K1358" i="6"/>
  <c r="L1358" i="6" s="1"/>
  <c r="P1357" i="6"/>
  <c r="M1357" i="6"/>
  <c r="K1357" i="6"/>
  <c r="L1357" i="6" s="1"/>
  <c r="P1356" i="6"/>
  <c r="M1356" i="6"/>
  <c r="K1356" i="6"/>
  <c r="L1356" i="6" s="1"/>
  <c r="P1355" i="6"/>
  <c r="M1355" i="6"/>
  <c r="K1355" i="6"/>
  <c r="L1355" i="6" s="1"/>
  <c r="P1354" i="6"/>
  <c r="M1354" i="6"/>
  <c r="K1354" i="6"/>
  <c r="L1354" i="6" s="1"/>
  <c r="P1353" i="6"/>
  <c r="M1353" i="6"/>
  <c r="K1353" i="6"/>
  <c r="L1353" i="6" s="1"/>
  <c r="P1352" i="6"/>
  <c r="M1352" i="6"/>
  <c r="K1352" i="6"/>
  <c r="L1352" i="6" s="1"/>
  <c r="P1351" i="6"/>
  <c r="M1351" i="6"/>
  <c r="K1351" i="6"/>
  <c r="L1351" i="6" s="1"/>
  <c r="P1350" i="6"/>
  <c r="M1350" i="6"/>
  <c r="K1350" i="6"/>
  <c r="L1350" i="6" s="1"/>
  <c r="P1349" i="6"/>
  <c r="M1349" i="6"/>
  <c r="K1349" i="6"/>
  <c r="L1349" i="6" s="1"/>
  <c r="P1348" i="6"/>
  <c r="M1348" i="6"/>
  <c r="K1348" i="6"/>
  <c r="L1348" i="6" s="1"/>
  <c r="P1347" i="6"/>
  <c r="M1347" i="6"/>
  <c r="K1347" i="6"/>
  <c r="L1347" i="6" s="1"/>
  <c r="P1346" i="6"/>
  <c r="M1346" i="6"/>
  <c r="K1346" i="6"/>
  <c r="L1346" i="6" s="1"/>
  <c r="P1345" i="6"/>
  <c r="M1345" i="6"/>
  <c r="K1345" i="6"/>
  <c r="L1345" i="6" s="1"/>
  <c r="P1344" i="6"/>
  <c r="M1344" i="6"/>
  <c r="K1344" i="6"/>
  <c r="L1344" i="6" s="1"/>
  <c r="P1343" i="6"/>
  <c r="M1343" i="6"/>
  <c r="K1343" i="6"/>
  <c r="L1343" i="6" s="1"/>
  <c r="P1342" i="6"/>
  <c r="M1342" i="6"/>
  <c r="K1342" i="6"/>
  <c r="L1342" i="6" s="1"/>
  <c r="P1341" i="6"/>
  <c r="M1341" i="6"/>
  <c r="K1341" i="6"/>
  <c r="L1341" i="6" s="1"/>
  <c r="P1340" i="6"/>
  <c r="M1340" i="6"/>
  <c r="K1340" i="6"/>
  <c r="L1340" i="6" s="1"/>
  <c r="P1339" i="6"/>
  <c r="M1339" i="6"/>
  <c r="K1339" i="6"/>
  <c r="L1339" i="6" s="1"/>
  <c r="P1338" i="6"/>
  <c r="M1338" i="6"/>
  <c r="K1338" i="6"/>
  <c r="L1338" i="6" s="1"/>
  <c r="P1337" i="6"/>
  <c r="M1337" i="6"/>
  <c r="K1337" i="6"/>
  <c r="L1337" i="6" s="1"/>
  <c r="P1336" i="6"/>
  <c r="M1336" i="6"/>
  <c r="K1336" i="6"/>
  <c r="L1336" i="6" s="1"/>
  <c r="P1335" i="6"/>
  <c r="M1335" i="6"/>
  <c r="K1335" i="6"/>
  <c r="L1335" i="6" s="1"/>
  <c r="P1334" i="6"/>
  <c r="M1334" i="6"/>
  <c r="K1334" i="6"/>
  <c r="L1334" i="6" s="1"/>
  <c r="P1333" i="6"/>
  <c r="M1333" i="6"/>
  <c r="K1333" i="6"/>
  <c r="L1333" i="6" s="1"/>
  <c r="P1332" i="6"/>
  <c r="M1332" i="6"/>
  <c r="K1332" i="6"/>
  <c r="L1332" i="6" s="1"/>
  <c r="P1331" i="6"/>
  <c r="M1331" i="6"/>
  <c r="K1331" i="6"/>
  <c r="L1331" i="6" s="1"/>
  <c r="P1330" i="6"/>
  <c r="M1330" i="6"/>
  <c r="K1330" i="6"/>
  <c r="L1330" i="6" s="1"/>
  <c r="P1329" i="6"/>
  <c r="M1329" i="6"/>
  <c r="K1329" i="6"/>
  <c r="L1329" i="6" s="1"/>
  <c r="P1328" i="6"/>
  <c r="M1328" i="6"/>
  <c r="K1328" i="6"/>
  <c r="L1328" i="6" s="1"/>
  <c r="P1327" i="6"/>
  <c r="M1327" i="6"/>
  <c r="K1327" i="6"/>
  <c r="L1327" i="6" s="1"/>
  <c r="P1326" i="6"/>
  <c r="M1326" i="6"/>
  <c r="K1326" i="6"/>
  <c r="L1326" i="6" s="1"/>
  <c r="P1325" i="6"/>
  <c r="M1325" i="6"/>
  <c r="K1325" i="6"/>
  <c r="L1325" i="6" s="1"/>
  <c r="P1324" i="6"/>
  <c r="M1324" i="6"/>
  <c r="K1324" i="6"/>
  <c r="L1324" i="6" s="1"/>
  <c r="P1323" i="6"/>
  <c r="M1323" i="6"/>
  <c r="K1323" i="6"/>
  <c r="L1323" i="6" s="1"/>
  <c r="P1322" i="6"/>
  <c r="M1322" i="6"/>
  <c r="K1322" i="6"/>
  <c r="L1322" i="6" s="1"/>
  <c r="P1321" i="6"/>
  <c r="M1321" i="6"/>
  <c r="K1321" i="6"/>
  <c r="L1321" i="6" s="1"/>
  <c r="P1320" i="6"/>
  <c r="M1320" i="6"/>
  <c r="K1320" i="6"/>
  <c r="L1320" i="6" s="1"/>
  <c r="P1319" i="6"/>
  <c r="M1319" i="6"/>
  <c r="K1319" i="6"/>
  <c r="L1319" i="6" s="1"/>
  <c r="P1318" i="6"/>
  <c r="M1318" i="6"/>
  <c r="K1318" i="6"/>
  <c r="L1318" i="6" s="1"/>
  <c r="P1317" i="6"/>
  <c r="M1317" i="6"/>
  <c r="K1317" i="6"/>
  <c r="L1317" i="6" s="1"/>
  <c r="P1316" i="6"/>
  <c r="M1316" i="6"/>
  <c r="K1316" i="6"/>
  <c r="L1316" i="6" s="1"/>
  <c r="P1315" i="6"/>
  <c r="M1315" i="6"/>
  <c r="K1315" i="6"/>
  <c r="L1315" i="6" s="1"/>
  <c r="P1314" i="6"/>
  <c r="M1314" i="6"/>
  <c r="K1314" i="6"/>
  <c r="L1314" i="6" s="1"/>
  <c r="P1313" i="6"/>
  <c r="M1313" i="6"/>
  <c r="K1313" i="6"/>
  <c r="L1313" i="6" s="1"/>
  <c r="P1312" i="6"/>
  <c r="M1312" i="6"/>
  <c r="K1312" i="6"/>
  <c r="L1312" i="6" s="1"/>
  <c r="P1311" i="6"/>
  <c r="M1311" i="6"/>
  <c r="K1311" i="6"/>
  <c r="L1311" i="6" s="1"/>
  <c r="P1310" i="6"/>
  <c r="M1310" i="6"/>
  <c r="K1310" i="6"/>
  <c r="L1310" i="6" s="1"/>
  <c r="P1309" i="6"/>
  <c r="M1309" i="6"/>
  <c r="K1309" i="6"/>
  <c r="L1309" i="6" s="1"/>
  <c r="P1308" i="6"/>
  <c r="M1308" i="6"/>
  <c r="K1308" i="6"/>
  <c r="L1308" i="6" s="1"/>
  <c r="P1307" i="6"/>
  <c r="M1307" i="6"/>
  <c r="K1307" i="6"/>
  <c r="L1307" i="6" s="1"/>
  <c r="P1306" i="6"/>
  <c r="M1306" i="6"/>
  <c r="K1306" i="6"/>
  <c r="L1306" i="6" s="1"/>
  <c r="P1305" i="6"/>
  <c r="M1305" i="6"/>
  <c r="K1305" i="6"/>
  <c r="L1305" i="6" s="1"/>
  <c r="P1304" i="6"/>
  <c r="M1304" i="6"/>
  <c r="K1304" i="6"/>
  <c r="L1304" i="6" s="1"/>
  <c r="P1303" i="6"/>
  <c r="M1303" i="6"/>
  <c r="K1303" i="6"/>
  <c r="L1303" i="6" s="1"/>
  <c r="P1302" i="6"/>
  <c r="M1302" i="6"/>
  <c r="K1302" i="6"/>
  <c r="L1302" i="6" s="1"/>
  <c r="P1301" i="6"/>
  <c r="M1301" i="6"/>
  <c r="K1301" i="6"/>
  <c r="L1301" i="6" s="1"/>
  <c r="P1300" i="6"/>
  <c r="M1300" i="6"/>
  <c r="K1300" i="6"/>
  <c r="L1300" i="6" s="1"/>
  <c r="P1299" i="6"/>
  <c r="M1299" i="6"/>
  <c r="K1299" i="6"/>
  <c r="L1299" i="6" s="1"/>
  <c r="P1298" i="6"/>
  <c r="M1298" i="6"/>
  <c r="K1298" i="6"/>
  <c r="L1298" i="6" s="1"/>
  <c r="P1297" i="6"/>
  <c r="M1297" i="6"/>
  <c r="K1297" i="6"/>
  <c r="L1297" i="6" s="1"/>
  <c r="P1296" i="6"/>
  <c r="M1296" i="6"/>
  <c r="K1296" i="6"/>
  <c r="L1296" i="6" s="1"/>
  <c r="P1295" i="6"/>
  <c r="M1295" i="6"/>
  <c r="K1295" i="6"/>
  <c r="L1295" i="6" s="1"/>
  <c r="P1294" i="6"/>
  <c r="M1294" i="6"/>
  <c r="K1294" i="6"/>
  <c r="L1294" i="6" s="1"/>
  <c r="P1293" i="6"/>
  <c r="M1293" i="6"/>
  <c r="K1293" i="6"/>
  <c r="L1293" i="6" s="1"/>
  <c r="P1292" i="6"/>
  <c r="M1292" i="6"/>
  <c r="K1292" i="6"/>
  <c r="L1292" i="6" s="1"/>
  <c r="P1291" i="6"/>
  <c r="M1291" i="6"/>
  <c r="K1291" i="6"/>
  <c r="L1291" i="6" s="1"/>
  <c r="P1290" i="6"/>
  <c r="M1290" i="6"/>
  <c r="K1290" i="6"/>
  <c r="L1290" i="6" s="1"/>
  <c r="P1289" i="6"/>
  <c r="M1289" i="6"/>
  <c r="K1289" i="6"/>
  <c r="L1289" i="6" s="1"/>
  <c r="P1288" i="6"/>
  <c r="M1288" i="6"/>
  <c r="K1288" i="6"/>
  <c r="L1288" i="6" s="1"/>
  <c r="P1287" i="6"/>
  <c r="M1287" i="6"/>
  <c r="K1287" i="6"/>
  <c r="L1287" i="6" s="1"/>
  <c r="P1286" i="6"/>
  <c r="M1286" i="6"/>
  <c r="K1286" i="6"/>
  <c r="L1286" i="6" s="1"/>
  <c r="P1285" i="6"/>
  <c r="M1285" i="6"/>
  <c r="K1285" i="6"/>
  <c r="L1285" i="6" s="1"/>
  <c r="P1284" i="6"/>
  <c r="M1284" i="6"/>
  <c r="K1284" i="6"/>
  <c r="L1284" i="6" s="1"/>
  <c r="P1283" i="6"/>
  <c r="M1283" i="6"/>
  <c r="K1283" i="6"/>
  <c r="L1283" i="6" s="1"/>
  <c r="P1282" i="6"/>
  <c r="M1282" i="6"/>
  <c r="K1282" i="6"/>
  <c r="L1282" i="6" s="1"/>
  <c r="P1281" i="6"/>
  <c r="M1281" i="6"/>
  <c r="K1281" i="6"/>
  <c r="L1281" i="6" s="1"/>
  <c r="P1280" i="6"/>
  <c r="M1280" i="6"/>
  <c r="K1280" i="6"/>
  <c r="L1280" i="6" s="1"/>
  <c r="P1279" i="6"/>
  <c r="M1279" i="6"/>
  <c r="K1279" i="6"/>
  <c r="L1279" i="6" s="1"/>
  <c r="P1278" i="6"/>
  <c r="M1278" i="6"/>
  <c r="K1278" i="6"/>
  <c r="L1278" i="6" s="1"/>
  <c r="P1277" i="6"/>
  <c r="M1277" i="6"/>
  <c r="K1277" i="6"/>
  <c r="L1277" i="6" s="1"/>
  <c r="P1276" i="6"/>
  <c r="M1276" i="6"/>
  <c r="K1276" i="6"/>
  <c r="L1276" i="6" s="1"/>
  <c r="P1275" i="6"/>
  <c r="M1275" i="6"/>
  <c r="K1275" i="6"/>
  <c r="L1275" i="6" s="1"/>
  <c r="P1274" i="6"/>
  <c r="M1274" i="6"/>
  <c r="K1274" i="6"/>
  <c r="L1274" i="6" s="1"/>
  <c r="P1273" i="6"/>
  <c r="M1273" i="6"/>
  <c r="K1273" i="6"/>
  <c r="L1273" i="6" s="1"/>
  <c r="P1272" i="6"/>
  <c r="M1272" i="6"/>
  <c r="K1272" i="6"/>
  <c r="L1272" i="6" s="1"/>
  <c r="P1271" i="6"/>
  <c r="M1271" i="6"/>
  <c r="K1271" i="6"/>
  <c r="L1271" i="6" s="1"/>
  <c r="P1270" i="6"/>
  <c r="M1270" i="6"/>
  <c r="K1270" i="6"/>
  <c r="L1270" i="6" s="1"/>
  <c r="P1269" i="6"/>
  <c r="M1269" i="6"/>
  <c r="K1269" i="6"/>
  <c r="L1269" i="6" s="1"/>
  <c r="P1268" i="6"/>
  <c r="M1268" i="6"/>
  <c r="K1268" i="6"/>
  <c r="L1268" i="6" s="1"/>
  <c r="P1267" i="6"/>
  <c r="M1267" i="6"/>
  <c r="K1267" i="6"/>
  <c r="L1267" i="6" s="1"/>
  <c r="P1266" i="6"/>
  <c r="M1266" i="6"/>
  <c r="K1266" i="6"/>
  <c r="L1266" i="6" s="1"/>
  <c r="P1265" i="6"/>
  <c r="M1265" i="6"/>
  <c r="K1265" i="6"/>
  <c r="L1265" i="6" s="1"/>
  <c r="P1264" i="6"/>
  <c r="M1264" i="6"/>
  <c r="K1264" i="6"/>
  <c r="L1264" i="6" s="1"/>
  <c r="P1263" i="6"/>
  <c r="M1263" i="6"/>
  <c r="K1263" i="6"/>
  <c r="L1263" i="6" s="1"/>
  <c r="P1262" i="6"/>
  <c r="M1262" i="6"/>
  <c r="K1262" i="6"/>
  <c r="L1262" i="6" s="1"/>
  <c r="P1261" i="6"/>
  <c r="M1261" i="6"/>
  <c r="K1261" i="6"/>
  <c r="L1261" i="6" s="1"/>
  <c r="P1260" i="6"/>
  <c r="M1260" i="6"/>
  <c r="K1260" i="6"/>
  <c r="L1260" i="6" s="1"/>
  <c r="P1259" i="6"/>
  <c r="M1259" i="6"/>
  <c r="K1259" i="6"/>
  <c r="L1259" i="6" s="1"/>
  <c r="P1258" i="6"/>
  <c r="M1258" i="6"/>
  <c r="K1258" i="6"/>
  <c r="L1258" i="6" s="1"/>
  <c r="P1257" i="6"/>
  <c r="M1257" i="6"/>
  <c r="K1257" i="6"/>
  <c r="L1257" i="6" s="1"/>
  <c r="P1256" i="6"/>
  <c r="M1256" i="6"/>
  <c r="K1256" i="6"/>
  <c r="L1256" i="6" s="1"/>
  <c r="P1255" i="6"/>
  <c r="M1255" i="6"/>
  <c r="K1255" i="6"/>
  <c r="L1255" i="6" s="1"/>
  <c r="P1254" i="6"/>
  <c r="M1254" i="6"/>
  <c r="K1254" i="6"/>
  <c r="L1254" i="6" s="1"/>
  <c r="P1253" i="6"/>
  <c r="M1253" i="6"/>
  <c r="K1253" i="6"/>
  <c r="L1253" i="6" s="1"/>
  <c r="P1252" i="6"/>
  <c r="M1252" i="6"/>
  <c r="K1252" i="6"/>
  <c r="L1252" i="6" s="1"/>
  <c r="P1251" i="6"/>
  <c r="M1251" i="6"/>
  <c r="K1251" i="6"/>
  <c r="L1251" i="6" s="1"/>
  <c r="P1250" i="6"/>
  <c r="M1250" i="6"/>
  <c r="K1250" i="6"/>
  <c r="L1250" i="6" s="1"/>
  <c r="P1249" i="6"/>
  <c r="M1249" i="6"/>
  <c r="K1249" i="6"/>
  <c r="L1249" i="6" s="1"/>
  <c r="P1248" i="6"/>
  <c r="M1248" i="6"/>
  <c r="K1248" i="6"/>
  <c r="L1248" i="6" s="1"/>
  <c r="P1247" i="6"/>
  <c r="M1247" i="6"/>
  <c r="K1247" i="6"/>
  <c r="L1247" i="6" s="1"/>
  <c r="P1246" i="6"/>
  <c r="M1246" i="6"/>
  <c r="K1246" i="6"/>
  <c r="L1246" i="6" s="1"/>
  <c r="P1245" i="6"/>
  <c r="M1245" i="6"/>
  <c r="K1245" i="6"/>
  <c r="L1245" i="6" s="1"/>
  <c r="P1244" i="6"/>
  <c r="M1244" i="6"/>
  <c r="K1244" i="6"/>
  <c r="L1244" i="6" s="1"/>
  <c r="P1243" i="6"/>
  <c r="M1243" i="6"/>
  <c r="K1243" i="6"/>
  <c r="L1243" i="6" s="1"/>
  <c r="P1242" i="6"/>
  <c r="M1242" i="6"/>
  <c r="K1242" i="6"/>
  <c r="L1242" i="6" s="1"/>
  <c r="P1241" i="6"/>
  <c r="M1241" i="6"/>
  <c r="K1241" i="6"/>
  <c r="L1241" i="6" s="1"/>
  <c r="P1240" i="6"/>
  <c r="M1240" i="6"/>
  <c r="K1240" i="6"/>
  <c r="L1240" i="6" s="1"/>
  <c r="P1239" i="6"/>
  <c r="M1239" i="6"/>
  <c r="K1239" i="6"/>
  <c r="L1239" i="6" s="1"/>
  <c r="P1238" i="6"/>
  <c r="M1238" i="6"/>
  <c r="K1238" i="6"/>
  <c r="L1238" i="6" s="1"/>
  <c r="P1237" i="6"/>
  <c r="M1237" i="6"/>
  <c r="K1237" i="6"/>
  <c r="L1237" i="6" s="1"/>
  <c r="P1236" i="6"/>
  <c r="M1236" i="6"/>
  <c r="K1236" i="6"/>
  <c r="L1236" i="6" s="1"/>
  <c r="P1235" i="6"/>
  <c r="M1235" i="6"/>
  <c r="K1235" i="6"/>
  <c r="L1235" i="6" s="1"/>
  <c r="P1234" i="6"/>
  <c r="M1234" i="6"/>
  <c r="K1234" i="6"/>
  <c r="L1234" i="6" s="1"/>
  <c r="P1233" i="6"/>
  <c r="M1233" i="6"/>
  <c r="K1233" i="6"/>
  <c r="L1233" i="6" s="1"/>
  <c r="P1232" i="6"/>
  <c r="M1232" i="6"/>
  <c r="K1232" i="6"/>
  <c r="L1232" i="6" s="1"/>
  <c r="P1231" i="6"/>
  <c r="M1231" i="6"/>
  <c r="K1231" i="6"/>
  <c r="L1231" i="6" s="1"/>
  <c r="P1230" i="6"/>
  <c r="M1230" i="6"/>
  <c r="K1230" i="6"/>
  <c r="L1230" i="6" s="1"/>
  <c r="P1229" i="6"/>
  <c r="M1229" i="6"/>
  <c r="K1229" i="6"/>
  <c r="L1229" i="6" s="1"/>
  <c r="P1228" i="6"/>
  <c r="M1228" i="6"/>
  <c r="K1228" i="6"/>
  <c r="L1228" i="6" s="1"/>
  <c r="P1227" i="6"/>
  <c r="M1227" i="6"/>
  <c r="K1227" i="6"/>
  <c r="L1227" i="6" s="1"/>
  <c r="P1226" i="6"/>
  <c r="M1226" i="6"/>
  <c r="K1226" i="6"/>
  <c r="L1226" i="6" s="1"/>
  <c r="P1225" i="6"/>
  <c r="M1225" i="6"/>
  <c r="K1225" i="6"/>
  <c r="L1225" i="6" s="1"/>
  <c r="P1224" i="6"/>
  <c r="M1224" i="6"/>
  <c r="K1224" i="6"/>
  <c r="L1224" i="6" s="1"/>
  <c r="P1223" i="6"/>
  <c r="M1223" i="6"/>
  <c r="K1223" i="6"/>
  <c r="L1223" i="6" s="1"/>
  <c r="P1222" i="6"/>
  <c r="M1222" i="6"/>
  <c r="K1222" i="6"/>
  <c r="L1222" i="6" s="1"/>
  <c r="P1221" i="6"/>
  <c r="M1221" i="6"/>
  <c r="K1221" i="6"/>
  <c r="L1221" i="6" s="1"/>
  <c r="P1220" i="6"/>
  <c r="M1220" i="6"/>
  <c r="K1220" i="6"/>
  <c r="L1220" i="6" s="1"/>
  <c r="P1219" i="6"/>
  <c r="M1219" i="6"/>
  <c r="K1219" i="6"/>
  <c r="L1219" i="6" s="1"/>
  <c r="P1218" i="6"/>
  <c r="M1218" i="6"/>
  <c r="K1218" i="6"/>
  <c r="L1218" i="6" s="1"/>
  <c r="P1217" i="6"/>
  <c r="M1217" i="6"/>
  <c r="K1217" i="6"/>
  <c r="L1217" i="6" s="1"/>
  <c r="P1216" i="6"/>
  <c r="M1216" i="6"/>
  <c r="K1216" i="6"/>
  <c r="L1216" i="6" s="1"/>
  <c r="P1215" i="6"/>
  <c r="M1215" i="6"/>
  <c r="K1215" i="6"/>
  <c r="L1215" i="6" s="1"/>
  <c r="P1214" i="6"/>
  <c r="M1214" i="6"/>
  <c r="K1214" i="6"/>
  <c r="L1214" i="6" s="1"/>
  <c r="P1213" i="6"/>
  <c r="M1213" i="6"/>
  <c r="K1213" i="6"/>
  <c r="L1213" i="6" s="1"/>
  <c r="P1212" i="6"/>
  <c r="M1212" i="6"/>
  <c r="K1212" i="6"/>
  <c r="L1212" i="6" s="1"/>
  <c r="P1211" i="6"/>
  <c r="M1211" i="6"/>
  <c r="K1211" i="6"/>
  <c r="L1211" i="6" s="1"/>
  <c r="P1210" i="6"/>
  <c r="M1210" i="6"/>
  <c r="K1210" i="6"/>
  <c r="L1210" i="6" s="1"/>
  <c r="P1209" i="6"/>
  <c r="M1209" i="6"/>
  <c r="K1209" i="6"/>
  <c r="L1209" i="6" s="1"/>
  <c r="P1208" i="6"/>
  <c r="M1208" i="6"/>
  <c r="K1208" i="6"/>
  <c r="L1208" i="6" s="1"/>
  <c r="P1207" i="6"/>
  <c r="M1207" i="6"/>
  <c r="K1207" i="6"/>
  <c r="L1207" i="6" s="1"/>
  <c r="P1206" i="6"/>
  <c r="M1206" i="6"/>
  <c r="K1206" i="6"/>
  <c r="L1206" i="6" s="1"/>
  <c r="P1205" i="6"/>
  <c r="M1205" i="6"/>
  <c r="K1205" i="6"/>
  <c r="L1205" i="6" s="1"/>
  <c r="P1204" i="6"/>
  <c r="M1204" i="6"/>
  <c r="K1204" i="6"/>
  <c r="L1204" i="6" s="1"/>
  <c r="P1203" i="6"/>
  <c r="M1203" i="6"/>
  <c r="K1203" i="6"/>
  <c r="L1203" i="6" s="1"/>
  <c r="P1202" i="6"/>
  <c r="M1202" i="6"/>
  <c r="K1202" i="6"/>
  <c r="L1202" i="6" s="1"/>
  <c r="P1201" i="6"/>
  <c r="M1201" i="6"/>
  <c r="K1201" i="6"/>
  <c r="L1201" i="6" s="1"/>
  <c r="P1200" i="6"/>
  <c r="M1200" i="6"/>
  <c r="K1200" i="6"/>
  <c r="L1200" i="6" s="1"/>
  <c r="P1199" i="6"/>
  <c r="M1199" i="6"/>
  <c r="K1199" i="6"/>
  <c r="L1199" i="6" s="1"/>
  <c r="P1198" i="6"/>
  <c r="M1198" i="6"/>
  <c r="K1198" i="6"/>
  <c r="L1198" i="6" s="1"/>
  <c r="P1197" i="6"/>
  <c r="M1197" i="6"/>
  <c r="K1197" i="6"/>
  <c r="L1197" i="6" s="1"/>
  <c r="P1196" i="6"/>
  <c r="M1196" i="6"/>
  <c r="K1196" i="6"/>
  <c r="L1196" i="6" s="1"/>
  <c r="P1195" i="6"/>
  <c r="M1195" i="6"/>
  <c r="K1195" i="6"/>
  <c r="L1195" i="6" s="1"/>
  <c r="P1194" i="6"/>
  <c r="M1194" i="6"/>
  <c r="K1194" i="6"/>
  <c r="L1194" i="6" s="1"/>
  <c r="P1193" i="6"/>
  <c r="M1193" i="6"/>
  <c r="K1193" i="6"/>
  <c r="L1193" i="6" s="1"/>
  <c r="P1192" i="6"/>
  <c r="M1192" i="6"/>
  <c r="K1192" i="6"/>
  <c r="L1192" i="6" s="1"/>
  <c r="P1191" i="6"/>
  <c r="M1191" i="6"/>
  <c r="K1191" i="6"/>
  <c r="L1191" i="6" s="1"/>
  <c r="P1190" i="6"/>
  <c r="M1190" i="6"/>
  <c r="K1190" i="6"/>
  <c r="L1190" i="6" s="1"/>
  <c r="P1189" i="6"/>
  <c r="M1189" i="6"/>
  <c r="K1189" i="6"/>
  <c r="L1189" i="6" s="1"/>
  <c r="P1188" i="6"/>
  <c r="M1188" i="6"/>
  <c r="K1188" i="6"/>
  <c r="L1188" i="6" s="1"/>
  <c r="P1187" i="6"/>
  <c r="M1187" i="6"/>
  <c r="K1187" i="6"/>
  <c r="L1187" i="6" s="1"/>
  <c r="P1186" i="6"/>
  <c r="M1186" i="6"/>
  <c r="K1186" i="6"/>
  <c r="L1186" i="6" s="1"/>
  <c r="P1185" i="6"/>
  <c r="M1185" i="6"/>
  <c r="K1185" i="6"/>
  <c r="L1185" i="6" s="1"/>
  <c r="P1184" i="6"/>
  <c r="M1184" i="6"/>
  <c r="K1184" i="6"/>
  <c r="L1184" i="6" s="1"/>
  <c r="P1183" i="6"/>
  <c r="M1183" i="6"/>
  <c r="K1183" i="6"/>
  <c r="L1183" i="6" s="1"/>
  <c r="P1182" i="6"/>
  <c r="M1182" i="6"/>
  <c r="K1182" i="6"/>
  <c r="L1182" i="6" s="1"/>
  <c r="P1181" i="6"/>
  <c r="M1181" i="6"/>
  <c r="K1181" i="6"/>
  <c r="L1181" i="6" s="1"/>
  <c r="P1180" i="6"/>
  <c r="M1180" i="6"/>
  <c r="K1180" i="6"/>
  <c r="L1180" i="6" s="1"/>
  <c r="P1179" i="6"/>
  <c r="M1179" i="6"/>
  <c r="K1179" i="6"/>
  <c r="L1179" i="6" s="1"/>
  <c r="P1178" i="6"/>
  <c r="M1178" i="6"/>
  <c r="K1178" i="6"/>
  <c r="L1178" i="6" s="1"/>
  <c r="P1177" i="6"/>
  <c r="M1177" i="6"/>
  <c r="K1177" i="6"/>
  <c r="L1177" i="6" s="1"/>
  <c r="P1176" i="6"/>
  <c r="M1176" i="6"/>
  <c r="K1176" i="6"/>
  <c r="L1176" i="6" s="1"/>
  <c r="P1175" i="6"/>
  <c r="M1175" i="6"/>
  <c r="K1175" i="6"/>
  <c r="L1175" i="6" s="1"/>
  <c r="P1174" i="6"/>
  <c r="M1174" i="6"/>
  <c r="K1174" i="6"/>
  <c r="L1174" i="6" s="1"/>
  <c r="P1173" i="6"/>
  <c r="M1173" i="6"/>
  <c r="K1173" i="6"/>
  <c r="L1173" i="6" s="1"/>
  <c r="P1172" i="6"/>
  <c r="M1172" i="6"/>
  <c r="K1172" i="6"/>
  <c r="L1172" i="6" s="1"/>
  <c r="P1171" i="6"/>
  <c r="M1171" i="6"/>
  <c r="K1171" i="6"/>
  <c r="L1171" i="6" s="1"/>
  <c r="P1170" i="6"/>
  <c r="M1170" i="6"/>
  <c r="K1170" i="6"/>
  <c r="L1170" i="6" s="1"/>
  <c r="P1169" i="6"/>
  <c r="M1169" i="6"/>
  <c r="K1169" i="6"/>
  <c r="L1169" i="6" s="1"/>
  <c r="P1168" i="6"/>
  <c r="M1168" i="6"/>
  <c r="K1168" i="6"/>
  <c r="L1168" i="6" s="1"/>
  <c r="P1167" i="6"/>
  <c r="M1167" i="6"/>
  <c r="K1167" i="6"/>
  <c r="L1167" i="6" s="1"/>
  <c r="P1166" i="6"/>
  <c r="M1166" i="6"/>
  <c r="K1166" i="6"/>
  <c r="L1166" i="6" s="1"/>
  <c r="P1165" i="6"/>
  <c r="M1165" i="6"/>
  <c r="K1165" i="6"/>
  <c r="L1165" i="6" s="1"/>
  <c r="P1164" i="6"/>
  <c r="M1164" i="6"/>
  <c r="K1164" i="6"/>
  <c r="L1164" i="6" s="1"/>
  <c r="P1163" i="6"/>
  <c r="M1163" i="6"/>
  <c r="K1163" i="6"/>
  <c r="L1163" i="6" s="1"/>
  <c r="P1162" i="6"/>
  <c r="M1162" i="6"/>
  <c r="K1162" i="6"/>
  <c r="L1162" i="6" s="1"/>
  <c r="P1161" i="6"/>
  <c r="M1161" i="6"/>
  <c r="K1161" i="6"/>
  <c r="L1161" i="6" s="1"/>
  <c r="P1160" i="6"/>
  <c r="M1160" i="6"/>
  <c r="K1160" i="6"/>
  <c r="L1160" i="6" s="1"/>
  <c r="P1159" i="6"/>
  <c r="M1159" i="6"/>
  <c r="K1159" i="6"/>
  <c r="L1159" i="6" s="1"/>
  <c r="P1158" i="6"/>
  <c r="M1158" i="6"/>
  <c r="K1158" i="6"/>
  <c r="L1158" i="6" s="1"/>
  <c r="P1157" i="6"/>
  <c r="M1157" i="6"/>
  <c r="K1157" i="6"/>
  <c r="L1157" i="6" s="1"/>
  <c r="P1156" i="6"/>
  <c r="M1156" i="6"/>
  <c r="K1156" i="6"/>
  <c r="L1156" i="6" s="1"/>
  <c r="P1155" i="6"/>
  <c r="M1155" i="6"/>
  <c r="K1155" i="6"/>
  <c r="L1155" i="6" s="1"/>
  <c r="P1154" i="6"/>
  <c r="M1154" i="6"/>
  <c r="K1154" i="6"/>
  <c r="L1154" i="6" s="1"/>
  <c r="P1153" i="6"/>
  <c r="M1153" i="6"/>
  <c r="K1153" i="6"/>
  <c r="L1153" i="6" s="1"/>
  <c r="P1152" i="6"/>
  <c r="M1152" i="6"/>
  <c r="K1152" i="6"/>
  <c r="L1152" i="6" s="1"/>
  <c r="P1151" i="6"/>
  <c r="M1151" i="6"/>
  <c r="K1151" i="6"/>
  <c r="L1151" i="6" s="1"/>
  <c r="P1150" i="6"/>
  <c r="M1150" i="6"/>
  <c r="K1150" i="6"/>
  <c r="L1150" i="6" s="1"/>
  <c r="P1149" i="6"/>
  <c r="M1149" i="6"/>
  <c r="K1149" i="6"/>
  <c r="L1149" i="6" s="1"/>
  <c r="P1148" i="6"/>
  <c r="M1148" i="6"/>
  <c r="K1148" i="6"/>
  <c r="L1148" i="6" s="1"/>
  <c r="P1147" i="6"/>
  <c r="M1147" i="6"/>
  <c r="K1147" i="6"/>
  <c r="L1147" i="6" s="1"/>
  <c r="P1146" i="6"/>
  <c r="M1146" i="6"/>
  <c r="K1146" i="6"/>
  <c r="L1146" i="6" s="1"/>
  <c r="P1145" i="6"/>
  <c r="M1145" i="6"/>
  <c r="K1145" i="6"/>
  <c r="L1145" i="6" s="1"/>
  <c r="P1144" i="6"/>
  <c r="M1144" i="6"/>
  <c r="K1144" i="6"/>
  <c r="L1144" i="6" s="1"/>
  <c r="P1143" i="6"/>
  <c r="M1143" i="6"/>
  <c r="K1143" i="6"/>
  <c r="L1143" i="6" s="1"/>
  <c r="P1142" i="6"/>
  <c r="M1142" i="6"/>
  <c r="K1142" i="6"/>
  <c r="L1142" i="6" s="1"/>
  <c r="P1141" i="6"/>
  <c r="M1141" i="6"/>
  <c r="K1141" i="6"/>
  <c r="L1141" i="6" s="1"/>
  <c r="P1140" i="6"/>
  <c r="M1140" i="6"/>
  <c r="K1140" i="6"/>
  <c r="L1140" i="6" s="1"/>
  <c r="P1139" i="6"/>
  <c r="M1139" i="6"/>
  <c r="K1139" i="6"/>
  <c r="L1139" i="6" s="1"/>
  <c r="P1138" i="6"/>
  <c r="M1138" i="6"/>
  <c r="K1138" i="6"/>
  <c r="L1138" i="6" s="1"/>
  <c r="P1137" i="6"/>
  <c r="M1137" i="6"/>
  <c r="K1137" i="6"/>
  <c r="L1137" i="6" s="1"/>
  <c r="P1136" i="6"/>
  <c r="M1136" i="6"/>
  <c r="K1136" i="6"/>
  <c r="L1136" i="6" s="1"/>
  <c r="P1135" i="6"/>
  <c r="M1135" i="6"/>
  <c r="K1135" i="6"/>
  <c r="L1135" i="6" s="1"/>
  <c r="P1134" i="6"/>
  <c r="M1134" i="6"/>
  <c r="K1134" i="6"/>
  <c r="L1134" i="6" s="1"/>
  <c r="P1133" i="6"/>
  <c r="M1133" i="6"/>
  <c r="K1133" i="6"/>
  <c r="L1133" i="6" s="1"/>
  <c r="P1132" i="6"/>
  <c r="M1132" i="6"/>
  <c r="K1132" i="6"/>
  <c r="L1132" i="6" s="1"/>
  <c r="P1131" i="6"/>
  <c r="M1131" i="6"/>
  <c r="K1131" i="6"/>
  <c r="L1131" i="6" s="1"/>
  <c r="P1130" i="6"/>
  <c r="M1130" i="6"/>
  <c r="K1130" i="6"/>
  <c r="L1130" i="6" s="1"/>
  <c r="P1129" i="6"/>
  <c r="M1129" i="6"/>
  <c r="K1129" i="6"/>
  <c r="L1129" i="6" s="1"/>
  <c r="P1128" i="6"/>
  <c r="M1128" i="6"/>
  <c r="K1128" i="6"/>
  <c r="L1128" i="6" s="1"/>
  <c r="P1127" i="6"/>
  <c r="M1127" i="6"/>
  <c r="K1127" i="6"/>
  <c r="L1127" i="6" s="1"/>
  <c r="P1126" i="6"/>
  <c r="M1126" i="6"/>
  <c r="K1126" i="6"/>
  <c r="L1126" i="6" s="1"/>
  <c r="P1125" i="6"/>
  <c r="M1125" i="6"/>
  <c r="K1125" i="6"/>
  <c r="L1125" i="6" s="1"/>
  <c r="P1124" i="6"/>
  <c r="M1124" i="6"/>
  <c r="K1124" i="6"/>
  <c r="L1124" i="6" s="1"/>
  <c r="P1123" i="6"/>
  <c r="M1123" i="6"/>
  <c r="K1123" i="6"/>
  <c r="L1123" i="6" s="1"/>
  <c r="P1122" i="6"/>
  <c r="M1122" i="6"/>
  <c r="K1122" i="6"/>
  <c r="L1122" i="6" s="1"/>
  <c r="P1121" i="6"/>
  <c r="M1121" i="6"/>
  <c r="K1121" i="6"/>
  <c r="L1121" i="6" s="1"/>
  <c r="P1120" i="6"/>
  <c r="M1120" i="6"/>
  <c r="K1120" i="6"/>
  <c r="L1120" i="6" s="1"/>
  <c r="P1119" i="6"/>
  <c r="M1119" i="6"/>
  <c r="K1119" i="6"/>
  <c r="L1119" i="6" s="1"/>
  <c r="P1118" i="6"/>
  <c r="M1118" i="6"/>
  <c r="K1118" i="6"/>
  <c r="L1118" i="6" s="1"/>
  <c r="P1117" i="6"/>
  <c r="M1117" i="6"/>
  <c r="K1117" i="6"/>
  <c r="L1117" i="6" s="1"/>
  <c r="P1116" i="6"/>
  <c r="M1116" i="6"/>
  <c r="K1116" i="6"/>
  <c r="L1116" i="6" s="1"/>
  <c r="P1115" i="6"/>
  <c r="M1115" i="6"/>
  <c r="K1115" i="6"/>
  <c r="L1115" i="6" s="1"/>
  <c r="P1114" i="6"/>
  <c r="M1114" i="6"/>
  <c r="K1114" i="6"/>
  <c r="L1114" i="6" s="1"/>
  <c r="P1113" i="6"/>
  <c r="M1113" i="6"/>
  <c r="K1113" i="6"/>
  <c r="L1113" i="6" s="1"/>
  <c r="P1112" i="6"/>
  <c r="M1112" i="6"/>
  <c r="K1112" i="6"/>
  <c r="L1112" i="6" s="1"/>
  <c r="P1111" i="6"/>
  <c r="M1111" i="6"/>
  <c r="K1111" i="6"/>
  <c r="L1111" i="6" s="1"/>
  <c r="P1110" i="6"/>
  <c r="M1110" i="6"/>
  <c r="K1110" i="6"/>
  <c r="L1110" i="6" s="1"/>
  <c r="P1109" i="6"/>
  <c r="M1109" i="6"/>
  <c r="K1109" i="6"/>
  <c r="L1109" i="6" s="1"/>
  <c r="P1108" i="6"/>
  <c r="M1108" i="6"/>
  <c r="K1108" i="6"/>
  <c r="L1108" i="6" s="1"/>
  <c r="P1107" i="6"/>
  <c r="M1107" i="6"/>
  <c r="K1107" i="6"/>
  <c r="L1107" i="6" s="1"/>
  <c r="P1106" i="6"/>
  <c r="M1106" i="6"/>
  <c r="K1106" i="6"/>
  <c r="L1106" i="6" s="1"/>
  <c r="P1105" i="6"/>
  <c r="M1105" i="6"/>
  <c r="K1105" i="6"/>
  <c r="L1105" i="6" s="1"/>
  <c r="P1104" i="6"/>
  <c r="M1104" i="6"/>
  <c r="K1104" i="6"/>
  <c r="L1104" i="6" s="1"/>
  <c r="P1103" i="6"/>
  <c r="M1103" i="6"/>
  <c r="K1103" i="6"/>
  <c r="L1103" i="6" s="1"/>
  <c r="P1102" i="6"/>
  <c r="M1102" i="6"/>
  <c r="K1102" i="6"/>
  <c r="L1102" i="6" s="1"/>
  <c r="P1101" i="6"/>
  <c r="M1101" i="6"/>
  <c r="K1101" i="6"/>
  <c r="L1101" i="6" s="1"/>
  <c r="P1100" i="6"/>
  <c r="M1100" i="6"/>
  <c r="K1100" i="6"/>
  <c r="L1100" i="6" s="1"/>
  <c r="P1099" i="6"/>
  <c r="M1099" i="6"/>
  <c r="K1099" i="6"/>
  <c r="L1099" i="6" s="1"/>
  <c r="P1098" i="6"/>
  <c r="M1098" i="6"/>
  <c r="K1098" i="6"/>
  <c r="L1098" i="6" s="1"/>
  <c r="P1097" i="6"/>
  <c r="M1097" i="6"/>
  <c r="K1097" i="6"/>
  <c r="L1097" i="6" s="1"/>
  <c r="P1096" i="6"/>
  <c r="M1096" i="6"/>
  <c r="K1096" i="6"/>
  <c r="L1096" i="6" s="1"/>
  <c r="P1095" i="6"/>
  <c r="M1095" i="6"/>
  <c r="K1095" i="6"/>
  <c r="L1095" i="6" s="1"/>
  <c r="P1094" i="6"/>
  <c r="M1094" i="6"/>
  <c r="K1094" i="6"/>
  <c r="L1094" i="6" s="1"/>
  <c r="P1093" i="6"/>
  <c r="M1093" i="6"/>
  <c r="K1093" i="6"/>
  <c r="L1093" i="6" s="1"/>
  <c r="P1092" i="6"/>
  <c r="M1092" i="6"/>
  <c r="K1092" i="6"/>
  <c r="L1092" i="6" s="1"/>
  <c r="P1091" i="6"/>
  <c r="M1091" i="6"/>
  <c r="K1091" i="6"/>
  <c r="L1091" i="6" s="1"/>
  <c r="P1090" i="6"/>
  <c r="M1090" i="6"/>
  <c r="K1090" i="6"/>
  <c r="L1090" i="6" s="1"/>
  <c r="P1089" i="6"/>
  <c r="M1089" i="6"/>
  <c r="K1089" i="6"/>
  <c r="L1089" i="6" s="1"/>
  <c r="P1088" i="6"/>
  <c r="M1088" i="6"/>
  <c r="K1088" i="6"/>
  <c r="L1088" i="6" s="1"/>
  <c r="P1087" i="6"/>
  <c r="M1087" i="6"/>
  <c r="K1087" i="6"/>
  <c r="L1087" i="6" s="1"/>
  <c r="P1086" i="6"/>
  <c r="M1086" i="6"/>
  <c r="K1086" i="6"/>
  <c r="L1086" i="6" s="1"/>
  <c r="P1085" i="6"/>
  <c r="M1085" i="6"/>
  <c r="K1085" i="6"/>
  <c r="L1085" i="6" s="1"/>
  <c r="P1084" i="6"/>
  <c r="M1084" i="6"/>
  <c r="K1084" i="6"/>
  <c r="L1084" i="6" s="1"/>
  <c r="P1083" i="6"/>
  <c r="M1083" i="6"/>
  <c r="K1083" i="6"/>
  <c r="L1083" i="6" s="1"/>
  <c r="P1082" i="6"/>
  <c r="M1082" i="6"/>
  <c r="K1082" i="6"/>
  <c r="L1082" i="6" s="1"/>
  <c r="P1081" i="6"/>
  <c r="M1081" i="6"/>
  <c r="K1081" i="6"/>
  <c r="L1081" i="6" s="1"/>
  <c r="P1080" i="6"/>
  <c r="M1080" i="6"/>
  <c r="K1080" i="6"/>
  <c r="L1080" i="6" s="1"/>
  <c r="P1079" i="6"/>
  <c r="M1079" i="6"/>
  <c r="K1079" i="6"/>
  <c r="L1079" i="6" s="1"/>
  <c r="P1078" i="6"/>
  <c r="M1078" i="6"/>
  <c r="K1078" i="6"/>
  <c r="L1078" i="6" s="1"/>
  <c r="P1077" i="6"/>
  <c r="M1077" i="6"/>
  <c r="K1077" i="6"/>
  <c r="L1077" i="6" s="1"/>
  <c r="P1076" i="6"/>
  <c r="M1076" i="6"/>
  <c r="K1076" i="6"/>
  <c r="L1076" i="6" s="1"/>
  <c r="P1075" i="6"/>
  <c r="M1075" i="6"/>
  <c r="K1075" i="6"/>
  <c r="L1075" i="6" s="1"/>
  <c r="P1074" i="6"/>
  <c r="M1074" i="6"/>
  <c r="K1074" i="6"/>
  <c r="L1074" i="6" s="1"/>
  <c r="P1073" i="6"/>
  <c r="M1073" i="6"/>
  <c r="K1073" i="6"/>
  <c r="L1073" i="6" s="1"/>
  <c r="P1072" i="6"/>
  <c r="M1072" i="6"/>
  <c r="K1072" i="6"/>
  <c r="L1072" i="6" s="1"/>
  <c r="P1071" i="6"/>
  <c r="M1071" i="6"/>
  <c r="K1071" i="6"/>
  <c r="L1071" i="6" s="1"/>
  <c r="P1070" i="6"/>
  <c r="M1070" i="6"/>
  <c r="K1070" i="6"/>
  <c r="L1070" i="6" s="1"/>
  <c r="P1069" i="6"/>
  <c r="M1069" i="6"/>
  <c r="K1069" i="6"/>
  <c r="L1069" i="6" s="1"/>
  <c r="P1068" i="6"/>
  <c r="M1068" i="6"/>
  <c r="K1068" i="6"/>
  <c r="L1068" i="6" s="1"/>
  <c r="P1067" i="6"/>
  <c r="M1067" i="6"/>
  <c r="K1067" i="6"/>
  <c r="L1067" i="6" s="1"/>
  <c r="P1066" i="6"/>
  <c r="M1066" i="6"/>
  <c r="K1066" i="6"/>
  <c r="L1066" i="6" s="1"/>
  <c r="P1065" i="6"/>
  <c r="M1065" i="6"/>
  <c r="K1065" i="6"/>
  <c r="L1065" i="6" s="1"/>
  <c r="P1064" i="6"/>
  <c r="M1064" i="6"/>
  <c r="K1064" i="6"/>
  <c r="L1064" i="6" s="1"/>
  <c r="P1063" i="6"/>
  <c r="M1063" i="6"/>
  <c r="K1063" i="6"/>
  <c r="L1063" i="6" s="1"/>
  <c r="P1062" i="6"/>
  <c r="M1062" i="6"/>
  <c r="K1062" i="6"/>
  <c r="L1062" i="6" s="1"/>
  <c r="P1061" i="6"/>
  <c r="M1061" i="6"/>
  <c r="K1061" i="6"/>
  <c r="L1061" i="6" s="1"/>
  <c r="P1060" i="6"/>
  <c r="M1060" i="6"/>
  <c r="K1060" i="6"/>
  <c r="L1060" i="6" s="1"/>
  <c r="P1059" i="6"/>
  <c r="M1059" i="6"/>
  <c r="K1059" i="6"/>
  <c r="L1059" i="6" s="1"/>
  <c r="P1058" i="6"/>
  <c r="M1058" i="6"/>
  <c r="K1058" i="6"/>
  <c r="L1058" i="6" s="1"/>
  <c r="P1057" i="6"/>
  <c r="M1057" i="6"/>
  <c r="K1057" i="6"/>
  <c r="L1057" i="6" s="1"/>
  <c r="P1056" i="6"/>
  <c r="M1056" i="6"/>
  <c r="K1056" i="6"/>
  <c r="L1056" i="6" s="1"/>
  <c r="P1055" i="6"/>
  <c r="M1055" i="6"/>
  <c r="K1055" i="6"/>
  <c r="L1055" i="6" s="1"/>
  <c r="P1054" i="6"/>
  <c r="M1054" i="6"/>
  <c r="K1054" i="6"/>
  <c r="L1054" i="6" s="1"/>
  <c r="P1053" i="6"/>
  <c r="M1053" i="6"/>
  <c r="K1053" i="6"/>
  <c r="L1053" i="6" s="1"/>
  <c r="P1052" i="6"/>
  <c r="M1052" i="6"/>
  <c r="K1052" i="6"/>
  <c r="L1052" i="6" s="1"/>
  <c r="P1051" i="6"/>
  <c r="M1051" i="6"/>
  <c r="K1051" i="6"/>
  <c r="L1051" i="6" s="1"/>
  <c r="P1050" i="6"/>
  <c r="M1050" i="6"/>
  <c r="K1050" i="6"/>
  <c r="L1050" i="6" s="1"/>
  <c r="P1049" i="6"/>
  <c r="M1049" i="6"/>
  <c r="K1049" i="6"/>
  <c r="L1049" i="6" s="1"/>
  <c r="P1048" i="6"/>
  <c r="M1048" i="6"/>
  <c r="K1048" i="6"/>
  <c r="L1048" i="6" s="1"/>
  <c r="P1047" i="6"/>
  <c r="M1047" i="6"/>
  <c r="K1047" i="6"/>
  <c r="L1047" i="6" s="1"/>
  <c r="P1046" i="6"/>
  <c r="M1046" i="6"/>
  <c r="K1046" i="6"/>
  <c r="L1046" i="6" s="1"/>
  <c r="P1045" i="6"/>
  <c r="M1045" i="6"/>
  <c r="K1045" i="6"/>
  <c r="L1045" i="6" s="1"/>
  <c r="P1044" i="6"/>
  <c r="M1044" i="6"/>
  <c r="K1044" i="6"/>
  <c r="L1044" i="6" s="1"/>
  <c r="P1043" i="6"/>
  <c r="M1043" i="6"/>
  <c r="K1043" i="6"/>
  <c r="L1043" i="6" s="1"/>
  <c r="P1042" i="6"/>
  <c r="M1042" i="6"/>
  <c r="K1042" i="6"/>
  <c r="L1042" i="6" s="1"/>
  <c r="P1041" i="6"/>
  <c r="M1041" i="6"/>
  <c r="K1041" i="6"/>
  <c r="L1041" i="6" s="1"/>
  <c r="P1040" i="6"/>
  <c r="M1040" i="6"/>
  <c r="K1040" i="6"/>
  <c r="L1040" i="6" s="1"/>
  <c r="P1039" i="6"/>
  <c r="M1039" i="6"/>
  <c r="K1039" i="6"/>
  <c r="L1039" i="6" s="1"/>
  <c r="P1038" i="6"/>
  <c r="M1038" i="6"/>
  <c r="K1038" i="6"/>
  <c r="L1038" i="6" s="1"/>
  <c r="P1037" i="6"/>
  <c r="M1037" i="6"/>
  <c r="K1037" i="6"/>
  <c r="L1037" i="6" s="1"/>
  <c r="P1036" i="6"/>
  <c r="M1036" i="6"/>
  <c r="K1036" i="6"/>
  <c r="L1036" i="6" s="1"/>
  <c r="P1035" i="6"/>
  <c r="M1035" i="6"/>
  <c r="K1035" i="6"/>
  <c r="L1035" i="6" s="1"/>
  <c r="P1034" i="6"/>
  <c r="M1034" i="6"/>
  <c r="K1034" i="6"/>
  <c r="L1034" i="6" s="1"/>
  <c r="P1033" i="6"/>
  <c r="M1033" i="6"/>
  <c r="K1033" i="6"/>
  <c r="L1033" i="6" s="1"/>
  <c r="P1032" i="6"/>
  <c r="M1032" i="6"/>
  <c r="K1032" i="6"/>
  <c r="L1032" i="6" s="1"/>
  <c r="P1031" i="6"/>
  <c r="M1031" i="6"/>
  <c r="K1031" i="6"/>
  <c r="L1031" i="6" s="1"/>
  <c r="P1030" i="6"/>
  <c r="M1030" i="6"/>
  <c r="K1030" i="6"/>
  <c r="L1030" i="6" s="1"/>
  <c r="P1029" i="6"/>
  <c r="M1029" i="6"/>
  <c r="K1029" i="6"/>
  <c r="L1029" i="6" s="1"/>
  <c r="P1028" i="6"/>
  <c r="M1028" i="6"/>
  <c r="K1028" i="6"/>
  <c r="L1028" i="6" s="1"/>
  <c r="P1027" i="6"/>
  <c r="M1027" i="6"/>
  <c r="K1027" i="6"/>
  <c r="L1027" i="6" s="1"/>
  <c r="P1026" i="6"/>
  <c r="M1026" i="6"/>
  <c r="K1026" i="6"/>
  <c r="L1026" i="6" s="1"/>
  <c r="P1025" i="6"/>
  <c r="M1025" i="6"/>
  <c r="K1025" i="6"/>
  <c r="L1025" i="6" s="1"/>
  <c r="P1024" i="6"/>
  <c r="M1024" i="6"/>
  <c r="K1024" i="6"/>
  <c r="L1024" i="6" s="1"/>
  <c r="P1023" i="6"/>
  <c r="M1023" i="6"/>
  <c r="K1023" i="6"/>
  <c r="L1023" i="6" s="1"/>
  <c r="P1022" i="6"/>
  <c r="M1022" i="6"/>
  <c r="K1022" i="6"/>
  <c r="L1022" i="6" s="1"/>
  <c r="P1021" i="6"/>
  <c r="M1021" i="6"/>
  <c r="K1021" i="6"/>
  <c r="L1021" i="6" s="1"/>
  <c r="P1020" i="6"/>
  <c r="M1020" i="6"/>
  <c r="K1020" i="6"/>
  <c r="L1020" i="6" s="1"/>
  <c r="P1019" i="6"/>
  <c r="M1019" i="6"/>
  <c r="K1019" i="6"/>
  <c r="L1019" i="6" s="1"/>
  <c r="P1018" i="6"/>
  <c r="M1018" i="6"/>
  <c r="K1018" i="6"/>
  <c r="L1018" i="6" s="1"/>
  <c r="P1017" i="6"/>
  <c r="M1017" i="6"/>
  <c r="K1017" i="6"/>
  <c r="L1017" i="6" s="1"/>
  <c r="P1016" i="6"/>
  <c r="M1016" i="6"/>
  <c r="K1016" i="6"/>
  <c r="L1016" i="6" s="1"/>
  <c r="P1015" i="6"/>
  <c r="M1015" i="6"/>
  <c r="K1015" i="6"/>
  <c r="L1015" i="6" s="1"/>
  <c r="P1014" i="6"/>
  <c r="M1014" i="6"/>
  <c r="K1014" i="6"/>
  <c r="L1014" i="6" s="1"/>
  <c r="P1013" i="6"/>
  <c r="M1013" i="6"/>
  <c r="K1013" i="6"/>
  <c r="L1013" i="6" s="1"/>
  <c r="P1012" i="6"/>
  <c r="M1012" i="6"/>
  <c r="K1012" i="6"/>
  <c r="L1012" i="6" s="1"/>
  <c r="P1011" i="6"/>
  <c r="M1011" i="6"/>
  <c r="K1011" i="6"/>
  <c r="L1011" i="6" s="1"/>
  <c r="P1010" i="6"/>
  <c r="M1010" i="6"/>
  <c r="K1010" i="6"/>
  <c r="L1010" i="6" s="1"/>
  <c r="P1009" i="6"/>
  <c r="M1009" i="6"/>
  <c r="K1009" i="6"/>
  <c r="L1009" i="6" s="1"/>
  <c r="P1008" i="6"/>
  <c r="M1008" i="6"/>
  <c r="K1008" i="6"/>
  <c r="L1008" i="6" s="1"/>
  <c r="P1007" i="6"/>
  <c r="M1007" i="6"/>
  <c r="K1007" i="6"/>
  <c r="L1007" i="6" s="1"/>
  <c r="P1006" i="6"/>
  <c r="M1006" i="6"/>
  <c r="K1006" i="6"/>
  <c r="L1006" i="6" s="1"/>
  <c r="P1005" i="6"/>
  <c r="M1005" i="6"/>
  <c r="K1005" i="6"/>
  <c r="L1005" i="6" s="1"/>
  <c r="P1004" i="6"/>
  <c r="M1004" i="6"/>
  <c r="K1004" i="6"/>
  <c r="L1004" i="6" s="1"/>
  <c r="P1003" i="6"/>
  <c r="M1003" i="6"/>
  <c r="K1003" i="6"/>
  <c r="L1003" i="6" s="1"/>
  <c r="P1002" i="6"/>
  <c r="M1002" i="6"/>
  <c r="K1002" i="6"/>
  <c r="L1002" i="6" s="1"/>
  <c r="P1001" i="6"/>
  <c r="M1001" i="6"/>
  <c r="K1001" i="6"/>
  <c r="L1001" i="6" s="1"/>
  <c r="P1000" i="6"/>
  <c r="M1000" i="6"/>
  <c r="K1000" i="6"/>
  <c r="L1000" i="6" s="1"/>
  <c r="P999" i="6"/>
  <c r="M999" i="6"/>
  <c r="K999" i="6"/>
  <c r="L999" i="6" s="1"/>
  <c r="P998" i="6"/>
  <c r="M998" i="6"/>
  <c r="K998" i="6"/>
  <c r="L998" i="6" s="1"/>
  <c r="P997" i="6"/>
  <c r="M997" i="6"/>
  <c r="K997" i="6"/>
  <c r="L997" i="6" s="1"/>
  <c r="P996" i="6"/>
  <c r="M996" i="6"/>
  <c r="K996" i="6"/>
  <c r="L996" i="6" s="1"/>
  <c r="P995" i="6"/>
  <c r="M995" i="6"/>
  <c r="K995" i="6"/>
  <c r="L995" i="6" s="1"/>
  <c r="P994" i="6"/>
  <c r="M994" i="6"/>
  <c r="K994" i="6"/>
  <c r="L994" i="6" s="1"/>
  <c r="P993" i="6"/>
  <c r="M993" i="6"/>
  <c r="K993" i="6"/>
  <c r="L993" i="6" s="1"/>
  <c r="P992" i="6"/>
  <c r="M992" i="6"/>
  <c r="K992" i="6"/>
  <c r="L992" i="6" s="1"/>
  <c r="P991" i="6"/>
  <c r="M991" i="6"/>
  <c r="K991" i="6"/>
  <c r="L991" i="6" s="1"/>
  <c r="P990" i="6"/>
  <c r="M990" i="6"/>
  <c r="K990" i="6"/>
  <c r="L990" i="6" s="1"/>
  <c r="P989" i="6"/>
  <c r="M989" i="6"/>
  <c r="K989" i="6"/>
  <c r="L989" i="6" s="1"/>
  <c r="P988" i="6"/>
  <c r="M988" i="6"/>
  <c r="K988" i="6"/>
  <c r="L988" i="6" s="1"/>
  <c r="P987" i="6"/>
  <c r="M987" i="6"/>
  <c r="K987" i="6"/>
  <c r="L987" i="6" s="1"/>
  <c r="P986" i="6"/>
  <c r="M986" i="6"/>
  <c r="K986" i="6"/>
  <c r="L986" i="6" s="1"/>
  <c r="P985" i="6"/>
  <c r="M985" i="6"/>
  <c r="K985" i="6"/>
  <c r="L985" i="6" s="1"/>
  <c r="P984" i="6"/>
  <c r="M984" i="6"/>
  <c r="K984" i="6"/>
  <c r="L984" i="6" s="1"/>
  <c r="P983" i="6"/>
  <c r="M983" i="6"/>
  <c r="K983" i="6"/>
  <c r="L983" i="6" s="1"/>
  <c r="P982" i="6"/>
  <c r="M982" i="6"/>
  <c r="K982" i="6"/>
  <c r="L982" i="6" s="1"/>
  <c r="P981" i="6"/>
  <c r="M981" i="6"/>
  <c r="K981" i="6"/>
  <c r="L981" i="6" s="1"/>
  <c r="P980" i="6"/>
  <c r="M980" i="6"/>
  <c r="K980" i="6"/>
  <c r="L980" i="6" s="1"/>
  <c r="P979" i="6"/>
  <c r="M979" i="6"/>
  <c r="K979" i="6"/>
  <c r="L979" i="6" s="1"/>
  <c r="P978" i="6"/>
  <c r="M978" i="6"/>
  <c r="K978" i="6"/>
  <c r="L978" i="6" s="1"/>
  <c r="P977" i="6"/>
  <c r="M977" i="6"/>
  <c r="K977" i="6"/>
  <c r="L977" i="6" s="1"/>
  <c r="P976" i="6"/>
  <c r="M976" i="6"/>
  <c r="K976" i="6"/>
  <c r="L976" i="6" s="1"/>
  <c r="P975" i="6"/>
  <c r="M975" i="6"/>
  <c r="K975" i="6"/>
  <c r="L975" i="6" s="1"/>
  <c r="P974" i="6"/>
  <c r="M974" i="6"/>
  <c r="K974" i="6"/>
  <c r="L974" i="6" s="1"/>
  <c r="P973" i="6"/>
  <c r="M973" i="6"/>
  <c r="K973" i="6"/>
  <c r="L973" i="6" s="1"/>
  <c r="P972" i="6"/>
  <c r="M972" i="6"/>
  <c r="K972" i="6"/>
  <c r="L972" i="6" s="1"/>
  <c r="P971" i="6"/>
  <c r="M971" i="6"/>
  <c r="K971" i="6"/>
  <c r="L971" i="6" s="1"/>
  <c r="P970" i="6"/>
  <c r="M970" i="6"/>
  <c r="K970" i="6"/>
  <c r="L970" i="6" s="1"/>
  <c r="P969" i="6"/>
  <c r="M969" i="6"/>
  <c r="K969" i="6"/>
  <c r="L969" i="6" s="1"/>
  <c r="P968" i="6"/>
  <c r="M968" i="6"/>
  <c r="K968" i="6"/>
  <c r="L968" i="6" s="1"/>
  <c r="P967" i="6"/>
  <c r="M967" i="6"/>
  <c r="K967" i="6"/>
  <c r="L967" i="6" s="1"/>
  <c r="P966" i="6"/>
  <c r="M966" i="6"/>
  <c r="K966" i="6"/>
  <c r="L966" i="6" s="1"/>
  <c r="P965" i="6"/>
  <c r="M965" i="6"/>
  <c r="K965" i="6"/>
  <c r="L965" i="6" s="1"/>
  <c r="P964" i="6"/>
  <c r="M964" i="6"/>
  <c r="K964" i="6"/>
  <c r="L964" i="6" s="1"/>
  <c r="P963" i="6"/>
  <c r="M963" i="6"/>
  <c r="K963" i="6"/>
  <c r="L963" i="6" s="1"/>
  <c r="P962" i="6"/>
  <c r="M962" i="6"/>
  <c r="K962" i="6"/>
  <c r="L962" i="6" s="1"/>
  <c r="P961" i="6"/>
  <c r="M961" i="6"/>
  <c r="K961" i="6"/>
  <c r="L961" i="6" s="1"/>
  <c r="P960" i="6"/>
  <c r="M960" i="6"/>
  <c r="K960" i="6"/>
  <c r="L960" i="6" s="1"/>
  <c r="P959" i="6"/>
  <c r="M959" i="6"/>
  <c r="K959" i="6"/>
  <c r="L959" i="6" s="1"/>
  <c r="P958" i="6"/>
  <c r="M958" i="6"/>
  <c r="K958" i="6"/>
  <c r="L958" i="6" s="1"/>
  <c r="P957" i="6"/>
  <c r="M957" i="6"/>
  <c r="K957" i="6"/>
  <c r="L957" i="6" s="1"/>
  <c r="P956" i="6"/>
  <c r="M956" i="6"/>
  <c r="K956" i="6"/>
  <c r="L956" i="6" s="1"/>
  <c r="P955" i="6"/>
  <c r="M955" i="6"/>
  <c r="K955" i="6"/>
  <c r="L955" i="6" s="1"/>
  <c r="P954" i="6"/>
  <c r="M954" i="6"/>
  <c r="K954" i="6"/>
  <c r="L954" i="6" s="1"/>
  <c r="P953" i="6"/>
  <c r="M953" i="6"/>
  <c r="K953" i="6"/>
  <c r="L953" i="6" s="1"/>
  <c r="P952" i="6"/>
  <c r="M952" i="6"/>
  <c r="K952" i="6"/>
  <c r="L952" i="6" s="1"/>
  <c r="P951" i="6"/>
  <c r="M951" i="6"/>
  <c r="K951" i="6"/>
  <c r="L951" i="6" s="1"/>
  <c r="P950" i="6"/>
  <c r="M950" i="6"/>
  <c r="K950" i="6"/>
  <c r="L950" i="6" s="1"/>
  <c r="P949" i="6"/>
  <c r="M949" i="6"/>
  <c r="K949" i="6"/>
  <c r="L949" i="6" s="1"/>
  <c r="P948" i="6"/>
  <c r="M948" i="6"/>
  <c r="K948" i="6"/>
  <c r="L948" i="6" s="1"/>
  <c r="P947" i="6"/>
  <c r="M947" i="6"/>
  <c r="K947" i="6"/>
  <c r="L947" i="6" s="1"/>
  <c r="P946" i="6"/>
  <c r="M946" i="6"/>
  <c r="K946" i="6"/>
  <c r="L946" i="6" s="1"/>
  <c r="P945" i="6"/>
  <c r="M945" i="6"/>
  <c r="K945" i="6"/>
  <c r="L945" i="6" s="1"/>
  <c r="P944" i="6"/>
  <c r="M944" i="6"/>
  <c r="K944" i="6"/>
  <c r="L944" i="6" s="1"/>
  <c r="P943" i="6"/>
  <c r="M943" i="6"/>
  <c r="K943" i="6"/>
  <c r="L943" i="6" s="1"/>
  <c r="P942" i="6"/>
  <c r="M942" i="6"/>
  <c r="K942" i="6"/>
  <c r="L942" i="6" s="1"/>
  <c r="P941" i="6"/>
  <c r="M941" i="6"/>
  <c r="K941" i="6"/>
  <c r="L941" i="6" s="1"/>
  <c r="P940" i="6"/>
  <c r="M940" i="6"/>
  <c r="K940" i="6"/>
  <c r="L940" i="6" s="1"/>
  <c r="P939" i="6"/>
  <c r="M939" i="6"/>
  <c r="K939" i="6"/>
  <c r="L939" i="6" s="1"/>
  <c r="P938" i="6"/>
  <c r="M938" i="6"/>
  <c r="K938" i="6"/>
  <c r="L938" i="6" s="1"/>
  <c r="P937" i="6"/>
  <c r="M937" i="6"/>
  <c r="K937" i="6"/>
  <c r="L937" i="6" s="1"/>
  <c r="P936" i="6"/>
  <c r="M936" i="6"/>
  <c r="K936" i="6"/>
  <c r="L936" i="6" s="1"/>
  <c r="P935" i="6"/>
  <c r="M935" i="6"/>
  <c r="K935" i="6"/>
  <c r="L935" i="6" s="1"/>
  <c r="P934" i="6"/>
  <c r="M934" i="6"/>
  <c r="K934" i="6"/>
  <c r="L934" i="6" s="1"/>
  <c r="P933" i="6"/>
  <c r="M933" i="6"/>
  <c r="K933" i="6"/>
  <c r="L933" i="6" s="1"/>
  <c r="P932" i="6"/>
  <c r="M932" i="6"/>
  <c r="K932" i="6"/>
  <c r="L932" i="6" s="1"/>
  <c r="P931" i="6"/>
  <c r="M931" i="6"/>
  <c r="K931" i="6"/>
  <c r="L931" i="6" s="1"/>
  <c r="P930" i="6"/>
  <c r="M930" i="6"/>
  <c r="K930" i="6"/>
  <c r="L930" i="6" s="1"/>
  <c r="P929" i="6"/>
  <c r="M929" i="6"/>
  <c r="K929" i="6"/>
  <c r="L929" i="6" s="1"/>
  <c r="P928" i="6"/>
  <c r="M928" i="6"/>
  <c r="K928" i="6"/>
  <c r="L928" i="6" s="1"/>
  <c r="P927" i="6"/>
  <c r="M927" i="6"/>
  <c r="K927" i="6"/>
  <c r="L927" i="6" s="1"/>
  <c r="P926" i="6"/>
  <c r="M926" i="6"/>
  <c r="K926" i="6"/>
  <c r="L926" i="6" s="1"/>
  <c r="P925" i="6"/>
  <c r="M925" i="6"/>
  <c r="K925" i="6"/>
  <c r="L925" i="6" s="1"/>
  <c r="P924" i="6"/>
  <c r="M924" i="6"/>
  <c r="K924" i="6"/>
  <c r="L924" i="6" s="1"/>
  <c r="P923" i="6"/>
  <c r="M923" i="6"/>
  <c r="K923" i="6"/>
  <c r="L923" i="6" s="1"/>
  <c r="P922" i="6"/>
  <c r="M922" i="6"/>
  <c r="K922" i="6"/>
  <c r="L922" i="6" s="1"/>
  <c r="P921" i="6"/>
  <c r="M921" i="6"/>
  <c r="K921" i="6"/>
  <c r="L921" i="6" s="1"/>
  <c r="P920" i="6"/>
  <c r="M920" i="6"/>
  <c r="K920" i="6"/>
  <c r="L920" i="6" s="1"/>
  <c r="P919" i="6"/>
  <c r="M919" i="6"/>
  <c r="K919" i="6"/>
  <c r="L919" i="6" s="1"/>
  <c r="P918" i="6"/>
  <c r="M918" i="6"/>
  <c r="K918" i="6"/>
  <c r="L918" i="6" s="1"/>
  <c r="P917" i="6"/>
  <c r="M917" i="6"/>
  <c r="K917" i="6"/>
  <c r="L917" i="6" s="1"/>
  <c r="P916" i="6"/>
  <c r="M916" i="6"/>
  <c r="K916" i="6"/>
  <c r="L916" i="6" s="1"/>
  <c r="P915" i="6"/>
  <c r="M915" i="6"/>
  <c r="K915" i="6"/>
  <c r="L915" i="6" s="1"/>
  <c r="P914" i="6"/>
  <c r="M914" i="6"/>
  <c r="K914" i="6"/>
  <c r="L914" i="6" s="1"/>
  <c r="P913" i="6"/>
  <c r="M913" i="6"/>
  <c r="K913" i="6"/>
  <c r="L913" i="6" s="1"/>
  <c r="P912" i="6"/>
  <c r="M912" i="6"/>
  <c r="K912" i="6"/>
  <c r="L912" i="6" s="1"/>
  <c r="P911" i="6"/>
  <c r="M911" i="6"/>
  <c r="K911" i="6"/>
  <c r="L911" i="6" s="1"/>
  <c r="P910" i="6"/>
  <c r="M910" i="6"/>
  <c r="K910" i="6"/>
  <c r="L910" i="6" s="1"/>
  <c r="P909" i="6"/>
  <c r="M909" i="6"/>
  <c r="K909" i="6"/>
  <c r="L909" i="6" s="1"/>
  <c r="P908" i="6"/>
  <c r="M908" i="6"/>
  <c r="K908" i="6"/>
  <c r="L908" i="6" s="1"/>
  <c r="P907" i="6"/>
  <c r="M907" i="6"/>
  <c r="K907" i="6"/>
  <c r="L907" i="6" s="1"/>
  <c r="P906" i="6"/>
  <c r="M906" i="6"/>
  <c r="K906" i="6"/>
  <c r="L906" i="6" s="1"/>
  <c r="P905" i="6"/>
  <c r="M905" i="6"/>
  <c r="K905" i="6"/>
  <c r="L905" i="6" s="1"/>
  <c r="P904" i="6"/>
  <c r="M904" i="6"/>
  <c r="K904" i="6"/>
  <c r="L904" i="6" s="1"/>
  <c r="P903" i="6"/>
  <c r="M903" i="6"/>
  <c r="K903" i="6"/>
  <c r="L903" i="6" s="1"/>
  <c r="P902" i="6"/>
  <c r="M902" i="6"/>
  <c r="K902" i="6"/>
  <c r="L902" i="6" s="1"/>
  <c r="P901" i="6"/>
  <c r="M901" i="6"/>
  <c r="K901" i="6"/>
  <c r="L901" i="6" s="1"/>
  <c r="P900" i="6"/>
  <c r="M900" i="6"/>
  <c r="K900" i="6"/>
  <c r="L900" i="6" s="1"/>
  <c r="P899" i="6"/>
  <c r="M899" i="6"/>
  <c r="K899" i="6"/>
  <c r="L899" i="6" s="1"/>
  <c r="P898" i="6"/>
  <c r="M898" i="6"/>
  <c r="K898" i="6"/>
  <c r="L898" i="6" s="1"/>
  <c r="P897" i="6"/>
  <c r="M897" i="6"/>
  <c r="K897" i="6"/>
  <c r="L897" i="6" s="1"/>
  <c r="P896" i="6"/>
  <c r="M896" i="6"/>
  <c r="K896" i="6"/>
  <c r="L896" i="6" s="1"/>
  <c r="P895" i="6"/>
  <c r="M895" i="6"/>
  <c r="K895" i="6"/>
  <c r="L895" i="6" s="1"/>
  <c r="P894" i="6"/>
  <c r="M894" i="6"/>
  <c r="K894" i="6"/>
  <c r="L894" i="6" s="1"/>
  <c r="P893" i="6"/>
  <c r="M893" i="6"/>
  <c r="K893" i="6"/>
  <c r="L893" i="6" s="1"/>
  <c r="P892" i="6"/>
  <c r="M892" i="6"/>
  <c r="K892" i="6"/>
  <c r="L892" i="6" s="1"/>
  <c r="P891" i="6"/>
  <c r="M891" i="6"/>
  <c r="K891" i="6"/>
  <c r="L891" i="6" s="1"/>
  <c r="P890" i="6"/>
  <c r="M890" i="6"/>
  <c r="K890" i="6"/>
  <c r="L890" i="6" s="1"/>
  <c r="P889" i="6"/>
  <c r="M889" i="6"/>
  <c r="K889" i="6"/>
  <c r="L889" i="6" s="1"/>
  <c r="P888" i="6"/>
  <c r="M888" i="6"/>
  <c r="K888" i="6"/>
  <c r="L888" i="6" s="1"/>
  <c r="P887" i="6"/>
  <c r="M887" i="6"/>
  <c r="K887" i="6"/>
  <c r="L887" i="6" s="1"/>
  <c r="P886" i="6"/>
  <c r="M886" i="6"/>
  <c r="K886" i="6"/>
  <c r="L886" i="6" s="1"/>
  <c r="P885" i="6"/>
  <c r="M885" i="6"/>
  <c r="K885" i="6"/>
  <c r="L885" i="6" s="1"/>
  <c r="P884" i="6"/>
  <c r="M884" i="6"/>
  <c r="K884" i="6"/>
  <c r="L884" i="6" s="1"/>
  <c r="P883" i="6"/>
  <c r="M883" i="6"/>
  <c r="K883" i="6"/>
  <c r="L883" i="6" s="1"/>
  <c r="P882" i="6"/>
  <c r="M882" i="6"/>
  <c r="K882" i="6"/>
  <c r="L882" i="6" s="1"/>
  <c r="P881" i="6"/>
  <c r="M881" i="6"/>
  <c r="K881" i="6"/>
  <c r="L881" i="6" s="1"/>
  <c r="P880" i="6"/>
  <c r="M880" i="6"/>
  <c r="K880" i="6"/>
  <c r="L880" i="6" s="1"/>
  <c r="P879" i="6"/>
  <c r="M879" i="6"/>
  <c r="K879" i="6"/>
  <c r="L879" i="6" s="1"/>
  <c r="P878" i="6"/>
  <c r="M878" i="6"/>
  <c r="K878" i="6"/>
  <c r="L878" i="6" s="1"/>
  <c r="P877" i="6"/>
  <c r="M877" i="6"/>
  <c r="K877" i="6"/>
  <c r="L877" i="6" s="1"/>
  <c r="P876" i="6"/>
  <c r="M876" i="6"/>
  <c r="K876" i="6"/>
  <c r="L876" i="6" s="1"/>
  <c r="P875" i="6"/>
  <c r="M875" i="6"/>
  <c r="K875" i="6"/>
  <c r="L875" i="6" s="1"/>
  <c r="P874" i="6"/>
  <c r="M874" i="6"/>
  <c r="K874" i="6"/>
  <c r="L874" i="6" s="1"/>
  <c r="P873" i="6"/>
  <c r="M873" i="6"/>
  <c r="K873" i="6"/>
  <c r="L873" i="6" s="1"/>
  <c r="P872" i="6"/>
  <c r="M872" i="6"/>
  <c r="K872" i="6"/>
  <c r="L872" i="6" s="1"/>
  <c r="P871" i="6"/>
  <c r="M871" i="6"/>
  <c r="K871" i="6"/>
  <c r="L871" i="6" s="1"/>
  <c r="P870" i="6"/>
  <c r="M870" i="6"/>
  <c r="K870" i="6"/>
  <c r="L870" i="6" s="1"/>
  <c r="P869" i="6"/>
  <c r="M869" i="6"/>
  <c r="K869" i="6"/>
  <c r="L869" i="6" s="1"/>
  <c r="P868" i="6"/>
  <c r="M868" i="6"/>
  <c r="K868" i="6"/>
  <c r="L868" i="6" s="1"/>
  <c r="P867" i="6"/>
  <c r="M867" i="6"/>
  <c r="K867" i="6"/>
  <c r="L867" i="6" s="1"/>
  <c r="P866" i="6"/>
  <c r="M866" i="6"/>
  <c r="K866" i="6"/>
  <c r="L866" i="6" s="1"/>
  <c r="P865" i="6"/>
  <c r="M865" i="6"/>
  <c r="K865" i="6"/>
  <c r="L865" i="6" s="1"/>
  <c r="P864" i="6"/>
  <c r="M864" i="6"/>
  <c r="K864" i="6"/>
  <c r="L864" i="6" s="1"/>
  <c r="P863" i="6"/>
  <c r="M863" i="6"/>
  <c r="K863" i="6"/>
  <c r="L863" i="6" s="1"/>
  <c r="P862" i="6"/>
  <c r="M862" i="6"/>
  <c r="K862" i="6"/>
  <c r="L862" i="6" s="1"/>
  <c r="P861" i="6"/>
  <c r="M861" i="6"/>
  <c r="K861" i="6"/>
  <c r="L861" i="6" s="1"/>
  <c r="P860" i="6"/>
  <c r="M860" i="6"/>
  <c r="K860" i="6"/>
  <c r="L860" i="6" s="1"/>
  <c r="P859" i="6"/>
  <c r="M859" i="6"/>
  <c r="K859" i="6"/>
  <c r="L859" i="6" s="1"/>
  <c r="P858" i="6"/>
  <c r="M858" i="6"/>
  <c r="K858" i="6"/>
  <c r="L858" i="6" s="1"/>
  <c r="P857" i="6"/>
  <c r="M857" i="6"/>
  <c r="K857" i="6"/>
  <c r="L857" i="6" s="1"/>
  <c r="P856" i="6"/>
  <c r="M856" i="6"/>
  <c r="K856" i="6"/>
  <c r="L856" i="6" s="1"/>
  <c r="P855" i="6"/>
  <c r="M855" i="6"/>
  <c r="K855" i="6"/>
  <c r="L855" i="6" s="1"/>
  <c r="P854" i="6"/>
  <c r="M854" i="6"/>
  <c r="K854" i="6"/>
  <c r="L854" i="6" s="1"/>
  <c r="P853" i="6"/>
  <c r="M853" i="6"/>
  <c r="K853" i="6"/>
  <c r="L853" i="6" s="1"/>
  <c r="P852" i="6"/>
  <c r="M852" i="6"/>
  <c r="K852" i="6"/>
  <c r="L852" i="6" s="1"/>
  <c r="P851" i="6"/>
  <c r="M851" i="6"/>
  <c r="K851" i="6"/>
  <c r="L851" i="6" s="1"/>
  <c r="P850" i="6"/>
  <c r="M850" i="6"/>
  <c r="K850" i="6"/>
  <c r="L850" i="6" s="1"/>
  <c r="P849" i="6"/>
  <c r="M849" i="6"/>
  <c r="K849" i="6"/>
  <c r="L849" i="6" s="1"/>
  <c r="P848" i="6"/>
  <c r="M848" i="6"/>
  <c r="K848" i="6"/>
  <c r="L848" i="6" s="1"/>
  <c r="P847" i="6"/>
  <c r="M847" i="6"/>
  <c r="K847" i="6"/>
  <c r="L847" i="6" s="1"/>
  <c r="P846" i="6"/>
  <c r="M846" i="6"/>
  <c r="K846" i="6"/>
  <c r="L846" i="6" s="1"/>
  <c r="P845" i="6"/>
  <c r="M845" i="6"/>
  <c r="K845" i="6"/>
  <c r="L845" i="6" s="1"/>
  <c r="P844" i="6"/>
  <c r="M844" i="6"/>
  <c r="K844" i="6"/>
  <c r="L844" i="6" s="1"/>
  <c r="P843" i="6"/>
  <c r="M843" i="6"/>
  <c r="K843" i="6"/>
  <c r="L843" i="6" s="1"/>
  <c r="P842" i="6"/>
  <c r="M842" i="6"/>
  <c r="K842" i="6"/>
  <c r="L842" i="6" s="1"/>
  <c r="P841" i="6"/>
  <c r="M841" i="6"/>
  <c r="K841" i="6"/>
  <c r="L841" i="6" s="1"/>
  <c r="P840" i="6"/>
  <c r="M840" i="6"/>
  <c r="K840" i="6"/>
  <c r="L840" i="6" s="1"/>
  <c r="P839" i="6"/>
  <c r="M839" i="6"/>
  <c r="K839" i="6"/>
  <c r="L839" i="6" s="1"/>
  <c r="P838" i="6"/>
  <c r="M838" i="6"/>
  <c r="K838" i="6"/>
  <c r="L838" i="6" s="1"/>
  <c r="P837" i="6"/>
  <c r="M837" i="6"/>
  <c r="K837" i="6"/>
  <c r="L837" i="6" s="1"/>
  <c r="P836" i="6"/>
  <c r="M836" i="6"/>
  <c r="K836" i="6"/>
  <c r="L836" i="6" s="1"/>
  <c r="P835" i="6"/>
  <c r="M835" i="6"/>
  <c r="K835" i="6"/>
  <c r="L835" i="6" s="1"/>
  <c r="P834" i="6"/>
  <c r="M834" i="6"/>
  <c r="K834" i="6"/>
  <c r="L834" i="6" s="1"/>
  <c r="P833" i="6"/>
  <c r="M833" i="6"/>
  <c r="K833" i="6"/>
  <c r="L833" i="6" s="1"/>
  <c r="P832" i="6"/>
  <c r="M832" i="6"/>
  <c r="K832" i="6"/>
  <c r="L832" i="6" s="1"/>
  <c r="P831" i="6"/>
  <c r="M831" i="6"/>
  <c r="K831" i="6"/>
  <c r="L831" i="6" s="1"/>
  <c r="P830" i="6"/>
  <c r="M830" i="6"/>
  <c r="K830" i="6"/>
  <c r="L830" i="6" s="1"/>
  <c r="P829" i="6"/>
  <c r="M829" i="6"/>
  <c r="K829" i="6"/>
  <c r="L829" i="6" s="1"/>
  <c r="P828" i="6"/>
  <c r="M828" i="6"/>
  <c r="K828" i="6"/>
  <c r="L828" i="6" s="1"/>
  <c r="P827" i="6"/>
  <c r="M827" i="6"/>
  <c r="K827" i="6"/>
  <c r="L827" i="6" s="1"/>
  <c r="P826" i="6"/>
  <c r="M826" i="6"/>
  <c r="K826" i="6"/>
  <c r="L826" i="6" s="1"/>
  <c r="P825" i="6"/>
  <c r="M825" i="6"/>
  <c r="K825" i="6"/>
  <c r="L825" i="6" s="1"/>
  <c r="P824" i="6"/>
  <c r="M824" i="6"/>
  <c r="K824" i="6"/>
  <c r="L824" i="6" s="1"/>
  <c r="P823" i="6"/>
  <c r="M823" i="6"/>
  <c r="K823" i="6"/>
  <c r="L823" i="6" s="1"/>
  <c r="P822" i="6"/>
  <c r="M822" i="6"/>
  <c r="K822" i="6"/>
  <c r="L822" i="6" s="1"/>
  <c r="P821" i="6"/>
  <c r="M821" i="6"/>
  <c r="K821" i="6"/>
  <c r="L821" i="6" s="1"/>
  <c r="P820" i="6"/>
  <c r="M820" i="6"/>
  <c r="K820" i="6"/>
  <c r="L820" i="6" s="1"/>
  <c r="P819" i="6"/>
  <c r="M819" i="6"/>
  <c r="K819" i="6"/>
  <c r="L819" i="6" s="1"/>
  <c r="P818" i="6"/>
  <c r="M818" i="6"/>
  <c r="K818" i="6"/>
  <c r="L818" i="6" s="1"/>
  <c r="P817" i="6"/>
  <c r="M817" i="6"/>
  <c r="K817" i="6"/>
  <c r="L817" i="6" s="1"/>
  <c r="P816" i="6"/>
  <c r="M816" i="6"/>
  <c r="K816" i="6"/>
  <c r="L816" i="6" s="1"/>
  <c r="P815" i="6"/>
  <c r="M815" i="6"/>
  <c r="K815" i="6"/>
  <c r="L815" i="6" s="1"/>
  <c r="P814" i="6"/>
  <c r="M814" i="6"/>
  <c r="K814" i="6"/>
  <c r="L814" i="6" s="1"/>
  <c r="P813" i="6"/>
  <c r="M813" i="6"/>
  <c r="K813" i="6"/>
  <c r="L813" i="6" s="1"/>
  <c r="P812" i="6"/>
  <c r="M812" i="6"/>
  <c r="K812" i="6"/>
  <c r="L812" i="6" s="1"/>
  <c r="P811" i="6"/>
  <c r="M811" i="6"/>
  <c r="K811" i="6"/>
  <c r="L811" i="6" s="1"/>
  <c r="P810" i="6"/>
  <c r="M810" i="6"/>
  <c r="K810" i="6"/>
  <c r="L810" i="6" s="1"/>
  <c r="P809" i="6"/>
  <c r="M809" i="6"/>
  <c r="K809" i="6"/>
  <c r="L809" i="6" s="1"/>
  <c r="P808" i="6"/>
  <c r="M808" i="6"/>
  <c r="K808" i="6"/>
  <c r="L808" i="6" s="1"/>
  <c r="P807" i="6"/>
  <c r="M807" i="6"/>
  <c r="K807" i="6"/>
  <c r="L807" i="6" s="1"/>
  <c r="P806" i="6"/>
  <c r="M806" i="6"/>
  <c r="K806" i="6"/>
  <c r="L806" i="6" s="1"/>
  <c r="P805" i="6"/>
  <c r="M805" i="6"/>
  <c r="K805" i="6"/>
  <c r="L805" i="6" s="1"/>
  <c r="P804" i="6"/>
  <c r="M804" i="6"/>
  <c r="K804" i="6"/>
  <c r="L804" i="6" s="1"/>
  <c r="P803" i="6"/>
  <c r="M803" i="6"/>
  <c r="K803" i="6"/>
  <c r="L803" i="6" s="1"/>
  <c r="P802" i="6"/>
  <c r="M802" i="6"/>
  <c r="K802" i="6"/>
  <c r="L802" i="6" s="1"/>
  <c r="P801" i="6"/>
  <c r="M801" i="6"/>
  <c r="K801" i="6"/>
  <c r="L801" i="6" s="1"/>
  <c r="P800" i="6"/>
  <c r="M800" i="6"/>
  <c r="K800" i="6"/>
  <c r="L800" i="6" s="1"/>
  <c r="P799" i="6"/>
  <c r="M799" i="6"/>
  <c r="K799" i="6"/>
  <c r="L799" i="6" s="1"/>
  <c r="P798" i="6"/>
  <c r="M798" i="6"/>
  <c r="K798" i="6"/>
  <c r="L798" i="6" s="1"/>
  <c r="P797" i="6"/>
  <c r="M797" i="6"/>
  <c r="K797" i="6"/>
  <c r="L797" i="6" s="1"/>
  <c r="P796" i="6"/>
  <c r="M796" i="6"/>
  <c r="K796" i="6"/>
  <c r="L796" i="6" s="1"/>
  <c r="P795" i="6"/>
  <c r="M795" i="6"/>
  <c r="K795" i="6"/>
  <c r="L795" i="6" s="1"/>
  <c r="P794" i="6"/>
  <c r="M794" i="6"/>
  <c r="K794" i="6"/>
  <c r="L794" i="6" s="1"/>
  <c r="P793" i="6"/>
  <c r="M793" i="6"/>
  <c r="K793" i="6"/>
  <c r="L793" i="6" s="1"/>
  <c r="P792" i="6"/>
  <c r="M792" i="6"/>
  <c r="K792" i="6"/>
  <c r="L792" i="6" s="1"/>
  <c r="P791" i="6"/>
  <c r="M791" i="6"/>
  <c r="K791" i="6"/>
  <c r="L791" i="6" s="1"/>
  <c r="P790" i="6"/>
  <c r="M790" i="6"/>
  <c r="K790" i="6"/>
  <c r="L790" i="6" s="1"/>
  <c r="P789" i="6"/>
  <c r="M789" i="6"/>
  <c r="K789" i="6"/>
  <c r="L789" i="6" s="1"/>
  <c r="P788" i="6"/>
  <c r="M788" i="6"/>
  <c r="K788" i="6"/>
  <c r="L788" i="6" s="1"/>
  <c r="P787" i="6"/>
  <c r="M787" i="6"/>
  <c r="K787" i="6"/>
  <c r="L787" i="6" s="1"/>
  <c r="P786" i="6"/>
  <c r="M786" i="6"/>
  <c r="K786" i="6"/>
  <c r="L786" i="6" s="1"/>
  <c r="P785" i="6"/>
  <c r="M785" i="6"/>
  <c r="K785" i="6"/>
  <c r="L785" i="6" s="1"/>
  <c r="P784" i="6"/>
  <c r="M784" i="6"/>
  <c r="K784" i="6"/>
  <c r="L784" i="6" s="1"/>
  <c r="P783" i="6"/>
  <c r="M783" i="6"/>
  <c r="K783" i="6"/>
  <c r="L783" i="6" s="1"/>
  <c r="P782" i="6"/>
  <c r="M782" i="6"/>
  <c r="K782" i="6"/>
  <c r="L782" i="6" s="1"/>
  <c r="P781" i="6"/>
  <c r="M781" i="6"/>
  <c r="K781" i="6"/>
  <c r="L781" i="6" s="1"/>
  <c r="P780" i="6"/>
  <c r="M780" i="6"/>
  <c r="K780" i="6"/>
  <c r="L780" i="6" s="1"/>
  <c r="P779" i="6"/>
  <c r="M779" i="6"/>
  <c r="K779" i="6"/>
  <c r="L779" i="6" s="1"/>
  <c r="P778" i="6"/>
  <c r="M778" i="6"/>
  <c r="K778" i="6"/>
  <c r="L778" i="6" s="1"/>
  <c r="P777" i="6"/>
  <c r="M777" i="6"/>
  <c r="K777" i="6"/>
  <c r="L777" i="6" s="1"/>
  <c r="P776" i="6"/>
  <c r="M776" i="6"/>
  <c r="K776" i="6"/>
  <c r="L776" i="6" s="1"/>
  <c r="P775" i="6"/>
  <c r="M775" i="6"/>
  <c r="K775" i="6"/>
  <c r="L775" i="6" s="1"/>
  <c r="P774" i="6"/>
  <c r="M774" i="6"/>
  <c r="K774" i="6"/>
  <c r="L774" i="6" s="1"/>
  <c r="P773" i="6"/>
  <c r="M773" i="6"/>
  <c r="K773" i="6"/>
  <c r="L773" i="6" s="1"/>
  <c r="P772" i="6"/>
  <c r="M772" i="6"/>
  <c r="K772" i="6"/>
  <c r="L772" i="6" s="1"/>
  <c r="P771" i="6"/>
  <c r="M771" i="6"/>
  <c r="K771" i="6"/>
  <c r="L771" i="6" s="1"/>
  <c r="P770" i="6"/>
  <c r="M770" i="6"/>
  <c r="K770" i="6"/>
  <c r="L770" i="6" s="1"/>
  <c r="P769" i="6"/>
  <c r="M769" i="6"/>
  <c r="K769" i="6"/>
  <c r="L769" i="6" s="1"/>
  <c r="P768" i="6"/>
  <c r="M768" i="6"/>
  <c r="K768" i="6"/>
  <c r="L768" i="6" s="1"/>
  <c r="P767" i="6"/>
  <c r="M767" i="6"/>
  <c r="K767" i="6"/>
  <c r="L767" i="6" s="1"/>
  <c r="P766" i="6"/>
  <c r="M766" i="6"/>
  <c r="K766" i="6"/>
  <c r="L766" i="6" s="1"/>
  <c r="P765" i="6"/>
  <c r="M765" i="6"/>
  <c r="K765" i="6"/>
  <c r="L765" i="6" s="1"/>
  <c r="P764" i="6"/>
  <c r="M764" i="6"/>
  <c r="K764" i="6"/>
  <c r="L764" i="6" s="1"/>
  <c r="P763" i="6"/>
  <c r="M763" i="6"/>
  <c r="K763" i="6"/>
  <c r="L763" i="6" s="1"/>
  <c r="P762" i="6"/>
  <c r="M762" i="6"/>
  <c r="K762" i="6"/>
  <c r="L762" i="6" s="1"/>
  <c r="P761" i="6"/>
  <c r="M761" i="6"/>
  <c r="K761" i="6"/>
  <c r="L761" i="6" s="1"/>
  <c r="P760" i="6"/>
  <c r="M760" i="6"/>
  <c r="K760" i="6"/>
  <c r="L760" i="6" s="1"/>
  <c r="P759" i="6"/>
  <c r="M759" i="6"/>
  <c r="K759" i="6"/>
  <c r="L759" i="6" s="1"/>
  <c r="P758" i="6"/>
  <c r="M758" i="6"/>
  <c r="K758" i="6"/>
  <c r="L758" i="6" s="1"/>
  <c r="P757" i="6"/>
  <c r="M757" i="6"/>
  <c r="K757" i="6"/>
  <c r="L757" i="6" s="1"/>
  <c r="P756" i="6"/>
  <c r="M756" i="6"/>
  <c r="K756" i="6"/>
  <c r="L756" i="6" s="1"/>
  <c r="P755" i="6"/>
  <c r="M755" i="6"/>
  <c r="K755" i="6"/>
  <c r="L755" i="6" s="1"/>
  <c r="P754" i="6"/>
  <c r="M754" i="6"/>
  <c r="K754" i="6"/>
  <c r="L754" i="6" s="1"/>
  <c r="P753" i="6"/>
  <c r="M753" i="6"/>
  <c r="K753" i="6"/>
  <c r="L753" i="6" s="1"/>
  <c r="P752" i="6"/>
  <c r="M752" i="6"/>
  <c r="K752" i="6"/>
  <c r="L752" i="6" s="1"/>
  <c r="P751" i="6"/>
  <c r="M751" i="6"/>
  <c r="K751" i="6"/>
  <c r="L751" i="6" s="1"/>
  <c r="P750" i="6"/>
  <c r="M750" i="6"/>
  <c r="K750" i="6"/>
  <c r="L750" i="6" s="1"/>
  <c r="P749" i="6"/>
  <c r="M749" i="6"/>
  <c r="K749" i="6"/>
  <c r="L749" i="6" s="1"/>
  <c r="P748" i="6"/>
  <c r="M748" i="6"/>
  <c r="K748" i="6"/>
  <c r="L748" i="6" s="1"/>
  <c r="P747" i="6"/>
  <c r="M747" i="6"/>
  <c r="K747" i="6"/>
  <c r="L747" i="6" s="1"/>
  <c r="P746" i="6"/>
  <c r="M746" i="6"/>
  <c r="K746" i="6"/>
  <c r="L746" i="6" s="1"/>
  <c r="P745" i="6"/>
  <c r="M745" i="6"/>
  <c r="K745" i="6"/>
  <c r="L745" i="6" s="1"/>
  <c r="P744" i="6"/>
  <c r="M744" i="6"/>
  <c r="K744" i="6"/>
  <c r="L744" i="6" s="1"/>
  <c r="P743" i="6"/>
  <c r="M743" i="6"/>
  <c r="K743" i="6"/>
  <c r="L743" i="6" s="1"/>
  <c r="P742" i="6"/>
  <c r="M742" i="6"/>
  <c r="K742" i="6"/>
  <c r="L742" i="6" s="1"/>
  <c r="P741" i="6"/>
  <c r="M741" i="6"/>
  <c r="K741" i="6"/>
  <c r="L741" i="6" s="1"/>
  <c r="P740" i="6"/>
  <c r="M740" i="6"/>
  <c r="K740" i="6"/>
  <c r="L740" i="6" s="1"/>
  <c r="P739" i="6"/>
  <c r="M739" i="6"/>
  <c r="K739" i="6"/>
  <c r="L739" i="6" s="1"/>
  <c r="P738" i="6"/>
  <c r="M738" i="6"/>
  <c r="K738" i="6"/>
  <c r="L738" i="6" s="1"/>
  <c r="P737" i="6"/>
  <c r="M737" i="6"/>
  <c r="K737" i="6"/>
  <c r="L737" i="6" s="1"/>
  <c r="P736" i="6"/>
  <c r="M736" i="6"/>
  <c r="K736" i="6"/>
  <c r="L736" i="6" s="1"/>
  <c r="P735" i="6"/>
  <c r="M735" i="6"/>
  <c r="K735" i="6"/>
  <c r="L735" i="6" s="1"/>
  <c r="P734" i="6"/>
  <c r="M734" i="6"/>
  <c r="K734" i="6"/>
  <c r="L734" i="6" s="1"/>
  <c r="P733" i="6"/>
  <c r="M733" i="6"/>
  <c r="K733" i="6"/>
  <c r="L733" i="6" s="1"/>
  <c r="P732" i="6"/>
  <c r="M732" i="6"/>
  <c r="K732" i="6"/>
  <c r="L732" i="6" s="1"/>
  <c r="P731" i="6"/>
  <c r="M731" i="6"/>
  <c r="K731" i="6"/>
  <c r="L731" i="6" s="1"/>
  <c r="P730" i="6"/>
  <c r="M730" i="6"/>
  <c r="K730" i="6"/>
  <c r="L730" i="6" s="1"/>
  <c r="P729" i="6"/>
  <c r="M729" i="6"/>
  <c r="K729" i="6"/>
  <c r="L729" i="6" s="1"/>
  <c r="P728" i="6"/>
  <c r="M728" i="6"/>
  <c r="K728" i="6"/>
  <c r="L728" i="6" s="1"/>
  <c r="P727" i="6"/>
  <c r="M727" i="6"/>
  <c r="K727" i="6"/>
  <c r="L727" i="6" s="1"/>
  <c r="P726" i="6"/>
  <c r="M726" i="6"/>
  <c r="K726" i="6"/>
  <c r="L726" i="6" s="1"/>
  <c r="P725" i="6"/>
  <c r="M725" i="6"/>
  <c r="K725" i="6"/>
  <c r="L725" i="6" s="1"/>
  <c r="P724" i="6"/>
  <c r="M724" i="6"/>
  <c r="K724" i="6"/>
  <c r="L724" i="6" s="1"/>
  <c r="P723" i="6"/>
  <c r="M723" i="6"/>
  <c r="K723" i="6"/>
  <c r="L723" i="6" s="1"/>
  <c r="P722" i="6"/>
  <c r="M722" i="6"/>
  <c r="K722" i="6"/>
  <c r="L722" i="6" s="1"/>
  <c r="P721" i="6"/>
  <c r="M721" i="6"/>
  <c r="K721" i="6"/>
  <c r="L721" i="6" s="1"/>
  <c r="P720" i="6"/>
  <c r="M720" i="6"/>
  <c r="K720" i="6"/>
  <c r="L720" i="6" s="1"/>
  <c r="P719" i="6"/>
  <c r="M719" i="6"/>
  <c r="K719" i="6"/>
  <c r="L719" i="6" s="1"/>
  <c r="P718" i="6"/>
  <c r="M718" i="6"/>
  <c r="K718" i="6"/>
  <c r="L718" i="6" s="1"/>
  <c r="P717" i="6"/>
  <c r="M717" i="6"/>
  <c r="K717" i="6"/>
  <c r="L717" i="6" s="1"/>
  <c r="P716" i="6"/>
  <c r="M716" i="6"/>
  <c r="K716" i="6"/>
  <c r="L716" i="6" s="1"/>
  <c r="P715" i="6"/>
  <c r="M715" i="6"/>
  <c r="K715" i="6"/>
  <c r="L715" i="6" s="1"/>
  <c r="P714" i="6"/>
  <c r="M714" i="6"/>
  <c r="K714" i="6"/>
  <c r="L714" i="6" s="1"/>
  <c r="P713" i="6"/>
  <c r="M713" i="6"/>
  <c r="K713" i="6"/>
  <c r="L713" i="6" s="1"/>
  <c r="P712" i="6"/>
  <c r="M712" i="6"/>
  <c r="K712" i="6"/>
  <c r="L712" i="6" s="1"/>
  <c r="P711" i="6"/>
  <c r="M711" i="6"/>
  <c r="K711" i="6"/>
  <c r="L711" i="6" s="1"/>
  <c r="P710" i="6"/>
  <c r="M710" i="6"/>
  <c r="K710" i="6"/>
  <c r="L710" i="6" s="1"/>
  <c r="P709" i="6"/>
  <c r="M709" i="6"/>
  <c r="K709" i="6"/>
  <c r="L709" i="6" s="1"/>
  <c r="P708" i="6"/>
  <c r="M708" i="6"/>
  <c r="K708" i="6"/>
  <c r="L708" i="6" s="1"/>
  <c r="P707" i="6"/>
  <c r="M707" i="6"/>
  <c r="K707" i="6"/>
  <c r="L707" i="6" s="1"/>
  <c r="P706" i="6"/>
  <c r="M706" i="6"/>
  <c r="K706" i="6"/>
  <c r="L706" i="6" s="1"/>
  <c r="P705" i="6"/>
  <c r="M705" i="6"/>
  <c r="K705" i="6"/>
  <c r="L705" i="6" s="1"/>
  <c r="P704" i="6"/>
  <c r="M704" i="6"/>
  <c r="K704" i="6"/>
  <c r="L704" i="6" s="1"/>
  <c r="P703" i="6"/>
  <c r="M703" i="6"/>
  <c r="K703" i="6"/>
  <c r="L703" i="6" s="1"/>
  <c r="P702" i="6"/>
  <c r="M702" i="6"/>
  <c r="K702" i="6"/>
  <c r="L702" i="6" s="1"/>
  <c r="P701" i="6"/>
  <c r="M701" i="6"/>
  <c r="K701" i="6"/>
  <c r="L701" i="6" s="1"/>
  <c r="P700" i="6"/>
  <c r="M700" i="6"/>
  <c r="K700" i="6"/>
  <c r="L700" i="6" s="1"/>
  <c r="P699" i="6"/>
  <c r="M699" i="6"/>
  <c r="K699" i="6"/>
  <c r="L699" i="6" s="1"/>
  <c r="P698" i="6"/>
  <c r="M698" i="6"/>
  <c r="K698" i="6"/>
  <c r="L698" i="6" s="1"/>
  <c r="P697" i="6"/>
  <c r="M697" i="6"/>
  <c r="K697" i="6"/>
  <c r="L697" i="6" s="1"/>
  <c r="P696" i="6"/>
  <c r="M696" i="6"/>
  <c r="K696" i="6"/>
  <c r="L696" i="6" s="1"/>
  <c r="P695" i="6"/>
  <c r="M695" i="6"/>
  <c r="K695" i="6"/>
  <c r="L695" i="6" s="1"/>
  <c r="P694" i="6"/>
  <c r="M694" i="6"/>
  <c r="K694" i="6"/>
  <c r="L694" i="6" s="1"/>
  <c r="P693" i="6"/>
  <c r="M693" i="6"/>
  <c r="K693" i="6"/>
  <c r="L693" i="6" s="1"/>
  <c r="P692" i="6"/>
  <c r="M692" i="6"/>
  <c r="K692" i="6"/>
  <c r="L692" i="6" s="1"/>
  <c r="P691" i="6"/>
  <c r="M691" i="6"/>
  <c r="K691" i="6"/>
  <c r="L691" i="6" s="1"/>
  <c r="P690" i="6"/>
  <c r="M690" i="6"/>
  <c r="K690" i="6"/>
  <c r="L690" i="6" s="1"/>
  <c r="P689" i="6"/>
  <c r="M689" i="6"/>
  <c r="K689" i="6"/>
  <c r="L689" i="6" s="1"/>
  <c r="P688" i="6"/>
  <c r="M688" i="6"/>
  <c r="K688" i="6"/>
  <c r="L688" i="6" s="1"/>
  <c r="P687" i="6"/>
  <c r="M687" i="6"/>
  <c r="K687" i="6"/>
  <c r="L687" i="6" s="1"/>
  <c r="P686" i="6"/>
  <c r="M686" i="6"/>
  <c r="K686" i="6"/>
  <c r="L686" i="6" s="1"/>
  <c r="P685" i="6"/>
  <c r="M685" i="6"/>
  <c r="K685" i="6"/>
  <c r="L685" i="6" s="1"/>
  <c r="P684" i="6"/>
  <c r="M684" i="6"/>
  <c r="K684" i="6"/>
  <c r="L684" i="6" s="1"/>
  <c r="P683" i="6"/>
  <c r="M683" i="6"/>
  <c r="K683" i="6"/>
  <c r="L683" i="6" s="1"/>
  <c r="P682" i="6"/>
  <c r="M682" i="6"/>
  <c r="K682" i="6"/>
  <c r="L682" i="6" s="1"/>
  <c r="P681" i="6"/>
  <c r="M681" i="6"/>
  <c r="K681" i="6"/>
  <c r="L681" i="6" s="1"/>
  <c r="P680" i="6"/>
  <c r="M680" i="6"/>
  <c r="K680" i="6"/>
  <c r="L680" i="6" s="1"/>
  <c r="P679" i="6"/>
  <c r="M679" i="6"/>
  <c r="K679" i="6"/>
  <c r="L679" i="6" s="1"/>
  <c r="P678" i="6"/>
  <c r="M678" i="6"/>
  <c r="K678" i="6"/>
  <c r="L678" i="6" s="1"/>
  <c r="P677" i="6"/>
  <c r="M677" i="6"/>
  <c r="K677" i="6"/>
  <c r="L677" i="6" s="1"/>
  <c r="P676" i="6"/>
  <c r="M676" i="6"/>
  <c r="K676" i="6"/>
  <c r="L676" i="6" s="1"/>
  <c r="P675" i="6"/>
  <c r="M675" i="6"/>
  <c r="K675" i="6"/>
  <c r="L675" i="6" s="1"/>
  <c r="P674" i="6"/>
  <c r="M674" i="6"/>
  <c r="K674" i="6"/>
  <c r="L674" i="6" s="1"/>
  <c r="P673" i="6"/>
  <c r="M673" i="6"/>
  <c r="K673" i="6"/>
  <c r="L673" i="6" s="1"/>
  <c r="P672" i="6"/>
  <c r="M672" i="6"/>
  <c r="K672" i="6"/>
  <c r="L672" i="6" s="1"/>
  <c r="P671" i="6"/>
  <c r="M671" i="6"/>
  <c r="K671" i="6"/>
  <c r="L671" i="6" s="1"/>
  <c r="P670" i="6"/>
  <c r="M670" i="6"/>
  <c r="K670" i="6"/>
  <c r="L670" i="6" s="1"/>
  <c r="P669" i="6"/>
  <c r="M669" i="6"/>
  <c r="K669" i="6"/>
  <c r="L669" i="6" s="1"/>
  <c r="P668" i="6"/>
  <c r="M668" i="6"/>
  <c r="K668" i="6"/>
  <c r="L668" i="6" s="1"/>
  <c r="P667" i="6"/>
  <c r="M667" i="6"/>
  <c r="K667" i="6"/>
  <c r="L667" i="6" s="1"/>
  <c r="P666" i="6"/>
  <c r="M666" i="6"/>
  <c r="K666" i="6"/>
  <c r="L666" i="6" s="1"/>
  <c r="P665" i="6"/>
  <c r="M665" i="6"/>
  <c r="K665" i="6"/>
  <c r="L665" i="6" s="1"/>
  <c r="P664" i="6"/>
  <c r="M664" i="6"/>
  <c r="K664" i="6"/>
  <c r="L664" i="6" s="1"/>
  <c r="P663" i="6"/>
  <c r="M663" i="6"/>
  <c r="K663" i="6"/>
  <c r="L663" i="6" s="1"/>
  <c r="P662" i="6"/>
  <c r="M662" i="6"/>
  <c r="K662" i="6"/>
  <c r="L662" i="6" s="1"/>
  <c r="P661" i="6"/>
  <c r="M661" i="6"/>
  <c r="K661" i="6"/>
  <c r="L661" i="6" s="1"/>
  <c r="P660" i="6"/>
  <c r="M660" i="6"/>
  <c r="K660" i="6"/>
  <c r="L660" i="6" s="1"/>
  <c r="P659" i="6"/>
  <c r="M659" i="6"/>
  <c r="K659" i="6"/>
  <c r="L659" i="6" s="1"/>
  <c r="P658" i="6"/>
  <c r="M658" i="6"/>
  <c r="K658" i="6"/>
  <c r="L658" i="6" s="1"/>
  <c r="P657" i="6"/>
  <c r="M657" i="6"/>
  <c r="K657" i="6"/>
  <c r="L657" i="6" s="1"/>
  <c r="P656" i="6"/>
  <c r="M656" i="6"/>
  <c r="K656" i="6"/>
  <c r="L656" i="6" s="1"/>
  <c r="P655" i="6"/>
  <c r="M655" i="6"/>
  <c r="K655" i="6"/>
  <c r="L655" i="6" s="1"/>
  <c r="P654" i="6"/>
  <c r="M654" i="6"/>
  <c r="K654" i="6"/>
  <c r="L654" i="6" s="1"/>
  <c r="P653" i="6"/>
  <c r="M653" i="6"/>
  <c r="K653" i="6"/>
  <c r="L653" i="6" s="1"/>
  <c r="P652" i="6"/>
  <c r="M652" i="6"/>
  <c r="K652" i="6"/>
  <c r="L652" i="6" s="1"/>
  <c r="P651" i="6"/>
  <c r="M651" i="6"/>
  <c r="K651" i="6"/>
  <c r="L651" i="6" s="1"/>
  <c r="P650" i="6"/>
  <c r="M650" i="6"/>
  <c r="K650" i="6"/>
  <c r="L650" i="6" s="1"/>
  <c r="P649" i="6"/>
  <c r="M649" i="6"/>
  <c r="K649" i="6"/>
  <c r="L649" i="6" s="1"/>
  <c r="P648" i="6"/>
  <c r="M648" i="6"/>
  <c r="K648" i="6"/>
  <c r="L648" i="6" s="1"/>
  <c r="P647" i="6"/>
  <c r="M647" i="6"/>
  <c r="K647" i="6"/>
  <c r="L647" i="6" s="1"/>
  <c r="P646" i="6"/>
  <c r="M646" i="6"/>
  <c r="K646" i="6"/>
  <c r="L646" i="6" s="1"/>
  <c r="P645" i="6"/>
  <c r="M645" i="6"/>
  <c r="K645" i="6"/>
  <c r="L645" i="6" s="1"/>
  <c r="P644" i="6"/>
  <c r="M644" i="6"/>
  <c r="K644" i="6"/>
  <c r="L644" i="6" s="1"/>
  <c r="P643" i="6"/>
  <c r="M643" i="6"/>
  <c r="K643" i="6"/>
  <c r="L643" i="6" s="1"/>
  <c r="P642" i="6"/>
  <c r="M642" i="6"/>
  <c r="K642" i="6"/>
  <c r="L642" i="6" s="1"/>
  <c r="P641" i="6"/>
  <c r="M641" i="6"/>
  <c r="K641" i="6"/>
  <c r="L641" i="6" s="1"/>
  <c r="P640" i="6"/>
  <c r="M640" i="6"/>
  <c r="K640" i="6"/>
  <c r="L640" i="6" s="1"/>
  <c r="P639" i="6"/>
  <c r="M639" i="6"/>
  <c r="K639" i="6"/>
  <c r="L639" i="6" s="1"/>
  <c r="P638" i="6"/>
  <c r="M638" i="6"/>
  <c r="K638" i="6"/>
  <c r="L638" i="6" s="1"/>
  <c r="P637" i="6"/>
  <c r="M637" i="6"/>
  <c r="K637" i="6"/>
  <c r="L637" i="6" s="1"/>
  <c r="P636" i="6"/>
  <c r="M636" i="6"/>
  <c r="K636" i="6"/>
  <c r="L636" i="6" s="1"/>
  <c r="P635" i="6"/>
  <c r="M635" i="6"/>
  <c r="K635" i="6"/>
  <c r="L635" i="6" s="1"/>
  <c r="P634" i="6"/>
  <c r="M634" i="6"/>
  <c r="K634" i="6"/>
  <c r="L634" i="6" s="1"/>
  <c r="P633" i="6"/>
  <c r="M633" i="6"/>
  <c r="K633" i="6"/>
  <c r="L633" i="6" s="1"/>
  <c r="P632" i="6"/>
  <c r="M632" i="6"/>
  <c r="K632" i="6"/>
  <c r="L632" i="6" s="1"/>
  <c r="P631" i="6"/>
  <c r="M631" i="6"/>
  <c r="K631" i="6"/>
  <c r="L631" i="6" s="1"/>
  <c r="P630" i="6"/>
  <c r="M630" i="6"/>
  <c r="K630" i="6"/>
  <c r="L630" i="6" s="1"/>
  <c r="P629" i="6"/>
  <c r="M629" i="6"/>
  <c r="K629" i="6"/>
  <c r="L629" i="6" s="1"/>
  <c r="P628" i="6"/>
  <c r="M628" i="6"/>
  <c r="K628" i="6"/>
  <c r="L628" i="6" s="1"/>
  <c r="P627" i="6"/>
  <c r="M627" i="6"/>
  <c r="K627" i="6"/>
  <c r="L627" i="6" s="1"/>
  <c r="P626" i="6"/>
  <c r="M626" i="6"/>
  <c r="K626" i="6"/>
  <c r="L626" i="6" s="1"/>
  <c r="P625" i="6"/>
  <c r="M625" i="6"/>
  <c r="K625" i="6"/>
  <c r="L625" i="6" s="1"/>
  <c r="P624" i="6"/>
  <c r="M624" i="6"/>
  <c r="K624" i="6"/>
  <c r="L624" i="6" s="1"/>
  <c r="P623" i="6"/>
  <c r="M623" i="6"/>
  <c r="K623" i="6"/>
  <c r="L623" i="6" s="1"/>
  <c r="P622" i="6"/>
  <c r="M622" i="6"/>
  <c r="K622" i="6"/>
  <c r="L622" i="6" s="1"/>
  <c r="P621" i="6"/>
  <c r="M621" i="6"/>
  <c r="K621" i="6"/>
  <c r="L621" i="6" s="1"/>
  <c r="P620" i="6"/>
  <c r="M620" i="6"/>
  <c r="K620" i="6"/>
  <c r="L620" i="6" s="1"/>
  <c r="P619" i="6"/>
  <c r="M619" i="6"/>
  <c r="K619" i="6"/>
  <c r="L619" i="6" s="1"/>
  <c r="P618" i="6"/>
  <c r="M618" i="6"/>
  <c r="K618" i="6"/>
  <c r="L618" i="6" s="1"/>
  <c r="P617" i="6"/>
  <c r="M617" i="6"/>
  <c r="K617" i="6"/>
  <c r="L617" i="6" s="1"/>
  <c r="P616" i="6"/>
  <c r="M616" i="6"/>
  <c r="K616" i="6"/>
  <c r="L616" i="6" s="1"/>
  <c r="P615" i="6"/>
  <c r="M615" i="6"/>
  <c r="K615" i="6"/>
  <c r="L615" i="6" s="1"/>
  <c r="P614" i="6"/>
  <c r="M614" i="6"/>
  <c r="K614" i="6"/>
  <c r="L614" i="6" s="1"/>
  <c r="P613" i="6"/>
  <c r="M613" i="6"/>
  <c r="K613" i="6"/>
  <c r="L613" i="6" s="1"/>
  <c r="P612" i="6"/>
  <c r="M612" i="6"/>
  <c r="K612" i="6"/>
  <c r="L612" i="6" s="1"/>
  <c r="P611" i="6"/>
  <c r="M611" i="6"/>
  <c r="K611" i="6"/>
  <c r="L611" i="6" s="1"/>
  <c r="P610" i="6"/>
  <c r="M610" i="6"/>
  <c r="K610" i="6"/>
  <c r="L610" i="6" s="1"/>
  <c r="P609" i="6"/>
  <c r="M609" i="6"/>
  <c r="K609" i="6"/>
  <c r="L609" i="6" s="1"/>
  <c r="P608" i="6"/>
  <c r="M608" i="6"/>
  <c r="K608" i="6"/>
  <c r="L608" i="6" s="1"/>
  <c r="P607" i="6"/>
  <c r="M607" i="6"/>
  <c r="K607" i="6"/>
  <c r="L607" i="6" s="1"/>
  <c r="P606" i="6"/>
  <c r="M606" i="6"/>
  <c r="K606" i="6"/>
  <c r="L606" i="6" s="1"/>
  <c r="P605" i="6"/>
  <c r="M605" i="6"/>
  <c r="K605" i="6"/>
  <c r="L605" i="6" s="1"/>
  <c r="P604" i="6"/>
  <c r="M604" i="6"/>
  <c r="K604" i="6"/>
  <c r="L604" i="6" s="1"/>
  <c r="P603" i="6"/>
  <c r="M603" i="6"/>
  <c r="K603" i="6"/>
  <c r="L603" i="6" s="1"/>
  <c r="P602" i="6"/>
  <c r="M602" i="6"/>
  <c r="K602" i="6"/>
  <c r="L602" i="6" s="1"/>
  <c r="P601" i="6"/>
  <c r="M601" i="6"/>
  <c r="K601" i="6"/>
  <c r="L601" i="6" s="1"/>
  <c r="P600" i="6"/>
  <c r="M600" i="6"/>
  <c r="K600" i="6"/>
  <c r="L600" i="6" s="1"/>
  <c r="P599" i="6"/>
  <c r="M599" i="6"/>
  <c r="K599" i="6"/>
  <c r="L599" i="6" s="1"/>
  <c r="P598" i="6"/>
  <c r="M598" i="6"/>
  <c r="K598" i="6"/>
  <c r="L598" i="6" s="1"/>
  <c r="P597" i="6"/>
  <c r="M597" i="6"/>
  <c r="K597" i="6"/>
  <c r="L597" i="6" s="1"/>
  <c r="P596" i="6"/>
  <c r="M596" i="6"/>
  <c r="K596" i="6"/>
  <c r="L596" i="6" s="1"/>
  <c r="P595" i="6"/>
  <c r="M595" i="6"/>
  <c r="K595" i="6"/>
  <c r="L595" i="6" s="1"/>
  <c r="P594" i="6"/>
  <c r="M594" i="6"/>
  <c r="K594" i="6"/>
  <c r="L594" i="6" s="1"/>
  <c r="P593" i="6"/>
  <c r="M593" i="6"/>
  <c r="K593" i="6"/>
  <c r="L593" i="6" s="1"/>
  <c r="P592" i="6"/>
  <c r="M592" i="6"/>
  <c r="K592" i="6"/>
  <c r="L592" i="6" s="1"/>
  <c r="P591" i="6"/>
  <c r="M591" i="6"/>
  <c r="K591" i="6"/>
  <c r="L591" i="6" s="1"/>
  <c r="P590" i="6"/>
  <c r="M590" i="6"/>
  <c r="K590" i="6"/>
  <c r="L590" i="6" s="1"/>
  <c r="P589" i="6"/>
  <c r="M589" i="6"/>
  <c r="K589" i="6"/>
  <c r="L589" i="6" s="1"/>
  <c r="P588" i="6"/>
  <c r="M588" i="6"/>
  <c r="K588" i="6"/>
  <c r="L588" i="6" s="1"/>
  <c r="P587" i="6"/>
  <c r="M587" i="6"/>
  <c r="K587" i="6"/>
  <c r="L587" i="6" s="1"/>
  <c r="P586" i="6"/>
  <c r="M586" i="6"/>
  <c r="K586" i="6"/>
  <c r="L586" i="6" s="1"/>
  <c r="P585" i="6"/>
  <c r="M585" i="6"/>
  <c r="K585" i="6"/>
  <c r="L585" i="6" s="1"/>
  <c r="P584" i="6"/>
  <c r="M584" i="6"/>
  <c r="K584" i="6"/>
  <c r="L584" i="6" s="1"/>
  <c r="P583" i="6"/>
  <c r="M583" i="6"/>
  <c r="K583" i="6"/>
  <c r="L583" i="6" s="1"/>
  <c r="P582" i="6"/>
  <c r="M582" i="6"/>
  <c r="K582" i="6"/>
  <c r="L582" i="6" s="1"/>
  <c r="P581" i="6"/>
  <c r="M581" i="6"/>
  <c r="K581" i="6"/>
  <c r="L581" i="6" s="1"/>
  <c r="P580" i="6"/>
  <c r="M580" i="6"/>
  <c r="K580" i="6"/>
  <c r="L580" i="6" s="1"/>
  <c r="P579" i="6"/>
  <c r="M579" i="6"/>
  <c r="K579" i="6"/>
  <c r="L579" i="6" s="1"/>
  <c r="P578" i="6"/>
  <c r="M578" i="6"/>
  <c r="K578" i="6"/>
  <c r="L578" i="6" s="1"/>
  <c r="P577" i="6"/>
  <c r="M577" i="6"/>
  <c r="K577" i="6"/>
  <c r="L577" i="6" s="1"/>
  <c r="P576" i="6"/>
  <c r="M576" i="6"/>
  <c r="K576" i="6"/>
  <c r="L576" i="6" s="1"/>
  <c r="P575" i="6"/>
  <c r="M575" i="6"/>
  <c r="K575" i="6"/>
  <c r="L575" i="6" s="1"/>
  <c r="P574" i="6"/>
  <c r="M574" i="6"/>
  <c r="K574" i="6"/>
  <c r="L574" i="6" s="1"/>
  <c r="P573" i="6"/>
  <c r="M573" i="6"/>
  <c r="K573" i="6"/>
  <c r="L573" i="6" s="1"/>
  <c r="P572" i="6"/>
  <c r="M572" i="6"/>
  <c r="K572" i="6"/>
  <c r="L572" i="6" s="1"/>
  <c r="P571" i="6"/>
  <c r="M571" i="6"/>
  <c r="K571" i="6"/>
  <c r="L571" i="6" s="1"/>
  <c r="P570" i="6"/>
  <c r="M570" i="6"/>
  <c r="K570" i="6"/>
  <c r="L570" i="6" s="1"/>
  <c r="P569" i="6"/>
  <c r="M569" i="6"/>
  <c r="K569" i="6"/>
  <c r="L569" i="6" s="1"/>
  <c r="P568" i="6"/>
  <c r="M568" i="6"/>
  <c r="K568" i="6"/>
  <c r="L568" i="6" s="1"/>
  <c r="P567" i="6"/>
  <c r="M567" i="6"/>
  <c r="K567" i="6"/>
  <c r="L567" i="6" s="1"/>
  <c r="P566" i="6"/>
  <c r="M566" i="6"/>
  <c r="K566" i="6"/>
  <c r="L566" i="6" s="1"/>
  <c r="P565" i="6"/>
  <c r="M565" i="6"/>
  <c r="K565" i="6"/>
  <c r="L565" i="6" s="1"/>
  <c r="P564" i="6"/>
  <c r="M564" i="6"/>
  <c r="K564" i="6"/>
  <c r="L564" i="6" s="1"/>
  <c r="P563" i="6"/>
  <c r="M563" i="6"/>
  <c r="K563" i="6"/>
  <c r="L563" i="6" s="1"/>
  <c r="P562" i="6"/>
  <c r="M562" i="6"/>
  <c r="K562" i="6"/>
  <c r="L562" i="6" s="1"/>
  <c r="P561" i="6"/>
  <c r="M561" i="6"/>
  <c r="K561" i="6"/>
  <c r="L561" i="6" s="1"/>
  <c r="P560" i="6"/>
  <c r="M560" i="6"/>
  <c r="K560" i="6"/>
  <c r="L560" i="6" s="1"/>
  <c r="P559" i="6"/>
  <c r="M559" i="6"/>
  <c r="K559" i="6"/>
  <c r="L559" i="6" s="1"/>
  <c r="P558" i="6"/>
  <c r="M558" i="6"/>
  <c r="K558" i="6"/>
  <c r="L558" i="6" s="1"/>
  <c r="P557" i="6"/>
  <c r="M557" i="6"/>
  <c r="K557" i="6"/>
  <c r="L557" i="6" s="1"/>
  <c r="P556" i="6"/>
  <c r="M556" i="6"/>
  <c r="K556" i="6"/>
  <c r="L556" i="6" s="1"/>
  <c r="P555" i="6"/>
  <c r="M555" i="6"/>
  <c r="K555" i="6"/>
  <c r="L555" i="6" s="1"/>
  <c r="P554" i="6"/>
  <c r="M554" i="6"/>
  <c r="K554" i="6"/>
  <c r="L554" i="6" s="1"/>
  <c r="P553" i="6"/>
  <c r="M553" i="6"/>
  <c r="K553" i="6"/>
  <c r="L553" i="6" s="1"/>
  <c r="P552" i="6"/>
  <c r="M552" i="6"/>
  <c r="K552" i="6"/>
  <c r="L552" i="6" s="1"/>
  <c r="P551" i="6"/>
  <c r="M551" i="6"/>
  <c r="K551" i="6"/>
  <c r="L551" i="6" s="1"/>
  <c r="P550" i="6"/>
  <c r="M550" i="6"/>
  <c r="K550" i="6"/>
  <c r="L550" i="6" s="1"/>
  <c r="P549" i="6"/>
  <c r="M549" i="6"/>
  <c r="K549" i="6"/>
  <c r="L549" i="6" s="1"/>
  <c r="P548" i="6"/>
  <c r="M548" i="6"/>
  <c r="K548" i="6"/>
  <c r="L548" i="6" s="1"/>
  <c r="P547" i="6"/>
  <c r="M547" i="6"/>
  <c r="K547" i="6"/>
  <c r="L547" i="6" s="1"/>
  <c r="P546" i="6"/>
  <c r="M546" i="6"/>
  <c r="K546" i="6"/>
  <c r="L546" i="6" s="1"/>
  <c r="P545" i="6"/>
  <c r="M545" i="6"/>
  <c r="K545" i="6"/>
  <c r="L545" i="6" s="1"/>
  <c r="P544" i="6"/>
  <c r="M544" i="6"/>
  <c r="K544" i="6"/>
  <c r="L544" i="6" s="1"/>
  <c r="P543" i="6"/>
  <c r="M543" i="6"/>
  <c r="K543" i="6"/>
  <c r="L543" i="6" s="1"/>
  <c r="P542" i="6"/>
  <c r="M542" i="6"/>
  <c r="K542" i="6"/>
  <c r="L542" i="6" s="1"/>
  <c r="P541" i="6"/>
  <c r="M541" i="6"/>
  <c r="K541" i="6"/>
  <c r="L541" i="6" s="1"/>
  <c r="P540" i="6"/>
  <c r="M540" i="6"/>
  <c r="K540" i="6"/>
  <c r="L540" i="6" s="1"/>
  <c r="P539" i="6"/>
  <c r="M539" i="6"/>
  <c r="K539" i="6"/>
  <c r="L539" i="6" s="1"/>
  <c r="P538" i="6"/>
  <c r="M538" i="6"/>
  <c r="K538" i="6"/>
  <c r="L538" i="6" s="1"/>
  <c r="P537" i="6"/>
  <c r="M537" i="6"/>
  <c r="K537" i="6"/>
  <c r="L537" i="6" s="1"/>
  <c r="P536" i="6"/>
  <c r="M536" i="6"/>
  <c r="K536" i="6"/>
  <c r="L536" i="6" s="1"/>
  <c r="P535" i="6"/>
  <c r="M535" i="6"/>
  <c r="K535" i="6"/>
  <c r="L535" i="6" s="1"/>
  <c r="P534" i="6"/>
  <c r="M534" i="6"/>
  <c r="K534" i="6"/>
  <c r="L534" i="6" s="1"/>
  <c r="P533" i="6"/>
  <c r="M533" i="6"/>
  <c r="K533" i="6"/>
  <c r="L533" i="6" s="1"/>
  <c r="P532" i="6"/>
  <c r="M532" i="6"/>
  <c r="K532" i="6"/>
  <c r="L532" i="6" s="1"/>
  <c r="P531" i="6"/>
  <c r="M531" i="6"/>
  <c r="K531" i="6"/>
  <c r="L531" i="6" s="1"/>
  <c r="P530" i="6"/>
  <c r="M530" i="6"/>
  <c r="K530" i="6"/>
  <c r="L530" i="6" s="1"/>
  <c r="P529" i="6"/>
  <c r="M529" i="6"/>
  <c r="K529" i="6"/>
  <c r="L529" i="6" s="1"/>
  <c r="P528" i="6"/>
  <c r="M528" i="6"/>
  <c r="K528" i="6"/>
  <c r="L528" i="6" s="1"/>
  <c r="P527" i="6"/>
  <c r="M527" i="6"/>
  <c r="K527" i="6"/>
  <c r="L527" i="6" s="1"/>
  <c r="P526" i="6"/>
  <c r="M526" i="6"/>
  <c r="K526" i="6"/>
  <c r="L526" i="6" s="1"/>
  <c r="P525" i="6"/>
  <c r="M525" i="6"/>
  <c r="K525" i="6"/>
  <c r="L525" i="6" s="1"/>
  <c r="P524" i="6"/>
  <c r="M524" i="6"/>
  <c r="K524" i="6"/>
  <c r="L524" i="6" s="1"/>
  <c r="P523" i="6"/>
  <c r="M523" i="6"/>
  <c r="K523" i="6"/>
  <c r="L523" i="6" s="1"/>
  <c r="P522" i="6"/>
  <c r="M522" i="6"/>
  <c r="K522" i="6"/>
  <c r="L522" i="6" s="1"/>
  <c r="P521" i="6"/>
  <c r="M521" i="6"/>
  <c r="K521" i="6"/>
  <c r="L521" i="6" s="1"/>
  <c r="P520" i="6"/>
  <c r="M520" i="6"/>
  <c r="K520" i="6"/>
  <c r="L520" i="6" s="1"/>
  <c r="P519" i="6"/>
  <c r="M519" i="6"/>
  <c r="K519" i="6"/>
  <c r="L519" i="6" s="1"/>
  <c r="P518" i="6"/>
  <c r="M518" i="6"/>
  <c r="K518" i="6"/>
  <c r="L518" i="6" s="1"/>
  <c r="P517" i="6"/>
  <c r="M517" i="6"/>
  <c r="K517" i="6"/>
  <c r="L517" i="6" s="1"/>
  <c r="P516" i="6"/>
  <c r="M516" i="6"/>
  <c r="K516" i="6"/>
  <c r="L516" i="6" s="1"/>
  <c r="P515" i="6"/>
  <c r="M515" i="6"/>
  <c r="K515" i="6"/>
  <c r="L515" i="6" s="1"/>
  <c r="P514" i="6"/>
  <c r="M514" i="6"/>
  <c r="K514" i="6"/>
  <c r="L514" i="6" s="1"/>
  <c r="P513" i="6"/>
  <c r="M513" i="6"/>
  <c r="K513" i="6"/>
  <c r="L513" i="6" s="1"/>
  <c r="P512" i="6"/>
  <c r="M512" i="6"/>
  <c r="K512" i="6"/>
  <c r="L512" i="6" s="1"/>
  <c r="P511" i="6"/>
  <c r="M511" i="6"/>
  <c r="K511" i="6"/>
  <c r="L511" i="6" s="1"/>
  <c r="P510" i="6"/>
  <c r="M510" i="6"/>
  <c r="K510" i="6"/>
  <c r="L510" i="6" s="1"/>
  <c r="P509" i="6"/>
  <c r="M509" i="6"/>
  <c r="K509" i="6"/>
  <c r="L509" i="6" s="1"/>
  <c r="P508" i="6"/>
  <c r="M508" i="6"/>
  <c r="K508" i="6"/>
  <c r="L508" i="6" s="1"/>
  <c r="P507" i="6"/>
  <c r="M507" i="6"/>
  <c r="K507" i="6"/>
  <c r="L507" i="6" s="1"/>
  <c r="P506" i="6"/>
  <c r="M506" i="6"/>
  <c r="K506" i="6"/>
  <c r="L506" i="6" s="1"/>
  <c r="P505" i="6"/>
  <c r="M505" i="6"/>
  <c r="K505" i="6"/>
  <c r="L505" i="6" s="1"/>
  <c r="P504" i="6"/>
  <c r="M504" i="6"/>
  <c r="K504" i="6"/>
  <c r="L504" i="6" s="1"/>
  <c r="P503" i="6"/>
  <c r="M503" i="6"/>
  <c r="K503" i="6"/>
  <c r="L503" i="6" s="1"/>
  <c r="P502" i="6"/>
  <c r="M502" i="6"/>
  <c r="K502" i="6"/>
  <c r="L502" i="6" s="1"/>
  <c r="P501" i="6"/>
  <c r="M501" i="6"/>
  <c r="K501" i="6"/>
  <c r="L501" i="6" s="1"/>
  <c r="P500" i="6"/>
  <c r="M500" i="6"/>
  <c r="K500" i="6"/>
  <c r="L500" i="6" s="1"/>
  <c r="P499" i="6"/>
  <c r="M499" i="6"/>
  <c r="K499" i="6"/>
  <c r="L499" i="6" s="1"/>
  <c r="P498" i="6"/>
  <c r="M498" i="6"/>
  <c r="K498" i="6"/>
  <c r="L498" i="6" s="1"/>
  <c r="P497" i="6"/>
  <c r="M497" i="6"/>
  <c r="K497" i="6"/>
  <c r="L497" i="6" s="1"/>
  <c r="P496" i="6"/>
  <c r="M496" i="6"/>
  <c r="K496" i="6"/>
  <c r="L496" i="6" s="1"/>
  <c r="P495" i="6"/>
  <c r="M495" i="6"/>
  <c r="K495" i="6"/>
  <c r="L495" i="6" s="1"/>
  <c r="P494" i="6"/>
  <c r="M494" i="6"/>
  <c r="K494" i="6"/>
  <c r="L494" i="6" s="1"/>
  <c r="P493" i="6"/>
  <c r="M493" i="6"/>
  <c r="K493" i="6"/>
  <c r="L493" i="6" s="1"/>
  <c r="P492" i="6"/>
  <c r="M492" i="6"/>
  <c r="K492" i="6"/>
  <c r="L492" i="6" s="1"/>
  <c r="P491" i="6"/>
  <c r="M491" i="6"/>
  <c r="K491" i="6"/>
  <c r="L491" i="6" s="1"/>
  <c r="P490" i="6"/>
  <c r="M490" i="6"/>
  <c r="K490" i="6"/>
  <c r="L490" i="6" s="1"/>
  <c r="P489" i="6"/>
  <c r="M489" i="6"/>
  <c r="K489" i="6"/>
  <c r="L489" i="6" s="1"/>
  <c r="P488" i="6"/>
  <c r="M488" i="6"/>
  <c r="K488" i="6"/>
  <c r="L488" i="6" s="1"/>
  <c r="P487" i="6"/>
  <c r="M487" i="6"/>
  <c r="K487" i="6"/>
  <c r="L487" i="6" s="1"/>
  <c r="P486" i="6"/>
  <c r="M486" i="6"/>
  <c r="K486" i="6"/>
  <c r="L486" i="6" s="1"/>
  <c r="P485" i="6"/>
  <c r="M485" i="6"/>
  <c r="K485" i="6"/>
  <c r="L485" i="6" s="1"/>
  <c r="P484" i="6"/>
  <c r="M484" i="6"/>
  <c r="K484" i="6"/>
  <c r="L484" i="6" s="1"/>
  <c r="P483" i="6"/>
  <c r="M483" i="6"/>
  <c r="K483" i="6"/>
  <c r="L483" i="6" s="1"/>
  <c r="P482" i="6"/>
  <c r="M482" i="6"/>
  <c r="K482" i="6"/>
  <c r="L482" i="6" s="1"/>
  <c r="P481" i="6"/>
  <c r="M481" i="6"/>
  <c r="K481" i="6"/>
  <c r="L481" i="6" s="1"/>
  <c r="P480" i="6"/>
  <c r="M480" i="6"/>
  <c r="K480" i="6"/>
  <c r="L480" i="6" s="1"/>
  <c r="P479" i="6"/>
  <c r="M479" i="6"/>
  <c r="K479" i="6"/>
  <c r="L479" i="6" s="1"/>
  <c r="P478" i="6"/>
  <c r="M478" i="6"/>
  <c r="K478" i="6"/>
  <c r="L478" i="6" s="1"/>
  <c r="P477" i="6"/>
  <c r="M477" i="6"/>
  <c r="K477" i="6"/>
  <c r="L477" i="6" s="1"/>
  <c r="P476" i="6"/>
  <c r="M476" i="6"/>
  <c r="K476" i="6"/>
  <c r="L476" i="6" s="1"/>
  <c r="P475" i="6"/>
  <c r="M475" i="6"/>
  <c r="K475" i="6"/>
  <c r="L475" i="6" s="1"/>
  <c r="P474" i="6"/>
  <c r="M474" i="6"/>
  <c r="K474" i="6"/>
  <c r="L474" i="6" s="1"/>
  <c r="P473" i="6"/>
  <c r="M473" i="6"/>
  <c r="K473" i="6"/>
  <c r="L473" i="6" s="1"/>
  <c r="P472" i="6"/>
  <c r="M472" i="6"/>
  <c r="K472" i="6"/>
  <c r="L472" i="6" s="1"/>
  <c r="P471" i="6"/>
  <c r="M471" i="6"/>
  <c r="K471" i="6"/>
  <c r="L471" i="6" s="1"/>
  <c r="P470" i="6"/>
  <c r="M470" i="6"/>
  <c r="K470" i="6"/>
  <c r="L470" i="6" s="1"/>
  <c r="P469" i="6"/>
  <c r="M469" i="6"/>
  <c r="K469" i="6"/>
  <c r="L469" i="6" s="1"/>
  <c r="P468" i="6"/>
  <c r="M468" i="6"/>
  <c r="K468" i="6"/>
  <c r="L468" i="6" s="1"/>
  <c r="P467" i="6"/>
  <c r="M467" i="6"/>
  <c r="K467" i="6"/>
  <c r="L467" i="6" s="1"/>
  <c r="P466" i="6"/>
  <c r="M466" i="6"/>
  <c r="K466" i="6"/>
  <c r="L466" i="6" s="1"/>
  <c r="P465" i="6"/>
  <c r="M465" i="6"/>
  <c r="K465" i="6"/>
  <c r="L465" i="6" s="1"/>
  <c r="P464" i="6"/>
  <c r="M464" i="6"/>
  <c r="K464" i="6"/>
  <c r="L464" i="6" s="1"/>
  <c r="P463" i="6"/>
  <c r="M463" i="6"/>
  <c r="K463" i="6"/>
  <c r="L463" i="6" s="1"/>
  <c r="P462" i="6"/>
  <c r="M462" i="6"/>
  <c r="K462" i="6"/>
  <c r="L462" i="6" s="1"/>
  <c r="P461" i="6"/>
  <c r="M461" i="6"/>
  <c r="K461" i="6"/>
  <c r="L461" i="6" s="1"/>
  <c r="P460" i="6"/>
  <c r="M460" i="6"/>
  <c r="K460" i="6"/>
  <c r="L460" i="6" s="1"/>
  <c r="P459" i="6"/>
  <c r="M459" i="6"/>
  <c r="K459" i="6"/>
  <c r="L459" i="6" s="1"/>
  <c r="P458" i="6"/>
  <c r="M458" i="6"/>
  <c r="K458" i="6"/>
  <c r="L458" i="6" s="1"/>
  <c r="P457" i="6"/>
  <c r="M457" i="6"/>
  <c r="K457" i="6"/>
  <c r="L457" i="6" s="1"/>
  <c r="P456" i="6"/>
  <c r="M456" i="6"/>
  <c r="K456" i="6"/>
  <c r="L456" i="6" s="1"/>
  <c r="P455" i="6"/>
  <c r="M455" i="6"/>
  <c r="K455" i="6"/>
  <c r="L455" i="6" s="1"/>
  <c r="P454" i="6"/>
  <c r="M454" i="6"/>
  <c r="K454" i="6"/>
  <c r="L454" i="6" s="1"/>
  <c r="P453" i="6"/>
  <c r="M453" i="6"/>
  <c r="K453" i="6"/>
  <c r="L453" i="6" s="1"/>
  <c r="P452" i="6"/>
  <c r="M452" i="6"/>
  <c r="K452" i="6"/>
  <c r="L452" i="6" s="1"/>
  <c r="P451" i="6"/>
  <c r="M451" i="6"/>
  <c r="K451" i="6"/>
  <c r="L451" i="6" s="1"/>
  <c r="P450" i="6"/>
  <c r="M450" i="6"/>
  <c r="K450" i="6"/>
  <c r="L450" i="6" s="1"/>
  <c r="P449" i="6"/>
  <c r="M449" i="6"/>
  <c r="K449" i="6"/>
  <c r="L449" i="6" s="1"/>
  <c r="P448" i="6"/>
  <c r="M448" i="6"/>
  <c r="K448" i="6"/>
  <c r="L448" i="6" s="1"/>
  <c r="P447" i="6"/>
  <c r="M447" i="6"/>
  <c r="K447" i="6"/>
  <c r="L447" i="6" s="1"/>
  <c r="P446" i="6"/>
  <c r="M446" i="6"/>
  <c r="K446" i="6"/>
  <c r="L446" i="6" s="1"/>
  <c r="P445" i="6"/>
  <c r="M445" i="6"/>
  <c r="K445" i="6"/>
  <c r="L445" i="6" s="1"/>
  <c r="P444" i="6"/>
  <c r="M444" i="6"/>
  <c r="K444" i="6"/>
  <c r="L444" i="6" s="1"/>
  <c r="P443" i="6"/>
  <c r="M443" i="6"/>
  <c r="K443" i="6"/>
  <c r="L443" i="6" s="1"/>
  <c r="P442" i="6"/>
  <c r="M442" i="6"/>
  <c r="K442" i="6"/>
  <c r="L442" i="6" s="1"/>
  <c r="P441" i="6"/>
  <c r="M441" i="6"/>
  <c r="K441" i="6"/>
  <c r="L441" i="6" s="1"/>
  <c r="P440" i="6"/>
  <c r="M440" i="6"/>
  <c r="K440" i="6"/>
  <c r="L440" i="6" s="1"/>
  <c r="P439" i="6"/>
  <c r="M439" i="6"/>
  <c r="K439" i="6"/>
  <c r="L439" i="6" s="1"/>
  <c r="P438" i="6"/>
  <c r="M438" i="6"/>
  <c r="K438" i="6"/>
  <c r="L438" i="6" s="1"/>
  <c r="P437" i="6"/>
  <c r="M437" i="6"/>
  <c r="K437" i="6"/>
  <c r="L437" i="6" s="1"/>
  <c r="P436" i="6"/>
  <c r="M436" i="6"/>
  <c r="K436" i="6"/>
  <c r="L436" i="6" s="1"/>
  <c r="P435" i="6"/>
  <c r="M435" i="6"/>
  <c r="K435" i="6"/>
  <c r="L435" i="6" s="1"/>
  <c r="P434" i="6"/>
  <c r="M434" i="6"/>
  <c r="K434" i="6"/>
  <c r="L434" i="6" s="1"/>
  <c r="P433" i="6"/>
  <c r="M433" i="6"/>
  <c r="K433" i="6"/>
  <c r="L433" i="6" s="1"/>
  <c r="P432" i="6"/>
  <c r="M432" i="6"/>
  <c r="K432" i="6"/>
  <c r="L432" i="6" s="1"/>
  <c r="P431" i="6"/>
  <c r="M431" i="6"/>
  <c r="K431" i="6"/>
  <c r="L431" i="6" s="1"/>
  <c r="P430" i="6"/>
  <c r="M430" i="6"/>
  <c r="K430" i="6"/>
  <c r="L430" i="6" s="1"/>
  <c r="P429" i="6"/>
  <c r="M429" i="6"/>
  <c r="K429" i="6"/>
  <c r="L429" i="6" s="1"/>
  <c r="P428" i="6"/>
  <c r="M428" i="6"/>
  <c r="K428" i="6"/>
  <c r="L428" i="6" s="1"/>
  <c r="P427" i="6"/>
  <c r="M427" i="6"/>
  <c r="K427" i="6"/>
  <c r="L427" i="6" s="1"/>
  <c r="P426" i="6"/>
  <c r="M426" i="6"/>
  <c r="K426" i="6"/>
  <c r="L426" i="6" s="1"/>
  <c r="P425" i="6"/>
  <c r="M425" i="6"/>
  <c r="K425" i="6"/>
  <c r="L425" i="6" s="1"/>
  <c r="P424" i="6"/>
  <c r="M424" i="6"/>
  <c r="K424" i="6"/>
  <c r="L424" i="6" s="1"/>
  <c r="P423" i="6"/>
  <c r="M423" i="6"/>
  <c r="K423" i="6"/>
  <c r="L423" i="6" s="1"/>
  <c r="P422" i="6"/>
  <c r="M422" i="6"/>
  <c r="K422" i="6"/>
  <c r="L422" i="6" s="1"/>
  <c r="P421" i="6"/>
  <c r="M421" i="6"/>
  <c r="K421" i="6"/>
  <c r="L421" i="6" s="1"/>
  <c r="P420" i="6"/>
  <c r="M420" i="6"/>
  <c r="K420" i="6"/>
  <c r="L420" i="6" s="1"/>
  <c r="P419" i="6"/>
  <c r="M419" i="6"/>
  <c r="K419" i="6"/>
  <c r="L419" i="6" s="1"/>
  <c r="P418" i="6"/>
  <c r="M418" i="6"/>
  <c r="K418" i="6"/>
  <c r="L418" i="6" s="1"/>
  <c r="P417" i="6"/>
  <c r="M417" i="6"/>
  <c r="K417" i="6"/>
  <c r="L417" i="6" s="1"/>
  <c r="P416" i="6"/>
  <c r="M416" i="6"/>
  <c r="K416" i="6"/>
  <c r="L416" i="6" s="1"/>
  <c r="P415" i="6"/>
  <c r="M415" i="6"/>
  <c r="K415" i="6"/>
  <c r="L415" i="6" s="1"/>
  <c r="P414" i="6"/>
  <c r="M414" i="6"/>
  <c r="K414" i="6"/>
  <c r="L414" i="6" s="1"/>
  <c r="P413" i="6"/>
  <c r="M413" i="6"/>
  <c r="K413" i="6"/>
  <c r="L413" i="6" s="1"/>
  <c r="P412" i="6"/>
  <c r="M412" i="6"/>
  <c r="K412" i="6"/>
  <c r="L412" i="6" s="1"/>
  <c r="P411" i="6"/>
  <c r="M411" i="6"/>
  <c r="K411" i="6"/>
  <c r="L411" i="6" s="1"/>
  <c r="P410" i="6"/>
  <c r="M410" i="6"/>
  <c r="K410" i="6"/>
  <c r="L410" i="6" s="1"/>
  <c r="P409" i="6"/>
  <c r="M409" i="6"/>
  <c r="K409" i="6"/>
  <c r="L409" i="6" s="1"/>
  <c r="P408" i="6"/>
  <c r="M408" i="6"/>
  <c r="K408" i="6"/>
  <c r="L408" i="6" s="1"/>
  <c r="P407" i="6"/>
  <c r="M407" i="6"/>
  <c r="K407" i="6"/>
  <c r="L407" i="6" s="1"/>
  <c r="P406" i="6"/>
  <c r="M406" i="6"/>
  <c r="K406" i="6"/>
  <c r="L406" i="6" s="1"/>
  <c r="P405" i="6"/>
  <c r="M405" i="6"/>
  <c r="K405" i="6"/>
  <c r="L405" i="6" s="1"/>
  <c r="P404" i="6"/>
  <c r="M404" i="6"/>
  <c r="K404" i="6"/>
  <c r="L404" i="6" s="1"/>
  <c r="P403" i="6"/>
  <c r="M403" i="6"/>
  <c r="K403" i="6"/>
  <c r="L403" i="6" s="1"/>
  <c r="P402" i="6"/>
  <c r="M402" i="6"/>
  <c r="K402" i="6"/>
  <c r="L402" i="6" s="1"/>
  <c r="P401" i="6"/>
  <c r="M401" i="6"/>
  <c r="K401" i="6"/>
  <c r="L401" i="6" s="1"/>
  <c r="P400" i="6"/>
  <c r="M400" i="6"/>
  <c r="K400" i="6"/>
  <c r="L400" i="6" s="1"/>
  <c r="P399" i="6"/>
  <c r="M399" i="6"/>
  <c r="K399" i="6"/>
  <c r="L399" i="6" s="1"/>
  <c r="P398" i="6"/>
  <c r="M398" i="6"/>
  <c r="K398" i="6"/>
  <c r="L398" i="6" s="1"/>
  <c r="P397" i="6"/>
  <c r="M397" i="6"/>
  <c r="K397" i="6"/>
  <c r="L397" i="6" s="1"/>
  <c r="P396" i="6"/>
  <c r="M396" i="6"/>
  <c r="K396" i="6"/>
  <c r="L396" i="6" s="1"/>
  <c r="P395" i="6"/>
  <c r="M395" i="6"/>
  <c r="K395" i="6"/>
  <c r="L395" i="6" s="1"/>
  <c r="P394" i="6"/>
  <c r="M394" i="6"/>
  <c r="K394" i="6"/>
  <c r="L394" i="6" s="1"/>
  <c r="P393" i="6"/>
  <c r="M393" i="6"/>
  <c r="K393" i="6"/>
  <c r="L393" i="6" s="1"/>
  <c r="P392" i="6"/>
  <c r="M392" i="6"/>
  <c r="K392" i="6"/>
  <c r="L392" i="6" s="1"/>
  <c r="P391" i="6"/>
  <c r="M391" i="6"/>
  <c r="K391" i="6"/>
  <c r="L391" i="6" s="1"/>
  <c r="P390" i="6"/>
  <c r="M390" i="6"/>
  <c r="K390" i="6"/>
  <c r="L390" i="6" s="1"/>
  <c r="P389" i="6"/>
  <c r="M389" i="6"/>
  <c r="K389" i="6"/>
  <c r="L389" i="6" s="1"/>
  <c r="P388" i="6"/>
  <c r="M388" i="6"/>
  <c r="K388" i="6"/>
  <c r="L388" i="6" s="1"/>
  <c r="P387" i="6"/>
  <c r="M387" i="6"/>
  <c r="K387" i="6"/>
  <c r="L387" i="6" s="1"/>
  <c r="P386" i="6"/>
  <c r="M386" i="6"/>
  <c r="K386" i="6"/>
  <c r="L386" i="6" s="1"/>
  <c r="P385" i="6"/>
  <c r="M385" i="6"/>
  <c r="K385" i="6"/>
  <c r="L385" i="6" s="1"/>
  <c r="P384" i="6"/>
  <c r="M384" i="6"/>
  <c r="K384" i="6"/>
  <c r="L384" i="6" s="1"/>
  <c r="P383" i="6"/>
  <c r="M383" i="6"/>
  <c r="K383" i="6"/>
  <c r="L383" i="6" s="1"/>
  <c r="P382" i="6"/>
  <c r="M382" i="6"/>
  <c r="K382" i="6"/>
  <c r="L382" i="6" s="1"/>
  <c r="P381" i="6"/>
  <c r="M381" i="6"/>
  <c r="K381" i="6"/>
  <c r="L381" i="6" s="1"/>
  <c r="P380" i="6"/>
  <c r="M380" i="6"/>
  <c r="K380" i="6"/>
  <c r="L380" i="6" s="1"/>
  <c r="P379" i="6"/>
  <c r="M379" i="6"/>
  <c r="K379" i="6"/>
  <c r="L379" i="6" s="1"/>
  <c r="P378" i="6"/>
  <c r="M378" i="6"/>
  <c r="K378" i="6"/>
  <c r="L378" i="6" s="1"/>
  <c r="P377" i="6"/>
  <c r="M377" i="6"/>
  <c r="K377" i="6"/>
  <c r="L377" i="6" s="1"/>
  <c r="P376" i="6"/>
  <c r="M376" i="6"/>
  <c r="K376" i="6"/>
  <c r="L376" i="6" s="1"/>
  <c r="P375" i="6"/>
  <c r="M375" i="6"/>
  <c r="K375" i="6"/>
  <c r="L375" i="6" s="1"/>
  <c r="P374" i="6"/>
  <c r="M374" i="6"/>
  <c r="K374" i="6"/>
  <c r="L374" i="6" s="1"/>
  <c r="P373" i="6"/>
  <c r="M373" i="6"/>
  <c r="K373" i="6"/>
  <c r="L373" i="6" s="1"/>
  <c r="P372" i="6"/>
  <c r="M372" i="6"/>
  <c r="K372" i="6"/>
  <c r="L372" i="6" s="1"/>
  <c r="P371" i="6"/>
  <c r="M371" i="6"/>
  <c r="K371" i="6"/>
  <c r="L371" i="6" s="1"/>
  <c r="P370" i="6"/>
  <c r="M370" i="6"/>
  <c r="K370" i="6"/>
  <c r="L370" i="6" s="1"/>
  <c r="P369" i="6"/>
  <c r="M369" i="6"/>
  <c r="K369" i="6"/>
  <c r="L369" i="6" s="1"/>
  <c r="P368" i="6"/>
  <c r="M368" i="6"/>
  <c r="K368" i="6"/>
  <c r="L368" i="6" s="1"/>
  <c r="P367" i="6"/>
  <c r="M367" i="6"/>
  <c r="K367" i="6"/>
  <c r="L367" i="6" s="1"/>
  <c r="P366" i="6"/>
  <c r="M366" i="6"/>
  <c r="K366" i="6"/>
  <c r="L366" i="6" s="1"/>
  <c r="P365" i="6"/>
  <c r="M365" i="6"/>
  <c r="K365" i="6"/>
  <c r="L365" i="6" s="1"/>
  <c r="P364" i="6"/>
  <c r="M364" i="6"/>
  <c r="K364" i="6"/>
  <c r="L364" i="6" s="1"/>
  <c r="P363" i="6"/>
  <c r="M363" i="6"/>
  <c r="K363" i="6"/>
  <c r="L363" i="6" s="1"/>
  <c r="P362" i="6"/>
  <c r="M362" i="6"/>
  <c r="K362" i="6"/>
  <c r="L362" i="6" s="1"/>
  <c r="P361" i="6"/>
  <c r="M361" i="6"/>
  <c r="K361" i="6"/>
  <c r="L361" i="6" s="1"/>
  <c r="P360" i="6"/>
  <c r="M360" i="6"/>
  <c r="K360" i="6"/>
  <c r="L360" i="6" s="1"/>
  <c r="P359" i="6"/>
  <c r="M359" i="6"/>
  <c r="K359" i="6"/>
  <c r="L359" i="6" s="1"/>
  <c r="P358" i="6"/>
  <c r="M358" i="6"/>
  <c r="K358" i="6"/>
  <c r="L358" i="6" s="1"/>
  <c r="P357" i="6"/>
  <c r="M357" i="6"/>
  <c r="K357" i="6"/>
  <c r="L357" i="6" s="1"/>
  <c r="P356" i="6"/>
  <c r="M356" i="6"/>
  <c r="K356" i="6"/>
  <c r="L356" i="6" s="1"/>
  <c r="P355" i="6"/>
  <c r="M355" i="6"/>
  <c r="K355" i="6"/>
  <c r="L355" i="6" s="1"/>
  <c r="P354" i="6"/>
  <c r="M354" i="6"/>
  <c r="K354" i="6"/>
  <c r="L354" i="6" s="1"/>
  <c r="P353" i="6"/>
  <c r="M353" i="6"/>
  <c r="K353" i="6"/>
  <c r="L353" i="6" s="1"/>
  <c r="P352" i="6"/>
  <c r="M352" i="6"/>
  <c r="K352" i="6"/>
  <c r="L352" i="6" s="1"/>
  <c r="P351" i="6"/>
  <c r="M351" i="6"/>
  <c r="K351" i="6"/>
  <c r="L351" i="6" s="1"/>
  <c r="P350" i="6"/>
  <c r="M350" i="6"/>
  <c r="K350" i="6"/>
  <c r="L350" i="6" s="1"/>
  <c r="P349" i="6"/>
  <c r="M349" i="6"/>
  <c r="K349" i="6"/>
  <c r="L349" i="6" s="1"/>
  <c r="P348" i="6"/>
  <c r="M348" i="6"/>
  <c r="K348" i="6"/>
  <c r="L348" i="6" s="1"/>
  <c r="P347" i="6"/>
  <c r="M347" i="6"/>
  <c r="K347" i="6"/>
  <c r="L347" i="6" s="1"/>
  <c r="P346" i="6"/>
  <c r="M346" i="6"/>
  <c r="K346" i="6"/>
  <c r="L346" i="6" s="1"/>
  <c r="P345" i="6"/>
  <c r="M345" i="6"/>
  <c r="K345" i="6"/>
  <c r="L345" i="6" s="1"/>
  <c r="P344" i="6"/>
  <c r="M344" i="6"/>
  <c r="K344" i="6"/>
  <c r="L344" i="6" s="1"/>
  <c r="P343" i="6"/>
  <c r="M343" i="6"/>
  <c r="K343" i="6"/>
  <c r="L343" i="6" s="1"/>
  <c r="P342" i="6"/>
  <c r="M342" i="6"/>
  <c r="K342" i="6"/>
  <c r="L342" i="6" s="1"/>
  <c r="P341" i="6"/>
  <c r="M341" i="6"/>
  <c r="K341" i="6"/>
  <c r="L341" i="6" s="1"/>
  <c r="P340" i="6"/>
  <c r="M340" i="6"/>
  <c r="K340" i="6"/>
  <c r="L340" i="6" s="1"/>
  <c r="P339" i="6"/>
  <c r="M339" i="6"/>
  <c r="K339" i="6"/>
  <c r="L339" i="6" s="1"/>
  <c r="P338" i="6"/>
  <c r="M338" i="6"/>
  <c r="K338" i="6"/>
  <c r="L338" i="6" s="1"/>
  <c r="P337" i="6"/>
  <c r="M337" i="6"/>
  <c r="K337" i="6"/>
  <c r="L337" i="6" s="1"/>
  <c r="P336" i="6"/>
  <c r="M336" i="6"/>
  <c r="K336" i="6"/>
  <c r="L336" i="6" s="1"/>
  <c r="P335" i="6"/>
  <c r="M335" i="6"/>
  <c r="K335" i="6"/>
  <c r="L335" i="6" s="1"/>
  <c r="P334" i="6"/>
  <c r="M334" i="6"/>
  <c r="K334" i="6"/>
  <c r="L334" i="6" s="1"/>
  <c r="P333" i="6"/>
  <c r="M333" i="6"/>
  <c r="K333" i="6"/>
  <c r="L333" i="6" s="1"/>
  <c r="P332" i="6"/>
  <c r="M332" i="6"/>
  <c r="K332" i="6"/>
  <c r="L332" i="6" s="1"/>
  <c r="P331" i="6"/>
  <c r="M331" i="6"/>
  <c r="K331" i="6"/>
  <c r="L331" i="6" s="1"/>
  <c r="P330" i="6"/>
  <c r="M330" i="6"/>
  <c r="K330" i="6"/>
  <c r="L330" i="6" s="1"/>
  <c r="P329" i="6"/>
  <c r="M329" i="6"/>
  <c r="K329" i="6"/>
  <c r="L329" i="6" s="1"/>
  <c r="P328" i="6"/>
  <c r="M328" i="6"/>
  <c r="K328" i="6"/>
  <c r="L328" i="6" s="1"/>
  <c r="P327" i="6"/>
  <c r="M327" i="6"/>
  <c r="K327" i="6"/>
  <c r="L327" i="6" s="1"/>
  <c r="P326" i="6"/>
  <c r="M326" i="6"/>
  <c r="K326" i="6"/>
  <c r="L326" i="6" s="1"/>
  <c r="P325" i="6"/>
  <c r="M325" i="6"/>
  <c r="K325" i="6"/>
  <c r="L325" i="6" s="1"/>
  <c r="P324" i="6"/>
  <c r="M324" i="6"/>
  <c r="K324" i="6"/>
  <c r="L324" i="6" s="1"/>
  <c r="P323" i="6"/>
  <c r="M323" i="6"/>
  <c r="K323" i="6"/>
  <c r="L323" i="6" s="1"/>
  <c r="P322" i="6"/>
  <c r="M322" i="6"/>
  <c r="K322" i="6"/>
  <c r="L322" i="6" s="1"/>
  <c r="P321" i="6"/>
  <c r="M321" i="6"/>
  <c r="K321" i="6"/>
  <c r="L321" i="6" s="1"/>
  <c r="P320" i="6"/>
  <c r="M320" i="6"/>
  <c r="K320" i="6"/>
  <c r="L320" i="6" s="1"/>
  <c r="P319" i="6"/>
  <c r="M319" i="6"/>
  <c r="K319" i="6"/>
  <c r="L319" i="6" s="1"/>
  <c r="P318" i="6"/>
  <c r="M318" i="6"/>
  <c r="K318" i="6"/>
  <c r="L318" i="6" s="1"/>
  <c r="P317" i="6"/>
  <c r="M317" i="6"/>
  <c r="K317" i="6"/>
  <c r="L317" i="6" s="1"/>
  <c r="P316" i="6"/>
  <c r="M316" i="6"/>
  <c r="K316" i="6"/>
  <c r="L316" i="6" s="1"/>
  <c r="P315" i="6"/>
  <c r="M315" i="6"/>
  <c r="K315" i="6"/>
  <c r="L315" i="6" s="1"/>
  <c r="P314" i="6"/>
  <c r="M314" i="6"/>
  <c r="K314" i="6"/>
  <c r="L314" i="6" s="1"/>
  <c r="P313" i="6"/>
  <c r="M313" i="6"/>
  <c r="K313" i="6"/>
  <c r="L313" i="6" s="1"/>
  <c r="P312" i="6"/>
  <c r="M312" i="6"/>
  <c r="K312" i="6"/>
  <c r="L312" i="6" s="1"/>
  <c r="P311" i="6"/>
  <c r="M311" i="6"/>
  <c r="K311" i="6"/>
  <c r="L311" i="6" s="1"/>
  <c r="P310" i="6"/>
  <c r="M310" i="6"/>
  <c r="K310" i="6"/>
  <c r="L310" i="6" s="1"/>
  <c r="P309" i="6"/>
  <c r="M309" i="6"/>
  <c r="K309" i="6"/>
  <c r="L309" i="6" s="1"/>
  <c r="P308" i="6"/>
  <c r="M308" i="6"/>
  <c r="K308" i="6"/>
  <c r="L308" i="6" s="1"/>
  <c r="P307" i="6"/>
  <c r="M307" i="6"/>
  <c r="K307" i="6"/>
  <c r="L307" i="6" s="1"/>
  <c r="P306" i="6"/>
  <c r="M306" i="6"/>
  <c r="K306" i="6"/>
  <c r="L306" i="6" s="1"/>
  <c r="P305" i="6"/>
  <c r="M305" i="6"/>
  <c r="K305" i="6"/>
  <c r="L305" i="6" s="1"/>
  <c r="P304" i="6"/>
  <c r="M304" i="6"/>
  <c r="K304" i="6"/>
  <c r="L304" i="6" s="1"/>
  <c r="P303" i="6"/>
  <c r="M303" i="6"/>
  <c r="K303" i="6"/>
  <c r="L303" i="6" s="1"/>
  <c r="P302" i="6"/>
  <c r="M302" i="6"/>
  <c r="K302" i="6"/>
  <c r="L302" i="6" s="1"/>
  <c r="P301" i="6"/>
  <c r="M301" i="6"/>
  <c r="K301" i="6"/>
  <c r="L301" i="6" s="1"/>
  <c r="P300" i="6"/>
  <c r="M300" i="6"/>
  <c r="K300" i="6"/>
  <c r="L300" i="6" s="1"/>
  <c r="P299" i="6"/>
  <c r="M299" i="6"/>
  <c r="K299" i="6"/>
  <c r="L299" i="6" s="1"/>
  <c r="P298" i="6"/>
  <c r="M298" i="6"/>
  <c r="K298" i="6"/>
  <c r="L298" i="6" s="1"/>
  <c r="P297" i="6"/>
  <c r="M297" i="6"/>
  <c r="K297" i="6"/>
  <c r="L297" i="6" s="1"/>
  <c r="P296" i="6"/>
  <c r="M296" i="6"/>
  <c r="K296" i="6"/>
  <c r="L296" i="6" s="1"/>
  <c r="P295" i="6"/>
  <c r="M295" i="6"/>
  <c r="K295" i="6"/>
  <c r="L295" i="6" s="1"/>
  <c r="P294" i="6"/>
  <c r="M294" i="6"/>
  <c r="K294" i="6"/>
  <c r="L294" i="6" s="1"/>
  <c r="P293" i="6"/>
  <c r="M293" i="6"/>
  <c r="K293" i="6"/>
  <c r="L293" i="6" s="1"/>
  <c r="P292" i="6"/>
  <c r="M292" i="6"/>
  <c r="K292" i="6"/>
  <c r="L292" i="6" s="1"/>
  <c r="P291" i="6"/>
  <c r="M291" i="6"/>
  <c r="K291" i="6"/>
  <c r="L291" i="6" s="1"/>
  <c r="P290" i="6"/>
  <c r="M290" i="6"/>
  <c r="K290" i="6"/>
  <c r="L290" i="6" s="1"/>
  <c r="P289" i="6"/>
  <c r="M289" i="6"/>
  <c r="K289" i="6"/>
  <c r="L289" i="6" s="1"/>
  <c r="P288" i="6"/>
  <c r="M288" i="6"/>
  <c r="K288" i="6"/>
  <c r="L288" i="6" s="1"/>
  <c r="P287" i="6"/>
  <c r="M287" i="6"/>
  <c r="K287" i="6"/>
  <c r="L287" i="6" s="1"/>
  <c r="P286" i="6"/>
  <c r="M286" i="6"/>
  <c r="K286" i="6"/>
  <c r="L286" i="6" s="1"/>
  <c r="P285" i="6"/>
  <c r="M285" i="6"/>
  <c r="K285" i="6"/>
  <c r="L285" i="6" s="1"/>
  <c r="P284" i="6"/>
  <c r="M284" i="6"/>
  <c r="K284" i="6"/>
  <c r="L284" i="6" s="1"/>
  <c r="P283" i="6"/>
  <c r="M283" i="6"/>
  <c r="K283" i="6"/>
  <c r="L283" i="6" s="1"/>
  <c r="P282" i="6"/>
  <c r="M282" i="6"/>
  <c r="K282" i="6"/>
  <c r="L282" i="6" s="1"/>
  <c r="P281" i="6"/>
  <c r="M281" i="6"/>
  <c r="K281" i="6"/>
  <c r="L281" i="6" s="1"/>
  <c r="P280" i="6"/>
  <c r="M280" i="6"/>
  <c r="K280" i="6"/>
  <c r="L280" i="6" s="1"/>
  <c r="P279" i="6"/>
  <c r="M279" i="6"/>
  <c r="K279" i="6"/>
  <c r="L279" i="6" s="1"/>
  <c r="P278" i="6"/>
  <c r="M278" i="6"/>
  <c r="K278" i="6"/>
  <c r="L278" i="6" s="1"/>
  <c r="P277" i="6"/>
  <c r="M277" i="6"/>
  <c r="K277" i="6"/>
  <c r="L277" i="6" s="1"/>
  <c r="P276" i="6"/>
  <c r="M276" i="6"/>
  <c r="K276" i="6"/>
  <c r="L276" i="6" s="1"/>
  <c r="P275" i="6"/>
  <c r="M275" i="6"/>
  <c r="K275" i="6"/>
  <c r="L275" i="6" s="1"/>
  <c r="P274" i="6"/>
  <c r="M274" i="6"/>
  <c r="K274" i="6"/>
  <c r="L274" i="6" s="1"/>
  <c r="P273" i="6"/>
  <c r="M273" i="6"/>
  <c r="K273" i="6"/>
  <c r="L273" i="6" s="1"/>
  <c r="P272" i="6"/>
  <c r="M272" i="6"/>
  <c r="K272" i="6"/>
  <c r="L272" i="6" s="1"/>
  <c r="P271" i="6"/>
  <c r="M271" i="6"/>
  <c r="K271" i="6"/>
  <c r="L271" i="6" s="1"/>
  <c r="P270" i="6"/>
  <c r="M270" i="6"/>
  <c r="K270" i="6"/>
  <c r="L270" i="6" s="1"/>
  <c r="P269" i="6"/>
  <c r="M269" i="6"/>
  <c r="K269" i="6"/>
  <c r="L269" i="6" s="1"/>
  <c r="P268" i="6"/>
  <c r="M268" i="6"/>
  <c r="K268" i="6"/>
  <c r="L268" i="6" s="1"/>
  <c r="P267" i="6"/>
  <c r="M267" i="6"/>
  <c r="K267" i="6"/>
  <c r="L267" i="6" s="1"/>
  <c r="P266" i="6"/>
  <c r="M266" i="6"/>
  <c r="K266" i="6"/>
  <c r="L266" i="6" s="1"/>
  <c r="P265" i="6"/>
  <c r="M265" i="6"/>
  <c r="K265" i="6"/>
  <c r="L265" i="6" s="1"/>
  <c r="P264" i="6"/>
  <c r="M264" i="6"/>
  <c r="K264" i="6"/>
  <c r="L264" i="6" s="1"/>
  <c r="P263" i="6"/>
  <c r="M263" i="6"/>
  <c r="K263" i="6"/>
  <c r="L263" i="6" s="1"/>
  <c r="P262" i="6"/>
  <c r="M262" i="6"/>
  <c r="K262" i="6"/>
  <c r="L262" i="6" s="1"/>
  <c r="P261" i="6"/>
  <c r="M261" i="6"/>
  <c r="K261" i="6"/>
  <c r="L261" i="6" s="1"/>
  <c r="P260" i="6"/>
  <c r="M260" i="6"/>
  <c r="K260" i="6"/>
  <c r="L260" i="6" s="1"/>
  <c r="P259" i="6"/>
  <c r="M259" i="6"/>
  <c r="K259" i="6"/>
  <c r="L259" i="6" s="1"/>
  <c r="P258" i="6"/>
  <c r="M258" i="6"/>
  <c r="K258" i="6"/>
  <c r="L258" i="6" s="1"/>
  <c r="P257" i="6"/>
  <c r="M257" i="6"/>
  <c r="K257" i="6"/>
  <c r="L257" i="6" s="1"/>
  <c r="P256" i="6"/>
  <c r="M256" i="6"/>
  <c r="K256" i="6"/>
  <c r="L256" i="6" s="1"/>
  <c r="P255" i="6"/>
  <c r="M255" i="6"/>
  <c r="K255" i="6"/>
  <c r="L255" i="6" s="1"/>
  <c r="P254" i="6"/>
  <c r="M254" i="6"/>
  <c r="K254" i="6"/>
  <c r="L254" i="6" s="1"/>
  <c r="P253" i="6"/>
  <c r="M253" i="6"/>
  <c r="K253" i="6"/>
  <c r="L253" i="6" s="1"/>
  <c r="P252" i="6"/>
  <c r="M252" i="6"/>
  <c r="K252" i="6"/>
  <c r="L252" i="6" s="1"/>
  <c r="P251" i="6"/>
  <c r="M251" i="6"/>
  <c r="K251" i="6"/>
  <c r="L251" i="6" s="1"/>
  <c r="P250" i="6"/>
  <c r="M250" i="6"/>
  <c r="K250" i="6"/>
  <c r="L250" i="6" s="1"/>
  <c r="P249" i="6"/>
  <c r="M249" i="6"/>
  <c r="K249" i="6"/>
  <c r="L249" i="6" s="1"/>
  <c r="P248" i="6"/>
  <c r="M248" i="6"/>
  <c r="K248" i="6"/>
  <c r="L248" i="6" s="1"/>
  <c r="P247" i="6"/>
  <c r="M247" i="6"/>
  <c r="K247" i="6"/>
  <c r="L247" i="6" s="1"/>
  <c r="P246" i="6"/>
  <c r="M246" i="6"/>
  <c r="K246" i="6"/>
  <c r="L246" i="6" s="1"/>
  <c r="P245" i="6"/>
  <c r="M245" i="6"/>
  <c r="K245" i="6"/>
  <c r="L245" i="6" s="1"/>
  <c r="P244" i="6"/>
  <c r="M244" i="6"/>
  <c r="K244" i="6"/>
  <c r="L244" i="6" s="1"/>
  <c r="P243" i="6"/>
  <c r="M243" i="6"/>
  <c r="K243" i="6"/>
  <c r="L243" i="6" s="1"/>
  <c r="P242" i="6"/>
  <c r="M242" i="6"/>
  <c r="K242" i="6"/>
  <c r="L242" i="6" s="1"/>
  <c r="P241" i="6"/>
  <c r="M241" i="6"/>
  <c r="K241" i="6"/>
  <c r="L241" i="6" s="1"/>
  <c r="P240" i="6"/>
  <c r="M240" i="6"/>
  <c r="K240" i="6"/>
  <c r="L240" i="6" s="1"/>
  <c r="P239" i="6"/>
  <c r="M239" i="6"/>
  <c r="K239" i="6"/>
  <c r="L239" i="6" s="1"/>
  <c r="P238" i="6"/>
  <c r="M238" i="6"/>
  <c r="K238" i="6"/>
  <c r="L238" i="6" s="1"/>
  <c r="P237" i="6"/>
  <c r="M237" i="6"/>
  <c r="K237" i="6"/>
  <c r="L237" i="6" s="1"/>
  <c r="P236" i="6"/>
  <c r="M236" i="6"/>
  <c r="K236" i="6"/>
  <c r="L236" i="6" s="1"/>
  <c r="P235" i="6"/>
  <c r="M235" i="6"/>
  <c r="K235" i="6"/>
  <c r="L235" i="6" s="1"/>
  <c r="P234" i="6"/>
  <c r="M234" i="6"/>
  <c r="K234" i="6"/>
  <c r="L234" i="6" s="1"/>
  <c r="P233" i="6"/>
  <c r="M233" i="6"/>
  <c r="K233" i="6"/>
  <c r="L233" i="6" s="1"/>
  <c r="P232" i="6"/>
  <c r="M232" i="6"/>
  <c r="K232" i="6"/>
  <c r="L232" i="6" s="1"/>
  <c r="P231" i="6"/>
  <c r="M231" i="6"/>
  <c r="K231" i="6"/>
  <c r="L231" i="6" s="1"/>
  <c r="P230" i="6"/>
  <c r="M230" i="6"/>
  <c r="K230" i="6"/>
  <c r="L230" i="6" s="1"/>
  <c r="P229" i="6"/>
  <c r="M229" i="6"/>
  <c r="K229" i="6"/>
  <c r="L229" i="6" s="1"/>
  <c r="P228" i="6"/>
  <c r="M228" i="6"/>
  <c r="K228" i="6"/>
  <c r="L228" i="6" s="1"/>
  <c r="P227" i="6"/>
  <c r="M227" i="6"/>
  <c r="K227" i="6"/>
  <c r="L227" i="6" s="1"/>
  <c r="P226" i="6"/>
  <c r="M226" i="6"/>
  <c r="K226" i="6"/>
  <c r="L226" i="6" s="1"/>
  <c r="P225" i="6"/>
  <c r="M225" i="6"/>
  <c r="K225" i="6"/>
  <c r="L225" i="6" s="1"/>
  <c r="P224" i="6"/>
  <c r="M224" i="6"/>
  <c r="K224" i="6"/>
  <c r="L224" i="6" s="1"/>
  <c r="P223" i="6"/>
  <c r="M223" i="6"/>
  <c r="K223" i="6"/>
  <c r="L223" i="6" s="1"/>
  <c r="P222" i="6"/>
  <c r="M222" i="6"/>
  <c r="K222" i="6"/>
  <c r="L222" i="6" s="1"/>
  <c r="P221" i="6"/>
  <c r="M221" i="6"/>
  <c r="K221" i="6"/>
  <c r="L221" i="6" s="1"/>
  <c r="P220" i="6"/>
  <c r="M220" i="6"/>
  <c r="K220" i="6"/>
  <c r="L220" i="6" s="1"/>
  <c r="P219" i="6"/>
  <c r="M219" i="6"/>
  <c r="K219" i="6"/>
  <c r="L219" i="6" s="1"/>
  <c r="P218" i="6"/>
  <c r="M218" i="6"/>
  <c r="K218" i="6"/>
  <c r="L218" i="6" s="1"/>
  <c r="P217" i="6"/>
  <c r="M217" i="6"/>
  <c r="K217" i="6"/>
  <c r="L217" i="6" s="1"/>
  <c r="P216" i="6"/>
  <c r="M216" i="6"/>
  <c r="K216" i="6"/>
  <c r="L216" i="6" s="1"/>
  <c r="P215" i="6"/>
  <c r="M215" i="6"/>
  <c r="K215" i="6"/>
  <c r="L215" i="6" s="1"/>
  <c r="P214" i="6"/>
  <c r="M214" i="6"/>
  <c r="K214" i="6"/>
  <c r="L214" i="6" s="1"/>
  <c r="P213" i="6"/>
  <c r="M213" i="6"/>
  <c r="K213" i="6"/>
  <c r="L213" i="6" s="1"/>
  <c r="P212" i="6"/>
  <c r="M212" i="6"/>
  <c r="K212" i="6"/>
  <c r="L212" i="6" s="1"/>
  <c r="P211" i="6"/>
  <c r="M211" i="6"/>
  <c r="K211" i="6"/>
  <c r="L211" i="6" s="1"/>
  <c r="P210" i="6"/>
  <c r="M210" i="6"/>
  <c r="K210" i="6"/>
  <c r="L210" i="6" s="1"/>
  <c r="P209" i="6"/>
  <c r="M209" i="6"/>
  <c r="K209" i="6"/>
  <c r="L209" i="6" s="1"/>
  <c r="P208" i="6"/>
  <c r="M208" i="6"/>
  <c r="K208" i="6"/>
  <c r="L208" i="6" s="1"/>
  <c r="P207" i="6"/>
  <c r="M207" i="6"/>
  <c r="K207" i="6"/>
  <c r="L207" i="6" s="1"/>
  <c r="P206" i="6"/>
  <c r="M206" i="6"/>
  <c r="K206" i="6"/>
  <c r="L206" i="6" s="1"/>
  <c r="P205" i="6"/>
  <c r="M205" i="6"/>
  <c r="K205" i="6"/>
  <c r="L205" i="6" s="1"/>
  <c r="P204" i="6"/>
  <c r="M204" i="6"/>
  <c r="K204" i="6"/>
  <c r="L204" i="6" s="1"/>
  <c r="P203" i="6"/>
  <c r="M203" i="6"/>
  <c r="K203" i="6"/>
  <c r="L203" i="6" s="1"/>
  <c r="P202" i="6"/>
  <c r="M202" i="6"/>
  <c r="K202" i="6"/>
  <c r="L202" i="6" s="1"/>
  <c r="P201" i="6"/>
  <c r="M201" i="6"/>
  <c r="K201" i="6"/>
  <c r="L201" i="6" s="1"/>
  <c r="P200" i="6"/>
  <c r="M200" i="6"/>
  <c r="K200" i="6"/>
  <c r="L200" i="6" s="1"/>
  <c r="P199" i="6"/>
  <c r="M199" i="6"/>
  <c r="K199" i="6"/>
  <c r="L199" i="6" s="1"/>
  <c r="P198" i="6"/>
  <c r="M198" i="6"/>
  <c r="K198" i="6"/>
  <c r="L198" i="6" s="1"/>
  <c r="P197" i="6"/>
  <c r="M197" i="6"/>
  <c r="K197" i="6"/>
  <c r="L197" i="6" s="1"/>
  <c r="P196" i="6"/>
  <c r="M196" i="6"/>
  <c r="K196" i="6"/>
  <c r="L196" i="6" s="1"/>
  <c r="P195" i="6"/>
  <c r="M195" i="6"/>
  <c r="K195" i="6"/>
  <c r="L195" i="6" s="1"/>
  <c r="P194" i="6"/>
  <c r="M194" i="6"/>
  <c r="K194" i="6"/>
  <c r="L194" i="6" s="1"/>
  <c r="P193" i="6"/>
  <c r="M193" i="6"/>
  <c r="K193" i="6"/>
  <c r="L193" i="6" s="1"/>
  <c r="P192" i="6"/>
  <c r="M192" i="6"/>
  <c r="K192" i="6"/>
  <c r="L192" i="6" s="1"/>
  <c r="P191" i="6"/>
  <c r="M191" i="6"/>
  <c r="K191" i="6"/>
  <c r="L191" i="6" s="1"/>
  <c r="P190" i="6"/>
  <c r="M190" i="6"/>
  <c r="K190" i="6"/>
  <c r="L190" i="6" s="1"/>
  <c r="P189" i="6"/>
  <c r="M189" i="6"/>
  <c r="K189" i="6"/>
  <c r="L189" i="6" s="1"/>
  <c r="P188" i="6"/>
  <c r="M188" i="6"/>
  <c r="K188" i="6"/>
  <c r="L188" i="6" s="1"/>
  <c r="P187" i="6"/>
  <c r="M187" i="6"/>
  <c r="K187" i="6"/>
  <c r="L187" i="6" s="1"/>
  <c r="P186" i="6"/>
  <c r="M186" i="6"/>
  <c r="K186" i="6"/>
  <c r="L186" i="6" s="1"/>
  <c r="P185" i="6"/>
  <c r="M185" i="6"/>
  <c r="K185" i="6"/>
  <c r="L185" i="6" s="1"/>
  <c r="P184" i="6"/>
  <c r="M184" i="6"/>
  <c r="K184" i="6"/>
  <c r="L184" i="6" s="1"/>
  <c r="P183" i="6"/>
  <c r="M183" i="6"/>
  <c r="K183" i="6"/>
  <c r="L183" i="6" s="1"/>
  <c r="P182" i="6"/>
  <c r="M182" i="6"/>
  <c r="K182" i="6"/>
  <c r="L182" i="6" s="1"/>
  <c r="P181" i="6"/>
  <c r="M181" i="6"/>
  <c r="K181" i="6"/>
  <c r="L181" i="6" s="1"/>
  <c r="P180" i="6"/>
  <c r="M180" i="6"/>
  <c r="K180" i="6"/>
  <c r="L180" i="6" s="1"/>
  <c r="P179" i="6"/>
  <c r="M179" i="6"/>
  <c r="K179" i="6"/>
  <c r="L179" i="6" s="1"/>
  <c r="P178" i="6"/>
  <c r="M178" i="6"/>
  <c r="K178" i="6"/>
  <c r="L178" i="6" s="1"/>
  <c r="P177" i="6"/>
  <c r="M177" i="6"/>
  <c r="K177" i="6"/>
  <c r="L177" i="6" s="1"/>
  <c r="P176" i="6"/>
  <c r="M176" i="6"/>
  <c r="K176" i="6"/>
  <c r="L176" i="6" s="1"/>
  <c r="P175" i="6"/>
  <c r="M175" i="6"/>
  <c r="K175" i="6"/>
  <c r="L175" i="6" s="1"/>
  <c r="P174" i="6"/>
  <c r="M174" i="6"/>
  <c r="K174" i="6"/>
  <c r="L174" i="6" s="1"/>
  <c r="P173" i="6"/>
  <c r="M173" i="6"/>
  <c r="K173" i="6"/>
  <c r="L173" i="6" s="1"/>
  <c r="P172" i="6"/>
  <c r="M172" i="6"/>
  <c r="K172" i="6"/>
  <c r="L172" i="6" s="1"/>
  <c r="P171" i="6"/>
  <c r="M171" i="6"/>
  <c r="K171" i="6"/>
  <c r="L171" i="6" s="1"/>
  <c r="P170" i="6"/>
  <c r="M170" i="6"/>
  <c r="K170" i="6"/>
  <c r="L170" i="6" s="1"/>
  <c r="P169" i="6"/>
  <c r="M169" i="6"/>
  <c r="K169" i="6"/>
  <c r="L169" i="6" s="1"/>
  <c r="P168" i="6"/>
  <c r="M168" i="6"/>
  <c r="K168" i="6"/>
  <c r="L168" i="6" s="1"/>
  <c r="P167" i="6"/>
  <c r="M167" i="6"/>
  <c r="K167" i="6"/>
  <c r="L167" i="6" s="1"/>
  <c r="P166" i="6"/>
  <c r="M166" i="6"/>
  <c r="K166" i="6"/>
  <c r="L166" i="6" s="1"/>
  <c r="P165" i="6"/>
  <c r="M165" i="6"/>
  <c r="K165" i="6"/>
  <c r="L165" i="6" s="1"/>
  <c r="P164" i="6"/>
  <c r="M164" i="6"/>
  <c r="K164" i="6"/>
  <c r="L164" i="6" s="1"/>
  <c r="P163" i="6"/>
  <c r="M163" i="6"/>
  <c r="K163" i="6"/>
  <c r="L163" i="6" s="1"/>
  <c r="P162" i="6"/>
  <c r="M162" i="6"/>
  <c r="K162" i="6"/>
  <c r="L162" i="6" s="1"/>
  <c r="P161" i="6"/>
  <c r="M161" i="6"/>
  <c r="K161" i="6"/>
  <c r="L161" i="6" s="1"/>
  <c r="P160" i="6"/>
  <c r="M160" i="6"/>
  <c r="K160" i="6"/>
  <c r="L160" i="6" s="1"/>
  <c r="P159" i="6"/>
  <c r="M159" i="6"/>
  <c r="K159" i="6"/>
  <c r="L159" i="6" s="1"/>
  <c r="P158" i="6"/>
  <c r="M158" i="6"/>
  <c r="K158" i="6"/>
  <c r="L158" i="6" s="1"/>
  <c r="P157" i="6"/>
  <c r="M157" i="6"/>
  <c r="K157" i="6"/>
  <c r="L157" i="6" s="1"/>
  <c r="P156" i="6"/>
  <c r="M156" i="6"/>
  <c r="K156" i="6"/>
  <c r="L156" i="6" s="1"/>
  <c r="P155" i="6"/>
  <c r="M155" i="6"/>
  <c r="K155" i="6"/>
  <c r="L155" i="6" s="1"/>
  <c r="P154" i="6"/>
  <c r="M154" i="6"/>
  <c r="K154" i="6"/>
  <c r="L154" i="6" s="1"/>
  <c r="P153" i="6"/>
  <c r="M153" i="6"/>
  <c r="K153" i="6"/>
  <c r="L153" i="6" s="1"/>
  <c r="P152" i="6"/>
  <c r="M152" i="6"/>
  <c r="K152" i="6"/>
  <c r="L152" i="6" s="1"/>
  <c r="P151" i="6"/>
  <c r="M151" i="6"/>
  <c r="K151" i="6"/>
  <c r="L151" i="6" s="1"/>
  <c r="P150" i="6"/>
  <c r="M150" i="6"/>
  <c r="K150" i="6"/>
  <c r="L150" i="6" s="1"/>
  <c r="P149" i="6"/>
  <c r="M149" i="6"/>
  <c r="K149" i="6"/>
  <c r="L149" i="6" s="1"/>
  <c r="P148" i="6"/>
  <c r="M148" i="6"/>
  <c r="K148" i="6"/>
  <c r="L148" i="6" s="1"/>
  <c r="P147" i="6"/>
  <c r="M147" i="6"/>
  <c r="K147" i="6"/>
  <c r="L147" i="6" s="1"/>
  <c r="P146" i="6"/>
  <c r="M146" i="6"/>
  <c r="K146" i="6"/>
  <c r="L146" i="6" s="1"/>
  <c r="P145" i="6"/>
  <c r="M145" i="6"/>
  <c r="K145" i="6"/>
  <c r="L145" i="6" s="1"/>
  <c r="P144" i="6"/>
  <c r="M144" i="6"/>
  <c r="K144" i="6"/>
  <c r="L144" i="6" s="1"/>
  <c r="P143" i="6"/>
  <c r="M143" i="6"/>
  <c r="K143" i="6"/>
  <c r="L143" i="6" s="1"/>
  <c r="P142" i="6"/>
  <c r="M142" i="6"/>
  <c r="K142" i="6"/>
  <c r="L142" i="6" s="1"/>
  <c r="P141" i="6"/>
  <c r="M141" i="6"/>
  <c r="K141" i="6"/>
  <c r="L141" i="6" s="1"/>
  <c r="P140" i="6"/>
  <c r="M140" i="6"/>
  <c r="K140" i="6"/>
  <c r="L140" i="6" s="1"/>
  <c r="P139" i="6"/>
  <c r="M139" i="6"/>
  <c r="K139" i="6"/>
  <c r="L139" i="6" s="1"/>
  <c r="P138" i="6"/>
  <c r="M138" i="6"/>
  <c r="K138" i="6"/>
  <c r="L138" i="6" s="1"/>
  <c r="P137" i="6"/>
  <c r="M137" i="6"/>
  <c r="K137" i="6"/>
  <c r="L137" i="6" s="1"/>
  <c r="P136" i="6"/>
  <c r="M136" i="6"/>
  <c r="K136" i="6"/>
  <c r="L136" i="6" s="1"/>
  <c r="P135" i="6"/>
  <c r="M135" i="6"/>
  <c r="K135" i="6"/>
  <c r="L135" i="6" s="1"/>
  <c r="P134" i="6"/>
  <c r="M134" i="6"/>
  <c r="K134" i="6"/>
  <c r="L134" i="6" s="1"/>
  <c r="P133" i="6"/>
  <c r="M133" i="6"/>
  <c r="K133" i="6"/>
  <c r="L133" i="6" s="1"/>
  <c r="P132" i="6"/>
  <c r="M132" i="6"/>
  <c r="K132" i="6"/>
  <c r="L132" i="6" s="1"/>
  <c r="P131" i="6"/>
  <c r="M131" i="6"/>
  <c r="K131" i="6"/>
  <c r="L131" i="6" s="1"/>
  <c r="P130" i="6"/>
  <c r="M130" i="6"/>
  <c r="K130" i="6"/>
  <c r="L130" i="6" s="1"/>
  <c r="P129" i="6"/>
  <c r="M129" i="6"/>
  <c r="K129" i="6"/>
  <c r="L129" i="6" s="1"/>
  <c r="P128" i="6"/>
  <c r="M128" i="6"/>
  <c r="K128" i="6"/>
  <c r="L128" i="6" s="1"/>
  <c r="P127" i="6"/>
  <c r="M127" i="6"/>
  <c r="K127" i="6"/>
  <c r="L127" i="6" s="1"/>
  <c r="P126" i="6"/>
  <c r="M126" i="6"/>
  <c r="K126" i="6"/>
  <c r="L126" i="6" s="1"/>
  <c r="P125" i="6"/>
  <c r="M125" i="6"/>
  <c r="K125" i="6"/>
  <c r="L125" i="6" s="1"/>
  <c r="P124" i="6"/>
  <c r="M124" i="6"/>
  <c r="K124" i="6"/>
  <c r="L124" i="6" s="1"/>
  <c r="P123" i="6"/>
  <c r="M123" i="6"/>
  <c r="K123" i="6"/>
  <c r="L123" i="6" s="1"/>
  <c r="P122" i="6"/>
  <c r="M122" i="6"/>
  <c r="K122" i="6"/>
  <c r="L122" i="6" s="1"/>
  <c r="P121" i="6"/>
  <c r="M121" i="6"/>
  <c r="K121" i="6"/>
  <c r="L121" i="6" s="1"/>
  <c r="P120" i="6"/>
  <c r="M120" i="6"/>
  <c r="K120" i="6"/>
  <c r="L120" i="6" s="1"/>
  <c r="P119" i="6"/>
  <c r="M119" i="6"/>
  <c r="K119" i="6"/>
  <c r="L119" i="6" s="1"/>
  <c r="P118" i="6"/>
  <c r="M118" i="6"/>
  <c r="K118" i="6"/>
  <c r="L118" i="6" s="1"/>
  <c r="P117" i="6"/>
  <c r="M117" i="6"/>
  <c r="K117" i="6"/>
  <c r="L117" i="6" s="1"/>
  <c r="P116" i="6"/>
  <c r="M116" i="6"/>
  <c r="K116" i="6"/>
  <c r="L116" i="6" s="1"/>
  <c r="P115" i="6"/>
  <c r="M115" i="6"/>
  <c r="K115" i="6"/>
  <c r="L115" i="6" s="1"/>
  <c r="P114" i="6"/>
  <c r="M114" i="6"/>
  <c r="K114" i="6"/>
  <c r="L114" i="6" s="1"/>
  <c r="P113" i="6"/>
  <c r="M113" i="6"/>
  <c r="K113" i="6"/>
  <c r="L113" i="6" s="1"/>
  <c r="P112" i="6"/>
  <c r="M112" i="6"/>
  <c r="K112" i="6"/>
  <c r="L112" i="6" s="1"/>
  <c r="P111" i="6"/>
  <c r="M111" i="6"/>
  <c r="K111" i="6"/>
  <c r="L111" i="6" s="1"/>
  <c r="P110" i="6"/>
  <c r="M110" i="6"/>
  <c r="K110" i="6"/>
  <c r="L110" i="6" s="1"/>
  <c r="P109" i="6"/>
  <c r="M109" i="6"/>
  <c r="K109" i="6"/>
  <c r="L109" i="6" s="1"/>
  <c r="P108" i="6"/>
  <c r="M108" i="6"/>
  <c r="K108" i="6"/>
  <c r="L108" i="6" s="1"/>
  <c r="P107" i="6"/>
  <c r="M107" i="6"/>
  <c r="K107" i="6"/>
  <c r="L107" i="6" s="1"/>
  <c r="P106" i="6"/>
  <c r="M106" i="6"/>
  <c r="K106" i="6"/>
  <c r="L106" i="6" s="1"/>
  <c r="P105" i="6"/>
  <c r="M105" i="6"/>
  <c r="K105" i="6"/>
  <c r="L105" i="6" s="1"/>
  <c r="P104" i="6"/>
  <c r="M104" i="6"/>
  <c r="K104" i="6"/>
  <c r="L104" i="6" s="1"/>
  <c r="P103" i="6"/>
  <c r="M103" i="6"/>
  <c r="K103" i="6"/>
  <c r="L103" i="6" s="1"/>
  <c r="P102" i="6"/>
  <c r="M102" i="6"/>
  <c r="K102" i="6"/>
  <c r="L102" i="6" s="1"/>
  <c r="P101" i="6"/>
  <c r="M101" i="6"/>
  <c r="K101" i="6"/>
  <c r="L101" i="6" s="1"/>
  <c r="P100" i="6"/>
  <c r="M100" i="6"/>
  <c r="K100" i="6"/>
  <c r="L100" i="6" s="1"/>
  <c r="P99" i="6"/>
  <c r="M99" i="6"/>
  <c r="K99" i="6"/>
  <c r="L99" i="6" s="1"/>
  <c r="P98" i="6"/>
  <c r="M98" i="6"/>
  <c r="K98" i="6"/>
  <c r="L98" i="6" s="1"/>
  <c r="P97" i="6"/>
  <c r="M97" i="6"/>
  <c r="K97" i="6"/>
  <c r="L97" i="6" s="1"/>
  <c r="P96" i="6"/>
  <c r="M96" i="6"/>
  <c r="K96" i="6"/>
  <c r="L96" i="6" s="1"/>
  <c r="P95" i="6"/>
  <c r="M95" i="6"/>
  <c r="K95" i="6"/>
  <c r="L95" i="6" s="1"/>
  <c r="P94" i="6"/>
  <c r="M94" i="6"/>
  <c r="K94" i="6"/>
  <c r="L94" i="6" s="1"/>
  <c r="P93" i="6"/>
  <c r="M93" i="6"/>
  <c r="K93" i="6"/>
  <c r="L93" i="6" s="1"/>
  <c r="P92" i="6"/>
  <c r="M92" i="6"/>
  <c r="K92" i="6"/>
  <c r="L92" i="6" s="1"/>
  <c r="P91" i="6"/>
  <c r="M91" i="6"/>
  <c r="K91" i="6"/>
  <c r="L91" i="6" s="1"/>
  <c r="P90" i="6"/>
  <c r="M90" i="6"/>
  <c r="K90" i="6"/>
  <c r="L90" i="6" s="1"/>
  <c r="P89" i="6"/>
  <c r="M89" i="6"/>
  <c r="K89" i="6"/>
  <c r="L89" i="6" s="1"/>
  <c r="P88" i="6"/>
  <c r="M88" i="6"/>
  <c r="K88" i="6"/>
  <c r="L88" i="6" s="1"/>
  <c r="P87" i="6"/>
  <c r="M87" i="6"/>
  <c r="K87" i="6"/>
  <c r="L87" i="6" s="1"/>
  <c r="P86" i="6"/>
  <c r="M86" i="6"/>
  <c r="K86" i="6"/>
  <c r="L86" i="6" s="1"/>
  <c r="P85" i="6"/>
  <c r="M85" i="6"/>
  <c r="K85" i="6"/>
  <c r="L85" i="6" s="1"/>
  <c r="P84" i="6"/>
  <c r="M84" i="6"/>
  <c r="K84" i="6"/>
  <c r="L84" i="6" s="1"/>
  <c r="P83" i="6"/>
  <c r="M83" i="6"/>
  <c r="K83" i="6"/>
  <c r="L83" i="6" s="1"/>
  <c r="P82" i="6"/>
  <c r="M82" i="6"/>
  <c r="K82" i="6"/>
  <c r="L82" i="6" s="1"/>
  <c r="P81" i="6"/>
  <c r="M81" i="6"/>
  <c r="K81" i="6"/>
  <c r="L81" i="6" s="1"/>
  <c r="P80" i="6"/>
  <c r="M80" i="6"/>
  <c r="K80" i="6"/>
  <c r="L80" i="6" s="1"/>
  <c r="P79" i="6"/>
  <c r="M79" i="6"/>
  <c r="K79" i="6"/>
  <c r="L79" i="6" s="1"/>
  <c r="P78" i="6"/>
  <c r="M78" i="6"/>
  <c r="K78" i="6"/>
  <c r="L78" i="6" s="1"/>
  <c r="P77" i="6"/>
  <c r="M77" i="6"/>
  <c r="K77" i="6"/>
  <c r="L77" i="6" s="1"/>
  <c r="P76" i="6"/>
  <c r="M76" i="6"/>
  <c r="K76" i="6"/>
  <c r="L76" i="6" s="1"/>
  <c r="P75" i="6"/>
  <c r="M75" i="6"/>
  <c r="K75" i="6"/>
  <c r="L75" i="6" s="1"/>
  <c r="P74" i="6"/>
  <c r="M74" i="6"/>
  <c r="K74" i="6"/>
  <c r="L74" i="6" s="1"/>
  <c r="P73" i="6"/>
  <c r="M73" i="6"/>
  <c r="K73" i="6"/>
  <c r="L73" i="6" s="1"/>
  <c r="P72" i="6"/>
  <c r="M72" i="6"/>
  <c r="K72" i="6"/>
  <c r="L72" i="6" s="1"/>
  <c r="P71" i="6"/>
  <c r="M71" i="6"/>
  <c r="K71" i="6"/>
  <c r="L71" i="6" s="1"/>
  <c r="P70" i="6"/>
  <c r="M70" i="6"/>
  <c r="K70" i="6"/>
  <c r="L70" i="6" s="1"/>
  <c r="P69" i="6"/>
  <c r="M69" i="6"/>
  <c r="K69" i="6"/>
  <c r="L69" i="6" s="1"/>
  <c r="P68" i="6"/>
  <c r="M68" i="6"/>
  <c r="K68" i="6"/>
  <c r="L68" i="6" s="1"/>
  <c r="P67" i="6"/>
  <c r="M67" i="6"/>
  <c r="K67" i="6"/>
  <c r="L67" i="6" s="1"/>
  <c r="P66" i="6"/>
  <c r="M66" i="6"/>
  <c r="K66" i="6"/>
  <c r="L66" i="6" s="1"/>
  <c r="P65" i="6"/>
  <c r="M65" i="6"/>
  <c r="K65" i="6"/>
  <c r="L65" i="6" s="1"/>
  <c r="P64" i="6"/>
  <c r="M64" i="6"/>
  <c r="K64" i="6"/>
  <c r="L64" i="6" s="1"/>
  <c r="P63" i="6"/>
  <c r="M63" i="6"/>
  <c r="K63" i="6"/>
  <c r="L63" i="6" s="1"/>
  <c r="P62" i="6"/>
  <c r="M62" i="6"/>
  <c r="K62" i="6"/>
  <c r="L62" i="6" s="1"/>
  <c r="P61" i="6"/>
  <c r="M61" i="6"/>
  <c r="K61" i="6"/>
  <c r="L61" i="6" s="1"/>
  <c r="P60" i="6"/>
  <c r="M60" i="6"/>
  <c r="K60" i="6"/>
  <c r="L60" i="6" s="1"/>
  <c r="P59" i="6"/>
  <c r="M59" i="6"/>
  <c r="K59" i="6"/>
  <c r="L59" i="6" s="1"/>
  <c r="P58" i="6"/>
  <c r="M58" i="6"/>
  <c r="K58" i="6"/>
  <c r="L58" i="6" s="1"/>
  <c r="P57" i="6"/>
  <c r="M57" i="6"/>
  <c r="K57" i="6"/>
  <c r="L57" i="6" s="1"/>
  <c r="P56" i="6"/>
  <c r="M56" i="6"/>
  <c r="K56" i="6"/>
  <c r="L56" i="6" s="1"/>
  <c r="P55" i="6"/>
  <c r="M55" i="6"/>
  <c r="K55" i="6"/>
  <c r="L55" i="6" s="1"/>
  <c r="P54" i="6"/>
  <c r="M54" i="6"/>
  <c r="K54" i="6"/>
  <c r="L54" i="6" s="1"/>
  <c r="P53" i="6"/>
  <c r="M53" i="6"/>
  <c r="K53" i="6"/>
  <c r="L53" i="6" s="1"/>
  <c r="P52" i="6"/>
  <c r="M52" i="6"/>
  <c r="K52" i="6"/>
  <c r="L52" i="6" s="1"/>
  <c r="P51" i="6"/>
  <c r="M51" i="6"/>
  <c r="K51" i="6"/>
  <c r="L51" i="6" s="1"/>
  <c r="P50" i="6"/>
  <c r="M50" i="6"/>
  <c r="K50" i="6"/>
  <c r="L50" i="6" s="1"/>
  <c r="P49" i="6"/>
  <c r="M49" i="6"/>
  <c r="K49" i="6"/>
  <c r="L49" i="6" s="1"/>
  <c r="P48" i="6"/>
  <c r="M48" i="6"/>
  <c r="K48" i="6"/>
  <c r="L48" i="6" s="1"/>
  <c r="P47" i="6"/>
  <c r="M47" i="6"/>
  <c r="K47" i="6"/>
  <c r="L47" i="6" s="1"/>
  <c r="P46" i="6"/>
  <c r="M46" i="6"/>
  <c r="K46" i="6"/>
  <c r="L46" i="6" s="1"/>
  <c r="P45" i="6"/>
  <c r="M45" i="6"/>
  <c r="K45" i="6"/>
  <c r="L45" i="6" s="1"/>
  <c r="P44" i="6"/>
  <c r="M44" i="6"/>
  <c r="K44" i="6"/>
  <c r="L44" i="6" s="1"/>
  <c r="P43" i="6"/>
  <c r="M43" i="6"/>
  <c r="K43" i="6"/>
  <c r="L43" i="6" s="1"/>
  <c r="P42" i="6"/>
  <c r="M42" i="6"/>
  <c r="K42" i="6"/>
  <c r="L42" i="6" s="1"/>
  <c r="P41" i="6"/>
  <c r="M41" i="6"/>
  <c r="K41" i="6"/>
  <c r="L41" i="6" s="1"/>
  <c r="P40" i="6"/>
  <c r="M40" i="6"/>
  <c r="K40" i="6"/>
  <c r="L40" i="6" s="1"/>
  <c r="P39" i="6"/>
  <c r="M39" i="6"/>
  <c r="K39" i="6"/>
  <c r="L39" i="6" s="1"/>
  <c r="P38" i="6"/>
  <c r="M38" i="6"/>
  <c r="K38" i="6"/>
  <c r="L38" i="6" s="1"/>
  <c r="P37" i="6"/>
  <c r="M37" i="6"/>
  <c r="K37" i="6"/>
  <c r="L37" i="6" s="1"/>
  <c r="P36" i="6"/>
  <c r="M36" i="6"/>
  <c r="K36" i="6"/>
  <c r="L36" i="6" s="1"/>
  <c r="P35" i="6"/>
  <c r="M35" i="6"/>
  <c r="K35" i="6"/>
  <c r="L35" i="6" s="1"/>
  <c r="P34" i="6"/>
  <c r="M34" i="6"/>
  <c r="K34" i="6"/>
  <c r="L34" i="6" s="1"/>
  <c r="P33" i="6"/>
  <c r="M33" i="6"/>
  <c r="K33" i="6"/>
  <c r="L33" i="6" s="1"/>
  <c r="P32" i="6"/>
  <c r="M32" i="6"/>
  <c r="K32" i="6"/>
  <c r="L32" i="6" s="1"/>
  <c r="P31" i="6"/>
  <c r="M31" i="6"/>
  <c r="K31" i="6"/>
  <c r="L31" i="6" s="1"/>
  <c r="P30" i="6"/>
  <c r="M30" i="6"/>
  <c r="K30" i="6"/>
  <c r="L30" i="6" s="1"/>
  <c r="P29" i="6"/>
  <c r="M29" i="6"/>
  <c r="K29" i="6"/>
  <c r="L29" i="6" s="1"/>
  <c r="P28" i="6"/>
  <c r="M28" i="6"/>
  <c r="K28" i="6"/>
  <c r="L28" i="6" s="1"/>
  <c r="P27" i="6"/>
  <c r="M27" i="6"/>
  <c r="K27" i="6"/>
  <c r="L27" i="6" s="1"/>
  <c r="P26" i="6"/>
  <c r="M26" i="6"/>
  <c r="K26" i="6"/>
  <c r="L26" i="6" s="1"/>
  <c r="P25" i="6"/>
  <c r="M25" i="6"/>
  <c r="K25" i="6"/>
  <c r="L25" i="6" s="1"/>
  <c r="P24" i="6"/>
  <c r="M24" i="6"/>
  <c r="K24" i="6"/>
  <c r="L24" i="6" s="1"/>
  <c r="P23" i="6"/>
  <c r="M23" i="6"/>
  <c r="K23" i="6"/>
  <c r="L23" i="6" s="1"/>
  <c r="P22" i="6"/>
  <c r="M22" i="6"/>
  <c r="K22" i="6"/>
  <c r="L22" i="6" s="1"/>
  <c r="P21" i="6"/>
  <c r="M21" i="6"/>
  <c r="K21" i="6"/>
  <c r="L21" i="6" s="1"/>
  <c r="P20" i="6"/>
  <c r="M20" i="6"/>
  <c r="K20" i="6"/>
  <c r="L20" i="6" s="1"/>
  <c r="P19" i="6"/>
  <c r="M19" i="6"/>
  <c r="K19" i="6"/>
  <c r="L19" i="6" s="1"/>
  <c r="P18" i="6"/>
  <c r="M18" i="6"/>
  <c r="K18" i="6"/>
  <c r="L18" i="6" s="1"/>
  <c r="P17" i="6"/>
  <c r="M17" i="6"/>
  <c r="K17" i="6"/>
  <c r="L17" i="6" s="1"/>
  <c r="P16" i="6"/>
  <c r="M16" i="6"/>
  <c r="K16" i="6"/>
  <c r="L16" i="6" s="1"/>
  <c r="P15" i="6"/>
  <c r="M15" i="6"/>
  <c r="K15" i="6"/>
  <c r="L15" i="6" s="1"/>
  <c r="P14" i="6"/>
  <c r="M14" i="6"/>
  <c r="K14" i="6"/>
  <c r="L14" i="6" s="1"/>
  <c r="P13" i="6"/>
  <c r="M13" i="6"/>
  <c r="K13" i="6"/>
  <c r="L13" i="6" s="1"/>
  <c r="P12" i="6"/>
  <c r="M12" i="6"/>
  <c r="K12" i="6"/>
  <c r="L12" i="6" s="1"/>
  <c r="P11" i="6"/>
  <c r="M11" i="6"/>
  <c r="K11" i="6"/>
  <c r="L11" i="6" s="1"/>
  <c r="P10" i="6"/>
  <c r="M10" i="6"/>
  <c r="K10" i="6"/>
  <c r="L10" i="6" s="1"/>
  <c r="P9" i="6"/>
  <c r="M9" i="6"/>
  <c r="K9" i="6"/>
  <c r="L9" i="6" s="1"/>
  <c r="P8" i="6"/>
  <c r="M8" i="6"/>
  <c r="K8" i="6"/>
  <c r="L8" i="6" s="1"/>
  <c r="P7" i="6"/>
  <c r="M7" i="6"/>
  <c r="K7" i="6"/>
  <c r="L7" i="6" s="1"/>
  <c r="P6" i="6"/>
  <c r="M6" i="6"/>
  <c r="K6" i="6"/>
  <c r="L6" i="6" s="1"/>
  <c r="P5" i="6"/>
  <c r="M5" i="6"/>
  <c r="K5" i="6"/>
  <c r="L5" i="6" s="1"/>
  <c r="P4" i="6"/>
  <c r="M4" i="6"/>
  <c r="K4" i="6"/>
  <c r="L4" i="6" s="1"/>
  <c r="P3" i="6"/>
  <c r="M3" i="6"/>
  <c r="K3" i="6"/>
  <c r="L3" i="6" s="1"/>
  <c r="P2" i="6"/>
  <c r="M2" i="6"/>
  <c r="K2" i="6"/>
  <c r="L2" i="6" s="1"/>
  <c r="M1466" i="2"/>
  <c r="M1465" i="2"/>
  <c r="M1464" i="2"/>
  <c r="M1463" i="2"/>
  <c r="M1462" i="2"/>
  <c r="M1461" i="2"/>
  <c r="M1460" i="2"/>
  <c r="M1459" i="2"/>
  <c r="M1458" i="2"/>
  <c r="M1457" i="2"/>
  <c r="M1456" i="2"/>
  <c r="M1455" i="2"/>
  <c r="M1454" i="2"/>
  <c r="M1453" i="2"/>
  <c r="M1452" i="2"/>
  <c r="M1451" i="2"/>
  <c r="M1450" i="2"/>
  <c r="M1449" i="2"/>
  <c r="M1448" i="2"/>
  <c r="M1447" i="2"/>
  <c r="M1446" i="2"/>
  <c r="M1445" i="2"/>
  <c r="M1444" i="2"/>
  <c r="M1443" i="2"/>
  <c r="M1442" i="2"/>
  <c r="M1441" i="2"/>
  <c r="M1440" i="2"/>
  <c r="M1439" i="2"/>
  <c r="M1438" i="2"/>
  <c r="M1437" i="2"/>
  <c r="M1436" i="2"/>
  <c r="M1435" i="2"/>
  <c r="M1434" i="2"/>
  <c r="M1433" i="2"/>
  <c r="M1432" i="2"/>
  <c r="M1431" i="2"/>
  <c r="M1430" i="2"/>
  <c r="M1429" i="2"/>
  <c r="M1428" i="2"/>
  <c r="M1427" i="2"/>
  <c r="M1426" i="2"/>
  <c r="M1425" i="2"/>
  <c r="M1424" i="2"/>
  <c r="M1423" i="2"/>
  <c r="M1422" i="2"/>
  <c r="M1421" i="2"/>
  <c r="M1420" i="2"/>
  <c r="M1419" i="2"/>
  <c r="M1418" i="2"/>
  <c r="M1417" i="2"/>
  <c r="M1416" i="2"/>
  <c r="M1415" i="2"/>
  <c r="M1414" i="2"/>
  <c r="M1413" i="2"/>
  <c r="M1412" i="2"/>
  <c r="M1411" i="2"/>
  <c r="M1410" i="2"/>
  <c r="M1409" i="2"/>
  <c r="M1408" i="2"/>
  <c r="M1407" i="2"/>
  <c r="M1406" i="2"/>
  <c r="M1405" i="2"/>
  <c r="M1404" i="2"/>
  <c r="M1403" i="2"/>
  <c r="M1402" i="2"/>
  <c r="M1401" i="2"/>
  <c r="M1400" i="2"/>
  <c r="M1399" i="2"/>
  <c r="M1398" i="2"/>
  <c r="M1397" i="2"/>
  <c r="M1396" i="2"/>
  <c r="M1395" i="2"/>
  <c r="M1394" i="2"/>
  <c r="M1393" i="2"/>
  <c r="M1392" i="2"/>
  <c r="M1391" i="2"/>
  <c r="M1390" i="2"/>
  <c r="M1389" i="2"/>
  <c r="M1388" i="2"/>
  <c r="M1387" i="2"/>
  <c r="M1386" i="2"/>
  <c r="M1385" i="2"/>
  <c r="M1384" i="2"/>
  <c r="M1383" i="2"/>
  <c r="M1382" i="2"/>
  <c r="M1381" i="2"/>
  <c r="M1380" i="2"/>
  <c r="M1379" i="2"/>
  <c r="M1378" i="2"/>
  <c r="M1377" i="2"/>
  <c r="M1376" i="2"/>
  <c r="M1375" i="2"/>
  <c r="M1374" i="2"/>
  <c r="M1373" i="2"/>
  <c r="M1372" i="2"/>
  <c r="M1371" i="2"/>
  <c r="M1370" i="2"/>
  <c r="M1369" i="2"/>
  <c r="M1368" i="2"/>
  <c r="M1367" i="2"/>
  <c r="M1366" i="2"/>
  <c r="M1365" i="2"/>
  <c r="M1364" i="2"/>
  <c r="M1363" i="2"/>
  <c r="M1362" i="2"/>
  <c r="M1361" i="2"/>
  <c r="M1360" i="2"/>
  <c r="M1359" i="2"/>
  <c r="M1358" i="2"/>
  <c r="M1357" i="2"/>
  <c r="M1356" i="2"/>
  <c r="M1355" i="2"/>
  <c r="M1354" i="2"/>
  <c r="M1353" i="2"/>
  <c r="M1352" i="2"/>
  <c r="M1351" i="2"/>
  <c r="M1350" i="2"/>
  <c r="M1349" i="2"/>
  <c r="M1348" i="2"/>
  <c r="M1347" i="2"/>
  <c r="M1346" i="2"/>
  <c r="M1345" i="2"/>
  <c r="M1344" i="2"/>
  <c r="M1343" i="2"/>
  <c r="M1342" i="2"/>
  <c r="M1341" i="2"/>
  <c r="M1340" i="2"/>
  <c r="M1339" i="2"/>
  <c r="M1338" i="2"/>
  <c r="M1337" i="2"/>
  <c r="M1336" i="2"/>
  <c r="M1335" i="2"/>
  <c r="M1334" i="2"/>
  <c r="M1333" i="2"/>
  <c r="M1332" i="2"/>
  <c r="M1331" i="2"/>
  <c r="M1330" i="2"/>
  <c r="M1329" i="2"/>
  <c r="M1328" i="2"/>
  <c r="M1327" i="2"/>
  <c r="M1326" i="2"/>
  <c r="M1325" i="2"/>
  <c r="M1324" i="2"/>
  <c r="M1323" i="2"/>
  <c r="M1322" i="2"/>
  <c r="M1321" i="2"/>
  <c r="M1320" i="2"/>
  <c r="M1319" i="2"/>
  <c r="M1318" i="2"/>
  <c r="M1317" i="2"/>
  <c r="M1316" i="2"/>
  <c r="M1315" i="2"/>
  <c r="M1314" i="2"/>
  <c r="M1313" i="2"/>
  <c r="M1312" i="2"/>
  <c r="M1311" i="2"/>
  <c r="M1310" i="2"/>
  <c r="M1309" i="2"/>
  <c r="M1308" i="2"/>
  <c r="M1307" i="2"/>
  <c r="M1306" i="2"/>
  <c r="M1305" i="2"/>
  <c r="M1304" i="2"/>
  <c r="M1303" i="2"/>
  <c r="M1302" i="2"/>
  <c r="M1301" i="2"/>
  <c r="M1300" i="2"/>
  <c r="M1299" i="2"/>
  <c r="M1298" i="2"/>
  <c r="M1297" i="2"/>
  <c r="M1296" i="2"/>
  <c r="M1295" i="2"/>
  <c r="M1294" i="2"/>
  <c r="M1293" i="2"/>
  <c r="M1292" i="2"/>
  <c r="M1291" i="2"/>
  <c r="M1290" i="2"/>
  <c r="M1289" i="2"/>
  <c r="M1288" i="2"/>
  <c r="M1287" i="2"/>
  <c r="M1286" i="2"/>
  <c r="M1285" i="2"/>
  <c r="M1284" i="2"/>
  <c r="M1283" i="2"/>
  <c r="M1282" i="2"/>
  <c r="M1281" i="2"/>
  <c r="M1280" i="2"/>
  <c r="M1279" i="2"/>
  <c r="M1278" i="2"/>
  <c r="M1277" i="2"/>
  <c r="M1276" i="2"/>
  <c r="M1275" i="2"/>
  <c r="M1274" i="2"/>
  <c r="M1273" i="2"/>
  <c r="M1272" i="2"/>
  <c r="M1271" i="2"/>
  <c r="M1270" i="2"/>
  <c r="M1269" i="2"/>
  <c r="M1268" i="2"/>
  <c r="M1267" i="2"/>
  <c r="M1266" i="2"/>
  <c r="M1265" i="2"/>
  <c r="M1264" i="2"/>
  <c r="M1263" i="2"/>
  <c r="M1262" i="2"/>
  <c r="M1261" i="2"/>
  <c r="M1260" i="2"/>
  <c r="M1259" i="2"/>
  <c r="M1258" i="2"/>
  <c r="M1257" i="2"/>
  <c r="M1256" i="2"/>
  <c r="M1255" i="2"/>
  <c r="M1254" i="2"/>
  <c r="M1253" i="2"/>
  <c r="M1252" i="2"/>
  <c r="M1251" i="2"/>
  <c r="M1250" i="2"/>
  <c r="M1249" i="2"/>
  <c r="M1248" i="2"/>
  <c r="M1247" i="2"/>
  <c r="M1246" i="2"/>
  <c r="M1245" i="2"/>
  <c r="M1244" i="2"/>
  <c r="M1243" i="2"/>
  <c r="M1242" i="2"/>
  <c r="M1241" i="2"/>
  <c r="M1240" i="2"/>
  <c r="M1239" i="2"/>
  <c r="M1238" i="2"/>
  <c r="M1237" i="2"/>
  <c r="M1236" i="2"/>
  <c r="M1235" i="2"/>
  <c r="M1234" i="2"/>
  <c r="M1233" i="2"/>
  <c r="M1232" i="2"/>
  <c r="M1231" i="2"/>
  <c r="M1230" i="2"/>
  <c r="M1229" i="2"/>
  <c r="M1228" i="2"/>
  <c r="M1227" i="2"/>
  <c r="M1226" i="2"/>
  <c r="M1225" i="2"/>
  <c r="M1224" i="2"/>
  <c r="M1223" i="2"/>
  <c r="M1222" i="2"/>
  <c r="M1221" i="2"/>
  <c r="M1220" i="2"/>
  <c r="M1219" i="2"/>
  <c r="M1218" i="2"/>
  <c r="M1217" i="2"/>
  <c r="M1216" i="2"/>
  <c r="M1215" i="2"/>
  <c r="M1214" i="2"/>
  <c r="M1213" i="2"/>
  <c r="M1212" i="2"/>
  <c r="M1211" i="2"/>
  <c r="M1210" i="2"/>
  <c r="M1209" i="2"/>
  <c r="M1208" i="2"/>
  <c r="M1207" i="2"/>
  <c r="M1206" i="2"/>
  <c r="M1205" i="2"/>
  <c r="M1204" i="2"/>
  <c r="M1203" i="2"/>
  <c r="M1202" i="2"/>
  <c r="M1201" i="2"/>
  <c r="M1200" i="2"/>
  <c r="M1199" i="2"/>
  <c r="M1198" i="2"/>
  <c r="M1197" i="2"/>
  <c r="M1196" i="2"/>
  <c r="M1195" i="2"/>
  <c r="M1194" i="2"/>
  <c r="M1193" i="2"/>
  <c r="M1192" i="2"/>
  <c r="M1191" i="2"/>
  <c r="M1190" i="2"/>
  <c r="M1189" i="2"/>
  <c r="M1188" i="2"/>
  <c r="M1187" i="2"/>
  <c r="M1186" i="2"/>
  <c r="M1185" i="2"/>
  <c r="M1184" i="2"/>
  <c r="M1183" i="2"/>
  <c r="M1182" i="2"/>
  <c r="M1181" i="2"/>
  <c r="M1180" i="2"/>
  <c r="M1179" i="2"/>
  <c r="M1178" i="2"/>
  <c r="M1177" i="2"/>
  <c r="M1176" i="2"/>
  <c r="M1175" i="2"/>
  <c r="M1174" i="2"/>
  <c r="M1173" i="2"/>
  <c r="M1172" i="2"/>
  <c r="M1171" i="2"/>
  <c r="M1170" i="2"/>
  <c r="M1169" i="2"/>
  <c r="M1168" i="2"/>
  <c r="M1167" i="2"/>
  <c r="M1166" i="2"/>
  <c r="M1165" i="2"/>
  <c r="M1164" i="2"/>
  <c r="M1163" i="2"/>
  <c r="M1162" i="2"/>
  <c r="M1161" i="2"/>
  <c r="M1160" i="2"/>
  <c r="M1159" i="2"/>
  <c r="M1158" i="2"/>
  <c r="M1157" i="2"/>
  <c r="M1156" i="2"/>
  <c r="M1155" i="2"/>
  <c r="M1154" i="2"/>
  <c r="M1153" i="2"/>
  <c r="M1152" i="2"/>
  <c r="M1151" i="2"/>
  <c r="M1150" i="2"/>
  <c r="M1149" i="2"/>
  <c r="M1148" i="2"/>
  <c r="M1147" i="2"/>
  <c r="M1146" i="2"/>
  <c r="M1145" i="2"/>
  <c r="M1144" i="2"/>
  <c r="M1143" i="2"/>
  <c r="M1142" i="2"/>
  <c r="M1141" i="2"/>
  <c r="M1140" i="2"/>
  <c r="M1139" i="2"/>
  <c r="M1138" i="2"/>
  <c r="M1137" i="2"/>
  <c r="M1136" i="2"/>
  <c r="M1135" i="2"/>
  <c r="M1134" i="2"/>
  <c r="M1133" i="2"/>
  <c r="M1132" i="2"/>
  <c r="M1131" i="2"/>
  <c r="M1130" i="2"/>
  <c r="M1129" i="2"/>
  <c r="M1128" i="2"/>
  <c r="M1127" i="2"/>
  <c r="M1126" i="2"/>
  <c r="M1125" i="2"/>
  <c r="M1124" i="2"/>
  <c r="M1123" i="2"/>
  <c r="M1122" i="2"/>
  <c r="M1121" i="2"/>
  <c r="M1120" i="2"/>
  <c r="M1119" i="2"/>
  <c r="M1118" i="2"/>
  <c r="M1117" i="2"/>
  <c r="M1116" i="2"/>
  <c r="M1115" i="2"/>
  <c r="M1114" i="2"/>
  <c r="M1113" i="2"/>
  <c r="M1112" i="2"/>
  <c r="M1111" i="2"/>
  <c r="M1110" i="2"/>
  <c r="M1109" i="2"/>
  <c r="M1108" i="2"/>
  <c r="M1107" i="2"/>
  <c r="M1106" i="2"/>
  <c r="M1105" i="2"/>
  <c r="M1104" i="2"/>
  <c r="M1103" i="2"/>
  <c r="M1102" i="2"/>
  <c r="M1101" i="2"/>
  <c r="M1100" i="2"/>
  <c r="M1099" i="2"/>
  <c r="M1098" i="2"/>
  <c r="M1097" i="2"/>
  <c r="M1096" i="2"/>
  <c r="M1095" i="2"/>
  <c r="M1094" i="2"/>
  <c r="M1093" i="2"/>
  <c r="M1092" i="2"/>
  <c r="M1091" i="2"/>
  <c r="M1090" i="2"/>
  <c r="M1089" i="2"/>
  <c r="M1088" i="2"/>
  <c r="M1087" i="2"/>
  <c r="M1086" i="2"/>
  <c r="M1085" i="2"/>
  <c r="M1084" i="2"/>
  <c r="M1083" i="2"/>
  <c r="M1082" i="2"/>
  <c r="M1081" i="2"/>
  <c r="M1080" i="2"/>
  <c r="M1079" i="2"/>
  <c r="M1078" i="2"/>
  <c r="M1077" i="2"/>
  <c r="M1076" i="2"/>
  <c r="M1075" i="2"/>
  <c r="M1074" i="2"/>
  <c r="M1073" i="2"/>
  <c r="M1072" i="2"/>
  <c r="M1071" i="2"/>
  <c r="M1070" i="2"/>
  <c r="M1069" i="2"/>
  <c r="M1068" i="2"/>
  <c r="M1067" i="2"/>
  <c r="M1066" i="2"/>
  <c r="M1065" i="2"/>
  <c r="M1064" i="2"/>
  <c r="M1063" i="2"/>
  <c r="M1062" i="2"/>
  <c r="M1061" i="2"/>
  <c r="M1060" i="2"/>
  <c r="M1059" i="2"/>
  <c r="M1058" i="2"/>
  <c r="M1057" i="2"/>
  <c r="M1056" i="2"/>
  <c r="M1055" i="2"/>
  <c r="M1054" i="2"/>
  <c r="M1053" i="2"/>
  <c r="M1052" i="2"/>
  <c r="M1051" i="2"/>
  <c r="M1050" i="2"/>
  <c r="M1049" i="2"/>
  <c r="M1048" i="2"/>
  <c r="M1047" i="2"/>
  <c r="M1046" i="2"/>
  <c r="M1045" i="2"/>
  <c r="M1044" i="2"/>
  <c r="M1043" i="2"/>
  <c r="M1042" i="2"/>
  <c r="M1041" i="2"/>
  <c r="M1040" i="2"/>
  <c r="M1039" i="2"/>
  <c r="M1038" i="2"/>
  <c r="M1037" i="2"/>
  <c r="M1036" i="2"/>
  <c r="M1035" i="2"/>
  <c r="M1034" i="2"/>
  <c r="M1033" i="2"/>
  <c r="M1032" i="2"/>
  <c r="M1031" i="2"/>
  <c r="M1030" i="2"/>
  <c r="M1029" i="2"/>
  <c r="M1028" i="2"/>
  <c r="M1027" i="2"/>
  <c r="M1026" i="2"/>
  <c r="M1025" i="2"/>
  <c r="M1024" i="2"/>
  <c r="M1023" i="2"/>
  <c r="M1022" i="2"/>
  <c r="M1021" i="2"/>
  <c r="M1020" i="2"/>
  <c r="M1019" i="2"/>
  <c r="M1018" i="2"/>
  <c r="M1017" i="2"/>
  <c r="M1016" i="2"/>
  <c r="M1015" i="2"/>
  <c r="M1014" i="2"/>
  <c r="M1013" i="2"/>
  <c r="M1012" i="2"/>
  <c r="M1011" i="2"/>
  <c r="M1010" i="2"/>
  <c r="M1009" i="2"/>
  <c r="M1008" i="2"/>
  <c r="M1007" i="2"/>
  <c r="M1006" i="2"/>
  <c r="M1005" i="2"/>
  <c r="M1004" i="2"/>
  <c r="M1003" i="2"/>
  <c r="M1002" i="2"/>
  <c r="M1001" i="2"/>
  <c r="M1000" i="2"/>
  <c r="M999" i="2"/>
  <c r="M998" i="2"/>
  <c r="M997" i="2"/>
  <c r="M996" i="2"/>
  <c r="M995" i="2"/>
  <c r="M994" i="2"/>
  <c r="M993" i="2"/>
  <c r="M992" i="2"/>
  <c r="M991" i="2"/>
  <c r="M990" i="2"/>
  <c r="M989" i="2"/>
  <c r="M988" i="2"/>
  <c r="M987" i="2"/>
  <c r="M986" i="2"/>
  <c r="M985" i="2"/>
  <c r="M984" i="2"/>
  <c r="M983" i="2"/>
  <c r="M982" i="2"/>
  <c r="M981" i="2"/>
  <c r="M980" i="2"/>
  <c r="M979" i="2"/>
  <c r="M978" i="2"/>
  <c r="M977" i="2"/>
  <c r="M976" i="2"/>
  <c r="M975" i="2"/>
  <c r="M974" i="2"/>
  <c r="M973" i="2"/>
  <c r="M972" i="2"/>
  <c r="M971" i="2"/>
  <c r="M970" i="2"/>
  <c r="M969" i="2"/>
  <c r="M968" i="2"/>
  <c r="M967" i="2"/>
  <c r="M966" i="2"/>
  <c r="M965" i="2"/>
  <c r="M964" i="2"/>
  <c r="M963" i="2"/>
  <c r="M962" i="2"/>
  <c r="M961" i="2"/>
  <c r="M960" i="2"/>
  <c r="M959" i="2"/>
  <c r="M958" i="2"/>
  <c r="M957" i="2"/>
  <c r="M956" i="2"/>
  <c r="M955" i="2"/>
  <c r="M954" i="2"/>
  <c r="M953" i="2"/>
  <c r="M952" i="2"/>
  <c r="M951" i="2"/>
  <c r="M950" i="2"/>
  <c r="M949" i="2"/>
  <c r="M948" i="2"/>
  <c r="M947" i="2"/>
  <c r="M946" i="2"/>
  <c r="M945" i="2"/>
  <c r="M944" i="2"/>
  <c r="M943" i="2"/>
  <c r="M942" i="2"/>
  <c r="M941" i="2"/>
  <c r="M940" i="2"/>
  <c r="M939" i="2"/>
  <c r="M938" i="2"/>
  <c r="M937" i="2"/>
  <c r="M936" i="2"/>
  <c r="M935" i="2"/>
  <c r="M934" i="2"/>
  <c r="M933" i="2"/>
  <c r="M932" i="2"/>
  <c r="M931" i="2"/>
  <c r="M930" i="2"/>
  <c r="M929" i="2"/>
  <c r="M928" i="2"/>
  <c r="M927" i="2"/>
  <c r="M926" i="2"/>
  <c r="M925" i="2"/>
  <c r="M924" i="2"/>
  <c r="M923" i="2"/>
  <c r="M922" i="2"/>
  <c r="M921" i="2"/>
  <c r="M920" i="2"/>
  <c r="M919" i="2"/>
  <c r="M918" i="2"/>
  <c r="M917" i="2"/>
  <c r="M916" i="2"/>
  <c r="M915" i="2"/>
  <c r="M914" i="2"/>
  <c r="M913" i="2"/>
  <c r="M912" i="2"/>
  <c r="M911" i="2"/>
  <c r="M910" i="2"/>
  <c r="M909" i="2"/>
  <c r="M908" i="2"/>
  <c r="M907" i="2"/>
  <c r="M906" i="2"/>
  <c r="M905" i="2"/>
  <c r="M904" i="2"/>
  <c r="M903" i="2"/>
  <c r="M902" i="2"/>
  <c r="M901" i="2"/>
  <c r="M900" i="2"/>
  <c r="M899" i="2"/>
  <c r="M898" i="2"/>
  <c r="M897" i="2"/>
  <c r="M896" i="2"/>
  <c r="M895" i="2"/>
  <c r="M894" i="2"/>
  <c r="M893" i="2"/>
  <c r="M892" i="2"/>
  <c r="M891" i="2"/>
  <c r="M890" i="2"/>
  <c r="M889" i="2"/>
  <c r="M888" i="2"/>
  <c r="M887" i="2"/>
  <c r="M886" i="2"/>
  <c r="M885" i="2"/>
  <c r="M884" i="2"/>
  <c r="M883" i="2"/>
  <c r="M882" i="2"/>
  <c r="M881" i="2"/>
  <c r="M880" i="2"/>
  <c r="M879" i="2"/>
  <c r="M878" i="2"/>
  <c r="M877" i="2"/>
  <c r="M876" i="2"/>
  <c r="M875" i="2"/>
  <c r="M874" i="2"/>
  <c r="M873" i="2"/>
  <c r="M872" i="2"/>
  <c r="M871" i="2"/>
  <c r="M870" i="2"/>
  <c r="M869" i="2"/>
  <c r="M868" i="2"/>
  <c r="M867" i="2"/>
  <c r="M866" i="2"/>
  <c r="M865" i="2"/>
  <c r="M864" i="2"/>
  <c r="M863" i="2"/>
  <c r="M862" i="2"/>
  <c r="M861" i="2"/>
  <c r="M860" i="2"/>
  <c r="M859" i="2"/>
  <c r="M858" i="2"/>
  <c r="M857" i="2"/>
  <c r="M856" i="2"/>
  <c r="M855" i="2"/>
  <c r="M854" i="2"/>
  <c r="M853" i="2"/>
  <c r="M852" i="2"/>
  <c r="M851" i="2"/>
  <c r="M850" i="2"/>
  <c r="M849" i="2"/>
  <c r="M848" i="2"/>
  <c r="M847" i="2"/>
  <c r="M846" i="2"/>
  <c r="M845" i="2"/>
  <c r="M844" i="2"/>
  <c r="M843" i="2"/>
  <c r="M842" i="2"/>
  <c r="M841" i="2"/>
  <c r="M840" i="2"/>
  <c r="M839" i="2"/>
  <c r="M838" i="2"/>
  <c r="M837" i="2"/>
  <c r="M836" i="2"/>
  <c r="M835" i="2"/>
  <c r="M834" i="2"/>
  <c r="M833" i="2"/>
  <c r="M832" i="2"/>
  <c r="M831" i="2"/>
  <c r="M830" i="2"/>
  <c r="M829" i="2"/>
  <c r="M828" i="2"/>
  <c r="M827" i="2"/>
  <c r="M826" i="2"/>
  <c r="M825" i="2"/>
  <c r="M824" i="2"/>
  <c r="M823" i="2"/>
  <c r="M822" i="2"/>
  <c r="M821" i="2"/>
  <c r="M820" i="2"/>
  <c r="M819" i="2"/>
  <c r="M818" i="2"/>
  <c r="M817" i="2"/>
  <c r="M816" i="2"/>
  <c r="M815" i="2"/>
  <c r="M814" i="2"/>
  <c r="M813" i="2"/>
  <c r="M812" i="2"/>
  <c r="M811" i="2"/>
  <c r="M810" i="2"/>
  <c r="M809" i="2"/>
  <c r="M808" i="2"/>
  <c r="M807" i="2"/>
  <c r="M806" i="2"/>
  <c r="M805" i="2"/>
  <c r="M804" i="2"/>
  <c r="M803" i="2"/>
  <c r="M802" i="2"/>
  <c r="M801" i="2"/>
  <c r="M800" i="2"/>
  <c r="M799" i="2"/>
  <c r="M798" i="2"/>
  <c r="M797" i="2"/>
  <c r="M796" i="2"/>
  <c r="M795" i="2"/>
  <c r="M794" i="2"/>
  <c r="M793" i="2"/>
  <c r="M792" i="2"/>
  <c r="M791" i="2"/>
  <c r="M790" i="2"/>
  <c r="M789" i="2"/>
  <c r="M788" i="2"/>
  <c r="M787" i="2"/>
  <c r="M786" i="2"/>
  <c r="M785" i="2"/>
  <c r="M784" i="2"/>
  <c r="M783" i="2"/>
  <c r="M782" i="2"/>
  <c r="M781" i="2"/>
  <c r="M780" i="2"/>
  <c r="M779" i="2"/>
  <c r="M778" i="2"/>
  <c r="M777" i="2"/>
  <c r="M776" i="2"/>
  <c r="M775" i="2"/>
  <c r="M774" i="2"/>
  <c r="M773" i="2"/>
  <c r="M772" i="2"/>
  <c r="M771" i="2"/>
  <c r="M770" i="2"/>
  <c r="M769" i="2"/>
  <c r="M768" i="2"/>
  <c r="M767" i="2"/>
  <c r="M766" i="2"/>
  <c r="M765" i="2"/>
  <c r="M764" i="2"/>
  <c r="M763" i="2"/>
  <c r="M762" i="2"/>
  <c r="M761" i="2"/>
  <c r="M760" i="2"/>
  <c r="M759" i="2"/>
  <c r="M758" i="2"/>
  <c r="M757" i="2"/>
  <c r="M756" i="2"/>
  <c r="M755" i="2"/>
  <c r="M754" i="2"/>
  <c r="M753" i="2"/>
  <c r="M752" i="2"/>
  <c r="M751" i="2"/>
  <c r="M750" i="2"/>
  <c r="M749" i="2"/>
  <c r="M748" i="2"/>
  <c r="M747" i="2"/>
  <c r="M746" i="2"/>
  <c r="M745" i="2"/>
  <c r="M744" i="2"/>
  <c r="M743" i="2"/>
  <c r="M742" i="2"/>
  <c r="M741" i="2"/>
  <c r="M740" i="2"/>
  <c r="M739" i="2"/>
  <c r="M738" i="2"/>
  <c r="M737" i="2"/>
  <c r="M736" i="2"/>
  <c r="M735" i="2"/>
  <c r="M734" i="2"/>
  <c r="M733" i="2"/>
  <c r="M732" i="2"/>
  <c r="M731" i="2"/>
  <c r="M730" i="2"/>
  <c r="M729" i="2"/>
  <c r="M728" i="2"/>
  <c r="M727" i="2"/>
  <c r="M726" i="2"/>
  <c r="M725" i="2"/>
  <c r="M724" i="2"/>
  <c r="M723" i="2"/>
  <c r="M722" i="2"/>
  <c r="M721" i="2"/>
  <c r="M720" i="2"/>
  <c r="M719" i="2"/>
  <c r="M718" i="2"/>
  <c r="M717" i="2"/>
  <c r="M716" i="2"/>
  <c r="M715" i="2"/>
  <c r="M714" i="2"/>
  <c r="M713" i="2"/>
  <c r="M712" i="2"/>
  <c r="M711" i="2"/>
  <c r="M710" i="2"/>
  <c r="M709" i="2"/>
  <c r="M708" i="2"/>
  <c r="M707" i="2"/>
  <c r="M706" i="2"/>
  <c r="M705" i="2"/>
  <c r="M704" i="2"/>
  <c r="M703" i="2"/>
  <c r="M702" i="2"/>
  <c r="M701" i="2"/>
  <c r="M700" i="2"/>
  <c r="M699" i="2"/>
  <c r="M698" i="2"/>
  <c r="M697" i="2"/>
  <c r="M696" i="2"/>
  <c r="M695" i="2"/>
  <c r="M694" i="2"/>
  <c r="M693" i="2"/>
  <c r="M692" i="2"/>
  <c r="M691" i="2"/>
  <c r="M690" i="2"/>
  <c r="M689" i="2"/>
  <c r="M688" i="2"/>
  <c r="M687" i="2"/>
  <c r="M686" i="2"/>
  <c r="M685" i="2"/>
  <c r="M684" i="2"/>
  <c r="M683" i="2"/>
  <c r="M682" i="2"/>
  <c r="M681" i="2"/>
  <c r="M680" i="2"/>
  <c r="M679" i="2"/>
  <c r="M678" i="2"/>
  <c r="M677" i="2"/>
  <c r="M676" i="2"/>
  <c r="M675" i="2"/>
  <c r="M674" i="2"/>
  <c r="M673" i="2"/>
  <c r="M672" i="2"/>
  <c r="M671" i="2"/>
  <c r="M670" i="2"/>
  <c r="M669" i="2"/>
  <c r="M668" i="2"/>
  <c r="M667" i="2"/>
  <c r="M666" i="2"/>
  <c r="M665" i="2"/>
  <c r="M664" i="2"/>
  <c r="M663" i="2"/>
  <c r="M662" i="2"/>
  <c r="M661" i="2"/>
  <c r="M660" i="2"/>
  <c r="M659" i="2"/>
  <c r="M658" i="2"/>
  <c r="M657" i="2"/>
  <c r="M656" i="2"/>
  <c r="M655" i="2"/>
  <c r="M654" i="2"/>
  <c r="M653" i="2"/>
  <c r="M652" i="2"/>
  <c r="M651" i="2"/>
  <c r="M650" i="2"/>
  <c r="M649" i="2"/>
  <c r="M648" i="2"/>
  <c r="M647" i="2"/>
  <c r="M646" i="2"/>
  <c r="M645" i="2"/>
  <c r="M644" i="2"/>
  <c r="M643" i="2"/>
  <c r="M642" i="2"/>
  <c r="M641" i="2"/>
  <c r="M640" i="2"/>
  <c r="M639" i="2"/>
  <c r="M638" i="2"/>
  <c r="M637" i="2"/>
  <c r="M636" i="2"/>
  <c r="M635" i="2"/>
  <c r="M634" i="2"/>
  <c r="M633" i="2"/>
  <c r="M632" i="2"/>
  <c r="M631" i="2"/>
  <c r="M630" i="2"/>
  <c r="M629" i="2"/>
  <c r="M628" i="2"/>
  <c r="M627" i="2"/>
  <c r="M626" i="2"/>
  <c r="M625" i="2"/>
  <c r="M624" i="2"/>
  <c r="M623" i="2"/>
  <c r="M622" i="2"/>
  <c r="M621" i="2"/>
  <c r="M620" i="2"/>
  <c r="M619" i="2"/>
  <c r="M618" i="2"/>
  <c r="M617" i="2"/>
  <c r="M616" i="2"/>
  <c r="M615" i="2"/>
  <c r="M614" i="2"/>
  <c r="M613" i="2"/>
  <c r="M612" i="2"/>
  <c r="M611" i="2"/>
  <c r="M610" i="2"/>
  <c r="M609" i="2"/>
  <c r="M608" i="2"/>
  <c r="M607" i="2"/>
  <c r="M606" i="2"/>
  <c r="M605" i="2"/>
  <c r="M604" i="2"/>
  <c r="M603" i="2"/>
  <c r="M602" i="2"/>
  <c r="M601" i="2"/>
  <c r="M600" i="2"/>
  <c r="M599" i="2"/>
  <c r="M598" i="2"/>
  <c r="M597" i="2"/>
  <c r="M596" i="2"/>
  <c r="M595" i="2"/>
  <c r="M594" i="2"/>
  <c r="M593" i="2"/>
  <c r="M592" i="2"/>
  <c r="M591" i="2"/>
  <c r="M590" i="2"/>
  <c r="M589" i="2"/>
  <c r="M588" i="2"/>
  <c r="M587" i="2"/>
  <c r="M586" i="2"/>
  <c r="M585" i="2"/>
  <c r="M584" i="2"/>
  <c r="M583" i="2"/>
  <c r="M582" i="2"/>
  <c r="M581" i="2"/>
  <c r="M580" i="2"/>
  <c r="M579" i="2"/>
  <c r="M578" i="2"/>
  <c r="M577" i="2"/>
  <c r="M576" i="2"/>
  <c r="M575" i="2"/>
  <c r="M574" i="2"/>
  <c r="M573" i="2"/>
  <c r="M572" i="2"/>
  <c r="M571" i="2"/>
  <c r="M570" i="2"/>
  <c r="M569" i="2"/>
  <c r="M568" i="2"/>
  <c r="M567" i="2"/>
  <c r="M566" i="2"/>
  <c r="M565" i="2"/>
  <c r="M564" i="2"/>
  <c r="M563" i="2"/>
  <c r="M562" i="2"/>
  <c r="M561" i="2"/>
  <c r="M560" i="2"/>
  <c r="M559" i="2"/>
  <c r="M558" i="2"/>
  <c r="M557" i="2"/>
  <c r="M556" i="2"/>
  <c r="M555" i="2"/>
  <c r="M554" i="2"/>
  <c r="M553" i="2"/>
  <c r="M552" i="2"/>
  <c r="M551" i="2"/>
  <c r="M550" i="2"/>
  <c r="M549" i="2"/>
  <c r="M548" i="2"/>
  <c r="M547" i="2"/>
  <c r="M546" i="2"/>
  <c r="M545" i="2"/>
  <c r="M544" i="2"/>
  <c r="M543" i="2"/>
  <c r="M542" i="2"/>
  <c r="M541" i="2"/>
  <c r="M540" i="2"/>
  <c r="M539" i="2"/>
  <c r="M538" i="2"/>
  <c r="M537" i="2"/>
  <c r="M536" i="2"/>
  <c r="M535" i="2"/>
  <c r="M534" i="2"/>
  <c r="M533" i="2"/>
  <c r="M532" i="2"/>
  <c r="M531" i="2"/>
  <c r="M530" i="2"/>
  <c r="M529" i="2"/>
  <c r="M528" i="2"/>
  <c r="M527" i="2"/>
  <c r="M526" i="2"/>
  <c r="M525" i="2"/>
  <c r="M524" i="2"/>
  <c r="M523" i="2"/>
  <c r="M522" i="2"/>
  <c r="M521" i="2"/>
  <c r="M520" i="2"/>
  <c r="M519" i="2"/>
  <c r="M518" i="2"/>
  <c r="M517" i="2"/>
  <c r="M516" i="2"/>
  <c r="M515" i="2"/>
  <c r="M514" i="2"/>
  <c r="M513" i="2"/>
  <c r="M512" i="2"/>
  <c r="M511" i="2"/>
  <c r="M510" i="2"/>
  <c r="M509" i="2"/>
  <c r="M508" i="2"/>
  <c r="M507" i="2"/>
  <c r="M506" i="2"/>
  <c r="M505" i="2"/>
  <c r="M504" i="2"/>
  <c r="M503" i="2"/>
  <c r="M502" i="2"/>
  <c r="M501" i="2"/>
  <c r="M500" i="2"/>
  <c r="M499" i="2"/>
  <c r="M498" i="2"/>
  <c r="M497" i="2"/>
  <c r="M496" i="2"/>
  <c r="M495" i="2"/>
  <c r="M494" i="2"/>
  <c r="M493" i="2"/>
  <c r="M492" i="2"/>
  <c r="M491" i="2"/>
  <c r="M490" i="2"/>
  <c r="M489" i="2"/>
  <c r="M488" i="2"/>
  <c r="M487" i="2"/>
  <c r="M486" i="2"/>
  <c r="M485" i="2"/>
  <c r="M484" i="2"/>
  <c r="M483" i="2"/>
  <c r="M482" i="2"/>
  <c r="M481" i="2"/>
  <c r="M480" i="2"/>
  <c r="M479" i="2"/>
  <c r="M478" i="2"/>
  <c r="M477" i="2"/>
  <c r="M476" i="2"/>
  <c r="M475" i="2"/>
  <c r="M474" i="2"/>
  <c r="M473" i="2"/>
  <c r="M472" i="2"/>
  <c r="M471" i="2"/>
  <c r="M470" i="2"/>
  <c r="M469" i="2"/>
  <c r="M468" i="2"/>
  <c r="M467" i="2"/>
  <c r="M466" i="2"/>
  <c r="M465" i="2"/>
  <c r="M464" i="2"/>
  <c r="M463" i="2"/>
  <c r="M462" i="2"/>
  <c r="M461" i="2"/>
  <c r="M460" i="2"/>
  <c r="M459" i="2"/>
  <c r="M458" i="2"/>
  <c r="M457" i="2"/>
  <c r="M456" i="2"/>
  <c r="M455" i="2"/>
  <c r="M454" i="2"/>
  <c r="M453" i="2"/>
  <c r="M452" i="2"/>
  <c r="M451" i="2"/>
  <c r="M450" i="2"/>
  <c r="M449" i="2"/>
  <c r="M448" i="2"/>
  <c r="M447" i="2"/>
  <c r="M446" i="2"/>
  <c r="M445" i="2"/>
  <c r="M444" i="2"/>
  <c r="M443" i="2"/>
  <c r="M442" i="2"/>
  <c r="M441" i="2"/>
  <c r="M440" i="2"/>
  <c r="M439" i="2"/>
  <c r="M438" i="2"/>
  <c r="M437" i="2"/>
  <c r="M436" i="2"/>
  <c r="M435" i="2"/>
  <c r="M434" i="2"/>
  <c r="M433" i="2"/>
  <c r="M432" i="2"/>
  <c r="M431" i="2"/>
  <c r="M430" i="2"/>
  <c r="M429" i="2"/>
  <c r="M428" i="2"/>
  <c r="M427" i="2"/>
  <c r="M426" i="2"/>
  <c r="M425" i="2"/>
  <c r="M424" i="2"/>
  <c r="M423" i="2"/>
  <c r="M422" i="2"/>
  <c r="M421" i="2"/>
  <c r="M420" i="2"/>
  <c r="M419" i="2"/>
  <c r="M418" i="2"/>
  <c r="M417" i="2"/>
  <c r="M416" i="2"/>
  <c r="M415" i="2"/>
  <c r="M414" i="2"/>
  <c r="M413" i="2"/>
  <c r="M412" i="2"/>
  <c r="M411" i="2"/>
  <c r="M410" i="2"/>
  <c r="M409" i="2"/>
  <c r="M408" i="2"/>
  <c r="M407" i="2"/>
  <c r="M406" i="2"/>
  <c r="M405" i="2"/>
  <c r="M404" i="2"/>
  <c r="M403" i="2"/>
  <c r="M402" i="2"/>
  <c r="M401" i="2"/>
  <c r="M400" i="2"/>
  <c r="M399" i="2"/>
  <c r="M398" i="2"/>
  <c r="M397" i="2"/>
  <c r="M396" i="2"/>
  <c r="M395" i="2"/>
  <c r="M394" i="2"/>
  <c r="M393" i="2"/>
  <c r="M392" i="2"/>
  <c r="M391" i="2"/>
  <c r="M390" i="2"/>
  <c r="M389" i="2"/>
  <c r="M388" i="2"/>
  <c r="M387" i="2"/>
  <c r="M386" i="2"/>
  <c r="M385" i="2"/>
  <c r="M384" i="2"/>
  <c r="M383" i="2"/>
  <c r="M382" i="2"/>
  <c r="M381" i="2"/>
  <c r="M380" i="2"/>
  <c r="M379" i="2"/>
  <c r="M378" i="2"/>
  <c r="M377" i="2"/>
  <c r="M376" i="2"/>
  <c r="M375" i="2"/>
  <c r="M374" i="2"/>
  <c r="M373" i="2"/>
  <c r="M372" i="2"/>
  <c r="M371" i="2"/>
  <c r="M370" i="2"/>
  <c r="M369" i="2"/>
  <c r="M368" i="2"/>
  <c r="M367" i="2"/>
  <c r="M366" i="2"/>
  <c r="M365" i="2"/>
  <c r="M364" i="2"/>
  <c r="M363" i="2"/>
  <c r="M362" i="2"/>
  <c r="M361" i="2"/>
  <c r="M360" i="2"/>
  <c r="M359" i="2"/>
  <c r="M358" i="2"/>
  <c r="M357" i="2"/>
  <c r="M356" i="2"/>
  <c r="M355" i="2"/>
  <c r="M354" i="2"/>
  <c r="M353" i="2"/>
  <c r="M352" i="2"/>
  <c r="M351" i="2"/>
  <c r="M350" i="2"/>
  <c r="M349" i="2"/>
  <c r="M348" i="2"/>
  <c r="M347" i="2"/>
  <c r="M346" i="2"/>
  <c r="M345" i="2"/>
  <c r="M344" i="2"/>
  <c r="M343" i="2"/>
  <c r="M342" i="2"/>
  <c r="M341" i="2"/>
  <c r="M340" i="2"/>
  <c r="M339" i="2"/>
  <c r="M338" i="2"/>
  <c r="M337" i="2"/>
  <c r="M336" i="2"/>
  <c r="M335" i="2"/>
  <c r="M334" i="2"/>
  <c r="M333" i="2"/>
  <c r="M332" i="2"/>
  <c r="M331" i="2"/>
  <c r="M330" i="2"/>
  <c r="M329" i="2"/>
  <c r="M328" i="2"/>
  <c r="M327" i="2"/>
  <c r="M326" i="2"/>
  <c r="M325" i="2"/>
  <c r="M324" i="2"/>
  <c r="M323" i="2"/>
  <c r="M322" i="2"/>
  <c r="M321" i="2"/>
  <c r="M320" i="2"/>
  <c r="M319" i="2"/>
  <c r="M318" i="2"/>
  <c r="M317" i="2"/>
  <c r="M316" i="2"/>
  <c r="M315" i="2"/>
  <c r="M314" i="2"/>
  <c r="M313" i="2"/>
  <c r="M312" i="2"/>
  <c r="M311" i="2"/>
  <c r="M310" i="2"/>
  <c r="M309" i="2"/>
  <c r="M308" i="2"/>
  <c r="M307" i="2"/>
  <c r="M306" i="2"/>
  <c r="M305" i="2"/>
  <c r="M304" i="2"/>
  <c r="M303" i="2"/>
  <c r="M302" i="2"/>
  <c r="M301" i="2"/>
  <c r="M300" i="2"/>
  <c r="M299" i="2"/>
  <c r="M298" i="2"/>
  <c r="M297" i="2"/>
  <c r="M296" i="2"/>
  <c r="M295" i="2"/>
  <c r="M294" i="2"/>
  <c r="M293" i="2"/>
  <c r="M292" i="2"/>
  <c r="M291" i="2"/>
  <c r="M290" i="2"/>
  <c r="M289" i="2"/>
  <c r="M288" i="2"/>
  <c r="M287" i="2"/>
  <c r="M286" i="2"/>
  <c r="M285" i="2"/>
  <c r="M284" i="2"/>
  <c r="M283" i="2"/>
  <c r="M282" i="2"/>
  <c r="M281" i="2"/>
  <c r="M280" i="2"/>
  <c r="M279" i="2"/>
  <c r="M278" i="2"/>
  <c r="M277" i="2"/>
  <c r="M276" i="2"/>
  <c r="M275" i="2"/>
  <c r="M274" i="2"/>
  <c r="M273" i="2"/>
  <c r="M272" i="2"/>
  <c r="M271" i="2"/>
  <c r="M270" i="2"/>
  <c r="M269" i="2"/>
  <c r="M268" i="2"/>
  <c r="M267" i="2"/>
  <c r="M266" i="2"/>
  <c r="M265" i="2"/>
  <c r="M264" i="2"/>
  <c r="M263" i="2"/>
  <c r="M262" i="2"/>
  <c r="M261" i="2"/>
  <c r="M260" i="2"/>
  <c r="M259" i="2"/>
  <c r="M258" i="2"/>
  <c r="M257" i="2"/>
  <c r="M256" i="2"/>
  <c r="M255" i="2"/>
  <c r="M254" i="2"/>
  <c r="M253" i="2"/>
  <c r="M252" i="2"/>
  <c r="M251" i="2"/>
  <c r="M250" i="2"/>
  <c r="M249" i="2"/>
  <c r="M248" i="2"/>
  <c r="M247" i="2"/>
  <c r="M246" i="2"/>
  <c r="M245" i="2"/>
  <c r="M244" i="2"/>
  <c r="M243" i="2"/>
  <c r="M242" i="2"/>
  <c r="M241" i="2"/>
  <c r="M240" i="2"/>
  <c r="M239" i="2"/>
  <c r="M238" i="2"/>
  <c r="M237" i="2"/>
  <c r="M236" i="2"/>
  <c r="M235" i="2"/>
  <c r="M234" i="2"/>
  <c r="M233" i="2"/>
  <c r="M232" i="2"/>
  <c r="M231" i="2"/>
  <c r="M230" i="2"/>
  <c r="M229" i="2"/>
  <c r="M228" i="2"/>
  <c r="M227" i="2"/>
  <c r="M226" i="2"/>
  <c r="M225" i="2"/>
  <c r="M224" i="2"/>
  <c r="M223" i="2"/>
  <c r="M222" i="2"/>
  <c r="M221" i="2"/>
  <c r="M220" i="2"/>
  <c r="M219" i="2"/>
  <c r="M218" i="2"/>
  <c r="M217" i="2"/>
  <c r="M216" i="2"/>
  <c r="M215" i="2"/>
  <c r="M214" i="2"/>
  <c r="M213" i="2"/>
  <c r="M212" i="2"/>
  <c r="M211" i="2"/>
  <c r="M210" i="2"/>
  <c r="M209" i="2"/>
  <c r="M208" i="2"/>
  <c r="M207" i="2"/>
  <c r="M206" i="2"/>
  <c r="M205" i="2"/>
  <c r="M204" i="2"/>
  <c r="M203" i="2"/>
  <c r="M202" i="2"/>
  <c r="M201" i="2"/>
  <c r="M200" i="2"/>
  <c r="M199" i="2"/>
  <c r="M198" i="2"/>
  <c r="M197" i="2"/>
  <c r="M196" i="2"/>
  <c r="M195" i="2"/>
  <c r="M194" i="2"/>
  <c r="M193" i="2"/>
  <c r="M192" i="2"/>
  <c r="M191" i="2"/>
  <c r="M190" i="2"/>
  <c r="M189" i="2"/>
  <c r="M188" i="2"/>
  <c r="M187" i="2"/>
  <c r="M186" i="2"/>
  <c r="M185" i="2"/>
  <c r="M184" i="2"/>
  <c r="M183" i="2"/>
  <c r="M182" i="2"/>
  <c r="M181" i="2"/>
  <c r="M180" i="2"/>
  <c r="M179" i="2"/>
  <c r="M178" i="2"/>
  <c r="M177" i="2"/>
  <c r="M176" i="2"/>
  <c r="M175" i="2"/>
  <c r="M174" i="2"/>
  <c r="M173" i="2"/>
  <c r="M172" i="2"/>
  <c r="M171" i="2"/>
  <c r="M170" i="2"/>
  <c r="M169" i="2"/>
  <c r="M168" i="2"/>
  <c r="M167" i="2"/>
  <c r="M166" i="2"/>
  <c r="M165" i="2"/>
  <c r="M164" i="2"/>
  <c r="M163" i="2"/>
  <c r="M162" i="2"/>
  <c r="M161" i="2"/>
  <c r="M160" i="2"/>
  <c r="M159" i="2"/>
  <c r="M158" i="2"/>
  <c r="M157" i="2"/>
  <c r="M156" i="2"/>
  <c r="M155" i="2"/>
  <c r="M154" i="2"/>
  <c r="M153" i="2"/>
  <c r="M152" i="2"/>
  <c r="M151" i="2"/>
  <c r="M150" i="2"/>
  <c r="M149" i="2"/>
  <c r="M148" i="2"/>
  <c r="M147" i="2"/>
  <c r="M146" i="2"/>
  <c r="M145" i="2"/>
  <c r="M144" i="2"/>
  <c r="M143" i="2"/>
  <c r="M142" i="2"/>
  <c r="M141" i="2"/>
  <c r="M140" i="2"/>
  <c r="M139" i="2"/>
  <c r="M138" i="2"/>
  <c r="M137" i="2"/>
  <c r="M136" i="2"/>
  <c r="M135" i="2"/>
  <c r="M134" i="2"/>
  <c r="M133" i="2"/>
  <c r="M132" i="2"/>
  <c r="M131" i="2"/>
  <c r="M130" i="2"/>
  <c r="M129" i="2"/>
  <c r="M128" i="2"/>
  <c r="M127" i="2"/>
  <c r="M126" i="2"/>
  <c r="M125" i="2"/>
  <c r="M124" i="2"/>
  <c r="M123" i="2"/>
  <c r="M122" i="2"/>
  <c r="M121" i="2"/>
  <c r="M120" i="2"/>
  <c r="M119" i="2"/>
  <c r="M118" i="2"/>
  <c r="M117" i="2"/>
  <c r="M116" i="2"/>
  <c r="M115" i="2"/>
  <c r="M114" i="2"/>
  <c r="M113" i="2"/>
  <c r="M112" i="2"/>
  <c r="M111" i="2"/>
  <c r="M110" i="2"/>
  <c r="M109" i="2"/>
  <c r="M108" i="2"/>
  <c r="M107" i="2"/>
  <c r="M106" i="2"/>
  <c r="M105" i="2"/>
  <c r="M104" i="2"/>
  <c r="M103" i="2"/>
  <c r="M102" i="2"/>
  <c r="M101" i="2"/>
  <c r="M100" i="2"/>
  <c r="M99" i="2"/>
  <c r="M98" i="2"/>
  <c r="M97" i="2"/>
  <c r="M96" i="2"/>
  <c r="M95" i="2"/>
  <c r="M94" i="2"/>
  <c r="M93" i="2"/>
  <c r="M92" i="2"/>
  <c r="M91" i="2"/>
  <c r="M90" i="2"/>
  <c r="M89" i="2"/>
  <c r="M88" i="2"/>
  <c r="M87" i="2"/>
  <c r="M86" i="2"/>
  <c r="M85" i="2"/>
  <c r="M84" i="2"/>
  <c r="M83" i="2"/>
  <c r="M82" i="2"/>
  <c r="M81" i="2"/>
  <c r="M80" i="2"/>
  <c r="M79" i="2"/>
  <c r="M78" i="2"/>
  <c r="M77" i="2"/>
  <c r="M76" i="2"/>
  <c r="M75" i="2"/>
  <c r="M74" i="2"/>
  <c r="M73" i="2"/>
  <c r="M72" i="2"/>
  <c r="M71" i="2"/>
  <c r="M70" i="2"/>
  <c r="M69" i="2"/>
  <c r="M68" i="2"/>
  <c r="M67" i="2"/>
  <c r="M66" i="2"/>
  <c r="M65" i="2"/>
  <c r="M64" i="2"/>
  <c r="M63" i="2"/>
  <c r="M62" i="2"/>
  <c r="M61" i="2"/>
  <c r="M60" i="2"/>
  <c r="M59" i="2"/>
  <c r="M58" i="2"/>
  <c r="M57" i="2"/>
  <c r="M56" i="2"/>
  <c r="M55" i="2"/>
  <c r="M54" i="2"/>
  <c r="M53" i="2"/>
  <c r="M52" i="2"/>
  <c r="M51" i="2"/>
  <c r="M50" i="2"/>
  <c r="M49" i="2"/>
  <c r="M48" i="2"/>
  <c r="M47" i="2"/>
  <c r="M46" i="2"/>
  <c r="M45" i="2"/>
  <c r="M44" i="2"/>
  <c r="M43" i="2"/>
  <c r="M42" i="2"/>
  <c r="M41" i="2"/>
  <c r="M40" i="2"/>
  <c r="M39" i="2"/>
  <c r="M38" i="2"/>
  <c r="M37" i="2"/>
  <c r="M36" i="2"/>
  <c r="M35" i="2"/>
  <c r="M34" i="2"/>
  <c r="M33" i="2"/>
  <c r="M32" i="2"/>
  <c r="M31" i="2"/>
  <c r="M30" i="2"/>
  <c r="M29" i="2"/>
  <c r="M28" i="2"/>
  <c r="M27" i="2"/>
  <c r="M26" i="2"/>
  <c r="M25" i="2"/>
  <c r="M24" i="2"/>
  <c r="M23" i="2"/>
  <c r="M22" i="2"/>
  <c r="M21" i="2"/>
  <c r="M20" i="2"/>
  <c r="M19" i="2"/>
  <c r="M18" i="2"/>
  <c r="M17" i="2"/>
  <c r="M16" i="2"/>
  <c r="M15" i="2"/>
  <c r="M14" i="2"/>
  <c r="M13" i="2"/>
  <c r="M12" i="2"/>
  <c r="M11" i="2"/>
  <c r="M10" i="2"/>
  <c r="M9" i="2"/>
  <c r="M8" i="2"/>
  <c r="M7" i="2"/>
  <c r="M6" i="2"/>
  <c r="M5" i="2"/>
  <c r="M4" i="2"/>
  <c r="M3" i="2"/>
  <c r="M2" i="2"/>
  <c r="L1466" i="2"/>
  <c r="L1465" i="2"/>
  <c r="L1464" i="2"/>
  <c r="L1463" i="2"/>
  <c r="L1462" i="2"/>
  <c r="L1461" i="2"/>
  <c r="L1460" i="2"/>
  <c r="L1459" i="2"/>
  <c r="L1458" i="2"/>
  <c r="L1457" i="2"/>
  <c r="L1456" i="2"/>
  <c r="L1455" i="2"/>
  <c r="L1454" i="2"/>
  <c r="L1453" i="2"/>
  <c r="L1452" i="2"/>
  <c r="L1451" i="2"/>
  <c r="L1450" i="2"/>
  <c r="L1449" i="2"/>
  <c r="L1448" i="2"/>
  <c r="L1447" i="2"/>
  <c r="L1446" i="2"/>
  <c r="L1445" i="2"/>
  <c r="L1444" i="2"/>
  <c r="L1443" i="2"/>
  <c r="L1442" i="2"/>
  <c r="L1441" i="2"/>
  <c r="L1440" i="2"/>
  <c r="L1439" i="2"/>
  <c r="L1438" i="2"/>
  <c r="L1437" i="2"/>
  <c r="L1436" i="2"/>
  <c r="L1435" i="2"/>
  <c r="L1434" i="2"/>
  <c r="L1433" i="2"/>
  <c r="L1432" i="2"/>
  <c r="L1431" i="2"/>
  <c r="L1430" i="2"/>
  <c r="L1429" i="2"/>
  <c r="L1428" i="2"/>
  <c r="L1427" i="2"/>
  <c r="L1426" i="2"/>
  <c r="L1425" i="2"/>
  <c r="L1424" i="2"/>
  <c r="L1423" i="2"/>
  <c r="L1422" i="2"/>
  <c r="L1421" i="2"/>
  <c r="L1420" i="2"/>
  <c r="L1419" i="2"/>
  <c r="L1418" i="2"/>
  <c r="L1417" i="2"/>
  <c r="L1416" i="2"/>
  <c r="L1415" i="2"/>
  <c r="L1414" i="2"/>
  <c r="L1413" i="2"/>
  <c r="L1412" i="2"/>
  <c r="L1411" i="2"/>
  <c r="L1410" i="2"/>
  <c r="L1409" i="2"/>
  <c r="L1408" i="2"/>
  <c r="L1407" i="2"/>
  <c r="L1406" i="2"/>
  <c r="L1405" i="2"/>
  <c r="L1404" i="2"/>
  <c r="L1403" i="2"/>
  <c r="L1402" i="2"/>
  <c r="L1401" i="2"/>
  <c r="L1400" i="2"/>
  <c r="L1399" i="2"/>
  <c r="L1398" i="2"/>
  <c r="L1397" i="2"/>
  <c r="L1396" i="2"/>
  <c r="L1395" i="2"/>
  <c r="L1394" i="2"/>
  <c r="L1393" i="2"/>
  <c r="L1392" i="2"/>
  <c r="L1391" i="2"/>
  <c r="L1390" i="2"/>
  <c r="L1389" i="2"/>
  <c r="L1388" i="2"/>
  <c r="L1387" i="2"/>
  <c r="L1386" i="2"/>
  <c r="L1385" i="2"/>
  <c r="L1384" i="2"/>
  <c r="L1383" i="2"/>
  <c r="L1382" i="2"/>
  <c r="L1381" i="2"/>
  <c r="L1380" i="2"/>
  <c r="L1379" i="2"/>
  <c r="L1378" i="2"/>
  <c r="L1377" i="2"/>
  <c r="L1376" i="2"/>
  <c r="L1375" i="2"/>
  <c r="L1374" i="2"/>
  <c r="L1373" i="2"/>
  <c r="L1372" i="2"/>
  <c r="L1371" i="2"/>
  <c r="L1370" i="2"/>
  <c r="L1369" i="2"/>
  <c r="L1368" i="2"/>
  <c r="L1367" i="2"/>
  <c r="L1366" i="2"/>
  <c r="L1365" i="2"/>
  <c r="L1364" i="2"/>
  <c r="L1363" i="2"/>
  <c r="L1362" i="2"/>
  <c r="L1361" i="2"/>
  <c r="L1360" i="2"/>
  <c r="L1359" i="2"/>
  <c r="L1358" i="2"/>
  <c r="L1357" i="2"/>
  <c r="L1356" i="2"/>
  <c r="L1355" i="2"/>
  <c r="L1354" i="2"/>
  <c r="L1353" i="2"/>
  <c r="L1352" i="2"/>
  <c r="L1351" i="2"/>
  <c r="L1350" i="2"/>
  <c r="L1349" i="2"/>
  <c r="L1348" i="2"/>
  <c r="L1347" i="2"/>
  <c r="L1346" i="2"/>
  <c r="L1345" i="2"/>
  <c r="L1344" i="2"/>
  <c r="L1343" i="2"/>
  <c r="L1342" i="2"/>
  <c r="L1341" i="2"/>
  <c r="L1340" i="2"/>
  <c r="L1339" i="2"/>
  <c r="L1338" i="2"/>
  <c r="L1337" i="2"/>
  <c r="L1336" i="2"/>
  <c r="L1335" i="2"/>
  <c r="L1334" i="2"/>
  <c r="L1333" i="2"/>
  <c r="L1332" i="2"/>
  <c r="L1331" i="2"/>
  <c r="L1330" i="2"/>
  <c r="L1329" i="2"/>
  <c r="L1328" i="2"/>
  <c r="L1327" i="2"/>
  <c r="L1326" i="2"/>
  <c r="L1325" i="2"/>
  <c r="L1324" i="2"/>
  <c r="L1323" i="2"/>
  <c r="L1322" i="2"/>
  <c r="L1321" i="2"/>
  <c r="L1320" i="2"/>
  <c r="L1319" i="2"/>
  <c r="L1318" i="2"/>
  <c r="L1317" i="2"/>
  <c r="L1316" i="2"/>
  <c r="L1315" i="2"/>
  <c r="L1314" i="2"/>
  <c r="L1313" i="2"/>
  <c r="L1312" i="2"/>
  <c r="L1311" i="2"/>
  <c r="L1310" i="2"/>
  <c r="L1309" i="2"/>
  <c r="L1308" i="2"/>
  <c r="L1307" i="2"/>
  <c r="L1306" i="2"/>
  <c r="L1305" i="2"/>
  <c r="L1304" i="2"/>
  <c r="L1303" i="2"/>
  <c r="L1302" i="2"/>
  <c r="L1301" i="2"/>
  <c r="L1300" i="2"/>
  <c r="L1299" i="2"/>
  <c r="L1298" i="2"/>
  <c r="L1297" i="2"/>
  <c r="L1296" i="2"/>
  <c r="L1295" i="2"/>
  <c r="L1294" i="2"/>
  <c r="L1293" i="2"/>
  <c r="L1292" i="2"/>
  <c r="L1291" i="2"/>
  <c r="L1290" i="2"/>
  <c r="L1289" i="2"/>
  <c r="L1288" i="2"/>
  <c r="L1287" i="2"/>
  <c r="L1286" i="2"/>
  <c r="L1285" i="2"/>
  <c r="L1284" i="2"/>
  <c r="L1283" i="2"/>
  <c r="L1282" i="2"/>
  <c r="L1281" i="2"/>
  <c r="L1280" i="2"/>
  <c r="L1279" i="2"/>
  <c r="L1278" i="2"/>
  <c r="L1277" i="2"/>
  <c r="L1276" i="2"/>
  <c r="L1275" i="2"/>
  <c r="L1274" i="2"/>
  <c r="L1273" i="2"/>
  <c r="L1272" i="2"/>
  <c r="L1271" i="2"/>
  <c r="L1270" i="2"/>
  <c r="L1269" i="2"/>
  <c r="L1268" i="2"/>
  <c r="L1267" i="2"/>
  <c r="L1266" i="2"/>
  <c r="L1265" i="2"/>
  <c r="L1264" i="2"/>
  <c r="L1263" i="2"/>
  <c r="L1262" i="2"/>
  <c r="L1261" i="2"/>
  <c r="L1260" i="2"/>
  <c r="L1259" i="2"/>
  <c r="L1258" i="2"/>
  <c r="L1257" i="2"/>
  <c r="L1256" i="2"/>
  <c r="L1255" i="2"/>
  <c r="L1254" i="2"/>
  <c r="L1253" i="2"/>
  <c r="L1252" i="2"/>
  <c r="L1251" i="2"/>
  <c r="L1250" i="2"/>
  <c r="L1249" i="2"/>
  <c r="L1248" i="2"/>
  <c r="L1247" i="2"/>
  <c r="L1246" i="2"/>
  <c r="L1245" i="2"/>
  <c r="L1244" i="2"/>
  <c r="L1243" i="2"/>
  <c r="L1242" i="2"/>
  <c r="L1241" i="2"/>
  <c r="L1240" i="2"/>
  <c r="L1239" i="2"/>
  <c r="L1238" i="2"/>
  <c r="L1237" i="2"/>
  <c r="L1236" i="2"/>
  <c r="L1235" i="2"/>
  <c r="L1234" i="2"/>
  <c r="L1233" i="2"/>
  <c r="L1232" i="2"/>
  <c r="L1231" i="2"/>
  <c r="L1230" i="2"/>
  <c r="L1229" i="2"/>
  <c r="L1228" i="2"/>
  <c r="L1227" i="2"/>
  <c r="L1226" i="2"/>
  <c r="L1225" i="2"/>
  <c r="L1224" i="2"/>
  <c r="L1223" i="2"/>
  <c r="L1222" i="2"/>
  <c r="L1221" i="2"/>
  <c r="L1220" i="2"/>
  <c r="L1219" i="2"/>
  <c r="L1218" i="2"/>
  <c r="L1217" i="2"/>
  <c r="L1216" i="2"/>
  <c r="L1215" i="2"/>
  <c r="L1214" i="2"/>
  <c r="L1213" i="2"/>
  <c r="L1212" i="2"/>
  <c r="L1211" i="2"/>
  <c r="L1210" i="2"/>
  <c r="L1209" i="2"/>
  <c r="L1208" i="2"/>
  <c r="L1207" i="2"/>
  <c r="L1206" i="2"/>
  <c r="L1205" i="2"/>
  <c r="L1204" i="2"/>
  <c r="L1203" i="2"/>
  <c r="L1202" i="2"/>
  <c r="L1201" i="2"/>
  <c r="L1200" i="2"/>
  <c r="L1199" i="2"/>
  <c r="L1198" i="2"/>
  <c r="L1197" i="2"/>
  <c r="L1196" i="2"/>
  <c r="L1195" i="2"/>
  <c r="L1194" i="2"/>
  <c r="L1193" i="2"/>
  <c r="L1192" i="2"/>
  <c r="L1191" i="2"/>
  <c r="L1190" i="2"/>
  <c r="L1189" i="2"/>
  <c r="L1188" i="2"/>
  <c r="L1187" i="2"/>
  <c r="L1186" i="2"/>
  <c r="L1185" i="2"/>
  <c r="L1184" i="2"/>
  <c r="L1183" i="2"/>
  <c r="L1182" i="2"/>
  <c r="L1181" i="2"/>
  <c r="L1180" i="2"/>
  <c r="L1179" i="2"/>
  <c r="L1178" i="2"/>
  <c r="L1177" i="2"/>
  <c r="L1176" i="2"/>
  <c r="L1175" i="2"/>
  <c r="L1174" i="2"/>
  <c r="L1173" i="2"/>
  <c r="L1172" i="2"/>
  <c r="L1171" i="2"/>
  <c r="L1170" i="2"/>
  <c r="L1169" i="2"/>
  <c r="L1168" i="2"/>
  <c r="L1167" i="2"/>
  <c r="L1166" i="2"/>
  <c r="L1165" i="2"/>
  <c r="L1164" i="2"/>
  <c r="L1163" i="2"/>
  <c r="L1162" i="2"/>
  <c r="L1161" i="2"/>
  <c r="L1160" i="2"/>
  <c r="L1159" i="2"/>
  <c r="L1158" i="2"/>
  <c r="L1157" i="2"/>
  <c r="L1156" i="2"/>
  <c r="L1155" i="2"/>
  <c r="L1154" i="2"/>
  <c r="L1153" i="2"/>
  <c r="L1152" i="2"/>
  <c r="L1151" i="2"/>
  <c r="L1150" i="2"/>
  <c r="L1149" i="2"/>
  <c r="L1148" i="2"/>
  <c r="L1147" i="2"/>
  <c r="L1146" i="2"/>
  <c r="L1145" i="2"/>
  <c r="L1144" i="2"/>
  <c r="L1143" i="2"/>
  <c r="L1142" i="2"/>
  <c r="L1141" i="2"/>
  <c r="L1140" i="2"/>
  <c r="L1139" i="2"/>
  <c r="L1138" i="2"/>
  <c r="L1137" i="2"/>
  <c r="L1136" i="2"/>
  <c r="L1135" i="2"/>
  <c r="L1134" i="2"/>
  <c r="L1133" i="2"/>
  <c r="L1132" i="2"/>
  <c r="L1131" i="2"/>
  <c r="L1130" i="2"/>
  <c r="L1129" i="2"/>
  <c r="L1128" i="2"/>
  <c r="L1127" i="2"/>
  <c r="L1126" i="2"/>
  <c r="L1125" i="2"/>
  <c r="L1124" i="2"/>
  <c r="L1123" i="2"/>
  <c r="L1122" i="2"/>
  <c r="L1121" i="2"/>
  <c r="L1120" i="2"/>
  <c r="L1119" i="2"/>
  <c r="L1118" i="2"/>
  <c r="L1117" i="2"/>
  <c r="L1116" i="2"/>
  <c r="L1115" i="2"/>
  <c r="L1114" i="2"/>
  <c r="L1113" i="2"/>
  <c r="L1112" i="2"/>
  <c r="L1111" i="2"/>
  <c r="L1110" i="2"/>
  <c r="L1109" i="2"/>
  <c r="L1108" i="2"/>
  <c r="L1107" i="2"/>
  <c r="L1106" i="2"/>
  <c r="L1105" i="2"/>
  <c r="L1104" i="2"/>
  <c r="L1103" i="2"/>
  <c r="L1102" i="2"/>
  <c r="L1101" i="2"/>
  <c r="L1100" i="2"/>
  <c r="L1099" i="2"/>
  <c r="L1098" i="2"/>
  <c r="L1097" i="2"/>
  <c r="L1096" i="2"/>
  <c r="L1095" i="2"/>
  <c r="L1094" i="2"/>
  <c r="L1093" i="2"/>
  <c r="L1092" i="2"/>
  <c r="L1091" i="2"/>
  <c r="L1090" i="2"/>
  <c r="L1089" i="2"/>
  <c r="L1088" i="2"/>
  <c r="L1087" i="2"/>
  <c r="L1086" i="2"/>
  <c r="L1085" i="2"/>
  <c r="L1084" i="2"/>
  <c r="L1083" i="2"/>
  <c r="L1082" i="2"/>
  <c r="L1081" i="2"/>
  <c r="L1080" i="2"/>
  <c r="L1079" i="2"/>
  <c r="L1078" i="2"/>
  <c r="L1077" i="2"/>
  <c r="L1076" i="2"/>
  <c r="L1075" i="2"/>
  <c r="L1074" i="2"/>
  <c r="L1073" i="2"/>
  <c r="L1072" i="2"/>
  <c r="L1071" i="2"/>
  <c r="L1070" i="2"/>
  <c r="L1069" i="2"/>
  <c r="L1068" i="2"/>
  <c r="L1067" i="2"/>
  <c r="L1066" i="2"/>
  <c r="L1065" i="2"/>
  <c r="L1064" i="2"/>
  <c r="L1063" i="2"/>
  <c r="L1062" i="2"/>
  <c r="L1061" i="2"/>
  <c r="L1060" i="2"/>
  <c r="L1059" i="2"/>
  <c r="L1058" i="2"/>
  <c r="L1057" i="2"/>
  <c r="L1056" i="2"/>
  <c r="L1055" i="2"/>
  <c r="L1054" i="2"/>
  <c r="L1053" i="2"/>
  <c r="L1052" i="2"/>
  <c r="L1051" i="2"/>
  <c r="L1050" i="2"/>
  <c r="L1049" i="2"/>
  <c r="L1048" i="2"/>
  <c r="L1047" i="2"/>
  <c r="L1046" i="2"/>
  <c r="L1045" i="2"/>
  <c r="L1044" i="2"/>
  <c r="L1043" i="2"/>
  <c r="L1042" i="2"/>
  <c r="L1041" i="2"/>
  <c r="L1040" i="2"/>
  <c r="L1039" i="2"/>
  <c r="L1038" i="2"/>
  <c r="L1037" i="2"/>
  <c r="L1036" i="2"/>
  <c r="L1035" i="2"/>
  <c r="L1034" i="2"/>
  <c r="L1033" i="2"/>
  <c r="L1032" i="2"/>
  <c r="L1031" i="2"/>
  <c r="L1030" i="2"/>
  <c r="L1029" i="2"/>
  <c r="L1028" i="2"/>
  <c r="L1027" i="2"/>
  <c r="L1026" i="2"/>
  <c r="L1025" i="2"/>
  <c r="L1024" i="2"/>
  <c r="L1023" i="2"/>
  <c r="L1022" i="2"/>
  <c r="L1021" i="2"/>
  <c r="L1020" i="2"/>
  <c r="L1019" i="2"/>
  <c r="L1018" i="2"/>
  <c r="L1017" i="2"/>
  <c r="L1016" i="2"/>
  <c r="L1015" i="2"/>
  <c r="L1014" i="2"/>
  <c r="L1013" i="2"/>
  <c r="L1012" i="2"/>
  <c r="L1011" i="2"/>
  <c r="L1010" i="2"/>
  <c r="L1009" i="2"/>
  <c r="L1008" i="2"/>
  <c r="L1007" i="2"/>
  <c r="L1006" i="2"/>
  <c r="L1005" i="2"/>
  <c r="L1004" i="2"/>
  <c r="L1003" i="2"/>
  <c r="L1002" i="2"/>
  <c r="L1001" i="2"/>
  <c r="L1000" i="2"/>
  <c r="L999" i="2"/>
  <c r="L998" i="2"/>
  <c r="L997" i="2"/>
  <c r="L996" i="2"/>
  <c r="L995" i="2"/>
  <c r="L994" i="2"/>
  <c r="L993" i="2"/>
  <c r="L992" i="2"/>
  <c r="L991" i="2"/>
  <c r="L990" i="2"/>
  <c r="L989" i="2"/>
  <c r="L988" i="2"/>
  <c r="L987" i="2"/>
  <c r="L986" i="2"/>
  <c r="L985" i="2"/>
  <c r="L984" i="2"/>
  <c r="L983" i="2"/>
  <c r="L982" i="2"/>
  <c r="L981" i="2"/>
  <c r="L980" i="2"/>
  <c r="L979" i="2"/>
  <c r="L978" i="2"/>
  <c r="L977" i="2"/>
  <c r="L976" i="2"/>
  <c r="L975" i="2"/>
  <c r="L974" i="2"/>
  <c r="L973" i="2"/>
  <c r="L972" i="2"/>
  <c r="L971" i="2"/>
  <c r="L970" i="2"/>
  <c r="L969" i="2"/>
  <c r="L968" i="2"/>
  <c r="L967" i="2"/>
  <c r="L966" i="2"/>
  <c r="L965" i="2"/>
  <c r="L964" i="2"/>
  <c r="L963" i="2"/>
  <c r="L962" i="2"/>
  <c r="L961" i="2"/>
  <c r="L960" i="2"/>
  <c r="L959" i="2"/>
  <c r="L958" i="2"/>
  <c r="L957" i="2"/>
  <c r="L956" i="2"/>
  <c r="L955" i="2"/>
  <c r="L954" i="2"/>
  <c r="L953" i="2"/>
  <c r="L952" i="2"/>
  <c r="L951" i="2"/>
  <c r="L950" i="2"/>
  <c r="L949" i="2"/>
  <c r="L948" i="2"/>
  <c r="L947" i="2"/>
  <c r="L946" i="2"/>
  <c r="L945" i="2"/>
  <c r="L944" i="2"/>
  <c r="L943" i="2"/>
  <c r="L942" i="2"/>
  <c r="L941" i="2"/>
  <c r="L940" i="2"/>
  <c r="L939" i="2"/>
  <c r="L938" i="2"/>
  <c r="L937" i="2"/>
  <c r="L936" i="2"/>
  <c r="L935" i="2"/>
  <c r="L934" i="2"/>
  <c r="L933" i="2"/>
  <c r="L932" i="2"/>
  <c r="L931" i="2"/>
  <c r="L930" i="2"/>
  <c r="L929" i="2"/>
  <c r="L928" i="2"/>
  <c r="L927" i="2"/>
  <c r="L926" i="2"/>
  <c r="L925" i="2"/>
  <c r="L924" i="2"/>
  <c r="L923" i="2"/>
  <c r="L922" i="2"/>
  <c r="L921" i="2"/>
  <c r="L920" i="2"/>
  <c r="L919" i="2"/>
  <c r="L918" i="2"/>
  <c r="L917" i="2"/>
  <c r="L916" i="2"/>
  <c r="L915" i="2"/>
  <c r="L914" i="2"/>
  <c r="L913" i="2"/>
  <c r="L912" i="2"/>
  <c r="L911" i="2"/>
  <c r="L910" i="2"/>
  <c r="L909" i="2"/>
  <c r="L908" i="2"/>
  <c r="L907" i="2"/>
  <c r="L906" i="2"/>
  <c r="L905" i="2"/>
  <c r="L904" i="2"/>
  <c r="L903" i="2"/>
  <c r="L902" i="2"/>
  <c r="L901" i="2"/>
  <c r="L900" i="2"/>
  <c r="L899" i="2"/>
  <c r="L898" i="2"/>
  <c r="L897" i="2"/>
  <c r="L896" i="2"/>
  <c r="L895" i="2"/>
  <c r="L894" i="2"/>
  <c r="L893" i="2"/>
  <c r="L892" i="2"/>
  <c r="L891" i="2"/>
  <c r="L890" i="2"/>
  <c r="L889" i="2"/>
  <c r="L888" i="2"/>
  <c r="L887" i="2"/>
  <c r="L886" i="2"/>
  <c r="L885" i="2"/>
  <c r="L884" i="2"/>
  <c r="L883" i="2"/>
  <c r="L882" i="2"/>
  <c r="L881" i="2"/>
  <c r="L880" i="2"/>
  <c r="L879" i="2"/>
  <c r="L878" i="2"/>
  <c r="L877" i="2"/>
  <c r="L876" i="2"/>
  <c r="L875" i="2"/>
  <c r="L874" i="2"/>
  <c r="L873" i="2"/>
  <c r="L872" i="2"/>
  <c r="L871" i="2"/>
  <c r="L870" i="2"/>
  <c r="L869" i="2"/>
  <c r="L868" i="2"/>
  <c r="L867" i="2"/>
  <c r="L866" i="2"/>
  <c r="L865" i="2"/>
  <c r="L864" i="2"/>
  <c r="L863" i="2"/>
  <c r="L862" i="2"/>
  <c r="L861" i="2"/>
  <c r="L860" i="2"/>
  <c r="L859" i="2"/>
  <c r="L858" i="2"/>
  <c r="L857" i="2"/>
  <c r="L856" i="2"/>
  <c r="L855" i="2"/>
  <c r="L854" i="2"/>
  <c r="L853" i="2"/>
  <c r="L852" i="2"/>
  <c r="L851" i="2"/>
  <c r="L850" i="2"/>
  <c r="L849" i="2"/>
  <c r="L848" i="2"/>
  <c r="L847" i="2"/>
  <c r="L846" i="2"/>
  <c r="L845" i="2"/>
  <c r="L844" i="2"/>
  <c r="L843" i="2"/>
  <c r="L842" i="2"/>
  <c r="L841" i="2"/>
  <c r="L840" i="2"/>
  <c r="L839" i="2"/>
  <c r="L838" i="2"/>
  <c r="L837" i="2"/>
  <c r="L836" i="2"/>
  <c r="L835" i="2"/>
  <c r="L834" i="2"/>
  <c r="L833" i="2"/>
  <c r="L832" i="2"/>
  <c r="L831" i="2"/>
  <c r="L830" i="2"/>
  <c r="L829" i="2"/>
  <c r="L828" i="2"/>
  <c r="L827" i="2"/>
  <c r="L826" i="2"/>
  <c r="L825" i="2"/>
  <c r="L824" i="2"/>
  <c r="L823" i="2"/>
  <c r="L822" i="2"/>
  <c r="L821" i="2"/>
  <c r="L820" i="2"/>
  <c r="L819" i="2"/>
  <c r="L818" i="2"/>
  <c r="L817" i="2"/>
  <c r="L816" i="2"/>
  <c r="L815" i="2"/>
  <c r="L814" i="2"/>
  <c r="L813" i="2"/>
  <c r="L812" i="2"/>
  <c r="L811" i="2"/>
  <c r="L810" i="2"/>
  <c r="L809" i="2"/>
  <c r="L808" i="2"/>
  <c r="L807" i="2"/>
  <c r="L806" i="2"/>
  <c r="L805" i="2"/>
  <c r="L804" i="2"/>
  <c r="L803" i="2"/>
  <c r="L802" i="2"/>
  <c r="L801" i="2"/>
  <c r="L800" i="2"/>
  <c r="L799" i="2"/>
  <c r="L798" i="2"/>
  <c r="L797" i="2"/>
  <c r="L796" i="2"/>
  <c r="L795" i="2"/>
  <c r="L794" i="2"/>
  <c r="L793" i="2"/>
  <c r="L792" i="2"/>
  <c r="L791" i="2"/>
  <c r="L790" i="2"/>
  <c r="L789" i="2"/>
  <c r="L788" i="2"/>
  <c r="L787" i="2"/>
  <c r="L786" i="2"/>
  <c r="L785" i="2"/>
  <c r="L784" i="2"/>
  <c r="L783" i="2"/>
  <c r="L782" i="2"/>
  <c r="L781" i="2"/>
  <c r="L780" i="2"/>
  <c r="L779" i="2"/>
  <c r="L778" i="2"/>
  <c r="L777" i="2"/>
  <c r="L776" i="2"/>
  <c r="L775" i="2"/>
  <c r="L774" i="2"/>
  <c r="L773" i="2"/>
  <c r="L772" i="2"/>
  <c r="L771" i="2"/>
  <c r="L770" i="2"/>
  <c r="L769" i="2"/>
  <c r="L768" i="2"/>
  <c r="L767" i="2"/>
  <c r="L766" i="2"/>
  <c r="L765" i="2"/>
  <c r="L764" i="2"/>
  <c r="L763" i="2"/>
  <c r="L762" i="2"/>
  <c r="L761" i="2"/>
  <c r="L760" i="2"/>
  <c r="L759" i="2"/>
  <c r="L758" i="2"/>
  <c r="L757" i="2"/>
  <c r="L756" i="2"/>
  <c r="L755" i="2"/>
  <c r="L754" i="2"/>
  <c r="L753" i="2"/>
  <c r="L752" i="2"/>
  <c r="L751" i="2"/>
  <c r="L750" i="2"/>
  <c r="L749" i="2"/>
  <c r="L748" i="2"/>
  <c r="L747" i="2"/>
  <c r="L746" i="2"/>
  <c r="L745" i="2"/>
  <c r="L744" i="2"/>
  <c r="L743" i="2"/>
  <c r="L742" i="2"/>
  <c r="L741" i="2"/>
  <c r="L740" i="2"/>
  <c r="L739" i="2"/>
  <c r="L738" i="2"/>
  <c r="L737" i="2"/>
  <c r="L736" i="2"/>
  <c r="L735" i="2"/>
  <c r="L734" i="2"/>
  <c r="L733" i="2"/>
  <c r="L732" i="2"/>
  <c r="L731" i="2"/>
  <c r="L730" i="2"/>
  <c r="L729" i="2"/>
  <c r="L728" i="2"/>
  <c r="L727" i="2"/>
  <c r="L726" i="2"/>
  <c r="L725" i="2"/>
  <c r="L724" i="2"/>
  <c r="L723" i="2"/>
  <c r="L722" i="2"/>
  <c r="L721" i="2"/>
  <c r="L720" i="2"/>
  <c r="L719" i="2"/>
  <c r="L718" i="2"/>
  <c r="L717" i="2"/>
  <c r="L716" i="2"/>
  <c r="L715" i="2"/>
  <c r="L714" i="2"/>
  <c r="L713" i="2"/>
  <c r="L712" i="2"/>
  <c r="L711" i="2"/>
  <c r="L710" i="2"/>
  <c r="L709" i="2"/>
  <c r="L708" i="2"/>
  <c r="L707" i="2"/>
  <c r="L706" i="2"/>
  <c r="L705" i="2"/>
  <c r="L704" i="2"/>
  <c r="L703" i="2"/>
  <c r="L702" i="2"/>
  <c r="L701" i="2"/>
  <c r="L700" i="2"/>
  <c r="L699" i="2"/>
  <c r="L698" i="2"/>
  <c r="L697" i="2"/>
  <c r="L696" i="2"/>
  <c r="L695" i="2"/>
  <c r="L694" i="2"/>
  <c r="L693" i="2"/>
  <c r="L692" i="2"/>
  <c r="L691" i="2"/>
  <c r="L690" i="2"/>
  <c r="L689" i="2"/>
  <c r="L688" i="2"/>
  <c r="L687" i="2"/>
  <c r="L686" i="2"/>
  <c r="L685" i="2"/>
  <c r="L684" i="2"/>
  <c r="L683" i="2"/>
  <c r="L682" i="2"/>
  <c r="L681" i="2"/>
  <c r="L680" i="2"/>
  <c r="L679" i="2"/>
  <c r="L678" i="2"/>
  <c r="L677" i="2"/>
  <c r="L676" i="2"/>
  <c r="L675" i="2"/>
  <c r="L674" i="2"/>
  <c r="L673" i="2"/>
  <c r="L672" i="2"/>
  <c r="L671" i="2"/>
  <c r="L670" i="2"/>
  <c r="L669" i="2"/>
  <c r="L668" i="2"/>
  <c r="L667" i="2"/>
  <c r="L666" i="2"/>
  <c r="L665" i="2"/>
  <c r="L664" i="2"/>
  <c r="L663" i="2"/>
  <c r="L662" i="2"/>
  <c r="L661" i="2"/>
  <c r="L660" i="2"/>
  <c r="L659" i="2"/>
  <c r="L658" i="2"/>
  <c r="L657" i="2"/>
  <c r="L656" i="2"/>
  <c r="L655" i="2"/>
  <c r="L654" i="2"/>
  <c r="L653" i="2"/>
  <c r="L652" i="2"/>
  <c r="L651" i="2"/>
  <c r="L650" i="2"/>
  <c r="L649" i="2"/>
  <c r="L648" i="2"/>
  <c r="L647" i="2"/>
  <c r="L646" i="2"/>
  <c r="L645" i="2"/>
  <c r="L644" i="2"/>
  <c r="L643" i="2"/>
  <c r="L642" i="2"/>
  <c r="L641" i="2"/>
  <c r="L640" i="2"/>
  <c r="L639" i="2"/>
  <c r="L638" i="2"/>
  <c r="L637" i="2"/>
  <c r="L636" i="2"/>
  <c r="L635" i="2"/>
  <c r="L634" i="2"/>
  <c r="L633" i="2"/>
  <c r="L632" i="2"/>
  <c r="L631" i="2"/>
  <c r="L630" i="2"/>
  <c r="L629" i="2"/>
  <c r="L628" i="2"/>
  <c r="L627" i="2"/>
  <c r="L626" i="2"/>
  <c r="L625" i="2"/>
  <c r="L624" i="2"/>
  <c r="L623" i="2"/>
  <c r="L622" i="2"/>
  <c r="L621" i="2"/>
  <c r="L620" i="2"/>
  <c r="L619" i="2"/>
  <c r="L618" i="2"/>
  <c r="L617" i="2"/>
  <c r="L616" i="2"/>
  <c r="L615" i="2"/>
  <c r="L614" i="2"/>
  <c r="L613" i="2"/>
  <c r="L612" i="2"/>
  <c r="L611" i="2"/>
  <c r="L610" i="2"/>
  <c r="L609" i="2"/>
  <c r="L608" i="2"/>
  <c r="L607" i="2"/>
  <c r="L606" i="2"/>
  <c r="L605" i="2"/>
  <c r="L604" i="2"/>
  <c r="L603" i="2"/>
  <c r="L602" i="2"/>
  <c r="L601" i="2"/>
  <c r="L600" i="2"/>
  <c r="L599" i="2"/>
  <c r="L598" i="2"/>
  <c r="L597" i="2"/>
  <c r="L596" i="2"/>
  <c r="L595" i="2"/>
  <c r="L594" i="2"/>
  <c r="L593" i="2"/>
  <c r="L592" i="2"/>
  <c r="L591" i="2"/>
  <c r="L590" i="2"/>
  <c r="L589" i="2"/>
  <c r="L588" i="2"/>
  <c r="L587" i="2"/>
  <c r="L586" i="2"/>
  <c r="L585" i="2"/>
  <c r="L584" i="2"/>
  <c r="L583" i="2"/>
  <c r="L582" i="2"/>
  <c r="L581" i="2"/>
  <c r="L580" i="2"/>
  <c r="L579" i="2"/>
  <c r="L578" i="2"/>
  <c r="L577" i="2"/>
  <c r="L576" i="2"/>
  <c r="L575" i="2"/>
  <c r="L574" i="2"/>
  <c r="L573" i="2"/>
  <c r="L572" i="2"/>
  <c r="L571" i="2"/>
  <c r="L570" i="2"/>
  <c r="L569" i="2"/>
  <c r="L568" i="2"/>
  <c r="L567" i="2"/>
  <c r="L566" i="2"/>
  <c r="L565" i="2"/>
  <c r="L564" i="2"/>
  <c r="L563" i="2"/>
  <c r="L562" i="2"/>
  <c r="L561" i="2"/>
  <c r="L560" i="2"/>
  <c r="L559" i="2"/>
  <c r="L558" i="2"/>
  <c r="L557" i="2"/>
  <c r="L556" i="2"/>
  <c r="L555" i="2"/>
  <c r="L554" i="2"/>
  <c r="L553" i="2"/>
  <c r="L552" i="2"/>
  <c r="L551" i="2"/>
  <c r="L550" i="2"/>
  <c r="L549" i="2"/>
  <c r="L548" i="2"/>
  <c r="L547" i="2"/>
  <c r="L546" i="2"/>
  <c r="L545" i="2"/>
  <c r="L544" i="2"/>
  <c r="L543" i="2"/>
  <c r="L542" i="2"/>
  <c r="L541" i="2"/>
  <c r="L540" i="2"/>
  <c r="L539" i="2"/>
  <c r="L538" i="2"/>
  <c r="L537" i="2"/>
  <c r="L536" i="2"/>
  <c r="L535" i="2"/>
  <c r="L534" i="2"/>
  <c r="L533" i="2"/>
  <c r="L532" i="2"/>
  <c r="L531" i="2"/>
  <c r="L530" i="2"/>
  <c r="L529" i="2"/>
  <c r="L528" i="2"/>
  <c r="L527" i="2"/>
  <c r="L526" i="2"/>
  <c r="L525" i="2"/>
  <c r="L524" i="2"/>
  <c r="L523" i="2"/>
  <c r="L522" i="2"/>
  <c r="L521" i="2"/>
  <c r="L520" i="2"/>
  <c r="L519" i="2"/>
  <c r="L518" i="2"/>
  <c r="L517" i="2"/>
  <c r="L516" i="2"/>
  <c r="L515" i="2"/>
  <c r="L514" i="2"/>
  <c r="L513" i="2"/>
  <c r="L512" i="2"/>
  <c r="L511" i="2"/>
  <c r="L510" i="2"/>
  <c r="L509" i="2"/>
  <c r="L508" i="2"/>
  <c r="L507" i="2"/>
  <c r="L506" i="2"/>
  <c r="L505" i="2"/>
  <c r="L504" i="2"/>
  <c r="L503" i="2"/>
  <c r="L502" i="2"/>
  <c r="L501" i="2"/>
  <c r="L500" i="2"/>
  <c r="L499" i="2"/>
  <c r="L498" i="2"/>
  <c r="L497" i="2"/>
  <c r="L496" i="2"/>
  <c r="L495" i="2"/>
  <c r="L494" i="2"/>
  <c r="L493" i="2"/>
  <c r="L492" i="2"/>
  <c r="L491" i="2"/>
  <c r="L490" i="2"/>
  <c r="L489" i="2"/>
  <c r="L488" i="2"/>
  <c r="L487" i="2"/>
  <c r="L486" i="2"/>
  <c r="L485" i="2"/>
  <c r="L484" i="2"/>
  <c r="L483" i="2"/>
  <c r="L482" i="2"/>
  <c r="L481" i="2"/>
  <c r="L480" i="2"/>
  <c r="L479" i="2"/>
  <c r="L478" i="2"/>
  <c r="L477" i="2"/>
  <c r="L476" i="2"/>
  <c r="L475" i="2"/>
  <c r="L474" i="2"/>
  <c r="L473" i="2"/>
  <c r="L472" i="2"/>
  <c r="L471" i="2"/>
  <c r="L470" i="2"/>
  <c r="L469" i="2"/>
  <c r="L468" i="2"/>
  <c r="L467" i="2"/>
  <c r="L466" i="2"/>
  <c r="L465" i="2"/>
  <c r="L464" i="2"/>
  <c r="L463" i="2"/>
  <c r="L462" i="2"/>
  <c r="L461" i="2"/>
  <c r="L460" i="2"/>
  <c r="L459" i="2"/>
  <c r="L458" i="2"/>
  <c r="L457" i="2"/>
  <c r="L456" i="2"/>
  <c r="L455" i="2"/>
  <c r="L454" i="2"/>
  <c r="L453" i="2"/>
  <c r="L452" i="2"/>
  <c r="L451" i="2"/>
  <c r="L450" i="2"/>
  <c r="L449" i="2"/>
  <c r="L448" i="2"/>
  <c r="L447" i="2"/>
  <c r="L446" i="2"/>
  <c r="L445" i="2"/>
  <c r="L444" i="2"/>
  <c r="L443" i="2"/>
  <c r="L442" i="2"/>
  <c r="L441" i="2"/>
  <c r="L440" i="2"/>
  <c r="L439" i="2"/>
  <c r="L438" i="2"/>
  <c r="L437" i="2"/>
  <c r="L436" i="2"/>
  <c r="L435" i="2"/>
  <c r="L434" i="2"/>
  <c r="L433" i="2"/>
  <c r="L432" i="2"/>
  <c r="L431" i="2"/>
  <c r="L430" i="2"/>
  <c r="L429" i="2"/>
  <c r="L428" i="2"/>
  <c r="L427" i="2"/>
  <c r="L426" i="2"/>
  <c r="L425" i="2"/>
  <c r="L424" i="2"/>
  <c r="L423" i="2"/>
  <c r="L422" i="2"/>
  <c r="L421" i="2"/>
  <c r="L420" i="2"/>
  <c r="L419" i="2"/>
  <c r="L418" i="2"/>
  <c r="L417" i="2"/>
  <c r="L416" i="2"/>
  <c r="L415" i="2"/>
  <c r="L414" i="2"/>
  <c r="L413" i="2"/>
  <c r="L412" i="2"/>
  <c r="L411" i="2"/>
  <c r="L410" i="2"/>
  <c r="L409" i="2"/>
  <c r="L408" i="2"/>
  <c r="L407" i="2"/>
  <c r="L406" i="2"/>
  <c r="L405" i="2"/>
  <c r="L404" i="2"/>
  <c r="L403" i="2"/>
  <c r="L402" i="2"/>
  <c r="L401" i="2"/>
  <c r="L400" i="2"/>
  <c r="L399" i="2"/>
  <c r="L398" i="2"/>
  <c r="L397" i="2"/>
  <c r="L396" i="2"/>
  <c r="L395" i="2"/>
  <c r="L394" i="2"/>
  <c r="L393" i="2"/>
  <c r="L392" i="2"/>
  <c r="L391" i="2"/>
  <c r="L390" i="2"/>
  <c r="L389" i="2"/>
  <c r="L388" i="2"/>
  <c r="L387" i="2"/>
  <c r="L386" i="2"/>
  <c r="L385" i="2"/>
  <c r="L384" i="2"/>
  <c r="L383" i="2"/>
  <c r="L382" i="2"/>
  <c r="L381" i="2"/>
  <c r="L380" i="2"/>
  <c r="L379" i="2"/>
  <c r="L378" i="2"/>
  <c r="L377" i="2"/>
  <c r="L376" i="2"/>
  <c r="L375" i="2"/>
  <c r="L374" i="2"/>
  <c r="L373" i="2"/>
  <c r="L372" i="2"/>
  <c r="L371" i="2"/>
  <c r="L370" i="2"/>
  <c r="L369" i="2"/>
  <c r="L368" i="2"/>
  <c r="L367" i="2"/>
  <c r="L366" i="2"/>
  <c r="L365" i="2"/>
  <c r="L364" i="2"/>
  <c r="L363" i="2"/>
  <c r="L362" i="2"/>
  <c r="L361" i="2"/>
  <c r="L360" i="2"/>
  <c r="L359" i="2"/>
  <c r="L358" i="2"/>
  <c r="L357" i="2"/>
  <c r="L356" i="2"/>
  <c r="L355" i="2"/>
  <c r="L354" i="2"/>
  <c r="L353" i="2"/>
  <c r="L352" i="2"/>
  <c r="L351" i="2"/>
  <c r="L350" i="2"/>
  <c r="L349" i="2"/>
  <c r="L348" i="2"/>
  <c r="L347" i="2"/>
  <c r="L346" i="2"/>
  <c r="L345" i="2"/>
  <c r="L344" i="2"/>
  <c r="L343" i="2"/>
  <c r="L342" i="2"/>
  <c r="L341" i="2"/>
  <c r="L340" i="2"/>
  <c r="L339" i="2"/>
  <c r="L338" i="2"/>
  <c r="L337" i="2"/>
  <c r="L336" i="2"/>
  <c r="L335" i="2"/>
  <c r="L334" i="2"/>
  <c r="L333" i="2"/>
  <c r="L332" i="2"/>
  <c r="L331" i="2"/>
  <c r="L330" i="2"/>
  <c r="L329" i="2"/>
  <c r="L328" i="2"/>
  <c r="L327" i="2"/>
  <c r="L326" i="2"/>
  <c r="L325" i="2"/>
  <c r="L324" i="2"/>
  <c r="L323" i="2"/>
  <c r="L322" i="2"/>
  <c r="L321" i="2"/>
  <c r="L320" i="2"/>
  <c r="L319" i="2"/>
  <c r="L318" i="2"/>
  <c r="L317" i="2"/>
  <c r="L316" i="2"/>
  <c r="L315" i="2"/>
  <c r="L314" i="2"/>
  <c r="L313" i="2"/>
  <c r="L312" i="2"/>
  <c r="L311" i="2"/>
  <c r="L310" i="2"/>
  <c r="L309" i="2"/>
  <c r="L308" i="2"/>
  <c r="L307" i="2"/>
  <c r="L306" i="2"/>
  <c r="L305" i="2"/>
  <c r="L304" i="2"/>
  <c r="L303" i="2"/>
  <c r="L302" i="2"/>
  <c r="L301" i="2"/>
  <c r="L300" i="2"/>
  <c r="L299" i="2"/>
  <c r="L298" i="2"/>
  <c r="L297" i="2"/>
  <c r="L296" i="2"/>
  <c r="L295" i="2"/>
  <c r="L294" i="2"/>
  <c r="L293" i="2"/>
  <c r="L292" i="2"/>
  <c r="L291" i="2"/>
  <c r="L290" i="2"/>
  <c r="L289" i="2"/>
  <c r="L288" i="2"/>
  <c r="L287" i="2"/>
  <c r="L286" i="2"/>
  <c r="L285" i="2"/>
  <c r="L284" i="2"/>
  <c r="L283" i="2"/>
  <c r="L282" i="2"/>
  <c r="L281" i="2"/>
  <c r="L280" i="2"/>
  <c r="L279" i="2"/>
  <c r="L278" i="2"/>
  <c r="L277" i="2"/>
  <c r="L276" i="2"/>
  <c r="L275" i="2"/>
  <c r="L274" i="2"/>
  <c r="L273" i="2"/>
  <c r="L272" i="2"/>
  <c r="L271" i="2"/>
  <c r="L270" i="2"/>
  <c r="L269" i="2"/>
  <c r="L268" i="2"/>
  <c r="L267" i="2"/>
  <c r="L266" i="2"/>
  <c r="L265" i="2"/>
  <c r="L264" i="2"/>
  <c r="L263" i="2"/>
  <c r="L262" i="2"/>
  <c r="L261" i="2"/>
  <c r="L260" i="2"/>
  <c r="L259" i="2"/>
  <c r="L258" i="2"/>
  <c r="L257" i="2"/>
  <c r="L256" i="2"/>
  <c r="L255" i="2"/>
  <c r="L254" i="2"/>
  <c r="L253" i="2"/>
  <c r="L252" i="2"/>
  <c r="L251" i="2"/>
  <c r="L250" i="2"/>
  <c r="L249" i="2"/>
  <c r="L248" i="2"/>
  <c r="L247" i="2"/>
  <c r="L246" i="2"/>
  <c r="L245" i="2"/>
  <c r="L244" i="2"/>
  <c r="L243" i="2"/>
  <c r="L242" i="2"/>
  <c r="L241" i="2"/>
  <c r="L240" i="2"/>
  <c r="L239" i="2"/>
  <c r="L238" i="2"/>
  <c r="L237" i="2"/>
  <c r="L236" i="2"/>
  <c r="L235" i="2"/>
  <c r="L234" i="2"/>
  <c r="L233" i="2"/>
  <c r="L232" i="2"/>
  <c r="L231" i="2"/>
  <c r="L230" i="2"/>
  <c r="L229" i="2"/>
  <c r="L228" i="2"/>
  <c r="L227" i="2"/>
  <c r="L226" i="2"/>
  <c r="L225" i="2"/>
  <c r="L224" i="2"/>
  <c r="L223" i="2"/>
  <c r="L222" i="2"/>
  <c r="L221" i="2"/>
  <c r="L220" i="2"/>
  <c r="L219" i="2"/>
  <c r="L218" i="2"/>
  <c r="L217" i="2"/>
  <c r="L216" i="2"/>
  <c r="L215" i="2"/>
  <c r="L214" i="2"/>
  <c r="L213" i="2"/>
  <c r="L212" i="2"/>
  <c r="L211" i="2"/>
  <c r="L210" i="2"/>
  <c r="L209" i="2"/>
  <c r="L208" i="2"/>
  <c r="L207" i="2"/>
  <c r="L206" i="2"/>
  <c r="L205" i="2"/>
  <c r="L204" i="2"/>
  <c r="L203" i="2"/>
  <c r="L202" i="2"/>
  <c r="L201" i="2"/>
  <c r="L200" i="2"/>
  <c r="L199" i="2"/>
  <c r="L198" i="2"/>
  <c r="L197" i="2"/>
  <c r="L196" i="2"/>
  <c r="L195" i="2"/>
  <c r="L194" i="2"/>
  <c r="L193" i="2"/>
  <c r="L192" i="2"/>
  <c r="L191" i="2"/>
  <c r="L190" i="2"/>
  <c r="L189" i="2"/>
  <c r="L188" i="2"/>
  <c r="L187" i="2"/>
  <c r="L186" i="2"/>
  <c r="L185" i="2"/>
  <c r="L184" i="2"/>
  <c r="L183" i="2"/>
  <c r="L182" i="2"/>
  <c r="L181" i="2"/>
  <c r="L180" i="2"/>
  <c r="L179" i="2"/>
  <c r="L178" i="2"/>
  <c r="L177" i="2"/>
  <c r="L176" i="2"/>
  <c r="L175" i="2"/>
  <c r="L174" i="2"/>
  <c r="L173" i="2"/>
  <c r="L172" i="2"/>
  <c r="L171" i="2"/>
  <c r="L170" i="2"/>
  <c r="L169" i="2"/>
  <c r="L168" i="2"/>
  <c r="L167" i="2"/>
  <c r="L166" i="2"/>
  <c r="L165" i="2"/>
  <c r="L164" i="2"/>
  <c r="L163" i="2"/>
  <c r="L162" i="2"/>
  <c r="L161" i="2"/>
  <c r="L160" i="2"/>
  <c r="L159" i="2"/>
  <c r="L158" i="2"/>
  <c r="L157" i="2"/>
  <c r="L156" i="2"/>
  <c r="L155" i="2"/>
  <c r="L154" i="2"/>
  <c r="L153" i="2"/>
  <c r="L152" i="2"/>
  <c r="L151" i="2"/>
  <c r="L150" i="2"/>
  <c r="L149" i="2"/>
  <c r="L148" i="2"/>
  <c r="L147" i="2"/>
  <c r="L146" i="2"/>
  <c r="L145" i="2"/>
  <c r="L144" i="2"/>
  <c r="L143" i="2"/>
  <c r="L142" i="2"/>
  <c r="L141" i="2"/>
  <c r="L140" i="2"/>
  <c r="L139" i="2"/>
  <c r="L138" i="2"/>
  <c r="L137" i="2"/>
  <c r="L136" i="2"/>
  <c r="L135" i="2"/>
  <c r="L134" i="2"/>
  <c r="L133" i="2"/>
  <c r="L132" i="2"/>
  <c r="L131" i="2"/>
  <c r="L130" i="2"/>
  <c r="L129" i="2"/>
  <c r="L128" i="2"/>
  <c r="L127" i="2"/>
  <c r="L126" i="2"/>
  <c r="L125" i="2"/>
  <c r="L124" i="2"/>
  <c r="L123" i="2"/>
  <c r="L122" i="2"/>
  <c r="L121" i="2"/>
  <c r="L120" i="2"/>
  <c r="L119" i="2"/>
  <c r="L118" i="2"/>
  <c r="L117" i="2"/>
  <c r="L116" i="2"/>
  <c r="L115" i="2"/>
  <c r="L114" i="2"/>
  <c r="L113" i="2"/>
  <c r="L112" i="2"/>
  <c r="L111" i="2"/>
  <c r="L110" i="2"/>
  <c r="L109" i="2"/>
  <c r="L108" i="2"/>
  <c r="L107" i="2"/>
  <c r="L106" i="2"/>
  <c r="L105" i="2"/>
  <c r="L104" i="2"/>
  <c r="L103" i="2"/>
  <c r="L102" i="2"/>
  <c r="L101" i="2"/>
  <c r="L100" i="2"/>
  <c r="L99" i="2"/>
  <c r="L98" i="2"/>
  <c r="L97" i="2"/>
  <c r="L96" i="2"/>
  <c r="L95" i="2"/>
  <c r="L94" i="2"/>
  <c r="L93" i="2"/>
  <c r="L92" i="2"/>
  <c r="L91" i="2"/>
  <c r="L90" i="2"/>
  <c r="L89" i="2"/>
  <c r="L88" i="2"/>
  <c r="L87" i="2"/>
  <c r="L86" i="2"/>
  <c r="L85" i="2"/>
  <c r="L84" i="2"/>
  <c r="L83" i="2"/>
  <c r="L82" i="2"/>
  <c r="L81" i="2"/>
  <c r="L80" i="2"/>
  <c r="L79" i="2"/>
  <c r="L78" i="2"/>
  <c r="L77" i="2"/>
  <c r="L76" i="2"/>
  <c r="L75" i="2"/>
  <c r="L74" i="2"/>
  <c r="L73" i="2"/>
  <c r="L72" i="2"/>
  <c r="L71" i="2"/>
  <c r="L70" i="2"/>
  <c r="L69" i="2"/>
  <c r="L68" i="2"/>
  <c r="L67" i="2"/>
  <c r="L66" i="2"/>
  <c r="L65" i="2"/>
  <c r="L64" i="2"/>
  <c r="L63" i="2"/>
  <c r="L62" i="2"/>
  <c r="L61" i="2"/>
  <c r="L60" i="2"/>
  <c r="L59" i="2"/>
  <c r="L58" i="2"/>
  <c r="L57" i="2"/>
  <c r="L56" i="2"/>
  <c r="L55" i="2"/>
  <c r="L54" i="2"/>
  <c r="L53" i="2"/>
  <c r="L52" i="2"/>
  <c r="L51" i="2"/>
  <c r="L50" i="2"/>
  <c r="L49" i="2"/>
  <c r="L48" i="2"/>
  <c r="L47" i="2"/>
  <c r="L46" i="2"/>
  <c r="L45" i="2"/>
  <c r="L44" i="2"/>
  <c r="L43" i="2"/>
  <c r="L42" i="2"/>
  <c r="L41" i="2"/>
  <c r="L40" i="2"/>
  <c r="L39" i="2"/>
  <c r="L38" i="2"/>
  <c r="L37" i="2"/>
  <c r="L36" i="2"/>
  <c r="L35" i="2"/>
  <c r="L34" i="2"/>
  <c r="L33" i="2"/>
  <c r="L32" i="2"/>
  <c r="L31" i="2"/>
  <c r="L30" i="2"/>
  <c r="L29" i="2"/>
  <c r="L28" i="2"/>
  <c r="L27" i="2"/>
  <c r="L26" i="2"/>
  <c r="L25" i="2"/>
  <c r="L24" i="2"/>
  <c r="L23" i="2"/>
  <c r="L22" i="2"/>
  <c r="L21" i="2"/>
  <c r="L20" i="2"/>
  <c r="L19" i="2"/>
  <c r="L18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G1452" i="5"/>
  <c r="G1451" i="5"/>
  <c r="G1450" i="5"/>
  <c r="G1449" i="5"/>
  <c r="G1448" i="5"/>
  <c r="G1447" i="5"/>
  <c r="G1446" i="5"/>
  <c r="G1445" i="5"/>
  <c r="G1444" i="5"/>
  <c r="G1443" i="5"/>
  <c r="G1442" i="5"/>
  <c r="G1441" i="5"/>
  <c r="G1440" i="5"/>
  <c r="G1439" i="5"/>
  <c r="G1438" i="5"/>
  <c r="G1437" i="5"/>
  <c r="G1436" i="5"/>
  <c r="G1435" i="5"/>
  <c r="G1434" i="5"/>
  <c r="G1433" i="5"/>
  <c r="G1432" i="5"/>
  <c r="G1431" i="5"/>
  <c r="G1430" i="5"/>
  <c r="G1429" i="5"/>
  <c r="G1428" i="5"/>
  <c r="G1427" i="5"/>
  <c r="G1426" i="5"/>
  <c r="G1425" i="5"/>
  <c r="G1424" i="5"/>
  <c r="G1423" i="5"/>
  <c r="G1422" i="5"/>
  <c r="G1421" i="5"/>
  <c r="G1420" i="5"/>
  <c r="G1419" i="5"/>
  <c r="G1418" i="5"/>
  <c r="G1417" i="5"/>
  <c r="G1416" i="5"/>
  <c r="G1415" i="5"/>
  <c r="G1414" i="5"/>
  <c r="G1413" i="5"/>
  <c r="G1412" i="5"/>
  <c r="G1411" i="5"/>
  <c r="G1410" i="5"/>
  <c r="G1409" i="5"/>
  <c r="G1408" i="5"/>
  <c r="G1407" i="5"/>
  <c r="G1406" i="5"/>
  <c r="G1405" i="5"/>
  <c r="G1404" i="5"/>
  <c r="G1403" i="5"/>
  <c r="G1402" i="5"/>
  <c r="G1401" i="5"/>
  <c r="G1400" i="5"/>
  <c r="G1399" i="5"/>
  <c r="G1398" i="5"/>
  <c r="G1397" i="5"/>
  <c r="G1396" i="5"/>
  <c r="G1395" i="5"/>
  <c r="G1394" i="5"/>
  <c r="G1393" i="5"/>
  <c r="G1392" i="5"/>
  <c r="G1391" i="5"/>
  <c r="G1390" i="5"/>
  <c r="G1389" i="5"/>
  <c r="G1388" i="5"/>
  <c r="G1387" i="5"/>
  <c r="G1386" i="5"/>
  <c r="G1385" i="5"/>
  <c r="G1384" i="5"/>
  <c r="G1383" i="5"/>
  <c r="G1382" i="5"/>
  <c r="G1381" i="5"/>
  <c r="G1380" i="5"/>
  <c r="G1379" i="5"/>
  <c r="G1378" i="5"/>
  <c r="G1377" i="5"/>
  <c r="G1376" i="5"/>
  <c r="G1375" i="5"/>
  <c r="G1374" i="5"/>
  <c r="G1373" i="5"/>
  <c r="G1372" i="5"/>
  <c r="G1371" i="5"/>
  <c r="G1370" i="5"/>
  <c r="G1369" i="5"/>
  <c r="G1368" i="5"/>
  <c r="G1367" i="5"/>
  <c r="G1366" i="5"/>
  <c r="G1365" i="5"/>
  <c r="G1364" i="5"/>
  <c r="G1363" i="5"/>
  <c r="G1362" i="5"/>
  <c r="G1361" i="5"/>
  <c r="G1360" i="5"/>
  <c r="G1359" i="5"/>
  <c r="G1358" i="5"/>
  <c r="G1357" i="5"/>
  <c r="G1356" i="5"/>
  <c r="G1355" i="5"/>
  <c r="G1354" i="5"/>
  <c r="G1353" i="5"/>
  <c r="G1352" i="5"/>
  <c r="G1351" i="5"/>
  <c r="G1350" i="5"/>
  <c r="G1349" i="5"/>
  <c r="G1348" i="5"/>
  <c r="G1347" i="5"/>
  <c r="G1346" i="5"/>
  <c r="G1345" i="5"/>
  <c r="G1344" i="5"/>
  <c r="G1343" i="5"/>
  <c r="G1342" i="5"/>
  <c r="G1341" i="5"/>
  <c r="G1340" i="5"/>
  <c r="G1339" i="5"/>
  <c r="G1338" i="5"/>
  <c r="G1337" i="5"/>
  <c r="G1336" i="5"/>
  <c r="G1335" i="5"/>
  <c r="G1334" i="5"/>
  <c r="G1333" i="5"/>
  <c r="G1332" i="5"/>
  <c r="G1331" i="5"/>
  <c r="G1330" i="5"/>
  <c r="G1329" i="5"/>
  <c r="G1328" i="5"/>
  <c r="G1327" i="5"/>
  <c r="G1326" i="5"/>
  <c r="G1325" i="5"/>
  <c r="G1324" i="5"/>
  <c r="G1323" i="5"/>
  <c r="G1322" i="5"/>
  <c r="G1321" i="5"/>
  <c r="G1320" i="5"/>
  <c r="G1319" i="5"/>
  <c r="G1318" i="5"/>
  <c r="G1317" i="5"/>
  <c r="G1316" i="5"/>
  <c r="G1315" i="5"/>
  <c r="G1314" i="5"/>
  <c r="G1313" i="5"/>
  <c r="G1312" i="5"/>
  <c r="G1311" i="5"/>
  <c r="G1310" i="5"/>
  <c r="G1309" i="5"/>
  <c r="G1308" i="5"/>
  <c r="G1307" i="5"/>
  <c r="G1306" i="5"/>
  <c r="G1305" i="5"/>
  <c r="G1304" i="5"/>
  <c r="G1303" i="5"/>
  <c r="G1302" i="5"/>
  <c r="G1301" i="5"/>
  <c r="G1300" i="5"/>
  <c r="G1299" i="5"/>
  <c r="G1298" i="5"/>
  <c r="G1297" i="5"/>
  <c r="G1296" i="5"/>
  <c r="G1295" i="5"/>
  <c r="G1294" i="5"/>
  <c r="G1293" i="5"/>
  <c r="G1292" i="5"/>
  <c r="G1291" i="5"/>
  <c r="G1290" i="5"/>
  <c r="G1289" i="5"/>
  <c r="G1288" i="5"/>
  <c r="G1287" i="5"/>
  <c r="G1286" i="5"/>
  <c r="G1285" i="5"/>
  <c r="G1284" i="5"/>
  <c r="G1283" i="5"/>
  <c r="G1282" i="5"/>
  <c r="G1281" i="5"/>
  <c r="G1280" i="5"/>
  <c r="G1279" i="5"/>
  <c r="G1278" i="5"/>
  <c r="G1277" i="5"/>
  <c r="G1276" i="5"/>
  <c r="G1275" i="5"/>
  <c r="G1274" i="5"/>
  <c r="G1273" i="5"/>
  <c r="G1272" i="5"/>
  <c r="G1271" i="5"/>
  <c r="G1270" i="5"/>
  <c r="G1269" i="5"/>
  <c r="G1268" i="5"/>
  <c r="G1267" i="5"/>
  <c r="G1266" i="5"/>
  <c r="G1265" i="5"/>
  <c r="G1264" i="5"/>
  <c r="G1263" i="5"/>
  <c r="G1262" i="5"/>
  <c r="G1261" i="5"/>
  <c r="G1260" i="5"/>
  <c r="G1259" i="5"/>
  <c r="G1258" i="5"/>
  <c r="G1257" i="5"/>
  <c r="G1256" i="5"/>
  <c r="G1255" i="5"/>
  <c r="G1254" i="5"/>
  <c r="G1253" i="5"/>
  <c r="G1252" i="5"/>
  <c r="G1251" i="5"/>
  <c r="G1250" i="5"/>
  <c r="G1249" i="5"/>
  <c r="G1248" i="5"/>
  <c r="G1247" i="5"/>
  <c r="G1246" i="5"/>
  <c r="G1245" i="5"/>
  <c r="G1244" i="5"/>
  <c r="G1243" i="5"/>
  <c r="G1242" i="5"/>
  <c r="G1241" i="5"/>
  <c r="G1240" i="5"/>
  <c r="G1239" i="5"/>
  <c r="G1238" i="5"/>
  <c r="G1237" i="5"/>
  <c r="G1236" i="5"/>
  <c r="G1235" i="5"/>
  <c r="G1234" i="5"/>
  <c r="G1233" i="5"/>
  <c r="G1232" i="5"/>
  <c r="G1231" i="5"/>
  <c r="G1230" i="5"/>
  <c r="G1229" i="5"/>
  <c r="G1228" i="5"/>
  <c r="G1227" i="5"/>
  <c r="G1226" i="5"/>
  <c r="G1225" i="5"/>
  <c r="G1224" i="5"/>
  <c r="G1223" i="5"/>
  <c r="G1222" i="5"/>
  <c r="G1221" i="5"/>
  <c r="G1220" i="5"/>
  <c r="G1219" i="5"/>
  <c r="G1218" i="5"/>
  <c r="G1217" i="5"/>
  <c r="G1216" i="5"/>
  <c r="G1215" i="5"/>
  <c r="G1214" i="5"/>
  <c r="G1213" i="5"/>
  <c r="G1212" i="5"/>
  <c r="G1211" i="5"/>
  <c r="G1210" i="5"/>
  <c r="G1209" i="5"/>
  <c r="G1208" i="5"/>
  <c r="G1207" i="5"/>
  <c r="G1206" i="5"/>
  <c r="G1205" i="5"/>
  <c r="G1204" i="5"/>
  <c r="G1203" i="5"/>
  <c r="G1202" i="5"/>
  <c r="G1201" i="5"/>
  <c r="G1200" i="5"/>
  <c r="G1199" i="5"/>
  <c r="G1198" i="5"/>
  <c r="G1197" i="5"/>
  <c r="G1196" i="5"/>
  <c r="G1195" i="5"/>
  <c r="G1194" i="5"/>
  <c r="G1193" i="5"/>
  <c r="G1192" i="5"/>
  <c r="G1191" i="5"/>
  <c r="G1190" i="5"/>
  <c r="G1189" i="5"/>
  <c r="G1188" i="5"/>
  <c r="G1187" i="5"/>
  <c r="G1186" i="5"/>
  <c r="G1185" i="5"/>
  <c r="G1184" i="5"/>
  <c r="G1183" i="5"/>
  <c r="G1182" i="5"/>
  <c r="G1181" i="5"/>
  <c r="G1180" i="5"/>
  <c r="G1179" i="5"/>
  <c r="G1178" i="5"/>
  <c r="G1177" i="5"/>
  <c r="G1176" i="5"/>
  <c r="G1175" i="5"/>
  <c r="G1174" i="5"/>
  <c r="G1173" i="5"/>
  <c r="G1172" i="5"/>
  <c r="G1171" i="5"/>
  <c r="G1170" i="5"/>
  <c r="G1169" i="5"/>
  <c r="G1168" i="5"/>
  <c r="G1167" i="5"/>
  <c r="G1166" i="5"/>
  <c r="G1165" i="5"/>
  <c r="G1164" i="5"/>
  <c r="G1163" i="5"/>
  <c r="G1162" i="5"/>
  <c r="G1161" i="5"/>
  <c r="G1160" i="5"/>
  <c r="G1159" i="5"/>
  <c r="G1158" i="5"/>
  <c r="G1157" i="5"/>
  <c r="G1156" i="5"/>
  <c r="G1155" i="5"/>
  <c r="G1154" i="5"/>
  <c r="G1153" i="5"/>
  <c r="G1152" i="5"/>
  <c r="G1151" i="5"/>
  <c r="G1150" i="5"/>
  <c r="G1149" i="5"/>
  <c r="G1148" i="5"/>
  <c r="G1147" i="5"/>
  <c r="G1146" i="5"/>
  <c r="G1145" i="5"/>
  <c r="G1144" i="5"/>
  <c r="G1143" i="5"/>
  <c r="G1142" i="5"/>
  <c r="G1141" i="5"/>
  <c r="G1140" i="5"/>
  <c r="G1139" i="5"/>
  <c r="G1138" i="5"/>
  <c r="G1137" i="5"/>
  <c r="G1136" i="5"/>
  <c r="G1135" i="5"/>
  <c r="G1134" i="5"/>
  <c r="G1133" i="5"/>
  <c r="G1132" i="5"/>
  <c r="G1131" i="5"/>
  <c r="G1130" i="5"/>
  <c r="G1129" i="5"/>
  <c r="G1128" i="5"/>
  <c r="G1127" i="5"/>
  <c r="G1126" i="5"/>
  <c r="G1125" i="5"/>
  <c r="G1124" i="5"/>
  <c r="G1123" i="5"/>
  <c r="G1122" i="5"/>
  <c r="G1121" i="5"/>
  <c r="G1120" i="5"/>
  <c r="G1119" i="5"/>
  <c r="G1118" i="5"/>
  <c r="G1117" i="5"/>
  <c r="G1116" i="5"/>
  <c r="G1115" i="5"/>
  <c r="G1114" i="5"/>
  <c r="G1113" i="5"/>
  <c r="G1112" i="5"/>
  <c r="G1111" i="5"/>
  <c r="G1110" i="5"/>
  <c r="G1109" i="5"/>
  <c r="G1108" i="5"/>
  <c r="G1107" i="5"/>
  <c r="G1106" i="5"/>
  <c r="G1105" i="5"/>
  <c r="G1104" i="5"/>
  <c r="G1103" i="5"/>
  <c r="G1102" i="5"/>
  <c r="G1101" i="5"/>
  <c r="G1100" i="5"/>
  <c r="G1099" i="5"/>
  <c r="G1098" i="5"/>
  <c r="G1097" i="5"/>
  <c r="G1096" i="5"/>
  <c r="G1095" i="5"/>
  <c r="G1094" i="5"/>
  <c r="G1093" i="5"/>
  <c r="G1092" i="5"/>
  <c r="G1091" i="5"/>
  <c r="G1090" i="5"/>
  <c r="G1089" i="5"/>
  <c r="G1088" i="5"/>
  <c r="G1087" i="5"/>
  <c r="G1086" i="5"/>
  <c r="G1085" i="5"/>
  <c r="G1084" i="5"/>
  <c r="G1083" i="5"/>
  <c r="G1082" i="5"/>
  <c r="G1081" i="5"/>
  <c r="G1080" i="5"/>
  <c r="G1079" i="5"/>
  <c r="G1078" i="5"/>
  <c r="G1077" i="5"/>
  <c r="G1076" i="5"/>
  <c r="G1075" i="5"/>
  <c r="G1074" i="5"/>
  <c r="G1073" i="5"/>
  <c r="G1072" i="5"/>
  <c r="G1071" i="5"/>
  <c r="G1070" i="5"/>
  <c r="G1069" i="5"/>
  <c r="G1068" i="5"/>
  <c r="G1067" i="5"/>
  <c r="G1066" i="5"/>
  <c r="G1065" i="5"/>
  <c r="G1064" i="5"/>
  <c r="G1063" i="5"/>
  <c r="G1062" i="5"/>
  <c r="G1061" i="5"/>
  <c r="G1060" i="5"/>
  <c r="G1059" i="5"/>
  <c r="G1058" i="5"/>
  <c r="G1057" i="5"/>
  <c r="G1056" i="5"/>
  <c r="G1055" i="5"/>
  <c r="G1054" i="5"/>
  <c r="G1053" i="5"/>
  <c r="G1052" i="5"/>
  <c r="G1051" i="5"/>
  <c r="G1050" i="5"/>
  <c r="G1049" i="5"/>
  <c r="G1048" i="5"/>
  <c r="G1047" i="5"/>
  <c r="G1046" i="5"/>
  <c r="G1045" i="5"/>
  <c r="G1044" i="5"/>
  <c r="G1043" i="5"/>
  <c r="G1042" i="5"/>
  <c r="G1041" i="5"/>
  <c r="G1040" i="5"/>
  <c r="G1039" i="5"/>
  <c r="G1038" i="5"/>
  <c r="G1037" i="5"/>
  <c r="G1036" i="5"/>
  <c r="G1035" i="5"/>
  <c r="G1034" i="5"/>
  <c r="G1033" i="5"/>
  <c r="G1032" i="5"/>
  <c r="G1031" i="5"/>
  <c r="G1030" i="5"/>
  <c r="G1029" i="5"/>
  <c r="G1028" i="5"/>
  <c r="G1027" i="5"/>
  <c r="G1026" i="5"/>
  <c r="G1025" i="5"/>
  <c r="G1024" i="5"/>
  <c r="G1023" i="5"/>
  <c r="G1022" i="5"/>
  <c r="G1021" i="5"/>
  <c r="G1020" i="5"/>
  <c r="G1019" i="5"/>
  <c r="G1018" i="5"/>
  <c r="G1017" i="5"/>
  <c r="G1016" i="5"/>
  <c r="G1015" i="5"/>
  <c r="G1014" i="5"/>
  <c r="G1013" i="5"/>
  <c r="G1012" i="5"/>
  <c r="G1011" i="5"/>
  <c r="G1010" i="5"/>
  <c r="G1009" i="5"/>
  <c r="G1008" i="5"/>
  <c r="G1007" i="5"/>
  <c r="G1006" i="5"/>
  <c r="G1005" i="5"/>
  <c r="G1004" i="5"/>
  <c r="G1003" i="5"/>
  <c r="G1002" i="5"/>
  <c r="G1001" i="5"/>
  <c r="G1000" i="5"/>
  <c r="G999" i="5"/>
  <c r="G998" i="5"/>
  <c r="G997" i="5"/>
  <c r="G996" i="5"/>
  <c r="G995" i="5"/>
  <c r="G994" i="5"/>
  <c r="G993" i="5"/>
  <c r="G992" i="5"/>
  <c r="G991" i="5"/>
  <c r="G990" i="5"/>
  <c r="G989" i="5"/>
  <c r="G988" i="5"/>
  <c r="G987" i="5"/>
  <c r="G986" i="5"/>
  <c r="G985" i="5"/>
  <c r="G984" i="5"/>
  <c r="G983" i="5"/>
  <c r="G982" i="5"/>
  <c r="G981" i="5"/>
  <c r="G980" i="5"/>
  <c r="G979" i="5"/>
  <c r="G978" i="5"/>
  <c r="G977" i="5"/>
  <c r="G976" i="5"/>
  <c r="G975" i="5"/>
  <c r="G974" i="5"/>
  <c r="G973" i="5"/>
  <c r="G972" i="5"/>
  <c r="G971" i="5"/>
  <c r="G970" i="5"/>
  <c r="G969" i="5"/>
  <c r="G968" i="5"/>
  <c r="G967" i="5"/>
  <c r="G966" i="5"/>
  <c r="G965" i="5"/>
  <c r="G964" i="5"/>
  <c r="G963" i="5"/>
  <c r="G962" i="5"/>
  <c r="G961" i="5"/>
  <c r="G960" i="5"/>
  <c r="G959" i="5"/>
  <c r="G958" i="5"/>
  <c r="G957" i="5"/>
  <c r="G956" i="5"/>
  <c r="G955" i="5"/>
  <c r="G954" i="5"/>
  <c r="G953" i="5"/>
  <c r="G952" i="5"/>
  <c r="G951" i="5"/>
  <c r="G950" i="5"/>
  <c r="G949" i="5"/>
  <c r="G948" i="5"/>
  <c r="G947" i="5"/>
  <c r="G946" i="5"/>
  <c r="G945" i="5"/>
  <c r="G944" i="5"/>
  <c r="G943" i="5"/>
  <c r="G942" i="5"/>
  <c r="G941" i="5"/>
  <c r="G940" i="5"/>
  <c r="G939" i="5"/>
  <c r="G938" i="5"/>
  <c r="G937" i="5"/>
  <c r="G936" i="5"/>
  <c r="G935" i="5"/>
  <c r="G934" i="5"/>
  <c r="G933" i="5"/>
  <c r="G932" i="5"/>
  <c r="G931" i="5"/>
  <c r="G930" i="5"/>
  <c r="G929" i="5"/>
  <c r="G928" i="5"/>
  <c r="G927" i="5"/>
  <c r="G926" i="5"/>
  <c r="G925" i="5"/>
  <c r="G924" i="5"/>
  <c r="G923" i="5"/>
  <c r="G922" i="5"/>
  <c r="G921" i="5"/>
  <c r="G920" i="5"/>
  <c r="G919" i="5"/>
  <c r="G918" i="5"/>
  <c r="G917" i="5"/>
  <c r="G916" i="5"/>
  <c r="G915" i="5"/>
  <c r="G914" i="5"/>
  <c r="G913" i="5"/>
  <c r="G912" i="5"/>
  <c r="G911" i="5"/>
  <c r="G910" i="5"/>
  <c r="G909" i="5"/>
  <c r="G908" i="5"/>
  <c r="G907" i="5"/>
  <c r="G906" i="5"/>
  <c r="G905" i="5"/>
  <c r="G904" i="5"/>
  <c r="G903" i="5"/>
  <c r="G902" i="5"/>
  <c r="G901" i="5"/>
  <c r="G900" i="5"/>
  <c r="G899" i="5"/>
  <c r="G898" i="5"/>
  <c r="G897" i="5"/>
  <c r="G896" i="5"/>
  <c r="G895" i="5"/>
  <c r="G894" i="5"/>
  <c r="G893" i="5"/>
  <c r="G892" i="5"/>
  <c r="G891" i="5"/>
  <c r="G890" i="5"/>
  <c r="G889" i="5"/>
  <c r="G888" i="5"/>
  <c r="G887" i="5"/>
  <c r="G886" i="5"/>
  <c r="G885" i="5"/>
  <c r="G884" i="5"/>
  <c r="G883" i="5"/>
  <c r="G882" i="5"/>
  <c r="G881" i="5"/>
  <c r="G880" i="5"/>
  <c r="G879" i="5"/>
  <c r="G878" i="5"/>
  <c r="G877" i="5"/>
  <c r="G876" i="5"/>
  <c r="G875" i="5"/>
  <c r="G874" i="5"/>
  <c r="G873" i="5"/>
  <c r="G872" i="5"/>
  <c r="G871" i="5"/>
  <c r="G870" i="5"/>
  <c r="G869" i="5"/>
  <c r="G868" i="5"/>
  <c r="G867" i="5"/>
  <c r="G866" i="5"/>
  <c r="G865" i="5"/>
  <c r="G864" i="5"/>
  <c r="G863" i="5"/>
  <c r="G862" i="5"/>
  <c r="G861" i="5"/>
  <c r="G860" i="5"/>
  <c r="G859" i="5"/>
  <c r="G858" i="5"/>
  <c r="G857" i="5"/>
  <c r="G856" i="5"/>
  <c r="G855" i="5"/>
  <c r="G854" i="5"/>
  <c r="G853" i="5"/>
  <c r="G852" i="5"/>
  <c r="G851" i="5"/>
  <c r="G850" i="5"/>
  <c r="G849" i="5"/>
  <c r="G848" i="5"/>
  <c r="G847" i="5"/>
  <c r="G846" i="5"/>
  <c r="G845" i="5"/>
  <c r="G844" i="5"/>
  <c r="G843" i="5"/>
  <c r="G842" i="5"/>
  <c r="G841" i="5"/>
  <c r="G840" i="5"/>
  <c r="G839" i="5"/>
  <c r="G838" i="5"/>
  <c r="G837" i="5"/>
  <c r="G836" i="5"/>
  <c r="G835" i="5"/>
  <c r="G834" i="5"/>
  <c r="G833" i="5"/>
  <c r="G832" i="5"/>
  <c r="G831" i="5"/>
  <c r="G830" i="5"/>
  <c r="G829" i="5"/>
  <c r="G828" i="5"/>
  <c r="G827" i="5"/>
  <c r="G826" i="5"/>
  <c r="G825" i="5"/>
  <c r="G824" i="5"/>
  <c r="G823" i="5"/>
  <c r="G822" i="5"/>
  <c r="G821" i="5"/>
  <c r="G820" i="5"/>
  <c r="G819" i="5"/>
  <c r="G818" i="5"/>
  <c r="G817" i="5"/>
  <c r="G816" i="5"/>
  <c r="G815" i="5"/>
  <c r="G814" i="5"/>
  <c r="G813" i="5"/>
  <c r="G812" i="5"/>
  <c r="G811" i="5"/>
  <c r="G810" i="5"/>
  <c r="G809" i="5"/>
  <c r="G808" i="5"/>
  <c r="G807" i="5"/>
  <c r="G806" i="5"/>
  <c r="G805" i="5"/>
  <c r="G804" i="5"/>
  <c r="G803" i="5"/>
  <c r="G802" i="5"/>
  <c r="G801" i="5"/>
  <c r="G800" i="5"/>
  <c r="G799" i="5"/>
  <c r="G798" i="5"/>
  <c r="G797" i="5"/>
  <c r="G796" i="5"/>
  <c r="G795" i="5"/>
  <c r="G794" i="5"/>
  <c r="G793" i="5"/>
  <c r="G792" i="5"/>
  <c r="G791" i="5"/>
  <c r="G790" i="5"/>
  <c r="G789" i="5"/>
  <c r="G788" i="5"/>
  <c r="G787" i="5"/>
  <c r="G786" i="5"/>
  <c r="G785" i="5"/>
  <c r="G784" i="5"/>
  <c r="G783" i="5"/>
  <c r="G782" i="5"/>
  <c r="G781" i="5"/>
  <c r="G780" i="5"/>
  <c r="G779" i="5"/>
  <c r="G778" i="5"/>
  <c r="G777" i="5"/>
  <c r="G776" i="5"/>
  <c r="G775" i="5"/>
  <c r="G774" i="5"/>
  <c r="G773" i="5"/>
  <c r="G772" i="5"/>
  <c r="G771" i="5"/>
  <c r="G770" i="5"/>
  <c r="G769" i="5"/>
  <c r="G768" i="5"/>
  <c r="G767" i="5"/>
  <c r="G766" i="5"/>
  <c r="G765" i="5"/>
  <c r="G764" i="5"/>
  <c r="G763" i="5"/>
  <c r="G762" i="5"/>
  <c r="G761" i="5"/>
  <c r="G760" i="5"/>
  <c r="G759" i="5"/>
  <c r="G758" i="5"/>
  <c r="G757" i="5"/>
  <c r="G756" i="5"/>
  <c r="G755" i="5"/>
  <c r="G754" i="5"/>
  <c r="G753" i="5"/>
  <c r="G752" i="5"/>
  <c r="G751" i="5"/>
  <c r="G750" i="5"/>
  <c r="G749" i="5"/>
  <c r="G748" i="5"/>
  <c r="G747" i="5"/>
  <c r="G746" i="5"/>
  <c r="G745" i="5"/>
  <c r="G744" i="5"/>
  <c r="G743" i="5"/>
  <c r="G742" i="5"/>
  <c r="G741" i="5"/>
  <c r="G740" i="5"/>
  <c r="G739" i="5"/>
  <c r="G738" i="5"/>
  <c r="G737" i="5"/>
  <c r="G736" i="5"/>
  <c r="G735" i="5"/>
  <c r="G734" i="5"/>
  <c r="G733" i="5"/>
  <c r="G732" i="5"/>
  <c r="G731" i="5"/>
  <c r="G730" i="5"/>
  <c r="G729" i="5"/>
  <c r="G728" i="5"/>
  <c r="G727" i="5"/>
  <c r="G726" i="5"/>
  <c r="G725" i="5"/>
  <c r="G724" i="5"/>
  <c r="G723" i="5"/>
  <c r="G722" i="5"/>
  <c r="G721" i="5"/>
  <c r="G720" i="5"/>
  <c r="G719" i="5"/>
  <c r="G718" i="5"/>
  <c r="G717" i="5"/>
  <c r="G716" i="5"/>
  <c r="G715" i="5"/>
  <c r="G714" i="5"/>
  <c r="G713" i="5"/>
  <c r="G712" i="5"/>
  <c r="G711" i="5"/>
  <c r="G710" i="5"/>
  <c r="G709" i="5"/>
  <c r="G708" i="5"/>
  <c r="G707" i="5"/>
  <c r="G706" i="5"/>
  <c r="G705" i="5"/>
  <c r="G704" i="5"/>
  <c r="G703" i="5"/>
  <c r="G702" i="5"/>
  <c r="G701" i="5"/>
  <c r="G700" i="5"/>
  <c r="G699" i="5"/>
  <c r="G698" i="5"/>
  <c r="G697" i="5"/>
  <c r="G696" i="5"/>
  <c r="G695" i="5"/>
  <c r="G694" i="5"/>
  <c r="G693" i="5"/>
  <c r="G692" i="5"/>
  <c r="G691" i="5"/>
  <c r="G690" i="5"/>
  <c r="G689" i="5"/>
  <c r="G688" i="5"/>
  <c r="G687" i="5"/>
  <c r="G686" i="5"/>
  <c r="G685" i="5"/>
  <c r="G684" i="5"/>
  <c r="G683" i="5"/>
  <c r="G682" i="5"/>
  <c r="G681" i="5"/>
  <c r="G680" i="5"/>
  <c r="G679" i="5"/>
  <c r="G678" i="5"/>
  <c r="G677" i="5"/>
  <c r="G676" i="5"/>
  <c r="G675" i="5"/>
  <c r="G674" i="5"/>
  <c r="G673" i="5"/>
  <c r="G672" i="5"/>
  <c r="G671" i="5"/>
  <c r="G670" i="5"/>
  <c r="G669" i="5"/>
  <c r="G668" i="5"/>
  <c r="G667" i="5"/>
  <c r="G666" i="5"/>
  <c r="G665" i="5"/>
  <c r="G664" i="5"/>
  <c r="G663" i="5"/>
  <c r="G662" i="5"/>
  <c r="G661" i="5"/>
  <c r="G660" i="5"/>
  <c r="G659" i="5"/>
  <c r="G658" i="5"/>
  <c r="G657" i="5"/>
  <c r="G656" i="5"/>
  <c r="G655" i="5"/>
  <c r="G654" i="5"/>
  <c r="G653" i="5"/>
  <c r="G652" i="5"/>
  <c r="G651" i="5"/>
  <c r="G650" i="5"/>
  <c r="G649" i="5"/>
  <c r="G648" i="5"/>
  <c r="G647" i="5"/>
  <c r="G646" i="5"/>
  <c r="G645" i="5"/>
  <c r="G644" i="5"/>
  <c r="G643" i="5"/>
  <c r="G642" i="5"/>
  <c r="G641" i="5"/>
  <c r="G640" i="5"/>
  <c r="G639" i="5"/>
  <c r="G638" i="5"/>
  <c r="G637" i="5"/>
  <c r="G636" i="5"/>
  <c r="G635" i="5"/>
  <c r="G634" i="5"/>
  <c r="G633" i="5"/>
  <c r="G632" i="5"/>
  <c r="G631" i="5"/>
  <c r="G630" i="5"/>
  <c r="G629" i="5"/>
  <c r="G628" i="5"/>
  <c r="G627" i="5"/>
  <c r="G626" i="5"/>
  <c r="G625" i="5"/>
  <c r="G624" i="5"/>
  <c r="G623" i="5"/>
  <c r="G622" i="5"/>
  <c r="G621" i="5"/>
  <c r="G620" i="5"/>
  <c r="G619" i="5"/>
  <c r="G618" i="5"/>
  <c r="G617" i="5"/>
  <c r="G616" i="5"/>
  <c r="G615" i="5"/>
  <c r="G614" i="5"/>
  <c r="G613" i="5"/>
  <c r="G612" i="5"/>
  <c r="G611" i="5"/>
  <c r="G610" i="5"/>
  <c r="G609" i="5"/>
  <c r="G608" i="5"/>
  <c r="G607" i="5"/>
  <c r="G606" i="5"/>
  <c r="G605" i="5"/>
  <c r="G604" i="5"/>
  <c r="G603" i="5"/>
  <c r="G602" i="5"/>
  <c r="G601" i="5"/>
  <c r="G600" i="5"/>
  <c r="G599" i="5"/>
  <c r="G598" i="5"/>
  <c r="G597" i="5"/>
  <c r="G596" i="5"/>
  <c r="G595" i="5"/>
  <c r="G594" i="5"/>
  <c r="G593" i="5"/>
  <c r="G592" i="5"/>
  <c r="G591" i="5"/>
  <c r="G590" i="5"/>
  <c r="G589" i="5"/>
  <c r="G588" i="5"/>
  <c r="G587" i="5"/>
  <c r="G586" i="5"/>
  <c r="G585" i="5"/>
  <c r="G584" i="5"/>
  <c r="G583" i="5"/>
  <c r="G582" i="5"/>
  <c r="G581" i="5"/>
  <c r="G580" i="5"/>
  <c r="G579" i="5"/>
  <c r="G578" i="5"/>
  <c r="G577" i="5"/>
  <c r="G576" i="5"/>
  <c r="G575" i="5"/>
  <c r="G574" i="5"/>
  <c r="G573" i="5"/>
  <c r="G572" i="5"/>
  <c r="G571" i="5"/>
  <c r="G570" i="5"/>
  <c r="G569" i="5"/>
  <c r="G568" i="5"/>
  <c r="G567" i="5"/>
  <c r="G566" i="5"/>
  <c r="G565" i="5"/>
  <c r="G564" i="5"/>
  <c r="G563" i="5"/>
  <c r="G562" i="5"/>
  <c r="G561" i="5"/>
  <c r="G560" i="5"/>
  <c r="G559" i="5"/>
  <c r="G558" i="5"/>
  <c r="G557" i="5"/>
  <c r="G556" i="5"/>
  <c r="G555" i="5"/>
  <c r="G554" i="5"/>
  <c r="G553" i="5"/>
  <c r="G552" i="5"/>
  <c r="G551" i="5"/>
  <c r="G550" i="5"/>
  <c r="G549" i="5"/>
  <c r="G548" i="5"/>
  <c r="G547" i="5"/>
  <c r="G546" i="5"/>
  <c r="G545" i="5"/>
  <c r="G544" i="5"/>
  <c r="G543" i="5"/>
  <c r="G542" i="5"/>
  <c r="G541" i="5"/>
  <c r="G540" i="5"/>
  <c r="G539" i="5"/>
  <c r="G538" i="5"/>
  <c r="G537" i="5"/>
  <c r="G536" i="5"/>
  <c r="G535" i="5"/>
  <c r="G534" i="5"/>
  <c r="G533" i="5"/>
  <c r="G532" i="5"/>
  <c r="G531" i="5"/>
  <c r="G530" i="5"/>
  <c r="G529" i="5"/>
  <c r="G528" i="5"/>
  <c r="G527" i="5"/>
  <c r="G526" i="5"/>
  <c r="G525" i="5"/>
  <c r="G524" i="5"/>
  <c r="G523" i="5"/>
  <c r="G522" i="5"/>
  <c r="G521" i="5"/>
  <c r="G520" i="5"/>
  <c r="G519" i="5"/>
  <c r="G518" i="5"/>
  <c r="G517" i="5"/>
  <c r="G516" i="5"/>
  <c r="G515" i="5"/>
  <c r="G514" i="5"/>
  <c r="G513" i="5"/>
  <c r="G512" i="5"/>
  <c r="G511" i="5"/>
  <c r="G510" i="5"/>
  <c r="G509" i="5"/>
  <c r="G508" i="5"/>
  <c r="G507" i="5"/>
  <c r="G506" i="5"/>
  <c r="G505" i="5"/>
  <c r="G504" i="5"/>
  <c r="G503" i="5"/>
  <c r="G502" i="5"/>
  <c r="G501" i="5"/>
  <c r="G500" i="5"/>
  <c r="G499" i="5"/>
  <c r="G498" i="5"/>
  <c r="G497" i="5"/>
  <c r="G496" i="5"/>
  <c r="G495" i="5"/>
  <c r="G494" i="5"/>
  <c r="G493" i="5"/>
  <c r="G492" i="5"/>
  <c r="G491" i="5"/>
  <c r="G490" i="5"/>
  <c r="G489" i="5"/>
  <c r="G488" i="5"/>
  <c r="G487" i="5"/>
  <c r="G486" i="5"/>
  <c r="G485" i="5"/>
  <c r="G484" i="5"/>
  <c r="G483" i="5"/>
  <c r="G482" i="5"/>
  <c r="G481" i="5"/>
  <c r="G480" i="5"/>
  <c r="G479" i="5"/>
  <c r="G478" i="5"/>
  <c r="G477" i="5"/>
  <c r="G476" i="5"/>
  <c r="G475" i="5"/>
  <c r="G474" i="5"/>
  <c r="G473" i="5"/>
  <c r="G472" i="5"/>
  <c r="G471" i="5"/>
  <c r="G470" i="5"/>
  <c r="G469" i="5"/>
  <c r="G468" i="5"/>
  <c r="G467" i="5"/>
  <c r="G466" i="5"/>
  <c r="G465" i="5"/>
  <c r="G464" i="5"/>
  <c r="G463" i="5"/>
  <c r="G462" i="5"/>
  <c r="G461" i="5"/>
  <c r="G460" i="5"/>
  <c r="G459" i="5"/>
  <c r="G458" i="5"/>
  <c r="G457" i="5"/>
  <c r="G456" i="5"/>
  <c r="G455" i="5"/>
  <c r="G454" i="5"/>
  <c r="G453" i="5"/>
  <c r="G452" i="5"/>
  <c r="G451" i="5"/>
  <c r="G450" i="5"/>
  <c r="G449" i="5"/>
  <c r="G448" i="5"/>
  <c r="G447" i="5"/>
  <c r="G446" i="5"/>
  <c r="G445" i="5"/>
  <c r="G444" i="5"/>
  <c r="G443" i="5"/>
  <c r="G442" i="5"/>
  <c r="G441" i="5"/>
  <c r="G440" i="5"/>
  <c r="G439" i="5"/>
  <c r="G438" i="5"/>
  <c r="G437" i="5"/>
  <c r="G436" i="5"/>
  <c r="G435" i="5"/>
  <c r="G434" i="5"/>
  <c r="G433" i="5"/>
  <c r="G432" i="5"/>
  <c r="G431" i="5"/>
  <c r="G430" i="5"/>
  <c r="G429" i="5"/>
  <c r="G428" i="5"/>
  <c r="G427" i="5"/>
  <c r="G426" i="5"/>
  <c r="G425" i="5"/>
  <c r="G424" i="5"/>
  <c r="G423" i="5"/>
  <c r="G422" i="5"/>
  <c r="G421" i="5"/>
  <c r="G420" i="5"/>
  <c r="G419" i="5"/>
  <c r="G418" i="5"/>
  <c r="G417" i="5"/>
  <c r="G416" i="5"/>
  <c r="G415" i="5"/>
  <c r="G414" i="5"/>
  <c r="G413" i="5"/>
  <c r="G412" i="5"/>
  <c r="G411" i="5"/>
  <c r="G410" i="5"/>
  <c r="G409" i="5"/>
  <c r="G408" i="5"/>
  <c r="G407" i="5"/>
  <c r="G406" i="5"/>
  <c r="G405" i="5"/>
  <c r="G404" i="5"/>
  <c r="G403" i="5"/>
  <c r="G402" i="5"/>
  <c r="G401" i="5"/>
  <c r="G400" i="5"/>
  <c r="G399" i="5"/>
  <c r="G398" i="5"/>
  <c r="G397" i="5"/>
  <c r="G396" i="5"/>
  <c r="G395" i="5"/>
  <c r="G394" i="5"/>
  <c r="G393" i="5"/>
  <c r="G392" i="5"/>
  <c r="G391" i="5"/>
  <c r="G390" i="5"/>
  <c r="G389" i="5"/>
  <c r="G388" i="5"/>
  <c r="G387" i="5"/>
  <c r="G386" i="5"/>
  <c r="G385" i="5"/>
  <c r="G384" i="5"/>
  <c r="G383" i="5"/>
  <c r="G382" i="5"/>
  <c r="G381" i="5"/>
  <c r="G380" i="5"/>
  <c r="G379" i="5"/>
  <c r="G378" i="5"/>
  <c r="G377" i="5"/>
  <c r="G376" i="5"/>
  <c r="G375" i="5"/>
  <c r="G374" i="5"/>
  <c r="G373" i="5"/>
  <c r="G372" i="5"/>
  <c r="G371" i="5"/>
  <c r="G370" i="5"/>
  <c r="G369" i="5"/>
  <c r="G368" i="5"/>
  <c r="G367" i="5"/>
  <c r="G366" i="5"/>
  <c r="G365" i="5"/>
  <c r="G364" i="5"/>
  <c r="G363" i="5"/>
  <c r="G362" i="5"/>
  <c r="G361" i="5"/>
  <c r="G360" i="5"/>
  <c r="G359" i="5"/>
  <c r="G358" i="5"/>
  <c r="G357" i="5"/>
  <c r="G356" i="5"/>
  <c r="G355" i="5"/>
  <c r="G354" i="5"/>
  <c r="G353" i="5"/>
  <c r="G352" i="5"/>
  <c r="G351" i="5"/>
  <c r="G350" i="5"/>
  <c r="G349" i="5"/>
  <c r="G348" i="5"/>
  <c r="G347" i="5"/>
  <c r="G346" i="5"/>
  <c r="G345" i="5"/>
  <c r="G344" i="5"/>
  <c r="G343" i="5"/>
  <c r="G342" i="5"/>
  <c r="G341" i="5"/>
  <c r="G340" i="5"/>
  <c r="G339" i="5"/>
  <c r="G338" i="5"/>
  <c r="G337" i="5"/>
  <c r="G336" i="5"/>
  <c r="G335" i="5"/>
  <c r="G334" i="5"/>
  <c r="G333" i="5"/>
  <c r="G332" i="5"/>
  <c r="G331" i="5"/>
  <c r="G330" i="5"/>
  <c r="G329" i="5"/>
  <c r="G328" i="5"/>
  <c r="G327" i="5"/>
  <c r="G326" i="5"/>
  <c r="G325" i="5"/>
  <c r="G324" i="5"/>
  <c r="G323" i="5"/>
  <c r="G322" i="5"/>
  <c r="G321" i="5"/>
  <c r="G320" i="5"/>
  <c r="G319" i="5"/>
  <c r="G318" i="5"/>
  <c r="G317" i="5"/>
  <c r="G316" i="5"/>
  <c r="G315" i="5"/>
  <c r="G314" i="5"/>
  <c r="G313" i="5"/>
  <c r="G312" i="5"/>
  <c r="G311" i="5"/>
  <c r="G310" i="5"/>
  <c r="G309" i="5"/>
  <c r="G308" i="5"/>
  <c r="G307" i="5"/>
  <c r="G306" i="5"/>
  <c r="G305" i="5"/>
  <c r="G304" i="5"/>
  <c r="G303" i="5"/>
  <c r="G302" i="5"/>
  <c r="G301" i="5"/>
  <c r="G300" i="5"/>
  <c r="G299" i="5"/>
  <c r="G298" i="5"/>
  <c r="G297" i="5"/>
  <c r="G296" i="5"/>
  <c r="G295" i="5"/>
  <c r="G294" i="5"/>
  <c r="G293" i="5"/>
  <c r="G292" i="5"/>
  <c r="G291" i="5"/>
  <c r="G290" i="5"/>
  <c r="G289" i="5"/>
  <c r="G288" i="5"/>
  <c r="G287" i="5"/>
  <c r="G286" i="5"/>
  <c r="G285" i="5"/>
  <c r="G284" i="5"/>
  <c r="G283" i="5"/>
  <c r="G282" i="5"/>
  <c r="G281" i="5"/>
  <c r="G280" i="5"/>
  <c r="G279" i="5"/>
  <c r="G278" i="5"/>
  <c r="G277" i="5"/>
  <c r="G276" i="5"/>
  <c r="G275" i="5"/>
  <c r="G274" i="5"/>
  <c r="G273" i="5"/>
  <c r="G272" i="5"/>
  <c r="G271" i="5"/>
  <c r="G270" i="5"/>
  <c r="G269" i="5"/>
  <c r="G268" i="5"/>
  <c r="G267" i="5"/>
  <c r="G266" i="5"/>
  <c r="G265" i="5"/>
  <c r="G264" i="5"/>
  <c r="G263" i="5"/>
  <c r="G262" i="5"/>
  <c r="G261" i="5"/>
  <c r="G260" i="5"/>
  <c r="G259" i="5"/>
  <c r="G258" i="5"/>
  <c r="G257" i="5"/>
  <c r="G256" i="5"/>
  <c r="G255" i="5"/>
  <c r="G254" i="5"/>
  <c r="G253" i="5"/>
  <c r="G252" i="5"/>
  <c r="G251" i="5"/>
  <c r="G250" i="5"/>
  <c r="G249" i="5"/>
  <c r="G248" i="5"/>
  <c r="G247" i="5"/>
  <c r="G246" i="5"/>
  <c r="G245" i="5"/>
  <c r="G244" i="5"/>
  <c r="G243" i="5"/>
  <c r="G242" i="5"/>
  <c r="G241" i="5"/>
  <c r="G240" i="5"/>
  <c r="G239" i="5"/>
  <c r="G238" i="5"/>
  <c r="G237" i="5"/>
  <c r="G236" i="5"/>
  <c r="G235" i="5"/>
  <c r="G234" i="5"/>
  <c r="G233" i="5"/>
  <c r="G232" i="5"/>
  <c r="G231" i="5"/>
  <c r="G230" i="5"/>
  <c r="G229" i="5"/>
  <c r="G228" i="5"/>
  <c r="G227" i="5"/>
  <c r="G226" i="5"/>
  <c r="G225" i="5"/>
  <c r="G224" i="5"/>
  <c r="G223" i="5"/>
  <c r="G222" i="5"/>
  <c r="G221" i="5"/>
  <c r="G220" i="5"/>
  <c r="G219" i="5"/>
  <c r="G218" i="5"/>
  <c r="G217" i="5"/>
  <c r="G216" i="5"/>
  <c r="G215" i="5"/>
  <c r="G214" i="5"/>
  <c r="G213" i="5"/>
  <c r="G212" i="5"/>
  <c r="G211" i="5"/>
  <c r="G210" i="5"/>
  <c r="G209" i="5"/>
  <c r="G208" i="5"/>
  <c r="G207" i="5"/>
  <c r="G206" i="5"/>
  <c r="G205" i="5"/>
  <c r="G204" i="5"/>
  <c r="G203" i="5"/>
  <c r="G202" i="5"/>
  <c r="G201" i="5"/>
  <c r="G200" i="5"/>
  <c r="G199" i="5"/>
  <c r="G198" i="5"/>
  <c r="G197" i="5"/>
  <c r="G196" i="5"/>
  <c r="G195" i="5"/>
  <c r="G194" i="5"/>
  <c r="G193" i="5"/>
  <c r="G192" i="5"/>
  <c r="G191" i="5"/>
  <c r="G190" i="5"/>
  <c r="G189" i="5"/>
  <c r="G188" i="5"/>
  <c r="G187" i="5"/>
  <c r="G186" i="5"/>
  <c r="G185" i="5"/>
  <c r="G184" i="5"/>
  <c r="G183" i="5"/>
  <c r="G182" i="5"/>
  <c r="G181" i="5"/>
  <c r="G180" i="5"/>
  <c r="G179" i="5"/>
  <c r="G178" i="5"/>
  <c r="G177" i="5"/>
  <c r="G176" i="5"/>
  <c r="G175" i="5"/>
  <c r="G174" i="5"/>
  <c r="G173" i="5"/>
  <c r="G172" i="5"/>
  <c r="G171" i="5"/>
  <c r="G170" i="5"/>
  <c r="G169" i="5"/>
  <c r="G168" i="5"/>
  <c r="G167" i="5"/>
  <c r="G166" i="5"/>
  <c r="G165" i="5"/>
  <c r="G164" i="5"/>
  <c r="G163" i="5"/>
  <c r="G162" i="5"/>
  <c r="G161" i="5"/>
  <c r="G160" i="5"/>
  <c r="G159" i="5"/>
  <c r="G158" i="5"/>
  <c r="G157" i="5"/>
  <c r="G156" i="5"/>
  <c r="G155" i="5"/>
  <c r="G154" i="5"/>
  <c r="G153" i="5"/>
  <c r="G152" i="5"/>
  <c r="G151" i="5"/>
  <c r="G150" i="5"/>
  <c r="G149" i="5"/>
  <c r="G148" i="5"/>
  <c r="G147" i="5"/>
  <c r="G146" i="5"/>
  <c r="G145" i="5"/>
  <c r="G144" i="5"/>
  <c r="G143" i="5"/>
  <c r="G142" i="5"/>
  <c r="G141" i="5"/>
  <c r="G140" i="5"/>
  <c r="G139" i="5"/>
  <c r="G138" i="5"/>
  <c r="G137" i="5"/>
  <c r="G136" i="5"/>
  <c r="G135" i="5"/>
  <c r="G134" i="5"/>
  <c r="G133" i="5"/>
  <c r="G132" i="5"/>
  <c r="G131" i="5"/>
  <c r="G130" i="5"/>
  <c r="G129" i="5"/>
  <c r="G128" i="5"/>
  <c r="G127" i="5"/>
  <c r="G126" i="5"/>
  <c r="G125" i="5"/>
  <c r="G124" i="5"/>
  <c r="G123" i="5"/>
  <c r="G122" i="5"/>
  <c r="G121" i="5"/>
  <c r="G120" i="5"/>
  <c r="G119" i="5"/>
  <c r="G118" i="5"/>
  <c r="G117" i="5"/>
  <c r="G116" i="5"/>
  <c r="G115" i="5"/>
  <c r="G114" i="5"/>
  <c r="G113" i="5"/>
  <c r="G112" i="5"/>
  <c r="G111" i="5"/>
  <c r="G110" i="5"/>
  <c r="G109" i="5"/>
  <c r="G108" i="5"/>
  <c r="G107" i="5"/>
  <c r="G106" i="5"/>
  <c r="G105" i="5"/>
  <c r="G104" i="5"/>
  <c r="G103" i="5"/>
  <c r="G102" i="5"/>
  <c r="G101" i="5"/>
  <c r="G100" i="5"/>
  <c r="G99" i="5"/>
  <c r="G98" i="5"/>
  <c r="G97" i="5"/>
  <c r="G96" i="5"/>
  <c r="G95" i="5"/>
  <c r="G94" i="5"/>
  <c r="G93" i="5"/>
  <c r="G92" i="5"/>
  <c r="G91" i="5"/>
  <c r="G90" i="5"/>
  <c r="G89" i="5"/>
  <c r="G88" i="5"/>
  <c r="G87" i="5"/>
  <c r="G86" i="5"/>
  <c r="G85" i="5"/>
  <c r="G84" i="5"/>
  <c r="G83" i="5"/>
  <c r="G82" i="5"/>
  <c r="G81" i="5"/>
  <c r="G80" i="5"/>
  <c r="G79" i="5"/>
  <c r="G78" i="5"/>
  <c r="G77" i="5"/>
  <c r="G76" i="5"/>
  <c r="G75" i="5"/>
  <c r="G74" i="5"/>
  <c r="G73" i="5"/>
  <c r="G72" i="5"/>
  <c r="G71" i="5"/>
  <c r="G70" i="5"/>
  <c r="G69" i="5"/>
  <c r="G68" i="5"/>
  <c r="G67" i="5"/>
  <c r="G66" i="5"/>
  <c r="G65" i="5"/>
  <c r="G64" i="5"/>
  <c r="G63" i="5"/>
  <c r="G62" i="5"/>
  <c r="G61" i="5"/>
  <c r="G60" i="5"/>
  <c r="G59" i="5"/>
  <c r="G58" i="5"/>
  <c r="G57" i="5"/>
  <c r="G56" i="5"/>
  <c r="G55" i="5"/>
  <c r="G54" i="5"/>
  <c r="G53" i="5"/>
  <c r="G52" i="5"/>
  <c r="G51" i="5"/>
  <c r="G50" i="5"/>
  <c r="G49" i="5"/>
  <c r="G48" i="5"/>
  <c r="G47" i="5"/>
  <c r="G46" i="5"/>
  <c r="G45" i="5"/>
  <c r="G44" i="5"/>
  <c r="G43" i="5"/>
  <c r="G42" i="5"/>
  <c r="G41" i="5"/>
  <c r="G40" i="5"/>
  <c r="G39" i="5"/>
  <c r="G38" i="5"/>
  <c r="G37" i="5"/>
  <c r="G36" i="5"/>
  <c r="G35" i="5"/>
  <c r="G34" i="5"/>
  <c r="G33" i="5"/>
  <c r="G32" i="5"/>
  <c r="G31" i="5"/>
  <c r="G30" i="5"/>
  <c r="G29" i="5"/>
  <c r="G28" i="5"/>
  <c r="G27" i="5"/>
  <c r="G26" i="5"/>
  <c r="G25" i="5"/>
  <c r="G24" i="5"/>
  <c r="G23" i="5"/>
  <c r="G22" i="5"/>
  <c r="G21" i="5"/>
  <c r="G20" i="5"/>
  <c r="G19" i="5"/>
  <c r="G18" i="5"/>
  <c r="G17" i="5"/>
  <c r="G16" i="5"/>
  <c r="G15" i="5"/>
  <c r="G14" i="5"/>
  <c r="G13" i="5"/>
  <c r="G12" i="5"/>
  <c r="G11" i="5"/>
  <c r="G10" i="5"/>
  <c r="G9" i="5"/>
  <c r="G8" i="5"/>
  <c r="G7" i="5"/>
  <c r="G6" i="5"/>
  <c r="G5" i="5"/>
  <c r="F1452" i="5"/>
  <c r="F1451" i="5"/>
  <c r="F1450" i="5"/>
  <c r="F1449" i="5"/>
  <c r="F1448" i="5"/>
  <c r="F1447" i="5"/>
  <c r="F1446" i="5"/>
  <c r="F1445" i="5"/>
  <c r="F1444" i="5"/>
  <c r="F1443" i="5"/>
  <c r="F1442" i="5"/>
  <c r="F1441" i="5"/>
  <c r="F1440" i="5"/>
  <c r="F1439" i="5"/>
  <c r="F1438" i="5"/>
  <c r="F1437" i="5"/>
  <c r="F1436" i="5"/>
  <c r="F1435" i="5"/>
  <c r="F1434" i="5"/>
  <c r="F1433" i="5"/>
  <c r="F1432" i="5"/>
  <c r="F1431" i="5"/>
  <c r="F1430" i="5"/>
  <c r="F1429" i="5"/>
  <c r="F1428" i="5"/>
  <c r="F1427" i="5"/>
  <c r="F1426" i="5"/>
  <c r="F1425" i="5"/>
  <c r="F1424" i="5"/>
  <c r="F1423" i="5"/>
  <c r="F1422" i="5"/>
  <c r="F1421" i="5"/>
  <c r="F1420" i="5"/>
  <c r="F1419" i="5"/>
  <c r="F1418" i="5"/>
  <c r="F1417" i="5"/>
  <c r="F1416" i="5"/>
  <c r="F1415" i="5"/>
  <c r="F1414" i="5"/>
  <c r="F1413" i="5"/>
  <c r="F1412" i="5"/>
  <c r="F1411" i="5"/>
  <c r="F1410" i="5"/>
  <c r="F1409" i="5"/>
  <c r="F1408" i="5"/>
  <c r="F1407" i="5"/>
  <c r="F1406" i="5"/>
  <c r="F1405" i="5"/>
  <c r="F1404" i="5"/>
  <c r="F1403" i="5"/>
  <c r="F1402" i="5"/>
  <c r="F1401" i="5"/>
  <c r="F1400" i="5"/>
  <c r="F1399" i="5"/>
  <c r="F1398" i="5"/>
  <c r="F1397" i="5"/>
  <c r="F1396" i="5"/>
  <c r="F1395" i="5"/>
  <c r="F1394" i="5"/>
  <c r="F1393" i="5"/>
  <c r="F1392" i="5"/>
  <c r="F1391" i="5"/>
  <c r="F1390" i="5"/>
  <c r="F1389" i="5"/>
  <c r="F1388" i="5"/>
  <c r="F1387" i="5"/>
  <c r="F1386" i="5"/>
  <c r="F1385" i="5"/>
  <c r="F1384" i="5"/>
  <c r="F1383" i="5"/>
  <c r="F1382" i="5"/>
  <c r="F1381" i="5"/>
  <c r="F1380" i="5"/>
  <c r="F1379" i="5"/>
  <c r="F1378" i="5"/>
  <c r="F1377" i="5"/>
  <c r="F1376" i="5"/>
  <c r="F1375" i="5"/>
  <c r="F1374" i="5"/>
  <c r="F1373" i="5"/>
  <c r="F1372" i="5"/>
  <c r="F1371" i="5"/>
  <c r="F1370" i="5"/>
  <c r="F1369" i="5"/>
  <c r="F1368" i="5"/>
  <c r="F1367" i="5"/>
  <c r="F1366" i="5"/>
  <c r="F1365" i="5"/>
  <c r="F1364" i="5"/>
  <c r="F1363" i="5"/>
  <c r="F1362" i="5"/>
  <c r="F1361" i="5"/>
  <c r="F1360" i="5"/>
  <c r="F1359" i="5"/>
  <c r="F1358" i="5"/>
  <c r="F1357" i="5"/>
  <c r="F1356" i="5"/>
  <c r="F1355" i="5"/>
  <c r="F1354" i="5"/>
  <c r="F1353" i="5"/>
  <c r="F1352" i="5"/>
  <c r="F1351" i="5"/>
  <c r="F1350" i="5"/>
  <c r="F1349" i="5"/>
  <c r="F1348" i="5"/>
  <c r="F1347" i="5"/>
  <c r="F1346" i="5"/>
  <c r="F1345" i="5"/>
  <c r="F1344" i="5"/>
  <c r="F1343" i="5"/>
  <c r="F1342" i="5"/>
  <c r="F1341" i="5"/>
  <c r="F1340" i="5"/>
  <c r="F1339" i="5"/>
  <c r="F1338" i="5"/>
  <c r="F1337" i="5"/>
  <c r="F1336" i="5"/>
  <c r="F1335" i="5"/>
  <c r="F1334" i="5"/>
  <c r="F1333" i="5"/>
  <c r="F1332" i="5"/>
  <c r="F1331" i="5"/>
  <c r="F1330" i="5"/>
  <c r="F1329" i="5"/>
  <c r="F1328" i="5"/>
  <c r="F1327" i="5"/>
  <c r="F1326" i="5"/>
  <c r="F1325" i="5"/>
  <c r="F1324" i="5"/>
  <c r="F1323" i="5"/>
  <c r="F1322" i="5"/>
  <c r="F1321" i="5"/>
  <c r="F1320" i="5"/>
  <c r="F1319" i="5"/>
  <c r="F1318" i="5"/>
  <c r="F1317" i="5"/>
  <c r="F1316" i="5"/>
  <c r="F1315" i="5"/>
  <c r="F1314" i="5"/>
  <c r="F1313" i="5"/>
  <c r="F1312" i="5"/>
  <c r="F1311" i="5"/>
  <c r="F1310" i="5"/>
  <c r="F1309" i="5"/>
  <c r="F1308" i="5"/>
  <c r="F1307" i="5"/>
  <c r="F1306" i="5"/>
  <c r="F1305" i="5"/>
  <c r="F1304" i="5"/>
  <c r="F1303" i="5"/>
  <c r="F1302" i="5"/>
  <c r="F1301" i="5"/>
  <c r="F1300" i="5"/>
  <c r="F1299" i="5"/>
  <c r="F1298" i="5"/>
  <c r="F1297" i="5"/>
  <c r="F1296" i="5"/>
  <c r="F1295" i="5"/>
  <c r="F1294" i="5"/>
  <c r="F1293" i="5"/>
  <c r="F1292" i="5"/>
  <c r="F1291" i="5"/>
  <c r="F1290" i="5"/>
  <c r="F1289" i="5"/>
  <c r="F1288" i="5"/>
  <c r="F1287" i="5"/>
  <c r="F1286" i="5"/>
  <c r="F1285" i="5"/>
  <c r="F1284" i="5"/>
  <c r="F1283" i="5"/>
  <c r="F1282" i="5"/>
  <c r="F1281" i="5"/>
  <c r="F1280" i="5"/>
  <c r="F1279" i="5"/>
  <c r="F1278" i="5"/>
  <c r="F1277" i="5"/>
  <c r="F1276" i="5"/>
  <c r="F1275" i="5"/>
  <c r="F1274" i="5"/>
  <c r="F1273" i="5"/>
  <c r="F1272" i="5"/>
  <c r="F1271" i="5"/>
  <c r="F1270" i="5"/>
  <c r="F1269" i="5"/>
  <c r="F1268" i="5"/>
  <c r="F1267" i="5"/>
  <c r="F1266" i="5"/>
  <c r="F1265" i="5"/>
  <c r="F1264" i="5"/>
  <c r="F1263" i="5"/>
  <c r="F1262" i="5"/>
  <c r="F1261" i="5"/>
  <c r="F1260" i="5"/>
  <c r="F1259" i="5"/>
  <c r="F1258" i="5"/>
  <c r="F1257" i="5"/>
  <c r="F1256" i="5"/>
  <c r="F1255" i="5"/>
  <c r="F1254" i="5"/>
  <c r="F1253" i="5"/>
  <c r="F1252" i="5"/>
  <c r="F1251" i="5"/>
  <c r="F1250" i="5"/>
  <c r="F1249" i="5"/>
  <c r="F1248" i="5"/>
  <c r="F1247" i="5"/>
  <c r="F1246" i="5"/>
  <c r="F1245" i="5"/>
  <c r="F1244" i="5"/>
  <c r="F1243" i="5"/>
  <c r="F1242" i="5"/>
  <c r="F1241" i="5"/>
  <c r="F1240" i="5"/>
  <c r="F1239" i="5"/>
  <c r="F1238" i="5"/>
  <c r="F1237" i="5"/>
  <c r="F1236" i="5"/>
  <c r="F1235" i="5"/>
  <c r="F1234" i="5"/>
  <c r="F1233" i="5"/>
  <c r="F1232" i="5"/>
  <c r="F1231" i="5"/>
  <c r="F1230" i="5"/>
  <c r="F1229" i="5"/>
  <c r="F1228" i="5"/>
  <c r="F1227" i="5"/>
  <c r="F1226" i="5"/>
  <c r="F1225" i="5"/>
  <c r="F1224" i="5"/>
  <c r="F1223" i="5"/>
  <c r="F1222" i="5"/>
  <c r="F1221" i="5"/>
  <c r="F1220" i="5"/>
  <c r="F1219" i="5"/>
  <c r="F1218" i="5"/>
  <c r="F1217" i="5"/>
  <c r="F1216" i="5"/>
  <c r="F1215" i="5"/>
  <c r="F1214" i="5"/>
  <c r="F1213" i="5"/>
  <c r="F1212" i="5"/>
  <c r="F1211" i="5"/>
  <c r="F1210" i="5"/>
  <c r="F1209" i="5"/>
  <c r="F1208" i="5"/>
  <c r="F1207" i="5"/>
  <c r="F1206" i="5"/>
  <c r="F1205" i="5"/>
  <c r="F1204" i="5"/>
  <c r="F1203" i="5"/>
  <c r="F1202" i="5"/>
  <c r="F1201" i="5"/>
  <c r="F1200" i="5"/>
  <c r="F1199" i="5"/>
  <c r="F1198" i="5"/>
  <c r="F1197" i="5"/>
  <c r="F1196" i="5"/>
  <c r="F1195" i="5"/>
  <c r="F1194" i="5"/>
  <c r="F1193" i="5"/>
  <c r="F1192" i="5"/>
  <c r="F1191" i="5"/>
  <c r="F1190" i="5"/>
  <c r="F1189" i="5"/>
  <c r="F1188" i="5"/>
  <c r="F1187" i="5"/>
  <c r="F1186" i="5"/>
  <c r="F1185" i="5"/>
  <c r="F1184" i="5"/>
  <c r="F1183" i="5"/>
  <c r="F1182" i="5"/>
  <c r="F1181" i="5"/>
  <c r="F1180" i="5"/>
  <c r="F1179" i="5"/>
  <c r="F1178" i="5"/>
  <c r="F1177" i="5"/>
  <c r="F1176" i="5"/>
  <c r="F1175" i="5"/>
  <c r="F1174" i="5"/>
  <c r="F1173" i="5"/>
  <c r="F1172" i="5"/>
  <c r="F1171" i="5"/>
  <c r="F1170" i="5"/>
  <c r="F1169" i="5"/>
  <c r="F1168" i="5"/>
  <c r="F1167" i="5"/>
  <c r="F1166" i="5"/>
  <c r="F1165" i="5"/>
  <c r="F1164" i="5"/>
  <c r="F1163" i="5"/>
  <c r="F1162" i="5"/>
  <c r="F1161" i="5"/>
  <c r="F1160" i="5"/>
  <c r="F1159" i="5"/>
  <c r="F1158" i="5"/>
  <c r="F1157" i="5"/>
  <c r="F1156" i="5"/>
  <c r="F1155" i="5"/>
  <c r="F1154" i="5"/>
  <c r="F1153" i="5"/>
  <c r="F1152" i="5"/>
  <c r="F1151" i="5"/>
  <c r="F1150" i="5"/>
  <c r="F1149" i="5"/>
  <c r="F1148" i="5"/>
  <c r="F1147" i="5"/>
  <c r="F1146" i="5"/>
  <c r="F1145" i="5"/>
  <c r="F1144" i="5"/>
  <c r="F1143" i="5"/>
  <c r="F1142" i="5"/>
  <c r="F1141" i="5"/>
  <c r="F1140" i="5"/>
  <c r="F1139" i="5"/>
  <c r="F1138" i="5"/>
  <c r="F1137" i="5"/>
  <c r="F1136" i="5"/>
  <c r="F1135" i="5"/>
  <c r="F1134" i="5"/>
  <c r="F1133" i="5"/>
  <c r="F1132" i="5"/>
  <c r="F1131" i="5"/>
  <c r="F1130" i="5"/>
  <c r="F1129" i="5"/>
  <c r="F1128" i="5"/>
  <c r="F1127" i="5"/>
  <c r="F1126" i="5"/>
  <c r="F1125" i="5"/>
  <c r="F1124" i="5"/>
  <c r="F1123" i="5"/>
  <c r="F1122" i="5"/>
  <c r="F1121" i="5"/>
  <c r="F1120" i="5"/>
  <c r="F1119" i="5"/>
  <c r="F1118" i="5"/>
  <c r="F1117" i="5"/>
  <c r="F1116" i="5"/>
  <c r="F1115" i="5"/>
  <c r="F1114" i="5"/>
  <c r="F1113" i="5"/>
  <c r="F1112" i="5"/>
  <c r="F1111" i="5"/>
  <c r="F1110" i="5"/>
  <c r="F1109" i="5"/>
  <c r="F1108" i="5"/>
  <c r="F1107" i="5"/>
  <c r="F1106" i="5"/>
  <c r="F1105" i="5"/>
  <c r="F1104" i="5"/>
  <c r="F1103" i="5"/>
  <c r="F1102" i="5"/>
  <c r="F1101" i="5"/>
  <c r="F1100" i="5"/>
  <c r="F1099" i="5"/>
  <c r="F1098" i="5"/>
  <c r="F1097" i="5"/>
  <c r="F1096" i="5"/>
  <c r="F1095" i="5"/>
  <c r="F1094" i="5"/>
  <c r="F1093" i="5"/>
  <c r="F1092" i="5"/>
  <c r="F1091" i="5"/>
  <c r="F1090" i="5"/>
  <c r="F1089" i="5"/>
  <c r="F1088" i="5"/>
  <c r="F1087" i="5"/>
  <c r="F1086" i="5"/>
  <c r="F1085" i="5"/>
  <c r="F1084" i="5"/>
  <c r="F1083" i="5"/>
  <c r="F1082" i="5"/>
  <c r="F1081" i="5"/>
  <c r="F1080" i="5"/>
  <c r="F1079" i="5"/>
  <c r="F1078" i="5"/>
  <c r="F1077" i="5"/>
  <c r="F1076" i="5"/>
  <c r="F1075" i="5"/>
  <c r="F1074" i="5"/>
  <c r="F1073" i="5"/>
  <c r="F1072" i="5"/>
  <c r="F1071" i="5"/>
  <c r="F1070" i="5"/>
  <c r="F1069" i="5"/>
  <c r="F1068" i="5"/>
  <c r="F1067" i="5"/>
  <c r="F1066" i="5"/>
  <c r="F1065" i="5"/>
  <c r="F1064" i="5"/>
  <c r="F1063" i="5"/>
  <c r="F1062" i="5"/>
  <c r="F1061" i="5"/>
  <c r="F1060" i="5"/>
  <c r="F1059" i="5"/>
  <c r="F1058" i="5"/>
  <c r="F1057" i="5"/>
  <c r="F1056" i="5"/>
  <c r="F1055" i="5"/>
  <c r="F1054" i="5"/>
  <c r="F1053" i="5"/>
  <c r="F1052" i="5"/>
  <c r="F1051" i="5"/>
  <c r="F1050" i="5"/>
  <c r="F1049" i="5"/>
  <c r="F1048" i="5"/>
  <c r="F1047" i="5"/>
  <c r="F1046" i="5"/>
  <c r="F1045" i="5"/>
  <c r="F1044" i="5"/>
  <c r="F1043" i="5"/>
  <c r="F1042" i="5"/>
  <c r="F1041" i="5"/>
  <c r="F1040" i="5"/>
  <c r="F1039" i="5"/>
  <c r="F1038" i="5"/>
  <c r="F1037" i="5"/>
  <c r="F1036" i="5"/>
  <c r="F1035" i="5"/>
  <c r="F1034" i="5"/>
  <c r="F1033" i="5"/>
  <c r="F1032" i="5"/>
  <c r="F1031" i="5"/>
  <c r="F1030" i="5"/>
  <c r="F1029" i="5"/>
  <c r="F1028" i="5"/>
  <c r="F1027" i="5"/>
  <c r="F1026" i="5"/>
  <c r="F1025" i="5"/>
  <c r="F1024" i="5"/>
  <c r="F1023" i="5"/>
  <c r="F1022" i="5"/>
  <c r="F1021" i="5"/>
  <c r="F1020" i="5"/>
  <c r="F1019" i="5"/>
  <c r="F1018" i="5"/>
  <c r="F1017" i="5"/>
  <c r="F1016" i="5"/>
  <c r="F1015" i="5"/>
  <c r="F1014" i="5"/>
  <c r="F1013" i="5"/>
  <c r="F1012" i="5"/>
  <c r="F1011" i="5"/>
  <c r="F1010" i="5"/>
  <c r="F1009" i="5"/>
  <c r="F1008" i="5"/>
  <c r="F1007" i="5"/>
  <c r="F1006" i="5"/>
  <c r="F1005" i="5"/>
  <c r="F1004" i="5"/>
  <c r="F1003" i="5"/>
  <c r="F1002" i="5"/>
  <c r="F1001" i="5"/>
  <c r="F1000" i="5"/>
  <c r="F999" i="5"/>
  <c r="F998" i="5"/>
  <c r="F997" i="5"/>
  <c r="F996" i="5"/>
  <c r="F995" i="5"/>
  <c r="F994" i="5"/>
  <c r="F993" i="5"/>
  <c r="F992" i="5"/>
  <c r="F991" i="5"/>
  <c r="F990" i="5"/>
  <c r="F989" i="5"/>
  <c r="F988" i="5"/>
  <c r="F987" i="5"/>
  <c r="F986" i="5"/>
  <c r="F985" i="5"/>
  <c r="F984" i="5"/>
  <c r="F983" i="5"/>
  <c r="F982" i="5"/>
  <c r="F981" i="5"/>
  <c r="F980" i="5"/>
  <c r="F979" i="5"/>
  <c r="F978" i="5"/>
  <c r="F977" i="5"/>
  <c r="F976" i="5"/>
  <c r="F975" i="5"/>
  <c r="F974" i="5"/>
  <c r="F973" i="5"/>
  <c r="F972" i="5"/>
  <c r="F971" i="5"/>
  <c r="F970" i="5"/>
  <c r="F969" i="5"/>
  <c r="F968" i="5"/>
  <c r="F967" i="5"/>
  <c r="F966" i="5"/>
  <c r="F965" i="5"/>
  <c r="F964" i="5"/>
  <c r="F963" i="5"/>
  <c r="F962" i="5"/>
  <c r="F961" i="5"/>
  <c r="F960" i="5"/>
  <c r="F959" i="5"/>
  <c r="F958" i="5"/>
  <c r="F957" i="5"/>
  <c r="F956" i="5"/>
  <c r="F955" i="5"/>
  <c r="F954" i="5"/>
  <c r="F953" i="5"/>
  <c r="F952" i="5"/>
  <c r="F951" i="5"/>
  <c r="F950" i="5"/>
  <c r="F949" i="5"/>
  <c r="F948" i="5"/>
  <c r="F947" i="5"/>
  <c r="F946" i="5"/>
  <c r="F945" i="5"/>
  <c r="F944" i="5"/>
  <c r="F943" i="5"/>
  <c r="F942" i="5"/>
  <c r="F941" i="5"/>
  <c r="F940" i="5"/>
  <c r="F939" i="5"/>
  <c r="F938" i="5"/>
  <c r="F937" i="5"/>
  <c r="F936" i="5"/>
  <c r="F935" i="5"/>
  <c r="F934" i="5"/>
  <c r="F933" i="5"/>
  <c r="F932" i="5"/>
  <c r="F931" i="5"/>
  <c r="F930" i="5"/>
  <c r="F929" i="5"/>
  <c r="F928" i="5"/>
  <c r="F927" i="5"/>
  <c r="F926" i="5"/>
  <c r="F925" i="5"/>
  <c r="F924" i="5"/>
  <c r="F923" i="5"/>
  <c r="F922" i="5"/>
  <c r="F921" i="5"/>
  <c r="F920" i="5"/>
  <c r="F919" i="5"/>
  <c r="F918" i="5"/>
  <c r="F917" i="5"/>
  <c r="F916" i="5"/>
  <c r="F915" i="5"/>
  <c r="F914" i="5"/>
  <c r="F913" i="5"/>
  <c r="F912" i="5"/>
  <c r="F911" i="5"/>
  <c r="F910" i="5"/>
  <c r="F909" i="5"/>
  <c r="F908" i="5"/>
  <c r="F907" i="5"/>
  <c r="F906" i="5"/>
  <c r="F905" i="5"/>
  <c r="F904" i="5"/>
  <c r="F903" i="5"/>
  <c r="F902" i="5"/>
  <c r="F901" i="5"/>
  <c r="F900" i="5"/>
  <c r="F899" i="5"/>
  <c r="F898" i="5"/>
  <c r="F897" i="5"/>
  <c r="F896" i="5"/>
  <c r="F895" i="5"/>
  <c r="F894" i="5"/>
  <c r="F893" i="5"/>
  <c r="F892" i="5"/>
  <c r="F891" i="5"/>
  <c r="F890" i="5"/>
  <c r="F889" i="5"/>
  <c r="F888" i="5"/>
  <c r="F887" i="5"/>
  <c r="F886" i="5"/>
  <c r="F885" i="5"/>
  <c r="F884" i="5"/>
  <c r="F883" i="5"/>
  <c r="F882" i="5"/>
  <c r="F881" i="5"/>
  <c r="F880" i="5"/>
  <c r="F879" i="5"/>
  <c r="F878" i="5"/>
  <c r="F877" i="5"/>
  <c r="F876" i="5"/>
  <c r="F875" i="5"/>
  <c r="F874" i="5"/>
  <c r="F873" i="5"/>
  <c r="F872" i="5"/>
  <c r="F871" i="5"/>
  <c r="F870" i="5"/>
  <c r="F869" i="5"/>
  <c r="F868" i="5"/>
  <c r="F867" i="5"/>
  <c r="F866" i="5"/>
  <c r="F865" i="5"/>
  <c r="F864" i="5"/>
  <c r="F863" i="5"/>
  <c r="F862" i="5"/>
  <c r="F861" i="5"/>
  <c r="F860" i="5"/>
  <c r="F859" i="5"/>
  <c r="F858" i="5"/>
  <c r="F857" i="5"/>
  <c r="F856" i="5"/>
  <c r="F855" i="5"/>
  <c r="F854" i="5"/>
  <c r="F853" i="5"/>
  <c r="F852" i="5"/>
  <c r="F851" i="5"/>
  <c r="F850" i="5"/>
  <c r="F849" i="5"/>
  <c r="F848" i="5"/>
  <c r="F847" i="5"/>
  <c r="F846" i="5"/>
  <c r="F845" i="5"/>
  <c r="F844" i="5"/>
  <c r="F843" i="5"/>
  <c r="F842" i="5"/>
  <c r="F841" i="5"/>
  <c r="F840" i="5"/>
  <c r="F839" i="5"/>
  <c r="F838" i="5"/>
  <c r="F837" i="5"/>
  <c r="F836" i="5"/>
  <c r="F835" i="5"/>
  <c r="F834" i="5"/>
  <c r="F833" i="5"/>
  <c r="F832" i="5"/>
  <c r="F831" i="5"/>
  <c r="F830" i="5"/>
  <c r="F829" i="5"/>
  <c r="F828" i="5"/>
  <c r="F827" i="5"/>
  <c r="F826" i="5"/>
  <c r="F825" i="5"/>
  <c r="F824" i="5"/>
  <c r="F823" i="5"/>
  <c r="F822" i="5"/>
  <c r="F821" i="5"/>
  <c r="F820" i="5"/>
  <c r="F819" i="5"/>
  <c r="F818" i="5"/>
  <c r="F817" i="5"/>
  <c r="F816" i="5"/>
  <c r="F815" i="5"/>
  <c r="F814" i="5"/>
  <c r="F813" i="5"/>
  <c r="F812" i="5"/>
  <c r="F811" i="5"/>
  <c r="F810" i="5"/>
  <c r="F809" i="5"/>
  <c r="F808" i="5"/>
  <c r="F807" i="5"/>
  <c r="F806" i="5"/>
  <c r="F805" i="5"/>
  <c r="F804" i="5"/>
  <c r="F803" i="5"/>
  <c r="F802" i="5"/>
  <c r="F801" i="5"/>
  <c r="F800" i="5"/>
  <c r="F799" i="5"/>
  <c r="F798" i="5"/>
  <c r="F797" i="5"/>
  <c r="F796" i="5"/>
  <c r="F795" i="5"/>
  <c r="F794" i="5"/>
  <c r="F793" i="5"/>
  <c r="F792" i="5"/>
  <c r="F791" i="5"/>
  <c r="F790" i="5"/>
  <c r="F789" i="5"/>
  <c r="F788" i="5"/>
  <c r="F787" i="5"/>
  <c r="F786" i="5"/>
  <c r="F785" i="5"/>
  <c r="F784" i="5"/>
  <c r="F783" i="5"/>
  <c r="F782" i="5"/>
  <c r="F781" i="5"/>
  <c r="F780" i="5"/>
  <c r="F779" i="5"/>
  <c r="F778" i="5"/>
  <c r="F777" i="5"/>
  <c r="F776" i="5"/>
  <c r="F775" i="5"/>
  <c r="F774" i="5"/>
  <c r="F773" i="5"/>
  <c r="F772" i="5"/>
  <c r="F771" i="5"/>
  <c r="F770" i="5"/>
  <c r="F769" i="5"/>
  <c r="F768" i="5"/>
  <c r="F767" i="5"/>
  <c r="F766" i="5"/>
  <c r="F765" i="5"/>
  <c r="F764" i="5"/>
  <c r="F763" i="5"/>
  <c r="F762" i="5"/>
  <c r="F761" i="5"/>
  <c r="F760" i="5"/>
  <c r="F759" i="5"/>
  <c r="F758" i="5"/>
  <c r="F757" i="5"/>
  <c r="F756" i="5"/>
  <c r="F755" i="5"/>
  <c r="F754" i="5"/>
  <c r="F753" i="5"/>
  <c r="F752" i="5"/>
  <c r="F751" i="5"/>
  <c r="F750" i="5"/>
  <c r="F749" i="5"/>
  <c r="F748" i="5"/>
  <c r="F747" i="5"/>
  <c r="F746" i="5"/>
  <c r="F745" i="5"/>
  <c r="F744" i="5"/>
  <c r="F743" i="5"/>
  <c r="F742" i="5"/>
  <c r="F741" i="5"/>
  <c r="F740" i="5"/>
  <c r="F739" i="5"/>
  <c r="F738" i="5"/>
  <c r="F737" i="5"/>
  <c r="F736" i="5"/>
  <c r="F735" i="5"/>
  <c r="F734" i="5"/>
  <c r="F733" i="5"/>
  <c r="F732" i="5"/>
  <c r="F731" i="5"/>
  <c r="F730" i="5"/>
  <c r="F729" i="5"/>
  <c r="F728" i="5"/>
  <c r="F727" i="5"/>
  <c r="F726" i="5"/>
  <c r="F725" i="5"/>
  <c r="F724" i="5"/>
  <c r="F723" i="5"/>
  <c r="F722" i="5"/>
  <c r="F721" i="5"/>
  <c r="F720" i="5"/>
  <c r="F719" i="5"/>
  <c r="F718" i="5"/>
  <c r="F717" i="5"/>
  <c r="F716" i="5"/>
  <c r="F715" i="5"/>
  <c r="F714" i="5"/>
  <c r="F713" i="5"/>
  <c r="F712" i="5"/>
  <c r="F711" i="5"/>
  <c r="F710" i="5"/>
  <c r="F709" i="5"/>
  <c r="F708" i="5"/>
  <c r="F707" i="5"/>
  <c r="F706" i="5"/>
  <c r="F705" i="5"/>
  <c r="F704" i="5"/>
  <c r="F703" i="5"/>
  <c r="F702" i="5"/>
  <c r="F701" i="5"/>
  <c r="F700" i="5"/>
  <c r="F699" i="5"/>
  <c r="F698" i="5"/>
  <c r="F697" i="5"/>
  <c r="F696" i="5"/>
  <c r="F695" i="5"/>
  <c r="F694" i="5"/>
  <c r="F693" i="5"/>
  <c r="F692" i="5"/>
  <c r="F691" i="5"/>
  <c r="F690" i="5"/>
  <c r="F689" i="5"/>
  <c r="F688" i="5"/>
  <c r="F687" i="5"/>
  <c r="F686" i="5"/>
  <c r="F685" i="5"/>
  <c r="F684" i="5"/>
  <c r="F683" i="5"/>
  <c r="F682" i="5"/>
  <c r="F681" i="5"/>
  <c r="F680" i="5"/>
  <c r="F679" i="5"/>
  <c r="F678" i="5"/>
  <c r="F677" i="5"/>
  <c r="F676" i="5"/>
  <c r="F675" i="5"/>
  <c r="F674" i="5"/>
  <c r="F673" i="5"/>
  <c r="F672" i="5"/>
  <c r="F671" i="5"/>
  <c r="F670" i="5"/>
  <c r="F669" i="5"/>
  <c r="F668" i="5"/>
  <c r="F667" i="5"/>
  <c r="F666" i="5"/>
  <c r="F665" i="5"/>
  <c r="F664" i="5"/>
  <c r="F663" i="5"/>
  <c r="F662" i="5"/>
  <c r="F661" i="5"/>
  <c r="F660" i="5"/>
  <c r="F659" i="5"/>
  <c r="F658" i="5"/>
  <c r="F657" i="5"/>
  <c r="F656" i="5"/>
  <c r="F655" i="5"/>
  <c r="F654" i="5"/>
  <c r="F653" i="5"/>
  <c r="F652" i="5"/>
  <c r="F651" i="5"/>
  <c r="F650" i="5"/>
  <c r="F649" i="5"/>
  <c r="F648" i="5"/>
  <c r="F647" i="5"/>
  <c r="F646" i="5"/>
  <c r="F645" i="5"/>
  <c r="F644" i="5"/>
  <c r="F643" i="5"/>
  <c r="F642" i="5"/>
  <c r="F641" i="5"/>
  <c r="F640" i="5"/>
  <c r="F639" i="5"/>
  <c r="F638" i="5"/>
  <c r="F637" i="5"/>
  <c r="F636" i="5"/>
  <c r="F635" i="5"/>
  <c r="F634" i="5"/>
  <c r="F633" i="5"/>
  <c r="F632" i="5"/>
  <c r="F631" i="5"/>
  <c r="F630" i="5"/>
  <c r="F629" i="5"/>
  <c r="F628" i="5"/>
  <c r="F627" i="5"/>
  <c r="F626" i="5"/>
  <c r="F625" i="5"/>
  <c r="F624" i="5"/>
  <c r="F623" i="5"/>
  <c r="F622" i="5"/>
  <c r="F621" i="5"/>
  <c r="F620" i="5"/>
  <c r="F619" i="5"/>
  <c r="F618" i="5"/>
  <c r="F617" i="5"/>
  <c r="F616" i="5"/>
  <c r="F615" i="5"/>
  <c r="F614" i="5"/>
  <c r="F613" i="5"/>
  <c r="F612" i="5"/>
  <c r="F611" i="5"/>
  <c r="F610" i="5"/>
  <c r="F609" i="5"/>
  <c r="F608" i="5"/>
  <c r="F607" i="5"/>
  <c r="F606" i="5"/>
  <c r="F605" i="5"/>
  <c r="F604" i="5"/>
  <c r="F603" i="5"/>
  <c r="F602" i="5"/>
  <c r="F601" i="5"/>
  <c r="F600" i="5"/>
  <c r="F599" i="5"/>
  <c r="F598" i="5"/>
  <c r="F597" i="5"/>
  <c r="F596" i="5"/>
  <c r="F595" i="5"/>
  <c r="F594" i="5"/>
  <c r="F593" i="5"/>
  <c r="F592" i="5"/>
  <c r="F591" i="5"/>
  <c r="F590" i="5"/>
  <c r="F589" i="5"/>
  <c r="F588" i="5"/>
  <c r="F587" i="5"/>
  <c r="F586" i="5"/>
  <c r="F585" i="5"/>
  <c r="F584" i="5"/>
  <c r="F583" i="5"/>
  <c r="F582" i="5"/>
  <c r="F581" i="5"/>
  <c r="F580" i="5"/>
  <c r="F579" i="5"/>
  <c r="F578" i="5"/>
  <c r="F577" i="5"/>
  <c r="F576" i="5"/>
  <c r="F575" i="5"/>
  <c r="F574" i="5"/>
  <c r="F573" i="5"/>
  <c r="F572" i="5"/>
  <c r="F571" i="5"/>
  <c r="F570" i="5"/>
  <c r="F569" i="5"/>
  <c r="F568" i="5"/>
  <c r="F567" i="5"/>
  <c r="F566" i="5"/>
  <c r="F565" i="5"/>
  <c r="F564" i="5"/>
  <c r="F563" i="5"/>
  <c r="F562" i="5"/>
  <c r="F561" i="5"/>
  <c r="F560" i="5"/>
  <c r="F559" i="5"/>
  <c r="F558" i="5"/>
  <c r="F557" i="5"/>
  <c r="F556" i="5"/>
  <c r="F555" i="5"/>
  <c r="F554" i="5"/>
  <c r="F553" i="5"/>
  <c r="F552" i="5"/>
  <c r="F551" i="5"/>
  <c r="F550" i="5"/>
  <c r="F549" i="5"/>
  <c r="F548" i="5"/>
  <c r="F547" i="5"/>
  <c r="F546" i="5"/>
  <c r="F545" i="5"/>
  <c r="F544" i="5"/>
  <c r="F543" i="5"/>
  <c r="F542" i="5"/>
  <c r="F541" i="5"/>
  <c r="F540" i="5"/>
  <c r="F539" i="5"/>
  <c r="F538" i="5"/>
  <c r="F537" i="5"/>
  <c r="F536" i="5"/>
  <c r="F535" i="5"/>
  <c r="F534" i="5"/>
  <c r="F533" i="5"/>
  <c r="F532" i="5"/>
  <c r="F531" i="5"/>
  <c r="F530" i="5"/>
  <c r="F529" i="5"/>
  <c r="F528" i="5"/>
  <c r="F527" i="5"/>
  <c r="F526" i="5"/>
  <c r="F525" i="5"/>
  <c r="F524" i="5"/>
  <c r="F523" i="5"/>
  <c r="F522" i="5"/>
  <c r="F521" i="5"/>
  <c r="F520" i="5"/>
  <c r="F519" i="5"/>
  <c r="F518" i="5"/>
  <c r="F517" i="5"/>
  <c r="F516" i="5"/>
  <c r="F515" i="5"/>
  <c r="F514" i="5"/>
  <c r="F513" i="5"/>
  <c r="F512" i="5"/>
  <c r="F511" i="5"/>
  <c r="F510" i="5"/>
  <c r="F509" i="5"/>
  <c r="F508" i="5"/>
  <c r="F507" i="5"/>
  <c r="F506" i="5"/>
  <c r="F505" i="5"/>
  <c r="F504" i="5"/>
  <c r="F503" i="5"/>
  <c r="F502" i="5"/>
  <c r="F501" i="5"/>
  <c r="F500" i="5"/>
  <c r="F499" i="5"/>
  <c r="F498" i="5"/>
  <c r="F497" i="5"/>
  <c r="F496" i="5"/>
  <c r="F495" i="5"/>
  <c r="F494" i="5"/>
  <c r="F493" i="5"/>
  <c r="F492" i="5"/>
  <c r="F491" i="5"/>
  <c r="F490" i="5"/>
  <c r="F489" i="5"/>
  <c r="F488" i="5"/>
  <c r="F487" i="5"/>
  <c r="F486" i="5"/>
  <c r="F485" i="5"/>
  <c r="F484" i="5"/>
  <c r="F483" i="5"/>
  <c r="F482" i="5"/>
  <c r="F481" i="5"/>
  <c r="F480" i="5"/>
  <c r="F479" i="5"/>
  <c r="F478" i="5"/>
  <c r="F477" i="5"/>
  <c r="F476" i="5"/>
  <c r="F475" i="5"/>
  <c r="F474" i="5"/>
  <c r="F473" i="5"/>
  <c r="F472" i="5"/>
  <c r="F471" i="5"/>
  <c r="F470" i="5"/>
  <c r="F469" i="5"/>
  <c r="F468" i="5"/>
  <c r="F467" i="5"/>
  <c r="F466" i="5"/>
  <c r="F465" i="5"/>
  <c r="F464" i="5"/>
  <c r="F463" i="5"/>
  <c r="F462" i="5"/>
  <c r="F461" i="5"/>
  <c r="F460" i="5"/>
  <c r="F459" i="5"/>
  <c r="F458" i="5"/>
  <c r="F457" i="5"/>
  <c r="F456" i="5"/>
  <c r="F455" i="5"/>
  <c r="F454" i="5"/>
  <c r="F453" i="5"/>
  <c r="F452" i="5"/>
  <c r="F451" i="5"/>
  <c r="F450" i="5"/>
  <c r="F449" i="5"/>
  <c r="F448" i="5"/>
  <c r="F447" i="5"/>
  <c r="F446" i="5"/>
  <c r="F445" i="5"/>
  <c r="F444" i="5"/>
  <c r="F443" i="5"/>
  <c r="F442" i="5"/>
  <c r="F441" i="5"/>
  <c r="F440" i="5"/>
  <c r="F439" i="5"/>
  <c r="F438" i="5"/>
  <c r="F437" i="5"/>
  <c r="F436" i="5"/>
  <c r="F435" i="5"/>
  <c r="F434" i="5"/>
  <c r="F433" i="5"/>
  <c r="F432" i="5"/>
  <c r="F431" i="5"/>
  <c r="F430" i="5"/>
  <c r="F429" i="5"/>
  <c r="F428" i="5"/>
  <c r="F427" i="5"/>
  <c r="F426" i="5"/>
  <c r="F425" i="5"/>
  <c r="F424" i="5"/>
  <c r="F423" i="5"/>
  <c r="F422" i="5"/>
  <c r="F421" i="5"/>
  <c r="F420" i="5"/>
  <c r="F419" i="5"/>
  <c r="F418" i="5"/>
  <c r="F417" i="5"/>
  <c r="F416" i="5"/>
  <c r="F415" i="5"/>
  <c r="F414" i="5"/>
  <c r="F413" i="5"/>
  <c r="F412" i="5"/>
  <c r="F411" i="5"/>
  <c r="F410" i="5"/>
  <c r="F409" i="5"/>
  <c r="F408" i="5"/>
  <c r="F407" i="5"/>
  <c r="F406" i="5"/>
  <c r="F405" i="5"/>
  <c r="F404" i="5"/>
  <c r="F403" i="5"/>
  <c r="F402" i="5"/>
  <c r="F401" i="5"/>
  <c r="F400" i="5"/>
  <c r="F399" i="5"/>
  <c r="F398" i="5"/>
  <c r="F397" i="5"/>
  <c r="F396" i="5"/>
  <c r="F395" i="5"/>
  <c r="F394" i="5"/>
  <c r="F393" i="5"/>
  <c r="F392" i="5"/>
  <c r="F391" i="5"/>
  <c r="F390" i="5"/>
  <c r="F389" i="5"/>
  <c r="F388" i="5"/>
  <c r="F387" i="5"/>
  <c r="F386" i="5"/>
  <c r="F385" i="5"/>
  <c r="F384" i="5"/>
  <c r="F383" i="5"/>
  <c r="F382" i="5"/>
  <c r="F381" i="5"/>
  <c r="F380" i="5"/>
  <c r="F379" i="5"/>
  <c r="F378" i="5"/>
  <c r="F377" i="5"/>
  <c r="F376" i="5"/>
  <c r="F375" i="5"/>
  <c r="F374" i="5"/>
  <c r="F373" i="5"/>
  <c r="F372" i="5"/>
  <c r="F371" i="5"/>
  <c r="F370" i="5"/>
  <c r="F369" i="5"/>
  <c r="F368" i="5"/>
  <c r="F367" i="5"/>
  <c r="F366" i="5"/>
  <c r="F365" i="5"/>
  <c r="F364" i="5"/>
  <c r="F363" i="5"/>
  <c r="F362" i="5"/>
  <c r="F361" i="5"/>
  <c r="F360" i="5"/>
  <c r="F359" i="5"/>
  <c r="F358" i="5"/>
  <c r="F357" i="5"/>
  <c r="F356" i="5"/>
  <c r="F355" i="5"/>
  <c r="F354" i="5"/>
  <c r="F353" i="5"/>
  <c r="F352" i="5"/>
  <c r="F351" i="5"/>
  <c r="F350" i="5"/>
  <c r="F349" i="5"/>
  <c r="F348" i="5"/>
  <c r="F347" i="5"/>
  <c r="F346" i="5"/>
  <c r="F345" i="5"/>
  <c r="F344" i="5"/>
  <c r="F343" i="5"/>
  <c r="F342" i="5"/>
  <c r="F341" i="5"/>
  <c r="F340" i="5"/>
  <c r="F339" i="5"/>
  <c r="F338" i="5"/>
  <c r="F337" i="5"/>
  <c r="F336" i="5"/>
  <c r="F335" i="5"/>
  <c r="F334" i="5"/>
  <c r="F333" i="5"/>
  <c r="F332" i="5"/>
  <c r="F331" i="5"/>
  <c r="F330" i="5"/>
  <c r="F329" i="5"/>
  <c r="F328" i="5"/>
  <c r="F327" i="5"/>
  <c r="F326" i="5"/>
  <c r="F325" i="5"/>
  <c r="F324" i="5"/>
  <c r="F323" i="5"/>
  <c r="F322" i="5"/>
  <c r="F321" i="5"/>
  <c r="F320" i="5"/>
  <c r="F319" i="5"/>
  <c r="F318" i="5"/>
  <c r="F317" i="5"/>
  <c r="F316" i="5"/>
  <c r="F315" i="5"/>
  <c r="F314" i="5"/>
  <c r="F313" i="5"/>
  <c r="F312" i="5"/>
  <c r="F311" i="5"/>
  <c r="F310" i="5"/>
  <c r="F309" i="5"/>
  <c r="F308" i="5"/>
  <c r="F307" i="5"/>
  <c r="F306" i="5"/>
  <c r="F305" i="5"/>
  <c r="F304" i="5"/>
  <c r="F303" i="5"/>
  <c r="F302" i="5"/>
  <c r="F301" i="5"/>
  <c r="F300" i="5"/>
  <c r="F299" i="5"/>
  <c r="F298" i="5"/>
  <c r="F297" i="5"/>
  <c r="F296" i="5"/>
  <c r="F295" i="5"/>
  <c r="F294" i="5"/>
  <c r="F293" i="5"/>
  <c r="F292" i="5"/>
  <c r="F291" i="5"/>
  <c r="F290" i="5"/>
  <c r="F289" i="5"/>
  <c r="F288" i="5"/>
  <c r="F287" i="5"/>
  <c r="F286" i="5"/>
  <c r="F285" i="5"/>
  <c r="F284" i="5"/>
  <c r="F283" i="5"/>
  <c r="F282" i="5"/>
  <c r="F281" i="5"/>
  <c r="F280" i="5"/>
  <c r="F279" i="5"/>
  <c r="F278" i="5"/>
  <c r="F277" i="5"/>
  <c r="F276" i="5"/>
  <c r="F275" i="5"/>
  <c r="F274" i="5"/>
  <c r="F273" i="5"/>
  <c r="F272" i="5"/>
  <c r="F271" i="5"/>
  <c r="F270" i="5"/>
  <c r="F269" i="5"/>
  <c r="F268" i="5"/>
  <c r="F267" i="5"/>
  <c r="F266" i="5"/>
  <c r="F265" i="5"/>
  <c r="F264" i="5"/>
  <c r="F263" i="5"/>
  <c r="F262" i="5"/>
  <c r="F261" i="5"/>
  <c r="F260" i="5"/>
  <c r="F259" i="5"/>
  <c r="F258" i="5"/>
  <c r="F257" i="5"/>
  <c r="F256" i="5"/>
  <c r="F255" i="5"/>
  <c r="F254" i="5"/>
  <c r="F253" i="5"/>
  <c r="F252" i="5"/>
  <c r="F251" i="5"/>
  <c r="F250" i="5"/>
  <c r="F249" i="5"/>
  <c r="F248" i="5"/>
  <c r="F247" i="5"/>
  <c r="F246" i="5"/>
  <c r="F245" i="5"/>
  <c r="F244" i="5"/>
  <c r="F243" i="5"/>
  <c r="F242" i="5"/>
  <c r="F241" i="5"/>
  <c r="F240" i="5"/>
  <c r="F239" i="5"/>
  <c r="F238" i="5"/>
  <c r="F237" i="5"/>
  <c r="F236" i="5"/>
  <c r="F235" i="5"/>
  <c r="F234" i="5"/>
  <c r="F233" i="5"/>
  <c r="F232" i="5"/>
  <c r="F231" i="5"/>
  <c r="F230" i="5"/>
  <c r="F229" i="5"/>
  <c r="F228" i="5"/>
  <c r="F227" i="5"/>
  <c r="F226" i="5"/>
  <c r="F225" i="5"/>
  <c r="F224" i="5"/>
  <c r="F223" i="5"/>
  <c r="F222" i="5"/>
  <c r="F221" i="5"/>
  <c r="F220" i="5"/>
  <c r="F219" i="5"/>
  <c r="F218" i="5"/>
  <c r="F217" i="5"/>
  <c r="F216" i="5"/>
  <c r="F215" i="5"/>
  <c r="F214" i="5"/>
  <c r="F213" i="5"/>
  <c r="F212" i="5"/>
  <c r="F211" i="5"/>
  <c r="F210" i="5"/>
  <c r="F209" i="5"/>
  <c r="F208" i="5"/>
  <c r="F207" i="5"/>
  <c r="F206" i="5"/>
  <c r="F205" i="5"/>
  <c r="F204" i="5"/>
  <c r="F203" i="5"/>
  <c r="F202" i="5"/>
  <c r="F201" i="5"/>
  <c r="F200" i="5"/>
  <c r="F199" i="5"/>
  <c r="F198" i="5"/>
  <c r="F197" i="5"/>
  <c r="F196" i="5"/>
  <c r="F195" i="5"/>
  <c r="F194" i="5"/>
  <c r="F193" i="5"/>
  <c r="F192" i="5"/>
  <c r="F191" i="5"/>
  <c r="F190" i="5"/>
  <c r="F189" i="5"/>
  <c r="F188" i="5"/>
  <c r="F187" i="5"/>
  <c r="F186" i="5"/>
  <c r="F185" i="5"/>
  <c r="F184" i="5"/>
  <c r="F183" i="5"/>
  <c r="F182" i="5"/>
  <c r="F181" i="5"/>
  <c r="F180" i="5"/>
  <c r="F179" i="5"/>
  <c r="F178" i="5"/>
  <c r="F177" i="5"/>
  <c r="F176" i="5"/>
  <c r="F175" i="5"/>
  <c r="F174" i="5"/>
  <c r="F173" i="5"/>
  <c r="F172" i="5"/>
  <c r="F171" i="5"/>
  <c r="F170" i="5"/>
  <c r="F169" i="5"/>
  <c r="F168" i="5"/>
  <c r="F167" i="5"/>
  <c r="F166" i="5"/>
  <c r="F165" i="5"/>
  <c r="F164" i="5"/>
  <c r="F163" i="5"/>
  <c r="F162" i="5"/>
  <c r="F161" i="5"/>
  <c r="F160" i="5"/>
  <c r="F159" i="5"/>
  <c r="F158" i="5"/>
  <c r="F157" i="5"/>
  <c r="F156" i="5"/>
  <c r="F155" i="5"/>
  <c r="F154" i="5"/>
  <c r="F153" i="5"/>
  <c r="F152" i="5"/>
  <c r="F151" i="5"/>
  <c r="F150" i="5"/>
  <c r="F149" i="5"/>
  <c r="F148" i="5"/>
  <c r="F147" i="5"/>
  <c r="F146" i="5"/>
  <c r="F145" i="5"/>
  <c r="F144" i="5"/>
  <c r="F143" i="5"/>
  <c r="F142" i="5"/>
  <c r="F141" i="5"/>
  <c r="F140" i="5"/>
  <c r="F139" i="5"/>
  <c r="F138" i="5"/>
  <c r="F137" i="5"/>
  <c r="F136" i="5"/>
  <c r="F135" i="5"/>
  <c r="F134" i="5"/>
  <c r="F133" i="5"/>
  <c r="F132" i="5"/>
  <c r="F131" i="5"/>
  <c r="F130" i="5"/>
  <c r="F129" i="5"/>
  <c r="F128" i="5"/>
  <c r="F127" i="5"/>
  <c r="F126" i="5"/>
  <c r="F125" i="5"/>
  <c r="F124" i="5"/>
  <c r="F123" i="5"/>
  <c r="F122" i="5"/>
  <c r="F121" i="5"/>
  <c r="F120" i="5"/>
  <c r="F119" i="5"/>
  <c r="F118" i="5"/>
  <c r="F117" i="5"/>
  <c r="F116" i="5"/>
  <c r="F115" i="5"/>
  <c r="F114" i="5"/>
  <c r="F113" i="5"/>
  <c r="F112" i="5"/>
  <c r="F111" i="5"/>
  <c r="F110" i="5"/>
  <c r="F109" i="5"/>
  <c r="F108" i="5"/>
  <c r="F107" i="5"/>
  <c r="F106" i="5"/>
  <c r="F105" i="5"/>
  <c r="F104" i="5"/>
  <c r="F103" i="5"/>
  <c r="F102" i="5"/>
  <c r="F101" i="5"/>
  <c r="F100" i="5"/>
  <c r="F99" i="5"/>
  <c r="F98" i="5"/>
  <c r="F97" i="5"/>
  <c r="F96" i="5"/>
  <c r="F95" i="5"/>
  <c r="F94" i="5"/>
  <c r="F93" i="5"/>
  <c r="F92" i="5"/>
  <c r="F91" i="5"/>
  <c r="F90" i="5"/>
  <c r="F89" i="5"/>
  <c r="F88" i="5"/>
  <c r="F87" i="5"/>
  <c r="F86" i="5"/>
  <c r="F85" i="5"/>
  <c r="F84" i="5"/>
  <c r="F83" i="5"/>
  <c r="F82" i="5"/>
  <c r="F81" i="5"/>
  <c r="F80" i="5"/>
  <c r="F79" i="5"/>
  <c r="F78" i="5"/>
  <c r="F77" i="5"/>
  <c r="F76" i="5"/>
  <c r="F75" i="5"/>
  <c r="F74" i="5"/>
  <c r="F73" i="5"/>
  <c r="F72" i="5"/>
  <c r="F71" i="5"/>
  <c r="F70" i="5"/>
  <c r="F69" i="5"/>
  <c r="F68" i="5"/>
  <c r="F67" i="5"/>
  <c r="F66" i="5"/>
  <c r="F65" i="5"/>
  <c r="F64" i="5"/>
  <c r="F63" i="5"/>
  <c r="F62" i="5"/>
  <c r="F61" i="5"/>
  <c r="F60" i="5"/>
  <c r="F59" i="5"/>
  <c r="F58" i="5"/>
  <c r="F57" i="5"/>
  <c r="F56" i="5"/>
  <c r="F55" i="5"/>
  <c r="F54" i="5"/>
  <c r="F53" i="5"/>
  <c r="F52" i="5"/>
  <c r="F51" i="5"/>
  <c r="F50" i="5"/>
  <c r="F49" i="5"/>
  <c r="F48" i="5"/>
  <c r="F47" i="5"/>
  <c r="F46" i="5"/>
  <c r="F45" i="5"/>
  <c r="F44" i="5"/>
  <c r="F43" i="5"/>
  <c r="F42" i="5"/>
  <c r="F41" i="5"/>
  <c r="F40" i="5"/>
  <c r="F39" i="5"/>
  <c r="F38" i="5"/>
  <c r="F37" i="5"/>
  <c r="F36" i="5"/>
  <c r="F35" i="5"/>
  <c r="F34" i="5"/>
  <c r="F33" i="5"/>
  <c r="F32" i="5"/>
  <c r="F31" i="5"/>
  <c r="F30" i="5"/>
  <c r="F29" i="5"/>
  <c r="F28" i="5"/>
  <c r="F27" i="5"/>
  <c r="F26" i="5"/>
  <c r="F25" i="5"/>
  <c r="F24" i="5"/>
  <c r="F23" i="5"/>
  <c r="F22" i="5"/>
  <c r="F21" i="5"/>
  <c r="F20" i="5"/>
  <c r="F19" i="5"/>
  <c r="F18" i="5"/>
  <c r="F17" i="5"/>
  <c r="F16" i="5"/>
  <c r="F15" i="5"/>
  <c r="F14" i="5"/>
  <c r="F13" i="5"/>
  <c r="F12" i="5"/>
  <c r="F11" i="5"/>
  <c r="F10" i="5"/>
  <c r="F9" i="5"/>
  <c r="F8" i="5"/>
  <c r="F7" i="5"/>
  <c r="F6" i="5"/>
  <c r="F5" i="5"/>
  <c r="K1466" i="2"/>
  <c r="K1465" i="2"/>
  <c r="K1464" i="2"/>
  <c r="K1463" i="2"/>
  <c r="K1462" i="2"/>
  <c r="K1461" i="2"/>
  <c r="K1460" i="2"/>
  <c r="K1459" i="2"/>
  <c r="K1458" i="2"/>
  <c r="K1457" i="2"/>
  <c r="K1456" i="2"/>
  <c r="K1455" i="2"/>
  <c r="K1454" i="2"/>
  <c r="K1453" i="2"/>
  <c r="K1452" i="2"/>
  <c r="K1451" i="2"/>
  <c r="K1450" i="2"/>
  <c r="K1449" i="2"/>
  <c r="K1448" i="2"/>
  <c r="K1447" i="2"/>
  <c r="K1446" i="2"/>
  <c r="K1445" i="2"/>
  <c r="K1444" i="2"/>
  <c r="K1443" i="2"/>
  <c r="K1442" i="2"/>
  <c r="K1441" i="2"/>
  <c r="K1440" i="2"/>
  <c r="K1439" i="2"/>
  <c r="K1438" i="2"/>
  <c r="K1437" i="2"/>
  <c r="K1436" i="2"/>
  <c r="K1435" i="2"/>
  <c r="K1434" i="2"/>
  <c r="K1433" i="2"/>
  <c r="K1432" i="2"/>
  <c r="K1431" i="2"/>
  <c r="K1430" i="2"/>
  <c r="K1429" i="2"/>
  <c r="K1428" i="2"/>
  <c r="K1427" i="2"/>
  <c r="K1426" i="2"/>
  <c r="K1425" i="2"/>
  <c r="K1424" i="2"/>
  <c r="K1423" i="2"/>
  <c r="K1422" i="2"/>
  <c r="K1421" i="2"/>
  <c r="K1420" i="2"/>
  <c r="K1419" i="2"/>
  <c r="K1418" i="2"/>
  <c r="K1417" i="2"/>
  <c r="K1416" i="2"/>
  <c r="K1415" i="2"/>
  <c r="K1414" i="2"/>
  <c r="K1413" i="2"/>
  <c r="K1412" i="2"/>
  <c r="K1411" i="2"/>
  <c r="K1410" i="2"/>
  <c r="K1409" i="2"/>
  <c r="K1408" i="2"/>
  <c r="K1407" i="2"/>
  <c r="K1406" i="2"/>
  <c r="K1405" i="2"/>
  <c r="K1404" i="2"/>
  <c r="K1403" i="2"/>
  <c r="K1402" i="2"/>
  <c r="K1401" i="2"/>
  <c r="K1400" i="2"/>
  <c r="K1399" i="2"/>
  <c r="K1398" i="2"/>
  <c r="K1397" i="2"/>
  <c r="K1396" i="2"/>
  <c r="K1395" i="2"/>
  <c r="K1394" i="2"/>
  <c r="K1393" i="2"/>
  <c r="K1392" i="2"/>
  <c r="K1391" i="2"/>
  <c r="K1390" i="2"/>
  <c r="K1389" i="2"/>
  <c r="K1388" i="2"/>
  <c r="K1387" i="2"/>
  <c r="K1386" i="2"/>
  <c r="K1385" i="2"/>
  <c r="K1384" i="2"/>
  <c r="K1383" i="2"/>
  <c r="K1382" i="2"/>
  <c r="K1381" i="2"/>
  <c r="K1380" i="2"/>
  <c r="K1379" i="2"/>
  <c r="K1378" i="2"/>
  <c r="K1377" i="2"/>
  <c r="K1376" i="2"/>
  <c r="K1375" i="2"/>
  <c r="K1374" i="2"/>
  <c r="K1373" i="2"/>
  <c r="K1372" i="2"/>
  <c r="K1371" i="2"/>
  <c r="K1370" i="2"/>
  <c r="K1369" i="2"/>
  <c r="K1368" i="2"/>
  <c r="K1367" i="2"/>
  <c r="K1366" i="2"/>
  <c r="K1365" i="2"/>
  <c r="K1364" i="2"/>
  <c r="K1363" i="2"/>
  <c r="K1362" i="2"/>
  <c r="K1361" i="2"/>
  <c r="K1360" i="2"/>
  <c r="K1359" i="2"/>
  <c r="K1358" i="2"/>
  <c r="K1357" i="2"/>
  <c r="K1356" i="2"/>
  <c r="K1355" i="2"/>
  <c r="K1354" i="2"/>
  <c r="K1353" i="2"/>
  <c r="K1352" i="2"/>
  <c r="K1351" i="2"/>
  <c r="K1350" i="2"/>
  <c r="K1349" i="2"/>
  <c r="K1348" i="2"/>
  <c r="K1347" i="2"/>
  <c r="K1346" i="2"/>
  <c r="K1345" i="2"/>
  <c r="K1344" i="2"/>
  <c r="K1343" i="2"/>
  <c r="K1342" i="2"/>
  <c r="K1341" i="2"/>
  <c r="K1340" i="2"/>
  <c r="K1339" i="2"/>
  <c r="K1338" i="2"/>
  <c r="K1337" i="2"/>
  <c r="K1336" i="2"/>
  <c r="K1335" i="2"/>
  <c r="K1334" i="2"/>
  <c r="K1333" i="2"/>
  <c r="K1332" i="2"/>
  <c r="K1331" i="2"/>
  <c r="K1330" i="2"/>
  <c r="K1329" i="2"/>
  <c r="K1328" i="2"/>
  <c r="K1327" i="2"/>
  <c r="K1326" i="2"/>
  <c r="K1325" i="2"/>
  <c r="K1324" i="2"/>
  <c r="K1323" i="2"/>
  <c r="K1322" i="2"/>
  <c r="K1321" i="2"/>
  <c r="K1320" i="2"/>
  <c r="K1319" i="2"/>
  <c r="K1318" i="2"/>
  <c r="K1317" i="2"/>
  <c r="K1316" i="2"/>
  <c r="K1315" i="2"/>
  <c r="K1314" i="2"/>
  <c r="K1313" i="2"/>
  <c r="K1312" i="2"/>
  <c r="K1311" i="2"/>
  <c r="K1310" i="2"/>
  <c r="K1309" i="2"/>
  <c r="K1308" i="2"/>
  <c r="K1307" i="2"/>
  <c r="K1306" i="2"/>
  <c r="K1305" i="2"/>
  <c r="K1304" i="2"/>
  <c r="K1303" i="2"/>
  <c r="K1302" i="2"/>
  <c r="K1301" i="2"/>
  <c r="K1300" i="2"/>
  <c r="K1299" i="2"/>
  <c r="K1298" i="2"/>
  <c r="K1297" i="2"/>
  <c r="K1296" i="2"/>
  <c r="K1295" i="2"/>
  <c r="K1294" i="2"/>
  <c r="K1293" i="2"/>
  <c r="K1292" i="2"/>
  <c r="K1291" i="2"/>
  <c r="K1290" i="2"/>
  <c r="K1289" i="2"/>
  <c r="K1288" i="2"/>
  <c r="K1287" i="2"/>
  <c r="K1286" i="2"/>
  <c r="K1285" i="2"/>
  <c r="K1284" i="2"/>
  <c r="K1283" i="2"/>
  <c r="K1282" i="2"/>
  <c r="K1281" i="2"/>
  <c r="K1280" i="2"/>
  <c r="K1279" i="2"/>
  <c r="K1278" i="2"/>
  <c r="K1277" i="2"/>
  <c r="K1276" i="2"/>
  <c r="K1275" i="2"/>
  <c r="K1274" i="2"/>
  <c r="K1273" i="2"/>
  <c r="K1272" i="2"/>
  <c r="K1271" i="2"/>
  <c r="K1270" i="2"/>
  <c r="K1269" i="2"/>
  <c r="K1268" i="2"/>
  <c r="K1267" i="2"/>
  <c r="K1266" i="2"/>
  <c r="K1265" i="2"/>
  <c r="K1264" i="2"/>
  <c r="K1263" i="2"/>
  <c r="K1262" i="2"/>
  <c r="K1261" i="2"/>
  <c r="K1260" i="2"/>
  <c r="K1259" i="2"/>
  <c r="K1258" i="2"/>
  <c r="K1257" i="2"/>
  <c r="K1256" i="2"/>
  <c r="K1255" i="2"/>
  <c r="K1254" i="2"/>
  <c r="K1253" i="2"/>
  <c r="K1252" i="2"/>
  <c r="K1251" i="2"/>
  <c r="K1250" i="2"/>
  <c r="K1249" i="2"/>
  <c r="K1248" i="2"/>
  <c r="K1247" i="2"/>
  <c r="K1246" i="2"/>
  <c r="K1245" i="2"/>
  <c r="K1244" i="2"/>
  <c r="K1243" i="2"/>
  <c r="K1242" i="2"/>
  <c r="K1241" i="2"/>
  <c r="K1240" i="2"/>
  <c r="K1239" i="2"/>
  <c r="K1238" i="2"/>
  <c r="K1237" i="2"/>
  <c r="K1236" i="2"/>
  <c r="K1235" i="2"/>
  <c r="K1234" i="2"/>
  <c r="K1233" i="2"/>
  <c r="K1232" i="2"/>
  <c r="K1231" i="2"/>
  <c r="K1230" i="2"/>
  <c r="K1229" i="2"/>
  <c r="K1228" i="2"/>
  <c r="K1227" i="2"/>
  <c r="K1226" i="2"/>
  <c r="K1225" i="2"/>
  <c r="K1224" i="2"/>
  <c r="K1223" i="2"/>
  <c r="K1222" i="2"/>
  <c r="K1221" i="2"/>
  <c r="K1220" i="2"/>
  <c r="K1219" i="2"/>
  <c r="K1218" i="2"/>
  <c r="K1217" i="2"/>
  <c r="K1216" i="2"/>
  <c r="K1215" i="2"/>
  <c r="K1214" i="2"/>
  <c r="K1213" i="2"/>
  <c r="K1212" i="2"/>
  <c r="K1211" i="2"/>
  <c r="K1210" i="2"/>
  <c r="K1209" i="2"/>
  <c r="K1208" i="2"/>
  <c r="K1207" i="2"/>
  <c r="K1206" i="2"/>
  <c r="K1205" i="2"/>
  <c r="K1204" i="2"/>
  <c r="K1203" i="2"/>
  <c r="K1202" i="2"/>
  <c r="K1201" i="2"/>
  <c r="K1200" i="2"/>
  <c r="K1199" i="2"/>
  <c r="K1198" i="2"/>
  <c r="K1197" i="2"/>
  <c r="K1196" i="2"/>
  <c r="K1195" i="2"/>
  <c r="K1194" i="2"/>
  <c r="K1193" i="2"/>
  <c r="K1192" i="2"/>
  <c r="K1191" i="2"/>
  <c r="K1190" i="2"/>
  <c r="K1189" i="2"/>
  <c r="K1188" i="2"/>
  <c r="K1187" i="2"/>
  <c r="K1186" i="2"/>
  <c r="K1185" i="2"/>
  <c r="K1184" i="2"/>
  <c r="K1183" i="2"/>
  <c r="K1182" i="2"/>
  <c r="K1181" i="2"/>
  <c r="K1180" i="2"/>
  <c r="K1179" i="2"/>
  <c r="K1178" i="2"/>
  <c r="K1177" i="2"/>
  <c r="K1176" i="2"/>
  <c r="K1175" i="2"/>
  <c r="K1174" i="2"/>
  <c r="K1173" i="2"/>
  <c r="K1172" i="2"/>
  <c r="K1171" i="2"/>
  <c r="K1170" i="2"/>
  <c r="K1169" i="2"/>
  <c r="K1168" i="2"/>
  <c r="K1167" i="2"/>
  <c r="K1166" i="2"/>
  <c r="K1165" i="2"/>
  <c r="K1164" i="2"/>
  <c r="K1163" i="2"/>
  <c r="K1162" i="2"/>
  <c r="K1161" i="2"/>
  <c r="K1160" i="2"/>
  <c r="K1159" i="2"/>
  <c r="K1158" i="2"/>
  <c r="K1157" i="2"/>
  <c r="K1156" i="2"/>
  <c r="K1155" i="2"/>
  <c r="K1154" i="2"/>
  <c r="K1153" i="2"/>
  <c r="K1152" i="2"/>
  <c r="K1151" i="2"/>
  <c r="K1150" i="2"/>
  <c r="K1149" i="2"/>
  <c r="K1148" i="2"/>
  <c r="K1147" i="2"/>
  <c r="K1146" i="2"/>
  <c r="K1145" i="2"/>
  <c r="K1144" i="2"/>
  <c r="K1143" i="2"/>
  <c r="K1142" i="2"/>
  <c r="K1141" i="2"/>
  <c r="K1140" i="2"/>
  <c r="K1139" i="2"/>
  <c r="K1138" i="2"/>
  <c r="K1137" i="2"/>
  <c r="K1136" i="2"/>
  <c r="K1135" i="2"/>
  <c r="K1134" i="2"/>
  <c r="K1133" i="2"/>
  <c r="K1132" i="2"/>
  <c r="K1131" i="2"/>
  <c r="K1130" i="2"/>
  <c r="K1129" i="2"/>
  <c r="K1128" i="2"/>
  <c r="K1127" i="2"/>
  <c r="K1126" i="2"/>
  <c r="K1125" i="2"/>
  <c r="K1124" i="2"/>
  <c r="K1123" i="2"/>
  <c r="K1122" i="2"/>
  <c r="K1121" i="2"/>
  <c r="K1120" i="2"/>
  <c r="K1119" i="2"/>
  <c r="K1118" i="2"/>
  <c r="K1117" i="2"/>
  <c r="K1116" i="2"/>
  <c r="K1115" i="2"/>
  <c r="K1114" i="2"/>
  <c r="K1113" i="2"/>
  <c r="K1112" i="2"/>
  <c r="K1111" i="2"/>
  <c r="K1110" i="2"/>
  <c r="K1109" i="2"/>
  <c r="K1108" i="2"/>
  <c r="K1107" i="2"/>
  <c r="K1106" i="2"/>
  <c r="K1105" i="2"/>
  <c r="K1104" i="2"/>
  <c r="K1103" i="2"/>
  <c r="K1102" i="2"/>
  <c r="K1101" i="2"/>
  <c r="K1100" i="2"/>
  <c r="K1099" i="2"/>
  <c r="K1098" i="2"/>
  <c r="K1097" i="2"/>
  <c r="K1096" i="2"/>
  <c r="K1095" i="2"/>
  <c r="K1094" i="2"/>
  <c r="K1093" i="2"/>
  <c r="K1092" i="2"/>
  <c r="K1091" i="2"/>
  <c r="K1090" i="2"/>
  <c r="K1089" i="2"/>
  <c r="K1088" i="2"/>
  <c r="K1087" i="2"/>
  <c r="K1086" i="2"/>
  <c r="K1085" i="2"/>
  <c r="K1084" i="2"/>
  <c r="K1083" i="2"/>
  <c r="K1082" i="2"/>
  <c r="K1081" i="2"/>
  <c r="K1080" i="2"/>
  <c r="K1079" i="2"/>
  <c r="K1078" i="2"/>
  <c r="K1077" i="2"/>
  <c r="K1076" i="2"/>
  <c r="K1075" i="2"/>
  <c r="K1074" i="2"/>
  <c r="K1073" i="2"/>
  <c r="K1072" i="2"/>
  <c r="K1071" i="2"/>
  <c r="K1070" i="2"/>
  <c r="K1069" i="2"/>
  <c r="K1068" i="2"/>
  <c r="K1067" i="2"/>
  <c r="K1066" i="2"/>
  <c r="K1065" i="2"/>
  <c r="K1064" i="2"/>
  <c r="K1063" i="2"/>
  <c r="K1062" i="2"/>
  <c r="K1061" i="2"/>
  <c r="K1060" i="2"/>
  <c r="K1059" i="2"/>
  <c r="K1058" i="2"/>
  <c r="K1057" i="2"/>
  <c r="K1056" i="2"/>
  <c r="K1055" i="2"/>
  <c r="K1054" i="2"/>
  <c r="K1053" i="2"/>
  <c r="K1052" i="2"/>
  <c r="K1051" i="2"/>
  <c r="K1050" i="2"/>
  <c r="K1049" i="2"/>
  <c r="K1048" i="2"/>
  <c r="K1047" i="2"/>
  <c r="K1046" i="2"/>
  <c r="K1045" i="2"/>
  <c r="K1044" i="2"/>
  <c r="K1043" i="2"/>
  <c r="K1042" i="2"/>
  <c r="K1041" i="2"/>
  <c r="K1040" i="2"/>
  <c r="K1039" i="2"/>
  <c r="K1038" i="2"/>
  <c r="K1037" i="2"/>
  <c r="K1036" i="2"/>
  <c r="K1035" i="2"/>
  <c r="K1034" i="2"/>
  <c r="K1033" i="2"/>
  <c r="K1032" i="2"/>
  <c r="K1031" i="2"/>
  <c r="K1030" i="2"/>
  <c r="K1029" i="2"/>
  <c r="K1028" i="2"/>
  <c r="K1027" i="2"/>
  <c r="K1026" i="2"/>
  <c r="K1025" i="2"/>
  <c r="K1024" i="2"/>
  <c r="K1023" i="2"/>
  <c r="K1022" i="2"/>
  <c r="K1021" i="2"/>
  <c r="K1020" i="2"/>
  <c r="K1019" i="2"/>
  <c r="K1018" i="2"/>
  <c r="K1017" i="2"/>
  <c r="K1016" i="2"/>
  <c r="K1015" i="2"/>
  <c r="K1014" i="2"/>
  <c r="K1013" i="2"/>
  <c r="K1012" i="2"/>
  <c r="K1011" i="2"/>
  <c r="K1010" i="2"/>
  <c r="K1009" i="2"/>
  <c r="K1008" i="2"/>
  <c r="K1007" i="2"/>
  <c r="K1006" i="2"/>
  <c r="K1005" i="2"/>
  <c r="K1004" i="2"/>
  <c r="K1003" i="2"/>
  <c r="K1002" i="2"/>
  <c r="K1001" i="2"/>
  <c r="K1000" i="2"/>
  <c r="K999" i="2"/>
  <c r="K998" i="2"/>
  <c r="K997" i="2"/>
  <c r="K996" i="2"/>
  <c r="K995" i="2"/>
  <c r="K994" i="2"/>
  <c r="K993" i="2"/>
  <c r="K992" i="2"/>
  <c r="K991" i="2"/>
  <c r="K990" i="2"/>
  <c r="K989" i="2"/>
  <c r="K988" i="2"/>
  <c r="K987" i="2"/>
  <c r="K986" i="2"/>
  <c r="K985" i="2"/>
  <c r="K984" i="2"/>
  <c r="K983" i="2"/>
  <c r="K982" i="2"/>
  <c r="K981" i="2"/>
  <c r="K980" i="2"/>
  <c r="K979" i="2"/>
  <c r="K978" i="2"/>
  <c r="K977" i="2"/>
  <c r="K976" i="2"/>
  <c r="K975" i="2"/>
  <c r="K974" i="2"/>
  <c r="K973" i="2"/>
  <c r="K972" i="2"/>
  <c r="K971" i="2"/>
  <c r="K970" i="2"/>
  <c r="K969" i="2"/>
  <c r="K968" i="2"/>
  <c r="K967" i="2"/>
  <c r="K966" i="2"/>
  <c r="K965" i="2"/>
  <c r="K964" i="2"/>
  <c r="K963" i="2"/>
  <c r="K962" i="2"/>
  <c r="K961" i="2"/>
  <c r="K960" i="2"/>
  <c r="K959" i="2"/>
  <c r="K958" i="2"/>
  <c r="K957" i="2"/>
  <c r="K956" i="2"/>
  <c r="K955" i="2"/>
  <c r="K954" i="2"/>
  <c r="K953" i="2"/>
  <c r="K952" i="2"/>
  <c r="K951" i="2"/>
  <c r="K950" i="2"/>
  <c r="K949" i="2"/>
  <c r="K948" i="2"/>
  <c r="K947" i="2"/>
  <c r="K946" i="2"/>
  <c r="K945" i="2"/>
  <c r="K944" i="2"/>
  <c r="K943" i="2"/>
  <c r="K942" i="2"/>
  <c r="K941" i="2"/>
  <c r="K940" i="2"/>
  <c r="K939" i="2"/>
  <c r="K938" i="2"/>
  <c r="K937" i="2"/>
  <c r="K936" i="2"/>
  <c r="K935" i="2"/>
  <c r="K934" i="2"/>
  <c r="K933" i="2"/>
  <c r="K932" i="2"/>
  <c r="K931" i="2"/>
  <c r="K930" i="2"/>
  <c r="K929" i="2"/>
  <c r="K928" i="2"/>
  <c r="K927" i="2"/>
  <c r="K926" i="2"/>
  <c r="K925" i="2"/>
  <c r="K924" i="2"/>
  <c r="K923" i="2"/>
  <c r="K922" i="2"/>
  <c r="K921" i="2"/>
  <c r="K920" i="2"/>
  <c r="K919" i="2"/>
  <c r="K918" i="2"/>
  <c r="K917" i="2"/>
  <c r="K916" i="2"/>
  <c r="K915" i="2"/>
  <c r="K914" i="2"/>
  <c r="K913" i="2"/>
  <c r="K912" i="2"/>
  <c r="K911" i="2"/>
  <c r="K910" i="2"/>
  <c r="K909" i="2"/>
  <c r="K908" i="2"/>
  <c r="K907" i="2"/>
  <c r="K906" i="2"/>
  <c r="K905" i="2"/>
  <c r="K904" i="2"/>
  <c r="K903" i="2"/>
  <c r="K902" i="2"/>
  <c r="K901" i="2"/>
  <c r="K900" i="2"/>
  <c r="K899" i="2"/>
  <c r="K898" i="2"/>
  <c r="K897" i="2"/>
  <c r="K896" i="2"/>
  <c r="K895" i="2"/>
  <c r="K894" i="2"/>
  <c r="K893" i="2"/>
  <c r="K892" i="2"/>
  <c r="K891" i="2"/>
  <c r="K890" i="2"/>
  <c r="K889" i="2"/>
  <c r="K888" i="2"/>
  <c r="K887" i="2"/>
  <c r="K886" i="2"/>
  <c r="K885" i="2"/>
  <c r="K884" i="2"/>
  <c r="K883" i="2"/>
  <c r="K882" i="2"/>
  <c r="K881" i="2"/>
  <c r="K880" i="2"/>
  <c r="K879" i="2"/>
  <c r="K878" i="2"/>
  <c r="K877" i="2"/>
  <c r="K876" i="2"/>
  <c r="K875" i="2"/>
  <c r="K874" i="2"/>
  <c r="K873" i="2"/>
  <c r="K872" i="2"/>
  <c r="K871" i="2"/>
  <c r="K870" i="2"/>
  <c r="K869" i="2"/>
  <c r="K868" i="2"/>
  <c r="K867" i="2"/>
  <c r="K866" i="2"/>
  <c r="K865" i="2"/>
  <c r="K864" i="2"/>
  <c r="K863" i="2"/>
  <c r="K862" i="2"/>
  <c r="K861" i="2"/>
  <c r="K860" i="2"/>
  <c r="K859" i="2"/>
  <c r="K858" i="2"/>
  <c r="K857" i="2"/>
  <c r="K856" i="2"/>
  <c r="K855" i="2"/>
  <c r="K854" i="2"/>
  <c r="K853" i="2"/>
  <c r="K852" i="2"/>
  <c r="K851" i="2"/>
  <c r="K850" i="2"/>
  <c r="K849" i="2"/>
  <c r="K848" i="2"/>
  <c r="K847" i="2"/>
  <c r="K846" i="2"/>
  <c r="K845" i="2"/>
  <c r="K844" i="2"/>
  <c r="K843" i="2"/>
  <c r="K842" i="2"/>
  <c r="K841" i="2"/>
  <c r="K840" i="2"/>
  <c r="K839" i="2"/>
  <c r="K838" i="2"/>
  <c r="K837" i="2"/>
  <c r="K836" i="2"/>
  <c r="K835" i="2"/>
  <c r="K834" i="2"/>
  <c r="K833" i="2"/>
  <c r="K832" i="2"/>
  <c r="K831" i="2"/>
  <c r="K830" i="2"/>
  <c r="K829" i="2"/>
  <c r="K828" i="2"/>
  <c r="K827" i="2"/>
  <c r="K826" i="2"/>
  <c r="K825" i="2"/>
  <c r="K824" i="2"/>
  <c r="K823" i="2"/>
  <c r="K822" i="2"/>
  <c r="K821" i="2"/>
  <c r="K820" i="2"/>
  <c r="K819" i="2"/>
  <c r="K818" i="2"/>
  <c r="K817" i="2"/>
  <c r="K816" i="2"/>
  <c r="K815" i="2"/>
  <c r="K814" i="2"/>
  <c r="K813" i="2"/>
  <c r="K812" i="2"/>
  <c r="K811" i="2"/>
  <c r="K810" i="2"/>
  <c r="K809" i="2"/>
  <c r="K808" i="2"/>
  <c r="K807" i="2"/>
  <c r="K806" i="2"/>
  <c r="K805" i="2"/>
  <c r="K804" i="2"/>
  <c r="K803" i="2"/>
  <c r="K802" i="2"/>
  <c r="K801" i="2"/>
  <c r="K800" i="2"/>
  <c r="K799" i="2"/>
  <c r="K798" i="2"/>
  <c r="K797" i="2"/>
  <c r="K796" i="2"/>
  <c r="K795" i="2"/>
  <c r="K794" i="2"/>
  <c r="K793" i="2"/>
  <c r="K792" i="2"/>
  <c r="K791" i="2"/>
  <c r="K790" i="2"/>
  <c r="K789" i="2"/>
  <c r="K788" i="2"/>
  <c r="K787" i="2"/>
  <c r="K786" i="2"/>
  <c r="K785" i="2"/>
  <c r="K784" i="2"/>
  <c r="K783" i="2"/>
  <c r="K782" i="2"/>
  <c r="K781" i="2"/>
  <c r="K780" i="2"/>
  <c r="K779" i="2"/>
  <c r="K778" i="2"/>
  <c r="K777" i="2"/>
  <c r="K776" i="2"/>
  <c r="K775" i="2"/>
  <c r="K774" i="2"/>
  <c r="K773" i="2"/>
  <c r="K772" i="2"/>
  <c r="K771" i="2"/>
  <c r="K770" i="2"/>
  <c r="K769" i="2"/>
  <c r="K768" i="2"/>
  <c r="K767" i="2"/>
  <c r="K766" i="2"/>
  <c r="K765" i="2"/>
  <c r="K764" i="2"/>
  <c r="K763" i="2"/>
  <c r="K762" i="2"/>
  <c r="K761" i="2"/>
  <c r="K760" i="2"/>
  <c r="K759" i="2"/>
  <c r="K758" i="2"/>
  <c r="K757" i="2"/>
  <c r="K756" i="2"/>
  <c r="K755" i="2"/>
  <c r="K754" i="2"/>
  <c r="K753" i="2"/>
  <c r="K752" i="2"/>
  <c r="K751" i="2"/>
  <c r="K750" i="2"/>
  <c r="K749" i="2"/>
  <c r="K748" i="2"/>
  <c r="K747" i="2"/>
  <c r="K746" i="2"/>
  <c r="K745" i="2"/>
  <c r="K744" i="2"/>
  <c r="K743" i="2"/>
  <c r="K742" i="2"/>
  <c r="K741" i="2"/>
  <c r="K740" i="2"/>
  <c r="K739" i="2"/>
  <c r="K738" i="2"/>
  <c r="K737" i="2"/>
  <c r="K736" i="2"/>
  <c r="K735" i="2"/>
  <c r="K734" i="2"/>
  <c r="K733" i="2"/>
  <c r="K732" i="2"/>
  <c r="K731" i="2"/>
  <c r="K730" i="2"/>
  <c r="K729" i="2"/>
  <c r="K728" i="2"/>
  <c r="K727" i="2"/>
  <c r="K726" i="2"/>
  <c r="K725" i="2"/>
  <c r="K724" i="2"/>
  <c r="K723" i="2"/>
  <c r="K722" i="2"/>
  <c r="K721" i="2"/>
  <c r="K720" i="2"/>
  <c r="K719" i="2"/>
  <c r="K718" i="2"/>
  <c r="K717" i="2"/>
  <c r="K716" i="2"/>
  <c r="K715" i="2"/>
  <c r="K714" i="2"/>
  <c r="K713" i="2"/>
  <c r="K712" i="2"/>
  <c r="K711" i="2"/>
  <c r="K710" i="2"/>
  <c r="K709" i="2"/>
  <c r="K708" i="2"/>
  <c r="K707" i="2"/>
  <c r="K706" i="2"/>
  <c r="K705" i="2"/>
  <c r="K704" i="2"/>
  <c r="K703" i="2"/>
  <c r="K702" i="2"/>
  <c r="K701" i="2"/>
  <c r="K700" i="2"/>
  <c r="K699" i="2"/>
  <c r="K698" i="2"/>
  <c r="K697" i="2"/>
  <c r="K696" i="2"/>
  <c r="K695" i="2"/>
  <c r="K694" i="2"/>
  <c r="K693" i="2"/>
  <c r="K692" i="2"/>
  <c r="K691" i="2"/>
  <c r="K690" i="2"/>
  <c r="K689" i="2"/>
  <c r="K688" i="2"/>
  <c r="K687" i="2"/>
  <c r="K686" i="2"/>
  <c r="K685" i="2"/>
  <c r="K684" i="2"/>
  <c r="K683" i="2"/>
  <c r="K682" i="2"/>
  <c r="K681" i="2"/>
  <c r="K680" i="2"/>
  <c r="K679" i="2"/>
  <c r="K678" i="2"/>
  <c r="K677" i="2"/>
  <c r="K676" i="2"/>
  <c r="K675" i="2"/>
  <c r="K674" i="2"/>
  <c r="K673" i="2"/>
  <c r="K672" i="2"/>
  <c r="K671" i="2"/>
  <c r="K670" i="2"/>
  <c r="K669" i="2"/>
  <c r="K668" i="2"/>
  <c r="K667" i="2"/>
  <c r="K666" i="2"/>
  <c r="K665" i="2"/>
  <c r="K664" i="2"/>
  <c r="K663" i="2"/>
  <c r="K662" i="2"/>
  <c r="K661" i="2"/>
  <c r="K660" i="2"/>
  <c r="K659" i="2"/>
  <c r="K658" i="2"/>
  <c r="K657" i="2"/>
  <c r="K656" i="2"/>
  <c r="K655" i="2"/>
  <c r="K654" i="2"/>
  <c r="K653" i="2"/>
  <c r="K652" i="2"/>
  <c r="K651" i="2"/>
  <c r="K650" i="2"/>
  <c r="K649" i="2"/>
  <c r="K648" i="2"/>
  <c r="K647" i="2"/>
  <c r="K646" i="2"/>
  <c r="K645" i="2"/>
  <c r="K644" i="2"/>
  <c r="K643" i="2"/>
  <c r="K642" i="2"/>
  <c r="K641" i="2"/>
  <c r="K640" i="2"/>
  <c r="K639" i="2"/>
  <c r="K638" i="2"/>
  <c r="K637" i="2"/>
  <c r="K636" i="2"/>
  <c r="K635" i="2"/>
  <c r="K634" i="2"/>
  <c r="K633" i="2"/>
  <c r="K632" i="2"/>
  <c r="K631" i="2"/>
  <c r="K630" i="2"/>
  <c r="K629" i="2"/>
  <c r="K628" i="2"/>
  <c r="K627" i="2"/>
  <c r="K626" i="2"/>
  <c r="K625" i="2"/>
  <c r="K624" i="2"/>
  <c r="K623" i="2"/>
  <c r="K622" i="2"/>
  <c r="K621" i="2"/>
  <c r="K620" i="2"/>
  <c r="K619" i="2"/>
  <c r="K618" i="2"/>
  <c r="K617" i="2"/>
  <c r="K616" i="2"/>
  <c r="K615" i="2"/>
  <c r="K614" i="2"/>
  <c r="K613" i="2"/>
  <c r="K612" i="2"/>
  <c r="K611" i="2"/>
  <c r="K610" i="2"/>
  <c r="K609" i="2"/>
  <c r="K608" i="2"/>
  <c r="K607" i="2"/>
  <c r="K606" i="2"/>
  <c r="K605" i="2"/>
  <c r="K604" i="2"/>
  <c r="K603" i="2"/>
  <c r="K602" i="2"/>
  <c r="K601" i="2"/>
  <c r="K600" i="2"/>
  <c r="K599" i="2"/>
  <c r="K598" i="2"/>
  <c r="K597" i="2"/>
  <c r="K596" i="2"/>
  <c r="K595" i="2"/>
  <c r="K594" i="2"/>
  <c r="K593" i="2"/>
  <c r="K592" i="2"/>
  <c r="K591" i="2"/>
  <c r="K590" i="2"/>
  <c r="K589" i="2"/>
  <c r="K588" i="2"/>
  <c r="K587" i="2"/>
  <c r="K586" i="2"/>
  <c r="K585" i="2"/>
  <c r="K584" i="2"/>
  <c r="K583" i="2"/>
  <c r="K582" i="2"/>
  <c r="K581" i="2"/>
  <c r="K580" i="2"/>
  <c r="K579" i="2"/>
  <c r="K578" i="2"/>
  <c r="K577" i="2"/>
  <c r="K576" i="2"/>
  <c r="K575" i="2"/>
  <c r="K574" i="2"/>
  <c r="K573" i="2"/>
  <c r="K572" i="2"/>
  <c r="K571" i="2"/>
  <c r="K570" i="2"/>
  <c r="K569" i="2"/>
  <c r="K568" i="2"/>
  <c r="K567" i="2"/>
  <c r="K566" i="2"/>
  <c r="K565" i="2"/>
  <c r="K564" i="2"/>
  <c r="K563" i="2"/>
  <c r="K562" i="2"/>
  <c r="K561" i="2"/>
  <c r="K560" i="2"/>
  <c r="K559" i="2"/>
  <c r="K558" i="2"/>
  <c r="K557" i="2"/>
  <c r="K556" i="2"/>
  <c r="K555" i="2"/>
  <c r="K554" i="2"/>
  <c r="K553" i="2"/>
  <c r="K552" i="2"/>
  <c r="K551" i="2"/>
  <c r="K550" i="2"/>
  <c r="K549" i="2"/>
  <c r="K548" i="2"/>
  <c r="K547" i="2"/>
  <c r="K546" i="2"/>
  <c r="K545" i="2"/>
  <c r="K544" i="2"/>
  <c r="K543" i="2"/>
  <c r="K542" i="2"/>
  <c r="K541" i="2"/>
  <c r="K540" i="2"/>
  <c r="K539" i="2"/>
  <c r="K538" i="2"/>
  <c r="K537" i="2"/>
  <c r="K536" i="2"/>
  <c r="K535" i="2"/>
  <c r="K534" i="2"/>
  <c r="K533" i="2"/>
  <c r="K532" i="2"/>
  <c r="K531" i="2"/>
  <c r="K530" i="2"/>
  <c r="K529" i="2"/>
  <c r="K528" i="2"/>
  <c r="K527" i="2"/>
  <c r="K526" i="2"/>
  <c r="K525" i="2"/>
  <c r="K524" i="2"/>
  <c r="K523" i="2"/>
  <c r="K522" i="2"/>
  <c r="K521" i="2"/>
  <c r="K520" i="2"/>
  <c r="K519" i="2"/>
  <c r="K518" i="2"/>
  <c r="K517" i="2"/>
  <c r="K516" i="2"/>
  <c r="K515" i="2"/>
  <c r="K514" i="2"/>
  <c r="K513" i="2"/>
  <c r="K512" i="2"/>
  <c r="K511" i="2"/>
  <c r="K510" i="2"/>
  <c r="K509" i="2"/>
  <c r="K508" i="2"/>
  <c r="K507" i="2"/>
  <c r="K506" i="2"/>
  <c r="K505" i="2"/>
  <c r="K504" i="2"/>
  <c r="K503" i="2"/>
  <c r="K502" i="2"/>
  <c r="K501" i="2"/>
  <c r="K500" i="2"/>
  <c r="K499" i="2"/>
  <c r="K498" i="2"/>
  <c r="K497" i="2"/>
  <c r="K496" i="2"/>
  <c r="K495" i="2"/>
  <c r="K494" i="2"/>
  <c r="K493" i="2"/>
  <c r="K492" i="2"/>
  <c r="K491" i="2"/>
  <c r="K490" i="2"/>
  <c r="K489" i="2"/>
  <c r="K488" i="2"/>
  <c r="K487" i="2"/>
  <c r="K486" i="2"/>
  <c r="K485" i="2"/>
  <c r="K484" i="2"/>
  <c r="K483" i="2"/>
  <c r="K482" i="2"/>
  <c r="K481" i="2"/>
  <c r="K480" i="2"/>
  <c r="K479" i="2"/>
  <c r="K478" i="2"/>
  <c r="K477" i="2"/>
  <c r="K476" i="2"/>
  <c r="K475" i="2"/>
  <c r="K474" i="2"/>
  <c r="K473" i="2"/>
  <c r="K472" i="2"/>
  <c r="K471" i="2"/>
  <c r="K470" i="2"/>
  <c r="K469" i="2"/>
  <c r="K468" i="2"/>
  <c r="K467" i="2"/>
  <c r="K466" i="2"/>
  <c r="K465" i="2"/>
  <c r="K464" i="2"/>
  <c r="K463" i="2"/>
  <c r="K462" i="2"/>
  <c r="K461" i="2"/>
  <c r="K460" i="2"/>
  <c r="K459" i="2"/>
  <c r="K458" i="2"/>
  <c r="K457" i="2"/>
  <c r="K456" i="2"/>
  <c r="K455" i="2"/>
  <c r="K454" i="2"/>
  <c r="K453" i="2"/>
  <c r="K452" i="2"/>
  <c r="K451" i="2"/>
  <c r="K450" i="2"/>
  <c r="K449" i="2"/>
  <c r="K448" i="2"/>
  <c r="K447" i="2"/>
  <c r="K446" i="2"/>
  <c r="K445" i="2"/>
  <c r="K444" i="2"/>
  <c r="K443" i="2"/>
  <c r="K442" i="2"/>
  <c r="K441" i="2"/>
  <c r="K440" i="2"/>
  <c r="K439" i="2"/>
  <c r="K438" i="2"/>
  <c r="K437" i="2"/>
  <c r="K436" i="2"/>
  <c r="K435" i="2"/>
  <c r="K434" i="2"/>
  <c r="K433" i="2"/>
  <c r="K432" i="2"/>
  <c r="K431" i="2"/>
  <c r="K430" i="2"/>
  <c r="K429" i="2"/>
  <c r="K428" i="2"/>
  <c r="K427" i="2"/>
  <c r="K426" i="2"/>
  <c r="K425" i="2"/>
  <c r="K424" i="2"/>
  <c r="K423" i="2"/>
  <c r="K422" i="2"/>
  <c r="K421" i="2"/>
  <c r="K420" i="2"/>
  <c r="K419" i="2"/>
  <c r="K418" i="2"/>
  <c r="K417" i="2"/>
  <c r="K416" i="2"/>
  <c r="K415" i="2"/>
  <c r="K414" i="2"/>
  <c r="K413" i="2"/>
  <c r="K412" i="2"/>
  <c r="K411" i="2"/>
  <c r="K410" i="2"/>
  <c r="K409" i="2"/>
  <c r="K408" i="2"/>
  <c r="K407" i="2"/>
  <c r="K406" i="2"/>
  <c r="K405" i="2"/>
  <c r="K404" i="2"/>
  <c r="K403" i="2"/>
  <c r="K402" i="2"/>
  <c r="K401" i="2"/>
  <c r="K400" i="2"/>
  <c r="K399" i="2"/>
  <c r="K398" i="2"/>
  <c r="K397" i="2"/>
  <c r="K396" i="2"/>
  <c r="K395" i="2"/>
  <c r="K394" i="2"/>
  <c r="K393" i="2"/>
  <c r="K392" i="2"/>
  <c r="K391" i="2"/>
  <c r="K390" i="2"/>
  <c r="K389" i="2"/>
  <c r="K388" i="2"/>
  <c r="K387" i="2"/>
  <c r="K386" i="2"/>
  <c r="K385" i="2"/>
  <c r="K384" i="2"/>
  <c r="K383" i="2"/>
  <c r="K382" i="2"/>
  <c r="K381" i="2"/>
  <c r="K380" i="2"/>
  <c r="K379" i="2"/>
  <c r="K378" i="2"/>
  <c r="K377" i="2"/>
  <c r="K376" i="2"/>
  <c r="K375" i="2"/>
  <c r="K374" i="2"/>
  <c r="K373" i="2"/>
  <c r="K372" i="2"/>
  <c r="K371" i="2"/>
  <c r="K370" i="2"/>
  <c r="K369" i="2"/>
  <c r="K368" i="2"/>
  <c r="K367" i="2"/>
  <c r="K366" i="2"/>
  <c r="K365" i="2"/>
  <c r="K364" i="2"/>
  <c r="K363" i="2"/>
  <c r="K362" i="2"/>
  <c r="K361" i="2"/>
  <c r="K360" i="2"/>
  <c r="K359" i="2"/>
  <c r="K358" i="2"/>
  <c r="K357" i="2"/>
  <c r="K356" i="2"/>
  <c r="K355" i="2"/>
  <c r="K354" i="2"/>
  <c r="K353" i="2"/>
  <c r="K352" i="2"/>
  <c r="K351" i="2"/>
  <c r="K350" i="2"/>
  <c r="K349" i="2"/>
  <c r="K348" i="2"/>
  <c r="K347" i="2"/>
  <c r="K346" i="2"/>
  <c r="K345" i="2"/>
  <c r="K344" i="2"/>
  <c r="K343" i="2"/>
  <c r="K342" i="2"/>
  <c r="K341" i="2"/>
  <c r="K340" i="2"/>
  <c r="K339" i="2"/>
  <c r="K338" i="2"/>
  <c r="K337" i="2"/>
  <c r="K336" i="2"/>
  <c r="K335" i="2"/>
  <c r="K334" i="2"/>
  <c r="K333" i="2"/>
  <c r="K332" i="2"/>
  <c r="K331" i="2"/>
  <c r="K330" i="2"/>
  <c r="K329" i="2"/>
  <c r="K328" i="2"/>
  <c r="K327" i="2"/>
  <c r="K326" i="2"/>
  <c r="K325" i="2"/>
  <c r="K324" i="2"/>
  <c r="K323" i="2"/>
  <c r="K322" i="2"/>
  <c r="K321" i="2"/>
  <c r="K320" i="2"/>
  <c r="K319" i="2"/>
  <c r="K318" i="2"/>
  <c r="K317" i="2"/>
  <c r="K316" i="2"/>
  <c r="K315" i="2"/>
  <c r="K314" i="2"/>
  <c r="K313" i="2"/>
  <c r="K312" i="2"/>
  <c r="K311" i="2"/>
  <c r="K310" i="2"/>
  <c r="K309" i="2"/>
  <c r="K308" i="2"/>
  <c r="K307" i="2"/>
  <c r="K306" i="2"/>
  <c r="K305" i="2"/>
  <c r="K304" i="2"/>
  <c r="K303" i="2"/>
  <c r="K302" i="2"/>
  <c r="K301" i="2"/>
  <c r="K300" i="2"/>
  <c r="K299" i="2"/>
  <c r="K298" i="2"/>
  <c r="K297" i="2"/>
  <c r="K296" i="2"/>
  <c r="K295" i="2"/>
  <c r="K294" i="2"/>
  <c r="K293" i="2"/>
  <c r="K292" i="2"/>
  <c r="K291" i="2"/>
  <c r="K290" i="2"/>
  <c r="K289" i="2"/>
  <c r="K288" i="2"/>
  <c r="K287" i="2"/>
  <c r="K286" i="2"/>
  <c r="K285" i="2"/>
  <c r="K284" i="2"/>
  <c r="K283" i="2"/>
  <c r="K282" i="2"/>
  <c r="K281" i="2"/>
  <c r="K280" i="2"/>
  <c r="K279" i="2"/>
  <c r="K278" i="2"/>
  <c r="K277" i="2"/>
  <c r="K276" i="2"/>
  <c r="K275" i="2"/>
  <c r="K274" i="2"/>
  <c r="K273" i="2"/>
  <c r="K272" i="2"/>
  <c r="K271" i="2"/>
  <c r="K270" i="2"/>
  <c r="K269" i="2"/>
  <c r="K268" i="2"/>
  <c r="K267" i="2"/>
  <c r="K266" i="2"/>
  <c r="K265" i="2"/>
  <c r="K264" i="2"/>
  <c r="K263" i="2"/>
  <c r="K262" i="2"/>
  <c r="K261" i="2"/>
  <c r="K260" i="2"/>
  <c r="K259" i="2"/>
  <c r="K258" i="2"/>
  <c r="K257" i="2"/>
  <c r="K256" i="2"/>
  <c r="K255" i="2"/>
  <c r="K254" i="2"/>
  <c r="K253" i="2"/>
  <c r="K252" i="2"/>
  <c r="K251" i="2"/>
  <c r="K250" i="2"/>
  <c r="K249" i="2"/>
  <c r="K248" i="2"/>
  <c r="K247" i="2"/>
  <c r="K246" i="2"/>
  <c r="K245" i="2"/>
  <c r="K244" i="2"/>
  <c r="K243" i="2"/>
  <c r="K242" i="2"/>
  <c r="K241" i="2"/>
  <c r="K240" i="2"/>
  <c r="K239" i="2"/>
  <c r="K238" i="2"/>
  <c r="K237" i="2"/>
  <c r="K236" i="2"/>
  <c r="K235" i="2"/>
  <c r="K234" i="2"/>
  <c r="K233" i="2"/>
  <c r="K232" i="2"/>
  <c r="K231" i="2"/>
  <c r="K230" i="2"/>
  <c r="K229" i="2"/>
  <c r="K228" i="2"/>
  <c r="K227" i="2"/>
  <c r="K226" i="2"/>
  <c r="K225" i="2"/>
  <c r="K224" i="2"/>
  <c r="K223" i="2"/>
  <c r="K222" i="2"/>
  <c r="K221" i="2"/>
  <c r="K220" i="2"/>
  <c r="K219" i="2"/>
  <c r="K218" i="2"/>
  <c r="K217" i="2"/>
  <c r="K216" i="2"/>
  <c r="K215" i="2"/>
  <c r="K214" i="2"/>
  <c r="K213" i="2"/>
  <c r="K212" i="2"/>
  <c r="K211" i="2"/>
  <c r="K210" i="2"/>
  <c r="K209" i="2"/>
  <c r="K208" i="2"/>
  <c r="K207" i="2"/>
  <c r="K206" i="2"/>
  <c r="K205" i="2"/>
  <c r="K204" i="2"/>
  <c r="K203" i="2"/>
  <c r="K202" i="2"/>
  <c r="K201" i="2"/>
  <c r="K200" i="2"/>
  <c r="K199" i="2"/>
  <c r="K198" i="2"/>
  <c r="K197" i="2"/>
  <c r="K196" i="2"/>
  <c r="K195" i="2"/>
  <c r="K194" i="2"/>
  <c r="K193" i="2"/>
  <c r="K192" i="2"/>
  <c r="K191" i="2"/>
  <c r="K190" i="2"/>
  <c r="K189" i="2"/>
  <c r="K188" i="2"/>
  <c r="K187" i="2"/>
  <c r="K186" i="2"/>
  <c r="K185" i="2"/>
  <c r="K184" i="2"/>
  <c r="K183" i="2"/>
  <c r="K182" i="2"/>
  <c r="K181" i="2"/>
  <c r="K180" i="2"/>
  <c r="K179" i="2"/>
  <c r="K178" i="2"/>
  <c r="K177" i="2"/>
  <c r="K176" i="2"/>
  <c r="K175" i="2"/>
  <c r="K174" i="2"/>
  <c r="K173" i="2"/>
  <c r="K172" i="2"/>
  <c r="K171" i="2"/>
  <c r="K170" i="2"/>
  <c r="K169" i="2"/>
  <c r="K168" i="2"/>
  <c r="K167" i="2"/>
  <c r="K166" i="2"/>
  <c r="K165" i="2"/>
  <c r="K164" i="2"/>
  <c r="K163" i="2"/>
  <c r="K162" i="2"/>
  <c r="K161" i="2"/>
  <c r="K160" i="2"/>
  <c r="K159" i="2"/>
  <c r="K158" i="2"/>
  <c r="K157" i="2"/>
  <c r="K156" i="2"/>
  <c r="K155" i="2"/>
  <c r="K154" i="2"/>
  <c r="K153" i="2"/>
  <c r="K152" i="2"/>
  <c r="K151" i="2"/>
  <c r="K150" i="2"/>
  <c r="K149" i="2"/>
  <c r="K148" i="2"/>
  <c r="K147" i="2"/>
  <c r="K146" i="2"/>
  <c r="K145" i="2"/>
  <c r="K144" i="2"/>
  <c r="K143" i="2"/>
  <c r="K142" i="2"/>
  <c r="K141" i="2"/>
  <c r="K140" i="2"/>
  <c r="K139" i="2"/>
  <c r="K138" i="2"/>
  <c r="K137" i="2"/>
  <c r="K136" i="2"/>
  <c r="K135" i="2"/>
  <c r="K134" i="2"/>
  <c r="K133" i="2"/>
  <c r="K132" i="2"/>
  <c r="K131" i="2"/>
  <c r="K130" i="2"/>
  <c r="K129" i="2"/>
  <c r="K128" i="2"/>
  <c r="K127" i="2"/>
  <c r="K126" i="2"/>
  <c r="K125" i="2"/>
  <c r="K124" i="2"/>
  <c r="K123" i="2"/>
  <c r="K122" i="2"/>
  <c r="K121" i="2"/>
  <c r="K120" i="2"/>
  <c r="K119" i="2"/>
  <c r="K118" i="2"/>
  <c r="K117" i="2"/>
  <c r="K116" i="2"/>
  <c r="K115" i="2"/>
  <c r="K114" i="2"/>
  <c r="K113" i="2"/>
  <c r="K112" i="2"/>
  <c r="K111" i="2"/>
  <c r="K110" i="2"/>
  <c r="K109" i="2"/>
  <c r="K108" i="2"/>
  <c r="K107" i="2"/>
  <c r="K106" i="2"/>
  <c r="K105" i="2"/>
  <c r="K104" i="2"/>
  <c r="K103" i="2"/>
  <c r="K102" i="2"/>
  <c r="K101" i="2"/>
  <c r="K100" i="2"/>
  <c r="K99" i="2"/>
  <c r="K98" i="2"/>
  <c r="K97" i="2"/>
  <c r="K96" i="2"/>
  <c r="K95" i="2"/>
  <c r="K94" i="2"/>
  <c r="K93" i="2"/>
  <c r="K92" i="2"/>
  <c r="K91" i="2"/>
  <c r="K90" i="2"/>
  <c r="K89" i="2"/>
  <c r="K88" i="2"/>
  <c r="K87" i="2"/>
  <c r="K86" i="2"/>
  <c r="K85" i="2"/>
  <c r="K84" i="2"/>
  <c r="K83" i="2"/>
  <c r="K82" i="2"/>
  <c r="K81" i="2"/>
  <c r="K80" i="2"/>
  <c r="K79" i="2"/>
  <c r="K78" i="2"/>
  <c r="K77" i="2"/>
  <c r="K76" i="2"/>
  <c r="K75" i="2"/>
  <c r="K74" i="2"/>
  <c r="K73" i="2"/>
  <c r="K72" i="2"/>
  <c r="K71" i="2"/>
  <c r="K70" i="2"/>
  <c r="K69" i="2"/>
  <c r="K68" i="2"/>
  <c r="K67" i="2"/>
  <c r="K66" i="2"/>
  <c r="K65" i="2"/>
  <c r="K64" i="2"/>
  <c r="K63" i="2"/>
  <c r="K62" i="2"/>
  <c r="K61" i="2"/>
  <c r="K60" i="2"/>
  <c r="K59" i="2"/>
  <c r="K58" i="2"/>
  <c r="K57" i="2"/>
  <c r="K56" i="2"/>
  <c r="K55" i="2"/>
  <c r="K54" i="2"/>
  <c r="K53" i="2"/>
  <c r="K52" i="2"/>
  <c r="K51" i="2"/>
  <c r="K50" i="2"/>
  <c r="K49" i="2"/>
  <c r="K48" i="2"/>
  <c r="K47" i="2"/>
  <c r="K46" i="2"/>
  <c r="K45" i="2"/>
  <c r="K44" i="2"/>
  <c r="K43" i="2"/>
  <c r="K42" i="2"/>
  <c r="K41" i="2"/>
  <c r="K40" i="2"/>
  <c r="K39" i="2"/>
  <c r="K38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20" i="2"/>
  <c r="K19" i="2"/>
  <c r="K18" i="2"/>
  <c r="K17" i="2"/>
  <c r="K16" i="2"/>
  <c r="K15" i="2"/>
  <c r="K14" i="2"/>
  <c r="K13" i="2"/>
  <c r="K12" i="2"/>
  <c r="K11" i="2"/>
  <c r="K10" i="2"/>
  <c r="K9" i="2"/>
  <c r="K8" i="2"/>
  <c r="K7" i="2"/>
  <c r="K6" i="2"/>
  <c r="K5" i="2"/>
  <c r="K4" i="2"/>
  <c r="K3" i="2"/>
  <c r="K2" i="2"/>
  <c r="B13" i="3"/>
  <c r="B12" i="3"/>
  <c r="B11" i="3"/>
  <c r="B10" i="3"/>
  <c r="B9" i="3"/>
  <c r="B8" i="3"/>
  <c r="B7" i="3"/>
  <c r="B6" i="3"/>
  <c r="B5" i="3"/>
  <c r="B4" i="3"/>
  <c r="B3" i="3"/>
  <c r="B2" i="3"/>
  <c r="I2317" i="1"/>
  <c r="I1494" i="1"/>
  <c r="I683" i="1"/>
  <c r="I676" i="1"/>
  <c r="I673" i="1"/>
  <c r="I216" i="1"/>
  <c r="I212" i="1"/>
  <c r="I205" i="1"/>
  <c r="I202" i="1"/>
  <c r="I198" i="1"/>
  <c r="I156" i="1"/>
  <c r="I12" i="1"/>
  <c r="I9" i="1"/>
  <c r="Q18" i="6" l="1"/>
  <c r="R18" i="6" s="1"/>
  <c r="Q34" i="6"/>
  <c r="R34" i="6" s="1"/>
  <c r="N276" i="6"/>
  <c r="O276" i="6" s="1"/>
  <c r="N16" i="6"/>
  <c r="O16" i="6" s="1"/>
  <c r="N56" i="6"/>
  <c r="O56" i="6" s="1"/>
  <c r="N60" i="6"/>
  <c r="O60" i="6" s="1"/>
  <c r="Q65" i="6"/>
  <c r="R65" i="6" s="1"/>
  <c r="Q8" i="6"/>
  <c r="R8" i="6" s="1"/>
  <c r="N261" i="6"/>
  <c r="O261" i="6" s="1"/>
  <c r="N99" i="6"/>
  <c r="O99" i="6" s="1"/>
  <c r="Q9" i="6"/>
  <c r="R9" i="6" s="1"/>
  <c r="Q19" i="6"/>
  <c r="R19" i="6" s="1"/>
  <c r="Q4" i="6"/>
  <c r="R4" i="6" s="1"/>
  <c r="N51" i="6"/>
  <c r="O51" i="6" s="1"/>
  <c r="N9" i="6"/>
  <c r="O9" i="6" s="1"/>
  <c r="Q51" i="6"/>
  <c r="R51" i="6" s="1"/>
  <c r="Q15" i="6"/>
  <c r="R15" i="6" s="1"/>
  <c r="Q35" i="6"/>
  <c r="R35" i="6" s="1"/>
  <c r="N5" i="6"/>
  <c r="O5" i="6" s="1"/>
  <c r="N92" i="6"/>
  <c r="O92" i="6" s="1"/>
  <c r="Q10" i="6"/>
  <c r="R10" i="6" s="1"/>
  <c r="Q14" i="6"/>
  <c r="R14" i="6" s="1"/>
  <c r="Q25" i="6"/>
  <c r="R25" i="6" s="1"/>
  <c r="N67" i="6"/>
  <c r="O67" i="6" s="1"/>
  <c r="N11" i="6"/>
  <c r="O11" i="6" s="1"/>
  <c r="N21" i="6"/>
  <c r="O21" i="6" s="1"/>
  <c r="N47" i="6"/>
  <c r="O47" i="6" s="1"/>
  <c r="N84" i="6"/>
  <c r="O84" i="6" s="1"/>
  <c r="N58" i="6"/>
  <c r="O58" i="6" s="1"/>
  <c r="Q26" i="6"/>
  <c r="R26" i="6" s="1"/>
  <c r="N12" i="6"/>
  <c r="O12" i="6" s="1"/>
  <c r="Q79" i="6"/>
  <c r="R79" i="6" s="1"/>
  <c r="Q11" i="6"/>
  <c r="R11" i="6" s="1"/>
  <c r="N42" i="6"/>
  <c r="O42" i="6" s="1"/>
  <c r="N89" i="6"/>
  <c r="O89" i="6" s="1"/>
  <c r="N7" i="6"/>
  <c r="O7" i="6" s="1"/>
  <c r="Q27" i="6"/>
  <c r="R27" i="6" s="1"/>
  <c r="Q29" i="6"/>
  <c r="R29" i="6" s="1"/>
  <c r="N6" i="6"/>
  <c r="O6" i="6" s="1"/>
  <c r="Q7" i="6"/>
  <c r="R7" i="6" s="1"/>
  <c r="Q21" i="6"/>
  <c r="R21" i="6" s="1"/>
  <c r="Q117" i="6"/>
  <c r="R117" i="6" s="1"/>
  <c r="N17" i="6"/>
  <c r="O17" i="6" s="1"/>
  <c r="Q53" i="6"/>
  <c r="R53" i="6" s="1"/>
  <c r="N13" i="6"/>
  <c r="O13" i="6" s="1"/>
  <c r="Q33" i="6"/>
  <c r="R33" i="6" s="1"/>
  <c r="N96" i="6"/>
  <c r="O96" i="6" s="1"/>
  <c r="Q37" i="6"/>
  <c r="R37" i="6" s="1"/>
  <c r="N8" i="6"/>
  <c r="O8" i="6" s="1"/>
  <c r="Q13" i="6"/>
  <c r="R13" i="6" s="1"/>
  <c r="N44" i="6"/>
  <c r="O44" i="6" s="1"/>
  <c r="Q49" i="6"/>
  <c r="R49" i="6" s="1"/>
  <c r="Q267" i="6"/>
  <c r="R267" i="6" s="1"/>
  <c r="Q91" i="6"/>
  <c r="R91" i="6" s="1"/>
  <c r="N29" i="6"/>
  <c r="O29" i="6" s="1"/>
  <c r="N76" i="6"/>
  <c r="O76" i="6" s="1"/>
  <c r="Q241" i="6"/>
  <c r="R241" i="6" s="1"/>
  <c r="N83" i="6"/>
  <c r="O83" i="6" s="1"/>
  <c r="Q125" i="6"/>
  <c r="R125" i="6" s="1"/>
  <c r="N157" i="6"/>
  <c r="O157" i="6" s="1"/>
  <c r="N209" i="6"/>
  <c r="O209" i="6" s="1"/>
  <c r="N306" i="6"/>
  <c r="O306" i="6" s="1"/>
  <c r="N4" i="6"/>
  <c r="O4" i="6" s="1"/>
  <c r="Q6" i="6"/>
  <c r="R6" i="6" s="1"/>
  <c r="Q50" i="6"/>
  <c r="R50" i="6" s="1"/>
  <c r="N66" i="6"/>
  <c r="O66" i="6" s="1"/>
  <c r="Q107" i="6"/>
  <c r="R107" i="6" s="1"/>
  <c r="Q111" i="6"/>
  <c r="R111" i="6" s="1"/>
  <c r="N115" i="6"/>
  <c r="O115" i="6" s="1"/>
  <c r="N118" i="6"/>
  <c r="O118" i="6" s="1"/>
  <c r="N137" i="6"/>
  <c r="O137" i="6" s="1"/>
  <c r="Q145" i="6"/>
  <c r="R145" i="6" s="1"/>
  <c r="Q157" i="6"/>
  <c r="R157" i="6" s="1"/>
  <c r="N169" i="6"/>
  <c r="O169" i="6" s="1"/>
  <c r="Q177" i="6"/>
  <c r="R177" i="6" s="1"/>
  <c r="Q189" i="6"/>
  <c r="R189" i="6" s="1"/>
  <c r="N201" i="6"/>
  <c r="O201" i="6" s="1"/>
  <c r="Q209" i="6"/>
  <c r="R209" i="6" s="1"/>
  <c r="Q221" i="6"/>
  <c r="R221" i="6" s="1"/>
  <c r="N242" i="6"/>
  <c r="O242" i="6" s="1"/>
  <c r="N246" i="6"/>
  <c r="O246" i="6" s="1"/>
  <c r="Q259" i="6"/>
  <c r="R259" i="6" s="1"/>
  <c r="Q263" i="6"/>
  <c r="R263" i="6" s="1"/>
  <c r="Q281" i="6"/>
  <c r="R281" i="6" s="1"/>
  <c r="Q285" i="6"/>
  <c r="R285" i="6" s="1"/>
  <c r="N315" i="6"/>
  <c r="O315" i="6" s="1"/>
  <c r="N319" i="6"/>
  <c r="O319" i="6" s="1"/>
  <c r="N342" i="6"/>
  <c r="O342" i="6" s="1"/>
  <c r="N50" i="6"/>
  <c r="O50" i="6" s="1"/>
  <c r="N86" i="6"/>
  <c r="O86" i="6" s="1"/>
  <c r="N111" i="6"/>
  <c r="O111" i="6" s="1"/>
  <c r="N145" i="6"/>
  <c r="O145" i="6" s="1"/>
  <c r="N221" i="6"/>
  <c r="O221" i="6" s="1"/>
  <c r="Q66" i="6"/>
  <c r="R66" i="6" s="1"/>
  <c r="Q83" i="6"/>
  <c r="R83" i="6" s="1"/>
  <c r="Q89" i="6"/>
  <c r="R89" i="6" s="1"/>
  <c r="N100" i="6"/>
  <c r="O100" i="6" s="1"/>
  <c r="N130" i="6"/>
  <c r="O130" i="6" s="1"/>
  <c r="Q133" i="6"/>
  <c r="R133" i="6" s="1"/>
  <c r="Q141" i="6"/>
  <c r="R141" i="6" s="1"/>
  <c r="Q153" i="6"/>
  <c r="R153" i="6" s="1"/>
  <c r="Q165" i="6"/>
  <c r="R165" i="6" s="1"/>
  <c r="Q173" i="6"/>
  <c r="R173" i="6" s="1"/>
  <c r="Q185" i="6"/>
  <c r="R185" i="6" s="1"/>
  <c r="Q197" i="6"/>
  <c r="R197" i="6" s="1"/>
  <c r="Q205" i="6"/>
  <c r="R205" i="6" s="1"/>
  <c r="Q217" i="6"/>
  <c r="R217" i="6" s="1"/>
  <c r="N230" i="6"/>
  <c r="O230" i="6" s="1"/>
  <c r="N238" i="6"/>
  <c r="O238" i="6" s="1"/>
  <c r="N251" i="6"/>
  <c r="O251" i="6" s="1"/>
  <c r="Q306" i="6"/>
  <c r="R306" i="6" s="1"/>
  <c r="Q333" i="6"/>
  <c r="R333" i="6" s="1"/>
  <c r="N161" i="6"/>
  <c r="O161" i="6" s="1"/>
  <c r="N254" i="6"/>
  <c r="O254" i="6" s="1"/>
  <c r="N32" i="6"/>
  <c r="O32" i="6" s="1"/>
  <c r="Q96" i="6"/>
  <c r="R96" i="6" s="1"/>
  <c r="Q121" i="6"/>
  <c r="R121" i="6" s="1"/>
  <c r="N189" i="6"/>
  <c r="O189" i="6" s="1"/>
  <c r="Q237" i="6"/>
  <c r="R237" i="6" s="1"/>
  <c r="N14" i="6"/>
  <c r="O14" i="6" s="1"/>
  <c r="N27" i="6"/>
  <c r="O27" i="6" s="1"/>
  <c r="N38" i="6"/>
  <c r="O38" i="6" s="1"/>
  <c r="N57" i="6"/>
  <c r="O57" i="6" s="1"/>
  <c r="N70" i="6"/>
  <c r="O70" i="6" s="1"/>
  <c r="Q24" i="6"/>
  <c r="R24" i="6" s="1"/>
  <c r="Q32" i="6"/>
  <c r="R32" i="6" s="1"/>
  <c r="Q38" i="6"/>
  <c r="R38" i="6" s="1"/>
  <c r="Q41" i="6"/>
  <c r="R41" i="6" s="1"/>
  <c r="N63" i="6"/>
  <c r="O63" i="6" s="1"/>
  <c r="Q70" i="6"/>
  <c r="R70" i="6" s="1"/>
  <c r="Q73" i="6"/>
  <c r="R73" i="6" s="1"/>
  <c r="N80" i="6"/>
  <c r="O80" i="6" s="1"/>
  <c r="N93" i="6"/>
  <c r="O93" i="6" s="1"/>
  <c r="N97" i="6"/>
  <c r="O97" i="6" s="1"/>
  <c r="Q115" i="6"/>
  <c r="R115" i="6" s="1"/>
  <c r="Q122" i="6"/>
  <c r="R122" i="6" s="1"/>
  <c r="N146" i="6"/>
  <c r="O146" i="6" s="1"/>
  <c r="N162" i="6"/>
  <c r="O162" i="6" s="1"/>
  <c r="N178" i="6"/>
  <c r="O178" i="6" s="1"/>
  <c r="N194" i="6"/>
  <c r="O194" i="6" s="1"/>
  <c r="N210" i="6"/>
  <c r="O210" i="6" s="1"/>
  <c r="N226" i="6"/>
  <c r="O226" i="6" s="1"/>
  <c r="Q255" i="6"/>
  <c r="R255" i="6" s="1"/>
  <c r="Q277" i="6"/>
  <c r="R277" i="6" s="1"/>
  <c r="Q315" i="6"/>
  <c r="R315" i="6" s="1"/>
  <c r="N233" i="6"/>
  <c r="O233" i="6" s="1"/>
  <c r="N165" i="6"/>
  <c r="O165" i="6" s="1"/>
  <c r="N19" i="6"/>
  <c r="O19" i="6" s="1"/>
  <c r="N122" i="6"/>
  <c r="O122" i="6" s="1"/>
  <c r="N22" i="6"/>
  <c r="O22" i="6" s="1"/>
  <c r="Q47" i="6"/>
  <c r="R47" i="6" s="1"/>
  <c r="N54" i="6"/>
  <c r="O54" i="6" s="1"/>
  <c r="Q60" i="6"/>
  <c r="R60" i="6" s="1"/>
  <c r="Q93" i="6"/>
  <c r="R93" i="6" s="1"/>
  <c r="N104" i="6"/>
  <c r="O104" i="6" s="1"/>
  <c r="N126" i="6"/>
  <c r="O126" i="6" s="1"/>
  <c r="N142" i="6"/>
  <c r="O142" i="6" s="1"/>
  <c r="N150" i="6"/>
  <c r="O150" i="6" s="1"/>
  <c r="N154" i="6"/>
  <c r="O154" i="6" s="1"/>
  <c r="N174" i="6"/>
  <c r="O174" i="6" s="1"/>
  <c r="N182" i="6"/>
  <c r="O182" i="6" s="1"/>
  <c r="N186" i="6"/>
  <c r="O186" i="6" s="1"/>
  <c r="N198" i="6"/>
  <c r="O198" i="6" s="1"/>
  <c r="N206" i="6"/>
  <c r="O206" i="6" s="1"/>
  <c r="N214" i="6"/>
  <c r="O214" i="6" s="1"/>
  <c r="N218" i="6"/>
  <c r="O218" i="6" s="1"/>
  <c r="Q268" i="6"/>
  <c r="R268" i="6" s="1"/>
  <c r="Q273" i="6"/>
  <c r="R273" i="6" s="1"/>
  <c r="N303" i="6"/>
  <c r="O303" i="6" s="1"/>
  <c r="N334" i="6"/>
  <c r="O334" i="6" s="1"/>
  <c r="N229" i="6"/>
  <c r="O229" i="6" s="1"/>
  <c r="N205" i="6"/>
  <c r="O205" i="6" s="1"/>
  <c r="Q16" i="6"/>
  <c r="R16" i="6" s="1"/>
  <c r="Q44" i="6"/>
  <c r="R44" i="6" s="1"/>
  <c r="N30" i="6"/>
  <c r="O30" i="6" s="1"/>
  <c r="N39" i="6"/>
  <c r="O39" i="6" s="1"/>
  <c r="Q54" i="6"/>
  <c r="R54" i="6" s="1"/>
  <c r="Q57" i="6"/>
  <c r="R57" i="6" s="1"/>
  <c r="N71" i="6"/>
  <c r="O71" i="6" s="1"/>
  <c r="N77" i="6"/>
  <c r="O77" i="6" s="1"/>
  <c r="N87" i="6"/>
  <c r="O87" i="6" s="1"/>
  <c r="N90" i="6"/>
  <c r="O90" i="6" s="1"/>
  <c r="Q97" i="6"/>
  <c r="R97" i="6" s="1"/>
  <c r="N108" i="6"/>
  <c r="O108" i="6" s="1"/>
  <c r="N112" i="6"/>
  <c r="O112" i="6" s="1"/>
  <c r="N119" i="6"/>
  <c r="O119" i="6" s="1"/>
  <c r="N123" i="6"/>
  <c r="O123" i="6" s="1"/>
  <c r="Q126" i="6"/>
  <c r="R126" i="6" s="1"/>
  <c r="N158" i="6"/>
  <c r="O158" i="6" s="1"/>
  <c r="N190" i="6"/>
  <c r="O190" i="6" s="1"/>
  <c r="N222" i="6"/>
  <c r="O222" i="6" s="1"/>
  <c r="N247" i="6"/>
  <c r="O247" i="6" s="1"/>
  <c r="N256" i="6"/>
  <c r="O256" i="6" s="1"/>
  <c r="N316" i="6"/>
  <c r="O316" i="6" s="1"/>
  <c r="N225" i="6"/>
  <c r="O225" i="6" s="1"/>
  <c r="N33" i="6"/>
  <c r="O33" i="6" s="1"/>
  <c r="N48" i="6"/>
  <c r="O48" i="6" s="1"/>
  <c r="Q63" i="6"/>
  <c r="R63" i="6" s="1"/>
  <c r="N101" i="6"/>
  <c r="O101" i="6" s="1"/>
  <c r="Q158" i="6"/>
  <c r="R158" i="6" s="1"/>
  <c r="Q190" i="6"/>
  <c r="R190" i="6" s="1"/>
  <c r="Q222" i="6"/>
  <c r="R222" i="6" s="1"/>
  <c r="N239" i="6"/>
  <c r="O239" i="6" s="1"/>
  <c r="Q243" i="6"/>
  <c r="R243" i="6" s="1"/>
  <c r="Q247" i="6"/>
  <c r="R247" i="6" s="1"/>
  <c r="N269" i="6"/>
  <c r="O269" i="6" s="1"/>
  <c r="Q303" i="6"/>
  <c r="R303" i="6" s="1"/>
  <c r="Q400" i="6"/>
  <c r="R400" i="6" s="1"/>
  <c r="N213" i="6"/>
  <c r="O213" i="6" s="1"/>
  <c r="N141" i="6"/>
  <c r="O141" i="6" s="1"/>
  <c r="N197" i="6"/>
  <c r="O197" i="6" s="1"/>
  <c r="N35" i="6"/>
  <c r="O35" i="6" s="1"/>
  <c r="N25" i="6"/>
  <c r="O25" i="6" s="1"/>
  <c r="N45" i="6"/>
  <c r="O45" i="6" s="1"/>
  <c r="Q67" i="6"/>
  <c r="R67" i="6" s="1"/>
  <c r="Q87" i="6"/>
  <c r="R87" i="6" s="1"/>
  <c r="Q90" i="6"/>
  <c r="R90" i="6" s="1"/>
  <c r="Q108" i="6"/>
  <c r="R108" i="6" s="1"/>
  <c r="N116" i="6"/>
  <c r="O116" i="6" s="1"/>
  <c r="Q119" i="6"/>
  <c r="R119" i="6" s="1"/>
  <c r="Q22" i="6"/>
  <c r="R22" i="6" s="1"/>
  <c r="Q30" i="6"/>
  <c r="R30" i="6" s="1"/>
  <c r="Q48" i="6"/>
  <c r="R48" i="6" s="1"/>
  <c r="N55" i="6"/>
  <c r="O55" i="6" s="1"/>
  <c r="N74" i="6"/>
  <c r="O74" i="6" s="1"/>
  <c r="Q77" i="6"/>
  <c r="R77" i="6" s="1"/>
  <c r="N105" i="6"/>
  <c r="O105" i="6" s="1"/>
  <c r="N131" i="6"/>
  <c r="O131" i="6" s="1"/>
  <c r="Q138" i="6"/>
  <c r="R138" i="6" s="1"/>
  <c r="N155" i="6"/>
  <c r="O155" i="6" s="1"/>
  <c r="Q170" i="6"/>
  <c r="R170" i="6" s="1"/>
  <c r="N187" i="6"/>
  <c r="O187" i="6" s="1"/>
  <c r="Q202" i="6"/>
  <c r="R202" i="6" s="1"/>
  <c r="N219" i="6"/>
  <c r="O219" i="6" s="1"/>
  <c r="N235" i="6"/>
  <c r="O235" i="6" s="1"/>
  <c r="Q239" i="6"/>
  <c r="R239" i="6" s="1"/>
  <c r="N252" i="6"/>
  <c r="O252" i="6" s="1"/>
  <c r="N265" i="6"/>
  <c r="O265" i="6" s="1"/>
  <c r="Q269" i="6"/>
  <c r="R269" i="6" s="1"/>
  <c r="N125" i="6"/>
  <c r="O125" i="6" s="1"/>
  <c r="N289" i="6"/>
  <c r="O289" i="6" s="1"/>
  <c r="N61" i="6"/>
  <c r="O61" i="6" s="1"/>
  <c r="N64" i="6"/>
  <c r="O64" i="6" s="1"/>
  <c r="Q71" i="6"/>
  <c r="R71" i="6" s="1"/>
  <c r="N81" i="6"/>
  <c r="O81" i="6" s="1"/>
  <c r="N91" i="6"/>
  <c r="O91" i="6" s="1"/>
  <c r="N94" i="6"/>
  <c r="O94" i="6" s="1"/>
  <c r="N98" i="6"/>
  <c r="O98" i="6" s="1"/>
  <c r="Q101" i="6"/>
  <c r="R101" i="6" s="1"/>
  <c r="N109" i="6"/>
  <c r="O109" i="6" s="1"/>
  <c r="Q127" i="6"/>
  <c r="R127" i="6" s="1"/>
  <c r="Q131" i="6"/>
  <c r="R131" i="6" s="1"/>
  <c r="N143" i="6"/>
  <c r="O143" i="6" s="1"/>
  <c r="Q147" i="6"/>
  <c r="R147" i="6" s="1"/>
  <c r="N151" i="6"/>
  <c r="O151" i="6" s="1"/>
  <c r="N163" i="6"/>
  <c r="O163" i="6" s="1"/>
  <c r="N175" i="6"/>
  <c r="O175" i="6" s="1"/>
  <c r="Q179" i="6"/>
  <c r="R179" i="6" s="1"/>
  <c r="N183" i="6"/>
  <c r="O183" i="6" s="1"/>
  <c r="N195" i="6"/>
  <c r="O195" i="6" s="1"/>
  <c r="N207" i="6"/>
  <c r="O207" i="6" s="1"/>
  <c r="Q211" i="6"/>
  <c r="R211" i="6" s="1"/>
  <c r="N215" i="6"/>
  <c r="O215" i="6" s="1"/>
  <c r="Q227" i="6"/>
  <c r="R227" i="6" s="1"/>
  <c r="Q231" i="6"/>
  <c r="R231" i="6" s="1"/>
  <c r="Q235" i="6"/>
  <c r="R235" i="6" s="1"/>
  <c r="N257" i="6"/>
  <c r="O257" i="6" s="1"/>
  <c r="N287" i="6"/>
  <c r="O287" i="6" s="1"/>
  <c r="N149" i="6"/>
  <c r="O149" i="6" s="1"/>
  <c r="Q523" i="6"/>
  <c r="R523" i="6" s="1"/>
  <c r="N24" i="6"/>
  <c r="O24" i="6" s="1"/>
  <c r="Q56" i="6"/>
  <c r="R56" i="6" s="1"/>
  <c r="N107" i="6"/>
  <c r="O107" i="6" s="1"/>
  <c r="N173" i="6"/>
  <c r="O173" i="6" s="1"/>
  <c r="Q289" i="6"/>
  <c r="R289" i="6" s="1"/>
  <c r="N36" i="6"/>
  <c r="O36" i="6" s="1"/>
  <c r="N1419" i="6"/>
  <c r="O1419" i="6" s="1"/>
  <c r="N1401" i="6"/>
  <c r="O1401" i="6" s="1"/>
  <c r="N1398" i="6"/>
  <c r="O1398" i="6" s="1"/>
  <c r="N1389" i="6"/>
  <c r="O1389" i="6" s="1"/>
  <c r="N1431" i="6"/>
  <c r="O1431" i="6" s="1"/>
  <c r="N1415" i="6"/>
  <c r="O1415" i="6" s="1"/>
  <c r="N1421" i="6"/>
  <c r="O1421" i="6" s="1"/>
  <c r="N1393" i="6"/>
  <c r="O1393" i="6" s="1"/>
  <c r="N1433" i="6"/>
  <c r="O1433" i="6" s="1"/>
  <c r="N1417" i="6"/>
  <c r="O1417" i="6" s="1"/>
  <c r="N1405" i="6"/>
  <c r="O1405" i="6" s="1"/>
  <c r="N1332" i="6"/>
  <c r="O1332" i="6" s="1"/>
  <c r="N1373" i="6"/>
  <c r="O1373" i="6" s="1"/>
  <c r="N1370" i="6"/>
  <c r="O1370" i="6" s="1"/>
  <c r="N1345" i="6"/>
  <c r="O1345" i="6" s="1"/>
  <c r="N1353" i="6"/>
  <c r="O1353" i="6" s="1"/>
  <c r="N1344" i="6"/>
  <c r="O1344" i="6" s="1"/>
  <c r="N1392" i="6"/>
  <c r="O1392" i="6" s="1"/>
  <c r="N1399" i="6"/>
  <c r="O1399" i="6" s="1"/>
  <c r="N1360" i="6"/>
  <c r="O1360" i="6" s="1"/>
  <c r="N1335" i="6"/>
  <c r="O1335" i="6" s="1"/>
  <c r="N1302" i="6"/>
  <c r="O1302" i="6" s="1"/>
  <c r="N1258" i="6"/>
  <c r="O1258" i="6" s="1"/>
  <c r="N1323" i="6"/>
  <c r="O1323" i="6" s="1"/>
  <c r="N1366" i="6"/>
  <c r="O1366" i="6" s="1"/>
  <c r="N1407" i="6"/>
  <c r="O1407" i="6" s="1"/>
  <c r="N1346" i="6"/>
  <c r="O1346" i="6" s="1"/>
  <c r="N1260" i="6"/>
  <c r="O1260" i="6" s="1"/>
  <c r="N1244" i="6"/>
  <c r="O1244" i="6" s="1"/>
  <c r="N1284" i="6"/>
  <c r="O1284" i="6" s="1"/>
  <c r="N1216" i="6"/>
  <c r="O1216" i="6" s="1"/>
  <c r="N1205" i="6"/>
  <c r="O1205" i="6" s="1"/>
  <c r="N1337" i="6"/>
  <c r="O1337" i="6" s="1"/>
  <c r="N1274" i="6"/>
  <c r="O1274" i="6" s="1"/>
  <c r="N1236" i="6"/>
  <c r="O1236" i="6" s="1"/>
  <c r="N1228" i="6"/>
  <c r="O1228" i="6" s="1"/>
  <c r="N1207" i="6"/>
  <c r="O1207" i="6" s="1"/>
  <c r="N1175" i="6"/>
  <c r="O1175" i="6" s="1"/>
  <c r="N1383" i="6"/>
  <c r="O1383" i="6" s="1"/>
  <c r="N1329" i="6"/>
  <c r="O1329" i="6" s="1"/>
  <c r="N1318" i="6"/>
  <c r="O1318" i="6" s="1"/>
  <c r="N1287" i="6"/>
  <c r="O1287" i="6" s="1"/>
  <c r="N1325" i="6"/>
  <c r="O1325" i="6" s="1"/>
  <c r="N1321" i="6"/>
  <c r="O1321" i="6" s="1"/>
  <c r="N1314" i="6"/>
  <c r="O1314" i="6" s="1"/>
  <c r="N1277" i="6"/>
  <c r="O1277" i="6" s="1"/>
  <c r="N1254" i="6"/>
  <c r="O1254" i="6" s="1"/>
  <c r="N1238" i="6"/>
  <c r="O1238" i="6" s="1"/>
  <c r="N1211" i="6"/>
  <c r="O1211" i="6" s="1"/>
  <c r="N1296" i="6"/>
  <c r="O1296" i="6" s="1"/>
  <c r="N1262" i="6"/>
  <c r="O1262" i="6" s="1"/>
  <c r="N1246" i="6"/>
  <c r="O1246" i="6" s="1"/>
  <c r="N1303" i="6"/>
  <c r="O1303" i="6" s="1"/>
  <c r="N1232" i="6"/>
  <c r="O1232" i="6" s="1"/>
  <c r="N1161" i="6"/>
  <c r="O1161" i="6" s="1"/>
  <c r="N1193" i="6"/>
  <c r="O1193" i="6" s="1"/>
  <c r="N1289" i="6"/>
  <c r="O1289" i="6" s="1"/>
  <c r="N1133" i="6"/>
  <c r="O1133" i="6" s="1"/>
  <c r="N1117" i="6"/>
  <c r="O1117" i="6" s="1"/>
  <c r="N1242" i="6"/>
  <c r="O1242" i="6" s="1"/>
  <c r="N1221" i="6"/>
  <c r="O1221" i="6" s="1"/>
  <c r="N1151" i="6"/>
  <c r="O1151" i="6" s="1"/>
  <c r="N1135" i="6"/>
  <c r="O1135" i="6" s="1"/>
  <c r="N1119" i="6"/>
  <c r="O1119" i="6" s="1"/>
  <c r="N1306" i="6"/>
  <c r="O1306" i="6" s="1"/>
  <c r="N1270" i="6"/>
  <c r="O1270" i="6" s="1"/>
  <c r="N1203" i="6"/>
  <c r="O1203" i="6" s="1"/>
  <c r="N1167" i="6"/>
  <c r="O1167" i="6" s="1"/>
  <c r="N1137" i="6"/>
  <c r="O1137" i="6" s="1"/>
  <c r="N1121" i="6"/>
  <c r="O1121" i="6" s="1"/>
  <c r="N1230" i="6"/>
  <c r="O1230" i="6" s="1"/>
  <c r="N1220" i="6"/>
  <c r="O1220" i="6" s="1"/>
  <c r="N1217" i="6"/>
  <c r="O1217" i="6" s="1"/>
  <c r="N1197" i="6"/>
  <c r="O1197" i="6" s="1"/>
  <c r="N1139" i="6"/>
  <c r="O1139" i="6" s="1"/>
  <c r="N1123" i="6"/>
  <c r="O1123" i="6" s="1"/>
  <c r="N1089" i="6"/>
  <c r="O1089" i="6" s="1"/>
  <c r="N1086" i="6"/>
  <c r="O1086" i="6" s="1"/>
  <c r="N1078" i="6"/>
  <c r="O1078" i="6" s="1"/>
  <c r="N1073" i="6"/>
  <c r="O1073" i="6" s="1"/>
  <c r="N1065" i="6"/>
  <c r="O1065" i="6" s="1"/>
  <c r="N1101" i="6"/>
  <c r="O1101" i="6" s="1"/>
  <c r="N1098" i="6"/>
  <c r="O1098" i="6" s="1"/>
  <c r="N1181" i="6"/>
  <c r="O1181" i="6" s="1"/>
  <c r="N1110" i="6"/>
  <c r="O1110" i="6" s="1"/>
  <c r="N1127" i="6"/>
  <c r="O1127" i="6" s="1"/>
  <c r="N1120" i="6"/>
  <c r="O1120" i="6" s="1"/>
  <c r="N1113" i="6"/>
  <c r="O1113" i="6" s="1"/>
  <c r="N1067" i="6"/>
  <c r="O1067" i="6" s="1"/>
  <c r="N1057" i="6"/>
  <c r="O1057" i="6" s="1"/>
  <c r="N1050" i="6"/>
  <c r="O1050" i="6" s="1"/>
  <c r="N1030" i="6"/>
  <c r="O1030" i="6" s="1"/>
  <c r="N1013" i="6"/>
  <c r="O1013" i="6" s="1"/>
  <c r="N1159" i="6"/>
  <c r="O1159" i="6" s="1"/>
  <c r="N1155" i="6"/>
  <c r="O1155" i="6" s="1"/>
  <c r="N1077" i="6"/>
  <c r="O1077" i="6" s="1"/>
  <c r="N1069" i="6"/>
  <c r="O1069" i="6" s="1"/>
  <c r="N1064" i="6"/>
  <c r="O1064" i="6" s="1"/>
  <c r="N1109" i="6"/>
  <c r="O1109" i="6" s="1"/>
  <c r="N1106" i="6"/>
  <c r="O1106" i="6" s="1"/>
  <c r="N1074" i="6"/>
  <c r="O1074" i="6" s="1"/>
  <c r="N1219" i="6"/>
  <c r="O1219" i="6" s="1"/>
  <c r="N1191" i="6"/>
  <c r="O1191" i="6" s="1"/>
  <c r="N1183" i="6"/>
  <c r="O1183" i="6" s="1"/>
  <c r="N1090" i="6"/>
  <c r="O1090" i="6" s="1"/>
  <c r="N1066" i="6"/>
  <c r="O1066" i="6" s="1"/>
  <c r="N1093" i="6"/>
  <c r="O1093" i="6" s="1"/>
  <c r="N1028" i="6"/>
  <c r="O1028" i="6" s="1"/>
  <c r="N1023" i="6"/>
  <c r="O1023" i="6" s="1"/>
  <c r="N897" i="6"/>
  <c r="O897" i="6" s="1"/>
  <c r="N865" i="6"/>
  <c r="O865" i="6" s="1"/>
  <c r="N833" i="6"/>
  <c r="O833" i="6" s="1"/>
  <c r="N1003" i="6"/>
  <c r="O1003" i="6" s="1"/>
  <c r="N998" i="6"/>
  <c r="O998" i="6" s="1"/>
  <c r="N1020" i="6"/>
  <c r="O1020" i="6" s="1"/>
  <c r="N1222" i="6"/>
  <c r="O1222" i="6" s="1"/>
  <c r="N1129" i="6"/>
  <c r="O1129" i="6" s="1"/>
  <c r="N1111" i="6"/>
  <c r="O1111" i="6" s="1"/>
  <c r="N1007" i="6"/>
  <c r="O1007" i="6" s="1"/>
  <c r="N995" i="6"/>
  <c r="O995" i="6" s="1"/>
  <c r="N963" i="6"/>
  <c r="O963" i="6" s="1"/>
  <c r="N931" i="6"/>
  <c r="O931" i="6" s="1"/>
  <c r="N907" i="6"/>
  <c r="O907" i="6" s="1"/>
  <c r="N875" i="6"/>
  <c r="O875" i="6" s="1"/>
  <c r="N1043" i="6"/>
  <c r="O1043" i="6" s="1"/>
  <c r="N1035" i="6"/>
  <c r="O1035" i="6" s="1"/>
  <c r="N1014" i="6"/>
  <c r="O1014" i="6" s="1"/>
  <c r="N975" i="6"/>
  <c r="O975" i="6" s="1"/>
  <c r="N943" i="6"/>
  <c r="O943" i="6" s="1"/>
  <c r="N879" i="6"/>
  <c r="O879" i="6" s="1"/>
  <c r="N1171" i="6"/>
  <c r="O1171" i="6" s="1"/>
  <c r="N1081" i="6"/>
  <c r="O1081" i="6" s="1"/>
  <c r="N1024" i="6"/>
  <c r="O1024" i="6" s="1"/>
  <c r="N992" i="6"/>
  <c r="O992" i="6" s="1"/>
  <c r="N1011" i="6"/>
  <c r="O1011" i="6" s="1"/>
  <c r="N977" i="6"/>
  <c r="O977" i="6" s="1"/>
  <c r="N945" i="6"/>
  <c r="O945" i="6" s="1"/>
  <c r="N913" i="6"/>
  <c r="O913" i="6" s="1"/>
  <c r="N885" i="6"/>
  <c r="O885" i="6" s="1"/>
  <c r="N895" i="6"/>
  <c r="O895" i="6" s="1"/>
  <c r="N843" i="6"/>
  <c r="O843" i="6" s="1"/>
  <c r="N837" i="6"/>
  <c r="O837" i="6" s="1"/>
  <c r="N831" i="6"/>
  <c r="O831" i="6" s="1"/>
  <c r="N801" i="6"/>
  <c r="O801" i="6" s="1"/>
  <c r="N787" i="6"/>
  <c r="O787" i="6" s="1"/>
  <c r="N825" i="6"/>
  <c r="O825" i="6" s="1"/>
  <c r="N1018" i="6"/>
  <c r="O1018" i="6" s="1"/>
  <c r="N811" i="6"/>
  <c r="O811" i="6" s="1"/>
  <c r="N927" i="6"/>
  <c r="O927" i="6" s="1"/>
  <c r="N915" i="6"/>
  <c r="O915" i="6" s="1"/>
  <c r="N961" i="6"/>
  <c r="O961" i="6" s="1"/>
  <c r="N901" i="6"/>
  <c r="O901" i="6" s="1"/>
  <c r="N1008" i="6"/>
  <c r="O1008" i="6" s="1"/>
  <c r="N979" i="6"/>
  <c r="O979" i="6" s="1"/>
  <c r="N821" i="6"/>
  <c r="O821" i="6" s="1"/>
  <c r="N869" i="6"/>
  <c r="O869" i="6" s="1"/>
  <c r="N827" i="6"/>
  <c r="O827" i="6" s="1"/>
  <c r="N753" i="6"/>
  <c r="O753" i="6" s="1"/>
  <c r="N721" i="6"/>
  <c r="O721" i="6" s="1"/>
  <c r="N689" i="6"/>
  <c r="O689" i="6" s="1"/>
  <c r="N657" i="6"/>
  <c r="O657" i="6" s="1"/>
  <c r="N847" i="6"/>
  <c r="O847" i="6" s="1"/>
  <c r="N891" i="6"/>
  <c r="O891" i="6" s="1"/>
  <c r="N779" i="6"/>
  <c r="O779" i="6" s="1"/>
  <c r="N759" i="6"/>
  <c r="O759" i="6" s="1"/>
  <c r="N727" i="6"/>
  <c r="O727" i="6" s="1"/>
  <c r="N929" i="6"/>
  <c r="O929" i="6" s="1"/>
  <c r="N853" i="6"/>
  <c r="O853" i="6" s="1"/>
  <c r="N763" i="6"/>
  <c r="O763" i="6" s="1"/>
  <c r="N731" i="6"/>
  <c r="O731" i="6" s="1"/>
  <c r="N699" i="6"/>
  <c r="O699" i="6" s="1"/>
  <c r="N667" i="6"/>
  <c r="O667" i="6" s="1"/>
  <c r="N1084" i="6"/>
  <c r="O1084" i="6" s="1"/>
  <c r="N1061" i="6"/>
  <c r="O1061" i="6" s="1"/>
  <c r="N1036" i="6"/>
  <c r="O1036" i="6" s="1"/>
  <c r="N767" i="6"/>
  <c r="O767" i="6" s="1"/>
  <c r="N735" i="6"/>
  <c r="O735" i="6" s="1"/>
  <c r="N703" i="6"/>
  <c r="O703" i="6" s="1"/>
  <c r="N671" i="6"/>
  <c r="O671" i="6" s="1"/>
  <c r="N639" i="6"/>
  <c r="O639" i="6" s="1"/>
  <c r="N863" i="6"/>
  <c r="O863" i="6" s="1"/>
  <c r="N1031" i="6"/>
  <c r="O1031" i="6" s="1"/>
  <c r="N893" i="6"/>
  <c r="O893" i="6" s="1"/>
  <c r="N859" i="6"/>
  <c r="O859" i="6" s="1"/>
  <c r="N797" i="6"/>
  <c r="O797" i="6" s="1"/>
  <c r="N791" i="6"/>
  <c r="O791" i="6" s="1"/>
  <c r="N769" i="6"/>
  <c r="O769" i="6" s="1"/>
  <c r="N739" i="6"/>
  <c r="O739" i="6" s="1"/>
  <c r="N707" i="6"/>
  <c r="O707" i="6" s="1"/>
  <c r="N1143" i="6"/>
  <c r="O1143" i="6" s="1"/>
  <c r="N815" i="6"/>
  <c r="O815" i="6" s="1"/>
  <c r="N783" i="6"/>
  <c r="O783" i="6" s="1"/>
  <c r="N741" i="6"/>
  <c r="O741" i="6" s="1"/>
  <c r="N709" i="6"/>
  <c r="O709" i="6" s="1"/>
  <c r="N677" i="6"/>
  <c r="O677" i="6" s="1"/>
  <c r="N805" i="6"/>
  <c r="O805" i="6" s="1"/>
  <c r="N745" i="6"/>
  <c r="O745" i="6" s="1"/>
  <c r="N585" i="6"/>
  <c r="O585" i="6" s="1"/>
  <c r="N565" i="6"/>
  <c r="O565" i="6" s="1"/>
  <c r="N775" i="6"/>
  <c r="O775" i="6" s="1"/>
  <c r="N597" i="6"/>
  <c r="O597" i="6" s="1"/>
  <c r="N675" i="6"/>
  <c r="O675" i="6" s="1"/>
  <c r="N587" i="6"/>
  <c r="O587" i="6" s="1"/>
  <c r="N571" i="6"/>
  <c r="O571" i="6" s="1"/>
  <c r="N655" i="6"/>
  <c r="O655" i="6" s="1"/>
  <c r="N607" i="6"/>
  <c r="O607" i="6" s="1"/>
  <c r="N631" i="6"/>
  <c r="O631" i="6" s="1"/>
  <c r="N623" i="6"/>
  <c r="O623" i="6" s="1"/>
  <c r="N599" i="6"/>
  <c r="O599" i="6" s="1"/>
  <c r="N695" i="6"/>
  <c r="O695" i="6" s="1"/>
  <c r="N645" i="6"/>
  <c r="O645" i="6" s="1"/>
  <c r="N751" i="6"/>
  <c r="O751" i="6" s="1"/>
  <c r="N747" i="6"/>
  <c r="O747" i="6" s="1"/>
  <c r="N681" i="6"/>
  <c r="O681" i="6" s="1"/>
  <c r="N577" i="6"/>
  <c r="O577" i="6" s="1"/>
  <c r="N549" i="6"/>
  <c r="O549" i="6" s="1"/>
  <c r="N625" i="6"/>
  <c r="O625" i="6" s="1"/>
  <c r="N793" i="6"/>
  <c r="O793" i="6" s="1"/>
  <c r="N773" i="6"/>
  <c r="O773" i="6" s="1"/>
  <c r="N687" i="6"/>
  <c r="O687" i="6" s="1"/>
  <c r="N603" i="6"/>
  <c r="O603" i="6" s="1"/>
  <c r="N593" i="6"/>
  <c r="O593" i="6" s="1"/>
  <c r="N959" i="6"/>
  <c r="O959" i="6" s="1"/>
  <c r="N719" i="6"/>
  <c r="O719" i="6" s="1"/>
  <c r="N715" i="6"/>
  <c r="O715" i="6" s="1"/>
  <c r="N621" i="6"/>
  <c r="O621" i="6" s="1"/>
  <c r="N543" i="6"/>
  <c r="O543" i="6" s="1"/>
  <c r="N523" i="6"/>
  <c r="O523" i="6" s="1"/>
  <c r="N491" i="6"/>
  <c r="O491" i="6" s="1"/>
  <c r="N459" i="6"/>
  <c r="O459" i="6" s="1"/>
  <c r="N427" i="6"/>
  <c r="O427" i="6" s="1"/>
  <c r="N395" i="6"/>
  <c r="O395" i="6" s="1"/>
  <c r="N663" i="6"/>
  <c r="O663" i="6" s="1"/>
  <c r="N563" i="6"/>
  <c r="O563" i="6" s="1"/>
  <c r="N365" i="6"/>
  <c r="O365" i="6" s="1"/>
  <c r="N581" i="6"/>
  <c r="O581" i="6" s="1"/>
  <c r="N529" i="6"/>
  <c r="O529" i="6" s="1"/>
  <c r="N497" i="6"/>
  <c r="O497" i="6" s="1"/>
  <c r="N465" i="6"/>
  <c r="O465" i="6" s="1"/>
  <c r="N433" i="6"/>
  <c r="O433" i="6" s="1"/>
  <c r="N613" i="6"/>
  <c r="O613" i="6" s="1"/>
  <c r="N499" i="6"/>
  <c r="O499" i="6" s="1"/>
  <c r="N467" i="6"/>
  <c r="O467" i="6" s="1"/>
  <c r="N683" i="6"/>
  <c r="O683" i="6" s="1"/>
  <c r="N501" i="6"/>
  <c r="O501" i="6" s="1"/>
  <c r="N469" i="6"/>
  <c r="O469" i="6" s="1"/>
  <c r="N437" i="6"/>
  <c r="O437" i="6" s="1"/>
  <c r="N405" i="6"/>
  <c r="O405" i="6" s="1"/>
  <c r="N553" i="6"/>
  <c r="O553" i="6" s="1"/>
  <c r="N503" i="6"/>
  <c r="O503" i="6" s="1"/>
  <c r="N471" i="6"/>
  <c r="O471" i="6" s="1"/>
  <c r="N439" i="6"/>
  <c r="O439" i="6" s="1"/>
  <c r="N407" i="6"/>
  <c r="O407" i="6" s="1"/>
  <c r="N653" i="6"/>
  <c r="O653" i="6" s="1"/>
  <c r="N547" i="6"/>
  <c r="O547" i="6" s="1"/>
  <c r="N539" i="6"/>
  <c r="O539" i="6" s="1"/>
  <c r="N559" i="6"/>
  <c r="O559" i="6" s="1"/>
  <c r="N635" i="6"/>
  <c r="O635" i="6" s="1"/>
  <c r="N619" i="6"/>
  <c r="O619" i="6" s="1"/>
  <c r="N511" i="6"/>
  <c r="O511" i="6" s="1"/>
  <c r="N479" i="6"/>
  <c r="O479" i="6" s="1"/>
  <c r="N447" i="6"/>
  <c r="O447" i="6" s="1"/>
  <c r="N415" i="6"/>
  <c r="O415" i="6" s="1"/>
  <c r="N533" i="6"/>
  <c r="O533" i="6" s="1"/>
  <c r="N383" i="6"/>
  <c r="O383" i="6" s="1"/>
  <c r="N359" i="6"/>
  <c r="O359" i="6" s="1"/>
  <c r="N423" i="6"/>
  <c r="O423" i="6" s="1"/>
  <c r="N419" i="6"/>
  <c r="O419" i="6" s="1"/>
  <c r="N333" i="6"/>
  <c r="O333" i="6" s="1"/>
  <c r="N321" i="6"/>
  <c r="O321" i="6" s="1"/>
  <c r="N299" i="6"/>
  <c r="O299" i="6" s="1"/>
  <c r="N355" i="6"/>
  <c r="O355" i="6" s="1"/>
  <c r="N373" i="6"/>
  <c r="O373" i="6" s="1"/>
  <c r="N455" i="6"/>
  <c r="O455" i="6" s="1"/>
  <c r="N451" i="6"/>
  <c r="O451" i="6" s="1"/>
  <c r="N307" i="6"/>
  <c r="O307" i="6" s="1"/>
  <c r="N327" i="6"/>
  <c r="O327" i="6" s="1"/>
  <c r="N487" i="6"/>
  <c r="O487" i="6" s="1"/>
  <c r="N483" i="6"/>
  <c r="O483" i="6" s="1"/>
  <c r="N391" i="6"/>
  <c r="O391" i="6" s="1"/>
  <c r="N343" i="6"/>
  <c r="O343" i="6" s="1"/>
  <c r="N555" i="6"/>
  <c r="O555" i="6" s="1"/>
  <c r="N363" i="6"/>
  <c r="O363" i="6" s="1"/>
  <c r="N351" i="6"/>
  <c r="O351" i="6" s="1"/>
  <c r="N401" i="6"/>
  <c r="O401" i="6" s="1"/>
  <c r="N519" i="6"/>
  <c r="O519" i="6" s="1"/>
  <c r="N515" i="6"/>
  <c r="O515" i="6" s="1"/>
  <c r="N387" i="6"/>
  <c r="O387" i="6" s="1"/>
  <c r="N375" i="6"/>
  <c r="O375" i="6" s="1"/>
  <c r="N273" i="6"/>
  <c r="O273" i="6" s="1"/>
  <c r="N263" i="6"/>
  <c r="O263" i="6" s="1"/>
  <c r="N248" i="6"/>
  <c r="O248" i="6" s="1"/>
  <c r="N231" i="6"/>
  <c r="O231" i="6" s="1"/>
  <c r="N216" i="6"/>
  <c r="O216" i="6" s="1"/>
  <c r="N199" i="6"/>
  <c r="O199" i="6" s="1"/>
  <c r="N184" i="6"/>
  <c r="O184" i="6" s="1"/>
  <c r="N167" i="6"/>
  <c r="O167" i="6" s="1"/>
  <c r="N152" i="6"/>
  <c r="O152" i="6" s="1"/>
  <c r="N135" i="6"/>
  <c r="O135" i="6" s="1"/>
  <c r="N120" i="6"/>
  <c r="O120" i="6" s="1"/>
  <c r="N103" i="6"/>
  <c r="O103" i="6" s="1"/>
  <c r="N286" i="6"/>
  <c r="O286" i="6" s="1"/>
  <c r="N278" i="6"/>
  <c r="O278" i="6" s="1"/>
  <c r="N270" i="6"/>
  <c r="O270" i="6" s="1"/>
  <c r="N260" i="6"/>
  <c r="O260" i="6" s="1"/>
  <c r="N243" i="6"/>
  <c r="O243" i="6" s="1"/>
  <c r="N228" i="6"/>
  <c r="O228" i="6" s="1"/>
  <c r="N211" i="6"/>
  <c r="O211" i="6" s="1"/>
  <c r="N196" i="6"/>
  <c r="O196" i="6" s="1"/>
  <c r="N179" i="6"/>
  <c r="O179" i="6" s="1"/>
  <c r="N164" i="6"/>
  <c r="O164" i="6" s="1"/>
  <c r="N147" i="6"/>
  <c r="O147" i="6" s="1"/>
  <c r="N291" i="6"/>
  <c r="O291" i="6" s="1"/>
  <c r="N283" i="6"/>
  <c r="O283" i="6" s="1"/>
  <c r="N275" i="6"/>
  <c r="O275" i="6" s="1"/>
  <c r="N255" i="6"/>
  <c r="O255" i="6" s="1"/>
  <c r="N240" i="6"/>
  <c r="O240" i="6" s="1"/>
  <c r="N223" i="6"/>
  <c r="O223" i="6" s="1"/>
  <c r="N208" i="6"/>
  <c r="O208" i="6" s="1"/>
  <c r="N191" i="6"/>
  <c r="O191" i="6" s="1"/>
  <c r="N176" i="6"/>
  <c r="O176" i="6" s="1"/>
  <c r="N159" i="6"/>
  <c r="O159" i="6" s="1"/>
  <c r="N144" i="6"/>
  <c r="O144" i="6" s="1"/>
  <c r="N127" i="6"/>
  <c r="O127" i="6" s="1"/>
  <c r="N311" i="6"/>
  <c r="O311" i="6" s="1"/>
  <c r="N288" i="6"/>
  <c r="O288" i="6" s="1"/>
  <c r="N280" i="6"/>
  <c r="O280" i="6" s="1"/>
  <c r="N272" i="6"/>
  <c r="O272" i="6" s="1"/>
  <c r="N262" i="6"/>
  <c r="O262" i="6" s="1"/>
  <c r="N166" i="6"/>
  <c r="O166" i="6" s="1"/>
  <c r="N134" i="6"/>
  <c r="O134" i="6" s="1"/>
  <c r="N102" i="6"/>
  <c r="O102" i="6" s="1"/>
  <c r="N293" i="6"/>
  <c r="O293" i="6" s="1"/>
  <c r="N317" i="6"/>
  <c r="O317" i="6" s="1"/>
  <c r="N285" i="6"/>
  <c r="O285" i="6" s="1"/>
  <c r="N277" i="6"/>
  <c r="O277" i="6" s="1"/>
  <c r="N264" i="6"/>
  <c r="O264" i="6" s="1"/>
  <c r="N290" i="6"/>
  <c r="O290" i="6" s="1"/>
  <c r="N282" i="6"/>
  <c r="O282" i="6" s="1"/>
  <c r="N274" i="6"/>
  <c r="O274" i="6" s="1"/>
  <c r="N331" i="6"/>
  <c r="O331" i="6" s="1"/>
  <c r="N259" i="6"/>
  <c r="O259" i="6" s="1"/>
  <c r="N244" i="6"/>
  <c r="O244" i="6" s="1"/>
  <c r="N227" i="6"/>
  <c r="O227" i="6" s="1"/>
  <c r="N266" i="6"/>
  <c r="O266" i="6" s="1"/>
  <c r="N249" i="6"/>
  <c r="O249" i="6" s="1"/>
  <c r="N234" i="6"/>
  <c r="O234" i="6" s="1"/>
  <c r="N217" i="6"/>
  <c r="O217" i="6" s="1"/>
  <c r="N202" i="6"/>
  <c r="O202" i="6" s="1"/>
  <c r="N185" i="6"/>
  <c r="O185" i="6" s="1"/>
  <c r="N170" i="6"/>
  <c r="O170" i="6" s="1"/>
  <c r="N153" i="6"/>
  <c r="O153" i="6" s="1"/>
  <c r="N138" i="6"/>
  <c r="O138" i="6" s="1"/>
  <c r="N121" i="6"/>
  <c r="O121" i="6" s="1"/>
  <c r="N106" i="6"/>
  <c r="O106" i="6" s="1"/>
  <c r="N268" i="6"/>
  <c r="O268" i="6" s="1"/>
  <c r="Q36" i="6"/>
  <c r="R36" i="6" s="1"/>
  <c r="Q45" i="6"/>
  <c r="R45" i="6" s="1"/>
  <c r="Q64" i="6"/>
  <c r="R64" i="6" s="1"/>
  <c r="N68" i="6"/>
  <c r="O68" i="6" s="1"/>
  <c r="N78" i="6"/>
  <c r="O78" i="6" s="1"/>
  <c r="Q81" i="6"/>
  <c r="R81" i="6" s="1"/>
  <c r="N85" i="6"/>
  <c r="O85" i="6" s="1"/>
  <c r="Q94" i="6"/>
  <c r="R94" i="6" s="1"/>
  <c r="N139" i="6"/>
  <c r="O139" i="6" s="1"/>
  <c r="Q143" i="6"/>
  <c r="R143" i="6" s="1"/>
  <c r="Q151" i="6"/>
  <c r="R151" i="6" s="1"/>
  <c r="Q159" i="6"/>
  <c r="R159" i="6" s="1"/>
  <c r="Q163" i="6"/>
  <c r="R163" i="6" s="1"/>
  <c r="N171" i="6"/>
  <c r="O171" i="6" s="1"/>
  <c r="Q175" i="6"/>
  <c r="R175" i="6" s="1"/>
  <c r="Q183" i="6"/>
  <c r="R183" i="6" s="1"/>
  <c r="Q191" i="6"/>
  <c r="R191" i="6" s="1"/>
  <c r="Q195" i="6"/>
  <c r="R195" i="6" s="1"/>
  <c r="N203" i="6"/>
  <c r="O203" i="6" s="1"/>
  <c r="Q207" i="6"/>
  <c r="R207" i="6" s="1"/>
  <c r="Q215" i="6"/>
  <c r="R215" i="6" s="1"/>
  <c r="Q223" i="6"/>
  <c r="R223" i="6" s="1"/>
  <c r="N279" i="6"/>
  <c r="O279" i="6" s="1"/>
  <c r="N300" i="6"/>
  <c r="O300" i="6" s="1"/>
  <c r="N193" i="6"/>
  <c r="O193" i="6" s="1"/>
  <c r="Q297" i="6"/>
  <c r="R297" i="6" s="1"/>
  <c r="N41" i="6"/>
  <c r="O41" i="6" s="1"/>
  <c r="N73" i="6"/>
  <c r="O73" i="6" s="1"/>
  <c r="Q103" i="6"/>
  <c r="R103" i="6" s="1"/>
  <c r="N133" i="6"/>
  <c r="O133" i="6" s="1"/>
  <c r="N177" i="6"/>
  <c r="O177" i="6" s="1"/>
  <c r="N281" i="6"/>
  <c r="O281" i="6" s="1"/>
  <c r="N10" i="6"/>
  <c r="O10" i="6" s="1"/>
  <c r="N20" i="6"/>
  <c r="O20" i="6" s="1"/>
  <c r="N3" i="6"/>
  <c r="O3" i="6" s="1"/>
  <c r="N23" i="6"/>
  <c r="O23" i="6" s="1"/>
  <c r="N31" i="6"/>
  <c r="O31" i="6" s="1"/>
  <c r="N52" i="6"/>
  <c r="O52" i="6" s="1"/>
  <c r="Q55" i="6"/>
  <c r="R55" i="6" s="1"/>
  <c r="Q68" i="6"/>
  <c r="R68" i="6" s="1"/>
  <c r="Q78" i="6"/>
  <c r="R78" i="6" s="1"/>
  <c r="Q109" i="6"/>
  <c r="R109" i="6" s="1"/>
  <c r="N113" i="6"/>
  <c r="O113" i="6" s="1"/>
  <c r="N117" i="6"/>
  <c r="O117" i="6" s="1"/>
  <c r="N128" i="6"/>
  <c r="O128" i="6" s="1"/>
  <c r="Q135" i="6"/>
  <c r="R135" i="6" s="1"/>
  <c r="Q139" i="6"/>
  <c r="R139" i="6" s="1"/>
  <c r="Q167" i="6"/>
  <c r="R167" i="6" s="1"/>
  <c r="Q171" i="6"/>
  <c r="R171" i="6" s="1"/>
  <c r="Q199" i="6"/>
  <c r="R199" i="6" s="1"/>
  <c r="Q203" i="6"/>
  <c r="R203" i="6" s="1"/>
  <c r="Q248" i="6"/>
  <c r="R248" i="6" s="1"/>
  <c r="N253" i="6"/>
  <c r="O253" i="6" s="1"/>
  <c r="N15" i="6"/>
  <c r="O15" i="6" s="1"/>
  <c r="Q17" i="6"/>
  <c r="R17" i="6" s="1"/>
  <c r="N28" i="6"/>
  <c r="O28" i="6" s="1"/>
  <c r="Q39" i="6"/>
  <c r="R39" i="6" s="1"/>
  <c r="Q5" i="6"/>
  <c r="R5" i="6" s="1"/>
  <c r="Q20" i="6"/>
  <c r="R20" i="6" s="1"/>
  <c r="Q28" i="6"/>
  <c r="R28" i="6" s="1"/>
  <c r="N37" i="6"/>
  <c r="O37" i="6" s="1"/>
  <c r="N43" i="6"/>
  <c r="O43" i="6" s="1"/>
  <c r="N46" i="6"/>
  <c r="O46" i="6" s="1"/>
  <c r="N49" i="6"/>
  <c r="O49" i="6" s="1"/>
  <c r="Q52" i="6"/>
  <c r="R52" i="6" s="1"/>
  <c r="Q61" i="6"/>
  <c r="R61" i="6" s="1"/>
  <c r="N75" i="6"/>
  <c r="O75" i="6" s="1"/>
  <c r="N88" i="6"/>
  <c r="O88" i="6" s="1"/>
  <c r="Q102" i="6"/>
  <c r="R102" i="6" s="1"/>
  <c r="Q113" i="6"/>
  <c r="R113" i="6" s="1"/>
  <c r="Q120" i="6"/>
  <c r="R120" i="6" s="1"/>
  <c r="N124" i="6"/>
  <c r="O124" i="6" s="1"/>
  <c r="N148" i="6"/>
  <c r="O148" i="6" s="1"/>
  <c r="N160" i="6"/>
  <c r="O160" i="6" s="1"/>
  <c r="N180" i="6"/>
  <c r="O180" i="6" s="1"/>
  <c r="N192" i="6"/>
  <c r="O192" i="6" s="1"/>
  <c r="N212" i="6"/>
  <c r="O212" i="6" s="1"/>
  <c r="N224" i="6"/>
  <c r="O224" i="6" s="1"/>
  <c r="N236" i="6"/>
  <c r="O236" i="6" s="1"/>
  <c r="Q253" i="6"/>
  <c r="R253" i="6" s="1"/>
  <c r="N267" i="6"/>
  <c r="O267" i="6" s="1"/>
  <c r="Q59" i="6"/>
  <c r="R59" i="6" s="1"/>
  <c r="Q12" i="6"/>
  <c r="R12" i="6" s="1"/>
  <c r="Q42" i="6"/>
  <c r="R42" i="6" s="1"/>
  <c r="Q1437" i="6"/>
  <c r="R1437" i="6" s="1"/>
  <c r="Q1421" i="6"/>
  <c r="R1421" i="6" s="1"/>
  <c r="Q1393" i="6"/>
  <c r="R1393" i="6" s="1"/>
  <c r="Q1433" i="6"/>
  <c r="R1433" i="6" s="1"/>
  <c r="Q1417" i="6"/>
  <c r="R1417" i="6" s="1"/>
  <c r="Q1405" i="6"/>
  <c r="R1405" i="6" s="1"/>
  <c r="Q1397" i="6"/>
  <c r="R1397" i="6" s="1"/>
  <c r="Q1423" i="6"/>
  <c r="R1423" i="6" s="1"/>
  <c r="Q1399" i="6"/>
  <c r="R1399" i="6" s="1"/>
  <c r="Q1425" i="6"/>
  <c r="R1425" i="6" s="1"/>
  <c r="Q1419" i="6"/>
  <c r="R1419" i="6" s="1"/>
  <c r="Q1395" i="6"/>
  <c r="R1395" i="6" s="1"/>
  <c r="Q1379" i="6"/>
  <c r="R1379" i="6" s="1"/>
  <c r="Q1351" i="6"/>
  <c r="R1351" i="6" s="1"/>
  <c r="Q1365" i="6"/>
  <c r="R1365" i="6" s="1"/>
  <c r="Q1337" i="6"/>
  <c r="R1337" i="6" s="1"/>
  <c r="Q1329" i="6"/>
  <c r="R1329" i="6" s="1"/>
  <c r="Q1321" i="6"/>
  <c r="R1321" i="6" s="1"/>
  <c r="Q1391" i="6"/>
  <c r="R1391" i="6" s="1"/>
  <c r="Q1313" i="6"/>
  <c r="R1313" i="6" s="1"/>
  <c r="Q1401" i="6"/>
  <c r="R1401" i="6" s="1"/>
  <c r="Q1373" i="6"/>
  <c r="R1373" i="6" s="1"/>
  <c r="Q1345" i="6"/>
  <c r="R1345" i="6" s="1"/>
  <c r="S1345" i="6" s="1"/>
  <c r="Q1297" i="6"/>
  <c r="R1297" i="6" s="1"/>
  <c r="Q1367" i="6"/>
  <c r="R1367" i="6" s="1"/>
  <c r="Q1381" i="6"/>
  <c r="R1381" i="6" s="1"/>
  <c r="Q1339" i="6"/>
  <c r="R1339" i="6" s="1"/>
  <c r="Q1361" i="6"/>
  <c r="R1361" i="6" s="1"/>
  <c r="Q1347" i="6"/>
  <c r="R1347" i="6" s="1"/>
  <c r="Q1435" i="6"/>
  <c r="R1435" i="6" s="1"/>
  <c r="Q1369" i="6"/>
  <c r="R1369" i="6" s="1"/>
  <c r="Q1333" i="6"/>
  <c r="R1333" i="6" s="1"/>
  <c r="Q1383" i="6"/>
  <c r="R1383" i="6" s="1"/>
  <c r="Q1317" i="6"/>
  <c r="R1317" i="6" s="1"/>
  <c r="Q1407" i="6"/>
  <c r="R1407" i="6" s="1"/>
  <c r="Q1403" i="6"/>
  <c r="R1403" i="6" s="1"/>
  <c r="Q1377" i="6"/>
  <c r="R1377" i="6" s="1"/>
  <c r="Q1341" i="6"/>
  <c r="R1341" i="6" s="1"/>
  <c r="Q1389" i="6"/>
  <c r="R1389" i="6" s="1"/>
  <c r="Q1335" i="6"/>
  <c r="R1335" i="6" s="1"/>
  <c r="Q1303" i="6"/>
  <c r="R1303" i="6" s="1"/>
  <c r="Q1385" i="6"/>
  <c r="R1385" i="6" s="1"/>
  <c r="Q1357" i="6"/>
  <c r="R1357" i="6" s="1"/>
  <c r="Q1343" i="6"/>
  <c r="R1343" i="6" s="1"/>
  <c r="Q1309" i="6"/>
  <c r="R1309" i="6" s="1"/>
  <c r="Q1295" i="6"/>
  <c r="R1295" i="6" s="1"/>
  <c r="Q1285" i="6"/>
  <c r="R1285" i="6" s="1"/>
  <c r="Q1275" i="6"/>
  <c r="R1275" i="6" s="1"/>
  <c r="Q1255" i="6"/>
  <c r="R1255" i="6" s="1"/>
  <c r="Q1319" i="6"/>
  <c r="R1319" i="6" s="1"/>
  <c r="Q1201" i="6"/>
  <c r="R1201" i="6" s="1"/>
  <c r="Q1169" i="6"/>
  <c r="R1169" i="6" s="1"/>
  <c r="Q1137" i="6"/>
  <c r="R1137" i="6" s="1"/>
  <c r="Q1135" i="6"/>
  <c r="R1135" i="6" s="1"/>
  <c r="Q1133" i="6"/>
  <c r="R1133" i="6" s="1"/>
  <c r="Q1131" i="6"/>
  <c r="R1131" i="6" s="1"/>
  <c r="Q1129" i="6"/>
  <c r="R1129" i="6" s="1"/>
  <c r="Q1127" i="6"/>
  <c r="R1127" i="6" s="1"/>
  <c r="Q1125" i="6"/>
  <c r="R1125" i="6" s="1"/>
  <c r="Q1123" i="6"/>
  <c r="R1123" i="6" s="1"/>
  <c r="Q1121" i="6"/>
  <c r="R1121" i="6" s="1"/>
  <c r="Q1119" i="6"/>
  <c r="R1119" i="6" s="1"/>
  <c r="Q1117" i="6"/>
  <c r="R1117" i="6" s="1"/>
  <c r="Q1115" i="6"/>
  <c r="R1115" i="6" s="1"/>
  <c r="Q1113" i="6"/>
  <c r="R1113" i="6" s="1"/>
  <c r="Q1291" i="6"/>
  <c r="R1291" i="6" s="1"/>
  <c r="Q1315" i="6"/>
  <c r="R1315" i="6" s="1"/>
  <c r="Q1301" i="6"/>
  <c r="R1301" i="6" s="1"/>
  <c r="Q1252" i="6"/>
  <c r="R1252" i="6" s="1"/>
  <c r="Q1216" i="6"/>
  <c r="R1216" i="6" s="1"/>
  <c r="Q1205" i="6"/>
  <c r="R1205" i="6" s="1"/>
  <c r="Q1281" i="6"/>
  <c r="R1281" i="6" s="1"/>
  <c r="Q1268" i="6"/>
  <c r="R1268" i="6" s="1"/>
  <c r="Q1257" i="6"/>
  <c r="R1257" i="6" s="1"/>
  <c r="Q1241" i="6"/>
  <c r="R1241" i="6" s="1"/>
  <c r="Q1236" i="6"/>
  <c r="R1236" i="6" s="1"/>
  <c r="Q1228" i="6"/>
  <c r="R1228" i="6" s="1"/>
  <c r="Q1311" i="6"/>
  <c r="R1311" i="6" s="1"/>
  <c r="Q1271" i="6"/>
  <c r="R1271" i="6" s="1"/>
  <c r="Q1249" i="6"/>
  <c r="R1249" i="6" s="1"/>
  <c r="Q1349" i="6"/>
  <c r="R1349" i="6" s="1"/>
  <c r="Q1287" i="6"/>
  <c r="R1287" i="6" s="1"/>
  <c r="S1287" i="6" s="1"/>
  <c r="Q1211" i="6"/>
  <c r="R1211" i="6" s="1"/>
  <c r="Q1179" i="6"/>
  <c r="R1179" i="6" s="1"/>
  <c r="Q1307" i="6"/>
  <c r="R1307" i="6" s="1"/>
  <c r="Q1277" i="6"/>
  <c r="R1277" i="6" s="1"/>
  <c r="Q1225" i="6"/>
  <c r="R1225" i="6" s="1"/>
  <c r="Q1213" i="6"/>
  <c r="R1213" i="6" s="1"/>
  <c r="Q1196" i="6"/>
  <c r="R1196" i="6" s="1"/>
  <c r="Q1181" i="6"/>
  <c r="R1181" i="6" s="1"/>
  <c r="Q1183" i="6"/>
  <c r="R1183" i="6" s="1"/>
  <c r="Q1151" i="6"/>
  <c r="R1151" i="6" s="1"/>
  <c r="Q1289" i="6"/>
  <c r="R1289" i="6" s="1"/>
  <c r="Q1175" i="6"/>
  <c r="R1175" i="6" s="1"/>
  <c r="S1175" i="6" s="1"/>
  <c r="Q1163" i="6"/>
  <c r="R1163" i="6" s="1"/>
  <c r="Q1212" i="6"/>
  <c r="R1212" i="6" s="1"/>
  <c r="Q1185" i="6"/>
  <c r="R1185" i="6" s="1"/>
  <c r="Q1149" i="6"/>
  <c r="R1149" i="6" s="1"/>
  <c r="Q1242" i="6"/>
  <c r="R1242" i="6" s="1"/>
  <c r="Q1209" i="6"/>
  <c r="R1209" i="6" s="1"/>
  <c r="Q1165" i="6"/>
  <c r="R1165" i="6" s="1"/>
  <c r="Q1231" i="6"/>
  <c r="R1231" i="6" s="1"/>
  <c r="Q1203" i="6"/>
  <c r="R1203" i="6" s="1"/>
  <c r="Q1195" i="6"/>
  <c r="R1195" i="6" s="1"/>
  <c r="Q1172" i="6"/>
  <c r="R1172" i="6" s="1"/>
  <c r="Q1158" i="6"/>
  <c r="R1158" i="6" s="1"/>
  <c r="Q1128" i="6"/>
  <c r="R1128" i="6" s="1"/>
  <c r="Q1112" i="6"/>
  <c r="R1112" i="6" s="1"/>
  <c r="Q1258" i="6"/>
  <c r="R1258" i="6" s="1"/>
  <c r="Q1182" i="6"/>
  <c r="R1182" i="6" s="1"/>
  <c r="Q1177" i="6"/>
  <c r="R1177" i="6" s="1"/>
  <c r="Q1167" i="6"/>
  <c r="R1167" i="6" s="1"/>
  <c r="Q1200" i="6"/>
  <c r="R1200" i="6" s="1"/>
  <c r="Q1187" i="6"/>
  <c r="R1187" i="6" s="1"/>
  <c r="Q1160" i="6"/>
  <c r="R1160" i="6" s="1"/>
  <c r="Q1153" i="6"/>
  <c r="R1153" i="6" s="1"/>
  <c r="Q1130" i="6"/>
  <c r="R1130" i="6" s="1"/>
  <c r="Q1114" i="6"/>
  <c r="R1114" i="6" s="1"/>
  <c r="Q1253" i="6"/>
  <c r="R1253" i="6" s="1"/>
  <c r="Q1217" i="6"/>
  <c r="R1217" i="6" s="1"/>
  <c r="Q1192" i="6"/>
  <c r="R1192" i="6" s="1"/>
  <c r="Q1139" i="6"/>
  <c r="R1139" i="6" s="1"/>
  <c r="Q1197" i="6"/>
  <c r="R1197" i="6" s="1"/>
  <c r="Q1189" i="6"/>
  <c r="R1189" i="6" s="1"/>
  <c r="Q1162" i="6"/>
  <c r="R1162" i="6" s="1"/>
  <c r="Q1116" i="6"/>
  <c r="R1116" i="6" s="1"/>
  <c r="Q1155" i="6"/>
  <c r="R1155" i="6" s="1"/>
  <c r="Q1105" i="6"/>
  <c r="R1105" i="6" s="1"/>
  <c r="Q1269" i="6"/>
  <c r="R1269" i="6" s="1"/>
  <c r="Q1226" i="6"/>
  <c r="R1226" i="6" s="1"/>
  <c r="Q1171" i="6"/>
  <c r="R1171" i="6" s="1"/>
  <c r="Q1164" i="6"/>
  <c r="R1164" i="6" s="1"/>
  <c r="Q1157" i="6"/>
  <c r="R1157" i="6" s="1"/>
  <c r="Q1148" i="6"/>
  <c r="R1148" i="6" s="1"/>
  <c r="Q1141" i="6"/>
  <c r="R1141" i="6" s="1"/>
  <c r="Q1134" i="6"/>
  <c r="R1134" i="6" s="1"/>
  <c r="Q1118" i="6"/>
  <c r="R1118" i="6" s="1"/>
  <c r="Q1150" i="6"/>
  <c r="R1150" i="6" s="1"/>
  <c r="Q1143" i="6"/>
  <c r="R1143" i="6" s="1"/>
  <c r="Q1109" i="6"/>
  <c r="R1109" i="6" s="1"/>
  <c r="Q1207" i="6"/>
  <c r="R1207" i="6" s="1"/>
  <c r="S1207" i="6" s="1"/>
  <c r="Q1199" i="6"/>
  <c r="R1199" i="6" s="1"/>
  <c r="Q1204" i="6"/>
  <c r="R1204" i="6" s="1"/>
  <c r="Q1124" i="6"/>
  <c r="R1124" i="6" s="1"/>
  <c r="Q1107" i="6"/>
  <c r="R1107" i="6" s="1"/>
  <c r="Q1075" i="6"/>
  <c r="R1075" i="6" s="1"/>
  <c r="Q1104" i="6"/>
  <c r="R1104" i="6" s="1"/>
  <c r="Q1067" i="6"/>
  <c r="R1067" i="6" s="1"/>
  <c r="Q1145" i="6"/>
  <c r="R1145" i="6" s="1"/>
  <c r="Q1138" i="6"/>
  <c r="R1138" i="6" s="1"/>
  <c r="Q1080" i="6"/>
  <c r="R1080" i="6" s="1"/>
  <c r="Q1050" i="6"/>
  <c r="R1050" i="6" s="1"/>
  <c r="Q1159" i="6"/>
  <c r="R1159" i="6" s="1"/>
  <c r="Q1173" i="6"/>
  <c r="R1173" i="6" s="1"/>
  <c r="Q1088" i="6"/>
  <c r="R1088" i="6" s="1"/>
  <c r="Q1072" i="6"/>
  <c r="R1072" i="6" s="1"/>
  <c r="Q1064" i="6"/>
  <c r="R1064" i="6" s="1"/>
  <c r="Q1052" i="6"/>
  <c r="R1052" i="6" s="1"/>
  <c r="Q1043" i="6"/>
  <c r="R1043" i="6" s="1"/>
  <c r="Q1036" i="6"/>
  <c r="R1036" i="6" s="1"/>
  <c r="Q1019" i="6"/>
  <c r="R1019" i="6" s="1"/>
  <c r="Q1232" i="6"/>
  <c r="R1232" i="6" s="1"/>
  <c r="Q1191" i="6"/>
  <c r="R1191" i="6" s="1"/>
  <c r="Q1066" i="6"/>
  <c r="R1066" i="6" s="1"/>
  <c r="Q1219" i="6"/>
  <c r="R1219" i="6" s="1"/>
  <c r="Q1122" i="6"/>
  <c r="R1122" i="6" s="1"/>
  <c r="Q1079" i="6"/>
  <c r="R1079" i="6" s="1"/>
  <c r="Q1061" i="6"/>
  <c r="R1061" i="6" s="1"/>
  <c r="Q1210" i="6"/>
  <c r="R1210" i="6" s="1"/>
  <c r="Q1161" i="6"/>
  <c r="R1161" i="6" s="1"/>
  <c r="Q1147" i="6"/>
  <c r="R1147" i="6" s="1"/>
  <c r="Q1168" i="6"/>
  <c r="R1168" i="6" s="1"/>
  <c r="Q1136" i="6"/>
  <c r="R1136" i="6" s="1"/>
  <c r="Q1102" i="6"/>
  <c r="R1102" i="6" s="1"/>
  <c r="Q1099" i="6"/>
  <c r="R1099" i="6" s="1"/>
  <c r="Q1084" i="6"/>
  <c r="R1084" i="6" s="1"/>
  <c r="Q1154" i="6"/>
  <c r="R1154" i="6" s="1"/>
  <c r="Q1111" i="6"/>
  <c r="R1111" i="6" s="1"/>
  <c r="Q1087" i="6"/>
  <c r="R1087" i="6" s="1"/>
  <c r="Q1063" i="6"/>
  <c r="R1063" i="6" s="1"/>
  <c r="Q1095" i="6"/>
  <c r="R1095" i="6" s="1"/>
  <c r="Q903" i="6"/>
  <c r="R903" i="6" s="1"/>
  <c r="Q886" i="6"/>
  <c r="R886" i="6" s="1"/>
  <c r="Q871" i="6"/>
  <c r="R871" i="6" s="1"/>
  <c r="Q854" i="6"/>
  <c r="R854" i="6" s="1"/>
  <c r="Q839" i="6"/>
  <c r="R839" i="6" s="1"/>
  <c r="Q1041" i="6"/>
  <c r="R1041" i="6" s="1"/>
  <c r="Q1030" i="6"/>
  <c r="R1030" i="6" s="1"/>
  <c r="Q1078" i="6"/>
  <c r="R1078" i="6" s="1"/>
  <c r="Q1047" i="6"/>
  <c r="R1047" i="6" s="1"/>
  <c r="Q1017" i="6"/>
  <c r="R1017" i="6" s="1"/>
  <c r="Q995" i="6"/>
  <c r="R995" i="6" s="1"/>
  <c r="S995" i="6" s="1"/>
  <c r="Q978" i="6"/>
  <c r="R978" i="6" s="1"/>
  <c r="Q1098" i="6"/>
  <c r="R1098" i="6" s="1"/>
  <c r="Q1070" i="6"/>
  <c r="R1070" i="6" s="1"/>
  <c r="Q1056" i="6"/>
  <c r="R1056" i="6" s="1"/>
  <c r="Q1053" i="6"/>
  <c r="R1053" i="6" s="1"/>
  <c r="Q1193" i="6"/>
  <c r="R1193" i="6" s="1"/>
  <c r="Q1040" i="6"/>
  <c r="R1040" i="6" s="1"/>
  <c r="Q980" i="6"/>
  <c r="R980" i="6" s="1"/>
  <c r="Q948" i="6"/>
  <c r="R948" i="6" s="1"/>
  <c r="Q916" i="6"/>
  <c r="R916" i="6" s="1"/>
  <c r="Q896" i="6"/>
  <c r="R896" i="6" s="1"/>
  <c r="Q881" i="6"/>
  <c r="R881" i="6" s="1"/>
  <c r="Q864" i="6"/>
  <c r="R864" i="6" s="1"/>
  <c r="Q1239" i="6"/>
  <c r="R1239" i="6" s="1"/>
  <c r="Q1009" i="6"/>
  <c r="R1009" i="6" s="1"/>
  <c r="Q1004" i="6"/>
  <c r="R1004" i="6" s="1"/>
  <c r="Q1049" i="6"/>
  <c r="R1049" i="6" s="1"/>
  <c r="Q1046" i="6"/>
  <c r="R1046" i="6" s="1"/>
  <c r="Q1037" i="6"/>
  <c r="R1037" i="6" s="1"/>
  <c r="Q1024" i="6"/>
  <c r="R1024" i="6" s="1"/>
  <c r="Q992" i="6"/>
  <c r="R992" i="6" s="1"/>
  <c r="Q960" i="6"/>
  <c r="R960" i="6" s="1"/>
  <c r="Q928" i="6"/>
  <c r="R928" i="6" s="1"/>
  <c r="Q900" i="6"/>
  <c r="R900" i="6" s="1"/>
  <c r="Q885" i="6"/>
  <c r="R885" i="6" s="1"/>
  <c r="Q868" i="6"/>
  <c r="R868" i="6" s="1"/>
  <c r="Q1073" i="6"/>
  <c r="R1073" i="6" s="1"/>
  <c r="Q1029" i="6"/>
  <c r="R1029" i="6" s="1"/>
  <c r="Q1016" i="6"/>
  <c r="R1016" i="6" s="1"/>
  <c r="Q1058" i="6"/>
  <c r="R1058" i="6" s="1"/>
  <c r="Q994" i="6"/>
  <c r="R994" i="6" s="1"/>
  <c r="Q1042" i="6"/>
  <c r="R1042" i="6" s="1"/>
  <c r="Q1034" i="6"/>
  <c r="R1034" i="6" s="1"/>
  <c r="Q1026" i="6"/>
  <c r="R1026" i="6" s="1"/>
  <c r="Q962" i="6"/>
  <c r="R962" i="6" s="1"/>
  <c r="Q930" i="6"/>
  <c r="R930" i="6" s="1"/>
  <c r="Q906" i="6"/>
  <c r="R906" i="6" s="1"/>
  <c r="Q891" i="6"/>
  <c r="R891" i="6" s="1"/>
  <c r="Q874" i="6"/>
  <c r="R874" i="6" s="1"/>
  <c r="Q1092" i="6"/>
  <c r="R1092" i="6" s="1"/>
  <c r="Q1055" i="6"/>
  <c r="R1055" i="6" s="1"/>
  <c r="Q1013" i="6"/>
  <c r="R1013" i="6" s="1"/>
  <c r="Q852" i="6"/>
  <c r="R852" i="6" s="1"/>
  <c r="Q1051" i="6"/>
  <c r="R1051" i="6" s="1"/>
  <c r="Q912" i="6"/>
  <c r="R912" i="6" s="1"/>
  <c r="Q858" i="6"/>
  <c r="R858" i="6" s="1"/>
  <c r="Q811" i="6"/>
  <c r="R811" i="6" s="1"/>
  <c r="Q791" i="6"/>
  <c r="R791" i="6" s="1"/>
  <c r="Q946" i="6"/>
  <c r="R946" i="6" s="1"/>
  <c r="Q942" i="6"/>
  <c r="R942" i="6" s="1"/>
  <c r="Q867" i="6"/>
  <c r="R867" i="6" s="1"/>
  <c r="Q822" i="6"/>
  <c r="R822" i="6" s="1"/>
  <c r="Q803" i="6"/>
  <c r="R803" i="6" s="1"/>
  <c r="Q778" i="6"/>
  <c r="R778" i="6" s="1"/>
  <c r="Q776" i="6"/>
  <c r="R776" i="6" s="1"/>
  <c r="Q774" i="6"/>
  <c r="R774" i="6" s="1"/>
  <c r="Q772" i="6"/>
  <c r="R772" i="6" s="1"/>
  <c r="Q770" i="6"/>
  <c r="R770" i="6" s="1"/>
  <c r="Q768" i="6"/>
  <c r="R768" i="6" s="1"/>
  <c r="Q901" i="6"/>
  <c r="R901" i="6" s="1"/>
  <c r="Q884" i="6"/>
  <c r="R884" i="6" s="1"/>
  <c r="Q976" i="6"/>
  <c r="R976" i="6" s="1"/>
  <c r="Q842" i="6"/>
  <c r="R842" i="6" s="1"/>
  <c r="Q827" i="6"/>
  <c r="R827" i="6" s="1"/>
  <c r="Q907" i="6"/>
  <c r="R907" i="6" s="1"/>
  <c r="Q1186" i="6"/>
  <c r="R1186" i="6" s="1"/>
  <c r="Q1020" i="6"/>
  <c r="R1020" i="6" s="1"/>
  <c r="Q914" i="6"/>
  <c r="R914" i="6" s="1"/>
  <c r="Q890" i="6"/>
  <c r="R890" i="6" s="1"/>
  <c r="Q859" i="6"/>
  <c r="R859" i="6" s="1"/>
  <c r="Q1048" i="6"/>
  <c r="R1048" i="6" s="1"/>
  <c r="Q1039" i="6"/>
  <c r="R1039" i="6" s="1"/>
  <c r="Q998" i="6"/>
  <c r="R998" i="6" s="1"/>
  <c r="Q944" i="6"/>
  <c r="R944" i="6" s="1"/>
  <c r="Q837" i="6"/>
  <c r="R837" i="6" s="1"/>
  <c r="Q807" i="6"/>
  <c r="R807" i="6" s="1"/>
  <c r="Q779" i="6"/>
  <c r="R779" i="6" s="1"/>
  <c r="Q759" i="6"/>
  <c r="R759" i="6" s="1"/>
  <c r="Q742" i="6"/>
  <c r="R742" i="6" s="1"/>
  <c r="Q727" i="6"/>
  <c r="R727" i="6" s="1"/>
  <c r="Q710" i="6"/>
  <c r="R710" i="6" s="1"/>
  <c r="Q695" i="6"/>
  <c r="R695" i="6" s="1"/>
  <c r="Q678" i="6"/>
  <c r="R678" i="6" s="1"/>
  <c r="Q663" i="6"/>
  <c r="R663" i="6" s="1"/>
  <c r="Q646" i="6"/>
  <c r="R646" i="6" s="1"/>
  <c r="Q820" i="6"/>
  <c r="R820" i="6" s="1"/>
  <c r="Q744" i="6"/>
  <c r="R744" i="6" s="1"/>
  <c r="Q712" i="6"/>
  <c r="R712" i="6" s="1"/>
  <c r="Q680" i="6"/>
  <c r="R680" i="6" s="1"/>
  <c r="Q850" i="6"/>
  <c r="R850" i="6" s="1"/>
  <c r="Q810" i="6"/>
  <c r="R810" i="6" s="1"/>
  <c r="Q746" i="6"/>
  <c r="R746" i="6" s="1"/>
  <c r="Q714" i="6"/>
  <c r="R714" i="6" s="1"/>
  <c r="Q682" i="6"/>
  <c r="R682" i="6" s="1"/>
  <c r="Q875" i="6"/>
  <c r="R875" i="6" s="1"/>
  <c r="Q853" i="6"/>
  <c r="R853" i="6" s="1"/>
  <c r="S853" i="6" s="1"/>
  <c r="Q826" i="6"/>
  <c r="R826" i="6" s="1"/>
  <c r="Q786" i="6"/>
  <c r="R786" i="6" s="1"/>
  <c r="Q765" i="6"/>
  <c r="R765" i="6" s="1"/>
  <c r="Q748" i="6"/>
  <c r="R748" i="6" s="1"/>
  <c r="Q733" i="6"/>
  <c r="R733" i="6" s="1"/>
  <c r="Q716" i="6"/>
  <c r="R716" i="6" s="1"/>
  <c r="Q836" i="6"/>
  <c r="R836" i="6" s="1"/>
  <c r="Q750" i="6"/>
  <c r="R750" i="6" s="1"/>
  <c r="Q718" i="6"/>
  <c r="R718" i="6" s="1"/>
  <c r="Q686" i="6"/>
  <c r="R686" i="6" s="1"/>
  <c r="Q878" i="6"/>
  <c r="R878" i="6" s="1"/>
  <c r="Q846" i="6"/>
  <c r="R846" i="6" s="1"/>
  <c r="Q843" i="6"/>
  <c r="R843" i="6" s="1"/>
  <c r="Q781" i="6"/>
  <c r="R781" i="6" s="1"/>
  <c r="Q752" i="6"/>
  <c r="R752" i="6" s="1"/>
  <c r="Q737" i="6"/>
  <c r="R737" i="6" s="1"/>
  <c r="Q720" i="6"/>
  <c r="R720" i="6" s="1"/>
  <c r="Q705" i="6"/>
  <c r="R705" i="6" s="1"/>
  <c r="Q688" i="6"/>
  <c r="R688" i="6" s="1"/>
  <c r="Q673" i="6"/>
  <c r="R673" i="6" s="1"/>
  <c r="Q656" i="6"/>
  <c r="R656" i="6" s="1"/>
  <c r="Q832" i="6"/>
  <c r="R832" i="6" s="1"/>
  <c r="Q800" i="6"/>
  <c r="R800" i="6" s="1"/>
  <c r="Q797" i="6"/>
  <c r="R797" i="6" s="1"/>
  <c r="Q754" i="6"/>
  <c r="R754" i="6" s="1"/>
  <c r="Q722" i="6"/>
  <c r="R722" i="6" s="1"/>
  <c r="Q690" i="6"/>
  <c r="R690" i="6" s="1"/>
  <c r="Q849" i="6"/>
  <c r="R849" i="6" s="1"/>
  <c r="Q783" i="6"/>
  <c r="R783" i="6" s="1"/>
  <c r="Q756" i="6"/>
  <c r="R756" i="6" s="1"/>
  <c r="Q741" i="6"/>
  <c r="R741" i="6" s="1"/>
  <c r="Q724" i="6"/>
  <c r="R724" i="6" s="1"/>
  <c r="Q709" i="6"/>
  <c r="R709" i="6" s="1"/>
  <c r="Q692" i="6"/>
  <c r="R692" i="6" s="1"/>
  <c r="Q677" i="6"/>
  <c r="R677" i="6" s="1"/>
  <c r="Q660" i="6"/>
  <c r="R660" i="6" s="1"/>
  <c r="Q645" i="6"/>
  <c r="R645" i="6" s="1"/>
  <c r="Q794" i="6"/>
  <c r="R794" i="6" s="1"/>
  <c r="Q758" i="6"/>
  <c r="R758" i="6" s="1"/>
  <c r="Q726" i="6"/>
  <c r="R726" i="6" s="1"/>
  <c r="Q694" i="6"/>
  <c r="R694" i="6" s="1"/>
  <c r="Q662" i="6"/>
  <c r="R662" i="6" s="1"/>
  <c r="Q835" i="6"/>
  <c r="R835" i="6" s="1"/>
  <c r="Q818" i="6"/>
  <c r="R818" i="6" s="1"/>
  <c r="Q788" i="6"/>
  <c r="R788" i="6" s="1"/>
  <c r="Q760" i="6"/>
  <c r="R760" i="6" s="1"/>
  <c r="Q745" i="6"/>
  <c r="R745" i="6" s="1"/>
  <c r="Q728" i="6"/>
  <c r="R728" i="6" s="1"/>
  <c r="Q713" i="6"/>
  <c r="R713" i="6" s="1"/>
  <c r="Q821" i="6"/>
  <c r="R821" i="6" s="1"/>
  <c r="Q785" i="6"/>
  <c r="R785" i="6" s="1"/>
  <c r="Q773" i="6"/>
  <c r="R773" i="6" s="1"/>
  <c r="Q762" i="6"/>
  <c r="R762" i="6" s="1"/>
  <c r="Q747" i="6"/>
  <c r="R747" i="6" s="1"/>
  <c r="Q730" i="6"/>
  <c r="R730" i="6" s="1"/>
  <c r="Q715" i="6"/>
  <c r="R715" i="6" s="1"/>
  <c r="Q698" i="6"/>
  <c r="R698" i="6" s="1"/>
  <c r="Q683" i="6"/>
  <c r="R683" i="6" s="1"/>
  <c r="Q666" i="6"/>
  <c r="R666" i="6" s="1"/>
  <c r="Q651" i="6"/>
  <c r="R651" i="6" s="1"/>
  <c r="Q986" i="6"/>
  <c r="R986" i="6" s="1"/>
  <c r="Q764" i="6"/>
  <c r="R764" i="6" s="1"/>
  <c r="Q732" i="6"/>
  <c r="R732" i="6" s="1"/>
  <c r="Q700" i="6"/>
  <c r="R700" i="6" s="1"/>
  <c r="Q668" i="6"/>
  <c r="R668" i="6" s="1"/>
  <c r="Q869" i="6"/>
  <c r="R869" i="6" s="1"/>
  <c r="Q790" i="6"/>
  <c r="R790" i="6" s="1"/>
  <c r="Q782" i="6"/>
  <c r="R782" i="6" s="1"/>
  <c r="Q738" i="6"/>
  <c r="R738" i="6" s="1"/>
  <c r="Q706" i="6"/>
  <c r="R706" i="6" s="1"/>
  <c r="Q674" i="6"/>
  <c r="R674" i="6" s="1"/>
  <c r="Q787" i="6"/>
  <c r="R787" i="6" s="1"/>
  <c r="Q689" i="6"/>
  <c r="R689" i="6" s="1"/>
  <c r="Q602" i="6"/>
  <c r="R602" i="6" s="1"/>
  <c r="Q597" i="6"/>
  <c r="R597" i="6" s="1"/>
  <c r="Q592" i="6"/>
  <c r="R592" i="6" s="1"/>
  <c r="Q587" i="6"/>
  <c r="R587" i="6" s="1"/>
  <c r="Q571" i="6"/>
  <c r="R571" i="6" s="1"/>
  <c r="Q554" i="6"/>
  <c r="R554" i="6" s="1"/>
  <c r="Q652" i="6"/>
  <c r="R652" i="6" s="1"/>
  <c r="Q649" i="6"/>
  <c r="R649" i="6" s="1"/>
  <c r="Q637" i="6"/>
  <c r="R637" i="6" s="1"/>
  <c r="Q799" i="6"/>
  <c r="R799" i="6" s="1"/>
  <c r="Q725" i="6"/>
  <c r="R725" i="6" s="1"/>
  <c r="Q634" i="6"/>
  <c r="R634" i="6" s="1"/>
  <c r="Q623" i="6"/>
  <c r="R623" i="6" s="1"/>
  <c r="Q607" i="6"/>
  <c r="R607" i="6" s="1"/>
  <c r="Q599" i="6"/>
  <c r="R599" i="6" s="1"/>
  <c r="Q582" i="6"/>
  <c r="R582" i="6" s="1"/>
  <c r="Q740" i="6"/>
  <c r="R740" i="6" s="1"/>
  <c r="Q721" i="6"/>
  <c r="R721" i="6" s="1"/>
  <c r="Q631" i="6"/>
  <c r="R631" i="6" s="1"/>
  <c r="Q620" i="6"/>
  <c r="R620" i="6" s="1"/>
  <c r="Q575" i="6"/>
  <c r="R575" i="6" s="1"/>
  <c r="Q736" i="6"/>
  <c r="R736" i="6" s="1"/>
  <c r="Q702" i="6"/>
  <c r="R702" i="6" s="1"/>
  <c r="Q628" i="6"/>
  <c r="R628" i="6" s="1"/>
  <c r="Q617" i="6"/>
  <c r="R617" i="6" s="1"/>
  <c r="Q612" i="6"/>
  <c r="R612" i="6" s="1"/>
  <c r="Q664" i="6"/>
  <c r="R664" i="6" s="1"/>
  <c r="Q661" i="6"/>
  <c r="R661" i="6" s="1"/>
  <c r="Q609" i="6"/>
  <c r="R609" i="6" s="1"/>
  <c r="Q577" i="6"/>
  <c r="R577" i="6" s="1"/>
  <c r="Q564" i="6"/>
  <c r="R564" i="6" s="1"/>
  <c r="Q681" i="6"/>
  <c r="R681" i="6" s="1"/>
  <c r="Q596" i="6"/>
  <c r="R596" i="6" s="1"/>
  <c r="Q1010" i="6"/>
  <c r="R1010" i="6" s="1"/>
  <c r="Q684" i="6"/>
  <c r="R684" i="6" s="1"/>
  <c r="Q614" i="6"/>
  <c r="R614" i="6" s="1"/>
  <c r="Q579" i="6"/>
  <c r="R579" i="6" s="1"/>
  <c r="Q568" i="6"/>
  <c r="R568" i="6" s="1"/>
  <c r="Q793" i="6"/>
  <c r="R793" i="6" s="1"/>
  <c r="Q766" i="6"/>
  <c r="R766" i="6" s="1"/>
  <c r="Q657" i="6"/>
  <c r="R657" i="6" s="1"/>
  <c r="Q606" i="6"/>
  <c r="R606" i="6" s="1"/>
  <c r="Q593" i="6"/>
  <c r="R593" i="6" s="1"/>
  <c r="Q570" i="6"/>
  <c r="R570" i="6" s="1"/>
  <c r="Q555" i="6"/>
  <c r="R555" i="6" s="1"/>
  <c r="Q538" i="6"/>
  <c r="R538" i="6" s="1"/>
  <c r="Q708" i="6"/>
  <c r="R708" i="6" s="1"/>
  <c r="Q701" i="6"/>
  <c r="R701" i="6" s="1"/>
  <c r="Q670" i="6"/>
  <c r="R670" i="6" s="1"/>
  <c r="Q704" i="6"/>
  <c r="R704" i="6" s="1"/>
  <c r="Q627" i="6"/>
  <c r="R627" i="6" s="1"/>
  <c r="Q619" i="6"/>
  <c r="R619" i="6" s="1"/>
  <c r="Q865" i="6"/>
  <c r="R865" i="6" s="1"/>
  <c r="Q641" i="6"/>
  <c r="R641" i="6" s="1"/>
  <c r="Q693" i="6"/>
  <c r="R693" i="6" s="1"/>
  <c r="Q669" i="6"/>
  <c r="R669" i="6" s="1"/>
  <c r="Q775" i="6"/>
  <c r="R775" i="6" s="1"/>
  <c r="Q532" i="6"/>
  <c r="R532" i="6" s="1"/>
  <c r="Q560" i="6"/>
  <c r="R560" i="6" s="1"/>
  <c r="Q548" i="6"/>
  <c r="R548" i="6" s="1"/>
  <c r="Q529" i="6"/>
  <c r="R529" i="6" s="1"/>
  <c r="Q512" i="6"/>
  <c r="R512" i="6" s="1"/>
  <c r="Q497" i="6"/>
  <c r="R497" i="6" s="1"/>
  <c r="Q480" i="6"/>
  <c r="R480" i="6" s="1"/>
  <c r="Q465" i="6"/>
  <c r="R465" i="6" s="1"/>
  <c r="Q448" i="6"/>
  <c r="R448" i="6" s="1"/>
  <c r="Q433" i="6"/>
  <c r="R433" i="6" s="1"/>
  <c r="Q416" i="6"/>
  <c r="R416" i="6" s="1"/>
  <c r="Q401" i="6"/>
  <c r="R401" i="6" s="1"/>
  <c r="Q545" i="6"/>
  <c r="R545" i="6" s="1"/>
  <c r="Q371" i="6"/>
  <c r="R371" i="6" s="1"/>
  <c r="Q354" i="6"/>
  <c r="R354" i="6" s="1"/>
  <c r="Q757" i="6"/>
  <c r="R757" i="6" s="1"/>
  <c r="Q753" i="6"/>
  <c r="R753" i="6" s="1"/>
  <c r="Q696" i="6"/>
  <c r="R696" i="6" s="1"/>
  <c r="Q613" i="6"/>
  <c r="R613" i="6" s="1"/>
  <c r="Q600" i="6"/>
  <c r="R600" i="6" s="1"/>
  <c r="Q518" i="6"/>
  <c r="R518" i="6" s="1"/>
  <c r="Q503" i="6"/>
  <c r="R503" i="6" s="1"/>
  <c r="Q486" i="6"/>
  <c r="R486" i="6" s="1"/>
  <c r="Q471" i="6"/>
  <c r="R471" i="6" s="1"/>
  <c r="Q454" i="6"/>
  <c r="R454" i="6" s="1"/>
  <c r="Q439" i="6"/>
  <c r="R439" i="6" s="1"/>
  <c r="Q422" i="6"/>
  <c r="R422" i="6" s="1"/>
  <c r="Q632" i="6"/>
  <c r="R632" i="6" s="1"/>
  <c r="Q624" i="6"/>
  <c r="R624" i="6" s="1"/>
  <c r="Q569" i="6"/>
  <c r="R569" i="6" s="1"/>
  <c r="Q553" i="6"/>
  <c r="R553" i="6" s="1"/>
  <c r="S553" i="6" s="1"/>
  <c r="Q542" i="6"/>
  <c r="R542" i="6" s="1"/>
  <c r="Q539" i="6"/>
  <c r="R539" i="6" s="1"/>
  <c r="Q520" i="6"/>
  <c r="R520" i="6" s="1"/>
  <c r="Q505" i="6"/>
  <c r="R505" i="6" s="1"/>
  <c r="Q488" i="6"/>
  <c r="R488" i="6" s="1"/>
  <c r="Q473" i="6"/>
  <c r="R473" i="6" s="1"/>
  <c r="Q456" i="6"/>
  <c r="R456" i="6" s="1"/>
  <c r="Q608" i="6"/>
  <c r="R608" i="6" s="1"/>
  <c r="Q576" i="6"/>
  <c r="R576" i="6" s="1"/>
  <c r="Q559" i="6"/>
  <c r="R559" i="6" s="1"/>
  <c r="Q531" i="6"/>
  <c r="R531" i="6" s="1"/>
  <c r="Q522" i="6"/>
  <c r="R522" i="6" s="1"/>
  <c r="Q507" i="6"/>
  <c r="R507" i="6" s="1"/>
  <c r="Q490" i="6"/>
  <c r="R490" i="6" s="1"/>
  <c r="Q475" i="6"/>
  <c r="R475" i="6" s="1"/>
  <c r="Q458" i="6"/>
  <c r="R458" i="6" s="1"/>
  <c r="Q443" i="6"/>
  <c r="R443" i="6" s="1"/>
  <c r="Q426" i="6"/>
  <c r="R426" i="6" s="1"/>
  <c r="Q411" i="6"/>
  <c r="R411" i="6" s="1"/>
  <c r="Q734" i="6"/>
  <c r="R734" i="6" s="1"/>
  <c r="Q565" i="6"/>
  <c r="R565" i="6" s="1"/>
  <c r="Q536" i="6"/>
  <c r="R536" i="6" s="1"/>
  <c r="Q524" i="6"/>
  <c r="R524" i="6" s="1"/>
  <c r="Q509" i="6"/>
  <c r="R509" i="6" s="1"/>
  <c r="Q492" i="6"/>
  <c r="R492" i="6" s="1"/>
  <c r="Q477" i="6"/>
  <c r="R477" i="6" s="1"/>
  <c r="Q460" i="6"/>
  <c r="R460" i="6" s="1"/>
  <c r="Q445" i="6"/>
  <c r="R445" i="6" s="1"/>
  <c r="Q428" i="6"/>
  <c r="R428" i="6" s="1"/>
  <c r="Q413" i="6"/>
  <c r="R413" i="6" s="1"/>
  <c r="Q396" i="6"/>
  <c r="R396" i="6" s="1"/>
  <c r="Q644" i="6"/>
  <c r="R644" i="6" s="1"/>
  <c r="Q583" i="6"/>
  <c r="R583" i="6" s="1"/>
  <c r="Q533" i="6"/>
  <c r="R533" i="6" s="1"/>
  <c r="Q817" i="6"/>
  <c r="R817" i="6" s="1"/>
  <c r="Q549" i="6"/>
  <c r="R549" i="6" s="1"/>
  <c r="Q590" i="6"/>
  <c r="R590" i="6" s="1"/>
  <c r="Q561" i="6"/>
  <c r="R561" i="6" s="1"/>
  <c r="Q552" i="6"/>
  <c r="R552" i="6" s="1"/>
  <c r="Q517" i="6"/>
  <c r="R517" i="6" s="1"/>
  <c r="Q500" i="6"/>
  <c r="R500" i="6" s="1"/>
  <c r="Q485" i="6"/>
  <c r="R485" i="6" s="1"/>
  <c r="Q468" i="6"/>
  <c r="R468" i="6" s="1"/>
  <c r="Q453" i="6"/>
  <c r="R453" i="6" s="1"/>
  <c r="Q436" i="6"/>
  <c r="R436" i="6" s="1"/>
  <c r="Q421" i="6"/>
  <c r="R421" i="6" s="1"/>
  <c r="Q404" i="6"/>
  <c r="R404" i="6" s="1"/>
  <c r="Q672" i="6"/>
  <c r="R672" i="6" s="1"/>
  <c r="Q610" i="6"/>
  <c r="R610" i="6" s="1"/>
  <c r="Q493" i="6"/>
  <c r="R493" i="6" s="1"/>
  <c r="Q489" i="6"/>
  <c r="R489" i="6" s="1"/>
  <c r="Q444" i="6"/>
  <c r="R444" i="6" s="1"/>
  <c r="Q344" i="6"/>
  <c r="R344" i="6" s="1"/>
  <c r="Q314" i="6"/>
  <c r="R314" i="6" s="1"/>
  <c r="Q719" i="6"/>
  <c r="R719" i="6" s="1"/>
  <c r="S719" i="6" s="1"/>
  <c r="Q472" i="6"/>
  <c r="R472" i="6" s="1"/>
  <c r="Q389" i="6"/>
  <c r="R389" i="6" s="1"/>
  <c r="Q361" i="6"/>
  <c r="R361" i="6" s="1"/>
  <c r="Q316" i="6"/>
  <c r="R316" i="6" s="1"/>
  <c r="Q543" i="6"/>
  <c r="R543" i="6" s="1"/>
  <c r="Q521" i="6"/>
  <c r="R521" i="6" s="1"/>
  <c r="Q476" i="6"/>
  <c r="R476" i="6" s="1"/>
  <c r="Q407" i="6"/>
  <c r="R407" i="6" s="1"/>
  <c r="Q376" i="6"/>
  <c r="R376" i="6" s="1"/>
  <c r="Q364" i="6"/>
  <c r="R364" i="6" s="1"/>
  <c r="Q352" i="6"/>
  <c r="R352" i="6" s="1"/>
  <c r="Q330" i="6"/>
  <c r="R330" i="6" s="1"/>
  <c r="Q325" i="6"/>
  <c r="R325" i="6" s="1"/>
  <c r="Q305" i="6"/>
  <c r="R305" i="6" s="1"/>
  <c r="Q525" i="6"/>
  <c r="R525" i="6" s="1"/>
  <c r="Q349" i="6"/>
  <c r="R349" i="6" s="1"/>
  <c r="Q504" i="6"/>
  <c r="R504" i="6" s="1"/>
  <c r="Q346" i="6"/>
  <c r="R346" i="6" s="1"/>
  <c r="Q327" i="6"/>
  <c r="R327" i="6" s="1"/>
  <c r="Q508" i="6"/>
  <c r="R508" i="6" s="1"/>
  <c r="Q340" i="6"/>
  <c r="R340" i="6" s="1"/>
  <c r="Q332" i="6"/>
  <c r="R332" i="6" s="1"/>
  <c r="Q313" i="6"/>
  <c r="R313" i="6" s="1"/>
  <c r="Q676" i="6"/>
  <c r="R676" i="6" s="1"/>
  <c r="Q372" i="6"/>
  <c r="R372" i="6" s="1"/>
  <c r="Q369" i="6"/>
  <c r="R369" i="6" s="1"/>
  <c r="Q429" i="6"/>
  <c r="R429" i="6" s="1"/>
  <c r="Q425" i="6"/>
  <c r="R425" i="6" s="1"/>
  <c r="Q394" i="6"/>
  <c r="R394" i="6" s="1"/>
  <c r="Q375" i="6"/>
  <c r="R375" i="6" s="1"/>
  <c r="Q360" i="6"/>
  <c r="R360" i="6" s="1"/>
  <c r="Q357" i="6"/>
  <c r="R357" i="6" s="1"/>
  <c r="Q348" i="6"/>
  <c r="R348" i="6" s="1"/>
  <c r="Q337" i="6"/>
  <c r="R337" i="6" s="1"/>
  <c r="Q384" i="6"/>
  <c r="R384" i="6" s="1"/>
  <c r="Q381" i="6"/>
  <c r="R381" i="6" s="1"/>
  <c r="Q317" i="6"/>
  <c r="R317" i="6" s="1"/>
  <c r="Q397" i="6"/>
  <c r="R397" i="6" s="1"/>
  <c r="Q365" i="6"/>
  <c r="R365" i="6" s="1"/>
  <c r="Q380" i="6"/>
  <c r="R380" i="6" s="1"/>
  <c r="Q339" i="6"/>
  <c r="R339" i="6" s="1"/>
  <c r="Q440" i="6"/>
  <c r="R440" i="6" s="1"/>
  <c r="Q265" i="6"/>
  <c r="R265" i="6" s="1"/>
  <c r="Q233" i="6"/>
  <c r="R233" i="6" s="1"/>
  <c r="Q201" i="6"/>
  <c r="R201" i="6" s="1"/>
  <c r="Q169" i="6"/>
  <c r="R169" i="6" s="1"/>
  <c r="Q137" i="6"/>
  <c r="R137" i="6" s="1"/>
  <c r="Q105" i="6"/>
  <c r="R105" i="6" s="1"/>
  <c r="Q408" i="6"/>
  <c r="R408" i="6" s="1"/>
  <c r="Q291" i="6"/>
  <c r="R291" i="6" s="1"/>
  <c r="Q283" i="6"/>
  <c r="R283" i="6" s="1"/>
  <c r="Q275" i="6"/>
  <c r="R275" i="6" s="1"/>
  <c r="Q245" i="6"/>
  <c r="R245" i="6" s="1"/>
  <c r="Q213" i="6"/>
  <c r="R213" i="6" s="1"/>
  <c r="Q181" i="6"/>
  <c r="R181" i="6" s="1"/>
  <c r="Q149" i="6"/>
  <c r="R149" i="6" s="1"/>
  <c r="Q412" i="6"/>
  <c r="R412" i="6" s="1"/>
  <c r="Q390" i="6"/>
  <c r="R390" i="6" s="1"/>
  <c r="Q308" i="6"/>
  <c r="R308" i="6" s="1"/>
  <c r="Q299" i="6"/>
  <c r="R299" i="6" s="1"/>
  <c r="Q296" i="6"/>
  <c r="R296" i="6" s="1"/>
  <c r="Q457" i="6"/>
  <c r="R457" i="6" s="1"/>
  <c r="Q328" i="6"/>
  <c r="R328" i="6" s="1"/>
  <c r="Q321" i="6"/>
  <c r="R321" i="6" s="1"/>
  <c r="Q293" i="6"/>
  <c r="R293" i="6" s="1"/>
  <c r="Q257" i="6"/>
  <c r="R257" i="6" s="1"/>
  <c r="Q225" i="6"/>
  <c r="R225" i="6" s="1"/>
  <c r="Q193" i="6"/>
  <c r="R193" i="6" s="1"/>
  <c r="Q161" i="6"/>
  <c r="R161" i="6" s="1"/>
  <c r="Q129" i="6"/>
  <c r="R129" i="6" s="1"/>
  <c r="Q461" i="6"/>
  <c r="R461" i="6" s="1"/>
  <c r="Q393" i="6"/>
  <c r="R393" i="6" s="1"/>
  <c r="Q304" i="6"/>
  <c r="R304" i="6" s="1"/>
  <c r="Q331" i="6"/>
  <c r="R331" i="6" s="1"/>
  <c r="Q249" i="6"/>
  <c r="R249" i="6" s="1"/>
  <c r="Q287" i="6"/>
  <c r="R287" i="6" s="1"/>
  <c r="Q279" i="6"/>
  <c r="R279" i="6" s="1"/>
  <c r="Q271" i="6"/>
  <c r="R271" i="6" s="1"/>
  <c r="Q261" i="6"/>
  <c r="R261" i="6" s="1"/>
  <c r="Q229" i="6"/>
  <c r="R229" i="6" s="1"/>
  <c r="Q347" i="6"/>
  <c r="R347" i="6" s="1"/>
  <c r="Q292" i="6"/>
  <c r="R292" i="6" s="1"/>
  <c r="Q251" i="6"/>
  <c r="R251" i="6" s="1"/>
  <c r="Q219" i="6"/>
  <c r="R219" i="6" s="1"/>
  <c r="Q187" i="6"/>
  <c r="R187" i="6" s="1"/>
  <c r="Q155" i="6"/>
  <c r="R155" i="6" s="1"/>
  <c r="Q123" i="6"/>
  <c r="R123" i="6" s="1"/>
  <c r="S123" i="6" s="1"/>
  <c r="Q326" i="6"/>
  <c r="R326" i="6" s="1"/>
  <c r="Q300" i="6"/>
  <c r="R300" i="6" s="1"/>
  <c r="Q322" i="6"/>
  <c r="R322" i="6" s="1"/>
  <c r="Q312" i="6"/>
  <c r="R312" i="6" s="1"/>
  <c r="Q309" i="6"/>
  <c r="R309" i="6" s="1"/>
  <c r="N18" i="6"/>
  <c r="O18" i="6" s="1"/>
  <c r="N26" i="6"/>
  <c r="O26" i="6" s="1"/>
  <c r="N34" i="6"/>
  <c r="O34" i="6" s="1"/>
  <c r="Q46" i="6"/>
  <c r="R46" i="6" s="1"/>
  <c r="N69" i="6"/>
  <c r="O69" i="6" s="1"/>
  <c r="N82" i="6"/>
  <c r="O82" i="6" s="1"/>
  <c r="Q85" i="6"/>
  <c r="R85" i="6" s="1"/>
  <c r="Q88" i="6"/>
  <c r="R88" i="6" s="1"/>
  <c r="N95" i="6"/>
  <c r="O95" i="6" s="1"/>
  <c r="N110" i="6"/>
  <c r="O110" i="6" s="1"/>
  <c r="N132" i="6"/>
  <c r="O132" i="6" s="1"/>
  <c r="N232" i="6"/>
  <c r="O232" i="6" s="1"/>
  <c r="Q236" i="6"/>
  <c r="R236" i="6" s="1"/>
  <c r="N245" i="6"/>
  <c r="O245" i="6" s="1"/>
  <c r="N258" i="6"/>
  <c r="O258" i="6" s="1"/>
  <c r="N369" i="6"/>
  <c r="O369" i="6" s="1"/>
  <c r="Q152" i="6"/>
  <c r="R152" i="6" s="1"/>
  <c r="N156" i="6"/>
  <c r="O156" i="6" s="1"/>
  <c r="N172" i="6"/>
  <c r="O172" i="6" s="1"/>
  <c r="Q184" i="6"/>
  <c r="R184" i="6" s="1"/>
  <c r="N188" i="6"/>
  <c r="O188" i="6" s="1"/>
  <c r="N204" i="6"/>
  <c r="O204" i="6" s="1"/>
  <c r="Q216" i="6"/>
  <c r="R216" i="6" s="1"/>
  <c r="N220" i="6"/>
  <c r="O220" i="6" s="1"/>
  <c r="N271" i="6"/>
  <c r="O271" i="6" s="1"/>
  <c r="N284" i="6"/>
  <c r="O284" i="6" s="1"/>
  <c r="N181" i="6"/>
  <c r="O181" i="6" s="1"/>
  <c r="N250" i="6"/>
  <c r="O250" i="6" s="1"/>
  <c r="Q3" i="6"/>
  <c r="R3" i="6" s="1"/>
  <c r="Q23" i="6"/>
  <c r="R23" i="6" s="1"/>
  <c r="Q31" i="6"/>
  <c r="R31" i="6" s="1"/>
  <c r="N40" i="6"/>
  <c r="O40" i="6" s="1"/>
  <c r="N53" i="6"/>
  <c r="O53" i="6" s="1"/>
  <c r="N59" i="6"/>
  <c r="O59" i="6" s="1"/>
  <c r="N62" i="6"/>
  <c r="O62" i="6" s="1"/>
  <c r="N65" i="6"/>
  <c r="O65" i="6" s="1"/>
  <c r="N72" i="6"/>
  <c r="O72" i="6" s="1"/>
  <c r="Q75" i="6"/>
  <c r="R75" i="6" s="1"/>
  <c r="N79" i="6"/>
  <c r="O79" i="6" s="1"/>
  <c r="Q95" i="6"/>
  <c r="R95" i="6" s="1"/>
  <c r="N114" i="6"/>
  <c r="O114" i="6" s="1"/>
  <c r="N140" i="6"/>
  <c r="O140" i="6" s="1"/>
  <c r="Q40" i="6"/>
  <c r="R40" i="6" s="1"/>
  <c r="Q43" i="6"/>
  <c r="R43" i="6" s="1"/>
  <c r="Q62" i="6"/>
  <c r="R62" i="6" s="1"/>
  <c r="Q69" i="6"/>
  <c r="R69" i="6" s="1"/>
  <c r="Q72" i="6"/>
  <c r="R72" i="6" s="1"/>
  <c r="Q99" i="6"/>
  <c r="R99" i="6" s="1"/>
  <c r="Q106" i="6"/>
  <c r="R106" i="6" s="1"/>
  <c r="N129" i="6"/>
  <c r="O129" i="6" s="1"/>
  <c r="N136" i="6"/>
  <c r="O136" i="6" s="1"/>
  <c r="Q140" i="6"/>
  <c r="R140" i="6" s="1"/>
  <c r="N168" i="6"/>
  <c r="O168" i="6" s="1"/>
  <c r="Q172" i="6"/>
  <c r="R172" i="6" s="1"/>
  <c r="N200" i="6"/>
  <c r="O200" i="6" s="1"/>
  <c r="Q204" i="6"/>
  <c r="R204" i="6" s="1"/>
  <c r="N237" i="6"/>
  <c r="O237" i="6" s="1"/>
  <c r="N241" i="6"/>
  <c r="O241" i="6" s="1"/>
  <c r="N297" i="6"/>
  <c r="O297" i="6" s="1"/>
  <c r="Q76" i="6"/>
  <c r="R76" i="6" s="1"/>
  <c r="Q98" i="6"/>
  <c r="R98" i="6" s="1"/>
  <c r="Q130" i="6"/>
  <c r="R130" i="6" s="1"/>
  <c r="Q162" i="6"/>
  <c r="R162" i="6" s="1"/>
  <c r="Q194" i="6"/>
  <c r="R194" i="6" s="1"/>
  <c r="Q226" i="6"/>
  <c r="R226" i="6" s="1"/>
  <c r="Q258" i="6"/>
  <c r="R258" i="6" s="1"/>
  <c r="Q342" i="6"/>
  <c r="R342" i="6" s="1"/>
  <c r="N441" i="6"/>
  <c r="O441" i="6" s="1"/>
  <c r="Q58" i="6"/>
  <c r="R58" i="6" s="1"/>
  <c r="Q74" i="6"/>
  <c r="R74" i="6" s="1"/>
  <c r="Q86" i="6"/>
  <c r="R86" i="6" s="1"/>
  <c r="Q118" i="6"/>
  <c r="R118" i="6" s="1"/>
  <c r="Q150" i="6"/>
  <c r="R150" i="6" s="1"/>
  <c r="Q182" i="6"/>
  <c r="R182" i="6" s="1"/>
  <c r="Q214" i="6"/>
  <c r="R214" i="6" s="1"/>
  <c r="Q246" i="6"/>
  <c r="R246" i="6" s="1"/>
  <c r="Q276" i="6"/>
  <c r="R276" i="6" s="1"/>
  <c r="Q284" i="6"/>
  <c r="R284" i="6" s="1"/>
  <c r="N295" i="6"/>
  <c r="O295" i="6" s="1"/>
  <c r="Q319" i="6"/>
  <c r="R319" i="6" s="1"/>
  <c r="Q383" i="6"/>
  <c r="R383" i="6" s="1"/>
  <c r="Q482" i="6"/>
  <c r="R482" i="6" s="1"/>
  <c r="Q128" i="6"/>
  <c r="R128" i="6" s="1"/>
  <c r="Q160" i="6"/>
  <c r="R160" i="6" s="1"/>
  <c r="Q192" i="6"/>
  <c r="R192" i="6" s="1"/>
  <c r="Q224" i="6"/>
  <c r="R224" i="6" s="1"/>
  <c r="S224" i="6" s="1"/>
  <c r="Q256" i="6"/>
  <c r="R256" i="6" s="1"/>
  <c r="N298" i="6"/>
  <c r="O298" i="6" s="1"/>
  <c r="N313" i="6"/>
  <c r="O313" i="6" s="1"/>
  <c r="N323" i="6"/>
  <c r="O323" i="6" s="1"/>
  <c r="Q343" i="6"/>
  <c r="R343" i="6" s="1"/>
  <c r="Q510" i="6"/>
  <c r="R510" i="6" s="1"/>
  <c r="Q234" i="6"/>
  <c r="R234" i="6" s="1"/>
  <c r="Q266" i="6"/>
  <c r="R266" i="6" s="1"/>
  <c r="Q295" i="6"/>
  <c r="R295" i="6" s="1"/>
  <c r="Q298" i="6"/>
  <c r="R298" i="6" s="1"/>
  <c r="N301" i="6"/>
  <c r="O301" i="6" s="1"/>
  <c r="Q310" i="6"/>
  <c r="R310" i="6" s="1"/>
  <c r="Q323" i="6"/>
  <c r="R323" i="6" s="1"/>
  <c r="N339" i="6"/>
  <c r="O339" i="6" s="1"/>
  <c r="Q379" i="6"/>
  <c r="R379" i="6" s="1"/>
  <c r="N397" i="6"/>
  <c r="O397" i="6" s="1"/>
  <c r="Q84" i="6"/>
  <c r="R84" i="6" s="1"/>
  <c r="Q116" i="6"/>
  <c r="R116" i="6" s="1"/>
  <c r="Q148" i="6"/>
  <c r="R148" i="6" s="1"/>
  <c r="Q180" i="6"/>
  <c r="R180" i="6" s="1"/>
  <c r="Q212" i="6"/>
  <c r="R212" i="6" s="1"/>
  <c r="Q244" i="6"/>
  <c r="R244" i="6" s="1"/>
  <c r="Q301" i="6"/>
  <c r="R301" i="6" s="1"/>
  <c r="N320" i="6"/>
  <c r="O320" i="6" s="1"/>
  <c r="Q506" i="6"/>
  <c r="R506" i="6" s="1"/>
  <c r="Q254" i="6"/>
  <c r="R254" i="6" s="1"/>
  <c r="Q274" i="6"/>
  <c r="R274" i="6" s="1"/>
  <c r="Q282" i="6"/>
  <c r="R282" i="6" s="1"/>
  <c r="Q290" i="6"/>
  <c r="R290" i="6" s="1"/>
  <c r="Q307" i="6"/>
  <c r="R307" i="6" s="1"/>
  <c r="Q320" i="6"/>
  <c r="R320" i="6" s="1"/>
  <c r="Q362" i="6"/>
  <c r="R362" i="6" s="1"/>
  <c r="N371" i="6"/>
  <c r="O371" i="6" s="1"/>
  <c r="Q104" i="6"/>
  <c r="R104" i="6" s="1"/>
  <c r="Q136" i="6"/>
  <c r="R136" i="6" s="1"/>
  <c r="Q168" i="6"/>
  <c r="R168" i="6" s="1"/>
  <c r="Q200" i="6"/>
  <c r="R200" i="6" s="1"/>
  <c r="Q232" i="6"/>
  <c r="R232" i="6" s="1"/>
  <c r="S232" i="6" s="1"/>
  <c r="Q264" i="6"/>
  <c r="R264" i="6" s="1"/>
  <c r="N324" i="6"/>
  <c r="O324" i="6" s="1"/>
  <c r="N461" i="6"/>
  <c r="O461" i="6" s="1"/>
  <c r="N502" i="6"/>
  <c r="O502" i="6" s="1"/>
  <c r="Q82" i="6"/>
  <c r="R82" i="6" s="1"/>
  <c r="Q114" i="6"/>
  <c r="R114" i="6" s="1"/>
  <c r="Q146" i="6"/>
  <c r="R146" i="6" s="1"/>
  <c r="Q178" i="6"/>
  <c r="R178" i="6" s="1"/>
  <c r="Q210" i="6"/>
  <c r="R210" i="6" s="1"/>
  <c r="Q242" i="6"/>
  <c r="R242" i="6" s="1"/>
  <c r="N302" i="6"/>
  <c r="O302" i="6" s="1"/>
  <c r="Q358" i="6"/>
  <c r="R358" i="6" s="1"/>
  <c r="N416" i="6"/>
  <c r="O416" i="6" s="1"/>
  <c r="Q420" i="6"/>
  <c r="R420" i="6" s="1"/>
  <c r="Q558" i="6"/>
  <c r="R558" i="6" s="1"/>
  <c r="Q92" i="6"/>
  <c r="R92" i="6" s="1"/>
  <c r="Q124" i="6"/>
  <c r="R124" i="6" s="1"/>
  <c r="Q156" i="6"/>
  <c r="R156" i="6" s="1"/>
  <c r="Q188" i="6"/>
  <c r="R188" i="6" s="1"/>
  <c r="Q220" i="6"/>
  <c r="R220" i="6" s="1"/>
  <c r="Q252" i="6"/>
  <c r="R252" i="6" s="1"/>
  <c r="N305" i="6"/>
  <c r="O305" i="6" s="1"/>
  <c r="Q324" i="6"/>
  <c r="R324" i="6" s="1"/>
  <c r="Q336" i="6"/>
  <c r="R336" i="6" s="1"/>
  <c r="Q544" i="6"/>
  <c r="R544" i="6" s="1"/>
  <c r="Q134" i="6"/>
  <c r="R134" i="6" s="1"/>
  <c r="Q166" i="6"/>
  <c r="R166" i="6" s="1"/>
  <c r="Q198" i="6"/>
  <c r="R198" i="6" s="1"/>
  <c r="Q230" i="6"/>
  <c r="R230" i="6" s="1"/>
  <c r="Q262" i="6"/>
  <c r="R262" i="6" s="1"/>
  <c r="Q272" i="6"/>
  <c r="R272" i="6" s="1"/>
  <c r="Q280" i="6"/>
  <c r="R280" i="6" s="1"/>
  <c r="Q288" i="6"/>
  <c r="R288" i="6" s="1"/>
  <c r="Q302" i="6"/>
  <c r="R302" i="6" s="1"/>
  <c r="Q311" i="6"/>
  <c r="R311" i="6" s="1"/>
  <c r="Q345" i="6"/>
  <c r="R345" i="6" s="1"/>
  <c r="N453" i="6"/>
  <c r="O453" i="6" s="1"/>
  <c r="Q498" i="6"/>
  <c r="R498" i="6" s="1"/>
  <c r="Q535" i="6"/>
  <c r="R535" i="6" s="1"/>
  <c r="Q80" i="6"/>
  <c r="R80" i="6" s="1"/>
  <c r="S80" i="6" s="1"/>
  <c r="Q112" i="6"/>
  <c r="R112" i="6" s="1"/>
  <c r="Q144" i="6"/>
  <c r="R144" i="6" s="1"/>
  <c r="Q176" i="6"/>
  <c r="R176" i="6" s="1"/>
  <c r="Q208" i="6"/>
  <c r="R208" i="6" s="1"/>
  <c r="Q240" i="6"/>
  <c r="R240" i="6" s="1"/>
  <c r="N449" i="6"/>
  <c r="O449" i="6" s="1"/>
  <c r="Q494" i="6"/>
  <c r="R494" i="6" s="1"/>
  <c r="Q154" i="6"/>
  <c r="R154" i="6" s="1"/>
  <c r="Q186" i="6"/>
  <c r="R186" i="6" s="1"/>
  <c r="Q218" i="6"/>
  <c r="R218" i="6" s="1"/>
  <c r="Q250" i="6"/>
  <c r="R250" i="6" s="1"/>
  <c r="N325" i="6"/>
  <c r="O325" i="6" s="1"/>
  <c r="N337" i="6"/>
  <c r="O337" i="6" s="1"/>
  <c r="N341" i="6"/>
  <c r="O341" i="6" s="1"/>
  <c r="Q350" i="6"/>
  <c r="R350" i="6" s="1"/>
  <c r="Q359" i="6"/>
  <c r="R359" i="6" s="1"/>
  <c r="Q377" i="6"/>
  <c r="R377" i="6" s="1"/>
  <c r="Q100" i="6"/>
  <c r="R100" i="6" s="1"/>
  <c r="Q132" i="6"/>
  <c r="R132" i="6" s="1"/>
  <c r="Q164" i="6"/>
  <c r="R164" i="6" s="1"/>
  <c r="Q196" i="6"/>
  <c r="R196" i="6" s="1"/>
  <c r="S196" i="6" s="1"/>
  <c r="Q228" i="6"/>
  <c r="R228" i="6" s="1"/>
  <c r="Q260" i="6"/>
  <c r="R260" i="6" s="1"/>
  <c r="N294" i="6"/>
  <c r="O294" i="6" s="1"/>
  <c r="N322" i="6"/>
  <c r="O322" i="6" s="1"/>
  <c r="Q527" i="6"/>
  <c r="R527" i="6" s="1"/>
  <c r="Q110" i="6"/>
  <c r="R110" i="6" s="1"/>
  <c r="Q142" i="6"/>
  <c r="R142" i="6" s="1"/>
  <c r="Q174" i="6"/>
  <c r="R174" i="6" s="1"/>
  <c r="Q206" i="6"/>
  <c r="R206" i="6" s="1"/>
  <c r="Q238" i="6"/>
  <c r="R238" i="6" s="1"/>
  <c r="Q270" i="6"/>
  <c r="R270" i="6" s="1"/>
  <c r="S270" i="6" s="1"/>
  <c r="Q278" i="6"/>
  <c r="R278" i="6" s="1"/>
  <c r="Q286" i="6"/>
  <c r="R286" i="6" s="1"/>
  <c r="Q294" i="6"/>
  <c r="R294" i="6" s="1"/>
  <c r="N309" i="6"/>
  <c r="O309" i="6" s="1"/>
  <c r="Q329" i="6"/>
  <c r="R329" i="6" s="1"/>
  <c r="N304" i="6"/>
  <c r="O304" i="6" s="1"/>
  <c r="N345" i="6"/>
  <c r="O345" i="6" s="1"/>
  <c r="Q353" i="6"/>
  <c r="R353" i="6" s="1"/>
  <c r="Q356" i="6"/>
  <c r="R356" i="6" s="1"/>
  <c r="Q368" i="6"/>
  <c r="R368" i="6" s="1"/>
  <c r="Q424" i="6"/>
  <c r="R424" i="6" s="1"/>
  <c r="Q432" i="6"/>
  <c r="R432" i="6" s="1"/>
  <c r="N445" i="6"/>
  <c r="O445" i="6" s="1"/>
  <c r="Q449" i="6"/>
  <c r="R449" i="6" s="1"/>
  <c r="Q469" i="6"/>
  <c r="R469" i="6" s="1"/>
  <c r="N498" i="6"/>
  <c r="O498" i="6" s="1"/>
  <c r="Q502" i="6"/>
  <c r="R502" i="6" s="1"/>
  <c r="N527" i="6"/>
  <c r="O527" i="6" s="1"/>
  <c r="N531" i="6"/>
  <c r="O531" i="6" s="1"/>
  <c r="Q540" i="6"/>
  <c r="R540" i="6" s="1"/>
  <c r="N567" i="6"/>
  <c r="O567" i="6" s="1"/>
  <c r="N357" i="6"/>
  <c r="O357" i="6" s="1"/>
  <c r="N381" i="6"/>
  <c r="O381" i="6" s="1"/>
  <c r="N384" i="6"/>
  <c r="O384" i="6" s="1"/>
  <c r="N417" i="6"/>
  <c r="O417" i="6" s="1"/>
  <c r="N425" i="6"/>
  <c r="O425" i="6" s="1"/>
  <c r="Q441" i="6"/>
  <c r="R441" i="6" s="1"/>
  <c r="N470" i="6"/>
  <c r="O470" i="6" s="1"/>
  <c r="Q474" i="6"/>
  <c r="R474" i="6" s="1"/>
  <c r="Q478" i="6"/>
  <c r="R478" i="6" s="1"/>
  <c r="N541" i="6"/>
  <c r="O541" i="6" s="1"/>
  <c r="N329" i="6"/>
  <c r="O329" i="6" s="1"/>
  <c r="Q334" i="6"/>
  <c r="R334" i="6" s="1"/>
  <c r="N354" i="6"/>
  <c r="O354" i="6" s="1"/>
  <c r="N378" i="6"/>
  <c r="O378" i="6" s="1"/>
  <c r="Q387" i="6"/>
  <c r="R387" i="6" s="1"/>
  <c r="N409" i="6"/>
  <c r="O409" i="6" s="1"/>
  <c r="N413" i="6"/>
  <c r="O413" i="6" s="1"/>
  <c r="Q417" i="6"/>
  <c r="R417" i="6" s="1"/>
  <c r="N421" i="6"/>
  <c r="O421" i="6" s="1"/>
  <c r="N429" i="6"/>
  <c r="O429" i="6" s="1"/>
  <c r="Q437" i="6"/>
  <c r="R437" i="6" s="1"/>
  <c r="N466" i="6"/>
  <c r="O466" i="6" s="1"/>
  <c r="Q470" i="6"/>
  <c r="R470" i="6" s="1"/>
  <c r="N507" i="6"/>
  <c r="O507" i="6" s="1"/>
  <c r="Q515" i="6"/>
  <c r="R515" i="6" s="1"/>
  <c r="Q519" i="6"/>
  <c r="R519" i="6" s="1"/>
  <c r="Q563" i="6"/>
  <c r="R563" i="6" s="1"/>
  <c r="N590" i="6"/>
  <c r="O590" i="6" s="1"/>
  <c r="Q830" i="6"/>
  <c r="R830" i="6" s="1"/>
  <c r="N296" i="6"/>
  <c r="O296" i="6" s="1"/>
  <c r="N340" i="6"/>
  <c r="O340" i="6" s="1"/>
  <c r="N366" i="6"/>
  <c r="O366" i="6" s="1"/>
  <c r="Q378" i="6"/>
  <c r="R378" i="6" s="1"/>
  <c r="Q405" i="6"/>
  <c r="R405" i="6" s="1"/>
  <c r="Q409" i="6"/>
  <c r="R409" i="6" s="1"/>
  <c r="Q450" i="6"/>
  <c r="R450" i="6" s="1"/>
  <c r="Q462" i="6"/>
  <c r="R462" i="6" s="1"/>
  <c r="Q466" i="6"/>
  <c r="R466" i="6" s="1"/>
  <c r="Q491" i="6"/>
  <c r="R491" i="6" s="1"/>
  <c r="N495" i="6"/>
  <c r="O495" i="6" s="1"/>
  <c r="Q511" i="6"/>
  <c r="R511" i="6" s="1"/>
  <c r="N537" i="6"/>
  <c r="O537" i="6" s="1"/>
  <c r="Q351" i="6"/>
  <c r="R351" i="6" s="1"/>
  <c r="Q363" i="6"/>
  <c r="R363" i="6" s="1"/>
  <c r="Q366" i="6"/>
  <c r="R366" i="6" s="1"/>
  <c r="N398" i="6"/>
  <c r="O398" i="6" s="1"/>
  <c r="N438" i="6"/>
  <c r="O438" i="6" s="1"/>
  <c r="Q442" i="6"/>
  <c r="R442" i="6" s="1"/>
  <c r="Q446" i="6"/>
  <c r="R446" i="6" s="1"/>
  <c r="Q495" i="6"/>
  <c r="R495" i="6" s="1"/>
  <c r="Q499" i="6"/>
  <c r="R499" i="6" s="1"/>
  <c r="Q537" i="6"/>
  <c r="R537" i="6" s="1"/>
  <c r="Q595" i="6"/>
  <c r="R595" i="6" s="1"/>
  <c r="N292" i="6"/>
  <c r="O292" i="6" s="1"/>
  <c r="N385" i="6"/>
  <c r="O385" i="6" s="1"/>
  <c r="N388" i="6"/>
  <c r="O388" i="6" s="1"/>
  <c r="Q391" i="6"/>
  <c r="R391" i="6" s="1"/>
  <c r="Q398" i="6"/>
  <c r="R398" i="6" s="1"/>
  <c r="N402" i="6"/>
  <c r="O402" i="6" s="1"/>
  <c r="N406" i="6"/>
  <c r="O406" i="6" s="1"/>
  <c r="N434" i="6"/>
  <c r="O434" i="6" s="1"/>
  <c r="Q438" i="6"/>
  <c r="R438" i="6" s="1"/>
  <c r="N475" i="6"/>
  <c r="O475" i="6" s="1"/>
  <c r="Q483" i="6"/>
  <c r="R483" i="6" s="1"/>
  <c r="Q487" i="6"/>
  <c r="R487" i="6" s="1"/>
  <c r="S487" i="6" s="1"/>
  <c r="Q528" i="6"/>
  <c r="R528" i="6" s="1"/>
  <c r="N335" i="6"/>
  <c r="O335" i="6" s="1"/>
  <c r="N346" i="6"/>
  <c r="O346" i="6" s="1"/>
  <c r="N358" i="6"/>
  <c r="O358" i="6" s="1"/>
  <c r="Q388" i="6"/>
  <c r="R388" i="6" s="1"/>
  <c r="Q402" i="6"/>
  <c r="R402" i="6" s="1"/>
  <c r="Q406" i="6"/>
  <c r="R406" i="6" s="1"/>
  <c r="Q434" i="6"/>
  <c r="R434" i="6" s="1"/>
  <c r="Q459" i="6"/>
  <c r="R459" i="6" s="1"/>
  <c r="N463" i="6"/>
  <c r="O463" i="6" s="1"/>
  <c r="Q479" i="6"/>
  <c r="R479" i="6" s="1"/>
  <c r="Q516" i="6"/>
  <c r="R516" i="6" s="1"/>
  <c r="N538" i="6"/>
  <c r="O538" i="6" s="1"/>
  <c r="Q546" i="6"/>
  <c r="R546" i="6" s="1"/>
  <c r="N318" i="6"/>
  <c r="O318" i="6" s="1"/>
  <c r="N338" i="6"/>
  <c r="O338" i="6" s="1"/>
  <c r="N349" i="6"/>
  <c r="O349" i="6" s="1"/>
  <c r="N370" i="6"/>
  <c r="O370" i="6" s="1"/>
  <c r="N379" i="6"/>
  <c r="O379" i="6" s="1"/>
  <c r="Q385" i="6"/>
  <c r="R385" i="6" s="1"/>
  <c r="Q395" i="6"/>
  <c r="R395" i="6" s="1"/>
  <c r="N399" i="6"/>
  <c r="O399" i="6" s="1"/>
  <c r="Q410" i="6"/>
  <c r="R410" i="6" s="1"/>
  <c r="Q414" i="6"/>
  <c r="R414" i="6" s="1"/>
  <c r="Q418" i="6"/>
  <c r="R418" i="6" s="1"/>
  <c r="Q430" i="6"/>
  <c r="R430" i="6" s="1"/>
  <c r="Q463" i="6"/>
  <c r="R463" i="6" s="1"/>
  <c r="Q467" i="6"/>
  <c r="R467" i="6" s="1"/>
  <c r="N521" i="6"/>
  <c r="O521" i="6" s="1"/>
  <c r="N525" i="6"/>
  <c r="O525" i="6" s="1"/>
  <c r="Q335" i="6"/>
  <c r="R335" i="6" s="1"/>
  <c r="Q338" i="6"/>
  <c r="R338" i="6" s="1"/>
  <c r="N352" i="6"/>
  <c r="O352" i="6" s="1"/>
  <c r="N361" i="6"/>
  <c r="O361" i="6" s="1"/>
  <c r="N367" i="6"/>
  <c r="O367" i="6" s="1"/>
  <c r="Q370" i="6"/>
  <c r="R370" i="6" s="1"/>
  <c r="Q382" i="6"/>
  <c r="R382" i="6" s="1"/>
  <c r="N389" i="6"/>
  <c r="O389" i="6" s="1"/>
  <c r="Q399" i="6"/>
  <c r="R399" i="6" s="1"/>
  <c r="N443" i="6"/>
  <c r="O443" i="6" s="1"/>
  <c r="Q451" i="6"/>
  <c r="R451" i="6" s="1"/>
  <c r="Q455" i="6"/>
  <c r="R455" i="6" s="1"/>
  <c r="N517" i="6"/>
  <c r="O517" i="6" s="1"/>
  <c r="N552" i="6"/>
  <c r="O552" i="6" s="1"/>
  <c r="Q318" i="6"/>
  <c r="R318" i="6" s="1"/>
  <c r="Q367" i="6"/>
  <c r="R367" i="6" s="1"/>
  <c r="N403" i="6"/>
  <c r="O403" i="6" s="1"/>
  <c r="N431" i="6"/>
  <c r="O431" i="6" s="1"/>
  <c r="N435" i="6"/>
  <c r="O435" i="6" s="1"/>
  <c r="Q447" i="6"/>
  <c r="R447" i="6" s="1"/>
  <c r="Q484" i="6"/>
  <c r="R484" i="6" s="1"/>
  <c r="Q496" i="6"/>
  <c r="R496" i="6" s="1"/>
  <c r="N509" i="6"/>
  <c r="O509" i="6" s="1"/>
  <c r="N513" i="6"/>
  <c r="O513" i="6" s="1"/>
  <c r="Q805" i="6"/>
  <c r="R805" i="6" s="1"/>
  <c r="N314" i="6"/>
  <c r="O314" i="6" s="1"/>
  <c r="Q355" i="6"/>
  <c r="R355" i="6" s="1"/>
  <c r="Q373" i="6"/>
  <c r="R373" i="6" s="1"/>
  <c r="Q392" i="6"/>
  <c r="R392" i="6" s="1"/>
  <c r="Q427" i="6"/>
  <c r="R427" i="6" s="1"/>
  <c r="Q431" i="6"/>
  <c r="R431" i="6" s="1"/>
  <c r="Q435" i="6"/>
  <c r="R435" i="6" s="1"/>
  <c r="N489" i="6"/>
  <c r="O489" i="6" s="1"/>
  <c r="N505" i="6"/>
  <c r="O505" i="6" s="1"/>
  <c r="Q513" i="6"/>
  <c r="R513" i="6" s="1"/>
  <c r="N557" i="6"/>
  <c r="O557" i="6" s="1"/>
  <c r="Q574" i="6"/>
  <c r="R574" i="6" s="1"/>
  <c r="N312" i="6"/>
  <c r="O312" i="6" s="1"/>
  <c r="Q341" i="6"/>
  <c r="R341" i="6" s="1"/>
  <c r="Q403" i="6"/>
  <c r="R403" i="6" s="1"/>
  <c r="N411" i="6"/>
  <c r="O411" i="6" s="1"/>
  <c r="N485" i="6"/>
  <c r="O485" i="6" s="1"/>
  <c r="N493" i="6"/>
  <c r="O493" i="6" s="1"/>
  <c r="N310" i="6"/>
  <c r="O310" i="6" s="1"/>
  <c r="N347" i="6"/>
  <c r="O347" i="6" s="1"/>
  <c r="N374" i="6"/>
  <c r="O374" i="6" s="1"/>
  <c r="N377" i="6"/>
  <c r="O377" i="6" s="1"/>
  <c r="Q386" i="6"/>
  <c r="R386" i="6" s="1"/>
  <c r="Q415" i="6"/>
  <c r="R415" i="6" s="1"/>
  <c r="Q419" i="6"/>
  <c r="R419" i="6" s="1"/>
  <c r="Q423" i="6"/>
  <c r="R423" i="6" s="1"/>
  <c r="Q452" i="6"/>
  <c r="R452" i="6" s="1"/>
  <c r="Q464" i="6"/>
  <c r="R464" i="6" s="1"/>
  <c r="N477" i="6"/>
  <c r="O477" i="6" s="1"/>
  <c r="N481" i="6"/>
  <c r="O481" i="6" s="1"/>
  <c r="Q501" i="6"/>
  <c r="R501" i="6" s="1"/>
  <c r="Q526" i="6"/>
  <c r="R526" i="6" s="1"/>
  <c r="N530" i="6"/>
  <c r="O530" i="6" s="1"/>
  <c r="N643" i="6"/>
  <c r="O643" i="6" s="1"/>
  <c r="N308" i="6"/>
  <c r="O308" i="6" s="1"/>
  <c r="N326" i="6"/>
  <c r="O326" i="6" s="1"/>
  <c r="N353" i="6"/>
  <c r="O353" i="6" s="1"/>
  <c r="N356" i="6"/>
  <c r="O356" i="6" s="1"/>
  <c r="Q374" i="6"/>
  <c r="R374" i="6" s="1"/>
  <c r="N390" i="6"/>
  <c r="O390" i="6" s="1"/>
  <c r="N393" i="6"/>
  <c r="O393" i="6" s="1"/>
  <c r="N457" i="6"/>
  <c r="O457" i="6" s="1"/>
  <c r="N473" i="6"/>
  <c r="O473" i="6" s="1"/>
  <c r="Q481" i="6"/>
  <c r="R481" i="6" s="1"/>
  <c r="Q514" i="6"/>
  <c r="R514" i="6" s="1"/>
  <c r="N535" i="6"/>
  <c r="O535" i="6" s="1"/>
  <c r="N372" i="6"/>
  <c r="O372" i="6" s="1"/>
  <c r="N404" i="6"/>
  <c r="O404" i="6" s="1"/>
  <c r="N436" i="6"/>
  <c r="O436" i="6" s="1"/>
  <c r="N468" i="6"/>
  <c r="O468" i="6" s="1"/>
  <c r="N500" i="6"/>
  <c r="O500" i="6" s="1"/>
  <c r="N546" i="6"/>
  <c r="O546" i="6" s="1"/>
  <c r="N561" i="6"/>
  <c r="O561" i="6" s="1"/>
  <c r="Q567" i="6"/>
  <c r="R567" i="6" s="1"/>
  <c r="Q578" i="6"/>
  <c r="R578" i="6" s="1"/>
  <c r="Q638" i="6"/>
  <c r="R638" i="6" s="1"/>
  <c r="Q647" i="6"/>
  <c r="R647" i="6" s="1"/>
  <c r="N336" i="6"/>
  <c r="O336" i="6" s="1"/>
  <c r="N368" i="6"/>
  <c r="O368" i="6" s="1"/>
  <c r="N400" i="6"/>
  <c r="O400" i="6" s="1"/>
  <c r="N432" i="6"/>
  <c r="O432" i="6" s="1"/>
  <c r="N464" i="6"/>
  <c r="O464" i="6" s="1"/>
  <c r="N496" i="6"/>
  <c r="O496" i="6" s="1"/>
  <c r="N528" i="6"/>
  <c r="O528" i="6" s="1"/>
  <c r="Q530" i="6"/>
  <c r="R530" i="6" s="1"/>
  <c r="N575" i="6"/>
  <c r="O575" i="6" s="1"/>
  <c r="Q586" i="6"/>
  <c r="R586" i="6" s="1"/>
  <c r="N611" i="6"/>
  <c r="O611" i="6" s="1"/>
  <c r="Q711" i="6"/>
  <c r="R711" i="6" s="1"/>
  <c r="Q751" i="6"/>
  <c r="R751" i="6" s="1"/>
  <c r="N430" i="6"/>
  <c r="O430" i="6" s="1"/>
  <c r="N462" i="6"/>
  <c r="O462" i="6" s="1"/>
  <c r="N494" i="6"/>
  <c r="O494" i="6" s="1"/>
  <c r="N526" i="6"/>
  <c r="O526" i="6" s="1"/>
  <c r="Q541" i="6"/>
  <c r="R541" i="6" s="1"/>
  <c r="N579" i="6"/>
  <c r="O579" i="6" s="1"/>
  <c r="N627" i="6"/>
  <c r="O627" i="6" s="1"/>
  <c r="N690" i="6"/>
  <c r="O690" i="6" s="1"/>
  <c r="N332" i="6"/>
  <c r="O332" i="6" s="1"/>
  <c r="N364" i="6"/>
  <c r="O364" i="6" s="1"/>
  <c r="N396" i="6"/>
  <c r="O396" i="6" s="1"/>
  <c r="N428" i="6"/>
  <c r="O428" i="6" s="1"/>
  <c r="N460" i="6"/>
  <c r="O460" i="6" s="1"/>
  <c r="N492" i="6"/>
  <c r="O492" i="6" s="1"/>
  <c r="N524" i="6"/>
  <c r="O524" i="6" s="1"/>
  <c r="N568" i="6"/>
  <c r="O568" i="6" s="1"/>
  <c r="Q635" i="6"/>
  <c r="R635" i="6" s="1"/>
  <c r="Q895" i="6"/>
  <c r="R895" i="6" s="1"/>
  <c r="N330" i="6"/>
  <c r="O330" i="6" s="1"/>
  <c r="N362" i="6"/>
  <c r="O362" i="6" s="1"/>
  <c r="N394" i="6"/>
  <c r="O394" i="6" s="1"/>
  <c r="N426" i="6"/>
  <c r="O426" i="6" s="1"/>
  <c r="N458" i="6"/>
  <c r="O458" i="6" s="1"/>
  <c r="N490" i="6"/>
  <c r="O490" i="6" s="1"/>
  <c r="N522" i="6"/>
  <c r="O522" i="6" s="1"/>
  <c r="N536" i="6"/>
  <c r="O536" i="6" s="1"/>
  <c r="N572" i="6"/>
  <c r="O572" i="6" s="1"/>
  <c r="N595" i="6"/>
  <c r="O595" i="6" s="1"/>
  <c r="N734" i="6"/>
  <c r="O734" i="6" s="1"/>
  <c r="Q769" i="6"/>
  <c r="R769" i="6" s="1"/>
  <c r="N328" i="6"/>
  <c r="O328" i="6" s="1"/>
  <c r="N360" i="6"/>
  <c r="O360" i="6" s="1"/>
  <c r="N392" i="6"/>
  <c r="O392" i="6" s="1"/>
  <c r="N424" i="6"/>
  <c r="O424" i="6" s="1"/>
  <c r="N456" i="6"/>
  <c r="O456" i="6" s="1"/>
  <c r="N488" i="6"/>
  <c r="O488" i="6" s="1"/>
  <c r="N520" i="6"/>
  <c r="O520" i="6" s="1"/>
  <c r="N542" i="6"/>
  <c r="O542" i="6" s="1"/>
  <c r="N591" i="6"/>
  <c r="O591" i="6" s="1"/>
  <c r="N608" i="6"/>
  <c r="O608" i="6" s="1"/>
  <c r="Q640" i="6"/>
  <c r="R640" i="6" s="1"/>
  <c r="N649" i="6"/>
  <c r="O649" i="6" s="1"/>
  <c r="N422" i="6"/>
  <c r="O422" i="6" s="1"/>
  <c r="N454" i="6"/>
  <c r="O454" i="6" s="1"/>
  <c r="N486" i="6"/>
  <c r="O486" i="6" s="1"/>
  <c r="N518" i="6"/>
  <c r="O518" i="6" s="1"/>
  <c r="Q547" i="6"/>
  <c r="R547" i="6" s="1"/>
  <c r="N569" i="6"/>
  <c r="O569" i="6" s="1"/>
  <c r="Q572" i="6"/>
  <c r="R572" i="6" s="1"/>
  <c r="Q580" i="6"/>
  <c r="R580" i="6" s="1"/>
  <c r="Q591" i="6"/>
  <c r="R591" i="6" s="1"/>
  <c r="N632" i="6"/>
  <c r="O632" i="6" s="1"/>
  <c r="N420" i="6"/>
  <c r="O420" i="6" s="1"/>
  <c r="N452" i="6"/>
  <c r="O452" i="6" s="1"/>
  <c r="N484" i="6"/>
  <c r="O484" i="6" s="1"/>
  <c r="N516" i="6"/>
  <c r="O516" i="6" s="1"/>
  <c r="Q550" i="6"/>
  <c r="R550" i="6" s="1"/>
  <c r="Q562" i="6"/>
  <c r="R562" i="6" s="1"/>
  <c r="Q687" i="6"/>
  <c r="R687" i="6" s="1"/>
  <c r="N713" i="6"/>
  <c r="O713" i="6" s="1"/>
  <c r="N761" i="6"/>
  <c r="O761" i="6" s="1"/>
  <c r="N386" i="6"/>
  <c r="O386" i="6" s="1"/>
  <c r="N418" i="6"/>
  <c r="O418" i="6" s="1"/>
  <c r="N450" i="6"/>
  <c r="O450" i="6" s="1"/>
  <c r="N482" i="6"/>
  <c r="O482" i="6" s="1"/>
  <c r="N514" i="6"/>
  <c r="O514" i="6" s="1"/>
  <c r="N545" i="6"/>
  <c r="O545" i="6" s="1"/>
  <c r="Q556" i="6"/>
  <c r="R556" i="6" s="1"/>
  <c r="N573" i="6"/>
  <c r="O573" i="6" s="1"/>
  <c r="N641" i="6"/>
  <c r="O641" i="6" s="1"/>
  <c r="N650" i="6"/>
  <c r="O650" i="6" s="1"/>
  <c r="Q761" i="6"/>
  <c r="R761" i="6" s="1"/>
  <c r="N448" i="6"/>
  <c r="O448" i="6" s="1"/>
  <c r="N480" i="6"/>
  <c r="O480" i="6" s="1"/>
  <c r="N512" i="6"/>
  <c r="O512" i="6" s="1"/>
  <c r="Q573" i="6"/>
  <c r="R573" i="6" s="1"/>
  <c r="N350" i="6"/>
  <c r="O350" i="6" s="1"/>
  <c r="N382" i="6"/>
  <c r="O382" i="6" s="1"/>
  <c r="N414" i="6"/>
  <c r="O414" i="6" s="1"/>
  <c r="N446" i="6"/>
  <c r="O446" i="6" s="1"/>
  <c r="N478" i="6"/>
  <c r="O478" i="6" s="1"/>
  <c r="N510" i="6"/>
  <c r="O510" i="6" s="1"/>
  <c r="N532" i="6"/>
  <c r="O532" i="6" s="1"/>
  <c r="Q534" i="6"/>
  <c r="R534" i="6" s="1"/>
  <c r="N554" i="6"/>
  <c r="O554" i="6" s="1"/>
  <c r="Q588" i="6"/>
  <c r="R588" i="6" s="1"/>
  <c r="N617" i="6"/>
  <c r="O617" i="6" s="1"/>
  <c r="Q629" i="6"/>
  <c r="R629" i="6" s="1"/>
  <c r="N348" i="6"/>
  <c r="O348" i="6" s="1"/>
  <c r="N380" i="6"/>
  <c r="O380" i="6" s="1"/>
  <c r="N412" i="6"/>
  <c r="O412" i="6" s="1"/>
  <c r="N444" i="6"/>
  <c r="O444" i="6" s="1"/>
  <c r="N476" i="6"/>
  <c r="O476" i="6" s="1"/>
  <c r="N508" i="6"/>
  <c r="O508" i="6" s="1"/>
  <c r="N551" i="6"/>
  <c r="O551" i="6" s="1"/>
  <c r="Q566" i="6"/>
  <c r="R566" i="6" s="1"/>
  <c r="N570" i="6"/>
  <c r="O570" i="6" s="1"/>
  <c r="Q581" i="6"/>
  <c r="R581" i="6" s="1"/>
  <c r="Q625" i="6"/>
  <c r="R625" i="6" s="1"/>
  <c r="N410" i="6"/>
  <c r="O410" i="6" s="1"/>
  <c r="N442" i="6"/>
  <c r="O442" i="6" s="1"/>
  <c r="N474" i="6"/>
  <c r="O474" i="6" s="1"/>
  <c r="N506" i="6"/>
  <c r="O506" i="6" s="1"/>
  <c r="N540" i="6"/>
  <c r="O540" i="6" s="1"/>
  <c r="Q551" i="6"/>
  <c r="R551" i="6" s="1"/>
  <c r="N574" i="6"/>
  <c r="O574" i="6" s="1"/>
  <c r="Q585" i="6"/>
  <c r="R585" i="6" s="1"/>
  <c r="N601" i="6"/>
  <c r="O601" i="6" s="1"/>
  <c r="Q605" i="6"/>
  <c r="R605" i="6" s="1"/>
  <c r="Q642" i="6"/>
  <c r="R642" i="6" s="1"/>
  <c r="N651" i="6"/>
  <c r="O651" i="6" s="1"/>
  <c r="Q659" i="6"/>
  <c r="R659" i="6" s="1"/>
  <c r="N697" i="6"/>
  <c r="O697" i="6" s="1"/>
  <c r="N344" i="6"/>
  <c r="O344" i="6" s="1"/>
  <c r="N376" i="6"/>
  <c r="O376" i="6" s="1"/>
  <c r="N408" i="6"/>
  <c r="O408" i="6" s="1"/>
  <c r="N440" i="6"/>
  <c r="O440" i="6" s="1"/>
  <c r="N472" i="6"/>
  <c r="O472" i="6" s="1"/>
  <c r="N504" i="6"/>
  <c r="O504" i="6" s="1"/>
  <c r="Q557" i="6"/>
  <c r="R557" i="6" s="1"/>
  <c r="N589" i="6"/>
  <c r="O589" i="6" s="1"/>
  <c r="Q621" i="6"/>
  <c r="R621" i="6" s="1"/>
  <c r="Q655" i="6"/>
  <c r="R655" i="6" s="1"/>
  <c r="N544" i="6"/>
  <c r="O544" i="6" s="1"/>
  <c r="N583" i="6"/>
  <c r="O583" i="6" s="1"/>
  <c r="N600" i="6"/>
  <c r="O600" i="6" s="1"/>
  <c r="N638" i="6"/>
  <c r="O638" i="6" s="1"/>
  <c r="N647" i="6"/>
  <c r="O647" i="6" s="1"/>
  <c r="Q650" i="6"/>
  <c r="R650" i="6" s="1"/>
  <c r="N666" i="6"/>
  <c r="O666" i="6" s="1"/>
  <c r="Q707" i="6"/>
  <c r="R707" i="6" s="1"/>
  <c r="N711" i="6"/>
  <c r="O711" i="6" s="1"/>
  <c r="Q749" i="6"/>
  <c r="R749" i="6" s="1"/>
  <c r="N757" i="6"/>
  <c r="O757" i="6" s="1"/>
  <c r="N765" i="6"/>
  <c r="O765" i="6" s="1"/>
  <c r="Q882" i="6"/>
  <c r="R882" i="6" s="1"/>
  <c r="N606" i="6"/>
  <c r="O606" i="6" s="1"/>
  <c r="Q616" i="6"/>
  <c r="R616" i="6" s="1"/>
  <c r="N633" i="6"/>
  <c r="O633" i="6" s="1"/>
  <c r="Q653" i="6"/>
  <c r="R653" i="6" s="1"/>
  <c r="N670" i="6"/>
  <c r="O670" i="6" s="1"/>
  <c r="N673" i="6"/>
  <c r="O673" i="6" s="1"/>
  <c r="Q697" i="6"/>
  <c r="R697" i="6" s="1"/>
  <c r="N701" i="6"/>
  <c r="O701" i="6" s="1"/>
  <c r="N723" i="6"/>
  <c r="O723" i="6" s="1"/>
  <c r="N780" i="6"/>
  <c r="O780" i="6" s="1"/>
  <c r="Q801" i="6"/>
  <c r="R801" i="6" s="1"/>
  <c r="Q848" i="6"/>
  <c r="R848" i="6" s="1"/>
  <c r="Q954" i="6"/>
  <c r="R954" i="6" s="1"/>
  <c r="N1034" i="6"/>
  <c r="O1034" i="6" s="1"/>
  <c r="N586" i="6"/>
  <c r="O586" i="6" s="1"/>
  <c r="Q598" i="6"/>
  <c r="R598" i="6" s="1"/>
  <c r="Q611" i="6"/>
  <c r="R611" i="6" s="1"/>
  <c r="N622" i="6"/>
  <c r="O622" i="6" s="1"/>
  <c r="Q630" i="6"/>
  <c r="R630" i="6" s="1"/>
  <c r="Q723" i="6"/>
  <c r="R723" i="6" s="1"/>
  <c r="Q731" i="6"/>
  <c r="R731" i="6" s="1"/>
  <c r="N762" i="6"/>
  <c r="O762" i="6" s="1"/>
  <c r="N766" i="6"/>
  <c r="O766" i="6" s="1"/>
  <c r="N785" i="6"/>
  <c r="O785" i="6" s="1"/>
  <c r="Q831" i="6"/>
  <c r="R831" i="6" s="1"/>
  <c r="N857" i="6"/>
  <c r="O857" i="6" s="1"/>
  <c r="Q861" i="6"/>
  <c r="R861" i="6" s="1"/>
  <c r="N534" i="6"/>
  <c r="O534" i="6" s="1"/>
  <c r="N566" i="6"/>
  <c r="O566" i="6" s="1"/>
  <c r="N596" i="6"/>
  <c r="O596" i="6" s="1"/>
  <c r="Q603" i="6"/>
  <c r="R603" i="6" s="1"/>
  <c r="N614" i="6"/>
  <c r="O614" i="6" s="1"/>
  <c r="Q622" i="6"/>
  <c r="R622" i="6" s="1"/>
  <c r="Q633" i="6"/>
  <c r="R633" i="6" s="1"/>
  <c r="N636" i="6"/>
  <c r="O636" i="6" s="1"/>
  <c r="N698" i="6"/>
  <c r="O698" i="6" s="1"/>
  <c r="Q735" i="6"/>
  <c r="R735" i="6" s="1"/>
  <c r="N925" i="6"/>
  <c r="O925" i="6" s="1"/>
  <c r="N564" i="6"/>
  <c r="O564" i="6" s="1"/>
  <c r="N609" i="6"/>
  <c r="O609" i="6" s="1"/>
  <c r="Q654" i="6"/>
  <c r="R654" i="6" s="1"/>
  <c r="N691" i="6"/>
  <c r="O691" i="6" s="1"/>
  <c r="Q739" i="6"/>
  <c r="R739" i="6" s="1"/>
  <c r="N743" i="6"/>
  <c r="O743" i="6" s="1"/>
  <c r="N777" i="6"/>
  <c r="O777" i="6" s="1"/>
  <c r="N781" i="6"/>
  <c r="O781" i="6" s="1"/>
  <c r="N862" i="6"/>
  <c r="O862" i="6" s="1"/>
  <c r="N562" i="6"/>
  <c r="O562" i="6" s="1"/>
  <c r="N584" i="6"/>
  <c r="O584" i="6" s="1"/>
  <c r="Q601" i="6"/>
  <c r="R601" i="6" s="1"/>
  <c r="N628" i="6"/>
  <c r="O628" i="6" s="1"/>
  <c r="Q636" i="6"/>
  <c r="R636" i="6" s="1"/>
  <c r="Q639" i="6"/>
  <c r="R639" i="6" s="1"/>
  <c r="Q648" i="6"/>
  <c r="R648" i="6" s="1"/>
  <c r="N661" i="6"/>
  <c r="O661" i="6" s="1"/>
  <c r="N664" i="6"/>
  <c r="O664" i="6" s="1"/>
  <c r="Q667" i="6"/>
  <c r="R667" i="6" s="1"/>
  <c r="Q691" i="6"/>
  <c r="R691" i="6" s="1"/>
  <c r="Q743" i="6"/>
  <c r="R743" i="6" s="1"/>
  <c r="Q777" i="6"/>
  <c r="R777" i="6" s="1"/>
  <c r="N845" i="6"/>
  <c r="O845" i="6" s="1"/>
  <c r="N560" i="6"/>
  <c r="O560" i="6" s="1"/>
  <c r="N604" i="6"/>
  <c r="O604" i="6" s="1"/>
  <c r="N678" i="6"/>
  <c r="O678" i="6" s="1"/>
  <c r="N702" i="6"/>
  <c r="O702" i="6" s="1"/>
  <c r="N705" i="6"/>
  <c r="O705" i="6" s="1"/>
  <c r="N717" i="6"/>
  <c r="O717" i="6" s="1"/>
  <c r="N728" i="6"/>
  <c r="O728" i="6" s="1"/>
  <c r="Q841" i="6"/>
  <c r="R841" i="6" s="1"/>
  <c r="N889" i="6"/>
  <c r="O889" i="6" s="1"/>
  <c r="N558" i="6"/>
  <c r="O558" i="6" s="1"/>
  <c r="N582" i="6"/>
  <c r="O582" i="6" s="1"/>
  <c r="Q584" i="6"/>
  <c r="R584" i="6" s="1"/>
  <c r="N634" i="6"/>
  <c r="O634" i="6" s="1"/>
  <c r="Q671" i="6"/>
  <c r="R671" i="6" s="1"/>
  <c r="N755" i="6"/>
  <c r="O755" i="6" s="1"/>
  <c r="Q763" i="6"/>
  <c r="R763" i="6" s="1"/>
  <c r="N1006" i="6"/>
  <c r="O1006" i="6" s="1"/>
  <c r="N556" i="6"/>
  <c r="O556" i="6" s="1"/>
  <c r="N594" i="6"/>
  <c r="O594" i="6" s="1"/>
  <c r="Q604" i="6"/>
  <c r="R604" i="6" s="1"/>
  <c r="N637" i="6"/>
  <c r="O637" i="6" s="1"/>
  <c r="N658" i="6"/>
  <c r="O658" i="6" s="1"/>
  <c r="N685" i="6"/>
  <c r="O685" i="6" s="1"/>
  <c r="Q717" i="6"/>
  <c r="R717" i="6" s="1"/>
  <c r="N725" i="6"/>
  <c r="O725" i="6" s="1"/>
  <c r="Q755" i="6"/>
  <c r="R755" i="6" s="1"/>
  <c r="Q767" i="6"/>
  <c r="R767" i="6" s="1"/>
  <c r="N771" i="6"/>
  <c r="O771" i="6" s="1"/>
  <c r="N799" i="6"/>
  <c r="O799" i="6" s="1"/>
  <c r="Q824" i="6"/>
  <c r="R824" i="6" s="1"/>
  <c r="N580" i="6"/>
  <c r="O580" i="6" s="1"/>
  <c r="Q594" i="6"/>
  <c r="R594" i="6" s="1"/>
  <c r="N602" i="6"/>
  <c r="O602" i="6" s="1"/>
  <c r="N615" i="6"/>
  <c r="O615" i="6" s="1"/>
  <c r="N646" i="6"/>
  <c r="O646" i="6" s="1"/>
  <c r="Q658" i="6"/>
  <c r="R658" i="6" s="1"/>
  <c r="N665" i="6"/>
  <c r="O665" i="6" s="1"/>
  <c r="N729" i="6"/>
  <c r="O729" i="6" s="1"/>
  <c r="N733" i="6"/>
  <c r="O733" i="6" s="1"/>
  <c r="Q771" i="6"/>
  <c r="R771" i="6" s="1"/>
  <c r="N842" i="6"/>
  <c r="O842" i="6" s="1"/>
  <c r="Q872" i="6"/>
  <c r="R872" i="6" s="1"/>
  <c r="N947" i="6"/>
  <c r="O947" i="6" s="1"/>
  <c r="Q981" i="6"/>
  <c r="R981" i="6" s="1"/>
  <c r="Q589" i="6"/>
  <c r="R589" i="6" s="1"/>
  <c r="N618" i="6"/>
  <c r="O618" i="6" s="1"/>
  <c r="N626" i="6"/>
  <c r="O626" i="6" s="1"/>
  <c r="N629" i="6"/>
  <c r="O629" i="6" s="1"/>
  <c r="Q643" i="6"/>
  <c r="R643" i="6" s="1"/>
  <c r="Q675" i="6"/>
  <c r="R675" i="6" s="1"/>
  <c r="S675" i="6" s="1"/>
  <c r="Q685" i="6"/>
  <c r="R685" i="6" s="1"/>
  <c r="Q699" i="6"/>
  <c r="R699" i="6" s="1"/>
  <c r="Q729" i="6"/>
  <c r="R729" i="6" s="1"/>
  <c r="Q795" i="6"/>
  <c r="R795" i="6" s="1"/>
  <c r="Q816" i="6"/>
  <c r="R816" i="6" s="1"/>
  <c r="Q932" i="6"/>
  <c r="R932" i="6" s="1"/>
  <c r="N550" i="6"/>
  <c r="O550" i="6" s="1"/>
  <c r="N605" i="6"/>
  <c r="O605" i="6" s="1"/>
  <c r="Q615" i="6"/>
  <c r="R615" i="6" s="1"/>
  <c r="Q618" i="6"/>
  <c r="R618" i="6" s="1"/>
  <c r="Q626" i="6"/>
  <c r="R626" i="6" s="1"/>
  <c r="Q665" i="6"/>
  <c r="R665" i="6" s="1"/>
  <c r="N679" i="6"/>
  <c r="O679" i="6" s="1"/>
  <c r="N696" i="6"/>
  <c r="O696" i="6" s="1"/>
  <c r="N873" i="6"/>
  <c r="O873" i="6" s="1"/>
  <c r="Q899" i="6"/>
  <c r="R899" i="6" s="1"/>
  <c r="N548" i="6"/>
  <c r="O548" i="6" s="1"/>
  <c r="N576" i="6"/>
  <c r="O576" i="6" s="1"/>
  <c r="N659" i="6"/>
  <c r="O659" i="6" s="1"/>
  <c r="N669" i="6"/>
  <c r="O669" i="6" s="1"/>
  <c r="Q679" i="6"/>
  <c r="R679" i="6" s="1"/>
  <c r="N693" i="6"/>
  <c r="O693" i="6" s="1"/>
  <c r="Q703" i="6"/>
  <c r="R703" i="6" s="1"/>
  <c r="N730" i="6"/>
  <c r="O730" i="6" s="1"/>
  <c r="N737" i="6"/>
  <c r="O737" i="6" s="1"/>
  <c r="N749" i="6"/>
  <c r="O749" i="6" s="1"/>
  <c r="N760" i="6"/>
  <c r="O760" i="6" s="1"/>
  <c r="Q804" i="6"/>
  <c r="R804" i="6" s="1"/>
  <c r="N851" i="6"/>
  <c r="O851" i="6" s="1"/>
  <c r="N668" i="6"/>
  <c r="O668" i="6" s="1"/>
  <c r="N700" i="6"/>
  <c r="O700" i="6" s="1"/>
  <c r="N732" i="6"/>
  <c r="O732" i="6" s="1"/>
  <c r="N764" i="6"/>
  <c r="O764" i="6" s="1"/>
  <c r="Q814" i="6"/>
  <c r="R814" i="6" s="1"/>
  <c r="Q834" i="6"/>
  <c r="R834" i="6" s="1"/>
  <c r="Q876" i="6"/>
  <c r="R876" i="6" s="1"/>
  <c r="Q880" i="6"/>
  <c r="R880" i="6" s="1"/>
  <c r="Q892" i="6"/>
  <c r="R892" i="6" s="1"/>
  <c r="N935" i="6"/>
  <c r="O935" i="6" s="1"/>
  <c r="N940" i="6"/>
  <c r="O940" i="6" s="1"/>
  <c r="N1049" i="6"/>
  <c r="O1049" i="6" s="1"/>
  <c r="Q922" i="6"/>
  <c r="R922" i="6" s="1"/>
  <c r="N996" i="6"/>
  <c r="O996" i="6" s="1"/>
  <c r="N1001" i="6"/>
  <c r="O1001" i="6" s="1"/>
  <c r="Q1044" i="6"/>
  <c r="R1044" i="6" s="1"/>
  <c r="N1096" i="6"/>
  <c r="O1096" i="6" s="1"/>
  <c r="N598" i="6"/>
  <c r="O598" i="6" s="1"/>
  <c r="N630" i="6"/>
  <c r="O630" i="6" s="1"/>
  <c r="N662" i="6"/>
  <c r="O662" i="6" s="1"/>
  <c r="N694" i="6"/>
  <c r="O694" i="6" s="1"/>
  <c r="N726" i="6"/>
  <c r="O726" i="6" s="1"/>
  <c r="N758" i="6"/>
  <c r="O758" i="6" s="1"/>
  <c r="Q780" i="6"/>
  <c r="R780" i="6" s="1"/>
  <c r="N788" i="6"/>
  <c r="O788" i="6" s="1"/>
  <c r="Q802" i="6"/>
  <c r="R802" i="6" s="1"/>
  <c r="Q808" i="6"/>
  <c r="R808" i="6" s="1"/>
  <c r="N835" i="6"/>
  <c r="O835" i="6" s="1"/>
  <c r="Q838" i="6"/>
  <c r="R838" i="6" s="1"/>
  <c r="Q862" i="6"/>
  <c r="R862" i="6" s="1"/>
  <c r="Q877" i="6"/>
  <c r="R877" i="6" s="1"/>
  <c r="Q991" i="6"/>
  <c r="R991" i="6" s="1"/>
  <c r="Q1035" i="6"/>
  <c r="R1035" i="6" s="1"/>
  <c r="Q1096" i="6"/>
  <c r="R1096" i="6" s="1"/>
  <c r="N660" i="6"/>
  <c r="O660" i="6" s="1"/>
  <c r="N692" i="6"/>
  <c r="O692" i="6" s="1"/>
  <c r="N724" i="6"/>
  <c r="O724" i="6" s="1"/>
  <c r="N756" i="6"/>
  <c r="O756" i="6" s="1"/>
  <c r="N778" i="6"/>
  <c r="O778" i="6" s="1"/>
  <c r="N812" i="6"/>
  <c r="O812" i="6" s="1"/>
  <c r="Q855" i="6"/>
  <c r="R855" i="6" s="1"/>
  <c r="Q889" i="6"/>
  <c r="R889" i="6" s="1"/>
  <c r="S889" i="6" s="1"/>
  <c r="Q897" i="6"/>
  <c r="R897" i="6" s="1"/>
  <c r="N906" i="6"/>
  <c r="O906" i="6" s="1"/>
  <c r="N955" i="6"/>
  <c r="O955" i="6" s="1"/>
  <c r="Q964" i="6"/>
  <c r="R964" i="6" s="1"/>
  <c r="N1125" i="6"/>
  <c r="O1125" i="6" s="1"/>
  <c r="N1157" i="6"/>
  <c r="O1157" i="6" s="1"/>
  <c r="N722" i="6"/>
  <c r="O722" i="6" s="1"/>
  <c r="N754" i="6"/>
  <c r="O754" i="6" s="1"/>
  <c r="N800" i="6"/>
  <c r="O800" i="6" s="1"/>
  <c r="Q815" i="6"/>
  <c r="R815" i="6" s="1"/>
  <c r="Q828" i="6"/>
  <c r="R828" i="6" s="1"/>
  <c r="Q910" i="6"/>
  <c r="R910" i="6" s="1"/>
  <c r="N1002" i="6"/>
  <c r="O1002" i="6" s="1"/>
  <c r="Q1007" i="6"/>
  <c r="R1007" i="6" s="1"/>
  <c r="Q1083" i="6"/>
  <c r="R1083" i="6" s="1"/>
  <c r="N1092" i="6"/>
  <c r="O1092" i="6" s="1"/>
  <c r="N592" i="6"/>
  <c r="O592" i="6" s="1"/>
  <c r="N624" i="6"/>
  <c r="O624" i="6" s="1"/>
  <c r="N656" i="6"/>
  <c r="O656" i="6" s="1"/>
  <c r="N688" i="6"/>
  <c r="O688" i="6" s="1"/>
  <c r="N720" i="6"/>
  <c r="O720" i="6" s="1"/>
  <c r="N752" i="6"/>
  <c r="O752" i="6" s="1"/>
  <c r="N776" i="6"/>
  <c r="O776" i="6" s="1"/>
  <c r="Q809" i="6"/>
  <c r="R809" i="6" s="1"/>
  <c r="Q812" i="6"/>
  <c r="R812" i="6" s="1"/>
  <c r="N937" i="6"/>
  <c r="O937" i="6" s="1"/>
  <c r="N969" i="6"/>
  <c r="O969" i="6" s="1"/>
  <c r="N974" i="6"/>
  <c r="O974" i="6" s="1"/>
  <c r="Q1002" i="6"/>
  <c r="R1002" i="6" s="1"/>
  <c r="S1002" i="6" s="1"/>
  <c r="N654" i="6"/>
  <c r="O654" i="6" s="1"/>
  <c r="N686" i="6"/>
  <c r="O686" i="6" s="1"/>
  <c r="N718" i="6"/>
  <c r="O718" i="6" s="1"/>
  <c r="N750" i="6"/>
  <c r="O750" i="6" s="1"/>
  <c r="Q806" i="6"/>
  <c r="R806" i="6" s="1"/>
  <c r="N816" i="6"/>
  <c r="O816" i="6" s="1"/>
  <c r="Q825" i="6"/>
  <c r="R825" i="6" s="1"/>
  <c r="N867" i="6"/>
  <c r="O867" i="6" s="1"/>
  <c r="Q902" i="6"/>
  <c r="R902" i="6" s="1"/>
  <c r="N951" i="6"/>
  <c r="O951" i="6" s="1"/>
  <c r="N1027" i="6"/>
  <c r="O1027" i="6" s="1"/>
  <c r="N588" i="6"/>
  <c r="O588" i="6" s="1"/>
  <c r="N620" i="6"/>
  <c r="O620" i="6" s="1"/>
  <c r="N652" i="6"/>
  <c r="O652" i="6" s="1"/>
  <c r="N684" i="6"/>
  <c r="O684" i="6" s="1"/>
  <c r="N716" i="6"/>
  <c r="O716" i="6" s="1"/>
  <c r="N748" i="6"/>
  <c r="O748" i="6" s="1"/>
  <c r="N774" i="6"/>
  <c r="O774" i="6" s="1"/>
  <c r="N789" i="6"/>
  <c r="O789" i="6" s="1"/>
  <c r="N819" i="6"/>
  <c r="O819" i="6" s="1"/>
  <c r="N836" i="6"/>
  <c r="O836" i="6" s="1"/>
  <c r="Q863" i="6"/>
  <c r="R863" i="6" s="1"/>
  <c r="Q924" i="6"/>
  <c r="R924" i="6" s="1"/>
  <c r="Q969" i="6"/>
  <c r="R969" i="6" s="1"/>
  <c r="Q974" i="6"/>
  <c r="R974" i="6" s="1"/>
  <c r="N682" i="6"/>
  <c r="O682" i="6" s="1"/>
  <c r="N714" i="6"/>
  <c r="O714" i="6" s="1"/>
  <c r="N746" i="6"/>
  <c r="O746" i="6" s="1"/>
  <c r="Q789" i="6"/>
  <c r="R789" i="6" s="1"/>
  <c r="N792" i="6"/>
  <c r="O792" i="6" s="1"/>
  <c r="N795" i="6"/>
  <c r="O795" i="6" s="1"/>
  <c r="N813" i="6"/>
  <c r="O813" i="6" s="1"/>
  <c r="Q819" i="6"/>
  <c r="R819" i="6" s="1"/>
  <c r="N826" i="6"/>
  <c r="O826" i="6" s="1"/>
  <c r="N829" i="6"/>
  <c r="O829" i="6" s="1"/>
  <c r="Q894" i="6"/>
  <c r="R894" i="6" s="1"/>
  <c r="Q1003" i="6"/>
  <c r="R1003" i="6" s="1"/>
  <c r="Q1018" i="6"/>
  <c r="R1018" i="6" s="1"/>
  <c r="N616" i="6"/>
  <c r="O616" i="6" s="1"/>
  <c r="N648" i="6"/>
  <c r="O648" i="6" s="1"/>
  <c r="N680" i="6"/>
  <c r="O680" i="6" s="1"/>
  <c r="N712" i="6"/>
  <c r="O712" i="6" s="1"/>
  <c r="N744" i="6"/>
  <c r="O744" i="6" s="1"/>
  <c r="N772" i="6"/>
  <c r="O772" i="6" s="1"/>
  <c r="Q792" i="6"/>
  <c r="R792" i="6" s="1"/>
  <c r="N804" i="6"/>
  <c r="O804" i="6" s="1"/>
  <c r="N810" i="6"/>
  <c r="O810" i="6" s="1"/>
  <c r="N868" i="6"/>
  <c r="O868" i="6" s="1"/>
  <c r="N903" i="6"/>
  <c r="O903" i="6" s="1"/>
  <c r="N920" i="6"/>
  <c r="O920" i="6" s="1"/>
  <c r="N957" i="6"/>
  <c r="O957" i="6" s="1"/>
  <c r="Q1023" i="6"/>
  <c r="R1023" i="6" s="1"/>
  <c r="N1052" i="6"/>
  <c r="O1052" i="6" s="1"/>
  <c r="N710" i="6"/>
  <c r="O710" i="6" s="1"/>
  <c r="N742" i="6"/>
  <c r="O742" i="6" s="1"/>
  <c r="N784" i="6"/>
  <c r="O784" i="6" s="1"/>
  <c r="N807" i="6"/>
  <c r="O807" i="6" s="1"/>
  <c r="Q813" i="6"/>
  <c r="R813" i="6" s="1"/>
  <c r="N823" i="6"/>
  <c r="O823" i="6" s="1"/>
  <c r="Q829" i="6"/>
  <c r="R829" i="6" s="1"/>
  <c r="N840" i="6"/>
  <c r="O840" i="6" s="1"/>
  <c r="N899" i="6"/>
  <c r="O899" i="6" s="1"/>
  <c r="Q970" i="6"/>
  <c r="R970" i="6" s="1"/>
  <c r="N999" i="6"/>
  <c r="O999" i="6" s="1"/>
  <c r="N1019" i="6"/>
  <c r="O1019" i="6" s="1"/>
  <c r="N1042" i="6"/>
  <c r="O1042" i="6" s="1"/>
  <c r="N612" i="6"/>
  <c r="O612" i="6" s="1"/>
  <c r="N644" i="6"/>
  <c r="O644" i="6" s="1"/>
  <c r="N676" i="6"/>
  <c r="O676" i="6" s="1"/>
  <c r="N708" i="6"/>
  <c r="O708" i="6" s="1"/>
  <c r="N740" i="6"/>
  <c r="O740" i="6" s="1"/>
  <c r="N770" i="6"/>
  <c r="O770" i="6" s="1"/>
  <c r="Q833" i="6"/>
  <c r="R833" i="6" s="1"/>
  <c r="Q840" i="6"/>
  <c r="R840" i="6" s="1"/>
  <c r="N844" i="6"/>
  <c r="O844" i="6" s="1"/>
  <c r="N883" i="6"/>
  <c r="O883" i="6" s="1"/>
  <c r="Q920" i="6"/>
  <c r="R920" i="6" s="1"/>
  <c r="N939" i="6"/>
  <c r="O939" i="6" s="1"/>
  <c r="N944" i="6"/>
  <c r="O944" i="6" s="1"/>
  <c r="N989" i="6"/>
  <c r="O989" i="6" s="1"/>
  <c r="N578" i="6"/>
  <c r="O578" i="6" s="1"/>
  <c r="N610" i="6"/>
  <c r="O610" i="6" s="1"/>
  <c r="N642" i="6"/>
  <c r="O642" i="6" s="1"/>
  <c r="N674" i="6"/>
  <c r="O674" i="6" s="1"/>
  <c r="N706" i="6"/>
  <c r="O706" i="6" s="1"/>
  <c r="N738" i="6"/>
  <c r="O738" i="6" s="1"/>
  <c r="N782" i="6"/>
  <c r="O782" i="6" s="1"/>
  <c r="Q784" i="6"/>
  <c r="R784" i="6" s="1"/>
  <c r="S784" i="6" s="1"/>
  <c r="N790" i="6"/>
  <c r="O790" i="6" s="1"/>
  <c r="Q798" i="6"/>
  <c r="R798" i="6" s="1"/>
  <c r="Q823" i="6"/>
  <c r="R823" i="6" s="1"/>
  <c r="S823" i="6" s="1"/>
  <c r="Q939" i="6"/>
  <c r="R939" i="6" s="1"/>
  <c r="N1048" i="6"/>
  <c r="O1048" i="6" s="1"/>
  <c r="N1058" i="6"/>
  <c r="O1058" i="6" s="1"/>
  <c r="N640" i="6"/>
  <c r="O640" i="6" s="1"/>
  <c r="N672" i="6"/>
  <c r="O672" i="6" s="1"/>
  <c r="N704" i="6"/>
  <c r="O704" i="6" s="1"/>
  <c r="N736" i="6"/>
  <c r="O736" i="6" s="1"/>
  <c r="N768" i="6"/>
  <c r="O768" i="6" s="1"/>
  <c r="N841" i="6"/>
  <c r="O841" i="6" s="1"/>
  <c r="N861" i="6"/>
  <c r="O861" i="6" s="1"/>
  <c r="N876" i="6"/>
  <c r="O876" i="6" s="1"/>
  <c r="Q904" i="6"/>
  <c r="R904" i="6" s="1"/>
  <c r="N917" i="6"/>
  <c r="O917" i="6" s="1"/>
  <c r="N921" i="6"/>
  <c r="O921" i="6" s="1"/>
  <c r="N994" i="6"/>
  <c r="O994" i="6" s="1"/>
  <c r="Q1027" i="6"/>
  <c r="R1027" i="6" s="1"/>
  <c r="Q1031" i="6"/>
  <c r="R1031" i="6" s="1"/>
  <c r="N1386" i="6"/>
  <c r="O1386" i="6" s="1"/>
  <c r="Q959" i="6"/>
  <c r="R959" i="6" s="1"/>
  <c r="Q966" i="6"/>
  <c r="R966" i="6" s="1"/>
  <c r="Q990" i="6"/>
  <c r="R990" i="6" s="1"/>
  <c r="N1044" i="6"/>
  <c r="O1044" i="6" s="1"/>
  <c r="N802" i="6"/>
  <c r="O802" i="6" s="1"/>
  <c r="Q844" i="6"/>
  <c r="R844" i="6" s="1"/>
  <c r="Q847" i="6"/>
  <c r="R847" i="6" s="1"/>
  <c r="S847" i="6" s="1"/>
  <c r="Q856" i="6"/>
  <c r="R856" i="6" s="1"/>
  <c r="N872" i="6"/>
  <c r="O872" i="6" s="1"/>
  <c r="Q879" i="6"/>
  <c r="R879" i="6" s="1"/>
  <c r="Q917" i="6"/>
  <c r="R917" i="6" s="1"/>
  <c r="Q936" i="6"/>
  <c r="R936" i="6" s="1"/>
  <c r="Q940" i="6"/>
  <c r="R940" i="6" s="1"/>
  <c r="Q982" i="6"/>
  <c r="R982" i="6" s="1"/>
  <c r="N991" i="6"/>
  <c r="O991" i="6" s="1"/>
  <c r="Q999" i="6"/>
  <c r="R999" i="6" s="1"/>
  <c r="N1016" i="6"/>
  <c r="O1016" i="6" s="1"/>
  <c r="Q1028" i="6"/>
  <c r="R1028" i="6" s="1"/>
  <c r="N952" i="6"/>
  <c r="O952" i="6" s="1"/>
  <c r="Q956" i="6"/>
  <c r="R956" i="6" s="1"/>
  <c r="N971" i="6"/>
  <c r="O971" i="6" s="1"/>
  <c r="N1012" i="6"/>
  <c r="O1012" i="6" s="1"/>
  <c r="N1045" i="6"/>
  <c r="O1045" i="6" s="1"/>
  <c r="N941" i="6"/>
  <c r="O941" i="6" s="1"/>
  <c r="N967" i="6"/>
  <c r="O967" i="6" s="1"/>
  <c r="Q971" i="6"/>
  <c r="R971" i="6" s="1"/>
  <c r="N987" i="6"/>
  <c r="O987" i="6" s="1"/>
  <c r="Q1012" i="6"/>
  <c r="R1012" i="6" s="1"/>
  <c r="N1033" i="6"/>
  <c r="O1033" i="6" s="1"/>
  <c r="Q1054" i="6"/>
  <c r="R1054" i="6" s="1"/>
  <c r="N1076" i="6"/>
  <c r="O1076" i="6" s="1"/>
  <c r="N1136" i="6"/>
  <c r="O1136" i="6" s="1"/>
  <c r="Q883" i="6"/>
  <c r="R883" i="6" s="1"/>
  <c r="Q893" i="6"/>
  <c r="R893" i="6" s="1"/>
  <c r="Q926" i="6"/>
  <c r="R926" i="6" s="1"/>
  <c r="N930" i="6"/>
  <c r="O930" i="6" s="1"/>
  <c r="N933" i="6"/>
  <c r="O933" i="6" s="1"/>
  <c r="Q941" i="6"/>
  <c r="R941" i="6" s="1"/>
  <c r="Q952" i="6"/>
  <c r="R952" i="6" s="1"/>
  <c r="N983" i="6"/>
  <c r="O983" i="6" s="1"/>
  <c r="N1004" i="6"/>
  <c r="O1004" i="6" s="1"/>
  <c r="N1017" i="6"/>
  <c r="O1017" i="6" s="1"/>
  <c r="N1029" i="6"/>
  <c r="O1029" i="6" s="1"/>
  <c r="Q1033" i="6"/>
  <c r="R1033" i="6" s="1"/>
  <c r="Q1045" i="6"/>
  <c r="R1045" i="6" s="1"/>
  <c r="N1072" i="6"/>
  <c r="O1072" i="6" s="1"/>
  <c r="Q1264" i="6"/>
  <c r="R1264" i="6" s="1"/>
  <c r="Q860" i="6"/>
  <c r="R860" i="6" s="1"/>
  <c r="Q866" i="6"/>
  <c r="R866" i="6" s="1"/>
  <c r="Q873" i="6"/>
  <c r="R873" i="6" s="1"/>
  <c r="N887" i="6"/>
  <c r="O887" i="6" s="1"/>
  <c r="N911" i="6"/>
  <c r="O911" i="6" s="1"/>
  <c r="Q918" i="6"/>
  <c r="R918" i="6" s="1"/>
  <c r="N949" i="6"/>
  <c r="O949" i="6" s="1"/>
  <c r="Q1008" i="6"/>
  <c r="R1008" i="6" s="1"/>
  <c r="N1055" i="6"/>
  <c r="O1055" i="6" s="1"/>
  <c r="N1068" i="6"/>
  <c r="O1068" i="6" s="1"/>
  <c r="Q1108" i="6"/>
  <c r="R1108" i="6" s="1"/>
  <c r="N798" i="6"/>
  <c r="O798" i="6" s="1"/>
  <c r="N803" i="6"/>
  <c r="O803" i="6" s="1"/>
  <c r="N808" i="6"/>
  <c r="O808" i="6" s="1"/>
  <c r="N830" i="6"/>
  <c r="O830" i="6" s="1"/>
  <c r="N839" i="6"/>
  <c r="O839" i="6" s="1"/>
  <c r="Q845" i="6"/>
  <c r="R845" i="6" s="1"/>
  <c r="Q851" i="6"/>
  <c r="R851" i="6" s="1"/>
  <c r="Q857" i="6"/>
  <c r="R857" i="6" s="1"/>
  <c r="N877" i="6"/>
  <c r="O877" i="6" s="1"/>
  <c r="N884" i="6"/>
  <c r="O884" i="6" s="1"/>
  <c r="Q887" i="6"/>
  <c r="R887" i="6" s="1"/>
  <c r="N904" i="6"/>
  <c r="O904" i="6" s="1"/>
  <c r="N942" i="6"/>
  <c r="O942" i="6" s="1"/>
  <c r="N953" i="6"/>
  <c r="O953" i="6" s="1"/>
  <c r="N972" i="6"/>
  <c r="O972" i="6" s="1"/>
  <c r="Q996" i="6"/>
  <c r="R996" i="6" s="1"/>
  <c r="S996" i="6" s="1"/>
  <c r="N1021" i="6"/>
  <c r="O1021" i="6" s="1"/>
  <c r="Q1025" i="6"/>
  <c r="R1025" i="6" s="1"/>
  <c r="Q1081" i="6"/>
  <c r="R1081" i="6" s="1"/>
  <c r="N1118" i="6"/>
  <c r="O1118" i="6" s="1"/>
  <c r="N908" i="6"/>
  <c r="O908" i="6" s="1"/>
  <c r="Q937" i="6"/>
  <c r="R937" i="6" s="1"/>
  <c r="S937" i="6" s="1"/>
  <c r="Q949" i="6"/>
  <c r="R949" i="6" s="1"/>
  <c r="Q968" i="6"/>
  <c r="R968" i="6" s="1"/>
  <c r="Q972" i="6"/>
  <c r="R972" i="6" s="1"/>
  <c r="N984" i="6"/>
  <c r="O984" i="6" s="1"/>
  <c r="Q988" i="6"/>
  <c r="R988" i="6" s="1"/>
  <c r="N1051" i="6"/>
  <c r="O1051" i="6" s="1"/>
  <c r="Q1068" i="6"/>
  <c r="R1068" i="6" s="1"/>
  <c r="N814" i="6"/>
  <c r="O814" i="6" s="1"/>
  <c r="Q870" i="6"/>
  <c r="R870" i="6" s="1"/>
  <c r="N874" i="6"/>
  <c r="O874" i="6" s="1"/>
  <c r="N912" i="6"/>
  <c r="O912" i="6" s="1"/>
  <c r="N919" i="6"/>
  <c r="O919" i="6" s="1"/>
  <c r="N923" i="6"/>
  <c r="O923" i="6" s="1"/>
  <c r="Q1005" i="6"/>
  <c r="R1005" i="6" s="1"/>
  <c r="N1038" i="6"/>
  <c r="O1038" i="6" s="1"/>
  <c r="Q1060" i="6"/>
  <c r="R1060" i="6" s="1"/>
  <c r="N817" i="6"/>
  <c r="O817" i="6" s="1"/>
  <c r="N852" i="6"/>
  <c r="O852" i="6" s="1"/>
  <c r="N905" i="6"/>
  <c r="O905" i="6" s="1"/>
  <c r="Q908" i="6"/>
  <c r="R908" i="6" s="1"/>
  <c r="Q927" i="6"/>
  <c r="R927" i="6" s="1"/>
  <c r="Q934" i="6"/>
  <c r="R934" i="6" s="1"/>
  <c r="N973" i="6"/>
  <c r="O973" i="6" s="1"/>
  <c r="Q984" i="6"/>
  <c r="R984" i="6" s="1"/>
  <c r="N993" i="6"/>
  <c r="O993" i="6" s="1"/>
  <c r="N997" i="6"/>
  <c r="O997" i="6" s="1"/>
  <c r="N1026" i="6"/>
  <c r="O1026" i="6" s="1"/>
  <c r="Q1100" i="6"/>
  <c r="R1100" i="6" s="1"/>
  <c r="Q1178" i="6"/>
  <c r="R1178" i="6" s="1"/>
  <c r="N794" i="6"/>
  <c r="O794" i="6" s="1"/>
  <c r="Q796" i="6"/>
  <c r="R796" i="6" s="1"/>
  <c r="N820" i="6"/>
  <c r="O820" i="6" s="1"/>
  <c r="N846" i="6"/>
  <c r="O846" i="6" s="1"/>
  <c r="N849" i="6"/>
  <c r="O849" i="6" s="1"/>
  <c r="N855" i="6"/>
  <c r="O855" i="6" s="1"/>
  <c r="N881" i="6"/>
  <c r="O881" i="6" s="1"/>
  <c r="Q888" i="6"/>
  <c r="R888" i="6" s="1"/>
  <c r="Q905" i="6"/>
  <c r="R905" i="6" s="1"/>
  <c r="Q938" i="6"/>
  <c r="R938" i="6" s="1"/>
  <c r="Q958" i="6"/>
  <c r="R958" i="6" s="1"/>
  <c r="N962" i="6"/>
  <c r="O962" i="6" s="1"/>
  <c r="N965" i="6"/>
  <c r="O965" i="6" s="1"/>
  <c r="Q973" i="6"/>
  <c r="R973" i="6" s="1"/>
  <c r="Q993" i="6"/>
  <c r="R993" i="6" s="1"/>
  <c r="Q997" i="6"/>
  <c r="R997" i="6" s="1"/>
  <c r="Q1001" i="6"/>
  <c r="R1001" i="6" s="1"/>
  <c r="N1010" i="6"/>
  <c r="O1010" i="6" s="1"/>
  <c r="Q1014" i="6"/>
  <c r="R1014" i="6" s="1"/>
  <c r="Q1022" i="6"/>
  <c r="R1022" i="6" s="1"/>
  <c r="N1105" i="6"/>
  <c r="O1105" i="6" s="1"/>
  <c r="N809" i="6"/>
  <c r="O809" i="6" s="1"/>
  <c r="N871" i="6"/>
  <c r="O871" i="6" s="1"/>
  <c r="N878" i="6"/>
  <c r="O878" i="6" s="1"/>
  <c r="Q898" i="6"/>
  <c r="R898" i="6" s="1"/>
  <c r="N909" i="6"/>
  <c r="O909" i="6" s="1"/>
  <c r="Q950" i="6"/>
  <c r="R950" i="6" s="1"/>
  <c r="N981" i="6"/>
  <c r="O981" i="6" s="1"/>
  <c r="N985" i="6"/>
  <c r="O985" i="6" s="1"/>
  <c r="N1039" i="6"/>
  <c r="O1039" i="6" s="1"/>
  <c r="N806" i="6"/>
  <c r="O806" i="6" s="1"/>
  <c r="N838" i="6"/>
  <c r="O838" i="6" s="1"/>
  <c r="N870" i="6"/>
  <c r="O870" i="6" s="1"/>
  <c r="N902" i="6"/>
  <c r="O902" i="6" s="1"/>
  <c r="Q915" i="6"/>
  <c r="R915" i="6" s="1"/>
  <c r="N918" i="6"/>
  <c r="O918" i="6" s="1"/>
  <c r="Q947" i="6"/>
  <c r="R947" i="6" s="1"/>
  <c r="N950" i="6"/>
  <c r="O950" i="6" s="1"/>
  <c r="Q979" i="6"/>
  <c r="R979" i="6" s="1"/>
  <c r="N982" i="6"/>
  <c r="O982" i="6" s="1"/>
  <c r="N1114" i="6"/>
  <c r="O1114" i="6" s="1"/>
  <c r="Q1174" i="6"/>
  <c r="R1174" i="6" s="1"/>
  <c r="N1317" i="6"/>
  <c r="O1317" i="6" s="1"/>
  <c r="N900" i="6"/>
  <c r="O900" i="6" s="1"/>
  <c r="Q925" i="6"/>
  <c r="R925" i="6" s="1"/>
  <c r="N928" i="6"/>
  <c r="O928" i="6" s="1"/>
  <c r="Q957" i="6"/>
  <c r="R957" i="6" s="1"/>
  <c r="N960" i="6"/>
  <c r="O960" i="6" s="1"/>
  <c r="Q989" i="6"/>
  <c r="R989" i="6" s="1"/>
  <c r="N1037" i="6"/>
  <c r="O1037" i="6" s="1"/>
  <c r="N1046" i="6"/>
  <c r="O1046" i="6" s="1"/>
  <c r="Q1248" i="6"/>
  <c r="R1248" i="6" s="1"/>
  <c r="N1268" i="6"/>
  <c r="O1268" i="6" s="1"/>
  <c r="N834" i="6"/>
  <c r="O834" i="6" s="1"/>
  <c r="N866" i="6"/>
  <c r="O866" i="6" s="1"/>
  <c r="N898" i="6"/>
  <c r="O898" i="6" s="1"/>
  <c r="Q935" i="6"/>
  <c r="R935" i="6" s="1"/>
  <c r="S935" i="6" s="1"/>
  <c r="N938" i="6"/>
  <c r="O938" i="6" s="1"/>
  <c r="Q967" i="6"/>
  <c r="R967" i="6" s="1"/>
  <c r="N970" i="6"/>
  <c r="O970" i="6" s="1"/>
  <c r="Q1006" i="6"/>
  <c r="R1006" i="6" s="1"/>
  <c r="N1009" i="6"/>
  <c r="O1009" i="6" s="1"/>
  <c r="Q1011" i="6"/>
  <c r="R1011" i="6" s="1"/>
  <c r="S1011" i="6" s="1"/>
  <c r="Q1021" i="6"/>
  <c r="R1021" i="6" s="1"/>
  <c r="Q1065" i="6"/>
  <c r="R1065" i="6" s="1"/>
  <c r="N1201" i="6"/>
  <c r="O1201" i="6" s="1"/>
  <c r="Q1243" i="6"/>
  <c r="R1243" i="6" s="1"/>
  <c r="N1293" i="6"/>
  <c r="O1293" i="6" s="1"/>
  <c r="N832" i="6"/>
  <c r="O832" i="6" s="1"/>
  <c r="N864" i="6"/>
  <c r="O864" i="6" s="1"/>
  <c r="N896" i="6"/>
  <c r="O896" i="6" s="1"/>
  <c r="Q913" i="6"/>
  <c r="R913" i="6" s="1"/>
  <c r="N916" i="6"/>
  <c r="O916" i="6" s="1"/>
  <c r="Q945" i="6"/>
  <c r="R945" i="6" s="1"/>
  <c r="N948" i="6"/>
  <c r="O948" i="6" s="1"/>
  <c r="Q977" i="6"/>
  <c r="R977" i="6" s="1"/>
  <c r="N980" i="6"/>
  <c r="O980" i="6" s="1"/>
  <c r="N1032" i="6"/>
  <c r="O1032" i="6" s="1"/>
  <c r="N1040" i="6"/>
  <c r="O1040" i="6" s="1"/>
  <c r="N1132" i="6"/>
  <c r="O1132" i="6" s="1"/>
  <c r="N1273" i="6"/>
  <c r="O1273" i="6" s="1"/>
  <c r="N894" i="6"/>
  <c r="O894" i="6" s="1"/>
  <c r="Q923" i="6"/>
  <c r="R923" i="6" s="1"/>
  <c r="N926" i="6"/>
  <c r="O926" i="6" s="1"/>
  <c r="Q955" i="6"/>
  <c r="R955" i="6" s="1"/>
  <c r="N958" i="6"/>
  <c r="O958" i="6" s="1"/>
  <c r="Q987" i="6"/>
  <c r="R987" i="6" s="1"/>
  <c r="N990" i="6"/>
  <c r="O990" i="6" s="1"/>
  <c r="N1022" i="6"/>
  <c r="O1022" i="6" s="1"/>
  <c r="Q1032" i="6"/>
  <c r="R1032" i="6" s="1"/>
  <c r="N1053" i="6"/>
  <c r="O1053" i="6" s="1"/>
  <c r="N1056" i="6"/>
  <c r="O1056" i="6" s="1"/>
  <c r="N1062" i="6"/>
  <c r="O1062" i="6" s="1"/>
  <c r="Q1089" i="6"/>
  <c r="R1089" i="6" s="1"/>
  <c r="N1102" i="6"/>
  <c r="O1102" i="6" s="1"/>
  <c r="Q1132" i="6"/>
  <c r="R1132" i="6" s="1"/>
  <c r="N1141" i="6"/>
  <c r="O1141" i="6" s="1"/>
  <c r="N1150" i="6"/>
  <c r="O1150" i="6" s="1"/>
  <c r="Q1259" i="6"/>
  <c r="R1259" i="6" s="1"/>
  <c r="N796" i="6"/>
  <c r="O796" i="6" s="1"/>
  <c r="N828" i="6"/>
  <c r="O828" i="6" s="1"/>
  <c r="N860" i="6"/>
  <c r="O860" i="6" s="1"/>
  <c r="N892" i="6"/>
  <c r="O892" i="6" s="1"/>
  <c r="Q911" i="6"/>
  <c r="R911" i="6" s="1"/>
  <c r="Q933" i="6"/>
  <c r="R933" i="6" s="1"/>
  <c r="N936" i="6"/>
  <c r="O936" i="6" s="1"/>
  <c r="Q965" i="6"/>
  <c r="R965" i="6" s="1"/>
  <c r="N968" i="6"/>
  <c r="O968" i="6" s="1"/>
  <c r="Q1085" i="6"/>
  <c r="R1085" i="6" s="1"/>
  <c r="N858" i="6"/>
  <c r="O858" i="6" s="1"/>
  <c r="N890" i="6"/>
  <c r="O890" i="6" s="1"/>
  <c r="N914" i="6"/>
  <c r="O914" i="6" s="1"/>
  <c r="Q943" i="6"/>
  <c r="R943" i="6" s="1"/>
  <c r="N946" i="6"/>
  <c r="O946" i="6" s="1"/>
  <c r="Q975" i="6"/>
  <c r="R975" i="6" s="1"/>
  <c r="N978" i="6"/>
  <c r="O978" i="6" s="1"/>
  <c r="N1047" i="6"/>
  <c r="O1047" i="6" s="1"/>
  <c r="Q1059" i="6"/>
  <c r="R1059" i="6" s="1"/>
  <c r="N1094" i="6"/>
  <c r="O1094" i="6" s="1"/>
  <c r="N824" i="6"/>
  <c r="O824" i="6" s="1"/>
  <c r="N856" i="6"/>
  <c r="O856" i="6" s="1"/>
  <c r="N888" i="6"/>
  <c r="O888" i="6" s="1"/>
  <c r="Q909" i="6"/>
  <c r="R909" i="6" s="1"/>
  <c r="Q921" i="6"/>
  <c r="R921" i="6" s="1"/>
  <c r="N924" i="6"/>
  <c r="O924" i="6" s="1"/>
  <c r="Q953" i="6"/>
  <c r="R953" i="6" s="1"/>
  <c r="N956" i="6"/>
  <c r="O956" i="6" s="1"/>
  <c r="Q985" i="6"/>
  <c r="R985" i="6" s="1"/>
  <c r="N988" i="6"/>
  <c r="O988" i="6" s="1"/>
  <c r="N1000" i="6"/>
  <c r="O1000" i="6" s="1"/>
  <c r="N1025" i="6"/>
  <c r="O1025" i="6" s="1"/>
  <c r="N1107" i="6"/>
  <c r="O1107" i="6" s="1"/>
  <c r="Q1146" i="6"/>
  <c r="R1146" i="6" s="1"/>
  <c r="N1164" i="6"/>
  <c r="O1164" i="6" s="1"/>
  <c r="Q1299" i="6"/>
  <c r="R1299" i="6" s="1"/>
  <c r="N822" i="6"/>
  <c r="O822" i="6" s="1"/>
  <c r="N854" i="6"/>
  <c r="O854" i="6" s="1"/>
  <c r="N886" i="6"/>
  <c r="O886" i="6" s="1"/>
  <c r="Q931" i="6"/>
  <c r="R931" i="6" s="1"/>
  <c r="N934" i="6"/>
  <c r="O934" i="6" s="1"/>
  <c r="Q963" i="6"/>
  <c r="R963" i="6" s="1"/>
  <c r="N966" i="6"/>
  <c r="O966" i="6" s="1"/>
  <c r="N1005" i="6"/>
  <c r="O1005" i="6" s="1"/>
  <c r="N1041" i="6"/>
  <c r="O1041" i="6" s="1"/>
  <c r="N1060" i="6"/>
  <c r="O1060" i="6" s="1"/>
  <c r="N1063" i="6"/>
  <c r="O1063" i="6" s="1"/>
  <c r="N1082" i="6"/>
  <c r="O1082" i="6" s="1"/>
  <c r="N976" i="6"/>
  <c r="O976" i="6" s="1"/>
  <c r="Q1000" i="6"/>
  <c r="R1000" i="6" s="1"/>
  <c r="Q1086" i="6"/>
  <c r="R1086" i="6" s="1"/>
  <c r="S1086" i="6" s="1"/>
  <c r="N1099" i="6"/>
  <c r="O1099" i="6" s="1"/>
  <c r="Q1120" i="6"/>
  <c r="R1120" i="6" s="1"/>
  <c r="N1186" i="6"/>
  <c r="O1186" i="6" s="1"/>
  <c r="N786" i="6"/>
  <c r="O786" i="6" s="1"/>
  <c r="N818" i="6"/>
  <c r="O818" i="6" s="1"/>
  <c r="N850" i="6"/>
  <c r="O850" i="6" s="1"/>
  <c r="N882" i="6"/>
  <c r="O882" i="6" s="1"/>
  <c r="Q919" i="6"/>
  <c r="R919" i="6" s="1"/>
  <c r="N922" i="6"/>
  <c r="O922" i="6" s="1"/>
  <c r="Q951" i="6"/>
  <c r="R951" i="6" s="1"/>
  <c r="N954" i="6"/>
  <c r="O954" i="6" s="1"/>
  <c r="Q983" i="6"/>
  <c r="R983" i="6" s="1"/>
  <c r="N986" i="6"/>
  <c r="O986" i="6" s="1"/>
  <c r="N1015" i="6"/>
  <c r="O1015" i="6" s="1"/>
  <c r="Q1038" i="6"/>
  <c r="R1038" i="6" s="1"/>
  <c r="N1054" i="6"/>
  <c r="O1054" i="6" s="1"/>
  <c r="N1071" i="6"/>
  <c r="O1071" i="6" s="1"/>
  <c r="N1075" i="6"/>
  <c r="O1075" i="6" s="1"/>
  <c r="N1108" i="6"/>
  <c r="O1108" i="6" s="1"/>
  <c r="Q1190" i="6"/>
  <c r="R1190" i="6" s="1"/>
  <c r="Q1222" i="6"/>
  <c r="R1222" i="6" s="1"/>
  <c r="N848" i="6"/>
  <c r="O848" i="6" s="1"/>
  <c r="N880" i="6"/>
  <c r="O880" i="6" s="1"/>
  <c r="N910" i="6"/>
  <c r="O910" i="6" s="1"/>
  <c r="Q929" i="6"/>
  <c r="R929" i="6" s="1"/>
  <c r="S929" i="6" s="1"/>
  <c r="N932" i="6"/>
  <c r="O932" i="6" s="1"/>
  <c r="Q961" i="6"/>
  <c r="R961" i="6" s="1"/>
  <c r="N964" i="6"/>
  <c r="O964" i="6" s="1"/>
  <c r="Q1015" i="6"/>
  <c r="R1015" i="6" s="1"/>
  <c r="Q1071" i="6"/>
  <c r="R1071" i="6" s="1"/>
  <c r="N1079" i="6"/>
  <c r="O1079" i="6" s="1"/>
  <c r="N1087" i="6"/>
  <c r="O1087" i="6" s="1"/>
  <c r="N1134" i="6"/>
  <c r="O1134" i="6" s="1"/>
  <c r="Q1076" i="6"/>
  <c r="R1076" i="6" s="1"/>
  <c r="N1115" i="6"/>
  <c r="O1115" i="6" s="1"/>
  <c r="N1122" i="6"/>
  <c r="O1122" i="6" s="1"/>
  <c r="N1147" i="6"/>
  <c r="O1147" i="6" s="1"/>
  <c r="Q1235" i="6"/>
  <c r="R1235" i="6" s="1"/>
  <c r="N1283" i="6"/>
  <c r="O1283" i="6" s="1"/>
  <c r="Q1093" i="6"/>
  <c r="R1093" i="6" s="1"/>
  <c r="Q1140" i="6"/>
  <c r="R1140" i="6" s="1"/>
  <c r="N1165" i="6"/>
  <c r="O1165" i="6" s="1"/>
  <c r="N1179" i="6"/>
  <c r="O1179" i="6" s="1"/>
  <c r="N1187" i="6"/>
  <c r="O1187" i="6" s="1"/>
  <c r="N1202" i="6"/>
  <c r="O1202" i="6" s="1"/>
  <c r="N1215" i="6"/>
  <c r="O1215" i="6" s="1"/>
  <c r="N1377" i="6"/>
  <c r="O1377" i="6" s="1"/>
  <c r="Q1090" i="6"/>
  <c r="R1090" i="6" s="1"/>
  <c r="N1112" i="6"/>
  <c r="O1112" i="6" s="1"/>
  <c r="N1126" i="6"/>
  <c r="O1126" i="6" s="1"/>
  <c r="Q1202" i="6"/>
  <c r="R1202" i="6" s="1"/>
  <c r="Q1206" i="6"/>
  <c r="R1206" i="6" s="1"/>
  <c r="N1059" i="6"/>
  <c r="O1059" i="6" s="1"/>
  <c r="N1100" i="6"/>
  <c r="O1100" i="6" s="1"/>
  <c r="Q1126" i="6"/>
  <c r="R1126" i="6" s="1"/>
  <c r="N1169" i="6"/>
  <c r="O1169" i="6" s="1"/>
  <c r="N1176" i="6"/>
  <c r="O1176" i="6" s="1"/>
  <c r="N1328" i="6"/>
  <c r="O1328" i="6" s="1"/>
  <c r="Q1074" i="6"/>
  <c r="R1074" i="6" s="1"/>
  <c r="N1085" i="6"/>
  <c r="O1085" i="6" s="1"/>
  <c r="N1088" i="6"/>
  <c r="O1088" i="6" s="1"/>
  <c r="N1091" i="6"/>
  <c r="O1091" i="6" s="1"/>
  <c r="N1103" i="6"/>
  <c r="O1103" i="6" s="1"/>
  <c r="Q1106" i="6"/>
  <c r="R1106" i="6" s="1"/>
  <c r="N1130" i="6"/>
  <c r="O1130" i="6" s="1"/>
  <c r="Q1144" i="6"/>
  <c r="R1144" i="6" s="1"/>
  <c r="N1199" i="6"/>
  <c r="O1199" i="6" s="1"/>
  <c r="Q1082" i="6"/>
  <c r="R1082" i="6" s="1"/>
  <c r="N1097" i="6"/>
  <c r="O1097" i="6" s="1"/>
  <c r="N1116" i="6"/>
  <c r="O1116" i="6" s="1"/>
  <c r="N1152" i="6"/>
  <c r="O1152" i="6" s="1"/>
  <c r="N1166" i="6"/>
  <c r="O1166" i="6" s="1"/>
  <c r="Q1176" i="6"/>
  <c r="R1176" i="6" s="1"/>
  <c r="Q1180" i="6"/>
  <c r="R1180" i="6" s="1"/>
  <c r="N1256" i="6"/>
  <c r="O1256" i="6" s="1"/>
  <c r="Q1069" i="6"/>
  <c r="R1069" i="6" s="1"/>
  <c r="Q1077" i="6"/>
  <c r="R1077" i="6" s="1"/>
  <c r="N1080" i="6"/>
  <c r="O1080" i="6" s="1"/>
  <c r="Q1091" i="6"/>
  <c r="R1091" i="6" s="1"/>
  <c r="Q1097" i="6"/>
  <c r="R1097" i="6" s="1"/>
  <c r="Q1103" i="6"/>
  <c r="R1103" i="6" s="1"/>
  <c r="N1148" i="6"/>
  <c r="O1148" i="6" s="1"/>
  <c r="Q1188" i="6"/>
  <c r="R1188" i="6" s="1"/>
  <c r="Q1224" i="6"/>
  <c r="R1224" i="6" s="1"/>
  <c r="Q1256" i="6"/>
  <c r="R1256" i="6" s="1"/>
  <c r="N1290" i="6"/>
  <c r="O1290" i="6" s="1"/>
  <c r="N1083" i="6"/>
  <c r="O1083" i="6" s="1"/>
  <c r="Q1094" i="6"/>
  <c r="R1094" i="6" s="1"/>
  <c r="Q1152" i="6"/>
  <c r="R1152" i="6" s="1"/>
  <c r="Q1166" i="6"/>
  <c r="R1166" i="6" s="1"/>
  <c r="Q1237" i="6"/>
  <c r="R1237" i="6" s="1"/>
  <c r="N1252" i="6"/>
  <c r="O1252" i="6" s="1"/>
  <c r="N1104" i="6"/>
  <c r="O1104" i="6" s="1"/>
  <c r="N1131" i="6"/>
  <c r="O1131" i="6" s="1"/>
  <c r="Q1170" i="6"/>
  <c r="R1170" i="6" s="1"/>
  <c r="N1196" i="6"/>
  <c r="O1196" i="6" s="1"/>
  <c r="Q1057" i="6"/>
  <c r="R1057" i="6" s="1"/>
  <c r="N1095" i="6"/>
  <c r="O1095" i="6" s="1"/>
  <c r="N1124" i="6"/>
  <c r="O1124" i="6" s="1"/>
  <c r="N1149" i="6"/>
  <c r="O1149" i="6" s="1"/>
  <c r="Q1156" i="6"/>
  <c r="R1156" i="6" s="1"/>
  <c r="N1185" i="6"/>
  <c r="O1185" i="6" s="1"/>
  <c r="Q1208" i="6"/>
  <c r="R1208" i="6" s="1"/>
  <c r="Q1062" i="6"/>
  <c r="R1062" i="6" s="1"/>
  <c r="N1070" i="6"/>
  <c r="O1070" i="6" s="1"/>
  <c r="Q1110" i="6"/>
  <c r="R1110" i="6" s="1"/>
  <c r="N1153" i="6"/>
  <c r="O1153" i="6" s="1"/>
  <c r="N1189" i="6"/>
  <c r="O1189" i="6" s="1"/>
  <c r="N1286" i="6"/>
  <c r="O1286" i="6" s="1"/>
  <c r="Q1101" i="6"/>
  <c r="R1101" i="6" s="1"/>
  <c r="N1128" i="6"/>
  <c r="O1128" i="6" s="1"/>
  <c r="Q1142" i="6"/>
  <c r="R1142" i="6" s="1"/>
  <c r="N1213" i="6"/>
  <c r="O1213" i="6" s="1"/>
  <c r="N1248" i="6"/>
  <c r="O1248" i="6" s="1"/>
  <c r="Q1276" i="6"/>
  <c r="R1276" i="6" s="1"/>
  <c r="N1226" i="6"/>
  <c r="O1226" i="6" s="1"/>
  <c r="Q1229" i="6"/>
  <c r="R1229" i="6" s="1"/>
  <c r="N1240" i="6"/>
  <c r="O1240" i="6" s="1"/>
  <c r="Q1286" i="6"/>
  <c r="R1286" i="6" s="1"/>
  <c r="Q1332" i="6"/>
  <c r="R1332" i="6" s="1"/>
  <c r="N1396" i="6"/>
  <c r="O1396" i="6" s="1"/>
  <c r="N1184" i="6"/>
  <c r="O1184" i="6" s="1"/>
  <c r="N1194" i="6"/>
  <c r="O1194" i="6" s="1"/>
  <c r="N1208" i="6"/>
  <c r="O1208" i="6" s="1"/>
  <c r="N1214" i="6"/>
  <c r="O1214" i="6" s="1"/>
  <c r="Q1240" i="6"/>
  <c r="R1240" i="6" s="1"/>
  <c r="Q1282" i="6"/>
  <c r="R1282" i="6" s="1"/>
  <c r="N1162" i="6"/>
  <c r="O1162" i="6" s="1"/>
  <c r="N1174" i="6"/>
  <c r="O1174" i="6" s="1"/>
  <c r="Q1184" i="6"/>
  <c r="R1184" i="6" s="1"/>
  <c r="Q1194" i="6"/>
  <c r="R1194" i="6" s="1"/>
  <c r="Q1214" i="6"/>
  <c r="R1214" i="6" s="1"/>
  <c r="Q1233" i="6"/>
  <c r="R1233" i="6" s="1"/>
  <c r="N1237" i="6"/>
  <c r="O1237" i="6" s="1"/>
  <c r="Q1261" i="6"/>
  <c r="R1261" i="6" s="1"/>
  <c r="Q1265" i="6"/>
  <c r="R1265" i="6" s="1"/>
  <c r="Q1273" i="6"/>
  <c r="R1273" i="6" s="1"/>
  <c r="N1319" i="6"/>
  <c r="O1319" i="6" s="1"/>
  <c r="N1352" i="6"/>
  <c r="O1352" i="6" s="1"/>
  <c r="N1200" i="6"/>
  <c r="O1200" i="6" s="1"/>
  <c r="Q1220" i="6"/>
  <c r="R1220" i="6" s="1"/>
  <c r="Q1223" i="6"/>
  <c r="R1223" i="6" s="1"/>
  <c r="N1245" i="6"/>
  <c r="O1245" i="6" s="1"/>
  <c r="N1144" i="6"/>
  <c r="O1144" i="6" s="1"/>
  <c r="Q1230" i="6"/>
  <c r="R1230" i="6" s="1"/>
  <c r="Q1245" i="6"/>
  <c r="R1245" i="6" s="1"/>
  <c r="Q1324" i="6"/>
  <c r="R1324" i="6" s="1"/>
  <c r="N1158" i="6"/>
  <c r="O1158" i="6" s="1"/>
  <c r="N1172" i="6"/>
  <c r="O1172" i="6" s="1"/>
  <c r="N1177" i="6"/>
  <c r="O1177" i="6" s="1"/>
  <c r="N1195" i="6"/>
  <c r="O1195" i="6" s="1"/>
  <c r="N1142" i="6"/>
  <c r="O1142" i="6" s="1"/>
  <c r="N1206" i="6"/>
  <c r="O1206" i="6" s="1"/>
  <c r="N1224" i="6"/>
  <c r="O1224" i="6" s="1"/>
  <c r="N1227" i="6"/>
  <c r="O1227" i="6" s="1"/>
  <c r="Q1262" i="6"/>
  <c r="R1262" i="6" s="1"/>
  <c r="Q1279" i="6"/>
  <c r="R1279" i="6" s="1"/>
  <c r="N1297" i="6"/>
  <c r="O1297" i="6" s="1"/>
  <c r="N1156" i="6"/>
  <c r="O1156" i="6" s="1"/>
  <c r="N1170" i="6"/>
  <c r="O1170" i="6" s="1"/>
  <c r="N1209" i="6"/>
  <c r="O1209" i="6" s="1"/>
  <c r="N1218" i="6"/>
  <c r="O1218" i="6" s="1"/>
  <c r="Q1227" i="6"/>
  <c r="R1227" i="6" s="1"/>
  <c r="Q1320" i="6"/>
  <c r="R1320" i="6" s="1"/>
  <c r="N1140" i="6"/>
  <c r="O1140" i="6" s="1"/>
  <c r="N1163" i="6"/>
  <c r="O1163" i="6" s="1"/>
  <c r="N1180" i="6"/>
  <c r="O1180" i="6" s="1"/>
  <c r="N1198" i="6"/>
  <c r="O1198" i="6" s="1"/>
  <c r="N1212" i="6"/>
  <c r="O1212" i="6" s="1"/>
  <c r="Q1221" i="6"/>
  <c r="R1221" i="6" s="1"/>
  <c r="Q1238" i="6"/>
  <c r="R1238" i="6" s="1"/>
  <c r="Q1246" i="6"/>
  <c r="R1246" i="6" s="1"/>
  <c r="Q1254" i="6"/>
  <c r="R1254" i="6" s="1"/>
  <c r="N1267" i="6"/>
  <c r="O1267" i="6" s="1"/>
  <c r="N1275" i="6"/>
  <c r="O1275" i="6" s="1"/>
  <c r="N1154" i="6"/>
  <c r="O1154" i="6" s="1"/>
  <c r="Q1198" i="6"/>
  <c r="R1198" i="6" s="1"/>
  <c r="Q1263" i="6"/>
  <c r="R1263" i="6" s="1"/>
  <c r="N1280" i="6"/>
  <c r="O1280" i="6" s="1"/>
  <c r="N1138" i="6"/>
  <c r="O1138" i="6" s="1"/>
  <c r="N1235" i="6"/>
  <c r="O1235" i="6" s="1"/>
  <c r="N1251" i="6"/>
  <c r="O1251" i="6" s="1"/>
  <c r="Q1267" i="6"/>
  <c r="R1267" i="6" s="1"/>
  <c r="Q1316" i="6"/>
  <c r="R1316" i="6" s="1"/>
  <c r="N1145" i="6"/>
  <c r="O1145" i="6" s="1"/>
  <c r="N1168" i="6"/>
  <c r="O1168" i="6" s="1"/>
  <c r="N1173" i="6"/>
  <c r="O1173" i="6" s="1"/>
  <c r="N1204" i="6"/>
  <c r="O1204" i="6" s="1"/>
  <c r="Q1247" i="6"/>
  <c r="R1247" i="6" s="1"/>
  <c r="N1264" i="6"/>
  <c r="O1264" i="6" s="1"/>
  <c r="N1276" i="6"/>
  <c r="O1276" i="6" s="1"/>
  <c r="Q1363" i="6"/>
  <c r="R1363" i="6" s="1"/>
  <c r="Q1215" i="6"/>
  <c r="R1215" i="6" s="1"/>
  <c r="N1225" i="6"/>
  <c r="O1225" i="6" s="1"/>
  <c r="N1243" i="6"/>
  <c r="O1243" i="6" s="1"/>
  <c r="Q1251" i="6"/>
  <c r="R1251" i="6" s="1"/>
  <c r="N1259" i="6"/>
  <c r="O1259" i="6" s="1"/>
  <c r="Q1283" i="6"/>
  <c r="R1283" i="6" s="1"/>
  <c r="N1300" i="6"/>
  <c r="O1300" i="6" s="1"/>
  <c r="N1307" i="6"/>
  <c r="O1307" i="6" s="1"/>
  <c r="Q1353" i="6"/>
  <c r="R1353" i="6" s="1"/>
  <c r="N1378" i="6"/>
  <c r="O1378" i="6" s="1"/>
  <c r="Q1270" i="6"/>
  <c r="R1270" i="6" s="1"/>
  <c r="Q1293" i="6"/>
  <c r="R1293" i="6" s="1"/>
  <c r="Q1300" i="6"/>
  <c r="R1300" i="6" s="1"/>
  <c r="N1341" i="6"/>
  <c r="O1341" i="6" s="1"/>
  <c r="N1369" i="6"/>
  <c r="O1369" i="6" s="1"/>
  <c r="N1425" i="6"/>
  <c r="O1425" i="6" s="1"/>
  <c r="N1160" i="6"/>
  <c r="O1160" i="6" s="1"/>
  <c r="N1192" i="6"/>
  <c r="O1192" i="6" s="1"/>
  <c r="N1233" i="6"/>
  <c r="O1233" i="6" s="1"/>
  <c r="Q1314" i="6"/>
  <c r="R1314" i="6" s="1"/>
  <c r="Q1325" i="6"/>
  <c r="R1325" i="6" s="1"/>
  <c r="N1354" i="6"/>
  <c r="O1354" i="6" s="1"/>
  <c r="Q1359" i="6"/>
  <c r="R1359" i="6" s="1"/>
  <c r="N1190" i="6"/>
  <c r="O1190" i="6" s="1"/>
  <c r="N1241" i="6"/>
  <c r="O1241" i="6" s="1"/>
  <c r="N1257" i="6"/>
  <c r="O1257" i="6" s="1"/>
  <c r="N1271" i="6"/>
  <c r="O1271" i="6" s="1"/>
  <c r="N1304" i="6"/>
  <c r="O1304" i="6" s="1"/>
  <c r="Q1318" i="6"/>
  <c r="R1318" i="6" s="1"/>
  <c r="N1188" i="6"/>
  <c r="O1188" i="6" s="1"/>
  <c r="Q1218" i="6"/>
  <c r="R1218" i="6" s="1"/>
  <c r="N1223" i="6"/>
  <c r="O1223" i="6" s="1"/>
  <c r="N1281" i="6"/>
  <c r="O1281" i="6" s="1"/>
  <c r="N1294" i="6"/>
  <c r="O1294" i="6" s="1"/>
  <c r="N1322" i="6"/>
  <c r="O1322" i="6" s="1"/>
  <c r="N1326" i="6"/>
  <c r="O1326" i="6" s="1"/>
  <c r="N1416" i="6"/>
  <c r="O1416" i="6" s="1"/>
  <c r="N1231" i="6"/>
  <c r="O1231" i="6" s="1"/>
  <c r="Q1284" i="6"/>
  <c r="R1284" i="6" s="1"/>
  <c r="N1334" i="6"/>
  <c r="O1334" i="6" s="1"/>
  <c r="N1355" i="6"/>
  <c r="O1355" i="6" s="1"/>
  <c r="Q1411" i="6"/>
  <c r="R1411" i="6" s="1"/>
  <c r="N1247" i="6"/>
  <c r="O1247" i="6" s="1"/>
  <c r="N1263" i="6"/>
  <c r="O1263" i="6" s="1"/>
  <c r="N1291" i="6"/>
  <c r="O1291" i="6" s="1"/>
  <c r="Q1308" i="6"/>
  <c r="R1308" i="6" s="1"/>
  <c r="N1330" i="6"/>
  <c r="O1330" i="6" s="1"/>
  <c r="N1338" i="6"/>
  <c r="O1338" i="6" s="1"/>
  <c r="Q1346" i="6"/>
  <c r="R1346" i="6" s="1"/>
  <c r="N1350" i="6"/>
  <c r="O1350" i="6" s="1"/>
  <c r="Q1355" i="6"/>
  <c r="R1355" i="6" s="1"/>
  <c r="N1182" i="6"/>
  <c r="O1182" i="6" s="1"/>
  <c r="N1234" i="6"/>
  <c r="O1234" i="6" s="1"/>
  <c r="Q1244" i="6"/>
  <c r="R1244" i="6" s="1"/>
  <c r="Q1260" i="6"/>
  <c r="R1260" i="6" s="1"/>
  <c r="N1266" i="6"/>
  <c r="O1266" i="6" s="1"/>
  <c r="N1278" i="6"/>
  <c r="O1278" i="6" s="1"/>
  <c r="N1285" i="6"/>
  <c r="O1285" i="6" s="1"/>
  <c r="N1305" i="6"/>
  <c r="O1305" i="6" s="1"/>
  <c r="N1312" i="6"/>
  <c r="O1312" i="6" s="1"/>
  <c r="Q1375" i="6"/>
  <c r="R1375" i="6" s="1"/>
  <c r="N1394" i="6"/>
  <c r="O1394" i="6" s="1"/>
  <c r="N1250" i="6"/>
  <c r="O1250" i="6" s="1"/>
  <c r="Q1278" i="6"/>
  <c r="R1278" i="6" s="1"/>
  <c r="N1288" i="6"/>
  <c r="O1288" i="6" s="1"/>
  <c r="N1298" i="6"/>
  <c r="O1298" i="6" s="1"/>
  <c r="N1309" i="6"/>
  <c r="O1309" i="6" s="1"/>
  <c r="N1361" i="6"/>
  <c r="O1361" i="6" s="1"/>
  <c r="Q1371" i="6"/>
  <c r="R1371" i="6" s="1"/>
  <c r="N1403" i="6"/>
  <c r="O1403" i="6" s="1"/>
  <c r="N1146" i="6"/>
  <c r="O1146" i="6" s="1"/>
  <c r="N1178" i="6"/>
  <c r="O1178" i="6" s="1"/>
  <c r="N1210" i="6"/>
  <c r="O1210" i="6" s="1"/>
  <c r="N1229" i="6"/>
  <c r="O1229" i="6" s="1"/>
  <c r="Q1234" i="6"/>
  <c r="R1234" i="6" s="1"/>
  <c r="Q1266" i="6"/>
  <c r="R1266" i="6" s="1"/>
  <c r="N1269" i="6"/>
  <c r="O1269" i="6" s="1"/>
  <c r="Q1288" i="6"/>
  <c r="R1288" i="6" s="1"/>
  <c r="Q1305" i="6"/>
  <c r="R1305" i="6" s="1"/>
  <c r="Q1327" i="6"/>
  <c r="R1327" i="6" s="1"/>
  <c r="N1331" i="6"/>
  <c r="O1331" i="6" s="1"/>
  <c r="N1351" i="6"/>
  <c r="O1351" i="6" s="1"/>
  <c r="N1376" i="6"/>
  <c r="O1376" i="6" s="1"/>
  <c r="N1385" i="6"/>
  <c r="O1385" i="6" s="1"/>
  <c r="Q1250" i="6"/>
  <c r="R1250" i="6" s="1"/>
  <c r="N1261" i="6"/>
  <c r="O1261" i="6" s="1"/>
  <c r="Q1272" i="6"/>
  <c r="R1272" i="6" s="1"/>
  <c r="N1279" i="6"/>
  <c r="O1279" i="6" s="1"/>
  <c r="N1282" i="6"/>
  <c r="O1282" i="6" s="1"/>
  <c r="N1313" i="6"/>
  <c r="O1313" i="6" s="1"/>
  <c r="N1316" i="6"/>
  <c r="O1316" i="6" s="1"/>
  <c r="Q1323" i="6"/>
  <c r="R1323" i="6" s="1"/>
  <c r="Q1331" i="6"/>
  <c r="R1331" i="6" s="1"/>
  <c r="N1423" i="6"/>
  <c r="O1423" i="6" s="1"/>
  <c r="N1253" i="6"/>
  <c r="O1253" i="6" s="1"/>
  <c r="N1292" i="6"/>
  <c r="O1292" i="6" s="1"/>
  <c r="N1357" i="6"/>
  <c r="O1357" i="6" s="1"/>
  <c r="N1362" i="6"/>
  <c r="O1362" i="6" s="1"/>
  <c r="N1367" i="6"/>
  <c r="O1367" i="6" s="1"/>
  <c r="N1363" i="6"/>
  <c r="O1363" i="6" s="1"/>
  <c r="Q1368" i="6"/>
  <c r="R1368" i="6" s="1"/>
  <c r="N1374" i="6"/>
  <c r="O1374" i="6" s="1"/>
  <c r="Q1415" i="6"/>
  <c r="R1415" i="6" s="1"/>
  <c r="N1301" i="6"/>
  <c r="O1301" i="6" s="1"/>
  <c r="N1380" i="6"/>
  <c r="O1380" i="6" s="1"/>
  <c r="N1411" i="6"/>
  <c r="O1411" i="6" s="1"/>
  <c r="Q1429" i="6"/>
  <c r="R1429" i="6" s="1"/>
  <c r="Q1298" i="6"/>
  <c r="R1298" i="6" s="1"/>
  <c r="N1333" i="6"/>
  <c r="O1333" i="6" s="1"/>
  <c r="Q1380" i="6"/>
  <c r="R1380" i="6" s="1"/>
  <c r="N1347" i="6"/>
  <c r="O1347" i="6" s="1"/>
  <c r="Q1352" i="6"/>
  <c r="R1352" i="6" s="1"/>
  <c r="N1358" i="6"/>
  <c r="O1358" i="6" s="1"/>
  <c r="N1372" i="6"/>
  <c r="O1372" i="6" s="1"/>
  <c r="Q1396" i="6"/>
  <c r="R1396" i="6" s="1"/>
  <c r="N1435" i="6"/>
  <c r="O1435" i="6" s="1"/>
  <c r="N1299" i="6"/>
  <c r="O1299" i="6" s="1"/>
  <c r="N1320" i="6"/>
  <c r="O1320" i="6" s="1"/>
  <c r="Q1330" i="6"/>
  <c r="R1330" i="6" s="1"/>
  <c r="N1375" i="6"/>
  <c r="O1375" i="6" s="1"/>
  <c r="N1400" i="6"/>
  <c r="O1400" i="6" s="1"/>
  <c r="Q1412" i="6"/>
  <c r="R1412" i="6" s="1"/>
  <c r="N1426" i="6"/>
  <c r="O1426" i="6" s="1"/>
  <c r="N1239" i="6"/>
  <c r="O1239" i="6" s="1"/>
  <c r="N1255" i="6"/>
  <c r="O1255" i="6" s="1"/>
  <c r="Q1304" i="6"/>
  <c r="R1304" i="6" s="1"/>
  <c r="N1315" i="6"/>
  <c r="O1315" i="6" s="1"/>
  <c r="N1336" i="6"/>
  <c r="O1336" i="6" s="1"/>
  <c r="N1339" i="6"/>
  <c r="O1339" i="6" s="1"/>
  <c r="N1364" i="6"/>
  <c r="O1364" i="6" s="1"/>
  <c r="Q1372" i="6"/>
  <c r="R1372" i="6" s="1"/>
  <c r="N1381" i="6"/>
  <c r="O1381" i="6" s="1"/>
  <c r="Q1426" i="6"/>
  <c r="R1426" i="6" s="1"/>
  <c r="N1387" i="6"/>
  <c r="O1387" i="6" s="1"/>
  <c r="N1390" i="6"/>
  <c r="O1390" i="6" s="1"/>
  <c r="N1397" i="6"/>
  <c r="O1397" i="6" s="1"/>
  <c r="N1404" i="6"/>
  <c r="O1404" i="6" s="1"/>
  <c r="N1310" i="6"/>
  <c r="O1310" i="6" s="1"/>
  <c r="Q1336" i="6"/>
  <c r="R1336" i="6" s="1"/>
  <c r="N1342" i="6"/>
  <c r="O1342" i="6" s="1"/>
  <c r="N1356" i="6"/>
  <c r="O1356" i="6" s="1"/>
  <c r="Q1364" i="6"/>
  <c r="R1364" i="6" s="1"/>
  <c r="N1384" i="6"/>
  <c r="O1384" i="6" s="1"/>
  <c r="N1413" i="6"/>
  <c r="O1413" i="6" s="1"/>
  <c r="Q1431" i="6"/>
  <c r="R1431" i="6" s="1"/>
  <c r="N1359" i="6"/>
  <c r="O1359" i="6" s="1"/>
  <c r="Q1387" i="6"/>
  <c r="R1387" i="6" s="1"/>
  <c r="N1427" i="6"/>
  <c r="O1427" i="6" s="1"/>
  <c r="Q1302" i="6"/>
  <c r="R1302" i="6" s="1"/>
  <c r="N1348" i="6"/>
  <c r="O1348" i="6" s="1"/>
  <c r="Q1356" i="6"/>
  <c r="R1356" i="6" s="1"/>
  <c r="Q1378" i="6"/>
  <c r="R1378" i="6" s="1"/>
  <c r="N1409" i="6"/>
  <c r="O1409" i="6" s="1"/>
  <c r="Q1413" i="6"/>
  <c r="R1413" i="6" s="1"/>
  <c r="Q1427" i="6"/>
  <c r="R1427" i="6" s="1"/>
  <c r="N1365" i="6"/>
  <c r="O1365" i="6" s="1"/>
  <c r="N1391" i="6"/>
  <c r="O1391" i="6" s="1"/>
  <c r="Q1394" i="6"/>
  <c r="R1394" i="6" s="1"/>
  <c r="S1394" i="6" s="1"/>
  <c r="Q1409" i="6"/>
  <c r="R1409" i="6" s="1"/>
  <c r="N1437" i="6"/>
  <c r="O1437" i="6" s="1"/>
  <c r="N1249" i="6"/>
  <c r="O1249" i="6" s="1"/>
  <c r="N1265" i="6"/>
  <c r="O1265" i="6" s="1"/>
  <c r="N1272" i="6"/>
  <c r="O1272" i="6" s="1"/>
  <c r="N1295" i="6"/>
  <c r="O1295" i="6" s="1"/>
  <c r="N1308" i="6"/>
  <c r="O1308" i="6" s="1"/>
  <c r="N1340" i="6"/>
  <c r="O1340" i="6" s="1"/>
  <c r="Q1348" i="6"/>
  <c r="R1348" i="6" s="1"/>
  <c r="N1379" i="6"/>
  <c r="O1379" i="6" s="1"/>
  <c r="N1382" i="6"/>
  <c r="O1382" i="6" s="1"/>
  <c r="N1388" i="6"/>
  <c r="O1388" i="6" s="1"/>
  <c r="Q1292" i="6"/>
  <c r="R1292" i="6" s="1"/>
  <c r="N1311" i="6"/>
  <c r="O1311" i="6" s="1"/>
  <c r="N1324" i="6"/>
  <c r="O1324" i="6" s="1"/>
  <c r="N1343" i="6"/>
  <c r="O1343" i="6" s="1"/>
  <c r="N1395" i="6"/>
  <c r="O1395" i="6" s="1"/>
  <c r="N1327" i="6"/>
  <c r="O1327" i="6" s="1"/>
  <c r="Q1340" i="6"/>
  <c r="R1340" i="6" s="1"/>
  <c r="Q1362" i="6"/>
  <c r="R1362" i="6" s="1"/>
  <c r="S1362" i="6" s="1"/>
  <c r="N1368" i="6"/>
  <c r="O1368" i="6" s="1"/>
  <c r="N1371" i="6"/>
  <c r="O1371" i="6" s="1"/>
  <c r="Q1388" i="6"/>
  <c r="R1388" i="6" s="1"/>
  <c r="N1349" i="6"/>
  <c r="O1349" i="6" s="1"/>
  <c r="Q1410" i="6"/>
  <c r="R1410" i="6" s="1"/>
  <c r="N1429" i="6"/>
  <c r="O1429" i="6" s="1"/>
  <c r="N1432" i="6"/>
  <c r="O1432" i="6" s="1"/>
  <c r="Q1404" i="6"/>
  <c r="R1404" i="6" s="1"/>
  <c r="N1410" i="6"/>
  <c r="O1410" i="6" s="1"/>
  <c r="Q1416" i="6"/>
  <c r="R1416" i="6" s="1"/>
  <c r="Q1432" i="6"/>
  <c r="R1432" i="6" s="1"/>
  <c r="Q1280" i="6"/>
  <c r="R1280" i="6" s="1"/>
  <c r="Q1296" i="6"/>
  <c r="R1296" i="6" s="1"/>
  <c r="Q1312" i="6"/>
  <c r="R1312" i="6" s="1"/>
  <c r="Q1328" i="6"/>
  <c r="R1328" i="6" s="1"/>
  <c r="Q1344" i="6"/>
  <c r="R1344" i="6" s="1"/>
  <c r="Q1360" i="6"/>
  <c r="R1360" i="6" s="1"/>
  <c r="Q1376" i="6"/>
  <c r="R1376" i="6" s="1"/>
  <c r="Q1392" i="6"/>
  <c r="R1392" i="6" s="1"/>
  <c r="N1420" i="6"/>
  <c r="O1420" i="6" s="1"/>
  <c r="N1436" i="6"/>
  <c r="O1436" i="6" s="1"/>
  <c r="N1402" i="6"/>
  <c r="O1402" i="6" s="1"/>
  <c r="Q1420" i="6"/>
  <c r="R1420" i="6" s="1"/>
  <c r="Q1436" i="6"/>
  <c r="R1436" i="6" s="1"/>
  <c r="Q1294" i="6"/>
  <c r="R1294" i="6" s="1"/>
  <c r="Q1310" i="6"/>
  <c r="R1310" i="6" s="1"/>
  <c r="Q1326" i="6"/>
  <c r="R1326" i="6" s="1"/>
  <c r="Q1342" i="6"/>
  <c r="R1342" i="6" s="1"/>
  <c r="Q1358" i="6"/>
  <c r="R1358" i="6" s="1"/>
  <c r="Q1374" i="6"/>
  <c r="R1374" i="6" s="1"/>
  <c r="Q1390" i="6"/>
  <c r="R1390" i="6" s="1"/>
  <c r="Q1402" i="6"/>
  <c r="R1402" i="6" s="1"/>
  <c r="N1408" i="6"/>
  <c r="O1408" i="6" s="1"/>
  <c r="N1414" i="6"/>
  <c r="O1414" i="6" s="1"/>
  <c r="N1430" i="6"/>
  <c r="O1430" i="6" s="1"/>
  <c r="Q1408" i="6"/>
  <c r="R1408" i="6" s="1"/>
  <c r="Q1414" i="6"/>
  <c r="R1414" i="6" s="1"/>
  <c r="Q1430" i="6"/>
  <c r="R1430" i="6" s="1"/>
  <c r="N1424" i="6"/>
  <c r="O1424" i="6" s="1"/>
  <c r="Q1424" i="6"/>
  <c r="R1424" i="6" s="1"/>
  <c r="Q1274" i="6"/>
  <c r="R1274" i="6" s="1"/>
  <c r="Q1290" i="6"/>
  <c r="R1290" i="6" s="1"/>
  <c r="Q1306" i="6"/>
  <c r="R1306" i="6" s="1"/>
  <c r="Q1322" i="6"/>
  <c r="R1322" i="6" s="1"/>
  <c r="Q1338" i="6"/>
  <c r="R1338" i="6" s="1"/>
  <c r="Q1354" i="6"/>
  <c r="R1354" i="6" s="1"/>
  <c r="Q1370" i="6"/>
  <c r="R1370" i="6" s="1"/>
  <c r="Q1386" i="6"/>
  <c r="R1386" i="6" s="1"/>
  <c r="N1418" i="6"/>
  <c r="O1418" i="6" s="1"/>
  <c r="N1434" i="6"/>
  <c r="O1434" i="6" s="1"/>
  <c r="Q1400" i="6"/>
  <c r="R1400" i="6" s="1"/>
  <c r="N1406" i="6"/>
  <c r="O1406" i="6" s="1"/>
  <c r="Q1418" i="6"/>
  <c r="R1418" i="6" s="1"/>
  <c r="Q1434" i="6"/>
  <c r="R1434" i="6" s="1"/>
  <c r="Q1384" i="6"/>
  <c r="R1384" i="6" s="1"/>
  <c r="Q1406" i="6"/>
  <c r="R1406" i="6" s="1"/>
  <c r="N1412" i="6"/>
  <c r="O1412" i="6" s="1"/>
  <c r="N1428" i="6"/>
  <c r="O1428" i="6" s="1"/>
  <c r="Q1428" i="6"/>
  <c r="R1428" i="6" s="1"/>
  <c r="Q1334" i="6"/>
  <c r="R1334" i="6" s="1"/>
  <c r="Q1350" i="6"/>
  <c r="R1350" i="6" s="1"/>
  <c r="Q1366" i="6"/>
  <c r="R1366" i="6" s="1"/>
  <c r="Q1382" i="6"/>
  <c r="R1382" i="6" s="1"/>
  <c r="Q1398" i="6"/>
  <c r="R1398" i="6" s="1"/>
  <c r="N1422" i="6"/>
  <c r="O1422" i="6" s="1"/>
  <c r="N1438" i="6"/>
  <c r="O1438" i="6" s="1"/>
  <c r="Q1422" i="6"/>
  <c r="R1422" i="6" s="1"/>
  <c r="Q1438" i="6"/>
  <c r="R1438" i="6" s="1"/>
  <c r="N2" i="6"/>
  <c r="O2" i="6" s="1"/>
  <c r="Q2" i="6"/>
  <c r="R2" i="6" s="1"/>
  <c r="S691" i="6" l="1"/>
  <c r="S917" i="6"/>
  <c r="S1027" i="6"/>
  <c r="S1101" i="6"/>
  <c r="S1274" i="6"/>
  <c r="S1270" i="6"/>
  <c r="S879" i="6"/>
  <c r="S825" i="6"/>
  <c r="S118" i="6"/>
  <c r="S1392" i="6"/>
  <c r="S703" i="6"/>
  <c r="S1296" i="6"/>
  <c r="S621" i="6"/>
  <c r="S203" i="6"/>
  <c r="S18" i="6"/>
  <c r="S1221" i="6"/>
  <c r="S1244" i="6"/>
  <c r="S1314" i="6"/>
  <c r="S951" i="6"/>
  <c r="S1302" i="6"/>
  <c r="S338" i="6"/>
  <c r="S447" i="6"/>
  <c r="S86" i="6"/>
  <c r="S254" i="6"/>
  <c r="S530" i="6"/>
  <c r="S1284" i="6"/>
  <c r="S1370" i="6"/>
  <c r="S233" i="6"/>
  <c r="S99" i="6"/>
  <c r="S915" i="6"/>
  <c r="S162" i="6"/>
  <c r="S1031" i="6"/>
  <c r="S1415" i="6"/>
  <c r="S219" i="6"/>
  <c r="S334" i="6"/>
  <c r="S459" i="6"/>
  <c r="S469" i="6"/>
  <c r="S585" i="6"/>
  <c r="S169" i="6"/>
  <c r="S216" i="6"/>
  <c r="S1318" i="6"/>
  <c r="S963" i="6"/>
  <c r="S597" i="6"/>
  <c r="S58" i="6"/>
  <c r="S1366" i="6"/>
  <c r="S1090" i="6"/>
  <c r="S1277" i="6"/>
  <c r="S214" i="6"/>
  <c r="S142" i="6"/>
  <c r="S31" i="6"/>
  <c r="S266" i="6"/>
  <c r="S763" i="6"/>
  <c r="S149" i="6"/>
  <c r="S343" i="6"/>
  <c r="S625" i="6"/>
  <c r="S262" i="6"/>
  <c r="S945" i="6"/>
  <c r="S1008" i="6"/>
  <c r="S291" i="6"/>
  <c r="S210" i="6"/>
  <c r="S797" i="6"/>
  <c r="S238" i="6"/>
  <c r="S252" i="6"/>
  <c r="S383" i="6"/>
  <c r="S201" i="6"/>
  <c r="S56" i="6"/>
  <c r="S1074" i="6"/>
  <c r="S164" i="6"/>
  <c r="S104" i="6"/>
  <c r="S116" i="6"/>
  <c r="S1003" i="6"/>
  <c r="S176" i="6"/>
  <c r="S427" i="6"/>
  <c r="S1344" i="6"/>
  <c r="S1431" i="6"/>
  <c r="S146" i="6"/>
  <c r="S261" i="6"/>
  <c r="S112" i="6"/>
  <c r="S893" i="6"/>
  <c r="S295" i="6"/>
  <c r="S998" i="6"/>
  <c r="S466" i="6"/>
  <c r="S559" i="6"/>
  <c r="S375" i="6"/>
  <c r="S76" i="6"/>
  <c r="S342" i="6"/>
  <c r="S1306" i="6"/>
  <c r="S17" i="6"/>
  <c r="S1222" i="6"/>
  <c r="S1106" i="6"/>
  <c r="S1246" i="6"/>
  <c r="S1069" i="6"/>
  <c r="S437" i="6"/>
  <c r="S218" i="6"/>
  <c r="S657" i="6"/>
  <c r="S961" i="6"/>
  <c r="S943" i="6"/>
  <c r="S1065" i="6"/>
  <c r="S98" i="6"/>
  <c r="S1081" i="6"/>
  <c r="S280" i="6"/>
  <c r="S244" i="6"/>
  <c r="S1167" i="6"/>
  <c r="S155" i="6"/>
  <c r="S415" i="6"/>
  <c r="S483" i="6"/>
  <c r="S187" i="6"/>
  <c r="S779" i="6"/>
  <c r="S1064" i="6"/>
  <c r="S60" i="6"/>
  <c r="S47" i="6"/>
  <c r="S75" i="6"/>
  <c r="S257" i="6"/>
  <c r="S1360" i="6"/>
  <c r="S1120" i="6"/>
  <c r="S639" i="6"/>
  <c r="S735" i="6"/>
  <c r="S373" i="6"/>
  <c r="S455" i="6"/>
  <c r="S178" i="6"/>
  <c r="S307" i="6"/>
  <c r="S229" i="6"/>
  <c r="S751" i="6"/>
  <c r="S1230" i="6"/>
  <c r="S1007" i="6"/>
  <c r="S34" i="6"/>
  <c r="S577" i="6"/>
  <c r="S511" i="6"/>
  <c r="S565" i="6"/>
  <c r="S805" i="6"/>
  <c r="S274" i="6"/>
  <c r="S8" i="6"/>
  <c r="S695" i="6"/>
  <c r="S709" i="6"/>
  <c r="S45" i="6"/>
  <c r="S1401" i="6"/>
  <c r="S955" i="6"/>
  <c r="S909" i="6"/>
  <c r="S1132" i="6"/>
  <c r="S699" i="6"/>
  <c r="S81" i="6"/>
  <c r="S663" i="6"/>
  <c r="S1067" i="6"/>
  <c r="S1433" i="6"/>
  <c r="S1077" i="6"/>
  <c r="S975" i="6"/>
  <c r="S539" i="6"/>
  <c r="S16" i="6"/>
  <c r="S92" i="6"/>
  <c r="S1238" i="6"/>
  <c r="S1353" i="6"/>
  <c r="S833" i="6"/>
  <c r="S801" i="6"/>
  <c r="S783" i="6"/>
  <c r="S387" i="6"/>
  <c r="S767" i="6"/>
  <c r="S1073" i="6"/>
  <c r="S192" i="6"/>
  <c r="S689" i="6"/>
  <c r="S355" i="6"/>
  <c r="S206" i="6"/>
  <c r="S623" i="6"/>
  <c r="S773" i="6"/>
  <c r="S1211" i="6"/>
  <c r="S1419" i="6"/>
  <c r="S470" i="6"/>
  <c r="S288" i="6"/>
  <c r="S264" i="6"/>
  <c r="S499" i="6"/>
  <c r="S43" i="6"/>
  <c r="S727" i="6"/>
  <c r="S1337" i="6"/>
  <c r="S42" i="6"/>
  <c r="S207" i="6"/>
  <c r="S260" i="6"/>
  <c r="S212" i="6"/>
  <c r="S741" i="6"/>
  <c r="S925" i="6"/>
  <c r="S599" i="6"/>
  <c r="S787" i="6"/>
  <c r="S715" i="6"/>
  <c r="S653" i="6"/>
  <c r="S519" i="6"/>
  <c r="S290" i="6"/>
  <c r="S128" i="6"/>
  <c r="S607" i="6"/>
  <c r="S613" i="6"/>
  <c r="S1228" i="6"/>
  <c r="S1325" i="6"/>
  <c r="S85" i="6"/>
  <c r="S821" i="6"/>
  <c r="S234" i="6"/>
  <c r="S154" i="6"/>
  <c r="S423" i="6"/>
  <c r="S365" i="6"/>
  <c r="S12" i="6"/>
  <c r="S1093" i="6"/>
  <c r="S587" i="6"/>
  <c r="S1376" i="6"/>
  <c r="S134" i="6"/>
  <c r="S471" i="6"/>
  <c r="S1139" i="6"/>
  <c r="S769" i="6"/>
  <c r="S363" i="6"/>
  <c r="S885" i="6"/>
  <c r="S1050" i="6"/>
  <c r="S1386" i="6"/>
  <c r="S1346" i="6"/>
  <c r="S1405" i="6"/>
  <c r="S1066" i="6"/>
  <c r="S249" i="6"/>
  <c r="S265" i="6"/>
  <c r="S793" i="6"/>
  <c r="S150" i="6"/>
  <c r="S36" i="6"/>
  <c r="S931" i="6"/>
  <c r="S166" i="6"/>
  <c r="S251" i="6"/>
  <c r="S283" i="6"/>
  <c r="S1197" i="6"/>
  <c r="S731" i="6"/>
  <c r="S563" i="6"/>
  <c r="S359" i="6"/>
  <c r="S503" i="6"/>
  <c r="S1057" i="6"/>
  <c r="S979" i="6"/>
  <c r="S1133" i="6"/>
  <c r="S555" i="6"/>
  <c r="S913" i="6"/>
  <c r="S226" i="6"/>
  <c r="S152" i="6"/>
  <c r="S1280" i="6"/>
  <c r="S1326" i="6"/>
  <c r="S188" i="6"/>
  <c r="S1322" i="6"/>
  <c r="S791" i="6"/>
  <c r="S635" i="6"/>
  <c r="S275" i="6"/>
  <c r="S433" i="6"/>
  <c r="S3" i="6"/>
  <c r="D3" i="7" s="1"/>
  <c r="S1418" i="6"/>
  <c r="S1414" i="6"/>
  <c r="S1258" i="6"/>
  <c r="S171" i="6"/>
  <c r="S110" i="6"/>
  <c r="S1111" i="6"/>
  <c r="S1232" i="6"/>
  <c r="S1421" i="6"/>
  <c r="S1383" i="6"/>
  <c r="S1121" i="6"/>
  <c r="S21" i="6"/>
  <c r="S1127" i="6"/>
  <c r="S681" i="6"/>
  <c r="S449" i="6"/>
  <c r="S109" i="6"/>
  <c r="S992" i="6"/>
  <c r="S1219" i="6"/>
  <c r="S83" i="6"/>
  <c r="S869" i="6"/>
  <c r="S875" i="6"/>
  <c r="S1332" i="6"/>
  <c r="S739" i="6"/>
  <c r="S419" i="6"/>
  <c r="S1260" i="6"/>
  <c r="S581" i="6"/>
  <c r="S895" i="6"/>
  <c r="S90" i="6"/>
  <c r="S667" i="6"/>
  <c r="S115" i="6"/>
  <c r="S242" i="6"/>
  <c r="S351" i="6"/>
  <c r="S687" i="6"/>
  <c r="S1028" i="6"/>
  <c r="S174" i="6"/>
  <c r="S194" i="6"/>
  <c r="S287" i="6"/>
  <c r="S68" i="6"/>
  <c r="S1220" i="6"/>
  <c r="S395" i="6"/>
  <c r="S533" i="6"/>
  <c r="S1290" i="6"/>
  <c r="S1323" i="6"/>
  <c r="S23" i="6"/>
  <c r="S775" i="6"/>
  <c r="S1113" i="6"/>
  <c r="S405" i="6"/>
  <c r="S272" i="6"/>
  <c r="S811" i="6"/>
  <c r="S126" i="6"/>
  <c r="S230" i="6"/>
  <c r="S88" i="6"/>
  <c r="S901" i="6"/>
  <c r="S977" i="6"/>
  <c r="S84" i="6"/>
  <c r="S1183" i="6"/>
  <c r="S67" i="6"/>
  <c r="S683" i="6"/>
  <c r="S1181" i="6"/>
  <c r="S184" i="6"/>
  <c r="S1328" i="6"/>
  <c r="S1340" i="6"/>
  <c r="S1389" i="6"/>
  <c r="S1354" i="6"/>
  <c r="S1374" i="6"/>
  <c r="S972" i="6"/>
  <c r="S434" i="6"/>
  <c r="S391" i="6"/>
  <c r="S859" i="6"/>
  <c r="S1193" i="6"/>
  <c r="S70" i="6"/>
  <c r="S549" i="6"/>
  <c r="S54" i="6"/>
  <c r="S845" i="6"/>
  <c r="S72" i="6"/>
  <c r="S1310" i="6"/>
  <c r="S370" i="6"/>
  <c r="S209" i="6"/>
  <c r="S1273" i="6"/>
  <c r="S1289" i="6"/>
  <c r="S253" i="6"/>
  <c r="S167" i="6"/>
  <c r="S1217" i="6"/>
  <c r="S1352" i="6"/>
  <c r="S143" i="6"/>
  <c r="S78" i="6"/>
  <c r="S1342" i="6"/>
  <c r="S1364" i="6"/>
  <c r="S1304" i="6"/>
  <c r="S1240" i="6"/>
  <c r="S1248" i="6"/>
  <c r="S1022" i="6"/>
  <c r="S949" i="6"/>
  <c r="S883" i="6"/>
  <c r="S604" i="6"/>
  <c r="S611" i="6"/>
  <c r="S551" i="6"/>
  <c r="S402" i="6"/>
  <c r="S220" i="6"/>
  <c r="S441" i="6"/>
  <c r="S603" i="6"/>
  <c r="S527" i="6"/>
  <c r="S1298" i="6"/>
  <c r="S246" i="6"/>
  <c r="S131" i="6"/>
  <c r="S417" i="6"/>
  <c r="S1043" i="6"/>
  <c r="S1089" i="6"/>
  <c r="S707" i="6"/>
  <c r="S182" i="6"/>
  <c r="S213" i="6"/>
  <c r="S401" i="6"/>
  <c r="S1119" i="6"/>
  <c r="S195" i="6"/>
  <c r="S240" i="6"/>
  <c r="S148" i="6"/>
  <c r="S161" i="6"/>
  <c r="S843" i="6"/>
  <c r="S191" i="6"/>
  <c r="S193" i="6"/>
  <c r="S256" i="6"/>
  <c r="S175" i="6"/>
  <c r="S1023" i="6"/>
  <c r="S100" i="6"/>
  <c r="S74" i="6"/>
  <c r="S1013" i="6"/>
  <c r="S63" i="6"/>
  <c r="S933" i="6"/>
  <c r="S293" i="6"/>
  <c r="S1205" i="6"/>
  <c r="S876" i="6"/>
  <c r="S655" i="6"/>
  <c r="S498" i="6"/>
  <c r="S529" i="6"/>
  <c r="S1373" i="6"/>
  <c r="S77" i="6"/>
  <c r="S299" i="6"/>
  <c r="S593" i="6"/>
  <c r="S89" i="6"/>
  <c r="S959" i="6"/>
  <c r="S1428" i="6"/>
  <c r="S1247" i="6"/>
  <c r="S1254" i="6"/>
  <c r="S923" i="6"/>
  <c r="S1014" i="6"/>
  <c r="S1060" i="6"/>
  <c r="S920" i="6"/>
  <c r="S789" i="6"/>
  <c r="S815" i="6"/>
  <c r="S685" i="6"/>
  <c r="S598" i="6"/>
  <c r="S557" i="6"/>
  <c r="S629" i="6"/>
  <c r="S761" i="6"/>
  <c r="S341" i="6"/>
  <c r="S250" i="6"/>
  <c r="S308" i="6"/>
  <c r="S753" i="6"/>
  <c r="S1191" i="6"/>
  <c r="S1242" i="6"/>
  <c r="S1407" i="6"/>
  <c r="S1393" i="6"/>
  <c r="S120" i="6"/>
  <c r="S55" i="6"/>
  <c r="S1071" i="6"/>
  <c r="S368" i="6"/>
  <c r="S130" i="6"/>
  <c r="S1321" i="6"/>
  <c r="S113" i="6"/>
  <c r="S223" i="6"/>
  <c r="S44" i="6"/>
  <c r="S32" i="6"/>
  <c r="S643" i="6"/>
  <c r="S186" i="6"/>
  <c r="S276" i="6"/>
  <c r="S1329" i="6"/>
  <c r="S515" i="6"/>
  <c r="S1035" i="6"/>
  <c r="S1036" i="6"/>
  <c r="S1155" i="6"/>
  <c r="S64" i="6"/>
  <c r="S180" i="6"/>
  <c r="S865" i="6"/>
  <c r="S571" i="6"/>
  <c r="S61" i="6"/>
  <c r="S199" i="6"/>
  <c r="S1410" i="6"/>
  <c r="S1348" i="6"/>
  <c r="S1330" i="6"/>
  <c r="S1272" i="6"/>
  <c r="S1261" i="6"/>
  <c r="S1126" i="6"/>
  <c r="S1006" i="6"/>
  <c r="S971" i="6"/>
  <c r="S904" i="6"/>
  <c r="S626" i="6"/>
  <c r="S580" i="6"/>
  <c r="S335" i="6"/>
  <c r="S329" i="6"/>
  <c r="S136" i="6"/>
  <c r="S317" i="6"/>
  <c r="S340" i="6"/>
  <c r="S453" i="6"/>
  <c r="S445" i="6"/>
  <c r="S1078" i="6"/>
  <c r="S190" i="6"/>
  <c r="S157" i="6"/>
  <c r="S870" i="6"/>
  <c r="S831" i="6"/>
  <c r="S367" i="6"/>
  <c r="S208" i="6"/>
  <c r="S198" i="6"/>
  <c r="S316" i="6"/>
  <c r="S439" i="6"/>
  <c r="S631" i="6"/>
  <c r="S1030" i="6"/>
  <c r="S1151" i="6"/>
  <c r="S1123" i="6"/>
  <c r="S183" i="6"/>
  <c r="S158" i="6"/>
  <c r="S1422" i="6"/>
  <c r="S1388" i="6"/>
  <c r="S1426" i="6"/>
  <c r="S1368" i="6"/>
  <c r="S1371" i="6"/>
  <c r="S1233" i="6"/>
  <c r="S1229" i="6"/>
  <c r="S1256" i="6"/>
  <c r="S967" i="6"/>
  <c r="S984" i="6"/>
  <c r="S615" i="6"/>
  <c r="S566" i="6"/>
  <c r="S438" i="6"/>
  <c r="S294" i="6"/>
  <c r="S132" i="6"/>
  <c r="S225" i="6"/>
  <c r="S384" i="6"/>
  <c r="S361" i="6"/>
  <c r="S721" i="6"/>
  <c r="S837" i="6"/>
  <c r="S1143" i="6"/>
  <c r="S1224" i="6"/>
  <c r="S897" i="6"/>
  <c r="S547" i="6"/>
  <c r="S286" i="6"/>
  <c r="S465" i="6"/>
  <c r="S1161" i="6"/>
  <c r="S1372" i="6"/>
  <c r="S1227" i="6"/>
  <c r="S1194" i="6"/>
  <c r="S844" i="6"/>
  <c r="S278" i="6"/>
  <c r="S1159" i="6"/>
  <c r="S163" i="6"/>
  <c r="S1184" i="6"/>
  <c r="S160" i="6"/>
  <c r="S321" i="6"/>
  <c r="S105" i="6"/>
  <c r="S497" i="6"/>
  <c r="S1061" i="6"/>
  <c r="S1216" i="6"/>
  <c r="S1135" i="6"/>
  <c r="S5" i="6"/>
  <c r="S1358" i="6"/>
  <c r="S1305" i="6"/>
  <c r="S873" i="6"/>
  <c r="S601" i="6"/>
  <c r="S526" i="6"/>
  <c r="S1417" i="6"/>
  <c r="S39" i="6"/>
  <c r="S1312" i="6"/>
  <c r="S1097" i="6"/>
  <c r="S1059" i="6"/>
  <c r="S926" i="6"/>
  <c r="S990" i="6"/>
  <c r="S630" i="6"/>
  <c r="S414" i="6"/>
  <c r="S282" i="6"/>
  <c r="S310" i="6"/>
  <c r="S258" i="6"/>
  <c r="S891" i="6"/>
  <c r="S1363" i="6"/>
  <c r="S1350" i="6"/>
  <c r="S1338" i="6"/>
  <c r="S1218" i="6"/>
  <c r="S1170" i="6"/>
  <c r="S1091" i="6"/>
  <c r="S1038" i="6"/>
  <c r="S1000" i="6"/>
  <c r="S947" i="6"/>
  <c r="S968" i="6"/>
  <c r="S966" i="6"/>
  <c r="S970" i="6"/>
  <c r="S910" i="6"/>
  <c r="S834" i="6"/>
  <c r="S729" i="6"/>
  <c r="S633" i="6"/>
  <c r="S562" i="6"/>
  <c r="S399" i="6"/>
  <c r="S410" i="6"/>
  <c r="S406" i="6"/>
  <c r="S474" i="6"/>
  <c r="S82" i="6"/>
  <c r="S106" i="6"/>
  <c r="S279" i="6"/>
  <c r="S296" i="6"/>
  <c r="S394" i="6"/>
  <c r="S325" i="6"/>
  <c r="S444" i="6"/>
  <c r="S734" i="6"/>
  <c r="S645" i="6"/>
  <c r="S315" i="6"/>
  <c r="S11" i="6"/>
  <c r="S319" i="6"/>
  <c r="S94" i="6"/>
  <c r="S6" i="6"/>
  <c r="S51" i="6"/>
  <c r="S792" i="6"/>
  <c r="S677" i="6"/>
  <c r="S1020" i="6"/>
  <c r="S1171" i="6"/>
  <c r="S1098" i="6"/>
  <c r="S30" i="6"/>
  <c r="S66" i="6"/>
  <c r="S1015" i="6"/>
  <c r="S983" i="6"/>
  <c r="S1294" i="6"/>
  <c r="S982" i="6"/>
  <c r="S1096" i="6"/>
  <c r="S124" i="6"/>
  <c r="S236" i="6"/>
  <c r="S300" i="6"/>
  <c r="S339" i="6"/>
  <c r="S907" i="6"/>
  <c r="S102" i="6"/>
  <c r="S215" i="6"/>
  <c r="S22" i="6"/>
  <c r="S1262" i="6"/>
  <c r="S1420" i="6"/>
  <c r="S1152" i="6"/>
  <c r="S1140" i="6"/>
  <c r="S957" i="6"/>
  <c r="S993" i="6"/>
  <c r="S1100" i="6"/>
  <c r="S1025" i="6"/>
  <c r="S1033" i="6"/>
  <c r="S1012" i="6"/>
  <c r="S936" i="6"/>
  <c r="S902" i="6"/>
  <c r="S991" i="6"/>
  <c r="S1044" i="6"/>
  <c r="S777" i="6"/>
  <c r="S848" i="6"/>
  <c r="S556" i="6"/>
  <c r="S513" i="6"/>
  <c r="S200" i="6"/>
  <c r="S40" i="6"/>
  <c r="S421" i="6"/>
  <c r="S1117" i="6"/>
  <c r="S9" i="6"/>
  <c r="S1293" i="6"/>
  <c r="S1384" i="6"/>
  <c r="S2" i="6"/>
  <c r="S1434" i="6"/>
  <c r="S1430" i="6"/>
  <c r="S1378" i="6"/>
  <c r="S1316" i="6"/>
  <c r="S1265" i="6"/>
  <c r="S1094" i="6"/>
  <c r="S953" i="6"/>
  <c r="S973" i="6"/>
  <c r="S969" i="6"/>
  <c r="S804" i="6"/>
  <c r="S824" i="6"/>
  <c r="S671" i="6"/>
  <c r="S591" i="6"/>
  <c r="S647" i="6"/>
  <c r="S378" i="6"/>
  <c r="S228" i="6"/>
  <c r="S420" i="6"/>
  <c r="S168" i="6"/>
  <c r="S397" i="6"/>
  <c r="S222" i="6"/>
  <c r="S1286" i="6"/>
  <c r="S1208" i="6"/>
  <c r="S1085" i="6"/>
  <c r="S1108" i="6"/>
  <c r="S964" i="6"/>
  <c r="S862" i="6"/>
  <c r="S589" i="6"/>
  <c r="S638" i="6"/>
  <c r="S442" i="6"/>
  <c r="S245" i="6"/>
  <c r="S543" i="6"/>
  <c r="S522" i="6"/>
  <c r="S422" i="6"/>
  <c r="S619" i="6"/>
  <c r="S614" i="6"/>
  <c r="S620" i="6"/>
  <c r="S986" i="6"/>
  <c r="S788" i="6"/>
  <c r="S714" i="6"/>
  <c r="S884" i="6"/>
  <c r="S912" i="6"/>
  <c r="S1016" i="6"/>
  <c r="S864" i="6"/>
  <c r="S1136" i="6"/>
  <c r="S1309" i="6"/>
  <c r="S52" i="6"/>
  <c r="S101" i="6"/>
  <c r="S1356" i="6"/>
  <c r="S1359" i="6"/>
  <c r="S1267" i="6"/>
  <c r="S1438" i="6"/>
  <c r="S1408" i="6"/>
  <c r="S1018" i="6"/>
  <c r="S838" i="6"/>
  <c r="S584" i="6"/>
  <c r="S650" i="6"/>
  <c r="S374" i="6"/>
  <c r="S204" i="6"/>
  <c r="S1109" i="6"/>
  <c r="S1236" i="6"/>
  <c r="S87" i="6"/>
  <c r="S122" i="6"/>
  <c r="S145" i="6"/>
  <c r="S7" i="6"/>
  <c r="S808" i="6"/>
  <c r="S467" i="6"/>
  <c r="S144" i="6"/>
  <c r="S135" i="6"/>
  <c r="S29" i="6"/>
  <c r="S898" i="6"/>
  <c r="S802" i="6"/>
  <c r="S463" i="6"/>
  <c r="S502" i="6"/>
  <c r="S320" i="6"/>
  <c r="S1399" i="6"/>
  <c r="S1398" i="6"/>
  <c r="S65" i="6"/>
  <c r="S46" i="6"/>
  <c r="S96" i="6"/>
  <c r="S1215" i="6"/>
  <c r="S908" i="6"/>
  <c r="S819" i="6"/>
  <c r="S723" i="6"/>
  <c r="S573" i="6"/>
  <c r="S451" i="6"/>
  <c r="S350" i="6"/>
  <c r="S324" i="6"/>
  <c r="S137" i="6"/>
  <c r="S1203" i="6"/>
  <c r="S151" i="6"/>
  <c r="S416" i="6"/>
  <c r="S1250" i="6"/>
  <c r="S1387" i="6"/>
  <c r="S1396" i="6"/>
  <c r="S1355" i="6"/>
  <c r="S1324" i="6"/>
  <c r="S1276" i="6"/>
  <c r="S1188" i="6"/>
  <c r="S1202" i="6"/>
  <c r="S1402" i="6"/>
  <c r="S1263" i="6"/>
  <c r="S1245" i="6"/>
  <c r="S1144" i="6"/>
  <c r="S1076" i="6"/>
  <c r="S911" i="6"/>
  <c r="S888" i="6"/>
  <c r="S927" i="6"/>
  <c r="S988" i="6"/>
  <c r="S887" i="6"/>
  <c r="S918" i="6"/>
  <c r="S1083" i="6"/>
  <c r="S855" i="6"/>
  <c r="S892" i="6"/>
  <c r="S932" i="6"/>
  <c r="S771" i="6"/>
  <c r="S717" i="6"/>
  <c r="S841" i="6"/>
  <c r="S605" i="6"/>
  <c r="S586" i="6"/>
  <c r="S430" i="6"/>
  <c r="S336" i="6"/>
  <c r="S140" i="6"/>
  <c r="S357" i="6"/>
  <c r="S349" i="6"/>
  <c r="S552" i="6"/>
  <c r="S524" i="6"/>
  <c r="S456" i="6"/>
  <c r="S708" i="6"/>
  <c r="S564" i="6"/>
  <c r="S726" i="6"/>
  <c r="S750" i="6"/>
  <c r="S712" i="6"/>
  <c r="S1039" i="6"/>
  <c r="S774" i="6"/>
  <c r="S1092" i="6"/>
  <c r="S900" i="6"/>
  <c r="S980" i="6"/>
  <c r="S871" i="6"/>
  <c r="S1134" i="6"/>
  <c r="S1195" i="6"/>
  <c r="S1213" i="6"/>
  <c r="S1281" i="6"/>
  <c r="S1131" i="6"/>
  <c r="S1335" i="6"/>
  <c r="S1297" i="6"/>
  <c r="S1423" i="6"/>
  <c r="S28" i="6"/>
  <c r="S159" i="6"/>
  <c r="S71" i="6"/>
  <c r="S141" i="6"/>
  <c r="S281" i="6"/>
  <c r="S111" i="6"/>
  <c r="S49" i="6"/>
  <c r="S1176" i="6"/>
  <c r="S1382" i="6"/>
  <c r="S1390" i="6"/>
  <c r="S1198" i="6"/>
  <c r="S1103" i="6"/>
  <c r="S1299" i="6"/>
  <c r="S987" i="6"/>
  <c r="S956" i="6"/>
  <c r="S780" i="6"/>
  <c r="S880" i="6"/>
  <c r="S679" i="6"/>
  <c r="S816" i="6"/>
  <c r="S636" i="6"/>
  <c r="S418" i="6"/>
  <c r="S398" i="6"/>
  <c r="S535" i="6"/>
  <c r="S323" i="6"/>
  <c r="S328" i="6"/>
  <c r="S360" i="6"/>
  <c r="S525" i="6"/>
  <c r="S314" i="6"/>
  <c r="S561" i="6"/>
  <c r="S536" i="6"/>
  <c r="S473" i="6"/>
  <c r="S518" i="6"/>
  <c r="S512" i="6"/>
  <c r="S538" i="6"/>
  <c r="S674" i="6"/>
  <c r="S730" i="6"/>
  <c r="S758" i="6"/>
  <c r="S800" i="6"/>
  <c r="S836" i="6"/>
  <c r="S744" i="6"/>
  <c r="S1048" i="6"/>
  <c r="S776" i="6"/>
  <c r="S874" i="6"/>
  <c r="S928" i="6"/>
  <c r="S1040" i="6"/>
  <c r="S886" i="6"/>
  <c r="S1079" i="6"/>
  <c r="S1080" i="6"/>
  <c r="S1141" i="6"/>
  <c r="S1253" i="6"/>
  <c r="S1225" i="6"/>
  <c r="S1397" i="6"/>
  <c r="S20" i="6"/>
  <c r="S289" i="6"/>
  <c r="S73" i="6"/>
  <c r="S133" i="6"/>
  <c r="S263" i="6"/>
  <c r="S107" i="6"/>
  <c r="S1278" i="6"/>
  <c r="S1142" i="6"/>
  <c r="S795" i="6"/>
  <c r="S478" i="6"/>
  <c r="S114" i="6"/>
  <c r="S482" i="6"/>
  <c r="S271" i="6"/>
  <c r="S457" i="6"/>
  <c r="S305" i="6"/>
  <c r="S344" i="6"/>
  <c r="S590" i="6"/>
  <c r="S488" i="6"/>
  <c r="S600" i="6"/>
  <c r="S609" i="6"/>
  <c r="S706" i="6"/>
  <c r="S747" i="6"/>
  <c r="S794" i="6"/>
  <c r="S832" i="6"/>
  <c r="S716" i="6"/>
  <c r="S820" i="6"/>
  <c r="S778" i="6"/>
  <c r="S960" i="6"/>
  <c r="S903" i="6"/>
  <c r="S1122" i="6"/>
  <c r="S1138" i="6"/>
  <c r="S1148" i="6"/>
  <c r="S1114" i="6"/>
  <c r="S1231" i="6"/>
  <c r="S1341" i="6"/>
  <c r="S297" i="6"/>
  <c r="S179" i="6"/>
  <c r="S57" i="6"/>
  <c r="S259" i="6"/>
  <c r="S13" i="6"/>
  <c r="S35" i="6"/>
  <c r="S505" i="6"/>
  <c r="S548" i="6"/>
  <c r="S570" i="6"/>
  <c r="S661" i="6"/>
  <c r="S634" i="6"/>
  <c r="S738" i="6"/>
  <c r="S762" i="6"/>
  <c r="S656" i="6"/>
  <c r="S733" i="6"/>
  <c r="S646" i="6"/>
  <c r="S890" i="6"/>
  <c r="S803" i="6"/>
  <c r="S906" i="6"/>
  <c r="S1053" i="6"/>
  <c r="S1095" i="6"/>
  <c r="S1145" i="6"/>
  <c r="S1157" i="6"/>
  <c r="S1130" i="6"/>
  <c r="S1165" i="6"/>
  <c r="S1307" i="6"/>
  <c r="S1252" i="6"/>
  <c r="S1137" i="6"/>
  <c r="S1377" i="6"/>
  <c r="S50" i="6"/>
  <c r="S15" i="6"/>
  <c r="S1327" i="6"/>
  <c r="S1409" i="6"/>
  <c r="S1282" i="6"/>
  <c r="S1380" i="6"/>
  <c r="S1223" i="6"/>
  <c r="S851" i="6"/>
  <c r="S866" i="6"/>
  <c r="S828" i="6"/>
  <c r="S814" i="6"/>
  <c r="S658" i="6"/>
  <c r="S622" i="6"/>
  <c r="S550" i="6"/>
  <c r="S640" i="6"/>
  <c r="S501" i="6"/>
  <c r="S403" i="6"/>
  <c r="S491" i="6"/>
  <c r="S432" i="6"/>
  <c r="S345" i="6"/>
  <c r="S298" i="6"/>
  <c r="S309" i="6"/>
  <c r="S425" i="6"/>
  <c r="S330" i="6"/>
  <c r="S489" i="6"/>
  <c r="S817" i="6"/>
  <c r="S411" i="6"/>
  <c r="S520" i="6"/>
  <c r="S696" i="6"/>
  <c r="S560" i="6"/>
  <c r="S664" i="6"/>
  <c r="S725" i="6"/>
  <c r="S782" i="6"/>
  <c r="S660" i="6"/>
  <c r="S673" i="6"/>
  <c r="S748" i="6"/>
  <c r="S914" i="6"/>
  <c r="S822" i="6"/>
  <c r="S930" i="6"/>
  <c r="S1024" i="6"/>
  <c r="S1056" i="6"/>
  <c r="S1063" i="6"/>
  <c r="S1164" i="6"/>
  <c r="S1153" i="6"/>
  <c r="S1209" i="6"/>
  <c r="S1179" i="6"/>
  <c r="S1301" i="6"/>
  <c r="S1169" i="6"/>
  <c r="S1403" i="6"/>
  <c r="S1313" i="6"/>
  <c r="S400" i="6"/>
  <c r="S277" i="6"/>
  <c r="S41" i="6"/>
  <c r="S333" i="6"/>
  <c r="S37" i="6"/>
  <c r="S79" i="6"/>
  <c r="S1259" i="6"/>
  <c r="S1243" i="6"/>
  <c r="S860" i="6"/>
  <c r="S999" i="6"/>
  <c r="S882" i="6"/>
  <c r="S382" i="6"/>
  <c r="S388" i="6"/>
  <c r="S424" i="6"/>
  <c r="S311" i="6"/>
  <c r="S506" i="6"/>
  <c r="S312" i="6"/>
  <c r="S429" i="6"/>
  <c r="S352" i="6"/>
  <c r="S493" i="6"/>
  <c r="S426" i="6"/>
  <c r="S532" i="6"/>
  <c r="S606" i="6"/>
  <c r="S612" i="6"/>
  <c r="S799" i="6"/>
  <c r="S790" i="6"/>
  <c r="S785" i="6"/>
  <c r="S688" i="6"/>
  <c r="S765" i="6"/>
  <c r="S678" i="6"/>
  <c r="S867" i="6"/>
  <c r="S962" i="6"/>
  <c r="S1037" i="6"/>
  <c r="S1070" i="6"/>
  <c r="S1087" i="6"/>
  <c r="S1104" i="6"/>
  <c r="S1160" i="6"/>
  <c r="S1315" i="6"/>
  <c r="S1201" i="6"/>
  <c r="S1391" i="6"/>
  <c r="S269" i="6"/>
  <c r="S48" i="6"/>
  <c r="S303" i="6"/>
  <c r="S255" i="6"/>
  <c r="S38" i="6"/>
  <c r="S306" i="6"/>
  <c r="S221" i="6"/>
  <c r="S1146" i="6"/>
  <c r="S1334" i="6"/>
  <c r="S1288" i="6"/>
  <c r="S1331" i="6"/>
  <c r="S796" i="6"/>
  <c r="S1264" i="6"/>
  <c r="S939" i="6"/>
  <c r="S829" i="6"/>
  <c r="S812" i="6"/>
  <c r="S899" i="6"/>
  <c r="S514" i="6"/>
  <c r="S496" i="6"/>
  <c r="S385" i="6"/>
  <c r="S595" i="6"/>
  <c r="S462" i="6"/>
  <c r="S302" i="6"/>
  <c r="S156" i="6"/>
  <c r="S284" i="6"/>
  <c r="S69" i="6"/>
  <c r="S322" i="6"/>
  <c r="S331" i="6"/>
  <c r="S390" i="6"/>
  <c r="S440" i="6"/>
  <c r="S369" i="6"/>
  <c r="S364" i="6"/>
  <c r="S610" i="6"/>
  <c r="S583" i="6"/>
  <c r="S443" i="6"/>
  <c r="S542" i="6"/>
  <c r="S757" i="6"/>
  <c r="S617" i="6"/>
  <c r="S637" i="6"/>
  <c r="S692" i="6"/>
  <c r="S705" i="6"/>
  <c r="S786" i="6"/>
  <c r="S1186" i="6"/>
  <c r="S942" i="6"/>
  <c r="S1026" i="6"/>
  <c r="S1046" i="6"/>
  <c r="S1075" i="6"/>
  <c r="S1226" i="6"/>
  <c r="S1187" i="6"/>
  <c r="S1149" i="6"/>
  <c r="S1291" i="6"/>
  <c r="S1319" i="6"/>
  <c r="S1317" i="6"/>
  <c r="S523" i="6"/>
  <c r="S147" i="6"/>
  <c r="S33" i="6"/>
  <c r="S26" i="6"/>
  <c r="S857" i="6"/>
  <c r="S616" i="6"/>
  <c r="S1308" i="6"/>
  <c r="S1432" i="6"/>
  <c r="S1375" i="6"/>
  <c r="S1300" i="6"/>
  <c r="S1279" i="6"/>
  <c r="S1266" i="6"/>
  <c r="S1427" i="6"/>
  <c r="S1237" i="6"/>
  <c r="S989" i="6"/>
  <c r="S1001" i="6"/>
  <c r="S1005" i="6"/>
  <c r="S1054" i="6"/>
  <c r="S809" i="6"/>
  <c r="S588" i="6"/>
  <c r="S481" i="6"/>
  <c r="S464" i="6"/>
  <c r="S574" i="6"/>
  <c r="S484" i="6"/>
  <c r="S537" i="6"/>
  <c r="S450" i="6"/>
  <c r="S356" i="6"/>
  <c r="S301" i="6"/>
  <c r="S62" i="6"/>
  <c r="S304" i="6"/>
  <c r="S412" i="6"/>
  <c r="S372" i="6"/>
  <c r="S376" i="6"/>
  <c r="S672" i="6"/>
  <c r="S644" i="6"/>
  <c r="S458" i="6"/>
  <c r="S354" i="6"/>
  <c r="S669" i="6"/>
  <c r="S766" i="6"/>
  <c r="S628" i="6"/>
  <c r="S649" i="6"/>
  <c r="S668" i="6"/>
  <c r="S713" i="6"/>
  <c r="S720" i="6"/>
  <c r="S826" i="6"/>
  <c r="S710" i="6"/>
  <c r="S946" i="6"/>
  <c r="S1034" i="6"/>
  <c r="S1049" i="6"/>
  <c r="S978" i="6"/>
  <c r="S1154" i="6"/>
  <c r="S1019" i="6"/>
  <c r="S1107" i="6"/>
  <c r="S1269" i="6"/>
  <c r="S1200" i="6"/>
  <c r="S1185" i="6"/>
  <c r="S1349" i="6"/>
  <c r="S1255" i="6"/>
  <c r="S1437" i="6"/>
  <c r="S247" i="6"/>
  <c r="S24" i="6"/>
  <c r="S4" i="6"/>
  <c r="S1416" i="6"/>
  <c r="S1292" i="6"/>
  <c r="S1336" i="6"/>
  <c r="S1429" i="6"/>
  <c r="S1234" i="6"/>
  <c r="S1406" i="6"/>
  <c r="S1424" i="6"/>
  <c r="S1436" i="6"/>
  <c r="S1404" i="6"/>
  <c r="S1413" i="6"/>
  <c r="S1412" i="6"/>
  <c r="S1411" i="6"/>
  <c r="S1110" i="6"/>
  <c r="S1166" i="6"/>
  <c r="S1180" i="6"/>
  <c r="S985" i="6"/>
  <c r="S1021" i="6"/>
  <c r="S997" i="6"/>
  <c r="S1178" i="6"/>
  <c r="S1045" i="6"/>
  <c r="S940" i="6"/>
  <c r="S798" i="6"/>
  <c r="S840" i="6"/>
  <c r="S813" i="6"/>
  <c r="S594" i="6"/>
  <c r="S954" i="6"/>
  <c r="S749" i="6"/>
  <c r="S541" i="6"/>
  <c r="S452" i="6"/>
  <c r="S409" i="6"/>
  <c r="S353" i="6"/>
  <c r="S510" i="6"/>
  <c r="S326" i="6"/>
  <c r="S393" i="6"/>
  <c r="S380" i="6"/>
  <c r="S676" i="6"/>
  <c r="S407" i="6"/>
  <c r="S404" i="6"/>
  <c r="S396" i="6"/>
  <c r="S475" i="6"/>
  <c r="S569" i="6"/>
  <c r="S371" i="6"/>
  <c r="S693" i="6"/>
  <c r="S702" i="6"/>
  <c r="S652" i="6"/>
  <c r="S700" i="6"/>
  <c r="S728" i="6"/>
  <c r="S724" i="6"/>
  <c r="S737" i="6"/>
  <c r="S827" i="6"/>
  <c r="S1042" i="6"/>
  <c r="S1004" i="6"/>
  <c r="S1084" i="6"/>
  <c r="S1124" i="6"/>
  <c r="S1105" i="6"/>
  <c r="S1212" i="6"/>
  <c r="S1249" i="6"/>
  <c r="S1115" i="6"/>
  <c r="S1275" i="6"/>
  <c r="S1333" i="6"/>
  <c r="S248" i="6"/>
  <c r="S239" i="6"/>
  <c r="S119" i="6"/>
  <c r="S243" i="6"/>
  <c r="S189" i="6"/>
  <c r="S53" i="6"/>
  <c r="S974" i="6"/>
  <c r="S534" i="6"/>
  <c r="S528" i="6"/>
  <c r="S495" i="6"/>
  <c r="S494" i="6"/>
  <c r="S558" i="6"/>
  <c r="S461" i="6"/>
  <c r="S181" i="6"/>
  <c r="S313" i="6"/>
  <c r="S476" i="6"/>
  <c r="S413" i="6"/>
  <c r="S490" i="6"/>
  <c r="S624" i="6"/>
  <c r="S545" i="6"/>
  <c r="S641" i="6"/>
  <c r="S568" i="6"/>
  <c r="S736" i="6"/>
  <c r="S554" i="6"/>
  <c r="S732" i="6"/>
  <c r="S745" i="6"/>
  <c r="S752" i="6"/>
  <c r="S742" i="6"/>
  <c r="S842" i="6"/>
  <c r="S994" i="6"/>
  <c r="S1009" i="6"/>
  <c r="S1017" i="6"/>
  <c r="S1099" i="6"/>
  <c r="S1204" i="6"/>
  <c r="S1177" i="6"/>
  <c r="S1163" i="6"/>
  <c r="S1271" i="6"/>
  <c r="S1285" i="6"/>
  <c r="S1369" i="6"/>
  <c r="S1365" i="6"/>
  <c r="S127" i="6"/>
  <c r="S217" i="6"/>
  <c r="S177" i="6"/>
  <c r="S125" i="6"/>
  <c r="S19" i="6"/>
  <c r="S1062" i="6"/>
  <c r="S919" i="6"/>
  <c r="S877" i="6"/>
  <c r="S665" i="6"/>
  <c r="S743" i="6"/>
  <c r="S861" i="6"/>
  <c r="S446" i="6"/>
  <c r="S129" i="6"/>
  <c r="S332" i="6"/>
  <c r="S521" i="6"/>
  <c r="S436" i="6"/>
  <c r="S428" i="6"/>
  <c r="S507" i="6"/>
  <c r="S632" i="6"/>
  <c r="S579" i="6"/>
  <c r="S575" i="6"/>
  <c r="S764" i="6"/>
  <c r="S760" i="6"/>
  <c r="S756" i="6"/>
  <c r="S781" i="6"/>
  <c r="S682" i="6"/>
  <c r="S759" i="6"/>
  <c r="S976" i="6"/>
  <c r="S858" i="6"/>
  <c r="S1058" i="6"/>
  <c r="S1239" i="6"/>
  <c r="S1047" i="6"/>
  <c r="S1102" i="6"/>
  <c r="S1052" i="6"/>
  <c r="S1199" i="6"/>
  <c r="S1116" i="6"/>
  <c r="S1182" i="6"/>
  <c r="S1311" i="6"/>
  <c r="S1295" i="6"/>
  <c r="S1435" i="6"/>
  <c r="S1351" i="6"/>
  <c r="S59" i="6"/>
  <c r="S235" i="6"/>
  <c r="S108" i="6"/>
  <c r="S93" i="6"/>
  <c r="S205" i="6"/>
  <c r="S117" i="6"/>
  <c r="S1162" i="6"/>
  <c r="S1347" i="6"/>
  <c r="S1379" i="6"/>
  <c r="S231" i="6"/>
  <c r="S202" i="6"/>
  <c r="S197" i="6"/>
  <c r="S241" i="6"/>
  <c r="S924" i="6"/>
  <c r="S1283" i="6"/>
  <c r="S1235" i="6"/>
  <c r="S921" i="6"/>
  <c r="S863" i="6"/>
  <c r="S922" i="6"/>
  <c r="S618" i="6"/>
  <c r="S981" i="6"/>
  <c r="S654" i="6"/>
  <c r="S572" i="6"/>
  <c r="S578" i="6"/>
  <c r="S386" i="6"/>
  <c r="S435" i="6"/>
  <c r="S546" i="6"/>
  <c r="S540" i="6"/>
  <c r="S358" i="6"/>
  <c r="S95" i="6"/>
  <c r="S381" i="6"/>
  <c r="S508" i="6"/>
  <c r="S468" i="6"/>
  <c r="S460" i="6"/>
  <c r="S531" i="6"/>
  <c r="S627" i="6"/>
  <c r="S684" i="6"/>
  <c r="S592" i="6"/>
  <c r="S651" i="6"/>
  <c r="S818" i="6"/>
  <c r="S849" i="6"/>
  <c r="S846" i="6"/>
  <c r="S746" i="6"/>
  <c r="S807" i="6"/>
  <c r="S1051" i="6"/>
  <c r="S1029" i="6"/>
  <c r="S881" i="6"/>
  <c r="S1168" i="6"/>
  <c r="S1072" i="6"/>
  <c r="S1189" i="6"/>
  <c r="S1112" i="6"/>
  <c r="S1343" i="6"/>
  <c r="S1361" i="6"/>
  <c r="S1395" i="6"/>
  <c r="S227" i="6"/>
  <c r="S273" i="6"/>
  <c r="S185" i="6"/>
  <c r="S1156" i="6"/>
  <c r="S965" i="6"/>
  <c r="S950" i="6"/>
  <c r="S958" i="6"/>
  <c r="S856" i="6"/>
  <c r="S806" i="6"/>
  <c r="S659" i="6"/>
  <c r="S567" i="6"/>
  <c r="S431" i="6"/>
  <c r="S318" i="6"/>
  <c r="S327" i="6"/>
  <c r="S485" i="6"/>
  <c r="S477" i="6"/>
  <c r="S454" i="6"/>
  <c r="S448" i="6"/>
  <c r="S704" i="6"/>
  <c r="S1010" i="6"/>
  <c r="S666" i="6"/>
  <c r="S835" i="6"/>
  <c r="S690" i="6"/>
  <c r="S878" i="6"/>
  <c r="S810" i="6"/>
  <c r="S768" i="6"/>
  <c r="S852" i="6"/>
  <c r="S896" i="6"/>
  <c r="S1041" i="6"/>
  <c r="S1147" i="6"/>
  <c r="S1088" i="6"/>
  <c r="S1128" i="6"/>
  <c r="S1241" i="6"/>
  <c r="S1125" i="6"/>
  <c r="S1357" i="6"/>
  <c r="S1339" i="6"/>
  <c r="S139" i="6"/>
  <c r="S170" i="6"/>
  <c r="S97" i="6"/>
  <c r="S268" i="6"/>
  <c r="S237" i="6"/>
  <c r="S173" i="6"/>
  <c r="S25" i="6"/>
  <c r="S1400" i="6"/>
  <c r="S1251" i="6"/>
  <c r="S1320" i="6"/>
  <c r="S1214" i="6"/>
  <c r="S1082" i="6"/>
  <c r="S1206" i="6"/>
  <c r="S1190" i="6"/>
  <c r="S1032" i="6"/>
  <c r="S1174" i="6"/>
  <c r="S938" i="6"/>
  <c r="S1068" i="6"/>
  <c r="S952" i="6"/>
  <c r="S894" i="6"/>
  <c r="S872" i="6"/>
  <c r="S755" i="6"/>
  <c r="S697" i="6"/>
  <c r="S711" i="6"/>
  <c r="S516" i="6"/>
  <c r="S366" i="6"/>
  <c r="S830" i="6"/>
  <c r="S362" i="6"/>
  <c r="S172" i="6"/>
  <c r="S292" i="6"/>
  <c r="S337" i="6"/>
  <c r="S346" i="6"/>
  <c r="S389" i="6"/>
  <c r="S500" i="6"/>
  <c r="S492" i="6"/>
  <c r="S576" i="6"/>
  <c r="S670" i="6"/>
  <c r="S596" i="6"/>
  <c r="S740" i="6"/>
  <c r="S602" i="6"/>
  <c r="S662" i="6"/>
  <c r="S722" i="6"/>
  <c r="S686" i="6"/>
  <c r="S850" i="6"/>
  <c r="S944" i="6"/>
  <c r="S770" i="6"/>
  <c r="S868" i="6"/>
  <c r="S916" i="6"/>
  <c r="S839" i="6"/>
  <c r="S1173" i="6"/>
  <c r="S1150" i="6"/>
  <c r="S1158" i="6"/>
  <c r="S1257" i="6"/>
  <c r="S1385" i="6"/>
  <c r="S1381" i="6"/>
  <c r="S1425" i="6"/>
  <c r="S211" i="6"/>
  <c r="S165" i="6"/>
  <c r="S91" i="6"/>
  <c r="S14" i="6"/>
  <c r="S905" i="6"/>
  <c r="S934" i="6"/>
  <c r="S941" i="6"/>
  <c r="S648" i="6"/>
  <c r="S642" i="6"/>
  <c r="S392" i="6"/>
  <c r="S479" i="6"/>
  <c r="S377" i="6"/>
  <c r="S544" i="6"/>
  <c r="S379" i="6"/>
  <c r="S347" i="6"/>
  <c r="S408" i="6"/>
  <c r="S348" i="6"/>
  <c r="S504" i="6"/>
  <c r="S472" i="6"/>
  <c r="S517" i="6"/>
  <c r="S509" i="6"/>
  <c r="S608" i="6"/>
  <c r="S486" i="6"/>
  <c r="S480" i="6"/>
  <c r="S701" i="6"/>
  <c r="S582" i="6"/>
  <c r="S698" i="6"/>
  <c r="S694" i="6"/>
  <c r="S754" i="6"/>
  <c r="S718" i="6"/>
  <c r="S680" i="6"/>
  <c r="S772" i="6"/>
  <c r="S1055" i="6"/>
  <c r="S948" i="6"/>
  <c r="S854" i="6"/>
  <c r="S1210" i="6"/>
  <c r="S1118" i="6"/>
  <c r="S1192" i="6"/>
  <c r="S1172" i="6"/>
  <c r="S1196" i="6"/>
  <c r="S1268" i="6"/>
  <c r="S1129" i="6"/>
  <c r="S1303" i="6"/>
  <c r="S1367" i="6"/>
  <c r="S103" i="6"/>
  <c r="S138" i="6"/>
  <c r="S121" i="6"/>
  <c r="S153" i="6"/>
  <c r="S285" i="6"/>
  <c r="S267" i="6"/>
  <c r="S27" i="6"/>
  <c r="S10" i="6"/>
  <c r="B3" i="7" l="1"/>
  <c r="D689" i="7"/>
  <c r="D233" i="7"/>
  <c r="C3" i="7"/>
  <c r="C342" i="7"/>
  <c r="D210" i="7"/>
  <c r="D36" i="7"/>
  <c r="B86" i="7"/>
  <c r="D8" i="7"/>
  <c r="D597" i="7"/>
  <c r="C192" i="7"/>
  <c r="C363" i="7"/>
  <c r="D539" i="7"/>
  <c r="D196" i="7"/>
  <c r="D585" i="7"/>
  <c r="D219" i="7"/>
  <c r="C599" i="7"/>
  <c r="D257" i="7"/>
  <c r="D76" i="7"/>
  <c r="D169" i="7"/>
  <c r="C338" i="7"/>
  <c r="B266" i="7"/>
  <c r="D295" i="7"/>
  <c r="D150" i="7"/>
  <c r="D203" i="7"/>
  <c r="D85" i="7"/>
  <c r="D599" i="7"/>
  <c r="D373" i="7"/>
  <c r="D587" i="7"/>
  <c r="D607" i="7"/>
  <c r="B731" i="7"/>
  <c r="B691" i="7"/>
  <c r="C154" i="7"/>
  <c r="C288" i="7"/>
  <c r="B218" i="7"/>
  <c r="D224" i="7"/>
  <c r="D553" i="7"/>
  <c r="D280" i="7"/>
  <c r="B585" i="7"/>
  <c r="C166" i="7"/>
  <c r="B116" i="7"/>
  <c r="D519" i="7"/>
  <c r="D375" i="7"/>
  <c r="D423" i="7"/>
  <c r="D635" i="7"/>
  <c r="D252" i="7"/>
  <c r="D471" i="7"/>
  <c r="C214" i="7"/>
  <c r="B483" i="7"/>
  <c r="D565" i="7"/>
  <c r="B703" i="7"/>
  <c r="D265" i="7"/>
  <c r="D503" i="7"/>
  <c r="D365" i="7"/>
  <c r="C128" i="7"/>
  <c r="B187" i="7"/>
  <c r="C251" i="7"/>
  <c r="D559" i="7"/>
  <c r="D134" i="7"/>
  <c r="D81" i="7"/>
  <c r="D621" i="7"/>
  <c r="C270" i="7"/>
  <c r="D118" i="7"/>
  <c r="C519" i="7"/>
  <c r="D466" i="7"/>
  <c r="D338" i="7"/>
  <c r="B383" i="7"/>
  <c r="D152" i="7"/>
  <c r="D459" i="7"/>
  <c r="D58" i="7"/>
  <c r="B238" i="7"/>
  <c r="D719" i="7"/>
  <c r="C563" i="7"/>
  <c r="C224" i="7"/>
  <c r="D31" i="7"/>
  <c r="D249" i="7"/>
  <c r="D98" i="7"/>
  <c r="B58" i="7"/>
  <c r="B232" i="7"/>
  <c r="B355" i="7"/>
  <c r="D363" i="7"/>
  <c r="D42" i="7"/>
  <c r="D709" i="7"/>
  <c r="D623" i="7"/>
  <c r="C34" i="7"/>
  <c r="B715" i="7"/>
  <c r="B123" i="7"/>
  <c r="D75" i="7"/>
  <c r="D12" i="7"/>
  <c r="D45" i="7"/>
  <c r="D244" i="7"/>
  <c r="D437" i="7"/>
  <c r="D60" i="7"/>
  <c r="C112" i="7"/>
  <c r="D500" i="7"/>
  <c r="C500" i="7"/>
  <c r="B500" i="7"/>
  <c r="D569" i="7"/>
  <c r="C569" i="7"/>
  <c r="B569" i="7"/>
  <c r="D331" i="7"/>
  <c r="C331" i="7"/>
  <c r="B331" i="7"/>
  <c r="C333" i="7"/>
  <c r="D333" i="7"/>
  <c r="B333" i="7"/>
  <c r="D57" i="7"/>
  <c r="C57" i="7"/>
  <c r="B57" i="7"/>
  <c r="C360" i="7"/>
  <c r="B360" i="7"/>
  <c r="D360" i="7"/>
  <c r="C638" i="7"/>
  <c r="D638" i="7"/>
  <c r="B638" i="7"/>
  <c r="B310" i="7"/>
  <c r="D310" i="7"/>
  <c r="C310" i="7"/>
  <c r="D631" i="7"/>
  <c r="C631" i="7"/>
  <c r="B631" i="7"/>
  <c r="D130" i="7"/>
  <c r="C130" i="7"/>
  <c r="B130" i="7"/>
  <c r="D598" i="7"/>
  <c r="C598" i="7"/>
  <c r="B598" i="7"/>
  <c r="D191" i="7"/>
  <c r="C191" i="7"/>
  <c r="B191" i="7"/>
  <c r="D70" i="7"/>
  <c r="C70" i="7"/>
  <c r="B70" i="7"/>
  <c r="D19" i="7"/>
  <c r="C19" i="7"/>
  <c r="B19" i="7"/>
  <c r="D493" i="7"/>
  <c r="C493" i="7"/>
  <c r="B493" i="7"/>
  <c r="B107" i="7"/>
  <c r="D107" i="7"/>
  <c r="C107" i="7"/>
  <c r="B739" i="7"/>
  <c r="D739" i="7"/>
  <c r="C739" i="7"/>
  <c r="C252" i="7"/>
  <c r="C375" i="7"/>
  <c r="C365" i="7"/>
  <c r="D260" i="7"/>
  <c r="C43" i="7"/>
  <c r="C280" i="7"/>
  <c r="C709" i="7"/>
  <c r="D264" i="7"/>
  <c r="C539" i="7"/>
  <c r="D701" i="7"/>
  <c r="C701" i="7"/>
  <c r="B701" i="7"/>
  <c r="D642" i="7"/>
  <c r="C642" i="7"/>
  <c r="B642" i="7"/>
  <c r="D389" i="7"/>
  <c r="C389" i="7"/>
  <c r="B389" i="7"/>
  <c r="B139" i="7"/>
  <c r="D139" i="7"/>
  <c r="C139" i="7"/>
  <c r="D666" i="7"/>
  <c r="C666" i="7"/>
  <c r="B666" i="7"/>
  <c r="D746" i="7"/>
  <c r="C746" i="7"/>
  <c r="B746" i="7"/>
  <c r="D546" i="7"/>
  <c r="C546" i="7"/>
  <c r="B546" i="7"/>
  <c r="D202" i="7"/>
  <c r="C202" i="7"/>
  <c r="B202" i="7"/>
  <c r="B579" i="7"/>
  <c r="D579" i="7"/>
  <c r="C579" i="7"/>
  <c r="D125" i="7"/>
  <c r="C125" i="7"/>
  <c r="B125" i="7"/>
  <c r="D742" i="7"/>
  <c r="C742" i="7"/>
  <c r="B742" i="7"/>
  <c r="C558" i="7"/>
  <c r="B558" i="7"/>
  <c r="D558" i="7"/>
  <c r="D475" i="7"/>
  <c r="C475" i="7"/>
  <c r="B475" i="7"/>
  <c r="D669" i="7"/>
  <c r="C669" i="7"/>
  <c r="B669" i="7"/>
  <c r="D464" i="7"/>
  <c r="C464" i="7"/>
  <c r="B464" i="7"/>
  <c r="C616" i="7"/>
  <c r="B616" i="7"/>
  <c r="D616" i="7"/>
  <c r="D322" i="7"/>
  <c r="B322" i="7"/>
  <c r="C322" i="7"/>
  <c r="D352" i="7"/>
  <c r="C352" i="7"/>
  <c r="B352" i="7"/>
  <c r="D41" i="7"/>
  <c r="C41" i="7"/>
  <c r="B41" i="7"/>
  <c r="D298" i="7"/>
  <c r="B298" i="7"/>
  <c r="C298" i="7"/>
  <c r="D179" i="7"/>
  <c r="C179" i="7"/>
  <c r="B179" i="7"/>
  <c r="D706" i="7"/>
  <c r="C706" i="7"/>
  <c r="B706" i="7"/>
  <c r="D263" i="7"/>
  <c r="C263" i="7"/>
  <c r="B263" i="7"/>
  <c r="B328" i="7"/>
  <c r="D328" i="7"/>
  <c r="C328" i="7"/>
  <c r="D357" i="7"/>
  <c r="C357" i="7"/>
  <c r="B357" i="7"/>
  <c r="D416" i="7"/>
  <c r="C416" i="7"/>
  <c r="B416" i="7"/>
  <c r="D589" i="7"/>
  <c r="C589" i="7"/>
  <c r="B589" i="7"/>
  <c r="D421" i="7"/>
  <c r="C421" i="7"/>
  <c r="B421" i="7"/>
  <c r="C734" i="7"/>
  <c r="D734" i="7"/>
  <c r="B734" i="7"/>
  <c r="D282" i="7"/>
  <c r="C282" i="7"/>
  <c r="B282" i="7"/>
  <c r="D465" i="7"/>
  <c r="C465" i="7"/>
  <c r="B465" i="7"/>
  <c r="D439" i="7"/>
  <c r="C439" i="7"/>
  <c r="B439" i="7"/>
  <c r="D335" i="7"/>
  <c r="C335" i="7"/>
  <c r="B335" i="7"/>
  <c r="D180" i="7"/>
  <c r="C180" i="7"/>
  <c r="B180" i="7"/>
  <c r="D368" i="7"/>
  <c r="C368" i="7"/>
  <c r="B368" i="7"/>
  <c r="D685" i="7"/>
  <c r="C685" i="7"/>
  <c r="B685" i="7"/>
  <c r="D529" i="7"/>
  <c r="C529" i="7"/>
  <c r="B529" i="7"/>
  <c r="D527" i="7"/>
  <c r="C527" i="7"/>
  <c r="B527" i="7"/>
  <c r="D78" i="7"/>
  <c r="C78" i="7"/>
  <c r="B78" i="7"/>
  <c r="D68" i="7"/>
  <c r="C68" i="7"/>
  <c r="B68" i="7"/>
  <c r="C18" i="7"/>
  <c r="D128" i="7"/>
  <c r="D80" i="7"/>
  <c r="C373" i="7"/>
  <c r="C58" i="7"/>
  <c r="B75" i="7"/>
  <c r="B559" i="7"/>
  <c r="C86" i="7"/>
  <c r="B219" i="7"/>
  <c r="B635" i="7"/>
  <c r="C691" i="7"/>
  <c r="B338" i="7"/>
  <c r="B423" i="7"/>
  <c r="D43" i="7"/>
  <c r="D288" i="7"/>
  <c r="C266" i="7"/>
  <c r="B188" i="7"/>
  <c r="B99" i="7"/>
  <c r="D396" i="7"/>
  <c r="C396" i="7"/>
  <c r="B396" i="7"/>
  <c r="D297" i="7"/>
  <c r="C297" i="7"/>
  <c r="B297" i="7"/>
  <c r="D40" i="7"/>
  <c r="C40" i="7"/>
  <c r="B40" i="7"/>
  <c r="D444" i="7"/>
  <c r="C444" i="7"/>
  <c r="B444" i="7"/>
  <c r="D414" i="7"/>
  <c r="C414" i="7"/>
  <c r="B414" i="7"/>
  <c r="D286" i="7"/>
  <c r="C286" i="7"/>
  <c r="B286" i="7"/>
  <c r="D316" i="7"/>
  <c r="C316" i="7"/>
  <c r="B316" i="7"/>
  <c r="D580" i="7"/>
  <c r="C580" i="7"/>
  <c r="B580" i="7"/>
  <c r="C64" i="7"/>
  <c r="B64" i="7"/>
  <c r="D64" i="7"/>
  <c r="D498" i="7"/>
  <c r="C498" i="7"/>
  <c r="B498" i="7"/>
  <c r="D161" i="7"/>
  <c r="C161" i="7"/>
  <c r="B161" i="7"/>
  <c r="D603" i="7"/>
  <c r="C603" i="7"/>
  <c r="B603" i="7"/>
  <c r="D143" i="7"/>
  <c r="C143" i="7"/>
  <c r="B143" i="7"/>
  <c r="D287" i="7"/>
  <c r="C287" i="7"/>
  <c r="B287" i="7"/>
  <c r="D18" i="7"/>
  <c r="B621" i="7"/>
  <c r="B169" i="7"/>
  <c r="B607" i="7"/>
  <c r="B128" i="7"/>
  <c r="B503" i="7"/>
  <c r="B80" i="7"/>
  <c r="C559" i="7"/>
  <c r="D86" i="7"/>
  <c r="B118" i="7"/>
  <c r="C635" i="7"/>
  <c r="C187" i="7"/>
  <c r="D691" i="7"/>
  <c r="C123" i="7"/>
  <c r="C423" i="7"/>
  <c r="B43" i="7"/>
  <c r="B154" i="7"/>
  <c r="B553" i="7"/>
  <c r="B288" i="7"/>
  <c r="D266" i="7"/>
  <c r="B265" i="7"/>
  <c r="C188" i="7"/>
  <c r="C99" i="7"/>
  <c r="D540" i="7"/>
  <c r="C540" i="7"/>
  <c r="B540" i="7"/>
  <c r="D704" i="7"/>
  <c r="C704" i="7"/>
  <c r="B704" i="7"/>
  <c r="D507" i="7"/>
  <c r="C507" i="7"/>
  <c r="B507" i="7"/>
  <c r="D495" i="7"/>
  <c r="C495" i="7"/>
  <c r="B495" i="7"/>
  <c r="D404" i="7"/>
  <c r="C404" i="7"/>
  <c r="B404" i="7"/>
  <c r="D458" i="7"/>
  <c r="C458" i="7"/>
  <c r="B458" i="7"/>
  <c r="D588" i="7"/>
  <c r="C588" i="7"/>
  <c r="B588" i="7"/>
  <c r="D26" i="7"/>
  <c r="C26" i="7"/>
  <c r="B26" i="7"/>
  <c r="D705" i="7"/>
  <c r="C705" i="7"/>
  <c r="B705" i="7"/>
  <c r="D284" i="7"/>
  <c r="C284" i="7"/>
  <c r="B284" i="7"/>
  <c r="B312" i="7"/>
  <c r="D312" i="7"/>
  <c r="C312" i="7"/>
  <c r="D400" i="7"/>
  <c r="C400" i="7"/>
  <c r="B400" i="7"/>
  <c r="D673" i="7"/>
  <c r="C673" i="7"/>
  <c r="B673" i="7"/>
  <c r="D432" i="7"/>
  <c r="C432" i="7"/>
  <c r="B432" i="7"/>
  <c r="D646" i="7"/>
  <c r="C646" i="7"/>
  <c r="B646" i="7"/>
  <c r="C600" i="7"/>
  <c r="B600" i="7"/>
  <c r="D600" i="7"/>
  <c r="D73" i="7"/>
  <c r="C73" i="7"/>
  <c r="B73" i="7"/>
  <c r="D535" i="7"/>
  <c r="C535" i="7"/>
  <c r="B535" i="7"/>
  <c r="D49" i="7"/>
  <c r="C49" i="7"/>
  <c r="B49" i="7"/>
  <c r="D336" i="7"/>
  <c r="C336" i="7"/>
  <c r="B336" i="7"/>
  <c r="D502" i="7"/>
  <c r="C502" i="7"/>
  <c r="B502" i="7"/>
  <c r="D374" i="7"/>
  <c r="C374" i="7"/>
  <c r="B374" i="7"/>
  <c r="D200" i="7"/>
  <c r="C200" i="7"/>
  <c r="B200" i="7"/>
  <c r="D66" i="7"/>
  <c r="C66" i="7"/>
  <c r="B66" i="7"/>
  <c r="C325" i="7"/>
  <c r="B325" i="7"/>
  <c r="D325" i="7"/>
  <c r="D630" i="7"/>
  <c r="C630" i="7"/>
  <c r="B630" i="7"/>
  <c r="B547" i="7"/>
  <c r="D547" i="7"/>
  <c r="C547" i="7"/>
  <c r="D198" i="7"/>
  <c r="C198" i="7"/>
  <c r="B198" i="7"/>
  <c r="D626" i="7"/>
  <c r="C626" i="7"/>
  <c r="B626" i="7"/>
  <c r="D55" i="7"/>
  <c r="C55" i="7"/>
  <c r="B55" i="7"/>
  <c r="D655" i="7"/>
  <c r="C655" i="7"/>
  <c r="B655" i="7"/>
  <c r="D148" i="7"/>
  <c r="C148" i="7"/>
  <c r="B148" i="7"/>
  <c r="D441" i="7"/>
  <c r="C441" i="7"/>
  <c r="B441" i="7"/>
  <c r="D391" i="7"/>
  <c r="C391" i="7"/>
  <c r="B391" i="7"/>
  <c r="D88" i="7"/>
  <c r="C88" i="7"/>
  <c r="B88" i="7"/>
  <c r="D194" i="7"/>
  <c r="C194" i="7"/>
  <c r="B194" i="7"/>
  <c r="B152" i="7"/>
  <c r="C621" i="7"/>
  <c r="C169" i="7"/>
  <c r="C607" i="7"/>
  <c r="B459" i="7"/>
  <c r="C503" i="7"/>
  <c r="C80" i="7"/>
  <c r="D192" i="7"/>
  <c r="C703" i="7"/>
  <c r="B224" i="7"/>
  <c r="B166" i="7"/>
  <c r="C118" i="7"/>
  <c r="D187" i="7"/>
  <c r="B625" i="7"/>
  <c r="D123" i="7"/>
  <c r="B76" i="7"/>
  <c r="C553" i="7"/>
  <c r="C265" i="7"/>
  <c r="D188" i="7"/>
  <c r="D99" i="7"/>
  <c r="D277" i="7"/>
  <c r="C277" i="7"/>
  <c r="B277" i="7"/>
  <c r="D133" i="7"/>
  <c r="C133" i="7"/>
  <c r="B133" i="7"/>
  <c r="D185" i="7"/>
  <c r="C185" i="7"/>
  <c r="B185" i="7"/>
  <c r="D292" i="7"/>
  <c r="C292" i="7"/>
  <c r="B292" i="7"/>
  <c r="D448" i="7"/>
  <c r="C448" i="7"/>
  <c r="B448" i="7"/>
  <c r="D273" i="7"/>
  <c r="C273" i="7"/>
  <c r="B273" i="7"/>
  <c r="D578" i="7"/>
  <c r="C578" i="7"/>
  <c r="B578" i="7"/>
  <c r="D428" i="7"/>
  <c r="C428" i="7"/>
  <c r="B428" i="7"/>
  <c r="D127" i="7"/>
  <c r="C127" i="7"/>
  <c r="B127" i="7"/>
  <c r="D732" i="7"/>
  <c r="C732" i="7"/>
  <c r="B732" i="7"/>
  <c r="D528" i="7"/>
  <c r="C528" i="7"/>
  <c r="B528" i="7"/>
  <c r="D407" i="7"/>
  <c r="C407" i="7"/>
  <c r="B407" i="7"/>
  <c r="D644" i="7"/>
  <c r="C644" i="7"/>
  <c r="B644" i="7"/>
  <c r="D33" i="7"/>
  <c r="C33" i="7"/>
  <c r="B33" i="7"/>
  <c r="D692" i="7"/>
  <c r="C692" i="7"/>
  <c r="B692" i="7"/>
  <c r="D156" i="7"/>
  <c r="C156" i="7"/>
  <c r="B156" i="7"/>
  <c r="D506" i="7"/>
  <c r="C506" i="7"/>
  <c r="B506" i="7"/>
  <c r="D660" i="7"/>
  <c r="C660" i="7"/>
  <c r="B660" i="7"/>
  <c r="D491" i="7"/>
  <c r="C491" i="7"/>
  <c r="B491" i="7"/>
  <c r="D15" i="7"/>
  <c r="C15" i="7"/>
  <c r="B15" i="7"/>
  <c r="D733" i="7"/>
  <c r="C733" i="7"/>
  <c r="B733" i="7"/>
  <c r="C488" i="7"/>
  <c r="B488" i="7"/>
  <c r="D488" i="7"/>
  <c r="D289" i="7"/>
  <c r="C289" i="7"/>
  <c r="B289" i="7"/>
  <c r="D398" i="7"/>
  <c r="C398" i="7"/>
  <c r="B398" i="7"/>
  <c r="D111" i="7"/>
  <c r="C111" i="7"/>
  <c r="B111" i="7"/>
  <c r="C430" i="7"/>
  <c r="B430" i="7"/>
  <c r="D430" i="7"/>
  <c r="D137" i="7"/>
  <c r="C137" i="7"/>
  <c r="B137" i="7"/>
  <c r="D463" i="7"/>
  <c r="C463" i="7"/>
  <c r="B463" i="7"/>
  <c r="D650" i="7"/>
  <c r="C650" i="7"/>
  <c r="B650" i="7"/>
  <c r="D513" i="7"/>
  <c r="C513" i="7"/>
  <c r="B513" i="7"/>
  <c r="D30" i="7"/>
  <c r="C30" i="7"/>
  <c r="B30" i="7"/>
  <c r="D394" i="7"/>
  <c r="C394" i="7"/>
  <c r="B394" i="7"/>
  <c r="D497" i="7"/>
  <c r="C497" i="7"/>
  <c r="B497" i="7"/>
  <c r="C208" i="7"/>
  <c r="B208" i="7"/>
  <c r="D208" i="7"/>
  <c r="D120" i="7"/>
  <c r="C120" i="7"/>
  <c r="B120" i="7"/>
  <c r="C240" i="7"/>
  <c r="B240" i="7"/>
  <c r="D240" i="7"/>
  <c r="D220" i="7"/>
  <c r="C220" i="7"/>
  <c r="B220" i="7"/>
  <c r="D434" i="7"/>
  <c r="C434" i="7"/>
  <c r="B434" i="7"/>
  <c r="D230" i="7"/>
  <c r="C230" i="7"/>
  <c r="B230" i="7"/>
  <c r="D174" i="7"/>
  <c r="C174" i="7"/>
  <c r="B174" i="7"/>
  <c r="D83" i="7"/>
  <c r="C83" i="7"/>
  <c r="B83" i="7"/>
  <c r="C152" i="7"/>
  <c r="B290" i="7"/>
  <c r="C459" i="7"/>
  <c r="B359" i="7"/>
  <c r="C731" i="7"/>
  <c r="B192" i="7"/>
  <c r="D703" i="7"/>
  <c r="C283" i="7"/>
  <c r="D21" i="7"/>
  <c r="C21" i="7"/>
  <c r="B21" i="7"/>
  <c r="B45" i="7"/>
  <c r="C625" i="7"/>
  <c r="B207" i="7"/>
  <c r="C76" i="7"/>
  <c r="D154" i="7"/>
  <c r="B81" i="7"/>
  <c r="C218" i="7"/>
  <c r="D110" i="7"/>
  <c r="C110" i="7"/>
  <c r="B110" i="7"/>
  <c r="B254" i="7"/>
  <c r="D178" i="7"/>
  <c r="D346" i="7"/>
  <c r="C346" i="7"/>
  <c r="B346" i="7"/>
  <c r="D177" i="7"/>
  <c r="C177" i="7"/>
  <c r="B177" i="7"/>
  <c r="D323" i="7"/>
  <c r="C323" i="7"/>
  <c r="B323" i="7"/>
  <c r="D386" i="7"/>
  <c r="C386" i="7"/>
  <c r="B386" i="7"/>
  <c r="D745" i="7"/>
  <c r="B745" i="7"/>
  <c r="C745" i="7"/>
  <c r="D608" i="7"/>
  <c r="C608" i="7"/>
  <c r="B608" i="7"/>
  <c r="D509" i="7"/>
  <c r="C509" i="7"/>
  <c r="B509" i="7"/>
  <c r="D454" i="7"/>
  <c r="C454" i="7"/>
  <c r="B454" i="7"/>
  <c r="D651" i="7"/>
  <c r="C651" i="7"/>
  <c r="B651" i="7"/>
  <c r="D534" i="7"/>
  <c r="C534" i="7"/>
  <c r="B534" i="7"/>
  <c r="D676" i="7"/>
  <c r="C676" i="7"/>
  <c r="B676" i="7"/>
  <c r="D672" i="7"/>
  <c r="C672" i="7"/>
  <c r="B672" i="7"/>
  <c r="D147" i="7"/>
  <c r="C147" i="7"/>
  <c r="B147" i="7"/>
  <c r="D637" i="7"/>
  <c r="C637" i="7"/>
  <c r="B637" i="7"/>
  <c r="D302" i="7"/>
  <c r="C302" i="7"/>
  <c r="B302" i="7"/>
  <c r="D221" i="7"/>
  <c r="C221" i="7"/>
  <c r="B221" i="7"/>
  <c r="C311" i="7"/>
  <c r="B311" i="7"/>
  <c r="D311" i="7"/>
  <c r="B403" i="7"/>
  <c r="D403" i="7"/>
  <c r="C403" i="7"/>
  <c r="D50" i="7"/>
  <c r="C50" i="7"/>
  <c r="B50" i="7"/>
  <c r="D656" i="7"/>
  <c r="C656" i="7"/>
  <c r="B656" i="7"/>
  <c r="C590" i="7"/>
  <c r="D590" i="7"/>
  <c r="B590" i="7"/>
  <c r="D20" i="7"/>
  <c r="C20" i="7"/>
  <c r="B20" i="7"/>
  <c r="D418" i="7"/>
  <c r="C418" i="7"/>
  <c r="B418" i="7"/>
  <c r="D281" i="7"/>
  <c r="C281" i="7"/>
  <c r="B281" i="7"/>
  <c r="D586" i="7"/>
  <c r="C586" i="7"/>
  <c r="B586" i="7"/>
  <c r="D324" i="7"/>
  <c r="C324" i="7"/>
  <c r="B324" i="7"/>
  <c r="C584" i="7"/>
  <c r="B584" i="7"/>
  <c r="D584" i="7"/>
  <c r="D714" i="7"/>
  <c r="C714" i="7"/>
  <c r="B714" i="7"/>
  <c r="D556" i="7"/>
  <c r="C556" i="7"/>
  <c r="B556" i="7"/>
  <c r="B296" i="7"/>
  <c r="D296" i="7"/>
  <c r="C296" i="7"/>
  <c r="D105" i="7"/>
  <c r="C105" i="7"/>
  <c r="B105" i="7"/>
  <c r="D367" i="7"/>
  <c r="C367" i="7"/>
  <c r="B367" i="7"/>
  <c r="D195" i="7"/>
  <c r="C195" i="7"/>
  <c r="B195" i="7"/>
  <c r="D402" i="7"/>
  <c r="C402" i="7"/>
  <c r="B402" i="7"/>
  <c r="D167" i="7"/>
  <c r="C167" i="7"/>
  <c r="B167" i="7"/>
  <c r="D126" i="7"/>
  <c r="C126" i="7"/>
  <c r="B126" i="7"/>
  <c r="B8" i="7"/>
  <c r="D109" i="7"/>
  <c r="C109" i="7"/>
  <c r="B109" i="7"/>
  <c r="B206" i="7"/>
  <c r="B577" i="7"/>
  <c r="C290" i="7"/>
  <c r="B719" i="7"/>
  <c r="C359" i="7"/>
  <c r="D731" i="7"/>
  <c r="B134" i="7"/>
  <c r="D283" i="7"/>
  <c r="D166" i="7"/>
  <c r="B60" i="7"/>
  <c r="B150" i="7"/>
  <c r="C45" i="7"/>
  <c r="D625" i="7"/>
  <c r="B214" i="7"/>
  <c r="C207" i="7"/>
  <c r="C499" i="7"/>
  <c r="C81" i="7"/>
  <c r="D218" i="7"/>
  <c r="B249" i="7"/>
  <c r="B466" i="7"/>
  <c r="C254" i="7"/>
  <c r="D461" i="7"/>
  <c r="C461" i="7"/>
  <c r="B461" i="7"/>
  <c r="D480" i="7"/>
  <c r="C480" i="7"/>
  <c r="B480" i="7"/>
  <c r="D69" i="7"/>
  <c r="C69" i="7"/>
  <c r="B69" i="7"/>
  <c r="D140" i="7"/>
  <c r="C140" i="7"/>
  <c r="B140" i="7"/>
  <c r="D217" i="7"/>
  <c r="C217" i="7"/>
  <c r="B217" i="7"/>
  <c r="D172" i="7"/>
  <c r="C172" i="7"/>
  <c r="B172" i="7"/>
  <c r="D227" i="7"/>
  <c r="C227" i="7"/>
  <c r="B227" i="7"/>
  <c r="D572" i="7"/>
  <c r="C572" i="7"/>
  <c r="B572" i="7"/>
  <c r="D436" i="7"/>
  <c r="C436" i="7"/>
  <c r="B436" i="7"/>
  <c r="D554" i="7"/>
  <c r="C554" i="7"/>
  <c r="B554" i="7"/>
  <c r="D10" i="7"/>
  <c r="C10" i="7"/>
  <c r="B10" i="7"/>
  <c r="D517" i="7"/>
  <c r="C517" i="7"/>
  <c r="B517" i="7"/>
  <c r="D14" i="7"/>
  <c r="C14" i="7"/>
  <c r="B14" i="7"/>
  <c r="D362" i="7"/>
  <c r="C362" i="7"/>
  <c r="B362" i="7"/>
  <c r="D477" i="7"/>
  <c r="C477" i="7"/>
  <c r="B477" i="7"/>
  <c r="D592" i="7"/>
  <c r="C592" i="7"/>
  <c r="B592" i="7"/>
  <c r="C654" i="7"/>
  <c r="D654" i="7"/>
  <c r="B654" i="7"/>
  <c r="D117" i="7"/>
  <c r="C117" i="7"/>
  <c r="B117" i="7"/>
  <c r="D521" i="7"/>
  <c r="C521" i="7"/>
  <c r="B521" i="7"/>
  <c r="D736" i="7"/>
  <c r="C736" i="7"/>
  <c r="B736" i="7"/>
  <c r="D380" i="7"/>
  <c r="C380" i="7"/>
  <c r="B380" i="7"/>
  <c r="C376" i="7"/>
  <c r="B376" i="7"/>
  <c r="D376" i="7"/>
  <c r="D523" i="7"/>
  <c r="C523" i="7"/>
  <c r="B523" i="7"/>
  <c r="B617" i="7"/>
  <c r="D617" i="7"/>
  <c r="C617" i="7"/>
  <c r="D462" i="7"/>
  <c r="C462" i="7"/>
  <c r="B462" i="7"/>
  <c r="D306" i="7"/>
  <c r="B306" i="7"/>
  <c r="C306" i="7"/>
  <c r="D678" i="7"/>
  <c r="C678" i="7"/>
  <c r="B678" i="7"/>
  <c r="C424" i="7"/>
  <c r="B424" i="7"/>
  <c r="D424" i="7"/>
  <c r="D725" i="7"/>
  <c r="C725" i="7"/>
  <c r="B725" i="7"/>
  <c r="D501" i="7"/>
  <c r="C501" i="7"/>
  <c r="B501" i="7"/>
  <c r="C344" i="7"/>
  <c r="B344" i="7"/>
  <c r="D344" i="7"/>
  <c r="D730" i="7"/>
  <c r="C730" i="7"/>
  <c r="B730" i="7"/>
  <c r="D636" i="7"/>
  <c r="C636" i="7"/>
  <c r="B636" i="7"/>
  <c r="D141" i="7"/>
  <c r="C141" i="7"/>
  <c r="B141" i="7"/>
  <c r="D605" i="7"/>
  <c r="C605" i="7"/>
  <c r="B605" i="7"/>
  <c r="D350" i="7"/>
  <c r="C350" i="7"/>
  <c r="B350" i="7"/>
  <c r="D22" i="7"/>
  <c r="C22" i="7"/>
  <c r="B22" i="7"/>
  <c r="D279" i="7"/>
  <c r="C279" i="7"/>
  <c r="B279" i="7"/>
  <c r="D321" i="7"/>
  <c r="C321" i="7"/>
  <c r="B321" i="7"/>
  <c r="B515" i="7"/>
  <c r="D515" i="7"/>
  <c r="C515" i="7"/>
  <c r="D293" i="7"/>
  <c r="C293" i="7"/>
  <c r="B293" i="7"/>
  <c r="D551" i="7"/>
  <c r="C551" i="7"/>
  <c r="B551" i="7"/>
  <c r="D253" i="7"/>
  <c r="C253" i="7"/>
  <c r="B253" i="7"/>
  <c r="D687" i="7"/>
  <c r="C687" i="7"/>
  <c r="B687" i="7"/>
  <c r="C8" i="7"/>
  <c r="B226" i="7"/>
  <c r="B623" i="7"/>
  <c r="C206" i="7"/>
  <c r="C577" i="7"/>
  <c r="D290" i="7"/>
  <c r="C355" i="7"/>
  <c r="C719" i="7"/>
  <c r="D359" i="7"/>
  <c r="B735" i="7"/>
  <c r="B210" i="7"/>
  <c r="B471" i="7"/>
  <c r="C134" i="7"/>
  <c r="B283" i="7"/>
  <c r="D176" i="7"/>
  <c r="C116" i="7"/>
  <c r="C60" i="7"/>
  <c r="C150" i="7"/>
  <c r="C203" i="7"/>
  <c r="D207" i="7"/>
  <c r="B244" i="7"/>
  <c r="D499" i="7"/>
  <c r="B437" i="7"/>
  <c r="C249" i="7"/>
  <c r="C466" i="7"/>
  <c r="D254" i="7"/>
  <c r="D575" i="7"/>
  <c r="C575" i="7"/>
  <c r="B575" i="7"/>
  <c r="D645" i="7"/>
  <c r="C645" i="7"/>
  <c r="B645" i="7"/>
  <c r="D5" i="7"/>
  <c r="C5" i="7"/>
  <c r="B5" i="7"/>
  <c r="D329" i="7"/>
  <c r="C329" i="7"/>
  <c r="B329" i="7"/>
  <c r="D84" i="7"/>
  <c r="C84" i="7"/>
  <c r="B84" i="7"/>
  <c r="C494" i="7"/>
  <c r="B494" i="7"/>
  <c r="D494" i="7"/>
  <c r="D345" i="7"/>
  <c r="C345" i="7"/>
  <c r="B345" i="7"/>
  <c r="D320" i="7"/>
  <c r="B320" i="7"/>
  <c r="C320" i="7"/>
  <c r="D393" i="7"/>
  <c r="C393" i="7"/>
  <c r="B393" i="7"/>
  <c r="D372" i="7"/>
  <c r="C372" i="7"/>
  <c r="B372" i="7"/>
  <c r="B595" i="7"/>
  <c r="D595" i="7"/>
  <c r="C595" i="7"/>
  <c r="D38" i="7"/>
  <c r="C38" i="7"/>
  <c r="B38" i="7"/>
  <c r="D388" i="7"/>
  <c r="C388" i="7"/>
  <c r="B388" i="7"/>
  <c r="C664" i="7"/>
  <c r="B664" i="7"/>
  <c r="D664" i="7"/>
  <c r="D640" i="7"/>
  <c r="C640" i="7"/>
  <c r="B640" i="7"/>
  <c r="D738" i="7"/>
  <c r="C738" i="7"/>
  <c r="B738" i="7"/>
  <c r="D305" i="7"/>
  <c r="C305" i="7"/>
  <c r="B305" i="7"/>
  <c r="D674" i="7"/>
  <c r="C674" i="7"/>
  <c r="B674" i="7"/>
  <c r="D71" i="7"/>
  <c r="C71" i="7"/>
  <c r="B71" i="7"/>
  <c r="B451" i="7"/>
  <c r="D451" i="7"/>
  <c r="C451" i="7"/>
  <c r="D29" i="7"/>
  <c r="C29" i="7"/>
  <c r="B29" i="7"/>
  <c r="D215" i="7"/>
  <c r="C215" i="7"/>
  <c r="B215" i="7"/>
  <c r="D106" i="7"/>
  <c r="C106" i="7"/>
  <c r="B106" i="7"/>
  <c r="C160" i="7"/>
  <c r="B160" i="7"/>
  <c r="D160" i="7"/>
  <c r="D401" i="7"/>
  <c r="C401" i="7"/>
  <c r="B401" i="7"/>
  <c r="B611" i="7"/>
  <c r="D611" i="7"/>
  <c r="C611" i="7"/>
  <c r="C272" i="7"/>
  <c r="B272" i="7"/>
  <c r="D272" i="7"/>
  <c r="D351" i="7"/>
  <c r="C351" i="7"/>
  <c r="B351" i="7"/>
  <c r="C226" i="7"/>
  <c r="C623" i="7"/>
  <c r="D206" i="7"/>
  <c r="D577" i="7"/>
  <c r="B146" i="7"/>
  <c r="D355" i="7"/>
  <c r="B270" i="7"/>
  <c r="C735" i="7"/>
  <c r="C210" i="7"/>
  <c r="C471" i="7"/>
  <c r="B176" i="7"/>
  <c r="D116" i="7"/>
  <c r="C155" i="7"/>
  <c r="D214" i="7"/>
  <c r="B42" i="7"/>
  <c r="C244" i="7"/>
  <c r="B499" i="7"/>
  <c r="C437" i="7"/>
  <c r="B142" i="7"/>
  <c r="B519" i="7"/>
  <c r="C648" i="7"/>
  <c r="B648" i="7"/>
  <c r="D648" i="7"/>
  <c r="D204" i="7"/>
  <c r="C204" i="7"/>
  <c r="B204" i="7"/>
  <c r="D332" i="7"/>
  <c r="C332" i="7"/>
  <c r="B332" i="7"/>
  <c r="B267" i="7"/>
  <c r="D267" i="7"/>
  <c r="C267" i="7"/>
  <c r="D722" i="7"/>
  <c r="C722" i="7"/>
  <c r="B722" i="7"/>
  <c r="D618" i="7"/>
  <c r="C618" i="7"/>
  <c r="B618" i="7"/>
  <c r="D129" i="7"/>
  <c r="C129" i="7"/>
  <c r="B129" i="7"/>
  <c r="D189" i="7"/>
  <c r="C189" i="7"/>
  <c r="B189" i="7"/>
  <c r="D412" i="7"/>
  <c r="C412" i="7"/>
  <c r="B412" i="7"/>
  <c r="D255" i="7"/>
  <c r="C255" i="7"/>
  <c r="B255" i="7"/>
  <c r="D688" i="7"/>
  <c r="C688" i="7"/>
  <c r="B688" i="7"/>
  <c r="D382" i="7"/>
  <c r="C382" i="7"/>
  <c r="B382" i="7"/>
  <c r="D560" i="7"/>
  <c r="C560" i="7"/>
  <c r="B560" i="7"/>
  <c r="D550" i="7"/>
  <c r="C550" i="7"/>
  <c r="B550" i="7"/>
  <c r="D634" i="7"/>
  <c r="C634" i="7"/>
  <c r="B634" i="7"/>
  <c r="D457" i="7"/>
  <c r="C457" i="7"/>
  <c r="B457" i="7"/>
  <c r="D538" i="7"/>
  <c r="C538" i="7"/>
  <c r="B538" i="7"/>
  <c r="D679" i="7"/>
  <c r="C679" i="7"/>
  <c r="B679" i="7"/>
  <c r="D159" i="7"/>
  <c r="C159" i="7"/>
  <c r="B159" i="7"/>
  <c r="C712" i="7"/>
  <c r="B712" i="7"/>
  <c r="D712" i="7"/>
  <c r="D717" i="7"/>
  <c r="C717" i="7"/>
  <c r="B717" i="7"/>
  <c r="D573" i="7"/>
  <c r="C573" i="7"/>
  <c r="B573" i="7"/>
  <c r="D135" i="7"/>
  <c r="C135" i="7"/>
  <c r="B135" i="7"/>
  <c r="D620" i="7"/>
  <c r="C620" i="7"/>
  <c r="B620" i="7"/>
  <c r="D222" i="7"/>
  <c r="C222" i="7"/>
  <c r="B222" i="7"/>
  <c r="D102" i="7"/>
  <c r="C102" i="7"/>
  <c r="B102" i="7"/>
  <c r="D677" i="7"/>
  <c r="C677" i="7"/>
  <c r="B677" i="7"/>
  <c r="D82" i="7"/>
  <c r="C82" i="7"/>
  <c r="B82" i="7"/>
  <c r="D721" i="7"/>
  <c r="C721" i="7"/>
  <c r="B721" i="7"/>
  <c r="D157" i="7"/>
  <c r="C157" i="7"/>
  <c r="B157" i="7"/>
  <c r="D276" i="7"/>
  <c r="C276" i="7"/>
  <c r="B276" i="7"/>
  <c r="D63" i="7"/>
  <c r="C63" i="7"/>
  <c r="B63" i="7"/>
  <c r="D213" i="7"/>
  <c r="C213" i="7"/>
  <c r="B213" i="7"/>
  <c r="D604" i="7"/>
  <c r="C604" i="7"/>
  <c r="B604" i="7"/>
  <c r="D405" i="7"/>
  <c r="C405" i="7"/>
  <c r="B405" i="7"/>
  <c r="D242" i="7"/>
  <c r="C242" i="7"/>
  <c r="B242" i="7"/>
  <c r="D226" i="7"/>
  <c r="D449" i="7"/>
  <c r="C449" i="7"/>
  <c r="B449" i="7"/>
  <c r="B261" i="7"/>
  <c r="C146" i="7"/>
  <c r="B229" i="7"/>
  <c r="D735" i="7"/>
  <c r="B427" i="7"/>
  <c r="D251" i="7"/>
  <c r="C176" i="7"/>
  <c r="B104" i="7"/>
  <c r="B36" i="7"/>
  <c r="B196" i="7"/>
  <c r="D155" i="7"/>
  <c r="B203" i="7"/>
  <c r="D343" i="7"/>
  <c r="C42" i="7"/>
  <c r="B447" i="7"/>
  <c r="B98" i="7"/>
  <c r="B31" i="7"/>
  <c r="B56" i="7"/>
  <c r="C142" i="7"/>
  <c r="C392" i="7"/>
  <c r="B392" i="7"/>
  <c r="D392" i="7"/>
  <c r="B373" i="7"/>
  <c r="D429" i="7"/>
  <c r="C429" i="7"/>
  <c r="B429" i="7"/>
  <c r="D151" i="7"/>
  <c r="C151" i="7"/>
  <c r="B151" i="7"/>
  <c r="D486" i="7"/>
  <c r="C486" i="7"/>
  <c r="B486" i="7"/>
  <c r="C472" i="7"/>
  <c r="B472" i="7"/>
  <c r="D472" i="7"/>
  <c r="C504" i="7"/>
  <c r="B504" i="7"/>
  <c r="D504" i="7"/>
  <c r="B627" i="7"/>
  <c r="D627" i="7"/>
  <c r="C627" i="7"/>
  <c r="D641" i="7"/>
  <c r="C641" i="7"/>
  <c r="B641" i="7"/>
  <c r="D737" i="7"/>
  <c r="C737" i="7"/>
  <c r="B737" i="7"/>
  <c r="D385" i="7"/>
  <c r="C385" i="7"/>
  <c r="B385" i="7"/>
  <c r="D348" i="7"/>
  <c r="C348" i="7"/>
  <c r="B348" i="7"/>
  <c r="D211" i="7"/>
  <c r="C211" i="7"/>
  <c r="B211" i="7"/>
  <c r="D662" i="7"/>
  <c r="C662" i="7"/>
  <c r="B662" i="7"/>
  <c r="D516" i="7"/>
  <c r="C516" i="7"/>
  <c r="B516" i="7"/>
  <c r="D318" i="7"/>
  <c r="C318" i="7"/>
  <c r="B318" i="7"/>
  <c r="B531" i="7"/>
  <c r="D531" i="7"/>
  <c r="C531" i="7"/>
  <c r="D108" i="7"/>
  <c r="C108" i="7"/>
  <c r="B108" i="7"/>
  <c r="D446" i="7"/>
  <c r="C446" i="7"/>
  <c r="B446" i="7"/>
  <c r="D545" i="7"/>
  <c r="C545" i="7"/>
  <c r="B545" i="7"/>
  <c r="D243" i="7"/>
  <c r="C243" i="7"/>
  <c r="B243" i="7"/>
  <c r="D724" i="7"/>
  <c r="C724" i="7"/>
  <c r="B724" i="7"/>
  <c r="D510" i="7"/>
  <c r="C510" i="7"/>
  <c r="B510" i="7"/>
  <c r="D4" i="7"/>
  <c r="C4" i="7"/>
  <c r="B4" i="7"/>
  <c r="D710" i="7"/>
  <c r="C710" i="7"/>
  <c r="B710" i="7"/>
  <c r="D304" i="7"/>
  <c r="B304" i="7"/>
  <c r="C304" i="7"/>
  <c r="D443" i="7"/>
  <c r="C443" i="7"/>
  <c r="B443" i="7"/>
  <c r="D496" i="7"/>
  <c r="C496" i="7"/>
  <c r="B496" i="7"/>
  <c r="C303" i="7"/>
  <c r="D303" i="7"/>
  <c r="B303" i="7"/>
  <c r="C696" i="7"/>
  <c r="B696" i="7"/>
  <c r="D696" i="7"/>
  <c r="C622" i="7"/>
  <c r="D622" i="7"/>
  <c r="B622" i="7"/>
  <c r="D661" i="7"/>
  <c r="C661" i="7"/>
  <c r="B661" i="7"/>
  <c r="D271" i="7"/>
  <c r="C271" i="7"/>
  <c r="B271" i="7"/>
  <c r="D512" i="7"/>
  <c r="C512" i="7"/>
  <c r="B512" i="7"/>
  <c r="D28" i="7"/>
  <c r="C28" i="7"/>
  <c r="B28" i="7"/>
  <c r="B723" i="7"/>
  <c r="D723" i="7"/>
  <c r="C723" i="7"/>
  <c r="C144" i="7"/>
  <c r="B144" i="7"/>
  <c r="D144" i="7"/>
  <c r="D614" i="7"/>
  <c r="C614" i="7"/>
  <c r="B614" i="7"/>
  <c r="D397" i="7"/>
  <c r="C397" i="7"/>
  <c r="B397" i="7"/>
  <c r="D474" i="7"/>
  <c r="C474" i="7"/>
  <c r="B474" i="7"/>
  <c r="D39" i="7"/>
  <c r="C39" i="7"/>
  <c r="B39" i="7"/>
  <c r="D163" i="7"/>
  <c r="C163" i="7"/>
  <c r="B163" i="7"/>
  <c r="D361" i="7"/>
  <c r="C361" i="7"/>
  <c r="B361" i="7"/>
  <c r="D190" i="7"/>
  <c r="C190" i="7"/>
  <c r="B190" i="7"/>
  <c r="D186" i="7"/>
  <c r="C186" i="7"/>
  <c r="B186" i="7"/>
  <c r="D182" i="7"/>
  <c r="C182" i="7"/>
  <c r="B182" i="7"/>
  <c r="D209" i="7"/>
  <c r="C209" i="7"/>
  <c r="B209" i="7"/>
  <c r="D115" i="7"/>
  <c r="C115" i="7"/>
  <c r="B115" i="7"/>
  <c r="B555" i="7"/>
  <c r="B511" i="7"/>
  <c r="C261" i="7"/>
  <c r="D146" i="7"/>
  <c r="B653" i="7"/>
  <c r="C229" i="7"/>
  <c r="D270" i="7"/>
  <c r="B639" i="7"/>
  <c r="D112" i="7"/>
  <c r="B291" i="7"/>
  <c r="C427" i="7"/>
  <c r="B251" i="7"/>
  <c r="B433" i="7"/>
  <c r="C104" i="7"/>
  <c r="C36" i="7"/>
  <c r="C196" i="7"/>
  <c r="B155" i="7"/>
  <c r="B12" i="7"/>
  <c r="B343" i="7"/>
  <c r="C447" i="7"/>
  <c r="C98" i="7"/>
  <c r="C675" i="7"/>
  <c r="C31" i="7"/>
  <c r="C56" i="7"/>
  <c r="D142" i="7"/>
  <c r="D349" i="7"/>
  <c r="C349" i="7"/>
  <c r="B349" i="7"/>
  <c r="D615" i="7"/>
  <c r="C615" i="7"/>
  <c r="B615" i="7"/>
  <c r="D415" i="7"/>
  <c r="D231" i="7"/>
  <c r="C231" i="7"/>
  <c r="B231" i="7"/>
  <c r="D481" i="7"/>
  <c r="C481" i="7"/>
  <c r="B481" i="7"/>
  <c r="D609" i="7"/>
  <c r="C609" i="7"/>
  <c r="B609" i="7"/>
  <c r="C686" i="7"/>
  <c r="B686" i="7"/>
  <c r="D686" i="7"/>
  <c r="D205" i="7"/>
  <c r="C205" i="7"/>
  <c r="B205" i="7"/>
  <c r="D53" i="7"/>
  <c r="C53" i="7"/>
  <c r="B53" i="7"/>
  <c r="D165" i="7"/>
  <c r="C165" i="7"/>
  <c r="B165" i="7"/>
  <c r="C327" i="7"/>
  <c r="B327" i="7"/>
  <c r="D327" i="7"/>
  <c r="D93" i="7"/>
  <c r="C93" i="7"/>
  <c r="B93" i="7"/>
  <c r="B326" i="7"/>
  <c r="D326" i="7"/>
  <c r="C326" i="7"/>
  <c r="D542" i="7"/>
  <c r="C542" i="7"/>
  <c r="B542" i="7"/>
  <c r="D285" i="7"/>
  <c r="C285" i="7"/>
  <c r="B285" i="7"/>
  <c r="D153" i="7"/>
  <c r="C153" i="7"/>
  <c r="B153" i="7"/>
  <c r="C408" i="7"/>
  <c r="B408" i="7"/>
  <c r="D408" i="7"/>
  <c r="D602" i="7"/>
  <c r="C602" i="7"/>
  <c r="B602" i="7"/>
  <c r="D711" i="7"/>
  <c r="C711" i="7"/>
  <c r="B711" i="7"/>
  <c r="D431" i="7"/>
  <c r="C431" i="7"/>
  <c r="B431" i="7"/>
  <c r="D460" i="7"/>
  <c r="C460" i="7"/>
  <c r="B460" i="7"/>
  <c r="B235" i="7"/>
  <c r="D235" i="7"/>
  <c r="C235" i="7"/>
  <c r="D624" i="7"/>
  <c r="C624" i="7"/>
  <c r="B624" i="7"/>
  <c r="D119" i="7"/>
  <c r="C119" i="7"/>
  <c r="B119" i="7"/>
  <c r="C728" i="7"/>
  <c r="B728" i="7"/>
  <c r="D728" i="7"/>
  <c r="D353" i="7"/>
  <c r="B353" i="7"/>
  <c r="C353" i="7"/>
  <c r="D24" i="7"/>
  <c r="C24" i="7"/>
  <c r="B24" i="7"/>
  <c r="D62" i="7"/>
  <c r="C62" i="7"/>
  <c r="B62" i="7"/>
  <c r="D583" i="7"/>
  <c r="C583" i="7"/>
  <c r="B583" i="7"/>
  <c r="D514" i="7"/>
  <c r="C514" i="7"/>
  <c r="B514" i="7"/>
  <c r="C48" i="7"/>
  <c r="B48" i="7"/>
  <c r="D48" i="7"/>
  <c r="C520" i="7"/>
  <c r="B520" i="7"/>
  <c r="D520" i="7"/>
  <c r="D658" i="7"/>
  <c r="C658" i="7"/>
  <c r="B658" i="7"/>
  <c r="D570" i="7"/>
  <c r="C570" i="7"/>
  <c r="B570" i="7"/>
  <c r="D482" i="7"/>
  <c r="C482" i="7"/>
  <c r="B482" i="7"/>
  <c r="D518" i="7"/>
  <c r="C518" i="7"/>
  <c r="B518" i="7"/>
  <c r="D726" i="7"/>
  <c r="C726" i="7"/>
  <c r="B726" i="7"/>
  <c r="B467" i="7"/>
  <c r="D467" i="7"/>
  <c r="C467" i="7"/>
  <c r="D619" i="7"/>
  <c r="C619" i="7"/>
  <c r="B619" i="7"/>
  <c r="D168" i="7"/>
  <c r="C168" i="7"/>
  <c r="B168" i="7"/>
  <c r="B339" i="7"/>
  <c r="D339" i="7"/>
  <c r="C339" i="7"/>
  <c r="D51" i="7"/>
  <c r="C51" i="7"/>
  <c r="B51" i="7"/>
  <c r="D406" i="7"/>
  <c r="C406" i="7"/>
  <c r="B406" i="7"/>
  <c r="D384" i="7"/>
  <c r="C384" i="7"/>
  <c r="B384" i="7"/>
  <c r="B643" i="7"/>
  <c r="D643" i="7"/>
  <c r="C643" i="7"/>
  <c r="D308" i="7"/>
  <c r="B308" i="7"/>
  <c r="C308" i="7"/>
  <c r="D74" i="7"/>
  <c r="C74" i="7"/>
  <c r="B74" i="7"/>
  <c r="B707" i="7"/>
  <c r="D707" i="7"/>
  <c r="C707" i="7"/>
  <c r="D370" i="7"/>
  <c r="C370" i="7"/>
  <c r="B370" i="7"/>
  <c r="D667" i="7"/>
  <c r="C667" i="7"/>
  <c r="B667" i="7"/>
  <c r="B613" i="7"/>
  <c r="C383" i="7"/>
  <c r="C555" i="7"/>
  <c r="C511" i="7"/>
  <c r="D261" i="7"/>
  <c r="C653" i="7"/>
  <c r="D229" i="7"/>
  <c r="C639" i="7"/>
  <c r="B112" i="7"/>
  <c r="C291" i="7"/>
  <c r="D427" i="7"/>
  <c r="B85" i="7"/>
  <c r="C433" i="7"/>
  <c r="D104" i="7"/>
  <c r="B262" i="7"/>
  <c r="C12" i="7"/>
  <c r="C343" i="7"/>
  <c r="B727" i="7"/>
  <c r="C232" i="7"/>
  <c r="D447" i="7"/>
  <c r="B695" i="7"/>
  <c r="D675" i="7"/>
  <c r="D56" i="7"/>
  <c r="B470" i="7"/>
  <c r="D594" i="7"/>
  <c r="C594" i="7"/>
  <c r="B594" i="7"/>
  <c r="D671" i="7"/>
  <c r="C671" i="7"/>
  <c r="B671" i="7"/>
  <c r="C587" i="7"/>
  <c r="B435" i="7"/>
  <c r="D435" i="7"/>
  <c r="C435" i="7"/>
  <c r="B91" i="7"/>
  <c r="D91" i="7"/>
  <c r="C91" i="7"/>
  <c r="D684" i="7"/>
  <c r="C684" i="7"/>
  <c r="B684" i="7"/>
  <c r="C568" i="7"/>
  <c r="B568" i="7"/>
  <c r="D568" i="7"/>
  <c r="C366" i="7"/>
  <c r="B366" i="7"/>
  <c r="D366" i="7"/>
  <c r="D121" i="7"/>
  <c r="C121" i="7"/>
  <c r="B121" i="7"/>
  <c r="C680" i="7"/>
  <c r="B680" i="7"/>
  <c r="D680" i="7"/>
  <c r="D347" i="7"/>
  <c r="C347" i="7"/>
  <c r="B347" i="7"/>
  <c r="D740" i="7"/>
  <c r="C740" i="7"/>
  <c r="B740" i="7"/>
  <c r="D697" i="7"/>
  <c r="B697" i="7"/>
  <c r="C697" i="7"/>
  <c r="D25" i="7"/>
  <c r="C25" i="7"/>
  <c r="B25" i="7"/>
  <c r="D567" i="7"/>
  <c r="C567" i="7"/>
  <c r="B567" i="7"/>
  <c r="D468" i="7"/>
  <c r="C468" i="7"/>
  <c r="B468" i="7"/>
  <c r="B59" i="7"/>
  <c r="D59" i="7"/>
  <c r="C59" i="7"/>
  <c r="D682" i="7"/>
  <c r="C682" i="7"/>
  <c r="B682" i="7"/>
  <c r="D743" i="7"/>
  <c r="C743" i="7"/>
  <c r="B743" i="7"/>
  <c r="D490" i="7"/>
  <c r="C490" i="7"/>
  <c r="B490" i="7"/>
  <c r="D239" i="7"/>
  <c r="C239" i="7"/>
  <c r="B239" i="7"/>
  <c r="D700" i="7"/>
  <c r="C700" i="7"/>
  <c r="B700" i="7"/>
  <c r="B409" i="7"/>
  <c r="D409" i="7"/>
  <c r="C409" i="7"/>
  <c r="D247" i="7"/>
  <c r="C247" i="7"/>
  <c r="B247" i="7"/>
  <c r="D720" i="7"/>
  <c r="C720" i="7"/>
  <c r="B720" i="7"/>
  <c r="C301" i="7"/>
  <c r="D301" i="7"/>
  <c r="B301" i="7"/>
  <c r="D610" i="7"/>
  <c r="C610" i="7"/>
  <c r="B610" i="7"/>
  <c r="D269" i="7"/>
  <c r="C269" i="7"/>
  <c r="B269" i="7"/>
  <c r="D411" i="7"/>
  <c r="C411" i="7"/>
  <c r="B411" i="7"/>
  <c r="D548" i="7"/>
  <c r="C548" i="7"/>
  <c r="B548" i="7"/>
  <c r="D114" i="7"/>
  <c r="C114" i="7"/>
  <c r="B114" i="7"/>
  <c r="B473" i="7"/>
  <c r="D473" i="7"/>
  <c r="C473" i="7"/>
  <c r="D564" i="7"/>
  <c r="C564" i="7"/>
  <c r="B564" i="7"/>
  <c r="D422" i="7"/>
  <c r="C422" i="7"/>
  <c r="B422" i="7"/>
  <c r="D420" i="7"/>
  <c r="C420" i="7"/>
  <c r="B420" i="7"/>
  <c r="D300" i="7"/>
  <c r="B300" i="7"/>
  <c r="C300" i="7"/>
  <c r="D6" i="7"/>
  <c r="C6" i="7"/>
  <c r="B6" i="7"/>
  <c r="D410" i="7"/>
  <c r="C410" i="7"/>
  <c r="B410" i="7"/>
  <c r="D526" i="7"/>
  <c r="C526" i="7"/>
  <c r="B526" i="7"/>
  <c r="D278" i="7"/>
  <c r="C278" i="7"/>
  <c r="B278" i="7"/>
  <c r="D225" i="7"/>
  <c r="C225" i="7"/>
  <c r="B225" i="7"/>
  <c r="D158" i="7"/>
  <c r="C158" i="7"/>
  <c r="B158" i="7"/>
  <c r="D445" i="7"/>
  <c r="C445" i="7"/>
  <c r="B445" i="7"/>
  <c r="C32" i="7"/>
  <c r="B32" i="7"/>
  <c r="D32" i="7"/>
  <c r="D250" i="7"/>
  <c r="C250" i="7"/>
  <c r="B250" i="7"/>
  <c r="D100" i="7"/>
  <c r="C100" i="7"/>
  <c r="B100" i="7"/>
  <c r="D184" i="7"/>
  <c r="C184" i="7"/>
  <c r="B184" i="7"/>
  <c r="D23" i="7"/>
  <c r="C23" i="7"/>
  <c r="B23" i="7"/>
  <c r="D90" i="7"/>
  <c r="C90" i="7"/>
  <c r="B90" i="7"/>
  <c r="C613" i="7"/>
  <c r="D383" i="7"/>
  <c r="D555" i="7"/>
  <c r="D511" i="7"/>
  <c r="B34" i="7"/>
  <c r="C238" i="7"/>
  <c r="D653" i="7"/>
  <c r="B307" i="7"/>
  <c r="D563" i="7"/>
  <c r="D639" i="7"/>
  <c r="D291" i="7"/>
  <c r="B47" i="7"/>
  <c r="C85" i="7"/>
  <c r="D433" i="7"/>
  <c r="B164" i="7"/>
  <c r="C171" i="7"/>
  <c r="C483" i="7"/>
  <c r="C262" i="7"/>
  <c r="B212" i="7"/>
  <c r="C727" i="7"/>
  <c r="D232" i="7"/>
  <c r="D16" i="7"/>
  <c r="B234" i="7"/>
  <c r="C695" i="7"/>
  <c r="B675" i="7"/>
  <c r="B162" i="7"/>
  <c r="B663" i="7"/>
  <c r="C470" i="7"/>
  <c r="C574" i="7"/>
  <c r="D574" i="7"/>
  <c r="B574" i="7"/>
  <c r="B387" i="7"/>
  <c r="C632" i="7"/>
  <c r="B632" i="7"/>
  <c r="D632" i="7"/>
  <c r="D337" i="7"/>
  <c r="B337" i="7"/>
  <c r="C337" i="7"/>
  <c r="D379" i="7"/>
  <c r="C379" i="7"/>
  <c r="B379" i="7"/>
  <c r="D596" i="7"/>
  <c r="C596" i="7"/>
  <c r="B596" i="7"/>
  <c r="D173" i="7"/>
  <c r="C173" i="7"/>
  <c r="B173" i="7"/>
  <c r="B659" i="7"/>
  <c r="D659" i="7"/>
  <c r="C659" i="7"/>
  <c r="D508" i="7"/>
  <c r="C508" i="7"/>
  <c r="B508" i="7"/>
  <c r="D665" i="7"/>
  <c r="B665" i="7"/>
  <c r="C665" i="7"/>
  <c r="D413" i="7"/>
  <c r="C413" i="7"/>
  <c r="B413" i="7"/>
  <c r="D248" i="7"/>
  <c r="C248" i="7"/>
  <c r="B248" i="7"/>
  <c r="D652" i="7"/>
  <c r="C652" i="7"/>
  <c r="B652" i="7"/>
  <c r="D452" i="7"/>
  <c r="C452" i="7"/>
  <c r="B452" i="7"/>
  <c r="D713" i="7"/>
  <c r="B713" i="7"/>
  <c r="C713" i="7"/>
  <c r="D356" i="7"/>
  <c r="C356" i="7"/>
  <c r="B356" i="7"/>
  <c r="D364" i="7"/>
  <c r="C364" i="7"/>
  <c r="B364" i="7"/>
  <c r="D612" i="7"/>
  <c r="C612" i="7"/>
  <c r="B612" i="7"/>
  <c r="D505" i="7"/>
  <c r="C505" i="7"/>
  <c r="B505" i="7"/>
  <c r="D478" i="7"/>
  <c r="C478" i="7"/>
  <c r="B478" i="7"/>
  <c r="C536" i="7"/>
  <c r="B536" i="7"/>
  <c r="D536" i="7"/>
  <c r="D708" i="7"/>
  <c r="C708" i="7"/>
  <c r="B708" i="7"/>
  <c r="D7" i="7"/>
  <c r="C7" i="7"/>
  <c r="B7" i="7"/>
  <c r="D522" i="7"/>
  <c r="C522" i="7"/>
  <c r="B522" i="7"/>
  <c r="D228" i="7"/>
  <c r="C228" i="7"/>
  <c r="B228" i="7"/>
  <c r="D2" i="7"/>
  <c r="C2" i="7"/>
  <c r="B2" i="7"/>
  <c r="D236" i="7"/>
  <c r="C236" i="7"/>
  <c r="B236" i="7"/>
  <c r="D94" i="7"/>
  <c r="C94" i="7"/>
  <c r="B94" i="7"/>
  <c r="D399" i="7"/>
  <c r="C399" i="7"/>
  <c r="B399" i="7"/>
  <c r="B601" i="7"/>
  <c r="D601" i="7"/>
  <c r="C601" i="7"/>
  <c r="D132" i="7"/>
  <c r="C132" i="7"/>
  <c r="B132" i="7"/>
  <c r="D183" i="7"/>
  <c r="C183" i="7"/>
  <c r="B183" i="7"/>
  <c r="D453" i="7"/>
  <c r="C453" i="7"/>
  <c r="B453" i="7"/>
  <c r="D44" i="7"/>
  <c r="C44" i="7"/>
  <c r="B44" i="7"/>
  <c r="D341" i="7"/>
  <c r="C341" i="7"/>
  <c r="B341" i="7"/>
  <c r="D89" i="7"/>
  <c r="C89" i="7"/>
  <c r="B89" i="7"/>
  <c r="D72" i="7"/>
  <c r="C72" i="7"/>
  <c r="B72" i="7"/>
  <c r="D613" i="7"/>
  <c r="B274" i="7"/>
  <c r="B565" i="7"/>
  <c r="B530" i="7"/>
  <c r="D238" i="7"/>
  <c r="C307" i="7"/>
  <c r="B563" i="7"/>
  <c r="B689" i="7"/>
  <c r="D334" i="7"/>
  <c r="B257" i="7"/>
  <c r="C47" i="7"/>
  <c r="B275" i="7"/>
  <c r="C164" i="7"/>
  <c r="D171" i="7"/>
  <c r="D483" i="7"/>
  <c r="D262" i="7"/>
  <c r="B741" i="7"/>
  <c r="C212" i="7"/>
  <c r="D727" i="7"/>
  <c r="B92" i="7"/>
  <c r="B16" i="7"/>
  <c r="C234" i="7"/>
  <c r="D695" i="7"/>
  <c r="B17" i="7"/>
  <c r="C162" i="7"/>
  <c r="C663" i="7"/>
  <c r="D470" i="7"/>
  <c r="D354" i="7"/>
  <c r="C354" i="7"/>
  <c r="B354" i="7"/>
  <c r="C744" i="7"/>
  <c r="B744" i="7"/>
  <c r="D744" i="7"/>
  <c r="C718" i="7"/>
  <c r="D718" i="7"/>
  <c r="B718" i="7"/>
  <c r="D103" i="7"/>
  <c r="C103" i="7"/>
  <c r="B103" i="7"/>
  <c r="D544" i="7"/>
  <c r="C544" i="7"/>
  <c r="B544" i="7"/>
  <c r="D476" i="7"/>
  <c r="C476" i="7"/>
  <c r="B476" i="7"/>
  <c r="C702" i="7"/>
  <c r="D702" i="7"/>
  <c r="B702" i="7"/>
  <c r="D541" i="7"/>
  <c r="C541" i="7"/>
  <c r="B541" i="7"/>
  <c r="D668" i="7"/>
  <c r="C668" i="7"/>
  <c r="B668" i="7"/>
  <c r="D450" i="7"/>
  <c r="C450" i="7"/>
  <c r="B450" i="7"/>
  <c r="D369" i="7"/>
  <c r="C369" i="7"/>
  <c r="B369" i="7"/>
  <c r="C606" i="7"/>
  <c r="D606" i="7"/>
  <c r="B606" i="7"/>
  <c r="D489" i="7"/>
  <c r="C489" i="7"/>
  <c r="B489" i="7"/>
  <c r="D35" i="7"/>
  <c r="C35" i="7"/>
  <c r="B35" i="7"/>
  <c r="D716" i="7"/>
  <c r="C716" i="7"/>
  <c r="B716" i="7"/>
  <c r="D561" i="7"/>
  <c r="C561" i="7"/>
  <c r="B561" i="7"/>
  <c r="C456" i="7"/>
  <c r="B456" i="7"/>
  <c r="D456" i="7"/>
  <c r="C96" i="7"/>
  <c r="B96" i="7"/>
  <c r="D96" i="7"/>
  <c r="D145" i="7"/>
  <c r="C145" i="7"/>
  <c r="B145" i="7"/>
  <c r="D101" i="7"/>
  <c r="C101" i="7"/>
  <c r="B101" i="7"/>
  <c r="D543" i="7"/>
  <c r="C543" i="7"/>
  <c r="B543" i="7"/>
  <c r="D378" i="7"/>
  <c r="C378" i="7"/>
  <c r="B378" i="7"/>
  <c r="D124" i="7"/>
  <c r="C124" i="7"/>
  <c r="B124" i="7"/>
  <c r="C319" i="7"/>
  <c r="D319" i="7"/>
  <c r="B319" i="7"/>
  <c r="D562" i="7"/>
  <c r="C562" i="7"/>
  <c r="B562" i="7"/>
  <c r="D294" i="7"/>
  <c r="C294" i="7"/>
  <c r="B294" i="7"/>
  <c r="D340" i="7"/>
  <c r="C340" i="7"/>
  <c r="B340" i="7"/>
  <c r="D199" i="7"/>
  <c r="C199" i="7"/>
  <c r="B199" i="7"/>
  <c r="D223" i="7"/>
  <c r="C223" i="7"/>
  <c r="B223" i="7"/>
  <c r="D593" i="7"/>
  <c r="C593" i="7"/>
  <c r="B593" i="7"/>
  <c r="D175" i="7"/>
  <c r="C175" i="7"/>
  <c r="B175" i="7"/>
  <c r="D417" i="7"/>
  <c r="C417" i="7"/>
  <c r="B417" i="7"/>
  <c r="D683" i="7"/>
  <c r="C683" i="7"/>
  <c r="B683" i="7"/>
  <c r="D581" i="7"/>
  <c r="C581" i="7"/>
  <c r="B581" i="7"/>
  <c r="B201" i="7"/>
  <c r="C274" i="7"/>
  <c r="C565" i="7"/>
  <c r="C530" i="7"/>
  <c r="D34" i="7"/>
  <c r="B469" i="7"/>
  <c r="C715" i="7"/>
  <c r="D307" i="7"/>
  <c r="B455" i="7"/>
  <c r="C689" i="7"/>
  <c r="B334" i="7"/>
  <c r="C257" i="7"/>
  <c r="D47" i="7"/>
  <c r="B216" i="7"/>
  <c r="C275" i="7"/>
  <c r="D164" i="7"/>
  <c r="B171" i="7"/>
  <c r="B487" i="7"/>
  <c r="C741" i="7"/>
  <c r="D212" i="7"/>
  <c r="B149" i="7"/>
  <c r="C92" i="7"/>
  <c r="C16" i="7"/>
  <c r="D234" i="7"/>
  <c r="B657" i="7"/>
  <c r="C17" i="7"/>
  <c r="D162" i="7"/>
  <c r="D663" i="7"/>
  <c r="B699" i="7"/>
  <c r="B27" i="7"/>
  <c r="D27" i="7"/>
  <c r="C27" i="7"/>
  <c r="D485" i="7"/>
  <c r="C485" i="7"/>
  <c r="B485" i="7"/>
  <c r="D138" i="7"/>
  <c r="C138" i="7"/>
  <c r="B138" i="7"/>
  <c r="C670" i="7"/>
  <c r="D670" i="7"/>
  <c r="B670" i="7"/>
  <c r="D237" i="7"/>
  <c r="C237" i="7"/>
  <c r="B237" i="7"/>
  <c r="D381" i="7"/>
  <c r="C381" i="7"/>
  <c r="B381" i="7"/>
  <c r="D694" i="7"/>
  <c r="C694" i="7"/>
  <c r="B694" i="7"/>
  <c r="D377" i="7"/>
  <c r="C377" i="7"/>
  <c r="B377" i="7"/>
  <c r="D576" i="7"/>
  <c r="C576" i="7"/>
  <c r="B576" i="7"/>
  <c r="D268" i="7"/>
  <c r="C268" i="7"/>
  <c r="B268" i="7"/>
  <c r="D95" i="7"/>
  <c r="C95" i="7"/>
  <c r="B95" i="7"/>
  <c r="D313" i="7"/>
  <c r="C313" i="7"/>
  <c r="B313" i="7"/>
  <c r="D693" i="7"/>
  <c r="C693" i="7"/>
  <c r="B693" i="7"/>
  <c r="D649" i="7"/>
  <c r="B649" i="7"/>
  <c r="C649" i="7"/>
  <c r="B537" i="7"/>
  <c r="D537" i="7"/>
  <c r="C537" i="7"/>
  <c r="C440" i="7"/>
  <c r="B440" i="7"/>
  <c r="D440" i="7"/>
  <c r="D532" i="7"/>
  <c r="C532" i="7"/>
  <c r="B532" i="7"/>
  <c r="D79" i="7"/>
  <c r="C79" i="7"/>
  <c r="B79" i="7"/>
  <c r="D330" i="7"/>
  <c r="B330" i="7"/>
  <c r="C330" i="7"/>
  <c r="D13" i="7"/>
  <c r="C13" i="7"/>
  <c r="B13" i="7"/>
  <c r="D314" i="7"/>
  <c r="B314" i="7"/>
  <c r="C314" i="7"/>
  <c r="D524" i="7"/>
  <c r="C524" i="7"/>
  <c r="B524" i="7"/>
  <c r="D46" i="7"/>
  <c r="C46" i="7"/>
  <c r="B46" i="7"/>
  <c r="D122" i="7"/>
  <c r="C122" i="7"/>
  <c r="B122" i="7"/>
  <c r="D52" i="7"/>
  <c r="C52" i="7"/>
  <c r="B52" i="7"/>
  <c r="D245" i="7"/>
  <c r="C245" i="7"/>
  <c r="B245" i="7"/>
  <c r="D647" i="7"/>
  <c r="C647" i="7"/>
  <c r="B647" i="7"/>
  <c r="B11" i="7"/>
  <c r="D11" i="7"/>
  <c r="C11" i="7"/>
  <c r="D633" i="7"/>
  <c r="B633" i="7"/>
  <c r="C633" i="7"/>
  <c r="D438" i="7"/>
  <c r="C438" i="7"/>
  <c r="B438" i="7"/>
  <c r="C317" i="7"/>
  <c r="B317" i="7"/>
  <c r="D317" i="7"/>
  <c r="D61" i="7"/>
  <c r="C61" i="7"/>
  <c r="B61" i="7"/>
  <c r="D113" i="7"/>
  <c r="C113" i="7"/>
  <c r="B113" i="7"/>
  <c r="D629" i="7"/>
  <c r="C629" i="7"/>
  <c r="B629" i="7"/>
  <c r="D299" i="7"/>
  <c r="C299" i="7"/>
  <c r="B299" i="7"/>
  <c r="C256" i="7"/>
  <c r="B256" i="7"/>
  <c r="D256" i="7"/>
  <c r="D131" i="7"/>
  <c r="C131" i="7"/>
  <c r="B131" i="7"/>
  <c r="D54" i="7"/>
  <c r="C54" i="7"/>
  <c r="B54" i="7"/>
  <c r="D67" i="7"/>
  <c r="C67" i="7"/>
  <c r="B67" i="7"/>
  <c r="D533" i="7"/>
  <c r="C533" i="7"/>
  <c r="B533" i="7"/>
  <c r="C201" i="7"/>
  <c r="D274" i="7"/>
  <c r="D530" i="7"/>
  <c r="D342" i="7"/>
  <c r="C469" i="7"/>
  <c r="D715" i="7"/>
  <c r="B178" i="7"/>
  <c r="C455" i="7"/>
  <c r="C334" i="7"/>
  <c r="B597" i="7"/>
  <c r="C216" i="7"/>
  <c r="D275" i="7"/>
  <c r="C387" i="7"/>
  <c r="B415" i="7"/>
  <c r="C487" i="7"/>
  <c r="D741" i="7"/>
  <c r="B260" i="7"/>
  <c r="C149" i="7"/>
  <c r="D92" i="7"/>
  <c r="B264" i="7"/>
  <c r="C657" i="7"/>
  <c r="D17" i="7"/>
  <c r="B295" i="7"/>
  <c r="B233" i="7"/>
  <c r="C699" i="7"/>
  <c r="D582" i="7"/>
  <c r="C582" i="7"/>
  <c r="B582" i="7"/>
  <c r="D170" i="7"/>
  <c r="C170" i="7"/>
  <c r="B170" i="7"/>
  <c r="D197" i="7"/>
  <c r="C197" i="7"/>
  <c r="B197" i="7"/>
  <c r="C309" i="7"/>
  <c r="D309" i="7"/>
  <c r="B309" i="7"/>
  <c r="B18" i="7"/>
  <c r="D698" i="7"/>
  <c r="C698" i="7"/>
  <c r="B698" i="7"/>
  <c r="D479" i="7"/>
  <c r="C479" i="7"/>
  <c r="B479" i="7"/>
  <c r="D492" i="7"/>
  <c r="C492" i="7"/>
  <c r="B492" i="7"/>
  <c r="D97" i="7"/>
  <c r="C97" i="7"/>
  <c r="B97" i="7"/>
  <c r="D690" i="7"/>
  <c r="C690" i="7"/>
  <c r="B690" i="7"/>
  <c r="C358" i="7"/>
  <c r="B358" i="7"/>
  <c r="D358" i="7"/>
  <c r="D241" i="7"/>
  <c r="C241" i="7"/>
  <c r="B241" i="7"/>
  <c r="D181" i="7"/>
  <c r="C181" i="7"/>
  <c r="B181" i="7"/>
  <c r="B371" i="7"/>
  <c r="D371" i="7"/>
  <c r="C371" i="7"/>
  <c r="D628" i="7"/>
  <c r="C628" i="7"/>
  <c r="B628" i="7"/>
  <c r="D484" i="7"/>
  <c r="C484" i="7"/>
  <c r="B484" i="7"/>
  <c r="D390" i="7"/>
  <c r="C390" i="7"/>
  <c r="B390" i="7"/>
  <c r="D426" i="7"/>
  <c r="C426" i="7"/>
  <c r="B426" i="7"/>
  <c r="D37" i="7"/>
  <c r="C37" i="7"/>
  <c r="B37" i="7"/>
  <c r="D425" i="7"/>
  <c r="C425" i="7"/>
  <c r="B425" i="7"/>
  <c r="D259" i="7"/>
  <c r="C259" i="7"/>
  <c r="B259" i="7"/>
  <c r="D525" i="7"/>
  <c r="C525" i="7"/>
  <c r="B525" i="7"/>
  <c r="C552" i="7"/>
  <c r="B552" i="7"/>
  <c r="D552" i="7"/>
  <c r="D65" i="7"/>
  <c r="C65" i="7"/>
  <c r="B65" i="7"/>
  <c r="D87" i="7"/>
  <c r="C87" i="7"/>
  <c r="B87" i="7"/>
  <c r="D442" i="7"/>
  <c r="C442" i="7"/>
  <c r="B442" i="7"/>
  <c r="D591" i="7"/>
  <c r="C591" i="7"/>
  <c r="B591" i="7"/>
  <c r="D9" i="7"/>
  <c r="C9" i="7"/>
  <c r="B9" i="7"/>
  <c r="C315" i="7"/>
  <c r="D315" i="7"/>
  <c r="B315" i="7"/>
  <c r="D729" i="7"/>
  <c r="B729" i="7"/>
  <c r="C729" i="7"/>
  <c r="D258" i="7"/>
  <c r="C258" i="7"/>
  <c r="B258" i="7"/>
  <c r="D566" i="7"/>
  <c r="C566" i="7"/>
  <c r="B566" i="7"/>
  <c r="D136" i="7"/>
  <c r="C136" i="7"/>
  <c r="B136" i="7"/>
  <c r="D571" i="7"/>
  <c r="C571" i="7"/>
  <c r="B571" i="7"/>
  <c r="D557" i="7"/>
  <c r="C557" i="7"/>
  <c r="B557" i="7"/>
  <c r="D77" i="7"/>
  <c r="C77" i="7"/>
  <c r="B77" i="7"/>
  <c r="D193" i="7"/>
  <c r="C193" i="7"/>
  <c r="B193" i="7"/>
  <c r="D246" i="7"/>
  <c r="C246" i="7"/>
  <c r="B246" i="7"/>
  <c r="D549" i="7"/>
  <c r="C549" i="7"/>
  <c r="B549" i="7"/>
  <c r="D395" i="7"/>
  <c r="C395" i="7"/>
  <c r="B395" i="7"/>
  <c r="B419" i="7"/>
  <c r="D419" i="7"/>
  <c r="C419" i="7"/>
  <c r="D201" i="7"/>
  <c r="B252" i="7"/>
  <c r="B375" i="7"/>
  <c r="C585" i="7"/>
  <c r="B342" i="7"/>
  <c r="D469" i="7"/>
  <c r="B599" i="7"/>
  <c r="C178" i="7"/>
  <c r="D455" i="7"/>
  <c r="D681" i="7"/>
  <c r="B681" i="7"/>
  <c r="C681" i="7"/>
  <c r="B363" i="7"/>
  <c r="C75" i="7"/>
  <c r="C597" i="7"/>
  <c r="D216" i="7"/>
  <c r="C219" i="7"/>
  <c r="D387" i="7"/>
  <c r="B587" i="7"/>
  <c r="C415" i="7"/>
  <c r="D487" i="7"/>
  <c r="B365" i="7"/>
  <c r="C260" i="7"/>
  <c r="D149" i="7"/>
  <c r="B280" i="7"/>
  <c r="B709" i="7"/>
  <c r="C264" i="7"/>
  <c r="D657" i="7"/>
  <c r="B539" i="7"/>
  <c r="C295" i="7"/>
  <c r="C233" i="7"/>
  <c r="D699" i="7"/>
</calcChain>
</file>

<file path=xl/sharedStrings.xml><?xml version="1.0" encoding="utf-8"?>
<sst xmlns="http://schemas.openxmlformats.org/spreadsheetml/2006/main" count="39358" uniqueCount="3352">
  <si>
    <t>Pucha Wholesaler LLC</t>
  </si>
  <si>
    <t>January 1-December 23, 2025</t>
  </si>
  <si>
    <t>Amazon</t>
  </si>
  <si>
    <t>06/02/2025</t>
  </si>
  <si>
    <t>Bill</t>
  </si>
  <si>
    <t/>
  </si>
  <si>
    <t>Display Strip</t>
  </si>
  <si>
    <t>Used for product displays at retail stores</t>
  </si>
  <si>
    <t>06/04/2025</t>
  </si>
  <si>
    <t>Expense</t>
  </si>
  <si>
    <t>AMAZON MKTPL*N647V 06-03 Amzn.com/bill WA 6953 DEBIT CARD PURCHASE</t>
  </si>
  <si>
    <t>Total for Amazon</t>
  </si>
  <si>
    <t>Arjo Vision Trading Company LLC</t>
  </si>
  <si>
    <t>03/19/2025</t>
  </si>
  <si>
    <t>295</t>
  </si>
  <si>
    <t>Volt yellow Guarana 16fl oz /15</t>
  </si>
  <si>
    <t>Volt yellow Guarana lata 16fl oz /15</t>
  </si>
  <si>
    <t>Total for Arjo Vision Trading Company LLC</t>
  </si>
  <si>
    <t>Belmont International Trading Corp</t>
  </si>
  <si>
    <t>04/28/2025</t>
  </si>
  <si>
    <t>64308</t>
  </si>
  <si>
    <t>Belmont Yuyo Marino FROZEN 2.2lb x 8</t>
  </si>
  <si>
    <t>Belmont Yuyo Marino FROZEN 2.2lb x 8 / 1FP-36</t>
  </si>
  <si>
    <t>Belmont Chirimoya pulpa 14oz x 20</t>
  </si>
  <si>
    <t>Belmont Chirimoya pulpa 14oz x 20 / 859174003153</t>
  </si>
  <si>
    <t>Belmont Aji Amarillo entero 1Lb x 18 FROZEN</t>
  </si>
  <si>
    <t>BELMONT - Belmont Aji Amarillo entero 1Lb x 18 bolsas FROZEN</t>
  </si>
  <si>
    <t>Belmont Choclo desgranado 1Lb x 30 FROZEN</t>
  </si>
  <si>
    <t>BELMONT - Belmont Choclo desgranado 1Lb x 30 bolsas FROZEN / 1FP-08</t>
  </si>
  <si>
    <t>Belmont Aji Limo 14oz x 9 FROZEN</t>
  </si>
  <si>
    <t>BELMONT - Belmont Aji Limo 14oz x 9 bolsas FROZEN</t>
  </si>
  <si>
    <t>Belmont Aji Amarillo pasta 8oz x 12</t>
  </si>
  <si>
    <t>BELMONT - Belmont Aji Amarillo pasta 8oz x 12 frascos de vidrio / PA-02</t>
  </si>
  <si>
    <t>Belmont Aji Panca pasta 8oz x 12</t>
  </si>
  <si>
    <t>BELMONT - Belmont Aji Panca pasta 8oz x 12 frascos de vidrio / PA-08</t>
  </si>
  <si>
    <t>AJINOSIYAO 500ml x 24</t>
  </si>
  <si>
    <t>TA- PERU -  CONDIMENT PRODUCTS -  AJI NO Siyau-  24 / 500 ml - 00999</t>
  </si>
  <si>
    <t>Ajinomoto Bolsa 250gr x 60</t>
  </si>
  <si>
    <t>TA- PERU -  CONDIMENT PRODUCTS -  MSG -AJINOMOTO-  60 / 250gr - 00995</t>
  </si>
  <si>
    <t>Chocolate Cuzco con canela y clavo  4 x 12</t>
  </si>
  <si>
    <t>Chocolate Cuzco regular  4 x 12</t>
  </si>
  <si>
    <t>Chocolate Cuzco regular  4 x 12 / 859174003672 / AB-07</t>
  </si>
  <si>
    <t>AjiNomoto Bolsa 1Kg x 18</t>
  </si>
  <si>
    <t>AjiNomoto Bolsa 1Kg x 18 / 7754487118804 / 00803 / AB-11</t>
  </si>
  <si>
    <t>Mayonesa a la Cena 17.06oz (400gr) x 12</t>
  </si>
  <si>
    <t>Mayonesa a la Cena 17.06oz (400gr) x 12 / 7750243053013/ AL-01</t>
  </si>
  <si>
    <t>Tari crema de aji A la Cena17.06oz (400gr) x 12</t>
  </si>
  <si>
    <t>Tari crema de aji A la Cena17.06oz (400gr) x 12 / 7750243067805 / AL-02</t>
  </si>
  <si>
    <t>Huancaina A la Cena 17.06oz (400gr) x 12</t>
  </si>
  <si>
    <t>Huancaina A la Cena 17.06oz (400gr) x 12 / 7750243042932  AL-03</t>
  </si>
  <si>
    <t>Uchucuta A la Cena 17.06 (400gr) x 12</t>
  </si>
  <si>
    <t>Uchucuta A la Cena - crema de rocoto 17.06 (400gr) x 12 / 7750243066181 / AL-04</t>
  </si>
  <si>
    <t>Leche evaporada BONLE 12oz x 24</t>
  </si>
  <si>
    <t>Leche evaporada BONLE  lata 12oz x 24 / 7751271011181 / BO-02</t>
  </si>
  <si>
    <t>Leche condensada BONLE lata 14oz x 24</t>
  </si>
  <si>
    <t>Leche condensada BONLE lata 14oz x 24 / 7751271029803 / BO-03</t>
  </si>
  <si>
    <t>Cua Cua 9 x 24</t>
  </si>
  <si>
    <t>TA- PERU -  GOLOSINAS - DULCES  -  Cua Cua 18g x 9 x 24 / CH105</t>
  </si>
  <si>
    <t>Doña Pepa 23gr 6 x 36</t>
  </si>
  <si>
    <t>TA- PERU -  GOLOSINAS - DULCES  -  Doña Pepa 23g  6 x 36 / CH106</t>
  </si>
  <si>
    <t>CORONITA - Galleta de Chocolate x 6 x 28</t>
  </si>
  <si>
    <t>TA- PERU -  GOLOSINAS - DULCES  -  CORONITA - Galleta de Chocolate-  28 / 38gr - CH131</t>
  </si>
  <si>
    <t>Galletas Margarita Sayon 6 x 8 pack</t>
  </si>
  <si>
    <t>T.A GOLOSINAS Y DULCES -   -  GALLETAS MARGARITA SAYON-  55gr BOLSA x 6 / 8</t>
  </si>
  <si>
    <t>FIELD - Galletas de Vainilla 37 gr x 6 x 24</t>
  </si>
  <si>
    <t>TA- PERU -  GOLOSINAS - DULCES  -  FIELD - Galletas de Vainilla-  24 / 6x37g - CH113</t>
  </si>
  <si>
    <t>Belmont Galleta Cream Crackers 258gr x 24</t>
  </si>
  <si>
    <t>BELMONT - Belmont Galleta Cream Crackers 258gr x 24 / DA-09</t>
  </si>
  <si>
    <t>Galleta Municion San Jorge 1.94oz (55gr) x 25</t>
  </si>
  <si>
    <t>Galleta Municion San Jorge 1.94oz (55gr) x 25 / DA-10</t>
  </si>
  <si>
    <t>Mani Confitado Belmont x 25</t>
  </si>
  <si>
    <t>Mani Confitado Belmont x 25 / 859174003825</t>
  </si>
  <si>
    <t>FIELD - Chocosoda Galletas 6 x 32</t>
  </si>
  <si>
    <t>TA- PERU -  GOLOSINAS - DULCES  -  FIELD - Chocosoda Galletas-  32 / 6x8.25oz - CH122</t>
  </si>
  <si>
    <t>Galleta Club Social 6 x 32</t>
  </si>
  <si>
    <t>Galleta Club Social 6 x 32 / DA-21</t>
  </si>
  <si>
    <t>Winter Ole Ole x 60 x 15</t>
  </si>
  <si>
    <t>BELMONT - GOLOSINAS Y DULCES -   -  WINTERS OLE OLE 60 x 15 / 7752748008543 / DA-22</t>
  </si>
  <si>
    <t>Winter'S Picaras Chocolate 6 x30</t>
  </si>
  <si>
    <t>Winter'S Picaras Chocolate</t>
  </si>
  <si>
    <t>D'Onofrio Chocolate Sublime 26 G x 24</t>
  </si>
  <si>
    <t>D'Onofrio Chocolate Sublime 26 G</t>
  </si>
  <si>
    <t>Galletas Morochas 30gr 6x 30</t>
  </si>
  <si>
    <t>Belmont - Galletas Morochas 30gr 6x 30 / 7613035803121 / DD-05</t>
  </si>
  <si>
    <t>FIELD - Galletas de Soda 34gr x 6 x 36</t>
  </si>
  <si>
    <t>TA- PERU -  GOLOSINAS - DULCES  -  FIELD - Galletas de Soda-  36 / 6x34g - CH112</t>
  </si>
  <si>
    <t>CASINO Galleta Menta 51gr x 6 x 8</t>
  </si>
  <si>
    <t>BELMONT - PERU -  GOLOSINAS - DULCES  -  CASINO - Galleta Menta-  8 / 6x51g - CH117</t>
  </si>
  <si>
    <t>CASINO Galleta Fresa  51gr x 6 x 8</t>
  </si>
  <si>
    <t>BELMONT - PERU -  GOLOSINAS - DULCES  -  CASINO - Galleta Fresa-  8 / 6x51g - CH116</t>
  </si>
  <si>
    <t>CASINO Galleta Chocolate 51gr x 6 x 8</t>
  </si>
  <si>
    <t>BELMONT - PERU -  GOLOSINAS - DULCES  -  CASINO - Galleta Chocolate-  8 / 6x51g - CH118</t>
  </si>
  <si>
    <t>CASINO Galleta Lucuma 51gr x 6 x 8</t>
  </si>
  <si>
    <t>BELMONT - PERU -  GOLOSINAS - DULCES  -  CASINO - Galleta Lucuma-  8 / 6x51g - CH123</t>
  </si>
  <si>
    <t>Gloria Chicha Morada 1Lt x 12 TETRAPACK</t>
  </si>
  <si>
    <t>BELMONT - Chicha Morada Gloria 1Lt x 12 Tetrapack / 7751271009362 /GL-04</t>
  </si>
  <si>
    <t>Leche evaporada Gloria 13oz Lata x 24</t>
  </si>
  <si>
    <t>BELMONT - Leche evaporada Gloria 13oz Lata x 24 / 7751271005616 / GL-21</t>
  </si>
  <si>
    <t>Belmont Chicha Morada 16oz x 12</t>
  </si>
  <si>
    <t>BELMONT - Chicha Morada Belmont 16oz x 12 / 8591741003115 / JB-01</t>
  </si>
  <si>
    <t>Belmont jugo de Maracuya 16oz x 12</t>
  </si>
  <si>
    <t>BELMONT - Belmont jugo de Maracuya 16oz x 12 / 859174003139 /JB-03</t>
  </si>
  <si>
    <t>Belmont Emoliente bebida 16oz x 12</t>
  </si>
  <si>
    <t>BELMONT - Belmont Emoliente bebida 16oz x 12 / 859174003313 / JB-04</t>
  </si>
  <si>
    <t>Belmont Chicha Morada 1Lt x 6</t>
  </si>
  <si>
    <t>BELMONT - Belmont Chicha Morada 1Lt x 6 / 859174003085 / JB-05</t>
  </si>
  <si>
    <t>Belmont Mango nectar 1Lt x 6</t>
  </si>
  <si>
    <t>BELMONT - Belmont Mango nectar 1Lt x 6 / 859174003092 / JB-06</t>
  </si>
  <si>
    <t>Belmont Concentrado Chicha Morada  64oz x 6</t>
  </si>
  <si>
    <t>BELMONT - Belmont Concentrado Chicha Morada 64oz x 6 / 859174003887 / JB-09</t>
  </si>
  <si>
    <t>Belmont Aceituna Botija 20oz x 12</t>
  </si>
  <si>
    <t>BELMONT - Belmont Aceituna Botija 20oz x 12</t>
  </si>
  <si>
    <t>Belmont Culantro pasta 8oz x 12</t>
  </si>
  <si>
    <t>BELMONT - Belmont Culantro pasta 8oz x 12 / 859174003818 / PA-25</t>
  </si>
  <si>
    <t>Belmont Aderezo de Anticucho 16oz x 12</t>
  </si>
  <si>
    <t>BELMONT -Belmont Aderezo de Anticucho 16oz x 12 / 859174003993 / PA-33</t>
  </si>
  <si>
    <t>Provenzal Aji De Gallina 100gr x 10</t>
  </si>
  <si>
    <t>PERU CHEF- SALSAS Y CREMAS -   -  PROVENZAL AJI DE GALLINA 100 GR X 10)-</t>
  </si>
  <si>
    <t>Provenzal Arroz Con Pollo/Seco/Aguadito 58 gr x 10</t>
  </si>
  <si>
    <t>PERU CHEF- SALSAS Y CREMAS -   -  PROVENZAL ARROZ CON POLLO/SECO/AGUADITO 58 GR X 10)-</t>
  </si>
  <si>
    <t>Provenzal Carapulcra 150gr x 6</t>
  </si>
  <si>
    <t>PERU CHEF- SALSAS Y CREMAS -   -  PROVENZAL CARAPULCRA 150 GR X 6)-</t>
  </si>
  <si>
    <t>Provenzal Cau Cau 60gr x 12</t>
  </si>
  <si>
    <t>PERU CHEF- SALSAS Y CREMAS -   -  PROVENZAL CAU CAU 60 GR X 12)-</t>
  </si>
  <si>
    <t>Provenzal Ceviche Base 30gr x 20</t>
  </si>
  <si>
    <t>PERU CHEF- SALSAS Y CREMAS -   -  PROVENZAL CEBICHE BASE 30 GR X 20)-</t>
  </si>
  <si>
    <t>Provenzal Huancaina 64gr x 12</t>
  </si>
  <si>
    <t>PERU CHEF- SALSAS Y CREMAS -   -  PROVENZAL HUANCAINA 64 GR X 12)-</t>
  </si>
  <si>
    <t>Provenzal Ocopa 70gr x 12</t>
  </si>
  <si>
    <t>PERU CHEF- SALSAS Y CREMAS -   -  PROVENZAL OCOPA 70 GR X 12)-</t>
  </si>
  <si>
    <t>Provenzal Olluquito 78gr x 6</t>
  </si>
  <si>
    <t>Provenzal Olluquito 78 Gr X 6</t>
  </si>
  <si>
    <t>Provenzal Picarones Con Miel 165gr x 12</t>
  </si>
  <si>
    <t>PERU CHEF- SALSAS Y CREMAS -   -  PROVENZAL PICARONES CON MIEL 165 GR X 12</t>
  </si>
  <si>
    <t>Provenzal Sopa A La Minuta 78gr x 10</t>
  </si>
  <si>
    <t>PERU CHEF- SALSAS Y CREMAS -   -  PROVENZAL SOPA A LA MINUTA 78 G X 10-</t>
  </si>
  <si>
    <t>Belmont Chifles Piuranos 250gr x 10</t>
  </si>
  <si>
    <t>BELMONT - Chifles Piuranos 250gr x 10 bolsas</t>
  </si>
  <si>
    <t>Belmont Chifles Piuranos 125gr x 20</t>
  </si>
  <si>
    <t>Chifles Piuranos 125gr x 20 bolsas</t>
  </si>
  <si>
    <t>Belmont Maiz Cancha 15oz x 12</t>
  </si>
  <si>
    <t>BELMONT - Belmont Maiz Cancha 15oz x 12 / 859174003481</t>
  </si>
  <si>
    <t>Belmont Maiz Chulpe 15oz x 12</t>
  </si>
  <si>
    <t>BELMONT - Belmont Maiz Chulpe 15oz x 12 / 859174003498</t>
  </si>
  <si>
    <t>Belmont Aji Amarillo en Salmuera 20oz x 12</t>
  </si>
  <si>
    <t>BELMONT - Belmont Aji Amarillo en Salmuera 20oz x 12 frascos de vidrio / pa-28</t>
  </si>
  <si>
    <t>Belmont Aceituna Bidon 104oz x 6</t>
  </si>
  <si>
    <t>BELMONT - Belmont Aceituna Bidon 104oz x 6 / OL-02</t>
  </si>
  <si>
    <t>05/16/2025</t>
  </si>
  <si>
    <t>65207</t>
  </si>
  <si>
    <t>Belmont Pulpa de Lucuma</t>
  </si>
  <si>
    <t>Belmont Pulpa de Lucuma 14oz x 20 bolsas</t>
  </si>
  <si>
    <t>Belmont Rocoto entero FROZEN</t>
  </si>
  <si>
    <t>Belmont Rocoto entero FROZEN 1Lb x 18 bolsas</t>
  </si>
  <si>
    <t>Belmont Chicha de Jora</t>
  </si>
  <si>
    <t>Belmont Chicha de Jora 1Lt x 12 botella de vidrio</t>
  </si>
  <si>
    <t>Belmont Maiz Morado x 15oz</t>
  </si>
  <si>
    <t>Belmont Maiz Morado x 15oz x 12 bolsas</t>
  </si>
  <si>
    <t>06/12/2025</t>
  </si>
  <si>
    <t>66496</t>
  </si>
  <si>
    <t>Belmont Choclo Desgranado 3Lb x 10</t>
  </si>
  <si>
    <t>Belmont Choclo Desgranado 3Lb x 10 bolsas / 1FP-09</t>
  </si>
  <si>
    <t>Belmont Pulpa de Maracuya 14oz x 20</t>
  </si>
  <si>
    <t>Belmont Pulpa de Maracuya 14oz x 20 bolsas / 1FP-43</t>
  </si>
  <si>
    <t>Belmont Rocoto Desvenado limpio FROZEN 2lb x 10</t>
  </si>
  <si>
    <t>Belmont Rocoto Desvenado limpio FROZEN 2lb x 10 bolsas / 1FP-14</t>
  </si>
  <si>
    <t>Belmont Aji Panca pasta Bidon 7Lb</t>
  </si>
  <si>
    <t>Belmont Aji Panca pasta Bidon 7Lb / PA-12</t>
  </si>
  <si>
    <t>07/31/2025</t>
  </si>
  <si>
    <t>68755</t>
  </si>
  <si>
    <t>Belmont Mango Nectar</t>
  </si>
  <si>
    <t>Belmont Mango Nectar 12 / 16 oz</t>
  </si>
  <si>
    <t>Belmont jugo de Maracuya 1Lt x 6</t>
  </si>
  <si>
    <t>BELMONT - Belmont jugo de Maracuya 1Lt x 6 / 859174003108 / JB-07</t>
  </si>
  <si>
    <t>Belmont Harina de Camote 15oz x 12</t>
  </si>
  <si>
    <t>Chocman 30G 6 x 14</t>
  </si>
  <si>
    <t>Chocman 30G</t>
  </si>
  <si>
    <t>10/20/2025</t>
  </si>
  <si>
    <t>72533</t>
  </si>
  <si>
    <t>Belmont Aji Amarillo desvenado FROZEN  2Lb x 8</t>
  </si>
  <si>
    <t>Belmont Aji Amarillo desvenado FROZEN  2L x 8 / 1FP-02</t>
  </si>
  <si>
    <t>Belmont Aji Amarillo desvenado FROZEN  12oz  x 10</t>
  </si>
  <si>
    <t>Belmont Aji Amarillo desvenado FROZEN  12oz  x 10 / 1FP-44</t>
  </si>
  <si>
    <t>Belmont Maracuya con pepas FROZEN 1Kg x 16</t>
  </si>
  <si>
    <t>Belmont Maracuya con pepas FROZEN 1Kg x 16 / 1FP-38</t>
  </si>
  <si>
    <t>Belmont Aji Amarillo pasta 16oz x 12</t>
  </si>
  <si>
    <t>Belmont Aji Amarillo pasta 16oz x 12 frasco de vidrio / PA-03 / 859174003030</t>
  </si>
  <si>
    <t>Belmont Aji Panca pasta 16Oz x 12</t>
  </si>
  <si>
    <t>Belmont Aji Panca pasta 16Oz x 12  frasco de vidrio / PA-09 / 859174003047</t>
  </si>
  <si>
    <t>BELMONT - Belmont Aceituna Botija 20oz x 12 / OL-01 / 859174003863</t>
  </si>
  <si>
    <t>Belmont Rocoto en salmuera 20oz x 12</t>
  </si>
  <si>
    <t>Belmont Rocoto en salmuera frasco de vidrio 20oz x 12 / PA-30 / 859174003955</t>
  </si>
  <si>
    <t>Belmont Habas Secas Peladas 15oz x 12</t>
  </si>
  <si>
    <t>Belmont Habas Secas Peladas 15oz x 12 / SE-06 / 859174003436</t>
  </si>
  <si>
    <t>Belmont Pallares 15oz x 14</t>
  </si>
  <si>
    <t>Belmont Pallares 15oz x 14 / SE-15 / 859174003535</t>
  </si>
  <si>
    <t>PERU CHEF- SALSAS Y CREMAS -   -  PROVENZAL AJI DE GALLINA 100 GR X 10) / PR-01</t>
  </si>
  <si>
    <t>PCH- Galletas Morochas 30gr 6x 30 / 7613035803121 / DD-05</t>
  </si>
  <si>
    <t>12/11/2025</t>
  </si>
  <si>
    <t>75131</t>
  </si>
  <si>
    <t>Total for Belmont International Trading Corp</t>
  </si>
  <si>
    <t>Continental Food and Beverage, inc</t>
  </si>
  <si>
    <t>03/03/2025</t>
  </si>
  <si>
    <t>Inca Kola Plastico 2Lt x 8</t>
  </si>
  <si>
    <t>Plastico 2Lt</t>
  </si>
  <si>
    <t>Inca Kola Regular  x 24 Latas</t>
  </si>
  <si>
    <t>Regular</t>
  </si>
  <si>
    <t>Inca Kola Vidrio x 24</t>
  </si>
  <si>
    <t>Vidrio</t>
  </si>
  <si>
    <t>Inca Kola Regular x 12 latas</t>
  </si>
  <si>
    <t>Regular lata  x 12</t>
  </si>
  <si>
    <t>Inca Kola Diet Lata 12oz x 24</t>
  </si>
  <si>
    <t>Diet</t>
  </si>
  <si>
    <t>03/13/2025</t>
  </si>
  <si>
    <t>Vendor Credit</t>
  </si>
  <si>
    <t>Product Adjustment</t>
  </si>
  <si>
    <t>Used for credit memos related to price differences or missing/ damaged inventory</t>
  </si>
  <si>
    <t>04/09/2025</t>
  </si>
  <si>
    <t>- BEBIDAS -  INCA KOLA -  REGULAR LATA 12 OZ / 12</t>
  </si>
  <si>
    <t>- BEBIDAS -  INCA KOLA -  REGULAR-  LATA 12 OZ / 24</t>
  </si>
  <si>
    <t>INCA KOLA - BEBIDAS -  INCA KOLA -  DIET-  LATA 12 OZ / 24</t>
  </si>
  <si>
    <t>Kola Inglesa 12oz x 24</t>
  </si>
  <si>
    <t>- BEBIDAS -  KOLA INGLESA -  VIDRIO-  VIDRIO / 24</t>
  </si>
  <si>
    <t>05/14/2025</t>
  </si>
  <si>
    <t>07/08/2025</t>
  </si>
  <si>
    <t>70933</t>
  </si>
  <si>
    <t>- BEBIDAS -  INCA KOLA -  PLASTICO 2LT-   / 8</t>
  </si>
  <si>
    <t>08/21/2025</t>
  </si>
  <si>
    <t>71340</t>
  </si>
  <si>
    <t>- BEBIDAS -  INCA KOLA -  VIDRIO-  10 OZ / 24</t>
  </si>
  <si>
    <t>09/30/2025</t>
  </si>
  <si>
    <t>10823</t>
  </si>
  <si>
    <t>10/01/2025</t>
  </si>
  <si>
    <t>0071667</t>
  </si>
  <si>
    <t>Paneton TODINNO 900gr x 6</t>
  </si>
  <si>
    <t>CF&amp;B Paneton TODINNO 900gr x 6</t>
  </si>
  <si>
    <t>11/01/2025</t>
  </si>
  <si>
    <t>11/04/2025</t>
  </si>
  <si>
    <t>0071969</t>
  </si>
  <si>
    <t>Galleta Costa Chocolate Cookies x 24</t>
  </si>
  <si>
    <t>Galleta Costa Lemon Cookies 140gr x 24</t>
  </si>
  <si>
    <t>Galleta Costa Butter Cookies 140gr x 24</t>
  </si>
  <si>
    <t>Galleta Costa Coconut Cookies 125gr x 28</t>
  </si>
  <si>
    <t>Vivo Mifrut Pear 100% frut pouch</t>
  </si>
  <si>
    <t>Vivo Mifrut Apple 100% frut pouch</t>
  </si>
  <si>
    <t>Vivo Mifrut Banana 100% frut pouch</t>
  </si>
  <si>
    <t>Total for Continental Food and Beverage, inc</t>
  </si>
  <si>
    <t>Fiesta Mart #60</t>
  </si>
  <si>
    <t>11/13/2025</t>
  </si>
  <si>
    <t>824277</t>
  </si>
  <si>
    <t>Paneton Donofrio 6/31.04 oz</t>
  </si>
  <si>
    <t>12/18/2025</t>
  </si>
  <si>
    <t>Total for Fiesta Mart #60</t>
  </si>
  <si>
    <t>GUIXENS FOOD GROUP, INC.</t>
  </si>
  <si>
    <t>10/29/2025</t>
  </si>
  <si>
    <t>407638</t>
  </si>
  <si>
    <t>Total for GUIXENS FOOD GROUP, INC.</t>
  </si>
  <si>
    <t>Lam's Foods Inc.</t>
  </si>
  <si>
    <t>10/03/2025</t>
  </si>
  <si>
    <t>32400</t>
  </si>
  <si>
    <t>Lam's Chifles salado en tiras 2.5oz x 24</t>
  </si>
  <si>
    <t>Lam's Chifles dulce en tiras 2.1oz x 24</t>
  </si>
  <si>
    <t>Lam's Patacones / Tostones picante 4oz x 24</t>
  </si>
  <si>
    <t>Lam's Patacones / Tostones Regular 4oz x 24</t>
  </si>
  <si>
    <t>Lam's Patacones / Tostones Dulce 4oz x 24</t>
  </si>
  <si>
    <t>Total for Lam's Foods Inc.</t>
  </si>
  <si>
    <t>La Sorpresa Store</t>
  </si>
  <si>
    <t>08/26/2025</t>
  </si>
  <si>
    <t>Los Nietitos - Dulce de Leche</t>
  </si>
  <si>
    <t>dulce de leche</t>
  </si>
  <si>
    <t>Conaprole - Dulce de Leche - Milk Caramel Spread</t>
  </si>
  <si>
    <t>Total for La Sorpresa Store</t>
  </si>
  <si>
    <t>Peru Chef</t>
  </si>
  <si>
    <t>03/26/2025</t>
  </si>
  <si>
    <t>Peru Chef Maracuya jugo / Passion friut juice 1Lt x 12</t>
  </si>
  <si>
    <t>Peru Chef Passion friut juice 1Lt x 12</t>
  </si>
  <si>
    <t>Peru Chef Emoliente bebida 1Lt x 12</t>
  </si>
  <si>
    <t>Peru Chef Emoliente 1Lt x 12</t>
  </si>
  <si>
    <t>Peru Chef Pasta Aji Amarillo 16 oz x 12</t>
  </si>
  <si>
    <t>Pasta Aji Amarillo 16 Oz X 12</t>
  </si>
  <si>
    <t>Peru Chef Pasta Aji Panca 16 oz x 12</t>
  </si>
  <si>
    <t>Pasta Aji Panca 16 Oz X 12</t>
  </si>
  <si>
    <t>Peru Chef Pasta Ajos 16oz x 12</t>
  </si>
  <si>
    <t>Pasta Ajos 16 Oz X 12</t>
  </si>
  <si>
    <t>Peru Chef Crema De Aji P/Ceviche 10.5 oz x 12</t>
  </si>
  <si>
    <t>Crema De Aji P/Ceviche 10.5 Oz X 12</t>
  </si>
  <si>
    <t>Peru Chef Salsa de Aji Limo con Rocoto 10.5oz x 12</t>
  </si>
  <si>
    <t>Peru Chef Salsa de Aji Limo con Rocoto</t>
  </si>
  <si>
    <t>Peru Chef Maiz Morado 15 Oz X 22</t>
  </si>
  <si>
    <t>Maiz Morado 15 Oz X 22</t>
  </si>
  <si>
    <t>PERU CHEF Maiz Chulpe 15oz x 12</t>
  </si>
  <si>
    <t>Maiz Chulpe 15 Oz X 12</t>
  </si>
  <si>
    <t>Peru Chef Maiz Cancha Montaña15 Oz X 10</t>
  </si>
  <si>
    <t>Maiz Cancha Montaña 15 Oz X 10</t>
  </si>
  <si>
    <t>Peru Chef Maiz Mote Pelado 15 Oz X 12</t>
  </si>
  <si>
    <t>Maiz Mote Pelado 15 Oz X 12</t>
  </si>
  <si>
    <t>Peru Chef Papa Seca Serrana 15 Oz X 10</t>
  </si>
  <si>
    <t>Papa Seca Serrana 15 Oz X 10</t>
  </si>
  <si>
    <t>Peru Chef Papa Seca Amarilla 12oz x 8</t>
  </si>
  <si>
    <t>Papa Seca Amarilla 12 Oz X 8</t>
  </si>
  <si>
    <t>Peru Chef Trigo Pelado 15 Oz X 12</t>
  </si>
  <si>
    <t>Trigo Pelado 15 Oz X 12</t>
  </si>
  <si>
    <t>Peru Chef Quinua Real 15oz x 12</t>
  </si>
  <si>
    <t>Quinua Real 15 Oz X 12</t>
  </si>
  <si>
    <t>Peru Chef Cebada Tostada 15oz x 10</t>
  </si>
  <si>
    <t>Cebada Tostada 15 Oz X 10</t>
  </si>
  <si>
    <t>Peru Chef Emoliente 5.3 Oz X 12</t>
  </si>
  <si>
    <t>Emoliente 5.3 Oz X 12</t>
  </si>
  <si>
    <t>Peru Chef Harina de Chuño 15 Oz X 12</t>
  </si>
  <si>
    <t>Harina De Chuno 15 Oz X 12</t>
  </si>
  <si>
    <t>Peru Chef Chuño Blanco Entero 15 Oz X 8</t>
  </si>
  <si>
    <t>Chuno Blanco Entero 15 Oz X 8</t>
  </si>
  <si>
    <t>Peru Chef Pallares 15oz x 12</t>
  </si>
  <si>
    <t>Pallares 15 Oz X 12</t>
  </si>
  <si>
    <t>Peru Chef Hongos Y Laurel 1.57oz x 12</t>
  </si>
  <si>
    <t>Hongos Y Laurel 1.57 Oz X 12</t>
  </si>
  <si>
    <t>Peru Chef Habas Peladas 15 Oz X 12 bolsas</t>
  </si>
  <si>
    <t>Habas Peladas 15 Oz X 12</t>
  </si>
  <si>
    <t>Peru Chef Oregano Entero 30 G X 12</t>
  </si>
  <si>
    <t>Oregano Entero 30 G X 12</t>
  </si>
  <si>
    <t>Peru Chef Tuco 70gr x 12</t>
  </si>
  <si>
    <t>Tuco 70 G X 12</t>
  </si>
  <si>
    <t>Peru Chef Palillo Molido75gr x 12</t>
  </si>
  <si>
    <t>Palillo Molido75 G X 12</t>
  </si>
  <si>
    <t>Peru Chef Aji Panca Molido 70 G X 12</t>
  </si>
  <si>
    <t>Aji Panca Molido 70 G X 12</t>
  </si>
  <si>
    <t>Peru chef Kion Molido 60 G X 12</t>
  </si>
  <si>
    <t>Kion Molido 60 G X 12</t>
  </si>
  <si>
    <t>Atun Florida Solido en aceite 6 oz X 48</t>
  </si>
  <si>
    <t>Atun Florida 6 Oz X 48</t>
  </si>
  <si>
    <t>MSG -AJINOMOTO</t>
  </si>
  <si>
    <t>Walibi Aceitunesa 380gr x 12</t>
  </si>
  <si>
    <t>Aceitunesa</t>
  </si>
  <si>
    <t>Walibi Crema De Rocoto 380gr x 12</t>
  </si>
  <si>
    <t>Crema De Rocoto</t>
  </si>
  <si>
    <t>Walibi Salsa Huancaina</t>
  </si>
  <si>
    <t>Salsa Huancaina</t>
  </si>
  <si>
    <t>Peru Chef Aceitunas Negras 20 Oz X 12</t>
  </si>
  <si>
    <t>Aceitunas Negras 20 Oz X 12</t>
  </si>
  <si>
    <t>Peru Chef Aceitunas Botija Sin Pepa 20 Oz X 12</t>
  </si>
  <si>
    <t>Aceitunas Botija Sin Pepa 20 Oz X 12</t>
  </si>
  <si>
    <t>Peru Chef Chicha De Jora 1 L X 12</t>
  </si>
  <si>
    <t>Peruchef Chicha De Jora 1 L X 12</t>
  </si>
  <si>
    <t>Peru Chef Miel de Chancaca 17oz x 12</t>
  </si>
  <si>
    <t>Peruchef Chancaca</t>
  </si>
  <si>
    <t>Provenzal Ocopa 70 Gr X 12)</t>
  </si>
  <si>
    <t>Provenzal Huancaina 64 Gr X 12)</t>
  </si>
  <si>
    <t>Provenzal Cau Cau 60 Gr X 12)</t>
  </si>
  <si>
    <t>Galleta Chomp Naranja Victoria 42gr x 6 x 8</t>
  </si>
  <si>
    <t>VICTORIA - Chomp Naranja</t>
  </si>
  <si>
    <t>Galletas Chomp Chocolate 42gr x 6 x 8</t>
  </si>
  <si>
    <t>Chomp Galletas Chocolate 42 G</t>
  </si>
  <si>
    <t>CASINO - Galleta Menta</t>
  </si>
  <si>
    <t>CASINO - Galleta Chocolate</t>
  </si>
  <si>
    <t>Tentacion Galleta Coco 47gr 6 x 8</t>
  </si>
  <si>
    <t>Tentacion Galleta Coco 47 G</t>
  </si>
  <si>
    <t>Tentacion Galleta Vainilla 47gr 6 x 8</t>
  </si>
  <si>
    <t>Tentacion Galleta Vainilla 47 G</t>
  </si>
  <si>
    <t>Glacitas Fresa 32gr 6 x 8</t>
  </si>
  <si>
    <t>Glacitas Fresa 32 G X 6 X 8</t>
  </si>
  <si>
    <t>Glacitas Choconieve 32gr 6 x 8</t>
  </si>
  <si>
    <t>Glacitas Choconieve 32 G X 6 X 8</t>
  </si>
  <si>
    <t>Glacitas Toffee 32gr 6 x 8</t>
  </si>
  <si>
    <t>Glacitas Toffee 32 G X 6 X 8</t>
  </si>
  <si>
    <t>Glacitas Chocolate 32gr 6 x 8</t>
  </si>
  <si>
    <t>Glacitas Chocolate 32 G X 6 X 8</t>
  </si>
  <si>
    <t>Sayon Galletas Tejanas 480gr x 8</t>
  </si>
  <si>
    <t>Sayon Galletas Tejanas 480 G X 8</t>
  </si>
  <si>
    <t>Winters Ole Ole 225 gr x 50 x 15</t>
  </si>
  <si>
    <t>Winters Ole Ole 225 G X 15</t>
  </si>
  <si>
    <t>San Jorge Galleta Soda  40gr  x 7 x 4</t>
  </si>
  <si>
    <t>San Jorge Galletas Soda  40 G  X 7 X 4</t>
  </si>
  <si>
    <t>EL TRIUNFO Fideo Chino - Chinese Noodles 250gr x 30</t>
  </si>
  <si>
    <t>EL TRIUNFO - Fideo Chino - Chinese Noodles</t>
  </si>
  <si>
    <t>Kikko Siyau 500ml x 30</t>
  </si>
  <si>
    <t>Kikko Siyau 500Ml X 30</t>
  </si>
  <si>
    <t>Peru Chef display Mazamorra Morada 150 G x 12</t>
  </si>
  <si>
    <t>Peruchef Mazamorra Morada 150 G</t>
  </si>
  <si>
    <t>Peru Chef Chicha Morada display 20gr x 12 sobres</t>
  </si>
  <si>
    <t>Peruchef Chicha Morada 120 G</t>
  </si>
  <si>
    <t>ECCO - Café instantaneo de Cebada -Barley Instant Coffee</t>
  </si>
  <si>
    <t>KIRMA - Café Instantaneo - Instant Coffee</t>
  </si>
  <si>
    <t>Peru Chef Esencia De Vainilla 100ml x 24</t>
  </si>
  <si>
    <t>Peruchef Esencia De Vainilla 100 Ml X 24</t>
  </si>
  <si>
    <t>Peru Chef Choclo Desgranado 1 Lb X 30 FROZEN</t>
  </si>
  <si>
    <t>Choclo Desgranado 1 Lb X 30</t>
  </si>
  <si>
    <t>Peru Chef Aji Amarillo 1 Lb X 18</t>
  </si>
  <si>
    <t>Aji Amarillo 1 Lb X 18</t>
  </si>
  <si>
    <t>Peru Chef Rocoto FROZEN 1 Lb X 18</t>
  </si>
  <si>
    <t>Rocoto 1 Lb X 18</t>
  </si>
  <si>
    <t>Peru Chef Aji Limo 1 Lb X 15 FROZEN</t>
  </si>
  <si>
    <t>Aji Limo 1 Lb X 15</t>
  </si>
  <si>
    <t>Peru Chef Olluco Cortado 1 Lb X 20</t>
  </si>
  <si>
    <t>Olluco Cortado 1 Lb X 18</t>
  </si>
  <si>
    <t>Peru Chef Papa Amarilla 1 Lb X 26 FROZEN</t>
  </si>
  <si>
    <t>Papa Amarilla 1 Lb X 26</t>
  </si>
  <si>
    <t>Peru Chef Yuca Amarilla 1.5Lb x 18 bolsas</t>
  </si>
  <si>
    <t>Yuca Amarilla 1.5Lb X 18</t>
  </si>
  <si>
    <t>04/10/2025</t>
  </si>
  <si>
    <t>55130</t>
  </si>
  <si>
    <t>Atun Florida Solido en aceite 6 Oz X 48</t>
  </si>
  <si>
    <t>FIELD - Chokosoda Galletas</t>
  </si>
  <si>
    <t>Peru Chef Snack Cancha Chulpi Salada 100gr x 20</t>
  </si>
  <si>
    <t>Peruchef Cancha Chulpi Salada</t>
  </si>
  <si>
    <t>Peru Chef Snack Cancha Serrana Salada 100gr x 20 bolsas</t>
  </si>
  <si>
    <t>Peruchef Cancha Serrana Salada</t>
  </si>
  <si>
    <t>Peru Chef Snack Habas Saladas 100gr x 20 bolsas</t>
  </si>
  <si>
    <t>Peruchef Habas Saladas</t>
  </si>
  <si>
    <t>04/13/2025</t>
  </si>
  <si>
    <t>55164</t>
  </si>
  <si>
    <t>Peru Chef Harina De Arverja 15 Oz X 12</t>
  </si>
  <si>
    <t>Harina De Arverja 15 Oz X 12</t>
  </si>
  <si>
    <t>Peru Chef Aderezo Para Pachamanca 10 5 Oz x 12 frascos</t>
  </si>
  <si>
    <t>Aderezo Para Pachamanca 10 5 Oz X 12</t>
  </si>
  <si>
    <t>Peru Chef Algarrobina17oz x 12</t>
  </si>
  <si>
    <t>Peruchef Algarrobina</t>
  </si>
  <si>
    <t>Peru Chef Jarabe De Goma 17oz x 12</t>
  </si>
  <si>
    <t>Peruchef Jarabe De Goma</t>
  </si>
  <si>
    <t>PERU CHEF- POSTRES -   -  PERUCHEF CHICHA MORADA 120 G-  DISPLAY X 12 / 1</t>
  </si>
  <si>
    <t>PERU CHEF- POSTRES -   -  PERUCHEF MAZAMORRA MORADA 150 G-  DISPLAY X 12 / 1</t>
  </si>
  <si>
    <t>Peru Chef Rocoto En Mitades lata 20oz x12</t>
  </si>
  <si>
    <t>PERU CHEF - Peru Chef Rocoto En Mitades lata 20oz x12 latas / 850009035332</t>
  </si>
  <si>
    <t>Kikko Siyau 500ml x 30 /  00998</t>
  </si>
  <si>
    <t>T.A - PERU -  MISCELANEUS PRODUCTS -  EL TRIUNFO - Fideo Chino - Chinese Noodles -  30 / 250gr - FIDEO</t>
  </si>
  <si>
    <t>Chocolate Triangulo x 22</t>
  </si>
  <si>
    <t>Chocolate Triangulo</t>
  </si>
  <si>
    <t>San Jorge Municion 450gr x 6</t>
  </si>
  <si>
    <t>PERU CHEF- GOLOSINAS Y DULCES -   -  SAN JORGE MUNICION 450 G X 6</t>
  </si>
  <si>
    <t>PERU CHEF- GOLOSINAS Y DULCES -   -  SAN JORGE GALLETAS SODA  40 G  X 7 X 4-   / 4</t>
  </si>
  <si>
    <t>Peru Chef Pasta Rocoto 8 Oz X 12</t>
  </si>
  <si>
    <t>Pasta Rocoto 8 Oz X 12</t>
  </si>
  <si>
    <t>Peru Chef Pasta Aji Panca 8 Oz X 12</t>
  </si>
  <si>
    <t>Pasta Aji Panca 8 Oz X 12</t>
  </si>
  <si>
    <t>TA- PERU -  GOLOSINAS - DULCES  -  VICTORIA - Chomp Naranja-  8 / 6x 42g - CH121</t>
  </si>
  <si>
    <t>Peru Chef filtrante Manzanilla x 20</t>
  </si>
  <si>
    <t>PERU CHEF- FILTRANTES PERUCHEF -   -  MANZANILLA x 20</t>
  </si>
  <si>
    <t>Peru Chef Hierba Luisa x 20 filtrante x 12 cajas</t>
  </si>
  <si>
    <t>Peru Chef Hierba Luisa X 20 x 12</t>
  </si>
  <si>
    <t>Galleta Charada Field 40gr x 6 x 28</t>
  </si>
  <si>
    <t>Galleta Charada Field</t>
  </si>
  <si>
    <t>Gn Rellenitas Fresa x 8 x 5 pack</t>
  </si>
  <si>
    <t>Gn Rellenitas Fresa X 8 X 5</t>
  </si>
  <si>
    <t>Gn Rellenitas Coco x 8 x 5</t>
  </si>
  <si>
    <t>Gn Rellenitas Coco X 8 X 5</t>
  </si>
  <si>
    <t>04/24/2025</t>
  </si>
  <si>
    <t>55372</t>
  </si>
  <si>
    <t>PERU CHEF - Pasta Ajos 16 Oz X 12 frasco vidrio</t>
  </si>
  <si>
    <t>Peru Chef Pasta Aji Amarillo Poco Pic 16oz X 12</t>
  </si>
  <si>
    <t>PERU CHEF- CONDIMENTO EN PASTA -   -  PASTA AJI AMARILLO POCO PIC 16 OZ X 12-  12 / FCO VIDRIO</t>
  </si>
  <si>
    <t>Peru Chef Pasta Aji Panca Poco Pic 16 Oz X 12</t>
  </si>
  <si>
    <t>PERU CHEF- CONDIMENTO EN PASTA -   -  PASTA AJI PANCA POCO PIC 16 OZ X 12-  12 / FCO VIDRIO</t>
  </si>
  <si>
    <t>PERU CHEF- GRANOS -  BOLSA -  MAIZ CHULPE 15 OZ X 12</t>
  </si>
  <si>
    <t>PERU CHEF- GRANOS -  BOLSA -  MAIZ CANCHA MONTAÑA15 OZ X 10</t>
  </si>
  <si>
    <t>PERU CHEF- GRANOS -  BOLSA -  PAPA SECA SERRANA 15 OZ X 10</t>
  </si>
  <si>
    <t>PERU CHEF- GRANOS -  BOLSA -  PAPA SECA AMARILLA 12 OZ X 8</t>
  </si>
  <si>
    <t>PERU CHEF- GRANOS -  BOLSA -  TRIGO PELADO 15 OZ X 12</t>
  </si>
  <si>
    <t>PERU CHEF- GRANOS -  BOLSA -  QUINUA REAL 15 OZ X 12</t>
  </si>
  <si>
    <t>PERU CHEF- GRANOS -  BOLSA -  HARINA DE CHUNO 15 OZ X 12</t>
  </si>
  <si>
    <t>PERU CHEF- GRANOS -  BOLSA -  EMOLIENTE 5.3 OZ X 12</t>
  </si>
  <si>
    <t>PERU CHEF- GRANOS -  BOLSA -  HONGOS Y LAUREL 1.57 OZ X 12</t>
  </si>
  <si>
    <t>PERU CHEF- CONDIMENTO EN POLVO -   -  AJI PANCA MOLIDO 70 G X 12</t>
  </si>
  <si>
    <t>CONSERVAS -   -  ATUN FLORIDA SOLIDO EN ACEITE 6 OZ X 48-  LATA / 48</t>
  </si>
  <si>
    <t>SALSAS Y CREMAS -  WALIBI -  ACEITUNESA-  DOY PACK 380 G / 12</t>
  </si>
  <si>
    <t>Walibi Mayonesa</t>
  </si>
  <si>
    <t>- SALSAS Y CREMAS -  WALIBI -  MAYONESA-  DOY PACK 380 G / 12</t>
  </si>
  <si>
    <t>Walibi Salsa De Aji Criollo 380gr x 12</t>
  </si>
  <si>
    <t>- SALSAS Y CREMAS -  WALIBI -  SALSA DE AJI CRIOLLO-  DOY PACK 380 G / 12</t>
  </si>
  <si>
    <t>PERU CHEF- SALSAS Y CREMAS -  WALIBI -  CREMA DE ROCOTO-  DOY PACK 380 G / 12</t>
  </si>
  <si>
    <t>- SALSAS Y CREMAS -  WALIBI -  SALSA HUANCAINA-  DOY PACK 380 G / 12</t>
  </si>
  <si>
    <t>Peru Chef Paneton 900 G X 6</t>
  </si>
  <si>
    <t>PERU CHEF- PANETON -   -  PERUCHEF PANETON 900 G X 6</t>
  </si>
  <si>
    <t>08/11/2025</t>
  </si>
  <si>
    <t>56352</t>
  </si>
  <si>
    <t>Peru Chef Choclo Desgranado 3 Lb X 10 FROZEN</t>
  </si>
  <si>
    <t>PERU CHEF- VERDURAS -  FROZEN -  CHOCLO DESGRANADO 3 LB X 10-</t>
  </si>
  <si>
    <t>Peru Chef Salsa Aji Amarillo 10.5oz x 12</t>
  </si>
  <si>
    <t>Salsa Aji Amarillo 10.5 Oz X 12</t>
  </si>
  <si>
    <t>Peru Chef Salsa Aji Criollo 10.5 oz x 12</t>
  </si>
  <si>
    <t>Salsa Aji Criollo 10.5 Oz X 12</t>
  </si>
  <si>
    <t>Peru Chef Salsa De Aji Limo 11oz x 12</t>
  </si>
  <si>
    <t>Salsa De Aji Limo 11 Oz X 12</t>
  </si>
  <si>
    <t>Peru Chef Aji Parrillero 11oz x 12</t>
  </si>
  <si>
    <t>Aji Parrillero 11 Oz X 12</t>
  </si>
  <si>
    <t>Peru Chef Salsa De Aji Charapita 11oz x 12</t>
  </si>
  <si>
    <t>Salsa De Aji Charapita 11 Oz X 12</t>
  </si>
  <si>
    <t>PERU CHEF- MIEL -   -  PERUCHEF JARABE DE GOMA-  FCO PLASTICO 17 OZ / 12</t>
  </si>
  <si>
    <t>PERU CHEF- GRANOS -  BOLSA -  CEBADA TOSTADA 15 OZ X 10</t>
  </si>
  <si>
    <t>Peru Chef Frijol Castilla 15oz x 12</t>
  </si>
  <si>
    <t>Frijol Castilla 15 Oz X 12</t>
  </si>
  <si>
    <t>PERU CHEF- GRANOS -  BOLSA -  PALLARES 15 OZ X 12</t>
  </si>
  <si>
    <t>Peru Chef Semola 15oz x 12</t>
  </si>
  <si>
    <t>Semola 15 Oz X 12</t>
  </si>
  <si>
    <t>Peru Chef Kiwicha 15oz x 12</t>
  </si>
  <si>
    <t>PERU CHEF- GRANOS -  BOLSA -  KIWICHA 15 OZ X 12</t>
  </si>
  <si>
    <t>San Jose Turron De Doña Pepa x 500gr</t>
  </si>
  <si>
    <t>San Jose Turron De Doña Pepa X 500G</t>
  </si>
  <si>
    <t>Chocman Doble Manjar 53gr x 8 x 6</t>
  </si>
  <si>
    <t>Chockman Doble Manjar 53 Gr X 8 X 6</t>
  </si>
  <si>
    <t>Fideos San Jorge Caracol 250gr x 20</t>
  </si>
  <si>
    <t>San Jorge Caracol 250 G X 20</t>
  </si>
  <si>
    <t>Fideos San Jorge Letras y Numeros 250gr x 20</t>
  </si>
  <si>
    <t>San Jorge Letras Y Numeros 250 G X 20</t>
  </si>
  <si>
    <t>Fideos San Jorge Spaguetti 500 G X 20</t>
  </si>
  <si>
    <t>San Jorge Spaguetti 500 G X 20</t>
  </si>
  <si>
    <t>Fideos San Jorge Tallarin 500gr x  20</t>
  </si>
  <si>
    <t>San Jorge Tallarin 500 G X 20</t>
  </si>
  <si>
    <t>Fideos San Jorge Cabello De Angel 250gr x 40</t>
  </si>
  <si>
    <t>San Jorge Cabello De Angel 250 G X 40</t>
  </si>
  <si>
    <t>Peru Chef Aceituna Verde Despepitada 11.83 Oz</t>
  </si>
  <si>
    <t>Aceituna Verde Despepitada 11.83 Oz</t>
  </si>
  <si>
    <t>08/27/2025</t>
  </si>
  <si>
    <t>PERU CHEF- CONDIMENTO EN POLVO -   -  TUCO 70 G X 12</t>
  </si>
  <si>
    <t>08/28/2025</t>
  </si>
  <si>
    <t>2025001209</t>
  </si>
  <si>
    <t>PERU CHEF- GOLOSINAS Y DULCES -   -  SAYON GALLETAS TEJANAS 480 G X 8-   / 8</t>
  </si>
  <si>
    <t>GOLOSINAS Y DULCES -   -  CHOCKMAN DOBLE MANJAR 53 GR X 8 X 6-   / 8</t>
  </si>
  <si>
    <t>T.A - PERU -  MISCELANEUS PRODUCTS -  ECCO - Café instantaneo de Cebada -Barley Instant Coffee -  24 / 195gr - CH135</t>
  </si>
  <si>
    <t>PERU CHEF- TURRON -   -  SAN JOSE TURRON DE DOÑA PEPA X 500G</t>
  </si>
  <si>
    <t>PERU CHEF- VERDURAS -  FROZEN -  AJI LIMO 1 LB X 15-</t>
  </si>
  <si>
    <t>PERU CHEF- GRANOS -  BOLSA -  FRIJOL CASTILLA 15 OZ X 12</t>
  </si>
  <si>
    <t>PERU CHEF- GRANOS -  BOLSA -  CHUNO BLANCO ENTERO 15 OZ X 8</t>
  </si>
  <si>
    <t>PERU CHEF- GRANOS -  BOLSA -  SEMOLA 15 OZ X 12</t>
  </si>
  <si>
    <t>Peru Chef Pasta Rocoto 16 Oz X 12</t>
  </si>
  <si>
    <t>Pasta Rocoto 16 Oz X 12</t>
  </si>
  <si>
    <t>Peru Chef Pasta Aji Amarillo 16 Oz X 12 - 856568007285</t>
  </si>
  <si>
    <t>PERU CHEF- SALSA / CREMAS -   -  SALSA AJI AMARILLO 10.5 OZ X 12 / FCO VIDRIO</t>
  </si>
  <si>
    <t>Peru Chef Salsa Aji Amarillo C/Huacatay 10.5 Oz X 12</t>
  </si>
  <si>
    <t>Salsa Aji Amarillo C/Huacatay 10.5 Oz X 12</t>
  </si>
  <si>
    <t>PERU CHEF- SALSA / CREMAS -   -  SALSA DE AJI LIMO CON ROCOTO 10.5 OZ X 12 / FCO VIDRIO</t>
  </si>
  <si>
    <t>PERU CHEF- SALSA / CREMAS -   -  SALSA AJI CRIOLLO 10.5 OZ X 12 / FCO VIDRIO</t>
  </si>
  <si>
    <t>Peru Chef Salsa Rocoto 10.5 Oz X 12</t>
  </si>
  <si>
    <t>Salsa Rocoto 10.5 Oz X 12</t>
  </si>
  <si>
    <t>Peru Chef Base Para Arroz C/ Mariscos 11 Oz X 12</t>
  </si>
  <si>
    <t>Base Para Arroz C/ Mariscos 11 Oz X 12</t>
  </si>
  <si>
    <t>PERU CHEF- SALSA / CREMAS -   -  SALSA DE AJI LIMO 11 OZ X 12 / FCO VIDRIO</t>
  </si>
  <si>
    <t>PERU CHEF- SALSA / CREMAS -   -  AJI PARRILLERO 11 OZ X 12 / FCO VIDRIO</t>
  </si>
  <si>
    <t>PERU CHEF- SALSA / CREMAS -   -  SALSA DE AJI CHARAPITA 11 OZ X 12 / FCO VIDRIO</t>
  </si>
  <si>
    <t>Peru Chef Aderezo Papa Pollada 10.5 Oz X12</t>
  </si>
  <si>
    <t>Aderezo Papa Pollada 10.5 Oz X12</t>
  </si>
  <si>
    <t>Peru Chef Adobo De Cerdo 10.5 Oz x 12 frascos</t>
  </si>
  <si>
    <t>Adobo De Cerdo 10.5 Oz X 12</t>
  </si>
  <si>
    <t>Peru Chef Aderezo Para Pavo 10.5 Oz X 12</t>
  </si>
  <si>
    <t>Aderezo Para Pavo 10.5 Oz X 12</t>
  </si>
  <si>
    <t>PERU CHEF- SALSA / CREMAS -   -  CREMA DE AJI P/CEVICHE 10.5 OZ X 12 / FCO VIDRIO</t>
  </si>
  <si>
    <t>PERU CHEF- MIEL -   -  PERUCHEF CHANCACA-  FCO PLASTICO 17 OZ / 12</t>
  </si>
  <si>
    <t>GOLOSINAS Y DULCES -   -  GN RELLENITAS FRESA X 8 X 5-   / 5</t>
  </si>
  <si>
    <t>PERU CHEF- FIDEOS -  SAN JORGE -  SAN JORGE CARACOL 250 G X 20-   / 20</t>
  </si>
  <si>
    <t>Fideos San Jorge Letras Y Numeros 250 G X 20 - 7756771000130</t>
  </si>
  <si>
    <t>PERU CHEF- FIDEOS -  SAN JORGE -  SAN JORGE SPAGUETTI 500 G X 20-   / 20</t>
  </si>
  <si>
    <t>PERU CHEF- FIDEOS -  SAN JORGE -  SAN JORGE TALLARIN 500 G X 20-   / 20</t>
  </si>
  <si>
    <t>PERU CHEF- FIDEOS -  SAN JORGE -  SAN JORGE CABELLO DE ANGEL 250 G X 40-   / 40</t>
  </si>
  <si>
    <t>Wasska Base Pisco Sour Limon 125gr x 9</t>
  </si>
  <si>
    <t>Base Pisco Sour Limon</t>
  </si>
  <si>
    <t>Wasska Base Pisco Sour Chicha Morada 125gr x 9</t>
  </si>
  <si>
    <t>Base Pisco Sour Chicha Morada</t>
  </si>
  <si>
    <t>Wasska Base Pisco Sour Maracuya 125gr x 9</t>
  </si>
  <si>
    <t>Base Pisco Sour Maracuya</t>
  </si>
  <si>
    <t>Wasska Base Pisco Sour Mango Con Camucamu 125gr x 9</t>
  </si>
  <si>
    <t>Base Pisco Sour Mango Con Camucamu</t>
  </si>
  <si>
    <t>08/29/2025</t>
  </si>
  <si>
    <t>56495</t>
  </si>
  <si>
    <t>WINTER'S Paneton 900gr x 6</t>
  </si>
  <si>
    <t>TA - WINTER'S PRODUCTS- PERU -   -  WINTER'S - Panettone-  6 / 900g - WI2023</t>
  </si>
  <si>
    <t>09/11/2025</t>
  </si>
  <si>
    <t>2025001378</t>
  </si>
  <si>
    <t>GOLOSINAS Y DULCES -   -  GN RELLENITAS COCO X 8 X 5-   / 5</t>
  </si>
  <si>
    <t>BEBIDAS -  WASSKA -  BASE PISCO SOUR LIMON-  CAJA X 125 G / 9</t>
  </si>
  <si>
    <t>Peru Chef Turron De Doña Pepa 500gr</t>
  </si>
  <si>
    <t>PERU CHEF- TURRON -   -  PERUCHEF TURRON DE DOÑA PEPA 500 G</t>
  </si>
  <si>
    <t>Aji Panca Seco sin pepa 2.04kg</t>
  </si>
  <si>
    <t>Aji Panca Seco</t>
  </si>
  <si>
    <t>T.A - PERU -  MISCELANEUS PRODUCTS -  ECCO - Café instantaneo de Cebada -Barley Instant Coffee -  12 / 195gr - CH135</t>
  </si>
  <si>
    <t>10/09/2025</t>
  </si>
  <si>
    <t>2025001691</t>
  </si>
  <si>
    <t>Peru Chef Cedron filtrante X 20</t>
  </si>
  <si>
    <t>PERU CHEF- FILTRANTES PERUCHEF - CEDRON X 20</t>
  </si>
  <si>
    <t>PERU CHEF Muña x 20 filtrante</t>
  </si>
  <si>
    <t>PERU CHEF- FILTRANTES PERUCHEF -   -  MUÑA X 20</t>
  </si>
  <si>
    <t>Peru Chef filtrante Sueño Profundo x 20</t>
  </si>
  <si>
    <t>PERU CHEF- FILTRANTES PERUCHEF -   -  SUEÑO PROFUNDO X 20</t>
  </si>
  <si>
    <t>Peru Chef filtrante Te Verde Con Piña x 20</t>
  </si>
  <si>
    <t>Te Verde Con Piña X 20</t>
  </si>
  <si>
    <t>Peru Chef filtrante Sen x 20</t>
  </si>
  <si>
    <t>PERU CHEF- FILTRANTES PERUCHEF -   -  SEN X 20</t>
  </si>
  <si>
    <t>Peru Chef filtrante Toronjil x 20</t>
  </si>
  <si>
    <t>PERU CHEF- FILTRANTES PERUCHEF -   -  TORONJIL X 20</t>
  </si>
  <si>
    <t>PERU CHEF- GOLOSINAS Y DULCES -   -  WINTERS OLE OLE 225gr x 50 x 15-   / 15</t>
  </si>
  <si>
    <t>Kikko Siyau 5L</t>
  </si>
  <si>
    <t>PERU CHEF- PRODUCTOS ORIENTALES -  KIKKO -  KIKKO SIYAU 5L</t>
  </si>
  <si>
    <t>BEBIDAS -  WASSKA -  BASE PISCO SOUR CHICHA MORADA-  CAJA X 125 G / 9</t>
  </si>
  <si>
    <t>10/28/2025</t>
  </si>
  <si>
    <t>2025001895</t>
  </si>
  <si>
    <t>GOLOSINAS Y DULCES -   -  CHOMP GALLETAS CHOCOLATE 42 G-  BOLSA X 6 / 8</t>
  </si>
  <si>
    <t>Peru Chef Pasta Aji Panca Poco Picante 116 oz</t>
  </si>
  <si>
    <t>Pasta Aji Panca Poco Picante 116 Oz</t>
  </si>
  <si>
    <t>Peru Chef Pasta Aji Amarillo Poco Picante 116oz</t>
  </si>
  <si>
    <t>Pasta Aji Amarillo Poco Picante116 Oz</t>
  </si>
  <si>
    <t>Peru Chef Pasta Rocoto 116 oz</t>
  </si>
  <si>
    <t>PERU CHEF- INSTITUCIONAL -   -  PASTA ROCOTO 116 oz -  BIDON 116 oz</t>
  </si>
  <si>
    <t>BEBIDAS -  WASSKA -  BASE PISCO SOUR MARACUYA-  CAJA X 125 G / 9</t>
  </si>
  <si>
    <t>11/14/2025</t>
  </si>
  <si>
    <t>57055</t>
  </si>
  <si>
    <t>PERU CHEF- VERDURAS -  FROZEN -  ROCOTO 1 LB X 18-</t>
  </si>
  <si>
    <t>Peru Chef Zapallo Loche 1Lb</t>
  </si>
  <si>
    <t>Peru Chef Papa Huayro 2Lb</t>
  </si>
  <si>
    <t>Peru Chef Chancapiedra 1.41 Oz X 12</t>
  </si>
  <si>
    <t>Chancapiedra 1.41 Oz X 12</t>
  </si>
  <si>
    <t>GOLOSINAS Y DULCES -   -  CHOCOLATE TRIANGULO-  DISPLAY X 22 / 1</t>
  </si>
  <si>
    <t>Gn Rellenitas Lucuma x 8 x 5</t>
  </si>
  <si>
    <t>GOLOSINAS Y DULCES -   -  GN RELLENITAS LUCUMA X 8 X 5-   / 5</t>
  </si>
  <si>
    <t>Gn Rellenitas Choco y Menta x 8 x 5</t>
  </si>
  <si>
    <t>Gn Rellenitas Choco Y Menta X 8 X 5</t>
  </si>
  <si>
    <t>Gn Rellenitas Choco y Fresa x 8 x 5</t>
  </si>
  <si>
    <t>Gn Rellenitas Choco Y Fresa X 8 X 5</t>
  </si>
  <si>
    <t>Gn Rellenitas Limon x 8 x 5 pack</t>
  </si>
  <si>
    <t>GOLOSINAS Y DULCES -   -  GN RELLENITAS LIMON X 8 X 5-   / 5</t>
  </si>
  <si>
    <t>GOLOSINAS Y DULCES -   -  GLACITAS FRESA 32 G X 6 X 8-   / 8</t>
  </si>
  <si>
    <t>GOLOSINAS Y DULCES -   -  GLACITAS CHOCONIEVE 32 G X 6 X 8-   / 8</t>
  </si>
  <si>
    <t>GOLOSINAS Y DULCES -   -  TENTACION GALLETA COCO 47 G-  BOLSA X 6 / 8</t>
  </si>
  <si>
    <t>12/09/2025</t>
  </si>
  <si>
    <t>2025002374</t>
  </si>
  <si>
    <t>2025002373</t>
  </si>
  <si>
    <t>GOLOSINAS Y DULCES -   -  D'ONOFRIO CHOCOLATE SUBLIME 26 G-  DISPLAY X 24 / 1</t>
  </si>
  <si>
    <t>PERU CHEF- FILTRANTES PERUCHEF -   -  TE VERDE CON PIÑA X 20</t>
  </si>
  <si>
    <t>Peru Chef Digestivo x 20 filtrante</t>
  </si>
  <si>
    <t>PERU CHEF- FILTRANTES PERUCHEF -   -  DIGESTIVO X 20</t>
  </si>
  <si>
    <t>Peru Chef Eucalipto filtrante x 20</t>
  </si>
  <si>
    <t>Eucalipto X 20</t>
  </si>
  <si>
    <t>PERU CHEF- INSTITUCIONAL -   -  PASTA AJI PANCA POCO PICANTE 116 oz -  BIDON 116 oz</t>
  </si>
  <si>
    <t>Peru Chef Pasta Aji Amarillo 116 oz</t>
  </si>
  <si>
    <t>Pasta Aji Amarillo 116 Oz X 4</t>
  </si>
  <si>
    <t>Peru Chef Rocoto En Salmuera 20oz x 12</t>
  </si>
  <si>
    <t>Rocoto En Salmuera 20 Oz X 12</t>
  </si>
  <si>
    <t>Peru Chef Frijol Panamito 15oz x 12</t>
  </si>
  <si>
    <t>Frijol Panamito 15 Oz X 12</t>
  </si>
  <si>
    <t>Peru Chef Aji Mirasol 3 oz x 12</t>
  </si>
  <si>
    <t>Aji Mirasol 3 Oz X 12</t>
  </si>
  <si>
    <t>PERU CHEF- CONDIMENTO EN PASTA -   -  PASTA AJI PANCA 16 OZ X 12-  12 / FCO VIDRIO</t>
  </si>
  <si>
    <t>PERU CHEF- CONDIMENTO EN PASTA -   -  PASTA AJI AMARILLO 16 OZ X 12-  12 / FCO VIDRIO</t>
  </si>
  <si>
    <t>Peru Chef Pasta Aji Amarillo Poco Picante11oz x 12</t>
  </si>
  <si>
    <t>Pasta Aji Amarillo Poco Pic 11 Oz X 12</t>
  </si>
  <si>
    <t>Peru Chef Pasta Aji Panca Poco Picante 11 oz x 12</t>
  </si>
  <si>
    <t>Pasta Aji Panca Poco Picante 11 Oz X 12</t>
  </si>
  <si>
    <t>Provenzal Olluquito 78 Gr X 6 / PR-08</t>
  </si>
  <si>
    <t>PERU CHEF- SALSAS Y CREMAS -   -  PROVENZAL CAU CAU 60 GR X 12) / PR-04</t>
  </si>
  <si>
    <t>VARGAS CHEVALIER Jarabe de Goma 750ml x 12 fco vidrio</t>
  </si>
  <si>
    <t>P. CH. - VARGAS CHEVALIER Jarabe de Goma 750ml x 12 botellas de vidrio</t>
  </si>
  <si>
    <t>Total for Peru Chef</t>
  </si>
  <si>
    <t>Sam's Club</t>
  </si>
  <si>
    <t>12/14/2025</t>
  </si>
  <si>
    <t>Agua Ozarka Texas, 8 fl oz, Paquete de 48 Botellas de Plástico</t>
  </si>
  <si>
    <t>Agua de Manantial Ozarka Texas, 8 fl oz, Paquete de 48 Botellas de Plástico</t>
  </si>
  <si>
    <t>Total for Sam's Club</t>
  </si>
  <si>
    <t>SAVERS SUPERMERCADO COST + PLUS</t>
  </si>
  <si>
    <t>05/19/2025</t>
  </si>
  <si>
    <t>14265331</t>
  </si>
  <si>
    <t>Yuca Family Pack / Cassava Family Pack 5lb x 6</t>
  </si>
  <si>
    <t>TA- COSTA RICA -  FROZEN -  Yuca Family Pack / Cassava Family Pack -  5lbs - CR101</t>
  </si>
  <si>
    <t>14266331</t>
  </si>
  <si>
    <t>05/29/2025</t>
  </si>
  <si>
    <t>1639223</t>
  </si>
  <si>
    <t>33165126</t>
  </si>
  <si>
    <t>07/23/2025</t>
  </si>
  <si>
    <t>Total for SAVERS SUPERMERCADO COST + PLUS</t>
  </si>
  <si>
    <t>Tradiciones Andinas</t>
  </si>
  <si>
    <t>03/31/2025</t>
  </si>
  <si>
    <t>475144</t>
  </si>
  <si>
    <t>T.A Aji Panca Pasta 7.5oz x 24</t>
  </si>
  <si>
    <t>T.A Aji Panca Pasta 7.5oz x 24 fco de vidrio</t>
  </si>
  <si>
    <t>T.A Aji Amarillo Pasta 7.5oz x 24</t>
  </si>
  <si>
    <t>T.A T.A Aji Amarillo Pasta 7.5oz x 24 fco de vidrio</t>
  </si>
  <si>
    <t>T.A Rocoto en pasta 7.5oz x 24</t>
  </si>
  <si>
    <t>Rocoto Pasta /Red Hot Peppers Paste</t>
  </si>
  <si>
    <t>T.A Aji Mirasol Pasta 7.5oz x 24</t>
  </si>
  <si>
    <t>Aji Mirasol Pasta / Mirasol Pepper Paste</t>
  </si>
  <si>
    <t>T.A Aji Panca en Pasta "Poco Picante" 7.5oz x 24</t>
  </si>
  <si>
    <t>T.A Aji Panca en Pasta "Poco Picante" 7.5oz x 24 fco de vidrio</t>
  </si>
  <si>
    <t>T.A Aji Panca Pasta 10.5oz x 12</t>
  </si>
  <si>
    <t>Aji Panca Pasta /Panca Pepper Paste</t>
  </si>
  <si>
    <t>T.A Aji Amarillo Pasta 10.5oz X 12</t>
  </si>
  <si>
    <t>Aji Amarillo Pasta /Yellow Pepper Paste</t>
  </si>
  <si>
    <t>T.A Rocoto Pasta 10.5oz x 12</t>
  </si>
  <si>
    <t>Rocoto Pasta / Red Hot Peppers Paste</t>
  </si>
  <si>
    <t>T.A Aji Panca Pasta "Poco Picante" 10.5oz x 12</t>
  </si>
  <si>
    <t>Aji Panca Pasta "Poco Picante" / Panca Pepper Paste</t>
  </si>
  <si>
    <t>T.A Aji Panca Pasta /Panca Pepper Paste 15oz x 12</t>
  </si>
  <si>
    <t>T.A Aji Amarillo Pasta 15oz X 12</t>
  </si>
  <si>
    <t>Tradiciones Andinas Aji Amarillo Pasta 15oz X 12 fco de vidrio</t>
  </si>
  <si>
    <t>T.A Rocoto Pasta 15oz X 12</t>
  </si>
  <si>
    <t>Tradiciones Andinas Rocoto Pasta 15oz X 12 fco vidrio</t>
  </si>
  <si>
    <t>T.A Aji Panca Pasta "Poco Picante" 15oz x 12</t>
  </si>
  <si>
    <t>TradicionesAndinas Aji Panca Pasta "Poco Picante" 15oz x 12 fco vidrio</t>
  </si>
  <si>
    <t>T.A Aceituna Botija /Alfonso Olives con pepa 20oz x 12</t>
  </si>
  <si>
    <t>Aceituna Botija /Alfonso Olives</t>
  </si>
  <si>
    <t>T.A Aji Amarillo sin Picante 7.5oz x 24</t>
  </si>
  <si>
    <t>Aji Amarillo sin Picante / Yellow Pepper paste Non Spicy</t>
  </si>
  <si>
    <t>T.A Aji Amarillo sin Picante 15oz x 12</t>
  </si>
  <si>
    <t>Tradiciones Andinas Aji Amarillo sin Picante 15oz x 12 fco vidrio</t>
  </si>
  <si>
    <t>T.A Maiz Morado /Purple Corn 15oz x 16</t>
  </si>
  <si>
    <t>Maiz Morado /Purple Corn</t>
  </si>
  <si>
    <t>T.A Papa Seca Negra / Dried Potato 15OZ X 18</t>
  </si>
  <si>
    <t>Papa Seca / Dried Potato</t>
  </si>
  <si>
    <t>T.A Cancha Corn / Maiz Cancha 15oz x 24</t>
  </si>
  <si>
    <t>Cancha Corn / Maiz Cancha</t>
  </si>
  <si>
    <t>T.A Peeled Mote Corn / Mote Pelado 15oz x 24</t>
  </si>
  <si>
    <t>Peeled Mote Corn / Mote Pelado</t>
  </si>
  <si>
    <t>T.A Trigo  Resbalado/Hulled Wheat 15oz x 24</t>
  </si>
  <si>
    <t>Trigo Resbalado/Hulled Wheat</t>
  </si>
  <si>
    <t>T.A Maiz Chulpe /Chulpe Corn 15oz x 24</t>
  </si>
  <si>
    <t>Maiz Chulpe /Chulpe Corn</t>
  </si>
  <si>
    <t>T.A Quinua /Quinoa 15oz x 24</t>
  </si>
  <si>
    <t>Quinua /Quinoa</t>
  </si>
  <si>
    <t>T.A Cebada Tostada /Toasted Barley 15oz x 18</t>
  </si>
  <si>
    <t>Cebada Tostada /Toasted Barley</t>
  </si>
  <si>
    <t>T.A Chuño Entero Blanco / White Potato Starch 15oz x 18</t>
  </si>
  <si>
    <t>Chuño Entero Blanco / White Potato Starch</t>
  </si>
  <si>
    <t>T.A Trigo Trigo Pelado/Peeled Wheat 15oz x 24</t>
  </si>
  <si>
    <t>T.A Trigo Trigo Pelado/Peeled Wheat</t>
  </si>
  <si>
    <t>T.A Emoliente / Emolient 3.5oz x 20</t>
  </si>
  <si>
    <t>Emoliente / Emolient</t>
  </si>
  <si>
    <t>T.A Maiz Morado (Family Pack) /Purple Corn 40OZ X 6</t>
  </si>
  <si>
    <t>Maiz Morado (Family Pack) /Purple Corn</t>
  </si>
  <si>
    <t>T.A Mote Pelado (Family Pack) /Peeled Mote Corn 54oz x 6</t>
  </si>
  <si>
    <t>Mote Pelado (Family Pack) /Peeled Mote Corn</t>
  </si>
  <si>
    <t>T.A Maiz Cancha (Family Pack) /Cancha Corn 54oz x 6</t>
  </si>
  <si>
    <t>Maiz Cancha (Family Pack) /Cancha Corn</t>
  </si>
  <si>
    <t>T.A Papa Seca Amarilla (Family Pack) /Yelow Dried Potato 40oz x 6</t>
  </si>
  <si>
    <t>Papa Seca Amarilla (Family Pack) /Yelow Dried Potato</t>
  </si>
  <si>
    <t>T.A Papa Seca Negra (Family Pack) / Black Dried Potato 54oz x 5</t>
  </si>
  <si>
    <t>Papa Seca Negra (Family Pack) / Black Dried Potato</t>
  </si>
  <si>
    <t>T.A Papa Seca Amarilla  / Yelow Dried Potato 15oz x 18</t>
  </si>
  <si>
    <t>Papa Seca Amarilla  / Yelow Dried Potato</t>
  </si>
  <si>
    <t>SIBARITA - Vinagre Blanco - White Vinegar 1L x 12</t>
  </si>
  <si>
    <t>SIBARITA - Vinagre Blanco - White Vinegar</t>
  </si>
  <si>
    <t>SIBARITA - Vinagre Tinto - Red Vinegar 1L x 12</t>
  </si>
  <si>
    <t>SIBARITA - Vinagre Tinto - Red Vinegar</t>
  </si>
  <si>
    <t>SIBARITA - Vinagre Blanco - White Vinegar 16.91oz x 12</t>
  </si>
  <si>
    <t>SIBARITA - Vinagre Blanco - White Vinegar 16.91oz x 12 botella</t>
  </si>
  <si>
    <t>SIBARITA Vinagre Tinto - Red Vinegar 16.91oz  x 12 botella</t>
  </si>
  <si>
    <t>Gelatina Universal Fresa / Strawberry Gelatin 150gr x 12</t>
  </si>
  <si>
    <t>Gelatina Fresa / Strawberry Gelatin</t>
  </si>
  <si>
    <t>Gelatina Universal Naranja / Orange Gelatin 150gr x 12</t>
  </si>
  <si>
    <t>Gelatina Naranja / Orange Gelatin</t>
  </si>
  <si>
    <t>T.A Maiz Cancha saco 50Lb</t>
  </si>
  <si>
    <t>Maiz Cancha</t>
  </si>
  <si>
    <t>T.A Maiz Morado /Purple Corn 50Lb saco</t>
  </si>
  <si>
    <t>T.A Mote Pelado Saco 50lb</t>
  </si>
  <si>
    <t>Mote Pelado Saco</t>
  </si>
  <si>
    <t>T.A Maiz Chulpe Saco</t>
  </si>
  <si>
    <t>Maiz Chulpe Saco</t>
  </si>
  <si>
    <t>T.A Aji Amarillo Balde 7.5Lb</t>
  </si>
  <si>
    <t>Aji Amarillo Balde (4 baldes)</t>
  </si>
  <si>
    <t>VALLES ANDINOS Aceite Vegetal con Achiote 440ml x 15</t>
  </si>
  <si>
    <t>Aceite Vegetal con Achiote</t>
  </si>
  <si>
    <t>T.A Chicha de Jora /Jora Seasoning</t>
  </si>
  <si>
    <t>Tradiciones Andinas - Chicha de Jora /Jora Seasoning</t>
  </si>
  <si>
    <t>T.A Habas Fritas Saladas/  Broad Beans Snacks 130gr x 12</t>
  </si>
  <si>
    <t>Habas Fritas Saladas/  Broad Beans Snacks</t>
  </si>
  <si>
    <t>T.A Choclo Entero / Corn on the Cob x 6 x 7 FROZEN</t>
  </si>
  <si>
    <t>Choclo Entero / Corn on the Cob</t>
  </si>
  <si>
    <t>T.A Rocoto Entero / Red Hot Pepper FROZEN 16oz x 20</t>
  </si>
  <si>
    <t>Rocoto Entero / Red Hot Pepper</t>
  </si>
  <si>
    <t>T.A Aji Amarillo FROZEN 16oz x 20</t>
  </si>
  <si>
    <t>Aji Amarillo / Yellow Hot Pepper</t>
  </si>
  <si>
    <t>T.A Aji Limo / Limo Pepper16oz x 18</t>
  </si>
  <si>
    <t>Aji Limo / Limo Pepper</t>
  </si>
  <si>
    <t>T.A Choclo desgranado / Corn in Grain FROZEN  4Lb x 10</t>
  </si>
  <si>
    <t>T.A Choclo desgranado / Corn in Grain FROZEN  4Lb x 10 P00199A</t>
  </si>
  <si>
    <t>T.A Pulpa De Lucuma / Lucuma  Pulp 12oz x 20</t>
  </si>
  <si>
    <t>Pulpa De Lucuma / Lucuma  Pulp</t>
  </si>
  <si>
    <t>T.A  Choclo Entero / Corn on the Cob 4 x 10 FROZEN</t>
  </si>
  <si>
    <t>T.A  Choclo Entero / Corn on the Cob 4 x 10</t>
  </si>
  <si>
    <t>T.A Aji Amarillo sin Pepas 2Lb x 8</t>
  </si>
  <si>
    <t>Aji Amarillo sin Pepas / Yellow Hot Pepper Seedless</t>
  </si>
  <si>
    <t>T.A Pulpa de Maracuya / Passion Fruit pulp14oz x 12 FROZEN</t>
  </si>
  <si>
    <t>Pulpa de Maracuya / Passion Fruit pulp</t>
  </si>
  <si>
    <t>Yuca Family Pack / Cassava Family Pack</t>
  </si>
  <si>
    <t>TRADICIONES ANDINAS - PERU -  BOLSA -   Trigo Pelado/Peeled Wheat -  24 / 15oz -</t>
  </si>
  <si>
    <t>T.A Harina de Chuño / Potato Starch Flour 12oz x 24</t>
  </si>
  <si>
    <t>Harina Chuño / Potato Starch Flour</t>
  </si>
  <si>
    <t>T.A Quinoa Negra  / Black  Quinoa14oz x 12</t>
  </si>
  <si>
    <t>Quinoa Negra  / Black  Quinoa</t>
  </si>
  <si>
    <t>T.A Quinoa Tricolor  / Tri-Color Quinoa14oz x 12</t>
  </si>
  <si>
    <t>Quinoa Tricolor  / Tri-Color Quinoa</t>
  </si>
  <si>
    <t>T.A Mix Andino Snack / Andean Mix Snack 130gr x 12</t>
  </si>
  <si>
    <t>Mix Andino Snack / Andean Mix Snack</t>
  </si>
  <si>
    <t>Universal Esencia de Vainilla / Vanilla Scent 100ml x 24</t>
  </si>
  <si>
    <t>Escencia de Vainilla / Vanilla Scent</t>
  </si>
  <si>
    <t>Universal Chicha Morada / Purple drink instant beverage 120gr x 12</t>
  </si>
  <si>
    <t>Chicha Morada / Purple drink instant beverage</t>
  </si>
  <si>
    <t>Galletas Margarita Sayon</t>
  </si>
  <si>
    <t>Cua Cua</t>
  </si>
  <si>
    <t>Doña Pepa</t>
  </si>
  <si>
    <t>FIELD - Galletas de Soda</t>
  </si>
  <si>
    <t>FIELD - Galletas de Vainilla</t>
  </si>
  <si>
    <t>Maiz Atomico Imperial con Miel 125gr x 20 bolsas</t>
  </si>
  <si>
    <t>Maiz Atomico Imperial con Miel</t>
  </si>
  <si>
    <t>Trigo Atomico original con Miel 125gr x 20</t>
  </si>
  <si>
    <t>Trigo Atomico original con Miel</t>
  </si>
  <si>
    <t>VITAPLUSS - Maiz expandido con miel 140gr x 24</t>
  </si>
  <si>
    <t>VITAPLUSS - Maiz expandido con miel</t>
  </si>
  <si>
    <t>VITAPLUSS - Trigo Expandido con Miel 140gr x 24</t>
  </si>
  <si>
    <t>VITAPLUSS - Trigo Expandido con Miel</t>
  </si>
  <si>
    <t>VITAPLUSS - Fideos con Miel 120gr x 20</t>
  </si>
  <si>
    <t>VITAPLUSS - Fideos con Miel</t>
  </si>
  <si>
    <t>VITAPLUSS - Arrocito con Miel 140gr x 24</t>
  </si>
  <si>
    <t>VITAPLUSS - Arrocito con Miel</t>
  </si>
  <si>
    <t>Arrocito Atomico 150gr x 20 (5.3oz)  x 20</t>
  </si>
  <si>
    <t>Arrocito Atomico</t>
  </si>
  <si>
    <t>T.A Choclo Entero / Corn on the Cob 2 x 18 FROZEN</t>
  </si>
  <si>
    <t>TRADICIONES ANDINAS- PERU -  FROZEN -  Choclo Entero / Corn on the Cob -  18/2</t>
  </si>
  <si>
    <t>T.A Papa Amarilla / Yellow Potato 16oz x 20 FROZEN</t>
  </si>
  <si>
    <t>Papa Amarilla / Yellow Potato</t>
  </si>
  <si>
    <t>T.A Choclo desgranado / Corn in Grain 16oz x 30 FROZEN</t>
  </si>
  <si>
    <t>Choclo en Grano / Corn in Grain</t>
  </si>
  <si>
    <t>T.A Olluco cortado / Sliced Ollucos 16oz x 20</t>
  </si>
  <si>
    <t>Olluco cortado / Sliced Ollucos</t>
  </si>
  <si>
    <t>T.A Huacatay / Black Mint 12oz x 24 FROZEN</t>
  </si>
  <si>
    <t>Huacatay / Black Mint</t>
  </si>
  <si>
    <t>T.A Achocha / Caigua 16oz x 12 FROZEN</t>
  </si>
  <si>
    <t>Achocha / Caigua</t>
  </si>
  <si>
    <t>04/25/2025</t>
  </si>
  <si>
    <t>476974</t>
  </si>
  <si>
    <t>T.A  Ajo pasta 7.5oz x 24</t>
  </si>
  <si>
    <t>T.A  Ajo pasta 7.5oz x 24 fraco vidrio</t>
  </si>
  <si>
    <t>T.A Albahaca Pasta /Basil Paste 7.5oz x 24</t>
  </si>
  <si>
    <t>Albahaca Pasta /Basil Paste</t>
  </si>
  <si>
    <t>T.A. Ajo Pasta - Ajo en Pasta /Garlic Paste 15oz X 12</t>
  </si>
  <si>
    <t>T.A Salsa Parrillera /BBQ Seasoning 15oz x 12</t>
  </si>
  <si>
    <t>Salsa Parrillera /BBQ Seasoning</t>
  </si>
  <si>
    <t>T.A Salsa Pollo A La Brasa /Grill Chicken Seasoning 15oz x 12</t>
  </si>
  <si>
    <t>Salsa Pollo A La Brasa /Grill Chicken Seasoning</t>
  </si>
  <si>
    <t>T.A Aceituna Botija sin Pepa /Pitted Alfonso Olives 20oz x 12</t>
  </si>
  <si>
    <t>Aceituna Botija sin Pepa /Pitted Alfonso Olives</t>
  </si>
  <si>
    <t>T.A Linaza /Flax Seed 15oz x 24</t>
  </si>
  <si>
    <t>T.A Semola /Semolina 15oz x 24</t>
  </si>
  <si>
    <t>Semola /Semolina</t>
  </si>
  <si>
    <t>T.A Chia /Chia Seeds 12oz x 16</t>
  </si>
  <si>
    <t>Chia /Chia Seeds</t>
  </si>
  <si>
    <t>T.A Harina de Quinua /Quinua Flour (Instant) 12oz x 12</t>
  </si>
  <si>
    <t>Harina de Quinua /Quinua Flour (Instant)</t>
  </si>
  <si>
    <t>T.A Harina Linaza /Flax seed Flour 7.5oz x 24</t>
  </si>
  <si>
    <t>Harina Linaza /Flax seed Flour</t>
  </si>
  <si>
    <t>T.A Harina de Maca /Maca Flour 7oz x 24</t>
  </si>
  <si>
    <t>Harina de Maca /Maca Flour</t>
  </si>
  <si>
    <t>T.A Chicha Morada bebida / Purple Corn Drink 1L x 12</t>
  </si>
  <si>
    <t>Chicha Morada / Purple Corn Drink</t>
  </si>
  <si>
    <t>T.A Chicha Morada bebida /Purple Corn Drink botella16oz x 12</t>
  </si>
  <si>
    <t>Chicha Morada /Purple Corn Drink</t>
  </si>
  <si>
    <t>T.A Nectar de Maracuya bebida 16oz x 12</t>
  </si>
  <si>
    <t>Nectar de Maracuya / Passion Fruit Nectar</t>
  </si>
  <si>
    <t>AjiNomoto Bolsa 500g x 30</t>
  </si>
  <si>
    <t>AjiNomoto Bolsa 500g x 30 - TA</t>
  </si>
  <si>
    <t>T.A Maiz Chulpi frito Salado/ Chulpi Corn Snack 130gr x 12</t>
  </si>
  <si>
    <t>Maiz Chulpi frito Salado/ Chulpi Corn Snack</t>
  </si>
  <si>
    <t>T.A Maiz Cancha Frito Salado / Native Corn Snack 130gr x12</t>
  </si>
  <si>
    <t>Maiz Cancha Frito Salado / Native Corn Snack</t>
  </si>
  <si>
    <t>T.A Maiz Gigante Frito Salado/ Giant Corn Snacks 130gr x 12</t>
  </si>
  <si>
    <t>Maiz Gigante Frito Salado/ Giant Corn Snacks</t>
  </si>
  <si>
    <t>SIBARITA - Tuco Tallarin 6 sobres x 50 / 1.64oz x 50</t>
  </si>
  <si>
    <t>SIBARITA - Tuco Tallarin</t>
  </si>
  <si>
    <t>SIBARITA - Aji Panca Sazonador sin picante  6 sobres x 50</t>
  </si>
  <si>
    <t>SIBARITA - Aji Panca Sazonador</t>
  </si>
  <si>
    <t>SIBARITA - Panquita Doypack 12 x 19.4 oz</t>
  </si>
  <si>
    <t>SIBARITA - Panquita Doypack 12 x 19.4 oz - TA</t>
  </si>
  <si>
    <t>SIBARITA - Amarillin Doypack  19.4oz x 12</t>
  </si>
  <si>
    <t>SIBARITA - Ajo / Garlic Family Pack 19.4oz x 12</t>
  </si>
  <si>
    <t>SIBARITA - Ajo / Garlic Family Pack</t>
  </si>
  <si>
    <t>T.A Te con canela y clavo - Cinnamon and Clove filtrante 24gr x 20 x 30</t>
  </si>
  <si>
    <t>TRADICIONES ANDINAS - Te con canela y clavo - Cinnamon and Clove</t>
  </si>
  <si>
    <t>T.A Anis FILTRANTE 20saq x 30</t>
  </si>
  <si>
    <t>TRADICIONES ANDINAS - Anis</t>
  </si>
  <si>
    <t>T.A Hierbaluisa filtrante - Lemon Grass Tea 20 x 30</t>
  </si>
  <si>
    <t>TRADICIONES ANDINAS - Hierbaluisa - Lemon Grass Tea</t>
  </si>
  <si>
    <t>DEL VALLE  Una de Gato filtrante 25 x 32</t>
  </si>
  <si>
    <t>DEL VALLE - Una de Gato</t>
  </si>
  <si>
    <t>DEL VALLE - Chancapiedra filtrante 25 x 32</t>
  </si>
  <si>
    <t>DEL VALLE - Chancapiedra</t>
  </si>
  <si>
    <t>Gelatina Universal Piña / Pineapple Gelatin 150gr x 12</t>
  </si>
  <si>
    <t>Gelatina Piña / Pineapple Gelatin</t>
  </si>
  <si>
    <t>Universal Flan de Vainilla / Vanilla Flan 150gr x 12</t>
  </si>
  <si>
    <t>Flan de Vainilla / Vanilla Flan</t>
  </si>
  <si>
    <t>Universal Mazamorra Morada /Purple Pudin 150gr x 12</t>
  </si>
  <si>
    <t>Mazamorra Morada /Purple Pudin</t>
  </si>
  <si>
    <t>Esencia de Vainilla / Vanilla Scent</t>
  </si>
  <si>
    <t>Universal Maicena 180g x 7</t>
  </si>
  <si>
    <t>Universal - Maicena - 180g x 7</t>
  </si>
  <si>
    <t>Universal Refresco Guanabana / Guava Instant beverage 120gr x 12</t>
  </si>
  <si>
    <t>Refresco Guanabana / Guava Instant beverage</t>
  </si>
  <si>
    <t>Universal Refresco de Maracuya / Passion fruit instant beverage 120gr x 12</t>
  </si>
  <si>
    <t>Refresco de Maracuya / Passion fruit instant beverage</t>
  </si>
  <si>
    <t>Universal Flan de Lucuma/ Lucuma Pudin 150gr x 12</t>
  </si>
  <si>
    <t>Flan de Lucuma/ Lucuma Pudin</t>
  </si>
  <si>
    <t>Universal Polvo de Hornear / Baking powder 100gr x 12</t>
  </si>
  <si>
    <t>Polvo de Hornear - Baking powder</t>
  </si>
  <si>
    <t>Universal Bicarbonato de Sodio - Baking soda 100gr x 12</t>
  </si>
  <si>
    <t>Bicarbonato de Sodio - Baking soda</t>
  </si>
  <si>
    <t>Gelatina Universal Durazno / Peach Gelatin 150gr x 12</t>
  </si>
  <si>
    <t>Gelatina Durazno / Peach Gelatin</t>
  </si>
  <si>
    <t>Universal Mazamorra sabor a Piña / Pineapple flavor pudin 150gr x 12</t>
  </si>
  <si>
    <t>TA - UNIVERSAL PRODUCTS- PERU -   -  Mazamorra sabor a Piña / Pineapple flavor pudin-  12 / 150g - U139</t>
  </si>
  <si>
    <t>WINTER'S - Panettone</t>
  </si>
  <si>
    <t>Galletas Morochas 30gr 12 x 22</t>
  </si>
  <si>
    <t>Galletas Morochas</t>
  </si>
  <si>
    <t>T.A Durazno en Almibar / Peach Halves in heavy Syrup 290z x 12</t>
  </si>
  <si>
    <t>TRADICIONES ANDINAS - Peach Halves in heavy Syrup / Durazno en Almibar</t>
  </si>
  <si>
    <t>T.A Brevas en Almibar 28oz x 12</t>
  </si>
  <si>
    <t>Brevas en Almibar</t>
  </si>
  <si>
    <t>T.A Motas de Guanabana en Almibar 790gr x 12</t>
  </si>
  <si>
    <t>Motas de Guanabana en Almibar</t>
  </si>
  <si>
    <t>Valles Andinos Chochos en Salmuera 15oz x 12</t>
  </si>
  <si>
    <t>Chochos en Salmuera</t>
  </si>
  <si>
    <t>Valles Andinos Chochos en Salmuera Picantes 17oz x 12</t>
  </si>
  <si>
    <t>Chochos en Salmuera Picantes</t>
  </si>
  <si>
    <t>Valles Andinos Dulces de Higos 20oz X 12</t>
  </si>
  <si>
    <t>Dulces de Higos</t>
  </si>
  <si>
    <t>Valles Andinos Aji Casero 6oz x 24</t>
  </si>
  <si>
    <t>Aji Casero</t>
  </si>
  <si>
    <t>Valles Andinos Aji Peruano 14oz x 12</t>
  </si>
  <si>
    <t>Aji Peruano</t>
  </si>
  <si>
    <t>Valles Andinos Ajo en Pasta /Garlic Paste 16.58oz x 15</t>
  </si>
  <si>
    <t>Ajo en Pasta /Garlic Paste</t>
  </si>
  <si>
    <t>Valles Andinos Aliño - Ecuatorian Seasoning 17.64oz x 15</t>
  </si>
  <si>
    <t>Aliño - Ecuatorian Seasoning</t>
  </si>
  <si>
    <t>Sazon Completo - Complete Seasoning 500gr x 15</t>
  </si>
  <si>
    <t>Sazon Completo - Complete Seasoning</t>
  </si>
  <si>
    <t>Valles Andinos Chimichurri - BBQ Sauce 500gr x 15</t>
  </si>
  <si>
    <t>Chimichurri - BBQ Sauce</t>
  </si>
  <si>
    <t>T.A Lomitos de Atún en Aceite / Solid TUNA in Oil 5oz x 48</t>
  </si>
  <si>
    <t>T.A Lomitos de Atún en Aceite / Solid TUNA in Oil</t>
  </si>
  <si>
    <t>T.A Sardinas en Salsa de tomate / Sardines en tomato sauce 15oz x 24</t>
  </si>
  <si>
    <t>Sardinas en Salsa de tomate / Sardines en tomato sauce</t>
  </si>
  <si>
    <t>04/29/2025</t>
  </si>
  <si>
    <t>477393</t>
  </si>
  <si>
    <t>TRADICIONES ANDINAS - PERU -  HEALTHY  PRODUCTS -  Chia /Chia Seeds -  16 / 12oz - P00400</t>
  </si>
  <si>
    <t>TA - UNIVERSAL PRODUCTS- PERU -   -  Flan de Vainilla / Vanilla Flan -  12 / 150gr - U106</t>
  </si>
  <si>
    <t>Maiz Atomico con Maca 125gr x 20 bolsas</t>
  </si>
  <si>
    <t>Maiz Atomico con Maca</t>
  </si>
  <si>
    <t>T.A Lomitos de Atún en Aceite / Solid Tuna in Oil  - 3 PACK (SMALL)</t>
  </si>
  <si>
    <t>TA- ECUADOR -  CAN PRODUCTS -  Lomitos de Atún en Aceite / Solid Tuna in Oil  - 3 PACK (SMALL)-  20 / 3*80gr - RE216</t>
  </si>
  <si>
    <t>478734</t>
  </si>
  <si>
    <t>T.A Aji Amarillo Pasta 7.5oz x 24 fco de vidrio P00121</t>
  </si>
  <si>
    <t>Tradiciones Andinas Aji Amarillo Pasta 15oz X 12 fco de vidrio P00136</t>
  </si>
  <si>
    <t>TRADICIONES ANDINAS - PERU -  VIDRIO -  Salsa Pollo A La Brasa /Grill Chicken Seasoning -  12 / 15oz - P0285</t>
  </si>
  <si>
    <t>TRADICIONES ANDINAS - PERU -  VIDRIO -  Aceituna Botija /Alfonso Olives -  12 / 20oz - P00140</t>
  </si>
  <si>
    <t>T.A Rocoto en Salmuera /Red Hot Peppers Halves</t>
  </si>
  <si>
    <t>TRADICIONES ANDINAS - PERU -  VIDRIO -  Rocoto en Salmuera /Red Hot Peppers Halves -  12 / 20oz - P00144</t>
  </si>
  <si>
    <t>T.A Aji Amarillo en Lata /Whole Yellow Hot Pepper</t>
  </si>
  <si>
    <t>TRADICIONES ANDINAS - PERU -  ENLATADO Aji Amarillo en Lata /Whole Yellow Hot Pepper -  24 / 20oz - P00145</t>
  </si>
  <si>
    <t>TRADICIONES ANDINAS - PERU -  DRINKS -  Chicha Morada /Purple Corn Drink -  12 / 16 fl.oz - 07119</t>
  </si>
  <si>
    <t>TRADICIONES ANDINAS - PERU -  DRINKS -  Nectar de Maracuya / Passion Fruit Nectar-  12 / 16 fl.oz - 07120</t>
  </si>
  <si>
    <t>T.A AjiNomoto Bolsa 500g x 30 / 00804</t>
  </si>
  <si>
    <t>TRADICIONES ANDINAS - PERU -  CONDIMENT PRODUCTS -  Tradiciones Andinas - Chicha de Jora /Jora Seasoning -  12 / 1 lt - P00134</t>
  </si>
  <si>
    <t>T.A Platanitos fritos salados / chifles - Salted Plantain Chips</t>
  </si>
  <si>
    <t>Platanitos fritos salados - Salted Plantain Chips</t>
  </si>
  <si>
    <t>SIBARITA - Panquita Doypack 8.8oz x 12</t>
  </si>
  <si>
    <t>SIBARITA - Panquita Doypack</t>
  </si>
  <si>
    <t>SIBARITA - Amarillin Doypack 8.8oz x 12</t>
  </si>
  <si>
    <t>SIBARITA - Amarillin Doypack</t>
  </si>
  <si>
    <t>T.A PERU -  SIBARITA PRODUCTS -  SIBARITA - Vinagre Blanco - White Vinegar -  12 / 16.91oz botella</t>
  </si>
  <si>
    <t>T.A SIBARITA - Panquita Doypack 12 x 19.4 oz</t>
  </si>
  <si>
    <t>TA- PERU -  SIBARITA PRODUCTS -  SIBARITA - Amarillin Doypack-  12 / 19.4oz - I322 - SI322</t>
  </si>
  <si>
    <t>TRADICIONES ANDINAS - Manzanilla filtrante - Chamomille Tea 24gr x 20 x 30</t>
  </si>
  <si>
    <t>TA- PERU -  INFUSIONES -  TRADICIONES ANDINAS - Manzanilla - Chamomille Tea-  30 / 20x24g - TE01</t>
  </si>
  <si>
    <t>TA - UNIVERSAL PRODUCTS- PERU -   -  Gelatina Fresa / Strawberry Gelatin -  12 / 150gr - U101</t>
  </si>
  <si>
    <t>TA - UNIVERSAL PRODUCTS- PERU -   -  Gelatina Piña / Pineapple Gelatin -  12 / 150gr - U103</t>
  </si>
  <si>
    <t>TA - UNIVERSAL PRODUCTS- PERU -   -  Mazamorra Morada /Purple Pudin-  12 / 150gr - U108</t>
  </si>
  <si>
    <t>TA - UNIVERSAL PRODUCTS- PERU -   -  Esencia de Vainilla / Vanilla Scent-  24 / 100ml - U109</t>
  </si>
  <si>
    <t>TA - UNIVERSAL PRODUCTS- PERU -   -  Chicha Morada / Purple drink instant beverage-  12 / 120gr - U110</t>
  </si>
  <si>
    <t>TA - UNIVERSAL PRODUCTS- PERU -   -  Refresco Guanabana / Guava Instant beverage-  12 / 120gr - U115</t>
  </si>
  <si>
    <t>TA - UNIVERSAL PRODUCTS- PERU -   -  Refresco de Maracuya / Passion fruit instant beverage-  12 / 120gr - U122</t>
  </si>
  <si>
    <t>TA - UNIVERSAL PRODUCTS- PERU -   -  Flan de Lucuma/ Lucuma Pudin-  12 / 150gr - U123</t>
  </si>
  <si>
    <t>TA - UNIVERSAL PRODUCTS- PERU -   -  Gelatina Durazno / Peach Gelatin -  12 / 150gr - U138</t>
  </si>
  <si>
    <t>TA- PERU -  GRANEL -  Maiz Cancha-  50 / lbs - 00208</t>
  </si>
  <si>
    <t>T.A Maiz Morado /Purple Corn 50Lb saco / 00211</t>
  </si>
  <si>
    <t>TA- COLOMBIA -  GROCERY  PRODUCTS -  Motas de Guanabana en Almibar-  12 / 28oz - C00220</t>
  </si>
  <si>
    <t>TA- ECUADOR -  VALLES ANDINOS -  -  Chochos en Salmuera-  12 / 15oz - VA124</t>
  </si>
  <si>
    <t>TA- ECUADOR -  VALLES ANDINOS -  -  Dulces de Higos-  12 / 20oz - VA142</t>
  </si>
  <si>
    <t>TA- ECUADOR -  VALLES ANDINOS -  -  Aceite Vegetal con Achiote-  15 / 14.88 floz - VA149</t>
  </si>
  <si>
    <t>TRADICIONES ANDINAS- PERU -  FROZEN -  Rocoto Entero / Red Hot Pepper  -  20 / 16oz - P00112</t>
  </si>
  <si>
    <t>TRADICIONES ANDINAS- PERU -  FROZEN -  Pulpa De Lucuma / Lucuma  Pulp  -  20 / 12oz - P00223</t>
  </si>
  <si>
    <t>TRADICIONES ANDINAS - FROZEN -  Pulpa de Maracuya / Passion Fruit pulp -  12 / 14oz - RE041</t>
  </si>
  <si>
    <t>T.A Pulpa de Guanabana / Soursop Pulpa 14oz x 12</t>
  </si>
  <si>
    <t>Pulpa de Guanabana / Soursop Pulpa</t>
  </si>
  <si>
    <t>480295</t>
  </si>
  <si>
    <t>T.A Aji Panca Pasta 7.5oz x 24 fco de vidrio P00120</t>
  </si>
  <si>
    <t>TRADICIONES ANDINAS - PERU -  VIDRIO -  Albahaca Pasta /Basil Paste -  24 / 7.5oz - P00181</t>
  </si>
  <si>
    <t>TRADICIONES ANDINAS - PERU -  VIDRIO -  Salsa Parrillera /BBQ Seasoning -  12 / 15oz - P0277</t>
  </si>
  <si>
    <t>TRADICIONES ANDINAS - PERU -  VIDRIO -  Aceituna Botija sin Pepa /Pitted Alfonso Olives -  12 / 20oz - P0287</t>
  </si>
  <si>
    <t>T.A Aji Amarillo Salmuera /Whole Yellow Hot Pepper 12oz x 20</t>
  </si>
  <si>
    <t>Aji Amarillo Salmuera /Whole Yellow Hot Pepper</t>
  </si>
  <si>
    <t>TRADICIONES ANDINAS - PERU -  BOLSA -  Maiz Morado /Purple Corn -  16 / 15oz - P00160</t>
  </si>
  <si>
    <t>TRADICIONES ANDINAS - PERU -  BOLSA -  Cancha Corn / Maiz Cancha-  24 / 15oz - P00162</t>
  </si>
  <si>
    <t>TRADICIONES ANDINAS - PERU -  BOLSA -  Semola /Semolina -  24 / 15oz - P00173</t>
  </si>
  <si>
    <t>TRADICIONES ANDINAS - PERU -  BOLSA -  Harina Chuño / Potato Starch Flour -  24 / 12oz - P00197</t>
  </si>
  <si>
    <t>T.A Pallares /Lima Beans 15oz x 24</t>
  </si>
  <si>
    <t>Pallares /Lima Beans</t>
  </si>
  <si>
    <t>T.A Maiz Carhuay (Family Pack) / Carhuay Corn 54oz x 6</t>
  </si>
  <si>
    <t>Maiz Carhuay (Family Pack) / Carhuay Corn /</t>
  </si>
  <si>
    <t>Quick Oats / Avena</t>
  </si>
  <si>
    <t>Tradiciones Andinas - Algarrobina</t>
  </si>
  <si>
    <t>TRADICIONES ANDINAS - PERU -  DRINKS -  Chicha Morada / Purple Corn Drink -  12 / 33.81 fl.oz (1 lt) - 07106</t>
  </si>
  <si>
    <t>Tradiciones Andinas - Palillo /Curcuma</t>
  </si>
  <si>
    <t>TRADICIONES ANDINAS - PERU -  TIYAPUY - SNACKS -  Habas Fritas Saladas/  Broad Beans Snacks-  12 / 130g - CH167</t>
  </si>
  <si>
    <t>TRADICIONES ANDINAS - PERU -  TIYAPUY - SNACKS -  Platanitos fritos salados - Salted Plantain Chips-  12 / 80g - CH180</t>
  </si>
  <si>
    <t>TA- PERU -  SIBARITA PRODUCTS -  SIBARITA - Tuco Tallarin-  6 sobres x 50 / 1.64oz  - SI309</t>
  </si>
  <si>
    <t>TA- PERU -  SIBARITA PRODUCTS -  SIBARITA - Aji Panca Sazonador-  6 sobres x 50 / 2.22oz - SI310</t>
  </si>
  <si>
    <t>TA- PERU -  INFUSIONES -  TRADICIONES ANDINAS - Te con canela y clavo - Cinnamon and Clove-  30 / 20x24g - TE02</t>
  </si>
  <si>
    <t>TA- PERU -  INFUSIONES -  TRADICIONES ANDINAS - Anis-  30 / 20x24g - TE03</t>
  </si>
  <si>
    <t>TA- PERU -  INFUSIONES -  TRADICIONES ANDINAS - Hierbaluisa - Lemon Grass Tea-  30 / 20x24g - TE04</t>
  </si>
  <si>
    <t>Universal Gelatina sin Sabor (Colapiz)</t>
  </si>
  <si>
    <t>Gelatina sin Sabor (Colapiz)</t>
  </si>
  <si>
    <t>T.A Universal Maicena 180g x 7 / U114</t>
  </si>
  <si>
    <t>TA - UNIVERSAL PRODUCTS- PERU -   -  Polvo de Hornear - Baking powder-  12 / 100g - U136</t>
  </si>
  <si>
    <t>TA - UNIVERSAL PRODUCTS- PERU -   -  Bicarbonato de Sodio - Baking soda-  12 / 100g - U137</t>
  </si>
  <si>
    <t>TA- PERU -  GOLOSINAS - DULCES  -  Trigo Atomico original con Miel-  20 / 4.41z (125g) - CH134</t>
  </si>
  <si>
    <t>TA- PERU -  GOLOSINAS - DULCES  -  VITAPLUSS - Fideos con Miel-  20 / 120g - CH141</t>
  </si>
  <si>
    <t>TA- PERU -  GOLOSINAS - DULCES  -  Galletas Morochas-  22 / 12x30g - CH176</t>
  </si>
  <si>
    <t>Valles Andinos Lentejas 14oz x 24</t>
  </si>
  <si>
    <t>Lentejas</t>
  </si>
  <si>
    <t>Valles Andinos Frijoles Negros / Black beans 14 oz x 24</t>
  </si>
  <si>
    <t>Frijoles Negros</t>
  </si>
  <si>
    <t>Valles Andinos Habas partidas y Peladas / Split and Peeled Fava Beans 14oz x 14</t>
  </si>
  <si>
    <t>Habas partidas y Peladas / Split and Peeled Fava Beans</t>
  </si>
  <si>
    <t>TRADICIONES ANDINAS- PERU -  FROZEN -  Choclo en Grano / Corn in Grain   -  30 / 16oz - P00115</t>
  </si>
  <si>
    <t>TRADICIONES ANDINAS- PERU -  FROZEN -  Huacatay / Black Mint  -  24 / 12oz - P00117</t>
  </si>
  <si>
    <t>TRADICIONES ANDINAS- PERU -  FROZEN -  Aji Limo / Limo Pepper-  18 / 16oz - P00119</t>
  </si>
  <si>
    <t>TRADICIONES ANDINAS- PERU -  FROZEN -  Choclo Entero / Corn on the Cob -  10/4</t>
  </si>
  <si>
    <t>TRADICIONES ANDINAS- ECUADOR -  FROZEN -  Achocha / Caigua  -  12 / 16oz - RE102</t>
  </si>
  <si>
    <t>06/17/2025</t>
  </si>
  <si>
    <t>480888</t>
  </si>
  <si>
    <t>TRADICIONES ANDINAS - PERU -  BOLSA -  Quick Oats / Avena-  6 / 32oz - P00407</t>
  </si>
  <si>
    <t>TA - VALLES ANDINOS-  -  BOLSA -  Lentejas-  24 / 14oz - VA137</t>
  </si>
  <si>
    <t>07/03/2025</t>
  </si>
  <si>
    <t>482005</t>
  </si>
  <si>
    <t>TRADICIONES ANDINAS - PERU -  VIDRIO -  Rocoto en Pasta /Red Hot Peppers Paste -  24 / 7.5oz - P00122</t>
  </si>
  <si>
    <t>T.A  Ajo pasta 7.5oz x 24 fraco vidrio P00123</t>
  </si>
  <si>
    <t>TRADICIONES ANDINAS - PERU -  VIDRIO -  Aji Mirasol Pasta / Mirasol Pepper Paste -  24 / 7.5oz - P0278</t>
  </si>
  <si>
    <t>T.A Culantro Pasta / Coriander Paste 7.5oz x 24</t>
  </si>
  <si>
    <t>Cilantro Pasta / Coriander Paste</t>
  </si>
  <si>
    <t>TRADICIONES ANDINAS - PERU -  VIDRIO -  Aji Amarillo Salmuera /Whole Yellow Hot Pepper -  12 / 20oz - P00143</t>
  </si>
  <si>
    <t>TRADICIONES ANDINAS - PERU -  VIDRIO -  Aji Amarillo sin Picante / Yellow Pepper paste Non Spicy-  24 / 7.5z - P0288</t>
  </si>
  <si>
    <t>T.A Rocoto en Lata /Red Hot Peppers Halves</t>
  </si>
  <si>
    <t>Rocoto en Lata /Red Hot Peppers Halves</t>
  </si>
  <si>
    <t>T.A Peeled Mote Corn / Mote Pelado 15oz x 24 bolsa</t>
  </si>
  <si>
    <t>TRADICIONES ANDINAS - PERU -  BOLSA -  Linaza /Flax Seed -  24 / 15oz - P00165</t>
  </si>
  <si>
    <t>TRADICIONES ANDINAS - PERU -  BOLSA -  Cebada Tostada /Toasted Barley -  18 / 15oz - P00174</t>
  </si>
  <si>
    <t>TRADICIONES ANDINAS - PERU -  BOLSA -  Emoliente / Emolient -  20 / 3.5oz - P00158</t>
  </si>
  <si>
    <t>TRADICIONES ANDINAS - PERU -  BOLSA -  Pallares /Lima Beans -  24 / 15oz - P00901</t>
  </si>
  <si>
    <t>TRADICIONES ANDINAS - PERU -  HEALTHY  PRODUCTS -  Harina de Quinua /Quinua Flour (Instant) -  12 / 12oz - P00402</t>
  </si>
  <si>
    <t>TRADICIONES ANDINAS - PERU -  HEALTHY  PRODUCTS -  Harina de Maca /Maca Flour -  24 / 7oz - P00205</t>
  </si>
  <si>
    <t>Tradiciones Andinas -  Pimienta Negra /Black Pepper</t>
  </si>
  <si>
    <t>TRADICIONES ANDINAS - PERU -  TIYAPUY - SNACKS -  Maiz Chulpi frito Salado/ Chulpi Corn Snack-  12 / 130g - CH165</t>
  </si>
  <si>
    <t>TRADICIONES ANDINAS - PERU -  TIYAPUY - SNACKS -  Maiz Cancha Frito Salado / Native Corn Snack-  12 / 130g - CH166</t>
  </si>
  <si>
    <t>TRADICIONES ANDINAS - PERU -  TIYAPUY - SNACKS -  Maiz Gigante Frito Salado/ Giant Corn Snacks-  12 / 130g - CH168</t>
  </si>
  <si>
    <t>TRADICIONES ANDINAS - PERU -  TIYAPUY - SNACKS -  Mix Andino Snack / Andean Mix Snack-  12 / 130g - CH169</t>
  </si>
  <si>
    <t>T.A Maiz gigante frito picante - Spicy and crunchy giant corn</t>
  </si>
  <si>
    <t>Maiz gigante frito picante - Spicy and crunchy giant corn</t>
  </si>
  <si>
    <t>SIBARITA - Ajo / Garlic 8.8oz x 12</t>
  </si>
  <si>
    <t>SIBARITA - Ajo / Garlic</t>
  </si>
  <si>
    <t>PERU -  SIBARITA PRODUCTS -  SIBARITA - Vinagre Blanco - White Vinegar -  12 / 1lt - SI312</t>
  </si>
  <si>
    <t>TA- PERU -  SIBARITA PRODUCTS -  SIBARITA - Ajo / Garlic Family Pack-  12 / 19.4oz - SI324</t>
  </si>
  <si>
    <t>DEL VALLE - Boldo Filtrante 25gr x 25 x 32</t>
  </si>
  <si>
    <t>TA- PERU -  INFUSIONES -  DEL VALLE - Boldo-  32 / 25x25g - Dvalle05</t>
  </si>
  <si>
    <t>TA- PERU -  INFUSIONES -  DEL VALLE - Una de Gato-  32 / 25x25g - Dvalle08</t>
  </si>
  <si>
    <t>TA - UNIVERSAL PRODUCTS- PERU -   -  Gelatina Naranja / Orange Gelatin -  12 / 150gr - U102</t>
  </si>
  <si>
    <t>Universal Gelatina Limon / Lemon Gelatin 150gr x 12</t>
  </si>
  <si>
    <t>TA - UNIVERSAL PRODUCTS- PERU -   -  Gelatina Limon / Lemon Gelatin  -  12 / 150gr - U104</t>
  </si>
  <si>
    <t>Universal Grape Gelatin / Gelatina Uva</t>
  </si>
  <si>
    <t>TA - UNIVERSAL PRODUCTS- PERU -   -  Grape Gelatin / Gelatina Uva-  12 / 150gr - U105</t>
  </si>
  <si>
    <t>TA - UNIVERSAL PRODUCTS- PERU -   -  Gelatina sin Sabor (Colapiz)-  12 / 30gr - U113</t>
  </si>
  <si>
    <t>TA- PERU -  GRANEL -  Mote Pelado Saco-  50 / lbs - 00212</t>
  </si>
  <si>
    <t>Aji Amarillo Balde 7.5Lb</t>
  </si>
  <si>
    <t>TRADICIONES ANDINAS- CHILE -  ENLATADO TRADICIONES ANDINAS - Peach Halves in heavy Syrup / Durazno en Almibar -  12 / 29z (822g) - DUR01</t>
  </si>
  <si>
    <t>TA- ECUADOR -  VALLES ANDINOS -  -  Aji Casero-  24 / 6oz  - VA143</t>
  </si>
  <si>
    <t>TA- ECUADOR -  VALLES ANDINOS -  -  Aji Peruano-  12 / 14oz - VA144</t>
  </si>
  <si>
    <t>TA- ECUADOR -  VALLES ANDINOS -  -  Ajo en Pasta /Garlic Paste -  15 / 16.58oz - VA145</t>
  </si>
  <si>
    <t>TA- ECUADOR -  VALLES ANDINOS -  -  Aliño - Ecuatorian Seasoning-  15 / 17.64oz - VA146</t>
  </si>
  <si>
    <t>TA- ECUADOR -  VALLES ANDINOS -  -  Sazon Completo - Complete Seasoning-  15 / 17.64oz - VA147</t>
  </si>
  <si>
    <t>TA- ECUADOR -  VALLES ANDINOS -  -  Chimichurri - BBQ Sauce-  15 / 17.64oz - VA148</t>
  </si>
  <si>
    <t>TA- ECUADOR -  CAN PRODUCTS -   Lomitos de Atún en Aceite / Solid TUNA in Oil -  48 / 5oz - RE212</t>
  </si>
  <si>
    <t>Valles Andinos Frijol Bocanegra / Black Eye Beans or Bocanegra</t>
  </si>
  <si>
    <t>Frijol Bocanegra / Black Eye Beans or Bocanegra</t>
  </si>
  <si>
    <t>Valles Andinos Harina de Habas / Faba Beans Flour 14oz x 18</t>
  </si>
  <si>
    <t>Harina de Habas / Faba Beans Flour</t>
  </si>
  <si>
    <t>Valles Andinos Frijol Canario / Canary Beans</t>
  </si>
  <si>
    <t>Frijol Canario / Canary Beans</t>
  </si>
  <si>
    <t>Valles Andinos Harina de Maiz / Corn Flour</t>
  </si>
  <si>
    <t>Harina de Maiz / Corn Flour</t>
  </si>
  <si>
    <t>TA - VALLES ANDINOS-  -  BOLSA -  Frijoles Negros-  24 / 14oz - VA138</t>
  </si>
  <si>
    <t>TA - VALLES ANDINOS-  -  BOLSA -  Habas partidas y Peladas / Split and Peeled Fava Beans-  14 / 14oz - VA139</t>
  </si>
  <si>
    <t>482330</t>
  </si>
  <si>
    <t>07/21/2025</t>
  </si>
  <si>
    <t>483292</t>
  </si>
  <si>
    <t>T.A Hojuela de Quinua / Quinua Flakes</t>
  </si>
  <si>
    <t>Hojuela de Quinua / Quinua Flakes</t>
  </si>
  <si>
    <t>Tradiciones Andinas - Comino Molido</t>
  </si>
  <si>
    <t>Tradiciones Andinas Pimenton / Paprika 1.76oz x 12</t>
  </si>
  <si>
    <t>Tradiciones Andinas -Pimenton / Paprika</t>
  </si>
  <si>
    <t>Tradiciones Andinas - Canela Molida / Ground Cinnamon</t>
  </si>
  <si>
    <t>Tradiciones Andinas - Ajonjoli / Sesame Seeds</t>
  </si>
  <si>
    <t>TA- PERU -  INFUSIONES -  DEL VALLE - Chancapiedra-  32 / 25x25g - Dvalle09</t>
  </si>
  <si>
    <t>TA- PERU -  GRANEL -  Aji Amarillo Balde 7.5Lbs</t>
  </si>
  <si>
    <t>TA- ECUADOR -  CAN PRODUCTS -  Sardinas en Salsa de tomate / Sardines en tomato sauce -  24 / 15oz - RE215</t>
  </si>
  <si>
    <t>T.A Sardinas en Salsa de Tomate Tinapa / Sardines in Tomato Sauce 5.46oz x 50</t>
  </si>
  <si>
    <t>Sardinas en Salsa de Tomate Tinapa / Sardines in Tomato Sauce</t>
  </si>
  <si>
    <t>Valles Andinos Harina de Alverja / Pea Flour</t>
  </si>
  <si>
    <t>Harina de Alverja / Pea Flour</t>
  </si>
  <si>
    <t>Valles Andinos Harina de Machica / Roasted Barley Flour</t>
  </si>
  <si>
    <t>Harina de Machica / Roasted Barley Flour</t>
  </si>
  <si>
    <t>Valles Andinos Canguil / Pop Corn</t>
  </si>
  <si>
    <t>Canguil / Pop Corn</t>
  </si>
  <si>
    <t>Coco Milk Drink with Nata de Coco ORIGINAL</t>
  </si>
  <si>
    <t>Coco Milk Drink with Nata de Coco STRAWBERRY</t>
  </si>
  <si>
    <t>Coco Milk Drink with Nata de Coco MANGO</t>
  </si>
  <si>
    <t>T.A Aji Amarillo con Huacatay 7.5oz x 24</t>
  </si>
  <si>
    <t>Aji Amarillo con Huacatay / Yellow Hot Pepper With Black Min</t>
  </si>
  <si>
    <t>T.A Aji Mirasol Seco / Dried Yellow Pepper 2oz x 24</t>
  </si>
  <si>
    <t>Aji Mirasol Seco / Dried Yellow Pepper</t>
  </si>
  <si>
    <t>Valles Andinos Arroz de Cebada / Barley Corn 14oz x 18</t>
  </si>
  <si>
    <t>Arroz de Cebada / Barley Corn</t>
  </si>
  <si>
    <t>Valles Andinos Harina de Platano / Plantain Flour</t>
  </si>
  <si>
    <t>Harina de Platano / Plantain Flour</t>
  </si>
  <si>
    <t>T.A Habas Verdes / Fava Beans 28oz x 20 bolsas</t>
  </si>
  <si>
    <t>Habas Verdes / Fava Beans</t>
  </si>
  <si>
    <t>08/18/2025</t>
  </si>
  <si>
    <t>485230</t>
  </si>
  <si>
    <t>T.A Aji Panca en Pasta "Poco Picante" 7.5oz x 24 fco de vidrio P0282</t>
  </si>
  <si>
    <t>T.A. Ajo Pasta - Ajo en Pasta /Garlic Paste 15oz X 12 P00138</t>
  </si>
  <si>
    <t>TRADICIONES ANDINAS - PERU -  BOLSA -  Papa Seca / Dried Potato -  18 / 15oz - P00161</t>
  </si>
  <si>
    <t>TRADICIONES ANDINAS - PERU -  BOLSA -  Quinua /Quinoa-  24 / 15oz - P00172</t>
  </si>
  <si>
    <t>T.A Aji Panca Seco / Dried Panca Pepper</t>
  </si>
  <si>
    <t>Aji Panca Seco / Dried Panca Pepper</t>
  </si>
  <si>
    <t>T.A Chulpe Corn / Maiz Chulpe (Family Pack) 54OZ X 6</t>
  </si>
  <si>
    <t>Chulpe Corn / Maiz Chulpe (Family Pack)</t>
  </si>
  <si>
    <t>TRADICIONES ANDINAS - PERU -  BOLSA -  Papa Seca Amarilla  / Yelow Dried Potato -  18 / 15oz - P00900</t>
  </si>
  <si>
    <t>TRADICIONES ANDINAS - PERU -  HEALTHY  PRODUCTS -  Quinoa Negra  / Black  Quinoa -  12 / 14oz - P00404</t>
  </si>
  <si>
    <t>TRADICIONES ANDINAS - PERU -  HEALTHY  PRODUCTS -  Harina Linaza /Flax seed Flour -  24 / 7.5oz - P00203</t>
  </si>
  <si>
    <t>TRADICIONES ANDINAS - PERU -  MISCELANEUS PRODUCTS -  Tradiciones Andinas - Algarrobina-  24 / 500gr - P00413</t>
  </si>
  <si>
    <t>Universal Chuño / Potato Starch 180gr x 9</t>
  </si>
  <si>
    <t>Chuño / Potato Starch</t>
  </si>
  <si>
    <t>TA- PERU -  GOLOSINAS - DULCES  -  VITAPLUSS - Maiz expandido con miel-  24 / 140g - CH139</t>
  </si>
  <si>
    <t>Maiz Chulpe Saco 50lb</t>
  </si>
  <si>
    <t>TRADICIONES ANDINAS- PERU -  FROZEN -  Habas Verdes / Fava Beans  -  20 / 28oz - P00109</t>
  </si>
  <si>
    <t>TRADICIONES ANDINAS- PERU -  FROZEN -  Choclo Entero / Corn on the Cob -  18/2 - P00110</t>
  </si>
  <si>
    <t>T.A Maiz Desgranado (INST) / Corn in Grain 48oz x13</t>
  </si>
  <si>
    <t>Maiz Desgranado (INST) / Corn in Grain</t>
  </si>
  <si>
    <t>TRADICIONES ANDINAS- PERU -  FROZEN -  Papa Amarilla / Yellow Potato  -  20 / 16oz - P00113</t>
  </si>
  <si>
    <t>TRADICIONES ANDINAS- PERU -  FROZEN -  Olluco cortado / Sliced Ollucos  -  20 / 16oz - P00116</t>
  </si>
  <si>
    <t>T.A Guinea pig - Cuy</t>
  </si>
  <si>
    <t>Guinea pig - Cuy</t>
  </si>
  <si>
    <t>T.A Pulpa de Maracuya con pepas / Passion fruit pulp with Seeds</t>
  </si>
  <si>
    <t>Pulpa de Maracuya con pepas / Passion fruit pulp with Seeds</t>
  </si>
  <si>
    <t>09/24/2025</t>
  </si>
  <si>
    <t>487860</t>
  </si>
  <si>
    <t>T.A Huacatay Pasta / Black Mint Paste 7.5oz</t>
  </si>
  <si>
    <t>TRADICIONES ANDINAS - PERU -  VIDRIO -  Huacatay Pasta / Black Mint Paste -  24 / 7.5oz - P00180</t>
  </si>
  <si>
    <t>T.A Arroz de Cebada/ Barley Rice 15oz x 24</t>
  </si>
  <si>
    <t>Arroz de Cebada/ Barley Rice</t>
  </si>
  <si>
    <t>TRADICIONES ANDINAS - PERU -  BOLSA -  Chuño Entero Blanco / White Potato Starch -  18 / 15oz - P00179</t>
  </si>
  <si>
    <t>TRADICIONES ANDINAS - PERU -  CONDIMENT PRODUCTS -  Tradiciones Andinas - Palillo /Curcuma -  12 / 1.76oz - P101</t>
  </si>
  <si>
    <t>Tradiciones Andinas - Orégano Entero / Whole Oregano</t>
  </si>
  <si>
    <t>TRADICIONES ANDINAS - PERU -  CONDIMENT PRODUCTS -  Tradiciones Andinas - Orégano Entero / Whole Oregano-  12 / 1.41oz - P112</t>
  </si>
  <si>
    <t>TA- PERU -  GOLOSINAS - DULCES  -  Maiz Atomico con Maca-  20 / 4.41z (125g) - CH137</t>
  </si>
  <si>
    <t>TA- PERU -  GOLOSINAS - DULCES  -  VITAPLUSS - Trigo Expandido con Miel-  24 / 140g - CH140</t>
  </si>
  <si>
    <t>Panela Redonda</t>
  </si>
  <si>
    <t>TA- COLOMBIA -  GROCERY  PRODUCTS -  Panela Redonda-  24 / 16oz - C00214</t>
  </si>
  <si>
    <t>TA - VALLES ANDINOS-  -  BOLSA -  Harina de Habas / Faba Beans Flour -  18 / 14oz - VA114</t>
  </si>
  <si>
    <t>Valles Andinos Soya / Soy Beans 14oz x 18 bolsa</t>
  </si>
  <si>
    <t>Soy Beans / Soy Beans</t>
  </si>
  <si>
    <t>TA - VALLES ANDINOS-  -  BOLSA -  Harina de Maiz / Corn Flour  -  16 / 14oz - VA130</t>
  </si>
  <si>
    <t>Morocho Partido / Granulated White Corn</t>
  </si>
  <si>
    <t>TA - VALLES ANDINOS-  -  BOLSA -  Morocho Partido / Granulated White Corn -  24 / 14oz - VA136</t>
  </si>
  <si>
    <t>TRADICIONES ANDINAS- PERU -  FROZEN -  Choclo Entero / Corn on the Cob -  10/4 - P00225</t>
  </si>
  <si>
    <t>TRADICIONES ANDINAS- PERU -  FROZEN -  Pulpa de Maracuya con pepas / Passion fruit pulp with Seeds-  12 / 14 oz - P00235</t>
  </si>
  <si>
    <t>09/26/2025</t>
  </si>
  <si>
    <t>488017</t>
  </si>
  <si>
    <t>T.A Aji Ambateno / Whole Pepper FROZEN 10oz x 16</t>
  </si>
  <si>
    <t>Aji Ambateno / Whole Pepper</t>
  </si>
  <si>
    <t>TA - WINTER'S PRODUCTS- PERU -   -  WINTER'S - Paneton -  6 / 900g - WI2023</t>
  </si>
  <si>
    <t>10/07/2025</t>
  </si>
  <si>
    <t>491332</t>
  </si>
  <si>
    <t>T.A Quinoa Blanca  /White  Quinoa</t>
  </si>
  <si>
    <t>Quinoa Blanca  /White  Quinoa</t>
  </si>
  <si>
    <t>10/08/2025</t>
  </si>
  <si>
    <t>489033</t>
  </si>
  <si>
    <t>Valles Andinos Harina Maiz Morado / Purple Corn Flour</t>
  </si>
  <si>
    <t>Harina Maiz Morado / Purple Corn Flour</t>
  </si>
  <si>
    <t>10/13/2025</t>
  </si>
  <si>
    <t>489405</t>
  </si>
  <si>
    <t>SOL DEL CUZCO Tableta sabor a chocolate para taza 12 x 90gr</t>
  </si>
  <si>
    <t>SOL DEL CUZCO Tableta sabor a chocolate para taza tradicional 12 x 90gr - IN01</t>
  </si>
  <si>
    <t>10/14/2025</t>
  </si>
  <si>
    <t>10/30/2025</t>
  </si>
  <si>
    <t>490620</t>
  </si>
  <si>
    <t>TRADICIONES ANDINAS - PERU -  BOLSA -  Maiz Cancha (Family Pack) /Cancha Corn -  6 / 54oz - P00177</t>
  </si>
  <si>
    <t>TA- PERU -  SIBARITA PRODUCTS -  SIBARITA - Amarillin Doypack-  12 / 8.8oz - SI315</t>
  </si>
  <si>
    <t>TA- PERU -  SIBARITA PRODUCTS -  SIBARITA - Panquita Doypack-  12 / 8.8oz - SI316</t>
  </si>
  <si>
    <t>PERU -  SIBARITA PRODUCTS -  SIBARITA - Vinagre Tinto - Red Vinegar -  12 / 1lt - SI313</t>
  </si>
  <si>
    <t>Valles Andinos Arverjas Verdes 14oz x 24</t>
  </si>
  <si>
    <t>TA - VALLES ANDINOS-  -  BOLSA -  Arverjas Verdes-  24 / 14oz - VA135</t>
  </si>
  <si>
    <t>11/07/2025</t>
  </si>
  <si>
    <t>491180</t>
  </si>
  <si>
    <t>TRADICIONES ANDINAS - PERU -  BOLSA -  Maiz Chulpe /Chulpe Corn -  24 / 15oz - P00170</t>
  </si>
  <si>
    <t>TRADICIONES ANDINAS - PERU -  BOLSA -  Maiz Carhuay (Family Pack) / Carhuay Corn / -  6 / 54oz - P00221</t>
  </si>
  <si>
    <t>TA- PERU -  GOLOSINAS - DULCES  -  Maiz Atomico Imperial con Miel-  20 / 4.41z (125g) - CH133</t>
  </si>
  <si>
    <t>TA - VALLES ANDINOS-  -  BOLSA -  Soy Beans / Soy Beans  -  18 / 14oz - VA120</t>
  </si>
  <si>
    <t>11/28/2025</t>
  </si>
  <si>
    <t>492743</t>
  </si>
  <si>
    <t>PRODUCTOS ORIENTALES -  KIKKO -  KIKKO SIYAU 500ML x 30 /  00998</t>
  </si>
  <si>
    <t>TA- PERU -  SIBARITA PRODUCTS -  SIBARITA - Ajo / Garlic -  12 / 8.8oz - SI317</t>
  </si>
  <si>
    <t>Trigo Atomico con Maca 125gr x 20</t>
  </si>
  <si>
    <t>TA- PERU -  GOLOSINAS - DULCES  -  Trigo con Maca-  20 / 125g - CH156</t>
  </si>
  <si>
    <t>T.A Mora en Fruta - Blackberry FROZEN 28oz x 12</t>
  </si>
  <si>
    <t>TRADICIONES ANDINAS- ECUADOR -  FROZEN -  Mora en Fruta / Blackberry  -  12 / 28oz - RE028</t>
  </si>
  <si>
    <t>TRADICIONES ANDINAS- ECUADOR -  FROZEN -  Pulpa de Guanabana / Soursop Pulpa -  12 / 14oz - RE063</t>
  </si>
  <si>
    <t>T.A Papa Criolla / Yellow Potato 2Lb x 12</t>
  </si>
  <si>
    <t>TRADICIONES ANDINAS- COLOMBIA -  FROZEN -  Papa Criolla / Yellow Potato  -  12 / 2 lbs - C00206</t>
  </si>
  <si>
    <t>Sancocho Colombiano / Vegetables Mix 2Lb x 6</t>
  </si>
  <si>
    <t>TRADICIONES ANDINAS- COLOMBIA -  FROZEN -  Sancocho Colombiano / Vegetables Mix  -  6 / 2 lbs - C00210</t>
  </si>
  <si>
    <t>T.A Arracacha / Yellow Cassava FROZEN 16oz x 16</t>
  </si>
  <si>
    <t>TRADICIONES ANDINAS- COLOMBIA -  FROZEN -  Arracacha / Yellow Cassava  -  16 / 16oz - C00211</t>
  </si>
  <si>
    <t>T.A Discos de Yuca / Cassava Dough 13.75oz x 24</t>
  </si>
  <si>
    <t>TRADICIONES ANDINAS- COLOMBIA -  FROZEN -  Discos de Yuca / Cassava Dough-  24 / 13.75 oz - CR250</t>
  </si>
  <si>
    <t>12/03/2025</t>
  </si>
  <si>
    <t>493132</t>
  </si>
  <si>
    <t>T.A Olluco en Lata /Whole Ollucus 20oz x 24</t>
  </si>
  <si>
    <t>TRADICIONES ANDINAS - PERU -  ENLATADO Olluco en Lata /Whole Ollucus -  24 / 20oz - P00130</t>
  </si>
  <si>
    <t>Tradiciones Andinas  Miel de Abeja 500gr x 24</t>
  </si>
  <si>
    <t>TRADICIONES ANDINAS - PERU -  MISCELANEUS PRODUCTS -  Tradiciones Andinas - Miel de Abeja-  24 / 500gr - P00412</t>
  </si>
  <si>
    <t>TA- PERU -  GOLOSINAS - DULCES  -  VITAPLUSS - Arrocito con Miel -  24 / 150g - CH142</t>
  </si>
  <si>
    <t>TA- PERU -  GOLOSINAS - DULCES  -  Arrocito Atomico-  20 / 150g - CH146</t>
  </si>
  <si>
    <t>SOL DEL CUZCO Tableta sabor a chocolate con canela y clavo para taza 12 x 90gr</t>
  </si>
  <si>
    <t>Total for Tradiciones Andinas</t>
  </si>
  <si>
    <t>01/01/2025</t>
  </si>
  <si>
    <t>Inventory Starting Value</t>
  </si>
  <si>
    <t>START</t>
  </si>
  <si>
    <t>Belmont Aji Amarillo entero 1Lb x 18 FROZEN - Opening inventory and value</t>
  </si>
  <si>
    <t>Belmont Aji Limo 14oz x 9 FROZEN - Opening inventory and value</t>
  </si>
  <si>
    <t>Belmont Choclo desgranado 1Lb x 30 FROZEN - Opening inventory and value</t>
  </si>
  <si>
    <t>Belmont Aji Amarillo pasta 8oz x 12 - Opening inventory and value</t>
  </si>
  <si>
    <t>Belmont Aji Panca pasta 8oz x 12 - Opening inventory and value</t>
  </si>
  <si>
    <t>Belmont Galleta Cream Crackers 258gr x 24 - Opening inventory and value</t>
  </si>
  <si>
    <t>Belmont Aji Amarillo en Salmuera 20oz x 12 - Opening inventory and value</t>
  </si>
  <si>
    <t>Peru Chef Rocoto En Mitades lata 20oz x12 - Opening inventory and value</t>
  </si>
  <si>
    <t>Belmont Rocoto entero FROZEN - Opening inventory and value</t>
  </si>
  <si>
    <t>Belmont Pulpa de Lucuma - Opening inventory and value</t>
  </si>
  <si>
    <t>Belmont Chicha de Jora - Opening inventory and value</t>
  </si>
  <si>
    <t>Belmont Maiz Morado x 15oz - Opening inventory and value</t>
  </si>
  <si>
    <t>Belmont - Ají Panca POCO PICANTE 16 oz x 12</t>
  </si>
  <si>
    <t>Belmont - Ají Panca POCO PICANTE 16 oz x 12 - Opening inventory and value</t>
  </si>
  <si>
    <t>Belmont - Ají Panca Bidon 7 Lb x 6 (deleted)</t>
  </si>
  <si>
    <t>Belmont - Ají Panca Bidon 7 Lb x 6 - Opening inventory and value</t>
  </si>
  <si>
    <t>Belmont - Chancaca 12 / 20 oz</t>
  </si>
  <si>
    <t>Belmont - Chancaca 12 / 20 oz - Opening inventory and value</t>
  </si>
  <si>
    <t>Tapas Signo de Oro Hojaldre Roticeras 24 x 500 g.</t>
  </si>
  <si>
    <t>Tapas Signo de Oro Hojaldre Roticeras 24 x 500 g. - Opening inventory and value</t>
  </si>
  <si>
    <t>Peru Chef - SALSA AJI AMARILLO C/HUACATAY 10.5 OZ X 12</t>
  </si>
  <si>
    <t>Peru Chef - SALSA AJI AMARILLO C/HUACATAY 10.5 OZ X 12 - Opening inventory and value</t>
  </si>
  <si>
    <t>Belmont Choclo Desgranado 3Lb x 10 - Opening inventory and value</t>
  </si>
  <si>
    <t>Belmont Pulpa de Maracuya 14oz x 20 - Opening inventory and value</t>
  </si>
  <si>
    <t>Belmont Rocoto Desvenado limpio FROZEN 2lb x 10 - Opening inventory and value</t>
  </si>
  <si>
    <t>Belmont Aji Panca pasta Bidon 7Lb - Opening inventory and value</t>
  </si>
  <si>
    <t>Belmont Mango Nectar - Opening inventory and value</t>
  </si>
  <si>
    <t>Belmont Harina de Camote 15oz x 12 - Opening inventory and value</t>
  </si>
  <si>
    <t>Los Nietitos - Dulce de Leche - Opening inventory and value</t>
  </si>
  <si>
    <t>Conaprole - Dulce de Leche - Milk Caramel Spread - Opening inventory and value</t>
  </si>
  <si>
    <t>Paneton TODINNO 900gr x 6 - Opening inventory and value</t>
  </si>
  <si>
    <t>SOL DEL CUZCO Tableta sabor a chocolate para taza 12 x 90gr - Opening inventory and value</t>
  </si>
  <si>
    <t>Lam's Chifles salado en tiras 2.5oz x 24 - Opening inventory and value</t>
  </si>
  <si>
    <t>Lam's Chifles dulce en tiras 2.1oz x 24 - Opening inventory and value</t>
  </si>
  <si>
    <t>Lam's Patacones / Tostones picante 4oz x 24 - Opening inventory and value</t>
  </si>
  <si>
    <t>Lam's Patacones / Tostones Regular 4oz x 24 - Opening inventory and value</t>
  </si>
  <si>
    <t>Lam's Patacones / Tostones Dulce 4oz x 24 - Opening inventory and value</t>
  </si>
  <si>
    <t>Belmont Aji Amarillo desvenado FROZEN  2L x 8 - Opening inventory and value</t>
  </si>
  <si>
    <t>Belmont Aji Amarillo desvenado FROZEN  12oz  x 10 - Opening inventory and value</t>
  </si>
  <si>
    <t>Belmont Maracuya con pepas FROZEN 1Kg x 16 - Opening inventory and value</t>
  </si>
  <si>
    <t>Belmont Aji Amarillo pasta 16oz x 12 - Opening inventory and value</t>
  </si>
  <si>
    <t>Belmont Aji Panca pasta 16Oz x 12 - Opening inventory and value</t>
  </si>
  <si>
    <t>Belmont Rocoto en salmuera 20oz x 12 - Opening inventory and value</t>
  </si>
  <si>
    <t>Belmont Habas Secas Peladas 15oz x 12 - Opening inventory and value</t>
  </si>
  <si>
    <t>Belmont Pallares 15oz x 14 - Opening inventory and value</t>
  </si>
  <si>
    <t>Estante metal negro 5 niveles</t>
  </si>
  <si>
    <t>Estante metal negro 5 niveles - Opening inventory and value</t>
  </si>
  <si>
    <t>Galleta Costa Butter Cookies 140gr x 24 - Opening inventory and value</t>
  </si>
  <si>
    <t>Galleta Costa Chocolate Cookies x 24 - Opening inventory and value</t>
  </si>
  <si>
    <t>Galleta Costa Coconut Cookies 125gr x 28 - Opening inventory and value</t>
  </si>
  <si>
    <t>Galleta Costa Lemon Cookies 140gr x 24 - Opening inventory and value</t>
  </si>
  <si>
    <t>Vivo Mifrut Apple 100% frut pouch - Opening inventory and value</t>
  </si>
  <si>
    <t>Vivo Mifrut Pear 100% frut pouch - Opening inventory and value</t>
  </si>
  <si>
    <t>Vivo Mifrut Banana 100% frut pouch - Opening inventory and value</t>
  </si>
  <si>
    <t>Peru Chef Zapallo Loche 1Lb - Opening inventory and value</t>
  </si>
  <si>
    <t>Peru Chef Papa Huayro 2Lb - Opening inventory and value</t>
  </si>
  <si>
    <t>SOL DEL CUZCO Tableta sabor a chocolate con canela y clavo para taza 12 x 90gr - Opening inventory and value</t>
  </si>
  <si>
    <t>Agua Ozarka Texas, 8 fl oz, Paquete de 48 Botellas de Plástico - Opening inventory and value</t>
  </si>
  <si>
    <t>VARGAS CHEVALIER Jarabe de Goma 750ml x 12 fco vidrio - Opening inventory and value</t>
  </si>
  <si>
    <t>Inca Kola Regular Lata - Opening inventory and value</t>
  </si>
  <si>
    <t>Aji Amarillo 1 Lb X 18 - Opening inventory and value</t>
  </si>
  <si>
    <t>Peruchef Algarrobina - Opening inventory and value</t>
  </si>
  <si>
    <t>Peruchef Jarabe De Goma - Opening inventory and value</t>
  </si>
  <si>
    <t>Peru Chef Quinua 15oz x 12</t>
  </si>
  <si>
    <t>Quinua 15 Oz X 12 - Opening inventory and value</t>
  </si>
  <si>
    <t>Inca Kola Diet Lata - Opening inventory and value</t>
  </si>
  <si>
    <t>Peru Chef Aderezo Pollo A La Brasa10.5 Oz X 12</t>
  </si>
  <si>
    <t>Aderezo Pollo A La Brasa10.5 Oz X 12 - Opening inventory and value</t>
  </si>
  <si>
    <t>Peru Chef Olluco Entero lata 20 Oz X 12</t>
  </si>
  <si>
    <t>Olluco Entero 20 Oz X 12 - Opening inventory and value</t>
  </si>
  <si>
    <t>Frijol Panamito 15 Oz X 12 - Opening inventory and value</t>
  </si>
  <si>
    <t>Emoliente 5.3 Oz X 12 - Opening inventory and value</t>
  </si>
  <si>
    <t>Inca Kola Vidrio - Opening inventory and value</t>
  </si>
  <si>
    <t>FACUNDO - Pan de Yuca / Cassava Bread</t>
  </si>
  <si>
    <t>FACUNDO - Pan de Yuca / Cassava Bread - Opening inventory and value</t>
  </si>
  <si>
    <t>Choclo Desgranado 1 Lb X 30 - Opening inventory and value</t>
  </si>
  <si>
    <t>Peru Chef Lucuma Pulpa 1 Lb X 30</t>
  </si>
  <si>
    <t>Lucuma Pulpa 1 Lb X 30 - Opening inventory and value</t>
  </si>
  <si>
    <t>Peruchef Chancaca - Opening inventory and value</t>
  </si>
  <si>
    <t>Inca Kola Plastico 2Lt - Opening inventory and value</t>
  </si>
  <si>
    <t>Inca Kola Regular (2X12) - Opening inventory and value</t>
  </si>
  <si>
    <t>Peu Chef Maiz Chulpe 10 Lb X 3</t>
  </si>
  <si>
    <t>Maiz Chulpe 10 Lb X 3 - Opening inventory and value</t>
  </si>
  <si>
    <t>Peru Chef Frijol Canario 10 Lb X 4</t>
  </si>
  <si>
    <t>Frijol Canario 10 Lb X 4 - Opening inventory and value</t>
  </si>
  <si>
    <t>Peu Chef Maiz Mote 10 Lb X 3</t>
  </si>
  <si>
    <t>Maiz Mote 10 Lb X 3 - Opening inventory and value</t>
  </si>
  <si>
    <t>Peru Chef Maiz Cancha 10 Lb X 3</t>
  </si>
  <si>
    <t>Maiz Cancha 10 Lb X 3 - Opening inventory and value</t>
  </si>
  <si>
    <t>Provenzal Sopa Menestron 55 G X 10</t>
  </si>
  <si>
    <t>Provenzal Sopa Menestron 55 G X 10 - Opening inventory and value</t>
  </si>
  <si>
    <t>Provenzal Lomo Saltado 25 G X 20</t>
  </si>
  <si>
    <t>Provenzal Lomo Saltado 25 G X 20 - Opening inventory and value</t>
  </si>
  <si>
    <t>Peru Chef Aderezo Para Anticuchos 10.5 Oz X 12</t>
  </si>
  <si>
    <t>Aderezo Para Anticuchos 10.5 Oz X 12 - Opening inventory and value</t>
  </si>
  <si>
    <t>Papa Amarilla 1 Lb X 26 - Opening inventory and value</t>
  </si>
  <si>
    <t>Peru Chef Maiz Morado Saco</t>
  </si>
  <si>
    <t>Maiz Morado Saco - Opening inventory and value</t>
  </si>
  <si>
    <t>Salsa Aji Amarillo 10.5 Oz X 12 - Opening inventory and value</t>
  </si>
  <si>
    <t>Salsa Aji Criollo 10.5 Oz X 12 - Opening inventory and value</t>
  </si>
  <si>
    <t>Peru Chef Choclo Entero 2 Unid X 18 FROZEN</t>
  </si>
  <si>
    <t>Choclo Entero 2 Unid X 18 - Opening inventory and value</t>
  </si>
  <si>
    <t>Peru Chef Aji Amarillo Mitades Desv. 2 Lb X 9</t>
  </si>
  <si>
    <t>Aji Amarillo Mitades Desv. 2 Lb X 9 - Opening inventory and value</t>
  </si>
  <si>
    <t>Hojas de Plátano / Banana Leaves</t>
  </si>
  <si>
    <t>Hojas de Plátano / Banana Leaves - Opening inventory and value</t>
  </si>
  <si>
    <t>Peru Chef Salsa Para Ceviche 10.5 Oz X 12</t>
  </si>
  <si>
    <t>Salsa Para Ceviche 10.5 Oz X 12 - Opening inventory and value</t>
  </si>
  <si>
    <t>Salsa Rocoto 10.5 Oz X 12 - Opening inventory and value</t>
  </si>
  <si>
    <t>Choclo Desgranado 3 Lb X 10 - Opening inventory and value</t>
  </si>
  <si>
    <t>Olluco Cortado 1 Lb X 18 - Opening inventory and value</t>
  </si>
  <si>
    <t>Universal Cocoa en Polvo / Cocoa powder</t>
  </si>
  <si>
    <t>Cocoa en Polvo / Cocoa powder - Opening inventory and value</t>
  </si>
  <si>
    <t>Peru Chef Chirimoya Pulpa 1 Lb X 30</t>
  </si>
  <si>
    <t>Chirimoya Pulpa 1 Lb X 30 - Opening inventory and value</t>
  </si>
  <si>
    <t>Peru Chef Choclo Desgranado lata 20 Oz X 12 FROZEN</t>
  </si>
  <si>
    <t>Choclo Desgranado 20 Oz X 12 - Opening inventory and value</t>
  </si>
  <si>
    <t>Rocoto En Salmuera 20 Oz X 12 - Opening inventory and value</t>
  </si>
  <si>
    <t>Maiz Morado 15 Oz X 22 - Opening inventory and value</t>
  </si>
  <si>
    <t>Salsa Aji Amarillo C/Huacatay 10.5 Oz X 12 - Opening inventory and value</t>
  </si>
  <si>
    <t>Peru Chef Huacatay 1 Lb X 20 FROZEN</t>
  </si>
  <si>
    <t>Huacatay 1 Lb X 20 - Opening inventory and value</t>
  </si>
  <si>
    <t>Aji Limo 1 Lb X 15 - Opening inventory and value</t>
  </si>
  <si>
    <t>Peru Chef Frijol Canario lata 20 Oz X 12</t>
  </si>
  <si>
    <t>Frijol Canario 20 Oz X 12 - Opening inventory and value</t>
  </si>
  <si>
    <t>Maiz Chulpe 15 Oz X 12 - Opening inventory and value</t>
  </si>
  <si>
    <t>Rocoto 1 Lb X 18 - Opening inventory and value</t>
  </si>
  <si>
    <t>Peru Chef Rocoto En Mitades Desv 2 Lb X 9</t>
  </si>
  <si>
    <t>Rocoto En Mitades Desv 2 Lb X 9 - Opening inventory and value</t>
  </si>
  <si>
    <t>Peruchef Chicha De Jora 1 L X 12 - Opening inventory and value</t>
  </si>
  <si>
    <t>Peru Chef Trigo Resbalado 15 Oz X 12</t>
  </si>
  <si>
    <t>Trigo Resbalado 15 Oz X 12 - Opening inventory and value</t>
  </si>
  <si>
    <t>Peru Chef Flor De Jamaica filtrante X 20</t>
  </si>
  <si>
    <t>Flor De Jamaica X 20 - Opening inventory and value</t>
  </si>
  <si>
    <t>Peru Chef Miel De Abeja 14oz x 12</t>
  </si>
  <si>
    <t>Peruchef Miel De Abeja - Opening inventory and value</t>
  </si>
  <si>
    <t>Quinua Real 15 Oz X 12 - Opening inventory and value</t>
  </si>
  <si>
    <t>Cebada Tostada 15 Oz X 10 - Opening inventory and value</t>
  </si>
  <si>
    <t>Harina De Chuno 15 Oz X 12 - Opening inventory and value</t>
  </si>
  <si>
    <t>Pallares 15 Oz X 12 - Opening inventory and value</t>
  </si>
  <si>
    <t>Peru Chef Aji Amarillo En Salmuera 20 Oz X 12</t>
  </si>
  <si>
    <t>Aji Amarillo En Salmuera 20 Oz X 12 - Opening inventory and value</t>
  </si>
  <si>
    <t>Papa Seca Amarilla 15 Oz X 8 - Opening inventory and value</t>
  </si>
  <si>
    <t>Frijol Castilla 15 Oz X 12 - Opening inventory and value</t>
  </si>
  <si>
    <t>Peru Chef Linaza 15 Oz X 12</t>
  </si>
  <si>
    <t>Linaza 15 Oz X 12 - Opening inventory and value</t>
  </si>
  <si>
    <t>Trigo Pelado 15 Oz X 12 - Opening inventory and value</t>
  </si>
  <si>
    <t>Maiz Cancha 15 Oz X 10 - Opening inventory and value</t>
  </si>
  <si>
    <t>Mote Pelado 15 Oz X 12 - Opening inventory and value</t>
  </si>
  <si>
    <t>Papa Seca Serrana 15 Oz X 10 - Opening inventory and value</t>
  </si>
  <si>
    <t>Aji Panca Seco 3 Oz X 12 - Opening inventory and value</t>
  </si>
  <si>
    <t>Aji Mirasol 3 Oz X 12 - Opening inventory and value</t>
  </si>
  <si>
    <t>Peru Chef Frijol Canario 15 Oz X 12</t>
  </si>
  <si>
    <t>Frijol Canario 15 Oz X 12 - Opening inventory and value</t>
  </si>
  <si>
    <t>Peru Chef filtrante Anis  x 20</t>
  </si>
  <si>
    <t>Anis X 20 - Opening inventory and value</t>
  </si>
  <si>
    <t>Peru Chef Pulpa De Piña 14oz x 22</t>
  </si>
  <si>
    <t>Peruchef Pulpa De Pina 14 Oz X 22 - Opening inventory and value</t>
  </si>
  <si>
    <t>Peru Chef Pulpa De Fresa 14oz x 22</t>
  </si>
  <si>
    <t>Peruchef Pulpa De Fresa 14 Oz X 22 - Opening inventory and value</t>
  </si>
  <si>
    <t>Peru Chef Pulpa De Papaya 14oz x 22</t>
  </si>
  <si>
    <t>Peruchef Pulpa De Papaya 14 Oz X 22 - Opening inventory and value</t>
  </si>
  <si>
    <t>Chuno Blanco Entero 15 Oz X 8 - Opening inventory and value</t>
  </si>
  <si>
    <t>PERU CHEF Aceituna Verde Rellena Con Rocoto 11.83oz x 12</t>
  </si>
  <si>
    <t>Aceituna Verde Rellena Con Rocoto 11.83 Oz - Opening inventory and value</t>
  </si>
  <si>
    <t>Mix Andino Snack / Andean Mix Snack - Opening inventory and value</t>
  </si>
  <si>
    <t>Maiz Chulpi frito Salado/ Chulpi Corn Snack - Opening inventory and value</t>
  </si>
  <si>
    <t>Dulces de Higos - Opening inventory and value</t>
  </si>
  <si>
    <t>Peu Chef Harina De Camote 15 Oz X 12</t>
  </si>
  <si>
    <t>Harina De Camote 15 Oz X 12 - Opening inventory and value</t>
  </si>
  <si>
    <t>Peru Chef Maca En Polvo 8 Oz X 12</t>
  </si>
  <si>
    <t>Maca En Polvo 8 Oz X 12 - Opening inventory and value</t>
  </si>
  <si>
    <t>Peru Chef Quinua Roja 15oz x 12</t>
  </si>
  <si>
    <t>Quinua Roja 15 Oz X 12 - Opening inventory and value</t>
  </si>
  <si>
    <t>Kikko Salsa Shoyu 350Ml X 24</t>
  </si>
  <si>
    <t>Kikko Salsa Shoyu 350Ml X 24 - Opening inventory and value</t>
  </si>
  <si>
    <t>Peruchef Paneton 900 G X 6 - Opening inventory and value</t>
  </si>
  <si>
    <t>Semola 15 Oz X 12 - Opening inventory and value</t>
  </si>
  <si>
    <t>Kiwicha 15 Oz X 12 - Opening inventory and value</t>
  </si>
  <si>
    <t>Peru Chef Comino Molido 60G X 12</t>
  </si>
  <si>
    <t>Comino Molido 60G X 12 - Opening inventory and value</t>
  </si>
  <si>
    <t>Kikko Salsa Mensi 350Ml X 24</t>
  </si>
  <si>
    <t>Kikko Salsa Mensi 350Ml X 24 - Opening inventory and value</t>
  </si>
  <si>
    <t>Peru Chef Aceituna Verde Rellena Con Aji 11.83 Oz</t>
  </si>
  <si>
    <t>Aceituna Verde Rellena Con Aji 11.83 Oz - Opening inventory and value</t>
  </si>
  <si>
    <t>Chancapiedra 1.41 Oz X 12 - Opening inventory and value</t>
  </si>
  <si>
    <t>Peru Chef Canela Molida 60 G X 12</t>
  </si>
  <si>
    <t>Canela Molida 60 G X 12 - Opening inventory and value</t>
  </si>
  <si>
    <t>Peru Chef Quinua Tricolor 400gr x 12</t>
  </si>
  <si>
    <t>Quinua Tricolor 400 G X 12 - Opening inventory and value</t>
  </si>
  <si>
    <t>T.A Empanadas de Verde</t>
  </si>
  <si>
    <t>Empanadas de Verde - Opening inventory and value</t>
  </si>
  <si>
    <t>Tradiciones Andinas - Algarrobina - Opening inventory and value</t>
  </si>
  <si>
    <t>Peru Chef Quinua Negra 15oz x 12</t>
  </si>
  <si>
    <t>Quinua Negra 15 Oz X 12 - Opening inventory and value</t>
  </si>
  <si>
    <t>Peru Chef Choclo Entero 4 Unidades X 10 FROZEN</t>
  </si>
  <si>
    <t>Choclo Entero 4 Unidades X 10 - Opening inventory and value</t>
  </si>
  <si>
    <t>Atun Florida 6 Oz X 48 - Opening inventory and value</t>
  </si>
  <si>
    <t>Peru Chef Pulpa De Mango 14oz x 22</t>
  </si>
  <si>
    <t>Peruchef Pulpa De Mango 14 Oz X 22 - Opening inventory and value</t>
  </si>
  <si>
    <t>Peru Chef Cafe Peruano Molido 340gr x 9</t>
  </si>
  <si>
    <t>Peruchef Cafe Peruano Molido 340 G X 9 - Opening inventory and value</t>
  </si>
  <si>
    <t>Aceitunas Botija Sin Pepa 20 Oz X 12 - Opening inventory and value</t>
  </si>
  <si>
    <t>Kikko Siyau 5L X 4 - Opening inventory and value</t>
  </si>
  <si>
    <t>Peru Chef Aceituna Verde Rellena Con Pimiento 11.83 Oz</t>
  </si>
  <si>
    <t>Aceituna Verde Rellena Con Pimiento 11.83 Oz - Opening inventory and value</t>
  </si>
  <si>
    <t>Chochos en Salmuera Picantes - Opening inventory and value</t>
  </si>
  <si>
    <t>TRADICIONES ANDINAS - Hierbaluisa - Lemon Grass Tea - Opening inventory and value</t>
  </si>
  <si>
    <t>Peru Chef Pimienta Negra Molida 60gr x 12</t>
  </si>
  <si>
    <t>Pimienta Negra Molida 60G X 12 - Opening inventory and value</t>
  </si>
  <si>
    <t>Kikko Siyau 500Ml X 30 - Opening inventory and value</t>
  </si>
  <si>
    <t>Kikko Salsa Ajoikion 350Ml X 24</t>
  </si>
  <si>
    <t>Kikko Salsa Ajoikion 350Ml X 24 - Opening inventory and value</t>
  </si>
  <si>
    <t>Whole Mango</t>
  </si>
  <si>
    <t>Whole Mango - Opening inventory and value</t>
  </si>
  <si>
    <t>T.A Maiz de Jora - Jora Corn</t>
  </si>
  <si>
    <t>Maiz de Jora - Jora Corn - Opening inventory and value</t>
  </si>
  <si>
    <t>Tradiciones Andinas - Orégano Entero / Whole Oregano - Opening inventory and value</t>
  </si>
  <si>
    <t>T.A Ciruela Verde / Green Plum FROZEN</t>
  </si>
  <si>
    <t>Ciruela Verde / Green Plum - Opening inventory and value</t>
  </si>
  <si>
    <t>Maiz gigante frito picante - Spicy and crunchy giant corn - Opening inventory and value</t>
  </si>
  <si>
    <t>Peru Chef Higa-Te Bolsa 40gr x 12</t>
  </si>
  <si>
    <t>Higa-Te Bolsa 40G X 12 - Opening inventory and value</t>
  </si>
  <si>
    <t>Peruchef Turron De Doña Pepa 500 G X 12 - Opening inventory and value</t>
  </si>
  <si>
    <t>Peru Chef Harina De Lucuma 300 G X 12</t>
  </si>
  <si>
    <t>Harina De Lucuma 300 G X 12 - Opening inventory and value</t>
  </si>
  <si>
    <t>Aji Casero - Opening inventory and value</t>
  </si>
  <si>
    <t>Tradiciones Andinas - Miel de Abeja - Opening inventory and value</t>
  </si>
  <si>
    <t>Coco Milk Drink with Nata de Coco ORIGINAL - Opening inventory and value</t>
  </si>
  <si>
    <t>Peru Chef Linaza Molida 300 G X 12</t>
  </si>
  <si>
    <t>Linaza Molida 300 G X 12 - Opening inventory and value</t>
  </si>
  <si>
    <t>Platanos Maduros - Sweet Plantain Sliced</t>
  </si>
  <si>
    <t>Platanos Maduros - Sweet Plantain Sliced - Opening inventory and value</t>
  </si>
  <si>
    <t>Maiz Gigante Frito Salado/ Giant Corn Snacks - Opening inventory and value</t>
  </si>
  <si>
    <t>Maiz Cancha Frito Salado / Native Corn Snack - Opening inventory and value</t>
  </si>
  <si>
    <t>Guinea pig - Cuy - Opening inventory and value</t>
  </si>
  <si>
    <t>T.A Gandules Verdes- Family Pack / Green Pigeon Peas</t>
  </si>
  <si>
    <t>Gandules Verdes- Family Pack / Green Pigeon Peas - Opening inventory and value</t>
  </si>
  <si>
    <t>Habas Fritas Saladas/  Broad Beans Snacks - Opening inventory and value</t>
  </si>
  <si>
    <t>T.A Maracuya Entera / Whole Passion Fruit</t>
  </si>
  <si>
    <t>Maracuya Entera / Whole Passion Fruit - Opening inventory and value</t>
  </si>
  <si>
    <t>Ajo en Pasta /Garlic Paste - Opening inventory and value</t>
  </si>
  <si>
    <t>Aliño - Ecuatorian Seasoning - Opening inventory and value</t>
  </si>
  <si>
    <t>Aji Peruano - Opening inventory and value</t>
  </si>
  <si>
    <t>TRADICIONES ANDINAS - Anis - Opening inventory and value</t>
  </si>
  <si>
    <t>TRADICIONES ANDINAS - Manzanilla - Chamomille Tea - Opening inventory and value</t>
  </si>
  <si>
    <t>TRADICIONES ANDINAS - Te con canela y clavo - Cinnamon and Clove - Opening inventory and value</t>
  </si>
  <si>
    <t>Aceituna Botija sin Pepa /Pitted Alfonso Olives - Opening inventory and value</t>
  </si>
  <si>
    <t>Coco Milk Drink with Nata de Coco STRAWBERRY - Opening inventory and value</t>
  </si>
  <si>
    <t>Coco Milk Drink with Nata de Coco MANGO - Opening inventory and value</t>
  </si>
  <si>
    <t>Cedron X 20 - Opening inventory and value</t>
  </si>
  <si>
    <t>Peru Chef Cola De Caballo Bolsa 40G X 12</t>
  </si>
  <si>
    <t>Cola De Caballo Bolsa 40G X 12 - Opening inventory and value</t>
  </si>
  <si>
    <t>Matico Bolsa 40G X 12 (deleted)</t>
  </si>
  <si>
    <t>Matico Bolsa 40G X 12 - Opening inventory and value</t>
  </si>
  <si>
    <t>Coco Milk Drink with Nata de Coco MELON</t>
  </si>
  <si>
    <t>Coco Milk Drink with Nata de Coco MELON - Opening inventory and value</t>
  </si>
  <si>
    <t>Coconut Water with Pulp</t>
  </si>
  <si>
    <t>Coconut Water with Pulp - Opening inventory and value</t>
  </si>
  <si>
    <t>Peru Chef Adelgaza-Te Bolsa 40G X 12</t>
  </si>
  <si>
    <t>Adelgaza-Te Bolsa 40G X 12 - Opening inventory and value</t>
  </si>
  <si>
    <t>Peru Chef Boldo Bolsa 30G X 12</t>
  </si>
  <si>
    <t>Boldo Bolsa 30G X 12 - Opening inventory and value</t>
  </si>
  <si>
    <t>Peru Chef Trozos De Atun En Aceite Vegetal 150gr x 48</t>
  </si>
  <si>
    <t>Trozos De Atun En Aceite Vegetal 150 G X 48 - Opening inventory and value</t>
  </si>
  <si>
    <t>Aji Amarillo sin Picante / Yellow Pepper paste Non Spicy - Opening inventory and value</t>
  </si>
  <si>
    <t>Aceite Vegetal con Achiote - Opening inventory and value</t>
  </si>
  <si>
    <t>Pulpa de Maracuya con pepas / Passion fruit pulp with Seeds - Opening inventory and value</t>
  </si>
  <si>
    <t>Peru Chef Femenina Bolsa 40G X 12</t>
  </si>
  <si>
    <t>Femenina Bolsa 40G X 12 - Opening inventory and value</t>
  </si>
  <si>
    <t>Peru Chef Graviola Bolsa 40gr x 12</t>
  </si>
  <si>
    <t>Graviola Bolsa 40G X 12 - Opening inventory and value</t>
  </si>
  <si>
    <t>Sazon Completo - Complete Seasoning - Opening inventory and value</t>
  </si>
  <si>
    <t>Chimichurri - BBQ Sauce - Opening inventory and value</t>
  </si>
  <si>
    <t>T.A Mix rojo / Red Mix for Smothies Soursop Blackberry and Blueberries</t>
  </si>
  <si>
    <t>Mix rojo / Red Mix for Smothies Soursop Blackberry and Blueberries - Opening inventory and value</t>
  </si>
  <si>
    <t>Platanitos fritos salados - Salted Plantain Chips - Opening inventory and value</t>
  </si>
  <si>
    <t>Peru Chef Hierba Luisa Bolsa 40G X 12</t>
  </si>
  <si>
    <t>Hierba Luisa Bolsa 40G X 12 - Opening inventory and value</t>
  </si>
  <si>
    <t>T.A Mix Amarillo / Yellow mix for smoothies (Mango  Pineapple  Passion Fruit)</t>
  </si>
  <si>
    <t>Mix Amarillo / Yellow mix for smoothies (Mango  Pineapple  Passion Fruit) - Opening inventory and value</t>
  </si>
  <si>
    <t>Discos de Yuca / Cassava Dough - Opening inventory and value</t>
  </si>
  <si>
    <t>Muna X 20 - Opening inventory and value</t>
  </si>
  <si>
    <t>Sueno Profundo X 20 - Opening inventory and value</t>
  </si>
  <si>
    <t>Peru Chef Bronquio-Te Bolsa 40G X 12</t>
  </si>
  <si>
    <t>Bronquio-Te Bolsa 40G X 12 - Opening inventory and value</t>
  </si>
  <si>
    <t>Peru Chef Diabe-Te Bolsa 40G X 12</t>
  </si>
  <si>
    <t>Diabe-Te Bolsa 40G X 12 - Opening inventory and value</t>
  </si>
  <si>
    <t>Peru Chef Gastri-Te Bolsa 40G X 12</t>
  </si>
  <si>
    <t>Gastri-Te Bolsa 40G X 12 - Opening inventory and value</t>
  </si>
  <si>
    <t>Moringa Bolsa 40G X 12 (deleted)</t>
  </si>
  <si>
    <t>Moringa Bolsa 40G X 12 - Opening inventory and value</t>
  </si>
  <si>
    <t>Peru Chef Sueño Profundo Bolsa 40gr x 12</t>
  </si>
  <si>
    <t>Sueño Profundo Bolsa 40G X 12 - Opening inventory and value</t>
  </si>
  <si>
    <t>Peru Chef Prosta-Te Bolsa 40gr x 12</t>
  </si>
  <si>
    <t>Prosta-Te Bolsa 40G X 12 - Opening inventory and value</t>
  </si>
  <si>
    <t>Peru Chef Hercampuri Bolsa 40gr x 12</t>
  </si>
  <si>
    <t>Hercampuri Bolsa 40G X 12 - Opening inventory and value</t>
  </si>
  <si>
    <t>Peru Chef Hierba Buena Bolsa 40gr x 12</t>
  </si>
  <si>
    <t>Hierba Buena Bolsa 40G X 12 - Opening inventory and value</t>
  </si>
  <si>
    <t>Peru Chef Maiz Morado 2.5 Lbs X 6</t>
  </si>
  <si>
    <t>Maiz Morado 2.5 Lbs X 6 - Opening inventory and value</t>
  </si>
  <si>
    <t>Peu Chef Maiz Mote 3.4 Lbs X 8</t>
  </si>
  <si>
    <t>Maiz Mote 3.4 Lbs X 8 - Opening inventory and value</t>
  </si>
  <si>
    <t>Salsa De Aji Charapita 11 Oz X 12 - Opening inventory and value</t>
  </si>
  <si>
    <t>Peru Chef Llanten Bolsa 30gr x 12</t>
  </si>
  <si>
    <t>Llanten Bolsa 30G X 12 - Opening inventory and value</t>
  </si>
  <si>
    <t>Peru Chef Nervio-Te Bolsa 40gr x 12</t>
  </si>
  <si>
    <t>Nervio-Te Bolsa 40G X 12 - Opening inventory and value</t>
  </si>
  <si>
    <t>Peru Chef Maiz Cancha 3.4 Lbs X 8</t>
  </si>
  <si>
    <t>Maiz Cancha 3.4 Lbs X 8 - Opening inventory and value</t>
  </si>
  <si>
    <t>Peru Chef Papa Seca Serrana 3.4 Lbs X 8</t>
  </si>
  <si>
    <t>Papa Seca Serrana 3.4 Lbs X 8 - Opening inventory and value</t>
  </si>
  <si>
    <t>Peru Chef Habas Peladas 1 Lb X 15 bolsas</t>
  </si>
  <si>
    <t>Peruchef Habas Peladas 1 Lb X 15 - Opening inventory and value</t>
  </si>
  <si>
    <t>Peru Chef Riño-Te Bolsa 40gr x 12</t>
  </si>
  <si>
    <t>Riño-Te Bolsa 40G X 12 - Opening inventory and value</t>
  </si>
  <si>
    <t>Peru Chef Frijol Canario 4 Lbs X 8</t>
  </si>
  <si>
    <t>Frijol Canario 4 Lbs X 8 - Opening inventory and value</t>
  </si>
  <si>
    <t>Peru Chef Caigua 4 Unit X 14</t>
  </si>
  <si>
    <t>Peruchef Caigua 4 Unit X 14 - Opening inventory and value</t>
  </si>
  <si>
    <t>Peru Chef Salsa Pesto 11 Oz X 12</t>
  </si>
  <si>
    <t>Salsa Pesto 11 Oz X 12 - Opening inventory and value</t>
  </si>
  <si>
    <t>Peru Chef Base Para Arroz C/ Pollo 11 Oz X 12</t>
  </si>
  <si>
    <t>Base Para Arroz C/ Pollo 11 Oz X 12 - Opening inventory and value</t>
  </si>
  <si>
    <t>Peru Chef Ruda Bolsa 40gr x 12</t>
  </si>
  <si>
    <t>Ruda Bolsa 40G X 12 - Opening inventory and value</t>
  </si>
  <si>
    <t>Peru Chef Sen Bolsa 30gr x 12</t>
  </si>
  <si>
    <t>Sen Bolsa 30G X 12 - Opening inventory and value</t>
  </si>
  <si>
    <t>Peu Chef Maiz Chulpe 3.4 Lbs X 8</t>
  </si>
  <si>
    <t>Maiz Chulpe 3.4 Lbs X 8 - Opening inventory and value</t>
  </si>
  <si>
    <t>Habas Peladas 15 Oz X 12 - Opening inventory and value</t>
  </si>
  <si>
    <t>T.A Cojin de Mora / Blackberry Pulp Sachet FROZEN</t>
  </si>
  <si>
    <t>Cojin de Mora / Blackberry Pulp Sachet - Opening inventory and value</t>
  </si>
  <si>
    <t>Peru Chef Toronjil Bolsa 30gr x 12</t>
  </si>
  <si>
    <t>Toronjil Bolsa 30G X 12 - Opening inventory and value</t>
  </si>
  <si>
    <t>Peru Chef Pasta De Kion 8 Oz X 12</t>
  </si>
  <si>
    <t>Pasta De Kion 8 Oz X 12 - Opening inventory and value</t>
  </si>
  <si>
    <t>Peru Chef Mani Confitado 100gr x 12</t>
  </si>
  <si>
    <t>Peruchef Mani Confitado - Opening inventory and value</t>
  </si>
  <si>
    <t>T.A Flor de Loroco / Loroco Flower</t>
  </si>
  <si>
    <t>Flor de Loroco / Loroco Flower - Opening inventory and value</t>
  </si>
  <si>
    <t>Masa para Alcapurria / Mixed Vegetables Dough</t>
  </si>
  <si>
    <t>Masa para Alcapurria / Mixed Vegetables Dough - Opening inventory and value</t>
  </si>
  <si>
    <t>Peru Chef Uña De Gato Bolsa 40G X 12</t>
  </si>
  <si>
    <t>Uña De Gato Bolsa 40G X 12 - Opening inventory and value</t>
  </si>
  <si>
    <t>Peru Chef Granadilla Entera 1 Lb  x 14</t>
  </si>
  <si>
    <t>Peruchef Granadilla Entera 1 Lb X 14 - Opening inventory and value</t>
  </si>
  <si>
    <t>Peru Chef Base Para Lomo Saltado 11 Oz X 12</t>
  </si>
  <si>
    <t>Base Para Lomo Saltado 11 Oz X 12 - Opening inventory and value</t>
  </si>
  <si>
    <t>Peru Chef Base Para Aji De Gallina 11 Oz X 12</t>
  </si>
  <si>
    <t>Base Para Aji De Gallina 11 Oz X 12 - Opening inventory and value</t>
  </si>
  <si>
    <t>Mango Verde en Mitades / Green Mango Halves</t>
  </si>
  <si>
    <t>Mango Verde en Mitades / Green Mango Halves - Opening inventory and value</t>
  </si>
  <si>
    <t>Peru Chef Valeriana Bolsa 40gr x 12</t>
  </si>
  <si>
    <t>Valeriana Bolsa 40G X 12 - Opening inventory and value</t>
  </si>
  <si>
    <t>Peru Chef Filete De Atun En Aceite Vegetal 150 G X 48</t>
  </si>
  <si>
    <t>Filete De Atun En Aceite Vegetal 150 G X 48 - Opening inventory and value</t>
  </si>
  <si>
    <t>Peru Chef Lentejas 15oz x 12</t>
  </si>
  <si>
    <t>Lentejas 15 Oz X 12 - Opening inventory and value</t>
  </si>
  <si>
    <t>Peru Chef Salsa Tuco 11 Oz X 12</t>
  </si>
  <si>
    <t>Salsa Tuco 11 Oz X 12 - Opening inventory and value</t>
  </si>
  <si>
    <t>Base Para Arroz C/ Mariscos 11 Oz X 12 - Opening inventory and value</t>
  </si>
  <si>
    <t>Peru Chef Maracuya En Mit C/ Pepa 1 Lb</t>
  </si>
  <si>
    <t>Peruchef Maracuya En Mit C/ Pepa 1 Lb - Opening inventory and value</t>
  </si>
  <si>
    <t>Aji Parrillero 11 Oz X 12 - Opening inventory and value</t>
  </si>
  <si>
    <t>T.A Cojin de Lulo / Lulo Pulp Sachet FROZEN</t>
  </si>
  <si>
    <t>Cojin de Lulo / Lulo Pulp Sachet - Opening inventory and value</t>
  </si>
  <si>
    <t>T.A Cojin de Mango / Mango Pulp Sachet FROZEN</t>
  </si>
  <si>
    <t>Cojin de Mango / Mango Pulp Sachet - Opening inventory and value</t>
  </si>
  <si>
    <t>T.A Chontaduro en Salmuera 28oz x 12</t>
  </si>
  <si>
    <t>Chontaduro en Salmuera - Opening inventory and value</t>
  </si>
  <si>
    <t>Salsa De Aji Limo 11 Oz X 12 - Opening inventory and value</t>
  </si>
  <si>
    <t>T.A Cojin de Tomade de Arbol / Tamarillo Pulp Sachet FROZEN</t>
  </si>
  <si>
    <t>Cojin de Tomade de Arbol / Tamarillo Pulp Sachet - Opening inventory and value</t>
  </si>
  <si>
    <t>T.A Cojin de Guanabana / Soursop Pulp Sachet FROZEN</t>
  </si>
  <si>
    <t>Cojin de Guanabana / Soursop Pulp Sachet - Opening inventory and value</t>
  </si>
  <si>
    <t>T.A Cojin Mixto / Fruit Mix Sachet FROZEN</t>
  </si>
  <si>
    <t>Cojin Mixto / Fruit Mix Sachet - Opening inventory and value</t>
  </si>
  <si>
    <t>T.A Jocote Corona / Spanish Plum</t>
  </si>
  <si>
    <t>Jocote Corona / Spanish Plum - Opening inventory and value</t>
  </si>
  <si>
    <t>T.A Discos de Empanadas Amarillos / Yellow Dough for Pastries</t>
  </si>
  <si>
    <t>Discos de Empanadas Amarillos / Yellow Dough for Pastries - Opening inventory and value</t>
  </si>
  <si>
    <t>Masa de Guineo / Green Banana Dough</t>
  </si>
  <si>
    <t>Masa de Guineo / Green Banana Dough - Opening inventory and value</t>
  </si>
  <si>
    <t>TRADICIONES ANDINAS - Peach Halves in heavy Syrup / Durazno en Almibar - Opening inventory and value</t>
  </si>
  <si>
    <t>Morocho Partido / Granulated White Corn - Opening inventory and value</t>
  </si>
  <si>
    <t>Quick Oats / Avena - Opening inventory and value</t>
  </si>
  <si>
    <t>T.A Cojin De Maracuya / Passion Fruit pulp Sachet FROZEN</t>
  </si>
  <si>
    <t>Cojin De Maracuya / Passion Fruit pulp Sachet - Opening inventory and value</t>
  </si>
  <si>
    <t>T.A Cojin de Piña / Pineapple Pulp Sachet FROZEN</t>
  </si>
  <si>
    <t>Cojin de Piña / Pineapple Pulp Sachet - Opening inventory and value</t>
  </si>
  <si>
    <t>Panela 4 caritas</t>
  </si>
  <si>
    <t>Panela 4 caritas - Opening inventory and value</t>
  </si>
  <si>
    <t>T.A Quinoa Roja  / Red  Quinoa</t>
  </si>
  <si>
    <t>Quinoa Roja  / Red  Quinoa - Opening inventory and value</t>
  </si>
  <si>
    <t>Brevas en Almibar - Opening inventory and value</t>
  </si>
  <si>
    <t>T.A Cojin de Papaya / Papaya Pulp Sachet FROZEN</t>
  </si>
  <si>
    <t>Cojin de Papaya / Papaya Pulp Sachet - Opening inventory and value</t>
  </si>
  <si>
    <t>Masa de pLatano / Green Plantain Dough</t>
  </si>
  <si>
    <t>Masa de pLatano / Green Plantain Dough - Opening inventory and value</t>
  </si>
  <si>
    <t>Vegetables Mixtos / Mixed Vegetables</t>
  </si>
  <si>
    <t>Vegetables Mixtos / Mixed Vegetables - Opening inventory and value</t>
  </si>
  <si>
    <t>Zarandaja</t>
  </si>
  <si>
    <t>Zarandaja - Opening inventory and value</t>
  </si>
  <si>
    <t>Valles Andinos Harina de Yuca / Yucca Flour</t>
  </si>
  <si>
    <t>Harina de Yuca / Yucca Flour - Opening inventory and value</t>
  </si>
  <si>
    <t>Quinoa Negra  / Black  Quinoa - Opening inventory and value</t>
  </si>
  <si>
    <t>Yuca Rayada / Grated Cassava</t>
  </si>
  <si>
    <t>Yuca Rayada / Grated Cassava - Opening inventory and value</t>
  </si>
  <si>
    <t>T.A Discos de Empanadas Grandes / Big Dough for Pastries</t>
  </si>
  <si>
    <t>Discos de Empanadas Grandes / Big Dough for Pastries - Opening inventory and value</t>
  </si>
  <si>
    <t>T.A Pulpa de Lulo / Lulo Pulp</t>
  </si>
  <si>
    <t>Pulpa de Lulo / Lulo Pulp - Opening inventory and value</t>
  </si>
  <si>
    <t>Tomate de Arbol / Wine Tree Tomato</t>
  </si>
  <si>
    <t>Tomate de Arbol / Wine Tree Tomato - Opening inventory and value</t>
  </si>
  <si>
    <t>Quinoa Blanca  /White  Quinoa - Opening inventory and value</t>
  </si>
  <si>
    <t>Quinoa Tricolor  / Tri-Color Quinoa - Opening inventory and value</t>
  </si>
  <si>
    <t>Habas partidas y Peladas / Split and Peeled Fava Beans - Opening inventory and value</t>
  </si>
  <si>
    <t>Tostones Hawaianos  / Hawaiian Tostones Doypack</t>
  </si>
  <si>
    <t>Tostones Hawaianos  / Hawaiian Tostones Doypack - Opening inventory and value</t>
  </si>
  <si>
    <t>T.A Mote Precocido / Precooked Hominy 48oz x 13</t>
  </si>
  <si>
    <t>Mote Precocido / Precooked Hominy - Opening inventory and value</t>
  </si>
  <si>
    <t>Flor de Pito / Pito Flower</t>
  </si>
  <si>
    <t>Flor de Pito / Pito Flower - Opening inventory and value</t>
  </si>
  <si>
    <t>Motas de Guanabana en Almibar - Opening inventory and value</t>
  </si>
  <si>
    <t>T.A Fanesca / Mixed Vegetables</t>
  </si>
  <si>
    <t>Fanesca / Mixed Vegetables - Opening inventory and value</t>
  </si>
  <si>
    <t>Pulpa de Guanabana / Soursop Pulpa - Opening inventory and value</t>
  </si>
  <si>
    <t>Frijol Canario / Canary Beans - Opening inventory and value</t>
  </si>
  <si>
    <t>Maranon / Cashew</t>
  </si>
  <si>
    <t>Maranon / Cashew - Opening inventory and value</t>
  </si>
  <si>
    <t>T.A Gandules / Piegeon Peas</t>
  </si>
  <si>
    <t>Gandules / Piegeon Peas - Opening inventory and value</t>
  </si>
  <si>
    <t>Arverjas Verdes - Opening inventory and value</t>
  </si>
  <si>
    <t>Platano Horneado / Baked Plantain</t>
  </si>
  <si>
    <t>Platano Horneado / Baked Plantain - Opening inventory and value</t>
  </si>
  <si>
    <t>T.A Ajiaco Colombiano / Vegetables Mix FROZEN 2Lb x 6</t>
  </si>
  <si>
    <t>Ajiaco Colombiano / Vegetables Mix - Opening inventory and value</t>
  </si>
  <si>
    <t>T.A Gandules /Green Pigeon Peas</t>
  </si>
  <si>
    <t>Gandules /Green Pigeon Peas - Opening inventory and value</t>
  </si>
  <si>
    <t>Aji Panca Pasta "Poco Picante" / Panca Pepper Paste - Opening inventory and value</t>
  </si>
  <si>
    <t>Lentejas - Opening inventory and value</t>
  </si>
  <si>
    <t>T.A Frijol Cargamanto /Roman Cranberry Beans</t>
  </si>
  <si>
    <t>Frijol Cargamanto /Roman Cranberry Beans - Opening inventory and value</t>
  </si>
  <si>
    <t>Sardinas en Salsa de Tomate Tinapa / Sardines in Tomato Sauce - Opening inventory and value</t>
  </si>
  <si>
    <t>Nectar de Maracuya / Passion Fruit Nectar - Opening inventory and value</t>
  </si>
  <si>
    <t>Pallares /Lima Beans - Opening inventory and value</t>
  </si>
  <si>
    <t>Frijoles Negros - Opening inventory and value</t>
  </si>
  <si>
    <t>Tostón de Pana / Fried Bread fruit</t>
  </si>
  <si>
    <t>Tostón de Pana / Fried Bread fruit - Opening inventory and value</t>
  </si>
  <si>
    <t>Sardinas en Salsa de tomate / Sardines en tomato sauce - Opening inventory and value</t>
  </si>
  <si>
    <t>Tradiciones Andinas - Ajonjoli / Sesame Seeds - Opening inventory and value</t>
  </si>
  <si>
    <t>Toston de Platano / Fried Plantain</t>
  </si>
  <si>
    <t>Toston de Platano / Fried Plantain - Opening inventory and value</t>
  </si>
  <si>
    <t>T.A Harina de Soya con Linaza / Soya with Flax seed</t>
  </si>
  <si>
    <t>Harina de Soya con Linaza / Soya with Flax seed - Opening inventory and value</t>
  </si>
  <si>
    <t>Pulpa de Piña / Pineapple Pulp</t>
  </si>
  <si>
    <t>Pulpa de Piña / Pineapple Pulp - Opening inventory and value</t>
  </si>
  <si>
    <t>T.A Pulpa de Mango / Mango Pulp</t>
  </si>
  <si>
    <t>Pulpa de Mango / Mango Pulp - Opening inventory and value</t>
  </si>
  <si>
    <t>Guisantes y Zanahoria / Peas &amp; Carrots</t>
  </si>
  <si>
    <t>Guisantes y Zanahoria / Peas &amp; Carrots - Opening inventory and value</t>
  </si>
  <si>
    <t>Guisantes ó Arvejas / Green Peas</t>
  </si>
  <si>
    <t>Guisantes ó Arvejas / Green Peas - Opening inventory and value</t>
  </si>
  <si>
    <t>T.A Maiz dulce / IQF Kernel Corn</t>
  </si>
  <si>
    <t>Maiz dulce / IQF Kernel Corn - Opening inventory and value</t>
  </si>
  <si>
    <t>T.A Sardinas en Salsa de Tomate picante  (PICANTE) 15oz x 24</t>
  </si>
  <si>
    <t>Sardinas en Salsa de Tomate picante  (PICANTE) - Opening inventory and value</t>
  </si>
  <si>
    <t>Lomitos de Atún en Aceite / Solid Tuna in Oil  - 3 PACK (SMALL) - Opening inventory and value</t>
  </si>
  <si>
    <t>Tradiciones Andinas - Orégano Molido / Ground Oregano</t>
  </si>
  <si>
    <t>Tradiciones Andinas - Orégano Molido / Ground Oregano - Opening inventory and value</t>
  </si>
  <si>
    <t>Tradiciones Andinas - Canela Molida / Ground Cinnamon - Opening inventory and value</t>
  </si>
  <si>
    <t>Achocha / Caigua - Opening inventory and value</t>
  </si>
  <si>
    <t>Panela Redonda - Opening inventory and value</t>
  </si>
  <si>
    <t>Tamal de Elote / Corn Tamales</t>
  </si>
  <si>
    <t>Tamal de Elote / Corn Tamales - Opening inventory and value</t>
  </si>
  <si>
    <t>T.A Disco de Empanadas / Dough for Pastries</t>
  </si>
  <si>
    <t>Disco de Empanadas / Dough for Pastries - Opening inventory and value</t>
  </si>
  <si>
    <t>Harina de Platano / Plantain Flour - Opening inventory and value</t>
  </si>
  <si>
    <t>Harina de Maiz / Corn Flour - Opening inventory and value</t>
  </si>
  <si>
    <t>Harina de Maca /Maca Flour - Opening inventory and value</t>
  </si>
  <si>
    <t>Arracacha / Yellow Cassava - Opening inventory and value</t>
  </si>
  <si>
    <t>Papa Criolla / Yellow Potato - Opening inventory and value</t>
  </si>
  <si>
    <t>Sancocho Colombiano / Vegetables Mix - Opening inventory and value</t>
  </si>
  <si>
    <t>Valles Andinos Maiz Tostar Gigante / Cuzco Giant Corn</t>
  </si>
  <si>
    <t>Maiz Tostar Gigante / Cuzco Giant Corn - Opening inventory and value</t>
  </si>
  <si>
    <t>Arroz de Cebada / Barley Corn - Opening inventory and value</t>
  </si>
  <si>
    <t>Valles Andinos Chochos / Lupini Beans 14oz x 18</t>
  </si>
  <si>
    <t>Chochos / Lupini Beans - Opening inventory and value</t>
  </si>
  <si>
    <t>Jocote Rojo / Red Plum</t>
  </si>
  <si>
    <t>Jocote Rojo / Red Plum - Opening inventory and value</t>
  </si>
  <si>
    <t>T.A Ciruela Roja (Jocote) / Red Plum</t>
  </si>
  <si>
    <t>Ciruela Roja (Jocote) / Red Plum - Opening inventory and value</t>
  </si>
  <si>
    <t>Valles Andinos Mote Pelado / Peeled Mote Corn</t>
  </si>
  <si>
    <t>Mote Pelado / Peeled Mote Corn - Opening inventory and value</t>
  </si>
  <si>
    <t>Valles Andinos Maiz de Tostar / Roasted Corn</t>
  </si>
  <si>
    <t>Maiz de Tostar / Roasted Corn - Opening inventory and value</t>
  </si>
  <si>
    <t>Valles Andinos Maiz Tostar Amarillo / Dry Yellow Corn for Toasting</t>
  </si>
  <si>
    <t>Maiz Tostar Amarillo / Dry Yellow Corn for Toasting - Opening inventory and value</t>
  </si>
  <si>
    <t>Pulpa De Lucuma / Lucuma  Pulp - Opening inventory and value</t>
  </si>
  <si>
    <t>Canguil / Pop Corn - Opening inventory and value</t>
  </si>
  <si>
    <t>Pulpa de Maracuya / Passion Fruit pulp - Opening inventory and value</t>
  </si>
  <si>
    <t>Pulpa de Mora / Blackberry Pulp</t>
  </si>
  <si>
    <t>Pulpa de Mora / Blackberry Pulp - Opening inventory and value</t>
  </si>
  <si>
    <t>Pulpa de Tomate Arbol / Tamarillo Pulp</t>
  </si>
  <si>
    <t>Pulpa de Tomate Arbol / Tamarillo Pulp - Opening inventory and value</t>
  </si>
  <si>
    <t>Harina Linaza /Flax seed Flour - Opening inventory and value</t>
  </si>
  <si>
    <t>T.A Harina Kiwicha / Amaranth Flour</t>
  </si>
  <si>
    <t>Harina Kiwicha / Amaranth Flour - Opening inventory and value</t>
  </si>
  <si>
    <t>Peru Chef Cola De Caballo filtrante x 20</t>
  </si>
  <si>
    <t>Cola De Caballo X 20 - Opening inventory and value</t>
  </si>
  <si>
    <t>Peruchef Mazamorra Morada 150 G - Opening inventory and value</t>
  </si>
  <si>
    <t>Peruchef Esencia De Vainilla 100 Ml X 24 - Opening inventory and value</t>
  </si>
  <si>
    <t>Maiz Morado (Family Pack) /Purple Corn - Opening inventory and value</t>
  </si>
  <si>
    <t>Pulpa de Papaya / Papaya Pulp</t>
  </si>
  <si>
    <t>Pulpa de Papaya / Papaya Pulp - Opening inventory and value</t>
  </si>
  <si>
    <t>Harina de Machica / Roasted Barley Flour - Opening inventory and value</t>
  </si>
  <si>
    <t>Chicha Morada / Purple Corn Drink - Opening inventory and value</t>
  </si>
  <si>
    <t>Tradiciones Andinas -  Pimienta Negra /Black Pepper - Opening inventory and value</t>
  </si>
  <si>
    <t>Valles Andinos Linaza / Flax Seed</t>
  </si>
  <si>
    <t>Linaza / Flax Seed - Opening inventory and value</t>
  </si>
  <si>
    <t>Harina de Alverja / Pea Flour - Opening inventory and value</t>
  </si>
  <si>
    <t>T.A Fruta de Mora / Blackberry</t>
  </si>
  <si>
    <t>Fruta de Mora / Blackberry - Opening inventory and value</t>
  </si>
  <si>
    <t>Yuca / Cassava</t>
  </si>
  <si>
    <t>Yuca / Cassava - Opening inventory and value</t>
  </si>
  <si>
    <t>Peruchef Chicha Morada 120 G - Opening inventory and value</t>
  </si>
  <si>
    <t>Valles Andinos Trigo Pelado / Peeled Wheat</t>
  </si>
  <si>
    <t>Trigo Pelado / Peeled Wheat - Opening inventory and value</t>
  </si>
  <si>
    <t>Valles Andinos Achiote / Annato bolsa 14oz x 14</t>
  </si>
  <si>
    <t>Achiote / Annato - Opening inventory and value</t>
  </si>
  <si>
    <t>Maiz Carhuay (Family Pack) / Carhuay Corn / - Opening inventory and value</t>
  </si>
  <si>
    <t>T.A Maiz Cancha Cuzco (Family Pack) /Cancha Cuzco Corn 54oz x 6</t>
  </si>
  <si>
    <t>Maiz Cancha Cuzco (Family Pack) /Cancha Cuzco Corn - Opening inventory and value</t>
  </si>
  <si>
    <t>Tradiciones Andinas -Pimenton / Paprika - Opening inventory and value</t>
  </si>
  <si>
    <t>Quinua</t>
  </si>
  <si>
    <t>Quinua - Opening inventory and value</t>
  </si>
  <si>
    <t>Soy Beans / Soy Beans - Opening inventory and value</t>
  </si>
  <si>
    <t>Huacatay / Black Mint - Opening inventory and value</t>
  </si>
  <si>
    <t>Yuca Family Pack / Cassava Family Pack - Opening inventory and value</t>
  </si>
  <si>
    <t>Tradiciones Andinas - Comino Molido - Opening inventory and value</t>
  </si>
  <si>
    <t>Harina de Habas / Faba Beans Flour - Opening inventory and value</t>
  </si>
  <si>
    <t>Valles Andinos Semola / Gritz Wheat 14oz x 18</t>
  </si>
  <si>
    <t>Semola / Gritz Wheat - Opening inventory and value</t>
  </si>
  <si>
    <t>T.A Chontaduro Entero / Palm Fruit FROZEN 20oz x 22</t>
  </si>
  <si>
    <t>Chontaduro Entero / Palm Fruit - Opening inventory and value</t>
  </si>
  <si>
    <t>T.A Fruta de Lulo / Lulo Fruit</t>
  </si>
  <si>
    <t>Fruta de Lulo / Lulo Fruit - Opening inventory and value</t>
  </si>
  <si>
    <t>Nance /Nance</t>
  </si>
  <si>
    <t>Nance /Nance - Opening inventory and value</t>
  </si>
  <si>
    <t>Harina Maiz Morado / Purple Corn Flour - Opening inventory and value</t>
  </si>
  <si>
    <t>Frijol Bocanegra / Black Eye Beans or Bocanegra - Opening inventory and value</t>
  </si>
  <si>
    <t>Aji Ambateno / Whole Pepper - Opening inventory and value</t>
  </si>
  <si>
    <t>Aji Mirasol Pasta / Mirasol Pepper Paste - Opening inventory and value</t>
  </si>
  <si>
    <t>Salsa Parrillera /BBQ Seasoning - Opening inventory and value</t>
  </si>
  <si>
    <t>Tomate de Arbol Family Pack / Wine Tree Tomato Family Pack</t>
  </si>
  <si>
    <t>Tomate de Arbol Family Pack / Wine Tree Tomato Family Pack - Opening inventory and value</t>
  </si>
  <si>
    <t>T.A Frijol Mixto / Mixed Beans Family Pack</t>
  </si>
  <si>
    <t>Frijol Mixto / Mixed Beans Family Pack - Opening inventory and value</t>
  </si>
  <si>
    <t>Tradiciones Andinas - Palillo /Curcuma - Opening inventory and value</t>
  </si>
  <si>
    <t>Mora en Fruta / Blackberry - Opening inventory and value</t>
  </si>
  <si>
    <t>Te Verde Con Piña X 20 - Opening inventory and value</t>
  </si>
  <si>
    <t>Chochos en Salmuera - Opening inventory and value</t>
  </si>
  <si>
    <t>Tuco 70 G X 12 - Opening inventory and value</t>
  </si>
  <si>
    <t>Aji Panca Molido 70 G X 12 - Opening inventory and value</t>
  </si>
  <si>
    <t>Peru Chef Oregano Molido 65gr x 12</t>
  </si>
  <si>
    <t>Oregano Molido 65 G X 12 - Opening inventory and value</t>
  </si>
  <si>
    <t>Peru Chef filtrante Te Verde Diet x 20</t>
  </si>
  <si>
    <t>Te Verde Diet X 20 - Opening inventory and value</t>
  </si>
  <si>
    <t>Tradiciones Andinas - Jengibre Molido</t>
  </si>
  <si>
    <t>Tradiciones Andinas - Jengibre Molido - Opening inventory and value</t>
  </si>
  <si>
    <t>Hierba Luisa X 20 - Opening inventory and value</t>
  </si>
  <si>
    <t>Sen X 20 - Opening inventory and value</t>
  </si>
  <si>
    <t>Eucalipto X 20 - Opening inventory and value</t>
  </si>
  <si>
    <t>Pasta Aji Amarillo 16 Oz X 12 - Opening inventory and value</t>
  </si>
  <si>
    <t>Kion Molido 60 G X 12 - Opening inventory and value</t>
  </si>
  <si>
    <t>Peru Chef filtrante Te Canela Y Clavo  x 20 x12 cajas</t>
  </si>
  <si>
    <t>Te Canela Y Clavo X 20 - Opening inventory and value</t>
  </si>
  <si>
    <t>Toronjil X 20 - Opening inventory and value</t>
  </si>
  <si>
    <t>Peru Chef Pulpa Maracuya Sin Pepas 1Lb X 30</t>
  </si>
  <si>
    <t>Pulpa Maracuya Sin Pepas 1Lb X 30 - Opening inventory and value</t>
  </si>
  <si>
    <t>Peru Chef Chicha Morada botella 16oz x 24</t>
  </si>
  <si>
    <t>Chicha Morada - Opening inventory and value</t>
  </si>
  <si>
    <t>Manzanilla X 20 - Opening inventory and value</t>
  </si>
  <si>
    <t>Peru Chef Chancapiedra filtrante X 20</t>
  </si>
  <si>
    <t>Chancapiedra X 20 - Opening inventory and value</t>
  </si>
  <si>
    <t>Digestivo X 20 - Opening inventory and value</t>
  </si>
  <si>
    <t>Pasta Ajos 16 Oz X 12 - Opening inventory and value</t>
  </si>
  <si>
    <t>Peruchef Cancha Serrana Salada - Opening inventory and value</t>
  </si>
  <si>
    <t>Peru Chef filtrante Boldo x 20</t>
  </si>
  <si>
    <t>Boldo X 20 - Opening inventory and value</t>
  </si>
  <si>
    <t>Peru Chef filtrante Uña De Gato x 20</t>
  </si>
  <si>
    <t>Una De Gato X 20 - Opening inventory and value</t>
  </si>
  <si>
    <t>Pasta Rocoto 16 Oz X 12 - Opening inventory and value</t>
  </si>
  <si>
    <t>Peru Chef jugo de Mango 16oz x 24</t>
  </si>
  <si>
    <t>Mango - Opening inventory and value</t>
  </si>
  <si>
    <t>Peru Chef Pasta Aji Amarillo Poco Pic 8oz x 12</t>
  </si>
  <si>
    <t>Pasta Aji Amarillo Poco Pic 8 Oz X 12 - Opening inventory and value</t>
  </si>
  <si>
    <t>Peru Chef Gourmet Pasta Aji Amarillo Sin Picante 2.2Lb x 6</t>
  </si>
  <si>
    <t>Gourmet Pasta Aji Amarillo Sin Picante - Opening inventory and value</t>
  </si>
  <si>
    <t>Pasta Aji Panca 16 Oz X 12 - Opening inventory and value</t>
  </si>
  <si>
    <t>Peru Chef Pulpa Granadilla 1Lb x 30</t>
  </si>
  <si>
    <t>Pulpa Granadilla 1Lb X 30 - Opening inventory and value</t>
  </si>
  <si>
    <t>Pasta Aji Amarillo Poco Pic 16 Oz X 12 - Opening inventory and value</t>
  </si>
  <si>
    <t>Peru Chef Gourmet Pasta Aji Panca Sin Picante 2.2lb x 6</t>
  </si>
  <si>
    <t>Gourmet Pasta Aji Panca Sin Picante - Opening inventory and value</t>
  </si>
  <si>
    <t>Hongos Y Laurel 1.57 Oz X 12 - Opening inventory and value</t>
  </si>
  <si>
    <t>Pasta Aji Panca Poco Pic 16 Oz X 12 - Opening inventory and value</t>
  </si>
  <si>
    <t>Peru Chef Pasta Aji Amarillo 8 Oz X 12</t>
  </si>
  <si>
    <t>Pasta Aji Amarillo 8 Oz X 12 - Opening inventory and value</t>
  </si>
  <si>
    <t>Aceitunas Negras 20 Oz X 12 - Opening inventory and value</t>
  </si>
  <si>
    <t>Peruchef Cancha Chulpi Salada - Opening inventory and value</t>
  </si>
  <si>
    <t>Peru Chef Yuyo 1Lb x 22 bolsas</t>
  </si>
  <si>
    <t>Yuyo 1Lb X 22 - Opening inventory and value</t>
  </si>
  <si>
    <t>Peru Chef Pulpa Maracuya Con Pepas 1Lb X 30</t>
  </si>
  <si>
    <t>Pulpa Maracuya Con Pepas 1Lb X 30 - Opening inventory and value</t>
  </si>
  <si>
    <t>Peru Chef Pasta Rocoto 11 Oz X 12</t>
  </si>
  <si>
    <t>Pasta Rocoto 11 Oz X 12 - Opening inventory and value</t>
  </si>
  <si>
    <t>Peru Chef Pasta Aji Amarillo 11 oz X 12</t>
  </si>
  <si>
    <t>Pasta Aji Amarillo 11 Oz X 12 - Opening inventory and value</t>
  </si>
  <si>
    <t>Peru Chef Snack Mix Andino 100gr x 20</t>
  </si>
  <si>
    <t>Peruchef Mix Andino - Opening inventory and value</t>
  </si>
  <si>
    <t>Peruchef Habas Saladas - Opening inventory and value</t>
  </si>
  <si>
    <t>Pasta Aji Panca 8 Oz X 12 - Opening inventory and value</t>
  </si>
  <si>
    <t>Peru Chef Pasta Ajos 8 Oz X 12</t>
  </si>
  <si>
    <t>Pasta Ajos 8 Oz X 12 - Opening inventory and value</t>
  </si>
  <si>
    <t>Peru Chef Pasta Aji Panca Poco Picante 8 Oz X 12</t>
  </si>
  <si>
    <t>Pasta Aji Panca Poco Picante 8 Oz X 12 - Opening inventory and value</t>
  </si>
  <si>
    <t>Peu Chef Maiz Mote Precocido 1Lb X 28</t>
  </si>
  <si>
    <t>Maiz Mote Precocido 1Lb X 28 - Opening inventory and value</t>
  </si>
  <si>
    <t>Yuca Amarilla 1.5Lb X 18 - Opening inventory and value</t>
  </si>
  <si>
    <t>Pasta Aji Amarillo 116 Oz X 4 - Opening inventory and value</t>
  </si>
  <si>
    <t>Peru Chef Pasta Aji Mirasol 8 Oz X 12</t>
  </si>
  <si>
    <t>Pasta Aji Mirasol 8 Oz X 12 - Opening inventory and value</t>
  </si>
  <si>
    <t>Peru Chef Pimenton Molido 80gr x 12</t>
  </si>
  <si>
    <t>Pimenton Molido 80 G X 12 - Opening inventory and value</t>
  </si>
  <si>
    <t>Peru Chef Palo Santo Bolsa 100gr x 12</t>
  </si>
  <si>
    <t>Palo Santo Bolsa 100 G X 12 - Opening inventory and value</t>
  </si>
  <si>
    <t>Peru Chef Pasta Ajo 11 Oz X 12</t>
  </si>
  <si>
    <t>Pasta Ajo 11 Oz X 12 - Opening inventory and value</t>
  </si>
  <si>
    <t>Pasta Aji Amarillo Poco Pic 11 Oz X 12 - Opening inventory and value</t>
  </si>
  <si>
    <t>Peru Chef Aceituna Negra 116 0Z X 4</t>
  </si>
  <si>
    <t>Aceituna Negra 116 0Z X 4 - Opening inventory and value</t>
  </si>
  <si>
    <t>Pasta Rocoto 8 Oz X 12 - Opening inventory and value</t>
  </si>
  <si>
    <t>Aderezo Papa Pollada 10.5 Oz X12 - Opening inventory and value</t>
  </si>
  <si>
    <t>Aderezo Para Pachamanca 10 5 Oz X 12 - Opening inventory and value</t>
  </si>
  <si>
    <t>Maiz Cancha (Family Pack) /Cancha Corn - Opening inventory and value</t>
  </si>
  <si>
    <t>Peru Chef Pasta Aji Panca 11 0Z X 12</t>
  </si>
  <si>
    <t>Pasta Aji Panca 11 0Z X 12 - Opening inventory and value</t>
  </si>
  <si>
    <t>Florida Trozos De Atun En Aceite 5 Oz</t>
  </si>
  <si>
    <t>Florida Trozos De Atun En Aceite 5 Oz - Opening inventory and value</t>
  </si>
  <si>
    <t>WINTER'S - Panettone - Opening inventory and value</t>
  </si>
  <si>
    <t>WINTER'S - Cocoa Powder 5.29oz x 24</t>
  </si>
  <si>
    <t>WINTER'S - Cocoa Powder - Opening inventory and value</t>
  </si>
  <si>
    <t>Maiz Desgranado (INST) / Corn in Grain - Opening inventory and value</t>
  </si>
  <si>
    <t>Peru Chef Pasta Aji Mirasol 11 Oz X 12</t>
  </si>
  <si>
    <t>Pasta Aji Mirasol 11 Oz X 12 - Opening inventory and value</t>
  </si>
  <si>
    <t>Pasta Aji Panca Poco Picante 116 Oz X 4 - Opening inventory and value</t>
  </si>
  <si>
    <t>Peru Chef Pasta Albahaca 8 Oz X 12</t>
  </si>
  <si>
    <t>Pasta Albahaca 8 Oz X 12 - Opening inventory and value</t>
  </si>
  <si>
    <t>Peru Chef Aji Amarilllo Molido 65 G X 12</t>
  </si>
  <si>
    <t>Aji Amarilllo Molido 65 G X 12 - Opening inventory and value</t>
  </si>
  <si>
    <t>Aji Amarillo Pasta /Yellow Pepper Paste - Opening inventory and value</t>
  </si>
  <si>
    <t>Pasta Aji Amarillo Poco Picante116 Oz X 4 - Opening inventory and value</t>
  </si>
  <si>
    <t>Peru Chef Pasta Culantro 8 0Z X 12</t>
  </si>
  <si>
    <t>Pasta Culantro 8 0Z X 12 - Opening inventory and value</t>
  </si>
  <si>
    <t>Peru Chef Pasta Huacatay 8 Oz X 12</t>
  </si>
  <si>
    <t>Pasta Huacatay 8 Oz X 12 - Opening inventory and value</t>
  </si>
  <si>
    <t>Adobo De Cerdo 10.5 Oz X 12 - Opening inventory and value</t>
  </si>
  <si>
    <t>Florida Solido De Atun En Agua 5 Oz</t>
  </si>
  <si>
    <t>Florida Solido De Atun En Agua 5 Oz - Opening inventory and value</t>
  </si>
  <si>
    <t>Peru Chef Pasta Achiote 8 Oz X 24</t>
  </si>
  <si>
    <t>Pasta Achiote 8 Oz X 24 - Opening inventory and value</t>
  </si>
  <si>
    <t>Pasta Rocoto 116 Oz X 4 - Opening inventory and value</t>
  </si>
  <si>
    <t>Palillo Molido75 G X 12 - Opening inventory and value</t>
  </si>
  <si>
    <t>Oregano Entero 30 G X 12 - Opening inventory and value</t>
  </si>
  <si>
    <t>Olluco en Lata /Whole Ollucus - Opening inventory and value</t>
  </si>
  <si>
    <t>Aderezo Para Pavo 10.5 Oz X 12 - Opening inventory and value</t>
  </si>
  <si>
    <t>Crema De Aji P/Ceviche 10.5 Oz X 12 - Opening inventory and value</t>
  </si>
  <si>
    <t>Aji Panca Pasta /Panca Pepper Paste - Opening inventory and value</t>
  </si>
  <si>
    <t>Choclo en Grano / Corn in Grain - Opening inventory and value</t>
  </si>
  <si>
    <t>Olluco cortado / Sliced Ollucos - Opening inventory and value</t>
  </si>
  <si>
    <t>Winter'S Picaras Chocolate - Opening inventory and value</t>
  </si>
  <si>
    <t>Habas Verdes / Fava Beans - Opening inventory and value</t>
  </si>
  <si>
    <t>Papa Seca Amarilla (Family Pack) /Yelow Dried Potato - Opening inventory and value</t>
  </si>
  <si>
    <t>Rocoto Entero / Red Hot Pepper - Opening inventory and value</t>
  </si>
  <si>
    <t>Papa Amarilla / Yellow Potato - Opening inventory and value</t>
  </si>
  <si>
    <t>Rocoto Pasta / Red Hot Peppers Paste - Opening inventory and value</t>
  </si>
  <si>
    <t>Choclo Entero / Corn on the Cob - Opening inventory and value</t>
  </si>
  <si>
    <t>T.A Frejol Canario (Family Pack) /Canary Beans</t>
  </si>
  <si>
    <t>Frejol Canario (Family Pack) /Canary Beans - Opening inventory and value</t>
  </si>
  <si>
    <t>Chulpe Corn / Maiz Chulpe (Family Pack) - Opening inventory and value</t>
  </si>
  <si>
    <t>Cancha Corn / Maiz Cancha - Opening inventory and value</t>
  </si>
  <si>
    <t>Aji Amarillo / Yellow Hot Pepper - Opening inventory and value</t>
  </si>
  <si>
    <t>Aji Amarillo Salmuera /Whole Yellow Hot Pepper - Opening inventory and value</t>
  </si>
  <si>
    <t>Aji Amarillo en Lata /Whole Yellow Hot Pepper - Opening inventory and value</t>
  </si>
  <si>
    <t>T.A Frijol Mixto / Mixed Beans</t>
  </si>
  <si>
    <t>Frijol Mixto / Mixed Beans - Opening inventory and value</t>
  </si>
  <si>
    <t>Harina Chuño / Potato Starch Flour - Opening inventory and value</t>
  </si>
  <si>
    <t>T.A Naranjilla / Whole Lulo</t>
  </si>
  <si>
    <t>Naranjilla / Whole Lulo - Opening inventory and value</t>
  </si>
  <si>
    <t>Aji Limo / Limo Pepper - Opening inventory and value</t>
  </si>
  <si>
    <t>Rocoto Pasta /Red Hot Peppers Paste - Opening inventory and value</t>
  </si>
  <si>
    <t>Harina de Quinua /Quinua Flour (Instant) - Opening inventory and value</t>
  </si>
  <si>
    <t>Hojuela de Quinua / Quinua Flakes - Opening inventory and value</t>
  </si>
  <si>
    <t>Panela Fraccionada 8 caritas</t>
  </si>
  <si>
    <t>Panela Fraccionada 8 caritas - Opening inventory and value</t>
  </si>
  <si>
    <t>T.A Humitas / Sweet Corn Patties</t>
  </si>
  <si>
    <t>Humitas / Sweet Corn Patties - Opening inventory and value</t>
  </si>
  <si>
    <t>T.A Frejol Canario / Canary Beans</t>
  </si>
  <si>
    <t>Frejol Canario / Canary Beans - Opening inventory and value</t>
  </si>
  <si>
    <t>Chuño Entero Blanco / White Potato Starch - Opening inventory and value</t>
  </si>
  <si>
    <t>Lomitos de Atún en Aceite / Solid TUNA in Oil - Opening inventory and value</t>
  </si>
  <si>
    <t>Rocoto en Lata /Red Hot Peppers Halves - Opening inventory and value</t>
  </si>
  <si>
    <t>Tradiciones Andinas - Chicha de Jora /Jora Seasoning - Opening inventory and value</t>
  </si>
  <si>
    <t>Ullucos / Melloco</t>
  </si>
  <si>
    <t>Ullucos / Melloco - Opening inventory and value</t>
  </si>
  <si>
    <t>Rocoto en Salmuera /Red Hot Peppers Halves - Opening inventory and value</t>
  </si>
  <si>
    <t>Salsa Pollo A La Brasa /Grill Chicken Seasoning - Opening inventory and value</t>
  </si>
  <si>
    <t>Aceituna Botija /Alfonso Olives - Opening inventory and value</t>
  </si>
  <si>
    <t>Papa Seca Negra (Family Pack) / Black Dried Potato - Opening inventory and value</t>
  </si>
  <si>
    <t>Maiz Morado /Purple Corn - Opening inventory and value</t>
  </si>
  <si>
    <t>Emoliente / Emolient - Opening inventory and value</t>
  </si>
  <si>
    <t>Cebada Tostada /Toasted Barley - Opening inventory and value</t>
  </si>
  <si>
    <t>Aji Amarillo con Huacatay / Yellow Hot Pepper With Black Min - Opening inventory and value</t>
  </si>
  <si>
    <t>Peeled Mote Corn / Mote Pelado - Opening inventory and value</t>
  </si>
  <si>
    <t>Mote Pelado (Family Pack) /Peeled Mote Corn - Opening inventory and value</t>
  </si>
  <si>
    <t>Cilantro Pasta / Coriander Paste - Opening inventory and value</t>
  </si>
  <si>
    <t>Gn Rellenitas Chocolate x 8 x 5 pack</t>
  </si>
  <si>
    <t>Gn Rellenitas Chocolate X 8 X 5 - Opening inventory and value</t>
  </si>
  <si>
    <t>Papa Seca / Dried Potato - Opening inventory and value</t>
  </si>
  <si>
    <t>Chia /Chia Seeds - Opening inventory and value</t>
  </si>
  <si>
    <t>Huacatay Pasta / Black Mint Paste - Opening inventory and value</t>
  </si>
  <si>
    <t>Aji Mirasol Seco / Dried Yellow Pepper - Opening inventory and value</t>
  </si>
  <si>
    <t>Aji Amarillo sin Pepas / Yellow Hot Pepper Seedless - Opening inventory and value</t>
  </si>
  <si>
    <t>Papa Seca Amarilla  / Yelow Dried Potato - Opening inventory and value</t>
  </si>
  <si>
    <t>Ullucos / Melloco Family Pack</t>
  </si>
  <si>
    <t>Ullucos / Melloco Family Pack - Opening inventory and value</t>
  </si>
  <si>
    <t>Quinua /Quinoa - Opening inventory and value</t>
  </si>
  <si>
    <t>Semola /Semolina - Opening inventory and value</t>
  </si>
  <si>
    <t>FIELD - Chokosoda Galletas - Opening inventory and value</t>
  </si>
  <si>
    <t>Linaza /Flax Seed - Opening inventory and value</t>
  </si>
  <si>
    <t>Arroz de Cebada/ Barley Rice - Opening inventory and value</t>
  </si>
  <si>
    <t>Aji Panca Seco / Dried Panca Pepper - Opening inventory and value</t>
  </si>
  <si>
    <t>Trigo Resbalado/Hulled Wheat - Opening inventory and value</t>
  </si>
  <si>
    <t>Ecco Cebada Tostada 190 G X 12 (deleted)</t>
  </si>
  <si>
    <t>Ecco Cebada Tostada 190 G X 12 - Opening inventory and value</t>
  </si>
  <si>
    <t>T.A Arroz de Cebada (Family Pack) /Barley Rice</t>
  </si>
  <si>
    <t>Arroz de Cebada (Family Pack) /Barley Rice - Opening inventory and value</t>
  </si>
  <si>
    <t>Galleta Charada Field - Opening inventory and value</t>
  </si>
  <si>
    <t>Gn Rellenitas Choco Y Fresa X 8 X 5 - Opening inventory and value</t>
  </si>
  <si>
    <t>Glacitas Choconieve 32 G X 6 X 8 - Opening inventory and value</t>
  </si>
  <si>
    <t>Aceitunesa - Opening inventory and value</t>
  </si>
  <si>
    <t>Maiz Chulpe /Chulpe Corn - Opening inventory and value</t>
  </si>
  <si>
    <t>Albahaca Pasta /Basil Paste - Opening inventory and value</t>
  </si>
  <si>
    <t>Chocolate Triangulo - Opening inventory and value</t>
  </si>
  <si>
    <t>San Jorge Galletas Fruta Mixta 450G X 6</t>
  </si>
  <si>
    <t>San Jorge Galletas Fruta Mixta 450G X 6 - Opening inventory and value</t>
  </si>
  <si>
    <t>Gn Rellenitas Choco Y Menta X 8 X 5 - Opening inventory and value</t>
  </si>
  <si>
    <t>Chicha Morada /Purple Corn Drink - Opening inventory and value</t>
  </si>
  <si>
    <t>Nestle Sublime Power 30G X 6 X 33</t>
  </si>
  <si>
    <t>Nestle Sublime Power 30G X 6 X 33 - Opening inventory and value</t>
  </si>
  <si>
    <t>Galletas Cream Cracker Field</t>
  </si>
  <si>
    <t>Galletas Cream Cracker Field - Opening inventory and value</t>
  </si>
  <si>
    <t>Galletas Chocosoda (deleted)</t>
  </si>
  <si>
    <t>Galletas Chocosoda - Opening inventory and value</t>
  </si>
  <si>
    <t>Galleta Coronita Chocolate Field (deleted)</t>
  </si>
  <si>
    <t>Galleta Coronita Chocolate Field - Opening inventory and value</t>
  </si>
  <si>
    <t>D'Onofrio Chocolate Sublime 26 G - Opening inventory and value</t>
  </si>
  <si>
    <t>CORONITA - Galleta de Chocolate - Opening inventory and value</t>
  </si>
  <si>
    <t>Gn Rellenitas Coco X 8 X 5 - Opening inventory and value</t>
  </si>
  <si>
    <t>San Jorge Galletas Animalitos 500 G X 4</t>
  </si>
  <si>
    <t>San Jorge Galletas Animalitos 500 G X 4 - Opening inventory and value</t>
  </si>
  <si>
    <t>Tentacion Galleta Chocolate 47gr 6 x 8</t>
  </si>
  <si>
    <t>Tentacion Galleta Chocolate 47 G - Opening inventory and value</t>
  </si>
  <si>
    <t>Donofrio Chocolates Mini 360 G</t>
  </si>
  <si>
    <t>Donofrio Chocolates Mini 360 G - Opening inventory and value</t>
  </si>
  <si>
    <t>Doña Pepa - Opening inventory and value</t>
  </si>
  <si>
    <t>Gn Rellenitas Fresa X 8 X 5 - Opening inventory and value</t>
  </si>
  <si>
    <t>Gn Rellenitas Lucuma X 8 X 5 - Opening inventory and value</t>
  </si>
  <si>
    <t>FIELD - Galletas de Vainilla - Opening inventory and value</t>
  </si>
  <si>
    <t>FIELD - Galletas de Soda - Opening inventory and value</t>
  </si>
  <si>
    <t>San Jorge Galletas Soda  40 G  X 7 X 4 - Opening inventory and value</t>
  </si>
  <si>
    <t>CASINO - Galleta Vainilla 51gr</t>
  </si>
  <si>
    <t>CASINO - Galleta Vainilla - Opening inventory and value</t>
  </si>
  <si>
    <t>CASINO - Galleta Menta - Opening inventory and value</t>
  </si>
  <si>
    <t>Oriundo Peach bebida 16oz x 24</t>
  </si>
  <si>
    <t>Peach - Opening inventory and value</t>
  </si>
  <si>
    <t>San Jose Turron De Doña Pepa X 500G - Opening inventory and value</t>
  </si>
  <si>
    <t>San Jorge Municion 450 G X 6 - Opening inventory and value</t>
  </si>
  <si>
    <t>Cua Cua - Opening inventory and value</t>
  </si>
  <si>
    <t>Glacitas Fresa 32 G X 6 X 8 - Opening inventory and value</t>
  </si>
  <si>
    <t>Gn Rellenitas Limon X 8 X 5 - Opening inventory and value</t>
  </si>
  <si>
    <t>Chomp Galletas Chocolate 42 G - Opening inventory and value</t>
  </si>
  <si>
    <t>VICTORIA - Chomp Naranja - Opening inventory and value</t>
  </si>
  <si>
    <t>CASINO - Galleta Fresa - Opening inventory and value</t>
  </si>
  <si>
    <t>Glacitas Toffee 32 G X 6 X 8 - Opening inventory and value</t>
  </si>
  <si>
    <t>Glacitas Chocolate 32 G X 6 X 8 - Opening inventory and value</t>
  </si>
  <si>
    <t>CASINO - Galleta Chocolate - Opening inventory and value</t>
  </si>
  <si>
    <t>Tentacion Galleta Coco 47 G - Opening inventory and value</t>
  </si>
  <si>
    <t>Galletas Margarita Sayon - Opening inventory and value</t>
  </si>
  <si>
    <t>Sayon Galletas Tejanas 480 G X 8 - Opening inventory and value</t>
  </si>
  <si>
    <t>Tentacion Galleta Vainilla 47 G - Opening inventory and value</t>
  </si>
  <si>
    <t>Tentacion Galleta Naranja 47gr 6 x 8</t>
  </si>
  <si>
    <t>Tentacion Galleta Naranja 47 G - Opening inventory and value</t>
  </si>
  <si>
    <t>Walibi Pasta De Ajo 380 G X 12</t>
  </si>
  <si>
    <t>Walibi Pasta De Ajo 380 G X 12 - Opening inventory and value</t>
  </si>
  <si>
    <t>Mayonesa - Opening inventory and value</t>
  </si>
  <si>
    <t>CASINO - Galleta Lucuma - Opening inventory and value</t>
  </si>
  <si>
    <t>CASINO - Galleta Alfajor</t>
  </si>
  <si>
    <t>CASINO - Galleta Alfajor - Opening inventory and value</t>
  </si>
  <si>
    <t>Marquesitas Naranja 42 G X 6 X 8</t>
  </si>
  <si>
    <t>Marquesitas Naranja 42 G X 6 X 8 - Opening inventory and value</t>
  </si>
  <si>
    <t>Marquesitas Coco 42 G X 6 X 8</t>
  </si>
  <si>
    <t>Marquesitas Coco 42 G X 6 X 8 - Opening inventory and value</t>
  </si>
  <si>
    <t>Vidrio - Opening inventory and value</t>
  </si>
  <si>
    <t>Casino Galletas Vainilla 51 G (deleted)</t>
  </si>
  <si>
    <t>Casino Galletas Vainilla 51 G - Opening inventory and value</t>
  </si>
  <si>
    <t>DEL VALLE - Chancapiedra - Opening inventory and value</t>
  </si>
  <si>
    <t>Cocorokos Perita</t>
  </si>
  <si>
    <t>Cocorokos Perita - Opening inventory and value</t>
  </si>
  <si>
    <t>Manjarblanco "La Casa Del Alfajor"</t>
  </si>
  <si>
    <t>Manjarblanco "La Casa Del Alfajor" - Opening inventory and value</t>
  </si>
  <si>
    <t>EL TRIUNFO - Fideo Chino - Chinese Noodles - Opening inventory and value</t>
  </si>
  <si>
    <t>Casino Galletas Alfajor 51 G</t>
  </si>
  <si>
    <t>Casino Galletas Alfajor 51 G - Opening inventory and value</t>
  </si>
  <si>
    <t>Marquesitas Vainilla 42 G X 6 X 8</t>
  </si>
  <si>
    <t>Marquesitas Vainilla 42 G X 6 X 8 - Opening inventory and value</t>
  </si>
  <si>
    <t>Flan de Lucuma/ Lucuma Pudin - Opening inventory and value</t>
  </si>
  <si>
    <t>Gelatina Fresa / Strawberry Gelatin - Opening inventory and value</t>
  </si>
  <si>
    <t>Casino Galletas Tres Leches 43G</t>
  </si>
  <si>
    <t>Casino Galletas Tres Leches 43G - Opening inventory and value</t>
  </si>
  <si>
    <t>Peru Chef Tiyapuy Native Potato Fries 1 Kg X 10 Frozen</t>
  </si>
  <si>
    <t>Tiyapuy Native Potato Fries 1 Kg X 10 - Opening inventory and value</t>
  </si>
  <si>
    <t>La Casa del Alfajor Alfajor de Maicena cj 515gr  (36unidades)</t>
  </si>
  <si>
    <t>Maicena - Opening inventory and value</t>
  </si>
  <si>
    <t>Walibi Pasta De Rocoto 380G X 12</t>
  </si>
  <si>
    <t>Walibi Pasta De Rocoto 380G X 12 - Opening inventory and value</t>
  </si>
  <si>
    <t>Walibi Pasta De Aji Amarillo 380 G X 12</t>
  </si>
  <si>
    <t>Walibi Pasta De Aji Amarillo 380 G X 12 - Opening inventory and value</t>
  </si>
  <si>
    <t>Galletas Choco Bum X 33.5G</t>
  </si>
  <si>
    <t>Galletas Choco Bum X 33.5G - Opening inventory and value</t>
  </si>
  <si>
    <t>DEL VALLE - Una de Gato - Opening inventory and value</t>
  </si>
  <si>
    <t>Chockman Doble Manjar 53 Gr X 8 X 6 - Opening inventory and value</t>
  </si>
  <si>
    <t>Chocman 30G - Opening inventory and value</t>
  </si>
  <si>
    <t>La Casa del Alfajor Alfajor de Harina cj 515gr  (40 UNIDADES)</t>
  </si>
  <si>
    <t>Harina - Opening inventory and value</t>
  </si>
  <si>
    <t>DEL VALLE - Boldo - Opening inventory and value</t>
  </si>
  <si>
    <t>Caramelos de Gajos de Limon</t>
  </si>
  <si>
    <t>Caramelos de Gajos de Limon - Opening inventory and value</t>
  </si>
  <si>
    <t>La Casa del Alfajor Turron de Doña Pepa 650gr</t>
  </si>
  <si>
    <t>Turron De Dona Pepa - Opening inventory and value</t>
  </si>
  <si>
    <t>Salsa Huancaina - Opening inventory and value</t>
  </si>
  <si>
    <t>Gelatina Universal Fresa con Stevia / Strawberry Gelatin with Stevia 19gr x 12</t>
  </si>
  <si>
    <t>Gelatina Fresa con Stevia / Strawberry Gelatin with Stevia - Opening inventory and value</t>
  </si>
  <si>
    <t>Walibi Pasta De Aji Panca 380 G X 12</t>
  </si>
  <si>
    <t>Walibi Pasta De Aji Panca 380 G X 12 - Opening inventory and value</t>
  </si>
  <si>
    <t>VITAPLUSS - Fideos con Miel - Opening inventory and value</t>
  </si>
  <si>
    <t>Peru Chef Nutry Body Harina De Lucuma 250 G X 10</t>
  </si>
  <si>
    <t>Nutry Body Harina De Lucuma 250 G X 10 - Opening inventory and value</t>
  </si>
  <si>
    <t>Base Pisco Sour Maracuya - Opening inventory and value</t>
  </si>
  <si>
    <t>Galletas Morochas - Opening inventory and value</t>
  </si>
  <si>
    <t>Salsa De Aji Criollo - Opening inventory and value</t>
  </si>
  <si>
    <t>Chicha Morada / Purple drink instant beverage - Opening inventory and value</t>
  </si>
  <si>
    <t>Chuño / Potato Starch - Opening inventory and value</t>
  </si>
  <si>
    <t>Gelatina Naranja / Orange Gelatin - Opening inventory and value</t>
  </si>
  <si>
    <t>Refresco Guanabana / Guava Instant beverage - Opening inventory and value</t>
  </si>
  <si>
    <t>Crema De Rocoto - Opening inventory and value</t>
  </si>
  <si>
    <t>Walibi Salsa Bechamel</t>
  </si>
  <si>
    <t>Salsa Bechamel - Opening inventory and value</t>
  </si>
  <si>
    <t>Gelatina Limon / Lemon Gelatin - Opening inventory and value</t>
  </si>
  <si>
    <t>Gelatina sin Sabor (Colapiz) - Opening inventory and value</t>
  </si>
  <si>
    <t>Provenzal Tiradito Al Aji Amarillo 42 G X 20</t>
  </si>
  <si>
    <t>Provenzal Tiradito Al Aji Amarillo 42 G X 20 - Opening inventory and value</t>
  </si>
  <si>
    <t>Walibi Salsa Pesto</t>
  </si>
  <si>
    <t>Salsa Pesto - Opening inventory and value</t>
  </si>
  <si>
    <t>Mazamorra Morada /Purple Pudin - Opening inventory and value</t>
  </si>
  <si>
    <t>Gelatina Durazno / Peach Gelatin - Opening inventory and value</t>
  </si>
  <si>
    <t>Mazamorra sabor a Piña / Pineapple flavor pudin - Opening inventory and value</t>
  </si>
  <si>
    <t>Provenzal Carapulcra 150 Gr X 6) - Opening inventory and value</t>
  </si>
  <si>
    <t>Gelatina Piña / Pineapple Gelatin - Opening inventory and value</t>
  </si>
  <si>
    <t>Grape Gelatin / Gelatina Uva - Opening inventory and value</t>
  </si>
  <si>
    <t>Refresco de Maracuya / Passion fruit instant beverage - Opening inventory and value</t>
  </si>
  <si>
    <t>Flan de Vainilla / Vanilla Flan - Opening inventory and value</t>
  </si>
  <si>
    <t>Escencia de Vainilla / Vanilla Scent - Opening inventory and value</t>
  </si>
  <si>
    <t>Bicarbonato de Sodio - Baking soda - Opening inventory and value</t>
  </si>
  <si>
    <t>Polvo de Hornear - Baking powder - Opening inventory and value</t>
  </si>
  <si>
    <t>Provenzal Panqueques Con Quinua 220 G X 12</t>
  </si>
  <si>
    <t>Provenzal Panqueques Con Quinua 220 G X 12 - Opening inventory and value</t>
  </si>
  <si>
    <t>Provenzal Dulce De Quinua Con Leche 200 G X 12</t>
  </si>
  <si>
    <t>Provenzal Dulce De Quinua Con Leche 200 G X 12 - Opening inventory and value</t>
  </si>
  <si>
    <t>Provenzal Arroz Con Pollo/Seco/Aguadito 58 Gr X 10) - Opening inventory and value</t>
  </si>
  <si>
    <t>Provenzal Sopa Fuchi Fu 55 G X 10</t>
  </si>
  <si>
    <t>Provenzal Sopa Fuchi Fu 55 G X 10 - Opening inventory and value</t>
  </si>
  <si>
    <t>Provenzal Quinua Al Culantro 192 G X 5</t>
  </si>
  <si>
    <t>Provenzal Quinua Al Culantro 192 G X 5 - Opening inventory and value</t>
  </si>
  <si>
    <t>Provenzal Ocopa 70 Gr X 12) - Opening inventory and value</t>
  </si>
  <si>
    <t>San Jorge Cabello De Angel 250 G X 40 - Opening inventory and value</t>
  </si>
  <si>
    <t>Provenzal Cebiche Base 30 Gr X 20) - Opening inventory and value</t>
  </si>
  <si>
    <t>Provenzal Picarones Con Miel 165 Gr X 12) - Opening inventory and value</t>
  </si>
  <si>
    <t>SIBARITA - Aji Panca Sazonador - Opening inventory and value</t>
  </si>
  <si>
    <t>Provenzal Quinua A La Jardinera 188 G X 5</t>
  </si>
  <si>
    <t>Provenzal Quinua A La Jardinera 188 G X 5 - Opening inventory and value</t>
  </si>
  <si>
    <t>Provenzal Picarones Con Quinua Y Jarabe De Maiz Morado 200 G</t>
  </si>
  <si>
    <t>Provenzal Picarones Con Quinua Y Jarabe De Maiz Morado 200 G - Opening inventory and value</t>
  </si>
  <si>
    <t>Provenzal Huancaina 64 Gr X 12) - Opening inventory and value</t>
  </si>
  <si>
    <t>Provenzal Sopa A La Minuta 78 G X 10 - Opening inventory and value</t>
  </si>
  <si>
    <t>Trigo Atomico original con Miel - Opening inventory and value</t>
  </si>
  <si>
    <t>Provenzal Quinotto Risotto De Quinua 170 G X 12</t>
  </si>
  <si>
    <t>Provenzal Quinotto Risotto De Quinua 170 G X 12 - Opening inventory and value</t>
  </si>
  <si>
    <t>SIBARITA - Vinagre Blanco - White Vinegar - Opening inventory and value</t>
  </si>
  <si>
    <t>SIBARITA - Vinagre Tinto - Red Vinegar - Opening inventory and value</t>
  </si>
  <si>
    <t>T.A Frejol Canario Saco 50Lb</t>
  </si>
  <si>
    <t>Frejol Canario Saco - Opening inventory and value</t>
  </si>
  <si>
    <t>Provenzal Aji De Gallina 100 Gr X 10) - Opening inventory and value</t>
  </si>
  <si>
    <t>Base Pisco Sour Limon - Opening inventory and value</t>
  </si>
  <si>
    <t>MSG - Aji No Moto (deleted)</t>
  </si>
  <si>
    <t>MSG - Aji No Moto - Opening inventory and value</t>
  </si>
  <si>
    <t>Provenzal Olluquito 78 Gr X 6) - Opening inventory and value</t>
  </si>
  <si>
    <t>Peru Chef Cricket'S Habas Saladas 100 G</t>
  </si>
  <si>
    <t>Cricket'S Habas Saladas 100 G - Opening inventory and value</t>
  </si>
  <si>
    <t>AJI NO Siyau - Opening inventory and value</t>
  </si>
  <si>
    <t>Maiz Atomico Imperial con Miel - Opening inventory and value</t>
  </si>
  <si>
    <t>T.A Aji Panca sin Pepa 22Lb</t>
  </si>
  <si>
    <t>Aji Panca sin Pepa - Opening inventory and value</t>
  </si>
  <si>
    <t>Provenzal Cau Cau 60 Gr X 12) - Opening inventory and value</t>
  </si>
  <si>
    <t>Winters Ole Ole 225 G X 15 - Opening inventory and value</t>
  </si>
  <si>
    <t>VITAPLUSS - Arrocito con Miel - Opening inventory and value</t>
  </si>
  <si>
    <t>Arrocito Atomico - Opening inventory and value</t>
  </si>
  <si>
    <t>VITAPLUSS - Maiz expandido con miel - Opening inventory and value</t>
  </si>
  <si>
    <t>VITAPLUSS - Trigo Expandido con Miel - Opening inventory and value</t>
  </si>
  <si>
    <t>Base Pisco Sour Chicha Morada - Opening inventory and value</t>
  </si>
  <si>
    <t>Base Pisco Sour Mango Con Camucamu - Opening inventory and value</t>
  </si>
  <si>
    <t>Ajinomoto frasco 100gr x 36</t>
  </si>
  <si>
    <t>Ajinomoto - Opening inventory and value</t>
  </si>
  <si>
    <t>MSG -Aji No Moto - Opening inventory and value</t>
  </si>
  <si>
    <t>Trigo con Maca - Opening inventory and value</t>
  </si>
  <si>
    <t>Harina De Arverja 15 Oz X 12 - Opening inventory and value</t>
  </si>
  <si>
    <t>San Jorge Tallarin 500 G X 20 - Opening inventory and value</t>
  </si>
  <si>
    <t>Maiz Atomico con Maca - Opening inventory and value</t>
  </si>
  <si>
    <t>San Jorge Caracol 250 G X 20 - Opening inventory and value</t>
  </si>
  <si>
    <t>San Jorge Letras Y Numeros 250 G X 20 - Opening inventory and value</t>
  </si>
  <si>
    <t>KIRMA - Café Instantaneo - Instant Coffee - Opening inventory and value</t>
  </si>
  <si>
    <t>San Jorge Spaguetti 500 G X 20 - Opening inventory and value</t>
  </si>
  <si>
    <t>ECCO - Café instantaneo de Cebada -Barley Instant Coffee - Opening inventory and value</t>
  </si>
  <si>
    <t>D'Onofrio Galletas Morochas 30g 6 x 30 (deleted)</t>
  </si>
  <si>
    <t>D'Onofrio Galletas Morochas 30 G - Opening inventory and value</t>
  </si>
  <si>
    <t>Mote Pelado Saco - Opening inventory and value</t>
  </si>
  <si>
    <t>Maiz Chulpe Saco - Opening inventory and value</t>
  </si>
  <si>
    <t>Maiz Cancha - Opening inventory and value</t>
  </si>
  <si>
    <t>T.A Aji Panca Poco Picante Balde (4 baldes)</t>
  </si>
  <si>
    <t>Aji Panca Poco Picante Balde (4 baldes) - Opening inventory and value</t>
  </si>
  <si>
    <t>Aji Amarillo Balde (4 baldes) - Opening inventory and value</t>
  </si>
  <si>
    <t>T.A Aji Amarillo Pasta 7.5oz x 24 - Opening inventory and value</t>
  </si>
  <si>
    <t>Choclo Entero / Corn on the Cob 2 x 18 - Opening inventory and value</t>
  </si>
  <si>
    <t>T.A Aji Panca Pasta 7.5oz x 24 - Opening inventory and value</t>
  </si>
  <si>
    <t>T.A Aji Panca en Pasta "Poco Picante" 7.5oz x 24 - Opening inventory and value</t>
  </si>
  <si>
    <t>SIBARITA Vinagre Tinto - Red Vinegar 16.91oz  x 12 botella - Opening inventory and value</t>
  </si>
  <si>
    <t>T.A Aji Amarillo Pasta 15oz X 12 - Opening inventory and value</t>
  </si>
  <si>
    <t>T.A Rocoto Pasta 15oz X 12 - Opening inventory and value</t>
  </si>
  <si>
    <t>T.A Aji Panca Pasta "Poco Picante" 15oz x 12 - Opening inventory and value</t>
  </si>
  <si>
    <t>T.A Trigo Resbalado/Hulled Wheat 15oz x 24 - Opening inventory and value</t>
  </si>
  <si>
    <t>T.A Aji Amarillo sin Picante 15oz x 12 - Opening inventory and value</t>
  </si>
  <si>
    <t>SIBARITA - Vinagre Blanco - White Vinegar 16.91oz x 12 - Opening inventory and value</t>
  </si>
  <si>
    <t>T.A  Choclo Entero / Corn on the Cob 4 x 10 - Opening inventory and value</t>
  </si>
  <si>
    <t>T.A Aji Panca Pasta /Panca Pepper Paste 15oz x 12 - Opening inventory and value</t>
  </si>
  <si>
    <t>Peru Chef Salsa de Aji Limo con Rocoto 10.5oz x 12 - Opening inventory and value</t>
  </si>
  <si>
    <t>T.A Maiz Morado /Purple Corn 50Lb saco - Opening inventory and value</t>
  </si>
  <si>
    <t>T.A Choclo desgranado / Corn in Grain FROZEN  4Lb x 10 - Opening inventory and value</t>
  </si>
  <si>
    <t>Peru Chef Passion friut juice 1Lt x 12 - Opening inventory and value</t>
  </si>
  <si>
    <t>Peru Chef Emoliente bebida 1Lt x 12 - Opening inventory and value</t>
  </si>
  <si>
    <t>Volt yellow Guarana 16fl oz /15 - Opening inventory and value</t>
  </si>
  <si>
    <t>T.A. Ajo Pasta - Ajo en Pasta /Garlic Paste 15oz X 12 - Opening inventory and value</t>
  </si>
  <si>
    <t>TA- PERU -  SIBARITA PRODUCTS -  SIBARITA - Amarillin Doypack-  12 / 8.8oz - SI315 - Opening inventory and value</t>
  </si>
  <si>
    <t>Universal - Maicena - 180g x 7 - Opening inventory and value</t>
  </si>
  <si>
    <t>AjiNomoto Bolsa 500g x 30 - Opening inventory and value</t>
  </si>
  <si>
    <t>SIBARITA - Panquita Doypack 12 x 19.4 oz - Opening inventory and value</t>
  </si>
  <si>
    <t>Aji No Moto Bolsa 500g x 30 (deleted)</t>
  </si>
  <si>
    <t>Aji No Moto Bolsa 500g x 30 - Opening inventory and value</t>
  </si>
  <si>
    <t>T.A  Ajo pasta 7.5oz x 24 - Opening inventory and value</t>
  </si>
  <si>
    <t>Belmont Yuyo Marino FROZEN 2.2lb x 8 - Opening inventory and value</t>
  </si>
  <si>
    <t>Uchucuta A la Cena 17.06 (400gr) x 12 - Opening inventory and value</t>
  </si>
  <si>
    <t>Winter Ole Ole x 60 x 15 - Opening inventory and value</t>
  </si>
  <si>
    <t>Belmont Mango 1Lt x 6 - Opening inventory and value</t>
  </si>
  <si>
    <t>Belmont jugo de Maracuya 1Lt x 6 - Opening inventory and value</t>
  </si>
  <si>
    <t>Belmont Chirimoya pulpa 14oz x 20 - Opening inventory and value</t>
  </si>
  <si>
    <t>Leche condensada BONLE lata 14oz x 24 - Opening inventory and value</t>
  </si>
  <si>
    <t>Belmont jugo de Maracuya 16oz x 12 - Opening inventory and value</t>
  </si>
  <si>
    <t>Belmont Aceituna Bidon 104oz x 6 - Opening inventory and value</t>
  </si>
  <si>
    <t>Belmont Maiz Chulpe 15oz x 12 - Opening inventory and value</t>
  </si>
  <si>
    <t>Chocolate Cuzco con canela y clavo  4 x 12 - Opening inventory and value</t>
  </si>
  <si>
    <t>Leche evaporada Gloria 13oz Lata x 24 - Opening inventory and value</t>
  </si>
  <si>
    <t>Belmont Culantro pasta 8oz x 12 - Opening inventory and value</t>
  </si>
  <si>
    <t>Chocolate Cuzco regular  4 x 12 - Opening inventory and value</t>
  </si>
  <si>
    <t>Mani Confitado Belmont x 25 - Opening inventory and value</t>
  </si>
  <si>
    <t>Galleta Club Social 6 x 32 - Opening inventory and value</t>
  </si>
  <si>
    <t>AjiNomoto Bolsa 1Kg x 18 - Opening inventory and value</t>
  </si>
  <si>
    <t>Huancaina A la Cena 17.06oz (400gr) x 12 - Opening inventory and value</t>
  </si>
  <si>
    <t>Galleta Municion San Jorge 1.94oz (55gr) x 25 - Opening inventory and value</t>
  </si>
  <si>
    <t>Chicha Morada Belmont 16oz x 12 - Opening inventory and value</t>
  </si>
  <si>
    <t>Belmont Chicha Morada 1Lt x 6 - Opening inventory and value</t>
  </si>
  <si>
    <t>Mayonesa a la Cena 17.06oz (400gr) x 12 - Opening inventory and value</t>
  </si>
  <si>
    <t>Leche evaporada BONLE 12oz x 24 - Opening inventory and value</t>
  </si>
  <si>
    <t>Galletas Morochas 30gr 6x 30 - Opening inventory and value</t>
  </si>
  <si>
    <t>Chicha Morada Gloria 1Lt x 12 TETRAPACK - Opening inventory and value</t>
  </si>
  <si>
    <t>Belmont Concentrado Chicha Morada  64oz x 6 - Opening inventory and value</t>
  </si>
  <si>
    <t>Tari crema de aji A la Cena17.06oz (400gr) x 12 - Opening inventory and value</t>
  </si>
  <si>
    <t>Belmont Emoliente bebida 16oz x 12 - Opening inventory and value</t>
  </si>
  <si>
    <t>Belmont Aceituna Botija 20oz x 12 - Opening inventory and value</t>
  </si>
  <si>
    <t>Belmont Maiz Cancha 15oz x 12 - Opening inventory and value</t>
  </si>
  <si>
    <t>Chifles Piuranos 125gr x 20 - Opening inventory and value</t>
  </si>
  <si>
    <t>Belmont Aderezo de Anticucho 16oz x 12 - Opening inventory and value</t>
  </si>
  <si>
    <t>Peru Chef Matico bolsa 30gr x 12</t>
  </si>
  <si>
    <t>Belmont Arroz con pollo display x 12 - Opening inventory and value</t>
  </si>
  <si>
    <t>Peru Chef Moringa bolsa 40gr x 12</t>
  </si>
  <si>
    <t>Belmont Carapulcra display x 6 - Opening inventory and value</t>
  </si>
  <si>
    <t>Belmont Cau Cau display x 12 (deleted)</t>
  </si>
  <si>
    <t>Belmont Cau Cau display x 12 - Opening inventory and value</t>
  </si>
  <si>
    <t>Peru Chef Llanten 30gr x 12</t>
  </si>
  <si>
    <t>Belmont  Aji de Gallina x 10 - Opening inventory and value</t>
  </si>
  <si>
    <t>Belmont Ceviche display x 20 (deleted)</t>
  </si>
  <si>
    <t>Belmont Ceviche display x 20 - Opening inventory and value</t>
  </si>
  <si>
    <t>Chifles Piuranos 250gr x 10 - Opening inventory and value</t>
  </si>
  <si>
    <t>04/17/2025</t>
  </si>
  <si>
    <t>Margarita (deleted)</t>
  </si>
  <si>
    <t>Margarita - Opening inventory and value</t>
  </si>
  <si>
    <t>04/20/2025</t>
  </si>
  <si>
    <t>Aceituna Verde Despepitada 11.83 Oz - Opening inventory and value</t>
  </si>
  <si>
    <t>Peru Chef Emoliente bebida 16oz</t>
  </si>
  <si>
    <t>Emoliente - Opening inventory and value</t>
  </si>
  <si>
    <t>Peru Chef Passion Fruit bebida 16oz x24</t>
  </si>
  <si>
    <t>Passion Fruit - Opening inventory and value</t>
  </si>
  <si>
    <t>Pasta Aji Panca Poco Picante 11 Oz X 12 - Opening inventory and value</t>
  </si>
  <si>
    <t>Galletas Soda Field (deleted)</t>
  </si>
  <si>
    <t>Galletas Soda Field - Opening inventory and value</t>
  </si>
  <si>
    <t>Chomp Galletas Naranja 42 G (deleted)</t>
  </si>
  <si>
    <t>Chomp Galletas Naranja 42 G - Opening inventory and value</t>
  </si>
  <si>
    <t>Galletas Margaritas (deleted)</t>
  </si>
  <si>
    <t>Galletas Margaritas - Opening inventory and value</t>
  </si>
  <si>
    <t>SIBARITA - Panquita Doypack - Opening inventory and value</t>
  </si>
  <si>
    <t>Salsa de Soya KIKKO - Sillao / Soy Sauce KIKKO - Sillao (deleted)</t>
  </si>
  <si>
    <t>Salsa de Soya KIKKO - Sillao / Soy Sauce KIKKO - Sillao - Opening inventory and value</t>
  </si>
  <si>
    <t>SIBARITA - Ajo / Garlic - Opening inventory and value</t>
  </si>
  <si>
    <t>SIBARITA - Tuco Tallarin - Opening inventory and value</t>
  </si>
  <si>
    <t>SIBARITA - Amarillin Doypack - Opening inventory and value</t>
  </si>
  <si>
    <t>SIBARITA - Ajo / Garlic Family Pack - Opening inventory and value</t>
  </si>
  <si>
    <t>04/22/2025</t>
  </si>
  <si>
    <t>Inventory Qty Adjust</t>
  </si>
  <si>
    <t>ITEM_INACTIVATED</t>
  </si>
  <si>
    <t>Item inactivated</t>
  </si>
  <si>
    <t>04/26/2025</t>
  </si>
  <si>
    <t>659</t>
  </si>
  <si>
    <t>660</t>
  </si>
  <si>
    <t>716</t>
  </si>
  <si>
    <t>Broken bottles during handling – warehouse</t>
  </si>
  <si>
    <t>706</t>
  </si>
  <si>
    <t>Corrected inventory entry – accidentally added 104 to wrong product</t>
  </si>
  <si>
    <t>730</t>
  </si>
  <si>
    <t>732</t>
  </si>
  <si>
    <t>734</t>
  </si>
  <si>
    <t>736</t>
  </si>
  <si>
    <t>738</t>
  </si>
  <si>
    <t>Paneton Donofrio 6/31.04 oz - Opening inventory and value</t>
  </si>
  <si>
    <t>Total for --</t>
  </si>
  <si>
    <t>TOTAL</t>
  </si>
  <si>
    <t>Transaction date</t>
  </si>
  <si>
    <t>Transaction type</t>
  </si>
  <si>
    <t>Num</t>
  </si>
  <si>
    <t>Product/Service full name</t>
  </si>
  <si>
    <t>Memo/Description</t>
  </si>
  <si>
    <t>Quantity</t>
  </si>
  <si>
    <t>Rate</t>
  </si>
  <si>
    <t>Amount</t>
  </si>
  <si>
    <t>Balance</t>
  </si>
  <si>
    <t xml:space="preserve"> Wednesday, December 24, 2025 03:22 AM GMTZ</t>
  </si>
  <si>
    <t>Vendor</t>
  </si>
  <si>
    <t>BP</t>
  </si>
  <si>
    <t>Total general</t>
  </si>
  <si>
    <t>Mín. de Rate</t>
  </si>
  <si>
    <t>Valores</t>
  </si>
  <si>
    <t>Máx. de Rate</t>
  </si>
  <si>
    <t>Dif</t>
  </si>
  <si>
    <t>List Price</t>
  </si>
  <si>
    <t>Version</t>
  </si>
  <si>
    <t>Se repite</t>
  </si>
  <si>
    <t>x</t>
  </si>
  <si>
    <t>y</t>
  </si>
  <si>
    <t>Repite producto en proveedor?</t>
  </si>
  <si>
    <t>Repite producto?</t>
  </si>
  <si>
    <t>Repite precio en producto en proveedor?</t>
  </si>
  <si>
    <t>#</t>
  </si>
  <si>
    <t>Final</t>
  </si>
  <si>
    <t>El producto Agua Ozarka Texas, 8 fl oz, Paquete de 48 Botellas de Plástico No se repite en proveedor Una vez con el precio 7.98</t>
  </si>
  <si>
    <t>El producto Aji Panca Seco sin pepa 2.04kg Se repite 2 veces en Peru Chef Una vez con el precio 180</t>
  </si>
  <si>
    <t>El producto Aji Panca Seco sin pepa 2.04kg Se repite 2 veces en Peru Chef Una vez con el precio 40</t>
  </si>
  <si>
    <t>El producto AjiNomoto Bolsa 1Kg x 18 No se repite en proveedor Una vez con el precio 109</t>
  </si>
  <si>
    <t>El producto AjiNomoto Bolsa 1Kg x 18 Se repite 4 veces en Tradiciones Andinas, Se repite 4 veces el precio de 85</t>
  </si>
  <si>
    <t>El producto Ajinomoto Bolsa 250gr x 60 No se repite en proveedor Una vez con el precio 90</t>
  </si>
  <si>
    <t>El producto Ajinomoto Bolsa 250gr x 60 Se repite 2 veces en Peru Chef, Se repite 2 veces el precio de 99</t>
  </si>
  <si>
    <t>El producto Ajinomoto Bolsa 250gr x 60 Se repite 4 veces en Tradiciones Andinas Una vez con el precio 69</t>
  </si>
  <si>
    <t>El producto Ajinomoto Bolsa 250gr x 60 Se repite 4 veces en Tradiciones Andinas, Se repite 3 veces el precio de 73.8</t>
  </si>
  <si>
    <t>El producto AjiNomoto Bolsa 500g x 30 Se repite 5 veces en Tradiciones Andinas Una vez con el precio 71</t>
  </si>
  <si>
    <t>El producto AjiNomoto Bolsa 500g x 30 Se repite 5 veces en Tradiciones Andinas, Se repite 4 veces el precio de 75.97</t>
  </si>
  <si>
    <t>El producto AJINOSIYAO 500ml x 24 No se repite en proveedor Una vez con el precio 50.4</t>
  </si>
  <si>
    <t>El producto AJINOSIYAO 500ml x 24 No se repite en proveedor Una vez con el precio 45</t>
  </si>
  <si>
    <t>El producto AJINOSIYAO 500ml x 24 Se repite 3 veces en Tradiciones Andinas, Se repite 3 veces el precio de 28.8</t>
  </si>
  <si>
    <t>El producto Arrocito Atomico 150gr x 20 (5.3oz)  x 20 Se repite 2 veces en Tradiciones Andinas Una vez con el precio 20</t>
  </si>
  <si>
    <t>El producto Arrocito Atomico 150gr x 20 (5.3oz)  x 20 Se repite 2 veces en Tradiciones Andinas Una vez con el precio 21.4</t>
  </si>
  <si>
    <t>El producto Atun Florida Solido en aceite 6 oz X 48 Se repite 6 veces en Peru Chef, Se repite 2 veces el precio de 82.5</t>
  </si>
  <si>
    <t>El producto Atun Florida Solido en aceite 6 oz X 48 Se repite 6 veces en Peru Chef Una vez con el precio 82</t>
  </si>
  <si>
    <t>El producto Atun Florida Solido en aceite 6 oz X 48 Se repite 6 veces en Peru Chef, Se repite 3 veces el precio de 81</t>
  </si>
  <si>
    <t>El producto Belmont Aceituna Bidon 104oz x 6 Se repite 2 veces en Belmont International Trading Corp, Se repite 2 veces el precio de 106</t>
  </si>
  <si>
    <t>El producto Belmont Aceituna Botija 20oz x 12 Se repite 2 veces en Belmont International Trading Corp, Se repite 2 veces el precio de 39</t>
  </si>
  <si>
    <t>El producto Belmont Aderezo de Anticucho 16oz x 12 Se repite 2 veces en Belmont International Trading Corp Una vez con el precio 41</t>
  </si>
  <si>
    <t>El producto Belmont Aderezo de Anticucho 16oz x 12 Se repite 2 veces en Belmont International Trading Corp Una vez con el precio 45</t>
  </si>
  <si>
    <t>El producto Belmont Aji Amarillo desvenado FROZEN  12oz  x 10 No se repite en proveedor Una vez con el precio 30.9</t>
  </si>
  <si>
    <t>El producto Belmont Aji Amarillo desvenado FROZEN  2Lb x 8 No se repite en proveedor Una vez con el precio 56</t>
  </si>
  <si>
    <t>El producto Belmont Aji Amarillo en Salmuera 20oz x 12 No se repite en proveedor Una vez con el precio 36.75</t>
  </si>
  <si>
    <t>El producto Belmont Aji Amarillo entero 1Lb x 18 FROZEN Se repite 2 veces en Belmont International Trading Corp, Se repite 2 veces el precio de 45</t>
  </si>
  <si>
    <t>El producto Belmont Aji Amarillo pasta 16oz x 12 No se repite en proveedor Una vez con el precio 44</t>
  </si>
  <si>
    <t>El producto Belmont Aji Amarillo pasta 8oz x 12 No se repite en proveedor Una vez con el precio 23.5</t>
  </si>
  <si>
    <t>El producto Belmont Aji Limo 14oz x 9 FROZEN Se repite 2 veces en Belmont International Trading Corp, Se repite 2 veces el precio de 20.9</t>
  </si>
  <si>
    <t>El producto Belmont Aji Panca pasta 16Oz x 12 No se repite en proveedor Una vez con el precio 44</t>
  </si>
  <si>
    <t>El producto Belmont Aji Panca pasta 8oz x 12 No se repite en proveedor Una vez con el precio 23.5</t>
  </si>
  <si>
    <t>El producto Belmont Aji Panca pasta Bidon 7Lb No se repite en proveedor Una vez con el precio 20.1666</t>
  </si>
  <si>
    <t>El producto Belmont Chicha de Jora No se repite en proveedor Una vez con el precio 35.9</t>
  </si>
  <si>
    <t>El producto Belmont Chicha Morada 16oz x 12 Se repite 4 veces en Belmont International Trading Corp, Se repite 4 veces el precio de 12.5</t>
  </si>
  <si>
    <t>El producto Belmont Chicha Morada 1Lt x 6 Se repite 3 veces en Belmont International Trading Corp, Se repite 3 veces el precio de 12</t>
  </si>
  <si>
    <t>El producto Belmont Chifles Piuranos 125gr x 20 No se repite en proveedor Una vez con el precio 37.5</t>
  </si>
  <si>
    <t>El producto Belmont Chifles Piuranos 250gr x 10 No se repite en proveedor Una vez con el precio 36.5</t>
  </si>
  <si>
    <t>El producto Belmont Chirimoya pulpa 14oz x 20 Se repite 2 veces en Belmont International Trading Corp Una vez con el precio 48</t>
  </si>
  <si>
    <t>El producto Belmont Chirimoya pulpa 14oz x 20 Se repite 2 veces en Belmont International Trading Corp Una vez con el precio 52.9</t>
  </si>
  <si>
    <t>El producto Belmont Choclo desgranado 1Lb x 30 FROZEN Se repite 3 veces en Belmont International Trading Corp, Se repite 3 veces el precio de 72.5</t>
  </si>
  <si>
    <t>El producto Belmont Choclo Desgranado 3Lb x 10 Se repite 2 veces en Belmont International Trading Corp, Se repite 2 veces el precio de 72.5</t>
  </si>
  <si>
    <t>El producto Belmont Concentrado Chicha Morada  64oz x 6 Se repite 2 veces en Belmont International Trading Corp Una vez con el precio 35.5</t>
  </si>
  <si>
    <t>El producto Belmont Concentrado Chicha Morada  64oz x 6 Se repite 2 veces en Belmont International Trading Corp Una vez con el precio 41.9</t>
  </si>
  <si>
    <t>El producto Belmont Culantro pasta 8oz x 12 No se repite en proveedor Una vez con el precio 23.5</t>
  </si>
  <si>
    <t>El producto Belmont Emoliente bebida 16oz x 12 Se repite 2 veces en Belmont International Trading Corp, Se repite 2 veces el precio de 12.5</t>
  </si>
  <si>
    <t>El producto Belmont Galleta Cream Crackers 258gr x 24 No se repite en proveedor Una vez con el precio 48</t>
  </si>
  <si>
    <t>El producto Belmont Habas Secas Peladas 15oz x 12 No se repite en proveedor Una vez con el precio 25</t>
  </si>
  <si>
    <t>El producto Belmont Harina de Camote 15oz x 12 No se repite en proveedor Una vez con el precio 22</t>
  </si>
  <si>
    <t>El producto Belmont jugo de Maracuya 16oz x 12 Se repite 3 veces en Belmont International Trading Corp, Se repite 3 veces el precio de 12.5</t>
  </si>
  <si>
    <t>El producto Belmont jugo de Maracuya 1Lt x 6 Se repite 2 veces en Belmont International Trading Corp, Se repite 2 veces el precio de 12</t>
  </si>
  <si>
    <t>El producto Belmont Maiz Cancha 15oz x 12 No se repite en proveedor Una vez con el precio 22</t>
  </si>
  <si>
    <t>El producto Belmont Maiz Chulpe 15oz x 12 No se repite en proveedor Una vez con el precio 29</t>
  </si>
  <si>
    <t>El producto Belmont Maiz Morado x 15oz No se repite en proveedor Una vez con el precio 27.9</t>
  </si>
  <si>
    <t>El producto Belmont Mango Nectar No se repite en proveedor Una vez con el precio 12.5</t>
  </si>
  <si>
    <t>El producto Belmont Mango nectar 1Lt x 6 Se repite 2 veces en Belmont International Trading Corp, Se repite 2 veces el precio de 12</t>
  </si>
  <si>
    <t>El producto Belmont Maracuya con pepas FROZEN 1Kg x 16 No se repite en proveedor Una vez con el precio 79.5</t>
  </si>
  <si>
    <t>El producto Belmont Pallares 15oz x 14 No se repite en proveedor Una vez con el precio 29.9</t>
  </si>
  <si>
    <t>El producto Belmont Pulpa de Lucuma No se repite en proveedor Una vez con el precio 62.9</t>
  </si>
  <si>
    <t>El producto Belmont Pulpa de Maracuya 14oz x 20 Se repite 3 veces en Belmont International Trading Corp, Se repite 3 veces el precio de 48.5</t>
  </si>
  <si>
    <t>El producto Belmont Rocoto Desvenado limpio FROZEN 2lb x 10 No se repite en proveedor Una vez con el precio 66.5</t>
  </si>
  <si>
    <t>El producto Belmont Rocoto en salmuera 20oz x 12 No se repite en proveedor Una vez con el precio 39.9</t>
  </si>
  <si>
    <t>El producto Belmont Rocoto entero FROZEN No se repite en proveedor Una vez con el precio 51</t>
  </si>
  <si>
    <t>El producto Belmont Yuyo Marino FROZEN 2.2lb x 8 Se repite 5 veces en Belmont International Trading Corp Una vez con el precio 54</t>
  </si>
  <si>
    <t>El producto Belmont Yuyo Marino FROZEN 2.2lb x 8 Se repite 5 veces en Belmont International Trading Corp, Se repite 4 veces el precio de 59.9</t>
  </si>
  <si>
    <t>El producto CASINO Galleta Chocolate 51gr x 6 x 8 Se repite 2 veces en Belmont International Trading Corp Una vez con el precio 16</t>
  </si>
  <si>
    <t>El producto CASINO Galleta Chocolate 51gr x 6 x 8 Se repite 2 veces en Belmont International Trading Corp Una vez con el precio 17.6</t>
  </si>
  <si>
    <t>El producto CASINO Galleta Chocolate 51gr x 6 x 8 Se repite 3 veces en Peru Chef Una vez con el precio 15.5</t>
  </si>
  <si>
    <t>El producto CASINO Galleta Chocolate 51gr x 6 x 8 Se repite 3 veces en Peru Chef Una vez con el precio 17</t>
  </si>
  <si>
    <t>El producto CASINO Galleta Chocolate 51gr x 6 x 8 Se repite 3 veces en Peru Chef Una vez con el precio 15.3</t>
  </si>
  <si>
    <t>El producto CASINO Galleta Fresa  51gr x 6 x 8 Se repite 2 veces en Belmont International Trading Corp Una vez con el precio 16</t>
  </si>
  <si>
    <t>El producto CASINO Galleta Fresa  51gr x 6 x 8 Se repite 2 veces en Belmont International Trading Corp Una vez con el precio 17.6</t>
  </si>
  <si>
    <t>El producto CASINO Galleta Fresa  51gr x 6 x 8 Se repite 2 veces en Peru Chef, Se repite 2 veces el precio de 17</t>
  </si>
  <si>
    <t>El producto CASINO Galleta Fresa  51gr x 6 x 8 No se repite en proveedor Una vez con el precio 18.32</t>
  </si>
  <si>
    <t>El producto CASINO Galleta Lucuma 51gr x 6 x 8 No se repite en proveedor Una vez con el precio 16</t>
  </si>
  <si>
    <t>El producto CASINO Galleta Lucuma 51gr x 6 x 8 Se repite 2 veces en Peru Chef Una vez con el precio 17</t>
  </si>
  <si>
    <t>El producto CASINO Galleta Lucuma 51gr x 6 x 8 Se repite 2 veces en Peru Chef Una vez con el precio 15.3</t>
  </si>
  <si>
    <t>El producto CASINO Galleta Menta 51gr x 6 x 8 Se repite 3 veces en Belmont International Trading Corp Una vez con el precio 16</t>
  </si>
  <si>
    <t>El producto CASINO Galleta Menta 51gr x 6 x 8 Se repite 3 veces en Belmont International Trading Corp, Se repite 2 veces el precio de 17.6</t>
  </si>
  <si>
    <t>El producto CASINO Galleta Menta 51gr x 6 x 8 Se repite 4 veces en Peru Chef Una vez con el precio 15.5</t>
  </si>
  <si>
    <t>El producto CASINO Galleta Menta 51gr x 6 x 8 Se repite 4 veces en Peru Chef, Se repite 2 veces el precio de 17</t>
  </si>
  <si>
    <t>El producto CASINO Galleta Menta 51gr x 6 x 8 Se repite 4 veces en Peru Chef Una vez con el precio 15.3</t>
  </si>
  <si>
    <t>El producto Chocman 30G 6 x 14 No se repite en proveedor Una vez con el precio 21.5</t>
  </si>
  <si>
    <t>El producto Chocman 30G 6 x 14 Se repite 2 veces en Peru Chef, Se repite 2 veces el precio de 27</t>
  </si>
  <si>
    <t>El producto Chocman Doble Manjar 53gr x 8 x 6 Se repite 5 veces en Peru Chef, Se repite 3 veces el precio de 22</t>
  </si>
  <si>
    <t>El producto Chocman Doble Manjar 53gr x 8 x 6 Se repite 5 veces en Peru Chef, Se repite 2 veces el precio de 19.8</t>
  </si>
  <si>
    <t>El producto Chocolate Cuzco con canela y clavo  4 x 12 No se repite en proveedor Una vez con el precio 30</t>
  </si>
  <si>
    <t>El producto Chocolate Cuzco regular  4 x 12 Se repite 2 veces en Belmont International Trading Corp Una vez con el precio 30</t>
  </si>
  <si>
    <t>El producto Chocolate Cuzco regular  4 x 12 Se repite 2 veces en Belmont International Trading Corp Una vez con el precio 4</t>
  </si>
  <si>
    <t>El producto Chocolate Triangulo x 22 Se repite 6 veces en Peru Chef, Se repite 4 veces el precio de 15.5</t>
  </si>
  <si>
    <t>El producto Chocolate Triangulo x 22 Se repite 6 veces en Peru Chef, Se repite 2 veces el precio de 13.95</t>
  </si>
  <si>
    <t>El producto Coco Milk Drink with Nata de Coco MANGO No se repite en proveedor Una vez con el precio 23.76</t>
  </si>
  <si>
    <t>El producto Coco Milk Drink with Nata de Coco ORIGINAL No se repite en proveedor Una vez con el precio 23.76</t>
  </si>
  <si>
    <t>El producto Coco Milk Drink with Nata de Coco STRAWBERRY No se repite en proveedor Una vez con el precio 23.76</t>
  </si>
  <si>
    <t>El producto Conaprole - Dulce de Leche - Milk Caramel Spread No se repite en proveedor Una vez con el precio 148</t>
  </si>
  <si>
    <t>El producto CORONITA - Galleta de Chocolate x 6 x 28 Se repite 2 veces en Belmont International Trading Corp Una vez con el precio 56</t>
  </si>
  <si>
    <t>El producto CORONITA - Galleta de Chocolate x 6 x 28 Se repite 2 veces en Belmont International Trading Corp Una vez con el precio 61.6</t>
  </si>
  <si>
    <t>El producto Cua Cua 9 x 24 No se repite en proveedor Una vez con el precio 63</t>
  </si>
  <si>
    <t>El producto Cua Cua 9 x 24 No se repite en proveedor Una vez con el precio 68</t>
  </si>
  <si>
    <t>El producto Cua Cua 9 x 24 Se repite 7 veces en Tradiciones Andinas, Se repite 2 veces el precio de 47.76</t>
  </si>
  <si>
    <t>El producto Cua Cua 9 x 24 Se repite 7 veces en Tradiciones Andinas, Se repite 3 veces el precio de 51.1</t>
  </si>
  <si>
    <t>El producto Cua Cua 9 x 24 Se repite 7 veces en Tradiciones Andinas, Se repite 2 veces el precio de 54.96</t>
  </si>
  <si>
    <t>El producto DEL VALLE - Boldo Filtrante 25gr x 25 x 32 Se repite 4 veces en Tradiciones Andinas, Se repite 4 veces el precio de 39.46</t>
  </si>
  <si>
    <t>El producto DEL VALLE - Chancapiedra filtrante 25 x 32 Se repite 3 veces en Tradiciones Andinas Una vez con el precio 36.88</t>
  </si>
  <si>
    <t>El producto DEL VALLE - Chancapiedra filtrante 25 x 32 Se repite 3 veces en Tradiciones Andinas, Se repite 2 veces el precio de 39.46</t>
  </si>
  <si>
    <t>El producto DEL VALLE  Una de Gato filtrante 25 x 32 Se repite 4 veces en Tradiciones Andinas Una vez con el precio 36.88</t>
  </si>
  <si>
    <t>El producto DEL VALLE  Una de Gato filtrante 25 x 32 Se repite 4 veces en Tradiciones Andinas, Se repite 3 veces el precio de 39.46</t>
  </si>
  <si>
    <t>El producto Display Strip Se repite 2 veces en Amazon, Se repite 2 veces el precio de 5.41</t>
  </si>
  <si>
    <t>El producto Doña Pepa 23gr 6 x 36 No se repite en proveedor Una vez con el precio 70</t>
  </si>
  <si>
    <t>El producto Doña Pepa 23gr 6 x 36 Se repite 7 veces en Tradiciones Andinas, Se repite 2 veces el precio de 53.64</t>
  </si>
  <si>
    <t>El producto Doña Pepa 23gr 6 x 36 Se repite 7 veces en Tradiciones Andinas, Se repite 3 veces el precio de 57.39</t>
  </si>
  <si>
    <t>El producto Doña Pepa 23gr 6 x 36 Se repite 7 veces en Tradiciones Andinas, Se repite 2 veces el precio de 60.84</t>
  </si>
  <si>
    <t>El producto D'Onofrio Chocolate Sublime 26 G x 24 Se repite 2 veces en Belmont International Trading Corp Una vez con el precio 12.25</t>
  </si>
  <si>
    <t>El producto D'Onofrio Chocolate Sublime 26 G x 24 Se repite 2 veces en Belmont International Trading Corp Una vez con el precio 13.5</t>
  </si>
  <si>
    <t>El producto D'Onofrio Chocolate Sublime 26 G x 24 Se repite 6 veces en Peru Chef, Se repite 4 veces el precio de 15</t>
  </si>
  <si>
    <t>El producto D'Onofrio Chocolate Sublime 26 G x 24 Se repite 6 veces en Peru Chef, Se repite 2 veces el precio de 13.5</t>
  </si>
  <si>
    <t>El producto ECCO - Café instantaneo de Cebada -Barley Instant Coffee Se repite 5 veces en Peru Chef, Se repite 2 veces el precio de 54</t>
  </si>
  <si>
    <t>El producto ECCO - Café instantaneo de Cebada -Barley Instant Coffee Se repite 5 veces en Peru Chef, Se repite 3 veces el precio de 61</t>
  </si>
  <si>
    <t>El producto EL TRIUNFO Fideo Chino - Chinese Noodles 250gr x 30 Se repite 4 veces en Peru Chef, Se repite 2 veces el precio de 36</t>
  </si>
  <si>
    <t>El producto EL TRIUNFO Fideo Chino - Chinese Noodles 250gr x 30 Se repite 4 veces en Peru Chef Una vez con el precio 39</t>
  </si>
  <si>
    <t>El producto EL TRIUNFO Fideo Chino - Chinese Noodles 250gr x 30 Se repite 4 veces en Peru Chef Una vez con el precio 9</t>
  </si>
  <si>
    <t>El producto EL TRIUNFO Fideo Chino - Chinese Noodles 250gr x 30 Se repite 3 veces en Tradiciones Andinas, Se repite 3 veces el precio de 30</t>
  </si>
  <si>
    <t>El producto Fideos San Jorge Cabello De Angel 250gr x 40 Se repite 2 veces en Peru Chef, Se repite 2 veces el precio de 22</t>
  </si>
  <si>
    <t>El producto Fideos San Jorge Caracol 250gr x 20 Se repite 2 veces en Peru Chef, Se repite 2 veces el precio de 13</t>
  </si>
  <si>
    <t>El producto Fideos San Jorge Letras y Numeros 250gr x 20 Se repite 2 veces en Peru Chef, Se repite 2 veces el precio de 13</t>
  </si>
  <si>
    <t>El producto Fideos San Jorge Spaguetti 500 G X 20 Se repite 5 veces en Peru Chef, Se repite 2 veces el precio de 22</t>
  </si>
  <si>
    <t>El producto Fideos San Jorge Spaguetti 500 G X 20 Se repite 5 veces en Peru Chef, Se repite 3 veces el precio de 19.8</t>
  </si>
  <si>
    <t>El producto Fideos San Jorge Tallarin 500gr x  20 Se repite 3 veces en Peru Chef, Se repite 2 veces el precio de 22</t>
  </si>
  <si>
    <t>El producto Fideos San Jorge Tallarin 500gr x  20 Se repite 3 veces en Peru Chef Una vez con el precio 19.8</t>
  </si>
  <si>
    <t>El producto FIELD - Chocosoda Galletas 6 x 32 Se repite 2 veces en Belmont International Trading Corp Una vez con el precio 77</t>
  </si>
  <si>
    <t>El producto FIELD - Chocosoda Galletas 6 x 32 Se repite 2 veces en Belmont International Trading Corp Una vez con el precio 84.9</t>
  </si>
  <si>
    <t>El producto FIELD - Chocosoda Galletas 6 x 32 No se repite en proveedor Una vez con el precio 79.5</t>
  </si>
  <si>
    <t>El producto FIELD - Chocosoda Galletas 6 x 32 Se repite 2 veces en Tradiciones Andinas, Se repite 2 veces el precio de 66.88</t>
  </si>
  <si>
    <t>El producto FIELD - Galletas de Soda 34gr x 6 x 36 No se repite en proveedor Una vez con el precio 50.4</t>
  </si>
  <si>
    <t>El producto FIELD - Galletas de Soda 34gr x 6 x 36 Se repite 4 veces en Tradiciones Andinas, Se repite 4 veces el precio de 46.44</t>
  </si>
  <si>
    <t>El producto FIELD - Galletas de Vainilla 37 gr x 6 x 24 No se repite en proveedor Una vez con el precio 49</t>
  </si>
  <si>
    <t>El producto FIELD - Galletas de Vainilla 37 gr x 6 x 24 Se repite 5 veces en Tradiciones Andinas, Se repite 2 veces el precio de 47.56</t>
  </si>
  <si>
    <t>El producto FIELD - Galletas de Vainilla 37 gr x 6 x 24 Se repite 5 veces en Tradiciones Andinas, Se repite 3 veces el precio de 50.9</t>
  </si>
  <si>
    <t>El producto Galleta Charada Field 40gr x 6 x 28 No se repite en proveedor Una vez con el precio 58</t>
  </si>
  <si>
    <t>El producto Galleta Chomp Naranja Victoria 42gr x 6 x 8 Se repite 4 veces en Peru Chef, Se repite 2 veces el precio de 16</t>
  </si>
  <si>
    <t>El producto Galleta Chomp Naranja Victoria 42gr x 6 x 8 Se repite 4 veces en Peru Chef, Se repite 2 veces el precio de 17</t>
  </si>
  <si>
    <t>El producto Galleta Chomp Naranja Victoria 42gr x 6 x 8 Se repite 3 veces en Tradiciones Andinas, Se repite 3 veces el precio de 18.32</t>
  </si>
  <si>
    <t>El producto Galleta Club Social 6 x 32 Se repite 2 veces en Belmont International Trading Corp Una vez con el precio 55</t>
  </si>
  <si>
    <t>El producto Galleta Club Social 6 x 32 Se repite 2 veces en Belmont International Trading Corp Una vez con el precio 60.5</t>
  </si>
  <si>
    <t>El producto Galleta Municion San Jorge 1.94oz (55gr) x 25 No se repite en proveedor Una vez con el precio 9.5</t>
  </si>
  <si>
    <t>El producto Galletas Chomp Chocolate 42gr x 6 x 8 Se repite 5 veces en Peru Chef, Se repite 2 veces el precio de 16</t>
  </si>
  <si>
    <t>El producto Galletas Chomp Chocolate 42gr x 6 x 8 Se repite 5 veces en Peru Chef Una vez con el precio 17</t>
  </si>
  <si>
    <t>El producto Galletas Chomp Chocolate 42gr x 6 x 8 Se repite 5 veces en Peru Chef, Se repite 2 veces el precio de 15.3</t>
  </si>
  <si>
    <t>El producto Galletas Margarita Sayon 6 x 8 pack No se repite en proveedor Una vez con el precio 16</t>
  </si>
  <si>
    <t>El producto Galletas Margarita Sayon 6 x 8 pack No se repite en proveedor Una vez con el precio 17</t>
  </si>
  <si>
    <t>El producto Galletas Margarita Sayon 6 x 8 pack Se repite 6 veces en Tradiciones Andinas, Se repite 2 veces el precio de 12.8</t>
  </si>
  <si>
    <t>El producto Galletas Margarita Sayon 6 x 8 pack Se repite 6 veces en Tradiciones Andinas, Se repite 4 veces el precio de 13.57</t>
  </si>
  <si>
    <t>El producto Galletas Morochas 30gr 12 x 22 Se repite 4 veces en Tradiciones Andinas Una vez con el precio 67.98</t>
  </si>
  <si>
    <t>El producto Galletas Morochas 30gr 12 x 22 Se repite 4 veces en Tradiciones Andinas, Se repite 3 veces el precio de 72.72</t>
  </si>
  <si>
    <t>El producto Galletas Morochas 30gr 6x 30 Se repite 3 veces en Belmont International Trading Corp Una vez con el precio 58</t>
  </si>
  <si>
    <t>El producto Galletas Morochas 30gr 6x 30 Se repite 3 veces en Belmont International Trading Corp, Se repite 2 veces el precio de 63.9</t>
  </si>
  <si>
    <t>El producto Galletas Morochas 30gr 6x 30 Se repite 3 veces en Peru Chef, Se repite 3 veces el precio de 78</t>
  </si>
  <si>
    <t>El producto Gelatina Universal Durazno / Peach Gelatin 150gr x 12 Se repite 3 veces en Tradiciones Andinas Una vez con el precio 13.08</t>
  </si>
  <si>
    <t>El producto Gelatina Universal Durazno / Peach Gelatin 150gr x 12 Se repite 3 veces en Tradiciones Andinas, Se repite 2 veces el precio de 14</t>
  </si>
  <si>
    <t>El producto Gelatina Universal Fresa / Strawberry Gelatin 150gr x 12 Se repite 7 veces en Tradiciones Andinas Una vez con el precio 13.08</t>
  </si>
  <si>
    <t>El producto Gelatina Universal Fresa / Strawberry Gelatin 150gr x 12 Se repite 7 veces en Tradiciones Andinas, Se repite 6 veces el precio de 14</t>
  </si>
  <si>
    <t>El producto Gelatina Universal Naranja / Orange Gelatin 150gr x 12 Se repite 7 veces en Tradiciones Andinas, Se repite 3 veces el precio de 13.08</t>
  </si>
  <si>
    <t>El producto Gelatina Universal Naranja / Orange Gelatin 150gr x 12 Se repite 7 veces en Tradiciones Andinas, Se repite 4 veces el precio de 14</t>
  </si>
  <si>
    <t>El producto Gelatina Universal Piña / Pineapple Gelatin 150gr x 12 Se repite 5 veces en Tradiciones Andinas Una vez con el precio 13.08</t>
  </si>
  <si>
    <t>El producto Gelatina Universal Piña / Pineapple Gelatin 150gr x 12 Se repite 5 veces en Tradiciones Andinas, Se repite 4 veces el precio de 14</t>
  </si>
  <si>
    <t>El producto Glacitas Chocolate 32gr 6 x 8 Se repite 3 veces en Peru Chef, Se repite 3 veces el precio de 17</t>
  </si>
  <si>
    <t>El producto Glacitas Choconieve 32gr 6 x 8 Se repite 5 veces en Peru Chef, Se repite 3 veces el precio de 17</t>
  </si>
  <si>
    <t>El producto Glacitas Choconieve 32gr 6 x 8 Se repite 5 veces en Peru Chef, Se repite 2 veces el precio de 15.3</t>
  </si>
  <si>
    <t>El producto Glacitas Fresa 32gr 6 x 8 Se repite 5 veces en Peru Chef, Se repite 3 veces el precio de 17</t>
  </si>
  <si>
    <t>El producto Glacitas Fresa 32gr 6 x 8 Se repite 5 veces en Peru Chef, Se repite 2 veces el precio de 15.3</t>
  </si>
  <si>
    <t>El producto Glacitas Toffee 32gr 6 x 8 Se repite 2 veces en Peru Chef Una vez con el precio 17</t>
  </si>
  <si>
    <t>El producto Glacitas Toffee 32gr 6 x 8 Se repite 2 veces en Peru Chef Una vez con el precio 15.3</t>
  </si>
  <si>
    <t>El producto Gloria Chicha Morada 1Lt x 12 TETRAPACK No se repite en proveedor Una vez con el precio 15.9</t>
  </si>
  <si>
    <t>El producto Gn Rellenitas Choco y Fresa x 8 x 5 No se repite en proveedor Una vez con el precio 8.1</t>
  </si>
  <si>
    <t>El producto Gn Rellenitas Choco y Menta x 8 x 5 No se repite en proveedor Una vez con el precio 8.1</t>
  </si>
  <si>
    <t>El producto Gn Rellenitas Coco x 8 x 5 Se repite 3 veces en Peru Chef, Se repite 3 veces el precio de 9</t>
  </si>
  <si>
    <t>El producto Gn Rellenitas Fresa x 8 x 5 pack Se repite 4 veces en Peru Chef, Se repite 3 veces el precio de 9</t>
  </si>
  <si>
    <t>El producto Gn Rellenitas Fresa x 8 x 5 pack Se repite 4 veces en Peru Chef Una vez con el precio 8.1</t>
  </si>
  <si>
    <t>El producto Gn Rellenitas Limon x 8 x 5 pack No se repite en proveedor Una vez con el precio 8.1</t>
  </si>
  <si>
    <t>El producto Gn Rellenitas Lucuma x 8 x 5 No se repite en proveedor Una vez con el precio 8.1</t>
  </si>
  <si>
    <t>El producto Huancaina A la Cena 17.06oz (400gr) x 12 Se repite 2 veces en Belmont International Trading Corp Una vez con el precio 39.5</t>
  </si>
  <si>
    <t>El producto Huancaina A la Cena 17.06oz (400gr) x 12 Se repite 2 veces en Belmont International Trading Corp Una vez con el precio 43.5</t>
  </si>
  <si>
    <t>El producto Huancaina A la Cena 17.06oz (400gr) x 12 Se repite 3 veces en Peru Chef, Se repite 3 veces el precio de 35</t>
  </si>
  <si>
    <t>El producto Inca Kola Diet Lata 12oz x 24 Se repite 3 veces en Continental Food and Beverage, inc Una vez con el precio 11.94</t>
  </si>
  <si>
    <t>El producto Inca Kola Diet Lata 12oz x 24 Se repite 3 veces en Continental Food and Beverage, inc, Se repite 2 veces el precio de 12.44</t>
  </si>
  <si>
    <t>El producto Inca Kola Plastico 2Lt x 8 Se repite 5 veces en Continental Food and Beverage, inc Una vez con el precio 12.73</t>
  </si>
  <si>
    <t>El producto Inca Kola Plastico 2Lt x 8 Se repite 5 veces en Continental Food and Beverage, inc, Se repite 4 veces el precio de 13.28</t>
  </si>
  <si>
    <t>El producto Inca Kola Regular  x 24 Latas Se repite 4 veces en Continental Food and Beverage, inc Una vez con el precio 10.06</t>
  </si>
  <si>
    <t>El producto Inca Kola Regular  x 24 Latas Se repite 4 veces en Continental Food and Beverage, inc Una vez con el precio 12.44</t>
  </si>
  <si>
    <t>El producto Inca Kola Regular  x 24 Latas Se repite 4 veces en Continental Food and Beverage, inc, Se repite 2 veces el precio de 10.56</t>
  </si>
  <si>
    <t>El producto Inca Kola Regular x 12 latas Se repite 7 veces en Continental Food and Beverage, inc Una vez con el precio 4.985</t>
  </si>
  <si>
    <t>El producto Inca Kola Regular x 12 latas Se repite 7 veces en Continental Food and Beverage, inc, Se repite 6 veces el precio de 5.235</t>
  </si>
  <si>
    <t>El producto Inca Kola Vidrio x 24 Se repite 3 veces en Continental Food and Beverage, inc Una vez con el precio 22.5</t>
  </si>
  <si>
    <t>El producto Inca Kola Vidrio x 24 Se repite 3 veces en Continental Food and Beverage, inc, Se repite 2 veces el precio de 24.25</t>
  </si>
  <si>
    <t>El producto Kikko Siyau 500ml x 30 Se repite 2 veces en Peru Chef, Se repite 2 veces el precio de 39</t>
  </si>
  <si>
    <t>El producto Kikko Siyau 500ml x 30 Se repite 6 veces en Tradiciones Andinas, Se repite 3 veces el precio de 29.7</t>
  </si>
  <si>
    <t>El producto Kikko Siyau 500ml x 30 Se repite 6 veces en Tradiciones Andinas, Se repite 3 veces el precio de 31.8</t>
  </si>
  <si>
    <t>El producto Kikko Siyau 5L Se repite 2 veces en Peru Chef Una vez con el precio 11.25</t>
  </si>
  <si>
    <t>El producto Kikko Siyau 5L Se repite 2 veces en Peru Chef Una vez con el precio 10.125</t>
  </si>
  <si>
    <t>El producto KIRMA - Café Instantaneo - Instant Coffee Se repite 4 veces en Peru Chef, Se repite 3 veces el precio de 115</t>
  </si>
  <si>
    <t>El producto KIRMA - Café Instantaneo - Instant Coffee Se repite 4 veces en Peru Chef Una vez con el precio 125</t>
  </si>
  <si>
    <t>El producto Kola Inglesa 12oz x 24 Se repite 2 veces en Continental Food and Beverage, inc, Se repite 2 veces el precio de 16</t>
  </si>
  <si>
    <t>El producto Lam's Chifles dulce en tiras 2.1oz x 24 No se repite en proveedor Una vez con el precio 30</t>
  </si>
  <si>
    <t>El producto Lam's Chifles salado en tiras 2.5oz x 24 No se repite en proveedor Una vez con el precio 30</t>
  </si>
  <si>
    <t>El producto Lam's Patacones / Tostones Dulce 4oz x 24 No se repite en proveedor Una vez con el precio 36</t>
  </si>
  <si>
    <t>El producto Lam's Patacones / Tostones picante 4oz x 24 No se repite en proveedor Una vez con el precio 36</t>
  </si>
  <si>
    <t>El producto Lam's Patacones / Tostones Regular 4oz x 24 No se repite en proveedor Una vez con el precio 36</t>
  </si>
  <si>
    <t>El producto Leche condensada BONLE lata 14oz x 24 No se repite en proveedor Una vez con el precio 25.5</t>
  </si>
  <si>
    <t>El producto Leche evaporada BONLE 12oz x 24 No se repite en proveedor Una vez con el precio 25.5</t>
  </si>
  <si>
    <t>El producto Leche evaporada Gloria 13oz Lata x 24 Se repite 4 veces en Belmont International Trading Corp, Se repite 3 veces el precio de 29.9</t>
  </si>
  <si>
    <t>El producto Leche evaporada Gloria 13oz Lata x 24 Se repite 4 veces en Belmont International Trading Corp Una vez con el precio 25.9</t>
  </si>
  <si>
    <t>El producto Los Nietitos - Dulce de Leche No se repite en proveedor Una vez con el precio 75</t>
  </si>
  <si>
    <t>El producto Maiz Atomico con Maca 125gr x 20 bolsas Se repite 3 veces en Tradiciones Andinas Una vez con el precio 20</t>
  </si>
  <si>
    <t>El producto Maiz Atomico con Maca 125gr x 20 bolsas Se repite 3 veces en Tradiciones Andinas, Se repite 2 veces el precio de 21.4</t>
  </si>
  <si>
    <t>El producto Maiz Atomico Imperial con Miel 125gr x 20 bolsas Se repite 2 veces en Tradiciones Andinas Una vez con el precio 20</t>
  </si>
  <si>
    <t>El producto Maiz Atomico Imperial con Miel 125gr x 20 bolsas Se repite 2 veces en Tradiciones Andinas Una vez con el precio 21.4</t>
  </si>
  <si>
    <t>El producto Mani Confitado Belmont x 25 No se repite en proveedor Una vez con el precio 29.9</t>
  </si>
  <si>
    <t>El producto Mayonesa a la Cena 17.06oz (400gr) x 12 Se repite 3 veces en Belmont International Trading Corp Una vez con el precio 39.5</t>
  </si>
  <si>
    <t>El producto Mayonesa a la Cena 17.06oz (400gr) x 12 Se repite 3 veces en Belmont International Trading Corp, Se repite 2 veces el precio de 43.5</t>
  </si>
  <si>
    <t>El producto Mayonesa a la Cena 17.06oz (400gr) x 12 Se repite 2 veces en Peru Chef, Se repite 2 veces el precio de 35</t>
  </si>
  <si>
    <t>El producto Morocho Partido / Granulated White Corn Se repite 2 veces en Tradiciones Andinas, Se repite 2 veces el precio de 23.76</t>
  </si>
  <si>
    <t>El producto Panela Redonda No se repite en proveedor Una vez con el precio 28</t>
  </si>
  <si>
    <t>El producto Paneton Donofrio 6/31.04 oz Se repite 2 veces en Fiesta Mart #60 Una vez con el precio 65.94</t>
  </si>
  <si>
    <t>El producto Paneton Donofrio 6/31.04 oz Se repite 2 veces en Fiesta Mart #60 Una vez con el precio 47.94</t>
  </si>
  <si>
    <t>El producto Paneton Donofrio 6/31.04 oz No se repite en proveedor Una vez con el precio 50.1535</t>
  </si>
  <si>
    <t>El producto Paneton TODINNO 900gr x 6 Se repite 2 veces en Continental Food and Beverage, inc, Se repite 2 veces el precio de 38</t>
  </si>
  <si>
    <t>El producto Peru Chef Aceituna Verde Despepitada 11.83 Oz No se repite en proveedor Una vez con el precio 27</t>
  </si>
  <si>
    <t>El producto Peru Chef Aceitunas Botija Sin Pepa 20 Oz X 12 Se repite 2 veces en Peru Chef, Se repite 2 veces el precio de 42</t>
  </si>
  <si>
    <t>El producto Peru Chef Aceitunas Negras 20 Oz X 12 Se repite 2 veces en Peru Chef, Se repite 2 veces el precio de 39</t>
  </si>
  <si>
    <t>El producto Peru Chef Aderezo Papa Pollada 10.5 Oz X12 No se repite en proveedor Una vez con el precio 42</t>
  </si>
  <si>
    <t>El producto Peru Chef Aderezo Para Pachamanca 10 5 Oz x 12 frascos Se repite 2 veces en Peru Chef Una vez con el precio 36</t>
  </si>
  <si>
    <t>El producto Peru Chef Aderezo Para Pachamanca 10 5 Oz x 12 frascos Se repite 2 veces en Peru Chef Una vez con el precio 39</t>
  </si>
  <si>
    <t>El producto Peru Chef Aderezo Para Pavo 10.5 Oz X 12 No se repite en proveedor Una vez con el precio 46</t>
  </si>
  <si>
    <t>El producto Peru Chef Adobo De Cerdo 10.5 Oz x 12 frascos No se repite en proveedor Una vez con el precio 39</t>
  </si>
  <si>
    <t>El producto Peru Chef Aji Amarillo 1 Lb X 18 Se repite 2 veces en Peru Chef, Se repite 2 veces el precio de 46</t>
  </si>
  <si>
    <t>El producto Peru Chef Aji Limo 1 Lb X 15 FROZEN Se repite 5 veces en Peru Chef, Se repite 2 veces el precio de 39</t>
  </si>
  <si>
    <t>El producto Peru Chef Aji Limo 1 Lb X 15 FROZEN Se repite 5 veces en Peru Chef, Se repite 3 veces el precio de 43</t>
  </si>
  <si>
    <t>El producto Peru Chef Aji Mirasol 3 oz x 12 No se repite en proveedor Una vez con el precio 12.6</t>
  </si>
  <si>
    <t>El producto Peru Chef Aji Panca Molido 70 G X 12 Se repite 3 veces en Peru Chef, Se repite 3 veces el precio de 26</t>
  </si>
  <si>
    <t>El producto Peru Chef Aji Parrillero 11oz x 12 Se repite 2 veces en Peru Chef, Se repite 2 veces el precio de 39</t>
  </si>
  <si>
    <t>El producto Peru Chef Algarrobina17oz x 12 No se repite en proveedor Una vez con el precio 72</t>
  </si>
  <si>
    <t>El producto Peru Chef Base Para Arroz C/ Mariscos 11 Oz X 12 No se repite en proveedor Una vez con el precio 39</t>
  </si>
  <si>
    <t>El producto Peru Chef Cebada Tostada 15oz x 10 Se repite 4 veces en Peru Chef, Se repite 2 veces el precio de 13</t>
  </si>
  <si>
    <t>El producto Peru Chef Cebada Tostada 15oz x 10 Se repite 4 veces en Peru Chef, Se repite 2 veces el precio de 14</t>
  </si>
  <si>
    <t>El producto Peru Chef Cedron filtrante X 20 No se repite en proveedor Una vez con el precio 21.5</t>
  </si>
  <si>
    <t>El producto Peru Chef Chancapiedra 1.41 Oz X 12 No se repite en proveedor Una vez con el precio 23.4</t>
  </si>
  <si>
    <t>El producto Peru Chef Chicha De Jora 1 L X 12 Se repite 3 veces en Peru Chef, Se repite 3 veces el precio de 39</t>
  </si>
  <si>
    <t>El producto Peru Chef Chicha Morada display 20gr x 12 sobres Se repite 4 veces en Peru Chef, Se repite 4 veces el precio de 12.5</t>
  </si>
  <si>
    <t>El producto Peru Chef Choclo Desgranado 1 Lb X 30 FROZEN Se repite 3 veces en Peru Chef, Se repite 2 veces el precio de 66</t>
  </si>
  <si>
    <t>El producto Peru Chef Choclo Desgranado 1 Lb X 30 FROZEN Se repite 3 veces en Peru Chef Una vez con el precio 64.35</t>
  </si>
  <si>
    <t>El producto Peru Chef Choclo Desgranado 3 Lb X 10 FROZEN Se repite 4 veces en Peru Chef, Se repite 3 veces el precio de 70.5</t>
  </si>
  <si>
    <t>El producto Peru Chef Choclo Desgranado 3 Lb X 10 FROZEN Se repite 4 veces en Peru Chef Una vez con el precio 63.45</t>
  </si>
  <si>
    <t>El producto Peru Chef Chuño Blanco Entero 15 Oz X 8 Se repite 4 veces en Peru Chef, Se repite 2 veces el precio de 22</t>
  </si>
  <si>
    <t>El producto Peru Chef Chuño Blanco Entero 15 Oz X 8 Se repite 4 veces en Peru Chef Una vez con el precio 24</t>
  </si>
  <si>
    <t>El producto Peru Chef Chuño Blanco Entero 15 Oz X 8 Se repite 4 veces en Peru Chef Una vez con el precio 21.6</t>
  </si>
  <si>
    <t>El producto Peru Chef Crema De Aji P/Ceviche 10.5 oz x 12 Se repite 4 veces en Peru Chef, Se repite 2 veces el precio de 36</t>
  </si>
  <si>
    <t>El producto Peru Chef Crema De Aji P/Ceviche 10.5 oz x 12 Se repite 4 veces en Peru Chef, Se repite 2 veces el precio de 39</t>
  </si>
  <si>
    <t>El producto Peru Chef Digestivo x 20 filtrante No se repite en proveedor Una vez con el precio 19.35</t>
  </si>
  <si>
    <t>El producto Peru Chef display Mazamorra Morada 150 G x 12 Se repite 4 veces en Peru Chef, Se repite 4 veces el precio de 19</t>
  </si>
  <si>
    <t>El producto Peru Chef Emoliente 5.3 Oz X 12 Se repite 4 veces en Peru Chef, Se repite 3 veces el precio de 30</t>
  </si>
  <si>
    <t>El producto Peru Chef Emoliente 5.3 Oz X 12 Se repite 4 veces en Peru Chef Una vez con el precio 29.7</t>
  </si>
  <si>
    <t>El producto Peru Chef Emoliente bebida 1Lt x 12 Se repite 3 veces en Peru Chef Una vez con el precio 30</t>
  </si>
  <si>
    <t>El producto Peru Chef Emoliente bebida 1Lt x 12 Se repite 3 veces en Peru Chef, Se repite 2 veces el precio de 33</t>
  </si>
  <si>
    <t>El producto Peru Chef Esencia De Vainilla 100ml x 24 Se repite 2 veces en Peru Chef, Se repite 2 veces el precio de 21</t>
  </si>
  <si>
    <t>El producto Peru Chef Eucalipto filtrante x 20 No se repite en proveedor Una vez con el precio 19.35</t>
  </si>
  <si>
    <t>El producto Peru Chef filtrante Manzanilla x 20 No se repite en proveedor Una vez con el precio 19.5</t>
  </si>
  <si>
    <t>El producto Peru Chef filtrante Sen x 20 No se repite en proveedor Una vez con el precio 21.5</t>
  </si>
  <si>
    <t>El producto Peru Chef filtrante Sueño Profundo x 20 Se repite 2 veces en Peru Chef Una vez con el precio 21.5</t>
  </si>
  <si>
    <t>El producto Peru Chef filtrante Sueño Profundo x 20 Se repite 2 veces en Peru Chef Una vez con el precio 19.35</t>
  </si>
  <si>
    <t>El producto Peru Chef filtrante Te Verde Con Piña x 20 Se repite 2 veces en Peru Chef Una vez con el precio 26.5</t>
  </si>
  <si>
    <t>El producto Peru Chef filtrante Te Verde Con Piña x 20 Se repite 2 veces en Peru Chef Una vez con el precio 23.85</t>
  </si>
  <si>
    <t>El producto Peru Chef filtrante Toronjil x 20 No se repite en proveedor Una vez con el precio 21.5</t>
  </si>
  <si>
    <t>El producto Peru Chef Frijol Castilla 15oz x 12 Se repite 2 veces en Peru Chef, Se repite 2 veces el precio de 22</t>
  </si>
  <si>
    <t>El producto Peru Chef Frijol Panamito 15oz x 12 No se repite en proveedor Una vez con el precio 19.8</t>
  </si>
  <si>
    <t>El producto Peru Chef Habas Peladas 15 Oz X 12 bolsas Se repite 2 veces en Peru Chef, Se repite 2 veces el precio de 24</t>
  </si>
  <si>
    <t>El producto Peru Chef Harina De Arverja 15 Oz X 12 No se repite en proveedor Una vez con el precio 15.6</t>
  </si>
  <si>
    <t>El producto Peru Chef Harina de Chuño 15 Oz X 12 Se repite 4 veces en Peru Chef, Se repite 3 veces el precio de 25</t>
  </si>
  <si>
    <t>El producto Peru Chef Harina de Chuño 15 Oz X 12 Se repite 4 veces en Peru Chef Una vez con el precio 24.75</t>
  </si>
  <si>
    <t>El producto Peru Chef Hierba Luisa x 20 filtrante x 12 cajas No se repite en proveedor Una vez con el precio 19.5</t>
  </si>
  <si>
    <t>El producto Peru Chef Hongos Y Laurel 1.57oz x 12 Se repite 5 veces en Peru Chef, Se repite 3 veces el precio de 36</t>
  </si>
  <si>
    <t>El producto Peru Chef Hongos Y Laurel 1.57oz x 12 Se repite 5 veces en Peru Chef Una vez con el precio 39</t>
  </si>
  <si>
    <t>El producto Peru Chef Hongos Y Laurel 1.57oz x 12 Se repite 5 veces en Peru Chef Una vez con el precio 35.1</t>
  </si>
  <si>
    <t>El producto Peru Chef Jarabe De Goma 17oz x 12 Se repite 4 veces en Peru Chef, Se repite 4 veces el precio de 55</t>
  </si>
  <si>
    <t>El producto Peru chef Kion Molido 60 G X 12 Se repite 2 veces en Peru Chef, Se repite 2 veces el precio de 28</t>
  </si>
  <si>
    <t>El producto Peru Chef Kiwicha 15oz x 12 Se repite 3 veces en Peru Chef Una vez con el precio 32</t>
  </si>
  <si>
    <t>El producto Peru Chef Kiwicha 15oz x 12 Se repite 3 veces en Peru Chef, Se repite 2 veces el precio de 28.8</t>
  </si>
  <si>
    <t>El producto Peru Chef Maiz Cancha Montaña15 Oz X 10 Se repite 5 veces en Peru Chef, Se repite 3 veces el precio de 28</t>
  </si>
  <si>
    <t>El producto Peru Chef Maiz Cancha Montaña15 Oz X 10 Se repite 5 veces en Peru Chef, Se repite 2 veces el precio de 27</t>
  </si>
  <si>
    <t>El producto PERU CHEF Maiz Chulpe 15oz x 12 Se repite 5 veces en Peru Chef, Se repite 3 veces el precio de 28</t>
  </si>
  <si>
    <t>El producto PERU CHEF Maiz Chulpe 15oz x 12 Se repite 5 veces en Peru Chef Una vez con el precio 30</t>
  </si>
  <si>
    <t>El producto PERU CHEF Maiz Chulpe 15oz x 12 Se repite 5 veces en Peru Chef Una vez con el precio 27</t>
  </si>
  <si>
    <t>El producto Peru Chef Maiz Morado 15 Oz X 22 Se repite 3 veces en Peru Chef, Se repite 3 veces el precio de 48</t>
  </si>
  <si>
    <t>El producto Peru Chef Maiz Mote Pelado 15 Oz X 12 Se repite 4 veces en Peru Chef, Se repite 2 veces el precio de 30</t>
  </si>
  <si>
    <t>El producto Peru Chef Maiz Mote Pelado 15 Oz X 12 Se repite 4 veces en Peru Chef, Se repite 2 veces el precio de 36</t>
  </si>
  <si>
    <t>El producto Peru Chef Maracuya jugo / Passion friut juice 1Lt x 12 No se repite en proveedor Una vez con el precio 32.5</t>
  </si>
  <si>
    <t>El producto Peru Chef Miel de Chancaca 17oz x 12 Se repite 4 veces en Peru Chef, Se repite 2 veces el precio de 50</t>
  </si>
  <si>
    <t>El producto Peru Chef Miel de Chancaca 17oz x 12 Se repite 4 veces en Peru Chef Una vez con el precio 58</t>
  </si>
  <si>
    <t>El producto Peru Chef Miel de Chancaca 17oz x 12 Se repite 4 veces en Peru Chef Una vez con el precio 52.2</t>
  </si>
  <si>
    <t>El producto PERU CHEF Muña x 20 filtrante No se repite en proveedor Una vez con el precio 21.5</t>
  </si>
  <si>
    <t>El producto Peru Chef Olluco Cortado 1 Lb X 20 Se repite 2 veces en Peru Chef, Se repite 2 veces el precio de 80</t>
  </si>
  <si>
    <t>El producto Peru Chef Oregano Entero 30 G X 12 Se repite 2 veces en Peru Chef, Se repite 2 veces el precio de 30</t>
  </si>
  <si>
    <t>El producto Peru Chef Palillo Molido75gr x 12 Se repite 2 veces en Peru Chef, Se repite 2 veces el precio de 24</t>
  </si>
  <si>
    <t>El producto Peru Chef Pallares 15oz x 12 Se repite 5 veces en Peru Chef, Se repite 2 veces el precio de 24</t>
  </si>
  <si>
    <t>El producto Peru Chef Pallares 15oz x 12 Se repite 5 veces en Peru Chef, Se repite 2 veces el precio de 26</t>
  </si>
  <si>
    <t>El producto Peru Chef Pallares 15oz x 12 Se repite 5 veces en Peru Chef Una vez con el precio 23.4</t>
  </si>
  <si>
    <t>El producto Peru Chef Paneton 900 G X 6 Se repite 4 veces en Peru Chef Una vez con el precio 38</t>
  </si>
  <si>
    <t>El producto Peru Chef Paneton 900 G X 6 Se repite 4 veces en Peru Chef Una vez con el precio 42</t>
  </si>
  <si>
    <t>El producto Peru Chef Paneton 900 G X 6 Se repite 4 veces en Peru Chef, Se repite 2 veces el precio de 36</t>
  </si>
  <si>
    <t>El producto Peru Chef Papa Amarilla 1 Lb X 26 FROZEN Se repite 2 veces en Peru Chef, Se repite 2 veces el precio de 78</t>
  </si>
  <si>
    <t>El producto Peru Chef Papa Huayro 2Lb No se repite en proveedor Una vez con el precio 4.5</t>
  </si>
  <si>
    <t>El producto Peru Chef Papa Seca Amarilla 12oz x 8 Se repite 8 veces en Peru Chef, Se repite 3 veces el precio de 17</t>
  </si>
  <si>
    <t>El producto Peru Chef Papa Seca Amarilla 12oz x 8 Se repite 8 veces en Peru Chef, Se repite 3 veces el precio de 19</t>
  </si>
  <si>
    <t>El producto Peru Chef Papa Seca Amarilla 12oz x 8 Se repite 8 veces en Peru Chef, Se repite 2 veces el precio de 17.1</t>
  </si>
  <si>
    <t>El producto Peru Chef Papa Seca Serrana 15 Oz X 10 Se repite 6 veces en Peru Chef, Se repite 2 veces el precio de 19</t>
  </si>
  <si>
    <t>El producto Peru Chef Papa Seca Serrana 15 Oz X 10 Se repite 6 veces en Peru Chef, Se repite 2 veces el precio de 21</t>
  </si>
  <si>
    <t>El producto Peru Chef Papa Seca Serrana 15 Oz X 10 Se repite 6 veces en Peru Chef, Se repite 2 veces el precio de 18.9</t>
  </si>
  <si>
    <t>El producto Peru Chef Pasta Aji Amarillo 116 oz No se repite en proveedor Una vez con el precio 18</t>
  </si>
  <si>
    <t>El producto Peru Chef Pasta Aji Amarillo 16 oz x 12 Se repite 6 veces en Peru Chef, Se repite 4 veces el precio de 36</t>
  </si>
  <si>
    <t>El producto Peru Chef Pasta Aji Amarillo 16 oz x 12 Se repite 6 veces en Peru Chef, Se repite 2 veces el precio de 40</t>
  </si>
  <si>
    <t>El producto Peru Chef Pasta Aji Amarillo Poco Pic 16oz X 12 Se repite 2 veces en Peru Chef, Se repite 2 veces el precio de 40</t>
  </si>
  <si>
    <t>El producto Peru Chef Pasta Aji Amarillo Poco Picante 116oz No se repite en proveedor Una vez con el precio 18</t>
  </si>
  <si>
    <t>El producto Peru Chef Pasta Aji Amarillo Poco Picante11oz x 12 No se repite en proveedor Una vez con el precio 29.7</t>
  </si>
  <si>
    <t>El producto Peru Chef Pasta Aji Panca 16 oz x 12 Se repite 5 veces en Peru Chef, Se repite 2 veces el precio de 40</t>
  </si>
  <si>
    <t>El producto Peru Chef Pasta Aji Panca 16 oz x 12 Se repite 5 veces en Peru Chef, Se repite 2 veces el precio de 44</t>
  </si>
  <si>
    <t>El producto Peru Chef Pasta Aji Panca 16 oz x 12 Se repite 5 veces en Peru Chef Una vez con el precio 39.6</t>
  </si>
  <si>
    <t>El producto Peru Chef Pasta Aji Panca 8 Oz X 12 No se repite en proveedor Una vez con el precio 24</t>
  </si>
  <si>
    <t>El producto Peru Chef Pasta Aji Panca Poco Pic 16 Oz X 12 No se repite en proveedor Una vez con el precio 48</t>
  </si>
  <si>
    <t>El producto Peru Chef Pasta Aji Panca Poco Picante 11 oz x 12 No se repite en proveedor Una vez con el precio 32.4</t>
  </si>
  <si>
    <t>El producto Peru Chef Pasta Aji Panca Poco Picante 116 oz Se repite 2 veces en Peru Chef, Se repite 2 veces el precio de 18</t>
  </si>
  <si>
    <t>El producto Peru Chef Pasta Ajos 16oz x 12 Se repite 5 veces en Peru Chef, Se repite 2 veces el precio de 60</t>
  </si>
  <si>
    <t>El producto Peru Chef Pasta Ajos 16oz x 12 Se repite 5 veces en Peru Chef, Se repite 3 veces el precio de 66</t>
  </si>
  <si>
    <t>El producto Peru Chef Pasta Rocoto 116 oz No se repite en proveedor Una vez con el precio 18</t>
  </si>
  <si>
    <t>El producto Peru Chef Pasta Rocoto 16 Oz X 12 No se repite en proveedor Una vez con el precio 48</t>
  </si>
  <si>
    <t>El producto Peru Chef Pasta Rocoto 8 Oz X 12 No se repite en proveedor Una vez con el precio 30</t>
  </si>
  <si>
    <t>El producto Peru Chef Quinua Real 15oz x 12 Se repite 6 veces en Peru Chef, Se repite 3 veces el precio de 28</t>
  </si>
  <si>
    <t>El producto Peru Chef Quinua Real 15oz x 12 Se repite 6 veces en Peru Chef, Se repite 2 veces el precio de 30</t>
  </si>
  <si>
    <t>El producto Peru Chef Quinua Real 15oz x 12 Se repite 6 veces en Peru Chef Una vez con el precio 27</t>
  </si>
  <si>
    <t>El producto Peru Chef Rocoto En Mitades lata 20oz x12 No se repite en proveedor Una vez con el precio 36</t>
  </si>
  <si>
    <t>El producto Peru Chef Rocoto En Salmuera 20oz x 12 No se repite en proveedor Una vez con el precio 46.8</t>
  </si>
  <si>
    <t>El producto Peru Chef Rocoto FROZEN 1 Lb X 18 Se repite 4 veces en Peru Chef, Se repite 2 veces el precio de 55</t>
  </si>
  <si>
    <t>El producto Peru Chef Rocoto FROZEN 1 Lb X 18 Se repite 4 veces en Peru Chef Una vez con el precio 59.5</t>
  </si>
  <si>
    <t>El producto Peru Chef Rocoto FROZEN 1 Lb X 18 Se repite 4 veces en Peru Chef Una vez con el precio 53.55</t>
  </si>
  <si>
    <t>El producto Peru Chef Salsa Aji Amarillo 10.5oz x 12 Se repite 2 veces en Peru Chef, Se repite 2 veces el precio de 42</t>
  </si>
  <si>
    <t>El producto Peru Chef Salsa Aji Amarillo C/Huacatay 10.5 Oz X 12 No se repite en proveedor Una vez con el precio 39</t>
  </si>
  <si>
    <t>El producto Peru Chef Salsa Aji Criollo 10.5 oz x 12 Se repite 2 veces en Peru Chef, Se repite 2 veces el precio de 39</t>
  </si>
  <si>
    <t>El producto Peru Chef Salsa De Aji Charapita 11oz x 12 Se repite 2 veces en Peru Chef, Se repite 2 veces el precio de 60</t>
  </si>
  <si>
    <t>El producto Peru Chef Salsa De Aji Limo 11oz x 12 Se repite 2 veces en Peru Chef, Se repite 2 veces el precio de 49.5</t>
  </si>
  <si>
    <t>El producto Peru Chef Salsa de Aji Limo con Rocoto 10.5oz x 12 Se repite 4 veces en Peru Chef, Se repite 2 veces el precio de 45</t>
  </si>
  <si>
    <t>El producto Peru Chef Salsa de Aji Limo con Rocoto 10.5oz x 12 Se repite 4 veces en Peru Chef Una vez con el precio 49.5</t>
  </si>
  <si>
    <t>El producto Peru Chef Salsa de Aji Limo con Rocoto 10.5oz x 12 Se repite 4 veces en Peru Chef Una vez con el precio 44.55</t>
  </si>
  <si>
    <t>El producto Peru Chef Salsa Rocoto 10.5 Oz X 12 No se repite en proveedor Una vez con el precio 57</t>
  </si>
  <si>
    <t>El producto Peru Chef Semola 15oz x 12 Se repite 4 veces en Peru Chef, Se repite 2 veces el precio de 18</t>
  </si>
  <si>
    <t>El producto Peru Chef Semola 15oz x 12 Se repite 4 veces en Peru Chef, Se repite 2 veces el precio de 16.2</t>
  </si>
  <si>
    <t>El producto Peru Chef Snack Cancha Chulpi Salada 100gr x 20 Se repite 3 veces en Peru Chef, Se repite 3 veces el precio de 30</t>
  </si>
  <si>
    <t>El producto Peru Chef Snack Cancha Serrana Salada 100gr x 20 bolsas Se repite 3 veces en Peru Chef, Se repite 3 veces el precio de 30</t>
  </si>
  <si>
    <t>El producto Peru Chef Snack Habas Saladas 100gr x 20 bolsas Se repite 3 veces en Peru Chef, Se repite 3 veces el precio de 30</t>
  </si>
  <si>
    <t>El producto Peru Chef Trigo Pelado 15 Oz X 12 Se repite 5 veces en Peru Chef, Se repite 3 veces el precio de 19.8</t>
  </si>
  <si>
    <t>El producto Peru Chef Trigo Pelado 15 Oz X 12 Se repite 5 veces en Peru Chef, Se repite 2 veces el precio de 21</t>
  </si>
  <si>
    <t>El producto Peru Chef Tuco 70gr x 12 Se repite 2 veces en Peru Chef, Se repite 2 veces el precio de 24</t>
  </si>
  <si>
    <t>El producto Peru Chef Turron De Doña Pepa 500gr Se repite 2 veces en Peru Chef Una vez con el precio 5.5</t>
  </si>
  <si>
    <t>El producto Peru Chef Turron De Doña Pepa 500gr Se repite 2 veces en Peru Chef Una vez con el precio 4.95</t>
  </si>
  <si>
    <t>El producto Peru Chef Yuca Amarilla 1.5Lb x 18 bolsas Se repite 2 veces en Peru Chef, Se repite 2 veces el precio de 72</t>
  </si>
  <si>
    <t>El producto Peru Chef Zapallo Loche 1Lb Se repite 2 veces en Peru Chef, Se repite 2 veces el precio de 5.625</t>
  </si>
  <si>
    <t>El producto Provenzal Aji De Gallina 100gr x 10 Se repite 2 veces en Belmont International Trading Corp Una vez con el precio 19.69</t>
  </si>
  <si>
    <t>El producto Provenzal Aji De Gallina 100gr x 10 Se repite 2 veces en Belmont International Trading Corp Una vez con el precio 21.9</t>
  </si>
  <si>
    <t>El producto Provenzal Arroz Con Pollo/Seco/Aguadito 58 gr x 10 Se repite 2 veces en Belmont International Trading Corp Una vez con el precio 23.63</t>
  </si>
  <si>
    <t>El producto Provenzal Arroz Con Pollo/Seco/Aguadito 58 gr x 10 Se repite 2 veces en Belmont International Trading Corp Una vez con el precio 25.9</t>
  </si>
  <si>
    <t>El producto Provenzal Carapulcra 150gr x 6 Se repite 2 veces en Belmont International Trading Corp Una vez con el precio 12.5</t>
  </si>
  <si>
    <t>El producto Provenzal Carapulcra 150gr x 6 Se repite 2 veces en Belmont International Trading Corp Una vez con el precio 13.9</t>
  </si>
  <si>
    <t>El producto Provenzal Carapulcra 150gr x 6 No se repite en proveedor Una vez con el precio 18</t>
  </si>
  <si>
    <t>El producto Provenzal Cau Cau 60gr x 12 Se repite 2 veces en Belmont International Trading Corp Una vez con el precio 23.63</t>
  </si>
  <si>
    <t>El producto Provenzal Cau Cau 60gr x 12 Se repite 2 veces en Belmont International Trading Corp Una vez con el precio 25.9</t>
  </si>
  <si>
    <t>El producto Provenzal Cau Cau 60gr x 12 Se repite 3 veces en Peru Chef, Se repite 2 veces el precio de 26</t>
  </si>
  <si>
    <t>El producto Provenzal Cau Cau 60gr x 12 Se repite 3 veces en Peru Chef Una vez con el precio 23.4</t>
  </si>
  <si>
    <t>El producto Provenzal Ceviche Base 30gr x 20 Se repite 2 veces en Belmont International Trading Corp Una vez con el precio 42.08</t>
  </si>
  <si>
    <t>El producto Provenzal Ceviche Base 30gr x 20 Se repite 2 veces en Belmont International Trading Corp Una vez con el precio 46.5</t>
  </si>
  <si>
    <t>El producto Provenzal Huancaina 64gr x 12 Se repite 2 veces en Belmont International Trading Corp Una vez con el precio 23.63</t>
  </si>
  <si>
    <t>El producto Provenzal Huancaina 64gr x 12 Se repite 2 veces en Belmont International Trading Corp Una vez con el precio 25.9</t>
  </si>
  <si>
    <t>El producto Provenzal Huancaina 64gr x 12 Se repite 3 veces en Peru Chef, Se repite 2 veces el precio de 28</t>
  </si>
  <si>
    <t>El producto Provenzal Huancaina 64gr x 12 Se repite 3 veces en Peru Chef Una vez con el precio 25.2</t>
  </si>
  <si>
    <t>El producto Provenzal Ocopa 70gr x 12 No se repite en proveedor Una vez con el precio 23.63</t>
  </si>
  <si>
    <t>El producto Provenzal Ocopa 70gr x 12 Se repite 3 veces en Peru Chef, Se repite 2 veces el precio de 28</t>
  </si>
  <si>
    <t>El producto Provenzal Ocopa 70gr x 12 Se repite 3 veces en Peru Chef Una vez con el precio 25.2</t>
  </si>
  <si>
    <t>El producto Provenzal Olluquito 78gr x 6 Se repite 2 veces en Belmont International Trading Corp Una vez con el precio 17.5</t>
  </si>
  <si>
    <t>El producto Provenzal Olluquito 78gr x 6 Se repite 2 veces en Belmont International Trading Corp Una vez con el precio 19.5</t>
  </si>
  <si>
    <t>El producto Provenzal Olluquito 78gr x 6 Se repite 2 veces en Peru Chef Una vez con el precio 22</t>
  </si>
  <si>
    <t>El producto Provenzal Olluquito 78gr x 6 Se repite 2 veces en Peru Chef Una vez con el precio 19.8</t>
  </si>
  <si>
    <t>El producto Provenzal Picarones Con Miel 165gr x 12 No se repite en proveedor Una vez con el precio 34.4</t>
  </si>
  <si>
    <t>El producto Provenzal Picarones Con Miel 165gr x 12 Se repite 3 veces en Peru Chef, Se repite 3 veces el precio de 40</t>
  </si>
  <si>
    <t>El producto Provenzal Sopa A La Minuta 78gr x 10 No se repite en proveedor Una vez con el precio 19.7</t>
  </si>
  <si>
    <t>El producto Quick Oats / Avena Se repite 5 veces en Tradiciones Andinas, Se repite 5 veces el precio de 9.99</t>
  </si>
  <si>
    <t>El producto San Jorge Galleta Soda  40gr  x 7 x 4 Se repite 7 veces en Peru Chef, Se repite 5 veces el precio de 8</t>
  </si>
  <si>
    <t>El producto San Jorge Galleta Soda  40gr  x 7 x 4 Se repite 7 veces en Peru Chef, Se repite 2 veces el precio de 7.2</t>
  </si>
  <si>
    <t>El producto San Jorge Municion 450gr x 6 Se repite 6 veces en Peru Chef, Se repite 4 veces el precio de 15</t>
  </si>
  <si>
    <t>El producto San Jorge Municion 450gr x 6 Se repite 6 veces en Peru Chef, Se repite 2 veces el precio de 13.5</t>
  </si>
  <si>
    <t>El producto San Jose Turron De Doña Pepa x 500gr Se repite 3 veces en Peru Chef, Se repite 3 veces el precio de 5.5</t>
  </si>
  <si>
    <t>El producto Sancocho Colombiano / Vegetables Mix 2Lb x 6 No se repite en proveedor Una vez con el precio 27.5</t>
  </si>
  <si>
    <t>El producto Sayon Galletas Tejanas 480gr x 8 Se repite 8 veces en Peru Chef, Se repite 2 veces el precio de 35</t>
  </si>
  <si>
    <t>El producto Sayon Galletas Tejanas 480gr x 8 Se repite 8 veces en Peru Chef, Se repite 4 veces el precio de 37</t>
  </si>
  <si>
    <t>El producto Sayon Galletas Tejanas 480gr x 8 Se repite 8 veces en Peru Chef, Se repite 2 veces el precio de 33.3</t>
  </si>
  <si>
    <t>El producto Sazon Completo - Complete Seasoning 500gr x 15 Se repite 4 veces en Tradiciones Andinas, Se repite 4 veces el precio de 32.15</t>
  </si>
  <si>
    <t>El producto SIBARITA - Aji Panca Sazonador sin picante  6 sobres x 50 Se repite 4 veces en Tradiciones Andinas Una vez con el precio 42.5</t>
  </si>
  <si>
    <t>El producto SIBARITA - Aji Panca Sazonador sin picante  6 sobres x 50 Se repite 4 veces en Tradiciones Andinas, Se repite 3 veces el precio de 45</t>
  </si>
  <si>
    <t>El producto SIBARITA - Ajo / Garlic 8.8oz x 12 Se repite 2 veces en Tradiciones Andinas, Se repite 2 veces el precio de 39</t>
  </si>
  <si>
    <t>El producto SIBARITA - Ajo / Garlic Family Pack 19.4oz x 12 Se repite 2 veces en Tradiciones Andinas Una vez con el precio 49.08</t>
  </si>
  <si>
    <t>El producto SIBARITA - Ajo / Garlic Family Pack 19.4oz x 12 Se repite 2 veces en Tradiciones Andinas Una vez con el precio 52.52</t>
  </si>
  <si>
    <t>El producto SIBARITA - Amarillin Doypack  19.4oz x 12 Se repite 7 veces en Tradiciones Andinas Una vez con el precio 49.08</t>
  </si>
  <si>
    <t>El producto SIBARITA - Amarillin Doypack  19.4oz x 12 Se repite 7 veces en Tradiciones Andinas, Se repite 5 veces el precio de 52.52</t>
  </si>
  <si>
    <t>El producto SIBARITA - Amarillin Doypack  19.4oz x 12 Se repite 7 veces en Tradiciones Andinas Una vez con el precio 49.52</t>
  </si>
  <si>
    <t>El producto SIBARITA - Amarillin Doypack 8.8oz x 12 Se repite 3 veces en Tradiciones Andinas Una vez con el precio 42</t>
  </si>
  <si>
    <t>El producto SIBARITA - Amarillin Doypack 8.8oz x 12 Se repite 3 veces en Tradiciones Andinas, Se repite 2 veces el precio de 39</t>
  </si>
  <si>
    <t>El producto SIBARITA - Panquita Doypack 12 x 19.4 oz Se repite 7 veces en Tradiciones Andinas Una vez con el precio 49.08</t>
  </si>
  <si>
    <t>El producto SIBARITA - Panquita Doypack 12 x 19.4 oz Se repite 7 veces en Tradiciones Andinas, Se repite 5 veces el precio de 52.52</t>
  </si>
  <si>
    <t>El producto SIBARITA - Panquita Doypack 12 x 19.4 oz Se repite 7 veces en Tradiciones Andinas Una vez con el precio 49.52</t>
  </si>
  <si>
    <t>El producto SIBARITA - Panquita Doypack 8.8oz x 12 Se repite 3 veces en Tradiciones Andinas Una vez con el precio 42</t>
  </si>
  <si>
    <t>El producto SIBARITA - Panquita Doypack 8.8oz x 12 Se repite 3 veces en Tradiciones Andinas, Se repite 2 veces el precio de 39</t>
  </si>
  <si>
    <t>El producto SIBARITA - Tuco Tallarin 6 sobres x 50 / 1.64oz x 50 Se repite 4 veces en Tradiciones Andinas Una vez con el precio 42.5</t>
  </si>
  <si>
    <t>El producto SIBARITA - Tuco Tallarin 6 sobres x 50 / 1.64oz x 50 Se repite 4 veces en Tradiciones Andinas, Se repite 3 veces el precio de 45</t>
  </si>
  <si>
    <t>El producto SIBARITA - Vinagre Blanco - White Vinegar 16.91oz x 12 Se repite 5 veces en Tradiciones Andinas Una vez con el precio 9.48</t>
  </si>
  <si>
    <t>El producto SIBARITA - Vinagre Blanco - White Vinegar 16.91oz x 12 Se repite 5 veces en Tradiciones Andinas, Se repite 2 veces el precio de 8.48</t>
  </si>
  <si>
    <t>El producto SIBARITA - Vinagre Blanco - White Vinegar 16.91oz x 12 Se repite 5 veces en Tradiciones Andinas, Se repite 2 veces el precio de 9.07</t>
  </si>
  <si>
    <t>El producto SIBARITA - Vinagre Blanco - White Vinegar 1L x 12 Se repite 4 veces en Tradiciones Andinas, Se repite 3 veces el precio de 11.88</t>
  </si>
  <si>
    <t>El producto SIBARITA - Vinagre Blanco - White Vinegar 1L x 12 Se repite 4 veces en Tradiciones Andinas Una vez con el precio 12.7</t>
  </si>
  <si>
    <t>El producto SIBARITA - Vinagre Tinto - Red Vinegar 1L x 12 Se repite 5 veces en Tradiciones Andinas, Se repite 5 veces el precio de 11.88</t>
  </si>
  <si>
    <t>El producto SIBARITA Vinagre Tinto - Red Vinegar 16.91oz  x 12 botella Se repite 7 veces en Tradiciones Andinas Una vez con el precio 9.48</t>
  </si>
  <si>
    <t>El producto SIBARITA Vinagre Tinto - Red Vinegar 16.91oz  x 12 botella Se repite 7 veces en Tradiciones Andinas, Se repite 2 veces el precio de 8.48</t>
  </si>
  <si>
    <t>El producto SIBARITA Vinagre Tinto - Red Vinegar 16.91oz  x 12 botella Se repite 7 veces en Tradiciones Andinas, Se repite 4 veces el precio de 9.07</t>
  </si>
  <si>
    <t>El producto SOL DEL CUZCO Tableta sabor a chocolate con canela y clavo para taza 12 x 90gr No se repite en proveedor Una vez con el precio 10.68</t>
  </si>
  <si>
    <t>El producto SOL DEL CUZCO Tableta sabor a chocolate para taza 12 x 90gr Se repite 3 veces en Tradiciones Andinas, Se repite 3 veces el precio de 10.68</t>
  </si>
  <si>
    <t>El producto T.A  Ajo pasta 7.5oz x 24 Se repite 6 veces en Tradiciones Andinas Una vez con el precio 38.16</t>
  </si>
  <si>
    <t>El producto T.A  Ajo pasta 7.5oz x 24 Se repite 6 veces en Tradiciones Andinas, Se repite 5 veces el precio de 40.82</t>
  </si>
  <si>
    <t>El producto T.A  Choclo Entero / Corn on the Cob 4 x 10 FROZEN Se repite 6 veces en Tradiciones Andinas Una vez con el precio 37</t>
  </si>
  <si>
    <t>El producto T.A  Choclo Entero / Corn on the Cob 4 x 10 FROZEN Se repite 6 veces en Tradiciones Andinas Una vez con el precio 35</t>
  </si>
  <si>
    <t>El producto T.A  Choclo Entero / Corn on the Cob 4 x 10 FROZEN Se repite 6 veces en Tradiciones Andinas, Se repite 4 veces el precio de 37.45</t>
  </si>
  <si>
    <t>El producto T.A Aceituna Botija /Alfonso Olives con pepa 20oz x 12 Se repite 8 veces en Tradiciones Andinas, Se repite 2 veces el precio de 37.08</t>
  </si>
  <si>
    <t>El producto T.A Aceituna Botija /Alfonso Olives con pepa 20oz x 12 Se repite 8 veces en Tradiciones Andinas, Se repite 6 veces el precio de 39.68</t>
  </si>
  <si>
    <t>El producto T.A Aceituna Botija sin Pepa /Pitted Alfonso Olives 20oz x 12 Se repite 4 veces en Tradiciones Andinas Una vez con el precio 37.08</t>
  </si>
  <si>
    <t>El producto T.A Aceituna Botija sin Pepa /Pitted Alfonso Olives 20oz x 12 Se repite 4 veces en Tradiciones Andinas, Se repite 3 veces el precio de 39.68</t>
  </si>
  <si>
    <t>El producto T.A Achocha / Caigua 16oz x 12 FROZEN Se repite 6 veces en Tradiciones Andinas, Se repite 2 veces el precio de 27.48</t>
  </si>
  <si>
    <t>El producto T.A Achocha / Caigua 16oz x 12 FROZEN Se repite 6 veces en Tradiciones Andinas, Se repite 4 veces el precio de 29.4</t>
  </si>
  <si>
    <t>El producto T.A Aji Amarillo Balde 7.5Lb Se repite 4 veces en Tradiciones Andinas Una vez con el precio 52</t>
  </si>
  <si>
    <t>El producto T.A Aji Amarillo Balde 7.5Lb Se repite 4 veces en Tradiciones Andinas, Se repite 3 veces el precio de 13.91</t>
  </si>
  <si>
    <t>El producto T.A Aji Amarillo con Huacatay 7.5oz x 24 Se repite 3 veces en Tradiciones Andinas, Se repite 3 veces el precio de 30</t>
  </si>
  <si>
    <t>El producto T.A Aji Amarillo en Lata /Whole Yellow Hot Pepper Se repite 3 veces en Tradiciones Andinas Una vez con el precio 47.76</t>
  </si>
  <si>
    <t>El producto T.A Aji Amarillo en Lata /Whole Yellow Hot Pepper Se repite 3 veces en Tradiciones Andinas, Se repite 2 veces el precio de 51.1</t>
  </si>
  <si>
    <t>El producto T.A Aji Amarillo FROZEN 16oz x 20 Se repite 7 veces en Tradiciones Andinas, Se repite 4 veces el precio de 36</t>
  </si>
  <si>
    <t>El producto T.A Aji Amarillo FROZEN 16oz x 20 Se repite 7 veces en Tradiciones Andinas, Se repite 3 veces el precio de 38.52</t>
  </si>
  <si>
    <t>El producto T.A Aji Amarillo Pasta 10.5oz X 12 Se repite 3 veces en Tradiciones Andinas, Se repite 3 veces el precio de 19.8</t>
  </si>
  <si>
    <t>El producto T.A Aji Amarillo Pasta 15oz X 12 Se repite 7 veces en Tradiciones Andinas, Se repite 3 veces el precio de 23.88</t>
  </si>
  <si>
    <t>El producto T.A Aji Amarillo Pasta 15oz X 12 Se repite 7 veces en Tradiciones Andinas Una vez con el precio 25.55</t>
  </si>
  <si>
    <t>El producto T.A Aji Amarillo Pasta 15oz X 12 Se repite 7 veces en Tradiciones Andinas, Se repite 3 veces el precio de 25.54</t>
  </si>
  <si>
    <t>El producto T.A Aji Amarillo Pasta 7.5oz x 24 Se repite 7 veces en Tradiciones Andinas, Se repite 3 veces el precio de 28.8</t>
  </si>
  <si>
    <t>El producto T.A Aji Amarillo Pasta 7.5oz x 24 Se repite 7 veces en Tradiciones Andinas, Se repite 4 veces el precio de 30.82</t>
  </si>
  <si>
    <t>El producto T.A Aji Amarillo Salmuera /Whole Yellow Hot Pepper 12oz x 20 Se repite 2 veces en Tradiciones Andinas, Se repite 2 veces el precio de 32</t>
  </si>
  <si>
    <t>El producto T.A Aji Amarillo sin Pepas 2Lb x 8 No se repite en proveedor Una vez con el precio 42</t>
  </si>
  <si>
    <t>El producto T.A Aji Amarillo sin Picante 15oz x 12 Se repite 3 veces en Tradiciones Andinas, Se repite 3 veces el precio de 31.08</t>
  </si>
  <si>
    <t>El producto T.A Aji Amarillo sin Picante 7.5oz x 24 Se repite 3 veces en Tradiciones Andinas, Se repite 3 veces el precio de 38.16</t>
  </si>
  <si>
    <t>El producto T.A Aji Ambateno / Whole Pepper FROZEN 10oz x 16 No se repite en proveedor Una vez con el precio 27.04</t>
  </si>
  <si>
    <t>El producto T.A Aji Limo / Limo Pepper16oz x 18 Se repite 5 veces en Tradiciones Andinas Una vez con el precio 44.82</t>
  </si>
  <si>
    <t>El producto T.A Aji Limo / Limo Pepper16oz x 18 Se repite 5 veces en Tradiciones Andinas, Se repite 2 veces el precio de 32.4</t>
  </si>
  <si>
    <t>El producto T.A Aji Limo / Limo Pepper16oz x 18 Se repite 5 veces en Tradiciones Andinas, Se repite 2 veces el precio de 34.66</t>
  </si>
  <si>
    <t>El producto T.A Aji Mirasol Pasta 7.5oz x 24 Se repite 7 veces en Tradiciones Andinas, Se repite 3 veces el precio de 31.2</t>
  </si>
  <si>
    <t>El producto T.A Aji Mirasol Pasta 7.5oz x 24 Se repite 7 veces en Tradiciones Andinas, Se repite 4 veces el precio de 33.38</t>
  </si>
  <si>
    <t>El producto T.A Aji Mirasol Seco / Dried Yellow Pepper 2oz x 24 Se repite 2 veces en Tradiciones Andinas, Se repite 2 veces el precio de 28.56</t>
  </si>
  <si>
    <t>El producto T.A Aji Panca en Pasta "Poco Picante" 7.5oz x 24 Se repite 6 veces en Tradiciones Andinas, Se repite 6 veces el precio de 31.2</t>
  </si>
  <si>
    <t>El producto T.A Aji Panca Pasta "Poco Picante" 10.5oz x 12 Se repite 3 veces en Tradiciones Andinas, Se repite 3 veces el precio de 19.2</t>
  </si>
  <si>
    <t>El producto T.A Aji Panca Pasta "Poco Picante" 15oz x 12 Se repite 4 veces en Tradiciones Andinas, Se repite 3 veces el precio de 25.08</t>
  </si>
  <si>
    <t>El producto T.A Aji Panca Pasta "Poco Picante" 15oz x 12 Se repite 4 veces en Tradiciones Andinas Una vez con el precio 26.84</t>
  </si>
  <si>
    <t>El producto T.A Aji Panca Pasta /Panca Pepper Paste 15oz x 12 Se repite 5 veces en Tradiciones Andinas Una vez con el precio 23.88</t>
  </si>
  <si>
    <t>El producto T.A Aji Panca Pasta /Panca Pepper Paste 15oz x 12 Se repite 5 veces en Tradiciones Andinas, Se repite 4 veces el precio de 25.54</t>
  </si>
  <si>
    <t>El producto T.A Aji Panca Pasta 10.5oz x 12 Se repite 3 veces en Tradiciones Andinas, Se repite 3 veces el precio de 19.8</t>
  </si>
  <si>
    <t>El producto T.A Aji Panca Pasta 7.5oz x 24 Se repite 7 veces en Tradiciones Andinas, Se repite 3 veces el precio de 28.8</t>
  </si>
  <si>
    <t>El producto T.A Aji Panca Pasta 7.5oz x 24 Se repite 7 veces en Tradiciones Andinas, Se repite 4 veces el precio de 30.82</t>
  </si>
  <si>
    <t>El producto T.A Aji Panca Seco / Dried Panca Pepper No se repite en proveedor Una vez con el precio 28.56</t>
  </si>
  <si>
    <t>El producto T.A Albahaca Pasta /Basil Paste 7.5oz x 24 Se repite 6 veces en Tradiciones Andinas, Se repite 2 veces el precio de 30</t>
  </si>
  <si>
    <t>El producto T.A Albahaca Pasta /Basil Paste 7.5oz x 24 Se repite 6 veces en Tradiciones Andinas, Se repite 4 veces el precio de 32.1</t>
  </si>
  <si>
    <t>El producto T.A Anis FILTRANTE 20saq x 30 Se repite 5 veces en Tradiciones Andinas Una vez con el precio 25.5</t>
  </si>
  <si>
    <t>El producto T.A Anis FILTRANTE 20saq x 30 Se repite 5 veces en Tradiciones Andinas, Se repite 4 veces el precio de 27.29</t>
  </si>
  <si>
    <t>El producto T.A Arracacha / Yellow Cassava FROZEN 16oz x 16 No se repite en proveedor Una vez con el precio 37.5</t>
  </si>
  <si>
    <t>El producto T.A Arroz de Cebada/ Barley Rice 15oz x 24 No se repite en proveedor Una vez con el precio 31.2</t>
  </si>
  <si>
    <t>El producto T.A Brevas en Almibar 28oz x 12 No se repite en proveedor Una vez con el precio 34.68</t>
  </si>
  <si>
    <t>El producto T.A Cancha Corn / Maiz Cancha 15oz x 24 Se repite 10 veces en Tradiciones Andinas, Se repite 3 veces el precio de 42.96</t>
  </si>
  <si>
    <t>El producto T.A Cancha Corn / Maiz Cancha 15oz x 24 Se repite 10 veces en Tradiciones Andinas, Se repite 7 veces el precio de 45.96</t>
  </si>
  <si>
    <t>El producto T.A Cebada Tostada /Toasted Barley 15oz x 18 Se repite 6 veces en Tradiciones Andinas, Se repite 3 veces el precio de 19.8</t>
  </si>
  <si>
    <t>El producto T.A Cebada Tostada /Toasted Barley 15oz x 18 Se repite 6 veces en Tradiciones Andinas, Se repite 3 veces el precio de 21.18</t>
  </si>
  <si>
    <t>El producto T.A Chia /Chia Seeds 12oz x 16 Se repite 4 veces en Tradiciones Andinas, Se repite 2 veces el precio de 28.64</t>
  </si>
  <si>
    <t>El producto T.A Chia /Chia Seeds 12oz x 16 Se repite 4 veces en Tradiciones Andinas, Se repite 2 veces el precio de 30.64</t>
  </si>
  <si>
    <t>El producto T.A Chicha de Jora /Jora Seasoning Se repite 8 veces en Tradiciones Andinas Una vez con el precio 35.88</t>
  </si>
  <si>
    <t>El producto T.A Chicha de Jora /Jora Seasoning Se repite 8 veces en Tradiciones Andinas, Se repite 4 veces el precio de 38.39</t>
  </si>
  <si>
    <t>El producto T.A Chicha de Jora /Jora Seasoning Se repite 8 veces en Tradiciones Andinas, Se repite 3 veces el precio de 38.38</t>
  </si>
  <si>
    <t>El producto T.A Chicha Morada bebida / Purple Corn Drink 1L x 12 Se repite 2 veces en Tradiciones Andinas Una vez con el precio 18.6</t>
  </si>
  <si>
    <t>El producto T.A Chicha Morada bebida / Purple Corn Drink 1L x 12 Se repite 2 veces en Tradiciones Andinas Una vez con el precio 19.9</t>
  </si>
  <si>
    <t>El producto T.A Chicha Morada bebida /Purple Corn Drink botella16oz x 12 Se repite 3 veces en Tradiciones Andinas Una vez con el precio 13.08</t>
  </si>
  <si>
    <t>El producto T.A Chicha Morada bebida /Purple Corn Drink botella16oz x 12 Se repite 3 veces en Tradiciones Andinas, Se repite 2 veces el precio de 14</t>
  </si>
  <si>
    <t>El producto T.A Choclo desgranado / Corn in Grain 16oz x 30 FROZEN Se repite 7 veces en Tradiciones Andinas, Se repite 2 veces el precio de 51</t>
  </si>
  <si>
    <t>El producto T.A Choclo desgranado / Corn in Grain 16oz x 30 FROZEN Se repite 7 veces en Tradiciones Andinas, Se repite 5 veces el precio de 54.57</t>
  </si>
  <si>
    <t>El producto T.A Choclo desgranado / Corn in Grain FROZEN  4Lb x 10 Se repite 2 veces en Tradiciones Andinas Una vez con el precio 60</t>
  </si>
  <si>
    <t>El producto T.A Choclo desgranado / Corn in Grain FROZEN  4Lb x 10 Se repite 2 veces en Tradiciones Andinas Una vez con el precio 64.2</t>
  </si>
  <si>
    <t>El producto T.A Choclo Entero / Corn on the Cob 2 x 18 FROZEN Se repite 7 veces en Tradiciones Andinas, Se repite 2 veces el precio de 30.6</t>
  </si>
  <si>
    <t>El producto T.A Choclo Entero / Corn on the Cob 2 x 18 FROZEN Se repite 7 veces en Tradiciones Andinas, Se repite 5 veces el precio de 32.74</t>
  </si>
  <si>
    <t>El producto T.A Choclo Entero / Corn on the Cob x 6 x 7 FROZEN Se repite 2 veces en Tradiciones Andinas, Se repite 2 veces el precio de 35</t>
  </si>
  <si>
    <t>El producto T.A Chulpe Corn / Maiz Chulpe (Family Pack) 54OZ X 6 No se repite en proveedor Una vez con el precio 36</t>
  </si>
  <si>
    <t>El producto T.A Chuño Entero Blanco / White Potato Starch 15oz x 18 Se repite 5 veces en Tradiciones Andinas, Se repite 3 veces el precio de 48.42</t>
  </si>
  <si>
    <t>El producto T.A Chuño Entero Blanco / White Potato Starch 15oz x 18 Se repite 5 veces en Tradiciones Andinas, Se repite 2 veces el precio de 51.8</t>
  </si>
  <si>
    <t>El producto T.A Culantro Pasta / Coriander Paste 7.5oz x 24 Se repite 3 veces en Tradiciones Andinas, Se repite 3 veces el precio de 32.1</t>
  </si>
  <si>
    <t>El producto T.A Discos de Yuca / Cassava Dough 13.75oz x 24 No se repite en proveedor Una vez con el precio 40.56</t>
  </si>
  <si>
    <t>El producto T.A Durazno en Almibar / Peach Halves in heavy Syrup 290z x 12 Se repite 5 veces en Tradiciones Andinas, Se repite 4 veces el precio de 27</t>
  </si>
  <si>
    <t>El producto T.A Durazno en Almibar / Peach Halves in heavy Syrup 290z x 12 Se repite 5 veces en Tradiciones Andinas Una vez con el precio 28.88</t>
  </si>
  <si>
    <t>El producto T.A Emoliente / Emolient 3.5oz x 20 Se repite 6 veces en Tradiciones Andinas, Se repite 3 veces el precio de 19.8</t>
  </si>
  <si>
    <t>El producto T.A Emoliente / Emolient 3.5oz x 20 Se repite 6 veces en Tradiciones Andinas, Se repite 3 veces el precio de 21.18</t>
  </si>
  <si>
    <t>El producto T.A Guinea pig - Cuy No se repite en proveedor Una vez con el precio 18</t>
  </si>
  <si>
    <t>El producto T.A Habas Fritas Saladas/  Broad Beans Snacks 130gr x 12 Se repite 8 veces en Tradiciones Andinas, Se repite 3 veces el precio de 12</t>
  </si>
  <si>
    <t>El producto T.A Habas Fritas Saladas/  Broad Beans Snacks 130gr x 12 Se repite 8 veces en Tradiciones Andinas, Se repite 5 veces el precio de 13.2</t>
  </si>
  <si>
    <t>El producto T.A Habas Verdes / Fava Beans 28oz x 20 bolsas Se repite 3 veces en Tradiciones Andinas, Se repite 3 veces el precio de 55.8</t>
  </si>
  <si>
    <t>El producto T.A Harina de Chuño / Potato Starch Flour 12oz x 24 Se repite 6 veces en Tradiciones Andinas, Se repite 2 veces el precio de 28.8</t>
  </si>
  <si>
    <t>El producto T.A Harina de Chuño / Potato Starch Flour 12oz x 24 Se repite 6 veces en Tradiciones Andinas, Se repite 4 veces el precio de 30.82</t>
  </si>
  <si>
    <t>El producto T.A Harina de Maca /Maca Flour 7oz x 24 Se repite 5 veces en Tradiciones Andinas Una vez con el precio 50.16</t>
  </si>
  <si>
    <t>El producto T.A Harina de Maca /Maca Flour 7oz x 24 Se repite 5 veces en Tradiciones Andinas, Se repite 4 veces el precio de 53.68</t>
  </si>
  <si>
    <t>El producto T.A Harina de Quinua /Quinua Flour (Instant) 12oz x 12 Se repite 4 veces en Tradiciones Andinas Una vez con el precio 28.64</t>
  </si>
  <si>
    <t>El producto T.A Harina de Quinua /Quinua Flour (Instant) 12oz x 12 Se repite 4 veces en Tradiciones Andinas, Se repite 3 veces el precio de 30.64</t>
  </si>
  <si>
    <t>El producto T.A Harina Linaza /Flax seed Flour 7.5oz x 24 Se repite 2 veces en Tradiciones Andinas, Se repite 2 veces el precio de 39.6</t>
  </si>
  <si>
    <t>El producto T.A Hierbaluisa filtrante - Lemon Grass Tea 20 x 30 Se repite 6 veces en Tradiciones Andinas Una vez con el precio 25.5</t>
  </si>
  <si>
    <t>El producto T.A Hierbaluisa filtrante - Lemon Grass Tea 20 x 30 Se repite 6 veces en Tradiciones Andinas, Se repite 5 veces el precio de 27.29</t>
  </si>
  <si>
    <t>El producto T.A Hojuela de Quinua / Quinua Flakes No se repite en proveedor Una vez con el precio 31.08</t>
  </si>
  <si>
    <t>El producto T.A Huacatay / Black Mint 12oz x 24 FROZEN Se repite 6 veces en Tradiciones Andinas, Se repite 2 veces el precio de 43.2</t>
  </si>
  <si>
    <t>El producto T.A Huacatay / Black Mint 12oz x 24 FROZEN Se repite 6 veces en Tradiciones Andinas, Se repite 4 veces el precio de 46.22</t>
  </si>
  <si>
    <t>El producto T.A Huacatay Pasta / Black Mint Paste 7.5oz Se repite 4 veces en Tradiciones Andinas, Se repite 4 veces el precio de 32.1</t>
  </si>
  <si>
    <t>El producto T.A Linaza /Flax Seed 15oz x 24 Se repite 3 veces en Tradiciones Andinas Una vez con el precio 31.2</t>
  </si>
  <si>
    <t>El producto T.A Linaza /Flax Seed 15oz x 24 Se repite 3 veces en Tradiciones Andinas, Se repite 2 veces el precio de 33.38</t>
  </si>
  <si>
    <t>El producto T.A Lomitos de Atún en Aceite / Solid Tuna in Oil  - 3 PACK (SMALL) No se repite en proveedor Una vez con el precio 60</t>
  </si>
  <si>
    <t>El producto T.A Lomitos de Atún en Aceite / Solid TUNA in Oil 5oz x 48 Se repite 3 veces en Tradiciones Andinas Una vez con el precio 62</t>
  </si>
  <si>
    <t>El producto T.A Lomitos de Atún en Aceite / Solid TUNA in Oil 5oz x 48 Se repite 3 veces en Tradiciones Andinas, Se repite 2 veces el precio de 66.34</t>
  </si>
  <si>
    <t>El producto T.A Maiz Cancha (Family Pack) /Cancha Corn 54oz x 6 Se repite 2 veces en Tradiciones Andinas, Se repite 2 veces el precio de 35</t>
  </si>
  <si>
    <t>El producto T.A Maiz Cancha Frito Salado / Native Corn Snack 130gr x12 Se repite 4 veces en Tradiciones Andinas Una vez con el precio 12</t>
  </si>
  <si>
    <t>El producto T.A Maiz Cancha Frito Salado / Native Corn Snack 130gr x12 Se repite 4 veces en Tradiciones Andinas, Se repite 3 veces el precio de 13.2</t>
  </si>
  <si>
    <t>El producto T.A Maiz Cancha saco 50Lb Se repite 5 veces en Tradiciones Andinas, Se repite 2 veces el precio de 60</t>
  </si>
  <si>
    <t>El producto T.A Maiz Cancha saco 50Lb Se repite 5 veces en Tradiciones Andinas, Se repite 3 veces el precio de 64.2</t>
  </si>
  <si>
    <t>El producto T.A Maiz Carhuay (Family Pack) / Carhuay Corn 54oz x 6 Se repite 2 veces en Tradiciones Andinas, Se repite 2 veces el precio de 35</t>
  </si>
  <si>
    <t>El producto T.A Maiz Chulpe /Chulpe Corn 15oz x 24 Se repite 5 veces en Tradiciones Andinas, Se repite 5 veces el precio de 40.56</t>
  </si>
  <si>
    <t>El producto T.A Maiz Chulpe Saco Se repite 4 veces en Tradiciones Andinas Una vez con el precio 73</t>
  </si>
  <si>
    <t>El producto T.A Maiz Chulpe Saco Se repite 4 veces en Tradiciones Andinas, Se repite 3 veces el precio de 78</t>
  </si>
  <si>
    <t>El producto T.A Maiz Chulpi frito Salado/ Chulpi Corn Snack 130gr x 12 Se repite 4 veces en Tradiciones Andinas Una vez con el precio 12</t>
  </si>
  <si>
    <t>El producto T.A Maiz Chulpi frito Salado/ Chulpi Corn Snack 130gr x 12 Se repite 4 veces en Tradiciones Andinas, Se repite 3 veces el precio de 13.2</t>
  </si>
  <si>
    <t>El producto T.A Maiz Desgranado (INST) / Corn in Grain 48oz x13 No se repite en proveedor Una vez con el precio 58.5</t>
  </si>
  <si>
    <t>El producto T.A Maiz gigante frito picante - Spicy and crunchy giant corn Se repite 2 veces en Tradiciones Andinas, Se repite 2 veces el precio de 13.2</t>
  </si>
  <si>
    <t>El producto T.A Maiz Gigante Frito Salado/ Giant Corn Snacks 130gr x 12 Se repite 3 veces en Tradiciones Andinas Una vez con el precio 12</t>
  </si>
  <si>
    <t>El producto T.A Maiz Gigante Frito Salado/ Giant Corn Snacks 130gr x 12 Se repite 3 veces en Tradiciones Andinas, Se repite 2 veces el precio de 13.2</t>
  </si>
  <si>
    <t>El producto T.A Maiz Morado (Family Pack) /Purple Corn 40OZ X 6 Se repite 8 veces en Tradiciones Andinas Una vez con el precio 22.4</t>
  </si>
  <si>
    <t>El producto T.A Maiz Morado (Family Pack) /Purple Corn 40OZ X 6 Se repite 8 veces en Tradiciones Andinas, Se repite 7 veces el precio de 23.96</t>
  </si>
  <si>
    <t>El producto T.A Maiz Morado /Purple Corn 15oz x 16 Se repite 5 veces en Tradiciones Andinas, Se repite 3 veces el precio de 22.4</t>
  </si>
  <si>
    <t>El producto T.A Maiz Morado /Purple Corn 15oz x 16 Se repite 5 veces en Tradiciones Andinas, Se repite 2 veces el precio de 23.96</t>
  </si>
  <si>
    <t>El producto T.A Maiz Morado /Purple Corn 50Lb saco Se repite 5 veces en Tradiciones Andinas, Se repite 2 veces el precio de 60</t>
  </si>
  <si>
    <t>El producto T.A Maiz Morado /Purple Corn 50Lb saco Se repite 5 veces en Tradiciones Andinas, Se repite 3 veces el precio de 64.2</t>
  </si>
  <si>
    <t>El producto T.A Mix Andino Snack / Andean Mix Snack 130gr x 12 Se repite 5 veces en Tradiciones Andinas, Se repite 2 veces el precio de 12</t>
  </si>
  <si>
    <t>El producto T.A Mix Andino Snack / Andean Mix Snack 130gr x 12 Se repite 5 veces en Tradiciones Andinas, Se repite 3 veces el precio de 13.2</t>
  </si>
  <si>
    <t>El producto T.A Mora en Fruta - Blackberry FROZEN 28oz x 12 No se repite en proveedor Una vez con el precio 35</t>
  </si>
  <si>
    <t>El producto T.A Motas de Guanabana en Almibar 790gr x 12 Se repite 2 veces en Tradiciones Andinas Una vez con el precio 34.68</t>
  </si>
  <si>
    <t>El producto T.A Motas de Guanabana en Almibar 790gr x 12 Se repite 2 veces en Tradiciones Andinas Una vez con el precio 37.11</t>
  </si>
  <si>
    <t>El producto T.A Mote Pelado (Family Pack) /Peeled Mote Corn 54oz x 6 No se repite en proveedor Una vez con el precio 35</t>
  </si>
  <si>
    <t>El producto T.A Mote Pelado Saco 50lb Se repite 3 veces en Tradiciones Andinas Una vez con el precio 80</t>
  </si>
  <si>
    <t>El producto T.A Mote Pelado Saco 50lb Se repite 3 veces en Tradiciones Andinas, Se repite 2 veces el precio de 85.6</t>
  </si>
  <si>
    <t>El producto T.A Nectar de Maracuya bebida 16oz x 12 Se repite 2 veces en Tradiciones Andinas Una vez con el precio 15</t>
  </si>
  <si>
    <t>El producto T.A Nectar de Maracuya bebida 16oz x 12 Se repite 2 veces en Tradiciones Andinas Una vez con el precio 16.05</t>
  </si>
  <si>
    <t>El producto T.A Olluco cortado / Sliced Ollucos 16oz x 20 Se repite 5 veces en Tradiciones Andinas, Se repite 5 veces el precio de 45</t>
  </si>
  <si>
    <t>El producto T.A Olluco en Lata /Whole Ollucus 20oz x 24 No se repite en proveedor Una vez con el precio 51.1</t>
  </si>
  <si>
    <t>El producto T.A Pallares /Lima Beans 15oz x 24 Se repite 2 veces en Tradiciones Andinas, Se repite 2 veces el precio de 36</t>
  </si>
  <si>
    <t>El producto T.A Papa Amarilla / Yellow Potato 16oz x 20 FROZEN Se repite 5 veces en Tradiciones Andinas, Se repite 5 veces el precio de 49.8</t>
  </si>
  <si>
    <t>El producto T.A Papa Criolla / Yellow Potato 2Lb x 12 No se repite en proveedor Una vez con el precio 45</t>
  </si>
  <si>
    <t>El producto T.A Papa Seca Amarilla  / Yelow Dried Potato 15oz x 18 Se repite 5 veces en Tradiciones Andinas, Se repite 3 veces el precio de 28.62</t>
  </si>
  <si>
    <t>El producto T.A Papa Seca Amarilla  / Yelow Dried Potato 15oz x 18 Se repite 5 veces en Tradiciones Andinas, Se repite 2 veces el precio de 30.24</t>
  </si>
  <si>
    <t>El producto T.A Papa Seca Amarilla (Family Pack) /Yelow Dried Potato 40oz x 6 Se repite 2 veces en Tradiciones Andinas Una vez con el precio 27.54</t>
  </si>
  <si>
    <t>El producto T.A Papa Seca Amarilla (Family Pack) /Yelow Dried Potato 40oz x 6 Se repite 2 veces en Tradiciones Andinas Una vez con el precio 28.62</t>
  </si>
  <si>
    <t>El producto T.A Papa Seca Negra (Family Pack) / Black Dried Potato 54oz x 5 No se repite en proveedor Una vez con el precio 28.62</t>
  </si>
  <si>
    <t>El producto T.A Papa Seca Negra / Dried Potato 15OZ X 18 Se repite 4 veces en Tradiciones Andinas, Se repite 3 veces el precio de 28.62</t>
  </si>
  <si>
    <t>El producto T.A Papa Seca Negra / Dried Potato 15OZ X 18 Se repite 4 veces en Tradiciones Andinas Una vez con el precio 30.24</t>
  </si>
  <si>
    <t>El producto T.A Peeled Mote Corn / Mote Pelado 15oz x 24 Se repite 6 veces en Tradiciones Andinas Una vez con el precio 39.36</t>
  </si>
  <si>
    <t>El producto T.A Peeled Mote Corn / Mote Pelado 15oz x 24 Se repite 6 veces en Tradiciones Andinas, Se repite 2 veces el precio de 42.96</t>
  </si>
  <si>
    <t>El producto T.A Peeled Mote Corn / Mote Pelado 15oz x 24 Se repite 6 veces en Tradiciones Andinas, Se repite 3 veces el precio de 45.96</t>
  </si>
  <si>
    <t>El producto T.A Platanitos fritos salados / chifles - Salted Plantain Chips Se repite 3 veces en Tradiciones Andinas, Se repite 3 veces el precio de 13.2</t>
  </si>
  <si>
    <t>El producto T.A Pulpa de Guanabana / Soursop Pulpa 14oz x 12 Se repite 3 veces en Tradiciones Andinas, Se repite 3 veces el precio de 28.68</t>
  </si>
  <si>
    <t>El producto T.A Pulpa De Lucuma / Lucuma  Pulp 12oz x 20 Se repite 5 veces en Tradiciones Andinas, Se repite 2 veces el precio de 45.8</t>
  </si>
  <si>
    <t>El producto T.A Pulpa De Lucuma / Lucuma  Pulp 12oz x 20 Se repite 5 veces en Tradiciones Andinas, Se repite 2 veces el precio de 47.8</t>
  </si>
  <si>
    <t>El producto T.A Pulpa De Lucuma / Lucuma  Pulp 12oz x 20 Se repite 5 veces en Tradiciones Andinas Una vez con el precio 51.15</t>
  </si>
  <si>
    <t>El producto T.A Pulpa de Maracuya / Passion Fruit pulp14oz x 12 FROZEN Se repite 6 veces en Tradiciones Andinas, Se repite 2 veces el precio de 25.08</t>
  </si>
  <si>
    <t>El producto T.A Pulpa de Maracuya / Passion Fruit pulp14oz x 12 FROZEN Se repite 6 veces en Tradiciones Andinas, Se repite 3 veces el precio de 26.84</t>
  </si>
  <si>
    <t>El producto T.A Pulpa de Maracuya / Passion Fruit pulp14oz x 12 FROZEN Se repite 6 veces en Tradiciones Andinas Una vez con el precio 26.4</t>
  </si>
  <si>
    <t>El producto T.A Pulpa de Maracuya con pepas / Passion fruit pulp with Seeds Se repite 3 veces en Tradiciones Andinas, Se repite 3 veces el precio de 26.84</t>
  </si>
  <si>
    <t>El producto T.A Quinoa Blanca  /White  Quinoa Se repite 2 veces en Tradiciones Andinas, Se repite 2 veces el precio de 38.93</t>
  </si>
  <si>
    <t>El producto T.A Quinoa Negra  / Black  Quinoa14oz x 12 Se repite 3 veces en Tradiciones Andinas, Se repite 3 veces el precio de 22.68</t>
  </si>
  <si>
    <t>El producto T.A Quinoa Tricolor  / Tri-Color Quinoa14oz x 12 Se repite 2 veces en Tradiciones Andinas, Se repite 2 veces el precio de 22.68</t>
  </si>
  <si>
    <t>El producto T.A Quinua /Quinoa 15oz x 24 Se repite 4 veces en Tradiciones Andinas, Se repite 4 veces el precio de 40.16</t>
  </si>
  <si>
    <t>El producto T.A Rocoto en Lata /Red Hot Peppers Halves Se repite 2 veces en Tradiciones Andinas, Se repite 2 veces el precio de 51.1</t>
  </si>
  <si>
    <t>El producto T.A Rocoto en pasta 7.5oz x 24 Se repite 7 veces en Tradiciones Andinas, Se repite 3 veces el precio de 30.96</t>
  </si>
  <si>
    <t>El producto T.A Rocoto en pasta 7.5oz x 24 Se repite 7 veces en Tradiciones Andinas, Se repite 4 veces el precio de 33.12</t>
  </si>
  <si>
    <t>El producto T.A Rocoto en Salmuera /Red Hot Peppers Halves No se repite en proveedor Una vez con el precio 32</t>
  </si>
  <si>
    <t>El producto T.A Rocoto Entero / Red Hot Pepper FROZEN 16oz x 20 Se repite 6 veces en Tradiciones Andinas, Se repite 2 veces el precio de 50</t>
  </si>
  <si>
    <t>El producto T.A Rocoto Entero / Red Hot Pepper FROZEN 16oz x 20 Se repite 6 veces en Tradiciones Andinas, Se repite 4 veces el precio de 53.5</t>
  </si>
  <si>
    <t>El producto T.A Rocoto Pasta 10.5oz x 12 Se repite 3 veces en Tradiciones Andinas, Se repite 3 veces el precio de 23.88</t>
  </si>
  <si>
    <t>El producto T.A Rocoto Pasta 15oz X 12 Se repite 4 veces en Tradiciones Andinas, Se repite 2 veces el precio de 27.48</t>
  </si>
  <si>
    <t>El producto T.A Rocoto Pasta 15oz X 12 Se repite 4 veces en Tradiciones Andinas, Se repite 2 veces el precio de 29.4</t>
  </si>
  <si>
    <t>El producto T.A Salsa Parrillera /BBQ Seasoning 15oz x 12 Se repite 5 veces en Tradiciones Andinas Una vez con el precio 27</t>
  </si>
  <si>
    <t>El producto T.A Salsa Parrillera /BBQ Seasoning 15oz x 12 Se repite 5 veces en Tradiciones Andinas, Se repite 2 veces el precio de 28.89</t>
  </si>
  <si>
    <t>El producto T.A Salsa Parrillera /BBQ Seasoning 15oz x 12 Se repite 5 veces en Tradiciones Andinas, Se repite 2 veces el precio de 28.88</t>
  </si>
  <si>
    <t>El producto T.A Salsa Pollo A La Brasa /Grill Chicken Seasoning 15oz x 12 Se repite 4 veces en Tradiciones Andinas Una vez con el precio 27</t>
  </si>
  <si>
    <t>El producto T.A Salsa Pollo A La Brasa /Grill Chicken Seasoning 15oz x 12 Se repite 4 veces en Tradiciones Andinas Una vez con el precio 28.89</t>
  </si>
  <si>
    <t>El producto T.A Salsa Pollo A La Brasa /Grill Chicken Seasoning 15oz x 12 Se repite 4 veces en Tradiciones Andinas, Se repite 2 veces el precio de 28.88</t>
  </si>
  <si>
    <t>El producto T.A Sardinas en Salsa de tomate / Sardines en tomato sauce 15oz x 24 Se repite 2 veces en Tradiciones Andinas Una vez con el precio 28.8</t>
  </si>
  <si>
    <t>El producto T.A Sardinas en Salsa de tomate / Sardines en tomato sauce 15oz x 24 Se repite 2 veces en Tradiciones Andinas Una vez con el precio 26.4</t>
  </si>
  <si>
    <t>El producto T.A Sardinas en Salsa de Tomate Tinapa / Sardines in Tomato Sauce 5.46oz x 50 No se repite en proveedor Una vez con el precio 39.5</t>
  </si>
  <si>
    <t>El producto T.A Semola /Semolina 15oz x 24 Se repite 4 veces en Tradiciones Andinas Una vez con el precio 28.8</t>
  </si>
  <si>
    <t>El producto T.A Semola /Semolina 15oz x 24 Se repite 4 veces en Tradiciones Andinas, Se repite 3 veces el precio de 30.82</t>
  </si>
  <si>
    <t>El producto T.A Te con canela y clavo - Cinnamon and Clove filtrante 24gr x 20 x 30 Se repite 5 veces en Tradiciones Andinas Una vez con el precio 25.5</t>
  </si>
  <si>
    <t>El producto T.A Te con canela y clavo - Cinnamon and Clove filtrante 24gr x 20 x 30 Se repite 5 veces en Tradiciones Andinas, Se repite 4 veces el precio de 27.29</t>
  </si>
  <si>
    <t>El producto T.A Trigo  Resbalado/Hulled Wheat 15oz x 24 Se repite 3 veces en Tradiciones Andinas, Se repite 3 veces el precio de 30</t>
  </si>
  <si>
    <t>El producto T.A Trigo Trigo Pelado/Peeled Wheat 15oz x 24 Se repite 7 veces en Tradiciones Andinas, Se repite 3 veces el precio de 30</t>
  </si>
  <si>
    <t>El producto T.A Trigo Trigo Pelado/Peeled Wheat 15oz x 24 Se repite 7 veces en Tradiciones Andinas, Se repite 4 veces el precio de 32.1</t>
  </si>
  <si>
    <t>El producto T.A. Ajo Pasta - Ajo en Pasta /Garlic Paste 15oz X 12 Se repite 2 veces en Tradiciones Andinas, Se repite 2 veces el precio de 35.88</t>
  </si>
  <si>
    <t>El producto Tari crema de aji A la Cena17.06oz (400gr) x 12 Se repite 3 veces en Belmont International Trading Corp Una vez con el precio 39.5</t>
  </si>
  <si>
    <t>El producto Tari crema de aji A la Cena17.06oz (400gr) x 12 Se repite 3 veces en Belmont International Trading Corp, Se repite 2 veces el precio de 43.5</t>
  </si>
  <si>
    <t>El producto Tari crema de aji A la Cena17.06oz (400gr) x 12 Se repite 4 veces en Peru Chef, Se repite 4 veces el precio de 35</t>
  </si>
  <si>
    <t>El producto Tentacion Galleta Coco 47gr 6 x 8 Se repite 5 veces en Peru Chef, Se repite 2 veces el precio de 16</t>
  </si>
  <si>
    <t>El producto Tentacion Galleta Coco 47gr 6 x 8 Se repite 5 veces en Peru Chef Una vez con el precio 17</t>
  </si>
  <si>
    <t>El producto Tentacion Galleta Coco 47gr 6 x 8 Se repite 5 veces en Peru Chef, Se repite 2 veces el precio de 15.3</t>
  </si>
  <si>
    <t>El producto Tentacion Galleta Vainilla 47gr 6 x 8 Se repite 3 veces en Peru Chef, Se repite 2 veces el precio de 16</t>
  </si>
  <si>
    <t>El producto Tentacion Galleta Vainilla 47gr 6 x 8 Se repite 3 veces en Peru Chef Una vez con el precio 17</t>
  </si>
  <si>
    <t>El producto Tradiciones Andinas -  Pimienta Negra /Black Pepper Se repite 3 veces en Tradiciones Andinas, Se repite 3 veces el precio de 16.68</t>
  </si>
  <si>
    <t>El producto Tradiciones Andinas - Ajonjoli / Sesame Seeds Se repite 2 veces en Tradiciones Andinas, Se repite 2 veces el precio de 12.6</t>
  </si>
  <si>
    <t>El producto Tradiciones Andinas - Algarrobina Se repite 5 veces en Tradiciones Andinas, Se repite 5 veces el precio de 78.96</t>
  </si>
  <si>
    <t>El producto Tradiciones Andinas - Canela Molida / Ground Cinnamon Se repite 3 veces en Tradiciones Andinas, Se repite 3 veces el precio de 12.6</t>
  </si>
  <si>
    <t>El producto Tradiciones Andinas - Comino Molido Se repite 3 veces en Tradiciones Andinas, Se repite 3 veces el precio de 12.6</t>
  </si>
  <si>
    <t>El producto TRADICIONES ANDINAS - Manzanilla filtrante - Chamomille Tea 24gr x 20 x 30 Se repite 6 veces en Tradiciones Andinas, Se repite 6 veces el precio de 27.29</t>
  </si>
  <si>
    <t>El producto Tradiciones Andinas  Miel de Abeja 500gr x 24 No se repite en proveedor Una vez con el precio 98.16</t>
  </si>
  <si>
    <t>El producto Tradiciones Andinas - Orégano Entero / Whole Oregano No se repite en proveedor Una vez con el precio 18.6</t>
  </si>
  <si>
    <t>El producto Tradiciones Andinas - Palillo /Curcuma Se repite 2 veces en Tradiciones Andinas, Se repite 2 veces el precio de 12.6</t>
  </si>
  <si>
    <t>El producto Tradiciones Andinas Pimenton / Paprika 1.76oz x 12 Se repite 2 veces en Tradiciones Andinas, Se repite 2 veces el precio de 12.6</t>
  </si>
  <si>
    <t>El producto Trigo Atomico con Maca 125gr x 20 No se repite en proveedor Una vez con el precio 22</t>
  </si>
  <si>
    <t>El producto Trigo Atomico original con Miel 125gr x 20 Se repite 3 veces en Tradiciones Andinas Una vez con el precio 20</t>
  </si>
  <si>
    <t>El producto Trigo Atomico original con Miel 125gr x 20 Se repite 3 veces en Tradiciones Andinas, Se repite 2 veces el precio de 21.4</t>
  </si>
  <si>
    <t>El producto Uchucuta A la Cena 17.06 (400gr) x 12 Se repite 3 veces en Belmont International Trading Corp Una vez con el precio 39.5</t>
  </si>
  <si>
    <t>El producto Uchucuta A la Cena 17.06 (400gr) x 12 Se repite 3 veces en Belmont International Trading Corp, Se repite 2 veces el precio de 43.5</t>
  </si>
  <si>
    <t>El producto Uchucuta A la Cena 17.06 (400gr) x 12 Se repite 4 veces en Peru Chef, Se repite 4 veces el precio de 35</t>
  </si>
  <si>
    <t>El producto Universal Bicarbonato de Sodio - Baking soda 100gr x 12 Se repite 4 veces en Tradiciones Andinas Una vez con el precio 12</t>
  </si>
  <si>
    <t>El producto Universal Bicarbonato de Sodio - Baking soda 100gr x 12 Se repite 4 veces en Tradiciones Andinas, Se repite 3 veces el precio de 12.84</t>
  </si>
  <si>
    <t>El producto Universal Chicha Morada / Purple drink instant beverage 120gr x 12 Se repite 6 veces en Tradiciones Andinas, Se repite 2 veces el precio de 12</t>
  </si>
  <si>
    <t>El producto Universal Chicha Morada / Purple drink instant beverage 120gr x 12 Se repite 6 veces en Tradiciones Andinas, Se repite 3 veces el precio de 12.84</t>
  </si>
  <si>
    <t>El producto Universal Chicha Morada / Purple drink instant beverage 120gr x 12 Se repite 6 veces en Tradiciones Andinas Una vez con el precio 12.4</t>
  </si>
  <si>
    <t>El producto Universal Chuño / Potato Starch 180gr x 9 No se repite en proveedor Una vez con el precio 9</t>
  </si>
  <si>
    <t>El producto Universal Esencia de Vainilla / Vanilla Scent 100ml x 24 Se repite 8 veces en Tradiciones Andinas, Se repite 2 veces el precio de 21.36</t>
  </si>
  <si>
    <t>El producto Universal Esencia de Vainilla / Vanilla Scent 100ml x 24 Se repite 8 veces en Tradiciones Andinas, Se repite 6 veces el precio de 22.86</t>
  </si>
  <si>
    <t>El producto Universal Flan de Lucuma/ Lucuma Pudin 150gr x 12 Se repite 4 veces en Tradiciones Andinas Una vez con el precio 13</t>
  </si>
  <si>
    <t>El producto Universal Flan de Lucuma/ Lucuma Pudin 150gr x 12 Se repite 4 veces en Tradiciones Andinas Una vez con el precio 13.91</t>
  </si>
  <si>
    <t>El producto Universal Flan de Lucuma/ Lucuma Pudin 150gr x 12 Se repite 4 veces en Tradiciones Andinas, Se repite 2 veces el precio de 14</t>
  </si>
  <si>
    <t>El producto Universal Flan de Vainilla / Vanilla Flan 150gr x 12 Se repite 6 veces en Tradiciones Andinas, Se repite 2 veces el precio de 13.08</t>
  </si>
  <si>
    <t>El producto Universal Flan de Vainilla / Vanilla Flan 150gr x 12 Se repite 6 veces en Tradiciones Andinas, Se repite 4 veces el precio de 14</t>
  </si>
  <si>
    <t>El producto Universal Gelatina Limon / Lemon Gelatin 150gr x 12 Se repite 4 veces en Tradiciones Andinas, Se repite 4 veces el precio de 14</t>
  </si>
  <si>
    <t>El producto Universal Gelatina sin Sabor (Colapiz) Se repite 4 veces en Tradiciones Andinas, Se repite 4 veces el precio de 14</t>
  </si>
  <si>
    <t>El producto Universal Grape Gelatin / Gelatina Uva Se repite 5 veces en Tradiciones Andinas, Se repite 5 veces el precio de 14</t>
  </si>
  <si>
    <t>El producto Universal Maicena 180g x 7 Se repite 4 veces en Tradiciones Andinas, Se repite 4 veces el precio de 9</t>
  </si>
  <si>
    <t>El producto Universal Mazamorra Morada /Purple Pudin 150gr x 12 Se repite 5 veces en Tradiciones Andinas Una vez con el precio 13.08</t>
  </si>
  <si>
    <t>El producto Universal Mazamorra Morada /Purple Pudin 150gr x 12 Se repite 5 veces en Tradiciones Andinas, Se repite 4 veces el precio de 14</t>
  </si>
  <si>
    <t>El producto Universal Mazamorra sabor a Piña / Pineapple flavor pudin 150gr x 12 Se repite 2 veces en Tradiciones Andinas Una vez con el precio 13.08</t>
  </si>
  <si>
    <t>El producto Universal Mazamorra sabor a Piña / Pineapple flavor pudin 150gr x 12 Se repite 2 veces en Tradiciones Andinas Una vez con el precio 14</t>
  </si>
  <si>
    <t>El producto Universal Polvo de Hornear / Baking powder 100gr x 12 Se repite 5 veces en Tradiciones Andinas Una vez con el precio 12</t>
  </si>
  <si>
    <t>El producto Universal Polvo de Hornear / Baking powder 100gr x 12 Se repite 5 veces en Tradiciones Andinas, Se repite 4 veces el precio de 12.84</t>
  </si>
  <si>
    <t>El producto Universal Refresco de Maracuya / Passion fruit instant beverage 120gr x 12 Se repite 3 veces en Tradiciones Andinas Una vez con el precio 12</t>
  </si>
  <si>
    <t>El producto Universal Refresco de Maracuya / Passion fruit instant beverage 120gr x 12 Se repite 3 veces en Tradiciones Andinas, Se repite 2 veces el precio de 12.84</t>
  </si>
  <si>
    <t>El producto Universal Refresco Guanabana / Guava Instant beverage 120gr x 12 Se repite 3 veces en Tradiciones Andinas Una vez con el precio 12</t>
  </si>
  <si>
    <t>El producto Universal Refresco Guanabana / Guava Instant beverage 120gr x 12 Se repite 3 veces en Tradiciones Andinas, Se repite 2 veces el precio de 12.84</t>
  </si>
  <si>
    <t>El producto VALLES ANDINOS Aceite Vegetal con Achiote 440ml x 15 Se repite 6 veces en Tradiciones Andinas, Se repite 2 veces el precio de 35</t>
  </si>
  <si>
    <t>El producto VALLES ANDINOS Aceite Vegetal con Achiote 440ml x 15 Se repite 6 veces en Tradiciones Andinas, Se repite 4 veces el precio de 37.45</t>
  </si>
  <si>
    <t>El producto Valles Andinos Aji Casero 6oz x 24 Se repite 2 veces en Tradiciones Andinas Una vez con el precio 42.96</t>
  </si>
  <si>
    <t>El producto Valles Andinos Aji Casero 6oz x 24 Se repite 2 veces en Tradiciones Andinas Una vez con el precio 45.96</t>
  </si>
  <si>
    <t>El producto Valles Andinos Aji Peruano 14oz x 12 Se repite 2 veces en Tradiciones Andinas, Se repite 2 veces el precio de 33.48</t>
  </si>
  <si>
    <t>El producto Valles Andinos Ajo en Pasta /Garlic Paste 16.58oz x 15 Se repite 3 veces en Tradiciones Andinas, Se repite 3 veces el precio de 32.15</t>
  </si>
  <si>
    <t>El producto Valles Andinos Aliño - Ecuatorian Seasoning 17.64oz x 15 Se repite 3 veces en Tradiciones Andinas, Se repite 3 veces el precio de 32.15</t>
  </si>
  <si>
    <t>El producto Valles Andinos Arroz de Cebada / Barley Corn 14oz x 18 Se repite 3 veces en Tradiciones Andinas, Se repite 3 veces el precio de 25.02</t>
  </si>
  <si>
    <t>El producto Valles Andinos Arverjas Verdes 14oz x 24 Se repite 2 veces en Tradiciones Andinas, Se repite 2 veces el precio de 18</t>
  </si>
  <si>
    <t>El producto Valles Andinos Canguil / Pop Corn Se repite 2 veces en Tradiciones Andinas, Se repite 2 veces el precio de 23.76</t>
  </si>
  <si>
    <t>El producto Valles Andinos Chimichurri - BBQ Sauce 500gr x 15 Se repite 4 veces en Tradiciones Andinas, Se repite 4 veces el precio de 32.15</t>
  </si>
  <si>
    <t>El producto Valles Andinos Chochos en Salmuera 15oz x 12 Se repite 6 veces en Tradiciones Andinas Una vez con el precio 39.48</t>
  </si>
  <si>
    <t>El producto Valles Andinos Chochos en Salmuera 15oz x 12 Se repite 6 veces en Tradiciones Andinas, Se repite 5 veces el precio de 42.24</t>
  </si>
  <si>
    <t>El producto Valles Andinos Chochos en Salmuera Picantes 17oz x 12 No se repite en proveedor Una vez con el precio 39.48</t>
  </si>
  <si>
    <t>El producto Valles Andinos Dulces de Higos 20oz X 12 Se repite 5 veces en Tradiciones Andinas Una vez con el precio 46.68</t>
  </si>
  <si>
    <t>El producto Valles Andinos Dulces de Higos 20oz X 12 Se repite 5 veces en Tradiciones Andinas, Se repite 4 veces el precio de 49.95</t>
  </si>
  <si>
    <t>El producto Valles Andinos Frijol Bocanegra / Black Eye Beans or Bocanegra Se repite 2 veces en Tradiciones Andinas, Se repite 2 veces el precio de 23.22</t>
  </si>
  <si>
    <t>El producto Valles Andinos Frijol Canario / Canary Beans No se repite en proveedor Una vez con el precio 30.42</t>
  </si>
  <si>
    <t>El producto Valles Andinos Frijoles Negros / Black beans 14 oz x 24 Se repite 2 veces en Tradiciones Andinas, Se repite 2 veces el precio de 20.4</t>
  </si>
  <si>
    <t>El producto Valles Andinos Habas partidas y Peladas / Split and Peeled Fava Beans 14oz x 14 Se repite 2 veces en Tradiciones Andinas, Se repite 2 veces el precio de 25.9</t>
  </si>
  <si>
    <t>El producto Valles Andinos Harina de Alverja / Pea Flour Se repite 2 veces en Tradiciones Andinas, Se repite 2 veces el precio de 22.24</t>
  </si>
  <si>
    <t>El producto Valles Andinos Harina de Habas / Faba Beans Flour 14oz x 18 Se repite 3 veces en Tradiciones Andinas, Se repite 3 veces el precio de 22.24</t>
  </si>
  <si>
    <t>El producto Valles Andinos Harina de Machica / Roasted Barley Flour Se repite 3 veces en Tradiciones Andinas, Se repite 3 veces el precio de 22.24</t>
  </si>
  <si>
    <t>El producto Valles Andinos Harina de Maiz / Corn Flour Se repite 2 veces en Tradiciones Andinas, Se repite 2 veces el precio de 22.24</t>
  </si>
  <si>
    <t>El producto Valles Andinos Harina de Platano / Plantain Flour No se repite en proveedor Una vez con el precio 22.24</t>
  </si>
  <si>
    <t>El producto Valles Andinos Harina Maiz Morado / Purple Corn Flour Se repite 3 veces en Tradiciones Andinas, Se repite 3 veces el precio de 22.24</t>
  </si>
  <si>
    <t>El producto Valles Andinos Lentejas 14oz x 24 Se repite 4 veces en Tradiciones Andinas, Se repite 4 veces el precio de 19.2</t>
  </si>
  <si>
    <t>El producto Valles Andinos Soya / Soy Beans 14oz x 18 bolsa Se repite 3 veces en Tradiciones Andinas, Se repite 3 veces el precio de 30.42</t>
  </si>
  <si>
    <t>El producto VARGAS CHEVALIER Jarabe de Goma 750ml x 12 fco vidrio No se repite en proveedor Una vez con el precio 75.6</t>
  </si>
  <si>
    <t>El producto VITAPLUSS - Arrocito con Miel 140gr x 24 Se repite 3 veces en Tradiciones Andinas, Se repite 2 veces el precio de 24</t>
  </si>
  <si>
    <t>El producto VITAPLUSS - Arrocito con Miel 140gr x 24 Se repite 3 veces en Tradiciones Andinas Una vez con el precio 26.4</t>
  </si>
  <si>
    <t>El producto VITAPLUSS - Fideos con Miel 120gr x 20 Se repite 8 veces en Tradiciones Andinas, Se repite 2 veces el precio de 24</t>
  </si>
  <si>
    <t>El producto VITAPLUSS - Fideos con Miel 120gr x 20 Se repite 8 veces en Tradiciones Andinas, Se repite 2 veces el precio de 21.4</t>
  </si>
  <si>
    <t>El producto VITAPLUSS - Fideos con Miel 120gr x 20 Se repite 8 veces en Tradiciones Andinas, Se repite 4 veces el precio de 22</t>
  </si>
  <si>
    <t>El producto VITAPLUSS - Maiz expandido con miel 140gr x 24 Se repite 3 veces en Tradiciones Andinas Una vez con el precio 24</t>
  </si>
  <si>
    <t>El producto VITAPLUSS - Maiz expandido con miel 140gr x 24 Se repite 3 veces en Tradiciones Andinas, Se repite 2 veces el precio de 26.4</t>
  </si>
  <si>
    <t>El producto VITAPLUSS - Trigo Expandido con Miel 140gr x 24 Se repite 4 veces en Tradiciones Andinas, Se repite 2 veces el precio de 24</t>
  </si>
  <si>
    <t>El producto VITAPLUSS - Trigo Expandido con Miel 140gr x 24 Se repite 4 veces en Tradiciones Andinas, Se repite 2 veces el precio de 25.68</t>
  </si>
  <si>
    <t>El producto Volt yellow Guarana 16fl oz /15 No se repite en proveedor Una vez con el precio 16.0226</t>
  </si>
  <si>
    <t>El producto Walibi Aceitunesa 380gr x 12 Se repite 5 veces en Peru Chef, Se repite 2 veces el precio de 31.8</t>
  </si>
  <si>
    <t>El producto Walibi Aceitunesa 380gr x 12 Se repite 5 veces en Peru Chef Una vez con el precio 39</t>
  </si>
  <si>
    <t>El producto Walibi Aceitunesa 380gr x 12 Se repite 5 veces en Peru Chef Una vez con el precio 35</t>
  </si>
  <si>
    <t>El producto Walibi Aceitunesa 380gr x 12 Se repite 5 veces en Peru Chef Una vez con el precio 35.1</t>
  </si>
  <si>
    <t>El producto Walibi Crema De Rocoto 380gr x 12 Se repite 5 veces en Peru Chef, Se repite 2 veces el precio de 31.8</t>
  </si>
  <si>
    <t>El producto Walibi Crema De Rocoto 380gr x 12 Se repite 5 veces en Peru Chef Una vez con el precio 39</t>
  </si>
  <si>
    <t>El producto Walibi Crema De Rocoto 380gr x 12 Se repite 5 veces en Peru Chef, Se repite 2 veces el precio de 35.1</t>
  </si>
  <si>
    <t>El producto Walibi Mayonesa No se repite en proveedor Una vez con el precio 31.8</t>
  </si>
  <si>
    <t>El producto Walibi Salsa De Aji Criollo 380gr x 12 Se repite 6 veces en Peru Chef Una vez con el precio 31.8</t>
  </si>
  <si>
    <t>El producto Walibi Salsa De Aji Criollo 380gr x 12 Se repite 6 veces en Peru Chef Una vez con el precio 39</t>
  </si>
  <si>
    <t>El producto Walibi Salsa De Aji Criollo 380gr x 12 Se repite 6 veces en Peru Chef Una vez con el precio 35</t>
  </si>
  <si>
    <t>El producto Walibi Salsa De Aji Criollo 380gr x 12 Se repite 6 veces en Peru Chef, Se repite 3 veces el precio de 35.1</t>
  </si>
  <si>
    <t>El producto Walibi Salsa Huancaina Se repite 2 veces en Peru Chef, Se repite 2 veces el precio de 31.8</t>
  </si>
  <si>
    <t>El producto Wasska Base Pisco Sour Chicha Morada 125gr x 9 Se repite 2 veces en Peru Chef, Se repite 2 veces el precio de 22</t>
  </si>
  <si>
    <t>El producto Wasska Base Pisco Sour Limon 125gr x 9 Se repite 2 veces en Peru Chef, Se repite 2 veces el precio de 22</t>
  </si>
  <si>
    <t>El producto Wasska Base Pisco Sour Mango Con Camucamu 125gr x 9 Se repite 2 veces en Peru Chef, Se repite 2 veces el precio de 22</t>
  </si>
  <si>
    <t>El producto Wasska Base Pisco Sour Maracuya 125gr x 9 Se repite 2 veces en Peru Chef Una vez con el precio 22</t>
  </si>
  <si>
    <t>El producto Wasska Base Pisco Sour Maracuya 125gr x 9 Se repite 2 veces en Peru Chef Una vez con el precio 19.8</t>
  </si>
  <si>
    <t>El producto Winter Ole Ole x 60 x 15 Se repite 2 veces en Belmont International Trading Corp Una vez con el precio 40</t>
  </si>
  <si>
    <t>El producto Winter Ole Ole x 60 x 15 Se repite 2 veces en Belmont International Trading Corp Una vez con el precio 44</t>
  </si>
  <si>
    <t>El producto Winters Ole Ole 225 gr x 50 x 15 Se repite 3 veces en Peru Chef Una vez con el precio 38</t>
  </si>
  <si>
    <t>El producto Winters Ole Ole 225 gr x 50 x 15 Se repite 3 veces en Peru Chef Una vez con el precio 41</t>
  </si>
  <si>
    <t>El producto Winters Ole Ole 225 gr x 50 x 15 Se repite 3 veces en Peru Chef Una vez con el precio 36.9</t>
  </si>
  <si>
    <t>El producto WINTER'S Paneton 900gr x 6 No se repite en proveedor Una vez con el precio 38</t>
  </si>
  <si>
    <t>El producto WINTER'S Paneton 900gr x 6 Se repite 6 veces en Tradiciones Andinas, Se repite 2 veces el precio de 35.94</t>
  </si>
  <si>
    <t>El producto WINTER'S Paneton 900gr x 6 Se repite 6 veces en Tradiciones Andinas Una vez con el precio 36</t>
  </si>
  <si>
    <t>El producto WINTER'S Paneton 900gr x 6 Se repite 6 veces en Tradiciones Andinas Una vez con el precio 30</t>
  </si>
  <si>
    <t>El producto WINTER'S Paneton 900gr x 6 Se repite 6 veces en Tradiciones Andinas, Se repite 2 veces el precio de 34</t>
  </si>
  <si>
    <t>El producto Winter'S Picaras Chocolate 6 x30 Se repite 2 veces en Belmont International Trading Corp Una vez con el precio 60.8</t>
  </si>
  <si>
    <t>El producto Winter'S Picaras Chocolate 6 x30 Se repite 2 veces en Belmont International Trading Corp Una vez con el precio 66.9</t>
  </si>
  <si>
    <t>El producto Winter'S Picaras Chocolate 6 x30 Se repite 3 veces en Peru Chef Una vez con el precio 69</t>
  </si>
  <si>
    <t>El producto Winter'S Picaras Chocolate 6 x30 Se repite 3 veces en Peru Chef, Se repite 2 veces el precio de 62.1</t>
  </si>
  <si>
    <t>El producto Yuca Family Pack / Cassava Family Pack 5lb x 6 Se repite 5 veces en SAVERS SUPERMERCADO COST + PLUS Una vez con el precio 40.5428</t>
  </si>
  <si>
    <t>El producto Yuca Family Pack / Cassava Family Pack 5lb x 6 Se repite 5 veces en SAVERS SUPERMERCADO COST + PLUS Una vez con el precio 42.345</t>
  </si>
  <si>
    <t>El producto Yuca Family Pack / Cassava Family Pack 5lb x 6 Se repite 5 veces en SAVERS SUPERMERCADO COST + PLUS Una vez con el precio 39.826</t>
  </si>
  <si>
    <t>El producto Yuca Family Pack / Cassava Family Pack 5lb x 6 Se repite 5 veces en SAVERS SUPERMERCADO COST + PLUS, Se repite 2 veces el precio de 49.15</t>
  </si>
  <si>
    <t>El producto Yuca Family Pack / Cassava Family Pack 5lb x 6 Se repite 3 veces en Tradiciones Andinas Una vez con el precio 27</t>
  </si>
  <si>
    <t>El producto Yuca Family Pack / Cassava Family Pack 5lb x 6 Se repite 3 veces en Tradiciones Andinas, Se repite 2 veces el precio de 36</t>
  </si>
  <si>
    <t>Product</t>
  </si>
  <si>
    <t>Price</t>
  </si>
  <si>
    <t>Productos</t>
  </si>
  <si>
    <t>Proveedores</t>
  </si>
  <si>
    <t>Sam's Club-12/14/2025</t>
  </si>
  <si>
    <t>Peru Chef-09/11/2025</t>
  </si>
  <si>
    <t>Peru Chef-10/09/2025</t>
  </si>
  <si>
    <t>Belmont International Trading Corp-04/28/2025</t>
  </si>
  <si>
    <t>Tradiciones Andinas-06/12/2025</t>
  </si>
  <si>
    <t>Tradiciones Andinas-07/03/2025</t>
  </si>
  <si>
    <t>Tradiciones Andinas-09/24/2025</t>
  </si>
  <si>
    <t>Tradiciones Andinas-11/28/2025</t>
  </si>
  <si>
    <t>Peru Chef-03/26/2025</t>
  </si>
  <si>
    <t>Peru Chef-04/10/2025</t>
  </si>
  <si>
    <t>Tradiciones Andinas-04/25/2025</t>
  </si>
  <si>
    <t>Tradiciones Andinas-05/19/2025</t>
  </si>
  <si>
    <t>Peru Chef-08/11/2025</t>
  </si>
  <si>
    <t>Tradiciones Andinas-08/18/2025</t>
  </si>
  <si>
    <t>Tradiciones Andinas-04/10/2025</t>
  </si>
  <si>
    <t>Tradiciones Andinas-12/03/2025</t>
  </si>
  <si>
    <t>Peru Chef-04/24/2025</t>
  </si>
  <si>
    <t>Peru Chef-10/28/2025</t>
  </si>
  <si>
    <t>Peru Chef-11/14/2025</t>
  </si>
  <si>
    <t>Peru Chef-12/09/2025</t>
  </si>
  <si>
    <t>Belmont International Trading Corp-05/16/2025</t>
  </si>
  <si>
    <t>Belmont International Trading Corp-10/20/2025</t>
  </si>
  <si>
    <t>Belmont International Trading Corp-06/12/2025</t>
  </si>
  <si>
    <t>Belmont International Trading Corp-07/31/2025</t>
  </si>
  <si>
    <t>Belmont International Trading Corp-12/11/2025</t>
  </si>
  <si>
    <t>Peru Chef-08/28/2025</t>
  </si>
  <si>
    <t>Peru Chef-04/13/2025</t>
  </si>
  <si>
    <t>Tradiciones Andinas-07/21/2025</t>
  </si>
  <si>
    <t>La Sorpresa Store-08/26/2025</t>
  </si>
  <si>
    <t>Tradiciones Andinas-11/07/2025</t>
  </si>
  <si>
    <t>Amazon-06/02/2025</t>
  </si>
  <si>
    <t>Amazon-06/04/2025</t>
  </si>
  <si>
    <t>Peru Chef-08/27/2025</t>
  </si>
  <si>
    <t>Tradiciones Andinas-04/29/2025</t>
  </si>
  <si>
    <t>Tradiciones Andinas-10/07/2025</t>
  </si>
  <si>
    <t>Tradiciones Andinas-03/31/2025</t>
  </si>
  <si>
    <t>Tradiciones Andinas-10/30/2025</t>
  </si>
  <si>
    <t>Continental Food and Beverage, inc-03/03/2025</t>
  </si>
  <si>
    <t>Continental Food and Beverage, inc-04/28/2025</t>
  </si>
  <si>
    <t>Continental Food and Beverage, inc-08/21/2025</t>
  </si>
  <si>
    <t>Continental Food and Beverage, inc-07/08/2025</t>
  </si>
  <si>
    <t>Continental Food and Beverage, inc-10/01/2025</t>
  </si>
  <si>
    <t>Continental Food and Beverage, inc-11/04/2025</t>
  </si>
  <si>
    <t>Continental Food and Beverage, inc-04/09/2025</t>
  </si>
  <si>
    <t>Lam's Foods Inc.-10/03/2025</t>
  </si>
  <si>
    <t>Fiesta Mart #60-11/13/2025</t>
  </si>
  <si>
    <t>Fiesta Mart #60-12/18/2025</t>
  </si>
  <si>
    <t>GUIXENS FOOD GROUP, INC.-10/29/2025</t>
  </si>
  <si>
    <t>Tradiciones Andinas-06/17/2025</t>
  </si>
  <si>
    <t>Tradiciones Andinas-10/13/2025</t>
  </si>
  <si>
    <t>Tradiciones Andinas-09/26/2025</t>
  </si>
  <si>
    <t>Tradiciones Andinas-10/08/2025</t>
  </si>
  <si>
    <t>Arjo Vision Trading Company LLC-03/19/2025</t>
  </si>
  <si>
    <t>Peru Chef-08/29/2025</t>
  </si>
  <si>
    <t>Tradiciones Andinas-07/08/2025</t>
  </si>
  <si>
    <t>SAVERS SUPERMERCADO COST + PLUS-05/19/2025</t>
  </si>
  <si>
    <t>SAVERS SUPERMERCADO COST + PLUS-05/29/2025</t>
  </si>
  <si>
    <t>SAVERS SUPERMERCADO COST + PLUS-06/12/2025</t>
  </si>
  <si>
    <t>SAVERS SUPERMERCADO COST + PLUS-07/23/2025</t>
  </si>
  <si>
    <t>Lista precios</t>
  </si>
  <si>
    <t>Versiones Listas de precios</t>
  </si>
  <si>
    <t>Nombre</t>
  </si>
  <si>
    <t>Descripcion</t>
  </si>
  <si>
    <t>Valor de busqueda</t>
  </si>
  <si>
    <t>SKU</t>
  </si>
  <si>
    <t>nombre</t>
  </si>
  <si>
    <t>Moneda</t>
  </si>
  <si>
    <t>Suma de Quantity</t>
  </si>
  <si>
    <t>Agua Ozarka Texas 8 fl oz Paquete de 48 Botellas de Plástico</t>
  </si>
  <si>
    <t>Agua Ozarka Texas, 8 fl oz, Paquete de 4</t>
  </si>
  <si>
    <t>Arrocito Atomico 150gr x 20 (5.3oz)  x 2</t>
  </si>
  <si>
    <t>Belmont Aji Amarillo desvenado FROZEN  1</t>
  </si>
  <si>
    <t>Belmont Aji Amarillo desvenado FROZEN  2</t>
  </si>
  <si>
    <t xml:space="preserve">Belmont Aji Amarillo en Salmuera 20oz x </t>
  </si>
  <si>
    <t>Belmont Aji Amarillo entero 1Lb x 18 FRO</t>
  </si>
  <si>
    <t>Belmont Choclo desgranado 1Lb x 30 FROZE</t>
  </si>
  <si>
    <t xml:space="preserve">Belmont Concentrado Chicha Morada  64oz </t>
  </si>
  <si>
    <t>Belmont Galleta Cream Crackers 258gr x 2</t>
  </si>
  <si>
    <t xml:space="preserve">Belmont Maracuya con pepas FROZEN 1Kg x </t>
  </si>
  <si>
    <t>Belmont Rocoto Desvenado limpio FROZEN 2</t>
  </si>
  <si>
    <t xml:space="preserve">Chocolate Cuzco con canela y clavo  4 x </t>
  </si>
  <si>
    <t>Coco Milk Drink with Nata de Coco ORIGIN</t>
  </si>
  <si>
    <t>Coco Milk Drink with Nata de Coco STRAWB</t>
  </si>
  <si>
    <t>Conaprole - Dulce de Leche - Milk Carame</t>
  </si>
  <si>
    <t xml:space="preserve">DEL VALLE - Boldo Filtrante 25gr x 25 x </t>
  </si>
  <si>
    <t xml:space="preserve">DEL VALLE - Chancapiedra filtrante 25 x </t>
  </si>
  <si>
    <t>ECCO - Café instantaneo de Cebada -Barle</t>
  </si>
  <si>
    <t>EL TRIUNFO Fideo Chino - Chinese Noodles</t>
  </si>
  <si>
    <t xml:space="preserve">Fideos San Jorge Cabello De Angel 250gr </t>
  </si>
  <si>
    <t xml:space="preserve">Fideos San Jorge Letras y Numeros 250gr </t>
  </si>
  <si>
    <t>FIELD - Galletas de Vainilla 37 gr x 6 x</t>
  </si>
  <si>
    <t xml:space="preserve">Galleta Chomp Naranja Victoria 42gr x 6 </t>
  </si>
  <si>
    <t>Galleta Municion San Jorge 1.94oz (55gr)</t>
  </si>
  <si>
    <t>Gelatina Universal Durazno / Peach Gelat</t>
  </si>
  <si>
    <t>Gelatina Universal Fresa / Strawberry Ge</t>
  </si>
  <si>
    <t>Gelatina Universal Naranja / Orange Gela</t>
  </si>
  <si>
    <t>Gelatina Universal Piña / Pineapple Gela</t>
  </si>
  <si>
    <t>KIRMA - Café Instantaneo - Instant Coffe</t>
  </si>
  <si>
    <t>Lam's Patacones / Tostones Dulce 4oz x 2</t>
  </si>
  <si>
    <t>Lam's Patacones / Tostones picante 4oz x</t>
  </si>
  <si>
    <t>Lam's Patacones / Tostones Regular 4oz x</t>
  </si>
  <si>
    <t>Maiz Atomico Imperial con Miel 125gr x 2</t>
  </si>
  <si>
    <t>Peru Chef Aceituna Verde Despepitada 11.</t>
  </si>
  <si>
    <t>Peru Chef Aceitunas Botija Sin Pepa 20 O</t>
  </si>
  <si>
    <t>Peru Chef Aderezo Papa Pollada 10.5 Oz X</t>
  </si>
  <si>
    <t>Peru Chef Aderezo Para Pachamanca 10 5 O</t>
  </si>
  <si>
    <t>Peru Chef Adobo De Cerdo 10.5 Oz x 12 fr</t>
  </si>
  <si>
    <t>Peru Chef Base Para Arroz C/ Mariscos 11</t>
  </si>
  <si>
    <t>Peru Chef Chicha Morada display 20gr x 1</t>
  </si>
  <si>
    <t>Peru Chef Choclo Desgranado 1 Lb X 30 FR</t>
  </si>
  <si>
    <t>Peru Chef Choclo Desgranado 3 Lb X 10 FR</t>
  </si>
  <si>
    <t>Peru Chef Crema De Aji P/Ceviche 10.5 oz</t>
  </si>
  <si>
    <t>Peru Chef display Mazamorra Morada 150 G</t>
  </si>
  <si>
    <t xml:space="preserve">Peru Chef filtrante Te Verde Con Piña x </t>
  </si>
  <si>
    <t>Peru Chef Habas Peladas 15 Oz X 12 bolsa</t>
  </si>
  <si>
    <t xml:space="preserve">Peru Chef Hierba Luisa x 20 filtrante x </t>
  </si>
  <si>
    <t xml:space="preserve">Peru Chef Maracuya jugo / Passion friut </t>
  </si>
  <si>
    <t>Peru Chef Pasta Aji Amarillo Poco Pic 16</t>
  </si>
  <si>
    <t>Peru Chef Pasta Aji Panca Poco Pic 16 Oz</t>
  </si>
  <si>
    <t>Peru Chef Rocoto En Mitades lata 20oz x1</t>
  </si>
  <si>
    <t xml:space="preserve">Peru Chef Salsa Aji Amarillo C/Huacatay </t>
  </si>
  <si>
    <t xml:space="preserve">Peru Chef Salsa De Aji Charapita 11oz x </t>
  </si>
  <si>
    <t>Peru Chef Salsa de Aji Limo con Rocoto 1</t>
  </si>
  <si>
    <t>Peru Chef Snack Cancha Chulpi Salada 100</t>
  </si>
  <si>
    <t>Peru Chef Snack Cancha Serrana Salada 10</t>
  </si>
  <si>
    <t>Peru Chef Snack Habas Saladas 100gr x 20</t>
  </si>
  <si>
    <t>Peru Chef Yuca Amarilla 1.5Lb x 18 bolsa</t>
  </si>
  <si>
    <t xml:space="preserve">Provenzal Arroz Con Pollo/Seco/Aguadito </t>
  </si>
  <si>
    <t>Sancocho Colombiano / Vegetables Mix 2Lb</t>
  </si>
  <si>
    <t>Sazon Completo - Complete Seasoning 500g</t>
  </si>
  <si>
    <t>SIBARITA - Aji Panca Sazonador sin pican</t>
  </si>
  <si>
    <t>SIBARITA - Ajo / Garlic Family Pack 19.4</t>
  </si>
  <si>
    <t>SIBARITA - Amarillin Doypack  19.4oz x 1</t>
  </si>
  <si>
    <t>SIBARITA - Tuco Tallarin 6 sobres x 50 /</t>
  </si>
  <si>
    <t>SIBARITA - Vinagre Tinto - Red Vinegar 1</t>
  </si>
  <si>
    <t>SIBARITA Vinagre Tinto - Red Vinegar 16.</t>
  </si>
  <si>
    <t xml:space="preserve">SOL DEL CUZCO Tableta sabor a chocolate </t>
  </si>
  <si>
    <t>T.A  Choclo Entero / Corn on the Cob 4 x</t>
  </si>
  <si>
    <t xml:space="preserve">T.A Aceituna Botija /Alfonso Olives con </t>
  </si>
  <si>
    <t>T.A Aceituna Botija sin Pepa /Pitted Alf</t>
  </si>
  <si>
    <t>T.A Aji Amarillo en Lata /Whole Yellow H</t>
  </si>
  <si>
    <t xml:space="preserve">T.A Aji Amarillo Salmuera /Whole Yellow </t>
  </si>
  <si>
    <t>T.A Aji Ambateno / Whole Pepper FROZEN 1</t>
  </si>
  <si>
    <t>T.A Aji Mirasol Seco / Dried Yellow Pepp</t>
  </si>
  <si>
    <t>T.A Aji Panca en Pasta "Poco Picante" 7.</t>
  </si>
  <si>
    <t>T.A Aji Panca Pasta "Poco Picante" 10.5o</t>
  </si>
  <si>
    <t xml:space="preserve">T.A Aji Panca Pasta "Poco Picante" 15oz </t>
  </si>
  <si>
    <t xml:space="preserve">T.A Aji Panca Pasta /Panca Pepper Paste </t>
  </si>
  <si>
    <t xml:space="preserve">T.A Albahaca Pasta /Basil Paste 7.5oz x </t>
  </si>
  <si>
    <t>T.A Arracacha / Yellow Cassava FROZEN 16</t>
  </si>
  <si>
    <t xml:space="preserve">T.A Arroz de Cebada/ Barley Rice 15oz x </t>
  </si>
  <si>
    <t xml:space="preserve">T.A Cebada Tostada /Toasted Barley 15oz </t>
  </si>
  <si>
    <t>T.A Chicha Morada bebida / Purple Corn D</t>
  </si>
  <si>
    <t>T.A Chicha Morada bebida /Purple Corn Dr</t>
  </si>
  <si>
    <t>T.A Choclo desgranado / Corn in Grain 16</t>
  </si>
  <si>
    <t>T.A Choclo desgranado / Corn in Grain FR</t>
  </si>
  <si>
    <t xml:space="preserve">T.A Choclo Entero / Corn on the Cob 2 x </t>
  </si>
  <si>
    <t xml:space="preserve">T.A Choclo Entero / Corn on the Cob x 6 </t>
  </si>
  <si>
    <t>T.A Chulpe Corn / Maiz Chulpe (Family Pa</t>
  </si>
  <si>
    <t>T.A Chuño Entero Blanco / White Potato S</t>
  </si>
  <si>
    <t>T.A Culantro Pasta / Coriander Paste 7.5</t>
  </si>
  <si>
    <t>T.A Discos de Yuca / Cassava Dough 13.75</t>
  </si>
  <si>
    <t>T.A Durazno en Almibar / Peach Halves in</t>
  </si>
  <si>
    <t>T.A Habas Fritas Saladas/  Broad Beans S</t>
  </si>
  <si>
    <t xml:space="preserve">T.A Habas Verdes / Fava Beans 28oz x 20 </t>
  </si>
  <si>
    <t>T.A Harina de Chuño / Potato Starch Flou</t>
  </si>
  <si>
    <t>T.A Harina de Quinua /Quinua Flour (Inst</t>
  </si>
  <si>
    <t>T.A Harina Linaza /Flax seed Flour 7.5oz</t>
  </si>
  <si>
    <t xml:space="preserve">T.A Hierbaluisa filtrante - Lemon Grass </t>
  </si>
  <si>
    <t>T.A Huacatay / Black Mint 12oz x 24 FROZ</t>
  </si>
  <si>
    <t>T.A Huacatay Pasta / Black Mint Paste 7.</t>
  </si>
  <si>
    <t>T.A Maiz Cancha (Family Pack) /Cancha Co</t>
  </si>
  <si>
    <t>T.A Maiz Cancha Frito Salado / Native Co</t>
  </si>
  <si>
    <t>T.A Maiz Carhuay (Family Pack) / Carhuay</t>
  </si>
  <si>
    <t>T.A Maiz Chulpi frito Salado/ Chulpi Cor</t>
  </si>
  <si>
    <t>T.A Maiz Desgranado (INST) / Corn in Gra</t>
  </si>
  <si>
    <t>T.A Maiz gigante frito picante - Spicy a</t>
  </si>
  <si>
    <t>T.A Maiz Gigante Frito Salado/ Giant Cor</t>
  </si>
  <si>
    <t>T.A Maiz Morado (Family Pack) /Purple Co</t>
  </si>
  <si>
    <t xml:space="preserve">T.A Mix Andino Snack / Andean Mix Snack </t>
  </si>
  <si>
    <t>T.A Mora en Fruta - Blackberry FROZEN 28</t>
  </si>
  <si>
    <t xml:space="preserve">T.A Motas de Guanabana en Almibar 790gr </t>
  </si>
  <si>
    <t>T.A Mote Pelado (Family Pack) /Peeled Mo</t>
  </si>
  <si>
    <t>T.A Olluco cortado / Sliced Ollucos 16oz</t>
  </si>
  <si>
    <t>T.A Olluco en Lata /Whole Ollucus 20oz x</t>
  </si>
  <si>
    <t>T.A Papa Amarilla / Yellow Potato 16oz x</t>
  </si>
  <si>
    <t>T.A Papa Criolla / Yellow Potato 2Lb x 1</t>
  </si>
  <si>
    <t>T.A Papa Seca Amarilla  / Yelow Dried Po</t>
  </si>
  <si>
    <t>T.A Papa Seca Amarilla (Family Pack) /Ye</t>
  </si>
  <si>
    <t>T.A Papa Seca Negra (Family Pack) / Blac</t>
  </si>
  <si>
    <t xml:space="preserve">T.A Papa Seca Negra / Dried Potato 15OZ </t>
  </si>
  <si>
    <t xml:space="preserve">T.A Peeled Mote Corn / Mote Pelado 15oz </t>
  </si>
  <si>
    <t xml:space="preserve">T.A Platanitos fritos salados / chifles </t>
  </si>
  <si>
    <t>T.A Pulpa de Guanabana / Soursop Pulpa 1</t>
  </si>
  <si>
    <t xml:space="preserve">T.A Pulpa De Lucuma / Lucuma  Pulp 12oz </t>
  </si>
  <si>
    <t>T.A Pulpa de Maracuya / Passion Fruit pu</t>
  </si>
  <si>
    <t>T.A Pulpa de Maracuya con pepas / Passio</t>
  </si>
  <si>
    <t xml:space="preserve">T.A Quinoa Negra  / Black  Quinoa14oz x </t>
  </si>
  <si>
    <t>T.A Quinoa Tricolor  / Tri-Color Quinoa1</t>
  </si>
  <si>
    <t>T.A Rocoto en Lata /Red Hot Peppers Halv</t>
  </si>
  <si>
    <t xml:space="preserve">T.A Rocoto en Salmuera /Red Hot Peppers </t>
  </si>
  <si>
    <t>T.A Rocoto Entero / Red Hot Pepper FROZE</t>
  </si>
  <si>
    <t>T.A Salsa Parrillera /BBQ Seasoning 15oz</t>
  </si>
  <si>
    <t>T.A Salsa Pollo A La Brasa /Grill Chicke</t>
  </si>
  <si>
    <t>T.A Sardinas en Salsa de tomate / Sardin</t>
  </si>
  <si>
    <t>T.A Sardinas en Salsa de Tomate Tinapa /</t>
  </si>
  <si>
    <t>T.A Te con canela y clavo - Cinnamon and</t>
  </si>
  <si>
    <t>T.A Trigo  Resbalado/Hulled Wheat 15oz x</t>
  </si>
  <si>
    <t>T.A Trigo Trigo Pelado/Peeled Wheat 15oz</t>
  </si>
  <si>
    <t>T.A. Ajo Pasta - Ajo en Pasta /Garlic Pa</t>
  </si>
  <si>
    <t>Tari crema de aji A la Cena17.06oz (400g</t>
  </si>
  <si>
    <t>Tradiciones Andinas -  Pimienta Negra /B</t>
  </si>
  <si>
    <t xml:space="preserve">Tradiciones Andinas - Ajonjoli / Sesame </t>
  </si>
  <si>
    <t>Tradiciones Andinas - Canela Molida / Gr</t>
  </si>
  <si>
    <t>TRADICIONES ANDINAS - Manzanilla filtran</t>
  </si>
  <si>
    <t>Tradiciones Andinas  Miel de Abeja 500gr</t>
  </si>
  <si>
    <t>Tradiciones Andinas - Orégano Entero / W</t>
  </si>
  <si>
    <t>Tradiciones Andinas Pimenton / Paprika 1</t>
  </si>
  <si>
    <t xml:space="preserve">Trigo Atomico original con Miel 125gr x </t>
  </si>
  <si>
    <t xml:space="preserve">Universal Bicarbonato de Sodio - Baking </t>
  </si>
  <si>
    <t>Universal Chicha Morada / Purple drink i</t>
  </si>
  <si>
    <t xml:space="preserve">Universal Chuño / Potato Starch 180gr x </t>
  </si>
  <si>
    <t xml:space="preserve">Universal Esencia de Vainilla / Vanilla </t>
  </si>
  <si>
    <t>Universal Flan de Lucuma/ Lucuma Pudin 1</t>
  </si>
  <si>
    <t>Universal Flan de Vainilla / Vanilla Fla</t>
  </si>
  <si>
    <t>Universal Gelatina Limon / Lemon Gelatin</t>
  </si>
  <si>
    <t>Universal Mazamorra Morada /Purple Pudin</t>
  </si>
  <si>
    <t>Universal Mazamorra sabor a Piña / Pinea</t>
  </si>
  <si>
    <t>Universal Polvo de Hornear / Baking powd</t>
  </si>
  <si>
    <t>Universal Refresco de Maracuya / Passion</t>
  </si>
  <si>
    <t>Universal Refresco Guanabana / Guava Ins</t>
  </si>
  <si>
    <t>VALLES ANDINOS Aceite Vegetal con Achiot</t>
  </si>
  <si>
    <t>Valles Andinos Ajo en Pasta /Garlic Past</t>
  </si>
  <si>
    <t>Valles Andinos Aliño - Ecuatorian Season</t>
  </si>
  <si>
    <t xml:space="preserve">Valles Andinos Arroz de Cebada / Barley </t>
  </si>
  <si>
    <t>Valles Andinos Chimichurri - BBQ Sauce 5</t>
  </si>
  <si>
    <t xml:space="preserve">Valles Andinos Chochos en Salmuera 15oz </t>
  </si>
  <si>
    <t>Valles Andinos Chochos en Salmuera Pican</t>
  </si>
  <si>
    <t xml:space="preserve">Valles Andinos Frijol Bocanegra / Black </t>
  </si>
  <si>
    <t>Valles Andinos Frijol Canario / Canary B</t>
  </si>
  <si>
    <t>Valles Andinos Frijoles Negros / Black b</t>
  </si>
  <si>
    <t xml:space="preserve">Valles Andinos Habas partidas y Peladas </t>
  </si>
  <si>
    <t>Valles Andinos Harina de Alverja / Pea F</t>
  </si>
  <si>
    <t>Valles Andinos Harina de Habas / Faba Be</t>
  </si>
  <si>
    <t>Valles Andinos Harina de Machica / Roast</t>
  </si>
  <si>
    <t>Valles Andinos Harina de Maiz / Corn Flo</t>
  </si>
  <si>
    <t>Valles Andinos Harina de Platano / Plant</t>
  </si>
  <si>
    <t>Valles Andinos Harina Maiz Morado / Purp</t>
  </si>
  <si>
    <t>Valles Andinos Soya / Soy Beans 14oz x 1</t>
  </si>
  <si>
    <t xml:space="preserve">VARGAS CHEVALIER Jarabe de Goma 750ml x </t>
  </si>
  <si>
    <t>VITAPLUSS - Maiz expandido con miel 140g</t>
  </si>
  <si>
    <t>VITAPLUSS - Trigo Expandido con Miel 140</t>
  </si>
  <si>
    <t>Wasska Base Pisco Sour Chicha Morada 125</t>
  </si>
  <si>
    <t>Wasska Base Pisco Sour Mango Con Camucam</t>
  </si>
  <si>
    <t xml:space="preserve">Wasska Base Pisco Sour Maracuya 125gr x </t>
  </si>
  <si>
    <t>Yuca Family Pack / Cassava Family Pack 5</t>
  </si>
  <si>
    <t>Peru Chef Pasta Aji Panca Poco Pica 11</t>
  </si>
  <si>
    <t>Peru Chef Pasta Aji Panca Poco Pica 116</t>
  </si>
  <si>
    <t>SIBARITA - Vinagre Blanco - White 16.91</t>
  </si>
  <si>
    <t>SIBARITA - Vinagre Blanco - White 1L</t>
  </si>
  <si>
    <t>SOL DEL CUZCO Tableta sabor a choco can</t>
  </si>
  <si>
    <t>Peru Chef Pasta Aji Amarillo Poco Pic116</t>
  </si>
  <si>
    <t>Peru Chef Pasta Aji Amarillo Poco Pic11</t>
  </si>
  <si>
    <t>T.A Lomitos de Atún en Aceite / Solid3pa</t>
  </si>
  <si>
    <t>T.A Lomitos de Atún en Aceite / Solid5oz</t>
  </si>
  <si>
    <t>Repetido con el mismo precio en la misma lista</t>
  </si>
  <si>
    <t>Detalle error</t>
  </si>
  <si>
    <t>Producto repetido con el mismo precio</t>
  </si>
  <si>
    <t>No se puede registrar por ser igual</t>
  </si>
  <si>
    <t>No se puede por duplciada</t>
  </si>
  <si>
    <t>Could not save record - Require unique data: - Please change information.: ERROR: duplicate key value violates unique constraint "m_productprice_unique_idx" Detail: Key (m_pricelist_version_id, m_product_id)=(1000052, 1000310) already exists.</t>
  </si>
  <si>
    <t>Could not save record - Require unique data: - Please change information.: ERROR: duplicate key value violates unique constraint "m_productprice_unique_idx" Detail: Key (m_pricelist_version_id, m_product_id)=(1000053, 1000298) already exists.</t>
  </si>
  <si>
    <t>Al sobreescribir el precio lo pone como descuento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</si>
</sst>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"/>
  </numFmts>
  <fonts count="11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4"/>
      <color theme="1"/>
      <name val="Arial"/>
      <family val="2"/>
    </font>
    <font>
      <b/>
      <sz val="9"/>
      <color theme="1"/>
      <name val="Arial"/>
      <family val="2"/>
    </font>
    <font>
      <sz val="8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rgb="FFFF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4">
    <xf numFmtId="0" fontId="0" fillId="0" borderId="0"/>
    <xf numFmtId="0" fontId="1" fillId="0" borderId="1"/>
    <xf numFmtId="0" fontId="1" fillId="0" borderId="0"/>
    <xf numFmtId="0" fontId="1" fillId="0" borderId="2"/>
  </cellStyleXfs>
  <cellXfs count="34">
    <xf numFmtId="0" fontId="0" fillId="0" borderId="0" xfId="0"/>
    <xf numFmtId="0" fontId="0" fillId="0" borderId="0" xfId="0" applyAlignment="1">
      <alignment wrapText="1"/>
    </xf>
    <xf numFmtId="0" fontId="2" fillId="0" borderId="0" xfId="0" applyFont="1" applyAlignment="1">
      <alignment horizontal="left"/>
    </xf>
    <xf numFmtId="0" fontId="2" fillId="0" borderId="0" xfId="0" applyFont="1" applyAlignment="1">
      <alignment wrapText="1"/>
    </xf>
    <xf numFmtId="0" fontId="3" fillId="0" borderId="2" xfId="0" applyFont="1" applyBorder="1" applyAlignment="1">
      <alignment wrapText="1"/>
    </xf>
    <xf numFmtId="0" fontId="7" fillId="0" borderId="1" xfId="1" applyFont="1" applyAlignment="1">
      <alignment horizontal="center" wrapText="1"/>
    </xf>
    <xf numFmtId="4" fontId="2" fillId="0" borderId="0" xfId="0" applyNumberFormat="1" applyFont="1" applyAlignment="1">
      <alignment wrapText="1"/>
    </xf>
    <xf numFmtId="164" fontId="3" fillId="0" borderId="2" xfId="0" applyNumberFormat="1" applyFont="1" applyBorder="1" applyAlignment="1">
      <alignment wrapText="1"/>
    </xf>
    <xf numFmtId="0" fontId="2" fillId="0" borderId="0" xfId="0" applyFont="1" applyAlignment="1">
      <alignment horizontal="left" wrapText="1"/>
    </xf>
    <xf numFmtId="0" fontId="3" fillId="0" borderId="0" xfId="0" applyFont="1" applyAlignment="1">
      <alignment horizontal="left" wrapText="1"/>
    </xf>
    <xf numFmtId="0" fontId="7" fillId="0" borderId="1" xfId="1" applyFont="1" applyAlignment="1">
      <alignment horizontal="center"/>
    </xf>
    <xf numFmtId="0" fontId="2" fillId="0" borderId="0" xfId="0" applyFont="1"/>
    <xf numFmtId="4" fontId="2" fillId="0" borderId="0" xfId="0" applyNumberFormat="1" applyFont="1"/>
    <xf numFmtId="0" fontId="7" fillId="0" borderId="0" xfId="1" applyFont="1" applyBorder="1" applyAlignment="1">
      <alignment horizontal="center"/>
    </xf>
    <xf numFmtId="0" fontId="0" fillId="0" borderId="0" xfId="0" pivotButton="1"/>
    <xf numFmtId="4" fontId="0" fillId="0" borderId="0" xfId="0" applyNumberFormat="1"/>
    <xf numFmtId="0" fontId="2" fillId="2" borderId="0" xfId="0" applyFont="1" applyFill="1" applyAlignment="1">
      <alignment horizontal="left"/>
    </xf>
    <xf numFmtId="0" fontId="2" fillId="2" borderId="0" xfId="0" applyFont="1" applyFill="1"/>
    <xf numFmtId="4" fontId="2" fillId="2" borderId="0" xfId="0" applyNumberFormat="1" applyFont="1" applyFill="1"/>
    <xf numFmtId="0" fontId="0" fillId="2" borderId="0" xfId="0" applyFill="1"/>
    <xf numFmtId="0" fontId="8" fillId="0" borderId="0" xfId="0" applyFont="1"/>
    <xf numFmtId="0" fontId="9" fillId="0" borderId="0" xfId="0" applyFont="1" applyAlignment="1">
      <alignment horizontal="center" vertical="center" wrapText="1"/>
    </xf>
    <xf numFmtId="4" fontId="8" fillId="0" borderId="0" xfId="0" applyNumberFormat="1" applyFont="1"/>
    <xf numFmtId="0" fontId="2" fillId="3" borderId="0" xfId="0" applyFont="1" applyFill="1" applyAlignment="1">
      <alignment horizontal="left"/>
    </xf>
    <xf numFmtId="0" fontId="2" fillId="4" borderId="0" xfId="0" applyFont="1" applyFill="1" applyAlignment="1">
      <alignment horizontal="left"/>
    </xf>
    <xf numFmtId="4" fontId="2" fillId="5" borderId="0" xfId="0" applyNumberFormat="1" applyFont="1" applyFill="1"/>
    <xf numFmtId="0" fontId="2" fillId="6" borderId="0" xfId="0" applyFont="1" applyFill="1" applyAlignment="1">
      <alignment horizontal="left"/>
    </xf>
    <xf numFmtId="2" fontId="0" fillId="0" borderId="0" xfId="0" applyNumberFormat="1"/>
    <xf numFmtId="0" fontId="10" fillId="0" borderId="0" xfId="0" applyFont="1"/>
    <xf numFmtId="0" fontId="6" fillId="0" borderId="0" xfId="0" applyFont="1" applyAlignment="1">
      <alignment horizontal="center" wrapText="1"/>
    </xf>
    <xf numFmtId="0" fontId="0" fillId="0" borderId="0" xfId="0" applyAlignment="1">
      <alignment wrapText="1"/>
    </xf>
    <xf numFmtId="0" fontId="5" fillId="0" borderId="0" xfId="0" applyFont="1" applyAlignment="1">
      <alignment horizontal="center" wrapText="1"/>
    </xf>
    <xf numFmtId="0" fontId="4" fillId="0" borderId="0" xfId="0" applyFont="1" applyAlignment="1">
      <alignment horizontal="center" wrapText="1"/>
    </xf>
    <xf numFmtId="0" fontId="2" fillId="0" borderId="0" xfId="0" applyFont="1" applyAlignment="1">
      <alignment horizontal="center" wrapText="1"/>
    </xf>
  </cellXfs>
  <cellStyles count="4">
    <cellStyle name="GroupedCellStyle" xfId="2" xr:uid="{00000000-0005-0000-0000-000007000000}"/>
    <cellStyle name="HeaderCellStyle" xfId="1" xr:uid="{00000000-0005-0000-0000-000006000000}"/>
    <cellStyle name="Normal" xfId="0" builtinId="0"/>
    <cellStyle name="TotalCellStyle" xfId="3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2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rtin Solari" refreshedDate="46020.920060300923" createdVersion="8" refreshedVersion="8" minRefreshableVersion="3" recordCount="1465" xr:uid="{FAD66A93-8AFF-4CE9-9C02-F20F302F65E7}">
  <cacheSource type="worksheet">
    <worksheetSource ref="A1:J1466" sheet="Base Limpia"/>
  </cacheSource>
  <cacheFields count="10">
    <cacheField name="Vendor" numFmtId="0">
      <sharedItems count="12">
        <s v="Amazon"/>
        <s v="Arjo Vision Trading Company LLC"/>
        <s v="Belmont International Trading Corp"/>
        <s v="Continental Food and Beverage, inc"/>
        <s v="Fiesta Mart #60"/>
        <s v="GUIXENS FOOD GROUP, INC."/>
        <s v="Lam's Foods Inc."/>
        <s v="La Sorpresa Store"/>
        <s v="Peru Chef"/>
        <s v="Sam's Club"/>
        <s v="SAVERS SUPERMERCADO COST + PLUS"/>
        <s v="Tradiciones Andinas"/>
      </sharedItems>
    </cacheField>
    <cacheField name="Transaction date" numFmtId="0">
      <sharedItems count="58">
        <s v="06/02/2025"/>
        <s v="06/04/2025"/>
        <s v="03/19/2025"/>
        <s v="04/28/2025"/>
        <s v="05/16/2025"/>
        <s v="06/12/2025"/>
        <s v="07/31/2025"/>
        <s v="10/20/2025"/>
        <s v="12/11/2025"/>
        <s v="03/03/2025"/>
        <s v="03/13/2025"/>
        <s v="04/09/2025"/>
        <s v="05/14/2025"/>
        <s v="07/08/2025"/>
        <s v="08/21/2025"/>
        <s v="09/30/2025"/>
        <s v="10/01/2025"/>
        <s v="11/01/2025"/>
        <s v="11/04/2025"/>
        <s v="11/13/2025"/>
        <s v="12/18/2025"/>
        <s v="10/29/2025"/>
        <s v="10/03/2025"/>
        <s v="08/26/2025"/>
        <s v="03/26/2025"/>
        <s v="04/10/2025"/>
        <s v="04/13/2025"/>
        <s v="04/24/2025"/>
        <s v="08/11/2025"/>
        <s v="08/27/2025"/>
        <s v="08/28/2025"/>
        <s v="08/29/2025"/>
        <s v="09/11/2025"/>
        <s v="10/09/2025"/>
        <s v="10/28/2025"/>
        <s v="11/14/2025"/>
        <s v="12/09/2025"/>
        <s v="12/14/2025"/>
        <s v="05/19/2025"/>
        <s v="05/29/2025"/>
        <s v="07/23/2025"/>
        <s v="03/31/2025"/>
        <s v="04/25/2025"/>
        <s v="04/29/2025"/>
        <s v="06/17/2025"/>
        <s v="07/03/2025"/>
        <s v="07/21/2025"/>
        <s v="08/18/2025"/>
        <s v="09/24/2025"/>
        <s v="09/26/2025"/>
        <s v="10/07/2025"/>
        <s v="10/08/2025"/>
        <s v="10/13/2025"/>
        <s v="10/14/2025"/>
        <s v="10/30/2025"/>
        <s v="11/07/2025"/>
        <s v="11/28/2025"/>
        <s v="12/03/2025"/>
      </sharedItems>
    </cacheField>
    <cacheField name="Transaction type" numFmtId="0">
      <sharedItems/>
    </cacheField>
    <cacheField name="Num" numFmtId="0">
      <sharedItems/>
    </cacheField>
    <cacheField name="Product/Service full name" numFmtId="0">
      <sharedItems count="454">
        <s v="Display Strip"/>
        <s v="Volt yellow Guarana 16fl oz /15"/>
        <s v="Belmont Yuyo Marino FROZEN 2.2lb x 8"/>
        <s v="Belmont Chirimoya pulpa 14oz x 20"/>
        <s v="Belmont Aji Amarillo entero 1Lb x 18 FROZEN"/>
        <s v="Belmont Choclo desgranado 1Lb x 30 FROZEN"/>
        <s v="Belmont Aji Limo 14oz x 9 FROZEN"/>
        <s v="Belmont Aji Amarillo pasta 8oz x 12"/>
        <s v="Belmont Aji Panca pasta 8oz x 12"/>
        <s v="AJINOSIYAO 500ml x 24"/>
        <s v="Ajinomoto Bolsa 250gr x 60"/>
        <s v="Chocolate Cuzco con canela y clavo  4 x 12"/>
        <s v="Chocolate Cuzco regular  4 x 12"/>
        <s v="AjiNomoto Bolsa 1Kg x 18"/>
        <s v="Mayonesa a la Cena 17.06oz (400gr) x 12"/>
        <s v="Tari crema de aji A la Cena17.06oz (400gr) x 12"/>
        <s v="Huancaina A la Cena 17.06oz (400gr) x 12"/>
        <s v="Uchucuta A la Cena 17.06 (400gr) x 12"/>
        <s v="Leche evaporada BONLE 12oz x 24"/>
        <s v="Leche condensada BONLE lata 14oz x 24"/>
        <s v="Cua Cua 9 x 24"/>
        <s v="Doña Pepa 23gr 6 x 36"/>
        <s v="CORONITA - Galleta de Chocolate x 6 x 28"/>
        <s v="Galletas Margarita Sayon 6 x 8 pack"/>
        <s v="FIELD - Galletas de Vainilla 37 gr x 6 x 24"/>
        <s v="Belmont Galleta Cream Crackers 258gr x 24"/>
        <s v="Galleta Municion San Jorge 1.94oz (55gr) x 25"/>
        <s v="Mani Confitado Belmont x 25"/>
        <s v="FIELD - Chocosoda Galletas 6 x 32"/>
        <s v="Galleta Club Social 6 x 32"/>
        <s v="Winter Ole Ole x 60 x 15"/>
        <s v="Winter'S Picaras Chocolate 6 x30"/>
        <s v="D'Onofrio Chocolate Sublime 26 G x 24"/>
        <s v="Galletas Morochas 30gr 6x 30"/>
        <s v="FIELD - Galletas de Soda 34gr x 6 x 36"/>
        <s v="CASINO Galleta Menta 51gr x 6 x 8"/>
        <s v="CASINO Galleta Fresa  51gr x 6 x 8"/>
        <s v="CASINO Galleta Chocolate 51gr x 6 x 8"/>
        <s v="CASINO Galleta Lucuma 51gr x 6 x 8"/>
        <s v="Gloria Chicha Morada 1Lt x 12 TETRAPACK"/>
        <s v="Leche evaporada Gloria 13oz Lata x 24"/>
        <s v="Belmont Chicha Morada 16oz x 12"/>
        <s v="Belmont jugo de Maracuya 16oz x 12"/>
        <s v="Belmont Emoliente bebida 16oz x 12"/>
        <s v="Belmont Chicha Morada 1Lt x 6"/>
        <s v="Belmont Mango nectar 1Lt x 6"/>
        <s v="Belmont Concentrado Chicha Morada  64oz x 6"/>
        <s v="Belmont Aceituna Botija 20oz x 12"/>
        <s v="Belmont Culantro pasta 8oz x 12"/>
        <s v="Belmont Aderezo de Anticucho 16oz x 12"/>
        <s v="Provenzal Aji De Gallina 100gr x 10"/>
        <s v="Provenzal Arroz Con Pollo/Seco/Aguadito 58 gr x 10"/>
        <s v="Provenzal Carapulcra 150gr x 6"/>
        <s v="Provenzal Cau Cau 60gr x 12"/>
        <s v="Provenzal Ceviche Base 30gr x 20"/>
        <s v="Provenzal Huancaina 64gr x 12"/>
        <s v="Provenzal Ocopa 70gr x 12"/>
        <s v="Provenzal Olluquito 78gr x 6"/>
        <s v="Provenzal Picarones Con Miel 165gr x 12"/>
        <s v="Provenzal Sopa A La Minuta 78gr x 10"/>
        <s v="Belmont Chifles Piuranos 250gr x 10"/>
        <s v="Belmont Chifles Piuranos 125gr x 20"/>
        <s v="Belmont Maiz Cancha 15oz x 12"/>
        <s v="Belmont Maiz Chulpe 15oz x 12"/>
        <s v="Belmont Aji Amarillo en Salmuera 20oz x 12"/>
        <s v="Belmont Aceituna Bidon 104oz x 6"/>
        <s v="Belmont Pulpa de Lucuma"/>
        <s v="Belmont Rocoto entero FROZEN"/>
        <s v="Belmont Chicha de Jora"/>
        <s v="Belmont Maiz Morado x 15oz"/>
        <s v="Belmont Choclo Desgranado 3Lb x 10"/>
        <s v="Belmont Pulpa de Maracuya 14oz x 20"/>
        <s v="Belmont Rocoto Desvenado limpio FROZEN 2lb x 10"/>
        <s v="Belmont Aji Panca pasta Bidon 7Lb"/>
        <s v="Belmont Mango Nectar"/>
        <s v="Belmont jugo de Maracuya 1Lt x 6"/>
        <s v="Belmont Harina de Camote 15oz x 12"/>
        <s v="Chocman 30G 6 x 14"/>
        <s v="Belmont Aji Amarillo desvenado FROZEN  2Lb x 8"/>
        <s v="Belmont Aji Amarillo desvenado FROZEN  12oz  x 10"/>
        <s v="Belmont Maracuya con pepas FROZEN 1Kg x 16"/>
        <s v="Belmont Aji Amarillo pasta 16oz x 12"/>
        <s v="Belmont Aji Panca pasta 16Oz x 12"/>
        <s v="Belmont Rocoto en salmuera 20oz x 12"/>
        <s v="Belmont Habas Secas Peladas 15oz x 12"/>
        <s v="Belmont Pallares 15oz x 14"/>
        <s v="Inca Kola Plastico 2Lt x 8"/>
        <s v="Inca Kola Regular  x 24 Latas"/>
        <s v="Inca Kola Vidrio x 24"/>
        <s v="Inca Kola Regular x 12 latas"/>
        <s v="Inca Kola Diet Lata 12oz x 24"/>
        <s v="Product Adjustment"/>
        <s v="Kola Inglesa 12oz x 24"/>
        <s v="Paneton TODINNO 900gr x 6"/>
        <s v="Galleta Costa Chocolate Cookies x 24"/>
        <s v="Galleta Costa Lemon Cookies 140gr x 24"/>
        <s v="Galleta Costa Butter Cookies 140gr x 24"/>
        <s v="Galleta Costa Coconut Cookies 125gr x 28"/>
        <s v="Vivo Mifrut Pear 100% frut pouch"/>
        <s v="Vivo Mifrut Apple 100% frut pouch"/>
        <s v="Vivo Mifrut Banana 100% frut pouch"/>
        <s v="Paneton Donofrio 6/31.04 oz"/>
        <s v="Lam's Chifles salado en tiras 2.5oz x 24"/>
        <s v="Lam's Chifles dulce en tiras 2.1oz x 24"/>
        <s v="Lam's Patacones / Tostones picante 4oz x 24"/>
        <s v="Lam's Patacones / Tostones Regular 4oz x 24"/>
        <s v="Lam's Patacones / Tostones Dulce 4oz x 24"/>
        <s v="Los Nietitos - Dulce de Leche"/>
        <s v="Conaprole - Dulce de Leche - Milk Caramel Spread"/>
        <s v="Peru Chef Maracuya jugo / Passion friut juice 1Lt x 12"/>
        <s v="Peru Chef Emoliente bebida 1Lt x 12"/>
        <s v="Peru Chef Pasta Aji Amarillo 16 oz x 12"/>
        <s v="Peru Chef Pasta Aji Panca 16 oz x 12"/>
        <s v="Peru Chef Pasta Ajos 16oz x 12"/>
        <s v="Peru Chef Crema De Aji P/Ceviche 10.5 oz x 12"/>
        <s v="Peru Chef Salsa de Aji Limo con Rocoto 10.5oz x 12"/>
        <s v="Peru Chef Maiz Morado 15 Oz X 22"/>
        <s v="PERU CHEF Maiz Chulpe 15oz x 12"/>
        <s v="Peru Chef Maiz Cancha Montaña15 Oz X 10"/>
        <s v="Peru Chef Maiz Mote Pelado 15 Oz X 12"/>
        <s v="Peru Chef Papa Seca Serrana 15 Oz X 10"/>
        <s v="Peru Chef Papa Seca Amarilla 12oz x 8"/>
        <s v="Peru Chef Trigo Pelado 15 Oz X 12"/>
        <s v="Peru Chef Quinua Real 15oz x 12"/>
        <s v="Peru Chef Cebada Tostada 15oz x 10"/>
        <s v="Peru Chef Emoliente 5.3 Oz X 12"/>
        <s v="Peru Chef Harina de Chuño 15 Oz X 12"/>
        <s v="Peru Chef Chuño Blanco Entero 15 Oz X 8"/>
        <s v="Peru Chef Pallares 15oz x 12"/>
        <s v="Peru Chef Hongos Y Laurel 1.57oz x 12"/>
        <s v="Peru Chef Habas Peladas 15 Oz X 12 bolsas"/>
        <s v="Peru Chef Oregano Entero 30 G X 12"/>
        <s v="Peru Chef Tuco 70gr x 12"/>
        <s v="Peru Chef Palillo Molido75gr x 12"/>
        <s v="Peru Chef Aji Panca Molido 70 G X 12"/>
        <s v="Peru chef Kion Molido 60 G X 12"/>
        <s v="Atun Florida Solido en aceite 6 oz X 48"/>
        <s v="Walibi Aceitunesa 380gr x 12"/>
        <s v="Walibi Crema De Rocoto 380gr x 12"/>
        <s v="Walibi Salsa Huancaina"/>
        <s v="Peru Chef Aceitunas Negras 20 Oz X 12"/>
        <s v="Peru Chef Aceitunas Botija Sin Pepa 20 Oz X 12"/>
        <s v="Peru Chef Chicha De Jora 1 L X 12"/>
        <s v="Peru Chef Miel de Chancaca 17oz x 12"/>
        <s v="Galleta Chomp Naranja Victoria 42gr x 6 x 8"/>
        <s v="Galletas Chomp Chocolate 42gr x 6 x 8"/>
        <s v="Tentacion Galleta Coco 47gr 6 x 8"/>
        <s v="Tentacion Galleta Vainilla 47gr 6 x 8"/>
        <s v="Glacitas Fresa 32gr 6 x 8"/>
        <s v="Glacitas Choconieve 32gr 6 x 8"/>
        <s v="Glacitas Toffee 32gr 6 x 8"/>
        <s v="Glacitas Chocolate 32gr 6 x 8"/>
        <s v="Sayon Galletas Tejanas 480gr x 8"/>
        <s v="Winters Ole Ole 225 gr x 50 x 15"/>
        <s v="San Jorge Galleta Soda  40gr  x 7 x 4"/>
        <s v="EL TRIUNFO Fideo Chino - Chinese Noodles 250gr x 30"/>
        <s v="Kikko Siyau 500ml x 30"/>
        <s v="Peru Chef display Mazamorra Morada 150 G x 12"/>
        <s v="Peru Chef Chicha Morada display 20gr x 12 sobres"/>
        <s v="ECCO - Café instantaneo de Cebada -Barley Instant Coffee"/>
        <s v="KIRMA - Café Instantaneo - Instant Coffee"/>
        <s v="Peru Chef Esencia De Vainilla 100ml x 24"/>
        <s v="Peru Chef Choclo Desgranado 1 Lb X 30 FROZEN"/>
        <s v="Peru Chef Aji Amarillo 1 Lb X 18"/>
        <s v="Peru Chef Rocoto FROZEN 1 Lb X 18"/>
        <s v="Peru Chef Aji Limo 1 Lb X 15 FROZEN"/>
        <s v="Peru Chef Olluco Cortado 1 Lb X 20"/>
        <s v="Peru Chef Papa Amarilla 1 Lb X 26 FROZEN"/>
        <s v="Peru Chef Yuca Amarilla 1.5Lb x 18 bolsas"/>
        <s v="Peru Chef Snack Cancha Chulpi Salada 100gr x 20"/>
        <s v="Peru Chef Snack Cancha Serrana Salada 100gr x 20 bolsas"/>
        <s v="Peru Chef Snack Habas Saladas 100gr x 20 bolsas"/>
        <s v="Peru Chef Harina De Arverja 15 Oz X 12"/>
        <s v="Peru Chef Aderezo Para Pachamanca 10 5 Oz x 12 frascos"/>
        <s v="Peru Chef Algarrobina17oz x 12"/>
        <s v="Peru Chef Jarabe De Goma 17oz x 12"/>
        <s v="Peru Chef Rocoto En Mitades lata 20oz x12"/>
        <s v="Chocolate Triangulo x 22"/>
        <s v="San Jorge Municion 450gr x 6"/>
        <s v="Peru Chef Pasta Rocoto 8 Oz X 12"/>
        <s v="Peru Chef Pasta Aji Panca 8 Oz X 12"/>
        <s v="Peru Chef filtrante Manzanilla x 20"/>
        <s v="Peru Chef Hierba Luisa x 20 filtrante x 12 cajas"/>
        <s v="Galleta Charada Field 40gr x 6 x 28"/>
        <s v="Gn Rellenitas Fresa x 8 x 5 pack"/>
        <s v="Gn Rellenitas Coco x 8 x 5"/>
        <s v="Peru Chef Pasta Aji Amarillo Poco Pic 16oz X 12"/>
        <s v="Peru Chef Pasta Aji Panca Poco Pic 16 Oz X 12"/>
        <s v="Walibi Mayonesa"/>
        <s v="Walibi Salsa De Aji Criollo 380gr x 12"/>
        <s v="Peru Chef Paneton 900 G X 6"/>
        <s v="Peru Chef Choclo Desgranado 3 Lb X 10 FROZEN"/>
        <s v="Peru Chef Salsa Aji Amarillo 10.5oz x 12"/>
        <s v="Peru Chef Salsa Aji Criollo 10.5 oz x 12"/>
        <s v="Peru Chef Salsa De Aji Limo 11oz x 12"/>
        <s v="Peru Chef Aji Parrillero 11oz x 12"/>
        <s v="Peru Chef Salsa De Aji Charapita 11oz x 12"/>
        <s v="Peru Chef Frijol Castilla 15oz x 12"/>
        <s v="Peru Chef Semola 15oz x 12"/>
        <s v="Peru Chef Kiwicha 15oz x 12"/>
        <s v="San Jose Turron De Doña Pepa x 500gr"/>
        <s v="Chocman Doble Manjar 53gr x 8 x 6"/>
        <s v="Fideos San Jorge Caracol 250gr x 20"/>
        <s v="Fideos San Jorge Letras y Numeros 250gr x 20"/>
        <s v="Fideos San Jorge Spaguetti 500 G X 20"/>
        <s v="Fideos San Jorge Tallarin 500gr x  20"/>
        <s v="Fideos San Jorge Cabello De Angel 250gr x 40"/>
        <s v="Peru Chef Aceituna Verde Despepitada 11.83 Oz"/>
        <s v="Peru Chef Pasta Rocoto 16 Oz X 12"/>
        <s v="Peru Chef Salsa Aji Amarillo C/Huacatay 10.5 Oz X 12"/>
        <s v="Peru Chef Salsa Rocoto 10.5 Oz X 12"/>
        <s v="Peru Chef Base Para Arroz C/ Mariscos 11 Oz X 12"/>
        <s v="Peru Chef Aderezo Papa Pollada 10.5 Oz X12"/>
        <s v="Peru Chef Adobo De Cerdo 10.5 Oz x 12 frascos"/>
        <s v="Peru Chef Aderezo Para Pavo 10.5 Oz X 12"/>
        <s v="Wasska Base Pisco Sour Limon 125gr x 9"/>
        <s v="Wasska Base Pisco Sour Chicha Morada 125gr x 9"/>
        <s v="Wasska Base Pisco Sour Maracuya 125gr x 9"/>
        <s v="Wasska Base Pisco Sour Mango Con Camucamu 125gr x 9"/>
        <s v="WINTER'S Paneton 900gr x 6"/>
        <s v="Peru Chef Turron De Doña Pepa 500gr"/>
        <s v="Aji Panca Seco sin pepa 2.04kg"/>
        <s v="Peru Chef Cedron filtrante X 20"/>
        <s v="PERU CHEF Muña x 20 filtrante"/>
        <s v="Peru Chef filtrante Sueño Profundo x 20"/>
        <s v="Peru Chef filtrante Te Verde Con Piña x 20"/>
        <s v="Peru Chef filtrante Sen x 20"/>
        <s v="Peru Chef filtrante Toronjil x 20"/>
        <s v="Kikko Siyau 5L"/>
        <s v="Peru Chef Pasta Aji Panca Poco Picante 116 oz"/>
        <s v="Peru Chef Pasta Aji Amarillo Poco Picante 116oz"/>
        <s v="Peru Chef Pasta Rocoto 116 oz"/>
        <s v="Peru Chef Zapallo Loche 1Lb"/>
        <s v="Peru Chef Papa Huayro 2Lb"/>
        <s v="Peru Chef Chancapiedra 1.41 Oz X 12"/>
        <s v="Gn Rellenitas Lucuma x 8 x 5"/>
        <s v="Gn Rellenitas Choco y Menta x 8 x 5"/>
        <s v="Gn Rellenitas Choco y Fresa x 8 x 5"/>
        <s v="Gn Rellenitas Limon x 8 x 5 pack"/>
        <s v="Peru Chef Digestivo x 20 filtrante"/>
        <s v="Peru Chef Eucalipto filtrante x 20"/>
        <s v="Peru Chef Pasta Aji Amarillo 116 oz"/>
        <s v="Peru Chef Rocoto En Salmuera 20oz x 12"/>
        <s v="Peru Chef Frijol Panamito 15oz x 12"/>
        <s v="Peru Chef Aji Mirasol 3 oz x 12"/>
        <s v="Peru Chef Pasta Aji Amarillo Poco Picante11oz x 12"/>
        <s v="Peru Chef Pasta Aji Panca Poco Picante 11 oz x 12"/>
        <s v="VARGAS CHEVALIER Jarabe de Goma 750ml x 12 fco vidrio"/>
        <s v="Agua Ozarka Texas, 8 fl oz, Paquete de 48 Botellas de Plástico"/>
        <s v="Yuca Family Pack / Cassava Family Pack 5lb x 6"/>
        <s v="T.A Aji Panca Pasta 7.5oz x 24"/>
        <s v="T.A Aji Amarillo Pasta 7.5oz x 24"/>
        <s v="T.A Rocoto en pasta 7.5oz x 24"/>
        <s v="T.A Aji Mirasol Pasta 7.5oz x 24"/>
        <s v="T.A Aji Panca en Pasta &quot;Poco Picante&quot; 7.5oz x 24"/>
        <s v="T.A Aji Panca Pasta 10.5oz x 12"/>
        <s v="T.A Aji Amarillo Pasta 10.5oz X 12"/>
        <s v="T.A Rocoto Pasta 10.5oz x 12"/>
        <s v="T.A Aji Panca Pasta &quot;Poco Picante&quot; 10.5oz x 12"/>
        <s v="T.A Aji Panca Pasta /Panca Pepper Paste 15oz x 12"/>
        <s v="T.A Aji Amarillo Pasta 15oz X 12"/>
        <s v="T.A Rocoto Pasta 15oz X 12"/>
        <s v="T.A Aji Panca Pasta &quot;Poco Picante&quot; 15oz x 12"/>
        <s v="T.A Aceituna Botija /Alfonso Olives con pepa 20oz x 12"/>
        <s v="T.A Aji Amarillo sin Picante 7.5oz x 24"/>
        <s v="T.A Aji Amarillo sin Picante 15oz x 12"/>
        <s v="T.A Maiz Morado /Purple Corn 15oz x 16"/>
        <s v="T.A Papa Seca Negra / Dried Potato 15OZ X 18"/>
        <s v="T.A Cancha Corn / Maiz Cancha 15oz x 24"/>
        <s v="T.A Peeled Mote Corn / Mote Pelado 15oz x 24"/>
        <s v="T.A Trigo  Resbalado/Hulled Wheat 15oz x 24"/>
        <s v="T.A Maiz Chulpe /Chulpe Corn 15oz x 24"/>
        <s v="T.A Quinua /Quinoa 15oz x 24"/>
        <s v="T.A Cebada Tostada /Toasted Barley 15oz x 18"/>
        <s v="T.A Chuño Entero Blanco / White Potato Starch 15oz x 18"/>
        <s v="T.A Trigo Trigo Pelado/Peeled Wheat 15oz x 24"/>
        <s v="T.A Emoliente / Emolient 3.5oz x 20"/>
        <s v="T.A Maiz Morado (Family Pack) /Purple Corn 40OZ X 6"/>
        <s v="T.A Mote Pelado (Family Pack) /Peeled Mote Corn 54oz x 6"/>
        <s v="T.A Maiz Cancha (Family Pack) /Cancha Corn 54oz x 6"/>
        <s v="T.A Papa Seca Amarilla (Family Pack) /Yelow Dried Potato 40oz x 6"/>
        <s v="T.A Papa Seca Negra (Family Pack) / Black Dried Potato 54oz x 5"/>
        <s v="T.A Papa Seca Amarilla  / Yelow Dried Potato 15oz x 18"/>
        <s v="SIBARITA - Vinagre Blanco - White Vinegar 1L x 12"/>
        <s v="SIBARITA - Vinagre Tinto - Red Vinegar 1L x 12"/>
        <s v="SIBARITA - Vinagre Blanco - White Vinegar 16.91oz x 12"/>
        <s v="SIBARITA Vinagre Tinto - Red Vinegar 16.91oz  x 12 botella"/>
        <s v="Gelatina Universal Fresa / Strawberry Gelatin 150gr x 12"/>
        <s v="Gelatina Universal Naranja / Orange Gelatin 150gr x 12"/>
        <s v="T.A Maiz Cancha saco 50Lb"/>
        <s v="T.A Maiz Morado /Purple Corn 50Lb saco"/>
        <s v="T.A Mote Pelado Saco 50lb"/>
        <s v="T.A Maiz Chulpe Saco"/>
        <s v="T.A Aji Amarillo Balde 7.5Lb"/>
        <s v="VALLES ANDINOS Aceite Vegetal con Achiote 440ml x 15"/>
        <s v="T.A Chicha de Jora /Jora Seasoning"/>
        <s v="T.A Habas Fritas Saladas/  Broad Beans Snacks 130gr x 12"/>
        <s v="T.A Choclo Entero / Corn on the Cob x 6 x 7 FROZEN"/>
        <s v="T.A Rocoto Entero / Red Hot Pepper FROZEN 16oz x 20"/>
        <s v="T.A Aji Amarillo FROZEN 16oz x 20"/>
        <s v="T.A Aji Limo / Limo Pepper16oz x 18"/>
        <s v="T.A Choclo desgranado / Corn in Grain FROZEN  4Lb x 10"/>
        <s v="T.A Pulpa De Lucuma / Lucuma  Pulp 12oz x 20"/>
        <s v="T.A  Choclo Entero / Corn on the Cob 4 x 10 FROZEN"/>
        <s v="T.A Aji Amarillo sin Pepas 2Lb x 8"/>
        <s v="T.A Pulpa de Maracuya / Passion Fruit pulp14oz x 12 FROZEN"/>
        <s v="T.A Harina de Chuño / Potato Starch Flour 12oz x 24"/>
        <s v="T.A Quinoa Negra  / Black  Quinoa14oz x 12"/>
        <s v="T.A Quinoa Tricolor  / Tri-Color Quinoa14oz x 12"/>
        <s v="T.A Mix Andino Snack / Andean Mix Snack 130gr x 12"/>
        <s v="Universal Esencia de Vainilla / Vanilla Scent 100ml x 24"/>
        <s v="Universal Chicha Morada / Purple drink instant beverage 120gr x 12"/>
        <s v="Maiz Atomico Imperial con Miel 125gr x 20 bolsas"/>
        <s v="Trigo Atomico original con Miel 125gr x 20"/>
        <s v="VITAPLUSS - Maiz expandido con miel 140gr x 24"/>
        <s v="VITAPLUSS - Trigo Expandido con Miel 140gr x 24"/>
        <s v="VITAPLUSS - Fideos con Miel 120gr x 20"/>
        <s v="VITAPLUSS - Arrocito con Miel 140gr x 24"/>
        <s v="Arrocito Atomico 150gr x 20 (5.3oz)  x 20"/>
        <s v="T.A Choclo Entero / Corn on the Cob 2 x 18 FROZEN"/>
        <s v="T.A Papa Amarilla / Yellow Potato 16oz x 20 FROZEN"/>
        <s v="T.A Choclo desgranado / Corn in Grain 16oz x 30 FROZEN"/>
        <s v="T.A Olluco cortado / Sliced Ollucos 16oz x 20"/>
        <s v="T.A Huacatay / Black Mint 12oz x 24 FROZEN"/>
        <s v="T.A Achocha / Caigua 16oz x 12 FROZEN"/>
        <s v="T.A  Ajo pasta 7.5oz x 24"/>
        <s v="T.A Albahaca Pasta /Basil Paste 7.5oz x 24"/>
        <s v="T.A. Ajo Pasta - Ajo en Pasta /Garlic Paste 15oz X 12"/>
        <s v="T.A Salsa Parrillera /BBQ Seasoning 15oz x 12"/>
        <s v="T.A Salsa Pollo A La Brasa /Grill Chicken Seasoning 15oz x 12"/>
        <s v="T.A Aceituna Botija sin Pepa /Pitted Alfonso Olives 20oz x 12"/>
        <s v="T.A Linaza /Flax Seed 15oz x 24"/>
        <s v="T.A Semola /Semolina 15oz x 24"/>
        <s v="T.A Chia /Chia Seeds 12oz x 16"/>
        <s v="T.A Harina de Quinua /Quinua Flour (Instant) 12oz x 12"/>
        <s v="T.A Harina Linaza /Flax seed Flour 7.5oz x 24"/>
        <s v="T.A Harina de Maca /Maca Flour 7oz x 24"/>
        <s v="T.A Chicha Morada bebida / Purple Corn Drink 1L x 12"/>
        <s v="T.A Chicha Morada bebida /Purple Corn Drink botella16oz x 12"/>
        <s v="T.A Nectar de Maracuya bebida 16oz x 12"/>
        <s v="AjiNomoto Bolsa 500g x 30"/>
        <s v="T.A Maiz Chulpi frito Salado/ Chulpi Corn Snack 130gr x 12"/>
        <s v="T.A Maiz Cancha Frito Salado / Native Corn Snack 130gr x12"/>
        <s v="T.A Maiz Gigante Frito Salado/ Giant Corn Snacks 130gr x 12"/>
        <s v="SIBARITA - Tuco Tallarin 6 sobres x 50 / 1.64oz x 50"/>
        <s v="SIBARITA - Aji Panca Sazonador sin picante  6 sobres x 50"/>
        <s v="SIBARITA - Panquita Doypack 12 x 19.4 oz"/>
        <s v="SIBARITA - Amarillin Doypack  19.4oz x 12"/>
        <s v="SIBARITA - Ajo / Garlic Family Pack 19.4oz x 12"/>
        <s v="T.A Te con canela y clavo - Cinnamon and Clove filtrante 24gr x 20 x 30"/>
        <s v="T.A Anis FILTRANTE 20saq x 30"/>
        <s v="T.A Hierbaluisa filtrante - Lemon Grass Tea 20 x 30"/>
        <s v="DEL VALLE  Una de Gato filtrante 25 x 32"/>
        <s v="DEL VALLE - Chancapiedra filtrante 25 x 32"/>
        <s v="Gelatina Universal Piña / Pineapple Gelatin 150gr x 12"/>
        <s v="Universal Flan de Vainilla / Vanilla Flan 150gr x 12"/>
        <s v="Universal Mazamorra Morada /Purple Pudin 150gr x 12"/>
        <s v="Universal Maicena 180g x 7"/>
        <s v="Universal Refresco Guanabana / Guava Instant beverage 120gr x 12"/>
        <s v="Universal Refresco de Maracuya / Passion fruit instant beverage 120gr x 12"/>
        <s v="Universal Flan de Lucuma/ Lucuma Pudin 150gr x 12"/>
        <s v="Universal Polvo de Hornear / Baking powder 100gr x 12"/>
        <s v="Universal Bicarbonato de Sodio - Baking soda 100gr x 12"/>
        <s v="Gelatina Universal Durazno / Peach Gelatin 150gr x 12"/>
        <s v="Universal Mazamorra sabor a Piña / Pineapple flavor pudin 150gr x 12"/>
        <s v="Galletas Morochas 30gr 12 x 22"/>
        <s v="T.A Durazno en Almibar / Peach Halves in heavy Syrup 290z x 12"/>
        <s v="T.A Brevas en Almibar 28oz x 12"/>
        <s v="T.A Motas de Guanabana en Almibar 790gr x 12"/>
        <s v="Valles Andinos Chochos en Salmuera 15oz x 12"/>
        <s v="Valles Andinos Chochos en Salmuera Picantes 17oz x 12"/>
        <s v="Valles Andinos Dulces de Higos 20oz X 12"/>
        <s v="Valles Andinos Aji Casero 6oz x 24"/>
        <s v="Valles Andinos Aji Peruano 14oz x 12"/>
        <s v="Valles Andinos Ajo en Pasta /Garlic Paste 16.58oz x 15"/>
        <s v="Valles Andinos Aliño - Ecuatorian Seasoning 17.64oz x 15"/>
        <s v="Sazon Completo - Complete Seasoning 500gr x 15"/>
        <s v="Valles Andinos Chimichurri - BBQ Sauce 500gr x 15"/>
        <s v="T.A Lomitos de Atún en Aceite / Solid TUNA in Oil 5oz x 48"/>
        <s v="T.A Sardinas en Salsa de tomate / Sardines en tomato sauce 15oz x 24"/>
        <s v="Maiz Atomico con Maca 125gr x 20 bolsas"/>
        <s v="T.A Lomitos de Atún en Aceite / Solid Tuna in Oil  - 3 PACK (SMALL)"/>
        <s v="T.A Rocoto en Salmuera /Red Hot Peppers Halves"/>
        <s v="T.A Aji Amarillo en Lata /Whole Yellow Hot Pepper"/>
        <s v="T.A Platanitos fritos salados / chifles - Salted Plantain Chips"/>
        <s v="SIBARITA - Panquita Doypack 8.8oz x 12"/>
        <s v="SIBARITA - Amarillin Doypack 8.8oz x 12"/>
        <s v="TRADICIONES ANDINAS - Manzanilla filtrante - Chamomille Tea 24gr x 20 x 30"/>
        <s v="T.A Pulpa de Guanabana / Soursop Pulpa 14oz x 12"/>
        <s v="T.A Aji Amarillo Salmuera /Whole Yellow Hot Pepper 12oz x 20"/>
        <s v="T.A Pallares /Lima Beans 15oz x 24"/>
        <s v="T.A Maiz Carhuay (Family Pack) / Carhuay Corn 54oz x 6"/>
        <s v="Quick Oats / Avena"/>
        <s v="Tradiciones Andinas - Algarrobina"/>
        <s v="Tradiciones Andinas - Palillo /Curcuma"/>
        <s v="Universal Gelatina sin Sabor (Colapiz)"/>
        <s v="Valles Andinos Lentejas 14oz x 24"/>
        <s v="Valles Andinos Frijoles Negros / Black beans 14 oz x 24"/>
        <s v="Valles Andinos Habas partidas y Peladas / Split and Peeled Fava Beans 14oz x 14"/>
        <s v="T.A Culantro Pasta / Coriander Paste 7.5oz x 24"/>
        <s v="T.A Rocoto en Lata /Red Hot Peppers Halves"/>
        <s v="Tradiciones Andinas -  Pimienta Negra /Black Pepper"/>
        <s v="T.A Maiz gigante frito picante - Spicy and crunchy giant corn"/>
        <s v="SIBARITA - Ajo / Garlic 8.8oz x 12"/>
        <s v="DEL VALLE - Boldo Filtrante 25gr x 25 x 32"/>
        <s v="Universal Gelatina Limon / Lemon Gelatin 150gr x 12"/>
        <s v="Universal Grape Gelatin / Gelatina Uva"/>
        <s v="Valles Andinos Frijol Bocanegra / Black Eye Beans or Bocanegra"/>
        <s v="Valles Andinos Harina de Habas / Faba Beans Flour 14oz x 18"/>
        <s v="Valles Andinos Frijol Canario / Canary Beans"/>
        <s v="Valles Andinos Harina de Maiz / Corn Flour"/>
        <s v="T.A Hojuela de Quinua / Quinua Flakes"/>
        <s v="Tradiciones Andinas - Comino Molido"/>
        <s v="Tradiciones Andinas Pimenton / Paprika 1.76oz x 12"/>
        <s v="Tradiciones Andinas - Canela Molida / Ground Cinnamon"/>
        <s v="Tradiciones Andinas - Ajonjoli / Sesame Seeds"/>
        <s v="T.A Sardinas en Salsa de Tomate Tinapa / Sardines in Tomato Sauce 5.46oz x 50"/>
        <s v="Valles Andinos Harina de Alverja / Pea Flour"/>
        <s v="Valles Andinos Harina de Machica / Roasted Barley Flour"/>
        <s v="Valles Andinos Canguil / Pop Corn"/>
        <s v="Coco Milk Drink with Nata de Coco ORIGINAL"/>
        <s v="Coco Milk Drink with Nata de Coco STRAWBERRY"/>
        <s v="Coco Milk Drink with Nata de Coco MANGO"/>
        <s v="T.A Aji Amarillo con Huacatay 7.5oz x 24"/>
        <s v="T.A Aji Mirasol Seco / Dried Yellow Pepper 2oz x 24"/>
        <s v="Valles Andinos Arroz de Cebada / Barley Corn 14oz x 18"/>
        <s v="Valles Andinos Harina de Platano / Plantain Flour"/>
        <s v="T.A Habas Verdes / Fava Beans 28oz x 20 bolsas"/>
        <s v="T.A Aji Panca Seco / Dried Panca Pepper"/>
        <s v="T.A Chulpe Corn / Maiz Chulpe (Family Pack) 54OZ X 6"/>
        <s v="Universal Chuño / Potato Starch 180gr x 9"/>
        <s v="T.A Maiz Desgranado (INST) / Corn in Grain 48oz x13"/>
        <s v="T.A Guinea pig - Cuy"/>
        <s v="T.A Pulpa de Maracuya con pepas / Passion fruit pulp with Seeds"/>
        <s v="T.A Huacatay Pasta / Black Mint Paste 7.5oz"/>
        <s v="T.A Arroz de Cebada/ Barley Rice 15oz x 24"/>
        <s v="Tradiciones Andinas - Orégano Entero / Whole Oregano"/>
        <s v="Panela Redonda"/>
        <s v="Valles Andinos Soya / Soy Beans 14oz x 18 bolsa"/>
        <s v="Morocho Partido / Granulated White Corn"/>
        <s v="T.A Aji Ambateno / Whole Pepper FROZEN 10oz x 16"/>
        <s v="T.A Quinoa Blanca  /White  Quinoa"/>
        <s v="Valles Andinos Harina Maiz Morado / Purple Corn Flour"/>
        <s v="SOL DEL CUZCO Tableta sabor a chocolate para taza 12 x 90gr"/>
        <s v="Valles Andinos Arverjas Verdes 14oz x 24"/>
        <s v="Trigo Atomico con Maca 125gr x 20"/>
        <s v="T.A Mora en Fruta - Blackberry FROZEN 28oz x 12"/>
        <s v="T.A Papa Criolla / Yellow Potato 2Lb x 12"/>
        <s v="Sancocho Colombiano / Vegetables Mix 2Lb x 6"/>
        <s v="T.A Arracacha / Yellow Cassava FROZEN 16oz x 16"/>
        <s v="T.A Discos de Yuca / Cassava Dough 13.75oz x 24"/>
        <s v="T.A Olluco en Lata /Whole Ollucus 20oz x 24"/>
        <s v="Tradiciones Andinas  Miel de Abeja 500gr x 24"/>
        <s v="SOL DEL CUZCO Tableta sabor a chocolate con canela y clavo para taza 12 x 90gr"/>
      </sharedItems>
    </cacheField>
    <cacheField name="Memo/Description" numFmtId="0">
      <sharedItems/>
    </cacheField>
    <cacheField name="Quantity" numFmtId="4">
      <sharedItems containsSemiMixedTypes="0" containsString="0" containsNumber="1" minValue="-832" maxValue="1664"/>
    </cacheField>
    <cacheField name="Rate" numFmtId="4">
      <sharedItems containsSemiMixedTypes="0" containsString="0" containsNumber="1" minValue="-21.5" maxValue="204.88"/>
    </cacheField>
    <cacheField name="Amount" numFmtId="4">
      <sharedItems containsSemiMixedTypes="0" containsString="0" containsNumber="1" minValue="-4355.5200000000004" maxValue="10693.2"/>
    </cacheField>
    <cacheField name="Balance" numFmtId="4">
      <sharedItems containsSemiMixedTypes="0" containsString="0" containsNumber="1" minValue="32.5" maxValue="118581.4799999999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rtin Solari" refreshedDate="46021.923708912036" createdVersion="8" refreshedVersion="8" minRefreshableVersion="3" recordCount="1437" xr:uid="{913E2A44-0B31-4271-855E-164614635F07}">
  <cacheSource type="worksheet">
    <worksheetSource ref="A1:S1438" sheet="Base Sin Negativos"/>
  </cacheSource>
  <cacheFields count="19">
    <cacheField name="Vendor" numFmtId="0">
      <sharedItems count="12">
        <s v="Sam's Club"/>
        <s v="Peru Chef"/>
        <s v="Belmont International Trading Corp"/>
        <s v="Tradiciones Andinas"/>
        <s v="La Sorpresa Store"/>
        <s v="Amazon"/>
        <s v="Continental Food and Beverage, inc"/>
        <s v="Lam's Foods Inc."/>
        <s v="Fiesta Mart #60"/>
        <s v="GUIXENS FOOD GROUP, INC."/>
        <s v="Arjo Vision Trading Company LLC"/>
        <s v="SAVERS SUPERMERCADO COST + PLUS"/>
      </sharedItems>
    </cacheField>
    <cacheField name="Transaction date" numFmtId="0">
      <sharedItems count="53">
        <s v="12/14/2025"/>
        <s v="09/11/2025"/>
        <s v="10/09/2025"/>
        <s v="04/28/2025"/>
        <s v="06/12/2025"/>
        <s v="07/03/2025"/>
        <s v="09/24/2025"/>
        <s v="11/28/2025"/>
        <s v="03/26/2025"/>
        <s v="04/10/2025"/>
        <s v="04/25/2025"/>
        <s v="05/19/2025"/>
        <s v="08/11/2025"/>
        <s v="08/18/2025"/>
        <s v="12/03/2025"/>
        <s v="04/24/2025"/>
        <s v="10/28/2025"/>
        <s v="11/14/2025"/>
        <s v="12/09/2025"/>
        <s v="05/16/2025"/>
        <s v="10/20/2025"/>
        <s v="07/31/2025"/>
        <s v="12/11/2025"/>
        <s v="08/28/2025"/>
        <s v="04/13/2025"/>
        <s v="07/21/2025"/>
        <s v="08/26/2025"/>
        <s v="11/07/2025"/>
        <s v="06/02/2025"/>
        <s v="06/04/2025"/>
        <s v="08/27/2025"/>
        <s v="04/29/2025"/>
        <s v="10/07/2025"/>
        <s v="03/31/2025"/>
        <s v="10/30/2025"/>
        <s v="03/03/2025"/>
        <s v="08/21/2025"/>
        <s v="07/08/2025"/>
        <s v="10/01/2025"/>
        <s v="11/04/2025"/>
        <s v="04/09/2025"/>
        <s v="10/03/2025"/>
        <s v="11/13/2025"/>
        <s v="12/18/2025"/>
        <s v="10/29/2025"/>
        <s v="06/17/2025"/>
        <s v="10/13/2025"/>
        <s v="09/26/2025"/>
        <s v="10/08/2025"/>
        <s v="03/19/2025"/>
        <s v="08/29/2025"/>
        <s v="05/29/2025"/>
        <s v="07/23/2025"/>
      </sharedItems>
    </cacheField>
    <cacheField name="Transaction type" numFmtId="0">
      <sharedItems/>
    </cacheField>
    <cacheField name="Num" numFmtId="0">
      <sharedItems/>
    </cacheField>
    <cacheField name="Product/Service full name" numFmtId="0">
      <sharedItems count="446">
        <s v="Agua Ozarka Texas, 8 fl oz, Paquete de 48 Botellas de Plástico"/>
        <s v="Aji Panca Seco sin pepa 2.04kg"/>
        <s v="AjiNomoto Bolsa 1Kg x 18"/>
        <s v="Ajinomoto Bolsa 250gr x 60"/>
        <s v="AjiNomoto Bolsa 500g x 30"/>
        <s v="AJINOSIYAO 500ml x 24"/>
        <s v="Arrocito Atomico 150gr x 20 (5.3oz)  x 20"/>
        <s v="Atun Florida Solido en aceite 6 oz X 48"/>
        <s v="Belmont Aceituna Bidon 104oz x 6"/>
        <s v="Belmont Aceituna Botija 20oz x 12"/>
        <s v="Belmont Aderezo de Anticucho 16oz x 12"/>
        <s v="Belmont Aji Amarillo desvenado FROZEN  12oz  x 10"/>
        <s v="Belmont Aji Amarillo desvenado FROZEN  2Lb x 8"/>
        <s v="Belmont Aji Amarillo en Salmuera 20oz x 12"/>
        <s v="Belmont Aji Amarillo entero 1Lb x 18 FROZEN"/>
        <s v="Belmont Aji Amarillo pasta 16oz x 12"/>
        <s v="Belmont Aji Amarillo pasta 8oz x 12"/>
        <s v="Belmont Aji Limo 14oz x 9 FROZEN"/>
        <s v="Belmont Aji Panca pasta 16Oz x 12"/>
        <s v="Belmont Aji Panca pasta 8oz x 12"/>
        <s v="Belmont Aji Panca pasta Bidon 7Lb"/>
        <s v="Belmont Chicha de Jora"/>
        <s v="Belmont Chicha Morada 16oz x 12"/>
        <s v="Belmont Chicha Morada 1Lt x 6"/>
        <s v="Belmont Chifles Piuranos 125gr x 20"/>
        <s v="Belmont Chifles Piuranos 250gr x 10"/>
        <s v="Belmont Chirimoya pulpa 14oz x 20"/>
        <s v="Belmont Choclo desgranado 1Lb x 30 FROZEN"/>
        <s v="Belmont Choclo Desgranado 3Lb x 10"/>
        <s v="Belmont Concentrado Chicha Morada  64oz x 6"/>
        <s v="Belmont Culantro pasta 8oz x 12"/>
        <s v="Belmont Emoliente bebida 16oz x 12"/>
        <s v="Belmont Galleta Cream Crackers 258gr x 24"/>
        <s v="Belmont Habas Secas Peladas 15oz x 12"/>
        <s v="Belmont Harina de Camote 15oz x 12"/>
        <s v="Belmont jugo de Maracuya 16oz x 12"/>
        <s v="Belmont jugo de Maracuya 1Lt x 6"/>
        <s v="Belmont Maiz Cancha 15oz x 12"/>
        <s v="Belmont Maiz Chulpe 15oz x 12"/>
        <s v="Belmont Maiz Morado x 15oz"/>
        <s v="Belmont Mango Nectar"/>
        <s v="Belmont Mango nectar 1Lt x 6"/>
        <s v="Belmont Maracuya con pepas FROZEN 1Kg x 16"/>
        <s v="Belmont Pallares 15oz x 14"/>
        <s v="Belmont Pulpa de Lucuma"/>
        <s v="Belmont Pulpa de Maracuya 14oz x 20"/>
        <s v="Belmont Rocoto Desvenado limpio FROZEN 2lb x 10"/>
        <s v="Belmont Rocoto en salmuera 20oz x 12"/>
        <s v="Belmont Rocoto entero FROZEN"/>
        <s v="Belmont Yuyo Marino FROZEN 2.2lb x 8"/>
        <s v="CASINO Galleta Chocolate 51gr x 6 x 8"/>
        <s v="CASINO Galleta Fresa  51gr x 6 x 8"/>
        <s v="CASINO Galleta Lucuma 51gr x 6 x 8"/>
        <s v="CASINO Galleta Menta 51gr x 6 x 8"/>
        <s v="Chocman 30G 6 x 14"/>
        <s v="Chocman Doble Manjar 53gr x 8 x 6"/>
        <s v="Chocolate Cuzco con canela y clavo  4 x 12"/>
        <s v="Chocolate Cuzco regular  4 x 12"/>
        <s v="Chocolate Triangulo x 22"/>
        <s v="Coco Milk Drink with Nata de Coco MANGO"/>
        <s v="Coco Milk Drink with Nata de Coco ORIGINAL"/>
        <s v="Coco Milk Drink with Nata de Coco STRAWBERRY"/>
        <s v="Conaprole - Dulce de Leche - Milk Caramel Spread"/>
        <s v="CORONITA - Galleta de Chocolate x 6 x 28"/>
        <s v="Cua Cua 9 x 24"/>
        <s v="DEL VALLE - Boldo Filtrante 25gr x 25 x 32"/>
        <s v="DEL VALLE - Chancapiedra filtrante 25 x 32"/>
        <s v="DEL VALLE  Una de Gato filtrante 25 x 32"/>
        <s v="Display Strip"/>
        <s v="Doña Pepa 23gr 6 x 36"/>
        <s v="D'Onofrio Chocolate Sublime 26 G x 24"/>
        <s v="ECCO - Café instantaneo de Cebada -Barley Instant Coffee"/>
        <s v="EL TRIUNFO Fideo Chino - Chinese Noodles 250gr x 30"/>
        <s v="Fideos San Jorge Cabello De Angel 250gr x 40"/>
        <s v="Fideos San Jorge Caracol 250gr x 20"/>
        <s v="Fideos San Jorge Letras y Numeros 250gr x 20"/>
        <s v="Fideos San Jorge Spaguetti 500 G X 20"/>
        <s v="Fideos San Jorge Tallarin 500gr x  20"/>
        <s v="FIELD - Chocosoda Galletas 6 x 32"/>
        <s v="FIELD - Galletas de Soda 34gr x 6 x 36"/>
        <s v="FIELD - Galletas de Vainilla 37 gr x 6 x 24"/>
        <s v="Galleta Charada Field 40gr x 6 x 28"/>
        <s v="Galleta Chomp Naranja Victoria 42gr x 6 x 8"/>
        <s v="Galleta Club Social 6 x 32"/>
        <s v="Galleta Municion San Jorge 1.94oz (55gr) x 25"/>
        <s v="Galletas Chomp Chocolate 42gr x 6 x 8"/>
        <s v="Galletas Margarita Sayon 6 x 8 pack"/>
        <s v="Galletas Morochas 30gr 12 x 22"/>
        <s v="Galletas Morochas 30gr 6x 30"/>
        <s v="Gelatina Universal Durazno / Peach Gelatin 150gr x 12"/>
        <s v="Gelatina Universal Fresa / Strawberry Gelatin 150gr x 12"/>
        <s v="Gelatina Universal Naranja / Orange Gelatin 150gr x 12"/>
        <s v="Gelatina Universal Piña / Pineapple Gelatin 150gr x 12"/>
        <s v="Glacitas Chocolate 32gr 6 x 8"/>
        <s v="Glacitas Choconieve 32gr 6 x 8"/>
        <s v="Glacitas Fresa 32gr 6 x 8"/>
        <s v="Glacitas Toffee 32gr 6 x 8"/>
        <s v="Gloria Chicha Morada 1Lt x 12 TETRAPACK"/>
        <s v="Gn Rellenitas Choco y Fresa x 8 x 5"/>
        <s v="Gn Rellenitas Choco y Menta x 8 x 5"/>
        <s v="Gn Rellenitas Coco x 8 x 5"/>
        <s v="Gn Rellenitas Fresa x 8 x 5 pack"/>
        <s v="Gn Rellenitas Limon x 8 x 5 pack"/>
        <s v="Gn Rellenitas Lucuma x 8 x 5"/>
        <s v="Huancaina A la Cena 17.06oz (400gr) x 12"/>
        <s v="Inca Kola Diet Lata 12oz x 24"/>
        <s v="Inca Kola Plastico 2Lt x 8"/>
        <s v="Inca Kola Regular  x 24 Latas"/>
        <s v="Inca Kola Regular x 12 latas"/>
        <s v="Inca Kola Vidrio x 24"/>
        <s v="Kikko Siyau 500ml x 30"/>
        <s v="Kikko Siyau 5L"/>
        <s v="KIRMA - Café Instantaneo - Instant Coffee"/>
        <s v="Kola Inglesa 12oz x 24"/>
        <s v="Lam's Chifles dulce en tiras 2.1oz x 24"/>
        <s v="Lam's Chifles salado en tiras 2.5oz x 24"/>
        <s v="Lam's Patacones / Tostones Dulce 4oz x 24"/>
        <s v="Lam's Patacones / Tostones picante 4oz x 24"/>
        <s v="Lam's Patacones / Tostones Regular 4oz x 24"/>
        <s v="Leche condensada BONLE lata 14oz x 24"/>
        <s v="Leche evaporada BONLE 12oz x 24"/>
        <s v="Leche evaporada Gloria 13oz Lata x 24"/>
        <s v="Los Nietitos - Dulce de Leche"/>
        <s v="Maiz Atomico con Maca 125gr x 20 bolsas"/>
        <s v="Maiz Atomico Imperial con Miel 125gr x 20 bolsas"/>
        <s v="Mani Confitado Belmont x 25"/>
        <s v="Mayonesa a la Cena 17.06oz (400gr) x 12"/>
        <s v="Morocho Partido / Granulated White Corn"/>
        <s v="Panela Redonda"/>
        <s v="Paneton Donofrio 6/31.04 oz"/>
        <s v="Paneton TODINNO 900gr x 6"/>
        <s v="Peru Chef Aceituna Verde Despepitada 11.83 Oz"/>
        <s v="Peru Chef Aceitunas Botija Sin Pepa 20 Oz X 12"/>
        <s v="Peru Chef Aceitunas Negras 20 Oz X 12"/>
        <s v="Peru Chef Aderezo Papa Pollada 10.5 Oz X12"/>
        <s v="Peru Chef Aderezo Para Pachamanca 10 5 Oz x 12 frascos"/>
        <s v="Peru Chef Aderezo Para Pavo 10.5 Oz X 12"/>
        <s v="Peru Chef Adobo De Cerdo 10.5 Oz x 12 frascos"/>
        <s v="Peru Chef Aji Amarillo 1 Lb X 18"/>
        <s v="Peru Chef Aji Limo 1 Lb X 15 FROZEN"/>
        <s v="Peru Chef Aji Mirasol 3 oz x 12"/>
        <s v="Peru Chef Aji Panca Molido 70 G X 12"/>
        <s v="Peru Chef Aji Parrillero 11oz x 12"/>
        <s v="Peru Chef Algarrobina17oz x 12"/>
        <s v="Peru Chef Base Para Arroz C/ Mariscos 11 Oz X 12"/>
        <s v="Peru Chef Cebada Tostada 15oz x 10"/>
        <s v="Peru Chef Cedron filtrante X 20"/>
        <s v="Peru Chef Chancapiedra 1.41 Oz X 12"/>
        <s v="Peru Chef Chicha De Jora 1 L X 12"/>
        <s v="Peru Chef Chicha Morada display 20gr x 12 sobres"/>
        <s v="Peru Chef Choclo Desgranado 1 Lb X 30 FROZEN"/>
        <s v="Peru Chef Choclo Desgranado 3 Lb X 10 FROZEN"/>
        <s v="Peru Chef Chuño Blanco Entero 15 Oz X 8"/>
        <s v="Peru Chef Crema De Aji P/Ceviche 10.5 oz x 12"/>
        <s v="Peru Chef Digestivo x 20 filtrante"/>
        <s v="Peru Chef display Mazamorra Morada 150 G x 12"/>
        <s v="Peru Chef Emoliente 5.3 Oz X 12"/>
        <s v="Peru Chef Emoliente bebida 1Lt x 12"/>
        <s v="Peru Chef Esencia De Vainilla 100ml x 24"/>
        <s v="Peru Chef Eucalipto filtrante x 20"/>
        <s v="Peru Chef filtrante Manzanilla x 20"/>
        <s v="Peru Chef filtrante Sen x 20"/>
        <s v="Peru Chef filtrante Sueño Profundo x 20"/>
        <s v="Peru Chef filtrante Te Verde Con Piña x 20"/>
        <s v="Peru Chef filtrante Toronjil x 20"/>
        <s v="Peru Chef Frijol Castilla 15oz x 12"/>
        <s v="Peru Chef Frijol Panamito 15oz x 12"/>
        <s v="Peru Chef Habas Peladas 15 Oz X 12 bolsas"/>
        <s v="Peru Chef Harina De Arverja 15 Oz X 12"/>
        <s v="Peru Chef Harina de Chuño 15 Oz X 12"/>
        <s v="Peru Chef Hierba Luisa x 20 filtrante x 12 cajas"/>
        <s v="Peru Chef Hongos Y Laurel 1.57oz x 12"/>
        <s v="Peru Chef Jarabe De Goma 17oz x 12"/>
        <s v="Peru chef Kion Molido 60 G X 12"/>
        <s v="Peru Chef Kiwicha 15oz x 12"/>
        <s v="Peru Chef Maiz Cancha Montaña15 Oz X 10"/>
        <s v="PERU CHEF Maiz Chulpe 15oz x 12"/>
        <s v="Peru Chef Maiz Morado 15 Oz X 22"/>
        <s v="Peru Chef Maiz Mote Pelado 15 Oz X 12"/>
        <s v="Peru Chef Maracuya jugo / Passion friut juice 1Lt x 12"/>
        <s v="Peru Chef Miel de Chancaca 17oz x 12"/>
        <s v="PERU CHEF Muña x 20 filtrante"/>
        <s v="Peru Chef Olluco Cortado 1 Lb X 20"/>
        <s v="Peru Chef Oregano Entero 30 G X 12"/>
        <s v="Peru Chef Palillo Molido75gr x 12"/>
        <s v="Peru Chef Pallares 15oz x 12"/>
        <s v="Peru Chef Paneton 900 G X 6"/>
        <s v="Peru Chef Papa Amarilla 1 Lb X 26 FROZEN"/>
        <s v="Peru Chef Papa Huayro 2Lb"/>
        <s v="Peru Chef Papa Seca Amarilla 12oz x 8"/>
        <s v="Peru Chef Papa Seca Serrana 15 Oz X 10"/>
        <s v="Peru Chef Pasta Aji Amarillo 116 oz"/>
        <s v="Peru Chef Pasta Aji Amarillo 16 oz x 12"/>
        <s v="Peru Chef Pasta Aji Amarillo Poco Pic 16oz X 12"/>
        <s v="Peru Chef Pasta Aji Amarillo Poco Picante 116oz"/>
        <s v="Peru Chef Pasta Aji Amarillo Poco Picante11oz x 12"/>
        <s v="Peru Chef Pasta Aji Panca 16 oz x 12"/>
        <s v="Peru Chef Pasta Aji Panca 8 Oz X 12"/>
        <s v="Peru Chef Pasta Aji Panca Poco Pic 16 Oz X 12"/>
        <s v="Peru Chef Pasta Aji Panca Poco Picante 11 oz x 12"/>
        <s v="Peru Chef Pasta Aji Panca Poco Picante 116 oz"/>
        <s v="Peru Chef Pasta Ajos 16oz x 12"/>
        <s v="Peru Chef Pasta Rocoto 116 oz"/>
        <s v="Peru Chef Pasta Rocoto 16 Oz X 12"/>
        <s v="Peru Chef Pasta Rocoto 8 Oz X 12"/>
        <s v="Peru Chef Quinua Real 15oz x 12"/>
        <s v="Peru Chef Rocoto En Mitades lata 20oz x12"/>
        <s v="Peru Chef Rocoto En Salmuera 20oz x 12"/>
        <s v="Peru Chef Rocoto FROZEN 1 Lb X 18"/>
        <s v="Peru Chef Salsa Aji Amarillo 10.5oz x 12"/>
        <s v="Peru Chef Salsa Aji Amarillo C/Huacatay 10.5 Oz X 12"/>
        <s v="Peru Chef Salsa Aji Criollo 10.5 oz x 12"/>
        <s v="Peru Chef Salsa De Aji Charapita 11oz x 12"/>
        <s v="Peru Chef Salsa De Aji Limo 11oz x 12"/>
        <s v="Peru Chef Salsa de Aji Limo con Rocoto 10.5oz x 12"/>
        <s v="Peru Chef Salsa Rocoto 10.5 Oz X 12"/>
        <s v="Peru Chef Semola 15oz x 12"/>
        <s v="Peru Chef Snack Cancha Chulpi Salada 100gr x 20"/>
        <s v="Peru Chef Snack Cancha Serrana Salada 100gr x 20 bolsas"/>
        <s v="Peru Chef Snack Habas Saladas 100gr x 20 bolsas"/>
        <s v="Peru Chef Trigo Pelado 15 Oz X 12"/>
        <s v="Peru Chef Tuco 70gr x 12"/>
        <s v="Peru Chef Turron De Doña Pepa 500gr"/>
        <s v="Peru Chef Yuca Amarilla 1.5Lb x 18 bolsas"/>
        <s v="Peru Chef Zapallo Loche 1Lb"/>
        <s v="Provenzal Aji De Gallina 100gr x 10"/>
        <s v="Provenzal Arroz Con Pollo/Seco/Aguadito 58 gr x 10"/>
        <s v="Provenzal Carapulcra 150gr x 6"/>
        <s v="Provenzal Cau Cau 60gr x 12"/>
        <s v="Provenzal Ceviche Base 30gr x 20"/>
        <s v="Provenzal Huancaina 64gr x 12"/>
        <s v="Provenzal Ocopa 70gr x 12"/>
        <s v="Provenzal Olluquito 78gr x 6"/>
        <s v="Provenzal Picarones Con Miel 165gr x 12"/>
        <s v="Provenzal Sopa A La Minuta 78gr x 10"/>
        <s v="Quick Oats / Avena"/>
        <s v="San Jorge Galleta Soda  40gr  x 7 x 4"/>
        <s v="San Jorge Municion 450gr x 6"/>
        <s v="San Jose Turron De Doña Pepa x 500gr"/>
        <s v="Sancocho Colombiano / Vegetables Mix 2Lb x 6"/>
        <s v="Sayon Galletas Tejanas 480gr x 8"/>
        <s v="Sazon Completo - Complete Seasoning 500gr x 15"/>
        <s v="SIBARITA - Aji Panca Sazonador sin picante  6 sobres x 50"/>
        <s v="SIBARITA - Ajo / Garlic 8.8oz x 12"/>
        <s v="SIBARITA - Ajo / Garlic Family Pack 19.4oz x 12"/>
        <s v="SIBARITA - Amarillin Doypack  19.4oz x 12"/>
        <s v="SIBARITA - Amarillin Doypack 8.8oz x 12"/>
        <s v="SIBARITA - Panquita Doypack 12 x 19.4 oz"/>
        <s v="SIBARITA - Panquita Doypack 8.8oz x 12"/>
        <s v="SIBARITA - Tuco Tallarin 6 sobres x 50 / 1.64oz x 50"/>
        <s v="SIBARITA - Vinagre Blanco - White Vinegar 16.91oz x 12"/>
        <s v="SIBARITA - Vinagre Blanco - White Vinegar 1L x 12"/>
        <s v="SIBARITA - Vinagre Tinto - Red Vinegar 1L x 12"/>
        <s v="SIBARITA Vinagre Tinto - Red Vinegar 16.91oz  x 12 botella"/>
        <s v="SOL DEL CUZCO Tableta sabor a chocolate con canela y clavo para taza 12 x 90gr"/>
        <s v="SOL DEL CUZCO Tableta sabor a chocolate para taza 12 x 90gr"/>
        <s v="T.A  Ajo pasta 7.5oz x 24"/>
        <s v="T.A  Choclo Entero / Corn on the Cob 4 x 10 FROZEN"/>
        <s v="T.A Aceituna Botija /Alfonso Olives con pepa 20oz x 12"/>
        <s v="T.A Aceituna Botija sin Pepa /Pitted Alfonso Olives 20oz x 12"/>
        <s v="T.A Achocha / Caigua 16oz x 12 FROZEN"/>
        <s v="T.A Aji Amarillo Balde 7.5Lb"/>
        <s v="T.A Aji Amarillo con Huacatay 7.5oz x 24"/>
        <s v="T.A Aji Amarillo en Lata /Whole Yellow Hot Pepper"/>
        <s v="T.A Aji Amarillo FROZEN 16oz x 20"/>
        <s v="T.A Aji Amarillo Pasta 10.5oz X 12"/>
        <s v="T.A Aji Amarillo Pasta 15oz X 12"/>
        <s v="T.A Aji Amarillo Pasta 7.5oz x 24"/>
        <s v="T.A Aji Amarillo Salmuera /Whole Yellow Hot Pepper 12oz x 20"/>
        <s v="T.A Aji Amarillo sin Pepas 2Lb x 8"/>
        <s v="T.A Aji Amarillo sin Picante 15oz x 12"/>
        <s v="T.A Aji Amarillo sin Picante 7.5oz x 24"/>
        <s v="T.A Aji Ambateno / Whole Pepper FROZEN 10oz x 16"/>
        <s v="T.A Aji Limo / Limo Pepper16oz x 18"/>
        <s v="T.A Aji Mirasol Pasta 7.5oz x 24"/>
        <s v="T.A Aji Mirasol Seco / Dried Yellow Pepper 2oz x 24"/>
        <s v="T.A Aji Panca en Pasta &quot;Poco Picante&quot; 7.5oz x 24"/>
        <s v="T.A Aji Panca Pasta &quot;Poco Picante&quot; 10.5oz x 12"/>
        <s v="T.A Aji Panca Pasta &quot;Poco Picante&quot; 15oz x 12"/>
        <s v="T.A Aji Panca Pasta /Panca Pepper Paste 15oz x 12"/>
        <s v="T.A Aji Panca Pasta 10.5oz x 12"/>
        <s v="T.A Aji Panca Pasta 7.5oz x 24"/>
        <s v="T.A Aji Panca Seco / Dried Panca Pepper"/>
        <s v="T.A Albahaca Pasta /Basil Paste 7.5oz x 24"/>
        <s v="T.A Anis FILTRANTE 20saq x 30"/>
        <s v="T.A Arracacha / Yellow Cassava FROZEN 16oz x 16"/>
        <s v="T.A Arroz de Cebada/ Barley Rice 15oz x 24"/>
        <s v="T.A Brevas en Almibar 28oz x 12"/>
        <s v="T.A Cancha Corn / Maiz Cancha 15oz x 24"/>
        <s v="T.A Cebada Tostada /Toasted Barley 15oz x 18"/>
        <s v="T.A Chia /Chia Seeds 12oz x 16"/>
        <s v="T.A Chicha de Jora /Jora Seasoning"/>
        <s v="T.A Chicha Morada bebida / Purple Corn Drink 1L x 12"/>
        <s v="T.A Chicha Morada bebida /Purple Corn Drink botella16oz x 12"/>
        <s v="T.A Choclo desgranado / Corn in Grain 16oz x 30 FROZEN"/>
        <s v="T.A Choclo desgranado / Corn in Grain FROZEN  4Lb x 10"/>
        <s v="T.A Choclo Entero / Corn on the Cob 2 x 18 FROZEN"/>
        <s v="T.A Choclo Entero / Corn on the Cob x 6 x 7 FROZEN"/>
        <s v="T.A Chulpe Corn / Maiz Chulpe (Family Pack) 54OZ X 6"/>
        <s v="T.A Chuño Entero Blanco / White Potato Starch 15oz x 18"/>
        <s v="T.A Culantro Pasta / Coriander Paste 7.5oz x 24"/>
        <s v="T.A Discos de Yuca / Cassava Dough 13.75oz x 24"/>
        <s v="T.A Durazno en Almibar / Peach Halves in heavy Syrup 290z x 12"/>
        <s v="T.A Emoliente / Emolient 3.5oz x 20"/>
        <s v="T.A Guinea pig - Cuy"/>
        <s v="T.A Habas Fritas Saladas/  Broad Beans Snacks 130gr x 12"/>
        <s v="T.A Habas Verdes / Fava Beans 28oz x 20 bolsas"/>
        <s v="T.A Harina de Chuño / Potato Starch Flour 12oz x 24"/>
        <s v="T.A Harina de Maca /Maca Flour 7oz x 24"/>
        <s v="T.A Harina de Quinua /Quinua Flour (Instant) 12oz x 12"/>
        <s v="T.A Harina Linaza /Flax seed Flour 7.5oz x 24"/>
        <s v="T.A Hierbaluisa filtrante - Lemon Grass Tea 20 x 30"/>
        <s v="T.A Hojuela de Quinua / Quinua Flakes"/>
        <s v="T.A Huacatay / Black Mint 12oz x 24 FROZEN"/>
        <s v="T.A Huacatay Pasta / Black Mint Paste 7.5oz"/>
        <s v="T.A Linaza /Flax Seed 15oz x 24"/>
        <s v="T.A Lomitos de Atún en Aceite / Solid Tuna in Oil  - 3 PACK (SMALL)"/>
        <s v="T.A Lomitos de Atún en Aceite / Solid TUNA in Oil 5oz x 48"/>
        <s v="T.A Maiz Cancha (Family Pack) /Cancha Corn 54oz x 6"/>
        <s v="T.A Maiz Cancha Frito Salado / Native Corn Snack 130gr x12"/>
        <s v="T.A Maiz Cancha saco 50Lb"/>
        <s v="T.A Maiz Carhuay (Family Pack) / Carhuay Corn 54oz x 6"/>
        <s v="T.A Maiz Chulpe /Chulpe Corn 15oz x 24"/>
        <s v="T.A Maiz Chulpe Saco"/>
        <s v="T.A Maiz Chulpi frito Salado/ Chulpi Corn Snack 130gr x 12"/>
        <s v="T.A Maiz Desgranado (INST) / Corn in Grain 48oz x13"/>
        <s v="T.A Maiz gigante frito picante - Spicy and crunchy giant corn"/>
        <s v="T.A Maiz Gigante Frito Salado/ Giant Corn Snacks 130gr x 12"/>
        <s v="T.A Maiz Morado (Family Pack) /Purple Corn 40OZ X 6"/>
        <s v="T.A Maiz Morado /Purple Corn 15oz x 16"/>
        <s v="T.A Maiz Morado /Purple Corn 50Lb saco"/>
        <s v="T.A Mix Andino Snack / Andean Mix Snack 130gr x 12"/>
        <s v="T.A Mora en Fruta - Blackberry FROZEN 28oz x 12"/>
        <s v="T.A Motas de Guanabana en Almibar 790gr x 12"/>
        <s v="T.A Mote Pelado (Family Pack) /Peeled Mote Corn 54oz x 6"/>
        <s v="T.A Mote Pelado Saco 50lb"/>
        <s v="T.A Nectar de Maracuya bebida 16oz x 12"/>
        <s v="T.A Olluco cortado / Sliced Ollucos 16oz x 20"/>
        <s v="T.A Olluco en Lata /Whole Ollucus 20oz x 24"/>
        <s v="T.A Pallares /Lima Beans 15oz x 24"/>
        <s v="T.A Papa Amarilla / Yellow Potato 16oz x 20 FROZEN"/>
        <s v="T.A Papa Criolla / Yellow Potato 2Lb x 12"/>
        <s v="T.A Papa Seca Amarilla  / Yelow Dried Potato 15oz x 18"/>
        <s v="T.A Papa Seca Amarilla (Family Pack) /Yelow Dried Potato 40oz x 6"/>
        <s v="T.A Papa Seca Negra (Family Pack) / Black Dried Potato 54oz x 5"/>
        <s v="T.A Papa Seca Negra / Dried Potato 15OZ X 18"/>
        <s v="T.A Peeled Mote Corn / Mote Pelado 15oz x 24"/>
        <s v="T.A Platanitos fritos salados / chifles - Salted Plantain Chips"/>
        <s v="T.A Pulpa de Guanabana / Soursop Pulpa 14oz x 12"/>
        <s v="T.A Pulpa De Lucuma / Lucuma  Pulp 12oz x 20"/>
        <s v="T.A Pulpa de Maracuya / Passion Fruit pulp14oz x 12 FROZEN"/>
        <s v="T.A Pulpa de Maracuya con pepas / Passion fruit pulp with Seeds"/>
        <s v="T.A Quinoa Blanca  /White  Quinoa"/>
        <s v="T.A Quinoa Negra  / Black  Quinoa14oz x 12"/>
        <s v="T.A Quinoa Tricolor  / Tri-Color Quinoa14oz x 12"/>
        <s v="T.A Quinua /Quinoa 15oz x 24"/>
        <s v="T.A Rocoto en Lata /Red Hot Peppers Halves"/>
        <s v="T.A Rocoto en pasta 7.5oz x 24"/>
        <s v="T.A Rocoto en Salmuera /Red Hot Peppers Halves"/>
        <s v="T.A Rocoto Entero / Red Hot Pepper FROZEN 16oz x 20"/>
        <s v="T.A Rocoto Pasta 10.5oz x 12"/>
        <s v="T.A Rocoto Pasta 15oz X 12"/>
        <s v="T.A Salsa Parrillera /BBQ Seasoning 15oz x 12"/>
        <s v="T.A Salsa Pollo A La Brasa /Grill Chicken Seasoning 15oz x 12"/>
        <s v="T.A Sardinas en Salsa de tomate / Sardines en tomato sauce 15oz x 24"/>
        <s v="T.A Sardinas en Salsa de Tomate Tinapa / Sardines in Tomato Sauce 5.46oz x 50"/>
        <s v="T.A Semola /Semolina 15oz x 24"/>
        <s v="T.A Te con canela y clavo - Cinnamon and Clove filtrante 24gr x 20 x 30"/>
        <s v="T.A Trigo  Resbalado/Hulled Wheat 15oz x 24"/>
        <s v="T.A Trigo Trigo Pelado/Peeled Wheat 15oz x 24"/>
        <s v="T.A. Ajo Pasta - Ajo en Pasta /Garlic Paste 15oz X 12"/>
        <s v="Tari crema de aji A la Cena17.06oz (400gr) x 12"/>
        <s v="Tentacion Galleta Coco 47gr 6 x 8"/>
        <s v="Tentacion Galleta Vainilla 47gr 6 x 8"/>
        <s v="Tradiciones Andinas -  Pimienta Negra /Black Pepper"/>
        <s v="Tradiciones Andinas - Ajonjoli / Sesame Seeds"/>
        <s v="Tradiciones Andinas - Algarrobina"/>
        <s v="Tradiciones Andinas - Canela Molida / Ground Cinnamon"/>
        <s v="Tradiciones Andinas - Comino Molido"/>
        <s v="TRADICIONES ANDINAS - Manzanilla filtrante - Chamomille Tea 24gr x 20 x 30"/>
        <s v="Tradiciones Andinas  Miel de Abeja 500gr x 24"/>
        <s v="Tradiciones Andinas - Orégano Entero / Whole Oregano"/>
        <s v="Tradiciones Andinas - Palillo /Curcuma"/>
        <s v="Tradiciones Andinas Pimenton / Paprika 1.76oz x 12"/>
        <s v="Trigo Atomico con Maca 125gr x 20"/>
        <s v="Trigo Atomico original con Miel 125gr x 20"/>
        <s v="Uchucuta A la Cena 17.06 (400gr) x 12"/>
        <s v="Universal Bicarbonato de Sodio - Baking soda 100gr x 12"/>
        <s v="Universal Chicha Morada / Purple drink instant beverage 120gr x 12"/>
        <s v="Universal Chuño / Potato Starch 180gr x 9"/>
        <s v="Universal Esencia de Vainilla / Vanilla Scent 100ml x 24"/>
        <s v="Universal Flan de Lucuma/ Lucuma Pudin 150gr x 12"/>
        <s v="Universal Flan de Vainilla / Vanilla Flan 150gr x 12"/>
        <s v="Universal Gelatina Limon / Lemon Gelatin 150gr x 12"/>
        <s v="Universal Gelatina sin Sabor (Colapiz)"/>
        <s v="Universal Grape Gelatin / Gelatina Uva"/>
        <s v="Universal Maicena 180g x 7"/>
        <s v="Universal Mazamorra Morada /Purple Pudin 150gr x 12"/>
        <s v="Universal Mazamorra sabor a Piña / Pineapple flavor pudin 150gr x 12"/>
        <s v="Universal Polvo de Hornear / Baking powder 100gr x 12"/>
        <s v="Universal Refresco de Maracuya / Passion fruit instant beverage 120gr x 12"/>
        <s v="Universal Refresco Guanabana / Guava Instant beverage 120gr x 12"/>
        <s v="VALLES ANDINOS Aceite Vegetal con Achiote 440ml x 15"/>
        <s v="Valles Andinos Aji Casero 6oz x 24"/>
        <s v="Valles Andinos Aji Peruano 14oz x 12"/>
        <s v="Valles Andinos Ajo en Pasta /Garlic Paste 16.58oz x 15"/>
        <s v="Valles Andinos Aliño - Ecuatorian Seasoning 17.64oz x 15"/>
        <s v="Valles Andinos Arroz de Cebada / Barley Corn 14oz x 18"/>
        <s v="Valles Andinos Arverjas Verdes 14oz x 24"/>
        <s v="Valles Andinos Canguil / Pop Corn"/>
        <s v="Valles Andinos Chimichurri - BBQ Sauce 500gr x 15"/>
        <s v="Valles Andinos Chochos en Salmuera 15oz x 12"/>
        <s v="Valles Andinos Chochos en Salmuera Picantes 17oz x 12"/>
        <s v="Valles Andinos Dulces de Higos 20oz X 12"/>
        <s v="Valles Andinos Frijol Bocanegra / Black Eye Beans or Bocanegra"/>
        <s v="Valles Andinos Frijol Canario / Canary Beans"/>
        <s v="Valles Andinos Frijoles Negros / Black beans 14 oz x 24"/>
        <s v="Valles Andinos Habas partidas y Peladas / Split and Peeled Fava Beans 14oz x 14"/>
        <s v="Valles Andinos Harina de Alverja / Pea Flour"/>
        <s v="Valles Andinos Harina de Habas / Faba Beans Flour 14oz x 18"/>
        <s v="Valles Andinos Harina de Machica / Roasted Barley Flour"/>
        <s v="Valles Andinos Harina de Maiz / Corn Flour"/>
        <s v="Valles Andinos Harina de Platano / Plantain Flour"/>
        <s v="Valles Andinos Harina Maiz Morado / Purple Corn Flour"/>
        <s v="Valles Andinos Lentejas 14oz x 24"/>
        <s v="Valles Andinos Soya / Soy Beans 14oz x 18 bolsa"/>
        <s v="VARGAS CHEVALIER Jarabe de Goma 750ml x 12 fco vidrio"/>
        <s v="VITAPLUSS - Arrocito con Miel 140gr x 24"/>
        <s v="VITAPLUSS - Fideos con Miel 120gr x 20"/>
        <s v="VITAPLUSS - Maiz expandido con miel 140gr x 24"/>
        <s v="VITAPLUSS - Trigo Expandido con Miel 140gr x 24"/>
        <s v="Volt yellow Guarana 16fl oz /15"/>
        <s v="Walibi Aceitunesa 380gr x 12"/>
        <s v="Walibi Crema De Rocoto 380gr x 12"/>
        <s v="Walibi Mayonesa"/>
        <s v="Walibi Salsa De Aji Criollo 380gr x 12"/>
        <s v="Walibi Salsa Huancaina"/>
        <s v="Wasska Base Pisco Sour Chicha Morada 125gr x 9"/>
        <s v="Wasska Base Pisco Sour Limon 125gr x 9"/>
        <s v="Wasska Base Pisco Sour Mango Con Camucamu 125gr x 9"/>
        <s v="Wasska Base Pisco Sour Maracuya 125gr x 9"/>
        <s v="Winter Ole Ole x 60 x 15"/>
        <s v="Winters Ole Ole 225 gr x 50 x 15"/>
        <s v="WINTER'S Paneton 900gr x 6"/>
        <s v="Winter'S Picaras Chocolate 6 x30"/>
        <s v="Yuca Family Pack / Cassava Family Pack 5lb x 6"/>
      </sharedItems>
    </cacheField>
    <cacheField name="Memo/Description" numFmtId="0">
      <sharedItems/>
    </cacheField>
    <cacheField name="Quantity" numFmtId="4">
      <sharedItems containsSemiMixedTypes="0" containsString="0" containsNumber="1" minValue="0.66669999999999996" maxValue="1664"/>
    </cacheField>
    <cacheField name="Rate" numFmtId="4">
      <sharedItems containsSemiMixedTypes="0" containsString="0" containsNumber="1" minValue="4" maxValue="180"/>
    </cacheField>
    <cacheField name="Amount" numFmtId="4">
      <sharedItems containsSemiMixedTypes="0" containsString="0" containsNumber="1" minValue="4" maxValue="10693.2"/>
    </cacheField>
    <cacheField name="Balance" numFmtId="4">
      <sharedItems containsSemiMixedTypes="0" containsString="0" containsNumber="1" minValue="32.5" maxValue="118581.47999999992"/>
    </cacheField>
    <cacheField name="#" numFmtId="0">
      <sharedItems containsSemiMixedTypes="0" containsString="0" containsNumber="1" containsInteger="1" minValue="1" maxValue="10"/>
    </cacheField>
    <cacheField name="Repite producto?" numFmtId="0">
      <sharedItems/>
    </cacheField>
    <cacheField name="#2" numFmtId="0">
      <sharedItems/>
    </cacheField>
    <cacheField name="#3" numFmtId="0">
      <sharedItems containsSemiMixedTypes="0" containsString="0" containsNumber="1" containsInteger="1" minValue="1" maxValue="10"/>
    </cacheField>
    <cacheField name="Repite producto en proveedor?" numFmtId="0">
      <sharedItems/>
    </cacheField>
    <cacheField name="#4" numFmtId="0">
      <sharedItems/>
    </cacheField>
    <cacheField name="#5" numFmtId="0">
      <sharedItems containsSemiMixedTypes="0" containsString="0" containsNumber="1" containsInteger="1" minValue="1" maxValue="7"/>
    </cacheField>
    <cacheField name="Repite precio en producto en proveedor?" numFmtId="0">
      <sharedItems/>
    </cacheField>
    <cacheField name="Final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65">
  <r>
    <x v="0"/>
    <x v="0"/>
    <s v="Bill"/>
    <s v=""/>
    <x v="0"/>
    <s v="Used for product displays at retail stores"/>
    <n v="8"/>
    <n v="5.41"/>
    <n v="43.28"/>
    <n v="43.28"/>
  </r>
  <r>
    <x v="0"/>
    <x v="1"/>
    <s v="Expense"/>
    <s v=""/>
    <x v="0"/>
    <s v="AMAZON MKTPL*N647V 06-03 Amzn.com/bill WA 6953 DEBIT CARD PURCHASE"/>
    <n v="8"/>
    <n v="5.41"/>
    <n v="43.28"/>
    <n v="86.56"/>
  </r>
  <r>
    <x v="1"/>
    <x v="2"/>
    <s v="Bill"/>
    <s v="295"/>
    <x v="1"/>
    <s v="Volt yellow Guarana lata 16fl oz /15"/>
    <n v="15"/>
    <n v="16.022600000000001"/>
    <n v="240.34"/>
    <n v="240.34"/>
  </r>
  <r>
    <x v="2"/>
    <x v="3"/>
    <s v="Bill"/>
    <s v="64308"/>
    <x v="2"/>
    <s v="Belmont Yuyo Marino FROZEN 2.2lb x 8 / 1FP-36"/>
    <n v="1"/>
    <n v="54"/>
    <n v="54"/>
    <n v="54"/>
  </r>
  <r>
    <x v="2"/>
    <x v="3"/>
    <s v="Bill"/>
    <s v="64308"/>
    <x v="3"/>
    <s v="Belmont Chirimoya pulpa 14oz x 20 / 859174003153"/>
    <n v="1"/>
    <n v="48"/>
    <n v="48"/>
    <n v="102"/>
  </r>
  <r>
    <x v="2"/>
    <x v="3"/>
    <s v="Bill"/>
    <s v="64308"/>
    <x v="4"/>
    <s v="BELMONT - Belmont Aji Amarillo entero 1Lb x 18 bolsas FROZEN"/>
    <n v="6"/>
    <n v="45"/>
    <n v="270"/>
    <n v="372"/>
  </r>
  <r>
    <x v="2"/>
    <x v="3"/>
    <s v="Bill"/>
    <s v="64308"/>
    <x v="5"/>
    <s v="BELMONT - Belmont Choclo desgranado 1Lb x 30 bolsas FROZEN / 1FP-08"/>
    <n v="6"/>
    <n v="72.5"/>
    <n v="435"/>
    <n v="807"/>
  </r>
  <r>
    <x v="2"/>
    <x v="3"/>
    <s v="Bill"/>
    <s v="64308"/>
    <x v="6"/>
    <s v="BELMONT - Belmont Aji Limo 14oz x 9 bolsas FROZEN"/>
    <n v="1"/>
    <n v="20.9"/>
    <n v="20.9"/>
    <n v="827.9"/>
  </r>
  <r>
    <x v="2"/>
    <x v="3"/>
    <s v="Bill"/>
    <s v="64308"/>
    <x v="7"/>
    <s v="BELMONT - Belmont Aji Amarillo pasta 8oz x 12 frascos de vidrio / PA-02"/>
    <n v="3"/>
    <n v="23.5"/>
    <n v="70.5"/>
    <n v="898.4"/>
  </r>
  <r>
    <x v="2"/>
    <x v="3"/>
    <s v="Bill"/>
    <s v="64308"/>
    <x v="8"/>
    <s v="BELMONT - Belmont Aji Panca pasta 8oz x 12 frascos de vidrio / PA-08"/>
    <n v="2"/>
    <n v="23.5"/>
    <n v="47"/>
    <n v="945.4"/>
  </r>
  <r>
    <x v="2"/>
    <x v="3"/>
    <s v="Bill"/>
    <s v="64308"/>
    <x v="9"/>
    <s v="TA- PERU -  CONDIMENT PRODUCTS -  AJI NO Siyau-  24 / 500 ml - 00999"/>
    <n v="1"/>
    <n v="50.4"/>
    <n v="50.4"/>
    <n v="995.8"/>
  </r>
  <r>
    <x v="2"/>
    <x v="3"/>
    <s v="Bill"/>
    <s v="64308"/>
    <x v="10"/>
    <s v="TA- PERU -  CONDIMENT PRODUCTS -  MSG -AJINOMOTO-  60 / 250gr - 00995"/>
    <n v="1"/>
    <n v="90"/>
    <n v="90"/>
    <n v="1085.8"/>
  </r>
  <r>
    <x v="2"/>
    <x v="3"/>
    <s v="Bill"/>
    <s v="64308"/>
    <x v="11"/>
    <s v="Chocolate Cuzco con canela y clavo  4 x 12"/>
    <n v="1"/>
    <n v="30"/>
    <n v="30"/>
    <n v="1115.8"/>
  </r>
  <r>
    <x v="2"/>
    <x v="3"/>
    <s v="Bill"/>
    <s v="64308"/>
    <x v="12"/>
    <s v="Chocolate Cuzco regular  4 x 12 / 859174003672 / AB-07"/>
    <n v="1"/>
    <n v="30"/>
    <n v="30"/>
    <n v="1145.8"/>
  </r>
  <r>
    <x v="2"/>
    <x v="3"/>
    <s v="Bill"/>
    <s v="64308"/>
    <x v="13"/>
    <s v="AjiNomoto Bolsa 1Kg x 18 / 7754487118804 / 00803 / AB-11"/>
    <n v="1"/>
    <n v="109"/>
    <n v="109"/>
    <n v="1254.8"/>
  </r>
  <r>
    <x v="2"/>
    <x v="3"/>
    <s v="Bill"/>
    <s v="64308"/>
    <x v="14"/>
    <s v="Mayonesa a la Cena 17.06oz (400gr) x 12 / 7750243053013/ AL-01"/>
    <n v="20"/>
    <n v="39.5"/>
    <n v="790"/>
    <n v="2044.8"/>
  </r>
  <r>
    <x v="2"/>
    <x v="3"/>
    <s v="Bill"/>
    <s v="64308"/>
    <x v="15"/>
    <s v="Tari crema de aji A la Cena17.06oz (400gr) x 12 / 7750243067805 / AL-02"/>
    <n v="10"/>
    <n v="39.5"/>
    <n v="395"/>
    <n v="2439.8000000000002"/>
  </r>
  <r>
    <x v="2"/>
    <x v="3"/>
    <s v="Bill"/>
    <s v="64308"/>
    <x v="16"/>
    <s v="Huancaina A la Cena 17.06oz (400gr) x 12 / 7750243042932  AL-03"/>
    <n v="2"/>
    <n v="39.5"/>
    <n v="79"/>
    <n v="2518.8000000000002"/>
  </r>
  <r>
    <x v="2"/>
    <x v="3"/>
    <s v="Bill"/>
    <s v="64308"/>
    <x v="17"/>
    <s v="Uchucuta A la Cena - crema de rocoto 17.06 (400gr) x 12 / 7750243066181 / AL-04"/>
    <n v="10"/>
    <n v="39.5"/>
    <n v="395"/>
    <n v="2913.8"/>
  </r>
  <r>
    <x v="2"/>
    <x v="3"/>
    <s v="Bill"/>
    <s v="64308"/>
    <x v="18"/>
    <s v="Leche evaporada BONLE  lata 12oz x 24 / 7751271011181 / BO-02"/>
    <n v="5"/>
    <n v="25.5"/>
    <n v="127.5"/>
    <n v="3041.3"/>
  </r>
  <r>
    <x v="2"/>
    <x v="3"/>
    <s v="Bill"/>
    <s v="64308"/>
    <x v="19"/>
    <s v="Leche condensada BONLE lata 14oz x 24 / 7751271029803 / BO-03"/>
    <n v="2"/>
    <n v="25.5"/>
    <n v="51"/>
    <n v="3092.3"/>
  </r>
  <r>
    <x v="2"/>
    <x v="3"/>
    <s v="Bill"/>
    <s v="64308"/>
    <x v="20"/>
    <s v="TA- PERU -  GOLOSINAS - DULCES  -  Cua Cua 18g x 9 x 24 / CH105"/>
    <n v="2"/>
    <n v="63"/>
    <n v="126"/>
    <n v="3218.3"/>
  </r>
  <r>
    <x v="2"/>
    <x v="3"/>
    <s v="Bill"/>
    <s v="64308"/>
    <x v="21"/>
    <s v="TA- PERU -  GOLOSINAS - DULCES  -  Doña Pepa 23g  6 x 36 / CH106"/>
    <n v="2"/>
    <n v="70"/>
    <n v="140"/>
    <n v="3358.3"/>
  </r>
  <r>
    <x v="2"/>
    <x v="3"/>
    <s v="Bill"/>
    <s v="64308"/>
    <x v="22"/>
    <s v="TA- PERU -  GOLOSINAS - DULCES  -  CORONITA - Galleta de Chocolate-  28 / 38gr - CH131"/>
    <n v="1"/>
    <n v="56"/>
    <n v="56"/>
    <n v="3414.3"/>
  </r>
  <r>
    <x v="2"/>
    <x v="3"/>
    <s v="Bill"/>
    <s v="64308"/>
    <x v="23"/>
    <s v="T.A GOLOSINAS Y DULCES -   -  GALLETAS MARGARITA SAYON-  55gr BOLSA x 6 / 8"/>
    <n v="3"/>
    <n v="16"/>
    <n v="48"/>
    <n v="3462.3"/>
  </r>
  <r>
    <x v="2"/>
    <x v="3"/>
    <s v="Bill"/>
    <s v="64308"/>
    <x v="24"/>
    <s v="TA- PERU -  GOLOSINAS - DULCES  -  FIELD - Galletas de Vainilla-  24 / 6x37g - CH113"/>
    <n v="1"/>
    <n v="49"/>
    <n v="49"/>
    <n v="3511.3"/>
  </r>
  <r>
    <x v="2"/>
    <x v="3"/>
    <s v="Bill"/>
    <s v="64308"/>
    <x v="25"/>
    <s v="BELMONT - Belmont Galleta Cream Crackers 258gr x 24 / DA-09"/>
    <n v="1"/>
    <n v="48"/>
    <n v="48"/>
    <n v="3559.3"/>
  </r>
  <r>
    <x v="2"/>
    <x v="3"/>
    <s v="Bill"/>
    <s v="64308"/>
    <x v="26"/>
    <s v="Galleta Municion San Jorge 1.94oz (55gr) x 25 / DA-10"/>
    <n v="1"/>
    <n v="9.5"/>
    <n v="9.5"/>
    <n v="3568.8"/>
  </r>
  <r>
    <x v="2"/>
    <x v="3"/>
    <s v="Bill"/>
    <s v="64308"/>
    <x v="27"/>
    <s v="Mani Confitado Belmont x 25 / 859174003825"/>
    <n v="1"/>
    <n v="29.9"/>
    <n v="29.9"/>
    <n v="3598.7000000000003"/>
  </r>
  <r>
    <x v="2"/>
    <x v="3"/>
    <s v="Bill"/>
    <s v="64308"/>
    <x v="28"/>
    <s v="TA- PERU -  GOLOSINAS - DULCES  -  FIELD - Chocosoda Galletas-  32 / 6x8.25oz - CH122"/>
    <n v="1"/>
    <n v="77"/>
    <n v="77"/>
    <n v="3675.7000000000003"/>
  </r>
  <r>
    <x v="2"/>
    <x v="3"/>
    <s v="Bill"/>
    <s v="64308"/>
    <x v="29"/>
    <s v="Galleta Club Social 6 x 32 / DA-21"/>
    <n v="1"/>
    <n v="55"/>
    <n v="55"/>
    <n v="3730.7000000000003"/>
  </r>
  <r>
    <x v="2"/>
    <x v="3"/>
    <s v="Bill"/>
    <s v="64308"/>
    <x v="30"/>
    <s v="BELMONT - GOLOSINAS Y DULCES -   -  WINTERS OLE OLE 60 x 15 / 7752748008543 / DA-22"/>
    <n v="1"/>
    <n v="40"/>
    <n v="40"/>
    <n v="3770.7000000000003"/>
  </r>
  <r>
    <x v="2"/>
    <x v="3"/>
    <s v="Bill"/>
    <s v="64308"/>
    <x v="31"/>
    <s v="Winter'S Picaras Chocolate"/>
    <n v="1"/>
    <n v="60.8"/>
    <n v="60.8"/>
    <n v="3831.5000000000005"/>
  </r>
  <r>
    <x v="2"/>
    <x v="3"/>
    <s v="Bill"/>
    <s v="64308"/>
    <x v="32"/>
    <s v="D'Onofrio Chocolate Sublime 26 G"/>
    <n v="18"/>
    <n v="12.25"/>
    <n v="220.5"/>
    <n v="4052.0000000000005"/>
  </r>
  <r>
    <x v="2"/>
    <x v="3"/>
    <s v="Bill"/>
    <s v="64308"/>
    <x v="33"/>
    <s v="Belmont - Galletas Morochas 30gr 6x 30 / 7613035803121 / DD-05"/>
    <n v="1"/>
    <n v="58"/>
    <n v="58"/>
    <n v="4110"/>
  </r>
  <r>
    <x v="2"/>
    <x v="3"/>
    <s v="Bill"/>
    <s v="64308"/>
    <x v="34"/>
    <s v="TA- PERU -  GOLOSINAS - DULCES  -  FIELD - Galletas de Soda-  36 / 6x34g - CH112"/>
    <n v="2"/>
    <n v="50.4"/>
    <n v="100.8"/>
    <n v="4210.8"/>
  </r>
  <r>
    <x v="2"/>
    <x v="3"/>
    <s v="Bill"/>
    <s v="64308"/>
    <x v="35"/>
    <s v="BELMONT - PERU -  GOLOSINAS - DULCES  -  CASINO - Galleta Menta-  8 / 6x51g - CH117"/>
    <n v="1"/>
    <n v="16"/>
    <n v="16"/>
    <n v="4226.8"/>
  </r>
  <r>
    <x v="2"/>
    <x v="3"/>
    <s v="Bill"/>
    <s v="64308"/>
    <x v="36"/>
    <s v="BELMONT - PERU -  GOLOSINAS - DULCES  -  CASINO - Galleta Fresa-  8 / 6x51g - CH116"/>
    <n v="1"/>
    <n v="16"/>
    <n v="16"/>
    <n v="4242.8"/>
  </r>
  <r>
    <x v="2"/>
    <x v="3"/>
    <s v="Bill"/>
    <s v="64308"/>
    <x v="37"/>
    <s v="BELMONT - PERU -  GOLOSINAS - DULCES  -  CASINO - Galleta Chocolate-  8 / 6x51g - CH118"/>
    <n v="1"/>
    <n v="16"/>
    <n v="16"/>
    <n v="4258.8"/>
  </r>
  <r>
    <x v="2"/>
    <x v="3"/>
    <s v="Bill"/>
    <s v="64308"/>
    <x v="38"/>
    <s v="BELMONT - PERU -  GOLOSINAS - DULCES  -  CASINO - Galleta Lucuma-  8 / 6x51g - CH123"/>
    <n v="1"/>
    <n v="16"/>
    <n v="16"/>
    <n v="4274.8"/>
  </r>
  <r>
    <x v="2"/>
    <x v="3"/>
    <s v="Bill"/>
    <s v="64308"/>
    <x v="39"/>
    <s v="BELMONT - Chicha Morada Gloria 1Lt x 12 Tetrapack / 7751271009362 /GL-04"/>
    <n v="1"/>
    <n v="15.9"/>
    <n v="15.9"/>
    <n v="4290.7"/>
  </r>
  <r>
    <x v="2"/>
    <x v="3"/>
    <s v="Bill"/>
    <s v="64308"/>
    <x v="40"/>
    <s v="BELMONT - Leche evaporada Gloria 13oz Lata x 24 / 7751271005616 / GL-21"/>
    <n v="9"/>
    <n v="29.9"/>
    <n v="269.10000000000002"/>
    <n v="4559.8"/>
  </r>
  <r>
    <x v="2"/>
    <x v="3"/>
    <s v="Bill"/>
    <s v="64308"/>
    <x v="41"/>
    <s v="BELMONT - Chicha Morada Belmont 16oz x 12 / 8591741003115 / JB-01"/>
    <n v="1"/>
    <n v="12.5"/>
    <n v="12.5"/>
    <n v="4572.3"/>
  </r>
  <r>
    <x v="2"/>
    <x v="3"/>
    <s v="Bill"/>
    <s v="64308"/>
    <x v="42"/>
    <s v="BELMONT - Belmont jugo de Maracuya 16oz x 12 / 859174003139 /JB-03"/>
    <n v="1"/>
    <n v="12.5"/>
    <n v="12.5"/>
    <n v="4584.8"/>
  </r>
  <r>
    <x v="2"/>
    <x v="3"/>
    <s v="Bill"/>
    <s v="64308"/>
    <x v="43"/>
    <s v="BELMONT - Belmont Emoliente bebida 16oz x 12 / 859174003313 / JB-04"/>
    <n v="1"/>
    <n v="12.5"/>
    <n v="12.5"/>
    <n v="4597.3"/>
  </r>
  <r>
    <x v="2"/>
    <x v="3"/>
    <s v="Bill"/>
    <s v="64308"/>
    <x v="44"/>
    <s v="BELMONT - Belmont Chicha Morada 1Lt x 6 / 859174003085 / JB-05"/>
    <n v="2"/>
    <n v="12"/>
    <n v="24"/>
    <n v="4621.3"/>
  </r>
  <r>
    <x v="2"/>
    <x v="3"/>
    <s v="Bill"/>
    <s v="64308"/>
    <x v="45"/>
    <s v="BELMONT - Belmont Mango nectar 1Lt x 6 / 859174003092 / JB-06"/>
    <n v="1"/>
    <n v="12"/>
    <n v="12"/>
    <n v="4633.3"/>
  </r>
  <r>
    <x v="2"/>
    <x v="3"/>
    <s v="Bill"/>
    <s v="64308"/>
    <x v="46"/>
    <s v="BELMONT - Belmont Concentrado Chicha Morada 64oz x 6 / 859174003887 / JB-09"/>
    <n v="1"/>
    <n v="35.5"/>
    <n v="35.5"/>
    <n v="4668.8"/>
  </r>
  <r>
    <x v="2"/>
    <x v="3"/>
    <s v="Bill"/>
    <s v="64308"/>
    <x v="47"/>
    <s v="BELMONT - Belmont Aceituna Botija 20oz x 12"/>
    <n v="2"/>
    <n v="39"/>
    <n v="78"/>
    <n v="4746.8"/>
  </r>
  <r>
    <x v="2"/>
    <x v="3"/>
    <s v="Bill"/>
    <s v="64308"/>
    <x v="48"/>
    <s v="BELMONT - Belmont Culantro pasta 8oz x 12 / 859174003818 / PA-25"/>
    <n v="1"/>
    <n v="23.5"/>
    <n v="23.5"/>
    <n v="4770.3"/>
  </r>
  <r>
    <x v="2"/>
    <x v="3"/>
    <s v="Bill"/>
    <s v="64308"/>
    <x v="49"/>
    <s v="BELMONT -Belmont Aderezo de Anticucho 16oz x 12 / 859174003993 / PA-33"/>
    <n v="1"/>
    <n v="41"/>
    <n v="41"/>
    <n v="4811.3"/>
  </r>
  <r>
    <x v="2"/>
    <x v="3"/>
    <s v="Bill"/>
    <s v="64308"/>
    <x v="50"/>
    <s v="PERU CHEF- SALSAS Y CREMAS -   -  PROVENZAL AJI DE GALLINA 100 GR X 10)-"/>
    <n v="1"/>
    <n v="19.690000000000001"/>
    <n v="19.690000000000001"/>
    <n v="4830.99"/>
  </r>
  <r>
    <x v="2"/>
    <x v="3"/>
    <s v="Bill"/>
    <s v="64308"/>
    <x v="51"/>
    <s v="PERU CHEF- SALSAS Y CREMAS -   -  PROVENZAL ARROZ CON POLLO/SECO/AGUADITO 58 GR X 10)-"/>
    <n v="1"/>
    <n v="23.63"/>
    <n v="23.63"/>
    <n v="4854.62"/>
  </r>
  <r>
    <x v="2"/>
    <x v="3"/>
    <s v="Bill"/>
    <s v="64308"/>
    <x v="52"/>
    <s v="PERU CHEF- SALSAS Y CREMAS -   -  PROVENZAL CARAPULCRA 150 GR X 6)-"/>
    <n v="1"/>
    <n v="12.5"/>
    <n v="12.5"/>
    <n v="4867.12"/>
  </r>
  <r>
    <x v="2"/>
    <x v="3"/>
    <s v="Bill"/>
    <s v="64308"/>
    <x v="53"/>
    <s v="PERU CHEF- SALSAS Y CREMAS -   -  PROVENZAL CAU CAU 60 GR X 12)-"/>
    <n v="1"/>
    <n v="23.63"/>
    <n v="23.63"/>
    <n v="4890.75"/>
  </r>
  <r>
    <x v="2"/>
    <x v="3"/>
    <s v="Bill"/>
    <s v="64308"/>
    <x v="54"/>
    <s v="PERU CHEF- SALSAS Y CREMAS -   -  PROVENZAL CEBICHE BASE 30 GR X 20)-"/>
    <n v="1"/>
    <n v="42.08"/>
    <n v="42.08"/>
    <n v="4932.83"/>
  </r>
  <r>
    <x v="2"/>
    <x v="3"/>
    <s v="Bill"/>
    <s v="64308"/>
    <x v="55"/>
    <s v="PERU CHEF- SALSAS Y CREMAS -   -  PROVENZAL HUANCAINA 64 GR X 12)-"/>
    <n v="1"/>
    <n v="23.63"/>
    <n v="23.63"/>
    <n v="4956.46"/>
  </r>
  <r>
    <x v="2"/>
    <x v="3"/>
    <s v="Bill"/>
    <s v="64308"/>
    <x v="56"/>
    <s v="PERU CHEF- SALSAS Y CREMAS -   -  PROVENZAL OCOPA 70 GR X 12)-"/>
    <n v="1"/>
    <n v="23.63"/>
    <n v="23.63"/>
    <n v="4980.09"/>
  </r>
  <r>
    <x v="2"/>
    <x v="3"/>
    <s v="Bill"/>
    <s v="64308"/>
    <x v="57"/>
    <s v="Provenzal Olluquito 78 Gr X 6"/>
    <n v="1"/>
    <n v="17.5"/>
    <n v="17.5"/>
    <n v="4997.59"/>
  </r>
  <r>
    <x v="2"/>
    <x v="3"/>
    <s v="Bill"/>
    <s v="64308"/>
    <x v="58"/>
    <s v="PERU CHEF- SALSAS Y CREMAS -   -  PROVENZAL PICARONES CON MIEL 165 GR X 12"/>
    <n v="1"/>
    <n v="34.4"/>
    <n v="34.4"/>
    <n v="5031.99"/>
  </r>
  <r>
    <x v="2"/>
    <x v="3"/>
    <s v="Bill"/>
    <s v="64308"/>
    <x v="59"/>
    <s v="PERU CHEF- SALSAS Y CREMAS -   -  PROVENZAL SOPA A LA MINUTA 78 G X 10-"/>
    <n v="1"/>
    <n v="19.7"/>
    <n v="19.7"/>
    <n v="5051.6899999999996"/>
  </r>
  <r>
    <x v="2"/>
    <x v="3"/>
    <s v="Bill"/>
    <s v="64308"/>
    <x v="60"/>
    <s v="BELMONT - Chifles Piuranos 250gr x 10 bolsas"/>
    <n v="2"/>
    <n v="36.5"/>
    <n v="73"/>
    <n v="5124.6899999999996"/>
  </r>
  <r>
    <x v="2"/>
    <x v="3"/>
    <s v="Bill"/>
    <s v="64308"/>
    <x v="61"/>
    <s v="Chifles Piuranos 125gr x 20 bolsas"/>
    <n v="2"/>
    <n v="37.5"/>
    <n v="75"/>
    <n v="5199.6899999999996"/>
  </r>
  <r>
    <x v="2"/>
    <x v="3"/>
    <s v="Bill"/>
    <s v="64308"/>
    <x v="62"/>
    <s v="BELMONT - Belmont Maiz Cancha 15oz x 12 / 859174003481"/>
    <n v="2"/>
    <n v="22"/>
    <n v="44"/>
    <n v="5243.69"/>
  </r>
  <r>
    <x v="2"/>
    <x v="3"/>
    <s v="Bill"/>
    <s v="64308"/>
    <x v="63"/>
    <s v="BELMONT - Belmont Maiz Chulpe 15oz x 12 / 859174003498"/>
    <n v="4"/>
    <n v="29"/>
    <n v="116"/>
    <n v="5359.69"/>
  </r>
  <r>
    <x v="2"/>
    <x v="3"/>
    <s v="Bill"/>
    <s v="64308"/>
    <x v="64"/>
    <s v="BELMONT - Belmont Aji Amarillo en Salmuera 20oz x 12 frascos de vidrio / pa-28"/>
    <n v="1"/>
    <n v="36.75"/>
    <n v="36.75"/>
    <n v="5396.44"/>
  </r>
  <r>
    <x v="2"/>
    <x v="3"/>
    <s v="Bill"/>
    <s v="64308"/>
    <x v="12"/>
    <s v="Chocolate Cuzco regular  4 x 12 / 859174003672 / AB-07"/>
    <n v="-1"/>
    <n v="34"/>
    <n v="-34"/>
    <n v="5362.44"/>
  </r>
  <r>
    <x v="2"/>
    <x v="3"/>
    <s v="Bill"/>
    <s v="64308"/>
    <x v="65"/>
    <s v="BELMONT - Belmont Aceituna Bidon 104oz x 6 / OL-02"/>
    <n v="1"/>
    <n v="106"/>
    <n v="106"/>
    <n v="5468.44"/>
  </r>
  <r>
    <x v="2"/>
    <x v="3"/>
    <s v="Bill"/>
    <s v="64308"/>
    <x v="12"/>
    <s v="Chocolate Cuzco regular  4 x 12 / 859174003672 / AB-07"/>
    <n v="1"/>
    <n v="4"/>
    <n v="4"/>
    <n v="5472.44"/>
  </r>
  <r>
    <x v="2"/>
    <x v="3"/>
    <s v="Bill"/>
    <s v="64308"/>
    <x v="12"/>
    <s v="Chocolate Cuzco regular  4 x 12 / 859174003672 / AB-07"/>
    <n v="-1"/>
    <n v="4"/>
    <n v="-4"/>
    <n v="5468.44"/>
  </r>
  <r>
    <x v="2"/>
    <x v="4"/>
    <s v="Bill"/>
    <s v="65207"/>
    <x v="2"/>
    <s v="Belmont Yuyo Marino FROZEN 2.2lb x 8 / 1FP-36"/>
    <n v="4"/>
    <n v="59.9"/>
    <n v="239.6"/>
    <n v="5708.04"/>
  </r>
  <r>
    <x v="2"/>
    <x v="4"/>
    <s v="Bill"/>
    <s v="65207"/>
    <x v="66"/>
    <s v="Belmont Pulpa de Lucuma 14oz x 20 bolsas"/>
    <n v="4"/>
    <n v="62.9"/>
    <n v="251.6"/>
    <n v="5959.64"/>
  </r>
  <r>
    <x v="2"/>
    <x v="4"/>
    <s v="Bill"/>
    <s v="65207"/>
    <x v="3"/>
    <s v="Belmont Chirimoya pulpa 14oz x 20 / 859174003153"/>
    <n v="3"/>
    <n v="52.9"/>
    <n v="158.69999999999999"/>
    <n v="6118.34"/>
  </r>
  <r>
    <x v="2"/>
    <x v="4"/>
    <s v="Bill"/>
    <s v="65207"/>
    <x v="6"/>
    <s v="BELMONT - Belmont Aji Limo 14oz x 9 bolsas FROZEN"/>
    <n v="6"/>
    <n v="20.9"/>
    <n v="125.4"/>
    <n v="6243.74"/>
  </r>
  <r>
    <x v="2"/>
    <x v="4"/>
    <s v="Bill"/>
    <s v="65207"/>
    <x v="67"/>
    <s v="Belmont Rocoto entero FROZEN 1Lb x 18 bolsas"/>
    <n v="6"/>
    <n v="51"/>
    <n v="306"/>
    <n v="6549.74"/>
  </r>
  <r>
    <x v="2"/>
    <x v="4"/>
    <s v="Bill"/>
    <s v="65207"/>
    <x v="65"/>
    <s v="BELMONT - Belmont Aceituna Bidon 104oz x 6 / OL-02"/>
    <n v="4"/>
    <n v="106"/>
    <n v="424"/>
    <n v="6973.74"/>
  </r>
  <r>
    <x v="2"/>
    <x v="4"/>
    <s v="Bill"/>
    <s v="65207"/>
    <x v="14"/>
    <s v="Mayonesa a la Cena 17.06oz (400gr) x 12 / 7750243053013/ AL-01"/>
    <n v="10"/>
    <n v="43.5"/>
    <n v="435"/>
    <n v="7408.74"/>
  </r>
  <r>
    <x v="2"/>
    <x v="4"/>
    <s v="Bill"/>
    <s v="65207"/>
    <x v="15"/>
    <s v="Tari crema de aji A la Cena17.06oz (400gr) x 12 / 7750243067805 / AL-02"/>
    <n v="10"/>
    <n v="43.5"/>
    <n v="435"/>
    <n v="7843.74"/>
  </r>
  <r>
    <x v="2"/>
    <x v="4"/>
    <s v="Bill"/>
    <s v="65207"/>
    <x v="16"/>
    <s v="Huancaina A la Cena 17.06oz (400gr) x 12 / 7750243042932  AL-03"/>
    <n v="18"/>
    <n v="43.5"/>
    <n v="783"/>
    <n v="8626.74"/>
  </r>
  <r>
    <x v="2"/>
    <x v="4"/>
    <s v="Bill"/>
    <s v="65207"/>
    <x v="17"/>
    <s v="Uchucuta A la Cena - crema de rocoto 17.06 (400gr) x 12 / 7750243066181 / AL-04"/>
    <n v="12"/>
    <n v="43.5"/>
    <n v="522"/>
    <n v="9148.74"/>
  </r>
  <r>
    <x v="2"/>
    <x v="4"/>
    <s v="Bill"/>
    <s v="65207"/>
    <x v="31"/>
    <s v="Winter'S Picaras Chocolate"/>
    <n v="10"/>
    <n v="66.900000000000006"/>
    <n v="669"/>
    <n v="9817.74"/>
  </r>
  <r>
    <x v="2"/>
    <x v="4"/>
    <s v="Bill"/>
    <s v="65207"/>
    <x v="22"/>
    <s v="TA- PERU -  GOLOSINAS - DULCES  -  CORONITA - Galleta de Chocolate-  28 / 38gr - CH131"/>
    <n v="10"/>
    <n v="61.6"/>
    <n v="616"/>
    <n v="10433.74"/>
  </r>
  <r>
    <x v="2"/>
    <x v="4"/>
    <s v="Bill"/>
    <s v="65207"/>
    <x v="37"/>
    <s v="BELMONT - PERU -  GOLOSINAS - DULCES  -  CASINO - Galleta Chocolate-  8 / 6x51g - CH118"/>
    <n v="10"/>
    <n v="17.600000000000001"/>
    <n v="176"/>
    <n v="10609.74"/>
  </r>
  <r>
    <x v="2"/>
    <x v="4"/>
    <s v="Bill"/>
    <s v="65207"/>
    <x v="35"/>
    <s v="BELMONT - PERU -  GOLOSINAS - DULCES  -  CASINO - Galleta Menta-  8 / 6x51g - CH117"/>
    <n v="10"/>
    <n v="17.600000000000001"/>
    <n v="176"/>
    <n v="10785.74"/>
  </r>
  <r>
    <x v="2"/>
    <x v="4"/>
    <s v="Bill"/>
    <s v="65207"/>
    <x v="36"/>
    <s v="BELMONT - PERU -  GOLOSINAS - DULCES  -  CASINO - Galleta Fresa-  8 / 6x51g - CH116"/>
    <n v="10"/>
    <n v="17.600000000000001"/>
    <n v="176"/>
    <n v="10961.74"/>
  </r>
  <r>
    <x v="2"/>
    <x v="4"/>
    <s v="Bill"/>
    <s v="65207"/>
    <x v="40"/>
    <s v="BELMONT - Leche evaporada Gloria 13oz Lata x 24 / 7751271005616 / GL-21"/>
    <n v="10"/>
    <n v="29.9"/>
    <n v="299"/>
    <n v="11260.74"/>
  </r>
  <r>
    <x v="2"/>
    <x v="4"/>
    <s v="Bill"/>
    <s v="65207"/>
    <x v="68"/>
    <s v="Belmont Chicha de Jora 1Lt x 12 botella de vidrio"/>
    <n v="1"/>
    <n v="35.9"/>
    <n v="35.9"/>
    <n v="11296.64"/>
  </r>
  <r>
    <x v="2"/>
    <x v="4"/>
    <s v="Bill"/>
    <s v="65207"/>
    <x v="69"/>
    <s v="Belmont Maiz Morado x 15oz x 12 bolsas"/>
    <n v="20"/>
    <n v="27.9"/>
    <n v="558"/>
    <n v="11854.64"/>
  </r>
  <r>
    <x v="2"/>
    <x v="5"/>
    <s v="Bill"/>
    <s v="66496"/>
    <x v="4"/>
    <s v="BELMONT - Belmont Aji Amarillo entero 1Lb x 18 bolsas FROZEN"/>
    <n v="1"/>
    <n v="45"/>
    <n v="45"/>
    <n v="11899.64"/>
  </r>
  <r>
    <x v="2"/>
    <x v="5"/>
    <s v="Bill"/>
    <s v="66496"/>
    <x v="5"/>
    <s v="BELMONT - Belmont Choclo desgranado 1Lb x 30 bolsas FROZEN / 1FP-08"/>
    <n v="2"/>
    <n v="72.5"/>
    <n v="145"/>
    <n v="12044.64"/>
  </r>
  <r>
    <x v="2"/>
    <x v="5"/>
    <s v="Bill"/>
    <s v="66496"/>
    <x v="70"/>
    <s v="Belmont Choclo Desgranado 3Lb x 10 bolsas / 1FP-09"/>
    <n v="2"/>
    <n v="72.5"/>
    <n v="145"/>
    <n v="12189.64"/>
  </r>
  <r>
    <x v="2"/>
    <x v="5"/>
    <s v="Bill"/>
    <s v="66496"/>
    <x v="71"/>
    <s v="Belmont Pulpa de Maracuya 14oz x 20 bolsas / 1FP-43"/>
    <n v="5"/>
    <n v="48.5"/>
    <n v="242.5"/>
    <n v="12432.14"/>
  </r>
  <r>
    <x v="2"/>
    <x v="5"/>
    <s v="Bill"/>
    <s v="66496"/>
    <x v="72"/>
    <s v="Belmont Rocoto Desvenado limpio FROZEN 2lb x 10 bolsas / 1FP-14"/>
    <n v="2"/>
    <n v="66.5"/>
    <n v="133"/>
    <n v="12565.14"/>
  </r>
  <r>
    <x v="2"/>
    <x v="5"/>
    <s v="Bill"/>
    <s v="66496"/>
    <x v="2"/>
    <s v="Belmont Yuyo Marino FROZEN 2.2lb x 8 / 1FP-36"/>
    <n v="4"/>
    <n v="59.9"/>
    <n v="239.6"/>
    <n v="12804.74"/>
  </r>
  <r>
    <x v="2"/>
    <x v="5"/>
    <s v="Bill"/>
    <s v="66496"/>
    <x v="73"/>
    <s v="Belmont Aji Panca pasta Bidon 7Lb / PA-12"/>
    <n v="6"/>
    <n v="20.166599999999999"/>
    <n v="121"/>
    <n v="12925.74"/>
  </r>
  <r>
    <x v="2"/>
    <x v="5"/>
    <s v="Bill"/>
    <s v="66496"/>
    <x v="14"/>
    <s v="Mayonesa a la Cena 17.06oz (400gr) x 12 / 7750243053013/ AL-01"/>
    <n v="8"/>
    <n v="43.5"/>
    <n v="348"/>
    <n v="13273.74"/>
  </r>
  <r>
    <x v="2"/>
    <x v="5"/>
    <s v="Bill"/>
    <s v="66496"/>
    <x v="15"/>
    <s v="Tari crema de aji A la Cena17.06oz (400gr) x 12 / 7750243067805 / AL-02"/>
    <n v="5"/>
    <n v="43.5"/>
    <n v="217.5"/>
    <n v="13491.24"/>
  </r>
  <r>
    <x v="2"/>
    <x v="5"/>
    <s v="Bill"/>
    <s v="66496"/>
    <x v="17"/>
    <s v="Uchucuta A la Cena - crema de rocoto 17.06 (400gr) x 12 / 7750243066181 / AL-04"/>
    <n v="5"/>
    <n v="43.5"/>
    <n v="217.5"/>
    <n v="13708.74"/>
  </r>
  <r>
    <x v="2"/>
    <x v="5"/>
    <s v="Bill"/>
    <s v="66496"/>
    <x v="28"/>
    <s v="TA- PERU -  GOLOSINAS - DULCES  -  FIELD - Chocosoda Galletas-  32 / 6x8.25oz - CH122"/>
    <n v="6"/>
    <n v="84.9"/>
    <n v="509.4"/>
    <n v="14218.14"/>
  </r>
  <r>
    <x v="2"/>
    <x v="5"/>
    <s v="Bill"/>
    <s v="66496"/>
    <x v="29"/>
    <s v="Galleta Club Social 6 x 32 / DA-21"/>
    <n v="1"/>
    <n v="60.5"/>
    <n v="60.5"/>
    <n v="14278.64"/>
  </r>
  <r>
    <x v="2"/>
    <x v="5"/>
    <s v="Bill"/>
    <s v="66496"/>
    <x v="30"/>
    <s v="BELMONT - GOLOSINAS Y DULCES -   -  WINTERS OLE OLE 60 x 15 / 7752748008543 / DA-22"/>
    <n v="6"/>
    <n v="44"/>
    <n v="264"/>
    <n v="14542.64"/>
  </r>
  <r>
    <x v="2"/>
    <x v="6"/>
    <s v="Bill"/>
    <s v="68755"/>
    <x v="71"/>
    <s v="Belmont Pulpa de Maracuya 14oz x 20 bolsas / 1FP-43"/>
    <n v="12"/>
    <n v="48.5"/>
    <n v="582"/>
    <n v="15124.64"/>
  </r>
  <r>
    <x v="2"/>
    <x v="6"/>
    <s v="Bill"/>
    <s v="68755"/>
    <x v="40"/>
    <s v="BELMONT - Leche evaporada Gloria 13oz Lata x 24 / 7751271005616 / GL-21"/>
    <n v="48"/>
    <n v="29.9"/>
    <n v="1435.2"/>
    <n v="16559.84"/>
  </r>
  <r>
    <x v="2"/>
    <x v="6"/>
    <s v="Bill"/>
    <s v="68755"/>
    <x v="41"/>
    <s v="BELMONT - Chicha Morada Belmont 16oz x 12 / 8591741003115 / JB-01"/>
    <n v="10"/>
    <n v="12.5"/>
    <n v="125"/>
    <n v="16684.84"/>
  </r>
  <r>
    <x v="2"/>
    <x v="6"/>
    <s v="Bill"/>
    <s v="68755"/>
    <x v="74"/>
    <s v="Belmont Mango Nectar 12 / 16 oz"/>
    <n v="5"/>
    <n v="12.5"/>
    <n v="62.5"/>
    <n v="16747.34"/>
  </r>
  <r>
    <x v="2"/>
    <x v="6"/>
    <s v="Bill"/>
    <s v="68755"/>
    <x v="42"/>
    <s v="BELMONT - Belmont jugo de Maracuya 16oz x 12 / 859174003139 /JB-03"/>
    <n v="10"/>
    <n v="12.5"/>
    <n v="125"/>
    <n v="16872.34"/>
  </r>
  <r>
    <x v="2"/>
    <x v="6"/>
    <s v="Bill"/>
    <s v="68755"/>
    <x v="44"/>
    <s v="BELMONT - Belmont Chicha Morada 1Lt x 6 / 859174003085 / JB-05"/>
    <n v="40"/>
    <n v="12"/>
    <n v="480"/>
    <n v="17352.34"/>
  </r>
  <r>
    <x v="2"/>
    <x v="6"/>
    <s v="Bill"/>
    <s v="68755"/>
    <x v="75"/>
    <s v="BELMONT - Belmont jugo de Maracuya 1Lt x 6 / 859174003108 / JB-07"/>
    <n v="20"/>
    <n v="12"/>
    <n v="240"/>
    <n v="17592.34"/>
  </r>
  <r>
    <x v="2"/>
    <x v="6"/>
    <s v="Bill"/>
    <s v="68755"/>
    <x v="45"/>
    <s v="BELMONT - Belmont Mango nectar 1Lt x 6 / 859174003092 / JB-06"/>
    <n v="10"/>
    <n v="12"/>
    <n v="120"/>
    <n v="17712.34"/>
  </r>
  <r>
    <x v="2"/>
    <x v="6"/>
    <s v="Bill"/>
    <s v="68755"/>
    <x v="76"/>
    <s v="Belmont Harina de Camote 15oz x 12"/>
    <n v="2"/>
    <n v="22"/>
    <n v="44"/>
    <n v="17756.34"/>
  </r>
  <r>
    <x v="2"/>
    <x v="6"/>
    <s v="Bill"/>
    <s v="68755"/>
    <x v="77"/>
    <s v="Chocman 30G"/>
    <n v="1"/>
    <n v="21.5"/>
    <n v="21.5"/>
    <n v="17777.84"/>
  </r>
  <r>
    <x v="2"/>
    <x v="6"/>
    <s v="Bill"/>
    <s v="68755"/>
    <x v="35"/>
    <s v="BELMONT - PERU -  GOLOSINAS - DULCES  -  CASINO - Galleta Menta-  8 / 6x51g - CH117"/>
    <n v="1"/>
    <n v="17.600000000000001"/>
    <n v="17.600000000000001"/>
    <n v="17795.439999999999"/>
  </r>
  <r>
    <x v="2"/>
    <x v="7"/>
    <s v="Bill"/>
    <s v="72533"/>
    <x v="78"/>
    <s v="Belmont Aji Amarillo desvenado FROZEN  2L x 8 / 1FP-02"/>
    <n v="5"/>
    <n v="56"/>
    <n v="280"/>
    <n v="18075.439999999999"/>
  </r>
  <r>
    <x v="2"/>
    <x v="7"/>
    <s v="Bill"/>
    <s v="72533"/>
    <x v="79"/>
    <s v="Belmont Aji Amarillo desvenado FROZEN  12oz  x 10 / 1FP-44"/>
    <n v="3"/>
    <n v="30.9"/>
    <n v="92.7"/>
    <n v="18168.14"/>
  </r>
  <r>
    <x v="2"/>
    <x v="7"/>
    <s v="Bill"/>
    <s v="72533"/>
    <x v="5"/>
    <s v="BELMONT - Belmont Choclo desgranado 1Lb x 30 bolsas FROZEN / 1FP-08"/>
    <n v="1"/>
    <n v="72.5"/>
    <n v="72.5"/>
    <n v="18240.64"/>
  </r>
  <r>
    <x v="2"/>
    <x v="7"/>
    <s v="Bill"/>
    <s v="72533"/>
    <x v="70"/>
    <s v="Belmont Choclo Desgranado 3Lb x 10 bolsas / 1FP-09"/>
    <n v="1"/>
    <n v="72.5"/>
    <n v="72.5"/>
    <n v="18313.14"/>
  </r>
  <r>
    <x v="2"/>
    <x v="7"/>
    <s v="Bill"/>
    <s v="72533"/>
    <x v="71"/>
    <s v="Belmont Pulpa de Maracuya 14oz x 20 bolsas / 1FP-43"/>
    <n v="10"/>
    <n v="48.5"/>
    <n v="485"/>
    <n v="18798.14"/>
  </r>
  <r>
    <x v="2"/>
    <x v="7"/>
    <s v="Bill"/>
    <s v="72533"/>
    <x v="80"/>
    <s v="Belmont Maracuya con pepas FROZEN 1Kg x 16 / 1FP-38"/>
    <n v="3"/>
    <n v="79.5"/>
    <n v="238.5"/>
    <n v="19036.64"/>
  </r>
  <r>
    <x v="2"/>
    <x v="7"/>
    <s v="Bill"/>
    <s v="72533"/>
    <x v="2"/>
    <s v="Belmont Yuyo Marino FROZEN 2.2lb x 8 / 1FP-36"/>
    <n v="1"/>
    <n v="59.9"/>
    <n v="59.9"/>
    <n v="19096.54"/>
  </r>
  <r>
    <x v="2"/>
    <x v="7"/>
    <s v="Bill"/>
    <s v="72533"/>
    <x v="44"/>
    <s v="BELMONT - Belmont Chicha Morada 1Lt x 6 / 859174003085 / JB-05"/>
    <n v="25"/>
    <n v="12"/>
    <n v="300"/>
    <n v="19396.54"/>
  </r>
  <r>
    <x v="2"/>
    <x v="7"/>
    <s v="Bill"/>
    <s v="72533"/>
    <x v="75"/>
    <s v="BELMONT - Belmont jugo de Maracuya 1Lt x 6 / 859174003108 / JB-07"/>
    <n v="25"/>
    <n v="12"/>
    <n v="300"/>
    <n v="19696.54"/>
  </r>
  <r>
    <x v="2"/>
    <x v="7"/>
    <s v="Bill"/>
    <s v="72533"/>
    <x v="41"/>
    <s v="BELMONT - Chicha Morada Belmont 16oz x 12 / 8591741003115 / JB-01"/>
    <n v="17"/>
    <n v="12.5"/>
    <n v="212.5"/>
    <n v="19909.04"/>
  </r>
  <r>
    <x v="2"/>
    <x v="7"/>
    <s v="Bill"/>
    <s v="72533"/>
    <x v="42"/>
    <s v="BELMONT - Belmont jugo de Maracuya 16oz x 12 / 859174003139 /JB-03"/>
    <n v="17"/>
    <n v="12.5"/>
    <n v="212.5"/>
    <n v="20121.54"/>
  </r>
  <r>
    <x v="2"/>
    <x v="7"/>
    <s v="Bill"/>
    <s v="72533"/>
    <x v="43"/>
    <s v="BELMONT - Belmont Emoliente bebida 16oz x 12 / 859174003313 / JB-04"/>
    <n v="5"/>
    <n v="12.5"/>
    <n v="62.5"/>
    <n v="20184.04"/>
  </r>
  <r>
    <x v="2"/>
    <x v="7"/>
    <s v="Bill"/>
    <s v="72533"/>
    <x v="81"/>
    <s v="Belmont Aji Amarillo pasta 16oz x 12 frasco de vidrio / PA-03 / 859174003030"/>
    <n v="1"/>
    <n v="44"/>
    <n v="44"/>
    <n v="20228.04"/>
  </r>
  <r>
    <x v="2"/>
    <x v="7"/>
    <s v="Bill"/>
    <s v="72533"/>
    <x v="82"/>
    <s v="Belmont Aji Panca pasta 16Oz x 12  frasco de vidrio / PA-09 / 859174003047"/>
    <n v="1"/>
    <n v="44"/>
    <n v="44"/>
    <n v="20272.04"/>
  </r>
  <r>
    <x v="2"/>
    <x v="7"/>
    <s v="Bill"/>
    <s v="72533"/>
    <x v="49"/>
    <s v="BELMONT -Belmont Aderezo de Anticucho 16oz x 12 / 859174003993 / PA-33"/>
    <n v="2"/>
    <n v="45"/>
    <n v="90"/>
    <n v="20362.04"/>
  </r>
  <r>
    <x v="2"/>
    <x v="7"/>
    <s v="Bill"/>
    <s v="72533"/>
    <x v="47"/>
    <s v="BELMONT - Belmont Aceituna Botija 20oz x 12 / OL-01 / 859174003863"/>
    <n v="2"/>
    <n v="39"/>
    <n v="78"/>
    <n v="20440.04"/>
  </r>
  <r>
    <x v="2"/>
    <x v="7"/>
    <s v="Bill"/>
    <s v="72533"/>
    <x v="83"/>
    <s v="Belmont Rocoto en salmuera frasco de vidrio 20oz x 12 / PA-30 / 859174003955"/>
    <n v="2"/>
    <n v="39.9"/>
    <n v="79.8"/>
    <n v="20519.84"/>
  </r>
  <r>
    <x v="2"/>
    <x v="7"/>
    <s v="Bill"/>
    <s v="72533"/>
    <x v="84"/>
    <s v="Belmont Habas Secas Peladas 15oz x 12 / SE-06 / 859174003436"/>
    <n v="1"/>
    <n v="25"/>
    <n v="25"/>
    <n v="20544.84"/>
  </r>
  <r>
    <x v="2"/>
    <x v="7"/>
    <s v="Bill"/>
    <s v="72533"/>
    <x v="85"/>
    <s v="Belmont Pallares 15oz x 14 / SE-15 / 859174003535"/>
    <n v="1"/>
    <n v="29.9"/>
    <n v="29.9"/>
    <n v="20574.740000000002"/>
  </r>
  <r>
    <x v="2"/>
    <x v="7"/>
    <s v="Bill"/>
    <s v="72533"/>
    <x v="50"/>
    <s v="PERU CHEF- SALSAS Y CREMAS -   -  PROVENZAL AJI DE GALLINA 100 GR X 10) / PR-01"/>
    <n v="2"/>
    <n v="21.9"/>
    <n v="43.8"/>
    <n v="20618.54"/>
  </r>
  <r>
    <x v="2"/>
    <x v="7"/>
    <s v="Bill"/>
    <s v="72533"/>
    <x v="51"/>
    <s v="PERU CHEF- SALSAS Y CREMAS -   -  PROVENZAL ARROZ CON POLLO/SECO/AGUADITO 58 GR X 10)-"/>
    <n v="2"/>
    <n v="25.9"/>
    <n v="51.8"/>
    <n v="20670.34"/>
  </r>
  <r>
    <x v="2"/>
    <x v="7"/>
    <s v="Bill"/>
    <s v="72533"/>
    <x v="52"/>
    <s v="PERU CHEF- SALSAS Y CREMAS -   -  PROVENZAL CARAPULCRA 150 GR X 6)-"/>
    <n v="1"/>
    <n v="13.9"/>
    <n v="13.9"/>
    <n v="20684.240000000002"/>
  </r>
  <r>
    <x v="2"/>
    <x v="7"/>
    <s v="Bill"/>
    <s v="72533"/>
    <x v="53"/>
    <s v="PERU CHEF- SALSAS Y CREMAS -   -  PROVENZAL CAU CAU 60 GR X 12)-"/>
    <n v="2"/>
    <n v="25.9"/>
    <n v="51.8"/>
    <n v="20736.04"/>
  </r>
  <r>
    <x v="2"/>
    <x v="7"/>
    <s v="Bill"/>
    <s v="72533"/>
    <x v="54"/>
    <s v="PERU CHEF- SALSAS Y CREMAS -   -  PROVENZAL CEBICHE BASE 30 GR X 20)-"/>
    <n v="1"/>
    <n v="46.5"/>
    <n v="46.5"/>
    <n v="20782.54"/>
  </r>
  <r>
    <x v="2"/>
    <x v="7"/>
    <s v="Bill"/>
    <s v="72533"/>
    <x v="57"/>
    <s v="Provenzal Olluquito 78 Gr X 6"/>
    <n v="1"/>
    <n v="19.5"/>
    <n v="19.5"/>
    <n v="20802.04"/>
  </r>
  <r>
    <x v="2"/>
    <x v="7"/>
    <s v="Bill"/>
    <s v="72533"/>
    <x v="55"/>
    <s v="PERU CHEF- SALSAS Y CREMAS -   -  PROVENZAL HUANCAINA 64 GR X 12)-"/>
    <n v="2"/>
    <n v="25.9"/>
    <n v="51.8"/>
    <n v="20853.84"/>
  </r>
  <r>
    <x v="2"/>
    <x v="7"/>
    <s v="Bill"/>
    <s v="72533"/>
    <x v="32"/>
    <s v="D'Onofrio Chocolate Sublime 26 G"/>
    <n v="10"/>
    <n v="13.5"/>
    <n v="135"/>
    <n v="20988.84"/>
  </r>
  <r>
    <x v="2"/>
    <x v="7"/>
    <s v="Bill"/>
    <s v="72533"/>
    <x v="33"/>
    <s v="PCH- Galletas Morochas 30gr 6x 30 / 7613035803121 / DD-05"/>
    <n v="5"/>
    <n v="63.9"/>
    <n v="319.5"/>
    <n v="21308.34"/>
  </r>
  <r>
    <x v="2"/>
    <x v="8"/>
    <s v="Bill"/>
    <s v="75131"/>
    <x v="2"/>
    <s v="Belmont Yuyo Marino FROZEN 2.2lb x 8 / 1FP-36"/>
    <n v="2"/>
    <n v="59.9"/>
    <n v="119.8"/>
    <n v="21428.14"/>
  </r>
  <r>
    <x v="2"/>
    <x v="8"/>
    <s v="Bill"/>
    <s v="75131"/>
    <x v="41"/>
    <s v="BELMONT - Chicha Morada Belmont 16oz x 12 / 8591741003115 / JB-01"/>
    <n v="3"/>
    <n v="12.5"/>
    <n v="37.5"/>
    <n v="21465.64"/>
  </r>
  <r>
    <x v="2"/>
    <x v="8"/>
    <s v="Bill"/>
    <s v="75131"/>
    <x v="46"/>
    <s v="BELMONT - Belmont Concentrado Chicha Morada 64oz x 6 / 859174003887 / JB-09"/>
    <n v="4"/>
    <n v="41.9"/>
    <n v="167.6"/>
    <n v="21633.239999999998"/>
  </r>
  <r>
    <x v="2"/>
    <x v="8"/>
    <s v="Bill"/>
    <s v="75131"/>
    <x v="40"/>
    <s v="BELMONT - Leche evaporada Gloria 13oz Lata x 24 / 7751271005616 / GL-21"/>
    <n v="104"/>
    <n v="25.9"/>
    <n v="2693.6"/>
    <n v="24326.839999999997"/>
  </r>
  <r>
    <x v="2"/>
    <x v="8"/>
    <s v="Bill"/>
    <s v="75131"/>
    <x v="33"/>
    <s v="PCH- Galletas Morochas 30gr 6x 30 / 7613035803121 / DD-05"/>
    <n v="4"/>
    <n v="63.9"/>
    <n v="255.6"/>
    <n v="24582.439999999995"/>
  </r>
  <r>
    <x v="3"/>
    <x v="9"/>
    <s v="Bill"/>
    <s v=""/>
    <x v="86"/>
    <s v="Plastico 2Lt"/>
    <n v="840"/>
    <n v="12.73"/>
    <n v="10693.2"/>
    <n v="10693.2"/>
  </r>
  <r>
    <x v="3"/>
    <x v="9"/>
    <s v="Bill"/>
    <s v=""/>
    <x v="87"/>
    <s v="Regular"/>
    <n v="104"/>
    <n v="10.06"/>
    <n v="1046.24"/>
    <n v="11739.44"/>
  </r>
  <r>
    <x v="3"/>
    <x v="9"/>
    <s v="Bill"/>
    <s v=""/>
    <x v="88"/>
    <s v="Vidrio"/>
    <n v="70"/>
    <n v="22.5"/>
    <n v="1575"/>
    <n v="13314.44"/>
  </r>
  <r>
    <x v="3"/>
    <x v="9"/>
    <s v="Bill"/>
    <s v=""/>
    <x v="89"/>
    <s v="Regular lata  x 12"/>
    <n v="416"/>
    <n v="4.9850000000000003"/>
    <n v="2073.7600000000002"/>
    <n v="15388.2"/>
  </r>
  <r>
    <x v="3"/>
    <x v="9"/>
    <s v="Bill"/>
    <s v=""/>
    <x v="90"/>
    <s v="Diet"/>
    <n v="104"/>
    <n v="11.94"/>
    <n v="1241.76"/>
    <n v="16629.96"/>
  </r>
  <r>
    <x v="3"/>
    <x v="10"/>
    <s v="Vendor Credit"/>
    <s v=""/>
    <x v="86"/>
    <s v="Plastico 2Lt"/>
    <n v="-80"/>
    <n v="12.73"/>
    <n v="-1018.4"/>
    <n v="15611.56"/>
  </r>
  <r>
    <x v="3"/>
    <x v="10"/>
    <s v="Vendor Credit"/>
    <s v=""/>
    <x v="91"/>
    <s v="Used for credit memos related to price differences or missing/ damaged inventory"/>
    <n v="-1"/>
    <n v="204.88"/>
    <n v="-204.88"/>
    <n v="15406.68"/>
  </r>
  <r>
    <x v="3"/>
    <x v="11"/>
    <s v="Bill"/>
    <s v=""/>
    <x v="89"/>
    <s v="- BEBIDAS -  INCA KOLA -  REGULAR LATA 12 OZ / 12"/>
    <n v="1664"/>
    <n v="5.2350000000000003"/>
    <n v="8711.0400000000009"/>
    <n v="24117.72"/>
  </r>
  <r>
    <x v="3"/>
    <x v="11"/>
    <s v="Bill"/>
    <s v=""/>
    <x v="87"/>
    <s v="- BEBIDAS -  INCA KOLA -  REGULAR-  LATA 12 OZ / 24"/>
    <n v="104"/>
    <n v="12.44"/>
    <n v="1293.76"/>
    <n v="25411.48"/>
  </r>
  <r>
    <x v="3"/>
    <x v="3"/>
    <s v="Bill"/>
    <s v=""/>
    <x v="89"/>
    <s v="- BEBIDAS -  INCA KOLA -  REGULAR LATA 12 OZ / 12"/>
    <n v="416"/>
    <n v="5.2350000000000003"/>
    <n v="2177.7600000000002"/>
    <n v="27589.239999999998"/>
  </r>
  <r>
    <x v="3"/>
    <x v="3"/>
    <s v="Bill"/>
    <s v=""/>
    <x v="90"/>
    <s v="INCA KOLA - BEBIDAS -  INCA KOLA -  DIET-  LATA 12 OZ / 24"/>
    <n v="208"/>
    <n v="12.44"/>
    <n v="2587.52"/>
    <n v="30176.76"/>
  </r>
  <r>
    <x v="3"/>
    <x v="3"/>
    <s v="Bill"/>
    <s v=""/>
    <x v="92"/>
    <s v="- BEBIDAS -  KOLA INGLESA -  VIDRIO-  VIDRIO / 24"/>
    <n v="50"/>
    <n v="16"/>
    <n v="800"/>
    <n v="30976.76"/>
  </r>
  <r>
    <x v="3"/>
    <x v="12"/>
    <s v="Vendor Credit"/>
    <s v=""/>
    <x v="90"/>
    <s v="INCA KOLA - BEBIDAS -  INCA KOLA -  DIET-  LATA 12 OZ / 24"/>
    <n v="-8"/>
    <n v="12.44"/>
    <n v="-99.52"/>
    <n v="30877.239999999998"/>
  </r>
  <r>
    <x v="3"/>
    <x v="13"/>
    <s v="Bill"/>
    <s v="70933"/>
    <x v="86"/>
    <s v="- BEBIDAS -  INCA KOLA -  PLASTICO 2LT-   / 8"/>
    <n v="240"/>
    <n v="13.28"/>
    <n v="3187.2"/>
    <n v="34064.439999999995"/>
  </r>
  <r>
    <x v="3"/>
    <x v="13"/>
    <s v="Bill"/>
    <s v="70933"/>
    <x v="89"/>
    <s v="- BEBIDAS -  INCA KOLA -  REGULAR LATA 12 OZ / 12"/>
    <n v="824"/>
    <n v="5.2350000000000003"/>
    <n v="4313.6400000000003"/>
    <n v="38378.079999999994"/>
  </r>
  <r>
    <x v="3"/>
    <x v="13"/>
    <s v="Bill"/>
    <s v="70933"/>
    <x v="87"/>
    <s v="- BEBIDAS -  INCA KOLA -  REGULAR-  LATA 12 OZ / 24"/>
    <n v="312"/>
    <n v="10.56"/>
    <n v="3294.72"/>
    <n v="41672.799999999996"/>
  </r>
  <r>
    <x v="3"/>
    <x v="14"/>
    <s v="Bill"/>
    <s v="71340"/>
    <x v="86"/>
    <s v="- BEBIDAS -  INCA KOLA -  PLASTICO 2LT-   / 8"/>
    <n v="240"/>
    <n v="13.28"/>
    <n v="3187.2"/>
    <n v="44859.999999999993"/>
  </r>
  <r>
    <x v="3"/>
    <x v="14"/>
    <s v="Bill"/>
    <s v="71340"/>
    <x v="89"/>
    <s v="- BEBIDAS -  INCA KOLA -  REGULAR LATA 12 OZ / 12"/>
    <n v="832"/>
    <n v="5.2350000000000003"/>
    <n v="4355.5200000000004"/>
    <n v="49215.51999999999"/>
  </r>
  <r>
    <x v="3"/>
    <x v="14"/>
    <s v="Bill"/>
    <s v="71340"/>
    <x v="90"/>
    <s v="INCA KOLA - BEBIDAS -  INCA KOLA -  DIET-  LATA 12 OZ / 24"/>
    <n v="100"/>
    <n v="12.44"/>
    <n v="1244"/>
    <n v="50459.51999999999"/>
  </r>
  <r>
    <x v="3"/>
    <x v="14"/>
    <s v="Bill"/>
    <s v="71340"/>
    <x v="88"/>
    <s v="- BEBIDAS -  INCA KOLA -  VIDRIO-  10 OZ / 24"/>
    <n v="70"/>
    <n v="24.25"/>
    <n v="1697.5"/>
    <n v="52157.01999999999"/>
  </r>
  <r>
    <x v="3"/>
    <x v="14"/>
    <s v="Bill"/>
    <s v="71340"/>
    <x v="92"/>
    <s v="- BEBIDAS -  KOLA INGLESA -  VIDRIO-  VIDRIO / 24"/>
    <n v="50"/>
    <n v="16"/>
    <n v="800"/>
    <n v="52957.01999999999"/>
  </r>
  <r>
    <x v="3"/>
    <x v="15"/>
    <s v="Vendor Credit"/>
    <s v="10823"/>
    <x v="87"/>
    <s v="- BEBIDAS -  INCA KOLA -  REGULAR-  LATA 12 OZ / 24"/>
    <n v="-100"/>
    <n v="10.56"/>
    <n v="-1056"/>
    <n v="51901.01999999999"/>
  </r>
  <r>
    <x v="3"/>
    <x v="15"/>
    <s v="Vendor Credit"/>
    <s v="10823"/>
    <x v="89"/>
    <s v="- BEBIDAS -  INCA KOLA -  REGULAR LATA 12 OZ / 12"/>
    <n v="-824"/>
    <n v="5.2350000000000003"/>
    <n v="-4313.6400000000003"/>
    <n v="47587.37999999999"/>
  </r>
  <r>
    <x v="3"/>
    <x v="15"/>
    <s v="Vendor Credit"/>
    <s v="10823"/>
    <x v="89"/>
    <s v="- BEBIDAS -  INCA KOLA -  REGULAR LATA 12 OZ / 12"/>
    <n v="-832"/>
    <n v="5.2350000000000003"/>
    <n v="-4355.5200000000004"/>
    <n v="43231.859999999986"/>
  </r>
  <r>
    <x v="3"/>
    <x v="16"/>
    <s v="Bill"/>
    <s v="0071667"/>
    <x v="86"/>
    <s v="- BEBIDAS -  INCA KOLA -  PLASTICO 2LT-   / 8"/>
    <n v="160"/>
    <n v="13.28"/>
    <n v="2124.8000000000002"/>
    <n v="45356.659999999989"/>
  </r>
  <r>
    <x v="3"/>
    <x v="16"/>
    <s v="Bill"/>
    <s v="0071667"/>
    <x v="89"/>
    <s v="- BEBIDAS -  INCA KOLA -  REGULAR LATA 12 OZ / 12"/>
    <n v="832"/>
    <n v="5.2350000000000003"/>
    <n v="4355.5200000000004"/>
    <n v="49712.179999999993"/>
  </r>
  <r>
    <x v="3"/>
    <x v="16"/>
    <s v="Bill"/>
    <s v="0071667"/>
    <x v="93"/>
    <s v="CF&amp;B Paneton TODINNO 900gr x 6"/>
    <n v="100"/>
    <n v="38"/>
    <n v="3800"/>
    <n v="53512.179999999993"/>
  </r>
  <r>
    <x v="3"/>
    <x v="17"/>
    <s v="Vendor Credit"/>
    <s v=""/>
    <x v="89"/>
    <s v="- BEBIDAS -  INCA KOLA -  REGULAR LATA 12 OZ / 12"/>
    <n v="-208"/>
    <n v="5.2350000000000003"/>
    <n v="-1088.8800000000001"/>
    <n v="52423.299999999996"/>
  </r>
  <r>
    <x v="3"/>
    <x v="18"/>
    <s v="Bill"/>
    <s v="0071969"/>
    <x v="86"/>
    <s v="- BEBIDAS -  INCA KOLA -  PLASTICO 2LT-   / 8"/>
    <n v="240"/>
    <n v="13.28"/>
    <n v="3187.2"/>
    <n v="55610.499999999993"/>
  </r>
  <r>
    <x v="3"/>
    <x v="18"/>
    <s v="Bill"/>
    <s v="0071969"/>
    <x v="93"/>
    <s v="CF&amp;B Paneton TODINNO 900gr x 6"/>
    <n v="50"/>
    <n v="38"/>
    <n v="1900"/>
    <n v="57510.499999999993"/>
  </r>
  <r>
    <x v="3"/>
    <x v="18"/>
    <s v="Bill"/>
    <s v="0071969"/>
    <x v="87"/>
    <s v="- BEBIDAS -  INCA KOLA -  REGULAR-  LATA 12 OZ / 24"/>
    <n v="104"/>
    <n v="10.56"/>
    <n v="1098.24"/>
    <n v="58608.739999999991"/>
  </r>
  <r>
    <x v="3"/>
    <x v="18"/>
    <s v="Bill"/>
    <s v="0071969"/>
    <x v="88"/>
    <s v="- BEBIDAS -  INCA KOLA -  VIDRIO-  10 OZ / 24"/>
    <n v="70"/>
    <n v="24.25"/>
    <n v="1697.5"/>
    <n v="60306.239999999991"/>
  </r>
  <r>
    <x v="3"/>
    <x v="18"/>
    <s v="Bill"/>
    <s v="0071969"/>
    <x v="89"/>
    <s v="- BEBIDAS -  INCA KOLA -  REGULAR LATA 12 OZ / 12"/>
    <n v="208"/>
    <n v="5.2350000000000003"/>
    <n v="1088.8800000000001"/>
    <n v="61395.119999999988"/>
  </r>
  <r>
    <x v="3"/>
    <x v="18"/>
    <s v="Bill"/>
    <s v="0071969"/>
    <x v="94"/>
    <s v="Galleta Costa Chocolate Cookies x 24"/>
    <n v="1"/>
    <n v="0"/>
    <n v="0"/>
    <n v="61395.119999999988"/>
  </r>
  <r>
    <x v="3"/>
    <x v="18"/>
    <s v="Bill"/>
    <s v="0071969"/>
    <x v="95"/>
    <s v="Galleta Costa Lemon Cookies 140gr x 24"/>
    <n v="1"/>
    <n v="0"/>
    <n v="0"/>
    <n v="61395.119999999988"/>
  </r>
  <r>
    <x v="3"/>
    <x v="18"/>
    <s v="Bill"/>
    <s v="0071969"/>
    <x v="96"/>
    <s v="Galleta Costa Butter Cookies 140gr x 24"/>
    <n v="1"/>
    <n v="0"/>
    <n v="0"/>
    <n v="61395.119999999988"/>
  </r>
  <r>
    <x v="3"/>
    <x v="18"/>
    <s v="Bill"/>
    <s v="0071969"/>
    <x v="97"/>
    <s v="Galleta Costa Coconut Cookies 125gr x 28"/>
    <n v="1"/>
    <n v="0"/>
    <n v="0"/>
    <n v="61395.119999999988"/>
  </r>
  <r>
    <x v="3"/>
    <x v="18"/>
    <s v="Bill"/>
    <s v="0071969"/>
    <x v="98"/>
    <s v="Vivo Mifrut Pear 100% frut pouch"/>
    <n v="1"/>
    <n v="0"/>
    <n v="0"/>
    <n v="61395.119999999988"/>
  </r>
  <r>
    <x v="3"/>
    <x v="18"/>
    <s v="Bill"/>
    <s v="0071969"/>
    <x v="99"/>
    <s v="Vivo Mifrut Apple 100% frut pouch"/>
    <n v="1"/>
    <n v="0"/>
    <n v="0"/>
    <n v="61395.119999999988"/>
  </r>
  <r>
    <x v="3"/>
    <x v="18"/>
    <s v="Bill"/>
    <s v="0071969"/>
    <x v="100"/>
    <s v="Vivo Mifrut Banana 100% frut pouch"/>
    <n v="1"/>
    <n v="0"/>
    <n v="0"/>
    <n v="61395.119999999988"/>
  </r>
  <r>
    <x v="4"/>
    <x v="19"/>
    <s v="Bill"/>
    <s v="824277"/>
    <x v="101"/>
    <s v="Paneton Donofrio 6/31.04 oz"/>
    <n v="15"/>
    <n v="65.94"/>
    <n v="989.1"/>
    <n v="989.1"/>
  </r>
  <r>
    <x v="4"/>
    <x v="20"/>
    <s v="Bill"/>
    <s v=""/>
    <x v="101"/>
    <s v="Paneton Donofrio 6/31.04 oz"/>
    <n v="12"/>
    <n v="47.94"/>
    <n v="575.28"/>
    <n v="1564.38"/>
  </r>
  <r>
    <x v="5"/>
    <x v="21"/>
    <s v="Bill"/>
    <s v="407638"/>
    <x v="101"/>
    <s v="Paneton Donofrio 6/31.04 oz"/>
    <n v="40"/>
    <n v="50.153500000000001"/>
    <n v="2006.14"/>
    <n v="2006.14"/>
  </r>
  <r>
    <x v="6"/>
    <x v="22"/>
    <s v="Bill"/>
    <s v="32400"/>
    <x v="102"/>
    <s v="Lam's Chifles salado en tiras 2.5oz x 24"/>
    <n v="48"/>
    <n v="30"/>
    <n v="1440"/>
    <n v="1440"/>
  </r>
  <r>
    <x v="6"/>
    <x v="22"/>
    <s v="Bill"/>
    <s v="32400"/>
    <x v="103"/>
    <s v="Lam's Chifles dulce en tiras 2.1oz x 24"/>
    <n v="12"/>
    <n v="30"/>
    <n v="360"/>
    <n v="1800"/>
  </r>
  <r>
    <x v="6"/>
    <x v="22"/>
    <s v="Bill"/>
    <s v="32400"/>
    <x v="104"/>
    <s v="Lam's Patacones / Tostones picante 4oz x 24"/>
    <n v="4"/>
    <n v="36"/>
    <n v="144"/>
    <n v="1944"/>
  </r>
  <r>
    <x v="6"/>
    <x v="22"/>
    <s v="Bill"/>
    <s v="32400"/>
    <x v="105"/>
    <s v="Lam's Patacones / Tostones Regular 4oz x 24"/>
    <n v="4"/>
    <n v="36"/>
    <n v="144"/>
    <n v="2088"/>
  </r>
  <r>
    <x v="6"/>
    <x v="22"/>
    <s v="Bill"/>
    <s v="32400"/>
    <x v="106"/>
    <s v="Lam's Patacones / Tostones Dulce 4oz x 24"/>
    <n v="4"/>
    <n v="36"/>
    <n v="144"/>
    <n v="2232"/>
  </r>
  <r>
    <x v="7"/>
    <x v="23"/>
    <s v="Bill"/>
    <s v=""/>
    <x v="107"/>
    <s v="dulce de leche"/>
    <n v="1"/>
    <n v="75"/>
    <n v="75"/>
    <n v="75"/>
  </r>
  <r>
    <x v="7"/>
    <x v="23"/>
    <s v="Bill"/>
    <s v=""/>
    <x v="108"/>
    <s v="Conaprole - Dulce de Leche - Milk Caramel Spread"/>
    <n v="1"/>
    <n v="148"/>
    <n v="148"/>
    <n v="223"/>
  </r>
  <r>
    <x v="8"/>
    <x v="24"/>
    <s v="Bill"/>
    <s v=""/>
    <x v="109"/>
    <s v="Peru Chef Passion friut juice 1Lt x 12"/>
    <n v="1"/>
    <n v="32.5"/>
    <n v="32.5"/>
    <n v="32.5"/>
  </r>
  <r>
    <x v="8"/>
    <x v="24"/>
    <s v="Bill"/>
    <s v=""/>
    <x v="110"/>
    <s v="Peru Chef Emoliente 1Lt x 12"/>
    <n v="1"/>
    <n v="30"/>
    <n v="30"/>
    <n v="62.5"/>
  </r>
  <r>
    <x v="8"/>
    <x v="24"/>
    <s v="Bill"/>
    <s v=""/>
    <x v="111"/>
    <s v="Pasta Aji Amarillo 16 Oz X 12"/>
    <n v="1"/>
    <n v="36"/>
    <n v="36"/>
    <n v="98.5"/>
  </r>
  <r>
    <x v="8"/>
    <x v="24"/>
    <s v="Bill"/>
    <s v=""/>
    <x v="112"/>
    <s v="Pasta Aji Panca 16 Oz X 12"/>
    <n v="1"/>
    <n v="40"/>
    <n v="40"/>
    <n v="138.5"/>
  </r>
  <r>
    <x v="8"/>
    <x v="24"/>
    <s v="Bill"/>
    <s v=""/>
    <x v="113"/>
    <s v="Pasta Ajos 16 Oz X 12"/>
    <n v="1"/>
    <n v="60"/>
    <n v="60"/>
    <n v="198.5"/>
  </r>
  <r>
    <x v="8"/>
    <x v="24"/>
    <s v="Bill"/>
    <s v=""/>
    <x v="114"/>
    <s v="Crema De Aji P/Ceviche 10.5 Oz X 12"/>
    <n v="1"/>
    <n v="36"/>
    <n v="36"/>
    <n v="234.5"/>
  </r>
  <r>
    <x v="8"/>
    <x v="24"/>
    <s v="Bill"/>
    <s v=""/>
    <x v="115"/>
    <s v="Peru Chef Salsa de Aji Limo con Rocoto"/>
    <n v="1"/>
    <n v="45"/>
    <n v="45"/>
    <n v="279.5"/>
  </r>
  <r>
    <x v="8"/>
    <x v="24"/>
    <s v="Bill"/>
    <s v=""/>
    <x v="116"/>
    <s v="Maiz Morado 15 Oz X 22"/>
    <n v="1"/>
    <n v="48"/>
    <n v="48"/>
    <n v="327.5"/>
  </r>
  <r>
    <x v="8"/>
    <x v="24"/>
    <s v="Bill"/>
    <s v=""/>
    <x v="117"/>
    <s v="Maiz Chulpe 15 Oz X 12"/>
    <n v="1"/>
    <n v="28"/>
    <n v="28"/>
    <n v="355.5"/>
  </r>
  <r>
    <x v="8"/>
    <x v="24"/>
    <s v="Bill"/>
    <s v=""/>
    <x v="118"/>
    <s v="Maiz Cancha Montaña 15 Oz X 10"/>
    <n v="1"/>
    <n v="28"/>
    <n v="28"/>
    <n v="383.5"/>
  </r>
  <r>
    <x v="8"/>
    <x v="24"/>
    <s v="Bill"/>
    <s v=""/>
    <x v="119"/>
    <s v="Maiz Mote Pelado 15 Oz X 12"/>
    <n v="1"/>
    <n v="30"/>
    <n v="30"/>
    <n v="413.5"/>
  </r>
  <r>
    <x v="8"/>
    <x v="24"/>
    <s v="Bill"/>
    <s v=""/>
    <x v="120"/>
    <s v="Papa Seca Serrana 15 Oz X 10"/>
    <n v="1"/>
    <n v="19"/>
    <n v="19"/>
    <n v="432.5"/>
  </r>
  <r>
    <x v="8"/>
    <x v="24"/>
    <s v="Bill"/>
    <s v=""/>
    <x v="121"/>
    <s v="Papa Seca Amarilla 12 Oz X 8"/>
    <n v="1"/>
    <n v="17"/>
    <n v="17"/>
    <n v="449.5"/>
  </r>
  <r>
    <x v="8"/>
    <x v="24"/>
    <s v="Bill"/>
    <s v=""/>
    <x v="122"/>
    <s v="Trigo Pelado 15 Oz X 12"/>
    <n v="1"/>
    <n v="19.8"/>
    <n v="19.8"/>
    <n v="469.3"/>
  </r>
  <r>
    <x v="8"/>
    <x v="24"/>
    <s v="Bill"/>
    <s v=""/>
    <x v="123"/>
    <s v="Quinua Real 15 Oz X 12"/>
    <n v="1"/>
    <n v="28"/>
    <n v="28"/>
    <n v="497.3"/>
  </r>
  <r>
    <x v="8"/>
    <x v="24"/>
    <s v="Bill"/>
    <s v=""/>
    <x v="124"/>
    <s v="Cebada Tostada 15 Oz X 10"/>
    <n v="1"/>
    <n v="13"/>
    <n v="13"/>
    <n v="510.3"/>
  </r>
  <r>
    <x v="8"/>
    <x v="24"/>
    <s v="Bill"/>
    <s v=""/>
    <x v="125"/>
    <s v="Emoliente 5.3 Oz X 12"/>
    <n v="1"/>
    <n v="30"/>
    <n v="30"/>
    <n v="540.29999999999995"/>
  </r>
  <r>
    <x v="8"/>
    <x v="24"/>
    <s v="Bill"/>
    <s v=""/>
    <x v="126"/>
    <s v="Harina De Chuno 15 Oz X 12"/>
    <n v="1"/>
    <n v="25"/>
    <n v="25"/>
    <n v="565.29999999999995"/>
  </r>
  <r>
    <x v="8"/>
    <x v="24"/>
    <s v="Bill"/>
    <s v=""/>
    <x v="127"/>
    <s v="Chuno Blanco Entero 15 Oz X 8"/>
    <n v="1"/>
    <n v="22"/>
    <n v="22"/>
    <n v="587.29999999999995"/>
  </r>
  <r>
    <x v="8"/>
    <x v="24"/>
    <s v="Bill"/>
    <s v=""/>
    <x v="128"/>
    <s v="Pallares 15 Oz X 12"/>
    <n v="1"/>
    <n v="24"/>
    <n v="24"/>
    <n v="611.29999999999995"/>
  </r>
  <r>
    <x v="8"/>
    <x v="24"/>
    <s v="Bill"/>
    <s v=""/>
    <x v="129"/>
    <s v="Hongos Y Laurel 1.57 Oz X 12"/>
    <n v="1"/>
    <n v="36"/>
    <n v="36"/>
    <n v="647.29999999999995"/>
  </r>
  <r>
    <x v="8"/>
    <x v="24"/>
    <s v="Bill"/>
    <s v=""/>
    <x v="130"/>
    <s v="Habas Peladas 15 Oz X 12"/>
    <n v="1"/>
    <n v="24"/>
    <n v="24"/>
    <n v="671.3"/>
  </r>
  <r>
    <x v="8"/>
    <x v="24"/>
    <s v="Bill"/>
    <s v=""/>
    <x v="131"/>
    <s v="Oregano Entero 30 G X 12"/>
    <n v="1"/>
    <n v="30"/>
    <n v="30"/>
    <n v="701.3"/>
  </r>
  <r>
    <x v="8"/>
    <x v="24"/>
    <s v="Bill"/>
    <s v=""/>
    <x v="132"/>
    <s v="Tuco 70 G X 12"/>
    <n v="1"/>
    <n v="24"/>
    <n v="24"/>
    <n v="725.3"/>
  </r>
  <r>
    <x v="8"/>
    <x v="24"/>
    <s v="Bill"/>
    <s v=""/>
    <x v="133"/>
    <s v="Palillo Molido75 G X 12"/>
    <n v="1"/>
    <n v="24"/>
    <n v="24"/>
    <n v="749.3"/>
  </r>
  <r>
    <x v="8"/>
    <x v="24"/>
    <s v="Bill"/>
    <s v=""/>
    <x v="134"/>
    <s v="Aji Panca Molido 70 G X 12"/>
    <n v="1"/>
    <n v="26"/>
    <n v="26"/>
    <n v="775.3"/>
  </r>
  <r>
    <x v="8"/>
    <x v="24"/>
    <s v="Bill"/>
    <s v=""/>
    <x v="135"/>
    <s v="Kion Molido 60 G X 12"/>
    <n v="1"/>
    <n v="28"/>
    <n v="28"/>
    <n v="803.3"/>
  </r>
  <r>
    <x v="8"/>
    <x v="24"/>
    <s v="Bill"/>
    <s v=""/>
    <x v="136"/>
    <s v="Atun Florida 6 Oz X 48"/>
    <n v="1"/>
    <n v="82.5"/>
    <n v="82.5"/>
    <n v="885.8"/>
  </r>
  <r>
    <x v="8"/>
    <x v="24"/>
    <s v="Bill"/>
    <s v=""/>
    <x v="10"/>
    <s v="MSG -AJINOMOTO"/>
    <n v="1"/>
    <n v="99"/>
    <n v="99"/>
    <n v="984.8"/>
  </r>
  <r>
    <x v="8"/>
    <x v="24"/>
    <s v="Bill"/>
    <s v=""/>
    <x v="137"/>
    <s v="Aceitunesa"/>
    <n v="1"/>
    <n v="31.8"/>
    <n v="31.8"/>
    <n v="1016.5999999999999"/>
  </r>
  <r>
    <x v="8"/>
    <x v="24"/>
    <s v="Bill"/>
    <s v=""/>
    <x v="138"/>
    <s v="Crema De Rocoto"/>
    <n v="1"/>
    <n v="31.8"/>
    <n v="31.8"/>
    <n v="1048.3999999999999"/>
  </r>
  <r>
    <x v="8"/>
    <x v="24"/>
    <s v="Bill"/>
    <s v=""/>
    <x v="139"/>
    <s v="Salsa Huancaina"/>
    <n v="1"/>
    <n v="31.8"/>
    <n v="31.8"/>
    <n v="1080.1999999999998"/>
  </r>
  <r>
    <x v="8"/>
    <x v="24"/>
    <s v="Bill"/>
    <s v=""/>
    <x v="140"/>
    <s v="Aceitunas Negras 20 Oz X 12"/>
    <n v="1"/>
    <n v="39"/>
    <n v="39"/>
    <n v="1119.1999999999998"/>
  </r>
  <r>
    <x v="8"/>
    <x v="24"/>
    <s v="Bill"/>
    <s v=""/>
    <x v="141"/>
    <s v="Aceitunas Botija Sin Pepa 20 Oz X 12"/>
    <n v="1"/>
    <n v="42"/>
    <n v="42"/>
    <n v="1161.1999999999998"/>
  </r>
  <r>
    <x v="8"/>
    <x v="24"/>
    <s v="Bill"/>
    <s v=""/>
    <x v="142"/>
    <s v="Peruchef Chicha De Jora 1 L X 12"/>
    <n v="1"/>
    <n v="39"/>
    <n v="39"/>
    <n v="1200.1999999999998"/>
  </r>
  <r>
    <x v="8"/>
    <x v="24"/>
    <s v="Bill"/>
    <s v=""/>
    <x v="143"/>
    <s v="Peruchef Chancaca"/>
    <n v="1"/>
    <n v="50"/>
    <n v="50"/>
    <n v="1250.1999999999998"/>
  </r>
  <r>
    <x v="8"/>
    <x v="24"/>
    <s v="Bill"/>
    <s v=""/>
    <x v="56"/>
    <s v="Provenzal Ocopa 70 Gr X 12)"/>
    <n v="1"/>
    <n v="28"/>
    <n v="28"/>
    <n v="1278.1999999999998"/>
  </r>
  <r>
    <x v="8"/>
    <x v="24"/>
    <s v="Bill"/>
    <s v=""/>
    <x v="55"/>
    <s v="Provenzal Huancaina 64 Gr X 12)"/>
    <n v="1"/>
    <n v="28"/>
    <n v="28"/>
    <n v="1306.1999999999998"/>
  </r>
  <r>
    <x v="8"/>
    <x v="24"/>
    <s v="Bill"/>
    <s v=""/>
    <x v="53"/>
    <s v="Provenzal Cau Cau 60 Gr X 12)"/>
    <n v="1"/>
    <n v="26"/>
    <n v="26"/>
    <n v="1332.1999999999998"/>
  </r>
  <r>
    <x v="8"/>
    <x v="24"/>
    <s v="Bill"/>
    <s v=""/>
    <x v="144"/>
    <s v="VICTORIA - Chomp Naranja"/>
    <n v="1"/>
    <n v="16"/>
    <n v="16"/>
    <n v="1348.1999999999998"/>
  </r>
  <r>
    <x v="8"/>
    <x v="24"/>
    <s v="Bill"/>
    <s v=""/>
    <x v="145"/>
    <s v="Chomp Galletas Chocolate 42 G"/>
    <n v="1"/>
    <n v="16"/>
    <n v="16"/>
    <n v="1364.1999999999998"/>
  </r>
  <r>
    <x v="8"/>
    <x v="24"/>
    <s v="Bill"/>
    <s v=""/>
    <x v="35"/>
    <s v="CASINO - Galleta Menta"/>
    <n v="1"/>
    <n v="15.5"/>
    <n v="15.5"/>
    <n v="1379.6999999999998"/>
  </r>
  <r>
    <x v="8"/>
    <x v="24"/>
    <s v="Bill"/>
    <s v=""/>
    <x v="37"/>
    <s v="CASINO - Galleta Chocolate"/>
    <n v="1"/>
    <n v="15.5"/>
    <n v="15.5"/>
    <n v="1395.1999999999998"/>
  </r>
  <r>
    <x v="8"/>
    <x v="24"/>
    <s v="Bill"/>
    <s v=""/>
    <x v="146"/>
    <s v="Tentacion Galleta Coco 47 G"/>
    <n v="1"/>
    <n v="16"/>
    <n v="16"/>
    <n v="1411.1999999999998"/>
  </r>
  <r>
    <x v="8"/>
    <x v="24"/>
    <s v="Bill"/>
    <s v=""/>
    <x v="147"/>
    <s v="Tentacion Galleta Vainilla 47 G"/>
    <n v="1"/>
    <n v="16"/>
    <n v="16"/>
    <n v="1427.1999999999998"/>
  </r>
  <r>
    <x v="8"/>
    <x v="24"/>
    <s v="Bill"/>
    <s v=""/>
    <x v="148"/>
    <s v="Glacitas Fresa 32 G X 6 X 8"/>
    <n v="1"/>
    <n v="17"/>
    <n v="17"/>
    <n v="1444.1999999999998"/>
  </r>
  <r>
    <x v="8"/>
    <x v="24"/>
    <s v="Bill"/>
    <s v=""/>
    <x v="149"/>
    <s v="Glacitas Choconieve 32 G X 6 X 8"/>
    <n v="1"/>
    <n v="17"/>
    <n v="17"/>
    <n v="1461.1999999999998"/>
  </r>
  <r>
    <x v="8"/>
    <x v="24"/>
    <s v="Bill"/>
    <s v=""/>
    <x v="150"/>
    <s v="Glacitas Toffee 32 G X 6 X 8"/>
    <n v="1"/>
    <n v="17"/>
    <n v="17"/>
    <n v="1478.1999999999998"/>
  </r>
  <r>
    <x v="8"/>
    <x v="24"/>
    <s v="Bill"/>
    <s v=""/>
    <x v="151"/>
    <s v="Glacitas Chocolate 32 G X 6 X 8"/>
    <n v="1"/>
    <n v="17"/>
    <n v="17"/>
    <n v="1495.1999999999998"/>
  </r>
  <r>
    <x v="8"/>
    <x v="24"/>
    <s v="Bill"/>
    <s v=""/>
    <x v="152"/>
    <s v="Sayon Galletas Tejanas 480 G X 8"/>
    <n v="1"/>
    <n v="35"/>
    <n v="35"/>
    <n v="1530.1999999999998"/>
  </r>
  <r>
    <x v="8"/>
    <x v="24"/>
    <s v="Bill"/>
    <s v=""/>
    <x v="153"/>
    <s v="Winters Ole Ole 225 G X 15"/>
    <n v="1"/>
    <n v="38"/>
    <n v="38"/>
    <n v="1568.1999999999998"/>
  </r>
  <r>
    <x v="8"/>
    <x v="24"/>
    <s v="Bill"/>
    <s v=""/>
    <x v="154"/>
    <s v="San Jorge Galletas Soda  40 G  X 7 X 4"/>
    <n v="1"/>
    <n v="8"/>
    <n v="8"/>
    <n v="1576.1999999999998"/>
  </r>
  <r>
    <x v="8"/>
    <x v="24"/>
    <s v="Bill"/>
    <s v=""/>
    <x v="155"/>
    <s v="EL TRIUNFO - Fideo Chino - Chinese Noodles"/>
    <n v="1"/>
    <n v="36"/>
    <n v="36"/>
    <n v="1612.1999999999998"/>
  </r>
  <r>
    <x v="8"/>
    <x v="24"/>
    <s v="Bill"/>
    <s v=""/>
    <x v="156"/>
    <s v="Kikko Siyau 500Ml X 30"/>
    <n v="1"/>
    <n v="39"/>
    <n v="39"/>
    <n v="1651.1999999999998"/>
  </r>
  <r>
    <x v="8"/>
    <x v="24"/>
    <s v="Bill"/>
    <s v=""/>
    <x v="157"/>
    <s v="Peruchef Mazamorra Morada 150 G"/>
    <n v="1"/>
    <n v="19"/>
    <n v="19"/>
    <n v="1670.1999999999998"/>
  </r>
  <r>
    <x v="8"/>
    <x v="24"/>
    <s v="Bill"/>
    <s v=""/>
    <x v="158"/>
    <s v="Peruchef Chicha Morada 120 G"/>
    <n v="1"/>
    <n v="12.5"/>
    <n v="12.5"/>
    <n v="1682.6999999999998"/>
  </r>
  <r>
    <x v="8"/>
    <x v="24"/>
    <s v="Bill"/>
    <s v=""/>
    <x v="159"/>
    <s v="ECCO - Café instantaneo de Cebada -Barley Instant Coffee"/>
    <n v="1"/>
    <n v="54"/>
    <n v="54"/>
    <n v="1736.6999999999998"/>
  </r>
  <r>
    <x v="8"/>
    <x v="24"/>
    <s v="Bill"/>
    <s v=""/>
    <x v="160"/>
    <s v="KIRMA - Café Instantaneo - Instant Coffee"/>
    <n v="1"/>
    <n v="115"/>
    <n v="115"/>
    <n v="1851.6999999999998"/>
  </r>
  <r>
    <x v="8"/>
    <x v="24"/>
    <s v="Bill"/>
    <s v=""/>
    <x v="161"/>
    <s v="Peruchef Esencia De Vainilla 100 Ml X 24"/>
    <n v="1"/>
    <n v="21"/>
    <n v="21"/>
    <n v="1872.6999999999998"/>
  </r>
  <r>
    <x v="8"/>
    <x v="24"/>
    <s v="Bill"/>
    <s v=""/>
    <x v="162"/>
    <s v="Choclo Desgranado 1 Lb X 30"/>
    <n v="1"/>
    <n v="66"/>
    <n v="66"/>
    <n v="1938.6999999999998"/>
  </r>
  <r>
    <x v="8"/>
    <x v="24"/>
    <s v="Bill"/>
    <s v=""/>
    <x v="163"/>
    <s v="Aji Amarillo 1 Lb X 18"/>
    <n v="1"/>
    <n v="46"/>
    <n v="46"/>
    <n v="1984.6999999999998"/>
  </r>
  <r>
    <x v="8"/>
    <x v="24"/>
    <s v="Bill"/>
    <s v=""/>
    <x v="164"/>
    <s v="Rocoto 1 Lb X 18"/>
    <n v="1"/>
    <n v="55"/>
    <n v="55"/>
    <n v="2039.6999999999998"/>
  </r>
  <r>
    <x v="8"/>
    <x v="24"/>
    <s v="Bill"/>
    <s v=""/>
    <x v="165"/>
    <s v="Aji Limo 1 Lb X 15"/>
    <n v="1"/>
    <n v="39"/>
    <n v="39"/>
    <n v="2078.6999999999998"/>
  </r>
  <r>
    <x v="8"/>
    <x v="24"/>
    <s v="Bill"/>
    <s v=""/>
    <x v="166"/>
    <s v="Olluco Cortado 1 Lb X 18"/>
    <n v="1"/>
    <n v="80"/>
    <n v="80"/>
    <n v="2158.6999999999998"/>
  </r>
  <r>
    <x v="8"/>
    <x v="24"/>
    <s v="Bill"/>
    <s v=""/>
    <x v="167"/>
    <s v="Papa Amarilla 1 Lb X 26"/>
    <n v="1"/>
    <n v="78"/>
    <n v="78"/>
    <n v="2236.6999999999998"/>
  </r>
  <r>
    <x v="8"/>
    <x v="24"/>
    <s v="Bill"/>
    <s v=""/>
    <x v="168"/>
    <s v="Yuca Amarilla 1.5Lb X 18"/>
    <n v="1"/>
    <n v="72"/>
    <n v="72"/>
    <n v="2308.6999999999998"/>
  </r>
  <r>
    <x v="8"/>
    <x v="25"/>
    <s v="Bill"/>
    <s v="55130"/>
    <x v="111"/>
    <s v="Pasta Aji Amarillo 16 Oz X 12"/>
    <n v="1"/>
    <n v="36"/>
    <n v="36"/>
    <n v="2344.6999999999998"/>
  </r>
  <r>
    <x v="8"/>
    <x v="25"/>
    <s v="Bill"/>
    <s v="55130"/>
    <x v="112"/>
    <s v="Pasta Aji Panca 16 Oz X 12"/>
    <n v="1"/>
    <n v="40"/>
    <n v="40"/>
    <n v="2384.6999999999998"/>
  </r>
  <r>
    <x v="8"/>
    <x v="25"/>
    <s v="Bill"/>
    <s v="55130"/>
    <x v="113"/>
    <s v="Pasta Ajos 16 Oz X 12"/>
    <n v="1"/>
    <n v="60"/>
    <n v="60"/>
    <n v="2444.6999999999998"/>
  </r>
  <r>
    <x v="8"/>
    <x v="25"/>
    <s v="Bill"/>
    <s v="55130"/>
    <x v="114"/>
    <s v="Crema De Aji P/Ceviche 10.5 Oz X 12"/>
    <n v="1"/>
    <n v="36"/>
    <n v="36"/>
    <n v="2480.6999999999998"/>
  </r>
  <r>
    <x v="8"/>
    <x v="25"/>
    <s v="Bill"/>
    <s v="55130"/>
    <x v="115"/>
    <s v="Peru Chef Salsa de Aji Limo con Rocoto"/>
    <n v="1"/>
    <n v="45"/>
    <n v="45"/>
    <n v="2525.6999999999998"/>
  </r>
  <r>
    <x v="8"/>
    <x v="25"/>
    <s v="Bill"/>
    <s v="55130"/>
    <x v="116"/>
    <s v="Maiz Morado 15 Oz X 22"/>
    <n v="1"/>
    <n v="48"/>
    <n v="48"/>
    <n v="2573.6999999999998"/>
  </r>
  <r>
    <x v="8"/>
    <x v="25"/>
    <s v="Bill"/>
    <s v="55130"/>
    <x v="117"/>
    <s v="Maiz Chulpe 15 Oz X 12"/>
    <n v="1"/>
    <n v="28"/>
    <n v="28"/>
    <n v="2601.6999999999998"/>
  </r>
  <r>
    <x v="8"/>
    <x v="25"/>
    <s v="Bill"/>
    <s v="55130"/>
    <x v="118"/>
    <s v="Maiz Cancha Montaña 15 Oz X 10"/>
    <n v="1"/>
    <n v="28"/>
    <n v="28"/>
    <n v="2629.7"/>
  </r>
  <r>
    <x v="8"/>
    <x v="25"/>
    <s v="Bill"/>
    <s v="55130"/>
    <x v="119"/>
    <s v="Maiz Mote Pelado 15 Oz X 12"/>
    <n v="1"/>
    <n v="30"/>
    <n v="30"/>
    <n v="2659.7"/>
  </r>
  <r>
    <x v="8"/>
    <x v="25"/>
    <s v="Bill"/>
    <s v="55130"/>
    <x v="120"/>
    <s v="Papa Seca Serrana 15 Oz X 10"/>
    <n v="1"/>
    <n v="19"/>
    <n v="19"/>
    <n v="2678.7"/>
  </r>
  <r>
    <x v="8"/>
    <x v="25"/>
    <s v="Bill"/>
    <s v="55130"/>
    <x v="121"/>
    <s v="Papa Seca Amarilla 12 Oz X 8"/>
    <n v="1"/>
    <n v="17"/>
    <n v="17"/>
    <n v="2695.7"/>
  </r>
  <r>
    <x v="8"/>
    <x v="25"/>
    <s v="Bill"/>
    <s v="55130"/>
    <x v="122"/>
    <s v="Trigo Pelado 15 Oz X 12"/>
    <n v="1"/>
    <n v="19.8"/>
    <n v="19.8"/>
    <n v="2715.5"/>
  </r>
  <r>
    <x v="8"/>
    <x v="25"/>
    <s v="Bill"/>
    <s v="55130"/>
    <x v="123"/>
    <s v="Quinua Real 15 Oz X 12"/>
    <n v="1"/>
    <n v="28"/>
    <n v="28"/>
    <n v="2743.5"/>
  </r>
  <r>
    <x v="8"/>
    <x v="25"/>
    <s v="Bill"/>
    <s v="55130"/>
    <x v="124"/>
    <s v="Cebada Tostada 15 Oz X 10"/>
    <n v="1"/>
    <n v="13"/>
    <n v="13"/>
    <n v="2756.5"/>
  </r>
  <r>
    <x v="8"/>
    <x v="25"/>
    <s v="Bill"/>
    <s v="55130"/>
    <x v="125"/>
    <s v="Emoliente 5.3 Oz X 12"/>
    <n v="1"/>
    <n v="30"/>
    <n v="30"/>
    <n v="2786.5"/>
  </r>
  <r>
    <x v="8"/>
    <x v="25"/>
    <s v="Bill"/>
    <s v="55130"/>
    <x v="126"/>
    <s v="Harina De Chuno 15 Oz X 12"/>
    <n v="1"/>
    <n v="25"/>
    <n v="25"/>
    <n v="2811.5"/>
  </r>
  <r>
    <x v="8"/>
    <x v="25"/>
    <s v="Bill"/>
    <s v="55130"/>
    <x v="127"/>
    <s v="Chuno Blanco Entero 15 Oz X 8"/>
    <n v="1"/>
    <n v="22"/>
    <n v="22"/>
    <n v="2833.5"/>
  </r>
  <r>
    <x v="8"/>
    <x v="25"/>
    <s v="Bill"/>
    <s v="55130"/>
    <x v="128"/>
    <s v="Pallares 15 Oz X 12"/>
    <n v="1"/>
    <n v="24"/>
    <n v="24"/>
    <n v="2857.5"/>
  </r>
  <r>
    <x v="8"/>
    <x v="25"/>
    <s v="Bill"/>
    <s v="55130"/>
    <x v="129"/>
    <s v="Hongos Y Laurel 1.57 Oz X 12"/>
    <n v="1"/>
    <n v="36"/>
    <n v="36"/>
    <n v="2893.5"/>
  </r>
  <r>
    <x v="8"/>
    <x v="25"/>
    <s v="Bill"/>
    <s v="55130"/>
    <x v="130"/>
    <s v="Habas Peladas 15 Oz X 12"/>
    <n v="1"/>
    <n v="24"/>
    <n v="24"/>
    <n v="2917.5"/>
  </r>
  <r>
    <x v="8"/>
    <x v="25"/>
    <s v="Bill"/>
    <s v="55130"/>
    <x v="131"/>
    <s v="Oregano Entero 30 G X 12"/>
    <n v="1"/>
    <n v="30"/>
    <n v="30"/>
    <n v="2947.5"/>
  </r>
  <r>
    <x v="8"/>
    <x v="25"/>
    <s v="Bill"/>
    <s v="55130"/>
    <x v="132"/>
    <s v="Tuco 70 G X 12"/>
    <n v="1"/>
    <n v="24"/>
    <n v="24"/>
    <n v="2971.5"/>
  </r>
  <r>
    <x v="8"/>
    <x v="25"/>
    <s v="Bill"/>
    <s v="55130"/>
    <x v="133"/>
    <s v="Palillo Molido75 G X 12"/>
    <n v="1"/>
    <n v="24"/>
    <n v="24"/>
    <n v="2995.5"/>
  </r>
  <r>
    <x v="8"/>
    <x v="25"/>
    <s v="Bill"/>
    <s v="55130"/>
    <x v="134"/>
    <s v="Aji Panca Molido 70 G X 12"/>
    <n v="1"/>
    <n v="26"/>
    <n v="26"/>
    <n v="3021.5"/>
  </r>
  <r>
    <x v="8"/>
    <x v="25"/>
    <s v="Bill"/>
    <s v="55130"/>
    <x v="135"/>
    <s v="Kion Molido 60 G X 12"/>
    <n v="1"/>
    <n v="28"/>
    <n v="28"/>
    <n v="3049.5"/>
  </r>
  <r>
    <x v="8"/>
    <x v="25"/>
    <s v="Bill"/>
    <s v="55130"/>
    <x v="136"/>
    <s v="Atun Florida Solido en aceite 6 Oz X 48"/>
    <n v="1"/>
    <n v="82.5"/>
    <n v="82.5"/>
    <n v="3132"/>
  </r>
  <r>
    <x v="8"/>
    <x v="25"/>
    <s v="Bill"/>
    <s v="55130"/>
    <x v="10"/>
    <s v="MSG -AJINOMOTO"/>
    <n v="1"/>
    <n v="99"/>
    <n v="99"/>
    <n v="3231"/>
  </r>
  <r>
    <x v="8"/>
    <x v="25"/>
    <s v="Bill"/>
    <s v="55130"/>
    <x v="140"/>
    <s v="Aceitunas Negras 20 Oz X 12"/>
    <n v="1"/>
    <n v="39"/>
    <n v="39"/>
    <n v="3270"/>
  </r>
  <r>
    <x v="8"/>
    <x v="25"/>
    <s v="Bill"/>
    <s v="55130"/>
    <x v="141"/>
    <s v="Aceitunas Botija Sin Pepa 20 Oz X 12"/>
    <n v="1"/>
    <n v="42"/>
    <n v="42"/>
    <n v="3312"/>
  </r>
  <r>
    <x v="8"/>
    <x v="25"/>
    <s v="Bill"/>
    <s v="55130"/>
    <x v="142"/>
    <s v="Peruchef Chicha De Jora 1 L X 12"/>
    <n v="1"/>
    <n v="39"/>
    <n v="39"/>
    <n v="3351"/>
  </r>
  <r>
    <x v="8"/>
    <x v="25"/>
    <s v="Bill"/>
    <s v="55130"/>
    <x v="143"/>
    <s v="Peruchef Chancaca"/>
    <n v="1"/>
    <n v="50"/>
    <n v="50"/>
    <n v="3401"/>
  </r>
  <r>
    <x v="8"/>
    <x v="25"/>
    <s v="Bill"/>
    <s v="55130"/>
    <x v="56"/>
    <s v="Provenzal Ocopa 70 Gr X 12)"/>
    <n v="1"/>
    <n v="28"/>
    <n v="28"/>
    <n v="3429"/>
  </r>
  <r>
    <x v="8"/>
    <x v="25"/>
    <s v="Bill"/>
    <s v="55130"/>
    <x v="55"/>
    <s v="Provenzal Huancaina 64 Gr X 12)"/>
    <n v="1"/>
    <n v="28"/>
    <n v="28"/>
    <n v="3457"/>
  </r>
  <r>
    <x v="8"/>
    <x v="25"/>
    <s v="Bill"/>
    <s v="55130"/>
    <x v="53"/>
    <s v="Provenzal Cau Cau 60 Gr X 12)"/>
    <n v="1"/>
    <n v="26"/>
    <n v="26"/>
    <n v="3483"/>
  </r>
  <r>
    <x v="8"/>
    <x v="25"/>
    <s v="Bill"/>
    <s v="55130"/>
    <x v="144"/>
    <s v="VICTORIA - Chomp Naranja"/>
    <n v="1"/>
    <n v="16"/>
    <n v="16"/>
    <n v="3499"/>
  </r>
  <r>
    <x v="8"/>
    <x v="25"/>
    <s v="Bill"/>
    <s v="55130"/>
    <x v="145"/>
    <s v="Chomp Galletas Chocolate 42 G"/>
    <n v="1"/>
    <n v="16"/>
    <n v="16"/>
    <n v="3515"/>
  </r>
  <r>
    <x v="8"/>
    <x v="25"/>
    <s v="Bill"/>
    <s v="55130"/>
    <x v="146"/>
    <s v="Tentacion Galleta Coco 47 G"/>
    <n v="1"/>
    <n v="16"/>
    <n v="16"/>
    <n v="3531"/>
  </r>
  <r>
    <x v="8"/>
    <x v="25"/>
    <s v="Bill"/>
    <s v="55130"/>
    <x v="147"/>
    <s v="Tentacion Galleta Vainilla 47 G"/>
    <n v="1"/>
    <n v="16"/>
    <n v="16"/>
    <n v="3547"/>
  </r>
  <r>
    <x v="8"/>
    <x v="25"/>
    <s v="Bill"/>
    <s v="55130"/>
    <x v="148"/>
    <s v="Glacitas Fresa 32 G X 6 X 8"/>
    <n v="1"/>
    <n v="17"/>
    <n v="17"/>
    <n v="3564"/>
  </r>
  <r>
    <x v="8"/>
    <x v="25"/>
    <s v="Bill"/>
    <s v="55130"/>
    <x v="149"/>
    <s v="Glacitas Choconieve 32 G X 6 X 8"/>
    <n v="1"/>
    <n v="17"/>
    <n v="17"/>
    <n v="3581"/>
  </r>
  <r>
    <x v="8"/>
    <x v="25"/>
    <s v="Bill"/>
    <s v="55130"/>
    <x v="151"/>
    <s v="Glacitas Chocolate 32 G X 6 X 8"/>
    <n v="1"/>
    <n v="17"/>
    <n v="17"/>
    <n v="3598"/>
  </r>
  <r>
    <x v="8"/>
    <x v="25"/>
    <s v="Bill"/>
    <s v="55130"/>
    <x v="152"/>
    <s v="Sayon Galletas Tejanas 480 G X 8"/>
    <n v="1"/>
    <n v="35"/>
    <n v="35"/>
    <n v="3633"/>
  </r>
  <r>
    <x v="8"/>
    <x v="25"/>
    <s v="Bill"/>
    <s v="55130"/>
    <x v="154"/>
    <s v="San Jorge Galletas Soda  40 G  X 7 X 4"/>
    <n v="1"/>
    <n v="8"/>
    <n v="8"/>
    <n v="3641"/>
  </r>
  <r>
    <x v="8"/>
    <x v="25"/>
    <s v="Bill"/>
    <s v="55130"/>
    <x v="155"/>
    <s v="EL TRIUNFO - Fideo Chino - Chinese Noodles"/>
    <n v="1"/>
    <n v="36"/>
    <n v="36"/>
    <n v="3677"/>
  </r>
  <r>
    <x v="8"/>
    <x v="25"/>
    <s v="Bill"/>
    <s v="55130"/>
    <x v="157"/>
    <s v="Peruchef Mazamorra Morada 150 G"/>
    <n v="1"/>
    <n v="19"/>
    <n v="19"/>
    <n v="3696"/>
  </r>
  <r>
    <x v="8"/>
    <x v="25"/>
    <s v="Bill"/>
    <s v="55130"/>
    <x v="158"/>
    <s v="Peruchef Chicha Morada 120 G"/>
    <n v="1"/>
    <n v="12.5"/>
    <n v="12.5"/>
    <n v="3708.5"/>
  </r>
  <r>
    <x v="8"/>
    <x v="25"/>
    <s v="Bill"/>
    <s v="55130"/>
    <x v="159"/>
    <s v="ECCO - Café instantaneo de Cebada -Barley Instant Coffee"/>
    <n v="1"/>
    <n v="54"/>
    <n v="54"/>
    <n v="3762.5"/>
  </r>
  <r>
    <x v="8"/>
    <x v="25"/>
    <s v="Bill"/>
    <s v="55130"/>
    <x v="160"/>
    <s v="KIRMA - Café Instantaneo - Instant Coffee"/>
    <n v="1"/>
    <n v="115"/>
    <n v="115"/>
    <n v="3877.5"/>
  </r>
  <r>
    <x v="8"/>
    <x v="25"/>
    <s v="Bill"/>
    <s v="55130"/>
    <x v="161"/>
    <s v="Peruchef Esencia De Vainilla 100 Ml X 24"/>
    <n v="1"/>
    <n v="21"/>
    <n v="21"/>
    <n v="3898.5"/>
  </r>
  <r>
    <x v="8"/>
    <x v="25"/>
    <s v="Bill"/>
    <s v="55130"/>
    <x v="162"/>
    <s v="Choclo Desgranado 1 Lb X 30"/>
    <n v="1"/>
    <n v="66"/>
    <n v="66"/>
    <n v="3964.5"/>
  </r>
  <r>
    <x v="8"/>
    <x v="25"/>
    <s v="Bill"/>
    <s v="55130"/>
    <x v="163"/>
    <s v="Aji Amarillo 1 Lb X 18"/>
    <n v="1"/>
    <n v="46"/>
    <n v="46"/>
    <n v="4010.5"/>
  </r>
  <r>
    <x v="8"/>
    <x v="25"/>
    <s v="Bill"/>
    <s v="55130"/>
    <x v="164"/>
    <s v="Rocoto 1 Lb X 18"/>
    <n v="1"/>
    <n v="55"/>
    <n v="55"/>
    <n v="4065.5"/>
  </r>
  <r>
    <x v="8"/>
    <x v="25"/>
    <s v="Bill"/>
    <s v="55130"/>
    <x v="165"/>
    <s v="Aji Limo 1 Lb X 15"/>
    <n v="1"/>
    <n v="39"/>
    <n v="39"/>
    <n v="4104.5"/>
  </r>
  <r>
    <x v="8"/>
    <x v="25"/>
    <s v="Bill"/>
    <s v="55130"/>
    <x v="166"/>
    <s v="Olluco Cortado 1 Lb X 18"/>
    <n v="1"/>
    <n v="80"/>
    <n v="80"/>
    <n v="4184.5"/>
  </r>
  <r>
    <x v="8"/>
    <x v="25"/>
    <s v="Bill"/>
    <s v="55130"/>
    <x v="167"/>
    <s v="Papa Amarilla 1 Lb X 26"/>
    <n v="1"/>
    <n v="78"/>
    <n v="78"/>
    <n v="4262.5"/>
  </r>
  <r>
    <x v="8"/>
    <x v="25"/>
    <s v="Bill"/>
    <s v="55130"/>
    <x v="168"/>
    <s v="Yuca Amarilla 1.5Lb X 18"/>
    <n v="1"/>
    <n v="72"/>
    <n v="72"/>
    <n v="4334.5"/>
  </r>
  <r>
    <x v="8"/>
    <x v="25"/>
    <s v="Bill"/>
    <s v="55130"/>
    <x v="28"/>
    <s v="FIELD - Chokosoda Galletas"/>
    <n v="1"/>
    <n v="79.5"/>
    <n v="79.5"/>
    <n v="4414"/>
  </r>
  <r>
    <x v="8"/>
    <x v="25"/>
    <s v="Bill"/>
    <s v="55130"/>
    <x v="77"/>
    <s v="Chocman 30G"/>
    <n v="1"/>
    <n v="27"/>
    <n v="27"/>
    <n v="4441"/>
  </r>
  <r>
    <x v="8"/>
    <x v="25"/>
    <s v="Bill"/>
    <s v="55130"/>
    <x v="169"/>
    <s v="Peruchef Cancha Chulpi Salada"/>
    <n v="1"/>
    <n v="30"/>
    <n v="30"/>
    <n v="4471"/>
  </r>
  <r>
    <x v="8"/>
    <x v="25"/>
    <s v="Bill"/>
    <s v="55130"/>
    <x v="170"/>
    <s v="Peruchef Cancha Serrana Salada"/>
    <n v="1"/>
    <n v="30"/>
    <n v="30"/>
    <n v="4501"/>
  </r>
  <r>
    <x v="8"/>
    <x v="25"/>
    <s v="Bill"/>
    <s v="55130"/>
    <x v="171"/>
    <s v="Peruchef Habas Saladas"/>
    <n v="1"/>
    <n v="30"/>
    <n v="30"/>
    <n v="4531"/>
  </r>
  <r>
    <x v="8"/>
    <x v="26"/>
    <s v="Bill"/>
    <s v="55164"/>
    <x v="172"/>
    <s v="Harina De Arverja 15 Oz X 12"/>
    <n v="1"/>
    <n v="15.6"/>
    <n v="15.6"/>
    <n v="4546.6000000000004"/>
  </r>
  <r>
    <x v="8"/>
    <x v="26"/>
    <s v="Bill"/>
    <s v="55164"/>
    <x v="173"/>
    <s v="Aderezo Para Pachamanca 10 5 Oz X 12"/>
    <n v="1"/>
    <n v="36"/>
    <n v="36"/>
    <n v="4582.6000000000004"/>
  </r>
  <r>
    <x v="8"/>
    <x v="26"/>
    <s v="Bill"/>
    <s v="55164"/>
    <x v="142"/>
    <s v="Peruchef Chicha De Jora 1 L X 12"/>
    <n v="1"/>
    <n v="39"/>
    <n v="39"/>
    <n v="4621.6000000000004"/>
  </r>
  <r>
    <x v="8"/>
    <x v="26"/>
    <s v="Bill"/>
    <s v="55164"/>
    <x v="174"/>
    <s v="Peruchef Algarrobina"/>
    <n v="1"/>
    <n v="72"/>
    <n v="72"/>
    <n v="4693.6000000000004"/>
  </r>
  <r>
    <x v="8"/>
    <x v="26"/>
    <s v="Bill"/>
    <s v="55164"/>
    <x v="175"/>
    <s v="Peruchef Jarabe De Goma"/>
    <n v="1"/>
    <n v="55"/>
    <n v="55"/>
    <n v="4748.6000000000004"/>
  </r>
  <r>
    <x v="8"/>
    <x v="26"/>
    <s v="Bill"/>
    <s v="55164"/>
    <x v="158"/>
    <s v="PERU CHEF- POSTRES -   -  PERUCHEF CHICHA MORADA 120 G-  DISPLAY X 12 / 1"/>
    <n v="1"/>
    <n v="12.5"/>
    <n v="12.5"/>
    <n v="4761.1000000000004"/>
  </r>
  <r>
    <x v="8"/>
    <x v="26"/>
    <s v="Bill"/>
    <s v="55164"/>
    <x v="157"/>
    <s v="PERU CHEF- POSTRES -   -  PERUCHEF MAZAMORRA MORADA 150 G-  DISPLAY X 12 / 1"/>
    <n v="1"/>
    <n v="19"/>
    <n v="19"/>
    <n v="4780.1000000000004"/>
  </r>
  <r>
    <x v="8"/>
    <x v="26"/>
    <s v="Bill"/>
    <s v="55164"/>
    <x v="176"/>
    <s v="PERU CHEF - Peru Chef Rocoto En Mitades lata 20oz x12 latas / 850009035332"/>
    <n v="1"/>
    <n v="36"/>
    <n v="36"/>
    <n v="4816.1000000000004"/>
  </r>
  <r>
    <x v="8"/>
    <x v="26"/>
    <s v="Bill"/>
    <s v="55164"/>
    <x v="58"/>
    <s v="PERU CHEF- SALSAS Y CREMAS -   -  PROVENZAL PICARONES CON MIEL 165 GR X 12"/>
    <n v="1"/>
    <n v="40"/>
    <n v="40"/>
    <n v="4856.1000000000004"/>
  </r>
  <r>
    <x v="8"/>
    <x v="26"/>
    <s v="Bill"/>
    <s v="55164"/>
    <x v="156"/>
    <s v="Kikko Siyau 500ml x 30 /  00998"/>
    <n v="1"/>
    <n v="39"/>
    <n v="39"/>
    <n v="4895.1000000000004"/>
  </r>
  <r>
    <x v="8"/>
    <x v="26"/>
    <s v="Bill"/>
    <s v="55164"/>
    <x v="155"/>
    <s v="T.A - PERU -  MISCELANEUS PRODUCTS -  EL TRIUNFO - Fideo Chino - Chinese Noodles -  30 / 250gr - FIDEO"/>
    <n v="1"/>
    <n v="39"/>
    <n v="39"/>
    <n v="4934.1000000000004"/>
  </r>
  <r>
    <x v="8"/>
    <x v="26"/>
    <s v="Bill"/>
    <s v="55164"/>
    <x v="160"/>
    <s v="KIRMA - Café Instantaneo - Instant Coffee"/>
    <n v="1"/>
    <n v="115"/>
    <n v="115"/>
    <n v="5049.1000000000004"/>
  </r>
  <r>
    <x v="8"/>
    <x v="26"/>
    <s v="Bill"/>
    <s v="55164"/>
    <x v="32"/>
    <s v="D'Onofrio Chocolate Sublime 26 G"/>
    <n v="5"/>
    <n v="15"/>
    <n v="75"/>
    <n v="5124.1000000000004"/>
  </r>
  <r>
    <x v="8"/>
    <x v="26"/>
    <s v="Bill"/>
    <s v="55164"/>
    <x v="177"/>
    <s v="Chocolate Triangulo"/>
    <n v="5"/>
    <n v="15.5"/>
    <n v="77.5"/>
    <n v="5201.6000000000004"/>
  </r>
  <r>
    <x v="8"/>
    <x v="26"/>
    <s v="Bill"/>
    <s v="55164"/>
    <x v="33"/>
    <s v="Belmont - Galletas Morochas 30gr 6x 30 / 7613035803121 / DD-05"/>
    <n v="1"/>
    <n v="78"/>
    <n v="78"/>
    <n v="5279.6"/>
  </r>
  <r>
    <x v="8"/>
    <x v="26"/>
    <s v="Bill"/>
    <s v="55164"/>
    <x v="21"/>
    <s v="TA- PERU -  GOLOSINAS - DULCES  -  Doña Pepa 23g  6 x 36 / CH106"/>
    <n v="1"/>
    <n v="70"/>
    <n v="70"/>
    <n v="5349.6"/>
  </r>
  <r>
    <x v="8"/>
    <x v="26"/>
    <s v="Bill"/>
    <s v="55164"/>
    <x v="20"/>
    <s v="TA- PERU -  GOLOSINAS - DULCES  -  Cua Cua 18g x 9 x 24 / CH105"/>
    <n v="1"/>
    <n v="68"/>
    <n v="68"/>
    <n v="5417.6"/>
  </r>
  <r>
    <x v="8"/>
    <x v="26"/>
    <s v="Bill"/>
    <s v="55164"/>
    <x v="77"/>
    <s v="Chocman 30G"/>
    <n v="3"/>
    <n v="27"/>
    <n v="81"/>
    <n v="5498.6"/>
  </r>
  <r>
    <x v="8"/>
    <x v="26"/>
    <s v="Bill"/>
    <s v="55164"/>
    <x v="23"/>
    <s v="T.A GOLOSINAS Y DULCES -   -  GALLETAS MARGARITA SAYON-  55gr BOLSA x 6 / 8"/>
    <n v="5"/>
    <n v="17"/>
    <n v="85"/>
    <n v="5583.6"/>
  </r>
  <r>
    <x v="8"/>
    <x v="26"/>
    <s v="Bill"/>
    <s v="55164"/>
    <x v="178"/>
    <s v="PERU CHEF- GOLOSINAS Y DULCES -   -  SAN JORGE MUNICION 450 G X 6"/>
    <n v="1"/>
    <n v="15"/>
    <n v="15"/>
    <n v="5598.6"/>
  </r>
  <r>
    <x v="8"/>
    <x v="26"/>
    <s v="Bill"/>
    <s v="55164"/>
    <x v="154"/>
    <s v="PERU CHEF- GOLOSINAS Y DULCES -   -  SAN JORGE GALLETAS SODA  40 G  X 7 X 4-   / 4"/>
    <n v="5"/>
    <n v="8"/>
    <n v="40"/>
    <n v="5638.6"/>
  </r>
  <r>
    <x v="8"/>
    <x v="26"/>
    <s v="Bill"/>
    <s v="55164"/>
    <x v="169"/>
    <s v="Peruchef Cancha Chulpi Salada"/>
    <n v="1"/>
    <n v="30"/>
    <n v="30"/>
    <n v="5668.6"/>
  </r>
  <r>
    <x v="8"/>
    <x v="26"/>
    <s v="Bill"/>
    <s v="55164"/>
    <x v="170"/>
    <s v="Peruchef Cancha Serrana Salada"/>
    <n v="1"/>
    <n v="30"/>
    <n v="30"/>
    <n v="5698.6"/>
  </r>
  <r>
    <x v="8"/>
    <x v="26"/>
    <s v="Bill"/>
    <s v="55164"/>
    <x v="171"/>
    <s v="Peruchef Habas Saladas"/>
    <n v="1"/>
    <n v="30"/>
    <n v="30"/>
    <n v="5728.6"/>
  </r>
  <r>
    <x v="8"/>
    <x v="26"/>
    <s v="Bill"/>
    <s v="55164"/>
    <x v="111"/>
    <s v="Pasta Aji Amarillo 16 Oz X 12"/>
    <n v="1"/>
    <n v="36"/>
    <n v="36"/>
    <n v="5764.6"/>
  </r>
  <r>
    <x v="8"/>
    <x v="26"/>
    <s v="Bill"/>
    <s v="55164"/>
    <x v="116"/>
    <s v="Maiz Morado 15 Oz X 22"/>
    <n v="1"/>
    <n v="48"/>
    <n v="48"/>
    <n v="5812.6"/>
  </r>
  <r>
    <x v="8"/>
    <x v="26"/>
    <s v="Bill"/>
    <s v="55164"/>
    <x v="179"/>
    <s v="Pasta Rocoto 8 Oz X 12"/>
    <n v="1"/>
    <n v="30"/>
    <n v="30"/>
    <n v="5842.6"/>
  </r>
  <r>
    <x v="8"/>
    <x v="26"/>
    <s v="Bill"/>
    <s v="55164"/>
    <x v="180"/>
    <s v="Pasta Aji Panca 8 Oz X 12"/>
    <n v="1"/>
    <n v="24"/>
    <n v="24"/>
    <n v="5866.6"/>
  </r>
  <r>
    <x v="8"/>
    <x v="26"/>
    <s v="Bill"/>
    <s v="55164"/>
    <x v="145"/>
    <s v="Chomp Galletas Chocolate 42 G"/>
    <n v="5"/>
    <n v="17"/>
    <n v="85"/>
    <n v="5951.6"/>
  </r>
  <r>
    <x v="8"/>
    <x v="26"/>
    <s v="Bill"/>
    <s v="55164"/>
    <x v="144"/>
    <s v="TA- PERU -  GOLOSINAS - DULCES  -  VICTORIA - Chomp Naranja-  8 / 6x 42g - CH121"/>
    <n v="5"/>
    <n v="17"/>
    <n v="85"/>
    <n v="6036.6"/>
  </r>
  <r>
    <x v="8"/>
    <x v="26"/>
    <s v="Bill"/>
    <s v="55164"/>
    <x v="146"/>
    <s v="Tentacion Galleta Coco 47 G"/>
    <n v="5"/>
    <n v="17"/>
    <n v="85"/>
    <n v="6121.6"/>
  </r>
  <r>
    <x v="8"/>
    <x v="26"/>
    <s v="Bill"/>
    <s v="55164"/>
    <x v="147"/>
    <s v="Tentacion Galleta Vainilla 47 G"/>
    <n v="5"/>
    <n v="17"/>
    <n v="85"/>
    <n v="6206.6"/>
  </r>
  <r>
    <x v="8"/>
    <x v="26"/>
    <s v="Bill"/>
    <s v="55164"/>
    <x v="148"/>
    <s v="Glacitas Fresa 32 G X 6 X 8"/>
    <n v="5"/>
    <n v="17"/>
    <n v="85"/>
    <n v="6291.6"/>
  </r>
  <r>
    <x v="8"/>
    <x v="26"/>
    <s v="Bill"/>
    <s v="55164"/>
    <x v="151"/>
    <s v="Glacitas Chocolate 32 G X 6 X 8"/>
    <n v="5"/>
    <n v="17"/>
    <n v="85"/>
    <n v="6376.6"/>
  </r>
  <r>
    <x v="8"/>
    <x v="26"/>
    <s v="Bill"/>
    <s v="55164"/>
    <x v="149"/>
    <s v="Glacitas Choconieve 32 G X 6 X 8"/>
    <n v="5"/>
    <n v="17"/>
    <n v="85"/>
    <n v="6461.6"/>
  </r>
  <r>
    <x v="8"/>
    <x v="26"/>
    <s v="Bill"/>
    <s v="55164"/>
    <x v="181"/>
    <s v="PERU CHEF- FILTRANTES PERUCHEF -   -  MANZANILLA x 20"/>
    <n v="1"/>
    <n v="19.5"/>
    <n v="19.5"/>
    <n v="6481.1"/>
  </r>
  <r>
    <x v="8"/>
    <x v="26"/>
    <s v="Bill"/>
    <s v="55164"/>
    <x v="182"/>
    <s v="Peru Chef Hierba Luisa X 20 x 12"/>
    <n v="1"/>
    <n v="19.5"/>
    <n v="19.5"/>
    <n v="6500.6"/>
  </r>
  <r>
    <x v="8"/>
    <x v="26"/>
    <s v="Bill"/>
    <s v="55164"/>
    <x v="183"/>
    <s v="Galleta Charada Field"/>
    <n v="5"/>
    <n v="58"/>
    <n v="290"/>
    <n v="6790.6"/>
  </r>
  <r>
    <x v="8"/>
    <x v="26"/>
    <s v="Bill"/>
    <s v="55164"/>
    <x v="31"/>
    <s v="Winter'S Picaras Chocolate"/>
    <n v="2"/>
    <n v="69"/>
    <n v="138"/>
    <n v="6928.6"/>
  </r>
  <r>
    <x v="8"/>
    <x v="26"/>
    <s v="Bill"/>
    <s v="55164"/>
    <x v="184"/>
    <s v="Gn Rellenitas Fresa X 8 X 5"/>
    <n v="5"/>
    <n v="9"/>
    <n v="45"/>
    <n v="6973.6"/>
  </r>
  <r>
    <x v="8"/>
    <x v="26"/>
    <s v="Bill"/>
    <s v="55164"/>
    <x v="185"/>
    <s v="Gn Rellenitas Coco X 8 X 5"/>
    <n v="5"/>
    <n v="9"/>
    <n v="45"/>
    <n v="7018.6"/>
  </r>
  <r>
    <x v="8"/>
    <x v="27"/>
    <s v="Bill"/>
    <s v="55372"/>
    <x v="112"/>
    <s v="Pasta Aji Panca 16 Oz X 12"/>
    <n v="2"/>
    <n v="44"/>
    <n v="88"/>
    <n v="7106.6"/>
  </r>
  <r>
    <x v="8"/>
    <x v="27"/>
    <s v="Bill"/>
    <s v="55372"/>
    <x v="111"/>
    <s v="Pasta Aji Amarillo 16 Oz X 12"/>
    <n v="2"/>
    <n v="40"/>
    <n v="80"/>
    <n v="7186.6"/>
  </r>
  <r>
    <x v="8"/>
    <x v="27"/>
    <s v="Bill"/>
    <s v="55372"/>
    <x v="113"/>
    <s v="PERU CHEF - Pasta Ajos 16 Oz X 12 frasco vidrio"/>
    <n v="1"/>
    <n v="66"/>
    <n v="66"/>
    <n v="7252.6"/>
  </r>
  <r>
    <x v="8"/>
    <x v="27"/>
    <s v="Bill"/>
    <s v="55372"/>
    <x v="186"/>
    <s v="PERU CHEF- CONDIMENTO EN PASTA -   -  PASTA AJI AMARILLO POCO PIC 16 OZ X 12-  12 / FCO VIDRIO"/>
    <n v="2"/>
    <n v="40"/>
    <n v="80"/>
    <n v="7332.6"/>
  </r>
  <r>
    <x v="8"/>
    <x v="27"/>
    <s v="Bill"/>
    <s v="55372"/>
    <x v="187"/>
    <s v="PERU CHEF- CONDIMENTO EN PASTA -   -  PASTA AJI PANCA POCO PIC 16 OZ X 12-  12 / FCO VIDRIO"/>
    <n v="1"/>
    <n v="48"/>
    <n v="48"/>
    <n v="7380.6"/>
  </r>
  <r>
    <x v="8"/>
    <x v="27"/>
    <s v="Bill"/>
    <s v="55372"/>
    <x v="117"/>
    <s v="PERU CHEF- GRANOS -  BOLSA -  MAIZ CHULPE 15 OZ X 12"/>
    <n v="2"/>
    <n v="28"/>
    <n v="56"/>
    <n v="7436.6"/>
  </r>
  <r>
    <x v="8"/>
    <x v="27"/>
    <s v="Bill"/>
    <s v="55372"/>
    <x v="118"/>
    <s v="PERU CHEF- GRANOS -  BOLSA -  MAIZ CANCHA MONTAÑA15 OZ X 10"/>
    <n v="2"/>
    <n v="28"/>
    <n v="56"/>
    <n v="7492.6"/>
  </r>
  <r>
    <x v="8"/>
    <x v="27"/>
    <s v="Bill"/>
    <s v="55372"/>
    <x v="120"/>
    <s v="PERU CHEF- GRANOS -  BOLSA -  PAPA SECA SERRANA 15 OZ X 10"/>
    <n v="2"/>
    <n v="21"/>
    <n v="42"/>
    <n v="7534.6"/>
  </r>
  <r>
    <x v="8"/>
    <x v="27"/>
    <s v="Bill"/>
    <s v="55372"/>
    <x v="121"/>
    <s v="PERU CHEF- GRANOS -  BOLSA -  PAPA SECA AMARILLA 12 OZ X 8"/>
    <n v="2"/>
    <n v="17"/>
    <n v="34"/>
    <n v="7568.6"/>
  </r>
  <r>
    <x v="8"/>
    <x v="27"/>
    <s v="Bill"/>
    <s v="55372"/>
    <x v="122"/>
    <s v="PERU CHEF- GRANOS -  BOLSA -  TRIGO PELADO 15 OZ X 12"/>
    <n v="2"/>
    <n v="19.8"/>
    <n v="39.6"/>
    <n v="7608.2000000000007"/>
  </r>
  <r>
    <x v="8"/>
    <x v="27"/>
    <s v="Bill"/>
    <s v="55372"/>
    <x v="123"/>
    <s v="PERU CHEF- GRANOS -  BOLSA -  QUINUA REAL 15 OZ X 12"/>
    <n v="2"/>
    <n v="28"/>
    <n v="56"/>
    <n v="7664.2000000000007"/>
  </r>
  <r>
    <x v="8"/>
    <x v="27"/>
    <s v="Bill"/>
    <s v="55372"/>
    <x v="126"/>
    <s v="PERU CHEF- GRANOS -  BOLSA -  HARINA DE CHUNO 15 OZ X 12"/>
    <n v="4"/>
    <n v="25"/>
    <n v="100"/>
    <n v="7764.2000000000007"/>
  </r>
  <r>
    <x v="8"/>
    <x v="27"/>
    <s v="Bill"/>
    <s v="55372"/>
    <x v="125"/>
    <s v="PERU CHEF- GRANOS -  BOLSA -  EMOLIENTE 5.3 OZ X 12"/>
    <n v="2"/>
    <n v="30"/>
    <n v="60"/>
    <n v="7824.2000000000007"/>
  </r>
  <r>
    <x v="8"/>
    <x v="27"/>
    <s v="Bill"/>
    <s v="55372"/>
    <x v="129"/>
    <s v="PERU CHEF- GRANOS -  BOLSA -  HONGOS Y LAUREL 1.57 OZ X 12"/>
    <n v="2"/>
    <n v="36"/>
    <n v="72"/>
    <n v="7896.2000000000007"/>
  </r>
  <r>
    <x v="8"/>
    <x v="27"/>
    <s v="Bill"/>
    <s v="55372"/>
    <x v="134"/>
    <s v="PERU CHEF- CONDIMENTO EN POLVO -   -  AJI PANCA MOLIDO 70 G X 12"/>
    <n v="2"/>
    <n v="26"/>
    <n v="52"/>
    <n v="7948.2000000000007"/>
  </r>
  <r>
    <x v="8"/>
    <x v="27"/>
    <s v="Bill"/>
    <s v="55372"/>
    <x v="33"/>
    <s v="Belmont - Galletas Morochas 30gr 6x 30 / 7613035803121 / DD-05"/>
    <n v="2"/>
    <n v="78"/>
    <n v="156"/>
    <n v="8104.2000000000007"/>
  </r>
  <r>
    <x v="8"/>
    <x v="27"/>
    <s v="Bill"/>
    <s v="55372"/>
    <x v="32"/>
    <s v="D'Onofrio Chocolate Sublime 26 G"/>
    <n v="15"/>
    <n v="15"/>
    <n v="225"/>
    <n v="8329.2000000000007"/>
  </r>
  <r>
    <x v="8"/>
    <x v="27"/>
    <s v="Bill"/>
    <s v="55372"/>
    <x v="177"/>
    <s v="Chocolate Triangulo"/>
    <n v="25"/>
    <n v="15.5"/>
    <n v="387.5"/>
    <n v="8716.7000000000007"/>
  </r>
  <r>
    <x v="8"/>
    <x v="27"/>
    <s v="Bill"/>
    <s v="55372"/>
    <x v="144"/>
    <s v="TA- PERU -  GOLOSINAS - DULCES  -  VICTORIA - Chomp Naranja-  8 / 6x 42g - CH121"/>
    <n v="8"/>
    <n v="17"/>
    <n v="136"/>
    <n v="8852.7000000000007"/>
  </r>
  <r>
    <x v="8"/>
    <x v="27"/>
    <s v="Bill"/>
    <s v="55372"/>
    <x v="178"/>
    <s v="PERU CHEF- GOLOSINAS Y DULCES -   -  SAN JORGE MUNICION 450 G X 6"/>
    <n v="5"/>
    <n v="15"/>
    <n v="75"/>
    <n v="8927.7000000000007"/>
  </r>
  <r>
    <x v="8"/>
    <x v="27"/>
    <s v="Bill"/>
    <s v="55372"/>
    <x v="154"/>
    <s v="PERU CHEF- GOLOSINAS Y DULCES -   -  SAN JORGE GALLETAS SODA  40 G  X 7 X 4-   / 4"/>
    <n v="15"/>
    <n v="8"/>
    <n v="120"/>
    <n v="9047.7000000000007"/>
  </r>
  <r>
    <x v="8"/>
    <x v="27"/>
    <s v="Bill"/>
    <s v="55372"/>
    <x v="157"/>
    <s v="PERU CHEF- POSTRES -   -  PERUCHEF MAZAMORRA MORADA 150 G-  DISPLAY X 12 / 1"/>
    <n v="5"/>
    <n v="19"/>
    <n v="95"/>
    <n v="9142.7000000000007"/>
  </r>
  <r>
    <x v="8"/>
    <x v="27"/>
    <s v="Bill"/>
    <s v="55372"/>
    <x v="158"/>
    <s v="PERU CHEF- POSTRES -   -  PERUCHEF CHICHA MORADA 120 G-  DISPLAY X 12 / 1"/>
    <n v="8"/>
    <n v="12.5"/>
    <n v="100"/>
    <n v="9242.7000000000007"/>
  </r>
  <r>
    <x v="8"/>
    <x v="27"/>
    <s v="Bill"/>
    <s v="55372"/>
    <x v="169"/>
    <s v="Peruchef Cancha Chulpi Salada"/>
    <n v="1"/>
    <n v="30"/>
    <n v="30"/>
    <n v="9272.7000000000007"/>
  </r>
  <r>
    <x v="8"/>
    <x v="27"/>
    <s v="Bill"/>
    <s v="55372"/>
    <x v="170"/>
    <s v="Peruchef Cancha Serrana Salada"/>
    <n v="1"/>
    <n v="30"/>
    <n v="30"/>
    <n v="9302.7000000000007"/>
  </r>
  <r>
    <x v="8"/>
    <x v="27"/>
    <s v="Bill"/>
    <s v="55372"/>
    <x v="171"/>
    <s v="Peruchef Habas Saladas"/>
    <n v="1"/>
    <n v="30"/>
    <n v="30"/>
    <n v="9332.7000000000007"/>
  </r>
  <r>
    <x v="8"/>
    <x v="27"/>
    <s v="Bill"/>
    <s v="55372"/>
    <x v="136"/>
    <s v="CONSERVAS -   -  ATUN FLORIDA SOLIDO EN ACEITE 6 OZ X 48-  LATA / 48"/>
    <n v="2"/>
    <n v="82"/>
    <n v="164"/>
    <n v="9496.7000000000007"/>
  </r>
  <r>
    <x v="8"/>
    <x v="27"/>
    <s v="Bill"/>
    <s v="55372"/>
    <x v="137"/>
    <s v="SALSAS Y CREMAS -  WALIBI -  ACEITUNESA-  DOY PACK 380 G / 12"/>
    <n v="3"/>
    <n v="31.8"/>
    <n v="95.4"/>
    <n v="9592.1"/>
  </r>
  <r>
    <x v="8"/>
    <x v="27"/>
    <s v="Bill"/>
    <s v="55372"/>
    <x v="188"/>
    <s v="- SALSAS Y CREMAS -  WALIBI -  MAYONESA-  DOY PACK 380 G / 12"/>
    <n v="2"/>
    <n v="31.8"/>
    <n v="63.6"/>
    <n v="9655.7000000000007"/>
  </r>
  <r>
    <x v="8"/>
    <x v="27"/>
    <s v="Bill"/>
    <s v="55372"/>
    <x v="189"/>
    <s v="- SALSAS Y CREMAS -  WALIBI -  SALSA DE AJI CRIOLLO-  DOY PACK 380 G / 12"/>
    <n v="2"/>
    <n v="31.8"/>
    <n v="63.6"/>
    <n v="9719.3000000000011"/>
  </r>
  <r>
    <x v="8"/>
    <x v="27"/>
    <s v="Bill"/>
    <s v="55372"/>
    <x v="138"/>
    <s v="PERU CHEF- SALSAS Y CREMAS -  WALIBI -  CREMA DE ROCOTO-  DOY PACK 380 G / 12"/>
    <n v="3"/>
    <n v="31.8"/>
    <n v="95.4"/>
    <n v="9814.7000000000007"/>
  </r>
  <r>
    <x v="8"/>
    <x v="27"/>
    <s v="Bill"/>
    <s v="55372"/>
    <x v="139"/>
    <s v="- SALSAS Y CREMAS -  WALIBI -  SALSA HUANCAINA-  DOY PACK 380 G / 12"/>
    <n v="1"/>
    <n v="31.8"/>
    <n v="31.8"/>
    <n v="9846.5"/>
  </r>
  <r>
    <x v="8"/>
    <x v="27"/>
    <s v="Bill"/>
    <s v="55372"/>
    <x v="190"/>
    <s v="PERU CHEF- PANETON -   -  PERUCHEF PANETON 900 G X 6"/>
    <n v="20"/>
    <n v="38"/>
    <n v="760"/>
    <n v="10606.5"/>
  </r>
  <r>
    <x v="8"/>
    <x v="28"/>
    <s v="Bill"/>
    <s v="56352"/>
    <x v="191"/>
    <s v="PERU CHEF- VERDURAS -  FROZEN -  CHOCLO DESGRANADO 3 LB X 10-"/>
    <n v="4"/>
    <n v="70.5"/>
    <n v="282"/>
    <n v="10888.5"/>
  </r>
  <r>
    <x v="8"/>
    <x v="28"/>
    <s v="Bill"/>
    <s v="56352"/>
    <x v="165"/>
    <s v="Aji Limo 1 Lb X 15"/>
    <n v="4"/>
    <n v="43"/>
    <n v="172"/>
    <n v="11060.5"/>
  </r>
  <r>
    <x v="8"/>
    <x v="28"/>
    <s v="Bill"/>
    <s v="56352"/>
    <x v="112"/>
    <s v="Pasta Aji Panca 16 Oz X 12"/>
    <n v="1"/>
    <n v="44"/>
    <n v="44"/>
    <n v="11104.5"/>
  </r>
  <r>
    <x v="8"/>
    <x v="28"/>
    <s v="Bill"/>
    <s v="56352"/>
    <x v="111"/>
    <s v="Pasta Aji Amarillo 16 Oz X 12"/>
    <n v="1"/>
    <n v="40"/>
    <n v="40"/>
    <n v="11144.5"/>
  </r>
  <r>
    <x v="8"/>
    <x v="28"/>
    <s v="Bill"/>
    <s v="56352"/>
    <x v="113"/>
    <s v="PERU CHEF - Pasta Ajos 16 Oz X 12 frasco vidrio"/>
    <n v="1"/>
    <n v="66"/>
    <n v="66"/>
    <n v="11210.5"/>
  </r>
  <r>
    <x v="8"/>
    <x v="28"/>
    <s v="Bill"/>
    <s v="56352"/>
    <x v="186"/>
    <s v="PERU CHEF- CONDIMENTO EN PASTA -   -  PASTA AJI AMARILLO POCO PIC 16 OZ X 12-  12 / FCO VIDRIO"/>
    <n v="1"/>
    <n v="40"/>
    <n v="40"/>
    <n v="11250.5"/>
  </r>
  <r>
    <x v="8"/>
    <x v="28"/>
    <s v="Bill"/>
    <s v="56352"/>
    <x v="192"/>
    <s v="Salsa Aji Amarillo 10.5 Oz X 12"/>
    <n v="1"/>
    <n v="42"/>
    <n v="42"/>
    <n v="11292.5"/>
  </r>
  <r>
    <x v="8"/>
    <x v="28"/>
    <s v="Bill"/>
    <s v="56352"/>
    <x v="193"/>
    <s v="Salsa Aji Criollo 10.5 Oz X 12"/>
    <n v="1"/>
    <n v="39"/>
    <n v="39"/>
    <n v="11331.5"/>
  </r>
  <r>
    <x v="8"/>
    <x v="28"/>
    <s v="Bill"/>
    <s v="56352"/>
    <x v="114"/>
    <s v="Crema De Aji P/Ceviche 10.5 Oz X 12"/>
    <n v="3"/>
    <n v="39"/>
    <n v="117"/>
    <n v="11448.5"/>
  </r>
  <r>
    <x v="8"/>
    <x v="28"/>
    <s v="Bill"/>
    <s v="56352"/>
    <x v="194"/>
    <s v="Salsa De Aji Limo 11 Oz X 12"/>
    <n v="2"/>
    <n v="49.5"/>
    <n v="99"/>
    <n v="11547.5"/>
  </r>
  <r>
    <x v="8"/>
    <x v="28"/>
    <s v="Bill"/>
    <s v="56352"/>
    <x v="195"/>
    <s v="Aji Parrillero 11 Oz X 12"/>
    <n v="2"/>
    <n v="39"/>
    <n v="78"/>
    <n v="11625.5"/>
  </r>
  <r>
    <x v="8"/>
    <x v="28"/>
    <s v="Bill"/>
    <s v="56352"/>
    <x v="196"/>
    <s v="Salsa De Aji Charapita 11 Oz X 12"/>
    <n v="2"/>
    <n v="60"/>
    <n v="120"/>
    <n v="11745.5"/>
  </r>
  <r>
    <x v="8"/>
    <x v="28"/>
    <s v="Bill"/>
    <s v="56352"/>
    <x v="175"/>
    <s v="PERU CHEF- MIEL -   -  PERUCHEF JARABE DE GOMA-  FCO PLASTICO 17 OZ / 12"/>
    <n v="3"/>
    <n v="55"/>
    <n v="165"/>
    <n v="11910.5"/>
  </r>
  <r>
    <x v="8"/>
    <x v="28"/>
    <s v="Bill"/>
    <s v="56352"/>
    <x v="117"/>
    <s v="PERU CHEF- GRANOS -  BOLSA -  MAIZ CHULPE 15 OZ X 12"/>
    <n v="5"/>
    <n v="30"/>
    <n v="150"/>
    <n v="12060.5"/>
  </r>
  <r>
    <x v="8"/>
    <x v="28"/>
    <s v="Bill"/>
    <s v="56352"/>
    <x v="121"/>
    <s v="PERU CHEF- GRANOS -  BOLSA -  PAPA SECA AMARILLA 12 OZ X 8"/>
    <n v="3"/>
    <n v="19"/>
    <n v="57"/>
    <n v="12117.5"/>
  </r>
  <r>
    <x v="8"/>
    <x v="28"/>
    <s v="Bill"/>
    <s v="56352"/>
    <x v="122"/>
    <s v="PERU CHEF- GRANOS -  BOLSA -  TRIGO PELADO 15 OZ X 12"/>
    <n v="2"/>
    <n v="21"/>
    <n v="42"/>
    <n v="12159.5"/>
  </r>
  <r>
    <x v="8"/>
    <x v="28"/>
    <s v="Bill"/>
    <s v="56352"/>
    <x v="123"/>
    <s v="PERU CHEF- GRANOS -  BOLSA -  QUINUA REAL 15 OZ X 12"/>
    <n v="3"/>
    <n v="30"/>
    <n v="90"/>
    <n v="12249.5"/>
  </r>
  <r>
    <x v="8"/>
    <x v="28"/>
    <s v="Bill"/>
    <s v="56352"/>
    <x v="124"/>
    <s v="PERU CHEF- GRANOS -  BOLSA -  CEBADA TOSTADA 15 OZ X 10"/>
    <n v="2"/>
    <n v="14"/>
    <n v="28"/>
    <n v="12277.5"/>
  </r>
  <r>
    <x v="8"/>
    <x v="28"/>
    <s v="Bill"/>
    <s v="56352"/>
    <x v="197"/>
    <s v="Frijol Castilla 15 Oz X 12"/>
    <n v="2"/>
    <n v="22"/>
    <n v="44"/>
    <n v="12321.5"/>
  </r>
  <r>
    <x v="8"/>
    <x v="28"/>
    <s v="Bill"/>
    <s v="56352"/>
    <x v="128"/>
    <s v="PERU CHEF- GRANOS -  BOLSA -  PALLARES 15 OZ X 12"/>
    <n v="2"/>
    <n v="26"/>
    <n v="52"/>
    <n v="12373.5"/>
  </r>
  <r>
    <x v="8"/>
    <x v="28"/>
    <s v="Bill"/>
    <s v="56352"/>
    <x v="198"/>
    <s v="Semola 15 Oz X 12"/>
    <n v="2"/>
    <n v="18"/>
    <n v="36"/>
    <n v="12409.5"/>
  </r>
  <r>
    <x v="8"/>
    <x v="28"/>
    <s v="Bill"/>
    <s v="56352"/>
    <x v="199"/>
    <s v="PERU CHEF- GRANOS -  BOLSA -  KIWICHA 15 OZ X 12"/>
    <n v="2"/>
    <n v="32"/>
    <n v="64"/>
    <n v="12473.5"/>
  </r>
  <r>
    <x v="8"/>
    <x v="28"/>
    <s v="Bill"/>
    <s v="56352"/>
    <x v="129"/>
    <s v="PERU CHEF- GRANOS -  BOLSA -  HONGOS Y LAUREL 1.57 OZ X 12"/>
    <n v="12"/>
    <n v="39"/>
    <n v="468"/>
    <n v="12941.5"/>
  </r>
  <r>
    <x v="8"/>
    <x v="28"/>
    <s v="Bill"/>
    <s v="56352"/>
    <x v="200"/>
    <s v="San Jose Turron De Doña Pepa X 500G"/>
    <n v="24"/>
    <n v="5.5"/>
    <n v="132"/>
    <n v="13073.5"/>
  </r>
  <r>
    <x v="8"/>
    <x v="28"/>
    <s v="Bill"/>
    <s v="56352"/>
    <x v="152"/>
    <s v="Sayon Galletas Tejanas 480 G X 8"/>
    <n v="2"/>
    <n v="37"/>
    <n v="74"/>
    <n v="13147.5"/>
  </r>
  <r>
    <x v="8"/>
    <x v="28"/>
    <s v="Bill"/>
    <s v="56352"/>
    <x v="201"/>
    <s v="Chockman Doble Manjar 53 Gr X 8 X 6"/>
    <n v="7"/>
    <n v="22"/>
    <n v="154"/>
    <n v="13301.5"/>
  </r>
  <r>
    <x v="8"/>
    <x v="28"/>
    <s v="Bill"/>
    <s v="56352"/>
    <x v="178"/>
    <s v="PERU CHEF- GOLOSINAS Y DULCES -   -  SAN JORGE MUNICION 450 G X 6"/>
    <n v="2"/>
    <n v="15"/>
    <n v="30"/>
    <n v="13331.5"/>
  </r>
  <r>
    <x v="8"/>
    <x v="28"/>
    <s v="Bill"/>
    <s v="56352"/>
    <x v="185"/>
    <s v="Gn Rellenitas Coco X 8 X 5"/>
    <n v="8"/>
    <n v="9"/>
    <n v="72"/>
    <n v="13403.5"/>
  </r>
  <r>
    <x v="8"/>
    <x v="28"/>
    <s v="Bill"/>
    <s v="56352"/>
    <x v="184"/>
    <s v="Gn Rellenitas Fresa X 8 X 5"/>
    <n v="5"/>
    <n v="9"/>
    <n v="45"/>
    <n v="13448.5"/>
  </r>
  <r>
    <x v="8"/>
    <x v="28"/>
    <s v="Bill"/>
    <s v="56352"/>
    <x v="202"/>
    <s v="San Jorge Caracol 250 G X 20"/>
    <n v="2"/>
    <n v="13"/>
    <n v="26"/>
    <n v="13474.5"/>
  </r>
  <r>
    <x v="8"/>
    <x v="28"/>
    <s v="Bill"/>
    <s v="56352"/>
    <x v="203"/>
    <s v="San Jorge Letras Y Numeros 250 G X 20"/>
    <n v="2"/>
    <n v="13"/>
    <n v="26"/>
    <n v="13500.5"/>
  </r>
  <r>
    <x v="8"/>
    <x v="28"/>
    <s v="Bill"/>
    <s v="56352"/>
    <x v="204"/>
    <s v="San Jorge Spaguetti 500 G X 20"/>
    <n v="2"/>
    <n v="22"/>
    <n v="44"/>
    <n v="13544.5"/>
  </r>
  <r>
    <x v="8"/>
    <x v="28"/>
    <s v="Bill"/>
    <s v="56352"/>
    <x v="205"/>
    <s v="San Jorge Tallarin 500 G X 20"/>
    <n v="2"/>
    <n v="22"/>
    <n v="44"/>
    <n v="13588.5"/>
  </r>
  <r>
    <x v="8"/>
    <x v="28"/>
    <s v="Bill"/>
    <s v="56352"/>
    <x v="206"/>
    <s v="San Jorge Cabello De Angel 250 G X 40"/>
    <n v="2"/>
    <n v="22"/>
    <n v="44"/>
    <n v="13632.5"/>
  </r>
  <r>
    <x v="8"/>
    <x v="28"/>
    <s v="Bill"/>
    <s v="56352"/>
    <x v="159"/>
    <s v="ECCO - Café instantaneo de Cebada -Barley Instant Coffee"/>
    <n v="3"/>
    <n v="61"/>
    <n v="183"/>
    <n v="13815.5"/>
  </r>
  <r>
    <x v="8"/>
    <x v="28"/>
    <s v="Bill"/>
    <s v="56352"/>
    <x v="160"/>
    <s v="KIRMA - Café Instantaneo - Instant Coffee"/>
    <n v="3"/>
    <n v="125"/>
    <n v="375"/>
    <n v="14190.5"/>
  </r>
  <r>
    <x v="8"/>
    <x v="28"/>
    <s v="Bill"/>
    <s v="56352"/>
    <x v="138"/>
    <s v="PERU CHEF- SALSAS Y CREMAS -  WALIBI -  CREMA DE ROCOTO-  DOY PACK 380 G / 12"/>
    <n v="3"/>
    <n v="39"/>
    <n v="117"/>
    <n v="14307.5"/>
  </r>
  <r>
    <x v="8"/>
    <x v="28"/>
    <s v="Bill"/>
    <s v="56352"/>
    <x v="207"/>
    <s v="Aceituna Verde Despepitada 11.83 Oz"/>
    <n v="3"/>
    <n v="27"/>
    <n v="81"/>
    <n v="14388.5"/>
  </r>
  <r>
    <x v="8"/>
    <x v="28"/>
    <s v="Bill"/>
    <s v="56352"/>
    <x v="190"/>
    <s v="PERU CHEF- PANETON -   -  PERUCHEF PANETON 900 G X 6"/>
    <n v="5"/>
    <n v="42"/>
    <n v="210"/>
    <n v="14598.5"/>
  </r>
  <r>
    <x v="8"/>
    <x v="28"/>
    <s v="Bill"/>
    <s v="56352"/>
    <x v="9"/>
    <s v="TA- PERU -  CONDIMENT PRODUCTS -  AJI NO Siyau-  24 / 500 ml - 00999"/>
    <n v="1"/>
    <n v="45"/>
    <n v="45"/>
    <n v="14643.5"/>
  </r>
  <r>
    <x v="8"/>
    <x v="28"/>
    <s v="Bill"/>
    <s v="56352"/>
    <x v="110"/>
    <s v="Peru Chef Emoliente 1Lt x 12"/>
    <n v="2"/>
    <n v="33"/>
    <n v="66"/>
    <n v="14709.5"/>
  </r>
  <r>
    <x v="8"/>
    <x v="29"/>
    <s v="Vendor Credit"/>
    <s v=""/>
    <x v="132"/>
    <s v="PERU CHEF- CONDIMENTO EN POLVO -   -  TUCO 70 G X 12"/>
    <n v="-1"/>
    <n v="24"/>
    <n v="-24"/>
    <n v="14685.5"/>
  </r>
  <r>
    <x v="8"/>
    <x v="29"/>
    <s v="Vendor Credit"/>
    <s v=""/>
    <x v="155"/>
    <s v="T.A - PERU -  MISCELANEUS PRODUCTS -  EL TRIUNFO - Fideo Chino - Chinese Noodles -  30 / 250gr - FIDEO"/>
    <n v="-1"/>
    <n v="39"/>
    <n v="-39"/>
    <n v="14646.5"/>
  </r>
  <r>
    <x v="8"/>
    <x v="29"/>
    <s v="Vendor Credit"/>
    <s v=""/>
    <x v="126"/>
    <s v="PERU CHEF- GRANOS -  BOLSA -  HARINA DE CHUNO 15 OZ X 12"/>
    <n v="-4"/>
    <n v="3.5"/>
    <n v="-14"/>
    <n v="14632.5"/>
  </r>
  <r>
    <x v="8"/>
    <x v="29"/>
    <s v="Vendor Credit"/>
    <s v=""/>
    <x v="155"/>
    <s v="T.A - PERU -  MISCELANEUS PRODUCTS -  EL TRIUNFO - Fideo Chino - Chinese Noodles -  30 / 250gr - FIDEO"/>
    <n v="1"/>
    <n v="9"/>
    <n v="9"/>
    <n v="14641.5"/>
  </r>
  <r>
    <x v="8"/>
    <x v="29"/>
    <s v="Vendor Credit"/>
    <s v=""/>
    <x v="126"/>
    <s v="PERU CHEF- GRANOS -  BOLSA -  HARINA DE CHUNO 15 OZ X 12"/>
    <n v="4"/>
    <n v="-21.5"/>
    <n v="-86"/>
    <n v="14555.5"/>
  </r>
  <r>
    <x v="8"/>
    <x v="29"/>
    <s v="Vendor Credit"/>
    <s v=""/>
    <x v="155"/>
    <s v="T.A - PERU -  MISCELANEUS PRODUCTS -  EL TRIUNFO - Fideo Chino - Chinese Noodles -  30 / 250gr - FIDEO"/>
    <n v="-1"/>
    <n v="9"/>
    <n v="-9"/>
    <n v="14546.5"/>
  </r>
  <r>
    <x v="8"/>
    <x v="29"/>
    <s v="Vendor Credit"/>
    <s v=""/>
    <x v="126"/>
    <s v="PERU CHEF- GRANOS -  BOLSA -  HARINA DE CHUNO 15 OZ X 12"/>
    <n v="-4"/>
    <n v="-21.5"/>
    <n v="86"/>
    <n v="14632.5"/>
  </r>
  <r>
    <x v="8"/>
    <x v="30"/>
    <s v="Bill"/>
    <s v="2025001209"/>
    <x v="152"/>
    <s v="PERU CHEF- GOLOSINAS Y DULCES -   -  SAYON GALLETAS TEJANAS 480 G X 8-   / 8"/>
    <n v="5"/>
    <n v="37"/>
    <n v="185"/>
    <n v="14817.5"/>
  </r>
  <r>
    <x v="8"/>
    <x v="30"/>
    <s v="Bill"/>
    <s v="2025001209"/>
    <x v="35"/>
    <s v="BELMONT - PERU -  GOLOSINAS - DULCES  -  CASINO - Galleta Menta-  8 / 6x51g - CH117"/>
    <n v="9"/>
    <n v="17"/>
    <n v="153"/>
    <n v="14970.5"/>
  </r>
  <r>
    <x v="8"/>
    <x v="30"/>
    <s v="Bill"/>
    <s v="2025001209"/>
    <x v="36"/>
    <s v="BELMONT - PERU -  GOLOSINAS - DULCES  -  CASINO - Galleta Fresa-  8 / 6x51g - CH116"/>
    <n v="4"/>
    <n v="17"/>
    <n v="68"/>
    <n v="15038.5"/>
  </r>
  <r>
    <x v="8"/>
    <x v="30"/>
    <s v="Bill"/>
    <s v="2025001209"/>
    <x v="37"/>
    <s v="BELMONT - PERU -  GOLOSINAS - DULCES  -  CASINO - Galleta Chocolate-  8 / 6x51g - CH118"/>
    <n v="6"/>
    <n v="17"/>
    <n v="102"/>
    <n v="15140.5"/>
  </r>
  <r>
    <x v="8"/>
    <x v="30"/>
    <s v="Bill"/>
    <s v="2025001209"/>
    <x v="201"/>
    <s v="GOLOSINAS Y DULCES -   -  CHOCKMAN DOBLE MANJAR 53 GR X 8 X 6-   / 8"/>
    <n v="5"/>
    <n v="22"/>
    <n v="110"/>
    <n v="15250.5"/>
  </r>
  <r>
    <x v="8"/>
    <x v="30"/>
    <s v="Bill"/>
    <s v="2025001209"/>
    <x v="110"/>
    <s v="Peru Chef Emoliente 1Lt x 12"/>
    <n v="1"/>
    <n v="33"/>
    <n v="33"/>
    <n v="15283.5"/>
  </r>
  <r>
    <x v="8"/>
    <x v="30"/>
    <s v="Bill"/>
    <s v="2025001209"/>
    <x v="159"/>
    <s v="T.A - PERU -  MISCELANEUS PRODUCTS -  ECCO - Café instantaneo de Cebada -Barley Instant Coffee -  24 / 195gr - CH135"/>
    <n v="2"/>
    <n v="61"/>
    <n v="122"/>
    <n v="15405.5"/>
  </r>
  <r>
    <x v="8"/>
    <x v="30"/>
    <s v="Bill"/>
    <s v="2025001209"/>
    <x v="200"/>
    <s v="PERU CHEF- TURRON -   -  SAN JOSE TURRON DE DOÑA PEPA X 500G"/>
    <n v="72"/>
    <n v="5.5"/>
    <n v="396"/>
    <n v="15801.5"/>
  </r>
  <r>
    <x v="8"/>
    <x v="30"/>
    <s v="Bill"/>
    <s v="2025001209"/>
    <x v="191"/>
    <s v="PERU CHEF- VERDURAS -  FROZEN -  CHOCLO DESGRANADO 3 LB X 10-"/>
    <n v="4"/>
    <n v="70.5"/>
    <n v="282"/>
    <n v="16083.5"/>
  </r>
  <r>
    <x v="8"/>
    <x v="30"/>
    <s v="Bill"/>
    <s v="2025001209"/>
    <x v="165"/>
    <s v="PERU CHEF- VERDURAS -  FROZEN -  AJI LIMO 1 LB X 15-"/>
    <n v="10"/>
    <n v="43"/>
    <n v="430"/>
    <n v="16513.5"/>
  </r>
  <r>
    <x v="8"/>
    <x v="30"/>
    <s v="Bill"/>
    <s v="2025001209"/>
    <x v="119"/>
    <s v="Maiz Mote Pelado 15 Oz X 12"/>
    <n v="2"/>
    <n v="36"/>
    <n v="72"/>
    <n v="16585.5"/>
  </r>
  <r>
    <x v="8"/>
    <x v="30"/>
    <s v="Bill"/>
    <s v="2025001209"/>
    <x v="121"/>
    <s v="PERU CHEF- GRANOS -  BOLSA -  PAPA SECA AMARILLA 12 OZ X 8"/>
    <n v="2"/>
    <n v="19"/>
    <n v="38"/>
    <n v="16623.5"/>
  </r>
  <r>
    <x v="8"/>
    <x v="30"/>
    <s v="Bill"/>
    <s v="2025001209"/>
    <x v="197"/>
    <s v="PERU CHEF- GRANOS -  BOLSA -  FRIJOL CASTILLA 15 OZ X 12"/>
    <n v="2"/>
    <n v="22"/>
    <n v="44"/>
    <n v="16667.5"/>
  </r>
  <r>
    <x v="8"/>
    <x v="30"/>
    <s v="Bill"/>
    <s v="2025001209"/>
    <x v="122"/>
    <s v="PERU CHEF- GRANOS -  BOLSA -  TRIGO PELADO 15 OZ X 12"/>
    <n v="2"/>
    <n v="21"/>
    <n v="42"/>
    <n v="16709.5"/>
  </r>
  <r>
    <x v="8"/>
    <x v="30"/>
    <s v="Bill"/>
    <s v="2025001209"/>
    <x v="123"/>
    <s v="PERU CHEF- GRANOS -  BOLSA -  QUINUA REAL 15 OZ X 12"/>
    <n v="2"/>
    <n v="30"/>
    <n v="60"/>
    <n v="16769.5"/>
  </r>
  <r>
    <x v="8"/>
    <x v="30"/>
    <s v="Bill"/>
    <s v="2025001209"/>
    <x v="124"/>
    <s v="PERU CHEF- GRANOS -  BOLSA -  CEBADA TOSTADA 15 OZ X 10"/>
    <n v="1"/>
    <n v="14"/>
    <n v="14"/>
    <n v="16783.5"/>
  </r>
  <r>
    <x v="8"/>
    <x v="30"/>
    <s v="Bill"/>
    <s v="2025001209"/>
    <x v="127"/>
    <s v="PERU CHEF- GRANOS -  BOLSA -  CHUNO BLANCO ENTERO 15 OZ X 8"/>
    <n v="2"/>
    <n v="24"/>
    <n v="48"/>
    <n v="16831.5"/>
  </r>
  <r>
    <x v="8"/>
    <x v="30"/>
    <s v="Bill"/>
    <s v="2025001209"/>
    <x v="128"/>
    <s v="PERU CHEF- GRANOS -  BOLSA -  PALLARES 15 OZ X 12"/>
    <n v="2"/>
    <n v="26"/>
    <n v="52"/>
    <n v="16883.5"/>
  </r>
  <r>
    <x v="8"/>
    <x v="30"/>
    <s v="Bill"/>
    <s v="2025001209"/>
    <x v="198"/>
    <s v="PERU CHEF- GRANOS -  BOLSA -  SEMOLA 15 OZ X 12"/>
    <n v="2"/>
    <n v="18"/>
    <n v="36"/>
    <n v="16919.5"/>
  </r>
  <r>
    <x v="8"/>
    <x v="30"/>
    <s v="Bill"/>
    <s v="2025001209"/>
    <x v="208"/>
    <s v="Pasta Rocoto 16 Oz X 12"/>
    <n v="1"/>
    <n v="48"/>
    <n v="48"/>
    <n v="16967.5"/>
  </r>
  <r>
    <x v="8"/>
    <x v="30"/>
    <s v="Bill"/>
    <s v="2025001209"/>
    <x v="113"/>
    <s v="Peru Chef Pasta Aji Amarillo 16 Oz X 12 - 856568007285"/>
    <n v="1"/>
    <n v="66"/>
    <n v="66"/>
    <n v="17033.5"/>
  </r>
  <r>
    <x v="8"/>
    <x v="30"/>
    <s v="Bill"/>
    <s v="2025001209"/>
    <x v="192"/>
    <s v="PERU CHEF- SALSA / CREMAS -   -  SALSA AJI AMARILLO 10.5 OZ X 12 / FCO VIDRIO"/>
    <n v="2"/>
    <n v="42"/>
    <n v="84"/>
    <n v="17117.5"/>
  </r>
  <r>
    <x v="8"/>
    <x v="30"/>
    <s v="Bill"/>
    <s v="2025001209"/>
    <x v="209"/>
    <s v="Salsa Aji Amarillo C/Huacatay 10.5 Oz X 12"/>
    <n v="2"/>
    <n v="39"/>
    <n v="78"/>
    <n v="17195.5"/>
  </r>
  <r>
    <x v="8"/>
    <x v="30"/>
    <s v="Bill"/>
    <s v="2025001209"/>
    <x v="115"/>
    <s v="PERU CHEF- SALSA / CREMAS -   -  SALSA DE AJI LIMO CON ROCOTO 10.5 OZ X 12 / FCO VIDRIO"/>
    <n v="2"/>
    <n v="49.5"/>
    <n v="99"/>
    <n v="17294.5"/>
  </r>
  <r>
    <x v="8"/>
    <x v="30"/>
    <s v="Bill"/>
    <s v="2025001209"/>
    <x v="193"/>
    <s v="PERU CHEF- SALSA / CREMAS -   -  SALSA AJI CRIOLLO 10.5 OZ X 12 / FCO VIDRIO"/>
    <n v="2"/>
    <n v="39"/>
    <n v="78"/>
    <n v="17372.5"/>
  </r>
  <r>
    <x v="8"/>
    <x v="30"/>
    <s v="Bill"/>
    <s v="2025001209"/>
    <x v="210"/>
    <s v="Salsa Rocoto 10.5 Oz X 12"/>
    <n v="2"/>
    <n v="57"/>
    <n v="114"/>
    <n v="17486.5"/>
  </r>
  <r>
    <x v="8"/>
    <x v="30"/>
    <s v="Bill"/>
    <s v="2025001209"/>
    <x v="211"/>
    <s v="Base Para Arroz C/ Mariscos 11 Oz X 12"/>
    <n v="2"/>
    <n v="39"/>
    <n v="78"/>
    <n v="17564.5"/>
  </r>
  <r>
    <x v="8"/>
    <x v="30"/>
    <s v="Bill"/>
    <s v="2025001209"/>
    <x v="194"/>
    <s v="PERU CHEF- SALSA / CREMAS -   -  SALSA DE AJI LIMO 11 OZ X 12 / FCO VIDRIO"/>
    <n v="2"/>
    <n v="49.5"/>
    <n v="99"/>
    <n v="17663.5"/>
  </r>
  <r>
    <x v="8"/>
    <x v="30"/>
    <s v="Bill"/>
    <s v="2025001209"/>
    <x v="195"/>
    <s v="PERU CHEF- SALSA / CREMAS -   -  AJI PARRILLERO 11 OZ X 12 / FCO VIDRIO"/>
    <n v="2"/>
    <n v="39"/>
    <n v="78"/>
    <n v="17741.5"/>
  </r>
  <r>
    <x v="8"/>
    <x v="30"/>
    <s v="Bill"/>
    <s v="2025001209"/>
    <x v="196"/>
    <s v="PERU CHEF- SALSA / CREMAS -   -  SALSA DE AJI CHARAPITA 11 OZ X 12 / FCO VIDRIO"/>
    <n v="2"/>
    <n v="60"/>
    <n v="120"/>
    <n v="17861.5"/>
  </r>
  <r>
    <x v="8"/>
    <x v="30"/>
    <s v="Bill"/>
    <s v="2025001209"/>
    <x v="212"/>
    <s v="Aderezo Papa Pollada 10.5 Oz X12"/>
    <n v="2"/>
    <n v="42"/>
    <n v="84"/>
    <n v="17945.5"/>
  </r>
  <r>
    <x v="8"/>
    <x v="30"/>
    <s v="Bill"/>
    <s v="2025001209"/>
    <x v="173"/>
    <s v="Aderezo Para Pachamanca 10 5 Oz X 12"/>
    <n v="2"/>
    <n v="39"/>
    <n v="78"/>
    <n v="18023.5"/>
  </r>
  <r>
    <x v="8"/>
    <x v="30"/>
    <s v="Bill"/>
    <s v="2025001209"/>
    <x v="213"/>
    <s v="Adobo De Cerdo 10.5 Oz X 12"/>
    <n v="2"/>
    <n v="39"/>
    <n v="78"/>
    <n v="18101.5"/>
  </r>
  <r>
    <x v="8"/>
    <x v="30"/>
    <s v="Bill"/>
    <s v="2025001209"/>
    <x v="214"/>
    <s v="Aderezo Para Pavo 10.5 Oz X 12"/>
    <n v="2"/>
    <n v="46"/>
    <n v="92"/>
    <n v="18193.5"/>
  </r>
  <r>
    <x v="8"/>
    <x v="30"/>
    <s v="Bill"/>
    <s v="2025001209"/>
    <x v="114"/>
    <s v="PERU CHEF- SALSA / CREMAS -   -  CREMA DE AJI P/CEVICHE 10.5 OZ X 12 / FCO VIDRIO"/>
    <n v="2"/>
    <n v="39"/>
    <n v="78"/>
    <n v="18271.5"/>
  </r>
  <r>
    <x v="8"/>
    <x v="30"/>
    <s v="Bill"/>
    <s v="2025001209"/>
    <x v="175"/>
    <s v="PERU CHEF- MIEL -   -  PERUCHEF JARABE DE GOMA-  FCO PLASTICO 17 OZ / 12"/>
    <n v="1"/>
    <n v="55"/>
    <n v="55"/>
    <n v="18326.5"/>
  </r>
  <r>
    <x v="8"/>
    <x v="30"/>
    <s v="Bill"/>
    <s v="2025001209"/>
    <x v="143"/>
    <s v="PERU CHEF- MIEL -   -  PERUCHEF CHANCACA-  FCO PLASTICO 17 OZ / 12"/>
    <n v="2"/>
    <n v="58"/>
    <n v="116"/>
    <n v="18442.5"/>
  </r>
  <r>
    <x v="8"/>
    <x v="30"/>
    <s v="Bill"/>
    <s v="2025001209"/>
    <x v="178"/>
    <s v="PERU CHEF- GOLOSINAS Y DULCES -   -  SAN JORGE MUNICION 450 G X 6"/>
    <n v="3"/>
    <n v="15"/>
    <n v="45"/>
    <n v="18487.5"/>
  </r>
  <r>
    <x v="8"/>
    <x v="30"/>
    <s v="Bill"/>
    <s v="2025001209"/>
    <x v="184"/>
    <s v="GOLOSINAS Y DULCES -   -  GN RELLENITAS FRESA X 8 X 5-   / 5"/>
    <n v="10"/>
    <n v="9"/>
    <n v="90"/>
    <n v="18577.5"/>
  </r>
  <r>
    <x v="8"/>
    <x v="30"/>
    <s v="Bill"/>
    <s v="2025001209"/>
    <x v="154"/>
    <s v="PERU CHEF- GOLOSINAS Y DULCES -   -  SAN JORGE GALLETAS SODA  40 G  X 7 X 4-   / 4"/>
    <n v="20"/>
    <n v="8"/>
    <n v="160"/>
    <n v="18737.5"/>
  </r>
  <r>
    <x v="8"/>
    <x v="30"/>
    <s v="Bill"/>
    <s v="2025001209"/>
    <x v="202"/>
    <s v="PERU CHEF- FIDEOS -  SAN JORGE -  SAN JORGE CARACOL 250 G X 20-   / 20"/>
    <n v="3"/>
    <n v="13"/>
    <n v="39"/>
    <n v="18776.5"/>
  </r>
  <r>
    <x v="8"/>
    <x v="30"/>
    <s v="Bill"/>
    <s v="2025001209"/>
    <x v="203"/>
    <s v="Fideos San Jorge Letras Y Numeros 250 G X 20 - 7756771000130"/>
    <n v="3"/>
    <n v="13"/>
    <n v="39"/>
    <n v="18815.5"/>
  </r>
  <r>
    <x v="8"/>
    <x v="30"/>
    <s v="Bill"/>
    <s v="2025001209"/>
    <x v="204"/>
    <s v="PERU CHEF- FIDEOS -  SAN JORGE -  SAN JORGE SPAGUETTI 500 G X 20-   / 20"/>
    <n v="3"/>
    <n v="22"/>
    <n v="66"/>
    <n v="18881.5"/>
  </r>
  <r>
    <x v="8"/>
    <x v="30"/>
    <s v="Bill"/>
    <s v="2025001209"/>
    <x v="205"/>
    <s v="PERU CHEF- FIDEOS -  SAN JORGE -  SAN JORGE TALLARIN 500 G X 20-   / 20"/>
    <n v="3"/>
    <n v="22"/>
    <n v="66"/>
    <n v="18947.5"/>
  </r>
  <r>
    <x v="8"/>
    <x v="30"/>
    <s v="Bill"/>
    <s v="2025001209"/>
    <x v="206"/>
    <s v="PERU CHEF- FIDEOS -  SAN JORGE -  SAN JORGE CABELLO DE ANGEL 250 G X 40-   / 40"/>
    <n v="3"/>
    <n v="22"/>
    <n v="66"/>
    <n v="19013.5"/>
  </r>
  <r>
    <x v="8"/>
    <x v="30"/>
    <s v="Bill"/>
    <s v="2025001209"/>
    <x v="215"/>
    <s v="Base Pisco Sour Limon"/>
    <n v="2"/>
    <n v="22"/>
    <n v="44"/>
    <n v="19057.5"/>
  </r>
  <r>
    <x v="8"/>
    <x v="30"/>
    <s v="Bill"/>
    <s v="2025001209"/>
    <x v="216"/>
    <s v="Base Pisco Sour Chicha Morada"/>
    <n v="1"/>
    <n v="22"/>
    <n v="22"/>
    <n v="19079.5"/>
  </r>
  <r>
    <x v="8"/>
    <x v="30"/>
    <s v="Bill"/>
    <s v="2025001209"/>
    <x v="217"/>
    <s v="Base Pisco Sour Maracuya"/>
    <n v="2"/>
    <n v="22"/>
    <n v="44"/>
    <n v="19123.5"/>
  </r>
  <r>
    <x v="8"/>
    <x v="30"/>
    <s v="Bill"/>
    <s v="2025001209"/>
    <x v="218"/>
    <s v="Base Pisco Sour Mango Con Camucamu"/>
    <n v="1"/>
    <n v="22"/>
    <n v="22"/>
    <n v="19145.5"/>
  </r>
  <r>
    <x v="8"/>
    <x v="30"/>
    <s v="Bill"/>
    <s v="2025001209"/>
    <x v="38"/>
    <s v="BELMONT - PERU -  GOLOSINAS - DULCES  -  CASINO - Galleta Lucuma-  8 / 6x51g - CH123"/>
    <n v="2"/>
    <n v="17"/>
    <n v="34"/>
    <n v="19179.5"/>
  </r>
  <r>
    <x v="8"/>
    <x v="31"/>
    <s v="Bill"/>
    <s v="56495"/>
    <x v="219"/>
    <s v="TA - WINTER'S PRODUCTS- PERU -   -  WINTER'S - Panettone-  6 / 900g - WI2023"/>
    <n v="5"/>
    <n v="38"/>
    <n v="190"/>
    <n v="19369.5"/>
  </r>
  <r>
    <x v="8"/>
    <x v="32"/>
    <s v="Bill"/>
    <s v="2025001378"/>
    <x v="177"/>
    <s v="Chocolate Triangulo"/>
    <n v="5"/>
    <n v="15.5"/>
    <n v="77.5"/>
    <n v="19447"/>
  </r>
  <r>
    <x v="8"/>
    <x v="32"/>
    <s v="Bill"/>
    <s v="2025001378"/>
    <x v="32"/>
    <s v="D'Onofrio Chocolate Sublime 26 G"/>
    <n v="5"/>
    <n v="15"/>
    <n v="75"/>
    <n v="19522"/>
  </r>
  <r>
    <x v="8"/>
    <x v="32"/>
    <s v="Bill"/>
    <s v="2025001378"/>
    <x v="152"/>
    <s v="PERU CHEF- GOLOSINAS Y DULCES -   -  SAYON GALLETAS TEJANAS 480 G X 8-   / 8"/>
    <n v="2"/>
    <n v="37"/>
    <n v="74"/>
    <n v="19596"/>
  </r>
  <r>
    <x v="8"/>
    <x v="32"/>
    <s v="Bill"/>
    <s v="2025001378"/>
    <x v="35"/>
    <s v="BELMONT - PERU -  GOLOSINAS - DULCES  -  CASINO - Galleta Menta-  8 / 6x51g - CH117"/>
    <n v="4"/>
    <n v="17"/>
    <n v="68"/>
    <n v="19664"/>
  </r>
  <r>
    <x v="8"/>
    <x v="32"/>
    <s v="Bill"/>
    <s v="2025001378"/>
    <x v="36"/>
    <s v="BELMONT - PERU -  GOLOSINAS - DULCES  -  CASINO - Galleta Fresa-  8 / 6x51g - CH116"/>
    <n v="4"/>
    <n v="17"/>
    <n v="68"/>
    <n v="19732"/>
  </r>
  <r>
    <x v="8"/>
    <x v="32"/>
    <s v="Bill"/>
    <s v="2025001378"/>
    <x v="191"/>
    <s v="PERU CHEF- VERDURAS -  FROZEN -  CHOCLO DESGRANADO 3 LB X 10-"/>
    <n v="3"/>
    <n v="70.5"/>
    <n v="211.5"/>
    <n v="19943.5"/>
  </r>
  <r>
    <x v="8"/>
    <x v="32"/>
    <s v="Bill"/>
    <s v="2025001378"/>
    <x v="164"/>
    <s v="Rocoto 1 Lb X 18"/>
    <n v="3"/>
    <n v="59.5"/>
    <n v="178.5"/>
    <n v="20122"/>
  </r>
  <r>
    <x v="8"/>
    <x v="32"/>
    <s v="Bill"/>
    <s v="2025001378"/>
    <x v="165"/>
    <s v="PERU CHEF- VERDURAS -  FROZEN -  AJI LIMO 1 LB X 15-"/>
    <n v="20"/>
    <n v="43"/>
    <n v="860"/>
    <n v="20982"/>
  </r>
  <r>
    <x v="8"/>
    <x v="32"/>
    <s v="Bill"/>
    <s v="2025001378"/>
    <x v="119"/>
    <s v="Maiz Mote Pelado 15 Oz X 12"/>
    <n v="4"/>
    <n v="36"/>
    <n v="144"/>
    <n v="21126"/>
  </r>
  <r>
    <x v="8"/>
    <x v="32"/>
    <s v="Bill"/>
    <s v="2025001378"/>
    <x v="175"/>
    <s v="PERU CHEF- MIEL -   -  PERUCHEF JARABE DE GOMA-  FCO PLASTICO 17 OZ / 12"/>
    <n v="3"/>
    <n v="55"/>
    <n v="165"/>
    <n v="21291"/>
  </r>
  <r>
    <x v="8"/>
    <x v="32"/>
    <s v="Bill"/>
    <s v="2025001378"/>
    <x v="190"/>
    <s v="PERU CHEF- PANETON -   -  PERUCHEF PANETON 900 G X 6"/>
    <n v="10"/>
    <n v="36"/>
    <n v="360"/>
    <n v="21651"/>
  </r>
  <r>
    <x v="8"/>
    <x v="32"/>
    <s v="Bill"/>
    <s v="2025001378"/>
    <x v="58"/>
    <s v="PERU CHEF- SALSAS Y CREMAS -   -  PROVENZAL PICARONES CON MIEL 165 GR X 12"/>
    <n v="5"/>
    <n v="40"/>
    <n v="200"/>
    <n v="21851"/>
  </r>
  <r>
    <x v="8"/>
    <x v="32"/>
    <s v="Bill"/>
    <s v="2025001378"/>
    <x v="52"/>
    <s v="PERU CHEF- SALSAS Y CREMAS -   -  PROVENZAL CARAPULCRA 150 GR X 6)-"/>
    <n v="3"/>
    <n v="18"/>
    <n v="54"/>
    <n v="21905"/>
  </r>
  <r>
    <x v="8"/>
    <x v="32"/>
    <s v="Bill"/>
    <s v="2025001378"/>
    <x v="185"/>
    <s v="GOLOSINAS Y DULCES -   -  GN RELLENITAS COCO X 8 X 5-   / 5"/>
    <n v="12"/>
    <n v="9"/>
    <n v="108"/>
    <n v="22013"/>
  </r>
  <r>
    <x v="8"/>
    <x v="32"/>
    <s v="Bill"/>
    <s v="2025001378"/>
    <x v="215"/>
    <s v="BEBIDAS -  WASSKA -  BASE PISCO SOUR LIMON-  CAJA X 125 G / 9"/>
    <n v="2"/>
    <n v="22"/>
    <n v="44"/>
    <n v="22057"/>
  </r>
  <r>
    <x v="8"/>
    <x v="32"/>
    <s v="Bill"/>
    <s v="2025001378"/>
    <x v="137"/>
    <s v="SALSAS Y CREMAS -  WALIBI -  ACEITUNESA-  DOY PACK 380 G / 12"/>
    <n v="5"/>
    <n v="39"/>
    <n v="195"/>
    <n v="22252"/>
  </r>
  <r>
    <x v="8"/>
    <x v="32"/>
    <s v="Bill"/>
    <s v="2025001378"/>
    <x v="189"/>
    <s v="- SALSAS Y CREMAS -  WALIBI -  SALSA DE AJI CRIOLLO-  DOY PACK 380 G / 12"/>
    <n v="5"/>
    <n v="39"/>
    <n v="195"/>
    <n v="22447"/>
  </r>
  <r>
    <x v="8"/>
    <x v="32"/>
    <s v="Bill"/>
    <s v="2025001378"/>
    <x v="16"/>
    <s v="Huancaina A la Cena 17.06oz (400gr) x 12 / 7750243042932  AL-03"/>
    <n v="3"/>
    <n v="35"/>
    <n v="105"/>
    <n v="22552"/>
  </r>
  <r>
    <x v="8"/>
    <x v="32"/>
    <s v="Bill"/>
    <s v="2025001378"/>
    <x v="17"/>
    <s v="Uchucuta A la Cena - crema de rocoto 17.06 (400gr) x 12 / 7750243066181 / AL-04"/>
    <n v="3"/>
    <n v="35"/>
    <n v="105"/>
    <n v="22657"/>
  </r>
  <r>
    <x v="8"/>
    <x v="32"/>
    <s v="Bill"/>
    <s v="2025001378"/>
    <x v="15"/>
    <s v="Tari crema de aji A la Cena17.06oz (400gr) x 12 / 7750243067805 / AL-02"/>
    <n v="3"/>
    <n v="35"/>
    <n v="105"/>
    <n v="22762"/>
  </r>
  <r>
    <x v="8"/>
    <x v="32"/>
    <s v="Bill"/>
    <s v="2025001378"/>
    <x v="220"/>
    <s v="PERU CHEF- TURRON -   -  PERUCHEF TURRON DE DOÑA PEPA 500 G"/>
    <n v="60"/>
    <n v="5.5"/>
    <n v="330"/>
    <n v="23092"/>
  </r>
  <r>
    <x v="8"/>
    <x v="32"/>
    <s v="Bill"/>
    <s v="2025001378"/>
    <x v="220"/>
    <s v="PERU CHEF- TURRON -   -  PERUCHEF TURRON DE DOÑA PEPA 500 G"/>
    <n v="12"/>
    <n v="0"/>
    <n v="0"/>
    <n v="23092"/>
  </r>
  <r>
    <x v="8"/>
    <x v="32"/>
    <s v="Bill"/>
    <s v="2025001378"/>
    <x v="200"/>
    <s v="PERU CHEF- TURRON -   -  SAN JOSE TURRON DE DOÑA PEPA X 500G"/>
    <n v="360"/>
    <n v="5.5"/>
    <n v="1980"/>
    <n v="25072"/>
  </r>
  <r>
    <x v="8"/>
    <x v="32"/>
    <s v="Bill"/>
    <s v="2025001378"/>
    <x v="200"/>
    <s v="PERU CHEF- TURRON -   -  SAN JOSE TURRON DE DOÑA PEPA X 500G"/>
    <n v="24"/>
    <n v="0"/>
    <n v="0"/>
    <n v="25072"/>
  </r>
  <r>
    <x v="8"/>
    <x v="32"/>
    <s v="Bill"/>
    <s v="2025001378"/>
    <x v="221"/>
    <s v="Aji Panca Seco"/>
    <n v="1"/>
    <n v="180"/>
    <n v="180"/>
    <n v="25252"/>
  </r>
  <r>
    <x v="8"/>
    <x v="32"/>
    <s v="Bill"/>
    <s v="2025001378"/>
    <x v="159"/>
    <s v="T.A - PERU -  MISCELANEUS PRODUCTS -  ECCO - Café instantaneo de Cebada -Barley Instant Coffee -  12 / 195gr - CH135"/>
    <n v="2"/>
    <n v="61"/>
    <n v="122"/>
    <n v="25374"/>
  </r>
  <r>
    <x v="8"/>
    <x v="33"/>
    <s v="Bill"/>
    <s v="2025001691"/>
    <x v="16"/>
    <s v="Huancaina A la Cena 17.06oz (400gr) x 12 / 7750243042932  AL-03"/>
    <n v="2"/>
    <n v="35"/>
    <n v="70"/>
    <n v="25444"/>
  </r>
  <r>
    <x v="8"/>
    <x v="33"/>
    <s v="Bill"/>
    <s v="2025001691"/>
    <x v="14"/>
    <s v="Mayonesa a la Cena 17.06oz (400gr) x 12 / 7750243053013/ AL-01"/>
    <n v="12"/>
    <n v="35"/>
    <n v="420"/>
    <n v="25864"/>
  </r>
  <r>
    <x v="8"/>
    <x v="33"/>
    <s v="Bill"/>
    <s v="2025001691"/>
    <x v="17"/>
    <s v="Uchucuta A la Cena - crema de rocoto 17.06 (400gr) x 12 / 7750243066181 / AL-04"/>
    <n v="10"/>
    <n v="35"/>
    <n v="350"/>
    <n v="26214"/>
  </r>
  <r>
    <x v="8"/>
    <x v="33"/>
    <s v="Bill"/>
    <s v="2025001691"/>
    <x v="15"/>
    <s v="Tari crema de aji A la Cena17.06oz (400gr) x 12 / 7750243067805 / AL-02"/>
    <n v="10"/>
    <n v="35"/>
    <n v="350"/>
    <n v="26564"/>
  </r>
  <r>
    <x v="8"/>
    <x v="33"/>
    <s v="Bill"/>
    <s v="2025001691"/>
    <x v="177"/>
    <s v="Chocolate Triangulo"/>
    <n v="10"/>
    <n v="15.5"/>
    <n v="155"/>
    <n v="26719"/>
  </r>
  <r>
    <x v="8"/>
    <x v="33"/>
    <s v="Bill"/>
    <s v="2025001691"/>
    <x v="33"/>
    <s v="PCH- Galletas Morochas 30gr 6x 30 / 7613035803121 / DD-05"/>
    <n v="2"/>
    <n v="78"/>
    <n v="156"/>
    <n v="26875"/>
  </r>
  <r>
    <x v="8"/>
    <x v="33"/>
    <s v="Bill"/>
    <s v="2025001691"/>
    <x v="32"/>
    <s v="D'Onofrio Chocolate Sublime 26 G"/>
    <n v="15"/>
    <n v="15"/>
    <n v="225"/>
    <n v="27100"/>
  </r>
  <r>
    <x v="8"/>
    <x v="33"/>
    <s v="Bill"/>
    <s v="2025001691"/>
    <x v="222"/>
    <s v="PERU CHEF- FILTRANTES PERUCHEF - CEDRON X 20"/>
    <n v="2"/>
    <n v="21.5"/>
    <n v="43"/>
    <n v="27143"/>
  </r>
  <r>
    <x v="8"/>
    <x v="33"/>
    <s v="Bill"/>
    <s v="2025001691"/>
    <x v="223"/>
    <s v="PERU CHEF- FILTRANTES PERUCHEF -   -  MUÑA X 20"/>
    <n v="2"/>
    <n v="21.5"/>
    <n v="43"/>
    <n v="27186"/>
  </r>
  <r>
    <x v="8"/>
    <x v="33"/>
    <s v="Bill"/>
    <s v="2025001691"/>
    <x v="224"/>
    <s v="PERU CHEF- FILTRANTES PERUCHEF -   -  SUEÑO PROFUNDO X 20"/>
    <n v="2"/>
    <n v="21.5"/>
    <n v="43"/>
    <n v="27229"/>
  </r>
  <r>
    <x v="8"/>
    <x v="33"/>
    <s v="Bill"/>
    <s v="2025001691"/>
    <x v="225"/>
    <s v="Te Verde Con Piña X 20"/>
    <n v="1"/>
    <n v="26.5"/>
    <n v="26.5"/>
    <n v="27255.5"/>
  </r>
  <r>
    <x v="8"/>
    <x v="33"/>
    <s v="Bill"/>
    <s v="2025001691"/>
    <x v="226"/>
    <s v="PERU CHEF- FILTRANTES PERUCHEF -   -  SEN X 20"/>
    <n v="2"/>
    <n v="21.5"/>
    <n v="43"/>
    <n v="27298.5"/>
  </r>
  <r>
    <x v="8"/>
    <x v="33"/>
    <s v="Bill"/>
    <s v="2025001691"/>
    <x v="227"/>
    <s v="PERU CHEF- FILTRANTES PERUCHEF -   -  TORONJIL X 20"/>
    <n v="2"/>
    <n v="21.5"/>
    <n v="43"/>
    <n v="27341.5"/>
  </r>
  <r>
    <x v="8"/>
    <x v="33"/>
    <s v="Bill"/>
    <s v="2025001691"/>
    <x v="152"/>
    <s v="PERU CHEF- GOLOSINAS Y DULCES -   -  SAYON GALLETAS TEJANAS 480 G X 8-   / 8"/>
    <n v="10"/>
    <n v="37"/>
    <n v="370"/>
    <n v="27711.5"/>
  </r>
  <r>
    <x v="8"/>
    <x v="33"/>
    <s v="Bill"/>
    <s v="2025001691"/>
    <x v="201"/>
    <s v="GOLOSINAS Y DULCES -   -  CHOCKMAN DOBLE MANJAR 53 GR X 8 X 6-   / 8"/>
    <n v="15"/>
    <n v="22"/>
    <n v="330"/>
    <n v="28041.5"/>
  </r>
  <r>
    <x v="8"/>
    <x v="33"/>
    <s v="Bill"/>
    <s v="2025001691"/>
    <x v="153"/>
    <s v="PERU CHEF- GOLOSINAS Y DULCES -   -  WINTERS OLE OLE 225gr x 50 x 15-   / 15"/>
    <n v="8"/>
    <n v="41"/>
    <n v="328"/>
    <n v="28369.5"/>
  </r>
  <r>
    <x v="8"/>
    <x v="33"/>
    <s v="Bill"/>
    <s v="2025001691"/>
    <x v="228"/>
    <s v="PERU CHEF- PRODUCTOS ORIENTALES -  KIKKO -  KIKKO SIYAU 5L"/>
    <n v="4"/>
    <n v="11.25"/>
    <n v="45"/>
    <n v="28414.5"/>
  </r>
  <r>
    <x v="8"/>
    <x v="33"/>
    <s v="Bill"/>
    <s v="2025001691"/>
    <x v="120"/>
    <s v="PERU CHEF- GRANOS -  BOLSA -  PAPA SECA SERRANA 15 OZ X 10"/>
    <n v="2"/>
    <n v="21"/>
    <n v="42"/>
    <n v="28456.5"/>
  </r>
  <r>
    <x v="8"/>
    <x v="33"/>
    <s v="Bill"/>
    <s v="2025001691"/>
    <x v="121"/>
    <s v="PERU CHEF- GRANOS -  BOLSA -  PAPA SECA AMARILLA 12 OZ X 8"/>
    <n v="5"/>
    <n v="19"/>
    <n v="95"/>
    <n v="28551.5"/>
  </r>
  <r>
    <x v="8"/>
    <x v="33"/>
    <s v="Bill"/>
    <s v="2025001691"/>
    <x v="221"/>
    <s v="Aji Panca Seco"/>
    <n v="5"/>
    <n v="40"/>
    <n v="200"/>
    <n v="28751.5"/>
  </r>
  <r>
    <x v="8"/>
    <x v="33"/>
    <s v="Bill"/>
    <s v="2025001691"/>
    <x v="58"/>
    <s v="PERU CHEF- SALSAS Y CREMAS -   -  PROVENZAL PICARONES CON MIEL 165 GR X 12"/>
    <n v="4"/>
    <n v="40"/>
    <n v="160"/>
    <n v="28911.5"/>
  </r>
  <r>
    <x v="8"/>
    <x v="33"/>
    <s v="Bill"/>
    <s v="2025001691"/>
    <x v="57"/>
    <s v="Provenzal Olluquito 78 Gr X 6"/>
    <n v="2"/>
    <n v="22"/>
    <n v="44"/>
    <n v="28955.5"/>
  </r>
  <r>
    <x v="8"/>
    <x v="33"/>
    <s v="Bill"/>
    <s v="2025001691"/>
    <x v="137"/>
    <s v="SALSAS Y CREMAS -  WALIBI -  ACEITUNESA-  DOY PACK 380 G / 12"/>
    <n v="10"/>
    <n v="35"/>
    <n v="350"/>
    <n v="29305.5"/>
  </r>
  <r>
    <x v="8"/>
    <x v="33"/>
    <s v="Bill"/>
    <s v="2025001691"/>
    <x v="189"/>
    <s v="- SALSAS Y CREMAS -  WALIBI -  SALSA DE AJI CRIOLLO-  DOY PACK 380 G / 12"/>
    <n v="8"/>
    <n v="35"/>
    <n v="280"/>
    <n v="29585.5"/>
  </r>
  <r>
    <x v="8"/>
    <x v="33"/>
    <s v="Bill"/>
    <s v="2025001691"/>
    <x v="216"/>
    <s v="BEBIDAS -  WASSKA -  BASE PISCO SOUR CHICHA MORADA-  CAJA X 125 G / 9"/>
    <n v="2"/>
    <n v="22"/>
    <n v="44"/>
    <n v="29629.5"/>
  </r>
  <r>
    <x v="8"/>
    <x v="33"/>
    <s v="Bill"/>
    <s v="2025001691"/>
    <x v="218"/>
    <s v="Base Pisco Sour Mango Con Camucamu"/>
    <n v="4"/>
    <n v="22"/>
    <n v="88"/>
    <n v="29717.5"/>
  </r>
  <r>
    <x v="8"/>
    <x v="34"/>
    <s v="Bill"/>
    <s v="2025001895"/>
    <x v="136"/>
    <s v="CONSERVAS -   -  ATUN FLORIDA SOLIDO EN ACEITE 6 OZ X 48-  LATA / 48"/>
    <n v="2"/>
    <n v="81"/>
    <n v="162"/>
    <n v="29879.5"/>
  </r>
  <r>
    <x v="8"/>
    <x v="34"/>
    <s v="Bill"/>
    <s v="2025001895"/>
    <x v="177"/>
    <s v="Chocolate Triangulo"/>
    <n v="6"/>
    <n v="13.95"/>
    <n v="83.7"/>
    <n v="29963.200000000001"/>
  </r>
  <r>
    <x v="8"/>
    <x v="34"/>
    <s v="Bill"/>
    <s v="2025001895"/>
    <x v="32"/>
    <s v="D'Onofrio Chocolate Sublime 26 G"/>
    <n v="4"/>
    <n v="13.5"/>
    <n v="54"/>
    <n v="30017.200000000001"/>
  </r>
  <r>
    <x v="8"/>
    <x v="34"/>
    <s v="Bill"/>
    <s v="2025001895"/>
    <x v="145"/>
    <s v="GOLOSINAS Y DULCES -   -  CHOMP GALLETAS CHOCOLATE 42 G-  BOLSA X 6 / 8"/>
    <n v="10"/>
    <n v="15.3"/>
    <n v="153"/>
    <n v="30170.2"/>
  </r>
  <r>
    <x v="8"/>
    <x v="34"/>
    <s v="Bill"/>
    <s v="2025001895"/>
    <x v="152"/>
    <s v="PERU CHEF- GOLOSINAS Y DULCES -   -  SAYON GALLETAS TEJANAS 480 G X 8-   / 8"/>
    <n v="2"/>
    <n v="33.299999999999997"/>
    <n v="66.599999999999994"/>
    <n v="30236.799999999999"/>
  </r>
  <r>
    <x v="8"/>
    <x v="34"/>
    <s v="Bill"/>
    <s v="2025001895"/>
    <x v="146"/>
    <s v="Tentacion Galleta Coco 47 G"/>
    <n v="4"/>
    <n v="15.3"/>
    <n v="61.2"/>
    <n v="30298"/>
  </r>
  <r>
    <x v="8"/>
    <x v="34"/>
    <s v="Bill"/>
    <s v="2025001895"/>
    <x v="201"/>
    <s v="GOLOSINAS Y DULCES -   -  CHOCKMAN DOBLE MANJAR 53 GR X 8 X 6-   / 8"/>
    <n v="3"/>
    <n v="19.8"/>
    <n v="59.4"/>
    <n v="30357.4"/>
  </r>
  <r>
    <x v="8"/>
    <x v="34"/>
    <s v="Bill"/>
    <s v="2025001895"/>
    <x v="229"/>
    <s v="Pasta Aji Panca Poco Picante 116 Oz"/>
    <n v="8"/>
    <n v="18"/>
    <n v="144"/>
    <n v="30501.4"/>
  </r>
  <r>
    <x v="8"/>
    <x v="34"/>
    <s v="Bill"/>
    <s v="2025001895"/>
    <x v="230"/>
    <s v="Pasta Aji Amarillo Poco Picante116 Oz"/>
    <n v="8"/>
    <n v="18"/>
    <n v="144"/>
    <n v="30645.4"/>
  </r>
  <r>
    <x v="8"/>
    <x v="34"/>
    <s v="Bill"/>
    <s v="2025001895"/>
    <x v="231"/>
    <s v="PERU CHEF- INSTITUCIONAL -   -  PASTA ROCOTO 116 oz -  BIDON 116 oz"/>
    <n v="4"/>
    <n v="18"/>
    <n v="72"/>
    <n v="30717.4"/>
  </r>
  <r>
    <x v="8"/>
    <x v="34"/>
    <s v="Bill"/>
    <s v="2025001895"/>
    <x v="228"/>
    <s v="PERU CHEF- PRODUCTOS ORIENTALES -  KIKKO -  KIKKO SIYAU 5L"/>
    <n v="4"/>
    <n v="10.125"/>
    <n v="40.5"/>
    <n v="30757.9"/>
  </r>
  <r>
    <x v="8"/>
    <x v="34"/>
    <s v="Bill"/>
    <s v="2025001895"/>
    <x v="117"/>
    <s v="PERU CHEF- GRANOS -  BOLSA -  MAIZ CHULPE 15 OZ X 12"/>
    <n v="5"/>
    <n v="27"/>
    <n v="135"/>
    <n v="30892.9"/>
  </r>
  <r>
    <x v="8"/>
    <x v="34"/>
    <s v="Bill"/>
    <s v="2025001895"/>
    <x v="118"/>
    <s v="PERU CHEF- GRANOS -  BOLSA -  MAIZ CANCHA MONTAÑA15 OZ X 10"/>
    <n v="5"/>
    <n v="27"/>
    <n v="135"/>
    <n v="31027.9"/>
  </r>
  <r>
    <x v="8"/>
    <x v="34"/>
    <s v="Bill"/>
    <s v="2025001895"/>
    <x v="120"/>
    <s v="PERU CHEF- GRANOS -  BOLSA -  PAPA SECA SERRANA 15 OZ X 10"/>
    <n v="4"/>
    <n v="18.899999999999999"/>
    <n v="75.599999999999994"/>
    <n v="31103.5"/>
  </r>
  <r>
    <x v="8"/>
    <x v="34"/>
    <s v="Bill"/>
    <s v="2025001895"/>
    <x v="121"/>
    <s v="PERU CHEF- GRANOS -  BOLSA -  PAPA SECA AMARILLA 12 OZ X 8"/>
    <n v="2"/>
    <n v="17.100000000000001"/>
    <n v="34.200000000000003"/>
    <n v="31137.7"/>
  </r>
  <r>
    <x v="8"/>
    <x v="34"/>
    <s v="Bill"/>
    <s v="2025001895"/>
    <x v="123"/>
    <s v="PERU CHEF- GRANOS -  BOLSA -  QUINUA REAL 15 OZ X 12"/>
    <n v="3"/>
    <n v="27"/>
    <n v="81"/>
    <n v="31218.7"/>
  </r>
  <r>
    <x v="8"/>
    <x v="34"/>
    <s v="Bill"/>
    <s v="2025001895"/>
    <x v="198"/>
    <s v="PERU CHEF- GRANOS -  BOLSA -  SEMOLA 15 OZ X 12"/>
    <n v="1"/>
    <n v="16.2"/>
    <n v="16.2"/>
    <n v="31234.9"/>
  </r>
  <r>
    <x v="8"/>
    <x v="34"/>
    <s v="Bill"/>
    <s v="2025001895"/>
    <x v="199"/>
    <s v="PERU CHEF- GRANOS -  BOLSA -  KIWICHA 15 OZ X 12"/>
    <n v="2"/>
    <n v="28.8"/>
    <n v="57.6"/>
    <n v="31292.5"/>
  </r>
  <r>
    <x v="8"/>
    <x v="34"/>
    <s v="Bill"/>
    <s v="2025001895"/>
    <x v="220"/>
    <s v="PERU CHEF- TURRON -   -  PERUCHEF TURRON DE DOÑA PEPA 500 G"/>
    <n v="120"/>
    <n v="4.95"/>
    <n v="594"/>
    <n v="31886.5"/>
  </r>
  <r>
    <x v="8"/>
    <x v="34"/>
    <s v="Bill"/>
    <s v="2025001895"/>
    <x v="220"/>
    <s v="PERU CHEF- TURRON -   -  PERUCHEF TURRON DE DOÑA PEPA 500 G"/>
    <n v="12"/>
    <n v="0"/>
    <n v="0"/>
    <n v="31886.5"/>
  </r>
  <r>
    <x v="8"/>
    <x v="34"/>
    <s v="Bill"/>
    <s v="2025001895"/>
    <x v="178"/>
    <s v="PERU CHEF- GOLOSINAS Y DULCES -   -  SAN JORGE MUNICION 450 G X 6"/>
    <n v="3"/>
    <n v="13.5"/>
    <n v="40.5"/>
    <n v="31927"/>
  </r>
  <r>
    <x v="8"/>
    <x v="34"/>
    <s v="Bill"/>
    <s v="2025001895"/>
    <x v="204"/>
    <s v="PERU CHEF- FIDEOS -  SAN JORGE -  SAN JORGE SPAGUETTI 500 G X 20-   / 20"/>
    <n v="2"/>
    <n v="19.8"/>
    <n v="39.6"/>
    <n v="31966.6"/>
  </r>
  <r>
    <x v="8"/>
    <x v="34"/>
    <s v="Bill"/>
    <s v="2025001895"/>
    <x v="205"/>
    <s v="PERU CHEF- FIDEOS -  SAN JORGE -  SAN JORGE TALLARIN 500 G X 20-   / 20"/>
    <n v="3"/>
    <n v="19.8"/>
    <n v="59.4"/>
    <n v="32026"/>
  </r>
  <r>
    <x v="8"/>
    <x v="34"/>
    <s v="Bill"/>
    <s v="2025001895"/>
    <x v="217"/>
    <s v="BEBIDAS -  WASSKA -  BASE PISCO SOUR MARACUYA-  CAJA X 125 G / 9"/>
    <n v="2"/>
    <n v="19.8"/>
    <n v="39.6"/>
    <n v="32065.599999999999"/>
  </r>
  <r>
    <x v="8"/>
    <x v="34"/>
    <s v="Bill"/>
    <s v="2025001895"/>
    <x v="148"/>
    <s v="Glacitas Fresa 32 G X 6 X 8"/>
    <n v="6"/>
    <n v="15.3"/>
    <n v="91.8"/>
    <n v="32157.399999999998"/>
  </r>
  <r>
    <x v="8"/>
    <x v="34"/>
    <s v="Bill"/>
    <s v="2025001895"/>
    <x v="150"/>
    <s v="Glacitas Toffee 32 G X 6 X 8"/>
    <n v="6"/>
    <n v="15.3"/>
    <n v="91.8"/>
    <n v="32249.199999999997"/>
  </r>
  <r>
    <x v="8"/>
    <x v="34"/>
    <s v="Bill"/>
    <s v="2025001895"/>
    <x v="149"/>
    <s v="Glacitas Choconieve 32 G X 6 X 8"/>
    <n v="6"/>
    <n v="15.3"/>
    <n v="91.8"/>
    <n v="32340.999999999996"/>
  </r>
  <r>
    <x v="8"/>
    <x v="34"/>
    <s v="Bill"/>
    <s v="2025001895"/>
    <x v="137"/>
    <s v="SALSAS Y CREMAS -  WALIBI -  ACEITUNESA-  DOY PACK 380 G / 12"/>
    <n v="10"/>
    <n v="35.1"/>
    <n v="351"/>
    <n v="32691.999999999996"/>
  </r>
  <r>
    <x v="8"/>
    <x v="34"/>
    <s v="Bill"/>
    <s v="2025001895"/>
    <x v="189"/>
    <s v="- SALSAS Y CREMAS -  WALIBI -  SALSA DE AJI CRIOLLO-  DOY PACK 380 G / 12"/>
    <n v="6"/>
    <n v="35.1"/>
    <n v="210.6"/>
    <n v="32902.6"/>
  </r>
  <r>
    <x v="8"/>
    <x v="34"/>
    <s v="Bill"/>
    <s v="2025001895"/>
    <x v="138"/>
    <s v="PERU CHEF- SALSAS Y CREMAS -  WALIBI -  CREMA DE ROCOTO-  DOY PACK 380 G / 12"/>
    <n v="6"/>
    <n v="35.1"/>
    <n v="210.6"/>
    <n v="33113.199999999997"/>
  </r>
  <r>
    <x v="8"/>
    <x v="34"/>
    <s v="Bill"/>
    <s v=""/>
    <x v="14"/>
    <s v="Mayonesa a la Cena 17.06oz (400gr) x 12 / 7750243053013/ AL-01"/>
    <n v="20"/>
    <n v="35"/>
    <n v="700"/>
    <n v="33813.199999999997"/>
  </r>
  <r>
    <x v="8"/>
    <x v="34"/>
    <s v="Bill"/>
    <s v=""/>
    <x v="17"/>
    <s v="Uchucuta A la Cena - crema de rocoto 17.06 (400gr) x 12 / 7750243066181 / AL-04"/>
    <n v="3"/>
    <n v="35"/>
    <n v="105"/>
    <n v="33918.199999999997"/>
  </r>
  <r>
    <x v="8"/>
    <x v="34"/>
    <s v="Bill"/>
    <s v=""/>
    <x v="15"/>
    <s v="Tari crema de aji A la Cena17.06oz (400gr) x 12 / 7750243067805 / AL-02"/>
    <n v="4"/>
    <n v="35"/>
    <n v="140"/>
    <n v="34058.199999999997"/>
  </r>
  <r>
    <x v="8"/>
    <x v="35"/>
    <s v="Bill"/>
    <s v="57055"/>
    <x v="162"/>
    <s v="Choclo Desgranado 1 Lb X 30"/>
    <n v="3"/>
    <n v="64.349999999999994"/>
    <n v="193.05"/>
    <n v="34251.25"/>
  </r>
  <r>
    <x v="8"/>
    <x v="35"/>
    <s v="Bill"/>
    <s v="57055"/>
    <x v="191"/>
    <s v="PERU CHEF- VERDURAS -  FROZEN -  CHOCLO DESGRANADO 3 LB X 10-"/>
    <n v="3"/>
    <n v="63.45"/>
    <n v="190.35"/>
    <n v="34441.599999999999"/>
  </r>
  <r>
    <x v="8"/>
    <x v="35"/>
    <s v="Bill"/>
    <s v="57055"/>
    <x v="164"/>
    <s v="PERU CHEF- VERDURAS -  FROZEN -  ROCOTO 1 LB X 18-"/>
    <n v="5"/>
    <n v="53.55"/>
    <n v="267.75"/>
    <n v="34709.35"/>
  </r>
  <r>
    <x v="8"/>
    <x v="35"/>
    <s v="Bill"/>
    <s v="57055"/>
    <x v="232"/>
    <s v="Peru Chef Zapallo Loche 1Lb"/>
    <n v="20"/>
    <n v="5.625"/>
    <n v="112.5"/>
    <n v="34821.85"/>
  </r>
  <r>
    <x v="8"/>
    <x v="35"/>
    <s v="Bill"/>
    <s v="57055"/>
    <x v="233"/>
    <s v="Peru Chef Papa Huayro 2Lb"/>
    <n v="24"/>
    <n v="4.5"/>
    <n v="108"/>
    <n v="34929.85"/>
  </r>
  <r>
    <x v="8"/>
    <x v="35"/>
    <s v="Bill"/>
    <s v="57055"/>
    <x v="118"/>
    <s v="PERU CHEF- GRANOS -  BOLSA -  MAIZ CANCHA MONTAÑA15 OZ X 10"/>
    <n v="1"/>
    <n v="27"/>
    <n v="27"/>
    <n v="34956.85"/>
  </r>
  <r>
    <x v="8"/>
    <x v="35"/>
    <s v="Bill"/>
    <s v="57055"/>
    <x v="120"/>
    <s v="PERU CHEF- GRANOS -  BOLSA -  PAPA SECA SERRANA 15 OZ X 10"/>
    <n v="2"/>
    <n v="18.899999999999999"/>
    <n v="37.799999999999997"/>
    <n v="34994.65"/>
  </r>
  <r>
    <x v="8"/>
    <x v="35"/>
    <s v="Bill"/>
    <s v="57055"/>
    <x v="121"/>
    <s v="PERU CHEF- GRANOS -  BOLSA -  PAPA SECA AMARILLA 12 OZ X 8"/>
    <n v="3"/>
    <n v="17.100000000000001"/>
    <n v="51.3"/>
    <n v="35045.950000000004"/>
  </r>
  <r>
    <x v="8"/>
    <x v="35"/>
    <s v="Bill"/>
    <s v="57055"/>
    <x v="126"/>
    <s v="PERU CHEF- GRANOS -  BOLSA -  HARINA DE CHUNO 15 OZ X 12"/>
    <n v="4"/>
    <n v="24.75"/>
    <n v="99"/>
    <n v="35144.950000000004"/>
  </r>
  <r>
    <x v="8"/>
    <x v="35"/>
    <s v="Bill"/>
    <s v="57055"/>
    <x v="127"/>
    <s v="PERU CHEF- GRANOS -  BOLSA -  CHUNO BLANCO ENTERO 15 OZ X 8"/>
    <n v="4"/>
    <n v="21.6"/>
    <n v="86.4"/>
    <n v="35231.350000000006"/>
  </r>
  <r>
    <x v="8"/>
    <x v="35"/>
    <s v="Bill"/>
    <s v="57055"/>
    <x v="198"/>
    <s v="PERU CHEF- GRANOS -  BOLSA -  SEMOLA 15 OZ X 12"/>
    <n v="2"/>
    <n v="16.2"/>
    <n v="32.4"/>
    <n v="35263.750000000007"/>
  </r>
  <r>
    <x v="8"/>
    <x v="35"/>
    <s v="Bill"/>
    <s v="57055"/>
    <x v="199"/>
    <s v="PERU CHEF- GRANOS -  BOLSA -  KIWICHA 15 OZ X 12"/>
    <n v="1"/>
    <n v="28.8"/>
    <n v="28.8"/>
    <n v="35292.55000000001"/>
  </r>
  <r>
    <x v="8"/>
    <x v="35"/>
    <s v="Bill"/>
    <s v="57055"/>
    <x v="136"/>
    <s v="CONSERVAS -   -  ATUN FLORIDA SOLIDO EN ACEITE 6 OZ X 48-  LATA / 48"/>
    <n v="2"/>
    <n v="81"/>
    <n v="162"/>
    <n v="35454.55000000001"/>
  </r>
  <r>
    <x v="8"/>
    <x v="35"/>
    <s v="Bill"/>
    <s v="57055"/>
    <x v="189"/>
    <s v="- SALSAS Y CREMAS -  WALIBI -  SALSA DE AJI CRIOLLO-  DOY PACK 380 G / 12"/>
    <n v="6"/>
    <n v="35.1"/>
    <n v="210.6"/>
    <n v="35665.150000000009"/>
  </r>
  <r>
    <x v="8"/>
    <x v="35"/>
    <s v="Bill"/>
    <s v="57055"/>
    <x v="138"/>
    <s v="PERU CHEF- SALSAS Y CREMAS -  WALIBI -  CREMA DE ROCOTO-  DOY PACK 380 G / 12"/>
    <n v="4"/>
    <n v="35.1"/>
    <n v="140.4"/>
    <n v="35805.55000000001"/>
  </r>
  <r>
    <x v="8"/>
    <x v="35"/>
    <s v="Bill"/>
    <s v="57055"/>
    <x v="204"/>
    <s v="PERU CHEF- FIDEOS -  SAN JORGE -  SAN JORGE SPAGUETTI 500 G X 20-   / 20"/>
    <n v="1"/>
    <n v="19.8"/>
    <n v="19.8"/>
    <n v="35825.350000000013"/>
  </r>
  <r>
    <x v="8"/>
    <x v="35"/>
    <s v="Bill"/>
    <s v="57055"/>
    <x v="234"/>
    <s v="Chancapiedra 1.41 Oz X 12"/>
    <n v="2"/>
    <n v="23.4"/>
    <n v="46.8"/>
    <n v="35872.150000000016"/>
  </r>
  <r>
    <x v="8"/>
    <x v="35"/>
    <s v="Bill"/>
    <s v="57055"/>
    <x v="177"/>
    <s v="GOLOSINAS Y DULCES -   -  CHOCOLATE TRIANGULO-  DISPLAY X 22 / 1"/>
    <n v="20"/>
    <n v="13.95"/>
    <n v="279"/>
    <n v="36151.150000000016"/>
  </r>
  <r>
    <x v="8"/>
    <x v="35"/>
    <s v="Bill"/>
    <s v="57055"/>
    <x v="154"/>
    <s v="PERU CHEF- GOLOSINAS Y DULCES -   -  SAN JORGE GALLETAS SODA  40 G  X 7 X 4-   / 4"/>
    <n v="35"/>
    <n v="7.2"/>
    <n v="252"/>
    <n v="36403.150000000016"/>
  </r>
  <r>
    <x v="8"/>
    <x v="35"/>
    <s v="Bill"/>
    <s v="57055"/>
    <x v="235"/>
    <s v="GOLOSINAS Y DULCES -   -  GN RELLENITAS LUCUMA X 8 X 5-   / 5"/>
    <n v="4"/>
    <n v="8.1"/>
    <n v="32.4"/>
    <n v="36435.550000000017"/>
  </r>
  <r>
    <x v="8"/>
    <x v="35"/>
    <s v="Bill"/>
    <s v="57055"/>
    <x v="184"/>
    <s v="GOLOSINAS Y DULCES -   -  GN RELLENITAS FRESA X 8 X 5-   / 5"/>
    <n v="14"/>
    <n v="8.1"/>
    <n v="113.4"/>
    <n v="36548.950000000019"/>
  </r>
  <r>
    <x v="8"/>
    <x v="35"/>
    <s v="Bill"/>
    <s v="57055"/>
    <x v="236"/>
    <s v="Gn Rellenitas Choco Y Menta X 8 X 5"/>
    <n v="2"/>
    <n v="8.1"/>
    <n v="16.2"/>
    <n v="36565.150000000016"/>
  </r>
  <r>
    <x v="8"/>
    <x v="35"/>
    <s v="Bill"/>
    <s v="57055"/>
    <x v="237"/>
    <s v="Gn Rellenitas Choco Y Fresa X 8 X 5"/>
    <n v="2"/>
    <n v="8.1"/>
    <n v="16.2"/>
    <n v="36581.350000000013"/>
  </r>
  <r>
    <x v="8"/>
    <x v="35"/>
    <s v="Bill"/>
    <s v="57055"/>
    <x v="238"/>
    <s v="GOLOSINAS Y DULCES -   -  GN RELLENITAS LIMON X 8 X 5-   / 5"/>
    <n v="2"/>
    <n v="8.1"/>
    <n v="16.2"/>
    <n v="36597.55000000001"/>
  </r>
  <r>
    <x v="8"/>
    <x v="35"/>
    <s v="Bill"/>
    <s v="57055"/>
    <x v="178"/>
    <s v="PERU CHEF- GOLOSINAS Y DULCES -   -  SAN JORGE MUNICION 450 G X 6"/>
    <n v="8"/>
    <n v="13.5"/>
    <n v="108"/>
    <n v="36705.55000000001"/>
  </r>
  <r>
    <x v="8"/>
    <x v="35"/>
    <s v="Bill"/>
    <s v="57055"/>
    <x v="145"/>
    <s v="GOLOSINAS Y DULCES -   -  CHOMP GALLETAS CHOCOLATE 42 G-  BOLSA X 6 / 8"/>
    <n v="4"/>
    <n v="15.3"/>
    <n v="61.2"/>
    <n v="36766.750000000007"/>
  </r>
  <r>
    <x v="8"/>
    <x v="35"/>
    <s v="Bill"/>
    <s v="57055"/>
    <x v="35"/>
    <s v="BELMONT - PERU -  GOLOSINAS - DULCES  -  CASINO - Galleta Menta-  8 / 6x51g - CH117"/>
    <n v="12"/>
    <n v="15.3"/>
    <n v="183.6"/>
    <n v="36950.350000000006"/>
  </r>
  <r>
    <x v="8"/>
    <x v="35"/>
    <s v="Bill"/>
    <s v="57055"/>
    <x v="37"/>
    <s v="BELMONT - PERU -  GOLOSINAS - DULCES  -  CASINO - Galleta Chocolate-  8 / 6x51g - CH118"/>
    <n v="10"/>
    <n v="15.3"/>
    <n v="153"/>
    <n v="37103.350000000006"/>
  </r>
  <r>
    <x v="8"/>
    <x v="35"/>
    <s v="Bill"/>
    <s v="57055"/>
    <x v="38"/>
    <s v="BELMONT - PERU -  GOLOSINAS - DULCES  -  CASINO - Galleta Lucuma-  8 / 6x51g - CH123"/>
    <n v="10"/>
    <n v="15.3"/>
    <n v="153"/>
    <n v="37256.350000000006"/>
  </r>
  <r>
    <x v="8"/>
    <x v="35"/>
    <s v="Bill"/>
    <s v="57055"/>
    <x v="31"/>
    <s v="Winter'S Picaras Chocolate"/>
    <n v="3"/>
    <n v="62.1"/>
    <n v="186.3"/>
    <n v="37442.650000000009"/>
  </r>
  <r>
    <x v="8"/>
    <x v="35"/>
    <s v="Bill"/>
    <s v="57055"/>
    <x v="148"/>
    <s v="GOLOSINAS Y DULCES -   -  GLACITAS FRESA 32 G X 6 X 8-   / 8"/>
    <n v="12"/>
    <n v="15.3"/>
    <n v="183.6"/>
    <n v="37626.250000000007"/>
  </r>
  <r>
    <x v="8"/>
    <x v="35"/>
    <s v="Bill"/>
    <s v="57055"/>
    <x v="149"/>
    <s v="GOLOSINAS Y DULCES -   -  GLACITAS CHOCONIEVE 32 G X 6 X 8-   / 8"/>
    <n v="12"/>
    <n v="15.3"/>
    <n v="183.6"/>
    <n v="37809.850000000006"/>
  </r>
  <r>
    <x v="8"/>
    <x v="35"/>
    <s v="Bill"/>
    <s v="57055"/>
    <x v="146"/>
    <s v="GOLOSINAS Y DULCES -   -  TENTACION GALLETA COCO 47 G-  BOLSA X 6 / 8"/>
    <n v="10"/>
    <n v="15.3"/>
    <n v="153"/>
    <n v="37962.850000000006"/>
  </r>
  <r>
    <x v="8"/>
    <x v="36"/>
    <s v="Bill"/>
    <s v="2025002374"/>
    <x v="16"/>
    <s v="Huancaina A la Cena 17.06oz (400gr) x 12 / 7750243042932  AL-03"/>
    <n v="4"/>
    <n v="35"/>
    <n v="140"/>
    <n v="38102.850000000006"/>
  </r>
  <r>
    <x v="8"/>
    <x v="36"/>
    <s v="Bill"/>
    <s v="2025002374"/>
    <x v="17"/>
    <s v="Uchucuta A la Cena - crema de rocoto 17.06 (400gr) x 12 / 7750243066181 / AL-04"/>
    <n v="6"/>
    <n v="35"/>
    <n v="210"/>
    <n v="38312.850000000006"/>
  </r>
  <r>
    <x v="8"/>
    <x v="36"/>
    <s v="Bill"/>
    <s v="2025002374"/>
    <x v="15"/>
    <s v="Tari crema de aji A la Cena17.06oz (400gr) x 12 / 7750243067805 / AL-02"/>
    <n v="8"/>
    <n v="35"/>
    <n v="280"/>
    <n v="38592.850000000006"/>
  </r>
  <r>
    <x v="8"/>
    <x v="36"/>
    <s v="Bill"/>
    <s v="2025002374"/>
    <x v="190"/>
    <s v="PERU CHEF- PANETON -   -  PERUCHEF PANETON 900 G X 6"/>
    <n v="5"/>
    <n v="36"/>
    <n v="180"/>
    <n v="38772.850000000006"/>
  </r>
  <r>
    <x v="8"/>
    <x v="36"/>
    <s v="Bill"/>
    <s v="2025002373"/>
    <x v="136"/>
    <s v="CONSERVAS -   -  ATUN FLORIDA SOLIDO EN ACEITE 6 OZ X 48-  LATA / 48"/>
    <n v="2"/>
    <n v="81"/>
    <n v="162"/>
    <n v="38934.850000000006"/>
  </r>
  <r>
    <x v="8"/>
    <x v="36"/>
    <s v="Bill"/>
    <s v="2025002373"/>
    <x v="32"/>
    <s v="GOLOSINAS Y DULCES -   -  D'ONOFRIO CHOCOLATE SUBLIME 26 G-  DISPLAY X 24 / 1"/>
    <n v="24"/>
    <n v="13.5"/>
    <n v="324"/>
    <n v="39258.850000000006"/>
  </r>
  <r>
    <x v="8"/>
    <x v="36"/>
    <s v="Bill"/>
    <s v="2025002373"/>
    <x v="224"/>
    <s v="PERU CHEF- FILTRANTES PERUCHEF -   -  SUEÑO PROFUNDO X 20"/>
    <n v="1"/>
    <n v="19.350000000000001"/>
    <n v="19.350000000000001"/>
    <n v="39278.200000000004"/>
  </r>
  <r>
    <x v="8"/>
    <x v="36"/>
    <s v="Bill"/>
    <s v="2025002373"/>
    <x v="225"/>
    <s v="PERU CHEF- FILTRANTES PERUCHEF -   -  TE VERDE CON PIÑA X 20"/>
    <n v="1"/>
    <n v="23.85"/>
    <n v="23.85"/>
    <n v="39302.050000000003"/>
  </r>
  <r>
    <x v="8"/>
    <x v="36"/>
    <s v="Bill"/>
    <s v="2025002373"/>
    <x v="239"/>
    <s v="PERU CHEF- FILTRANTES PERUCHEF -   -  DIGESTIVO X 20"/>
    <n v="2"/>
    <n v="19.350000000000001"/>
    <n v="38.700000000000003"/>
    <n v="39340.75"/>
  </r>
  <r>
    <x v="8"/>
    <x v="36"/>
    <s v="Bill"/>
    <s v="2025002373"/>
    <x v="240"/>
    <s v="Eucalipto X 20"/>
    <n v="2"/>
    <n v="19.350000000000001"/>
    <n v="38.700000000000003"/>
    <n v="39379.449999999997"/>
  </r>
  <r>
    <x v="8"/>
    <x v="36"/>
    <s v="Bill"/>
    <s v="2025002373"/>
    <x v="152"/>
    <s v="PERU CHEF- GOLOSINAS Y DULCES -   -  SAYON GALLETAS TEJANAS 480 G X 8-   / 8"/>
    <n v="6"/>
    <n v="33.299999999999997"/>
    <n v="199.8"/>
    <n v="39579.25"/>
  </r>
  <r>
    <x v="8"/>
    <x v="36"/>
    <s v="Bill"/>
    <s v="2025002373"/>
    <x v="201"/>
    <s v="GOLOSINAS Y DULCES -   -  CHOCKMAN DOBLE MANJAR 53 GR X 8 X 6-   / 8"/>
    <n v="6"/>
    <n v="19.8"/>
    <n v="118.8"/>
    <n v="39698.050000000003"/>
  </r>
  <r>
    <x v="8"/>
    <x v="36"/>
    <s v="Bill"/>
    <s v="2025002373"/>
    <x v="153"/>
    <s v="PERU CHEF- GOLOSINAS Y DULCES -   -  WINTERS OLE OLE 225gr x 50 x 15-   / 15"/>
    <n v="8"/>
    <n v="36.9"/>
    <n v="295.2"/>
    <n v="39993.25"/>
  </r>
  <r>
    <x v="8"/>
    <x v="36"/>
    <s v="Bill"/>
    <s v="2025002373"/>
    <x v="31"/>
    <s v="Winter'S Picaras Chocolate"/>
    <n v="4"/>
    <n v="62.1"/>
    <n v="248.4"/>
    <n v="40241.65"/>
  </r>
  <r>
    <x v="8"/>
    <x v="36"/>
    <s v="Bill"/>
    <s v="2025002373"/>
    <x v="229"/>
    <s v="PERU CHEF- INSTITUCIONAL -   -  PASTA AJI PANCA POCO PICANTE 116 oz -  BIDON 116 oz"/>
    <n v="8"/>
    <n v="18"/>
    <n v="144"/>
    <n v="40385.65"/>
  </r>
  <r>
    <x v="8"/>
    <x v="36"/>
    <s v="Bill"/>
    <s v="2025002373"/>
    <x v="241"/>
    <s v="Pasta Aji Amarillo 116 Oz X 4"/>
    <n v="8"/>
    <n v="18"/>
    <n v="144"/>
    <n v="40529.65"/>
  </r>
  <r>
    <x v="8"/>
    <x v="36"/>
    <s v="Bill"/>
    <s v="2025002373"/>
    <x v="242"/>
    <s v="Rocoto En Salmuera 20 Oz X 12"/>
    <n v="2"/>
    <n v="46.8"/>
    <n v="93.6"/>
    <n v="40623.25"/>
  </r>
  <r>
    <x v="8"/>
    <x v="36"/>
    <s v="Bill"/>
    <s v="2025002373"/>
    <x v="232"/>
    <s v="Peru Chef Zapallo Loche 1Lb"/>
    <n v="140"/>
    <n v="5.625"/>
    <n v="787.5"/>
    <n v="41410.75"/>
  </r>
  <r>
    <x v="8"/>
    <x v="36"/>
    <s v="Bill"/>
    <s v="2025002373"/>
    <x v="243"/>
    <s v="Frijol Panamito 15 Oz X 12"/>
    <n v="2"/>
    <n v="19.8"/>
    <n v="39.6"/>
    <n v="41450.35"/>
  </r>
  <r>
    <x v="8"/>
    <x v="36"/>
    <s v="Bill"/>
    <s v="2025002373"/>
    <x v="244"/>
    <s v="Aji Mirasol 3 Oz X 12"/>
    <n v="1"/>
    <n v="12.6"/>
    <n v="12.6"/>
    <n v="41462.949999999997"/>
  </r>
  <r>
    <x v="8"/>
    <x v="36"/>
    <s v="Bill"/>
    <s v="2025002373"/>
    <x v="128"/>
    <s v="PERU CHEF- GRANOS -  BOLSA -  PALLARES 15 OZ X 12"/>
    <n v="1"/>
    <n v="23.4"/>
    <n v="23.4"/>
    <n v="41486.35"/>
  </r>
  <r>
    <x v="8"/>
    <x v="36"/>
    <s v="Bill"/>
    <s v="2025002373"/>
    <x v="125"/>
    <s v="PERU CHEF- GRANOS -  BOLSA -  EMOLIENTE 5.3 OZ X 12"/>
    <n v="2"/>
    <n v="29.7"/>
    <n v="59.4"/>
    <n v="41545.75"/>
  </r>
  <r>
    <x v="8"/>
    <x v="36"/>
    <s v="Bill"/>
    <s v="2025002373"/>
    <x v="129"/>
    <s v="PERU CHEF- GRANOS -  BOLSA -  HONGOS Y LAUREL 1.57 OZ X 12"/>
    <n v="2"/>
    <n v="35.1"/>
    <n v="70.2"/>
    <n v="41615.949999999997"/>
  </r>
  <r>
    <x v="8"/>
    <x v="36"/>
    <s v="Bill"/>
    <s v="2025002373"/>
    <x v="112"/>
    <s v="PERU CHEF- CONDIMENTO EN PASTA -   -  PASTA AJI PANCA 16 OZ X 12-  12 / FCO VIDRIO"/>
    <n v="2"/>
    <n v="39.6"/>
    <n v="79.2"/>
    <n v="41695.149999999994"/>
  </r>
  <r>
    <x v="8"/>
    <x v="36"/>
    <s v="Bill"/>
    <s v="2025002373"/>
    <x v="111"/>
    <s v="PERU CHEF- CONDIMENTO EN PASTA -   -  PASTA AJI AMARILLO 16 OZ X 12-  12 / FCO VIDRIO"/>
    <n v="2"/>
    <n v="36"/>
    <n v="72"/>
    <n v="41767.149999999994"/>
  </r>
  <r>
    <x v="8"/>
    <x v="36"/>
    <s v="Bill"/>
    <s v="2025002373"/>
    <x v="245"/>
    <s v="Pasta Aji Amarillo Poco Pic 11 Oz X 12"/>
    <n v="1"/>
    <n v="29.7"/>
    <n v="29.7"/>
    <n v="41796.849999999991"/>
  </r>
  <r>
    <x v="8"/>
    <x v="36"/>
    <s v="Bill"/>
    <s v="2025002373"/>
    <x v="246"/>
    <s v="Pasta Aji Panca Poco Picante 11 Oz X 12"/>
    <n v="1"/>
    <n v="32.4"/>
    <n v="32.4"/>
    <n v="41829.249999999993"/>
  </r>
  <r>
    <x v="8"/>
    <x v="36"/>
    <s v="Bill"/>
    <s v="2025002373"/>
    <x v="115"/>
    <s v="PERU CHEF- SALSA / CREMAS -   -  SALSA DE AJI LIMO CON ROCOTO 10.5 OZ X 12 / FCO VIDRIO"/>
    <n v="2"/>
    <n v="44.55"/>
    <n v="89.1"/>
    <n v="41918.349999999991"/>
  </r>
  <r>
    <x v="8"/>
    <x v="36"/>
    <s v="Bill"/>
    <s v="2025002373"/>
    <x v="143"/>
    <s v="PERU CHEF- MIEL -   -  PERUCHEF CHANCACA-  FCO PLASTICO 17 OZ / 12"/>
    <n v="1"/>
    <n v="52.2"/>
    <n v="52.2"/>
    <n v="41970.549999999988"/>
  </r>
  <r>
    <x v="8"/>
    <x v="36"/>
    <s v="Bill"/>
    <s v="2025002373"/>
    <x v="56"/>
    <s v="PERU CHEF- SALSAS Y CREMAS -   -  PROVENZAL OCOPA 70 GR X 12)-"/>
    <n v="2"/>
    <n v="25.2"/>
    <n v="50.4"/>
    <n v="42020.94999999999"/>
  </r>
  <r>
    <x v="8"/>
    <x v="36"/>
    <s v="Bill"/>
    <s v="2025002373"/>
    <x v="55"/>
    <s v="PERU CHEF- SALSAS Y CREMAS -   -  PROVENZAL HUANCAINA 64 GR X 12)-"/>
    <n v="1"/>
    <n v="25.2"/>
    <n v="25.2"/>
    <n v="42046.149999999987"/>
  </r>
  <r>
    <x v="8"/>
    <x v="36"/>
    <s v="Bill"/>
    <s v="2025002373"/>
    <x v="57"/>
    <s v="Provenzal Olluquito 78 Gr X 6 / PR-08"/>
    <n v="2"/>
    <n v="19.8"/>
    <n v="39.6"/>
    <n v="42085.749999999985"/>
  </r>
  <r>
    <x v="8"/>
    <x v="36"/>
    <s v="Bill"/>
    <s v="2025002373"/>
    <x v="53"/>
    <s v="PERU CHEF- SALSAS Y CREMAS -   -  PROVENZAL CAU CAU 60 GR X 12) / PR-04"/>
    <n v="1"/>
    <n v="23.4"/>
    <n v="23.4"/>
    <n v="42109.149999999987"/>
  </r>
  <r>
    <x v="8"/>
    <x v="36"/>
    <s v="Bill"/>
    <s v="2025002373"/>
    <x v="247"/>
    <s v="P. CH. - VARGAS CHEVALIER Jarabe de Goma 750ml x 12 botellas de vidrio"/>
    <n v="1"/>
    <n v="75.599999999999994"/>
    <n v="75.599999999999994"/>
    <n v="42184.749999999985"/>
  </r>
  <r>
    <x v="8"/>
    <x v="36"/>
    <s v="Bill"/>
    <s v="2025002373"/>
    <x v="154"/>
    <s v="PERU CHEF- GOLOSINAS Y DULCES -   -  SAN JORGE GALLETAS SODA  40 G  X 7 X 4-   / 4"/>
    <n v="10"/>
    <n v="7.2"/>
    <n v="72"/>
    <n v="42256.749999999985"/>
  </r>
  <r>
    <x v="8"/>
    <x v="36"/>
    <s v="Bill"/>
    <s v="2025002373"/>
    <x v="204"/>
    <s v="PERU CHEF- FIDEOS -  SAN JORGE -  SAN JORGE SPAGUETTI 500 G X 20-   / 20"/>
    <n v="1"/>
    <n v="19.8"/>
    <n v="19.8"/>
    <n v="42276.549999999988"/>
  </r>
  <r>
    <x v="8"/>
    <x v="36"/>
    <s v="Bill"/>
    <s v="2025002373"/>
    <x v="189"/>
    <s v="- SALSAS Y CREMAS -  WALIBI -  SALSA DE AJI CRIOLLO-  DOY PACK 380 G / 12"/>
    <n v="6"/>
    <n v="35.1"/>
    <n v="210.6"/>
    <n v="42487.149999999987"/>
  </r>
  <r>
    <x v="9"/>
    <x v="37"/>
    <s v="Bill"/>
    <s v=""/>
    <x v="248"/>
    <s v="Agua de Manantial Ozarka Texas, 8 fl oz, Paquete de 48 Botellas de Plástico"/>
    <n v="5"/>
    <n v="7.98"/>
    <n v="39.9"/>
    <n v="39.9"/>
  </r>
  <r>
    <x v="10"/>
    <x v="38"/>
    <s v="Bill"/>
    <s v="14265331"/>
    <x v="249"/>
    <s v="TA- COSTA RICA -  FROZEN -  Yuca Family Pack / Cassava Family Pack -  5lbs - CR101"/>
    <n v="2.3332999999999999"/>
    <n v="40.5428"/>
    <n v="94.6"/>
    <n v="94.6"/>
  </r>
  <r>
    <x v="10"/>
    <x v="38"/>
    <s v="Bill"/>
    <s v="14266331"/>
    <x v="249"/>
    <s v="TA- COSTA RICA -  FROZEN -  Yuca Family Pack / Cassava Family Pack -  5lbs - CR101"/>
    <n v="0.66669999999999996"/>
    <n v="42.344999999999999"/>
    <n v="28.23"/>
    <n v="122.83"/>
  </r>
  <r>
    <x v="10"/>
    <x v="39"/>
    <s v="Bill"/>
    <s v="1639223"/>
    <x v="249"/>
    <s v="TA- COSTA RICA -  FROZEN -  Yuca Family Pack / Cassava Family Pack -  5lbs - CR101"/>
    <n v="3"/>
    <n v="39.826000000000001"/>
    <n v="119.48"/>
    <n v="242.31"/>
  </r>
  <r>
    <x v="10"/>
    <x v="5"/>
    <s v="Bill"/>
    <s v="33165126"/>
    <x v="249"/>
    <s v="TA- COSTA RICA -  FROZEN -  Yuca Family Pack / Cassava Family Pack -  5lbs - CR101"/>
    <n v="3"/>
    <n v="49.15"/>
    <n v="147.44999999999999"/>
    <n v="389.76"/>
  </r>
  <r>
    <x v="10"/>
    <x v="40"/>
    <s v="Bill"/>
    <s v=""/>
    <x v="249"/>
    <s v="TA- COSTA RICA -  FROZEN -  Yuca Family Pack / Cassava Family Pack -  5lbs - CR101"/>
    <n v="3"/>
    <n v="49.15"/>
    <n v="147.44999999999999"/>
    <n v="537.21"/>
  </r>
  <r>
    <x v="11"/>
    <x v="41"/>
    <s v="Bill"/>
    <s v="475144"/>
    <x v="250"/>
    <s v="T.A Aji Panca Pasta 7.5oz x 24 fco de vidrio"/>
    <n v="2"/>
    <n v="28.8"/>
    <n v="57.6"/>
    <n v="57.6"/>
  </r>
  <r>
    <x v="11"/>
    <x v="41"/>
    <s v="Bill"/>
    <s v="475144"/>
    <x v="251"/>
    <s v="T.A T.A Aji Amarillo Pasta 7.5oz x 24 fco de vidrio"/>
    <n v="2"/>
    <n v="28.8"/>
    <n v="57.6"/>
    <n v="115.2"/>
  </r>
  <r>
    <x v="11"/>
    <x v="41"/>
    <s v="Bill"/>
    <s v="475144"/>
    <x v="252"/>
    <s v="Rocoto Pasta /Red Hot Peppers Paste"/>
    <n v="2"/>
    <n v="30.96"/>
    <n v="61.92"/>
    <n v="177.12"/>
  </r>
  <r>
    <x v="11"/>
    <x v="41"/>
    <s v="Bill"/>
    <s v="475144"/>
    <x v="253"/>
    <s v="Aji Mirasol Pasta / Mirasol Pepper Paste"/>
    <n v="2"/>
    <n v="31.2"/>
    <n v="62.4"/>
    <n v="239.52"/>
  </r>
  <r>
    <x v="11"/>
    <x v="41"/>
    <s v="Bill"/>
    <s v="475144"/>
    <x v="254"/>
    <s v="T.A Aji Panca en Pasta &quot;Poco Picante&quot; 7.5oz x 24 fco de vidrio"/>
    <n v="2"/>
    <n v="31.2"/>
    <n v="62.4"/>
    <n v="301.92"/>
  </r>
  <r>
    <x v="11"/>
    <x v="41"/>
    <s v="Bill"/>
    <s v="475144"/>
    <x v="255"/>
    <s v="Aji Panca Pasta /Panca Pepper Paste"/>
    <n v="2"/>
    <n v="19.8"/>
    <n v="39.6"/>
    <n v="341.52000000000004"/>
  </r>
  <r>
    <x v="11"/>
    <x v="41"/>
    <s v="Bill"/>
    <s v="475144"/>
    <x v="256"/>
    <s v="Aji Amarillo Pasta /Yellow Pepper Paste"/>
    <n v="2"/>
    <n v="19.8"/>
    <n v="39.6"/>
    <n v="381.12000000000006"/>
  </r>
  <r>
    <x v="11"/>
    <x v="41"/>
    <s v="Bill"/>
    <s v="475144"/>
    <x v="257"/>
    <s v="Rocoto Pasta / Red Hot Peppers Paste"/>
    <n v="1"/>
    <n v="23.88"/>
    <n v="23.88"/>
    <n v="405.00000000000006"/>
  </r>
  <r>
    <x v="11"/>
    <x v="41"/>
    <s v="Bill"/>
    <s v="475144"/>
    <x v="258"/>
    <s v="Aji Panca Pasta &quot;Poco Picante&quot; / Panca Pepper Paste"/>
    <n v="2"/>
    <n v="19.2"/>
    <n v="38.4"/>
    <n v="443.40000000000003"/>
  </r>
  <r>
    <x v="11"/>
    <x v="41"/>
    <s v="Bill"/>
    <s v="475144"/>
    <x v="259"/>
    <s v="T.A Aji Panca Pasta /Panca Pepper Paste 15oz x 12"/>
    <n v="2"/>
    <n v="23.88"/>
    <n v="47.76"/>
    <n v="491.16"/>
  </r>
  <r>
    <x v="11"/>
    <x v="41"/>
    <s v="Bill"/>
    <s v="475144"/>
    <x v="260"/>
    <s v="Tradiciones Andinas Aji Amarillo Pasta 15oz X 12 fco de vidrio"/>
    <n v="2"/>
    <n v="23.88"/>
    <n v="47.76"/>
    <n v="538.92000000000007"/>
  </r>
  <r>
    <x v="11"/>
    <x v="41"/>
    <s v="Bill"/>
    <s v="475144"/>
    <x v="261"/>
    <s v="Tradiciones Andinas Rocoto Pasta 15oz X 12 fco vidrio"/>
    <n v="2"/>
    <n v="27.48"/>
    <n v="54.96"/>
    <n v="593.88000000000011"/>
  </r>
  <r>
    <x v="11"/>
    <x v="41"/>
    <s v="Bill"/>
    <s v="475144"/>
    <x v="262"/>
    <s v="TradicionesAndinas Aji Panca Pasta &quot;Poco Picante&quot; 15oz x 12 fco vidrio"/>
    <n v="2"/>
    <n v="25.08"/>
    <n v="50.16"/>
    <n v="644.04000000000008"/>
  </r>
  <r>
    <x v="11"/>
    <x v="41"/>
    <s v="Bill"/>
    <s v="475144"/>
    <x v="263"/>
    <s v="Aceituna Botija /Alfonso Olives"/>
    <n v="3"/>
    <n v="37.08"/>
    <n v="111.24"/>
    <n v="755.28000000000009"/>
  </r>
  <r>
    <x v="11"/>
    <x v="41"/>
    <s v="Bill"/>
    <s v="475144"/>
    <x v="264"/>
    <s v="Aji Amarillo sin Picante / Yellow Pepper paste Non Spicy"/>
    <n v="2"/>
    <n v="38.159999999999997"/>
    <n v="76.319999999999993"/>
    <n v="831.60000000000014"/>
  </r>
  <r>
    <x v="11"/>
    <x v="41"/>
    <s v="Bill"/>
    <s v="475144"/>
    <x v="265"/>
    <s v="Tradiciones Andinas Aji Amarillo sin Picante 15oz x 12 fco vidrio"/>
    <n v="2"/>
    <n v="31.08"/>
    <n v="62.16"/>
    <n v="893.7600000000001"/>
  </r>
  <r>
    <x v="11"/>
    <x v="41"/>
    <s v="Bill"/>
    <s v="475144"/>
    <x v="266"/>
    <s v="Maiz Morado /Purple Corn"/>
    <n v="2"/>
    <n v="22.4"/>
    <n v="44.8"/>
    <n v="938.56000000000006"/>
  </r>
  <r>
    <x v="11"/>
    <x v="41"/>
    <s v="Bill"/>
    <s v="475144"/>
    <x v="267"/>
    <s v="Papa Seca / Dried Potato"/>
    <n v="2"/>
    <n v="28.62"/>
    <n v="57.24"/>
    <n v="995.80000000000007"/>
  </r>
  <r>
    <x v="11"/>
    <x v="41"/>
    <s v="Bill"/>
    <s v="475144"/>
    <x v="268"/>
    <s v="Cancha Corn / Maiz Cancha"/>
    <n v="2"/>
    <n v="42.96"/>
    <n v="85.92"/>
    <n v="1081.72"/>
  </r>
  <r>
    <x v="11"/>
    <x v="41"/>
    <s v="Bill"/>
    <s v="475144"/>
    <x v="269"/>
    <s v="Peeled Mote Corn / Mote Pelado"/>
    <n v="2"/>
    <n v="39.36"/>
    <n v="78.72"/>
    <n v="1160.44"/>
  </r>
  <r>
    <x v="11"/>
    <x v="41"/>
    <s v="Bill"/>
    <s v="475144"/>
    <x v="270"/>
    <s v="Trigo Resbalado/Hulled Wheat"/>
    <n v="2"/>
    <n v="30"/>
    <n v="60"/>
    <n v="1220.44"/>
  </r>
  <r>
    <x v="11"/>
    <x v="41"/>
    <s v="Bill"/>
    <s v="475144"/>
    <x v="271"/>
    <s v="Maiz Chulpe /Chulpe Corn"/>
    <n v="2"/>
    <n v="40.56"/>
    <n v="81.12"/>
    <n v="1301.56"/>
  </r>
  <r>
    <x v="11"/>
    <x v="41"/>
    <s v="Bill"/>
    <s v="475144"/>
    <x v="272"/>
    <s v="Quinua /Quinoa"/>
    <n v="2"/>
    <n v="40.159999999999997"/>
    <n v="80.319999999999993"/>
    <n v="1381.8799999999999"/>
  </r>
  <r>
    <x v="11"/>
    <x v="41"/>
    <s v="Bill"/>
    <s v="475144"/>
    <x v="273"/>
    <s v="Cebada Tostada /Toasted Barley"/>
    <n v="2"/>
    <n v="19.8"/>
    <n v="39.6"/>
    <n v="1421.4799999999998"/>
  </r>
  <r>
    <x v="11"/>
    <x v="41"/>
    <s v="Bill"/>
    <s v="475144"/>
    <x v="274"/>
    <s v="Chuño Entero Blanco / White Potato Starch"/>
    <n v="2"/>
    <n v="48.42"/>
    <n v="96.84"/>
    <n v="1518.3199999999997"/>
  </r>
  <r>
    <x v="11"/>
    <x v="41"/>
    <s v="Bill"/>
    <s v="475144"/>
    <x v="275"/>
    <s v="T.A Trigo Trigo Pelado/Peeled Wheat"/>
    <n v="2"/>
    <n v="30"/>
    <n v="60"/>
    <n v="1578.3199999999997"/>
  </r>
  <r>
    <x v="11"/>
    <x v="41"/>
    <s v="Bill"/>
    <s v="475144"/>
    <x v="276"/>
    <s v="Emoliente / Emolient"/>
    <n v="2"/>
    <n v="19.8"/>
    <n v="39.6"/>
    <n v="1617.9199999999996"/>
  </r>
  <r>
    <x v="11"/>
    <x v="41"/>
    <s v="Bill"/>
    <s v="475144"/>
    <x v="277"/>
    <s v="Maiz Morado (Family Pack) /Purple Corn"/>
    <n v="2"/>
    <n v="22.4"/>
    <n v="44.8"/>
    <n v="1662.7199999999996"/>
  </r>
  <r>
    <x v="11"/>
    <x v="41"/>
    <s v="Bill"/>
    <s v="475144"/>
    <x v="278"/>
    <s v="Mote Pelado (Family Pack) /Peeled Mote Corn"/>
    <n v="2"/>
    <n v="35"/>
    <n v="70"/>
    <n v="1732.7199999999996"/>
  </r>
  <r>
    <x v="11"/>
    <x v="41"/>
    <s v="Bill"/>
    <s v="475144"/>
    <x v="279"/>
    <s v="Maiz Cancha (Family Pack) /Cancha Corn"/>
    <n v="2"/>
    <n v="35"/>
    <n v="70"/>
    <n v="1802.7199999999996"/>
  </r>
  <r>
    <x v="11"/>
    <x v="41"/>
    <s v="Bill"/>
    <s v="475144"/>
    <x v="280"/>
    <s v="Papa Seca Amarilla (Family Pack) /Yelow Dried Potato"/>
    <n v="2"/>
    <n v="27.54"/>
    <n v="55.08"/>
    <n v="1857.7999999999995"/>
  </r>
  <r>
    <x v="11"/>
    <x v="41"/>
    <s v="Bill"/>
    <s v="475144"/>
    <x v="281"/>
    <s v="Papa Seca Negra (Family Pack) / Black Dried Potato"/>
    <n v="2"/>
    <n v="28.62"/>
    <n v="57.24"/>
    <n v="1915.0399999999995"/>
  </r>
  <r>
    <x v="11"/>
    <x v="41"/>
    <s v="Bill"/>
    <s v="475144"/>
    <x v="282"/>
    <s v="Papa Seca Amarilla  / Yelow Dried Potato"/>
    <n v="2"/>
    <n v="28.62"/>
    <n v="57.24"/>
    <n v="1972.2799999999995"/>
  </r>
  <r>
    <x v="11"/>
    <x v="41"/>
    <s v="Bill"/>
    <s v="475144"/>
    <x v="156"/>
    <s v="Kikko Siyau 500Ml X 30"/>
    <n v="2"/>
    <n v="29.7"/>
    <n v="59.4"/>
    <n v="2031.6799999999996"/>
  </r>
  <r>
    <x v="11"/>
    <x v="41"/>
    <s v="Bill"/>
    <s v="475144"/>
    <x v="283"/>
    <s v="SIBARITA - Vinagre Blanco - White Vinegar"/>
    <n v="2"/>
    <n v="11.88"/>
    <n v="23.76"/>
    <n v="2055.4399999999996"/>
  </r>
  <r>
    <x v="11"/>
    <x v="41"/>
    <s v="Bill"/>
    <s v="475144"/>
    <x v="284"/>
    <s v="SIBARITA - Vinagre Tinto - Red Vinegar"/>
    <n v="2"/>
    <n v="11.88"/>
    <n v="23.76"/>
    <n v="2079.1999999999998"/>
  </r>
  <r>
    <x v="11"/>
    <x v="41"/>
    <s v="Bill"/>
    <s v="475144"/>
    <x v="285"/>
    <s v="SIBARITA - Vinagre Blanco - White Vinegar 16.91oz x 12 botella"/>
    <n v="2"/>
    <n v="9.48"/>
    <n v="18.96"/>
    <n v="2098.16"/>
  </r>
  <r>
    <x v="11"/>
    <x v="41"/>
    <s v="Bill"/>
    <s v="475144"/>
    <x v="286"/>
    <s v="SIBARITA Vinagre Tinto - Red Vinegar 16.91oz  x 12 botella"/>
    <n v="2"/>
    <n v="9.48"/>
    <n v="18.96"/>
    <n v="2117.12"/>
  </r>
  <r>
    <x v="11"/>
    <x v="41"/>
    <s v="Bill"/>
    <s v="475144"/>
    <x v="287"/>
    <s v="Gelatina Fresa / Strawberry Gelatin"/>
    <n v="2"/>
    <n v="13.08"/>
    <n v="26.16"/>
    <n v="2143.2799999999997"/>
  </r>
  <r>
    <x v="11"/>
    <x v="41"/>
    <s v="Bill"/>
    <s v="475144"/>
    <x v="288"/>
    <s v="Gelatina Naranja / Orange Gelatin"/>
    <n v="1"/>
    <n v="13.08"/>
    <n v="13.08"/>
    <n v="2156.3599999999997"/>
  </r>
  <r>
    <x v="11"/>
    <x v="41"/>
    <s v="Bill"/>
    <s v="475144"/>
    <x v="289"/>
    <s v="Maiz Cancha"/>
    <n v="1"/>
    <n v="60"/>
    <n v="60"/>
    <n v="2216.3599999999997"/>
  </r>
  <r>
    <x v="11"/>
    <x v="41"/>
    <s v="Bill"/>
    <s v="475144"/>
    <x v="290"/>
    <s v="T.A Maiz Morado /Purple Corn 50Lb saco"/>
    <n v="2"/>
    <n v="60"/>
    <n v="120"/>
    <n v="2336.3599999999997"/>
  </r>
  <r>
    <x v="11"/>
    <x v="41"/>
    <s v="Bill"/>
    <s v="475144"/>
    <x v="291"/>
    <s v="Mote Pelado Saco"/>
    <n v="1"/>
    <n v="80"/>
    <n v="80"/>
    <n v="2416.3599999999997"/>
  </r>
  <r>
    <x v="11"/>
    <x v="41"/>
    <s v="Bill"/>
    <s v="475144"/>
    <x v="292"/>
    <s v="Maiz Chulpe Saco"/>
    <n v="1"/>
    <n v="73"/>
    <n v="73"/>
    <n v="2489.3599999999997"/>
  </r>
  <r>
    <x v="11"/>
    <x v="41"/>
    <s v="Bill"/>
    <s v="475144"/>
    <x v="293"/>
    <s v="Aji Amarillo Balde (4 baldes)"/>
    <n v="1"/>
    <n v="52"/>
    <n v="52"/>
    <n v="2541.3599999999997"/>
  </r>
  <r>
    <x v="11"/>
    <x v="41"/>
    <s v="Bill"/>
    <s v="475144"/>
    <x v="294"/>
    <s v="Aceite Vegetal con Achiote"/>
    <n v="1"/>
    <n v="35"/>
    <n v="35"/>
    <n v="2576.3599999999997"/>
  </r>
  <r>
    <x v="11"/>
    <x v="41"/>
    <s v="Bill"/>
    <s v="475144"/>
    <x v="280"/>
    <s v="Papa Seca Amarilla (Family Pack) /Yelow Dried Potato"/>
    <n v="1"/>
    <n v="28.62"/>
    <n v="28.62"/>
    <n v="2604.9799999999996"/>
  </r>
  <r>
    <x v="11"/>
    <x v="41"/>
    <s v="Bill"/>
    <s v="475144"/>
    <x v="295"/>
    <s v="Tradiciones Andinas - Chicha de Jora /Jora Seasoning"/>
    <n v="1"/>
    <n v="35.880000000000003"/>
    <n v="35.880000000000003"/>
    <n v="2640.8599999999997"/>
  </r>
  <r>
    <x v="11"/>
    <x v="41"/>
    <s v="Bill"/>
    <s v="475144"/>
    <x v="296"/>
    <s v="Habas Fritas Saladas/  Broad Beans Snacks"/>
    <n v="1"/>
    <n v="12"/>
    <n v="12"/>
    <n v="2652.8599999999997"/>
  </r>
  <r>
    <x v="11"/>
    <x v="41"/>
    <s v="Bill"/>
    <s v="475144"/>
    <x v="297"/>
    <s v="Choclo Entero / Corn on the Cob"/>
    <n v="2"/>
    <n v="35"/>
    <n v="70"/>
    <n v="2722.8599999999997"/>
  </r>
  <r>
    <x v="11"/>
    <x v="41"/>
    <s v="Bill"/>
    <s v="475144"/>
    <x v="298"/>
    <s v="Rocoto Entero / Red Hot Pepper"/>
    <n v="1"/>
    <n v="50"/>
    <n v="50"/>
    <n v="2772.8599999999997"/>
  </r>
  <r>
    <x v="11"/>
    <x v="41"/>
    <s v="Bill"/>
    <s v="475144"/>
    <x v="299"/>
    <s v="Aji Amarillo / Yellow Hot Pepper"/>
    <n v="2"/>
    <n v="36"/>
    <n v="72"/>
    <n v="2844.8599999999997"/>
  </r>
  <r>
    <x v="11"/>
    <x v="41"/>
    <s v="Bill"/>
    <s v="475144"/>
    <x v="300"/>
    <s v="Aji Limo / Limo Pepper"/>
    <n v="1"/>
    <n v="44.82"/>
    <n v="44.82"/>
    <n v="2889.68"/>
  </r>
  <r>
    <x v="11"/>
    <x v="41"/>
    <s v="Bill"/>
    <s v="475144"/>
    <x v="301"/>
    <s v="T.A Choclo desgranado / Corn in Grain FROZEN  4Lb x 10 P00199A"/>
    <n v="2"/>
    <n v="60"/>
    <n v="120"/>
    <n v="3009.68"/>
  </r>
  <r>
    <x v="11"/>
    <x v="41"/>
    <s v="Bill"/>
    <s v="475144"/>
    <x v="302"/>
    <s v="Pulpa De Lucuma / Lucuma  Pulp"/>
    <n v="2"/>
    <n v="45.8"/>
    <n v="91.6"/>
    <n v="3101.2799999999997"/>
  </r>
  <r>
    <x v="11"/>
    <x v="41"/>
    <s v="Bill"/>
    <s v="475144"/>
    <x v="303"/>
    <s v="T.A  Choclo Entero / Corn on the Cob 4 x 10"/>
    <n v="2"/>
    <n v="37"/>
    <n v="74"/>
    <n v="3175.2799999999997"/>
  </r>
  <r>
    <x v="11"/>
    <x v="41"/>
    <s v="Bill"/>
    <s v="475144"/>
    <x v="304"/>
    <s v="Aji Amarillo sin Pepas / Yellow Hot Pepper Seedless"/>
    <n v="1"/>
    <n v="42"/>
    <n v="42"/>
    <n v="3217.2799999999997"/>
  </r>
  <r>
    <x v="11"/>
    <x v="41"/>
    <s v="Bill"/>
    <s v="475144"/>
    <x v="305"/>
    <s v="Pulpa de Maracuya / Passion Fruit pulp"/>
    <n v="3"/>
    <n v="25.08"/>
    <n v="75.239999999999995"/>
    <n v="3292.5199999999995"/>
  </r>
  <r>
    <x v="11"/>
    <x v="41"/>
    <s v="Bill"/>
    <s v="475144"/>
    <x v="249"/>
    <s v="Yuca Family Pack / Cassava Family Pack"/>
    <n v="2"/>
    <n v="27"/>
    <n v="54"/>
    <n v="3346.5199999999995"/>
  </r>
  <r>
    <x v="11"/>
    <x v="25"/>
    <s v="Bill"/>
    <s v=""/>
    <x v="250"/>
    <s v="T.A Aji Panca Pasta 7.5oz x 24 fco de vidrio"/>
    <n v="2"/>
    <n v="28.8"/>
    <n v="57.6"/>
    <n v="3404.1199999999994"/>
  </r>
  <r>
    <x v="11"/>
    <x v="25"/>
    <s v="Bill"/>
    <s v=""/>
    <x v="251"/>
    <s v="T.A T.A Aji Amarillo Pasta 7.5oz x 24 fco de vidrio"/>
    <n v="2"/>
    <n v="28.8"/>
    <n v="57.6"/>
    <n v="3461.7199999999993"/>
  </r>
  <r>
    <x v="11"/>
    <x v="25"/>
    <s v="Bill"/>
    <s v=""/>
    <x v="252"/>
    <s v="Rocoto Pasta /Red Hot Peppers Paste"/>
    <n v="2"/>
    <n v="30.96"/>
    <n v="61.92"/>
    <n v="3523.6399999999994"/>
  </r>
  <r>
    <x v="11"/>
    <x v="25"/>
    <s v="Bill"/>
    <s v=""/>
    <x v="253"/>
    <s v="Aji Mirasol Pasta / Mirasol Pepper Paste"/>
    <n v="2"/>
    <n v="31.2"/>
    <n v="62.4"/>
    <n v="3586.0399999999995"/>
  </r>
  <r>
    <x v="11"/>
    <x v="25"/>
    <s v="Bill"/>
    <s v=""/>
    <x v="254"/>
    <s v="T.A Aji Panca en Pasta &quot;Poco Picante&quot; 7.5oz x 24 fco de vidrio"/>
    <n v="2"/>
    <n v="31.2"/>
    <n v="62.4"/>
    <n v="3648.4399999999996"/>
  </r>
  <r>
    <x v="11"/>
    <x v="25"/>
    <s v="Bill"/>
    <s v=""/>
    <x v="255"/>
    <s v="Aji Panca Pasta /Panca Pepper Paste"/>
    <n v="2"/>
    <n v="19.8"/>
    <n v="39.6"/>
    <n v="3688.0399999999995"/>
  </r>
  <r>
    <x v="11"/>
    <x v="25"/>
    <s v="Bill"/>
    <s v=""/>
    <x v="256"/>
    <s v="Aji Amarillo Pasta /Yellow Pepper Paste"/>
    <n v="2"/>
    <n v="19.8"/>
    <n v="39.6"/>
    <n v="3727.6399999999994"/>
  </r>
  <r>
    <x v="11"/>
    <x v="25"/>
    <s v="Bill"/>
    <s v=""/>
    <x v="257"/>
    <s v="Rocoto Pasta / Red Hot Peppers Paste"/>
    <n v="2"/>
    <n v="23.88"/>
    <n v="47.76"/>
    <n v="3775.3999999999996"/>
  </r>
  <r>
    <x v="11"/>
    <x v="25"/>
    <s v="Bill"/>
    <s v=""/>
    <x v="258"/>
    <s v="Aji Panca Pasta &quot;Poco Picante&quot; / Panca Pepper Paste"/>
    <n v="2"/>
    <n v="19.2"/>
    <n v="38.4"/>
    <n v="3813.7999999999997"/>
  </r>
  <r>
    <x v="11"/>
    <x v="25"/>
    <s v="Bill"/>
    <s v=""/>
    <x v="260"/>
    <s v="Tradiciones Andinas Aji Amarillo Pasta 15oz X 12 fco de vidrio"/>
    <n v="4"/>
    <n v="23.88"/>
    <n v="95.52"/>
    <n v="3909.3199999999997"/>
  </r>
  <r>
    <x v="11"/>
    <x v="25"/>
    <s v="Bill"/>
    <s v=""/>
    <x v="261"/>
    <s v="Tradiciones Andinas Rocoto Pasta 15oz X 12 fco vidrio"/>
    <n v="1"/>
    <n v="27.48"/>
    <n v="27.48"/>
    <n v="3936.7999999999997"/>
  </r>
  <r>
    <x v="11"/>
    <x v="25"/>
    <s v="Bill"/>
    <s v=""/>
    <x v="262"/>
    <s v="TradicionesAndinas Aji Panca Pasta &quot;Poco Picante&quot; 15oz x 12 fco vidrio"/>
    <n v="4"/>
    <n v="25.08"/>
    <n v="100.32"/>
    <n v="4037.12"/>
  </r>
  <r>
    <x v="11"/>
    <x v="25"/>
    <s v="Bill"/>
    <s v=""/>
    <x v="265"/>
    <s v="Tradiciones Andinas Aji Amarillo sin Picante 15oz x 12 fco vidrio"/>
    <n v="4"/>
    <n v="31.08"/>
    <n v="124.32"/>
    <n v="4161.4399999999996"/>
  </r>
  <r>
    <x v="11"/>
    <x v="25"/>
    <s v="Bill"/>
    <s v=""/>
    <x v="266"/>
    <s v="Maiz Morado /Purple Corn"/>
    <n v="4"/>
    <n v="22.4"/>
    <n v="89.6"/>
    <n v="4251.04"/>
  </r>
  <r>
    <x v="11"/>
    <x v="25"/>
    <s v="Bill"/>
    <s v=""/>
    <x v="267"/>
    <s v="Papa Seca / Dried Potato"/>
    <n v="2"/>
    <n v="28.62"/>
    <n v="57.24"/>
    <n v="4308.28"/>
  </r>
  <r>
    <x v="11"/>
    <x v="25"/>
    <s v="Bill"/>
    <s v=""/>
    <x v="268"/>
    <s v="Cancha Corn / Maiz Cancha"/>
    <n v="2"/>
    <n v="42.96"/>
    <n v="85.92"/>
    <n v="4394.2"/>
  </r>
  <r>
    <x v="11"/>
    <x v="25"/>
    <s v="Bill"/>
    <s v=""/>
    <x v="269"/>
    <s v="Peeled Mote Corn / Mote Pelado"/>
    <n v="2"/>
    <n v="42.96"/>
    <n v="85.92"/>
    <n v="4480.12"/>
  </r>
  <r>
    <x v="11"/>
    <x v="25"/>
    <s v="Bill"/>
    <s v=""/>
    <x v="270"/>
    <s v="Trigo Resbalado/Hulled Wheat"/>
    <n v="3"/>
    <n v="30"/>
    <n v="90"/>
    <n v="4570.12"/>
  </r>
  <r>
    <x v="11"/>
    <x v="25"/>
    <s v="Bill"/>
    <s v=""/>
    <x v="271"/>
    <s v="Maiz Chulpe /Chulpe Corn"/>
    <n v="2"/>
    <n v="40.56"/>
    <n v="81.12"/>
    <n v="4651.24"/>
  </r>
  <r>
    <x v="11"/>
    <x v="25"/>
    <s v="Bill"/>
    <s v=""/>
    <x v="273"/>
    <s v="Cebada Tostada /Toasted Barley"/>
    <n v="3"/>
    <n v="19.8"/>
    <n v="59.4"/>
    <n v="4710.6399999999994"/>
  </r>
  <r>
    <x v="11"/>
    <x v="25"/>
    <s v="Bill"/>
    <s v=""/>
    <x v="274"/>
    <s v="Chuño Entero Blanco / White Potato Starch"/>
    <n v="1"/>
    <n v="48.42"/>
    <n v="48.42"/>
    <n v="4759.0599999999995"/>
  </r>
  <r>
    <x v="11"/>
    <x v="25"/>
    <s v="Bill"/>
    <s v=""/>
    <x v="275"/>
    <s v="TRADICIONES ANDINAS - PERU -  BOLSA -   Trigo Pelado/Peeled Wheat -  24 / 15oz -"/>
    <n v="2"/>
    <n v="30"/>
    <n v="60"/>
    <n v="4819.0599999999995"/>
  </r>
  <r>
    <x v="11"/>
    <x v="25"/>
    <s v="Bill"/>
    <s v=""/>
    <x v="306"/>
    <s v="Harina Chuño / Potato Starch Flour"/>
    <n v="2"/>
    <n v="28.8"/>
    <n v="57.6"/>
    <n v="4876.66"/>
  </r>
  <r>
    <x v="11"/>
    <x v="25"/>
    <s v="Bill"/>
    <s v=""/>
    <x v="276"/>
    <s v="Emoliente / Emolient"/>
    <n v="2"/>
    <n v="19.8"/>
    <n v="39.6"/>
    <n v="4916.26"/>
  </r>
  <r>
    <x v="11"/>
    <x v="25"/>
    <s v="Bill"/>
    <s v=""/>
    <x v="282"/>
    <s v="Papa Seca Amarilla  / Yelow Dried Potato"/>
    <n v="2"/>
    <n v="28.62"/>
    <n v="57.24"/>
    <n v="4973.5"/>
  </r>
  <r>
    <x v="11"/>
    <x v="25"/>
    <s v="Bill"/>
    <s v=""/>
    <x v="307"/>
    <s v="Quinoa Negra  / Black  Quinoa"/>
    <n v="2"/>
    <n v="22.68"/>
    <n v="45.36"/>
    <n v="5018.8599999999997"/>
  </r>
  <r>
    <x v="11"/>
    <x v="25"/>
    <s v="Bill"/>
    <s v=""/>
    <x v="308"/>
    <s v="Quinoa Tricolor  / Tri-Color Quinoa"/>
    <n v="2"/>
    <n v="22.68"/>
    <n v="45.36"/>
    <n v="5064.2199999999993"/>
  </r>
  <r>
    <x v="11"/>
    <x v="25"/>
    <s v="Bill"/>
    <s v=""/>
    <x v="155"/>
    <s v="EL TRIUNFO - Fideo Chino - Chinese Noodles"/>
    <n v="3"/>
    <n v="30"/>
    <n v="90"/>
    <n v="5154.2199999999993"/>
  </r>
  <r>
    <x v="11"/>
    <x v="25"/>
    <s v="Bill"/>
    <s v=""/>
    <x v="156"/>
    <s v="Kikko Siyau 500Ml X 30"/>
    <n v="3"/>
    <n v="29.7"/>
    <n v="89.1"/>
    <n v="5243.32"/>
  </r>
  <r>
    <x v="11"/>
    <x v="25"/>
    <s v="Bill"/>
    <s v=""/>
    <x v="296"/>
    <s v="Habas Fritas Saladas/  Broad Beans Snacks"/>
    <n v="2"/>
    <n v="12"/>
    <n v="24"/>
    <n v="5267.32"/>
  </r>
  <r>
    <x v="11"/>
    <x v="25"/>
    <s v="Bill"/>
    <s v=""/>
    <x v="309"/>
    <s v="Mix Andino Snack / Andean Mix Snack"/>
    <n v="2"/>
    <n v="12"/>
    <n v="24"/>
    <n v="5291.32"/>
  </r>
  <r>
    <x v="11"/>
    <x v="25"/>
    <s v="Bill"/>
    <s v=""/>
    <x v="284"/>
    <s v="SIBARITA - Vinagre Tinto - Red Vinegar"/>
    <n v="3"/>
    <n v="11.88"/>
    <n v="35.64"/>
    <n v="5326.96"/>
  </r>
  <r>
    <x v="11"/>
    <x v="25"/>
    <s v="Bill"/>
    <s v=""/>
    <x v="283"/>
    <s v="SIBARITA - Vinagre Blanco - White Vinegar"/>
    <n v="2"/>
    <n v="11.88"/>
    <n v="23.76"/>
    <n v="5350.72"/>
  </r>
  <r>
    <x v="11"/>
    <x v="25"/>
    <s v="Bill"/>
    <s v=""/>
    <x v="285"/>
    <s v="SIBARITA - Vinagre Blanco - White Vinegar 16.91oz x 12 botella"/>
    <n v="2"/>
    <n v="8.48"/>
    <n v="16.96"/>
    <n v="5367.68"/>
  </r>
  <r>
    <x v="11"/>
    <x v="25"/>
    <s v="Bill"/>
    <s v=""/>
    <x v="286"/>
    <s v="SIBARITA Vinagre Tinto - Red Vinegar 16.91oz  x 12 botella"/>
    <n v="3"/>
    <n v="8.48"/>
    <n v="25.44"/>
    <n v="5393.12"/>
  </r>
  <r>
    <x v="11"/>
    <x v="25"/>
    <s v="Bill"/>
    <s v=""/>
    <x v="288"/>
    <s v="Gelatina Naranja / Orange Gelatin"/>
    <n v="2"/>
    <n v="13.08"/>
    <n v="26.16"/>
    <n v="5419.28"/>
  </r>
  <r>
    <x v="11"/>
    <x v="25"/>
    <s v="Bill"/>
    <s v=""/>
    <x v="310"/>
    <s v="Escencia de Vainilla / Vanilla Scent"/>
    <n v="1"/>
    <n v="21.36"/>
    <n v="21.36"/>
    <n v="5440.6399999999994"/>
  </r>
  <r>
    <x v="11"/>
    <x v="25"/>
    <s v="Bill"/>
    <s v=""/>
    <x v="311"/>
    <s v="Chicha Morada / Purple drink instant beverage"/>
    <n v="2"/>
    <n v="12"/>
    <n v="24"/>
    <n v="5464.6399999999994"/>
  </r>
  <r>
    <x v="11"/>
    <x v="25"/>
    <s v="Bill"/>
    <s v=""/>
    <x v="23"/>
    <s v="Galletas Margarita Sayon"/>
    <n v="5"/>
    <n v="12.8"/>
    <n v="64"/>
    <n v="5528.6399999999994"/>
  </r>
  <r>
    <x v="11"/>
    <x v="25"/>
    <s v="Bill"/>
    <s v=""/>
    <x v="20"/>
    <s v="Cua Cua"/>
    <n v="5"/>
    <n v="47.76"/>
    <n v="238.8"/>
    <n v="5767.44"/>
  </r>
  <r>
    <x v="11"/>
    <x v="25"/>
    <s v="Bill"/>
    <s v=""/>
    <x v="21"/>
    <s v="Doña Pepa"/>
    <n v="5"/>
    <n v="53.64"/>
    <n v="268.2"/>
    <n v="6035.6399999999994"/>
  </r>
  <r>
    <x v="11"/>
    <x v="25"/>
    <s v="Bill"/>
    <s v=""/>
    <x v="34"/>
    <s v="FIELD - Galletas de Soda"/>
    <n v="5"/>
    <n v="46.44"/>
    <n v="232.2"/>
    <n v="6267.8399999999992"/>
  </r>
  <r>
    <x v="11"/>
    <x v="25"/>
    <s v="Bill"/>
    <s v=""/>
    <x v="24"/>
    <s v="FIELD - Galletas de Vainilla"/>
    <n v="5"/>
    <n v="47.56"/>
    <n v="237.8"/>
    <n v="6505.6399999999994"/>
  </r>
  <r>
    <x v="11"/>
    <x v="25"/>
    <s v="Bill"/>
    <s v=""/>
    <x v="312"/>
    <s v="Maiz Atomico Imperial con Miel"/>
    <n v="5"/>
    <n v="20"/>
    <n v="100"/>
    <n v="6605.6399999999994"/>
  </r>
  <r>
    <x v="11"/>
    <x v="25"/>
    <s v="Bill"/>
    <s v=""/>
    <x v="313"/>
    <s v="Trigo Atomico original con Miel"/>
    <n v="4"/>
    <n v="20"/>
    <n v="80"/>
    <n v="6685.6399999999994"/>
  </r>
  <r>
    <x v="11"/>
    <x v="25"/>
    <s v="Bill"/>
    <s v=""/>
    <x v="314"/>
    <s v="VITAPLUSS - Maiz expandido con miel"/>
    <n v="3"/>
    <n v="24"/>
    <n v="72"/>
    <n v="6757.6399999999994"/>
  </r>
  <r>
    <x v="11"/>
    <x v="25"/>
    <s v="Bill"/>
    <s v=""/>
    <x v="315"/>
    <s v="VITAPLUSS - Trigo Expandido con Miel"/>
    <n v="3"/>
    <n v="24"/>
    <n v="72"/>
    <n v="6829.6399999999994"/>
  </r>
  <r>
    <x v="11"/>
    <x v="25"/>
    <s v="Bill"/>
    <s v=""/>
    <x v="316"/>
    <s v="VITAPLUSS - Fideos con Miel"/>
    <n v="2"/>
    <n v="24"/>
    <n v="48"/>
    <n v="6877.6399999999994"/>
  </r>
  <r>
    <x v="11"/>
    <x v="25"/>
    <s v="Bill"/>
    <s v=""/>
    <x v="317"/>
    <s v="VITAPLUSS - Arrocito con Miel"/>
    <n v="2"/>
    <n v="24"/>
    <n v="48"/>
    <n v="6925.6399999999994"/>
  </r>
  <r>
    <x v="11"/>
    <x v="25"/>
    <s v="Bill"/>
    <s v=""/>
    <x v="318"/>
    <s v="Arrocito Atomico"/>
    <n v="2"/>
    <n v="20"/>
    <n v="40"/>
    <n v="6965.6399999999994"/>
  </r>
  <r>
    <x v="11"/>
    <x v="25"/>
    <s v="Bill"/>
    <s v=""/>
    <x v="297"/>
    <s v="Choclo Entero / Corn on the Cob"/>
    <n v="1"/>
    <n v="35"/>
    <n v="35"/>
    <n v="7000.6399999999994"/>
  </r>
  <r>
    <x v="11"/>
    <x v="25"/>
    <s v="Bill"/>
    <s v=""/>
    <x v="319"/>
    <s v="TRADICIONES ANDINAS- PERU -  FROZEN -  Choclo Entero / Corn on the Cob -  18/2"/>
    <n v="3"/>
    <n v="30.6"/>
    <n v="91.8"/>
    <n v="7092.44"/>
  </r>
  <r>
    <x v="11"/>
    <x v="25"/>
    <s v="Bill"/>
    <s v=""/>
    <x v="320"/>
    <s v="Papa Amarilla / Yellow Potato"/>
    <n v="5"/>
    <n v="49.8"/>
    <n v="249"/>
    <n v="7341.44"/>
  </r>
  <r>
    <x v="11"/>
    <x v="25"/>
    <s v="Bill"/>
    <s v=""/>
    <x v="299"/>
    <s v="Aji Amarillo / Yellow Hot Pepper"/>
    <n v="3"/>
    <n v="36"/>
    <n v="108"/>
    <n v="7449.44"/>
  </r>
  <r>
    <x v="11"/>
    <x v="25"/>
    <s v="Bill"/>
    <s v=""/>
    <x v="321"/>
    <s v="Choclo en Grano / Corn in Grain"/>
    <n v="3"/>
    <n v="51"/>
    <n v="153"/>
    <n v="7602.44"/>
  </r>
  <r>
    <x v="11"/>
    <x v="25"/>
    <s v="Bill"/>
    <s v=""/>
    <x v="322"/>
    <s v="Olluco cortado / Sliced Ollucos"/>
    <n v="3"/>
    <n v="45"/>
    <n v="135"/>
    <n v="7737.44"/>
  </r>
  <r>
    <x v="11"/>
    <x v="25"/>
    <s v="Bill"/>
    <s v=""/>
    <x v="323"/>
    <s v="Huacatay / Black Mint"/>
    <n v="2"/>
    <n v="43.2"/>
    <n v="86.4"/>
    <n v="7823.8399999999992"/>
  </r>
  <r>
    <x v="11"/>
    <x v="25"/>
    <s v="Bill"/>
    <s v=""/>
    <x v="300"/>
    <s v="Aji Limo / Limo Pepper"/>
    <n v="2"/>
    <n v="32.4"/>
    <n v="64.8"/>
    <n v="7888.6399999999994"/>
  </r>
  <r>
    <x v="11"/>
    <x v="25"/>
    <s v="Bill"/>
    <s v=""/>
    <x v="302"/>
    <s v="Pulpa De Lucuma / Lucuma  Pulp"/>
    <n v="1"/>
    <n v="47.8"/>
    <n v="47.8"/>
    <n v="7936.44"/>
  </r>
  <r>
    <x v="11"/>
    <x v="25"/>
    <s v="Bill"/>
    <s v=""/>
    <x v="303"/>
    <s v="T.A  Choclo Entero / Corn on the Cob 4 x 10"/>
    <n v="3"/>
    <n v="35"/>
    <n v="105"/>
    <n v="8041.44"/>
  </r>
  <r>
    <x v="11"/>
    <x v="25"/>
    <s v="Bill"/>
    <s v=""/>
    <x v="305"/>
    <s v="Pulpa de Maracuya / Passion Fruit pulp"/>
    <n v="2"/>
    <n v="25.08"/>
    <n v="50.16"/>
    <n v="8091.5999999999995"/>
  </r>
  <r>
    <x v="11"/>
    <x v="25"/>
    <s v="Bill"/>
    <s v=""/>
    <x v="324"/>
    <s v="Achocha / Caigua"/>
    <n v="2"/>
    <n v="27.48"/>
    <n v="54.96"/>
    <n v="8146.5599999999995"/>
  </r>
  <r>
    <x v="11"/>
    <x v="42"/>
    <s v="Bill"/>
    <s v="476974"/>
    <x v="250"/>
    <s v="T.A Aji Panca Pasta 7.5oz x 24 fco de vidrio"/>
    <n v="6"/>
    <n v="28.8"/>
    <n v="172.8"/>
    <n v="8319.3599999999988"/>
  </r>
  <r>
    <x v="11"/>
    <x v="42"/>
    <s v="Bill"/>
    <s v="476974"/>
    <x v="251"/>
    <s v="T.A T.A Aji Amarillo Pasta 7.5oz x 24 fco de vidrio"/>
    <n v="6"/>
    <n v="28.8"/>
    <n v="172.8"/>
    <n v="8492.159999999998"/>
  </r>
  <r>
    <x v="11"/>
    <x v="42"/>
    <s v="Bill"/>
    <s v="476974"/>
    <x v="252"/>
    <s v="Rocoto Pasta /Red Hot Peppers Paste"/>
    <n v="6"/>
    <n v="30.96"/>
    <n v="185.76"/>
    <n v="8677.9199999999983"/>
  </r>
  <r>
    <x v="11"/>
    <x v="42"/>
    <s v="Bill"/>
    <s v="476974"/>
    <x v="325"/>
    <s v="T.A  Ajo pasta 7.5oz x 24 fraco vidrio"/>
    <n v="6"/>
    <n v="38.159999999999997"/>
    <n v="228.96"/>
    <n v="8906.8799999999974"/>
  </r>
  <r>
    <x v="11"/>
    <x v="42"/>
    <s v="Bill"/>
    <s v="476974"/>
    <x v="253"/>
    <s v="Aji Mirasol Pasta / Mirasol Pepper Paste"/>
    <n v="4"/>
    <n v="31.2"/>
    <n v="124.8"/>
    <n v="9031.6799999999967"/>
  </r>
  <r>
    <x v="11"/>
    <x v="42"/>
    <s v="Bill"/>
    <s v="476974"/>
    <x v="326"/>
    <s v="Albahaca Pasta /Basil Paste"/>
    <n v="4"/>
    <n v="30"/>
    <n v="120"/>
    <n v="9151.6799999999967"/>
  </r>
  <r>
    <x v="11"/>
    <x v="42"/>
    <s v="Bill"/>
    <s v="476974"/>
    <x v="254"/>
    <s v="T.A Aji Panca en Pasta &quot;Poco Picante&quot; 7.5oz x 24 fco de vidrio"/>
    <n v="6"/>
    <n v="31.2"/>
    <n v="187.2"/>
    <n v="9338.8799999999974"/>
  </r>
  <r>
    <x v="11"/>
    <x v="42"/>
    <s v="Bill"/>
    <s v="476974"/>
    <x v="256"/>
    <s v="Aji Amarillo Pasta /Yellow Pepper Paste"/>
    <n v="6"/>
    <n v="19.8"/>
    <n v="118.8"/>
    <n v="9457.6799999999967"/>
  </r>
  <r>
    <x v="11"/>
    <x v="42"/>
    <s v="Bill"/>
    <s v="476974"/>
    <x v="257"/>
    <s v="Rocoto Pasta / Red Hot Peppers Paste"/>
    <n v="4"/>
    <n v="23.88"/>
    <n v="95.52"/>
    <n v="9553.1999999999971"/>
  </r>
  <r>
    <x v="11"/>
    <x v="42"/>
    <s v="Bill"/>
    <s v="476974"/>
    <x v="258"/>
    <s v="Aji Panca Pasta &quot;Poco Picante&quot; / Panca Pepper Paste"/>
    <n v="6"/>
    <n v="19.2"/>
    <n v="115.2"/>
    <n v="9668.3999999999978"/>
  </r>
  <r>
    <x v="11"/>
    <x v="42"/>
    <s v="Bill"/>
    <s v="476974"/>
    <x v="327"/>
    <s v="T.A. Ajo Pasta - Ajo en Pasta /Garlic Paste 15oz X 12"/>
    <n v="2"/>
    <n v="35.880000000000003"/>
    <n v="71.760000000000005"/>
    <n v="9740.159999999998"/>
  </r>
  <r>
    <x v="11"/>
    <x v="42"/>
    <s v="Bill"/>
    <s v="476974"/>
    <x v="328"/>
    <s v="Salsa Parrillera /BBQ Seasoning"/>
    <n v="2"/>
    <n v="27"/>
    <n v="54"/>
    <n v="9794.159999999998"/>
  </r>
  <r>
    <x v="11"/>
    <x v="42"/>
    <s v="Bill"/>
    <s v="476974"/>
    <x v="262"/>
    <s v="TradicionesAndinas Aji Panca Pasta &quot;Poco Picante&quot; 15oz x 12 fco vidrio"/>
    <n v="6"/>
    <n v="25.08"/>
    <n v="150.47999999999999"/>
    <n v="9944.6399999999976"/>
  </r>
  <r>
    <x v="11"/>
    <x v="42"/>
    <s v="Bill"/>
    <s v="476974"/>
    <x v="329"/>
    <s v="Salsa Pollo A La Brasa /Grill Chicken Seasoning"/>
    <n v="2"/>
    <n v="27"/>
    <n v="54"/>
    <n v="9998.6399999999976"/>
  </r>
  <r>
    <x v="11"/>
    <x v="42"/>
    <s v="Bill"/>
    <s v="476974"/>
    <x v="263"/>
    <s v="Aceituna Botija /Alfonso Olives"/>
    <n v="6"/>
    <n v="37.08"/>
    <n v="222.48"/>
    <n v="10221.119999999997"/>
  </r>
  <r>
    <x v="11"/>
    <x v="42"/>
    <s v="Bill"/>
    <s v="476974"/>
    <x v="330"/>
    <s v="Aceituna Botija sin Pepa /Pitted Alfonso Olives"/>
    <n v="4"/>
    <n v="37.08"/>
    <n v="148.32"/>
    <n v="10369.439999999997"/>
  </r>
  <r>
    <x v="11"/>
    <x v="42"/>
    <s v="Bill"/>
    <s v="476974"/>
    <x v="265"/>
    <s v="Tradiciones Andinas Aji Amarillo sin Picante 15oz x 12 fco vidrio"/>
    <n v="6"/>
    <n v="31.08"/>
    <n v="186.48"/>
    <n v="10555.919999999996"/>
  </r>
  <r>
    <x v="11"/>
    <x v="42"/>
    <s v="Bill"/>
    <s v="476974"/>
    <x v="266"/>
    <s v="Maiz Morado /Purple Corn"/>
    <n v="10"/>
    <n v="22.4"/>
    <n v="224"/>
    <n v="10779.919999999996"/>
  </r>
  <r>
    <x v="11"/>
    <x v="42"/>
    <s v="Bill"/>
    <s v="476974"/>
    <x v="267"/>
    <s v="Papa Seca / Dried Potato"/>
    <n v="10"/>
    <n v="28.62"/>
    <n v="286.2"/>
    <n v="11066.119999999997"/>
  </r>
  <r>
    <x v="11"/>
    <x v="42"/>
    <s v="Bill"/>
    <s v="476974"/>
    <x v="268"/>
    <s v="Cancha Corn / Maiz Cancha"/>
    <n v="4"/>
    <n v="42.96"/>
    <n v="171.84"/>
    <n v="11237.959999999997"/>
  </r>
  <r>
    <x v="11"/>
    <x v="42"/>
    <s v="Bill"/>
    <s v="476974"/>
    <x v="269"/>
    <s v="Peeled Mote Corn / Mote Pelado"/>
    <n v="4"/>
    <n v="42.96"/>
    <n v="171.84"/>
    <n v="11409.799999999997"/>
  </r>
  <r>
    <x v="11"/>
    <x v="42"/>
    <s v="Bill"/>
    <s v="476974"/>
    <x v="331"/>
    <s v="T.A Linaza /Flax Seed 15oz x 24"/>
    <n v="3"/>
    <n v="31.2"/>
    <n v="93.6"/>
    <n v="11503.399999999998"/>
  </r>
  <r>
    <x v="11"/>
    <x v="42"/>
    <s v="Bill"/>
    <s v="476974"/>
    <x v="275"/>
    <s v="T.A Trigo Trigo Pelado/Peeled Wheat"/>
    <n v="6"/>
    <n v="30"/>
    <n v="180"/>
    <n v="11683.399999999998"/>
  </r>
  <r>
    <x v="11"/>
    <x v="42"/>
    <s v="Bill"/>
    <s v="476974"/>
    <x v="272"/>
    <s v="Quinua /Quinoa"/>
    <n v="6"/>
    <n v="40.159999999999997"/>
    <n v="240.96"/>
    <n v="11924.359999999997"/>
  </r>
  <r>
    <x v="11"/>
    <x v="42"/>
    <s v="Bill"/>
    <s v="476974"/>
    <x v="332"/>
    <s v="Semola /Semolina"/>
    <n v="4"/>
    <n v="28.8"/>
    <n v="115.2"/>
    <n v="12039.559999999998"/>
  </r>
  <r>
    <x v="11"/>
    <x v="42"/>
    <s v="Bill"/>
    <s v="476974"/>
    <x v="273"/>
    <s v="Cebada Tostada /Toasted Barley"/>
    <n v="10"/>
    <n v="19.8"/>
    <n v="198"/>
    <n v="12237.559999999998"/>
  </r>
  <r>
    <x v="11"/>
    <x v="42"/>
    <s v="Bill"/>
    <s v="476974"/>
    <x v="274"/>
    <s v="Chuño Entero Blanco / White Potato Starch"/>
    <n v="2"/>
    <n v="48.42"/>
    <n v="96.84"/>
    <n v="12334.399999999998"/>
  </r>
  <r>
    <x v="11"/>
    <x v="42"/>
    <s v="Bill"/>
    <s v="476974"/>
    <x v="270"/>
    <s v="Trigo Resbalado/Hulled Wheat"/>
    <n v="6"/>
    <n v="30"/>
    <n v="180"/>
    <n v="12514.399999999998"/>
  </r>
  <r>
    <x v="11"/>
    <x v="42"/>
    <s v="Bill"/>
    <s v="476974"/>
    <x v="306"/>
    <s v="Harina Chuño / Potato Starch Flour"/>
    <n v="10"/>
    <n v="28.8"/>
    <n v="288"/>
    <n v="12802.399999999998"/>
  </r>
  <r>
    <x v="11"/>
    <x v="42"/>
    <s v="Bill"/>
    <s v="476974"/>
    <x v="276"/>
    <s v="Emoliente / Emolient"/>
    <n v="4"/>
    <n v="19.8"/>
    <n v="79.2"/>
    <n v="12881.599999999999"/>
  </r>
  <r>
    <x v="11"/>
    <x v="42"/>
    <s v="Bill"/>
    <s v="476974"/>
    <x v="282"/>
    <s v="Papa Seca Amarilla  / Yelow Dried Potato"/>
    <n v="2"/>
    <n v="28.62"/>
    <n v="57.24"/>
    <n v="12938.839999999998"/>
  </r>
  <r>
    <x v="11"/>
    <x v="42"/>
    <s v="Bill"/>
    <s v="476974"/>
    <x v="333"/>
    <s v="Chia /Chia Seeds"/>
    <n v="2"/>
    <n v="28.64"/>
    <n v="57.28"/>
    <n v="12996.119999999999"/>
  </r>
  <r>
    <x v="11"/>
    <x v="42"/>
    <s v="Bill"/>
    <s v="476974"/>
    <x v="334"/>
    <s v="Harina de Quinua /Quinua Flour (Instant)"/>
    <n v="1"/>
    <n v="28.64"/>
    <n v="28.64"/>
    <n v="13024.759999999998"/>
  </r>
  <r>
    <x v="11"/>
    <x v="42"/>
    <s v="Bill"/>
    <s v="476974"/>
    <x v="307"/>
    <s v="Quinoa Negra  / Black  Quinoa"/>
    <n v="2"/>
    <n v="22.68"/>
    <n v="45.36"/>
    <n v="13070.119999999999"/>
  </r>
  <r>
    <x v="11"/>
    <x v="42"/>
    <s v="Bill"/>
    <s v="476974"/>
    <x v="308"/>
    <s v="Quinoa Tricolor  / Tri-Color Quinoa"/>
    <n v="2"/>
    <n v="22.68"/>
    <n v="45.36"/>
    <n v="13115.48"/>
  </r>
  <r>
    <x v="11"/>
    <x v="42"/>
    <s v="Bill"/>
    <s v="476974"/>
    <x v="335"/>
    <s v="Harina Linaza /Flax seed Flour"/>
    <n v="1"/>
    <n v="39.6"/>
    <n v="39.6"/>
    <n v="13155.08"/>
  </r>
  <r>
    <x v="11"/>
    <x v="42"/>
    <s v="Bill"/>
    <s v="476974"/>
    <x v="336"/>
    <s v="Harina de Maca /Maca Flour"/>
    <n v="1"/>
    <n v="50.16"/>
    <n v="50.16"/>
    <n v="13205.24"/>
  </r>
  <r>
    <x v="11"/>
    <x v="42"/>
    <s v="Bill"/>
    <s v="476974"/>
    <x v="155"/>
    <s v="EL TRIUNFO - Fideo Chino - Chinese Noodles"/>
    <n v="20"/>
    <n v="30"/>
    <n v="600"/>
    <n v="13805.24"/>
  </r>
  <r>
    <x v="11"/>
    <x v="42"/>
    <s v="Bill"/>
    <s v="476974"/>
    <x v="337"/>
    <s v="Chicha Morada / Purple Corn Drink"/>
    <n v="3"/>
    <n v="18.600000000000001"/>
    <n v="55.8"/>
    <n v="13861.039999999999"/>
  </r>
  <r>
    <x v="11"/>
    <x v="42"/>
    <s v="Bill"/>
    <s v="476974"/>
    <x v="338"/>
    <s v="Chicha Morada /Purple Corn Drink"/>
    <n v="3"/>
    <n v="13.08"/>
    <n v="39.24"/>
    <n v="13900.279999999999"/>
  </r>
  <r>
    <x v="11"/>
    <x v="42"/>
    <s v="Bill"/>
    <s v="476974"/>
    <x v="339"/>
    <s v="Nectar de Maracuya / Passion Fruit Nectar"/>
    <n v="3"/>
    <n v="15"/>
    <n v="45"/>
    <n v="13945.279999999999"/>
  </r>
  <r>
    <x v="11"/>
    <x v="42"/>
    <s v="Bill"/>
    <s v="476974"/>
    <x v="156"/>
    <s v="Kikko Siyau 500Ml X 30"/>
    <n v="10"/>
    <n v="29.7"/>
    <n v="297"/>
    <n v="14242.279999999999"/>
  </r>
  <r>
    <x v="11"/>
    <x v="42"/>
    <s v="Bill"/>
    <s v="476974"/>
    <x v="10"/>
    <s v="MSG -AJINOMOTO"/>
    <n v="3"/>
    <n v="69"/>
    <n v="207"/>
    <n v="14449.279999999999"/>
  </r>
  <r>
    <x v="11"/>
    <x v="42"/>
    <s v="Bill"/>
    <s v="476974"/>
    <x v="340"/>
    <s v="AjiNomoto Bolsa 500g x 30 - TA"/>
    <n v="6"/>
    <n v="71"/>
    <n v="426"/>
    <n v="14875.279999999999"/>
  </r>
  <r>
    <x v="11"/>
    <x v="42"/>
    <s v="Bill"/>
    <s v="476974"/>
    <x v="341"/>
    <s v="Maiz Chulpi frito Salado/ Chulpi Corn Snack"/>
    <n v="6"/>
    <n v="12"/>
    <n v="72"/>
    <n v="14947.279999999999"/>
  </r>
  <r>
    <x v="11"/>
    <x v="42"/>
    <s v="Bill"/>
    <s v="476974"/>
    <x v="342"/>
    <s v="Maiz Cancha Frito Salado / Native Corn Snack"/>
    <n v="5"/>
    <n v="12"/>
    <n v="60"/>
    <n v="15007.279999999999"/>
  </r>
  <r>
    <x v="11"/>
    <x v="42"/>
    <s v="Bill"/>
    <s v="476974"/>
    <x v="296"/>
    <s v="Habas Fritas Saladas/  Broad Beans Snacks"/>
    <n v="6"/>
    <n v="12"/>
    <n v="72"/>
    <n v="15079.279999999999"/>
  </r>
  <r>
    <x v="11"/>
    <x v="42"/>
    <s v="Bill"/>
    <s v="476974"/>
    <x v="343"/>
    <s v="Maiz Gigante Frito Salado/ Giant Corn Snacks"/>
    <n v="5"/>
    <n v="12"/>
    <n v="60"/>
    <n v="15139.279999999999"/>
  </r>
  <r>
    <x v="11"/>
    <x v="42"/>
    <s v="Bill"/>
    <s v="476974"/>
    <x v="309"/>
    <s v="Mix Andino Snack / Andean Mix Snack"/>
    <n v="6"/>
    <n v="12"/>
    <n v="72"/>
    <n v="15211.279999999999"/>
  </r>
  <r>
    <x v="11"/>
    <x v="42"/>
    <s v="Bill"/>
    <s v="476974"/>
    <x v="344"/>
    <s v="SIBARITA - Tuco Tallarin"/>
    <n v="6"/>
    <n v="42.5"/>
    <n v="255"/>
    <n v="15466.279999999999"/>
  </r>
  <r>
    <x v="11"/>
    <x v="42"/>
    <s v="Bill"/>
    <s v="476974"/>
    <x v="345"/>
    <s v="SIBARITA - Aji Panca Sazonador"/>
    <n v="5"/>
    <n v="42.5"/>
    <n v="212.5"/>
    <n v="15678.779999999999"/>
  </r>
  <r>
    <x v="11"/>
    <x v="42"/>
    <s v="Bill"/>
    <s v="476974"/>
    <x v="283"/>
    <s v="SIBARITA - Vinagre Blanco - White Vinegar"/>
    <n v="4"/>
    <n v="11.88"/>
    <n v="47.52"/>
    <n v="15726.3"/>
  </r>
  <r>
    <x v="11"/>
    <x v="42"/>
    <s v="Bill"/>
    <s v="476974"/>
    <x v="284"/>
    <s v="SIBARITA - Vinagre Tinto - Red Vinegar"/>
    <n v="4"/>
    <n v="11.88"/>
    <n v="47.52"/>
    <n v="15773.82"/>
  </r>
  <r>
    <x v="11"/>
    <x v="42"/>
    <s v="Bill"/>
    <s v="476974"/>
    <x v="285"/>
    <s v="SIBARITA - Vinagre Blanco - White Vinegar 16.91oz x 12 botella"/>
    <n v="4"/>
    <n v="8.48"/>
    <n v="33.92"/>
    <n v="15807.74"/>
  </r>
  <r>
    <x v="11"/>
    <x v="42"/>
    <s v="Bill"/>
    <s v="476974"/>
    <x v="286"/>
    <s v="SIBARITA Vinagre Tinto - Red Vinegar 16.91oz  x 12 botella"/>
    <n v="4"/>
    <n v="8.48"/>
    <n v="33.92"/>
    <n v="15841.66"/>
  </r>
  <r>
    <x v="11"/>
    <x v="42"/>
    <s v="Bill"/>
    <s v="476974"/>
    <x v="346"/>
    <s v="SIBARITA - Panquita Doypack 12 x 19.4 oz - TA"/>
    <n v="10"/>
    <n v="49.08"/>
    <n v="490.8"/>
    <n v="16332.46"/>
  </r>
  <r>
    <x v="11"/>
    <x v="42"/>
    <s v="Bill"/>
    <s v="476974"/>
    <x v="347"/>
    <s v="SIBARITA - Amarillin Doypack  19.4oz x 12"/>
    <n v="10"/>
    <n v="49.08"/>
    <n v="490.8"/>
    <n v="16823.259999999998"/>
  </r>
  <r>
    <x v="11"/>
    <x v="42"/>
    <s v="Bill"/>
    <s v="476974"/>
    <x v="348"/>
    <s v="SIBARITA - Ajo / Garlic Family Pack"/>
    <n v="8"/>
    <n v="49.08"/>
    <n v="392.64"/>
    <n v="17215.899999999998"/>
  </r>
  <r>
    <x v="11"/>
    <x v="42"/>
    <s v="Bill"/>
    <s v="476974"/>
    <x v="349"/>
    <s v="TRADICIONES ANDINAS - Te con canela y clavo - Cinnamon and Clove"/>
    <n v="2"/>
    <n v="25.5"/>
    <n v="51"/>
    <n v="17266.899999999998"/>
  </r>
  <r>
    <x v="11"/>
    <x v="42"/>
    <s v="Bill"/>
    <s v="476974"/>
    <x v="350"/>
    <s v="TRADICIONES ANDINAS - Anis"/>
    <n v="2"/>
    <n v="25.5"/>
    <n v="51"/>
    <n v="17317.899999999998"/>
  </r>
  <r>
    <x v="11"/>
    <x v="42"/>
    <s v="Bill"/>
    <s v="476974"/>
    <x v="351"/>
    <s v="TRADICIONES ANDINAS - Hierbaluisa - Lemon Grass Tea"/>
    <n v="2"/>
    <n v="25.5"/>
    <n v="51"/>
    <n v="17368.899999999998"/>
  </r>
  <r>
    <x v="11"/>
    <x v="42"/>
    <s v="Bill"/>
    <s v="476974"/>
    <x v="352"/>
    <s v="DEL VALLE - Una de Gato"/>
    <n v="2"/>
    <n v="36.880000000000003"/>
    <n v="73.760000000000005"/>
    <n v="17442.659999999996"/>
  </r>
  <r>
    <x v="11"/>
    <x v="42"/>
    <s v="Bill"/>
    <s v="476974"/>
    <x v="353"/>
    <s v="DEL VALLE - Chancapiedra"/>
    <n v="2"/>
    <n v="36.880000000000003"/>
    <n v="73.760000000000005"/>
    <n v="17516.419999999995"/>
  </r>
  <r>
    <x v="11"/>
    <x v="42"/>
    <s v="Bill"/>
    <s v="476974"/>
    <x v="288"/>
    <s v="Gelatina Naranja / Orange Gelatin"/>
    <n v="6"/>
    <n v="13.08"/>
    <n v="78.48"/>
    <n v="17594.899999999994"/>
  </r>
  <r>
    <x v="11"/>
    <x v="42"/>
    <s v="Bill"/>
    <s v="476974"/>
    <x v="354"/>
    <s v="Gelatina Piña / Pineapple Gelatin"/>
    <n v="3"/>
    <n v="13.08"/>
    <n v="39.24"/>
    <n v="17634.139999999996"/>
  </r>
  <r>
    <x v="11"/>
    <x v="42"/>
    <s v="Bill"/>
    <s v="476974"/>
    <x v="355"/>
    <s v="Flan de Vainilla / Vanilla Flan"/>
    <n v="4"/>
    <n v="13.08"/>
    <n v="52.32"/>
    <n v="17686.459999999995"/>
  </r>
  <r>
    <x v="11"/>
    <x v="42"/>
    <s v="Bill"/>
    <s v="476974"/>
    <x v="356"/>
    <s v="Mazamorra Morada /Purple Pudin"/>
    <n v="8"/>
    <n v="13.08"/>
    <n v="104.64"/>
    <n v="17791.099999999995"/>
  </r>
  <r>
    <x v="11"/>
    <x v="42"/>
    <s v="Bill"/>
    <s v="476974"/>
    <x v="310"/>
    <s v="Esencia de Vainilla / Vanilla Scent"/>
    <n v="3"/>
    <n v="21.36"/>
    <n v="64.08"/>
    <n v="17855.179999999997"/>
  </r>
  <r>
    <x v="11"/>
    <x v="42"/>
    <s v="Bill"/>
    <s v="476974"/>
    <x v="311"/>
    <s v="Chicha Morada / Purple drink instant beverage"/>
    <n v="12"/>
    <n v="12"/>
    <n v="144"/>
    <n v="17999.179999999997"/>
  </r>
  <r>
    <x v="11"/>
    <x v="42"/>
    <s v="Bill"/>
    <s v="476974"/>
    <x v="357"/>
    <s v="Universal - Maicena - 180g x 7"/>
    <n v="5"/>
    <n v="9"/>
    <n v="45"/>
    <n v="18044.179999999997"/>
  </r>
  <r>
    <x v="11"/>
    <x v="42"/>
    <s v="Bill"/>
    <s v="476974"/>
    <x v="358"/>
    <s v="Refresco Guanabana / Guava Instant beverage"/>
    <n v="5"/>
    <n v="12"/>
    <n v="60"/>
    <n v="18104.179999999997"/>
  </r>
  <r>
    <x v="11"/>
    <x v="42"/>
    <s v="Bill"/>
    <s v="476974"/>
    <x v="359"/>
    <s v="Refresco de Maracuya / Passion fruit instant beverage"/>
    <n v="8"/>
    <n v="12"/>
    <n v="96"/>
    <n v="18200.179999999997"/>
  </r>
  <r>
    <x v="11"/>
    <x v="42"/>
    <s v="Bill"/>
    <s v="476974"/>
    <x v="360"/>
    <s v="Flan de Lucuma/ Lucuma Pudin"/>
    <n v="4"/>
    <n v="13"/>
    <n v="52"/>
    <n v="18252.179999999997"/>
  </r>
  <r>
    <x v="11"/>
    <x v="42"/>
    <s v="Bill"/>
    <s v="476974"/>
    <x v="361"/>
    <s v="Polvo de Hornear - Baking powder"/>
    <n v="3"/>
    <n v="12"/>
    <n v="36"/>
    <n v="18288.179999999997"/>
  </r>
  <r>
    <x v="11"/>
    <x v="42"/>
    <s v="Bill"/>
    <s v="476974"/>
    <x v="362"/>
    <s v="Bicarbonato de Sodio - Baking soda"/>
    <n v="3"/>
    <n v="12"/>
    <n v="36"/>
    <n v="18324.179999999997"/>
  </r>
  <r>
    <x v="11"/>
    <x v="42"/>
    <s v="Bill"/>
    <s v="476974"/>
    <x v="363"/>
    <s v="Gelatina Durazno / Peach Gelatin"/>
    <n v="3"/>
    <n v="13.08"/>
    <n v="39.24"/>
    <n v="18363.419999999998"/>
  </r>
  <r>
    <x v="11"/>
    <x v="42"/>
    <s v="Bill"/>
    <s v="476974"/>
    <x v="364"/>
    <s v="TA - UNIVERSAL PRODUCTS- PERU -   -  Mazamorra sabor a Piña / Pineapple flavor pudin-  12 / 150g - U139"/>
    <n v="3"/>
    <n v="13.08"/>
    <n v="39.24"/>
    <n v="18402.66"/>
  </r>
  <r>
    <x v="11"/>
    <x v="42"/>
    <s v="Bill"/>
    <s v="476974"/>
    <x v="219"/>
    <s v="WINTER'S - Panettone"/>
    <n v="3"/>
    <n v="35.94"/>
    <n v="107.82"/>
    <n v="18510.48"/>
  </r>
  <r>
    <x v="11"/>
    <x v="42"/>
    <s v="Bill"/>
    <s v="476974"/>
    <x v="23"/>
    <s v="Galletas Margarita Sayon"/>
    <n v="12"/>
    <n v="12.8"/>
    <n v="153.6"/>
    <n v="18664.079999999998"/>
  </r>
  <r>
    <x v="11"/>
    <x v="42"/>
    <s v="Bill"/>
    <s v="476974"/>
    <x v="20"/>
    <s v="Cua Cua"/>
    <n v="12"/>
    <n v="47.76"/>
    <n v="573.12"/>
    <n v="19237.199999999997"/>
  </r>
  <r>
    <x v="11"/>
    <x v="42"/>
    <s v="Bill"/>
    <s v="476974"/>
    <x v="21"/>
    <s v="Doña Pepa"/>
    <n v="8"/>
    <n v="53.64"/>
    <n v="429.12"/>
    <n v="19666.319999999996"/>
  </r>
  <r>
    <x v="11"/>
    <x v="42"/>
    <s v="Bill"/>
    <s v="476974"/>
    <x v="34"/>
    <s v="FIELD - Galletas de Soda"/>
    <n v="12"/>
    <n v="46.44"/>
    <n v="557.28"/>
    <n v="20223.599999999995"/>
  </r>
  <r>
    <x v="11"/>
    <x v="42"/>
    <s v="Bill"/>
    <s v="476974"/>
    <x v="24"/>
    <s v="FIELD - Galletas de Vainilla"/>
    <n v="5"/>
    <n v="47.56"/>
    <n v="237.8"/>
    <n v="20461.399999999994"/>
  </r>
  <r>
    <x v="11"/>
    <x v="42"/>
    <s v="Bill"/>
    <s v="476974"/>
    <x v="365"/>
    <s v="Galletas Morochas"/>
    <n v="5"/>
    <n v="67.98"/>
    <n v="339.9"/>
    <n v="20801.299999999996"/>
  </r>
  <r>
    <x v="11"/>
    <x v="42"/>
    <s v="Bill"/>
    <s v="476974"/>
    <x v="289"/>
    <s v="Maiz Cancha"/>
    <n v="6"/>
    <n v="60"/>
    <n v="360"/>
    <n v="21161.299999999996"/>
  </r>
  <r>
    <x v="11"/>
    <x v="42"/>
    <s v="Bill"/>
    <s v="476974"/>
    <x v="290"/>
    <s v="T.A Maiz Morado /Purple Corn 50Lb saco"/>
    <n v="6"/>
    <n v="60"/>
    <n v="360"/>
    <n v="21521.299999999996"/>
  </r>
  <r>
    <x v="11"/>
    <x v="42"/>
    <s v="Bill"/>
    <s v="476974"/>
    <x v="366"/>
    <s v="TRADICIONES ANDINAS - Peach Halves in heavy Syrup / Durazno en Almibar"/>
    <n v="5"/>
    <n v="27"/>
    <n v="135"/>
    <n v="21656.299999999996"/>
  </r>
  <r>
    <x v="11"/>
    <x v="42"/>
    <s v="Bill"/>
    <s v="476974"/>
    <x v="367"/>
    <s v="Brevas en Almibar"/>
    <n v="2"/>
    <n v="34.68"/>
    <n v="69.36"/>
    <n v="21725.659999999996"/>
  </r>
  <r>
    <x v="11"/>
    <x v="42"/>
    <s v="Bill"/>
    <s v="476974"/>
    <x v="368"/>
    <s v="Motas de Guanabana en Almibar"/>
    <n v="2"/>
    <n v="34.68"/>
    <n v="69.36"/>
    <n v="21795.019999999997"/>
  </r>
  <r>
    <x v="11"/>
    <x v="42"/>
    <s v="Bill"/>
    <s v="476974"/>
    <x v="369"/>
    <s v="Chochos en Salmuera"/>
    <n v="5"/>
    <n v="39.479999999999997"/>
    <n v="197.4"/>
    <n v="21992.42"/>
  </r>
  <r>
    <x v="11"/>
    <x v="42"/>
    <s v="Bill"/>
    <s v="476974"/>
    <x v="370"/>
    <s v="Chochos en Salmuera Picantes"/>
    <n v="2"/>
    <n v="39.479999999999997"/>
    <n v="78.959999999999994"/>
    <n v="22071.379999999997"/>
  </r>
  <r>
    <x v="11"/>
    <x v="42"/>
    <s v="Bill"/>
    <s v="476974"/>
    <x v="371"/>
    <s v="Dulces de Higos"/>
    <n v="1"/>
    <n v="46.68"/>
    <n v="46.68"/>
    <n v="22118.059999999998"/>
  </r>
  <r>
    <x v="11"/>
    <x v="42"/>
    <s v="Bill"/>
    <s v="476974"/>
    <x v="372"/>
    <s v="Aji Casero"/>
    <n v="2"/>
    <n v="42.96"/>
    <n v="85.92"/>
    <n v="22203.979999999996"/>
  </r>
  <r>
    <x v="11"/>
    <x v="42"/>
    <s v="Bill"/>
    <s v="476974"/>
    <x v="373"/>
    <s v="Aji Peruano"/>
    <n v="2"/>
    <n v="33.479999999999997"/>
    <n v="66.959999999999994"/>
    <n v="22270.939999999995"/>
  </r>
  <r>
    <x v="11"/>
    <x v="42"/>
    <s v="Bill"/>
    <s v="476974"/>
    <x v="374"/>
    <s v="Ajo en Pasta /Garlic Paste"/>
    <n v="1"/>
    <n v="32.15"/>
    <n v="32.15"/>
    <n v="22303.089999999997"/>
  </r>
  <r>
    <x v="11"/>
    <x v="42"/>
    <s v="Bill"/>
    <s v="476974"/>
    <x v="375"/>
    <s v="Aliño - Ecuatorian Seasoning"/>
    <n v="1"/>
    <n v="32.15"/>
    <n v="32.15"/>
    <n v="22335.239999999998"/>
  </r>
  <r>
    <x v="11"/>
    <x v="42"/>
    <s v="Bill"/>
    <s v="476974"/>
    <x v="376"/>
    <s v="Sazon Completo - Complete Seasoning"/>
    <n v="1"/>
    <n v="32.15"/>
    <n v="32.15"/>
    <n v="22367.39"/>
  </r>
  <r>
    <x v="11"/>
    <x v="42"/>
    <s v="Bill"/>
    <s v="476974"/>
    <x v="377"/>
    <s v="Chimichurri - BBQ Sauce"/>
    <n v="1"/>
    <n v="32.15"/>
    <n v="32.15"/>
    <n v="22399.54"/>
  </r>
  <r>
    <x v="11"/>
    <x v="42"/>
    <s v="Bill"/>
    <s v="476974"/>
    <x v="294"/>
    <s v="Aceite Vegetal con Achiote"/>
    <n v="2"/>
    <n v="35"/>
    <n v="70"/>
    <n v="22469.54"/>
  </r>
  <r>
    <x v="11"/>
    <x v="42"/>
    <s v="Bill"/>
    <s v="476974"/>
    <x v="378"/>
    <s v="T.A Lomitos de Atún en Aceite / Solid TUNA in Oil"/>
    <n v="1"/>
    <n v="62"/>
    <n v="62"/>
    <n v="22531.54"/>
  </r>
  <r>
    <x v="11"/>
    <x v="42"/>
    <s v="Bill"/>
    <s v="476974"/>
    <x v="379"/>
    <s v="Sardinas en Salsa de tomate / Sardines en tomato sauce"/>
    <n v="2"/>
    <n v="28.8"/>
    <n v="57.6"/>
    <n v="22589.14"/>
  </r>
  <r>
    <x v="11"/>
    <x v="42"/>
    <s v="Bill"/>
    <s v="476974"/>
    <x v="319"/>
    <s v="TRADICIONES ANDINAS- PERU -  FROZEN -  Choclo Entero / Corn on the Cob -  18/2"/>
    <n v="4"/>
    <n v="30.6"/>
    <n v="122.4"/>
    <n v="22711.54"/>
  </r>
  <r>
    <x v="11"/>
    <x v="42"/>
    <s v="Bill"/>
    <s v="476974"/>
    <x v="298"/>
    <s v="Rocoto Entero / Red Hot Pepper"/>
    <n v="1"/>
    <n v="50"/>
    <n v="50"/>
    <n v="22761.54"/>
  </r>
  <r>
    <x v="11"/>
    <x v="42"/>
    <s v="Bill"/>
    <s v="476974"/>
    <x v="320"/>
    <s v="Papa Amarilla / Yellow Potato"/>
    <n v="4"/>
    <n v="49.8"/>
    <n v="199.2"/>
    <n v="22960.74"/>
  </r>
  <r>
    <x v="11"/>
    <x v="42"/>
    <s v="Bill"/>
    <s v="476974"/>
    <x v="299"/>
    <s v="Aji Amarillo / Yellow Hot Pepper"/>
    <n v="4"/>
    <n v="36"/>
    <n v="144"/>
    <n v="23104.74"/>
  </r>
  <r>
    <x v="11"/>
    <x v="42"/>
    <s v="Bill"/>
    <s v="476974"/>
    <x v="321"/>
    <s v="Choclo en Grano / Corn in Grain"/>
    <n v="2"/>
    <n v="51"/>
    <n v="102"/>
    <n v="23206.74"/>
  </r>
  <r>
    <x v="11"/>
    <x v="42"/>
    <s v="Bill"/>
    <s v="476974"/>
    <x v="322"/>
    <s v="Olluco cortado / Sliced Ollucos"/>
    <n v="8"/>
    <n v="45"/>
    <n v="360"/>
    <n v="23566.74"/>
  </r>
  <r>
    <x v="11"/>
    <x v="42"/>
    <s v="Bill"/>
    <s v="476974"/>
    <x v="323"/>
    <s v="Huacatay / Black Mint"/>
    <n v="2"/>
    <n v="43.2"/>
    <n v="86.4"/>
    <n v="23653.140000000003"/>
  </r>
  <r>
    <x v="11"/>
    <x v="42"/>
    <s v="Bill"/>
    <s v="476974"/>
    <x v="300"/>
    <s v="Aji Limo / Limo Pepper"/>
    <n v="2"/>
    <n v="32.4"/>
    <n v="64.8"/>
    <n v="23717.940000000002"/>
  </r>
  <r>
    <x v="11"/>
    <x v="42"/>
    <s v="Bill"/>
    <s v="476974"/>
    <x v="302"/>
    <s v="Pulpa De Lucuma / Lucuma  Pulp"/>
    <n v="1"/>
    <n v="47.8"/>
    <n v="47.8"/>
    <n v="23765.74"/>
  </r>
  <r>
    <x v="11"/>
    <x v="42"/>
    <s v="Bill"/>
    <s v="476974"/>
    <x v="324"/>
    <s v="Achocha / Caigua"/>
    <n v="2"/>
    <n v="27.48"/>
    <n v="54.96"/>
    <n v="23820.7"/>
  </r>
  <r>
    <x v="11"/>
    <x v="42"/>
    <s v="Bill"/>
    <s v="476974"/>
    <x v="255"/>
    <s v="Aji Panca Pasta /Panca Pepper Paste"/>
    <n v="6"/>
    <n v="19.8"/>
    <n v="118.8"/>
    <n v="23939.5"/>
  </r>
  <r>
    <x v="11"/>
    <x v="42"/>
    <s v="Bill"/>
    <s v="476974"/>
    <x v="260"/>
    <s v="Tradiciones Andinas Aji Amarillo Pasta 15oz X 12 fco de vidrio"/>
    <n v="6"/>
    <n v="23.88"/>
    <n v="143.28"/>
    <n v="24082.78"/>
  </r>
  <r>
    <x v="11"/>
    <x v="43"/>
    <s v="Bill"/>
    <s v="477393"/>
    <x v="333"/>
    <s v="TRADICIONES ANDINAS - PERU -  HEALTHY  PRODUCTS -  Chia /Chia Seeds -  16 / 12oz - P00400"/>
    <n v="1"/>
    <n v="28.64"/>
    <n v="28.64"/>
    <n v="24111.42"/>
  </r>
  <r>
    <x v="11"/>
    <x v="43"/>
    <s v="Bill"/>
    <s v="477393"/>
    <x v="155"/>
    <s v="T.A - PERU -  MISCELANEUS PRODUCTS -  EL TRIUNFO - Fideo Chino - Chinese Noodles -  30 / 250gr - FIDEO"/>
    <n v="10"/>
    <n v="30"/>
    <n v="300"/>
    <n v="24411.42"/>
  </r>
  <r>
    <x v="11"/>
    <x v="43"/>
    <s v="Bill"/>
    <s v="477393"/>
    <x v="355"/>
    <s v="TA - UNIVERSAL PRODUCTS- PERU -   -  Flan de Vainilla / Vanilla Flan -  12 / 150gr - U106"/>
    <n v="5"/>
    <n v="13.08"/>
    <n v="65.400000000000006"/>
    <n v="24476.82"/>
  </r>
  <r>
    <x v="11"/>
    <x v="43"/>
    <s v="Bill"/>
    <s v="477393"/>
    <x v="380"/>
    <s v="Maiz Atomico con Maca"/>
    <n v="2"/>
    <n v="20"/>
    <n v="40"/>
    <n v="24516.82"/>
  </r>
  <r>
    <x v="11"/>
    <x v="43"/>
    <s v="Bill"/>
    <s v="477393"/>
    <x v="315"/>
    <s v="VITAPLUSS - Trigo Expandido con Miel"/>
    <n v="2"/>
    <n v="24"/>
    <n v="48"/>
    <n v="24564.82"/>
  </r>
  <r>
    <x v="11"/>
    <x v="43"/>
    <s v="Bill"/>
    <s v="477393"/>
    <x v="316"/>
    <s v="VITAPLUSS - Fideos con Miel"/>
    <n v="2"/>
    <n v="24"/>
    <n v="48"/>
    <n v="24612.82"/>
  </r>
  <r>
    <x v="11"/>
    <x v="43"/>
    <s v="Bill"/>
    <s v="477393"/>
    <x v="317"/>
    <s v="VITAPLUSS - Arrocito con Miel"/>
    <n v="2"/>
    <n v="24"/>
    <n v="48"/>
    <n v="24660.82"/>
  </r>
  <r>
    <x v="11"/>
    <x v="43"/>
    <s v="Bill"/>
    <s v="477393"/>
    <x v="381"/>
    <s v="TA- ECUADOR -  CAN PRODUCTS -  Lomitos de Atún en Aceite / Solid Tuna in Oil  - 3 PACK (SMALL)-  20 / 3*80gr - RE216"/>
    <n v="1"/>
    <n v="60"/>
    <n v="60"/>
    <n v="24720.82"/>
  </r>
  <r>
    <x v="11"/>
    <x v="38"/>
    <s v="Bill"/>
    <s v="478734"/>
    <x v="251"/>
    <s v="T.A Aji Amarillo Pasta 7.5oz x 24 fco de vidrio P00121"/>
    <n v="4"/>
    <n v="30.82"/>
    <n v="123.28"/>
    <n v="24844.1"/>
  </r>
  <r>
    <x v="11"/>
    <x v="38"/>
    <s v="Bill"/>
    <s v="478734"/>
    <x v="260"/>
    <s v="Tradiciones Andinas Aji Amarillo Pasta 15oz X 12 fco de vidrio P00136"/>
    <n v="2"/>
    <n v="25.55"/>
    <n v="51.1"/>
    <n v="24895.199999999997"/>
  </r>
  <r>
    <x v="11"/>
    <x v="38"/>
    <s v="Bill"/>
    <s v="478734"/>
    <x v="329"/>
    <s v="TRADICIONES ANDINAS - PERU -  VIDRIO -  Salsa Pollo A La Brasa /Grill Chicken Seasoning -  12 / 15oz - P0285"/>
    <n v="3"/>
    <n v="28.89"/>
    <n v="86.67"/>
    <n v="24981.869999999995"/>
  </r>
  <r>
    <x v="11"/>
    <x v="38"/>
    <s v="Bill"/>
    <s v="478734"/>
    <x v="263"/>
    <s v="TRADICIONES ANDINAS - PERU -  VIDRIO -  Aceituna Botija /Alfonso Olives -  12 / 20oz - P00140"/>
    <n v="10"/>
    <n v="39.68"/>
    <n v="396.8"/>
    <n v="25378.669999999995"/>
  </r>
  <r>
    <x v="11"/>
    <x v="38"/>
    <s v="Bill"/>
    <s v="478734"/>
    <x v="382"/>
    <s v="TRADICIONES ANDINAS - PERU -  VIDRIO -  Rocoto en Salmuera /Red Hot Peppers Halves -  12 / 20oz - P00144"/>
    <n v="2"/>
    <n v="32"/>
    <n v="64"/>
    <n v="25442.669999999995"/>
  </r>
  <r>
    <x v="11"/>
    <x v="38"/>
    <s v="Bill"/>
    <s v="478734"/>
    <x v="383"/>
    <s v="TRADICIONES ANDINAS - PERU -  ENLATADO Aji Amarillo en Lata /Whole Yellow Hot Pepper -  24 / 20oz - P00145"/>
    <n v="2"/>
    <n v="47.76"/>
    <n v="95.52"/>
    <n v="25538.189999999995"/>
  </r>
  <r>
    <x v="11"/>
    <x v="38"/>
    <s v="Bill"/>
    <s v="478734"/>
    <x v="338"/>
    <s v="TRADICIONES ANDINAS - PERU -  DRINKS -  Chicha Morada /Purple Corn Drink -  12 / 16 fl.oz - 07119"/>
    <n v="4"/>
    <n v="14"/>
    <n v="56"/>
    <n v="25594.189999999995"/>
  </r>
  <r>
    <x v="11"/>
    <x v="38"/>
    <s v="Bill"/>
    <s v="478734"/>
    <x v="339"/>
    <s v="TRADICIONES ANDINAS - PERU -  DRINKS -  Nectar de Maracuya / Passion Fruit Nectar-  12 / 16 fl.oz - 07120"/>
    <n v="3"/>
    <n v="16.05"/>
    <n v="48.15"/>
    <n v="25642.339999999997"/>
  </r>
  <r>
    <x v="11"/>
    <x v="38"/>
    <s v="Bill"/>
    <s v="478734"/>
    <x v="340"/>
    <s v="T.A AjiNomoto Bolsa 500g x 30 / 00804"/>
    <n v="2"/>
    <n v="75.97"/>
    <n v="151.94"/>
    <n v="25794.279999999995"/>
  </r>
  <r>
    <x v="11"/>
    <x v="38"/>
    <s v="Bill"/>
    <s v="478734"/>
    <x v="295"/>
    <s v="TRADICIONES ANDINAS - PERU -  CONDIMENT PRODUCTS -  Tradiciones Andinas - Chicha de Jora /Jora Seasoning -  12 / 1 lt - P00134"/>
    <n v="8"/>
    <n v="38.39"/>
    <n v="307.12"/>
    <n v="26101.399999999994"/>
  </r>
  <r>
    <x v="11"/>
    <x v="38"/>
    <s v="Bill"/>
    <s v="478734"/>
    <x v="384"/>
    <s v="Platanitos fritos salados - Salted Plantain Chips"/>
    <n v="4"/>
    <n v="13.2"/>
    <n v="52.8"/>
    <n v="26154.199999999993"/>
  </r>
  <r>
    <x v="11"/>
    <x v="38"/>
    <s v="Bill"/>
    <s v="478734"/>
    <x v="385"/>
    <s v="SIBARITA - Panquita Doypack"/>
    <n v="20"/>
    <n v="42"/>
    <n v="840"/>
    <n v="26994.199999999993"/>
  </r>
  <r>
    <x v="11"/>
    <x v="38"/>
    <s v="Bill"/>
    <s v="478734"/>
    <x v="386"/>
    <s v="SIBARITA - Amarillin Doypack"/>
    <n v="20"/>
    <n v="42"/>
    <n v="840"/>
    <n v="27834.199999999993"/>
  </r>
  <r>
    <x v="11"/>
    <x v="38"/>
    <s v="Bill"/>
    <s v="478734"/>
    <x v="285"/>
    <s v="T.A PERU -  SIBARITA PRODUCTS -  SIBARITA - Vinagre Blanco - White Vinegar -  12 / 16.91oz botella"/>
    <n v="8"/>
    <n v="9.07"/>
    <n v="72.56"/>
    <n v="27906.759999999995"/>
  </r>
  <r>
    <x v="11"/>
    <x v="38"/>
    <s v="Bill"/>
    <s v="478734"/>
    <x v="286"/>
    <s v="SIBARITA Vinagre Tinto - Red Vinegar 16.91oz  x 12 botella"/>
    <n v="8"/>
    <n v="9.07"/>
    <n v="72.56"/>
    <n v="27979.319999999996"/>
  </r>
  <r>
    <x v="11"/>
    <x v="38"/>
    <s v="Bill"/>
    <s v="478734"/>
    <x v="346"/>
    <s v="T.A SIBARITA - Panquita Doypack 12 x 19.4 oz"/>
    <n v="15"/>
    <n v="52.52"/>
    <n v="787.8"/>
    <n v="28767.119999999995"/>
  </r>
  <r>
    <x v="11"/>
    <x v="38"/>
    <s v="Bill"/>
    <s v="478734"/>
    <x v="347"/>
    <s v="TA- PERU -  SIBARITA PRODUCTS -  SIBARITA - Amarillin Doypack-  12 / 19.4oz - I322 - SI322"/>
    <n v="15"/>
    <n v="52.52"/>
    <n v="787.8"/>
    <n v="29554.919999999995"/>
  </r>
  <r>
    <x v="11"/>
    <x v="38"/>
    <s v="Bill"/>
    <s v="478734"/>
    <x v="387"/>
    <s v="TA- PERU -  INFUSIONES -  TRADICIONES ANDINAS - Manzanilla - Chamomille Tea-  30 / 20x24g - TE01"/>
    <n v="2"/>
    <n v="27.29"/>
    <n v="54.58"/>
    <n v="29609.499999999996"/>
  </r>
  <r>
    <x v="11"/>
    <x v="38"/>
    <s v="Bill"/>
    <s v="478734"/>
    <x v="287"/>
    <s v="TA - UNIVERSAL PRODUCTS- PERU -   -  Gelatina Fresa / Strawberry Gelatin -  12 / 150gr - U101"/>
    <n v="24"/>
    <n v="14"/>
    <n v="336"/>
    <n v="29945.499999999996"/>
  </r>
  <r>
    <x v="11"/>
    <x v="38"/>
    <s v="Bill"/>
    <s v="478734"/>
    <x v="354"/>
    <s v="TA - UNIVERSAL PRODUCTS- PERU -   -  Gelatina Piña / Pineapple Gelatin -  12 / 150gr - U103"/>
    <n v="3"/>
    <n v="14"/>
    <n v="42"/>
    <n v="29987.499999999996"/>
  </r>
  <r>
    <x v="11"/>
    <x v="38"/>
    <s v="Bill"/>
    <s v="478734"/>
    <x v="355"/>
    <s v="TA - UNIVERSAL PRODUCTS- PERU -   -  Flan de Vainilla / Vanilla Flan -  12 / 150gr - U106"/>
    <n v="2"/>
    <n v="14"/>
    <n v="28"/>
    <n v="30015.499999999996"/>
  </r>
  <r>
    <x v="11"/>
    <x v="38"/>
    <s v="Bill"/>
    <s v="478734"/>
    <x v="356"/>
    <s v="TA - UNIVERSAL PRODUCTS- PERU -   -  Mazamorra Morada /Purple Pudin-  12 / 150gr - U108"/>
    <n v="24"/>
    <n v="14"/>
    <n v="336"/>
    <n v="30351.499999999996"/>
  </r>
  <r>
    <x v="11"/>
    <x v="38"/>
    <s v="Bill"/>
    <s v="478734"/>
    <x v="310"/>
    <s v="TA - UNIVERSAL PRODUCTS- PERU -   -  Esencia de Vainilla / Vanilla Scent-  24 / 100ml - U109"/>
    <n v="4"/>
    <n v="22.86"/>
    <n v="91.44"/>
    <n v="30442.939999999995"/>
  </r>
  <r>
    <x v="11"/>
    <x v="38"/>
    <s v="Bill"/>
    <s v="478734"/>
    <x v="311"/>
    <s v="TA - UNIVERSAL PRODUCTS- PERU -   -  Chicha Morada / Purple drink instant beverage-  12 / 120gr - U110"/>
    <n v="3"/>
    <n v="12.84"/>
    <n v="38.520000000000003"/>
    <n v="30481.459999999995"/>
  </r>
  <r>
    <x v="11"/>
    <x v="38"/>
    <s v="Bill"/>
    <s v="478734"/>
    <x v="358"/>
    <s v="TA - UNIVERSAL PRODUCTS- PERU -   -  Refresco Guanabana / Guava Instant beverage-  12 / 120gr - U115"/>
    <n v="3"/>
    <n v="12.84"/>
    <n v="38.520000000000003"/>
    <n v="30519.979999999996"/>
  </r>
  <r>
    <x v="11"/>
    <x v="38"/>
    <s v="Bill"/>
    <s v="478734"/>
    <x v="359"/>
    <s v="TA - UNIVERSAL PRODUCTS- PERU -   -  Refresco de Maracuya / Passion fruit instant beverage-  12 / 120gr - U122"/>
    <n v="3"/>
    <n v="12.84"/>
    <n v="38.520000000000003"/>
    <n v="30558.499999999996"/>
  </r>
  <r>
    <x v="11"/>
    <x v="38"/>
    <s v="Bill"/>
    <s v="478734"/>
    <x v="360"/>
    <s v="TA - UNIVERSAL PRODUCTS- PERU -   -  Flan de Lucuma/ Lucuma Pudin-  12 / 150gr - U123"/>
    <n v="4"/>
    <n v="13.91"/>
    <n v="55.64"/>
    <n v="30614.139999999996"/>
  </r>
  <r>
    <x v="11"/>
    <x v="38"/>
    <s v="Bill"/>
    <s v="478734"/>
    <x v="363"/>
    <s v="TA - UNIVERSAL PRODUCTS- PERU -   -  Gelatina Durazno / Peach Gelatin -  12 / 150gr - U138"/>
    <n v="4"/>
    <n v="14"/>
    <n v="56"/>
    <n v="30670.139999999996"/>
  </r>
  <r>
    <x v="11"/>
    <x v="38"/>
    <s v="Bill"/>
    <s v="478734"/>
    <x v="364"/>
    <s v="TA - UNIVERSAL PRODUCTS- PERU -   -  Mazamorra sabor a Piña / Pineapple flavor pudin-  12 / 150g - U139"/>
    <n v="8"/>
    <n v="14"/>
    <n v="112"/>
    <n v="30782.139999999996"/>
  </r>
  <r>
    <x v="11"/>
    <x v="38"/>
    <s v="Bill"/>
    <s v="478734"/>
    <x v="23"/>
    <s v="T.A GOLOSINAS Y DULCES -   -  GALLETAS MARGARITA SAYON-  55gr BOLSA x 6 / 8"/>
    <n v="5"/>
    <n v="13.57"/>
    <n v="67.849999999999994"/>
    <n v="30849.989999999994"/>
  </r>
  <r>
    <x v="11"/>
    <x v="38"/>
    <s v="Bill"/>
    <s v="478734"/>
    <x v="20"/>
    <s v="TA- PERU -  GOLOSINAS - DULCES  -  Cua Cua 18g x 9 x 24 / CH105"/>
    <n v="4"/>
    <n v="51.1"/>
    <n v="204.4"/>
    <n v="31054.389999999996"/>
  </r>
  <r>
    <x v="11"/>
    <x v="38"/>
    <s v="Bill"/>
    <s v="478734"/>
    <x v="21"/>
    <s v="TA- PERU -  GOLOSINAS - DULCES  -  Doña Pepa 23g  6 x 36 / CH106"/>
    <n v="5"/>
    <n v="57.39"/>
    <n v="286.95"/>
    <n v="31341.339999999997"/>
  </r>
  <r>
    <x v="11"/>
    <x v="38"/>
    <s v="Bill"/>
    <s v="478734"/>
    <x v="24"/>
    <s v="TA- PERU -  GOLOSINAS - DULCES  -  FIELD - Galletas de Vainilla-  24 / 6x37g - CH113"/>
    <n v="6"/>
    <n v="50.9"/>
    <n v="305.39999999999998"/>
    <n v="31646.739999999998"/>
  </r>
  <r>
    <x v="11"/>
    <x v="38"/>
    <s v="Bill"/>
    <s v="478734"/>
    <x v="144"/>
    <s v="TA- PERU -  GOLOSINAS - DULCES  -  VICTORIA - Chomp Naranja-  8 / 6x 42g - CH121"/>
    <n v="6"/>
    <n v="18.32"/>
    <n v="109.92"/>
    <n v="31756.659999999996"/>
  </r>
  <r>
    <x v="11"/>
    <x v="38"/>
    <s v="Bill"/>
    <s v="478734"/>
    <x v="289"/>
    <s v="TA- PERU -  GRANEL -  Maiz Cancha-  50 / lbs - 00208"/>
    <n v="12"/>
    <n v="64.2"/>
    <n v="770.4"/>
    <n v="32527.059999999998"/>
  </r>
  <r>
    <x v="11"/>
    <x v="38"/>
    <s v="Bill"/>
    <s v="478734"/>
    <x v="290"/>
    <s v="T.A Maiz Morado /Purple Corn 50Lb saco / 00211"/>
    <n v="4"/>
    <n v="64.2"/>
    <n v="256.8"/>
    <n v="32783.86"/>
  </r>
  <r>
    <x v="11"/>
    <x v="38"/>
    <s v="Bill"/>
    <s v="478734"/>
    <x v="368"/>
    <s v="TA- COLOMBIA -  GROCERY  PRODUCTS -  Motas de Guanabana en Almibar-  12 / 28oz - C00220"/>
    <n v="2"/>
    <n v="37.11"/>
    <n v="74.22"/>
    <n v="32858.080000000002"/>
  </r>
  <r>
    <x v="11"/>
    <x v="38"/>
    <s v="Bill"/>
    <s v="478734"/>
    <x v="369"/>
    <s v="TA- ECUADOR -  VALLES ANDINOS -  -  Chochos en Salmuera-  12 / 15oz - VA124"/>
    <n v="2"/>
    <n v="42.24"/>
    <n v="84.48"/>
    <n v="32942.560000000005"/>
  </r>
  <r>
    <x v="11"/>
    <x v="38"/>
    <s v="Bill"/>
    <s v="478734"/>
    <x v="371"/>
    <s v="TA- ECUADOR -  VALLES ANDINOS -  -  Dulces de Higos-  12 / 20oz - VA142"/>
    <n v="2"/>
    <n v="49.95"/>
    <n v="99.9"/>
    <n v="33042.460000000006"/>
  </r>
  <r>
    <x v="11"/>
    <x v="38"/>
    <s v="Bill"/>
    <s v="478734"/>
    <x v="294"/>
    <s v="TA- ECUADOR -  VALLES ANDINOS -  -  Aceite Vegetal con Achiote-  15 / 14.88 floz - VA149"/>
    <n v="2"/>
    <n v="37.450000000000003"/>
    <n v="74.900000000000006"/>
    <n v="33117.360000000008"/>
  </r>
  <r>
    <x v="11"/>
    <x v="38"/>
    <s v="Bill"/>
    <s v="478734"/>
    <x v="298"/>
    <s v="TRADICIONES ANDINAS- PERU -  FROZEN -  Rocoto Entero / Red Hot Pepper  -  20 / 16oz - P00112"/>
    <n v="8"/>
    <n v="53.5"/>
    <n v="428"/>
    <n v="33545.360000000008"/>
  </r>
  <r>
    <x v="11"/>
    <x v="38"/>
    <s v="Bill"/>
    <s v="478734"/>
    <x v="299"/>
    <s v="Aji Amarillo / Yellow Hot Pepper"/>
    <n v="14"/>
    <n v="38.520000000000003"/>
    <n v="539.28"/>
    <n v="34084.640000000007"/>
  </r>
  <r>
    <x v="11"/>
    <x v="38"/>
    <s v="Bill"/>
    <s v="478734"/>
    <x v="302"/>
    <s v="TRADICIONES ANDINAS- PERU -  FROZEN -  Pulpa De Lucuma / Lucuma  Pulp  -  20 / 12oz - P00223"/>
    <n v="6"/>
    <n v="51.15"/>
    <n v="306.89999999999998"/>
    <n v="34391.540000000008"/>
  </r>
  <r>
    <x v="11"/>
    <x v="38"/>
    <s v="Bill"/>
    <s v="478734"/>
    <x v="305"/>
    <s v="TRADICIONES ANDINAS - FROZEN -  Pulpa de Maracuya / Passion Fruit pulp -  12 / 14oz - RE041"/>
    <n v="5"/>
    <n v="26.84"/>
    <n v="134.19999999999999"/>
    <n v="34525.740000000005"/>
  </r>
  <r>
    <x v="11"/>
    <x v="38"/>
    <s v="Bill"/>
    <s v="478734"/>
    <x v="388"/>
    <s v="Pulpa de Guanabana / Soursop Pulpa"/>
    <n v="3"/>
    <n v="28.68"/>
    <n v="86.04"/>
    <n v="34611.780000000006"/>
  </r>
  <r>
    <x v="11"/>
    <x v="5"/>
    <s v="Bill"/>
    <s v="480295"/>
    <x v="250"/>
    <s v="T.A Aji Panca Pasta 7.5oz x 24 fco de vidrio P00120"/>
    <n v="3"/>
    <n v="30.82"/>
    <n v="92.46"/>
    <n v="34704.240000000005"/>
  </r>
  <r>
    <x v="11"/>
    <x v="5"/>
    <s v="Bill"/>
    <s v="480295"/>
    <x v="326"/>
    <s v="TRADICIONES ANDINAS - PERU -  VIDRIO -  Albahaca Pasta /Basil Paste -  24 / 7.5oz - P00181"/>
    <n v="2"/>
    <n v="30"/>
    <n v="60"/>
    <n v="34764.240000000005"/>
  </r>
  <r>
    <x v="11"/>
    <x v="5"/>
    <s v="Bill"/>
    <s v="480295"/>
    <x v="259"/>
    <s v="T.A Aji Panca Pasta /Panca Pepper Paste 15oz x 12"/>
    <n v="10"/>
    <n v="25.54"/>
    <n v="255.4"/>
    <n v="35019.640000000007"/>
  </r>
  <r>
    <x v="11"/>
    <x v="5"/>
    <s v="Bill"/>
    <s v="480295"/>
    <x v="328"/>
    <s v="TRADICIONES ANDINAS - PERU -  VIDRIO -  Salsa Parrillera /BBQ Seasoning -  12 / 15oz - P0277"/>
    <n v="3"/>
    <n v="28.89"/>
    <n v="86.67"/>
    <n v="35106.310000000005"/>
  </r>
  <r>
    <x v="11"/>
    <x v="5"/>
    <s v="Bill"/>
    <s v="480295"/>
    <x v="263"/>
    <s v="TRADICIONES ANDINAS - PERU -  VIDRIO -  Aceituna Botija /Alfonso Olives -  12 / 20oz - P00140"/>
    <n v="15"/>
    <n v="39.68"/>
    <n v="595.20000000000005"/>
    <n v="35701.51"/>
  </r>
  <r>
    <x v="11"/>
    <x v="5"/>
    <s v="Bill"/>
    <s v="480295"/>
    <x v="330"/>
    <s v="TRADICIONES ANDINAS - PERU -  VIDRIO -  Aceituna Botija sin Pepa /Pitted Alfonso Olives -  12 / 20oz - P0287"/>
    <n v="2"/>
    <n v="39.68"/>
    <n v="79.36"/>
    <n v="35780.870000000003"/>
  </r>
  <r>
    <x v="11"/>
    <x v="5"/>
    <s v="Bill"/>
    <s v="480295"/>
    <x v="389"/>
    <s v="Aji Amarillo Salmuera /Whole Yellow Hot Pepper"/>
    <n v="2"/>
    <n v="32"/>
    <n v="64"/>
    <n v="35844.870000000003"/>
  </r>
  <r>
    <x v="11"/>
    <x v="5"/>
    <s v="Bill"/>
    <s v="480295"/>
    <x v="266"/>
    <s v="TRADICIONES ANDINAS - PERU -  BOLSA -  Maiz Morado /Purple Corn -  16 / 15oz - P00160"/>
    <n v="50"/>
    <n v="23.96"/>
    <n v="1198"/>
    <n v="37042.870000000003"/>
  </r>
  <r>
    <x v="11"/>
    <x v="5"/>
    <s v="Bill"/>
    <s v="480295"/>
    <x v="268"/>
    <s v="TRADICIONES ANDINAS - PERU -  BOLSA -  Cancha Corn / Maiz Cancha-  24 / 15oz - P00162"/>
    <n v="8"/>
    <n v="45.96"/>
    <n v="367.68"/>
    <n v="37410.550000000003"/>
  </r>
  <r>
    <x v="11"/>
    <x v="5"/>
    <s v="Bill"/>
    <s v="480295"/>
    <x v="332"/>
    <s v="TRADICIONES ANDINAS - PERU -  BOLSA -  Semola /Semolina -  24 / 15oz - P00173"/>
    <n v="3"/>
    <n v="30.82"/>
    <n v="92.46"/>
    <n v="37503.01"/>
  </r>
  <r>
    <x v="11"/>
    <x v="5"/>
    <s v="Bill"/>
    <s v="480295"/>
    <x v="306"/>
    <s v="TRADICIONES ANDINAS - PERU -  BOLSA -  Harina Chuño / Potato Starch Flour -  24 / 12oz - P00197"/>
    <n v="3"/>
    <n v="30.82"/>
    <n v="92.46"/>
    <n v="37595.47"/>
  </r>
  <r>
    <x v="11"/>
    <x v="5"/>
    <s v="Bill"/>
    <s v="480295"/>
    <x v="277"/>
    <s v="Maiz Morado (Family Pack) /Purple Corn"/>
    <n v="2"/>
    <n v="23.96"/>
    <n v="47.92"/>
    <n v="37643.39"/>
  </r>
  <r>
    <x v="11"/>
    <x v="5"/>
    <s v="Bill"/>
    <s v="480295"/>
    <x v="390"/>
    <s v="Pallares /Lima Beans"/>
    <n v="2"/>
    <n v="36"/>
    <n v="72"/>
    <n v="37715.39"/>
  </r>
  <r>
    <x v="11"/>
    <x v="5"/>
    <s v="Bill"/>
    <s v="480295"/>
    <x v="391"/>
    <s v="Maiz Carhuay (Family Pack) / Carhuay Corn /"/>
    <n v="2"/>
    <n v="35"/>
    <n v="70"/>
    <n v="37785.39"/>
  </r>
  <r>
    <x v="11"/>
    <x v="5"/>
    <s v="Bill"/>
    <s v="480295"/>
    <x v="392"/>
    <s v="Quick Oats / Avena"/>
    <n v="3"/>
    <n v="9.99"/>
    <n v="29.97"/>
    <n v="37815.360000000001"/>
  </r>
  <r>
    <x v="11"/>
    <x v="5"/>
    <s v="Bill"/>
    <s v="480295"/>
    <x v="393"/>
    <s v="Tradiciones Andinas - Algarrobina"/>
    <n v="2"/>
    <n v="78.959999999999994"/>
    <n v="157.91999999999999"/>
    <n v="37973.279999999999"/>
  </r>
  <r>
    <x v="11"/>
    <x v="5"/>
    <s v="Bill"/>
    <s v="480295"/>
    <x v="337"/>
    <s v="TRADICIONES ANDINAS - PERU -  DRINKS -  Chicha Morada / Purple Corn Drink -  12 / 33.81 fl.oz (1 lt) - 07106"/>
    <n v="6"/>
    <n v="19.899999999999999"/>
    <n v="119.4"/>
    <n v="38092.68"/>
  </r>
  <r>
    <x v="11"/>
    <x v="5"/>
    <s v="Bill"/>
    <s v="480295"/>
    <x v="338"/>
    <s v="TRADICIONES ANDINAS - PERU -  DRINKS -  Chicha Morada /Purple Corn Drink -  12 / 16 fl.oz - 07119"/>
    <n v="5"/>
    <n v="14"/>
    <n v="70"/>
    <n v="38162.68"/>
  </r>
  <r>
    <x v="11"/>
    <x v="5"/>
    <s v="Bill"/>
    <s v="480295"/>
    <x v="10"/>
    <s v="TA- PERU -  CONDIMENT PRODUCTS -  MSG -AJINOMOTO-  60 / 250gr - 00995"/>
    <n v="5"/>
    <n v="73.8"/>
    <n v="369"/>
    <n v="38531.68"/>
  </r>
  <r>
    <x v="11"/>
    <x v="5"/>
    <s v="Bill"/>
    <s v="480295"/>
    <x v="13"/>
    <s v="AjiNomoto Bolsa 1Kg x 18 / 7754487118804 / 00803 / AB-11"/>
    <n v="1"/>
    <n v="85"/>
    <n v="85"/>
    <n v="38616.68"/>
  </r>
  <r>
    <x v="11"/>
    <x v="5"/>
    <s v="Bill"/>
    <s v="480295"/>
    <x v="340"/>
    <s v="T.A AjiNomoto Bolsa 500g x 30 / 00804"/>
    <n v="1"/>
    <n v="75.97"/>
    <n v="75.97"/>
    <n v="38692.65"/>
  </r>
  <r>
    <x v="11"/>
    <x v="5"/>
    <s v="Bill"/>
    <s v="480295"/>
    <x v="295"/>
    <s v="TRADICIONES ANDINAS - PERU -  CONDIMENT PRODUCTS -  Tradiciones Andinas - Chicha de Jora /Jora Seasoning -  12 / 1 lt - P00134"/>
    <n v="5"/>
    <n v="38.39"/>
    <n v="191.95"/>
    <n v="38884.6"/>
  </r>
  <r>
    <x v="11"/>
    <x v="5"/>
    <s v="Bill"/>
    <s v="480295"/>
    <x v="394"/>
    <s v="Tradiciones Andinas - Palillo /Curcuma"/>
    <n v="4"/>
    <n v="12.6"/>
    <n v="50.4"/>
    <n v="38935"/>
  </r>
  <r>
    <x v="11"/>
    <x v="5"/>
    <s v="Bill"/>
    <s v="480295"/>
    <x v="296"/>
    <s v="TRADICIONES ANDINAS - PERU -  TIYAPUY - SNACKS -  Habas Fritas Saladas/  Broad Beans Snacks-  12 / 130g - CH167"/>
    <n v="1"/>
    <n v="13.2"/>
    <n v="13.2"/>
    <n v="38948.199999999997"/>
  </r>
  <r>
    <x v="11"/>
    <x v="5"/>
    <s v="Bill"/>
    <s v="480295"/>
    <x v="384"/>
    <s v="TRADICIONES ANDINAS - PERU -  TIYAPUY - SNACKS -  Platanitos fritos salados - Salted Plantain Chips-  12 / 80g - CH180"/>
    <n v="7"/>
    <n v="13.2"/>
    <n v="92.4"/>
    <n v="39040.6"/>
  </r>
  <r>
    <x v="11"/>
    <x v="5"/>
    <s v="Bill"/>
    <s v="480295"/>
    <x v="344"/>
    <s v="TA- PERU -  SIBARITA PRODUCTS -  SIBARITA - Tuco Tallarin-  6 sobres x 50 / 1.64oz  - SI309"/>
    <n v="6"/>
    <n v="45"/>
    <n v="270"/>
    <n v="39310.6"/>
  </r>
  <r>
    <x v="11"/>
    <x v="5"/>
    <s v="Bill"/>
    <s v="480295"/>
    <x v="345"/>
    <s v="TA- PERU -  SIBARITA PRODUCTS -  SIBARITA - Aji Panca Sazonador-  6 sobres x 50 / 2.22oz - SI310"/>
    <n v="6"/>
    <n v="45"/>
    <n v="270"/>
    <n v="39580.6"/>
  </r>
  <r>
    <x v="11"/>
    <x v="5"/>
    <s v="Bill"/>
    <s v="480295"/>
    <x v="346"/>
    <s v="T.A SIBARITA - Panquita Doypack 12 x 19.4 oz"/>
    <n v="5"/>
    <n v="52.52"/>
    <n v="262.60000000000002"/>
    <n v="39843.199999999997"/>
  </r>
  <r>
    <x v="11"/>
    <x v="5"/>
    <s v="Bill"/>
    <s v="480295"/>
    <x v="347"/>
    <s v="TA- PERU -  SIBARITA PRODUCTS -  SIBARITA - Amarillin Doypack-  12 / 19.4oz - I322 - SI322"/>
    <n v="5"/>
    <n v="52.52"/>
    <n v="262.60000000000002"/>
    <n v="40105.799999999996"/>
  </r>
  <r>
    <x v="11"/>
    <x v="5"/>
    <s v="Bill"/>
    <s v="480295"/>
    <x v="387"/>
    <s v="TA- PERU -  INFUSIONES -  TRADICIONES ANDINAS - Manzanilla - Chamomille Tea-  30 / 20x24g - TE01"/>
    <n v="1"/>
    <n v="27.29"/>
    <n v="27.29"/>
    <n v="40133.089999999997"/>
  </r>
  <r>
    <x v="11"/>
    <x v="5"/>
    <s v="Bill"/>
    <s v="480295"/>
    <x v="349"/>
    <s v="TA- PERU -  INFUSIONES -  TRADICIONES ANDINAS - Te con canela y clavo - Cinnamon and Clove-  30 / 20x24g - TE02"/>
    <n v="7"/>
    <n v="27.29"/>
    <n v="191.03"/>
    <n v="40324.119999999995"/>
  </r>
  <r>
    <x v="11"/>
    <x v="5"/>
    <s v="Bill"/>
    <s v="480295"/>
    <x v="350"/>
    <s v="TA- PERU -  INFUSIONES -  TRADICIONES ANDINAS - Anis-  30 / 20x24g - TE03"/>
    <n v="1"/>
    <n v="27.29"/>
    <n v="27.29"/>
    <n v="40351.409999999996"/>
  </r>
  <r>
    <x v="11"/>
    <x v="5"/>
    <s v="Bill"/>
    <s v="480295"/>
    <x v="351"/>
    <s v="TA- PERU -  INFUSIONES -  TRADICIONES ANDINAS - Hierbaluisa - Lemon Grass Tea-  30 / 20x24g - TE04"/>
    <n v="1"/>
    <n v="27.29"/>
    <n v="27.29"/>
    <n v="40378.699999999997"/>
  </r>
  <r>
    <x v="11"/>
    <x v="5"/>
    <s v="Bill"/>
    <s v="480295"/>
    <x v="310"/>
    <s v="TA - UNIVERSAL PRODUCTS- PERU -   -  Esencia de Vainilla / Vanilla Scent-  24 / 100ml - U109"/>
    <n v="2"/>
    <n v="22.86"/>
    <n v="45.72"/>
    <n v="40424.42"/>
  </r>
  <r>
    <x v="11"/>
    <x v="5"/>
    <s v="Bill"/>
    <s v="480295"/>
    <x v="395"/>
    <s v="Gelatina sin Sabor (Colapiz)"/>
    <n v="2"/>
    <n v="14"/>
    <n v="28"/>
    <n v="40452.42"/>
  </r>
  <r>
    <x v="11"/>
    <x v="5"/>
    <s v="Bill"/>
    <s v="480295"/>
    <x v="357"/>
    <s v="T.A Universal Maicena 180g x 7 / U114"/>
    <n v="3"/>
    <n v="9"/>
    <n v="27"/>
    <n v="40479.42"/>
  </r>
  <r>
    <x v="11"/>
    <x v="5"/>
    <s v="Bill"/>
    <s v="480295"/>
    <x v="361"/>
    <s v="TA - UNIVERSAL PRODUCTS- PERU -   -  Polvo de Hornear - Baking powder-  12 / 100g - U136"/>
    <n v="1"/>
    <n v="12.84"/>
    <n v="12.84"/>
    <n v="40492.259999999995"/>
  </r>
  <r>
    <x v="11"/>
    <x v="5"/>
    <s v="Bill"/>
    <s v="480295"/>
    <x v="362"/>
    <s v="TA - UNIVERSAL PRODUCTS- PERU -   -  Bicarbonato de Sodio - Baking soda-  12 / 100g - U137"/>
    <n v="1"/>
    <n v="12.84"/>
    <n v="12.84"/>
    <n v="40505.099999999991"/>
  </r>
  <r>
    <x v="11"/>
    <x v="5"/>
    <s v="Bill"/>
    <s v="480295"/>
    <x v="219"/>
    <s v="TA - WINTER'S PRODUCTS- PERU -   -  WINTER'S - Panettone-  6 / 900g - WI2023"/>
    <n v="5"/>
    <n v="36"/>
    <n v="180"/>
    <n v="40685.099999999991"/>
  </r>
  <r>
    <x v="11"/>
    <x v="5"/>
    <s v="Bill"/>
    <s v="480295"/>
    <x v="313"/>
    <s v="TA- PERU -  GOLOSINAS - DULCES  -  Trigo Atomico original con Miel-  20 / 4.41z (125g) - CH134"/>
    <n v="5"/>
    <n v="21.4"/>
    <n v="107"/>
    <n v="40792.099999999991"/>
  </r>
  <r>
    <x v="11"/>
    <x v="5"/>
    <s v="Bill"/>
    <s v="480295"/>
    <x v="316"/>
    <s v="TA- PERU -  GOLOSINAS - DULCES  -  VITAPLUSS - Fideos con Miel-  20 / 120g - CH141"/>
    <n v="6"/>
    <n v="21.4"/>
    <n v="128.4"/>
    <n v="40920.499999999993"/>
  </r>
  <r>
    <x v="11"/>
    <x v="5"/>
    <s v="Bill"/>
    <s v="480295"/>
    <x v="365"/>
    <s v="TA- PERU -  GOLOSINAS - DULCES  -  Galletas Morochas-  22 / 12x30g - CH176"/>
    <n v="3"/>
    <n v="72.72"/>
    <n v="218.16"/>
    <n v="41138.659999999996"/>
  </r>
  <r>
    <x v="11"/>
    <x v="5"/>
    <s v="Bill"/>
    <s v="480295"/>
    <x v="396"/>
    <s v="Lentejas"/>
    <n v="4"/>
    <n v="19.2"/>
    <n v="76.8"/>
    <n v="41215.46"/>
  </r>
  <r>
    <x v="11"/>
    <x v="5"/>
    <s v="Bill"/>
    <s v="480295"/>
    <x v="397"/>
    <s v="Frijoles Negros"/>
    <n v="4"/>
    <n v="20.399999999999999"/>
    <n v="81.599999999999994"/>
    <n v="41297.06"/>
  </r>
  <r>
    <x v="11"/>
    <x v="5"/>
    <s v="Bill"/>
    <s v="480295"/>
    <x v="398"/>
    <s v="Habas partidas y Peladas / Split and Peeled Fava Beans"/>
    <n v="3"/>
    <n v="25.9"/>
    <n v="77.7"/>
    <n v="41374.759999999995"/>
  </r>
  <r>
    <x v="11"/>
    <x v="5"/>
    <s v="Bill"/>
    <s v="480295"/>
    <x v="319"/>
    <s v="TRADICIONES ANDINAS- PERU -  FROZEN -  Choclo Entero / Corn on the Cob -  18/2"/>
    <n v="1"/>
    <n v="32.74"/>
    <n v="32.74"/>
    <n v="41407.499999999993"/>
  </r>
  <r>
    <x v="11"/>
    <x v="5"/>
    <s v="Bill"/>
    <s v="480295"/>
    <x v="298"/>
    <s v="TRADICIONES ANDINAS- PERU -  FROZEN -  Rocoto Entero / Red Hot Pepper  -  20 / 16oz - P00112"/>
    <n v="10"/>
    <n v="53.5"/>
    <n v="535"/>
    <n v="41942.499999999993"/>
  </r>
  <r>
    <x v="11"/>
    <x v="5"/>
    <s v="Bill"/>
    <s v="480295"/>
    <x v="299"/>
    <s v="Aji Amarillo / Yellow Hot Pepper"/>
    <n v="16"/>
    <n v="38.520000000000003"/>
    <n v="616.32000000000005"/>
    <n v="42558.819999999992"/>
  </r>
  <r>
    <x v="11"/>
    <x v="5"/>
    <s v="Bill"/>
    <s v="480295"/>
    <x v="321"/>
    <s v="TRADICIONES ANDINAS- PERU -  FROZEN -  Choclo en Grano / Corn in Grain   -  30 / 16oz - P00115"/>
    <n v="8"/>
    <n v="54.57"/>
    <n v="436.56"/>
    <n v="42995.37999999999"/>
  </r>
  <r>
    <x v="11"/>
    <x v="5"/>
    <s v="Bill"/>
    <s v="480295"/>
    <x v="323"/>
    <s v="TRADICIONES ANDINAS- PERU -  FROZEN -  Huacatay / Black Mint  -  24 / 12oz - P00117"/>
    <n v="2"/>
    <n v="46.22"/>
    <n v="92.44"/>
    <n v="43087.819999999992"/>
  </r>
  <r>
    <x v="11"/>
    <x v="5"/>
    <s v="Bill"/>
    <s v="480295"/>
    <x v="300"/>
    <s v="TRADICIONES ANDINAS- PERU -  FROZEN -  Aji Limo / Limo Pepper-  18 / 16oz - P00119"/>
    <n v="4"/>
    <n v="34.659999999999997"/>
    <n v="138.63999999999999"/>
    <n v="43226.459999999992"/>
  </r>
  <r>
    <x v="11"/>
    <x v="5"/>
    <s v="Bill"/>
    <s v="480295"/>
    <x v="303"/>
    <s v="TRADICIONES ANDINAS- PERU -  FROZEN -  Choclo Entero / Corn on the Cob -  10/4"/>
    <n v="4"/>
    <n v="37.450000000000003"/>
    <n v="149.80000000000001"/>
    <n v="43376.259999999995"/>
  </r>
  <r>
    <x v="11"/>
    <x v="5"/>
    <s v="Bill"/>
    <s v="480295"/>
    <x v="305"/>
    <s v="TRADICIONES ANDINAS - FROZEN -  Pulpa de Maracuya / Passion Fruit pulp -  12 / 14oz - RE041"/>
    <n v="10"/>
    <n v="26.84"/>
    <n v="268.39999999999998"/>
    <n v="43644.659999999996"/>
  </r>
  <r>
    <x v="11"/>
    <x v="5"/>
    <s v="Bill"/>
    <s v="480295"/>
    <x v="324"/>
    <s v="TRADICIONES ANDINAS- ECUADOR -  FROZEN -  Achocha / Caigua  -  12 / 16oz - RE102"/>
    <n v="2"/>
    <n v="29.4"/>
    <n v="58.8"/>
    <n v="43703.46"/>
  </r>
  <r>
    <x v="11"/>
    <x v="44"/>
    <s v="Bill"/>
    <s v="480888"/>
    <x v="219"/>
    <s v="TA - WINTER'S PRODUCTS- PERU -   -  WINTER'S - Panettone-  6 / 900g - WI2023"/>
    <n v="10"/>
    <n v="35.94"/>
    <n v="359.4"/>
    <n v="44062.86"/>
  </r>
  <r>
    <x v="11"/>
    <x v="44"/>
    <s v="Bill"/>
    <s v="480888"/>
    <x v="392"/>
    <s v="TRADICIONES ANDINAS - PERU -  BOLSA -  Quick Oats / Avena-  6 / 32oz - P00407"/>
    <n v="3"/>
    <n v="9.99"/>
    <n v="29.97"/>
    <n v="44092.83"/>
  </r>
  <r>
    <x v="11"/>
    <x v="44"/>
    <s v="Bill"/>
    <s v="480888"/>
    <x v="396"/>
    <s v="TA - VALLES ANDINOS-  -  BOLSA -  Lentejas-  24 / 14oz - VA137"/>
    <n v="1"/>
    <n v="19.2"/>
    <n v="19.2"/>
    <n v="44112.03"/>
  </r>
  <r>
    <x v="11"/>
    <x v="44"/>
    <s v="Bill"/>
    <s v="480888"/>
    <x v="344"/>
    <s v="TA- PERU -  SIBARITA PRODUCTS -  SIBARITA - Tuco Tallarin-  6 sobres x 50 / 1.64oz  - SI309"/>
    <n v="8"/>
    <n v="45"/>
    <n v="360"/>
    <n v="44472.03"/>
  </r>
  <r>
    <x v="11"/>
    <x v="44"/>
    <s v="Bill"/>
    <s v="480888"/>
    <x v="345"/>
    <s v="TA- PERU -  SIBARITA PRODUCTS -  SIBARITA - Aji Panca Sazonador-  6 sobres x 50 / 2.22oz - SI310"/>
    <n v="8"/>
    <n v="45"/>
    <n v="360"/>
    <n v="44832.03"/>
  </r>
  <r>
    <x v="11"/>
    <x v="44"/>
    <s v="Bill"/>
    <s v="480888"/>
    <x v="346"/>
    <s v="T.A SIBARITA - Panquita Doypack 12 x 19.4 oz"/>
    <n v="5"/>
    <n v="52.52"/>
    <n v="262.60000000000002"/>
    <n v="45094.63"/>
  </r>
  <r>
    <x v="11"/>
    <x v="44"/>
    <s v="Bill"/>
    <s v="480888"/>
    <x v="347"/>
    <s v="TA- PERU -  SIBARITA PRODUCTS -  SIBARITA - Amarillin Doypack-  12 / 19.4oz - I322 - SI322"/>
    <n v="5"/>
    <n v="52.52"/>
    <n v="262.60000000000002"/>
    <n v="45357.229999999996"/>
  </r>
  <r>
    <x v="11"/>
    <x v="44"/>
    <s v="Bill"/>
    <s v="480888"/>
    <x v="296"/>
    <s v="TRADICIONES ANDINAS - PERU -  TIYAPUY - SNACKS -  Habas Fritas Saladas/  Broad Beans Snacks-  12 / 130g - CH167"/>
    <n v="4"/>
    <n v="13.2"/>
    <n v="52.8"/>
    <n v="45410.03"/>
  </r>
  <r>
    <x v="11"/>
    <x v="44"/>
    <s v="Bill"/>
    <s v="480888"/>
    <x v="362"/>
    <s v="TA - UNIVERSAL PRODUCTS- PERU -   -  Bicarbonato de Sodio - Baking soda-  12 / 100g - U137"/>
    <n v="3"/>
    <n v="12.84"/>
    <n v="38.520000000000003"/>
    <n v="45448.549999999996"/>
  </r>
  <r>
    <x v="11"/>
    <x v="44"/>
    <s v="Bill"/>
    <s v="480888"/>
    <x v="361"/>
    <s v="TA - UNIVERSAL PRODUCTS- PERU -   -  Polvo de Hornear - Baking powder-  12 / 100g - U136"/>
    <n v="3"/>
    <n v="12.84"/>
    <n v="38.520000000000003"/>
    <n v="45487.069999999992"/>
  </r>
  <r>
    <x v="11"/>
    <x v="44"/>
    <s v="Bill"/>
    <s v="480888"/>
    <x v="268"/>
    <s v="TRADICIONES ANDINAS - PERU -  BOLSA -  Cancha Corn / Maiz Cancha-  24 / 15oz - P00162"/>
    <n v="3"/>
    <n v="45.96"/>
    <n v="137.88"/>
    <n v="45624.94999999999"/>
  </r>
  <r>
    <x v="11"/>
    <x v="44"/>
    <s v="Bill"/>
    <s v="480888"/>
    <x v="330"/>
    <s v="TRADICIONES ANDINAS - PERU -  VIDRIO -  Aceituna Botija sin Pepa /Pitted Alfonso Olives -  12 / 20oz - P0287"/>
    <n v="2"/>
    <n v="39.68"/>
    <n v="79.36"/>
    <n v="45704.30999999999"/>
  </r>
  <r>
    <x v="11"/>
    <x v="45"/>
    <s v="Bill"/>
    <s v="482005"/>
    <x v="250"/>
    <s v="T.A Aji Panca Pasta 7.5oz x 24 fco de vidrio P00120"/>
    <n v="8"/>
    <n v="30.82"/>
    <n v="246.56"/>
    <n v="45950.869999999988"/>
  </r>
  <r>
    <x v="11"/>
    <x v="45"/>
    <s v="Bill"/>
    <s v="482005"/>
    <x v="251"/>
    <s v="T.A Aji Amarillo Pasta 7.5oz x 24 fco de vidrio P00121"/>
    <n v="5"/>
    <n v="30.82"/>
    <n v="154.1"/>
    <n v="46104.969999999987"/>
  </r>
  <r>
    <x v="11"/>
    <x v="45"/>
    <s v="Bill"/>
    <s v="482005"/>
    <x v="252"/>
    <s v="TRADICIONES ANDINAS - PERU -  VIDRIO -  Rocoto en Pasta /Red Hot Peppers Paste -  24 / 7.5oz - P00122"/>
    <n v="2"/>
    <n v="33.119999999999997"/>
    <n v="66.239999999999995"/>
    <n v="46171.209999999985"/>
  </r>
  <r>
    <x v="11"/>
    <x v="45"/>
    <s v="Bill"/>
    <s v="482005"/>
    <x v="325"/>
    <s v="T.A  Ajo pasta 7.5oz x 24 fraco vidrio P00123"/>
    <n v="2"/>
    <n v="40.82"/>
    <n v="81.64"/>
    <n v="46252.849999999984"/>
  </r>
  <r>
    <x v="11"/>
    <x v="45"/>
    <s v="Bill"/>
    <s v="482005"/>
    <x v="253"/>
    <s v="TRADICIONES ANDINAS - PERU -  VIDRIO -  Aji Mirasol Pasta / Mirasol Pepper Paste -  24 / 7.5oz - P0278"/>
    <n v="3"/>
    <n v="33.380000000000003"/>
    <n v="100.14"/>
    <n v="46352.989999999983"/>
  </r>
  <r>
    <x v="11"/>
    <x v="45"/>
    <s v="Bill"/>
    <s v="482005"/>
    <x v="326"/>
    <s v="TRADICIONES ANDINAS - PERU -  VIDRIO -  Albahaca Pasta /Basil Paste -  24 / 7.5oz - P00181"/>
    <n v="2"/>
    <n v="32.1"/>
    <n v="64.2"/>
    <n v="46417.189999999981"/>
  </r>
  <r>
    <x v="11"/>
    <x v="45"/>
    <s v="Bill"/>
    <s v="482005"/>
    <x v="399"/>
    <s v="Cilantro Pasta / Coriander Paste"/>
    <n v="2"/>
    <n v="32.1"/>
    <n v="64.2"/>
    <n v="46481.389999999978"/>
  </r>
  <r>
    <x v="11"/>
    <x v="45"/>
    <s v="Bill"/>
    <s v="482005"/>
    <x v="259"/>
    <s v="T.A Aji Panca Pasta /Panca Pepper Paste 15oz x 12"/>
    <n v="2"/>
    <n v="25.54"/>
    <n v="51.08"/>
    <n v="46532.469999999979"/>
  </r>
  <r>
    <x v="11"/>
    <x v="45"/>
    <s v="Bill"/>
    <s v="482005"/>
    <x v="261"/>
    <s v="Tradiciones Andinas Rocoto Pasta 15oz X 12 fco vidrio"/>
    <n v="3"/>
    <n v="29.4"/>
    <n v="88.2"/>
    <n v="46620.669999999976"/>
  </r>
  <r>
    <x v="11"/>
    <x v="45"/>
    <s v="Bill"/>
    <s v="482005"/>
    <x v="328"/>
    <s v="TRADICIONES ANDINAS - PERU -  VIDRIO -  Salsa Parrillera /BBQ Seasoning -  12 / 15oz - P0277"/>
    <n v="2"/>
    <n v="28.88"/>
    <n v="57.76"/>
    <n v="46678.429999999978"/>
  </r>
  <r>
    <x v="11"/>
    <x v="45"/>
    <s v="Bill"/>
    <s v="482005"/>
    <x v="329"/>
    <s v="TRADICIONES ANDINAS - PERU -  VIDRIO -  Salsa Pollo A La Brasa /Grill Chicken Seasoning -  12 / 15oz - P0285"/>
    <n v="4"/>
    <n v="28.88"/>
    <n v="115.52"/>
    <n v="46793.949999999975"/>
  </r>
  <r>
    <x v="11"/>
    <x v="45"/>
    <s v="Bill"/>
    <s v="482005"/>
    <x v="263"/>
    <s v="TRADICIONES ANDINAS - PERU -  VIDRIO -  Aceituna Botija /Alfonso Olives -  12 / 20oz - P00140"/>
    <n v="20"/>
    <n v="39.68"/>
    <n v="793.6"/>
    <n v="47587.549999999974"/>
  </r>
  <r>
    <x v="11"/>
    <x v="45"/>
    <s v="Bill"/>
    <s v="482005"/>
    <x v="389"/>
    <s v="TRADICIONES ANDINAS - PERU -  VIDRIO -  Aji Amarillo Salmuera /Whole Yellow Hot Pepper -  12 / 20oz - P00143"/>
    <n v="5"/>
    <n v="32"/>
    <n v="160"/>
    <n v="47747.549999999974"/>
  </r>
  <r>
    <x v="11"/>
    <x v="45"/>
    <s v="Bill"/>
    <s v="482005"/>
    <x v="264"/>
    <s v="TRADICIONES ANDINAS - PERU -  VIDRIO -  Aji Amarillo sin Picante / Yellow Pepper paste Non Spicy-  24 / 7.5z - P0288"/>
    <n v="7"/>
    <n v="38.159999999999997"/>
    <n v="267.12"/>
    <n v="48014.669999999976"/>
  </r>
  <r>
    <x v="11"/>
    <x v="45"/>
    <s v="Bill"/>
    <s v="482005"/>
    <x v="400"/>
    <s v="Rocoto en Lata /Red Hot Peppers Halves"/>
    <n v="2"/>
    <n v="51.1"/>
    <n v="102.2"/>
    <n v="48116.869999999974"/>
  </r>
  <r>
    <x v="11"/>
    <x v="45"/>
    <s v="Bill"/>
    <s v="482005"/>
    <x v="383"/>
    <s v="TRADICIONES ANDINAS - PERU -  ENLATADO Aji Amarillo en Lata /Whole Yellow Hot Pepper -  24 / 20oz - P00145"/>
    <n v="3"/>
    <n v="51.1"/>
    <n v="153.30000000000001"/>
    <n v="48270.169999999976"/>
  </r>
  <r>
    <x v="11"/>
    <x v="45"/>
    <s v="Bill"/>
    <s v="482005"/>
    <x v="268"/>
    <s v="TRADICIONES ANDINAS - PERU -  BOLSA -  Cancha Corn / Maiz Cancha-  24 / 15oz - P00162"/>
    <n v="8"/>
    <n v="45.96"/>
    <n v="367.68"/>
    <n v="48637.849999999977"/>
  </r>
  <r>
    <x v="11"/>
    <x v="45"/>
    <s v="Bill"/>
    <s v="482005"/>
    <x v="269"/>
    <s v="T.A Peeled Mote Corn / Mote Pelado 15oz x 24 bolsa"/>
    <n v="2"/>
    <n v="45.96"/>
    <n v="91.92"/>
    <n v="48729.769999999975"/>
  </r>
  <r>
    <x v="11"/>
    <x v="45"/>
    <s v="Bill"/>
    <s v="482005"/>
    <x v="331"/>
    <s v="TRADICIONES ANDINAS - PERU -  BOLSA -  Linaza /Flax Seed -  24 / 15oz - P00165"/>
    <n v="3"/>
    <n v="33.380000000000003"/>
    <n v="100.14"/>
    <n v="48829.909999999974"/>
  </r>
  <r>
    <x v="11"/>
    <x v="45"/>
    <s v="Bill"/>
    <s v="482005"/>
    <x v="275"/>
    <s v="TRADICIONES ANDINAS - PERU -  BOLSA -   Trigo Pelado/Peeled Wheat -  24 / 15oz -"/>
    <n v="2"/>
    <n v="32.1"/>
    <n v="64.2"/>
    <n v="48894.109999999971"/>
  </r>
  <r>
    <x v="11"/>
    <x v="45"/>
    <s v="Bill"/>
    <s v="482005"/>
    <x v="273"/>
    <s v="TRADICIONES ANDINAS - PERU -  BOLSA -  Cebada Tostada /Toasted Barley -  18 / 15oz - P00174"/>
    <n v="2"/>
    <n v="21.18"/>
    <n v="42.36"/>
    <n v="48936.469999999972"/>
  </r>
  <r>
    <x v="11"/>
    <x v="45"/>
    <s v="Bill"/>
    <s v="482005"/>
    <x v="276"/>
    <s v="TRADICIONES ANDINAS - PERU -  BOLSA -  Emoliente / Emolient -  20 / 3.5oz - P00158"/>
    <n v="10"/>
    <n v="21.18"/>
    <n v="211.8"/>
    <n v="49148.269999999975"/>
  </r>
  <r>
    <x v="11"/>
    <x v="45"/>
    <s v="Bill"/>
    <s v="482005"/>
    <x v="277"/>
    <s v="Maiz Morado (Family Pack) /Purple Corn"/>
    <n v="4"/>
    <n v="23.96"/>
    <n v="95.84"/>
    <n v="49244.109999999971"/>
  </r>
  <r>
    <x v="11"/>
    <x v="45"/>
    <s v="Bill"/>
    <s v="482005"/>
    <x v="390"/>
    <s v="TRADICIONES ANDINAS - PERU -  BOLSA -  Pallares /Lima Beans -  24 / 15oz - P00901"/>
    <n v="6"/>
    <n v="36"/>
    <n v="216"/>
    <n v="49460.109999999971"/>
  </r>
  <r>
    <x v="11"/>
    <x v="45"/>
    <s v="Bill"/>
    <s v="482005"/>
    <x v="392"/>
    <s v="TRADICIONES ANDINAS - PERU -  BOLSA -  Quick Oats / Avena-  6 / 32oz - P00407"/>
    <n v="12"/>
    <n v="9.99"/>
    <n v="119.88"/>
    <n v="49579.989999999969"/>
  </r>
  <r>
    <x v="11"/>
    <x v="45"/>
    <s v="Bill"/>
    <s v="482005"/>
    <x v="334"/>
    <s v="TRADICIONES ANDINAS - PERU -  HEALTHY  PRODUCTS -  Harina de Quinua /Quinua Flour (Instant) -  12 / 12oz - P00402"/>
    <n v="2"/>
    <n v="30.64"/>
    <n v="61.28"/>
    <n v="49641.269999999968"/>
  </r>
  <r>
    <x v="11"/>
    <x v="45"/>
    <s v="Bill"/>
    <s v="482005"/>
    <x v="336"/>
    <s v="TRADICIONES ANDINAS - PERU -  HEALTHY  PRODUCTS -  Harina de Maca /Maca Flour -  24 / 7oz - P00205"/>
    <n v="2"/>
    <n v="53.68"/>
    <n v="107.36"/>
    <n v="49748.629999999968"/>
  </r>
  <r>
    <x v="11"/>
    <x v="45"/>
    <s v="Bill"/>
    <s v="482005"/>
    <x v="156"/>
    <s v="Kikko Siyau 500ml x 30 /  00998"/>
    <n v="15"/>
    <n v="31.8"/>
    <n v="477"/>
    <n v="50225.629999999968"/>
  </r>
  <r>
    <x v="11"/>
    <x v="45"/>
    <s v="Bill"/>
    <s v="482005"/>
    <x v="13"/>
    <s v="AjiNomoto Bolsa 1Kg x 18 / 7754487118804 / 00803 / AB-11"/>
    <n v="2"/>
    <n v="85"/>
    <n v="170"/>
    <n v="50395.629999999968"/>
  </r>
  <r>
    <x v="11"/>
    <x v="45"/>
    <s v="Bill"/>
    <s v="482005"/>
    <x v="340"/>
    <s v="T.A AjiNomoto Bolsa 500g x 30 / 00804"/>
    <n v="4"/>
    <n v="75.97"/>
    <n v="303.88"/>
    <n v="50699.509999999966"/>
  </r>
  <r>
    <x v="11"/>
    <x v="45"/>
    <s v="Bill"/>
    <s v="482005"/>
    <x v="295"/>
    <s v="TRADICIONES ANDINAS - PERU -  CONDIMENT PRODUCTS -  Tradiciones Andinas - Chicha de Jora /Jora Seasoning -  12 / 1 lt - P00134"/>
    <n v="5"/>
    <n v="38.39"/>
    <n v="191.95"/>
    <n v="50891.459999999963"/>
  </r>
  <r>
    <x v="11"/>
    <x v="45"/>
    <s v="Bill"/>
    <s v="482005"/>
    <x v="401"/>
    <s v="Tradiciones Andinas -  Pimienta Negra /Black Pepper"/>
    <n v="2"/>
    <n v="16.68"/>
    <n v="33.36"/>
    <n v="50924.819999999963"/>
  </r>
  <r>
    <x v="11"/>
    <x v="45"/>
    <s v="Bill"/>
    <s v="482005"/>
    <x v="341"/>
    <s v="TRADICIONES ANDINAS - PERU -  TIYAPUY - SNACKS -  Maiz Chulpi frito Salado/ Chulpi Corn Snack-  12 / 130g - CH165"/>
    <n v="6"/>
    <n v="13.2"/>
    <n v="79.2"/>
    <n v="51004.01999999996"/>
  </r>
  <r>
    <x v="11"/>
    <x v="45"/>
    <s v="Bill"/>
    <s v="482005"/>
    <x v="342"/>
    <s v="TRADICIONES ANDINAS - PERU -  TIYAPUY - SNACKS -  Maiz Cancha Frito Salado / Native Corn Snack-  12 / 130g - CH166"/>
    <n v="5"/>
    <n v="13.2"/>
    <n v="66"/>
    <n v="51070.01999999996"/>
  </r>
  <r>
    <x v="11"/>
    <x v="45"/>
    <s v="Bill"/>
    <s v="482005"/>
    <x v="343"/>
    <s v="TRADICIONES ANDINAS - PERU -  TIYAPUY - SNACKS -  Maiz Gigante Frito Salado/ Giant Corn Snacks-  12 / 130g - CH168"/>
    <n v="4"/>
    <n v="13.2"/>
    <n v="52.8"/>
    <n v="51122.819999999963"/>
  </r>
  <r>
    <x v="11"/>
    <x v="45"/>
    <s v="Bill"/>
    <s v="482005"/>
    <x v="309"/>
    <s v="TRADICIONES ANDINAS - PERU -  TIYAPUY - SNACKS -  Mix Andino Snack / Andean Mix Snack-  12 / 130g - CH169"/>
    <n v="6"/>
    <n v="13.2"/>
    <n v="79.2"/>
    <n v="51202.01999999996"/>
  </r>
  <r>
    <x v="11"/>
    <x v="45"/>
    <s v="Bill"/>
    <s v="482005"/>
    <x v="402"/>
    <s v="Maiz gigante frito picante - Spicy and crunchy giant corn"/>
    <n v="2"/>
    <n v="13.2"/>
    <n v="26.4"/>
    <n v="51228.419999999962"/>
  </r>
  <r>
    <x v="11"/>
    <x v="45"/>
    <s v="Bill"/>
    <s v="482005"/>
    <x v="384"/>
    <s v="TRADICIONES ANDINAS - PERU -  TIYAPUY - SNACKS -  Platanitos fritos salados - Salted Plantain Chips-  12 / 80g - CH180"/>
    <n v="18"/>
    <n v="13.2"/>
    <n v="237.6"/>
    <n v="51466.01999999996"/>
  </r>
  <r>
    <x v="11"/>
    <x v="45"/>
    <s v="Bill"/>
    <s v="482005"/>
    <x v="403"/>
    <s v="SIBARITA - Ajo / Garlic"/>
    <n v="5"/>
    <n v="39"/>
    <n v="195"/>
    <n v="51661.01999999996"/>
  </r>
  <r>
    <x v="11"/>
    <x v="45"/>
    <s v="Bill"/>
    <s v="482005"/>
    <x v="283"/>
    <s v="PERU -  SIBARITA PRODUCTS -  SIBARITA - Vinagre Blanco - White Vinegar -  12 / 1lt - SI312"/>
    <n v="5"/>
    <n v="12.7"/>
    <n v="63.5"/>
    <n v="51724.51999999996"/>
  </r>
  <r>
    <x v="11"/>
    <x v="45"/>
    <s v="Bill"/>
    <s v="482005"/>
    <x v="285"/>
    <s v="T.A PERU -  SIBARITA PRODUCTS -  SIBARITA - Vinagre Blanco - White Vinegar -  12 / 16.91oz botella"/>
    <n v="6"/>
    <n v="9.07"/>
    <n v="54.42"/>
    <n v="51778.939999999959"/>
  </r>
  <r>
    <x v="11"/>
    <x v="45"/>
    <s v="Bill"/>
    <s v="482005"/>
    <x v="286"/>
    <s v="SIBARITA Vinagre Tinto - Red Vinegar 16.91oz  x 12 botella"/>
    <n v="6"/>
    <n v="9.07"/>
    <n v="54.42"/>
    <n v="51833.359999999957"/>
  </r>
  <r>
    <x v="11"/>
    <x v="45"/>
    <s v="Bill"/>
    <s v="482005"/>
    <x v="346"/>
    <s v="T.A SIBARITA - Panquita Doypack 12 x 19.4 oz"/>
    <n v="12"/>
    <n v="52.52"/>
    <n v="630.24"/>
    <n v="52463.599999999955"/>
  </r>
  <r>
    <x v="11"/>
    <x v="45"/>
    <s v="Bill"/>
    <s v="482005"/>
    <x v="347"/>
    <s v="TA- PERU -  SIBARITA PRODUCTS -  SIBARITA - Amarillin Doypack-  12 / 19.4oz - I322 - SI322"/>
    <n v="12"/>
    <n v="52.52"/>
    <n v="630.24"/>
    <n v="53093.839999999953"/>
  </r>
  <r>
    <x v="11"/>
    <x v="45"/>
    <s v="Bill"/>
    <s v="482005"/>
    <x v="348"/>
    <s v="TA- PERU -  SIBARITA PRODUCTS -  SIBARITA - Ajo / Garlic Family Pack-  12 / 19.4oz - SI324"/>
    <n v="10"/>
    <n v="52.52"/>
    <n v="525.20000000000005"/>
    <n v="53619.03999999995"/>
  </r>
  <r>
    <x v="11"/>
    <x v="45"/>
    <s v="Bill"/>
    <s v="482005"/>
    <x v="387"/>
    <s v="TA- PERU -  INFUSIONES -  TRADICIONES ANDINAS - Manzanilla - Chamomille Tea-  30 / 20x24g - TE01"/>
    <n v="1"/>
    <n v="27.29"/>
    <n v="27.29"/>
    <n v="53646.329999999951"/>
  </r>
  <r>
    <x v="11"/>
    <x v="45"/>
    <s v="Bill"/>
    <s v="482005"/>
    <x v="351"/>
    <s v="TA- PERU -  INFUSIONES -  TRADICIONES ANDINAS - Hierbaluisa - Lemon Grass Tea-  30 / 20x24g - TE04"/>
    <n v="1"/>
    <n v="27.29"/>
    <n v="27.29"/>
    <n v="53673.619999999952"/>
  </r>
  <r>
    <x v="11"/>
    <x v="45"/>
    <s v="Bill"/>
    <s v="482005"/>
    <x v="404"/>
    <s v="TA- PERU -  INFUSIONES -  DEL VALLE - Boldo-  32 / 25x25g - Dvalle05"/>
    <n v="1"/>
    <n v="39.46"/>
    <n v="39.46"/>
    <n v="53713.079999999951"/>
  </r>
  <r>
    <x v="11"/>
    <x v="45"/>
    <s v="Bill"/>
    <s v="482005"/>
    <x v="352"/>
    <s v="TA- PERU -  INFUSIONES -  DEL VALLE - Una de Gato-  32 / 25x25g - Dvalle08"/>
    <n v="2"/>
    <n v="39.46"/>
    <n v="78.92"/>
    <n v="53791.999999999949"/>
  </r>
  <r>
    <x v="11"/>
    <x v="45"/>
    <s v="Bill"/>
    <s v="482005"/>
    <x v="287"/>
    <s v="TA - UNIVERSAL PRODUCTS- PERU -   -  Gelatina Fresa / Strawberry Gelatin -  12 / 150gr - U101"/>
    <n v="6"/>
    <n v="14"/>
    <n v="84"/>
    <n v="53875.999999999949"/>
  </r>
  <r>
    <x v="11"/>
    <x v="45"/>
    <s v="Bill"/>
    <s v="482005"/>
    <x v="288"/>
    <s v="TA - UNIVERSAL PRODUCTS- PERU -   -  Gelatina Naranja / Orange Gelatin -  12 / 150gr - U102"/>
    <n v="7"/>
    <n v="14"/>
    <n v="98"/>
    <n v="53973.999999999949"/>
  </r>
  <r>
    <x v="11"/>
    <x v="45"/>
    <s v="Bill"/>
    <s v="482005"/>
    <x v="354"/>
    <s v="TA - UNIVERSAL PRODUCTS- PERU -   -  Gelatina Piña / Pineapple Gelatin -  12 / 150gr - U103"/>
    <n v="12"/>
    <n v="14"/>
    <n v="168"/>
    <n v="54141.999999999949"/>
  </r>
  <r>
    <x v="11"/>
    <x v="45"/>
    <s v="Bill"/>
    <s v="482005"/>
    <x v="405"/>
    <s v="TA - UNIVERSAL PRODUCTS- PERU -   -  Gelatina Limon / Lemon Gelatin  -  12 / 150gr - U104"/>
    <n v="3"/>
    <n v="14"/>
    <n v="42"/>
    <n v="54183.999999999949"/>
  </r>
  <r>
    <x v="11"/>
    <x v="45"/>
    <s v="Bill"/>
    <s v="482005"/>
    <x v="406"/>
    <s v="TA - UNIVERSAL PRODUCTS- PERU -   -  Grape Gelatin / Gelatina Uva-  12 / 150gr - U105"/>
    <n v="3"/>
    <n v="14"/>
    <n v="42"/>
    <n v="54225.999999999949"/>
  </r>
  <r>
    <x v="11"/>
    <x v="45"/>
    <s v="Bill"/>
    <s v="482005"/>
    <x v="355"/>
    <s v="TA - UNIVERSAL PRODUCTS- PERU -   -  Flan de Vainilla / Vanilla Flan -  12 / 150gr - U106"/>
    <n v="12"/>
    <n v="14"/>
    <n v="168"/>
    <n v="54393.999999999949"/>
  </r>
  <r>
    <x v="11"/>
    <x v="45"/>
    <s v="Bill"/>
    <s v="482005"/>
    <x v="356"/>
    <s v="TA - UNIVERSAL PRODUCTS- PERU -   -  Mazamorra Morada /Purple Pudin-  12 / 150gr - U108"/>
    <n v="6"/>
    <n v="14"/>
    <n v="84"/>
    <n v="54477.999999999949"/>
  </r>
  <r>
    <x v="11"/>
    <x v="45"/>
    <s v="Bill"/>
    <s v="482005"/>
    <x v="310"/>
    <s v="TA - UNIVERSAL PRODUCTS- PERU -   -  Esencia de Vainilla / Vanilla Scent-  24 / 100ml - U109"/>
    <n v="3"/>
    <n v="22.86"/>
    <n v="68.58"/>
    <n v="54546.579999999951"/>
  </r>
  <r>
    <x v="11"/>
    <x v="45"/>
    <s v="Bill"/>
    <s v="482005"/>
    <x v="311"/>
    <s v="TA - UNIVERSAL PRODUCTS- PERU -   -  Chicha Morada / Purple drink instant beverage-  12 / 120gr - U110"/>
    <n v="15"/>
    <n v="12.84"/>
    <n v="192.6"/>
    <n v="54739.179999999949"/>
  </r>
  <r>
    <x v="11"/>
    <x v="45"/>
    <s v="Bill"/>
    <s v="482005"/>
    <x v="395"/>
    <s v="TA - UNIVERSAL PRODUCTS- PERU -   -  Gelatina sin Sabor (Colapiz)-  12 / 30gr - U113"/>
    <n v="4"/>
    <n v="14"/>
    <n v="56"/>
    <n v="54795.179999999949"/>
  </r>
  <r>
    <x v="11"/>
    <x v="45"/>
    <s v="Bill"/>
    <s v="482005"/>
    <x v="357"/>
    <s v="T.A Universal Maicena 180g x 7 / U114"/>
    <n v="6"/>
    <n v="9"/>
    <n v="54"/>
    <n v="54849.179999999949"/>
  </r>
  <r>
    <x v="11"/>
    <x v="45"/>
    <s v="Bill"/>
    <s v="482005"/>
    <x v="358"/>
    <s v="TA - UNIVERSAL PRODUCTS- PERU -   -  Refresco Guanabana / Guava Instant beverage-  12 / 120gr - U115"/>
    <n v="9"/>
    <n v="12.84"/>
    <n v="115.56"/>
    <n v="54964.739999999947"/>
  </r>
  <r>
    <x v="11"/>
    <x v="45"/>
    <s v="Bill"/>
    <s v="482005"/>
    <x v="359"/>
    <s v="TA - UNIVERSAL PRODUCTS- PERU -   -  Refresco de Maracuya / Passion fruit instant beverage-  12 / 120gr - U122"/>
    <n v="9"/>
    <n v="12.84"/>
    <n v="115.56"/>
    <n v="55080.299999999945"/>
  </r>
  <r>
    <x v="11"/>
    <x v="45"/>
    <s v="Bill"/>
    <s v="482005"/>
    <x v="360"/>
    <s v="TA - UNIVERSAL PRODUCTS- PERU -   -  Flan de Lucuma/ Lucuma Pudin-  12 / 150gr - U123"/>
    <n v="5"/>
    <n v="14"/>
    <n v="70"/>
    <n v="55150.299999999945"/>
  </r>
  <r>
    <x v="11"/>
    <x v="45"/>
    <s v="Bill"/>
    <s v="482005"/>
    <x v="361"/>
    <s v="TA - UNIVERSAL PRODUCTS- PERU -   -  Polvo de Hornear - Baking powder-  12 / 100g - U136"/>
    <n v="2"/>
    <n v="12.84"/>
    <n v="25.68"/>
    <n v="55175.979999999945"/>
  </r>
  <r>
    <x v="11"/>
    <x v="45"/>
    <s v="Bill"/>
    <s v="482005"/>
    <x v="362"/>
    <s v="TA - UNIVERSAL PRODUCTS- PERU -   -  Bicarbonato de Sodio - Baking soda-  12 / 100g - U137"/>
    <n v="2"/>
    <n v="12.84"/>
    <n v="25.68"/>
    <n v="55201.659999999945"/>
  </r>
  <r>
    <x v="11"/>
    <x v="45"/>
    <s v="Bill"/>
    <s v="482005"/>
    <x v="316"/>
    <s v="TA- PERU -  GOLOSINAS - DULCES  -  VITAPLUSS - Fideos con Miel-  20 / 120g - CH141"/>
    <n v="4"/>
    <n v="21.4"/>
    <n v="85.6"/>
    <n v="55287.259999999944"/>
  </r>
  <r>
    <x v="11"/>
    <x v="45"/>
    <s v="Bill"/>
    <s v="482005"/>
    <x v="290"/>
    <s v="T.A Maiz Morado /Purple Corn 50Lb saco / 00211"/>
    <n v="6"/>
    <n v="64.2"/>
    <n v="385.2"/>
    <n v="55672.459999999941"/>
  </r>
  <r>
    <x v="11"/>
    <x v="45"/>
    <s v="Bill"/>
    <s v="482005"/>
    <x v="291"/>
    <s v="TA- PERU -  GRANEL -  Mote Pelado Saco-  50 / lbs - 00212"/>
    <n v="1"/>
    <n v="85.6"/>
    <n v="85.6"/>
    <n v="55758.059999999939"/>
  </r>
  <r>
    <x v="11"/>
    <x v="45"/>
    <s v="Bill"/>
    <s v="482005"/>
    <x v="292"/>
    <s v="Maiz Chulpe Saco"/>
    <n v="4"/>
    <n v="78"/>
    <n v="312"/>
    <n v="56070.059999999939"/>
  </r>
  <r>
    <x v="11"/>
    <x v="45"/>
    <s v="Bill"/>
    <s v="482005"/>
    <x v="293"/>
    <s v="Aji Amarillo Balde 7.5Lb"/>
    <n v="4"/>
    <n v="13.91"/>
    <n v="55.64"/>
    <n v="56125.699999999939"/>
  </r>
  <r>
    <x v="11"/>
    <x v="45"/>
    <s v="Bill"/>
    <s v="482005"/>
    <x v="366"/>
    <s v="TRADICIONES ANDINAS- CHILE -  ENLATADO TRADICIONES ANDINAS - Peach Halves in heavy Syrup / Durazno en Almibar -  12 / 29z (822g) - DUR01"/>
    <n v="3"/>
    <n v="28.88"/>
    <n v="86.64"/>
    <n v="56212.339999999938"/>
  </r>
  <r>
    <x v="11"/>
    <x v="45"/>
    <s v="Bill"/>
    <s v="482005"/>
    <x v="369"/>
    <s v="TA- ECUADOR -  VALLES ANDINOS -  -  Chochos en Salmuera-  12 / 15oz - VA124"/>
    <n v="4"/>
    <n v="42.24"/>
    <n v="168.96"/>
    <n v="56381.299999999937"/>
  </r>
  <r>
    <x v="11"/>
    <x v="45"/>
    <s v="Bill"/>
    <s v="482005"/>
    <x v="372"/>
    <s v="TA- ECUADOR -  VALLES ANDINOS -  -  Aji Casero-  24 / 6oz  - VA143"/>
    <n v="5"/>
    <n v="45.96"/>
    <n v="229.8"/>
    <n v="56611.09999999994"/>
  </r>
  <r>
    <x v="11"/>
    <x v="45"/>
    <s v="Bill"/>
    <s v="482005"/>
    <x v="373"/>
    <s v="TA- ECUADOR -  VALLES ANDINOS -  -  Aji Peruano-  12 / 14oz - VA144"/>
    <n v="5"/>
    <n v="33.479999999999997"/>
    <n v="167.4"/>
    <n v="56778.499999999942"/>
  </r>
  <r>
    <x v="11"/>
    <x v="45"/>
    <s v="Bill"/>
    <s v="482005"/>
    <x v="374"/>
    <s v="TA- ECUADOR -  VALLES ANDINOS -  -  Ajo en Pasta /Garlic Paste -  15 / 16.58oz - VA145"/>
    <n v="5"/>
    <n v="32.15"/>
    <n v="160.75"/>
    <n v="56939.249999999942"/>
  </r>
  <r>
    <x v="11"/>
    <x v="45"/>
    <s v="Bill"/>
    <s v="482005"/>
    <x v="375"/>
    <s v="TA- ECUADOR -  VALLES ANDINOS -  -  Aliño - Ecuatorian Seasoning-  15 / 17.64oz - VA146"/>
    <n v="5"/>
    <n v="32.15"/>
    <n v="160.75"/>
    <n v="57099.999999999942"/>
  </r>
  <r>
    <x v="11"/>
    <x v="45"/>
    <s v="Bill"/>
    <s v="482005"/>
    <x v="376"/>
    <s v="TA- ECUADOR -  VALLES ANDINOS -  -  Sazon Completo - Complete Seasoning-  15 / 17.64oz - VA147"/>
    <n v="5"/>
    <n v="32.15"/>
    <n v="160.75"/>
    <n v="57260.749999999942"/>
  </r>
  <r>
    <x v="11"/>
    <x v="45"/>
    <s v="Bill"/>
    <s v="482005"/>
    <x v="377"/>
    <s v="TA- ECUADOR -  VALLES ANDINOS -  -  Chimichurri - BBQ Sauce-  15 / 17.64oz - VA148"/>
    <n v="5"/>
    <n v="32.15"/>
    <n v="160.75"/>
    <n v="57421.499999999942"/>
  </r>
  <r>
    <x v="11"/>
    <x v="45"/>
    <s v="Bill"/>
    <s v="482005"/>
    <x v="294"/>
    <s v="TA- ECUADOR -  VALLES ANDINOS -  -  Aceite Vegetal con Achiote-  15 / 14.88 floz - VA149"/>
    <n v="5"/>
    <n v="37.450000000000003"/>
    <n v="187.25"/>
    <n v="57608.749999999942"/>
  </r>
  <r>
    <x v="11"/>
    <x v="45"/>
    <s v="Bill"/>
    <s v="482005"/>
    <x v="378"/>
    <s v="TA- ECUADOR -  CAN PRODUCTS -   Lomitos de Atún en Aceite / Solid TUNA in Oil -  48 / 5oz - RE212"/>
    <n v="1"/>
    <n v="66.34"/>
    <n v="66.34"/>
    <n v="57675.089999999938"/>
  </r>
  <r>
    <x v="11"/>
    <x v="45"/>
    <s v="Bill"/>
    <s v="482005"/>
    <x v="407"/>
    <s v="Frijol Bocanegra / Black Eye Beans or Bocanegra"/>
    <n v="5"/>
    <n v="23.22"/>
    <n v="116.1"/>
    <n v="57791.189999999937"/>
  </r>
  <r>
    <x v="11"/>
    <x v="45"/>
    <s v="Bill"/>
    <s v="482005"/>
    <x v="408"/>
    <s v="Harina de Habas / Faba Beans Flour"/>
    <n v="3"/>
    <n v="22.24"/>
    <n v="66.72"/>
    <n v="57857.909999999938"/>
  </r>
  <r>
    <x v="11"/>
    <x v="45"/>
    <s v="Bill"/>
    <s v="482005"/>
    <x v="409"/>
    <s v="Frijol Canario / Canary Beans"/>
    <n v="6"/>
    <n v="30.42"/>
    <n v="182.52"/>
    <n v="58040.429999999935"/>
  </r>
  <r>
    <x v="11"/>
    <x v="45"/>
    <s v="Bill"/>
    <s v="482005"/>
    <x v="410"/>
    <s v="Harina de Maiz / Corn Flour"/>
    <n v="3"/>
    <n v="22.24"/>
    <n v="66.72"/>
    <n v="58107.149999999936"/>
  </r>
  <r>
    <x v="11"/>
    <x v="45"/>
    <s v="Bill"/>
    <s v="482005"/>
    <x v="396"/>
    <s v="TA - VALLES ANDINOS-  -  BOLSA -  Lentejas-  24 / 14oz - VA137"/>
    <n v="6"/>
    <n v="19.2"/>
    <n v="115.2"/>
    <n v="58222.349999999933"/>
  </r>
  <r>
    <x v="11"/>
    <x v="45"/>
    <s v="Bill"/>
    <s v="482005"/>
    <x v="397"/>
    <s v="TA - VALLES ANDINOS-  -  BOLSA -  Frijoles Negros-  24 / 14oz - VA138"/>
    <n v="6"/>
    <n v="20.399999999999999"/>
    <n v="122.4"/>
    <n v="58344.749999999935"/>
  </r>
  <r>
    <x v="11"/>
    <x v="45"/>
    <s v="Bill"/>
    <s v="482005"/>
    <x v="398"/>
    <s v="TA - VALLES ANDINOS-  -  BOLSA -  Habas partidas y Peladas / Split and Peeled Fava Beans-  14 / 14oz - VA139"/>
    <n v="4"/>
    <n v="25.9"/>
    <n v="103.6"/>
    <n v="58448.349999999933"/>
  </r>
  <r>
    <x v="11"/>
    <x v="13"/>
    <s v="Bill"/>
    <s v="482330"/>
    <x v="219"/>
    <s v="TA - WINTER'S PRODUCTS- PERU -   -  WINTER'S - Panettone-  6 / 900g - WI2023"/>
    <n v="100"/>
    <n v="30"/>
    <n v="3000"/>
    <n v="61448.349999999933"/>
  </r>
  <r>
    <x v="11"/>
    <x v="13"/>
    <s v="Bill"/>
    <s v="482330"/>
    <x v="219"/>
    <s v="TA - WINTER'S PRODUCTS- PERU -   -  WINTER'S - Panettone-  6 / 900g - WI2023"/>
    <n v="30"/>
    <n v="0"/>
    <n v="0"/>
    <n v="61448.349999999933"/>
  </r>
  <r>
    <x v="11"/>
    <x v="13"/>
    <s v="Bill"/>
    <s v="482330"/>
    <x v="251"/>
    <s v="T.A Aji Amarillo Pasta 7.5oz x 24 fco de vidrio P00121"/>
    <n v="2"/>
    <n v="0"/>
    <n v="0"/>
    <n v="61448.349999999933"/>
  </r>
  <r>
    <x v="11"/>
    <x v="46"/>
    <s v="Bill"/>
    <s v="483292"/>
    <x v="277"/>
    <s v="Maiz Morado (Family Pack) /Purple Corn"/>
    <n v="8"/>
    <n v="23.96"/>
    <n v="191.68"/>
    <n v="61640.029999999933"/>
  </r>
  <r>
    <x v="11"/>
    <x v="46"/>
    <s v="Bill"/>
    <s v="483292"/>
    <x v="411"/>
    <s v="Hojuela de Quinua / Quinua Flakes"/>
    <n v="2"/>
    <n v="31.08"/>
    <n v="62.16"/>
    <n v="61702.189999999937"/>
  </r>
  <r>
    <x v="11"/>
    <x v="46"/>
    <s v="Bill"/>
    <s v="483292"/>
    <x v="336"/>
    <s v="TRADICIONES ANDINAS - PERU -  HEALTHY  PRODUCTS -  Harina de Maca /Maca Flour -  24 / 7oz - P00205"/>
    <n v="2"/>
    <n v="53.68"/>
    <n v="107.36"/>
    <n v="61809.549999999937"/>
  </r>
  <r>
    <x v="11"/>
    <x v="46"/>
    <s v="Bill"/>
    <s v="483292"/>
    <x v="412"/>
    <s v="Tradiciones Andinas - Comino Molido"/>
    <n v="3"/>
    <n v="12.6"/>
    <n v="37.799999999999997"/>
    <n v="61847.34999999994"/>
  </r>
  <r>
    <x v="11"/>
    <x v="46"/>
    <s v="Bill"/>
    <s v="483292"/>
    <x v="401"/>
    <s v="Tradiciones Andinas -  Pimienta Negra /Black Pepper"/>
    <n v="3"/>
    <n v="16.68"/>
    <n v="50.04"/>
    <n v="61897.389999999941"/>
  </r>
  <r>
    <x v="11"/>
    <x v="46"/>
    <s v="Bill"/>
    <s v="483292"/>
    <x v="413"/>
    <s v="Tradiciones Andinas -Pimenton / Paprika"/>
    <n v="3"/>
    <n v="12.6"/>
    <n v="37.799999999999997"/>
    <n v="61935.189999999944"/>
  </r>
  <r>
    <x v="11"/>
    <x v="46"/>
    <s v="Bill"/>
    <s v="483292"/>
    <x v="414"/>
    <s v="Tradiciones Andinas - Canela Molida / Ground Cinnamon"/>
    <n v="3"/>
    <n v="12.6"/>
    <n v="37.799999999999997"/>
    <n v="61972.989999999947"/>
  </r>
  <r>
    <x v="11"/>
    <x v="46"/>
    <s v="Bill"/>
    <s v="483292"/>
    <x v="415"/>
    <s v="Tradiciones Andinas - Ajonjoli / Sesame Seeds"/>
    <n v="3"/>
    <n v="12.6"/>
    <n v="37.799999999999997"/>
    <n v="62010.78999999995"/>
  </r>
  <r>
    <x v="11"/>
    <x v="46"/>
    <s v="Bill"/>
    <s v="483292"/>
    <x v="341"/>
    <s v="TRADICIONES ANDINAS - PERU -  TIYAPUY - SNACKS -  Maiz Chulpi frito Salado/ Chulpi Corn Snack-  12 / 130g - CH165"/>
    <n v="2"/>
    <n v="13.2"/>
    <n v="26.4"/>
    <n v="62037.189999999951"/>
  </r>
  <r>
    <x v="11"/>
    <x v="46"/>
    <s v="Bill"/>
    <s v="483292"/>
    <x v="387"/>
    <s v="TA- PERU -  INFUSIONES -  TRADICIONES ANDINAS - Manzanilla - Chamomille Tea-  30 / 20x24g - TE01"/>
    <n v="1"/>
    <n v="27.29"/>
    <n v="27.29"/>
    <n v="62064.479999999952"/>
  </r>
  <r>
    <x v="11"/>
    <x v="46"/>
    <s v="Bill"/>
    <s v="483292"/>
    <x v="349"/>
    <s v="TA- PERU -  INFUSIONES -  TRADICIONES ANDINAS - Te con canela y clavo - Cinnamon and Clove-  30 / 20x24g - TE02"/>
    <n v="2"/>
    <n v="27.29"/>
    <n v="54.58"/>
    <n v="62119.059999999954"/>
  </r>
  <r>
    <x v="11"/>
    <x v="46"/>
    <s v="Bill"/>
    <s v="483292"/>
    <x v="350"/>
    <s v="TA- PERU -  INFUSIONES -  TRADICIONES ANDINAS - Anis-  30 / 20x24g - TE03"/>
    <n v="1"/>
    <n v="27.29"/>
    <n v="27.29"/>
    <n v="62146.349999999955"/>
  </r>
  <r>
    <x v="11"/>
    <x v="46"/>
    <s v="Bill"/>
    <s v="483292"/>
    <x v="351"/>
    <s v="TA- PERU -  INFUSIONES -  TRADICIONES ANDINAS - Hierbaluisa - Lemon Grass Tea-  30 / 20x24g - TE04"/>
    <n v="1"/>
    <n v="27.29"/>
    <n v="27.29"/>
    <n v="62173.639999999956"/>
  </r>
  <r>
    <x v="11"/>
    <x v="46"/>
    <s v="Bill"/>
    <s v="483292"/>
    <x v="404"/>
    <s v="TA- PERU -  INFUSIONES -  DEL VALLE - Boldo-  32 / 25x25g - Dvalle05"/>
    <n v="2"/>
    <n v="39.46"/>
    <n v="78.92"/>
    <n v="62252.559999999954"/>
  </r>
  <r>
    <x v="11"/>
    <x v="46"/>
    <s v="Bill"/>
    <s v="483292"/>
    <x v="353"/>
    <s v="TA- PERU -  INFUSIONES -  DEL VALLE - Chancapiedra-  32 / 25x25g - Dvalle09"/>
    <n v="1"/>
    <n v="39.46"/>
    <n v="39.46"/>
    <n v="62292.019999999953"/>
  </r>
  <r>
    <x v="11"/>
    <x v="46"/>
    <s v="Bill"/>
    <s v="483292"/>
    <x v="405"/>
    <s v="TA - UNIVERSAL PRODUCTS- PERU -   -  Gelatina Limon / Lemon Gelatin  -  12 / 150gr - U104"/>
    <n v="4"/>
    <n v="14"/>
    <n v="56"/>
    <n v="62348.019999999953"/>
  </r>
  <r>
    <x v="11"/>
    <x v="46"/>
    <s v="Bill"/>
    <s v="483292"/>
    <x v="406"/>
    <s v="TA - UNIVERSAL PRODUCTS- PERU -   -  Grape Gelatin / Gelatina Uva-  12 / 150gr - U105"/>
    <n v="4"/>
    <n v="14"/>
    <n v="56"/>
    <n v="62404.019999999953"/>
  </r>
  <r>
    <x v="11"/>
    <x v="46"/>
    <s v="Bill"/>
    <s v="483292"/>
    <x v="293"/>
    <s v="TA- PERU -  GRANEL -  Aji Amarillo Balde 7.5Lbs"/>
    <n v="4"/>
    <n v="13.91"/>
    <n v="55.64"/>
    <n v="62459.659999999953"/>
  </r>
  <r>
    <x v="11"/>
    <x v="46"/>
    <s v="Bill"/>
    <s v="483292"/>
    <x v="378"/>
    <s v="TA- ECUADOR -  CAN PRODUCTS -   Lomitos de Atún en Aceite / Solid TUNA in Oil -  48 / 5oz - RE212"/>
    <n v="4"/>
    <n v="66.34"/>
    <n v="265.36"/>
    <n v="62725.019999999953"/>
  </r>
  <r>
    <x v="11"/>
    <x v="46"/>
    <s v="Bill"/>
    <s v="483292"/>
    <x v="379"/>
    <s v="TA- ECUADOR -  CAN PRODUCTS -  Sardinas en Salsa de tomate / Sardines en tomato sauce -  24 / 15oz - RE215"/>
    <n v="2"/>
    <n v="26.4"/>
    <n v="52.8"/>
    <n v="62777.819999999956"/>
  </r>
  <r>
    <x v="11"/>
    <x v="46"/>
    <s v="Bill"/>
    <s v="483292"/>
    <x v="416"/>
    <s v="Sardinas en Salsa de Tomate Tinapa / Sardines in Tomato Sauce"/>
    <n v="2"/>
    <n v="39.5"/>
    <n v="79"/>
    <n v="62856.819999999956"/>
  </r>
  <r>
    <x v="11"/>
    <x v="46"/>
    <s v="Bill"/>
    <s v="483292"/>
    <x v="417"/>
    <s v="Harina de Alverja / Pea Flour"/>
    <n v="3"/>
    <n v="22.24"/>
    <n v="66.72"/>
    <n v="62923.539999999957"/>
  </r>
  <r>
    <x v="11"/>
    <x v="46"/>
    <s v="Bill"/>
    <s v="483292"/>
    <x v="418"/>
    <s v="Harina de Machica / Roasted Barley Flour"/>
    <n v="1"/>
    <n v="22.24"/>
    <n v="22.24"/>
    <n v="62945.779999999955"/>
  </r>
  <r>
    <x v="11"/>
    <x v="46"/>
    <s v="Bill"/>
    <s v="483292"/>
    <x v="419"/>
    <s v="Canguil / Pop Corn"/>
    <n v="3"/>
    <n v="23.76"/>
    <n v="71.28"/>
    <n v="63017.059999999954"/>
  </r>
  <r>
    <x v="11"/>
    <x v="46"/>
    <s v="Bill"/>
    <s v="483292"/>
    <x v="420"/>
    <s v="Coco Milk Drink with Nata de Coco ORIGINAL"/>
    <n v="3"/>
    <n v="23.76"/>
    <n v="71.28"/>
    <n v="63088.339999999953"/>
  </r>
  <r>
    <x v="11"/>
    <x v="46"/>
    <s v="Bill"/>
    <s v="483292"/>
    <x v="421"/>
    <s v="Coco Milk Drink with Nata de Coco STRAWBERRY"/>
    <n v="3"/>
    <n v="23.76"/>
    <n v="71.28"/>
    <n v="63159.619999999952"/>
  </r>
  <r>
    <x v="11"/>
    <x v="46"/>
    <s v="Bill"/>
    <s v="483292"/>
    <x v="422"/>
    <s v="Coco Milk Drink with Nata de Coco MANGO"/>
    <n v="3"/>
    <n v="23.76"/>
    <n v="71.28"/>
    <n v="63230.899999999951"/>
  </r>
  <r>
    <x v="11"/>
    <x v="46"/>
    <s v="Bill"/>
    <s v="483292"/>
    <x v="423"/>
    <s v="Aji Amarillo con Huacatay / Yellow Hot Pepper With Black Min"/>
    <n v="2"/>
    <n v="30"/>
    <n v="60"/>
    <n v="63290.899999999951"/>
  </r>
  <r>
    <x v="11"/>
    <x v="46"/>
    <s v="Bill"/>
    <s v="483292"/>
    <x v="424"/>
    <s v="Aji Mirasol Seco / Dried Yellow Pepper"/>
    <n v="1"/>
    <n v="28.56"/>
    <n v="28.56"/>
    <n v="63319.459999999948"/>
  </r>
  <r>
    <x v="11"/>
    <x v="46"/>
    <s v="Bill"/>
    <s v="483292"/>
    <x v="425"/>
    <s v="Arroz de Cebada / Barley Corn"/>
    <n v="1"/>
    <n v="25.02"/>
    <n v="25.02"/>
    <n v="63344.479999999945"/>
  </r>
  <r>
    <x v="11"/>
    <x v="46"/>
    <s v="Bill"/>
    <s v="483292"/>
    <x v="426"/>
    <s v="Harina de Platano / Plantain Flour"/>
    <n v="3"/>
    <n v="22.24"/>
    <n v="66.72"/>
    <n v="63411.199999999946"/>
  </r>
  <r>
    <x v="11"/>
    <x v="46"/>
    <s v="Bill"/>
    <s v="483292"/>
    <x v="427"/>
    <s v="Habas Verdes / Fava Beans"/>
    <n v="2"/>
    <n v="55.8"/>
    <n v="111.6"/>
    <n v="63522.799999999945"/>
  </r>
  <r>
    <x v="11"/>
    <x v="46"/>
    <s v="Bill"/>
    <s v="483292"/>
    <x v="319"/>
    <s v="TRADICIONES ANDINAS- PERU -  FROZEN -  Choclo Entero / Corn on the Cob -  18/2"/>
    <n v="2"/>
    <n v="32.74"/>
    <n v="65.48"/>
    <n v="63588.279999999948"/>
  </r>
  <r>
    <x v="11"/>
    <x v="46"/>
    <s v="Bill"/>
    <s v="483292"/>
    <x v="323"/>
    <s v="TRADICIONES ANDINAS- PERU -  FROZEN -  Huacatay / Black Mint  -  24 / 12oz - P00117"/>
    <n v="3"/>
    <n v="46.22"/>
    <n v="138.66"/>
    <n v="63726.939999999951"/>
  </r>
  <r>
    <x v="11"/>
    <x v="46"/>
    <s v="Bill"/>
    <s v="483292"/>
    <x v="324"/>
    <s v="TRADICIONES ANDINAS- ECUADOR -  FROZEN -  Achocha / Caigua  -  12 / 16oz - RE102"/>
    <n v="2"/>
    <n v="29.4"/>
    <n v="58.8"/>
    <n v="63785.739999999954"/>
  </r>
  <r>
    <x v="11"/>
    <x v="46"/>
    <s v="Bill"/>
    <s v="483292"/>
    <x v="299"/>
    <s v="Aji Amarillo / Yellow Hot Pepper"/>
    <n v="40"/>
    <n v="38.520000000000003"/>
    <n v="1540.8"/>
    <n v="65326.539999999957"/>
  </r>
  <r>
    <x v="11"/>
    <x v="46"/>
    <s v="Bill"/>
    <s v="483292"/>
    <x v="321"/>
    <s v="TRADICIONES ANDINAS- PERU -  FROZEN -  Choclo en Grano / Corn in Grain   -  30 / 16oz - P00115"/>
    <n v="8"/>
    <n v="54.57"/>
    <n v="436.56"/>
    <n v="65763.099999999962"/>
  </r>
  <r>
    <x v="11"/>
    <x v="46"/>
    <s v="Bill"/>
    <s v="483292"/>
    <x v="303"/>
    <s v="TRADICIONES ANDINAS- PERU -  FROZEN -  Choclo Entero / Corn on the Cob -  10/4"/>
    <n v="8"/>
    <n v="37.450000000000003"/>
    <n v="299.60000000000002"/>
    <n v="66062.699999999968"/>
  </r>
  <r>
    <x v="11"/>
    <x v="46"/>
    <s v="Bill"/>
    <s v="483292"/>
    <x v="319"/>
    <s v="TRADICIONES ANDINAS- PERU -  FROZEN -  Choclo Entero / Corn on the Cob -  18/2"/>
    <n v="4"/>
    <n v="32.74"/>
    <n v="130.96"/>
    <n v="66193.659999999974"/>
  </r>
  <r>
    <x v="11"/>
    <x v="46"/>
    <s v="Bill"/>
    <s v="483292"/>
    <x v="323"/>
    <s v="TRADICIONES ANDINAS- PERU -  FROZEN -  Huacatay / Black Mint  -  24 / 12oz - P00117"/>
    <n v="4"/>
    <n v="46.22"/>
    <n v="184.88"/>
    <n v="66378.539999999979"/>
  </r>
  <r>
    <x v="11"/>
    <x v="46"/>
    <s v="Bill"/>
    <s v="483292"/>
    <x v="249"/>
    <s v="TA- COSTA RICA -  FROZEN -  Yuca Family Pack / Cassava Family Pack -  5lbs - CR101"/>
    <n v="12"/>
    <n v="36"/>
    <n v="432"/>
    <n v="66810.539999999979"/>
  </r>
  <r>
    <x v="11"/>
    <x v="46"/>
    <s v="Bill"/>
    <s v="483292"/>
    <x v="302"/>
    <s v="TRADICIONES ANDINAS- PERU -  FROZEN -  Pulpa De Lucuma / Lucuma  Pulp  -  20 / 12oz - P00223"/>
    <n v="5"/>
    <n v="45.8"/>
    <n v="229"/>
    <n v="67039.539999999979"/>
  </r>
  <r>
    <x v="11"/>
    <x v="47"/>
    <s v="Bill"/>
    <s v="485230"/>
    <x v="252"/>
    <s v="TRADICIONES ANDINAS - PERU -  VIDRIO -  Rocoto en Pasta /Red Hot Peppers Paste -  24 / 7.5oz - P00122"/>
    <n v="2"/>
    <n v="33.119999999999997"/>
    <n v="66.239999999999995"/>
    <n v="67105.779999999984"/>
  </r>
  <r>
    <x v="11"/>
    <x v="47"/>
    <s v="Bill"/>
    <s v="485230"/>
    <x v="325"/>
    <s v="T.A  Ajo pasta 7.5oz x 24 fraco vidrio P00123"/>
    <n v="1"/>
    <n v="40.82"/>
    <n v="40.82"/>
    <n v="67146.599999999991"/>
  </r>
  <r>
    <x v="11"/>
    <x v="47"/>
    <s v="Bill"/>
    <s v="485230"/>
    <x v="253"/>
    <s v="TRADICIONES ANDINAS - PERU -  VIDRIO -  Aji Mirasol Pasta / Mirasol Pepper Paste -  24 / 7.5oz - P0278"/>
    <n v="1"/>
    <n v="33.380000000000003"/>
    <n v="33.380000000000003"/>
    <n v="67179.98"/>
  </r>
  <r>
    <x v="11"/>
    <x v="47"/>
    <s v="Bill"/>
    <s v="485230"/>
    <x v="326"/>
    <s v="TRADICIONES ANDINAS - PERU -  VIDRIO -  Albahaca Pasta /Basil Paste -  24 / 7.5oz - P00181"/>
    <n v="3"/>
    <n v="32.1"/>
    <n v="96.3"/>
    <n v="67276.28"/>
  </r>
  <r>
    <x v="11"/>
    <x v="47"/>
    <s v="Bill"/>
    <s v="485230"/>
    <x v="326"/>
    <s v="TRADICIONES ANDINAS - PERU -  VIDRIO -  Albahaca Pasta /Basil Paste -  24 / 7.5oz - P00181"/>
    <n v="2"/>
    <n v="32.1"/>
    <n v="64.2"/>
    <n v="67340.479999999996"/>
  </r>
  <r>
    <x v="11"/>
    <x v="47"/>
    <s v="Bill"/>
    <s v="485230"/>
    <x v="399"/>
    <s v="Cilantro Pasta / Coriander Paste"/>
    <n v="1"/>
    <n v="32.1"/>
    <n v="32.1"/>
    <n v="67372.58"/>
  </r>
  <r>
    <x v="11"/>
    <x v="47"/>
    <s v="Bill"/>
    <s v="485230"/>
    <x v="254"/>
    <s v="T.A Aji Panca en Pasta &quot;Poco Picante&quot; 7.5oz x 24 fco de vidrio P0282"/>
    <n v="8"/>
    <n v="31.2"/>
    <n v="249.6"/>
    <n v="67622.180000000008"/>
  </r>
  <r>
    <x v="11"/>
    <x v="47"/>
    <s v="Bill"/>
    <s v="485230"/>
    <x v="423"/>
    <s v="Aji Amarillo con Huacatay / Yellow Hot Pepper With Black Min"/>
    <n v="2"/>
    <n v="30"/>
    <n v="60"/>
    <n v="67682.180000000008"/>
  </r>
  <r>
    <x v="11"/>
    <x v="47"/>
    <s v="Bill"/>
    <s v="485230"/>
    <x v="259"/>
    <s v="T.A Aji Panca Pasta /Panca Pepper Paste 15oz x 12"/>
    <n v="2"/>
    <n v="25.54"/>
    <n v="51.08"/>
    <n v="67733.260000000009"/>
  </r>
  <r>
    <x v="11"/>
    <x v="47"/>
    <s v="Bill"/>
    <s v="485230"/>
    <x v="260"/>
    <s v="Tradiciones Andinas Aji Amarillo Pasta 15oz X 12 fco de vidrio P00136"/>
    <n v="8"/>
    <n v="25.54"/>
    <n v="204.32"/>
    <n v="67937.580000000016"/>
  </r>
  <r>
    <x v="11"/>
    <x v="47"/>
    <s v="Bill"/>
    <s v="485230"/>
    <x v="261"/>
    <s v="Tradiciones Andinas Rocoto Pasta 15oz X 12 fco vidrio"/>
    <n v="1"/>
    <n v="29.4"/>
    <n v="29.4"/>
    <n v="67966.98000000001"/>
  </r>
  <r>
    <x v="11"/>
    <x v="47"/>
    <s v="Bill"/>
    <s v="485230"/>
    <x v="327"/>
    <s v="T.A. Ajo Pasta - Ajo en Pasta /Garlic Paste 15oz X 12 P00138"/>
    <n v="2"/>
    <n v="35.880000000000003"/>
    <n v="71.760000000000005"/>
    <n v="68038.740000000005"/>
  </r>
  <r>
    <x v="11"/>
    <x v="47"/>
    <s v="Bill"/>
    <s v="485230"/>
    <x v="328"/>
    <s v="TRADICIONES ANDINAS - PERU -  VIDRIO -  Salsa Parrillera /BBQ Seasoning -  12 / 15oz - P0277"/>
    <n v="2"/>
    <n v="28.89"/>
    <n v="57.78"/>
    <n v="68096.52"/>
  </r>
  <r>
    <x v="11"/>
    <x v="47"/>
    <s v="Bill"/>
    <s v="485230"/>
    <x v="263"/>
    <s v="TRADICIONES ANDINAS - PERU -  VIDRIO -  Aceituna Botija /Alfonso Olives -  12 / 20oz - P00140"/>
    <n v="8"/>
    <n v="39.68"/>
    <n v="317.44"/>
    <n v="68413.960000000006"/>
  </r>
  <r>
    <x v="11"/>
    <x v="47"/>
    <s v="Bill"/>
    <s v="485230"/>
    <x v="400"/>
    <s v="Rocoto en Lata /Red Hot Peppers Halves"/>
    <n v="1"/>
    <n v="51.1"/>
    <n v="51.1"/>
    <n v="68465.060000000012"/>
  </r>
  <r>
    <x v="11"/>
    <x v="47"/>
    <s v="Bill"/>
    <s v="485230"/>
    <x v="267"/>
    <s v="TRADICIONES ANDINAS - PERU -  BOLSA -  Papa Seca / Dried Potato -  18 / 15oz - P00161"/>
    <n v="2"/>
    <n v="30.24"/>
    <n v="60.48"/>
    <n v="68525.540000000008"/>
  </r>
  <r>
    <x v="11"/>
    <x v="47"/>
    <s v="Bill"/>
    <s v="485230"/>
    <x v="269"/>
    <s v="T.A Peeled Mote Corn / Mote Pelado 15oz x 24 bolsa"/>
    <n v="2"/>
    <n v="45.96"/>
    <n v="91.92"/>
    <n v="68617.460000000006"/>
  </r>
  <r>
    <x v="11"/>
    <x v="47"/>
    <s v="Bill"/>
    <s v="485230"/>
    <x v="275"/>
    <s v="TRADICIONES ANDINAS - PERU -  BOLSA -   Trigo Pelado/Peeled Wheat -  24 / 15oz -"/>
    <n v="1"/>
    <n v="32.1"/>
    <n v="32.1"/>
    <n v="68649.560000000012"/>
  </r>
  <r>
    <x v="11"/>
    <x v="47"/>
    <s v="Bill"/>
    <s v="485230"/>
    <x v="271"/>
    <s v="Maiz Chulpe /Chulpe Corn"/>
    <n v="5"/>
    <n v="40.56"/>
    <n v="202.8"/>
    <n v="68852.360000000015"/>
  </r>
  <r>
    <x v="11"/>
    <x v="47"/>
    <s v="Bill"/>
    <s v="485230"/>
    <x v="272"/>
    <s v="TRADICIONES ANDINAS - PERU -  BOLSA -  Quinua /Quinoa-  24 / 15oz - P00172"/>
    <n v="2"/>
    <n v="40.159999999999997"/>
    <n v="80.319999999999993"/>
    <n v="68932.680000000022"/>
  </r>
  <r>
    <x v="11"/>
    <x v="47"/>
    <s v="Bill"/>
    <s v="485230"/>
    <x v="332"/>
    <s v="TRADICIONES ANDINAS - PERU -  BOLSA -  Semola /Semolina -  24 / 15oz - P00173"/>
    <n v="4"/>
    <n v="30.82"/>
    <n v="123.28"/>
    <n v="69055.960000000021"/>
  </r>
  <r>
    <x v="11"/>
    <x v="47"/>
    <s v="Bill"/>
    <s v="485230"/>
    <x v="424"/>
    <s v="Aji Mirasol Seco / Dried Yellow Pepper"/>
    <n v="1"/>
    <n v="28.56"/>
    <n v="28.56"/>
    <n v="69084.520000000019"/>
  </r>
  <r>
    <x v="11"/>
    <x v="47"/>
    <s v="Bill"/>
    <s v="485230"/>
    <x v="428"/>
    <s v="Aji Panca Seco / Dried Panca Pepper"/>
    <n v="2"/>
    <n v="28.56"/>
    <n v="57.12"/>
    <n v="69141.640000000014"/>
  </r>
  <r>
    <x v="11"/>
    <x v="47"/>
    <s v="Bill"/>
    <s v="485230"/>
    <x v="306"/>
    <s v="TRADICIONES ANDINAS - PERU -  BOLSA -  Harina Chuño / Potato Starch Flour -  24 / 12oz - P00197"/>
    <n v="6"/>
    <n v="30.82"/>
    <n v="184.92"/>
    <n v="69326.560000000012"/>
  </r>
  <r>
    <x v="11"/>
    <x v="47"/>
    <s v="Bill"/>
    <s v="485230"/>
    <x v="277"/>
    <s v="Maiz Morado (Family Pack) /Purple Corn"/>
    <n v="4"/>
    <n v="23.96"/>
    <n v="95.84"/>
    <n v="69422.400000000009"/>
  </r>
  <r>
    <x v="11"/>
    <x v="47"/>
    <s v="Bill"/>
    <s v="485230"/>
    <x v="429"/>
    <s v="Chulpe Corn / Maiz Chulpe (Family Pack)"/>
    <n v="2"/>
    <n v="36"/>
    <n v="72"/>
    <n v="69494.400000000009"/>
  </r>
  <r>
    <x v="11"/>
    <x v="47"/>
    <s v="Bill"/>
    <s v="485230"/>
    <x v="282"/>
    <s v="TRADICIONES ANDINAS - PERU -  BOLSA -  Papa Seca Amarilla  / Yelow Dried Potato -  18 / 15oz - P00900"/>
    <n v="2"/>
    <n v="30.24"/>
    <n v="60.48"/>
    <n v="69554.880000000005"/>
  </r>
  <r>
    <x v="11"/>
    <x v="47"/>
    <s v="Bill"/>
    <s v="485230"/>
    <x v="307"/>
    <s v="TRADICIONES ANDINAS - PERU -  HEALTHY  PRODUCTS -  Quinoa Negra  / Black  Quinoa -  12 / 14oz - P00404"/>
    <n v="2"/>
    <n v="22.68"/>
    <n v="45.36"/>
    <n v="69600.240000000005"/>
  </r>
  <r>
    <x v="11"/>
    <x v="47"/>
    <s v="Bill"/>
    <s v="485230"/>
    <x v="335"/>
    <s v="TRADICIONES ANDINAS - PERU -  HEALTHY  PRODUCTS -  Harina Linaza /Flax seed Flour -  24 / 7.5oz - P00203"/>
    <n v="1"/>
    <n v="39.6"/>
    <n v="39.6"/>
    <n v="69639.840000000011"/>
  </r>
  <r>
    <x v="11"/>
    <x v="47"/>
    <s v="Bill"/>
    <s v="485230"/>
    <x v="393"/>
    <s v="TRADICIONES ANDINAS - PERU -  MISCELANEUS PRODUCTS -  Tradiciones Andinas - Algarrobina-  24 / 500gr - P00413"/>
    <n v="1"/>
    <n v="78.959999999999994"/>
    <n v="78.959999999999994"/>
    <n v="69718.800000000017"/>
  </r>
  <r>
    <x v="11"/>
    <x v="47"/>
    <s v="Bill"/>
    <s v="485230"/>
    <x v="9"/>
    <s v="TA- PERU -  CONDIMENT PRODUCTS -  AJI NO Siyau-  24 / 500 ml - 00999"/>
    <n v="2"/>
    <n v="28.8"/>
    <n v="57.6"/>
    <n v="69776.400000000023"/>
  </r>
  <r>
    <x v="11"/>
    <x v="47"/>
    <s v="Bill"/>
    <s v="485230"/>
    <x v="295"/>
    <s v="TRADICIONES ANDINAS - PERU -  CONDIMENT PRODUCTS -  Tradiciones Andinas - Chicha de Jora /Jora Seasoning -  12 / 1 lt - P00134"/>
    <n v="3"/>
    <n v="38.39"/>
    <n v="115.17"/>
    <n v="69891.570000000022"/>
  </r>
  <r>
    <x v="11"/>
    <x v="47"/>
    <s v="Bill"/>
    <s v="485230"/>
    <x v="412"/>
    <s v="Tradiciones Andinas - Comino Molido"/>
    <n v="3"/>
    <n v="12.6"/>
    <n v="37.799999999999997"/>
    <n v="69929.370000000024"/>
  </r>
  <r>
    <x v="11"/>
    <x v="47"/>
    <s v="Bill"/>
    <s v="485230"/>
    <x v="414"/>
    <s v="Tradiciones Andinas - Canela Molida / Ground Cinnamon"/>
    <n v="2"/>
    <n v="12.6"/>
    <n v="25.2"/>
    <n v="69954.570000000022"/>
  </r>
  <r>
    <x v="11"/>
    <x v="47"/>
    <s v="Bill"/>
    <s v="485230"/>
    <x v="342"/>
    <s v="TRADICIONES ANDINAS - PERU -  TIYAPUY - SNACKS -  Maiz Cancha Frito Salado / Native Corn Snack-  12 / 130g - CH166"/>
    <n v="2"/>
    <n v="13.2"/>
    <n v="26.4"/>
    <n v="69980.970000000016"/>
  </r>
  <r>
    <x v="11"/>
    <x v="47"/>
    <s v="Bill"/>
    <s v="485230"/>
    <x v="296"/>
    <s v="TRADICIONES ANDINAS - PERU -  TIYAPUY - SNACKS -  Habas Fritas Saladas/  Broad Beans Snacks-  12 / 130g - CH167"/>
    <n v="4"/>
    <n v="13.2"/>
    <n v="52.8"/>
    <n v="70033.770000000019"/>
  </r>
  <r>
    <x v="11"/>
    <x v="47"/>
    <s v="Bill"/>
    <s v="485230"/>
    <x v="343"/>
    <s v="TRADICIONES ANDINAS - PERU -  TIYAPUY - SNACKS -  Maiz Gigante Frito Salado/ Giant Corn Snacks-  12 / 130g - CH168"/>
    <n v="2"/>
    <n v="13.2"/>
    <n v="26.4"/>
    <n v="70060.170000000013"/>
  </r>
  <r>
    <x v="11"/>
    <x v="47"/>
    <s v="Bill"/>
    <s v="485230"/>
    <x v="402"/>
    <s v="Maiz gigante frito picante - Spicy and crunchy giant corn"/>
    <n v="5"/>
    <n v="13.2"/>
    <n v="66"/>
    <n v="70126.170000000013"/>
  </r>
  <r>
    <x v="11"/>
    <x v="47"/>
    <s v="Bill"/>
    <s v="485230"/>
    <x v="286"/>
    <s v="SIBARITA Vinagre Tinto - Red Vinegar 16.91oz  x 12 botella"/>
    <n v="8"/>
    <n v="9.07"/>
    <n v="72.56"/>
    <n v="70198.73000000001"/>
  </r>
  <r>
    <x v="11"/>
    <x v="47"/>
    <s v="Bill"/>
    <s v="485230"/>
    <x v="346"/>
    <s v="T.A SIBARITA - Panquita Doypack 12 x 19.4 oz"/>
    <n v="4"/>
    <n v="52.52"/>
    <n v="210.08"/>
    <n v="70408.810000000012"/>
  </r>
  <r>
    <x v="11"/>
    <x v="47"/>
    <s v="Bill"/>
    <s v="485230"/>
    <x v="287"/>
    <s v="TA - UNIVERSAL PRODUCTS- PERU -   -  Gelatina Fresa / Strawberry Gelatin -  12 / 150gr - U101"/>
    <n v="18"/>
    <n v="14"/>
    <n v="252"/>
    <n v="70660.810000000012"/>
  </r>
  <r>
    <x v="11"/>
    <x v="47"/>
    <s v="Bill"/>
    <s v="485230"/>
    <x v="288"/>
    <s v="TA - UNIVERSAL PRODUCTS- PERU -   -  Gelatina Naranja / Orange Gelatin -  12 / 150gr - U102"/>
    <n v="3"/>
    <n v="14"/>
    <n v="42"/>
    <n v="70702.810000000012"/>
  </r>
  <r>
    <x v="11"/>
    <x v="47"/>
    <s v="Bill"/>
    <s v="485230"/>
    <x v="406"/>
    <s v="TA - UNIVERSAL PRODUCTS- PERU -   -  Grape Gelatin / Gelatina Uva-  12 / 150gr - U105"/>
    <n v="3"/>
    <n v="14"/>
    <n v="42"/>
    <n v="70744.810000000012"/>
  </r>
  <r>
    <x v="11"/>
    <x v="47"/>
    <s v="Bill"/>
    <s v="485230"/>
    <x v="311"/>
    <s v="TA - UNIVERSAL PRODUCTS- PERU -   -  Chicha Morada / Purple drink instant beverage-  12 / 120gr - U110"/>
    <n v="3"/>
    <n v="12.84"/>
    <n v="38.520000000000003"/>
    <n v="70783.330000000016"/>
  </r>
  <r>
    <x v="11"/>
    <x v="47"/>
    <s v="Bill"/>
    <s v="485230"/>
    <x v="395"/>
    <s v="TA - UNIVERSAL PRODUCTS- PERU -   -  Gelatina sin Sabor (Colapiz)-  12 / 30gr - U113"/>
    <n v="3"/>
    <n v="14"/>
    <n v="42"/>
    <n v="70825.330000000016"/>
  </r>
  <r>
    <x v="11"/>
    <x v="47"/>
    <s v="Bill"/>
    <s v="485230"/>
    <x v="430"/>
    <s v="Chuño / Potato Starch"/>
    <n v="3"/>
    <n v="9"/>
    <n v="27"/>
    <n v="70852.330000000016"/>
  </r>
  <r>
    <x v="11"/>
    <x v="47"/>
    <s v="Bill"/>
    <s v="485230"/>
    <x v="23"/>
    <s v="T.A GOLOSINAS Y DULCES -   -  GALLETAS MARGARITA SAYON-  55gr BOLSA x 6 / 8"/>
    <n v="10"/>
    <n v="13.57"/>
    <n v="135.69999999999999"/>
    <n v="70988.030000000013"/>
  </r>
  <r>
    <x v="11"/>
    <x v="47"/>
    <s v="Bill"/>
    <s v="485230"/>
    <x v="20"/>
    <s v="TA- PERU -  GOLOSINAS - DULCES  -  Cua Cua 18g x 9 x 24 / CH105"/>
    <n v="2"/>
    <n v="51.1"/>
    <n v="102.2"/>
    <n v="71090.23000000001"/>
  </r>
  <r>
    <x v="11"/>
    <x v="47"/>
    <s v="Bill"/>
    <s v="485230"/>
    <x v="21"/>
    <s v="TA- PERU -  GOLOSINAS - DULCES  -  Doña Pepa 23g  6 x 36 / CH106"/>
    <n v="2"/>
    <n v="57.39"/>
    <n v="114.78"/>
    <n v="71205.010000000009"/>
  </r>
  <r>
    <x v="11"/>
    <x v="47"/>
    <s v="Bill"/>
    <s v="485230"/>
    <x v="144"/>
    <s v="TA- PERU -  GOLOSINAS - DULCES  -  VICTORIA - Chomp Naranja-  8 / 6x 42g - CH121"/>
    <n v="8"/>
    <n v="18.32"/>
    <n v="146.56"/>
    <n v="71351.570000000007"/>
  </r>
  <r>
    <x v="11"/>
    <x v="47"/>
    <s v="Bill"/>
    <s v="485230"/>
    <x v="314"/>
    <s v="TA- PERU -  GOLOSINAS - DULCES  -  VITAPLUSS - Maiz expandido con miel-  24 / 140g - CH139"/>
    <n v="5"/>
    <n v="26.4"/>
    <n v="132"/>
    <n v="71483.570000000007"/>
  </r>
  <r>
    <x v="11"/>
    <x v="47"/>
    <s v="Bill"/>
    <s v="485230"/>
    <x v="316"/>
    <s v="TA- PERU -  GOLOSINAS - DULCES  -  VITAPLUSS - Fideos con Miel-  20 / 120g - CH141"/>
    <n v="3"/>
    <n v="22"/>
    <n v="66"/>
    <n v="71549.570000000007"/>
  </r>
  <r>
    <x v="11"/>
    <x v="47"/>
    <s v="Bill"/>
    <s v="485230"/>
    <x v="365"/>
    <s v="TA- PERU -  GOLOSINAS - DULCES  -  Galletas Morochas-  22 / 12x30g - CH176"/>
    <n v="2"/>
    <n v="72.72"/>
    <n v="145.44"/>
    <n v="71695.010000000009"/>
  </r>
  <r>
    <x v="11"/>
    <x v="47"/>
    <s v="Bill"/>
    <s v="485230"/>
    <x v="292"/>
    <s v="Maiz Chulpe Saco 50lb"/>
    <n v="1"/>
    <n v="78"/>
    <n v="78"/>
    <n v="71773.010000000009"/>
  </r>
  <r>
    <x v="11"/>
    <x v="47"/>
    <s v="Bill"/>
    <s v="485230"/>
    <x v="366"/>
    <s v="TRADICIONES ANDINAS- CHILE -  ENLATADO TRADICIONES ANDINAS - Peach Halves in heavy Syrup / Durazno en Almibar -  12 / 29z (822g) - DUR01"/>
    <n v="1"/>
    <n v="27"/>
    <n v="27"/>
    <n v="71800.010000000009"/>
  </r>
  <r>
    <x v="11"/>
    <x v="47"/>
    <s v="Bill"/>
    <s v="485230"/>
    <x v="369"/>
    <s v="TA- ECUADOR -  VALLES ANDINOS -  -  Chochos en Salmuera-  12 / 15oz - VA124"/>
    <n v="2"/>
    <n v="42.24"/>
    <n v="84.48"/>
    <n v="71884.490000000005"/>
  </r>
  <r>
    <x v="11"/>
    <x v="47"/>
    <s v="Bill"/>
    <s v="485230"/>
    <x v="371"/>
    <s v="TA- ECUADOR -  VALLES ANDINOS -  -  Dulces de Higos-  12 / 20oz - VA142"/>
    <n v="1"/>
    <n v="49.95"/>
    <n v="49.95"/>
    <n v="71934.44"/>
  </r>
  <r>
    <x v="11"/>
    <x v="47"/>
    <s v="Bill"/>
    <s v="485230"/>
    <x v="425"/>
    <s v="Arroz de Cebada / Barley Corn"/>
    <n v="2"/>
    <n v="25.02"/>
    <n v="50.04"/>
    <n v="71984.479999999996"/>
  </r>
  <r>
    <x v="11"/>
    <x v="47"/>
    <s v="Bill"/>
    <s v="485230"/>
    <x v="419"/>
    <s v="Canguil / Pop Corn"/>
    <n v="2"/>
    <n v="23.76"/>
    <n v="47.52"/>
    <n v="72032"/>
  </r>
  <r>
    <x v="11"/>
    <x v="47"/>
    <s v="Bill"/>
    <s v="485230"/>
    <x v="427"/>
    <s v="TRADICIONES ANDINAS- PERU -  FROZEN -  Habas Verdes / Fava Beans  -  20 / 28oz - P00109"/>
    <n v="2"/>
    <n v="55.8"/>
    <n v="111.6"/>
    <n v="72143.600000000006"/>
  </r>
  <r>
    <x v="11"/>
    <x v="47"/>
    <s v="Bill"/>
    <s v="485230"/>
    <x v="319"/>
    <s v="TRADICIONES ANDINAS- PERU -  FROZEN -  Choclo Entero / Corn on the Cob -  18/2 - P00110"/>
    <n v="6"/>
    <n v="32.74"/>
    <n v="196.44"/>
    <n v="72340.040000000008"/>
  </r>
  <r>
    <x v="11"/>
    <x v="47"/>
    <s v="Bill"/>
    <s v="485230"/>
    <x v="431"/>
    <s v="Maiz Desgranado (INST) / Corn in Grain"/>
    <n v="1"/>
    <n v="58.5"/>
    <n v="58.5"/>
    <n v="72398.540000000008"/>
  </r>
  <r>
    <x v="11"/>
    <x v="47"/>
    <s v="Bill"/>
    <s v="485230"/>
    <x v="320"/>
    <s v="TRADICIONES ANDINAS- PERU -  FROZEN -  Papa Amarilla / Yellow Potato  -  20 / 16oz - P00113"/>
    <n v="2"/>
    <n v="49.8"/>
    <n v="99.6"/>
    <n v="72498.140000000014"/>
  </r>
  <r>
    <x v="11"/>
    <x v="47"/>
    <s v="Bill"/>
    <s v="485230"/>
    <x v="321"/>
    <s v="TRADICIONES ANDINAS- PERU -  FROZEN -  Choclo en Grano / Corn in Grain   -  30 / 16oz - P00115"/>
    <n v="6"/>
    <n v="54.57"/>
    <n v="327.42"/>
    <n v="72825.560000000012"/>
  </r>
  <r>
    <x v="11"/>
    <x v="47"/>
    <s v="Bill"/>
    <s v="485230"/>
    <x v="322"/>
    <s v="TRADICIONES ANDINAS- PERU -  FROZEN -  Olluco cortado / Sliced Ollucos  -  20 / 16oz - P00116"/>
    <n v="2"/>
    <n v="45"/>
    <n v="90"/>
    <n v="72915.560000000012"/>
  </r>
  <r>
    <x v="11"/>
    <x v="47"/>
    <s v="Bill"/>
    <s v="485230"/>
    <x v="305"/>
    <s v="TRADICIONES ANDINAS - FROZEN -  Pulpa de Maracuya / Passion Fruit pulp -  12 / 14oz - RE041"/>
    <n v="5"/>
    <n v="26.4"/>
    <n v="132"/>
    <n v="73047.560000000012"/>
  </r>
  <r>
    <x v="11"/>
    <x v="47"/>
    <s v="Bill"/>
    <s v="485230"/>
    <x v="432"/>
    <s v="Guinea pig - Cuy"/>
    <n v="16"/>
    <n v="18"/>
    <n v="288"/>
    <n v="73335.560000000012"/>
  </r>
  <r>
    <x v="11"/>
    <x v="47"/>
    <s v="Bill"/>
    <s v="485230"/>
    <x v="249"/>
    <s v="TA- COSTA RICA -  FROZEN -  Yuca Family Pack / Cassava Family Pack -  5lbs - CR101"/>
    <n v="20"/>
    <n v="36"/>
    <n v="720"/>
    <n v="74055.560000000012"/>
  </r>
  <r>
    <x v="11"/>
    <x v="47"/>
    <s v="Bill"/>
    <s v="485230"/>
    <x v="396"/>
    <s v="TA - VALLES ANDINOS-  -  BOLSA -  Lentejas-  24 / 14oz - VA137"/>
    <n v="5"/>
    <n v="19.2"/>
    <n v="96"/>
    <n v="74151.560000000012"/>
  </r>
  <r>
    <x v="11"/>
    <x v="47"/>
    <s v="Bill"/>
    <s v="485230"/>
    <x v="433"/>
    <s v="Pulpa de Maracuya con pepas / Passion fruit pulp with Seeds"/>
    <n v="6"/>
    <n v="26.84"/>
    <n v="161.04"/>
    <n v="74312.600000000006"/>
  </r>
  <r>
    <x v="11"/>
    <x v="48"/>
    <s v="Bill"/>
    <s v="487860"/>
    <x v="250"/>
    <s v="T.A Aji Panca Pasta 7.5oz x 24 fco de vidrio P00120"/>
    <n v="6"/>
    <n v="30.82"/>
    <n v="184.92"/>
    <n v="74497.52"/>
  </r>
  <r>
    <x v="11"/>
    <x v="48"/>
    <s v="Bill"/>
    <s v="487860"/>
    <x v="251"/>
    <s v="T.A Aji Amarillo Pasta 7.5oz x 24 fco de vidrio P00121"/>
    <n v="8"/>
    <n v="30.82"/>
    <n v="246.56"/>
    <n v="74744.08"/>
  </r>
  <r>
    <x v="11"/>
    <x v="48"/>
    <s v="Bill"/>
    <s v="487860"/>
    <x v="252"/>
    <s v="TRADICIONES ANDINAS - PERU -  VIDRIO -  Rocoto en Pasta /Red Hot Peppers Paste -  24 / 7.5oz - P00122"/>
    <n v="4"/>
    <n v="33.119999999999997"/>
    <n v="132.47999999999999"/>
    <n v="74876.56"/>
  </r>
  <r>
    <x v="11"/>
    <x v="48"/>
    <s v="Bill"/>
    <s v="487860"/>
    <x v="325"/>
    <s v="T.A  Ajo pasta 7.5oz x 24 fraco vidrio P00123"/>
    <n v="2"/>
    <n v="40.82"/>
    <n v="81.64"/>
    <n v="74958.2"/>
  </r>
  <r>
    <x v="11"/>
    <x v="48"/>
    <s v="Bill"/>
    <s v="487860"/>
    <x v="253"/>
    <s v="TRADICIONES ANDINAS - PERU -  VIDRIO -  Aji Mirasol Pasta / Mirasol Pepper Paste -  24 / 7.5oz - P0278"/>
    <n v="2"/>
    <n v="33.380000000000003"/>
    <n v="66.760000000000005"/>
    <n v="75024.959999999992"/>
  </r>
  <r>
    <x v="11"/>
    <x v="48"/>
    <s v="Bill"/>
    <s v="487860"/>
    <x v="434"/>
    <s v="TRADICIONES ANDINAS - PERU -  VIDRIO -  Huacatay Pasta / Black Mint Paste -  24 / 7.5oz - P00180"/>
    <n v="3"/>
    <n v="32.1"/>
    <n v="96.3"/>
    <n v="75121.259999999995"/>
  </r>
  <r>
    <x v="11"/>
    <x v="48"/>
    <s v="Bill"/>
    <s v="487860"/>
    <x v="399"/>
    <s v="Cilantro Pasta / Coriander Paste"/>
    <n v="4"/>
    <n v="32.1"/>
    <n v="128.4"/>
    <n v="75249.659999999989"/>
  </r>
  <r>
    <x v="11"/>
    <x v="48"/>
    <s v="Bill"/>
    <s v="487860"/>
    <x v="254"/>
    <s v="T.A Aji Panca en Pasta &quot;Poco Picante&quot; 7.5oz x 24 fco de vidrio P0282"/>
    <n v="6"/>
    <n v="31.2"/>
    <n v="187.2"/>
    <n v="75436.859999999986"/>
  </r>
  <r>
    <x v="11"/>
    <x v="48"/>
    <s v="Bill"/>
    <s v="487860"/>
    <x v="423"/>
    <s v="Aji Amarillo con Huacatay / Yellow Hot Pepper With Black Min"/>
    <n v="2"/>
    <n v="30"/>
    <n v="60"/>
    <n v="75496.859999999986"/>
  </r>
  <r>
    <x v="11"/>
    <x v="48"/>
    <s v="Bill"/>
    <s v="487860"/>
    <x v="259"/>
    <s v="T.A Aji Panca Pasta /Panca Pepper Paste 15oz x 12"/>
    <n v="6"/>
    <n v="25.54"/>
    <n v="153.24"/>
    <n v="75650.099999999991"/>
  </r>
  <r>
    <x v="11"/>
    <x v="48"/>
    <s v="Bill"/>
    <s v="487860"/>
    <x v="328"/>
    <s v="TRADICIONES ANDINAS - PERU -  VIDRIO -  Salsa Parrillera /BBQ Seasoning -  12 / 15oz - P0277"/>
    <n v="2"/>
    <n v="28.88"/>
    <n v="57.76"/>
    <n v="75707.859999999986"/>
  </r>
  <r>
    <x v="11"/>
    <x v="48"/>
    <s v="Bill"/>
    <s v="487860"/>
    <x v="329"/>
    <s v="TRADICIONES ANDINAS - PERU -  VIDRIO -  Salsa Pollo A La Brasa /Grill Chicken Seasoning -  12 / 15oz - P0285"/>
    <n v="1"/>
    <n v="28.88"/>
    <n v="28.88"/>
    <n v="75736.739999999991"/>
  </r>
  <r>
    <x v="11"/>
    <x v="48"/>
    <s v="Bill"/>
    <s v="487860"/>
    <x v="263"/>
    <s v="TRADICIONES ANDINAS - PERU -  VIDRIO -  Aceituna Botija /Alfonso Olives -  12 / 20oz - P00140"/>
    <n v="25"/>
    <n v="39.68"/>
    <n v="992"/>
    <n v="76728.739999999991"/>
  </r>
  <r>
    <x v="11"/>
    <x v="48"/>
    <s v="Bill"/>
    <s v="487860"/>
    <x v="264"/>
    <s v="TRADICIONES ANDINAS - PERU -  VIDRIO -  Aji Amarillo sin Picante / Yellow Pepper paste Non Spicy-  24 / 7.5z - P0288"/>
    <n v="3"/>
    <n v="38.159999999999997"/>
    <n v="114.48"/>
    <n v="76843.219999999987"/>
  </r>
  <r>
    <x v="11"/>
    <x v="48"/>
    <s v="Bill"/>
    <s v="487860"/>
    <x v="266"/>
    <s v="TRADICIONES ANDINAS - PERU -  BOLSA -  Maiz Morado /Purple Corn -  16 / 15oz - P00160"/>
    <n v="50"/>
    <n v="23.96"/>
    <n v="1198"/>
    <n v="78041.219999999987"/>
  </r>
  <r>
    <x v="11"/>
    <x v="48"/>
    <s v="Bill"/>
    <s v="487860"/>
    <x v="268"/>
    <s v="TRADICIONES ANDINAS - PERU -  BOLSA -  Cancha Corn / Maiz Cancha-  24 / 15oz - P00162"/>
    <n v="10"/>
    <n v="45.96"/>
    <n v="459.6"/>
    <n v="78500.819999999992"/>
  </r>
  <r>
    <x v="11"/>
    <x v="48"/>
    <s v="Bill"/>
    <s v="487860"/>
    <x v="275"/>
    <s v="TRADICIONES ANDINAS - PERU -  BOLSA -   Trigo Pelado/Peeled Wheat -  24 / 15oz -"/>
    <n v="4"/>
    <n v="32.1"/>
    <n v="128.4"/>
    <n v="78629.219999999987"/>
  </r>
  <r>
    <x v="11"/>
    <x v="48"/>
    <s v="Bill"/>
    <s v="487860"/>
    <x v="271"/>
    <s v="Maiz Chulpe /Chulpe Corn"/>
    <n v="3"/>
    <n v="40.56"/>
    <n v="121.68"/>
    <n v="78750.89999999998"/>
  </r>
  <r>
    <x v="11"/>
    <x v="48"/>
    <s v="Bill"/>
    <s v="487860"/>
    <x v="272"/>
    <s v="TRADICIONES ANDINAS - PERU -  BOLSA -  Quinua /Quinoa-  24 / 15oz - P00172"/>
    <n v="2"/>
    <n v="40.159999999999997"/>
    <n v="80.319999999999993"/>
    <n v="78831.219999999987"/>
  </r>
  <r>
    <x v="11"/>
    <x v="48"/>
    <s v="Bill"/>
    <s v="487860"/>
    <x v="273"/>
    <s v="TRADICIONES ANDINAS - PERU -  BOLSA -  Cebada Tostada /Toasted Barley -  18 / 15oz - P00174"/>
    <n v="5"/>
    <n v="21.18"/>
    <n v="105.9"/>
    <n v="78937.119999999981"/>
  </r>
  <r>
    <x v="11"/>
    <x v="48"/>
    <s v="Bill"/>
    <s v="487860"/>
    <x v="435"/>
    <s v="Arroz de Cebada/ Barley Rice"/>
    <n v="2"/>
    <n v="31.2"/>
    <n v="62.4"/>
    <n v="78999.519999999975"/>
  </r>
  <r>
    <x v="11"/>
    <x v="48"/>
    <s v="Bill"/>
    <s v="487860"/>
    <x v="274"/>
    <s v="TRADICIONES ANDINAS - PERU -  BOLSA -  Chuño Entero Blanco / White Potato Starch -  18 / 15oz - P00179"/>
    <n v="6"/>
    <n v="51.8"/>
    <n v="310.8"/>
    <n v="79310.319999999978"/>
  </r>
  <r>
    <x v="11"/>
    <x v="48"/>
    <s v="Bill"/>
    <s v="487860"/>
    <x v="306"/>
    <s v="TRADICIONES ANDINAS - PERU -  BOLSA -  Harina Chuño / Potato Starch Flour -  24 / 12oz - P00197"/>
    <n v="8"/>
    <n v="30.82"/>
    <n v="246.56"/>
    <n v="79556.879999999976"/>
  </r>
  <r>
    <x v="11"/>
    <x v="48"/>
    <s v="Bill"/>
    <s v="487860"/>
    <x v="276"/>
    <s v="TRADICIONES ANDINAS - PERU -  BOLSA -  Emoliente / Emolient -  20 / 3.5oz - P00158"/>
    <n v="3"/>
    <n v="21.18"/>
    <n v="63.54"/>
    <n v="79620.419999999969"/>
  </r>
  <r>
    <x v="11"/>
    <x v="48"/>
    <s v="Bill"/>
    <s v="487860"/>
    <x v="282"/>
    <s v="TRADICIONES ANDINAS - PERU -  BOLSA -  Papa Seca Amarilla  / Yelow Dried Potato -  18 / 15oz - P00900"/>
    <n v="2"/>
    <n v="30.24"/>
    <n v="60.48"/>
    <n v="79680.899999999965"/>
  </r>
  <r>
    <x v="11"/>
    <x v="48"/>
    <s v="Bill"/>
    <s v="487860"/>
    <x v="333"/>
    <s v="TRADICIONES ANDINAS - PERU -  HEALTHY  PRODUCTS -  Chia /Chia Seeds -  16 / 12oz - P00400"/>
    <n v="1"/>
    <n v="30.64"/>
    <n v="30.64"/>
    <n v="79711.539999999964"/>
  </r>
  <r>
    <x v="11"/>
    <x v="48"/>
    <s v="Bill"/>
    <s v="487860"/>
    <x v="334"/>
    <s v="TRADICIONES ANDINAS - PERU -  HEALTHY  PRODUCTS -  Harina de Quinua /Quinua Flour (Instant) -  12 / 12oz - P00402"/>
    <n v="1"/>
    <n v="30.64"/>
    <n v="30.64"/>
    <n v="79742.179999999964"/>
  </r>
  <r>
    <x v="11"/>
    <x v="48"/>
    <s v="Bill"/>
    <s v="487860"/>
    <x v="393"/>
    <s v="TRADICIONES ANDINAS - PERU -  MISCELANEUS PRODUCTS -  Tradiciones Andinas - Algarrobina-  24 / 500gr - P00413"/>
    <n v="1"/>
    <n v="78.959999999999994"/>
    <n v="78.959999999999994"/>
    <n v="79821.13999999997"/>
  </r>
  <r>
    <x v="11"/>
    <x v="48"/>
    <s v="Bill"/>
    <s v="487860"/>
    <x v="156"/>
    <s v="Kikko Siyau 500ml x 30 /  00998"/>
    <n v="18"/>
    <n v="31.8"/>
    <n v="572.4"/>
    <n v="80393.539999999964"/>
  </r>
  <r>
    <x v="11"/>
    <x v="48"/>
    <s v="Bill"/>
    <s v="487860"/>
    <x v="10"/>
    <s v="TA- PERU -  CONDIMENT PRODUCTS -  MSG -AJINOMOTO-  60 / 250gr - 00995"/>
    <n v="3"/>
    <n v="73.8"/>
    <n v="221.4"/>
    <n v="80614.939999999959"/>
  </r>
  <r>
    <x v="11"/>
    <x v="48"/>
    <s v="Bill"/>
    <s v="487860"/>
    <x v="13"/>
    <s v="AjiNomoto Bolsa 1Kg x 18 / 7754487118804 / 00803 / AB-11"/>
    <n v="1"/>
    <n v="85"/>
    <n v="85"/>
    <n v="80699.939999999959"/>
  </r>
  <r>
    <x v="11"/>
    <x v="48"/>
    <s v="Bill"/>
    <s v="487860"/>
    <x v="340"/>
    <s v="T.A AjiNomoto Bolsa 500g x 30 / 00804"/>
    <n v="3"/>
    <n v="75.97"/>
    <n v="227.91"/>
    <n v="80927.849999999962"/>
  </r>
  <r>
    <x v="11"/>
    <x v="48"/>
    <s v="Bill"/>
    <s v="487860"/>
    <x v="9"/>
    <s v="TA- PERU -  CONDIMENT PRODUCTS -  AJI NO Siyau-  24 / 500 ml - 00999"/>
    <n v="5"/>
    <n v="28.8"/>
    <n v="144"/>
    <n v="81071.849999999962"/>
  </r>
  <r>
    <x v="11"/>
    <x v="48"/>
    <s v="Bill"/>
    <s v="487860"/>
    <x v="295"/>
    <s v="TRADICIONES ANDINAS - PERU -  CONDIMENT PRODUCTS -  Tradiciones Andinas - Chicha de Jora /Jora Seasoning -  12 / 1 lt - P00134"/>
    <n v="3"/>
    <n v="38.380000000000003"/>
    <n v="115.14"/>
    <n v="81186.989999999962"/>
  </r>
  <r>
    <x v="11"/>
    <x v="48"/>
    <s v="Bill"/>
    <s v="487860"/>
    <x v="394"/>
    <s v="TRADICIONES ANDINAS - PERU -  CONDIMENT PRODUCTS -  Tradiciones Andinas - Palillo /Curcuma -  12 / 1.76oz - P101"/>
    <n v="10"/>
    <n v="12.6"/>
    <n v="126"/>
    <n v="81312.989999999962"/>
  </r>
  <r>
    <x v="11"/>
    <x v="48"/>
    <s v="Bill"/>
    <s v="487860"/>
    <x v="412"/>
    <s v="Tradiciones Andinas - Comino Molido"/>
    <n v="6"/>
    <n v="12.6"/>
    <n v="75.599999999999994"/>
    <n v="81388.589999999967"/>
  </r>
  <r>
    <x v="11"/>
    <x v="48"/>
    <s v="Bill"/>
    <s v="487860"/>
    <x v="401"/>
    <s v="Tradiciones Andinas -  Pimienta Negra /Black Pepper"/>
    <n v="8"/>
    <n v="16.68"/>
    <n v="133.44"/>
    <n v="81522.02999999997"/>
  </r>
  <r>
    <x v="11"/>
    <x v="48"/>
    <s v="Bill"/>
    <s v="487860"/>
    <x v="413"/>
    <s v="Tradiciones Andinas -Pimenton / Paprika"/>
    <n v="6"/>
    <n v="12.6"/>
    <n v="75.599999999999994"/>
    <n v="81597.629999999976"/>
  </r>
  <r>
    <x v="11"/>
    <x v="48"/>
    <s v="Bill"/>
    <s v="487860"/>
    <x v="414"/>
    <s v="Tradiciones Andinas - Canela Molida / Ground Cinnamon"/>
    <n v="2"/>
    <n v="12.6"/>
    <n v="25.2"/>
    <n v="81622.829999999973"/>
  </r>
  <r>
    <x v="11"/>
    <x v="48"/>
    <s v="Bill"/>
    <s v="487860"/>
    <x v="415"/>
    <s v="Tradiciones Andinas - Ajonjoli / Sesame Seeds"/>
    <n v="2"/>
    <n v="12.6"/>
    <n v="25.2"/>
    <n v="81648.02999999997"/>
  </r>
  <r>
    <x v="11"/>
    <x v="48"/>
    <s v="Bill"/>
    <s v="487860"/>
    <x v="436"/>
    <s v="TRADICIONES ANDINAS - PERU -  CONDIMENT PRODUCTS -  Tradiciones Andinas - Orégano Entero / Whole Oregano-  12 / 1.41oz - P112"/>
    <n v="12"/>
    <n v="18.600000000000001"/>
    <n v="223.2"/>
    <n v="81871.229999999967"/>
  </r>
  <r>
    <x v="11"/>
    <x v="48"/>
    <s v="Bill"/>
    <s v="487860"/>
    <x v="296"/>
    <s v="TRADICIONES ANDINAS - PERU -  TIYAPUY - SNACKS -  Habas Fritas Saladas/  Broad Beans Snacks-  12 / 130g - CH167"/>
    <n v="10"/>
    <n v="13.2"/>
    <n v="132"/>
    <n v="82003.229999999967"/>
  </r>
  <r>
    <x v="11"/>
    <x v="48"/>
    <s v="Bill"/>
    <s v="487860"/>
    <x v="309"/>
    <s v="TRADICIONES ANDINAS - PERU -  TIYAPUY - SNACKS -  Mix Andino Snack / Andean Mix Snack-  12 / 130g - CH169"/>
    <n v="5"/>
    <n v="13.2"/>
    <n v="66"/>
    <n v="82069.229999999967"/>
  </r>
  <r>
    <x v="11"/>
    <x v="48"/>
    <s v="Bill"/>
    <s v="487860"/>
    <x v="347"/>
    <s v="TA- PERU -  SIBARITA PRODUCTS -  SIBARITA - Amarillin Doypack-  12 / 19.4oz - I322 - SI322"/>
    <n v="18"/>
    <n v="52.52"/>
    <n v="945.36"/>
    <n v="83014.589999999967"/>
  </r>
  <r>
    <x v="11"/>
    <x v="48"/>
    <s v="Bill"/>
    <s v="487860"/>
    <x v="387"/>
    <s v="TA- PERU -  INFUSIONES -  TRADICIONES ANDINAS - Manzanilla - Chamomille Tea-  30 / 20x24g - TE01"/>
    <n v="3"/>
    <n v="27.29"/>
    <n v="81.87"/>
    <n v="83096.459999999963"/>
  </r>
  <r>
    <x v="11"/>
    <x v="48"/>
    <s v="Bill"/>
    <s v="487860"/>
    <x v="349"/>
    <s v="TA- PERU -  INFUSIONES -  TRADICIONES ANDINAS - Te con canela y clavo - Cinnamon and Clove-  30 / 20x24g - TE02"/>
    <n v="2"/>
    <n v="27.29"/>
    <n v="54.58"/>
    <n v="83151.039999999964"/>
  </r>
  <r>
    <x v="11"/>
    <x v="48"/>
    <s v="Bill"/>
    <s v="487860"/>
    <x v="350"/>
    <s v="TA- PERU -  INFUSIONES -  TRADICIONES ANDINAS - Anis-  30 / 20x24g - TE03"/>
    <n v="4"/>
    <n v="27.29"/>
    <n v="109.16"/>
    <n v="83260.199999999968"/>
  </r>
  <r>
    <x v="11"/>
    <x v="48"/>
    <s v="Bill"/>
    <s v="487860"/>
    <x v="351"/>
    <s v="TA- PERU -  INFUSIONES -  TRADICIONES ANDINAS - Hierbaluisa - Lemon Grass Tea-  30 / 20x24g - TE04"/>
    <n v="3"/>
    <n v="27.29"/>
    <n v="81.87"/>
    <n v="83342.069999999963"/>
  </r>
  <r>
    <x v="11"/>
    <x v="48"/>
    <s v="Bill"/>
    <s v="487860"/>
    <x v="404"/>
    <s v="TA- PERU -  INFUSIONES -  DEL VALLE - Boldo-  32 / 25x25g - Dvalle05"/>
    <n v="4"/>
    <n v="39.46"/>
    <n v="157.84"/>
    <n v="83499.90999999996"/>
  </r>
  <r>
    <x v="11"/>
    <x v="48"/>
    <s v="Bill"/>
    <s v="487860"/>
    <x v="352"/>
    <s v="TA- PERU -  INFUSIONES -  DEL VALLE - Una de Gato-  32 / 25x25g - Dvalle08"/>
    <n v="4"/>
    <n v="39.46"/>
    <n v="157.84"/>
    <n v="83657.749999999956"/>
  </r>
  <r>
    <x v="11"/>
    <x v="48"/>
    <s v="Bill"/>
    <s v="487860"/>
    <x v="353"/>
    <s v="TA- PERU -  INFUSIONES -  DEL VALLE - Chancapiedra-  32 / 25x25g - Dvalle09"/>
    <n v="4"/>
    <n v="39.46"/>
    <n v="157.84"/>
    <n v="83815.589999999953"/>
  </r>
  <r>
    <x v="11"/>
    <x v="48"/>
    <s v="Bill"/>
    <s v="487860"/>
    <x v="356"/>
    <s v="TA - UNIVERSAL PRODUCTS- PERU -   -  Mazamorra Morada /Purple Pudin-  12 / 150gr - U108"/>
    <n v="9"/>
    <n v="14"/>
    <n v="126"/>
    <n v="83941.589999999953"/>
  </r>
  <r>
    <x v="11"/>
    <x v="48"/>
    <s v="Bill"/>
    <s v="487860"/>
    <x v="310"/>
    <s v="TA - UNIVERSAL PRODUCTS- PERU -   -  Esencia de Vainilla / Vanilla Scent-  24 / 100ml - U109"/>
    <n v="8"/>
    <n v="22.86"/>
    <n v="182.88"/>
    <n v="84124.469999999958"/>
  </r>
  <r>
    <x v="11"/>
    <x v="48"/>
    <s v="Bill"/>
    <s v="487860"/>
    <x v="23"/>
    <s v="T.A GOLOSINAS Y DULCES -   -  GALLETAS MARGARITA SAYON-  55gr BOLSA x 6 / 8"/>
    <n v="3"/>
    <n v="13.57"/>
    <n v="40.71"/>
    <n v="84165.179999999964"/>
  </r>
  <r>
    <x v="11"/>
    <x v="48"/>
    <s v="Bill"/>
    <s v="487860"/>
    <x v="20"/>
    <s v="TA- PERU -  GOLOSINAS - DULCES  -  Cua Cua 18g x 9 x 24 / CH105"/>
    <n v="3"/>
    <n v="51.1"/>
    <n v="153.30000000000001"/>
    <n v="84318.479999999967"/>
  </r>
  <r>
    <x v="11"/>
    <x v="48"/>
    <s v="Bill"/>
    <s v="487860"/>
    <x v="21"/>
    <s v="TA- PERU -  GOLOSINAS - DULCES  -  Doña Pepa 23g  6 x 36 / CH106"/>
    <n v="3"/>
    <n v="57.39"/>
    <n v="172.17"/>
    <n v="84490.649999999965"/>
  </r>
  <r>
    <x v="11"/>
    <x v="48"/>
    <s v="Bill"/>
    <s v="487860"/>
    <x v="28"/>
    <s v="TA- PERU -  GOLOSINAS - DULCES  -  FIELD - Chocosoda Galletas-  32 / 6x8.25oz - CH122"/>
    <n v="1"/>
    <n v="66.88"/>
    <n v="66.88"/>
    <n v="84557.52999999997"/>
  </r>
  <r>
    <x v="11"/>
    <x v="48"/>
    <s v="Bill"/>
    <s v="487860"/>
    <x v="380"/>
    <s v="TA- PERU -  GOLOSINAS - DULCES  -  Maiz Atomico con Maca-  20 / 4.41z (125g) - CH137"/>
    <n v="3"/>
    <n v="21.4"/>
    <n v="64.2"/>
    <n v="84621.729999999967"/>
  </r>
  <r>
    <x v="11"/>
    <x v="48"/>
    <s v="Bill"/>
    <s v="487860"/>
    <x v="315"/>
    <s v="TA- PERU -  GOLOSINAS - DULCES  -  VITAPLUSS - Trigo Expandido con Miel-  24 / 140g - CH140"/>
    <n v="5"/>
    <n v="25.68"/>
    <n v="128.4"/>
    <n v="84750.129999999961"/>
  </r>
  <r>
    <x v="11"/>
    <x v="48"/>
    <s v="Bill"/>
    <s v="487860"/>
    <x v="316"/>
    <s v="TA- PERU -  GOLOSINAS - DULCES  -  VITAPLUSS - Fideos con Miel-  20 / 120g - CH141"/>
    <n v="6"/>
    <n v="22"/>
    <n v="132"/>
    <n v="84882.129999999961"/>
  </r>
  <r>
    <x v="11"/>
    <x v="48"/>
    <s v="Bill"/>
    <s v="487860"/>
    <x v="289"/>
    <s v="TA- PERU -  GRANEL -  Maiz Cancha-  50 / lbs - 00208"/>
    <n v="5"/>
    <n v="64.2"/>
    <n v="321"/>
    <n v="85203.129999999961"/>
  </r>
  <r>
    <x v="11"/>
    <x v="48"/>
    <s v="Bill"/>
    <s v="487860"/>
    <x v="366"/>
    <s v="TRADICIONES ANDINAS- CHILE -  ENLATADO TRADICIONES ANDINAS - Peach Halves in heavy Syrup / Durazno en Almibar -  12 / 29z (822g) - DUR01"/>
    <n v="3"/>
    <n v="27"/>
    <n v="81"/>
    <n v="85284.129999999961"/>
  </r>
  <r>
    <x v="11"/>
    <x v="48"/>
    <s v="Bill"/>
    <s v="487860"/>
    <x v="437"/>
    <s v="TA- COLOMBIA -  GROCERY  PRODUCTS -  Panela Redonda-  24 / 16oz - C00214"/>
    <n v="3"/>
    <n v="28"/>
    <n v="84"/>
    <n v="85368.129999999961"/>
  </r>
  <r>
    <x v="11"/>
    <x v="48"/>
    <s v="Bill"/>
    <s v="487860"/>
    <x v="369"/>
    <s v="TA- ECUADOR -  VALLES ANDINOS -  -  Chochos en Salmuera-  12 / 15oz - VA124"/>
    <n v="2"/>
    <n v="42.24"/>
    <n v="84.48"/>
    <n v="85452.609999999957"/>
  </r>
  <r>
    <x v="11"/>
    <x v="48"/>
    <s v="Bill"/>
    <s v="487860"/>
    <x v="371"/>
    <s v="TA- ECUADOR -  VALLES ANDINOS -  -  Dulces de Higos-  12 / 20oz - VA142"/>
    <n v="1"/>
    <n v="49.95"/>
    <n v="49.95"/>
    <n v="85502.559999999954"/>
  </r>
  <r>
    <x v="11"/>
    <x v="48"/>
    <s v="Bill"/>
    <s v="487860"/>
    <x v="374"/>
    <s v="TA- ECUADOR -  VALLES ANDINOS -  -  Ajo en Pasta /Garlic Paste -  15 / 16.58oz - VA145"/>
    <n v="3"/>
    <n v="32.15"/>
    <n v="96.45"/>
    <n v="85599.009999999951"/>
  </r>
  <r>
    <x v="11"/>
    <x v="48"/>
    <s v="Bill"/>
    <s v="487860"/>
    <x v="375"/>
    <s v="TA- ECUADOR -  VALLES ANDINOS -  -  Aliño - Ecuatorian Seasoning-  15 / 17.64oz - VA146"/>
    <n v="3"/>
    <n v="32.15"/>
    <n v="96.45"/>
    <n v="85695.459999999948"/>
  </r>
  <r>
    <x v="11"/>
    <x v="48"/>
    <s v="Bill"/>
    <s v="487860"/>
    <x v="376"/>
    <s v="TA- ECUADOR -  VALLES ANDINOS -  -  Sazon Completo - Complete Seasoning-  15 / 17.64oz - VA147"/>
    <n v="3"/>
    <n v="32.15"/>
    <n v="96.45"/>
    <n v="85791.909999999945"/>
  </r>
  <r>
    <x v="11"/>
    <x v="48"/>
    <s v="Bill"/>
    <s v="487860"/>
    <x v="294"/>
    <s v="TA- ECUADOR -  VALLES ANDINOS -  -  Aceite Vegetal con Achiote-  15 / 14.88 floz - VA149"/>
    <n v="3"/>
    <n v="37.450000000000003"/>
    <n v="112.35"/>
    <n v="85904.259999999951"/>
  </r>
  <r>
    <x v="11"/>
    <x v="48"/>
    <s v="Bill"/>
    <s v="487860"/>
    <x v="417"/>
    <s v="Harina de Alverja / Pea Flour"/>
    <n v="5"/>
    <n v="22.24"/>
    <n v="111.2"/>
    <n v="86015.459999999948"/>
  </r>
  <r>
    <x v="11"/>
    <x v="48"/>
    <s v="Bill"/>
    <s v="487860"/>
    <x v="425"/>
    <s v="Arroz de Cebada / Barley Corn"/>
    <n v="2"/>
    <n v="25.02"/>
    <n v="50.04"/>
    <n v="86065.499999999942"/>
  </r>
  <r>
    <x v="11"/>
    <x v="48"/>
    <s v="Bill"/>
    <s v="487860"/>
    <x v="408"/>
    <s v="TA - VALLES ANDINOS-  -  BOLSA -  Harina de Habas / Faba Beans Flour -  18 / 14oz - VA114"/>
    <n v="2"/>
    <n v="22.24"/>
    <n v="44.48"/>
    <n v="86109.979999999938"/>
  </r>
  <r>
    <x v="11"/>
    <x v="48"/>
    <s v="Bill"/>
    <s v="487860"/>
    <x v="438"/>
    <s v="Soy Beans / Soy Beans"/>
    <n v="2"/>
    <n v="30.42"/>
    <n v="60.84"/>
    <n v="86170.819999999934"/>
  </r>
  <r>
    <x v="11"/>
    <x v="48"/>
    <s v="Bill"/>
    <s v="487860"/>
    <x v="410"/>
    <s v="TA - VALLES ANDINOS-  -  BOLSA -  Harina de Maiz / Corn Flour  -  16 / 14oz - VA130"/>
    <n v="3"/>
    <n v="22.24"/>
    <n v="66.72"/>
    <n v="86237.539999999935"/>
  </r>
  <r>
    <x v="11"/>
    <x v="48"/>
    <s v="Bill"/>
    <s v="487860"/>
    <x v="439"/>
    <s v="TA - VALLES ANDINOS-  -  BOLSA -  Morocho Partido / Granulated White Corn -  24 / 14oz - VA136"/>
    <n v="3"/>
    <n v="23.76"/>
    <n v="71.28"/>
    <n v="86308.819999999934"/>
  </r>
  <r>
    <x v="11"/>
    <x v="48"/>
    <s v="Bill"/>
    <s v="487860"/>
    <x v="298"/>
    <s v="TRADICIONES ANDINAS- PERU -  FROZEN -  Rocoto Entero / Red Hot Pepper  -  20 / 16oz - P00112"/>
    <n v="10"/>
    <n v="53.5"/>
    <n v="535"/>
    <n v="86843.819999999934"/>
  </r>
  <r>
    <x v="11"/>
    <x v="48"/>
    <s v="Bill"/>
    <s v="487860"/>
    <x v="320"/>
    <s v="TRADICIONES ANDINAS- PERU -  FROZEN -  Papa Amarilla / Yellow Potato  -  20 / 16oz - P00113"/>
    <n v="2"/>
    <n v="49.8"/>
    <n v="99.6"/>
    <n v="86943.41999999994"/>
  </r>
  <r>
    <x v="11"/>
    <x v="48"/>
    <s v="Bill"/>
    <s v="487860"/>
    <x v="299"/>
    <s v="Aji Amarillo / Yellow Hot Pepper"/>
    <n v="40"/>
    <n v="36"/>
    <n v="1440"/>
    <n v="88383.41999999994"/>
  </r>
  <r>
    <x v="11"/>
    <x v="48"/>
    <s v="Bill"/>
    <s v="487860"/>
    <x v="321"/>
    <s v="TRADICIONES ANDINAS- PERU -  FROZEN -  Choclo en Grano / Corn in Grain   -  30 / 16oz - P00115"/>
    <n v="2"/>
    <n v="54.57"/>
    <n v="109.14"/>
    <n v="88492.559999999939"/>
  </r>
  <r>
    <x v="11"/>
    <x v="48"/>
    <s v="Bill"/>
    <s v="487860"/>
    <x v="322"/>
    <s v="TRADICIONES ANDINAS- PERU -  FROZEN -  Olluco cortado / Sliced Ollucos  -  20 / 16oz - P00116"/>
    <n v="2"/>
    <n v="45"/>
    <n v="90"/>
    <n v="88582.559999999939"/>
  </r>
  <r>
    <x v="11"/>
    <x v="48"/>
    <s v="Bill"/>
    <s v="487860"/>
    <x v="300"/>
    <s v="TRADICIONES ANDINAS- PERU -  FROZEN -  Aji Limo / Limo Pepper-  18 / 16oz - P00119"/>
    <n v="8"/>
    <n v="34.659999999999997"/>
    <n v="277.27999999999997"/>
    <n v="88859.839999999938"/>
  </r>
  <r>
    <x v="11"/>
    <x v="48"/>
    <s v="Bill"/>
    <s v="487860"/>
    <x v="301"/>
    <s v="T.A Choclo desgranado / Corn in Grain FROZEN  4Lb x 10 P00199A"/>
    <n v="6"/>
    <n v="64.2"/>
    <n v="385.2"/>
    <n v="89245.039999999935"/>
  </r>
  <r>
    <x v="11"/>
    <x v="48"/>
    <s v="Bill"/>
    <s v="487860"/>
    <x v="303"/>
    <s v="TRADICIONES ANDINAS- PERU -  FROZEN -  Choclo Entero / Corn on the Cob -  10/4 - P00225"/>
    <n v="3"/>
    <n v="37.450000000000003"/>
    <n v="112.35"/>
    <n v="89357.389999999941"/>
  </r>
  <r>
    <x v="11"/>
    <x v="48"/>
    <s v="Bill"/>
    <s v="487860"/>
    <x v="433"/>
    <s v="TRADICIONES ANDINAS- PERU -  FROZEN -  Pulpa de Maracuya con pepas / Passion fruit pulp with Seeds-  12 / 14 oz - P00235"/>
    <n v="10"/>
    <n v="26.84"/>
    <n v="268.39999999999998"/>
    <n v="89625.789999999935"/>
  </r>
  <r>
    <x v="11"/>
    <x v="48"/>
    <s v="Bill"/>
    <s v="487860"/>
    <x v="388"/>
    <s v="Pulpa de Guanabana / Soursop Pulpa"/>
    <n v="2"/>
    <n v="28.68"/>
    <n v="57.36"/>
    <n v="89683.149999999936"/>
  </r>
  <r>
    <x v="11"/>
    <x v="48"/>
    <s v="Bill"/>
    <s v="487860"/>
    <x v="324"/>
    <s v="TRADICIONES ANDINAS- ECUADOR -  FROZEN -  Achocha / Caigua  -  12 / 16oz - RE102"/>
    <n v="1"/>
    <n v="29.4"/>
    <n v="29.4"/>
    <n v="89712.54999999993"/>
  </r>
  <r>
    <x v="11"/>
    <x v="49"/>
    <s v="Bill"/>
    <s v="488017"/>
    <x v="440"/>
    <s v="Aji Ambateno / Whole Pepper"/>
    <n v="2"/>
    <n v="27.04"/>
    <n v="54.08"/>
    <n v="89766.629999999932"/>
  </r>
  <r>
    <x v="11"/>
    <x v="49"/>
    <s v="Bill"/>
    <s v="488017"/>
    <x v="219"/>
    <s v="TA - WINTER'S PRODUCTS- PERU -   -  WINTER'S - Paneton -  6 / 900g - WI2023"/>
    <n v="100"/>
    <n v="34"/>
    <n v="3400"/>
    <n v="93166.629999999932"/>
  </r>
  <r>
    <x v="11"/>
    <x v="50"/>
    <s v="Bill"/>
    <s v="491332"/>
    <x v="325"/>
    <s v="T.A  Ajo pasta 7.5oz x 24 fraco vidrio P00123"/>
    <n v="1"/>
    <n v="40.82"/>
    <n v="40.82"/>
    <n v="93207.449999999939"/>
  </r>
  <r>
    <x v="11"/>
    <x v="50"/>
    <s v="Bill"/>
    <s v="491332"/>
    <x v="434"/>
    <s v="TRADICIONES ANDINAS - PERU -  VIDRIO -  Huacatay Pasta / Black Mint Paste -  24 / 7.5oz - P00180"/>
    <n v="1"/>
    <n v="32.1"/>
    <n v="32.1"/>
    <n v="93239.549999999945"/>
  </r>
  <r>
    <x v="11"/>
    <x v="50"/>
    <s v="Bill"/>
    <s v="491332"/>
    <x v="333"/>
    <s v="TRADICIONES ANDINAS - PERU -  HEALTHY  PRODUCTS -  Chia /Chia Seeds -  16 / 12oz - P00400"/>
    <n v="2"/>
    <n v="30.64"/>
    <n v="61.28"/>
    <n v="93300.829999999944"/>
  </r>
  <r>
    <x v="11"/>
    <x v="50"/>
    <s v="Bill"/>
    <s v="491332"/>
    <x v="336"/>
    <s v="TRADICIONES ANDINAS - PERU -  HEALTHY  PRODUCTS -  Harina de Maca /Maca Flour -  24 / 7oz - P00205"/>
    <n v="2"/>
    <n v="53.68"/>
    <n v="107.36"/>
    <n v="93408.189999999944"/>
  </r>
  <r>
    <x v="11"/>
    <x v="50"/>
    <s v="Bill"/>
    <s v="491332"/>
    <x v="24"/>
    <s v="TA- PERU -  GOLOSINAS - DULCES  -  FIELD - Galletas de Vainilla-  24 / 6x37g - CH113"/>
    <n v="3"/>
    <n v="50.9"/>
    <n v="152.69999999999999"/>
    <n v="93560.889999999941"/>
  </r>
  <r>
    <x v="11"/>
    <x v="50"/>
    <s v="Bill"/>
    <s v="491332"/>
    <x v="219"/>
    <s v="TA - WINTER'S PRODUCTS- PERU -   -  WINTER'S - Paneton -  6 / 900g - WI2023"/>
    <n v="50"/>
    <n v="34"/>
    <n v="1700"/>
    <n v="95260.889999999941"/>
  </r>
  <r>
    <x v="11"/>
    <x v="50"/>
    <s v="Bill"/>
    <s v="491332"/>
    <x v="441"/>
    <s v="Quinoa Blanca  /White  Quinoa"/>
    <n v="2"/>
    <n v="38.93"/>
    <n v="77.86"/>
    <n v="95338.749999999942"/>
  </r>
  <r>
    <x v="11"/>
    <x v="51"/>
    <s v="Bill"/>
    <s v="489033"/>
    <x v="418"/>
    <s v="Harina de Machica / Roasted Barley Flour"/>
    <n v="5"/>
    <n v="22.24"/>
    <n v="111.2"/>
    <n v="95449.949999999939"/>
  </r>
  <r>
    <x v="11"/>
    <x v="51"/>
    <s v="Bill"/>
    <s v="489033"/>
    <x v="442"/>
    <s v="Harina Maiz Morado / Purple Corn Flour"/>
    <n v="1"/>
    <n v="22.24"/>
    <n v="22.24"/>
    <n v="95472.189999999944"/>
  </r>
  <r>
    <x v="11"/>
    <x v="52"/>
    <s v="Bill"/>
    <s v="489405"/>
    <x v="443"/>
    <s v="SOL DEL CUZCO Tableta sabor a chocolate para taza tradicional 12 x 90gr - IN01"/>
    <n v="6"/>
    <n v="10.68"/>
    <n v="64.08"/>
    <n v="95536.269999999946"/>
  </r>
  <r>
    <x v="11"/>
    <x v="53"/>
    <s v="Vendor Credit"/>
    <s v=""/>
    <x v="28"/>
    <s v="TA- PERU -  GOLOSINAS - DULCES  -  FIELD - Chocosoda Galletas-  32 / 6x8.25oz - CH122"/>
    <n v="-1"/>
    <n v="66.88"/>
    <n v="-66.88"/>
    <n v="95469.389999999941"/>
  </r>
  <r>
    <x v="11"/>
    <x v="54"/>
    <s v="Bill"/>
    <s v="490620"/>
    <x v="277"/>
    <s v="Maiz Morado (Family Pack) /Purple Corn"/>
    <n v="8"/>
    <n v="23.96"/>
    <n v="191.68"/>
    <n v="95661.069999999934"/>
  </r>
  <r>
    <x v="11"/>
    <x v="54"/>
    <s v="Bill"/>
    <s v="490620"/>
    <x v="279"/>
    <s v="TRADICIONES ANDINAS - PERU -  BOLSA -  Maiz Cancha (Family Pack) /Cancha Corn -  6 / 54oz - P00177"/>
    <n v="5"/>
    <n v="35"/>
    <n v="175"/>
    <n v="95836.069999999934"/>
  </r>
  <r>
    <x v="11"/>
    <x v="54"/>
    <s v="Bill"/>
    <s v="490620"/>
    <x v="386"/>
    <s v="TA- PERU -  SIBARITA PRODUCTS -  SIBARITA - Amarillin Doypack-  12 / 8.8oz - SI315"/>
    <n v="6"/>
    <n v="39"/>
    <n v="234"/>
    <n v="96070.069999999934"/>
  </r>
  <r>
    <x v="11"/>
    <x v="54"/>
    <s v="Bill"/>
    <s v="490620"/>
    <x v="385"/>
    <s v="TA- PERU -  SIBARITA PRODUCTS -  SIBARITA - Panquita Doypack-  12 / 8.8oz - SI316"/>
    <n v="6"/>
    <n v="39"/>
    <n v="234"/>
    <n v="96304.069999999934"/>
  </r>
  <r>
    <x v="11"/>
    <x v="54"/>
    <s v="Bill"/>
    <s v="490620"/>
    <x v="284"/>
    <s v="PERU -  SIBARITA PRODUCTS -  SIBARITA - Vinagre Tinto - Red Vinegar -  12 / 1lt - SI313"/>
    <n v="6"/>
    <n v="11.88"/>
    <n v="71.28"/>
    <n v="96375.349999999933"/>
  </r>
  <r>
    <x v="11"/>
    <x v="54"/>
    <s v="Bill"/>
    <s v="490620"/>
    <x v="346"/>
    <s v="T.A SIBARITA - Panquita Doypack 12 x 19.4 oz"/>
    <n v="18"/>
    <n v="49.52"/>
    <n v="891.36"/>
    <n v="97266.709999999934"/>
  </r>
  <r>
    <x v="11"/>
    <x v="54"/>
    <s v="Bill"/>
    <s v="490620"/>
    <x v="347"/>
    <s v="TA- PERU -  SIBARITA PRODUCTS -  SIBARITA - Amarillin Doypack-  12 / 19.4oz - I322 - SI322"/>
    <n v="22"/>
    <n v="49.52"/>
    <n v="1089.44"/>
    <n v="98356.149999999936"/>
  </r>
  <r>
    <x v="11"/>
    <x v="54"/>
    <s v="Bill"/>
    <s v="490620"/>
    <x v="287"/>
    <s v="TA - UNIVERSAL PRODUCTS- PERU -   -  Gelatina Fresa / Strawberry Gelatin -  12 / 150gr - U101"/>
    <n v="20"/>
    <n v="14"/>
    <n v="280"/>
    <n v="98636.149999999936"/>
  </r>
  <r>
    <x v="11"/>
    <x v="54"/>
    <s v="Bill"/>
    <s v="490620"/>
    <x v="288"/>
    <s v="TA - UNIVERSAL PRODUCTS- PERU -   -  Gelatina Naranja / Orange Gelatin -  12 / 150gr - U102"/>
    <n v="6"/>
    <n v="14"/>
    <n v="84"/>
    <n v="98720.149999999936"/>
  </r>
  <r>
    <x v="11"/>
    <x v="54"/>
    <s v="Bill"/>
    <s v="490620"/>
    <x v="354"/>
    <s v="TA - UNIVERSAL PRODUCTS- PERU -   -  Gelatina Piña / Pineapple Gelatin -  12 / 150gr - U103"/>
    <n v="6"/>
    <n v="14"/>
    <n v="84"/>
    <n v="98804.149999999936"/>
  </r>
  <r>
    <x v="11"/>
    <x v="54"/>
    <s v="Bill"/>
    <s v="490620"/>
    <x v="405"/>
    <s v="TA - UNIVERSAL PRODUCTS- PERU -   -  Gelatina Limon / Lemon Gelatin  -  12 / 150gr - U104"/>
    <n v="6"/>
    <n v="14"/>
    <n v="84"/>
    <n v="98888.149999999936"/>
  </r>
  <r>
    <x v="11"/>
    <x v="54"/>
    <s v="Bill"/>
    <s v="490620"/>
    <x v="406"/>
    <s v="TA - UNIVERSAL PRODUCTS- PERU -   -  Grape Gelatin / Gelatina Uva-  12 / 150gr - U105"/>
    <n v="6"/>
    <n v="14"/>
    <n v="84"/>
    <n v="98972.149999999936"/>
  </r>
  <r>
    <x v="11"/>
    <x v="54"/>
    <s v="Bill"/>
    <s v="490620"/>
    <x v="355"/>
    <s v="TA - UNIVERSAL PRODUCTS- PERU -   -  Flan de Vainilla / Vanilla Flan -  12 / 150gr - U106"/>
    <n v="18"/>
    <n v="14"/>
    <n v="252"/>
    <n v="99224.149999999936"/>
  </r>
  <r>
    <x v="11"/>
    <x v="54"/>
    <s v="Bill"/>
    <s v="490620"/>
    <x v="356"/>
    <s v="TA - UNIVERSAL PRODUCTS- PERU -   -  Mazamorra Morada /Purple Pudin-  12 / 150gr - U108"/>
    <n v="32"/>
    <n v="14"/>
    <n v="448"/>
    <n v="99672.149999999936"/>
  </r>
  <r>
    <x v="11"/>
    <x v="54"/>
    <s v="Bill"/>
    <s v="490620"/>
    <x v="310"/>
    <s v="TA - UNIVERSAL PRODUCTS- PERU -   -  Esencia de Vainilla / Vanilla Scent-  24 / 100ml - U109"/>
    <n v="2"/>
    <n v="22.86"/>
    <n v="45.72"/>
    <n v="99717.869999999937"/>
  </r>
  <r>
    <x v="11"/>
    <x v="54"/>
    <s v="Bill"/>
    <s v="490620"/>
    <x v="395"/>
    <s v="TA - UNIVERSAL PRODUCTS- PERU -   -  Gelatina sin Sabor (Colapiz)-  12 / 30gr - U113"/>
    <n v="8"/>
    <n v="14"/>
    <n v="112"/>
    <n v="99829.869999999937"/>
  </r>
  <r>
    <x v="11"/>
    <x v="54"/>
    <s v="Bill"/>
    <s v="490620"/>
    <x v="360"/>
    <s v="TA - UNIVERSAL PRODUCTS- PERU -   -  Flan de Lucuma/ Lucuma Pudin-  12 / 150gr - U123"/>
    <n v="8"/>
    <n v="14"/>
    <n v="112"/>
    <n v="99941.869999999937"/>
  </r>
  <r>
    <x v="11"/>
    <x v="54"/>
    <s v="Bill"/>
    <s v="490620"/>
    <x v="366"/>
    <s v="TRADICIONES ANDINAS- CHILE -  ENLATADO TRADICIONES ANDINAS - Peach Halves in heavy Syrup / Durazno en Almibar -  12 / 29z (822g) - DUR01"/>
    <n v="4"/>
    <n v="27"/>
    <n v="108"/>
    <n v="100049.86999999994"/>
  </r>
  <r>
    <x v="11"/>
    <x v="54"/>
    <s v="Bill"/>
    <s v="490620"/>
    <x v="369"/>
    <s v="TA- ECUADOR -  VALLES ANDINOS -  -  Chochos en Salmuera-  12 / 15oz - VA124"/>
    <n v="4"/>
    <n v="42.24"/>
    <n v="168.96"/>
    <n v="100218.82999999994"/>
  </r>
  <r>
    <x v="11"/>
    <x v="54"/>
    <s v="Bill"/>
    <s v="490620"/>
    <x v="444"/>
    <s v="TA - VALLES ANDINOS-  -  BOLSA -  Arverjas Verdes-  24 / 14oz - VA135"/>
    <n v="2"/>
    <n v="18"/>
    <n v="36"/>
    <n v="100254.82999999994"/>
  </r>
  <r>
    <x v="11"/>
    <x v="55"/>
    <s v="Bill"/>
    <s v="491180"/>
    <x v="253"/>
    <s v="TRADICIONES ANDINAS - PERU -  VIDRIO -  Aji Mirasol Pasta / Mirasol Pepper Paste -  24 / 7.5oz - P0278"/>
    <n v="2"/>
    <n v="33.380000000000003"/>
    <n v="66.760000000000005"/>
    <n v="100321.58999999994"/>
  </r>
  <r>
    <x v="11"/>
    <x v="55"/>
    <s v="Bill"/>
    <s v="491180"/>
    <x v="434"/>
    <s v="TRADICIONES ANDINAS - PERU -  VIDRIO -  Huacatay Pasta / Black Mint Paste -  24 / 7.5oz - P00180"/>
    <n v="4"/>
    <n v="32.1"/>
    <n v="128.4"/>
    <n v="100449.98999999993"/>
  </r>
  <r>
    <x v="11"/>
    <x v="55"/>
    <s v="Bill"/>
    <s v="491180"/>
    <x v="260"/>
    <s v="Tradiciones Andinas Aji Amarillo Pasta 15oz X 12 fco de vidrio P00136"/>
    <n v="2"/>
    <n v="25.54"/>
    <n v="51.08"/>
    <n v="100501.06999999993"/>
  </r>
  <r>
    <x v="11"/>
    <x v="55"/>
    <s v="Bill"/>
    <s v="491180"/>
    <x v="268"/>
    <s v="TRADICIONES ANDINAS - PERU -  BOLSA -  Cancha Corn / Maiz Cancha-  24 / 15oz - P00162"/>
    <n v="5"/>
    <n v="45.96"/>
    <n v="229.8"/>
    <n v="100730.86999999994"/>
  </r>
  <r>
    <x v="11"/>
    <x v="55"/>
    <s v="Bill"/>
    <s v="491180"/>
    <x v="269"/>
    <s v="T.A Peeled Mote Corn / Mote Pelado 15oz x 24 bolsa"/>
    <n v="2"/>
    <n v="45.96"/>
    <n v="91.92"/>
    <n v="100822.78999999994"/>
  </r>
  <r>
    <x v="11"/>
    <x v="55"/>
    <s v="Bill"/>
    <s v="491180"/>
    <x v="331"/>
    <s v="TRADICIONES ANDINAS - PERU -  BOLSA -  Linaza /Flax Seed -  24 / 15oz - P00165"/>
    <n v="2"/>
    <n v="33.380000000000003"/>
    <n v="66.760000000000005"/>
    <n v="100889.54999999993"/>
  </r>
  <r>
    <x v="11"/>
    <x v="55"/>
    <s v="Bill"/>
    <s v="491180"/>
    <x v="275"/>
    <s v="TRADICIONES ANDINAS - PERU -  BOLSA -   Trigo Pelado/Peeled Wheat -  24 / 15oz -"/>
    <n v="6"/>
    <n v="32.1"/>
    <n v="192.6"/>
    <n v="101082.14999999994"/>
  </r>
  <r>
    <x v="11"/>
    <x v="55"/>
    <s v="Bill"/>
    <s v="491180"/>
    <x v="271"/>
    <s v="TRADICIONES ANDINAS - PERU -  BOLSA -  Maiz Chulpe /Chulpe Corn -  24 / 15oz - P00170"/>
    <n v="8"/>
    <n v="40.56"/>
    <n v="324.48"/>
    <n v="101406.62999999993"/>
  </r>
  <r>
    <x v="11"/>
    <x v="55"/>
    <s v="Bill"/>
    <s v="491180"/>
    <x v="332"/>
    <s v="TRADICIONES ANDINAS - PERU -  BOLSA -  Semola /Semolina -  24 / 15oz - P00173"/>
    <n v="4"/>
    <n v="30.82"/>
    <n v="123.28"/>
    <n v="101529.90999999993"/>
  </r>
  <r>
    <x v="11"/>
    <x v="55"/>
    <s v="Bill"/>
    <s v="491180"/>
    <x v="273"/>
    <s v="TRADICIONES ANDINAS - PERU -  BOLSA -  Cebada Tostada /Toasted Barley -  18 / 15oz - P00174"/>
    <n v="4"/>
    <n v="21.18"/>
    <n v="84.72"/>
    <n v="101614.62999999993"/>
  </r>
  <r>
    <x v="11"/>
    <x v="55"/>
    <s v="Bill"/>
    <s v="491180"/>
    <x v="306"/>
    <s v="TRADICIONES ANDINAS - PERU -  BOLSA -  Harina Chuño / Potato Starch Flour -  24 / 12oz - P00197"/>
    <n v="2"/>
    <n v="30.82"/>
    <n v="61.64"/>
    <n v="101676.26999999993"/>
  </r>
  <r>
    <x v="11"/>
    <x v="55"/>
    <s v="Bill"/>
    <s v="491180"/>
    <x v="276"/>
    <s v="TRADICIONES ANDINAS - PERU -  BOLSA -  Emoliente / Emolient -  20 / 3.5oz - P00158"/>
    <n v="4"/>
    <n v="21.18"/>
    <n v="84.72"/>
    <n v="101760.98999999993"/>
  </r>
  <r>
    <x v="11"/>
    <x v="55"/>
    <s v="Bill"/>
    <s v="491180"/>
    <x v="391"/>
    <s v="TRADICIONES ANDINAS - PERU -  BOLSA -  Maiz Carhuay (Family Pack) / Carhuay Corn / -  6 / 54oz - P00221"/>
    <n v="1"/>
    <n v="35"/>
    <n v="35"/>
    <n v="101795.98999999993"/>
  </r>
  <r>
    <x v="11"/>
    <x v="55"/>
    <s v="Bill"/>
    <s v="491180"/>
    <x v="392"/>
    <s v="TRADICIONES ANDINAS - PERU -  BOLSA -  Quick Oats / Avena-  6 / 32oz - P00407"/>
    <n v="2"/>
    <n v="9.99"/>
    <n v="19.98"/>
    <n v="101815.96999999993"/>
  </r>
  <r>
    <x v="11"/>
    <x v="55"/>
    <s v="Bill"/>
    <s v="491180"/>
    <x v="334"/>
    <s v="TRADICIONES ANDINAS - PERU -  HEALTHY  PRODUCTS -  Harina de Quinua /Quinua Flour (Instant) -  12 / 12oz - P00402"/>
    <n v="2"/>
    <n v="30.64"/>
    <n v="61.28"/>
    <n v="101877.24999999993"/>
  </r>
  <r>
    <x v="11"/>
    <x v="55"/>
    <s v="Bill"/>
    <s v="491180"/>
    <x v="336"/>
    <s v="TRADICIONES ANDINAS - PERU -  HEALTHY  PRODUCTS -  Harina de Maca /Maca Flour -  24 / 7oz - P00205"/>
    <n v="2"/>
    <n v="53.68"/>
    <n v="107.36"/>
    <n v="101984.60999999993"/>
  </r>
  <r>
    <x v="11"/>
    <x v="55"/>
    <s v="Bill"/>
    <s v="491180"/>
    <x v="295"/>
    <s v="TRADICIONES ANDINAS - PERU -  CONDIMENT PRODUCTS -  Tradiciones Andinas - Chicha de Jora /Jora Seasoning -  12 / 1 lt - P00134"/>
    <n v="3"/>
    <n v="38.380000000000003"/>
    <n v="115.14"/>
    <n v="102099.74999999993"/>
  </r>
  <r>
    <x v="11"/>
    <x v="55"/>
    <s v="Bill"/>
    <s v="491180"/>
    <x v="386"/>
    <s v="TA- PERU -  SIBARITA PRODUCTS -  SIBARITA - Amarillin Doypack-  12 / 8.8oz - SI315"/>
    <n v="3"/>
    <n v="39"/>
    <n v="117"/>
    <n v="102216.74999999993"/>
  </r>
  <r>
    <x v="11"/>
    <x v="55"/>
    <s v="Bill"/>
    <s v="491180"/>
    <x v="385"/>
    <s v="TA- PERU -  SIBARITA PRODUCTS -  SIBARITA - Panquita Doypack-  12 / 8.8oz - SI316"/>
    <n v="6"/>
    <n v="39"/>
    <n v="234"/>
    <n v="102450.74999999993"/>
  </r>
  <r>
    <x v="11"/>
    <x v="55"/>
    <s v="Bill"/>
    <s v="491180"/>
    <x v="286"/>
    <s v="SIBARITA Vinagre Tinto - Red Vinegar 16.91oz  x 12 botella"/>
    <n v="2"/>
    <n v="9.07"/>
    <n v="18.14"/>
    <n v="102468.88999999993"/>
  </r>
  <r>
    <x v="11"/>
    <x v="55"/>
    <s v="Bill"/>
    <s v="491180"/>
    <x v="310"/>
    <s v="TA - UNIVERSAL PRODUCTS- PERU -   -  Esencia de Vainilla / Vanilla Scent-  24 / 100ml - U109"/>
    <n v="1"/>
    <n v="22.86"/>
    <n v="22.86"/>
    <n v="102491.74999999993"/>
  </r>
  <r>
    <x v="11"/>
    <x v="55"/>
    <s v="Bill"/>
    <s v="491180"/>
    <x v="23"/>
    <s v="T.A GOLOSINAS Y DULCES -   -  GALLETAS MARGARITA SAYON-  55gr BOLSA x 6 / 8"/>
    <n v="16"/>
    <n v="13.57"/>
    <n v="217.12"/>
    <n v="102708.86999999992"/>
  </r>
  <r>
    <x v="11"/>
    <x v="55"/>
    <s v="Bill"/>
    <s v="491180"/>
    <x v="312"/>
    <s v="TA- PERU -  GOLOSINAS - DULCES  -  Maiz Atomico Imperial con Miel-  20 / 4.41z (125g) - CH133"/>
    <n v="5"/>
    <n v="21.4"/>
    <n v="107"/>
    <n v="102815.86999999992"/>
  </r>
  <r>
    <x v="11"/>
    <x v="55"/>
    <s v="Bill"/>
    <s v="491180"/>
    <x v="313"/>
    <s v="TA- PERU -  GOLOSINAS - DULCES  -  Trigo Atomico original con Miel-  20 / 4.41z (125g) - CH134"/>
    <n v="5"/>
    <n v="21.4"/>
    <n v="107"/>
    <n v="102922.86999999992"/>
  </r>
  <r>
    <x v="11"/>
    <x v="55"/>
    <s v="Bill"/>
    <s v="491180"/>
    <x v="315"/>
    <s v="TA- PERU -  GOLOSINAS - DULCES  -  VITAPLUSS - Trigo Expandido con Miel-  24 / 140g - CH140"/>
    <n v="3"/>
    <n v="25.68"/>
    <n v="77.040000000000006"/>
    <n v="102999.90999999992"/>
  </r>
  <r>
    <x v="11"/>
    <x v="55"/>
    <s v="Bill"/>
    <s v="491180"/>
    <x v="316"/>
    <s v="TA- PERU -  GOLOSINAS - DULCES  -  VITAPLUSS - Fideos con Miel-  20 / 120g - CH141"/>
    <n v="5"/>
    <n v="22"/>
    <n v="110"/>
    <n v="103109.90999999992"/>
  </r>
  <r>
    <x v="11"/>
    <x v="55"/>
    <s v="Bill"/>
    <s v="491180"/>
    <x v="289"/>
    <s v="TA- PERU -  GRANEL -  Maiz Cancha-  50 / lbs - 00208"/>
    <n v="4"/>
    <n v="64.2"/>
    <n v="256.8"/>
    <n v="103366.70999999992"/>
  </r>
  <r>
    <x v="11"/>
    <x v="55"/>
    <s v="Bill"/>
    <s v="491180"/>
    <x v="290"/>
    <s v="T.A Maiz Morado /Purple Corn 50Lb saco / 00211"/>
    <n v="6"/>
    <n v="64.2"/>
    <n v="385.2"/>
    <n v="103751.90999999992"/>
  </r>
  <r>
    <x v="11"/>
    <x v="55"/>
    <s v="Bill"/>
    <s v="491180"/>
    <x v="292"/>
    <s v="Maiz Chulpe Saco 50lb"/>
    <n v="1"/>
    <n v="78"/>
    <n v="78"/>
    <n v="103829.90999999992"/>
  </r>
  <r>
    <x v="11"/>
    <x v="55"/>
    <s v="Bill"/>
    <s v="491180"/>
    <x v="291"/>
    <s v="TA- PERU -  GRANEL -  Mote Pelado Saco-  50 / lbs - 00212"/>
    <n v="2"/>
    <n v="85.6"/>
    <n v="171.2"/>
    <n v="104001.10999999991"/>
  </r>
  <r>
    <x v="11"/>
    <x v="55"/>
    <s v="Bill"/>
    <s v="491180"/>
    <x v="371"/>
    <s v="TA- ECUADOR -  VALLES ANDINOS -  -  Dulces de Higos-  12 / 20oz - VA142"/>
    <n v="3"/>
    <n v="49.95"/>
    <n v="149.85"/>
    <n v="104150.95999999992"/>
  </r>
  <r>
    <x v="11"/>
    <x v="55"/>
    <s v="Bill"/>
    <s v="491180"/>
    <x v="377"/>
    <s v="TA- ECUADOR -  VALLES ANDINOS -  -  Chimichurri - BBQ Sauce-  15 / 17.64oz - VA148"/>
    <n v="4"/>
    <n v="32.15"/>
    <n v="128.6"/>
    <n v="104279.55999999992"/>
  </r>
  <r>
    <x v="11"/>
    <x v="55"/>
    <s v="Bill"/>
    <s v="491180"/>
    <x v="418"/>
    <s v="Harina de Machica / Roasted Barley Flour"/>
    <n v="6"/>
    <n v="22.24"/>
    <n v="133.44"/>
    <n v="104412.99999999993"/>
  </r>
  <r>
    <x v="11"/>
    <x v="55"/>
    <s v="Bill"/>
    <s v="491180"/>
    <x v="408"/>
    <s v="TA - VALLES ANDINOS-  -  BOLSA -  Harina de Habas / Faba Beans Flour -  18 / 14oz - VA114"/>
    <n v="1"/>
    <n v="22.24"/>
    <n v="22.24"/>
    <n v="104435.23999999993"/>
  </r>
  <r>
    <x v="11"/>
    <x v="55"/>
    <s v="Bill"/>
    <s v="491180"/>
    <x v="442"/>
    <s v="Harina Maiz Morado / Purple Corn Flour"/>
    <n v="3"/>
    <n v="22.24"/>
    <n v="66.72"/>
    <n v="104501.95999999993"/>
  </r>
  <r>
    <x v="11"/>
    <x v="55"/>
    <s v="Bill"/>
    <s v="491180"/>
    <x v="438"/>
    <s v="TA - VALLES ANDINOS-  -  BOLSA -  Soy Beans / Soy Beans  -  18 / 14oz - VA120"/>
    <n v="2"/>
    <n v="30.42"/>
    <n v="60.84"/>
    <n v="104562.79999999993"/>
  </r>
  <r>
    <x v="11"/>
    <x v="55"/>
    <s v="Bill"/>
    <s v="491180"/>
    <x v="444"/>
    <s v="TA - VALLES ANDINOS-  -  BOLSA -  Arverjas Verdes-  24 / 14oz - VA135"/>
    <n v="1"/>
    <n v="18"/>
    <n v="18"/>
    <n v="104580.79999999993"/>
  </r>
  <r>
    <x v="11"/>
    <x v="55"/>
    <s v="Bill"/>
    <s v="491180"/>
    <x v="439"/>
    <s v="TA - VALLES ANDINOS-  -  BOLSA -  Morocho Partido / Granulated White Corn -  24 / 14oz - VA136"/>
    <n v="1"/>
    <n v="23.76"/>
    <n v="23.76"/>
    <n v="104604.55999999992"/>
  </r>
  <r>
    <x v="11"/>
    <x v="55"/>
    <s v="Bill"/>
    <s v="491180"/>
    <x v="20"/>
    <s v="TA- PERU -  GOLOSINAS - DULCES  -  Cua Cua 18g x 9 x 24 / CH105"/>
    <n v="4"/>
    <n v="54.96"/>
    <n v="219.84"/>
    <n v="104824.39999999992"/>
  </r>
  <r>
    <x v="11"/>
    <x v="55"/>
    <s v="Bill"/>
    <s v="491180"/>
    <x v="21"/>
    <s v="TA- PERU -  GOLOSINAS - DULCES  -  Doña Pepa 23g  6 x 36 / CH106"/>
    <n v="4"/>
    <n v="60.84"/>
    <n v="243.36"/>
    <n v="105067.75999999992"/>
  </r>
  <r>
    <x v="11"/>
    <x v="55"/>
    <s v="Bill"/>
    <s v="491180"/>
    <x v="34"/>
    <s v="TA- PERU -  GOLOSINAS - DULCES  -  FIELD - Galletas de Soda-  36 / 6x34g - CH112"/>
    <n v="2"/>
    <n v="46.44"/>
    <n v="92.88"/>
    <n v="105160.63999999993"/>
  </r>
  <r>
    <x v="11"/>
    <x v="56"/>
    <s v="Bill"/>
    <s v="492743"/>
    <x v="250"/>
    <s v="T.A Aji Panca Pasta 7.5oz x 24 fco de vidrio P00120"/>
    <n v="3"/>
    <n v="30.82"/>
    <n v="92.46"/>
    <n v="105253.09999999993"/>
  </r>
  <r>
    <x v="11"/>
    <x v="56"/>
    <s v="Bill"/>
    <s v="492743"/>
    <x v="251"/>
    <s v="T.A Aji Amarillo Pasta 7.5oz x 24 fco de vidrio P00121"/>
    <n v="2"/>
    <n v="30.82"/>
    <n v="61.64"/>
    <n v="105314.73999999993"/>
  </r>
  <r>
    <x v="11"/>
    <x v="56"/>
    <s v="Bill"/>
    <s v="492743"/>
    <x v="252"/>
    <s v="TRADICIONES ANDINAS - PERU -  VIDRIO -  Rocoto en Pasta /Red Hot Peppers Paste -  24 / 7.5oz - P00122"/>
    <n v="3"/>
    <n v="33.119999999999997"/>
    <n v="99.36"/>
    <n v="105414.09999999993"/>
  </r>
  <r>
    <x v="11"/>
    <x v="56"/>
    <s v="Bill"/>
    <s v="492743"/>
    <x v="325"/>
    <s v="T.A  Ajo pasta 7.5oz x 24 fraco vidrio P00123"/>
    <n v="1"/>
    <n v="40.82"/>
    <n v="40.82"/>
    <n v="105454.91999999994"/>
  </r>
  <r>
    <x v="11"/>
    <x v="56"/>
    <s v="Bill"/>
    <s v="492743"/>
    <x v="326"/>
    <s v="TRADICIONES ANDINAS - PERU -  VIDRIO -  Albahaca Pasta /Basil Paste -  24 / 7.5oz - P00181"/>
    <n v="1"/>
    <n v="32.1"/>
    <n v="32.1"/>
    <n v="105487.01999999995"/>
  </r>
  <r>
    <x v="11"/>
    <x v="56"/>
    <s v="Bill"/>
    <s v="492743"/>
    <x v="434"/>
    <s v="TRADICIONES ANDINAS - PERU -  VIDRIO -  Huacatay Pasta / Black Mint Paste -  24 / 7.5oz - P00180"/>
    <n v="1"/>
    <n v="32.1"/>
    <n v="32.1"/>
    <n v="105519.11999999995"/>
  </r>
  <r>
    <x v="11"/>
    <x v="56"/>
    <s v="Bill"/>
    <s v="492743"/>
    <x v="254"/>
    <s v="T.A Aji Panca en Pasta &quot;Poco Picante&quot; 7.5oz x 24 fco de vidrio P0282"/>
    <n v="2"/>
    <n v="31.2"/>
    <n v="62.4"/>
    <n v="105581.51999999995"/>
  </r>
  <r>
    <x v="11"/>
    <x v="56"/>
    <s v="Bill"/>
    <s v="492743"/>
    <x v="260"/>
    <s v="Tradiciones Andinas Aji Amarillo Pasta 15oz X 12 fco de vidrio P00136"/>
    <n v="2"/>
    <n v="25.54"/>
    <n v="51.08"/>
    <n v="105632.59999999995"/>
  </r>
  <r>
    <x v="11"/>
    <x v="56"/>
    <s v="Bill"/>
    <s v="492743"/>
    <x v="262"/>
    <s v="TradicionesAndinas Aji Panca Pasta &quot;Poco Picante&quot; 15oz x 12 fco vidrio"/>
    <n v="2"/>
    <n v="26.84"/>
    <n v="53.68"/>
    <n v="105686.27999999994"/>
  </r>
  <r>
    <x v="11"/>
    <x v="56"/>
    <s v="Bill"/>
    <s v="492743"/>
    <x v="330"/>
    <s v="TRADICIONES ANDINAS - PERU -  VIDRIO -  Aceituna Botija sin Pepa /Pitted Alfonso Olives -  12 / 20oz - P0287"/>
    <n v="5"/>
    <n v="39.68"/>
    <n v="198.4"/>
    <n v="105884.67999999993"/>
  </r>
  <r>
    <x v="11"/>
    <x v="56"/>
    <s v="Bill"/>
    <s v="492743"/>
    <x v="268"/>
    <s v="TRADICIONES ANDINAS - PERU -  BOLSA -  Cancha Corn / Maiz Cancha-  24 / 15oz - P00162"/>
    <n v="6"/>
    <n v="45.96"/>
    <n v="275.76"/>
    <n v="106160.43999999993"/>
  </r>
  <r>
    <x v="11"/>
    <x v="56"/>
    <s v="Bill"/>
    <s v="492743"/>
    <x v="274"/>
    <s v="TRADICIONES ANDINAS - PERU -  BOLSA -  Chuño Entero Blanco / White Potato Starch -  18 / 15oz - P00179"/>
    <n v="3"/>
    <n v="51.8"/>
    <n v="155.4"/>
    <n v="106315.83999999992"/>
  </r>
  <r>
    <x v="11"/>
    <x v="56"/>
    <s v="Bill"/>
    <s v="492743"/>
    <x v="277"/>
    <s v="Maiz Morado (Family Pack) /Purple Corn"/>
    <n v="5"/>
    <n v="23.96"/>
    <n v="119.8"/>
    <n v="106435.63999999993"/>
  </r>
  <r>
    <x v="11"/>
    <x v="56"/>
    <s v="Bill"/>
    <s v="492743"/>
    <x v="441"/>
    <s v="Quinoa Blanca  /White  Quinoa"/>
    <n v="1"/>
    <n v="38.93"/>
    <n v="38.93"/>
    <n v="106474.56999999992"/>
  </r>
  <r>
    <x v="11"/>
    <x v="56"/>
    <s v="Bill"/>
    <s v="492743"/>
    <x v="393"/>
    <s v="TRADICIONES ANDINAS - PERU -  MISCELANEUS PRODUCTS -  Tradiciones Andinas - Algarrobina-  24 / 500gr - P00413"/>
    <n v="1"/>
    <n v="78.959999999999994"/>
    <n v="78.959999999999994"/>
    <n v="106553.52999999993"/>
  </r>
  <r>
    <x v="11"/>
    <x v="56"/>
    <s v="Bill"/>
    <s v="492743"/>
    <x v="156"/>
    <s v="PRODUCTOS ORIENTALES -  KIKKO -  KIKKO SIYAU 500ML x 30 /  00998"/>
    <n v="13"/>
    <n v="31.8"/>
    <n v="413.4"/>
    <n v="106966.92999999992"/>
  </r>
  <r>
    <x v="11"/>
    <x v="56"/>
    <s v="Bill"/>
    <s v="492743"/>
    <x v="10"/>
    <s v="TA- PERU -  CONDIMENT PRODUCTS -  MSG -AJINOMOTO-  60 / 250gr - 00995"/>
    <n v="4"/>
    <n v="73.8"/>
    <n v="295.2"/>
    <n v="107262.12999999992"/>
  </r>
  <r>
    <x v="11"/>
    <x v="56"/>
    <s v="Bill"/>
    <s v="492743"/>
    <x v="13"/>
    <s v="AjiNomoto Bolsa 1Kg x 18 / 7754487118804 / 00803 / AB-11"/>
    <n v="2"/>
    <n v="85"/>
    <n v="170"/>
    <n v="107432.12999999992"/>
  </r>
  <r>
    <x v="11"/>
    <x v="56"/>
    <s v="Bill"/>
    <s v="492743"/>
    <x v="9"/>
    <s v="TA- PERU -  CONDIMENT PRODUCTS -  AJI NO Siyau-  24 / 500 ml - 00999"/>
    <n v="3"/>
    <n v="28.8"/>
    <n v="86.4"/>
    <n v="107518.52999999991"/>
  </r>
  <r>
    <x v="11"/>
    <x v="56"/>
    <s v="Bill"/>
    <s v="492743"/>
    <x v="295"/>
    <s v="TRADICIONES ANDINAS - PERU -  CONDIMENT PRODUCTS -  Tradiciones Andinas - Chicha de Jora /Jora Seasoning -  12 / 1 lt - P00134"/>
    <n v="12"/>
    <n v="38.380000000000003"/>
    <n v="460.56"/>
    <n v="107979.08999999991"/>
  </r>
  <r>
    <x v="11"/>
    <x v="56"/>
    <s v="Bill"/>
    <s v="492743"/>
    <x v="341"/>
    <s v="TRADICIONES ANDINAS - PERU -  TIYAPUY - SNACKS -  Maiz Chulpi frito Salado/ Chulpi Corn Snack-  12 / 130g - CH165"/>
    <n v="8"/>
    <n v="13.2"/>
    <n v="105.6"/>
    <n v="108084.68999999992"/>
  </r>
  <r>
    <x v="11"/>
    <x v="56"/>
    <s v="Bill"/>
    <s v="492743"/>
    <x v="342"/>
    <s v="TRADICIONES ANDINAS - PERU -  TIYAPUY - SNACKS -  Maiz Cancha Frito Salado / Native Corn Snack-  12 / 130g - CH166"/>
    <n v="7"/>
    <n v="13.2"/>
    <n v="92.4"/>
    <n v="108177.08999999991"/>
  </r>
  <r>
    <x v="11"/>
    <x v="56"/>
    <s v="Bill"/>
    <s v="492743"/>
    <x v="309"/>
    <s v="TRADICIONES ANDINAS - PERU -  TIYAPUY - SNACKS -  Mix Andino Snack / Andean Mix Snack-  12 / 130g - CH169"/>
    <n v="3"/>
    <n v="13.2"/>
    <n v="39.6"/>
    <n v="108216.68999999992"/>
  </r>
  <r>
    <x v="11"/>
    <x v="56"/>
    <s v="Bill"/>
    <s v="492743"/>
    <x v="344"/>
    <s v="TA- PERU -  SIBARITA PRODUCTS -  SIBARITA - Tuco Tallarin-  6 sobres x 50 / 1.64oz  - SI309"/>
    <n v="1"/>
    <n v="45"/>
    <n v="45"/>
    <n v="108261.68999999992"/>
  </r>
  <r>
    <x v="11"/>
    <x v="56"/>
    <s v="Bill"/>
    <s v="492743"/>
    <x v="345"/>
    <s v="TA- PERU -  SIBARITA PRODUCTS -  SIBARITA - Aji Panca Sazonador-  6 sobres x 50 / 2.22oz - SI310"/>
    <n v="3"/>
    <n v="45"/>
    <n v="135"/>
    <n v="108396.68999999992"/>
  </r>
  <r>
    <x v="11"/>
    <x v="56"/>
    <s v="Bill"/>
    <s v="492743"/>
    <x v="403"/>
    <s v="TA- PERU -  SIBARITA PRODUCTS -  SIBARITA - Ajo / Garlic -  12 / 8.8oz - SI317"/>
    <n v="1"/>
    <n v="39"/>
    <n v="39"/>
    <n v="108435.68999999992"/>
  </r>
  <r>
    <x v="11"/>
    <x v="56"/>
    <s v="Bill"/>
    <s v="492743"/>
    <x v="284"/>
    <s v="PERU -  SIBARITA PRODUCTS -  SIBARITA - Vinagre Tinto - Red Vinegar -  12 / 1lt - SI313"/>
    <n v="3"/>
    <n v="11.88"/>
    <n v="35.64"/>
    <n v="108471.32999999991"/>
  </r>
  <r>
    <x v="11"/>
    <x v="56"/>
    <s v="Bill"/>
    <s v="492743"/>
    <x v="387"/>
    <s v="TA- PERU -  INFUSIONES -  TRADICIONES ANDINAS - Manzanilla - Chamomille Tea-  30 / 20x24g - TE01"/>
    <n v="5"/>
    <n v="27.29"/>
    <n v="136.44999999999999"/>
    <n v="108607.77999999991"/>
  </r>
  <r>
    <x v="11"/>
    <x v="56"/>
    <s v="Bill"/>
    <s v="492743"/>
    <x v="349"/>
    <s v="TA- PERU -  INFUSIONES -  TRADICIONES ANDINAS - Te con canela y clavo - Cinnamon and Clove-  30 / 20x24g - TE02"/>
    <n v="5"/>
    <n v="27.29"/>
    <n v="136.44999999999999"/>
    <n v="108744.22999999991"/>
  </r>
  <r>
    <x v="11"/>
    <x v="56"/>
    <s v="Bill"/>
    <s v="492743"/>
    <x v="350"/>
    <s v="TA- PERU -  INFUSIONES -  TRADICIONES ANDINAS - Anis-  30 / 20x24g - TE03"/>
    <n v="5"/>
    <n v="27.29"/>
    <n v="136.44999999999999"/>
    <n v="108880.67999999991"/>
  </r>
  <r>
    <x v="11"/>
    <x v="56"/>
    <s v="Bill"/>
    <s v="492743"/>
    <x v="351"/>
    <s v="TA- PERU -  INFUSIONES -  TRADICIONES ANDINAS - Hierbaluisa - Lemon Grass Tea-  30 / 20x24g - TE04"/>
    <n v="4"/>
    <n v="27.29"/>
    <n v="109.16"/>
    <n v="108989.83999999991"/>
  </r>
  <r>
    <x v="11"/>
    <x v="56"/>
    <s v="Bill"/>
    <s v="492743"/>
    <x v="404"/>
    <s v="TA- PERU -  INFUSIONES -  DEL VALLE - Boldo-  32 / 25x25g - Dvalle05"/>
    <n v="2"/>
    <n v="39.46"/>
    <n v="78.92"/>
    <n v="109068.75999999991"/>
  </r>
  <r>
    <x v="11"/>
    <x v="56"/>
    <s v="Bill"/>
    <s v="492743"/>
    <x v="352"/>
    <s v="TA- PERU -  INFUSIONES -  DEL VALLE - Una de Gato-  32 / 25x25g - Dvalle08"/>
    <n v="2"/>
    <n v="39.46"/>
    <n v="78.92"/>
    <n v="109147.67999999991"/>
  </r>
  <r>
    <x v="11"/>
    <x v="56"/>
    <s v="Bill"/>
    <s v="492743"/>
    <x v="287"/>
    <s v="TA - UNIVERSAL PRODUCTS- PERU -   -  Gelatina Fresa / Strawberry Gelatin -  12 / 150gr - U101"/>
    <n v="8"/>
    <n v="14"/>
    <n v="112"/>
    <n v="109259.67999999991"/>
  </r>
  <r>
    <x v="11"/>
    <x v="56"/>
    <s v="Bill"/>
    <s v="492743"/>
    <x v="288"/>
    <s v="TA - UNIVERSAL PRODUCTS- PERU -   -  Gelatina Naranja / Orange Gelatin -  12 / 150gr - U102"/>
    <n v="8"/>
    <n v="14"/>
    <n v="112"/>
    <n v="109371.67999999991"/>
  </r>
  <r>
    <x v="11"/>
    <x v="56"/>
    <s v="Bill"/>
    <s v="492743"/>
    <x v="354"/>
    <s v="TA - UNIVERSAL PRODUCTS- PERU -   -  Gelatina Piña / Pineapple Gelatin -  12 / 150gr - U103"/>
    <n v="4"/>
    <n v="14"/>
    <n v="56"/>
    <n v="109427.67999999991"/>
  </r>
  <r>
    <x v="11"/>
    <x v="56"/>
    <s v="Bill"/>
    <s v="492743"/>
    <x v="405"/>
    <s v="TA - UNIVERSAL PRODUCTS- PERU -   -  Gelatina Limon / Lemon Gelatin  -  12 / 150gr - U104"/>
    <n v="2"/>
    <n v="14"/>
    <n v="28"/>
    <n v="109455.67999999991"/>
  </r>
  <r>
    <x v="11"/>
    <x v="56"/>
    <s v="Bill"/>
    <s v="492743"/>
    <x v="406"/>
    <s v="TA - UNIVERSAL PRODUCTS- PERU -   -  Grape Gelatin / Gelatina Uva-  12 / 150gr - U105"/>
    <n v="4"/>
    <n v="14"/>
    <n v="56"/>
    <n v="109511.67999999991"/>
  </r>
  <r>
    <x v="11"/>
    <x v="56"/>
    <s v="Bill"/>
    <s v="492743"/>
    <x v="355"/>
    <s v="TA - UNIVERSAL PRODUCTS- PERU -   -  Flan de Vainilla / Vanilla Flan -  12 / 150gr - U106"/>
    <n v="32"/>
    <n v="14"/>
    <n v="448"/>
    <n v="109959.67999999991"/>
  </r>
  <r>
    <x v="11"/>
    <x v="56"/>
    <s v="Bill"/>
    <s v="492743"/>
    <x v="357"/>
    <s v="T.A Universal Maicena 180g x 7 / U114"/>
    <n v="3"/>
    <n v="9"/>
    <n v="27"/>
    <n v="109986.67999999991"/>
  </r>
  <r>
    <x v="11"/>
    <x v="56"/>
    <s v="Bill"/>
    <s v="492743"/>
    <x v="361"/>
    <s v="TA - UNIVERSAL PRODUCTS- PERU -   -  Polvo de Hornear - Baking powder-  12 / 100g - U136"/>
    <n v="6"/>
    <n v="12.84"/>
    <n v="77.040000000000006"/>
    <n v="110063.7199999999"/>
  </r>
  <r>
    <x v="11"/>
    <x v="56"/>
    <s v="Bill"/>
    <s v="492743"/>
    <x v="363"/>
    <s v="TA - UNIVERSAL PRODUCTS- PERU -   -  Gelatina Durazno / Peach Gelatin -  12 / 150gr - U138"/>
    <n v="2"/>
    <n v="14"/>
    <n v="28"/>
    <n v="110091.7199999999"/>
  </r>
  <r>
    <x v="11"/>
    <x v="56"/>
    <s v="Bill"/>
    <s v="492743"/>
    <x v="20"/>
    <s v="TA- PERU -  GOLOSINAS - DULCES  -  Cua Cua 18g x 9 x 24 / CH105"/>
    <n v="10"/>
    <n v="54.96"/>
    <n v="549.6"/>
    <n v="110641.31999999991"/>
  </r>
  <r>
    <x v="11"/>
    <x v="56"/>
    <s v="Bill"/>
    <s v="492743"/>
    <x v="21"/>
    <s v="TA- PERU -  GOLOSINAS - DULCES  -  Doña Pepa 23g  6 x 36 / CH106"/>
    <n v="10"/>
    <n v="60.84"/>
    <n v="608.4"/>
    <n v="111249.7199999999"/>
  </r>
  <r>
    <x v="11"/>
    <x v="56"/>
    <s v="Bill"/>
    <s v="492743"/>
    <x v="34"/>
    <s v="TA- PERU -  GOLOSINAS - DULCES  -  FIELD - Galletas de Soda-  36 / 6x34g - CH112"/>
    <n v="10"/>
    <n v="46.44"/>
    <n v="464.4"/>
    <n v="111714.11999999989"/>
  </r>
  <r>
    <x v="11"/>
    <x v="56"/>
    <s v="Bill"/>
    <s v="492743"/>
    <x v="24"/>
    <s v="TA- PERU -  GOLOSINAS - DULCES  -  FIELD - Galletas de Vainilla-  24 / 6x37g - CH113"/>
    <n v="3"/>
    <n v="50.9"/>
    <n v="152.69999999999999"/>
    <n v="111866.81999999989"/>
  </r>
  <r>
    <x v="11"/>
    <x v="56"/>
    <s v="Bill"/>
    <s v="492743"/>
    <x v="36"/>
    <s v="BELMONT - PERU -  GOLOSINAS - DULCES  -  CASINO - Galleta Fresa-  8 / 6x51g - CH116"/>
    <n v="10"/>
    <n v="18.32"/>
    <n v="183.2"/>
    <n v="112050.01999999989"/>
  </r>
  <r>
    <x v="11"/>
    <x v="56"/>
    <s v="Bill"/>
    <s v="492743"/>
    <x v="144"/>
    <s v="TA- PERU -  GOLOSINAS - DULCES  -  VICTORIA - Chomp Naranja-  8 / 6x 42g - CH121"/>
    <n v="20"/>
    <n v="18.32"/>
    <n v="366.4"/>
    <n v="112416.41999999988"/>
  </r>
  <r>
    <x v="11"/>
    <x v="56"/>
    <s v="Bill"/>
    <s v="492743"/>
    <x v="28"/>
    <s v="TA- PERU -  GOLOSINAS - DULCES  -  FIELD - Chocosoda Galletas-  32 / 6x8.25oz - CH122"/>
    <n v="2"/>
    <n v="66.88"/>
    <n v="133.76"/>
    <n v="112550.17999999988"/>
  </r>
  <r>
    <x v="11"/>
    <x v="56"/>
    <s v="Bill"/>
    <s v="492743"/>
    <x v="445"/>
    <s v="TA- PERU -  GOLOSINAS - DULCES  -  Trigo con Maca-  20 / 125g - CH156"/>
    <n v="2"/>
    <n v="22"/>
    <n v="44"/>
    <n v="112594.17999999988"/>
  </r>
  <r>
    <x v="11"/>
    <x v="56"/>
    <s v="Bill"/>
    <s v="492743"/>
    <x v="316"/>
    <s v="TA- PERU -  GOLOSINAS - DULCES  -  VITAPLUSS - Fideos con Miel-  20 / 120g - CH141"/>
    <n v="5"/>
    <n v="22"/>
    <n v="110"/>
    <n v="112704.17999999988"/>
  </r>
  <r>
    <x v="11"/>
    <x v="56"/>
    <s v="Bill"/>
    <s v="492743"/>
    <x v="365"/>
    <s v="TA- PERU -  GOLOSINAS - DULCES  -  Galletas Morochas-  22 / 12x30g - CH176"/>
    <n v="5"/>
    <n v="72.72"/>
    <n v="363.6"/>
    <n v="113067.77999999988"/>
  </r>
  <r>
    <x v="11"/>
    <x v="56"/>
    <s v="Bill"/>
    <s v="492743"/>
    <x v="293"/>
    <s v="TA- PERU -  GRANEL -  Aji Amarillo Balde 7.5Lbs"/>
    <n v="4"/>
    <n v="13.91"/>
    <n v="55.64"/>
    <n v="113123.41999999988"/>
  </r>
  <r>
    <x v="11"/>
    <x v="56"/>
    <s v="Bill"/>
    <s v="492743"/>
    <x v="376"/>
    <s v="TA- ECUADOR -  VALLES ANDINOS -  -  Sazon Completo - Complete Seasoning-  15 / 17.64oz - VA147"/>
    <n v="2"/>
    <n v="32.15"/>
    <n v="64.3"/>
    <n v="113187.71999999988"/>
  </r>
  <r>
    <x v="11"/>
    <x v="56"/>
    <s v="Bill"/>
    <s v="492743"/>
    <x v="377"/>
    <s v="TA- ECUADOR -  VALLES ANDINOS -  -  Chimichurri - BBQ Sauce-  15 / 17.64oz - VA148"/>
    <n v="2"/>
    <n v="32.15"/>
    <n v="64.3"/>
    <n v="113252.01999999989"/>
  </r>
  <r>
    <x v="11"/>
    <x v="56"/>
    <s v="Bill"/>
    <s v="492743"/>
    <x v="294"/>
    <s v="TA- ECUADOR -  VALLES ANDINOS -  -  Aceite Vegetal con Achiote-  15 / 14.88 floz - VA149"/>
    <n v="2"/>
    <n v="37.450000000000003"/>
    <n v="74.900000000000006"/>
    <n v="113326.91999999988"/>
  </r>
  <r>
    <x v="11"/>
    <x v="56"/>
    <s v="Bill"/>
    <s v="492743"/>
    <x v="407"/>
    <s v="Frijol Bocanegra / Black Eye Beans or Bocanegra"/>
    <n v="4"/>
    <n v="23.22"/>
    <n v="92.88"/>
    <n v="113419.79999999989"/>
  </r>
  <r>
    <x v="11"/>
    <x v="56"/>
    <s v="Bill"/>
    <s v="492743"/>
    <x v="442"/>
    <s v="Harina Maiz Morado / Purple Corn Flour"/>
    <n v="2"/>
    <n v="22.24"/>
    <n v="44.48"/>
    <n v="113464.27999999988"/>
  </r>
  <r>
    <x v="11"/>
    <x v="56"/>
    <s v="Bill"/>
    <s v="492743"/>
    <x v="438"/>
    <s v="TA - VALLES ANDINOS-  -  BOLSA -  Soy Beans / Soy Beans  -  18 / 14oz - VA120"/>
    <n v="2"/>
    <n v="30.42"/>
    <n v="60.84"/>
    <n v="113525.11999999988"/>
  </r>
  <r>
    <x v="11"/>
    <x v="56"/>
    <s v="Bill"/>
    <s v="492743"/>
    <x v="443"/>
    <s v="SOL DEL CUZCO Tableta sabor a chocolate para taza tradicional 12 x 90gr - IN01"/>
    <n v="2"/>
    <n v="10.68"/>
    <n v="21.36"/>
    <n v="113546.47999999988"/>
  </r>
  <r>
    <x v="11"/>
    <x v="56"/>
    <s v="Bill"/>
    <s v="492743"/>
    <x v="427"/>
    <s v="TRADICIONES ANDINAS- PERU -  FROZEN -  Habas Verdes / Fava Beans  -  20 / 28oz - P00109"/>
    <n v="5"/>
    <n v="55.8"/>
    <n v="279"/>
    <n v="113825.47999999988"/>
  </r>
  <r>
    <x v="11"/>
    <x v="56"/>
    <s v="Bill"/>
    <s v="492743"/>
    <x v="319"/>
    <s v="TRADICIONES ANDINAS- PERU -  FROZEN -  Choclo Entero / Corn on the Cob -  18/2 - P00110"/>
    <n v="2"/>
    <n v="32.74"/>
    <n v="65.48"/>
    <n v="113890.95999999988"/>
  </r>
  <r>
    <x v="11"/>
    <x v="56"/>
    <s v="Bill"/>
    <s v="492743"/>
    <x v="298"/>
    <s v="TRADICIONES ANDINAS- PERU -  FROZEN -  Rocoto Entero / Red Hot Pepper  -  20 / 16oz - P00112"/>
    <n v="10"/>
    <n v="53.5"/>
    <n v="535"/>
    <n v="114425.95999999988"/>
  </r>
  <r>
    <x v="11"/>
    <x v="56"/>
    <s v="Bill"/>
    <s v="492743"/>
    <x v="320"/>
    <s v="TRADICIONES ANDINAS- PERU -  FROZEN -  Papa Amarilla / Yellow Potato  -  20 / 16oz - P00113"/>
    <n v="5"/>
    <n v="49.8"/>
    <n v="249"/>
    <n v="114674.95999999988"/>
  </r>
  <r>
    <x v="11"/>
    <x v="56"/>
    <s v="Bill"/>
    <s v="492743"/>
    <x v="321"/>
    <s v="TRADICIONES ANDINAS- PERU -  FROZEN -  Choclo en Grano / Corn in Grain   -  30 / 16oz - P00115"/>
    <n v="6"/>
    <n v="54.57"/>
    <n v="327.42"/>
    <n v="115002.37999999987"/>
  </r>
  <r>
    <x v="11"/>
    <x v="56"/>
    <s v="Bill"/>
    <s v="492743"/>
    <x v="322"/>
    <s v="TRADICIONES ANDINAS- PERU -  FROZEN -  Olluco cortado / Sliced Ollucos  -  20 / 16oz - P00116"/>
    <n v="5"/>
    <n v="45"/>
    <n v="225"/>
    <n v="115227.37999999987"/>
  </r>
  <r>
    <x v="11"/>
    <x v="56"/>
    <s v="Bill"/>
    <s v="492743"/>
    <x v="323"/>
    <s v="TRADICIONES ANDINAS- PERU -  FROZEN -  Huacatay / Black Mint  -  24 / 12oz - P00117"/>
    <n v="3"/>
    <n v="46.22"/>
    <n v="138.66"/>
    <n v="115366.03999999988"/>
  </r>
  <r>
    <x v="11"/>
    <x v="56"/>
    <s v="Bill"/>
    <s v="492743"/>
    <x v="303"/>
    <s v="TRADICIONES ANDINAS- PERU -  FROZEN -  Choclo Entero / Corn on the Cob -  10/4 - P00225"/>
    <n v="10"/>
    <n v="37.450000000000003"/>
    <n v="374.5"/>
    <n v="115740.53999999988"/>
  </r>
  <r>
    <x v="11"/>
    <x v="56"/>
    <s v="Bill"/>
    <s v="492743"/>
    <x v="305"/>
    <s v="TRADICIONES ANDINAS - FROZEN -  Pulpa de Maracuya / Passion Fruit pulp -  12 / 14oz - RE041"/>
    <n v="5"/>
    <n v="26.84"/>
    <n v="134.19999999999999"/>
    <n v="115874.73999999987"/>
  </r>
  <r>
    <x v="11"/>
    <x v="56"/>
    <s v="Bill"/>
    <s v="492743"/>
    <x v="446"/>
    <s v="TRADICIONES ANDINAS- ECUADOR -  FROZEN -  Mora en Fruta / Blackberry  -  12 / 28oz - RE028"/>
    <n v="2"/>
    <n v="35"/>
    <n v="70"/>
    <n v="115944.73999999987"/>
  </r>
  <r>
    <x v="11"/>
    <x v="56"/>
    <s v="Bill"/>
    <s v="492743"/>
    <x v="433"/>
    <s v="TRADICIONES ANDINAS- PERU -  FROZEN -  Pulpa de Maracuya con pepas / Passion fruit pulp with Seeds-  12 / 14 oz - P00235"/>
    <n v="12"/>
    <n v="26.84"/>
    <n v="322.08"/>
    <n v="116266.81999999988"/>
  </r>
  <r>
    <x v="11"/>
    <x v="56"/>
    <s v="Bill"/>
    <s v="492743"/>
    <x v="388"/>
    <s v="TRADICIONES ANDINAS- ECUADOR -  FROZEN -  Pulpa de Guanabana / Soursop Pulpa -  12 / 14oz - RE063"/>
    <n v="2"/>
    <n v="28.68"/>
    <n v="57.36"/>
    <n v="116324.17999999988"/>
  </r>
  <r>
    <x v="11"/>
    <x v="56"/>
    <s v="Bill"/>
    <s v="492743"/>
    <x v="324"/>
    <s v="TRADICIONES ANDINAS- ECUADOR -  FROZEN -  Achocha / Caigua  -  12 / 16oz - RE102"/>
    <n v="2"/>
    <n v="29.4"/>
    <n v="58.8"/>
    <n v="116382.97999999988"/>
  </r>
  <r>
    <x v="11"/>
    <x v="56"/>
    <s v="Bill"/>
    <s v="492743"/>
    <x v="447"/>
    <s v="TRADICIONES ANDINAS- COLOMBIA -  FROZEN -  Papa Criolla / Yellow Potato  -  12 / 2 lbs - C00206"/>
    <n v="2"/>
    <n v="45"/>
    <n v="90"/>
    <n v="116472.97999999988"/>
  </r>
  <r>
    <x v="11"/>
    <x v="56"/>
    <s v="Bill"/>
    <s v="492743"/>
    <x v="448"/>
    <s v="TRADICIONES ANDINAS- COLOMBIA -  FROZEN -  Sancocho Colombiano / Vegetables Mix  -  6 / 2 lbs - C00210"/>
    <n v="2"/>
    <n v="27.5"/>
    <n v="55"/>
    <n v="116527.97999999988"/>
  </r>
  <r>
    <x v="11"/>
    <x v="56"/>
    <s v="Bill"/>
    <s v="492743"/>
    <x v="449"/>
    <s v="TRADICIONES ANDINAS- COLOMBIA -  FROZEN -  Arracacha / Yellow Cassava  -  16 / 16oz - C00211"/>
    <n v="2"/>
    <n v="37.5"/>
    <n v="75"/>
    <n v="116602.97999999988"/>
  </r>
  <r>
    <x v="11"/>
    <x v="56"/>
    <s v="Bill"/>
    <s v="492743"/>
    <x v="450"/>
    <s v="TRADICIONES ANDINAS- COLOMBIA -  FROZEN -  Discos de Yuca / Cassava Dough-  24 / 13.75 oz - CR250"/>
    <n v="1"/>
    <n v="40.56"/>
    <n v="40.56"/>
    <n v="116643.53999999988"/>
  </r>
  <r>
    <x v="11"/>
    <x v="57"/>
    <s v="Bill"/>
    <s v="493132"/>
    <x v="263"/>
    <s v="TRADICIONES ANDINAS - PERU -  VIDRIO -  Aceituna Botija /Alfonso Olives -  12 / 20oz - P00140"/>
    <n v="10"/>
    <n v="39.68"/>
    <n v="396.8"/>
    <n v="117040.33999999988"/>
  </r>
  <r>
    <x v="11"/>
    <x v="57"/>
    <s v="Bill"/>
    <s v="493132"/>
    <x v="451"/>
    <s v="TRADICIONES ANDINAS - PERU -  ENLATADO Olluco en Lata /Whole Ollucus -  24 / 20oz - P00130"/>
    <n v="2"/>
    <n v="51.1"/>
    <n v="102.2"/>
    <n v="117142.53999999988"/>
  </r>
  <r>
    <x v="11"/>
    <x v="57"/>
    <s v="Bill"/>
    <s v="493132"/>
    <x v="383"/>
    <s v="TRADICIONES ANDINAS - PERU -  ENLATADO Aji Amarillo en Lata /Whole Yellow Hot Pepper -  24 / 20oz - P00145"/>
    <n v="1"/>
    <n v="51.1"/>
    <n v="51.1"/>
    <n v="117193.63999999988"/>
  </r>
  <r>
    <x v="11"/>
    <x v="57"/>
    <s v="Bill"/>
    <s v="493132"/>
    <x v="268"/>
    <s v="TRADICIONES ANDINAS - PERU -  BOLSA -  Cancha Corn / Maiz Cancha-  24 / 15oz - P00162"/>
    <n v="10"/>
    <n v="45.96"/>
    <n v="459.6"/>
    <n v="117653.23999999989"/>
  </r>
  <r>
    <x v="11"/>
    <x v="57"/>
    <s v="Bill"/>
    <s v="493132"/>
    <x v="277"/>
    <s v="Maiz Morado (Family Pack) /Purple Corn"/>
    <n v="5"/>
    <n v="23.96"/>
    <n v="119.8"/>
    <n v="117773.03999999989"/>
  </r>
  <r>
    <x v="11"/>
    <x v="57"/>
    <s v="Bill"/>
    <s v="493132"/>
    <x v="392"/>
    <s v="TRADICIONES ANDINAS - PERU -  BOLSA -  Quick Oats / Avena-  6 / 32oz - P00407"/>
    <n v="4"/>
    <n v="9.99"/>
    <n v="39.96"/>
    <n v="117812.9999999999"/>
  </r>
  <r>
    <x v="11"/>
    <x v="57"/>
    <s v="Bill"/>
    <s v="493132"/>
    <x v="452"/>
    <s v="TRADICIONES ANDINAS - PERU -  MISCELANEUS PRODUCTS -  Tradiciones Andinas - Miel de Abeja-  24 / 500gr - P00412"/>
    <n v="1"/>
    <n v="98.16"/>
    <n v="98.16"/>
    <n v="117911.1599999999"/>
  </r>
  <r>
    <x v="11"/>
    <x v="57"/>
    <s v="Bill"/>
    <s v="493132"/>
    <x v="393"/>
    <s v="TRADICIONES ANDINAS - PERU -  MISCELANEUS PRODUCTS -  Tradiciones Andinas - Algarrobina-  24 / 500gr - P00413"/>
    <n v="1"/>
    <n v="78.959999999999994"/>
    <n v="78.959999999999994"/>
    <n v="117990.11999999991"/>
  </r>
  <r>
    <x v="11"/>
    <x v="57"/>
    <s v="Bill"/>
    <s v="493132"/>
    <x v="296"/>
    <s v="TRADICIONES ANDINAS - PERU -  TIYAPUY - SNACKS -  Habas Fritas Saladas/  Broad Beans Snacks-  12 / 130g - CH167"/>
    <n v="6"/>
    <n v="13.2"/>
    <n v="79.2"/>
    <n v="118069.31999999991"/>
  </r>
  <r>
    <x v="11"/>
    <x v="57"/>
    <s v="Bill"/>
    <s v="493132"/>
    <x v="287"/>
    <s v="TA - UNIVERSAL PRODUCTS- PERU -   -  Gelatina Fresa / Strawberry Gelatin -  12 / 150gr - U101"/>
    <n v="12"/>
    <n v="14"/>
    <n v="168"/>
    <n v="118237.31999999991"/>
  </r>
  <r>
    <x v="11"/>
    <x v="57"/>
    <s v="Bill"/>
    <s v="493132"/>
    <x v="311"/>
    <s v="TA - UNIVERSAL PRODUCTS- PERU -   -  Chicha Morada / Purple drink instant beverage-  12 / 120gr - U110"/>
    <n v="2"/>
    <n v="12.4"/>
    <n v="24.8"/>
    <n v="118262.11999999991"/>
  </r>
  <r>
    <x v="11"/>
    <x v="57"/>
    <s v="Bill"/>
    <s v="493132"/>
    <x v="380"/>
    <s v="TA- PERU -  GOLOSINAS - DULCES  -  Maiz Atomico con Maca-  20 / 4.41z (125g) - CH137"/>
    <n v="2"/>
    <n v="21.4"/>
    <n v="42.8"/>
    <n v="118304.91999999991"/>
  </r>
  <r>
    <x v="11"/>
    <x v="57"/>
    <s v="Bill"/>
    <s v="493132"/>
    <x v="314"/>
    <s v="TA- PERU -  GOLOSINAS - DULCES  -  VITAPLUSS - Maiz expandido con miel-  24 / 140g - CH139"/>
    <n v="2"/>
    <n v="26.4"/>
    <n v="52.8"/>
    <n v="118357.71999999991"/>
  </r>
  <r>
    <x v="11"/>
    <x v="57"/>
    <s v="Bill"/>
    <s v="493132"/>
    <x v="317"/>
    <s v="TA- PERU -  GOLOSINAS - DULCES  -  VITAPLUSS - Arrocito con Miel -  24 / 150g - CH142"/>
    <n v="2"/>
    <n v="26.4"/>
    <n v="52.8"/>
    <n v="118410.51999999992"/>
  </r>
  <r>
    <x v="11"/>
    <x v="57"/>
    <s v="Bill"/>
    <s v="493132"/>
    <x v="318"/>
    <s v="TA- PERU -  GOLOSINAS - DULCES  -  Arrocito Atomico-  20 / 150g - CH146"/>
    <n v="2"/>
    <n v="21.4"/>
    <n v="42.8"/>
    <n v="118453.31999999992"/>
  </r>
  <r>
    <x v="11"/>
    <x v="57"/>
    <s v="Bill"/>
    <s v="493132"/>
    <x v="443"/>
    <s v="SOL DEL CUZCO Tableta sabor a chocolate para taza tradicional 12 x 90gr - IN01"/>
    <n v="6"/>
    <n v="10.68"/>
    <n v="64.08"/>
    <n v="118517.39999999992"/>
  </r>
  <r>
    <x v="11"/>
    <x v="57"/>
    <s v="Bill"/>
    <s v="493132"/>
    <x v="453"/>
    <s v="SOL DEL CUZCO Tableta sabor a chocolate con canela y clavo para taza 12 x 90gr"/>
    <n v="6"/>
    <n v="10.68"/>
    <n v="64.08"/>
    <n v="118581.4799999999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37">
  <r>
    <x v="0"/>
    <x v="0"/>
    <s v="Bill"/>
    <s v=""/>
    <x v="0"/>
    <s v="Agua de Manantial Ozarka Texas, 8 fl oz, Paquete de 48 Botellas de Plástico"/>
    <n v="5"/>
    <n v="7.98"/>
    <n v="39.9"/>
    <n v="39.9"/>
    <n v="1"/>
    <s v="No se repite"/>
    <s v="Sam's Club-Agua Ozarka Texas, 8 fl oz, Paquete de 48 Botellas de Plástico"/>
    <n v="1"/>
    <s v="No se repite en proveedor"/>
    <s v="Sam's Club-Agua Ozarka Texas, 8 fl oz, Paquete de 48 Botellas de Plástico-7.98"/>
    <n v="1"/>
    <s v="No se repite"/>
    <s v="El producto Agua Ozarka Texas, 8 fl oz, Paquete de 48 Botellas de Plástico No se repite en proveedor Una vez con el precio 7.98"/>
  </r>
  <r>
    <x v="1"/>
    <x v="1"/>
    <s v="Bill"/>
    <s v="2025001378"/>
    <x v="1"/>
    <s v="Aji Panca Seco"/>
    <n v="1"/>
    <n v="180"/>
    <n v="180"/>
    <n v="25252"/>
    <n v="2"/>
    <s v="Se repite 2 veces"/>
    <s v="Peru Chef-Aji Panca Seco sin pepa 2.04kg"/>
    <n v="2"/>
    <s v="Se repite 2 veces en Peru Chef"/>
    <s v="Peru Chef-Aji Panca Seco sin pepa 2.04kg-180"/>
    <n v="1"/>
    <s v="No se repite"/>
    <s v="El producto Aji Panca Seco sin pepa 2.04kg Se repite 2 veces en Peru Chef Una vez con el precio 180"/>
  </r>
  <r>
    <x v="1"/>
    <x v="2"/>
    <s v="Bill"/>
    <s v="2025001691"/>
    <x v="1"/>
    <s v="Aji Panca Seco"/>
    <n v="5"/>
    <n v="40"/>
    <n v="200"/>
    <n v="28751.5"/>
    <n v="2"/>
    <s v="Se repite 2 veces"/>
    <s v="Peru Chef-Aji Panca Seco sin pepa 2.04kg"/>
    <n v="2"/>
    <s v="Se repite 2 veces en Peru Chef"/>
    <s v="Peru Chef-Aji Panca Seco sin pepa 2.04kg-40"/>
    <n v="1"/>
    <s v="No se repite"/>
    <s v="El producto Aji Panca Seco sin pepa 2.04kg Se repite 2 veces en Peru Chef Una vez con el precio 40"/>
  </r>
  <r>
    <x v="2"/>
    <x v="3"/>
    <s v="Bill"/>
    <s v="64308"/>
    <x v="2"/>
    <s v="AjiNomoto Bolsa 1Kg x 18 / 7754487118804 / 00803 / AB-11"/>
    <n v="1"/>
    <n v="109"/>
    <n v="109"/>
    <n v="1254.8"/>
    <n v="5"/>
    <s v="Se repite 5 veces"/>
    <s v="Belmont International Trading Corp-AjiNomoto Bolsa 1Kg x 18"/>
    <n v="1"/>
    <s v="No se repite en proveedor"/>
    <s v="Belmont International Trading Corp-AjiNomoto Bolsa 1Kg x 18-109"/>
    <n v="1"/>
    <s v="No se repite"/>
    <s v="El producto AjiNomoto Bolsa 1Kg x 18 No se repite en proveedor Una vez con el precio 109"/>
  </r>
  <r>
    <x v="3"/>
    <x v="4"/>
    <s v="Bill"/>
    <s v="480295"/>
    <x v="2"/>
    <s v="AjiNomoto Bolsa 1Kg x 18 / 7754487118804 / 00803 / AB-11"/>
    <n v="1"/>
    <n v="85"/>
    <n v="85"/>
    <n v="38616.68"/>
    <n v="5"/>
    <s v="Se repite 5 veces"/>
    <s v="Tradiciones Andinas-AjiNomoto Bolsa 1Kg x 18"/>
    <n v="4"/>
    <s v="Se repite 4 veces en Tradiciones Andinas"/>
    <s v="Tradiciones Andinas-AjiNomoto Bolsa 1Kg x 18-85"/>
    <n v="4"/>
    <s v="Se repite 4 veces el precio de 85"/>
    <s v="El producto AjiNomoto Bolsa 1Kg x 18 Se repite 4 veces en Tradiciones Andinas, Se repite 4 veces el precio de 85"/>
  </r>
  <r>
    <x v="3"/>
    <x v="5"/>
    <s v="Bill"/>
    <s v="482005"/>
    <x v="2"/>
    <s v="AjiNomoto Bolsa 1Kg x 18 / 7754487118804 / 00803 / AB-11"/>
    <n v="2"/>
    <n v="85"/>
    <n v="170"/>
    <n v="50395.629999999968"/>
    <n v="5"/>
    <s v="Se repite 5 veces"/>
    <s v="Tradiciones Andinas-AjiNomoto Bolsa 1Kg x 18"/>
    <n v="4"/>
    <s v="Se repite 4 veces en Tradiciones Andinas"/>
    <s v="Tradiciones Andinas-AjiNomoto Bolsa 1Kg x 18-85"/>
    <n v="4"/>
    <s v="Se repite 4 veces el precio de 85"/>
    <s v="El producto AjiNomoto Bolsa 1Kg x 18 Se repite 4 veces en Tradiciones Andinas, Se repite 4 veces el precio de 85"/>
  </r>
  <r>
    <x v="3"/>
    <x v="6"/>
    <s v="Bill"/>
    <s v="487860"/>
    <x v="2"/>
    <s v="AjiNomoto Bolsa 1Kg x 18 / 7754487118804 / 00803 / AB-11"/>
    <n v="1"/>
    <n v="85"/>
    <n v="85"/>
    <n v="80699.939999999959"/>
    <n v="5"/>
    <s v="Se repite 5 veces"/>
    <s v="Tradiciones Andinas-AjiNomoto Bolsa 1Kg x 18"/>
    <n v="4"/>
    <s v="Se repite 4 veces en Tradiciones Andinas"/>
    <s v="Tradiciones Andinas-AjiNomoto Bolsa 1Kg x 18-85"/>
    <n v="4"/>
    <s v="Se repite 4 veces el precio de 85"/>
    <s v="El producto AjiNomoto Bolsa 1Kg x 18 Se repite 4 veces en Tradiciones Andinas, Se repite 4 veces el precio de 85"/>
  </r>
  <r>
    <x v="3"/>
    <x v="7"/>
    <s v="Bill"/>
    <s v="492743"/>
    <x v="2"/>
    <s v="AjiNomoto Bolsa 1Kg x 18 / 7754487118804 / 00803 / AB-11"/>
    <n v="2"/>
    <n v="85"/>
    <n v="170"/>
    <n v="107432.12999999992"/>
    <n v="5"/>
    <s v="Se repite 5 veces"/>
    <s v="Tradiciones Andinas-AjiNomoto Bolsa 1Kg x 18"/>
    <n v="4"/>
    <s v="Se repite 4 veces en Tradiciones Andinas"/>
    <s v="Tradiciones Andinas-AjiNomoto Bolsa 1Kg x 18-85"/>
    <n v="4"/>
    <s v="Se repite 4 veces el precio de 85"/>
    <s v="El producto AjiNomoto Bolsa 1Kg x 18 Se repite 4 veces en Tradiciones Andinas, Se repite 4 veces el precio de 85"/>
  </r>
  <r>
    <x v="2"/>
    <x v="3"/>
    <s v="Bill"/>
    <s v="64308"/>
    <x v="3"/>
    <s v="TA- PERU -  CONDIMENT PRODUCTS -  MSG -AJINOMOTO-  60 / 250gr - 00995"/>
    <n v="1"/>
    <n v="90"/>
    <n v="90"/>
    <n v="1085.8"/>
    <n v="7"/>
    <s v="Se repite 7 veces"/>
    <s v="Belmont International Trading Corp-Ajinomoto Bolsa 250gr x 60"/>
    <n v="1"/>
    <s v="No se repite en proveedor"/>
    <s v="Belmont International Trading Corp-Ajinomoto Bolsa 250gr x 60-90"/>
    <n v="1"/>
    <s v="No se repite"/>
    <s v="El producto Ajinomoto Bolsa 250gr x 60 No se repite en proveedor Una vez con el precio 90"/>
  </r>
  <r>
    <x v="1"/>
    <x v="8"/>
    <s v="Bill"/>
    <s v=""/>
    <x v="3"/>
    <s v="MSG -AJINOMOTO"/>
    <n v="1"/>
    <n v="99"/>
    <n v="99"/>
    <n v="984.8"/>
    <n v="7"/>
    <s v="Se repite 7 veces"/>
    <s v="Peru Chef-Ajinomoto Bolsa 250gr x 60"/>
    <n v="2"/>
    <s v="Se repite 2 veces en Peru Chef"/>
    <s v="Peru Chef-Ajinomoto Bolsa 250gr x 60-99"/>
    <n v="2"/>
    <s v="Se repite 2 veces el precio de 99"/>
    <s v="El producto Ajinomoto Bolsa 250gr x 60 Se repite 2 veces en Peru Chef, Se repite 2 veces el precio de 99"/>
  </r>
  <r>
    <x v="1"/>
    <x v="9"/>
    <s v="Bill"/>
    <s v="55130"/>
    <x v="3"/>
    <s v="MSG -AJINOMOTO"/>
    <n v="1"/>
    <n v="99"/>
    <n v="99"/>
    <n v="3231"/>
    <n v="7"/>
    <s v="Se repite 7 veces"/>
    <s v="Peru Chef-Ajinomoto Bolsa 250gr x 60"/>
    <n v="2"/>
    <s v="Se repite 2 veces en Peru Chef"/>
    <s v="Peru Chef-Ajinomoto Bolsa 250gr x 60-99"/>
    <n v="2"/>
    <s v="Se repite 2 veces el precio de 99"/>
    <s v="El producto Ajinomoto Bolsa 250gr x 60 Se repite 2 veces en Peru Chef, Se repite 2 veces el precio de 99"/>
  </r>
  <r>
    <x v="3"/>
    <x v="10"/>
    <s v="Bill"/>
    <s v="476974"/>
    <x v="3"/>
    <s v="MSG -AJINOMOTO"/>
    <n v="3"/>
    <n v="69"/>
    <n v="207"/>
    <n v="14449.279999999999"/>
    <n v="7"/>
    <s v="Se repite 7 veces"/>
    <s v="Tradiciones Andinas-Ajinomoto Bolsa 250gr x 60"/>
    <n v="4"/>
    <s v="Se repite 4 veces en Tradiciones Andinas"/>
    <s v="Tradiciones Andinas-Ajinomoto Bolsa 250gr x 60-69"/>
    <n v="1"/>
    <s v="No se repite"/>
    <s v="El producto Ajinomoto Bolsa 250gr x 60 Se repite 4 veces en Tradiciones Andinas Una vez con el precio 69"/>
  </r>
  <r>
    <x v="3"/>
    <x v="4"/>
    <s v="Bill"/>
    <s v="480295"/>
    <x v="3"/>
    <s v="TA- PERU -  CONDIMENT PRODUCTS -  MSG -AJINOMOTO-  60 / 250gr - 00995"/>
    <n v="5"/>
    <n v="73.8"/>
    <n v="369"/>
    <n v="38531.68"/>
    <n v="7"/>
    <s v="Se repite 7 veces"/>
    <s v="Tradiciones Andinas-Ajinomoto Bolsa 250gr x 60"/>
    <n v="4"/>
    <s v="Se repite 4 veces en Tradiciones Andinas"/>
    <s v="Tradiciones Andinas-Ajinomoto Bolsa 250gr x 60-73.8"/>
    <n v="3"/>
    <s v="Se repite 3 veces el precio de 73.8"/>
    <s v="El producto Ajinomoto Bolsa 250gr x 60 Se repite 4 veces en Tradiciones Andinas, Se repite 3 veces el precio de 73.8"/>
  </r>
  <r>
    <x v="3"/>
    <x v="6"/>
    <s v="Bill"/>
    <s v="487860"/>
    <x v="3"/>
    <s v="TA- PERU -  CONDIMENT PRODUCTS -  MSG -AJINOMOTO-  60 / 250gr - 00995"/>
    <n v="3"/>
    <n v="73.8"/>
    <n v="221.4"/>
    <n v="80614.939999999959"/>
    <n v="7"/>
    <s v="Se repite 7 veces"/>
    <s v="Tradiciones Andinas-Ajinomoto Bolsa 250gr x 60"/>
    <n v="4"/>
    <s v="Se repite 4 veces en Tradiciones Andinas"/>
    <s v="Tradiciones Andinas-Ajinomoto Bolsa 250gr x 60-73.8"/>
    <n v="3"/>
    <s v="Se repite 3 veces el precio de 73.8"/>
    <s v="El producto Ajinomoto Bolsa 250gr x 60 Se repite 4 veces en Tradiciones Andinas, Se repite 3 veces el precio de 73.8"/>
  </r>
  <r>
    <x v="3"/>
    <x v="7"/>
    <s v="Bill"/>
    <s v="492743"/>
    <x v="3"/>
    <s v="TA- PERU -  CONDIMENT PRODUCTS -  MSG -AJINOMOTO-  60 / 250gr - 00995"/>
    <n v="4"/>
    <n v="73.8"/>
    <n v="295.2"/>
    <n v="107262.12999999992"/>
    <n v="7"/>
    <s v="Se repite 7 veces"/>
    <s v="Tradiciones Andinas-Ajinomoto Bolsa 250gr x 60"/>
    <n v="4"/>
    <s v="Se repite 4 veces en Tradiciones Andinas"/>
    <s v="Tradiciones Andinas-Ajinomoto Bolsa 250gr x 60-73.8"/>
    <n v="3"/>
    <s v="Se repite 3 veces el precio de 73.8"/>
    <s v="El producto Ajinomoto Bolsa 250gr x 60 Se repite 4 veces en Tradiciones Andinas, Se repite 3 veces el precio de 73.8"/>
  </r>
  <r>
    <x v="3"/>
    <x v="10"/>
    <s v="Bill"/>
    <s v="476974"/>
    <x v="4"/>
    <s v="AjiNomoto Bolsa 500g x 30 - TA"/>
    <n v="6"/>
    <n v="71"/>
    <n v="426"/>
    <n v="14875.279999999999"/>
    <n v="5"/>
    <s v="Se repite 5 veces"/>
    <s v="Tradiciones Andinas-AjiNomoto Bolsa 500g x 30"/>
    <n v="5"/>
    <s v="Se repite 5 veces en Tradiciones Andinas"/>
    <s v="Tradiciones Andinas-AjiNomoto Bolsa 500g x 30-71"/>
    <n v="1"/>
    <s v="No se repite"/>
    <s v="El producto AjiNomoto Bolsa 500g x 30 Se repite 5 veces en Tradiciones Andinas Una vez con el precio 71"/>
  </r>
  <r>
    <x v="3"/>
    <x v="11"/>
    <s v="Bill"/>
    <s v="478734"/>
    <x v="4"/>
    <s v="T.A AjiNomoto Bolsa 500g x 30 / 00804"/>
    <n v="2"/>
    <n v="75.97"/>
    <n v="151.94"/>
    <n v="25794.279999999995"/>
    <n v="5"/>
    <s v="Se repite 5 veces"/>
    <s v="Tradiciones Andinas-AjiNomoto Bolsa 500g x 30"/>
    <n v="5"/>
    <s v="Se repite 5 veces en Tradiciones Andinas"/>
    <s v="Tradiciones Andinas-AjiNomoto Bolsa 500g x 30-75.97"/>
    <n v="4"/>
    <s v="Se repite 4 veces el precio de 75.97"/>
    <s v="El producto AjiNomoto Bolsa 500g x 30 Se repite 5 veces en Tradiciones Andinas, Se repite 4 veces el precio de 75.97"/>
  </r>
  <r>
    <x v="3"/>
    <x v="4"/>
    <s v="Bill"/>
    <s v="480295"/>
    <x v="4"/>
    <s v="T.A AjiNomoto Bolsa 500g x 30 / 00804"/>
    <n v="1"/>
    <n v="75.97"/>
    <n v="75.97"/>
    <n v="38692.65"/>
    <n v="5"/>
    <s v="Se repite 5 veces"/>
    <s v="Tradiciones Andinas-AjiNomoto Bolsa 500g x 30"/>
    <n v="5"/>
    <s v="Se repite 5 veces en Tradiciones Andinas"/>
    <s v="Tradiciones Andinas-AjiNomoto Bolsa 500g x 30-75.97"/>
    <n v="4"/>
    <s v="Se repite 4 veces el precio de 75.97"/>
    <s v="El producto AjiNomoto Bolsa 500g x 30 Se repite 5 veces en Tradiciones Andinas, Se repite 4 veces el precio de 75.97"/>
  </r>
  <r>
    <x v="3"/>
    <x v="5"/>
    <s v="Bill"/>
    <s v="482005"/>
    <x v="4"/>
    <s v="T.A AjiNomoto Bolsa 500g x 30 / 00804"/>
    <n v="4"/>
    <n v="75.97"/>
    <n v="303.88"/>
    <n v="50699.509999999966"/>
    <n v="5"/>
    <s v="Se repite 5 veces"/>
    <s v="Tradiciones Andinas-AjiNomoto Bolsa 500g x 30"/>
    <n v="5"/>
    <s v="Se repite 5 veces en Tradiciones Andinas"/>
    <s v="Tradiciones Andinas-AjiNomoto Bolsa 500g x 30-75.97"/>
    <n v="4"/>
    <s v="Se repite 4 veces el precio de 75.97"/>
    <s v="El producto AjiNomoto Bolsa 500g x 30 Se repite 5 veces en Tradiciones Andinas, Se repite 4 veces el precio de 75.97"/>
  </r>
  <r>
    <x v="3"/>
    <x v="6"/>
    <s v="Bill"/>
    <s v="487860"/>
    <x v="4"/>
    <s v="T.A AjiNomoto Bolsa 500g x 30 / 00804"/>
    <n v="3"/>
    <n v="75.97"/>
    <n v="227.91"/>
    <n v="80927.849999999962"/>
    <n v="5"/>
    <s v="Se repite 5 veces"/>
    <s v="Tradiciones Andinas-AjiNomoto Bolsa 500g x 30"/>
    <n v="5"/>
    <s v="Se repite 5 veces en Tradiciones Andinas"/>
    <s v="Tradiciones Andinas-AjiNomoto Bolsa 500g x 30-75.97"/>
    <n v="4"/>
    <s v="Se repite 4 veces el precio de 75.97"/>
    <s v="El producto AjiNomoto Bolsa 500g x 30 Se repite 5 veces en Tradiciones Andinas, Se repite 4 veces el precio de 75.97"/>
  </r>
  <r>
    <x v="2"/>
    <x v="3"/>
    <s v="Bill"/>
    <s v="64308"/>
    <x v="5"/>
    <s v="TA- PERU -  CONDIMENT PRODUCTS -  AJI NO Siyau-  24 / 500 ml - 00999"/>
    <n v="1"/>
    <n v="50.4"/>
    <n v="50.4"/>
    <n v="995.8"/>
    <n v="5"/>
    <s v="Se repite 5 veces"/>
    <s v="Belmont International Trading Corp-AJINOSIYAO 500ml x 24"/>
    <n v="1"/>
    <s v="No se repite en proveedor"/>
    <s v="Belmont International Trading Corp-AJINOSIYAO 500ml x 24-50.4"/>
    <n v="1"/>
    <s v="No se repite"/>
    <s v="El producto AJINOSIYAO 500ml x 24 No se repite en proveedor Una vez con el precio 50.4"/>
  </r>
  <r>
    <x v="1"/>
    <x v="12"/>
    <s v="Bill"/>
    <s v="56352"/>
    <x v="5"/>
    <s v="TA- PERU -  CONDIMENT PRODUCTS -  AJI NO Siyau-  24 / 500 ml - 00999"/>
    <n v="1"/>
    <n v="45"/>
    <n v="45"/>
    <n v="14643.5"/>
    <n v="5"/>
    <s v="Se repite 5 veces"/>
    <s v="Peru Chef-AJINOSIYAO 500ml x 24"/>
    <n v="1"/>
    <s v="No se repite en proveedor"/>
    <s v="Peru Chef-AJINOSIYAO 500ml x 24-45"/>
    <n v="1"/>
    <s v="No se repite"/>
    <s v="El producto AJINOSIYAO 500ml x 24 No se repite en proveedor Una vez con el precio 45"/>
  </r>
  <r>
    <x v="3"/>
    <x v="13"/>
    <s v="Bill"/>
    <s v="485230"/>
    <x v="5"/>
    <s v="TA- PERU -  CONDIMENT PRODUCTS -  AJI NO Siyau-  24 / 500 ml - 00999"/>
    <n v="2"/>
    <n v="28.8"/>
    <n v="57.6"/>
    <n v="69776.400000000023"/>
    <n v="5"/>
    <s v="Se repite 5 veces"/>
    <s v="Tradiciones Andinas-AJINOSIYAO 500ml x 24"/>
    <n v="3"/>
    <s v="Se repite 3 veces en Tradiciones Andinas"/>
    <s v="Tradiciones Andinas-AJINOSIYAO 500ml x 24-28.8"/>
    <n v="3"/>
    <s v="Se repite 3 veces el precio de 28.8"/>
    <s v="El producto AJINOSIYAO 500ml x 24 Se repite 3 veces en Tradiciones Andinas, Se repite 3 veces el precio de 28.8"/>
  </r>
  <r>
    <x v="3"/>
    <x v="6"/>
    <s v="Bill"/>
    <s v="487860"/>
    <x v="5"/>
    <s v="TA- PERU -  CONDIMENT PRODUCTS -  AJI NO Siyau-  24 / 500 ml - 00999"/>
    <n v="5"/>
    <n v="28.8"/>
    <n v="144"/>
    <n v="81071.849999999962"/>
    <n v="5"/>
    <s v="Se repite 5 veces"/>
    <s v="Tradiciones Andinas-AJINOSIYAO 500ml x 24"/>
    <n v="3"/>
    <s v="Se repite 3 veces en Tradiciones Andinas"/>
    <s v="Tradiciones Andinas-AJINOSIYAO 500ml x 24-28.8"/>
    <n v="3"/>
    <s v="Se repite 3 veces el precio de 28.8"/>
    <s v="El producto AJINOSIYAO 500ml x 24 Se repite 3 veces en Tradiciones Andinas, Se repite 3 veces el precio de 28.8"/>
  </r>
  <r>
    <x v="3"/>
    <x v="7"/>
    <s v="Bill"/>
    <s v="492743"/>
    <x v="5"/>
    <s v="TA- PERU -  CONDIMENT PRODUCTS -  AJI NO Siyau-  24 / 500 ml - 00999"/>
    <n v="3"/>
    <n v="28.8"/>
    <n v="86.4"/>
    <n v="107518.52999999991"/>
    <n v="5"/>
    <s v="Se repite 5 veces"/>
    <s v="Tradiciones Andinas-AJINOSIYAO 500ml x 24"/>
    <n v="3"/>
    <s v="Se repite 3 veces en Tradiciones Andinas"/>
    <s v="Tradiciones Andinas-AJINOSIYAO 500ml x 24-28.8"/>
    <n v="3"/>
    <s v="Se repite 3 veces el precio de 28.8"/>
    <s v="El producto AJINOSIYAO 500ml x 24 Se repite 3 veces en Tradiciones Andinas, Se repite 3 veces el precio de 28.8"/>
  </r>
  <r>
    <x v="3"/>
    <x v="9"/>
    <s v="Bill"/>
    <s v=""/>
    <x v="6"/>
    <s v="Arrocito Atomico"/>
    <n v="2"/>
    <n v="20"/>
    <n v="40"/>
    <n v="6965.6399999999994"/>
    <n v="2"/>
    <s v="Se repite 2 veces"/>
    <s v="Tradiciones Andinas-Arrocito Atomico 150gr x 20 (5.3oz)  x 20"/>
    <n v="2"/>
    <s v="Se repite 2 veces en Tradiciones Andinas"/>
    <s v="Tradiciones Andinas-Arrocito Atomico 150gr x 20 (5.3oz)  x 20-20"/>
    <n v="1"/>
    <s v="No se repite"/>
    <s v="El producto Arrocito Atomico 150gr x 20 (5.3oz)  x 20 Se repite 2 veces en Tradiciones Andinas Una vez con el precio 20"/>
  </r>
  <r>
    <x v="3"/>
    <x v="14"/>
    <s v="Bill"/>
    <s v="493132"/>
    <x v="6"/>
    <s v="TA- PERU -  GOLOSINAS - DULCES  -  Arrocito Atomico-  20 / 150g - CH146"/>
    <n v="2"/>
    <n v="21.4"/>
    <n v="42.8"/>
    <n v="118453.31999999992"/>
    <n v="2"/>
    <s v="Se repite 2 veces"/>
    <s v="Tradiciones Andinas-Arrocito Atomico 150gr x 20 (5.3oz)  x 20"/>
    <n v="2"/>
    <s v="Se repite 2 veces en Tradiciones Andinas"/>
    <s v="Tradiciones Andinas-Arrocito Atomico 150gr x 20 (5.3oz)  x 20-21.4"/>
    <n v="1"/>
    <s v="No se repite"/>
    <s v="El producto Arrocito Atomico 150gr x 20 (5.3oz)  x 20 Se repite 2 veces en Tradiciones Andinas Una vez con el precio 21.4"/>
  </r>
  <r>
    <x v="1"/>
    <x v="8"/>
    <s v="Bill"/>
    <s v=""/>
    <x v="7"/>
    <s v="Atun Florida 6 Oz X 48"/>
    <n v="1"/>
    <n v="82.5"/>
    <n v="82.5"/>
    <n v="885.8"/>
    <n v="6"/>
    <s v="Se repite 6 veces"/>
    <s v="Peru Chef-Atun Florida Solido en aceite 6 oz X 48"/>
    <n v="6"/>
    <s v="Se repite 6 veces en Peru Chef"/>
    <s v="Peru Chef-Atun Florida Solido en aceite 6 oz X 48-82.5"/>
    <n v="2"/>
    <s v="Se repite 2 veces el precio de 82.5"/>
    <s v="El producto Atun Florida Solido en aceite 6 oz X 48 Se repite 6 veces en Peru Chef, Se repite 2 veces el precio de 82.5"/>
  </r>
  <r>
    <x v="1"/>
    <x v="9"/>
    <s v="Bill"/>
    <s v="55130"/>
    <x v="7"/>
    <s v="Atun Florida Solido en aceite 6 Oz X 48"/>
    <n v="1"/>
    <n v="82.5"/>
    <n v="82.5"/>
    <n v="3132"/>
    <n v="6"/>
    <s v="Se repite 6 veces"/>
    <s v="Peru Chef-Atun Florida Solido en aceite 6 oz X 48"/>
    <n v="6"/>
    <s v="Se repite 6 veces en Peru Chef"/>
    <s v="Peru Chef-Atun Florida Solido en aceite 6 oz X 48-82.5"/>
    <n v="2"/>
    <s v="Se repite 2 veces el precio de 82.5"/>
    <s v="El producto Atun Florida Solido en aceite 6 oz X 48 Se repite 6 veces en Peru Chef, Se repite 2 veces el precio de 82.5"/>
  </r>
  <r>
    <x v="1"/>
    <x v="15"/>
    <s v="Bill"/>
    <s v="55372"/>
    <x v="7"/>
    <s v="CONSERVAS -   -  ATUN FLORIDA SOLIDO EN ACEITE 6 OZ X 48-  LATA / 48"/>
    <n v="2"/>
    <n v="82"/>
    <n v="164"/>
    <n v="9496.7000000000007"/>
    <n v="6"/>
    <s v="Se repite 6 veces"/>
    <s v="Peru Chef-Atun Florida Solido en aceite 6 oz X 48"/>
    <n v="6"/>
    <s v="Se repite 6 veces en Peru Chef"/>
    <s v="Peru Chef-Atun Florida Solido en aceite 6 oz X 48-82"/>
    <n v="1"/>
    <s v="No se repite"/>
    <s v="El producto Atun Florida Solido en aceite 6 oz X 48 Se repite 6 veces en Peru Chef Una vez con el precio 82"/>
  </r>
  <r>
    <x v="1"/>
    <x v="16"/>
    <s v="Bill"/>
    <s v="2025001895"/>
    <x v="7"/>
    <s v="CONSERVAS -   -  ATUN FLORIDA SOLIDO EN ACEITE 6 OZ X 48-  LATA / 48"/>
    <n v="2"/>
    <n v="81"/>
    <n v="162"/>
    <n v="29879.5"/>
    <n v="6"/>
    <s v="Se repite 6 veces"/>
    <s v="Peru Chef-Atun Florida Solido en aceite 6 oz X 48"/>
    <n v="6"/>
    <s v="Se repite 6 veces en Peru Chef"/>
    <s v="Peru Chef-Atun Florida Solido en aceite 6 oz X 48-81"/>
    <n v="3"/>
    <s v="Se repite 3 veces el precio de 81"/>
    <s v="El producto Atun Florida Solido en aceite 6 oz X 48 Se repite 6 veces en Peru Chef, Se repite 3 veces el precio de 81"/>
  </r>
  <r>
    <x v="1"/>
    <x v="17"/>
    <s v="Bill"/>
    <s v="57055"/>
    <x v="7"/>
    <s v="CONSERVAS -   -  ATUN FLORIDA SOLIDO EN ACEITE 6 OZ X 48-  LATA / 48"/>
    <n v="2"/>
    <n v="81"/>
    <n v="162"/>
    <n v="35454.55000000001"/>
    <n v="6"/>
    <s v="Se repite 6 veces"/>
    <s v="Peru Chef-Atun Florida Solido en aceite 6 oz X 48"/>
    <n v="6"/>
    <s v="Se repite 6 veces en Peru Chef"/>
    <s v="Peru Chef-Atun Florida Solido en aceite 6 oz X 48-81"/>
    <n v="3"/>
    <s v="Se repite 3 veces el precio de 81"/>
    <s v="El producto Atun Florida Solido en aceite 6 oz X 48 Se repite 6 veces en Peru Chef, Se repite 3 veces el precio de 81"/>
  </r>
  <r>
    <x v="1"/>
    <x v="18"/>
    <s v="Bill"/>
    <s v="2025002373"/>
    <x v="7"/>
    <s v="CONSERVAS -   -  ATUN FLORIDA SOLIDO EN ACEITE 6 OZ X 48-  LATA / 48"/>
    <n v="2"/>
    <n v="81"/>
    <n v="162"/>
    <n v="38934.850000000006"/>
    <n v="6"/>
    <s v="Se repite 6 veces"/>
    <s v="Peru Chef-Atun Florida Solido en aceite 6 oz X 48"/>
    <n v="6"/>
    <s v="Se repite 6 veces en Peru Chef"/>
    <s v="Peru Chef-Atun Florida Solido en aceite 6 oz X 48-81"/>
    <n v="3"/>
    <s v="Se repite 3 veces el precio de 81"/>
    <s v="El producto Atun Florida Solido en aceite 6 oz X 48 Se repite 6 veces en Peru Chef, Se repite 3 veces el precio de 81"/>
  </r>
  <r>
    <x v="2"/>
    <x v="3"/>
    <s v="Bill"/>
    <s v="64308"/>
    <x v="8"/>
    <s v="BELMONT - Belmont Aceituna Bidon 104oz x 6 / OL-02"/>
    <n v="1"/>
    <n v="106"/>
    <n v="106"/>
    <n v="5468.44"/>
    <n v="2"/>
    <s v="Se repite 2 veces"/>
    <s v="Belmont International Trading Corp-Belmont Aceituna Bidon 104oz x 6"/>
    <n v="2"/>
    <s v="Se repite 2 veces en Belmont International Trading Corp"/>
    <s v="Belmont International Trading Corp-Belmont Aceituna Bidon 104oz x 6-106"/>
    <n v="2"/>
    <s v="Se repite 2 veces el precio de 106"/>
    <s v="El producto Belmont Aceituna Bidon 104oz x 6 Se repite 2 veces en Belmont International Trading Corp, Se repite 2 veces el precio de 106"/>
  </r>
  <r>
    <x v="2"/>
    <x v="19"/>
    <s v="Bill"/>
    <s v="65207"/>
    <x v="8"/>
    <s v="BELMONT - Belmont Aceituna Bidon 104oz x 6 / OL-02"/>
    <n v="4"/>
    <n v="106"/>
    <n v="424"/>
    <n v="6973.74"/>
    <n v="2"/>
    <s v="Se repite 2 veces"/>
    <s v="Belmont International Trading Corp-Belmont Aceituna Bidon 104oz x 6"/>
    <n v="2"/>
    <s v="Se repite 2 veces en Belmont International Trading Corp"/>
    <s v="Belmont International Trading Corp-Belmont Aceituna Bidon 104oz x 6-106"/>
    <n v="2"/>
    <s v="Se repite 2 veces el precio de 106"/>
    <s v="El producto Belmont Aceituna Bidon 104oz x 6 Se repite 2 veces en Belmont International Trading Corp, Se repite 2 veces el precio de 106"/>
  </r>
  <r>
    <x v="2"/>
    <x v="3"/>
    <s v="Bill"/>
    <s v="64308"/>
    <x v="9"/>
    <s v="BELMONT - Belmont Aceituna Botija 20oz x 12"/>
    <n v="2"/>
    <n v="39"/>
    <n v="78"/>
    <n v="4746.8"/>
    <n v="2"/>
    <s v="Se repite 2 veces"/>
    <s v="Belmont International Trading Corp-Belmont Aceituna Botija 20oz x 12"/>
    <n v="2"/>
    <s v="Se repite 2 veces en Belmont International Trading Corp"/>
    <s v="Belmont International Trading Corp-Belmont Aceituna Botija 20oz x 12-39"/>
    <n v="2"/>
    <s v="Se repite 2 veces el precio de 39"/>
    <s v="El producto Belmont Aceituna Botija 20oz x 12 Se repite 2 veces en Belmont International Trading Corp, Se repite 2 veces el precio de 39"/>
  </r>
  <r>
    <x v="2"/>
    <x v="20"/>
    <s v="Bill"/>
    <s v="72533"/>
    <x v="9"/>
    <s v="BELMONT - Belmont Aceituna Botija 20oz x 12 / OL-01 / 859174003863"/>
    <n v="2"/>
    <n v="39"/>
    <n v="78"/>
    <n v="20440.04"/>
    <n v="2"/>
    <s v="Se repite 2 veces"/>
    <s v="Belmont International Trading Corp-Belmont Aceituna Botija 20oz x 12"/>
    <n v="2"/>
    <s v="Se repite 2 veces en Belmont International Trading Corp"/>
    <s v="Belmont International Trading Corp-Belmont Aceituna Botija 20oz x 12-39"/>
    <n v="2"/>
    <s v="Se repite 2 veces el precio de 39"/>
    <s v="El producto Belmont Aceituna Botija 20oz x 12 Se repite 2 veces en Belmont International Trading Corp, Se repite 2 veces el precio de 39"/>
  </r>
  <r>
    <x v="2"/>
    <x v="3"/>
    <s v="Bill"/>
    <s v="64308"/>
    <x v="10"/>
    <s v="BELMONT -Belmont Aderezo de Anticucho 16oz x 12 / 859174003993 / PA-33"/>
    <n v="1"/>
    <n v="41"/>
    <n v="41"/>
    <n v="4811.3"/>
    <n v="2"/>
    <s v="Se repite 2 veces"/>
    <s v="Belmont International Trading Corp-Belmont Aderezo de Anticucho 16oz x 12"/>
    <n v="2"/>
    <s v="Se repite 2 veces en Belmont International Trading Corp"/>
    <s v="Belmont International Trading Corp-Belmont Aderezo de Anticucho 16oz x 12-41"/>
    <n v="1"/>
    <s v="No se repite"/>
    <s v="El producto Belmont Aderezo de Anticucho 16oz x 12 Se repite 2 veces en Belmont International Trading Corp Una vez con el precio 41"/>
  </r>
  <r>
    <x v="2"/>
    <x v="20"/>
    <s v="Bill"/>
    <s v="72533"/>
    <x v="10"/>
    <s v="BELMONT -Belmont Aderezo de Anticucho 16oz x 12 / 859174003993 / PA-33"/>
    <n v="2"/>
    <n v="45"/>
    <n v="90"/>
    <n v="20362.04"/>
    <n v="2"/>
    <s v="Se repite 2 veces"/>
    <s v="Belmont International Trading Corp-Belmont Aderezo de Anticucho 16oz x 12"/>
    <n v="2"/>
    <s v="Se repite 2 veces en Belmont International Trading Corp"/>
    <s v="Belmont International Trading Corp-Belmont Aderezo de Anticucho 16oz x 12-45"/>
    <n v="1"/>
    <s v="No se repite"/>
    <s v="El producto Belmont Aderezo de Anticucho 16oz x 12 Se repite 2 veces en Belmont International Trading Corp Una vez con el precio 45"/>
  </r>
  <r>
    <x v="2"/>
    <x v="20"/>
    <s v="Bill"/>
    <s v="72533"/>
    <x v="11"/>
    <s v="Belmont Aji Amarillo desvenado FROZEN  12oz  x 10 / 1FP-44"/>
    <n v="3"/>
    <n v="30.9"/>
    <n v="92.7"/>
    <n v="18168.14"/>
    <n v="1"/>
    <s v="No se repite"/>
    <s v="Belmont International Trading Corp-Belmont Aji Amarillo desvenado FROZEN  12oz  x 10"/>
    <n v="1"/>
    <s v="No se repite en proveedor"/>
    <s v="Belmont International Trading Corp-Belmont Aji Amarillo desvenado FROZEN  12oz  x 10-30.9"/>
    <n v="1"/>
    <s v="No se repite"/>
    <s v="El producto Belmont Aji Amarillo desvenado FROZEN  12oz  x 10 No se repite en proveedor Una vez con el precio 30.9"/>
  </r>
  <r>
    <x v="2"/>
    <x v="20"/>
    <s v="Bill"/>
    <s v="72533"/>
    <x v="12"/>
    <s v="Belmont Aji Amarillo desvenado FROZEN  2L x 8 / 1FP-02"/>
    <n v="5"/>
    <n v="56"/>
    <n v="280"/>
    <n v="18075.439999999999"/>
    <n v="1"/>
    <s v="No se repite"/>
    <s v="Belmont International Trading Corp-Belmont Aji Amarillo desvenado FROZEN  2Lb x 8"/>
    <n v="1"/>
    <s v="No se repite en proveedor"/>
    <s v="Belmont International Trading Corp-Belmont Aji Amarillo desvenado FROZEN  2Lb x 8-56"/>
    <n v="1"/>
    <s v="No se repite"/>
    <s v="El producto Belmont Aji Amarillo desvenado FROZEN  2Lb x 8 No se repite en proveedor Una vez con el precio 56"/>
  </r>
  <r>
    <x v="2"/>
    <x v="3"/>
    <s v="Bill"/>
    <s v="64308"/>
    <x v="13"/>
    <s v="BELMONT - Belmont Aji Amarillo en Salmuera 20oz x 12 frascos de vidrio / pa-28"/>
    <n v="1"/>
    <n v="36.75"/>
    <n v="36.75"/>
    <n v="5396.44"/>
    <n v="1"/>
    <s v="No se repite"/>
    <s v="Belmont International Trading Corp-Belmont Aji Amarillo en Salmuera 20oz x 12"/>
    <n v="1"/>
    <s v="No se repite en proveedor"/>
    <s v="Belmont International Trading Corp-Belmont Aji Amarillo en Salmuera 20oz x 12-36.75"/>
    <n v="1"/>
    <s v="No se repite"/>
    <s v="El producto Belmont Aji Amarillo en Salmuera 20oz x 12 No se repite en proveedor Una vez con el precio 36.75"/>
  </r>
  <r>
    <x v="2"/>
    <x v="3"/>
    <s v="Bill"/>
    <s v="64308"/>
    <x v="14"/>
    <s v="BELMONT - Belmont Aji Amarillo entero 1Lb x 18 bolsas FROZEN"/>
    <n v="6"/>
    <n v="45"/>
    <n v="270"/>
    <n v="372"/>
    <n v="2"/>
    <s v="Se repite 2 veces"/>
    <s v="Belmont International Trading Corp-Belmont Aji Amarillo entero 1Lb x 18 FROZEN"/>
    <n v="2"/>
    <s v="Se repite 2 veces en Belmont International Trading Corp"/>
    <s v="Belmont International Trading Corp-Belmont Aji Amarillo entero 1Lb x 18 FROZEN-45"/>
    <n v="2"/>
    <s v="Se repite 2 veces el precio de 45"/>
    <s v="El producto Belmont Aji Amarillo entero 1Lb x 18 FROZEN Se repite 2 veces en Belmont International Trading Corp, Se repite 2 veces el precio de 45"/>
  </r>
  <r>
    <x v="2"/>
    <x v="4"/>
    <s v="Bill"/>
    <s v="66496"/>
    <x v="14"/>
    <s v="BELMONT - Belmont Aji Amarillo entero 1Lb x 18 bolsas FROZEN"/>
    <n v="1"/>
    <n v="45"/>
    <n v="45"/>
    <n v="11899.64"/>
    <n v="2"/>
    <s v="Se repite 2 veces"/>
    <s v="Belmont International Trading Corp-Belmont Aji Amarillo entero 1Lb x 18 FROZEN"/>
    <n v="2"/>
    <s v="Se repite 2 veces en Belmont International Trading Corp"/>
    <s v="Belmont International Trading Corp-Belmont Aji Amarillo entero 1Lb x 18 FROZEN-45"/>
    <n v="2"/>
    <s v="Se repite 2 veces el precio de 45"/>
    <s v="El producto Belmont Aji Amarillo entero 1Lb x 18 FROZEN Se repite 2 veces en Belmont International Trading Corp, Se repite 2 veces el precio de 45"/>
  </r>
  <r>
    <x v="2"/>
    <x v="20"/>
    <s v="Bill"/>
    <s v="72533"/>
    <x v="15"/>
    <s v="Belmont Aji Amarillo pasta 16oz x 12 frasco de vidrio / PA-03 / 859174003030"/>
    <n v="1"/>
    <n v="44"/>
    <n v="44"/>
    <n v="20228.04"/>
    <n v="1"/>
    <s v="No se repite"/>
    <s v="Belmont International Trading Corp-Belmont Aji Amarillo pasta 16oz x 12"/>
    <n v="1"/>
    <s v="No se repite en proveedor"/>
    <s v="Belmont International Trading Corp-Belmont Aji Amarillo pasta 16oz x 12-44"/>
    <n v="1"/>
    <s v="No se repite"/>
    <s v="El producto Belmont Aji Amarillo pasta 16oz x 12 No se repite en proveedor Una vez con el precio 44"/>
  </r>
  <r>
    <x v="2"/>
    <x v="3"/>
    <s v="Bill"/>
    <s v="64308"/>
    <x v="16"/>
    <s v="BELMONT - Belmont Aji Amarillo pasta 8oz x 12 frascos de vidrio / PA-02"/>
    <n v="3"/>
    <n v="23.5"/>
    <n v="70.5"/>
    <n v="898.4"/>
    <n v="1"/>
    <s v="No se repite"/>
    <s v="Belmont International Trading Corp-Belmont Aji Amarillo pasta 8oz x 12"/>
    <n v="1"/>
    <s v="No se repite en proveedor"/>
    <s v="Belmont International Trading Corp-Belmont Aji Amarillo pasta 8oz x 12-23.5"/>
    <n v="1"/>
    <s v="No se repite"/>
    <s v="El producto Belmont Aji Amarillo pasta 8oz x 12 No se repite en proveedor Una vez con el precio 23.5"/>
  </r>
  <r>
    <x v="2"/>
    <x v="3"/>
    <s v="Bill"/>
    <s v="64308"/>
    <x v="17"/>
    <s v="BELMONT - Belmont Aji Limo 14oz x 9 bolsas FROZEN"/>
    <n v="1"/>
    <n v="20.9"/>
    <n v="20.9"/>
    <n v="827.9"/>
    <n v="2"/>
    <s v="Se repite 2 veces"/>
    <s v="Belmont International Trading Corp-Belmont Aji Limo 14oz x 9 FROZEN"/>
    <n v="2"/>
    <s v="Se repite 2 veces en Belmont International Trading Corp"/>
    <s v="Belmont International Trading Corp-Belmont Aji Limo 14oz x 9 FROZEN-20.9"/>
    <n v="2"/>
    <s v="Se repite 2 veces el precio de 20.9"/>
    <s v="El producto Belmont Aji Limo 14oz x 9 FROZEN Se repite 2 veces en Belmont International Trading Corp, Se repite 2 veces el precio de 20.9"/>
  </r>
  <r>
    <x v="2"/>
    <x v="19"/>
    <s v="Bill"/>
    <s v="65207"/>
    <x v="17"/>
    <s v="BELMONT - Belmont Aji Limo 14oz x 9 bolsas FROZEN"/>
    <n v="6"/>
    <n v="20.9"/>
    <n v="125.4"/>
    <n v="6243.74"/>
    <n v="2"/>
    <s v="Se repite 2 veces"/>
    <s v="Belmont International Trading Corp-Belmont Aji Limo 14oz x 9 FROZEN"/>
    <n v="2"/>
    <s v="Se repite 2 veces en Belmont International Trading Corp"/>
    <s v="Belmont International Trading Corp-Belmont Aji Limo 14oz x 9 FROZEN-20.9"/>
    <n v="2"/>
    <s v="Se repite 2 veces el precio de 20.9"/>
    <s v="El producto Belmont Aji Limo 14oz x 9 FROZEN Se repite 2 veces en Belmont International Trading Corp, Se repite 2 veces el precio de 20.9"/>
  </r>
  <r>
    <x v="2"/>
    <x v="20"/>
    <s v="Bill"/>
    <s v="72533"/>
    <x v="18"/>
    <s v="Belmont Aji Panca pasta 16Oz x 12  frasco de vidrio / PA-09 / 859174003047"/>
    <n v="1"/>
    <n v="44"/>
    <n v="44"/>
    <n v="20272.04"/>
    <n v="1"/>
    <s v="No se repite"/>
    <s v="Belmont International Trading Corp-Belmont Aji Panca pasta 16Oz x 12"/>
    <n v="1"/>
    <s v="No se repite en proveedor"/>
    <s v="Belmont International Trading Corp-Belmont Aji Panca pasta 16Oz x 12-44"/>
    <n v="1"/>
    <s v="No se repite"/>
    <s v="El producto Belmont Aji Panca pasta 16Oz x 12 No se repite en proveedor Una vez con el precio 44"/>
  </r>
  <r>
    <x v="2"/>
    <x v="3"/>
    <s v="Bill"/>
    <s v="64308"/>
    <x v="19"/>
    <s v="BELMONT - Belmont Aji Panca pasta 8oz x 12 frascos de vidrio / PA-08"/>
    <n v="2"/>
    <n v="23.5"/>
    <n v="47"/>
    <n v="945.4"/>
    <n v="1"/>
    <s v="No se repite"/>
    <s v="Belmont International Trading Corp-Belmont Aji Panca pasta 8oz x 12"/>
    <n v="1"/>
    <s v="No se repite en proveedor"/>
    <s v="Belmont International Trading Corp-Belmont Aji Panca pasta 8oz x 12-23.5"/>
    <n v="1"/>
    <s v="No se repite"/>
    <s v="El producto Belmont Aji Panca pasta 8oz x 12 No se repite en proveedor Una vez con el precio 23.5"/>
  </r>
  <r>
    <x v="2"/>
    <x v="4"/>
    <s v="Bill"/>
    <s v="66496"/>
    <x v="20"/>
    <s v="Belmont Aji Panca pasta Bidon 7Lb / PA-12"/>
    <n v="6"/>
    <n v="20.166599999999999"/>
    <n v="121"/>
    <n v="12925.74"/>
    <n v="1"/>
    <s v="No se repite"/>
    <s v="Belmont International Trading Corp-Belmont Aji Panca pasta Bidon 7Lb"/>
    <n v="1"/>
    <s v="No se repite en proveedor"/>
    <s v="Belmont International Trading Corp-Belmont Aji Panca pasta Bidon 7Lb-20.1666"/>
    <n v="1"/>
    <s v="No se repite"/>
    <s v="El producto Belmont Aji Panca pasta Bidon 7Lb No se repite en proveedor Una vez con el precio 20.1666"/>
  </r>
  <r>
    <x v="2"/>
    <x v="19"/>
    <s v="Bill"/>
    <s v="65207"/>
    <x v="21"/>
    <s v="Belmont Chicha de Jora 1Lt x 12 botella de vidrio"/>
    <n v="1"/>
    <n v="35.9"/>
    <n v="35.9"/>
    <n v="11296.64"/>
    <n v="1"/>
    <s v="No se repite"/>
    <s v="Belmont International Trading Corp-Belmont Chicha de Jora"/>
    <n v="1"/>
    <s v="No se repite en proveedor"/>
    <s v="Belmont International Trading Corp-Belmont Chicha de Jora-35.9"/>
    <n v="1"/>
    <s v="No se repite"/>
    <s v="El producto Belmont Chicha de Jora No se repite en proveedor Una vez con el precio 35.9"/>
  </r>
  <r>
    <x v="2"/>
    <x v="3"/>
    <s v="Bill"/>
    <s v="64308"/>
    <x v="22"/>
    <s v="BELMONT - Chicha Morada Belmont 16oz x 12 / 8591741003115 / JB-01"/>
    <n v="1"/>
    <n v="12.5"/>
    <n v="12.5"/>
    <n v="4572.3"/>
    <n v="4"/>
    <s v="Se repite 4 veces"/>
    <s v="Belmont International Trading Corp-Belmont Chicha Morada 16oz x 12"/>
    <n v="4"/>
    <s v="Se repite 4 veces en Belmont International Trading Corp"/>
    <s v="Belmont International Trading Corp-Belmont Chicha Morada 16oz x 12-12.5"/>
    <n v="4"/>
    <s v="Se repite 4 veces el precio de 12.5"/>
    <s v="El producto Belmont Chicha Morada 16oz x 12 Se repite 4 veces en Belmont International Trading Corp, Se repite 4 veces el precio de 12.5"/>
  </r>
  <r>
    <x v="2"/>
    <x v="21"/>
    <s v="Bill"/>
    <s v="68755"/>
    <x v="22"/>
    <s v="BELMONT - Chicha Morada Belmont 16oz x 12 / 8591741003115 / JB-01"/>
    <n v="10"/>
    <n v="12.5"/>
    <n v="125"/>
    <n v="16684.84"/>
    <n v="4"/>
    <s v="Se repite 4 veces"/>
    <s v="Belmont International Trading Corp-Belmont Chicha Morada 16oz x 12"/>
    <n v="4"/>
    <s v="Se repite 4 veces en Belmont International Trading Corp"/>
    <s v="Belmont International Trading Corp-Belmont Chicha Morada 16oz x 12-12.5"/>
    <n v="4"/>
    <s v="Se repite 4 veces el precio de 12.5"/>
    <s v="El producto Belmont Chicha Morada 16oz x 12 Se repite 4 veces en Belmont International Trading Corp, Se repite 4 veces el precio de 12.5"/>
  </r>
  <r>
    <x v="2"/>
    <x v="20"/>
    <s v="Bill"/>
    <s v="72533"/>
    <x v="22"/>
    <s v="BELMONT - Chicha Morada Belmont 16oz x 12 / 8591741003115 / JB-01"/>
    <n v="17"/>
    <n v="12.5"/>
    <n v="212.5"/>
    <n v="19909.04"/>
    <n v="4"/>
    <s v="Se repite 4 veces"/>
    <s v="Belmont International Trading Corp-Belmont Chicha Morada 16oz x 12"/>
    <n v="4"/>
    <s v="Se repite 4 veces en Belmont International Trading Corp"/>
    <s v="Belmont International Trading Corp-Belmont Chicha Morada 16oz x 12-12.5"/>
    <n v="4"/>
    <s v="Se repite 4 veces el precio de 12.5"/>
    <s v="El producto Belmont Chicha Morada 16oz x 12 Se repite 4 veces en Belmont International Trading Corp, Se repite 4 veces el precio de 12.5"/>
  </r>
  <r>
    <x v="2"/>
    <x v="22"/>
    <s v="Bill"/>
    <s v="75131"/>
    <x v="22"/>
    <s v="BELMONT - Chicha Morada Belmont 16oz x 12 / 8591741003115 / JB-01"/>
    <n v="3"/>
    <n v="12.5"/>
    <n v="37.5"/>
    <n v="21465.64"/>
    <n v="4"/>
    <s v="Se repite 4 veces"/>
    <s v="Belmont International Trading Corp-Belmont Chicha Morada 16oz x 12"/>
    <n v="4"/>
    <s v="Se repite 4 veces en Belmont International Trading Corp"/>
    <s v="Belmont International Trading Corp-Belmont Chicha Morada 16oz x 12-12.5"/>
    <n v="4"/>
    <s v="Se repite 4 veces el precio de 12.5"/>
    <s v="El producto Belmont Chicha Morada 16oz x 12 Se repite 4 veces en Belmont International Trading Corp, Se repite 4 veces el precio de 12.5"/>
  </r>
  <r>
    <x v="2"/>
    <x v="3"/>
    <s v="Bill"/>
    <s v="64308"/>
    <x v="23"/>
    <s v="BELMONT - Belmont Chicha Morada 1Lt x 6 / 859174003085 / JB-05"/>
    <n v="2"/>
    <n v="12"/>
    <n v="24"/>
    <n v="4621.3"/>
    <n v="3"/>
    <s v="Se repite 3 veces"/>
    <s v="Belmont International Trading Corp-Belmont Chicha Morada 1Lt x 6"/>
    <n v="3"/>
    <s v="Se repite 3 veces en Belmont International Trading Corp"/>
    <s v="Belmont International Trading Corp-Belmont Chicha Morada 1Lt x 6-12"/>
    <n v="3"/>
    <s v="Se repite 3 veces el precio de 12"/>
    <s v="El producto Belmont Chicha Morada 1Lt x 6 Se repite 3 veces en Belmont International Trading Corp, Se repite 3 veces el precio de 12"/>
  </r>
  <r>
    <x v="2"/>
    <x v="21"/>
    <s v="Bill"/>
    <s v="68755"/>
    <x v="23"/>
    <s v="BELMONT - Belmont Chicha Morada 1Lt x 6 / 859174003085 / JB-05"/>
    <n v="40"/>
    <n v="12"/>
    <n v="480"/>
    <n v="17352.34"/>
    <n v="3"/>
    <s v="Se repite 3 veces"/>
    <s v="Belmont International Trading Corp-Belmont Chicha Morada 1Lt x 6"/>
    <n v="3"/>
    <s v="Se repite 3 veces en Belmont International Trading Corp"/>
    <s v="Belmont International Trading Corp-Belmont Chicha Morada 1Lt x 6-12"/>
    <n v="3"/>
    <s v="Se repite 3 veces el precio de 12"/>
    <s v="El producto Belmont Chicha Morada 1Lt x 6 Se repite 3 veces en Belmont International Trading Corp, Se repite 3 veces el precio de 12"/>
  </r>
  <r>
    <x v="2"/>
    <x v="20"/>
    <s v="Bill"/>
    <s v="72533"/>
    <x v="23"/>
    <s v="BELMONT - Belmont Chicha Morada 1Lt x 6 / 859174003085 / JB-05"/>
    <n v="25"/>
    <n v="12"/>
    <n v="300"/>
    <n v="19396.54"/>
    <n v="3"/>
    <s v="Se repite 3 veces"/>
    <s v="Belmont International Trading Corp-Belmont Chicha Morada 1Lt x 6"/>
    <n v="3"/>
    <s v="Se repite 3 veces en Belmont International Trading Corp"/>
    <s v="Belmont International Trading Corp-Belmont Chicha Morada 1Lt x 6-12"/>
    <n v="3"/>
    <s v="Se repite 3 veces el precio de 12"/>
    <s v="El producto Belmont Chicha Morada 1Lt x 6 Se repite 3 veces en Belmont International Trading Corp, Se repite 3 veces el precio de 12"/>
  </r>
  <r>
    <x v="2"/>
    <x v="3"/>
    <s v="Bill"/>
    <s v="64308"/>
    <x v="24"/>
    <s v="Chifles Piuranos 125gr x 20 bolsas"/>
    <n v="2"/>
    <n v="37.5"/>
    <n v="75"/>
    <n v="5199.6899999999996"/>
    <n v="1"/>
    <s v="No se repite"/>
    <s v="Belmont International Trading Corp-Belmont Chifles Piuranos 125gr x 20"/>
    <n v="1"/>
    <s v="No se repite en proveedor"/>
    <s v="Belmont International Trading Corp-Belmont Chifles Piuranos 125gr x 20-37.5"/>
    <n v="1"/>
    <s v="No se repite"/>
    <s v="El producto Belmont Chifles Piuranos 125gr x 20 No se repite en proveedor Una vez con el precio 37.5"/>
  </r>
  <r>
    <x v="2"/>
    <x v="3"/>
    <s v="Bill"/>
    <s v="64308"/>
    <x v="25"/>
    <s v="BELMONT - Chifles Piuranos 250gr x 10 bolsas"/>
    <n v="2"/>
    <n v="36.5"/>
    <n v="73"/>
    <n v="5124.6899999999996"/>
    <n v="1"/>
    <s v="No se repite"/>
    <s v="Belmont International Trading Corp-Belmont Chifles Piuranos 250gr x 10"/>
    <n v="1"/>
    <s v="No se repite en proveedor"/>
    <s v="Belmont International Trading Corp-Belmont Chifles Piuranos 250gr x 10-36.5"/>
    <n v="1"/>
    <s v="No se repite"/>
    <s v="El producto Belmont Chifles Piuranos 250gr x 10 No se repite en proveedor Una vez con el precio 36.5"/>
  </r>
  <r>
    <x v="2"/>
    <x v="3"/>
    <s v="Bill"/>
    <s v="64308"/>
    <x v="26"/>
    <s v="Belmont Chirimoya pulpa 14oz x 20 / 859174003153"/>
    <n v="1"/>
    <n v="48"/>
    <n v="48"/>
    <n v="102"/>
    <n v="2"/>
    <s v="Se repite 2 veces"/>
    <s v="Belmont International Trading Corp-Belmont Chirimoya pulpa 14oz x 20"/>
    <n v="2"/>
    <s v="Se repite 2 veces en Belmont International Trading Corp"/>
    <s v="Belmont International Trading Corp-Belmont Chirimoya pulpa 14oz x 20-48"/>
    <n v="1"/>
    <s v="No se repite"/>
    <s v="El producto Belmont Chirimoya pulpa 14oz x 20 Se repite 2 veces en Belmont International Trading Corp Una vez con el precio 48"/>
  </r>
  <r>
    <x v="2"/>
    <x v="19"/>
    <s v="Bill"/>
    <s v="65207"/>
    <x v="26"/>
    <s v="Belmont Chirimoya pulpa 14oz x 20 / 859174003153"/>
    <n v="3"/>
    <n v="52.9"/>
    <n v="158.69999999999999"/>
    <n v="6118.34"/>
    <n v="2"/>
    <s v="Se repite 2 veces"/>
    <s v="Belmont International Trading Corp-Belmont Chirimoya pulpa 14oz x 20"/>
    <n v="2"/>
    <s v="Se repite 2 veces en Belmont International Trading Corp"/>
    <s v="Belmont International Trading Corp-Belmont Chirimoya pulpa 14oz x 20-52.9"/>
    <n v="1"/>
    <s v="No se repite"/>
    <s v="El producto Belmont Chirimoya pulpa 14oz x 20 Se repite 2 veces en Belmont International Trading Corp Una vez con el precio 52.9"/>
  </r>
  <r>
    <x v="2"/>
    <x v="3"/>
    <s v="Bill"/>
    <s v="64308"/>
    <x v="27"/>
    <s v="BELMONT - Belmont Choclo desgranado 1Lb x 30 bolsas FROZEN / 1FP-08"/>
    <n v="6"/>
    <n v="72.5"/>
    <n v="435"/>
    <n v="807"/>
    <n v="3"/>
    <s v="Se repite 3 veces"/>
    <s v="Belmont International Trading Corp-Belmont Choclo desgranado 1Lb x 30 FROZEN"/>
    <n v="3"/>
    <s v="Se repite 3 veces en Belmont International Trading Corp"/>
    <s v="Belmont International Trading Corp-Belmont Choclo desgranado 1Lb x 30 FROZEN-72.5"/>
    <n v="3"/>
    <s v="Se repite 3 veces el precio de 72.5"/>
    <s v="El producto Belmont Choclo desgranado 1Lb x 30 FROZEN Se repite 3 veces en Belmont International Trading Corp, Se repite 3 veces el precio de 72.5"/>
  </r>
  <r>
    <x v="2"/>
    <x v="4"/>
    <s v="Bill"/>
    <s v="66496"/>
    <x v="27"/>
    <s v="BELMONT - Belmont Choclo desgranado 1Lb x 30 bolsas FROZEN / 1FP-08"/>
    <n v="2"/>
    <n v="72.5"/>
    <n v="145"/>
    <n v="12044.64"/>
    <n v="3"/>
    <s v="Se repite 3 veces"/>
    <s v="Belmont International Trading Corp-Belmont Choclo desgranado 1Lb x 30 FROZEN"/>
    <n v="3"/>
    <s v="Se repite 3 veces en Belmont International Trading Corp"/>
    <s v="Belmont International Trading Corp-Belmont Choclo desgranado 1Lb x 30 FROZEN-72.5"/>
    <n v="3"/>
    <s v="Se repite 3 veces el precio de 72.5"/>
    <s v="El producto Belmont Choclo desgranado 1Lb x 30 FROZEN Se repite 3 veces en Belmont International Trading Corp, Se repite 3 veces el precio de 72.5"/>
  </r>
  <r>
    <x v="2"/>
    <x v="20"/>
    <s v="Bill"/>
    <s v="72533"/>
    <x v="27"/>
    <s v="BELMONT - Belmont Choclo desgranado 1Lb x 30 bolsas FROZEN / 1FP-08"/>
    <n v="1"/>
    <n v="72.5"/>
    <n v="72.5"/>
    <n v="18240.64"/>
    <n v="3"/>
    <s v="Se repite 3 veces"/>
    <s v="Belmont International Trading Corp-Belmont Choclo desgranado 1Lb x 30 FROZEN"/>
    <n v="3"/>
    <s v="Se repite 3 veces en Belmont International Trading Corp"/>
    <s v="Belmont International Trading Corp-Belmont Choclo desgranado 1Lb x 30 FROZEN-72.5"/>
    <n v="3"/>
    <s v="Se repite 3 veces el precio de 72.5"/>
    <s v="El producto Belmont Choclo desgranado 1Lb x 30 FROZEN Se repite 3 veces en Belmont International Trading Corp, Se repite 3 veces el precio de 72.5"/>
  </r>
  <r>
    <x v="2"/>
    <x v="4"/>
    <s v="Bill"/>
    <s v="66496"/>
    <x v="28"/>
    <s v="Belmont Choclo Desgranado 3Lb x 10 bolsas / 1FP-09"/>
    <n v="2"/>
    <n v="72.5"/>
    <n v="145"/>
    <n v="12189.64"/>
    <n v="2"/>
    <s v="Se repite 2 veces"/>
    <s v="Belmont International Trading Corp-Belmont Choclo Desgranado 3Lb x 10"/>
    <n v="2"/>
    <s v="Se repite 2 veces en Belmont International Trading Corp"/>
    <s v="Belmont International Trading Corp-Belmont Choclo Desgranado 3Lb x 10-72.5"/>
    <n v="2"/>
    <s v="Se repite 2 veces el precio de 72.5"/>
    <s v="El producto Belmont Choclo Desgranado 3Lb x 10 Se repite 2 veces en Belmont International Trading Corp, Se repite 2 veces el precio de 72.5"/>
  </r>
  <r>
    <x v="2"/>
    <x v="20"/>
    <s v="Bill"/>
    <s v="72533"/>
    <x v="28"/>
    <s v="Belmont Choclo Desgranado 3Lb x 10 bolsas / 1FP-09"/>
    <n v="1"/>
    <n v="72.5"/>
    <n v="72.5"/>
    <n v="18313.14"/>
    <n v="2"/>
    <s v="Se repite 2 veces"/>
    <s v="Belmont International Trading Corp-Belmont Choclo Desgranado 3Lb x 10"/>
    <n v="2"/>
    <s v="Se repite 2 veces en Belmont International Trading Corp"/>
    <s v="Belmont International Trading Corp-Belmont Choclo Desgranado 3Lb x 10-72.5"/>
    <n v="2"/>
    <s v="Se repite 2 veces el precio de 72.5"/>
    <s v="El producto Belmont Choclo Desgranado 3Lb x 10 Se repite 2 veces en Belmont International Trading Corp, Se repite 2 veces el precio de 72.5"/>
  </r>
  <r>
    <x v="2"/>
    <x v="3"/>
    <s v="Bill"/>
    <s v="64308"/>
    <x v="29"/>
    <s v="BELMONT - Belmont Concentrado Chicha Morada 64oz x 6 / 859174003887 / JB-09"/>
    <n v="1"/>
    <n v="35.5"/>
    <n v="35.5"/>
    <n v="4668.8"/>
    <n v="2"/>
    <s v="Se repite 2 veces"/>
    <s v="Belmont International Trading Corp-Belmont Concentrado Chicha Morada  64oz x 6"/>
    <n v="2"/>
    <s v="Se repite 2 veces en Belmont International Trading Corp"/>
    <s v="Belmont International Trading Corp-Belmont Concentrado Chicha Morada  64oz x 6-35.5"/>
    <n v="1"/>
    <s v="No se repite"/>
    <s v="El producto Belmont Concentrado Chicha Morada  64oz x 6 Se repite 2 veces en Belmont International Trading Corp Una vez con el precio 35.5"/>
  </r>
  <r>
    <x v="2"/>
    <x v="22"/>
    <s v="Bill"/>
    <s v="75131"/>
    <x v="29"/>
    <s v="BELMONT - Belmont Concentrado Chicha Morada 64oz x 6 / 859174003887 / JB-09"/>
    <n v="4"/>
    <n v="41.9"/>
    <n v="167.6"/>
    <n v="21633.239999999998"/>
    <n v="2"/>
    <s v="Se repite 2 veces"/>
    <s v="Belmont International Trading Corp-Belmont Concentrado Chicha Morada  64oz x 6"/>
    <n v="2"/>
    <s v="Se repite 2 veces en Belmont International Trading Corp"/>
    <s v="Belmont International Trading Corp-Belmont Concentrado Chicha Morada  64oz x 6-41.9"/>
    <n v="1"/>
    <s v="No se repite"/>
    <s v="El producto Belmont Concentrado Chicha Morada  64oz x 6 Se repite 2 veces en Belmont International Trading Corp Una vez con el precio 41.9"/>
  </r>
  <r>
    <x v="2"/>
    <x v="3"/>
    <s v="Bill"/>
    <s v="64308"/>
    <x v="30"/>
    <s v="BELMONT - Belmont Culantro pasta 8oz x 12 / 859174003818 / PA-25"/>
    <n v="1"/>
    <n v="23.5"/>
    <n v="23.5"/>
    <n v="4770.3"/>
    <n v="1"/>
    <s v="No se repite"/>
    <s v="Belmont International Trading Corp-Belmont Culantro pasta 8oz x 12"/>
    <n v="1"/>
    <s v="No se repite en proveedor"/>
    <s v="Belmont International Trading Corp-Belmont Culantro pasta 8oz x 12-23.5"/>
    <n v="1"/>
    <s v="No se repite"/>
    <s v="El producto Belmont Culantro pasta 8oz x 12 No se repite en proveedor Una vez con el precio 23.5"/>
  </r>
  <r>
    <x v="2"/>
    <x v="3"/>
    <s v="Bill"/>
    <s v="64308"/>
    <x v="31"/>
    <s v="BELMONT - Belmont Emoliente bebida 16oz x 12 / 859174003313 / JB-04"/>
    <n v="1"/>
    <n v="12.5"/>
    <n v="12.5"/>
    <n v="4597.3"/>
    <n v="2"/>
    <s v="Se repite 2 veces"/>
    <s v="Belmont International Trading Corp-Belmont Emoliente bebida 16oz x 12"/>
    <n v="2"/>
    <s v="Se repite 2 veces en Belmont International Trading Corp"/>
    <s v="Belmont International Trading Corp-Belmont Emoliente bebida 16oz x 12-12.5"/>
    <n v="2"/>
    <s v="Se repite 2 veces el precio de 12.5"/>
    <s v="El producto Belmont Emoliente bebida 16oz x 12 Se repite 2 veces en Belmont International Trading Corp, Se repite 2 veces el precio de 12.5"/>
  </r>
  <r>
    <x v="2"/>
    <x v="20"/>
    <s v="Bill"/>
    <s v="72533"/>
    <x v="31"/>
    <s v="BELMONT - Belmont Emoliente bebida 16oz x 12 / 859174003313 / JB-04"/>
    <n v="5"/>
    <n v="12.5"/>
    <n v="62.5"/>
    <n v="20184.04"/>
    <n v="2"/>
    <s v="Se repite 2 veces"/>
    <s v="Belmont International Trading Corp-Belmont Emoliente bebida 16oz x 12"/>
    <n v="2"/>
    <s v="Se repite 2 veces en Belmont International Trading Corp"/>
    <s v="Belmont International Trading Corp-Belmont Emoliente bebida 16oz x 12-12.5"/>
    <n v="2"/>
    <s v="Se repite 2 veces el precio de 12.5"/>
    <s v="El producto Belmont Emoliente bebida 16oz x 12 Se repite 2 veces en Belmont International Trading Corp, Se repite 2 veces el precio de 12.5"/>
  </r>
  <r>
    <x v="2"/>
    <x v="3"/>
    <s v="Bill"/>
    <s v="64308"/>
    <x v="32"/>
    <s v="BELMONT - Belmont Galleta Cream Crackers 258gr x 24 / DA-09"/>
    <n v="1"/>
    <n v="48"/>
    <n v="48"/>
    <n v="3559.3"/>
    <n v="1"/>
    <s v="No se repite"/>
    <s v="Belmont International Trading Corp-Belmont Galleta Cream Crackers 258gr x 24"/>
    <n v="1"/>
    <s v="No se repite en proveedor"/>
    <s v="Belmont International Trading Corp-Belmont Galleta Cream Crackers 258gr x 24-48"/>
    <n v="1"/>
    <s v="No se repite"/>
    <s v="El producto Belmont Galleta Cream Crackers 258gr x 24 No se repite en proveedor Una vez con el precio 48"/>
  </r>
  <r>
    <x v="2"/>
    <x v="20"/>
    <s v="Bill"/>
    <s v="72533"/>
    <x v="33"/>
    <s v="Belmont Habas Secas Peladas 15oz x 12 / SE-06 / 859174003436"/>
    <n v="1"/>
    <n v="25"/>
    <n v="25"/>
    <n v="20544.84"/>
    <n v="1"/>
    <s v="No se repite"/>
    <s v="Belmont International Trading Corp-Belmont Habas Secas Peladas 15oz x 12"/>
    <n v="1"/>
    <s v="No se repite en proveedor"/>
    <s v="Belmont International Trading Corp-Belmont Habas Secas Peladas 15oz x 12-25"/>
    <n v="1"/>
    <s v="No se repite"/>
    <s v="El producto Belmont Habas Secas Peladas 15oz x 12 No se repite en proveedor Una vez con el precio 25"/>
  </r>
  <r>
    <x v="2"/>
    <x v="21"/>
    <s v="Bill"/>
    <s v="68755"/>
    <x v="34"/>
    <s v="Belmont Harina de Camote 15oz x 12"/>
    <n v="2"/>
    <n v="22"/>
    <n v="44"/>
    <n v="17756.34"/>
    <n v="1"/>
    <s v="No se repite"/>
    <s v="Belmont International Trading Corp-Belmont Harina de Camote 15oz x 12"/>
    <n v="1"/>
    <s v="No se repite en proveedor"/>
    <s v="Belmont International Trading Corp-Belmont Harina de Camote 15oz x 12-22"/>
    <n v="1"/>
    <s v="No se repite"/>
    <s v="El producto Belmont Harina de Camote 15oz x 12 No se repite en proveedor Una vez con el precio 22"/>
  </r>
  <r>
    <x v="2"/>
    <x v="3"/>
    <s v="Bill"/>
    <s v="64308"/>
    <x v="35"/>
    <s v="BELMONT - Belmont jugo de Maracuya 16oz x 12 / 859174003139 /JB-03"/>
    <n v="1"/>
    <n v="12.5"/>
    <n v="12.5"/>
    <n v="4584.8"/>
    <n v="3"/>
    <s v="Se repite 3 veces"/>
    <s v="Belmont International Trading Corp-Belmont jugo de Maracuya 16oz x 12"/>
    <n v="3"/>
    <s v="Se repite 3 veces en Belmont International Trading Corp"/>
    <s v="Belmont International Trading Corp-Belmont jugo de Maracuya 16oz x 12-12.5"/>
    <n v="3"/>
    <s v="Se repite 3 veces el precio de 12.5"/>
    <s v="El producto Belmont jugo de Maracuya 16oz x 12 Se repite 3 veces en Belmont International Trading Corp, Se repite 3 veces el precio de 12.5"/>
  </r>
  <r>
    <x v="2"/>
    <x v="21"/>
    <s v="Bill"/>
    <s v="68755"/>
    <x v="35"/>
    <s v="BELMONT - Belmont jugo de Maracuya 16oz x 12 / 859174003139 /JB-03"/>
    <n v="10"/>
    <n v="12.5"/>
    <n v="125"/>
    <n v="16872.34"/>
    <n v="3"/>
    <s v="Se repite 3 veces"/>
    <s v="Belmont International Trading Corp-Belmont jugo de Maracuya 16oz x 12"/>
    <n v="3"/>
    <s v="Se repite 3 veces en Belmont International Trading Corp"/>
    <s v="Belmont International Trading Corp-Belmont jugo de Maracuya 16oz x 12-12.5"/>
    <n v="3"/>
    <s v="Se repite 3 veces el precio de 12.5"/>
    <s v="El producto Belmont jugo de Maracuya 16oz x 12 Se repite 3 veces en Belmont International Trading Corp, Se repite 3 veces el precio de 12.5"/>
  </r>
  <r>
    <x v="2"/>
    <x v="20"/>
    <s v="Bill"/>
    <s v="72533"/>
    <x v="35"/>
    <s v="BELMONT - Belmont jugo de Maracuya 16oz x 12 / 859174003139 /JB-03"/>
    <n v="17"/>
    <n v="12.5"/>
    <n v="212.5"/>
    <n v="20121.54"/>
    <n v="3"/>
    <s v="Se repite 3 veces"/>
    <s v="Belmont International Trading Corp-Belmont jugo de Maracuya 16oz x 12"/>
    <n v="3"/>
    <s v="Se repite 3 veces en Belmont International Trading Corp"/>
    <s v="Belmont International Trading Corp-Belmont jugo de Maracuya 16oz x 12-12.5"/>
    <n v="3"/>
    <s v="Se repite 3 veces el precio de 12.5"/>
    <s v="El producto Belmont jugo de Maracuya 16oz x 12 Se repite 3 veces en Belmont International Trading Corp, Se repite 3 veces el precio de 12.5"/>
  </r>
  <r>
    <x v="2"/>
    <x v="21"/>
    <s v="Bill"/>
    <s v="68755"/>
    <x v="36"/>
    <s v="BELMONT - Belmont jugo de Maracuya 1Lt x 6 / 859174003108 / JB-07"/>
    <n v="20"/>
    <n v="12"/>
    <n v="240"/>
    <n v="17592.34"/>
    <n v="2"/>
    <s v="Se repite 2 veces"/>
    <s v="Belmont International Trading Corp-Belmont jugo de Maracuya 1Lt x 6"/>
    <n v="2"/>
    <s v="Se repite 2 veces en Belmont International Trading Corp"/>
    <s v="Belmont International Trading Corp-Belmont jugo de Maracuya 1Lt x 6-12"/>
    <n v="2"/>
    <s v="Se repite 2 veces el precio de 12"/>
    <s v="El producto Belmont jugo de Maracuya 1Lt x 6 Se repite 2 veces en Belmont International Trading Corp, Se repite 2 veces el precio de 12"/>
  </r>
  <r>
    <x v="2"/>
    <x v="20"/>
    <s v="Bill"/>
    <s v="72533"/>
    <x v="36"/>
    <s v="BELMONT - Belmont jugo de Maracuya 1Lt x 6 / 859174003108 / JB-07"/>
    <n v="25"/>
    <n v="12"/>
    <n v="300"/>
    <n v="19696.54"/>
    <n v="2"/>
    <s v="Se repite 2 veces"/>
    <s v="Belmont International Trading Corp-Belmont jugo de Maracuya 1Lt x 6"/>
    <n v="2"/>
    <s v="Se repite 2 veces en Belmont International Trading Corp"/>
    <s v="Belmont International Trading Corp-Belmont jugo de Maracuya 1Lt x 6-12"/>
    <n v="2"/>
    <s v="Se repite 2 veces el precio de 12"/>
    <s v="El producto Belmont jugo de Maracuya 1Lt x 6 Se repite 2 veces en Belmont International Trading Corp, Se repite 2 veces el precio de 12"/>
  </r>
  <r>
    <x v="2"/>
    <x v="3"/>
    <s v="Bill"/>
    <s v="64308"/>
    <x v="37"/>
    <s v="BELMONT - Belmont Maiz Cancha 15oz x 12 / 859174003481"/>
    <n v="2"/>
    <n v="22"/>
    <n v="44"/>
    <n v="5243.69"/>
    <n v="1"/>
    <s v="No se repite"/>
    <s v="Belmont International Trading Corp-Belmont Maiz Cancha 15oz x 12"/>
    <n v="1"/>
    <s v="No se repite en proveedor"/>
    <s v="Belmont International Trading Corp-Belmont Maiz Cancha 15oz x 12-22"/>
    <n v="1"/>
    <s v="No se repite"/>
    <s v="El producto Belmont Maiz Cancha 15oz x 12 No se repite en proveedor Una vez con el precio 22"/>
  </r>
  <r>
    <x v="2"/>
    <x v="3"/>
    <s v="Bill"/>
    <s v="64308"/>
    <x v="38"/>
    <s v="BELMONT - Belmont Maiz Chulpe 15oz x 12 / 859174003498"/>
    <n v="4"/>
    <n v="29"/>
    <n v="116"/>
    <n v="5359.69"/>
    <n v="1"/>
    <s v="No se repite"/>
    <s v="Belmont International Trading Corp-Belmont Maiz Chulpe 15oz x 12"/>
    <n v="1"/>
    <s v="No se repite en proveedor"/>
    <s v="Belmont International Trading Corp-Belmont Maiz Chulpe 15oz x 12-29"/>
    <n v="1"/>
    <s v="No se repite"/>
    <s v="El producto Belmont Maiz Chulpe 15oz x 12 No se repite en proveedor Una vez con el precio 29"/>
  </r>
  <r>
    <x v="2"/>
    <x v="19"/>
    <s v="Bill"/>
    <s v="65207"/>
    <x v="39"/>
    <s v="Belmont Maiz Morado x 15oz x 12 bolsas"/>
    <n v="20"/>
    <n v="27.9"/>
    <n v="558"/>
    <n v="11854.64"/>
    <n v="1"/>
    <s v="No se repite"/>
    <s v="Belmont International Trading Corp-Belmont Maiz Morado x 15oz"/>
    <n v="1"/>
    <s v="No se repite en proveedor"/>
    <s v="Belmont International Trading Corp-Belmont Maiz Morado x 15oz-27.9"/>
    <n v="1"/>
    <s v="No se repite"/>
    <s v="El producto Belmont Maiz Morado x 15oz No se repite en proveedor Una vez con el precio 27.9"/>
  </r>
  <r>
    <x v="2"/>
    <x v="21"/>
    <s v="Bill"/>
    <s v="68755"/>
    <x v="40"/>
    <s v="Belmont Mango Nectar 12 / 16 oz"/>
    <n v="5"/>
    <n v="12.5"/>
    <n v="62.5"/>
    <n v="16747.34"/>
    <n v="1"/>
    <s v="No se repite"/>
    <s v="Belmont International Trading Corp-Belmont Mango Nectar"/>
    <n v="1"/>
    <s v="No se repite en proveedor"/>
    <s v="Belmont International Trading Corp-Belmont Mango Nectar-12.5"/>
    <n v="1"/>
    <s v="No se repite"/>
    <s v="El producto Belmont Mango Nectar No se repite en proveedor Una vez con el precio 12.5"/>
  </r>
  <r>
    <x v="2"/>
    <x v="3"/>
    <s v="Bill"/>
    <s v="64308"/>
    <x v="41"/>
    <s v="BELMONT - Belmont Mango nectar 1Lt x 6 / 859174003092 / JB-06"/>
    <n v="1"/>
    <n v="12"/>
    <n v="12"/>
    <n v="4633.3"/>
    <n v="2"/>
    <s v="Se repite 2 veces"/>
    <s v="Belmont International Trading Corp-Belmont Mango nectar 1Lt x 6"/>
    <n v="2"/>
    <s v="Se repite 2 veces en Belmont International Trading Corp"/>
    <s v="Belmont International Trading Corp-Belmont Mango nectar 1Lt x 6-12"/>
    <n v="2"/>
    <s v="Se repite 2 veces el precio de 12"/>
    <s v="El producto Belmont Mango nectar 1Lt x 6 Se repite 2 veces en Belmont International Trading Corp, Se repite 2 veces el precio de 12"/>
  </r>
  <r>
    <x v="2"/>
    <x v="21"/>
    <s v="Bill"/>
    <s v="68755"/>
    <x v="41"/>
    <s v="BELMONT - Belmont Mango nectar 1Lt x 6 / 859174003092 / JB-06"/>
    <n v="10"/>
    <n v="12"/>
    <n v="120"/>
    <n v="17712.34"/>
    <n v="2"/>
    <s v="Se repite 2 veces"/>
    <s v="Belmont International Trading Corp-Belmont Mango nectar 1Lt x 6"/>
    <n v="2"/>
    <s v="Se repite 2 veces en Belmont International Trading Corp"/>
    <s v="Belmont International Trading Corp-Belmont Mango nectar 1Lt x 6-12"/>
    <n v="2"/>
    <s v="Se repite 2 veces el precio de 12"/>
    <s v="El producto Belmont Mango nectar 1Lt x 6 Se repite 2 veces en Belmont International Trading Corp, Se repite 2 veces el precio de 12"/>
  </r>
  <r>
    <x v="2"/>
    <x v="20"/>
    <s v="Bill"/>
    <s v="72533"/>
    <x v="42"/>
    <s v="Belmont Maracuya con pepas FROZEN 1Kg x 16 / 1FP-38"/>
    <n v="3"/>
    <n v="79.5"/>
    <n v="238.5"/>
    <n v="19036.64"/>
    <n v="1"/>
    <s v="No se repite"/>
    <s v="Belmont International Trading Corp-Belmont Maracuya con pepas FROZEN 1Kg x 16"/>
    <n v="1"/>
    <s v="No se repite en proveedor"/>
    <s v="Belmont International Trading Corp-Belmont Maracuya con pepas FROZEN 1Kg x 16-79.5"/>
    <n v="1"/>
    <s v="No se repite"/>
    <s v="El producto Belmont Maracuya con pepas FROZEN 1Kg x 16 No se repite en proveedor Una vez con el precio 79.5"/>
  </r>
  <r>
    <x v="2"/>
    <x v="20"/>
    <s v="Bill"/>
    <s v="72533"/>
    <x v="43"/>
    <s v="Belmont Pallares 15oz x 14 / SE-15 / 859174003535"/>
    <n v="1"/>
    <n v="29.9"/>
    <n v="29.9"/>
    <n v="20574.740000000002"/>
    <n v="1"/>
    <s v="No se repite"/>
    <s v="Belmont International Trading Corp-Belmont Pallares 15oz x 14"/>
    <n v="1"/>
    <s v="No se repite en proveedor"/>
    <s v="Belmont International Trading Corp-Belmont Pallares 15oz x 14-29.9"/>
    <n v="1"/>
    <s v="No se repite"/>
    <s v="El producto Belmont Pallares 15oz x 14 No se repite en proveedor Una vez con el precio 29.9"/>
  </r>
  <r>
    <x v="2"/>
    <x v="19"/>
    <s v="Bill"/>
    <s v="65207"/>
    <x v="44"/>
    <s v="Belmont Pulpa de Lucuma 14oz x 20 bolsas"/>
    <n v="4"/>
    <n v="62.9"/>
    <n v="251.6"/>
    <n v="5959.64"/>
    <n v="1"/>
    <s v="No se repite"/>
    <s v="Belmont International Trading Corp-Belmont Pulpa de Lucuma"/>
    <n v="1"/>
    <s v="No se repite en proveedor"/>
    <s v="Belmont International Trading Corp-Belmont Pulpa de Lucuma-62.9"/>
    <n v="1"/>
    <s v="No se repite"/>
    <s v="El producto Belmont Pulpa de Lucuma No se repite en proveedor Una vez con el precio 62.9"/>
  </r>
  <r>
    <x v="2"/>
    <x v="4"/>
    <s v="Bill"/>
    <s v="66496"/>
    <x v="45"/>
    <s v="Belmont Pulpa de Maracuya 14oz x 20 bolsas / 1FP-43"/>
    <n v="5"/>
    <n v="48.5"/>
    <n v="242.5"/>
    <n v="12432.14"/>
    <n v="3"/>
    <s v="Se repite 3 veces"/>
    <s v="Belmont International Trading Corp-Belmont Pulpa de Maracuya 14oz x 20"/>
    <n v="3"/>
    <s v="Se repite 3 veces en Belmont International Trading Corp"/>
    <s v="Belmont International Trading Corp-Belmont Pulpa de Maracuya 14oz x 20-48.5"/>
    <n v="3"/>
    <s v="Se repite 3 veces el precio de 48.5"/>
    <s v="El producto Belmont Pulpa de Maracuya 14oz x 20 Se repite 3 veces en Belmont International Trading Corp, Se repite 3 veces el precio de 48.5"/>
  </r>
  <r>
    <x v="2"/>
    <x v="21"/>
    <s v="Bill"/>
    <s v="68755"/>
    <x v="45"/>
    <s v="Belmont Pulpa de Maracuya 14oz x 20 bolsas / 1FP-43"/>
    <n v="12"/>
    <n v="48.5"/>
    <n v="582"/>
    <n v="15124.64"/>
    <n v="3"/>
    <s v="Se repite 3 veces"/>
    <s v="Belmont International Trading Corp-Belmont Pulpa de Maracuya 14oz x 20"/>
    <n v="3"/>
    <s v="Se repite 3 veces en Belmont International Trading Corp"/>
    <s v="Belmont International Trading Corp-Belmont Pulpa de Maracuya 14oz x 20-48.5"/>
    <n v="3"/>
    <s v="Se repite 3 veces el precio de 48.5"/>
    <s v="El producto Belmont Pulpa de Maracuya 14oz x 20 Se repite 3 veces en Belmont International Trading Corp, Se repite 3 veces el precio de 48.5"/>
  </r>
  <r>
    <x v="2"/>
    <x v="20"/>
    <s v="Bill"/>
    <s v="72533"/>
    <x v="45"/>
    <s v="Belmont Pulpa de Maracuya 14oz x 20 bolsas / 1FP-43"/>
    <n v="10"/>
    <n v="48.5"/>
    <n v="485"/>
    <n v="18798.14"/>
    <n v="3"/>
    <s v="Se repite 3 veces"/>
    <s v="Belmont International Trading Corp-Belmont Pulpa de Maracuya 14oz x 20"/>
    <n v="3"/>
    <s v="Se repite 3 veces en Belmont International Trading Corp"/>
    <s v="Belmont International Trading Corp-Belmont Pulpa de Maracuya 14oz x 20-48.5"/>
    <n v="3"/>
    <s v="Se repite 3 veces el precio de 48.5"/>
    <s v="El producto Belmont Pulpa de Maracuya 14oz x 20 Se repite 3 veces en Belmont International Trading Corp, Se repite 3 veces el precio de 48.5"/>
  </r>
  <r>
    <x v="2"/>
    <x v="4"/>
    <s v="Bill"/>
    <s v="66496"/>
    <x v="46"/>
    <s v="Belmont Rocoto Desvenado limpio FROZEN 2lb x 10 bolsas / 1FP-14"/>
    <n v="2"/>
    <n v="66.5"/>
    <n v="133"/>
    <n v="12565.14"/>
    <n v="1"/>
    <s v="No se repite"/>
    <s v="Belmont International Trading Corp-Belmont Rocoto Desvenado limpio FROZEN 2lb x 10"/>
    <n v="1"/>
    <s v="No se repite en proveedor"/>
    <s v="Belmont International Trading Corp-Belmont Rocoto Desvenado limpio FROZEN 2lb x 10-66.5"/>
    <n v="1"/>
    <s v="No se repite"/>
    <s v="El producto Belmont Rocoto Desvenado limpio FROZEN 2lb x 10 No se repite en proveedor Una vez con el precio 66.5"/>
  </r>
  <r>
    <x v="2"/>
    <x v="20"/>
    <s v="Bill"/>
    <s v="72533"/>
    <x v="47"/>
    <s v="Belmont Rocoto en salmuera frasco de vidrio 20oz x 12 / PA-30 / 859174003955"/>
    <n v="2"/>
    <n v="39.9"/>
    <n v="79.8"/>
    <n v="20519.84"/>
    <n v="1"/>
    <s v="No se repite"/>
    <s v="Belmont International Trading Corp-Belmont Rocoto en salmuera 20oz x 12"/>
    <n v="1"/>
    <s v="No se repite en proveedor"/>
    <s v="Belmont International Trading Corp-Belmont Rocoto en salmuera 20oz x 12-39.9"/>
    <n v="1"/>
    <s v="No se repite"/>
    <s v="El producto Belmont Rocoto en salmuera 20oz x 12 No se repite en proveedor Una vez con el precio 39.9"/>
  </r>
  <r>
    <x v="2"/>
    <x v="19"/>
    <s v="Bill"/>
    <s v="65207"/>
    <x v="48"/>
    <s v="Belmont Rocoto entero FROZEN 1Lb x 18 bolsas"/>
    <n v="6"/>
    <n v="51"/>
    <n v="306"/>
    <n v="6549.74"/>
    <n v="1"/>
    <s v="No se repite"/>
    <s v="Belmont International Trading Corp-Belmont Rocoto entero FROZEN"/>
    <n v="1"/>
    <s v="No se repite en proveedor"/>
    <s v="Belmont International Trading Corp-Belmont Rocoto entero FROZEN-51"/>
    <n v="1"/>
    <s v="No se repite"/>
    <s v="El producto Belmont Rocoto entero FROZEN No se repite en proveedor Una vez con el precio 51"/>
  </r>
  <r>
    <x v="2"/>
    <x v="3"/>
    <s v="Bill"/>
    <s v="64308"/>
    <x v="49"/>
    <s v="Belmont Yuyo Marino FROZEN 2.2lb x 8 / 1FP-36"/>
    <n v="1"/>
    <n v="54"/>
    <n v="54"/>
    <n v="54"/>
    <n v="5"/>
    <s v="Se repite 5 veces"/>
    <s v="Belmont International Trading Corp-Belmont Yuyo Marino FROZEN 2.2lb x 8"/>
    <n v="5"/>
    <s v="Se repite 5 veces en Belmont International Trading Corp"/>
    <s v="Belmont International Trading Corp-Belmont Yuyo Marino FROZEN 2.2lb x 8-54"/>
    <n v="1"/>
    <s v="No se repite"/>
    <s v="El producto Belmont Yuyo Marino FROZEN 2.2lb x 8 Se repite 5 veces en Belmont International Trading Corp Una vez con el precio 54"/>
  </r>
  <r>
    <x v="2"/>
    <x v="19"/>
    <s v="Bill"/>
    <s v="65207"/>
    <x v="49"/>
    <s v="Belmont Yuyo Marino FROZEN 2.2lb x 8 / 1FP-36"/>
    <n v="4"/>
    <n v="59.9"/>
    <n v="239.6"/>
    <n v="5708.04"/>
    <n v="5"/>
    <s v="Se repite 5 veces"/>
    <s v="Belmont International Trading Corp-Belmont Yuyo Marino FROZEN 2.2lb x 8"/>
    <n v="5"/>
    <s v="Se repite 5 veces en Belmont International Trading Corp"/>
    <s v="Belmont International Trading Corp-Belmont Yuyo Marino FROZEN 2.2lb x 8-59.9"/>
    <n v="4"/>
    <s v="Se repite 4 veces el precio de 59.9"/>
    <s v="El producto Belmont Yuyo Marino FROZEN 2.2lb x 8 Se repite 5 veces en Belmont International Trading Corp, Se repite 4 veces el precio de 59.9"/>
  </r>
  <r>
    <x v="2"/>
    <x v="4"/>
    <s v="Bill"/>
    <s v="66496"/>
    <x v="49"/>
    <s v="Belmont Yuyo Marino FROZEN 2.2lb x 8 / 1FP-36"/>
    <n v="4"/>
    <n v="59.9"/>
    <n v="239.6"/>
    <n v="12804.74"/>
    <n v="5"/>
    <s v="Se repite 5 veces"/>
    <s v="Belmont International Trading Corp-Belmont Yuyo Marino FROZEN 2.2lb x 8"/>
    <n v="5"/>
    <s v="Se repite 5 veces en Belmont International Trading Corp"/>
    <s v="Belmont International Trading Corp-Belmont Yuyo Marino FROZEN 2.2lb x 8-59.9"/>
    <n v="4"/>
    <s v="Se repite 4 veces el precio de 59.9"/>
    <s v="El producto Belmont Yuyo Marino FROZEN 2.2lb x 8 Se repite 5 veces en Belmont International Trading Corp, Se repite 4 veces el precio de 59.9"/>
  </r>
  <r>
    <x v="2"/>
    <x v="20"/>
    <s v="Bill"/>
    <s v="72533"/>
    <x v="49"/>
    <s v="Belmont Yuyo Marino FROZEN 2.2lb x 8 / 1FP-36"/>
    <n v="1"/>
    <n v="59.9"/>
    <n v="59.9"/>
    <n v="19096.54"/>
    <n v="5"/>
    <s v="Se repite 5 veces"/>
    <s v="Belmont International Trading Corp-Belmont Yuyo Marino FROZEN 2.2lb x 8"/>
    <n v="5"/>
    <s v="Se repite 5 veces en Belmont International Trading Corp"/>
    <s v="Belmont International Trading Corp-Belmont Yuyo Marino FROZEN 2.2lb x 8-59.9"/>
    <n v="4"/>
    <s v="Se repite 4 veces el precio de 59.9"/>
    <s v="El producto Belmont Yuyo Marino FROZEN 2.2lb x 8 Se repite 5 veces en Belmont International Trading Corp, Se repite 4 veces el precio de 59.9"/>
  </r>
  <r>
    <x v="2"/>
    <x v="22"/>
    <s v="Bill"/>
    <s v="75131"/>
    <x v="49"/>
    <s v="Belmont Yuyo Marino FROZEN 2.2lb x 8 / 1FP-36"/>
    <n v="2"/>
    <n v="59.9"/>
    <n v="119.8"/>
    <n v="21428.14"/>
    <n v="5"/>
    <s v="Se repite 5 veces"/>
    <s v="Belmont International Trading Corp-Belmont Yuyo Marino FROZEN 2.2lb x 8"/>
    <n v="5"/>
    <s v="Se repite 5 veces en Belmont International Trading Corp"/>
    <s v="Belmont International Trading Corp-Belmont Yuyo Marino FROZEN 2.2lb x 8-59.9"/>
    <n v="4"/>
    <s v="Se repite 4 veces el precio de 59.9"/>
    <s v="El producto Belmont Yuyo Marino FROZEN 2.2lb x 8 Se repite 5 veces en Belmont International Trading Corp, Se repite 4 veces el precio de 59.9"/>
  </r>
  <r>
    <x v="2"/>
    <x v="3"/>
    <s v="Bill"/>
    <s v="64308"/>
    <x v="50"/>
    <s v="BELMONT - PERU -  GOLOSINAS - DULCES  -  CASINO - Galleta Chocolate-  8 / 6x51g - CH118"/>
    <n v="1"/>
    <n v="16"/>
    <n v="16"/>
    <n v="4258.8"/>
    <n v="5"/>
    <s v="Se repite 5 veces"/>
    <s v="Belmont International Trading Corp-CASINO Galleta Chocolate 51gr x 6 x 8"/>
    <n v="2"/>
    <s v="Se repite 2 veces en Belmont International Trading Corp"/>
    <s v="Belmont International Trading Corp-CASINO Galleta Chocolate 51gr x 6 x 8-16"/>
    <n v="1"/>
    <s v="No se repite"/>
    <s v="El producto CASINO Galleta Chocolate 51gr x 6 x 8 Se repite 2 veces en Belmont International Trading Corp Una vez con el precio 16"/>
  </r>
  <r>
    <x v="2"/>
    <x v="19"/>
    <s v="Bill"/>
    <s v="65207"/>
    <x v="50"/>
    <s v="BELMONT - PERU -  GOLOSINAS - DULCES  -  CASINO - Galleta Chocolate-  8 / 6x51g - CH118"/>
    <n v="10"/>
    <n v="17.600000000000001"/>
    <n v="176"/>
    <n v="10609.74"/>
    <n v="5"/>
    <s v="Se repite 5 veces"/>
    <s v="Belmont International Trading Corp-CASINO Galleta Chocolate 51gr x 6 x 8"/>
    <n v="2"/>
    <s v="Se repite 2 veces en Belmont International Trading Corp"/>
    <s v="Belmont International Trading Corp-CASINO Galleta Chocolate 51gr x 6 x 8-17.6"/>
    <n v="1"/>
    <s v="No se repite"/>
    <s v="El producto CASINO Galleta Chocolate 51gr x 6 x 8 Se repite 2 veces en Belmont International Trading Corp Una vez con el precio 17.6"/>
  </r>
  <r>
    <x v="1"/>
    <x v="8"/>
    <s v="Bill"/>
    <s v=""/>
    <x v="50"/>
    <s v="CASINO - Galleta Chocolate"/>
    <n v="1"/>
    <n v="15.5"/>
    <n v="15.5"/>
    <n v="1395.1999999999998"/>
    <n v="5"/>
    <s v="Se repite 5 veces"/>
    <s v="Peru Chef-CASINO Galleta Chocolate 51gr x 6 x 8"/>
    <n v="3"/>
    <s v="Se repite 3 veces en Peru Chef"/>
    <s v="Peru Chef-CASINO Galleta Chocolate 51gr x 6 x 8-15.5"/>
    <n v="1"/>
    <s v="No se repite"/>
    <s v="El producto CASINO Galleta Chocolate 51gr x 6 x 8 Se repite 3 veces en Peru Chef Una vez con el precio 15.5"/>
  </r>
  <r>
    <x v="1"/>
    <x v="23"/>
    <s v="Bill"/>
    <s v="2025001209"/>
    <x v="50"/>
    <s v="BELMONT - PERU -  GOLOSINAS - DULCES  -  CASINO - Galleta Chocolate-  8 / 6x51g - CH118"/>
    <n v="6"/>
    <n v="17"/>
    <n v="102"/>
    <n v="15140.5"/>
    <n v="5"/>
    <s v="Se repite 5 veces"/>
    <s v="Peru Chef-CASINO Galleta Chocolate 51gr x 6 x 8"/>
    <n v="3"/>
    <s v="Se repite 3 veces en Peru Chef"/>
    <s v="Peru Chef-CASINO Galleta Chocolate 51gr x 6 x 8-17"/>
    <n v="1"/>
    <s v="No se repite"/>
    <s v="El producto CASINO Galleta Chocolate 51gr x 6 x 8 Se repite 3 veces en Peru Chef Una vez con el precio 17"/>
  </r>
  <r>
    <x v="1"/>
    <x v="17"/>
    <s v="Bill"/>
    <s v="57055"/>
    <x v="50"/>
    <s v="BELMONT - PERU -  GOLOSINAS - DULCES  -  CASINO - Galleta Chocolate-  8 / 6x51g - CH118"/>
    <n v="10"/>
    <n v="15.3"/>
    <n v="153"/>
    <n v="37103.350000000006"/>
    <n v="5"/>
    <s v="Se repite 5 veces"/>
    <s v="Peru Chef-CASINO Galleta Chocolate 51gr x 6 x 8"/>
    <n v="3"/>
    <s v="Se repite 3 veces en Peru Chef"/>
    <s v="Peru Chef-CASINO Galleta Chocolate 51gr x 6 x 8-15.3"/>
    <n v="1"/>
    <s v="No se repite"/>
    <s v="El producto CASINO Galleta Chocolate 51gr x 6 x 8 Se repite 3 veces en Peru Chef Una vez con el precio 15.3"/>
  </r>
  <r>
    <x v="2"/>
    <x v="3"/>
    <s v="Bill"/>
    <s v="64308"/>
    <x v="51"/>
    <s v="BELMONT - PERU -  GOLOSINAS - DULCES  -  CASINO - Galleta Fresa-  8 / 6x51g - CH116"/>
    <n v="1"/>
    <n v="16"/>
    <n v="16"/>
    <n v="4242.8"/>
    <n v="5"/>
    <s v="Se repite 5 veces"/>
    <s v="Belmont International Trading Corp-CASINO Galleta Fresa  51gr x 6 x 8"/>
    <n v="2"/>
    <s v="Se repite 2 veces en Belmont International Trading Corp"/>
    <s v="Belmont International Trading Corp-CASINO Galleta Fresa  51gr x 6 x 8-16"/>
    <n v="1"/>
    <s v="No se repite"/>
    <s v="El producto CASINO Galleta Fresa  51gr x 6 x 8 Se repite 2 veces en Belmont International Trading Corp Una vez con el precio 16"/>
  </r>
  <r>
    <x v="2"/>
    <x v="19"/>
    <s v="Bill"/>
    <s v="65207"/>
    <x v="51"/>
    <s v="BELMONT - PERU -  GOLOSINAS - DULCES  -  CASINO - Galleta Fresa-  8 / 6x51g - CH116"/>
    <n v="10"/>
    <n v="17.600000000000001"/>
    <n v="176"/>
    <n v="10961.74"/>
    <n v="5"/>
    <s v="Se repite 5 veces"/>
    <s v="Belmont International Trading Corp-CASINO Galleta Fresa  51gr x 6 x 8"/>
    <n v="2"/>
    <s v="Se repite 2 veces en Belmont International Trading Corp"/>
    <s v="Belmont International Trading Corp-CASINO Galleta Fresa  51gr x 6 x 8-17.6"/>
    <n v="1"/>
    <s v="No se repite"/>
    <s v="El producto CASINO Galleta Fresa  51gr x 6 x 8 Se repite 2 veces en Belmont International Trading Corp Una vez con el precio 17.6"/>
  </r>
  <r>
    <x v="1"/>
    <x v="23"/>
    <s v="Bill"/>
    <s v="2025001209"/>
    <x v="51"/>
    <s v="BELMONT - PERU -  GOLOSINAS - DULCES  -  CASINO - Galleta Fresa-  8 / 6x51g - CH116"/>
    <n v="4"/>
    <n v="17"/>
    <n v="68"/>
    <n v="15038.5"/>
    <n v="5"/>
    <s v="Se repite 5 veces"/>
    <s v="Peru Chef-CASINO Galleta Fresa  51gr x 6 x 8"/>
    <n v="2"/>
    <s v="Se repite 2 veces en Peru Chef"/>
    <s v="Peru Chef-CASINO Galleta Fresa  51gr x 6 x 8-17"/>
    <n v="2"/>
    <s v="Se repite 2 veces el precio de 17"/>
    <s v="El producto CASINO Galleta Fresa  51gr x 6 x 8 Se repite 2 veces en Peru Chef, Se repite 2 veces el precio de 17"/>
  </r>
  <r>
    <x v="1"/>
    <x v="1"/>
    <s v="Bill"/>
    <s v="2025001378"/>
    <x v="51"/>
    <s v="BELMONT - PERU -  GOLOSINAS - DULCES  -  CASINO - Galleta Fresa-  8 / 6x51g - CH116"/>
    <n v="4"/>
    <n v="17"/>
    <n v="68"/>
    <n v="19732"/>
    <n v="5"/>
    <s v="Se repite 5 veces"/>
    <s v="Peru Chef-CASINO Galleta Fresa  51gr x 6 x 8"/>
    <n v="2"/>
    <s v="Se repite 2 veces en Peru Chef"/>
    <s v="Peru Chef-CASINO Galleta Fresa  51gr x 6 x 8-17"/>
    <n v="2"/>
    <s v="Se repite 2 veces el precio de 17"/>
    <s v="El producto CASINO Galleta Fresa  51gr x 6 x 8 Se repite 2 veces en Peru Chef, Se repite 2 veces el precio de 17"/>
  </r>
  <r>
    <x v="3"/>
    <x v="7"/>
    <s v="Bill"/>
    <s v="492743"/>
    <x v="51"/>
    <s v="BELMONT - PERU -  GOLOSINAS - DULCES  -  CASINO - Galleta Fresa-  8 / 6x51g - CH116"/>
    <n v="10"/>
    <n v="18.32"/>
    <n v="183.2"/>
    <n v="112050.01999999989"/>
    <n v="5"/>
    <s v="Se repite 5 veces"/>
    <s v="Tradiciones Andinas-CASINO Galleta Fresa  51gr x 6 x 8"/>
    <n v="1"/>
    <s v="No se repite en proveedor"/>
    <s v="Tradiciones Andinas-CASINO Galleta Fresa  51gr x 6 x 8-18.32"/>
    <n v="1"/>
    <s v="No se repite"/>
    <s v="El producto CASINO Galleta Fresa  51gr x 6 x 8 No se repite en proveedor Una vez con el precio 18.32"/>
  </r>
  <r>
    <x v="2"/>
    <x v="3"/>
    <s v="Bill"/>
    <s v="64308"/>
    <x v="52"/>
    <s v="BELMONT - PERU -  GOLOSINAS - DULCES  -  CASINO - Galleta Lucuma-  8 / 6x51g - CH123"/>
    <n v="1"/>
    <n v="16"/>
    <n v="16"/>
    <n v="4274.8"/>
    <n v="3"/>
    <s v="Se repite 3 veces"/>
    <s v="Belmont International Trading Corp-CASINO Galleta Lucuma 51gr x 6 x 8"/>
    <n v="1"/>
    <s v="No se repite en proveedor"/>
    <s v="Belmont International Trading Corp-CASINO Galleta Lucuma 51gr x 6 x 8-16"/>
    <n v="1"/>
    <s v="No se repite"/>
    <s v="El producto CASINO Galleta Lucuma 51gr x 6 x 8 No se repite en proveedor Una vez con el precio 16"/>
  </r>
  <r>
    <x v="1"/>
    <x v="23"/>
    <s v="Bill"/>
    <s v="2025001209"/>
    <x v="52"/>
    <s v="BELMONT - PERU -  GOLOSINAS - DULCES  -  CASINO - Galleta Lucuma-  8 / 6x51g - CH123"/>
    <n v="2"/>
    <n v="17"/>
    <n v="34"/>
    <n v="19179.5"/>
    <n v="3"/>
    <s v="Se repite 3 veces"/>
    <s v="Peru Chef-CASINO Galleta Lucuma 51gr x 6 x 8"/>
    <n v="2"/>
    <s v="Se repite 2 veces en Peru Chef"/>
    <s v="Peru Chef-CASINO Galleta Lucuma 51gr x 6 x 8-17"/>
    <n v="1"/>
    <s v="No se repite"/>
    <s v="El producto CASINO Galleta Lucuma 51gr x 6 x 8 Se repite 2 veces en Peru Chef Una vez con el precio 17"/>
  </r>
  <r>
    <x v="1"/>
    <x v="17"/>
    <s v="Bill"/>
    <s v="57055"/>
    <x v="52"/>
    <s v="BELMONT - PERU -  GOLOSINAS - DULCES  -  CASINO - Galleta Lucuma-  8 / 6x51g - CH123"/>
    <n v="10"/>
    <n v="15.3"/>
    <n v="153"/>
    <n v="37256.350000000006"/>
    <n v="3"/>
    <s v="Se repite 3 veces"/>
    <s v="Peru Chef-CASINO Galleta Lucuma 51gr x 6 x 8"/>
    <n v="2"/>
    <s v="Se repite 2 veces en Peru Chef"/>
    <s v="Peru Chef-CASINO Galleta Lucuma 51gr x 6 x 8-15.3"/>
    <n v="1"/>
    <s v="No se repite"/>
    <s v="El producto CASINO Galleta Lucuma 51gr x 6 x 8 Se repite 2 veces en Peru Chef Una vez con el precio 15.3"/>
  </r>
  <r>
    <x v="2"/>
    <x v="3"/>
    <s v="Bill"/>
    <s v="64308"/>
    <x v="53"/>
    <s v="BELMONT - PERU -  GOLOSINAS - DULCES  -  CASINO - Galleta Menta-  8 / 6x51g - CH117"/>
    <n v="1"/>
    <n v="16"/>
    <n v="16"/>
    <n v="4226.8"/>
    <n v="7"/>
    <s v="Se repite 7 veces"/>
    <s v="Belmont International Trading Corp-CASINO Galleta Menta 51gr x 6 x 8"/>
    <n v="3"/>
    <s v="Se repite 3 veces en Belmont International Trading Corp"/>
    <s v="Belmont International Trading Corp-CASINO Galleta Menta 51gr x 6 x 8-16"/>
    <n v="1"/>
    <s v="No se repite"/>
    <s v="El producto CASINO Galleta Menta 51gr x 6 x 8 Se repite 3 veces en Belmont International Trading Corp Una vez con el precio 16"/>
  </r>
  <r>
    <x v="2"/>
    <x v="19"/>
    <s v="Bill"/>
    <s v="65207"/>
    <x v="53"/>
    <s v="BELMONT - PERU -  GOLOSINAS - DULCES  -  CASINO - Galleta Menta-  8 / 6x51g - CH117"/>
    <n v="10"/>
    <n v="17.600000000000001"/>
    <n v="176"/>
    <n v="10785.74"/>
    <n v="7"/>
    <s v="Se repite 7 veces"/>
    <s v="Belmont International Trading Corp-CASINO Galleta Menta 51gr x 6 x 8"/>
    <n v="3"/>
    <s v="Se repite 3 veces en Belmont International Trading Corp"/>
    <s v="Belmont International Trading Corp-CASINO Galleta Menta 51gr x 6 x 8-17.6"/>
    <n v="2"/>
    <s v="Se repite 2 veces el precio de 17.6"/>
    <s v="El producto CASINO Galleta Menta 51gr x 6 x 8 Se repite 3 veces en Belmont International Trading Corp, Se repite 2 veces el precio de 17.6"/>
  </r>
  <r>
    <x v="2"/>
    <x v="21"/>
    <s v="Bill"/>
    <s v="68755"/>
    <x v="53"/>
    <s v="BELMONT - PERU -  GOLOSINAS - DULCES  -  CASINO - Galleta Menta-  8 / 6x51g - CH117"/>
    <n v="1"/>
    <n v="17.600000000000001"/>
    <n v="17.600000000000001"/>
    <n v="17795.439999999999"/>
    <n v="7"/>
    <s v="Se repite 7 veces"/>
    <s v="Belmont International Trading Corp-CASINO Galleta Menta 51gr x 6 x 8"/>
    <n v="3"/>
    <s v="Se repite 3 veces en Belmont International Trading Corp"/>
    <s v="Belmont International Trading Corp-CASINO Galleta Menta 51gr x 6 x 8-17.6"/>
    <n v="2"/>
    <s v="Se repite 2 veces el precio de 17.6"/>
    <s v="El producto CASINO Galleta Menta 51gr x 6 x 8 Se repite 3 veces en Belmont International Trading Corp, Se repite 2 veces el precio de 17.6"/>
  </r>
  <r>
    <x v="1"/>
    <x v="8"/>
    <s v="Bill"/>
    <s v=""/>
    <x v="53"/>
    <s v="CASINO - Galleta Menta"/>
    <n v="1"/>
    <n v="15.5"/>
    <n v="15.5"/>
    <n v="1379.6999999999998"/>
    <n v="7"/>
    <s v="Se repite 7 veces"/>
    <s v="Peru Chef-CASINO Galleta Menta 51gr x 6 x 8"/>
    <n v="4"/>
    <s v="Se repite 4 veces en Peru Chef"/>
    <s v="Peru Chef-CASINO Galleta Menta 51gr x 6 x 8-15.5"/>
    <n v="1"/>
    <s v="No se repite"/>
    <s v="El producto CASINO Galleta Menta 51gr x 6 x 8 Se repite 4 veces en Peru Chef Una vez con el precio 15.5"/>
  </r>
  <r>
    <x v="1"/>
    <x v="23"/>
    <s v="Bill"/>
    <s v="2025001209"/>
    <x v="53"/>
    <s v="BELMONT - PERU -  GOLOSINAS - DULCES  -  CASINO - Galleta Menta-  8 / 6x51g - CH117"/>
    <n v="9"/>
    <n v="17"/>
    <n v="153"/>
    <n v="14970.5"/>
    <n v="7"/>
    <s v="Se repite 7 veces"/>
    <s v="Peru Chef-CASINO Galleta Menta 51gr x 6 x 8"/>
    <n v="4"/>
    <s v="Se repite 4 veces en Peru Chef"/>
    <s v="Peru Chef-CASINO Galleta Menta 51gr x 6 x 8-17"/>
    <n v="2"/>
    <s v="Se repite 2 veces el precio de 17"/>
    <s v="El producto CASINO Galleta Menta 51gr x 6 x 8 Se repite 4 veces en Peru Chef, Se repite 2 veces el precio de 17"/>
  </r>
  <r>
    <x v="1"/>
    <x v="1"/>
    <s v="Bill"/>
    <s v="2025001378"/>
    <x v="53"/>
    <s v="BELMONT - PERU -  GOLOSINAS - DULCES  -  CASINO - Galleta Menta-  8 / 6x51g - CH117"/>
    <n v="4"/>
    <n v="17"/>
    <n v="68"/>
    <n v="19664"/>
    <n v="7"/>
    <s v="Se repite 7 veces"/>
    <s v="Peru Chef-CASINO Galleta Menta 51gr x 6 x 8"/>
    <n v="4"/>
    <s v="Se repite 4 veces en Peru Chef"/>
    <s v="Peru Chef-CASINO Galleta Menta 51gr x 6 x 8-17"/>
    <n v="2"/>
    <s v="Se repite 2 veces el precio de 17"/>
    <s v="El producto CASINO Galleta Menta 51gr x 6 x 8 Se repite 4 veces en Peru Chef, Se repite 2 veces el precio de 17"/>
  </r>
  <r>
    <x v="1"/>
    <x v="17"/>
    <s v="Bill"/>
    <s v="57055"/>
    <x v="53"/>
    <s v="BELMONT - PERU -  GOLOSINAS - DULCES  -  CASINO - Galleta Menta-  8 / 6x51g - CH117"/>
    <n v="12"/>
    <n v="15.3"/>
    <n v="183.6"/>
    <n v="36950.350000000006"/>
    <n v="7"/>
    <s v="Se repite 7 veces"/>
    <s v="Peru Chef-CASINO Galleta Menta 51gr x 6 x 8"/>
    <n v="4"/>
    <s v="Se repite 4 veces en Peru Chef"/>
    <s v="Peru Chef-CASINO Galleta Menta 51gr x 6 x 8-15.3"/>
    <n v="1"/>
    <s v="No se repite"/>
    <s v="El producto CASINO Galleta Menta 51gr x 6 x 8 Se repite 4 veces en Peru Chef Una vez con el precio 15.3"/>
  </r>
  <r>
    <x v="2"/>
    <x v="21"/>
    <s v="Bill"/>
    <s v="68755"/>
    <x v="54"/>
    <s v="Chocman 30G"/>
    <n v="1"/>
    <n v="21.5"/>
    <n v="21.5"/>
    <n v="17777.84"/>
    <n v="3"/>
    <s v="Se repite 3 veces"/>
    <s v="Belmont International Trading Corp-Chocman 30G 6 x 14"/>
    <n v="1"/>
    <s v="No se repite en proveedor"/>
    <s v="Belmont International Trading Corp-Chocman 30G 6 x 14-21.5"/>
    <n v="1"/>
    <s v="No se repite"/>
    <s v="El producto Chocman 30G 6 x 14 No se repite en proveedor Una vez con el precio 21.5"/>
  </r>
  <r>
    <x v="1"/>
    <x v="9"/>
    <s v="Bill"/>
    <s v="55130"/>
    <x v="54"/>
    <s v="Chocman 30G"/>
    <n v="1"/>
    <n v="27"/>
    <n v="27"/>
    <n v="4441"/>
    <n v="3"/>
    <s v="Se repite 3 veces"/>
    <s v="Peru Chef-Chocman 30G 6 x 14"/>
    <n v="2"/>
    <s v="Se repite 2 veces en Peru Chef"/>
    <s v="Peru Chef-Chocman 30G 6 x 14-27"/>
    <n v="2"/>
    <s v="Se repite 2 veces el precio de 27"/>
    <s v="El producto Chocman 30G 6 x 14 Se repite 2 veces en Peru Chef, Se repite 2 veces el precio de 27"/>
  </r>
  <r>
    <x v="1"/>
    <x v="24"/>
    <s v="Bill"/>
    <s v="55164"/>
    <x v="54"/>
    <s v="Chocman 30G"/>
    <n v="3"/>
    <n v="27"/>
    <n v="81"/>
    <n v="5498.6"/>
    <n v="3"/>
    <s v="Se repite 3 veces"/>
    <s v="Peru Chef-Chocman 30G 6 x 14"/>
    <n v="2"/>
    <s v="Se repite 2 veces en Peru Chef"/>
    <s v="Peru Chef-Chocman 30G 6 x 14-27"/>
    <n v="2"/>
    <s v="Se repite 2 veces el precio de 27"/>
    <s v="El producto Chocman 30G 6 x 14 Se repite 2 veces en Peru Chef, Se repite 2 veces el precio de 27"/>
  </r>
  <r>
    <x v="1"/>
    <x v="12"/>
    <s v="Bill"/>
    <s v="56352"/>
    <x v="55"/>
    <s v="Chockman Doble Manjar 53 Gr X 8 X 6"/>
    <n v="7"/>
    <n v="22"/>
    <n v="154"/>
    <n v="13301.5"/>
    <n v="5"/>
    <s v="Se repite 5 veces"/>
    <s v="Peru Chef-Chocman Doble Manjar 53gr x 8 x 6"/>
    <n v="5"/>
    <s v="Se repite 5 veces en Peru Chef"/>
    <s v="Peru Chef-Chocman Doble Manjar 53gr x 8 x 6-22"/>
    <n v="3"/>
    <s v="Se repite 3 veces el precio de 22"/>
    <s v="El producto Chocman Doble Manjar 53gr x 8 x 6 Se repite 5 veces en Peru Chef, Se repite 3 veces el precio de 22"/>
  </r>
  <r>
    <x v="1"/>
    <x v="23"/>
    <s v="Bill"/>
    <s v="2025001209"/>
    <x v="55"/>
    <s v="GOLOSINAS Y DULCES -   -  CHOCKMAN DOBLE MANJAR 53 GR X 8 X 6-   / 8"/>
    <n v="5"/>
    <n v="22"/>
    <n v="110"/>
    <n v="15250.5"/>
    <n v="5"/>
    <s v="Se repite 5 veces"/>
    <s v="Peru Chef-Chocman Doble Manjar 53gr x 8 x 6"/>
    <n v="5"/>
    <s v="Se repite 5 veces en Peru Chef"/>
    <s v="Peru Chef-Chocman Doble Manjar 53gr x 8 x 6-22"/>
    <n v="3"/>
    <s v="Se repite 3 veces el precio de 22"/>
    <s v="El producto Chocman Doble Manjar 53gr x 8 x 6 Se repite 5 veces en Peru Chef, Se repite 3 veces el precio de 22"/>
  </r>
  <r>
    <x v="1"/>
    <x v="2"/>
    <s v="Bill"/>
    <s v="2025001691"/>
    <x v="55"/>
    <s v="GOLOSINAS Y DULCES -   -  CHOCKMAN DOBLE MANJAR 53 GR X 8 X 6-   / 8"/>
    <n v="15"/>
    <n v="22"/>
    <n v="330"/>
    <n v="28041.5"/>
    <n v="5"/>
    <s v="Se repite 5 veces"/>
    <s v="Peru Chef-Chocman Doble Manjar 53gr x 8 x 6"/>
    <n v="5"/>
    <s v="Se repite 5 veces en Peru Chef"/>
    <s v="Peru Chef-Chocman Doble Manjar 53gr x 8 x 6-22"/>
    <n v="3"/>
    <s v="Se repite 3 veces el precio de 22"/>
    <s v="El producto Chocman Doble Manjar 53gr x 8 x 6 Se repite 5 veces en Peru Chef, Se repite 3 veces el precio de 22"/>
  </r>
  <r>
    <x v="1"/>
    <x v="16"/>
    <s v="Bill"/>
    <s v="2025001895"/>
    <x v="55"/>
    <s v="GOLOSINAS Y DULCES -   -  CHOCKMAN DOBLE MANJAR 53 GR X 8 X 6-   / 8"/>
    <n v="3"/>
    <n v="19.8"/>
    <n v="59.4"/>
    <n v="30357.4"/>
    <n v="5"/>
    <s v="Se repite 5 veces"/>
    <s v="Peru Chef-Chocman Doble Manjar 53gr x 8 x 6"/>
    <n v="5"/>
    <s v="Se repite 5 veces en Peru Chef"/>
    <s v="Peru Chef-Chocman Doble Manjar 53gr x 8 x 6-19.8"/>
    <n v="2"/>
    <s v="Se repite 2 veces el precio de 19.8"/>
    <s v="El producto Chocman Doble Manjar 53gr x 8 x 6 Se repite 5 veces en Peru Chef, Se repite 2 veces el precio de 19.8"/>
  </r>
  <r>
    <x v="1"/>
    <x v="18"/>
    <s v="Bill"/>
    <s v="2025002373"/>
    <x v="55"/>
    <s v="GOLOSINAS Y DULCES -   -  CHOCKMAN DOBLE MANJAR 53 GR X 8 X 6-   / 8"/>
    <n v="6"/>
    <n v="19.8"/>
    <n v="118.8"/>
    <n v="39698.050000000003"/>
    <n v="5"/>
    <s v="Se repite 5 veces"/>
    <s v="Peru Chef-Chocman Doble Manjar 53gr x 8 x 6"/>
    <n v="5"/>
    <s v="Se repite 5 veces en Peru Chef"/>
    <s v="Peru Chef-Chocman Doble Manjar 53gr x 8 x 6-19.8"/>
    <n v="2"/>
    <s v="Se repite 2 veces el precio de 19.8"/>
    <s v="El producto Chocman Doble Manjar 53gr x 8 x 6 Se repite 5 veces en Peru Chef, Se repite 2 veces el precio de 19.8"/>
  </r>
  <r>
    <x v="2"/>
    <x v="3"/>
    <s v="Bill"/>
    <s v="64308"/>
    <x v="56"/>
    <s v="Chocolate Cuzco con canela y clavo  4 x 12"/>
    <n v="1"/>
    <n v="30"/>
    <n v="30"/>
    <n v="1115.8"/>
    <n v="1"/>
    <s v="No se repite"/>
    <s v="Belmont International Trading Corp-Chocolate Cuzco con canela y clavo  4 x 12"/>
    <n v="1"/>
    <s v="No se repite en proveedor"/>
    <s v="Belmont International Trading Corp-Chocolate Cuzco con canela y clavo  4 x 12-30"/>
    <n v="1"/>
    <s v="No se repite"/>
    <s v="El producto Chocolate Cuzco con canela y clavo  4 x 12 No se repite en proveedor Una vez con el precio 30"/>
  </r>
  <r>
    <x v="2"/>
    <x v="3"/>
    <s v="Bill"/>
    <s v="64308"/>
    <x v="57"/>
    <s v="Chocolate Cuzco regular  4 x 12 / 859174003672 / AB-07"/>
    <n v="1"/>
    <n v="30"/>
    <n v="30"/>
    <n v="1145.8"/>
    <n v="2"/>
    <s v="Se repite 2 veces"/>
    <s v="Belmont International Trading Corp-Chocolate Cuzco regular  4 x 12"/>
    <n v="2"/>
    <s v="Se repite 2 veces en Belmont International Trading Corp"/>
    <s v="Belmont International Trading Corp-Chocolate Cuzco regular  4 x 12-30"/>
    <n v="1"/>
    <s v="No se repite"/>
    <s v="El producto Chocolate Cuzco regular  4 x 12 Se repite 2 veces en Belmont International Trading Corp Una vez con el precio 30"/>
  </r>
  <r>
    <x v="2"/>
    <x v="3"/>
    <s v="Bill"/>
    <s v="64308"/>
    <x v="57"/>
    <s v="Chocolate Cuzco regular  4 x 12 / 859174003672 / AB-07"/>
    <n v="1"/>
    <n v="4"/>
    <n v="4"/>
    <n v="5472.44"/>
    <n v="2"/>
    <s v="Se repite 2 veces"/>
    <s v="Belmont International Trading Corp-Chocolate Cuzco regular  4 x 12"/>
    <n v="2"/>
    <s v="Se repite 2 veces en Belmont International Trading Corp"/>
    <s v="Belmont International Trading Corp-Chocolate Cuzco regular  4 x 12-4"/>
    <n v="1"/>
    <s v="No se repite"/>
    <s v="El producto Chocolate Cuzco regular  4 x 12 Se repite 2 veces en Belmont International Trading Corp Una vez con el precio 4"/>
  </r>
  <r>
    <x v="1"/>
    <x v="24"/>
    <s v="Bill"/>
    <s v="55164"/>
    <x v="58"/>
    <s v="Chocolate Triangulo"/>
    <n v="5"/>
    <n v="15.5"/>
    <n v="77.5"/>
    <n v="5201.6000000000004"/>
    <n v="6"/>
    <s v="Se repite 6 veces"/>
    <s v="Peru Chef-Chocolate Triangulo x 22"/>
    <n v="6"/>
    <s v="Se repite 6 veces en Peru Chef"/>
    <s v="Peru Chef-Chocolate Triangulo x 22-15.5"/>
    <n v="4"/>
    <s v="Se repite 4 veces el precio de 15.5"/>
    <s v="El producto Chocolate Triangulo x 22 Se repite 6 veces en Peru Chef, Se repite 4 veces el precio de 15.5"/>
  </r>
  <r>
    <x v="1"/>
    <x v="15"/>
    <s v="Bill"/>
    <s v="55372"/>
    <x v="58"/>
    <s v="Chocolate Triangulo"/>
    <n v="25"/>
    <n v="15.5"/>
    <n v="387.5"/>
    <n v="8716.7000000000007"/>
    <n v="6"/>
    <s v="Se repite 6 veces"/>
    <s v="Peru Chef-Chocolate Triangulo x 22"/>
    <n v="6"/>
    <s v="Se repite 6 veces en Peru Chef"/>
    <s v="Peru Chef-Chocolate Triangulo x 22-15.5"/>
    <n v="4"/>
    <s v="Se repite 4 veces el precio de 15.5"/>
    <s v="El producto Chocolate Triangulo x 22 Se repite 6 veces en Peru Chef, Se repite 4 veces el precio de 15.5"/>
  </r>
  <r>
    <x v="1"/>
    <x v="1"/>
    <s v="Bill"/>
    <s v="2025001378"/>
    <x v="58"/>
    <s v="Chocolate Triangulo"/>
    <n v="5"/>
    <n v="15.5"/>
    <n v="77.5"/>
    <n v="19447"/>
    <n v="6"/>
    <s v="Se repite 6 veces"/>
    <s v="Peru Chef-Chocolate Triangulo x 22"/>
    <n v="6"/>
    <s v="Se repite 6 veces en Peru Chef"/>
    <s v="Peru Chef-Chocolate Triangulo x 22-15.5"/>
    <n v="4"/>
    <s v="Se repite 4 veces el precio de 15.5"/>
    <s v="El producto Chocolate Triangulo x 22 Se repite 6 veces en Peru Chef, Se repite 4 veces el precio de 15.5"/>
  </r>
  <r>
    <x v="1"/>
    <x v="2"/>
    <s v="Bill"/>
    <s v="2025001691"/>
    <x v="58"/>
    <s v="Chocolate Triangulo"/>
    <n v="10"/>
    <n v="15.5"/>
    <n v="155"/>
    <n v="26719"/>
    <n v="6"/>
    <s v="Se repite 6 veces"/>
    <s v="Peru Chef-Chocolate Triangulo x 22"/>
    <n v="6"/>
    <s v="Se repite 6 veces en Peru Chef"/>
    <s v="Peru Chef-Chocolate Triangulo x 22-15.5"/>
    <n v="4"/>
    <s v="Se repite 4 veces el precio de 15.5"/>
    <s v="El producto Chocolate Triangulo x 22 Se repite 6 veces en Peru Chef, Se repite 4 veces el precio de 15.5"/>
  </r>
  <r>
    <x v="1"/>
    <x v="16"/>
    <s v="Bill"/>
    <s v="2025001895"/>
    <x v="58"/>
    <s v="Chocolate Triangulo"/>
    <n v="6"/>
    <n v="13.95"/>
    <n v="83.7"/>
    <n v="29963.200000000001"/>
    <n v="6"/>
    <s v="Se repite 6 veces"/>
    <s v="Peru Chef-Chocolate Triangulo x 22"/>
    <n v="6"/>
    <s v="Se repite 6 veces en Peru Chef"/>
    <s v="Peru Chef-Chocolate Triangulo x 22-13.95"/>
    <n v="2"/>
    <s v="Se repite 2 veces el precio de 13.95"/>
    <s v="El producto Chocolate Triangulo x 22 Se repite 6 veces en Peru Chef, Se repite 2 veces el precio de 13.95"/>
  </r>
  <r>
    <x v="1"/>
    <x v="17"/>
    <s v="Bill"/>
    <s v="57055"/>
    <x v="58"/>
    <s v="GOLOSINAS Y DULCES -   -  CHOCOLATE TRIANGULO-  DISPLAY X 22 / 1"/>
    <n v="20"/>
    <n v="13.95"/>
    <n v="279"/>
    <n v="36151.150000000016"/>
    <n v="6"/>
    <s v="Se repite 6 veces"/>
    <s v="Peru Chef-Chocolate Triangulo x 22"/>
    <n v="6"/>
    <s v="Se repite 6 veces en Peru Chef"/>
    <s v="Peru Chef-Chocolate Triangulo x 22-13.95"/>
    <n v="2"/>
    <s v="Se repite 2 veces el precio de 13.95"/>
    <s v="El producto Chocolate Triangulo x 22 Se repite 6 veces en Peru Chef, Se repite 2 veces el precio de 13.95"/>
  </r>
  <r>
    <x v="3"/>
    <x v="25"/>
    <s v="Bill"/>
    <s v="483292"/>
    <x v="59"/>
    <s v="Coco Milk Drink with Nata de Coco MANGO"/>
    <n v="3"/>
    <n v="23.76"/>
    <n v="71.28"/>
    <n v="63230.899999999951"/>
    <n v="1"/>
    <s v="No se repite"/>
    <s v="Tradiciones Andinas-Coco Milk Drink with Nata de Coco MANGO"/>
    <n v="1"/>
    <s v="No se repite en proveedor"/>
    <s v="Tradiciones Andinas-Coco Milk Drink with Nata de Coco MANGO-23.76"/>
    <n v="1"/>
    <s v="No se repite"/>
    <s v="El producto Coco Milk Drink with Nata de Coco MANGO No se repite en proveedor Una vez con el precio 23.76"/>
  </r>
  <r>
    <x v="3"/>
    <x v="25"/>
    <s v="Bill"/>
    <s v="483292"/>
    <x v="60"/>
    <s v="Coco Milk Drink with Nata de Coco ORIGINAL"/>
    <n v="3"/>
    <n v="23.76"/>
    <n v="71.28"/>
    <n v="63088.339999999953"/>
    <n v="1"/>
    <s v="No se repite"/>
    <s v="Tradiciones Andinas-Coco Milk Drink with Nata de Coco ORIGINAL"/>
    <n v="1"/>
    <s v="No se repite en proveedor"/>
    <s v="Tradiciones Andinas-Coco Milk Drink with Nata de Coco ORIGINAL-23.76"/>
    <n v="1"/>
    <s v="No se repite"/>
    <s v="El producto Coco Milk Drink with Nata de Coco ORIGINAL No se repite en proveedor Una vez con el precio 23.76"/>
  </r>
  <r>
    <x v="3"/>
    <x v="25"/>
    <s v="Bill"/>
    <s v="483292"/>
    <x v="61"/>
    <s v="Coco Milk Drink with Nata de Coco STRAWBERRY"/>
    <n v="3"/>
    <n v="23.76"/>
    <n v="71.28"/>
    <n v="63159.619999999952"/>
    <n v="1"/>
    <s v="No se repite"/>
    <s v="Tradiciones Andinas-Coco Milk Drink with Nata de Coco STRAWBERRY"/>
    <n v="1"/>
    <s v="No se repite en proveedor"/>
    <s v="Tradiciones Andinas-Coco Milk Drink with Nata de Coco STRAWBERRY-23.76"/>
    <n v="1"/>
    <s v="No se repite"/>
    <s v="El producto Coco Milk Drink with Nata de Coco STRAWBERRY No se repite en proveedor Una vez con el precio 23.76"/>
  </r>
  <r>
    <x v="4"/>
    <x v="26"/>
    <s v="Bill"/>
    <s v=""/>
    <x v="62"/>
    <s v="Conaprole - Dulce de Leche - Milk Caramel Spread"/>
    <n v="1"/>
    <n v="148"/>
    <n v="148"/>
    <n v="223"/>
    <n v="1"/>
    <s v="No se repite"/>
    <s v="La Sorpresa Store-Conaprole - Dulce de Leche - Milk Caramel Spread"/>
    <n v="1"/>
    <s v="No se repite en proveedor"/>
    <s v="La Sorpresa Store-Conaprole - Dulce de Leche - Milk Caramel Spread-148"/>
    <n v="1"/>
    <s v="No se repite"/>
    <s v="El producto Conaprole - Dulce de Leche - Milk Caramel Spread No se repite en proveedor Una vez con el precio 148"/>
  </r>
  <r>
    <x v="2"/>
    <x v="3"/>
    <s v="Bill"/>
    <s v="64308"/>
    <x v="63"/>
    <s v="TA- PERU -  GOLOSINAS - DULCES  -  CORONITA - Galleta de Chocolate-  28 / 38gr - CH131"/>
    <n v="1"/>
    <n v="56"/>
    <n v="56"/>
    <n v="3414.3"/>
    <n v="2"/>
    <s v="Se repite 2 veces"/>
    <s v="Belmont International Trading Corp-CORONITA - Galleta de Chocolate x 6 x 28"/>
    <n v="2"/>
    <s v="Se repite 2 veces en Belmont International Trading Corp"/>
    <s v="Belmont International Trading Corp-CORONITA - Galleta de Chocolate x 6 x 28-56"/>
    <n v="1"/>
    <s v="No se repite"/>
    <s v="El producto CORONITA - Galleta de Chocolate x 6 x 28 Se repite 2 veces en Belmont International Trading Corp Una vez con el precio 56"/>
  </r>
  <r>
    <x v="2"/>
    <x v="19"/>
    <s v="Bill"/>
    <s v="65207"/>
    <x v="63"/>
    <s v="TA- PERU -  GOLOSINAS - DULCES  -  CORONITA - Galleta de Chocolate-  28 / 38gr - CH131"/>
    <n v="10"/>
    <n v="61.6"/>
    <n v="616"/>
    <n v="10433.74"/>
    <n v="2"/>
    <s v="Se repite 2 veces"/>
    <s v="Belmont International Trading Corp-CORONITA - Galleta de Chocolate x 6 x 28"/>
    <n v="2"/>
    <s v="Se repite 2 veces en Belmont International Trading Corp"/>
    <s v="Belmont International Trading Corp-CORONITA - Galleta de Chocolate x 6 x 28-61.6"/>
    <n v="1"/>
    <s v="No se repite"/>
    <s v="El producto CORONITA - Galleta de Chocolate x 6 x 28 Se repite 2 veces en Belmont International Trading Corp Una vez con el precio 61.6"/>
  </r>
  <r>
    <x v="2"/>
    <x v="3"/>
    <s v="Bill"/>
    <s v="64308"/>
    <x v="64"/>
    <s v="TA- PERU -  GOLOSINAS - DULCES  -  Cua Cua 18g x 9 x 24 / CH105"/>
    <n v="2"/>
    <n v="63"/>
    <n v="126"/>
    <n v="3218.3"/>
    <n v="9"/>
    <s v="Se repite 9 veces"/>
    <s v="Belmont International Trading Corp-Cua Cua 9 x 24"/>
    <n v="1"/>
    <s v="No se repite en proveedor"/>
    <s v="Belmont International Trading Corp-Cua Cua 9 x 24-63"/>
    <n v="1"/>
    <s v="No se repite"/>
    <s v="El producto Cua Cua 9 x 24 No se repite en proveedor Una vez con el precio 63"/>
  </r>
  <r>
    <x v="1"/>
    <x v="24"/>
    <s v="Bill"/>
    <s v="55164"/>
    <x v="64"/>
    <s v="TA- PERU -  GOLOSINAS - DULCES  -  Cua Cua 18g x 9 x 24 / CH105"/>
    <n v="1"/>
    <n v="68"/>
    <n v="68"/>
    <n v="5417.6"/>
    <n v="9"/>
    <s v="Se repite 9 veces"/>
    <s v="Peru Chef-Cua Cua 9 x 24"/>
    <n v="1"/>
    <s v="No se repite en proveedor"/>
    <s v="Peru Chef-Cua Cua 9 x 24-68"/>
    <n v="1"/>
    <s v="No se repite"/>
    <s v="El producto Cua Cua 9 x 24 No se repite en proveedor Una vez con el precio 68"/>
  </r>
  <r>
    <x v="3"/>
    <x v="9"/>
    <s v="Bill"/>
    <s v=""/>
    <x v="64"/>
    <s v="Cua Cua"/>
    <n v="5"/>
    <n v="47.76"/>
    <n v="238.8"/>
    <n v="5767.44"/>
    <n v="9"/>
    <s v="Se repite 9 veces"/>
    <s v="Tradiciones Andinas-Cua Cua 9 x 24"/>
    <n v="7"/>
    <s v="Se repite 7 veces en Tradiciones Andinas"/>
    <s v="Tradiciones Andinas-Cua Cua 9 x 24-47.76"/>
    <n v="2"/>
    <s v="Se repite 2 veces el precio de 47.76"/>
    <s v="El producto Cua Cua 9 x 24 Se repite 7 veces en Tradiciones Andinas, Se repite 2 veces el precio de 47.76"/>
  </r>
  <r>
    <x v="3"/>
    <x v="10"/>
    <s v="Bill"/>
    <s v="476974"/>
    <x v="64"/>
    <s v="Cua Cua"/>
    <n v="12"/>
    <n v="47.76"/>
    <n v="573.12"/>
    <n v="19237.199999999997"/>
    <n v="9"/>
    <s v="Se repite 9 veces"/>
    <s v="Tradiciones Andinas-Cua Cua 9 x 24"/>
    <n v="7"/>
    <s v="Se repite 7 veces en Tradiciones Andinas"/>
    <s v="Tradiciones Andinas-Cua Cua 9 x 24-47.76"/>
    <n v="2"/>
    <s v="Se repite 2 veces el precio de 47.76"/>
    <s v="El producto Cua Cua 9 x 24 Se repite 7 veces en Tradiciones Andinas, Se repite 2 veces el precio de 47.76"/>
  </r>
  <r>
    <x v="3"/>
    <x v="11"/>
    <s v="Bill"/>
    <s v="478734"/>
    <x v="64"/>
    <s v="TA- PERU -  GOLOSINAS - DULCES  -  Cua Cua 18g x 9 x 24 / CH105"/>
    <n v="4"/>
    <n v="51.1"/>
    <n v="204.4"/>
    <n v="31054.389999999996"/>
    <n v="9"/>
    <s v="Se repite 9 veces"/>
    <s v="Tradiciones Andinas-Cua Cua 9 x 24"/>
    <n v="7"/>
    <s v="Se repite 7 veces en Tradiciones Andinas"/>
    <s v="Tradiciones Andinas-Cua Cua 9 x 24-51.1"/>
    <n v="3"/>
    <s v="Se repite 3 veces el precio de 51.1"/>
    <s v="El producto Cua Cua 9 x 24 Se repite 7 veces en Tradiciones Andinas, Se repite 3 veces el precio de 51.1"/>
  </r>
  <r>
    <x v="3"/>
    <x v="13"/>
    <s v="Bill"/>
    <s v="485230"/>
    <x v="64"/>
    <s v="TA- PERU -  GOLOSINAS - DULCES  -  Cua Cua 18g x 9 x 24 / CH105"/>
    <n v="2"/>
    <n v="51.1"/>
    <n v="102.2"/>
    <n v="71090.23000000001"/>
    <n v="9"/>
    <s v="Se repite 9 veces"/>
    <s v="Tradiciones Andinas-Cua Cua 9 x 24"/>
    <n v="7"/>
    <s v="Se repite 7 veces en Tradiciones Andinas"/>
    <s v="Tradiciones Andinas-Cua Cua 9 x 24-51.1"/>
    <n v="3"/>
    <s v="Se repite 3 veces el precio de 51.1"/>
    <s v="El producto Cua Cua 9 x 24 Se repite 7 veces en Tradiciones Andinas, Se repite 3 veces el precio de 51.1"/>
  </r>
  <r>
    <x v="3"/>
    <x v="6"/>
    <s v="Bill"/>
    <s v="487860"/>
    <x v="64"/>
    <s v="TA- PERU -  GOLOSINAS - DULCES  -  Cua Cua 18g x 9 x 24 / CH105"/>
    <n v="3"/>
    <n v="51.1"/>
    <n v="153.30000000000001"/>
    <n v="84318.479999999967"/>
    <n v="9"/>
    <s v="Se repite 9 veces"/>
    <s v="Tradiciones Andinas-Cua Cua 9 x 24"/>
    <n v="7"/>
    <s v="Se repite 7 veces en Tradiciones Andinas"/>
    <s v="Tradiciones Andinas-Cua Cua 9 x 24-51.1"/>
    <n v="3"/>
    <s v="Se repite 3 veces el precio de 51.1"/>
    <s v="El producto Cua Cua 9 x 24 Se repite 7 veces en Tradiciones Andinas, Se repite 3 veces el precio de 51.1"/>
  </r>
  <r>
    <x v="3"/>
    <x v="27"/>
    <s v="Bill"/>
    <s v="491180"/>
    <x v="64"/>
    <s v="TA- PERU -  GOLOSINAS - DULCES  -  Cua Cua 18g x 9 x 24 / CH105"/>
    <n v="4"/>
    <n v="54.96"/>
    <n v="219.84"/>
    <n v="104824.39999999992"/>
    <n v="9"/>
    <s v="Se repite 9 veces"/>
    <s v="Tradiciones Andinas-Cua Cua 9 x 24"/>
    <n v="7"/>
    <s v="Se repite 7 veces en Tradiciones Andinas"/>
    <s v="Tradiciones Andinas-Cua Cua 9 x 24-54.96"/>
    <n v="2"/>
    <s v="Se repite 2 veces el precio de 54.96"/>
    <s v="El producto Cua Cua 9 x 24 Se repite 7 veces en Tradiciones Andinas, Se repite 2 veces el precio de 54.96"/>
  </r>
  <r>
    <x v="3"/>
    <x v="7"/>
    <s v="Bill"/>
    <s v="492743"/>
    <x v="64"/>
    <s v="TA- PERU -  GOLOSINAS - DULCES  -  Cua Cua 18g x 9 x 24 / CH105"/>
    <n v="10"/>
    <n v="54.96"/>
    <n v="549.6"/>
    <n v="110641.31999999991"/>
    <n v="9"/>
    <s v="Se repite 9 veces"/>
    <s v="Tradiciones Andinas-Cua Cua 9 x 24"/>
    <n v="7"/>
    <s v="Se repite 7 veces en Tradiciones Andinas"/>
    <s v="Tradiciones Andinas-Cua Cua 9 x 24-54.96"/>
    <n v="2"/>
    <s v="Se repite 2 veces el precio de 54.96"/>
    <s v="El producto Cua Cua 9 x 24 Se repite 7 veces en Tradiciones Andinas, Se repite 2 veces el precio de 54.96"/>
  </r>
  <r>
    <x v="3"/>
    <x v="5"/>
    <s v="Bill"/>
    <s v="482005"/>
    <x v="65"/>
    <s v="TA- PERU -  INFUSIONES -  DEL VALLE - Boldo-  32 / 25x25g - Dvalle05"/>
    <n v="1"/>
    <n v="39.46"/>
    <n v="39.46"/>
    <n v="53713.079999999951"/>
    <n v="4"/>
    <s v="Se repite 4 veces"/>
    <s v="Tradiciones Andinas-DEL VALLE - Boldo Filtrante 25gr x 25 x 32"/>
    <n v="4"/>
    <s v="Se repite 4 veces en Tradiciones Andinas"/>
    <s v="Tradiciones Andinas-DEL VALLE - Boldo Filtrante 25gr x 25 x 32-39.46"/>
    <n v="4"/>
    <s v="Se repite 4 veces el precio de 39.46"/>
    <s v="El producto DEL VALLE - Boldo Filtrante 25gr x 25 x 32 Se repite 4 veces en Tradiciones Andinas, Se repite 4 veces el precio de 39.46"/>
  </r>
  <r>
    <x v="3"/>
    <x v="25"/>
    <s v="Bill"/>
    <s v="483292"/>
    <x v="65"/>
    <s v="TA- PERU -  INFUSIONES -  DEL VALLE - Boldo-  32 / 25x25g - Dvalle05"/>
    <n v="2"/>
    <n v="39.46"/>
    <n v="78.92"/>
    <n v="62252.559999999954"/>
    <n v="4"/>
    <s v="Se repite 4 veces"/>
    <s v="Tradiciones Andinas-DEL VALLE - Boldo Filtrante 25gr x 25 x 32"/>
    <n v="4"/>
    <s v="Se repite 4 veces en Tradiciones Andinas"/>
    <s v="Tradiciones Andinas-DEL VALLE - Boldo Filtrante 25gr x 25 x 32-39.46"/>
    <n v="4"/>
    <s v="Se repite 4 veces el precio de 39.46"/>
    <s v="El producto DEL VALLE - Boldo Filtrante 25gr x 25 x 32 Se repite 4 veces en Tradiciones Andinas, Se repite 4 veces el precio de 39.46"/>
  </r>
  <r>
    <x v="3"/>
    <x v="6"/>
    <s v="Bill"/>
    <s v="487860"/>
    <x v="65"/>
    <s v="TA- PERU -  INFUSIONES -  DEL VALLE - Boldo-  32 / 25x25g - Dvalle05"/>
    <n v="4"/>
    <n v="39.46"/>
    <n v="157.84"/>
    <n v="83499.90999999996"/>
    <n v="4"/>
    <s v="Se repite 4 veces"/>
    <s v="Tradiciones Andinas-DEL VALLE - Boldo Filtrante 25gr x 25 x 32"/>
    <n v="4"/>
    <s v="Se repite 4 veces en Tradiciones Andinas"/>
    <s v="Tradiciones Andinas-DEL VALLE - Boldo Filtrante 25gr x 25 x 32-39.46"/>
    <n v="4"/>
    <s v="Se repite 4 veces el precio de 39.46"/>
    <s v="El producto DEL VALLE - Boldo Filtrante 25gr x 25 x 32 Se repite 4 veces en Tradiciones Andinas, Se repite 4 veces el precio de 39.46"/>
  </r>
  <r>
    <x v="3"/>
    <x v="7"/>
    <s v="Bill"/>
    <s v="492743"/>
    <x v="65"/>
    <s v="TA- PERU -  INFUSIONES -  DEL VALLE - Boldo-  32 / 25x25g - Dvalle05"/>
    <n v="2"/>
    <n v="39.46"/>
    <n v="78.92"/>
    <n v="109068.75999999991"/>
    <n v="4"/>
    <s v="Se repite 4 veces"/>
    <s v="Tradiciones Andinas-DEL VALLE - Boldo Filtrante 25gr x 25 x 32"/>
    <n v="4"/>
    <s v="Se repite 4 veces en Tradiciones Andinas"/>
    <s v="Tradiciones Andinas-DEL VALLE - Boldo Filtrante 25gr x 25 x 32-39.46"/>
    <n v="4"/>
    <s v="Se repite 4 veces el precio de 39.46"/>
    <s v="El producto DEL VALLE - Boldo Filtrante 25gr x 25 x 32 Se repite 4 veces en Tradiciones Andinas, Se repite 4 veces el precio de 39.46"/>
  </r>
  <r>
    <x v="3"/>
    <x v="10"/>
    <s v="Bill"/>
    <s v="476974"/>
    <x v="66"/>
    <s v="DEL VALLE - Chancapiedra"/>
    <n v="2"/>
    <n v="36.880000000000003"/>
    <n v="73.760000000000005"/>
    <n v="17516.419999999995"/>
    <n v="3"/>
    <s v="Se repite 3 veces"/>
    <s v="Tradiciones Andinas-DEL VALLE - Chancapiedra filtrante 25 x 32"/>
    <n v="3"/>
    <s v="Se repite 3 veces en Tradiciones Andinas"/>
    <s v="Tradiciones Andinas-DEL VALLE - Chancapiedra filtrante 25 x 32-36.88"/>
    <n v="1"/>
    <s v="No se repite"/>
    <s v="El producto DEL VALLE - Chancapiedra filtrante 25 x 32 Se repite 3 veces en Tradiciones Andinas Una vez con el precio 36.88"/>
  </r>
  <r>
    <x v="3"/>
    <x v="25"/>
    <s v="Bill"/>
    <s v="483292"/>
    <x v="66"/>
    <s v="TA- PERU -  INFUSIONES -  DEL VALLE - Chancapiedra-  32 / 25x25g - Dvalle09"/>
    <n v="1"/>
    <n v="39.46"/>
    <n v="39.46"/>
    <n v="62292.019999999953"/>
    <n v="3"/>
    <s v="Se repite 3 veces"/>
    <s v="Tradiciones Andinas-DEL VALLE - Chancapiedra filtrante 25 x 32"/>
    <n v="3"/>
    <s v="Se repite 3 veces en Tradiciones Andinas"/>
    <s v="Tradiciones Andinas-DEL VALLE - Chancapiedra filtrante 25 x 32-39.46"/>
    <n v="2"/>
    <s v="Se repite 2 veces el precio de 39.46"/>
    <s v="El producto DEL VALLE - Chancapiedra filtrante 25 x 32 Se repite 3 veces en Tradiciones Andinas, Se repite 2 veces el precio de 39.46"/>
  </r>
  <r>
    <x v="3"/>
    <x v="6"/>
    <s v="Bill"/>
    <s v="487860"/>
    <x v="66"/>
    <s v="TA- PERU -  INFUSIONES -  DEL VALLE - Chancapiedra-  32 / 25x25g - Dvalle09"/>
    <n v="4"/>
    <n v="39.46"/>
    <n v="157.84"/>
    <n v="83815.589999999953"/>
    <n v="3"/>
    <s v="Se repite 3 veces"/>
    <s v="Tradiciones Andinas-DEL VALLE - Chancapiedra filtrante 25 x 32"/>
    <n v="3"/>
    <s v="Se repite 3 veces en Tradiciones Andinas"/>
    <s v="Tradiciones Andinas-DEL VALLE - Chancapiedra filtrante 25 x 32-39.46"/>
    <n v="2"/>
    <s v="Se repite 2 veces el precio de 39.46"/>
    <s v="El producto DEL VALLE - Chancapiedra filtrante 25 x 32 Se repite 3 veces en Tradiciones Andinas, Se repite 2 veces el precio de 39.46"/>
  </r>
  <r>
    <x v="3"/>
    <x v="10"/>
    <s v="Bill"/>
    <s v="476974"/>
    <x v="67"/>
    <s v="DEL VALLE - Una de Gato"/>
    <n v="2"/>
    <n v="36.880000000000003"/>
    <n v="73.760000000000005"/>
    <n v="17442.659999999996"/>
    <n v="4"/>
    <s v="Se repite 4 veces"/>
    <s v="Tradiciones Andinas-DEL VALLE  Una de Gato filtrante 25 x 32"/>
    <n v="4"/>
    <s v="Se repite 4 veces en Tradiciones Andinas"/>
    <s v="Tradiciones Andinas-DEL VALLE  Una de Gato filtrante 25 x 32-36.88"/>
    <n v="1"/>
    <s v="No se repite"/>
    <s v="El producto DEL VALLE  Una de Gato filtrante 25 x 32 Se repite 4 veces en Tradiciones Andinas Una vez con el precio 36.88"/>
  </r>
  <r>
    <x v="3"/>
    <x v="5"/>
    <s v="Bill"/>
    <s v="482005"/>
    <x v="67"/>
    <s v="TA- PERU -  INFUSIONES -  DEL VALLE - Una de Gato-  32 / 25x25g - Dvalle08"/>
    <n v="2"/>
    <n v="39.46"/>
    <n v="78.92"/>
    <n v="53791.999999999949"/>
    <n v="4"/>
    <s v="Se repite 4 veces"/>
    <s v="Tradiciones Andinas-DEL VALLE  Una de Gato filtrante 25 x 32"/>
    <n v="4"/>
    <s v="Se repite 4 veces en Tradiciones Andinas"/>
    <s v="Tradiciones Andinas-DEL VALLE  Una de Gato filtrante 25 x 32-39.46"/>
    <n v="3"/>
    <s v="Se repite 3 veces el precio de 39.46"/>
    <s v="El producto DEL VALLE  Una de Gato filtrante 25 x 32 Se repite 4 veces en Tradiciones Andinas, Se repite 3 veces el precio de 39.46"/>
  </r>
  <r>
    <x v="3"/>
    <x v="6"/>
    <s v="Bill"/>
    <s v="487860"/>
    <x v="67"/>
    <s v="TA- PERU -  INFUSIONES -  DEL VALLE - Una de Gato-  32 / 25x25g - Dvalle08"/>
    <n v="4"/>
    <n v="39.46"/>
    <n v="157.84"/>
    <n v="83657.749999999956"/>
    <n v="4"/>
    <s v="Se repite 4 veces"/>
    <s v="Tradiciones Andinas-DEL VALLE  Una de Gato filtrante 25 x 32"/>
    <n v="4"/>
    <s v="Se repite 4 veces en Tradiciones Andinas"/>
    <s v="Tradiciones Andinas-DEL VALLE  Una de Gato filtrante 25 x 32-39.46"/>
    <n v="3"/>
    <s v="Se repite 3 veces el precio de 39.46"/>
    <s v="El producto DEL VALLE  Una de Gato filtrante 25 x 32 Se repite 4 veces en Tradiciones Andinas, Se repite 3 veces el precio de 39.46"/>
  </r>
  <r>
    <x v="3"/>
    <x v="7"/>
    <s v="Bill"/>
    <s v="492743"/>
    <x v="67"/>
    <s v="TA- PERU -  INFUSIONES -  DEL VALLE - Una de Gato-  32 / 25x25g - Dvalle08"/>
    <n v="2"/>
    <n v="39.46"/>
    <n v="78.92"/>
    <n v="109147.67999999991"/>
    <n v="4"/>
    <s v="Se repite 4 veces"/>
    <s v="Tradiciones Andinas-DEL VALLE  Una de Gato filtrante 25 x 32"/>
    <n v="4"/>
    <s v="Se repite 4 veces en Tradiciones Andinas"/>
    <s v="Tradiciones Andinas-DEL VALLE  Una de Gato filtrante 25 x 32-39.46"/>
    <n v="3"/>
    <s v="Se repite 3 veces el precio de 39.46"/>
    <s v="El producto DEL VALLE  Una de Gato filtrante 25 x 32 Se repite 4 veces en Tradiciones Andinas, Se repite 3 veces el precio de 39.46"/>
  </r>
  <r>
    <x v="5"/>
    <x v="28"/>
    <s v="Bill"/>
    <s v=""/>
    <x v="68"/>
    <s v="Used for product displays at retail stores"/>
    <n v="8"/>
    <n v="5.41"/>
    <n v="43.28"/>
    <n v="43.28"/>
    <n v="2"/>
    <s v="Se repite 2 veces"/>
    <s v="Amazon-Display Strip"/>
    <n v="2"/>
    <s v="Se repite 2 veces en Amazon"/>
    <s v="Amazon-Display Strip-5.41"/>
    <n v="2"/>
    <s v="Se repite 2 veces el precio de 5.41"/>
    <s v="El producto Display Strip Se repite 2 veces en Amazon, Se repite 2 veces el precio de 5.41"/>
  </r>
  <r>
    <x v="5"/>
    <x v="29"/>
    <s v="Expense"/>
    <s v=""/>
    <x v="68"/>
    <s v="AMAZON MKTPL*N647V 06-03 Amzn.com/bill WA 6953 DEBIT CARD PURCHASE"/>
    <n v="8"/>
    <n v="5.41"/>
    <n v="43.28"/>
    <n v="86.56"/>
    <n v="2"/>
    <s v="Se repite 2 veces"/>
    <s v="Amazon-Display Strip"/>
    <n v="2"/>
    <s v="Se repite 2 veces en Amazon"/>
    <s v="Amazon-Display Strip-5.41"/>
    <n v="2"/>
    <s v="Se repite 2 veces el precio de 5.41"/>
    <s v="El producto Display Strip Se repite 2 veces en Amazon, Se repite 2 veces el precio de 5.41"/>
  </r>
  <r>
    <x v="2"/>
    <x v="3"/>
    <s v="Bill"/>
    <s v="64308"/>
    <x v="69"/>
    <s v="TA- PERU -  GOLOSINAS - DULCES  -  Doña Pepa 23g  6 x 36 / CH106"/>
    <n v="2"/>
    <n v="70"/>
    <n v="140"/>
    <n v="3358.3"/>
    <n v="9"/>
    <s v="Se repite 9 veces"/>
    <s v="Belmont International Trading Corp-Doña Pepa 23gr 6 x 36"/>
    <n v="1"/>
    <s v="No se repite en proveedor"/>
    <s v="Belmont International Trading Corp-Doña Pepa 23gr 6 x 36-70"/>
    <n v="1"/>
    <s v="No se repite"/>
    <s v="El producto Doña Pepa 23gr 6 x 36 No se repite en proveedor Una vez con el precio 70"/>
  </r>
  <r>
    <x v="1"/>
    <x v="24"/>
    <s v="Bill"/>
    <s v="55164"/>
    <x v="69"/>
    <s v="TA- PERU -  GOLOSINAS - DULCES  -  Doña Pepa 23g  6 x 36 / CH106"/>
    <n v="1"/>
    <n v="70"/>
    <n v="70"/>
    <n v="5349.6"/>
    <n v="9"/>
    <s v="Se repite 9 veces"/>
    <s v="Peru Chef-Doña Pepa 23gr 6 x 36"/>
    <n v="1"/>
    <s v="No se repite en proveedor"/>
    <s v="Peru Chef-Doña Pepa 23gr 6 x 36-70"/>
    <n v="1"/>
    <s v="No se repite"/>
    <s v="El producto Doña Pepa 23gr 6 x 36 No se repite en proveedor Una vez con el precio 70"/>
  </r>
  <r>
    <x v="3"/>
    <x v="9"/>
    <s v="Bill"/>
    <s v=""/>
    <x v="69"/>
    <s v="Doña Pepa"/>
    <n v="5"/>
    <n v="53.64"/>
    <n v="268.2"/>
    <n v="6035.6399999999994"/>
    <n v="9"/>
    <s v="Se repite 9 veces"/>
    <s v="Tradiciones Andinas-Doña Pepa 23gr 6 x 36"/>
    <n v="7"/>
    <s v="Se repite 7 veces en Tradiciones Andinas"/>
    <s v="Tradiciones Andinas-Doña Pepa 23gr 6 x 36-53.64"/>
    <n v="2"/>
    <s v="Se repite 2 veces el precio de 53.64"/>
    <s v="El producto Doña Pepa 23gr 6 x 36 Se repite 7 veces en Tradiciones Andinas, Se repite 2 veces el precio de 53.64"/>
  </r>
  <r>
    <x v="3"/>
    <x v="10"/>
    <s v="Bill"/>
    <s v="476974"/>
    <x v="69"/>
    <s v="Doña Pepa"/>
    <n v="8"/>
    <n v="53.64"/>
    <n v="429.12"/>
    <n v="19666.319999999996"/>
    <n v="9"/>
    <s v="Se repite 9 veces"/>
    <s v="Tradiciones Andinas-Doña Pepa 23gr 6 x 36"/>
    <n v="7"/>
    <s v="Se repite 7 veces en Tradiciones Andinas"/>
    <s v="Tradiciones Andinas-Doña Pepa 23gr 6 x 36-53.64"/>
    <n v="2"/>
    <s v="Se repite 2 veces el precio de 53.64"/>
    <s v="El producto Doña Pepa 23gr 6 x 36 Se repite 7 veces en Tradiciones Andinas, Se repite 2 veces el precio de 53.64"/>
  </r>
  <r>
    <x v="3"/>
    <x v="11"/>
    <s v="Bill"/>
    <s v="478734"/>
    <x v="69"/>
    <s v="TA- PERU -  GOLOSINAS - DULCES  -  Doña Pepa 23g  6 x 36 / CH106"/>
    <n v="5"/>
    <n v="57.39"/>
    <n v="286.95"/>
    <n v="31341.339999999997"/>
    <n v="9"/>
    <s v="Se repite 9 veces"/>
    <s v="Tradiciones Andinas-Doña Pepa 23gr 6 x 36"/>
    <n v="7"/>
    <s v="Se repite 7 veces en Tradiciones Andinas"/>
    <s v="Tradiciones Andinas-Doña Pepa 23gr 6 x 36-57.39"/>
    <n v="3"/>
    <s v="Se repite 3 veces el precio de 57.39"/>
    <s v="El producto Doña Pepa 23gr 6 x 36 Se repite 7 veces en Tradiciones Andinas, Se repite 3 veces el precio de 57.39"/>
  </r>
  <r>
    <x v="3"/>
    <x v="13"/>
    <s v="Bill"/>
    <s v="485230"/>
    <x v="69"/>
    <s v="TA- PERU -  GOLOSINAS - DULCES  -  Doña Pepa 23g  6 x 36 / CH106"/>
    <n v="2"/>
    <n v="57.39"/>
    <n v="114.78"/>
    <n v="71205.010000000009"/>
    <n v="9"/>
    <s v="Se repite 9 veces"/>
    <s v="Tradiciones Andinas-Doña Pepa 23gr 6 x 36"/>
    <n v="7"/>
    <s v="Se repite 7 veces en Tradiciones Andinas"/>
    <s v="Tradiciones Andinas-Doña Pepa 23gr 6 x 36-57.39"/>
    <n v="3"/>
    <s v="Se repite 3 veces el precio de 57.39"/>
    <s v="El producto Doña Pepa 23gr 6 x 36 Se repite 7 veces en Tradiciones Andinas, Se repite 3 veces el precio de 57.39"/>
  </r>
  <r>
    <x v="3"/>
    <x v="6"/>
    <s v="Bill"/>
    <s v="487860"/>
    <x v="69"/>
    <s v="TA- PERU -  GOLOSINAS - DULCES  -  Doña Pepa 23g  6 x 36 / CH106"/>
    <n v="3"/>
    <n v="57.39"/>
    <n v="172.17"/>
    <n v="84490.649999999965"/>
    <n v="9"/>
    <s v="Se repite 9 veces"/>
    <s v="Tradiciones Andinas-Doña Pepa 23gr 6 x 36"/>
    <n v="7"/>
    <s v="Se repite 7 veces en Tradiciones Andinas"/>
    <s v="Tradiciones Andinas-Doña Pepa 23gr 6 x 36-57.39"/>
    <n v="3"/>
    <s v="Se repite 3 veces el precio de 57.39"/>
    <s v="El producto Doña Pepa 23gr 6 x 36 Se repite 7 veces en Tradiciones Andinas, Se repite 3 veces el precio de 57.39"/>
  </r>
  <r>
    <x v="3"/>
    <x v="27"/>
    <s v="Bill"/>
    <s v="491180"/>
    <x v="69"/>
    <s v="TA- PERU -  GOLOSINAS - DULCES  -  Doña Pepa 23g  6 x 36 / CH106"/>
    <n v="4"/>
    <n v="60.84"/>
    <n v="243.36"/>
    <n v="105067.75999999992"/>
    <n v="9"/>
    <s v="Se repite 9 veces"/>
    <s v="Tradiciones Andinas-Doña Pepa 23gr 6 x 36"/>
    <n v="7"/>
    <s v="Se repite 7 veces en Tradiciones Andinas"/>
    <s v="Tradiciones Andinas-Doña Pepa 23gr 6 x 36-60.84"/>
    <n v="2"/>
    <s v="Se repite 2 veces el precio de 60.84"/>
    <s v="El producto Doña Pepa 23gr 6 x 36 Se repite 7 veces en Tradiciones Andinas, Se repite 2 veces el precio de 60.84"/>
  </r>
  <r>
    <x v="3"/>
    <x v="7"/>
    <s v="Bill"/>
    <s v="492743"/>
    <x v="69"/>
    <s v="TA- PERU -  GOLOSINAS - DULCES  -  Doña Pepa 23g  6 x 36 / CH106"/>
    <n v="10"/>
    <n v="60.84"/>
    <n v="608.4"/>
    <n v="111249.7199999999"/>
    <n v="9"/>
    <s v="Se repite 9 veces"/>
    <s v="Tradiciones Andinas-Doña Pepa 23gr 6 x 36"/>
    <n v="7"/>
    <s v="Se repite 7 veces en Tradiciones Andinas"/>
    <s v="Tradiciones Andinas-Doña Pepa 23gr 6 x 36-60.84"/>
    <n v="2"/>
    <s v="Se repite 2 veces el precio de 60.84"/>
    <s v="El producto Doña Pepa 23gr 6 x 36 Se repite 7 veces en Tradiciones Andinas, Se repite 2 veces el precio de 60.84"/>
  </r>
  <r>
    <x v="2"/>
    <x v="3"/>
    <s v="Bill"/>
    <s v="64308"/>
    <x v="70"/>
    <s v="D'Onofrio Chocolate Sublime 26 G"/>
    <n v="18"/>
    <n v="12.25"/>
    <n v="220.5"/>
    <n v="4052.0000000000005"/>
    <n v="8"/>
    <s v="Se repite 8 veces"/>
    <s v="Belmont International Trading Corp-D'Onofrio Chocolate Sublime 26 G x 24"/>
    <n v="2"/>
    <s v="Se repite 2 veces en Belmont International Trading Corp"/>
    <s v="Belmont International Trading Corp-D'Onofrio Chocolate Sublime 26 G x 24-12.25"/>
    <n v="1"/>
    <s v="No se repite"/>
    <s v="El producto D'Onofrio Chocolate Sublime 26 G x 24 Se repite 2 veces en Belmont International Trading Corp Una vez con el precio 12.25"/>
  </r>
  <r>
    <x v="2"/>
    <x v="20"/>
    <s v="Bill"/>
    <s v="72533"/>
    <x v="70"/>
    <s v="D'Onofrio Chocolate Sublime 26 G"/>
    <n v="10"/>
    <n v="13.5"/>
    <n v="135"/>
    <n v="20988.84"/>
    <n v="8"/>
    <s v="Se repite 8 veces"/>
    <s v="Belmont International Trading Corp-D'Onofrio Chocolate Sublime 26 G x 24"/>
    <n v="2"/>
    <s v="Se repite 2 veces en Belmont International Trading Corp"/>
    <s v="Belmont International Trading Corp-D'Onofrio Chocolate Sublime 26 G x 24-13.5"/>
    <n v="1"/>
    <s v="No se repite"/>
    <s v="El producto D'Onofrio Chocolate Sublime 26 G x 24 Se repite 2 veces en Belmont International Trading Corp Una vez con el precio 13.5"/>
  </r>
  <r>
    <x v="1"/>
    <x v="24"/>
    <s v="Bill"/>
    <s v="55164"/>
    <x v="70"/>
    <s v="D'Onofrio Chocolate Sublime 26 G"/>
    <n v="5"/>
    <n v="15"/>
    <n v="75"/>
    <n v="5124.1000000000004"/>
    <n v="8"/>
    <s v="Se repite 8 veces"/>
    <s v="Peru Chef-D'Onofrio Chocolate Sublime 26 G x 24"/>
    <n v="6"/>
    <s v="Se repite 6 veces en Peru Chef"/>
    <s v="Peru Chef-D'Onofrio Chocolate Sublime 26 G x 24-15"/>
    <n v="4"/>
    <s v="Se repite 4 veces el precio de 15"/>
    <s v="El producto D'Onofrio Chocolate Sublime 26 G x 24 Se repite 6 veces en Peru Chef, Se repite 4 veces el precio de 15"/>
  </r>
  <r>
    <x v="1"/>
    <x v="15"/>
    <s v="Bill"/>
    <s v="55372"/>
    <x v="70"/>
    <s v="D'Onofrio Chocolate Sublime 26 G"/>
    <n v="15"/>
    <n v="15"/>
    <n v="225"/>
    <n v="8329.2000000000007"/>
    <n v="8"/>
    <s v="Se repite 8 veces"/>
    <s v="Peru Chef-D'Onofrio Chocolate Sublime 26 G x 24"/>
    <n v="6"/>
    <s v="Se repite 6 veces en Peru Chef"/>
    <s v="Peru Chef-D'Onofrio Chocolate Sublime 26 G x 24-15"/>
    <n v="4"/>
    <s v="Se repite 4 veces el precio de 15"/>
    <s v="El producto D'Onofrio Chocolate Sublime 26 G x 24 Se repite 6 veces en Peru Chef, Se repite 4 veces el precio de 15"/>
  </r>
  <r>
    <x v="1"/>
    <x v="1"/>
    <s v="Bill"/>
    <s v="2025001378"/>
    <x v="70"/>
    <s v="D'Onofrio Chocolate Sublime 26 G"/>
    <n v="5"/>
    <n v="15"/>
    <n v="75"/>
    <n v="19522"/>
    <n v="8"/>
    <s v="Se repite 8 veces"/>
    <s v="Peru Chef-D'Onofrio Chocolate Sublime 26 G x 24"/>
    <n v="6"/>
    <s v="Se repite 6 veces en Peru Chef"/>
    <s v="Peru Chef-D'Onofrio Chocolate Sublime 26 G x 24-15"/>
    <n v="4"/>
    <s v="Se repite 4 veces el precio de 15"/>
    <s v="El producto D'Onofrio Chocolate Sublime 26 G x 24 Se repite 6 veces en Peru Chef, Se repite 4 veces el precio de 15"/>
  </r>
  <r>
    <x v="1"/>
    <x v="2"/>
    <s v="Bill"/>
    <s v="2025001691"/>
    <x v="70"/>
    <s v="D'Onofrio Chocolate Sublime 26 G"/>
    <n v="15"/>
    <n v="15"/>
    <n v="225"/>
    <n v="27100"/>
    <n v="8"/>
    <s v="Se repite 8 veces"/>
    <s v="Peru Chef-D'Onofrio Chocolate Sublime 26 G x 24"/>
    <n v="6"/>
    <s v="Se repite 6 veces en Peru Chef"/>
    <s v="Peru Chef-D'Onofrio Chocolate Sublime 26 G x 24-15"/>
    <n v="4"/>
    <s v="Se repite 4 veces el precio de 15"/>
    <s v="El producto D'Onofrio Chocolate Sublime 26 G x 24 Se repite 6 veces en Peru Chef, Se repite 4 veces el precio de 15"/>
  </r>
  <r>
    <x v="1"/>
    <x v="16"/>
    <s v="Bill"/>
    <s v="2025001895"/>
    <x v="70"/>
    <s v="D'Onofrio Chocolate Sublime 26 G"/>
    <n v="4"/>
    <n v="13.5"/>
    <n v="54"/>
    <n v="30017.200000000001"/>
    <n v="8"/>
    <s v="Se repite 8 veces"/>
    <s v="Peru Chef-D'Onofrio Chocolate Sublime 26 G x 24"/>
    <n v="6"/>
    <s v="Se repite 6 veces en Peru Chef"/>
    <s v="Peru Chef-D'Onofrio Chocolate Sublime 26 G x 24-13.5"/>
    <n v="2"/>
    <s v="Se repite 2 veces el precio de 13.5"/>
    <s v="El producto D'Onofrio Chocolate Sublime 26 G x 24 Se repite 6 veces en Peru Chef, Se repite 2 veces el precio de 13.5"/>
  </r>
  <r>
    <x v="1"/>
    <x v="18"/>
    <s v="Bill"/>
    <s v="2025002373"/>
    <x v="70"/>
    <s v="GOLOSINAS Y DULCES -   -  D'ONOFRIO CHOCOLATE SUBLIME 26 G-  DISPLAY X 24 / 1"/>
    <n v="24"/>
    <n v="13.5"/>
    <n v="324"/>
    <n v="39258.850000000006"/>
    <n v="8"/>
    <s v="Se repite 8 veces"/>
    <s v="Peru Chef-D'Onofrio Chocolate Sublime 26 G x 24"/>
    <n v="6"/>
    <s v="Se repite 6 veces en Peru Chef"/>
    <s v="Peru Chef-D'Onofrio Chocolate Sublime 26 G x 24-13.5"/>
    <n v="2"/>
    <s v="Se repite 2 veces el precio de 13.5"/>
    <s v="El producto D'Onofrio Chocolate Sublime 26 G x 24 Se repite 6 veces en Peru Chef, Se repite 2 veces el precio de 13.5"/>
  </r>
  <r>
    <x v="1"/>
    <x v="8"/>
    <s v="Bill"/>
    <s v=""/>
    <x v="71"/>
    <s v="ECCO - Café instantaneo de Cebada -Barley Instant Coffee"/>
    <n v="1"/>
    <n v="54"/>
    <n v="54"/>
    <n v="1736.6999999999998"/>
    <n v="5"/>
    <s v="Se repite 5 veces"/>
    <s v="Peru Chef-ECCO - Café instantaneo de Cebada -Barley Instant Coffee"/>
    <n v="5"/>
    <s v="Se repite 5 veces en Peru Chef"/>
    <s v="Peru Chef-ECCO - Café instantaneo de Cebada -Barley Instant Coffee-54"/>
    <n v="2"/>
    <s v="Se repite 2 veces el precio de 54"/>
    <s v="El producto ECCO - Café instantaneo de Cebada -Barley Instant Coffee Se repite 5 veces en Peru Chef, Se repite 2 veces el precio de 54"/>
  </r>
  <r>
    <x v="1"/>
    <x v="9"/>
    <s v="Bill"/>
    <s v="55130"/>
    <x v="71"/>
    <s v="ECCO - Café instantaneo de Cebada -Barley Instant Coffee"/>
    <n v="1"/>
    <n v="54"/>
    <n v="54"/>
    <n v="3762.5"/>
    <n v="5"/>
    <s v="Se repite 5 veces"/>
    <s v="Peru Chef-ECCO - Café instantaneo de Cebada -Barley Instant Coffee"/>
    <n v="5"/>
    <s v="Se repite 5 veces en Peru Chef"/>
    <s v="Peru Chef-ECCO - Café instantaneo de Cebada -Barley Instant Coffee-54"/>
    <n v="2"/>
    <s v="Se repite 2 veces el precio de 54"/>
    <s v="El producto ECCO - Café instantaneo de Cebada -Barley Instant Coffee Se repite 5 veces en Peru Chef, Se repite 2 veces el precio de 54"/>
  </r>
  <r>
    <x v="1"/>
    <x v="12"/>
    <s v="Bill"/>
    <s v="56352"/>
    <x v="71"/>
    <s v="ECCO - Café instantaneo de Cebada -Barley Instant Coffee"/>
    <n v="3"/>
    <n v="61"/>
    <n v="183"/>
    <n v="13815.5"/>
    <n v="5"/>
    <s v="Se repite 5 veces"/>
    <s v="Peru Chef-ECCO - Café instantaneo de Cebada -Barley Instant Coffee"/>
    <n v="5"/>
    <s v="Se repite 5 veces en Peru Chef"/>
    <s v="Peru Chef-ECCO - Café instantaneo de Cebada -Barley Instant Coffee-61"/>
    <n v="3"/>
    <s v="Se repite 3 veces el precio de 61"/>
    <s v="El producto ECCO - Café instantaneo de Cebada -Barley Instant Coffee Se repite 5 veces en Peru Chef, Se repite 3 veces el precio de 61"/>
  </r>
  <r>
    <x v="1"/>
    <x v="23"/>
    <s v="Bill"/>
    <s v="2025001209"/>
    <x v="71"/>
    <s v="T.A - PERU -  MISCELANEUS PRODUCTS -  ECCO - Café instantaneo de Cebada -Barley Instant Coffee -  24 / 195gr - CH135"/>
    <n v="2"/>
    <n v="61"/>
    <n v="122"/>
    <n v="15405.5"/>
    <n v="5"/>
    <s v="Se repite 5 veces"/>
    <s v="Peru Chef-ECCO - Café instantaneo de Cebada -Barley Instant Coffee"/>
    <n v="5"/>
    <s v="Se repite 5 veces en Peru Chef"/>
    <s v="Peru Chef-ECCO - Café instantaneo de Cebada -Barley Instant Coffee-61"/>
    <n v="3"/>
    <s v="Se repite 3 veces el precio de 61"/>
    <s v="El producto ECCO - Café instantaneo de Cebada -Barley Instant Coffee Se repite 5 veces en Peru Chef, Se repite 3 veces el precio de 61"/>
  </r>
  <r>
    <x v="1"/>
    <x v="1"/>
    <s v="Bill"/>
    <s v="2025001378"/>
    <x v="71"/>
    <s v="T.A - PERU -  MISCELANEUS PRODUCTS -  ECCO - Café instantaneo de Cebada -Barley Instant Coffee -  12 / 195gr - CH135"/>
    <n v="2"/>
    <n v="61"/>
    <n v="122"/>
    <n v="25374"/>
    <n v="5"/>
    <s v="Se repite 5 veces"/>
    <s v="Peru Chef-ECCO - Café instantaneo de Cebada -Barley Instant Coffee"/>
    <n v="5"/>
    <s v="Se repite 5 veces en Peru Chef"/>
    <s v="Peru Chef-ECCO - Café instantaneo de Cebada -Barley Instant Coffee-61"/>
    <n v="3"/>
    <s v="Se repite 3 veces el precio de 61"/>
    <s v="El producto ECCO - Café instantaneo de Cebada -Barley Instant Coffee Se repite 5 veces en Peru Chef, Se repite 3 veces el precio de 61"/>
  </r>
  <r>
    <x v="1"/>
    <x v="8"/>
    <s v="Bill"/>
    <s v=""/>
    <x v="72"/>
    <s v="EL TRIUNFO - Fideo Chino - Chinese Noodles"/>
    <n v="1"/>
    <n v="36"/>
    <n v="36"/>
    <n v="1612.1999999999998"/>
    <n v="7"/>
    <s v="Se repite 7 veces"/>
    <s v="Peru Chef-EL TRIUNFO Fideo Chino - Chinese Noodles 250gr x 30"/>
    <n v="4"/>
    <s v="Se repite 4 veces en Peru Chef"/>
    <s v="Peru Chef-EL TRIUNFO Fideo Chino - Chinese Noodles 250gr x 30-36"/>
    <n v="2"/>
    <s v="Se repite 2 veces el precio de 36"/>
    <s v="El producto EL TRIUNFO Fideo Chino - Chinese Noodles 250gr x 30 Se repite 4 veces en Peru Chef, Se repite 2 veces el precio de 36"/>
  </r>
  <r>
    <x v="1"/>
    <x v="9"/>
    <s v="Bill"/>
    <s v="55130"/>
    <x v="72"/>
    <s v="EL TRIUNFO - Fideo Chino - Chinese Noodles"/>
    <n v="1"/>
    <n v="36"/>
    <n v="36"/>
    <n v="3677"/>
    <n v="7"/>
    <s v="Se repite 7 veces"/>
    <s v="Peru Chef-EL TRIUNFO Fideo Chino - Chinese Noodles 250gr x 30"/>
    <n v="4"/>
    <s v="Se repite 4 veces en Peru Chef"/>
    <s v="Peru Chef-EL TRIUNFO Fideo Chino - Chinese Noodles 250gr x 30-36"/>
    <n v="2"/>
    <s v="Se repite 2 veces el precio de 36"/>
    <s v="El producto EL TRIUNFO Fideo Chino - Chinese Noodles 250gr x 30 Se repite 4 veces en Peru Chef, Se repite 2 veces el precio de 36"/>
  </r>
  <r>
    <x v="1"/>
    <x v="24"/>
    <s v="Bill"/>
    <s v="55164"/>
    <x v="72"/>
    <s v="T.A - PERU -  MISCELANEUS PRODUCTS -  EL TRIUNFO - Fideo Chino - Chinese Noodles -  30 / 250gr - FIDEO"/>
    <n v="1"/>
    <n v="39"/>
    <n v="39"/>
    <n v="4934.1000000000004"/>
    <n v="7"/>
    <s v="Se repite 7 veces"/>
    <s v="Peru Chef-EL TRIUNFO Fideo Chino - Chinese Noodles 250gr x 30"/>
    <n v="4"/>
    <s v="Se repite 4 veces en Peru Chef"/>
    <s v="Peru Chef-EL TRIUNFO Fideo Chino - Chinese Noodles 250gr x 30-39"/>
    <n v="1"/>
    <s v="No se repite"/>
    <s v="El producto EL TRIUNFO Fideo Chino - Chinese Noodles 250gr x 30 Se repite 4 veces en Peru Chef Una vez con el precio 39"/>
  </r>
  <r>
    <x v="1"/>
    <x v="30"/>
    <s v="Vendor Credit"/>
    <s v=""/>
    <x v="72"/>
    <s v="T.A - PERU -  MISCELANEUS PRODUCTS -  EL TRIUNFO - Fideo Chino - Chinese Noodles -  30 / 250gr - FIDEO"/>
    <n v="1"/>
    <n v="9"/>
    <n v="9"/>
    <n v="14641.5"/>
    <n v="7"/>
    <s v="Se repite 7 veces"/>
    <s v="Peru Chef-EL TRIUNFO Fideo Chino - Chinese Noodles 250gr x 30"/>
    <n v="4"/>
    <s v="Se repite 4 veces en Peru Chef"/>
    <s v="Peru Chef-EL TRIUNFO Fideo Chino - Chinese Noodles 250gr x 30-9"/>
    <n v="1"/>
    <s v="No se repite"/>
    <s v="El producto EL TRIUNFO Fideo Chino - Chinese Noodles 250gr x 30 Se repite 4 veces en Peru Chef Una vez con el precio 9"/>
  </r>
  <r>
    <x v="3"/>
    <x v="9"/>
    <s v="Bill"/>
    <s v=""/>
    <x v="72"/>
    <s v="EL TRIUNFO - Fideo Chino - Chinese Noodles"/>
    <n v="3"/>
    <n v="30"/>
    <n v="90"/>
    <n v="5154.2199999999993"/>
    <n v="7"/>
    <s v="Se repite 7 veces"/>
    <s v="Tradiciones Andinas-EL TRIUNFO Fideo Chino - Chinese Noodles 250gr x 30"/>
    <n v="3"/>
    <s v="Se repite 3 veces en Tradiciones Andinas"/>
    <s v="Tradiciones Andinas-EL TRIUNFO Fideo Chino - Chinese Noodles 250gr x 30-30"/>
    <n v="3"/>
    <s v="Se repite 3 veces el precio de 30"/>
    <s v="El producto EL TRIUNFO Fideo Chino - Chinese Noodles 250gr x 30 Se repite 3 veces en Tradiciones Andinas, Se repite 3 veces el precio de 30"/>
  </r>
  <r>
    <x v="3"/>
    <x v="10"/>
    <s v="Bill"/>
    <s v="476974"/>
    <x v="72"/>
    <s v="EL TRIUNFO - Fideo Chino - Chinese Noodles"/>
    <n v="20"/>
    <n v="30"/>
    <n v="600"/>
    <n v="13805.24"/>
    <n v="7"/>
    <s v="Se repite 7 veces"/>
    <s v="Tradiciones Andinas-EL TRIUNFO Fideo Chino - Chinese Noodles 250gr x 30"/>
    <n v="3"/>
    <s v="Se repite 3 veces en Tradiciones Andinas"/>
    <s v="Tradiciones Andinas-EL TRIUNFO Fideo Chino - Chinese Noodles 250gr x 30-30"/>
    <n v="3"/>
    <s v="Se repite 3 veces el precio de 30"/>
    <s v="El producto EL TRIUNFO Fideo Chino - Chinese Noodles 250gr x 30 Se repite 3 veces en Tradiciones Andinas, Se repite 3 veces el precio de 30"/>
  </r>
  <r>
    <x v="3"/>
    <x v="31"/>
    <s v="Bill"/>
    <s v="477393"/>
    <x v="72"/>
    <s v="T.A - PERU -  MISCELANEUS PRODUCTS -  EL TRIUNFO - Fideo Chino - Chinese Noodles -  30 / 250gr - FIDEO"/>
    <n v="10"/>
    <n v="30"/>
    <n v="300"/>
    <n v="24411.42"/>
    <n v="7"/>
    <s v="Se repite 7 veces"/>
    <s v="Tradiciones Andinas-EL TRIUNFO Fideo Chino - Chinese Noodles 250gr x 30"/>
    <n v="3"/>
    <s v="Se repite 3 veces en Tradiciones Andinas"/>
    <s v="Tradiciones Andinas-EL TRIUNFO Fideo Chino - Chinese Noodles 250gr x 30-30"/>
    <n v="3"/>
    <s v="Se repite 3 veces el precio de 30"/>
    <s v="El producto EL TRIUNFO Fideo Chino - Chinese Noodles 250gr x 30 Se repite 3 veces en Tradiciones Andinas, Se repite 3 veces el precio de 30"/>
  </r>
  <r>
    <x v="1"/>
    <x v="12"/>
    <s v="Bill"/>
    <s v="56352"/>
    <x v="73"/>
    <s v="San Jorge Cabello De Angel 250 G X 40"/>
    <n v="2"/>
    <n v="22"/>
    <n v="44"/>
    <n v="13632.5"/>
    <n v="2"/>
    <s v="Se repite 2 veces"/>
    <s v="Peru Chef-Fideos San Jorge Cabello De Angel 250gr x 40"/>
    <n v="2"/>
    <s v="Se repite 2 veces en Peru Chef"/>
    <s v="Peru Chef-Fideos San Jorge Cabello De Angel 250gr x 40-22"/>
    <n v="2"/>
    <s v="Se repite 2 veces el precio de 22"/>
    <s v="El producto Fideos San Jorge Cabello De Angel 250gr x 40 Se repite 2 veces en Peru Chef, Se repite 2 veces el precio de 22"/>
  </r>
  <r>
    <x v="1"/>
    <x v="23"/>
    <s v="Bill"/>
    <s v="2025001209"/>
    <x v="73"/>
    <s v="PERU CHEF- FIDEOS -  SAN JORGE -  SAN JORGE CABELLO DE ANGEL 250 G X 40-   / 40"/>
    <n v="3"/>
    <n v="22"/>
    <n v="66"/>
    <n v="19013.5"/>
    <n v="2"/>
    <s v="Se repite 2 veces"/>
    <s v="Peru Chef-Fideos San Jorge Cabello De Angel 250gr x 40"/>
    <n v="2"/>
    <s v="Se repite 2 veces en Peru Chef"/>
    <s v="Peru Chef-Fideos San Jorge Cabello De Angel 250gr x 40-22"/>
    <n v="2"/>
    <s v="Se repite 2 veces el precio de 22"/>
    <s v="El producto Fideos San Jorge Cabello De Angel 250gr x 40 Se repite 2 veces en Peru Chef, Se repite 2 veces el precio de 22"/>
  </r>
  <r>
    <x v="1"/>
    <x v="12"/>
    <s v="Bill"/>
    <s v="56352"/>
    <x v="74"/>
    <s v="San Jorge Caracol 250 G X 20"/>
    <n v="2"/>
    <n v="13"/>
    <n v="26"/>
    <n v="13474.5"/>
    <n v="2"/>
    <s v="Se repite 2 veces"/>
    <s v="Peru Chef-Fideos San Jorge Caracol 250gr x 20"/>
    <n v="2"/>
    <s v="Se repite 2 veces en Peru Chef"/>
    <s v="Peru Chef-Fideos San Jorge Caracol 250gr x 20-13"/>
    <n v="2"/>
    <s v="Se repite 2 veces el precio de 13"/>
    <s v="El producto Fideos San Jorge Caracol 250gr x 20 Se repite 2 veces en Peru Chef, Se repite 2 veces el precio de 13"/>
  </r>
  <r>
    <x v="1"/>
    <x v="23"/>
    <s v="Bill"/>
    <s v="2025001209"/>
    <x v="74"/>
    <s v="PERU CHEF- FIDEOS -  SAN JORGE -  SAN JORGE CARACOL 250 G X 20-   / 20"/>
    <n v="3"/>
    <n v="13"/>
    <n v="39"/>
    <n v="18776.5"/>
    <n v="2"/>
    <s v="Se repite 2 veces"/>
    <s v="Peru Chef-Fideos San Jorge Caracol 250gr x 20"/>
    <n v="2"/>
    <s v="Se repite 2 veces en Peru Chef"/>
    <s v="Peru Chef-Fideos San Jorge Caracol 250gr x 20-13"/>
    <n v="2"/>
    <s v="Se repite 2 veces el precio de 13"/>
    <s v="El producto Fideos San Jorge Caracol 250gr x 20 Se repite 2 veces en Peru Chef, Se repite 2 veces el precio de 13"/>
  </r>
  <r>
    <x v="1"/>
    <x v="12"/>
    <s v="Bill"/>
    <s v="56352"/>
    <x v="75"/>
    <s v="San Jorge Letras Y Numeros 250 G X 20"/>
    <n v="2"/>
    <n v="13"/>
    <n v="26"/>
    <n v="13500.5"/>
    <n v="2"/>
    <s v="Se repite 2 veces"/>
    <s v="Peru Chef-Fideos San Jorge Letras y Numeros 250gr x 20"/>
    <n v="2"/>
    <s v="Se repite 2 veces en Peru Chef"/>
    <s v="Peru Chef-Fideos San Jorge Letras y Numeros 250gr x 20-13"/>
    <n v="2"/>
    <s v="Se repite 2 veces el precio de 13"/>
    <s v="El producto Fideos San Jorge Letras y Numeros 250gr x 20 Se repite 2 veces en Peru Chef, Se repite 2 veces el precio de 13"/>
  </r>
  <r>
    <x v="1"/>
    <x v="23"/>
    <s v="Bill"/>
    <s v="2025001209"/>
    <x v="75"/>
    <s v="Fideos San Jorge Letras Y Numeros 250 G X 20 - 7756771000130"/>
    <n v="3"/>
    <n v="13"/>
    <n v="39"/>
    <n v="18815.5"/>
    <n v="2"/>
    <s v="Se repite 2 veces"/>
    <s v="Peru Chef-Fideos San Jorge Letras y Numeros 250gr x 20"/>
    <n v="2"/>
    <s v="Se repite 2 veces en Peru Chef"/>
    <s v="Peru Chef-Fideos San Jorge Letras y Numeros 250gr x 20-13"/>
    <n v="2"/>
    <s v="Se repite 2 veces el precio de 13"/>
    <s v="El producto Fideos San Jorge Letras y Numeros 250gr x 20 Se repite 2 veces en Peru Chef, Se repite 2 veces el precio de 13"/>
  </r>
  <r>
    <x v="1"/>
    <x v="12"/>
    <s v="Bill"/>
    <s v="56352"/>
    <x v="76"/>
    <s v="San Jorge Spaguetti 500 G X 20"/>
    <n v="2"/>
    <n v="22"/>
    <n v="44"/>
    <n v="13544.5"/>
    <n v="5"/>
    <s v="Se repite 5 veces"/>
    <s v="Peru Chef-Fideos San Jorge Spaguetti 500 G X 20"/>
    <n v="5"/>
    <s v="Se repite 5 veces en Peru Chef"/>
    <s v="Peru Chef-Fideos San Jorge Spaguetti 500 G X 20-22"/>
    <n v="2"/>
    <s v="Se repite 2 veces el precio de 22"/>
    <s v="El producto Fideos San Jorge Spaguetti 500 G X 20 Se repite 5 veces en Peru Chef, Se repite 2 veces el precio de 22"/>
  </r>
  <r>
    <x v="1"/>
    <x v="23"/>
    <s v="Bill"/>
    <s v="2025001209"/>
    <x v="76"/>
    <s v="PERU CHEF- FIDEOS -  SAN JORGE -  SAN JORGE SPAGUETTI 500 G X 20-   / 20"/>
    <n v="3"/>
    <n v="22"/>
    <n v="66"/>
    <n v="18881.5"/>
    <n v="5"/>
    <s v="Se repite 5 veces"/>
    <s v="Peru Chef-Fideos San Jorge Spaguetti 500 G X 20"/>
    <n v="5"/>
    <s v="Se repite 5 veces en Peru Chef"/>
    <s v="Peru Chef-Fideos San Jorge Spaguetti 500 G X 20-22"/>
    <n v="2"/>
    <s v="Se repite 2 veces el precio de 22"/>
    <s v="El producto Fideos San Jorge Spaguetti 500 G X 20 Se repite 5 veces en Peru Chef, Se repite 2 veces el precio de 22"/>
  </r>
  <r>
    <x v="1"/>
    <x v="16"/>
    <s v="Bill"/>
    <s v="2025001895"/>
    <x v="76"/>
    <s v="PERU CHEF- FIDEOS -  SAN JORGE -  SAN JORGE SPAGUETTI 500 G X 20-   / 20"/>
    <n v="2"/>
    <n v="19.8"/>
    <n v="39.6"/>
    <n v="31966.6"/>
    <n v="5"/>
    <s v="Se repite 5 veces"/>
    <s v="Peru Chef-Fideos San Jorge Spaguetti 500 G X 20"/>
    <n v="5"/>
    <s v="Se repite 5 veces en Peru Chef"/>
    <s v="Peru Chef-Fideos San Jorge Spaguetti 500 G X 20-19.8"/>
    <n v="3"/>
    <s v="Se repite 3 veces el precio de 19.8"/>
    <s v="El producto Fideos San Jorge Spaguetti 500 G X 20 Se repite 5 veces en Peru Chef, Se repite 3 veces el precio de 19.8"/>
  </r>
  <r>
    <x v="1"/>
    <x v="17"/>
    <s v="Bill"/>
    <s v="57055"/>
    <x v="76"/>
    <s v="PERU CHEF- FIDEOS -  SAN JORGE -  SAN JORGE SPAGUETTI 500 G X 20-   / 20"/>
    <n v="1"/>
    <n v="19.8"/>
    <n v="19.8"/>
    <n v="35825.350000000013"/>
    <n v="5"/>
    <s v="Se repite 5 veces"/>
    <s v="Peru Chef-Fideos San Jorge Spaguetti 500 G X 20"/>
    <n v="5"/>
    <s v="Se repite 5 veces en Peru Chef"/>
    <s v="Peru Chef-Fideos San Jorge Spaguetti 500 G X 20-19.8"/>
    <n v="3"/>
    <s v="Se repite 3 veces el precio de 19.8"/>
    <s v="El producto Fideos San Jorge Spaguetti 500 G X 20 Se repite 5 veces en Peru Chef, Se repite 3 veces el precio de 19.8"/>
  </r>
  <r>
    <x v="1"/>
    <x v="18"/>
    <s v="Bill"/>
    <s v="2025002373"/>
    <x v="76"/>
    <s v="PERU CHEF- FIDEOS -  SAN JORGE -  SAN JORGE SPAGUETTI 500 G X 20-   / 20"/>
    <n v="1"/>
    <n v="19.8"/>
    <n v="19.8"/>
    <n v="42276.549999999988"/>
    <n v="5"/>
    <s v="Se repite 5 veces"/>
    <s v="Peru Chef-Fideos San Jorge Spaguetti 500 G X 20"/>
    <n v="5"/>
    <s v="Se repite 5 veces en Peru Chef"/>
    <s v="Peru Chef-Fideos San Jorge Spaguetti 500 G X 20-19.8"/>
    <n v="3"/>
    <s v="Se repite 3 veces el precio de 19.8"/>
    <s v="El producto Fideos San Jorge Spaguetti 500 G X 20 Se repite 5 veces en Peru Chef, Se repite 3 veces el precio de 19.8"/>
  </r>
  <r>
    <x v="1"/>
    <x v="12"/>
    <s v="Bill"/>
    <s v="56352"/>
    <x v="77"/>
    <s v="San Jorge Tallarin 500 G X 20"/>
    <n v="2"/>
    <n v="22"/>
    <n v="44"/>
    <n v="13588.5"/>
    <n v="3"/>
    <s v="Se repite 3 veces"/>
    <s v="Peru Chef-Fideos San Jorge Tallarin 500gr x  20"/>
    <n v="3"/>
    <s v="Se repite 3 veces en Peru Chef"/>
    <s v="Peru Chef-Fideos San Jorge Tallarin 500gr x  20-22"/>
    <n v="2"/>
    <s v="Se repite 2 veces el precio de 22"/>
    <s v="El producto Fideos San Jorge Tallarin 500gr x  20 Se repite 3 veces en Peru Chef, Se repite 2 veces el precio de 22"/>
  </r>
  <r>
    <x v="1"/>
    <x v="23"/>
    <s v="Bill"/>
    <s v="2025001209"/>
    <x v="77"/>
    <s v="PERU CHEF- FIDEOS -  SAN JORGE -  SAN JORGE TALLARIN 500 G X 20-   / 20"/>
    <n v="3"/>
    <n v="22"/>
    <n v="66"/>
    <n v="18947.5"/>
    <n v="3"/>
    <s v="Se repite 3 veces"/>
    <s v="Peru Chef-Fideos San Jorge Tallarin 500gr x  20"/>
    <n v="3"/>
    <s v="Se repite 3 veces en Peru Chef"/>
    <s v="Peru Chef-Fideos San Jorge Tallarin 500gr x  20-22"/>
    <n v="2"/>
    <s v="Se repite 2 veces el precio de 22"/>
    <s v="El producto Fideos San Jorge Tallarin 500gr x  20 Se repite 3 veces en Peru Chef, Se repite 2 veces el precio de 22"/>
  </r>
  <r>
    <x v="1"/>
    <x v="16"/>
    <s v="Bill"/>
    <s v="2025001895"/>
    <x v="77"/>
    <s v="PERU CHEF- FIDEOS -  SAN JORGE -  SAN JORGE TALLARIN 500 G X 20-   / 20"/>
    <n v="3"/>
    <n v="19.8"/>
    <n v="59.4"/>
    <n v="32026"/>
    <n v="3"/>
    <s v="Se repite 3 veces"/>
    <s v="Peru Chef-Fideos San Jorge Tallarin 500gr x  20"/>
    <n v="3"/>
    <s v="Se repite 3 veces en Peru Chef"/>
    <s v="Peru Chef-Fideos San Jorge Tallarin 500gr x  20-19.8"/>
    <n v="1"/>
    <s v="No se repite"/>
    <s v="El producto Fideos San Jorge Tallarin 500gr x  20 Se repite 3 veces en Peru Chef Una vez con el precio 19.8"/>
  </r>
  <r>
    <x v="2"/>
    <x v="3"/>
    <s v="Bill"/>
    <s v="64308"/>
    <x v="78"/>
    <s v="TA- PERU -  GOLOSINAS - DULCES  -  FIELD - Chocosoda Galletas-  32 / 6x8.25oz - CH122"/>
    <n v="1"/>
    <n v="77"/>
    <n v="77"/>
    <n v="3675.7000000000003"/>
    <n v="5"/>
    <s v="Se repite 5 veces"/>
    <s v="Belmont International Trading Corp-FIELD - Chocosoda Galletas 6 x 32"/>
    <n v="2"/>
    <s v="Se repite 2 veces en Belmont International Trading Corp"/>
    <s v="Belmont International Trading Corp-FIELD - Chocosoda Galletas 6 x 32-77"/>
    <n v="1"/>
    <s v="No se repite"/>
    <s v="El producto FIELD - Chocosoda Galletas 6 x 32 Se repite 2 veces en Belmont International Trading Corp Una vez con el precio 77"/>
  </r>
  <r>
    <x v="2"/>
    <x v="4"/>
    <s v="Bill"/>
    <s v="66496"/>
    <x v="78"/>
    <s v="TA- PERU -  GOLOSINAS - DULCES  -  FIELD - Chocosoda Galletas-  32 / 6x8.25oz - CH122"/>
    <n v="6"/>
    <n v="84.9"/>
    <n v="509.4"/>
    <n v="14218.14"/>
    <n v="5"/>
    <s v="Se repite 5 veces"/>
    <s v="Belmont International Trading Corp-FIELD - Chocosoda Galletas 6 x 32"/>
    <n v="2"/>
    <s v="Se repite 2 veces en Belmont International Trading Corp"/>
    <s v="Belmont International Trading Corp-FIELD - Chocosoda Galletas 6 x 32-84.9"/>
    <n v="1"/>
    <s v="No se repite"/>
    <s v="El producto FIELD - Chocosoda Galletas 6 x 32 Se repite 2 veces en Belmont International Trading Corp Una vez con el precio 84.9"/>
  </r>
  <r>
    <x v="1"/>
    <x v="9"/>
    <s v="Bill"/>
    <s v="55130"/>
    <x v="78"/>
    <s v="FIELD - Chokosoda Galletas"/>
    <n v="1"/>
    <n v="79.5"/>
    <n v="79.5"/>
    <n v="4414"/>
    <n v="5"/>
    <s v="Se repite 5 veces"/>
    <s v="Peru Chef-FIELD - Chocosoda Galletas 6 x 32"/>
    <n v="1"/>
    <s v="No se repite en proveedor"/>
    <s v="Peru Chef-FIELD - Chocosoda Galletas 6 x 32-79.5"/>
    <n v="1"/>
    <s v="No se repite"/>
    <s v="El producto FIELD - Chocosoda Galletas 6 x 32 No se repite en proveedor Una vez con el precio 79.5"/>
  </r>
  <r>
    <x v="3"/>
    <x v="6"/>
    <s v="Bill"/>
    <s v="487860"/>
    <x v="78"/>
    <s v="TA- PERU -  GOLOSINAS - DULCES  -  FIELD - Chocosoda Galletas-  32 / 6x8.25oz - CH122"/>
    <n v="1"/>
    <n v="66.88"/>
    <n v="66.88"/>
    <n v="84557.52999999997"/>
    <n v="5"/>
    <s v="Se repite 5 veces"/>
    <s v="Tradiciones Andinas-FIELD - Chocosoda Galletas 6 x 32"/>
    <n v="2"/>
    <s v="Se repite 2 veces en Tradiciones Andinas"/>
    <s v="Tradiciones Andinas-FIELD - Chocosoda Galletas 6 x 32-66.88"/>
    <n v="2"/>
    <s v="Se repite 2 veces el precio de 66.88"/>
    <s v="El producto FIELD - Chocosoda Galletas 6 x 32 Se repite 2 veces en Tradiciones Andinas, Se repite 2 veces el precio de 66.88"/>
  </r>
  <r>
    <x v="3"/>
    <x v="7"/>
    <s v="Bill"/>
    <s v="492743"/>
    <x v="78"/>
    <s v="TA- PERU -  GOLOSINAS - DULCES  -  FIELD - Chocosoda Galletas-  32 / 6x8.25oz - CH122"/>
    <n v="2"/>
    <n v="66.88"/>
    <n v="133.76"/>
    <n v="112550.17999999988"/>
    <n v="5"/>
    <s v="Se repite 5 veces"/>
    <s v="Tradiciones Andinas-FIELD - Chocosoda Galletas 6 x 32"/>
    <n v="2"/>
    <s v="Se repite 2 veces en Tradiciones Andinas"/>
    <s v="Tradiciones Andinas-FIELD - Chocosoda Galletas 6 x 32-66.88"/>
    <n v="2"/>
    <s v="Se repite 2 veces el precio de 66.88"/>
    <s v="El producto FIELD - Chocosoda Galletas 6 x 32 Se repite 2 veces en Tradiciones Andinas, Se repite 2 veces el precio de 66.88"/>
  </r>
  <r>
    <x v="2"/>
    <x v="3"/>
    <s v="Bill"/>
    <s v="64308"/>
    <x v="79"/>
    <s v="TA- PERU -  GOLOSINAS - DULCES  -  FIELD - Galletas de Soda-  36 / 6x34g - CH112"/>
    <n v="2"/>
    <n v="50.4"/>
    <n v="100.8"/>
    <n v="4210.8"/>
    <n v="5"/>
    <s v="Se repite 5 veces"/>
    <s v="Belmont International Trading Corp-FIELD - Galletas de Soda 34gr x 6 x 36"/>
    <n v="1"/>
    <s v="No se repite en proveedor"/>
    <s v="Belmont International Trading Corp-FIELD - Galletas de Soda 34gr x 6 x 36-50.4"/>
    <n v="1"/>
    <s v="No se repite"/>
    <s v="El producto FIELD - Galletas de Soda 34gr x 6 x 36 No se repite en proveedor Una vez con el precio 50.4"/>
  </r>
  <r>
    <x v="3"/>
    <x v="9"/>
    <s v="Bill"/>
    <s v=""/>
    <x v="79"/>
    <s v="FIELD - Galletas de Soda"/>
    <n v="5"/>
    <n v="46.44"/>
    <n v="232.2"/>
    <n v="6267.8399999999992"/>
    <n v="5"/>
    <s v="Se repite 5 veces"/>
    <s v="Tradiciones Andinas-FIELD - Galletas de Soda 34gr x 6 x 36"/>
    <n v="4"/>
    <s v="Se repite 4 veces en Tradiciones Andinas"/>
    <s v="Tradiciones Andinas-FIELD - Galletas de Soda 34gr x 6 x 36-46.44"/>
    <n v="4"/>
    <s v="Se repite 4 veces el precio de 46.44"/>
    <s v="El producto FIELD - Galletas de Soda 34gr x 6 x 36 Se repite 4 veces en Tradiciones Andinas, Se repite 4 veces el precio de 46.44"/>
  </r>
  <r>
    <x v="3"/>
    <x v="10"/>
    <s v="Bill"/>
    <s v="476974"/>
    <x v="79"/>
    <s v="FIELD - Galletas de Soda"/>
    <n v="12"/>
    <n v="46.44"/>
    <n v="557.28"/>
    <n v="20223.599999999995"/>
    <n v="5"/>
    <s v="Se repite 5 veces"/>
    <s v="Tradiciones Andinas-FIELD - Galletas de Soda 34gr x 6 x 36"/>
    <n v="4"/>
    <s v="Se repite 4 veces en Tradiciones Andinas"/>
    <s v="Tradiciones Andinas-FIELD - Galletas de Soda 34gr x 6 x 36-46.44"/>
    <n v="4"/>
    <s v="Se repite 4 veces el precio de 46.44"/>
    <s v="El producto FIELD - Galletas de Soda 34gr x 6 x 36 Se repite 4 veces en Tradiciones Andinas, Se repite 4 veces el precio de 46.44"/>
  </r>
  <r>
    <x v="3"/>
    <x v="27"/>
    <s v="Bill"/>
    <s v="491180"/>
    <x v="79"/>
    <s v="TA- PERU -  GOLOSINAS - DULCES  -  FIELD - Galletas de Soda-  36 / 6x34g - CH112"/>
    <n v="2"/>
    <n v="46.44"/>
    <n v="92.88"/>
    <n v="105160.63999999993"/>
    <n v="5"/>
    <s v="Se repite 5 veces"/>
    <s v="Tradiciones Andinas-FIELD - Galletas de Soda 34gr x 6 x 36"/>
    <n v="4"/>
    <s v="Se repite 4 veces en Tradiciones Andinas"/>
    <s v="Tradiciones Andinas-FIELD - Galletas de Soda 34gr x 6 x 36-46.44"/>
    <n v="4"/>
    <s v="Se repite 4 veces el precio de 46.44"/>
    <s v="El producto FIELD - Galletas de Soda 34gr x 6 x 36 Se repite 4 veces en Tradiciones Andinas, Se repite 4 veces el precio de 46.44"/>
  </r>
  <r>
    <x v="3"/>
    <x v="7"/>
    <s v="Bill"/>
    <s v="492743"/>
    <x v="79"/>
    <s v="TA- PERU -  GOLOSINAS - DULCES  -  FIELD - Galletas de Soda-  36 / 6x34g - CH112"/>
    <n v="10"/>
    <n v="46.44"/>
    <n v="464.4"/>
    <n v="111714.11999999989"/>
    <n v="5"/>
    <s v="Se repite 5 veces"/>
    <s v="Tradiciones Andinas-FIELD - Galletas de Soda 34gr x 6 x 36"/>
    <n v="4"/>
    <s v="Se repite 4 veces en Tradiciones Andinas"/>
    <s v="Tradiciones Andinas-FIELD - Galletas de Soda 34gr x 6 x 36-46.44"/>
    <n v="4"/>
    <s v="Se repite 4 veces el precio de 46.44"/>
    <s v="El producto FIELD - Galletas de Soda 34gr x 6 x 36 Se repite 4 veces en Tradiciones Andinas, Se repite 4 veces el precio de 46.44"/>
  </r>
  <r>
    <x v="2"/>
    <x v="3"/>
    <s v="Bill"/>
    <s v="64308"/>
    <x v="80"/>
    <s v="TA- PERU -  GOLOSINAS - DULCES  -  FIELD - Galletas de Vainilla-  24 / 6x37g - CH113"/>
    <n v="1"/>
    <n v="49"/>
    <n v="49"/>
    <n v="3511.3"/>
    <n v="6"/>
    <s v="Se repite 6 veces"/>
    <s v="Belmont International Trading Corp-FIELD - Galletas de Vainilla 37 gr x 6 x 24"/>
    <n v="1"/>
    <s v="No se repite en proveedor"/>
    <s v="Belmont International Trading Corp-FIELD - Galletas de Vainilla 37 gr x 6 x 24-49"/>
    <n v="1"/>
    <s v="No se repite"/>
    <s v="El producto FIELD - Galletas de Vainilla 37 gr x 6 x 24 No se repite en proveedor Una vez con el precio 49"/>
  </r>
  <r>
    <x v="3"/>
    <x v="9"/>
    <s v="Bill"/>
    <s v=""/>
    <x v="80"/>
    <s v="FIELD - Galletas de Vainilla"/>
    <n v="5"/>
    <n v="47.56"/>
    <n v="237.8"/>
    <n v="6505.6399999999994"/>
    <n v="6"/>
    <s v="Se repite 6 veces"/>
    <s v="Tradiciones Andinas-FIELD - Galletas de Vainilla 37 gr x 6 x 24"/>
    <n v="5"/>
    <s v="Se repite 5 veces en Tradiciones Andinas"/>
    <s v="Tradiciones Andinas-FIELD - Galletas de Vainilla 37 gr x 6 x 24-47.56"/>
    <n v="2"/>
    <s v="Se repite 2 veces el precio de 47.56"/>
    <s v="El producto FIELD - Galletas de Vainilla 37 gr x 6 x 24 Se repite 5 veces en Tradiciones Andinas, Se repite 2 veces el precio de 47.56"/>
  </r>
  <r>
    <x v="3"/>
    <x v="10"/>
    <s v="Bill"/>
    <s v="476974"/>
    <x v="80"/>
    <s v="FIELD - Galletas de Vainilla"/>
    <n v="5"/>
    <n v="47.56"/>
    <n v="237.8"/>
    <n v="20461.399999999994"/>
    <n v="6"/>
    <s v="Se repite 6 veces"/>
    <s v="Tradiciones Andinas-FIELD - Galletas de Vainilla 37 gr x 6 x 24"/>
    <n v="5"/>
    <s v="Se repite 5 veces en Tradiciones Andinas"/>
    <s v="Tradiciones Andinas-FIELD - Galletas de Vainilla 37 gr x 6 x 24-47.56"/>
    <n v="2"/>
    <s v="Se repite 2 veces el precio de 47.56"/>
    <s v="El producto FIELD - Galletas de Vainilla 37 gr x 6 x 24 Se repite 5 veces en Tradiciones Andinas, Se repite 2 veces el precio de 47.56"/>
  </r>
  <r>
    <x v="3"/>
    <x v="11"/>
    <s v="Bill"/>
    <s v="478734"/>
    <x v="80"/>
    <s v="TA- PERU -  GOLOSINAS - DULCES  -  FIELD - Galletas de Vainilla-  24 / 6x37g - CH113"/>
    <n v="6"/>
    <n v="50.9"/>
    <n v="305.39999999999998"/>
    <n v="31646.739999999998"/>
    <n v="6"/>
    <s v="Se repite 6 veces"/>
    <s v="Tradiciones Andinas-FIELD - Galletas de Vainilla 37 gr x 6 x 24"/>
    <n v="5"/>
    <s v="Se repite 5 veces en Tradiciones Andinas"/>
    <s v="Tradiciones Andinas-FIELD - Galletas de Vainilla 37 gr x 6 x 24-50.9"/>
    <n v="3"/>
    <s v="Se repite 3 veces el precio de 50.9"/>
    <s v="El producto FIELD - Galletas de Vainilla 37 gr x 6 x 24 Se repite 5 veces en Tradiciones Andinas, Se repite 3 veces el precio de 50.9"/>
  </r>
  <r>
    <x v="3"/>
    <x v="32"/>
    <s v="Bill"/>
    <s v="491332"/>
    <x v="80"/>
    <s v="TA- PERU -  GOLOSINAS - DULCES  -  FIELD - Galletas de Vainilla-  24 / 6x37g - CH113"/>
    <n v="3"/>
    <n v="50.9"/>
    <n v="152.69999999999999"/>
    <n v="93560.889999999941"/>
    <n v="6"/>
    <s v="Se repite 6 veces"/>
    <s v="Tradiciones Andinas-FIELD - Galletas de Vainilla 37 gr x 6 x 24"/>
    <n v="5"/>
    <s v="Se repite 5 veces en Tradiciones Andinas"/>
    <s v="Tradiciones Andinas-FIELD - Galletas de Vainilla 37 gr x 6 x 24-50.9"/>
    <n v="3"/>
    <s v="Se repite 3 veces el precio de 50.9"/>
    <s v="El producto FIELD - Galletas de Vainilla 37 gr x 6 x 24 Se repite 5 veces en Tradiciones Andinas, Se repite 3 veces el precio de 50.9"/>
  </r>
  <r>
    <x v="3"/>
    <x v="7"/>
    <s v="Bill"/>
    <s v="492743"/>
    <x v="80"/>
    <s v="TA- PERU -  GOLOSINAS - DULCES  -  FIELD - Galletas de Vainilla-  24 / 6x37g - CH113"/>
    <n v="3"/>
    <n v="50.9"/>
    <n v="152.69999999999999"/>
    <n v="111866.81999999989"/>
    <n v="6"/>
    <s v="Se repite 6 veces"/>
    <s v="Tradiciones Andinas-FIELD - Galletas de Vainilla 37 gr x 6 x 24"/>
    <n v="5"/>
    <s v="Se repite 5 veces en Tradiciones Andinas"/>
    <s v="Tradiciones Andinas-FIELD - Galletas de Vainilla 37 gr x 6 x 24-50.9"/>
    <n v="3"/>
    <s v="Se repite 3 veces el precio de 50.9"/>
    <s v="El producto FIELD - Galletas de Vainilla 37 gr x 6 x 24 Se repite 5 veces en Tradiciones Andinas, Se repite 3 veces el precio de 50.9"/>
  </r>
  <r>
    <x v="1"/>
    <x v="24"/>
    <s v="Bill"/>
    <s v="55164"/>
    <x v="81"/>
    <s v="Galleta Charada Field"/>
    <n v="5"/>
    <n v="58"/>
    <n v="290"/>
    <n v="6790.6"/>
    <n v="1"/>
    <s v="No se repite"/>
    <s v="Peru Chef-Galleta Charada Field 40gr x 6 x 28"/>
    <n v="1"/>
    <s v="No se repite en proveedor"/>
    <s v="Peru Chef-Galleta Charada Field 40gr x 6 x 28-58"/>
    <n v="1"/>
    <s v="No se repite"/>
    <s v="El producto Galleta Charada Field 40gr x 6 x 28 No se repite en proveedor Una vez con el precio 58"/>
  </r>
  <r>
    <x v="1"/>
    <x v="8"/>
    <s v="Bill"/>
    <s v=""/>
    <x v="82"/>
    <s v="VICTORIA - Chomp Naranja"/>
    <n v="1"/>
    <n v="16"/>
    <n v="16"/>
    <n v="1348.1999999999998"/>
    <n v="7"/>
    <s v="Se repite 7 veces"/>
    <s v="Peru Chef-Galleta Chomp Naranja Victoria 42gr x 6 x 8"/>
    <n v="4"/>
    <s v="Se repite 4 veces en Peru Chef"/>
    <s v="Peru Chef-Galleta Chomp Naranja Victoria 42gr x 6 x 8-16"/>
    <n v="2"/>
    <s v="Se repite 2 veces el precio de 16"/>
    <s v="El producto Galleta Chomp Naranja Victoria 42gr x 6 x 8 Se repite 4 veces en Peru Chef, Se repite 2 veces el precio de 16"/>
  </r>
  <r>
    <x v="1"/>
    <x v="9"/>
    <s v="Bill"/>
    <s v="55130"/>
    <x v="82"/>
    <s v="VICTORIA - Chomp Naranja"/>
    <n v="1"/>
    <n v="16"/>
    <n v="16"/>
    <n v="3499"/>
    <n v="7"/>
    <s v="Se repite 7 veces"/>
    <s v="Peru Chef-Galleta Chomp Naranja Victoria 42gr x 6 x 8"/>
    <n v="4"/>
    <s v="Se repite 4 veces en Peru Chef"/>
    <s v="Peru Chef-Galleta Chomp Naranja Victoria 42gr x 6 x 8-16"/>
    <n v="2"/>
    <s v="Se repite 2 veces el precio de 16"/>
    <s v="El producto Galleta Chomp Naranja Victoria 42gr x 6 x 8 Se repite 4 veces en Peru Chef, Se repite 2 veces el precio de 16"/>
  </r>
  <r>
    <x v="1"/>
    <x v="24"/>
    <s v="Bill"/>
    <s v="55164"/>
    <x v="82"/>
    <s v="TA- PERU -  GOLOSINAS - DULCES  -  VICTORIA - Chomp Naranja-  8 / 6x 42g - CH121"/>
    <n v="5"/>
    <n v="17"/>
    <n v="85"/>
    <n v="6036.6"/>
    <n v="7"/>
    <s v="Se repite 7 veces"/>
    <s v="Peru Chef-Galleta Chomp Naranja Victoria 42gr x 6 x 8"/>
    <n v="4"/>
    <s v="Se repite 4 veces en Peru Chef"/>
    <s v="Peru Chef-Galleta Chomp Naranja Victoria 42gr x 6 x 8-17"/>
    <n v="2"/>
    <s v="Se repite 2 veces el precio de 17"/>
    <s v="El producto Galleta Chomp Naranja Victoria 42gr x 6 x 8 Se repite 4 veces en Peru Chef, Se repite 2 veces el precio de 17"/>
  </r>
  <r>
    <x v="1"/>
    <x v="15"/>
    <s v="Bill"/>
    <s v="55372"/>
    <x v="82"/>
    <s v="TA- PERU -  GOLOSINAS - DULCES  -  VICTORIA - Chomp Naranja-  8 / 6x 42g - CH121"/>
    <n v="8"/>
    <n v="17"/>
    <n v="136"/>
    <n v="8852.7000000000007"/>
    <n v="7"/>
    <s v="Se repite 7 veces"/>
    <s v="Peru Chef-Galleta Chomp Naranja Victoria 42gr x 6 x 8"/>
    <n v="4"/>
    <s v="Se repite 4 veces en Peru Chef"/>
    <s v="Peru Chef-Galleta Chomp Naranja Victoria 42gr x 6 x 8-17"/>
    <n v="2"/>
    <s v="Se repite 2 veces el precio de 17"/>
    <s v="El producto Galleta Chomp Naranja Victoria 42gr x 6 x 8 Se repite 4 veces en Peru Chef, Se repite 2 veces el precio de 17"/>
  </r>
  <r>
    <x v="3"/>
    <x v="11"/>
    <s v="Bill"/>
    <s v="478734"/>
    <x v="82"/>
    <s v="TA- PERU -  GOLOSINAS - DULCES  -  VICTORIA - Chomp Naranja-  8 / 6x 42g - CH121"/>
    <n v="6"/>
    <n v="18.32"/>
    <n v="109.92"/>
    <n v="31756.659999999996"/>
    <n v="7"/>
    <s v="Se repite 7 veces"/>
    <s v="Tradiciones Andinas-Galleta Chomp Naranja Victoria 42gr x 6 x 8"/>
    <n v="3"/>
    <s v="Se repite 3 veces en Tradiciones Andinas"/>
    <s v="Tradiciones Andinas-Galleta Chomp Naranja Victoria 42gr x 6 x 8-18.32"/>
    <n v="3"/>
    <s v="Se repite 3 veces el precio de 18.32"/>
    <s v="El producto Galleta Chomp Naranja Victoria 42gr x 6 x 8 Se repite 3 veces en Tradiciones Andinas, Se repite 3 veces el precio de 18.32"/>
  </r>
  <r>
    <x v="3"/>
    <x v="13"/>
    <s v="Bill"/>
    <s v="485230"/>
    <x v="82"/>
    <s v="TA- PERU -  GOLOSINAS - DULCES  -  VICTORIA - Chomp Naranja-  8 / 6x 42g - CH121"/>
    <n v="8"/>
    <n v="18.32"/>
    <n v="146.56"/>
    <n v="71351.570000000007"/>
    <n v="7"/>
    <s v="Se repite 7 veces"/>
    <s v="Tradiciones Andinas-Galleta Chomp Naranja Victoria 42gr x 6 x 8"/>
    <n v="3"/>
    <s v="Se repite 3 veces en Tradiciones Andinas"/>
    <s v="Tradiciones Andinas-Galleta Chomp Naranja Victoria 42gr x 6 x 8-18.32"/>
    <n v="3"/>
    <s v="Se repite 3 veces el precio de 18.32"/>
    <s v="El producto Galleta Chomp Naranja Victoria 42gr x 6 x 8 Se repite 3 veces en Tradiciones Andinas, Se repite 3 veces el precio de 18.32"/>
  </r>
  <r>
    <x v="3"/>
    <x v="7"/>
    <s v="Bill"/>
    <s v="492743"/>
    <x v="82"/>
    <s v="TA- PERU -  GOLOSINAS - DULCES  -  VICTORIA - Chomp Naranja-  8 / 6x 42g - CH121"/>
    <n v="20"/>
    <n v="18.32"/>
    <n v="366.4"/>
    <n v="112416.41999999988"/>
    <n v="7"/>
    <s v="Se repite 7 veces"/>
    <s v="Tradiciones Andinas-Galleta Chomp Naranja Victoria 42gr x 6 x 8"/>
    <n v="3"/>
    <s v="Se repite 3 veces en Tradiciones Andinas"/>
    <s v="Tradiciones Andinas-Galleta Chomp Naranja Victoria 42gr x 6 x 8-18.32"/>
    <n v="3"/>
    <s v="Se repite 3 veces el precio de 18.32"/>
    <s v="El producto Galleta Chomp Naranja Victoria 42gr x 6 x 8 Se repite 3 veces en Tradiciones Andinas, Se repite 3 veces el precio de 18.32"/>
  </r>
  <r>
    <x v="2"/>
    <x v="3"/>
    <s v="Bill"/>
    <s v="64308"/>
    <x v="83"/>
    <s v="Galleta Club Social 6 x 32 / DA-21"/>
    <n v="1"/>
    <n v="55"/>
    <n v="55"/>
    <n v="3730.7000000000003"/>
    <n v="2"/>
    <s v="Se repite 2 veces"/>
    <s v="Belmont International Trading Corp-Galleta Club Social 6 x 32"/>
    <n v="2"/>
    <s v="Se repite 2 veces en Belmont International Trading Corp"/>
    <s v="Belmont International Trading Corp-Galleta Club Social 6 x 32-55"/>
    <n v="1"/>
    <s v="No se repite"/>
    <s v="El producto Galleta Club Social 6 x 32 Se repite 2 veces en Belmont International Trading Corp Una vez con el precio 55"/>
  </r>
  <r>
    <x v="2"/>
    <x v="4"/>
    <s v="Bill"/>
    <s v="66496"/>
    <x v="83"/>
    <s v="Galleta Club Social 6 x 32 / DA-21"/>
    <n v="1"/>
    <n v="60.5"/>
    <n v="60.5"/>
    <n v="14278.64"/>
    <n v="2"/>
    <s v="Se repite 2 veces"/>
    <s v="Belmont International Trading Corp-Galleta Club Social 6 x 32"/>
    <n v="2"/>
    <s v="Se repite 2 veces en Belmont International Trading Corp"/>
    <s v="Belmont International Trading Corp-Galleta Club Social 6 x 32-60.5"/>
    <n v="1"/>
    <s v="No se repite"/>
    <s v="El producto Galleta Club Social 6 x 32 Se repite 2 veces en Belmont International Trading Corp Una vez con el precio 60.5"/>
  </r>
  <r>
    <x v="2"/>
    <x v="3"/>
    <s v="Bill"/>
    <s v="64308"/>
    <x v="84"/>
    <s v="Galleta Municion San Jorge 1.94oz (55gr) x 25 / DA-10"/>
    <n v="1"/>
    <n v="9.5"/>
    <n v="9.5"/>
    <n v="3568.8"/>
    <n v="1"/>
    <s v="No se repite"/>
    <s v="Belmont International Trading Corp-Galleta Municion San Jorge 1.94oz (55gr) x 25"/>
    <n v="1"/>
    <s v="No se repite en proveedor"/>
    <s v="Belmont International Trading Corp-Galleta Municion San Jorge 1.94oz (55gr) x 25-9.5"/>
    <n v="1"/>
    <s v="No se repite"/>
    <s v="El producto Galleta Municion San Jorge 1.94oz (55gr) x 25 No se repite en proveedor Una vez con el precio 9.5"/>
  </r>
  <r>
    <x v="1"/>
    <x v="8"/>
    <s v="Bill"/>
    <s v=""/>
    <x v="85"/>
    <s v="Chomp Galletas Chocolate 42 G"/>
    <n v="1"/>
    <n v="16"/>
    <n v="16"/>
    <n v="1364.1999999999998"/>
    <n v="5"/>
    <s v="Se repite 5 veces"/>
    <s v="Peru Chef-Galletas Chomp Chocolate 42gr x 6 x 8"/>
    <n v="5"/>
    <s v="Se repite 5 veces en Peru Chef"/>
    <s v="Peru Chef-Galletas Chomp Chocolate 42gr x 6 x 8-16"/>
    <n v="2"/>
    <s v="Se repite 2 veces el precio de 16"/>
    <s v="El producto Galletas Chomp Chocolate 42gr x 6 x 8 Se repite 5 veces en Peru Chef, Se repite 2 veces el precio de 16"/>
  </r>
  <r>
    <x v="1"/>
    <x v="9"/>
    <s v="Bill"/>
    <s v="55130"/>
    <x v="85"/>
    <s v="Chomp Galletas Chocolate 42 G"/>
    <n v="1"/>
    <n v="16"/>
    <n v="16"/>
    <n v="3515"/>
    <n v="5"/>
    <s v="Se repite 5 veces"/>
    <s v="Peru Chef-Galletas Chomp Chocolate 42gr x 6 x 8"/>
    <n v="5"/>
    <s v="Se repite 5 veces en Peru Chef"/>
    <s v="Peru Chef-Galletas Chomp Chocolate 42gr x 6 x 8-16"/>
    <n v="2"/>
    <s v="Se repite 2 veces el precio de 16"/>
    <s v="El producto Galletas Chomp Chocolate 42gr x 6 x 8 Se repite 5 veces en Peru Chef, Se repite 2 veces el precio de 16"/>
  </r>
  <r>
    <x v="1"/>
    <x v="24"/>
    <s v="Bill"/>
    <s v="55164"/>
    <x v="85"/>
    <s v="Chomp Galletas Chocolate 42 G"/>
    <n v="5"/>
    <n v="17"/>
    <n v="85"/>
    <n v="5951.6"/>
    <n v="5"/>
    <s v="Se repite 5 veces"/>
    <s v="Peru Chef-Galletas Chomp Chocolate 42gr x 6 x 8"/>
    <n v="5"/>
    <s v="Se repite 5 veces en Peru Chef"/>
    <s v="Peru Chef-Galletas Chomp Chocolate 42gr x 6 x 8-17"/>
    <n v="1"/>
    <s v="No se repite"/>
    <s v="El producto Galletas Chomp Chocolate 42gr x 6 x 8 Se repite 5 veces en Peru Chef Una vez con el precio 17"/>
  </r>
  <r>
    <x v="1"/>
    <x v="16"/>
    <s v="Bill"/>
    <s v="2025001895"/>
    <x v="85"/>
    <s v="GOLOSINAS Y DULCES -   -  CHOMP GALLETAS CHOCOLATE 42 G-  BOLSA X 6 / 8"/>
    <n v="10"/>
    <n v="15.3"/>
    <n v="153"/>
    <n v="30170.2"/>
    <n v="5"/>
    <s v="Se repite 5 veces"/>
    <s v="Peru Chef-Galletas Chomp Chocolate 42gr x 6 x 8"/>
    <n v="5"/>
    <s v="Se repite 5 veces en Peru Chef"/>
    <s v="Peru Chef-Galletas Chomp Chocolate 42gr x 6 x 8-15.3"/>
    <n v="2"/>
    <s v="Se repite 2 veces el precio de 15.3"/>
    <s v="El producto Galletas Chomp Chocolate 42gr x 6 x 8 Se repite 5 veces en Peru Chef, Se repite 2 veces el precio de 15.3"/>
  </r>
  <r>
    <x v="1"/>
    <x v="17"/>
    <s v="Bill"/>
    <s v="57055"/>
    <x v="85"/>
    <s v="GOLOSINAS Y DULCES -   -  CHOMP GALLETAS CHOCOLATE 42 G-  BOLSA X 6 / 8"/>
    <n v="4"/>
    <n v="15.3"/>
    <n v="61.2"/>
    <n v="36766.750000000007"/>
    <n v="5"/>
    <s v="Se repite 5 veces"/>
    <s v="Peru Chef-Galletas Chomp Chocolate 42gr x 6 x 8"/>
    <n v="5"/>
    <s v="Se repite 5 veces en Peru Chef"/>
    <s v="Peru Chef-Galletas Chomp Chocolate 42gr x 6 x 8-15.3"/>
    <n v="2"/>
    <s v="Se repite 2 veces el precio de 15.3"/>
    <s v="El producto Galletas Chomp Chocolate 42gr x 6 x 8 Se repite 5 veces en Peru Chef, Se repite 2 veces el precio de 15.3"/>
  </r>
  <r>
    <x v="2"/>
    <x v="3"/>
    <s v="Bill"/>
    <s v="64308"/>
    <x v="86"/>
    <s v="T.A GOLOSINAS Y DULCES -   -  GALLETAS MARGARITA SAYON-  55gr BOLSA x 6 / 8"/>
    <n v="3"/>
    <n v="16"/>
    <n v="48"/>
    <n v="3462.3"/>
    <n v="8"/>
    <s v="Se repite 8 veces"/>
    <s v="Belmont International Trading Corp-Galletas Margarita Sayon 6 x 8 pack"/>
    <n v="1"/>
    <s v="No se repite en proveedor"/>
    <s v="Belmont International Trading Corp-Galletas Margarita Sayon 6 x 8 pack-16"/>
    <n v="1"/>
    <s v="No se repite"/>
    <s v="El producto Galletas Margarita Sayon 6 x 8 pack No se repite en proveedor Una vez con el precio 16"/>
  </r>
  <r>
    <x v="1"/>
    <x v="24"/>
    <s v="Bill"/>
    <s v="55164"/>
    <x v="86"/>
    <s v="T.A GOLOSINAS Y DULCES -   -  GALLETAS MARGARITA SAYON-  55gr BOLSA x 6 / 8"/>
    <n v="5"/>
    <n v="17"/>
    <n v="85"/>
    <n v="5583.6"/>
    <n v="8"/>
    <s v="Se repite 8 veces"/>
    <s v="Peru Chef-Galletas Margarita Sayon 6 x 8 pack"/>
    <n v="1"/>
    <s v="No se repite en proveedor"/>
    <s v="Peru Chef-Galletas Margarita Sayon 6 x 8 pack-17"/>
    <n v="1"/>
    <s v="No se repite"/>
    <s v="El producto Galletas Margarita Sayon 6 x 8 pack No se repite en proveedor Una vez con el precio 17"/>
  </r>
  <r>
    <x v="3"/>
    <x v="9"/>
    <s v="Bill"/>
    <s v=""/>
    <x v="86"/>
    <s v="Galletas Margarita Sayon"/>
    <n v="5"/>
    <n v="12.8"/>
    <n v="64"/>
    <n v="5528.6399999999994"/>
    <n v="8"/>
    <s v="Se repite 8 veces"/>
    <s v="Tradiciones Andinas-Galletas Margarita Sayon 6 x 8 pack"/>
    <n v="6"/>
    <s v="Se repite 6 veces en Tradiciones Andinas"/>
    <s v="Tradiciones Andinas-Galletas Margarita Sayon 6 x 8 pack-12.8"/>
    <n v="2"/>
    <s v="Se repite 2 veces el precio de 12.8"/>
    <s v="El producto Galletas Margarita Sayon 6 x 8 pack Se repite 6 veces en Tradiciones Andinas, Se repite 2 veces el precio de 12.8"/>
  </r>
  <r>
    <x v="3"/>
    <x v="10"/>
    <s v="Bill"/>
    <s v="476974"/>
    <x v="86"/>
    <s v="Galletas Margarita Sayon"/>
    <n v="12"/>
    <n v="12.8"/>
    <n v="153.6"/>
    <n v="18664.079999999998"/>
    <n v="8"/>
    <s v="Se repite 8 veces"/>
    <s v="Tradiciones Andinas-Galletas Margarita Sayon 6 x 8 pack"/>
    <n v="6"/>
    <s v="Se repite 6 veces en Tradiciones Andinas"/>
    <s v="Tradiciones Andinas-Galletas Margarita Sayon 6 x 8 pack-12.8"/>
    <n v="2"/>
    <s v="Se repite 2 veces el precio de 12.8"/>
    <s v="El producto Galletas Margarita Sayon 6 x 8 pack Se repite 6 veces en Tradiciones Andinas, Se repite 2 veces el precio de 12.8"/>
  </r>
  <r>
    <x v="3"/>
    <x v="11"/>
    <s v="Bill"/>
    <s v="478734"/>
    <x v="86"/>
    <s v="T.A GOLOSINAS Y DULCES -   -  GALLETAS MARGARITA SAYON-  55gr BOLSA x 6 / 8"/>
    <n v="5"/>
    <n v="13.57"/>
    <n v="67.849999999999994"/>
    <n v="30849.989999999994"/>
    <n v="8"/>
    <s v="Se repite 8 veces"/>
    <s v="Tradiciones Andinas-Galletas Margarita Sayon 6 x 8 pack"/>
    <n v="6"/>
    <s v="Se repite 6 veces en Tradiciones Andinas"/>
    <s v="Tradiciones Andinas-Galletas Margarita Sayon 6 x 8 pack-13.57"/>
    <n v="4"/>
    <s v="Se repite 4 veces el precio de 13.57"/>
    <s v="El producto Galletas Margarita Sayon 6 x 8 pack Se repite 6 veces en Tradiciones Andinas, Se repite 4 veces el precio de 13.57"/>
  </r>
  <r>
    <x v="3"/>
    <x v="13"/>
    <s v="Bill"/>
    <s v="485230"/>
    <x v="86"/>
    <s v="T.A GOLOSINAS Y DULCES -   -  GALLETAS MARGARITA SAYON-  55gr BOLSA x 6 / 8"/>
    <n v="10"/>
    <n v="13.57"/>
    <n v="135.69999999999999"/>
    <n v="70988.030000000013"/>
    <n v="8"/>
    <s v="Se repite 8 veces"/>
    <s v="Tradiciones Andinas-Galletas Margarita Sayon 6 x 8 pack"/>
    <n v="6"/>
    <s v="Se repite 6 veces en Tradiciones Andinas"/>
    <s v="Tradiciones Andinas-Galletas Margarita Sayon 6 x 8 pack-13.57"/>
    <n v="4"/>
    <s v="Se repite 4 veces el precio de 13.57"/>
    <s v="El producto Galletas Margarita Sayon 6 x 8 pack Se repite 6 veces en Tradiciones Andinas, Se repite 4 veces el precio de 13.57"/>
  </r>
  <r>
    <x v="3"/>
    <x v="6"/>
    <s v="Bill"/>
    <s v="487860"/>
    <x v="86"/>
    <s v="T.A GOLOSINAS Y DULCES -   -  GALLETAS MARGARITA SAYON-  55gr BOLSA x 6 / 8"/>
    <n v="3"/>
    <n v="13.57"/>
    <n v="40.71"/>
    <n v="84165.179999999964"/>
    <n v="8"/>
    <s v="Se repite 8 veces"/>
    <s v="Tradiciones Andinas-Galletas Margarita Sayon 6 x 8 pack"/>
    <n v="6"/>
    <s v="Se repite 6 veces en Tradiciones Andinas"/>
    <s v="Tradiciones Andinas-Galletas Margarita Sayon 6 x 8 pack-13.57"/>
    <n v="4"/>
    <s v="Se repite 4 veces el precio de 13.57"/>
    <s v="El producto Galletas Margarita Sayon 6 x 8 pack Se repite 6 veces en Tradiciones Andinas, Se repite 4 veces el precio de 13.57"/>
  </r>
  <r>
    <x v="3"/>
    <x v="27"/>
    <s v="Bill"/>
    <s v="491180"/>
    <x v="86"/>
    <s v="T.A GOLOSINAS Y DULCES -   -  GALLETAS MARGARITA SAYON-  55gr BOLSA x 6 / 8"/>
    <n v="16"/>
    <n v="13.57"/>
    <n v="217.12"/>
    <n v="102708.86999999992"/>
    <n v="8"/>
    <s v="Se repite 8 veces"/>
    <s v="Tradiciones Andinas-Galletas Margarita Sayon 6 x 8 pack"/>
    <n v="6"/>
    <s v="Se repite 6 veces en Tradiciones Andinas"/>
    <s v="Tradiciones Andinas-Galletas Margarita Sayon 6 x 8 pack-13.57"/>
    <n v="4"/>
    <s v="Se repite 4 veces el precio de 13.57"/>
    <s v="El producto Galletas Margarita Sayon 6 x 8 pack Se repite 6 veces en Tradiciones Andinas, Se repite 4 veces el precio de 13.57"/>
  </r>
  <r>
    <x v="3"/>
    <x v="10"/>
    <s v="Bill"/>
    <s v="476974"/>
    <x v="87"/>
    <s v="Galletas Morochas"/>
    <n v="5"/>
    <n v="67.98"/>
    <n v="339.9"/>
    <n v="20801.299999999996"/>
    <n v="4"/>
    <s v="Se repite 4 veces"/>
    <s v="Tradiciones Andinas-Galletas Morochas 30gr 12 x 22"/>
    <n v="4"/>
    <s v="Se repite 4 veces en Tradiciones Andinas"/>
    <s v="Tradiciones Andinas-Galletas Morochas 30gr 12 x 22-67.98"/>
    <n v="1"/>
    <s v="No se repite"/>
    <s v="El producto Galletas Morochas 30gr 12 x 22 Se repite 4 veces en Tradiciones Andinas Una vez con el precio 67.98"/>
  </r>
  <r>
    <x v="3"/>
    <x v="4"/>
    <s v="Bill"/>
    <s v="480295"/>
    <x v="87"/>
    <s v="TA- PERU -  GOLOSINAS - DULCES  -  Galletas Morochas-  22 / 12x30g - CH176"/>
    <n v="3"/>
    <n v="72.72"/>
    <n v="218.16"/>
    <n v="41138.659999999996"/>
    <n v="4"/>
    <s v="Se repite 4 veces"/>
    <s v="Tradiciones Andinas-Galletas Morochas 30gr 12 x 22"/>
    <n v="4"/>
    <s v="Se repite 4 veces en Tradiciones Andinas"/>
    <s v="Tradiciones Andinas-Galletas Morochas 30gr 12 x 22-72.72"/>
    <n v="3"/>
    <s v="Se repite 3 veces el precio de 72.72"/>
    <s v="El producto Galletas Morochas 30gr 12 x 22 Se repite 4 veces en Tradiciones Andinas, Se repite 3 veces el precio de 72.72"/>
  </r>
  <r>
    <x v="3"/>
    <x v="13"/>
    <s v="Bill"/>
    <s v="485230"/>
    <x v="87"/>
    <s v="TA- PERU -  GOLOSINAS - DULCES  -  Galletas Morochas-  22 / 12x30g - CH176"/>
    <n v="2"/>
    <n v="72.72"/>
    <n v="145.44"/>
    <n v="71695.010000000009"/>
    <n v="4"/>
    <s v="Se repite 4 veces"/>
    <s v="Tradiciones Andinas-Galletas Morochas 30gr 12 x 22"/>
    <n v="4"/>
    <s v="Se repite 4 veces en Tradiciones Andinas"/>
    <s v="Tradiciones Andinas-Galletas Morochas 30gr 12 x 22-72.72"/>
    <n v="3"/>
    <s v="Se repite 3 veces el precio de 72.72"/>
    <s v="El producto Galletas Morochas 30gr 12 x 22 Se repite 4 veces en Tradiciones Andinas, Se repite 3 veces el precio de 72.72"/>
  </r>
  <r>
    <x v="3"/>
    <x v="7"/>
    <s v="Bill"/>
    <s v="492743"/>
    <x v="87"/>
    <s v="TA- PERU -  GOLOSINAS - DULCES  -  Galletas Morochas-  22 / 12x30g - CH176"/>
    <n v="5"/>
    <n v="72.72"/>
    <n v="363.6"/>
    <n v="113067.77999999988"/>
    <n v="4"/>
    <s v="Se repite 4 veces"/>
    <s v="Tradiciones Andinas-Galletas Morochas 30gr 12 x 22"/>
    <n v="4"/>
    <s v="Se repite 4 veces en Tradiciones Andinas"/>
    <s v="Tradiciones Andinas-Galletas Morochas 30gr 12 x 22-72.72"/>
    <n v="3"/>
    <s v="Se repite 3 veces el precio de 72.72"/>
    <s v="El producto Galletas Morochas 30gr 12 x 22 Se repite 4 veces en Tradiciones Andinas, Se repite 3 veces el precio de 72.72"/>
  </r>
  <r>
    <x v="2"/>
    <x v="3"/>
    <s v="Bill"/>
    <s v="64308"/>
    <x v="88"/>
    <s v="Belmont - Galletas Morochas 30gr 6x 30 / 7613035803121 / DD-05"/>
    <n v="1"/>
    <n v="58"/>
    <n v="58"/>
    <n v="4110"/>
    <n v="6"/>
    <s v="Se repite 6 veces"/>
    <s v="Belmont International Trading Corp-Galletas Morochas 30gr 6x 30"/>
    <n v="3"/>
    <s v="Se repite 3 veces en Belmont International Trading Corp"/>
    <s v="Belmont International Trading Corp-Galletas Morochas 30gr 6x 30-58"/>
    <n v="1"/>
    <s v="No se repite"/>
    <s v="El producto Galletas Morochas 30gr 6x 30 Se repite 3 veces en Belmont International Trading Corp Una vez con el precio 58"/>
  </r>
  <r>
    <x v="2"/>
    <x v="20"/>
    <s v="Bill"/>
    <s v="72533"/>
    <x v="88"/>
    <s v="PCH- Galletas Morochas 30gr 6x 30 / 7613035803121 / DD-05"/>
    <n v="5"/>
    <n v="63.9"/>
    <n v="319.5"/>
    <n v="21308.34"/>
    <n v="6"/>
    <s v="Se repite 6 veces"/>
    <s v="Belmont International Trading Corp-Galletas Morochas 30gr 6x 30"/>
    <n v="3"/>
    <s v="Se repite 3 veces en Belmont International Trading Corp"/>
    <s v="Belmont International Trading Corp-Galletas Morochas 30gr 6x 30-63.9"/>
    <n v="2"/>
    <s v="Se repite 2 veces el precio de 63.9"/>
    <s v="El producto Galletas Morochas 30gr 6x 30 Se repite 3 veces en Belmont International Trading Corp, Se repite 2 veces el precio de 63.9"/>
  </r>
  <r>
    <x v="2"/>
    <x v="22"/>
    <s v="Bill"/>
    <s v="75131"/>
    <x v="88"/>
    <s v="PCH- Galletas Morochas 30gr 6x 30 / 7613035803121 / DD-05"/>
    <n v="4"/>
    <n v="63.9"/>
    <n v="255.6"/>
    <n v="24582.439999999995"/>
    <n v="6"/>
    <s v="Se repite 6 veces"/>
    <s v="Belmont International Trading Corp-Galletas Morochas 30gr 6x 30"/>
    <n v="3"/>
    <s v="Se repite 3 veces en Belmont International Trading Corp"/>
    <s v="Belmont International Trading Corp-Galletas Morochas 30gr 6x 30-63.9"/>
    <n v="2"/>
    <s v="Se repite 2 veces el precio de 63.9"/>
    <s v="El producto Galletas Morochas 30gr 6x 30 Se repite 3 veces en Belmont International Trading Corp, Se repite 2 veces el precio de 63.9"/>
  </r>
  <r>
    <x v="1"/>
    <x v="24"/>
    <s v="Bill"/>
    <s v="55164"/>
    <x v="88"/>
    <s v="Belmont - Galletas Morochas 30gr 6x 30 / 7613035803121 / DD-05"/>
    <n v="1"/>
    <n v="78"/>
    <n v="78"/>
    <n v="5279.6"/>
    <n v="6"/>
    <s v="Se repite 6 veces"/>
    <s v="Peru Chef-Galletas Morochas 30gr 6x 30"/>
    <n v="3"/>
    <s v="Se repite 3 veces en Peru Chef"/>
    <s v="Peru Chef-Galletas Morochas 30gr 6x 30-78"/>
    <n v="3"/>
    <s v="Se repite 3 veces el precio de 78"/>
    <s v="El producto Galletas Morochas 30gr 6x 30 Se repite 3 veces en Peru Chef, Se repite 3 veces el precio de 78"/>
  </r>
  <r>
    <x v="1"/>
    <x v="15"/>
    <s v="Bill"/>
    <s v="55372"/>
    <x v="88"/>
    <s v="Belmont - Galletas Morochas 30gr 6x 30 / 7613035803121 / DD-05"/>
    <n v="2"/>
    <n v="78"/>
    <n v="156"/>
    <n v="8104.2000000000007"/>
    <n v="6"/>
    <s v="Se repite 6 veces"/>
    <s v="Peru Chef-Galletas Morochas 30gr 6x 30"/>
    <n v="3"/>
    <s v="Se repite 3 veces en Peru Chef"/>
    <s v="Peru Chef-Galletas Morochas 30gr 6x 30-78"/>
    <n v="3"/>
    <s v="Se repite 3 veces el precio de 78"/>
    <s v="El producto Galletas Morochas 30gr 6x 30 Se repite 3 veces en Peru Chef, Se repite 3 veces el precio de 78"/>
  </r>
  <r>
    <x v="1"/>
    <x v="2"/>
    <s v="Bill"/>
    <s v="2025001691"/>
    <x v="88"/>
    <s v="PCH- Galletas Morochas 30gr 6x 30 / 7613035803121 / DD-05"/>
    <n v="2"/>
    <n v="78"/>
    <n v="156"/>
    <n v="26875"/>
    <n v="6"/>
    <s v="Se repite 6 veces"/>
    <s v="Peru Chef-Galletas Morochas 30gr 6x 30"/>
    <n v="3"/>
    <s v="Se repite 3 veces en Peru Chef"/>
    <s v="Peru Chef-Galletas Morochas 30gr 6x 30-78"/>
    <n v="3"/>
    <s v="Se repite 3 veces el precio de 78"/>
    <s v="El producto Galletas Morochas 30gr 6x 30 Se repite 3 veces en Peru Chef, Se repite 3 veces el precio de 78"/>
  </r>
  <r>
    <x v="3"/>
    <x v="10"/>
    <s v="Bill"/>
    <s v="476974"/>
    <x v="89"/>
    <s v="Gelatina Durazno / Peach Gelatin"/>
    <n v="3"/>
    <n v="13.08"/>
    <n v="39.24"/>
    <n v="18363.419999999998"/>
    <n v="3"/>
    <s v="Se repite 3 veces"/>
    <s v="Tradiciones Andinas-Gelatina Universal Durazno / Peach Gelatin 150gr x 12"/>
    <n v="3"/>
    <s v="Se repite 3 veces en Tradiciones Andinas"/>
    <s v="Tradiciones Andinas-Gelatina Universal Durazno / Peach Gelatin 150gr x 12-13.08"/>
    <n v="1"/>
    <s v="No se repite"/>
    <s v="El producto Gelatina Universal Durazno / Peach Gelatin 150gr x 12 Se repite 3 veces en Tradiciones Andinas Una vez con el precio 13.08"/>
  </r>
  <r>
    <x v="3"/>
    <x v="11"/>
    <s v="Bill"/>
    <s v="478734"/>
    <x v="89"/>
    <s v="TA - UNIVERSAL PRODUCTS- PERU -   -  Gelatina Durazno / Peach Gelatin -  12 / 150gr - U138"/>
    <n v="4"/>
    <n v="14"/>
    <n v="56"/>
    <n v="30670.139999999996"/>
    <n v="3"/>
    <s v="Se repite 3 veces"/>
    <s v="Tradiciones Andinas-Gelatina Universal Durazno / Peach Gelatin 150gr x 12"/>
    <n v="3"/>
    <s v="Se repite 3 veces en Tradiciones Andinas"/>
    <s v="Tradiciones Andinas-Gelatina Universal Durazno / Peach Gelatin 150gr x 12-14"/>
    <n v="2"/>
    <s v="Se repite 2 veces el precio de 14"/>
    <s v="El producto Gelatina Universal Durazno / Peach Gelatin 150gr x 12 Se repite 3 veces en Tradiciones Andinas, Se repite 2 veces el precio de 14"/>
  </r>
  <r>
    <x v="3"/>
    <x v="7"/>
    <s v="Bill"/>
    <s v="492743"/>
    <x v="89"/>
    <s v="TA - UNIVERSAL PRODUCTS- PERU -   -  Gelatina Durazno / Peach Gelatin -  12 / 150gr - U138"/>
    <n v="2"/>
    <n v="14"/>
    <n v="28"/>
    <n v="110091.7199999999"/>
    <n v="3"/>
    <s v="Se repite 3 veces"/>
    <s v="Tradiciones Andinas-Gelatina Universal Durazno / Peach Gelatin 150gr x 12"/>
    <n v="3"/>
    <s v="Se repite 3 veces en Tradiciones Andinas"/>
    <s v="Tradiciones Andinas-Gelatina Universal Durazno / Peach Gelatin 150gr x 12-14"/>
    <n v="2"/>
    <s v="Se repite 2 veces el precio de 14"/>
    <s v="El producto Gelatina Universal Durazno / Peach Gelatin 150gr x 12 Se repite 3 veces en Tradiciones Andinas, Se repite 2 veces el precio de 14"/>
  </r>
  <r>
    <x v="3"/>
    <x v="33"/>
    <s v="Bill"/>
    <s v="475144"/>
    <x v="90"/>
    <s v="Gelatina Fresa / Strawberry Gelatin"/>
    <n v="2"/>
    <n v="13.08"/>
    <n v="26.16"/>
    <n v="2143.2799999999997"/>
    <n v="7"/>
    <s v="Se repite 7 veces"/>
    <s v="Tradiciones Andinas-Gelatina Universal Fresa / Strawberry Gelatin 150gr x 12"/>
    <n v="7"/>
    <s v="Se repite 7 veces en Tradiciones Andinas"/>
    <s v="Tradiciones Andinas-Gelatina Universal Fresa / Strawberry Gelatin 150gr x 12-13.08"/>
    <n v="1"/>
    <s v="No se repite"/>
    <s v="El producto Gelatina Universal Fresa / Strawberry Gelatin 150gr x 12 Se repite 7 veces en Tradiciones Andinas Una vez con el precio 13.08"/>
  </r>
  <r>
    <x v="3"/>
    <x v="11"/>
    <s v="Bill"/>
    <s v="478734"/>
    <x v="90"/>
    <s v="TA - UNIVERSAL PRODUCTS- PERU -   -  Gelatina Fresa / Strawberry Gelatin -  12 / 150gr - U101"/>
    <n v="24"/>
    <n v="14"/>
    <n v="336"/>
    <n v="29945.499999999996"/>
    <n v="7"/>
    <s v="Se repite 7 veces"/>
    <s v="Tradiciones Andinas-Gelatina Universal Fresa / Strawberry Gelatin 150gr x 12"/>
    <n v="7"/>
    <s v="Se repite 7 veces en Tradiciones Andinas"/>
    <s v="Tradiciones Andinas-Gelatina Universal Fresa / Strawberry Gelatin 150gr x 12-14"/>
    <n v="6"/>
    <s v="Se repite 6 veces el precio de 14"/>
    <s v="El producto Gelatina Universal Fresa / Strawberry Gelatin 150gr x 12 Se repite 7 veces en Tradiciones Andinas, Se repite 6 veces el precio de 14"/>
  </r>
  <r>
    <x v="3"/>
    <x v="5"/>
    <s v="Bill"/>
    <s v="482005"/>
    <x v="90"/>
    <s v="TA - UNIVERSAL PRODUCTS- PERU -   -  Gelatina Fresa / Strawberry Gelatin -  12 / 150gr - U101"/>
    <n v="6"/>
    <n v="14"/>
    <n v="84"/>
    <n v="53875.999999999949"/>
    <n v="7"/>
    <s v="Se repite 7 veces"/>
    <s v="Tradiciones Andinas-Gelatina Universal Fresa / Strawberry Gelatin 150gr x 12"/>
    <n v="7"/>
    <s v="Se repite 7 veces en Tradiciones Andinas"/>
    <s v="Tradiciones Andinas-Gelatina Universal Fresa / Strawberry Gelatin 150gr x 12-14"/>
    <n v="6"/>
    <s v="Se repite 6 veces el precio de 14"/>
    <s v="El producto Gelatina Universal Fresa / Strawberry Gelatin 150gr x 12 Se repite 7 veces en Tradiciones Andinas, Se repite 6 veces el precio de 14"/>
  </r>
  <r>
    <x v="3"/>
    <x v="13"/>
    <s v="Bill"/>
    <s v="485230"/>
    <x v="90"/>
    <s v="TA - UNIVERSAL PRODUCTS- PERU -   -  Gelatina Fresa / Strawberry Gelatin -  12 / 150gr - U101"/>
    <n v="18"/>
    <n v="14"/>
    <n v="252"/>
    <n v="70660.810000000012"/>
    <n v="7"/>
    <s v="Se repite 7 veces"/>
    <s v="Tradiciones Andinas-Gelatina Universal Fresa / Strawberry Gelatin 150gr x 12"/>
    <n v="7"/>
    <s v="Se repite 7 veces en Tradiciones Andinas"/>
    <s v="Tradiciones Andinas-Gelatina Universal Fresa / Strawberry Gelatin 150gr x 12-14"/>
    <n v="6"/>
    <s v="Se repite 6 veces el precio de 14"/>
    <s v="El producto Gelatina Universal Fresa / Strawberry Gelatin 150gr x 12 Se repite 7 veces en Tradiciones Andinas, Se repite 6 veces el precio de 14"/>
  </r>
  <r>
    <x v="3"/>
    <x v="34"/>
    <s v="Bill"/>
    <s v="490620"/>
    <x v="90"/>
    <s v="TA - UNIVERSAL PRODUCTS- PERU -   -  Gelatina Fresa / Strawberry Gelatin -  12 / 150gr - U101"/>
    <n v="20"/>
    <n v="14"/>
    <n v="280"/>
    <n v="98636.149999999936"/>
    <n v="7"/>
    <s v="Se repite 7 veces"/>
    <s v="Tradiciones Andinas-Gelatina Universal Fresa / Strawberry Gelatin 150gr x 12"/>
    <n v="7"/>
    <s v="Se repite 7 veces en Tradiciones Andinas"/>
    <s v="Tradiciones Andinas-Gelatina Universal Fresa / Strawberry Gelatin 150gr x 12-14"/>
    <n v="6"/>
    <s v="Se repite 6 veces el precio de 14"/>
    <s v="El producto Gelatina Universal Fresa / Strawberry Gelatin 150gr x 12 Se repite 7 veces en Tradiciones Andinas, Se repite 6 veces el precio de 14"/>
  </r>
  <r>
    <x v="3"/>
    <x v="7"/>
    <s v="Bill"/>
    <s v="492743"/>
    <x v="90"/>
    <s v="TA - UNIVERSAL PRODUCTS- PERU -   -  Gelatina Fresa / Strawberry Gelatin -  12 / 150gr - U101"/>
    <n v="8"/>
    <n v="14"/>
    <n v="112"/>
    <n v="109259.67999999991"/>
    <n v="7"/>
    <s v="Se repite 7 veces"/>
    <s v="Tradiciones Andinas-Gelatina Universal Fresa / Strawberry Gelatin 150gr x 12"/>
    <n v="7"/>
    <s v="Se repite 7 veces en Tradiciones Andinas"/>
    <s v="Tradiciones Andinas-Gelatina Universal Fresa / Strawberry Gelatin 150gr x 12-14"/>
    <n v="6"/>
    <s v="Se repite 6 veces el precio de 14"/>
    <s v="El producto Gelatina Universal Fresa / Strawberry Gelatin 150gr x 12 Se repite 7 veces en Tradiciones Andinas, Se repite 6 veces el precio de 14"/>
  </r>
  <r>
    <x v="3"/>
    <x v="14"/>
    <s v="Bill"/>
    <s v="493132"/>
    <x v="90"/>
    <s v="TA - UNIVERSAL PRODUCTS- PERU -   -  Gelatina Fresa / Strawberry Gelatin -  12 / 150gr - U101"/>
    <n v="12"/>
    <n v="14"/>
    <n v="168"/>
    <n v="118237.31999999991"/>
    <n v="7"/>
    <s v="Se repite 7 veces"/>
    <s v="Tradiciones Andinas-Gelatina Universal Fresa / Strawberry Gelatin 150gr x 12"/>
    <n v="7"/>
    <s v="Se repite 7 veces en Tradiciones Andinas"/>
    <s v="Tradiciones Andinas-Gelatina Universal Fresa / Strawberry Gelatin 150gr x 12-14"/>
    <n v="6"/>
    <s v="Se repite 6 veces el precio de 14"/>
    <s v="El producto Gelatina Universal Fresa / Strawberry Gelatin 150gr x 12 Se repite 7 veces en Tradiciones Andinas, Se repite 6 veces el precio de 14"/>
  </r>
  <r>
    <x v="3"/>
    <x v="33"/>
    <s v="Bill"/>
    <s v="475144"/>
    <x v="91"/>
    <s v="Gelatina Naranja / Orange Gelatin"/>
    <n v="1"/>
    <n v="13.08"/>
    <n v="13.08"/>
    <n v="2156.3599999999997"/>
    <n v="7"/>
    <s v="Se repite 7 veces"/>
    <s v="Tradiciones Andinas-Gelatina Universal Naranja / Orange Gelatin 150gr x 12"/>
    <n v="7"/>
    <s v="Se repite 7 veces en Tradiciones Andinas"/>
    <s v="Tradiciones Andinas-Gelatina Universal Naranja / Orange Gelatin 150gr x 12-13.08"/>
    <n v="3"/>
    <s v="Se repite 3 veces el precio de 13.08"/>
    <s v="El producto Gelatina Universal Naranja / Orange Gelatin 150gr x 12 Se repite 7 veces en Tradiciones Andinas, Se repite 3 veces el precio de 13.08"/>
  </r>
  <r>
    <x v="3"/>
    <x v="9"/>
    <s v="Bill"/>
    <s v=""/>
    <x v="91"/>
    <s v="Gelatina Naranja / Orange Gelatin"/>
    <n v="2"/>
    <n v="13.08"/>
    <n v="26.16"/>
    <n v="5419.28"/>
    <n v="7"/>
    <s v="Se repite 7 veces"/>
    <s v="Tradiciones Andinas-Gelatina Universal Naranja / Orange Gelatin 150gr x 12"/>
    <n v="7"/>
    <s v="Se repite 7 veces en Tradiciones Andinas"/>
    <s v="Tradiciones Andinas-Gelatina Universal Naranja / Orange Gelatin 150gr x 12-13.08"/>
    <n v="3"/>
    <s v="Se repite 3 veces el precio de 13.08"/>
    <s v="El producto Gelatina Universal Naranja / Orange Gelatin 150gr x 12 Se repite 7 veces en Tradiciones Andinas, Se repite 3 veces el precio de 13.08"/>
  </r>
  <r>
    <x v="3"/>
    <x v="10"/>
    <s v="Bill"/>
    <s v="476974"/>
    <x v="91"/>
    <s v="Gelatina Naranja / Orange Gelatin"/>
    <n v="6"/>
    <n v="13.08"/>
    <n v="78.48"/>
    <n v="17594.899999999994"/>
    <n v="7"/>
    <s v="Se repite 7 veces"/>
    <s v="Tradiciones Andinas-Gelatina Universal Naranja / Orange Gelatin 150gr x 12"/>
    <n v="7"/>
    <s v="Se repite 7 veces en Tradiciones Andinas"/>
    <s v="Tradiciones Andinas-Gelatina Universal Naranja / Orange Gelatin 150gr x 12-13.08"/>
    <n v="3"/>
    <s v="Se repite 3 veces el precio de 13.08"/>
    <s v="El producto Gelatina Universal Naranja / Orange Gelatin 150gr x 12 Se repite 7 veces en Tradiciones Andinas, Se repite 3 veces el precio de 13.08"/>
  </r>
  <r>
    <x v="3"/>
    <x v="5"/>
    <s v="Bill"/>
    <s v="482005"/>
    <x v="91"/>
    <s v="TA - UNIVERSAL PRODUCTS- PERU -   -  Gelatina Naranja / Orange Gelatin -  12 / 150gr - U102"/>
    <n v="7"/>
    <n v="14"/>
    <n v="98"/>
    <n v="53973.999999999949"/>
    <n v="7"/>
    <s v="Se repite 7 veces"/>
    <s v="Tradiciones Andinas-Gelatina Universal Naranja / Orange Gelatin 150gr x 12"/>
    <n v="7"/>
    <s v="Se repite 7 veces en Tradiciones Andinas"/>
    <s v="Tradiciones Andinas-Gelatina Universal Naranja / Orange Gelatin 150gr x 12-14"/>
    <n v="4"/>
    <s v="Se repite 4 veces el precio de 14"/>
    <s v="El producto Gelatina Universal Naranja / Orange Gelatin 150gr x 12 Se repite 7 veces en Tradiciones Andinas, Se repite 4 veces el precio de 14"/>
  </r>
  <r>
    <x v="3"/>
    <x v="13"/>
    <s v="Bill"/>
    <s v="485230"/>
    <x v="91"/>
    <s v="TA - UNIVERSAL PRODUCTS- PERU -   -  Gelatina Naranja / Orange Gelatin -  12 / 150gr - U102"/>
    <n v="3"/>
    <n v="14"/>
    <n v="42"/>
    <n v="70702.810000000012"/>
    <n v="7"/>
    <s v="Se repite 7 veces"/>
    <s v="Tradiciones Andinas-Gelatina Universal Naranja / Orange Gelatin 150gr x 12"/>
    <n v="7"/>
    <s v="Se repite 7 veces en Tradiciones Andinas"/>
    <s v="Tradiciones Andinas-Gelatina Universal Naranja / Orange Gelatin 150gr x 12-14"/>
    <n v="4"/>
    <s v="Se repite 4 veces el precio de 14"/>
    <s v="El producto Gelatina Universal Naranja / Orange Gelatin 150gr x 12 Se repite 7 veces en Tradiciones Andinas, Se repite 4 veces el precio de 14"/>
  </r>
  <r>
    <x v="3"/>
    <x v="34"/>
    <s v="Bill"/>
    <s v="490620"/>
    <x v="91"/>
    <s v="TA - UNIVERSAL PRODUCTS- PERU -   -  Gelatina Naranja / Orange Gelatin -  12 / 150gr - U102"/>
    <n v="6"/>
    <n v="14"/>
    <n v="84"/>
    <n v="98720.149999999936"/>
    <n v="7"/>
    <s v="Se repite 7 veces"/>
    <s v="Tradiciones Andinas-Gelatina Universal Naranja / Orange Gelatin 150gr x 12"/>
    <n v="7"/>
    <s v="Se repite 7 veces en Tradiciones Andinas"/>
    <s v="Tradiciones Andinas-Gelatina Universal Naranja / Orange Gelatin 150gr x 12-14"/>
    <n v="4"/>
    <s v="Se repite 4 veces el precio de 14"/>
    <s v="El producto Gelatina Universal Naranja / Orange Gelatin 150gr x 12 Se repite 7 veces en Tradiciones Andinas, Se repite 4 veces el precio de 14"/>
  </r>
  <r>
    <x v="3"/>
    <x v="7"/>
    <s v="Bill"/>
    <s v="492743"/>
    <x v="91"/>
    <s v="TA - UNIVERSAL PRODUCTS- PERU -   -  Gelatina Naranja / Orange Gelatin -  12 / 150gr - U102"/>
    <n v="8"/>
    <n v="14"/>
    <n v="112"/>
    <n v="109371.67999999991"/>
    <n v="7"/>
    <s v="Se repite 7 veces"/>
    <s v="Tradiciones Andinas-Gelatina Universal Naranja / Orange Gelatin 150gr x 12"/>
    <n v="7"/>
    <s v="Se repite 7 veces en Tradiciones Andinas"/>
    <s v="Tradiciones Andinas-Gelatina Universal Naranja / Orange Gelatin 150gr x 12-14"/>
    <n v="4"/>
    <s v="Se repite 4 veces el precio de 14"/>
    <s v="El producto Gelatina Universal Naranja / Orange Gelatin 150gr x 12 Se repite 7 veces en Tradiciones Andinas, Se repite 4 veces el precio de 14"/>
  </r>
  <r>
    <x v="3"/>
    <x v="10"/>
    <s v="Bill"/>
    <s v="476974"/>
    <x v="92"/>
    <s v="Gelatina Piña / Pineapple Gelatin"/>
    <n v="3"/>
    <n v="13.08"/>
    <n v="39.24"/>
    <n v="17634.139999999996"/>
    <n v="5"/>
    <s v="Se repite 5 veces"/>
    <s v="Tradiciones Andinas-Gelatina Universal Piña / Pineapple Gelatin 150gr x 12"/>
    <n v="5"/>
    <s v="Se repite 5 veces en Tradiciones Andinas"/>
    <s v="Tradiciones Andinas-Gelatina Universal Piña / Pineapple Gelatin 150gr x 12-13.08"/>
    <n v="1"/>
    <s v="No se repite"/>
    <s v="El producto Gelatina Universal Piña / Pineapple Gelatin 150gr x 12 Se repite 5 veces en Tradiciones Andinas Una vez con el precio 13.08"/>
  </r>
  <r>
    <x v="3"/>
    <x v="11"/>
    <s v="Bill"/>
    <s v="478734"/>
    <x v="92"/>
    <s v="TA - UNIVERSAL PRODUCTS- PERU -   -  Gelatina Piña / Pineapple Gelatin -  12 / 150gr - U103"/>
    <n v="3"/>
    <n v="14"/>
    <n v="42"/>
    <n v="29987.499999999996"/>
    <n v="5"/>
    <s v="Se repite 5 veces"/>
    <s v="Tradiciones Andinas-Gelatina Universal Piña / Pineapple Gelatin 150gr x 12"/>
    <n v="5"/>
    <s v="Se repite 5 veces en Tradiciones Andinas"/>
    <s v="Tradiciones Andinas-Gelatina Universal Piña / Pineapple Gelatin 150gr x 12-14"/>
    <n v="4"/>
    <s v="Se repite 4 veces el precio de 14"/>
    <s v="El producto Gelatina Universal Piña / Pineapple Gelatin 150gr x 12 Se repite 5 veces en Tradiciones Andinas, Se repite 4 veces el precio de 14"/>
  </r>
  <r>
    <x v="3"/>
    <x v="5"/>
    <s v="Bill"/>
    <s v="482005"/>
    <x v="92"/>
    <s v="TA - UNIVERSAL PRODUCTS- PERU -   -  Gelatina Piña / Pineapple Gelatin -  12 / 150gr - U103"/>
    <n v="12"/>
    <n v="14"/>
    <n v="168"/>
    <n v="54141.999999999949"/>
    <n v="5"/>
    <s v="Se repite 5 veces"/>
    <s v="Tradiciones Andinas-Gelatina Universal Piña / Pineapple Gelatin 150gr x 12"/>
    <n v="5"/>
    <s v="Se repite 5 veces en Tradiciones Andinas"/>
    <s v="Tradiciones Andinas-Gelatina Universal Piña / Pineapple Gelatin 150gr x 12-14"/>
    <n v="4"/>
    <s v="Se repite 4 veces el precio de 14"/>
    <s v="El producto Gelatina Universal Piña / Pineapple Gelatin 150gr x 12 Se repite 5 veces en Tradiciones Andinas, Se repite 4 veces el precio de 14"/>
  </r>
  <r>
    <x v="3"/>
    <x v="34"/>
    <s v="Bill"/>
    <s v="490620"/>
    <x v="92"/>
    <s v="TA - UNIVERSAL PRODUCTS- PERU -   -  Gelatina Piña / Pineapple Gelatin -  12 / 150gr - U103"/>
    <n v="6"/>
    <n v="14"/>
    <n v="84"/>
    <n v="98804.149999999936"/>
    <n v="5"/>
    <s v="Se repite 5 veces"/>
    <s v="Tradiciones Andinas-Gelatina Universal Piña / Pineapple Gelatin 150gr x 12"/>
    <n v="5"/>
    <s v="Se repite 5 veces en Tradiciones Andinas"/>
    <s v="Tradiciones Andinas-Gelatina Universal Piña / Pineapple Gelatin 150gr x 12-14"/>
    <n v="4"/>
    <s v="Se repite 4 veces el precio de 14"/>
    <s v="El producto Gelatina Universal Piña / Pineapple Gelatin 150gr x 12 Se repite 5 veces en Tradiciones Andinas, Se repite 4 veces el precio de 14"/>
  </r>
  <r>
    <x v="3"/>
    <x v="7"/>
    <s v="Bill"/>
    <s v="492743"/>
    <x v="92"/>
    <s v="TA - UNIVERSAL PRODUCTS- PERU -   -  Gelatina Piña / Pineapple Gelatin -  12 / 150gr - U103"/>
    <n v="4"/>
    <n v="14"/>
    <n v="56"/>
    <n v="109427.67999999991"/>
    <n v="5"/>
    <s v="Se repite 5 veces"/>
    <s v="Tradiciones Andinas-Gelatina Universal Piña / Pineapple Gelatin 150gr x 12"/>
    <n v="5"/>
    <s v="Se repite 5 veces en Tradiciones Andinas"/>
    <s v="Tradiciones Andinas-Gelatina Universal Piña / Pineapple Gelatin 150gr x 12-14"/>
    <n v="4"/>
    <s v="Se repite 4 veces el precio de 14"/>
    <s v="El producto Gelatina Universal Piña / Pineapple Gelatin 150gr x 12 Se repite 5 veces en Tradiciones Andinas, Se repite 4 veces el precio de 14"/>
  </r>
  <r>
    <x v="1"/>
    <x v="8"/>
    <s v="Bill"/>
    <s v=""/>
    <x v="93"/>
    <s v="Glacitas Chocolate 32 G X 6 X 8"/>
    <n v="1"/>
    <n v="17"/>
    <n v="17"/>
    <n v="1495.1999999999998"/>
    <n v="3"/>
    <s v="Se repite 3 veces"/>
    <s v="Peru Chef-Glacitas Chocolate 32gr 6 x 8"/>
    <n v="3"/>
    <s v="Se repite 3 veces en Peru Chef"/>
    <s v="Peru Chef-Glacitas Chocolate 32gr 6 x 8-17"/>
    <n v="3"/>
    <s v="Se repite 3 veces el precio de 17"/>
    <s v="El producto Glacitas Chocolate 32gr 6 x 8 Se repite 3 veces en Peru Chef, Se repite 3 veces el precio de 17"/>
  </r>
  <r>
    <x v="1"/>
    <x v="9"/>
    <s v="Bill"/>
    <s v="55130"/>
    <x v="93"/>
    <s v="Glacitas Chocolate 32 G X 6 X 8"/>
    <n v="1"/>
    <n v="17"/>
    <n v="17"/>
    <n v="3598"/>
    <n v="3"/>
    <s v="Se repite 3 veces"/>
    <s v="Peru Chef-Glacitas Chocolate 32gr 6 x 8"/>
    <n v="3"/>
    <s v="Se repite 3 veces en Peru Chef"/>
    <s v="Peru Chef-Glacitas Chocolate 32gr 6 x 8-17"/>
    <n v="3"/>
    <s v="Se repite 3 veces el precio de 17"/>
    <s v="El producto Glacitas Chocolate 32gr 6 x 8 Se repite 3 veces en Peru Chef, Se repite 3 veces el precio de 17"/>
  </r>
  <r>
    <x v="1"/>
    <x v="24"/>
    <s v="Bill"/>
    <s v="55164"/>
    <x v="93"/>
    <s v="Glacitas Chocolate 32 G X 6 X 8"/>
    <n v="5"/>
    <n v="17"/>
    <n v="85"/>
    <n v="6376.6"/>
    <n v="3"/>
    <s v="Se repite 3 veces"/>
    <s v="Peru Chef-Glacitas Chocolate 32gr 6 x 8"/>
    <n v="3"/>
    <s v="Se repite 3 veces en Peru Chef"/>
    <s v="Peru Chef-Glacitas Chocolate 32gr 6 x 8-17"/>
    <n v="3"/>
    <s v="Se repite 3 veces el precio de 17"/>
    <s v="El producto Glacitas Chocolate 32gr 6 x 8 Se repite 3 veces en Peru Chef, Se repite 3 veces el precio de 17"/>
  </r>
  <r>
    <x v="1"/>
    <x v="8"/>
    <s v="Bill"/>
    <s v=""/>
    <x v="94"/>
    <s v="Glacitas Choconieve 32 G X 6 X 8"/>
    <n v="1"/>
    <n v="17"/>
    <n v="17"/>
    <n v="1461.1999999999998"/>
    <n v="5"/>
    <s v="Se repite 5 veces"/>
    <s v="Peru Chef-Glacitas Choconieve 32gr 6 x 8"/>
    <n v="5"/>
    <s v="Se repite 5 veces en Peru Chef"/>
    <s v="Peru Chef-Glacitas Choconieve 32gr 6 x 8-17"/>
    <n v="3"/>
    <s v="Se repite 3 veces el precio de 17"/>
    <s v="El producto Glacitas Choconieve 32gr 6 x 8 Se repite 5 veces en Peru Chef, Se repite 3 veces el precio de 17"/>
  </r>
  <r>
    <x v="1"/>
    <x v="9"/>
    <s v="Bill"/>
    <s v="55130"/>
    <x v="94"/>
    <s v="Glacitas Choconieve 32 G X 6 X 8"/>
    <n v="1"/>
    <n v="17"/>
    <n v="17"/>
    <n v="3581"/>
    <n v="5"/>
    <s v="Se repite 5 veces"/>
    <s v="Peru Chef-Glacitas Choconieve 32gr 6 x 8"/>
    <n v="5"/>
    <s v="Se repite 5 veces en Peru Chef"/>
    <s v="Peru Chef-Glacitas Choconieve 32gr 6 x 8-17"/>
    <n v="3"/>
    <s v="Se repite 3 veces el precio de 17"/>
    <s v="El producto Glacitas Choconieve 32gr 6 x 8 Se repite 5 veces en Peru Chef, Se repite 3 veces el precio de 17"/>
  </r>
  <r>
    <x v="1"/>
    <x v="24"/>
    <s v="Bill"/>
    <s v="55164"/>
    <x v="94"/>
    <s v="Glacitas Choconieve 32 G X 6 X 8"/>
    <n v="5"/>
    <n v="17"/>
    <n v="85"/>
    <n v="6461.6"/>
    <n v="5"/>
    <s v="Se repite 5 veces"/>
    <s v="Peru Chef-Glacitas Choconieve 32gr 6 x 8"/>
    <n v="5"/>
    <s v="Se repite 5 veces en Peru Chef"/>
    <s v="Peru Chef-Glacitas Choconieve 32gr 6 x 8-17"/>
    <n v="3"/>
    <s v="Se repite 3 veces el precio de 17"/>
    <s v="El producto Glacitas Choconieve 32gr 6 x 8 Se repite 5 veces en Peru Chef, Se repite 3 veces el precio de 17"/>
  </r>
  <r>
    <x v="1"/>
    <x v="16"/>
    <s v="Bill"/>
    <s v="2025001895"/>
    <x v="94"/>
    <s v="Glacitas Choconieve 32 G X 6 X 8"/>
    <n v="6"/>
    <n v="15.3"/>
    <n v="91.8"/>
    <n v="32340.999999999996"/>
    <n v="5"/>
    <s v="Se repite 5 veces"/>
    <s v="Peru Chef-Glacitas Choconieve 32gr 6 x 8"/>
    <n v="5"/>
    <s v="Se repite 5 veces en Peru Chef"/>
    <s v="Peru Chef-Glacitas Choconieve 32gr 6 x 8-15.3"/>
    <n v="2"/>
    <s v="Se repite 2 veces el precio de 15.3"/>
    <s v="El producto Glacitas Choconieve 32gr 6 x 8 Se repite 5 veces en Peru Chef, Se repite 2 veces el precio de 15.3"/>
  </r>
  <r>
    <x v="1"/>
    <x v="17"/>
    <s v="Bill"/>
    <s v="57055"/>
    <x v="94"/>
    <s v="GOLOSINAS Y DULCES -   -  GLACITAS CHOCONIEVE 32 G X 6 X 8-   / 8"/>
    <n v="12"/>
    <n v="15.3"/>
    <n v="183.6"/>
    <n v="37809.850000000006"/>
    <n v="5"/>
    <s v="Se repite 5 veces"/>
    <s v="Peru Chef-Glacitas Choconieve 32gr 6 x 8"/>
    <n v="5"/>
    <s v="Se repite 5 veces en Peru Chef"/>
    <s v="Peru Chef-Glacitas Choconieve 32gr 6 x 8-15.3"/>
    <n v="2"/>
    <s v="Se repite 2 veces el precio de 15.3"/>
    <s v="El producto Glacitas Choconieve 32gr 6 x 8 Se repite 5 veces en Peru Chef, Se repite 2 veces el precio de 15.3"/>
  </r>
  <r>
    <x v="1"/>
    <x v="8"/>
    <s v="Bill"/>
    <s v=""/>
    <x v="95"/>
    <s v="Glacitas Fresa 32 G X 6 X 8"/>
    <n v="1"/>
    <n v="17"/>
    <n v="17"/>
    <n v="1444.1999999999998"/>
    <n v="5"/>
    <s v="Se repite 5 veces"/>
    <s v="Peru Chef-Glacitas Fresa 32gr 6 x 8"/>
    <n v="5"/>
    <s v="Se repite 5 veces en Peru Chef"/>
    <s v="Peru Chef-Glacitas Fresa 32gr 6 x 8-17"/>
    <n v="3"/>
    <s v="Se repite 3 veces el precio de 17"/>
    <s v="El producto Glacitas Fresa 32gr 6 x 8 Se repite 5 veces en Peru Chef, Se repite 3 veces el precio de 17"/>
  </r>
  <r>
    <x v="1"/>
    <x v="9"/>
    <s v="Bill"/>
    <s v="55130"/>
    <x v="95"/>
    <s v="Glacitas Fresa 32 G X 6 X 8"/>
    <n v="1"/>
    <n v="17"/>
    <n v="17"/>
    <n v="3564"/>
    <n v="5"/>
    <s v="Se repite 5 veces"/>
    <s v="Peru Chef-Glacitas Fresa 32gr 6 x 8"/>
    <n v="5"/>
    <s v="Se repite 5 veces en Peru Chef"/>
    <s v="Peru Chef-Glacitas Fresa 32gr 6 x 8-17"/>
    <n v="3"/>
    <s v="Se repite 3 veces el precio de 17"/>
    <s v="El producto Glacitas Fresa 32gr 6 x 8 Se repite 5 veces en Peru Chef, Se repite 3 veces el precio de 17"/>
  </r>
  <r>
    <x v="1"/>
    <x v="24"/>
    <s v="Bill"/>
    <s v="55164"/>
    <x v="95"/>
    <s v="Glacitas Fresa 32 G X 6 X 8"/>
    <n v="5"/>
    <n v="17"/>
    <n v="85"/>
    <n v="6291.6"/>
    <n v="5"/>
    <s v="Se repite 5 veces"/>
    <s v="Peru Chef-Glacitas Fresa 32gr 6 x 8"/>
    <n v="5"/>
    <s v="Se repite 5 veces en Peru Chef"/>
    <s v="Peru Chef-Glacitas Fresa 32gr 6 x 8-17"/>
    <n v="3"/>
    <s v="Se repite 3 veces el precio de 17"/>
    <s v="El producto Glacitas Fresa 32gr 6 x 8 Se repite 5 veces en Peru Chef, Se repite 3 veces el precio de 17"/>
  </r>
  <r>
    <x v="1"/>
    <x v="16"/>
    <s v="Bill"/>
    <s v="2025001895"/>
    <x v="95"/>
    <s v="Glacitas Fresa 32 G X 6 X 8"/>
    <n v="6"/>
    <n v="15.3"/>
    <n v="91.8"/>
    <n v="32157.399999999998"/>
    <n v="5"/>
    <s v="Se repite 5 veces"/>
    <s v="Peru Chef-Glacitas Fresa 32gr 6 x 8"/>
    <n v="5"/>
    <s v="Se repite 5 veces en Peru Chef"/>
    <s v="Peru Chef-Glacitas Fresa 32gr 6 x 8-15.3"/>
    <n v="2"/>
    <s v="Se repite 2 veces el precio de 15.3"/>
    <s v="El producto Glacitas Fresa 32gr 6 x 8 Se repite 5 veces en Peru Chef, Se repite 2 veces el precio de 15.3"/>
  </r>
  <r>
    <x v="1"/>
    <x v="17"/>
    <s v="Bill"/>
    <s v="57055"/>
    <x v="95"/>
    <s v="GOLOSINAS Y DULCES -   -  GLACITAS FRESA 32 G X 6 X 8-   / 8"/>
    <n v="12"/>
    <n v="15.3"/>
    <n v="183.6"/>
    <n v="37626.250000000007"/>
    <n v="5"/>
    <s v="Se repite 5 veces"/>
    <s v="Peru Chef-Glacitas Fresa 32gr 6 x 8"/>
    <n v="5"/>
    <s v="Se repite 5 veces en Peru Chef"/>
    <s v="Peru Chef-Glacitas Fresa 32gr 6 x 8-15.3"/>
    <n v="2"/>
    <s v="Se repite 2 veces el precio de 15.3"/>
    <s v="El producto Glacitas Fresa 32gr 6 x 8 Se repite 5 veces en Peru Chef, Se repite 2 veces el precio de 15.3"/>
  </r>
  <r>
    <x v="1"/>
    <x v="8"/>
    <s v="Bill"/>
    <s v=""/>
    <x v="96"/>
    <s v="Glacitas Toffee 32 G X 6 X 8"/>
    <n v="1"/>
    <n v="17"/>
    <n v="17"/>
    <n v="1478.1999999999998"/>
    <n v="2"/>
    <s v="Se repite 2 veces"/>
    <s v="Peru Chef-Glacitas Toffee 32gr 6 x 8"/>
    <n v="2"/>
    <s v="Se repite 2 veces en Peru Chef"/>
    <s v="Peru Chef-Glacitas Toffee 32gr 6 x 8-17"/>
    <n v="1"/>
    <s v="No se repite"/>
    <s v="El producto Glacitas Toffee 32gr 6 x 8 Se repite 2 veces en Peru Chef Una vez con el precio 17"/>
  </r>
  <r>
    <x v="1"/>
    <x v="16"/>
    <s v="Bill"/>
    <s v="2025001895"/>
    <x v="96"/>
    <s v="Glacitas Toffee 32 G X 6 X 8"/>
    <n v="6"/>
    <n v="15.3"/>
    <n v="91.8"/>
    <n v="32249.199999999997"/>
    <n v="2"/>
    <s v="Se repite 2 veces"/>
    <s v="Peru Chef-Glacitas Toffee 32gr 6 x 8"/>
    <n v="2"/>
    <s v="Se repite 2 veces en Peru Chef"/>
    <s v="Peru Chef-Glacitas Toffee 32gr 6 x 8-15.3"/>
    <n v="1"/>
    <s v="No se repite"/>
    <s v="El producto Glacitas Toffee 32gr 6 x 8 Se repite 2 veces en Peru Chef Una vez con el precio 15.3"/>
  </r>
  <r>
    <x v="2"/>
    <x v="3"/>
    <s v="Bill"/>
    <s v="64308"/>
    <x v="97"/>
    <s v="BELMONT - Chicha Morada Gloria 1Lt x 12 Tetrapack / 7751271009362 /GL-04"/>
    <n v="1"/>
    <n v="15.9"/>
    <n v="15.9"/>
    <n v="4290.7"/>
    <n v="1"/>
    <s v="No se repite"/>
    <s v="Belmont International Trading Corp-Gloria Chicha Morada 1Lt x 12 TETRAPACK"/>
    <n v="1"/>
    <s v="No se repite en proveedor"/>
    <s v="Belmont International Trading Corp-Gloria Chicha Morada 1Lt x 12 TETRAPACK-15.9"/>
    <n v="1"/>
    <s v="No se repite"/>
    <s v="El producto Gloria Chicha Morada 1Lt x 12 TETRAPACK No se repite en proveedor Una vez con el precio 15.9"/>
  </r>
  <r>
    <x v="1"/>
    <x v="17"/>
    <s v="Bill"/>
    <s v="57055"/>
    <x v="98"/>
    <s v="Gn Rellenitas Choco Y Fresa X 8 X 5"/>
    <n v="2"/>
    <n v="8.1"/>
    <n v="16.2"/>
    <n v="36581.350000000013"/>
    <n v="1"/>
    <s v="No se repite"/>
    <s v="Peru Chef-Gn Rellenitas Choco y Fresa x 8 x 5"/>
    <n v="1"/>
    <s v="No se repite en proveedor"/>
    <s v="Peru Chef-Gn Rellenitas Choco y Fresa x 8 x 5-8.1"/>
    <n v="1"/>
    <s v="No se repite"/>
    <s v="El producto Gn Rellenitas Choco y Fresa x 8 x 5 No se repite en proveedor Una vez con el precio 8.1"/>
  </r>
  <r>
    <x v="1"/>
    <x v="17"/>
    <s v="Bill"/>
    <s v="57055"/>
    <x v="99"/>
    <s v="Gn Rellenitas Choco Y Menta X 8 X 5"/>
    <n v="2"/>
    <n v="8.1"/>
    <n v="16.2"/>
    <n v="36565.150000000016"/>
    <n v="1"/>
    <s v="No se repite"/>
    <s v="Peru Chef-Gn Rellenitas Choco y Menta x 8 x 5"/>
    <n v="1"/>
    <s v="No se repite en proveedor"/>
    <s v="Peru Chef-Gn Rellenitas Choco y Menta x 8 x 5-8.1"/>
    <n v="1"/>
    <s v="No se repite"/>
    <s v="El producto Gn Rellenitas Choco y Menta x 8 x 5 No se repite en proveedor Una vez con el precio 8.1"/>
  </r>
  <r>
    <x v="1"/>
    <x v="24"/>
    <s v="Bill"/>
    <s v="55164"/>
    <x v="100"/>
    <s v="Gn Rellenitas Coco X 8 X 5"/>
    <n v="5"/>
    <n v="9"/>
    <n v="45"/>
    <n v="7018.6"/>
    <n v="3"/>
    <s v="Se repite 3 veces"/>
    <s v="Peru Chef-Gn Rellenitas Coco x 8 x 5"/>
    <n v="3"/>
    <s v="Se repite 3 veces en Peru Chef"/>
    <s v="Peru Chef-Gn Rellenitas Coco x 8 x 5-9"/>
    <n v="3"/>
    <s v="Se repite 3 veces el precio de 9"/>
    <s v="El producto Gn Rellenitas Coco x 8 x 5 Se repite 3 veces en Peru Chef, Se repite 3 veces el precio de 9"/>
  </r>
  <r>
    <x v="1"/>
    <x v="12"/>
    <s v="Bill"/>
    <s v="56352"/>
    <x v="100"/>
    <s v="Gn Rellenitas Coco X 8 X 5"/>
    <n v="8"/>
    <n v="9"/>
    <n v="72"/>
    <n v="13403.5"/>
    <n v="3"/>
    <s v="Se repite 3 veces"/>
    <s v="Peru Chef-Gn Rellenitas Coco x 8 x 5"/>
    <n v="3"/>
    <s v="Se repite 3 veces en Peru Chef"/>
    <s v="Peru Chef-Gn Rellenitas Coco x 8 x 5-9"/>
    <n v="3"/>
    <s v="Se repite 3 veces el precio de 9"/>
    <s v="El producto Gn Rellenitas Coco x 8 x 5 Se repite 3 veces en Peru Chef, Se repite 3 veces el precio de 9"/>
  </r>
  <r>
    <x v="1"/>
    <x v="1"/>
    <s v="Bill"/>
    <s v="2025001378"/>
    <x v="100"/>
    <s v="GOLOSINAS Y DULCES -   -  GN RELLENITAS COCO X 8 X 5-   / 5"/>
    <n v="12"/>
    <n v="9"/>
    <n v="108"/>
    <n v="22013"/>
    <n v="3"/>
    <s v="Se repite 3 veces"/>
    <s v="Peru Chef-Gn Rellenitas Coco x 8 x 5"/>
    <n v="3"/>
    <s v="Se repite 3 veces en Peru Chef"/>
    <s v="Peru Chef-Gn Rellenitas Coco x 8 x 5-9"/>
    <n v="3"/>
    <s v="Se repite 3 veces el precio de 9"/>
    <s v="El producto Gn Rellenitas Coco x 8 x 5 Se repite 3 veces en Peru Chef, Se repite 3 veces el precio de 9"/>
  </r>
  <r>
    <x v="1"/>
    <x v="24"/>
    <s v="Bill"/>
    <s v="55164"/>
    <x v="101"/>
    <s v="Gn Rellenitas Fresa X 8 X 5"/>
    <n v="5"/>
    <n v="9"/>
    <n v="45"/>
    <n v="6973.6"/>
    <n v="4"/>
    <s v="Se repite 4 veces"/>
    <s v="Peru Chef-Gn Rellenitas Fresa x 8 x 5 pack"/>
    <n v="4"/>
    <s v="Se repite 4 veces en Peru Chef"/>
    <s v="Peru Chef-Gn Rellenitas Fresa x 8 x 5 pack-9"/>
    <n v="3"/>
    <s v="Se repite 3 veces el precio de 9"/>
    <s v="El producto Gn Rellenitas Fresa x 8 x 5 pack Se repite 4 veces en Peru Chef, Se repite 3 veces el precio de 9"/>
  </r>
  <r>
    <x v="1"/>
    <x v="12"/>
    <s v="Bill"/>
    <s v="56352"/>
    <x v="101"/>
    <s v="Gn Rellenitas Fresa X 8 X 5"/>
    <n v="5"/>
    <n v="9"/>
    <n v="45"/>
    <n v="13448.5"/>
    <n v="4"/>
    <s v="Se repite 4 veces"/>
    <s v="Peru Chef-Gn Rellenitas Fresa x 8 x 5 pack"/>
    <n v="4"/>
    <s v="Se repite 4 veces en Peru Chef"/>
    <s v="Peru Chef-Gn Rellenitas Fresa x 8 x 5 pack-9"/>
    <n v="3"/>
    <s v="Se repite 3 veces el precio de 9"/>
    <s v="El producto Gn Rellenitas Fresa x 8 x 5 pack Se repite 4 veces en Peru Chef, Se repite 3 veces el precio de 9"/>
  </r>
  <r>
    <x v="1"/>
    <x v="23"/>
    <s v="Bill"/>
    <s v="2025001209"/>
    <x v="101"/>
    <s v="GOLOSINAS Y DULCES -   -  GN RELLENITAS FRESA X 8 X 5-   / 5"/>
    <n v="10"/>
    <n v="9"/>
    <n v="90"/>
    <n v="18577.5"/>
    <n v="4"/>
    <s v="Se repite 4 veces"/>
    <s v="Peru Chef-Gn Rellenitas Fresa x 8 x 5 pack"/>
    <n v="4"/>
    <s v="Se repite 4 veces en Peru Chef"/>
    <s v="Peru Chef-Gn Rellenitas Fresa x 8 x 5 pack-9"/>
    <n v="3"/>
    <s v="Se repite 3 veces el precio de 9"/>
    <s v="El producto Gn Rellenitas Fresa x 8 x 5 pack Se repite 4 veces en Peru Chef, Se repite 3 veces el precio de 9"/>
  </r>
  <r>
    <x v="1"/>
    <x v="17"/>
    <s v="Bill"/>
    <s v="57055"/>
    <x v="101"/>
    <s v="GOLOSINAS Y DULCES -   -  GN RELLENITAS FRESA X 8 X 5-   / 5"/>
    <n v="14"/>
    <n v="8.1"/>
    <n v="113.4"/>
    <n v="36548.950000000019"/>
    <n v="4"/>
    <s v="Se repite 4 veces"/>
    <s v="Peru Chef-Gn Rellenitas Fresa x 8 x 5 pack"/>
    <n v="4"/>
    <s v="Se repite 4 veces en Peru Chef"/>
    <s v="Peru Chef-Gn Rellenitas Fresa x 8 x 5 pack-8.1"/>
    <n v="1"/>
    <s v="No se repite"/>
    <s v="El producto Gn Rellenitas Fresa x 8 x 5 pack Se repite 4 veces en Peru Chef Una vez con el precio 8.1"/>
  </r>
  <r>
    <x v="1"/>
    <x v="17"/>
    <s v="Bill"/>
    <s v="57055"/>
    <x v="102"/>
    <s v="GOLOSINAS Y DULCES -   -  GN RELLENITAS LIMON X 8 X 5-   / 5"/>
    <n v="2"/>
    <n v="8.1"/>
    <n v="16.2"/>
    <n v="36597.55000000001"/>
    <n v="1"/>
    <s v="No se repite"/>
    <s v="Peru Chef-Gn Rellenitas Limon x 8 x 5 pack"/>
    <n v="1"/>
    <s v="No se repite en proveedor"/>
    <s v="Peru Chef-Gn Rellenitas Limon x 8 x 5 pack-8.1"/>
    <n v="1"/>
    <s v="No se repite"/>
    <s v="El producto Gn Rellenitas Limon x 8 x 5 pack No se repite en proveedor Una vez con el precio 8.1"/>
  </r>
  <r>
    <x v="1"/>
    <x v="17"/>
    <s v="Bill"/>
    <s v="57055"/>
    <x v="103"/>
    <s v="GOLOSINAS Y DULCES -   -  GN RELLENITAS LUCUMA X 8 X 5-   / 5"/>
    <n v="4"/>
    <n v="8.1"/>
    <n v="32.4"/>
    <n v="36435.550000000017"/>
    <n v="1"/>
    <s v="No se repite"/>
    <s v="Peru Chef-Gn Rellenitas Lucuma x 8 x 5"/>
    <n v="1"/>
    <s v="No se repite en proveedor"/>
    <s v="Peru Chef-Gn Rellenitas Lucuma x 8 x 5-8.1"/>
    <n v="1"/>
    <s v="No se repite"/>
    <s v="El producto Gn Rellenitas Lucuma x 8 x 5 No se repite en proveedor Una vez con el precio 8.1"/>
  </r>
  <r>
    <x v="2"/>
    <x v="3"/>
    <s v="Bill"/>
    <s v="64308"/>
    <x v="104"/>
    <s v="Huancaina A la Cena 17.06oz (400gr) x 12 / 7750243042932  AL-03"/>
    <n v="2"/>
    <n v="39.5"/>
    <n v="79"/>
    <n v="2518.8000000000002"/>
    <n v="5"/>
    <s v="Se repite 5 veces"/>
    <s v="Belmont International Trading Corp-Huancaina A la Cena 17.06oz (400gr) x 12"/>
    <n v="2"/>
    <s v="Se repite 2 veces en Belmont International Trading Corp"/>
    <s v="Belmont International Trading Corp-Huancaina A la Cena 17.06oz (400gr) x 12-39.5"/>
    <n v="1"/>
    <s v="No se repite"/>
    <s v="El producto Huancaina A la Cena 17.06oz (400gr) x 12 Se repite 2 veces en Belmont International Trading Corp Una vez con el precio 39.5"/>
  </r>
  <r>
    <x v="2"/>
    <x v="19"/>
    <s v="Bill"/>
    <s v="65207"/>
    <x v="104"/>
    <s v="Huancaina A la Cena 17.06oz (400gr) x 12 / 7750243042932  AL-03"/>
    <n v="18"/>
    <n v="43.5"/>
    <n v="783"/>
    <n v="8626.74"/>
    <n v="5"/>
    <s v="Se repite 5 veces"/>
    <s v="Belmont International Trading Corp-Huancaina A la Cena 17.06oz (400gr) x 12"/>
    <n v="2"/>
    <s v="Se repite 2 veces en Belmont International Trading Corp"/>
    <s v="Belmont International Trading Corp-Huancaina A la Cena 17.06oz (400gr) x 12-43.5"/>
    <n v="1"/>
    <s v="No se repite"/>
    <s v="El producto Huancaina A la Cena 17.06oz (400gr) x 12 Se repite 2 veces en Belmont International Trading Corp Una vez con el precio 43.5"/>
  </r>
  <r>
    <x v="1"/>
    <x v="1"/>
    <s v="Bill"/>
    <s v="2025001378"/>
    <x v="104"/>
    <s v="Huancaina A la Cena 17.06oz (400gr) x 12 / 7750243042932  AL-03"/>
    <n v="3"/>
    <n v="35"/>
    <n v="105"/>
    <n v="22552"/>
    <n v="5"/>
    <s v="Se repite 5 veces"/>
    <s v="Peru Chef-Huancaina A la Cena 17.06oz (400gr) x 12"/>
    <n v="3"/>
    <s v="Se repite 3 veces en Peru Chef"/>
    <s v="Peru Chef-Huancaina A la Cena 17.06oz (400gr) x 12-35"/>
    <n v="3"/>
    <s v="Se repite 3 veces el precio de 35"/>
    <s v="El producto Huancaina A la Cena 17.06oz (400gr) x 12 Se repite 3 veces en Peru Chef, Se repite 3 veces el precio de 35"/>
  </r>
  <r>
    <x v="1"/>
    <x v="2"/>
    <s v="Bill"/>
    <s v="2025001691"/>
    <x v="104"/>
    <s v="Huancaina A la Cena 17.06oz (400gr) x 12 / 7750243042932  AL-03"/>
    <n v="2"/>
    <n v="35"/>
    <n v="70"/>
    <n v="25444"/>
    <n v="5"/>
    <s v="Se repite 5 veces"/>
    <s v="Peru Chef-Huancaina A la Cena 17.06oz (400gr) x 12"/>
    <n v="3"/>
    <s v="Se repite 3 veces en Peru Chef"/>
    <s v="Peru Chef-Huancaina A la Cena 17.06oz (400gr) x 12-35"/>
    <n v="3"/>
    <s v="Se repite 3 veces el precio de 35"/>
    <s v="El producto Huancaina A la Cena 17.06oz (400gr) x 12 Se repite 3 veces en Peru Chef, Se repite 3 veces el precio de 35"/>
  </r>
  <r>
    <x v="1"/>
    <x v="18"/>
    <s v="Bill"/>
    <s v="2025002374"/>
    <x v="104"/>
    <s v="Huancaina A la Cena 17.06oz (400gr) x 12 / 7750243042932  AL-03"/>
    <n v="4"/>
    <n v="35"/>
    <n v="140"/>
    <n v="38102.850000000006"/>
    <n v="5"/>
    <s v="Se repite 5 veces"/>
    <s v="Peru Chef-Huancaina A la Cena 17.06oz (400gr) x 12"/>
    <n v="3"/>
    <s v="Se repite 3 veces en Peru Chef"/>
    <s v="Peru Chef-Huancaina A la Cena 17.06oz (400gr) x 12-35"/>
    <n v="3"/>
    <s v="Se repite 3 veces el precio de 35"/>
    <s v="El producto Huancaina A la Cena 17.06oz (400gr) x 12 Se repite 3 veces en Peru Chef, Se repite 3 veces el precio de 35"/>
  </r>
  <r>
    <x v="6"/>
    <x v="35"/>
    <s v="Bill"/>
    <s v=""/>
    <x v="105"/>
    <s v="Diet"/>
    <n v="104"/>
    <n v="11.94"/>
    <n v="1241.76"/>
    <n v="16629.96"/>
    <n v="3"/>
    <s v="Se repite 3 veces"/>
    <s v="Continental Food and Beverage, inc-Inca Kola Diet Lata 12oz x 24"/>
    <n v="3"/>
    <s v="Se repite 3 veces en Continental Food and Beverage, inc"/>
    <s v="Continental Food and Beverage, inc-Inca Kola Diet Lata 12oz x 24-11.94"/>
    <n v="1"/>
    <s v="No se repite"/>
    <s v="El producto Inca Kola Diet Lata 12oz x 24 Se repite 3 veces en Continental Food and Beverage, inc Una vez con el precio 11.94"/>
  </r>
  <r>
    <x v="6"/>
    <x v="3"/>
    <s v="Bill"/>
    <s v=""/>
    <x v="105"/>
    <s v="INCA KOLA - BEBIDAS -  INCA KOLA -  DIET-  LATA 12 OZ / 24"/>
    <n v="208"/>
    <n v="12.44"/>
    <n v="2587.52"/>
    <n v="30176.76"/>
    <n v="3"/>
    <s v="Se repite 3 veces"/>
    <s v="Continental Food and Beverage, inc-Inca Kola Diet Lata 12oz x 24"/>
    <n v="3"/>
    <s v="Se repite 3 veces en Continental Food and Beverage, inc"/>
    <s v="Continental Food and Beverage, inc-Inca Kola Diet Lata 12oz x 24-12.44"/>
    <n v="2"/>
    <s v="Se repite 2 veces el precio de 12.44"/>
    <s v="El producto Inca Kola Diet Lata 12oz x 24 Se repite 3 veces en Continental Food and Beverage, inc, Se repite 2 veces el precio de 12.44"/>
  </r>
  <r>
    <x v="6"/>
    <x v="36"/>
    <s v="Bill"/>
    <s v="71340"/>
    <x v="105"/>
    <s v="INCA KOLA - BEBIDAS -  INCA KOLA -  DIET-  LATA 12 OZ / 24"/>
    <n v="100"/>
    <n v="12.44"/>
    <n v="1244"/>
    <n v="50459.51999999999"/>
    <n v="3"/>
    <s v="Se repite 3 veces"/>
    <s v="Continental Food and Beverage, inc-Inca Kola Diet Lata 12oz x 24"/>
    <n v="3"/>
    <s v="Se repite 3 veces en Continental Food and Beverage, inc"/>
    <s v="Continental Food and Beverage, inc-Inca Kola Diet Lata 12oz x 24-12.44"/>
    <n v="2"/>
    <s v="Se repite 2 veces el precio de 12.44"/>
    <s v="El producto Inca Kola Diet Lata 12oz x 24 Se repite 3 veces en Continental Food and Beverage, inc, Se repite 2 veces el precio de 12.44"/>
  </r>
  <r>
    <x v="6"/>
    <x v="35"/>
    <s v="Bill"/>
    <s v=""/>
    <x v="106"/>
    <s v="Plastico 2Lt"/>
    <n v="840"/>
    <n v="12.73"/>
    <n v="10693.2"/>
    <n v="10693.2"/>
    <n v="5"/>
    <s v="Se repite 5 veces"/>
    <s v="Continental Food and Beverage, inc-Inca Kola Plastico 2Lt x 8"/>
    <n v="5"/>
    <s v="Se repite 5 veces en Continental Food and Beverage, inc"/>
    <s v="Continental Food and Beverage, inc-Inca Kola Plastico 2Lt x 8-12.73"/>
    <n v="1"/>
    <s v="No se repite"/>
    <s v="El producto Inca Kola Plastico 2Lt x 8 Se repite 5 veces en Continental Food and Beverage, inc Una vez con el precio 12.73"/>
  </r>
  <r>
    <x v="6"/>
    <x v="37"/>
    <s v="Bill"/>
    <s v="70933"/>
    <x v="106"/>
    <s v="- BEBIDAS -  INCA KOLA -  PLASTICO 2LT-   / 8"/>
    <n v="240"/>
    <n v="13.28"/>
    <n v="3187.2"/>
    <n v="34064.439999999995"/>
    <n v="5"/>
    <s v="Se repite 5 veces"/>
    <s v="Continental Food and Beverage, inc-Inca Kola Plastico 2Lt x 8"/>
    <n v="5"/>
    <s v="Se repite 5 veces en Continental Food and Beverage, inc"/>
    <s v="Continental Food and Beverage, inc-Inca Kola Plastico 2Lt x 8-13.28"/>
    <n v="4"/>
    <s v="Se repite 4 veces el precio de 13.28"/>
    <s v="El producto Inca Kola Plastico 2Lt x 8 Se repite 5 veces en Continental Food and Beverage, inc, Se repite 4 veces el precio de 13.28"/>
  </r>
  <r>
    <x v="6"/>
    <x v="36"/>
    <s v="Bill"/>
    <s v="71340"/>
    <x v="106"/>
    <s v="- BEBIDAS -  INCA KOLA -  PLASTICO 2LT-   / 8"/>
    <n v="240"/>
    <n v="13.28"/>
    <n v="3187.2"/>
    <n v="44859.999999999993"/>
    <n v="5"/>
    <s v="Se repite 5 veces"/>
    <s v="Continental Food and Beverage, inc-Inca Kola Plastico 2Lt x 8"/>
    <n v="5"/>
    <s v="Se repite 5 veces en Continental Food and Beverage, inc"/>
    <s v="Continental Food and Beverage, inc-Inca Kola Plastico 2Lt x 8-13.28"/>
    <n v="4"/>
    <s v="Se repite 4 veces el precio de 13.28"/>
    <s v="El producto Inca Kola Plastico 2Lt x 8 Se repite 5 veces en Continental Food and Beverage, inc, Se repite 4 veces el precio de 13.28"/>
  </r>
  <r>
    <x v="6"/>
    <x v="38"/>
    <s v="Bill"/>
    <s v="0071667"/>
    <x v="106"/>
    <s v="- BEBIDAS -  INCA KOLA -  PLASTICO 2LT-   / 8"/>
    <n v="160"/>
    <n v="13.28"/>
    <n v="2124.8000000000002"/>
    <n v="45356.659999999989"/>
    <n v="5"/>
    <s v="Se repite 5 veces"/>
    <s v="Continental Food and Beverage, inc-Inca Kola Plastico 2Lt x 8"/>
    <n v="5"/>
    <s v="Se repite 5 veces en Continental Food and Beverage, inc"/>
    <s v="Continental Food and Beverage, inc-Inca Kola Plastico 2Lt x 8-13.28"/>
    <n v="4"/>
    <s v="Se repite 4 veces el precio de 13.28"/>
    <s v="El producto Inca Kola Plastico 2Lt x 8 Se repite 5 veces en Continental Food and Beverage, inc, Se repite 4 veces el precio de 13.28"/>
  </r>
  <r>
    <x v="6"/>
    <x v="39"/>
    <s v="Bill"/>
    <s v="0071969"/>
    <x v="106"/>
    <s v="- BEBIDAS -  INCA KOLA -  PLASTICO 2LT-   / 8"/>
    <n v="240"/>
    <n v="13.28"/>
    <n v="3187.2"/>
    <n v="55610.499999999993"/>
    <n v="5"/>
    <s v="Se repite 5 veces"/>
    <s v="Continental Food and Beverage, inc-Inca Kola Plastico 2Lt x 8"/>
    <n v="5"/>
    <s v="Se repite 5 veces en Continental Food and Beverage, inc"/>
    <s v="Continental Food and Beverage, inc-Inca Kola Plastico 2Lt x 8-13.28"/>
    <n v="4"/>
    <s v="Se repite 4 veces el precio de 13.28"/>
    <s v="El producto Inca Kola Plastico 2Lt x 8 Se repite 5 veces en Continental Food and Beverage, inc, Se repite 4 veces el precio de 13.28"/>
  </r>
  <r>
    <x v="6"/>
    <x v="35"/>
    <s v="Bill"/>
    <s v=""/>
    <x v="107"/>
    <s v="Regular"/>
    <n v="104"/>
    <n v="10.06"/>
    <n v="1046.24"/>
    <n v="11739.44"/>
    <n v="4"/>
    <s v="Se repite 4 veces"/>
    <s v="Continental Food and Beverage, inc-Inca Kola Regular  x 24 Latas"/>
    <n v="4"/>
    <s v="Se repite 4 veces en Continental Food and Beverage, inc"/>
    <s v="Continental Food and Beverage, inc-Inca Kola Regular  x 24 Latas-10.06"/>
    <n v="1"/>
    <s v="No se repite"/>
    <s v="El producto Inca Kola Regular  x 24 Latas Se repite 4 veces en Continental Food and Beverage, inc Una vez con el precio 10.06"/>
  </r>
  <r>
    <x v="6"/>
    <x v="40"/>
    <s v="Bill"/>
    <s v=""/>
    <x v="107"/>
    <s v="- BEBIDAS -  INCA KOLA -  REGULAR-  LATA 12 OZ / 24"/>
    <n v="104"/>
    <n v="12.44"/>
    <n v="1293.76"/>
    <n v="25411.48"/>
    <n v="4"/>
    <s v="Se repite 4 veces"/>
    <s v="Continental Food and Beverage, inc-Inca Kola Regular  x 24 Latas"/>
    <n v="4"/>
    <s v="Se repite 4 veces en Continental Food and Beverage, inc"/>
    <s v="Continental Food and Beverage, inc-Inca Kola Regular  x 24 Latas-12.44"/>
    <n v="1"/>
    <s v="No se repite"/>
    <s v="El producto Inca Kola Regular  x 24 Latas Se repite 4 veces en Continental Food and Beverage, inc Una vez con el precio 12.44"/>
  </r>
  <r>
    <x v="6"/>
    <x v="37"/>
    <s v="Bill"/>
    <s v="70933"/>
    <x v="107"/>
    <s v="- BEBIDAS -  INCA KOLA -  REGULAR-  LATA 12 OZ / 24"/>
    <n v="312"/>
    <n v="10.56"/>
    <n v="3294.72"/>
    <n v="41672.799999999996"/>
    <n v="4"/>
    <s v="Se repite 4 veces"/>
    <s v="Continental Food and Beverage, inc-Inca Kola Regular  x 24 Latas"/>
    <n v="4"/>
    <s v="Se repite 4 veces en Continental Food and Beverage, inc"/>
    <s v="Continental Food and Beverage, inc-Inca Kola Regular  x 24 Latas-10.56"/>
    <n v="2"/>
    <s v="Se repite 2 veces el precio de 10.56"/>
    <s v="El producto Inca Kola Regular  x 24 Latas Se repite 4 veces en Continental Food and Beverage, inc, Se repite 2 veces el precio de 10.56"/>
  </r>
  <r>
    <x v="6"/>
    <x v="39"/>
    <s v="Bill"/>
    <s v="0071969"/>
    <x v="107"/>
    <s v="- BEBIDAS -  INCA KOLA -  REGULAR-  LATA 12 OZ / 24"/>
    <n v="104"/>
    <n v="10.56"/>
    <n v="1098.24"/>
    <n v="58608.739999999991"/>
    <n v="4"/>
    <s v="Se repite 4 veces"/>
    <s v="Continental Food and Beverage, inc-Inca Kola Regular  x 24 Latas"/>
    <n v="4"/>
    <s v="Se repite 4 veces en Continental Food and Beverage, inc"/>
    <s v="Continental Food and Beverage, inc-Inca Kola Regular  x 24 Latas-10.56"/>
    <n v="2"/>
    <s v="Se repite 2 veces el precio de 10.56"/>
    <s v="El producto Inca Kola Regular  x 24 Latas Se repite 4 veces en Continental Food and Beverage, inc, Se repite 2 veces el precio de 10.56"/>
  </r>
  <r>
    <x v="6"/>
    <x v="35"/>
    <s v="Bill"/>
    <s v=""/>
    <x v="108"/>
    <s v="Regular lata  x 12"/>
    <n v="416"/>
    <n v="4.9850000000000003"/>
    <n v="2073.7600000000002"/>
    <n v="15388.2"/>
    <n v="7"/>
    <s v="Se repite 7 veces"/>
    <s v="Continental Food and Beverage, inc-Inca Kola Regular x 12 latas"/>
    <n v="7"/>
    <s v="Se repite 7 veces en Continental Food and Beverage, inc"/>
    <s v="Continental Food and Beverage, inc-Inca Kola Regular x 12 latas-4.985"/>
    <n v="1"/>
    <s v="No se repite"/>
    <s v="El producto Inca Kola Regular x 12 latas Se repite 7 veces en Continental Food and Beverage, inc Una vez con el precio 4.985"/>
  </r>
  <r>
    <x v="6"/>
    <x v="40"/>
    <s v="Bill"/>
    <s v=""/>
    <x v="108"/>
    <s v="- BEBIDAS -  INCA KOLA -  REGULAR LATA 12 OZ / 12"/>
    <n v="1664"/>
    <n v="5.2350000000000003"/>
    <n v="8711.0400000000009"/>
    <n v="24117.72"/>
    <n v="7"/>
    <s v="Se repite 7 veces"/>
    <s v="Continental Food and Beverage, inc-Inca Kola Regular x 12 latas"/>
    <n v="7"/>
    <s v="Se repite 7 veces en Continental Food and Beverage, inc"/>
    <s v="Continental Food and Beverage, inc-Inca Kola Regular x 12 latas-5.235"/>
    <n v="6"/>
    <s v="Se repite 6 veces el precio de 5.235"/>
    <s v="El producto Inca Kola Regular x 12 latas Se repite 7 veces en Continental Food and Beverage, inc, Se repite 6 veces el precio de 5.235"/>
  </r>
  <r>
    <x v="6"/>
    <x v="3"/>
    <s v="Bill"/>
    <s v=""/>
    <x v="108"/>
    <s v="- BEBIDAS -  INCA KOLA -  REGULAR LATA 12 OZ / 12"/>
    <n v="416"/>
    <n v="5.2350000000000003"/>
    <n v="2177.7600000000002"/>
    <n v="27589.239999999998"/>
    <n v="7"/>
    <s v="Se repite 7 veces"/>
    <s v="Continental Food and Beverage, inc-Inca Kola Regular x 12 latas"/>
    <n v="7"/>
    <s v="Se repite 7 veces en Continental Food and Beverage, inc"/>
    <s v="Continental Food and Beverage, inc-Inca Kola Regular x 12 latas-5.235"/>
    <n v="6"/>
    <s v="Se repite 6 veces el precio de 5.235"/>
    <s v="El producto Inca Kola Regular x 12 latas Se repite 7 veces en Continental Food and Beverage, inc, Se repite 6 veces el precio de 5.235"/>
  </r>
  <r>
    <x v="6"/>
    <x v="37"/>
    <s v="Bill"/>
    <s v="70933"/>
    <x v="108"/>
    <s v="- BEBIDAS -  INCA KOLA -  REGULAR LATA 12 OZ / 12"/>
    <n v="824"/>
    <n v="5.2350000000000003"/>
    <n v="4313.6400000000003"/>
    <n v="38378.079999999994"/>
    <n v="7"/>
    <s v="Se repite 7 veces"/>
    <s v="Continental Food and Beverage, inc-Inca Kola Regular x 12 latas"/>
    <n v="7"/>
    <s v="Se repite 7 veces en Continental Food and Beverage, inc"/>
    <s v="Continental Food and Beverage, inc-Inca Kola Regular x 12 latas-5.235"/>
    <n v="6"/>
    <s v="Se repite 6 veces el precio de 5.235"/>
    <s v="El producto Inca Kola Regular x 12 latas Se repite 7 veces en Continental Food and Beverage, inc, Se repite 6 veces el precio de 5.235"/>
  </r>
  <r>
    <x v="6"/>
    <x v="36"/>
    <s v="Bill"/>
    <s v="71340"/>
    <x v="108"/>
    <s v="- BEBIDAS -  INCA KOLA -  REGULAR LATA 12 OZ / 12"/>
    <n v="832"/>
    <n v="5.2350000000000003"/>
    <n v="4355.5200000000004"/>
    <n v="49215.51999999999"/>
    <n v="7"/>
    <s v="Se repite 7 veces"/>
    <s v="Continental Food and Beverage, inc-Inca Kola Regular x 12 latas"/>
    <n v="7"/>
    <s v="Se repite 7 veces en Continental Food and Beverage, inc"/>
    <s v="Continental Food and Beverage, inc-Inca Kola Regular x 12 latas-5.235"/>
    <n v="6"/>
    <s v="Se repite 6 veces el precio de 5.235"/>
    <s v="El producto Inca Kola Regular x 12 latas Se repite 7 veces en Continental Food and Beverage, inc, Se repite 6 veces el precio de 5.235"/>
  </r>
  <r>
    <x v="6"/>
    <x v="38"/>
    <s v="Bill"/>
    <s v="0071667"/>
    <x v="108"/>
    <s v="- BEBIDAS -  INCA KOLA -  REGULAR LATA 12 OZ / 12"/>
    <n v="832"/>
    <n v="5.2350000000000003"/>
    <n v="4355.5200000000004"/>
    <n v="49712.179999999993"/>
    <n v="7"/>
    <s v="Se repite 7 veces"/>
    <s v="Continental Food and Beverage, inc-Inca Kola Regular x 12 latas"/>
    <n v="7"/>
    <s v="Se repite 7 veces en Continental Food and Beverage, inc"/>
    <s v="Continental Food and Beverage, inc-Inca Kola Regular x 12 latas-5.235"/>
    <n v="6"/>
    <s v="Se repite 6 veces el precio de 5.235"/>
    <s v="El producto Inca Kola Regular x 12 latas Se repite 7 veces en Continental Food and Beverage, inc, Se repite 6 veces el precio de 5.235"/>
  </r>
  <r>
    <x v="6"/>
    <x v="39"/>
    <s v="Bill"/>
    <s v="0071969"/>
    <x v="108"/>
    <s v="- BEBIDAS -  INCA KOLA -  REGULAR LATA 12 OZ / 12"/>
    <n v="208"/>
    <n v="5.2350000000000003"/>
    <n v="1088.8800000000001"/>
    <n v="61395.119999999988"/>
    <n v="7"/>
    <s v="Se repite 7 veces"/>
    <s v="Continental Food and Beverage, inc-Inca Kola Regular x 12 latas"/>
    <n v="7"/>
    <s v="Se repite 7 veces en Continental Food and Beverage, inc"/>
    <s v="Continental Food and Beverage, inc-Inca Kola Regular x 12 latas-5.235"/>
    <n v="6"/>
    <s v="Se repite 6 veces el precio de 5.235"/>
    <s v="El producto Inca Kola Regular x 12 latas Se repite 7 veces en Continental Food and Beverage, inc, Se repite 6 veces el precio de 5.235"/>
  </r>
  <r>
    <x v="6"/>
    <x v="35"/>
    <s v="Bill"/>
    <s v=""/>
    <x v="109"/>
    <s v="Vidrio"/>
    <n v="70"/>
    <n v="22.5"/>
    <n v="1575"/>
    <n v="13314.44"/>
    <n v="3"/>
    <s v="Se repite 3 veces"/>
    <s v="Continental Food and Beverage, inc-Inca Kola Vidrio x 24"/>
    <n v="3"/>
    <s v="Se repite 3 veces en Continental Food and Beverage, inc"/>
    <s v="Continental Food and Beverage, inc-Inca Kola Vidrio x 24-22.5"/>
    <n v="1"/>
    <s v="No se repite"/>
    <s v="El producto Inca Kola Vidrio x 24 Se repite 3 veces en Continental Food and Beverage, inc Una vez con el precio 22.5"/>
  </r>
  <r>
    <x v="6"/>
    <x v="36"/>
    <s v="Bill"/>
    <s v="71340"/>
    <x v="109"/>
    <s v="- BEBIDAS -  INCA KOLA -  VIDRIO-  10 OZ / 24"/>
    <n v="70"/>
    <n v="24.25"/>
    <n v="1697.5"/>
    <n v="52157.01999999999"/>
    <n v="3"/>
    <s v="Se repite 3 veces"/>
    <s v="Continental Food and Beverage, inc-Inca Kola Vidrio x 24"/>
    <n v="3"/>
    <s v="Se repite 3 veces en Continental Food and Beverage, inc"/>
    <s v="Continental Food and Beverage, inc-Inca Kola Vidrio x 24-24.25"/>
    <n v="2"/>
    <s v="Se repite 2 veces el precio de 24.25"/>
    <s v="El producto Inca Kola Vidrio x 24 Se repite 3 veces en Continental Food and Beverage, inc, Se repite 2 veces el precio de 24.25"/>
  </r>
  <r>
    <x v="6"/>
    <x v="39"/>
    <s v="Bill"/>
    <s v="0071969"/>
    <x v="109"/>
    <s v="- BEBIDAS -  INCA KOLA -  VIDRIO-  10 OZ / 24"/>
    <n v="70"/>
    <n v="24.25"/>
    <n v="1697.5"/>
    <n v="60306.239999999991"/>
    <n v="3"/>
    <s v="Se repite 3 veces"/>
    <s v="Continental Food and Beverage, inc-Inca Kola Vidrio x 24"/>
    <n v="3"/>
    <s v="Se repite 3 veces en Continental Food and Beverage, inc"/>
    <s v="Continental Food and Beverage, inc-Inca Kola Vidrio x 24-24.25"/>
    <n v="2"/>
    <s v="Se repite 2 veces el precio de 24.25"/>
    <s v="El producto Inca Kola Vidrio x 24 Se repite 3 veces en Continental Food and Beverage, inc, Se repite 2 veces el precio de 24.25"/>
  </r>
  <r>
    <x v="1"/>
    <x v="8"/>
    <s v="Bill"/>
    <s v=""/>
    <x v="110"/>
    <s v="Kikko Siyau 500Ml X 30"/>
    <n v="1"/>
    <n v="39"/>
    <n v="39"/>
    <n v="1651.1999999999998"/>
    <n v="8"/>
    <s v="Se repite 8 veces"/>
    <s v="Peru Chef-Kikko Siyau 500ml x 30"/>
    <n v="2"/>
    <s v="Se repite 2 veces en Peru Chef"/>
    <s v="Peru Chef-Kikko Siyau 500ml x 30-39"/>
    <n v="2"/>
    <s v="Se repite 2 veces el precio de 39"/>
    <s v="El producto Kikko Siyau 500ml x 30 Se repite 2 veces en Peru Chef, Se repite 2 veces el precio de 39"/>
  </r>
  <r>
    <x v="1"/>
    <x v="24"/>
    <s v="Bill"/>
    <s v="55164"/>
    <x v="110"/>
    <s v="Kikko Siyau 500ml x 30 /  00998"/>
    <n v="1"/>
    <n v="39"/>
    <n v="39"/>
    <n v="4895.1000000000004"/>
    <n v="8"/>
    <s v="Se repite 8 veces"/>
    <s v="Peru Chef-Kikko Siyau 500ml x 30"/>
    <n v="2"/>
    <s v="Se repite 2 veces en Peru Chef"/>
    <s v="Peru Chef-Kikko Siyau 500ml x 30-39"/>
    <n v="2"/>
    <s v="Se repite 2 veces el precio de 39"/>
    <s v="El producto Kikko Siyau 500ml x 30 Se repite 2 veces en Peru Chef, Se repite 2 veces el precio de 39"/>
  </r>
  <r>
    <x v="3"/>
    <x v="33"/>
    <s v="Bill"/>
    <s v="475144"/>
    <x v="110"/>
    <s v="Kikko Siyau 500Ml X 30"/>
    <n v="2"/>
    <n v="29.7"/>
    <n v="59.4"/>
    <n v="2031.6799999999996"/>
    <n v="8"/>
    <s v="Se repite 8 veces"/>
    <s v="Tradiciones Andinas-Kikko Siyau 500ml x 30"/>
    <n v="6"/>
    <s v="Se repite 6 veces en Tradiciones Andinas"/>
    <s v="Tradiciones Andinas-Kikko Siyau 500ml x 30-29.7"/>
    <n v="3"/>
    <s v="Se repite 3 veces el precio de 29.7"/>
    <s v="El producto Kikko Siyau 500ml x 30 Se repite 6 veces en Tradiciones Andinas, Se repite 3 veces el precio de 29.7"/>
  </r>
  <r>
    <x v="3"/>
    <x v="9"/>
    <s v="Bill"/>
    <s v=""/>
    <x v="110"/>
    <s v="Kikko Siyau 500Ml X 30"/>
    <n v="3"/>
    <n v="29.7"/>
    <n v="89.1"/>
    <n v="5243.32"/>
    <n v="8"/>
    <s v="Se repite 8 veces"/>
    <s v="Tradiciones Andinas-Kikko Siyau 500ml x 30"/>
    <n v="6"/>
    <s v="Se repite 6 veces en Tradiciones Andinas"/>
    <s v="Tradiciones Andinas-Kikko Siyau 500ml x 30-29.7"/>
    <n v="3"/>
    <s v="Se repite 3 veces el precio de 29.7"/>
    <s v="El producto Kikko Siyau 500ml x 30 Se repite 6 veces en Tradiciones Andinas, Se repite 3 veces el precio de 29.7"/>
  </r>
  <r>
    <x v="3"/>
    <x v="10"/>
    <s v="Bill"/>
    <s v="476974"/>
    <x v="110"/>
    <s v="Kikko Siyau 500Ml X 30"/>
    <n v="10"/>
    <n v="29.7"/>
    <n v="297"/>
    <n v="14242.279999999999"/>
    <n v="8"/>
    <s v="Se repite 8 veces"/>
    <s v="Tradiciones Andinas-Kikko Siyau 500ml x 30"/>
    <n v="6"/>
    <s v="Se repite 6 veces en Tradiciones Andinas"/>
    <s v="Tradiciones Andinas-Kikko Siyau 500ml x 30-29.7"/>
    <n v="3"/>
    <s v="Se repite 3 veces el precio de 29.7"/>
    <s v="El producto Kikko Siyau 500ml x 30 Se repite 6 veces en Tradiciones Andinas, Se repite 3 veces el precio de 29.7"/>
  </r>
  <r>
    <x v="3"/>
    <x v="5"/>
    <s v="Bill"/>
    <s v="482005"/>
    <x v="110"/>
    <s v="Kikko Siyau 500ml x 30 /  00998"/>
    <n v="15"/>
    <n v="31.8"/>
    <n v="477"/>
    <n v="50225.629999999968"/>
    <n v="8"/>
    <s v="Se repite 8 veces"/>
    <s v="Tradiciones Andinas-Kikko Siyau 500ml x 30"/>
    <n v="6"/>
    <s v="Se repite 6 veces en Tradiciones Andinas"/>
    <s v="Tradiciones Andinas-Kikko Siyau 500ml x 30-31.8"/>
    <n v="3"/>
    <s v="Se repite 3 veces el precio de 31.8"/>
    <s v="El producto Kikko Siyau 500ml x 30 Se repite 6 veces en Tradiciones Andinas, Se repite 3 veces el precio de 31.8"/>
  </r>
  <r>
    <x v="3"/>
    <x v="6"/>
    <s v="Bill"/>
    <s v="487860"/>
    <x v="110"/>
    <s v="Kikko Siyau 500ml x 30 /  00998"/>
    <n v="18"/>
    <n v="31.8"/>
    <n v="572.4"/>
    <n v="80393.539999999964"/>
    <n v="8"/>
    <s v="Se repite 8 veces"/>
    <s v="Tradiciones Andinas-Kikko Siyau 500ml x 30"/>
    <n v="6"/>
    <s v="Se repite 6 veces en Tradiciones Andinas"/>
    <s v="Tradiciones Andinas-Kikko Siyau 500ml x 30-31.8"/>
    <n v="3"/>
    <s v="Se repite 3 veces el precio de 31.8"/>
    <s v="El producto Kikko Siyau 500ml x 30 Se repite 6 veces en Tradiciones Andinas, Se repite 3 veces el precio de 31.8"/>
  </r>
  <r>
    <x v="3"/>
    <x v="7"/>
    <s v="Bill"/>
    <s v="492743"/>
    <x v="110"/>
    <s v="PRODUCTOS ORIENTALES -  KIKKO -  KIKKO SIYAU 500ML x 30 /  00998"/>
    <n v="13"/>
    <n v="31.8"/>
    <n v="413.4"/>
    <n v="106966.92999999992"/>
    <n v="8"/>
    <s v="Se repite 8 veces"/>
    <s v="Tradiciones Andinas-Kikko Siyau 500ml x 30"/>
    <n v="6"/>
    <s v="Se repite 6 veces en Tradiciones Andinas"/>
    <s v="Tradiciones Andinas-Kikko Siyau 500ml x 30-31.8"/>
    <n v="3"/>
    <s v="Se repite 3 veces el precio de 31.8"/>
    <s v="El producto Kikko Siyau 500ml x 30 Se repite 6 veces en Tradiciones Andinas, Se repite 3 veces el precio de 31.8"/>
  </r>
  <r>
    <x v="1"/>
    <x v="2"/>
    <s v="Bill"/>
    <s v="2025001691"/>
    <x v="111"/>
    <s v="PERU CHEF- PRODUCTOS ORIENTALES -  KIKKO -  KIKKO SIYAU 5L"/>
    <n v="4"/>
    <n v="11.25"/>
    <n v="45"/>
    <n v="28414.5"/>
    <n v="2"/>
    <s v="Se repite 2 veces"/>
    <s v="Peru Chef-Kikko Siyau 5L"/>
    <n v="2"/>
    <s v="Se repite 2 veces en Peru Chef"/>
    <s v="Peru Chef-Kikko Siyau 5L-11.25"/>
    <n v="1"/>
    <s v="No se repite"/>
    <s v="El producto Kikko Siyau 5L Se repite 2 veces en Peru Chef Una vez con el precio 11.25"/>
  </r>
  <r>
    <x v="1"/>
    <x v="16"/>
    <s v="Bill"/>
    <s v="2025001895"/>
    <x v="111"/>
    <s v="PERU CHEF- PRODUCTOS ORIENTALES -  KIKKO -  KIKKO SIYAU 5L"/>
    <n v="4"/>
    <n v="10.125"/>
    <n v="40.5"/>
    <n v="30757.9"/>
    <n v="2"/>
    <s v="Se repite 2 veces"/>
    <s v="Peru Chef-Kikko Siyau 5L"/>
    <n v="2"/>
    <s v="Se repite 2 veces en Peru Chef"/>
    <s v="Peru Chef-Kikko Siyau 5L-10.125"/>
    <n v="1"/>
    <s v="No se repite"/>
    <s v="El producto Kikko Siyau 5L Se repite 2 veces en Peru Chef Una vez con el precio 10.125"/>
  </r>
  <r>
    <x v="1"/>
    <x v="8"/>
    <s v="Bill"/>
    <s v=""/>
    <x v="112"/>
    <s v="KIRMA - Café Instantaneo - Instant Coffee"/>
    <n v="1"/>
    <n v="115"/>
    <n v="115"/>
    <n v="1851.6999999999998"/>
    <n v="4"/>
    <s v="Se repite 4 veces"/>
    <s v="Peru Chef-KIRMA - Café Instantaneo - Instant Coffee"/>
    <n v="4"/>
    <s v="Se repite 4 veces en Peru Chef"/>
    <s v="Peru Chef-KIRMA - Café Instantaneo - Instant Coffee-115"/>
    <n v="3"/>
    <s v="Se repite 3 veces el precio de 115"/>
    <s v="El producto KIRMA - Café Instantaneo - Instant Coffee Se repite 4 veces en Peru Chef, Se repite 3 veces el precio de 115"/>
  </r>
  <r>
    <x v="1"/>
    <x v="9"/>
    <s v="Bill"/>
    <s v="55130"/>
    <x v="112"/>
    <s v="KIRMA - Café Instantaneo - Instant Coffee"/>
    <n v="1"/>
    <n v="115"/>
    <n v="115"/>
    <n v="3877.5"/>
    <n v="4"/>
    <s v="Se repite 4 veces"/>
    <s v="Peru Chef-KIRMA - Café Instantaneo - Instant Coffee"/>
    <n v="4"/>
    <s v="Se repite 4 veces en Peru Chef"/>
    <s v="Peru Chef-KIRMA - Café Instantaneo - Instant Coffee-115"/>
    <n v="3"/>
    <s v="Se repite 3 veces el precio de 115"/>
    <s v="El producto KIRMA - Café Instantaneo - Instant Coffee Se repite 4 veces en Peru Chef, Se repite 3 veces el precio de 115"/>
  </r>
  <r>
    <x v="1"/>
    <x v="24"/>
    <s v="Bill"/>
    <s v="55164"/>
    <x v="112"/>
    <s v="KIRMA - Café Instantaneo - Instant Coffee"/>
    <n v="1"/>
    <n v="115"/>
    <n v="115"/>
    <n v="5049.1000000000004"/>
    <n v="4"/>
    <s v="Se repite 4 veces"/>
    <s v="Peru Chef-KIRMA - Café Instantaneo - Instant Coffee"/>
    <n v="4"/>
    <s v="Se repite 4 veces en Peru Chef"/>
    <s v="Peru Chef-KIRMA - Café Instantaneo - Instant Coffee-115"/>
    <n v="3"/>
    <s v="Se repite 3 veces el precio de 115"/>
    <s v="El producto KIRMA - Café Instantaneo - Instant Coffee Se repite 4 veces en Peru Chef, Se repite 3 veces el precio de 115"/>
  </r>
  <r>
    <x v="1"/>
    <x v="12"/>
    <s v="Bill"/>
    <s v="56352"/>
    <x v="112"/>
    <s v="KIRMA - Café Instantaneo - Instant Coffee"/>
    <n v="3"/>
    <n v="125"/>
    <n v="375"/>
    <n v="14190.5"/>
    <n v="4"/>
    <s v="Se repite 4 veces"/>
    <s v="Peru Chef-KIRMA - Café Instantaneo - Instant Coffee"/>
    <n v="4"/>
    <s v="Se repite 4 veces en Peru Chef"/>
    <s v="Peru Chef-KIRMA - Café Instantaneo - Instant Coffee-125"/>
    <n v="1"/>
    <s v="No se repite"/>
    <s v="El producto KIRMA - Café Instantaneo - Instant Coffee Se repite 4 veces en Peru Chef Una vez con el precio 125"/>
  </r>
  <r>
    <x v="6"/>
    <x v="3"/>
    <s v="Bill"/>
    <s v=""/>
    <x v="113"/>
    <s v="- BEBIDAS -  KOLA INGLESA -  VIDRIO-  VIDRIO / 24"/>
    <n v="50"/>
    <n v="16"/>
    <n v="800"/>
    <n v="30976.76"/>
    <n v="2"/>
    <s v="Se repite 2 veces"/>
    <s v="Continental Food and Beverage, inc-Kola Inglesa 12oz x 24"/>
    <n v="2"/>
    <s v="Se repite 2 veces en Continental Food and Beverage, inc"/>
    <s v="Continental Food and Beverage, inc-Kola Inglesa 12oz x 24-16"/>
    <n v="2"/>
    <s v="Se repite 2 veces el precio de 16"/>
    <s v="El producto Kola Inglesa 12oz x 24 Se repite 2 veces en Continental Food and Beverage, inc, Se repite 2 veces el precio de 16"/>
  </r>
  <r>
    <x v="6"/>
    <x v="36"/>
    <s v="Bill"/>
    <s v="71340"/>
    <x v="113"/>
    <s v="- BEBIDAS -  KOLA INGLESA -  VIDRIO-  VIDRIO / 24"/>
    <n v="50"/>
    <n v="16"/>
    <n v="800"/>
    <n v="52957.01999999999"/>
    <n v="2"/>
    <s v="Se repite 2 veces"/>
    <s v="Continental Food and Beverage, inc-Kola Inglesa 12oz x 24"/>
    <n v="2"/>
    <s v="Se repite 2 veces en Continental Food and Beverage, inc"/>
    <s v="Continental Food and Beverage, inc-Kola Inglesa 12oz x 24-16"/>
    <n v="2"/>
    <s v="Se repite 2 veces el precio de 16"/>
    <s v="El producto Kola Inglesa 12oz x 24 Se repite 2 veces en Continental Food and Beverage, inc, Se repite 2 veces el precio de 16"/>
  </r>
  <r>
    <x v="7"/>
    <x v="41"/>
    <s v="Bill"/>
    <s v="32400"/>
    <x v="114"/>
    <s v="Lam's Chifles dulce en tiras 2.1oz x 24"/>
    <n v="12"/>
    <n v="30"/>
    <n v="360"/>
    <n v="1800"/>
    <n v="1"/>
    <s v="No se repite"/>
    <s v="Lam's Foods Inc.-Lam's Chifles dulce en tiras 2.1oz x 24"/>
    <n v="1"/>
    <s v="No se repite en proveedor"/>
    <s v="Lam's Foods Inc.-Lam's Chifles dulce en tiras 2.1oz x 24-30"/>
    <n v="1"/>
    <s v="No se repite"/>
    <s v="El producto Lam's Chifles dulce en tiras 2.1oz x 24 No se repite en proveedor Una vez con el precio 30"/>
  </r>
  <r>
    <x v="7"/>
    <x v="41"/>
    <s v="Bill"/>
    <s v="32400"/>
    <x v="115"/>
    <s v="Lam's Chifles salado en tiras 2.5oz x 24"/>
    <n v="48"/>
    <n v="30"/>
    <n v="1440"/>
    <n v="1440"/>
    <n v="1"/>
    <s v="No se repite"/>
    <s v="Lam's Foods Inc.-Lam's Chifles salado en tiras 2.5oz x 24"/>
    <n v="1"/>
    <s v="No se repite en proveedor"/>
    <s v="Lam's Foods Inc.-Lam's Chifles salado en tiras 2.5oz x 24-30"/>
    <n v="1"/>
    <s v="No se repite"/>
    <s v="El producto Lam's Chifles salado en tiras 2.5oz x 24 No se repite en proveedor Una vez con el precio 30"/>
  </r>
  <r>
    <x v="7"/>
    <x v="41"/>
    <s v="Bill"/>
    <s v="32400"/>
    <x v="116"/>
    <s v="Lam's Patacones / Tostones Dulce 4oz x 24"/>
    <n v="4"/>
    <n v="36"/>
    <n v="144"/>
    <n v="2232"/>
    <n v="1"/>
    <s v="No se repite"/>
    <s v="Lam's Foods Inc.-Lam's Patacones / Tostones Dulce 4oz x 24"/>
    <n v="1"/>
    <s v="No se repite en proveedor"/>
    <s v="Lam's Foods Inc.-Lam's Patacones / Tostones Dulce 4oz x 24-36"/>
    <n v="1"/>
    <s v="No se repite"/>
    <s v="El producto Lam's Patacones / Tostones Dulce 4oz x 24 No se repite en proveedor Una vez con el precio 36"/>
  </r>
  <r>
    <x v="7"/>
    <x v="41"/>
    <s v="Bill"/>
    <s v="32400"/>
    <x v="117"/>
    <s v="Lam's Patacones / Tostones picante 4oz x 24"/>
    <n v="4"/>
    <n v="36"/>
    <n v="144"/>
    <n v="1944"/>
    <n v="1"/>
    <s v="No se repite"/>
    <s v="Lam's Foods Inc.-Lam's Patacones / Tostones picante 4oz x 24"/>
    <n v="1"/>
    <s v="No se repite en proveedor"/>
    <s v="Lam's Foods Inc.-Lam's Patacones / Tostones picante 4oz x 24-36"/>
    <n v="1"/>
    <s v="No se repite"/>
    <s v="El producto Lam's Patacones / Tostones picante 4oz x 24 No se repite en proveedor Una vez con el precio 36"/>
  </r>
  <r>
    <x v="7"/>
    <x v="41"/>
    <s v="Bill"/>
    <s v="32400"/>
    <x v="118"/>
    <s v="Lam's Patacones / Tostones Regular 4oz x 24"/>
    <n v="4"/>
    <n v="36"/>
    <n v="144"/>
    <n v="2088"/>
    <n v="1"/>
    <s v="No se repite"/>
    <s v="Lam's Foods Inc.-Lam's Patacones / Tostones Regular 4oz x 24"/>
    <n v="1"/>
    <s v="No se repite en proveedor"/>
    <s v="Lam's Foods Inc.-Lam's Patacones / Tostones Regular 4oz x 24-36"/>
    <n v="1"/>
    <s v="No se repite"/>
    <s v="El producto Lam's Patacones / Tostones Regular 4oz x 24 No se repite en proveedor Una vez con el precio 36"/>
  </r>
  <r>
    <x v="2"/>
    <x v="3"/>
    <s v="Bill"/>
    <s v="64308"/>
    <x v="119"/>
    <s v="Leche condensada BONLE lata 14oz x 24 / 7751271029803 / BO-03"/>
    <n v="2"/>
    <n v="25.5"/>
    <n v="51"/>
    <n v="3092.3"/>
    <n v="1"/>
    <s v="No se repite"/>
    <s v="Belmont International Trading Corp-Leche condensada BONLE lata 14oz x 24"/>
    <n v="1"/>
    <s v="No se repite en proveedor"/>
    <s v="Belmont International Trading Corp-Leche condensada BONLE lata 14oz x 24-25.5"/>
    <n v="1"/>
    <s v="No se repite"/>
    <s v="El producto Leche condensada BONLE lata 14oz x 24 No se repite en proveedor Una vez con el precio 25.5"/>
  </r>
  <r>
    <x v="2"/>
    <x v="3"/>
    <s v="Bill"/>
    <s v="64308"/>
    <x v="120"/>
    <s v="Leche evaporada BONLE  lata 12oz x 24 / 7751271011181 / BO-02"/>
    <n v="5"/>
    <n v="25.5"/>
    <n v="127.5"/>
    <n v="3041.3"/>
    <n v="1"/>
    <s v="No se repite"/>
    <s v="Belmont International Trading Corp-Leche evaporada BONLE 12oz x 24"/>
    <n v="1"/>
    <s v="No se repite en proveedor"/>
    <s v="Belmont International Trading Corp-Leche evaporada BONLE 12oz x 24-25.5"/>
    <n v="1"/>
    <s v="No se repite"/>
    <s v="El producto Leche evaporada BONLE 12oz x 24 No se repite en proveedor Una vez con el precio 25.5"/>
  </r>
  <r>
    <x v="2"/>
    <x v="3"/>
    <s v="Bill"/>
    <s v="64308"/>
    <x v="121"/>
    <s v="BELMONT - Leche evaporada Gloria 13oz Lata x 24 / 7751271005616 / GL-21"/>
    <n v="9"/>
    <n v="29.9"/>
    <n v="269.10000000000002"/>
    <n v="4559.8"/>
    <n v="4"/>
    <s v="Se repite 4 veces"/>
    <s v="Belmont International Trading Corp-Leche evaporada Gloria 13oz Lata x 24"/>
    <n v="4"/>
    <s v="Se repite 4 veces en Belmont International Trading Corp"/>
    <s v="Belmont International Trading Corp-Leche evaporada Gloria 13oz Lata x 24-29.9"/>
    <n v="3"/>
    <s v="Se repite 3 veces el precio de 29.9"/>
    <s v="El producto Leche evaporada Gloria 13oz Lata x 24 Se repite 4 veces en Belmont International Trading Corp, Se repite 3 veces el precio de 29.9"/>
  </r>
  <r>
    <x v="2"/>
    <x v="19"/>
    <s v="Bill"/>
    <s v="65207"/>
    <x v="121"/>
    <s v="BELMONT - Leche evaporada Gloria 13oz Lata x 24 / 7751271005616 / GL-21"/>
    <n v="10"/>
    <n v="29.9"/>
    <n v="299"/>
    <n v="11260.74"/>
    <n v="4"/>
    <s v="Se repite 4 veces"/>
    <s v="Belmont International Trading Corp-Leche evaporada Gloria 13oz Lata x 24"/>
    <n v="4"/>
    <s v="Se repite 4 veces en Belmont International Trading Corp"/>
    <s v="Belmont International Trading Corp-Leche evaporada Gloria 13oz Lata x 24-29.9"/>
    <n v="3"/>
    <s v="Se repite 3 veces el precio de 29.9"/>
    <s v="El producto Leche evaporada Gloria 13oz Lata x 24 Se repite 4 veces en Belmont International Trading Corp, Se repite 3 veces el precio de 29.9"/>
  </r>
  <r>
    <x v="2"/>
    <x v="21"/>
    <s v="Bill"/>
    <s v="68755"/>
    <x v="121"/>
    <s v="BELMONT - Leche evaporada Gloria 13oz Lata x 24 / 7751271005616 / GL-21"/>
    <n v="48"/>
    <n v="29.9"/>
    <n v="1435.2"/>
    <n v="16559.84"/>
    <n v="4"/>
    <s v="Se repite 4 veces"/>
    <s v="Belmont International Trading Corp-Leche evaporada Gloria 13oz Lata x 24"/>
    <n v="4"/>
    <s v="Se repite 4 veces en Belmont International Trading Corp"/>
    <s v="Belmont International Trading Corp-Leche evaporada Gloria 13oz Lata x 24-29.9"/>
    <n v="3"/>
    <s v="Se repite 3 veces el precio de 29.9"/>
    <s v="El producto Leche evaporada Gloria 13oz Lata x 24 Se repite 4 veces en Belmont International Trading Corp, Se repite 3 veces el precio de 29.9"/>
  </r>
  <r>
    <x v="2"/>
    <x v="22"/>
    <s v="Bill"/>
    <s v="75131"/>
    <x v="121"/>
    <s v="BELMONT - Leche evaporada Gloria 13oz Lata x 24 / 7751271005616 / GL-21"/>
    <n v="104"/>
    <n v="25.9"/>
    <n v="2693.6"/>
    <n v="24326.839999999997"/>
    <n v="4"/>
    <s v="Se repite 4 veces"/>
    <s v="Belmont International Trading Corp-Leche evaporada Gloria 13oz Lata x 24"/>
    <n v="4"/>
    <s v="Se repite 4 veces en Belmont International Trading Corp"/>
    <s v="Belmont International Trading Corp-Leche evaporada Gloria 13oz Lata x 24-25.9"/>
    <n v="1"/>
    <s v="No se repite"/>
    <s v="El producto Leche evaporada Gloria 13oz Lata x 24 Se repite 4 veces en Belmont International Trading Corp Una vez con el precio 25.9"/>
  </r>
  <r>
    <x v="4"/>
    <x v="26"/>
    <s v="Bill"/>
    <s v=""/>
    <x v="122"/>
    <s v="dulce de leche"/>
    <n v="1"/>
    <n v="75"/>
    <n v="75"/>
    <n v="75"/>
    <n v="1"/>
    <s v="No se repite"/>
    <s v="La Sorpresa Store-Los Nietitos - Dulce de Leche"/>
    <n v="1"/>
    <s v="No se repite en proveedor"/>
    <s v="La Sorpresa Store-Los Nietitos - Dulce de Leche-75"/>
    <n v="1"/>
    <s v="No se repite"/>
    <s v="El producto Los Nietitos - Dulce de Leche No se repite en proveedor Una vez con el precio 75"/>
  </r>
  <r>
    <x v="3"/>
    <x v="31"/>
    <s v="Bill"/>
    <s v="477393"/>
    <x v="123"/>
    <s v="Maiz Atomico con Maca"/>
    <n v="2"/>
    <n v="20"/>
    <n v="40"/>
    <n v="24516.82"/>
    <n v="3"/>
    <s v="Se repite 3 veces"/>
    <s v="Tradiciones Andinas-Maiz Atomico con Maca 125gr x 20 bolsas"/>
    <n v="3"/>
    <s v="Se repite 3 veces en Tradiciones Andinas"/>
    <s v="Tradiciones Andinas-Maiz Atomico con Maca 125gr x 20 bolsas-20"/>
    <n v="1"/>
    <s v="No se repite"/>
    <s v="El producto Maiz Atomico con Maca 125gr x 20 bolsas Se repite 3 veces en Tradiciones Andinas Una vez con el precio 20"/>
  </r>
  <r>
    <x v="3"/>
    <x v="6"/>
    <s v="Bill"/>
    <s v="487860"/>
    <x v="123"/>
    <s v="TA- PERU -  GOLOSINAS - DULCES  -  Maiz Atomico con Maca-  20 / 4.41z (125g) - CH137"/>
    <n v="3"/>
    <n v="21.4"/>
    <n v="64.2"/>
    <n v="84621.729999999967"/>
    <n v="3"/>
    <s v="Se repite 3 veces"/>
    <s v="Tradiciones Andinas-Maiz Atomico con Maca 125gr x 20 bolsas"/>
    <n v="3"/>
    <s v="Se repite 3 veces en Tradiciones Andinas"/>
    <s v="Tradiciones Andinas-Maiz Atomico con Maca 125gr x 20 bolsas-21.4"/>
    <n v="2"/>
    <s v="Se repite 2 veces el precio de 21.4"/>
    <s v="El producto Maiz Atomico con Maca 125gr x 20 bolsas Se repite 3 veces en Tradiciones Andinas, Se repite 2 veces el precio de 21.4"/>
  </r>
  <r>
    <x v="3"/>
    <x v="14"/>
    <s v="Bill"/>
    <s v="493132"/>
    <x v="123"/>
    <s v="TA- PERU -  GOLOSINAS - DULCES  -  Maiz Atomico con Maca-  20 / 4.41z (125g) - CH137"/>
    <n v="2"/>
    <n v="21.4"/>
    <n v="42.8"/>
    <n v="118304.91999999991"/>
    <n v="3"/>
    <s v="Se repite 3 veces"/>
    <s v="Tradiciones Andinas-Maiz Atomico con Maca 125gr x 20 bolsas"/>
    <n v="3"/>
    <s v="Se repite 3 veces en Tradiciones Andinas"/>
    <s v="Tradiciones Andinas-Maiz Atomico con Maca 125gr x 20 bolsas-21.4"/>
    <n v="2"/>
    <s v="Se repite 2 veces el precio de 21.4"/>
    <s v="El producto Maiz Atomico con Maca 125gr x 20 bolsas Se repite 3 veces en Tradiciones Andinas, Se repite 2 veces el precio de 21.4"/>
  </r>
  <r>
    <x v="3"/>
    <x v="9"/>
    <s v="Bill"/>
    <s v=""/>
    <x v="124"/>
    <s v="Maiz Atomico Imperial con Miel"/>
    <n v="5"/>
    <n v="20"/>
    <n v="100"/>
    <n v="6605.6399999999994"/>
    <n v="2"/>
    <s v="Se repite 2 veces"/>
    <s v="Tradiciones Andinas-Maiz Atomico Imperial con Miel 125gr x 20 bolsas"/>
    <n v="2"/>
    <s v="Se repite 2 veces en Tradiciones Andinas"/>
    <s v="Tradiciones Andinas-Maiz Atomico Imperial con Miel 125gr x 20 bolsas-20"/>
    <n v="1"/>
    <s v="No se repite"/>
    <s v="El producto Maiz Atomico Imperial con Miel 125gr x 20 bolsas Se repite 2 veces en Tradiciones Andinas Una vez con el precio 20"/>
  </r>
  <r>
    <x v="3"/>
    <x v="27"/>
    <s v="Bill"/>
    <s v="491180"/>
    <x v="124"/>
    <s v="TA- PERU -  GOLOSINAS - DULCES  -  Maiz Atomico Imperial con Miel-  20 / 4.41z (125g) - CH133"/>
    <n v="5"/>
    <n v="21.4"/>
    <n v="107"/>
    <n v="102815.86999999992"/>
    <n v="2"/>
    <s v="Se repite 2 veces"/>
    <s v="Tradiciones Andinas-Maiz Atomico Imperial con Miel 125gr x 20 bolsas"/>
    <n v="2"/>
    <s v="Se repite 2 veces en Tradiciones Andinas"/>
    <s v="Tradiciones Andinas-Maiz Atomico Imperial con Miel 125gr x 20 bolsas-21.4"/>
    <n v="1"/>
    <s v="No se repite"/>
    <s v="El producto Maiz Atomico Imperial con Miel 125gr x 20 bolsas Se repite 2 veces en Tradiciones Andinas Una vez con el precio 21.4"/>
  </r>
  <r>
    <x v="2"/>
    <x v="3"/>
    <s v="Bill"/>
    <s v="64308"/>
    <x v="125"/>
    <s v="Mani Confitado Belmont x 25 / 859174003825"/>
    <n v="1"/>
    <n v="29.9"/>
    <n v="29.9"/>
    <n v="3598.7000000000003"/>
    <n v="1"/>
    <s v="No se repite"/>
    <s v="Belmont International Trading Corp-Mani Confitado Belmont x 25"/>
    <n v="1"/>
    <s v="No se repite en proveedor"/>
    <s v="Belmont International Trading Corp-Mani Confitado Belmont x 25-29.9"/>
    <n v="1"/>
    <s v="No se repite"/>
    <s v="El producto Mani Confitado Belmont x 25 No se repite en proveedor Una vez con el precio 29.9"/>
  </r>
  <r>
    <x v="2"/>
    <x v="3"/>
    <s v="Bill"/>
    <s v="64308"/>
    <x v="126"/>
    <s v="Mayonesa a la Cena 17.06oz (400gr) x 12 / 7750243053013/ AL-01"/>
    <n v="20"/>
    <n v="39.5"/>
    <n v="790"/>
    <n v="2044.8"/>
    <n v="5"/>
    <s v="Se repite 5 veces"/>
    <s v="Belmont International Trading Corp-Mayonesa a la Cena 17.06oz (400gr) x 12"/>
    <n v="3"/>
    <s v="Se repite 3 veces en Belmont International Trading Corp"/>
    <s v="Belmont International Trading Corp-Mayonesa a la Cena 17.06oz (400gr) x 12-39.5"/>
    <n v="1"/>
    <s v="No se repite"/>
    <s v="El producto Mayonesa a la Cena 17.06oz (400gr) x 12 Se repite 3 veces en Belmont International Trading Corp Una vez con el precio 39.5"/>
  </r>
  <r>
    <x v="2"/>
    <x v="19"/>
    <s v="Bill"/>
    <s v="65207"/>
    <x v="126"/>
    <s v="Mayonesa a la Cena 17.06oz (400gr) x 12 / 7750243053013/ AL-01"/>
    <n v="10"/>
    <n v="43.5"/>
    <n v="435"/>
    <n v="7408.74"/>
    <n v="5"/>
    <s v="Se repite 5 veces"/>
    <s v="Belmont International Trading Corp-Mayonesa a la Cena 17.06oz (400gr) x 12"/>
    <n v="3"/>
    <s v="Se repite 3 veces en Belmont International Trading Corp"/>
    <s v="Belmont International Trading Corp-Mayonesa a la Cena 17.06oz (400gr) x 12-43.5"/>
    <n v="2"/>
    <s v="Se repite 2 veces el precio de 43.5"/>
    <s v="El producto Mayonesa a la Cena 17.06oz (400gr) x 12 Se repite 3 veces en Belmont International Trading Corp, Se repite 2 veces el precio de 43.5"/>
  </r>
  <r>
    <x v="2"/>
    <x v="4"/>
    <s v="Bill"/>
    <s v="66496"/>
    <x v="126"/>
    <s v="Mayonesa a la Cena 17.06oz (400gr) x 12 / 7750243053013/ AL-01"/>
    <n v="8"/>
    <n v="43.5"/>
    <n v="348"/>
    <n v="13273.74"/>
    <n v="5"/>
    <s v="Se repite 5 veces"/>
    <s v="Belmont International Trading Corp-Mayonesa a la Cena 17.06oz (400gr) x 12"/>
    <n v="3"/>
    <s v="Se repite 3 veces en Belmont International Trading Corp"/>
    <s v="Belmont International Trading Corp-Mayonesa a la Cena 17.06oz (400gr) x 12-43.5"/>
    <n v="2"/>
    <s v="Se repite 2 veces el precio de 43.5"/>
    <s v="El producto Mayonesa a la Cena 17.06oz (400gr) x 12 Se repite 3 veces en Belmont International Trading Corp, Se repite 2 veces el precio de 43.5"/>
  </r>
  <r>
    <x v="1"/>
    <x v="2"/>
    <s v="Bill"/>
    <s v="2025001691"/>
    <x v="126"/>
    <s v="Mayonesa a la Cena 17.06oz (400gr) x 12 / 7750243053013/ AL-01"/>
    <n v="12"/>
    <n v="35"/>
    <n v="420"/>
    <n v="25864"/>
    <n v="5"/>
    <s v="Se repite 5 veces"/>
    <s v="Peru Chef-Mayonesa a la Cena 17.06oz (400gr) x 12"/>
    <n v="2"/>
    <s v="Se repite 2 veces en Peru Chef"/>
    <s v="Peru Chef-Mayonesa a la Cena 17.06oz (400gr) x 12-35"/>
    <n v="2"/>
    <s v="Se repite 2 veces el precio de 35"/>
    <s v="El producto Mayonesa a la Cena 17.06oz (400gr) x 12 Se repite 2 veces en Peru Chef, Se repite 2 veces el precio de 35"/>
  </r>
  <r>
    <x v="1"/>
    <x v="16"/>
    <s v="Bill"/>
    <s v=""/>
    <x v="126"/>
    <s v="Mayonesa a la Cena 17.06oz (400gr) x 12 / 7750243053013/ AL-01"/>
    <n v="20"/>
    <n v="35"/>
    <n v="700"/>
    <n v="33813.199999999997"/>
    <n v="5"/>
    <s v="Se repite 5 veces"/>
    <s v="Peru Chef-Mayonesa a la Cena 17.06oz (400gr) x 12"/>
    <n v="2"/>
    <s v="Se repite 2 veces en Peru Chef"/>
    <s v="Peru Chef-Mayonesa a la Cena 17.06oz (400gr) x 12-35"/>
    <n v="2"/>
    <s v="Se repite 2 veces el precio de 35"/>
    <s v="El producto Mayonesa a la Cena 17.06oz (400gr) x 12 Se repite 2 veces en Peru Chef, Se repite 2 veces el precio de 35"/>
  </r>
  <r>
    <x v="3"/>
    <x v="6"/>
    <s v="Bill"/>
    <s v="487860"/>
    <x v="127"/>
    <s v="TA - VALLES ANDINOS-  -  BOLSA -  Morocho Partido / Granulated White Corn -  24 / 14oz - VA136"/>
    <n v="3"/>
    <n v="23.76"/>
    <n v="71.28"/>
    <n v="86308.819999999934"/>
    <n v="2"/>
    <s v="Se repite 2 veces"/>
    <s v="Tradiciones Andinas-Morocho Partido / Granulated White Corn"/>
    <n v="2"/>
    <s v="Se repite 2 veces en Tradiciones Andinas"/>
    <s v="Tradiciones Andinas-Morocho Partido / Granulated White Corn-23.76"/>
    <n v="2"/>
    <s v="Se repite 2 veces el precio de 23.76"/>
    <s v="El producto Morocho Partido / Granulated White Corn Se repite 2 veces en Tradiciones Andinas, Se repite 2 veces el precio de 23.76"/>
  </r>
  <r>
    <x v="3"/>
    <x v="27"/>
    <s v="Bill"/>
    <s v="491180"/>
    <x v="127"/>
    <s v="TA - VALLES ANDINOS-  -  BOLSA -  Morocho Partido / Granulated White Corn -  24 / 14oz - VA136"/>
    <n v="1"/>
    <n v="23.76"/>
    <n v="23.76"/>
    <n v="104604.55999999992"/>
    <n v="2"/>
    <s v="Se repite 2 veces"/>
    <s v="Tradiciones Andinas-Morocho Partido / Granulated White Corn"/>
    <n v="2"/>
    <s v="Se repite 2 veces en Tradiciones Andinas"/>
    <s v="Tradiciones Andinas-Morocho Partido / Granulated White Corn-23.76"/>
    <n v="2"/>
    <s v="Se repite 2 veces el precio de 23.76"/>
    <s v="El producto Morocho Partido / Granulated White Corn Se repite 2 veces en Tradiciones Andinas, Se repite 2 veces el precio de 23.76"/>
  </r>
  <r>
    <x v="3"/>
    <x v="6"/>
    <s v="Bill"/>
    <s v="487860"/>
    <x v="128"/>
    <s v="TA- COLOMBIA -  GROCERY  PRODUCTS -  Panela Redonda-  24 / 16oz - C00214"/>
    <n v="3"/>
    <n v="28"/>
    <n v="84"/>
    <n v="85368.129999999961"/>
    <n v="1"/>
    <s v="No se repite"/>
    <s v="Tradiciones Andinas-Panela Redonda"/>
    <n v="1"/>
    <s v="No se repite en proveedor"/>
    <s v="Tradiciones Andinas-Panela Redonda-28"/>
    <n v="1"/>
    <s v="No se repite"/>
    <s v="El producto Panela Redonda No se repite en proveedor Una vez con el precio 28"/>
  </r>
  <r>
    <x v="8"/>
    <x v="42"/>
    <s v="Bill"/>
    <s v="824277"/>
    <x v="129"/>
    <s v="Paneton Donofrio 6/31.04 oz"/>
    <n v="15"/>
    <n v="65.94"/>
    <n v="989.1"/>
    <n v="989.1"/>
    <n v="3"/>
    <s v="Se repite 3 veces"/>
    <s v="Fiesta Mart #60-Paneton Donofrio 6/31.04 oz"/>
    <n v="2"/>
    <s v="Se repite 2 veces en Fiesta Mart #60"/>
    <s v="Fiesta Mart #60-Paneton Donofrio 6/31.04 oz-65.94"/>
    <n v="1"/>
    <s v="No se repite"/>
    <s v="El producto Paneton Donofrio 6/31.04 oz Se repite 2 veces en Fiesta Mart #60 Una vez con el precio 65.94"/>
  </r>
  <r>
    <x v="8"/>
    <x v="43"/>
    <s v="Bill"/>
    <s v=""/>
    <x v="129"/>
    <s v="Paneton Donofrio 6/31.04 oz"/>
    <n v="12"/>
    <n v="47.94"/>
    <n v="575.28"/>
    <n v="1564.38"/>
    <n v="3"/>
    <s v="Se repite 3 veces"/>
    <s v="Fiesta Mart #60-Paneton Donofrio 6/31.04 oz"/>
    <n v="2"/>
    <s v="Se repite 2 veces en Fiesta Mart #60"/>
    <s v="Fiesta Mart #60-Paneton Donofrio 6/31.04 oz-47.94"/>
    <n v="1"/>
    <s v="No se repite"/>
    <s v="El producto Paneton Donofrio 6/31.04 oz Se repite 2 veces en Fiesta Mart #60 Una vez con el precio 47.94"/>
  </r>
  <r>
    <x v="9"/>
    <x v="44"/>
    <s v="Bill"/>
    <s v="407638"/>
    <x v="129"/>
    <s v="Paneton Donofrio 6/31.04 oz"/>
    <n v="40"/>
    <n v="50.153500000000001"/>
    <n v="2006.14"/>
    <n v="2006.14"/>
    <n v="3"/>
    <s v="Se repite 3 veces"/>
    <s v="GUIXENS FOOD GROUP, INC.-Paneton Donofrio 6/31.04 oz"/>
    <n v="1"/>
    <s v="No se repite en proveedor"/>
    <s v="GUIXENS FOOD GROUP, INC.-Paneton Donofrio 6/31.04 oz-50.1535"/>
    <n v="1"/>
    <s v="No se repite"/>
    <s v="El producto Paneton Donofrio 6/31.04 oz No se repite en proveedor Una vez con el precio 50.1535"/>
  </r>
  <r>
    <x v="6"/>
    <x v="38"/>
    <s v="Bill"/>
    <s v="0071667"/>
    <x v="130"/>
    <s v="CF&amp;B Paneton TODINNO 900gr x 6"/>
    <n v="100"/>
    <n v="38"/>
    <n v="3800"/>
    <n v="53512.179999999993"/>
    <n v="2"/>
    <s v="Se repite 2 veces"/>
    <s v="Continental Food and Beverage, inc-Paneton TODINNO 900gr x 6"/>
    <n v="2"/>
    <s v="Se repite 2 veces en Continental Food and Beverage, inc"/>
    <s v="Continental Food and Beverage, inc-Paneton TODINNO 900gr x 6-38"/>
    <n v="2"/>
    <s v="Se repite 2 veces el precio de 38"/>
    <s v="El producto Paneton TODINNO 900gr x 6 Se repite 2 veces en Continental Food and Beverage, inc, Se repite 2 veces el precio de 38"/>
  </r>
  <r>
    <x v="6"/>
    <x v="39"/>
    <s v="Bill"/>
    <s v="0071969"/>
    <x v="130"/>
    <s v="CF&amp;B Paneton TODINNO 900gr x 6"/>
    <n v="50"/>
    <n v="38"/>
    <n v="1900"/>
    <n v="57510.499999999993"/>
    <n v="2"/>
    <s v="Se repite 2 veces"/>
    <s v="Continental Food and Beverage, inc-Paneton TODINNO 900gr x 6"/>
    <n v="2"/>
    <s v="Se repite 2 veces en Continental Food and Beverage, inc"/>
    <s v="Continental Food and Beverage, inc-Paneton TODINNO 900gr x 6-38"/>
    <n v="2"/>
    <s v="Se repite 2 veces el precio de 38"/>
    <s v="El producto Paneton TODINNO 900gr x 6 Se repite 2 veces en Continental Food and Beverage, inc, Se repite 2 veces el precio de 38"/>
  </r>
  <r>
    <x v="1"/>
    <x v="12"/>
    <s v="Bill"/>
    <s v="56352"/>
    <x v="131"/>
    <s v="Aceituna Verde Despepitada 11.83 Oz"/>
    <n v="3"/>
    <n v="27"/>
    <n v="81"/>
    <n v="14388.5"/>
    <n v="1"/>
    <s v="No se repite"/>
    <s v="Peru Chef-Peru Chef Aceituna Verde Despepitada 11.83 Oz"/>
    <n v="1"/>
    <s v="No se repite en proveedor"/>
    <s v="Peru Chef-Peru Chef Aceituna Verde Despepitada 11.83 Oz-27"/>
    <n v="1"/>
    <s v="No se repite"/>
    <s v="El producto Peru Chef Aceituna Verde Despepitada 11.83 Oz No se repite en proveedor Una vez con el precio 27"/>
  </r>
  <r>
    <x v="1"/>
    <x v="8"/>
    <s v="Bill"/>
    <s v=""/>
    <x v="132"/>
    <s v="Aceitunas Botija Sin Pepa 20 Oz X 12"/>
    <n v="1"/>
    <n v="42"/>
    <n v="42"/>
    <n v="1161.1999999999998"/>
    <n v="2"/>
    <s v="Se repite 2 veces"/>
    <s v="Peru Chef-Peru Chef Aceitunas Botija Sin Pepa 20 Oz X 12"/>
    <n v="2"/>
    <s v="Se repite 2 veces en Peru Chef"/>
    <s v="Peru Chef-Peru Chef Aceitunas Botija Sin Pepa 20 Oz X 12-42"/>
    <n v="2"/>
    <s v="Se repite 2 veces el precio de 42"/>
    <s v="El producto Peru Chef Aceitunas Botija Sin Pepa 20 Oz X 12 Se repite 2 veces en Peru Chef, Se repite 2 veces el precio de 42"/>
  </r>
  <r>
    <x v="1"/>
    <x v="9"/>
    <s v="Bill"/>
    <s v="55130"/>
    <x v="132"/>
    <s v="Aceitunas Botija Sin Pepa 20 Oz X 12"/>
    <n v="1"/>
    <n v="42"/>
    <n v="42"/>
    <n v="3312"/>
    <n v="2"/>
    <s v="Se repite 2 veces"/>
    <s v="Peru Chef-Peru Chef Aceitunas Botija Sin Pepa 20 Oz X 12"/>
    <n v="2"/>
    <s v="Se repite 2 veces en Peru Chef"/>
    <s v="Peru Chef-Peru Chef Aceitunas Botija Sin Pepa 20 Oz X 12-42"/>
    <n v="2"/>
    <s v="Se repite 2 veces el precio de 42"/>
    <s v="El producto Peru Chef Aceitunas Botija Sin Pepa 20 Oz X 12 Se repite 2 veces en Peru Chef, Se repite 2 veces el precio de 42"/>
  </r>
  <r>
    <x v="1"/>
    <x v="8"/>
    <s v="Bill"/>
    <s v=""/>
    <x v="133"/>
    <s v="Aceitunas Negras 20 Oz X 12"/>
    <n v="1"/>
    <n v="39"/>
    <n v="39"/>
    <n v="1119.1999999999998"/>
    <n v="2"/>
    <s v="Se repite 2 veces"/>
    <s v="Peru Chef-Peru Chef Aceitunas Negras 20 Oz X 12"/>
    <n v="2"/>
    <s v="Se repite 2 veces en Peru Chef"/>
    <s v="Peru Chef-Peru Chef Aceitunas Negras 20 Oz X 12-39"/>
    <n v="2"/>
    <s v="Se repite 2 veces el precio de 39"/>
    <s v="El producto Peru Chef Aceitunas Negras 20 Oz X 12 Se repite 2 veces en Peru Chef, Se repite 2 veces el precio de 39"/>
  </r>
  <r>
    <x v="1"/>
    <x v="9"/>
    <s v="Bill"/>
    <s v="55130"/>
    <x v="133"/>
    <s v="Aceitunas Negras 20 Oz X 12"/>
    <n v="1"/>
    <n v="39"/>
    <n v="39"/>
    <n v="3270"/>
    <n v="2"/>
    <s v="Se repite 2 veces"/>
    <s v="Peru Chef-Peru Chef Aceitunas Negras 20 Oz X 12"/>
    <n v="2"/>
    <s v="Se repite 2 veces en Peru Chef"/>
    <s v="Peru Chef-Peru Chef Aceitunas Negras 20 Oz X 12-39"/>
    <n v="2"/>
    <s v="Se repite 2 veces el precio de 39"/>
    <s v="El producto Peru Chef Aceitunas Negras 20 Oz X 12 Se repite 2 veces en Peru Chef, Se repite 2 veces el precio de 39"/>
  </r>
  <r>
    <x v="1"/>
    <x v="23"/>
    <s v="Bill"/>
    <s v="2025001209"/>
    <x v="134"/>
    <s v="Aderezo Papa Pollada 10.5 Oz X12"/>
    <n v="2"/>
    <n v="42"/>
    <n v="84"/>
    <n v="17945.5"/>
    <n v="1"/>
    <s v="No se repite"/>
    <s v="Peru Chef-Peru Chef Aderezo Papa Pollada 10.5 Oz X12"/>
    <n v="1"/>
    <s v="No se repite en proveedor"/>
    <s v="Peru Chef-Peru Chef Aderezo Papa Pollada 10.5 Oz X12-42"/>
    <n v="1"/>
    <s v="No se repite"/>
    <s v="El producto Peru Chef Aderezo Papa Pollada 10.5 Oz X12 No se repite en proveedor Una vez con el precio 42"/>
  </r>
  <r>
    <x v="1"/>
    <x v="24"/>
    <s v="Bill"/>
    <s v="55164"/>
    <x v="135"/>
    <s v="Aderezo Para Pachamanca 10 5 Oz X 12"/>
    <n v="1"/>
    <n v="36"/>
    <n v="36"/>
    <n v="4582.6000000000004"/>
    <n v="2"/>
    <s v="Se repite 2 veces"/>
    <s v="Peru Chef-Peru Chef Aderezo Para Pachamanca 10 5 Oz x 12 frascos"/>
    <n v="2"/>
    <s v="Se repite 2 veces en Peru Chef"/>
    <s v="Peru Chef-Peru Chef Aderezo Para Pachamanca 10 5 Oz x 12 frascos-36"/>
    <n v="1"/>
    <s v="No se repite"/>
    <s v="El producto Peru Chef Aderezo Para Pachamanca 10 5 Oz x 12 frascos Se repite 2 veces en Peru Chef Una vez con el precio 36"/>
  </r>
  <r>
    <x v="1"/>
    <x v="23"/>
    <s v="Bill"/>
    <s v="2025001209"/>
    <x v="135"/>
    <s v="Aderezo Para Pachamanca 10 5 Oz X 12"/>
    <n v="2"/>
    <n v="39"/>
    <n v="78"/>
    <n v="18023.5"/>
    <n v="2"/>
    <s v="Se repite 2 veces"/>
    <s v="Peru Chef-Peru Chef Aderezo Para Pachamanca 10 5 Oz x 12 frascos"/>
    <n v="2"/>
    <s v="Se repite 2 veces en Peru Chef"/>
    <s v="Peru Chef-Peru Chef Aderezo Para Pachamanca 10 5 Oz x 12 frascos-39"/>
    <n v="1"/>
    <s v="No se repite"/>
    <s v="El producto Peru Chef Aderezo Para Pachamanca 10 5 Oz x 12 frascos Se repite 2 veces en Peru Chef Una vez con el precio 39"/>
  </r>
  <r>
    <x v="1"/>
    <x v="23"/>
    <s v="Bill"/>
    <s v="2025001209"/>
    <x v="136"/>
    <s v="Aderezo Para Pavo 10.5 Oz X 12"/>
    <n v="2"/>
    <n v="46"/>
    <n v="92"/>
    <n v="18193.5"/>
    <n v="1"/>
    <s v="No se repite"/>
    <s v="Peru Chef-Peru Chef Aderezo Para Pavo 10.5 Oz X 12"/>
    <n v="1"/>
    <s v="No se repite en proveedor"/>
    <s v="Peru Chef-Peru Chef Aderezo Para Pavo 10.5 Oz X 12-46"/>
    <n v="1"/>
    <s v="No se repite"/>
    <s v="El producto Peru Chef Aderezo Para Pavo 10.5 Oz X 12 No se repite en proveedor Una vez con el precio 46"/>
  </r>
  <r>
    <x v="1"/>
    <x v="23"/>
    <s v="Bill"/>
    <s v="2025001209"/>
    <x v="137"/>
    <s v="Adobo De Cerdo 10.5 Oz X 12"/>
    <n v="2"/>
    <n v="39"/>
    <n v="78"/>
    <n v="18101.5"/>
    <n v="1"/>
    <s v="No se repite"/>
    <s v="Peru Chef-Peru Chef Adobo De Cerdo 10.5 Oz x 12 frascos"/>
    <n v="1"/>
    <s v="No se repite en proveedor"/>
    <s v="Peru Chef-Peru Chef Adobo De Cerdo 10.5 Oz x 12 frascos-39"/>
    <n v="1"/>
    <s v="No se repite"/>
    <s v="El producto Peru Chef Adobo De Cerdo 10.5 Oz x 12 frascos No se repite en proveedor Una vez con el precio 39"/>
  </r>
  <r>
    <x v="1"/>
    <x v="8"/>
    <s v="Bill"/>
    <s v=""/>
    <x v="138"/>
    <s v="Aji Amarillo 1 Lb X 18"/>
    <n v="1"/>
    <n v="46"/>
    <n v="46"/>
    <n v="1984.6999999999998"/>
    <n v="2"/>
    <s v="Se repite 2 veces"/>
    <s v="Peru Chef-Peru Chef Aji Amarillo 1 Lb X 18"/>
    <n v="2"/>
    <s v="Se repite 2 veces en Peru Chef"/>
    <s v="Peru Chef-Peru Chef Aji Amarillo 1 Lb X 18-46"/>
    <n v="2"/>
    <s v="Se repite 2 veces el precio de 46"/>
    <s v="El producto Peru Chef Aji Amarillo 1 Lb X 18 Se repite 2 veces en Peru Chef, Se repite 2 veces el precio de 46"/>
  </r>
  <r>
    <x v="1"/>
    <x v="9"/>
    <s v="Bill"/>
    <s v="55130"/>
    <x v="138"/>
    <s v="Aji Amarillo 1 Lb X 18"/>
    <n v="1"/>
    <n v="46"/>
    <n v="46"/>
    <n v="4010.5"/>
    <n v="2"/>
    <s v="Se repite 2 veces"/>
    <s v="Peru Chef-Peru Chef Aji Amarillo 1 Lb X 18"/>
    <n v="2"/>
    <s v="Se repite 2 veces en Peru Chef"/>
    <s v="Peru Chef-Peru Chef Aji Amarillo 1 Lb X 18-46"/>
    <n v="2"/>
    <s v="Se repite 2 veces el precio de 46"/>
    <s v="El producto Peru Chef Aji Amarillo 1 Lb X 18 Se repite 2 veces en Peru Chef, Se repite 2 veces el precio de 46"/>
  </r>
  <r>
    <x v="1"/>
    <x v="8"/>
    <s v="Bill"/>
    <s v=""/>
    <x v="139"/>
    <s v="Aji Limo 1 Lb X 15"/>
    <n v="1"/>
    <n v="39"/>
    <n v="39"/>
    <n v="2078.6999999999998"/>
    <n v="5"/>
    <s v="Se repite 5 veces"/>
    <s v="Peru Chef-Peru Chef Aji Limo 1 Lb X 15 FROZEN"/>
    <n v="5"/>
    <s v="Se repite 5 veces en Peru Chef"/>
    <s v="Peru Chef-Peru Chef Aji Limo 1 Lb X 15 FROZEN-39"/>
    <n v="2"/>
    <s v="Se repite 2 veces el precio de 39"/>
    <s v="El producto Peru Chef Aji Limo 1 Lb X 15 FROZEN Se repite 5 veces en Peru Chef, Se repite 2 veces el precio de 39"/>
  </r>
  <r>
    <x v="1"/>
    <x v="9"/>
    <s v="Bill"/>
    <s v="55130"/>
    <x v="139"/>
    <s v="Aji Limo 1 Lb X 15"/>
    <n v="1"/>
    <n v="39"/>
    <n v="39"/>
    <n v="4104.5"/>
    <n v="5"/>
    <s v="Se repite 5 veces"/>
    <s v="Peru Chef-Peru Chef Aji Limo 1 Lb X 15 FROZEN"/>
    <n v="5"/>
    <s v="Se repite 5 veces en Peru Chef"/>
    <s v="Peru Chef-Peru Chef Aji Limo 1 Lb X 15 FROZEN-39"/>
    <n v="2"/>
    <s v="Se repite 2 veces el precio de 39"/>
    <s v="El producto Peru Chef Aji Limo 1 Lb X 15 FROZEN Se repite 5 veces en Peru Chef, Se repite 2 veces el precio de 39"/>
  </r>
  <r>
    <x v="1"/>
    <x v="12"/>
    <s v="Bill"/>
    <s v="56352"/>
    <x v="139"/>
    <s v="Aji Limo 1 Lb X 15"/>
    <n v="4"/>
    <n v="43"/>
    <n v="172"/>
    <n v="11060.5"/>
    <n v="5"/>
    <s v="Se repite 5 veces"/>
    <s v="Peru Chef-Peru Chef Aji Limo 1 Lb X 15 FROZEN"/>
    <n v="5"/>
    <s v="Se repite 5 veces en Peru Chef"/>
    <s v="Peru Chef-Peru Chef Aji Limo 1 Lb X 15 FROZEN-43"/>
    <n v="3"/>
    <s v="Se repite 3 veces el precio de 43"/>
    <s v="El producto Peru Chef Aji Limo 1 Lb X 15 FROZEN Se repite 5 veces en Peru Chef, Se repite 3 veces el precio de 43"/>
  </r>
  <r>
    <x v="1"/>
    <x v="23"/>
    <s v="Bill"/>
    <s v="2025001209"/>
    <x v="139"/>
    <s v="PERU CHEF- VERDURAS -  FROZEN -  AJI LIMO 1 LB X 15-"/>
    <n v="10"/>
    <n v="43"/>
    <n v="430"/>
    <n v="16513.5"/>
    <n v="5"/>
    <s v="Se repite 5 veces"/>
    <s v="Peru Chef-Peru Chef Aji Limo 1 Lb X 15 FROZEN"/>
    <n v="5"/>
    <s v="Se repite 5 veces en Peru Chef"/>
    <s v="Peru Chef-Peru Chef Aji Limo 1 Lb X 15 FROZEN-43"/>
    <n v="3"/>
    <s v="Se repite 3 veces el precio de 43"/>
    <s v="El producto Peru Chef Aji Limo 1 Lb X 15 FROZEN Se repite 5 veces en Peru Chef, Se repite 3 veces el precio de 43"/>
  </r>
  <r>
    <x v="1"/>
    <x v="1"/>
    <s v="Bill"/>
    <s v="2025001378"/>
    <x v="139"/>
    <s v="PERU CHEF- VERDURAS -  FROZEN -  AJI LIMO 1 LB X 15-"/>
    <n v="20"/>
    <n v="43"/>
    <n v="860"/>
    <n v="20982"/>
    <n v="5"/>
    <s v="Se repite 5 veces"/>
    <s v="Peru Chef-Peru Chef Aji Limo 1 Lb X 15 FROZEN"/>
    <n v="5"/>
    <s v="Se repite 5 veces en Peru Chef"/>
    <s v="Peru Chef-Peru Chef Aji Limo 1 Lb X 15 FROZEN-43"/>
    <n v="3"/>
    <s v="Se repite 3 veces el precio de 43"/>
    <s v="El producto Peru Chef Aji Limo 1 Lb X 15 FROZEN Se repite 5 veces en Peru Chef, Se repite 3 veces el precio de 43"/>
  </r>
  <r>
    <x v="1"/>
    <x v="18"/>
    <s v="Bill"/>
    <s v="2025002373"/>
    <x v="140"/>
    <s v="Aji Mirasol 3 Oz X 12"/>
    <n v="1"/>
    <n v="12.6"/>
    <n v="12.6"/>
    <n v="41462.949999999997"/>
    <n v="1"/>
    <s v="No se repite"/>
    <s v="Peru Chef-Peru Chef Aji Mirasol 3 oz x 12"/>
    <n v="1"/>
    <s v="No se repite en proveedor"/>
    <s v="Peru Chef-Peru Chef Aji Mirasol 3 oz x 12-12.6"/>
    <n v="1"/>
    <s v="No se repite"/>
    <s v="El producto Peru Chef Aji Mirasol 3 oz x 12 No se repite en proveedor Una vez con el precio 12.6"/>
  </r>
  <r>
    <x v="1"/>
    <x v="8"/>
    <s v="Bill"/>
    <s v=""/>
    <x v="141"/>
    <s v="Aji Panca Molido 70 G X 12"/>
    <n v="1"/>
    <n v="26"/>
    <n v="26"/>
    <n v="775.3"/>
    <n v="3"/>
    <s v="Se repite 3 veces"/>
    <s v="Peru Chef-Peru Chef Aji Panca Molido 70 G X 12"/>
    <n v="3"/>
    <s v="Se repite 3 veces en Peru Chef"/>
    <s v="Peru Chef-Peru Chef Aji Panca Molido 70 G X 12-26"/>
    <n v="3"/>
    <s v="Se repite 3 veces el precio de 26"/>
    <s v="El producto Peru Chef Aji Panca Molido 70 G X 12 Se repite 3 veces en Peru Chef, Se repite 3 veces el precio de 26"/>
  </r>
  <r>
    <x v="1"/>
    <x v="9"/>
    <s v="Bill"/>
    <s v="55130"/>
    <x v="141"/>
    <s v="Aji Panca Molido 70 G X 12"/>
    <n v="1"/>
    <n v="26"/>
    <n v="26"/>
    <n v="3021.5"/>
    <n v="3"/>
    <s v="Se repite 3 veces"/>
    <s v="Peru Chef-Peru Chef Aji Panca Molido 70 G X 12"/>
    <n v="3"/>
    <s v="Se repite 3 veces en Peru Chef"/>
    <s v="Peru Chef-Peru Chef Aji Panca Molido 70 G X 12-26"/>
    <n v="3"/>
    <s v="Se repite 3 veces el precio de 26"/>
    <s v="El producto Peru Chef Aji Panca Molido 70 G X 12 Se repite 3 veces en Peru Chef, Se repite 3 veces el precio de 26"/>
  </r>
  <r>
    <x v="1"/>
    <x v="15"/>
    <s v="Bill"/>
    <s v="55372"/>
    <x v="141"/>
    <s v="PERU CHEF- CONDIMENTO EN POLVO -   -  AJI PANCA MOLIDO 70 G X 12"/>
    <n v="2"/>
    <n v="26"/>
    <n v="52"/>
    <n v="7948.2000000000007"/>
    <n v="3"/>
    <s v="Se repite 3 veces"/>
    <s v="Peru Chef-Peru Chef Aji Panca Molido 70 G X 12"/>
    <n v="3"/>
    <s v="Se repite 3 veces en Peru Chef"/>
    <s v="Peru Chef-Peru Chef Aji Panca Molido 70 G X 12-26"/>
    <n v="3"/>
    <s v="Se repite 3 veces el precio de 26"/>
    <s v="El producto Peru Chef Aji Panca Molido 70 G X 12 Se repite 3 veces en Peru Chef, Se repite 3 veces el precio de 26"/>
  </r>
  <r>
    <x v="1"/>
    <x v="12"/>
    <s v="Bill"/>
    <s v="56352"/>
    <x v="142"/>
    <s v="Aji Parrillero 11 Oz X 12"/>
    <n v="2"/>
    <n v="39"/>
    <n v="78"/>
    <n v="11625.5"/>
    <n v="2"/>
    <s v="Se repite 2 veces"/>
    <s v="Peru Chef-Peru Chef Aji Parrillero 11oz x 12"/>
    <n v="2"/>
    <s v="Se repite 2 veces en Peru Chef"/>
    <s v="Peru Chef-Peru Chef Aji Parrillero 11oz x 12-39"/>
    <n v="2"/>
    <s v="Se repite 2 veces el precio de 39"/>
    <s v="El producto Peru Chef Aji Parrillero 11oz x 12 Se repite 2 veces en Peru Chef, Se repite 2 veces el precio de 39"/>
  </r>
  <r>
    <x v="1"/>
    <x v="23"/>
    <s v="Bill"/>
    <s v="2025001209"/>
    <x v="142"/>
    <s v="PERU CHEF- SALSA / CREMAS -   -  AJI PARRILLERO 11 OZ X 12 / FCO VIDRIO"/>
    <n v="2"/>
    <n v="39"/>
    <n v="78"/>
    <n v="17741.5"/>
    <n v="2"/>
    <s v="Se repite 2 veces"/>
    <s v="Peru Chef-Peru Chef Aji Parrillero 11oz x 12"/>
    <n v="2"/>
    <s v="Se repite 2 veces en Peru Chef"/>
    <s v="Peru Chef-Peru Chef Aji Parrillero 11oz x 12-39"/>
    <n v="2"/>
    <s v="Se repite 2 veces el precio de 39"/>
    <s v="El producto Peru Chef Aji Parrillero 11oz x 12 Se repite 2 veces en Peru Chef, Se repite 2 veces el precio de 39"/>
  </r>
  <r>
    <x v="1"/>
    <x v="24"/>
    <s v="Bill"/>
    <s v="55164"/>
    <x v="143"/>
    <s v="Peruchef Algarrobina"/>
    <n v="1"/>
    <n v="72"/>
    <n v="72"/>
    <n v="4693.6000000000004"/>
    <n v="1"/>
    <s v="No se repite"/>
    <s v="Peru Chef-Peru Chef Algarrobina17oz x 12"/>
    <n v="1"/>
    <s v="No se repite en proveedor"/>
    <s v="Peru Chef-Peru Chef Algarrobina17oz x 12-72"/>
    <n v="1"/>
    <s v="No se repite"/>
    <s v="El producto Peru Chef Algarrobina17oz x 12 No se repite en proveedor Una vez con el precio 72"/>
  </r>
  <r>
    <x v="1"/>
    <x v="23"/>
    <s v="Bill"/>
    <s v="2025001209"/>
    <x v="144"/>
    <s v="Base Para Arroz C/ Mariscos 11 Oz X 12"/>
    <n v="2"/>
    <n v="39"/>
    <n v="78"/>
    <n v="17564.5"/>
    <n v="1"/>
    <s v="No se repite"/>
    <s v="Peru Chef-Peru Chef Base Para Arroz C/ Mariscos 11 Oz X 12"/>
    <n v="1"/>
    <s v="No se repite en proveedor"/>
    <s v="Peru Chef-Peru Chef Base Para Arroz C/ Mariscos 11 Oz X 12-39"/>
    <n v="1"/>
    <s v="No se repite"/>
    <s v="El producto Peru Chef Base Para Arroz C/ Mariscos 11 Oz X 12 No se repite en proveedor Una vez con el precio 39"/>
  </r>
  <r>
    <x v="1"/>
    <x v="8"/>
    <s v="Bill"/>
    <s v=""/>
    <x v="145"/>
    <s v="Cebada Tostada 15 Oz X 10"/>
    <n v="1"/>
    <n v="13"/>
    <n v="13"/>
    <n v="510.3"/>
    <n v="4"/>
    <s v="Se repite 4 veces"/>
    <s v="Peru Chef-Peru Chef Cebada Tostada 15oz x 10"/>
    <n v="4"/>
    <s v="Se repite 4 veces en Peru Chef"/>
    <s v="Peru Chef-Peru Chef Cebada Tostada 15oz x 10-13"/>
    <n v="2"/>
    <s v="Se repite 2 veces el precio de 13"/>
    <s v="El producto Peru Chef Cebada Tostada 15oz x 10 Se repite 4 veces en Peru Chef, Se repite 2 veces el precio de 13"/>
  </r>
  <r>
    <x v="1"/>
    <x v="9"/>
    <s v="Bill"/>
    <s v="55130"/>
    <x v="145"/>
    <s v="Cebada Tostada 15 Oz X 10"/>
    <n v="1"/>
    <n v="13"/>
    <n v="13"/>
    <n v="2756.5"/>
    <n v="4"/>
    <s v="Se repite 4 veces"/>
    <s v="Peru Chef-Peru Chef Cebada Tostada 15oz x 10"/>
    <n v="4"/>
    <s v="Se repite 4 veces en Peru Chef"/>
    <s v="Peru Chef-Peru Chef Cebada Tostada 15oz x 10-13"/>
    <n v="2"/>
    <s v="Se repite 2 veces el precio de 13"/>
    <s v="El producto Peru Chef Cebada Tostada 15oz x 10 Se repite 4 veces en Peru Chef, Se repite 2 veces el precio de 13"/>
  </r>
  <r>
    <x v="1"/>
    <x v="12"/>
    <s v="Bill"/>
    <s v="56352"/>
    <x v="145"/>
    <s v="PERU CHEF- GRANOS -  BOLSA -  CEBADA TOSTADA 15 OZ X 10"/>
    <n v="2"/>
    <n v="14"/>
    <n v="28"/>
    <n v="12277.5"/>
    <n v="4"/>
    <s v="Se repite 4 veces"/>
    <s v="Peru Chef-Peru Chef Cebada Tostada 15oz x 10"/>
    <n v="4"/>
    <s v="Se repite 4 veces en Peru Chef"/>
    <s v="Peru Chef-Peru Chef Cebada Tostada 15oz x 10-14"/>
    <n v="2"/>
    <s v="Se repite 2 veces el precio de 14"/>
    <s v="El producto Peru Chef Cebada Tostada 15oz x 10 Se repite 4 veces en Peru Chef, Se repite 2 veces el precio de 14"/>
  </r>
  <r>
    <x v="1"/>
    <x v="23"/>
    <s v="Bill"/>
    <s v="2025001209"/>
    <x v="145"/>
    <s v="PERU CHEF- GRANOS -  BOLSA -  CEBADA TOSTADA 15 OZ X 10"/>
    <n v="1"/>
    <n v="14"/>
    <n v="14"/>
    <n v="16783.5"/>
    <n v="4"/>
    <s v="Se repite 4 veces"/>
    <s v="Peru Chef-Peru Chef Cebada Tostada 15oz x 10"/>
    <n v="4"/>
    <s v="Se repite 4 veces en Peru Chef"/>
    <s v="Peru Chef-Peru Chef Cebada Tostada 15oz x 10-14"/>
    <n v="2"/>
    <s v="Se repite 2 veces el precio de 14"/>
    <s v="El producto Peru Chef Cebada Tostada 15oz x 10 Se repite 4 veces en Peru Chef, Se repite 2 veces el precio de 14"/>
  </r>
  <r>
    <x v="1"/>
    <x v="2"/>
    <s v="Bill"/>
    <s v="2025001691"/>
    <x v="146"/>
    <s v="PERU CHEF- FILTRANTES PERUCHEF - CEDRON X 20"/>
    <n v="2"/>
    <n v="21.5"/>
    <n v="43"/>
    <n v="27143"/>
    <n v="1"/>
    <s v="No se repite"/>
    <s v="Peru Chef-Peru Chef Cedron filtrante X 20"/>
    <n v="1"/>
    <s v="No se repite en proveedor"/>
    <s v="Peru Chef-Peru Chef Cedron filtrante X 20-21.5"/>
    <n v="1"/>
    <s v="No se repite"/>
    <s v="El producto Peru Chef Cedron filtrante X 20 No se repite en proveedor Una vez con el precio 21.5"/>
  </r>
  <r>
    <x v="1"/>
    <x v="17"/>
    <s v="Bill"/>
    <s v="57055"/>
    <x v="147"/>
    <s v="Chancapiedra 1.41 Oz X 12"/>
    <n v="2"/>
    <n v="23.4"/>
    <n v="46.8"/>
    <n v="35872.150000000016"/>
    <n v="1"/>
    <s v="No se repite"/>
    <s v="Peru Chef-Peru Chef Chancapiedra 1.41 Oz X 12"/>
    <n v="1"/>
    <s v="No se repite en proveedor"/>
    <s v="Peru Chef-Peru Chef Chancapiedra 1.41 Oz X 12-23.4"/>
    <n v="1"/>
    <s v="No se repite"/>
    <s v="El producto Peru Chef Chancapiedra 1.41 Oz X 12 No se repite en proveedor Una vez con el precio 23.4"/>
  </r>
  <r>
    <x v="1"/>
    <x v="8"/>
    <s v="Bill"/>
    <s v=""/>
    <x v="148"/>
    <s v="Peruchef Chicha De Jora 1 L X 12"/>
    <n v="1"/>
    <n v="39"/>
    <n v="39"/>
    <n v="1200.1999999999998"/>
    <n v="3"/>
    <s v="Se repite 3 veces"/>
    <s v="Peru Chef-Peru Chef Chicha De Jora 1 L X 12"/>
    <n v="3"/>
    <s v="Se repite 3 veces en Peru Chef"/>
    <s v="Peru Chef-Peru Chef Chicha De Jora 1 L X 12-39"/>
    <n v="3"/>
    <s v="Se repite 3 veces el precio de 39"/>
    <s v="El producto Peru Chef Chicha De Jora 1 L X 12 Se repite 3 veces en Peru Chef, Se repite 3 veces el precio de 39"/>
  </r>
  <r>
    <x v="1"/>
    <x v="9"/>
    <s v="Bill"/>
    <s v="55130"/>
    <x v="148"/>
    <s v="Peruchef Chicha De Jora 1 L X 12"/>
    <n v="1"/>
    <n v="39"/>
    <n v="39"/>
    <n v="3351"/>
    <n v="3"/>
    <s v="Se repite 3 veces"/>
    <s v="Peru Chef-Peru Chef Chicha De Jora 1 L X 12"/>
    <n v="3"/>
    <s v="Se repite 3 veces en Peru Chef"/>
    <s v="Peru Chef-Peru Chef Chicha De Jora 1 L X 12-39"/>
    <n v="3"/>
    <s v="Se repite 3 veces el precio de 39"/>
    <s v="El producto Peru Chef Chicha De Jora 1 L X 12 Se repite 3 veces en Peru Chef, Se repite 3 veces el precio de 39"/>
  </r>
  <r>
    <x v="1"/>
    <x v="24"/>
    <s v="Bill"/>
    <s v="55164"/>
    <x v="148"/>
    <s v="Peruchef Chicha De Jora 1 L X 12"/>
    <n v="1"/>
    <n v="39"/>
    <n v="39"/>
    <n v="4621.6000000000004"/>
    <n v="3"/>
    <s v="Se repite 3 veces"/>
    <s v="Peru Chef-Peru Chef Chicha De Jora 1 L X 12"/>
    <n v="3"/>
    <s v="Se repite 3 veces en Peru Chef"/>
    <s v="Peru Chef-Peru Chef Chicha De Jora 1 L X 12-39"/>
    <n v="3"/>
    <s v="Se repite 3 veces el precio de 39"/>
    <s v="El producto Peru Chef Chicha De Jora 1 L X 12 Se repite 3 veces en Peru Chef, Se repite 3 veces el precio de 39"/>
  </r>
  <r>
    <x v="1"/>
    <x v="8"/>
    <s v="Bill"/>
    <s v=""/>
    <x v="149"/>
    <s v="Peruchef Chicha Morada 120 G"/>
    <n v="1"/>
    <n v="12.5"/>
    <n v="12.5"/>
    <n v="1682.6999999999998"/>
    <n v="4"/>
    <s v="Se repite 4 veces"/>
    <s v="Peru Chef-Peru Chef Chicha Morada display 20gr x 12 sobres"/>
    <n v="4"/>
    <s v="Se repite 4 veces en Peru Chef"/>
    <s v="Peru Chef-Peru Chef Chicha Morada display 20gr x 12 sobres-12.5"/>
    <n v="4"/>
    <s v="Se repite 4 veces el precio de 12.5"/>
    <s v="El producto Peru Chef Chicha Morada display 20gr x 12 sobres Se repite 4 veces en Peru Chef, Se repite 4 veces el precio de 12.5"/>
  </r>
  <r>
    <x v="1"/>
    <x v="9"/>
    <s v="Bill"/>
    <s v="55130"/>
    <x v="149"/>
    <s v="Peruchef Chicha Morada 120 G"/>
    <n v="1"/>
    <n v="12.5"/>
    <n v="12.5"/>
    <n v="3708.5"/>
    <n v="4"/>
    <s v="Se repite 4 veces"/>
    <s v="Peru Chef-Peru Chef Chicha Morada display 20gr x 12 sobres"/>
    <n v="4"/>
    <s v="Se repite 4 veces en Peru Chef"/>
    <s v="Peru Chef-Peru Chef Chicha Morada display 20gr x 12 sobres-12.5"/>
    <n v="4"/>
    <s v="Se repite 4 veces el precio de 12.5"/>
    <s v="El producto Peru Chef Chicha Morada display 20gr x 12 sobres Se repite 4 veces en Peru Chef, Se repite 4 veces el precio de 12.5"/>
  </r>
  <r>
    <x v="1"/>
    <x v="24"/>
    <s v="Bill"/>
    <s v="55164"/>
    <x v="149"/>
    <s v="PERU CHEF- POSTRES -   -  PERUCHEF CHICHA MORADA 120 G-  DISPLAY X 12 / 1"/>
    <n v="1"/>
    <n v="12.5"/>
    <n v="12.5"/>
    <n v="4761.1000000000004"/>
    <n v="4"/>
    <s v="Se repite 4 veces"/>
    <s v="Peru Chef-Peru Chef Chicha Morada display 20gr x 12 sobres"/>
    <n v="4"/>
    <s v="Se repite 4 veces en Peru Chef"/>
    <s v="Peru Chef-Peru Chef Chicha Morada display 20gr x 12 sobres-12.5"/>
    <n v="4"/>
    <s v="Se repite 4 veces el precio de 12.5"/>
    <s v="El producto Peru Chef Chicha Morada display 20gr x 12 sobres Se repite 4 veces en Peru Chef, Se repite 4 veces el precio de 12.5"/>
  </r>
  <r>
    <x v="1"/>
    <x v="15"/>
    <s v="Bill"/>
    <s v="55372"/>
    <x v="149"/>
    <s v="PERU CHEF- POSTRES -   -  PERUCHEF CHICHA MORADA 120 G-  DISPLAY X 12 / 1"/>
    <n v="8"/>
    <n v="12.5"/>
    <n v="100"/>
    <n v="9242.7000000000007"/>
    <n v="4"/>
    <s v="Se repite 4 veces"/>
    <s v="Peru Chef-Peru Chef Chicha Morada display 20gr x 12 sobres"/>
    <n v="4"/>
    <s v="Se repite 4 veces en Peru Chef"/>
    <s v="Peru Chef-Peru Chef Chicha Morada display 20gr x 12 sobres-12.5"/>
    <n v="4"/>
    <s v="Se repite 4 veces el precio de 12.5"/>
    <s v="El producto Peru Chef Chicha Morada display 20gr x 12 sobres Se repite 4 veces en Peru Chef, Se repite 4 veces el precio de 12.5"/>
  </r>
  <r>
    <x v="1"/>
    <x v="8"/>
    <s v="Bill"/>
    <s v=""/>
    <x v="150"/>
    <s v="Choclo Desgranado 1 Lb X 30"/>
    <n v="1"/>
    <n v="66"/>
    <n v="66"/>
    <n v="1938.6999999999998"/>
    <n v="3"/>
    <s v="Se repite 3 veces"/>
    <s v="Peru Chef-Peru Chef Choclo Desgranado 1 Lb X 30 FROZEN"/>
    <n v="3"/>
    <s v="Se repite 3 veces en Peru Chef"/>
    <s v="Peru Chef-Peru Chef Choclo Desgranado 1 Lb X 30 FROZEN-66"/>
    <n v="2"/>
    <s v="Se repite 2 veces el precio de 66"/>
    <s v="El producto Peru Chef Choclo Desgranado 1 Lb X 30 FROZEN Se repite 3 veces en Peru Chef, Se repite 2 veces el precio de 66"/>
  </r>
  <r>
    <x v="1"/>
    <x v="9"/>
    <s v="Bill"/>
    <s v="55130"/>
    <x v="150"/>
    <s v="Choclo Desgranado 1 Lb X 30"/>
    <n v="1"/>
    <n v="66"/>
    <n v="66"/>
    <n v="3964.5"/>
    <n v="3"/>
    <s v="Se repite 3 veces"/>
    <s v="Peru Chef-Peru Chef Choclo Desgranado 1 Lb X 30 FROZEN"/>
    <n v="3"/>
    <s v="Se repite 3 veces en Peru Chef"/>
    <s v="Peru Chef-Peru Chef Choclo Desgranado 1 Lb X 30 FROZEN-66"/>
    <n v="2"/>
    <s v="Se repite 2 veces el precio de 66"/>
    <s v="El producto Peru Chef Choclo Desgranado 1 Lb X 30 FROZEN Se repite 3 veces en Peru Chef, Se repite 2 veces el precio de 66"/>
  </r>
  <r>
    <x v="1"/>
    <x v="17"/>
    <s v="Bill"/>
    <s v="57055"/>
    <x v="150"/>
    <s v="Choclo Desgranado 1 Lb X 30"/>
    <n v="3"/>
    <n v="64.349999999999994"/>
    <n v="193.05"/>
    <n v="34251.25"/>
    <n v="3"/>
    <s v="Se repite 3 veces"/>
    <s v="Peru Chef-Peru Chef Choclo Desgranado 1 Lb X 30 FROZEN"/>
    <n v="3"/>
    <s v="Se repite 3 veces en Peru Chef"/>
    <s v="Peru Chef-Peru Chef Choclo Desgranado 1 Lb X 30 FROZEN-64.35"/>
    <n v="1"/>
    <s v="No se repite"/>
    <s v="El producto Peru Chef Choclo Desgranado 1 Lb X 30 FROZEN Se repite 3 veces en Peru Chef Una vez con el precio 64.35"/>
  </r>
  <r>
    <x v="1"/>
    <x v="12"/>
    <s v="Bill"/>
    <s v="56352"/>
    <x v="151"/>
    <s v="PERU CHEF- VERDURAS -  FROZEN -  CHOCLO DESGRANADO 3 LB X 10-"/>
    <n v="4"/>
    <n v="70.5"/>
    <n v="282"/>
    <n v="10888.5"/>
    <n v="4"/>
    <s v="Se repite 4 veces"/>
    <s v="Peru Chef-Peru Chef Choclo Desgranado 3 Lb X 10 FROZEN"/>
    <n v="4"/>
    <s v="Se repite 4 veces en Peru Chef"/>
    <s v="Peru Chef-Peru Chef Choclo Desgranado 3 Lb X 10 FROZEN-70.5"/>
    <n v="3"/>
    <s v="Se repite 3 veces el precio de 70.5"/>
    <s v="El producto Peru Chef Choclo Desgranado 3 Lb X 10 FROZEN Se repite 4 veces en Peru Chef, Se repite 3 veces el precio de 70.5"/>
  </r>
  <r>
    <x v="1"/>
    <x v="23"/>
    <s v="Bill"/>
    <s v="2025001209"/>
    <x v="151"/>
    <s v="PERU CHEF- VERDURAS -  FROZEN -  CHOCLO DESGRANADO 3 LB X 10-"/>
    <n v="4"/>
    <n v="70.5"/>
    <n v="282"/>
    <n v="16083.5"/>
    <n v="4"/>
    <s v="Se repite 4 veces"/>
    <s v="Peru Chef-Peru Chef Choclo Desgranado 3 Lb X 10 FROZEN"/>
    <n v="4"/>
    <s v="Se repite 4 veces en Peru Chef"/>
    <s v="Peru Chef-Peru Chef Choclo Desgranado 3 Lb X 10 FROZEN-70.5"/>
    <n v="3"/>
    <s v="Se repite 3 veces el precio de 70.5"/>
    <s v="El producto Peru Chef Choclo Desgranado 3 Lb X 10 FROZEN Se repite 4 veces en Peru Chef, Se repite 3 veces el precio de 70.5"/>
  </r>
  <r>
    <x v="1"/>
    <x v="1"/>
    <s v="Bill"/>
    <s v="2025001378"/>
    <x v="151"/>
    <s v="PERU CHEF- VERDURAS -  FROZEN -  CHOCLO DESGRANADO 3 LB X 10-"/>
    <n v="3"/>
    <n v="70.5"/>
    <n v="211.5"/>
    <n v="19943.5"/>
    <n v="4"/>
    <s v="Se repite 4 veces"/>
    <s v="Peru Chef-Peru Chef Choclo Desgranado 3 Lb X 10 FROZEN"/>
    <n v="4"/>
    <s v="Se repite 4 veces en Peru Chef"/>
    <s v="Peru Chef-Peru Chef Choclo Desgranado 3 Lb X 10 FROZEN-70.5"/>
    <n v="3"/>
    <s v="Se repite 3 veces el precio de 70.5"/>
    <s v="El producto Peru Chef Choclo Desgranado 3 Lb X 10 FROZEN Se repite 4 veces en Peru Chef, Se repite 3 veces el precio de 70.5"/>
  </r>
  <r>
    <x v="1"/>
    <x v="17"/>
    <s v="Bill"/>
    <s v="57055"/>
    <x v="151"/>
    <s v="PERU CHEF- VERDURAS -  FROZEN -  CHOCLO DESGRANADO 3 LB X 10-"/>
    <n v="3"/>
    <n v="63.45"/>
    <n v="190.35"/>
    <n v="34441.599999999999"/>
    <n v="4"/>
    <s v="Se repite 4 veces"/>
    <s v="Peru Chef-Peru Chef Choclo Desgranado 3 Lb X 10 FROZEN"/>
    <n v="4"/>
    <s v="Se repite 4 veces en Peru Chef"/>
    <s v="Peru Chef-Peru Chef Choclo Desgranado 3 Lb X 10 FROZEN-63.45"/>
    <n v="1"/>
    <s v="No se repite"/>
    <s v="El producto Peru Chef Choclo Desgranado 3 Lb X 10 FROZEN Se repite 4 veces en Peru Chef Una vez con el precio 63.45"/>
  </r>
  <r>
    <x v="1"/>
    <x v="8"/>
    <s v="Bill"/>
    <s v=""/>
    <x v="152"/>
    <s v="Chuno Blanco Entero 15 Oz X 8"/>
    <n v="1"/>
    <n v="22"/>
    <n v="22"/>
    <n v="587.29999999999995"/>
    <n v="4"/>
    <s v="Se repite 4 veces"/>
    <s v="Peru Chef-Peru Chef Chuño Blanco Entero 15 Oz X 8"/>
    <n v="4"/>
    <s v="Se repite 4 veces en Peru Chef"/>
    <s v="Peru Chef-Peru Chef Chuño Blanco Entero 15 Oz X 8-22"/>
    <n v="2"/>
    <s v="Se repite 2 veces el precio de 22"/>
    <s v="El producto Peru Chef Chuño Blanco Entero 15 Oz X 8 Se repite 4 veces en Peru Chef, Se repite 2 veces el precio de 22"/>
  </r>
  <r>
    <x v="1"/>
    <x v="9"/>
    <s v="Bill"/>
    <s v="55130"/>
    <x v="152"/>
    <s v="Chuno Blanco Entero 15 Oz X 8"/>
    <n v="1"/>
    <n v="22"/>
    <n v="22"/>
    <n v="2833.5"/>
    <n v="4"/>
    <s v="Se repite 4 veces"/>
    <s v="Peru Chef-Peru Chef Chuño Blanco Entero 15 Oz X 8"/>
    <n v="4"/>
    <s v="Se repite 4 veces en Peru Chef"/>
    <s v="Peru Chef-Peru Chef Chuño Blanco Entero 15 Oz X 8-22"/>
    <n v="2"/>
    <s v="Se repite 2 veces el precio de 22"/>
    <s v="El producto Peru Chef Chuño Blanco Entero 15 Oz X 8 Se repite 4 veces en Peru Chef, Se repite 2 veces el precio de 22"/>
  </r>
  <r>
    <x v="1"/>
    <x v="23"/>
    <s v="Bill"/>
    <s v="2025001209"/>
    <x v="152"/>
    <s v="PERU CHEF- GRANOS -  BOLSA -  CHUNO BLANCO ENTERO 15 OZ X 8"/>
    <n v="2"/>
    <n v="24"/>
    <n v="48"/>
    <n v="16831.5"/>
    <n v="4"/>
    <s v="Se repite 4 veces"/>
    <s v="Peru Chef-Peru Chef Chuño Blanco Entero 15 Oz X 8"/>
    <n v="4"/>
    <s v="Se repite 4 veces en Peru Chef"/>
    <s v="Peru Chef-Peru Chef Chuño Blanco Entero 15 Oz X 8-24"/>
    <n v="1"/>
    <s v="No se repite"/>
    <s v="El producto Peru Chef Chuño Blanco Entero 15 Oz X 8 Se repite 4 veces en Peru Chef Una vez con el precio 24"/>
  </r>
  <r>
    <x v="1"/>
    <x v="17"/>
    <s v="Bill"/>
    <s v="57055"/>
    <x v="152"/>
    <s v="PERU CHEF- GRANOS -  BOLSA -  CHUNO BLANCO ENTERO 15 OZ X 8"/>
    <n v="4"/>
    <n v="21.6"/>
    <n v="86.4"/>
    <n v="35231.350000000006"/>
    <n v="4"/>
    <s v="Se repite 4 veces"/>
    <s v="Peru Chef-Peru Chef Chuño Blanco Entero 15 Oz X 8"/>
    <n v="4"/>
    <s v="Se repite 4 veces en Peru Chef"/>
    <s v="Peru Chef-Peru Chef Chuño Blanco Entero 15 Oz X 8-21.6"/>
    <n v="1"/>
    <s v="No se repite"/>
    <s v="El producto Peru Chef Chuño Blanco Entero 15 Oz X 8 Se repite 4 veces en Peru Chef Una vez con el precio 21.6"/>
  </r>
  <r>
    <x v="1"/>
    <x v="8"/>
    <s v="Bill"/>
    <s v=""/>
    <x v="153"/>
    <s v="Crema De Aji P/Ceviche 10.5 Oz X 12"/>
    <n v="1"/>
    <n v="36"/>
    <n v="36"/>
    <n v="234.5"/>
    <n v="4"/>
    <s v="Se repite 4 veces"/>
    <s v="Peru Chef-Peru Chef Crema De Aji P/Ceviche 10.5 oz x 12"/>
    <n v="4"/>
    <s v="Se repite 4 veces en Peru Chef"/>
    <s v="Peru Chef-Peru Chef Crema De Aji P/Ceviche 10.5 oz x 12-36"/>
    <n v="2"/>
    <s v="Se repite 2 veces el precio de 36"/>
    <s v="El producto Peru Chef Crema De Aji P/Ceviche 10.5 oz x 12 Se repite 4 veces en Peru Chef, Se repite 2 veces el precio de 36"/>
  </r>
  <r>
    <x v="1"/>
    <x v="9"/>
    <s v="Bill"/>
    <s v="55130"/>
    <x v="153"/>
    <s v="Crema De Aji P/Ceviche 10.5 Oz X 12"/>
    <n v="1"/>
    <n v="36"/>
    <n v="36"/>
    <n v="2480.6999999999998"/>
    <n v="4"/>
    <s v="Se repite 4 veces"/>
    <s v="Peru Chef-Peru Chef Crema De Aji P/Ceviche 10.5 oz x 12"/>
    <n v="4"/>
    <s v="Se repite 4 veces en Peru Chef"/>
    <s v="Peru Chef-Peru Chef Crema De Aji P/Ceviche 10.5 oz x 12-36"/>
    <n v="2"/>
    <s v="Se repite 2 veces el precio de 36"/>
    <s v="El producto Peru Chef Crema De Aji P/Ceviche 10.5 oz x 12 Se repite 4 veces en Peru Chef, Se repite 2 veces el precio de 36"/>
  </r>
  <r>
    <x v="1"/>
    <x v="12"/>
    <s v="Bill"/>
    <s v="56352"/>
    <x v="153"/>
    <s v="Crema De Aji P/Ceviche 10.5 Oz X 12"/>
    <n v="3"/>
    <n v="39"/>
    <n v="117"/>
    <n v="11448.5"/>
    <n v="4"/>
    <s v="Se repite 4 veces"/>
    <s v="Peru Chef-Peru Chef Crema De Aji P/Ceviche 10.5 oz x 12"/>
    <n v="4"/>
    <s v="Se repite 4 veces en Peru Chef"/>
    <s v="Peru Chef-Peru Chef Crema De Aji P/Ceviche 10.5 oz x 12-39"/>
    <n v="2"/>
    <s v="Se repite 2 veces el precio de 39"/>
    <s v="El producto Peru Chef Crema De Aji P/Ceviche 10.5 oz x 12 Se repite 4 veces en Peru Chef, Se repite 2 veces el precio de 39"/>
  </r>
  <r>
    <x v="1"/>
    <x v="23"/>
    <s v="Bill"/>
    <s v="2025001209"/>
    <x v="153"/>
    <s v="PERU CHEF- SALSA / CREMAS -   -  CREMA DE AJI P/CEVICHE 10.5 OZ X 12 / FCO VIDRIO"/>
    <n v="2"/>
    <n v="39"/>
    <n v="78"/>
    <n v="18271.5"/>
    <n v="4"/>
    <s v="Se repite 4 veces"/>
    <s v="Peru Chef-Peru Chef Crema De Aji P/Ceviche 10.5 oz x 12"/>
    <n v="4"/>
    <s v="Se repite 4 veces en Peru Chef"/>
    <s v="Peru Chef-Peru Chef Crema De Aji P/Ceviche 10.5 oz x 12-39"/>
    <n v="2"/>
    <s v="Se repite 2 veces el precio de 39"/>
    <s v="El producto Peru Chef Crema De Aji P/Ceviche 10.5 oz x 12 Se repite 4 veces en Peru Chef, Se repite 2 veces el precio de 39"/>
  </r>
  <r>
    <x v="1"/>
    <x v="18"/>
    <s v="Bill"/>
    <s v="2025002373"/>
    <x v="154"/>
    <s v="PERU CHEF- FILTRANTES PERUCHEF -   -  DIGESTIVO X 20"/>
    <n v="2"/>
    <n v="19.350000000000001"/>
    <n v="38.700000000000003"/>
    <n v="39340.75"/>
    <n v="1"/>
    <s v="No se repite"/>
    <s v="Peru Chef-Peru Chef Digestivo x 20 filtrante"/>
    <n v="1"/>
    <s v="No se repite en proveedor"/>
    <s v="Peru Chef-Peru Chef Digestivo x 20 filtrante-19.35"/>
    <n v="1"/>
    <s v="No se repite"/>
    <s v="El producto Peru Chef Digestivo x 20 filtrante No se repite en proveedor Una vez con el precio 19.35"/>
  </r>
  <r>
    <x v="1"/>
    <x v="8"/>
    <s v="Bill"/>
    <s v=""/>
    <x v="155"/>
    <s v="Peruchef Mazamorra Morada 150 G"/>
    <n v="1"/>
    <n v="19"/>
    <n v="19"/>
    <n v="1670.1999999999998"/>
    <n v="4"/>
    <s v="Se repite 4 veces"/>
    <s v="Peru Chef-Peru Chef display Mazamorra Morada 150 G x 12"/>
    <n v="4"/>
    <s v="Se repite 4 veces en Peru Chef"/>
    <s v="Peru Chef-Peru Chef display Mazamorra Morada 150 G x 12-19"/>
    <n v="4"/>
    <s v="Se repite 4 veces el precio de 19"/>
    <s v="El producto Peru Chef display Mazamorra Morada 150 G x 12 Se repite 4 veces en Peru Chef, Se repite 4 veces el precio de 19"/>
  </r>
  <r>
    <x v="1"/>
    <x v="9"/>
    <s v="Bill"/>
    <s v="55130"/>
    <x v="155"/>
    <s v="Peruchef Mazamorra Morada 150 G"/>
    <n v="1"/>
    <n v="19"/>
    <n v="19"/>
    <n v="3696"/>
    <n v="4"/>
    <s v="Se repite 4 veces"/>
    <s v="Peru Chef-Peru Chef display Mazamorra Morada 150 G x 12"/>
    <n v="4"/>
    <s v="Se repite 4 veces en Peru Chef"/>
    <s v="Peru Chef-Peru Chef display Mazamorra Morada 150 G x 12-19"/>
    <n v="4"/>
    <s v="Se repite 4 veces el precio de 19"/>
    <s v="El producto Peru Chef display Mazamorra Morada 150 G x 12 Se repite 4 veces en Peru Chef, Se repite 4 veces el precio de 19"/>
  </r>
  <r>
    <x v="1"/>
    <x v="24"/>
    <s v="Bill"/>
    <s v="55164"/>
    <x v="155"/>
    <s v="PERU CHEF- POSTRES -   -  PERUCHEF MAZAMORRA MORADA 150 G-  DISPLAY X 12 / 1"/>
    <n v="1"/>
    <n v="19"/>
    <n v="19"/>
    <n v="4780.1000000000004"/>
    <n v="4"/>
    <s v="Se repite 4 veces"/>
    <s v="Peru Chef-Peru Chef display Mazamorra Morada 150 G x 12"/>
    <n v="4"/>
    <s v="Se repite 4 veces en Peru Chef"/>
    <s v="Peru Chef-Peru Chef display Mazamorra Morada 150 G x 12-19"/>
    <n v="4"/>
    <s v="Se repite 4 veces el precio de 19"/>
    <s v="El producto Peru Chef display Mazamorra Morada 150 G x 12 Se repite 4 veces en Peru Chef, Se repite 4 veces el precio de 19"/>
  </r>
  <r>
    <x v="1"/>
    <x v="15"/>
    <s v="Bill"/>
    <s v="55372"/>
    <x v="155"/>
    <s v="PERU CHEF- POSTRES -   -  PERUCHEF MAZAMORRA MORADA 150 G-  DISPLAY X 12 / 1"/>
    <n v="5"/>
    <n v="19"/>
    <n v="95"/>
    <n v="9142.7000000000007"/>
    <n v="4"/>
    <s v="Se repite 4 veces"/>
    <s v="Peru Chef-Peru Chef display Mazamorra Morada 150 G x 12"/>
    <n v="4"/>
    <s v="Se repite 4 veces en Peru Chef"/>
    <s v="Peru Chef-Peru Chef display Mazamorra Morada 150 G x 12-19"/>
    <n v="4"/>
    <s v="Se repite 4 veces el precio de 19"/>
    <s v="El producto Peru Chef display Mazamorra Morada 150 G x 12 Se repite 4 veces en Peru Chef, Se repite 4 veces el precio de 19"/>
  </r>
  <r>
    <x v="1"/>
    <x v="8"/>
    <s v="Bill"/>
    <s v=""/>
    <x v="156"/>
    <s v="Emoliente 5.3 Oz X 12"/>
    <n v="1"/>
    <n v="30"/>
    <n v="30"/>
    <n v="540.29999999999995"/>
    <n v="4"/>
    <s v="Se repite 4 veces"/>
    <s v="Peru Chef-Peru Chef Emoliente 5.3 Oz X 12"/>
    <n v="4"/>
    <s v="Se repite 4 veces en Peru Chef"/>
    <s v="Peru Chef-Peru Chef Emoliente 5.3 Oz X 12-30"/>
    <n v="3"/>
    <s v="Se repite 3 veces el precio de 30"/>
    <s v="El producto Peru Chef Emoliente 5.3 Oz X 12 Se repite 4 veces en Peru Chef, Se repite 3 veces el precio de 30"/>
  </r>
  <r>
    <x v="1"/>
    <x v="9"/>
    <s v="Bill"/>
    <s v="55130"/>
    <x v="156"/>
    <s v="Emoliente 5.3 Oz X 12"/>
    <n v="1"/>
    <n v="30"/>
    <n v="30"/>
    <n v="2786.5"/>
    <n v="4"/>
    <s v="Se repite 4 veces"/>
    <s v="Peru Chef-Peru Chef Emoliente 5.3 Oz X 12"/>
    <n v="4"/>
    <s v="Se repite 4 veces en Peru Chef"/>
    <s v="Peru Chef-Peru Chef Emoliente 5.3 Oz X 12-30"/>
    <n v="3"/>
    <s v="Se repite 3 veces el precio de 30"/>
    <s v="El producto Peru Chef Emoliente 5.3 Oz X 12 Se repite 4 veces en Peru Chef, Se repite 3 veces el precio de 30"/>
  </r>
  <r>
    <x v="1"/>
    <x v="15"/>
    <s v="Bill"/>
    <s v="55372"/>
    <x v="156"/>
    <s v="PERU CHEF- GRANOS -  BOLSA -  EMOLIENTE 5.3 OZ X 12"/>
    <n v="2"/>
    <n v="30"/>
    <n v="60"/>
    <n v="7824.2000000000007"/>
    <n v="4"/>
    <s v="Se repite 4 veces"/>
    <s v="Peru Chef-Peru Chef Emoliente 5.3 Oz X 12"/>
    <n v="4"/>
    <s v="Se repite 4 veces en Peru Chef"/>
    <s v="Peru Chef-Peru Chef Emoliente 5.3 Oz X 12-30"/>
    <n v="3"/>
    <s v="Se repite 3 veces el precio de 30"/>
    <s v="El producto Peru Chef Emoliente 5.3 Oz X 12 Se repite 4 veces en Peru Chef, Se repite 3 veces el precio de 30"/>
  </r>
  <r>
    <x v="1"/>
    <x v="18"/>
    <s v="Bill"/>
    <s v="2025002373"/>
    <x v="156"/>
    <s v="PERU CHEF- GRANOS -  BOLSA -  EMOLIENTE 5.3 OZ X 12"/>
    <n v="2"/>
    <n v="29.7"/>
    <n v="59.4"/>
    <n v="41545.75"/>
    <n v="4"/>
    <s v="Se repite 4 veces"/>
    <s v="Peru Chef-Peru Chef Emoliente 5.3 Oz X 12"/>
    <n v="4"/>
    <s v="Se repite 4 veces en Peru Chef"/>
    <s v="Peru Chef-Peru Chef Emoliente 5.3 Oz X 12-29.7"/>
    <n v="1"/>
    <s v="No se repite"/>
    <s v="El producto Peru Chef Emoliente 5.3 Oz X 12 Se repite 4 veces en Peru Chef Una vez con el precio 29.7"/>
  </r>
  <r>
    <x v="1"/>
    <x v="8"/>
    <s v="Bill"/>
    <s v=""/>
    <x v="157"/>
    <s v="Peru Chef Emoliente 1Lt x 12"/>
    <n v="1"/>
    <n v="30"/>
    <n v="30"/>
    <n v="62.5"/>
    <n v="3"/>
    <s v="Se repite 3 veces"/>
    <s v="Peru Chef-Peru Chef Emoliente bebida 1Lt x 12"/>
    <n v="3"/>
    <s v="Se repite 3 veces en Peru Chef"/>
    <s v="Peru Chef-Peru Chef Emoliente bebida 1Lt x 12-30"/>
    <n v="1"/>
    <s v="No se repite"/>
    <s v="El producto Peru Chef Emoliente bebida 1Lt x 12 Se repite 3 veces en Peru Chef Una vez con el precio 30"/>
  </r>
  <r>
    <x v="1"/>
    <x v="12"/>
    <s v="Bill"/>
    <s v="56352"/>
    <x v="157"/>
    <s v="Peru Chef Emoliente 1Lt x 12"/>
    <n v="2"/>
    <n v="33"/>
    <n v="66"/>
    <n v="14709.5"/>
    <n v="3"/>
    <s v="Se repite 3 veces"/>
    <s v="Peru Chef-Peru Chef Emoliente bebida 1Lt x 12"/>
    <n v="3"/>
    <s v="Se repite 3 veces en Peru Chef"/>
    <s v="Peru Chef-Peru Chef Emoliente bebida 1Lt x 12-33"/>
    <n v="2"/>
    <s v="Se repite 2 veces el precio de 33"/>
    <s v="El producto Peru Chef Emoliente bebida 1Lt x 12 Se repite 3 veces en Peru Chef, Se repite 2 veces el precio de 33"/>
  </r>
  <r>
    <x v="1"/>
    <x v="23"/>
    <s v="Bill"/>
    <s v="2025001209"/>
    <x v="157"/>
    <s v="Peru Chef Emoliente 1Lt x 12"/>
    <n v="1"/>
    <n v="33"/>
    <n v="33"/>
    <n v="15283.5"/>
    <n v="3"/>
    <s v="Se repite 3 veces"/>
    <s v="Peru Chef-Peru Chef Emoliente bebida 1Lt x 12"/>
    <n v="3"/>
    <s v="Se repite 3 veces en Peru Chef"/>
    <s v="Peru Chef-Peru Chef Emoliente bebida 1Lt x 12-33"/>
    <n v="2"/>
    <s v="Se repite 2 veces el precio de 33"/>
    <s v="El producto Peru Chef Emoliente bebida 1Lt x 12 Se repite 3 veces en Peru Chef, Se repite 2 veces el precio de 33"/>
  </r>
  <r>
    <x v="1"/>
    <x v="8"/>
    <s v="Bill"/>
    <s v=""/>
    <x v="158"/>
    <s v="Peruchef Esencia De Vainilla 100 Ml X 24"/>
    <n v="1"/>
    <n v="21"/>
    <n v="21"/>
    <n v="1872.6999999999998"/>
    <n v="2"/>
    <s v="Se repite 2 veces"/>
    <s v="Peru Chef-Peru Chef Esencia De Vainilla 100ml x 24"/>
    <n v="2"/>
    <s v="Se repite 2 veces en Peru Chef"/>
    <s v="Peru Chef-Peru Chef Esencia De Vainilla 100ml x 24-21"/>
    <n v="2"/>
    <s v="Se repite 2 veces el precio de 21"/>
    <s v="El producto Peru Chef Esencia De Vainilla 100ml x 24 Se repite 2 veces en Peru Chef, Se repite 2 veces el precio de 21"/>
  </r>
  <r>
    <x v="1"/>
    <x v="9"/>
    <s v="Bill"/>
    <s v="55130"/>
    <x v="158"/>
    <s v="Peruchef Esencia De Vainilla 100 Ml X 24"/>
    <n v="1"/>
    <n v="21"/>
    <n v="21"/>
    <n v="3898.5"/>
    <n v="2"/>
    <s v="Se repite 2 veces"/>
    <s v="Peru Chef-Peru Chef Esencia De Vainilla 100ml x 24"/>
    <n v="2"/>
    <s v="Se repite 2 veces en Peru Chef"/>
    <s v="Peru Chef-Peru Chef Esencia De Vainilla 100ml x 24-21"/>
    <n v="2"/>
    <s v="Se repite 2 veces el precio de 21"/>
    <s v="El producto Peru Chef Esencia De Vainilla 100ml x 24 Se repite 2 veces en Peru Chef, Se repite 2 veces el precio de 21"/>
  </r>
  <r>
    <x v="1"/>
    <x v="18"/>
    <s v="Bill"/>
    <s v="2025002373"/>
    <x v="159"/>
    <s v="Eucalipto X 20"/>
    <n v="2"/>
    <n v="19.350000000000001"/>
    <n v="38.700000000000003"/>
    <n v="39379.449999999997"/>
    <n v="1"/>
    <s v="No se repite"/>
    <s v="Peru Chef-Peru Chef Eucalipto filtrante x 20"/>
    <n v="1"/>
    <s v="No se repite en proveedor"/>
    <s v="Peru Chef-Peru Chef Eucalipto filtrante x 20-19.35"/>
    <n v="1"/>
    <s v="No se repite"/>
    <s v="El producto Peru Chef Eucalipto filtrante x 20 No se repite en proveedor Una vez con el precio 19.35"/>
  </r>
  <r>
    <x v="1"/>
    <x v="24"/>
    <s v="Bill"/>
    <s v="55164"/>
    <x v="160"/>
    <s v="PERU CHEF- FILTRANTES PERUCHEF -   -  MANZANILLA x 20"/>
    <n v="1"/>
    <n v="19.5"/>
    <n v="19.5"/>
    <n v="6481.1"/>
    <n v="1"/>
    <s v="No se repite"/>
    <s v="Peru Chef-Peru Chef filtrante Manzanilla x 20"/>
    <n v="1"/>
    <s v="No se repite en proveedor"/>
    <s v="Peru Chef-Peru Chef filtrante Manzanilla x 20-19.5"/>
    <n v="1"/>
    <s v="No se repite"/>
    <s v="El producto Peru Chef filtrante Manzanilla x 20 No se repite en proveedor Una vez con el precio 19.5"/>
  </r>
  <r>
    <x v="1"/>
    <x v="2"/>
    <s v="Bill"/>
    <s v="2025001691"/>
    <x v="161"/>
    <s v="PERU CHEF- FILTRANTES PERUCHEF -   -  SEN X 20"/>
    <n v="2"/>
    <n v="21.5"/>
    <n v="43"/>
    <n v="27298.5"/>
    <n v="1"/>
    <s v="No se repite"/>
    <s v="Peru Chef-Peru Chef filtrante Sen x 20"/>
    <n v="1"/>
    <s v="No se repite en proveedor"/>
    <s v="Peru Chef-Peru Chef filtrante Sen x 20-21.5"/>
    <n v="1"/>
    <s v="No se repite"/>
    <s v="El producto Peru Chef filtrante Sen x 20 No se repite en proveedor Una vez con el precio 21.5"/>
  </r>
  <r>
    <x v="1"/>
    <x v="2"/>
    <s v="Bill"/>
    <s v="2025001691"/>
    <x v="162"/>
    <s v="PERU CHEF- FILTRANTES PERUCHEF -   -  SUEÑO PROFUNDO X 20"/>
    <n v="2"/>
    <n v="21.5"/>
    <n v="43"/>
    <n v="27229"/>
    <n v="2"/>
    <s v="Se repite 2 veces"/>
    <s v="Peru Chef-Peru Chef filtrante Sueño Profundo x 20"/>
    <n v="2"/>
    <s v="Se repite 2 veces en Peru Chef"/>
    <s v="Peru Chef-Peru Chef filtrante Sueño Profundo x 20-21.5"/>
    <n v="1"/>
    <s v="No se repite"/>
    <s v="El producto Peru Chef filtrante Sueño Profundo x 20 Se repite 2 veces en Peru Chef Una vez con el precio 21.5"/>
  </r>
  <r>
    <x v="1"/>
    <x v="18"/>
    <s v="Bill"/>
    <s v="2025002373"/>
    <x v="162"/>
    <s v="PERU CHEF- FILTRANTES PERUCHEF -   -  SUEÑO PROFUNDO X 20"/>
    <n v="1"/>
    <n v="19.350000000000001"/>
    <n v="19.350000000000001"/>
    <n v="39278.200000000004"/>
    <n v="2"/>
    <s v="Se repite 2 veces"/>
    <s v="Peru Chef-Peru Chef filtrante Sueño Profundo x 20"/>
    <n v="2"/>
    <s v="Se repite 2 veces en Peru Chef"/>
    <s v="Peru Chef-Peru Chef filtrante Sueño Profundo x 20-19.35"/>
    <n v="1"/>
    <s v="No se repite"/>
    <s v="El producto Peru Chef filtrante Sueño Profundo x 20 Se repite 2 veces en Peru Chef Una vez con el precio 19.35"/>
  </r>
  <r>
    <x v="1"/>
    <x v="2"/>
    <s v="Bill"/>
    <s v="2025001691"/>
    <x v="163"/>
    <s v="Te Verde Con Piña X 20"/>
    <n v="1"/>
    <n v="26.5"/>
    <n v="26.5"/>
    <n v="27255.5"/>
    <n v="2"/>
    <s v="Se repite 2 veces"/>
    <s v="Peru Chef-Peru Chef filtrante Te Verde Con Piña x 20"/>
    <n v="2"/>
    <s v="Se repite 2 veces en Peru Chef"/>
    <s v="Peru Chef-Peru Chef filtrante Te Verde Con Piña x 20-26.5"/>
    <n v="1"/>
    <s v="No se repite"/>
    <s v="El producto Peru Chef filtrante Te Verde Con Piña x 20 Se repite 2 veces en Peru Chef Una vez con el precio 26.5"/>
  </r>
  <r>
    <x v="1"/>
    <x v="18"/>
    <s v="Bill"/>
    <s v="2025002373"/>
    <x v="163"/>
    <s v="PERU CHEF- FILTRANTES PERUCHEF -   -  TE VERDE CON PIÑA X 20"/>
    <n v="1"/>
    <n v="23.85"/>
    <n v="23.85"/>
    <n v="39302.050000000003"/>
    <n v="2"/>
    <s v="Se repite 2 veces"/>
    <s v="Peru Chef-Peru Chef filtrante Te Verde Con Piña x 20"/>
    <n v="2"/>
    <s v="Se repite 2 veces en Peru Chef"/>
    <s v="Peru Chef-Peru Chef filtrante Te Verde Con Piña x 20-23.85"/>
    <n v="1"/>
    <s v="No se repite"/>
    <s v="El producto Peru Chef filtrante Te Verde Con Piña x 20 Se repite 2 veces en Peru Chef Una vez con el precio 23.85"/>
  </r>
  <r>
    <x v="1"/>
    <x v="2"/>
    <s v="Bill"/>
    <s v="2025001691"/>
    <x v="164"/>
    <s v="PERU CHEF- FILTRANTES PERUCHEF -   -  TORONJIL X 20"/>
    <n v="2"/>
    <n v="21.5"/>
    <n v="43"/>
    <n v="27341.5"/>
    <n v="1"/>
    <s v="No se repite"/>
    <s v="Peru Chef-Peru Chef filtrante Toronjil x 20"/>
    <n v="1"/>
    <s v="No se repite en proveedor"/>
    <s v="Peru Chef-Peru Chef filtrante Toronjil x 20-21.5"/>
    <n v="1"/>
    <s v="No se repite"/>
    <s v="El producto Peru Chef filtrante Toronjil x 20 No se repite en proveedor Una vez con el precio 21.5"/>
  </r>
  <r>
    <x v="1"/>
    <x v="12"/>
    <s v="Bill"/>
    <s v="56352"/>
    <x v="165"/>
    <s v="Frijol Castilla 15 Oz X 12"/>
    <n v="2"/>
    <n v="22"/>
    <n v="44"/>
    <n v="12321.5"/>
    <n v="2"/>
    <s v="Se repite 2 veces"/>
    <s v="Peru Chef-Peru Chef Frijol Castilla 15oz x 12"/>
    <n v="2"/>
    <s v="Se repite 2 veces en Peru Chef"/>
    <s v="Peru Chef-Peru Chef Frijol Castilla 15oz x 12-22"/>
    <n v="2"/>
    <s v="Se repite 2 veces el precio de 22"/>
    <s v="El producto Peru Chef Frijol Castilla 15oz x 12 Se repite 2 veces en Peru Chef, Se repite 2 veces el precio de 22"/>
  </r>
  <r>
    <x v="1"/>
    <x v="23"/>
    <s v="Bill"/>
    <s v="2025001209"/>
    <x v="165"/>
    <s v="PERU CHEF- GRANOS -  BOLSA -  FRIJOL CASTILLA 15 OZ X 12"/>
    <n v="2"/>
    <n v="22"/>
    <n v="44"/>
    <n v="16667.5"/>
    <n v="2"/>
    <s v="Se repite 2 veces"/>
    <s v="Peru Chef-Peru Chef Frijol Castilla 15oz x 12"/>
    <n v="2"/>
    <s v="Se repite 2 veces en Peru Chef"/>
    <s v="Peru Chef-Peru Chef Frijol Castilla 15oz x 12-22"/>
    <n v="2"/>
    <s v="Se repite 2 veces el precio de 22"/>
    <s v="El producto Peru Chef Frijol Castilla 15oz x 12 Se repite 2 veces en Peru Chef, Se repite 2 veces el precio de 22"/>
  </r>
  <r>
    <x v="1"/>
    <x v="18"/>
    <s v="Bill"/>
    <s v="2025002373"/>
    <x v="166"/>
    <s v="Frijol Panamito 15 Oz X 12"/>
    <n v="2"/>
    <n v="19.8"/>
    <n v="39.6"/>
    <n v="41450.35"/>
    <n v="1"/>
    <s v="No se repite"/>
    <s v="Peru Chef-Peru Chef Frijol Panamito 15oz x 12"/>
    <n v="1"/>
    <s v="No se repite en proveedor"/>
    <s v="Peru Chef-Peru Chef Frijol Panamito 15oz x 12-19.8"/>
    <n v="1"/>
    <s v="No se repite"/>
    <s v="El producto Peru Chef Frijol Panamito 15oz x 12 No se repite en proveedor Una vez con el precio 19.8"/>
  </r>
  <r>
    <x v="1"/>
    <x v="8"/>
    <s v="Bill"/>
    <s v=""/>
    <x v="167"/>
    <s v="Habas Peladas 15 Oz X 12"/>
    <n v="1"/>
    <n v="24"/>
    <n v="24"/>
    <n v="671.3"/>
    <n v="2"/>
    <s v="Se repite 2 veces"/>
    <s v="Peru Chef-Peru Chef Habas Peladas 15 Oz X 12 bolsas"/>
    <n v="2"/>
    <s v="Se repite 2 veces en Peru Chef"/>
    <s v="Peru Chef-Peru Chef Habas Peladas 15 Oz X 12 bolsas-24"/>
    <n v="2"/>
    <s v="Se repite 2 veces el precio de 24"/>
    <s v="El producto Peru Chef Habas Peladas 15 Oz X 12 bolsas Se repite 2 veces en Peru Chef, Se repite 2 veces el precio de 24"/>
  </r>
  <r>
    <x v="1"/>
    <x v="9"/>
    <s v="Bill"/>
    <s v="55130"/>
    <x v="167"/>
    <s v="Habas Peladas 15 Oz X 12"/>
    <n v="1"/>
    <n v="24"/>
    <n v="24"/>
    <n v="2917.5"/>
    <n v="2"/>
    <s v="Se repite 2 veces"/>
    <s v="Peru Chef-Peru Chef Habas Peladas 15 Oz X 12 bolsas"/>
    <n v="2"/>
    <s v="Se repite 2 veces en Peru Chef"/>
    <s v="Peru Chef-Peru Chef Habas Peladas 15 Oz X 12 bolsas-24"/>
    <n v="2"/>
    <s v="Se repite 2 veces el precio de 24"/>
    <s v="El producto Peru Chef Habas Peladas 15 Oz X 12 bolsas Se repite 2 veces en Peru Chef, Se repite 2 veces el precio de 24"/>
  </r>
  <r>
    <x v="1"/>
    <x v="24"/>
    <s v="Bill"/>
    <s v="55164"/>
    <x v="168"/>
    <s v="Harina De Arverja 15 Oz X 12"/>
    <n v="1"/>
    <n v="15.6"/>
    <n v="15.6"/>
    <n v="4546.6000000000004"/>
    <n v="1"/>
    <s v="No se repite"/>
    <s v="Peru Chef-Peru Chef Harina De Arverja 15 Oz X 12"/>
    <n v="1"/>
    <s v="No se repite en proveedor"/>
    <s v="Peru Chef-Peru Chef Harina De Arverja 15 Oz X 12-15.6"/>
    <n v="1"/>
    <s v="No se repite"/>
    <s v="El producto Peru Chef Harina De Arverja 15 Oz X 12 No se repite en proveedor Una vez con el precio 15.6"/>
  </r>
  <r>
    <x v="1"/>
    <x v="8"/>
    <s v="Bill"/>
    <s v=""/>
    <x v="169"/>
    <s v="Harina De Chuno 15 Oz X 12"/>
    <n v="1"/>
    <n v="25"/>
    <n v="25"/>
    <n v="565.29999999999995"/>
    <n v="4"/>
    <s v="Se repite 4 veces"/>
    <s v="Peru Chef-Peru Chef Harina de Chuño 15 Oz X 12"/>
    <n v="4"/>
    <s v="Se repite 4 veces en Peru Chef"/>
    <s v="Peru Chef-Peru Chef Harina de Chuño 15 Oz X 12-25"/>
    <n v="3"/>
    <s v="Se repite 3 veces el precio de 25"/>
    <s v="El producto Peru Chef Harina de Chuño 15 Oz X 12 Se repite 4 veces en Peru Chef, Se repite 3 veces el precio de 25"/>
  </r>
  <r>
    <x v="1"/>
    <x v="9"/>
    <s v="Bill"/>
    <s v="55130"/>
    <x v="169"/>
    <s v="Harina De Chuno 15 Oz X 12"/>
    <n v="1"/>
    <n v="25"/>
    <n v="25"/>
    <n v="2811.5"/>
    <n v="4"/>
    <s v="Se repite 4 veces"/>
    <s v="Peru Chef-Peru Chef Harina de Chuño 15 Oz X 12"/>
    <n v="4"/>
    <s v="Se repite 4 veces en Peru Chef"/>
    <s v="Peru Chef-Peru Chef Harina de Chuño 15 Oz X 12-25"/>
    <n v="3"/>
    <s v="Se repite 3 veces el precio de 25"/>
    <s v="El producto Peru Chef Harina de Chuño 15 Oz X 12 Se repite 4 veces en Peru Chef, Se repite 3 veces el precio de 25"/>
  </r>
  <r>
    <x v="1"/>
    <x v="15"/>
    <s v="Bill"/>
    <s v="55372"/>
    <x v="169"/>
    <s v="PERU CHEF- GRANOS -  BOLSA -  HARINA DE CHUNO 15 OZ X 12"/>
    <n v="4"/>
    <n v="25"/>
    <n v="100"/>
    <n v="7764.2000000000007"/>
    <n v="4"/>
    <s v="Se repite 4 veces"/>
    <s v="Peru Chef-Peru Chef Harina de Chuño 15 Oz X 12"/>
    <n v="4"/>
    <s v="Se repite 4 veces en Peru Chef"/>
    <s v="Peru Chef-Peru Chef Harina de Chuño 15 Oz X 12-25"/>
    <n v="3"/>
    <s v="Se repite 3 veces el precio de 25"/>
    <s v="El producto Peru Chef Harina de Chuño 15 Oz X 12 Se repite 4 veces en Peru Chef, Se repite 3 veces el precio de 25"/>
  </r>
  <r>
    <x v="1"/>
    <x v="17"/>
    <s v="Bill"/>
    <s v="57055"/>
    <x v="169"/>
    <s v="PERU CHEF- GRANOS -  BOLSA -  HARINA DE CHUNO 15 OZ X 12"/>
    <n v="4"/>
    <n v="24.75"/>
    <n v="99"/>
    <n v="35144.950000000004"/>
    <n v="4"/>
    <s v="Se repite 4 veces"/>
    <s v="Peru Chef-Peru Chef Harina de Chuño 15 Oz X 12"/>
    <n v="4"/>
    <s v="Se repite 4 veces en Peru Chef"/>
    <s v="Peru Chef-Peru Chef Harina de Chuño 15 Oz X 12-24.75"/>
    <n v="1"/>
    <s v="No se repite"/>
    <s v="El producto Peru Chef Harina de Chuño 15 Oz X 12 Se repite 4 veces en Peru Chef Una vez con el precio 24.75"/>
  </r>
  <r>
    <x v="1"/>
    <x v="24"/>
    <s v="Bill"/>
    <s v="55164"/>
    <x v="170"/>
    <s v="Peru Chef Hierba Luisa X 20 x 12"/>
    <n v="1"/>
    <n v="19.5"/>
    <n v="19.5"/>
    <n v="6500.6"/>
    <n v="1"/>
    <s v="No se repite"/>
    <s v="Peru Chef-Peru Chef Hierba Luisa x 20 filtrante x 12 cajas"/>
    <n v="1"/>
    <s v="No se repite en proveedor"/>
    <s v="Peru Chef-Peru Chef Hierba Luisa x 20 filtrante x 12 cajas-19.5"/>
    <n v="1"/>
    <s v="No se repite"/>
    <s v="El producto Peru Chef Hierba Luisa x 20 filtrante x 12 cajas No se repite en proveedor Una vez con el precio 19.5"/>
  </r>
  <r>
    <x v="1"/>
    <x v="8"/>
    <s v="Bill"/>
    <s v=""/>
    <x v="171"/>
    <s v="Hongos Y Laurel 1.57 Oz X 12"/>
    <n v="1"/>
    <n v="36"/>
    <n v="36"/>
    <n v="647.29999999999995"/>
    <n v="5"/>
    <s v="Se repite 5 veces"/>
    <s v="Peru Chef-Peru Chef Hongos Y Laurel 1.57oz x 12"/>
    <n v="5"/>
    <s v="Se repite 5 veces en Peru Chef"/>
    <s v="Peru Chef-Peru Chef Hongos Y Laurel 1.57oz x 12-36"/>
    <n v="3"/>
    <s v="Se repite 3 veces el precio de 36"/>
    <s v="El producto Peru Chef Hongos Y Laurel 1.57oz x 12 Se repite 5 veces en Peru Chef, Se repite 3 veces el precio de 36"/>
  </r>
  <r>
    <x v="1"/>
    <x v="9"/>
    <s v="Bill"/>
    <s v="55130"/>
    <x v="171"/>
    <s v="Hongos Y Laurel 1.57 Oz X 12"/>
    <n v="1"/>
    <n v="36"/>
    <n v="36"/>
    <n v="2893.5"/>
    <n v="5"/>
    <s v="Se repite 5 veces"/>
    <s v="Peru Chef-Peru Chef Hongos Y Laurel 1.57oz x 12"/>
    <n v="5"/>
    <s v="Se repite 5 veces en Peru Chef"/>
    <s v="Peru Chef-Peru Chef Hongos Y Laurel 1.57oz x 12-36"/>
    <n v="3"/>
    <s v="Se repite 3 veces el precio de 36"/>
    <s v="El producto Peru Chef Hongos Y Laurel 1.57oz x 12 Se repite 5 veces en Peru Chef, Se repite 3 veces el precio de 36"/>
  </r>
  <r>
    <x v="1"/>
    <x v="15"/>
    <s v="Bill"/>
    <s v="55372"/>
    <x v="171"/>
    <s v="PERU CHEF- GRANOS -  BOLSA -  HONGOS Y LAUREL 1.57 OZ X 12"/>
    <n v="2"/>
    <n v="36"/>
    <n v="72"/>
    <n v="7896.2000000000007"/>
    <n v="5"/>
    <s v="Se repite 5 veces"/>
    <s v="Peru Chef-Peru Chef Hongos Y Laurel 1.57oz x 12"/>
    <n v="5"/>
    <s v="Se repite 5 veces en Peru Chef"/>
    <s v="Peru Chef-Peru Chef Hongos Y Laurel 1.57oz x 12-36"/>
    <n v="3"/>
    <s v="Se repite 3 veces el precio de 36"/>
    <s v="El producto Peru Chef Hongos Y Laurel 1.57oz x 12 Se repite 5 veces en Peru Chef, Se repite 3 veces el precio de 36"/>
  </r>
  <r>
    <x v="1"/>
    <x v="12"/>
    <s v="Bill"/>
    <s v="56352"/>
    <x v="171"/>
    <s v="PERU CHEF- GRANOS -  BOLSA -  HONGOS Y LAUREL 1.57 OZ X 12"/>
    <n v="12"/>
    <n v="39"/>
    <n v="468"/>
    <n v="12941.5"/>
    <n v="5"/>
    <s v="Se repite 5 veces"/>
    <s v="Peru Chef-Peru Chef Hongos Y Laurel 1.57oz x 12"/>
    <n v="5"/>
    <s v="Se repite 5 veces en Peru Chef"/>
    <s v="Peru Chef-Peru Chef Hongos Y Laurel 1.57oz x 12-39"/>
    <n v="1"/>
    <s v="No se repite"/>
    <s v="El producto Peru Chef Hongos Y Laurel 1.57oz x 12 Se repite 5 veces en Peru Chef Una vez con el precio 39"/>
  </r>
  <r>
    <x v="1"/>
    <x v="18"/>
    <s v="Bill"/>
    <s v="2025002373"/>
    <x v="171"/>
    <s v="PERU CHEF- GRANOS -  BOLSA -  HONGOS Y LAUREL 1.57 OZ X 12"/>
    <n v="2"/>
    <n v="35.1"/>
    <n v="70.2"/>
    <n v="41615.949999999997"/>
    <n v="5"/>
    <s v="Se repite 5 veces"/>
    <s v="Peru Chef-Peru Chef Hongos Y Laurel 1.57oz x 12"/>
    <n v="5"/>
    <s v="Se repite 5 veces en Peru Chef"/>
    <s v="Peru Chef-Peru Chef Hongos Y Laurel 1.57oz x 12-35.1"/>
    <n v="1"/>
    <s v="No se repite"/>
    <s v="El producto Peru Chef Hongos Y Laurel 1.57oz x 12 Se repite 5 veces en Peru Chef Una vez con el precio 35.1"/>
  </r>
  <r>
    <x v="1"/>
    <x v="24"/>
    <s v="Bill"/>
    <s v="55164"/>
    <x v="172"/>
    <s v="Peruchef Jarabe De Goma"/>
    <n v="1"/>
    <n v="55"/>
    <n v="55"/>
    <n v="4748.6000000000004"/>
    <n v="4"/>
    <s v="Se repite 4 veces"/>
    <s v="Peru Chef-Peru Chef Jarabe De Goma 17oz x 12"/>
    <n v="4"/>
    <s v="Se repite 4 veces en Peru Chef"/>
    <s v="Peru Chef-Peru Chef Jarabe De Goma 17oz x 12-55"/>
    <n v="4"/>
    <s v="Se repite 4 veces el precio de 55"/>
    <s v="El producto Peru Chef Jarabe De Goma 17oz x 12 Se repite 4 veces en Peru Chef, Se repite 4 veces el precio de 55"/>
  </r>
  <r>
    <x v="1"/>
    <x v="12"/>
    <s v="Bill"/>
    <s v="56352"/>
    <x v="172"/>
    <s v="PERU CHEF- MIEL -   -  PERUCHEF JARABE DE GOMA-  FCO PLASTICO 17 OZ / 12"/>
    <n v="3"/>
    <n v="55"/>
    <n v="165"/>
    <n v="11910.5"/>
    <n v="4"/>
    <s v="Se repite 4 veces"/>
    <s v="Peru Chef-Peru Chef Jarabe De Goma 17oz x 12"/>
    <n v="4"/>
    <s v="Se repite 4 veces en Peru Chef"/>
    <s v="Peru Chef-Peru Chef Jarabe De Goma 17oz x 12-55"/>
    <n v="4"/>
    <s v="Se repite 4 veces el precio de 55"/>
    <s v="El producto Peru Chef Jarabe De Goma 17oz x 12 Se repite 4 veces en Peru Chef, Se repite 4 veces el precio de 55"/>
  </r>
  <r>
    <x v="1"/>
    <x v="23"/>
    <s v="Bill"/>
    <s v="2025001209"/>
    <x v="172"/>
    <s v="PERU CHEF- MIEL -   -  PERUCHEF JARABE DE GOMA-  FCO PLASTICO 17 OZ / 12"/>
    <n v="1"/>
    <n v="55"/>
    <n v="55"/>
    <n v="18326.5"/>
    <n v="4"/>
    <s v="Se repite 4 veces"/>
    <s v="Peru Chef-Peru Chef Jarabe De Goma 17oz x 12"/>
    <n v="4"/>
    <s v="Se repite 4 veces en Peru Chef"/>
    <s v="Peru Chef-Peru Chef Jarabe De Goma 17oz x 12-55"/>
    <n v="4"/>
    <s v="Se repite 4 veces el precio de 55"/>
    <s v="El producto Peru Chef Jarabe De Goma 17oz x 12 Se repite 4 veces en Peru Chef, Se repite 4 veces el precio de 55"/>
  </r>
  <r>
    <x v="1"/>
    <x v="1"/>
    <s v="Bill"/>
    <s v="2025001378"/>
    <x v="172"/>
    <s v="PERU CHEF- MIEL -   -  PERUCHEF JARABE DE GOMA-  FCO PLASTICO 17 OZ / 12"/>
    <n v="3"/>
    <n v="55"/>
    <n v="165"/>
    <n v="21291"/>
    <n v="4"/>
    <s v="Se repite 4 veces"/>
    <s v="Peru Chef-Peru Chef Jarabe De Goma 17oz x 12"/>
    <n v="4"/>
    <s v="Se repite 4 veces en Peru Chef"/>
    <s v="Peru Chef-Peru Chef Jarabe De Goma 17oz x 12-55"/>
    <n v="4"/>
    <s v="Se repite 4 veces el precio de 55"/>
    <s v="El producto Peru Chef Jarabe De Goma 17oz x 12 Se repite 4 veces en Peru Chef, Se repite 4 veces el precio de 55"/>
  </r>
  <r>
    <x v="1"/>
    <x v="8"/>
    <s v="Bill"/>
    <s v=""/>
    <x v="173"/>
    <s v="Kion Molido 60 G X 12"/>
    <n v="1"/>
    <n v="28"/>
    <n v="28"/>
    <n v="803.3"/>
    <n v="2"/>
    <s v="Se repite 2 veces"/>
    <s v="Peru Chef-Peru chef Kion Molido 60 G X 12"/>
    <n v="2"/>
    <s v="Se repite 2 veces en Peru Chef"/>
    <s v="Peru Chef-Peru chef Kion Molido 60 G X 12-28"/>
    <n v="2"/>
    <s v="Se repite 2 veces el precio de 28"/>
    <s v="El producto Peru chef Kion Molido 60 G X 12 Se repite 2 veces en Peru Chef, Se repite 2 veces el precio de 28"/>
  </r>
  <r>
    <x v="1"/>
    <x v="9"/>
    <s v="Bill"/>
    <s v="55130"/>
    <x v="173"/>
    <s v="Kion Molido 60 G X 12"/>
    <n v="1"/>
    <n v="28"/>
    <n v="28"/>
    <n v="3049.5"/>
    <n v="2"/>
    <s v="Se repite 2 veces"/>
    <s v="Peru Chef-Peru chef Kion Molido 60 G X 12"/>
    <n v="2"/>
    <s v="Se repite 2 veces en Peru Chef"/>
    <s v="Peru Chef-Peru chef Kion Molido 60 G X 12-28"/>
    <n v="2"/>
    <s v="Se repite 2 veces el precio de 28"/>
    <s v="El producto Peru chef Kion Molido 60 G X 12 Se repite 2 veces en Peru Chef, Se repite 2 veces el precio de 28"/>
  </r>
  <r>
    <x v="1"/>
    <x v="12"/>
    <s v="Bill"/>
    <s v="56352"/>
    <x v="174"/>
    <s v="PERU CHEF- GRANOS -  BOLSA -  KIWICHA 15 OZ X 12"/>
    <n v="2"/>
    <n v="32"/>
    <n v="64"/>
    <n v="12473.5"/>
    <n v="3"/>
    <s v="Se repite 3 veces"/>
    <s v="Peru Chef-Peru Chef Kiwicha 15oz x 12"/>
    <n v="3"/>
    <s v="Se repite 3 veces en Peru Chef"/>
    <s v="Peru Chef-Peru Chef Kiwicha 15oz x 12-32"/>
    <n v="1"/>
    <s v="No se repite"/>
    <s v="El producto Peru Chef Kiwicha 15oz x 12 Se repite 3 veces en Peru Chef Una vez con el precio 32"/>
  </r>
  <r>
    <x v="1"/>
    <x v="16"/>
    <s v="Bill"/>
    <s v="2025001895"/>
    <x v="174"/>
    <s v="PERU CHEF- GRANOS -  BOLSA -  KIWICHA 15 OZ X 12"/>
    <n v="2"/>
    <n v="28.8"/>
    <n v="57.6"/>
    <n v="31292.5"/>
    <n v="3"/>
    <s v="Se repite 3 veces"/>
    <s v="Peru Chef-Peru Chef Kiwicha 15oz x 12"/>
    <n v="3"/>
    <s v="Se repite 3 veces en Peru Chef"/>
    <s v="Peru Chef-Peru Chef Kiwicha 15oz x 12-28.8"/>
    <n v="2"/>
    <s v="Se repite 2 veces el precio de 28.8"/>
    <s v="El producto Peru Chef Kiwicha 15oz x 12 Se repite 3 veces en Peru Chef, Se repite 2 veces el precio de 28.8"/>
  </r>
  <r>
    <x v="1"/>
    <x v="17"/>
    <s v="Bill"/>
    <s v="57055"/>
    <x v="174"/>
    <s v="PERU CHEF- GRANOS -  BOLSA -  KIWICHA 15 OZ X 12"/>
    <n v="1"/>
    <n v="28.8"/>
    <n v="28.8"/>
    <n v="35292.55000000001"/>
    <n v="3"/>
    <s v="Se repite 3 veces"/>
    <s v="Peru Chef-Peru Chef Kiwicha 15oz x 12"/>
    <n v="3"/>
    <s v="Se repite 3 veces en Peru Chef"/>
    <s v="Peru Chef-Peru Chef Kiwicha 15oz x 12-28.8"/>
    <n v="2"/>
    <s v="Se repite 2 veces el precio de 28.8"/>
    <s v="El producto Peru Chef Kiwicha 15oz x 12 Se repite 3 veces en Peru Chef, Se repite 2 veces el precio de 28.8"/>
  </r>
  <r>
    <x v="1"/>
    <x v="8"/>
    <s v="Bill"/>
    <s v=""/>
    <x v="175"/>
    <s v="Maiz Cancha Montaña 15 Oz X 10"/>
    <n v="1"/>
    <n v="28"/>
    <n v="28"/>
    <n v="383.5"/>
    <n v="5"/>
    <s v="Se repite 5 veces"/>
    <s v="Peru Chef-Peru Chef Maiz Cancha Montaña15 Oz X 10"/>
    <n v="5"/>
    <s v="Se repite 5 veces en Peru Chef"/>
    <s v="Peru Chef-Peru Chef Maiz Cancha Montaña15 Oz X 10-28"/>
    <n v="3"/>
    <s v="Se repite 3 veces el precio de 28"/>
    <s v="El producto Peru Chef Maiz Cancha Montaña15 Oz X 10 Se repite 5 veces en Peru Chef, Se repite 3 veces el precio de 28"/>
  </r>
  <r>
    <x v="1"/>
    <x v="9"/>
    <s v="Bill"/>
    <s v="55130"/>
    <x v="175"/>
    <s v="Maiz Cancha Montaña 15 Oz X 10"/>
    <n v="1"/>
    <n v="28"/>
    <n v="28"/>
    <n v="2629.7"/>
    <n v="5"/>
    <s v="Se repite 5 veces"/>
    <s v="Peru Chef-Peru Chef Maiz Cancha Montaña15 Oz X 10"/>
    <n v="5"/>
    <s v="Se repite 5 veces en Peru Chef"/>
    <s v="Peru Chef-Peru Chef Maiz Cancha Montaña15 Oz X 10-28"/>
    <n v="3"/>
    <s v="Se repite 3 veces el precio de 28"/>
    <s v="El producto Peru Chef Maiz Cancha Montaña15 Oz X 10 Se repite 5 veces en Peru Chef, Se repite 3 veces el precio de 28"/>
  </r>
  <r>
    <x v="1"/>
    <x v="15"/>
    <s v="Bill"/>
    <s v="55372"/>
    <x v="175"/>
    <s v="PERU CHEF- GRANOS -  BOLSA -  MAIZ CANCHA MONTAÑA15 OZ X 10"/>
    <n v="2"/>
    <n v="28"/>
    <n v="56"/>
    <n v="7492.6"/>
    <n v="5"/>
    <s v="Se repite 5 veces"/>
    <s v="Peru Chef-Peru Chef Maiz Cancha Montaña15 Oz X 10"/>
    <n v="5"/>
    <s v="Se repite 5 veces en Peru Chef"/>
    <s v="Peru Chef-Peru Chef Maiz Cancha Montaña15 Oz X 10-28"/>
    <n v="3"/>
    <s v="Se repite 3 veces el precio de 28"/>
    <s v="El producto Peru Chef Maiz Cancha Montaña15 Oz X 10 Se repite 5 veces en Peru Chef, Se repite 3 veces el precio de 28"/>
  </r>
  <r>
    <x v="1"/>
    <x v="16"/>
    <s v="Bill"/>
    <s v="2025001895"/>
    <x v="175"/>
    <s v="PERU CHEF- GRANOS -  BOLSA -  MAIZ CANCHA MONTAÑA15 OZ X 10"/>
    <n v="5"/>
    <n v="27"/>
    <n v="135"/>
    <n v="31027.9"/>
    <n v="5"/>
    <s v="Se repite 5 veces"/>
    <s v="Peru Chef-Peru Chef Maiz Cancha Montaña15 Oz X 10"/>
    <n v="5"/>
    <s v="Se repite 5 veces en Peru Chef"/>
    <s v="Peru Chef-Peru Chef Maiz Cancha Montaña15 Oz X 10-27"/>
    <n v="2"/>
    <s v="Se repite 2 veces el precio de 27"/>
    <s v="El producto Peru Chef Maiz Cancha Montaña15 Oz X 10 Se repite 5 veces en Peru Chef, Se repite 2 veces el precio de 27"/>
  </r>
  <r>
    <x v="1"/>
    <x v="17"/>
    <s v="Bill"/>
    <s v="57055"/>
    <x v="175"/>
    <s v="PERU CHEF- GRANOS -  BOLSA -  MAIZ CANCHA MONTAÑA15 OZ X 10"/>
    <n v="1"/>
    <n v="27"/>
    <n v="27"/>
    <n v="34956.85"/>
    <n v="5"/>
    <s v="Se repite 5 veces"/>
    <s v="Peru Chef-Peru Chef Maiz Cancha Montaña15 Oz X 10"/>
    <n v="5"/>
    <s v="Se repite 5 veces en Peru Chef"/>
    <s v="Peru Chef-Peru Chef Maiz Cancha Montaña15 Oz X 10-27"/>
    <n v="2"/>
    <s v="Se repite 2 veces el precio de 27"/>
    <s v="El producto Peru Chef Maiz Cancha Montaña15 Oz X 10 Se repite 5 veces en Peru Chef, Se repite 2 veces el precio de 27"/>
  </r>
  <r>
    <x v="1"/>
    <x v="8"/>
    <s v="Bill"/>
    <s v=""/>
    <x v="176"/>
    <s v="Maiz Chulpe 15 Oz X 12"/>
    <n v="1"/>
    <n v="28"/>
    <n v="28"/>
    <n v="355.5"/>
    <n v="5"/>
    <s v="Se repite 5 veces"/>
    <s v="Peru Chef-PERU CHEF Maiz Chulpe 15oz x 12"/>
    <n v="5"/>
    <s v="Se repite 5 veces en Peru Chef"/>
    <s v="Peru Chef-PERU CHEF Maiz Chulpe 15oz x 12-28"/>
    <n v="3"/>
    <s v="Se repite 3 veces el precio de 28"/>
    <s v="El producto PERU CHEF Maiz Chulpe 15oz x 12 Se repite 5 veces en Peru Chef, Se repite 3 veces el precio de 28"/>
  </r>
  <r>
    <x v="1"/>
    <x v="9"/>
    <s v="Bill"/>
    <s v="55130"/>
    <x v="176"/>
    <s v="Maiz Chulpe 15 Oz X 12"/>
    <n v="1"/>
    <n v="28"/>
    <n v="28"/>
    <n v="2601.6999999999998"/>
    <n v="5"/>
    <s v="Se repite 5 veces"/>
    <s v="Peru Chef-PERU CHEF Maiz Chulpe 15oz x 12"/>
    <n v="5"/>
    <s v="Se repite 5 veces en Peru Chef"/>
    <s v="Peru Chef-PERU CHEF Maiz Chulpe 15oz x 12-28"/>
    <n v="3"/>
    <s v="Se repite 3 veces el precio de 28"/>
    <s v="El producto PERU CHEF Maiz Chulpe 15oz x 12 Se repite 5 veces en Peru Chef, Se repite 3 veces el precio de 28"/>
  </r>
  <r>
    <x v="1"/>
    <x v="15"/>
    <s v="Bill"/>
    <s v="55372"/>
    <x v="176"/>
    <s v="PERU CHEF- GRANOS -  BOLSA -  MAIZ CHULPE 15 OZ X 12"/>
    <n v="2"/>
    <n v="28"/>
    <n v="56"/>
    <n v="7436.6"/>
    <n v="5"/>
    <s v="Se repite 5 veces"/>
    <s v="Peru Chef-PERU CHEF Maiz Chulpe 15oz x 12"/>
    <n v="5"/>
    <s v="Se repite 5 veces en Peru Chef"/>
    <s v="Peru Chef-PERU CHEF Maiz Chulpe 15oz x 12-28"/>
    <n v="3"/>
    <s v="Se repite 3 veces el precio de 28"/>
    <s v="El producto PERU CHEF Maiz Chulpe 15oz x 12 Se repite 5 veces en Peru Chef, Se repite 3 veces el precio de 28"/>
  </r>
  <r>
    <x v="1"/>
    <x v="12"/>
    <s v="Bill"/>
    <s v="56352"/>
    <x v="176"/>
    <s v="PERU CHEF- GRANOS -  BOLSA -  MAIZ CHULPE 15 OZ X 12"/>
    <n v="5"/>
    <n v="30"/>
    <n v="150"/>
    <n v="12060.5"/>
    <n v="5"/>
    <s v="Se repite 5 veces"/>
    <s v="Peru Chef-PERU CHEF Maiz Chulpe 15oz x 12"/>
    <n v="5"/>
    <s v="Se repite 5 veces en Peru Chef"/>
    <s v="Peru Chef-PERU CHEF Maiz Chulpe 15oz x 12-30"/>
    <n v="1"/>
    <s v="No se repite"/>
    <s v="El producto PERU CHEF Maiz Chulpe 15oz x 12 Se repite 5 veces en Peru Chef Una vez con el precio 30"/>
  </r>
  <r>
    <x v="1"/>
    <x v="16"/>
    <s v="Bill"/>
    <s v="2025001895"/>
    <x v="176"/>
    <s v="PERU CHEF- GRANOS -  BOLSA -  MAIZ CHULPE 15 OZ X 12"/>
    <n v="5"/>
    <n v="27"/>
    <n v="135"/>
    <n v="30892.9"/>
    <n v="5"/>
    <s v="Se repite 5 veces"/>
    <s v="Peru Chef-PERU CHEF Maiz Chulpe 15oz x 12"/>
    <n v="5"/>
    <s v="Se repite 5 veces en Peru Chef"/>
    <s v="Peru Chef-PERU CHEF Maiz Chulpe 15oz x 12-27"/>
    <n v="1"/>
    <s v="No se repite"/>
    <s v="El producto PERU CHEF Maiz Chulpe 15oz x 12 Se repite 5 veces en Peru Chef Una vez con el precio 27"/>
  </r>
  <r>
    <x v="1"/>
    <x v="8"/>
    <s v="Bill"/>
    <s v=""/>
    <x v="177"/>
    <s v="Maiz Morado 15 Oz X 22"/>
    <n v="1"/>
    <n v="48"/>
    <n v="48"/>
    <n v="327.5"/>
    <n v="3"/>
    <s v="Se repite 3 veces"/>
    <s v="Peru Chef-Peru Chef Maiz Morado 15 Oz X 22"/>
    <n v="3"/>
    <s v="Se repite 3 veces en Peru Chef"/>
    <s v="Peru Chef-Peru Chef Maiz Morado 15 Oz X 22-48"/>
    <n v="3"/>
    <s v="Se repite 3 veces el precio de 48"/>
    <s v="El producto Peru Chef Maiz Morado 15 Oz X 22 Se repite 3 veces en Peru Chef, Se repite 3 veces el precio de 48"/>
  </r>
  <r>
    <x v="1"/>
    <x v="9"/>
    <s v="Bill"/>
    <s v="55130"/>
    <x v="177"/>
    <s v="Maiz Morado 15 Oz X 22"/>
    <n v="1"/>
    <n v="48"/>
    <n v="48"/>
    <n v="2573.6999999999998"/>
    <n v="3"/>
    <s v="Se repite 3 veces"/>
    <s v="Peru Chef-Peru Chef Maiz Morado 15 Oz X 22"/>
    <n v="3"/>
    <s v="Se repite 3 veces en Peru Chef"/>
    <s v="Peru Chef-Peru Chef Maiz Morado 15 Oz X 22-48"/>
    <n v="3"/>
    <s v="Se repite 3 veces el precio de 48"/>
    <s v="El producto Peru Chef Maiz Morado 15 Oz X 22 Se repite 3 veces en Peru Chef, Se repite 3 veces el precio de 48"/>
  </r>
  <r>
    <x v="1"/>
    <x v="24"/>
    <s v="Bill"/>
    <s v="55164"/>
    <x v="177"/>
    <s v="Maiz Morado 15 Oz X 22"/>
    <n v="1"/>
    <n v="48"/>
    <n v="48"/>
    <n v="5812.6"/>
    <n v="3"/>
    <s v="Se repite 3 veces"/>
    <s v="Peru Chef-Peru Chef Maiz Morado 15 Oz X 22"/>
    <n v="3"/>
    <s v="Se repite 3 veces en Peru Chef"/>
    <s v="Peru Chef-Peru Chef Maiz Morado 15 Oz X 22-48"/>
    <n v="3"/>
    <s v="Se repite 3 veces el precio de 48"/>
    <s v="El producto Peru Chef Maiz Morado 15 Oz X 22 Se repite 3 veces en Peru Chef, Se repite 3 veces el precio de 48"/>
  </r>
  <r>
    <x v="1"/>
    <x v="8"/>
    <s v="Bill"/>
    <s v=""/>
    <x v="178"/>
    <s v="Maiz Mote Pelado 15 Oz X 12"/>
    <n v="1"/>
    <n v="30"/>
    <n v="30"/>
    <n v="413.5"/>
    <n v="4"/>
    <s v="Se repite 4 veces"/>
    <s v="Peru Chef-Peru Chef Maiz Mote Pelado 15 Oz X 12"/>
    <n v="4"/>
    <s v="Se repite 4 veces en Peru Chef"/>
    <s v="Peru Chef-Peru Chef Maiz Mote Pelado 15 Oz X 12-30"/>
    <n v="2"/>
    <s v="Se repite 2 veces el precio de 30"/>
    <s v="El producto Peru Chef Maiz Mote Pelado 15 Oz X 12 Se repite 4 veces en Peru Chef, Se repite 2 veces el precio de 30"/>
  </r>
  <r>
    <x v="1"/>
    <x v="9"/>
    <s v="Bill"/>
    <s v="55130"/>
    <x v="178"/>
    <s v="Maiz Mote Pelado 15 Oz X 12"/>
    <n v="1"/>
    <n v="30"/>
    <n v="30"/>
    <n v="2659.7"/>
    <n v="4"/>
    <s v="Se repite 4 veces"/>
    <s v="Peru Chef-Peru Chef Maiz Mote Pelado 15 Oz X 12"/>
    <n v="4"/>
    <s v="Se repite 4 veces en Peru Chef"/>
    <s v="Peru Chef-Peru Chef Maiz Mote Pelado 15 Oz X 12-30"/>
    <n v="2"/>
    <s v="Se repite 2 veces el precio de 30"/>
    <s v="El producto Peru Chef Maiz Mote Pelado 15 Oz X 12 Se repite 4 veces en Peru Chef, Se repite 2 veces el precio de 30"/>
  </r>
  <r>
    <x v="1"/>
    <x v="23"/>
    <s v="Bill"/>
    <s v="2025001209"/>
    <x v="178"/>
    <s v="Maiz Mote Pelado 15 Oz X 12"/>
    <n v="2"/>
    <n v="36"/>
    <n v="72"/>
    <n v="16585.5"/>
    <n v="4"/>
    <s v="Se repite 4 veces"/>
    <s v="Peru Chef-Peru Chef Maiz Mote Pelado 15 Oz X 12"/>
    <n v="4"/>
    <s v="Se repite 4 veces en Peru Chef"/>
    <s v="Peru Chef-Peru Chef Maiz Mote Pelado 15 Oz X 12-36"/>
    <n v="2"/>
    <s v="Se repite 2 veces el precio de 36"/>
    <s v="El producto Peru Chef Maiz Mote Pelado 15 Oz X 12 Se repite 4 veces en Peru Chef, Se repite 2 veces el precio de 36"/>
  </r>
  <r>
    <x v="1"/>
    <x v="1"/>
    <s v="Bill"/>
    <s v="2025001378"/>
    <x v="178"/>
    <s v="Maiz Mote Pelado 15 Oz X 12"/>
    <n v="4"/>
    <n v="36"/>
    <n v="144"/>
    <n v="21126"/>
    <n v="4"/>
    <s v="Se repite 4 veces"/>
    <s v="Peru Chef-Peru Chef Maiz Mote Pelado 15 Oz X 12"/>
    <n v="4"/>
    <s v="Se repite 4 veces en Peru Chef"/>
    <s v="Peru Chef-Peru Chef Maiz Mote Pelado 15 Oz X 12-36"/>
    <n v="2"/>
    <s v="Se repite 2 veces el precio de 36"/>
    <s v="El producto Peru Chef Maiz Mote Pelado 15 Oz X 12 Se repite 4 veces en Peru Chef, Se repite 2 veces el precio de 36"/>
  </r>
  <r>
    <x v="1"/>
    <x v="8"/>
    <s v="Bill"/>
    <s v=""/>
    <x v="179"/>
    <s v="Peru Chef Passion friut juice 1Lt x 12"/>
    <n v="1"/>
    <n v="32.5"/>
    <n v="32.5"/>
    <n v="32.5"/>
    <n v="1"/>
    <s v="No se repite"/>
    <s v="Peru Chef-Peru Chef Maracuya jugo / Passion friut juice 1Lt x 12"/>
    <n v="1"/>
    <s v="No se repite en proveedor"/>
    <s v="Peru Chef-Peru Chef Maracuya jugo / Passion friut juice 1Lt x 12-32.5"/>
    <n v="1"/>
    <s v="No se repite"/>
    <s v="El producto Peru Chef Maracuya jugo / Passion friut juice 1Lt x 12 No se repite en proveedor Una vez con el precio 32.5"/>
  </r>
  <r>
    <x v="1"/>
    <x v="8"/>
    <s v="Bill"/>
    <s v=""/>
    <x v="180"/>
    <s v="Peruchef Chancaca"/>
    <n v="1"/>
    <n v="50"/>
    <n v="50"/>
    <n v="1250.1999999999998"/>
    <n v="4"/>
    <s v="Se repite 4 veces"/>
    <s v="Peru Chef-Peru Chef Miel de Chancaca 17oz x 12"/>
    <n v="4"/>
    <s v="Se repite 4 veces en Peru Chef"/>
    <s v="Peru Chef-Peru Chef Miel de Chancaca 17oz x 12-50"/>
    <n v="2"/>
    <s v="Se repite 2 veces el precio de 50"/>
    <s v="El producto Peru Chef Miel de Chancaca 17oz x 12 Se repite 4 veces en Peru Chef, Se repite 2 veces el precio de 50"/>
  </r>
  <r>
    <x v="1"/>
    <x v="9"/>
    <s v="Bill"/>
    <s v="55130"/>
    <x v="180"/>
    <s v="Peruchef Chancaca"/>
    <n v="1"/>
    <n v="50"/>
    <n v="50"/>
    <n v="3401"/>
    <n v="4"/>
    <s v="Se repite 4 veces"/>
    <s v="Peru Chef-Peru Chef Miel de Chancaca 17oz x 12"/>
    <n v="4"/>
    <s v="Se repite 4 veces en Peru Chef"/>
    <s v="Peru Chef-Peru Chef Miel de Chancaca 17oz x 12-50"/>
    <n v="2"/>
    <s v="Se repite 2 veces el precio de 50"/>
    <s v="El producto Peru Chef Miel de Chancaca 17oz x 12 Se repite 4 veces en Peru Chef, Se repite 2 veces el precio de 50"/>
  </r>
  <r>
    <x v="1"/>
    <x v="23"/>
    <s v="Bill"/>
    <s v="2025001209"/>
    <x v="180"/>
    <s v="PERU CHEF- MIEL -   -  PERUCHEF CHANCACA-  FCO PLASTICO 17 OZ / 12"/>
    <n v="2"/>
    <n v="58"/>
    <n v="116"/>
    <n v="18442.5"/>
    <n v="4"/>
    <s v="Se repite 4 veces"/>
    <s v="Peru Chef-Peru Chef Miel de Chancaca 17oz x 12"/>
    <n v="4"/>
    <s v="Se repite 4 veces en Peru Chef"/>
    <s v="Peru Chef-Peru Chef Miel de Chancaca 17oz x 12-58"/>
    <n v="1"/>
    <s v="No se repite"/>
    <s v="El producto Peru Chef Miel de Chancaca 17oz x 12 Se repite 4 veces en Peru Chef Una vez con el precio 58"/>
  </r>
  <r>
    <x v="1"/>
    <x v="18"/>
    <s v="Bill"/>
    <s v="2025002373"/>
    <x v="180"/>
    <s v="PERU CHEF- MIEL -   -  PERUCHEF CHANCACA-  FCO PLASTICO 17 OZ / 12"/>
    <n v="1"/>
    <n v="52.2"/>
    <n v="52.2"/>
    <n v="41970.549999999988"/>
    <n v="4"/>
    <s v="Se repite 4 veces"/>
    <s v="Peru Chef-Peru Chef Miel de Chancaca 17oz x 12"/>
    <n v="4"/>
    <s v="Se repite 4 veces en Peru Chef"/>
    <s v="Peru Chef-Peru Chef Miel de Chancaca 17oz x 12-52.2"/>
    <n v="1"/>
    <s v="No se repite"/>
    <s v="El producto Peru Chef Miel de Chancaca 17oz x 12 Se repite 4 veces en Peru Chef Una vez con el precio 52.2"/>
  </r>
  <r>
    <x v="1"/>
    <x v="2"/>
    <s v="Bill"/>
    <s v="2025001691"/>
    <x v="181"/>
    <s v="PERU CHEF- FILTRANTES PERUCHEF -   -  MUÑA X 20"/>
    <n v="2"/>
    <n v="21.5"/>
    <n v="43"/>
    <n v="27186"/>
    <n v="1"/>
    <s v="No se repite"/>
    <s v="Peru Chef-PERU CHEF Muña x 20 filtrante"/>
    <n v="1"/>
    <s v="No se repite en proveedor"/>
    <s v="Peru Chef-PERU CHEF Muña x 20 filtrante-21.5"/>
    <n v="1"/>
    <s v="No se repite"/>
    <s v="El producto PERU CHEF Muña x 20 filtrante No se repite en proveedor Una vez con el precio 21.5"/>
  </r>
  <r>
    <x v="1"/>
    <x v="8"/>
    <s v="Bill"/>
    <s v=""/>
    <x v="182"/>
    <s v="Olluco Cortado 1 Lb X 18"/>
    <n v="1"/>
    <n v="80"/>
    <n v="80"/>
    <n v="2158.6999999999998"/>
    <n v="2"/>
    <s v="Se repite 2 veces"/>
    <s v="Peru Chef-Peru Chef Olluco Cortado 1 Lb X 20"/>
    <n v="2"/>
    <s v="Se repite 2 veces en Peru Chef"/>
    <s v="Peru Chef-Peru Chef Olluco Cortado 1 Lb X 20-80"/>
    <n v="2"/>
    <s v="Se repite 2 veces el precio de 80"/>
    <s v="El producto Peru Chef Olluco Cortado 1 Lb X 20 Se repite 2 veces en Peru Chef, Se repite 2 veces el precio de 80"/>
  </r>
  <r>
    <x v="1"/>
    <x v="9"/>
    <s v="Bill"/>
    <s v="55130"/>
    <x v="182"/>
    <s v="Olluco Cortado 1 Lb X 18"/>
    <n v="1"/>
    <n v="80"/>
    <n v="80"/>
    <n v="4184.5"/>
    <n v="2"/>
    <s v="Se repite 2 veces"/>
    <s v="Peru Chef-Peru Chef Olluco Cortado 1 Lb X 20"/>
    <n v="2"/>
    <s v="Se repite 2 veces en Peru Chef"/>
    <s v="Peru Chef-Peru Chef Olluco Cortado 1 Lb X 20-80"/>
    <n v="2"/>
    <s v="Se repite 2 veces el precio de 80"/>
    <s v="El producto Peru Chef Olluco Cortado 1 Lb X 20 Se repite 2 veces en Peru Chef, Se repite 2 veces el precio de 80"/>
  </r>
  <r>
    <x v="1"/>
    <x v="8"/>
    <s v="Bill"/>
    <s v=""/>
    <x v="183"/>
    <s v="Oregano Entero 30 G X 12"/>
    <n v="1"/>
    <n v="30"/>
    <n v="30"/>
    <n v="701.3"/>
    <n v="2"/>
    <s v="Se repite 2 veces"/>
    <s v="Peru Chef-Peru Chef Oregano Entero 30 G X 12"/>
    <n v="2"/>
    <s v="Se repite 2 veces en Peru Chef"/>
    <s v="Peru Chef-Peru Chef Oregano Entero 30 G X 12-30"/>
    <n v="2"/>
    <s v="Se repite 2 veces el precio de 30"/>
    <s v="El producto Peru Chef Oregano Entero 30 G X 12 Se repite 2 veces en Peru Chef, Se repite 2 veces el precio de 30"/>
  </r>
  <r>
    <x v="1"/>
    <x v="9"/>
    <s v="Bill"/>
    <s v="55130"/>
    <x v="183"/>
    <s v="Oregano Entero 30 G X 12"/>
    <n v="1"/>
    <n v="30"/>
    <n v="30"/>
    <n v="2947.5"/>
    <n v="2"/>
    <s v="Se repite 2 veces"/>
    <s v="Peru Chef-Peru Chef Oregano Entero 30 G X 12"/>
    <n v="2"/>
    <s v="Se repite 2 veces en Peru Chef"/>
    <s v="Peru Chef-Peru Chef Oregano Entero 30 G X 12-30"/>
    <n v="2"/>
    <s v="Se repite 2 veces el precio de 30"/>
    <s v="El producto Peru Chef Oregano Entero 30 G X 12 Se repite 2 veces en Peru Chef, Se repite 2 veces el precio de 30"/>
  </r>
  <r>
    <x v="1"/>
    <x v="8"/>
    <s v="Bill"/>
    <s v=""/>
    <x v="184"/>
    <s v="Palillo Molido75 G X 12"/>
    <n v="1"/>
    <n v="24"/>
    <n v="24"/>
    <n v="749.3"/>
    <n v="2"/>
    <s v="Se repite 2 veces"/>
    <s v="Peru Chef-Peru Chef Palillo Molido75gr x 12"/>
    <n v="2"/>
    <s v="Se repite 2 veces en Peru Chef"/>
    <s v="Peru Chef-Peru Chef Palillo Molido75gr x 12-24"/>
    <n v="2"/>
    <s v="Se repite 2 veces el precio de 24"/>
    <s v="El producto Peru Chef Palillo Molido75gr x 12 Se repite 2 veces en Peru Chef, Se repite 2 veces el precio de 24"/>
  </r>
  <r>
    <x v="1"/>
    <x v="9"/>
    <s v="Bill"/>
    <s v="55130"/>
    <x v="184"/>
    <s v="Palillo Molido75 G X 12"/>
    <n v="1"/>
    <n v="24"/>
    <n v="24"/>
    <n v="2995.5"/>
    <n v="2"/>
    <s v="Se repite 2 veces"/>
    <s v="Peru Chef-Peru Chef Palillo Molido75gr x 12"/>
    <n v="2"/>
    <s v="Se repite 2 veces en Peru Chef"/>
    <s v="Peru Chef-Peru Chef Palillo Molido75gr x 12-24"/>
    <n v="2"/>
    <s v="Se repite 2 veces el precio de 24"/>
    <s v="El producto Peru Chef Palillo Molido75gr x 12 Se repite 2 veces en Peru Chef, Se repite 2 veces el precio de 24"/>
  </r>
  <r>
    <x v="1"/>
    <x v="8"/>
    <s v="Bill"/>
    <s v=""/>
    <x v="185"/>
    <s v="Pallares 15 Oz X 12"/>
    <n v="1"/>
    <n v="24"/>
    <n v="24"/>
    <n v="611.29999999999995"/>
    <n v="5"/>
    <s v="Se repite 5 veces"/>
    <s v="Peru Chef-Peru Chef Pallares 15oz x 12"/>
    <n v="5"/>
    <s v="Se repite 5 veces en Peru Chef"/>
    <s v="Peru Chef-Peru Chef Pallares 15oz x 12-24"/>
    <n v="2"/>
    <s v="Se repite 2 veces el precio de 24"/>
    <s v="El producto Peru Chef Pallares 15oz x 12 Se repite 5 veces en Peru Chef, Se repite 2 veces el precio de 24"/>
  </r>
  <r>
    <x v="1"/>
    <x v="9"/>
    <s v="Bill"/>
    <s v="55130"/>
    <x v="185"/>
    <s v="Pallares 15 Oz X 12"/>
    <n v="1"/>
    <n v="24"/>
    <n v="24"/>
    <n v="2857.5"/>
    <n v="5"/>
    <s v="Se repite 5 veces"/>
    <s v="Peru Chef-Peru Chef Pallares 15oz x 12"/>
    <n v="5"/>
    <s v="Se repite 5 veces en Peru Chef"/>
    <s v="Peru Chef-Peru Chef Pallares 15oz x 12-24"/>
    <n v="2"/>
    <s v="Se repite 2 veces el precio de 24"/>
    <s v="El producto Peru Chef Pallares 15oz x 12 Se repite 5 veces en Peru Chef, Se repite 2 veces el precio de 24"/>
  </r>
  <r>
    <x v="1"/>
    <x v="12"/>
    <s v="Bill"/>
    <s v="56352"/>
    <x v="185"/>
    <s v="PERU CHEF- GRANOS -  BOLSA -  PALLARES 15 OZ X 12"/>
    <n v="2"/>
    <n v="26"/>
    <n v="52"/>
    <n v="12373.5"/>
    <n v="5"/>
    <s v="Se repite 5 veces"/>
    <s v="Peru Chef-Peru Chef Pallares 15oz x 12"/>
    <n v="5"/>
    <s v="Se repite 5 veces en Peru Chef"/>
    <s v="Peru Chef-Peru Chef Pallares 15oz x 12-26"/>
    <n v="2"/>
    <s v="Se repite 2 veces el precio de 26"/>
    <s v="El producto Peru Chef Pallares 15oz x 12 Se repite 5 veces en Peru Chef, Se repite 2 veces el precio de 26"/>
  </r>
  <r>
    <x v="1"/>
    <x v="23"/>
    <s v="Bill"/>
    <s v="2025001209"/>
    <x v="185"/>
    <s v="PERU CHEF- GRANOS -  BOLSA -  PALLARES 15 OZ X 12"/>
    <n v="2"/>
    <n v="26"/>
    <n v="52"/>
    <n v="16883.5"/>
    <n v="5"/>
    <s v="Se repite 5 veces"/>
    <s v="Peru Chef-Peru Chef Pallares 15oz x 12"/>
    <n v="5"/>
    <s v="Se repite 5 veces en Peru Chef"/>
    <s v="Peru Chef-Peru Chef Pallares 15oz x 12-26"/>
    <n v="2"/>
    <s v="Se repite 2 veces el precio de 26"/>
    <s v="El producto Peru Chef Pallares 15oz x 12 Se repite 5 veces en Peru Chef, Se repite 2 veces el precio de 26"/>
  </r>
  <r>
    <x v="1"/>
    <x v="18"/>
    <s v="Bill"/>
    <s v="2025002373"/>
    <x v="185"/>
    <s v="PERU CHEF- GRANOS -  BOLSA -  PALLARES 15 OZ X 12"/>
    <n v="1"/>
    <n v="23.4"/>
    <n v="23.4"/>
    <n v="41486.35"/>
    <n v="5"/>
    <s v="Se repite 5 veces"/>
    <s v="Peru Chef-Peru Chef Pallares 15oz x 12"/>
    <n v="5"/>
    <s v="Se repite 5 veces en Peru Chef"/>
    <s v="Peru Chef-Peru Chef Pallares 15oz x 12-23.4"/>
    <n v="1"/>
    <s v="No se repite"/>
    <s v="El producto Peru Chef Pallares 15oz x 12 Se repite 5 veces en Peru Chef Una vez con el precio 23.4"/>
  </r>
  <r>
    <x v="1"/>
    <x v="15"/>
    <s v="Bill"/>
    <s v="55372"/>
    <x v="186"/>
    <s v="PERU CHEF- PANETON -   -  PERUCHEF PANETON 900 G X 6"/>
    <n v="20"/>
    <n v="38"/>
    <n v="760"/>
    <n v="10606.5"/>
    <n v="4"/>
    <s v="Se repite 4 veces"/>
    <s v="Peru Chef-Peru Chef Paneton 900 G X 6"/>
    <n v="4"/>
    <s v="Se repite 4 veces en Peru Chef"/>
    <s v="Peru Chef-Peru Chef Paneton 900 G X 6-38"/>
    <n v="1"/>
    <s v="No se repite"/>
    <s v="El producto Peru Chef Paneton 900 G X 6 Se repite 4 veces en Peru Chef Una vez con el precio 38"/>
  </r>
  <r>
    <x v="1"/>
    <x v="12"/>
    <s v="Bill"/>
    <s v="56352"/>
    <x v="186"/>
    <s v="PERU CHEF- PANETON -   -  PERUCHEF PANETON 900 G X 6"/>
    <n v="5"/>
    <n v="42"/>
    <n v="210"/>
    <n v="14598.5"/>
    <n v="4"/>
    <s v="Se repite 4 veces"/>
    <s v="Peru Chef-Peru Chef Paneton 900 G X 6"/>
    <n v="4"/>
    <s v="Se repite 4 veces en Peru Chef"/>
    <s v="Peru Chef-Peru Chef Paneton 900 G X 6-42"/>
    <n v="1"/>
    <s v="No se repite"/>
    <s v="El producto Peru Chef Paneton 900 G X 6 Se repite 4 veces en Peru Chef Una vez con el precio 42"/>
  </r>
  <r>
    <x v="1"/>
    <x v="1"/>
    <s v="Bill"/>
    <s v="2025001378"/>
    <x v="186"/>
    <s v="PERU CHEF- PANETON -   -  PERUCHEF PANETON 900 G X 6"/>
    <n v="10"/>
    <n v="36"/>
    <n v="360"/>
    <n v="21651"/>
    <n v="4"/>
    <s v="Se repite 4 veces"/>
    <s v="Peru Chef-Peru Chef Paneton 900 G X 6"/>
    <n v="4"/>
    <s v="Se repite 4 veces en Peru Chef"/>
    <s v="Peru Chef-Peru Chef Paneton 900 G X 6-36"/>
    <n v="2"/>
    <s v="Se repite 2 veces el precio de 36"/>
    <s v="El producto Peru Chef Paneton 900 G X 6 Se repite 4 veces en Peru Chef, Se repite 2 veces el precio de 36"/>
  </r>
  <r>
    <x v="1"/>
    <x v="18"/>
    <s v="Bill"/>
    <s v="2025002374"/>
    <x v="186"/>
    <s v="PERU CHEF- PANETON -   -  PERUCHEF PANETON 900 G X 6"/>
    <n v="5"/>
    <n v="36"/>
    <n v="180"/>
    <n v="38772.850000000006"/>
    <n v="4"/>
    <s v="Se repite 4 veces"/>
    <s v="Peru Chef-Peru Chef Paneton 900 G X 6"/>
    <n v="4"/>
    <s v="Se repite 4 veces en Peru Chef"/>
    <s v="Peru Chef-Peru Chef Paneton 900 G X 6-36"/>
    <n v="2"/>
    <s v="Se repite 2 veces el precio de 36"/>
    <s v="El producto Peru Chef Paneton 900 G X 6 Se repite 4 veces en Peru Chef, Se repite 2 veces el precio de 36"/>
  </r>
  <r>
    <x v="1"/>
    <x v="8"/>
    <s v="Bill"/>
    <s v=""/>
    <x v="187"/>
    <s v="Papa Amarilla 1 Lb X 26"/>
    <n v="1"/>
    <n v="78"/>
    <n v="78"/>
    <n v="2236.6999999999998"/>
    <n v="2"/>
    <s v="Se repite 2 veces"/>
    <s v="Peru Chef-Peru Chef Papa Amarilla 1 Lb X 26 FROZEN"/>
    <n v="2"/>
    <s v="Se repite 2 veces en Peru Chef"/>
    <s v="Peru Chef-Peru Chef Papa Amarilla 1 Lb X 26 FROZEN-78"/>
    <n v="2"/>
    <s v="Se repite 2 veces el precio de 78"/>
    <s v="El producto Peru Chef Papa Amarilla 1 Lb X 26 FROZEN Se repite 2 veces en Peru Chef, Se repite 2 veces el precio de 78"/>
  </r>
  <r>
    <x v="1"/>
    <x v="9"/>
    <s v="Bill"/>
    <s v="55130"/>
    <x v="187"/>
    <s v="Papa Amarilla 1 Lb X 26"/>
    <n v="1"/>
    <n v="78"/>
    <n v="78"/>
    <n v="4262.5"/>
    <n v="2"/>
    <s v="Se repite 2 veces"/>
    <s v="Peru Chef-Peru Chef Papa Amarilla 1 Lb X 26 FROZEN"/>
    <n v="2"/>
    <s v="Se repite 2 veces en Peru Chef"/>
    <s v="Peru Chef-Peru Chef Papa Amarilla 1 Lb X 26 FROZEN-78"/>
    <n v="2"/>
    <s v="Se repite 2 veces el precio de 78"/>
    <s v="El producto Peru Chef Papa Amarilla 1 Lb X 26 FROZEN Se repite 2 veces en Peru Chef, Se repite 2 veces el precio de 78"/>
  </r>
  <r>
    <x v="1"/>
    <x v="17"/>
    <s v="Bill"/>
    <s v="57055"/>
    <x v="188"/>
    <s v="Peru Chef Papa Huayro 2Lb"/>
    <n v="24"/>
    <n v="4.5"/>
    <n v="108"/>
    <n v="34929.85"/>
    <n v="1"/>
    <s v="No se repite"/>
    <s v="Peru Chef-Peru Chef Papa Huayro 2Lb"/>
    <n v="1"/>
    <s v="No se repite en proveedor"/>
    <s v="Peru Chef-Peru Chef Papa Huayro 2Lb-4.5"/>
    <n v="1"/>
    <s v="No se repite"/>
    <s v="El producto Peru Chef Papa Huayro 2Lb No se repite en proveedor Una vez con el precio 4.5"/>
  </r>
  <r>
    <x v="1"/>
    <x v="8"/>
    <s v="Bill"/>
    <s v=""/>
    <x v="189"/>
    <s v="Papa Seca Amarilla 12 Oz X 8"/>
    <n v="1"/>
    <n v="17"/>
    <n v="17"/>
    <n v="449.5"/>
    <n v="8"/>
    <s v="Se repite 8 veces"/>
    <s v="Peru Chef-Peru Chef Papa Seca Amarilla 12oz x 8"/>
    <n v="8"/>
    <s v="Se repite 8 veces en Peru Chef"/>
    <s v="Peru Chef-Peru Chef Papa Seca Amarilla 12oz x 8-17"/>
    <n v="3"/>
    <s v="Se repite 3 veces el precio de 17"/>
    <s v="El producto Peru Chef Papa Seca Amarilla 12oz x 8 Se repite 8 veces en Peru Chef, Se repite 3 veces el precio de 17"/>
  </r>
  <r>
    <x v="1"/>
    <x v="9"/>
    <s v="Bill"/>
    <s v="55130"/>
    <x v="189"/>
    <s v="Papa Seca Amarilla 12 Oz X 8"/>
    <n v="1"/>
    <n v="17"/>
    <n v="17"/>
    <n v="2695.7"/>
    <n v="8"/>
    <s v="Se repite 8 veces"/>
    <s v="Peru Chef-Peru Chef Papa Seca Amarilla 12oz x 8"/>
    <n v="8"/>
    <s v="Se repite 8 veces en Peru Chef"/>
    <s v="Peru Chef-Peru Chef Papa Seca Amarilla 12oz x 8-17"/>
    <n v="3"/>
    <s v="Se repite 3 veces el precio de 17"/>
    <s v="El producto Peru Chef Papa Seca Amarilla 12oz x 8 Se repite 8 veces en Peru Chef, Se repite 3 veces el precio de 17"/>
  </r>
  <r>
    <x v="1"/>
    <x v="15"/>
    <s v="Bill"/>
    <s v="55372"/>
    <x v="189"/>
    <s v="PERU CHEF- GRANOS -  BOLSA -  PAPA SECA AMARILLA 12 OZ X 8"/>
    <n v="2"/>
    <n v="17"/>
    <n v="34"/>
    <n v="7568.6"/>
    <n v="8"/>
    <s v="Se repite 8 veces"/>
    <s v="Peru Chef-Peru Chef Papa Seca Amarilla 12oz x 8"/>
    <n v="8"/>
    <s v="Se repite 8 veces en Peru Chef"/>
    <s v="Peru Chef-Peru Chef Papa Seca Amarilla 12oz x 8-17"/>
    <n v="3"/>
    <s v="Se repite 3 veces el precio de 17"/>
    <s v="El producto Peru Chef Papa Seca Amarilla 12oz x 8 Se repite 8 veces en Peru Chef, Se repite 3 veces el precio de 17"/>
  </r>
  <r>
    <x v="1"/>
    <x v="12"/>
    <s v="Bill"/>
    <s v="56352"/>
    <x v="189"/>
    <s v="PERU CHEF- GRANOS -  BOLSA -  PAPA SECA AMARILLA 12 OZ X 8"/>
    <n v="3"/>
    <n v="19"/>
    <n v="57"/>
    <n v="12117.5"/>
    <n v="8"/>
    <s v="Se repite 8 veces"/>
    <s v="Peru Chef-Peru Chef Papa Seca Amarilla 12oz x 8"/>
    <n v="8"/>
    <s v="Se repite 8 veces en Peru Chef"/>
    <s v="Peru Chef-Peru Chef Papa Seca Amarilla 12oz x 8-19"/>
    <n v="3"/>
    <s v="Se repite 3 veces el precio de 19"/>
    <s v="El producto Peru Chef Papa Seca Amarilla 12oz x 8 Se repite 8 veces en Peru Chef, Se repite 3 veces el precio de 19"/>
  </r>
  <r>
    <x v="1"/>
    <x v="23"/>
    <s v="Bill"/>
    <s v="2025001209"/>
    <x v="189"/>
    <s v="PERU CHEF- GRANOS -  BOLSA -  PAPA SECA AMARILLA 12 OZ X 8"/>
    <n v="2"/>
    <n v="19"/>
    <n v="38"/>
    <n v="16623.5"/>
    <n v="8"/>
    <s v="Se repite 8 veces"/>
    <s v="Peru Chef-Peru Chef Papa Seca Amarilla 12oz x 8"/>
    <n v="8"/>
    <s v="Se repite 8 veces en Peru Chef"/>
    <s v="Peru Chef-Peru Chef Papa Seca Amarilla 12oz x 8-19"/>
    <n v="3"/>
    <s v="Se repite 3 veces el precio de 19"/>
    <s v="El producto Peru Chef Papa Seca Amarilla 12oz x 8 Se repite 8 veces en Peru Chef, Se repite 3 veces el precio de 19"/>
  </r>
  <r>
    <x v="1"/>
    <x v="2"/>
    <s v="Bill"/>
    <s v="2025001691"/>
    <x v="189"/>
    <s v="PERU CHEF- GRANOS -  BOLSA -  PAPA SECA AMARILLA 12 OZ X 8"/>
    <n v="5"/>
    <n v="19"/>
    <n v="95"/>
    <n v="28551.5"/>
    <n v="8"/>
    <s v="Se repite 8 veces"/>
    <s v="Peru Chef-Peru Chef Papa Seca Amarilla 12oz x 8"/>
    <n v="8"/>
    <s v="Se repite 8 veces en Peru Chef"/>
    <s v="Peru Chef-Peru Chef Papa Seca Amarilla 12oz x 8-19"/>
    <n v="3"/>
    <s v="Se repite 3 veces el precio de 19"/>
    <s v="El producto Peru Chef Papa Seca Amarilla 12oz x 8 Se repite 8 veces en Peru Chef, Se repite 3 veces el precio de 19"/>
  </r>
  <r>
    <x v="1"/>
    <x v="16"/>
    <s v="Bill"/>
    <s v="2025001895"/>
    <x v="189"/>
    <s v="PERU CHEF- GRANOS -  BOLSA -  PAPA SECA AMARILLA 12 OZ X 8"/>
    <n v="2"/>
    <n v="17.100000000000001"/>
    <n v="34.200000000000003"/>
    <n v="31137.7"/>
    <n v="8"/>
    <s v="Se repite 8 veces"/>
    <s v="Peru Chef-Peru Chef Papa Seca Amarilla 12oz x 8"/>
    <n v="8"/>
    <s v="Se repite 8 veces en Peru Chef"/>
    <s v="Peru Chef-Peru Chef Papa Seca Amarilla 12oz x 8-17.1"/>
    <n v="2"/>
    <s v="Se repite 2 veces el precio de 17.1"/>
    <s v="El producto Peru Chef Papa Seca Amarilla 12oz x 8 Se repite 8 veces en Peru Chef, Se repite 2 veces el precio de 17.1"/>
  </r>
  <r>
    <x v="1"/>
    <x v="17"/>
    <s v="Bill"/>
    <s v="57055"/>
    <x v="189"/>
    <s v="PERU CHEF- GRANOS -  BOLSA -  PAPA SECA AMARILLA 12 OZ X 8"/>
    <n v="3"/>
    <n v="17.100000000000001"/>
    <n v="51.3"/>
    <n v="35045.950000000004"/>
    <n v="8"/>
    <s v="Se repite 8 veces"/>
    <s v="Peru Chef-Peru Chef Papa Seca Amarilla 12oz x 8"/>
    <n v="8"/>
    <s v="Se repite 8 veces en Peru Chef"/>
    <s v="Peru Chef-Peru Chef Papa Seca Amarilla 12oz x 8-17.1"/>
    <n v="2"/>
    <s v="Se repite 2 veces el precio de 17.1"/>
    <s v="El producto Peru Chef Papa Seca Amarilla 12oz x 8 Se repite 8 veces en Peru Chef, Se repite 2 veces el precio de 17.1"/>
  </r>
  <r>
    <x v="1"/>
    <x v="8"/>
    <s v="Bill"/>
    <s v=""/>
    <x v="190"/>
    <s v="Papa Seca Serrana 15 Oz X 10"/>
    <n v="1"/>
    <n v="19"/>
    <n v="19"/>
    <n v="432.5"/>
    <n v="6"/>
    <s v="Se repite 6 veces"/>
    <s v="Peru Chef-Peru Chef Papa Seca Serrana 15 Oz X 10"/>
    <n v="6"/>
    <s v="Se repite 6 veces en Peru Chef"/>
    <s v="Peru Chef-Peru Chef Papa Seca Serrana 15 Oz X 10-19"/>
    <n v="2"/>
    <s v="Se repite 2 veces el precio de 19"/>
    <s v="El producto Peru Chef Papa Seca Serrana 15 Oz X 10 Se repite 6 veces en Peru Chef, Se repite 2 veces el precio de 19"/>
  </r>
  <r>
    <x v="1"/>
    <x v="9"/>
    <s v="Bill"/>
    <s v="55130"/>
    <x v="190"/>
    <s v="Papa Seca Serrana 15 Oz X 10"/>
    <n v="1"/>
    <n v="19"/>
    <n v="19"/>
    <n v="2678.7"/>
    <n v="6"/>
    <s v="Se repite 6 veces"/>
    <s v="Peru Chef-Peru Chef Papa Seca Serrana 15 Oz X 10"/>
    <n v="6"/>
    <s v="Se repite 6 veces en Peru Chef"/>
    <s v="Peru Chef-Peru Chef Papa Seca Serrana 15 Oz X 10-19"/>
    <n v="2"/>
    <s v="Se repite 2 veces el precio de 19"/>
    <s v="El producto Peru Chef Papa Seca Serrana 15 Oz X 10 Se repite 6 veces en Peru Chef, Se repite 2 veces el precio de 19"/>
  </r>
  <r>
    <x v="1"/>
    <x v="15"/>
    <s v="Bill"/>
    <s v="55372"/>
    <x v="190"/>
    <s v="PERU CHEF- GRANOS -  BOLSA -  PAPA SECA SERRANA 15 OZ X 10"/>
    <n v="2"/>
    <n v="21"/>
    <n v="42"/>
    <n v="7534.6"/>
    <n v="6"/>
    <s v="Se repite 6 veces"/>
    <s v="Peru Chef-Peru Chef Papa Seca Serrana 15 Oz X 10"/>
    <n v="6"/>
    <s v="Se repite 6 veces en Peru Chef"/>
    <s v="Peru Chef-Peru Chef Papa Seca Serrana 15 Oz X 10-21"/>
    <n v="2"/>
    <s v="Se repite 2 veces el precio de 21"/>
    <s v="El producto Peru Chef Papa Seca Serrana 15 Oz X 10 Se repite 6 veces en Peru Chef, Se repite 2 veces el precio de 21"/>
  </r>
  <r>
    <x v="1"/>
    <x v="2"/>
    <s v="Bill"/>
    <s v="2025001691"/>
    <x v="190"/>
    <s v="PERU CHEF- GRANOS -  BOLSA -  PAPA SECA SERRANA 15 OZ X 10"/>
    <n v="2"/>
    <n v="21"/>
    <n v="42"/>
    <n v="28456.5"/>
    <n v="6"/>
    <s v="Se repite 6 veces"/>
    <s v="Peru Chef-Peru Chef Papa Seca Serrana 15 Oz X 10"/>
    <n v="6"/>
    <s v="Se repite 6 veces en Peru Chef"/>
    <s v="Peru Chef-Peru Chef Papa Seca Serrana 15 Oz X 10-21"/>
    <n v="2"/>
    <s v="Se repite 2 veces el precio de 21"/>
    <s v="El producto Peru Chef Papa Seca Serrana 15 Oz X 10 Se repite 6 veces en Peru Chef, Se repite 2 veces el precio de 21"/>
  </r>
  <r>
    <x v="1"/>
    <x v="16"/>
    <s v="Bill"/>
    <s v="2025001895"/>
    <x v="190"/>
    <s v="PERU CHEF- GRANOS -  BOLSA -  PAPA SECA SERRANA 15 OZ X 10"/>
    <n v="4"/>
    <n v="18.899999999999999"/>
    <n v="75.599999999999994"/>
    <n v="31103.5"/>
    <n v="6"/>
    <s v="Se repite 6 veces"/>
    <s v="Peru Chef-Peru Chef Papa Seca Serrana 15 Oz X 10"/>
    <n v="6"/>
    <s v="Se repite 6 veces en Peru Chef"/>
    <s v="Peru Chef-Peru Chef Papa Seca Serrana 15 Oz X 10-18.9"/>
    <n v="2"/>
    <s v="Se repite 2 veces el precio de 18.9"/>
    <s v="El producto Peru Chef Papa Seca Serrana 15 Oz X 10 Se repite 6 veces en Peru Chef, Se repite 2 veces el precio de 18.9"/>
  </r>
  <r>
    <x v="1"/>
    <x v="17"/>
    <s v="Bill"/>
    <s v="57055"/>
    <x v="190"/>
    <s v="PERU CHEF- GRANOS -  BOLSA -  PAPA SECA SERRANA 15 OZ X 10"/>
    <n v="2"/>
    <n v="18.899999999999999"/>
    <n v="37.799999999999997"/>
    <n v="34994.65"/>
    <n v="6"/>
    <s v="Se repite 6 veces"/>
    <s v="Peru Chef-Peru Chef Papa Seca Serrana 15 Oz X 10"/>
    <n v="6"/>
    <s v="Se repite 6 veces en Peru Chef"/>
    <s v="Peru Chef-Peru Chef Papa Seca Serrana 15 Oz X 10-18.9"/>
    <n v="2"/>
    <s v="Se repite 2 veces el precio de 18.9"/>
    <s v="El producto Peru Chef Papa Seca Serrana 15 Oz X 10 Se repite 6 veces en Peru Chef, Se repite 2 veces el precio de 18.9"/>
  </r>
  <r>
    <x v="1"/>
    <x v="18"/>
    <s v="Bill"/>
    <s v="2025002373"/>
    <x v="191"/>
    <s v="Pasta Aji Amarillo 116 Oz X 4"/>
    <n v="8"/>
    <n v="18"/>
    <n v="144"/>
    <n v="40529.65"/>
    <n v="1"/>
    <s v="No se repite"/>
    <s v="Peru Chef-Peru Chef Pasta Aji Amarillo 116 oz"/>
    <n v="1"/>
    <s v="No se repite en proveedor"/>
    <s v="Peru Chef-Peru Chef Pasta Aji Amarillo 116 oz-18"/>
    <n v="1"/>
    <s v="No se repite"/>
    <s v="El producto Peru Chef Pasta Aji Amarillo 116 oz No se repite en proveedor Una vez con el precio 18"/>
  </r>
  <r>
    <x v="1"/>
    <x v="8"/>
    <s v="Bill"/>
    <s v=""/>
    <x v="192"/>
    <s v="Pasta Aji Amarillo 16 Oz X 12"/>
    <n v="1"/>
    <n v="36"/>
    <n v="36"/>
    <n v="98.5"/>
    <n v="6"/>
    <s v="Se repite 6 veces"/>
    <s v="Peru Chef-Peru Chef Pasta Aji Amarillo 16 oz x 12"/>
    <n v="6"/>
    <s v="Se repite 6 veces en Peru Chef"/>
    <s v="Peru Chef-Peru Chef Pasta Aji Amarillo 16 oz x 12-36"/>
    <n v="4"/>
    <s v="Se repite 4 veces el precio de 36"/>
    <s v="El producto Peru Chef Pasta Aji Amarillo 16 oz x 12 Se repite 6 veces en Peru Chef, Se repite 4 veces el precio de 36"/>
  </r>
  <r>
    <x v="1"/>
    <x v="9"/>
    <s v="Bill"/>
    <s v="55130"/>
    <x v="192"/>
    <s v="Pasta Aji Amarillo 16 Oz X 12"/>
    <n v="1"/>
    <n v="36"/>
    <n v="36"/>
    <n v="2344.6999999999998"/>
    <n v="6"/>
    <s v="Se repite 6 veces"/>
    <s v="Peru Chef-Peru Chef Pasta Aji Amarillo 16 oz x 12"/>
    <n v="6"/>
    <s v="Se repite 6 veces en Peru Chef"/>
    <s v="Peru Chef-Peru Chef Pasta Aji Amarillo 16 oz x 12-36"/>
    <n v="4"/>
    <s v="Se repite 4 veces el precio de 36"/>
    <s v="El producto Peru Chef Pasta Aji Amarillo 16 oz x 12 Se repite 6 veces en Peru Chef, Se repite 4 veces el precio de 36"/>
  </r>
  <r>
    <x v="1"/>
    <x v="24"/>
    <s v="Bill"/>
    <s v="55164"/>
    <x v="192"/>
    <s v="Pasta Aji Amarillo 16 Oz X 12"/>
    <n v="1"/>
    <n v="36"/>
    <n v="36"/>
    <n v="5764.6"/>
    <n v="6"/>
    <s v="Se repite 6 veces"/>
    <s v="Peru Chef-Peru Chef Pasta Aji Amarillo 16 oz x 12"/>
    <n v="6"/>
    <s v="Se repite 6 veces en Peru Chef"/>
    <s v="Peru Chef-Peru Chef Pasta Aji Amarillo 16 oz x 12-36"/>
    <n v="4"/>
    <s v="Se repite 4 veces el precio de 36"/>
    <s v="El producto Peru Chef Pasta Aji Amarillo 16 oz x 12 Se repite 6 veces en Peru Chef, Se repite 4 veces el precio de 36"/>
  </r>
  <r>
    <x v="1"/>
    <x v="15"/>
    <s v="Bill"/>
    <s v="55372"/>
    <x v="192"/>
    <s v="Pasta Aji Amarillo 16 Oz X 12"/>
    <n v="2"/>
    <n v="40"/>
    <n v="80"/>
    <n v="7186.6"/>
    <n v="6"/>
    <s v="Se repite 6 veces"/>
    <s v="Peru Chef-Peru Chef Pasta Aji Amarillo 16 oz x 12"/>
    <n v="6"/>
    <s v="Se repite 6 veces en Peru Chef"/>
    <s v="Peru Chef-Peru Chef Pasta Aji Amarillo 16 oz x 12-40"/>
    <n v="2"/>
    <s v="Se repite 2 veces el precio de 40"/>
    <s v="El producto Peru Chef Pasta Aji Amarillo 16 oz x 12 Se repite 6 veces en Peru Chef, Se repite 2 veces el precio de 40"/>
  </r>
  <r>
    <x v="1"/>
    <x v="12"/>
    <s v="Bill"/>
    <s v="56352"/>
    <x v="192"/>
    <s v="Pasta Aji Amarillo 16 Oz X 12"/>
    <n v="1"/>
    <n v="40"/>
    <n v="40"/>
    <n v="11144.5"/>
    <n v="6"/>
    <s v="Se repite 6 veces"/>
    <s v="Peru Chef-Peru Chef Pasta Aji Amarillo 16 oz x 12"/>
    <n v="6"/>
    <s v="Se repite 6 veces en Peru Chef"/>
    <s v="Peru Chef-Peru Chef Pasta Aji Amarillo 16 oz x 12-40"/>
    <n v="2"/>
    <s v="Se repite 2 veces el precio de 40"/>
    <s v="El producto Peru Chef Pasta Aji Amarillo 16 oz x 12 Se repite 6 veces en Peru Chef, Se repite 2 veces el precio de 40"/>
  </r>
  <r>
    <x v="1"/>
    <x v="18"/>
    <s v="Bill"/>
    <s v="2025002373"/>
    <x v="192"/>
    <s v="PERU CHEF- CONDIMENTO EN PASTA -   -  PASTA AJI AMARILLO 16 OZ X 12-  12 / FCO VIDRIO"/>
    <n v="2"/>
    <n v="36"/>
    <n v="72"/>
    <n v="41767.149999999994"/>
    <n v="6"/>
    <s v="Se repite 6 veces"/>
    <s v="Peru Chef-Peru Chef Pasta Aji Amarillo 16 oz x 12"/>
    <n v="6"/>
    <s v="Se repite 6 veces en Peru Chef"/>
    <s v="Peru Chef-Peru Chef Pasta Aji Amarillo 16 oz x 12-36"/>
    <n v="4"/>
    <s v="Se repite 4 veces el precio de 36"/>
    <s v="El producto Peru Chef Pasta Aji Amarillo 16 oz x 12 Se repite 6 veces en Peru Chef, Se repite 4 veces el precio de 36"/>
  </r>
  <r>
    <x v="1"/>
    <x v="15"/>
    <s v="Bill"/>
    <s v="55372"/>
    <x v="193"/>
    <s v="PERU CHEF- CONDIMENTO EN PASTA -   -  PASTA AJI AMARILLO POCO PIC 16 OZ X 12-  12 / FCO VIDRIO"/>
    <n v="2"/>
    <n v="40"/>
    <n v="80"/>
    <n v="7332.6"/>
    <n v="2"/>
    <s v="Se repite 2 veces"/>
    <s v="Peru Chef-Peru Chef Pasta Aji Amarillo Poco Pic 16oz X 12"/>
    <n v="2"/>
    <s v="Se repite 2 veces en Peru Chef"/>
    <s v="Peru Chef-Peru Chef Pasta Aji Amarillo Poco Pic 16oz X 12-40"/>
    <n v="2"/>
    <s v="Se repite 2 veces el precio de 40"/>
    <s v="El producto Peru Chef Pasta Aji Amarillo Poco Pic 16oz X 12 Se repite 2 veces en Peru Chef, Se repite 2 veces el precio de 40"/>
  </r>
  <r>
    <x v="1"/>
    <x v="12"/>
    <s v="Bill"/>
    <s v="56352"/>
    <x v="193"/>
    <s v="PERU CHEF- CONDIMENTO EN PASTA -   -  PASTA AJI AMARILLO POCO PIC 16 OZ X 12-  12 / FCO VIDRIO"/>
    <n v="1"/>
    <n v="40"/>
    <n v="40"/>
    <n v="11250.5"/>
    <n v="2"/>
    <s v="Se repite 2 veces"/>
    <s v="Peru Chef-Peru Chef Pasta Aji Amarillo Poco Pic 16oz X 12"/>
    <n v="2"/>
    <s v="Se repite 2 veces en Peru Chef"/>
    <s v="Peru Chef-Peru Chef Pasta Aji Amarillo Poco Pic 16oz X 12-40"/>
    <n v="2"/>
    <s v="Se repite 2 veces el precio de 40"/>
    <s v="El producto Peru Chef Pasta Aji Amarillo Poco Pic 16oz X 12 Se repite 2 veces en Peru Chef, Se repite 2 veces el precio de 40"/>
  </r>
  <r>
    <x v="1"/>
    <x v="16"/>
    <s v="Bill"/>
    <s v="2025001895"/>
    <x v="194"/>
    <s v="Pasta Aji Amarillo Poco Picante116 Oz"/>
    <n v="8"/>
    <n v="18"/>
    <n v="144"/>
    <n v="30645.4"/>
    <n v="1"/>
    <s v="No se repite"/>
    <s v="Peru Chef-Peru Chef Pasta Aji Amarillo Poco Picante 116oz"/>
    <n v="1"/>
    <s v="No se repite en proveedor"/>
    <s v="Peru Chef-Peru Chef Pasta Aji Amarillo Poco Picante 116oz-18"/>
    <n v="1"/>
    <s v="No se repite"/>
    <s v="El producto Peru Chef Pasta Aji Amarillo Poco Picante 116oz No se repite en proveedor Una vez con el precio 18"/>
  </r>
  <r>
    <x v="1"/>
    <x v="18"/>
    <s v="Bill"/>
    <s v="2025002373"/>
    <x v="195"/>
    <s v="Pasta Aji Amarillo Poco Pic 11 Oz X 12"/>
    <n v="1"/>
    <n v="29.7"/>
    <n v="29.7"/>
    <n v="41796.849999999991"/>
    <n v="1"/>
    <s v="No se repite"/>
    <s v="Peru Chef-Peru Chef Pasta Aji Amarillo Poco Picante11oz x 12"/>
    <n v="1"/>
    <s v="No se repite en proveedor"/>
    <s v="Peru Chef-Peru Chef Pasta Aji Amarillo Poco Picante11oz x 12-29.7"/>
    <n v="1"/>
    <s v="No se repite"/>
    <s v="El producto Peru Chef Pasta Aji Amarillo Poco Picante11oz x 12 No se repite en proveedor Una vez con el precio 29.7"/>
  </r>
  <r>
    <x v="1"/>
    <x v="8"/>
    <s v="Bill"/>
    <s v=""/>
    <x v="196"/>
    <s v="Pasta Aji Panca 16 Oz X 12"/>
    <n v="1"/>
    <n v="40"/>
    <n v="40"/>
    <n v="138.5"/>
    <n v="5"/>
    <s v="Se repite 5 veces"/>
    <s v="Peru Chef-Peru Chef Pasta Aji Panca 16 oz x 12"/>
    <n v="5"/>
    <s v="Se repite 5 veces en Peru Chef"/>
    <s v="Peru Chef-Peru Chef Pasta Aji Panca 16 oz x 12-40"/>
    <n v="2"/>
    <s v="Se repite 2 veces el precio de 40"/>
    <s v="El producto Peru Chef Pasta Aji Panca 16 oz x 12 Se repite 5 veces en Peru Chef, Se repite 2 veces el precio de 40"/>
  </r>
  <r>
    <x v="1"/>
    <x v="9"/>
    <s v="Bill"/>
    <s v="55130"/>
    <x v="196"/>
    <s v="Pasta Aji Panca 16 Oz X 12"/>
    <n v="1"/>
    <n v="40"/>
    <n v="40"/>
    <n v="2384.6999999999998"/>
    <n v="5"/>
    <s v="Se repite 5 veces"/>
    <s v="Peru Chef-Peru Chef Pasta Aji Panca 16 oz x 12"/>
    <n v="5"/>
    <s v="Se repite 5 veces en Peru Chef"/>
    <s v="Peru Chef-Peru Chef Pasta Aji Panca 16 oz x 12-40"/>
    <n v="2"/>
    <s v="Se repite 2 veces el precio de 40"/>
    <s v="El producto Peru Chef Pasta Aji Panca 16 oz x 12 Se repite 5 veces en Peru Chef, Se repite 2 veces el precio de 40"/>
  </r>
  <r>
    <x v="1"/>
    <x v="15"/>
    <s v="Bill"/>
    <s v="55372"/>
    <x v="196"/>
    <s v="Pasta Aji Panca 16 Oz X 12"/>
    <n v="2"/>
    <n v="44"/>
    <n v="88"/>
    <n v="7106.6"/>
    <n v="5"/>
    <s v="Se repite 5 veces"/>
    <s v="Peru Chef-Peru Chef Pasta Aji Panca 16 oz x 12"/>
    <n v="5"/>
    <s v="Se repite 5 veces en Peru Chef"/>
    <s v="Peru Chef-Peru Chef Pasta Aji Panca 16 oz x 12-44"/>
    <n v="2"/>
    <s v="Se repite 2 veces el precio de 44"/>
    <s v="El producto Peru Chef Pasta Aji Panca 16 oz x 12 Se repite 5 veces en Peru Chef, Se repite 2 veces el precio de 44"/>
  </r>
  <r>
    <x v="1"/>
    <x v="12"/>
    <s v="Bill"/>
    <s v="56352"/>
    <x v="196"/>
    <s v="Pasta Aji Panca 16 Oz X 12"/>
    <n v="1"/>
    <n v="44"/>
    <n v="44"/>
    <n v="11104.5"/>
    <n v="5"/>
    <s v="Se repite 5 veces"/>
    <s v="Peru Chef-Peru Chef Pasta Aji Panca 16 oz x 12"/>
    <n v="5"/>
    <s v="Se repite 5 veces en Peru Chef"/>
    <s v="Peru Chef-Peru Chef Pasta Aji Panca 16 oz x 12-44"/>
    <n v="2"/>
    <s v="Se repite 2 veces el precio de 44"/>
    <s v="El producto Peru Chef Pasta Aji Panca 16 oz x 12 Se repite 5 veces en Peru Chef, Se repite 2 veces el precio de 44"/>
  </r>
  <r>
    <x v="1"/>
    <x v="18"/>
    <s v="Bill"/>
    <s v="2025002373"/>
    <x v="196"/>
    <s v="PERU CHEF- CONDIMENTO EN PASTA -   -  PASTA AJI PANCA 16 OZ X 12-  12 / FCO VIDRIO"/>
    <n v="2"/>
    <n v="39.6"/>
    <n v="79.2"/>
    <n v="41695.149999999994"/>
    <n v="5"/>
    <s v="Se repite 5 veces"/>
    <s v="Peru Chef-Peru Chef Pasta Aji Panca 16 oz x 12"/>
    <n v="5"/>
    <s v="Se repite 5 veces en Peru Chef"/>
    <s v="Peru Chef-Peru Chef Pasta Aji Panca 16 oz x 12-39.6"/>
    <n v="1"/>
    <s v="No se repite"/>
    <s v="El producto Peru Chef Pasta Aji Panca 16 oz x 12 Se repite 5 veces en Peru Chef Una vez con el precio 39.6"/>
  </r>
  <r>
    <x v="1"/>
    <x v="24"/>
    <s v="Bill"/>
    <s v="55164"/>
    <x v="197"/>
    <s v="Pasta Aji Panca 8 Oz X 12"/>
    <n v="1"/>
    <n v="24"/>
    <n v="24"/>
    <n v="5866.6"/>
    <n v="1"/>
    <s v="No se repite"/>
    <s v="Peru Chef-Peru Chef Pasta Aji Panca 8 Oz X 12"/>
    <n v="1"/>
    <s v="No se repite en proveedor"/>
    <s v="Peru Chef-Peru Chef Pasta Aji Panca 8 Oz X 12-24"/>
    <n v="1"/>
    <s v="No se repite"/>
    <s v="El producto Peru Chef Pasta Aji Panca 8 Oz X 12 No se repite en proveedor Una vez con el precio 24"/>
  </r>
  <r>
    <x v="1"/>
    <x v="15"/>
    <s v="Bill"/>
    <s v="55372"/>
    <x v="198"/>
    <s v="PERU CHEF- CONDIMENTO EN PASTA -   -  PASTA AJI PANCA POCO PIC 16 OZ X 12-  12 / FCO VIDRIO"/>
    <n v="1"/>
    <n v="48"/>
    <n v="48"/>
    <n v="7380.6"/>
    <n v="1"/>
    <s v="No se repite"/>
    <s v="Peru Chef-Peru Chef Pasta Aji Panca Poco Pic 16 Oz X 12"/>
    <n v="1"/>
    <s v="No se repite en proveedor"/>
    <s v="Peru Chef-Peru Chef Pasta Aji Panca Poco Pic 16 Oz X 12-48"/>
    <n v="1"/>
    <s v="No se repite"/>
    <s v="El producto Peru Chef Pasta Aji Panca Poco Pic 16 Oz X 12 No se repite en proveedor Una vez con el precio 48"/>
  </r>
  <r>
    <x v="1"/>
    <x v="18"/>
    <s v="Bill"/>
    <s v="2025002373"/>
    <x v="199"/>
    <s v="Pasta Aji Panca Poco Picante 11 Oz X 12"/>
    <n v="1"/>
    <n v="32.4"/>
    <n v="32.4"/>
    <n v="41829.249999999993"/>
    <n v="1"/>
    <s v="No se repite"/>
    <s v="Peru Chef-Peru Chef Pasta Aji Panca Poco Picante 11 oz x 12"/>
    <n v="1"/>
    <s v="No se repite en proveedor"/>
    <s v="Peru Chef-Peru Chef Pasta Aji Panca Poco Picante 11 oz x 12-32.4"/>
    <n v="1"/>
    <s v="No se repite"/>
    <s v="El producto Peru Chef Pasta Aji Panca Poco Picante 11 oz x 12 No se repite en proveedor Una vez con el precio 32.4"/>
  </r>
  <r>
    <x v="1"/>
    <x v="16"/>
    <s v="Bill"/>
    <s v="2025001895"/>
    <x v="200"/>
    <s v="Pasta Aji Panca Poco Picante 116 Oz"/>
    <n v="8"/>
    <n v="18"/>
    <n v="144"/>
    <n v="30501.4"/>
    <n v="2"/>
    <s v="Se repite 2 veces"/>
    <s v="Peru Chef-Peru Chef Pasta Aji Panca Poco Picante 116 oz"/>
    <n v="2"/>
    <s v="Se repite 2 veces en Peru Chef"/>
    <s v="Peru Chef-Peru Chef Pasta Aji Panca Poco Picante 116 oz-18"/>
    <n v="2"/>
    <s v="Se repite 2 veces el precio de 18"/>
    <s v="El producto Peru Chef Pasta Aji Panca Poco Picante 116 oz Se repite 2 veces en Peru Chef, Se repite 2 veces el precio de 18"/>
  </r>
  <r>
    <x v="1"/>
    <x v="18"/>
    <s v="Bill"/>
    <s v="2025002373"/>
    <x v="200"/>
    <s v="PERU CHEF- INSTITUCIONAL -   -  PASTA AJI PANCA POCO PICANTE 116 oz -  BIDON 116 oz"/>
    <n v="8"/>
    <n v="18"/>
    <n v="144"/>
    <n v="40385.65"/>
    <n v="2"/>
    <s v="Se repite 2 veces"/>
    <s v="Peru Chef-Peru Chef Pasta Aji Panca Poco Picante 116 oz"/>
    <n v="2"/>
    <s v="Se repite 2 veces en Peru Chef"/>
    <s v="Peru Chef-Peru Chef Pasta Aji Panca Poco Picante 116 oz-18"/>
    <n v="2"/>
    <s v="Se repite 2 veces el precio de 18"/>
    <s v="El producto Peru Chef Pasta Aji Panca Poco Picante 116 oz Se repite 2 veces en Peru Chef, Se repite 2 veces el precio de 18"/>
  </r>
  <r>
    <x v="1"/>
    <x v="8"/>
    <s v="Bill"/>
    <s v=""/>
    <x v="201"/>
    <s v="Pasta Ajos 16 Oz X 12"/>
    <n v="1"/>
    <n v="60"/>
    <n v="60"/>
    <n v="198.5"/>
    <n v="5"/>
    <s v="Se repite 5 veces"/>
    <s v="Peru Chef-Peru Chef Pasta Ajos 16oz x 12"/>
    <n v="5"/>
    <s v="Se repite 5 veces en Peru Chef"/>
    <s v="Peru Chef-Peru Chef Pasta Ajos 16oz x 12-60"/>
    <n v="2"/>
    <s v="Se repite 2 veces el precio de 60"/>
    <s v="El producto Peru Chef Pasta Ajos 16oz x 12 Se repite 5 veces en Peru Chef, Se repite 2 veces el precio de 60"/>
  </r>
  <r>
    <x v="1"/>
    <x v="9"/>
    <s v="Bill"/>
    <s v="55130"/>
    <x v="201"/>
    <s v="Pasta Ajos 16 Oz X 12"/>
    <n v="1"/>
    <n v="60"/>
    <n v="60"/>
    <n v="2444.6999999999998"/>
    <n v="5"/>
    <s v="Se repite 5 veces"/>
    <s v="Peru Chef-Peru Chef Pasta Ajos 16oz x 12"/>
    <n v="5"/>
    <s v="Se repite 5 veces en Peru Chef"/>
    <s v="Peru Chef-Peru Chef Pasta Ajos 16oz x 12-60"/>
    <n v="2"/>
    <s v="Se repite 2 veces el precio de 60"/>
    <s v="El producto Peru Chef Pasta Ajos 16oz x 12 Se repite 5 veces en Peru Chef, Se repite 2 veces el precio de 60"/>
  </r>
  <r>
    <x v="1"/>
    <x v="15"/>
    <s v="Bill"/>
    <s v="55372"/>
    <x v="201"/>
    <s v="PERU CHEF - Pasta Ajos 16 Oz X 12 frasco vidrio"/>
    <n v="1"/>
    <n v="66"/>
    <n v="66"/>
    <n v="7252.6"/>
    <n v="5"/>
    <s v="Se repite 5 veces"/>
    <s v="Peru Chef-Peru Chef Pasta Ajos 16oz x 12"/>
    <n v="5"/>
    <s v="Se repite 5 veces en Peru Chef"/>
    <s v="Peru Chef-Peru Chef Pasta Ajos 16oz x 12-66"/>
    <n v="3"/>
    <s v="Se repite 3 veces el precio de 66"/>
    <s v="El producto Peru Chef Pasta Ajos 16oz x 12 Se repite 5 veces en Peru Chef, Se repite 3 veces el precio de 66"/>
  </r>
  <r>
    <x v="1"/>
    <x v="12"/>
    <s v="Bill"/>
    <s v="56352"/>
    <x v="201"/>
    <s v="PERU CHEF - Pasta Ajos 16 Oz X 12 frasco vidrio"/>
    <n v="1"/>
    <n v="66"/>
    <n v="66"/>
    <n v="11210.5"/>
    <n v="5"/>
    <s v="Se repite 5 veces"/>
    <s v="Peru Chef-Peru Chef Pasta Ajos 16oz x 12"/>
    <n v="5"/>
    <s v="Se repite 5 veces en Peru Chef"/>
    <s v="Peru Chef-Peru Chef Pasta Ajos 16oz x 12-66"/>
    <n v="3"/>
    <s v="Se repite 3 veces el precio de 66"/>
    <s v="El producto Peru Chef Pasta Ajos 16oz x 12 Se repite 5 veces en Peru Chef, Se repite 3 veces el precio de 66"/>
  </r>
  <r>
    <x v="1"/>
    <x v="23"/>
    <s v="Bill"/>
    <s v="2025001209"/>
    <x v="201"/>
    <s v="Peru Chef Pasta Aji Amarillo 16 Oz X 12 - 856568007285"/>
    <n v="1"/>
    <n v="66"/>
    <n v="66"/>
    <n v="17033.5"/>
    <n v="5"/>
    <s v="Se repite 5 veces"/>
    <s v="Peru Chef-Peru Chef Pasta Ajos 16oz x 12"/>
    <n v="5"/>
    <s v="Se repite 5 veces en Peru Chef"/>
    <s v="Peru Chef-Peru Chef Pasta Ajos 16oz x 12-66"/>
    <n v="3"/>
    <s v="Se repite 3 veces el precio de 66"/>
    <s v="El producto Peru Chef Pasta Ajos 16oz x 12 Se repite 5 veces en Peru Chef, Se repite 3 veces el precio de 66"/>
  </r>
  <r>
    <x v="1"/>
    <x v="16"/>
    <s v="Bill"/>
    <s v="2025001895"/>
    <x v="202"/>
    <s v="PERU CHEF- INSTITUCIONAL -   -  PASTA ROCOTO 116 oz -  BIDON 116 oz"/>
    <n v="4"/>
    <n v="18"/>
    <n v="72"/>
    <n v="30717.4"/>
    <n v="1"/>
    <s v="No se repite"/>
    <s v="Peru Chef-Peru Chef Pasta Rocoto 116 oz"/>
    <n v="1"/>
    <s v="No se repite en proveedor"/>
    <s v="Peru Chef-Peru Chef Pasta Rocoto 116 oz-18"/>
    <n v="1"/>
    <s v="No se repite"/>
    <s v="El producto Peru Chef Pasta Rocoto 116 oz No se repite en proveedor Una vez con el precio 18"/>
  </r>
  <r>
    <x v="1"/>
    <x v="23"/>
    <s v="Bill"/>
    <s v="2025001209"/>
    <x v="203"/>
    <s v="Pasta Rocoto 16 Oz X 12"/>
    <n v="1"/>
    <n v="48"/>
    <n v="48"/>
    <n v="16967.5"/>
    <n v="1"/>
    <s v="No se repite"/>
    <s v="Peru Chef-Peru Chef Pasta Rocoto 16 Oz X 12"/>
    <n v="1"/>
    <s v="No se repite en proveedor"/>
    <s v="Peru Chef-Peru Chef Pasta Rocoto 16 Oz X 12-48"/>
    <n v="1"/>
    <s v="No se repite"/>
    <s v="El producto Peru Chef Pasta Rocoto 16 Oz X 12 No se repite en proveedor Una vez con el precio 48"/>
  </r>
  <r>
    <x v="1"/>
    <x v="24"/>
    <s v="Bill"/>
    <s v="55164"/>
    <x v="204"/>
    <s v="Pasta Rocoto 8 Oz X 12"/>
    <n v="1"/>
    <n v="30"/>
    <n v="30"/>
    <n v="5842.6"/>
    <n v="1"/>
    <s v="No se repite"/>
    <s v="Peru Chef-Peru Chef Pasta Rocoto 8 Oz X 12"/>
    <n v="1"/>
    <s v="No se repite en proveedor"/>
    <s v="Peru Chef-Peru Chef Pasta Rocoto 8 Oz X 12-30"/>
    <n v="1"/>
    <s v="No se repite"/>
    <s v="El producto Peru Chef Pasta Rocoto 8 Oz X 12 No se repite en proveedor Una vez con el precio 30"/>
  </r>
  <r>
    <x v="1"/>
    <x v="8"/>
    <s v="Bill"/>
    <s v=""/>
    <x v="205"/>
    <s v="Quinua Real 15 Oz X 12"/>
    <n v="1"/>
    <n v="28"/>
    <n v="28"/>
    <n v="497.3"/>
    <n v="6"/>
    <s v="Se repite 6 veces"/>
    <s v="Peru Chef-Peru Chef Quinua Real 15oz x 12"/>
    <n v="6"/>
    <s v="Se repite 6 veces en Peru Chef"/>
    <s v="Peru Chef-Peru Chef Quinua Real 15oz x 12-28"/>
    <n v="3"/>
    <s v="Se repite 3 veces el precio de 28"/>
    <s v="El producto Peru Chef Quinua Real 15oz x 12 Se repite 6 veces en Peru Chef, Se repite 3 veces el precio de 28"/>
  </r>
  <r>
    <x v="1"/>
    <x v="9"/>
    <s v="Bill"/>
    <s v="55130"/>
    <x v="205"/>
    <s v="Quinua Real 15 Oz X 12"/>
    <n v="1"/>
    <n v="28"/>
    <n v="28"/>
    <n v="2743.5"/>
    <n v="6"/>
    <s v="Se repite 6 veces"/>
    <s v="Peru Chef-Peru Chef Quinua Real 15oz x 12"/>
    <n v="6"/>
    <s v="Se repite 6 veces en Peru Chef"/>
    <s v="Peru Chef-Peru Chef Quinua Real 15oz x 12-28"/>
    <n v="3"/>
    <s v="Se repite 3 veces el precio de 28"/>
    <s v="El producto Peru Chef Quinua Real 15oz x 12 Se repite 6 veces en Peru Chef, Se repite 3 veces el precio de 28"/>
  </r>
  <r>
    <x v="1"/>
    <x v="15"/>
    <s v="Bill"/>
    <s v="55372"/>
    <x v="205"/>
    <s v="PERU CHEF- GRANOS -  BOLSA -  QUINUA REAL 15 OZ X 12"/>
    <n v="2"/>
    <n v="28"/>
    <n v="56"/>
    <n v="7664.2000000000007"/>
    <n v="6"/>
    <s v="Se repite 6 veces"/>
    <s v="Peru Chef-Peru Chef Quinua Real 15oz x 12"/>
    <n v="6"/>
    <s v="Se repite 6 veces en Peru Chef"/>
    <s v="Peru Chef-Peru Chef Quinua Real 15oz x 12-28"/>
    <n v="3"/>
    <s v="Se repite 3 veces el precio de 28"/>
    <s v="El producto Peru Chef Quinua Real 15oz x 12 Se repite 6 veces en Peru Chef, Se repite 3 veces el precio de 28"/>
  </r>
  <r>
    <x v="1"/>
    <x v="12"/>
    <s v="Bill"/>
    <s v="56352"/>
    <x v="205"/>
    <s v="PERU CHEF- GRANOS -  BOLSA -  QUINUA REAL 15 OZ X 12"/>
    <n v="3"/>
    <n v="30"/>
    <n v="90"/>
    <n v="12249.5"/>
    <n v="6"/>
    <s v="Se repite 6 veces"/>
    <s v="Peru Chef-Peru Chef Quinua Real 15oz x 12"/>
    <n v="6"/>
    <s v="Se repite 6 veces en Peru Chef"/>
    <s v="Peru Chef-Peru Chef Quinua Real 15oz x 12-30"/>
    <n v="2"/>
    <s v="Se repite 2 veces el precio de 30"/>
    <s v="El producto Peru Chef Quinua Real 15oz x 12 Se repite 6 veces en Peru Chef, Se repite 2 veces el precio de 30"/>
  </r>
  <r>
    <x v="1"/>
    <x v="23"/>
    <s v="Bill"/>
    <s v="2025001209"/>
    <x v="205"/>
    <s v="PERU CHEF- GRANOS -  BOLSA -  QUINUA REAL 15 OZ X 12"/>
    <n v="2"/>
    <n v="30"/>
    <n v="60"/>
    <n v="16769.5"/>
    <n v="6"/>
    <s v="Se repite 6 veces"/>
    <s v="Peru Chef-Peru Chef Quinua Real 15oz x 12"/>
    <n v="6"/>
    <s v="Se repite 6 veces en Peru Chef"/>
    <s v="Peru Chef-Peru Chef Quinua Real 15oz x 12-30"/>
    <n v="2"/>
    <s v="Se repite 2 veces el precio de 30"/>
    <s v="El producto Peru Chef Quinua Real 15oz x 12 Se repite 6 veces en Peru Chef, Se repite 2 veces el precio de 30"/>
  </r>
  <r>
    <x v="1"/>
    <x v="16"/>
    <s v="Bill"/>
    <s v="2025001895"/>
    <x v="205"/>
    <s v="PERU CHEF- GRANOS -  BOLSA -  QUINUA REAL 15 OZ X 12"/>
    <n v="3"/>
    <n v="27"/>
    <n v="81"/>
    <n v="31218.7"/>
    <n v="6"/>
    <s v="Se repite 6 veces"/>
    <s v="Peru Chef-Peru Chef Quinua Real 15oz x 12"/>
    <n v="6"/>
    <s v="Se repite 6 veces en Peru Chef"/>
    <s v="Peru Chef-Peru Chef Quinua Real 15oz x 12-27"/>
    <n v="1"/>
    <s v="No se repite"/>
    <s v="El producto Peru Chef Quinua Real 15oz x 12 Se repite 6 veces en Peru Chef Una vez con el precio 27"/>
  </r>
  <r>
    <x v="1"/>
    <x v="24"/>
    <s v="Bill"/>
    <s v="55164"/>
    <x v="206"/>
    <s v="PERU CHEF - Peru Chef Rocoto En Mitades lata 20oz x12 latas / 850009035332"/>
    <n v="1"/>
    <n v="36"/>
    <n v="36"/>
    <n v="4816.1000000000004"/>
    <n v="1"/>
    <s v="No se repite"/>
    <s v="Peru Chef-Peru Chef Rocoto En Mitades lata 20oz x12"/>
    <n v="1"/>
    <s v="No se repite en proveedor"/>
    <s v="Peru Chef-Peru Chef Rocoto En Mitades lata 20oz x12-36"/>
    <n v="1"/>
    <s v="No se repite"/>
    <s v="El producto Peru Chef Rocoto En Mitades lata 20oz x12 No se repite en proveedor Una vez con el precio 36"/>
  </r>
  <r>
    <x v="1"/>
    <x v="18"/>
    <s v="Bill"/>
    <s v="2025002373"/>
    <x v="207"/>
    <s v="Rocoto En Salmuera 20 Oz X 12"/>
    <n v="2"/>
    <n v="46.8"/>
    <n v="93.6"/>
    <n v="40623.25"/>
    <n v="1"/>
    <s v="No se repite"/>
    <s v="Peru Chef-Peru Chef Rocoto En Salmuera 20oz x 12"/>
    <n v="1"/>
    <s v="No se repite en proveedor"/>
    <s v="Peru Chef-Peru Chef Rocoto En Salmuera 20oz x 12-46.8"/>
    <n v="1"/>
    <s v="No se repite"/>
    <s v="El producto Peru Chef Rocoto En Salmuera 20oz x 12 No se repite en proveedor Una vez con el precio 46.8"/>
  </r>
  <r>
    <x v="1"/>
    <x v="8"/>
    <s v="Bill"/>
    <s v=""/>
    <x v="208"/>
    <s v="Rocoto 1 Lb X 18"/>
    <n v="1"/>
    <n v="55"/>
    <n v="55"/>
    <n v="2039.6999999999998"/>
    <n v="4"/>
    <s v="Se repite 4 veces"/>
    <s v="Peru Chef-Peru Chef Rocoto FROZEN 1 Lb X 18"/>
    <n v="4"/>
    <s v="Se repite 4 veces en Peru Chef"/>
    <s v="Peru Chef-Peru Chef Rocoto FROZEN 1 Lb X 18-55"/>
    <n v="2"/>
    <s v="Se repite 2 veces el precio de 55"/>
    <s v="El producto Peru Chef Rocoto FROZEN 1 Lb X 18 Se repite 4 veces en Peru Chef, Se repite 2 veces el precio de 55"/>
  </r>
  <r>
    <x v="1"/>
    <x v="9"/>
    <s v="Bill"/>
    <s v="55130"/>
    <x v="208"/>
    <s v="Rocoto 1 Lb X 18"/>
    <n v="1"/>
    <n v="55"/>
    <n v="55"/>
    <n v="4065.5"/>
    <n v="4"/>
    <s v="Se repite 4 veces"/>
    <s v="Peru Chef-Peru Chef Rocoto FROZEN 1 Lb X 18"/>
    <n v="4"/>
    <s v="Se repite 4 veces en Peru Chef"/>
    <s v="Peru Chef-Peru Chef Rocoto FROZEN 1 Lb X 18-55"/>
    <n v="2"/>
    <s v="Se repite 2 veces el precio de 55"/>
    <s v="El producto Peru Chef Rocoto FROZEN 1 Lb X 18 Se repite 4 veces en Peru Chef, Se repite 2 veces el precio de 55"/>
  </r>
  <r>
    <x v="1"/>
    <x v="1"/>
    <s v="Bill"/>
    <s v="2025001378"/>
    <x v="208"/>
    <s v="Rocoto 1 Lb X 18"/>
    <n v="3"/>
    <n v="59.5"/>
    <n v="178.5"/>
    <n v="20122"/>
    <n v="4"/>
    <s v="Se repite 4 veces"/>
    <s v="Peru Chef-Peru Chef Rocoto FROZEN 1 Lb X 18"/>
    <n v="4"/>
    <s v="Se repite 4 veces en Peru Chef"/>
    <s v="Peru Chef-Peru Chef Rocoto FROZEN 1 Lb X 18-59.5"/>
    <n v="1"/>
    <s v="No se repite"/>
    <s v="El producto Peru Chef Rocoto FROZEN 1 Lb X 18 Se repite 4 veces en Peru Chef Una vez con el precio 59.5"/>
  </r>
  <r>
    <x v="1"/>
    <x v="17"/>
    <s v="Bill"/>
    <s v="57055"/>
    <x v="208"/>
    <s v="PERU CHEF- VERDURAS -  FROZEN -  ROCOTO 1 LB X 18-"/>
    <n v="5"/>
    <n v="53.55"/>
    <n v="267.75"/>
    <n v="34709.35"/>
    <n v="4"/>
    <s v="Se repite 4 veces"/>
    <s v="Peru Chef-Peru Chef Rocoto FROZEN 1 Lb X 18"/>
    <n v="4"/>
    <s v="Se repite 4 veces en Peru Chef"/>
    <s v="Peru Chef-Peru Chef Rocoto FROZEN 1 Lb X 18-53.55"/>
    <n v="1"/>
    <s v="No se repite"/>
    <s v="El producto Peru Chef Rocoto FROZEN 1 Lb X 18 Se repite 4 veces en Peru Chef Una vez con el precio 53.55"/>
  </r>
  <r>
    <x v="1"/>
    <x v="12"/>
    <s v="Bill"/>
    <s v="56352"/>
    <x v="209"/>
    <s v="Salsa Aji Amarillo 10.5 Oz X 12"/>
    <n v="1"/>
    <n v="42"/>
    <n v="42"/>
    <n v="11292.5"/>
    <n v="2"/>
    <s v="Se repite 2 veces"/>
    <s v="Peru Chef-Peru Chef Salsa Aji Amarillo 10.5oz x 12"/>
    <n v="2"/>
    <s v="Se repite 2 veces en Peru Chef"/>
    <s v="Peru Chef-Peru Chef Salsa Aji Amarillo 10.5oz x 12-42"/>
    <n v="2"/>
    <s v="Se repite 2 veces el precio de 42"/>
    <s v="El producto Peru Chef Salsa Aji Amarillo 10.5oz x 12 Se repite 2 veces en Peru Chef, Se repite 2 veces el precio de 42"/>
  </r>
  <r>
    <x v="1"/>
    <x v="23"/>
    <s v="Bill"/>
    <s v="2025001209"/>
    <x v="209"/>
    <s v="PERU CHEF- SALSA / CREMAS -   -  SALSA AJI AMARILLO 10.5 OZ X 12 / FCO VIDRIO"/>
    <n v="2"/>
    <n v="42"/>
    <n v="84"/>
    <n v="17117.5"/>
    <n v="2"/>
    <s v="Se repite 2 veces"/>
    <s v="Peru Chef-Peru Chef Salsa Aji Amarillo 10.5oz x 12"/>
    <n v="2"/>
    <s v="Se repite 2 veces en Peru Chef"/>
    <s v="Peru Chef-Peru Chef Salsa Aji Amarillo 10.5oz x 12-42"/>
    <n v="2"/>
    <s v="Se repite 2 veces el precio de 42"/>
    <s v="El producto Peru Chef Salsa Aji Amarillo 10.5oz x 12 Se repite 2 veces en Peru Chef, Se repite 2 veces el precio de 42"/>
  </r>
  <r>
    <x v="1"/>
    <x v="23"/>
    <s v="Bill"/>
    <s v="2025001209"/>
    <x v="210"/>
    <s v="Salsa Aji Amarillo C/Huacatay 10.5 Oz X 12"/>
    <n v="2"/>
    <n v="39"/>
    <n v="78"/>
    <n v="17195.5"/>
    <n v="1"/>
    <s v="No se repite"/>
    <s v="Peru Chef-Peru Chef Salsa Aji Amarillo C/Huacatay 10.5 Oz X 12"/>
    <n v="1"/>
    <s v="No se repite en proveedor"/>
    <s v="Peru Chef-Peru Chef Salsa Aji Amarillo C/Huacatay 10.5 Oz X 12-39"/>
    <n v="1"/>
    <s v="No se repite"/>
    <s v="El producto Peru Chef Salsa Aji Amarillo C/Huacatay 10.5 Oz X 12 No se repite en proveedor Una vez con el precio 39"/>
  </r>
  <r>
    <x v="1"/>
    <x v="12"/>
    <s v="Bill"/>
    <s v="56352"/>
    <x v="211"/>
    <s v="Salsa Aji Criollo 10.5 Oz X 12"/>
    <n v="1"/>
    <n v="39"/>
    <n v="39"/>
    <n v="11331.5"/>
    <n v="2"/>
    <s v="Se repite 2 veces"/>
    <s v="Peru Chef-Peru Chef Salsa Aji Criollo 10.5 oz x 12"/>
    <n v="2"/>
    <s v="Se repite 2 veces en Peru Chef"/>
    <s v="Peru Chef-Peru Chef Salsa Aji Criollo 10.5 oz x 12-39"/>
    <n v="2"/>
    <s v="Se repite 2 veces el precio de 39"/>
    <s v="El producto Peru Chef Salsa Aji Criollo 10.5 oz x 12 Se repite 2 veces en Peru Chef, Se repite 2 veces el precio de 39"/>
  </r>
  <r>
    <x v="1"/>
    <x v="23"/>
    <s v="Bill"/>
    <s v="2025001209"/>
    <x v="211"/>
    <s v="PERU CHEF- SALSA / CREMAS -   -  SALSA AJI CRIOLLO 10.5 OZ X 12 / FCO VIDRIO"/>
    <n v="2"/>
    <n v="39"/>
    <n v="78"/>
    <n v="17372.5"/>
    <n v="2"/>
    <s v="Se repite 2 veces"/>
    <s v="Peru Chef-Peru Chef Salsa Aji Criollo 10.5 oz x 12"/>
    <n v="2"/>
    <s v="Se repite 2 veces en Peru Chef"/>
    <s v="Peru Chef-Peru Chef Salsa Aji Criollo 10.5 oz x 12-39"/>
    <n v="2"/>
    <s v="Se repite 2 veces el precio de 39"/>
    <s v="El producto Peru Chef Salsa Aji Criollo 10.5 oz x 12 Se repite 2 veces en Peru Chef, Se repite 2 veces el precio de 39"/>
  </r>
  <r>
    <x v="1"/>
    <x v="12"/>
    <s v="Bill"/>
    <s v="56352"/>
    <x v="212"/>
    <s v="Salsa De Aji Charapita 11 Oz X 12"/>
    <n v="2"/>
    <n v="60"/>
    <n v="120"/>
    <n v="11745.5"/>
    <n v="2"/>
    <s v="Se repite 2 veces"/>
    <s v="Peru Chef-Peru Chef Salsa De Aji Charapita 11oz x 12"/>
    <n v="2"/>
    <s v="Se repite 2 veces en Peru Chef"/>
    <s v="Peru Chef-Peru Chef Salsa De Aji Charapita 11oz x 12-60"/>
    <n v="2"/>
    <s v="Se repite 2 veces el precio de 60"/>
    <s v="El producto Peru Chef Salsa De Aji Charapita 11oz x 12 Se repite 2 veces en Peru Chef, Se repite 2 veces el precio de 60"/>
  </r>
  <r>
    <x v="1"/>
    <x v="23"/>
    <s v="Bill"/>
    <s v="2025001209"/>
    <x v="212"/>
    <s v="PERU CHEF- SALSA / CREMAS -   -  SALSA DE AJI CHARAPITA 11 OZ X 12 / FCO VIDRIO"/>
    <n v="2"/>
    <n v="60"/>
    <n v="120"/>
    <n v="17861.5"/>
    <n v="2"/>
    <s v="Se repite 2 veces"/>
    <s v="Peru Chef-Peru Chef Salsa De Aji Charapita 11oz x 12"/>
    <n v="2"/>
    <s v="Se repite 2 veces en Peru Chef"/>
    <s v="Peru Chef-Peru Chef Salsa De Aji Charapita 11oz x 12-60"/>
    <n v="2"/>
    <s v="Se repite 2 veces el precio de 60"/>
    <s v="El producto Peru Chef Salsa De Aji Charapita 11oz x 12 Se repite 2 veces en Peru Chef, Se repite 2 veces el precio de 60"/>
  </r>
  <r>
    <x v="1"/>
    <x v="12"/>
    <s v="Bill"/>
    <s v="56352"/>
    <x v="213"/>
    <s v="Salsa De Aji Limo 11 Oz X 12"/>
    <n v="2"/>
    <n v="49.5"/>
    <n v="99"/>
    <n v="11547.5"/>
    <n v="2"/>
    <s v="Se repite 2 veces"/>
    <s v="Peru Chef-Peru Chef Salsa De Aji Limo 11oz x 12"/>
    <n v="2"/>
    <s v="Se repite 2 veces en Peru Chef"/>
    <s v="Peru Chef-Peru Chef Salsa De Aji Limo 11oz x 12-49.5"/>
    <n v="2"/>
    <s v="Se repite 2 veces el precio de 49.5"/>
    <s v="El producto Peru Chef Salsa De Aji Limo 11oz x 12 Se repite 2 veces en Peru Chef, Se repite 2 veces el precio de 49.5"/>
  </r>
  <r>
    <x v="1"/>
    <x v="23"/>
    <s v="Bill"/>
    <s v="2025001209"/>
    <x v="213"/>
    <s v="PERU CHEF- SALSA / CREMAS -   -  SALSA DE AJI LIMO 11 OZ X 12 / FCO VIDRIO"/>
    <n v="2"/>
    <n v="49.5"/>
    <n v="99"/>
    <n v="17663.5"/>
    <n v="2"/>
    <s v="Se repite 2 veces"/>
    <s v="Peru Chef-Peru Chef Salsa De Aji Limo 11oz x 12"/>
    <n v="2"/>
    <s v="Se repite 2 veces en Peru Chef"/>
    <s v="Peru Chef-Peru Chef Salsa De Aji Limo 11oz x 12-49.5"/>
    <n v="2"/>
    <s v="Se repite 2 veces el precio de 49.5"/>
    <s v="El producto Peru Chef Salsa De Aji Limo 11oz x 12 Se repite 2 veces en Peru Chef, Se repite 2 veces el precio de 49.5"/>
  </r>
  <r>
    <x v="1"/>
    <x v="8"/>
    <s v="Bill"/>
    <s v=""/>
    <x v="214"/>
    <s v="Peru Chef Salsa de Aji Limo con Rocoto"/>
    <n v="1"/>
    <n v="45"/>
    <n v="45"/>
    <n v="279.5"/>
    <n v="4"/>
    <s v="Se repite 4 veces"/>
    <s v="Peru Chef-Peru Chef Salsa de Aji Limo con Rocoto 10.5oz x 12"/>
    <n v="4"/>
    <s v="Se repite 4 veces en Peru Chef"/>
    <s v="Peru Chef-Peru Chef Salsa de Aji Limo con Rocoto 10.5oz x 12-45"/>
    <n v="2"/>
    <s v="Se repite 2 veces el precio de 45"/>
    <s v="El producto Peru Chef Salsa de Aji Limo con Rocoto 10.5oz x 12 Se repite 4 veces en Peru Chef, Se repite 2 veces el precio de 45"/>
  </r>
  <r>
    <x v="1"/>
    <x v="9"/>
    <s v="Bill"/>
    <s v="55130"/>
    <x v="214"/>
    <s v="Peru Chef Salsa de Aji Limo con Rocoto"/>
    <n v="1"/>
    <n v="45"/>
    <n v="45"/>
    <n v="2525.6999999999998"/>
    <n v="4"/>
    <s v="Se repite 4 veces"/>
    <s v="Peru Chef-Peru Chef Salsa de Aji Limo con Rocoto 10.5oz x 12"/>
    <n v="4"/>
    <s v="Se repite 4 veces en Peru Chef"/>
    <s v="Peru Chef-Peru Chef Salsa de Aji Limo con Rocoto 10.5oz x 12-45"/>
    <n v="2"/>
    <s v="Se repite 2 veces el precio de 45"/>
    <s v="El producto Peru Chef Salsa de Aji Limo con Rocoto 10.5oz x 12 Se repite 4 veces en Peru Chef, Se repite 2 veces el precio de 45"/>
  </r>
  <r>
    <x v="1"/>
    <x v="23"/>
    <s v="Bill"/>
    <s v="2025001209"/>
    <x v="214"/>
    <s v="PERU CHEF- SALSA / CREMAS -   -  SALSA DE AJI LIMO CON ROCOTO 10.5 OZ X 12 / FCO VIDRIO"/>
    <n v="2"/>
    <n v="49.5"/>
    <n v="99"/>
    <n v="17294.5"/>
    <n v="4"/>
    <s v="Se repite 4 veces"/>
    <s v="Peru Chef-Peru Chef Salsa de Aji Limo con Rocoto 10.5oz x 12"/>
    <n v="4"/>
    <s v="Se repite 4 veces en Peru Chef"/>
    <s v="Peru Chef-Peru Chef Salsa de Aji Limo con Rocoto 10.5oz x 12-49.5"/>
    <n v="1"/>
    <s v="No se repite"/>
    <s v="El producto Peru Chef Salsa de Aji Limo con Rocoto 10.5oz x 12 Se repite 4 veces en Peru Chef Una vez con el precio 49.5"/>
  </r>
  <r>
    <x v="1"/>
    <x v="18"/>
    <s v="Bill"/>
    <s v="2025002373"/>
    <x v="214"/>
    <s v="PERU CHEF- SALSA / CREMAS -   -  SALSA DE AJI LIMO CON ROCOTO 10.5 OZ X 12 / FCO VIDRIO"/>
    <n v="2"/>
    <n v="44.55"/>
    <n v="89.1"/>
    <n v="41918.349999999991"/>
    <n v="4"/>
    <s v="Se repite 4 veces"/>
    <s v="Peru Chef-Peru Chef Salsa de Aji Limo con Rocoto 10.5oz x 12"/>
    <n v="4"/>
    <s v="Se repite 4 veces en Peru Chef"/>
    <s v="Peru Chef-Peru Chef Salsa de Aji Limo con Rocoto 10.5oz x 12-44.55"/>
    <n v="1"/>
    <s v="No se repite"/>
    <s v="El producto Peru Chef Salsa de Aji Limo con Rocoto 10.5oz x 12 Se repite 4 veces en Peru Chef Una vez con el precio 44.55"/>
  </r>
  <r>
    <x v="1"/>
    <x v="23"/>
    <s v="Bill"/>
    <s v="2025001209"/>
    <x v="215"/>
    <s v="Salsa Rocoto 10.5 Oz X 12"/>
    <n v="2"/>
    <n v="57"/>
    <n v="114"/>
    <n v="17486.5"/>
    <n v="1"/>
    <s v="No se repite"/>
    <s v="Peru Chef-Peru Chef Salsa Rocoto 10.5 Oz X 12"/>
    <n v="1"/>
    <s v="No se repite en proveedor"/>
    <s v="Peru Chef-Peru Chef Salsa Rocoto 10.5 Oz X 12-57"/>
    <n v="1"/>
    <s v="No se repite"/>
    <s v="El producto Peru Chef Salsa Rocoto 10.5 Oz X 12 No se repite en proveedor Una vez con el precio 57"/>
  </r>
  <r>
    <x v="1"/>
    <x v="12"/>
    <s v="Bill"/>
    <s v="56352"/>
    <x v="216"/>
    <s v="Semola 15 Oz X 12"/>
    <n v="2"/>
    <n v="18"/>
    <n v="36"/>
    <n v="12409.5"/>
    <n v="4"/>
    <s v="Se repite 4 veces"/>
    <s v="Peru Chef-Peru Chef Semola 15oz x 12"/>
    <n v="4"/>
    <s v="Se repite 4 veces en Peru Chef"/>
    <s v="Peru Chef-Peru Chef Semola 15oz x 12-18"/>
    <n v="2"/>
    <s v="Se repite 2 veces el precio de 18"/>
    <s v="El producto Peru Chef Semola 15oz x 12 Se repite 4 veces en Peru Chef, Se repite 2 veces el precio de 18"/>
  </r>
  <r>
    <x v="1"/>
    <x v="23"/>
    <s v="Bill"/>
    <s v="2025001209"/>
    <x v="216"/>
    <s v="PERU CHEF- GRANOS -  BOLSA -  SEMOLA 15 OZ X 12"/>
    <n v="2"/>
    <n v="18"/>
    <n v="36"/>
    <n v="16919.5"/>
    <n v="4"/>
    <s v="Se repite 4 veces"/>
    <s v="Peru Chef-Peru Chef Semola 15oz x 12"/>
    <n v="4"/>
    <s v="Se repite 4 veces en Peru Chef"/>
    <s v="Peru Chef-Peru Chef Semola 15oz x 12-18"/>
    <n v="2"/>
    <s v="Se repite 2 veces el precio de 18"/>
    <s v="El producto Peru Chef Semola 15oz x 12 Se repite 4 veces en Peru Chef, Se repite 2 veces el precio de 18"/>
  </r>
  <r>
    <x v="1"/>
    <x v="16"/>
    <s v="Bill"/>
    <s v="2025001895"/>
    <x v="216"/>
    <s v="PERU CHEF- GRANOS -  BOLSA -  SEMOLA 15 OZ X 12"/>
    <n v="1"/>
    <n v="16.2"/>
    <n v="16.2"/>
    <n v="31234.9"/>
    <n v="4"/>
    <s v="Se repite 4 veces"/>
    <s v="Peru Chef-Peru Chef Semola 15oz x 12"/>
    <n v="4"/>
    <s v="Se repite 4 veces en Peru Chef"/>
    <s v="Peru Chef-Peru Chef Semola 15oz x 12-16.2"/>
    <n v="2"/>
    <s v="Se repite 2 veces el precio de 16.2"/>
    <s v="El producto Peru Chef Semola 15oz x 12 Se repite 4 veces en Peru Chef, Se repite 2 veces el precio de 16.2"/>
  </r>
  <r>
    <x v="1"/>
    <x v="17"/>
    <s v="Bill"/>
    <s v="57055"/>
    <x v="216"/>
    <s v="PERU CHEF- GRANOS -  BOLSA -  SEMOLA 15 OZ X 12"/>
    <n v="2"/>
    <n v="16.2"/>
    <n v="32.4"/>
    <n v="35263.750000000007"/>
    <n v="4"/>
    <s v="Se repite 4 veces"/>
    <s v="Peru Chef-Peru Chef Semola 15oz x 12"/>
    <n v="4"/>
    <s v="Se repite 4 veces en Peru Chef"/>
    <s v="Peru Chef-Peru Chef Semola 15oz x 12-16.2"/>
    <n v="2"/>
    <s v="Se repite 2 veces el precio de 16.2"/>
    <s v="El producto Peru Chef Semola 15oz x 12 Se repite 4 veces en Peru Chef, Se repite 2 veces el precio de 16.2"/>
  </r>
  <r>
    <x v="1"/>
    <x v="9"/>
    <s v="Bill"/>
    <s v="55130"/>
    <x v="217"/>
    <s v="Peruchef Cancha Chulpi Salada"/>
    <n v="1"/>
    <n v="30"/>
    <n v="30"/>
    <n v="4471"/>
    <n v="3"/>
    <s v="Se repite 3 veces"/>
    <s v="Peru Chef-Peru Chef Snack Cancha Chulpi Salada 100gr x 20"/>
    <n v="3"/>
    <s v="Se repite 3 veces en Peru Chef"/>
    <s v="Peru Chef-Peru Chef Snack Cancha Chulpi Salada 100gr x 20-30"/>
    <n v="3"/>
    <s v="Se repite 3 veces el precio de 30"/>
    <s v="El producto Peru Chef Snack Cancha Chulpi Salada 100gr x 20 Se repite 3 veces en Peru Chef, Se repite 3 veces el precio de 30"/>
  </r>
  <r>
    <x v="1"/>
    <x v="24"/>
    <s v="Bill"/>
    <s v="55164"/>
    <x v="217"/>
    <s v="Peruchef Cancha Chulpi Salada"/>
    <n v="1"/>
    <n v="30"/>
    <n v="30"/>
    <n v="5668.6"/>
    <n v="3"/>
    <s v="Se repite 3 veces"/>
    <s v="Peru Chef-Peru Chef Snack Cancha Chulpi Salada 100gr x 20"/>
    <n v="3"/>
    <s v="Se repite 3 veces en Peru Chef"/>
    <s v="Peru Chef-Peru Chef Snack Cancha Chulpi Salada 100gr x 20-30"/>
    <n v="3"/>
    <s v="Se repite 3 veces el precio de 30"/>
    <s v="El producto Peru Chef Snack Cancha Chulpi Salada 100gr x 20 Se repite 3 veces en Peru Chef, Se repite 3 veces el precio de 30"/>
  </r>
  <r>
    <x v="1"/>
    <x v="15"/>
    <s v="Bill"/>
    <s v="55372"/>
    <x v="217"/>
    <s v="Peruchef Cancha Chulpi Salada"/>
    <n v="1"/>
    <n v="30"/>
    <n v="30"/>
    <n v="9272.7000000000007"/>
    <n v="3"/>
    <s v="Se repite 3 veces"/>
    <s v="Peru Chef-Peru Chef Snack Cancha Chulpi Salada 100gr x 20"/>
    <n v="3"/>
    <s v="Se repite 3 veces en Peru Chef"/>
    <s v="Peru Chef-Peru Chef Snack Cancha Chulpi Salada 100gr x 20-30"/>
    <n v="3"/>
    <s v="Se repite 3 veces el precio de 30"/>
    <s v="El producto Peru Chef Snack Cancha Chulpi Salada 100gr x 20 Se repite 3 veces en Peru Chef, Se repite 3 veces el precio de 30"/>
  </r>
  <r>
    <x v="1"/>
    <x v="9"/>
    <s v="Bill"/>
    <s v="55130"/>
    <x v="218"/>
    <s v="Peruchef Cancha Serrana Salada"/>
    <n v="1"/>
    <n v="30"/>
    <n v="30"/>
    <n v="4501"/>
    <n v="3"/>
    <s v="Se repite 3 veces"/>
    <s v="Peru Chef-Peru Chef Snack Cancha Serrana Salada 100gr x 20 bolsas"/>
    <n v="3"/>
    <s v="Se repite 3 veces en Peru Chef"/>
    <s v="Peru Chef-Peru Chef Snack Cancha Serrana Salada 100gr x 20 bolsas-30"/>
    <n v="3"/>
    <s v="Se repite 3 veces el precio de 30"/>
    <s v="El producto Peru Chef Snack Cancha Serrana Salada 100gr x 20 bolsas Se repite 3 veces en Peru Chef, Se repite 3 veces el precio de 30"/>
  </r>
  <r>
    <x v="1"/>
    <x v="24"/>
    <s v="Bill"/>
    <s v="55164"/>
    <x v="218"/>
    <s v="Peruchef Cancha Serrana Salada"/>
    <n v="1"/>
    <n v="30"/>
    <n v="30"/>
    <n v="5698.6"/>
    <n v="3"/>
    <s v="Se repite 3 veces"/>
    <s v="Peru Chef-Peru Chef Snack Cancha Serrana Salada 100gr x 20 bolsas"/>
    <n v="3"/>
    <s v="Se repite 3 veces en Peru Chef"/>
    <s v="Peru Chef-Peru Chef Snack Cancha Serrana Salada 100gr x 20 bolsas-30"/>
    <n v="3"/>
    <s v="Se repite 3 veces el precio de 30"/>
    <s v="El producto Peru Chef Snack Cancha Serrana Salada 100gr x 20 bolsas Se repite 3 veces en Peru Chef, Se repite 3 veces el precio de 30"/>
  </r>
  <r>
    <x v="1"/>
    <x v="15"/>
    <s v="Bill"/>
    <s v="55372"/>
    <x v="218"/>
    <s v="Peruchef Cancha Serrana Salada"/>
    <n v="1"/>
    <n v="30"/>
    <n v="30"/>
    <n v="9302.7000000000007"/>
    <n v="3"/>
    <s v="Se repite 3 veces"/>
    <s v="Peru Chef-Peru Chef Snack Cancha Serrana Salada 100gr x 20 bolsas"/>
    <n v="3"/>
    <s v="Se repite 3 veces en Peru Chef"/>
    <s v="Peru Chef-Peru Chef Snack Cancha Serrana Salada 100gr x 20 bolsas-30"/>
    <n v="3"/>
    <s v="Se repite 3 veces el precio de 30"/>
    <s v="El producto Peru Chef Snack Cancha Serrana Salada 100gr x 20 bolsas Se repite 3 veces en Peru Chef, Se repite 3 veces el precio de 30"/>
  </r>
  <r>
    <x v="1"/>
    <x v="9"/>
    <s v="Bill"/>
    <s v="55130"/>
    <x v="219"/>
    <s v="Peruchef Habas Saladas"/>
    <n v="1"/>
    <n v="30"/>
    <n v="30"/>
    <n v="4531"/>
    <n v="3"/>
    <s v="Se repite 3 veces"/>
    <s v="Peru Chef-Peru Chef Snack Habas Saladas 100gr x 20 bolsas"/>
    <n v="3"/>
    <s v="Se repite 3 veces en Peru Chef"/>
    <s v="Peru Chef-Peru Chef Snack Habas Saladas 100gr x 20 bolsas-30"/>
    <n v="3"/>
    <s v="Se repite 3 veces el precio de 30"/>
    <s v="El producto Peru Chef Snack Habas Saladas 100gr x 20 bolsas Se repite 3 veces en Peru Chef, Se repite 3 veces el precio de 30"/>
  </r>
  <r>
    <x v="1"/>
    <x v="24"/>
    <s v="Bill"/>
    <s v="55164"/>
    <x v="219"/>
    <s v="Peruchef Habas Saladas"/>
    <n v="1"/>
    <n v="30"/>
    <n v="30"/>
    <n v="5728.6"/>
    <n v="3"/>
    <s v="Se repite 3 veces"/>
    <s v="Peru Chef-Peru Chef Snack Habas Saladas 100gr x 20 bolsas"/>
    <n v="3"/>
    <s v="Se repite 3 veces en Peru Chef"/>
    <s v="Peru Chef-Peru Chef Snack Habas Saladas 100gr x 20 bolsas-30"/>
    <n v="3"/>
    <s v="Se repite 3 veces el precio de 30"/>
    <s v="El producto Peru Chef Snack Habas Saladas 100gr x 20 bolsas Se repite 3 veces en Peru Chef, Se repite 3 veces el precio de 30"/>
  </r>
  <r>
    <x v="1"/>
    <x v="15"/>
    <s v="Bill"/>
    <s v="55372"/>
    <x v="219"/>
    <s v="Peruchef Habas Saladas"/>
    <n v="1"/>
    <n v="30"/>
    <n v="30"/>
    <n v="9332.7000000000007"/>
    <n v="3"/>
    <s v="Se repite 3 veces"/>
    <s v="Peru Chef-Peru Chef Snack Habas Saladas 100gr x 20 bolsas"/>
    <n v="3"/>
    <s v="Se repite 3 veces en Peru Chef"/>
    <s v="Peru Chef-Peru Chef Snack Habas Saladas 100gr x 20 bolsas-30"/>
    <n v="3"/>
    <s v="Se repite 3 veces el precio de 30"/>
    <s v="El producto Peru Chef Snack Habas Saladas 100gr x 20 bolsas Se repite 3 veces en Peru Chef, Se repite 3 veces el precio de 30"/>
  </r>
  <r>
    <x v="1"/>
    <x v="8"/>
    <s v="Bill"/>
    <s v=""/>
    <x v="220"/>
    <s v="Trigo Pelado 15 Oz X 12"/>
    <n v="1"/>
    <n v="19.8"/>
    <n v="19.8"/>
    <n v="469.3"/>
    <n v="5"/>
    <s v="Se repite 5 veces"/>
    <s v="Peru Chef-Peru Chef Trigo Pelado 15 Oz X 12"/>
    <n v="5"/>
    <s v="Se repite 5 veces en Peru Chef"/>
    <s v="Peru Chef-Peru Chef Trigo Pelado 15 Oz X 12-19.8"/>
    <n v="3"/>
    <s v="Se repite 3 veces el precio de 19.8"/>
    <s v="El producto Peru Chef Trigo Pelado 15 Oz X 12 Se repite 5 veces en Peru Chef, Se repite 3 veces el precio de 19.8"/>
  </r>
  <r>
    <x v="1"/>
    <x v="9"/>
    <s v="Bill"/>
    <s v="55130"/>
    <x v="220"/>
    <s v="Trigo Pelado 15 Oz X 12"/>
    <n v="1"/>
    <n v="19.8"/>
    <n v="19.8"/>
    <n v="2715.5"/>
    <n v="5"/>
    <s v="Se repite 5 veces"/>
    <s v="Peru Chef-Peru Chef Trigo Pelado 15 Oz X 12"/>
    <n v="5"/>
    <s v="Se repite 5 veces en Peru Chef"/>
    <s v="Peru Chef-Peru Chef Trigo Pelado 15 Oz X 12-19.8"/>
    <n v="3"/>
    <s v="Se repite 3 veces el precio de 19.8"/>
    <s v="El producto Peru Chef Trigo Pelado 15 Oz X 12 Se repite 5 veces en Peru Chef, Se repite 3 veces el precio de 19.8"/>
  </r>
  <r>
    <x v="1"/>
    <x v="15"/>
    <s v="Bill"/>
    <s v="55372"/>
    <x v="220"/>
    <s v="PERU CHEF- GRANOS -  BOLSA -  TRIGO PELADO 15 OZ X 12"/>
    <n v="2"/>
    <n v="19.8"/>
    <n v="39.6"/>
    <n v="7608.2000000000007"/>
    <n v="5"/>
    <s v="Se repite 5 veces"/>
    <s v="Peru Chef-Peru Chef Trigo Pelado 15 Oz X 12"/>
    <n v="5"/>
    <s v="Se repite 5 veces en Peru Chef"/>
    <s v="Peru Chef-Peru Chef Trigo Pelado 15 Oz X 12-19.8"/>
    <n v="3"/>
    <s v="Se repite 3 veces el precio de 19.8"/>
    <s v="El producto Peru Chef Trigo Pelado 15 Oz X 12 Se repite 5 veces en Peru Chef, Se repite 3 veces el precio de 19.8"/>
  </r>
  <r>
    <x v="1"/>
    <x v="12"/>
    <s v="Bill"/>
    <s v="56352"/>
    <x v="220"/>
    <s v="PERU CHEF- GRANOS -  BOLSA -  TRIGO PELADO 15 OZ X 12"/>
    <n v="2"/>
    <n v="21"/>
    <n v="42"/>
    <n v="12159.5"/>
    <n v="5"/>
    <s v="Se repite 5 veces"/>
    <s v="Peru Chef-Peru Chef Trigo Pelado 15 Oz X 12"/>
    <n v="5"/>
    <s v="Se repite 5 veces en Peru Chef"/>
    <s v="Peru Chef-Peru Chef Trigo Pelado 15 Oz X 12-21"/>
    <n v="2"/>
    <s v="Se repite 2 veces el precio de 21"/>
    <s v="El producto Peru Chef Trigo Pelado 15 Oz X 12 Se repite 5 veces en Peru Chef, Se repite 2 veces el precio de 21"/>
  </r>
  <r>
    <x v="1"/>
    <x v="23"/>
    <s v="Bill"/>
    <s v="2025001209"/>
    <x v="220"/>
    <s v="PERU CHEF- GRANOS -  BOLSA -  TRIGO PELADO 15 OZ X 12"/>
    <n v="2"/>
    <n v="21"/>
    <n v="42"/>
    <n v="16709.5"/>
    <n v="5"/>
    <s v="Se repite 5 veces"/>
    <s v="Peru Chef-Peru Chef Trigo Pelado 15 Oz X 12"/>
    <n v="5"/>
    <s v="Se repite 5 veces en Peru Chef"/>
    <s v="Peru Chef-Peru Chef Trigo Pelado 15 Oz X 12-21"/>
    <n v="2"/>
    <s v="Se repite 2 veces el precio de 21"/>
    <s v="El producto Peru Chef Trigo Pelado 15 Oz X 12 Se repite 5 veces en Peru Chef, Se repite 2 veces el precio de 21"/>
  </r>
  <r>
    <x v="1"/>
    <x v="8"/>
    <s v="Bill"/>
    <s v=""/>
    <x v="221"/>
    <s v="Tuco 70 G X 12"/>
    <n v="1"/>
    <n v="24"/>
    <n v="24"/>
    <n v="725.3"/>
    <n v="2"/>
    <s v="Se repite 2 veces"/>
    <s v="Peru Chef-Peru Chef Tuco 70gr x 12"/>
    <n v="2"/>
    <s v="Se repite 2 veces en Peru Chef"/>
    <s v="Peru Chef-Peru Chef Tuco 70gr x 12-24"/>
    <n v="2"/>
    <s v="Se repite 2 veces el precio de 24"/>
    <s v="El producto Peru Chef Tuco 70gr x 12 Se repite 2 veces en Peru Chef, Se repite 2 veces el precio de 24"/>
  </r>
  <r>
    <x v="1"/>
    <x v="9"/>
    <s v="Bill"/>
    <s v="55130"/>
    <x v="221"/>
    <s v="Tuco 70 G X 12"/>
    <n v="1"/>
    <n v="24"/>
    <n v="24"/>
    <n v="2971.5"/>
    <n v="2"/>
    <s v="Se repite 2 veces"/>
    <s v="Peru Chef-Peru Chef Tuco 70gr x 12"/>
    <n v="2"/>
    <s v="Se repite 2 veces en Peru Chef"/>
    <s v="Peru Chef-Peru Chef Tuco 70gr x 12-24"/>
    <n v="2"/>
    <s v="Se repite 2 veces el precio de 24"/>
    <s v="El producto Peru Chef Tuco 70gr x 12 Se repite 2 veces en Peru Chef, Se repite 2 veces el precio de 24"/>
  </r>
  <r>
    <x v="1"/>
    <x v="1"/>
    <s v="Bill"/>
    <s v="2025001378"/>
    <x v="222"/>
    <s v="PERU CHEF- TURRON -   -  PERUCHEF TURRON DE DOÑA PEPA 500 G"/>
    <n v="60"/>
    <n v="5.5"/>
    <n v="330"/>
    <n v="23092"/>
    <n v="2"/>
    <s v="Se repite 2 veces"/>
    <s v="Peru Chef-Peru Chef Turron De Doña Pepa 500gr"/>
    <n v="2"/>
    <s v="Se repite 2 veces en Peru Chef"/>
    <s v="Peru Chef-Peru Chef Turron De Doña Pepa 500gr-5.5"/>
    <n v="1"/>
    <s v="No se repite"/>
    <s v="El producto Peru Chef Turron De Doña Pepa 500gr Se repite 2 veces en Peru Chef Una vez con el precio 5.5"/>
  </r>
  <r>
    <x v="1"/>
    <x v="16"/>
    <s v="Bill"/>
    <s v="2025001895"/>
    <x v="222"/>
    <s v="PERU CHEF- TURRON -   -  PERUCHEF TURRON DE DOÑA PEPA 500 G"/>
    <n v="120"/>
    <n v="4.95"/>
    <n v="594"/>
    <n v="31886.5"/>
    <n v="2"/>
    <s v="Se repite 2 veces"/>
    <s v="Peru Chef-Peru Chef Turron De Doña Pepa 500gr"/>
    <n v="2"/>
    <s v="Se repite 2 veces en Peru Chef"/>
    <s v="Peru Chef-Peru Chef Turron De Doña Pepa 500gr-4.95"/>
    <n v="1"/>
    <s v="No se repite"/>
    <s v="El producto Peru Chef Turron De Doña Pepa 500gr Se repite 2 veces en Peru Chef Una vez con el precio 4.95"/>
  </r>
  <r>
    <x v="1"/>
    <x v="8"/>
    <s v="Bill"/>
    <s v=""/>
    <x v="223"/>
    <s v="Yuca Amarilla 1.5Lb X 18"/>
    <n v="1"/>
    <n v="72"/>
    <n v="72"/>
    <n v="2308.6999999999998"/>
    <n v="2"/>
    <s v="Se repite 2 veces"/>
    <s v="Peru Chef-Peru Chef Yuca Amarilla 1.5Lb x 18 bolsas"/>
    <n v="2"/>
    <s v="Se repite 2 veces en Peru Chef"/>
    <s v="Peru Chef-Peru Chef Yuca Amarilla 1.5Lb x 18 bolsas-72"/>
    <n v="2"/>
    <s v="Se repite 2 veces el precio de 72"/>
    <s v="El producto Peru Chef Yuca Amarilla 1.5Lb x 18 bolsas Se repite 2 veces en Peru Chef, Se repite 2 veces el precio de 72"/>
  </r>
  <r>
    <x v="1"/>
    <x v="9"/>
    <s v="Bill"/>
    <s v="55130"/>
    <x v="223"/>
    <s v="Yuca Amarilla 1.5Lb X 18"/>
    <n v="1"/>
    <n v="72"/>
    <n v="72"/>
    <n v="4334.5"/>
    <n v="2"/>
    <s v="Se repite 2 veces"/>
    <s v="Peru Chef-Peru Chef Yuca Amarilla 1.5Lb x 18 bolsas"/>
    <n v="2"/>
    <s v="Se repite 2 veces en Peru Chef"/>
    <s v="Peru Chef-Peru Chef Yuca Amarilla 1.5Lb x 18 bolsas-72"/>
    <n v="2"/>
    <s v="Se repite 2 veces el precio de 72"/>
    <s v="El producto Peru Chef Yuca Amarilla 1.5Lb x 18 bolsas Se repite 2 veces en Peru Chef, Se repite 2 veces el precio de 72"/>
  </r>
  <r>
    <x v="1"/>
    <x v="17"/>
    <s v="Bill"/>
    <s v="57055"/>
    <x v="224"/>
    <s v="Peru Chef Zapallo Loche 1Lb"/>
    <n v="20"/>
    <n v="5.625"/>
    <n v="112.5"/>
    <n v="34821.85"/>
    <n v="2"/>
    <s v="Se repite 2 veces"/>
    <s v="Peru Chef-Peru Chef Zapallo Loche 1Lb"/>
    <n v="2"/>
    <s v="Se repite 2 veces en Peru Chef"/>
    <s v="Peru Chef-Peru Chef Zapallo Loche 1Lb-5.625"/>
    <n v="2"/>
    <s v="Se repite 2 veces el precio de 5.625"/>
    <s v="El producto Peru Chef Zapallo Loche 1Lb Se repite 2 veces en Peru Chef, Se repite 2 veces el precio de 5.625"/>
  </r>
  <r>
    <x v="1"/>
    <x v="18"/>
    <s v="Bill"/>
    <s v="2025002373"/>
    <x v="224"/>
    <s v="Peru Chef Zapallo Loche 1Lb"/>
    <n v="140"/>
    <n v="5.625"/>
    <n v="787.5"/>
    <n v="41410.75"/>
    <n v="2"/>
    <s v="Se repite 2 veces"/>
    <s v="Peru Chef-Peru Chef Zapallo Loche 1Lb"/>
    <n v="2"/>
    <s v="Se repite 2 veces en Peru Chef"/>
    <s v="Peru Chef-Peru Chef Zapallo Loche 1Lb-5.625"/>
    <n v="2"/>
    <s v="Se repite 2 veces el precio de 5.625"/>
    <s v="El producto Peru Chef Zapallo Loche 1Lb Se repite 2 veces en Peru Chef, Se repite 2 veces el precio de 5.625"/>
  </r>
  <r>
    <x v="2"/>
    <x v="3"/>
    <s v="Bill"/>
    <s v="64308"/>
    <x v="225"/>
    <s v="PERU CHEF- SALSAS Y CREMAS -   -  PROVENZAL AJI DE GALLINA 100 GR X 10)-"/>
    <n v="1"/>
    <n v="19.690000000000001"/>
    <n v="19.690000000000001"/>
    <n v="4830.99"/>
    <n v="2"/>
    <s v="Se repite 2 veces"/>
    <s v="Belmont International Trading Corp-Provenzal Aji De Gallina 100gr x 10"/>
    <n v="2"/>
    <s v="Se repite 2 veces en Belmont International Trading Corp"/>
    <s v="Belmont International Trading Corp-Provenzal Aji De Gallina 100gr x 10-19.69"/>
    <n v="1"/>
    <s v="No se repite"/>
    <s v="El producto Provenzal Aji De Gallina 100gr x 10 Se repite 2 veces en Belmont International Trading Corp Una vez con el precio 19.69"/>
  </r>
  <r>
    <x v="2"/>
    <x v="20"/>
    <s v="Bill"/>
    <s v="72533"/>
    <x v="225"/>
    <s v="PERU CHEF- SALSAS Y CREMAS -   -  PROVENZAL AJI DE GALLINA 100 GR X 10) / PR-01"/>
    <n v="2"/>
    <n v="21.9"/>
    <n v="43.8"/>
    <n v="20618.54"/>
    <n v="2"/>
    <s v="Se repite 2 veces"/>
    <s v="Belmont International Trading Corp-Provenzal Aji De Gallina 100gr x 10"/>
    <n v="2"/>
    <s v="Se repite 2 veces en Belmont International Trading Corp"/>
    <s v="Belmont International Trading Corp-Provenzal Aji De Gallina 100gr x 10-21.9"/>
    <n v="1"/>
    <s v="No se repite"/>
    <s v="El producto Provenzal Aji De Gallina 100gr x 10 Se repite 2 veces en Belmont International Trading Corp Una vez con el precio 21.9"/>
  </r>
  <r>
    <x v="2"/>
    <x v="3"/>
    <s v="Bill"/>
    <s v="64308"/>
    <x v="226"/>
    <s v="PERU CHEF- SALSAS Y CREMAS -   -  PROVENZAL ARROZ CON POLLO/SECO/AGUADITO 58 GR X 10)-"/>
    <n v="1"/>
    <n v="23.63"/>
    <n v="23.63"/>
    <n v="4854.62"/>
    <n v="2"/>
    <s v="Se repite 2 veces"/>
    <s v="Belmont International Trading Corp-Provenzal Arroz Con Pollo/Seco/Aguadito 58 gr x 10"/>
    <n v="2"/>
    <s v="Se repite 2 veces en Belmont International Trading Corp"/>
    <s v="Belmont International Trading Corp-Provenzal Arroz Con Pollo/Seco/Aguadito 58 gr x 10-23.63"/>
    <n v="1"/>
    <s v="No se repite"/>
    <s v="El producto Provenzal Arroz Con Pollo/Seco/Aguadito 58 gr x 10 Se repite 2 veces en Belmont International Trading Corp Una vez con el precio 23.63"/>
  </r>
  <r>
    <x v="2"/>
    <x v="20"/>
    <s v="Bill"/>
    <s v="72533"/>
    <x v="226"/>
    <s v="PERU CHEF- SALSAS Y CREMAS -   -  PROVENZAL ARROZ CON POLLO/SECO/AGUADITO 58 GR X 10)-"/>
    <n v="2"/>
    <n v="25.9"/>
    <n v="51.8"/>
    <n v="20670.34"/>
    <n v="2"/>
    <s v="Se repite 2 veces"/>
    <s v="Belmont International Trading Corp-Provenzal Arroz Con Pollo/Seco/Aguadito 58 gr x 10"/>
    <n v="2"/>
    <s v="Se repite 2 veces en Belmont International Trading Corp"/>
    <s v="Belmont International Trading Corp-Provenzal Arroz Con Pollo/Seco/Aguadito 58 gr x 10-25.9"/>
    <n v="1"/>
    <s v="No se repite"/>
    <s v="El producto Provenzal Arroz Con Pollo/Seco/Aguadito 58 gr x 10 Se repite 2 veces en Belmont International Trading Corp Una vez con el precio 25.9"/>
  </r>
  <r>
    <x v="2"/>
    <x v="3"/>
    <s v="Bill"/>
    <s v="64308"/>
    <x v="227"/>
    <s v="PERU CHEF- SALSAS Y CREMAS -   -  PROVENZAL CARAPULCRA 150 GR X 6)-"/>
    <n v="1"/>
    <n v="12.5"/>
    <n v="12.5"/>
    <n v="4867.12"/>
    <n v="3"/>
    <s v="Se repite 3 veces"/>
    <s v="Belmont International Trading Corp-Provenzal Carapulcra 150gr x 6"/>
    <n v="2"/>
    <s v="Se repite 2 veces en Belmont International Trading Corp"/>
    <s v="Belmont International Trading Corp-Provenzal Carapulcra 150gr x 6-12.5"/>
    <n v="1"/>
    <s v="No se repite"/>
    <s v="El producto Provenzal Carapulcra 150gr x 6 Se repite 2 veces en Belmont International Trading Corp Una vez con el precio 12.5"/>
  </r>
  <r>
    <x v="2"/>
    <x v="20"/>
    <s v="Bill"/>
    <s v="72533"/>
    <x v="227"/>
    <s v="PERU CHEF- SALSAS Y CREMAS -   -  PROVENZAL CARAPULCRA 150 GR X 6)-"/>
    <n v="1"/>
    <n v="13.9"/>
    <n v="13.9"/>
    <n v="20684.240000000002"/>
    <n v="3"/>
    <s v="Se repite 3 veces"/>
    <s v="Belmont International Trading Corp-Provenzal Carapulcra 150gr x 6"/>
    <n v="2"/>
    <s v="Se repite 2 veces en Belmont International Trading Corp"/>
    <s v="Belmont International Trading Corp-Provenzal Carapulcra 150gr x 6-13.9"/>
    <n v="1"/>
    <s v="No se repite"/>
    <s v="El producto Provenzal Carapulcra 150gr x 6 Se repite 2 veces en Belmont International Trading Corp Una vez con el precio 13.9"/>
  </r>
  <r>
    <x v="1"/>
    <x v="1"/>
    <s v="Bill"/>
    <s v="2025001378"/>
    <x v="227"/>
    <s v="PERU CHEF- SALSAS Y CREMAS -   -  PROVENZAL CARAPULCRA 150 GR X 6)-"/>
    <n v="3"/>
    <n v="18"/>
    <n v="54"/>
    <n v="21905"/>
    <n v="3"/>
    <s v="Se repite 3 veces"/>
    <s v="Peru Chef-Provenzal Carapulcra 150gr x 6"/>
    <n v="1"/>
    <s v="No se repite en proveedor"/>
    <s v="Peru Chef-Provenzal Carapulcra 150gr x 6-18"/>
    <n v="1"/>
    <s v="No se repite"/>
    <s v="El producto Provenzal Carapulcra 150gr x 6 No se repite en proveedor Una vez con el precio 18"/>
  </r>
  <r>
    <x v="2"/>
    <x v="3"/>
    <s v="Bill"/>
    <s v="64308"/>
    <x v="228"/>
    <s v="PERU CHEF- SALSAS Y CREMAS -   -  PROVENZAL CAU CAU 60 GR X 12)-"/>
    <n v="1"/>
    <n v="23.63"/>
    <n v="23.63"/>
    <n v="4890.75"/>
    <n v="5"/>
    <s v="Se repite 5 veces"/>
    <s v="Belmont International Trading Corp-Provenzal Cau Cau 60gr x 12"/>
    <n v="2"/>
    <s v="Se repite 2 veces en Belmont International Trading Corp"/>
    <s v="Belmont International Trading Corp-Provenzal Cau Cau 60gr x 12-23.63"/>
    <n v="1"/>
    <s v="No se repite"/>
    <s v="El producto Provenzal Cau Cau 60gr x 12 Se repite 2 veces en Belmont International Trading Corp Una vez con el precio 23.63"/>
  </r>
  <r>
    <x v="2"/>
    <x v="20"/>
    <s v="Bill"/>
    <s v="72533"/>
    <x v="228"/>
    <s v="PERU CHEF- SALSAS Y CREMAS -   -  PROVENZAL CAU CAU 60 GR X 12)-"/>
    <n v="2"/>
    <n v="25.9"/>
    <n v="51.8"/>
    <n v="20736.04"/>
    <n v="5"/>
    <s v="Se repite 5 veces"/>
    <s v="Belmont International Trading Corp-Provenzal Cau Cau 60gr x 12"/>
    <n v="2"/>
    <s v="Se repite 2 veces en Belmont International Trading Corp"/>
    <s v="Belmont International Trading Corp-Provenzal Cau Cau 60gr x 12-25.9"/>
    <n v="1"/>
    <s v="No se repite"/>
    <s v="El producto Provenzal Cau Cau 60gr x 12 Se repite 2 veces en Belmont International Trading Corp Una vez con el precio 25.9"/>
  </r>
  <r>
    <x v="1"/>
    <x v="8"/>
    <s v="Bill"/>
    <s v=""/>
    <x v="228"/>
    <s v="Provenzal Cau Cau 60 Gr X 12)"/>
    <n v="1"/>
    <n v="26"/>
    <n v="26"/>
    <n v="1332.1999999999998"/>
    <n v="5"/>
    <s v="Se repite 5 veces"/>
    <s v="Peru Chef-Provenzal Cau Cau 60gr x 12"/>
    <n v="3"/>
    <s v="Se repite 3 veces en Peru Chef"/>
    <s v="Peru Chef-Provenzal Cau Cau 60gr x 12-26"/>
    <n v="2"/>
    <s v="Se repite 2 veces el precio de 26"/>
    <s v="El producto Provenzal Cau Cau 60gr x 12 Se repite 3 veces en Peru Chef, Se repite 2 veces el precio de 26"/>
  </r>
  <r>
    <x v="1"/>
    <x v="9"/>
    <s v="Bill"/>
    <s v="55130"/>
    <x v="228"/>
    <s v="Provenzal Cau Cau 60 Gr X 12)"/>
    <n v="1"/>
    <n v="26"/>
    <n v="26"/>
    <n v="3483"/>
    <n v="5"/>
    <s v="Se repite 5 veces"/>
    <s v="Peru Chef-Provenzal Cau Cau 60gr x 12"/>
    <n v="3"/>
    <s v="Se repite 3 veces en Peru Chef"/>
    <s v="Peru Chef-Provenzal Cau Cau 60gr x 12-26"/>
    <n v="2"/>
    <s v="Se repite 2 veces el precio de 26"/>
    <s v="El producto Provenzal Cau Cau 60gr x 12 Se repite 3 veces en Peru Chef, Se repite 2 veces el precio de 26"/>
  </r>
  <r>
    <x v="1"/>
    <x v="18"/>
    <s v="Bill"/>
    <s v="2025002373"/>
    <x v="228"/>
    <s v="PERU CHEF- SALSAS Y CREMAS -   -  PROVENZAL CAU CAU 60 GR X 12) / PR-04"/>
    <n v="1"/>
    <n v="23.4"/>
    <n v="23.4"/>
    <n v="42109.149999999987"/>
    <n v="5"/>
    <s v="Se repite 5 veces"/>
    <s v="Peru Chef-Provenzal Cau Cau 60gr x 12"/>
    <n v="3"/>
    <s v="Se repite 3 veces en Peru Chef"/>
    <s v="Peru Chef-Provenzal Cau Cau 60gr x 12-23.4"/>
    <n v="1"/>
    <s v="No se repite"/>
    <s v="El producto Provenzal Cau Cau 60gr x 12 Se repite 3 veces en Peru Chef Una vez con el precio 23.4"/>
  </r>
  <r>
    <x v="2"/>
    <x v="3"/>
    <s v="Bill"/>
    <s v="64308"/>
    <x v="229"/>
    <s v="PERU CHEF- SALSAS Y CREMAS -   -  PROVENZAL CEBICHE BASE 30 GR X 20)-"/>
    <n v="1"/>
    <n v="42.08"/>
    <n v="42.08"/>
    <n v="4932.83"/>
    <n v="2"/>
    <s v="Se repite 2 veces"/>
    <s v="Belmont International Trading Corp-Provenzal Ceviche Base 30gr x 20"/>
    <n v="2"/>
    <s v="Se repite 2 veces en Belmont International Trading Corp"/>
    <s v="Belmont International Trading Corp-Provenzal Ceviche Base 30gr x 20-42.08"/>
    <n v="1"/>
    <s v="No se repite"/>
    <s v="El producto Provenzal Ceviche Base 30gr x 20 Se repite 2 veces en Belmont International Trading Corp Una vez con el precio 42.08"/>
  </r>
  <r>
    <x v="2"/>
    <x v="20"/>
    <s v="Bill"/>
    <s v="72533"/>
    <x v="229"/>
    <s v="PERU CHEF- SALSAS Y CREMAS -   -  PROVENZAL CEBICHE BASE 30 GR X 20)-"/>
    <n v="1"/>
    <n v="46.5"/>
    <n v="46.5"/>
    <n v="20782.54"/>
    <n v="2"/>
    <s v="Se repite 2 veces"/>
    <s v="Belmont International Trading Corp-Provenzal Ceviche Base 30gr x 20"/>
    <n v="2"/>
    <s v="Se repite 2 veces en Belmont International Trading Corp"/>
    <s v="Belmont International Trading Corp-Provenzal Ceviche Base 30gr x 20-46.5"/>
    <n v="1"/>
    <s v="No se repite"/>
    <s v="El producto Provenzal Ceviche Base 30gr x 20 Se repite 2 veces en Belmont International Trading Corp Una vez con el precio 46.5"/>
  </r>
  <r>
    <x v="2"/>
    <x v="3"/>
    <s v="Bill"/>
    <s v="64308"/>
    <x v="230"/>
    <s v="PERU CHEF- SALSAS Y CREMAS -   -  PROVENZAL HUANCAINA 64 GR X 12)-"/>
    <n v="1"/>
    <n v="23.63"/>
    <n v="23.63"/>
    <n v="4956.46"/>
    <n v="5"/>
    <s v="Se repite 5 veces"/>
    <s v="Belmont International Trading Corp-Provenzal Huancaina 64gr x 12"/>
    <n v="2"/>
    <s v="Se repite 2 veces en Belmont International Trading Corp"/>
    <s v="Belmont International Trading Corp-Provenzal Huancaina 64gr x 12-23.63"/>
    <n v="1"/>
    <s v="No se repite"/>
    <s v="El producto Provenzal Huancaina 64gr x 12 Se repite 2 veces en Belmont International Trading Corp Una vez con el precio 23.63"/>
  </r>
  <r>
    <x v="2"/>
    <x v="20"/>
    <s v="Bill"/>
    <s v="72533"/>
    <x v="230"/>
    <s v="PERU CHEF- SALSAS Y CREMAS -   -  PROVENZAL HUANCAINA 64 GR X 12)-"/>
    <n v="2"/>
    <n v="25.9"/>
    <n v="51.8"/>
    <n v="20853.84"/>
    <n v="5"/>
    <s v="Se repite 5 veces"/>
    <s v="Belmont International Trading Corp-Provenzal Huancaina 64gr x 12"/>
    <n v="2"/>
    <s v="Se repite 2 veces en Belmont International Trading Corp"/>
    <s v="Belmont International Trading Corp-Provenzal Huancaina 64gr x 12-25.9"/>
    <n v="1"/>
    <s v="No se repite"/>
    <s v="El producto Provenzal Huancaina 64gr x 12 Se repite 2 veces en Belmont International Trading Corp Una vez con el precio 25.9"/>
  </r>
  <r>
    <x v="1"/>
    <x v="8"/>
    <s v="Bill"/>
    <s v=""/>
    <x v="230"/>
    <s v="Provenzal Huancaina 64 Gr X 12)"/>
    <n v="1"/>
    <n v="28"/>
    <n v="28"/>
    <n v="1306.1999999999998"/>
    <n v="5"/>
    <s v="Se repite 5 veces"/>
    <s v="Peru Chef-Provenzal Huancaina 64gr x 12"/>
    <n v="3"/>
    <s v="Se repite 3 veces en Peru Chef"/>
    <s v="Peru Chef-Provenzal Huancaina 64gr x 12-28"/>
    <n v="2"/>
    <s v="Se repite 2 veces el precio de 28"/>
    <s v="El producto Provenzal Huancaina 64gr x 12 Se repite 3 veces en Peru Chef, Se repite 2 veces el precio de 28"/>
  </r>
  <r>
    <x v="1"/>
    <x v="9"/>
    <s v="Bill"/>
    <s v="55130"/>
    <x v="230"/>
    <s v="Provenzal Huancaina 64 Gr X 12)"/>
    <n v="1"/>
    <n v="28"/>
    <n v="28"/>
    <n v="3457"/>
    <n v="5"/>
    <s v="Se repite 5 veces"/>
    <s v="Peru Chef-Provenzal Huancaina 64gr x 12"/>
    <n v="3"/>
    <s v="Se repite 3 veces en Peru Chef"/>
    <s v="Peru Chef-Provenzal Huancaina 64gr x 12-28"/>
    <n v="2"/>
    <s v="Se repite 2 veces el precio de 28"/>
    <s v="El producto Provenzal Huancaina 64gr x 12 Se repite 3 veces en Peru Chef, Se repite 2 veces el precio de 28"/>
  </r>
  <r>
    <x v="1"/>
    <x v="18"/>
    <s v="Bill"/>
    <s v="2025002373"/>
    <x v="230"/>
    <s v="PERU CHEF- SALSAS Y CREMAS -   -  PROVENZAL HUANCAINA 64 GR X 12)-"/>
    <n v="1"/>
    <n v="25.2"/>
    <n v="25.2"/>
    <n v="42046.149999999987"/>
    <n v="5"/>
    <s v="Se repite 5 veces"/>
    <s v="Peru Chef-Provenzal Huancaina 64gr x 12"/>
    <n v="3"/>
    <s v="Se repite 3 veces en Peru Chef"/>
    <s v="Peru Chef-Provenzal Huancaina 64gr x 12-25.2"/>
    <n v="1"/>
    <s v="No se repite"/>
    <s v="El producto Provenzal Huancaina 64gr x 12 Se repite 3 veces en Peru Chef Una vez con el precio 25.2"/>
  </r>
  <r>
    <x v="2"/>
    <x v="3"/>
    <s v="Bill"/>
    <s v="64308"/>
    <x v="231"/>
    <s v="PERU CHEF- SALSAS Y CREMAS -   -  PROVENZAL OCOPA 70 GR X 12)-"/>
    <n v="1"/>
    <n v="23.63"/>
    <n v="23.63"/>
    <n v="4980.09"/>
    <n v="4"/>
    <s v="Se repite 4 veces"/>
    <s v="Belmont International Trading Corp-Provenzal Ocopa 70gr x 12"/>
    <n v="1"/>
    <s v="No se repite en proveedor"/>
    <s v="Belmont International Trading Corp-Provenzal Ocopa 70gr x 12-23.63"/>
    <n v="1"/>
    <s v="No se repite"/>
    <s v="El producto Provenzal Ocopa 70gr x 12 No se repite en proveedor Una vez con el precio 23.63"/>
  </r>
  <r>
    <x v="1"/>
    <x v="8"/>
    <s v="Bill"/>
    <s v=""/>
    <x v="231"/>
    <s v="Provenzal Ocopa 70 Gr X 12)"/>
    <n v="1"/>
    <n v="28"/>
    <n v="28"/>
    <n v="1278.1999999999998"/>
    <n v="4"/>
    <s v="Se repite 4 veces"/>
    <s v="Peru Chef-Provenzal Ocopa 70gr x 12"/>
    <n v="3"/>
    <s v="Se repite 3 veces en Peru Chef"/>
    <s v="Peru Chef-Provenzal Ocopa 70gr x 12-28"/>
    <n v="2"/>
    <s v="Se repite 2 veces el precio de 28"/>
    <s v="El producto Provenzal Ocopa 70gr x 12 Se repite 3 veces en Peru Chef, Se repite 2 veces el precio de 28"/>
  </r>
  <r>
    <x v="1"/>
    <x v="9"/>
    <s v="Bill"/>
    <s v="55130"/>
    <x v="231"/>
    <s v="Provenzal Ocopa 70 Gr X 12)"/>
    <n v="1"/>
    <n v="28"/>
    <n v="28"/>
    <n v="3429"/>
    <n v="4"/>
    <s v="Se repite 4 veces"/>
    <s v="Peru Chef-Provenzal Ocopa 70gr x 12"/>
    <n v="3"/>
    <s v="Se repite 3 veces en Peru Chef"/>
    <s v="Peru Chef-Provenzal Ocopa 70gr x 12-28"/>
    <n v="2"/>
    <s v="Se repite 2 veces el precio de 28"/>
    <s v="El producto Provenzal Ocopa 70gr x 12 Se repite 3 veces en Peru Chef, Se repite 2 veces el precio de 28"/>
  </r>
  <r>
    <x v="1"/>
    <x v="18"/>
    <s v="Bill"/>
    <s v="2025002373"/>
    <x v="231"/>
    <s v="PERU CHEF- SALSAS Y CREMAS -   -  PROVENZAL OCOPA 70 GR X 12)-"/>
    <n v="2"/>
    <n v="25.2"/>
    <n v="50.4"/>
    <n v="42020.94999999999"/>
    <n v="4"/>
    <s v="Se repite 4 veces"/>
    <s v="Peru Chef-Provenzal Ocopa 70gr x 12"/>
    <n v="3"/>
    <s v="Se repite 3 veces en Peru Chef"/>
    <s v="Peru Chef-Provenzal Ocopa 70gr x 12-25.2"/>
    <n v="1"/>
    <s v="No se repite"/>
    <s v="El producto Provenzal Ocopa 70gr x 12 Se repite 3 veces en Peru Chef Una vez con el precio 25.2"/>
  </r>
  <r>
    <x v="2"/>
    <x v="3"/>
    <s v="Bill"/>
    <s v="64308"/>
    <x v="232"/>
    <s v="Provenzal Olluquito 78 Gr X 6"/>
    <n v="1"/>
    <n v="17.5"/>
    <n v="17.5"/>
    <n v="4997.59"/>
    <n v="4"/>
    <s v="Se repite 4 veces"/>
    <s v="Belmont International Trading Corp-Provenzal Olluquito 78gr x 6"/>
    <n v="2"/>
    <s v="Se repite 2 veces en Belmont International Trading Corp"/>
    <s v="Belmont International Trading Corp-Provenzal Olluquito 78gr x 6-17.5"/>
    <n v="1"/>
    <s v="No se repite"/>
    <s v="El producto Provenzal Olluquito 78gr x 6 Se repite 2 veces en Belmont International Trading Corp Una vez con el precio 17.5"/>
  </r>
  <r>
    <x v="2"/>
    <x v="20"/>
    <s v="Bill"/>
    <s v="72533"/>
    <x v="232"/>
    <s v="Provenzal Olluquito 78 Gr X 6"/>
    <n v="1"/>
    <n v="19.5"/>
    <n v="19.5"/>
    <n v="20802.04"/>
    <n v="4"/>
    <s v="Se repite 4 veces"/>
    <s v="Belmont International Trading Corp-Provenzal Olluquito 78gr x 6"/>
    <n v="2"/>
    <s v="Se repite 2 veces en Belmont International Trading Corp"/>
    <s v="Belmont International Trading Corp-Provenzal Olluquito 78gr x 6-19.5"/>
    <n v="1"/>
    <s v="No se repite"/>
    <s v="El producto Provenzal Olluquito 78gr x 6 Se repite 2 veces en Belmont International Trading Corp Una vez con el precio 19.5"/>
  </r>
  <r>
    <x v="1"/>
    <x v="2"/>
    <s v="Bill"/>
    <s v="2025001691"/>
    <x v="232"/>
    <s v="Provenzal Olluquito 78 Gr X 6"/>
    <n v="2"/>
    <n v="22"/>
    <n v="44"/>
    <n v="28955.5"/>
    <n v="4"/>
    <s v="Se repite 4 veces"/>
    <s v="Peru Chef-Provenzal Olluquito 78gr x 6"/>
    <n v="2"/>
    <s v="Se repite 2 veces en Peru Chef"/>
    <s v="Peru Chef-Provenzal Olluquito 78gr x 6-22"/>
    <n v="1"/>
    <s v="No se repite"/>
    <s v="El producto Provenzal Olluquito 78gr x 6 Se repite 2 veces en Peru Chef Una vez con el precio 22"/>
  </r>
  <r>
    <x v="1"/>
    <x v="18"/>
    <s v="Bill"/>
    <s v="2025002373"/>
    <x v="232"/>
    <s v="Provenzal Olluquito 78 Gr X 6 / PR-08"/>
    <n v="2"/>
    <n v="19.8"/>
    <n v="39.6"/>
    <n v="42085.749999999985"/>
    <n v="4"/>
    <s v="Se repite 4 veces"/>
    <s v="Peru Chef-Provenzal Olluquito 78gr x 6"/>
    <n v="2"/>
    <s v="Se repite 2 veces en Peru Chef"/>
    <s v="Peru Chef-Provenzal Olluquito 78gr x 6-19.8"/>
    <n v="1"/>
    <s v="No se repite"/>
    <s v="El producto Provenzal Olluquito 78gr x 6 Se repite 2 veces en Peru Chef Una vez con el precio 19.8"/>
  </r>
  <r>
    <x v="2"/>
    <x v="3"/>
    <s v="Bill"/>
    <s v="64308"/>
    <x v="233"/>
    <s v="PERU CHEF- SALSAS Y CREMAS -   -  PROVENZAL PICARONES CON MIEL 165 GR X 12"/>
    <n v="1"/>
    <n v="34.4"/>
    <n v="34.4"/>
    <n v="5031.99"/>
    <n v="4"/>
    <s v="Se repite 4 veces"/>
    <s v="Belmont International Trading Corp-Provenzal Picarones Con Miel 165gr x 12"/>
    <n v="1"/>
    <s v="No se repite en proveedor"/>
    <s v="Belmont International Trading Corp-Provenzal Picarones Con Miel 165gr x 12-34.4"/>
    <n v="1"/>
    <s v="No se repite"/>
    <s v="El producto Provenzal Picarones Con Miel 165gr x 12 No se repite en proveedor Una vez con el precio 34.4"/>
  </r>
  <r>
    <x v="1"/>
    <x v="24"/>
    <s v="Bill"/>
    <s v="55164"/>
    <x v="233"/>
    <s v="PERU CHEF- SALSAS Y CREMAS -   -  PROVENZAL PICARONES CON MIEL 165 GR X 12"/>
    <n v="1"/>
    <n v="40"/>
    <n v="40"/>
    <n v="4856.1000000000004"/>
    <n v="4"/>
    <s v="Se repite 4 veces"/>
    <s v="Peru Chef-Provenzal Picarones Con Miel 165gr x 12"/>
    <n v="3"/>
    <s v="Se repite 3 veces en Peru Chef"/>
    <s v="Peru Chef-Provenzal Picarones Con Miel 165gr x 12-40"/>
    <n v="3"/>
    <s v="Se repite 3 veces el precio de 40"/>
    <s v="El producto Provenzal Picarones Con Miel 165gr x 12 Se repite 3 veces en Peru Chef, Se repite 3 veces el precio de 40"/>
  </r>
  <r>
    <x v="1"/>
    <x v="1"/>
    <s v="Bill"/>
    <s v="2025001378"/>
    <x v="233"/>
    <s v="PERU CHEF- SALSAS Y CREMAS -   -  PROVENZAL PICARONES CON MIEL 165 GR X 12"/>
    <n v="5"/>
    <n v="40"/>
    <n v="200"/>
    <n v="21851"/>
    <n v="4"/>
    <s v="Se repite 4 veces"/>
    <s v="Peru Chef-Provenzal Picarones Con Miel 165gr x 12"/>
    <n v="3"/>
    <s v="Se repite 3 veces en Peru Chef"/>
    <s v="Peru Chef-Provenzal Picarones Con Miel 165gr x 12-40"/>
    <n v="3"/>
    <s v="Se repite 3 veces el precio de 40"/>
    <s v="El producto Provenzal Picarones Con Miel 165gr x 12 Se repite 3 veces en Peru Chef, Se repite 3 veces el precio de 40"/>
  </r>
  <r>
    <x v="1"/>
    <x v="2"/>
    <s v="Bill"/>
    <s v="2025001691"/>
    <x v="233"/>
    <s v="PERU CHEF- SALSAS Y CREMAS -   -  PROVENZAL PICARONES CON MIEL 165 GR X 12"/>
    <n v="4"/>
    <n v="40"/>
    <n v="160"/>
    <n v="28911.5"/>
    <n v="4"/>
    <s v="Se repite 4 veces"/>
    <s v="Peru Chef-Provenzal Picarones Con Miel 165gr x 12"/>
    <n v="3"/>
    <s v="Se repite 3 veces en Peru Chef"/>
    <s v="Peru Chef-Provenzal Picarones Con Miel 165gr x 12-40"/>
    <n v="3"/>
    <s v="Se repite 3 veces el precio de 40"/>
    <s v="El producto Provenzal Picarones Con Miel 165gr x 12 Se repite 3 veces en Peru Chef, Se repite 3 veces el precio de 40"/>
  </r>
  <r>
    <x v="2"/>
    <x v="3"/>
    <s v="Bill"/>
    <s v="64308"/>
    <x v="234"/>
    <s v="PERU CHEF- SALSAS Y CREMAS -   -  PROVENZAL SOPA A LA MINUTA 78 G X 10-"/>
    <n v="1"/>
    <n v="19.7"/>
    <n v="19.7"/>
    <n v="5051.6899999999996"/>
    <n v="1"/>
    <s v="No se repite"/>
    <s v="Belmont International Trading Corp-Provenzal Sopa A La Minuta 78gr x 10"/>
    <n v="1"/>
    <s v="No se repite en proveedor"/>
    <s v="Belmont International Trading Corp-Provenzal Sopa A La Minuta 78gr x 10-19.7"/>
    <n v="1"/>
    <s v="No se repite"/>
    <s v="El producto Provenzal Sopa A La Minuta 78gr x 10 No se repite en proveedor Una vez con el precio 19.7"/>
  </r>
  <r>
    <x v="3"/>
    <x v="4"/>
    <s v="Bill"/>
    <s v="480295"/>
    <x v="235"/>
    <s v="Quick Oats / Avena"/>
    <n v="3"/>
    <n v="9.99"/>
    <n v="29.97"/>
    <n v="37815.360000000001"/>
    <n v="5"/>
    <s v="Se repite 5 veces"/>
    <s v="Tradiciones Andinas-Quick Oats / Avena"/>
    <n v="5"/>
    <s v="Se repite 5 veces en Tradiciones Andinas"/>
    <s v="Tradiciones Andinas-Quick Oats / Avena-9.99"/>
    <n v="5"/>
    <s v="Se repite 5 veces el precio de 9.99"/>
    <s v="El producto Quick Oats / Avena Se repite 5 veces en Tradiciones Andinas, Se repite 5 veces el precio de 9.99"/>
  </r>
  <r>
    <x v="3"/>
    <x v="45"/>
    <s v="Bill"/>
    <s v="480888"/>
    <x v="235"/>
    <s v="TRADICIONES ANDINAS - PERU -  BOLSA -  Quick Oats / Avena-  6 / 32oz - P00407"/>
    <n v="3"/>
    <n v="9.99"/>
    <n v="29.97"/>
    <n v="44092.83"/>
    <n v="5"/>
    <s v="Se repite 5 veces"/>
    <s v="Tradiciones Andinas-Quick Oats / Avena"/>
    <n v="5"/>
    <s v="Se repite 5 veces en Tradiciones Andinas"/>
    <s v="Tradiciones Andinas-Quick Oats / Avena-9.99"/>
    <n v="5"/>
    <s v="Se repite 5 veces el precio de 9.99"/>
    <s v="El producto Quick Oats / Avena Se repite 5 veces en Tradiciones Andinas, Se repite 5 veces el precio de 9.99"/>
  </r>
  <r>
    <x v="3"/>
    <x v="5"/>
    <s v="Bill"/>
    <s v="482005"/>
    <x v="235"/>
    <s v="TRADICIONES ANDINAS - PERU -  BOLSA -  Quick Oats / Avena-  6 / 32oz - P00407"/>
    <n v="12"/>
    <n v="9.99"/>
    <n v="119.88"/>
    <n v="49579.989999999969"/>
    <n v="5"/>
    <s v="Se repite 5 veces"/>
    <s v="Tradiciones Andinas-Quick Oats / Avena"/>
    <n v="5"/>
    <s v="Se repite 5 veces en Tradiciones Andinas"/>
    <s v="Tradiciones Andinas-Quick Oats / Avena-9.99"/>
    <n v="5"/>
    <s v="Se repite 5 veces el precio de 9.99"/>
    <s v="El producto Quick Oats / Avena Se repite 5 veces en Tradiciones Andinas, Se repite 5 veces el precio de 9.99"/>
  </r>
  <r>
    <x v="3"/>
    <x v="27"/>
    <s v="Bill"/>
    <s v="491180"/>
    <x v="235"/>
    <s v="TRADICIONES ANDINAS - PERU -  BOLSA -  Quick Oats / Avena-  6 / 32oz - P00407"/>
    <n v="2"/>
    <n v="9.99"/>
    <n v="19.98"/>
    <n v="101815.96999999993"/>
    <n v="5"/>
    <s v="Se repite 5 veces"/>
    <s v="Tradiciones Andinas-Quick Oats / Avena"/>
    <n v="5"/>
    <s v="Se repite 5 veces en Tradiciones Andinas"/>
    <s v="Tradiciones Andinas-Quick Oats / Avena-9.99"/>
    <n v="5"/>
    <s v="Se repite 5 veces el precio de 9.99"/>
    <s v="El producto Quick Oats / Avena Se repite 5 veces en Tradiciones Andinas, Se repite 5 veces el precio de 9.99"/>
  </r>
  <r>
    <x v="3"/>
    <x v="14"/>
    <s v="Bill"/>
    <s v="493132"/>
    <x v="235"/>
    <s v="TRADICIONES ANDINAS - PERU -  BOLSA -  Quick Oats / Avena-  6 / 32oz - P00407"/>
    <n v="4"/>
    <n v="9.99"/>
    <n v="39.96"/>
    <n v="117812.9999999999"/>
    <n v="5"/>
    <s v="Se repite 5 veces"/>
    <s v="Tradiciones Andinas-Quick Oats / Avena"/>
    <n v="5"/>
    <s v="Se repite 5 veces en Tradiciones Andinas"/>
    <s v="Tradiciones Andinas-Quick Oats / Avena-9.99"/>
    <n v="5"/>
    <s v="Se repite 5 veces el precio de 9.99"/>
    <s v="El producto Quick Oats / Avena Se repite 5 veces en Tradiciones Andinas, Se repite 5 veces el precio de 9.99"/>
  </r>
  <r>
    <x v="1"/>
    <x v="8"/>
    <s v="Bill"/>
    <s v=""/>
    <x v="236"/>
    <s v="San Jorge Galletas Soda  40 G  X 7 X 4"/>
    <n v="1"/>
    <n v="8"/>
    <n v="8"/>
    <n v="1576.1999999999998"/>
    <n v="7"/>
    <s v="Se repite 7 veces"/>
    <s v="Peru Chef-San Jorge Galleta Soda  40gr  x 7 x 4"/>
    <n v="7"/>
    <s v="Se repite 7 veces en Peru Chef"/>
    <s v="Peru Chef-San Jorge Galleta Soda  40gr  x 7 x 4-8"/>
    <n v="5"/>
    <s v="Se repite 5 veces el precio de 8"/>
    <s v="El producto San Jorge Galleta Soda  40gr  x 7 x 4 Se repite 7 veces en Peru Chef, Se repite 5 veces el precio de 8"/>
  </r>
  <r>
    <x v="1"/>
    <x v="9"/>
    <s v="Bill"/>
    <s v="55130"/>
    <x v="236"/>
    <s v="San Jorge Galletas Soda  40 G  X 7 X 4"/>
    <n v="1"/>
    <n v="8"/>
    <n v="8"/>
    <n v="3641"/>
    <n v="7"/>
    <s v="Se repite 7 veces"/>
    <s v="Peru Chef-San Jorge Galleta Soda  40gr  x 7 x 4"/>
    <n v="7"/>
    <s v="Se repite 7 veces en Peru Chef"/>
    <s v="Peru Chef-San Jorge Galleta Soda  40gr  x 7 x 4-8"/>
    <n v="5"/>
    <s v="Se repite 5 veces el precio de 8"/>
    <s v="El producto San Jorge Galleta Soda  40gr  x 7 x 4 Se repite 7 veces en Peru Chef, Se repite 5 veces el precio de 8"/>
  </r>
  <r>
    <x v="1"/>
    <x v="24"/>
    <s v="Bill"/>
    <s v="55164"/>
    <x v="236"/>
    <s v="PERU CHEF- GOLOSINAS Y DULCES -   -  SAN JORGE GALLETAS SODA  40 G  X 7 X 4-   / 4"/>
    <n v="5"/>
    <n v="8"/>
    <n v="40"/>
    <n v="5638.6"/>
    <n v="7"/>
    <s v="Se repite 7 veces"/>
    <s v="Peru Chef-San Jorge Galleta Soda  40gr  x 7 x 4"/>
    <n v="7"/>
    <s v="Se repite 7 veces en Peru Chef"/>
    <s v="Peru Chef-San Jorge Galleta Soda  40gr  x 7 x 4-8"/>
    <n v="5"/>
    <s v="Se repite 5 veces el precio de 8"/>
    <s v="El producto San Jorge Galleta Soda  40gr  x 7 x 4 Se repite 7 veces en Peru Chef, Se repite 5 veces el precio de 8"/>
  </r>
  <r>
    <x v="1"/>
    <x v="15"/>
    <s v="Bill"/>
    <s v="55372"/>
    <x v="236"/>
    <s v="PERU CHEF- GOLOSINAS Y DULCES -   -  SAN JORGE GALLETAS SODA  40 G  X 7 X 4-   / 4"/>
    <n v="15"/>
    <n v="8"/>
    <n v="120"/>
    <n v="9047.7000000000007"/>
    <n v="7"/>
    <s v="Se repite 7 veces"/>
    <s v="Peru Chef-San Jorge Galleta Soda  40gr  x 7 x 4"/>
    <n v="7"/>
    <s v="Se repite 7 veces en Peru Chef"/>
    <s v="Peru Chef-San Jorge Galleta Soda  40gr  x 7 x 4-8"/>
    <n v="5"/>
    <s v="Se repite 5 veces el precio de 8"/>
    <s v="El producto San Jorge Galleta Soda  40gr  x 7 x 4 Se repite 7 veces en Peru Chef, Se repite 5 veces el precio de 8"/>
  </r>
  <r>
    <x v="1"/>
    <x v="23"/>
    <s v="Bill"/>
    <s v="2025001209"/>
    <x v="236"/>
    <s v="PERU CHEF- GOLOSINAS Y DULCES -   -  SAN JORGE GALLETAS SODA  40 G  X 7 X 4-   / 4"/>
    <n v="20"/>
    <n v="8"/>
    <n v="160"/>
    <n v="18737.5"/>
    <n v="7"/>
    <s v="Se repite 7 veces"/>
    <s v="Peru Chef-San Jorge Galleta Soda  40gr  x 7 x 4"/>
    <n v="7"/>
    <s v="Se repite 7 veces en Peru Chef"/>
    <s v="Peru Chef-San Jorge Galleta Soda  40gr  x 7 x 4-8"/>
    <n v="5"/>
    <s v="Se repite 5 veces el precio de 8"/>
    <s v="El producto San Jorge Galleta Soda  40gr  x 7 x 4 Se repite 7 veces en Peru Chef, Se repite 5 veces el precio de 8"/>
  </r>
  <r>
    <x v="1"/>
    <x v="17"/>
    <s v="Bill"/>
    <s v="57055"/>
    <x v="236"/>
    <s v="PERU CHEF- GOLOSINAS Y DULCES -   -  SAN JORGE GALLETAS SODA  40 G  X 7 X 4-   / 4"/>
    <n v="35"/>
    <n v="7.2"/>
    <n v="252"/>
    <n v="36403.150000000016"/>
    <n v="7"/>
    <s v="Se repite 7 veces"/>
    <s v="Peru Chef-San Jorge Galleta Soda  40gr  x 7 x 4"/>
    <n v="7"/>
    <s v="Se repite 7 veces en Peru Chef"/>
    <s v="Peru Chef-San Jorge Galleta Soda  40gr  x 7 x 4-7.2"/>
    <n v="2"/>
    <s v="Se repite 2 veces el precio de 7.2"/>
    <s v="El producto San Jorge Galleta Soda  40gr  x 7 x 4 Se repite 7 veces en Peru Chef, Se repite 2 veces el precio de 7.2"/>
  </r>
  <r>
    <x v="1"/>
    <x v="18"/>
    <s v="Bill"/>
    <s v="2025002373"/>
    <x v="236"/>
    <s v="PERU CHEF- GOLOSINAS Y DULCES -   -  SAN JORGE GALLETAS SODA  40 G  X 7 X 4-   / 4"/>
    <n v="10"/>
    <n v="7.2"/>
    <n v="72"/>
    <n v="42256.749999999985"/>
    <n v="7"/>
    <s v="Se repite 7 veces"/>
    <s v="Peru Chef-San Jorge Galleta Soda  40gr  x 7 x 4"/>
    <n v="7"/>
    <s v="Se repite 7 veces en Peru Chef"/>
    <s v="Peru Chef-San Jorge Galleta Soda  40gr  x 7 x 4-7.2"/>
    <n v="2"/>
    <s v="Se repite 2 veces el precio de 7.2"/>
    <s v="El producto San Jorge Galleta Soda  40gr  x 7 x 4 Se repite 7 veces en Peru Chef, Se repite 2 veces el precio de 7.2"/>
  </r>
  <r>
    <x v="1"/>
    <x v="24"/>
    <s v="Bill"/>
    <s v="55164"/>
    <x v="237"/>
    <s v="PERU CHEF- GOLOSINAS Y DULCES -   -  SAN JORGE MUNICION 450 G X 6"/>
    <n v="1"/>
    <n v="15"/>
    <n v="15"/>
    <n v="5598.6"/>
    <n v="6"/>
    <s v="Se repite 6 veces"/>
    <s v="Peru Chef-San Jorge Municion 450gr x 6"/>
    <n v="6"/>
    <s v="Se repite 6 veces en Peru Chef"/>
    <s v="Peru Chef-San Jorge Municion 450gr x 6-15"/>
    <n v="4"/>
    <s v="Se repite 4 veces el precio de 15"/>
    <s v="El producto San Jorge Municion 450gr x 6 Se repite 6 veces en Peru Chef, Se repite 4 veces el precio de 15"/>
  </r>
  <r>
    <x v="1"/>
    <x v="15"/>
    <s v="Bill"/>
    <s v="55372"/>
    <x v="237"/>
    <s v="PERU CHEF- GOLOSINAS Y DULCES -   -  SAN JORGE MUNICION 450 G X 6"/>
    <n v="5"/>
    <n v="15"/>
    <n v="75"/>
    <n v="8927.7000000000007"/>
    <n v="6"/>
    <s v="Se repite 6 veces"/>
    <s v="Peru Chef-San Jorge Municion 450gr x 6"/>
    <n v="6"/>
    <s v="Se repite 6 veces en Peru Chef"/>
    <s v="Peru Chef-San Jorge Municion 450gr x 6-15"/>
    <n v="4"/>
    <s v="Se repite 4 veces el precio de 15"/>
    <s v="El producto San Jorge Municion 450gr x 6 Se repite 6 veces en Peru Chef, Se repite 4 veces el precio de 15"/>
  </r>
  <r>
    <x v="1"/>
    <x v="12"/>
    <s v="Bill"/>
    <s v="56352"/>
    <x v="237"/>
    <s v="PERU CHEF- GOLOSINAS Y DULCES -   -  SAN JORGE MUNICION 450 G X 6"/>
    <n v="2"/>
    <n v="15"/>
    <n v="30"/>
    <n v="13331.5"/>
    <n v="6"/>
    <s v="Se repite 6 veces"/>
    <s v="Peru Chef-San Jorge Municion 450gr x 6"/>
    <n v="6"/>
    <s v="Se repite 6 veces en Peru Chef"/>
    <s v="Peru Chef-San Jorge Municion 450gr x 6-15"/>
    <n v="4"/>
    <s v="Se repite 4 veces el precio de 15"/>
    <s v="El producto San Jorge Municion 450gr x 6 Se repite 6 veces en Peru Chef, Se repite 4 veces el precio de 15"/>
  </r>
  <r>
    <x v="1"/>
    <x v="23"/>
    <s v="Bill"/>
    <s v="2025001209"/>
    <x v="237"/>
    <s v="PERU CHEF- GOLOSINAS Y DULCES -   -  SAN JORGE MUNICION 450 G X 6"/>
    <n v="3"/>
    <n v="15"/>
    <n v="45"/>
    <n v="18487.5"/>
    <n v="6"/>
    <s v="Se repite 6 veces"/>
    <s v="Peru Chef-San Jorge Municion 450gr x 6"/>
    <n v="6"/>
    <s v="Se repite 6 veces en Peru Chef"/>
    <s v="Peru Chef-San Jorge Municion 450gr x 6-15"/>
    <n v="4"/>
    <s v="Se repite 4 veces el precio de 15"/>
    <s v="El producto San Jorge Municion 450gr x 6 Se repite 6 veces en Peru Chef, Se repite 4 veces el precio de 15"/>
  </r>
  <r>
    <x v="1"/>
    <x v="16"/>
    <s v="Bill"/>
    <s v="2025001895"/>
    <x v="237"/>
    <s v="PERU CHEF- GOLOSINAS Y DULCES -   -  SAN JORGE MUNICION 450 G X 6"/>
    <n v="3"/>
    <n v="13.5"/>
    <n v="40.5"/>
    <n v="31927"/>
    <n v="6"/>
    <s v="Se repite 6 veces"/>
    <s v="Peru Chef-San Jorge Municion 450gr x 6"/>
    <n v="6"/>
    <s v="Se repite 6 veces en Peru Chef"/>
    <s v="Peru Chef-San Jorge Municion 450gr x 6-13.5"/>
    <n v="2"/>
    <s v="Se repite 2 veces el precio de 13.5"/>
    <s v="El producto San Jorge Municion 450gr x 6 Se repite 6 veces en Peru Chef, Se repite 2 veces el precio de 13.5"/>
  </r>
  <r>
    <x v="1"/>
    <x v="17"/>
    <s v="Bill"/>
    <s v="57055"/>
    <x v="237"/>
    <s v="PERU CHEF- GOLOSINAS Y DULCES -   -  SAN JORGE MUNICION 450 G X 6"/>
    <n v="8"/>
    <n v="13.5"/>
    <n v="108"/>
    <n v="36705.55000000001"/>
    <n v="6"/>
    <s v="Se repite 6 veces"/>
    <s v="Peru Chef-San Jorge Municion 450gr x 6"/>
    <n v="6"/>
    <s v="Se repite 6 veces en Peru Chef"/>
    <s v="Peru Chef-San Jorge Municion 450gr x 6-13.5"/>
    <n v="2"/>
    <s v="Se repite 2 veces el precio de 13.5"/>
    <s v="El producto San Jorge Municion 450gr x 6 Se repite 6 veces en Peru Chef, Se repite 2 veces el precio de 13.5"/>
  </r>
  <r>
    <x v="1"/>
    <x v="12"/>
    <s v="Bill"/>
    <s v="56352"/>
    <x v="238"/>
    <s v="San Jose Turron De Doña Pepa X 500G"/>
    <n v="24"/>
    <n v="5.5"/>
    <n v="132"/>
    <n v="13073.5"/>
    <n v="3"/>
    <s v="Se repite 3 veces"/>
    <s v="Peru Chef-San Jose Turron De Doña Pepa x 500gr"/>
    <n v="3"/>
    <s v="Se repite 3 veces en Peru Chef"/>
    <s v="Peru Chef-San Jose Turron De Doña Pepa x 500gr-5.5"/>
    <n v="3"/>
    <s v="Se repite 3 veces el precio de 5.5"/>
    <s v="El producto San Jose Turron De Doña Pepa x 500gr Se repite 3 veces en Peru Chef, Se repite 3 veces el precio de 5.5"/>
  </r>
  <r>
    <x v="1"/>
    <x v="23"/>
    <s v="Bill"/>
    <s v="2025001209"/>
    <x v="238"/>
    <s v="PERU CHEF- TURRON -   -  SAN JOSE TURRON DE DOÑA PEPA X 500G"/>
    <n v="72"/>
    <n v="5.5"/>
    <n v="396"/>
    <n v="15801.5"/>
    <n v="3"/>
    <s v="Se repite 3 veces"/>
    <s v="Peru Chef-San Jose Turron De Doña Pepa x 500gr"/>
    <n v="3"/>
    <s v="Se repite 3 veces en Peru Chef"/>
    <s v="Peru Chef-San Jose Turron De Doña Pepa x 500gr-5.5"/>
    <n v="3"/>
    <s v="Se repite 3 veces el precio de 5.5"/>
    <s v="El producto San Jose Turron De Doña Pepa x 500gr Se repite 3 veces en Peru Chef, Se repite 3 veces el precio de 5.5"/>
  </r>
  <r>
    <x v="1"/>
    <x v="1"/>
    <s v="Bill"/>
    <s v="2025001378"/>
    <x v="238"/>
    <s v="PERU CHEF- TURRON -   -  SAN JOSE TURRON DE DOÑA PEPA X 500G"/>
    <n v="360"/>
    <n v="5.5"/>
    <n v="1980"/>
    <n v="25072"/>
    <n v="3"/>
    <s v="Se repite 3 veces"/>
    <s v="Peru Chef-San Jose Turron De Doña Pepa x 500gr"/>
    <n v="3"/>
    <s v="Se repite 3 veces en Peru Chef"/>
    <s v="Peru Chef-San Jose Turron De Doña Pepa x 500gr-5.5"/>
    <n v="3"/>
    <s v="Se repite 3 veces el precio de 5.5"/>
    <s v="El producto San Jose Turron De Doña Pepa x 500gr Se repite 3 veces en Peru Chef, Se repite 3 veces el precio de 5.5"/>
  </r>
  <r>
    <x v="3"/>
    <x v="7"/>
    <s v="Bill"/>
    <s v="492743"/>
    <x v="239"/>
    <s v="TRADICIONES ANDINAS- COLOMBIA -  FROZEN -  Sancocho Colombiano / Vegetables Mix  -  6 / 2 lbs - C00210"/>
    <n v="2"/>
    <n v="27.5"/>
    <n v="55"/>
    <n v="116527.97999999988"/>
    <n v="1"/>
    <s v="No se repite"/>
    <s v="Tradiciones Andinas-Sancocho Colombiano / Vegetables Mix 2Lb x 6"/>
    <n v="1"/>
    <s v="No se repite en proveedor"/>
    <s v="Tradiciones Andinas-Sancocho Colombiano / Vegetables Mix 2Lb x 6-27.5"/>
    <n v="1"/>
    <s v="No se repite"/>
    <s v="El producto Sancocho Colombiano / Vegetables Mix 2Lb x 6 No se repite en proveedor Una vez con el precio 27.5"/>
  </r>
  <r>
    <x v="1"/>
    <x v="8"/>
    <s v="Bill"/>
    <s v=""/>
    <x v="240"/>
    <s v="Sayon Galletas Tejanas 480 G X 8"/>
    <n v="1"/>
    <n v="35"/>
    <n v="35"/>
    <n v="1530.1999999999998"/>
    <n v="8"/>
    <s v="Se repite 8 veces"/>
    <s v="Peru Chef-Sayon Galletas Tejanas 480gr x 8"/>
    <n v="8"/>
    <s v="Se repite 8 veces en Peru Chef"/>
    <s v="Peru Chef-Sayon Galletas Tejanas 480gr x 8-35"/>
    <n v="2"/>
    <s v="Se repite 2 veces el precio de 35"/>
    <s v="El producto Sayon Galletas Tejanas 480gr x 8 Se repite 8 veces en Peru Chef, Se repite 2 veces el precio de 35"/>
  </r>
  <r>
    <x v="1"/>
    <x v="9"/>
    <s v="Bill"/>
    <s v="55130"/>
    <x v="240"/>
    <s v="Sayon Galletas Tejanas 480 G X 8"/>
    <n v="1"/>
    <n v="35"/>
    <n v="35"/>
    <n v="3633"/>
    <n v="8"/>
    <s v="Se repite 8 veces"/>
    <s v="Peru Chef-Sayon Galletas Tejanas 480gr x 8"/>
    <n v="8"/>
    <s v="Se repite 8 veces en Peru Chef"/>
    <s v="Peru Chef-Sayon Galletas Tejanas 480gr x 8-35"/>
    <n v="2"/>
    <s v="Se repite 2 veces el precio de 35"/>
    <s v="El producto Sayon Galletas Tejanas 480gr x 8 Se repite 8 veces en Peru Chef, Se repite 2 veces el precio de 35"/>
  </r>
  <r>
    <x v="1"/>
    <x v="12"/>
    <s v="Bill"/>
    <s v="56352"/>
    <x v="240"/>
    <s v="Sayon Galletas Tejanas 480 G X 8"/>
    <n v="2"/>
    <n v="37"/>
    <n v="74"/>
    <n v="13147.5"/>
    <n v="8"/>
    <s v="Se repite 8 veces"/>
    <s v="Peru Chef-Sayon Galletas Tejanas 480gr x 8"/>
    <n v="8"/>
    <s v="Se repite 8 veces en Peru Chef"/>
    <s v="Peru Chef-Sayon Galletas Tejanas 480gr x 8-37"/>
    <n v="4"/>
    <s v="Se repite 4 veces el precio de 37"/>
    <s v="El producto Sayon Galletas Tejanas 480gr x 8 Se repite 8 veces en Peru Chef, Se repite 4 veces el precio de 37"/>
  </r>
  <r>
    <x v="1"/>
    <x v="23"/>
    <s v="Bill"/>
    <s v="2025001209"/>
    <x v="240"/>
    <s v="PERU CHEF- GOLOSINAS Y DULCES -   -  SAYON GALLETAS TEJANAS 480 G X 8-   / 8"/>
    <n v="5"/>
    <n v="37"/>
    <n v="185"/>
    <n v="14817.5"/>
    <n v="8"/>
    <s v="Se repite 8 veces"/>
    <s v="Peru Chef-Sayon Galletas Tejanas 480gr x 8"/>
    <n v="8"/>
    <s v="Se repite 8 veces en Peru Chef"/>
    <s v="Peru Chef-Sayon Galletas Tejanas 480gr x 8-37"/>
    <n v="4"/>
    <s v="Se repite 4 veces el precio de 37"/>
    <s v="El producto Sayon Galletas Tejanas 480gr x 8 Se repite 8 veces en Peru Chef, Se repite 4 veces el precio de 37"/>
  </r>
  <r>
    <x v="1"/>
    <x v="1"/>
    <s v="Bill"/>
    <s v="2025001378"/>
    <x v="240"/>
    <s v="PERU CHEF- GOLOSINAS Y DULCES -   -  SAYON GALLETAS TEJANAS 480 G X 8-   / 8"/>
    <n v="2"/>
    <n v="37"/>
    <n v="74"/>
    <n v="19596"/>
    <n v="8"/>
    <s v="Se repite 8 veces"/>
    <s v="Peru Chef-Sayon Galletas Tejanas 480gr x 8"/>
    <n v="8"/>
    <s v="Se repite 8 veces en Peru Chef"/>
    <s v="Peru Chef-Sayon Galletas Tejanas 480gr x 8-37"/>
    <n v="4"/>
    <s v="Se repite 4 veces el precio de 37"/>
    <s v="El producto Sayon Galletas Tejanas 480gr x 8 Se repite 8 veces en Peru Chef, Se repite 4 veces el precio de 37"/>
  </r>
  <r>
    <x v="1"/>
    <x v="2"/>
    <s v="Bill"/>
    <s v="2025001691"/>
    <x v="240"/>
    <s v="PERU CHEF- GOLOSINAS Y DULCES -   -  SAYON GALLETAS TEJANAS 480 G X 8-   / 8"/>
    <n v="10"/>
    <n v="37"/>
    <n v="370"/>
    <n v="27711.5"/>
    <n v="8"/>
    <s v="Se repite 8 veces"/>
    <s v="Peru Chef-Sayon Galletas Tejanas 480gr x 8"/>
    <n v="8"/>
    <s v="Se repite 8 veces en Peru Chef"/>
    <s v="Peru Chef-Sayon Galletas Tejanas 480gr x 8-37"/>
    <n v="4"/>
    <s v="Se repite 4 veces el precio de 37"/>
    <s v="El producto Sayon Galletas Tejanas 480gr x 8 Se repite 8 veces en Peru Chef, Se repite 4 veces el precio de 37"/>
  </r>
  <r>
    <x v="1"/>
    <x v="16"/>
    <s v="Bill"/>
    <s v="2025001895"/>
    <x v="240"/>
    <s v="PERU CHEF- GOLOSINAS Y DULCES -   -  SAYON GALLETAS TEJANAS 480 G X 8-   / 8"/>
    <n v="2"/>
    <n v="33.299999999999997"/>
    <n v="66.599999999999994"/>
    <n v="30236.799999999999"/>
    <n v="8"/>
    <s v="Se repite 8 veces"/>
    <s v="Peru Chef-Sayon Galletas Tejanas 480gr x 8"/>
    <n v="8"/>
    <s v="Se repite 8 veces en Peru Chef"/>
    <s v="Peru Chef-Sayon Galletas Tejanas 480gr x 8-33.3"/>
    <n v="2"/>
    <s v="Se repite 2 veces el precio de 33.3"/>
    <s v="El producto Sayon Galletas Tejanas 480gr x 8 Se repite 8 veces en Peru Chef, Se repite 2 veces el precio de 33.3"/>
  </r>
  <r>
    <x v="1"/>
    <x v="18"/>
    <s v="Bill"/>
    <s v="2025002373"/>
    <x v="240"/>
    <s v="PERU CHEF- GOLOSINAS Y DULCES -   -  SAYON GALLETAS TEJANAS 480 G X 8-   / 8"/>
    <n v="6"/>
    <n v="33.299999999999997"/>
    <n v="199.8"/>
    <n v="39579.25"/>
    <n v="8"/>
    <s v="Se repite 8 veces"/>
    <s v="Peru Chef-Sayon Galletas Tejanas 480gr x 8"/>
    <n v="8"/>
    <s v="Se repite 8 veces en Peru Chef"/>
    <s v="Peru Chef-Sayon Galletas Tejanas 480gr x 8-33.3"/>
    <n v="2"/>
    <s v="Se repite 2 veces el precio de 33.3"/>
    <s v="El producto Sayon Galletas Tejanas 480gr x 8 Se repite 8 veces en Peru Chef, Se repite 2 veces el precio de 33.3"/>
  </r>
  <r>
    <x v="3"/>
    <x v="10"/>
    <s v="Bill"/>
    <s v="476974"/>
    <x v="241"/>
    <s v="Sazon Completo - Complete Seasoning"/>
    <n v="1"/>
    <n v="32.15"/>
    <n v="32.15"/>
    <n v="22367.39"/>
    <n v="4"/>
    <s v="Se repite 4 veces"/>
    <s v="Tradiciones Andinas-Sazon Completo - Complete Seasoning 500gr x 15"/>
    <n v="4"/>
    <s v="Se repite 4 veces en Tradiciones Andinas"/>
    <s v="Tradiciones Andinas-Sazon Completo - Complete Seasoning 500gr x 15-32.15"/>
    <n v="4"/>
    <s v="Se repite 4 veces el precio de 32.15"/>
    <s v="El producto Sazon Completo - Complete Seasoning 500gr x 15 Se repite 4 veces en Tradiciones Andinas, Se repite 4 veces el precio de 32.15"/>
  </r>
  <r>
    <x v="3"/>
    <x v="5"/>
    <s v="Bill"/>
    <s v="482005"/>
    <x v="241"/>
    <s v="TA- ECUADOR -  VALLES ANDINOS -  -  Sazon Completo - Complete Seasoning-  15 / 17.64oz - VA147"/>
    <n v="5"/>
    <n v="32.15"/>
    <n v="160.75"/>
    <n v="57260.749999999942"/>
    <n v="4"/>
    <s v="Se repite 4 veces"/>
    <s v="Tradiciones Andinas-Sazon Completo - Complete Seasoning 500gr x 15"/>
    <n v="4"/>
    <s v="Se repite 4 veces en Tradiciones Andinas"/>
    <s v="Tradiciones Andinas-Sazon Completo - Complete Seasoning 500gr x 15-32.15"/>
    <n v="4"/>
    <s v="Se repite 4 veces el precio de 32.15"/>
    <s v="El producto Sazon Completo - Complete Seasoning 500gr x 15 Se repite 4 veces en Tradiciones Andinas, Se repite 4 veces el precio de 32.15"/>
  </r>
  <r>
    <x v="3"/>
    <x v="6"/>
    <s v="Bill"/>
    <s v="487860"/>
    <x v="241"/>
    <s v="TA- ECUADOR -  VALLES ANDINOS -  -  Sazon Completo - Complete Seasoning-  15 / 17.64oz - VA147"/>
    <n v="3"/>
    <n v="32.15"/>
    <n v="96.45"/>
    <n v="85791.909999999945"/>
    <n v="4"/>
    <s v="Se repite 4 veces"/>
    <s v="Tradiciones Andinas-Sazon Completo - Complete Seasoning 500gr x 15"/>
    <n v="4"/>
    <s v="Se repite 4 veces en Tradiciones Andinas"/>
    <s v="Tradiciones Andinas-Sazon Completo - Complete Seasoning 500gr x 15-32.15"/>
    <n v="4"/>
    <s v="Se repite 4 veces el precio de 32.15"/>
    <s v="El producto Sazon Completo - Complete Seasoning 500gr x 15 Se repite 4 veces en Tradiciones Andinas, Se repite 4 veces el precio de 32.15"/>
  </r>
  <r>
    <x v="3"/>
    <x v="7"/>
    <s v="Bill"/>
    <s v="492743"/>
    <x v="241"/>
    <s v="TA- ECUADOR -  VALLES ANDINOS -  -  Sazon Completo - Complete Seasoning-  15 / 17.64oz - VA147"/>
    <n v="2"/>
    <n v="32.15"/>
    <n v="64.3"/>
    <n v="113187.71999999988"/>
    <n v="4"/>
    <s v="Se repite 4 veces"/>
    <s v="Tradiciones Andinas-Sazon Completo - Complete Seasoning 500gr x 15"/>
    <n v="4"/>
    <s v="Se repite 4 veces en Tradiciones Andinas"/>
    <s v="Tradiciones Andinas-Sazon Completo - Complete Seasoning 500gr x 15-32.15"/>
    <n v="4"/>
    <s v="Se repite 4 veces el precio de 32.15"/>
    <s v="El producto Sazon Completo - Complete Seasoning 500gr x 15 Se repite 4 veces en Tradiciones Andinas, Se repite 4 veces el precio de 32.15"/>
  </r>
  <r>
    <x v="3"/>
    <x v="10"/>
    <s v="Bill"/>
    <s v="476974"/>
    <x v="242"/>
    <s v="SIBARITA - Aji Panca Sazonador"/>
    <n v="5"/>
    <n v="42.5"/>
    <n v="212.5"/>
    <n v="15678.779999999999"/>
    <n v="4"/>
    <s v="Se repite 4 veces"/>
    <s v="Tradiciones Andinas-SIBARITA - Aji Panca Sazonador sin picante  6 sobres x 50"/>
    <n v="4"/>
    <s v="Se repite 4 veces en Tradiciones Andinas"/>
    <s v="Tradiciones Andinas-SIBARITA - Aji Panca Sazonador sin picante  6 sobres x 50-42.5"/>
    <n v="1"/>
    <s v="No se repite"/>
    <s v="El producto SIBARITA - Aji Panca Sazonador sin picante  6 sobres x 50 Se repite 4 veces en Tradiciones Andinas Una vez con el precio 42.5"/>
  </r>
  <r>
    <x v="3"/>
    <x v="4"/>
    <s v="Bill"/>
    <s v="480295"/>
    <x v="242"/>
    <s v="TA- PERU -  SIBARITA PRODUCTS -  SIBARITA - Aji Panca Sazonador-  6 sobres x 50 / 2.22oz - SI310"/>
    <n v="6"/>
    <n v="45"/>
    <n v="270"/>
    <n v="39580.6"/>
    <n v="4"/>
    <s v="Se repite 4 veces"/>
    <s v="Tradiciones Andinas-SIBARITA - Aji Panca Sazonador sin picante  6 sobres x 50"/>
    <n v="4"/>
    <s v="Se repite 4 veces en Tradiciones Andinas"/>
    <s v="Tradiciones Andinas-SIBARITA - Aji Panca Sazonador sin picante  6 sobres x 50-45"/>
    <n v="3"/>
    <s v="Se repite 3 veces el precio de 45"/>
    <s v="El producto SIBARITA - Aji Panca Sazonador sin picante  6 sobres x 50 Se repite 4 veces en Tradiciones Andinas, Se repite 3 veces el precio de 45"/>
  </r>
  <r>
    <x v="3"/>
    <x v="45"/>
    <s v="Bill"/>
    <s v="480888"/>
    <x v="242"/>
    <s v="TA- PERU -  SIBARITA PRODUCTS -  SIBARITA - Aji Panca Sazonador-  6 sobres x 50 / 2.22oz - SI310"/>
    <n v="8"/>
    <n v="45"/>
    <n v="360"/>
    <n v="44832.03"/>
    <n v="4"/>
    <s v="Se repite 4 veces"/>
    <s v="Tradiciones Andinas-SIBARITA - Aji Panca Sazonador sin picante  6 sobres x 50"/>
    <n v="4"/>
    <s v="Se repite 4 veces en Tradiciones Andinas"/>
    <s v="Tradiciones Andinas-SIBARITA - Aji Panca Sazonador sin picante  6 sobres x 50-45"/>
    <n v="3"/>
    <s v="Se repite 3 veces el precio de 45"/>
    <s v="El producto SIBARITA - Aji Panca Sazonador sin picante  6 sobres x 50 Se repite 4 veces en Tradiciones Andinas, Se repite 3 veces el precio de 45"/>
  </r>
  <r>
    <x v="3"/>
    <x v="7"/>
    <s v="Bill"/>
    <s v="492743"/>
    <x v="242"/>
    <s v="TA- PERU -  SIBARITA PRODUCTS -  SIBARITA - Aji Panca Sazonador-  6 sobres x 50 / 2.22oz - SI310"/>
    <n v="3"/>
    <n v="45"/>
    <n v="135"/>
    <n v="108396.68999999992"/>
    <n v="4"/>
    <s v="Se repite 4 veces"/>
    <s v="Tradiciones Andinas-SIBARITA - Aji Panca Sazonador sin picante  6 sobres x 50"/>
    <n v="4"/>
    <s v="Se repite 4 veces en Tradiciones Andinas"/>
    <s v="Tradiciones Andinas-SIBARITA - Aji Panca Sazonador sin picante  6 sobres x 50-45"/>
    <n v="3"/>
    <s v="Se repite 3 veces el precio de 45"/>
    <s v="El producto SIBARITA - Aji Panca Sazonador sin picante  6 sobres x 50 Se repite 4 veces en Tradiciones Andinas, Se repite 3 veces el precio de 45"/>
  </r>
  <r>
    <x v="3"/>
    <x v="5"/>
    <s v="Bill"/>
    <s v="482005"/>
    <x v="243"/>
    <s v="SIBARITA - Ajo / Garlic"/>
    <n v="5"/>
    <n v="39"/>
    <n v="195"/>
    <n v="51661.01999999996"/>
    <n v="2"/>
    <s v="Se repite 2 veces"/>
    <s v="Tradiciones Andinas-SIBARITA - Ajo / Garlic 8.8oz x 12"/>
    <n v="2"/>
    <s v="Se repite 2 veces en Tradiciones Andinas"/>
    <s v="Tradiciones Andinas-SIBARITA - Ajo / Garlic 8.8oz x 12-39"/>
    <n v="2"/>
    <s v="Se repite 2 veces el precio de 39"/>
    <s v="El producto SIBARITA - Ajo / Garlic 8.8oz x 12 Se repite 2 veces en Tradiciones Andinas, Se repite 2 veces el precio de 39"/>
  </r>
  <r>
    <x v="3"/>
    <x v="7"/>
    <s v="Bill"/>
    <s v="492743"/>
    <x v="243"/>
    <s v="TA- PERU -  SIBARITA PRODUCTS -  SIBARITA - Ajo / Garlic -  12 / 8.8oz - SI317"/>
    <n v="1"/>
    <n v="39"/>
    <n v="39"/>
    <n v="108435.68999999992"/>
    <n v="2"/>
    <s v="Se repite 2 veces"/>
    <s v="Tradiciones Andinas-SIBARITA - Ajo / Garlic 8.8oz x 12"/>
    <n v="2"/>
    <s v="Se repite 2 veces en Tradiciones Andinas"/>
    <s v="Tradiciones Andinas-SIBARITA - Ajo / Garlic 8.8oz x 12-39"/>
    <n v="2"/>
    <s v="Se repite 2 veces el precio de 39"/>
    <s v="El producto SIBARITA - Ajo / Garlic 8.8oz x 12 Se repite 2 veces en Tradiciones Andinas, Se repite 2 veces el precio de 39"/>
  </r>
  <r>
    <x v="3"/>
    <x v="10"/>
    <s v="Bill"/>
    <s v="476974"/>
    <x v="244"/>
    <s v="SIBARITA - Ajo / Garlic Family Pack"/>
    <n v="8"/>
    <n v="49.08"/>
    <n v="392.64"/>
    <n v="17215.899999999998"/>
    <n v="2"/>
    <s v="Se repite 2 veces"/>
    <s v="Tradiciones Andinas-SIBARITA - Ajo / Garlic Family Pack 19.4oz x 12"/>
    <n v="2"/>
    <s v="Se repite 2 veces en Tradiciones Andinas"/>
    <s v="Tradiciones Andinas-SIBARITA - Ajo / Garlic Family Pack 19.4oz x 12-49.08"/>
    <n v="1"/>
    <s v="No se repite"/>
    <s v="El producto SIBARITA - Ajo / Garlic Family Pack 19.4oz x 12 Se repite 2 veces en Tradiciones Andinas Una vez con el precio 49.08"/>
  </r>
  <r>
    <x v="3"/>
    <x v="5"/>
    <s v="Bill"/>
    <s v="482005"/>
    <x v="244"/>
    <s v="TA- PERU -  SIBARITA PRODUCTS -  SIBARITA - Ajo / Garlic Family Pack-  12 / 19.4oz - SI324"/>
    <n v="10"/>
    <n v="52.52"/>
    <n v="525.20000000000005"/>
    <n v="53619.03999999995"/>
    <n v="2"/>
    <s v="Se repite 2 veces"/>
    <s v="Tradiciones Andinas-SIBARITA - Ajo / Garlic Family Pack 19.4oz x 12"/>
    <n v="2"/>
    <s v="Se repite 2 veces en Tradiciones Andinas"/>
    <s v="Tradiciones Andinas-SIBARITA - Ajo / Garlic Family Pack 19.4oz x 12-52.52"/>
    <n v="1"/>
    <s v="No se repite"/>
    <s v="El producto SIBARITA - Ajo / Garlic Family Pack 19.4oz x 12 Se repite 2 veces en Tradiciones Andinas Una vez con el precio 52.52"/>
  </r>
  <r>
    <x v="3"/>
    <x v="10"/>
    <s v="Bill"/>
    <s v="476974"/>
    <x v="245"/>
    <s v="SIBARITA - Amarillin Doypack  19.4oz x 12"/>
    <n v="10"/>
    <n v="49.08"/>
    <n v="490.8"/>
    <n v="16823.259999999998"/>
    <n v="7"/>
    <s v="Se repite 7 veces"/>
    <s v="Tradiciones Andinas-SIBARITA - Amarillin Doypack  19.4oz x 12"/>
    <n v="7"/>
    <s v="Se repite 7 veces en Tradiciones Andinas"/>
    <s v="Tradiciones Andinas-SIBARITA - Amarillin Doypack  19.4oz x 12-49.08"/>
    <n v="1"/>
    <s v="No se repite"/>
    <s v="El producto SIBARITA - Amarillin Doypack  19.4oz x 12 Se repite 7 veces en Tradiciones Andinas Una vez con el precio 49.08"/>
  </r>
  <r>
    <x v="3"/>
    <x v="11"/>
    <s v="Bill"/>
    <s v="478734"/>
    <x v="245"/>
    <s v="TA- PERU -  SIBARITA PRODUCTS -  SIBARITA - Amarillin Doypack-  12 / 19.4oz - I322 - SI322"/>
    <n v="15"/>
    <n v="52.52"/>
    <n v="787.8"/>
    <n v="29554.919999999995"/>
    <n v="7"/>
    <s v="Se repite 7 veces"/>
    <s v="Tradiciones Andinas-SIBARITA - Amarillin Doypack  19.4oz x 12"/>
    <n v="7"/>
    <s v="Se repite 7 veces en Tradiciones Andinas"/>
    <s v="Tradiciones Andinas-SIBARITA - Amarillin Doypack  19.4oz x 12-52.52"/>
    <n v="5"/>
    <s v="Se repite 5 veces el precio de 52.52"/>
    <s v="El producto SIBARITA - Amarillin Doypack  19.4oz x 12 Se repite 7 veces en Tradiciones Andinas, Se repite 5 veces el precio de 52.52"/>
  </r>
  <r>
    <x v="3"/>
    <x v="4"/>
    <s v="Bill"/>
    <s v="480295"/>
    <x v="245"/>
    <s v="TA- PERU -  SIBARITA PRODUCTS -  SIBARITA - Amarillin Doypack-  12 / 19.4oz - I322 - SI322"/>
    <n v="5"/>
    <n v="52.52"/>
    <n v="262.60000000000002"/>
    <n v="40105.799999999996"/>
    <n v="7"/>
    <s v="Se repite 7 veces"/>
    <s v="Tradiciones Andinas-SIBARITA - Amarillin Doypack  19.4oz x 12"/>
    <n v="7"/>
    <s v="Se repite 7 veces en Tradiciones Andinas"/>
    <s v="Tradiciones Andinas-SIBARITA - Amarillin Doypack  19.4oz x 12-52.52"/>
    <n v="5"/>
    <s v="Se repite 5 veces el precio de 52.52"/>
    <s v="El producto SIBARITA - Amarillin Doypack  19.4oz x 12 Se repite 7 veces en Tradiciones Andinas, Se repite 5 veces el precio de 52.52"/>
  </r>
  <r>
    <x v="3"/>
    <x v="45"/>
    <s v="Bill"/>
    <s v="480888"/>
    <x v="245"/>
    <s v="TA- PERU -  SIBARITA PRODUCTS -  SIBARITA - Amarillin Doypack-  12 / 19.4oz - I322 - SI322"/>
    <n v="5"/>
    <n v="52.52"/>
    <n v="262.60000000000002"/>
    <n v="45357.229999999996"/>
    <n v="7"/>
    <s v="Se repite 7 veces"/>
    <s v="Tradiciones Andinas-SIBARITA - Amarillin Doypack  19.4oz x 12"/>
    <n v="7"/>
    <s v="Se repite 7 veces en Tradiciones Andinas"/>
    <s v="Tradiciones Andinas-SIBARITA - Amarillin Doypack  19.4oz x 12-52.52"/>
    <n v="5"/>
    <s v="Se repite 5 veces el precio de 52.52"/>
    <s v="El producto SIBARITA - Amarillin Doypack  19.4oz x 12 Se repite 7 veces en Tradiciones Andinas, Se repite 5 veces el precio de 52.52"/>
  </r>
  <r>
    <x v="3"/>
    <x v="5"/>
    <s v="Bill"/>
    <s v="482005"/>
    <x v="245"/>
    <s v="TA- PERU -  SIBARITA PRODUCTS -  SIBARITA - Amarillin Doypack-  12 / 19.4oz - I322 - SI322"/>
    <n v="12"/>
    <n v="52.52"/>
    <n v="630.24"/>
    <n v="53093.839999999953"/>
    <n v="7"/>
    <s v="Se repite 7 veces"/>
    <s v="Tradiciones Andinas-SIBARITA - Amarillin Doypack  19.4oz x 12"/>
    <n v="7"/>
    <s v="Se repite 7 veces en Tradiciones Andinas"/>
    <s v="Tradiciones Andinas-SIBARITA - Amarillin Doypack  19.4oz x 12-52.52"/>
    <n v="5"/>
    <s v="Se repite 5 veces el precio de 52.52"/>
    <s v="El producto SIBARITA - Amarillin Doypack  19.4oz x 12 Se repite 7 veces en Tradiciones Andinas, Se repite 5 veces el precio de 52.52"/>
  </r>
  <r>
    <x v="3"/>
    <x v="6"/>
    <s v="Bill"/>
    <s v="487860"/>
    <x v="245"/>
    <s v="TA- PERU -  SIBARITA PRODUCTS -  SIBARITA - Amarillin Doypack-  12 / 19.4oz - I322 - SI322"/>
    <n v="18"/>
    <n v="52.52"/>
    <n v="945.36"/>
    <n v="83014.589999999967"/>
    <n v="7"/>
    <s v="Se repite 7 veces"/>
    <s v="Tradiciones Andinas-SIBARITA - Amarillin Doypack  19.4oz x 12"/>
    <n v="7"/>
    <s v="Se repite 7 veces en Tradiciones Andinas"/>
    <s v="Tradiciones Andinas-SIBARITA - Amarillin Doypack  19.4oz x 12-52.52"/>
    <n v="5"/>
    <s v="Se repite 5 veces el precio de 52.52"/>
    <s v="El producto SIBARITA - Amarillin Doypack  19.4oz x 12 Se repite 7 veces en Tradiciones Andinas, Se repite 5 veces el precio de 52.52"/>
  </r>
  <r>
    <x v="3"/>
    <x v="34"/>
    <s v="Bill"/>
    <s v="490620"/>
    <x v="245"/>
    <s v="TA- PERU -  SIBARITA PRODUCTS -  SIBARITA - Amarillin Doypack-  12 / 19.4oz - I322 - SI322"/>
    <n v="22"/>
    <n v="49.52"/>
    <n v="1089.44"/>
    <n v="98356.149999999936"/>
    <n v="7"/>
    <s v="Se repite 7 veces"/>
    <s v="Tradiciones Andinas-SIBARITA - Amarillin Doypack  19.4oz x 12"/>
    <n v="7"/>
    <s v="Se repite 7 veces en Tradiciones Andinas"/>
    <s v="Tradiciones Andinas-SIBARITA - Amarillin Doypack  19.4oz x 12-49.52"/>
    <n v="1"/>
    <s v="No se repite"/>
    <s v="El producto SIBARITA - Amarillin Doypack  19.4oz x 12 Se repite 7 veces en Tradiciones Andinas Una vez con el precio 49.52"/>
  </r>
  <r>
    <x v="3"/>
    <x v="11"/>
    <s v="Bill"/>
    <s v="478734"/>
    <x v="246"/>
    <s v="SIBARITA - Amarillin Doypack"/>
    <n v="20"/>
    <n v="42"/>
    <n v="840"/>
    <n v="27834.199999999993"/>
    <n v="3"/>
    <s v="Se repite 3 veces"/>
    <s v="Tradiciones Andinas-SIBARITA - Amarillin Doypack 8.8oz x 12"/>
    <n v="3"/>
    <s v="Se repite 3 veces en Tradiciones Andinas"/>
    <s v="Tradiciones Andinas-SIBARITA - Amarillin Doypack 8.8oz x 12-42"/>
    <n v="1"/>
    <s v="No se repite"/>
    <s v="El producto SIBARITA - Amarillin Doypack 8.8oz x 12 Se repite 3 veces en Tradiciones Andinas Una vez con el precio 42"/>
  </r>
  <r>
    <x v="3"/>
    <x v="34"/>
    <s v="Bill"/>
    <s v="490620"/>
    <x v="246"/>
    <s v="TA- PERU -  SIBARITA PRODUCTS -  SIBARITA - Amarillin Doypack-  12 / 8.8oz - SI315"/>
    <n v="6"/>
    <n v="39"/>
    <n v="234"/>
    <n v="96070.069999999934"/>
    <n v="3"/>
    <s v="Se repite 3 veces"/>
    <s v="Tradiciones Andinas-SIBARITA - Amarillin Doypack 8.8oz x 12"/>
    <n v="3"/>
    <s v="Se repite 3 veces en Tradiciones Andinas"/>
    <s v="Tradiciones Andinas-SIBARITA - Amarillin Doypack 8.8oz x 12-39"/>
    <n v="2"/>
    <s v="Se repite 2 veces el precio de 39"/>
    <s v="El producto SIBARITA - Amarillin Doypack 8.8oz x 12 Se repite 3 veces en Tradiciones Andinas, Se repite 2 veces el precio de 39"/>
  </r>
  <r>
    <x v="3"/>
    <x v="27"/>
    <s v="Bill"/>
    <s v="491180"/>
    <x v="246"/>
    <s v="TA- PERU -  SIBARITA PRODUCTS -  SIBARITA - Amarillin Doypack-  12 / 8.8oz - SI315"/>
    <n v="3"/>
    <n v="39"/>
    <n v="117"/>
    <n v="102216.74999999993"/>
    <n v="3"/>
    <s v="Se repite 3 veces"/>
    <s v="Tradiciones Andinas-SIBARITA - Amarillin Doypack 8.8oz x 12"/>
    <n v="3"/>
    <s v="Se repite 3 veces en Tradiciones Andinas"/>
    <s v="Tradiciones Andinas-SIBARITA - Amarillin Doypack 8.8oz x 12-39"/>
    <n v="2"/>
    <s v="Se repite 2 veces el precio de 39"/>
    <s v="El producto SIBARITA - Amarillin Doypack 8.8oz x 12 Se repite 3 veces en Tradiciones Andinas, Se repite 2 veces el precio de 39"/>
  </r>
  <r>
    <x v="3"/>
    <x v="10"/>
    <s v="Bill"/>
    <s v="476974"/>
    <x v="247"/>
    <s v="SIBARITA - Panquita Doypack 12 x 19.4 oz - TA"/>
    <n v="10"/>
    <n v="49.08"/>
    <n v="490.8"/>
    <n v="16332.46"/>
    <n v="7"/>
    <s v="Se repite 7 veces"/>
    <s v="Tradiciones Andinas-SIBARITA - Panquita Doypack 12 x 19.4 oz"/>
    <n v="7"/>
    <s v="Se repite 7 veces en Tradiciones Andinas"/>
    <s v="Tradiciones Andinas-SIBARITA - Panquita Doypack 12 x 19.4 oz-49.08"/>
    <n v="1"/>
    <s v="No se repite"/>
    <s v="El producto SIBARITA - Panquita Doypack 12 x 19.4 oz Se repite 7 veces en Tradiciones Andinas Una vez con el precio 49.08"/>
  </r>
  <r>
    <x v="3"/>
    <x v="11"/>
    <s v="Bill"/>
    <s v="478734"/>
    <x v="247"/>
    <s v="T.A SIBARITA - Panquita Doypack 12 x 19.4 oz"/>
    <n v="15"/>
    <n v="52.52"/>
    <n v="787.8"/>
    <n v="28767.119999999995"/>
    <n v="7"/>
    <s v="Se repite 7 veces"/>
    <s v="Tradiciones Andinas-SIBARITA - Panquita Doypack 12 x 19.4 oz"/>
    <n v="7"/>
    <s v="Se repite 7 veces en Tradiciones Andinas"/>
    <s v="Tradiciones Andinas-SIBARITA - Panquita Doypack 12 x 19.4 oz-52.52"/>
    <n v="5"/>
    <s v="Se repite 5 veces el precio de 52.52"/>
    <s v="El producto SIBARITA - Panquita Doypack 12 x 19.4 oz Se repite 7 veces en Tradiciones Andinas, Se repite 5 veces el precio de 52.52"/>
  </r>
  <r>
    <x v="3"/>
    <x v="4"/>
    <s v="Bill"/>
    <s v="480295"/>
    <x v="247"/>
    <s v="T.A SIBARITA - Panquita Doypack 12 x 19.4 oz"/>
    <n v="5"/>
    <n v="52.52"/>
    <n v="262.60000000000002"/>
    <n v="39843.199999999997"/>
    <n v="7"/>
    <s v="Se repite 7 veces"/>
    <s v="Tradiciones Andinas-SIBARITA - Panquita Doypack 12 x 19.4 oz"/>
    <n v="7"/>
    <s v="Se repite 7 veces en Tradiciones Andinas"/>
    <s v="Tradiciones Andinas-SIBARITA - Panquita Doypack 12 x 19.4 oz-52.52"/>
    <n v="5"/>
    <s v="Se repite 5 veces el precio de 52.52"/>
    <s v="El producto SIBARITA - Panquita Doypack 12 x 19.4 oz Se repite 7 veces en Tradiciones Andinas, Se repite 5 veces el precio de 52.52"/>
  </r>
  <r>
    <x v="3"/>
    <x v="45"/>
    <s v="Bill"/>
    <s v="480888"/>
    <x v="247"/>
    <s v="T.A SIBARITA - Panquita Doypack 12 x 19.4 oz"/>
    <n v="5"/>
    <n v="52.52"/>
    <n v="262.60000000000002"/>
    <n v="45094.63"/>
    <n v="7"/>
    <s v="Se repite 7 veces"/>
    <s v="Tradiciones Andinas-SIBARITA - Panquita Doypack 12 x 19.4 oz"/>
    <n v="7"/>
    <s v="Se repite 7 veces en Tradiciones Andinas"/>
    <s v="Tradiciones Andinas-SIBARITA - Panquita Doypack 12 x 19.4 oz-52.52"/>
    <n v="5"/>
    <s v="Se repite 5 veces el precio de 52.52"/>
    <s v="El producto SIBARITA - Panquita Doypack 12 x 19.4 oz Se repite 7 veces en Tradiciones Andinas, Se repite 5 veces el precio de 52.52"/>
  </r>
  <r>
    <x v="3"/>
    <x v="5"/>
    <s v="Bill"/>
    <s v="482005"/>
    <x v="247"/>
    <s v="T.A SIBARITA - Panquita Doypack 12 x 19.4 oz"/>
    <n v="12"/>
    <n v="52.52"/>
    <n v="630.24"/>
    <n v="52463.599999999955"/>
    <n v="7"/>
    <s v="Se repite 7 veces"/>
    <s v="Tradiciones Andinas-SIBARITA - Panquita Doypack 12 x 19.4 oz"/>
    <n v="7"/>
    <s v="Se repite 7 veces en Tradiciones Andinas"/>
    <s v="Tradiciones Andinas-SIBARITA - Panquita Doypack 12 x 19.4 oz-52.52"/>
    <n v="5"/>
    <s v="Se repite 5 veces el precio de 52.52"/>
    <s v="El producto SIBARITA - Panquita Doypack 12 x 19.4 oz Se repite 7 veces en Tradiciones Andinas, Se repite 5 veces el precio de 52.52"/>
  </r>
  <r>
    <x v="3"/>
    <x v="13"/>
    <s v="Bill"/>
    <s v="485230"/>
    <x v="247"/>
    <s v="T.A SIBARITA - Panquita Doypack 12 x 19.4 oz"/>
    <n v="4"/>
    <n v="52.52"/>
    <n v="210.08"/>
    <n v="70408.810000000012"/>
    <n v="7"/>
    <s v="Se repite 7 veces"/>
    <s v="Tradiciones Andinas-SIBARITA - Panquita Doypack 12 x 19.4 oz"/>
    <n v="7"/>
    <s v="Se repite 7 veces en Tradiciones Andinas"/>
    <s v="Tradiciones Andinas-SIBARITA - Panquita Doypack 12 x 19.4 oz-52.52"/>
    <n v="5"/>
    <s v="Se repite 5 veces el precio de 52.52"/>
    <s v="El producto SIBARITA - Panquita Doypack 12 x 19.4 oz Se repite 7 veces en Tradiciones Andinas, Se repite 5 veces el precio de 52.52"/>
  </r>
  <r>
    <x v="3"/>
    <x v="34"/>
    <s v="Bill"/>
    <s v="490620"/>
    <x v="247"/>
    <s v="T.A SIBARITA - Panquita Doypack 12 x 19.4 oz"/>
    <n v="18"/>
    <n v="49.52"/>
    <n v="891.36"/>
    <n v="97266.709999999934"/>
    <n v="7"/>
    <s v="Se repite 7 veces"/>
    <s v="Tradiciones Andinas-SIBARITA - Panquita Doypack 12 x 19.4 oz"/>
    <n v="7"/>
    <s v="Se repite 7 veces en Tradiciones Andinas"/>
    <s v="Tradiciones Andinas-SIBARITA - Panquita Doypack 12 x 19.4 oz-49.52"/>
    <n v="1"/>
    <s v="No se repite"/>
    <s v="El producto SIBARITA - Panquita Doypack 12 x 19.4 oz Se repite 7 veces en Tradiciones Andinas Una vez con el precio 49.52"/>
  </r>
  <r>
    <x v="3"/>
    <x v="11"/>
    <s v="Bill"/>
    <s v="478734"/>
    <x v="248"/>
    <s v="SIBARITA - Panquita Doypack"/>
    <n v="20"/>
    <n v="42"/>
    <n v="840"/>
    <n v="26994.199999999993"/>
    <n v="3"/>
    <s v="Se repite 3 veces"/>
    <s v="Tradiciones Andinas-SIBARITA - Panquita Doypack 8.8oz x 12"/>
    <n v="3"/>
    <s v="Se repite 3 veces en Tradiciones Andinas"/>
    <s v="Tradiciones Andinas-SIBARITA - Panquita Doypack 8.8oz x 12-42"/>
    <n v="1"/>
    <s v="No se repite"/>
    <s v="El producto SIBARITA - Panquita Doypack 8.8oz x 12 Se repite 3 veces en Tradiciones Andinas Una vez con el precio 42"/>
  </r>
  <r>
    <x v="3"/>
    <x v="34"/>
    <s v="Bill"/>
    <s v="490620"/>
    <x v="248"/>
    <s v="TA- PERU -  SIBARITA PRODUCTS -  SIBARITA - Panquita Doypack-  12 / 8.8oz - SI316"/>
    <n v="6"/>
    <n v="39"/>
    <n v="234"/>
    <n v="96304.069999999934"/>
    <n v="3"/>
    <s v="Se repite 3 veces"/>
    <s v="Tradiciones Andinas-SIBARITA - Panquita Doypack 8.8oz x 12"/>
    <n v="3"/>
    <s v="Se repite 3 veces en Tradiciones Andinas"/>
    <s v="Tradiciones Andinas-SIBARITA - Panquita Doypack 8.8oz x 12-39"/>
    <n v="2"/>
    <s v="Se repite 2 veces el precio de 39"/>
    <s v="El producto SIBARITA - Panquita Doypack 8.8oz x 12 Se repite 3 veces en Tradiciones Andinas, Se repite 2 veces el precio de 39"/>
  </r>
  <r>
    <x v="3"/>
    <x v="27"/>
    <s v="Bill"/>
    <s v="491180"/>
    <x v="248"/>
    <s v="TA- PERU -  SIBARITA PRODUCTS -  SIBARITA - Panquita Doypack-  12 / 8.8oz - SI316"/>
    <n v="6"/>
    <n v="39"/>
    <n v="234"/>
    <n v="102450.74999999993"/>
    <n v="3"/>
    <s v="Se repite 3 veces"/>
    <s v="Tradiciones Andinas-SIBARITA - Panquita Doypack 8.8oz x 12"/>
    <n v="3"/>
    <s v="Se repite 3 veces en Tradiciones Andinas"/>
    <s v="Tradiciones Andinas-SIBARITA - Panquita Doypack 8.8oz x 12-39"/>
    <n v="2"/>
    <s v="Se repite 2 veces el precio de 39"/>
    <s v="El producto SIBARITA - Panquita Doypack 8.8oz x 12 Se repite 3 veces en Tradiciones Andinas, Se repite 2 veces el precio de 39"/>
  </r>
  <r>
    <x v="3"/>
    <x v="10"/>
    <s v="Bill"/>
    <s v="476974"/>
    <x v="249"/>
    <s v="SIBARITA - Tuco Tallarin"/>
    <n v="6"/>
    <n v="42.5"/>
    <n v="255"/>
    <n v="15466.279999999999"/>
    <n v="4"/>
    <s v="Se repite 4 veces"/>
    <s v="Tradiciones Andinas-SIBARITA - Tuco Tallarin 6 sobres x 50 / 1.64oz x 50"/>
    <n v="4"/>
    <s v="Se repite 4 veces en Tradiciones Andinas"/>
    <s v="Tradiciones Andinas-SIBARITA - Tuco Tallarin 6 sobres x 50 / 1.64oz x 50-42.5"/>
    <n v="1"/>
    <s v="No se repite"/>
    <s v="El producto SIBARITA - Tuco Tallarin 6 sobres x 50 / 1.64oz x 50 Se repite 4 veces en Tradiciones Andinas Una vez con el precio 42.5"/>
  </r>
  <r>
    <x v="3"/>
    <x v="4"/>
    <s v="Bill"/>
    <s v="480295"/>
    <x v="249"/>
    <s v="TA- PERU -  SIBARITA PRODUCTS -  SIBARITA - Tuco Tallarin-  6 sobres x 50 / 1.64oz  - SI309"/>
    <n v="6"/>
    <n v="45"/>
    <n v="270"/>
    <n v="39310.6"/>
    <n v="4"/>
    <s v="Se repite 4 veces"/>
    <s v="Tradiciones Andinas-SIBARITA - Tuco Tallarin 6 sobres x 50 / 1.64oz x 50"/>
    <n v="4"/>
    <s v="Se repite 4 veces en Tradiciones Andinas"/>
    <s v="Tradiciones Andinas-SIBARITA - Tuco Tallarin 6 sobres x 50 / 1.64oz x 50-45"/>
    <n v="3"/>
    <s v="Se repite 3 veces el precio de 45"/>
    <s v="El producto SIBARITA - Tuco Tallarin 6 sobres x 50 / 1.64oz x 50 Se repite 4 veces en Tradiciones Andinas, Se repite 3 veces el precio de 45"/>
  </r>
  <r>
    <x v="3"/>
    <x v="45"/>
    <s v="Bill"/>
    <s v="480888"/>
    <x v="249"/>
    <s v="TA- PERU -  SIBARITA PRODUCTS -  SIBARITA - Tuco Tallarin-  6 sobres x 50 / 1.64oz  - SI309"/>
    <n v="8"/>
    <n v="45"/>
    <n v="360"/>
    <n v="44472.03"/>
    <n v="4"/>
    <s v="Se repite 4 veces"/>
    <s v="Tradiciones Andinas-SIBARITA - Tuco Tallarin 6 sobres x 50 / 1.64oz x 50"/>
    <n v="4"/>
    <s v="Se repite 4 veces en Tradiciones Andinas"/>
    <s v="Tradiciones Andinas-SIBARITA - Tuco Tallarin 6 sobres x 50 / 1.64oz x 50-45"/>
    <n v="3"/>
    <s v="Se repite 3 veces el precio de 45"/>
    <s v="El producto SIBARITA - Tuco Tallarin 6 sobres x 50 / 1.64oz x 50 Se repite 4 veces en Tradiciones Andinas, Se repite 3 veces el precio de 45"/>
  </r>
  <r>
    <x v="3"/>
    <x v="7"/>
    <s v="Bill"/>
    <s v="492743"/>
    <x v="249"/>
    <s v="TA- PERU -  SIBARITA PRODUCTS -  SIBARITA - Tuco Tallarin-  6 sobres x 50 / 1.64oz  - SI309"/>
    <n v="1"/>
    <n v="45"/>
    <n v="45"/>
    <n v="108261.68999999992"/>
    <n v="4"/>
    <s v="Se repite 4 veces"/>
    <s v="Tradiciones Andinas-SIBARITA - Tuco Tallarin 6 sobres x 50 / 1.64oz x 50"/>
    <n v="4"/>
    <s v="Se repite 4 veces en Tradiciones Andinas"/>
    <s v="Tradiciones Andinas-SIBARITA - Tuco Tallarin 6 sobres x 50 / 1.64oz x 50-45"/>
    <n v="3"/>
    <s v="Se repite 3 veces el precio de 45"/>
    <s v="El producto SIBARITA - Tuco Tallarin 6 sobres x 50 / 1.64oz x 50 Se repite 4 veces en Tradiciones Andinas, Se repite 3 veces el precio de 45"/>
  </r>
  <r>
    <x v="3"/>
    <x v="33"/>
    <s v="Bill"/>
    <s v="475144"/>
    <x v="250"/>
    <s v="SIBARITA - Vinagre Blanco - White Vinegar 16.91oz x 12 botella"/>
    <n v="2"/>
    <n v="9.48"/>
    <n v="18.96"/>
    <n v="2098.16"/>
    <n v="5"/>
    <s v="Se repite 5 veces"/>
    <s v="Tradiciones Andinas-SIBARITA - Vinagre Blanco - White Vinegar 16.91oz x 12"/>
    <n v="5"/>
    <s v="Se repite 5 veces en Tradiciones Andinas"/>
    <s v="Tradiciones Andinas-SIBARITA - Vinagre Blanco - White Vinegar 16.91oz x 12-9.48"/>
    <n v="1"/>
    <s v="No se repite"/>
    <s v="El producto SIBARITA - Vinagre Blanco - White Vinegar 16.91oz x 12 Se repite 5 veces en Tradiciones Andinas Una vez con el precio 9.48"/>
  </r>
  <r>
    <x v="3"/>
    <x v="9"/>
    <s v="Bill"/>
    <s v=""/>
    <x v="250"/>
    <s v="SIBARITA - Vinagre Blanco - White Vinegar 16.91oz x 12 botella"/>
    <n v="2"/>
    <n v="8.48"/>
    <n v="16.96"/>
    <n v="5367.68"/>
    <n v="5"/>
    <s v="Se repite 5 veces"/>
    <s v="Tradiciones Andinas-SIBARITA - Vinagre Blanco - White Vinegar 16.91oz x 12"/>
    <n v="5"/>
    <s v="Se repite 5 veces en Tradiciones Andinas"/>
    <s v="Tradiciones Andinas-SIBARITA - Vinagre Blanco - White Vinegar 16.91oz x 12-8.48"/>
    <n v="2"/>
    <s v="Se repite 2 veces el precio de 8.48"/>
    <s v="El producto SIBARITA - Vinagre Blanco - White Vinegar 16.91oz x 12 Se repite 5 veces en Tradiciones Andinas, Se repite 2 veces el precio de 8.48"/>
  </r>
  <r>
    <x v="3"/>
    <x v="10"/>
    <s v="Bill"/>
    <s v="476974"/>
    <x v="250"/>
    <s v="SIBARITA - Vinagre Blanco - White Vinegar 16.91oz x 12 botella"/>
    <n v="4"/>
    <n v="8.48"/>
    <n v="33.92"/>
    <n v="15807.74"/>
    <n v="5"/>
    <s v="Se repite 5 veces"/>
    <s v="Tradiciones Andinas-SIBARITA - Vinagre Blanco - White Vinegar 16.91oz x 12"/>
    <n v="5"/>
    <s v="Se repite 5 veces en Tradiciones Andinas"/>
    <s v="Tradiciones Andinas-SIBARITA - Vinagre Blanco - White Vinegar 16.91oz x 12-8.48"/>
    <n v="2"/>
    <s v="Se repite 2 veces el precio de 8.48"/>
    <s v="El producto SIBARITA - Vinagre Blanco - White Vinegar 16.91oz x 12 Se repite 5 veces en Tradiciones Andinas, Se repite 2 veces el precio de 8.48"/>
  </r>
  <r>
    <x v="3"/>
    <x v="11"/>
    <s v="Bill"/>
    <s v="478734"/>
    <x v="250"/>
    <s v="T.A PERU -  SIBARITA PRODUCTS -  SIBARITA - Vinagre Blanco - White Vinegar -  12 / 16.91oz botella"/>
    <n v="8"/>
    <n v="9.07"/>
    <n v="72.56"/>
    <n v="27906.759999999995"/>
    <n v="5"/>
    <s v="Se repite 5 veces"/>
    <s v="Tradiciones Andinas-SIBARITA - Vinagre Blanco - White Vinegar 16.91oz x 12"/>
    <n v="5"/>
    <s v="Se repite 5 veces en Tradiciones Andinas"/>
    <s v="Tradiciones Andinas-SIBARITA - Vinagre Blanco - White Vinegar 16.91oz x 12-9.07"/>
    <n v="2"/>
    <s v="Se repite 2 veces el precio de 9.07"/>
    <s v="El producto SIBARITA - Vinagre Blanco - White Vinegar 16.91oz x 12 Se repite 5 veces en Tradiciones Andinas, Se repite 2 veces el precio de 9.07"/>
  </r>
  <r>
    <x v="3"/>
    <x v="5"/>
    <s v="Bill"/>
    <s v="482005"/>
    <x v="250"/>
    <s v="T.A PERU -  SIBARITA PRODUCTS -  SIBARITA - Vinagre Blanco - White Vinegar -  12 / 16.91oz botella"/>
    <n v="6"/>
    <n v="9.07"/>
    <n v="54.42"/>
    <n v="51778.939999999959"/>
    <n v="5"/>
    <s v="Se repite 5 veces"/>
    <s v="Tradiciones Andinas-SIBARITA - Vinagre Blanco - White Vinegar 16.91oz x 12"/>
    <n v="5"/>
    <s v="Se repite 5 veces en Tradiciones Andinas"/>
    <s v="Tradiciones Andinas-SIBARITA - Vinagre Blanco - White Vinegar 16.91oz x 12-9.07"/>
    <n v="2"/>
    <s v="Se repite 2 veces el precio de 9.07"/>
    <s v="El producto SIBARITA - Vinagre Blanco - White Vinegar 16.91oz x 12 Se repite 5 veces en Tradiciones Andinas, Se repite 2 veces el precio de 9.07"/>
  </r>
  <r>
    <x v="3"/>
    <x v="33"/>
    <s v="Bill"/>
    <s v="475144"/>
    <x v="251"/>
    <s v="SIBARITA - Vinagre Blanco - White Vinegar"/>
    <n v="2"/>
    <n v="11.88"/>
    <n v="23.76"/>
    <n v="2055.4399999999996"/>
    <n v="4"/>
    <s v="Se repite 4 veces"/>
    <s v="Tradiciones Andinas-SIBARITA - Vinagre Blanco - White Vinegar 1L x 12"/>
    <n v="4"/>
    <s v="Se repite 4 veces en Tradiciones Andinas"/>
    <s v="Tradiciones Andinas-SIBARITA - Vinagre Blanco - White Vinegar 1L x 12-11.88"/>
    <n v="3"/>
    <s v="Se repite 3 veces el precio de 11.88"/>
    <s v="El producto SIBARITA - Vinagre Blanco - White Vinegar 1L x 12 Se repite 4 veces en Tradiciones Andinas, Se repite 3 veces el precio de 11.88"/>
  </r>
  <r>
    <x v="3"/>
    <x v="9"/>
    <s v="Bill"/>
    <s v=""/>
    <x v="251"/>
    <s v="SIBARITA - Vinagre Blanco - White Vinegar"/>
    <n v="2"/>
    <n v="11.88"/>
    <n v="23.76"/>
    <n v="5350.72"/>
    <n v="4"/>
    <s v="Se repite 4 veces"/>
    <s v="Tradiciones Andinas-SIBARITA - Vinagre Blanco - White Vinegar 1L x 12"/>
    <n v="4"/>
    <s v="Se repite 4 veces en Tradiciones Andinas"/>
    <s v="Tradiciones Andinas-SIBARITA - Vinagre Blanco - White Vinegar 1L x 12-11.88"/>
    <n v="3"/>
    <s v="Se repite 3 veces el precio de 11.88"/>
    <s v="El producto SIBARITA - Vinagre Blanco - White Vinegar 1L x 12 Se repite 4 veces en Tradiciones Andinas, Se repite 3 veces el precio de 11.88"/>
  </r>
  <r>
    <x v="3"/>
    <x v="10"/>
    <s v="Bill"/>
    <s v="476974"/>
    <x v="251"/>
    <s v="SIBARITA - Vinagre Blanco - White Vinegar"/>
    <n v="4"/>
    <n v="11.88"/>
    <n v="47.52"/>
    <n v="15726.3"/>
    <n v="4"/>
    <s v="Se repite 4 veces"/>
    <s v="Tradiciones Andinas-SIBARITA - Vinagre Blanco - White Vinegar 1L x 12"/>
    <n v="4"/>
    <s v="Se repite 4 veces en Tradiciones Andinas"/>
    <s v="Tradiciones Andinas-SIBARITA - Vinagre Blanco - White Vinegar 1L x 12-11.88"/>
    <n v="3"/>
    <s v="Se repite 3 veces el precio de 11.88"/>
    <s v="El producto SIBARITA - Vinagre Blanco - White Vinegar 1L x 12 Se repite 4 veces en Tradiciones Andinas, Se repite 3 veces el precio de 11.88"/>
  </r>
  <r>
    <x v="3"/>
    <x v="5"/>
    <s v="Bill"/>
    <s v="482005"/>
    <x v="251"/>
    <s v="PERU -  SIBARITA PRODUCTS -  SIBARITA - Vinagre Blanco - White Vinegar -  12 / 1lt - SI312"/>
    <n v="5"/>
    <n v="12.7"/>
    <n v="63.5"/>
    <n v="51724.51999999996"/>
    <n v="4"/>
    <s v="Se repite 4 veces"/>
    <s v="Tradiciones Andinas-SIBARITA - Vinagre Blanco - White Vinegar 1L x 12"/>
    <n v="4"/>
    <s v="Se repite 4 veces en Tradiciones Andinas"/>
    <s v="Tradiciones Andinas-SIBARITA - Vinagre Blanco - White Vinegar 1L x 12-12.7"/>
    <n v="1"/>
    <s v="No se repite"/>
    <s v="El producto SIBARITA - Vinagre Blanco - White Vinegar 1L x 12 Se repite 4 veces en Tradiciones Andinas Una vez con el precio 12.7"/>
  </r>
  <r>
    <x v="3"/>
    <x v="33"/>
    <s v="Bill"/>
    <s v="475144"/>
    <x v="252"/>
    <s v="SIBARITA - Vinagre Tinto - Red Vinegar"/>
    <n v="2"/>
    <n v="11.88"/>
    <n v="23.76"/>
    <n v="2079.1999999999998"/>
    <n v="5"/>
    <s v="Se repite 5 veces"/>
    <s v="Tradiciones Andinas-SIBARITA - Vinagre Tinto - Red Vinegar 1L x 12"/>
    <n v="5"/>
    <s v="Se repite 5 veces en Tradiciones Andinas"/>
    <s v="Tradiciones Andinas-SIBARITA - Vinagre Tinto - Red Vinegar 1L x 12-11.88"/>
    <n v="5"/>
    <s v="Se repite 5 veces el precio de 11.88"/>
    <s v="El producto SIBARITA - Vinagre Tinto - Red Vinegar 1L x 12 Se repite 5 veces en Tradiciones Andinas, Se repite 5 veces el precio de 11.88"/>
  </r>
  <r>
    <x v="3"/>
    <x v="9"/>
    <s v="Bill"/>
    <s v=""/>
    <x v="252"/>
    <s v="SIBARITA - Vinagre Tinto - Red Vinegar"/>
    <n v="3"/>
    <n v="11.88"/>
    <n v="35.64"/>
    <n v="5326.96"/>
    <n v="5"/>
    <s v="Se repite 5 veces"/>
    <s v="Tradiciones Andinas-SIBARITA - Vinagre Tinto - Red Vinegar 1L x 12"/>
    <n v="5"/>
    <s v="Se repite 5 veces en Tradiciones Andinas"/>
    <s v="Tradiciones Andinas-SIBARITA - Vinagre Tinto - Red Vinegar 1L x 12-11.88"/>
    <n v="5"/>
    <s v="Se repite 5 veces el precio de 11.88"/>
    <s v="El producto SIBARITA - Vinagre Tinto - Red Vinegar 1L x 12 Se repite 5 veces en Tradiciones Andinas, Se repite 5 veces el precio de 11.88"/>
  </r>
  <r>
    <x v="3"/>
    <x v="10"/>
    <s v="Bill"/>
    <s v="476974"/>
    <x v="252"/>
    <s v="SIBARITA - Vinagre Tinto - Red Vinegar"/>
    <n v="4"/>
    <n v="11.88"/>
    <n v="47.52"/>
    <n v="15773.82"/>
    <n v="5"/>
    <s v="Se repite 5 veces"/>
    <s v="Tradiciones Andinas-SIBARITA - Vinagre Tinto - Red Vinegar 1L x 12"/>
    <n v="5"/>
    <s v="Se repite 5 veces en Tradiciones Andinas"/>
    <s v="Tradiciones Andinas-SIBARITA - Vinagre Tinto - Red Vinegar 1L x 12-11.88"/>
    <n v="5"/>
    <s v="Se repite 5 veces el precio de 11.88"/>
    <s v="El producto SIBARITA - Vinagre Tinto - Red Vinegar 1L x 12 Se repite 5 veces en Tradiciones Andinas, Se repite 5 veces el precio de 11.88"/>
  </r>
  <r>
    <x v="3"/>
    <x v="34"/>
    <s v="Bill"/>
    <s v="490620"/>
    <x v="252"/>
    <s v="PERU -  SIBARITA PRODUCTS -  SIBARITA - Vinagre Tinto - Red Vinegar -  12 / 1lt - SI313"/>
    <n v="6"/>
    <n v="11.88"/>
    <n v="71.28"/>
    <n v="96375.349999999933"/>
    <n v="5"/>
    <s v="Se repite 5 veces"/>
    <s v="Tradiciones Andinas-SIBARITA - Vinagre Tinto - Red Vinegar 1L x 12"/>
    <n v="5"/>
    <s v="Se repite 5 veces en Tradiciones Andinas"/>
    <s v="Tradiciones Andinas-SIBARITA - Vinagre Tinto - Red Vinegar 1L x 12-11.88"/>
    <n v="5"/>
    <s v="Se repite 5 veces el precio de 11.88"/>
    <s v="El producto SIBARITA - Vinagre Tinto - Red Vinegar 1L x 12 Se repite 5 veces en Tradiciones Andinas, Se repite 5 veces el precio de 11.88"/>
  </r>
  <r>
    <x v="3"/>
    <x v="7"/>
    <s v="Bill"/>
    <s v="492743"/>
    <x v="252"/>
    <s v="PERU -  SIBARITA PRODUCTS -  SIBARITA - Vinagre Tinto - Red Vinegar -  12 / 1lt - SI313"/>
    <n v="3"/>
    <n v="11.88"/>
    <n v="35.64"/>
    <n v="108471.32999999991"/>
    <n v="5"/>
    <s v="Se repite 5 veces"/>
    <s v="Tradiciones Andinas-SIBARITA - Vinagre Tinto - Red Vinegar 1L x 12"/>
    <n v="5"/>
    <s v="Se repite 5 veces en Tradiciones Andinas"/>
    <s v="Tradiciones Andinas-SIBARITA - Vinagre Tinto - Red Vinegar 1L x 12-11.88"/>
    <n v="5"/>
    <s v="Se repite 5 veces el precio de 11.88"/>
    <s v="El producto SIBARITA - Vinagre Tinto - Red Vinegar 1L x 12 Se repite 5 veces en Tradiciones Andinas, Se repite 5 veces el precio de 11.88"/>
  </r>
  <r>
    <x v="3"/>
    <x v="33"/>
    <s v="Bill"/>
    <s v="475144"/>
    <x v="253"/>
    <s v="SIBARITA Vinagre Tinto - Red Vinegar 16.91oz  x 12 botella"/>
    <n v="2"/>
    <n v="9.48"/>
    <n v="18.96"/>
    <n v="2117.12"/>
    <n v="7"/>
    <s v="Se repite 7 veces"/>
    <s v="Tradiciones Andinas-SIBARITA Vinagre Tinto - Red Vinegar 16.91oz  x 12 botella"/>
    <n v="7"/>
    <s v="Se repite 7 veces en Tradiciones Andinas"/>
    <s v="Tradiciones Andinas-SIBARITA Vinagre Tinto - Red Vinegar 16.91oz  x 12 botella-9.48"/>
    <n v="1"/>
    <s v="No se repite"/>
    <s v="El producto SIBARITA Vinagre Tinto - Red Vinegar 16.91oz  x 12 botella Se repite 7 veces en Tradiciones Andinas Una vez con el precio 9.48"/>
  </r>
  <r>
    <x v="3"/>
    <x v="9"/>
    <s v="Bill"/>
    <s v=""/>
    <x v="253"/>
    <s v="SIBARITA Vinagre Tinto - Red Vinegar 16.91oz  x 12 botella"/>
    <n v="3"/>
    <n v="8.48"/>
    <n v="25.44"/>
    <n v="5393.12"/>
    <n v="7"/>
    <s v="Se repite 7 veces"/>
    <s v="Tradiciones Andinas-SIBARITA Vinagre Tinto - Red Vinegar 16.91oz  x 12 botella"/>
    <n v="7"/>
    <s v="Se repite 7 veces en Tradiciones Andinas"/>
    <s v="Tradiciones Andinas-SIBARITA Vinagre Tinto - Red Vinegar 16.91oz  x 12 botella-8.48"/>
    <n v="2"/>
    <s v="Se repite 2 veces el precio de 8.48"/>
    <s v="El producto SIBARITA Vinagre Tinto - Red Vinegar 16.91oz  x 12 botella Se repite 7 veces en Tradiciones Andinas, Se repite 2 veces el precio de 8.48"/>
  </r>
  <r>
    <x v="3"/>
    <x v="10"/>
    <s v="Bill"/>
    <s v="476974"/>
    <x v="253"/>
    <s v="SIBARITA Vinagre Tinto - Red Vinegar 16.91oz  x 12 botella"/>
    <n v="4"/>
    <n v="8.48"/>
    <n v="33.92"/>
    <n v="15841.66"/>
    <n v="7"/>
    <s v="Se repite 7 veces"/>
    <s v="Tradiciones Andinas-SIBARITA Vinagre Tinto - Red Vinegar 16.91oz  x 12 botella"/>
    <n v="7"/>
    <s v="Se repite 7 veces en Tradiciones Andinas"/>
    <s v="Tradiciones Andinas-SIBARITA Vinagre Tinto - Red Vinegar 16.91oz  x 12 botella-8.48"/>
    <n v="2"/>
    <s v="Se repite 2 veces el precio de 8.48"/>
    <s v="El producto SIBARITA Vinagre Tinto - Red Vinegar 16.91oz  x 12 botella Se repite 7 veces en Tradiciones Andinas, Se repite 2 veces el precio de 8.48"/>
  </r>
  <r>
    <x v="3"/>
    <x v="11"/>
    <s v="Bill"/>
    <s v="478734"/>
    <x v="253"/>
    <s v="SIBARITA Vinagre Tinto - Red Vinegar 16.91oz  x 12 botella"/>
    <n v="8"/>
    <n v="9.07"/>
    <n v="72.56"/>
    <n v="27979.319999999996"/>
    <n v="7"/>
    <s v="Se repite 7 veces"/>
    <s v="Tradiciones Andinas-SIBARITA Vinagre Tinto - Red Vinegar 16.91oz  x 12 botella"/>
    <n v="7"/>
    <s v="Se repite 7 veces en Tradiciones Andinas"/>
    <s v="Tradiciones Andinas-SIBARITA Vinagre Tinto - Red Vinegar 16.91oz  x 12 botella-9.07"/>
    <n v="4"/>
    <s v="Se repite 4 veces el precio de 9.07"/>
    <s v="El producto SIBARITA Vinagre Tinto - Red Vinegar 16.91oz  x 12 botella Se repite 7 veces en Tradiciones Andinas, Se repite 4 veces el precio de 9.07"/>
  </r>
  <r>
    <x v="3"/>
    <x v="5"/>
    <s v="Bill"/>
    <s v="482005"/>
    <x v="253"/>
    <s v="SIBARITA Vinagre Tinto - Red Vinegar 16.91oz  x 12 botella"/>
    <n v="6"/>
    <n v="9.07"/>
    <n v="54.42"/>
    <n v="51833.359999999957"/>
    <n v="7"/>
    <s v="Se repite 7 veces"/>
    <s v="Tradiciones Andinas-SIBARITA Vinagre Tinto - Red Vinegar 16.91oz  x 12 botella"/>
    <n v="7"/>
    <s v="Se repite 7 veces en Tradiciones Andinas"/>
    <s v="Tradiciones Andinas-SIBARITA Vinagre Tinto - Red Vinegar 16.91oz  x 12 botella-9.07"/>
    <n v="4"/>
    <s v="Se repite 4 veces el precio de 9.07"/>
    <s v="El producto SIBARITA Vinagre Tinto - Red Vinegar 16.91oz  x 12 botella Se repite 7 veces en Tradiciones Andinas, Se repite 4 veces el precio de 9.07"/>
  </r>
  <r>
    <x v="3"/>
    <x v="13"/>
    <s v="Bill"/>
    <s v="485230"/>
    <x v="253"/>
    <s v="SIBARITA Vinagre Tinto - Red Vinegar 16.91oz  x 12 botella"/>
    <n v="8"/>
    <n v="9.07"/>
    <n v="72.56"/>
    <n v="70198.73000000001"/>
    <n v="7"/>
    <s v="Se repite 7 veces"/>
    <s v="Tradiciones Andinas-SIBARITA Vinagre Tinto - Red Vinegar 16.91oz  x 12 botella"/>
    <n v="7"/>
    <s v="Se repite 7 veces en Tradiciones Andinas"/>
    <s v="Tradiciones Andinas-SIBARITA Vinagre Tinto - Red Vinegar 16.91oz  x 12 botella-9.07"/>
    <n v="4"/>
    <s v="Se repite 4 veces el precio de 9.07"/>
    <s v="El producto SIBARITA Vinagre Tinto - Red Vinegar 16.91oz  x 12 botella Se repite 7 veces en Tradiciones Andinas, Se repite 4 veces el precio de 9.07"/>
  </r>
  <r>
    <x v="3"/>
    <x v="27"/>
    <s v="Bill"/>
    <s v="491180"/>
    <x v="253"/>
    <s v="SIBARITA Vinagre Tinto - Red Vinegar 16.91oz  x 12 botella"/>
    <n v="2"/>
    <n v="9.07"/>
    <n v="18.14"/>
    <n v="102468.88999999993"/>
    <n v="7"/>
    <s v="Se repite 7 veces"/>
    <s v="Tradiciones Andinas-SIBARITA Vinagre Tinto - Red Vinegar 16.91oz  x 12 botella"/>
    <n v="7"/>
    <s v="Se repite 7 veces en Tradiciones Andinas"/>
    <s v="Tradiciones Andinas-SIBARITA Vinagre Tinto - Red Vinegar 16.91oz  x 12 botella-9.07"/>
    <n v="4"/>
    <s v="Se repite 4 veces el precio de 9.07"/>
    <s v="El producto SIBARITA Vinagre Tinto - Red Vinegar 16.91oz  x 12 botella Se repite 7 veces en Tradiciones Andinas, Se repite 4 veces el precio de 9.07"/>
  </r>
  <r>
    <x v="3"/>
    <x v="14"/>
    <s v="Bill"/>
    <s v="493132"/>
    <x v="254"/>
    <s v="SOL DEL CUZCO Tableta sabor a chocolate con canela y clavo para taza 12 x 90gr"/>
    <n v="6"/>
    <n v="10.68"/>
    <n v="64.08"/>
    <n v="118581.47999999992"/>
    <n v="1"/>
    <s v="No se repite"/>
    <s v="Tradiciones Andinas-SOL DEL CUZCO Tableta sabor a chocolate con canela y clavo para taza 12 x 90gr"/>
    <n v="1"/>
    <s v="No se repite en proveedor"/>
    <s v="Tradiciones Andinas-SOL DEL CUZCO Tableta sabor a chocolate con canela y clavo para taza 12 x 90gr-10.68"/>
    <n v="1"/>
    <s v="No se repite"/>
    <s v="El producto SOL DEL CUZCO Tableta sabor a chocolate con canela y clavo para taza 12 x 90gr No se repite en proveedor Una vez con el precio 10.68"/>
  </r>
  <r>
    <x v="3"/>
    <x v="46"/>
    <s v="Bill"/>
    <s v="489405"/>
    <x v="255"/>
    <s v="SOL DEL CUZCO Tableta sabor a chocolate para taza tradicional 12 x 90gr - IN01"/>
    <n v="6"/>
    <n v="10.68"/>
    <n v="64.08"/>
    <n v="95536.269999999946"/>
    <n v="3"/>
    <s v="Se repite 3 veces"/>
    <s v="Tradiciones Andinas-SOL DEL CUZCO Tableta sabor a chocolate para taza 12 x 90gr"/>
    <n v="3"/>
    <s v="Se repite 3 veces en Tradiciones Andinas"/>
    <s v="Tradiciones Andinas-SOL DEL CUZCO Tableta sabor a chocolate para taza 12 x 90gr-10.68"/>
    <n v="3"/>
    <s v="Se repite 3 veces el precio de 10.68"/>
    <s v="El producto SOL DEL CUZCO Tableta sabor a chocolate para taza 12 x 90gr Se repite 3 veces en Tradiciones Andinas, Se repite 3 veces el precio de 10.68"/>
  </r>
  <r>
    <x v="3"/>
    <x v="7"/>
    <s v="Bill"/>
    <s v="492743"/>
    <x v="255"/>
    <s v="SOL DEL CUZCO Tableta sabor a chocolate para taza tradicional 12 x 90gr - IN01"/>
    <n v="2"/>
    <n v="10.68"/>
    <n v="21.36"/>
    <n v="113546.47999999988"/>
    <n v="3"/>
    <s v="Se repite 3 veces"/>
    <s v="Tradiciones Andinas-SOL DEL CUZCO Tableta sabor a chocolate para taza 12 x 90gr"/>
    <n v="3"/>
    <s v="Se repite 3 veces en Tradiciones Andinas"/>
    <s v="Tradiciones Andinas-SOL DEL CUZCO Tableta sabor a chocolate para taza 12 x 90gr-10.68"/>
    <n v="3"/>
    <s v="Se repite 3 veces el precio de 10.68"/>
    <s v="El producto SOL DEL CUZCO Tableta sabor a chocolate para taza 12 x 90gr Se repite 3 veces en Tradiciones Andinas, Se repite 3 veces el precio de 10.68"/>
  </r>
  <r>
    <x v="3"/>
    <x v="14"/>
    <s v="Bill"/>
    <s v="493132"/>
    <x v="255"/>
    <s v="SOL DEL CUZCO Tableta sabor a chocolate para taza tradicional 12 x 90gr - IN01"/>
    <n v="6"/>
    <n v="10.68"/>
    <n v="64.08"/>
    <n v="118517.39999999992"/>
    <n v="3"/>
    <s v="Se repite 3 veces"/>
    <s v="Tradiciones Andinas-SOL DEL CUZCO Tableta sabor a chocolate para taza 12 x 90gr"/>
    <n v="3"/>
    <s v="Se repite 3 veces en Tradiciones Andinas"/>
    <s v="Tradiciones Andinas-SOL DEL CUZCO Tableta sabor a chocolate para taza 12 x 90gr-10.68"/>
    <n v="3"/>
    <s v="Se repite 3 veces el precio de 10.68"/>
    <s v="El producto SOL DEL CUZCO Tableta sabor a chocolate para taza 12 x 90gr Se repite 3 veces en Tradiciones Andinas, Se repite 3 veces el precio de 10.68"/>
  </r>
  <r>
    <x v="3"/>
    <x v="10"/>
    <s v="Bill"/>
    <s v="476974"/>
    <x v="256"/>
    <s v="T.A  Ajo pasta 7.5oz x 24 fraco vidrio"/>
    <n v="6"/>
    <n v="38.159999999999997"/>
    <n v="228.96"/>
    <n v="8906.8799999999974"/>
    <n v="6"/>
    <s v="Se repite 6 veces"/>
    <s v="Tradiciones Andinas-T.A  Ajo pasta 7.5oz x 24"/>
    <n v="6"/>
    <s v="Se repite 6 veces en Tradiciones Andinas"/>
    <s v="Tradiciones Andinas-T.A  Ajo pasta 7.5oz x 24-38.16"/>
    <n v="1"/>
    <s v="No se repite"/>
    <s v="El producto T.A  Ajo pasta 7.5oz x 24 Se repite 6 veces en Tradiciones Andinas Una vez con el precio 38.16"/>
  </r>
  <r>
    <x v="3"/>
    <x v="5"/>
    <s v="Bill"/>
    <s v="482005"/>
    <x v="256"/>
    <s v="T.A  Ajo pasta 7.5oz x 24 fraco vidrio P00123"/>
    <n v="2"/>
    <n v="40.82"/>
    <n v="81.64"/>
    <n v="46252.849999999984"/>
    <n v="6"/>
    <s v="Se repite 6 veces"/>
    <s v="Tradiciones Andinas-T.A  Ajo pasta 7.5oz x 24"/>
    <n v="6"/>
    <s v="Se repite 6 veces en Tradiciones Andinas"/>
    <s v="Tradiciones Andinas-T.A  Ajo pasta 7.5oz x 24-40.82"/>
    <n v="5"/>
    <s v="Se repite 5 veces el precio de 40.82"/>
    <s v="El producto T.A  Ajo pasta 7.5oz x 24 Se repite 6 veces en Tradiciones Andinas, Se repite 5 veces el precio de 40.82"/>
  </r>
  <r>
    <x v="3"/>
    <x v="13"/>
    <s v="Bill"/>
    <s v="485230"/>
    <x v="256"/>
    <s v="T.A  Ajo pasta 7.5oz x 24 fraco vidrio P00123"/>
    <n v="1"/>
    <n v="40.82"/>
    <n v="40.82"/>
    <n v="67146.599999999991"/>
    <n v="6"/>
    <s v="Se repite 6 veces"/>
    <s v="Tradiciones Andinas-T.A  Ajo pasta 7.5oz x 24"/>
    <n v="6"/>
    <s v="Se repite 6 veces en Tradiciones Andinas"/>
    <s v="Tradiciones Andinas-T.A  Ajo pasta 7.5oz x 24-40.82"/>
    <n v="5"/>
    <s v="Se repite 5 veces el precio de 40.82"/>
    <s v="El producto T.A  Ajo pasta 7.5oz x 24 Se repite 6 veces en Tradiciones Andinas, Se repite 5 veces el precio de 40.82"/>
  </r>
  <r>
    <x v="3"/>
    <x v="6"/>
    <s v="Bill"/>
    <s v="487860"/>
    <x v="256"/>
    <s v="T.A  Ajo pasta 7.5oz x 24 fraco vidrio P00123"/>
    <n v="2"/>
    <n v="40.82"/>
    <n v="81.64"/>
    <n v="74958.2"/>
    <n v="6"/>
    <s v="Se repite 6 veces"/>
    <s v="Tradiciones Andinas-T.A  Ajo pasta 7.5oz x 24"/>
    <n v="6"/>
    <s v="Se repite 6 veces en Tradiciones Andinas"/>
    <s v="Tradiciones Andinas-T.A  Ajo pasta 7.5oz x 24-40.82"/>
    <n v="5"/>
    <s v="Se repite 5 veces el precio de 40.82"/>
    <s v="El producto T.A  Ajo pasta 7.5oz x 24 Se repite 6 veces en Tradiciones Andinas, Se repite 5 veces el precio de 40.82"/>
  </r>
  <r>
    <x v="3"/>
    <x v="32"/>
    <s v="Bill"/>
    <s v="491332"/>
    <x v="256"/>
    <s v="T.A  Ajo pasta 7.5oz x 24 fraco vidrio P00123"/>
    <n v="1"/>
    <n v="40.82"/>
    <n v="40.82"/>
    <n v="93207.449999999939"/>
    <n v="6"/>
    <s v="Se repite 6 veces"/>
    <s v="Tradiciones Andinas-T.A  Ajo pasta 7.5oz x 24"/>
    <n v="6"/>
    <s v="Se repite 6 veces en Tradiciones Andinas"/>
    <s v="Tradiciones Andinas-T.A  Ajo pasta 7.5oz x 24-40.82"/>
    <n v="5"/>
    <s v="Se repite 5 veces el precio de 40.82"/>
    <s v="El producto T.A  Ajo pasta 7.5oz x 24 Se repite 6 veces en Tradiciones Andinas, Se repite 5 veces el precio de 40.82"/>
  </r>
  <r>
    <x v="3"/>
    <x v="7"/>
    <s v="Bill"/>
    <s v="492743"/>
    <x v="256"/>
    <s v="T.A  Ajo pasta 7.5oz x 24 fraco vidrio P00123"/>
    <n v="1"/>
    <n v="40.82"/>
    <n v="40.82"/>
    <n v="105454.91999999994"/>
    <n v="6"/>
    <s v="Se repite 6 veces"/>
    <s v="Tradiciones Andinas-T.A  Ajo pasta 7.5oz x 24"/>
    <n v="6"/>
    <s v="Se repite 6 veces en Tradiciones Andinas"/>
    <s v="Tradiciones Andinas-T.A  Ajo pasta 7.5oz x 24-40.82"/>
    <n v="5"/>
    <s v="Se repite 5 veces el precio de 40.82"/>
    <s v="El producto T.A  Ajo pasta 7.5oz x 24 Se repite 6 veces en Tradiciones Andinas, Se repite 5 veces el precio de 40.82"/>
  </r>
  <r>
    <x v="3"/>
    <x v="33"/>
    <s v="Bill"/>
    <s v="475144"/>
    <x v="257"/>
    <s v="T.A  Choclo Entero / Corn on the Cob 4 x 10"/>
    <n v="2"/>
    <n v="37"/>
    <n v="74"/>
    <n v="3175.2799999999997"/>
    <n v="6"/>
    <s v="Se repite 6 veces"/>
    <s v="Tradiciones Andinas-T.A  Choclo Entero / Corn on the Cob 4 x 10 FROZEN"/>
    <n v="6"/>
    <s v="Se repite 6 veces en Tradiciones Andinas"/>
    <s v="Tradiciones Andinas-T.A  Choclo Entero / Corn on the Cob 4 x 10 FROZEN-37"/>
    <n v="1"/>
    <s v="No se repite"/>
    <s v="El producto T.A  Choclo Entero / Corn on the Cob 4 x 10 FROZEN Se repite 6 veces en Tradiciones Andinas Una vez con el precio 37"/>
  </r>
  <r>
    <x v="3"/>
    <x v="9"/>
    <s v="Bill"/>
    <s v=""/>
    <x v="257"/>
    <s v="T.A  Choclo Entero / Corn on the Cob 4 x 10"/>
    <n v="3"/>
    <n v="35"/>
    <n v="105"/>
    <n v="8041.44"/>
    <n v="6"/>
    <s v="Se repite 6 veces"/>
    <s v="Tradiciones Andinas-T.A  Choclo Entero / Corn on the Cob 4 x 10 FROZEN"/>
    <n v="6"/>
    <s v="Se repite 6 veces en Tradiciones Andinas"/>
    <s v="Tradiciones Andinas-T.A  Choclo Entero / Corn on the Cob 4 x 10 FROZEN-35"/>
    <n v="1"/>
    <s v="No se repite"/>
    <s v="El producto T.A  Choclo Entero / Corn on the Cob 4 x 10 FROZEN Se repite 6 veces en Tradiciones Andinas Una vez con el precio 35"/>
  </r>
  <r>
    <x v="3"/>
    <x v="4"/>
    <s v="Bill"/>
    <s v="480295"/>
    <x v="257"/>
    <s v="TRADICIONES ANDINAS- PERU -  FROZEN -  Choclo Entero / Corn on the Cob -  10/4"/>
    <n v="4"/>
    <n v="37.450000000000003"/>
    <n v="149.80000000000001"/>
    <n v="43376.259999999995"/>
    <n v="6"/>
    <s v="Se repite 6 veces"/>
    <s v="Tradiciones Andinas-T.A  Choclo Entero / Corn on the Cob 4 x 10 FROZEN"/>
    <n v="6"/>
    <s v="Se repite 6 veces en Tradiciones Andinas"/>
    <s v="Tradiciones Andinas-T.A  Choclo Entero / Corn on the Cob 4 x 10 FROZEN-37.45"/>
    <n v="4"/>
    <s v="Se repite 4 veces el precio de 37.45"/>
    <s v="El producto T.A  Choclo Entero / Corn on the Cob 4 x 10 FROZEN Se repite 6 veces en Tradiciones Andinas, Se repite 4 veces el precio de 37.45"/>
  </r>
  <r>
    <x v="3"/>
    <x v="25"/>
    <s v="Bill"/>
    <s v="483292"/>
    <x v="257"/>
    <s v="TRADICIONES ANDINAS- PERU -  FROZEN -  Choclo Entero / Corn on the Cob -  10/4"/>
    <n v="8"/>
    <n v="37.450000000000003"/>
    <n v="299.60000000000002"/>
    <n v="66062.699999999968"/>
    <n v="6"/>
    <s v="Se repite 6 veces"/>
    <s v="Tradiciones Andinas-T.A  Choclo Entero / Corn on the Cob 4 x 10 FROZEN"/>
    <n v="6"/>
    <s v="Se repite 6 veces en Tradiciones Andinas"/>
    <s v="Tradiciones Andinas-T.A  Choclo Entero / Corn on the Cob 4 x 10 FROZEN-37.45"/>
    <n v="4"/>
    <s v="Se repite 4 veces el precio de 37.45"/>
    <s v="El producto T.A  Choclo Entero / Corn on the Cob 4 x 10 FROZEN Se repite 6 veces en Tradiciones Andinas, Se repite 4 veces el precio de 37.45"/>
  </r>
  <r>
    <x v="3"/>
    <x v="6"/>
    <s v="Bill"/>
    <s v="487860"/>
    <x v="257"/>
    <s v="TRADICIONES ANDINAS- PERU -  FROZEN -  Choclo Entero / Corn on the Cob -  10/4 - P00225"/>
    <n v="3"/>
    <n v="37.450000000000003"/>
    <n v="112.35"/>
    <n v="89357.389999999941"/>
    <n v="6"/>
    <s v="Se repite 6 veces"/>
    <s v="Tradiciones Andinas-T.A  Choclo Entero / Corn on the Cob 4 x 10 FROZEN"/>
    <n v="6"/>
    <s v="Se repite 6 veces en Tradiciones Andinas"/>
    <s v="Tradiciones Andinas-T.A  Choclo Entero / Corn on the Cob 4 x 10 FROZEN-37.45"/>
    <n v="4"/>
    <s v="Se repite 4 veces el precio de 37.45"/>
    <s v="El producto T.A  Choclo Entero / Corn on the Cob 4 x 10 FROZEN Se repite 6 veces en Tradiciones Andinas, Se repite 4 veces el precio de 37.45"/>
  </r>
  <r>
    <x v="3"/>
    <x v="7"/>
    <s v="Bill"/>
    <s v="492743"/>
    <x v="257"/>
    <s v="TRADICIONES ANDINAS- PERU -  FROZEN -  Choclo Entero / Corn on the Cob -  10/4 - P00225"/>
    <n v="10"/>
    <n v="37.450000000000003"/>
    <n v="374.5"/>
    <n v="115740.53999999988"/>
    <n v="6"/>
    <s v="Se repite 6 veces"/>
    <s v="Tradiciones Andinas-T.A  Choclo Entero / Corn on the Cob 4 x 10 FROZEN"/>
    <n v="6"/>
    <s v="Se repite 6 veces en Tradiciones Andinas"/>
    <s v="Tradiciones Andinas-T.A  Choclo Entero / Corn on the Cob 4 x 10 FROZEN-37.45"/>
    <n v="4"/>
    <s v="Se repite 4 veces el precio de 37.45"/>
    <s v="El producto T.A  Choclo Entero / Corn on the Cob 4 x 10 FROZEN Se repite 6 veces en Tradiciones Andinas, Se repite 4 veces el precio de 37.45"/>
  </r>
  <r>
    <x v="3"/>
    <x v="33"/>
    <s v="Bill"/>
    <s v="475144"/>
    <x v="258"/>
    <s v="Aceituna Botija /Alfonso Olives"/>
    <n v="3"/>
    <n v="37.08"/>
    <n v="111.24"/>
    <n v="755.28000000000009"/>
    <n v="8"/>
    <s v="Se repite 8 veces"/>
    <s v="Tradiciones Andinas-T.A Aceituna Botija /Alfonso Olives con pepa 20oz x 12"/>
    <n v="8"/>
    <s v="Se repite 8 veces en Tradiciones Andinas"/>
    <s v="Tradiciones Andinas-T.A Aceituna Botija /Alfonso Olives con pepa 20oz x 12-37.08"/>
    <n v="2"/>
    <s v="Se repite 2 veces el precio de 37.08"/>
    <s v="El producto T.A Aceituna Botija /Alfonso Olives con pepa 20oz x 12 Se repite 8 veces en Tradiciones Andinas, Se repite 2 veces el precio de 37.08"/>
  </r>
  <r>
    <x v="3"/>
    <x v="10"/>
    <s v="Bill"/>
    <s v="476974"/>
    <x v="258"/>
    <s v="Aceituna Botija /Alfonso Olives"/>
    <n v="6"/>
    <n v="37.08"/>
    <n v="222.48"/>
    <n v="10221.119999999997"/>
    <n v="8"/>
    <s v="Se repite 8 veces"/>
    <s v="Tradiciones Andinas-T.A Aceituna Botija /Alfonso Olives con pepa 20oz x 12"/>
    <n v="8"/>
    <s v="Se repite 8 veces en Tradiciones Andinas"/>
    <s v="Tradiciones Andinas-T.A Aceituna Botija /Alfonso Olives con pepa 20oz x 12-37.08"/>
    <n v="2"/>
    <s v="Se repite 2 veces el precio de 37.08"/>
    <s v="El producto T.A Aceituna Botija /Alfonso Olives con pepa 20oz x 12 Se repite 8 veces en Tradiciones Andinas, Se repite 2 veces el precio de 37.08"/>
  </r>
  <r>
    <x v="3"/>
    <x v="11"/>
    <s v="Bill"/>
    <s v="478734"/>
    <x v="258"/>
    <s v="TRADICIONES ANDINAS - PERU -  VIDRIO -  Aceituna Botija /Alfonso Olives -  12 / 20oz - P00140"/>
    <n v="10"/>
    <n v="39.68"/>
    <n v="396.8"/>
    <n v="25378.669999999995"/>
    <n v="8"/>
    <s v="Se repite 8 veces"/>
    <s v="Tradiciones Andinas-T.A Aceituna Botija /Alfonso Olives con pepa 20oz x 12"/>
    <n v="8"/>
    <s v="Se repite 8 veces en Tradiciones Andinas"/>
    <s v="Tradiciones Andinas-T.A Aceituna Botija /Alfonso Olives con pepa 20oz x 12-39.68"/>
    <n v="6"/>
    <s v="Se repite 6 veces el precio de 39.68"/>
    <s v="El producto T.A Aceituna Botija /Alfonso Olives con pepa 20oz x 12 Se repite 8 veces en Tradiciones Andinas, Se repite 6 veces el precio de 39.68"/>
  </r>
  <r>
    <x v="3"/>
    <x v="4"/>
    <s v="Bill"/>
    <s v="480295"/>
    <x v="258"/>
    <s v="TRADICIONES ANDINAS - PERU -  VIDRIO -  Aceituna Botija /Alfonso Olives -  12 / 20oz - P00140"/>
    <n v="15"/>
    <n v="39.68"/>
    <n v="595.20000000000005"/>
    <n v="35701.51"/>
    <n v="8"/>
    <s v="Se repite 8 veces"/>
    <s v="Tradiciones Andinas-T.A Aceituna Botija /Alfonso Olives con pepa 20oz x 12"/>
    <n v="8"/>
    <s v="Se repite 8 veces en Tradiciones Andinas"/>
    <s v="Tradiciones Andinas-T.A Aceituna Botija /Alfonso Olives con pepa 20oz x 12-39.68"/>
    <n v="6"/>
    <s v="Se repite 6 veces el precio de 39.68"/>
    <s v="El producto T.A Aceituna Botija /Alfonso Olives con pepa 20oz x 12 Se repite 8 veces en Tradiciones Andinas, Se repite 6 veces el precio de 39.68"/>
  </r>
  <r>
    <x v="3"/>
    <x v="5"/>
    <s v="Bill"/>
    <s v="482005"/>
    <x v="258"/>
    <s v="TRADICIONES ANDINAS - PERU -  VIDRIO -  Aceituna Botija /Alfonso Olives -  12 / 20oz - P00140"/>
    <n v="20"/>
    <n v="39.68"/>
    <n v="793.6"/>
    <n v="47587.549999999974"/>
    <n v="8"/>
    <s v="Se repite 8 veces"/>
    <s v="Tradiciones Andinas-T.A Aceituna Botija /Alfonso Olives con pepa 20oz x 12"/>
    <n v="8"/>
    <s v="Se repite 8 veces en Tradiciones Andinas"/>
    <s v="Tradiciones Andinas-T.A Aceituna Botija /Alfonso Olives con pepa 20oz x 12-39.68"/>
    <n v="6"/>
    <s v="Se repite 6 veces el precio de 39.68"/>
    <s v="El producto T.A Aceituna Botija /Alfonso Olives con pepa 20oz x 12 Se repite 8 veces en Tradiciones Andinas, Se repite 6 veces el precio de 39.68"/>
  </r>
  <r>
    <x v="3"/>
    <x v="13"/>
    <s v="Bill"/>
    <s v="485230"/>
    <x v="258"/>
    <s v="TRADICIONES ANDINAS - PERU -  VIDRIO -  Aceituna Botija /Alfonso Olives -  12 / 20oz - P00140"/>
    <n v="8"/>
    <n v="39.68"/>
    <n v="317.44"/>
    <n v="68413.960000000006"/>
    <n v="8"/>
    <s v="Se repite 8 veces"/>
    <s v="Tradiciones Andinas-T.A Aceituna Botija /Alfonso Olives con pepa 20oz x 12"/>
    <n v="8"/>
    <s v="Se repite 8 veces en Tradiciones Andinas"/>
    <s v="Tradiciones Andinas-T.A Aceituna Botija /Alfonso Olives con pepa 20oz x 12-39.68"/>
    <n v="6"/>
    <s v="Se repite 6 veces el precio de 39.68"/>
    <s v="El producto T.A Aceituna Botija /Alfonso Olives con pepa 20oz x 12 Se repite 8 veces en Tradiciones Andinas, Se repite 6 veces el precio de 39.68"/>
  </r>
  <r>
    <x v="3"/>
    <x v="6"/>
    <s v="Bill"/>
    <s v="487860"/>
    <x v="258"/>
    <s v="TRADICIONES ANDINAS - PERU -  VIDRIO -  Aceituna Botija /Alfonso Olives -  12 / 20oz - P00140"/>
    <n v="25"/>
    <n v="39.68"/>
    <n v="992"/>
    <n v="76728.739999999991"/>
    <n v="8"/>
    <s v="Se repite 8 veces"/>
    <s v="Tradiciones Andinas-T.A Aceituna Botija /Alfonso Olives con pepa 20oz x 12"/>
    <n v="8"/>
    <s v="Se repite 8 veces en Tradiciones Andinas"/>
    <s v="Tradiciones Andinas-T.A Aceituna Botija /Alfonso Olives con pepa 20oz x 12-39.68"/>
    <n v="6"/>
    <s v="Se repite 6 veces el precio de 39.68"/>
    <s v="El producto T.A Aceituna Botija /Alfonso Olives con pepa 20oz x 12 Se repite 8 veces en Tradiciones Andinas, Se repite 6 veces el precio de 39.68"/>
  </r>
  <r>
    <x v="3"/>
    <x v="14"/>
    <s v="Bill"/>
    <s v="493132"/>
    <x v="258"/>
    <s v="TRADICIONES ANDINAS - PERU -  VIDRIO -  Aceituna Botija /Alfonso Olives -  12 / 20oz - P00140"/>
    <n v="10"/>
    <n v="39.68"/>
    <n v="396.8"/>
    <n v="117040.33999999988"/>
    <n v="8"/>
    <s v="Se repite 8 veces"/>
    <s v="Tradiciones Andinas-T.A Aceituna Botija /Alfonso Olives con pepa 20oz x 12"/>
    <n v="8"/>
    <s v="Se repite 8 veces en Tradiciones Andinas"/>
    <s v="Tradiciones Andinas-T.A Aceituna Botija /Alfonso Olives con pepa 20oz x 12-39.68"/>
    <n v="6"/>
    <s v="Se repite 6 veces el precio de 39.68"/>
    <s v="El producto T.A Aceituna Botija /Alfonso Olives con pepa 20oz x 12 Se repite 8 veces en Tradiciones Andinas, Se repite 6 veces el precio de 39.68"/>
  </r>
  <r>
    <x v="3"/>
    <x v="10"/>
    <s v="Bill"/>
    <s v="476974"/>
    <x v="259"/>
    <s v="Aceituna Botija sin Pepa /Pitted Alfonso Olives"/>
    <n v="4"/>
    <n v="37.08"/>
    <n v="148.32"/>
    <n v="10369.439999999997"/>
    <n v="4"/>
    <s v="Se repite 4 veces"/>
    <s v="Tradiciones Andinas-T.A Aceituna Botija sin Pepa /Pitted Alfonso Olives 20oz x 12"/>
    <n v="4"/>
    <s v="Se repite 4 veces en Tradiciones Andinas"/>
    <s v="Tradiciones Andinas-T.A Aceituna Botija sin Pepa /Pitted Alfonso Olives 20oz x 12-37.08"/>
    <n v="1"/>
    <s v="No se repite"/>
    <s v="El producto T.A Aceituna Botija sin Pepa /Pitted Alfonso Olives 20oz x 12 Se repite 4 veces en Tradiciones Andinas Una vez con el precio 37.08"/>
  </r>
  <r>
    <x v="3"/>
    <x v="4"/>
    <s v="Bill"/>
    <s v="480295"/>
    <x v="259"/>
    <s v="TRADICIONES ANDINAS - PERU -  VIDRIO -  Aceituna Botija sin Pepa /Pitted Alfonso Olives -  12 / 20oz - P0287"/>
    <n v="2"/>
    <n v="39.68"/>
    <n v="79.36"/>
    <n v="35780.870000000003"/>
    <n v="4"/>
    <s v="Se repite 4 veces"/>
    <s v="Tradiciones Andinas-T.A Aceituna Botija sin Pepa /Pitted Alfonso Olives 20oz x 12"/>
    <n v="4"/>
    <s v="Se repite 4 veces en Tradiciones Andinas"/>
    <s v="Tradiciones Andinas-T.A Aceituna Botija sin Pepa /Pitted Alfonso Olives 20oz x 12-39.68"/>
    <n v="3"/>
    <s v="Se repite 3 veces el precio de 39.68"/>
    <s v="El producto T.A Aceituna Botija sin Pepa /Pitted Alfonso Olives 20oz x 12 Se repite 4 veces en Tradiciones Andinas, Se repite 3 veces el precio de 39.68"/>
  </r>
  <r>
    <x v="3"/>
    <x v="45"/>
    <s v="Bill"/>
    <s v="480888"/>
    <x v="259"/>
    <s v="TRADICIONES ANDINAS - PERU -  VIDRIO -  Aceituna Botija sin Pepa /Pitted Alfonso Olives -  12 / 20oz - P0287"/>
    <n v="2"/>
    <n v="39.68"/>
    <n v="79.36"/>
    <n v="45704.30999999999"/>
    <n v="4"/>
    <s v="Se repite 4 veces"/>
    <s v="Tradiciones Andinas-T.A Aceituna Botija sin Pepa /Pitted Alfonso Olives 20oz x 12"/>
    <n v="4"/>
    <s v="Se repite 4 veces en Tradiciones Andinas"/>
    <s v="Tradiciones Andinas-T.A Aceituna Botija sin Pepa /Pitted Alfonso Olives 20oz x 12-39.68"/>
    <n v="3"/>
    <s v="Se repite 3 veces el precio de 39.68"/>
    <s v="El producto T.A Aceituna Botija sin Pepa /Pitted Alfonso Olives 20oz x 12 Se repite 4 veces en Tradiciones Andinas, Se repite 3 veces el precio de 39.68"/>
  </r>
  <r>
    <x v="3"/>
    <x v="7"/>
    <s v="Bill"/>
    <s v="492743"/>
    <x v="259"/>
    <s v="TRADICIONES ANDINAS - PERU -  VIDRIO -  Aceituna Botija sin Pepa /Pitted Alfonso Olives -  12 / 20oz - P0287"/>
    <n v="5"/>
    <n v="39.68"/>
    <n v="198.4"/>
    <n v="105884.67999999993"/>
    <n v="4"/>
    <s v="Se repite 4 veces"/>
    <s v="Tradiciones Andinas-T.A Aceituna Botija sin Pepa /Pitted Alfonso Olives 20oz x 12"/>
    <n v="4"/>
    <s v="Se repite 4 veces en Tradiciones Andinas"/>
    <s v="Tradiciones Andinas-T.A Aceituna Botija sin Pepa /Pitted Alfonso Olives 20oz x 12-39.68"/>
    <n v="3"/>
    <s v="Se repite 3 veces el precio de 39.68"/>
    <s v="El producto T.A Aceituna Botija sin Pepa /Pitted Alfonso Olives 20oz x 12 Se repite 4 veces en Tradiciones Andinas, Se repite 3 veces el precio de 39.68"/>
  </r>
  <r>
    <x v="3"/>
    <x v="9"/>
    <s v="Bill"/>
    <s v=""/>
    <x v="260"/>
    <s v="Achocha / Caigua"/>
    <n v="2"/>
    <n v="27.48"/>
    <n v="54.96"/>
    <n v="8146.5599999999995"/>
    <n v="6"/>
    <s v="Se repite 6 veces"/>
    <s v="Tradiciones Andinas-T.A Achocha / Caigua 16oz x 12 FROZEN"/>
    <n v="6"/>
    <s v="Se repite 6 veces en Tradiciones Andinas"/>
    <s v="Tradiciones Andinas-T.A Achocha / Caigua 16oz x 12 FROZEN-27.48"/>
    <n v="2"/>
    <s v="Se repite 2 veces el precio de 27.48"/>
    <s v="El producto T.A Achocha / Caigua 16oz x 12 FROZEN Se repite 6 veces en Tradiciones Andinas, Se repite 2 veces el precio de 27.48"/>
  </r>
  <r>
    <x v="3"/>
    <x v="10"/>
    <s v="Bill"/>
    <s v="476974"/>
    <x v="260"/>
    <s v="Achocha / Caigua"/>
    <n v="2"/>
    <n v="27.48"/>
    <n v="54.96"/>
    <n v="23820.7"/>
    <n v="6"/>
    <s v="Se repite 6 veces"/>
    <s v="Tradiciones Andinas-T.A Achocha / Caigua 16oz x 12 FROZEN"/>
    <n v="6"/>
    <s v="Se repite 6 veces en Tradiciones Andinas"/>
    <s v="Tradiciones Andinas-T.A Achocha / Caigua 16oz x 12 FROZEN-27.48"/>
    <n v="2"/>
    <s v="Se repite 2 veces el precio de 27.48"/>
    <s v="El producto T.A Achocha / Caigua 16oz x 12 FROZEN Se repite 6 veces en Tradiciones Andinas, Se repite 2 veces el precio de 27.48"/>
  </r>
  <r>
    <x v="3"/>
    <x v="4"/>
    <s v="Bill"/>
    <s v="480295"/>
    <x v="260"/>
    <s v="TRADICIONES ANDINAS- ECUADOR -  FROZEN -  Achocha / Caigua  -  12 / 16oz - RE102"/>
    <n v="2"/>
    <n v="29.4"/>
    <n v="58.8"/>
    <n v="43703.46"/>
    <n v="6"/>
    <s v="Se repite 6 veces"/>
    <s v="Tradiciones Andinas-T.A Achocha / Caigua 16oz x 12 FROZEN"/>
    <n v="6"/>
    <s v="Se repite 6 veces en Tradiciones Andinas"/>
    <s v="Tradiciones Andinas-T.A Achocha / Caigua 16oz x 12 FROZEN-29.4"/>
    <n v="4"/>
    <s v="Se repite 4 veces el precio de 29.4"/>
    <s v="El producto T.A Achocha / Caigua 16oz x 12 FROZEN Se repite 6 veces en Tradiciones Andinas, Se repite 4 veces el precio de 29.4"/>
  </r>
  <r>
    <x v="3"/>
    <x v="25"/>
    <s v="Bill"/>
    <s v="483292"/>
    <x v="260"/>
    <s v="TRADICIONES ANDINAS- ECUADOR -  FROZEN -  Achocha / Caigua  -  12 / 16oz - RE102"/>
    <n v="2"/>
    <n v="29.4"/>
    <n v="58.8"/>
    <n v="63785.739999999954"/>
    <n v="6"/>
    <s v="Se repite 6 veces"/>
    <s v="Tradiciones Andinas-T.A Achocha / Caigua 16oz x 12 FROZEN"/>
    <n v="6"/>
    <s v="Se repite 6 veces en Tradiciones Andinas"/>
    <s v="Tradiciones Andinas-T.A Achocha / Caigua 16oz x 12 FROZEN-29.4"/>
    <n v="4"/>
    <s v="Se repite 4 veces el precio de 29.4"/>
    <s v="El producto T.A Achocha / Caigua 16oz x 12 FROZEN Se repite 6 veces en Tradiciones Andinas, Se repite 4 veces el precio de 29.4"/>
  </r>
  <r>
    <x v="3"/>
    <x v="6"/>
    <s v="Bill"/>
    <s v="487860"/>
    <x v="260"/>
    <s v="TRADICIONES ANDINAS- ECUADOR -  FROZEN -  Achocha / Caigua  -  12 / 16oz - RE102"/>
    <n v="1"/>
    <n v="29.4"/>
    <n v="29.4"/>
    <n v="89712.54999999993"/>
    <n v="6"/>
    <s v="Se repite 6 veces"/>
    <s v="Tradiciones Andinas-T.A Achocha / Caigua 16oz x 12 FROZEN"/>
    <n v="6"/>
    <s v="Se repite 6 veces en Tradiciones Andinas"/>
    <s v="Tradiciones Andinas-T.A Achocha / Caigua 16oz x 12 FROZEN-29.4"/>
    <n v="4"/>
    <s v="Se repite 4 veces el precio de 29.4"/>
    <s v="El producto T.A Achocha / Caigua 16oz x 12 FROZEN Se repite 6 veces en Tradiciones Andinas, Se repite 4 veces el precio de 29.4"/>
  </r>
  <r>
    <x v="3"/>
    <x v="7"/>
    <s v="Bill"/>
    <s v="492743"/>
    <x v="260"/>
    <s v="TRADICIONES ANDINAS- ECUADOR -  FROZEN -  Achocha / Caigua  -  12 / 16oz - RE102"/>
    <n v="2"/>
    <n v="29.4"/>
    <n v="58.8"/>
    <n v="116382.97999999988"/>
    <n v="6"/>
    <s v="Se repite 6 veces"/>
    <s v="Tradiciones Andinas-T.A Achocha / Caigua 16oz x 12 FROZEN"/>
    <n v="6"/>
    <s v="Se repite 6 veces en Tradiciones Andinas"/>
    <s v="Tradiciones Andinas-T.A Achocha / Caigua 16oz x 12 FROZEN-29.4"/>
    <n v="4"/>
    <s v="Se repite 4 veces el precio de 29.4"/>
    <s v="El producto T.A Achocha / Caigua 16oz x 12 FROZEN Se repite 6 veces en Tradiciones Andinas, Se repite 4 veces el precio de 29.4"/>
  </r>
  <r>
    <x v="3"/>
    <x v="33"/>
    <s v="Bill"/>
    <s v="475144"/>
    <x v="261"/>
    <s v="Aji Amarillo Balde (4 baldes)"/>
    <n v="1"/>
    <n v="52"/>
    <n v="52"/>
    <n v="2541.3599999999997"/>
    <n v="4"/>
    <s v="Se repite 4 veces"/>
    <s v="Tradiciones Andinas-T.A Aji Amarillo Balde 7.5Lb"/>
    <n v="4"/>
    <s v="Se repite 4 veces en Tradiciones Andinas"/>
    <s v="Tradiciones Andinas-T.A Aji Amarillo Balde 7.5Lb-52"/>
    <n v="1"/>
    <s v="No se repite"/>
    <s v="El producto T.A Aji Amarillo Balde 7.5Lb Se repite 4 veces en Tradiciones Andinas Una vez con el precio 52"/>
  </r>
  <r>
    <x v="3"/>
    <x v="5"/>
    <s v="Bill"/>
    <s v="482005"/>
    <x v="261"/>
    <s v="Aji Amarillo Balde 7.5Lb"/>
    <n v="4"/>
    <n v="13.91"/>
    <n v="55.64"/>
    <n v="56125.699999999939"/>
    <n v="4"/>
    <s v="Se repite 4 veces"/>
    <s v="Tradiciones Andinas-T.A Aji Amarillo Balde 7.5Lb"/>
    <n v="4"/>
    <s v="Se repite 4 veces en Tradiciones Andinas"/>
    <s v="Tradiciones Andinas-T.A Aji Amarillo Balde 7.5Lb-13.91"/>
    <n v="3"/>
    <s v="Se repite 3 veces el precio de 13.91"/>
    <s v="El producto T.A Aji Amarillo Balde 7.5Lb Se repite 4 veces en Tradiciones Andinas, Se repite 3 veces el precio de 13.91"/>
  </r>
  <r>
    <x v="3"/>
    <x v="25"/>
    <s v="Bill"/>
    <s v="483292"/>
    <x v="261"/>
    <s v="TA- PERU -  GRANEL -  Aji Amarillo Balde 7.5Lbs"/>
    <n v="4"/>
    <n v="13.91"/>
    <n v="55.64"/>
    <n v="62459.659999999953"/>
    <n v="4"/>
    <s v="Se repite 4 veces"/>
    <s v="Tradiciones Andinas-T.A Aji Amarillo Balde 7.5Lb"/>
    <n v="4"/>
    <s v="Se repite 4 veces en Tradiciones Andinas"/>
    <s v="Tradiciones Andinas-T.A Aji Amarillo Balde 7.5Lb-13.91"/>
    <n v="3"/>
    <s v="Se repite 3 veces el precio de 13.91"/>
    <s v="El producto T.A Aji Amarillo Balde 7.5Lb Se repite 4 veces en Tradiciones Andinas, Se repite 3 veces el precio de 13.91"/>
  </r>
  <r>
    <x v="3"/>
    <x v="7"/>
    <s v="Bill"/>
    <s v="492743"/>
    <x v="261"/>
    <s v="TA- PERU -  GRANEL -  Aji Amarillo Balde 7.5Lbs"/>
    <n v="4"/>
    <n v="13.91"/>
    <n v="55.64"/>
    <n v="113123.41999999988"/>
    <n v="4"/>
    <s v="Se repite 4 veces"/>
    <s v="Tradiciones Andinas-T.A Aji Amarillo Balde 7.5Lb"/>
    <n v="4"/>
    <s v="Se repite 4 veces en Tradiciones Andinas"/>
    <s v="Tradiciones Andinas-T.A Aji Amarillo Balde 7.5Lb-13.91"/>
    <n v="3"/>
    <s v="Se repite 3 veces el precio de 13.91"/>
    <s v="El producto T.A Aji Amarillo Balde 7.5Lb Se repite 4 veces en Tradiciones Andinas, Se repite 3 veces el precio de 13.91"/>
  </r>
  <r>
    <x v="3"/>
    <x v="25"/>
    <s v="Bill"/>
    <s v="483292"/>
    <x v="262"/>
    <s v="Aji Amarillo con Huacatay / Yellow Hot Pepper With Black Min"/>
    <n v="2"/>
    <n v="30"/>
    <n v="60"/>
    <n v="63290.899999999951"/>
    <n v="3"/>
    <s v="Se repite 3 veces"/>
    <s v="Tradiciones Andinas-T.A Aji Amarillo con Huacatay 7.5oz x 24"/>
    <n v="3"/>
    <s v="Se repite 3 veces en Tradiciones Andinas"/>
    <s v="Tradiciones Andinas-T.A Aji Amarillo con Huacatay 7.5oz x 24-30"/>
    <n v="3"/>
    <s v="Se repite 3 veces el precio de 30"/>
    <s v="El producto T.A Aji Amarillo con Huacatay 7.5oz x 24 Se repite 3 veces en Tradiciones Andinas, Se repite 3 veces el precio de 30"/>
  </r>
  <r>
    <x v="3"/>
    <x v="13"/>
    <s v="Bill"/>
    <s v="485230"/>
    <x v="262"/>
    <s v="Aji Amarillo con Huacatay / Yellow Hot Pepper With Black Min"/>
    <n v="2"/>
    <n v="30"/>
    <n v="60"/>
    <n v="67682.180000000008"/>
    <n v="3"/>
    <s v="Se repite 3 veces"/>
    <s v="Tradiciones Andinas-T.A Aji Amarillo con Huacatay 7.5oz x 24"/>
    <n v="3"/>
    <s v="Se repite 3 veces en Tradiciones Andinas"/>
    <s v="Tradiciones Andinas-T.A Aji Amarillo con Huacatay 7.5oz x 24-30"/>
    <n v="3"/>
    <s v="Se repite 3 veces el precio de 30"/>
    <s v="El producto T.A Aji Amarillo con Huacatay 7.5oz x 24 Se repite 3 veces en Tradiciones Andinas, Se repite 3 veces el precio de 30"/>
  </r>
  <r>
    <x v="3"/>
    <x v="6"/>
    <s v="Bill"/>
    <s v="487860"/>
    <x v="262"/>
    <s v="Aji Amarillo con Huacatay / Yellow Hot Pepper With Black Min"/>
    <n v="2"/>
    <n v="30"/>
    <n v="60"/>
    <n v="75496.859999999986"/>
    <n v="3"/>
    <s v="Se repite 3 veces"/>
    <s v="Tradiciones Andinas-T.A Aji Amarillo con Huacatay 7.5oz x 24"/>
    <n v="3"/>
    <s v="Se repite 3 veces en Tradiciones Andinas"/>
    <s v="Tradiciones Andinas-T.A Aji Amarillo con Huacatay 7.5oz x 24-30"/>
    <n v="3"/>
    <s v="Se repite 3 veces el precio de 30"/>
    <s v="El producto T.A Aji Amarillo con Huacatay 7.5oz x 24 Se repite 3 veces en Tradiciones Andinas, Se repite 3 veces el precio de 30"/>
  </r>
  <r>
    <x v="3"/>
    <x v="11"/>
    <s v="Bill"/>
    <s v="478734"/>
    <x v="263"/>
    <s v="TRADICIONES ANDINAS - PERU -  ENLATADO Aji Amarillo en Lata /Whole Yellow Hot Pepper -  24 / 20oz - P00145"/>
    <n v="2"/>
    <n v="47.76"/>
    <n v="95.52"/>
    <n v="25538.189999999995"/>
    <n v="3"/>
    <s v="Se repite 3 veces"/>
    <s v="Tradiciones Andinas-T.A Aji Amarillo en Lata /Whole Yellow Hot Pepper"/>
    <n v="3"/>
    <s v="Se repite 3 veces en Tradiciones Andinas"/>
    <s v="Tradiciones Andinas-T.A Aji Amarillo en Lata /Whole Yellow Hot Pepper-47.76"/>
    <n v="1"/>
    <s v="No se repite"/>
    <s v="El producto T.A Aji Amarillo en Lata /Whole Yellow Hot Pepper Se repite 3 veces en Tradiciones Andinas Una vez con el precio 47.76"/>
  </r>
  <r>
    <x v="3"/>
    <x v="5"/>
    <s v="Bill"/>
    <s v="482005"/>
    <x v="263"/>
    <s v="TRADICIONES ANDINAS - PERU -  ENLATADO Aji Amarillo en Lata /Whole Yellow Hot Pepper -  24 / 20oz - P00145"/>
    <n v="3"/>
    <n v="51.1"/>
    <n v="153.30000000000001"/>
    <n v="48270.169999999976"/>
    <n v="3"/>
    <s v="Se repite 3 veces"/>
    <s v="Tradiciones Andinas-T.A Aji Amarillo en Lata /Whole Yellow Hot Pepper"/>
    <n v="3"/>
    <s v="Se repite 3 veces en Tradiciones Andinas"/>
    <s v="Tradiciones Andinas-T.A Aji Amarillo en Lata /Whole Yellow Hot Pepper-51.1"/>
    <n v="2"/>
    <s v="Se repite 2 veces el precio de 51.1"/>
    <s v="El producto T.A Aji Amarillo en Lata /Whole Yellow Hot Pepper Se repite 3 veces en Tradiciones Andinas, Se repite 2 veces el precio de 51.1"/>
  </r>
  <r>
    <x v="3"/>
    <x v="14"/>
    <s v="Bill"/>
    <s v="493132"/>
    <x v="263"/>
    <s v="TRADICIONES ANDINAS - PERU -  ENLATADO Aji Amarillo en Lata /Whole Yellow Hot Pepper -  24 / 20oz - P00145"/>
    <n v="1"/>
    <n v="51.1"/>
    <n v="51.1"/>
    <n v="117193.63999999988"/>
    <n v="3"/>
    <s v="Se repite 3 veces"/>
    <s v="Tradiciones Andinas-T.A Aji Amarillo en Lata /Whole Yellow Hot Pepper"/>
    <n v="3"/>
    <s v="Se repite 3 veces en Tradiciones Andinas"/>
    <s v="Tradiciones Andinas-T.A Aji Amarillo en Lata /Whole Yellow Hot Pepper-51.1"/>
    <n v="2"/>
    <s v="Se repite 2 veces el precio de 51.1"/>
    <s v="El producto T.A Aji Amarillo en Lata /Whole Yellow Hot Pepper Se repite 3 veces en Tradiciones Andinas, Se repite 2 veces el precio de 51.1"/>
  </r>
  <r>
    <x v="3"/>
    <x v="33"/>
    <s v="Bill"/>
    <s v="475144"/>
    <x v="264"/>
    <s v="Aji Amarillo / Yellow Hot Pepper"/>
    <n v="2"/>
    <n v="36"/>
    <n v="72"/>
    <n v="2844.8599999999997"/>
    <n v="7"/>
    <s v="Se repite 7 veces"/>
    <s v="Tradiciones Andinas-T.A Aji Amarillo FROZEN 16oz x 20"/>
    <n v="7"/>
    <s v="Se repite 7 veces en Tradiciones Andinas"/>
    <s v="Tradiciones Andinas-T.A Aji Amarillo FROZEN 16oz x 20-36"/>
    <n v="4"/>
    <s v="Se repite 4 veces el precio de 36"/>
    <s v="El producto T.A Aji Amarillo FROZEN 16oz x 20 Se repite 7 veces en Tradiciones Andinas, Se repite 4 veces el precio de 36"/>
  </r>
  <r>
    <x v="3"/>
    <x v="9"/>
    <s v="Bill"/>
    <s v=""/>
    <x v="264"/>
    <s v="Aji Amarillo / Yellow Hot Pepper"/>
    <n v="3"/>
    <n v="36"/>
    <n v="108"/>
    <n v="7449.44"/>
    <n v="7"/>
    <s v="Se repite 7 veces"/>
    <s v="Tradiciones Andinas-T.A Aji Amarillo FROZEN 16oz x 20"/>
    <n v="7"/>
    <s v="Se repite 7 veces en Tradiciones Andinas"/>
    <s v="Tradiciones Andinas-T.A Aji Amarillo FROZEN 16oz x 20-36"/>
    <n v="4"/>
    <s v="Se repite 4 veces el precio de 36"/>
    <s v="El producto T.A Aji Amarillo FROZEN 16oz x 20 Se repite 7 veces en Tradiciones Andinas, Se repite 4 veces el precio de 36"/>
  </r>
  <r>
    <x v="3"/>
    <x v="10"/>
    <s v="Bill"/>
    <s v="476974"/>
    <x v="264"/>
    <s v="Aji Amarillo / Yellow Hot Pepper"/>
    <n v="4"/>
    <n v="36"/>
    <n v="144"/>
    <n v="23104.74"/>
    <n v="7"/>
    <s v="Se repite 7 veces"/>
    <s v="Tradiciones Andinas-T.A Aji Amarillo FROZEN 16oz x 20"/>
    <n v="7"/>
    <s v="Se repite 7 veces en Tradiciones Andinas"/>
    <s v="Tradiciones Andinas-T.A Aji Amarillo FROZEN 16oz x 20-36"/>
    <n v="4"/>
    <s v="Se repite 4 veces el precio de 36"/>
    <s v="El producto T.A Aji Amarillo FROZEN 16oz x 20 Se repite 7 veces en Tradiciones Andinas, Se repite 4 veces el precio de 36"/>
  </r>
  <r>
    <x v="3"/>
    <x v="11"/>
    <s v="Bill"/>
    <s v="478734"/>
    <x v="264"/>
    <s v="Aji Amarillo / Yellow Hot Pepper"/>
    <n v="14"/>
    <n v="38.520000000000003"/>
    <n v="539.28"/>
    <n v="34084.640000000007"/>
    <n v="7"/>
    <s v="Se repite 7 veces"/>
    <s v="Tradiciones Andinas-T.A Aji Amarillo FROZEN 16oz x 20"/>
    <n v="7"/>
    <s v="Se repite 7 veces en Tradiciones Andinas"/>
    <s v="Tradiciones Andinas-T.A Aji Amarillo FROZEN 16oz x 20-38.52"/>
    <n v="3"/>
    <s v="Se repite 3 veces el precio de 38.52"/>
    <s v="El producto T.A Aji Amarillo FROZEN 16oz x 20 Se repite 7 veces en Tradiciones Andinas, Se repite 3 veces el precio de 38.52"/>
  </r>
  <r>
    <x v="3"/>
    <x v="4"/>
    <s v="Bill"/>
    <s v="480295"/>
    <x v="264"/>
    <s v="Aji Amarillo / Yellow Hot Pepper"/>
    <n v="16"/>
    <n v="38.520000000000003"/>
    <n v="616.32000000000005"/>
    <n v="42558.819999999992"/>
    <n v="7"/>
    <s v="Se repite 7 veces"/>
    <s v="Tradiciones Andinas-T.A Aji Amarillo FROZEN 16oz x 20"/>
    <n v="7"/>
    <s v="Se repite 7 veces en Tradiciones Andinas"/>
    <s v="Tradiciones Andinas-T.A Aji Amarillo FROZEN 16oz x 20-38.52"/>
    <n v="3"/>
    <s v="Se repite 3 veces el precio de 38.52"/>
    <s v="El producto T.A Aji Amarillo FROZEN 16oz x 20 Se repite 7 veces en Tradiciones Andinas, Se repite 3 veces el precio de 38.52"/>
  </r>
  <r>
    <x v="3"/>
    <x v="25"/>
    <s v="Bill"/>
    <s v="483292"/>
    <x v="264"/>
    <s v="Aji Amarillo / Yellow Hot Pepper"/>
    <n v="40"/>
    <n v="38.520000000000003"/>
    <n v="1540.8"/>
    <n v="65326.539999999957"/>
    <n v="7"/>
    <s v="Se repite 7 veces"/>
    <s v="Tradiciones Andinas-T.A Aji Amarillo FROZEN 16oz x 20"/>
    <n v="7"/>
    <s v="Se repite 7 veces en Tradiciones Andinas"/>
    <s v="Tradiciones Andinas-T.A Aji Amarillo FROZEN 16oz x 20-38.52"/>
    <n v="3"/>
    <s v="Se repite 3 veces el precio de 38.52"/>
    <s v="El producto T.A Aji Amarillo FROZEN 16oz x 20 Se repite 7 veces en Tradiciones Andinas, Se repite 3 veces el precio de 38.52"/>
  </r>
  <r>
    <x v="3"/>
    <x v="6"/>
    <s v="Bill"/>
    <s v="487860"/>
    <x v="264"/>
    <s v="Aji Amarillo / Yellow Hot Pepper"/>
    <n v="40"/>
    <n v="36"/>
    <n v="1440"/>
    <n v="88383.41999999994"/>
    <n v="7"/>
    <s v="Se repite 7 veces"/>
    <s v="Tradiciones Andinas-T.A Aji Amarillo FROZEN 16oz x 20"/>
    <n v="7"/>
    <s v="Se repite 7 veces en Tradiciones Andinas"/>
    <s v="Tradiciones Andinas-T.A Aji Amarillo FROZEN 16oz x 20-36"/>
    <n v="4"/>
    <s v="Se repite 4 veces el precio de 36"/>
    <s v="El producto T.A Aji Amarillo FROZEN 16oz x 20 Se repite 7 veces en Tradiciones Andinas, Se repite 4 veces el precio de 36"/>
  </r>
  <r>
    <x v="3"/>
    <x v="33"/>
    <s v="Bill"/>
    <s v="475144"/>
    <x v="265"/>
    <s v="Aji Amarillo Pasta /Yellow Pepper Paste"/>
    <n v="2"/>
    <n v="19.8"/>
    <n v="39.6"/>
    <n v="381.12000000000006"/>
    <n v="3"/>
    <s v="Se repite 3 veces"/>
    <s v="Tradiciones Andinas-T.A Aji Amarillo Pasta 10.5oz X 12"/>
    <n v="3"/>
    <s v="Se repite 3 veces en Tradiciones Andinas"/>
    <s v="Tradiciones Andinas-T.A Aji Amarillo Pasta 10.5oz X 12-19.8"/>
    <n v="3"/>
    <s v="Se repite 3 veces el precio de 19.8"/>
    <s v="El producto T.A Aji Amarillo Pasta 10.5oz X 12 Se repite 3 veces en Tradiciones Andinas, Se repite 3 veces el precio de 19.8"/>
  </r>
  <r>
    <x v="3"/>
    <x v="9"/>
    <s v="Bill"/>
    <s v=""/>
    <x v="265"/>
    <s v="Aji Amarillo Pasta /Yellow Pepper Paste"/>
    <n v="2"/>
    <n v="19.8"/>
    <n v="39.6"/>
    <n v="3727.6399999999994"/>
    <n v="3"/>
    <s v="Se repite 3 veces"/>
    <s v="Tradiciones Andinas-T.A Aji Amarillo Pasta 10.5oz X 12"/>
    <n v="3"/>
    <s v="Se repite 3 veces en Tradiciones Andinas"/>
    <s v="Tradiciones Andinas-T.A Aji Amarillo Pasta 10.5oz X 12-19.8"/>
    <n v="3"/>
    <s v="Se repite 3 veces el precio de 19.8"/>
    <s v="El producto T.A Aji Amarillo Pasta 10.5oz X 12 Se repite 3 veces en Tradiciones Andinas, Se repite 3 veces el precio de 19.8"/>
  </r>
  <r>
    <x v="3"/>
    <x v="10"/>
    <s v="Bill"/>
    <s v="476974"/>
    <x v="265"/>
    <s v="Aji Amarillo Pasta /Yellow Pepper Paste"/>
    <n v="6"/>
    <n v="19.8"/>
    <n v="118.8"/>
    <n v="9457.6799999999967"/>
    <n v="3"/>
    <s v="Se repite 3 veces"/>
    <s v="Tradiciones Andinas-T.A Aji Amarillo Pasta 10.5oz X 12"/>
    <n v="3"/>
    <s v="Se repite 3 veces en Tradiciones Andinas"/>
    <s v="Tradiciones Andinas-T.A Aji Amarillo Pasta 10.5oz X 12-19.8"/>
    <n v="3"/>
    <s v="Se repite 3 veces el precio de 19.8"/>
    <s v="El producto T.A Aji Amarillo Pasta 10.5oz X 12 Se repite 3 veces en Tradiciones Andinas, Se repite 3 veces el precio de 19.8"/>
  </r>
  <r>
    <x v="3"/>
    <x v="33"/>
    <s v="Bill"/>
    <s v="475144"/>
    <x v="266"/>
    <s v="Tradiciones Andinas Aji Amarillo Pasta 15oz X 12 fco de vidrio"/>
    <n v="2"/>
    <n v="23.88"/>
    <n v="47.76"/>
    <n v="538.92000000000007"/>
    <n v="7"/>
    <s v="Se repite 7 veces"/>
    <s v="Tradiciones Andinas-T.A Aji Amarillo Pasta 15oz X 12"/>
    <n v="7"/>
    <s v="Se repite 7 veces en Tradiciones Andinas"/>
    <s v="Tradiciones Andinas-T.A Aji Amarillo Pasta 15oz X 12-23.88"/>
    <n v="3"/>
    <s v="Se repite 3 veces el precio de 23.88"/>
    <s v="El producto T.A Aji Amarillo Pasta 15oz X 12 Se repite 7 veces en Tradiciones Andinas, Se repite 3 veces el precio de 23.88"/>
  </r>
  <r>
    <x v="3"/>
    <x v="9"/>
    <s v="Bill"/>
    <s v=""/>
    <x v="266"/>
    <s v="Tradiciones Andinas Aji Amarillo Pasta 15oz X 12 fco de vidrio"/>
    <n v="4"/>
    <n v="23.88"/>
    <n v="95.52"/>
    <n v="3909.3199999999997"/>
    <n v="7"/>
    <s v="Se repite 7 veces"/>
    <s v="Tradiciones Andinas-T.A Aji Amarillo Pasta 15oz X 12"/>
    <n v="7"/>
    <s v="Se repite 7 veces en Tradiciones Andinas"/>
    <s v="Tradiciones Andinas-T.A Aji Amarillo Pasta 15oz X 12-23.88"/>
    <n v="3"/>
    <s v="Se repite 3 veces el precio de 23.88"/>
    <s v="El producto T.A Aji Amarillo Pasta 15oz X 12 Se repite 7 veces en Tradiciones Andinas, Se repite 3 veces el precio de 23.88"/>
  </r>
  <r>
    <x v="3"/>
    <x v="10"/>
    <s v="Bill"/>
    <s v="476974"/>
    <x v="266"/>
    <s v="Tradiciones Andinas Aji Amarillo Pasta 15oz X 12 fco de vidrio"/>
    <n v="6"/>
    <n v="23.88"/>
    <n v="143.28"/>
    <n v="24082.78"/>
    <n v="7"/>
    <s v="Se repite 7 veces"/>
    <s v="Tradiciones Andinas-T.A Aji Amarillo Pasta 15oz X 12"/>
    <n v="7"/>
    <s v="Se repite 7 veces en Tradiciones Andinas"/>
    <s v="Tradiciones Andinas-T.A Aji Amarillo Pasta 15oz X 12-23.88"/>
    <n v="3"/>
    <s v="Se repite 3 veces el precio de 23.88"/>
    <s v="El producto T.A Aji Amarillo Pasta 15oz X 12 Se repite 7 veces en Tradiciones Andinas, Se repite 3 veces el precio de 23.88"/>
  </r>
  <r>
    <x v="3"/>
    <x v="11"/>
    <s v="Bill"/>
    <s v="478734"/>
    <x v="266"/>
    <s v="Tradiciones Andinas Aji Amarillo Pasta 15oz X 12 fco de vidrio P00136"/>
    <n v="2"/>
    <n v="25.55"/>
    <n v="51.1"/>
    <n v="24895.199999999997"/>
    <n v="7"/>
    <s v="Se repite 7 veces"/>
    <s v="Tradiciones Andinas-T.A Aji Amarillo Pasta 15oz X 12"/>
    <n v="7"/>
    <s v="Se repite 7 veces en Tradiciones Andinas"/>
    <s v="Tradiciones Andinas-T.A Aji Amarillo Pasta 15oz X 12-25.55"/>
    <n v="1"/>
    <s v="No se repite"/>
    <s v="El producto T.A Aji Amarillo Pasta 15oz X 12 Se repite 7 veces en Tradiciones Andinas Una vez con el precio 25.55"/>
  </r>
  <r>
    <x v="3"/>
    <x v="13"/>
    <s v="Bill"/>
    <s v="485230"/>
    <x v="266"/>
    <s v="Tradiciones Andinas Aji Amarillo Pasta 15oz X 12 fco de vidrio P00136"/>
    <n v="8"/>
    <n v="25.54"/>
    <n v="204.32"/>
    <n v="67937.580000000016"/>
    <n v="7"/>
    <s v="Se repite 7 veces"/>
    <s v="Tradiciones Andinas-T.A Aji Amarillo Pasta 15oz X 12"/>
    <n v="7"/>
    <s v="Se repite 7 veces en Tradiciones Andinas"/>
    <s v="Tradiciones Andinas-T.A Aji Amarillo Pasta 15oz X 12-25.54"/>
    <n v="3"/>
    <s v="Se repite 3 veces el precio de 25.54"/>
    <s v="El producto T.A Aji Amarillo Pasta 15oz X 12 Se repite 7 veces en Tradiciones Andinas, Se repite 3 veces el precio de 25.54"/>
  </r>
  <r>
    <x v="3"/>
    <x v="27"/>
    <s v="Bill"/>
    <s v="491180"/>
    <x v="266"/>
    <s v="Tradiciones Andinas Aji Amarillo Pasta 15oz X 12 fco de vidrio P00136"/>
    <n v="2"/>
    <n v="25.54"/>
    <n v="51.08"/>
    <n v="100501.06999999993"/>
    <n v="7"/>
    <s v="Se repite 7 veces"/>
    <s v="Tradiciones Andinas-T.A Aji Amarillo Pasta 15oz X 12"/>
    <n v="7"/>
    <s v="Se repite 7 veces en Tradiciones Andinas"/>
    <s v="Tradiciones Andinas-T.A Aji Amarillo Pasta 15oz X 12-25.54"/>
    <n v="3"/>
    <s v="Se repite 3 veces el precio de 25.54"/>
    <s v="El producto T.A Aji Amarillo Pasta 15oz X 12 Se repite 7 veces en Tradiciones Andinas, Se repite 3 veces el precio de 25.54"/>
  </r>
  <r>
    <x v="3"/>
    <x v="7"/>
    <s v="Bill"/>
    <s v="492743"/>
    <x v="266"/>
    <s v="Tradiciones Andinas Aji Amarillo Pasta 15oz X 12 fco de vidrio P00136"/>
    <n v="2"/>
    <n v="25.54"/>
    <n v="51.08"/>
    <n v="105632.59999999995"/>
    <n v="7"/>
    <s v="Se repite 7 veces"/>
    <s v="Tradiciones Andinas-T.A Aji Amarillo Pasta 15oz X 12"/>
    <n v="7"/>
    <s v="Se repite 7 veces en Tradiciones Andinas"/>
    <s v="Tradiciones Andinas-T.A Aji Amarillo Pasta 15oz X 12-25.54"/>
    <n v="3"/>
    <s v="Se repite 3 veces el precio de 25.54"/>
    <s v="El producto T.A Aji Amarillo Pasta 15oz X 12 Se repite 7 veces en Tradiciones Andinas, Se repite 3 veces el precio de 25.54"/>
  </r>
  <r>
    <x v="3"/>
    <x v="33"/>
    <s v="Bill"/>
    <s v="475144"/>
    <x v="267"/>
    <s v="T.A T.A Aji Amarillo Pasta 7.5oz x 24 fco de vidrio"/>
    <n v="2"/>
    <n v="28.8"/>
    <n v="57.6"/>
    <n v="115.2"/>
    <n v="7"/>
    <s v="Se repite 7 veces"/>
    <s v="Tradiciones Andinas-T.A Aji Amarillo Pasta 7.5oz x 24"/>
    <n v="7"/>
    <s v="Se repite 7 veces en Tradiciones Andinas"/>
    <s v="Tradiciones Andinas-T.A Aji Amarillo Pasta 7.5oz x 24-28.8"/>
    <n v="3"/>
    <s v="Se repite 3 veces el precio de 28.8"/>
    <s v="El producto T.A Aji Amarillo Pasta 7.5oz x 24 Se repite 7 veces en Tradiciones Andinas, Se repite 3 veces el precio de 28.8"/>
  </r>
  <r>
    <x v="3"/>
    <x v="9"/>
    <s v="Bill"/>
    <s v=""/>
    <x v="267"/>
    <s v="T.A T.A Aji Amarillo Pasta 7.5oz x 24 fco de vidrio"/>
    <n v="2"/>
    <n v="28.8"/>
    <n v="57.6"/>
    <n v="3461.7199999999993"/>
    <n v="7"/>
    <s v="Se repite 7 veces"/>
    <s v="Tradiciones Andinas-T.A Aji Amarillo Pasta 7.5oz x 24"/>
    <n v="7"/>
    <s v="Se repite 7 veces en Tradiciones Andinas"/>
    <s v="Tradiciones Andinas-T.A Aji Amarillo Pasta 7.5oz x 24-28.8"/>
    <n v="3"/>
    <s v="Se repite 3 veces el precio de 28.8"/>
    <s v="El producto T.A Aji Amarillo Pasta 7.5oz x 24 Se repite 7 veces en Tradiciones Andinas, Se repite 3 veces el precio de 28.8"/>
  </r>
  <r>
    <x v="3"/>
    <x v="10"/>
    <s v="Bill"/>
    <s v="476974"/>
    <x v="267"/>
    <s v="T.A T.A Aji Amarillo Pasta 7.5oz x 24 fco de vidrio"/>
    <n v="6"/>
    <n v="28.8"/>
    <n v="172.8"/>
    <n v="8492.159999999998"/>
    <n v="7"/>
    <s v="Se repite 7 veces"/>
    <s v="Tradiciones Andinas-T.A Aji Amarillo Pasta 7.5oz x 24"/>
    <n v="7"/>
    <s v="Se repite 7 veces en Tradiciones Andinas"/>
    <s v="Tradiciones Andinas-T.A Aji Amarillo Pasta 7.5oz x 24-28.8"/>
    <n v="3"/>
    <s v="Se repite 3 veces el precio de 28.8"/>
    <s v="El producto T.A Aji Amarillo Pasta 7.5oz x 24 Se repite 7 veces en Tradiciones Andinas, Se repite 3 veces el precio de 28.8"/>
  </r>
  <r>
    <x v="3"/>
    <x v="11"/>
    <s v="Bill"/>
    <s v="478734"/>
    <x v="267"/>
    <s v="T.A Aji Amarillo Pasta 7.5oz x 24 fco de vidrio P00121"/>
    <n v="4"/>
    <n v="30.82"/>
    <n v="123.28"/>
    <n v="24844.1"/>
    <n v="7"/>
    <s v="Se repite 7 veces"/>
    <s v="Tradiciones Andinas-T.A Aji Amarillo Pasta 7.5oz x 24"/>
    <n v="7"/>
    <s v="Se repite 7 veces en Tradiciones Andinas"/>
    <s v="Tradiciones Andinas-T.A Aji Amarillo Pasta 7.5oz x 24-30.82"/>
    <n v="4"/>
    <s v="Se repite 4 veces el precio de 30.82"/>
    <s v="El producto T.A Aji Amarillo Pasta 7.5oz x 24 Se repite 7 veces en Tradiciones Andinas, Se repite 4 veces el precio de 30.82"/>
  </r>
  <r>
    <x v="3"/>
    <x v="5"/>
    <s v="Bill"/>
    <s v="482005"/>
    <x v="267"/>
    <s v="T.A Aji Amarillo Pasta 7.5oz x 24 fco de vidrio P00121"/>
    <n v="5"/>
    <n v="30.82"/>
    <n v="154.1"/>
    <n v="46104.969999999987"/>
    <n v="7"/>
    <s v="Se repite 7 veces"/>
    <s v="Tradiciones Andinas-T.A Aji Amarillo Pasta 7.5oz x 24"/>
    <n v="7"/>
    <s v="Se repite 7 veces en Tradiciones Andinas"/>
    <s v="Tradiciones Andinas-T.A Aji Amarillo Pasta 7.5oz x 24-30.82"/>
    <n v="4"/>
    <s v="Se repite 4 veces el precio de 30.82"/>
    <s v="El producto T.A Aji Amarillo Pasta 7.5oz x 24 Se repite 7 veces en Tradiciones Andinas, Se repite 4 veces el precio de 30.82"/>
  </r>
  <r>
    <x v="3"/>
    <x v="6"/>
    <s v="Bill"/>
    <s v="487860"/>
    <x v="267"/>
    <s v="T.A Aji Amarillo Pasta 7.5oz x 24 fco de vidrio P00121"/>
    <n v="8"/>
    <n v="30.82"/>
    <n v="246.56"/>
    <n v="74744.08"/>
    <n v="7"/>
    <s v="Se repite 7 veces"/>
    <s v="Tradiciones Andinas-T.A Aji Amarillo Pasta 7.5oz x 24"/>
    <n v="7"/>
    <s v="Se repite 7 veces en Tradiciones Andinas"/>
    <s v="Tradiciones Andinas-T.A Aji Amarillo Pasta 7.5oz x 24-30.82"/>
    <n v="4"/>
    <s v="Se repite 4 veces el precio de 30.82"/>
    <s v="El producto T.A Aji Amarillo Pasta 7.5oz x 24 Se repite 7 veces en Tradiciones Andinas, Se repite 4 veces el precio de 30.82"/>
  </r>
  <r>
    <x v="3"/>
    <x v="7"/>
    <s v="Bill"/>
    <s v="492743"/>
    <x v="267"/>
    <s v="T.A Aji Amarillo Pasta 7.5oz x 24 fco de vidrio P00121"/>
    <n v="2"/>
    <n v="30.82"/>
    <n v="61.64"/>
    <n v="105314.73999999993"/>
    <n v="7"/>
    <s v="Se repite 7 veces"/>
    <s v="Tradiciones Andinas-T.A Aji Amarillo Pasta 7.5oz x 24"/>
    <n v="7"/>
    <s v="Se repite 7 veces en Tradiciones Andinas"/>
    <s v="Tradiciones Andinas-T.A Aji Amarillo Pasta 7.5oz x 24-30.82"/>
    <n v="4"/>
    <s v="Se repite 4 veces el precio de 30.82"/>
    <s v="El producto T.A Aji Amarillo Pasta 7.5oz x 24 Se repite 7 veces en Tradiciones Andinas, Se repite 4 veces el precio de 30.82"/>
  </r>
  <r>
    <x v="3"/>
    <x v="4"/>
    <s v="Bill"/>
    <s v="480295"/>
    <x v="268"/>
    <s v="Aji Amarillo Salmuera /Whole Yellow Hot Pepper"/>
    <n v="2"/>
    <n v="32"/>
    <n v="64"/>
    <n v="35844.870000000003"/>
    <n v="2"/>
    <s v="Se repite 2 veces"/>
    <s v="Tradiciones Andinas-T.A Aji Amarillo Salmuera /Whole Yellow Hot Pepper 12oz x 20"/>
    <n v="2"/>
    <s v="Se repite 2 veces en Tradiciones Andinas"/>
    <s v="Tradiciones Andinas-T.A Aji Amarillo Salmuera /Whole Yellow Hot Pepper 12oz x 20-32"/>
    <n v="2"/>
    <s v="Se repite 2 veces el precio de 32"/>
    <s v="El producto T.A Aji Amarillo Salmuera /Whole Yellow Hot Pepper 12oz x 20 Se repite 2 veces en Tradiciones Andinas, Se repite 2 veces el precio de 32"/>
  </r>
  <r>
    <x v="3"/>
    <x v="5"/>
    <s v="Bill"/>
    <s v="482005"/>
    <x v="268"/>
    <s v="TRADICIONES ANDINAS - PERU -  VIDRIO -  Aji Amarillo Salmuera /Whole Yellow Hot Pepper -  12 / 20oz - P00143"/>
    <n v="5"/>
    <n v="32"/>
    <n v="160"/>
    <n v="47747.549999999974"/>
    <n v="2"/>
    <s v="Se repite 2 veces"/>
    <s v="Tradiciones Andinas-T.A Aji Amarillo Salmuera /Whole Yellow Hot Pepper 12oz x 20"/>
    <n v="2"/>
    <s v="Se repite 2 veces en Tradiciones Andinas"/>
    <s v="Tradiciones Andinas-T.A Aji Amarillo Salmuera /Whole Yellow Hot Pepper 12oz x 20-32"/>
    <n v="2"/>
    <s v="Se repite 2 veces el precio de 32"/>
    <s v="El producto T.A Aji Amarillo Salmuera /Whole Yellow Hot Pepper 12oz x 20 Se repite 2 veces en Tradiciones Andinas, Se repite 2 veces el precio de 32"/>
  </r>
  <r>
    <x v="3"/>
    <x v="33"/>
    <s v="Bill"/>
    <s v="475144"/>
    <x v="269"/>
    <s v="Aji Amarillo sin Pepas / Yellow Hot Pepper Seedless"/>
    <n v="1"/>
    <n v="42"/>
    <n v="42"/>
    <n v="3217.2799999999997"/>
    <n v="1"/>
    <s v="No se repite"/>
    <s v="Tradiciones Andinas-T.A Aji Amarillo sin Pepas 2Lb x 8"/>
    <n v="1"/>
    <s v="No se repite en proveedor"/>
    <s v="Tradiciones Andinas-T.A Aji Amarillo sin Pepas 2Lb x 8-42"/>
    <n v="1"/>
    <s v="No se repite"/>
    <s v="El producto T.A Aji Amarillo sin Pepas 2Lb x 8 No se repite en proveedor Una vez con el precio 42"/>
  </r>
  <r>
    <x v="3"/>
    <x v="33"/>
    <s v="Bill"/>
    <s v="475144"/>
    <x v="270"/>
    <s v="Tradiciones Andinas Aji Amarillo sin Picante 15oz x 12 fco vidrio"/>
    <n v="2"/>
    <n v="31.08"/>
    <n v="62.16"/>
    <n v="893.7600000000001"/>
    <n v="3"/>
    <s v="Se repite 3 veces"/>
    <s v="Tradiciones Andinas-T.A Aji Amarillo sin Picante 15oz x 12"/>
    <n v="3"/>
    <s v="Se repite 3 veces en Tradiciones Andinas"/>
    <s v="Tradiciones Andinas-T.A Aji Amarillo sin Picante 15oz x 12-31.08"/>
    <n v="3"/>
    <s v="Se repite 3 veces el precio de 31.08"/>
    <s v="El producto T.A Aji Amarillo sin Picante 15oz x 12 Se repite 3 veces en Tradiciones Andinas, Se repite 3 veces el precio de 31.08"/>
  </r>
  <r>
    <x v="3"/>
    <x v="9"/>
    <s v="Bill"/>
    <s v=""/>
    <x v="270"/>
    <s v="Tradiciones Andinas Aji Amarillo sin Picante 15oz x 12 fco vidrio"/>
    <n v="4"/>
    <n v="31.08"/>
    <n v="124.32"/>
    <n v="4161.4399999999996"/>
    <n v="3"/>
    <s v="Se repite 3 veces"/>
    <s v="Tradiciones Andinas-T.A Aji Amarillo sin Picante 15oz x 12"/>
    <n v="3"/>
    <s v="Se repite 3 veces en Tradiciones Andinas"/>
    <s v="Tradiciones Andinas-T.A Aji Amarillo sin Picante 15oz x 12-31.08"/>
    <n v="3"/>
    <s v="Se repite 3 veces el precio de 31.08"/>
    <s v="El producto T.A Aji Amarillo sin Picante 15oz x 12 Se repite 3 veces en Tradiciones Andinas, Se repite 3 veces el precio de 31.08"/>
  </r>
  <r>
    <x v="3"/>
    <x v="10"/>
    <s v="Bill"/>
    <s v="476974"/>
    <x v="270"/>
    <s v="Tradiciones Andinas Aji Amarillo sin Picante 15oz x 12 fco vidrio"/>
    <n v="6"/>
    <n v="31.08"/>
    <n v="186.48"/>
    <n v="10555.919999999996"/>
    <n v="3"/>
    <s v="Se repite 3 veces"/>
    <s v="Tradiciones Andinas-T.A Aji Amarillo sin Picante 15oz x 12"/>
    <n v="3"/>
    <s v="Se repite 3 veces en Tradiciones Andinas"/>
    <s v="Tradiciones Andinas-T.A Aji Amarillo sin Picante 15oz x 12-31.08"/>
    <n v="3"/>
    <s v="Se repite 3 veces el precio de 31.08"/>
    <s v="El producto T.A Aji Amarillo sin Picante 15oz x 12 Se repite 3 veces en Tradiciones Andinas, Se repite 3 veces el precio de 31.08"/>
  </r>
  <r>
    <x v="3"/>
    <x v="33"/>
    <s v="Bill"/>
    <s v="475144"/>
    <x v="271"/>
    <s v="Aji Amarillo sin Picante / Yellow Pepper paste Non Spicy"/>
    <n v="2"/>
    <n v="38.159999999999997"/>
    <n v="76.319999999999993"/>
    <n v="831.60000000000014"/>
    <n v="3"/>
    <s v="Se repite 3 veces"/>
    <s v="Tradiciones Andinas-T.A Aji Amarillo sin Picante 7.5oz x 24"/>
    <n v="3"/>
    <s v="Se repite 3 veces en Tradiciones Andinas"/>
    <s v="Tradiciones Andinas-T.A Aji Amarillo sin Picante 7.5oz x 24-38.16"/>
    <n v="3"/>
    <s v="Se repite 3 veces el precio de 38.16"/>
    <s v="El producto T.A Aji Amarillo sin Picante 7.5oz x 24 Se repite 3 veces en Tradiciones Andinas, Se repite 3 veces el precio de 38.16"/>
  </r>
  <r>
    <x v="3"/>
    <x v="5"/>
    <s v="Bill"/>
    <s v="482005"/>
    <x v="271"/>
    <s v="TRADICIONES ANDINAS - PERU -  VIDRIO -  Aji Amarillo sin Picante / Yellow Pepper paste Non Spicy-  24 / 7.5z - P0288"/>
    <n v="7"/>
    <n v="38.159999999999997"/>
    <n v="267.12"/>
    <n v="48014.669999999976"/>
    <n v="3"/>
    <s v="Se repite 3 veces"/>
    <s v="Tradiciones Andinas-T.A Aji Amarillo sin Picante 7.5oz x 24"/>
    <n v="3"/>
    <s v="Se repite 3 veces en Tradiciones Andinas"/>
    <s v="Tradiciones Andinas-T.A Aji Amarillo sin Picante 7.5oz x 24-38.16"/>
    <n v="3"/>
    <s v="Se repite 3 veces el precio de 38.16"/>
    <s v="El producto T.A Aji Amarillo sin Picante 7.5oz x 24 Se repite 3 veces en Tradiciones Andinas, Se repite 3 veces el precio de 38.16"/>
  </r>
  <r>
    <x v="3"/>
    <x v="6"/>
    <s v="Bill"/>
    <s v="487860"/>
    <x v="271"/>
    <s v="TRADICIONES ANDINAS - PERU -  VIDRIO -  Aji Amarillo sin Picante / Yellow Pepper paste Non Spicy-  24 / 7.5z - P0288"/>
    <n v="3"/>
    <n v="38.159999999999997"/>
    <n v="114.48"/>
    <n v="76843.219999999987"/>
    <n v="3"/>
    <s v="Se repite 3 veces"/>
    <s v="Tradiciones Andinas-T.A Aji Amarillo sin Picante 7.5oz x 24"/>
    <n v="3"/>
    <s v="Se repite 3 veces en Tradiciones Andinas"/>
    <s v="Tradiciones Andinas-T.A Aji Amarillo sin Picante 7.5oz x 24-38.16"/>
    <n v="3"/>
    <s v="Se repite 3 veces el precio de 38.16"/>
    <s v="El producto T.A Aji Amarillo sin Picante 7.5oz x 24 Se repite 3 veces en Tradiciones Andinas, Se repite 3 veces el precio de 38.16"/>
  </r>
  <r>
    <x v="3"/>
    <x v="47"/>
    <s v="Bill"/>
    <s v="488017"/>
    <x v="272"/>
    <s v="Aji Ambateno / Whole Pepper"/>
    <n v="2"/>
    <n v="27.04"/>
    <n v="54.08"/>
    <n v="89766.629999999932"/>
    <n v="1"/>
    <s v="No se repite"/>
    <s v="Tradiciones Andinas-T.A Aji Ambateno / Whole Pepper FROZEN 10oz x 16"/>
    <n v="1"/>
    <s v="No se repite en proveedor"/>
    <s v="Tradiciones Andinas-T.A Aji Ambateno / Whole Pepper FROZEN 10oz x 16-27.04"/>
    <n v="1"/>
    <s v="No se repite"/>
    <s v="El producto T.A Aji Ambateno / Whole Pepper FROZEN 10oz x 16 No se repite en proveedor Una vez con el precio 27.04"/>
  </r>
  <r>
    <x v="3"/>
    <x v="33"/>
    <s v="Bill"/>
    <s v="475144"/>
    <x v="273"/>
    <s v="Aji Limo / Limo Pepper"/>
    <n v="1"/>
    <n v="44.82"/>
    <n v="44.82"/>
    <n v="2889.68"/>
    <n v="5"/>
    <s v="Se repite 5 veces"/>
    <s v="Tradiciones Andinas-T.A Aji Limo / Limo Pepper16oz x 18"/>
    <n v="5"/>
    <s v="Se repite 5 veces en Tradiciones Andinas"/>
    <s v="Tradiciones Andinas-T.A Aji Limo / Limo Pepper16oz x 18-44.82"/>
    <n v="1"/>
    <s v="No se repite"/>
    <s v="El producto T.A Aji Limo / Limo Pepper16oz x 18 Se repite 5 veces en Tradiciones Andinas Una vez con el precio 44.82"/>
  </r>
  <r>
    <x v="3"/>
    <x v="9"/>
    <s v="Bill"/>
    <s v=""/>
    <x v="273"/>
    <s v="Aji Limo / Limo Pepper"/>
    <n v="2"/>
    <n v="32.4"/>
    <n v="64.8"/>
    <n v="7888.6399999999994"/>
    <n v="5"/>
    <s v="Se repite 5 veces"/>
    <s v="Tradiciones Andinas-T.A Aji Limo / Limo Pepper16oz x 18"/>
    <n v="5"/>
    <s v="Se repite 5 veces en Tradiciones Andinas"/>
    <s v="Tradiciones Andinas-T.A Aji Limo / Limo Pepper16oz x 18-32.4"/>
    <n v="2"/>
    <s v="Se repite 2 veces el precio de 32.4"/>
    <s v="El producto T.A Aji Limo / Limo Pepper16oz x 18 Se repite 5 veces en Tradiciones Andinas, Se repite 2 veces el precio de 32.4"/>
  </r>
  <r>
    <x v="3"/>
    <x v="10"/>
    <s v="Bill"/>
    <s v="476974"/>
    <x v="273"/>
    <s v="Aji Limo / Limo Pepper"/>
    <n v="2"/>
    <n v="32.4"/>
    <n v="64.8"/>
    <n v="23717.940000000002"/>
    <n v="5"/>
    <s v="Se repite 5 veces"/>
    <s v="Tradiciones Andinas-T.A Aji Limo / Limo Pepper16oz x 18"/>
    <n v="5"/>
    <s v="Se repite 5 veces en Tradiciones Andinas"/>
    <s v="Tradiciones Andinas-T.A Aji Limo / Limo Pepper16oz x 18-32.4"/>
    <n v="2"/>
    <s v="Se repite 2 veces el precio de 32.4"/>
    <s v="El producto T.A Aji Limo / Limo Pepper16oz x 18 Se repite 5 veces en Tradiciones Andinas, Se repite 2 veces el precio de 32.4"/>
  </r>
  <r>
    <x v="3"/>
    <x v="4"/>
    <s v="Bill"/>
    <s v="480295"/>
    <x v="273"/>
    <s v="TRADICIONES ANDINAS- PERU -  FROZEN -  Aji Limo / Limo Pepper-  18 / 16oz - P00119"/>
    <n v="4"/>
    <n v="34.659999999999997"/>
    <n v="138.63999999999999"/>
    <n v="43226.459999999992"/>
    <n v="5"/>
    <s v="Se repite 5 veces"/>
    <s v="Tradiciones Andinas-T.A Aji Limo / Limo Pepper16oz x 18"/>
    <n v="5"/>
    <s v="Se repite 5 veces en Tradiciones Andinas"/>
    <s v="Tradiciones Andinas-T.A Aji Limo / Limo Pepper16oz x 18-34.66"/>
    <n v="2"/>
    <s v="Se repite 2 veces el precio de 34.66"/>
    <s v="El producto T.A Aji Limo / Limo Pepper16oz x 18 Se repite 5 veces en Tradiciones Andinas, Se repite 2 veces el precio de 34.66"/>
  </r>
  <r>
    <x v="3"/>
    <x v="6"/>
    <s v="Bill"/>
    <s v="487860"/>
    <x v="273"/>
    <s v="TRADICIONES ANDINAS- PERU -  FROZEN -  Aji Limo / Limo Pepper-  18 / 16oz - P00119"/>
    <n v="8"/>
    <n v="34.659999999999997"/>
    <n v="277.27999999999997"/>
    <n v="88859.839999999938"/>
    <n v="5"/>
    <s v="Se repite 5 veces"/>
    <s v="Tradiciones Andinas-T.A Aji Limo / Limo Pepper16oz x 18"/>
    <n v="5"/>
    <s v="Se repite 5 veces en Tradiciones Andinas"/>
    <s v="Tradiciones Andinas-T.A Aji Limo / Limo Pepper16oz x 18-34.66"/>
    <n v="2"/>
    <s v="Se repite 2 veces el precio de 34.66"/>
    <s v="El producto T.A Aji Limo / Limo Pepper16oz x 18 Se repite 5 veces en Tradiciones Andinas, Se repite 2 veces el precio de 34.66"/>
  </r>
  <r>
    <x v="3"/>
    <x v="33"/>
    <s v="Bill"/>
    <s v="475144"/>
    <x v="274"/>
    <s v="Aji Mirasol Pasta / Mirasol Pepper Paste"/>
    <n v="2"/>
    <n v="31.2"/>
    <n v="62.4"/>
    <n v="239.52"/>
    <n v="7"/>
    <s v="Se repite 7 veces"/>
    <s v="Tradiciones Andinas-T.A Aji Mirasol Pasta 7.5oz x 24"/>
    <n v="7"/>
    <s v="Se repite 7 veces en Tradiciones Andinas"/>
    <s v="Tradiciones Andinas-T.A Aji Mirasol Pasta 7.5oz x 24-31.2"/>
    <n v="3"/>
    <s v="Se repite 3 veces el precio de 31.2"/>
    <s v="El producto T.A Aji Mirasol Pasta 7.5oz x 24 Se repite 7 veces en Tradiciones Andinas, Se repite 3 veces el precio de 31.2"/>
  </r>
  <r>
    <x v="3"/>
    <x v="9"/>
    <s v="Bill"/>
    <s v=""/>
    <x v="274"/>
    <s v="Aji Mirasol Pasta / Mirasol Pepper Paste"/>
    <n v="2"/>
    <n v="31.2"/>
    <n v="62.4"/>
    <n v="3586.0399999999995"/>
    <n v="7"/>
    <s v="Se repite 7 veces"/>
    <s v="Tradiciones Andinas-T.A Aji Mirasol Pasta 7.5oz x 24"/>
    <n v="7"/>
    <s v="Se repite 7 veces en Tradiciones Andinas"/>
    <s v="Tradiciones Andinas-T.A Aji Mirasol Pasta 7.5oz x 24-31.2"/>
    <n v="3"/>
    <s v="Se repite 3 veces el precio de 31.2"/>
    <s v="El producto T.A Aji Mirasol Pasta 7.5oz x 24 Se repite 7 veces en Tradiciones Andinas, Se repite 3 veces el precio de 31.2"/>
  </r>
  <r>
    <x v="3"/>
    <x v="10"/>
    <s v="Bill"/>
    <s v="476974"/>
    <x v="274"/>
    <s v="Aji Mirasol Pasta / Mirasol Pepper Paste"/>
    <n v="4"/>
    <n v="31.2"/>
    <n v="124.8"/>
    <n v="9031.6799999999967"/>
    <n v="7"/>
    <s v="Se repite 7 veces"/>
    <s v="Tradiciones Andinas-T.A Aji Mirasol Pasta 7.5oz x 24"/>
    <n v="7"/>
    <s v="Se repite 7 veces en Tradiciones Andinas"/>
    <s v="Tradiciones Andinas-T.A Aji Mirasol Pasta 7.5oz x 24-31.2"/>
    <n v="3"/>
    <s v="Se repite 3 veces el precio de 31.2"/>
    <s v="El producto T.A Aji Mirasol Pasta 7.5oz x 24 Se repite 7 veces en Tradiciones Andinas, Se repite 3 veces el precio de 31.2"/>
  </r>
  <r>
    <x v="3"/>
    <x v="5"/>
    <s v="Bill"/>
    <s v="482005"/>
    <x v="274"/>
    <s v="TRADICIONES ANDINAS - PERU -  VIDRIO -  Aji Mirasol Pasta / Mirasol Pepper Paste -  24 / 7.5oz - P0278"/>
    <n v="3"/>
    <n v="33.380000000000003"/>
    <n v="100.14"/>
    <n v="46352.989999999983"/>
    <n v="7"/>
    <s v="Se repite 7 veces"/>
    <s v="Tradiciones Andinas-T.A Aji Mirasol Pasta 7.5oz x 24"/>
    <n v="7"/>
    <s v="Se repite 7 veces en Tradiciones Andinas"/>
    <s v="Tradiciones Andinas-T.A Aji Mirasol Pasta 7.5oz x 24-33.38"/>
    <n v="4"/>
    <s v="Se repite 4 veces el precio de 33.38"/>
    <s v="El producto T.A Aji Mirasol Pasta 7.5oz x 24 Se repite 7 veces en Tradiciones Andinas, Se repite 4 veces el precio de 33.38"/>
  </r>
  <r>
    <x v="3"/>
    <x v="13"/>
    <s v="Bill"/>
    <s v="485230"/>
    <x v="274"/>
    <s v="TRADICIONES ANDINAS - PERU -  VIDRIO -  Aji Mirasol Pasta / Mirasol Pepper Paste -  24 / 7.5oz - P0278"/>
    <n v="1"/>
    <n v="33.380000000000003"/>
    <n v="33.380000000000003"/>
    <n v="67179.98"/>
    <n v="7"/>
    <s v="Se repite 7 veces"/>
    <s v="Tradiciones Andinas-T.A Aji Mirasol Pasta 7.5oz x 24"/>
    <n v="7"/>
    <s v="Se repite 7 veces en Tradiciones Andinas"/>
    <s v="Tradiciones Andinas-T.A Aji Mirasol Pasta 7.5oz x 24-33.38"/>
    <n v="4"/>
    <s v="Se repite 4 veces el precio de 33.38"/>
    <s v="El producto T.A Aji Mirasol Pasta 7.5oz x 24 Se repite 7 veces en Tradiciones Andinas, Se repite 4 veces el precio de 33.38"/>
  </r>
  <r>
    <x v="3"/>
    <x v="6"/>
    <s v="Bill"/>
    <s v="487860"/>
    <x v="274"/>
    <s v="TRADICIONES ANDINAS - PERU -  VIDRIO -  Aji Mirasol Pasta / Mirasol Pepper Paste -  24 / 7.5oz - P0278"/>
    <n v="2"/>
    <n v="33.380000000000003"/>
    <n v="66.760000000000005"/>
    <n v="75024.959999999992"/>
    <n v="7"/>
    <s v="Se repite 7 veces"/>
    <s v="Tradiciones Andinas-T.A Aji Mirasol Pasta 7.5oz x 24"/>
    <n v="7"/>
    <s v="Se repite 7 veces en Tradiciones Andinas"/>
    <s v="Tradiciones Andinas-T.A Aji Mirasol Pasta 7.5oz x 24-33.38"/>
    <n v="4"/>
    <s v="Se repite 4 veces el precio de 33.38"/>
    <s v="El producto T.A Aji Mirasol Pasta 7.5oz x 24 Se repite 7 veces en Tradiciones Andinas, Se repite 4 veces el precio de 33.38"/>
  </r>
  <r>
    <x v="3"/>
    <x v="27"/>
    <s v="Bill"/>
    <s v="491180"/>
    <x v="274"/>
    <s v="TRADICIONES ANDINAS - PERU -  VIDRIO -  Aji Mirasol Pasta / Mirasol Pepper Paste -  24 / 7.5oz - P0278"/>
    <n v="2"/>
    <n v="33.380000000000003"/>
    <n v="66.760000000000005"/>
    <n v="100321.58999999994"/>
    <n v="7"/>
    <s v="Se repite 7 veces"/>
    <s v="Tradiciones Andinas-T.A Aji Mirasol Pasta 7.5oz x 24"/>
    <n v="7"/>
    <s v="Se repite 7 veces en Tradiciones Andinas"/>
    <s v="Tradiciones Andinas-T.A Aji Mirasol Pasta 7.5oz x 24-33.38"/>
    <n v="4"/>
    <s v="Se repite 4 veces el precio de 33.38"/>
    <s v="El producto T.A Aji Mirasol Pasta 7.5oz x 24 Se repite 7 veces en Tradiciones Andinas, Se repite 4 veces el precio de 33.38"/>
  </r>
  <r>
    <x v="3"/>
    <x v="25"/>
    <s v="Bill"/>
    <s v="483292"/>
    <x v="275"/>
    <s v="Aji Mirasol Seco / Dried Yellow Pepper"/>
    <n v="1"/>
    <n v="28.56"/>
    <n v="28.56"/>
    <n v="63319.459999999948"/>
    <n v="2"/>
    <s v="Se repite 2 veces"/>
    <s v="Tradiciones Andinas-T.A Aji Mirasol Seco / Dried Yellow Pepper 2oz x 24"/>
    <n v="2"/>
    <s v="Se repite 2 veces en Tradiciones Andinas"/>
    <s v="Tradiciones Andinas-T.A Aji Mirasol Seco / Dried Yellow Pepper 2oz x 24-28.56"/>
    <n v="2"/>
    <s v="Se repite 2 veces el precio de 28.56"/>
    <s v="El producto T.A Aji Mirasol Seco / Dried Yellow Pepper 2oz x 24 Se repite 2 veces en Tradiciones Andinas, Se repite 2 veces el precio de 28.56"/>
  </r>
  <r>
    <x v="3"/>
    <x v="13"/>
    <s v="Bill"/>
    <s v="485230"/>
    <x v="275"/>
    <s v="Aji Mirasol Seco / Dried Yellow Pepper"/>
    <n v="1"/>
    <n v="28.56"/>
    <n v="28.56"/>
    <n v="69084.520000000019"/>
    <n v="2"/>
    <s v="Se repite 2 veces"/>
    <s v="Tradiciones Andinas-T.A Aji Mirasol Seco / Dried Yellow Pepper 2oz x 24"/>
    <n v="2"/>
    <s v="Se repite 2 veces en Tradiciones Andinas"/>
    <s v="Tradiciones Andinas-T.A Aji Mirasol Seco / Dried Yellow Pepper 2oz x 24-28.56"/>
    <n v="2"/>
    <s v="Se repite 2 veces el precio de 28.56"/>
    <s v="El producto T.A Aji Mirasol Seco / Dried Yellow Pepper 2oz x 24 Se repite 2 veces en Tradiciones Andinas, Se repite 2 veces el precio de 28.56"/>
  </r>
  <r>
    <x v="3"/>
    <x v="33"/>
    <s v="Bill"/>
    <s v="475144"/>
    <x v="276"/>
    <s v="T.A Aji Panca en Pasta &quot;Poco Picante&quot; 7.5oz x 24 fco de vidrio"/>
    <n v="2"/>
    <n v="31.2"/>
    <n v="62.4"/>
    <n v="301.92"/>
    <n v="6"/>
    <s v="Se repite 6 veces"/>
    <s v="Tradiciones Andinas-T.A Aji Panca en Pasta &quot;Poco Picante&quot; 7.5oz x 24"/>
    <n v="6"/>
    <s v="Se repite 6 veces en Tradiciones Andinas"/>
    <s v="Tradiciones Andinas-T.A Aji Panca en Pasta &quot;Poco Picante&quot; 7.5oz x 24-31.2"/>
    <n v="6"/>
    <s v="Se repite 6 veces el precio de 31.2"/>
    <s v="El producto T.A Aji Panca en Pasta &quot;Poco Picante&quot; 7.5oz x 24 Se repite 6 veces en Tradiciones Andinas, Se repite 6 veces el precio de 31.2"/>
  </r>
  <r>
    <x v="3"/>
    <x v="9"/>
    <s v="Bill"/>
    <s v=""/>
    <x v="276"/>
    <s v="T.A Aji Panca en Pasta &quot;Poco Picante&quot; 7.5oz x 24 fco de vidrio"/>
    <n v="2"/>
    <n v="31.2"/>
    <n v="62.4"/>
    <n v="3648.4399999999996"/>
    <n v="6"/>
    <s v="Se repite 6 veces"/>
    <s v="Tradiciones Andinas-T.A Aji Panca en Pasta &quot;Poco Picante&quot; 7.5oz x 24"/>
    <n v="6"/>
    <s v="Se repite 6 veces en Tradiciones Andinas"/>
    <s v="Tradiciones Andinas-T.A Aji Panca en Pasta &quot;Poco Picante&quot; 7.5oz x 24-31.2"/>
    <n v="6"/>
    <s v="Se repite 6 veces el precio de 31.2"/>
    <s v="El producto T.A Aji Panca en Pasta &quot;Poco Picante&quot; 7.5oz x 24 Se repite 6 veces en Tradiciones Andinas, Se repite 6 veces el precio de 31.2"/>
  </r>
  <r>
    <x v="3"/>
    <x v="10"/>
    <s v="Bill"/>
    <s v="476974"/>
    <x v="276"/>
    <s v="T.A Aji Panca en Pasta &quot;Poco Picante&quot; 7.5oz x 24 fco de vidrio"/>
    <n v="6"/>
    <n v="31.2"/>
    <n v="187.2"/>
    <n v="9338.8799999999974"/>
    <n v="6"/>
    <s v="Se repite 6 veces"/>
    <s v="Tradiciones Andinas-T.A Aji Panca en Pasta &quot;Poco Picante&quot; 7.5oz x 24"/>
    <n v="6"/>
    <s v="Se repite 6 veces en Tradiciones Andinas"/>
    <s v="Tradiciones Andinas-T.A Aji Panca en Pasta &quot;Poco Picante&quot; 7.5oz x 24-31.2"/>
    <n v="6"/>
    <s v="Se repite 6 veces el precio de 31.2"/>
    <s v="El producto T.A Aji Panca en Pasta &quot;Poco Picante&quot; 7.5oz x 24 Se repite 6 veces en Tradiciones Andinas, Se repite 6 veces el precio de 31.2"/>
  </r>
  <r>
    <x v="3"/>
    <x v="13"/>
    <s v="Bill"/>
    <s v="485230"/>
    <x v="276"/>
    <s v="T.A Aji Panca en Pasta &quot;Poco Picante&quot; 7.5oz x 24 fco de vidrio P0282"/>
    <n v="8"/>
    <n v="31.2"/>
    <n v="249.6"/>
    <n v="67622.180000000008"/>
    <n v="6"/>
    <s v="Se repite 6 veces"/>
    <s v="Tradiciones Andinas-T.A Aji Panca en Pasta &quot;Poco Picante&quot; 7.5oz x 24"/>
    <n v="6"/>
    <s v="Se repite 6 veces en Tradiciones Andinas"/>
    <s v="Tradiciones Andinas-T.A Aji Panca en Pasta &quot;Poco Picante&quot; 7.5oz x 24-31.2"/>
    <n v="6"/>
    <s v="Se repite 6 veces el precio de 31.2"/>
    <s v="El producto T.A Aji Panca en Pasta &quot;Poco Picante&quot; 7.5oz x 24 Se repite 6 veces en Tradiciones Andinas, Se repite 6 veces el precio de 31.2"/>
  </r>
  <r>
    <x v="3"/>
    <x v="6"/>
    <s v="Bill"/>
    <s v="487860"/>
    <x v="276"/>
    <s v="T.A Aji Panca en Pasta &quot;Poco Picante&quot; 7.5oz x 24 fco de vidrio P0282"/>
    <n v="6"/>
    <n v="31.2"/>
    <n v="187.2"/>
    <n v="75436.859999999986"/>
    <n v="6"/>
    <s v="Se repite 6 veces"/>
    <s v="Tradiciones Andinas-T.A Aji Panca en Pasta &quot;Poco Picante&quot; 7.5oz x 24"/>
    <n v="6"/>
    <s v="Se repite 6 veces en Tradiciones Andinas"/>
    <s v="Tradiciones Andinas-T.A Aji Panca en Pasta &quot;Poco Picante&quot; 7.5oz x 24-31.2"/>
    <n v="6"/>
    <s v="Se repite 6 veces el precio de 31.2"/>
    <s v="El producto T.A Aji Panca en Pasta &quot;Poco Picante&quot; 7.5oz x 24 Se repite 6 veces en Tradiciones Andinas, Se repite 6 veces el precio de 31.2"/>
  </r>
  <r>
    <x v="3"/>
    <x v="7"/>
    <s v="Bill"/>
    <s v="492743"/>
    <x v="276"/>
    <s v="T.A Aji Panca en Pasta &quot;Poco Picante&quot; 7.5oz x 24 fco de vidrio P0282"/>
    <n v="2"/>
    <n v="31.2"/>
    <n v="62.4"/>
    <n v="105581.51999999995"/>
    <n v="6"/>
    <s v="Se repite 6 veces"/>
    <s v="Tradiciones Andinas-T.A Aji Panca en Pasta &quot;Poco Picante&quot; 7.5oz x 24"/>
    <n v="6"/>
    <s v="Se repite 6 veces en Tradiciones Andinas"/>
    <s v="Tradiciones Andinas-T.A Aji Panca en Pasta &quot;Poco Picante&quot; 7.5oz x 24-31.2"/>
    <n v="6"/>
    <s v="Se repite 6 veces el precio de 31.2"/>
    <s v="El producto T.A Aji Panca en Pasta &quot;Poco Picante&quot; 7.5oz x 24 Se repite 6 veces en Tradiciones Andinas, Se repite 6 veces el precio de 31.2"/>
  </r>
  <r>
    <x v="3"/>
    <x v="33"/>
    <s v="Bill"/>
    <s v="475144"/>
    <x v="277"/>
    <s v="Aji Panca Pasta &quot;Poco Picante&quot; / Panca Pepper Paste"/>
    <n v="2"/>
    <n v="19.2"/>
    <n v="38.4"/>
    <n v="443.40000000000003"/>
    <n v="3"/>
    <s v="Se repite 3 veces"/>
    <s v="Tradiciones Andinas-T.A Aji Panca Pasta &quot;Poco Picante&quot; 10.5oz x 12"/>
    <n v="3"/>
    <s v="Se repite 3 veces en Tradiciones Andinas"/>
    <s v="Tradiciones Andinas-T.A Aji Panca Pasta &quot;Poco Picante&quot; 10.5oz x 12-19.2"/>
    <n v="3"/>
    <s v="Se repite 3 veces el precio de 19.2"/>
    <s v="El producto T.A Aji Panca Pasta &quot;Poco Picante&quot; 10.5oz x 12 Se repite 3 veces en Tradiciones Andinas, Se repite 3 veces el precio de 19.2"/>
  </r>
  <r>
    <x v="3"/>
    <x v="9"/>
    <s v="Bill"/>
    <s v=""/>
    <x v="277"/>
    <s v="Aji Panca Pasta &quot;Poco Picante&quot; / Panca Pepper Paste"/>
    <n v="2"/>
    <n v="19.2"/>
    <n v="38.4"/>
    <n v="3813.7999999999997"/>
    <n v="3"/>
    <s v="Se repite 3 veces"/>
    <s v="Tradiciones Andinas-T.A Aji Panca Pasta &quot;Poco Picante&quot; 10.5oz x 12"/>
    <n v="3"/>
    <s v="Se repite 3 veces en Tradiciones Andinas"/>
    <s v="Tradiciones Andinas-T.A Aji Panca Pasta &quot;Poco Picante&quot; 10.5oz x 12-19.2"/>
    <n v="3"/>
    <s v="Se repite 3 veces el precio de 19.2"/>
    <s v="El producto T.A Aji Panca Pasta &quot;Poco Picante&quot; 10.5oz x 12 Se repite 3 veces en Tradiciones Andinas, Se repite 3 veces el precio de 19.2"/>
  </r>
  <r>
    <x v="3"/>
    <x v="10"/>
    <s v="Bill"/>
    <s v="476974"/>
    <x v="277"/>
    <s v="Aji Panca Pasta &quot;Poco Picante&quot; / Panca Pepper Paste"/>
    <n v="6"/>
    <n v="19.2"/>
    <n v="115.2"/>
    <n v="9668.3999999999978"/>
    <n v="3"/>
    <s v="Se repite 3 veces"/>
    <s v="Tradiciones Andinas-T.A Aji Panca Pasta &quot;Poco Picante&quot; 10.5oz x 12"/>
    <n v="3"/>
    <s v="Se repite 3 veces en Tradiciones Andinas"/>
    <s v="Tradiciones Andinas-T.A Aji Panca Pasta &quot;Poco Picante&quot; 10.5oz x 12-19.2"/>
    <n v="3"/>
    <s v="Se repite 3 veces el precio de 19.2"/>
    <s v="El producto T.A Aji Panca Pasta &quot;Poco Picante&quot; 10.5oz x 12 Se repite 3 veces en Tradiciones Andinas, Se repite 3 veces el precio de 19.2"/>
  </r>
  <r>
    <x v="3"/>
    <x v="33"/>
    <s v="Bill"/>
    <s v="475144"/>
    <x v="278"/>
    <s v="TradicionesAndinas Aji Panca Pasta &quot;Poco Picante&quot; 15oz x 12 fco vidrio"/>
    <n v="2"/>
    <n v="25.08"/>
    <n v="50.16"/>
    <n v="644.04000000000008"/>
    <n v="4"/>
    <s v="Se repite 4 veces"/>
    <s v="Tradiciones Andinas-T.A Aji Panca Pasta &quot;Poco Picante&quot; 15oz x 12"/>
    <n v="4"/>
    <s v="Se repite 4 veces en Tradiciones Andinas"/>
    <s v="Tradiciones Andinas-T.A Aji Panca Pasta &quot;Poco Picante&quot; 15oz x 12-25.08"/>
    <n v="3"/>
    <s v="Se repite 3 veces el precio de 25.08"/>
    <s v="El producto T.A Aji Panca Pasta &quot;Poco Picante&quot; 15oz x 12 Se repite 4 veces en Tradiciones Andinas, Se repite 3 veces el precio de 25.08"/>
  </r>
  <r>
    <x v="3"/>
    <x v="9"/>
    <s v="Bill"/>
    <s v=""/>
    <x v="278"/>
    <s v="TradicionesAndinas Aji Panca Pasta &quot;Poco Picante&quot; 15oz x 12 fco vidrio"/>
    <n v="4"/>
    <n v="25.08"/>
    <n v="100.32"/>
    <n v="4037.12"/>
    <n v="4"/>
    <s v="Se repite 4 veces"/>
    <s v="Tradiciones Andinas-T.A Aji Panca Pasta &quot;Poco Picante&quot; 15oz x 12"/>
    <n v="4"/>
    <s v="Se repite 4 veces en Tradiciones Andinas"/>
    <s v="Tradiciones Andinas-T.A Aji Panca Pasta &quot;Poco Picante&quot; 15oz x 12-25.08"/>
    <n v="3"/>
    <s v="Se repite 3 veces el precio de 25.08"/>
    <s v="El producto T.A Aji Panca Pasta &quot;Poco Picante&quot; 15oz x 12 Se repite 4 veces en Tradiciones Andinas, Se repite 3 veces el precio de 25.08"/>
  </r>
  <r>
    <x v="3"/>
    <x v="10"/>
    <s v="Bill"/>
    <s v="476974"/>
    <x v="278"/>
    <s v="TradicionesAndinas Aji Panca Pasta &quot;Poco Picante&quot; 15oz x 12 fco vidrio"/>
    <n v="6"/>
    <n v="25.08"/>
    <n v="150.47999999999999"/>
    <n v="9944.6399999999976"/>
    <n v="4"/>
    <s v="Se repite 4 veces"/>
    <s v="Tradiciones Andinas-T.A Aji Panca Pasta &quot;Poco Picante&quot; 15oz x 12"/>
    <n v="4"/>
    <s v="Se repite 4 veces en Tradiciones Andinas"/>
    <s v="Tradiciones Andinas-T.A Aji Panca Pasta &quot;Poco Picante&quot; 15oz x 12-25.08"/>
    <n v="3"/>
    <s v="Se repite 3 veces el precio de 25.08"/>
    <s v="El producto T.A Aji Panca Pasta &quot;Poco Picante&quot; 15oz x 12 Se repite 4 veces en Tradiciones Andinas, Se repite 3 veces el precio de 25.08"/>
  </r>
  <r>
    <x v="3"/>
    <x v="7"/>
    <s v="Bill"/>
    <s v="492743"/>
    <x v="278"/>
    <s v="TradicionesAndinas Aji Panca Pasta &quot;Poco Picante&quot; 15oz x 12 fco vidrio"/>
    <n v="2"/>
    <n v="26.84"/>
    <n v="53.68"/>
    <n v="105686.27999999994"/>
    <n v="4"/>
    <s v="Se repite 4 veces"/>
    <s v="Tradiciones Andinas-T.A Aji Panca Pasta &quot;Poco Picante&quot; 15oz x 12"/>
    <n v="4"/>
    <s v="Se repite 4 veces en Tradiciones Andinas"/>
    <s v="Tradiciones Andinas-T.A Aji Panca Pasta &quot;Poco Picante&quot; 15oz x 12-26.84"/>
    <n v="1"/>
    <s v="No se repite"/>
    <s v="El producto T.A Aji Panca Pasta &quot;Poco Picante&quot; 15oz x 12 Se repite 4 veces en Tradiciones Andinas Una vez con el precio 26.84"/>
  </r>
  <r>
    <x v="3"/>
    <x v="33"/>
    <s v="Bill"/>
    <s v="475144"/>
    <x v="279"/>
    <s v="T.A Aji Panca Pasta /Panca Pepper Paste 15oz x 12"/>
    <n v="2"/>
    <n v="23.88"/>
    <n v="47.76"/>
    <n v="491.16"/>
    <n v="5"/>
    <s v="Se repite 5 veces"/>
    <s v="Tradiciones Andinas-T.A Aji Panca Pasta /Panca Pepper Paste 15oz x 12"/>
    <n v="5"/>
    <s v="Se repite 5 veces en Tradiciones Andinas"/>
    <s v="Tradiciones Andinas-T.A Aji Panca Pasta /Panca Pepper Paste 15oz x 12-23.88"/>
    <n v="1"/>
    <s v="No se repite"/>
    <s v="El producto T.A Aji Panca Pasta /Panca Pepper Paste 15oz x 12 Se repite 5 veces en Tradiciones Andinas Una vez con el precio 23.88"/>
  </r>
  <r>
    <x v="3"/>
    <x v="4"/>
    <s v="Bill"/>
    <s v="480295"/>
    <x v="279"/>
    <s v="T.A Aji Panca Pasta /Panca Pepper Paste 15oz x 12"/>
    <n v="10"/>
    <n v="25.54"/>
    <n v="255.4"/>
    <n v="35019.640000000007"/>
    <n v="5"/>
    <s v="Se repite 5 veces"/>
    <s v="Tradiciones Andinas-T.A Aji Panca Pasta /Panca Pepper Paste 15oz x 12"/>
    <n v="5"/>
    <s v="Se repite 5 veces en Tradiciones Andinas"/>
    <s v="Tradiciones Andinas-T.A Aji Panca Pasta /Panca Pepper Paste 15oz x 12-25.54"/>
    <n v="4"/>
    <s v="Se repite 4 veces el precio de 25.54"/>
    <s v="El producto T.A Aji Panca Pasta /Panca Pepper Paste 15oz x 12 Se repite 5 veces en Tradiciones Andinas, Se repite 4 veces el precio de 25.54"/>
  </r>
  <r>
    <x v="3"/>
    <x v="5"/>
    <s v="Bill"/>
    <s v="482005"/>
    <x v="279"/>
    <s v="T.A Aji Panca Pasta /Panca Pepper Paste 15oz x 12"/>
    <n v="2"/>
    <n v="25.54"/>
    <n v="51.08"/>
    <n v="46532.469999999979"/>
    <n v="5"/>
    <s v="Se repite 5 veces"/>
    <s v="Tradiciones Andinas-T.A Aji Panca Pasta /Panca Pepper Paste 15oz x 12"/>
    <n v="5"/>
    <s v="Se repite 5 veces en Tradiciones Andinas"/>
    <s v="Tradiciones Andinas-T.A Aji Panca Pasta /Panca Pepper Paste 15oz x 12-25.54"/>
    <n v="4"/>
    <s v="Se repite 4 veces el precio de 25.54"/>
    <s v="El producto T.A Aji Panca Pasta /Panca Pepper Paste 15oz x 12 Se repite 5 veces en Tradiciones Andinas, Se repite 4 veces el precio de 25.54"/>
  </r>
  <r>
    <x v="3"/>
    <x v="13"/>
    <s v="Bill"/>
    <s v="485230"/>
    <x v="279"/>
    <s v="T.A Aji Panca Pasta /Panca Pepper Paste 15oz x 12"/>
    <n v="2"/>
    <n v="25.54"/>
    <n v="51.08"/>
    <n v="67733.260000000009"/>
    <n v="5"/>
    <s v="Se repite 5 veces"/>
    <s v="Tradiciones Andinas-T.A Aji Panca Pasta /Panca Pepper Paste 15oz x 12"/>
    <n v="5"/>
    <s v="Se repite 5 veces en Tradiciones Andinas"/>
    <s v="Tradiciones Andinas-T.A Aji Panca Pasta /Panca Pepper Paste 15oz x 12-25.54"/>
    <n v="4"/>
    <s v="Se repite 4 veces el precio de 25.54"/>
    <s v="El producto T.A Aji Panca Pasta /Panca Pepper Paste 15oz x 12 Se repite 5 veces en Tradiciones Andinas, Se repite 4 veces el precio de 25.54"/>
  </r>
  <r>
    <x v="3"/>
    <x v="6"/>
    <s v="Bill"/>
    <s v="487860"/>
    <x v="279"/>
    <s v="T.A Aji Panca Pasta /Panca Pepper Paste 15oz x 12"/>
    <n v="6"/>
    <n v="25.54"/>
    <n v="153.24"/>
    <n v="75650.099999999991"/>
    <n v="5"/>
    <s v="Se repite 5 veces"/>
    <s v="Tradiciones Andinas-T.A Aji Panca Pasta /Panca Pepper Paste 15oz x 12"/>
    <n v="5"/>
    <s v="Se repite 5 veces en Tradiciones Andinas"/>
    <s v="Tradiciones Andinas-T.A Aji Panca Pasta /Panca Pepper Paste 15oz x 12-25.54"/>
    <n v="4"/>
    <s v="Se repite 4 veces el precio de 25.54"/>
    <s v="El producto T.A Aji Panca Pasta /Panca Pepper Paste 15oz x 12 Se repite 5 veces en Tradiciones Andinas, Se repite 4 veces el precio de 25.54"/>
  </r>
  <r>
    <x v="3"/>
    <x v="33"/>
    <s v="Bill"/>
    <s v="475144"/>
    <x v="280"/>
    <s v="Aji Panca Pasta /Panca Pepper Paste"/>
    <n v="2"/>
    <n v="19.8"/>
    <n v="39.6"/>
    <n v="341.52000000000004"/>
    <n v="3"/>
    <s v="Se repite 3 veces"/>
    <s v="Tradiciones Andinas-T.A Aji Panca Pasta 10.5oz x 12"/>
    <n v="3"/>
    <s v="Se repite 3 veces en Tradiciones Andinas"/>
    <s v="Tradiciones Andinas-T.A Aji Panca Pasta 10.5oz x 12-19.8"/>
    <n v="3"/>
    <s v="Se repite 3 veces el precio de 19.8"/>
    <s v="El producto T.A Aji Panca Pasta 10.5oz x 12 Se repite 3 veces en Tradiciones Andinas, Se repite 3 veces el precio de 19.8"/>
  </r>
  <r>
    <x v="3"/>
    <x v="9"/>
    <s v="Bill"/>
    <s v=""/>
    <x v="280"/>
    <s v="Aji Panca Pasta /Panca Pepper Paste"/>
    <n v="2"/>
    <n v="19.8"/>
    <n v="39.6"/>
    <n v="3688.0399999999995"/>
    <n v="3"/>
    <s v="Se repite 3 veces"/>
    <s v="Tradiciones Andinas-T.A Aji Panca Pasta 10.5oz x 12"/>
    <n v="3"/>
    <s v="Se repite 3 veces en Tradiciones Andinas"/>
    <s v="Tradiciones Andinas-T.A Aji Panca Pasta 10.5oz x 12-19.8"/>
    <n v="3"/>
    <s v="Se repite 3 veces el precio de 19.8"/>
    <s v="El producto T.A Aji Panca Pasta 10.5oz x 12 Se repite 3 veces en Tradiciones Andinas, Se repite 3 veces el precio de 19.8"/>
  </r>
  <r>
    <x v="3"/>
    <x v="10"/>
    <s v="Bill"/>
    <s v="476974"/>
    <x v="280"/>
    <s v="Aji Panca Pasta /Panca Pepper Paste"/>
    <n v="6"/>
    <n v="19.8"/>
    <n v="118.8"/>
    <n v="23939.5"/>
    <n v="3"/>
    <s v="Se repite 3 veces"/>
    <s v="Tradiciones Andinas-T.A Aji Panca Pasta 10.5oz x 12"/>
    <n v="3"/>
    <s v="Se repite 3 veces en Tradiciones Andinas"/>
    <s v="Tradiciones Andinas-T.A Aji Panca Pasta 10.5oz x 12-19.8"/>
    <n v="3"/>
    <s v="Se repite 3 veces el precio de 19.8"/>
    <s v="El producto T.A Aji Panca Pasta 10.5oz x 12 Se repite 3 veces en Tradiciones Andinas, Se repite 3 veces el precio de 19.8"/>
  </r>
  <r>
    <x v="3"/>
    <x v="33"/>
    <s v="Bill"/>
    <s v="475144"/>
    <x v="281"/>
    <s v="T.A Aji Panca Pasta 7.5oz x 24 fco de vidrio"/>
    <n v="2"/>
    <n v="28.8"/>
    <n v="57.6"/>
    <n v="57.6"/>
    <n v="7"/>
    <s v="Se repite 7 veces"/>
    <s v="Tradiciones Andinas-T.A Aji Panca Pasta 7.5oz x 24"/>
    <n v="7"/>
    <s v="Se repite 7 veces en Tradiciones Andinas"/>
    <s v="Tradiciones Andinas-T.A Aji Panca Pasta 7.5oz x 24-28.8"/>
    <n v="3"/>
    <s v="Se repite 3 veces el precio de 28.8"/>
    <s v="El producto T.A Aji Panca Pasta 7.5oz x 24 Se repite 7 veces en Tradiciones Andinas, Se repite 3 veces el precio de 28.8"/>
  </r>
  <r>
    <x v="3"/>
    <x v="9"/>
    <s v="Bill"/>
    <s v=""/>
    <x v="281"/>
    <s v="T.A Aji Panca Pasta 7.5oz x 24 fco de vidrio"/>
    <n v="2"/>
    <n v="28.8"/>
    <n v="57.6"/>
    <n v="3404.1199999999994"/>
    <n v="7"/>
    <s v="Se repite 7 veces"/>
    <s v="Tradiciones Andinas-T.A Aji Panca Pasta 7.5oz x 24"/>
    <n v="7"/>
    <s v="Se repite 7 veces en Tradiciones Andinas"/>
    <s v="Tradiciones Andinas-T.A Aji Panca Pasta 7.5oz x 24-28.8"/>
    <n v="3"/>
    <s v="Se repite 3 veces el precio de 28.8"/>
    <s v="El producto T.A Aji Panca Pasta 7.5oz x 24 Se repite 7 veces en Tradiciones Andinas, Se repite 3 veces el precio de 28.8"/>
  </r>
  <r>
    <x v="3"/>
    <x v="10"/>
    <s v="Bill"/>
    <s v="476974"/>
    <x v="281"/>
    <s v="T.A Aji Panca Pasta 7.5oz x 24 fco de vidrio"/>
    <n v="6"/>
    <n v="28.8"/>
    <n v="172.8"/>
    <n v="8319.3599999999988"/>
    <n v="7"/>
    <s v="Se repite 7 veces"/>
    <s v="Tradiciones Andinas-T.A Aji Panca Pasta 7.5oz x 24"/>
    <n v="7"/>
    <s v="Se repite 7 veces en Tradiciones Andinas"/>
    <s v="Tradiciones Andinas-T.A Aji Panca Pasta 7.5oz x 24-28.8"/>
    <n v="3"/>
    <s v="Se repite 3 veces el precio de 28.8"/>
    <s v="El producto T.A Aji Panca Pasta 7.5oz x 24 Se repite 7 veces en Tradiciones Andinas, Se repite 3 veces el precio de 28.8"/>
  </r>
  <r>
    <x v="3"/>
    <x v="4"/>
    <s v="Bill"/>
    <s v="480295"/>
    <x v="281"/>
    <s v="T.A Aji Panca Pasta 7.5oz x 24 fco de vidrio P00120"/>
    <n v="3"/>
    <n v="30.82"/>
    <n v="92.46"/>
    <n v="34704.240000000005"/>
    <n v="7"/>
    <s v="Se repite 7 veces"/>
    <s v="Tradiciones Andinas-T.A Aji Panca Pasta 7.5oz x 24"/>
    <n v="7"/>
    <s v="Se repite 7 veces en Tradiciones Andinas"/>
    <s v="Tradiciones Andinas-T.A Aji Panca Pasta 7.5oz x 24-30.82"/>
    <n v="4"/>
    <s v="Se repite 4 veces el precio de 30.82"/>
    <s v="El producto T.A Aji Panca Pasta 7.5oz x 24 Se repite 7 veces en Tradiciones Andinas, Se repite 4 veces el precio de 30.82"/>
  </r>
  <r>
    <x v="3"/>
    <x v="5"/>
    <s v="Bill"/>
    <s v="482005"/>
    <x v="281"/>
    <s v="T.A Aji Panca Pasta 7.5oz x 24 fco de vidrio P00120"/>
    <n v="8"/>
    <n v="30.82"/>
    <n v="246.56"/>
    <n v="45950.869999999988"/>
    <n v="7"/>
    <s v="Se repite 7 veces"/>
    <s v="Tradiciones Andinas-T.A Aji Panca Pasta 7.5oz x 24"/>
    <n v="7"/>
    <s v="Se repite 7 veces en Tradiciones Andinas"/>
    <s v="Tradiciones Andinas-T.A Aji Panca Pasta 7.5oz x 24-30.82"/>
    <n v="4"/>
    <s v="Se repite 4 veces el precio de 30.82"/>
    <s v="El producto T.A Aji Panca Pasta 7.5oz x 24 Se repite 7 veces en Tradiciones Andinas, Se repite 4 veces el precio de 30.82"/>
  </r>
  <r>
    <x v="3"/>
    <x v="6"/>
    <s v="Bill"/>
    <s v="487860"/>
    <x v="281"/>
    <s v="T.A Aji Panca Pasta 7.5oz x 24 fco de vidrio P00120"/>
    <n v="6"/>
    <n v="30.82"/>
    <n v="184.92"/>
    <n v="74497.52"/>
    <n v="7"/>
    <s v="Se repite 7 veces"/>
    <s v="Tradiciones Andinas-T.A Aji Panca Pasta 7.5oz x 24"/>
    <n v="7"/>
    <s v="Se repite 7 veces en Tradiciones Andinas"/>
    <s v="Tradiciones Andinas-T.A Aji Panca Pasta 7.5oz x 24-30.82"/>
    <n v="4"/>
    <s v="Se repite 4 veces el precio de 30.82"/>
    <s v="El producto T.A Aji Panca Pasta 7.5oz x 24 Se repite 7 veces en Tradiciones Andinas, Se repite 4 veces el precio de 30.82"/>
  </r>
  <r>
    <x v="3"/>
    <x v="7"/>
    <s v="Bill"/>
    <s v="492743"/>
    <x v="281"/>
    <s v="T.A Aji Panca Pasta 7.5oz x 24 fco de vidrio P00120"/>
    <n v="3"/>
    <n v="30.82"/>
    <n v="92.46"/>
    <n v="105253.09999999993"/>
    <n v="7"/>
    <s v="Se repite 7 veces"/>
    <s v="Tradiciones Andinas-T.A Aji Panca Pasta 7.5oz x 24"/>
    <n v="7"/>
    <s v="Se repite 7 veces en Tradiciones Andinas"/>
    <s v="Tradiciones Andinas-T.A Aji Panca Pasta 7.5oz x 24-30.82"/>
    <n v="4"/>
    <s v="Se repite 4 veces el precio de 30.82"/>
    <s v="El producto T.A Aji Panca Pasta 7.5oz x 24 Se repite 7 veces en Tradiciones Andinas, Se repite 4 veces el precio de 30.82"/>
  </r>
  <r>
    <x v="3"/>
    <x v="13"/>
    <s v="Bill"/>
    <s v="485230"/>
    <x v="282"/>
    <s v="Aji Panca Seco / Dried Panca Pepper"/>
    <n v="2"/>
    <n v="28.56"/>
    <n v="57.12"/>
    <n v="69141.640000000014"/>
    <n v="1"/>
    <s v="No se repite"/>
    <s v="Tradiciones Andinas-T.A Aji Panca Seco / Dried Panca Pepper"/>
    <n v="1"/>
    <s v="No se repite en proveedor"/>
    <s v="Tradiciones Andinas-T.A Aji Panca Seco / Dried Panca Pepper-28.56"/>
    <n v="1"/>
    <s v="No se repite"/>
    <s v="El producto T.A Aji Panca Seco / Dried Panca Pepper No se repite en proveedor Una vez con el precio 28.56"/>
  </r>
  <r>
    <x v="3"/>
    <x v="10"/>
    <s v="Bill"/>
    <s v="476974"/>
    <x v="283"/>
    <s v="Albahaca Pasta /Basil Paste"/>
    <n v="4"/>
    <n v="30"/>
    <n v="120"/>
    <n v="9151.6799999999967"/>
    <n v="6"/>
    <s v="Se repite 6 veces"/>
    <s v="Tradiciones Andinas-T.A Albahaca Pasta /Basil Paste 7.5oz x 24"/>
    <n v="6"/>
    <s v="Se repite 6 veces en Tradiciones Andinas"/>
    <s v="Tradiciones Andinas-T.A Albahaca Pasta /Basil Paste 7.5oz x 24-30"/>
    <n v="2"/>
    <s v="Se repite 2 veces el precio de 30"/>
    <s v="El producto T.A Albahaca Pasta /Basil Paste 7.5oz x 24 Se repite 6 veces en Tradiciones Andinas, Se repite 2 veces el precio de 30"/>
  </r>
  <r>
    <x v="3"/>
    <x v="4"/>
    <s v="Bill"/>
    <s v="480295"/>
    <x v="283"/>
    <s v="TRADICIONES ANDINAS - PERU -  VIDRIO -  Albahaca Pasta /Basil Paste -  24 / 7.5oz - P00181"/>
    <n v="2"/>
    <n v="30"/>
    <n v="60"/>
    <n v="34764.240000000005"/>
    <n v="6"/>
    <s v="Se repite 6 veces"/>
    <s v="Tradiciones Andinas-T.A Albahaca Pasta /Basil Paste 7.5oz x 24"/>
    <n v="6"/>
    <s v="Se repite 6 veces en Tradiciones Andinas"/>
    <s v="Tradiciones Andinas-T.A Albahaca Pasta /Basil Paste 7.5oz x 24-30"/>
    <n v="2"/>
    <s v="Se repite 2 veces el precio de 30"/>
    <s v="El producto T.A Albahaca Pasta /Basil Paste 7.5oz x 24 Se repite 6 veces en Tradiciones Andinas, Se repite 2 veces el precio de 30"/>
  </r>
  <r>
    <x v="3"/>
    <x v="5"/>
    <s v="Bill"/>
    <s v="482005"/>
    <x v="283"/>
    <s v="TRADICIONES ANDINAS - PERU -  VIDRIO -  Albahaca Pasta /Basil Paste -  24 / 7.5oz - P00181"/>
    <n v="2"/>
    <n v="32.1"/>
    <n v="64.2"/>
    <n v="46417.189999999981"/>
    <n v="6"/>
    <s v="Se repite 6 veces"/>
    <s v="Tradiciones Andinas-T.A Albahaca Pasta /Basil Paste 7.5oz x 24"/>
    <n v="6"/>
    <s v="Se repite 6 veces en Tradiciones Andinas"/>
    <s v="Tradiciones Andinas-T.A Albahaca Pasta /Basil Paste 7.5oz x 24-32.1"/>
    <n v="4"/>
    <s v="Se repite 4 veces el precio de 32.1"/>
    <s v="El producto T.A Albahaca Pasta /Basil Paste 7.5oz x 24 Se repite 6 veces en Tradiciones Andinas, Se repite 4 veces el precio de 32.1"/>
  </r>
  <r>
    <x v="3"/>
    <x v="13"/>
    <s v="Bill"/>
    <s v="485230"/>
    <x v="283"/>
    <s v="TRADICIONES ANDINAS - PERU -  VIDRIO -  Albahaca Pasta /Basil Paste -  24 / 7.5oz - P00181"/>
    <n v="3"/>
    <n v="32.1"/>
    <n v="96.3"/>
    <n v="67276.28"/>
    <n v="6"/>
    <s v="Se repite 6 veces"/>
    <s v="Tradiciones Andinas-T.A Albahaca Pasta /Basil Paste 7.5oz x 24"/>
    <n v="6"/>
    <s v="Se repite 6 veces en Tradiciones Andinas"/>
    <s v="Tradiciones Andinas-T.A Albahaca Pasta /Basil Paste 7.5oz x 24-32.1"/>
    <n v="4"/>
    <s v="Se repite 4 veces el precio de 32.1"/>
    <s v="El producto T.A Albahaca Pasta /Basil Paste 7.5oz x 24 Se repite 6 veces en Tradiciones Andinas, Se repite 4 veces el precio de 32.1"/>
  </r>
  <r>
    <x v="3"/>
    <x v="13"/>
    <s v="Bill"/>
    <s v="485230"/>
    <x v="283"/>
    <s v="TRADICIONES ANDINAS - PERU -  VIDRIO -  Albahaca Pasta /Basil Paste -  24 / 7.5oz - P00181"/>
    <n v="2"/>
    <n v="32.1"/>
    <n v="64.2"/>
    <n v="67340.479999999996"/>
    <n v="6"/>
    <s v="Se repite 6 veces"/>
    <s v="Tradiciones Andinas-T.A Albahaca Pasta /Basil Paste 7.5oz x 24"/>
    <n v="6"/>
    <s v="Se repite 6 veces en Tradiciones Andinas"/>
    <s v="Tradiciones Andinas-T.A Albahaca Pasta /Basil Paste 7.5oz x 24-32.1"/>
    <n v="4"/>
    <s v="Se repite 4 veces el precio de 32.1"/>
    <s v="El producto T.A Albahaca Pasta /Basil Paste 7.5oz x 24 Se repite 6 veces en Tradiciones Andinas, Se repite 4 veces el precio de 32.1"/>
  </r>
  <r>
    <x v="3"/>
    <x v="7"/>
    <s v="Bill"/>
    <s v="492743"/>
    <x v="283"/>
    <s v="TRADICIONES ANDINAS - PERU -  VIDRIO -  Albahaca Pasta /Basil Paste -  24 / 7.5oz - P00181"/>
    <n v="1"/>
    <n v="32.1"/>
    <n v="32.1"/>
    <n v="105487.01999999995"/>
    <n v="6"/>
    <s v="Se repite 6 veces"/>
    <s v="Tradiciones Andinas-T.A Albahaca Pasta /Basil Paste 7.5oz x 24"/>
    <n v="6"/>
    <s v="Se repite 6 veces en Tradiciones Andinas"/>
    <s v="Tradiciones Andinas-T.A Albahaca Pasta /Basil Paste 7.5oz x 24-32.1"/>
    <n v="4"/>
    <s v="Se repite 4 veces el precio de 32.1"/>
    <s v="El producto T.A Albahaca Pasta /Basil Paste 7.5oz x 24 Se repite 6 veces en Tradiciones Andinas, Se repite 4 veces el precio de 32.1"/>
  </r>
  <r>
    <x v="3"/>
    <x v="10"/>
    <s v="Bill"/>
    <s v="476974"/>
    <x v="284"/>
    <s v="TRADICIONES ANDINAS - Anis"/>
    <n v="2"/>
    <n v="25.5"/>
    <n v="51"/>
    <n v="17317.899999999998"/>
    <n v="5"/>
    <s v="Se repite 5 veces"/>
    <s v="Tradiciones Andinas-T.A Anis FILTRANTE 20saq x 30"/>
    <n v="5"/>
    <s v="Se repite 5 veces en Tradiciones Andinas"/>
    <s v="Tradiciones Andinas-T.A Anis FILTRANTE 20saq x 30-25.5"/>
    <n v="1"/>
    <s v="No se repite"/>
    <s v="El producto T.A Anis FILTRANTE 20saq x 30 Se repite 5 veces en Tradiciones Andinas Una vez con el precio 25.5"/>
  </r>
  <r>
    <x v="3"/>
    <x v="4"/>
    <s v="Bill"/>
    <s v="480295"/>
    <x v="284"/>
    <s v="TA- PERU -  INFUSIONES -  TRADICIONES ANDINAS - Anis-  30 / 20x24g - TE03"/>
    <n v="1"/>
    <n v="27.29"/>
    <n v="27.29"/>
    <n v="40351.409999999996"/>
    <n v="5"/>
    <s v="Se repite 5 veces"/>
    <s v="Tradiciones Andinas-T.A Anis FILTRANTE 20saq x 30"/>
    <n v="5"/>
    <s v="Se repite 5 veces en Tradiciones Andinas"/>
    <s v="Tradiciones Andinas-T.A Anis FILTRANTE 20saq x 30-27.29"/>
    <n v="4"/>
    <s v="Se repite 4 veces el precio de 27.29"/>
    <s v="El producto T.A Anis FILTRANTE 20saq x 30 Se repite 5 veces en Tradiciones Andinas, Se repite 4 veces el precio de 27.29"/>
  </r>
  <r>
    <x v="3"/>
    <x v="25"/>
    <s v="Bill"/>
    <s v="483292"/>
    <x v="284"/>
    <s v="TA- PERU -  INFUSIONES -  TRADICIONES ANDINAS - Anis-  30 / 20x24g - TE03"/>
    <n v="1"/>
    <n v="27.29"/>
    <n v="27.29"/>
    <n v="62146.349999999955"/>
    <n v="5"/>
    <s v="Se repite 5 veces"/>
    <s v="Tradiciones Andinas-T.A Anis FILTRANTE 20saq x 30"/>
    <n v="5"/>
    <s v="Se repite 5 veces en Tradiciones Andinas"/>
    <s v="Tradiciones Andinas-T.A Anis FILTRANTE 20saq x 30-27.29"/>
    <n v="4"/>
    <s v="Se repite 4 veces el precio de 27.29"/>
    <s v="El producto T.A Anis FILTRANTE 20saq x 30 Se repite 5 veces en Tradiciones Andinas, Se repite 4 veces el precio de 27.29"/>
  </r>
  <r>
    <x v="3"/>
    <x v="6"/>
    <s v="Bill"/>
    <s v="487860"/>
    <x v="284"/>
    <s v="TA- PERU -  INFUSIONES -  TRADICIONES ANDINAS - Anis-  30 / 20x24g - TE03"/>
    <n v="4"/>
    <n v="27.29"/>
    <n v="109.16"/>
    <n v="83260.199999999968"/>
    <n v="5"/>
    <s v="Se repite 5 veces"/>
    <s v="Tradiciones Andinas-T.A Anis FILTRANTE 20saq x 30"/>
    <n v="5"/>
    <s v="Se repite 5 veces en Tradiciones Andinas"/>
    <s v="Tradiciones Andinas-T.A Anis FILTRANTE 20saq x 30-27.29"/>
    <n v="4"/>
    <s v="Se repite 4 veces el precio de 27.29"/>
    <s v="El producto T.A Anis FILTRANTE 20saq x 30 Se repite 5 veces en Tradiciones Andinas, Se repite 4 veces el precio de 27.29"/>
  </r>
  <r>
    <x v="3"/>
    <x v="7"/>
    <s v="Bill"/>
    <s v="492743"/>
    <x v="284"/>
    <s v="TA- PERU -  INFUSIONES -  TRADICIONES ANDINAS - Anis-  30 / 20x24g - TE03"/>
    <n v="5"/>
    <n v="27.29"/>
    <n v="136.44999999999999"/>
    <n v="108880.67999999991"/>
    <n v="5"/>
    <s v="Se repite 5 veces"/>
    <s v="Tradiciones Andinas-T.A Anis FILTRANTE 20saq x 30"/>
    <n v="5"/>
    <s v="Se repite 5 veces en Tradiciones Andinas"/>
    <s v="Tradiciones Andinas-T.A Anis FILTRANTE 20saq x 30-27.29"/>
    <n v="4"/>
    <s v="Se repite 4 veces el precio de 27.29"/>
    <s v="El producto T.A Anis FILTRANTE 20saq x 30 Se repite 5 veces en Tradiciones Andinas, Se repite 4 veces el precio de 27.29"/>
  </r>
  <r>
    <x v="3"/>
    <x v="7"/>
    <s v="Bill"/>
    <s v="492743"/>
    <x v="285"/>
    <s v="TRADICIONES ANDINAS- COLOMBIA -  FROZEN -  Arracacha / Yellow Cassava  -  16 / 16oz - C00211"/>
    <n v="2"/>
    <n v="37.5"/>
    <n v="75"/>
    <n v="116602.97999999988"/>
    <n v="1"/>
    <s v="No se repite"/>
    <s v="Tradiciones Andinas-T.A Arracacha / Yellow Cassava FROZEN 16oz x 16"/>
    <n v="1"/>
    <s v="No se repite en proveedor"/>
    <s v="Tradiciones Andinas-T.A Arracacha / Yellow Cassava FROZEN 16oz x 16-37.5"/>
    <n v="1"/>
    <s v="No se repite"/>
    <s v="El producto T.A Arracacha / Yellow Cassava FROZEN 16oz x 16 No se repite en proveedor Una vez con el precio 37.5"/>
  </r>
  <r>
    <x v="3"/>
    <x v="6"/>
    <s v="Bill"/>
    <s v="487860"/>
    <x v="286"/>
    <s v="Arroz de Cebada/ Barley Rice"/>
    <n v="2"/>
    <n v="31.2"/>
    <n v="62.4"/>
    <n v="78999.519999999975"/>
    <n v="1"/>
    <s v="No se repite"/>
    <s v="Tradiciones Andinas-T.A Arroz de Cebada/ Barley Rice 15oz x 24"/>
    <n v="1"/>
    <s v="No se repite en proveedor"/>
    <s v="Tradiciones Andinas-T.A Arroz de Cebada/ Barley Rice 15oz x 24-31.2"/>
    <n v="1"/>
    <s v="No se repite"/>
    <s v="El producto T.A Arroz de Cebada/ Barley Rice 15oz x 24 No se repite en proveedor Una vez con el precio 31.2"/>
  </r>
  <r>
    <x v="3"/>
    <x v="10"/>
    <s v="Bill"/>
    <s v="476974"/>
    <x v="287"/>
    <s v="Brevas en Almibar"/>
    <n v="2"/>
    <n v="34.68"/>
    <n v="69.36"/>
    <n v="21725.659999999996"/>
    <n v="1"/>
    <s v="No se repite"/>
    <s v="Tradiciones Andinas-T.A Brevas en Almibar 28oz x 12"/>
    <n v="1"/>
    <s v="No se repite en proveedor"/>
    <s v="Tradiciones Andinas-T.A Brevas en Almibar 28oz x 12-34.68"/>
    <n v="1"/>
    <s v="No se repite"/>
    <s v="El producto T.A Brevas en Almibar 28oz x 12 No se repite en proveedor Una vez con el precio 34.68"/>
  </r>
  <r>
    <x v="3"/>
    <x v="33"/>
    <s v="Bill"/>
    <s v="475144"/>
    <x v="288"/>
    <s v="Cancha Corn / Maiz Cancha"/>
    <n v="2"/>
    <n v="42.96"/>
    <n v="85.92"/>
    <n v="1081.72"/>
    <n v="10"/>
    <s v="Se repite 10 veces"/>
    <s v="Tradiciones Andinas-T.A Cancha Corn / Maiz Cancha 15oz x 24"/>
    <n v="10"/>
    <s v="Se repite 10 veces en Tradiciones Andinas"/>
    <s v="Tradiciones Andinas-T.A Cancha Corn / Maiz Cancha 15oz x 24-42.96"/>
    <n v="3"/>
    <s v="Se repite 3 veces el precio de 42.96"/>
    <s v="El producto T.A Cancha Corn / Maiz Cancha 15oz x 24 Se repite 10 veces en Tradiciones Andinas, Se repite 3 veces el precio de 42.96"/>
  </r>
  <r>
    <x v="3"/>
    <x v="9"/>
    <s v="Bill"/>
    <s v=""/>
    <x v="288"/>
    <s v="Cancha Corn / Maiz Cancha"/>
    <n v="2"/>
    <n v="42.96"/>
    <n v="85.92"/>
    <n v="4394.2"/>
    <n v="10"/>
    <s v="Se repite 10 veces"/>
    <s v="Tradiciones Andinas-T.A Cancha Corn / Maiz Cancha 15oz x 24"/>
    <n v="10"/>
    <s v="Se repite 10 veces en Tradiciones Andinas"/>
    <s v="Tradiciones Andinas-T.A Cancha Corn / Maiz Cancha 15oz x 24-42.96"/>
    <n v="3"/>
    <s v="Se repite 3 veces el precio de 42.96"/>
    <s v="El producto T.A Cancha Corn / Maiz Cancha 15oz x 24 Se repite 10 veces en Tradiciones Andinas, Se repite 3 veces el precio de 42.96"/>
  </r>
  <r>
    <x v="3"/>
    <x v="10"/>
    <s v="Bill"/>
    <s v="476974"/>
    <x v="288"/>
    <s v="Cancha Corn / Maiz Cancha"/>
    <n v="4"/>
    <n v="42.96"/>
    <n v="171.84"/>
    <n v="11237.959999999997"/>
    <n v="10"/>
    <s v="Se repite 10 veces"/>
    <s v="Tradiciones Andinas-T.A Cancha Corn / Maiz Cancha 15oz x 24"/>
    <n v="10"/>
    <s v="Se repite 10 veces en Tradiciones Andinas"/>
    <s v="Tradiciones Andinas-T.A Cancha Corn / Maiz Cancha 15oz x 24-42.96"/>
    <n v="3"/>
    <s v="Se repite 3 veces el precio de 42.96"/>
    <s v="El producto T.A Cancha Corn / Maiz Cancha 15oz x 24 Se repite 10 veces en Tradiciones Andinas, Se repite 3 veces el precio de 42.96"/>
  </r>
  <r>
    <x v="3"/>
    <x v="4"/>
    <s v="Bill"/>
    <s v="480295"/>
    <x v="288"/>
    <s v="TRADICIONES ANDINAS - PERU -  BOLSA -  Cancha Corn / Maiz Cancha-  24 / 15oz - P00162"/>
    <n v="8"/>
    <n v="45.96"/>
    <n v="367.68"/>
    <n v="37410.550000000003"/>
    <n v="10"/>
    <s v="Se repite 10 veces"/>
    <s v="Tradiciones Andinas-T.A Cancha Corn / Maiz Cancha 15oz x 24"/>
    <n v="10"/>
    <s v="Se repite 10 veces en Tradiciones Andinas"/>
    <s v="Tradiciones Andinas-T.A Cancha Corn / Maiz Cancha 15oz x 24-45.96"/>
    <n v="7"/>
    <s v="Se repite 7 veces el precio de 45.96"/>
    <s v="El producto T.A Cancha Corn / Maiz Cancha 15oz x 24 Se repite 10 veces en Tradiciones Andinas, Se repite 7 veces el precio de 45.96"/>
  </r>
  <r>
    <x v="3"/>
    <x v="45"/>
    <s v="Bill"/>
    <s v="480888"/>
    <x v="288"/>
    <s v="TRADICIONES ANDINAS - PERU -  BOLSA -  Cancha Corn / Maiz Cancha-  24 / 15oz - P00162"/>
    <n v="3"/>
    <n v="45.96"/>
    <n v="137.88"/>
    <n v="45624.94999999999"/>
    <n v="10"/>
    <s v="Se repite 10 veces"/>
    <s v="Tradiciones Andinas-T.A Cancha Corn / Maiz Cancha 15oz x 24"/>
    <n v="10"/>
    <s v="Se repite 10 veces en Tradiciones Andinas"/>
    <s v="Tradiciones Andinas-T.A Cancha Corn / Maiz Cancha 15oz x 24-45.96"/>
    <n v="7"/>
    <s v="Se repite 7 veces el precio de 45.96"/>
    <s v="El producto T.A Cancha Corn / Maiz Cancha 15oz x 24 Se repite 10 veces en Tradiciones Andinas, Se repite 7 veces el precio de 45.96"/>
  </r>
  <r>
    <x v="3"/>
    <x v="5"/>
    <s v="Bill"/>
    <s v="482005"/>
    <x v="288"/>
    <s v="TRADICIONES ANDINAS - PERU -  BOLSA -  Cancha Corn / Maiz Cancha-  24 / 15oz - P00162"/>
    <n v="8"/>
    <n v="45.96"/>
    <n v="367.68"/>
    <n v="48637.849999999977"/>
    <n v="10"/>
    <s v="Se repite 10 veces"/>
    <s v="Tradiciones Andinas-T.A Cancha Corn / Maiz Cancha 15oz x 24"/>
    <n v="10"/>
    <s v="Se repite 10 veces en Tradiciones Andinas"/>
    <s v="Tradiciones Andinas-T.A Cancha Corn / Maiz Cancha 15oz x 24-45.96"/>
    <n v="7"/>
    <s v="Se repite 7 veces el precio de 45.96"/>
    <s v="El producto T.A Cancha Corn / Maiz Cancha 15oz x 24 Se repite 10 veces en Tradiciones Andinas, Se repite 7 veces el precio de 45.96"/>
  </r>
  <r>
    <x v="3"/>
    <x v="6"/>
    <s v="Bill"/>
    <s v="487860"/>
    <x v="288"/>
    <s v="TRADICIONES ANDINAS - PERU -  BOLSA -  Cancha Corn / Maiz Cancha-  24 / 15oz - P00162"/>
    <n v="10"/>
    <n v="45.96"/>
    <n v="459.6"/>
    <n v="78500.819999999992"/>
    <n v="10"/>
    <s v="Se repite 10 veces"/>
    <s v="Tradiciones Andinas-T.A Cancha Corn / Maiz Cancha 15oz x 24"/>
    <n v="10"/>
    <s v="Se repite 10 veces en Tradiciones Andinas"/>
    <s v="Tradiciones Andinas-T.A Cancha Corn / Maiz Cancha 15oz x 24-45.96"/>
    <n v="7"/>
    <s v="Se repite 7 veces el precio de 45.96"/>
    <s v="El producto T.A Cancha Corn / Maiz Cancha 15oz x 24 Se repite 10 veces en Tradiciones Andinas, Se repite 7 veces el precio de 45.96"/>
  </r>
  <r>
    <x v="3"/>
    <x v="27"/>
    <s v="Bill"/>
    <s v="491180"/>
    <x v="288"/>
    <s v="TRADICIONES ANDINAS - PERU -  BOLSA -  Cancha Corn / Maiz Cancha-  24 / 15oz - P00162"/>
    <n v="5"/>
    <n v="45.96"/>
    <n v="229.8"/>
    <n v="100730.86999999994"/>
    <n v="10"/>
    <s v="Se repite 10 veces"/>
    <s v="Tradiciones Andinas-T.A Cancha Corn / Maiz Cancha 15oz x 24"/>
    <n v="10"/>
    <s v="Se repite 10 veces en Tradiciones Andinas"/>
    <s v="Tradiciones Andinas-T.A Cancha Corn / Maiz Cancha 15oz x 24-45.96"/>
    <n v="7"/>
    <s v="Se repite 7 veces el precio de 45.96"/>
    <s v="El producto T.A Cancha Corn / Maiz Cancha 15oz x 24 Se repite 10 veces en Tradiciones Andinas, Se repite 7 veces el precio de 45.96"/>
  </r>
  <r>
    <x v="3"/>
    <x v="7"/>
    <s v="Bill"/>
    <s v="492743"/>
    <x v="288"/>
    <s v="TRADICIONES ANDINAS - PERU -  BOLSA -  Cancha Corn / Maiz Cancha-  24 / 15oz - P00162"/>
    <n v="6"/>
    <n v="45.96"/>
    <n v="275.76"/>
    <n v="106160.43999999993"/>
    <n v="10"/>
    <s v="Se repite 10 veces"/>
    <s v="Tradiciones Andinas-T.A Cancha Corn / Maiz Cancha 15oz x 24"/>
    <n v="10"/>
    <s v="Se repite 10 veces en Tradiciones Andinas"/>
    <s v="Tradiciones Andinas-T.A Cancha Corn / Maiz Cancha 15oz x 24-45.96"/>
    <n v="7"/>
    <s v="Se repite 7 veces el precio de 45.96"/>
    <s v="El producto T.A Cancha Corn / Maiz Cancha 15oz x 24 Se repite 10 veces en Tradiciones Andinas, Se repite 7 veces el precio de 45.96"/>
  </r>
  <r>
    <x v="3"/>
    <x v="14"/>
    <s v="Bill"/>
    <s v="493132"/>
    <x v="288"/>
    <s v="TRADICIONES ANDINAS - PERU -  BOLSA -  Cancha Corn / Maiz Cancha-  24 / 15oz - P00162"/>
    <n v="10"/>
    <n v="45.96"/>
    <n v="459.6"/>
    <n v="117653.23999999989"/>
    <n v="10"/>
    <s v="Se repite 10 veces"/>
    <s v="Tradiciones Andinas-T.A Cancha Corn / Maiz Cancha 15oz x 24"/>
    <n v="10"/>
    <s v="Se repite 10 veces en Tradiciones Andinas"/>
    <s v="Tradiciones Andinas-T.A Cancha Corn / Maiz Cancha 15oz x 24-45.96"/>
    <n v="7"/>
    <s v="Se repite 7 veces el precio de 45.96"/>
    <s v="El producto T.A Cancha Corn / Maiz Cancha 15oz x 24 Se repite 10 veces en Tradiciones Andinas, Se repite 7 veces el precio de 45.96"/>
  </r>
  <r>
    <x v="3"/>
    <x v="33"/>
    <s v="Bill"/>
    <s v="475144"/>
    <x v="289"/>
    <s v="Cebada Tostada /Toasted Barley"/>
    <n v="2"/>
    <n v="19.8"/>
    <n v="39.6"/>
    <n v="1421.4799999999998"/>
    <n v="6"/>
    <s v="Se repite 6 veces"/>
    <s v="Tradiciones Andinas-T.A Cebada Tostada /Toasted Barley 15oz x 18"/>
    <n v="6"/>
    <s v="Se repite 6 veces en Tradiciones Andinas"/>
    <s v="Tradiciones Andinas-T.A Cebada Tostada /Toasted Barley 15oz x 18-19.8"/>
    <n v="3"/>
    <s v="Se repite 3 veces el precio de 19.8"/>
    <s v="El producto T.A Cebada Tostada /Toasted Barley 15oz x 18 Se repite 6 veces en Tradiciones Andinas, Se repite 3 veces el precio de 19.8"/>
  </r>
  <r>
    <x v="3"/>
    <x v="9"/>
    <s v="Bill"/>
    <s v=""/>
    <x v="289"/>
    <s v="Cebada Tostada /Toasted Barley"/>
    <n v="3"/>
    <n v="19.8"/>
    <n v="59.4"/>
    <n v="4710.6399999999994"/>
    <n v="6"/>
    <s v="Se repite 6 veces"/>
    <s v="Tradiciones Andinas-T.A Cebada Tostada /Toasted Barley 15oz x 18"/>
    <n v="6"/>
    <s v="Se repite 6 veces en Tradiciones Andinas"/>
    <s v="Tradiciones Andinas-T.A Cebada Tostada /Toasted Barley 15oz x 18-19.8"/>
    <n v="3"/>
    <s v="Se repite 3 veces el precio de 19.8"/>
    <s v="El producto T.A Cebada Tostada /Toasted Barley 15oz x 18 Se repite 6 veces en Tradiciones Andinas, Se repite 3 veces el precio de 19.8"/>
  </r>
  <r>
    <x v="3"/>
    <x v="10"/>
    <s v="Bill"/>
    <s v="476974"/>
    <x v="289"/>
    <s v="Cebada Tostada /Toasted Barley"/>
    <n v="10"/>
    <n v="19.8"/>
    <n v="198"/>
    <n v="12237.559999999998"/>
    <n v="6"/>
    <s v="Se repite 6 veces"/>
    <s v="Tradiciones Andinas-T.A Cebada Tostada /Toasted Barley 15oz x 18"/>
    <n v="6"/>
    <s v="Se repite 6 veces en Tradiciones Andinas"/>
    <s v="Tradiciones Andinas-T.A Cebada Tostada /Toasted Barley 15oz x 18-19.8"/>
    <n v="3"/>
    <s v="Se repite 3 veces el precio de 19.8"/>
    <s v="El producto T.A Cebada Tostada /Toasted Barley 15oz x 18 Se repite 6 veces en Tradiciones Andinas, Se repite 3 veces el precio de 19.8"/>
  </r>
  <r>
    <x v="3"/>
    <x v="5"/>
    <s v="Bill"/>
    <s v="482005"/>
    <x v="289"/>
    <s v="TRADICIONES ANDINAS - PERU -  BOLSA -  Cebada Tostada /Toasted Barley -  18 / 15oz - P00174"/>
    <n v="2"/>
    <n v="21.18"/>
    <n v="42.36"/>
    <n v="48936.469999999972"/>
    <n v="6"/>
    <s v="Se repite 6 veces"/>
    <s v="Tradiciones Andinas-T.A Cebada Tostada /Toasted Barley 15oz x 18"/>
    <n v="6"/>
    <s v="Se repite 6 veces en Tradiciones Andinas"/>
    <s v="Tradiciones Andinas-T.A Cebada Tostada /Toasted Barley 15oz x 18-21.18"/>
    <n v="3"/>
    <s v="Se repite 3 veces el precio de 21.18"/>
    <s v="El producto T.A Cebada Tostada /Toasted Barley 15oz x 18 Se repite 6 veces en Tradiciones Andinas, Se repite 3 veces el precio de 21.18"/>
  </r>
  <r>
    <x v="3"/>
    <x v="6"/>
    <s v="Bill"/>
    <s v="487860"/>
    <x v="289"/>
    <s v="TRADICIONES ANDINAS - PERU -  BOLSA -  Cebada Tostada /Toasted Barley -  18 / 15oz - P00174"/>
    <n v="5"/>
    <n v="21.18"/>
    <n v="105.9"/>
    <n v="78937.119999999981"/>
    <n v="6"/>
    <s v="Se repite 6 veces"/>
    <s v="Tradiciones Andinas-T.A Cebada Tostada /Toasted Barley 15oz x 18"/>
    <n v="6"/>
    <s v="Se repite 6 veces en Tradiciones Andinas"/>
    <s v="Tradiciones Andinas-T.A Cebada Tostada /Toasted Barley 15oz x 18-21.18"/>
    <n v="3"/>
    <s v="Se repite 3 veces el precio de 21.18"/>
    <s v="El producto T.A Cebada Tostada /Toasted Barley 15oz x 18 Se repite 6 veces en Tradiciones Andinas, Se repite 3 veces el precio de 21.18"/>
  </r>
  <r>
    <x v="3"/>
    <x v="27"/>
    <s v="Bill"/>
    <s v="491180"/>
    <x v="289"/>
    <s v="TRADICIONES ANDINAS - PERU -  BOLSA -  Cebada Tostada /Toasted Barley -  18 / 15oz - P00174"/>
    <n v="4"/>
    <n v="21.18"/>
    <n v="84.72"/>
    <n v="101614.62999999993"/>
    <n v="6"/>
    <s v="Se repite 6 veces"/>
    <s v="Tradiciones Andinas-T.A Cebada Tostada /Toasted Barley 15oz x 18"/>
    <n v="6"/>
    <s v="Se repite 6 veces en Tradiciones Andinas"/>
    <s v="Tradiciones Andinas-T.A Cebada Tostada /Toasted Barley 15oz x 18-21.18"/>
    <n v="3"/>
    <s v="Se repite 3 veces el precio de 21.18"/>
    <s v="El producto T.A Cebada Tostada /Toasted Barley 15oz x 18 Se repite 6 veces en Tradiciones Andinas, Se repite 3 veces el precio de 21.18"/>
  </r>
  <r>
    <x v="3"/>
    <x v="10"/>
    <s v="Bill"/>
    <s v="476974"/>
    <x v="290"/>
    <s v="Chia /Chia Seeds"/>
    <n v="2"/>
    <n v="28.64"/>
    <n v="57.28"/>
    <n v="12996.119999999999"/>
    <n v="4"/>
    <s v="Se repite 4 veces"/>
    <s v="Tradiciones Andinas-T.A Chia /Chia Seeds 12oz x 16"/>
    <n v="4"/>
    <s v="Se repite 4 veces en Tradiciones Andinas"/>
    <s v="Tradiciones Andinas-T.A Chia /Chia Seeds 12oz x 16-28.64"/>
    <n v="2"/>
    <s v="Se repite 2 veces el precio de 28.64"/>
    <s v="El producto T.A Chia /Chia Seeds 12oz x 16 Se repite 4 veces en Tradiciones Andinas, Se repite 2 veces el precio de 28.64"/>
  </r>
  <r>
    <x v="3"/>
    <x v="31"/>
    <s v="Bill"/>
    <s v="477393"/>
    <x v="290"/>
    <s v="TRADICIONES ANDINAS - PERU -  HEALTHY  PRODUCTS -  Chia /Chia Seeds -  16 / 12oz - P00400"/>
    <n v="1"/>
    <n v="28.64"/>
    <n v="28.64"/>
    <n v="24111.42"/>
    <n v="4"/>
    <s v="Se repite 4 veces"/>
    <s v="Tradiciones Andinas-T.A Chia /Chia Seeds 12oz x 16"/>
    <n v="4"/>
    <s v="Se repite 4 veces en Tradiciones Andinas"/>
    <s v="Tradiciones Andinas-T.A Chia /Chia Seeds 12oz x 16-28.64"/>
    <n v="2"/>
    <s v="Se repite 2 veces el precio de 28.64"/>
    <s v="El producto T.A Chia /Chia Seeds 12oz x 16 Se repite 4 veces en Tradiciones Andinas, Se repite 2 veces el precio de 28.64"/>
  </r>
  <r>
    <x v="3"/>
    <x v="6"/>
    <s v="Bill"/>
    <s v="487860"/>
    <x v="290"/>
    <s v="TRADICIONES ANDINAS - PERU -  HEALTHY  PRODUCTS -  Chia /Chia Seeds -  16 / 12oz - P00400"/>
    <n v="1"/>
    <n v="30.64"/>
    <n v="30.64"/>
    <n v="79711.539999999964"/>
    <n v="4"/>
    <s v="Se repite 4 veces"/>
    <s v="Tradiciones Andinas-T.A Chia /Chia Seeds 12oz x 16"/>
    <n v="4"/>
    <s v="Se repite 4 veces en Tradiciones Andinas"/>
    <s v="Tradiciones Andinas-T.A Chia /Chia Seeds 12oz x 16-30.64"/>
    <n v="2"/>
    <s v="Se repite 2 veces el precio de 30.64"/>
    <s v="El producto T.A Chia /Chia Seeds 12oz x 16 Se repite 4 veces en Tradiciones Andinas, Se repite 2 veces el precio de 30.64"/>
  </r>
  <r>
    <x v="3"/>
    <x v="32"/>
    <s v="Bill"/>
    <s v="491332"/>
    <x v="290"/>
    <s v="TRADICIONES ANDINAS - PERU -  HEALTHY  PRODUCTS -  Chia /Chia Seeds -  16 / 12oz - P00400"/>
    <n v="2"/>
    <n v="30.64"/>
    <n v="61.28"/>
    <n v="93300.829999999944"/>
    <n v="4"/>
    <s v="Se repite 4 veces"/>
    <s v="Tradiciones Andinas-T.A Chia /Chia Seeds 12oz x 16"/>
    <n v="4"/>
    <s v="Se repite 4 veces en Tradiciones Andinas"/>
    <s v="Tradiciones Andinas-T.A Chia /Chia Seeds 12oz x 16-30.64"/>
    <n v="2"/>
    <s v="Se repite 2 veces el precio de 30.64"/>
    <s v="El producto T.A Chia /Chia Seeds 12oz x 16 Se repite 4 veces en Tradiciones Andinas, Se repite 2 veces el precio de 30.64"/>
  </r>
  <r>
    <x v="3"/>
    <x v="33"/>
    <s v="Bill"/>
    <s v="475144"/>
    <x v="291"/>
    <s v="Tradiciones Andinas - Chicha de Jora /Jora Seasoning"/>
    <n v="1"/>
    <n v="35.880000000000003"/>
    <n v="35.880000000000003"/>
    <n v="2640.8599999999997"/>
    <n v="8"/>
    <s v="Se repite 8 veces"/>
    <s v="Tradiciones Andinas-T.A Chicha de Jora /Jora Seasoning"/>
    <n v="8"/>
    <s v="Se repite 8 veces en Tradiciones Andinas"/>
    <s v="Tradiciones Andinas-T.A Chicha de Jora /Jora Seasoning-35.88"/>
    <n v="1"/>
    <s v="No se repite"/>
    <s v="El producto T.A Chicha de Jora /Jora Seasoning Se repite 8 veces en Tradiciones Andinas Una vez con el precio 35.88"/>
  </r>
  <r>
    <x v="3"/>
    <x v="11"/>
    <s v="Bill"/>
    <s v="478734"/>
    <x v="291"/>
    <s v="TRADICIONES ANDINAS - PERU -  CONDIMENT PRODUCTS -  Tradiciones Andinas - Chicha de Jora /Jora Seasoning -  12 / 1 lt - P00134"/>
    <n v="8"/>
    <n v="38.39"/>
    <n v="307.12"/>
    <n v="26101.399999999994"/>
    <n v="8"/>
    <s v="Se repite 8 veces"/>
    <s v="Tradiciones Andinas-T.A Chicha de Jora /Jora Seasoning"/>
    <n v="8"/>
    <s v="Se repite 8 veces en Tradiciones Andinas"/>
    <s v="Tradiciones Andinas-T.A Chicha de Jora /Jora Seasoning-38.39"/>
    <n v="4"/>
    <s v="Se repite 4 veces el precio de 38.39"/>
    <s v="El producto T.A Chicha de Jora /Jora Seasoning Se repite 8 veces en Tradiciones Andinas, Se repite 4 veces el precio de 38.39"/>
  </r>
  <r>
    <x v="3"/>
    <x v="4"/>
    <s v="Bill"/>
    <s v="480295"/>
    <x v="291"/>
    <s v="TRADICIONES ANDINAS - PERU -  CONDIMENT PRODUCTS -  Tradiciones Andinas - Chicha de Jora /Jora Seasoning -  12 / 1 lt - P00134"/>
    <n v="5"/>
    <n v="38.39"/>
    <n v="191.95"/>
    <n v="38884.6"/>
    <n v="8"/>
    <s v="Se repite 8 veces"/>
    <s v="Tradiciones Andinas-T.A Chicha de Jora /Jora Seasoning"/>
    <n v="8"/>
    <s v="Se repite 8 veces en Tradiciones Andinas"/>
    <s v="Tradiciones Andinas-T.A Chicha de Jora /Jora Seasoning-38.39"/>
    <n v="4"/>
    <s v="Se repite 4 veces el precio de 38.39"/>
    <s v="El producto T.A Chicha de Jora /Jora Seasoning Se repite 8 veces en Tradiciones Andinas, Se repite 4 veces el precio de 38.39"/>
  </r>
  <r>
    <x v="3"/>
    <x v="5"/>
    <s v="Bill"/>
    <s v="482005"/>
    <x v="291"/>
    <s v="TRADICIONES ANDINAS - PERU -  CONDIMENT PRODUCTS -  Tradiciones Andinas - Chicha de Jora /Jora Seasoning -  12 / 1 lt - P00134"/>
    <n v="5"/>
    <n v="38.39"/>
    <n v="191.95"/>
    <n v="50891.459999999963"/>
    <n v="8"/>
    <s v="Se repite 8 veces"/>
    <s v="Tradiciones Andinas-T.A Chicha de Jora /Jora Seasoning"/>
    <n v="8"/>
    <s v="Se repite 8 veces en Tradiciones Andinas"/>
    <s v="Tradiciones Andinas-T.A Chicha de Jora /Jora Seasoning-38.39"/>
    <n v="4"/>
    <s v="Se repite 4 veces el precio de 38.39"/>
    <s v="El producto T.A Chicha de Jora /Jora Seasoning Se repite 8 veces en Tradiciones Andinas, Se repite 4 veces el precio de 38.39"/>
  </r>
  <r>
    <x v="3"/>
    <x v="13"/>
    <s v="Bill"/>
    <s v="485230"/>
    <x v="291"/>
    <s v="TRADICIONES ANDINAS - PERU -  CONDIMENT PRODUCTS -  Tradiciones Andinas - Chicha de Jora /Jora Seasoning -  12 / 1 lt - P00134"/>
    <n v="3"/>
    <n v="38.39"/>
    <n v="115.17"/>
    <n v="69891.570000000022"/>
    <n v="8"/>
    <s v="Se repite 8 veces"/>
    <s v="Tradiciones Andinas-T.A Chicha de Jora /Jora Seasoning"/>
    <n v="8"/>
    <s v="Se repite 8 veces en Tradiciones Andinas"/>
    <s v="Tradiciones Andinas-T.A Chicha de Jora /Jora Seasoning-38.39"/>
    <n v="4"/>
    <s v="Se repite 4 veces el precio de 38.39"/>
    <s v="El producto T.A Chicha de Jora /Jora Seasoning Se repite 8 veces en Tradiciones Andinas, Se repite 4 veces el precio de 38.39"/>
  </r>
  <r>
    <x v="3"/>
    <x v="6"/>
    <s v="Bill"/>
    <s v="487860"/>
    <x v="291"/>
    <s v="TRADICIONES ANDINAS - PERU -  CONDIMENT PRODUCTS -  Tradiciones Andinas - Chicha de Jora /Jora Seasoning -  12 / 1 lt - P00134"/>
    <n v="3"/>
    <n v="38.380000000000003"/>
    <n v="115.14"/>
    <n v="81186.989999999962"/>
    <n v="8"/>
    <s v="Se repite 8 veces"/>
    <s v="Tradiciones Andinas-T.A Chicha de Jora /Jora Seasoning"/>
    <n v="8"/>
    <s v="Se repite 8 veces en Tradiciones Andinas"/>
    <s v="Tradiciones Andinas-T.A Chicha de Jora /Jora Seasoning-38.38"/>
    <n v="3"/>
    <s v="Se repite 3 veces el precio de 38.38"/>
    <s v="El producto T.A Chicha de Jora /Jora Seasoning Se repite 8 veces en Tradiciones Andinas, Se repite 3 veces el precio de 38.38"/>
  </r>
  <r>
    <x v="3"/>
    <x v="27"/>
    <s v="Bill"/>
    <s v="491180"/>
    <x v="291"/>
    <s v="TRADICIONES ANDINAS - PERU -  CONDIMENT PRODUCTS -  Tradiciones Andinas - Chicha de Jora /Jora Seasoning -  12 / 1 lt - P00134"/>
    <n v="3"/>
    <n v="38.380000000000003"/>
    <n v="115.14"/>
    <n v="102099.74999999993"/>
    <n v="8"/>
    <s v="Se repite 8 veces"/>
    <s v="Tradiciones Andinas-T.A Chicha de Jora /Jora Seasoning"/>
    <n v="8"/>
    <s v="Se repite 8 veces en Tradiciones Andinas"/>
    <s v="Tradiciones Andinas-T.A Chicha de Jora /Jora Seasoning-38.38"/>
    <n v="3"/>
    <s v="Se repite 3 veces el precio de 38.38"/>
    <s v="El producto T.A Chicha de Jora /Jora Seasoning Se repite 8 veces en Tradiciones Andinas, Se repite 3 veces el precio de 38.38"/>
  </r>
  <r>
    <x v="3"/>
    <x v="7"/>
    <s v="Bill"/>
    <s v="492743"/>
    <x v="291"/>
    <s v="TRADICIONES ANDINAS - PERU -  CONDIMENT PRODUCTS -  Tradiciones Andinas - Chicha de Jora /Jora Seasoning -  12 / 1 lt - P00134"/>
    <n v="12"/>
    <n v="38.380000000000003"/>
    <n v="460.56"/>
    <n v="107979.08999999991"/>
    <n v="8"/>
    <s v="Se repite 8 veces"/>
    <s v="Tradiciones Andinas-T.A Chicha de Jora /Jora Seasoning"/>
    <n v="8"/>
    <s v="Se repite 8 veces en Tradiciones Andinas"/>
    <s v="Tradiciones Andinas-T.A Chicha de Jora /Jora Seasoning-38.38"/>
    <n v="3"/>
    <s v="Se repite 3 veces el precio de 38.38"/>
    <s v="El producto T.A Chicha de Jora /Jora Seasoning Se repite 8 veces en Tradiciones Andinas, Se repite 3 veces el precio de 38.38"/>
  </r>
  <r>
    <x v="3"/>
    <x v="10"/>
    <s v="Bill"/>
    <s v="476974"/>
    <x v="292"/>
    <s v="Chicha Morada / Purple Corn Drink"/>
    <n v="3"/>
    <n v="18.600000000000001"/>
    <n v="55.8"/>
    <n v="13861.039999999999"/>
    <n v="2"/>
    <s v="Se repite 2 veces"/>
    <s v="Tradiciones Andinas-T.A Chicha Morada bebida / Purple Corn Drink 1L x 12"/>
    <n v="2"/>
    <s v="Se repite 2 veces en Tradiciones Andinas"/>
    <s v="Tradiciones Andinas-T.A Chicha Morada bebida / Purple Corn Drink 1L x 12-18.6"/>
    <n v="1"/>
    <s v="No se repite"/>
    <s v="El producto T.A Chicha Morada bebida / Purple Corn Drink 1L x 12 Se repite 2 veces en Tradiciones Andinas Una vez con el precio 18.6"/>
  </r>
  <r>
    <x v="3"/>
    <x v="4"/>
    <s v="Bill"/>
    <s v="480295"/>
    <x v="292"/>
    <s v="TRADICIONES ANDINAS - PERU -  DRINKS -  Chicha Morada / Purple Corn Drink -  12 / 33.81 fl.oz (1 lt) - 07106"/>
    <n v="6"/>
    <n v="19.899999999999999"/>
    <n v="119.4"/>
    <n v="38092.68"/>
    <n v="2"/>
    <s v="Se repite 2 veces"/>
    <s v="Tradiciones Andinas-T.A Chicha Morada bebida / Purple Corn Drink 1L x 12"/>
    <n v="2"/>
    <s v="Se repite 2 veces en Tradiciones Andinas"/>
    <s v="Tradiciones Andinas-T.A Chicha Morada bebida / Purple Corn Drink 1L x 12-19.9"/>
    <n v="1"/>
    <s v="No se repite"/>
    <s v="El producto T.A Chicha Morada bebida / Purple Corn Drink 1L x 12 Se repite 2 veces en Tradiciones Andinas Una vez con el precio 19.9"/>
  </r>
  <r>
    <x v="3"/>
    <x v="10"/>
    <s v="Bill"/>
    <s v="476974"/>
    <x v="293"/>
    <s v="Chicha Morada /Purple Corn Drink"/>
    <n v="3"/>
    <n v="13.08"/>
    <n v="39.24"/>
    <n v="13900.279999999999"/>
    <n v="3"/>
    <s v="Se repite 3 veces"/>
    <s v="Tradiciones Andinas-T.A Chicha Morada bebida /Purple Corn Drink botella16oz x 12"/>
    <n v="3"/>
    <s v="Se repite 3 veces en Tradiciones Andinas"/>
    <s v="Tradiciones Andinas-T.A Chicha Morada bebida /Purple Corn Drink botella16oz x 12-13.08"/>
    <n v="1"/>
    <s v="No se repite"/>
    <s v="El producto T.A Chicha Morada bebida /Purple Corn Drink botella16oz x 12 Se repite 3 veces en Tradiciones Andinas Una vez con el precio 13.08"/>
  </r>
  <r>
    <x v="3"/>
    <x v="11"/>
    <s v="Bill"/>
    <s v="478734"/>
    <x v="293"/>
    <s v="TRADICIONES ANDINAS - PERU -  DRINKS -  Chicha Morada /Purple Corn Drink -  12 / 16 fl.oz - 07119"/>
    <n v="4"/>
    <n v="14"/>
    <n v="56"/>
    <n v="25594.189999999995"/>
    <n v="3"/>
    <s v="Se repite 3 veces"/>
    <s v="Tradiciones Andinas-T.A Chicha Morada bebida /Purple Corn Drink botella16oz x 12"/>
    <n v="3"/>
    <s v="Se repite 3 veces en Tradiciones Andinas"/>
    <s v="Tradiciones Andinas-T.A Chicha Morada bebida /Purple Corn Drink botella16oz x 12-14"/>
    <n v="2"/>
    <s v="Se repite 2 veces el precio de 14"/>
    <s v="El producto T.A Chicha Morada bebida /Purple Corn Drink botella16oz x 12 Se repite 3 veces en Tradiciones Andinas, Se repite 2 veces el precio de 14"/>
  </r>
  <r>
    <x v="3"/>
    <x v="4"/>
    <s v="Bill"/>
    <s v="480295"/>
    <x v="293"/>
    <s v="TRADICIONES ANDINAS - PERU -  DRINKS -  Chicha Morada /Purple Corn Drink -  12 / 16 fl.oz - 07119"/>
    <n v="5"/>
    <n v="14"/>
    <n v="70"/>
    <n v="38162.68"/>
    <n v="3"/>
    <s v="Se repite 3 veces"/>
    <s v="Tradiciones Andinas-T.A Chicha Morada bebida /Purple Corn Drink botella16oz x 12"/>
    <n v="3"/>
    <s v="Se repite 3 veces en Tradiciones Andinas"/>
    <s v="Tradiciones Andinas-T.A Chicha Morada bebida /Purple Corn Drink botella16oz x 12-14"/>
    <n v="2"/>
    <s v="Se repite 2 veces el precio de 14"/>
    <s v="El producto T.A Chicha Morada bebida /Purple Corn Drink botella16oz x 12 Se repite 3 veces en Tradiciones Andinas, Se repite 2 veces el precio de 14"/>
  </r>
  <r>
    <x v="3"/>
    <x v="9"/>
    <s v="Bill"/>
    <s v=""/>
    <x v="294"/>
    <s v="Choclo en Grano / Corn in Grain"/>
    <n v="3"/>
    <n v="51"/>
    <n v="153"/>
    <n v="7602.44"/>
    <n v="7"/>
    <s v="Se repite 7 veces"/>
    <s v="Tradiciones Andinas-T.A Choclo desgranado / Corn in Grain 16oz x 30 FROZEN"/>
    <n v="7"/>
    <s v="Se repite 7 veces en Tradiciones Andinas"/>
    <s v="Tradiciones Andinas-T.A Choclo desgranado / Corn in Grain 16oz x 30 FROZEN-51"/>
    <n v="2"/>
    <s v="Se repite 2 veces el precio de 51"/>
    <s v="El producto T.A Choclo desgranado / Corn in Grain 16oz x 30 FROZEN Se repite 7 veces en Tradiciones Andinas, Se repite 2 veces el precio de 51"/>
  </r>
  <r>
    <x v="3"/>
    <x v="10"/>
    <s v="Bill"/>
    <s v="476974"/>
    <x v="294"/>
    <s v="Choclo en Grano / Corn in Grain"/>
    <n v="2"/>
    <n v="51"/>
    <n v="102"/>
    <n v="23206.74"/>
    <n v="7"/>
    <s v="Se repite 7 veces"/>
    <s v="Tradiciones Andinas-T.A Choclo desgranado / Corn in Grain 16oz x 30 FROZEN"/>
    <n v="7"/>
    <s v="Se repite 7 veces en Tradiciones Andinas"/>
    <s v="Tradiciones Andinas-T.A Choclo desgranado / Corn in Grain 16oz x 30 FROZEN-51"/>
    <n v="2"/>
    <s v="Se repite 2 veces el precio de 51"/>
    <s v="El producto T.A Choclo desgranado / Corn in Grain 16oz x 30 FROZEN Se repite 7 veces en Tradiciones Andinas, Se repite 2 veces el precio de 51"/>
  </r>
  <r>
    <x v="3"/>
    <x v="4"/>
    <s v="Bill"/>
    <s v="480295"/>
    <x v="294"/>
    <s v="TRADICIONES ANDINAS- PERU -  FROZEN -  Choclo en Grano / Corn in Grain   -  30 / 16oz - P00115"/>
    <n v="8"/>
    <n v="54.57"/>
    <n v="436.56"/>
    <n v="42995.37999999999"/>
    <n v="7"/>
    <s v="Se repite 7 veces"/>
    <s v="Tradiciones Andinas-T.A Choclo desgranado / Corn in Grain 16oz x 30 FROZEN"/>
    <n v="7"/>
    <s v="Se repite 7 veces en Tradiciones Andinas"/>
    <s v="Tradiciones Andinas-T.A Choclo desgranado / Corn in Grain 16oz x 30 FROZEN-54.57"/>
    <n v="5"/>
    <s v="Se repite 5 veces el precio de 54.57"/>
    <s v="El producto T.A Choclo desgranado / Corn in Grain 16oz x 30 FROZEN Se repite 7 veces en Tradiciones Andinas, Se repite 5 veces el precio de 54.57"/>
  </r>
  <r>
    <x v="3"/>
    <x v="25"/>
    <s v="Bill"/>
    <s v="483292"/>
    <x v="294"/>
    <s v="TRADICIONES ANDINAS- PERU -  FROZEN -  Choclo en Grano / Corn in Grain   -  30 / 16oz - P00115"/>
    <n v="8"/>
    <n v="54.57"/>
    <n v="436.56"/>
    <n v="65763.099999999962"/>
    <n v="7"/>
    <s v="Se repite 7 veces"/>
    <s v="Tradiciones Andinas-T.A Choclo desgranado / Corn in Grain 16oz x 30 FROZEN"/>
    <n v="7"/>
    <s v="Se repite 7 veces en Tradiciones Andinas"/>
    <s v="Tradiciones Andinas-T.A Choclo desgranado / Corn in Grain 16oz x 30 FROZEN-54.57"/>
    <n v="5"/>
    <s v="Se repite 5 veces el precio de 54.57"/>
    <s v="El producto T.A Choclo desgranado / Corn in Grain 16oz x 30 FROZEN Se repite 7 veces en Tradiciones Andinas, Se repite 5 veces el precio de 54.57"/>
  </r>
  <r>
    <x v="3"/>
    <x v="13"/>
    <s v="Bill"/>
    <s v="485230"/>
    <x v="294"/>
    <s v="TRADICIONES ANDINAS- PERU -  FROZEN -  Choclo en Grano / Corn in Grain   -  30 / 16oz - P00115"/>
    <n v="6"/>
    <n v="54.57"/>
    <n v="327.42"/>
    <n v="72825.560000000012"/>
    <n v="7"/>
    <s v="Se repite 7 veces"/>
    <s v="Tradiciones Andinas-T.A Choclo desgranado / Corn in Grain 16oz x 30 FROZEN"/>
    <n v="7"/>
    <s v="Se repite 7 veces en Tradiciones Andinas"/>
    <s v="Tradiciones Andinas-T.A Choclo desgranado / Corn in Grain 16oz x 30 FROZEN-54.57"/>
    <n v="5"/>
    <s v="Se repite 5 veces el precio de 54.57"/>
    <s v="El producto T.A Choclo desgranado / Corn in Grain 16oz x 30 FROZEN Se repite 7 veces en Tradiciones Andinas, Se repite 5 veces el precio de 54.57"/>
  </r>
  <r>
    <x v="3"/>
    <x v="6"/>
    <s v="Bill"/>
    <s v="487860"/>
    <x v="294"/>
    <s v="TRADICIONES ANDINAS- PERU -  FROZEN -  Choclo en Grano / Corn in Grain   -  30 / 16oz - P00115"/>
    <n v="2"/>
    <n v="54.57"/>
    <n v="109.14"/>
    <n v="88492.559999999939"/>
    <n v="7"/>
    <s v="Se repite 7 veces"/>
    <s v="Tradiciones Andinas-T.A Choclo desgranado / Corn in Grain 16oz x 30 FROZEN"/>
    <n v="7"/>
    <s v="Se repite 7 veces en Tradiciones Andinas"/>
    <s v="Tradiciones Andinas-T.A Choclo desgranado / Corn in Grain 16oz x 30 FROZEN-54.57"/>
    <n v="5"/>
    <s v="Se repite 5 veces el precio de 54.57"/>
    <s v="El producto T.A Choclo desgranado / Corn in Grain 16oz x 30 FROZEN Se repite 7 veces en Tradiciones Andinas, Se repite 5 veces el precio de 54.57"/>
  </r>
  <r>
    <x v="3"/>
    <x v="7"/>
    <s v="Bill"/>
    <s v="492743"/>
    <x v="294"/>
    <s v="TRADICIONES ANDINAS- PERU -  FROZEN -  Choclo en Grano / Corn in Grain   -  30 / 16oz - P00115"/>
    <n v="6"/>
    <n v="54.57"/>
    <n v="327.42"/>
    <n v="115002.37999999987"/>
    <n v="7"/>
    <s v="Se repite 7 veces"/>
    <s v="Tradiciones Andinas-T.A Choclo desgranado / Corn in Grain 16oz x 30 FROZEN"/>
    <n v="7"/>
    <s v="Se repite 7 veces en Tradiciones Andinas"/>
    <s v="Tradiciones Andinas-T.A Choclo desgranado / Corn in Grain 16oz x 30 FROZEN-54.57"/>
    <n v="5"/>
    <s v="Se repite 5 veces el precio de 54.57"/>
    <s v="El producto T.A Choclo desgranado / Corn in Grain 16oz x 30 FROZEN Se repite 7 veces en Tradiciones Andinas, Se repite 5 veces el precio de 54.57"/>
  </r>
  <r>
    <x v="3"/>
    <x v="33"/>
    <s v="Bill"/>
    <s v="475144"/>
    <x v="295"/>
    <s v="T.A Choclo desgranado / Corn in Grain FROZEN  4Lb x 10 P00199A"/>
    <n v="2"/>
    <n v="60"/>
    <n v="120"/>
    <n v="3009.68"/>
    <n v="2"/>
    <s v="Se repite 2 veces"/>
    <s v="Tradiciones Andinas-T.A Choclo desgranado / Corn in Grain FROZEN  4Lb x 10"/>
    <n v="2"/>
    <s v="Se repite 2 veces en Tradiciones Andinas"/>
    <s v="Tradiciones Andinas-T.A Choclo desgranado / Corn in Grain FROZEN  4Lb x 10-60"/>
    <n v="1"/>
    <s v="No se repite"/>
    <s v="El producto T.A Choclo desgranado / Corn in Grain FROZEN  4Lb x 10 Se repite 2 veces en Tradiciones Andinas Una vez con el precio 60"/>
  </r>
  <r>
    <x v="3"/>
    <x v="6"/>
    <s v="Bill"/>
    <s v="487860"/>
    <x v="295"/>
    <s v="T.A Choclo desgranado / Corn in Grain FROZEN  4Lb x 10 P00199A"/>
    <n v="6"/>
    <n v="64.2"/>
    <n v="385.2"/>
    <n v="89245.039999999935"/>
    <n v="2"/>
    <s v="Se repite 2 veces"/>
    <s v="Tradiciones Andinas-T.A Choclo desgranado / Corn in Grain FROZEN  4Lb x 10"/>
    <n v="2"/>
    <s v="Se repite 2 veces en Tradiciones Andinas"/>
    <s v="Tradiciones Andinas-T.A Choclo desgranado / Corn in Grain FROZEN  4Lb x 10-64.2"/>
    <n v="1"/>
    <s v="No se repite"/>
    <s v="El producto T.A Choclo desgranado / Corn in Grain FROZEN  4Lb x 10 Se repite 2 veces en Tradiciones Andinas Una vez con el precio 64.2"/>
  </r>
  <r>
    <x v="3"/>
    <x v="9"/>
    <s v="Bill"/>
    <s v=""/>
    <x v="296"/>
    <s v="TRADICIONES ANDINAS- PERU -  FROZEN -  Choclo Entero / Corn on the Cob -  18/2"/>
    <n v="3"/>
    <n v="30.6"/>
    <n v="91.8"/>
    <n v="7092.44"/>
    <n v="7"/>
    <s v="Se repite 7 veces"/>
    <s v="Tradiciones Andinas-T.A Choclo Entero / Corn on the Cob 2 x 18 FROZEN"/>
    <n v="7"/>
    <s v="Se repite 7 veces en Tradiciones Andinas"/>
    <s v="Tradiciones Andinas-T.A Choclo Entero / Corn on the Cob 2 x 18 FROZEN-30.6"/>
    <n v="2"/>
    <s v="Se repite 2 veces el precio de 30.6"/>
    <s v="El producto T.A Choclo Entero / Corn on the Cob 2 x 18 FROZEN Se repite 7 veces en Tradiciones Andinas, Se repite 2 veces el precio de 30.6"/>
  </r>
  <r>
    <x v="3"/>
    <x v="10"/>
    <s v="Bill"/>
    <s v="476974"/>
    <x v="296"/>
    <s v="TRADICIONES ANDINAS- PERU -  FROZEN -  Choclo Entero / Corn on the Cob -  18/2"/>
    <n v="4"/>
    <n v="30.6"/>
    <n v="122.4"/>
    <n v="22711.54"/>
    <n v="7"/>
    <s v="Se repite 7 veces"/>
    <s v="Tradiciones Andinas-T.A Choclo Entero / Corn on the Cob 2 x 18 FROZEN"/>
    <n v="7"/>
    <s v="Se repite 7 veces en Tradiciones Andinas"/>
    <s v="Tradiciones Andinas-T.A Choclo Entero / Corn on the Cob 2 x 18 FROZEN-30.6"/>
    <n v="2"/>
    <s v="Se repite 2 veces el precio de 30.6"/>
    <s v="El producto T.A Choclo Entero / Corn on the Cob 2 x 18 FROZEN Se repite 7 veces en Tradiciones Andinas, Se repite 2 veces el precio de 30.6"/>
  </r>
  <r>
    <x v="3"/>
    <x v="4"/>
    <s v="Bill"/>
    <s v="480295"/>
    <x v="296"/>
    <s v="TRADICIONES ANDINAS- PERU -  FROZEN -  Choclo Entero / Corn on the Cob -  18/2"/>
    <n v="1"/>
    <n v="32.74"/>
    <n v="32.74"/>
    <n v="41407.499999999993"/>
    <n v="7"/>
    <s v="Se repite 7 veces"/>
    <s v="Tradiciones Andinas-T.A Choclo Entero / Corn on the Cob 2 x 18 FROZEN"/>
    <n v="7"/>
    <s v="Se repite 7 veces en Tradiciones Andinas"/>
    <s v="Tradiciones Andinas-T.A Choclo Entero / Corn on the Cob 2 x 18 FROZEN-32.74"/>
    <n v="5"/>
    <s v="Se repite 5 veces el precio de 32.74"/>
    <s v="El producto T.A Choclo Entero / Corn on the Cob 2 x 18 FROZEN Se repite 7 veces en Tradiciones Andinas, Se repite 5 veces el precio de 32.74"/>
  </r>
  <r>
    <x v="3"/>
    <x v="25"/>
    <s v="Bill"/>
    <s v="483292"/>
    <x v="296"/>
    <s v="TRADICIONES ANDINAS- PERU -  FROZEN -  Choclo Entero / Corn on the Cob -  18/2"/>
    <n v="2"/>
    <n v="32.74"/>
    <n v="65.48"/>
    <n v="63588.279999999948"/>
    <n v="7"/>
    <s v="Se repite 7 veces"/>
    <s v="Tradiciones Andinas-T.A Choclo Entero / Corn on the Cob 2 x 18 FROZEN"/>
    <n v="7"/>
    <s v="Se repite 7 veces en Tradiciones Andinas"/>
    <s v="Tradiciones Andinas-T.A Choclo Entero / Corn on the Cob 2 x 18 FROZEN-32.74"/>
    <n v="5"/>
    <s v="Se repite 5 veces el precio de 32.74"/>
    <s v="El producto T.A Choclo Entero / Corn on the Cob 2 x 18 FROZEN Se repite 7 veces en Tradiciones Andinas, Se repite 5 veces el precio de 32.74"/>
  </r>
  <r>
    <x v="3"/>
    <x v="25"/>
    <s v="Bill"/>
    <s v="483292"/>
    <x v="296"/>
    <s v="TRADICIONES ANDINAS- PERU -  FROZEN -  Choclo Entero / Corn on the Cob -  18/2"/>
    <n v="4"/>
    <n v="32.74"/>
    <n v="130.96"/>
    <n v="66193.659999999974"/>
    <n v="7"/>
    <s v="Se repite 7 veces"/>
    <s v="Tradiciones Andinas-T.A Choclo Entero / Corn on the Cob 2 x 18 FROZEN"/>
    <n v="7"/>
    <s v="Se repite 7 veces en Tradiciones Andinas"/>
    <s v="Tradiciones Andinas-T.A Choclo Entero / Corn on the Cob 2 x 18 FROZEN-32.74"/>
    <n v="5"/>
    <s v="Se repite 5 veces el precio de 32.74"/>
    <s v="El producto T.A Choclo Entero / Corn on the Cob 2 x 18 FROZEN Se repite 7 veces en Tradiciones Andinas, Se repite 5 veces el precio de 32.74"/>
  </r>
  <r>
    <x v="3"/>
    <x v="13"/>
    <s v="Bill"/>
    <s v="485230"/>
    <x v="296"/>
    <s v="TRADICIONES ANDINAS- PERU -  FROZEN -  Choclo Entero / Corn on the Cob -  18/2 - P00110"/>
    <n v="6"/>
    <n v="32.74"/>
    <n v="196.44"/>
    <n v="72340.040000000008"/>
    <n v="7"/>
    <s v="Se repite 7 veces"/>
    <s v="Tradiciones Andinas-T.A Choclo Entero / Corn on the Cob 2 x 18 FROZEN"/>
    <n v="7"/>
    <s v="Se repite 7 veces en Tradiciones Andinas"/>
    <s v="Tradiciones Andinas-T.A Choclo Entero / Corn on the Cob 2 x 18 FROZEN-32.74"/>
    <n v="5"/>
    <s v="Se repite 5 veces el precio de 32.74"/>
    <s v="El producto T.A Choclo Entero / Corn on the Cob 2 x 18 FROZEN Se repite 7 veces en Tradiciones Andinas, Se repite 5 veces el precio de 32.74"/>
  </r>
  <r>
    <x v="3"/>
    <x v="7"/>
    <s v="Bill"/>
    <s v="492743"/>
    <x v="296"/>
    <s v="TRADICIONES ANDINAS- PERU -  FROZEN -  Choclo Entero / Corn on the Cob -  18/2 - P00110"/>
    <n v="2"/>
    <n v="32.74"/>
    <n v="65.48"/>
    <n v="113890.95999999988"/>
    <n v="7"/>
    <s v="Se repite 7 veces"/>
    <s v="Tradiciones Andinas-T.A Choclo Entero / Corn on the Cob 2 x 18 FROZEN"/>
    <n v="7"/>
    <s v="Se repite 7 veces en Tradiciones Andinas"/>
    <s v="Tradiciones Andinas-T.A Choclo Entero / Corn on the Cob 2 x 18 FROZEN-32.74"/>
    <n v="5"/>
    <s v="Se repite 5 veces el precio de 32.74"/>
    <s v="El producto T.A Choclo Entero / Corn on the Cob 2 x 18 FROZEN Se repite 7 veces en Tradiciones Andinas, Se repite 5 veces el precio de 32.74"/>
  </r>
  <r>
    <x v="3"/>
    <x v="33"/>
    <s v="Bill"/>
    <s v="475144"/>
    <x v="297"/>
    <s v="Choclo Entero / Corn on the Cob"/>
    <n v="2"/>
    <n v="35"/>
    <n v="70"/>
    <n v="2722.8599999999997"/>
    <n v="2"/>
    <s v="Se repite 2 veces"/>
    <s v="Tradiciones Andinas-T.A Choclo Entero / Corn on the Cob x 6 x 7 FROZEN"/>
    <n v="2"/>
    <s v="Se repite 2 veces en Tradiciones Andinas"/>
    <s v="Tradiciones Andinas-T.A Choclo Entero / Corn on the Cob x 6 x 7 FROZEN-35"/>
    <n v="2"/>
    <s v="Se repite 2 veces el precio de 35"/>
    <s v="El producto T.A Choclo Entero / Corn on the Cob x 6 x 7 FROZEN Se repite 2 veces en Tradiciones Andinas, Se repite 2 veces el precio de 35"/>
  </r>
  <r>
    <x v="3"/>
    <x v="9"/>
    <s v="Bill"/>
    <s v=""/>
    <x v="297"/>
    <s v="Choclo Entero / Corn on the Cob"/>
    <n v="1"/>
    <n v="35"/>
    <n v="35"/>
    <n v="7000.6399999999994"/>
    <n v="2"/>
    <s v="Se repite 2 veces"/>
    <s v="Tradiciones Andinas-T.A Choclo Entero / Corn on the Cob x 6 x 7 FROZEN"/>
    <n v="2"/>
    <s v="Se repite 2 veces en Tradiciones Andinas"/>
    <s v="Tradiciones Andinas-T.A Choclo Entero / Corn on the Cob x 6 x 7 FROZEN-35"/>
    <n v="2"/>
    <s v="Se repite 2 veces el precio de 35"/>
    <s v="El producto T.A Choclo Entero / Corn on the Cob x 6 x 7 FROZEN Se repite 2 veces en Tradiciones Andinas, Se repite 2 veces el precio de 35"/>
  </r>
  <r>
    <x v="3"/>
    <x v="13"/>
    <s v="Bill"/>
    <s v="485230"/>
    <x v="298"/>
    <s v="Chulpe Corn / Maiz Chulpe (Family Pack)"/>
    <n v="2"/>
    <n v="36"/>
    <n v="72"/>
    <n v="69494.400000000009"/>
    <n v="1"/>
    <s v="No se repite"/>
    <s v="Tradiciones Andinas-T.A Chulpe Corn / Maiz Chulpe (Family Pack) 54OZ X 6"/>
    <n v="1"/>
    <s v="No se repite en proveedor"/>
    <s v="Tradiciones Andinas-T.A Chulpe Corn / Maiz Chulpe (Family Pack) 54OZ X 6-36"/>
    <n v="1"/>
    <s v="No se repite"/>
    <s v="El producto T.A Chulpe Corn / Maiz Chulpe (Family Pack) 54OZ X 6 No se repite en proveedor Una vez con el precio 36"/>
  </r>
  <r>
    <x v="3"/>
    <x v="33"/>
    <s v="Bill"/>
    <s v="475144"/>
    <x v="299"/>
    <s v="Chuño Entero Blanco / White Potato Starch"/>
    <n v="2"/>
    <n v="48.42"/>
    <n v="96.84"/>
    <n v="1518.3199999999997"/>
    <n v="5"/>
    <s v="Se repite 5 veces"/>
    <s v="Tradiciones Andinas-T.A Chuño Entero Blanco / White Potato Starch 15oz x 18"/>
    <n v="5"/>
    <s v="Se repite 5 veces en Tradiciones Andinas"/>
    <s v="Tradiciones Andinas-T.A Chuño Entero Blanco / White Potato Starch 15oz x 18-48.42"/>
    <n v="3"/>
    <s v="Se repite 3 veces el precio de 48.42"/>
    <s v="El producto T.A Chuño Entero Blanco / White Potato Starch 15oz x 18 Se repite 5 veces en Tradiciones Andinas, Se repite 3 veces el precio de 48.42"/>
  </r>
  <r>
    <x v="3"/>
    <x v="9"/>
    <s v="Bill"/>
    <s v=""/>
    <x v="299"/>
    <s v="Chuño Entero Blanco / White Potato Starch"/>
    <n v="1"/>
    <n v="48.42"/>
    <n v="48.42"/>
    <n v="4759.0599999999995"/>
    <n v="5"/>
    <s v="Se repite 5 veces"/>
    <s v="Tradiciones Andinas-T.A Chuño Entero Blanco / White Potato Starch 15oz x 18"/>
    <n v="5"/>
    <s v="Se repite 5 veces en Tradiciones Andinas"/>
    <s v="Tradiciones Andinas-T.A Chuño Entero Blanco / White Potato Starch 15oz x 18-48.42"/>
    <n v="3"/>
    <s v="Se repite 3 veces el precio de 48.42"/>
    <s v="El producto T.A Chuño Entero Blanco / White Potato Starch 15oz x 18 Se repite 5 veces en Tradiciones Andinas, Se repite 3 veces el precio de 48.42"/>
  </r>
  <r>
    <x v="3"/>
    <x v="10"/>
    <s v="Bill"/>
    <s v="476974"/>
    <x v="299"/>
    <s v="Chuño Entero Blanco / White Potato Starch"/>
    <n v="2"/>
    <n v="48.42"/>
    <n v="96.84"/>
    <n v="12334.399999999998"/>
    <n v="5"/>
    <s v="Se repite 5 veces"/>
    <s v="Tradiciones Andinas-T.A Chuño Entero Blanco / White Potato Starch 15oz x 18"/>
    <n v="5"/>
    <s v="Se repite 5 veces en Tradiciones Andinas"/>
    <s v="Tradiciones Andinas-T.A Chuño Entero Blanco / White Potato Starch 15oz x 18-48.42"/>
    <n v="3"/>
    <s v="Se repite 3 veces el precio de 48.42"/>
    <s v="El producto T.A Chuño Entero Blanco / White Potato Starch 15oz x 18 Se repite 5 veces en Tradiciones Andinas, Se repite 3 veces el precio de 48.42"/>
  </r>
  <r>
    <x v="3"/>
    <x v="6"/>
    <s v="Bill"/>
    <s v="487860"/>
    <x v="299"/>
    <s v="TRADICIONES ANDINAS - PERU -  BOLSA -  Chuño Entero Blanco / White Potato Starch -  18 / 15oz - P00179"/>
    <n v="6"/>
    <n v="51.8"/>
    <n v="310.8"/>
    <n v="79310.319999999978"/>
    <n v="5"/>
    <s v="Se repite 5 veces"/>
    <s v="Tradiciones Andinas-T.A Chuño Entero Blanco / White Potato Starch 15oz x 18"/>
    <n v="5"/>
    <s v="Se repite 5 veces en Tradiciones Andinas"/>
    <s v="Tradiciones Andinas-T.A Chuño Entero Blanco / White Potato Starch 15oz x 18-51.8"/>
    <n v="2"/>
    <s v="Se repite 2 veces el precio de 51.8"/>
    <s v="El producto T.A Chuño Entero Blanco / White Potato Starch 15oz x 18 Se repite 5 veces en Tradiciones Andinas, Se repite 2 veces el precio de 51.8"/>
  </r>
  <r>
    <x v="3"/>
    <x v="7"/>
    <s v="Bill"/>
    <s v="492743"/>
    <x v="299"/>
    <s v="TRADICIONES ANDINAS - PERU -  BOLSA -  Chuño Entero Blanco / White Potato Starch -  18 / 15oz - P00179"/>
    <n v="3"/>
    <n v="51.8"/>
    <n v="155.4"/>
    <n v="106315.83999999992"/>
    <n v="5"/>
    <s v="Se repite 5 veces"/>
    <s v="Tradiciones Andinas-T.A Chuño Entero Blanco / White Potato Starch 15oz x 18"/>
    <n v="5"/>
    <s v="Se repite 5 veces en Tradiciones Andinas"/>
    <s v="Tradiciones Andinas-T.A Chuño Entero Blanco / White Potato Starch 15oz x 18-51.8"/>
    <n v="2"/>
    <s v="Se repite 2 veces el precio de 51.8"/>
    <s v="El producto T.A Chuño Entero Blanco / White Potato Starch 15oz x 18 Se repite 5 veces en Tradiciones Andinas, Se repite 2 veces el precio de 51.8"/>
  </r>
  <r>
    <x v="3"/>
    <x v="5"/>
    <s v="Bill"/>
    <s v="482005"/>
    <x v="300"/>
    <s v="Cilantro Pasta / Coriander Paste"/>
    <n v="2"/>
    <n v="32.1"/>
    <n v="64.2"/>
    <n v="46481.389999999978"/>
    <n v="3"/>
    <s v="Se repite 3 veces"/>
    <s v="Tradiciones Andinas-T.A Culantro Pasta / Coriander Paste 7.5oz x 24"/>
    <n v="3"/>
    <s v="Se repite 3 veces en Tradiciones Andinas"/>
    <s v="Tradiciones Andinas-T.A Culantro Pasta / Coriander Paste 7.5oz x 24-32.1"/>
    <n v="3"/>
    <s v="Se repite 3 veces el precio de 32.1"/>
    <s v="El producto T.A Culantro Pasta / Coriander Paste 7.5oz x 24 Se repite 3 veces en Tradiciones Andinas, Se repite 3 veces el precio de 32.1"/>
  </r>
  <r>
    <x v="3"/>
    <x v="13"/>
    <s v="Bill"/>
    <s v="485230"/>
    <x v="300"/>
    <s v="Cilantro Pasta / Coriander Paste"/>
    <n v="1"/>
    <n v="32.1"/>
    <n v="32.1"/>
    <n v="67372.58"/>
    <n v="3"/>
    <s v="Se repite 3 veces"/>
    <s v="Tradiciones Andinas-T.A Culantro Pasta / Coriander Paste 7.5oz x 24"/>
    <n v="3"/>
    <s v="Se repite 3 veces en Tradiciones Andinas"/>
    <s v="Tradiciones Andinas-T.A Culantro Pasta / Coriander Paste 7.5oz x 24-32.1"/>
    <n v="3"/>
    <s v="Se repite 3 veces el precio de 32.1"/>
    <s v="El producto T.A Culantro Pasta / Coriander Paste 7.5oz x 24 Se repite 3 veces en Tradiciones Andinas, Se repite 3 veces el precio de 32.1"/>
  </r>
  <r>
    <x v="3"/>
    <x v="6"/>
    <s v="Bill"/>
    <s v="487860"/>
    <x v="300"/>
    <s v="Cilantro Pasta / Coriander Paste"/>
    <n v="4"/>
    <n v="32.1"/>
    <n v="128.4"/>
    <n v="75249.659999999989"/>
    <n v="3"/>
    <s v="Se repite 3 veces"/>
    <s v="Tradiciones Andinas-T.A Culantro Pasta / Coriander Paste 7.5oz x 24"/>
    <n v="3"/>
    <s v="Se repite 3 veces en Tradiciones Andinas"/>
    <s v="Tradiciones Andinas-T.A Culantro Pasta / Coriander Paste 7.5oz x 24-32.1"/>
    <n v="3"/>
    <s v="Se repite 3 veces el precio de 32.1"/>
    <s v="El producto T.A Culantro Pasta / Coriander Paste 7.5oz x 24 Se repite 3 veces en Tradiciones Andinas, Se repite 3 veces el precio de 32.1"/>
  </r>
  <r>
    <x v="3"/>
    <x v="7"/>
    <s v="Bill"/>
    <s v="492743"/>
    <x v="301"/>
    <s v="TRADICIONES ANDINAS- COLOMBIA -  FROZEN -  Discos de Yuca / Cassava Dough-  24 / 13.75 oz - CR250"/>
    <n v="1"/>
    <n v="40.56"/>
    <n v="40.56"/>
    <n v="116643.53999999988"/>
    <n v="1"/>
    <s v="No se repite"/>
    <s v="Tradiciones Andinas-T.A Discos de Yuca / Cassava Dough 13.75oz x 24"/>
    <n v="1"/>
    <s v="No se repite en proveedor"/>
    <s v="Tradiciones Andinas-T.A Discos de Yuca / Cassava Dough 13.75oz x 24-40.56"/>
    <n v="1"/>
    <s v="No se repite"/>
    <s v="El producto T.A Discos de Yuca / Cassava Dough 13.75oz x 24 No se repite en proveedor Una vez con el precio 40.56"/>
  </r>
  <r>
    <x v="3"/>
    <x v="10"/>
    <s v="Bill"/>
    <s v="476974"/>
    <x v="302"/>
    <s v="TRADICIONES ANDINAS - Peach Halves in heavy Syrup / Durazno en Almibar"/>
    <n v="5"/>
    <n v="27"/>
    <n v="135"/>
    <n v="21656.299999999996"/>
    <n v="5"/>
    <s v="Se repite 5 veces"/>
    <s v="Tradiciones Andinas-T.A Durazno en Almibar / Peach Halves in heavy Syrup 290z x 12"/>
    <n v="5"/>
    <s v="Se repite 5 veces en Tradiciones Andinas"/>
    <s v="Tradiciones Andinas-T.A Durazno en Almibar / Peach Halves in heavy Syrup 290z x 12-27"/>
    <n v="4"/>
    <s v="Se repite 4 veces el precio de 27"/>
    <s v="El producto T.A Durazno en Almibar / Peach Halves in heavy Syrup 290z x 12 Se repite 5 veces en Tradiciones Andinas, Se repite 4 veces el precio de 27"/>
  </r>
  <r>
    <x v="3"/>
    <x v="5"/>
    <s v="Bill"/>
    <s v="482005"/>
    <x v="302"/>
    <s v="TRADICIONES ANDINAS- CHILE -  ENLATADO TRADICIONES ANDINAS - Peach Halves in heavy Syrup / Durazno en Almibar -  12 / 29z (822g) - DUR01"/>
    <n v="3"/>
    <n v="28.88"/>
    <n v="86.64"/>
    <n v="56212.339999999938"/>
    <n v="5"/>
    <s v="Se repite 5 veces"/>
    <s v="Tradiciones Andinas-T.A Durazno en Almibar / Peach Halves in heavy Syrup 290z x 12"/>
    <n v="5"/>
    <s v="Se repite 5 veces en Tradiciones Andinas"/>
    <s v="Tradiciones Andinas-T.A Durazno en Almibar / Peach Halves in heavy Syrup 290z x 12-28.88"/>
    <n v="1"/>
    <s v="No se repite"/>
    <s v="El producto T.A Durazno en Almibar / Peach Halves in heavy Syrup 290z x 12 Se repite 5 veces en Tradiciones Andinas Una vez con el precio 28.88"/>
  </r>
  <r>
    <x v="3"/>
    <x v="13"/>
    <s v="Bill"/>
    <s v="485230"/>
    <x v="302"/>
    <s v="TRADICIONES ANDINAS- CHILE -  ENLATADO TRADICIONES ANDINAS - Peach Halves in heavy Syrup / Durazno en Almibar -  12 / 29z (822g) - DUR01"/>
    <n v="1"/>
    <n v="27"/>
    <n v="27"/>
    <n v="71800.010000000009"/>
    <n v="5"/>
    <s v="Se repite 5 veces"/>
    <s v="Tradiciones Andinas-T.A Durazno en Almibar / Peach Halves in heavy Syrup 290z x 12"/>
    <n v="5"/>
    <s v="Se repite 5 veces en Tradiciones Andinas"/>
    <s v="Tradiciones Andinas-T.A Durazno en Almibar / Peach Halves in heavy Syrup 290z x 12-27"/>
    <n v="4"/>
    <s v="Se repite 4 veces el precio de 27"/>
    <s v="El producto T.A Durazno en Almibar / Peach Halves in heavy Syrup 290z x 12 Se repite 5 veces en Tradiciones Andinas, Se repite 4 veces el precio de 27"/>
  </r>
  <r>
    <x v="3"/>
    <x v="6"/>
    <s v="Bill"/>
    <s v="487860"/>
    <x v="302"/>
    <s v="TRADICIONES ANDINAS- CHILE -  ENLATADO TRADICIONES ANDINAS - Peach Halves in heavy Syrup / Durazno en Almibar -  12 / 29z (822g) - DUR01"/>
    <n v="3"/>
    <n v="27"/>
    <n v="81"/>
    <n v="85284.129999999961"/>
    <n v="5"/>
    <s v="Se repite 5 veces"/>
    <s v="Tradiciones Andinas-T.A Durazno en Almibar / Peach Halves in heavy Syrup 290z x 12"/>
    <n v="5"/>
    <s v="Se repite 5 veces en Tradiciones Andinas"/>
    <s v="Tradiciones Andinas-T.A Durazno en Almibar / Peach Halves in heavy Syrup 290z x 12-27"/>
    <n v="4"/>
    <s v="Se repite 4 veces el precio de 27"/>
    <s v="El producto T.A Durazno en Almibar / Peach Halves in heavy Syrup 290z x 12 Se repite 5 veces en Tradiciones Andinas, Se repite 4 veces el precio de 27"/>
  </r>
  <r>
    <x v="3"/>
    <x v="34"/>
    <s v="Bill"/>
    <s v="490620"/>
    <x v="302"/>
    <s v="TRADICIONES ANDINAS- CHILE -  ENLATADO TRADICIONES ANDINAS - Peach Halves in heavy Syrup / Durazno en Almibar -  12 / 29z (822g) - DUR01"/>
    <n v="4"/>
    <n v="27"/>
    <n v="108"/>
    <n v="100049.86999999994"/>
    <n v="5"/>
    <s v="Se repite 5 veces"/>
    <s v="Tradiciones Andinas-T.A Durazno en Almibar / Peach Halves in heavy Syrup 290z x 12"/>
    <n v="5"/>
    <s v="Se repite 5 veces en Tradiciones Andinas"/>
    <s v="Tradiciones Andinas-T.A Durazno en Almibar / Peach Halves in heavy Syrup 290z x 12-27"/>
    <n v="4"/>
    <s v="Se repite 4 veces el precio de 27"/>
    <s v="El producto T.A Durazno en Almibar / Peach Halves in heavy Syrup 290z x 12 Se repite 5 veces en Tradiciones Andinas, Se repite 4 veces el precio de 27"/>
  </r>
  <r>
    <x v="3"/>
    <x v="33"/>
    <s v="Bill"/>
    <s v="475144"/>
    <x v="303"/>
    <s v="Emoliente / Emolient"/>
    <n v="2"/>
    <n v="19.8"/>
    <n v="39.6"/>
    <n v="1617.9199999999996"/>
    <n v="6"/>
    <s v="Se repite 6 veces"/>
    <s v="Tradiciones Andinas-T.A Emoliente / Emolient 3.5oz x 20"/>
    <n v="6"/>
    <s v="Se repite 6 veces en Tradiciones Andinas"/>
    <s v="Tradiciones Andinas-T.A Emoliente / Emolient 3.5oz x 20-19.8"/>
    <n v="3"/>
    <s v="Se repite 3 veces el precio de 19.8"/>
    <s v="El producto T.A Emoliente / Emolient 3.5oz x 20 Se repite 6 veces en Tradiciones Andinas, Se repite 3 veces el precio de 19.8"/>
  </r>
  <r>
    <x v="3"/>
    <x v="9"/>
    <s v="Bill"/>
    <s v=""/>
    <x v="303"/>
    <s v="Emoliente / Emolient"/>
    <n v="2"/>
    <n v="19.8"/>
    <n v="39.6"/>
    <n v="4916.26"/>
    <n v="6"/>
    <s v="Se repite 6 veces"/>
    <s v="Tradiciones Andinas-T.A Emoliente / Emolient 3.5oz x 20"/>
    <n v="6"/>
    <s v="Se repite 6 veces en Tradiciones Andinas"/>
    <s v="Tradiciones Andinas-T.A Emoliente / Emolient 3.5oz x 20-19.8"/>
    <n v="3"/>
    <s v="Se repite 3 veces el precio de 19.8"/>
    <s v="El producto T.A Emoliente / Emolient 3.5oz x 20 Se repite 6 veces en Tradiciones Andinas, Se repite 3 veces el precio de 19.8"/>
  </r>
  <r>
    <x v="3"/>
    <x v="10"/>
    <s v="Bill"/>
    <s v="476974"/>
    <x v="303"/>
    <s v="Emoliente / Emolient"/>
    <n v="4"/>
    <n v="19.8"/>
    <n v="79.2"/>
    <n v="12881.599999999999"/>
    <n v="6"/>
    <s v="Se repite 6 veces"/>
    <s v="Tradiciones Andinas-T.A Emoliente / Emolient 3.5oz x 20"/>
    <n v="6"/>
    <s v="Se repite 6 veces en Tradiciones Andinas"/>
    <s v="Tradiciones Andinas-T.A Emoliente / Emolient 3.5oz x 20-19.8"/>
    <n v="3"/>
    <s v="Se repite 3 veces el precio de 19.8"/>
    <s v="El producto T.A Emoliente / Emolient 3.5oz x 20 Se repite 6 veces en Tradiciones Andinas, Se repite 3 veces el precio de 19.8"/>
  </r>
  <r>
    <x v="3"/>
    <x v="5"/>
    <s v="Bill"/>
    <s v="482005"/>
    <x v="303"/>
    <s v="TRADICIONES ANDINAS - PERU -  BOLSA -  Emoliente / Emolient -  20 / 3.5oz - P00158"/>
    <n v="10"/>
    <n v="21.18"/>
    <n v="211.8"/>
    <n v="49148.269999999975"/>
    <n v="6"/>
    <s v="Se repite 6 veces"/>
    <s v="Tradiciones Andinas-T.A Emoliente / Emolient 3.5oz x 20"/>
    <n v="6"/>
    <s v="Se repite 6 veces en Tradiciones Andinas"/>
    <s v="Tradiciones Andinas-T.A Emoliente / Emolient 3.5oz x 20-21.18"/>
    <n v="3"/>
    <s v="Se repite 3 veces el precio de 21.18"/>
    <s v="El producto T.A Emoliente / Emolient 3.5oz x 20 Se repite 6 veces en Tradiciones Andinas, Se repite 3 veces el precio de 21.18"/>
  </r>
  <r>
    <x v="3"/>
    <x v="6"/>
    <s v="Bill"/>
    <s v="487860"/>
    <x v="303"/>
    <s v="TRADICIONES ANDINAS - PERU -  BOLSA -  Emoliente / Emolient -  20 / 3.5oz - P00158"/>
    <n v="3"/>
    <n v="21.18"/>
    <n v="63.54"/>
    <n v="79620.419999999969"/>
    <n v="6"/>
    <s v="Se repite 6 veces"/>
    <s v="Tradiciones Andinas-T.A Emoliente / Emolient 3.5oz x 20"/>
    <n v="6"/>
    <s v="Se repite 6 veces en Tradiciones Andinas"/>
    <s v="Tradiciones Andinas-T.A Emoliente / Emolient 3.5oz x 20-21.18"/>
    <n v="3"/>
    <s v="Se repite 3 veces el precio de 21.18"/>
    <s v="El producto T.A Emoliente / Emolient 3.5oz x 20 Se repite 6 veces en Tradiciones Andinas, Se repite 3 veces el precio de 21.18"/>
  </r>
  <r>
    <x v="3"/>
    <x v="27"/>
    <s v="Bill"/>
    <s v="491180"/>
    <x v="303"/>
    <s v="TRADICIONES ANDINAS - PERU -  BOLSA -  Emoliente / Emolient -  20 / 3.5oz - P00158"/>
    <n v="4"/>
    <n v="21.18"/>
    <n v="84.72"/>
    <n v="101760.98999999993"/>
    <n v="6"/>
    <s v="Se repite 6 veces"/>
    <s v="Tradiciones Andinas-T.A Emoliente / Emolient 3.5oz x 20"/>
    <n v="6"/>
    <s v="Se repite 6 veces en Tradiciones Andinas"/>
    <s v="Tradiciones Andinas-T.A Emoliente / Emolient 3.5oz x 20-21.18"/>
    <n v="3"/>
    <s v="Se repite 3 veces el precio de 21.18"/>
    <s v="El producto T.A Emoliente / Emolient 3.5oz x 20 Se repite 6 veces en Tradiciones Andinas, Se repite 3 veces el precio de 21.18"/>
  </r>
  <r>
    <x v="3"/>
    <x v="13"/>
    <s v="Bill"/>
    <s v="485230"/>
    <x v="304"/>
    <s v="Guinea pig - Cuy"/>
    <n v="16"/>
    <n v="18"/>
    <n v="288"/>
    <n v="73335.560000000012"/>
    <n v="1"/>
    <s v="No se repite"/>
    <s v="Tradiciones Andinas-T.A Guinea pig - Cuy"/>
    <n v="1"/>
    <s v="No se repite en proveedor"/>
    <s v="Tradiciones Andinas-T.A Guinea pig - Cuy-18"/>
    <n v="1"/>
    <s v="No se repite"/>
    <s v="El producto T.A Guinea pig - Cuy No se repite en proveedor Una vez con el precio 18"/>
  </r>
  <r>
    <x v="3"/>
    <x v="33"/>
    <s v="Bill"/>
    <s v="475144"/>
    <x v="305"/>
    <s v="Habas Fritas Saladas/  Broad Beans Snacks"/>
    <n v="1"/>
    <n v="12"/>
    <n v="12"/>
    <n v="2652.8599999999997"/>
    <n v="8"/>
    <s v="Se repite 8 veces"/>
    <s v="Tradiciones Andinas-T.A Habas Fritas Saladas/  Broad Beans Snacks 130gr x 12"/>
    <n v="8"/>
    <s v="Se repite 8 veces en Tradiciones Andinas"/>
    <s v="Tradiciones Andinas-T.A Habas Fritas Saladas/  Broad Beans Snacks 130gr x 12-12"/>
    <n v="3"/>
    <s v="Se repite 3 veces el precio de 12"/>
    <s v="El producto T.A Habas Fritas Saladas/  Broad Beans Snacks 130gr x 12 Se repite 8 veces en Tradiciones Andinas, Se repite 3 veces el precio de 12"/>
  </r>
  <r>
    <x v="3"/>
    <x v="9"/>
    <s v="Bill"/>
    <s v=""/>
    <x v="305"/>
    <s v="Habas Fritas Saladas/  Broad Beans Snacks"/>
    <n v="2"/>
    <n v="12"/>
    <n v="24"/>
    <n v="5267.32"/>
    <n v="8"/>
    <s v="Se repite 8 veces"/>
    <s v="Tradiciones Andinas-T.A Habas Fritas Saladas/  Broad Beans Snacks 130gr x 12"/>
    <n v="8"/>
    <s v="Se repite 8 veces en Tradiciones Andinas"/>
    <s v="Tradiciones Andinas-T.A Habas Fritas Saladas/  Broad Beans Snacks 130gr x 12-12"/>
    <n v="3"/>
    <s v="Se repite 3 veces el precio de 12"/>
    <s v="El producto T.A Habas Fritas Saladas/  Broad Beans Snacks 130gr x 12 Se repite 8 veces en Tradiciones Andinas, Se repite 3 veces el precio de 12"/>
  </r>
  <r>
    <x v="3"/>
    <x v="10"/>
    <s v="Bill"/>
    <s v="476974"/>
    <x v="305"/>
    <s v="Habas Fritas Saladas/  Broad Beans Snacks"/>
    <n v="6"/>
    <n v="12"/>
    <n v="72"/>
    <n v="15079.279999999999"/>
    <n v="8"/>
    <s v="Se repite 8 veces"/>
    <s v="Tradiciones Andinas-T.A Habas Fritas Saladas/  Broad Beans Snacks 130gr x 12"/>
    <n v="8"/>
    <s v="Se repite 8 veces en Tradiciones Andinas"/>
    <s v="Tradiciones Andinas-T.A Habas Fritas Saladas/  Broad Beans Snacks 130gr x 12-12"/>
    <n v="3"/>
    <s v="Se repite 3 veces el precio de 12"/>
    <s v="El producto T.A Habas Fritas Saladas/  Broad Beans Snacks 130gr x 12 Se repite 8 veces en Tradiciones Andinas, Se repite 3 veces el precio de 12"/>
  </r>
  <r>
    <x v="3"/>
    <x v="4"/>
    <s v="Bill"/>
    <s v="480295"/>
    <x v="305"/>
    <s v="TRADICIONES ANDINAS - PERU -  TIYAPUY - SNACKS -  Habas Fritas Saladas/  Broad Beans Snacks-  12 / 130g - CH167"/>
    <n v="1"/>
    <n v="13.2"/>
    <n v="13.2"/>
    <n v="38948.199999999997"/>
    <n v="8"/>
    <s v="Se repite 8 veces"/>
    <s v="Tradiciones Andinas-T.A Habas Fritas Saladas/  Broad Beans Snacks 130gr x 12"/>
    <n v="8"/>
    <s v="Se repite 8 veces en Tradiciones Andinas"/>
    <s v="Tradiciones Andinas-T.A Habas Fritas Saladas/  Broad Beans Snacks 130gr x 12-13.2"/>
    <n v="5"/>
    <s v="Se repite 5 veces el precio de 13.2"/>
    <s v="El producto T.A Habas Fritas Saladas/  Broad Beans Snacks 130gr x 12 Se repite 8 veces en Tradiciones Andinas, Se repite 5 veces el precio de 13.2"/>
  </r>
  <r>
    <x v="3"/>
    <x v="45"/>
    <s v="Bill"/>
    <s v="480888"/>
    <x v="305"/>
    <s v="TRADICIONES ANDINAS - PERU -  TIYAPUY - SNACKS -  Habas Fritas Saladas/  Broad Beans Snacks-  12 / 130g - CH167"/>
    <n v="4"/>
    <n v="13.2"/>
    <n v="52.8"/>
    <n v="45410.03"/>
    <n v="8"/>
    <s v="Se repite 8 veces"/>
    <s v="Tradiciones Andinas-T.A Habas Fritas Saladas/  Broad Beans Snacks 130gr x 12"/>
    <n v="8"/>
    <s v="Se repite 8 veces en Tradiciones Andinas"/>
    <s v="Tradiciones Andinas-T.A Habas Fritas Saladas/  Broad Beans Snacks 130gr x 12-13.2"/>
    <n v="5"/>
    <s v="Se repite 5 veces el precio de 13.2"/>
    <s v="El producto T.A Habas Fritas Saladas/  Broad Beans Snacks 130gr x 12 Se repite 8 veces en Tradiciones Andinas, Se repite 5 veces el precio de 13.2"/>
  </r>
  <r>
    <x v="3"/>
    <x v="13"/>
    <s v="Bill"/>
    <s v="485230"/>
    <x v="305"/>
    <s v="TRADICIONES ANDINAS - PERU -  TIYAPUY - SNACKS -  Habas Fritas Saladas/  Broad Beans Snacks-  12 / 130g - CH167"/>
    <n v="4"/>
    <n v="13.2"/>
    <n v="52.8"/>
    <n v="70033.770000000019"/>
    <n v="8"/>
    <s v="Se repite 8 veces"/>
    <s v="Tradiciones Andinas-T.A Habas Fritas Saladas/  Broad Beans Snacks 130gr x 12"/>
    <n v="8"/>
    <s v="Se repite 8 veces en Tradiciones Andinas"/>
    <s v="Tradiciones Andinas-T.A Habas Fritas Saladas/  Broad Beans Snacks 130gr x 12-13.2"/>
    <n v="5"/>
    <s v="Se repite 5 veces el precio de 13.2"/>
    <s v="El producto T.A Habas Fritas Saladas/  Broad Beans Snacks 130gr x 12 Se repite 8 veces en Tradiciones Andinas, Se repite 5 veces el precio de 13.2"/>
  </r>
  <r>
    <x v="3"/>
    <x v="6"/>
    <s v="Bill"/>
    <s v="487860"/>
    <x v="305"/>
    <s v="TRADICIONES ANDINAS - PERU -  TIYAPUY - SNACKS -  Habas Fritas Saladas/  Broad Beans Snacks-  12 / 130g - CH167"/>
    <n v="10"/>
    <n v="13.2"/>
    <n v="132"/>
    <n v="82003.229999999967"/>
    <n v="8"/>
    <s v="Se repite 8 veces"/>
    <s v="Tradiciones Andinas-T.A Habas Fritas Saladas/  Broad Beans Snacks 130gr x 12"/>
    <n v="8"/>
    <s v="Se repite 8 veces en Tradiciones Andinas"/>
    <s v="Tradiciones Andinas-T.A Habas Fritas Saladas/  Broad Beans Snacks 130gr x 12-13.2"/>
    <n v="5"/>
    <s v="Se repite 5 veces el precio de 13.2"/>
    <s v="El producto T.A Habas Fritas Saladas/  Broad Beans Snacks 130gr x 12 Se repite 8 veces en Tradiciones Andinas, Se repite 5 veces el precio de 13.2"/>
  </r>
  <r>
    <x v="3"/>
    <x v="14"/>
    <s v="Bill"/>
    <s v="493132"/>
    <x v="305"/>
    <s v="TRADICIONES ANDINAS - PERU -  TIYAPUY - SNACKS -  Habas Fritas Saladas/  Broad Beans Snacks-  12 / 130g - CH167"/>
    <n v="6"/>
    <n v="13.2"/>
    <n v="79.2"/>
    <n v="118069.31999999991"/>
    <n v="8"/>
    <s v="Se repite 8 veces"/>
    <s v="Tradiciones Andinas-T.A Habas Fritas Saladas/  Broad Beans Snacks 130gr x 12"/>
    <n v="8"/>
    <s v="Se repite 8 veces en Tradiciones Andinas"/>
    <s v="Tradiciones Andinas-T.A Habas Fritas Saladas/  Broad Beans Snacks 130gr x 12-13.2"/>
    <n v="5"/>
    <s v="Se repite 5 veces el precio de 13.2"/>
    <s v="El producto T.A Habas Fritas Saladas/  Broad Beans Snacks 130gr x 12 Se repite 8 veces en Tradiciones Andinas, Se repite 5 veces el precio de 13.2"/>
  </r>
  <r>
    <x v="3"/>
    <x v="25"/>
    <s v="Bill"/>
    <s v="483292"/>
    <x v="306"/>
    <s v="Habas Verdes / Fava Beans"/>
    <n v="2"/>
    <n v="55.8"/>
    <n v="111.6"/>
    <n v="63522.799999999945"/>
    <n v="3"/>
    <s v="Se repite 3 veces"/>
    <s v="Tradiciones Andinas-T.A Habas Verdes / Fava Beans 28oz x 20 bolsas"/>
    <n v="3"/>
    <s v="Se repite 3 veces en Tradiciones Andinas"/>
    <s v="Tradiciones Andinas-T.A Habas Verdes / Fava Beans 28oz x 20 bolsas-55.8"/>
    <n v="3"/>
    <s v="Se repite 3 veces el precio de 55.8"/>
    <s v="El producto T.A Habas Verdes / Fava Beans 28oz x 20 bolsas Se repite 3 veces en Tradiciones Andinas, Se repite 3 veces el precio de 55.8"/>
  </r>
  <r>
    <x v="3"/>
    <x v="13"/>
    <s v="Bill"/>
    <s v="485230"/>
    <x v="306"/>
    <s v="TRADICIONES ANDINAS- PERU -  FROZEN -  Habas Verdes / Fava Beans  -  20 / 28oz - P00109"/>
    <n v="2"/>
    <n v="55.8"/>
    <n v="111.6"/>
    <n v="72143.600000000006"/>
    <n v="3"/>
    <s v="Se repite 3 veces"/>
    <s v="Tradiciones Andinas-T.A Habas Verdes / Fava Beans 28oz x 20 bolsas"/>
    <n v="3"/>
    <s v="Se repite 3 veces en Tradiciones Andinas"/>
    <s v="Tradiciones Andinas-T.A Habas Verdes / Fava Beans 28oz x 20 bolsas-55.8"/>
    <n v="3"/>
    <s v="Se repite 3 veces el precio de 55.8"/>
    <s v="El producto T.A Habas Verdes / Fava Beans 28oz x 20 bolsas Se repite 3 veces en Tradiciones Andinas, Se repite 3 veces el precio de 55.8"/>
  </r>
  <r>
    <x v="3"/>
    <x v="7"/>
    <s v="Bill"/>
    <s v="492743"/>
    <x v="306"/>
    <s v="TRADICIONES ANDINAS- PERU -  FROZEN -  Habas Verdes / Fava Beans  -  20 / 28oz - P00109"/>
    <n v="5"/>
    <n v="55.8"/>
    <n v="279"/>
    <n v="113825.47999999988"/>
    <n v="3"/>
    <s v="Se repite 3 veces"/>
    <s v="Tradiciones Andinas-T.A Habas Verdes / Fava Beans 28oz x 20 bolsas"/>
    <n v="3"/>
    <s v="Se repite 3 veces en Tradiciones Andinas"/>
    <s v="Tradiciones Andinas-T.A Habas Verdes / Fava Beans 28oz x 20 bolsas-55.8"/>
    <n v="3"/>
    <s v="Se repite 3 veces el precio de 55.8"/>
    <s v="El producto T.A Habas Verdes / Fava Beans 28oz x 20 bolsas Se repite 3 veces en Tradiciones Andinas, Se repite 3 veces el precio de 55.8"/>
  </r>
  <r>
    <x v="3"/>
    <x v="9"/>
    <s v="Bill"/>
    <s v=""/>
    <x v="307"/>
    <s v="Harina Chuño / Potato Starch Flour"/>
    <n v="2"/>
    <n v="28.8"/>
    <n v="57.6"/>
    <n v="4876.66"/>
    <n v="6"/>
    <s v="Se repite 6 veces"/>
    <s v="Tradiciones Andinas-T.A Harina de Chuño / Potato Starch Flour 12oz x 24"/>
    <n v="6"/>
    <s v="Se repite 6 veces en Tradiciones Andinas"/>
    <s v="Tradiciones Andinas-T.A Harina de Chuño / Potato Starch Flour 12oz x 24-28.8"/>
    <n v="2"/>
    <s v="Se repite 2 veces el precio de 28.8"/>
    <s v="El producto T.A Harina de Chuño / Potato Starch Flour 12oz x 24 Se repite 6 veces en Tradiciones Andinas, Se repite 2 veces el precio de 28.8"/>
  </r>
  <r>
    <x v="3"/>
    <x v="10"/>
    <s v="Bill"/>
    <s v="476974"/>
    <x v="307"/>
    <s v="Harina Chuño / Potato Starch Flour"/>
    <n v="10"/>
    <n v="28.8"/>
    <n v="288"/>
    <n v="12802.399999999998"/>
    <n v="6"/>
    <s v="Se repite 6 veces"/>
    <s v="Tradiciones Andinas-T.A Harina de Chuño / Potato Starch Flour 12oz x 24"/>
    <n v="6"/>
    <s v="Se repite 6 veces en Tradiciones Andinas"/>
    <s v="Tradiciones Andinas-T.A Harina de Chuño / Potato Starch Flour 12oz x 24-28.8"/>
    <n v="2"/>
    <s v="Se repite 2 veces el precio de 28.8"/>
    <s v="El producto T.A Harina de Chuño / Potato Starch Flour 12oz x 24 Se repite 6 veces en Tradiciones Andinas, Se repite 2 veces el precio de 28.8"/>
  </r>
  <r>
    <x v="3"/>
    <x v="4"/>
    <s v="Bill"/>
    <s v="480295"/>
    <x v="307"/>
    <s v="TRADICIONES ANDINAS - PERU -  BOLSA -  Harina Chuño / Potato Starch Flour -  24 / 12oz - P00197"/>
    <n v="3"/>
    <n v="30.82"/>
    <n v="92.46"/>
    <n v="37595.47"/>
    <n v="6"/>
    <s v="Se repite 6 veces"/>
    <s v="Tradiciones Andinas-T.A Harina de Chuño / Potato Starch Flour 12oz x 24"/>
    <n v="6"/>
    <s v="Se repite 6 veces en Tradiciones Andinas"/>
    <s v="Tradiciones Andinas-T.A Harina de Chuño / Potato Starch Flour 12oz x 24-30.82"/>
    <n v="4"/>
    <s v="Se repite 4 veces el precio de 30.82"/>
    <s v="El producto T.A Harina de Chuño / Potato Starch Flour 12oz x 24 Se repite 6 veces en Tradiciones Andinas, Se repite 4 veces el precio de 30.82"/>
  </r>
  <r>
    <x v="3"/>
    <x v="13"/>
    <s v="Bill"/>
    <s v="485230"/>
    <x v="307"/>
    <s v="TRADICIONES ANDINAS - PERU -  BOLSA -  Harina Chuño / Potato Starch Flour -  24 / 12oz - P00197"/>
    <n v="6"/>
    <n v="30.82"/>
    <n v="184.92"/>
    <n v="69326.560000000012"/>
    <n v="6"/>
    <s v="Se repite 6 veces"/>
    <s v="Tradiciones Andinas-T.A Harina de Chuño / Potato Starch Flour 12oz x 24"/>
    <n v="6"/>
    <s v="Se repite 6 veces en Tradiciones Andinas"/>
    <s v="Tradiciones Andinas-T.A Harina de Chuño / Potato Starch Flour 12oz x 24-30.82"/>
    <n v="4"/>
    <s v="Se repite 4 veces el precio de 30.82"/>
    <s v="El producto T.A Harina de Chuño / Potato Starch Flour 12oz x 24 Se repite 6 veces en Tradiciones Andinas, Se repite 4 veces el precio de 30.82"/>
  </r>
  <r>
    <x v="3"/>
    <x v="6"/>
    <s v="Bill"/>
    <s v="487860"/>
    <x v="307"/>
    <s v="TRADICIONES ANDINAS - PERU -  BOLSA -  Harina Chuño / Potato Starch Flour -  24 / 12oz - P00197"/>
    <n v="8"/>
    <n v="30.82"/>
    <n v="246.56"/>
    <n v="79556.879999999976"/>
    <n v="6"/>
    <s v="Se repite 6 veces"/>
    <s v="Tradiciones Andinas-T.A Harina de Chuño / Potato Starch Flour 12oz x 24"/>
    <n v="6"/>
    <s v="Se repite 6 veces en Tradiciones Andinas"/>
    <s v="Tradiciones Andinas-T.A Harina de Chuño / Potato Starch Flour 12oz x 24-30.82"/>
    <n v="4"/>
    <s v="Se repite 4 veces el precio de 30.82"/>
    <s v="El producto T.A Harina de Chuño / Potato Starch Flour 12oz x 24 Se repite 6 veces en Tradiciones Andinas, Se repite 4 veces el precio de 30.82"/>
  </r>
  <r>
    <x v="3"/>
    <x v="27"/>
    <s v="Bill"/>
    <s v="491180"/>
    <x v="307"/>
    <s v="TRADICIONES ANDINAS - PERU -  BOLSA -  Harina Chuño / Potato Starch Flour -  24 / 12oz - P00197"/>
    <n v="2"/>
    <n v="30.82"/>
    <n v="61.64"/>
    <n v="101676.26999999993"/>
    <n v="6"/>
    <s v="Se repite 6 veces"/>
    <s v="Tradiciones Andinas-T.A Harina de Chuño / Potato Starch Flour 12oz x 24"/>
    <n v="6"/>
    <s v="Se repite 6 veces en Tradiciones Andinas"/>
    <s v="Tradiciones Andinas-T.A Harina de Chuño / Potato Starch Flour 12oz x 24-30.82"/>
    <n v="4"/>
    <s v="Se repite 4 veces el precio de 30.82"/>
    <s v="El producto T.A Harina de Chuño / Potato Starch Flour 12oz x 24 Se repite 6 veces en Tradiciones Andinas, Se repite 4 veces el precio de 30.82"/>
  </r>
  <r>
    <x v="3"/>
    <x v="10"/>
    <s v="Bill"/>
    <s v="476974"/>
    <x v="308"/>
    <s v="Harina de Maca /Maca Flour"/>
    <n v="1"/>
    <n v="50.16"/>
    <n v="50.16"/>
    <n v="13205.24"/>
    <n v="5"/>
    <s v="Se repite 5 veces"/>
    <s v="Tradiciones Andinas-T.A Harina de Maca /Maca Flour 7oz x 24"/>
    <n v="5"/>
    <s v="Se repite 5 veces en Tradiciones Andinas"/>
    <s v="Tradiciones Andinas-T.A Harina de Maca /Maca Flour 7oz x 24-50.16"/>
    <n v="1"/>
    <s v="No se repite"/>
    <s v="El producto T.A Harina de Maca /Maca Flour 7oz x 24 Se repite 5 veces en Tradiciones Andinas Una vez con el precio 50.16"/>
  </r>
  <r>
    <x v="3"/>
    <x v="5"/>
    <s v="Bill"/>
    <s v="482005"/>
    <x v="308"/>
    <s v="TRADICIONES ANDINAS - PERU -  HEALTHY  PRODUCTS -  Harina de Maca /Maca Flour -  24 / 7oz - P00205"/>
    <n v="2"/>
    <n v="53.68"/>
    <n v="107.36"/>
    <n v="49748.629999999968"/>
    <n v="5"/>
    <s v="Se repite 5 veces"/>
    <s v="Tradiciones Andinas-T.A Harina de Maca /Maca Flour 7oz x 24"/>
    <n v="5"/>
    <s v="Se repite 5 veces en Tradiciones Andinas"/>
    <s v="Tradiciones Andinas-T.A Harina de Maca /Maca Flour 7oz x 24-53.68"/>
    <n v="4"/>
    <s v="Se repite 4 veces el precio de 53.68"/>
    <s v="El producto T.A Harina de Maca /Maca Flour 7oz x 24 Se repite 5 veces en Tradiciones Andinas, Se repite 4 veces el precio de 53.68"/>
  </r>
  <r>
    <x v="3"/>
    <x v="25"/>
    <s v="Bill"/>
    <s v="483292"/>
    <x v="308"/>
    <s v="TRADICIONES ANDINAS - PERU -  HEALTHY  PRODUCTS -  Harina de Maca /Maca Flour -  24 / 7oz - P00205"/>
    <n v="2"/>
    <n v="53.68"/>
    <n v="107.36"/>
    <n v="61809.549999999937"/>
    <n v="5"/>
    <s v="Se repite 5 veces"/>
    <s v="Tradiciones Andinas-T.A Harina de Maca /Maca Flour 7oz x 24"/>
    <n v="5"/>
    <s v="Se repite 5 veces en Tradiciones Andinas"/>
    <s v="Tradiciones Andinas-T.A Harina de Maca /Maca Flour 7oz x 24-53.68"/>
    <n v="4"/>
    <s v="Se repite 4 veces el precio de 53.68"/>
    <s v="El producto T.A Harina de Maca /Maca Flour 7oz x 24 Se repite 5 veces en Tradiciones Andinas, Se repite 4 veces el precio de 53.68"/>
  </r>
  <r>
    <x v="3"/>
    <x v="32"/>
    <s v="Bill"/>
    <s v="491332"/>
    <x v="308"/>
    <s v="TRADICIONES ANDINAS - PERU -  HEALTHY  PRODUCTS -  Harina de Maca /Maca Flour -  24 / 7oz - P00205"/>
    <n v="2"/>
    <n v="53.68"/>
    <n v="107.36"/>
    <n v="93408.189999999944"/>
    <n v="5"/>
    <s v="Se repite 5 veces"/>
    <s v="Tradiciones Andinas-T.A Harina de Maca /Maca Flour 7oz x 24"/>
    <n v="5"/>
    <s v="Se repite 5 veces en Tradiciones Andinas"/>
    <s v="Tradiciones Andinas-T.A Harina de Maca /Maca Flour 7oz x 24-53.68"/>
    <n v="4"/>
    <s v="Se repite 4 veces el precio de 53.68"/>
    <s v="El producto T.A Harina de Maca /Maca Flour 7oz x 24 Se repite 5 veces en Tradiciones Andinas, Se repite 4 veces el precio de 53.68"/>
  </r>
  <r>
    <x v="3"/>
    <x v="27"/>
    <s v="Bill"/>
    <s v="491180"/>
    <x v="308"/>
    <s v="TRADICIONES ANDINAS - PERU -  HEALTHY  PRODUCTS -  Harina de Maca /Maca Flour -  24 / 7oz - P00205"/>
    <n v="2"/>
    <n v="53.68"/>
    <n v="107.36"/>
    <n v="101984.60999999993"/>
    <n v="5"/>
    <s v="Se repite 5 veces"/>
    <s v="Tradiciones Andinas-T.A Harina de Maca /Maca Flour 7oz x 24"/>
    <n v="5"/>
    <s v="Se repite 5 veces en Tradiciones Andinas"/>
    <s v="Tradiciones Andinas-T.A Harina de Maca /Maca Flour 7oz x 24-53.68"/>
    <n v="4"/>
    <s v="Se repite 4 veces el precio de 53.68"/>
    <s v="El producto T.A Harina de Maca /Maca Flour 7oz x 24 Se repite 5 veces en Tradiciones Andinas, Se repite 4 veces el precio de 53.68"/>
  </r>
  <r>
    <x v="3"/>
    <x v="10"/>
    <s v="Bill"/>
    <s v="476974"/>
    <x v="309"/>
    <s v="Harina de Quinua /Quinua Flour (Instant)"/>
    <n v="1"/>
    <n v="28.64"/>
    <n v="28.64"/>
    <n v="13024.759999999998"/>
    <n v="4"/>
    <s v="Se repite 4 veces"/>
    <s v="Tradiciones Andinas-T.A Harina de Quinua /Quinua Flour (Instant) 12oz x 12"/>
    <n v="4"/>
    <s v="Se repite 4 veces en Tradiciones Andinas"/>
    <s v="Tradiciones Andinas-T.A Harina de Quinua /Quinua Flour (Instant) 12oz x 12-28.64"/>
    <n v="1"/>
    <s v="No se repite"/>
    <s v="El producto T.A Harina de Quinua /Quinua Flour (Instant) 12oz x 12 Se repite 4 veces en Tradiciones Andinas Una vez con el precio 28.64"/>
  </r>
  <r>
    <x v="3"/>
    <x v="5"/>
    <s v="Bill"/>
    <s v="482005"/>
    <x v="309"/>
    <s v="TRADICIONES ANDINAS - PERU -  HEALTHY  PRODUCTS -  Harina de Quinua /Quinua Flour (Instant) -  12 / 12oz - P00402"/>
    <n v="2"/>
    <n v="30.64"/>
    <n v="61.28"/>
    <n v="49641.269999999968"/>
    <n v="4"/>
    <s v="Se repite 4 veces"/>
    <s v="Tradiciones Andinas-T.A Harina de Quinua /Quinua Flour (Instant) 12oz x 12"/>
    <n v="4"/>
    <s v="Se repite 4 veces en Tradiciones Andinas"/>
    <s v="Tradiciones Andinas-T.A Harina de Quinua /Quinua Flour (Instant) 12oz x 12-30.64"/>
    <n v="3"/>
    <s v="Se repite 3 veces el precio de 30.64"/>
    <s v="El producto T.A Harina de Quinua /Quinua Flour (Instant) 12oz x 12 Se repite 4 veces en Tradiciones Andinas, Se repite 3 veces el precio de 30.64"/>
  </r>
  <r>
    <x v="3"/>
    <x v="6"/>
    <s v="Bill"/>
    <s v="487860"/>
    <x v="309"/>
    <s v="TRADICIONES ANDINAS - PERU -  HEALTHY  PRODUCTS -  Harina de Quinua /Quinua Flour (Instant) -  12 / 12oz - P00402"/>
    <n v="1"/>
    <n v="30.64"/>
    <n v="30.64"/>
    <n v="79742.179999999964"/>
    <n v="4"/>
    <s v="Se repite 4 veces"/>
    <s v="Tradiciones Andinas-T.A Harina de Quinua /Quinua Flour (Instant) 12oz x 12"/>
    <n v="4"/>
    <s v="Se repite 4 veces en Tradiciones Andinas"/>
    <s v="Tradiciones Andinas-T.A Harina de Quinua /Quinua Flour (Instant) 12oz x 12-30.64"/>
    <n v="3"/>
    <s v="Se repite 3 veces el precio de 30.64"/>
    <s v="El producto T.A Harina de Quinua /Quinua Flour (Instant) 12oz x 12 Se repite 4 veces en Tradiciones Andinas, Se repite 3 veces el precio de 30.64"/>
  </r>
  <r>
    <x v="3"/>
    <x v="27"/>
    <s v="Bill"/>
    <s v="491180"/>
    <x v="309"/>
    <s v="TRADICIONES ANDINAS - PERU -  HEALTHY  PRODUCTS -  Harina de Quinua /Quinua Flour (Instant) -  12 / 12oz - P00402"/>
    <n v="2"/>
    <n v="30.64"/>
    <n v="61.28"/>
    <n v="101877.24999999993"/>
    <n v="4"/>
    <s v="Se repite 4 veces"/>
    <s v="Tradiciones Andinas-T.A Harina de Quinua /Quinua Flour (Instant) 12oz x 12"/>
    <n v="4"/>
    <s v="Se repite 4 veces en Tradiciones Andinas"/>
    <s v="Tradiciones Andinas-T.A Harina de Quinua /Quinua Flour (Instant) 12oz x 12-30.64"/>
    <n v="3"/>
    <s v="Se repite 3 veces el precio de 30.64"/>
    <s v="El producto T.A Harina de Quinua /Quinua Flour (Instant) 12oz x 12 Se repite 4 veces en Tradiciones Andinas, Se repite 3 veces el precio de 30.64"/>
  </r>
  <r>
    <x v="3"/>
    <x v="10"/>
    <s v="Bill"/>
    <s v="476974"/>
    <x v="310"/>
    <s v="Harina Linaza /Flax seed Flour"/>
    <n v="1"/>
    <n v="39.6"/>
    <n v="39.6"/>
    <n v="13155.08"/>
    <n v="2"/>
    <s v="Se repite 2 veces"/>
    <s v="Tradiciones Andinas-T.A Harina Linaza /Flax seed Flour 7.5oz x 24"/>
    <n v="2"/>
    <s v="Se repite 2 veces en Tradiciones Andinas"/>
    <s v="Tradiciones Andinas-T.A Harina Linaza /Flax seed Flour 7.5oz x 24-39.6"/>
    <n v="2"/>
    <s v="Se repite 2 veces el precio de 39.6"/>
    <s v="El producto T.A Harina Linaza /Flax seed Flour 7.5oz x 24 Se repite 2 veces en Tradiciones Andinas, Se repite 2 veces el precio de 39.6"/>
  </r>
  <r>
    <x v="3"/>
    <x v="13"/>
    <s v="Bill"/>
    <s v="485230"/>
    <x v="310"/>
    <s v="TRADICIONES ANDINAS - PERU -  HEALTHY  PRODUCTS -  Harina Linaza /Flax seed Flour -  24 / 7.5oz - P00203"/>
    <n v="1"/>
    <n v="39.6"/>
    <n v="39.6"/>
    <n v="69639.840000000011"/>
    <n v="2"/>
    <s v="Se repite 2 veces"/>
    <s v="Tradiciones Andinas-T.A Harina Linaza /Flax seed Flour 7.5oz x 24"/>
    <n v="2"/>
    <s v="Se repite 2 veces en Tradiciones Andinas"/>
    <s v="Tradiciones Andinas-T.A Harina Linaza /Flax seed Flour 7.5oz x 24-39.6"/>
    <n v="2"/>
    <s v="Se repite 2 veces el precio de 39.6"/>
    <s v="El producto T.A Harina Linaza /Flax seed Flour 7.5oz x 24 Se repite 2 veces en Tradiciones Andinas, Se repite 2 veces el precio de 39.6"/>
  </r>
  <r>
    <x v="3"/>
    <x v="10"/>
    <s v="Bill"/>
    <s v="476974"/>
    <x v="311"/>
    <s v="TRADICIONES ANDINAS - Hierbaluisa - Lemon Grass Tea"/>
    <n v="2"/>
    <n v="25.5"/>
    <n v="51"/>
    <n v="17368.899999999998"/>
    <n v="6"/>
    <s v="Se repite 6 veces"/>
    <s v="Tradiciones Andinas-T.A Hierbaluisa filtrante - Lemon Grass Tea 20 x 30"/>
    <n v="6"/>
    <s v="Se repite 6 veces en Tradiciones Andinas"/>
    <s v="Tradiciones Andinas-T.A Hierbaluisa filtrante - Lemon Grass Tea 20 x 30-25.5"/>
    <n v="1"/>
    <s v="No se repite"/>
    <s v="El producto T.A Hierbaluisa filtrante - Lemon Grass Tea 20 x 30 Se repite 6 veces en Tradiciones Andinas Una vez con el precio 25.5"/>
  </r>
  <r>
    <x v="3"/>
    <x v="4"/>
    <s v="Bill"/>
    <s v="480295"/>
    <x v="311"/>
    <s v="TA- PERU -  INFUSIONES -  TRADICIONES ANDINAS - Hierbaluisa - Lemon Grass Tea-  30 / 20x24g - TE04"/>
    <n v="1"/>
    <n v="27.29"/>
    <n v="27.29"/>
    <n v="40378.699999999997"/>
    <n v="6"/>
    <s v="Se repite 6 veces"/>
    <s v="Tradiciones Andinas-T.A Hierbaluisa filtrante - Lemon Grass Tea 20 x 30"/>
    <n v="6"/>
    <s v="Se repite 6 veces en Tradiciones Andinas"/>
    <s v="Tradiciones Andinas-T.A Hierbaluisa filtrante - Lemon Grass Tea 20 x 30-27.29"/>
    <n v="5"/>
    <s v="Se repite 5 veces el precio de 27.29"/>
    <s v="El producto T.A Hierbaluisa filtrante - Lemon Grass Tea 20 x 30 Se repite 6 veces en Tradiciones Andinas, Se repite 5 veces el precio de 27.29"/>
  </r>
  <r>
    <x v="3"/>
    <x v="5"/>
    <s v="Bill"/>
    <s v="482005"/>
    <x v="311"/>
    <s v="TA- PERU -  INFUSIONES -  TRADICIONES ANDINAS - Hierbaluisa - Lemon Grass Tea-  30 / 20x24g - TE04"/>
    <n v="1"/>
    <n v="27.29"/>
    <n v="27.29"/>
    <n v="53673.619999999952"/>
    <n v="6"/>
    <s v="Se repite 6 veces"/>
    <s v="Tradiciones Andinas-T.A Hierbaluisa filtrante - Lemon Grass Tea 20 x 30"/>
    <n v="6"/>
    <s v="Se repite 6 veces en Tradiciones Andinas"/>
    <s v="Tradiciones Andinas-T.A Hierbaluisa filtrante - Lemon Grass Tea 20 x 30-27.29"/>
    <n v="5"/>
    <s v="Se repite 5 veces el precio de 27.29"/>
    <s v="El producto T.A Hierbaluisa filtrante - Lemon Grass Tea 20 x 30 Se repite 6 veces en Tradiciones Andinas, Se repite 5 veces el precio de 27.29"/>
  </r>
  <r>
    <x v="3"/>
    <x v="25"/>
    <s v="Bill"/>
    <s v="483292"/>
    <x v="311"/>
    <s v="TA- PERU -  INFUSIONES -  TRADICIONES ANDINAS - Hierbaluisa - Lemon Grass Tea-  30 / 20x24g - TE04"/>
    <n v="1"/>
    <n v="27.29"/>
    <n v="27.29"/>
    <n v="62173.639999999956"/>
    <n v="6"/>
    <s v="Se repite 6 veces"/>
    <s v="Tradiciones Andinas-T.A Hierbaluisa filtrante - Lemon Grass Tea 20 x 30"/>
    <n v="6"/>
    <s v="Se repite 6 veces en Tradiciones Andinas"/>
    <s v="Tradiciones Andinas-T.A Hierbaluisa filtrante - Lemon Grass Tea 20 x 30-27.29"/>
    <n v="5"/>
    <s v="Se repite 5 veces el precio de 27.29"/>
    <s v="El producto T.A Hierbaluisa filtrante - Lemon Grass Tea 20 x 30 Se repite 6 veces en Tradiciones Andinas, Se repite 5 veces el precio de 27.29"/>
  </r>
  <r>
    <x v="3"/>
    <x v="6"/>
    <s v="Bill"/>
    <s v="487860"/>
    <x v="311"/>
    <s v="TA- PERU -  INFUSIONES -  TRADICIONES ANDINAS - Hierbaluisa - Lemon Grass Tea-  30 / 20x24g - TE04"/>
    <n v="3"/>
    <n v="27.29"/>
    <n v="81.87"/>
    <n v="83342.069999999963"/>
    <n v="6"/>
    <s v="Se repite 6 veces"/>
    <s v="Tradiciones Andinas-T.A Hierbaluisa filtrante - Lemon Grass Tea 20 x 30"/>
    <n v="6"/>
    <s v="Se repite 6 veces en Tradiciones Andinas"/>
    <s v="Tradiciones Andinas-T.A Hierbaluisa filtrante - Lemon Grass Tea 20 x 30-27.29"/>
    <n v="5"/>
    <s v="Se repite 5 veces el precio de 27.29"/>
    <s v="El producto T.A Hierbaluisa filtrante - Lemon Grass Tea 20 x 30 Se repite 6 veces en Tradiciones Andinas, Se repite 5 veces el precio de 27.29"/>
  </r>
  <r>
    <x v="3"/>
    <x v="7"/>
    <s v="Bill"/>
    <s v="492743"/>
    <x v="311"/>
    <s v="TA- PERU -  INFUSIONES -  TRADICIONES ANDINAS - Hierbaluisa - Lemon Grass Tea-  30 / 20x24g - TE04"/>
    <n v="4"/>
    <n v="27.29"/>
    <n v="109.16"/>
    <n v="108989.83999999991"/>
    <n v="6"/>
    <s v="Se repite 6 veces"/>
    <s v="Tradiciones Andinas-T.A Hierbaluisa filtrante - Lemon Grass Tea 20 x 30"/>
    <n v="6"/>
    <s v="Se repite 6 veces en Tradiciones Andinas"/>
    <s v="Tradiciones Andinas-T.A Hierbaluisa filtrante - Lemon Grass Tea 20 x 30-27.29"/>
    <n v="5"/>
    <s v="Se repite 5 veces el precio de 27.29"/>
    <s v="El producto T.A Hierbaluisa filtrante - Lemon Grass Tea 20 x 30 Se repite 6 veces en Tradiciones Andinas, Se repite 5 veces el precio de 27.29"/>
  </r>
  <r>
    <x v="3"/>
    <x v="25"/>
    <s v="Bill"/>
    <s v="483292"/>
    <x v="312"/>
    <s v="Hojuela de Quinua / Quinua Flakes"/>
    <n v="2"/>
    <n v="31.08"/>
    <n v="62.16"/>
    <n v="61702.189999999937"/>
    <n v="1"/>
    <s v="No se repite"/>
    <s v="Tradiciones Andinas-T.A Hojuela de Quinua / Quinua Flakes"/>
    <n v="1"/>
    <s v="No se repite en proveedor"/>
    <s v="Tradiciones Andinas-T.A Hojuela de Quinua / Quinua Flakes-31.08"/>
    <n v="1"/>
    <s v="No se repite"/>
    <s v="El producto T.A Hojuela de Quinua / Quinua Flakes No se repite en proveedor Una vez con el precio 31.08"/>
  </r>
  <r>
    <x v="3"/>
    <x v="9"/>
    <s v="Bill"/>
    <s v=""/>
    <x v="313"/>
    <s v="Huacatay / Black Mint"/>
    <n v="2"/>
    <n v="43.2"/>
    <n v="86.4"/>
    <n v="7823.8399999999992"/>
    <n v="6"/>
    <s v="Se repite 6 veces"/>
    <s v="Tradiciones Andinas-T.A Huacatay / Black Mint 12oz x 24 FROZEN"/>
    <n v="6"/>
    <s v="Se repite 6 veces en Tradiciones Andinas"/>
    <s v="Tradiciones Andinas-T.A Huacatay / Black Mint 12oz x 24 FROZEN-43.2"/>
    <n v="2"/>
    <s v="Se repite 2 veces el precio de 43.2"/>
    <s v="El producto T.A Huacatay / Black Mint 12oz x 24 FROZEN Se repite 6 veces en Tradiciones Andinas, Se repite 2 veces el precio de 43.2"/>
  </r>
  <r>
    <x v="3"/>
    <x v="10"/>
    <s v="Bill"/>
    <s v="476974"/>
    <x v="313"/>
    <s v="Huacatay / Black Mint"/>
    <n v="2"/>
    <n v="43.2"/>
    <n v="86.4"/>
    <n v="23653.140000000003"/>
    <n v="6"/>
    <s v="Se repite 6 veces"/>
    <s v="Tradiciones Andinas-T.A Huacatay / Black Mint 12oz x 24 FROZEN"/>
    <n v="6"/>
    <s v="Se repite 6 veces en Tradiciones Andinas"/>
    <s v="Tradiciones Andinas-T.A Huacatay / Black Mint 12oz x 24 FROZEN-43.2"/>
    <n v="2"/>
    <s v="Se repite 2 veces el precio de 43.2"/>
    <s v="El producto T.A Huacatay / Black Mint 12oz x 24 FROZEN Se repite 6 veces en Tradiciones Andinas, Se repite 2 veces el precio de 43.2"/>
  </r>
  <r>
    <x v="3"/>
    <x v="4"/>
    <s v="Bill"/>
    <s v="480295"/>
    <x v="313"/>
    <s v="TRADICIONES ANDINAS- PERU -  FROZEN -  Huacatay / Black Mint  -  24 / 12oz - P00117"/>
    <n v="2"/>
    <n v="46.22"/>
    <n v="92.44"/>
    <n v="43087.819999999992"/>
    <n v="6"/>
    <s v="Se repite 6 veces"/>
    <s v="Tradiciones Andinas-T.A Huacatay / Black Mint 12oz x 24 FROZEN"/>
    <n v="6"/>
    <s v="Se repite 6 veces en Tradiciones Andinas"/>
    <s v="Tradiciones Andinas-T.A Huacatay / Black Mint 12oz x 24 FROZEN-46.22"/>
    <n v="4"/>
    <s v="Se repite 4 veces el precio de 46.22"/>
    <s v="El producto T.A Huacatay / Black Mint 12oz x 24 FROZEN Se repite 6 veces en Tradiciones Andinas, Se repite 4 veces el precio de 46.22"/>
  </r>
  <r>
    <x v="3"/>
    <x v="25"/>
    <s v="Bill"/>
    <s v="483292"/>
    <x v="313"/>
    <s v="TRADICIONES ANDINAS- PERU -  FROZEN -  Huacatay / Black Mint  -  24 / 12oz - P00117"/>
    <n v="3"/>
    <n v="46.22"/>
    <n v="138.66"/>
    <n v="63726.939999999951"/>
    <n v="6"/>
    <s v="Se repite 6 veces"/>
    <s v="Tradiciones Andinas-T.A Huacatay / Black Mint 12oz x 24 FROZEN"/>
    <n v="6"/>
    <s v="Se repite 6 veces en Tradiciones Andinas"/>
    <s v="Tradiciones Andinas-T.A Huacatay / Black Mint 12oz x 24 FROZEN-46.22"/>
    <n v="4"/>
    <s v="Se repite 4 veces el precio de 46.22"/>
    <s v="El producto T.A Huacatay / Black Mint 12oz x 24 FROZEN Se repite 6 veces en Tradiciones Andinas, Se repite 4 veces el precio de 46.22"/>
  </r>
  <r>
    <x v="3"/>
    <x v="25"/>
    <s v="Bill"/>
    <s v="483292"/>
    <x v="313"/>
    <s v="TRADICIONES ANDINAS- PERU -  FROZEN -  Huacatay / Black Mint  -  24 / 12oz - P00117"/>
    <n v="4"/>
    <n v="46.22"/>
    <n v="184.88"/>
    <n v="66378.539999999979"/>
    <n v="6"/>
    <s v="Se repite 6 veces"/>
    <s v="Tradiciones Andinas-T.A Huacatay / Black Mint 12oz x 24 FROZEN"/>
    <n v="6"/>
    <s v="Se repite 6 veces en Tradiciones Andinas"/>
    <s v="Tradiciones Andinas-T.A Huacatay / Black Mint 12oz x 24 FROZEN-46.22"/>
    <n v="4"/>
    <s v="Se repite 4 veces el precio de 46.22"/>
    <s v="El producto T.A Huacatay / Black Mint 12oz x 24 FROZEN Se repite 6 veces en Tradiciones Andinas, Se repite 4 veces el precio de 46.22"/>
  </r>
  <r>
    <x v="3"/>
    <x v="7"/>
    <s v="Bill"/>
    <s v="492743"/>
    <x v="313"/>
    <s v="TRADICIONES ANDINAS- PERU -  FROZEN -  Huacatay / Black Mint  -  24 / 12oz - P00117"/>
    <n v="3"/>
    <n v="46.22"/>
    <n v="138.66"/>
    <n v="115366.03999999988"/>
    <n v="6"/>
    <s v="Se repite 6 veces"/>
    <s v="Tradiciones Andinas-T.A Huacatay / Black Mint 12oz x 24 FROZEN"/>
    <n v="6"/>
    <s v="Se repite 6 veces en Tradiciones Andinas"/>
    <s v="Tradiciones Andinas-T.A Huacatay / Black Mint 12oz x 24 FROZEN-46.22"/>
    <n v="4"/>
    <s v="Se repite 4 veces el precio de 46.22"/>
    <s v="El producto T.A Huacatay / Black Mint 12oz x 24 FROZEN Se repite 6 veces en Tradiciones Andinas, Se repite 4 veces el precio de 46.22"/>
  </r>
  <r>
    <x v="3"/>
    <x v="6"/>
    <s v="Bill"/>
    <s v="487860"/>
    <x v="314"/>
    <s v="TRADICIONES ANDINAS - PERU -  VIDRIO -  Huacatay Pasta / Black Mint Paste -  24 / 7.5oz - P00180"/>
    <n v="3"/>
    <n v="32.1"/>
    <n v="96.3"/>
    <n v="75121.259999999995"/>
    <n v="4"/>
    <s v="Se repite 4 veces"/>
    <s v="Tradiciones Andinas-T.A Huacatay Pasta / Black Mint Paste 7.5oz"/>
    <n v="4"/>
    <s v="Se repite 4 veces en Tradiciones Andinas"/>
    <s v="Tradiciones Andinas-T.A Huacatay Pasta / Black Mint Paste 7.5oz-32.1"/>
    <n v="4"/>
    <s v="Se repite 4 veces el precio de 32.1"/>
    <s v="El producto T.A Huacatay Pasta / Black Mint Paste 7.5oz Se repite 4 veces en Tradiciones Andinas, Se repite 4 veces el precio de 32.1"/>
  </r>
  <r>
    <x v="3"/>
    <x v="32"/>
    <s v="Bill"/>
    <s v="491332"/>
    <x v="314"/>
    <s v="TRADICIONES ANDINAS - PERU -  VIDRIO -  Huacatay Pasta / Black Mint Paste -  24 / 7.5oz - P00180"/>
    <n v="1"/>
    <n v="32.1"/>
    <n v="32.1"/>
    <n v="93239.549999999945"/>
    <n v="4"/>
    <s v="Se repite 4 veces"/>
    <s v="Tradiciones Andinas-T.A Huacatay Pasta / Black Mint Paste 7.5oz"/>
    <n v="4"/>
    <s v="Se repite 4 veces en Tradiciones Andinas"/>
    <s v="Tradiciones Andinas-T.A Huacatay Pasta / Black Mint Paste 7.5oz-32.1"/>
    <n v="4"/>
    <s v="Se repite 4 veces el precio de 32.1"/>
    <s v="El producto T.A Huacatay Pasta / Black Mint Paste 7.5oz Se repite 4 veces en Tradiciones Andinas, Se repite 4 veces el precio de 32.1"/>
  </r>
  <r>
    <x v="3"/>
    <x v="27"/>
    <s v="Bill"/>
    <s v="491180"/>
    <x v="314"/>
    <s v="TRADICIONES ANDINAS - PERU -  VIDRIO -  Huacatay Pasta / Black Mint Paste -  24 / 7.5oz - P00180"/>
    <n v="4"/>
    <n v="32.1"/>
    <n v="128.4"/>
    <n v="100449.98999999993"/>
    <n v="4"/>
    <s v="Se repite 4 veces"/>
    <s v="Tradiciones Andinas-T.A Huacatay Pasta / Black Mint Paste 7.5oz"/>
    <n v="4"/>
    <s v="Se repite 4 veces en Tradiciones Andinas"/>
    <s v="Tradiciones Andinas-T.A Huacatay Pasta / Black Mint Paste 7.5oz-32.1"/>
    <n v="4"/>
    <s v="Se repite 4 veces el precio de 32.1"/>
    <s v="El producto T.A Huacatay Pasta / Black Mint Paste 7.5oz Se repite 4 veces en Tradiciones Andinas, Se repite 4 veces el precio de 32.1"/>
  </r>
  <r>
    <x v="3"/>
    <x v="7"/>
    <s v="Bill"/>
    <s v="492743"/>
    <x v="314"/>
    <s v="TRADICIONES ANDINAS - PERU -  VIDRIO -  Huacatay Pasta / Black Mint Paste -  24 / 7.5oz - P00180"/>
    <n v="1"/>
    <n v="32.1"/>
    <n v="32.1"/>
    <n v="105519.11999999995"/>
    <n v="4"/>
    <s v="Se repite 4 veces"/>
    <s v="Tradiciones Andinas-T.A Huacatay Pasta / Black Mint Paste 7.5oz"/>
    <n v="4"/>
    <s v="Se repite 4 veces en Tradiciones Andinas"/>
    <s v="Tradiciones Andinas-T.A Huacatay Pasta / Black Mint Paste 7.5oz-32.1"/>
    <n v="4"/>
    <s v="Se repite 4 veces el precio de 32.1"/>
    <s v="El producto T.A Huacatay Pasta / Black Mint Paste 7.5oz Se repite 4 veces en Tradiciones Andinas, Se repite 4 veces el precio de 32.1"/>
  </r>
  <r>
    <x v="3"/>
    <x v="10"/>
    <s v="Bill"/>
    <s v="476974"/>
    <x v="315"/>
    <s v="T.A Linaza /Flax Seed 15oz x 24"/>
    <n v="3"/>
    <n v="31.2"/>
    <n v="93.6"/>
    <n v="11503.399999999998"/>
    <n v="3"/>
    <s v="Se repite 3 veces"/>
    <s v="Tradiciones Andinas-T.A Linaza /Flax Seed 15oz x 24"/>
    <n v="3"/>
    <s v="Se repite 3 veces en Tradiciones Andinas"/>
    <s v="Tradiciones Andinas-T.A Linaza /Flax Seed 15oz x 24-31.2"/>
    <n v="1"/>
    <s v="No se repite"/>
    <s v="El producto T.A Linaza /Flax Seed 15oz x 24 Se repite 3 veces en Tradiciones Andinas Una vez con el precio 31.2"/>
  </r>
  <r>
    <x v="3"/>
    <x v="5"/>
    <s v="Bill"/>
    <s v="482005"/>
    <x v="315"/>
    <s v="TRADICIONES ANDINAS - PERU -  BOLSA -  Linaza /Flax Seed -  24 / 15oz - P00165"/>
    <n v="3"/>
    <n v="33.380000000000003"/>
    <n v="100.14"/>
    <n v="48829.909999999974"/>
    <n v="3"/>
    <s v="Se repite 3 veces"/>
    <s v="Tradiciones Andinas-T.A Linaza /Flax Seed 15oz x 24"/>
    <n v="3"/>
    <s v="Se repite 3 veces en Tradiciones Andinas"/>
    <s v="Tradiciones Andinas-T.A Linaza /Flax Seed 15oz x 24-33.38"/>
    <n v="2"/>
    <s v="Se repite 2 veces el precio de 33.38"/>
    <s v="El producto T.A Linaza /Flax Seed 15oz x 24 Se repite 3 veces en Tradiciones Andinas, Se repite 2 veces el precio de 33.38"/>
  </r>
  <r>
    <x v="3"/>
    <x v="27"/>
    <s v="Bill"/>
    <s v="491180"/>
    <x v="315"/>
    <s v="TRADICIONES ANDINAS - PERU -  BOLSA -  Linaza /Flax Seed -  24 / 15oz - P00165"/>
    <n v="2"/>
    <n v="33.380000000000003"/>
    <n v="66.760000000000005"/>
    <n v="100889.54999999993"/>
    <n v="3"/>
    <s v="Se repite 3 veces"/>
    <s v="Tradiciones Andinas-T.A Linaza /Flax Seed 15oz x 24"/>
    <n v="3"/>
    <s v="Se repite 3 veces en Tradiciones Andinas"/>
    <s v="Tradiciones Andinas-T.A Linaza /Flax Seed 15oz x 24-33.38"/>
    <n v="2"/>
    <s v="Se repite 2 veces el precio de 33.38"/>
    <s v="El producto T.A Linaza /Flax Seed 15oz x 24 Se repite 3 veces en Tradiciones Andinas, Se repite 2 veces el precio de 33.38"/>
  </r>
  <r>
    <x v="3"/>
    <x v="31"/>
    <s v="Bill"/>
    <s v="477393"/>
    <x v="316"/>
    <s v="TA- ECUADOR -  CAN PRODUCTS -  Lomitos de Atún en Aceite / Solid Tuna in Oil  - 3 PACK (SMALL)-  20 / 3*80gr - RE216"/>
    <n v="1"/>
    <n v="60"/>
    <n v="60"/>
    <n v="24720.82"/>
    <n v="1"/>
    <s v="No se repite"/>
    <s v="Tradiciones Andinas-T.A Lomitos de Atún en Aceite / Solid Tuna in Oil  - 3 PACK (SMALL)"/>
    <n v="1"/>
    <s v="No se repite en proveedor"/>
    <s v="Tradiciones Andinas-T.A Lomitos de Atún en Aceite / Solid Tuna in Oil  - 3 PACK (SMALL)-60"/>
    <n v="1"/>
    <s v="No se repite"/>
    <s v="El producto T.A Lomitos de Atún en Aceite / Solid Tuna in Oil  - 3 PACK (SMALL) No se repite en proveedor Una vez con el precio 60"/>
  </r>
  <r>
    <x v="3"/>
    <x v="10"/>
    <s v="Bill"/>
    <s v="476974"/>
    <x v="317"/>
    <s v="T.A Lomitos de Atún en Aceite / Solid TUNA in Oil"/>
    <n v="1"/>
    <n v="62"/>
    <n v="62"/>
    <n v="22531.54"/>
    <n v="3"/>
    <s v="Se repite 3 veces"/>
    <s v="Tradiciones Andinas-T.A Lomitos de Atún en Aceite / Solid TUNA in Oil 5oz x 48"/>
    <n v="3"/>
    <s v="Se repite 3 veces en Tradiciones Andinas"/>
    <s v="Tradiciones Andinas-T.A Lomitos de Atún en Aceite / Solid TUNA in Oil 5oz x 48-62"/>
    <n v="1"/>
    <s v="No se repite"/>
    <s v="El producto T.A Lomitos de Atún en Aceite / Solid TUNA in Oil 5oz x 48 Se repite 3 veces en Tradiciones Andinas Una vez con el precio 62"/>
  </r>
  <r>
    <x v="3"/>
    <x v="5"/>
    <s v="Bill"/>
    <s v="482005"/>
    <x v="317"/>
    <s v="TA- ECUADOR -  CAN PRODUCTS -   Lomitos de Atún en Aceite / Solid TUNA in Oil -  48 / 5oz - RE212"/>
    <n v="1"/>
    <n v="66.34"/>
    <n v="66.34"/>
    <n v="57675.089999999938"/>
    <n v="3"/>
    <s v="Se repite 3 veces"/>
    <s v="Tradiciones Andinas-T.A Lomitos de Atún en Aceite / Solid TUNA in Oil 5oz x 48"/>
    <n v="3"/>
    <s v="Se repite 3 veces en Tradiciones Andinas"/>
    <s v="Tradiciones Andinas-T.A Lomitos de Atún en Aceite / Solid TUNA in Oil 5oz x 48-66.34"/>
    <n v="2"/>
    <s v="Se repite 2 veces el precio de 66.34"/>
    <s v="El producto T.A Lomitos de Atún en Aceite / Solid TUNA in Oil 5oz x 48 Se repite 3 veces en Tradiciones Andinas, Se repite 2 veces el precio de 66.34"/>
  </r>
  <r>
    <x v="3"/>
    <x v="25"/>
    <s v="Bill"/>
    <s v="483292"/>
    <x v="317"/>
    <s v="TA- ECUADOR -  CAN PRODUCTS -   Lomitos de Atún en Aceite / Solid TUNA in Oil -  48 / 5oz - RE212"/>
    <n v="4"/>
    <n v="66.34"/>
    <n v="265.36"/>
    <n v="62725.019999999953"/>
    <n v="3"/>
    <s v="Se repite 3 veces"/>
    <s v="Tradiciones Andinas-T.A Lomitos de Atún en Aceite / Solid TUNA in Oil 5oz x 48"/>
    <n v="3"/>
    <s v="Se repite 3 veces en Tradiciones Andinas"/>
    <s v="Tradiciones Andinas-T.A Lomitos de Atún en Aceite / Solid TUNA in Oil 5oz x 48-66.34"/>
    <n v="2"/>
    <s v="Se repite 2 veces el precio de 66.34"/>
    <s v="El producto T.A Lomitos de Atún en Aceite / Solid TUNA in Oil 5oz x 48 Se repite 3 veces en Tradiciones Andinas, Se repite 2 veces el precio de 66.34"/>
  </r>
  <r>
    <x v="3"/>
    <x v="33"/>
    <s v="Bill"/>
    <s v="475144"/>
    <x v="318"/>
    <s v="Maiz Cancha (Family Pack) /Cancha Corn"/>
    <n v="2"/>
    <n v="35"/>
    <n v="70"/>
    <n v="1802.7199999999996"/>
    <n v="2"/>
    <s v="Se repite 2 veces"/>
    <s v="Tradiciones Andinas-T.A Maiz Cancha (Family Pack) /Cancha Corn 54oz x 6"/>
    <n v="2"/>
    <s v="Se repite 2 veces en Tradiciones Andinas"/>
    <s v="Tradiciones Andinas-T.A Maiz Cancha (Family Pack) /Cancha Corn 54oz x 6-35"/>
    <n v="2"/>
    <s v="Se repite 2 veces el precio de 35"/>
    <s v="El producto T.A Maiz Cancha (Family Pack) /Cancha Corn 54oz x 6 Se repite 2 veces en Tradiciones Andinas, Se repite 2 veces el precio de 35"/>
  </r>
  <r>
    <x v="3"/>
    <x v="34"/>
    <s v="Bill"/>
    <s v="490620"/>
    <x v="318"/>
    <s v="TRADICIONES ANDINAS - PERU -  BOLSA -  Maiz Cancha (Family Pack) /Cancha Corn -  6 / 54oz - P00177"/>
    <n v="5"/>
    <n v="35"/>
    <n v="175"/>
    <n v="95836.069999999934"/>
    <n v="2"/>
    <s v="Se repite 2 veces"/>
    <s v="Tradiciones Andinas-T.A Maiz Cancha (Family Pack) /Cancha Corn 54oz x 6"/>
    <n v="2"/>
    <s v="Se repite 2 veces en Tradiciones Andinas"/>
    <s v="Tradiciones Andinas-T.A Maiz Cancha (Family Pack) /Cancha Corn 54oz x 6-35"/>
    <n v="2"/>
    <s v="Se repite 2 veces el precio de 35"/>
    <s v="El producto T.A Maiz Cancha (Family Pack) /Cancha Corn 54oz x 6 Se repite 2 veces en Tradiciones Andinas, Se repite 2 veces el precio de 35"/>
  </r>
  <r>
    <x v="3"/>
    <x v="10"/>
    <s v="Bill"/>
    <s v="476974"/>
    <x v="319"/>
    <s v="Maiz Cancha Frito Salado / Native Corn Snack"/>
    <n v="5"/>
    <n v="12"/>
    <n v="60"/>
    <n v="15007.279999999999"/>
    <n v="4"/>
    <s v="Se repite 4 veces"/>
    <s v="Tradiciones Andinas-T.A Maiz Cancha Frito Salado / Native Corn Snack 130gr x12"/>
    <n v="4"/>
    <s v="Se repite 4 veces en Tradiciones Andinas"/>
    <s v="Tradiciones Andinas-T.A Maiz Cancha Frito Salado / Native Corn Snack 130gr x12-12"/>
    <n v="1"/>
    <s v="No se repite"/>
    <s v="El producto T.A Maiz Cancha Frito Salado / Native Corn Snack 130gr x12 Se repite 4 veces en Tradiciones Andinas Una vez con el precio 12"/>
  </r>
  <r>
    <x v="3"/>
    <x v="5"/>
    <s v="Bill"/>
    <s v="482005"/>
    <x v="319"/>
    <s v="TRADICIONES ANDINAS - PERU -  TIYAPUY - SNACKS -  Maiz Cancha Frito Salado / Native Corn Snack-  12 / 130g - CH166"/>
    <n v="5"/>
    <n v="13.2"/>
    <n v="66"/>
    <n v="51070.01999999996"/>
    <n v="4"/>
    <s v="Se repite 4 veces"/>
    <s v="Tradiciones Andinas-T.A Maiz Cancha Frito Salado / Native Corn Snack 130gr x12"/>
    <n v="4"/>
    <s v="Se repite 4 veces en Tradiciones Andinas"/>
    <s v="Tradiciones Andinas-T.A Maiz Cancha Frito Salado / Native Corn Snack 130gr x12-13.2"/>
    <n v="3"/>
    <s v="Se repite 3 veces el precio de 13.2"/>
    <s v="El producto T.A Maiz Cancha Frito Salado / Native Corn Snack 130gr x12 Se repite 4 veces en Tradiciones Andinas, Se repite 3 veces el precio de 13.2"/>
  </r>
  <r>
    <x v="3"/>
    <x v="13"/>
    <s v="Bill"/>
    <s v="485230"/>
    <x v="319"/>
    <s v="TRADICIONES ANDINAS - PERU -  TIYAPUY - SNACKS -  Maiz Cancha Frito Salado / Native Corn Snack-  12 / 130g - CH166"/>
    <n v="2"/>
    <n v="13.2"/>
    <n v="26.4"/>
    <n v="69980.970000000016"/>
    <n v="4"/>
    <s v="Se repite 4 veces"/>
    <s v="Tradiciones Andinas-T.A Maiz Cancha Frito Salado / Native Corn Snack 130gr x12"/>
    <n v="4"/>
    <s v="Se repite 4 veces en Tradiciones Andinas"/>
    <s v="Tradiciones Andinas-T.A Maiz Cancha Frito Salado / Native Corn Snack 130gr x12-13.2"/>
    <n v="3"/>
    <s v="Se repite 3 veces el precio de 13.2"/>
    <s v="El producto T.A Maiz Cancha Frito Salado / Native Corn Snack 130gr x12 Se repite 4 veces en Tradiciones Andinas, Se repite 3 veces el precio de 13.2"/>
  </r>
  <r>
    <x v="3"/>
    <x v="7"/>
    <s v="Bill"/>
    <s v="492743"/>
    <x v="319"/>
    <s v="TRADICIONES ANDINAS - PERU -  TIYAPUY - SNACKS -  Maiz Cancha Frito Salado / Native Corn Snack-  12 / 130g - CH166"/>
    <n v="7"/>
    <n v="13.2"/>
    <n v="92.4"/>
    <n v="108177.08999999991"/>
    <n v="4"/>
    <s v="Se repite 4 veces"/>
    <s v="Tradiciones Andinas-T.A Maiz Cancha Frito Salado / Native Corn Snack 130gr x12"/>
    <n v="4"/>
    <s v="Se repite 4 veces en Tradiciones Andinas"/>
    <s v="Tradiciones Andinas-T.A Maiz Cancha Frito Salado / Native Corn Snack 130gr x12-13.2"/>
    <n v="3"/>
    <s v="Se repite 3 veces el precio de 13.2"/>
    <s v="El producto T.A Maiz Cancha Frito Salado / Native Corn Snack 130gr x12 Se repite 4 veces en Tradiciones Andinas, Se repite 3 veces el precio de 13.2"/>
  </r>
  <r>
    <x v="3"/>
    <x v="33"/>
    <s v="Bill"/>
    <s v="475144"/>
    <x v="320"/>
    <s v="Maiz Cancha"/>
    <n v="1"/>
    <n v="60"/>
    <n v="60"/>
    <n v="2216.3599999999997"/>
    <n v="5"/>
    <s v="Se repite 5 veces"/>
    <s v="Tradiciones Andinas-T.A Maiz Cancha saco 50Lb"/>
    <n v="5"/>
    <s v="Se repite 5 veces en Tradiciones Andinas"/>
    <s v="Tradiciones Andinas-T.A Maiz Cancha saco 50Lb-60"/>
    <n v="2"/>
    <s v="Se repite 2 veces el precio de 60"/>
    <s v="El producto T.A Maiz Cancha saco 50Lb Se repite 5 veces en Tradiciones Andinas, Se repite 2 veces el precio de 60"/>
  </r>
  <r>
    <x v="3"/>
    <x v="10"/>
    <s v="Bill"/>
    <s v="476974"/>
    <x v="320"/>
    <s v="Maiz Cancha"/>
    <n v="6"/>
    <n v="60"/>
    <n v="360"/>
    <n v="21161.299999999996"/>
    <n v="5"/>
    <s v="Se repite 5 veces"/>
    <s v="Tradiciones Andinas-T.A Maiz Cancha saco 50Lb"/>
    <n v="5"/>
    <s v="Se repite 5 veces en Tradiciones Andinas"/>
    <s v="Tradiciones Andinas-T.A Maiz Cancha saco 50Lb-60"/>
    <n v="2"/>
    <s v="Se repite 2 veces el precio de 60"/>
    <s v="El producto T.A Maiz Cancha saco 50Lb Se repite 5 veces en Tradiciones Andinas, Se repite 2 veces el precio de 60"/>
  </r>
  <r>
    <x v="3"/>
    <x v="11"/>
    <s v="Bill"/>
    <s v="478734"/>
    <x v="320"/>
    <s v="TA- PERU -  GRANEL -  Maiz Cancha-  50 / lbs - 00208"/>
    <n v="12"/>
    <n v="64.2"/>
    <n v="770.4"/>
    <n v="32527.059999999998"/>
    <n v="5"/>
    <s v="Se repite 5 veces"/>
    <s v="Tradiciones Andinas-T.A Maiz Cancha saco 50Lb"/>
    <n v="5"/>
    <s v="Se repite 5 veces en Tradiciones Andinas"/>
    <s v="Tradiciones Andinas-T.A Maiz Cancha saco 50Lb-64.2"/>
    <n v="3"/>
    <s v="Se repite 3 veces el precio de 64.2"/>
    <s v="El producto T.A Maiz Cancha saco 50Lb Se repite 5 veces en Tradiciones Andinas, Se repite 3 veces el precio de 64.2"/>
  </r>
  <r>
    <x v="3"/>
    <x v="6"/>
    <s v="Bill"/>
    <s v="487860"/>
    <x v="320"/>
    <s v="TA- PERU -  GRANEL -  Maiz Cancha-  50 / lbs - 00208"/>
    <n v="5"/>
    <n v="64.2"/>
    <n v="321"/>
    <n v="85203.129999999961"/>
    <n v="5"/>
    <s v="Se repite 5 veces"/>
    <s v="Tradiciones Andinas-T.A Maiz Cancha saco 50Lb"/>
    <n v="5"/>
    <s v="Se repite 5 veces en Tradiciones Andinas"/>
    <s v="Tradiciones Andinas-T.A Maiz Cancha saco 50Lb-64.2"/>
    <n v="3"/>
    <s v="Se repite 3 veces el precio de 64.2"/>
    <s v="El producto T.A Maiz Cancha saco 50Lb Se repite 5 veces en Tradiciones Andinas, Se repite 3 veces el precio de 64.2"/>
  </r>
  <r>
    <x v="3"/>
    <x v="27"/>
    <s v="Bill"/>
    <s v="491180"/>
    <x v="320"/>
    <s v="TA- PERU -  GRANEL -  Maiz Cancha-  50 / lbs - 00208"/>
    <n v="4"/>
    <n v="64.2"/>
    <n v="256.8"/>
    <n v="103366.70999999992"/>
    <n v="5"/>
    <s v="Se repite 5 veces"/>
    <s v="Tradiciones Andinas-T.A Maiz Cancha saco 50Lb"/>
    <n v="5"/>
    <s v="Se repite 5 veces en Tradiciones Andinas"/>
    <s v="Tradiciones Andinas-T.A Maiz Cancha saco 50Lb-64.2"/>
    <n v="3"/>
    <s v="Se repite 3 veces el precio de 64.2"/>
    <s v="El producto T.A Maiz Cancha saco 50Lb Se repite 5 veces en Tradiciones Andinas, Se repite 3 veces el precio de 64.2"/>
  </r>
  <r>
    <x v="3"/>
    <x v="4"/>
    <s v="Bill"/>
    <s v="480295"/>
    <x v="321"/>
    <s v="Maiz Carhuay (Family Pack) / Carhuay Corn /"/>
    <n v="2"/>
    <n v="35"/>
    <n v="70"/>
    <n v="37785.39"/>
    <n v="2"/>
    <s v="Se repite 2 veces"/>
    <s v="Tradiciones Andinas-T.A Maiz Carhuay (Family Pack) / Carhuay Corn 54oz x 6"/>
    <n v="2"/>
    <s v="Se repite 2 veces en Tradiciones Andinas"/>
    <s v="Tradiciones Andinas-T.A Maiz Carhuay (Family Pack) / Carhuay Corn 54oz x 6-35"/>
    <n v="2"/>
    <s v="Se repite 2 veces el precio de 35"/>
    <s v="El producto T.A Maiz Carhuay (Family Pack) / Carhuay Corn 54oz x 6 Se repite 2 veces en Tradiciones Andinas, Se repite 2 veces el precio de 35"/>
  </r>
  <r>
    <x v="3"/>
    <x v="27"/>
    <s v="Bill"/>
    <s v="491180"/>
    <x v="321"/>
    <s v="TRADICIONES ANDINAS - PERU -  BOLSA -  Maiz Carhuay (Family Pack) / Carhuay Corn / -  6 / 54oz - P00221"/>
    <n v="1"/>
    <n v="35"/>
    <n v="35"/>
    <n v="101795.98999999993"/>
    <n v="2"/>
    <s v="Se repite 2 veces"/>
    <s v="Tradiciones Andinas-T.A Maiz Carhuay (Family Pack) / Carhuay Corn 54oz x 6"/>
    <n v="2"/>
    <s v="Se repite 2 veces en Tradiciones Andinas"/>
    <s v="Tradiciones Andinas-T.A Maiz Carhuay (Family Pack) / Carhuay Corn 54oz x 6-35"/>
    <n v="2"/>
    <s v="Se repite 2 veces el precio de 35"/>
    <s v="El producto T.A Maiz Carhuay (Family Pack) / Carhuay Corn 54oz x 6 Se repite 2 veces en Tradiciones Andinas, Se repite 2 veces el precio de 35"/>
  </r>
  <r>
    <x v="3"/>
    <x v="33"/>
    <s v="Bill"/>
    <s v="475144"/>
    <x v="322"/>
    <s v="Maiz Chulpe /Chulpe Corn"/>
    <n v="2"/>
    <n v="40.56"/>
    <n v="81.12"/>
    <n v="1301.56"/>
    <n v="5"/>
    <s v="Se repite 5 veces"/>
    <s v="Tradiciones Andinas-T.A Maiz Chulpe /Chulpe Corn 15oz x 24"/>
    <n v="5"/>
    <s v="Se repite 5 veces en Tradiciones Andinas"/>
    <s v="Tradiciones Andinas-T.A Maiz Chulpe /Chulpe Corn 15oz x 24-40.56"/>
    <n v="5"/>
    <s v="Se repite 5 veces el precio de 40.56"/>
    <s v="El producto T.A Maiz Chulpe /Chulpe Corn 15oz x 24 Se repite 5 veces en Tradiciones Andinas, Se repite 5 veces el precio de 40.56"/>
  </r>
  <r>
    <x v="3"/>
    <x v="9"/>
    <s v="Bill"/>
    <s v=""/>
    <x v="322"/>
    <s v="Maiz Chulpe /Chulpe Corn"/>
    <n v="2"/>
    <n v="40.56"/>
    <n v="81.12"/>
    <n v="4651.24"/>
    <n v="5"/>
    <s v="Se repite 5 veces"/>
    <s v="Tradiciones Andinas-T.A Maiz Chulpe /Chulpe Corn 15oz x 24"/>
    <n v="5"/>
    <s v="Se repite 5 veces en Tradiciones Andinas"/>
    <s v="Tradiciones Andinas-T.A Maiz Chulpe /Chulpe Corn 15oz x 24-40.56"/>
    <n v="5"/>
    <s v="Se repite 5 veces el precio de 40.56"/>
    <s v="El producto T.A Maiz Chulpe /Chulpe Corn 15oz x 24 Se repite 5 veces en Tradiciones Andinas, Se repite 5 veces el precio de 40.56"/>
  </r>
  <r>
    <x v="3"/>
    <x v="13"/>
    <s v="Bill"/>
    <s v="485230"/>
    <x v="322"/>
    <s v="Maiz Chulpe /Chulpe Corn"/>
    <n v="5"/>
    <n v="40.56"/>
    <n v="202.8"/>
    <n v="68852.360000000015"/>
    <n v="5"/>
    <s v="Se repite 5 veces"/>
    <s v="Tradiciones Andinas-T.A Maiz Chulpe /Chulpe Corn 15oz x 24"/>
    <n v="5"/>
    <s v="Se repite 5 veces en Tradiciones Andinas"/>
    <s v="Tradiciones Andinas-T.A Maiz Chulpe /Chulpe Corn 15oz x 24-40.56"/>
    <n v="5"/>
    <s v="Se repite 5 veces el precio de 40.56"/>
    <s v="El producto T.A Maiz Chulpe /Chulpe Corn 15oz x 24 Se repite 5 veces en Tradiciones Andinas, Se repite 5 veces el precio de 40.56"/>
  </r>
  <r>
    <x v="3"/>
    <x v="6"/>
    <s v="Bill"/>
    <s v="487860"/>
    <x v="322"/>
    <s v="Maiz Chulpe /Chulpe Corn"/>
    <n v="3"/>
    <n v="40.56"/>
    <n v="121.68"/>
    <n v="78750.89999999998"/>
    <n v="5"/>
    <s v="Se repite 5 veces"/>
    <s v="Tradiciones Andinas-T.A Maiz Chulpe /Chulpe Corn 15oz x 24"/>
    <n v="5"/>
    <s v="Se repite 5 veces en Tradiciones Andinas"/>
    <s v="Tradiciones Andinas-T.A Maiz Chulpe /Chulpe Corn 15oz x 24-40.56"/>
    <n v="5"/>
    <s v="Se repite 5 veces el precio de 40.56"/>
    <s v="El producto T.A Maiz Chulpe /Chulpe Corn 15oz x 24 Se repite 5 veces en Tradiciones Andinas, Se repite 5 veces el precio de 40.56"/>
  </r>
  <r>
    <x v="3"/>
    <x v="27"/>
    <s v="Bill"/>
    <s v="491180"/>
    <x v="322"/>
    <s v="TRADICIONES ANDINAS - PERU -  BOLSA -  Maiz Chulpe /Chulpe Corn -  24 / 15oz - P00170"/>
    <n v="8"/>
    <n v="40.56"/>
    <n v="324.48"/>
    <n v="101406.62999999993"/>
    <n v="5"/>
    <s v="Se repite 5 veces"/>
    <s v="Tradiciones Andinas-T.A Maiz Chulpe /Chulpe Corn 15oz x 24"/>
    <n v="5"/>
    <s v="Se repite 5 veces en Tradiciones Andinas"/>
    <s v="Tradiciones Andinas-T.A Maiz Chulpe /Chulpe Corn 15oz x 24-40.56"/>
    <n v="5"/>
    <s v="Se repite 5 veces el precio de 40.56"/>
    <s v="El producto T.A Maiz Chulpe /Chulpe Corn 15oz x 24 Se repite 5 veces en Tradiciones Andinas, Se repite 5 veces el precio de 40.56"/>
  </r>
  <r>
    <x v="3"/>
    <x v="33"/>
    <s v="Bill"/>
    <s v="475144"/>
    <x v="323"/>
    <s v="Maiz Chulpe Saco"/>
    <n v="1"/>
    <n v="73"/>
    <n v="73"/>
    <n v="2489.3599999999997"/>
    <n v="4"/>
    <s v="Se repite 4 veces"/>
    <s v="Tradiciones Andinas-T.A Maiz Chulpe Saco"/>
    <n v="4"/>
    <s v="Se repite 4 veces en Tradiciones Andinas"/>
    <s v="Tradiciones Andinas-T.A Maiz Chulpe Saco-73"/>
    <n v="1"/>
    <s v="No se repite"/>
    <s v="El producto T.A Maiz Chulpe Saco Se repite 4 veces en Tradiciones Andinas Una vez con el precio 73"/>
  </r>
  <r>
    <x v="3"/>
    <x v="5"/>
    <s v="Bill"/>
    <s v="482005"/>
    <x v="323"/>
    <s v="Maiz Chulpe Saco"/>
    <n v="4"/>
    <n v="78"/>
    <n v="312"/>
    <n v="56070.059999999939"/>
    <n v="4"/>
    <s v="Se repite 4 veces"/>
    <s v="Tradiciones Andinas-T.A Maiz Chulpe Saco"/>
    <n v="4"/>
    <s v="Se repite 4 veces en Tradiciones Andinas"/>
    <s v="Tradiciones Andinas-T.A Maiz Chulpe Saco-78"/>
    <n v="3"/>
    <s v="Se repite 3 veces el precio de 78"/>
    <s v="El producto T.A Maiz Chulpe Saco Se repite 4 veces en Tradiciones Andinas, Se repite 3 veces el precio de 78"/>
  </r>
  <r>
    <x v="3"/>
    <x v="13"/>
    <s v="Bill"/>
    <s v="485230"/>
    <x v="323"/>
    <s v="Maiz Chulpe Saco 50lb"/>
    <n v="1"/>
    <n v="78"/>
    <n v="78"/>
    <n v="71773.010000000009"/>
    <n v="4"/>
    <s v="Se repite 4 veces"/>
    <s v="Tradiciones Andinas-T.A Maiz Chulpe Saco"/>
    <n v="4"/>
    <s v="Se repite 4 veces en Tradiciones Andinas"/>
    <s v="Tradiciones Andinas-T.A Maiz Chulpe Saco-78"/>
    <n v="3"/>
    <s v="Se repite 3 veces el precio de 78"/>
    <s v="El producto T.A Maiz Chulpe Saco Se repite 4 veces en Tradiciones Andinas, Se repite 3 veces el precio de 78"/>
  </r>
  <r>
    <x v="3"/>
    <x v="27"/>
    <s v="Bill"/>
    <s v="491180"/>
    <x v="323"/>
    <s v="Maiz Chulpe Saco 50lb"/>
    <n v="1"/>
    <n v="78"/>
    <n v="78"/>
    <n v="103829.90999999992"/>
    <n v="4"/>
    <s v="Se repite 4 veces"/>
    <s v="Tradiciones Andinas-T.A Maiz Chulpe Saco"/>
    <n v="4"/>
    <s v="Se repite 4 veces en Tradiciones Andinas"/>
    <s v="Tradiciones Andinas-T.A Maiz Chulpe Saco-78"/>
    <n v="3"/>
    <s v="Se repite 3 veces el precio de 78"/>
    <s v="El producto T.A Maiz Chulpe Saco Se repite 4 veces en Tradiciones Andinas, Se repite 3 veces el precio de 78"/>
  </r>
  <r>
    <x v="3"/>
    <x v="10"/>
    <s v="Bill"/>
    <s v="476974"/>
    <x v="324"/>
    <s v="Maiz Chulpi frito Salado/ Chulpi Corn Snack"/>
    <n v="6"/>
    <n v="12"/>
    <n v="72"/>
    <n v="14947.279999999999"/>
    <n v="4"/>
    <s v="Se repite 4 veces"/>
    <s v="Tradiciones Andinas-T.A Maiz Chulpi frito Salado/ Chulpi Corn Snack 130gr x 12"/>
    <n v="4"/>
    <s v="Se repite 4 veces en Tradiciones Andinas"/>
    <s v="Tradiciones Andinas-T.A Maiz Chulpi frito Salado/ Chulpi Corn Snack 130gr x 12-12"/>
    <n v="1"/>
    <s v="No se repite"/>
    <s v="El producto T.A Maiz Chulpi frito Salado/ Chulpi Corn Snack 130gr x 12 Se repite 4 veces en Tradiciones Andinas Una vez con el precio 12"/>
  </r>
  <r>
    <x v="3"/>
    <x v="5"/>
    <s v="Bill"/>
    <s v="482005"/>
    <x v="324"/>
    <s v="TRADICIONES ANDINAS - PERU -  TIYAPUY - SNACKS -  Maiz Chulpi frito Salado/ Chulpi Corn Snack-  12 / 130g - CH165"/>
    <n v="6"/>
    <n v="13.2"/>
    <n v="79.2"/>
    <n v="51004.01999999996"/>
    <n v="4"/>
    <s v="Se repite 4 veces"/>
    <s v="Tradiciones Andinas-T.A Maiz Chulpi frito Salado/ Chulpi Corn Snack 130gr x 12"/>
    <n v="4"/>
    <s v="Se repite 4 veces en Tradiciones Andinas"/>
    <s v="Tradiciones Andinas-T.A Maiz Chulpi frito Salado/ Chulpi Corn Snack 130gr x 12-13.2"/>
    <n v="3"/>
    <s v="Se repite 3 veces el precio de 13.2"/>
    <s v="El producto T.A Maiz Chulpi frito Salado/ Chulpi Corn Snack 130gr x 12 Se repite 4 veces en Tradiciones Andinas, Se repite 3 veces el precio de 13.2"/>
  </r>
  <r>
    <x v="3"/>
    <x v="25"/>
    <s v="Bill"/>
    <s v="483292"/>
    <x v="324"/>
    <s v="TRADICIONES ANDINAS - PERU -  TIYAPUY - SNACKS -  Maiz Chulpi frito Salado/ Chulpi Corn Snack-  12 / 130g - CH165"/>
    <n v="2"/>
    <n v="13.2"/>
    <n v="26.4"/>
    <n v="62037.189999999951"/>
    <n v="4"/>
    <s v="Se repite 4 veces"/>
    <s v="Tradiciones Andinas-T.A Maiz Chulpi frito Salado/ Chulpi Corn Snack 130gr x 12"/>
    <n v="4"/>
    <s v="Se repite 4 veces en Tradiciones Andinas"/>
    <s v="Tradiciones Andinas-T.A Maiz Chulpi frito Salado/ Chulpi Corn Snack 130gr x 12-13.2"/>
    <n v="3"/>
    <s v="Se repite 3 veces el precio de 13.2"/>
    <s v="El producto T.A Maiz Chulpi frito Salado/ Chulpi Corn Snack 130gr x 12 Se repite 4 veces en Tradiciones Andinas, Se repite 3 veces el precio de 13.2"/>
  </r>
  <r>
    <x v="3"/>
    <x v="7"/>
    <s v="Bill"/>
    <s v="492743"/>
    <x v="324"/>
    <s v="TRADICIONES ANDINAS - PERU -  TIYAPUY - SNACKS -  Maiz Chulpi frito Salado/ Chulpi Corn Snack-  12 / 130g - CH165"/>
    <n v="8"/>
    <n v="13.2"/>
    <n v="105.6"/>
    <n v="108084.68999999992"/>
    <n v="4"/>
    <s v="Se repite 4 veces"/>
    <s v="Tradiciones Andinas-T.A Maiz Chulpi frito Salado/ Chulpi Corn Snack 130gr x 12"/>
    <n v="4"/>
    <s v="Se repite 4 veces en Tradiciones Andinas"/>
    <s v="Tradiciones Andinas-T.A Maiz Chulpi frito Salado/ Chulpi Corn Snack 130gr x 12-13.2"/>
    <n v="3"/>
    <s v="Se repite 3 veces el precio de 13.2"/>
    <s v="El producto T.A Maiz Chulpi frito Salado/ Chulpi Corn Snack 130gr x 12 Se repite 4 veces en Tradiciones Andinas, Se repite 3 veces el precio de 13.2"/>
  </r>
  <r>
    <x v="3"/>
    <x v="13"/>
    <s v="Bill"/>
    <s v="485230"/>
    <x v="325"/>
    <s v="Maiz Desgranado (INST) / Corn in Grain"/>
    <n v="1"/>
    <n v="58.5"/>
    <n v="58.5"/>
    <n v="72398.540000000008"/>
    <n v="1"/>
    <s v="No se repite"/>
    <s v="Tradiciones Andinas-T.A Maiz Desgranado (INST) / Corn in Grain 48oz x13"/>
    <n v="1"/>
    <s v="No se repite en proveedor"/>
    <s v="Tradiciones Andinas-T.A Maiz Desgranado (INST) / Corn in Grain 48oz x13-58.5"/>
    <n v="1"/>
    <s v="No se repite"/>
    <s v="El producto T.A Maiz Desgranado (INST) / Corn in Grain 48oz x13 No se repite en proveedor Una vez con el precio 58.5"/>
  </r>
  <r>
    <x v="3"/>
    <x v="5"/>
    <s v="Bill"/>
    <s v="482005"/>
    <x v="326"/>
    <s v="Maiz gigante frito picante - Spicy and crunchy giant corn"/>
    <n v="2"/>
    <n v="13.2"/>
    <n v="26.4"/>
    <n v="51228.419999999962"/>
    <n v="2"/>
    <s v="Se repite 2 veces"/>
    <s v="Tradiciones Andinas-T.A Maiz gigante frito picante - Spicy and crunchy giant corn"/>
    <n v="2"/>
    <s v="Se repite 2 veces en Tradiciones Andinas"/>
    <s v="Tradiciones Andinas-T.A Maiz gigante frito picante - Spicy and crunchy giant corn-13.2"/>
    <n v="2"/>
    <s v="Se repite 2 veces el precio de 13.2"/>
    <s v="El producto T.A Maiz gigante frito picante - Spicy and crunchy giant corn Se repite 2 veces en Tradiciones Andinas, Se repite 2 veces el precio de 13.2"/>
  </r>
  <r>
    <x v="3"/>
    <x v="13"/>
    <s v="Bill"/>
    <s v="485230"/>
    <x v="326"/>
    <s v="Maiz gigante frito picante - Spicy and crunchy giant corn"/>
    <n v="5"/>
    <n v="13.2"/>
    <n v="66"/>
    <n v="70126.170000000013"/>
    <n v="2"/>
    <s v="Se repite 2 veces"/>
    <s v="Tradiciones Andinas-T.A Maiz gigante frito picante - Spicy and crunchy giant corn"/>
    <n v="2"/>
    <s v="Se repite 2 veces en Tradiciones Andinas"/>
    <s v="Tradiciones Andinas-T.A Maiz gigante frito picante - Spicy and crunchy giant corn-13.2"/>
    <n v="2"/>
    <s v="Se repite 2 veces el precio de 13.2"/>
    <s v="El producto T.A Maiz gigante frito picante - Spicy and crunchy giant corn Se repite 2 veces en Tradiciones Andinas, Se repite 2 veces el precio de 13.2"/>
  </r>
  <r>
    <x v="3"/>
    <x v="10"/>
    <s v="Bill"/>
    <s v="476974"/>
    <x v="327"/>
    <s v="Maiz Gigante Frito Salado/ Giant Corn Snacks"/>
    <n v="5"/>
    <n v="12"/>
    <n v="60"/>
    <n v="15139.279999999999"/>
    <n v="3"/>
    <s v="Se repite 3 veces"/>
    <s v="Tradiciones Andinas-T.A Maiz Gigante Frito Salado/ Giant Corn Snacks 130gr x 12"/>
    <n v="3"/>
    <s v="Se repite 3 veces en Tradiciones Andinas"/>
    <s v="Tradiciones Andinas-T.A Maiz Gigante Frito Salado/ Giant Corn Snacks 130gr x 12-12"/>
    <n v="1"/>
    <s v="No se repite"/>
    <s v="El producto T.A Maiz Gigante Frito Salado/ Giant Corn Snacks 130gr x 12 Se repite 3 veces en Tradiciones Andinas Una vez con el precio 12"/>
  </r>
  <r>
    <x v="3"/>
    <x v="5"/>
    <s v="Bill"/>
    <s v="482005"/>
    <x v="327"/>
    <s v="TRADICIONES ANDINAS - PERU -  TIYAPUY - SNACKS -  Maiz Gigante Frito Salado/ Giant Corn Snacks-  12 / 130g - CH168"/>
    <n v="4"/>
    <n v="13.2"/>
    <n v="52.8"/>
    <n v="51122.819999999963"/>
    <n v="3"/>
    <s v="Se repite 3 veces"/>
    <s v="Tradiciones Andinas-T.A Maiz Gigante Frito Salado/ Giant Corn Snacks 130gr x 12"/>
    <n v="3"/>
    <s v="Se repite 3 veces en Tradiciones Andinas"/>
    <s v="Tradiciones Andinas-T.A Maiz Gigante Frito Salado/ Giant Corn Snacks 130gr x 12-13.2"/>
    <n v="2"/>
    <s v="Se repite 2 veces el precio de 13.2"/>
    <s v="El producto T.A Maiz Gigante Frito Salado/ Giant Corn Snacks 130gr x 12 Se repite 3 veces en Tradiciones Andinas, Se repite 2 veces el precio de 13.2"/>
  </r>
  <r>
    <x v="3"/>
    <x v="13"/>
    <s v="Bill"/>
    <s v="485230"/>
    <x v="327"/>
    <s v="TRADICIONES ANDINAS - PERU -  TIYAPUY - SNACKS -  Maiz Gigante Frito Salado/ Giant Corn Snacks-  12 / 130g - CH168"/>
    <n v="2"/>
    <n v="13.2"/>
    <n v="26.4"/>
    <n v="70060.170000000013"/>
    <n v="3"/>
    <s v="Se repite 3 veces"/>
    <s v="Tradiciones Andinas-T.A Maiz Gigante Frito Salado/ Giant Corn Snacks 130gr x 12"/>
    <n v="3"/>
    <s v="Se repite 3 veces en Tradiciones Andinas"/>
    <s v="Tradiciones Andinas-T.A Maiz Gigante Frito Salado/ Giant Corn Snacks 130gr x 12-13.2"/>
    <n v="2"/>
    <s v="Se repite 2 veces el precio de 13.2"/>
    <s v="El producto T.A Maiz Gigante Frito Salado/ Giant Corn Snacks 130gr x 12 Se repite 3 veces en Tradiciones Andinas, Se repite 2 veces el precio de 13.2"/>
  </r>
  <r>
    <x v="3"/>
    <x v="33"/>
    <s v="Bill"/>
    <s v="475144"/>
    <x v="328"/>
    <s v="Maiz Morado (Family Pack) /Purple Corn"/>
    <n v="2"/>
    <n v="22.4"/>
    <n v="44.8"/>
    <n v="1662.7199999999996"/>
    <n v="8"/>
    <s v="Se repite 8 veces"/>
    <s v="Tradiciones Andinas-T.A Maiz Morado (Family Pack) /Purple Corn 40OZ X 6"/>
    <n v="8"/>
    <s v="Se repite 8 veces en Tradiciones Andinas"/>
    <s v="Tradiciones Andinas-T.A Maiz Morado (Family Pack) /Purple Corn 40OZ X 6-22.4"/>
    <n v="1"/>
    <s v="No se repite"/>
    <s v="El producto T.A Maiz Morado (Family Pack) /Purple Corn 40OZ X 6 Se repite 8 veces en Tradiciones Andinas Una vez con el precio 22.4"/>
  </r>
  <r>
    <x v="3"/>
    <x v="4"/>
    <s v="Bill"/>
    <s v="480295"/>
    <x v="328"/>
    <s v="Maiz Morado (Family Pack) /Purple Corn"/>
    <n v="2"/>
    <n v="23.96"/>
    <n v="47.92"/>
    <n v="37643.39"/>
    <n v="8"/>
    <s v="Se repite 8 veces"/>
    <s v="Tradiciones Andinas-T.A Maiz Morado (Family Pack) /Purple Corn 40OZ X 6"/>
    <n v="8"/>
    <s v="Se repite 8 veces en Tradiciones Andinas"/>
    <s v="Tradiciones Andinas-T.A Maiz Morado (Family Pack) /Purple Corn 40OZ X 6-23.96"/>
    <n v="7"/>
    <s v="Se repite 7 veces el precio de 23.96"/>
    <s v="El producto T.A Maiz Morado (Family Pack) /Purple Corn 40OZ X 6 Se repite 8 veces en Tradiciones Andinas, Se repite 7 veces el precio de 23.96"/>
  </r>
  <r>
    <x v="3"/>
    <x v="5"/>
    <s v="Bill"/>
    <s v="482005"/>
    <x v="328"/>
    <s v="Maiz Morado (Family Pack) /Purple Corn"/>
    <n v="4"/>
    <n v="23.96"/>
    <n v="95.84"/>
    <n v="49244.109999999971"/>
    <n v="8"/>
    <s v="Se repite 8 veces"/>
    <s v="Tradiciones Andinas-T.A Maiz Morado (Family Pack) /Purple Corn 40OZ X 6"/>
    <n v="8"/>
    <s v="Se repite 8 veces en Tradiciones Andinas"/>
    <s v="Tradiciones Andinas-T.A Maiz Morado (Family Pack) /Purple Corn 40OZ X 6-23.96"/>
    <n v="7"/>
    <s v="Se repite 7 veces el precio de 23.96"/>
    <s v="El producto T.A Maiz Morado (Family Pack) /Purple Corn 40OZ X 6 Se repite 8 veces en Tradiciones Andinas, Se repite 7 veces el precio de 23.96"/>
  </r>
  <r>
    <x v="3"/>
    <x v="25"/>
    <s v="Bill"/>
    <s v="483292"/>
    <x v="328"/>
    <s v="Maiz Morado (Family Pack) /Purple Corn"/>
    <n v="8"/>
    <n v="23.96"/>
    <n v="191.68"/>
    <n v="61640.029999999933"/>
    <n v="8"/>
    <s v="Se repite 8 veces"/>
    <s v="Tradiciones Andinas-T.A Maiz Morado (Family Pack) /Purple Corn 40OZ X 6"/>
    <n v="8"/>
    <s v="Se repite 8 veces en Tradiciones Andinas"/>
    <s v="Tradiciones Andinas-T.A Maiz Morado (Family Pack) /Purple Corn 40OZ X 6-23.96"/>
    <n v="7"/>
    <s v="Se repite 7 veces el precio de 23.96"/>
    <s v="El producto T.A Maiz Morado (Family Pack) /Purple Corn 40OZ X 6 Se repite 8 veces en Tradiciones Andinas, Se repite 7 veces el precio de 23.96"/>
  </r>
  <r>
    <x v="3"/>
    <x v="13"/>
    <s v="Bill"/>
    <s v="485230"/>
    <x v="328"/>
    <s v="Maiz Morado (Family Pack) /Purple Corn"/>
    <n v="4"/>
    <n v="23.96"/>
    <n v="95.84"/>
    <n v="69422.400000000009"/>
    <n v="8"/>
    <s v="Se repite 8 veces"/>
    <s v="Tradiciones Andinas-T.A Maiz Morado (Family Pack) /Purple Corn 40OZ X 6"/>
    <n v="8"/>
    <s v="Se repite 8 veces en Tradiciones Andinas"/>
    <s v="Tradiciones Andinas-T.A Maiz Morado (Family Pack) /Purple Corn 40OZ X 6-23.96"/>
    <n v="7"/>
    <s v="Se repite 7 veces el precio de 23.96"/>
    <s v="El producto T.A Maiz Morado (Family Pack) /Purple Corn 40OZ X 6 Se repite 8 veces en Tradiciones Andinas, Se repite 7 veces el precio de 23.96"/>
  </r>
  <r>
    <x v="3"/>
    <x v="34"/>
    <s v="Bill"/>
    <s v="490620"/>
    <x v="328"/>
    <s v="Maiz Morado (Family Pack) /Purple Corn"/>
    <n v="8"/>
    <n v="23.96"/>
    <n v="191.68"/>
    <n v="95661.069999999934"/>
    <n v="8"/>
    <s v="Se repite 8 veces"/>
    <s v="Tradiciones Andinas-T.A Maiz Morado (Family Pack) /Purple Corn 40OZ X 6"/>
    <n v="8"/>
    <s v="Se repite 8 veces en Tradiciones Andinas"/>
    <s v="Tradiciones Andinas-T.A Maiz Morado (Family Pack) /Purple Corn 40OZ X 6-23.96"/>
    <n v="7"/>
    <s v="Se repite 7 veces el precio de 23.96"/>
    <s v="El producto T.A Maiz Morado (Family Pack) /Purple Corn 40OZ X 6 Se repite 8 veces en Tradiciones Andinas, Se repite 7 veces el precio de 23.96"/>
  </r>
  <r>
    <x v="3"/>
    <x v="7"/>
    <s v="Bill"/>
    <s v="492743"/>
    <x v="328"/>
    <s v="Maiz Morado (Family Pack) /Purple Corn"/>
    <n v="5"/>
    <n v="23.96"/>
    <n v="119.8"/>
    <n v="106435.63999999993"/>
    <n v="8"/>
    <s v="Se repite 8 veces"/>
    <s v="Tradiciones Andinas-T.A Maiz Morado (Family Pack) /Purple Corn 40OZ X 6"/>
    <n v="8"/>
    <s v="Se repite 8 veces en Tradiciones Andinas"/>
    <s v="Tradiciones Andinas-T.A Maiz Morado (Family Pack) /Purple Corn 40OZ X 6-23.96"/>
    <n v="7"/>
    <s v="Se repite 7 veces el precio de 23.96"/>
    <s v="El producto T.A Maiz Morado (Family Pack) /Purple Corn 40OZ X 6 Se repite 8 veces en Tradiciones Andinas, Se repite 7 veces el precio de 23.96"/>
  </r>
  <r>
    <x v="3"/>
    <x v="14"/>
    <s v="Bill"/>
    <s v="493132"/>
    <x v="328"/>
    <s v="Maiz Morado (Family Pack) /Purple Corn"/>
    <n v="5"/>
    <n v="23.96"/>
    <n v="119.8"/>
    <n v="117773.03999999989"/>
    <n v="8"/>
    <s v="Se repite 8 veces"/>
    <s v="Tradiciones Andinas-T.A Maiz Morado (Family Pack) /Purple Corn 40OZ X 6"/>
    <n v="8"/>
    <s v="Se repite 8 veces en Tradiciones Andinas"/>
    <s v="Tradiciones Andinas-T.A Maiz Morado (Family Pack) /Purple Corn 40OZ X 6-23.96"/>
    <n v="7"/>
    <s v="Se repite 7 veces el precio de 23.96"/>
    <s v="El producto T.A Maiz Morado (Family Pack) /Purple Corn 40OZ X 6 Se repite 8 veces en Tradiciones Andinas, Se repite 7 veces el precio de 23.96"/>
  </r>
  <r>
    <x v="3"/>
    <x v="33"/>
    <s v="Bill"/>
    <s v="475144"/>
    <x v="329"/>
    <s v="Maiz Morado /Purple Corn"/>
    <n v="2"/>
    <n v="22.4"/>
    <n v="44.8"/>
    <n v="938.56000000000006"/>
    <n v="5"/>
    <s v="Se repite 5 veces"/>
    <s v="Tradiciones Andinas-T.A Maiz Morado /Purple Corn 15oz x 16"/>
    <n v="5"/>
    <s v="Se repite 5 veces en Tradiciones Andinas"/>
    <s v="Tradiciones Andinas-T.A Maiz Morado /Purple Corn 15oz x 16-22.4"/>
    <n v="3"/>
    <s v="Se repite 3 veces el precio de 22.4"/>
    <s v="El producto T.A Maiz Morado /Purple Corn 15oz x 16 Se repite 5 veces en Tradiciones Andinas, Se repite 3 veces el precio de 22.4"/>
  </r>
  <r>
    <x v="3"/>
    <x v="9"/>
    <s v="Bill"/>
    <s v=""/>
    <x v="329"/>
    <s v="Maiz Morado /Purple Corn"/>
    <n v="4"/>
    <n v="22.4"/>
    <n v="89.6"/>
    <n v="4251.04"/>
    <n v="5"/>
    <s v="Se repite 5 veces"/>
    <s v="Tradiciones Andinas-T.A Maiz Morado /Purple Corn 15oz x 16"/>
    <n v="5"/>
    <s v="Se repite 5 veces en Tradiciones Andinas"/>
    <s v="Tradiciones Andinas-T.A Maiz Morado /Purple Corn 15oz x 16-22.4"/>
    <n v="3"/>
    <s v="Se repite 3 veces el precio de 22.4"/>
    <s v="El producto T.A Maiz Morado /Purple Corn 15oz x 16 Se repite 5 veces en Tradiciones Andinas, Se repite 3 veces el precio de 22.4"/>
  </r>
  <r>
    <x v="3"/>
    <x v="10"/>
    <s v="Bill"/>
    <s v="476974"/>
    <x v="329"/>
    <s v="Maiz Morado /Purple Corn"/>
    <n v="10"/>
    <n v="22.4"/>
    <n v="224"/>
    <n v="10779.919999999996"/>
    <n v="5"/>
    <s v="Se repite 5 veces"/>
    <s v="Tradiciones Andinas-T.A Maiz Morado /Purple Corn 15oz x 16"/>
    <n v="5"/>
    <s v="Se repite 5 veces en Tradiciones Andinas"/>
    <s v="Tradiciones Andinas-T.A Maiz Morado /Purple Corn 15oz x 16-22.4"/>
    <n v="3"/>
    <s v="Se repite 3 veces el precio de 22.4"/>
    <s v="El producto T.A Maiz Morado /Purple Corn 15oz x 16 Se repite 5 veces en Tradiciones Andinas, Se repite 3 veces el precio de 22.4"/>
  </r>
  <r>
    <x v="3"/>
    <x v="4"/>
    <s v="Bill"/>
    <s v="480295"/>
    <x v="329"/>
    <s v="TRADICIONES ANDINAS - PERU -  BOLSA -  Maiz Morado /Purple Corn -  16 / 15oz - P00160"/>
    <n v="50"/>
    <n v="23.96"/>
    <n v="1198"/>
    <n v="37042.870000000003"/>
    <n v="5"/>
    <s v="Se repite 5 veces"/>
    <s v="Tradiciones Andinas-T.A Maiz Morado /Purple Corn 15oz x 16"/>
    <n v="5"/>
    <s v="Se repite 5 veces en Tradiciones Andinas"/>
    <s v="Tradiciones Andinas-T.A Maiz Morado /Purple Corn 15oz x 16-23.96"/>
    <n v="2"/>
    <s v="Se repite 2 veces el precio de 23.96"/>
    <s v="El producto T.A Maiz Morado /Purple Corn 15oz x 16 Se repite 5 veces en Tradiciones Andinas, Se repite 2 veces el precio de 23.96"/>
  </r>
  <r>
    <x v="3"/>
    <x v="6"/>
    <s v="Bill"/>
    <s v="487860"/>
    <x v="329"/>
    <s v="TRADICIONES ANDINAS - PERU -  BOLSA -  Maiz Morado /Purple Corn -  16 / 15oz - P00160"/>
    <n v="50"/>
    <n v="23.96"/>
    <n v="1198"/>
    <n v="78041.219999999987"/>
    <n v="5"/>
    <s v="Se repite 5 veces"/>
    <s v="Tradiciones Andinas-T.A Maiz Morado /Purple Corn 15oz x 16"/>
    <n v="5"/>
    <s v="Se repite 5 veces en Tradiciones Andinas"/>
    <s v="Tradiciones Andinas-T.A Maiz Morado /Purple Corn 15oz x 16-23.96"/>
    <n v="2"/>
    <s v="Se repite 2 veces el precio de 23.96"/>
    <s v="El producto T.A Maiz Morado /Purple Corn 15oz x 16 Se repite 5 veces en Tradiciones Andinas, Se repite 2 veces el precio de 23.96"/>
  </r>
  <r>
    <x v="3"/>
    <x v="33"/>
    <s v="Bill"/>
    <s v="475144"/>
    <x v="330"/>
    <s v="T.A Maiz Morado /Purple Corn 50Lb saco"/>
    <n v="2"/>
    <n v="60"/>
    <n v="120"/>
    <n v="2336.3599999999997"/>
    <n v="5"/>
    <s v="Se repite 5 veces"/>
    <s v="Tradiciones Andinas-T.A Maiz Morado /Purple Corn 50Lb saco"/>
    <n v="5"/>
    <s v="Se repite 5 veces en Tradiciones Andinas"/>
    <s v="Tradiciones Andinas-T.A Maiz Morado /Purple Corn 50Lb saco-60"/>
    <n v="2"/>
    <s v="Se repite 2 veces el precio de 60"/>
    <s v="El producto T.A Maiz Morado /Purple Corn 50Lb saco Se repite 5 veces en Tradiciones Andinas, Se repite 2 veces el precio de 60"/>
  </r>
  <r>
    <x v="3"/>
    <x v="10"/>
    <s v="Bill"/>
    <s v="476974"/>
    <x v="330"/>
    <s v="T.A Maiz Morado /Purple Corn 50Lb saco"/>
    <n v="6"/>
    <n v="60"/>
    <n v="360"/>
    <n v="21521.299999999996"/>
    <n v="5"/>
    <s v="Se repite 5 veces"/>
    <s v="Tradiciones Andinas-T.A Maiz Morado /Purple Corn 50Lb saco"/>
    <n v="5"/>
    <s v="Se repite 5 veces en Tradiciones Andinas"/>
    <s v="Tradiciones Andinas-T.A Maiz Morado /Purple Corn 50Lb saco-60"/>
    <n v="2"/>
    <s v="Se repite 2 veces el precio de 60"/>
    <s v="El producto T.A Maiz Morado /Purple Corn 50Lb saco Se repite 5 veces en Tradiciones Andinas, Se repite 2 veces el precio de 60"/>
  </r>
  <r>
    <x v="3"/>
    <x v="11"/>
    <s v="Bill"/>
    <s v="478734"/>
    <x v="330"/>
    <s v="T.A Maiz Morado /Purple Corn 50Lb saco / 00211"/>
    <n v="4"/>
    <n v="64.2"/>
    <n v="256.8"/>
    <n v="32783.86"/>
    <n v="5"/>
    <s v="Se repite 5 veces"/>
    <s v="Tradiciones Andinas-T.A Maiz Morado /Purple Corn 50Lb saco"/>
    <n v="5"/>
    <s v="Se repite 5 veces en Tradiciones Andinas"/>
    <s v="Tradiciones Andinas-T.A Maiz Morado /Purple Corn 50Lb saco-64.2"/>
    <n v="3"/>
    <s v="Se repite 3 veces el precio de 64.2"/>
    <s v="El producto T.A Maiz Morado /Purple Corn 50Lb saco Se repite 5 veces en Tradiciones Andinas, Se repite 3 veces el precio de 64.2"/>
  </r>
  <r>
    <x v="3"/>
    <x v="5"/>
    <s v="Bill"/>
    <s v="482005"/>
    <x v="330"/>
    <s v="T.A Maiz Morado /Purple Corn 50Lb saco / 00211"/>
    <n v="6"/>
    <n v="64.2"/>
    <n v="385.2"/>
    <n v="55672.459999999941"/>
    <n v="5"/>
    <s v="Se repite 5 veces"/>
    <s v="Tradiciones Andinas-T.A Maiz Morado /Purple Corn 50Lb saco"/>
    <n v="5"/>
    <s v="Se repite 5 veces en Tradiciones Andinas"/>
    <s v="Tradiciones Andinas-T.A Maiz Morado /Purple Corn 50Lb saco-64.2"/>
    <n v="3"/>
    <s v="Se repite 3 veces el precio de 64.2"/>
    <s v="El producto T.A Maiz Morado /Purple Corn 50Lb saco Se repite 5 veces en Tradiciones Andinas, Se repite 3 veces el precio de 64.2"/>
  </r>
  <r>
    <x v="3"/>
    <x v="27"/>
    <s v="Bill"/>
    <s v="491180"/>
    <x v="330"/>
    <s v="T.A Maiz Morado /Purple Corn 50Lb saco / 00211"/>
    <n v="6"/>
    <n v="64.2"/>
    <n v="385.2"/>
    <n v="103751.90999999992"/>
    <n v="5"/>
    <s v="Se repite 5 veces"/>
    <s v="Tradiciones Andinas-T.A Maiz Morado /Purple Corn 50Lb saco"/>
    <n v="5"/>
    <s v="Se repite 5 veces en Tradiciones Andinas"/>
    <s v="Tradiciones Andinas-T.A Maiz Morado /Purple Corn 50Lb saco-64.2"/>
    <n v="3"/>
    <s v="Se repite 3 veces el precio de 64.2"/>
    <s v="El producto T.A Maiz Morado /Purple Corn 50Lb saco Se repite 5 veces en Tradiciones Andinas, Se repite 3 veces el precio de 64.2"/>
  </r>
  <r>
    <x v="3"/>
    <x v="9"/>
    <s v="Bill"/>
    <s v=""/>
    <x v="331"/>
    <s v="Mix Andino Snack / Andean Mix Snack"/>
    <n v="2"/>
    <n v="12"/>
    <n v="24"/>
    <n v="5291.32"/>
    <n v="5"/>
    <s v="Se repite 5 veces"/>
    <s v="Tradiciones Andinas-T.A Mix Andino Snack / Andean Mix Snack 130gr x 12"/>
    <n v="5"/>
    <s v="Se repite 5 veces en Tradiciones Andinas"/>
    <s v="Tradiciones Andinas-T.A Mix Andino Snack / Andean Mix Snack 130gr x 12-12"/>
    <n v="2"/>
    <s v="Se repite 2 veces el precio de 12"/>
    <s v="El producto T.A Mix Andino Snack / Andean Mix Snack 130gr x 12 Se repite 5 veces en Tradiciones Andinas, Se repite 2 veces el precio de 12"/>
  </r>
  <r>
    <x v="3"/>
    <x v="10"/>
    <s v="Bill"/>
    <s v="476974"/>
    <x v="331"/>
    <s v="Mix Andino Snack / Andean Mix Snack"/>
    <n v="6"/>
    <n v="12"/>
    <n v="72"/>
    <n v="15211.279999999999"/>
    <n v="5"/>
    <s v="Se repite 5 veces"/>
    <s v="Tradiciones Andinas-T.A Mix Andino Snack / Andean Mix Snack 130gr x 12"/>
    <n v="5"/>
    <s v="Se repite 5 veces en Tradiciones Andinas"/>
    <s v="Tradiciones Andinas-T.A Mix Andino Snack / Andean Mix Snack 130gr x 12-12"/>
    <n v="2"/>
    <s v="Se repite 2 veces el precio de 12"/>
    <s v="El producto T.A Mix Andino Snack / Andean Mix Snack 130gr x 12 Se repite 5 veces en Tradiciones Andinas, Se repite 2 veces el precio de 12"/>
  </r>
  <r>
    <x v="3"/>
    <x v="5"/>
    <s v="Bill"/>
    <s v="482005"/>
    <x v="331"/>
    <s v="TRADICIONES ANDINAS - PERU -  TIYAPUY - SNACKS -  Mix Andino Snack / Andean Mix Snack-  12 / 130g - CH169"/>
    <n v="6"/>
    <n v="13.2"/>
    <n v="79.2"/>
    <n v="51202.01999999996"/>
    <n v="5"/>
    <s v="Se repite 5 veces"/>
    <s v="Tradiciones Andinas-T.A Mix Andino Snack / Andean Mix Snack 130gr x 12"/>
    <n v="5"/>
    <s v="Se repite 5 veces en Tradiciones Andinas"/>
    <s v="Tradiciones Andinas-T.A Mix Andino Snack / Andean Mix Snack 130gr x 12-13.2"/>
    <n v="3"/>
    <s v="Se repite 3 veces el precio de 13.2"/>
    <s v="El producto T.A Mix Andino Snack / Andean Mix Snack 130gr x 12 Se repite 5 veces en Tradiciones Andinas, Se repite 3 veces el precio de 13.2"/>
  </r>
  <r>
    <x v="3"/>
    <x v="6"/>
    <s v="Bill"/>
    <s v="487860"/>
    <x v="331"/>
    <s v="TRADICIONES ANDINAS - PERU -  TIYAPUY - SNACKS -  Mix Andino Snack / Andean Mix Snack-  12 / 130g - CH169"/>
    <n v="5"/>
    <n v="13.2"/>
    <n v="66"/>
    <n v="82069.229999999967"/>
    <n v="5"/>
    <s v="Se repite 5 veces"/>
    <s v="Tradiciones Andinas-T.A Mix Andino Snack / Andean Mix Snack 130gr x 12"/>
    <n v="5"/>
    <s v="Se repite 5 veces en Tradiciones Andinas"/>
    <s v="Tradiciones Andinas-T.A Mix Andino Snack / Andean Mix Snack 130gr x 12-13.2"/>
    <n v="3"/>
    <s v="Se repite 3 veces el precio de 13.2"/>
    <s v="El producto T.A Mix Andino Snack / Andean Mix Snack 130gr x 12 Se repite 5 veces en Tradiciones Andinas, Se repite 3 veces el precio de 13.2"/>
  </r>
  <r>
    <x v="3"/>
    <x v="7"/>
    <s v="Bill"/>
    <s v="492743"/>
    <x v="331"/>
    <s v="TRADICIONES ANDINAS - PERU -  TIYAPUY - SNACKS -  Mix Andino Snack / Andean Mix Snack-  12 / 130g - CH169"/>
    <n v="3"/>
    <n v="13.2"/>
    <n v="39.6"/>
    <n v="108216.68999999992"/>
    <n v="5"/>
    <s v="Se repite 5 veces"/>
    <s v="Tradiciones Andinas-T.A Mix Andino Snack / Andean Mix Snack 130gr x 12"/>
    <n v="5"/>
    <s v="Se repite 5 veces en Tradiciones Andinas"/>
    <s v="Tradiciones Andinas-T.A Mix Andino Snack / Andean Mix Snack 130gr x 12-13.2"/>
    <n v="3"/>
    <s v="Se repite 3 veces el precio de 13.2"/>
    <s v="El producto T.A Mix Andino Snack / Andean Mix Snack 130gr x 12 Se repite 5 veces en Tradiciones Andinas, Se repite 3 veces el precio de 13.2"/>
  </r>
  <r>
    <x v="3"/>
    <x v="7"/>
    <s v="Bill"/>
    <s v="492743"/>
    <x v="332"/>
    <s v="TRADICIONES ANDINAS- ECUADOR -  FROZEN -  Mora en Fruta / Blackberry  -  12 / 28oz - RE028"/>
    <n v="2"/>
    <n v="35"/>
    <n v="70"/>
    <n v="115944.73999999987"/>
    <n v="1"/>
    <s v="No se repite"/>
    <s v="Tradiciones Andinas-T.A Mora en Fruta - Blackberry FROZEN 28oz x 12"/>
    <n v="1"/>
    <s v="No se repite en proveedor"/>
    <s v="Tradiciones Andinas-T.A Mora en Fruta - Blackberry FROZEN 28oz x 12-35"/>
    <n v="1"/>
    <s v="No se repite"/>
    <s v="El producto T.A Mora en Fruta - Blackberry FROZEN 28oz x 12 No se repite en proveedor Una vez con el precio 35"/>
  </r>
  <r>
    <x v="3"/>
    <x v="10"/>
    <s v="Bill"/>
    <s v="476974"/>
    <x v="333"/>
    <s v="Motas de Guanabana en Almibar"/>
    <n v="2"/>
    <n v="34.68"/>
    <n v="69.36"/>
    <n v="21795.019999999997"/>
    <n v="2"/>
    <s v="Se repite 2 veces"/>
    <s v="Tradiciones Andinas-T.A Motas de Guanabana en Almibar 790gr x 12"/>
    <n v="2"/>
    <s v="Se repite 2 veces en Tradiciones Andinas"/>
    <s v="Tradiciones Andinas-T.A Motas de Guanabana en Almibar 790gr x 12-34.68"/>
    <n v="1"/>
    <s v="No se repite"/>
    <s v="El producto T.A Motas de Guanabana en Almibar 790gr x 12 Se repite 2 veces en Tradiciones Andinas Una vez con el precio 34.68"/>
  </r>
  <r>
    <x v="3"/>
    <x v="11"/>
    <s v="Bill"/>
    <s v="478734"/>
    <x v="333"/>
    <s v="TA- COLOMBIA -  GROCERY  PRODUCTS -  Motas de Guanabana en Almibar-  12 / 28oz - C00220"/>
    <n v="2"/>
    <n v="37.11"/>
    <n v="74.22"/>
    <n v="32858.080000000002"/>
    <n v="2"/>
    <s v="Se repite 2 veces"/>
    <s v="Tradiciones Andinas-T.A Motas de Guanabana en Almibar 790gr x 12"/>
    <n v="2"/>
    <s v="Se repite 2 veces en Tradiciones Andinas"/>
    <s v="Tradiciones Andinas-T.A Motas de Guanabana en Almibar 790gr x 12-37.11"/>
    <n v="1"/>
    <s v="No se repite"/>
    <s v="El producto T.A Motas de Guanabana en Almibar 790gr x 12 Se repite 2 veces en Tradiciones Andinas Una vez con el precio 37.11"/>
  </r>
  <r>
    <x v="3"/>
    <x v="33"/>
    <s v="Bill"/>
    <s v="475144"/>
    <x v="334"/>
    <s v="Mote Pelado (Family Pack) /Peeled Mote Corn"/>
    <n v="2"/>
    <n v="35"/>
    <n v="70"/>
    <n v="1732.7199999999996"/>
    <n v="1"/>
    <s v="No se repite"/>
    <s v="Tradiciones Andinas-T.A Mote Pelado (Family Pack) /Peeled Mote Corn 54oz x 6"/>
    <n v="1"/>
    <s v="No se repite en proveedor"/>
    <s v="Tradiciones Andinas-T.A Mote Pelado (Family Pack) /Peeled Mote Corn 54oz x 6-35"/>
    <n v="1"/>
    <s v="No se repite"/>
    <s v="El producto T.A Mote Pelado (Family Pack) /Peeled Mote Corn 54oz x 6 No se repite en proveedor Una vez con el precio 35"/>
  </r>
  <r>
    <x v="3"/>
    <x v="33"/>
    <s v="Bill"/>
    <s v="475144"/>
    <x v="335"/>
    <s v="Mote Pelado Saco"/>
    <n v="1"/>
    <n v="80"/>
    <n v="80"/>
    <n v="2416.3599999999997"/>
    <n v="3"/>
    <s v="Se repite 3 veces"/>
    <s v="Tradiciones Andinas-T.A Mote Pelado Saco 50lb"/>
    <n v="3"/>
    <s v="Se repite 3 veces en Tradiciones Andinas"/>
    <s v="Tradiciones Andinas-T.A Mote Pelado Saco 50lb-80"/>
    <n v="1"/>
    <s v="No se repite"/>
    <s v="El producto T.A Mote Pelado Saco 50lb Se repite 3 veces en Tradiciones Andinas Una vez con el precio 80"/>
  </r>
  <r>
    <x v="3"/>
    <x v="5"/>
    <s v="Bill"/>
    <s v="482005"/>
    <x v="335"/>
    <s v="TA- PERU -  GRANEL -  Mote Pelado Saco-  50 / lbs - 00212"/>
    <n v="1"/>
    <n v="85.6"/>
    <n v="85.6"/>
    <n v="55758.059999999939"/>
    <n v="3"/>
    <s v="Se repite 3 veces"/>
    <s v="Tradiciones Andinas-T.A Mote Pelado Saco 50lb"/>
    <n v="3"/>
    <s v="Se repite 3 veces en Tradiciones Andinas"/>
    <s v="Tradiciones Andinas-T.A Mote Pelado Saco 50lb-85.6"/>
    <n v="2"/>
    <s v="Se repite 2 veces el precio de 85.6"/>
    <s v="El producto T.A Mote Pelado Saco 50lb Se repite 3 veces en Tradiciones Andinas, Se repite 2 veces el precio de 85.6"/>
  </r>
  <r>
    <x v="3"/>
    <x v="27"/>
    <s v="Bill"/>
    <s v="491180"/>
    <x v="335"/>
    <s v="TA- PERU -  GRANEL -  Mote Pelado Saco-  50 / lbs - 00212"/>
    <n v="2"/>
    <n v="85.6"/>
    <n v="171.2"/>
    <n v="104001.10999999991"/>
    <n v="3"/>
    <s v="Se repite 3 veces"/>
    <s v="Tradiciones Andinas-T.A Mote Pelado Saco 50lb"/>
    <n v="3"/>
    <s v="Se repite 3 veces en Tradiciones Andinas"/>
    <s v="Tradiciones Andinas-T.A Mote Pelado Saco 50lb-85.6"/>
    <n v="2"/>
    <s v="Se repite 2 veces el precio de 85.6"/>
    <s v="El producto T.A Mote Pelado Saco 50lb Se repite 3 veces en Tradiciones Andinas, Se repite 2 veces el precio de 85.6"/>
  </r>
  <r>
    <x v="3"/>
    <x v="10"/>
    <s v="Bill"/>
    <s v="476974"/>
    <x v="336"/>
    <s v="Nectar de Maracuya / Passion Fruit Nectar"/>
    <n v="3"/>
    <n v="15"/>
    <n v="45"/>
    <n v="13945.279999999999"/>
    <n v="2"/>
    <s v="Se repite 2 veces"/>
    <s v="Tradiciones Andinas-T.A Nectar de Maracuya bebida 16oz x 12"/>
    <n v="2"/>
    <s v="Se repite 2 veces en Tradiciones Andinas"/>
    <s v="Tradiciones Andinas-T.A Nectar de Maracuya bebida 16oz x 12-15"/>
    <n v="1"/>
    <s v="No se repite"/>
    <s v="El producto T.A Nectar de Maracuya bebida 16oz x 12 Se repite 2 veces en Tradiciones Andinas Una vez con el precio 15"/>
  </r>
  <r>
    <x v="3"/>
    <x v="11"/>
    <s v="Bill"/>
    <s v="478734"/>
    <x v="336"/>
    <s v="TRADICIONES ANDINAS - PERU -  DRINKS -  Nectar de Maracuya / Passion Fruit Nectar-  12 / 16 fl.oz - 07120"/>
    <n v="3"/>
    <n v="16.05"/>
    <n v="48.15"/>
    <n v="25642.339999999997"/>
    <n v="2"/>
    <s v="Se repite 2 veces"/>
    <s v="Tradiciones Andinas-T.A Nectar de Maracuya bebida 16oz x 12"/>
    <n v="2"/>
    <s v="Se repite 2 veces en Tradiciones Andinas"/>
    <s v="Tradiciones Andinas-T.A Nectar de Maracuya bebida 16oz x 12-16.05"/>
    <n v="1"/>
    <s v="No se repite"/>
    <s v="El producto T.A Nectar de Maracuya bebida 16oz x 12 Se repite 2 veces en Tradiciones Andinas Una vez con el precio 16.05"/>
  </r>
  <r>
    <x v="3"/>
    <x v="9"/>
    <s v="Bill"/>
    <s v=""/>
    <x v="337"/>
    <s v="Olluco cortado / Sliced Ollucos"/>
    <n v="3"/>
    <n v="45"/>
    <n v="135"/>
    <n v="7737.44"/>
    <n v="5"/>
    <s v="Se repite 5 veces"/>
    <s v="Tradiciones Andinas-T.A Olluco cortado / Sliced Ollucos 16oz x 20"/>
    <n v="5"/>
    <s v="Se repite 5 veces en Tradiciones Andinas"/>
    <s v="Tradiciones Andinas-T.A Olluco cortado / Sliced Ollucos 16oz x 20-45"/>
    <n v="5"/>
    <s v="Se repite 5 veces el precio de 45"/>
    <s v="El producto T.A Olluco cortado / Sliced Ollucos 16oz x 20 Se repite 5 veces en Tradiciones Andinas, Se repite 5 veces el precio de 45"/>
  </r>
  <r>
    <x v="3"/>
    <x v="10"/>
    <s v="Bill"/>
    <s v="476974"/>
    <x v="337"/>
    <s v="Olluco cortado / Sliced Ollucos"/>
    <n v="8"/>
    <n v="45"/>
    <n v="360"/>
    <n v="23566.74"/>
    <n v="5"/>
    <s v="Se repite 5 veces"/>
    <s v="Tradiciones Andinas-T.A Olluco cortado / Sliced Ollucos 16oz x 20"/>
    <n v="5"/>
    <s v="Se repite 5 veces en Tradiciones Andinas"/>
    <s v="Tradiciones Andinas-T.A Olluco cortado / Sliced Ollucos 16oz x 20-45"/>
    <n v="5"/>
    <s v="Se repite 5 veces el precio de 45"/>
    <s v="El producto T.A Olluco cortado / Sliced Ollucos 16oz x 20 Se repite 5 veces en Tradiciones Andinas, Se repite 5 veces el precio de 45"/>
  </r>
  <r>
    <x v="3"/>
    <x v="13"/>
    <s v="Bill"/>
    <s v="485230"/>
    <x v="337"/>
    <s v="TRADICIONES ANDINAS- PERU -  FROZEN -  Olluco cortado / Sliced Ollucos  -  20 / 16oz - P00116"/>
    <n v="2"/>
    <n v="45"/>
    <n v="90"/>
    <n v="72915.560000000012"/>
    <n v="5"/>
    <s v="Se repite 5 veces"/>
    <s v="Tradiciones Andinas-T.A Olluco cortado / Sliced Ollucos 16oz x 20"/>
    <n v="5"/>
    <s v="Se repite 5 veces en Tradiciones Andinas"/>
    <s v="Tradiciones Andinas-T.A Olluco cortado / Sliced Ollucos 16oz x 20-45"/>
    <n v="5"/>
    <s v="Se repite 5 veces el precio de 45"/>
    <s v="El producto T.A Olluco cortado / Sliced Ollucos 16oz x 20 Se repite 5 veces en Tradiciones Andinas, Se repite 5 veces el precio de 45"/>
  </r>
  <r>
    <x v="3"/>
    <x v="6"/>
    <s v="Bill"/>
    <s v="487860"/>
    <x v="337"/>
    <s v="TRADICIONES ANDINAS- PERU -  FROZEN -  Olluco cortado / Sliced Ollucos  -  20 / 16oz - P00116"/>
    <n v="2"/>
    <n v="45"/>
    <n v="90"/>
    <n v="88582.559999999939"/>
    <n v="5"/>
    <s v="Se repite 5 veces"/>
    <s v="Tradiciones Andinas-T.A Olluco cortado / Sliced Ollucos 16oz x 20"/>
    <n v="5"/>
    <s v="Se repite 5 veces en Tradiciones Andinas"/>
    <s v="Tradiciones Andinas-T.A Olluco cortado / Sliced Ollucos 16oz x 20-45"/>
    <n v="5"/>
    <s v="Se repite 5 veces el precio de 45"/>
    <s v="El producto T.A Olluco cortado / Sliced Ollucos 16oz x 20 Se repite 5 veces en Tradiciones Andinas, Se repite 5 veces el precio de 45"/>
  </r>
  <r>
    <x v="3"/>
    <x v="7"/>
    <s v="Bill"/>
    <s v="492743"/>
    <x v="337"/>
    <s v="TRADICIONES ANDINAS- PERU -  FROZEN -  Olluco cortado / Sliced Ollucos  -  20 / 16oz - P00116"/>
    <n v="5"/>
    <n v="45"/>
    <n v="225"/>
    <n v="115227.37999999987"/>
    <n v="5"/>
    <s v="Se repite 5 veces"/>
    <s v="Tradiciones Andinas-T.A Olluco cortado / Sliced Ollucos 16oz x 20"/>
    <n v="5"/>
    <s v="Se repite 5 veces en Tradiciones Andinas"/>
    <s v="Tradiciones Andinas-T.A Olluco cortado / Sliced Ollucos 16oz x 20-45"/>
    <n v="5"/>
    <s v="Se repite 5 veces el precio de 45"/>
    <s v="El producto T.A Olluco cortado / Sliced Ollucos 16oz x 20 Se repite 5 veces en Tradiciones Andinas, Se repite 5 veces el precio de 45"/>
  </r>
  <r>
    <x v="3"/>
    <x v="14"/>
    <s v="Bill"/>
    <s v="493132"/>
    <x v="338"/>
    <s v="TRADICIONES ANDINAS - PERU -  ENLATADO Olluco en Lata /Whole Ollucus -  24 / 20oz - P00130"/>
    <n v="2"/>
    <n v="51.1"/>
    <n v="102.2"/>
    <n v="117142.53999999988"/>
    <n v="1"/>
    <s v="No se repite"/>
    <s v="Tradiciones Andinas-T.A Olluco en Lata /Whole Ollucus 20oz x 24"/>
    <n v="1"/>
    <s v="No se repite en proveedor"/>
    <s v="Tradiciones Andinas-T.A Olluco en Lata /Whole Ollucus 20oz x 24-51.1"/>
    <n v="1"/>
    <s v="No se repite"/>
    <s v="El producto T.A Olluco en Lata /Whole Ollucus 20oz x 24 No se repite en proveedor Una vez con el precio 51.1"/>
  </r>
  <r>
    <x v="3"/>
    <x v="4"/>
    <s v="Bill"/>
    <s v="480295"/>
    <x v="339"/>
    <s v="Pallares /Lima Beans"/>
    <n v="2"/>
    <n v="36"/>
    <n v="72"/>
    <n v="37715.39"/>
    <n v="2"/>
    <s v="Se repite 2 veces"/>
    <s v="Tradiciones Andinas-T.A Pallares /Lima Beans 15oz x 24"/>
    <n v="2"/>
    <s v="Se repite 2 veces en Tradiciones Andinas"/>
    <s v="Tradiciones Andinas-T.A Pallares /Lima Beans 15oz x 24-36"/>
    <n v="2"/>
    <s v="Se repite 2 veces el precio de 36"/>
    <s v="El producto T.A Pallares /Lima Beans 15oz x 24 Se repite 2 veces en Tradiciones Andinas, Se repite 2 veces el precio de 36"/>
  </r>
  <r>
    <x v="3"/>
    <x v="5"/>
    <s v="Bill"/>
    <s v="482005"/>
    <x v="339"/>
    <s v="TRADICIONES ANDINAS - PERU -  BOLSA -  Pallares /Lima Beans -  24 / 15oz - P00901"/>
    <n v="6"/>
    <n v="36"/>
    <n v="216"/>
    <n v="49460.109999999971"/>
    <n v="2"/>
    <s v="Se repite 2 veces"/>
    <s v="Tradiciones Andinas-T.A Pallares /Lima Beans 15oz x 24"/>
    <n v="2"/>
    <s v="Se repite 2 veces en Tradiciones Andinas"/>
    <s v="Tradiciones Andinas-T.A Pallares /Lima Beans 15oz x 24-36"/>
    <n v="2"/>
    <s v="Se repite 2 veces el precio de 36"/>
    <s v="El producto T.A Pallares /Lima Beans 15oz x 24 Se repite 2 veces en Tradiciones Andinas, Se repite 2 veces el precio de 36"/>
  </r>
  <r>
    <x v="3"/>
    <x v="9"/>
    <s v="Bill"/>
    <s v=""/>
    <x v="340"/>
    <s v="Papa Amarilla / Yellow Potato"/>
    <n v="5"/>
    <n v="49.8"/>
    <n v="249"/>
    <n v="7341.44"/>
    <n v="5"/>
    <s v="Se repite 5 veces"/>
    <s v="Tradiciones Andinas-T.A Papa Amarilla / Yellow Potato 16oz x 20 FROZEN"/>
    <n v="5"/>
    <s v="Se repite 5 veces en Tradiciones Andinas"/>
    <s v="Tradiciones Andinas-T.A Papa Amarilla / Yellow Potato 16oz x 20 FROZEN-49.8"/>
    <n v="5"/>
    <s v="Se repite 5 veces el precio de 49.8"/>
    <s v="El producto T.A Papa Amarilla / Yellow Potato 16oz x 20 FROZEN Se repite 5 veces en Tradiciones Andinas, Se repite 5 veces el precio de 49.8"/>
  </r>
  <r>
    <x v="3"/>
    <x v="10"/>
    <s v="Bill"/>
    <s v="476974"/>
    <x v="340"/>
    <s v="Papa Amarilla / Yellow Potato"/>
    <n v="4"/>
    <n v="49.8"/>
    <n v="199.2"/>
    <n v="22960.74"/>
    <n v="5"/>
    <s v="Se repite 5 veces"/>
    <s v="Tradiciones Andinas-T.A Papa Amarilla / Yellow Potato 16oz x 20 FROZEN"/>
    <n v="5"/>
    <s v="Se repite 5 veces en Tradiciones Andinas"/>
    <s v="Tradiciones Andinas-T.A Papa Amarilla / Yellow Potato 16oz x 20 FROZEN-49.8"/>
    <n v="5"/>
    <s v="Se repite 5 veces el precio de 49.8"/>
    <s v="El producto T.A Papa Amarilla / Yellow Potato 16oz x 20 FROZEN Se repite 5 veces en Tradiciones Andinas, Se repite 5 veces el precio de 49.8"/>
  </r>
  <r>
    <x v="3"/>
    <x v="13"/>
    <s v="Bill"/>
    <s v="485230"/>
    <x v="340"/>
    <s v="TRADICIONES ANDINAS- PERU -  FROZEN -  Papa Amarilla / Yellow Potato  -  20 / 16oz - P00113"/>
    <n v="2"/>
    <n v="49.8"/>
    <n v="99.6"/>
    <n v="72498.140000000014"/>
    <n v="5"/>
    <s v="Se repite 5 veces"/>
    <s v="Tradiciones Andinas-T.A Papa Amarilla / Yellow Potato 16oz x 20 FROZEN"/>
    <n v="5"/>
    <s v="Se repite 5 veces en Tradiciones Andinas"/>
    <s v="Tradiciones Andinas-T.A Papa Amarilla / Yellow Potato 16oz x 20 FROZEN-49.8"/>
    <n v="5"/>
    <s v="Se repite 5 veces el precio de 49.8"/>
    <s v="El producto T.A Papa Amarilla / Yellow Potato 16oz x 20 FROZEN Se repite 5 veces en Tradiciones Andinas, Se repite 5 veces el precio de 49.8"/>
  </r>
  <r>
    <x v="3"/>
    <x v="6"/>
    <s v="Bill"/>
    <s v="487860"/>
    <x v="340"/>
    <s v="TRADICIONES ANDINAS- PERU -  FROZEN -  Papa Amarilla / Yellow Potato  -  20 / 16oz - P00113"/>
    <n v="2"/>
    <n v="49.8"/>
    <n v="99.6"/>
    <n v="86943.41999999994"/>
    <n v="5"/>
    <s v="Se repite 5 veces"/>
    <s v="Tradiciones Andinas-T.A Papa Amarilla / Yellow Potato 16oz x 20 FROZEN"/>
    <n v="5"/>
    <s v="Se repite 5 veces en Tradiciones Andinas"/>
    <s v="Tradiciones Andinas-T.A Papa Amarilla / Yellow Potato 16oz x 20 FROZEN-49.8"/>
    <n v="5"/>
    <s v="Se repite 5 veces el precio de 49.8"/>
    <s v="El producto T.A Papa Amarilla / Yellow Potato 16oz x 20 FROZEN Se repite 5 veces en Tradiciones Andinas, Se repite 5 veces el precio de 49.8"/>
  </r>
  <r>
    <x v="3"/>
    <x v="7"/>
    <s v="Bill"/>
    <s v="492743"/>
    <x v="340"/>
    <s v="TRADICIONES ANDINAS- PERU -  FROZEN -  Papa Amarilla / Yellow Potato  -  20 / 16oz - P00113"/>
    <n v="5"/>
    <n v="49.8"/>
    <n v="249"/>
    <n v="114674.95999999988"/>
    <n v="5"/>
    <s v="Se repite 5 veces"/>
    <s v="Tradiciones Andinas-T.A Papa Amarilla / Yellow Potato 16oz x 20 FROZEN"/>
    <n v="5"/>
    <s v="Se repite 5 veces en Tradiciones Andinas"/>
    <s v="Tradiciones Andinas-T.A Papa Amarilla / Yellow Potato 16oz x 20 FROZEN-49.8"/>
    <n v="5"/>
    <s v="Se repite 5 veces el precio de 49.8"/>
    <s v="El producto T.A Papa Amarilla / Yellow Potato 16oz x 20 FROZEN Se repite 5 veces en Tradiciones Andinas, Se repite 5 veces el precio de 49.8"/>
  </r>
  <r>
    <x v="3"/>
    <x v="7"/>
    <s v="Bill"/>
    <s v="492743"/>
    <x v="341"/>
    <s v="TRADICIONES ANDINAS- COLOMBIA -  FROZEN -  Papa Criolla / Yellow Potato  -  12 / 2 lbs - C00206"/>
    <n v="2"/>
    <n v="45"/>
    <n v="90"/>
    <n v="116472.97999999988"/>
    <n v="1"/>
    <s v="No se repite"/>
    <s v="Tradiciones Andinas-T.A Papa Criolla / Yellow Potato 2Lb x 12"/>
    <n v="1"/>
    <s v="No se repite en proveedor"/>
    <s v="Tradiciones Andinas-T.A Papa Criolla / Yellow Potato 2Lb x 12-45"/>
    <n v="1"/>
    <s v="No se repite"/>
    <s v="El producto T.A Papa Criolla / Yellow Potato 2Lb x 12 No se repite en proveedor Una vez con el precio 45"/>
  </r>
  <r>
    <x v="3"/>
    <x v="33"/>
    <s v="Bill"/>
    <s v="475144"/>
    <x v="342"/>
    <s v="Papa Seca Amarilla  / Yelow Dried Potato"/>
    <n v="2"/>
    <n v="28.62"/>
    <n v="57.24"/>
    <n v="1972.2799999999995"/>
    <n v="5"/>
    <s v="Se repite 5 veces"/>
    <s v="Tradiciones Andinas-T.A Papa Seca Amarilla  / Yelow Dried Potato 15oz x 18"/>
    <n v="5"/>
    <s v="Se repite 5 veces en Tradiciones Andinas"/>
    <s v="Tradiciones Andinas-T.A Papa Seca Amarilla  / Yelow Dried Potato 15oz x 18-28.62"/>
    <n v="3"/>
    <s v="Se repite 3 veces el precio de 28.62"/>
    <s v="El producto T.A Papa Seca Amarilla  / Yelow Dried Potato 15oz x 18 Se repite 5 veces en Tradiciones Andinas, Se repite 3 veces el precio de 28.62"/>
  </r>
  <r>
    <x v="3"/>
    <x v="9"/>
    <s v="Bill"/>
    <s v=""/>
    <x v="342"/>
    <s v="Papa Seca Amarilla  / Yelow Dried Potato"/>
    <n v="2"/>
    <n v="28.62"/>
    <n v="57.24"/>
    <n v="4973.5"/>
    <n v="5"/>
    <s v="Se repite 5 veces"/>
    <s v="Tradiciones Andinas-T.A Papa Seca Amarilla  / Yelow Dried Potato 15oz x 18"/>
    <n v="5"/>
    <s v="Se repite 5 veces en Tradiciones Andinas"/>
    <s v="Tradiciones Andinas-T.A Papa Seca Amarilla  / Yelow Dried Potato 15oz x 18-28.62"/>
    <n v="3"/>
    <s v="Se repite 3 veces el precio de 28.62"/>
    <s v="El producto T.A Papa Seca Amarilla  / Yelow Dried Potato 15oz x 18 Se repite 5 veces en Tradiciones Andinas, Se repite 3 veces el precio de 28.62"/>
  </r>
  <r>
    <x v="3"/>
    <x v="10"/>
    <s v="Bill"/>
    <s v="476974"/>
    <x v="342"/>
    <s v="Papa Seca Amarilla  / Yelow Dried Potato"/>
    <n v="2"/>
    <n v="28.62"/>
    <n v="57.24"/>
    <n v="12938.839999999998"/>
    <n v="5"/>
    <s v="Se repite 5 veces"/>
    <s v="Tradiciones Andinas-T.A Papa Seca Amarilla  / Yelow Dried Potato 15oz x 18"/>
    <n v="5"/>
    <s v="Se repite 5 veces en Tradiciones Andinas"/>
    <s v="Tradiciones Andinas-T.A Papa Seca Amarilla  / Yelow Dried Potato 15oz x 18-28.62"/>
    <n v="3"/>
    <s v="Se repite 3 veces el precio de 28.62"/>
    <s v="El producto T.A Papa Seca Amarilla  / Yelow Dried Potato 15oz x 18 Se repite 5 veces en Tradiciones Andinas, Se repite 3 veces el precio de 28.62"/>
  </r>
  <r>
    <x v="3"/>
    <x v="13"/>
    <s v="Bill"/>
    <s v="485230"/>
    <x v="342"/>
    <s v="TRADICIONES ANDINAS - PERU -  BOLSA -  Papa Seca Amarilla  / Yelow Dried Potato -  18 / 15oz - P00900"/>
    <n v="2"/>
    <n v="30.24"/>
    <n v="60.48"/>
    <n v="69554.880000000005"/>
    <n v="5"/>
    <s v="Se repite 5 veces"/>
    <s v="Tradiciones Andinas-T.A Papa Seca Amarilla  / Yelow Dried Potato 15oz x 18"/>
    <n v="5"/>
    <s v="Se repite 5 veces en Tradiciones Andinas"/>
    <s v="Tradiciones Andinas-T.A Papa Seca Amarilla  / Yelow Dried Potato 15oz x 18-30.24"/>
    <n v="2"/>
    <s v="Se repite 2 veces el precio de 30.24"/>
    <s v="El producto T.A Papa Seca Amarilla  / Yelow Dried Potato 15oz x 18 Se repite 5 veces en Tradiciones Andinas, Se repite 2 veces el precio de 30.24"/>
  </r>
  <r>
    <x v="3"/>
    <x v="6"/>
    <s v="Bill"/>
    <s v="487860"/>
    <x v="342"/>
    <s v="TRADICIONES ANDINAS - PERU -  BOLSA -  Papa Seca Amarilla  / Yelow Dried Potato -  18 / 15oz - P00900"/>
    <n v="2"/>
    <n v="30.24"/>
    <n v="60.48"/>
    <n v="79680.899999999965"/>
    <n v="5"/>
    <s v="Se repite 5 veces"/>
    <s v="Tradiciones Andinas-T.A Papa Seca Amarilla  / Yelow Dried Potato 15oz x 18"/>
    <n v="5"/>
    <s v="Se repite 5 veces en Tradiciones Andinas"/>
    <s v="Tradiciones Andinas-T.A Papa Seca Amarilla  / Yelow Dried Potato 15oz x 18-30.24"/>
    <n v="2"/>
    <s v="Se repite 2 veces el precio de 30.24"/>
    <s v="El producto T.A Papa Seca Amarilla  / Yelow Dried Potato 15oz x 18 Se repite 5 veces en Tradiciones Andinas, Se repite 2 veces el precio de 30.24"/>
  </r>
  <r>
    <x v="3"/>
    <x v="33"/>
    <s v="Bill"/>
    <s v="475144"/>
    <x v="343"/>
    <s v="Papa Seca Amarilla (Family Pack) /Yelow Dried Potato"/>
    <n v="2"/>
    <n v="27.54"/>
    <n v="55.08"/>
    <n v="1857.7999999999995"/>
    <n v="2"/>
    <s v="Se repite 2 veces"/>
    <s v="Tradiciones Andinas-T.A Papa Seca Amarilla (Family Pack) /Yelow Dried Potato 40oz x 6"/>
    <n v="2"/>
    <s v="Se repite 2 veces en Tradiciones Andinas"/>
    <s v="Tradiciones Andinas-T.A Papa Seca Amarilla (Family Pack) /Yelow Dried Potato 40oz x 6-27.54"/>
    <n v="1"/>
    <s v="No se repite"/>
    <s v="El producto T.A Papa Seca Amarilla (Family Pack) /Yelow Dried Potato 40oz x 6 Se repite 2 veces en Tradiciones Andinas Una vez con el precio 27.54"/>
  </r>
  <r>
    <x v="3"/>
    <x v="33"/>
    <s v="Bill"/>
    <s v="475144"/>
    <x v="343"/>
    <s v="Papa Seca Amarilla (Family Pack) /Yelow Dried Potato"/>
    <n v="1"/>
    <n v="28.62"/>
    <n v="28.62"/>
    <n v="2604.9799999999996"/>
    <n v="2"/>
    <s v="Se repite 2 veces"/>
    <s v="Tradiciones Andinas-T.A Papa Seca Amarilla (Family Pack) /Yelow Dried Potato 40oz x 6"/>
    <n v="2"/>
    <s v="Se repite 2 veces en Tradiciones Andinas"/>
    <s v="Tradiciones Andinas-T.A Papa Seca Amarilla (Family Pack) /Yelow Dried Potato 40oz x 6-28.62"/>
    <n v="1"/>
    <s v="No se repite"/>
    <s v="El producto T.A Papa Seca Amarilla (Family Pack) /Yelow Dried Potato 40oz x 6 Se repite 2 veces en Tradiciones Andinas Una vez con el precio 28.62"/>
  </r>
  <r>
    <x v="3"/>
    <x v="33"/>
    <s v="Bill"/>
    <s v="475144"/>
    <x v="344"/>
    <s v="Papa Seca Negra (Family Pack) / Black Dried Potato"/>
    <n v="2"/>
    <n v="28.62"/>
    <n v="57.24"/>
    <n v="1915.0399999999995"/>
    <n v="1"/>
    <s v="No se repite"/>
    <s v="Tradiciones Andinas-T.A Papa Seca Negra (Family Pack) / Black Dried Potato 54oz x 5"/>
    <n v="1"/>
    <s v="No se repite en proveedor"/>
    <s v="Tradiciones Andinas-T.A Papa Seca Negra (Family Pack) / Black Dried Potato 54oz x 5-28.62"/>
    <n v="1"/>
    <s v="No se repite"/>
    <s v="El producto T.A Papa Seca Negra (Family Pack) / Black Dried Potato 54oz x 5 No se repite en proveedor Una vez con el precio 28.62"/>
  </r>
  <r>
    <x v="3"/>
    <x v="33"/>
    <s v="Bill"/>
    <s v="475144"/>
    <x v="345"/>
    <s v="Papa Seca / Dried Potato"/>
    <n v="2"/>
    <n v="28.62"/>
    <n v="57.24"/>
    <n v="995.80000000000007"/>
    <n v="4"/>
    <s v="Se repite 4 veces"/>
    <s v="Tradiciones Andinas-T.A Papa Seca Negra / Dried Potato 15OZ X 18"/>
    <n v="4"/>
    <s v="Se repite 4 veces en Tradiciones Andinas"/>
    <s v="Tradiciones Andinas-T.A Papa Seca Negra / Dried Potato 15OZ X 18-28.62"/>
    <n v="3"/>
    <s v="Se repite 3 veces el precio de 28.62"/>
    <s v="El producto T.A Papa Seca Negra / Dried Potato 15OZ X 18 Se repite 4 veces en Tradiciones Andinas, Se repite 3 veces el precio de 28.62"/>
  </r>
  <r>
    <x v="3"/>
    <x v="9"/>
    <s v="Bill"/>
    <s v=""/>
    <x v="345"/>
    <s v="Papa Seca / Dried Potato"/>
    <n v="2"/>
    <n v="28.62"/>
    <n v="57.24"/>
    <n v="4308.28"/>
    <n v="4"/>
    <s v="Se repite 4 veces"/>
    <s v="Tradiciones Andinas-T.A Papa Seca Negra / Dried Potato 15OZ X 18"/>
    <n v="4"/>
    <s v="Se repite 4 veces en Tradiciones Andinas"/>
    <s v="Tradiciones Andinas-T.A Papa Seca Negra / Dried Potato 15OZ X 18-28.62"/>
    <n v="3"/>
    <s v="Se repite 3 veces el precio de 28.62"/>
    <s v="El producto T.A Papa Seca Negra / Dried Potato 15OZ X 18 Se repite 4 veces en Tradiciones Andinas, Se repite 3 veces el precio de 28.62"/>
  </r>
  <r>
    <x v="3"/>
    <x v="10"/>
    <s v="Bill"/>
    <s v="476974"/>
    <x v="345"/>
    <s v="Papa Seca / Dried Potato"/>
    <n v="10"/>
    <n v="28.62"/>
    <n v="286.2"/>
    <n v="11066.119999999997"/>
    <n v="4"/>
    <s v="Se repite 4 veces"/>
    <s v="Tradiciones Andinas-T.A Papa Seca Negra / Dried Potato 15OZ X 18"/>
    <n v="4"/>
    <s v="Se repite 4 veces en Tradiciones Andinas"/>
    <s v="Tradiciones Andinas-T.A Papa Seca Negra / Dried Potato 15OZ X 18-28.62"/>
    <n v="3"/>
    <s v="Se repite 3 veces el precio de 28.62"/>
    <s v="El producto T.A Papa Seca Negra / Dried Potato 15OZ X 18 Se repite 4 veces en Tradiciones Andinas, Se repite 3 veces el precio de 28.62"/>
  </r>
  <r>
    <x v="3"/>
    <x v="13"/>
    <s v="Bill"/>
    <s v="485230"/>
    <x v="345"/>
    <s v="TRADICIONES ANDINAS - PERU -  BOLSA -  Papa Seca / Dried Potato -  18 / 15oz - P00161"/>
    <n v="2"/>
    <n v="30.24"/>
    <n v="60.48"/>
    <n v="68525.540000000008"/>
    <n v="4"/>
    <s v="Se repite 4 veces"/>
    <s v="Tradiciones Andinas-T.A Papa Seca Negra / Dried Potato 15OZ X 18"/>
    <n v="4"/>
    <s v="Se repite 4 veces en Tradiciones Andinas"/>
    <s v="Tradiciones Andinas-T.A Papa Seca Negra / Dried Potato 15OZ X 18-30.24"/>
    <n v="1"/>
    <s v="No se repite"/>
    <s v="El producto T.A Papa Seca Negra / Dried Potato 15OZ X 18 Se repite 4 veces en Tradiciones Andinas Una vez con el precio 30.24"/>
  </r>
  <r>
    <x v="3"/>
    <x v="33"/>
    <s v="Bill"/>
    <s v="475144"/>
    <x v="346"/>
    <s v="Peeled Mote Corn / Mote Pelado"/>
    <n v="2"/>
    <n v="39.36"/>
    <n v="78.72"/>
    <n v="1160.44"/>
    <n v="6"/>
    <s v="Se repite 6 veces"/>
    <s v="Tradiciones Andinas-T.A Peeled Mote Corn / Mote Pelado 15oz x 24"/>
    <n v="6"/>
    <s v="Se repite 6 veces en Tradiciones Andinas"/>
    <s v="Tradiciones Andinas-T.A Peeled Mote Corn / Mote Pelado 15oz x 24-39.36"/>
    <n v="1"/>
    <s v="No se repite"/>
    <s v="El producto T.A Peeled Mote Corn / Mote Pelado 15oz x 24 Se repite 6 veces en Tradiciones Andinas Una vez con el precio 39.36"/>
  </r>
  <r>
    <x v="3"/>
    <x v="9"/>
    <s v="Bill"/>
    <s v=""/>
    <x v="346"/>
    <s v="Peeled Mote Corn / Mote Pelado"/>
    <n v="2"/>
    <n v="42.96"/>
    <n v="85.92"/>
    <n v="4480.12"/>
    <n v="6"/>
    <s v="Se repite 6 veces"/>
    <s v="Tradiciones Andinas-T.A Peeled Mote Corn / Mote Pelado 15oz x 24"/>
    <n v="6"/>
    <s v="Se repite 6 veces en Tradiciones Andinas"/>
    <s v="Tradiciones Andinas-T.A Peeled Mote Corn / Mote Pelado 15oz x 24-42.96"/>
    <n v="2"/>
    <s v="Se repite 2 veces el precio de 42.96"/>
    <s v="El producto T.A Peeled Mote Corn / Mote Pelado 15oz x 24 Se repite 6 veces en Tradiciones Andinas, Se repite 2 veces el precio de 42.96"/>
  </r>
  <r>
    <x v="3"/>
    <x v="10"/>
    <s v="Bill"/>
    <s v="476974"/>
    <x v="346"/>
    <s v="Peeled Mote Corn / Mote Pelado"/>
    <n v="4"/>
    <n v="42.96"/>
    <n v="171.84"/>
    <n v="11409.799999999997"/>
    <n v="6"/>
    <s v="Se repite 6 veces"/>
    <s v="Tradiciones Andinas-T.A Peeled Mote Corn / Mote Pelado 15oz x 24"/>
    <n v="6"/>
    <s v="Se repite 6 veces en Tradiciones Andinas"/>
    <s v="Tradiciones Andinas-T.A Peeled Mote Corn / Mote Pelado 15oz x 24-42.96"/>
    <n v="2"/>
    <s v="Se repite 2 veces el precio de 42.96"/>
    <s v="El producto T.A Peeled Mote Corn / Mote Pelado 15oz x 24 Se repite 6 veces en Tradiciones Andinas, Se repite 2 veces el precio de 42.96"/>
  </r>
  <r>
    <x v="3"/>
    <x v="5"/>
    <s v="Bill"/>
    <s v="482005"/>
    <x v="346"/>
    <s v="T.A Peeled Mote Corn / Mote Pelado 15oz x 24 bolsa"/>
    <n v="2"/>
    <n v="45.96"/>
    <n v="91.92"/>
    <n v="48729.769999999975"/>
    <n v="6"/>
    <s v="Se repite 6 veces"/>
    <s v="Tradiciones Andinas-T.A Peeled Mote Corn / Mote Pelado 15oz x 24"/>
    <n v="6"/>
    <s v="Se repite 6 veces en Tradiciones Andinas"/>
    <s v="Tradiciones Andinas-T.A Peeled Mote Corn / Mote Pelado 15oz x 24-45.96"/>
    <n v="3"/>
    <s v="Se repite 3 veces el precio de 45.96"/>
    <s v="El producto T.A Peeled Mote Corn / Mote Pelado 15oz x 24 Se repite 6 veces en Tradiciones Andinas, Se repite 3 veces el precio de 45.96"/>
  </r>
  <r>
    <x v="3"/>
    <x v="13"/>
    <s v="Bill"/>
    <s v="485230"/>
    <x v="346"/>
    <s v="T.A Peeled Mote Corn / Mote Pelado 15oz x 24 bolsa"/>
    <n v="2"/>
    <n v="45.96"/>
    <n v="91.92"/>
    <n v="68617.460000000006"/>
    <n v="6"/>
    <s v="Se repite 6 veces"/>
    <s v="Tradiciones Andinas-T.A Peeled Mote Corn / Mote Pelado 15oz x 24"/>
    <n v="6"/>
    <s v="Se repite 6 veces en Tradiciones Andinas"/>
    <s v="Tradiciones Andinas-T.A Peeled Mote Corn / Mote Pelado 15oz x 24-45.96"/>
    <n v="3"/>
    <s v="Se repite 3 veces el precio de 45.96"/>
    <s v="El producto T.A Peeled Mote Corn / Mote Pelado 15oz x 24 Se repite 6 veces en Tradiciones Andinas, Se repite 3 veces el precio de 45.96"/>
  </r>
  <r>
    <x v="3"/>
    <x v="27"/>
    <s v="Bill"/>
    <s v="491180"/>
    <x v="346"/>
    <s v="T.A Peeled Mote Corn / Mote Pelado 15oz x 24 bolsa"/>
    <n v="2"/>
    <n v="45.96"/>
    <n v="91.92"/>
    <n v="100822.78999999994"/>
    <n v="6"/>
    <s v="Se repite 6 veces"/>
    <s v="Tradiciones Andinas-T.A Peeled Mote Corn / Mote Pelado 15oz x 24"/>
    <n v="6"/>
    <s v="Se repite 6 veces en Tradiciones Andinas"/>
    <s v="Tradiciones Andinas-T.A Peeled Mote Corn / Mote Pelado 15oz x 24-45.96"/>
    <n v="3"/>
    <s v="Se repite 3 veces el precio de 45.96"/>
    <s v="El producto T.A Peeled Mote Corn / Mote Pelado 15oz x 24 Se repite 6 veces en Tradiciones Andinas, Se repite 3 veces el precio de 45.96"/>
  </r>
  <r>
    <x v="3"/>
    <x v="11"/>
    <s v="Bill"/>
    <s v="478734"/>
    <x v="347"/>
    <s v="Platanitos fritos salados - Salted Plantain Chips"/>
    <n v="4"/>
    <n v="13.2"/>
    <n v="52.8"/>
    <n v="26154.199999999993"/>
    <n v="3"/>
    <s v="Se repite 3 veces"/>
    <s v="Tradiciones Andinas-T.A Platanitos fritos salados / chifles - Salted Plantain Chips"/>
    <n v="3"/>
    <s v="Se repite 3 veces en Tradiciones Andinas"/>
    <s v="Tradiciones Andinas-T.A Platanitos fritos salados / chifles - Salted Plantain Chips-13.2"/>
    <n v="3"/>
    <s v="Se repite 3 veces el precio de 13.2"/>
    <s v="El producto T.A Platanitos fritos salados / chifles - Salted Plantain Chips Se repite 3 veces en Tradiciones Andinas, Se repite 3 veces el precio de 13.2"/>
  </r>
  <r>
    <x v="3"/>
    <x v="4"/>
    <s v="Bill"/>
    <s v="480295"/>
    <x v="347"/>
    <s v="TRADICIONES ANDINAS - PERU -  TIYAPUY - SNACKS -  Platanitos fritos salados - Salted Plantain Chips-  12 / 80g - CH180"/>
    <n v="7"/>
    <n v="13.2"/>
    <n v="92.4"/>
    <n v="39040.6"/>
    <n v="3"/>
    <s v="Se repite 3 veces"/>
    <s v="Tradiciones Andinas-T.A Platanitos fritos salados / chifles - Salted Plantain Chips"/>
    <n v="3"/>
    <s v="Se repite 3 veces en Tradiciones Andinas"/>
    <s v="Tradiciones Andinas-T.A Platanitos fritos salados / chifles - Salted Plantain Chips-13.2"/>
    <n v="3"/>
    <s v="Se repite 3 veces el precio de 13.2"/>
    <s v="El producto T.A Platanitos fritos salados / chifles - Salted Plantain Chips Se repite 3 veces en Tradiciones Andinas, Se repite 3 veces el precio de 13.2"/>
  </r>
  <r>
    <x v="3"/>
    <x v="5"/>
    <s v="Bill"/>
    <s v="482005"/>
    <x v="347"/>
    <s v="TRADICIONES ANDINAS - PERU -  TIYAPUY - SNACKS -  Platanitos fritos salados - Salted Plantain Chips-  12 / 80g - CH180"/>
    <n v="18"/>
    <n v="13.2"/>
    <n v="237.6"/>
    <n v="51466.01999999996"/>
    <n v="3"/>
    <s v="Se repite 3 veces"/>
    <s v="Tradiciones Andinas-T.A Platanitos fritos salados / chifles - Salted Plantain Chips"/>
    <n v="3"/>
    <s v="Se repite 3 veces en Tradiciones Andinas"/>
    <s v="Tradiciones Andinas-T.A Platanitos fritos salados / chifles - Salted Plantain Chips-13.2"/>
    <n v="3"/>
    <s v="Se repite 3 veces el precio de 13.2"/>
    <s v="El producto T.A Platanitos fritos salados / chifles - Salted Plantain Chips Se repite 3 veces en Tradiciones Andinas, Se repite 3 veces el precio de 13.2"/>
  </r>
  <r>
    <x v="3"/>
    <x v="11"/>
    <s v="Bill"/>
    <s v="478734"/>
    <x v="348"/>
    <s v="Pulpa de Guanabana / Soursop Pulpa"/>
    <n v="3"/>
    <n v="28.68"/>
    <n v="86.04"/>
    <n v="34611.780000000006"/>
    <n v="3"/>
    <s v="Se repite 3 veces"/>
    <s v="Tradiciones Andinas-T.A Pulpa de Guanabana / Soursop Pulpa 14oz x 12"/>
    <n v="3"/>
    <s v="Se repite 3 veces en Tradiciones Andinas"/>
    <s v="Tradiciones Andinas-T.A Pulpa de Guanabana / Soursop Pulpa 14oz x 12-28.68"/>
    <n v="3"/>
    <s v="Se repite 3 veces el precio de 28.68"/>
    <s v="El producto T.A Pulpa de Guanabana / Soursop Pulpa 14oz x 12 Se repite 3 veces en Tradiciones Andinas, Se repite 3 veces el precio de 28.68"/>
  </r>
  <r>
    <x v="3"/>
    <x v="6"/>
    <s v="Bill"/>
    <s v="487860"/>
    <x v="348"/>
    <s v="Pulpa de Guanabana / Soursop Pulpa"/>
    <n v="2"/>
    <n v="28.68"/>
    <n v="57.36"/>
    <n v="89683.149999999936"/>
    <n v="3"/>
    <s v="Se repite 3 veces"/>
    <s v="Tradiciones Andinas-T.A Pulpa de Guanabana / Soursop Pulpa 14oz x 12"/>
    <n v="3"/>
    <s v="Se repite 3 veces en Tradiciones Andinas"/>
    <s v="Tradiciones Andinas-T.A Pulpa de Guanabana / Soursop Pulpa 14oz x 12-28.68"/>
    <n v="3"/>
    <s v="Se repite 3 veces el precio de 28.68"/>
    <s v="El producto T.A Pulpa de Guanabana / Soursop Pulpa 14oz x 12 Se repite 3 veces en Tradiciones Andinas, Se repite 3 veces el precio de 28.68"/>
  </r>
  <r>
    <x v="3"/>
    <x v="7"/>
    <s v="Bill"/>
    <s v="492743"/>
    <x v="348"/>
    <s v="TRADICIONES ANDINAS- ECUADOR -  FROZEN -  Pulpa de Guanabana / Soursop Pulpa -  12 / 14oz - RE063"/>
    <n v="2"/>
    <n v="28.68"/>
    <n v="57.36"/>
    <n v="116324.17999999988"/>
    <n v="3"/>
    <s v="Se repite 3 veces"/>
    <s v="Tradiciones Andinas-T.A Pulpa de Guanabana / Soursop Pulpa 14oz x 12"/>
    <n v="3"/>
    <s v="Se repite 3 veces en Tradiciones Andinas"/>
    <s v="Tradiciones Andinas-T.A Pulpa de Guanabana / Soursop Pulpa 14oz x 12-28.68"/>
    <n v="3"/>
    <s v="Se repite 3 veces el precio de 28.68"/>
    <s v="El producto T.A Pulpa de Guanabana / Soursop Pulpa 14oz x 12 Se repite 3 veces en Tradiciones Andinas, Se repite 3 veces el precio de 28.68"/>
  </r>
  <r>
    <x v="3"/>
    <x v="33"/>
    <s v="Bill"/>
    <s v="475144"/>
    <x v="349"/>
    <s v="Pulpa De Lucuma / Lucuma  Pulp"/>
    <n v="2"/>
    <n v="45.8"/>
    <n v="91.6"/>
    <n v="3101.2799999999997"/>
    <n v="5"/>
    <s v="Se repite 5 veces"/>
    <s v="Tradiciones Andinas-T.A Pulpa De Lucuma / Lucuma  Pulp 12oz x 20"/>
    <n v="5"/>
    <s v="Se repite 5 veces en Tradiciones Andinas"/>
    <s v="Tradiciones Andinas-T.A Pulpa De Lucuma / Lucuma  Pulp 12oz x 20-45.8"/>
    <n v="2"/>
    <s v="Se repite 2 veces el precio de 45.8"/>
    <s v="El producto T.A Pulpa De Lucuma / Lucuma  Pulp 12oz x 20 Se repite 5 veces en Tradiciones Andinas, Se repite 2 veces el precio de 45.8"/>
  </r>
  <r>
    <x v="3"/>
    <x v="9"/>
    <s v="Bill"/>
    <s v=""/>
    <x v="349"/>
    <s v="Pulpa De Lucuma / Lucuma  Pulp"/>
    <n v="1"/>
    <n v="47.8"/>
    <n v="47.8"/>
    <n v="7936.44"/>
    <n v="5"/>
    <s v="Se repite 5 veces"/>
    <s v="Tradiciones Andinas-T.A Pulpa De Lucuma / Lucuma  Pulp 12oz x 20"/>
    <n v="5"/>
    <s v="Se repite 5 veces en Tradiciones Andinas"/>
    <s v="Tradiciones Andinas-T.A Pulpa De Lucuma / Lucuma  Pulp 12oz x 20-47.8"/>
    <n v="2"/>
    <s v="Se repite 2 veces el precio de 47.8"/>
    <s v="El producto T.A Pulpa De Lucuma / Lucuma  Pulp 12oz x 20 Se repite 5 veces en Tradiciones Andinas, Se repite 2 veces el precio de 47.8"/>
  </r>
  <r>
    <x v="3"/>
    <x v="10"/>
    <s v="Bill"/>
    <s v="476974"/>
    <x v="349"/>
    <s v="Pulpa De Lucuma / Lucuma  Pulp"/>
    <n v="1"/>
    <n v="47.8"/>
    <n v="47.8"/>
    <n v="23765.74"/>
    <n v="5"/>
    <s v="Se repite 5 veces"/>
    <s v="Tradiciones Andinas-T.A Pulpa De Lucuma / Lucuma  Pulp 12oz x 20"/>
    <n v="5"/>
    <s v="Se repite 5 veces en Tradiciones Andinas"/>
    <s v="Tradiciones Andinas-T.A Pulpa De Lucuma / Lucuma  Pulp 12oz x 20-47.8"/>
    <n v="2"/>
    <s v="Se repite 2 veces el precio de 47.8"/>
    <s v="El producto T.A Pulpa De Lucuma / Lucuma  Pulp 12oz x 20 Se repite 5 veces en Tradiciones Andinas, Se repite 2 veces el precio de 47.8"/>
  </r>
  <r>
    <x v="3"/>
    <x v="11"/>
    <s v="Bill"/>
    <s v="478734"/>
    <x v="349"/>
    <s v="TRADICIONES ANDINAS- PERU -  FROZEN -  Pulpa De Lucuma / Lucuma  Pulp  -  20 / 12oz - P00223"/>
    <n v="6"/>
    <n v="51.15"/>
    <n v="306.89999999999998"/>
    <n v="34391.540000000008"/>
    <n v="5"/>
    <s v="Se repite 5 veces"/>
    <s v="Tradiciones Andinas-T.A Pulpa De Lucuma / Lucuma  Pulp 12oz x 20"/>
    <n v="5"/>
    <s v="Se repite 5 veces en Tradiciones Andinas"/>
    <s v="Tradiciones Andinas-T.A Pulpa De Lucuma / Lucuma  Pulp 12oz x 20-51.15"/>
    <n v="1"/>
    <s v="No se repite"/>
    <s v="El producto T.A Pulpa De Lucuma / Lucuma  Pulp 12oz x 20 Se repite 5 veces en Tradiciones Andinas Una vez con el precio 51.15"/>
  </r>
  <r>
    <x v="3"/>
    <x v="25"/>
    <s v="Bill"/>
    <s v="483292"/>
    <x v="349"/>
    <s v="TRADICIONES ANDINAS- PERU -  FROZEN -  Pulpa De Lucuma / Lucuma  Pulp  -  20 / 12oz - P00223"/>
    <n v="5"/>
    <n v="45.8"/>
    <n v="229"/>
    <n v="67039.539999999979"/>
    <n v="5"/>
    <s v="Se repite 5 veces"/>
    <s v="Tradiciones Andinas-T.A Pulpa De Lucuma / Lucuma  Pulp 12oz x 20"/>
    <n v="5"/>
    <s v="Se repite 5 veces en Tradiciones Andinas"/>
    <s v="Tradiciones Andinas-T.A Pulpa De Lucuma / Lucuma  Pulp 12oz x 20-45.8"/>
    <n v="2"/>
    <s v="Se repite 2 veces el precio de 45.8"/>
    <s v="El producto T.A Pulpa De Lucuma / Lucuma  Pulp 12oz x 20 Se repite 5 veces en Tradiciones Andinas, Se repite 2 veces el precio de 45.8"/>
  </r>
  <r>
    <x v="3"/>
    <x v="33"/>
    <s v="Bill"/>
    <s v="475144"/>
    <x v="350"/>
    <s v="Pulpa de Maracuya / Passion Fruit pulp"/>
    <n v="3"/>
    <n v="25.08"/>
    <n v="75.239999999999995"/>
    <n v="3292.5199999999995"/>
    <n v="6"/>
    <s v="Se repite 6 veces"/>
    <s v="Tradiciones Andinas-T.A Pulpa de Maracuya / Passion Fruit pulp14oz x 12 FROZEN"/>
    <n v="6"/>
    <s v="Se repite 6 veces en Tradiciones Andinas"/>
    <s v="Tradiciones Andinas-T.A Pulpa de Maracuya / Passion Fruit pulp14oz x 12 FROZEN-25.08"/>
    <n v="2"/>
    <s v="Se repite 2 veces el precio de 25.08"/>
    <s v="El producto T.A Pulpa de Maracuya / Passion Fruit pulp14oz x 12 FROZEN Se repite 6 veces en Tradiciones Andinas, Se repite 2 veces el precio de 25.08"/>
  </r>
  <r>
    <x v="3"/>
    <x v="9"/>
    <s v="Bill"/>
    <s v=""/>
    <x v="350"/>
    <s v="Pulpa de Maracuya / Passion Fruit pulp"/>
    <n v="2"/>
    <n v="25.08"/>
    <n v="50.16"/>
    <n v="8091.5999999999995"/>
    <n v="6"/>
    <s v="Se repite 6 veces"/>
    <s v="Tradiciones Andinas-T.A Pulpa de Maracuya / Passion Fruit pulp14oz x 12 FROZEN"/>
    <n v="6"/>
    <s v="Se repite 6 veces en Tradiciones Andinas"/>
    <s v="Tradiciones Andinas-T.A Pulpa de Maracuya / Passion Fruit pulp14oz x 12 FROZEN-25.08"/>
    <n v="2"/>
    <s v="Se repite 2 veces el precio de 25.08"/>
    <s v="El producto T.A Pulpa de Maracuya / Passion Fruit pulp14oz x 12 FROZEN Se repite 6 veces en Tradiciones Andinas, Se repite 2 veces el precio de 25.08"/>
  </r>
  <r>
    <x v="3"/>
    <x v="11"/>
    <s v="Bill"/>
    <s v="478734"/>
    <x v="350"/>
    <s v="TRADICIONES ANDINAS - FROZEN -  Pulpa de Maracuya / Passion Fruit pulp -  12 / 14oz - RE041"/>
    <n v="5"/>
    <n v="26.84"/>
    <n v="134.19999999999999"/>
    <n v="34525.740000000005"/>
    <n v="6"/>
    <s v="Se repite 6 veces"/>
    <s v="Tradiciones Andinas-T.A Pulpa de Maracuya / Passion Fruit pulp14oz x 12 FROZEN"/>
    <n v="6"/>
    <s v="Se repite 6 veces en Tradiciones Andinas"/>
    <s v="Tradiciones Andinas-T.A Pulpa de Maracuya / Passion Fruit pulp14oz x 12 FROZEN-26.84"/>
    <n v="3"/>
    <s v="Se repite 3 veces el precio de 26.84"/>
    <s v="El producto T.A Pulpa de Maracuya / Passion Fruit pulp14oz x 12 FROZEN Se repite 6 veces en Tradiciones Andinas, Se repite 3 veces el precio de 26.84"/>
  </r>
  <r>
    <x v="3"/>
    <x v="4"/>
    <s v="Bill"/>
    <s v="480295"/>
    <x v="350"/>
    <s v="TRADICIONES ANDINAS - FROZEN -  Pulpa de Maracuya / Passion Fruit pulp -  12 / 14oz - RE041"/>
    <n v="10"/>
    <n v="26.84"/>
    <n v="268.39999999999998"/>
    <n v="43644.659999999996"/>
    <n v="6"/>
    <s v="Se repite 6 veces"/>
    <s v="Tradiciones Andinas-T.A Pulpa de Maracuya / Passion Fruit pulp14oz x 12 FROZEN"/>
    <n v="6"/>
    <s v="Se repite 6 veces en Tradiciones Andinas"/>
    <s v="Tradiciones Andinas-T.A Pulpa de Maracuya / Passion Fruit pulp14oz x 12 FROZEN-26.84"/>
    <n v="3"/>
    <s v="Se repite 3 veces el precio de 26.84"/>
    <s v="El producto T.A Pulpa de Maracuya / Passion Fruit pulp14oz x 12 FROZEN Se repite 6 veces en Tradiciones Andinas, Se repite 3 veces el precio de 26.84"/>
  </r>
  <r>
    <x v="3"/>
    <x v="13"/>
    <s v="Bill"/>
    <s v="485230"/>
    <x v="350"/>
    <s v="TRADICIONES ANDINAS - FROZEN -  Pulpa de Maracuya / Passion Fruit pulp -  12 / 14oz - RE041"/>
    <n v="5"/>
    <n v="26.4"/>
    <n v="132"/>
    <n v="73047.560000000012"/>
    <n v="6"/>
    <s v="Se repite 6 veces"/>
    <s v="Tradiciones Andinas-T.A Pulpa de Maracuya / Passion Fruit pulp14oz x 12 FROZEN"/>
    <n v="6"/>
    <s v="Se repite 6 veces en Tradiciones Andinas"/>
    <s v="Tradiciones Andinas-T.A Pulpa de Maracuya / Passion Fruit pulp14oz x 12 FROZEN-26.4"/>
    <n v="1"/>
    <s v="No se repite"/>
    <s v="El producto T.A Pulpa de Maracuya / Passion Fruit pulp14oz x 12 FROZEN Se repite 6 veces en Tradiciones Andinas Una vez con el precio 26.4"/>
  </r>
  <r>
    <x v="3"/>
    <x v="7"/>
    <s v="Bill"/>
    <s v="492743"/>
    <x v="350"/>
    <s v="TRADICIONES ANDINAS - FROZEN -  Pulpa de Maracuya / Passion Fruit pulp -  12 / 14oz - RE041"/>
    <n v="5"/>
    <n v="26.84"/>
    <n v="134.19999999999999"/>
    <n v="115874.73999999987"/>
    <n v="6"/>
    <s v="Se repite 6 veces"/>
    <s v="Tradiciones Andinas-T.A Pulpa de Maracuya / Passion Fruit pulp14oz x 12 FROZEN"/>
    <n v="6"/>
    <s v="Se repite 6 veces en Tradiciones Andinas"/>
    <s v="Tradiciones Andinas-T.A Pulpa de Maracuya / Passion Fruit pulp14oz x 12 FROZEN-26.84"/>
    <n v="3"/>
    <s v="Se repite 3 veces el precio de 26.84"/>
    <s v="El producto T.A Pulpa de Maracuya / Passion Fruit pulp14oz x 12 FROZEN Se repite 6 veces en Tradiciones Andinas, Se repite 3 veces el precio de 26.84"/>
  </r>
  <r>
    <x v="3"/>
    <x v="13"/>
    <s v="Bill"/>
    <s v="485230"/>
    <x v="351"/>
    <s v="Pulpa de Maracuya con pepas / Passion fruit pulp with Seeds"/>
    <n v="6"/>
    <n v="26.84"/>
    <n v="161.04"/>
    <n v="74312.600000000006"/>
    <n v="3"/>
    <s v="Se repite 3 veces"/>
    <s v="Tradiciones Andinas-T.A Pulpa de Maracuya con pepas / Passion fruit pulp with Seeds"/>
    <n v="3"/>
    <s v="Se repite 3 veces en Tradiciones Andinas"/>
    <s v="Tradiciones Andinas-T.A Pulpa de Maracuya con pepas / Passion fruit pulp with Seeds-26.84"/>
    <n v="3"/>
    <s v="Se repite 3 veces el precio de 26.84"/>
    <s v="El producto T.A Pulpa de Maracuya con pepas / Passion fruit pulp with Seeds Se repite 3 veces en Tradiciones Andinas, Se repite 3 veces el precio de 26.84"/>
  </r>
  <r>
    <x v="3"/>
    <x v="6"/>
    <s v="Bill"/>
    <s v="487860"/>
    <x v="351"/>
    <s v="TRADICIONES ANDINAS- PERU -  FROZEN -  Pulpa de Maracuya con pepas / Passion fruit pulp with Seeds-  12 / 14 oz - P00235"/>
    <n v="10"/>
    <n v="26.84"/>
    <n v="268.39999999999998"/>
    <n v="89625.789999999935"/>
    <n v="3"/>
    <s v="Se repite 3 veces"/>
    <s v="Tradiciones Andinas-T.A Pulpa de Maracuya con pepas / Passion fruit pulp with Seeds"/>
    <n v="3"/>
    <s v="Se repite 3 veces en Tradiciones Andinas"/>
    <s v="Tradiciones Andinas-T.A Pulpa de Maracuya con pepas / Passion fruit pulp with Seeds-26.84"/>
    <n v="3"/>
    <s v="Se repite 3 veces el precio de 26.84"/>
    <s v="El producto T.A Pulpa de Maracuya con pepas / Passion fruit pulp with Seeds Se repite 3 veces en Tradiciones Andinas, Se repite 3 veces el precio de 26.84"/>
  </r>
  <r>
    <x v="3"/>
    <x v="7"/>
    <s v="Bill"/>
    <s v="492743"/>
    <x v="351"/>
    <s v="TRADICIONES ANDINAS- PERU -  FROZEN -  Pulpa de Maracuya con pepas / Passion fruit pulp with Seeds-  12 / 14 oz - P00235"/>
    <n v="12"/>
    <n v="26.84"/>
    <n v="322.08"/>
    <n v="116266.81999999988"/>
    <n v="3"/>
    <s v="Se repite 3 veces"/>
    <s v="Tradiciones Andinas-T.A Pulpa de Maracuya con pepas / Passion fruit pulp with Seeds"/>
    <n v="3"/>
    <s v="Se repite 3 veces en Tradiciones Andinas"/>
    <s v="Tradiciones Andinas-T.A Pulpa de Maracuya con pepas / Passion fruit pulp with Seeds-26.84"/>
    <n v="3"/>
    <s v="Se repite 3 veces el precio de 26.84"/>
    <s v="El producto T.A Pulpa de Maracuya con pepas / Passion fruit pulp with Seeds Se repite 3 veces en Tradiciones Andinas, Se repite 3 veces el precio de 26.84"/>
  </r>
  <r>
    <x v="3"/>
    <x v="32"/>
    <s v="Bill"/>
    <s v="491332"/>
    <x v="352"/>
    <s v="Quinoa Blanca  /White  Quinoa"/>
    <n v="2"/>
    <n v="38.93"/>
    <n v="77.86"/>
    <n v="95338.749999999942"/>
    <n v="2"/>
    <s v="Se repite 2 veces"/>
    <s v="Tradiciones Andinas-T.A Quinoa Blanca  /White  Quinoa"/>
    <n v="2"/>
    <s v="Se repite 2 veces en Tradiciones Andinas"/>
    <s v="Tradiciones Andinas-T.A Quinoa Blanca  /White  Quinoa-38.93"/>
    <n v="2"/>
    <s v="Se repite 2 veces el precio de 38.93"/>
    <s v="El producto T.A Quinoa Blanca  /White  Quinoa Se repite 2 veces en Tradiciones Andinas, Se repite 2 veces el precio de 38.93"/>
  </r>
  <r>
    <x v="3"/>
    <x v="7"/>
    <s v="Bill"/>
    <s v="492743"/>
    <x v="352"/>
    <s v="Quinoa Blanca  /White  Quinoa"/>
    <n v="1"/>
    <n v="38.93"/>
    <n v="38.93"/>
    <n v="106474.56999999992"/>
    <n v="2"/>
    <s v="Se repite 2 veces"/>
    <s v="Tradiciones Andinas-T.A Quinoa Blanca  /White  Quinoa"/>
    <n v="2"/>
    <s v="Se repite 2 veces en Tradiciones Andinas"/>
    <s v="Tradiciones Andinas-T.A Quinoa Blanca  /White  Quinoa-38.93"/>
    <n v="2"/>
    <s v="Se repite 2 veces el precio de 38.93"/>
    <s v="El producto T.A Quinoa Blanca  /White  Quinoa Se repite 2 veces en Tradiciones Andinas, Se repite 2 veces el precio de 38.93"/>
  </r>
  <r>
    <x v="3"/>
    <x v="9"/>
    <s v="Bill"/>
    <s v=""/>
    <x v="353"/>
    <s v="Quinoa Negra  / Black  Quinoa"/>
    <n v="2"/>
    <n v="22.68"/>
    <n v="45.36"/>
    <n v="5018.8599999999997"/>
    <n v="3"/>
    <s v="Se repite 3 veces"/>
    <s v="Tradiciones Andinas-T.A Quinoa Negra  / Black  Quinoa14oz x 12"/>
    <n v="3"/>
    <s v="Se repite 3 veces en Tradiciones Andinas"/>
    <s v="Tradiciones Andinas-T.A Quinoa Negra  / Black  Quinoa14oz x 12-22.68"/>
    <n v="3"/>
    <s v="Se repite 3 veces el precio de 22.68"/>
    <s v="El producto T.A Quinoa Negra  / Black  Quinoa14oz x 12 Se repite 3 veces en Tradiciones Andinas, Se repite 3 veces el precio de 22.68"/>
  </r>
  <r>
    <x v="3"/>
    <x v="10"/>
    <s v="Bill"/>
    <s v="476974"/>
    <x v="353"/>
    <s v="Quinoa Negra  / Black  Quinoa"/>
    <n v="2"/>
    <n v="22.68"/>
    <n v="45.36"/>
    <n v="13070.119999999999"/>
    <n v="3"/>
    <s v="Se repite 3 veces"/>
    <s v="Tradiciones Andinas-T.A Quinoa Negra  / Black  Quinoa14oz x 12"/>
    <n v="3"/>
    <s v="Se repite 3 veces en Tradiciones Andinas"/>
    <s v="Tradiciones Andinas-T.A Quinoa Negra  / Black  Quinoa14oz x 12-22.68"/>
    <n v="3"/>
    <s v="Se repite 3 veces el precio de 22.68"/>
    <s v="El producto T.A Quinoa Negra  / Black  Quinoa14oz x 12 Se repite 3 veces en Tradiciones Andinas, Se repite 3 veces el precio de 22.68"/>
  </r>
  <r>
    <x v="3"/>
    <x v="13"/>
    <s v="Bill"/>
    <s v="485230"/>
    <x v="353"/>
    <s v="TRADICIONES ANDINAS - PERU -  HEALTHY  PRODUCTS -  Quinoa Negra  / Black  Quinoa -  12 / 14oz - P00404"/>
    <n v="2"/>
    <n v="22.68"/>
    <n v="45.36"/>
    <n v="69600.240000000005"/>
    <n v="3"/>
    <s v="Se repite 3 veces"/>
    <s v="Tradiciones Andinas-T.A Quinoa Negra  / Black  Quinoa14oz x 12"/>
    <n v="3"/>
    <s v="Se repite 3 veces en Tradiciones Andinas"/>
    <s v="Tradiciones Andinas-T.A Quinoa Negra  / Black  Quinoa14oz x 12-22.68"/>
    <n v="3"/>
    <s v="Se repite 3 veces el precio de 22.68"/>
    <s v="El producto T.A Quinoa Negra  / Black  Quinoa14oz x 12 Se repite 3 veces en Tradiciones Andinas, Se repite 3 veces el precio de 22.68"/>
  </r>
  <r>
    <x v="3"/>
    <x v="9"/>
    <s v="Bill"/>
    <s v=""/>
    <x v="354"/>
    <s v="Quinoa Tricolor  / Tri-Color Quinoa"/>
    <n v="2"/>
    <n v="22.68"/>
    <n v="45.36"/>
    <n v="5064.2199999999993"/>
    <n v="2"/>
    <s v="Se repite 2 veces"/>
    <s v="Tradiciones Andinas-T.A Quinoa Tricolor  / Tri-Color Quinoa14oz x 12"/>
    <n v="2"/>
    <s v="Se repite 2 veces en Tradiciones Andinas"/>
    <s v="Tradiciones Andinas-T.A Quinoa Tricolor  / Tri-Color Quinoa14oz x 12-22.68"/>
    <n v="2"/>
    <s v="Se repite 2 veces el precio de 22.68"/>
    <s v="El producto T.A Quinoa Tricolor  / Tri-Color Quinoa14oz x 12 Se repite 2 veces en Tradiciones Andinas, Se repite 2 veces el precio de 22.68"/>
  </r>
  <r>
    <x v="3"/>
    <x v="10"/>
    <s v="Bill"/>
    <s v="476974"/>
    <x v="354"/>
    <s v="Quinoa Tricolor  / Tri-Color Quinoa"/>
    <n v="2"/>
    <n v="22.68"/>
    <n v="45.36"/>
    <n v="13115.48"/>
    <n v="2"/>
    <s v="Se repite 2 veces"/>
    <s v="Tradiciones Andinas-T.A Quinoa Tricolor  / Tri-Color Quinoa14oz x 12"/>
    <n v="2"/>
    <s v="Se repite 2 veces en Tradiciones Andinas"/>
    <s v="Tradiciones Andinas-T.A Quinoa Tricolor  / Tri-Color Quinoa14oz x 12-22.68"/>
    <n v="2"/>
    <s v="Se repite 2 veces el precio de 22.68"/>
    <s v="El producto T.A Quinoa Tricolor  / Tri-Color Quinoa14oz x 12 Se repite 2 veces en Tradiciones Andinas, Se repite 2 veces el precio de 22.68"/>
  </r>
  <r>
    <x v="3"/>
    <x v="33"/>
    <s v="Bill"/>
    <s v="475144"/>
    <x v="355"/>
    <s v="Quinua /Quinoa"/>
    <n v="2"/>
    <n v="40.159999999999997"/>
    <n v="80.319999999999993"/>
    <n v="1381.8799999999999"/>
    <n v="4"/>
    <s v="Se repite 4 veces"/>
    <s v="Tradiciones Andinas-T.A Quinua /Quinoa 15oz x 24"/>
    <n v="4"/>
    <s v="Se repite 4 veces en Tradiciones Andinas"/>
    <s v="Tradiciones Andinas-T.A Quinua /Quinoa 15oz x 24-40.16"/>
    <n v="4"/>
    <s v="Se repite 4 veces el precio de 40.16"/>
    <s v="El producto T.A Quinua /Quinoa 15oz x 24 Se repite 4 veces en Tradiciones Andinas, Se repite 4 veces el precio de 40.16"/>
  </r>
  <r>
    <x v="3"/>
    <x v="10"/>
    <s v="Bill"/>
    <s v="476974"/>
    <x v="355"/>
    <s v="Quinua /Quinoa"/>
    <n v="6"/>
    <n v="40.159999999999997"/>
    <n v="240.96"/>
    <n v="11924.359999999997"/>
    <n v="4"/>
    <s v="Se repite 4 veces"/>
    <s v="Tradiciones Andinas-T.A Quinua /Quinoa 15oz x 24"/>
    <n v="4"/>
    <s v="Se repite 4 veces en Tradiciones Andinas"/>
    <s v="Tradiciones Andinas-T.A Quinua /Quinoa 15oz x 24-40.16"/>
    <n v="4"/>
    <s v="Se repite 4 veces el precio de 40.16"/>
    <s v="El producto T.A Quinua /Quinoa 15oz x 24 Se repite 4 veces en Tradiciones Andinas, Se repite 4 veces el precio de 40.16"/>
  </r>
  <r>
    <x v="3"/>
    <x v="13"/>
    <s v="Bill"/>
    <s v="485230"/>
    <x v="355"/>
    <s v="TRADICIONES ANDINAS - PERU -  BOLSA -  Quinua /Quinoa-  24 / 15oz - P00172"/>
    <n v="2"/>
    <n v="40.159999999999997"/>
    <n v="80.319999999999993"/>
    <n v="68932.680000000022"/>
    <n v="4"/>
    <s v="Se repite 4 veces"/>
    <s v="Tradiciones Andinas-T.A Quinua /Quinoa 15oz x 24"/>
    <n v="4"/>
    <s v="Se repite 4 veces en Tradiciones Andinas"/>
    <s v="Tradiciones Andinas-T.A Quinua /Quinoa 15oz x 24-40.16"/>
    <n v="4"/>
    <s v="Se repite 4 veces el precio de 40.16"/>
    <s v="El producto T.A Quinua /Quinoa 15oz x 24 Se repite 4 veces en Tradiciones Andinas, Se repite 4 veces el precio de 40.16"/>
  </r>
  <r>
    <x v="3"/>
    <x v="6"/>
    <s v="Bill"/>
    <s v="487860"/>
    <x v="355"/>
    <s v="TRADICIONES ANDINAS - PERU -  BOLSA -  Quinua /Quinoa-  24 / 15oz - P00172"/>
    <n v="2"/>
    <n v="40.159999999999997"/>
    <n v="80.319999999999993"/>
    <n v="78831.219999999987"/>
    <n v="4"/>
    <s v="Se repite 4 veces"/>
    <s v="Tradiciones Andinas-T.A Quinua /Quinoa 15oz x 24"/>
    <n v="4"/>
    <s v="Se repite 4 veces en Tradiciones Andinas"/>
    <s v="Tradiciones Andinas-T.A Quinua /Quinoa 15oz x 24-40.16"/>
    <n v="4"/>
    <s v="Se repite 4 veces el precio de 40.16"/>
    <s v="El producto T.A Quinua /Quinoa 15oz x 24 Se repite 4 veces en Tradiciones Andinas, Se repite 4 veces el precio de 40.16"/>
  </r>
  <r>
    <x v="3"/>
    <x v="5"/>
    <s v="Bill"/>
    <s v="482005"/>
    <x v="356"/>
    <s v="Rocoto en Lata /Red Hot Peppers Halves"/>
    <n v="2"/>
    <n v="51.1"/>
    <n v="102.2"/>
    <n v="48116.869999999974"/>
    <n v="2"/>
    <s v="Se repite 2 veces"/>
    <s v="Tradiciones Andinas-T.A Rocoto en Lata /Red Hot Peppers Halves"/>
    <n v="2"/>
    <s v="Se repite 2 veces en Tradiciones Andinas"/>
    <s v="Tradiciones Andinas-T.A Rocoto en Lata /Red Hot Peppers Halves-51.1"/>
    <n v="2"/>
    <s v="Se repite 2 veces el precio de 51.1"/>
    <s v="El producto T.A Rocoto en Lata /Red Hot Peppers Halves Se repite 2 veces en Tradiciones Andinas, Se repite 2 veces el precio de 51.1"/>
  </r>
  <r>
    <x v="3"/>
    <x v="13"/>
    <s v="Bill"/>
    <s v="485230"/>
    <x v="356"/>
    <s v="Rocoto en Lata /Red Hot Peppers Halves"/>
    <n v="1"/>
    <n v="51.1"/>
    <n v="51.1"/>
    <n v="68465.060000000012"/>
    <n v="2"/>
    <s v="Se repite 2 veces"/>
    <s v="Tradiciones Andinas-T.A Rocoto en Lata /Red Hot Peppers Halves"/>
    <n v="2"/>
    <s v="Se repite 2 veces en Tradiciones Andinas"/>
    <s v="Tradiciones Andinas-T.A Rocoto en Lata /Red Hot Peppers Halves-51.1"/>
    <n v="2"/>
    <s v="Se repite 2 veces el precio de 51.1"/>
    <s v="El producto T.A Rocoto en Lata /Red Hot Peppers Halves Se repite 2 veces en Tradiciones Andinas, Se repite 2 veces el precio de 51.1"/>
  </r>
  <r>
    <x v="3"/>
    <x v="33"/>
    <s v="Bill"/>
    <s v="475144"/>
    <x v="357"/>
    <s v="Rocoto Pasta /Red Hot Peppers Paste"/>
    <n v="2"/>
    <n v="30.96"/>
    <n v="61.92"/>
    <n v="177.12"/>
    <n v="7"/>
    <s v="Se repite 7 veces"/>
    <s v="Tradiciones Andinas-T.A Rocoto en pasta 7.5oz x 24"/>
    <n v="7"/>
    <s v="Se repite 7 veces en Tradiciones Andinas"/>
    <s v="Tradiciones Andinas-T.A Rocoto en pasta 7.5oz x 24-30.96"/>
    <n v="3"/>
    <s v="Se repite 3 veces el precio de 30.96"/>
    <s v="El producto T.A Rocoto en pasta 7.5oz x 24 Se repite 7 veces en Tradiciones Andinas, Se repite 3 veces el precio de 30.96"/>
  </r>
  <r>
    <x v="3"/>
    <x v="9"/>
    <s v="Bill"/>
    <s v=""/>
    <x v="357"/>
    <s v="Rocoto Pasta /Red Hot Peppers Paste"/>
    <n v="2"/>
    <n v="30.96"/>
    <n v="61.92"/>
    <n v="3523.6399999999994"/>
    <n v="7"/>
    <s v="Se repite 7 veces"/>
    <s v="Tradiciones Andinas-T.A Rocoto en pasta 7.5oz x 24"/>
    <n v="7"/>
    <s v="Se repite 7 veces en Tradiciones Andinas"/>
    <s v="Tradiciones Andinas-T.A Rocoto en pasta 7.5oz x 24-30.96"/>
    <n v="3"/>
    <s v="Se repite 3 veces el precio de 30.96"/>
    <s v="El producto T.A Rocoto en pasta 7.5oz x 24 Se repite 7 veces en Tradiciones Andinas, Se repite 3 veces el precio de 30.96"/>
  </r>
  <r>
    <x v="3"/>
    <x v="10"/>
    <s v="Bill"/>
    <s v="476974"/>
    <x v="357"/>
    <s v="Rocoto Pasta /Red Hot Peppers Paste"/>
    <n v="6"/>
    <n v="30.96"/>
    <n v="185.76"/>
    <n v="8677.9199999999983"/>
    <n v="7"/>
    <s v="Se repite 7 veces"/>
    <s v="Tradiciones Andinas-T.A Rocoto en pasta 7.5oz x 24"/>
    <n v="7"/>
    <s v="Se repite 7 veces en Tradiciones Andinas"/>
    <s v="Tradiciones Andinas-T.A Rocoto en pasta 7.5oz x 24-30.96"/>
    <n v="3"/>
    <s v="Se repite 3 veces el precio de 30.96"/>
    <s v="El producto T.A Rocoto en pasta 7.5oz x 24 Se repite 7 veces en Tradiciones Andinas, Se repite 3 veces el precio de 30.96"/>
  </r>
  <r>
    <x v="3"/>
    <x v="5"/>
    <s v="Bill"/>
    <s v="482005"/>
    <x v="357"/>
    <s v="TRADICIONES ANDINAS - PERU -  VIDRIO -  Rocoto en Pasta /Red Hot Peppers Paste -  24 / 7.5oz - P00122"/>
    <n v="2"/>
    <n v="33.119999999999997"/>
    <n v="66.239999999999995"/>
    <n v="46171.209999999985"/>
    <n v="7"/>
    <s v="Se repite 7 veces"/>
    <s v="Tradiciones Andinas-T.A Rocoto en pasta 7.5oz x 24"/>
    <n v="7"/>
    <s v="Se repite 7 veces en Tradiciones Andinas"/>
    <s v="Tradiciones Andinas-T.A Rocoto en pasta 7.5oz x 24-33.12"/>
    <n v="4"/>
    <s v="Se repite 4 veces el precio de 33.12"/>
    <s v="El producto T.A Rocoto en pasta 7.5oz x 24 Se repite 7 veces en Tradiciones Andinas, Se repite 4 veces el precio de 33.12"/>
  </r>
  <r>
    <x v="3"/>
    <x v="13"/>
    <s v="Bill"/>
    <s v="485230"/>
    <x v="357"/>
    <s v="TRADICIONES ANDINAS - PERU -  VIDRIO -  Rocoto en Pasta /Red Hot Peppers Paste -  24 / 7.5oz - P00122"/>
    <n v="2"/>
    <n v="33.119999999999997"/>
    <n v="66.239999999999995"/>
    <n v="67105.779999999984"/>
    <n v="7"/>
    <s v="Se repite 7 veces"/>
    <s v="Tradiciones Andinas-T.A Rocoto en pasta 7.5oz x 24"/>
    <n v="7"/>
    <s v="Se repite 7 veces en Tradiciones Andinas"/>
    <s v="Tradiciones Andinas-T.A Rocoto en pasta 7.5oz x 24-33.12"/>
    <n v="4"/>
    <s v="Se repite 4 veces el precio de 33.12"/>
    <s v="El producto T.A Rocoto en pasta 7.5oz x 24 Se repite 7 veces en Tradiciones Andinas, Se repite 4 veces el precio de 33.12"/>
  </r>
  <r>
    <x v="3"/>
    <x v="6"/>
    <s v="Bill"/>
    <s v="487860"/>
    <x v="357"/>
    <s v="TRADICIONES ANDINAS - PERU -  VIDRIO -  Rocoto en Pasta /Red Hot Peppers Paste -  24 / 7.5oz - P00122"/>
    <n v="4"/>
    <n v="33.119999999999997"/>
    <n v="132.47999999999999"/>
    <n v="74876.56"/>
    <n v="7"/>
    <s v="Se repite 7 veces"/>
    <s v="Tradiciones Andinas-T.A Rocoto en pasta 7.5oz x 24"/>
    <n v="7"/>
    <s v="Se repite 7 veces en Tradiciones Andinas"/>
    <s v="Tradiciones Andinas-T.A Rocoto en pasta 7.5oz x 24-33.12"/>
    <n v="4"/>
    <s v="Se repite 4 veces el precio de 33.12"/>
    <s v="El producto T.A Rocoto en pasta 7.5oz x 24 Se repite 7 veces en Tradiciones Andinas, Se repite 4 veces el precio de 33.12"/>
  </r>
  <r>
    <x v="3"/>
    <x v="7"/>
    <s v="Bill"/>
    <s v="492743"/>
    <x v="357"/>
    <s v="TRADICIONES ANDINAS - PERU -  VIDRIO -  Rocoto en Pasta /Red Hot Peppers Paste -  24 / 7.5oz - P00122"/>
    <n v="3"/>
    <n v="33.119999999999997"/>
    <n v="99.36"/>
    <n v="105414.09999999993"/>
    <n v="7"/>
    <s v="Se repite 7 veces"/>
    <s v="Tradiciones Andinas-T.A Rocoto en pasta 7.5oz x 24"/>
    <n v="7"/>
    <s v="Se repite 7 veces en Tradiciones Andinas"/>
    <s v="Tradiciones Andinas-T.A Rocoto en pasta 7.5oz x 24-33.12"/>
    <n v="4"/>
    <s v="Se repite 4 veces el precio de 33.12"/>
    <s v="El producto T.A Rocoto en pasta 7.5oz x 24 Se repite 7 veces en Tradiciones Andinas, Se repite 4 veces el precio de 33.12"/>
  </r>
  <r>
    <x v="3"/>
    <x v="11"/>
    <s v="Bill"/>
    <s v="478734"/>
    <x v="358"/>
    <s v="TRADICIONES ANDINAS - PERU -  VIDRIO -  Rocoto en Salmuera /Red Hot Peppers Halves -  12 / 20oz - P00144"/>
    <n v="2"/>
    <n v="32"/>
    <n v="64"/>
    <n v="25442.669999999995"/>
    <n v="1"/>
    <s v="No se repite"/>
    <s v="Tradiciones Andinas-T.A Rocoto en Salmuera /Red Hot Peppers Halves"/>
    <n v="1"/>
    <s v="No se repite en proveedor"/>
    <s v="Tradiciones Andinas-T.A Rocoto en Salmuera /Red Hot Peppers Halves-32"/>
    <n v="1"/>
    <s v="No se repite"/>
    <s v="El producto T.A Rocoto en Salmuera /Red Hot Peppers Halves No se repite en proveedor Una vez con el precio 32"/>
  </r>
  <r>
    <x v="3"/>
    <x v="33"/>
    <s v="Bill"/>
    <s v="475144"/>
    <x v="359"/>
    <s v="Rocoto Entero / Red Hot Pepper"/>
    <n v="1"/>
    <n v="50"/>
    <n v="50"/>
    <n v="2772.8599999999997"/>
    <n v="6"/>
    <s v="Se repite 6 veces"/>
    <s v="Tradiciones Andinas-T.A Rocoto Entero / Red Hot Pepper FROZEN 16oz x 20"/>
    <n v="6"/>
    <s v="Se repite 6 veces en Tradiciones Andinas"/>
    <s v="Tradiciones Andinas-T.A Rocoto Entero / Red Hot Pepper FROZEN 16oz x 20-50"/>
    <n v="2"/>
    <s v="Se repite 2 veces el precio de 50"/>
    <s v="El producto T.A Rocoto Entero / Red Hot Pepper FROZEN 16oz x 20 Se repite 6 veces en Tradiciones Andinas, Se repite 2 veces el precio de 50"/>
  </r>
  <r>
    <x v="3"/>
    <x v="10"/>
    <s v="Bill"/>
    <s v="476974"/>
    <x v="359"/>
    <s v="Rocoto Entero / Red Hot Pepper"/>
    <n v="1"/>
    <n v="50"/>
    <n v="50"/>
    <n v="22761.54"/>
    <n v="6"/>
    <s v="Se repite 6 veces"/>
    <s v="Tradiciones Andinas-T.A Rocoto Entero / Red Hot Pepper FROZEN 16oz x 20"/>
    <n v="6"/>
    <s v="Se repite 6 veces en Tradiciones Andinas"/>
    <s v="Tradiciones Andinas-T.A Rocoto Entero / Red Hot Pepper FROZEN 16oz x 20-50"/>
    <n v="2"/>
    <s v="Se repite 2 veces el precio de 50"/>
    <s v="El producto T.A Rocoto Entero / Red Hot Pepper FROZEN 16oz x 20 Se repite 6 veces en Tradiciones Andinas, Se repite 2 veces el precio de 50"/>
  </r>
  <r>
    <x v="3"/>
    <x v="11"/>
    <s v="Bill"/>
    <s v="478734"/>
    <x v="359"/>
    <s v="TRADICIONES ANDINAS- PERU -  FROZEN -  Rocoto Entero / Red Hot Pepper  -  20 / 16oz - P00112"/>
    <n v="8"/>
    <n v="53.5"/>
    <n v="428"/>
    <n v="33545.360000000008"/>
    <n v="6"/>
    <s v="Se repite 6 veces"/>
    <s v="Tradiciones Andinas-T.A Rocoto Entero / Red Hot Pepper FROZEN 16oz x 20"/>
    <n v="6"/>
    <s v="Se repite 6 veces en Tradiciones Andinas"/>
    <s v="Tradiciones Andinas-T.A Rocoto Entero / Red Hot Pepper FROZEN 16oz x 20-53.5"/>
    <n v="4"/>
    <s v="Se repite 4 veces el precio de 53.5"/>
    <s v="El producto T.A Rocoto Entero / Red Hot Pepper FROZEN 16oz x 20 Se repite 6 veces en Tradiciones Andinas, Se repite 4 veces el precio de 53.5"/>
  </r>
  <r>
    <x v="3"/>
    <x v="4"/>
    <s v="Bill"/>
    <s v="480295"/>
    <x v="359"/>
    <s v="TRADICIONES ANDINAS- PERU -  FROZEN -  Rocoto Entero / Red Hot Pepper  -  20 / 16oz - P00112"/>
    <n v="10"/>
    <n v="53.5"/>
    <n v="535"/>
    <n v="41942.499999999993"/>
    <n v="6"/>
    <s v="Se repite 6 veces"/>
    <s v="Tradiciones Andinas-T.A Rocoto Entero / Red Hot Pepper FROZEN 16oz x 20"/>
    <n v="6"/>
    <s v="Se repite 6 veces en Tradiciones Andinas"/>
    <s v="Tradiciones Andinas-T.A Rocoto Entero / Red Hot Pepper FROZEN 16oz x 20-53.5"/>
    <n v="4"/>
    <s v="Se repite 4 veces el precio de 53.5"/>
    <s v="El producto T.A Rocoto Entero / Red Hot Pepper FROZEN 16oz x 20 Se repite 6 veces en Tradiciones Andinas, Se repite 4 veces el precio de 53.5"/>
  </r>
  <r>
    <x v="3"/>
    <x v="6"/>
    <s v="Bill"/>
    <s v="487860"/>
    <x v="359"/>
    <s v="TRADICIONES ANDINAS- PERU -  FROZEN -  Rocoto Entero / Red Hot Pepper  -  20 / 16oz - P00112"/>
    <n v="10"/>
    <n v="53.5"/>
    <n v="535"/>
    <n v="86843.819999999934"/>
    <n v="6"/>
    <s v="Se repite 6 veces"/>
    <s v="Tradiciones Andinas-T.A Rocoto Entero / Red Hot Pepper FROZEN 16oz x 20"/>
    <n v="6"/>
    <s v="Se repite 6 veces en Tradiciones Andinas"/>
    <s v="Tradiciones Andinas-T.A Rocoto Entero / Red Hot Pepper FROZEN 16oz x 20-53.5"/>
    <n v="4"/>
    <s v="Se repite 4 veces el precio de 53.5"/>
    <s v="El producto T.A Rocoto Entero / Red Hot Pepper FROZEN 16oz x 20 Se repite 6 veces en Tradiciones Andinas, Se repite 4 veces el precio de 53.5"/>
  </r>
  <r>
    <x v="3"/>
    <x v="7"/>
    <s v="Bill"/>
    <s v="492743"/>
    <x v="359"/>
    <s v="TRADICIONES ANDINAS- PERU -  FROZEN -  Rocoto Entero / Red Hot Pepper  -  20 / 16oz - P00112"/>
    <n v="10"/>
    <n v="53.5"/>
    <n v="535"/>
    <n v="114425.95999999988"/>
    <n v="6"/>
    <s v="Se repite 6 veces"/>
    <s v="Tradiciones Andinas-T.A Rocoto Entero / Red Hot Pepper FROZEN 16oz x 20"/>
    <n v="6"/>
    <s v="Se repite 6 veces en Tradiciones Andinas"/>
    <s v="Tradiciones Andinas-T.A Rocoto Entero / Red Hot Pepper FROZEN 16oz x 20-53.5"/>
    <n v="4"/>
    <s v="Se repite 4 veces el precio de 53.5"/>
    <s v="El producto T.A Rocoto Entero / Red Hot Pepper FROZEN 16oz x 20 Se repite 6 veces en Tradiciones Andinas, Se repite 4 veces el precio de 53.5"/>
  </r>
  <r>
    <x v="3"/>
    <x v="33"/>
    <s v="Bill"/>
    <s v="475144"/>
    <x v="360"/>
    <s v="Rocoto Pasta / Red Hot Peppers Paste"/>
    <n v="1"/>
    <n v="23.88"/>
    <n v="23.88"/>
    <n v="405.00000000000006"/>
    <n v="3"/>
    <s v="Se repite 3 veces"/>
    <s v="Tradiciones Andinas-T.A Rocoto Pasta 10.5oz x 12"/>
    <n v="3"/>
    <s v="Se repite 3 veces en Tradiciones Andinas"/>
    <s v="Tradiciones Andinas-T.A Rocoto Pasta 10.5oz x 12-23.88"/>
    <n v="3"/>
    <s v="Se repite 3 veces el precio de 23.88"/>
    <s v="El producto T.A Rocoto Pasta 10.5oz x 12 Se repite 3 veces en Tradiciones Andinas, Se repite 3 veces el precio de 23.88"/>
  </r>
  <r>
    <x v="3"/>
    <x v="9"/>
    <s v="Bill"/>
    <s v=""/>
    <x v="360"/>
    <s v="Rocoto Pasta / Red Hot Peppers Paste"/>
    <n v="2"/>
    <n v="23.88"/>
    <n v="47.76"/>
    <n v="3775.3999999999996"/>
    <n v="3"/>
    <s v="Se repite 3 veces"/>
    <s v="Tradiciones Andinas-T.A Rocoto Pasta 10.5oz x 12"/>
    <n v="3"/>
    <s v="Se repite 3 veces en Tradiciones Andinas"/>
    <s v="Tradiciones Andinas-T.A Rocoto Pasta 10.5oz x 12-23.88"/>
    <n v="3"/>
    <s v="Se repite 3 veces el precio de 23.88"/>
    <s v="El producto T.A Rocoto Pasta 10.5oz x 12 Se repite 3 veces en Tradiciones Andinas, Se repite 3 veces el precio de 23.88"/>
  </r>
  <r>
    <x v="3"/>
    <x v="10"/>
    <s v="Bill"/>
    <s v="476974"/>
    <x v="360"/>
    <s v="Rocoto Pasta / Red Hot Peppers Paste"/>
    <n v="4"/>
    <n v="23.88"/>
    <n v="95.52"/>
    <n v="9553.1999999999971"/>
    <n v="3"/>
    <s v="Se repite 3 veces"/>
    <s v="Tradiciones Andinas-T.A Rocoto Pasta 10.5oz x 12"/>
    <n v="3"/>
    <s v="Se repite 3 veces en Tradiciones Andinas"/>
    <s v="Tradiciones Andinas-T.A Rocoto Pasta 10.5oz x 12-23.88"/>
    <n v="3"/>
    <s v="Se repite 3 veces el precio de 23.88"/>
    <s v="El producto T.A Rocoto Pasta 10.5oz x 12 Se repite 3 veces en Tradiciones Andinas, Se repite 3 veces el precio de 23.88"/>
  </r>
  <r>
    <x v="3"/>
    <x v="33"/>
    <s v="Bill"/>
    <s v="475144"/>
    <x v="361"/>
    <s v="Tradiciones Andinas Rocoto Pasta 15oz X 12 fco vidrio"/>
    <n v="2"/>
    <n v="27.48"/>
    <n v="54.96"/>
    <n v="593.88000000000011"/>
    <n v="4"/>
    <s v="Se repite 4 veces"/>
    <s v="Tradiciones Andinas-T.A Rocoto Pasta 15oz X 12"/>
    <n v="4"/>
    <s v="Se repite 4 veces en Tradiciones Andinas"/>
    <s v="Tradiciones Andinas-T.A Rocoto Pasta 15oz X 12-27.48"/>
    <n v="2"/>
    <s v="Se repite 2 veces el precio de 27.48"/>
    <s v="El producto T.A Rocoto Pasta 15oz X 12 Se repite 4 veces en Tradiciones Andinas, Se repite 2 veces el precio de 27.48"/>
  </r>
  <r>
    <x v="3"/>
    <x v="9"/>
    <s v="Bill"/>
    <s v=""/>
    <x v="361"/>
    <s v="Tradiciones Andinas Rocoto Pasta 15oz X 12 fco vidrio"/>
    <n v="1"/>
    <n v="27.48"/>
    <n v="27.48"/>
    <n v="3936.7999999999997"/>
    <n v="4"/>
    <s v="Se repite 4 veces"/>
    <s v="Tradiciones Andinas-T.A Rocoto Pasta 15oz X 12"/>
    <n v="4"/>
    <s v="Se repite 4 veces en Tradiciones Andinas"/>
    <s v="Tradiciones Andinas-T.A Rocoto Pasta 15oz X 12-27.48"/>
    <n v="2"/>
    <s v="Se repite 2 veces el precio de 27.48"/>
    <s v="El producto T.A Rocoto Pasta 15oz X 12 Se repite 4 veces en Tradiciones Andinas, Se repite 2 veces el precio de 27.48"/>
  </r>
  <r>
    <x v="3"/>
    <x v="5"/>
    <s v="Bill"/>
    <s v="482005"/>
    <x v="361"/>
    <s v="Tradiciones Andinas Rocoto Pasta 15oz X 12 fco vidrio"/>
    <n v="3"/>
    <n v="29.4"/>
    <n v="88.2"/>
    <n v="46620.669999999976"/>
    <n v="4"/>
    <s v="Se repite 4 veces"/>
    <s v="Tradiciones Andinas-T.A Rocoto Pasta 15oz X 12"/>
    <n v="4"/>
    <s v="Se repite 4 veces en Tradiciones Andinas"/>
    <s v="Tradiciones Andinas-T.A Rocoto Pasta 15oz X 12-29.4"/>
    <n v="2"/>
    <s v="Se repite 2 veces el precio de 29.4"/>
    <s v="El producto T.A Rocoto Pasta 15oz X 12 Se repite 4 veces en Tradiciones Andinas, Se repite 2 veces el precio de 29.4"/>
  </r>
  <r>
    <x v="3"/>
    <x v="13"/>
    <s v="Bill"/>
    <s v="485230"/>
    <x v="361"/>
    <s v="Tradiciones Andinas Rocoto Pasta 15oz X 12 fco vidrio"/>
    <n v="1"/>
    <n v="29.4"/>
    <n v="29.4"/>
    <n v="67966.98000000001"/>
    <n v="4"/>
    <s v="Se repite 4 veces"/>
    <s v="Tradiciones Andinas-T.A Rocoto Pasta 15oz X 12"/>
    <n v="4"/>
    <s v="Se repite 4 veces en Tradiciones Andinas"/>
    <s v="Tradiciones Andinas-T.A Rocoto Pasta 15oz X 12-29.4"/>
    <n v="2"/>
    <s v="Se repite 2 veces el precio de 29.4"/>
    <s v="El producto T.A Rocoto Pasta 15oz X 12 Se repite 4 veces en Tradiciones Andinas, Se repite 2 veces el precio de 29.4"/>
  </r>
  <r>
    <x v="3"/>
    <x v="10"/>
    <s v="Bill"/>
    <s v="476974"/>
    <x v="362"/>
    <s v="Salsa Parrillera /BBQ Seasoning"/>
    <n v="2"/>
    <n v="27"/>
    <n v="54"/>
    <n v="9794.159999999998"/>
    <n v="5"/>
    <s v="Se repite 5 veces"/>
    <s v="Tradiciones Andinas-T.A Salsa Parrillera /BBQ Seasoning 15oz x 12"/>
    <n v="5"/>
    <s v="Se repite 5 veces en Tradiciones Andinas"/>
    <s v="Tradiciones Andinas-T.A Salsa Parrillera /BBQ Seasoning 15oz x 12-27"/>
    <n v="1"/>
    <s v="No se repite"/>
    <s v="El producto T.A Salsa Parrillera /BBQ Seasoning 15oz x 12 Se repite 5 veces en Tradiciones Andinas Una vez con el precio 27"/>
  </r>
  <r>
    <x v="3"/>
    <x v="4"/>
    <s v="Bill"/>
    <s v="480295"/>
    <x v="362"/>
    <s v="TRADICIONES ANDINAS - PERU -  VIDRIO -  Salsa Parrillera /BBQ Seasoning -  12 / 15oz - P0277"/>
    <n v="3"/>
    <n v="28.89"/>
    <n v="86.67"/>
    <n v="35106.310000000005"/>
    <n v="5"/>
    <s v="Se repite 5 veces"/>
    <s v="Tradiciones Andinas-T.A Salsa Parrillera /BBQ Seasoning 15oz x 12"/>
    <n v="5"/>
    <s v="Se repite 5 veces en Tradiciones Andinas"/>
    <s v="Tradiciones Andinas-T.A Salsa Parrillera /BBQ Seasoning 15oz x 12-28.89"/>
    <n v="2"/>
    <s v="Se repite 2 veces el precio de 28.89"/>
    <s v="El producto T.A Salsa Parrillera /BBQ Seasoning 15oz x 12 Se repite 5 veces en Tradiciones Andinas, Se repite 2 veces el precio de 28.89"/>
  </r>
  <r>
    <x v="3"/>
    <x v="5"/>
    <s v="Bill"/>
    <s v="482005"/>
    <x v="362"/>
    <s v="TRADICIONES ANDINAS - PERU -  VIDRIO -  Salsa Parrillera /BBQ Seasoning -  12 / 15oz - P0277"/>
    <n v="2"/>
    <n v="28.88"/>
    <n v="57.76"/>
    <n v="46678.429999999978"/>
    <n v="5"/>
    <s v="Se repite 5 veces"/>
    <s v="Tradiciones Andinas-T.A Salsa Parrillera /BBQ Seasoning 15oz x 12"/>
    <n v="5"/>
    <s v="Se repite 5 veces en Tradiciones Andinas"/>
    <s v="Tradiciones Andinas-T.A Salsa Parrillera /BBQ Seasoning 15oz x 12-28.88"/>
    <n v="2"/>
    <s v="Se repite 2 veces el precio de 28.88"/>
    <s v="El producto T.A Salsa Parrillera /BBQ Seasoning 15oz x 12 Se repite 5 veces en Tradiciones Andinas, Se repite 2 veces el precio de 28.88"/>
  </r>
  <r>
    <x v="3"/>
    <x v="13"/>
    <s v="Bill"/>
    <s v="485230"/>
    <x v="362"/>
    <s v="TRADICIONES ANDINAS - PERU -  VIDRIO -  Salsa Parrillera /BBQ Seasoning -  12 / 15oz - P0277"/>
    <n v="2"/>
    <n v="28.89"/>
    <n v="57.78"/>
    <n v="68096.52"/>
    <n v="5"/>
    <s v="Se repite 5 veces"/>
    <s v="Tradiciones Andinas-T.A Salsa Parrillera /BBQ Seasoning 15oz x 12"/>
    <n v="5"/>
    <s v="Se repite 5 veces en Tradiciones Andinas"/>
    <s v="Tradiciones Andinas-T.A Salsa Parrillera /BBQ Seasoning 15oz x 12-28.89"/>
    <n v="2"/>
    <s v="Se repite 2 veces el precio de 28.89"/>
    <s v="El producto T.A Salsa Parrillera /BBQ Seasoning 15oz x 12 Se repite 5 veces en Tradiciones Andinas, Se repite 2 veces el precio de 28.89"/>
  </r>
  <r>
    <x v="3"/>
    <x v="6"/>
    <s v="Bill"/>
    <s v="487860"/>
    <x v="362"/>
    <s v="TRADICIONES ANDINAS - PERU -  VIDRIO -  Salsa Parrillera /BBQ Seasoning -  12 / 15oz - P0277"/>
    <n v="2"/>
    <n v="28.88"/>
    <n v="57.76"/>
    <n v="75707.859999999986"/>
    <n v="5"/>
    <s v="Se repite 5 veces"/>
    <s v="Tradiciones Andinas-T.A Salsa Parrillera /BBQ Seasoning 15oz x 12"/>
    <n v="5"/>
    <s v="Se repite 5 veces en Tradiciones Andinas"/>
    <s v="Tradiciones Andinas-T.A Salsa Parrillera /BBQ Seasoning 15oz x 12-28.88"/>
    <n v="2"/>
    <s v="Se repite 2 veces el precio de 28.88"/>
    <s v="El producto T.A Salsa Parrillera /BBQ Seasoning 15oz x 12 Se repite 5 veces en Tradiciones Andinas, Se repite 2 veces el precio de 28.88"/>
  </r>
  <r>
    <x v="3"/>
    <x v="10"/>
    <s v="Bill"/>
    <s v="476974"/>
    <x v="363"/>
    <s v="Salsa Pollo A La Brasa /Grill Chicken Seasoning"/>
    <n v="2"/>
    <n v="27"/>
    <n v="54"/>
    <n v="9998.6399999999976"/>
    <n v="4"/>
    <s v="Se repite 4 veces"/>
    <s v="Tradiciones Andinas-T.A Salsa Pollo A La Brasa /Grill Chicken Seasoning 15oz x 12"/>
    <n v="4"/>
    <s v="Se repite 4 veces en Tradiciones Andinas"/>
    <s v="Tradiciones Andinas-T.A Salsa Pollo A La Brasa /Grill Chicken Seasoning 15oz x 12-27"/>
    <n v="1"/>
    <s v="No se repite"/>
    <s v="El producto T.A Salsa Pollo A La Brasa /Grill Chicken Seasoning 15oz x 12 Se repite 4 veces en Tradiciones Andinas Una vez con el precio 27"/>
  </r>
  <r>
    <x v="3"/>
    <x v="11"/>
    <s v="Bill"/>
    <s v="478734"/>
    <x v="363"/>
    <s v="TRADICIONES ANDINAS - PERU -  VIDRIO -  Salsa Pollo A La Brasa /Grill Chicken Seasoning -  12 / 15oz - P0285"/>
    <n v="3"/>
    <n v="28.89"/>
    <n v="86.67"/>
    <n v="24981.869999999995"/>
    <n v="4"/>
    <s v="Se repite 4 veces"/>
    <s v="Tradiciones Andinas-T.A Salsa Pollo A La Brasa /Grill Chicken Seasoning 15oz x 12"/>
    <n v="4"/>
    <s v="Se repite 4 veces en Tradiciones Andinas"/>
    <s v="Tradiciones Andinas-T.A Salsa Pollo A La Brasa /Grill Chicken Seasoning 15oz x 12-28.89"/>
    <n v="1"/>
    <s v="No se repite"/>
    <s v="El producto T.A Salsa Pollo A La Brasa /Grill Chicken Seasoning 15oz x 12 Se repite 4 veces en Tradiciones Andinas Una vez con el precio 28.89"/>
  </r>
  <r>
    <x v="3"/>
    <x v="5"/>
    <s v="Bill"/>
    <s v="482005"/>
    <x v="363"/>
    <s v="TRADICIONES ANDINAS - PERU -  VIDRIO -  Salsa Pollo A La Brasa /Grill Chicken Seasoning -  12 / 15oz - P0285"/>
    <n v="4"/>
    <n v="28.88"/>
    <n v="115.52"/>
    <n v="46793.949999999975"/>
    <n v="4"/>
    <s v="Se repite 4 veces"/>
    <s v="Tradiciones Andinas-T.A Salsa Pollo A La Brasa /Grill Chicken Seasoning 15oz x 12"/>
    <n v="4"/>
    <s v="Se repite 4 veces en Tradiciones Andinas"/>
    <s v="Tradiciones Andinas-T.A Salsa Pollo A La Brasa /Grill Chicken Seasoning 15oz x 12-28.88"/>
    <n v="2"/>
    <s v="Se repite 2 veces el precio de 28.88"/>
    <s v="El producto T.A Salsa Pollo A La Brasa /Grill Chicken Seasoning 15oz x 12 Se repite 4 veces en Tradiciones Andinas, Se repite 2 veces el precio de 28.88"/>
  </r>
  <r>
    <x v="3"/>
    <x v="6"/>
    <s v="Bill"/>
    <s v="487860"/>
    <x v="363"/>
    <s v="TRADICIONES ANDINAS - PERU -  VIDRIO -  Salsa Pollo A La Brasa /Grill Chicken Seasoning -  12 / 15oz - P0285"/>
    <n v="1"/>
    <n v="28.88"/>
    <n v="28.88"/>
    <n v="75736.739999999991"/>
    <n v="4"/>
    <s v="Se repite 4 veces"/>
    <s v="Tradiciones Andinas-T.A Salsa Pollo A La Brasa /Grill Chicken Seasoning 15oz x 12"/>
    <n v="4"/>
    <s v="Se repite 4 veces en Tradiciones Andinas"/>
    <s v="Tradiciones Andinas-T.A Salsa Pollo A La Brasa /Grill Chicken Seasoning 15oz x 12-28.88"/>
    <n v="2"/>
    <s v="Se repite 2 veces el precio de 28.88"/>
    <s v="El producto T.A Salsa Pollo A La Brasa /Grill Chicken Seasoning 15oz x 12 Se repite 4 veces en Tradiciones Andinas, Se repite 2 veces el precio de 28.88"/>
  </r>
  <r>
    <x v="3"/>
    <x v="10"/>
    <s v="Bill"/>
    <s v="476974"/>
    <x v="364"/>
    <s v="Sardinas en Salsa de tomate / Sardines en tomato sauce"/>
    <n v="2"/>
    <n v="28.8"/>
    <n v="57.6"/>
    <n v="22589.14"/>
    <n v="2"/>
    <s v="Se repite 2 veces"/>
    <s v="Tradiciones Andinas-T.A Sardinas en Salsa de tomate / Sardines en tomato sauce 15oz x 24"/>
    <n v="2"/>
    <s v="Se repite 2 veces en Tradiciones Andinas"/>
    <s v="Tradiciones Andinas-T.A Sardinas en Salsa de tomate / Sardines en tomato sauce 15oz x 24-28.8"/>
    <n v="1"/>
    <s v="No se repite"/>
    <s v="El producto T.A Sardinas en Salsa de tomate / Sardines en tomato sauce 15oz x 24 Se repite 2 veces en Tradiciones Andinas Una vez con el precio 28.8"/>
  </r>
  <r>
    <x v="3"/>
    <x v="25"/>
    <s v="Bill"/>
    <s v="483292"/>
    <x v="364"/>
    <s v="TA- ECUADOR -  CAN PRODUCTS -  Sardinas en Salsa de tomate / Sardines en tomato sauce -  24 / 15oz - RE215"/>
    <n v="2"/>
    <n v="26.4"/>
    <n v="52.8"/>
    <n v="62777.819999999956"/>
    <n v="2"/>
    <s v="Se repite 2 veces"/>
    <s v="Tradiciones Andinas-T.A Sardinas en Salsa de tomate / Sardines en tomato sauce 15oz x 24"/>
    <n v="2"/>
    <s v="Se repite 2 veces en Tradiciones Andinas"/>
    <s v="Tradiciones Andinas-T.A Sardinas en Salsa de tomate / Sardines en tomato sauce 15oz x 24-26.4"/>
    <n v="1"/>
    <s v="No se repite"/>
    <s v="El producto T.A Sardinas en Salsa de tomate / Sardines en tomato sauce 15oz x 24 Se repite 2 veces en Tradiciones Andinas Una vez con el precio 26.4"/>
  </r>
  <r>
    <x v="3"/>
    <x v="25"/>
    <s v="Bill"/>
    <s v="483292"/>
    <x v="365"/>
    <s v="Sardinas en Salsa de Tomate Tinapa / Sardines in Tomato Sauce"/>
    <n v="2"/>
    <n v="39.5"/>
    <n v="79"/>
    <n v="62856.819999999956"/>
    <n v="1"/>
    <s v="No se repite"/>
    <s v="Tradiciones Andinas-T.A Sardinas en Salsa de Tomate Tinapa / Sardines in Tomato Sauce 5.46oz x 50"/>
    <n v="1"/>
    <s v="No se repite en proveedor"/>
    <s v="Tradiciones Andinas-T.A Sardinas en Salsa de Tomate Tinapa / Sardines in Tomato Sauce 5.46oz x 50-39.5"/>
    <n v="1"/>
    <s v="No se repite"/>
    <s v="El producto T.A Sardinas en Salsa de Tomate Tinapa / Sardines in Tomato Sauce 5.46oz x 50 No se repite en proveedor Una vez con el precio 39.5"/>
  </r>
  <r>
    <x v="3"/>
    <x v="10"/>
    <s v="Bill"/>
    <s v="476974"/>
    <x v="366"/>
    <s v="Semola /Semolina"/>
    <n v="4"/>
    <n v="28.8"/>
    <n v="115.2"/>
    <n v="12039.559999999998"/>
    <n v="4"/>
    <s v="Se repite 4 veces"/>
    <s v="Tradiciones Andinas-T.A Semola /Semolina 15oz x 24"/>
    <n v="4"/>
    <s v="Se repite 4 veces en Tradiciones Andinas"/>
    <s v="Tradiciones Andinas-T.A Semola /Semolina 15oz x 24-28.8"/>
    <n v="1"/>
    <s v="No se repite"/>
    <s v="El producto T.A Semola /Semolina 15oz x 24 Se repite 4 veces en Tradiciones Andinas Una vez con el precio 28.8"/>
  </r>
  <r>
    <x v="3"/>
    <x v="4"/>
    <s v="Bill"/>
    <s v="480295"/>
    <x v="366"/>
    <s v="TRADICIONES ANDINAS - PERU -  BOLSA -  Semola /Semolina -  24 / 15oz - P00173"/>
    <n v="3"/>
    <n v="30.82"/>
    <n v="92.46"/>
    <n v="37503.01"/>
    <n v="4"/>
    <s v="Se repite 4 veces"/>
    <s v="Tradiciones Andinas-T.A Semola /Semolina 15oz x 24"/>
    <n v="4"/>
    <s v="Se repite 4 veces en Tradiciones Andinas"/>
    <s v="Tradiciones Andinas-T.A Semola /Semolina 15oz x 24-30.82"/>
    <n v="3"/>
    <s v="Se repite 3 veces el precio de 30.82"/>
    <s v="El producto T.A Semola /Semolina 15oz x 24 Se repite 4 veces en Tradiciones Andinas, Se repite 3 veces el precio de 30.82"/>
  </r>
  <r>
    <x v="3"/>
    <x v="13"/>
    <s v="Bill"/>
    <s v="485230"/>
    <x v="366"/>
    <s v="TRADICIONES ANDINAS - PERU -  BOLSA -  Semola /Semolina -  24 / 15oz - P00173"/>
    <n v="4"/>
    <n v="30.82"/>
    <n v="123.28"/>
    <n v="69055.960000000021"/>
    <n v="4"/>
    <s v="Se repite 4 veces"/>
    <s v="Tradiciones Andinas-T.A Semola /Semolina 15oz x 24"/>
    <n v="4"/>
    <s v="Se repite 4 veces en Tradiciones Andinas"/>
    <s v="Tradiciones Andinas-T.A Semola /Semolina 15oz x 24-30.82"/>
    <n v="3"/>
    <s v="Se repite 3 veces el precio de 30.82"/>
    <s v="El producto T.A Semola /Semolina 15oz x 24 Se repite 4 veces en Tradiciones Andinas, Se repite 3 veces el precio de 30.82"/>
  </r>
  <r>
    <x v="3"/>
    <x v="27"/>
    <s v="Bill"/>
    <s v="491180"/>
    <x v="366"/>
    <s v="TRADICIONES ANDINAS - PERU -  BOLSA -  Semola /Semolina -  24 / 15oz - P00173"/>
    <n v="4"/>
    <n v="30.82"/>
    <n v="123.28"/>
    <n v="101529.90999999993"/>
    <n v="4"/>
    <s v="Se repite 4 veces"/>
    <s v="Tradiciones Andinas-T.A Semola /Semolina 15oz x 24"/>
    <n v="4"/>
    <s v="Se repite 4 veces en Tradiciones Andinas"/>
    <s v="Tradiciones Andinas-T.A Semola /Semolina 15oz x 24-30.82"/>
    <n v="3"/>
    <s v="Se repite 3 veces el precio de 30.82"/>
    <s v="El producto T.A Semola /Semolina 15oz x 24 Se repite 4 veces en Tradiciones Andinas, Se repite 3 veces el precio de 30.82"/>
  </r>
  <r>
    <x v="3"/>
    <x v="10"/>
    <s v="Bill"/>
    <s v="476974"/>
    <x v="367"/>
    <s v="TRADICIONES ANDINAS - Te con canela y clavo - Cinnamon and Clove"/>
    <n v="2"/>
    <n v="25.5"/>
    <n v="51"/>
    <n v="17266.899999999998"/>
    <n v="5"/>
    <s v="Se repite 5 veces"/>
    <s v="Tradiciones Andinas-T.A Te con canela y clavo - Cinnamon and Clove filtrante 24gr x 20 x 30"/>
    <n v="5"/>
    <s v="Se repite 5 veces en Tradiciones Andinas"/>
    <s v="Tradiciones Andinas-T.A Te con canela y clavo - Cinnamon and Clove filtrante 24gr x 20 x 30-25.5"/>
    <n v="1"/>
    <s v="No se repite"/>
    <s v="El producto T.A Te con canela y clavo - Cinnamon and Clove filtrante 24gr x 20 x 30 Se repite 5 veces en Tradiciones Andinas Una vez con el precio 25.5"/>
  </r>
  <r>
    <x v="3"/>
    <x v="4"/>
    <s v="Bill"/>
    <s v="480295"/>
    <x v="367"/>
    <s v="TA- PERU -  INFUSIONES -  TRADICIONES ANDINAS - Te con canela y clavo - Cinnamon and Clove-  30 / 20x24g - TE02"/>
    <n v="7"/>
    <n v="27.29"/>
    <n v="191.03"/>
    <n v="40324.119999999995"/>
    <n v="5"/>
    <s v="Se repite 5 veces"/>
    <s v="Tradiciones Andinas-T.A Te con canela y clavo - Cinnamon and Clove filtrante 24gr x 20 x 30"/>
    <n v="5"/>
    <s v="Se repite 5 veces en Tradiciones Andinas"/>
    <s v="Tradiciones Andinas-T.A Te con canela y clavo - Cinnamon and Clove filtrante 24gr x 20 x 30-27.29"/>
    <n v="4"/>
    <s v="Se repite 4 veces el precio de 27.29"/>
    <s v="El producto T.A Te con canela y clavo - Cinnamon and Clove filtrante 24gr x 20 x 30 Se repite 5 veces en Tradiciones Andinas, Se repite 4 veces el precio de 27.29"/>
  </r>
  <r>
    <x v="3"/>
    <x v="25"/>
    <s v="Bill"/>
    <s v="483292"/>
    <x v="367"/>
    <s v="TA- PERU -  INFUSIONES -  TRADICIONES ANDINAS - Te con canela y clavo - Cinnamon and Clove-  30 / 20x24g - TE02"/>
    <n v="2"/>
    <n v="27.29"/>
    <n v="54.58"/>
    <n v="62119.059999999954"/>
    <n v="5"/>
    <s v="Se repite 5 veces"/>
    <s v="Tradiciones Andinas-T.A Te con canela y clavo - Cinnamon and Clove filtrante 24gr x 20 x 30"/>
    <n v="5"/>
    <s v="Se repite 5 veces en Tradiciones Andinas"/>
    <s v="Tradiciones Andinas-T.A Te con canela y clavo - Cinnamon and Clove filtrante 24gr x 20 x 30-27.29"/>
    <n v="4"/>
    <s v="Se repite 4 veces el precio de 27.29"/>
    <s v="El producto T.A Te con canela y clavo - Cinnamon and Clove filtrante 24gr x 20 x 30 Se repite 5 veces en Tradiciones Andinas, Se repite 4 veces el precio de 27.29"/>
  </r>
  <r>
    <x v="3"/>
    <x v="6"/>
    <s v="Bill"/>
    <s v="487860"/>
    <x v="367"/>
    <s v="TA- PERU -  INFUSIONES -  TRADICIONES ANDINAS - Te con canela y clavo - Cinnamon and Clove-  30 / 20x24g - TE02"/>
    <n v="2"/>
    <n v="27.29"/>
    <n v="54.58"/>
    <n v="83151.039999999964"/>
    <n v="5"/>
    <s v="Se repite 5 veces"/>
    <s v="Tradiciones Andinas-T.A Te con canela y clavo - Cinnamon and Clove filtrante 24gr x 20 x 30"/>
    <n v="5"/>
    <s v="Se repite 5 veces en Tradiciones Andinas"/>
    <s v="Tradiciones Andinas-T.A Te con canela y clavo - Cinnamon and Clove filtrante 24gr x 20 x 30-27.29"/>
    <n v="4"/>
    <s v="Se repite 4 veces el precio de 27.29"/>
    <s v="El producto T.A Te con canela y clavo - Cinnamon and Clove filtrante 24gr x 20 x 30 Se repite 5 veces en Tradiciones Andinas, Se repite 4 veces el precio de 27.29"/>
  </r>
  <r>
    <x v="3"/>
    <x v="7"/>
    <s v="Bill"/>
    <s v="492743"/>
    <x v="367"/>
    <s v="TA- PERU -  INFUSIONES -  TRADICIONES ANDINAS - Te con canela y clavo - Cinnamon and Clove-  30 / 20x24g - TE02"/>
    <n v="5"/>
    <n v="27.29"/>
    <n v="136.44999999999999"/>
    <n v="108744.22999999991"/>
    <n v="5"/>
    <s v="Se repite 5 veces"/>
    <s v="Tradiciones Andinas-T.A Te con canela y clavo - Cinnamon and Clove filtrante 24gr x 20 x 30"/>
    <n v="5"/>
    <s v="Se repite 5 veces en Tradiciones Andinas"/>
    <s v="Tradiciones Andinas-T.A Te con canela y clavo - Cinnamon and Clove filtrante 24gr x 20 x 30-27.29"/>
    <n v="4"/>
    <s v="Se repite 4 veces el precio de 27.29"/>
    <s v="El producto T.A Te con canela y clavo - Cinnamon and Clove filtrante 24gr x 20 x 30 Se repite 5 veces en Tradiciones Andinas, Se repite 4 veces el precio de 27.29"/>
  </r>
  <r>
    <x v="3"/>
    <x v="33"/>
    <s v="Bill"/>
    <s v="475144"/>
    <x v="368"/>
    <s v="Trigo Resbalado/Hulled Wheat"/>
    <n v="2"/>
    <n v="30"/>
    <n v="60"/>
    <n v="1220.44"/>
    <n v="3"/>
    <s v="Se repite 3 veces"/>
    <s v="Tradiciones Andinas-T.A Trigo  Resbalado/Hulled Wheat 15oz x 24"/>
    <n v="3"/>
    <s v="Se repite 3 veces en Tradiciones Andinas"/>
    <s v="Tradiciones Andinas-T.A Trigo  Resbalado/Hulled Wheat 15oz x 24-30"/>
    <n v="3"/>
    <s v="Se repite 3 veces el precio de 30"/>
    <s v="El producto T.A Trigo  Resbalado/Hulled Wheat 15oz x 24 Se repite 3 veces en Tradiciones Andinas, Se repite 3 veces el precio de 30"/>
  </r>
  <r>
    <x v="3"/>
    <x v="9"/>
    <s v="Bill"/>
    <s v=""/>
    <x v="368"/>
    <s v="Trigo Resbalado/Hulled Wheat"/>
    <n v="3"/>
    <n v="30"/>
    <n v="90"/>
    <n v="4570.12"/>
    <n v="3"/>
    <s v="Se repite 3 veces"/>
    <s v="Tradiciones Andinas-T.A Trigo  Resbalado/Hulled Wheat 15oz x 24"/>
    <n v="3"/>
    <s v="Se repite 3 veces en Tradiciones Andinas"/>
    <s v="Tradiciones Andinas-T.A Trigo  Resbalado/Hulled Wheat 15oz x 24-30"/>
    <n v="3"/>
    <s v="Se repite 3 veces el precio de 30"/>
    <s v="El producto T.A Trigo  Resbalado/Hulled Wheat 15oz x 24 Se repite 3 veces en Tradiciones Andinas, Se repite 3 veces el precio de 30"/>
  </r>
  <r>
    <x v="3"/>
    <x v="10"/>
    <s v="Bill"/>
    <s v="476974"/>
    <x v="368"/>
    <s v="Trigo Resbalado/Hulled Wheat"/>
    <n v="6"/>
    <n v="30"/>
    <n v="180"/>
    <n v="12514.399999999998"/>
    <n v="3"/>
    <s v="Se repite 3 veces"/>
    <s v="Tradiciones Andinas-T.A Trigo  Resbalado/Hulled Wheat 15oz x 24"/>
    <n v="3"/>
    <s v="Se repite 3 veces en Tradiciones Andinas"/>
    <s v="Tradiciones Andinas-T.A Trigo  Resbalado/Hulled Wheat 15oz x 24-30"/>
    <n v="3"/>
    <s v="Se repite 3 veces el precio de 30"/>
    <s v="El producto T.A Trigo  Resbalado/Hulled Wheat 15oz x 24 Se repite 3 veces en Tradiciones Andinas, Se repite 3 veces el precio de 30"/>
  </r>
  <r>
    <x v="3"/>
    <x v="33"/>
    <s v="Bill"/>
    <s v="475144"/>
    <x v="369"/>
    <s v="T.A Trigo Trigo Pelado/Peeled Wheat"/>
    <n v="2"/>
    <n v="30"/>
    <n v="60"/>
    <n v="1578.3199999999997"/>
    <n v="7"/>
    <s v="Se repite 7 veces"/>
    <s v="Tradiciones Andinas-T.A Trigo Trigo Pelado/Peeled Wheat 15oz x 24"/>
    <n v="7"/>
    <s v="Se repite 7 veces en Tradiciones Andinas"/>
    <s v="Tradiciones Andinas-T.A Trigo Trigo Pelado/Peeled Wheat 15oz x 24-30"/>
    <n v="3"/>
    <s v="Se repite 3 veces el precio de 30"/>
    <s v="El producto T.A Trigo Trigo Pelado/Peeled Wheat 15oz x 24 Se repite 7 veces en Tradiciones Andinas, Se repite 3 veces el precio de 30"/>
  </r>
  <r>
    <x v="3"/>
    <x v="9"/>
    <s v="Bill"/>
    <s v=""/>
    <x v="369"/>
    <s v="TRADICIONES ANDINAS - PERU -  BOLSA -   Trigo Pelado/Peeled Wheat -  24 / 15oz -"/>
    <n v="2"/>
    <n v="30"/>
    <n v="60"/>
    <n v="4819.0599999999995"/>
    <n v="7"/>
    <s v="Se repite 7 veces"/>
    <s v="Tradiciones Andinas-T.A Trigo Trigo Pelado/Peeled Wheat 15oz x 24"/>
    <n v="7"/>
    <s v="Se repite 7 veces en Tradiciones Andinas"/>
    <s v="Tradiciones Andinas-T.A Trigo Trigo Pelado/Peeled Wheat 15oz x 24-30"/>
    <n v="3"/>
    <s v="Se repite 3 veces el precio de 30"/>
    <s v="El producto T.A Trigo Trigo Pelado/Peeled Wheat 15oz x 24 Se repite 7 veces en Tradiciones Andinas, Se repite 3 veces el precio de 30"/>
  </r>
  <r>
    <x v="3"/>
    <x v="10"/>
    <s v="Bill"/>
    <s v="476974"/>
    <x v="369"/>
    <s v="T.A Trigo Trigo Pelado/Peeled Wheat"/>
    <n v="6"/>
    <n v="30"/>
    <n v="180"/>
    <n v="11683.399999999998"/>
    <n v="7"/>
    <s v="Se repite 7 veces"/>
    <s v="Tradiciones Andinas-T.A Trigo Trigo Pelado/Peeled Wheat 15oz x 24"/>
    <n v="7"/>
    <s v="Se repite 7 veces en Tradiciones Andinas"/>
    <s v="Tradiciones Andinas-T.A Trigo Trigo Pelado/Peeled Wheat 15oz x 24-30"/>
    <n v="3"/>
    <s v="Se repite 3 veces el precio de 30"/>
    <s v="El producto T.A Trigo Trigo Pelado/Peeled Wheat 15oz x 24 Se repite 7 veces en Tradiciones Andinas, Se repite 3 veces el precio de 30"/>
  </r>
  <r>
    <x v="3"/>
    <x v="5"/>
    <s v="Bill"/>
    <s v="482005"/>
    <x v="369"/>
    <s v="TRADICIONES ANDINAS - PERU -  BOLSA -   Trigo Pelado/Peeled Wheat -  24 / 15oz -"/>
    <n v="2"/>
    <n v="32.1"/>
    <n v="64.2"/>
    <n v="48894.109999999971"/>
    <n v="7"/>
    <s v="Se repite 7 veces"/>
    <s v="Tradiciones Andinas-T.A Trigo Trigo Pelado/Peeled Wheat 15oz x 24"/>
    <n v="7"/>
    <s v="Se repite 7 veces en Tradiciones Andinas"/>
    <s v="Tradiciones Andinas-T.A Trigo Trigo Pelado/Peeled Wheat 15oz x 24-32.1"/>
    <n v="4"/>
    <s v="Se repite 4 veces el precio de 32.1"/>
    <s v="El producto T.A Trigo Trigo Pelado/Peeled Wheat 15oz x 24 Se repite 7 veces en Tradiciones Andinas, Se repite 4 veces el precio de 32.1"/>
  </r>
  <r>
    <x v="3"/>
    <x v="13"/>
    <s v="Bill"/>
    <s v="485230"/>
    <x v="369"/>
    <s v="TRADICIONES ANDINAS - PERU -  BOLSA -   Trigo Pelado/Peeled Wheat -  24 / 15oz -"/>
    <n v="1"/>
    <n v="32.1"/>
    <n v="32.1"/>
    <n v="68649.560000000012"/>
    <n v="7"/>
    <s v="Se repite 7 veces"/>
    <s v="Tradiciones Andinas-T.A Trigo Trigo Pelado/Peeled Wheat 15oz x 24"/>
    <n v="7"/>
    <s v="Se repite 7 veces en Tradiciones Andinas"/>
    <s v="Tradiciones Andinas-T.A Trigo Trigo Pelado/Peeled Wheat 15oz x 24-32.1"/>
    <n v="4"/>
    <s v="Se repite 4 veces el precio de 32.1"/>
    <s v="El producto T.A Trigo Trigo Pelado/Peeled Wheat 15oz x 24 Se repite 7 veces en Tradiciones Andinas, Se repite 4 veces el precio de 32.1"/>
  </r>
  <r>
    <x v="3"/>
    <x v="6"/>
    <s v="Bill"/>
    <s v="487860"/>
    <x v="369"/>
    <s v="TRADICIONES ANDINAS - PERU -  BOLSA -   Trigo Pelado/Peeled Wheat -  24 / 15oz -"/>
    <n v="4"/>
    <n v="32.1"/>
    <n v="128.4"/>
    <n v="78629.219999999987"/>
    <n v="7"/>
    <s v="Se repite 7 veces"/>
    <s v="Tradiciones Andinas-T.A Trigo Trigo Pelado/Peeled Wheat 15oz x 24"/>
    <n v="7"/>
    <s v="Se repite 7 veces en Tradiciones Andinas"/>
    <s v="Tradiciones Andinas-T.A Trigo Trigo Pelado/Peeled Wheat 15oz x 24-32.1"/>
    <n v="4"/>
    <s v="Se repite 4 veces el precio de 32.1"/>
    <s v="El producto T.A Trigo Trigo Pelado/Peeled Wheat 15oz x 24 Se repite 7 veces en Tradiciones Andinas, Se repite 4 veces el precio de 32.1"/>
  </r>
  <r>
    <x v="3"/>
    <x v="27"/>
    <s v="Bill"/>
    <s v="491180"/>
    <x v="369"/>
    <s v="TRADICIONES ANDINAS - PERU -  BOLSA -   Trigo Pelado/Peeled Wheat -  24 / 15oz -"/>
    <n v="6"/>
    <n v="32.1"/>
    <n v="192.6"/>
    <n v="101082.14999999994"/>
    <n v="7"/>
    <s v="Se repite 7 veces"/>
    <s v="Tradiciones Andinas-T.A Trigo Trigo Pelado/Peeled Wheat 15oz x 24"/>
    <n v="7"/>
    <s v="Se repite 7 veces en Tradiciones Andinas"/>
    <s v="Tradiciones Andinas-T.A Trigo Trigo Pelado/Peeled Wheat 15oz x 24-32.1"/>
    <n v="4"/>
    <s v="Se repite 4 veces el precio de 32.1"/>
    <s v="El producto T.A Trigo Trigo Pelado/Peeled Wheat 15oz x 24 Se repite 7 veces en Tradiciones Andinas, Se repite 4 veces el precio de 32.1"/>
  </r>
  <r>
    <x v="3"/>
    <x v="10"/>
    <s v="Bill"/>
    <s v="476974"/>
    <x v="370"/>
    <s v="T.A. Ajo Pasta - Ajo en Pasta /Garlic Paste 15oz X 12"/>
    <n v="2"/>
    <n v="35.880000000000003"/>
    <n v="71.760000000000005"/>
    <n v="9740.159999999998"/>
    <n v="2"/>
    <s v="Se repite 2 veces"/>
    <s v="Tradiciones Andinas-T.A. Ajo Pasta - Ajo en Pasta /Garlic Paste 15oz X 12"/>
    <n v="2"/>
    <s v="Se repite 2 veces en Tradiciones Andinas"/>
    <s v="Tradiciones Andinas-T.A. Ajo Pasta - Ajo en Pasta /Garlic Paste 15oz X 12-35.88"/>
    <n v="2"/>
    <s v="Se repite 2 veces el precio de 35.88"/>
    <s v="El producto T.A. Ajo Pasta - Ajo en Pasta /Garlic Paste 15oz X 12 Se repite 2 veces en Tradiciones Andinas, Se repite 2 veces el precio de 35.88"/>
  </r>
  <r>
    <x v="3"/>
    <x v="13"/>
    <s v="Bill"/>
    <s v="485230"/>
    <x v="370"/>
    <s v="T.A. Ajo Pasta - Ajo en Pasta /Garlic Paste 15oz X 12 P00138"/>
    <n v="2"/>
    <n v="35.880000000000003"/>
    <n v="71.760000000000005"/>
    <n v="68038.740000000005"/>
    <n v="2"/>
    <s v="Se repite 2 veces"/>
    <s v="Tradiciones Andinas-T.A. Ajo Pasta - Ajo en Pasta /Garlic Paste 15oz X 12"/>
    <n v="2"/>
    <s v="Se repite 2 veces en Tradiciones Andinas"/>
    <s v="Tradiciones Andinas-T.A. Ajo Pasta - Ajo en Pasta /Garlic Paste 15oz X 12-35.88"/>
    <n v="2"/>
    <s v="Se repite 2 veces el precio de 35.88"/>
    <s v="El producto T.A. Ajo Pasta - Ajo en Pasta /Garlic Paste 15oz X 12 Se repite 2 veces en Tradiciones Andinas, Se repite 2 veces el precio de 35.88"/>
  </r>
  <r>
    <x v="2"/>
    <x v="3"/>
    <s v="Bill"/>
    <s v="64308"/>
    <x v="371"/>
    <s v="Tari crema de aji A la Cena17.06oz (400gr) x 12 / 7750243067805 / AL-02"/>
    <n v="10"/>
    <n v="39.5"/>
    <n v="395"/>
    <n v="2439.8000000000002"/>
    <n v="7"/>
    <s v="Se repite 7 veces"/>
    <s v="Belmont International Trading Corp-Tari crema de aji A la Cena17.06oz (400gr) x 12"/>
    <n v="3"/>
    <s v="Se repite 3 veces en Belmont International Trading Corp"/>
    <s v="Belmont International Trading Corp-Tari crema de aji A la Cena17.06oz (400gr) x 12-39.5"/>
    <n v="1"/>
    <s v="No se repite"/>
    <s v="El producto Tari crema de aji A la Cena17.06oz (400gr) x 12 Se repite 3 veces en Belmont International Trading Corp Una vez con el precio 39.5"/>
  </r>
  <r>
    <x v="2"/>
    <x v="19"/>
    <s v="Bill"/>
    <s v="65207"/>
    <x v="371"/>
    <s v="Tari crema de aji A la Cena17.06oz (400gr) x 12 / 7750243067805 / AL-02"/>
    <n v="10"/>
    <n v="43.5"/>
    <n v="435"/>
    <n v="7843.74"/>
    <n v="7"/>
    <s v="Se repite 7 veces"/>
    <s v="Belmont International Trading Corp-Tari crema de aji A la Cena17.06oz (400gr) x 12"/>
    <n v="3"/>
    <s v="Se repite 3 veces en Belmont International Trading Corp"/>
    <s v="Belmont International Trading Corp-Tari crema de aji A la Cena17.06oz (400gr) x 12-43.5"/>
    <n v="2"/>
    <s v="Se repite 2 veces el precio de 43.5"/>
    <s v="El producto Tari crema de aji A la Cena17.06oz (400gr) x 12 Se repite 3 veces en Belmont International Trading Corp, Se repite 2 veces el precio de 43.5"/>
  </r>
  <r>
    <x v="2"/>
    <x v="4"/>
    <s v="Bill"/>
    <s v="66496"/>
    <x v="371"/>
    <s v="Tari crema de aji A la Cena17.06oz (400gr) x 12 / 7750243067805 / AL-02"/>
    <n v="5"/>
    <n v="43.5"/>
    <n v="217.5"/>
    <n v="13491.24"/>
    <n v="7"/>
    <s v="Se repite 7 veces"/>
    <s v="Belmont International Trading Corp-Tari crema de aji A la Cena17.06oz (400gr) x 12"/>
    <n v="3"/>
    <s v="Se repite 3 veces en Belmont International Trading Corp"/>
    <s v="Belmont International Trading Corp-Tari crema de aji A la Cena17.06oz (400gr) x 12-43.5"/>
    <n v="2"/>
    <s v="Se repite 2 veces el precio de 43.5"/>
    <s v="El producto Tari crema de aji A la Cena17.06oz (400gr) x 12 Se repite 3 veces en Belmont International Trading Corp, Se repite 2 veces el precio de 43.5"/>
  </r>
  <r>
    <x v="1"/>
    <x v="1"/>
    <s v="Bill"/>
    <s v="2025001378"/>
    <x v="371"/>
    <s v="Tari crema de aji A la Cena17.06oz (400gr) x 12 / 7750243067805 / AL-02"/>
    <n v="3"/>
    <n v="35"/>
    <n v="105"/>
    <n v="22762"/>
    <n v="7"/>
    <s v="Se repite 7 veces"/>
    <s v="Peru Chef-Tari crema de aji A la Cena17.06oz (400gr) x 12"/>
    <n v="4"/>
    <s v="Se repite 4 veces en Peru Chef"/>
    <s v="Peru Chef-Tari crema de aji A la Cena17.06oz (400gr) x 12-35"/>
    <n v="4"/>
    <s v="Se repite 4 veces el precio de 35"/>
    <s v="El producto Tari crema de aji A la Cena17.06oz (400gr) x 12 Se repite 4 veces en Peru Chef, Se repite 4 veces el precio de 35"/>
  </r>
  <r>
    <x v="1"/>
    <x v="2"/>
    <s v="Bill"/>
    <s v="2025001691"/>
    <x v="371"/>
    <s v="Tari crema de aji A la Cena17.06oz (400gr) x 12 / 7750243067805 / AL-02"/>
    <n v="10"/>
    <n v="35"/>
    <n v="350"/>
    <n v="26564"/>
    <n v="7"/>
    <s v="Se repite 7 veces"/>
    <s v="Peru Chef-Tari crema de aji A la Cena17.06oz (400gr) x 12"/>
    <n v="4"/>
    <s v="Se repite 4 veces en Peru Chef"/>
    <s v="Peru Chef-Tari crema de aji A la Cena17.06oz (400gr) x 12-35"/>
    <n v="4"/>
    <s v="Se repite 4 veces el precio de 35"/>
    <s v="El producto Tari crema de aji A la Cena17.06oz (400gr) x 12 Se repite 4 veces en Peru Chef, Se repite 4 veces el precio de 35"/>
  </r>
  <r>
    <x v="1"/>
    <x v="16"/>
    <s v="Bill"/>
    <s v=""/>
    <x v="371"/>
    <s v="Tari crema de aji A la Cena17.06oz (400gr) x 12 / 7750243067805 / AL-02"/>
    <n v="4"/>
    <n v="35"/>
    <n v="140"/>
    <n v="34058.199999999997"/>
    <n v="7"/>
    <s v="Se repite 7 veces"/>
    <s v="Peru Chef-Tari crema de aji A la Cena17.06oz (400gr) x 12"/>
    <n v="4"/>
    <s v="Se repite 4 veces en Peru Chef"/>
    <s v="Peru Chef-Tari crema de aji A la Cena17.06oz (400gr) x 12-35"/>
    <n v="4"/>
    <s v="Se repite 4 veces el precio de 35"/>
    <s v="El producto Tari crema de aji A la Cena17.06oz (400gr) x 12 Se repite 4 veces en Peru Chef, Se repite 4 veces el precio de 35"/>
  </r>
  <r>
    <x v="1"/>
    <x v="18"/>
    <s v="Bill"/>
    <s v="2025002374"/>
    <x v="371"/>
    <s v="Tari crema de aji A la Cena17.06oz (400gr) x 12 / 7750243067805 / AL-02"/>
    <n v="8"/>
    <n v="35"/>
    <n v="280"/>
    <n v="38592.850000000006"/>
    <n v="7"/>
    <s v="Se repite 7 veces"/>
    <s v="Peru Chef-Tari crema de aji A la Cena17.06oz (400gr) x 12"/>
    <n v="4"/>
    <s v="Se repite 4 veces en Peru Chef"/>
    <s v="Peru Chef-Tari crema de aji A la Cena17.06oz (400gr) x 12-35"/>
    <n v="4"/>
    <s v="Se repite 4 veces el precio de 35"/>
    <s v="El producto Tari crema de aji A la Cena17.06oz (400gr) x 12 Se repite 4 veces en Peru Chef, Se repite 4 veces el precio de 35"/>
  </r>
  <r>
    <x v="1"/>
    <x v="8"/>
    <s v="Bill"/>
    <s v=""/>
    <x v="372"/>
    <s v="Tentacion Galleta Coco 47 G"/>
    <n v="1"/>
    <n v="16"/>
    <n v="16"/>
    <n v="1411.1999999999998"/>
    <n v="5"/>
    <s v="Se repite 5 veces"/>
    <s v="Peru Chef-Tentacion Galleta Coco 47gr 6 x 8"/>
    <n v="5"/>
    <s v="Se repite 5 veces en Peru Chef"/>
    <s v="Peru Chef-Tentacion Galleta Coco 47gr 6 x 8-16"/>
    <n v="2"/>
    <s v="Se repite 2 veces el precio de 16"/>
    <s v="El producto Tentacion Galleta Coco 47gr 6 x 8 Se repite 5 veces en Peru Chef, Se repite 2 veces el precio de 16"/>
  </r>
  <r>
    <x v="1"/>
    <x v="9"/>
    <s v="Bill"/>
    <s v="55130"/>
    <x v="372"/>
    <s v="Tentacion Galleta Coco 47 G"/>
    <n v="1"/>
    <n v="16"/>
    <n v="16"/>
    <n v="3531"/>
    <n v="5"/>
    <s v="Se repite 5 veces"/>
    <s v="Peru Chef-Tentacion Galleta Coco 47gr 6 x 8"/>
    <n v="5"/>
    <s v="Se repite 5 veces en Peru Chef"/>
    <s v="Peru Chef-Tentacion Galleta Coco 47gr 6 x 8-16"/>
    <n v="2"/>
    <s v="Se repite 2 veces el precio de 16"/>
    <s v="El producto Tentacion Galleta Coco 47gr 6 x 8 Se repite 5 veces en Peru Chef, Se repite 2 veces el precio de 16"/>
  </r>
  <r>
    <x v="1"/>
    <x v="24"/>
    <s v="Bill"/>
    <s v="55164"/>
    <x v="372"/>
    <s v="Tentacion Galleta Coco 47 G"/>
    <n v="5"/>
    <n v="17"/>
    <n v="85"/>
    <n v="6121.6"/>
    <n v="5"/>
    <s v="Se repite 5 veces"/>
    <s v="Peru Chef-Tentacion Galleta Coco 47gr 6 x 8"/>
    <n v="5"/>
    <s v="Se repite 5 veces en Peru Chef"/>
    <s v="Peru Chef-Tentacion Galleta Coco 47gr 6 x 8-17"/>
    <n v="1"/>
    <s v="No se repite"/>
    <s v="El producto Tentacion Galleta Coco 47gr 6 x 8 Se repite 5 veces en Peru Chef Una vez con el precio 17"/>
  </r>
  <r>
    <x v="1"/>
    <x v="16"/>
    <s v="Bill"/>
    <s v="2025001895"/>
    <x v="372"/>
    <s v="Tentacion Galleta Coco 47 G"/>
    <n v="4"/>
    <n v="15.3"/>
    <n v="61.2"/>
    <n v="30298"/>
    <n v="5"/>
    <s v="Se repite 5 veces"/>
    <s v="Peru Chef-Tentacion Galleta Coco 47gr 6 x 8"/>
    <n v="5"/>
    <s v="Se repite 5 veces en Peru Chef"/>
    <s v="Peru Chef-Tentacion Galleta Coco 47gr 6 x 8-15.3"/>
    <n v="2"/>
    <s v="Se repite 2 veces el precio de 15.3"/>
    <s v="El producto Tentacion Galleta Coco 47gr 6 x 8 Se repite 5 veces en Peru Chef, Se repite 2 veces el precio de 15.3"/>
  </r>
  <r>
    <x v="1"/>
    <x v="17"/>
    <s v="Bill"/>
    <s v="57055"/>
    <x v="372"/>
    <s v="GOLOSINAS Y DULCES -   -  TENTACION GALLETA COCO 47 G-  BOLSA X 6 / 8"/>
    <n v="10"/>
    <n v="15.3"/>
    <n v="153"/>
    <n v="37962.850000000006"/>
    <n v="5"/>
    <s v="Se repite 5 veces"/>
    <s v="Peru Chef-Tentacion Galleta Coco 47gr 6 x 8"/>
    <n v="5"/>
    <s v="Se repite 5 veces en Peru Chef"/>
    <s v="Peru Chef-Tentacion Galleta Coco 47gr 6 x 8-15.3"/>
    <n v="2"/>
    <s v="Se repite 2 veces el precio de 15.3"/>
    <s v="El producto Tentacion Galleta Coco 47gr 6 x 8 Se repite 5 veces en Peru Chef, Se repite 2 veces el precio de 15.3"/>
  </r>
  <r>
    <x v="1"/>
    <x v="8"/>
    <s v="Bill"/>
    <s v=""/>
    <x v="373"/>
    <s v="Tentacion Galleta Vainilla 47 G"/>
    <n v="1"/>
    <n v="16"/>
    <n v="16"/>
    <n v="1427.1999999999998"/>
    <n v="3"/>
    <s v="Se repite 3 veces"/>
    <s v="Peru Chef-Tentacion Galleta Vainilla 47gr 6 x 8"/>
    <n v="3"/>
    <s v="Se repite 3 veces en Peru Chef"/>
    <s v="Peru Chef-Tentacion Galleta Vainilla 47gr 6 x 8-16"/>
    <n v="2"/>
    <s v="Se repite 2 veces el precio de 16"/>
    <s v="El producto Tentacion Galleta Vainilla 47gr 6 x 8 Se repite 3 veces en Peru Chef, Se repite 2 veces el precio de 16"/>
  </r>
  <r>
    <x v="1"/>
    <x v="9"/>
    <s v="Bill"/>
    <s v="55130"/>
    <x v="373"/>
    <s v="Tentacion Galleta Vainilla 47 G"/>
    <n v="1"/>
    <n v="16"/>
    <n v="16"/>
    <n v="3547"/>
    <n v="3"/>
    <s v="Se repite 3 veces"/>
    <s v="Peru Chef-Tentacion Galleta Vainilla 47gr 6 x 8"/>
    <n v="3"/>
    <s v="Se repite 3 veces en Peru Chef"/>
    <s v="Peru Chef-Tentacion Galleta Vainilla 47gr 6 x 8-16"/>
    <n v="2"/>
    <s v="Se repite 2 veces el precio de 16"/>
    <s v="El producto Tentacion Galleta Vainilla 47gr 6 x 8 Se repite 3 veces en Peru Chef, Se repite 2 veces el precio de 16"/>
  </r>
  <r>
    <x v="1"/>
    <x v="24"/>
    <s v="Bill"/>
    <s v="55164"/>
    <x v="373"/>
    <s v="Tentacion Galleta Vainilla 47 G"/>
    <n v="5"/>
    <n v="17"/>
    <n v="85"/>
    <n v="6206.6"/>
    <n v="3"/>
    <s v="Se repite 3 veces"/>
    <s v="Peru Chef-Tentacion Galleta Vainilla 47gr 6 x 8"/>
    <n v="3"/>
    <s v="Se repite 3 veces en Peru Chef"/>
    <s v="Peru Chef-Tentacion Galleta Vainilla 47gr 6 x 8-17"/>
    <n v="1"/>
    <s v="No se repite"/>
    <s v="El producto Tentacion Galleta Vainilla 47gr 6 x 8 Se repite 3 veces en Peru Chef Una vez con el precio 17"/>
  </r>
  <r>
    <x v="3"/>
    <x v="5"/>
    <s v="Bill"/>
    <s v="482005"/>
    <x v="374"/>
    <s v="Tradiciones Andinas -  Pimienta Negra /Black Pepper"/>
    <n v="2"/>
    <n v="16.68"/>
    <n v="33.36"/>
    <n v="50924.819999999963"/>
    <n v="3"/>
    <s v="Se repite 3 veces"/>
    <s v="Tradiciones Andinas-Tradiciones Andinas -  Pimienta Negra /Black Pepper"/>
    <n v="3"/>
    <s v="Se repite 3 veces en Tradiciones Andinas"/>
    <s v="Tradiciones Andinas-Tradiciones Andinas -  Pimienta Negra /Black Pepper-16.68"/>
    <n v="3"/>
    <s v="Se repite 3 veces el precio de 16.68"/>
    <s v="El producto Tradiciones Andinas -  Pimienta Negra /Black Pepper Se repite 3 veces en Tradiciones Andinas, Se repite 3 veces el precio de 16.68"/>
  </r>
  <r>
    <x v="3"/>
    <x v="25"/>
    <s v="Bill"/>
    <s v="483292"/>
    <x v="374"/>
    <s v="Tradiciones Andinas -  Pimienta Negra /Black Pepper"/>
    <n v="3"/>
    <n v="16.68"/>
    <n v="50.04"/>
    <n v="61897.389999999941"/>
    <n v="3"/>
    <s v="Se repite 3 veces"/>
    <s v="Tradiciones Andinas-Tradiciones Andinas -  Pimienta Negra /Black Pepper"/>
    <n v="3"/>
    <s v="Se repite 3 veces en Tradiciones Andinas"/>
    <s v="Tradiciones Andinas-Tradiciones Andinas -  Pimienta Negra /Black Pepper-16.68"/>
    <n v="3"/>
    <s v="Se repite 3 veces el precio de 16.68"/>
    <s v="El producto Tradiciones Andinas -  Pimienta Negra /Black Pepper Se repite 3 veces en Tradiciones Andinas, Se repite 3 veces el precio de 16.68"/>
  </r>
  <r>
    <x v="3"/>
    <x v="6"/>
    <s v="Bill"/>
    <s v="487860"/>
    <x v="374"/>
    <s v="Tradiciones Andinas -  Pimienta Negra /Black Pepper"/>
    <n v="8"/>
    <n v="16.68"/>
    <n v="133.44"/>
    <n v="81522.02999999997"/>
    <n v="3"/>
    <s v="Se repite 3 veces"/>
    <s v="Tradiciones Andinas-Tradiciones Andinas -  Pimienta Negra /Black Pepper"/>
    <n v="3"/>
    <s v="Se repite 3 veces en Tradiciones Andinas"/>
    <s v="Tradiciones Andinas-Tradiciones Andinas -  Pimienta Negra /Black Pepper-16.68"/>
    <n v="3"/>
    <s v="Se repite 3 veces el precio de 16.68"/>
    <s v="El producto Tradiciones Andinas -  Pimienta Negra /Black Pepper Se repite 3 veces en Tradiciones Andinas, Se repite 3 veces el precio de 16.68"/>
  </r>
  <r>
    <x v="3"/>
    <x v="25"/>
    <s v="Bill"/>
    <s v="483292"/>
    <x v="375"/>
    <s v="Tradiciones Andinas - Ajonjoli / Sesame Seeds"/>
    <n v="3"/>
    <n v="12.6"/>
    <n v="37.799999999999997"/>
    <n v="62010.78999999995"/>
    <n v="2"/>
    <s v="Se repite 2 veces"/>
    <s v="Tradiciones Andinas-Tradiciones Andinas - Ajonjoli / Sesame Seeds"/>
    <n v="2"/>
    <s v="Se repite 2 veces en Tradiciones Andinas"/>
    <s v="Tradiciones Andinas-Tradiciones Andinas - Ajonjoli / Sesame Seeds-12.6"/>
    <n v="2"/>
    <s v="Se repite 2 veces el precio de 12.6"/>
    <s v="El producto Tradiciones Andinas - Ajonjoli / Sesame Seeds Se repite 2 veces en Tradiciones Andinas, Se repite 2 veces el precio de 12.6"/>
  </r>
  <r>
    <x v="3"/>
    <x v="6"/>
    <s v="Bill"/>
    <s v="487860"/>
    <x v="375"/>
    <s v="Tradiciones Andinas - Ajonjoli / Sesame Seeds"/>
    <n v="2"/>
    <n v="12.6"/>
    <n v="25.2"/>
    <n v="81648.02999999997"/>
    <n v="2"/>
    <s v="Se repite 2 veces"/>
    <s v="Tradiciones Andinas-Tradiciones Andinas - Ajonjoli / Sesame Seeds"/>
    <n v="2"/>
    <s v="Se repite 2 veces en Tradiciones Andinas"/>
    <s v="Tradiciones Andinas-Tradiciones Andinas - Ajonjoli / Sesame Seeds-12.6"/>
    <n v="2"/>
    <s v="Se repite 2 veces el precio de 12.6"/>
    <s v="El producto Tradiciones Andinas - Ajonjoli / Sesame Seeds Se repite 2 veces en Tradiciones Andinas, Se repite 2 veces el precio de 12.6"/>
  </r>
  <r>
    <x v="3"/>
    <x v="4"/>
    <s v="Bill"/>
    <s v="480295"/>
    <x v="376"/>
    <s v="Tradiciones Andinas - Algarrobina"/>
    <n v="2"/>
    <n v="78.959999999999994"/>
    <n v="157.91999999999999"/>
    <n v="37973.279999999999"/>
    <n v="5"/>
    <s v="Se repite 5 veces"/>
    <s v="Tradiciones Andinas-Tradiciones Andinas - Algarrobina"/>
    <n v="5"/>
    <s v="Se repite 5 veces en Tradiciones Andinas"/>
    <s v="Tradiciones Andinas-Tradiciones Andinas - Algarrobina-78.96"/>
    <n v="5"/>
    <s v="Se repite 5 veces el precio de 78.96"/>
    <s v="El producto Tradiciones Andinas - Algarrobina Se repite 5 veces en Tradiciones Andinas, Se repite 5 veces el precio de 78.96"/>
  </r>
  <r>
    <x v="3"/>
    <x v="13"/>
    <s v="Bill"/>
    <s v="485230"/>
    <x v="376"/>
    <s v="TRADICIONES ANDINAS - PERU -  MISCELANEUS PRODUCTS -  Tradiciones Andinas - Algarrobina-  24 / 500gr - P00413"/>
    <n v="1"/>
    <n v="78.959999999999994"/>
    <n v="78.959999999999994"/>
    <n v="69718.800000000017"/>
    <n v="5"/>
    <s v="Se repite 5 veces"/>
    <s v="Tradiciones Andinas-Tradiciones Andinas - Algarrobina"/>
    <n v="5"/>
    <s v="Se repite 5 veces en Tradiciones Andinas"/>
    <s v="Tradiciones Andinas-Tradiciones Andinas - Algarrobina-78.96"/>
    <n v="5"/>
    <s v="Se repite 5 veces el precio de 78.96"/>
    <s v="El producto Tradiciones Andinas - Algarrobina Se repite 5 veces en Tradiciones Andinas, Se repite 5 veces el precio de 78.96"/>
  </r>
  <r>
    <x v="3"/>
    <x v="6"/>
    <s v="Bill"/>
    <s v="487860"/>
    <x v="376"/>
    <s v="TRADICIONES ANDINAS - PERU -  MISCELANEUS PRODUCTS -  Tradiciones Andinas - Algarrobina-  24 / 500gr - P00413"/>
    <n v="1"/>
    <n v="78.959999999999994"/>
    <n v="78.959999999999994"/>
    <n v="79821.13999999997"/>
    <n v="5"/>
    <s v="Se repite 5 veces"/>
    <s v="Tradiciones Andinas-Tradiciones Andinas - Algarrobina"/>
    <n v="5"/>
    <s v="Se repite 5 veces en Tradiciones Andinas"/>
    <s v="Tradiciones Andinas-Tradiciones Andinas - Algarrobina-78.96"/>
    <n v="5"/>
    <s v="Se repite 5 veces el precio de 78.96"/>
    <s v="El producto Tradiciones Andinas - Algarrobina Se repite 5 veces en Tradiciones Andinas, Se repite 5 veces el precio de 78.96"/>
  </r>
  <r>
    <x v="3"/>
    <x v="7"/>
    <s v="Bill"/>
    <s v="492743"/>
    <x v="376"/>
    <s v="TRADICIONES ANDINAS - PERU -  MISCELANEUS PRODUCTS -  Tradiciones Andinas - Algarrobina-  24 / 500gr - P00413"/>
    <n v="1"/>
    <n v="78.959999999999994"/>
    <n v="78.959999999999994"/>
    <n v="106553.52999999993"/>
    <n v="5"/>
    <s v="Se repite 5 veces"/>
    <s v="Tradiciones Andinas-Tradiciones Andinas - Algarrobina"/>
    <n v="5"/>
    <s v="Se repite 5 veces en Tradiciones Andinas"/>
    <s v="Tradiciones Andinas-Tradiciones Andinas - Algarrobina-78.96"/>
    <n v="5"/>
    <s v="Se repite 5 veces el precio de 78.96"/>
    <s v="El producto Tradiciones Andinas - Algarrobina Se repite 5 veces en Tradiciones Andinas, Se repite 5 veces el precio de 78.96"/>
  </r>
  <r>
    <x v="3"/>
    <x v="14"/>
    <s v="Bill"/>
    <s v="493132"/>
    <x v="376"/>
    <s v="TRADICIONES ANDINAS - PERU -  MISCELANEUS PRODUCTS -  Tradiciones Andinas - Algarrobina-  24 / 500gr - P00413"/>
    <n v="1"/>
    <n v="78.959999999999994"/>
    <n v="78.959999999999994"/>
    <n v="117990.11999999991"/>
    <n v="5"/>
    <s v="Se repite 5 veces"/>
    <s v="Tradiciones Andinas-Tradiciones Andinas - Algarrobina"/>
    <n v="5"/>
    <s v="Se repite 5 veces en Tradiciones Andinas"/>
    <s v="Tradiciones Andinas-Tradiciones Andinas - Algarrobina-78.96"/>
    <n v="5"/>
    <s v="Se repite 5 veces el precio de 78.96"/>
    <s v="El producto Tradiciones Andinas - Algarrobina Se repite 5 veces en Tradiciones Andinas, Se repite 5 veces el precio de 78.96"/>
  </r>
  <r>
    <x v="3"/>
    <x v="25"/>
    <s v="Bill"/>
    <s v="483292"/>
    <x v="377"/>
    <s v="Tradiciones Andinas - Canela Molida / Ground Cinnamon"/>
    <n v="3"/>
    <n v="12.6"/>
    <n v="37.799999999999997"/>
    <n v="61972.989999999947"/>
    <n v="3"/>
    <s v="Se repite 3 veces"/>
    <s v="Tradiciones Andinas-Tradiciones Andinas - Canela Molida / Ground Cinnamon"/>
    <n v="3"/>
    <s v="Se repite 3 veces en Tradiciones Andinas"/>
    <s v="Tradiciones Andinas-Tradiciones Andinas - Canela Molida / Ground Cinnamon-12.6"/>
    <n v="3"/>
    <s v="Se repite 3 veces el precio de 12.6"/>
    <s v="El producto Tradiciones Andinas - Canela Molida / Ground Cinnamon Se repite 3 veces en Tradiciones Andinas, Se repite 3 veces el precio de 12.6"/>
  </r>
  <r>
    <x v="3"/>
    <x v="13"/>
    <s v="Bill"/>
    <s v="485230"/>
    <x v="377"/>
    <s v="Tradiciones Andinas - Canela Molida / Ground Cinnamon"/>
    <n v="2"/>
    <n v="12.6"/>
    <n v="25.2"/>
    <n v="69954.570000000022"/>
    <n v="3"/>
    <s v="Se repite 3 veces"/>
    <s v="Tradiciones Andinas-Tradiciones Andinas - Canela Molida / Ground Cinnamon"/>
    <n v="3"/>
    <s v="Se repite 3 veces en Tradiciones Andinas"/>
    <s v="Tradiciones Andinas-Tradiciones Andinas - Canela Molida / Ground Cinnamon-12.6"/>
    <n v="3"/>
    <s v="Se repite 3 veces el precio de 12.6"/>
    <s v="El producto Tradiciones Andinas - Canela Molida / Ground Cinnamon Se repite 3 veces en Tradiciones Andinas, Se repite 3 veces el precio de 12.6"/>
  </r>
  <r>
    <x v="3"/>
    <x v="6"/>
    <s v="Bill"/>
    <s v="487860"/>
    <x v="377"/>
    <s v="Tradiciones Andinas - Canela Molida / Ground Cinnamon"/>
    <n v="2"/>
    <n v="12.6"/>
    <n v="25.2"/>
    <n v="81622.829999999973"/>
    <n v="3"/>
    <s v="Se repite 3 veces"/>
    <s v="Tradiciones Andinas-Tradiciones Andinas - Canela Molida / Ground Cinnamon"/>
    <n v="3"/>
    <s v="Se repite 3 veces en Tradiciones Andinas"/>
    <s v="Tradiciones Andinas-Tradiciones Andinas - Canela Molida / Ground Cinnamon-12.6"/>
    <n v="3"/>
    <s v="Se repite 3 veces el precio de 12.6"/>
    <s v="El producto Tradiciones Andinas - Canela Molida / Ground Cinnamon Se repite 3 veces en Tradiciones Andinas, Se repite 3 veces el precio de 12.6"/>
  </r>
  <r>
    <x v="3"/>
    <x v="25"/>
    <s v="Bill"/>
    <s v="483292"/>
    <x v="378"/>
    <s v="Tradiciones Andinas - Comino Molido"/>
    <n v="3"/>
    <n v="12.6"/>
    <n v="37.799999999999997"/>
    <n v="61847.34999999994"/>
    <n v="3"/>
    <s v="Se repite 3 veces"/>
    <s v="Tradiciones Andinas-Tradiciones Andinas - Comino Molido"/>
    <n v="3"/>
    <s v="Se repite 3 veces en Tradiciones Andinas"/>
    <s v="Tradiciones Andinas-Tradiciones Andinas - Comino Molido-12.6"/>
    <n v="3"/>
    <s v="Se repite 3 veces el precio de 12.6"/>
    <s v="El producto Tradiciones Andinas - Comino Molido Se repite 3 veces en Tradiciones Andinas, Se repite 3 veces el precio de 12.6"/>
  </r>
  <r>
    <x v="3"/>
    <x v="13"/>
    <s v="Bill"/>
    <s v="485230"/>
    <x v="378"/>
    <s v="Tradiciones Andinas - Comino Molido"/>
    <n v="3"/>
    <n v="12.6"/>
    <n v="37.799999999999997"/>
    <n v="69929.370000000024"/>
    <n v="3"/>
    <s v="Se repite 3 veces"/>
    <s v="Tradiciones Andinas-Tradiciones Andinas - Comino Molido"/>
    <n v="3"/>
    <s v="Se repite 3 veces en Tradiciones Andinas"/>
    <s v="Tradiciones Andinas-Tradiciones Andinas - Comino Molido-12.6"/>
    <n v="3"/>
    <s v="Se repite 3 veces el precio de 12.6"/>
    <s v="El producto Tradiciones Andinas - Comino Molido Se repite 3 veces en Tradiciones Andinas, Se repite 3 veces el precio de 12.6"/>
  </r>
  <r>
    <x v="3"/>
    <x v="6"/>
    <s v="Bill"/>
    <s v="487860"/>
    <x v="378"/>
    <s v="Tradiciones Andinas - Comino Molido"/>
    <n v="6"/>
    <n v="12.6"/>
    <n v="75.599999999999994"/>
    <n v="81388.589999999967"/>
    <n v="3"/>
    <s v="Se repite 3 veces"/>
    <s v="Tradiciones Andinas-Tradiciones Andinas - Comino Molido"/>
    <n v="3"/>
    <s v="Se repite 3 veces en Tradiciones Andinas"/>
    <s v="Tradiciones Andinas-Tradiciones Andinas - Comino Molido-12.6"/>
    <n v="3"/>
    <s v="Se repite 3 veces el precio de 12.6"/>
    <s v="El producto Tradiciones Andinas - Comino Molido Se repite 3 veces en Tradiciones Andinas, Se repite 3 veces el precio de 12.6"/>
  </r>
  <r>
    <x v="3"/>
    <x v="11"/>
    <s v="Bill"/>
    <s v="478734"/>
    <x v="379"/>
    <s v="TA- PERU -  INFUSIONES -  TRADICIONES ANDINAS - Manzanilla - Chamomille Tea-  30 / 20x24g - TE01"/>
    <n v="2"/>
    <n v="27.29"/>
    <n v="54.58"/>
    <n v="29609.499999999996"/>
    <n v="6"/>
    <s v="Se repite 6 veces"/>
    <s v="Tradiciones Andinas-TRADICIONES ANDINAS - Manzanilla filtrante - Chamomille Tea 24gr x 20 x 30"/>
    <n v="6"/>
    <s v="Se repite 6 veces en Tradiciones Andinas"/>
    <s v="Tradiciones Andinas-TRADICIONES ANDINAS - Manzanilla filtrante - Chamomille Tea 24gr x 20 x 30-27.29"/>
    <n v="6"/>
    <s v="Se repite 6 veces el precio de 27.29"/>
    <s v="El producto TRADICIONES ANDINAS - Manzanilla filtrante - Chamomille Tea 24gr x 20 x 30 Se repite 6 veces en Tradiciones Andinas, Se repite 6 veces el precio de 27.29"/>
  </r>
  <r>
    <x v="3"/>
    <x v="4"/>
    <s v="Bill"/>
    <s v="480295"/>
    <x v="379"/>
    <s v="TA- PERU -  INFUSIONES -  TRADICIONES ANDINAS - Manzanilla - Chamomille Tea-  30 / 20x24g - TE01"/>
    <n v="1"/>
    <n v="27.29"/>
    <n v="27.29"/>
    <n v="40133.089999999997"/>
    <n v="6"/>
    <s v="Se repite 6 veces"/>
    <s v="Tradiciones Andinas-TRADICIONES ANDINAS - Manzanilla filtrante - Chamomille Tea 24gr x 20 x 30"/>
    <n v="6"/>
    <s v="Se repite 6 veces en Tradiciones Andinas"/>
    <s v="Tradiciones Andinas-TRADICIONES ANDINAS - Manzanilla filtrante - Chamomille Tea 24gr x 20 x 30-27.29"/>
    <n v="6"/>
    <s v="Se repite 6 veces el precio de 27.29"/>
    <s v="El producto TRADICIONES ANDINAS - Manzanilla filtrante - Chamomille Tea 24gr x 20 x 30 Se repite 6 veces en Tradiciones Andinas, Se repite 6 veces el precio de 27.29"/>
  </r>
  <r>
    <x v="3"/>
    <x v="5"/>
    <s v="Bill"/>
    <s v="482005"/>
    <x v="379"/>
    <s v="TA- PERU -  INFUSIONES -  TRADICIONES ANDINAS - Manzanilla - Chamomille Tea-  30 / 20x24g - TE01"/>
    <n v="1"/>
    <n v="27.29"/>
    <n v="27.29"/>
    <n v="53646.329999999951"/>
    <n v="6"/>
    <s v="Se repite 6 veces"/>
    <s v="Tradiciones Andinas-TRADICIONES ANDINAS - Manzanilla filtrante - Chamomille Tea 24gr x 20 x 30"/>
    <n v="6"/>
    <s v="Se repite 6 veces en Tradiciones Andinas"/>
    <s v="Tradiciones Andinas-TRADICIONES ANDINAS - Manzanilla filtrante - Chamomille Tea 24gr x 20 x 30-27.29"/>
    <n v="6"/>
    <s v="Se repite 6 veces el precio de 27.29"/>
    <s v="El producto TRADICIONES ANDINAS - Manzanilla filtrante - Chamomille Tea 24gr x 20 x 30 Se repite 6 veces en Tradiciones Andinas, Se repite 6 veces el precio de 27.29"/>
  </r>
  <r>
    <x v="3"/>
    <x v="25"/>
    <s v="Bill"/>
    <s v="483292"/>
    <x v="379"/>
    <s v="TA- PERU -  INFUSIONES -  TRADICIONES ANDINAS - Manzanilla - Chamomille Tea-  30 / 20x24g - TE01"/>
    <n v="1"/>
    <n v="27.29"/>
    <n v="27.29"/>
    <n v="62064.479999999952"/>
    <n v="6"/>
    <s v="Se repite 6 veces"/>
    <s v="Tradiciones Andinas-TRADICIONES ANDINAS - Manzanilla filtrante - Chamomille Tea 24gr x 20 x 30"/>
    <n v="6"/>
    <s v="Se repite 6 veces en Tradiciones Andinas"/>
    <s v="Tradiciones Andinas-TRADICIONES ANDINAS - Manzanilla filtrante - Chamomille Tea 24gr x 20 x 30-27.29"/>
    <n v="6"/>
    <s v="Se repite 6 veces el precio de 27.29"/>
    <s v="El producto TRADICIONES ANDINAS - Manzanilla filtrante - Chamomille Tea 24gr x 20 x 30 Se repite 6 veces en Tradiciones Andinas, Se repite 6 veces el precio de 27.29"/>
  </r>
  <r>
    <x v="3"/>
    <x v="6"/>
    <s v="Bill"/>
    <s v="487860"/>
    <x v="379"/>
    <s v="TA- PERU -  INFUSIONES -  TRADICIONES ANDINAS - Manzanilla - Chamomille Tea-  30 / 20x24g - TE01"/>
    <n v="3"/>
    <n v="27.29"/>
    <n v="81.87"/>
    <n v="83096.459999999963"/>
    <n v="6"/>
    <s v="Se repite 6 veces"/>
    <s v="Tradiciones Andinas-TRADICIONES ANDINAS - Manzanilla filtrante - Chamomille Tea 24gr x 20 x 30"/>
    <n v="6"/>
    <s v="Se repite 6 veces en Tradiciones Andinas"/>
    <s v="Tradiciones Andinas-TRADICIONES ANDINAS - Manzanilla filtrante - Chamomille Tea 24gr x 20 x 30-27.29"/>
    <n v="6"/>
    <s v="Se repite 6 veces el precio de 27.29"/>
    <s v="El producto TRADICIONES ANDINAS - Manzanilla filtrante - Chamomille Tea 24gr x 20 x 30 Se repite 6 veces en Tradiciones Andinas, Se repite 6 veces el precio de 27.29"/>
  </r>
  <r>
    <x v="3"/>
    <x v="7"/>
    <s v="Bill"/>
    <s v="492743"/>
    <x v="379"/>
    <s v="TA- PERU -  INFUSIONES -  TRADICIONES ANDINAS - Manzanilla - Chamomille Tea-  30 / 20x24g - TE01"/>
    <n v="5"/>
    <n v="27.29"/>
    <n v="136.44999999999999"/>
    <n v="108607.77999999991"/>
    <n v="6"/>
    <s v="Se repite 6 veces"/>
    <s v="Tradiciones Andinas-TRADICIONES ANDINAS - Manzanilla filtrante - Chamomille Tea 24gr x 20 x 30"/>
    <n v="6"/>
    <s v="Se repite 6 veces en Tradiciones Andinas"/>
    <s v="Tradiciones Andinas-TRADICIONES ANDINAS - Manzanilla filtrante - Chamomille Tea 24gr x 20 x 30-27.29"/>
    <n v="6"/>
    <s v="Se repite 6 veces el precio de 27.29"/>
    <s v="El producto TRADICIONES ANDINAS - Manzanilla filtrante - Chamomille Tea 24gr x 20 x 30 Se repite 6 veces en Tradiciones Andinas, Se repite 6 veces el precio de 27.29"/>
  </r>
  <r>
    <x v="3"/>
    <x v="14"/>
    <s v="Bill"/>
    <s v="493132"/>
    <x v="380"/>
    <s v="TRADICIONES ANDINAS - PERU -  MISCELANEUS PRODUCTS -  Tradiciones Andinas - Miel de Abeja-  24 / 500gr - P00412"/>
    <n v="1"/>
    <n v="98.16"/>
    <n v="98.16"/>
    <n v="117911.1599999999"/>
    <n v="1"/>
    <s v="No se repite"/>
    <s v="Tradiciones Andinas-Tradiciones Andinas  Miel de Abeja 500gr x 24"/>
    <n v="1"/>
    <s v="No se repite en proveedor"/>
    <s v="Tradiciones Andinas-Tradiciones Andinas  Miel de Abeja 500gr x 24-98.16"/>
    <n v="1"/>
    <s v="No se repite"/>
    <s v="El producto Tradiciones Andinas  Miel de Abeja 500gr x 24 No se repite en proveedor Una vez con el precio 98.16"/>
  </r>
  <r>
    <x v="3"/>
    <x v="6"/>
    <s v="Bill"/>
    <s v="487860"/>
    <x v="381"/>
    <s v="TRADICIONES ANDINAS - PERU -  CONDIMENT PRODUCTS -  Tradiciones Andinas - Orégano Entero / Whole Oregano-  12 / 1.41oz - P112"/>
    <n v="12"/>
    <n v="18.600000000000001"/>
    <n v="223.2"/>
    <n v="81871.229999999967"/>
    <n v="1"/>
    <s v="No se repite"/>
    <s v="Tradiciones Andinas-Tradiciones Andinas - Orégano Entero / Whole Oregano"/>
    <n v="1"/>
    <s v="No se repite en proveedor"/>
    <s v="Tradiciones Andinas-Tradiciones Andinas - Orégano Entero / Whole Oregano-18.6"/>
    <n v="1"/>
    <s v="No se repite"/>
    <s v="El producto Tradiciones Andinas - Orégano Entero / Whole Oregano No se repite en proveedor Una vez con el precio 18.6"/>
  </r>
  <r>
    <x v="3"/>
    <x v="4"/>
    <s v="Bill"/>
    <s v="480295"/>
    <x v="382"/>
    <s v="Tradiciones Andinas - Palillo /Curcuma"/>
    <n v="4"/>
    <n v="12.6"/>
    <n v="50.4"/>
    <n v="38935"/>
    <n v="2"/>
    <s v="Se repite 2 veces"/>
    <s v="Tradiciones Andinas-Tradiciones Andinas - Palillo /Curcuma"/>
    <n v="2"/>
    <s v="Se repite 2 veces en Tradiciones Andinas"/>
    <s v="Tradiciones Andinas-Tradiciones Andinas - Palillo /Curcuma-12.6"/>
    <n v="2"/>
    <s v="Se repite 2 veces el precio de 12.6"/>
    <s v="El producto Tradiciones Andinas - Palillo /Curcuma Se repite 2 veces en Tradiciones Andinas, Se repite 2 veces el precio de 12.6"/>
  </r>
  <r>
    <x v="3"/>
    <x v="6"/>
    <s v="Bill"/>
    <s v="487860"/>
    <x v="382"/>
    <s v="TRADICIONES ANDINAS - PERU -  CONDIMENT PRODUCTS -  Tradiciones Andinas - Palillo /Curcuma -  12 / 1.76oz - P101"/>
    <n v="10"/>
    <n v="12.6"/>
    <n v="126"/>
    <n v="81312.989999999962"/>
    <n v="2"/>
    <s v="Se repite 2 veces"/>
    <s v="Tradiciones Andinas-Tradiciones Andinas - Palillo /Curcuma"/>
    <n v="2"/>
    <s v="Se repite 2 veces en Tradiciones Andinas"/>
    <s v="Tradiciones Andinas-Tradiciones Andinas - Palillo /Curcuma-12.6"/>
    <n v="2"/>
    <s v="Se repite 2 veces el precio de 12.6"/>
    <s v="El producto Tradiciones Andinas - Palillo /Curcuma Se repite 2 veces en Tradiciones Andinas, Se repite 2 veces el precio de 12.6"/>
  </r>
  <r>
    <x v="3"/>
    <x v="25"/>
    <s v="Bill"/>
    <s v="483292"/>
    <x v="383"/>
    <s v="Tradiciones Andinas -Pimenton / Paprika"/>
    <n v="3"/>
    <n v="12.6"/>
    <n v="37.799999999999997"/>
    <n v="61935.189999999944"/>
    <n v="2"/>
    <s v="Se repite 2 veces"/>
    <s v="Tradiciones Andinas-Tradiciones Andinas Pimenton / Paprika 1.76oz x 12"/>
    <n v="2"/>
    <s v="Se repite 2 veces en Tradiciones Andinas"/>
    <s v="Tradiciones Andinas-Tradiciones Andinas Pimenton / Paprika 1.76oz x 12-12.6"/>
    <n v="2"/>
    <s v="Se repite 2 veces el precio de 12.6"/>
    <s v="El producto Tradiciones Andinas Pimenton / Paprika 1.76oz x 12 Se repite 2 veces en Tradiciones Andinas, Se repite 2 veces el precio de 12.6"/>
  </r>
  <r>
    <x v="3"/>
    <x v="6"/>
    <s v="Bill"/>
    <s v="487860"/>
    <x v="383"/>
    <s v="Tradiciones Andinas -Pimenton / Paprika"/>
    <n v="6"/>
    <n v="12.6"/>
    <n v="75.599999999999994"/>
    <n v="81597.629999999976"/>
    <n v="2"/>
    <s v="Se repite 2 veces"/>
    <s v="Tradiciones Andinas-Tradiciones Andinas Pimenton / Paprika 1.76oz x 12"/>
    <n v="2"/>
    <s v="Se repite 2 veces en Tradiciones Andinas"/>
    <s v="Tradiciones Andinas-Tradiciones Andinas Pimenton / Paprika 1.76oz x 12-12.6"/>
    <n v="2"/>
    <s v="Se repite 2 veces el precio de 12.6"/>
    <s v="El producto Tradiciones Andinas Pimenton / Paprika 1.76oz x 12 Se repite 2 veces en Tradiciones Andinas, Se repite 2 veces el precio de 12.6"/>
  </r>
  <r>
    <x v="3"/>
    <x v="7"/>
    <s v="Bill"/>
    <s v="492743"/>
    <x v="384"/>
    <s v="TA- PERU -  GOLOSINAS - DULCES  -  Trigo con Maca-  20 / 125g - CH156"/>
    <n v="2"/>
    <n v="22"/>
    <n v="44"/>
    <n v="112594.17999999988"/>
    <n v="1"/>
    <s v="No se repite"/>
    <s v="Tradiciones Andinas-Trigo Atomico con Maca 125gr x 20"/>
    <n v="1"/>
    <s v="No se repite en proveedor"/>
    <s v="Tradiciones Andinas-Trigo Atomico con Maca 125gr x 20-22"/>
    <n v="1"/>
    <s v="No se repite"/>
    <s v="El producto Trigo Atomico con Maca 125gr x 20 No se repite en proveedor Una vez con el precio 22"/>
  </r>
  <r>
    <x v="3"/>
    <x v="9"/>
    <s v="Bill"/>
    <s v=""/>
    <x v="385"/>
    <s v="Trigo Atomico original con Miel"/>
    <n v="4"/>
    <n v="20"/>
    <n v="80"/>
    <n v="6685.6399999999994"/>
    <n v="3"/>
    <s v="Se repite 3 veces"/>
    <s v="Tradiciones Andinas-Trigo Atomico original con Miel 125gr x 20"/>
    <n v="3"/>
    <s v="Se repite 3 veces en Tradiciones Andinas"/>
    <s v="Tradiciones Andinas-Trigo Atomico original con Miel 125gr x 20-20"/>
    <n v="1"/>
    <s v="No se repite"/>
    <s v="El producto Trigo Atomico original con Miel 125gr x 20 Se repite 3 veces en Tradiciones Andinas Una vez con el precio 20"/>
  </r>
  <r>
    <x v="3"/>
    <x v="4"/>
    <s v="Bill"/>
    <s v="480295"/>
    <x v="385"/>
    <s v="TA- PERU -  GOLOSINAS - DULCES  -  Trigo Atomico original con Miel-  20 / 4.41z (125g) - CH134"/>
    <n v="5"/>
    <n v="21.4"/>
    <n v="107"/>
    <n v="40792.099999999991"/>
    <n v="3"/>
    <s v="Se repite 3 veces"/>
    <s v="Tradiciones Andinas-Trigo Atomico original con Miel 125gr x 20"/>
    <n v="3"/>
    <s v="Se repite 3 veces en Tradiciones Andinas"/>
    <s v="Tradiciones Andinas-Trigo Atomico original con Miel 125gr x 20-21.4"/>
    <n v="2"/>
    <s v="Se repite 2 veces el precio de 21.4"/>
    <s v="El producto Trigo Atomico original con Miel 125gr x 20 Se repite 3 veces en Tradiciones Andinas, Se repite 2 veces el precio de 21.4"/>
  </r>
  <r>
    <x v="3"/>
    <x v="27"/>
    <s v="Bill"/>
    <s v="491180"/>
    <x v="385"/>
    <s v="TA- PERU -  GOLOSINAS - DULCES  -  Trigo Atomico original con Miel-  20 / 4.41z (125g) - CH134"/>
    <n v="5"/>
    <n v="21.4"/>
    <n v="107"/>
    <n v="102922.86999999992"/>
    <n v="3"/>
    <s v="Se repite 3 veces"/>
    <s v="Tradiciones Andinas-Trigo Atomico original con Miel 125gr x 20"/>
    <n v="3"/>
    <s v="Se repite 3 veces en Tradiciones Andinas"/>
    <s v="Tradiciones Andinas-Trigo Atomico original con Miel 125gr x 20-21.4"/>
    <n v="2"/>
    <s v="Se repite 2 veces el precio de 21.4"/>
    <s v="El producto Trigo Atomico original con Miel 125gr x 20 Se repite 3 veces en Tradiciones Andinas, Se repite 2 veces el precio de 21.4"/>
  </r>
  <r>
    <x v="2"/>
    <x v="3"/>
    <s v="Bill"/>
    <s v="64308"/>
    <x v="386"/>
    <s v="Uchucuta A la Cena - crema de rocoto 17.06 (400gr) x 12 / 7750243066181 / AL-04"/>
    <n v="10"/>
    <n v="39.5"/>
    <n v="395"/>
    <n v="2913.8"/>
    <n v="7"/>
    <s v="Se repite 7 veces"/>
    <s v="Belmont International Trading Corp-Uchucuta A la Cena 17.06 (400gr) x 12"/>
    <n v="3"/>
    <s v="Se repite 3 veces en Belmont International Trading Corp"/>
    <s v="Belmont International Trading Corp-Uchucuta A la Cena 17.06 (400gr) x 12-39.5"/>
    <n v="1"/>
    <s v="No se repite"/>
    <s v="El producto Uchucuta A la Cena 17.06 (400gr) x 12 Se repite 3 veces en Belmont International Trading Corp Una vez con el precio 39.5"/>
  </r>
  <r>
    <x v="2"/>
    <x v="19"/>
    <s v="Bill"/>
    <s v="65207"/>
    <x v="386"/>
    <s v="Uchucuta A la Cena - crema de rocoto 17.06 (400gr) x 12 / 7750243066181 / AL-04"/>
    <n v="12"/>
    <n v="43.5"/>
    <n v="522"/>
    <n v="9148.74"/>
    <n v="7"/>
    <s v="Se repite 7 veces"/>
    <s v="Belmont International Trading Corp-Uchucuta A la Cena 17.06 (400gr) x 12"/>
    <n v="3"/>
    <s v="Se repite 3 veces en Belmont International Trading Corp"/>
    <s v="Belmont International Trading Corp-Uchucuta A la Cena 17.06 (400gr) x 12-43.5"/>
    <n v="2"/>
    <s v="Se repite 2 veces el precio de 43.5"/>
    <s v="El producto Uchucuta A la Cena 17.06 (400gr) x 12 Se repite 3 veces en Belmont International Trading Corp, Se repite 2 veces el precio de 43.5"/>
  </r>
  <r>
    <x v="2"/>
    <x v="4"/>
    <s v="Bill"/>
    <s v="66496"/>
    <x v="386"/>
    <s v="Uchucuta A la Cena - crema de rocoto 17.06 (400gr) x 12 / 7750243066181 / AL-04"/>
    <n v="5"/>
    <n v="43.5"/>
    <n v="217.5"/>
    <n v="13708.74"/>
    <n v="7"/>
    <s v="Se repite 7 veces"/>
    <s v="Belmont International Trading Corp-Uchucuta A la Cena 17.06 (400gr) x 12"/>
    <n v="3"/>
    <s v="Se repite 3 veces en Belmont International Trading Corp"/>
    <s v="Belmont International Trading Corp-Uchucuta A la Cena 17.06 (400gr) x 12-43.5"/>
    <n v="2"/>
    <s v="Se repite 2 veces el precio de 43.5"/>
    <s v="El producto Uchucuta A la Cena 17.06 (400gr) x 12 Se repite 3 veces en Belmont International Trading Corp, Se repite 2 veces el precio de 43.5"/>
  </r>
  <r>
    <x v="1"/>
    <x v="1"/>
    <s v="Bill"/>
    <s v="2025001378"/>
    <x v="386"/>
    <s v="Uchucuta A la Cena - crema de rocoto 17.06 (400gr) x 12 / 7750243066181 / AL-04"/>
    <n v="3"/>
    <n v="35"/>
    <n v="105"/>
    <n v="22657"/>
    <n v="7"/>
    <s v="Se repite 7 veces"/>
    <s v="Peru Chef-Uchucuta A la Cena 17.06 (400gr) x 12"/>
    <n v="4"/>
    <s v="Se repite 4 veces en Peru Chef"/>
    <s v="Peru Chef-Uchucuta A la Cena 17.06 (400gr) x 12-35"/>
    <n v="4"/>
    <s v="Se repite 4 veces el precio de 35"/>
    <s v="El producto Uchucuta A la Cena 17.06 (400gr) x 12 Se repite 4 veces en Peru Chef, Se repite 4 veces el precio de 35"/>
  </r>
  <r>
    <x v="1"/>
    <x v="2"/>
    <s v="Bill"/>
    <s v="2025001691"/>
    <x v="386"/>
    <s v="Uchucuta A la Cena - crema de rocoto 17.06 (400gr) x 12 / 7750243066181 / AL-04"/>
    <n v="10"/>
    <n v="35"/>
    <n v="350"/>
    <n v="26214"/>
    <n v="7"/>
    <s v="Se repite 7 veces"/>
    <s v="Peru Chef-Uchucuta A la Cena 17.06 (400gr) x 12"/>
    <n v="4"/>
    <s v="Se repite 4 veces en Peru Chef"/>
    <s v="Peru Chef-Uchucuta A la Cena 17.06 (400gr) x 12-35"/>
    <n v="4"/>
    <s v="Se repite 4 veces el precio de 35"/>
    <s v="El producto Uchucuta A la Cena 17.06 (400gr) x 12 Se repite 4 veces en Peru Chef, Se repite 4 veces el precio de 35"/>
  </r>
  <r>
    <x v="1"/>
    <x v="16"/>
    <s v="Bill"/>
    <s v=""/>
    <x v="386"/>
    <s v="Uchucuta A la Cena - crema de rocoto 17.06 (400gr) x 12 / 7750243066181 / AL-04"/>
    <n v="3"/>
    <n v="35"/>
    <n v="105"/>
    <n v="33918.199999999997"/>
    <n v="7"/>
    <s v="Se repite 7 veces"/>
    <s v="Peru Chef-Uchucuta A la Cena 17.06 (400gr) x 12"/>
    <n v="4"/>
    <s v="Se repite 4 veces en Peru Chef"/>
    <s v="Peru Chef-Uchucuta A la Cena 17.06 (400gr) x 12-35"/>
    <n v="4"/>
    <s v="Se repite 4 veces el precio de 35"/>
    <s v="El producto Uchucuta A la Cena 17.06 (400gr) x 12 Se repite 4 veces en Peru Chef, Se repite 4 veces el precio de 35"/>
  </r>
  <r>
    <x v="1"/>
    <x v="18"/>
    <s v="Bill"/>
    <s v="2025002374"/>
    <x v="386"/>
    <s v="Uchucuta A la Cena - crema de rocoto 17.06 (400gr) x 12 / 7750243066181 / AL-04"/>
    <n v="6"/>
    <n v="35"/>
    <n v="210"/>
    <n v="38312.850000000006"/>
    <n v="7"/>
    <s v="Se repite 7 veces"/>
    <s v="Peru Chef-Uchucuta A la Cena 17.06 (400gr) x 12"/>
    <n v="4"/>
    <s v="Se repite 4 veces en Peru Chef"/>
    <s v="Peru Chef-Uchucuta A la Cena 17.06 (400gr) x 12-35"/>
    <n v="4"/>
    <s v="Se repite 4 veces el precio de 35"/>
    <s v="El producto Uchucuta A la Cena 17.06 (400gr) x 12 Se repite 4 veces en Peru Chef, Se repite 4 veces el precio de 35"/>
  </r>
  <r>
    <x v="3"/>
    <x v="10"/>
    <s v="Bill"/>
    <s v="476974"/>
    <x v="387"/>
    <s v="Bicarbonato de Sodio - Baking soda"/>
    <n v="3"/>
    <n v="12"/>
    <n v="36"/>
    <n v="18324.179999999997"/>
    <n v="4"/>
    <s v="Se repite 4 veces"/>
    <s v="Tradiciones Andinas-Universal Bicarbonato de Sodio - Baking soda 100gr x 12"/>
    <n v="4"/>
    <s v="Se repite 4 veces en Tradiciones Andinas"/>
    <s v="Tradiciones Andinas-Universal Bicarbonato de Sodio - Baking soda 100gr x 12-12"/>
    <n v="1"/>
    <s v="No se repite"/>
    <s v="El producto Universal Bicarbonato de Sodio - Baking soda 100gr x 12 Se repite 4 veces en Tradiciones Andinas Una vez con el precio 12"/>
  </r>
  <r>
    <x v="3"/>
    <x v="4"/>
    <s v="Bill"/>
    <s v="480295"/>
    <x v="387"/>
    <s v="TA - UNIVERSAL PRODUCTS- PERU -   -  Bicarbonato de Sodio - Baking soda-  12 / 100g - U137"/>
    <n v="1"/>
    <n v="12.84"/>
    <n v="12.84"/>
    <n v="40505.099999999991"/>
    <n v="4"/>
    <s v="Se repite 4 veces"/>
    <s v="Tradiciones Andinas-Universal Bicarbonato de Sodio - Baking soda 100gr x 12"/>
    <n v="4"/>
    <s v="Se repite 4 veces en Tradiciones Andinas"/>
    <s v="Tradiciones Andinas-Universal Bicarbonato de Sodio - Baking soda 100gr x 12-12.84"/>
    <n v="3"/>
    <s v="Se repite 3 veces el precio de 12.84"/>
    <s v="El producto Universal Bicarbonato de Sodio - Baking soda 100gr x 12 Se repite 4 veces en Tradiciones Andinas, Se repite 3 veces el precio de 12.84"/>
  </r>
  <r>
    <x v="3"/>
    <x v="45"/>
    <s v="Bill"/>
    <s v="480888"/>
    <x v="387"/>
    <s v="TA - UNIVERSAL PRODUCTS- PERU -   -  Bicarbonato de Sodio - Baking soda-  12 / 100g - U137"/>
    <n v="3"/>
    <n v="12.84"/>
    <n v="38.520000000000003"/>
    <n v="45448.549999999996"/>
    <n v="4"/>
    <s v="Se repite 4 veces"/>
    <s v="Tradiciones Andinas-Universal Bicarbonato de Sodio - Baking soda 100gr x 12"/>
    <n v="4"/>
    <s v="Se repite 4 veces en Tradiciones Andinas"/>
    <s v="Tradiciones Andinas-Universal Bicarbonato de Sodio - Baking soda 100gr x 12-12.84"/>
    <n v="3"/>
    <s v="Se repite 3 veces el precio de 12.84"/>
    <s v="El producto Universal Bicarbonato de Sodio - Baking soda 100gr x 12 Se repite 4 veces en Tradiciones Andinas, Se repite 3 veces el precio de 12.84"/>
  </r>
  <r>
    <x v="3"/>
    <x v="5"/>
    <s v="Bill"/>
    <s v="482005"/>
    <x v="387"/>
    <s v="TA - UNIVERSAL PRODUCTS- PERU -   -  Bicarbonato de Sodio - Baking soda-  12 / 100g - U137"/>
    <n v="2"/>
    <n v="12.84"/>
    <n v="25.68"/>
    <n v="55201.659999999945"/>
    <n v="4"/>
    <s v="Se repite 4 veces"/>
    <s v="Tradiciones Andinas-Universal Bicarbonato de Sodio - Baking soda 100gr x 12"/>
    <n v="4"/>
    <s v="Se repite 4 veces en Tradiciones Andinas"/>
    <s v="Tradiciones Andinas-Universal Bicarbonato de Sodio - Baking soda 100gr x 12-12.84"/>
    <n v="3"/>
    <s v="Se repite 3 veces el precio de 12.84"/>
    <s v="El producto Universal Bicarbonato de Sodio - Baking soda 100gr x 12 Se repite 4 veces en Tradiciones Andinas, Se repite 3 veces el precio de 12.84"/>
  </r>
  <r>
    <x v="3"/>
    <x v="9"/>
    <s v="Bill"/>
    <s v=""/>
    <x v="388"/>
    <s v="Chicha Morada / Purple drink instant beverage"/>
    <n v="2"/>
    <n v="12"/>
    <n v="24"/>
    <n v="5464.6399999999994"/>
    <n v="6"/>
    <s v="Se repite 6 veces"/>
    <s v="Tradiciones Andinas-Universal Chicha Morada / Purple drink instant beverage 120gr x 12"/>
    <n v="6"/>
    <s v="Se repite 6 veces en Tradiciones Andinas"/>
    <s v="Tradiciones Andinas-Universal Chicha Morada / Purple drink instant beverage 120gr x 12-12"/>
    <n v="2"/>
    <s v="Se repite 2 veces el precio de 12"/>
    <s v="El producto Universal Chicha Morada / Purple drink instant beverage 120gr x 12 Se repite 6 veces en Tradiciones Andinas, Se repite 2 veces el precio de 12"/>
  </r>
  <r>
    <x v="3"/>
    <x v="10"/>
    <s v="Bill"/>
    <s v="476974"/>
    <x v="388"/>
    <s v="Chicha Morada / Purple drink instant beverage"/>
    <n v="12"/>
    <n v="12"/>
    <n v="144"/>
    <n v="17999.179999999997"/>
    <n v="6"/>
    <s v="Se repite 6 veces"/>
    <s v="Tradiciones Andinas-Universal Chicha Morada / Purple drink instant beverage 120gr x 12"/>
    <n v="6"/>
    <s v="Se repite 6 veces en Tradiciones Andinas"/>
    <s v="Tradiciones Andinas-Universal Chicha Morada / Purple drink instant beverage 120gr x 12-12"/>
    <n v="2"/>
    <s v="Se repite 2 veces el precio de 12"/>
    <s v="El producto Universal Chicha Morada / Purple drink instant beverage 120gr x 12 Se repite 6 veces en Tradiciones Andinas, Se repite 2 veces el precio de 12"/>
  </r>
  <r>
    <x v="3"/>
    <x v="11"/>
    <s v="Bill"/>
    <s v="478734"/>
    <x v="388"/>
    <s v="TA - UNIVERSAL PRODUCTS- PERU -   -  Chicha Morada / Purple drink instant beverage-  12 / 120gr - U110"/>
    <n v="3"/>
    <n v="12.84"/>
    <n v="38.520000000000003"/>
    <n v="30481.459999999995"/>
    <n v="6"/>
    <s v="Se repite 6 veces"/>
    <s v="Tradiciones Andinas-Universal Chicha Morada / Purple drink instant beverage 120gr x 12"/>
    <n v="6"/>
    <s v="Se repite 6 veces en Tradiciones Andinas"/>
    <s v="Tradiciones Andinas-Universal Chicha Morada / Purple drink instant beverage 120gr x 12-12.84"/>
    <n v="3"/>
    <s v="Se repite 3 veces el precio de 12.84"/>
    <s v="El producto Universal Chicha Morada / Purple drink instant beverage 120gr x 12 Se repite 6 veces en Tradiciones Andinas, Se repite 3 veces el precio de 12.84"/>
  </r>
  <r>
    <x v="3"/>
    <x v="5"/>
    <s v="Bill"/>
    <s v="482005"/>
    <x v="388"/>
    <s v="TA - UNIVERSAL PRODUCTS- PERU -   -  Chicha Morada / Purple drink instant beverage-  12 / 120gr - U110"/>
    <n v="15"/>
    <n v="12.84"/>
    <n v="192.6"/>
    <n v="54739.179999999949"/>
    <n v="6"/>
    <s v="Se repite 6 veces"/>
    <s v="Tradiciones Andinas-Universal Chicha Morada / Purple drink instant beverage 120gr x 12"/>
    <n v="6"/>
    <s v="Se repite 6 veces en Tradiciones Andinas"/>
    <s v="Tradiciones Andinas-Universal Chicha Morada / Purple drink instant beverage 120gr x 12-12.84"/>
    <n v="3"/>
    <s v="Se repite 3 veces el precio de 12.84"/>
    <s v="El producto Universal Chicha Morada / Purple drink instant beverage 120gr x 12 Se repite 6 veces en Tradiciones Andinas, Se repite 3 veces el precio de 12.84"/>
  </r>
  <r>
    <x v="3"/>
    <x v="13"/>
    <s v="Bill"/>
    <s v="485230"/>
    <x v="388"/>
    <s v="TA - UNIVERSAL PRODUCTS- PERU -   -  Chicha Morada / Purple drink instant beverage-  12 / 120gr - U110"/>
    <n v="3"/>
    <n v="12.84"/>
    <n v="38.520000000000003"/>
    <n v="70783.330000000016"/>
    <n v="6"/>
    <s v="Se repite 6 veces"/>
    <s v="Tradiciones Andinas-Universal Chicha Morada / Purple drink instant beverage 120gr x 12"/>
    <n v="6"/>
    <s v="Se repite 6 veces en Tradiciones Andinas"/>
    <s v="Tradiciones Andinas-Universal Chicha Morada / Purple drink instant beverage 120gr x 12-12.84"/>
    <n v="3"/>
    <s v="Se repite 3 veces el precio de 12.84"/>
    <s v="El producto Universal Chicha Morada / Purple drink instant beverage 120gr x 12 Se repite 6 veces en Tradiciones Andinas, Se repite 3 veces el precio de 12.84"/>
  </r>
  <r>
    <x v="3"/>
    <x v="14"/>
    <s v="Bill"/>
    <s v="493132"/>
    <x v="388"/>
    <s v="TA - UNIVERSAL PRODUCTS- PERU -   -  Chicha Morada / Purple drink instant beverage-  12 / 120gr - U110"/>
    <n v="2"/>
    <n v="12.4"/>
    <n v="24.8"/>
    <n v="118262.11999999991"/>
    <n v="6"/>
    <s v="Se repite 6 veces"/>
    <s v="Tradiciones Andinas-Universal Chicha Morada / Purple drink instant beverage 120gr x 12"/>
    <n v="6"/>
    <s v="Se repite 6 veces en Tradiciones Andinas"/>
    <s v="Tradiciones Andinas-Universal Chicha Morada / Purple drink instant beverage 120gr x 12-12.4"/>
    <n v="1"/>
    <s v="No se repite"/>
    <s v="El producto Universal Chicha Morada / Purple drink instant beverage 120gr x 12 Se repite 6 veces en Tradiciones Andinas Una vez con el precio 12.4"/>
  </r>
  <r>
    <x v="3"/>
    <x v="13"/>
    <s v="Bill"/>
    <s v="485230"/>
    <x v="389"/>
    <s v="Chuño / Potato Starch"/>
    <n v="3"/>
    <n v="9"/>
    <n v="27"/>
    <n v="70852.330000000016"/>
    <n v="1"/>
    <s v="No se repite"/>
    <s v="Tradiciones Andinas-Universal Chuño / Potato Starch 180gr x 9"/>
    <n v="1"/>
    <s v="No se repite en proveedor"/>
    <s v="Tradiciones Andinas-Universal Chuño / Potato Starch 180gr x 9-9"/>
    <n v="1"/>
    <s v="No se repite"/>
    <s v="El producto Universal Chuño / Potato Starch 180gr x 9 No se repite en proveedor Una vez con el precio 9"/>
  </r>
  <r>
    <x v="3"/>
    <x v="9"/>
    <s v="Bill"/>
    <s v=""/>
    <x v="390"/>
    <s v="Escencia de Vainilla / Vanilla Scent"/>
    <n v="1"/>
    <n v="21.36"/>
    <n v="21.36"/>
    <n v="5440.6399999999994"/>
    <n v="8"/>
    <s v="Se repite 8 veces"/>
    <s v="Tradiciones Andinas-Universal Esencia de Vainilla / Vanilla Scent 100ml x 24"/>
    <n v="8"/>
    <s v="Se repite 8 veces en Tradiciones Andinas"/>
    <s v="Tradiciones Andinas-Universal Esencia de Vainilla / Vanilla Scent 100ml x 24-21.36"/>
    <n v="2"/>
    <s v="Se repite 2 veces el precio de 21.36"/>
    <s v="El producto Universal Esencia de Vainilla / Vanilla Scent 100ml x 24 Se repite 8 veces en Tradiciones Andinas, Se repite 2 veces el precio de 21.36"/>
  </r>
  <r>
    <x v="3"/>
    <x v="10"/>
    <s v="Bill"/>
    <s v="476974"/>
    <x v="390"/>
    <s v="Esencia de Vainilla / Vanilla Scent"/>
    <n v="3"/>
    <n v="21.36"/>
    <n v="64.08"/>
    <n v="17855.179999999997"/>
    <n v="8"/>
    <s v="Se repite 8 veces"/>
    <s v="Tradiciones Andinas-Universal Esencia de Vainilla / Vanilla Scent 100ml x 24"/>
    <n v="8"/>
    <s v="Se repite 8 veces en Tradiciones Andinas"/>
    <s v="Tradiciones Andinas-Universal Esencia de Vainilla / Vanilla Scent 100ml x 24-21.36"/>
    <n v="2"/>
    <s v="Se repite 2 veces el precio de 21.36"/>
    <s v="El producto Universal Esencia de Vainilla / Vanilla Scent 100ml x 24 Se repite 8 veces en Tradiciones Andinas, Se repite 2 veces el precio de 21.36"/>
  </r>
  <r>
    <x v="3"/>
    <x v="11"/>
    <s v="Bill"/>
    <s v="478734"/>
    <x v="390"/>
    <s v="TA - UNIVERSAL PRODUCTS- PERU -   -  Esencia de Vainilla / Vanilla Scent-  24 / 100ml - U109"/>
    <n v="4"/>
    <n v="22.86"/>
    <n v="91.44"/>
    <n v="30442.939999999995"/>
    <n v="8"/>
    <s v="Se repite 8 veces"/>
    <s v="Tradiciones Andinas-Universal Esencia de Vainilla / Vanilla Scent 100ml x 24"/>
    <n v="8"/>
    <s v="Se repite 8 veces en Tradiciones Andinas"/>
    <s v="Tradiciones Andinas-Universal Esencia de Vainilla / Vanilla Scent 100ml x 24-22.86"/>
    <n v="6"/>
    <s v="Se repite 6 veces el precio de 22.86"/>
    <s v="El producto Universal Esencia de Vainilla / Vanilla Scent 100ml x 24 Se repite 8 veces en Tradiciones Andinas, Se repite 6 veces el precio de 22.86"/>
  </r>
  <r>
    <x v="3"/>
    <x v="4"/>
    <s v="Bill"/>
    <s v="480295"/>
    <x v="390"/>
    <s v="TA - UNIVERSAL PRODUCTS- PERU -   -  Esencia de Vainilla / Vanilla Scent-  24 / 100ml - U109"/>
    <n v="2"/>
    <n v="22.86"/>
    <n v="45.72"/>
    <n v="40424.42"/>
    <n v="8"/>
    <s v="Se repite 8 veces"/>
    <s v="Tradiciones Andinas-Universal Esencia de Vainilla / Vanilla Scent 100ml x 24"/>
    <n v="8"/>
    <s v="Se repite 8 veces en Tradiciones Andinas"/>
    <s v="Tradiciones Andinas-Universal Esencia de Vainilla / Vanilla Scent 100ml x 24-22.86"/>
    <n v="6"/>
    <s v="Se repite 6 veces el precio de 22.86"/>
    <s v="El producto Universal Esencia de Vainilla / Vanilla Scent 100ml x 24 Se repite 8 veces en Tradiciones Andinas, Se repite 6 veces el precio de 22.86"/>
  </r>
  <r>
    <x v="3"/>
    <x v="5"/>
    <s v="Bill"/>
    <s v="482005"/>
    <x v="390"/>
    <s v="TA - UNIVERSAL PRODUCTS- PERU -   -  Esencia de Vainilla / Vanilla Scent-  24 / 100ml - U109"/>
    <n v="3"/>
    <n v="22.86"/>
    <n v="68.58"/>
    <n v="54546.579999999951"/>
    <n v="8"/>
    <s v="Se repite 8 veces"/>
    <s v="Tradiciones Andinas-Universal Esencia de Vainilla / Vanilla Scent 100ml x 24"/>
    <n v="8"/>
    <s v="Se repite 8 veces en Tradiciones Andinas"/>
    <s v="Tradiciones Andinas-Universal Esencia de Vainilla / Vanilla Scent 100ml x 24-22.86"/>
    <n v="6"/>
    <s v="Se repite 6 veces el precio de 22.86"/>
    <s v="El producto Universal Esencia de Vainilla / Vanilla Scent 100ml x 24 Se repite 8 veces en Tradiciones Andinas, Se repite 6 veces el precio de 22.86"/>
  </r>
  <r>
    <x v="3"/>
    <x v="6"/>
    <s v="Bill"/>
    <s v="487860"/>
    <x v="390"/>
    <s v="TA - UNIVERSAL PRODUCTS- PERU -   -  Esencia de Vainilla / Vanilla Scent-  24 / 100ml - U109"/>
    <n v="8"/>
    <n v="22.86"/>
    <n v="182.88"/>
    <n v="84124.469999999958"/>
    <n v="8"/>
    <s v="Se repite 8 veces"/>
    <s v="Tradiciones Andinas-Universal Esencia de Vainilla / Vanilla Scent 100ml x 24"/>
    <n v="8"/>
    <s v="Se repite 8 veces en Tradiciones Andinas"/>
    <s v="Tradiciones Andinas-Universal Esencia de Vainilla / Vanilla Scent 100ml x 24-22.86"/>
    <n v="6"/>
    <s v="Se repite 6 veces el precio de 22.86"/>
    <s v="El producto Universal Esencia de Vainilla / Vanilla Scent 100ml x 24 Se repite 8 veces en Tradiciones Andinas, Se repite 6 veces el precio de 22.86"/>
  </r>
  <r>
    <x v="3"/>
    <x v="34"/>
    <s v="Bill"/>
    <s v="490620"/>
    <x v="390"/>
    <s v="TA - UNIVERSAL PRODUCTS- PERU -   -  Esencia de Vainilla / Vanilla Scent-  24 / 100ml - U109"/>
    <n v="2"/>
    <n v="22.86"/>
    <n v="45.72"/>
    <n v="99717.869999999937"/>
    <n v="8"/>
    <s v="Se repite 8 veces"/>
    <s v="Tradiciones Andinas-Universal Esencia de Vainilla / Vanilla Scent 100ml x 24"/>
    <n v="8"/>
    <s v="Se repite 8 veces en Tradiciones Andinas"/>
    <s v="Tradiciones Andinas-Universal Esencia de Vainilla / Vanilla Scent 100ml x 24-22.86"/>
    <n v="6"/>
    <s v="Se repite 6 veces el precio de 22.86"/>
    <s v="El producto Universal Esencia de Vainilla / Vanilla Scent 100ml x 24 Se repite 8 veces en Tradiciones Andinas, Se repite 6 veces el precio de 22.86"/>
  </r>
  <r>
    <x v="3"/>
    <x v="27"/>
    <s v="Bill"/>
    <s v="491180"/>
    <x v="390"/>
    <s v="TA - UNIVERSAL PRODUCTS- PERU -   -  Esencia de Vainilla / Vanilla Scent-  24 / 100ml - U109"/>
    <n v="1"/>
    <n v="22.86"/>
    <n v="22.86"/>
    <n v="102491.74999999993"/>
    <n v="8"/>
    <s v="Se repite 8 veces"/>
    <s v="Tradiciones Andinas-Universal Esencia de Vainilla / Vanilla Scent 100ml x 24"/>
    <n v="8"/>
    <s v="Se repite 8 veces en Tradiciones Andinas"/>
    <s v="Tradiciones Andinas-Universal Esencia de Vainilla / Vanilla Scent 100ml x 24-22.86"/>
    <n v="6"/>
    <s v="Se repite 6 veces el precio de 22.86"/>
    <s v="El producto Universal Esencia de Vainilla / Vanilla Scent 100ml x 24 Se repite 8 veces en Tradiciones Andinas, Se repite 6 veces el precio de 22.86"/>
  </r>
  <r>
    <x v="3"/>
    <x v="10"/>
    <s v="Bill"/>
    <s v="476974"/>
    <x v="391"/>
    <s v="Flan de Lucuma/ Lucuma Pudin"/>
    <n v="4"/>
    <n v="13"/>
    <n v="52"/>
    <n v="18252.179999999997"/>
    <n v="4"/>
    <s v="Se repite 4 veces"/>
    <s v="Tradiciones Andinas-Universal Flan de Lucuma/ Lucuma Pudin 150gr x 12"/>
    <n v="4"/>
    <s v="Se repite 4 veces en Tradiciones Andinas"/>
    <s v="Tradiciones Andinas-Universal Flan de Lucuma/ Lucuma Pudin 150gr x 12-13"/>
    <n v="1"/>
    <s v="No se repite"/>
    <s v="El producto Universal Flan de Lucuma/ Lucuma Pudin 150gr x 12 Se repite 4 veces en Tradiciones Andinas Una vez con el precio 13"/>
  </r>
  <r>
    <x v="3"/>
    <x v="11"/>
    <s v="Bill"/>
    <s v="478734"/>
    <x v="391"/>
    <s v="TA - UNIVERSAL PRODUCTS- PERU -   -  Flan de Lucuma/ Lucuma Pudin-  12 / 150gr - U123"/>
    <n v="4"/>
    <n v="13.91"/>
    <n v="55.64"/>
    <n v="30614.139999999996"/>
    <n v="4"/>
    <s v="Se repite 4 veces"/>
    <s v="Tradiciones Andinas-Universal Flan de Lucuma/ Lucuma Pudin 150gr x 12"/>
    <n v="4"/>
    <s v="Se repite 4 veces en Tradiciones Andinas"/>
    <s v="Tradiciones Andinas-Universal Flan de Lucuma/ Lucuma Pudin 150gr x 12-13.91"/>
    <n v="1"/>
    <s v="No se repite"/>
    <s v="El producto Universal Flan de Lucuma/ Lucuma Pudin 150gr x 12 Se repite 4 veces en Tradiciones Andinas Una vez con el precio 13.91"/>
  </r>
  <r>
    <x v="3"/>
    <x v="5"/>
    <s v="Bill"/>
    <s v="482005"/>
    <x v="391"/>
    <s v="TA - UNIVERSAL PRODUCTS- PERU -   -  Flan de Lucuma/ Lucuma Pudin-  12 / 150gr - U123"/>
    <n v="5"/>
    <n v="14"/>
    <n v="70"/>
    <n v="55150.299999999945"/>
    <n v="4"/>
    <s v="Se repite 4 veces"/>
    <s v="Tradiciones Andinas-Universal Flan de Lucuma/ Lucuma Pudin 150gr x 12"/>
    <n v="4"/>
    <s v="Se repite 4 veces en Tradiciones Andinas"/>
    <s v="Tradiciones Andinas-Universal Flan de Lucuma/ Lucuma Pudin 150gr x 12-14"/>
    <n v="2"/>
    <s v="Se repite 2 veces el precio de 14"/>
    <s v="El producto Universal Flan de Lucuma/ Lucuma Pudin 150gr x 12 Se repite 4 veces en Tradiciones Andinas, Se repite 2 veces el precio de 14"/>
  </r>
  <r>
    <x v="3"/>
    <x v="34"/>
    <s v="Bill"/>
    <s v="490620"/>
    <x v="391"/>
    <s v="TA - UNIVERSAL PRODUCTS- PERU -   -  Flan de Lucuma/ Lucuma Pudin-  12 / 150gr - U123"/>
    <n v="8"/>
    <n v="14"/>
    <n v="112"/>
    <n v="99941.869999999937"/>
    <n v="4"/>
    <s v="Se repite 4 veces"/>
    <s v="Tradiciones Andinas-Universal Flan de Lucuma/ Lucuma Pudin 150gr x 12"/>
    <n v="4"/>
    <s v="Se repite 4 veces en Tradiciones Andinas"/>
    <s v="Tradiciones Andinas-Universal Flan de Lucuma/ Lucuma Pudin 150gr x 12-14"/>
    <n v="2"/>
    <s v="Se repite 2 veces el precio de 14"/>
    <s v="El producto Universal Flan de Lucuma/ Lucuma Pudin 150gr x 12 Se repite 4 veces en Tradiciones Andinas, Se repite 2 veces el precio de 14"/>
  </r>
  <r>
    <x v="3"/>
    <x v="10"/>
    <s v="Bill"/>
    <s v="476974"/>
    <x v="392"/>
    <s v="Flan de Vainilla / Vanilla Flan"/>
    <n v="4"/>
    <n v="13.08"/>
    <n v="52.32"/>
    <n v="17686.459999999995"/>
    <n v="6"/>
    <s v="Se repite 6 veces"/>
    <s v="Tradiciones Andinas-Universal Flan de Vainilla / Vanilla Flan 150gr x 12"/>
    <n v="6"/>
    <s v="Se repite 6 veces en Tradiciones Andinas"/>
    <s v="Tradiciones Andinas-Universal Flan de Vainilla / Vanilla Flan 150gr x 12-13.08"/>
    <n v="2"/>
    <s v="Se repite 2 veces el precio de 13.08"/>
    <s v="El producto Universal Flan de Vainilla / Vanilla Flan 150gr x 12 Se repite 6 veces en Tradiciones Andinas, Se repite 2 veces el precio de 13.08"/>
  </r>
  <r>
    <x v="3"/>
    <x v="31"/>
    <s v="Bill"/>
    <s v="477393"/>
    <x v="392"/>
    <s v="TA - UNIVERSAL PRODUCTS- PERU -   -  Flan de Vainilla / Vanilla Flan -  12 / 150gr - U106"/>
    <n v="5"/>
    <n v="13.08"/>
    <n v="65.400000000000006"/>
    <n v="24476.82"/>
    <n v="6"/>
    <s v="Se repite 6 veces"/>
    <s v="Tradiciones Andinas-Universal Flan de Vainilla / Vanilla Flan 150gr x 12"/>
    <n v="6"/>
    <s v="Se repite 6 veces en Tradiciones Andinas"/>
    <s v="Tradiciones Andinas-Universal Flan de Vainilla / Vanilla Flan 150gr x 12-13.08"/>
    <n v="2"/>
    <s v="Se repite 2 veces el precio de 13.08"/>
    <s v="El producto Universal Flan de Vainilla / Vanilla Flan 150gr x 12 Se repite 6 veces en Tradiciones Andinas, Se repite 2 veces el precio de 13.08"/>
  </r>
  <r>
    <x v="3"/>
    <x v="11"/>
    <s v="Bill"/>
    <s v="478734"/>
    <x v="392"/>
    <s v="TA - UNIVERSAL PRODUCTS- PERU -   -  Flan de Vainilla / Vanilla Flan -  12 / 150gr - U106"/>
    <n v="2"/>
    <n v="14"/>
    <n v="28"/>
    <n v="30015.499999999996"/>
    <n v="6"/>
    <s v="Se repite 6 veces"/>
    <s v="Tradiciones Andinas-Universal Flan de Vainilla / Vanilla Flan 150gr x 12"/>
    <n v="6"/>
    <s v="Se repite 6 veces en Tradiciones Andinas"/>
    <s v="Tradiciones Andinas-Universal Flan de Vainilla / Vanilla Flan 150gr x 12-14"/>
    <n v="4"/>
    <s v="Se repite 4 veces el precio de 14"/>
    <s v="El producto Universal Flan de Vainilla / Vanilla Flan 150gr x 12 Se repite 6 veces en Tradiciones Andinas, Se repite 4 veces el precio de 14"/>
  </r>
  <r>
    <x v="3"/>
    <x v="5"/>
    <s v="Bill"/>
    <s v="482005"/>
    <x v="392"/>
    <s v="TA - UNIVERSAL PRODUCTS- PERU -   -  Flan de Vainilla / Vanilla Flan -  12 / 150gr - U106"/>
    <n v="12"/>
    <n v="14"/>
    <n v="168"/>
    <n v="54393.999999999949"/>
    <n v="6"/>
    <s v="Se repite 6 veces"/>
    <s v="Tradiciones Andinas-Universal Flan de Vainilla / Vanilla Flan 150gr x 12"/>
    <n v="6"/>
    <s v="Se repite 6 veces en Tradiciones Andinas"/>
    <s v="Tradiciones Andinas-Universal Flan de Vainilla / Vanilla Flan 150gr x 12-14"/>
    <n v="4"/>
    <s v="Se repite 4 veces el precio de 14"/>
    <s v="El producto Universal Flan de Vainilla / Vanilla Flan 150gr x 12 Se repite 6 veces en Tradiciones Andinas, Se repite 4 veces el precio de 14"/>
  </r>
  <r>
    <x v="3"/>
    <x v="34"/>
    <s v="Bill"/>
    <s v="490620"/>
    <x v="392"/>
    <s v="TA - UNIVERSAL PRODUCTS- PERU -   -  Flan de Vainilla / Vanilla Flan -  12 / 150gr - U106"/>
    <n v="18"/>
    <n v="14"/>
    <n v="252"/>
    <n v="99224.149999999936"/>
    <n v="6"/>
    <s v="Se repite 6 veces"/>
    <s v="Tradiciones Andinas-Universal Flan de Vainilla / Vanilla Flan 150gr x 12"/>
    <n v="6"/>
    <s v="Se repite 6 veces en Tradiciones Andinas"/>
    <s v="Tradiciones Andinas-Universal Flan de Vainilla / Vanilla Flan 150gr x 12-14"/>
    <n v="4"/>
    <s v="Se repite 4 veces el precio de 14"/>
    <s v="El producto Universal Flan de Vainilla / Vanilla Flan 150gr x 12 Se repite 6 veces en Tradiciones Andinas, Se repite 4 veces el precio de 14"/>
  </r>
  <r>
    <x v="3"/>
    <x v="7"/>
    <s v="Bill"/>
    <s v="492743"/>
    <x v="392"/>
    <s v="TA - UNIVERSAL PRODUCTS- PERU -   -  Flan de Vainilla / Vanilla Flan -  12 / 150gr - U106"/>
    <n v="32"/>
    <n v="14"/>
    <n v="448"/>
    <n v="109959.67999999991"/>
    <n v="6"/>
    <s v="Se repite 6 veces"/>
    <s v="Tradiciones Andinas-Universal Flan de Vainilla / Vanilla Flan 150gr x 12"/>
    <n v="6"/>
    <s v="Se repite 6 veces en Tradiciones Andinas"/>
    <s v="Tradiciones Andinas-Universal Flan de Vainilla / Vanilla Flan 150gr x 12-14"/>
    <n v="4"/>
    <s v="Se repite 4 veces el precio de 14"/>
    <s v="El producto Universal Flan de Vainilla / Vanilla Flan 150gr x 12 Se repite 6 veces en Tradiciones Andinas, Se repite 4 veces el precio de 14"/>
  </r>
  <r>
    <x v="3"/>
    <x v="5"/>
    <s v="Bill"/>
    <s v="482005"/>
    <x v="393"/>
    <s v="TA - UNIVERSAL PRODUCTS- PERU -   -  Gelatina Limon / Lemon Gelatin  -  12 / 150gr - U104"/>
    <n v="3"/>
    <n v="14"/>
    <n v="42"/>
    <n v="54183.999999999949"/>
    <n v="4"/>
    <s v="Se repite 4 veces"/>
    <s v="Tradiciones Andinas-Universal Gelatina Limon / Lemon Gelatin 150gr x 12"/>
    <n v="4"/>
    <s v="Se repite 4 veces en Tradiciones Andinas"/>
    <s v="Tradiciones Andinas-Universal Gelatina Limon / Lemon Gelatin 150gr x 12-14"/>
    <n v="4"/>
    <s v="Se repite 4 veces el precio de 14"/>
    <s v="El producto Universal Gelatina Limon / Lemon Gelatin 150gr x 12 Se repite 4 veces en Tradiciones Andinas, Se repite 4 veces el precio de 14"/>
  </r>
  <r>
    <x v="3"/>
    <x v="25"/>
    <s v="Bill"/>
    <s v="483292"/>
    <x v="393"/>
    <s v="TA - UNIVERSAL PRODUCTS- PERU -   -  Gelatina Limon / Lemon Gelatin  -  12 / 150gr - U104"/>
    <n v="4"/>
    <n v="14"/>
    <n v="56"/>
    <n v="62348.019999999953"/>
    <n v="4"/>
    <s v="Se repite 4 veces"/>
    <s v="Tradiciones Andinas-Universal Gelatina Limon / Lemon Gelatin 150gr x 12"/>
    <n v="4"/>
    <s v="Se repite 4 veces en Tradiciones Andinas"/>
    <s v="Tradiciones Andinas-Universal Gelatina Limon / Lemon Gelatin 150gr x 12-14"/>
    <n v="4"/>
    <s v="Se repite 4 veces el precio de 14"/>
    <s v="El producto Universal Gelatina Limon / Lemon Gelatin 150gr x 12 Se repite 4 veces en Tradiciones Andinas, Se repite 4 veces el precio de 14"/>
  </r>
  <r>
    <x v="3"/>
    <x v="34"/>
    <s v="Bill"/>
    <s v="490620"/>
    <x v="393"/>
    <s v="TA - UNIVERSAL PRODUCTS- PERU -   -  Gelatina Limon / Lemon Gelatin  -  12 / 150gr - U104"/>
    <n v="6"/>
    <n v="14"/>
    <n v="84"/>
    <n v="98888.149999999936"/>
    <n v="4"/>
    <s v="Se repite 4 veces"/>
    <s v="Tradiciones Andinas-Universal Gelatina Limon / Lemon Gelatin 150gr x 12"/>
    <n v="4"/>
    <s v="Se repite 4 veces en Tradiciones Andinas"/>
    <s v="Tradiciones Andinas-Universal Gelatina Limon / Lemon Gelatin 150gr x 12-14"/>
    <n v="4"/>
    <s v="Se repite 4 veces el precio de 14"/>
    <s v="El producto Universal Gelatina Limon / Lemon Gelatin 150gr x 12 Se repite 4 veces en Tradiciones Andinas, Se repite 4 veces el precio de 14"/>
  </r>
  <r>
    <x v="3"/>
    <x v="7"/>
    <s v="Bill"/>
    <s v="492743"/>
    <x v="393"/>
    <s v="TA - UNIVERSAL PRODUCTS- PERU -   -  Gelatina Limon / Lemon Gelatin  -  12 / 150gr - U104"/>
    <n v="2"/>
    <n v="14"/>
    <n v="28"/>
    <n v="109455.67999999991"/>
    <n v="4"/>
    <s v="Se repite 4 veces"/>
    <s v="Tradiciones Andinas-Universal Gelatina Limon / Lemon Gelatin 150gr x 12"/>
    <n v="4"/>
    <s v="Se repite 4 veces en Tradiciones Andinas"/>
    <s v="Tradiciones Andinas-Universal Gelatina Limon / Lemon Gelatin 150gr x 12-14"/>
    <n v="4"/>
    <s v="Se repite 4 veces el precio de 14"/>
    <s v="El producto Universal Gelatina Limon / Lemon Gelatin 150gr x 12 Se repite 4 veces en Tradiciones Andinas, Se repite 4 veces el precio de 14"/>
  </r>
  <r>
    <x v="3"/>
    <x v="4"/>
    <s v="Bill"/>
    <s v="480295"/>
    <x v="394"/>
    <s v="Gelatina sin Sabor (Colapiz)"/>
    <n v="2"/>
    <n v="14"/>
    <n v="28"/>
    <n v="40452.42"/>
    <n v="4"/>
    <s v="Se repite 4 veces"/>
    <s v="Tradiciones Andinas-Universal Gelatina sin Sabor (Colapiz)"/>
    <n v="4"/>
    <s v="Se repite 4 veces en Tradiciones Andinas"/>
    <s v="Tradiciones Andinas-Universal Gelatina sin Sabor (Colapiz)-14"/>
    <n v="4"/>
    <s v="Se repite 4 veces el precio de 14"/>
    <s v="El producto Universal Gelatina sin Sabor (Colapiz) Se repite 4 veces en Tradiciones Andinas, Se repite 4 veces el precio de 14"/>
  </r>
  <r>
    <x v="3"/>
    <x v="5"/>
    <s v="Bill"/>
    <s v="482005"/>
    <x v="394"/>
    <s v="TA - UNIVERSAL PRODUCTS- PERU -   -  Gelatina sin Sabor (Colapiz)-  12 / 30gr - U113"/>
    <n v="4"/>
    <n v="14"/>
    <n v="56"/>
    <n v="54795.179999999949"/>
    <n v="4"/>
    <s v="Se repite 4 veces"/>
    <s v="Tradiciones Andinas-Universal Gelatina sin Sabor (Colapiz)"/>
    <n v="4"/>
    <s v="Se repite 4 veces en Tradiciones Andinas"/>
    <s v="Tradiciones Andinas-Universal Gelatina sin Sabor (Colapiz)-14"/>
    <n v="4"/>
    <s v="Se repite 4 veces el precio de 14"/>
    <s v="El producto Universal Gelatina sin Sabor (Colapiz) Se repite 4 veces en Tradiciones Andinas, Se repite 4 veces el precio de 14"/>
  </r>
  <r>
    <x v="3"/>
    <x v="13"/>
    <s v="Bill"/>
    <s v="485230"/>
    <x v="394"/>
    <s v="TA - UNIVERSAL PRODUCTS- PERU -   -  Gelatina sin Sabor (Colapiz)-  12 / 30gr - U113"/>
    <n v="3"/>
    <n v="14"/>
    <n v="42"/>
    <n v="70825.330000000016"/>
    <n v="4"/>
    <s v="Se repite 4 veces"/>
    <s v="Tradiciones Andinas-Universal Gelatina sin Sabor (Colapiz)"/>
    <n v="4"/>
    <s v="Se repite 4 veces en Tradiciones Andinas"/>
    <s v="Tradiciones Andinas-Universal Gelatina sin Sabor (Colapiz)-14"/>
    <n v="4"/>
    <s v="Se repite 4 veces el precio de 14"/>
    <s v="El producto Universal Gelatina sin Sabor (Colapiz) Se repite 4 veces en Tradiciones Andinas, Se repite 4 veces el precio de 14"/>
  </r>
  <r>
    <x v="3"/>
    <x v="34"/>
    <s v="Bill"/>
    <s v="490620"/>
    <x v="394"/>
    <s v="TA - UNIVERSAL PRODUCTS- PERU -   -  Gelatina sin Sabor (Colapiz)-  12 / 30gr - U113"/>
    <n v="8"/>
    <n v="14"/>
    <n v="112"/>
    <n v="99829.869999999937"/>
    <n v="4"/>
    <s v="Se repite 4 veces"/>
    <s v="Tradiciones Andinas-Universal Gelatina sin Sabor (Colapiz)"/>
    <n v="4"/>
    <s v="Se repite 4 veces en Tradiciones Andinas"/>
    <s v="Tradiciones Andinas-Universal Gelatina sin Sabor (Colapiz)-14"/>
    <n v="4"/>
    <s v="Se repite 4 veces el precio de 14"/>
    <s v="El producto Universal Gelatina sin Sabor (Colapiz) Se repite 4 veces en Tradiciones Andinas, Se repite 4 veces el precio de 14"/>
  </r>
  <r>
    <x v="3"/>
    <x v="5"/>
    <s v="Bill"/>
    <s v="482005"/>
    <x v="395"/>
    <s v="TA - UNIVERSAL PRODUCTS- PERU -   -  Grape Gelatin / Gelatina Uva-  12 / 150gr - U105"/>
    <n v="3"/>
    <n v="14"/>
    <n v="42"/>
    <n v="54225.999999999949"/>
    <n v="5"/>
    <s v="Se repite 5 veces"/>
    <s v="Tradiciones Andinas-Universal Grape Gelatin / Gelatina Uva"/>
    <n v="5"/>
    <s v="Se repite 5 veces en Tradiciones Andinas"/>
    <s v="Tradiciones Andinas-Universal Grape Gelatin / Gelatina Uva-14"/>
    <n v="5"/>
    <s v="Se repite 5 veces el precio de 14"/>
    <s v="El producto Universal Grape Gelatin / Gelatina Uva Se repite 5 veces en Tradiciones Andinas, Se repite 5 veces el precio de 14"/>
  </r>
  <r>
    <x v="3"/>
    <x v="25"/>
    <s v="Bill"/>
    <s v="483292"/>
    <x v="395"/>
    <s v="TA - UNIVERSAL PRODUCTS- PERU -   -  Grape Gelatin / Gelatina Uva-  12 / 150gr - U105"/>
    <n v="4"/>
    <n v="14"/>
    <n v="56"/>
    <n v="62404.019999999953"/>
    <n v="5"/>
    <s v="Se repite 5 veces"/>
    <s v="Tradiciones Andinas-Universal Grape Gelatin / Gelatina Uva"/>
    <n v="5"/>
    <s v="Se repite 5 veces en Tradiciones Andinas"/>
    <s v="Tradiciones Andinas-Universal Grape Gelatin / Gelatina Uva-14"/>
    <n v="5"/>
    <s v="Se repite 5 veces el precio de 14"/>
    <s v="El producto Universal Grape Gelatin / Gelatina Uva Se repite 5 veces en Tradiciones Andinas, Se repite 5 veces el precio de 14"/>
  </r>
  <r>
    <x v="3"/>
    <x v="13"/>
    <s v="Bill"/>
    <s v="485230"/>
    <x v="395"/>
    <s v="TA - UNIVERSAL PRODUCTS- PERU -   -  Grape Gelatin / Gelatina Uva-  12 / 150gr - U105"/>
    <n v="3"/>
    <n v="14"/>
    <n v="42"/>
    <n v="70744.810000000012"/>
    <n v="5"/>
    <s v="Se repite 5 veces"/>
    <s v="Tradiciones Andinas-Universal Grape Gelatin / Gelatina Uva"/>
    <n v="5"/>
    <s v="Se repite 5 veces en Tradiciones Andinas"/>
    <s v="Tradiciones Andinas-Universal Grape Gelatin / Gelatina Uva-14"/>
    <n v="5"/>
    <s v="Se repite 5 veces el precio de 14"/>
    <s v="El producto Universal Grape Gelatin / Gelatina Uva Se repite 5 veces en Tradiciones Andinas, Se repite 5 veces el precio de 14"/>
  </r>
  <r>
    <x v="3"/>
    <x v="34"/>
    <s v="Bill"/>
    <s v="490620"/>
    <x v="395"/>
    <s v="TA - UNIVERSAL PRODUCTS- PERU -   -  Grape Gelatin / Gelatina Uva-  12 / 150gr - U105"/>
    <n v="6"/>
    <n v="14"/>
    <n v="84"/>
    <n v="98972.149999999936"/>
    <n v="5"/>
    <s v="Se repite 5 veces"/>
    <s v="Tradiciones Andinas-Universal Grape Gelatin / Gelatina Uva"/>
    <n v="5"/>
    <s v="Se repite 5 veces en Tradiciones Andinas"/>
    <s v="Tradiciones Andinas-Universal Grape Gelatin / Gelatina Uva-14"/>
    <n v="5"/>
    <s v="Se repite 5 veces el precio de 14"/>
    <s v="El producto Universal Grape Gelatin / Gelatina Uva Se repite 5 veces en Tradiciones Andinas, Se repite 5 veces el precio de 14"/>
  </r>
  <r>
    <x v="3"/>
    <x v="7"/>
    <s v="Bill"/>
    <s v="492743"/>
    <x v="395"/>
    <s v="TA - UNIVERSAL PRODUCTS- PERU -   -  Grape Gelatin / Gelatina Uva-  12 / 150gr - U105"/>
    <n v="4"/>
    <n v="14"/>
    <n v="56"/>
    <n v="109511.67999999991"/>
    <n v="5"/>
    <s v="Se repite 5 veces"/>
    <s v="Tradiciones Andinas-Universal Grape Gelatin / Gelatina Uva"/>
    <n v="5"/>
    <s v="Se repite 5 veces en Tradiciones Andinas"/>
    <s v="Tradiciones Andinas-Universal Grape Gelatin / Gelatina Uva-14"/>
    <n v="5"/>
    <s v="Se repite 5 veces el precio de 14"/>
    <s v="El producto Universal Grape Gelatin / Gelatina Uva Se repite 5 veces en Tradiciones Andinas, Se repite 5 veces el precio de 14"/>
  </r>
  <r>
    <x v="3"/>
    <x v="10"/>
    <s v="Bill"/>
    <s v="476974"/>
    <x v="396"/>
    <s v="Universal - Maicena - 180g x 7"/>
    <n v="5"/>
    <n v="9"/>
    <n v="45"/>
    <n v="18044.179999999997"/>
    <n v="4"/>
    <s v="Se repite 4 veces"/>
    <s v="Tradiciones Andinas-Universal Maicena 180g x 7"/>
    <n v="4"/>
    <s v="Se repite 4 veces en Tradiciones Andinas"/>
    <s v="Tradiciones Andinas-Universal Maicena 180g x 7-9"/>
    <n v="4"/>
    <s v="Se repite 4 veces el precio de 9"/>
    <s v="El producto Universal Maicena 180g x 7 Se repite 4 veces en Tradiciones Andinas, Se repite 4 veces el precio de 9"/>
  </r>
  <r>
    <x v="3"/>
    <x v="4"/>
    <s v="Bill"/>
    <s v="480295"/>
    <x v="396"/>
    <s v="T.A Universal Maicena 180g x 7 / U114"/>
    <n v="3"/>
    <n v="9"/>
    <n v="27"/>
    <n v="40479.42"/>
    <n v="4"/>
    <s v="Se repite 4 veces"/>
    <s v="Tradiciones Andinas-Universal Maicena 180g x 7"/>
    <n v="4"/>
    <s v="Se repite 4 veces en Tradiciones Andinas"/>
    <s v="Tradiciones Andinas-Universal Maicena 180g x 7-9"/>
    <n v="4"/>
    <s v="Se repite 4 veces el precio de 9"/>
    <s v="El producto Universal Maicena 180g x 7 Se repite 4 veces en Tradiciones Andinas, Se repite 4 veces el precio de 9"/>
  </r>
  <r>
    <x v="3"/>
    <x v="5"/>
    <s v="Bill"/>
    <s v="482005"/>
    <x v="396"/>
    <s v="T.A Universal Maicena 180g x 7 / U114"/>
    <n v="6"/>
    <n v="9"/>
    <n v="54"/>
    <n v="54849.179999999949"/>
    <n v="4"/>
    <s v="Se repite 4 veces"/>
    <s v="Tradiciones Andinas-Universal Maicena 180g x 7"/>
    <n v="4"/>
    <s v="Se repite 4 veces en Tradiciones Andinas"/>
    <s v="Tradiciones Andinas-Universal Maicena 180g x 7-9"/>
    <n v="4"/>
    <s v="Se repite 4 veces el precio de 9"/>
    <s v="El producto Universal Maicena 180g x 7 Se repite 4 veces en Tradiciones Andinas, Se repite 4 veces el precio de 9"/>
  </r>
  <r>
    <x v="3"/>
    <x v="7"/>
    <s v="Bill"/>
    <s v="492743"/>
    <x v="396"/>
    <s v="T.A Universal Maicena 180g x 7 / U114"/>
    <n v="3"/>
    <n v="9"/>
    <n v="27"/>
    <n v="109986.67999999991"/>
    <n v="4"/>
    <s v="Se repite 4 veces"/>
    <s v="Tradiciones Andinas-Universal Maicena 180g x 7"/>
    <n v="4"/>
    <s v="Se repite 4 veces en Tradiciones Andinas"/>
    <s v="Tradiciones Andinas-Universal Maicena 180g x 7-9"/>
    <n v="4"/>
    <s v="Se repite 4 veces el precio de 9"/>
    <s v="El producto Universal Maicena 180g x 7 Se repite 4 veces en Tradiciones Andinas, Se repite 4 veces el precio de 9"/>
  </r>
  <r>
    <x v="3"/>
    <x v="10"/>
    <s v="Bill"/>
    <s v="476974"/>
    <x v="397"/>
    <s v="Mazamorra Morada /Purple Pudin"/>
    <n v="8"/>
    <n v="13.08"/>
    <n v="104.64"/>
    <n v="17791.099999999995"/>
    <n v="5"/>
    <s v="Se repite 5 veces"/>
    <s v="Tradiciones Andinas-Universal Mazamorra Morada /Purple Pudin 150gr x 12"/>
    <n v="5"/>
    <s v="Se repite 5 veces en Tradiciones Andinas"/>
    <s v="Tradiciones Andinas-Universal Mazamorra Morada /Purple Pudin 150gr x 12-13.08"/>
    <n v="1"/>
    <s v="No se repite"/>
    <s v="El producto Universal Mazamorra Morada /Purple Pudin 150gr x 12 Se repite 5 veces en Tradiciones Andinas Una vez con el precio 13.08"/>
  </r>
  <r>
    <x v="3"/>
    <x v="11"/>
    <s v="Bill"/>
    <s v="478734"/>
    <x v="397"/>
    <s v="TA - UNIVERSAL PRODUCTS- PERU -   -  Mazamorra Morada /Purple Pudin-  12 / 150gr - U108"/>
    <n v="24"/>
    <n v="14"/>
    <n v="336"/>
    <n v="30351.499999999996"/>
    <n v="5"/>
    <s v="Se repite 5 veces"/>
    <s v="Tradiciones Andinas-Universal Mazamorra Morada /Purple Pudin 150gr x 12"/>
    <n v="5"/>
    <s v="Se repite 5 veces en Tradiciones Andinas"/>
    <s v="Tradiciones Andinas-Universal Mazamorra Morada /Purple Pudin 150gr x 12-14"/>
    <n v="4"/>
    <s v="Se repite 4 veces el precio de 14"/>
    <s v="El producto Universal Mazamorra Morada /Purple Pudin 150gr x 12 Se repite 5 veces en Tradiciones Andinas, Se repite 4 veces el precio de 14"/>
  </r>
  <r>
    <x v="3"/>
    <x v="5"/>
    <s v="Bill"/>
    <s v="482005"/>
    <x v="397"/>
    <s v="TA - UNIVERSAL PRODUCTS- PERU -   -  Mazamorra Morada /Purple Pudin-  12 / 150gr - U108"/>
    <n v="6"/>
    <n v="14"/>
    <n v="84"/>
    <n v="54477.999999999949"/>
    <n v="5"/>
    <s v="Se repite 5 veces"/>
    <s v="Tradiciones Andinas-Universal Mazamorra Morada /Purple Pudin 150gr x 12"/>
    <n v="5"/>
    <s v="Se repite 5 veces en Tradiciones Andinas"/>
    <s v="Tradiciones Andinas-Universal Mazamorra Morada /Purple Pudin 150gr x 12-14"/>
    <n v="4"/>
    <s v="Se repite 4 veces el precio de 14"/>
    <s v="El producto Universal Mazamorra Morada /Purple Pudin 150gr x 12 Se repite 5 veces en Tradiciones Andinas, Se repite 4 veces el precio de 14"/>
  </r>
  <r>
    <x v="3"/>
    <x v="6"/>
    <s v="Bill"/>
    <s v="487860"/>
    <x v="397"/>
    <s v="TA - UNIVERSAL PRODUCTS- PERU -   -  Mazamorra Morada /Purple Pudin-  12 / 150gr - U108"/>
    <n v="9"/>
    <n v="14"/>
    <n v="126"/>
    <n v="83941.589999999953"/>
    <n v="5"/>
    <s v="Se repite 5 veces"/>
    <s v="Tradiciones Andinas-Universal Mazamorra Morada /Purple Pudin 150gr x 12"/>
    <n v="5"/>
    <s v="Se repite 5 veces en Tradiciones Andinas"/>
    <s v="Tradiciones Andinas-Universal Mazamorra Morada /Purple Pudin 150gr x 12-14"/>
    <n v="4"/>
    <s v="Se repite 4 veces el precio de 14"/>
    <s v="El producto Universal Mazamorra Morada /Purple Pudin 150gr x 12 Se repite 5 veces en Tradiciones Andinas, Se repite 4 veces el precio de 14"/>
  </r>
  <r>
    <x v="3"/>
    <x v="34"/>
    <s v="Bill"/>
    <s v="490620"/>
    <x v="397"/>
    <s v="TA - UNIVERSAL PRODUCTS- PERU -   -  Mazamorra Morada /Purple Pudin-  12 / 150gr - U108"/>
    <n v="32"/>
    <n v="14"/>
    <n v="448"/>
    <n v="99672.149999999936"/>
    <n v="5"/>
    <s v="Se repite 5 veces"/>
    <s v="Tradiciones Andinas-Universal Mazamorra Morada /Purple Pudin 150gr x 12"/>
    <n v="5"/>
    <s v="Se repite 5 veces en Tradiciones Andinas"/>
    <s v="Tradiciones Andinas-Universal Mazamorra Morada /Purple Pudin 150gr x 12-14"/>
    <n v="4"/>
    <s v="Se repite 4 veces el precio de 14"/>
    <s v="El producto Universal Mazamorra Morada /Purple Pudin 150gr x 12 Se repite 5 veces en Tradiciones Andinas, Se repite 4 veces el precio de 14"/>
  </r>
  <r>
    <x v="3"/>
    <x v="10"/>
    <s v="Bill"/>
    <s v="476974"/>
    <x v="398"/>
    <s v="TA - UNIVERSAL PRODUCTS- PERU -   -  Mazamorra sabor a Piña / Pineapple flavor pudin-  12 / 150g - U139"/>
    <n v="3"/>
    <n v="13.08"/>
    <n v="39.24"/>
    <n v="18402.66"/>
    <n v="2"/>
    <s v="Se repite 2 veces"/>
    <s v="Tradiciones Andinas-Universal Mazamorra sabor a Piña / Pineapple flavor pudin 150gr x 12"/>
    <n v="2"/>
    <s v="Se repite 2 veces en Tradiciones Andinas"/>
    <s v="Tradiciones Andinas-Universal Mazamorra sabor a Piña / Pineapple flavor pudin 150gr x 12-13.08"/>
    <n v="1"/>
    <s v="No se repite"/>
    <s v="El producto Universal Mazamorra sabor a Piña / Pineapple flavor pudin 150gr x 12 Se repite 2 veces en Tradiciones Andinas Una vez con el precio 13.08"/>
  </r>
  <r>
    <x v="3"/>
    <x v="11"/>
    <s v="Bill"/>
    <s v="478734"/>
    <x v="398"/>
    <s v="TA - UNIVERSAL PRODUCTS- PERU -   -  Mazamorra sabor a Piña / Pineapple flavor pudin-  12 / 150g - U139"/>
    <n v="8"/>
    <n v="14"/>
    <n v="112"/>
    <n v="30782.139999999996"/>
    <n v="2"/>
    <s v="Se repite 2 veces"/>
    <s v="Tradiciones Andinas-Universal Mazamorra sabor a Piña / Pineapple flavor pudin 150gr x 12"/>
    <n v="2"/>
    <s v="Se repite 2 veces en Tradiciones Andinas"/>
    <s v="Tradiciones Andinas-Universal Mazamorra sabor a Piña / Pineapple flavor pudin 150gr x 12-14"/>
    <n v="1"/>
    <s v="No se repite"/>
    <s v="El producto Universal Mazamorra sabor a Piña / Pineapple flavor pudin 150gr x 12 Se repite 2 veces en Tradiciones Andinas Una vez con el precio 14"/>
  </r>
  <r>
    <x v="3"/>
    <x v="10"/>
    <s v="Bill"/>
    <s v="476974"/>
    <x v="399"/>
    <s v="Polvo de Hornear - Baking powder"/>
    <n v="3"/>
    <n v="12"/>
    <n v="36"/>
    <n v="18288.179999999997"/>
    <n v="5"/>
    <s v="Se repite 5 veces"/>
    <s v="Tradiciones Andinas-Universal Polvo de Hornear / Baking powder 100gr x 12"/>
    <n v="5"/>
    <s v="Se repite 5 veces en Tradiciones Andinas"/>
    <s v="Tradiciones Andinas-Universal Polvo de Hornear / Baking powder 100gr x 12-12"/>
    <n v="1"/>
    <s v="No se repite"/>
    <s v="El producto Universal Polvo de Hornear / Baking powder 100gr x 12 Se repite 5 veces en Tradiciones Andinas Una vez con el precio 12"/>
  </r>
  <r>
    <x v="3"/>
    <x v="4"/>
    <s v="Bill"/>
    <s v="480295"/>
    <x v="399"/>
    <s v="TA - UNIVERSAL PRODUCTS- PERU -   -  Polvo de Hornear - Baking powder-  12 / 100g - U136"/>
    <n v="1"/>
    <n v="12.84"/>
    <n v="12.84"/>
    <n v="40492.259999999995"/>
    <n v="5"/>
    <s v="Se repite 5 veces"/>
    <s v="Tradiciones Andinas-Universal Polvo de Hornear / Baking powder 100gr x 12"/>
    <n v="5"/>
    <s v="Se repite 5 veces en Tradiciones Andinas"/>
    <s v="Tradiciones Andinas-Universal Polvo de Hornear / Baking powder 100gr x 12-12.84"/>
    <n v="4"/>
    <s v="Se repite 4 veces el precio de 12.84"/>
    <s v="El producto Universal Polvo de Hornear / Baking powder 100gr x 12 Se repite 5 veces en Tradiciones Andinas, Se repite 4 veces el precio de 12.84"/>
  </r>
  <r>
    <x v="3"/>
    <x v="45"/>
    <s v="Bill"/>
    <s v="480888"/>
    <x v="399"/>
    <s v="TA - UNIVERSAL PRODUCTS- PERU -   -  Polvo de Hornear - Baking powder-  12 / 100g - U136"/>
    <n v="3"/>
    <n v="12.84"/>
    <n v="38.520000000000003"/>
    <n v="45487.069999999992"/>
    <n v="5"/>
    <s v="Se repite 5 veces"/>
    <s v="Tradiciones Andinas-Universal Polvo de Hornear / Baking powder 100gr x 12"/>
    <n v="5"/>
    <s v="Se repite 5 veces en Tradiciones Andinas"/>
    <s v="Tradiciones Andinas-Universal Polvo de Hornear / Baking powder 100gr x 12-12.84"/>
    <n v="4"/>
    <s v="Se repite 4 veces el precio de 12.84"/>
    <s v="El producto Universal Polvo de Hornear / Baking powder 100gr x 12 Se repite 5 veces en Tradiciones Andinas, Se repite 4 veces el precio de 12.84"/>
  </r>
  <r>
    <x v="3"/>
    <x v="5"/>
    <s v="Bill"/>
    <s v="482005"/>
    <x v="399"/>
    <s v="TA - UNIVERSAL PRODUCTS- PERU -   -  Polvo de Hornear - Baking powder-  12 / 100g - U136"/>
    <n v="2"/>
    <n v="12.84"/>
    <n v="25.68"/>
    <n v="55175.979999999945"/>
    <n v="5"/>
    <s v="Se repite 5 veces"/>
    <s v="Tradiciones Andinas-Universal Polvo de Hornear / Baking powder 100gr x 12"/>
    <n v="5"/>
    <s v="Se repite 5 veces en Tradiciones Andinas"/>
    <s v="Tradiciones Andinas-Universal Polvo de Hornear / Baking powder 100gr x 12-12.84"/>
    <n v="4"/>
    <s v="Se repite 4 veces el precio de 12.84"/>
    <s v="El producto Universal Polvo de Hornear / Baking powder 100gr x 12 Se repite 5 veces en Tradiciones Andinas, Se repite 4 veces el precio de 12.84"/>
  </r>
  <r>
    <x v="3"/>
    <x v="7"/>
    <s v="Bill"/>
    <s v="492743"/>
    <x v="399"/>
    <s v="TA - UNIVERSAL PRODUCTS- PERU -   -  Polvo de Hornear - Baking powder-  12 / 100g - U136"/>
    <n v="6"/>
    <n v="12.84"/>
    <n v="77.040000000000006"/>
    <n v="110063.7199999999"/>
    <n v="5"/>
    <s v="Se repite 5 veces"/>
    <s v="Tradiciones Andinas-Universal Polvo de Hornear / Baking powder 100gr x 12"/>
    <n v="5"/>
    <s v="Se repite 5 veces en Tradiciones Andinas"/>
    <s v="Tradiciones Andinas-Universal Polvo de Hornear / Baking powder 100gr x 12-12.84"/>
    <n v="4"/>
    <s v="Se repite 4 veces el precio de 12.84"/>
    <s v="El producto Universal Polvo de Hornear / Baking powder 100gr x 12 Se repite 5 veces en Tradiciones Andinas, Se repite 4 veces el precio de 12.84"/>
  </r>
  <r>
    <x v="3"/>
    <x v="10"/>
    <s v="Bill"/>
    <s v="476974"/>
    <x v="400"/>
    <s v="Refresco de Maracuya / Passion fruit instant beverage"/>
    <n v="8"/>
    <n v="12"/>
    <n v="96"/>
    <n v="18200.179999999997"/>
    <n v="3"/>
    <s v="Se repite 3 veces"/>
    <s v="Tradiciones Andinas-Universal Refresco de Maracuya / Passion fruit instant beverage 120gr x 12"/>
    <n v="3"/>
    <s v="Se repite 3 veces en Tradiciones Andinas"/>
    <s v="Tradiciones Andinas-Universal Refresco de Maracuya / Passion fruit instant beverage 120gr x 12-12"/>
    <n v="1"/>
    <s v="No se repite"/>
    <s v="El producto Universal Refresco de Maracuya / Passion fruit instant beverage 120gr x 12 Se repite 3 veces en Tradiciones Andinas Una vez con el precio 12"/>
  </r>
  <r>
    <x v="3"/>
    <x v="11"/>
    <s v="Bill"/>
    <s v="478734"/>
    <x v="400"/>
    <s v="TA - UNIVERSAL PRODUCTS- PERU -   -  Refresco de Maracuya / Passion fruit instant beverage-  12 / 120gr - U122"/>
    <n v="3"/>
    <n v="12.84"/>
    <n v="38.520000000000003"/>
    <n v="30558.499999999996"/>
    <n v="3"/>
    <s v="Se repite 3 veces"/>
    <s v="Tradiciones Andinas-Universal Refresco de Maracuya / Passion fruit instant beverage 120gr x 12"/>
    <n v="3"/>
    <s v="Se repite 3 veces en Tradiciones Andinas"/>
    <s v="Tradiciones Andinas-Universal Refresco de Maracuya / Passion fruit instant beverage 120gr x 12-12.84"/>
    <n v="2"/>
    <s v="Se repite 2 veces el precio de 12.84"/>
    <s v="El producto Universal Refresco de Maracuya / Passion fruit instant beverage 120gr x 12 Se repite 3 veces en Tradiciones Andinas, Se repite 2 veces el precio de 12.84"/>
  </r>
  <r>
    <x v="3"/>
    <x v="5"/>
    <s v="Bill"/>
    <s v="482005"/>
    <x v="400"/>
    <s v="TA - UNIVERSAL PRODUCTS- PERU -   -  Refresco de Maracuya / Passion fruit instant beverage-  12 / 120gr - U122"/>
    <n v="9"/>
    <n v="12.84"/>
    <n v="115.56"/>
    <n v="55080.299999999945"/>
    <n v="3"/>
    <s v="Se repite 3 veces"/>
    <s v="Tradiciones Andinas-Universal Refresco de Maracuya / Passion fruit instant beverage 120gr x 12"/>
    <n v="3"/>
    <s v="Se repite 3 veces en Tradiciones Andinas"/>
    <s v="Tradiciones Andinas-Universal Refresco de Maracuya / Passion fruit instant beverage 120gr x 12-12.84"/>
    <n v="2"/>
    <s v="Se repite 2 veces el precio de 12.84"/>
    <s v="El producto Universal Refresco de Maracuya / Passion fruit instant beverage 120gr x 12 Se repite 3 veces en Tradiciones Andinas, Se repite 2 veces el precio de 12.84"/>
  </r>
  <r>
    <x v="3"/>
    <x v="10"/>
    <s v="Bill"/>
    <s v="476974"/>
    <x v="401"/>
    <s v="Refresco Guanabana / Guava Instant beverage"/>
    <n v="5"/>
    <n v="12"/>
    <n v="60"/>
    <n v="18104.179999999997"/>
    <n v="3"/>
    <s v="Se repite 3 veces"/>
    <s v="Tradiciones Andinas-Universal Refresco Guanabana / Guava Instant beverage 120gr x 12"/>
    <n v="3"/>
    <s v="Se repite 3 veces en Tradiciones Andinas"/>
    <s v="Tradiciones Andinas-Universal Refresco Guanabana / Guava Instant beverage 120gr x 12-12"/>
    <n v="1"/>
    <s v="No se repite"/>
    <s v="El producto Universal Refresco Guanabana / Guava Instant beverage 120gr x 12 Se repite 3 veces en Tradiciones Andinas Una vez con el precio 12"/>
  </r>
  <r>
    <x v="3"/>
    <x v="11"/>
    <s v="Bill"/>
    <s v="478734"/>
    <x v="401"/>
    <s v="TA - UNIVERSAL PRODUCTS- PERU -   -  Refresco Guanabana / Guava Instant beverage-  12 / 120gr - U115"/>
    <n v="3"/>
    <n v="12.84"/>
    <n v="38.520000000000003"/>
    <n v="30519.979999999996"/>
    <n v="3"/>
    <s v="Se repite 3 veces"/>
    <s v="Tradiciones Andinas-Universal Refresco Guanabana / Guava Instant beverage 120gr x 12"/>
    <n v="3"/>
    <s v="Se repite 3 veces en Tradiciones Andinas"/>
    <s v="Tradiciones Andinas-Universal Refresco Guanabana / Guava Instant beverage 120gr x 12-12.84"/>
    <n v="2"/>
    <s v="Se repite 2 veces el precio de 12.84"/>
    <s v="El producto Universal Refresco Guanabana / Guava Instant beverage 120gr x 12 Se repite 3 veces en Tradiciones Andinas, Se repite 2 veces el precio de 12.84"/>
  </r>
  <r>
    <x v="3"/>
    <x v="5"/>
    <s v="Bill"/>
    <s v="482005"/>
    <x v="401"/>
    <s v="TA - UNIVERSAL PRODUCTS- PERU -   -  Refresco Guanabana / Guava Instant beverage-  12 / 120gr - U115"/>
    <n v="9"/>
    <n v="12.84"/>
    <n v="115.56"/>
    <n v="54964.739999999947"/>
    <n v="3"/>
    <s v="Se repite 3 veces"/>
    <s v="Tradiciones Andinas-Universal Refresco Guanabana / Guava Instant beverage 120gr x 12"/>
    <n v="3"/>
    <s v="Se repite 3 veces en Tradiciones Andinas"/>
    <s v="Tradiciones Andinas-Universal Refresco Guanabana / Guava Instant beverage 120gr x 12-12.84"/>
    <n v="2"/>
    <s v="Se repite 2 veces el precio de 12.84"/>
    <s v="El producto Universal Refresco Guanabana / Guava Instant beverage 120gr x 12 Se repite 3 veces en Tradiciones Andinas, Se repite 2 veces el precio de 12.84"/>
  </r>
  <r>
    <x v="3"/>
    <x v="33"/>
    <s v="Bill"/>
    <s v="475144"/>
    <x v="402"/>
    <s v="Aceite Vegetal con Achiote"/>
    <n v="1"/>
    <n v="35"/>
    <n v="35"/>
    <n v="2576.3599999999997"/>
    <n v="6"/>
    <s v="Se repite 6 veces"/>
    <s v="Tradiciones Andinas-VALLES ANDINOS Aceite Vegetal con Achiote 440ml x 15"/>
    <n v="6"/>
    <s v="Se repite 6 veces en Tradiciones Andinas"/>
    <s v="Tradiciones Andinas-VALLES ANDINOS Aceite Vegetal con Achiote 440ml x 15-35"/>
    <n v="2"/>
    <s v="Se repite 2 veces el precio de 35"/>
    <s v="El producto VALLES ANDINOS Aceite Vegetal con Achiote 440ml x 15 Se repite 6 veces en Tradiciones Andinas, Se repite 2 veces el precio de 35"/>
  </r>
  <r>
    <x v="3"/>
    <x v="10"/>
    <s v="Bill"/>
    <s v="476974"/>
    <x v="402"/>
    <s v="Aceite Vegetal con Achiote"/>
    <n v="2"/>
    <n v="35"/>
    <n v="70"/>
    <n v="22469.54"/>
    <n v="6"/>
    <s v="Se repite 6 veces"/>
    <s v="Tradiciones Andinas-VALLES ANDINOS Aceite Vegetal con Achiote 440ml x 15"/>
    <n v="6"/>
    <s v="Se repite 6 veces en Tradiciones Andinas"/>
    <s v="Tradiciones Andinas-VALLES ANDINOS Aceite Vegetal con Achiote 440ml x 15-35"/>
    <n v="2"/>
    <s v="Se repite 2 veces el precio de 35"/>
    <s v="El producto VALLES ANDINOS Aceite Vegetal con Achiote 440ml x 15 Se repite 6 veces en Tradiciones Andinas, Se repite 2 veces el precio de 35"/>
  </r>
  <r>
    <x v="3"/>
    <x v="11"/>
    <s v="Bill"/>
    <s v="478734"/>
    <x v="402"/>
    <s v="TA- ECUADOR -  VALLES ANDINOS -  -  Aceite Vegetal con Achiote-  15 / 14.88 floz - VA149"/>
    <n v="2"/>
    <n v="37.450000000000003"/>
    <n v="74.900000000000006"/>
    <n v="33117.360000000008"/>
    <n v="6"/>
    <s v="Se repite 6 veces"/>
    <s v="Tradiciones Andinas-VALLES ANDINOS Aceite Vegetal con Achiote 440ml x 15"/>
    <n v="6"/>
    <s v="Se repite 6 veces en Tradiciones Andinas"/>
    <s v="Tradiciones Andinas-VALLES ANDINOS Aceite Vegetal con Achiote 440ml x 15-37.45"/>
    <n v="4"/>
    <s v="Se repite 4 veces el precio de 37.45"/>
    <s v="El producto VALLES ANDINOS Aceite Vegetal con Achiote 440ml x 15 Se repite 6 veces en Tradiciones Andinas, Se repite 4 veces el precio de 37.45"/>
  </r>
  <r>
    <x v="3"/>
    <x v="5"/>
    <s v="Bill"/>
    <s v="482005"/>
    <x v="402"/>
    <s v="TA- ECUADOR -  VALLES ANDINOS -  -  Aceite Vegetal con Achiote-  15 / 14.88 floz - VA149"/>
    <n v="5"/>
    <n v="37.450000000000003"/>
    <n v="187.25"/>
    <n v="57608.749999999942"/>
    <n v="6"/>
    <s v="Se repite 6 veces"/>
    <s v="Tradiciones Andinas-VALLES ANDINOS Aceite Vegetal con Achiote 440ml x 15"/>
    <n v="6"/>
    <s v="Se repite 6 veces en Tradiciones Andinas"/>
    <s v="Tradiciones Andinas-VALLES ANDINOS Aceite Vegetal con Achiote 440ml x 15-37.45"/>
    <n v="4"/>
    <s v="Se repite 4 veces el precio de 37.45"/>
    <s v="El producto VALLES ANDINOS Aceite Vegetal con Achiote 440ml x 15 Se repite 6 veces en Tradiciones Andinas, Se repite 4 veces el precio de 37.45"/>
  </r>
  <r>
    <x v="3"/>
    <x v="6"/>
    <s v="Bill"/>
    <s v="487860"/>
    <x v="402"/>
    <s v="TA- ECUADOR -  VALLES ANDINOS -  -  Aceite Vegetal con Achiote-  15 / 14.88 floz - VA149"/>
    <n v="3"/>
    <n v="37.450000000000003"/>
    <n v="112.35"/>
    <n v="85904.259999999951"/>
    <n v="6"/>
    <s v="Se repite 6 veces"/>
    <s v="Tradiciones Andinas-VALLES ANDINOS Aceite Vegetal con Achiote 440ml x 15"/>
    <n v="6"/>
    <s v="Se repite 6 veces en Tradiciones Andinas"/>
    <s v="Tradiciones Andinas-VALLES ANDINOS Aceite Vegetal con Achiote 440ml x 15-37.45"/>
    <n v="4"/>
    <s v="Se repite 4 veces el precio de 37.45"/>
    <s v="El producto VALLES ANDINOS Aceite Vegetal con Achiote 440ml x 15 Se repite 6 veces en Tradiciones Andinas, Se repite 4 veces el precio de 37.45"/>
  </r>
  <r>
    <x v="3"/>
    <x v="7"/>
    <s v="Bill"/>
    <s v="492743"/>
    <x v="402"/>
    <s v="TA- ECUADOR -  VALLES ANDINOS -  -  Aceite Vegetal con Achiote-  15 / 14.88 floz - VA149"/>
    <n v="2"/>
    <n v="37.450000000000003"/>
    <n v="74.900000000000006"/>
    <n v="113326.91999999988"/>
    <n v="6"/>
    <s v="Se repite 6 veces"/>
    <s v="Tradiciones Andinas-VALLES ANDINOS Aceite Vegetal con Achiote 440ml x 15"/>
    <n v="6"/>
    <s v="Se repite 6 veces en Tradiciones Andinas"/>
    <s v="Tradiciones Andinas-VALLES ANDINOS Aceite Vegetal con Achiote 440ml x 15-37.45"/>
    <n v="4"/>
    <s v="Se repite 4 veces el precio de 37.45"/>
    <s v="El producto VALLES ANDINOS Aceite Vegetal con Achiote 440ml x 15 Se repite 6 veces en Tradiciones Andinas, Se repite 4 veces el precio de 37.45"/>
  </r>
  <r>
    <x v="3"/>
    <x v="10"/>
    <s v="Bill"/>
    <s v="476974"/>
    <x v="403"/>
    <s v="Aji Casero"/>
    <n v="2"/>
    <n v="42.96"/>
    <n v="85.92"/>
    <n v="22203.979999999996"/>
    <n v="2"/>
    <s v="Se repite 2 veces"/>
    <s v="Tradiciones Andinas-Valles Andinos Aji Casero 6oz x 24"/>
    <n v="2"/>
    <s v="Se repite 2 veces en Tradiciones Andinas"/>
    <s v="Tradiciones Andinas-Valles Andinos Aji Casero 6oz x 24-42.96"/>
    <n v="1"/>
    <s v="No se repite"/>
    <s v="El producto Valles Andinos Aji Casero 6oz x 24 Se repite 2 veces en Tradiciones Andinas Una vez con el precio 42.96"/>
  </r>
  <r>
    <x v="3"/>
    <x v="5"/>
    <s v="Bill"/>
    <s v="482005"/>
    <x v="403"/>
    <s v="TA- ECUADOR -  VALLES ANDINOS -  -  Aji Casero-  24 / 6oz  - VA143"/>
    <n v="5"/>
    <n v="45.96"/>
    <n v="229.8"/>
    <n v="56611.09999999994"/>
    <n v="2"/>
    <s v="Se repite 2 veces"/>
    <s v="Tradiciones Andinas-Valles Andinos Aji Casero 6oz x 24"/>
    <n v="2"/>
    <s v="Se repite 2 veces en Tradiciones Andinas"/>
    <s v="Tradiciones Andinas-Valles Andinos Aji Casero 6oz x 24-45.96"/>
    <n v="1"/>
    <s v="No se repite"/>
    <s v="El producto Valles Andinos Aji Casero 6oz x 24 Se repite 2 veces en Tradiciones Andinas Una vez con el precio 45.96"/>
  </r>
  <r>
    <x v="3"/>
    <x v="10"/>
    <s v="Bill"/>
    <s v="476974"/>
    <x v="404"/>
    <s v="Aji Peruano"/>
    <n v="2"/>
    <n v="33.479999999999997"/>
    <n v="66.959999999999994"/>
    <n v="22270.939999999995"/>
    <n v="2"/>
    <s v="Se repite 2 veces"/>
    <s v="Tradiciones Andinas-Valles Andinos Aji Peruano 14oz x 12"/>
    <n v="2"/>
    <s v="Se repite 2 veces en Tradiciones Andinas"/>
    <s v="Tradiciones Andinas-Valles Andinos Aji Peruano 14oz x 12-33.48"/>
    <n v="2"/>
    <s v="Se repite 2 veces el precio de 33.48"/>
    <s v="El producto Valles Andinos Aji Peruano 14oz x 12 Se repite 2 veces en Tradiciones Andinas, Se repite 2 veces el precio de 33.48"/>
  </r>
  <r>
    <x v="3"/>
    <x v="5"/>
    <s v="Bill"/>
    <s v="482005"/>
    <x v="404"/>
    <s v="TA- ECUADOR -  VALLES ANDINOS -  -  Aji Peruano-  12 / 14oz - VA144"/>
    <n v="5"/>
    <n v="33.479999999999997"/>
    <n v="167.4"/>
    <n v="56778.499999999942"/>
    <n v="2"/>
    <s v="Se repite 2 veces"/>
    <s v="Tradiciones Andinas-Valles Andinos Aji Peruano 14oz x 12"/>
    <n v="2"/>
    <s v="Se repite 2 veces en Tradiciones Andinas"/>
    <s v="Tradiciones Andinas-Valles Andinos Aji Peruano 14oz x 12-33.48"/>
    <n v="2"/>
    <s v="Se repite 2 veces el precio de 33.48"/>
    <s v="El producto Valles Andinos Aji Peruano 14oz x 12 Se repite 2 veces en Tradiciones Andinas, Se repite 2 veces el precio de 33.48"/>
  </r>
  <r>
    <x v="3"/>
    <x v="10"/>
    <s v="Bill"/>
    <s v="476974"/>
    <x v="405"/>
    <s v="Ajo en Pasta /Garlic Paste"/>
    <n v="1"/>
    <n v="32.15"/>
    <n v="32.15"/>
    <n v="22303.089999999997"/>
    <n v="3"/>
    <s v="Se repite 3 veces"/>
    <s v="Tradiciones Andinas-Valles Andinos Ajo en Pasta /Garlic Paste 16.58oz x 15"/>
    <n v="3"/>
    <s v="Se repite 3 veces en Tradiciones Andinas"/>
    <s v="Tradiciones Andinas-Valles Andinos Ajo en Pasta /Garlic Paste 16.58oz x 15-32.15"/>
    <n v="3"/>
    <s v="Se repite 3 veces el precio de 32.15"/>
    <s v="El producto Valles Andinos Ajo en Pasta /Garlic Paste 16.58oz x 15 Se repite 3 veces en Tradiciones Andinas, Se repite 3 veces el precio de 32.15"/>
  </r>
  <r>
    <x v="3"/>
    <x v="5"/>
    <s v="Bill"/>
    <s v="482005"/>
    <x v="405"/>
    <s v="TA- ECUADOR -  VALLES ANDINOS -  -  Ajo en Pasta /Garlic Paste -  15 / 16.58oz - VA145"/>
    <n v="5"/>
    <n v="32.15"/>
    <n v="160.75"/>
    <n v="56939.249999999942"/>
    <n v="3"/>
    <s v="Se repite 3 veces"/>
    <s v="Tradiciones Andinas-Valles Andinos Ajo en Pasta /Garlic Paste 16.58oz x 15"/>
    <n v="3"/>
    <s v="Se repite 3 veces en Tradiciones Andinas"/>
    <s v="Tradiciones Andinas-Valles Andinos Ajo en Pasta /Garlic Paste 16.58oz x 15-32.15"/>
    <n v="3"/>
    <s v="Se repite 3 veces el precio de 32.15"/>
    <s v="El producto Valles Andinos Ajo en Pasta /Garlic Paste 16.58oz x 15 Se repite 3 veces en Tradiciones Andinas, Se repite 3 veces el precio de 32.15"/>
  </r>
  <r>
    <x v="3"/>
    <x v="6"/>
    <s v="Bill"/>
    <s v="487860"/>
    <x v="405"/>
    <s v="TA- ECUADOR -  VALLES ANDINOS -  -  Ajo en Pasta /Garlic Paste -  15 / 16.58oz - VA145"/>
    <n v="3"/>
    <n v="32.15"/>
    <n v="96.45"/>
    <n v="85599.009999999951"/>
    <n v="3"/>
    <s v="Se repite 3 veces"/>
    <s v="Tradiciones Andinas-Valles Andinos Ajo en Pasta /Garlic Paste 16.58oz x 15"/>
    <n v="3"/>
    <s v="Se repite 3 veces en Tradiciones Andinas"/>
    <s v="Tradiciones Andinas-Valles Andinos Ajo en Pasta /Garlic Paste 16.58oz x 15-32.15"/>
    <n v="3"/>
    <s v="Se repite 3 veces el precio de 32.15"/>
    <s v="El producto Valles Andinos Ajo en Pasta /Garlic Paste 16.58oz x 15 Se repite 3 veces en Tradiciones Andinas, Se repite 3 veces el precio de 32.15"/>
  </r>
  <r>
    <x v="3"/>
    <x v="10"/>
    <s v="Bill"/>
    <s v="476974"/>
    <x v="406"/>
    <s v="Aliño - Ecuatorian Seasoning"/>
    <n v="1"/>
    <n v="32.15"/>
    <n v="32.15"/>
    <n v="22335.239999999998"/>
    <n v="3"/>
    <s v="Se repite 3 veces"/>
    <s v="Tradiciones Andinas-Valles Andinos Aliño - Ecuatorian Seasoning 17.64oz x 15"/>
    <n v="3"/>
    <s v="Se repite 3 veces en Tradiciones Andinas"/>
    <s v="Tradiciones Andinas-Valles Andinos Aliño - Ecuatorian Seasoning 17.64oz x 15-32.15"/>
    <n v="3"/>
    <s v="Se repite 3 veces el precio de 32.15"/>
    <s v="El producto Valles Andinos Aliño - Ecuatorian Seasoning 17.64oz x 15 Se repite 3 veces en Tradiciones Andinas, Se repite 3 veces el precio de 32.15"/>
  </r>
  <r>
    <x v="3"/>
    <x v="5"/>
    <s v="Bill"/>
    <s v="482005"/>
    <x v="406"/>
    <s v="TA- ECUADOR -  VALLES ANDINOS -  -  Aliño - Ecuatorian Seasoning-  15 / 17.64oz - VA146"/>
    <n v="5"/>
    <n v="32.15"/>
    <n v="160.75"/>
    <n v="57099.999999999942"/>
    <n v="3"/>
    <s v="Se repite 3 veces"/>
    <s v="Tradiciones Andinas-Valles Andinos Aliño - Ecuatorian Seasoning 17.64oz x 15"/>
    <n v="3"/>
    <s v="Se repite 3 veces en Tradiciones Andinas"/>
    <s v="Tradiciones Andinas-Valles Andinos Aliño - Ecuatorian Seasoning 17.64oz x 15-32.15"/>
    <n v="3"/>
    <s v="Se repite 3 veces el precio de 32.15"/>
    <s v="El producto Valles Andinos Aliño - Ecuatorian Seasoning 17.64oz x 15 Se repite 3 veces en Tradiciones Andinas, Se repite 3 veces el precio de 32.15"/>
  </r>
  <r>
    <x v="3"/>
    <x v="6"/>
    <s v="Bill"/>
    <s v="487860"/>
    <x v="406"/>
    <s v="TA- ECUADOR -  VALLES ANDINOS -  -  Aliño - Ecuatorian Seasoning-  15 / 17.64oz - VA146"/>
    <n v="3"/>
    <n v="32.15"/>
    <n v="96.45"/>
    <n v="85695.459999999948"/>
    <n v="3"/>
    <s v="Se repite 3 veces"/>
    <s v="Tradiciones Andinas-Valles Andinos Aliño - Ecuatorian Seasoning 17.64oz x 15"/>
    <n v="3"/>
    <s v="Se repite 3 veces en Tradiciones Andinas"/>
    <s v="Tradiciones Andinas-Valles Andinos Aliño - Ecuatorian Seasoning 17.64oz x 15-32.15"/>
    <n v="3"/>
    <s v="Se repite 3 veces el precio de 32.15"/>
    <s v="El producto Valles Andinos Aliño - Ecuatorian Seasoning 17.64oz x 15 Se repite 3 veces en Tradiciones Andinas, Se repite 3 veces el precio de 32.15"/>
  </r>
  <r>
    <x v="3"/>
    <x v="25"/>
    <s v="Bill"/>
    <s v="483292"/>
    <x v="407"/>
    <s v="Arroz de Cebada / Barley Corn"/>
    <n v="1"/>
    <n v="25.02"/>
    <n v="25.02"/>
    <n v="63344.479999999945"/>
    <n v="3"/>
    <s v="Se repite 3 veces"/>
    <s v="Tradiciones Andinas-Valles Andinos Arroz de Cebada / Barley Corn 14oz x 18"/>
    <n v="3"/>
    <s v="Se repite 3 veces en Tradiciones Andinas"/>
    <s v="Tradiciones Andinas-Valles Andinos Arroz de Cebada / Barley Corn 14oz x 18-25.02"/>
    <n v="3"/>
    <s v="Se repite 3 veces el precio de 25.02"/>
    <s v="El producto Valles Andinos Arroz de Cebada / Barley Corn 14oz x 18 Se repite 3 veces en Tradiciones Andinas, Se repite 3 veces el precio de 25.02"/>
  </r>
  <r>
    <x v="3"/>
    <x v="13"/>
    <s v="Bill"/>
    <s v="485230"/>
    <x v="407"/>
    <s v="Arroz de Cebada / Barley Corn"/>
    <n v="2"/>
    <n v="25.02"/>
    <n v="50.04"/>
    <n v="71984.479999999996"/>
    <n v="3"/>
    <s v="Se repite 3 veces"/>
    <s v="Tradiciones Andinas-Valles Andinos Arroz de Cebada / Barley Corn 14oz x 18"/>
    <n v="3"/>
    <s v="Se repite 3 veces en Tradiciones Andinas"/>
    <s v="Tradiciones Andinas-Valles Andinos Arroz de Cebada / Barley Corn 14oz x 18-25.02"/>
    <n v="3"/>
    <s v="Se repite 3 veces el precio de 25.02"/>
    <s v="El producto Valles Andinos Arroz de Cebada / Barley Corn 14oz x 18 Se repite 3 veces en Tradiciones Andinas, Se repite 3 veces el precio de 25.02"/>
  </r>
  <r>
    <x v="3"/>
    <x v="6"/>
    <s v="Bill"/>
    <s v="487860"/>
    <x v="407"/>
    <s v="Arroz de Cebada / Barley Corn"/>
    <n v="2"/>
    <n v="25.02"/>
    <n v="50.04"/>
    <n v="86065.499999999942"/>
    <n v="3"/>
    <s v="Se repite 3 veces"/>
    <s v="Tradiciones Andinas-Valles Andinos Arroz de Cebada / Barley Corn 14oz x 18"/>
    <n v="3"/>
    <s v="Se repite 3 veces en Tradiciones Andinas"/>
    <s v="Tradiciones Andinas-Valles Andinos Arroz de Cebada / Barley Corn 14oz x 18-25.02"/>
    <n v="3"/>
    <s v="Se repite 3 veces el precio de 25.02"/>
    <s v="El producto Valles Andinos Arroz de Cebada / Barley Corn 14oz x 18 Se repite 3 veces en Tradiciones Andinas, Se repite 3 veces el precio de 25.02"/>
  </r>
  <r>
    <x v="3"/>
    <x v="34"/>
    <s v="Bill"/>
    <s v="490620"/>
    <x v="408"/>
    <s v="TA - VALLES ANDINOS-  -  BOLSA -  Arverjas Verdes-  24 / 14oz - VA135"/>
    <n v="2"/>
    <n v="18"/>
    <n v="36"/>
    <n v="100254.82999999994"/>
    <n v="2"/>
    <s v="Se repite 2 veces"/>
    <s v="Tradiciones Andinas-Valles Andinos Arverjas Verdes 14oz x 24"/>
    <n v="2"/>
    <s v="Se repite 2 veces en Tradiciones Andinas"/>
    <s v="Tradiciones Andinas-Valles Andinos Arverjas Verdes 14oz x 24-18"/>
    <n v="2"/>
    <s v="Se repite 2 veces el precio de 18"/>
    <s v="El producto Valles Andinos Arverjas Verdes 14oz x 24 Se repite 2 veces en Tradiciones Andinas, Se repite 2 veces el precio de 18"/>
  </r>
  <r>
    <x v="3"/>
    <x v="27"/>
    <s v="Bill"/>
    <s v="491180"/>
    <x v="408"/>
    <s v="TA - VALLES ANDINOS-  -  BOLSA -  Arverjas Verdes-  24 / 14oz - VA135"/>
    <n v="1"/>
    <n v="18"/>
    <n v="18"/>
    <n v="104580.79999999993"/>
    <n v="2"/>
    <s v="Se repite 2 veces"/>
    <s v="Tradiciones Andinas-Valles Andinos Arverjas Verdes 14oz x 24"/>
    <n v="2"/>
    <s v="Se repite 2 veces en Tradiciones Andinas"/>
    <s v="Tradiciones Andinas-Valles Andinos Arverjas Verdes 14oz x 24-18"/>
    <n v="2"/>
    <s v="Se repite 2 veces el precio de 18"/>
    <s v="El producto Valles Andinos Arverjas Verdes 14oz x 24 Se repite 2 veces en Tradiciones Andinas, Se repite 2 veces el precio de 18"/>
  </r>
  <r>
    <x v="3"/>
    <x v="25"/>
    <s v="Bill"/>
    <s v="483292"/>
    <x v="409"/>
    <s v="Canguil / Pop Corn"/>
    <n v="3"/>
    <n v="23.76"/>
    <n v="71.28"/>
    <n v="63017.059999999954"/>
    <n v="2"/>
    <s v="Se repite 2 veces"/>
    <s v="Tradiciones Andinas-Valles Andinos Canguil / Pop Corn"/>
    <n v="2"/>
    <s v="Se repite 2 veces en Tradiciones Andinas"/>
    <s v="Tradiciones Andinas-Valles Andinos Canguil / Pop Corn-23.76"/>
    <n v="2"/>
    <s v="Se repite 2 veces el precio de 23.76"/>
    <s v="El producto Valles Andinos Canguil / Pop Corn Se repite 2 veces en Tradiciones Andinas, Se repite 2 veces el precio de 23.76"/>
  </r>
  <r>
    <x v="3"/>
    <x v="13"/>
    <s v="Bill"/>
    <s v="485230"/>
    <x v="409"/>
    <s v="Canguil / Pop Corn"/>
    <n v="2"/>
    <n v="23.76"/>
    <n v="47.52"/>
    <n v="72032"/>
    <n v="2"/>
    <s v="Se repite 2 veces"/>
    <s v="Tradiciones Andinas-Valles Andinos Canguil / Pop Corn"/>
    <n v="2"/>
    <s v="Se repite 2 veces en Tradiciones Andinas"/>
    <s v="Tradiciones Andinas-Valles Andinos Canguil / Pop Corn-23.76"/>
    <n v="2"/>
    <s v="Se repite 2 veces el precio de 23.76"/>
    <s v="El producto Valles Andinos Canguil / Pop Corn Se repite 2 veces en Tradiciones Andinas, Se repite 2 veces el precio de 23.76"/>
  </r>
  <r>
    <x v="3"/>
    <x v="10"/>
    <s v="Bill"/>
    <s v="476974"/>
    <x v="410"/>
    <s v="Chimichurri - BBQ Sauce"/>
    <n v="1"/>
    <n v="32.15"/>
    <n v="32.15"/>
    <n v="22399.54"/>
    <n v="4"/>
    <s v="Se repite 4 veces"/>
    <s v="Tradiciones Andinas-Valles Andinos Chimichurri - BBQ Sauce 500gr x 15"/>
    <n v="4"/>
    <s v="Se repite 4 veces en Tradiciones Andinas"/>
    <s v="Tradiciones Andinas-Valles Andinos Chimichurri - BBQ Sauce 500gr x 15-32.15"/>
    <n v="4"/>
    <s v="Se repite 4 veces el precio de 32.15"/>
    <s v="El producto Valles Andinos Chimichurri - BBQ Sauce 500gr x 15 Se repite 4 veces en Tradiciones Andinas, Se repite 4 veces el precio de 32.15"/>
  </r>
  <r>
    <x v="3"/>
    <x v="5"/>
    <s v="Bill"/>
    <s v="482005"/>
    <x v="410"/>
    <s v="TA- ECUADOR -  VALLES ANDINOS -  -  Chimichurri - BBQ Sauce-  15 / 17.64oz - VA148"/>
    <n v="5"/>
    <n v="32.15"/>
    <n v="160.75"/>
    <n v="57421.499999999942"/>
    <n v="4"/>
    <s v="Se repite 4 veces"/>
    <s v="Tradiciones Andinas-Valles Andinos Chimichurri - BBQ Sauce 500gr x 15"/>
    <n v="4"/>
    <s v="Se repite 4 veces en Tradiciones Andinas"/>
    <s v="Tradiciones Andinas-Valles Andinos Chimichurri - BBQ Sauce 500gr x 15-32.15"/>
    <n v="4"/>
    <s v="Se repite 4 veces el precio de 32.15"/>
    <s v="El producto Valles Andinos Chimichurri - BBQ Sauce 500gr x 15 Se repite 4 veces en Tradiciones Andinas, Se repite 4 veces el precio de 32.15"/>
  </r>
  <r>
    <x v="3"/>
    <x v="27"/>
    <s v="Bill"/>
    <s v="491180"/>
    <x v="410"/>
    <s v="TA- ECUADOR -  VALLES ANDINOS -  -  Chimichurri - BBQ Sauce-  15 / 17.64oz - VA148"/>
    <n v="4"/>
    <n v="32.15"/>
    <n v="128.6"/>
    <n v="104279.55999999992"/>
    <n v="4"/>
    <s v="Se repite 4 veces"/>
    <s v="Tradiciones Andinas-Valles Andinos Chimichurri - BBQ Sauce 500gr x 15"/>
    <n v="4"/>
    <s v="Se repite 4 veces en Tradiciones Andinas"/>
    <s v="Tradiciones Andinas-Valles Andinos Chimichurri - BBQ Sauce 500gr x 15-32.15"/>
    <n v="4"/>
    <s v="Se repite 4 veces el precio de 32.15"/>
    <s v="El producto Valles Andinos Chimichurri - BBQ Sauce 500gr x 15 Se repite 4 veces en Tradiciones Andinas, Se repite 4 veces el precio de 32.15"/>
  </r>
  <r>
    <x v="3"/>
    <x v="7"/>
    <s v="Bill"/>
    <s v="492743"/>
    <x v="410"/>
    <s v="TA- ECUADOR -  VALLES ANDINOS -  -  Chimichurri - BBQ Sauce-  15 / 17.64oz - VA148"/>
    <n v="2"/>
    <n v="32.15"/>
    <n v="64.3"/>
    <n v="113252.01999999989"/>
    <n v="4"/>
    <s v="Se repite 4 veces"/>
    <s v="Tradiciones Andinas-Valles Andinos Chimichurri - BBQ Sauce 500gr x 15"/>
    <n v="4"/>
    <s v="Se repite 4 veces en Tradiciones Andinas"/>
    <s v="Tradiciones Andinas-Valles Andinos Chimichurri - BBQ Sauce 500gr x 15-32.15"/>
    <n v="4"/>
    <s v="Se repite 4 veces el precio de 32.15"/>
    <s v="El producto Valles Andinos Chimichurri - BBQ Sauce 500gr x 15 Se repite 4 veces en Tradiciones Andinas, Se repite 4 veces el precio de 32.15"/>
  </r>
  <r>
    <x v="3"/>
    <x v="10"/>
    <s v="Bill"/>
    <s v="476974"/>
    <x v="411"/>
    <s v="Chochos en Salmuera"/>
    <n v="5"/>
    <n v="39.479999999999997"/>
    <n v="197.4"/>
    <n v="21992.42"/>
    <n v="6"/>
    <s v="Se repite 6 veces"/>
    <s v="Tradiciones Andinas-Valles Andinos Chochos en Salmuera 15oz x 12"/>
    <n v="6"/>
    <s v="Se repite 6 veces en Tradiciones Andinas"/>
    <s v="Tradiciones Andinas-Valles Andinos Chochos en Salmuera 15oz x 12-39.48"/>
    <n v="1"/>
    <s v="No se repite"/>
    <s v="El producto Valles Andinos Chochos en Salmuera 15oz x 12 Se repite 6 veces en Tradiciones Andinas Una vez con el precio 39.48"/>
  </r>
  <r>
    <x v="3"/>
    <x v="11"/>
    <s v="Bill"/>
    <s v="478734"/>
    <x v="411"/>
    <s v="TA- ECUADOR -  VALLES ANDINOS -  -  Chochos en Salmuera-  12 / 15oz - VA124"/>
    <n v="2"/>
    <n v="42.24"/>
    <n v="84.48"/>
    <n v="32942.560000000005"/>
    <n v="6"/>
    <s v="Se repite 6 veces"/>
    <s v="Tradiciones Andinas-Valles Andinos Chochos en Salmuera 15oz x 12"/>
    <n v="6"/>
    <s v="Se repite 6 veces en Tradiciones Andinas"/>
    <s v="Tradiciones Andinas-Valles Andinos Chochos en Salmuera 15oz x 12-42.24"/>
    <n v="5"/>
    <s v="Se repite 5 veces el precio de 42.24"/>
    <s v="El producto Valles Andinos Chochos en Salmuera 15oz x 12 Se repite 6 veces en Tradiciones Andinas, Se repite 5 veces el precio de 42.24"/>
  </r>
  <r>
    <x v="3"/>
    <x v="5"/>
    <s v="Bill"/>
    <s v="482005"/>
    <x v="411"/>
    <s v="TA- ECUADOR -  VALLES ANDINOS -  -  Chochos en Salmuera-  12 / 15oz - VA124"/>
    <n v="4"/>
    <n v="42.24"/>
    <n v="168.96"/>
    <n v="56381.299999999937"/>
    <n v="6"/>
    <s v="Se repite 6 veces"/>
    <s v="Tradiciones Andinas-Valles Andinos Chochos en Salmuera 15oz x 12"/>
    <n v="6"/>
    <s v="Se repite 6 veces en Tradiciones Andinas"/>
    <s v="Tradiciones Andinas-Valles Andinos Chochos en Salmuera 15oz x 12-42.24"/>
    <n v="5"/>
    <s v="Se repite 5 veces el precio de 42.24"/>
    <s v="El producto Valles Andinos Chochos en Salmuera 15oz x 12 Se repite 6 veces en Tradiciones Andinas, Se repite 5 veces el precio de 42.24"/>
  </r>
  <r>
    <x v="3"/>
    <x v="13"/>
    <s v="Bill"/>
    <s v="485230"/>
    <x v="411"/>
    <s v="TA- ECUADOR -  VALLES ANDINOS -  -  Chochos en Salmuera-  12 / 15oz - VA124"/>
    <n v="2"/>
    <n v="42.24"/>
    <n v="84.48"/>
    <n v="71884.490000000005"/>
    <n v="6"/>
    <s v="Se repite 6 veces"/>
    <s v="Tradiciones Andinas-Valles Andinos Chochos en Salmuera 15oz x 12"/>
    <n v="6"/>
    <s v="Se repite 6 veces en Tradiciones Andinas"/>
    <s v="Tradiciones Andinas-Valles Andinos Chochos en Salmuera 15oz x 12-42.24"/>
    <n v="5"/>
    <s v="Se repite 5 veces el precio de 42.24"/>
    <s v="El producto Valles Andinos Chochos en Salmuera 15oz x 12 Se repite 6 veces en Tradiciones Andinas, Se repite 5 veces el precio de 42.24"/>
  </r>
  <r>
    <x v="3"/>
    <x v="6"/>
    <s v="Bill"/>
    <s v="487860"/>
    <x v="411"/>
    <s v="TA- ECUADOR -  VALLES ANDINOS -  -  Chochos en Salmuera-  12 / 15oz - VA124"/>
    <n v="2"/>
    <n v="42.24"/>
    <n v="84.48"/>
    <n v="85452.609999999957"/>
    <n v="6"/>
    <s v="Se repite 6 veces"/>
    <s v="Tradiciones Andinas-Valles Andinos Chochos en Salmuera 15oz x 12"/>
    <n v="6"/>
    <s v="Se repite 6 veces en Tradiciones Andinas"/>
    <s v="Tradiciones Andinas-Valles Andinos Chochos en Salmuera 15oz x 12-42.24"/>
    <n v="5"/>
    <s v="Se repite 5 veces el precio de 42.24"/>
    <s v="El producto Valles Andinos Chochos en Salmuera 15oz x 12 Se repite 6 veces en Tradiciones Andinas, Se repite 5 veces el precio de 42.24"/>
  </r>
  <r>
    <x v="3"/>
    <x v="34"/>
    <s v="Bill"/>
    <s v="490620"/>
    <x v="411"/>
    <s v="TA- ECUADOR -  VALLES ANDINOS -  -  Chochos en Salmuera-  12 / 15oz - VA124"/>
    <n v="4"/>
    <n v="42.24"/>
    <n v="168.96"/>
    <n v="100218.82999999994"/>
    <n v="6"/>
    <s v="Se repite 6 veces"/>
    <s v="Tradiciones Andinas-Valles Andinos Chochos en Salmuera 15oz x 12"/>
    <n v="6"/>
    <s v="Se repite 6 veces en Tradiciones Andinas"/>
    <s v="Tradiciones Andinas-Valles Andinos Chochos en Salmuera 15oz x 12-42.24"/>
    <n v="5"/>
    <s v="Se repite 5 veces el precio de 42.24"/>
    <s v="El producto Valles Andinos Chochos en Salmuera 15oz x 12 Se repite 6 veces en Tradiciones Andinas, Se repite 5 veces el precio de 42.24"/>
  </r>
  <r>
    <x v="3"/>
    <x v="10"/>
    <s v="Bill"/>
    <s v="476974"/>
    <x v="412"/>
    <s v="Chochos en Salmuera Picantes"/>
    <n v="2"/>
    <n v="39.479999999999997"/>
    <n v="78.959999999999994"/>
    <n v="22071.379999999997"/>
    <n v="1"/>
    <s v="No se repite"/>
    <s v="Tradiciones Andinas-Valles Andinos Chochos en Salmuera Picantes 17oz x 12"/>
    <n v="1"/>
    <s v="No se repite en proveedor"/>
    <s v="Tradiciones Andinas-Valles Andinos Chochos en Salmuera Picantes 17oz x 12-39.48"/>
    <n v="1"/>
    <s v="No se repite"/>
    <s v="El producto Valles Andinos Chochos en Salmuera Picantes 17oz x 12 No se repite en proveedor Una vez con el precio 39.48"/>
  </r>
  <r>
    <x v="3"/>
    <x v="10"/>
    <s v="Bill"/>
    <s v="476974"/>
    <x v="413"/>
    <s v="Dulces de Higos"/>
    <n v="1"/>
    <n v="46.68"/>
    <n v="46.68"/>
    <n v="22118.059999999998"/>
    <n v="5"/>
    <s v="Se repite 5 veces"/>
    <s v="Tradiciones Andinas-Valles Andinos Dulces de Higos 20oz X 12"/>
    <n v="5"/>
    <s v="Se repite 5 veces en Tradiciones Andinas"/>
    <s v="Tradiciones Andinas-Valles Andinos Dulces de Higos 20oz X 12-46.68"/>
    <n v="1"/>
    <s v="No se repite"/>
    <s v="El producto Valles Andinos Dulces de Higos 20oz X 12 Se repite 5 veces en Tradiciones Andinas Una vez con el precio 46.68"/>
  </r>
  <r>
    <x v="3"/>
    <x v="11"/>
    <s v="Bill"/>
    <s v="478734"/>
    <x v="413"/>
    <s v="TA- ECUADOR -  VALLES ANDINOS -  -  Dulces de Higos-  12 / 20oz - VA142"/>
    <n v="2"/>
    <n v="49.95"/>
    <n v="99.9"/>
    <n v="33042.460000000006"/>
    <n v="5"/>
    <s v="Se repite 5 veces"/>
    <s v="Tradiciones Andinas-Valles Andinos Dulces de Higos 20oz X 12"/>
    <n v="5"/>
    <s v="Se repite 5 veces en Tradiciones Andinas"/>
    <s v="Tradiciones Andinas-Valles Andinos Dulces de Higos 20oz X 12-49.95"/>
    <n v="4"/>
    <s v="Se repite 4 veces el precio de 49.95"/>
    <s v="El producto Valles Andinos Dulces de Higos 20oz X 12 Se repite 5 veces en Tradiciones Andinas, Se repite 4 veces el precio de 49.95"/>
  </r>
  <r>
    <x v="3"/>
    <x v="13"/>
    <s v="Bill"/>
    <s v="485230"/>
    <x v="413"/>
    <s v="TA- ECUADOR -  VALLES ANDINOS -  -  Dulces de Higos-  12 / 20oz - VA142"/>
    <n v="1"/>
    <n v="49.95"/>
    <n v="49.95"/>
    <n v="71934.44"/>
    <n v="5"/>
    <s v="Se repite 5 veces"/>
    <s v="Tradiciones Andinas-Valles Andinos Dulces de Higos 20oz X 12"/>
    <n v="5"/>
    <s v="Se repite 5 veces en Tradiciones Andinas"/>
    <s v="Tradiciones Andinas-Valles Andinos Dulces de Higos 20oz X 12-49.95"/>
    <n v="4"/>
    <s v="Se repite 4 veces el precio de 49.95"/>
    <s v="El producto Valles Andinos Dulces de Higos 20oz X 12 Se repite 5 veces en Tradiciones Andinas, Se repite 4 veces el precio de 49.95"/>
  </r>
  <r>
    <x v="3"/>
    <x v="6"/>
    <s v="Bill"/>
    <s v="487860"/>
    <x v="413"/>
    <s v="TA- ECUADOR -  VALLES ANDINOS -  -  Dulces de Higos-  12 / 20oz - VA142"/>
    <n v="1"/>
    <n v="49.95"/>
    <n v="49.95"/>
    <n v="85502.559999999954"/>
    <n v="5"/>
    <s v="Se repite 5 veces"/>
    <s v="Tradiciones Andinas-Valles Andinos Dulces de Higos 20oz X 12"/>
    <n v="5"/>
    <s v="Se repite 5 veces en Tradiciones Andinas"/>
    <s v="Tradiciones Andinas-Valles Andinos Dulces de Higos 20oz X 12-49.95"/>
    <n v="4"/>
    <s v="Se repite 4 veces el precio de 49.95"/>
    <s v="El producto Valles Andinos Dulces de Higos 20oz X 12 Se repite 5 veces en Tradiciones Andinas, Se repite 4 veces el precio de 49.95"/>
  </r>
  <r>
    <x v="3"/>
    <x v="27"/>
    <s v="Bill"/>
    <s v="491180"/>
    <x v="413"/>
    <s v="TA- ECUADOR -  VALLES ANDINOS -  -  Dulces de Higos-  12 / 20oz - VA142"/>
    <n v="3"/>
    <n v="49.95"/>
    <n v="149.85"/>
    <n v="104150.95999999992"/>
    <n v="5"/>
    <s v="Se repite 5 veces"/>
    <s v="Tradiciones Andinas-Valles Andinos Dulces de Higos 20oz X 12"/>
    <n v="5"/>
    <s v="Se repite 5 veces en Tradiciones Andinas"/>
    <s v="Tradiciones Andinas-Valles Andinos Dulces de Higos 20oz X 12-49.95"/>
    <n v="4"/>
    <s v="Se repite 4 veces el precio de 49.95"/>
    <s v="El producto Valles Andinos Dulces de Higos 20oz X 12 Se repite 5 veces en Tradiciones Andinas, Se repite 4 veces el precio de 49.95"/>
  </r>
  <r>
    <x v="3"/>
    <x v="5"/>
    <s v="Bill"/>
    <s v="482005"/>
    <x v="414"/>
    <s v="Frijol Bocanegra / Black Eye Beans or Bocanegra"/>
    <n v="5"/>
    <n v="23.22"/>
    <n v="116.1"/>
    <n v="57791.189999999937"/>
    <n v="2"/>
    <s v="Se repite 2 veces"/>
    <s v="Tradiciones Andinas-Valles Andinos Frijol Bocanegra / Black Eye Beans or Bocanegra"/>
    <n v="2"/>
    <s v="Se repite 2 veces en Tradiciones Andinas"/>
    <s v="Tradiciones Andinas-Valles Andinos Frijol Bocanegra / Black Eye Beans or Bocanegra-23.22"/>
    <n v="2"/>
    <s v="Se repite 2 veces el precio de 23.22"/>
    <s v="El producto Valles Andinos Frijol Bocanegra / Black Eye Beans or Bocanegra Se repite 2 veces en Tradiciones Andinas, Se repite 2 veces el precio de 23.22"/>
  </r>
  <r>
    <x v="3"/>
    <x v="7"/>
    <s v="Bill"/>
    <s v="492743"/>
    <x v="414"/>
    <s v="Frijol Bocanegra / Black Eye Beans or Bocanegra"/>
    <n v="4"/>
    <n v="23.22"/>
    <n v="92.88"/>
    <n v="113419.79999999989"/>
    <n v="2"/>
    <s v="Se repite 2 veces"/>
    <s v="Tradiciones Andinas-Valles Andinos Frijol Bocanegra / Black Eye Beans or Bocanegra"/>
    <n v="2"/>
    <s v="Se repite 2 veces en Tradiciones Andinas"/>
    <s v="Tradiciones Andinas-Valles Andinos Frijol Bocanegra / Black Eye Beans or Bocanegra-23.22"/>
    <n v="2"/>
    <s v="Se repite 2 veces el precio de 23.22"/>
    <s v="El producto Valles Andinos Frijol Bocanegra / Black Eye Beans or Bocanegra Se repite 2 veces en Tradiciones Andinas, Se repite 2 veces el precio de 23.22"/>
  </r>
  <r>
    <x v="3"/>
    <x v="5"/>
    <s v="Bill"/>
    <s v="482005"/>
    <x v="415"/>
    <s v="Frijol Canario / Canary Beans"/>
    <n v="6"/>
    <n v="30.42"/>
    <n v="182.52"/>
    <n v="58040.429999999935"/>
    <n v="1"/>
    <s v="No se repite"/>
    <s v="Tradiciones Andinas-Valles Andinos Frijol Canario / Canary Beans"/>
    <n v="1"/>
    <s v="No se repite en proveedor"/>
    <s v="Tradiciones Andinas-Valles Andinos Frijol Canario / Canary Beans-30.42"/>
    <n v="1"/>
    <s v="No se repite"/>
    <s v="El producto Valles Andinos Frijol Canario / Canary Beans No se repite en proveedor Una vez con el precio 30.42"/>
  </r>
  <r>
    <x v="3"/>
    <x v="4"/>
    <s v="Bill"/>
    <s v="480295"/>
    <x v="416"/>
    <s v="Frijoles Negros"/>
    <n v="4"/>
    <n v="20.399999999999999"/>
    <n v="81.599999999999994"/>
    <n v="41297.06"/>
    <n v="2"/>
    <s v="Se repite 2 veces"/>
    <s v="Tradiciones Andinas-Valles Andinos Frijoles Negros / Black beans 14 oz x 24"/>
    <n v="2"/>
    <s v="Se repite 2 veces en Tradiciones Andinas"/>
    <s v="Tradiciones Andinas-Valles Andinos Frijoles Negros / Black beans 14 oz x 24-20.4"/>
    <n v="2"/>
    <s v="Se repite 2 veces el precio de 20.4"/>
    <s v="El producto Valles Andinos Frijoles Negros / Black beans 14 oz x 24 Se repite 2 veces en Tradiciones Andinas, Se repite 2 veces el precio de 20.4"/>
  </r>
  <r>
    <x v="3"/>
    <x v="5"/>
    <s v="Bill"/>
    <s v="482005"/>
    <x v="416"/>
    <s v="TA - VALLES ANDINOS-  -  BOLSA -  Frijoles Negros-  24 / 14oz - VA138"/>
    <n v="6"/>
    <n v="20.399999999999999"/>
    <n v="122.4"/>
    <n v="58344.749999999935"/>
    <n v="2"/>
    <s v="Se repite 2 veces"/>
    <s v="Tradiciones Andinas-Valles Andinos Frijoles Negros / Black beans 14 oz x 24"/>
    <n v="2"/>
    <s v="Se repite 2 veces en Tradiciones Andinas"/>
    <s v="Tradiciones Andinas-Valles Andinos Frijoles Negros / Black beans 14 oz x 24-20.4"/>
    <n v="2"/>
    <s v="Se repite 2 veces el precio de 20.4"/>
    <s v="El producto Valles Andinos Frijoles Negros / Black beans 14 oz x 24 Se repite 2 veces en Tradiciones Andinas, Se repite 2 veces el precio de 20.4"/>
  </r>
  <r>
    <x v="3"/>
    <x v="4"/>
    <s v="Bill"/>
    <s v="480295"/>
    <x v="417"/>
    <s v="Habas partidas y Peladas / Split and Peeled Fava Beans"/>
    <n v="3"/>
    <n v="25.9"/>
    <n v="77.7"/>
    <n v="41374.759999999995"/>
    <n v="2"/>
    <s v="Se repite 2 veces"/>
    <s v="Tradiciones Andinas-Valles Andinos Habas partidas y Peladas / Split and Peeled Fava Beans 14oz x 14"/>
    <n v="2"/>
    <s v="Se repite 2 veces en Tradiciones Andinas"/>
    <s v="Tradiciones Andinas-Valles Andinos Habas partidas y Peladas / Split and Peeled Fava Beans 14oz x 14-25.9"/>
    <n v="2"/>
    <s v="Se repite 2 veces el precio de 25.9"/>
    <s v="El producto Valles Andinos Habas partidas y Peladas / Split and Peeled Fava Beans 14oz x 14 Se repite 2 veces en Tradiciones Andinas, Se repite 2 veces el precio de 25.9"/>
  </r>
  <r>
    <x v="3"/>
    <x v="5"/>
    <s v="Bill"/>
    <s v="482005"/>
    <x v="417"/>
    <s v="TA - VALLES ANDINOS-  -  BOLSA -  Habas partidas y Peladas / Split and Peeled Fava Beans-  14 / 14oz - VA139"/>
    <n v="4"/>
    <n v="25.9"/>
    <n v="103.6"/>
    <n v="58448.349999999933"/>
    <n v="2"/>
    <s v="Se repite 2 veces"/>
    <s v="Tradiciones Andinas-Valles Andinos Habas partidas y Peladas / Split and Peeled Fava Beans 14oz x 14"/>
    <n v="2"/>
    <s v="Se repite 2 veces en Tradiciones Andinas"/>
    <s v="Tradiciones Andinas-Valles Andinos Habas partidas y Peladas / Split and Peeled Fava Beans 14oz x 14-25.9"/>
    <n v="2"/>
    <s v="Se repite 2 veces el precio de 25.9"/>
    <s v="El producto Valles Andinos Habas partidas y Peladas / Split and Peeled Fava Beans 14oz x 14 Se repite 2 veces en Tradiciones Andinas, Se repite 2 veces el precio de 25.9"/>
  </r>
  <r>
    <x v="3"/>
    <x v="25"/>
    <s v="Bill"/>
    <s v="483292"/>
    <x v="418"/>
    <s v="Harina de Alverja / Pea Flour"/>
    <n v="3"/>
    <n v="22.24"/>
    <n v="66.72"/>
    <n v="62923.539999999957"/>
    <n v="2"/>
    <s v="Se repite 2 veces"/>
    <s v="Tradiciones Andinas-Valles Andinos Harina de Alverja / Pea Flour"/>
    <n v="2"/>
    <s v="Se repite 2 veces en Tradiciones Andinas"/>
    <s v="Tradiciones Andinas-Valles Andinos Harina de Alverja / Pea Flour-22.24"/>
    <n v="2"/>
    <s v="Se repite 2 veces el precio de 22.24"/>
    <s v="El producto Valles Andinos Harina de Alverja / Pea Flour Se repite 2 veces en Tradiciones Andinas, Se repite 2 veces el precio de 22.24"/>
  </r>
  <r>
    <x v="3"/>
    <x v="6"/>
    <s v="Bill"/>
    <s v="487860"/>
    <x v="418"/>
    <s v="Harina de Alverja / Pea Flour"/>
    <n v="5"/>
    <n v="22.24"/>
    <n v="111.2"/>
    <n v="86015.459999999948"/>
    <n v="2"/>
    <s v="Se repite 2 veces"/>
    <s v="Tradiciones Andinas-Valles Andinos Harina de Alverja / Pea Flour"/>
    <n v="2"/>
    <s v="Se repite 2 veces en Tradiciones Andinas"/>
    <s v="Tradiciones Andinas-Valles Andinos Harina de Alverja / Pea Flour-22.24"/>
    <n v="2"/>
    <s v="Se repite 2 veces el precio de 22.24"/>
    <s v="El producto Valles Andinos Harina de Alverja / Pea Flour Se repite 2 veces en Tradiciones Andinas, Se repite 2 veces el precio de 22.24"/>
  </r>
  <r>
    <x v="3"/>
    <x v="5"/>
    <s v="Bill"/>
    <s v="482005"/>
    <x v="419"/>
    <s v="Harina de Habas / Faba Beans Flour"/>
    <n v="3"/>
    <n v="22.24"/>
    <n v="66.72"/>
    <n v="57857.909999999938"/>
    <n v="3"/>
    <s v="Se repite 3 veces"/>
    <s v="Tradiciones Andinas-Valles Andinos Harina de Habas / Faba Beans Flour 14oz x 18"/>
    <n v="3"/>
    <s v="Se repite 3 veces en Tradiciones Andinas"/>
    <s v="Tradiciones Andinas-Valles Andinos Harina de Habas / Faba Beans Flour 14oz x 18-22.24"/>
    <n v="3"/>
    <s v="Se repite 3 veces el precio de 22.24"/>
    <s v="El producto Valles Andinos Harina de Habas / Faba Beans Flour 14oz x 18 Se repite 3 veces en Tradiciones Andinas, Se repite 3 veces el precio de 22.24"/>
  </r>
  <r>
    <x v="3"/>
    <x v="6"/>
    <s v="Bill"/>
    <s v="487860"/>
    <x v="419"/>
    <s v="TA - VALLES ANDINOS-  -  BOLSA -  Harina de Habas / Faba Beans Flour -  18 / 14oz - VA114"/>
    <n v="2"/>
    <n v="22.24"/>
    <n v="44.48"/>
    <n v="86109.979999999938"/>
    <n v="3"/>
    <s v="Se repite 3 veces"/>
    <s v="Tradiciones Andinas-Valles Andinos Harina de Habas / Faba Beans Flour 14oz x 18"/>
    <n v="3"/>
    <s v="Se repite 3 veces en Tradiciones Andinas"/>
    <s v="Tradiciones Andinas-Valles Andinos Harina de Habas / Faba Beans Flour 14oz x 18-22.24"/>
    <n v="3"/>
    <s v="Se repite 3 veces el precio de 22.24"/>
    <s v="El producto Valles Andinos Harina de Habas / Faba Beans Flour 14oz x 18 Se repite 3 veces en Tradiciones Andinas, Se repite 3 veces el precio de 22.24"/>
  </r>
  <r>
    <x v="3"/>
    <x v="27"/>
    <s v="Bill"/>
    <s v="491180"/>
    <x v="419"/>
    <s v="TA - VALLES ANDINOS-  -  BOLSA -  Harina de Habas / Faba Beans Flour -  18 / 14oz - VA114"/>
    <n v="1"/>
    <n v="22.24"/>
    <n v="22.24"/>
    <n v="104435.23999999993"/>
    <n v="3"/>
    <s v="Se repite 3 veces"/>
    <s v="Tradiciones Andinas-Valles Andinos Harina de Habas / Faba Beans Flour 14oz x 18"/>
    <n v="3"/>
    <s v="Se repite 3 veces en Tradiciones Andinas"/>
    <s v="Tradiciones Andinas-Valles Andinos Harina de Habas / Faba Beans Flour 14oz x 18-22.24"/>
    <n v="3"/>
    <s v="Se repite 3 veces el precio de 22.24"/>
    <s v="El producto Valles Andinos Harina de Habas / Faba Beans Flour 14oz x 18 Se repite 3 veces en Tradiciones Andinas, Se repite 3 veces el precio de 22.24"/>
  </r>
  <r>
    <x v="3"/>
    <x v="25"/>
    <s v="Bill"/>
    <s v="483292"/>
    <x v="420"/>
    <s v="Harina de Machica / Roasted Barley Flour"/>
    <n v="1"/>
    <n v="22.24"/>
    <n v="22.24"/>
    <n v="62945.779999999955"/>
    <n v="3"/>
    <s v="Se repite 3 veces"/>
    <s v="Tradiciones Andinas-Valles Andinos Harina de Machica / Roasted Barley Flour"/>
    <n v="3"/>
    <s v="Se repite 3 veces en Tradiciones Andinas"/>
    <s v="Tradiciones Andinas-Valles Andinos Harina de Machica / Roasted Barley Flour-22.24"/>
    <n v="3"/>
    <s v="Se repite 3 veces el precio de 22.24"/>
    <s v="El producto Valles Andinos Harina de Machica / Roasted Barley Flour Se repite 3 veces en Tradiciones Andinas, Se repite 3 veces el precio de 22.24"/>
  </r>
  <r>
    <x v="3"/>
    <x v="48"/>
    <s v="Bill"/>
    <s v="489033"/>
    <x v="420"/>
    <s v="Harina de Machica / Roasted Barley Flour"/>
    <n v="5"/>
    <n v="22.24"/>
    <n v="111.2"/>
    <n v="95449.949999999939"/>
    <n v="3"/>
    <s v="Se repite 3 veces"/>
    <s v="Tradiciones Andinas-Valles Andinos Harina de Machica / Roasted Barley Flour"/>
    <n v="3"/>
    <s v="Se repite 3 veces en Tradiciones Andinas"/>
    <s v="Tradiciones Andinas-Valles Andinos Harina de Machica / Roasted Barley Flour-22.24"/>
    <n v="3"/>
    <s v="Se repite 3 veces el precio de 22.24"/>
    <s v="El producto Valles Andinos Harina de Machica / Roasted Barley Flour Se repite 3 veces en Tradiciones Andinas, Se repite 3 veces el precio de 22.24"/>
  </r>
  <r>
    <x v="3"/>
    <x v="27"/>
    <s v="Bill"/>
    <s v="491180"/>
    <x v="420"/>
    <s v="Harina de Machica / Roasted Barley Flour"/>
    <n v="6"/>
    <n v="22.24"/>
    <n v="133.44"/>
    <n v="104412.99999999993"/>
    <n v="3"/>
    <s v="Se repite 3 veces"/>
    <s v="Tradiciones Andinas-Valles Andinos Harina de Machica / Roasted Barley Flour"/>
    <n v="3"/>
    <s v="Se repite 3 veces en Tradiciones Andinas"/>
    <s v="Tradiciones Andinas-Valles Andinos Harina de Machica / Roasted Barley Flour-22.24"/>
    <n v="3"/>
    <s v="Se repite 3 veces el precio de 22.24"/>
    <s v="El producto Valles Andinos Harina de Machica / Roasted Barley Flour Se repite 3 veces en Tradiciones Andinas, Se repite 3 veces el precio de 22.24"/>
  </r>
  <r>
    <x v="3"/>
    <x v="5"/>
    <s v="Bill"/>
    <s v="482005"/>
    <x v="421"/>
    <s v="Harina de Maiz / Corn Flour"/>
    <n v="3"/>
    <n v="22.24"/>
    <n v="66.72"/>
    <n v="58107.149999999936"/>
    <n v="2"/>
    <s v="Se repite 2 veces"/>
    <s v="Tradiciones Andinas-Valles Andinos Harina de Maiz / Corn Flour"/>
    <n v="2"/>
    <s v="Se repite 2 veces en Tradiciones Andinas"/>
    <s v="Tradiciones Andinas-Valles Andinos Harina de Maiz / Corn Flour-22.24"/>
    <n v="2"/>
    <s v="Se repite 2 veces el precio de 22.24"/>
    <s v="El producto Valles Andinos Harina de Maiz / Corn Flour Se repite 2 veces en Tradiciones Andinas, Se repite 2 veces el precio de 22.24"/>
  </r>
  <r>
    <x v="3"/>
    <x v="6"/>
    <s v="Bill"/>
    <s v="487860"/>
    <x v="421"/>
    <s v="TA - VALLES ANDINOS-  -  BOLSA -  Harina de Maiz / Corn Flour  -  16 / 14oz - VA130"/>
    <n v="3"/>
    <n v="22.24"/>
    <n v="66.72"/>
    <n v="86237.539999999935"/>
    <n v="2"/>
    <s v="Se repite 2 veces"/>
    <s v="Tradiciones Andinas-Valles Andinos Harina de Maiz / Corn Flour"/>
    <n v="2"/>
    <s v="Se repite 2 veces en Tradiciones Andinas"/>
    <s v="Tradiciones Andinas-Valles Andinos Harina de Maiz / Corn Flour-22.24"/>
    <n v="2"/>
    <s v="Se repite 2 veces el precio de 22.24"/>
    <s v="El producto Valles Andinos Harina de Maiz / Corn Flour Se repite 2 veces en Tradiciones Andinas, Se repite 2 veces el precio de 22.24"/>
  </r>
  <r>
    <x v="3"/>
    <x v="25"/>
    <s v="Bill"/>
    <s v="483292"/>
    <x v="422"/>
    <s v="Harina de Platano / Plantain Flour"/>
    <n v="3"/>
    <n v="22.24"/>
    <n v="66.72"/>
    <n v="63411.199999999946"/>
    <n v="1"/>
    <s v="No se repite"/>
    <s v="Tradiciones Andinas-Valles Andinos Harina de Platano / Plantain Flour"/>
    <n v="1"/>
    <s v="No se repite en proveedor"/>
    <s v="Tradiciones Andinas-Valles Andinos Harina de Platano / Plantain Flour-22.24"/>
    <n v="1"/>
    <s v="No se repite"/>
    <s v="El producto Valles Andinos Harina de Platano / Plantain Flour No se repite en proveedor Una vez con el precio 22.24"/>
  </r>
  <r>
    <x v="3"/>
    <x v="48"/>
    <s v="Bill"/>
    <s v="489033"/>
    <x v="423"/>
    <s v="Harina Maiz Morado / Purple Corn Flour"/>
    <n v="1"/>
    <n v="22.24"/>
    <n v="22.24"/>
    <n v="95472.189999999944"/>
    <n v="3"/>
    <s v="Se repite 3 veces"/>
    <s v="Tradiciones Andinas-Valles Andinos Harina Maiz Morado / Purple Corn Flour"/>
    <n v="3"/>
    <s v="Se repite 3 veces en Tradiciones Andinas"/>
    <s v="Tradiciones Andinas-Valles Andinos Harina Maiz Morado / Purple Corn Flour-22.24"/>
    <n v="3"/>
    <s v="Se repite 3 veces el precio de 22.24"/>
    <s v="El producto Valles Andinos Harina Maiz Morado / Purple Corn Flour Se repite 3 veces en Tradiciones Andinas, Se repite 3 veces el precio de 22.24"/>
  </r>
  <r>
    <x v="3"/>
    <x v="27"/>
    <s v="Bill"/>
    <s v="491180"/>
    <x v="423"/>
    <s v="Harina Maiz Morado / Purple Corn Flour"/>
    <n v="3"/>
    <n v="22.24"/>
    <n v="66.72"/>
    <n v="104501.95999999993"/>
    <n v="3"/>
    <s v="Se repite 3 veces"/>
    <s v="Tradiciones Andinas-Valles Andinos Harina Maiz Morado / Purple Corn Flour"/>
    <n v="3"/>
    <s v="Se repite 3 veces en Tradiciones Andinas"/>
    <s v="Tradiciones Andinas-Valles Andinos Harina Maiz Morado / Purple Corn Flour-22.24"/>
    <n v="3"/>
    <s v="Se repite 3 veces el precio de 22.24"/>
    <s v="El producto Valles Andinos Harina Maiz Morado / Purple Corn Flour Se repite 3 veces en Tradiciones Andinas, Se repite 3 veces el precio de 22.24"/>
  </r>
  <r>
    <x v="3"/>
    <x v="7"/>
    <s v="Bill"/>
    <s v="492743"/>
    <x v="423"/>
    <s v="Harina Maiz Morado / Purple Corn Flour"/>
    <n v="2"/>
    <n v="22.24"/>
    <n v="44.48"/>
    <n v="113464.27999999988"/>
    <n v="3"/>
    <s v="Se repite 3 veces"/>
    <s v="Tradiciones Andinas-Valles Andinos Harina Maiz Morado / Purple Corn Flour"/>
    <n v="3"/>
    <s v="Se repite 3 veces en Tradiciones Andinas"/>
    <s v="Tradiciones Andinas-Valles Andinos Harina Maiz Morado / Purple Corn Flour-22.24"/>
    <n v="3"/>
    <s v="Se repite 3 veces el precio de 22.24"/>
    <s v="El producto Valles Andinos Harina Maiz Morado / Purple Corn Flour Se repite 3 veces en Tradiciones Andinas, Se repite 3 veces el precio de 22.24"/>
  </r>
  <r>
    <x v="3"/>
    <x v="4"/>
    <s v="Bill"/>
    <s v="480295"/>
    <x v="424"/>
    <s v="Lentejas"/>
    <n v="4"/>
    <n v="19.2"/>
    <n v="76.8"/>
    <n v="41215.46"/>
    <n v="4"/>
    <s v="Se repite 4 veces"/>
    <s v="Tradiciones Andinas-Valles Andinos Lentejas 14oz x 24"/>
    <n v="4"/>
    <s v="Se repite 4 veces en Tradiciones Andinas"/>
    <s v="Tradiciones Andinas-Valles Andinos Lentejas 14oz x 24-19.2"/>
    <n v="4"/>
    <s v="Se repite 4 veces el precio de 19.2"/>
    <s v="El producto Valles Andinos Lentejas 14oz x 24 Se repite 4 veces en Tradiciones Andinas, Se repite 4 veces el precio de 19.2"/>
  </r>
  <r>
    <x v="3"/>
    <x v="45"/>
    <s v="Bill"/>
    <s v="480888"/>
    <x v="424"/>
    <s v="TA - VALLES ANDINOS-  -  BOLSA -  Lentejas-  24 / 14oz - VA137"/>
    <n v="1"/>
    <n v="19.2"/>
    <n v="19.2"/>
    <n v="44112.03"/>
    <n v="4"/>
    <s v="Se repite 4 veces"/>
    <s v="Tradiciones Andinas-Valles Andinos Lentejas 14oz x 24"/>
    <n v="4"/>
    <s v="Se repite 4 veces en Tradiciones Andinas"/>
    <s v="Tradiciones Andinas-Valles Andinos Lentejas 14oz x 24-19.2"/>
    <n v="4"/>
    <s v="Se repite 4 veces el precio de 19.2"/>
    <s v="El producto Valles Andinos Lentejas 14oz x 24 Se repite 4 veces en Tradiciones Andinas, Se repite 4 veces el precio de 19.2"/>
  </r>
  <r>
    <x v="3"/>
    <x v="5"/>
    <s v="Bill"/>
    <s v="482005"/>
    <x v="424"/>
    <s v="TA - VALLES ANDINOS-  -  BOLSA -  Lentejas-  24 / 14oz - VA137"/>
    <n v="6"/>
    <n v="19.2"/>
    <n v="115.2"/>
    <n v="58222.349999999933"/>
    <n v="4"/>
    <s v="Se repite 4 veces"/>
    <s v="Tradiciones Andinas-Valles Andinos Lentejas 14oz x 24"/>
    <n v="4"/>
    <s v="Se repite 4 veces en Tradiciones Andinas"/>
    <s v="Tradiciones Andinas-Valles Andinos Lentejas 14oz x 24-19.2"/>
    <n v="4"/>
    <s v="Se repite 4 veces el precio de 19.2"/>
    <s v="El producto Valles Andinos Lentejas 14oz x 24 Se repite 4 veces en Tradiciones Andinas, Se repite 4 veces el precio de 19.2"/>
  </r>
  <r>
    <x v="3"/>
    <x v="13"/>
    <s v="Bill"/>
    <s v="485230"/>
    <x v="424"/>
    <s v="TA - VALLES ANDINOS-  -  BOLSA -  Lentejas-  24 / 14oz - VA137"/>
    <n v="5"/>
    <n v="19.2"/>
    <n v="96"/>
    <n v="74151.560000000012"/>
    <n v="4"/>
    <s v="Se repite 4 veces"/>
    <s v="Tradiciones Andinas-Valles Andinos Lentejas 14oz x 24"/>
    <n v="4"/>
    <s v="Se repite 4 veces en Tradiciones Andinas"/>
    <s v="Tradiciones Andinas-Valles Andinos Lentejas 14oz x 24-19.2"/>
    <n v="4"/>
    <s v="Se repite 4 veces el precio de 19.2"/>
    <s v="El producto Valles Andinos Lentejas 14oz x 24 Se repite 4 veces en Tradiciones Andinas, Se repite 4 veces el precio de 19.2"/>
  </r>
  <r>
    <x v="3"/>
    <x v="6"/>
    <s v="Bill"/>
    <s v="487860"/>
    <x v="425"/>
    <s v="Soy Beans / Soy Beans"/>
    <n v="2"/>
    <n v="30.42"/>
    <n v="60.84"/>
    <n v="86170.819999999934"/>
    <n v="3"/>
    <s v="Se repite 3 veces"/>
    <s v="Tradiciones Andinas-Valles Andinos Soya / Soy Beans 14oz x 18 bolsa"/>
    <n v="3"/>
    <s v="Se repite 3 veces en Tradiciones Andinas"/>
    <s v="Tradiciones Andinas-Valles Andinos Soya / Soy Beans 14oz x 18 bolsa-30.42"/>
    <n v="3"/>
    <s v="Se repite 3 veces el precio de 30.42"/>
    <s v="El producto Valles Andinos Soya / Soy Beans 14oz x 18 bolsa Se repite 3 veces en Tradiciones Andinas, Se repite 3 veces el precio de 30.42"/>
  </r>
  <r>
    <x v="3"/>
    <x v="27"/>
    <s v="Bill"/>
    <s v="491180"/>
    <x v="425"/>
    <s v="TA - VALLES ANDINOS-  -  BOLSA -  Soy Beans / Soy Beans  -  18 / 14oz - VA120"/>
    <n v="2"/>
    <n v="30.42"/>
    <n v="60.84"/>
    <n v="104562.79999999993"/>
    <n v="3"/>
    <s v="Se repite 3 veces"/>
    <s v="Tradiciones Andinas-Valles Andinos Soya / Soy Beans 14oz x 18 bolsa"/>
    <n v="3"/>
    <s v="Se repite 3 veces en Tradiciones Andinas"/>
    <s v="Tradiciones Andinas-Valles Andinos Soya / Soy Beans 14oz x 18 bolsa-30.42"/>
    <n v="3"/>
    <s v="Se repite 3 veces el precio de 30.42"/>
    <s v="El producto Valles Andinos Soya / Soy Beans 14oz x 18 bolsa Se repite 3 veces en Tradiciones Andinas, Se repite 3 veces el precio de 30.42"/>
  </r>
  <r>
    <x v="3"/>
    <x v="7"/>
    <s v="Bill"/>
    <s v="492743"/>
    <x v="425"/>
    <s v="TA - VALLES ANDINOS-  -  BOLSA -  Soy Beans / Soy Beans  -  18 / 14oz - VA120"/>
    <n v="2"/>
    <n v="30.42"/>
    <n v="60.84"/>
    <n v="113525.11999999988"/>
    <n v="3"/>
    <s v="Se repite 3 veces"/>
    <s v="Tradiciones Andinas-Valles Andinos Soya / Soy Beans 14oz x 18 bolsa"/>
    <n v="3"/>
    <s v="Se repite 3 veces en Tradiciones Andinas"/>
    <s v="Tradiciones Andinas-Valles Andinos Soya / Soy Beans 14oz x 18 bolsa-30.42"/>
    <n v="3"/>
    <s v="Se repite 3 veces el precio de 30.42"/>
    <s v="El producto Valles Andinos Soya / Soy Beans 14oz x 18 bolsa Se repite 3 veces en Tradiciones Andinas, Se repite 3 veces el precio de 30.42"/>
  </r>
  <r>
    <x v="1"/>
    <x v="18"/>
    <s v="Bill"/>
    <s v="2025002373"/>
    <x v="426"/>
    <s v="P. CH. - VARGAS CHEVALIER Jarabe de Goma 750ml x 12 botellas de vidrio"/>
    <n v="1"/>
    <n v="75.599999999999994"/>
    <n v="75.599999999999994"/>
    <n v="42184.749999999985"/>
    <n v="1"/>
    <s v="No se repite"/>
    <s v="Peru Chef-VARGAS CHEVALIER Jarabe de Goma 750ml x 12 fco vidrio"/>
    <n v="1"/>
    <s v="No se repite en proveedor"/>
    <s v="Peru Chef-VARGAS CHEVALIER Jarabe de Goma 750ml x 12 fco vidrio-75.6"/>
    <n v="1"/>
    <s v="No se repite"/>
    <s v="El producto VARGAS CHEVALIER Jarabe de Goma 750ml x 12 fco vidrio No se repite en proveedor Una vez con el precio 75.6"/>
  </r>
  <r>
    <x v="3"/>
    <x v="9"/>
    <s v="Bill"/>
    <s v=""/>
    <x v="427"/>
    <s v="VITAPLUSS - Arrocito con Miel"/>
    <n v="2"/>
    <n v="24"/>
    <n v="48"/>
    <n v="6925.6399999999994"/>
    <n v="3"/>
    <s v="Se repite 3 veces"/>
    <s v="Tradiciones Andinas-VITAPLUSS - Arrocito con Miel 140gr x 24"/>
    <n v="3"/>
    <s v="Se repite 3 veces en Tradiciones Andinas"/>
    <s v="Tradiciones Andinas-VITAPLUSS - Arrocito con Miel 140gr x 24-24"/>
    <n v="2"/>
    <s v="Se repite 2 veces el precio de 24"/>
    <s v="El producto VITAPLUSS - Arrocito con Miel 140gr x 24 Se repite 3 veces en Tradiciones Andinas, Se repite 2 veces el precio de 24"/>
  </r>
  <r>
    <x v="3"/>
    <x v="31"/>
    <s v="Bill"/>
    <s v="477393"/>
    <x v="427"/>
    <s v="VITAPLUSS - Arrocito con Miel"/>
    <n v="2"/>
    <n v="24"/>
    <n v="48"/>
    <n v="24660.82"/>
    <n v="3"/>
    <s v="Se repite 3 veces"/>
    <s v="Tradiciones Andinas-VITAPLUSS - Arrocito con Miel 140gr x 24"/>
    <n v="3"/>
    <s v="Se repite 3 veces en Tradiciones Andinas"/>
    <s v="Tradiciones Andinas-VITAPLUSS - Arrocito con Miel 140gr x 24-24"/>
    <n v="2"/>
    <s v="Se repite 2 veces el precio de 24"/>
    <s v="El producto VITAPLUSS - Arrocito con Miel 140gr x 24 Se repite 3 veces en Tradiciones Andinas, Se repite 2 veces el precio de 24"/>
  </r>
  <r>
    <x v="3"/>
    <x v="14"/>
    <s v="Bill"/>
    <s v="493132"/>
    <x v="427"/>
    <s v="TA- PERU -  GOLOSINAS - DULCES  -  VITAPLUSS - Arrocito con Miel -  24 / 150g - CH142"/>
    <n v="2"/>
    <n v="26.4"/>
    <n v="52.8"/>
    <n v="118410.51999999992"/>
    <n v="3"/>
    <s v="Se repite 3 veces"/>
    <s v="Tradiciones Andinas-VITAPLUSS - Arrocito con Miel 140gr x 24"/>
    <n v="3"/>
    <s v="Se repite 3 veces en Tradiciones Andinas"/>
    <s v="Tradiciones Andinas-VITAPLUSS - Arrocito con Miel 140gr x 24-26.4"/>
    <n v="1"/>
    <s v="No se repite"/>
    <s v="El producto VITAPLUSS - Arrocito con Miel 140gr x 24 Se repite 3 veces en Tradiciones Andinas Una vez con el precio 26.4"/>
  </r>
  <r>
    <x v="3"/>
    <x v="9"/>
    <s v="Bill"/>
    <s v=""/>
    <x v="428"/>
    <s v="VITAPLUSS - Fideos con Miel"/>
    <n v="2"/>
    <n v="24"/>
    <n v="48"/>
    <n v="6877.6399999999994"/>
    <n v="8"/>
    <s v="Se repite 8 veces"/>
    <s v="Tradiciones Andinas-VITAPLUSS - Fideos con Miel 120gr x 20"/>
    <n v="8"/>
    <s v="Se repite 8 veces en Tradiciones Andinas"/>
    <s v="Tradiciones Andinas-VITAPLUSS - Fideos con Miel 120gr x 20-24"/>
    <n v="2"/>
    <s v="Se repite 2 veces el precio de 24"/>
    <s v="El producto VITAPLUSS - Fideos con Miel 120gr x 20 Se repite 8 veces en Tradiciones Andinas, Se repite 2 veces el precio de 24"/>
  </r>
  <r>
    <x v="3"/>
    <x v="31"/>
    <s v="Bill"/>
    <s v="477393"/>
    <x v="428"/>
    <s v="VITAPLUSS - Fideos con Miel"/>
    <n v="2"/>
    <n v="24"/>
    <n v="48"/>
    <n v="24612.82"/>
    <n v="8"/>
    <s v="Se repite 8 veces"/>
    <s v="Tradiciones Andinas-VITAPLUSS - Fideos con Miel 120gr x 20"/>
    <n v="8"/>
    <s v="Se repite 8 veces en Tradiciones Andinas"/>
    <s v="Tradiciones Andinas-VITAPLUSS - Fideos con Miel 120gr x 20-24"/>
    <n v="2"/>
    <s v="Se repite 2 veces el precio de 24"/>
    <s v="El producto VITAPLUSS - Fideos con Miel 120gr x 20 Se repite 8 veces en Tradiciones Andinas, Se repite 2 veces el precio de 24"/>
  </r>
  <r>
    <x v="3"/>
    <x v="4"/>
    <s v="Bill"/>
    <s v="480295"/>
    <x v="428"/>
    <s v="TA- PERU -  GOLOSINAS - DULCES  -  VITAPLUSS - Fideos con Miel-  20 / 120g - CH141"/>
    <n v="6"/>
    <n v="21.4"/>
    <n v="128.4"/>
    <n v="40920.499999999993"/>
    <n v="8"/>
    <s v="Se repite 8 veces"/>
    <s v="Tradiciones Andinas-VITAPLUSS - Fideos con Miel 120gr x 20"/>
    <n v="8"/>
    <s v="Se repite 8 veces en Tradiciones Andinas"/>
    <s v="Tradiciones Andinas-VITAPLUSS - Fideos con Miel 120gr x 20-21.4"/>
    <n v="2"/>
    <s v="Se repite 2 veces el precio de 21.4"/>
    <s v="El producto VITAPLUSS - Fideos con Miel 120gr x 20 Se repite 8 veces en Tradiciones Andinas, Se repite 2 veces el precio de 21.4"/>
  </r>
  <r>
    <x v="3"/>
    <x v="5"/>
    <s v="Bill"/>
    <s v="482005"/>
    <x v="428"/>
    <s v="TA- PERU -  GOLOSINAS - DULCES  -  VITAPLUSS - Fideos con Miel-  20 / 120g - CH141"/>
    <n v="4"/>
    <n v="21.4"/>
    <n v="85.6"/>
    <n v="55287.259999999944"/>
    <n v="8"/>
    <s v="Se repite 8 veces"/>
    <s v="Tradiciones Andinas-VITAPLUSS - Fideos con Miel 120gr x 20"/>
    <n v="8"/>
    <s v="Se repite 8 veces en Tradiciones Andinas"/>
    <s v="Tradiciones Andinas-VITAPLUSS - Fideos con Miel 120gr x 20-21.4"/>
    <n v="2"/>
    <s v="Se repite 2 veces el precio de 21.4"/>
    <s v="El producto VITAPLUSS - Fideos con Miel 120gr x 20 Se repite 8 veces en Tradiciones Andinas, Se repite 2 veces el precio de 21.4"/>
  </r>
  <r>
    <x v="3"/>
    <x v="13"/>
    <s v="Bill"/>
    <s v="485230"/>
    <x v="428"/>
    <s v="TA- PERU -  GOLOSINAS - DULCES  -  VITAPLUSS - Fideos con Miel-  20 / 120g - CH141"/>
    <n v="3"/>
    <n v="22"/>
    <n v="66"/>
    <n v="71549.570000000007"/>
    <n v="8"/>
    <s v="Se repite 8 veces"/>
    <s v="Tradiciones Andinas-VITAPLUSS - Fideos con Miel 120gr x 20"/>
    <n v="8"/>
    <s v="Se repite 8 veces en Tradiciones Andinas"/>
    <s v="Tradiciones Andinas-VITAPLUSS - Fideos con Miel 120gr x 20-22"/>
    <n v="4"/>
    <s v="Se repite 4 veces el precio de 22"/>
    <s v="El producto VITAPLUSS - Fideos con Miel 120gr x 20 Se repite 8 veces en Tradiciones Andinas, Se repite 4 veces el precio de 22"/>
  </r>
  <r>
    <x v="3"/>
    <x v="6"/>
    <s v="Bill"/>
    <s v="487860"/>
    <x v="428"/>
    <s v="TA- PERU -  GOLOSINAS - DULCES  -  VITAPLUSS - Fideos con Miel-  20 / 120g - CH141"/>
    <n v="6"/>
    <n v="22"/>
    <n v="132"/>
    <n v="84882.129999999961"/>
    <n v="8"/>
    <s v="Se repite 8 veces"/>
    <s v="Tradiciones Andinas-VITAPLUSS - Fideos con Miel 120gr x 20"/>
    <n v="8"/>
    <s v="Se repite 8 veces en Tradiciones Andinas"/>
    <s v="Tradiciones Andinas-VITAPLUSS - Fideos con Miel 120gr x 20-22"/>
    <n v="4"/>
    <s v="Se repite 4 veces el precio de 22"/>
    <s v="El producto VITAPLUSS - Fideos con Miel 120gr x 20 Se repite 8 veces en Tradiciones Andinas, Se repite 4 veces el precio de 22"/>
  </r>
  <r>
    <x v="3"/>
    <x v="27"/>
    <s v="Bill"/>
    <s v="491180"/>
    <x v="428"/>
    <s v="TA- PERU -  GOLOSINAS - DULCES  -  VITAPLUSS - Fideos con Miel-  20 / 120g - CH141"/>
    <n v="5"/>
    <n v="22"/>
    <n v="110"/>
    <n v="103109.90999999992"/>
    <n v="8"/>
    <s v="Se repite 8 veces"/>
    <s v="Tradiciones Andinas-VITAPLUSS - Fideos con Miel 120gr x 20"/>
    <n v="8"/>
    <s v="Se repite 8 veces en Tradiciones Andinas"/>
    <s v="Tradiciones Andinas-VITAPLUSS - Fideos con Miel 120gr x 20-22"/>
    <n v="4"/>
    <s v="Se repite 4 veces el precio de 22"/>
    <s v="El producto VITAPLUSS - Fideos con Miel 120gr x 20 Se repite 8 veces en Tradiciones Andinas, Se repite 4 veces el precio de 22"/>
  </r>
  <r>
    <x v="3"/>
    <x v="7"/>
    <s v="Bill"/>
    <s v="492743"/>
    <x v="428"/>
    <s v="TA- PERU -  GOLOSINAS - DULCES  -  VITAPLUSS - Fideos con Miel-  20 / 120g - CH141"/>
    <n v="5"/>
    <n v="22"/>
    <n v="110"/>
    <n v="112704.17999999988"/>
    <n v="8"/>
    <s v="Se repite 8 veces"/>
    <s v="Tradiciones Andinas-VITAPLUSS - Fideos con Miel 120gr x 20"/>
    <n v="8"/>
    <s v="Se repite 8 veces en Tradiciones Andinas"/>
    <s v="Tradiciones Andinas-VITAPLUSS - Fideos con Miel 120gr x 20-22"/>
    <n v="4"/>
    <s v="Se repite 4 veces el precio de 22"/>
    <s v="El producto VITAPLUSS - Fideos con Miel 120gr x 20 Se repite 8 veces en Tradiciones Andinas, Se repite 4 veces el precio de 22"/>
  </r>
  <r>
    <x v="3"/>
    <x v="9"/>
    <s v="Bill"/>
    <s v=""/>
    <x v="429"/>
    <s v="VITAPLUSS - Maiz expandido con miel"/>
    <n v="3"/>
    <n v="24"/>
    <n v="72"/>
    <n v="6757.6399999999994"/>
    <n v="3"/>
    <s v="Se repite 3 veces"/>
    <s v="Tradiciones Andinas-VITAPLUSS - Maiz expandido con miel 140gr x 24"/>
    <n v="3"/>
    <s v="Se repite 3 veces en Tradiciones Andinas"/>
    <s v="Tradiciones Andinas-VITAPLUSS - Maiz expandido con miel 140gr x 24-24"/>
    <n v="1"/>
    <s v="No se repite"/>
    <s v="El producto VITAPLUSS - Maiz expandido con miel 140gr x 24 Se repite 3 veces en Tradiciones Andinas Una vez con el precio 24"/>
  </r>
  <r>
    <x v="3"/>
    <x v="13"/>
    <s v="Bill"/>
    <s v="485230"/>
    <x v="429"/>
    <s v="TA- PERU -  GOLOSINAS - DULCES  -  VITAPLUSS - Maiz expandido con miel-  24 / 140g - CH139"/>
    <n v="5"/>
    <n v="26.4"/>
    <n v="132"/>
    <n v="71483.570000000007"/>
    <n v="3"/>
    <s v="Se repite 3 veces"/>
    <s v="Tradiciones Andinas-VITAPLUSS - Maiz expandido con miel 140gr x 24"/>
    <n v="3"/>
    <s v="Se repite 3 veces en Tradiciones Andinas"/>
    <s v="Tradiciones Andinas-VITAPLUSS - Maiz expandido con miel 140gr x 24-26.4"/>
    <n v="2"/>
    <s v="Se repite 2 veces el precio de 26.4"/>
    <s v="El producto VITAPLUSS - Maiz expandido con miel 140gr x 24 Se repite 3 veces en Tradiciones Andinas, Se repite 2 veces el precio de 26.4"/>
  </r>
  <r>
    <x v="3"/>
    <x v="14"/>
    <s v="Bill"/>
    <s v="493132"/>
    <x v="429"/>
    <s v="TA- PERU -  GOLOSINAS - DULCES  -  VITAPLUSS - Maiz expandido con miel-  24 / 140g - CH139"/>
    <n v="2"/>
    <n v="26.4"/>
    <n v="52.8"/>
    <n v="118357.71999999991"/>
    <n v="3"/>
    <s v="Se repite 3 veces"/>
    <s v="Tradiciones Andinas-VITAPLUSS - Maiz expandido con miel 140gr x 24"/>
    <n v="3"/>
    <s v="Se repite 3 veces en Tradiciones Andinas"/>
    <s v="Tradiciones Andinas-VITAPLUSS - Maiz expandido con miel 140gr x 24-26.4"/>
    <n v="2"/>
    <s v="Se repite 2 veces el precio de 26.4"/>
    <s v="El producto VITAPLUSS - Maiz expandido con miel 140gr x 24 Se repite 3 veces en Tradiciones Andinas, Se repite 2 veces el precio de 26.4"/>
  </r>
  <r>
    <x v="3"/>
    <x v="9"/>
    <s v="Bill"/>
    <s v=""/>
    <x v="430"/>
    <s v="VITAPLUSS - Trigo Expandido con Miel"/>
    <n v="3"/>
    <n v="24"/>
    <n v="72"/>
    <n v="6829.6399999999994"/>
    <n v="4"/>
    <s v="Se repite 4 veces"/>
    <s v="Tradiciones Andinas-VITAPLUSS - Trigo Expandido con Miel 140gr x 24"/>
    <n v="4"/>
    <s v="Se repite 4 veces en Tradiciones Andinas"/>
    <s v="Tradiciones Andinas-VITAPLUSS - Trigo Expandido con Miel 140gr x 24-24"/>
    <n v="2"/>
    <s v="Se repite 2 veces el precio de 24"/>
    <s v="El producto VITAPLUSS - Trigo Expandido con Miel 140gr x 24 Se repite 4 veces en Tradiciones Andinas, Se repite 2 veces el precio de 24"/>
  </r>
  <r>
    <x v="3"/>
    <x v="31"/>
    <s v="Bill"/>
    <s v="477393"/>
    <x v="430"/>
    <s v="VITAPLUSS - Trigo Expandido con Miel"/>
    <n v="2"/>
    <n v="24"/>
    <n v="48"/>
    <n v="24564.82"/>
    <n v="4"/>
    <s v="Se repite 4 veces"/>
    <s v="Tradiciones Andinas-VITAPLUSS - Trigo Expandido con Miel 140gr x 24"/>
    <n v="4"/>
    <s v="Se repite 4 veces en Tradiciones Andinas"/>
    <s v="Tradiciones Andinas-VITAPLUSS - Trigo Expandido con Miel 140gr x 24-24"/>
    <n v="2"/>
    <s v="Se repite 2 veces el precio de 24"/>
    <s v="El producto VITAPLUSS - Trigo Expandido con Miel 140gr x 24 Se repite 4 veces en Tradiciones Andinas, Se repite 2 veces el precio de 24"/>
  </r>
  <r>
    <x v="3"/>
    <x v="6"/>
    <s v="Bill"/>
    <s v="487860"/>
    <x v="430"/>
    <s v="TA- PERU -  GOLOSINAS - DULCES  -  VITAPLUSS - Trigo Expandido con Miel-  24 / 140g - CH140"/>
    <n v="5"/>
    <n v="25.68"/>
    <n v="128.4"/>
    <n v="84750.129999999961"/>
    <n v="4"/>
    <s v="Se repite 4 veces"/>
    <s v="Tradiciones Andinas-VITAPLUSS - Trigo Expandido con Miel 140gr x 24"/>
    <n v="4"/>
    <s v="Se repite 4 veces en Tradiciones Andinas"/>
    <s v="Tradiciones Andinas-VITAPLUSS - Trigo Expandido con Miel 140gr x 24-25.68"/>
    <n v="2"/>
    <s v="Se repite 2 veces el precio de 25.68"/>
    <s v="El producto VITAPLUSS - Trigo Expandido con Miel 140gr x 24 Se repite 4 veces en Tradiciones Andinas, Se repite 2 veces el precio de 25.68"/>
  </r>
  <r>
    <x v="3"/>
    <x v="27"/>
    <s v="Bill"/>
    <s v="491180"/>
    <x v="430"/>
    <s v="TA- PERU -  GOLOSINAS - DULCES  -  VITAPLUSS - Trigo Expandido con Miel-  24 / 140g - CH140"/>
    <n v="3"/>
    <n v="25.68"/>
    <n v="77.040000000000006"/>
    <n v="102999.90999999992"/>
    <n v="4"/>
    <s v="Se repite 4 veces"/>
    <s v="Tradiciones Andinas-VITAPLUSS - Trigo Expandido con Miel 140gr x 24"/>
    <n v="4"/>
    <s v="Se repite 4 veces en Tradiciones Andinas"/>
    <s v="Tradiciones Andinas-VITAPLUSS - Trigo Expandido con Miel 140gr x 24-25.68"/>
    <n v="2"/>
    <s v="Se repite 2 veces el precio de 25.68"/>
    <s v="El producto VITAPLUSS - Trigo Expandido con Miel 140gr x 24 Se repite 4 veces en Tradiciones Andinas, Se repite 2 veces el precio de 25.68"/>
  </r>
  <r>
    <x v="10"/>
    <x v="49"/>
    <s v="Bill"/>
    <s v="295"/>
    <x v="431"/>
    <s v="Volt yellow Guarana lata 16fl oz /15"/>
    <n v="15"/>
    <n v="16.022600000000001"/>
    <n v="240.34"/>
    <n v="240.34"/>
    <n v="1"/>
    <s v="No se repite"/>
    <s v="Arjo Vision Trading Company LLC-Volt yellow Guarana 16fl oz /15"/>
    <n v="1"/>
    <s v="No se repite en proveedor"/>
    <s v="Arjo Vision Trading Company LLC-Volt yellow Guarana 16fl oz /15-16.0226"/>
    <n v="1"/>
    <s v="No se repite"/>
    <s v="El producto Volt yellow Guarana 16fl oz /15 No se repite en proveedor Una vez con el precio 16.0226"/>
  </r>
  <r>
    <x v="1"/>
    <x v="8"/>
    <s v="Bill"/>
    <s v=""/>
    <x v="432"/>
    <s v="Aceitunesa"/>
    <n v="1"/>
    <n v="31.8"/>
    <n v="31.8"/>
    <n v="1016.5999999999999"/>
    <n v="5"/>
    <s v="Se repite 5 veces"/>
    <s v="Peru Chef-Walibi Aceitunesa 380gr x 12"/>
    <n v="5"/>
    <s v="Se repite 5 veces en Peru Chef"/>
    <s v="Peru Chef-Walibi Aceitunesa 380gr x 12-31.8"/>
    <n v="2"/>
    <s v="Se repite 2 veces el precio de 31.8"/>
    <s v="El producto Walibi Aceitunesa 380gr x 12 Se repite 5 veces en Peru Chef, Se repite 2 veces el precio de 31.8"/>
  </r>
  <r>
    <x v="1"/>
    <x v="15"/>
    <s v="Bill"/>
    <s v="55372"/>
    <x v="432"/>
    <s v="SALSAS Y CREMAS -  WALIBI -  ACEITUNESA-  DOY PACK 380 G / 12"/>
    <n v="3"/>
    <n v="31.8"/>
    <n v="95.4"/>
    <n v="9592.1"/>
    <n v="5"/>
    <s v="Se repite 5 veces"/>
    <s v="Peru Chef-Walibi Aceitunesa 380gr x 12"/>
    <n v="5"/>
    <s v="Se repite 5 veces en Peru Chef"/>
    <s v="Peru Chef-Walibi Aceitunesa 380gr x 12-31.8"/>
    <n v="2"/>
    <s v="Se repite 2 veces el precio de 31.8"/>
    <s v="El producto Walibi Aceitunesa 380gr x 12 Se repite 5 veces en Peru Chef, Se repite 2 veces el precio de 31.8"/>
  </r>
  <r>
    <x v="1"/>
    <x v="1"/>
    <s v="Bill"/>
    <s v="2025001378"/>
    <x v="432"/>
    <s v="SALSAS Y CREMAS -  WALIBI -  ACEITUNESA-  DOY PACK 380 G / 12"/>
    <n v="5"/>
    <n v="39"/>
    <n v="195"/>
    <n v="22252"/>
    <n v="5"/>
    <s v="Se repite 5 veces"/>
    <s v="Peru Chef-Walibi Aceitunesa 380gr x 12"/>
    <n v="5"/>
    <s v="Se repite 5 veces en Peru Chef"/>
    <s v="Peru Chef-Walibi Aceitunesa 380gr x 12-39"/>
    <n v="1"/>
    <s v="No se repite"/>
    <s v="El producto Walibi Aceitunesa 380gr x 12 Se repite 5 veces en Peru Chef Una vez con el precio 39"/>
  </r>
  <r>
    <x v="1"/>
    <x v="2"/>
    <s v="Bill"/>
    <s v="2025001691"/>
    <x v="432"/>
    <s v="SALSAS Y CREMAS -  WALIBI -  ACEITUNESA-  DOY PACK 380 G / 12"/>
    <n v="10"/>
    <n v="35"/>
    <n v="350"/>
    <n v="29305.5"/>
    <n v="5"/>
    <s v="Se repite 5 veces"/>
    <s v="Peru Chef-Walibi Aceitunesa 380gr x 12"/>
    <n v="5"/>
    <s v="Se repite 5 veces en Peru Chef"/>
    <s v="Peru Chef-Walibi Aceitunesa 380gr x 12-35"/>
    <n v="1"/>
    <s v="No se repite"/>
    <s v="El producto Walibi Aceitunesa 380gr x 12 Se repite 5 veces en Peru Chef Una vez con el precio 35"/>
  </r>
  <r>
    <x v="1"/>
    <x v="16"/>
    <s v="Bill"/>
    <s v="2025001895"/>
    <x v="432"/>
    <s v="SALSAS Y CREMAS -  WALIBI -  ACEITUNESA-  DOY PACK 380 G / 12"/>
    <n v="10"/>
    <n v="35.1"/>
    <n v="351"/>
    <n v="32691.999999999996"/>
    <n v="5"/>
    <s v="Se repite 5 veces"/>
    <s v="Peru Chef-Walibi Aceitunesa 380gr x 12"/>
    <n v="5"/>
    <s v="Se repite 5 veces en Peru Chef"/>
    <s v="Peru Chef-Walibi Aceitunesa 380gr x 12-35.1"/>
    <n v="1"/>
    <s v="No se repite"/>
    <s v="El producto Walibi Aceitunesa 380gr x 12 Se repite 5 veces en Peru Chef Una vez con el precio 35.1"/>
  </r>
  <r>
    <x v="1"/>
    <x v="8"/>
    <s v="Bill"/>
    <s v=""/>
    <x v="433"/>
    <s v="Crema De Rocoto"/>
    <n v="1"/>
    <n v="31.8"/>
    <n v="31.8"/>
    <n v="1048.3999999999999"/>
    <n v="5"/>
    <s v="Se repite 5 veces"/>
    <s v="Peru Chef-Walibi Crema De Rocoto 380gr x 12"/>
    <n v="5"/>
    <s v="Se repite 5 veces en Peru Chef"/>
    <s v="Peru Chef-Walibi Crema De Rocoto 380gr x 12-31.8"/>
    <n v="2"/>
    <s v="Se repite 2 veces el precio de 31.8"/>
    <s v="El producto Walibi Crema De Rocoto 380gr x 12 Se repite 5 veces en Peru Chef, Se repite 2 veces el precio de 31.8"/>
  </r>
  <r>
    <x v="1"/>
    <x v="15"/>
    <s v="Bill"/>
    <s v="55372"/>
    <x v="433"/>
    <s v="PERU CHEF- SALSAS Y CREMAS -  WALIBI -  CREMA DE ROCOTO-  DOY PACK 380 G / 12"/>
    <n v="3"/>
    <n v="31.8"/>
    <n v="95.4"/>
    <n v="9814.7000000000007"/>
    <n v="5"/>
    <s v="Se repite 5 veces"/>
    <s v="Peru Chef-Walibi Crema De Rocoto 380gr x 12"/>
    <n v="5"/>
    <s v="Se repite 5 veces en Peru Chef"/>
    <s v="Peru Chef-Walibi Crema De Rocoto 380gr x 12-31.8"/>
    <n v="2"/>
    <s v="Se repite 2 veces el precio de 31.8"/>
    <s v="El producto Walibi Crema De Rocoto 380gr x 12 Se repite 5 veces en Peru Chef, Se repite 2 veces el precio de 31.8"/>
  </r>
  <r>
    <x v="1"/>
    <x v="12"/>
    <s v="Bill"/>
    <s v="56352"/>
    <x v="433"/>
    <s v="PERU CHEF- SALSAS Y CREMAS -  WALIBI -  CREMA DE ROCOTO-  DOY PACK 380 G / 12"/>
    <n v="3"/>
    <n v="39"/>
    <n v="117"/>
    <n v="14307.5"/>
    <n v="5"/>
    <s v="Se repite 5 veces"/>
    <s v="Peru Chef-Walibi Crema De Rocoto 380gr x 12"/>
    <n v="5"/>
    <s v="Se repite 5 veces en Peru Chef"/>
    <s v="Peru Chef-Walibi Crema De Rocoto 380gr x 12-39"/>
    <n v="1"/>
    <s v="No se repite"/>
    <s v="El producto Walibi Crema De Rocoto 380gr x 12 Se repite 5 veces en Peru Chef Una vez con el precio 39"/>
  </r>
  <r>
    <x v="1"/>
    <x v="16"/>
    <s v="Bill"/>
    <s v="2025001895"/>
    <x v="433"/>
    <s v="PERU CHEF- SALSAS Y CREMAS -  WALIBI -  CREMA DE ROCOTO-  DOY PACK 380 G / 12"/>
    <n v="6"/>
    <n v="35.1"/>
    <n v="210.6"/>
    <n v="33113.199999999997"/>
    <n v="5"/>
    <s v="Se repite 5 veces"/>
    <s v="Peru Chef-Walibi Crema De Rocoto 380gr x 12"/>
    <n v="5"/>
    <s v="Se repite 5 veces en Peru Chef"/>
    <s v="Peru Chef-Walibi Crema De Rocoto 380gr x 12-35.1"/>
    <n v="2"/>
    <s v="Se repite 2 veces el precio de 35.1"/>
    <s v="El producto Walibi Crema De Rocoto 380gr x 12 Se repite 5 veces en Peru Chef, Se repite 2 veces el precio de 35.1"/>
  </r>
  <r>
    <x v="1"/>
    <x v="17"/>
    <s v="Bill"/>
    <s v="57055"/>
    <x v="433"/>
    <s v="PERU CHEF- SALSAS Y CREMAS -  WALIBI -  CREMA DE ROCOTO-  DOY PACK 380 G / 12"/>
    <n v="4"/>
    <n v="35.1"/>
    <n v="140.4"/>
    <n v="35805.55000000001"/>
    <n v="5"/>
    <s v="Se repite 5 veces"/>
    <s v="Peru Chef-Walibi Crema De Rocoto 380gr x 12"/>
    <n v="5"/>
    <s v="Se repite 5 veces en Peru Chef"/>
    <s v="Peru Chef-Walibi Crema De Rocoto 380gr x 12-35.1"/>
    <n v="2"/>
    <s v="Se repite 2 veces el precio de 35.1"/>
    <s v="El producto Walibi Crema De Rocoto 380gr x 12 Se repite 5 veces en Peru Chef, Se repite 2 veces el precio de 35.1"/>
  </r>
  <r>
    <x v="1"/>
    <x v="15"/>
    <s v="Bill"/>
    <s v="55372"/>
    <x v="434"/>
    <s v="- SALSAS Y CREMAS -  WALIBI -  MAYONESA-  DOY PACK 380 G / 12"/>
    <n v="2"/>
    <n v="31.8"/>
    <n v="63.6"/>
    <n v="9655.7000000000007"/>
    <n v="1"/>
    <s v="No se repite"/>
    <s v="Peru Chef-Walibi Mayonesa"/>
    <n v="1"/>
    <s v="No se repite en proveedor"/>
    <s v="Peru Chef-Walibi Mayonesa-31.8"/>
    <n v="1"/>
    <s v="No se repite"/>
    <s v="El producto Walibi Mayonesa No se repite en proveedor Una vez con el precio 31.8"/>
  </r>
  <r>
    <x v="1"/>
    <x v="15"/>
    <s v="Bill"/>
    <s v="55372"/>
    <x v="435"/>
    <s v="- SALSAS Y CREMAS -  WALIBI -  SALSA DE AJI CRIOLLO-  DOY PACK 380 G / 12"/>
    <n v="2"/>
    <n v="31.8"/>
    <n v="63.6"/>
    <n v="9719.3000000000011"/>
    <n v="6"/>
    <s v="Se repite 6 veces"/>
    <s v="Peru Chef-Walibi Salsa De Aji Criollo 380gr x 12"/>
    <n v="6"/>
    <s v="Se repite 6 veces en Peru Chef"/>
    <s v="Peru Chef-Walibi Salsa De Aji Criollo 380gr x 12-31.8"/>
    <n v="1"/>
    <s v="No se repite"/>
    <s v="El producto Walibi Salsa De Aji Criollo 380gr x 12 Se repite 6 veces en Peru Chef Una vez con el precio 31.8"/>
  </r>
  <r>
    <x v="1"/>
    <x v="1"/>
    <s v="Bill"/>
    <s v="2025001378"/>
    <x v="435"/>
    <s v="- SALSAS Y CREMAS -  WALIBI -  SALSA DE AJI CRIOLLO-  DOY PACK 380 G / 12"/>
    <n v="5"/>
    <n v="39"/>
    <n v="195"/>
    <n v="22447"/>
    <n v="6"/>
    <s v="Se repite 6 veces"/>
    <s v="Peru Chef-Walibi Salsa De Aji Criollo 380gr x 12"/>
    <n v="6"/>
    <s v="Se repite 6 veces en Peru Chef"/>
    <s v="Peru Chef-Walibi Salsa De Aji Criollo 380gr x 12-39"/>
    <n v="1"/>
    <s v="No se repite"/>
    <s v="El producto Walibi Salsa De Aji Criollo 380gr x 12 Se repite 6 veces en Peru Chef Una vez con el precio 39"/>
  </r>
  <r>
    <x v="1"/>
    <x v="2"/>
    <s v="Bill"/>
    <s v="2025001691"/>
    <x v="435"/>
    <s v="- SALSAS Y CREMAS -  WALIBI -  SALSA DE AJI CRIOLLO-  DOY PACK 380 G / 12"/>
    <n v="8"/>
    <n v="35"/>
    <n v="280"/>
    <n v="29585.5"/>
    <n v="6"/>
    <s v="Se repite 6 veces"/>
    <s v="Peru Chef-Walibi Salsa De Aji Criollo 380gr x 12"/>
    <n v="6"/>
    <s v="Se repite 6 veces en Peru Chef"/>
    <s v="Peru Chef-Walibi Salsa De Aji Criollo 380gr x 12-35"/>
    <n v="1"/>
    <s v="No se repite"/>
    <s v="El producto Walibi Salsa De Aji Criollo 380gr x 12 Se repite 6 veces en Peru Chef Una vez con el precio 35"/>
  </r>
  <r>
    <x v="1"/>
    <x v="16"/>
    <s v="Bill"/>
    <s v="2025001895"/>
    <x v="435"/>
    <s v="- SALSAS Y CREMAS -  WALIBI -  SALSA DE AJI CRIOLLO-  DOY PACK 380 G / 12"/>
    <n v="6"/>
    <n v="35.1"/>
    <n v="210.6"/>
    <n v="32902.6"/>
    <n v="6"/>
    <s v="Se repite 6 veces"/>
    <s v="Peru Chef-Walibi Salsa De Aji Criollo 380gr x 12"/>
    <n v="6"/>
    <s v="Se repite 6 veces en Peru Chef"/>
    <s v="Peru Chef-Walibi Salsa De Aji Criollo 380gr x 12-35.1"/>
    <n v="3"/>
    <s v="Se repite 3 veces el precio de 35.1"/>
    <s v="El producto Walibi Salsa De Aji Criollo 380gr x 12 Se repite 6 veces en Peru Chef, Se repite 3 veces el precio de 35.1"/>
  </r>
  <r>
    <x v="1"/>
    <x v="17"/>
    <s v="Bill"/>
    <s v="57055"/>
    <x v="435"/>
    <s v="- SALSAS Y CREMAS -  WALIBI -  SALSA DE AJI CRIOLLO-  DOY PACK 380 G / 12"/>
    <n v="6"/>
    <n v="35.1"/>
    <n v="210.6"/>
    <n v="35665.150000000009"/>
    <n v="6"/>
    <s v="Se repite 6 veces"/>
    <s v="Peru Chef-Walibi Salsa De Aji Criollo 380gr x 12"/>
    <n v="6"/>
    <s v="Se repite 6 veces en Peru Chef"/>
    <s v="Peru Chef-Walibi Salsa De Aji Criollo 380gr x 12-35.1"/>
    <n v="3"/>
    <s v="Se repite 3 veces el precio de 35.1"/>
    <s v="El producto Walibi Salsa De Aji Criollo 380gr x 12 Se repite 6 veces en Peru Chef, Se repite 3 veces el precio de 35.1"/>
  </r>
  <r>
    <x v="1"/>
    <x v="18"/>
    <s v="Bill"/>
    <s v="2025002373"/>
    <x v="435"/>
    <s v="- SALSAS Y CREMAS -  WALIBI -  SALSA DE AJI CRIOLLO-  DOY PACK 380 G / 12"/>
    <n v="6"/>
    <n v="35.1"/>
    <n v="210.6"/>
    <n v="42487.149999999987"/>
    <n v="6"/>
    <s v="Se repite 6 veces"/>
    <s v="Peru Chef-Walibi Salsa De Aji Criollo 380gr x 12"/>
    <n v="6"/>
    <s v="Se repite 6 veces en Peru Chef"/>
    <s v="Peru Chef-Walibi Salsa De Aji Criollo 380gr x 12-35.1"/>
    <n v="3"/>
    <s v="Se repite 3 veces el precio de 35.1"/>
    <s v="El producto Walibi Salsa De Aji Criollo 380gr x 12 Se repite 6 veces en Peru Chef, Se repite 3 veces el precio de 35.1"/>
  </r>
  <r>
    <x v="1"/>
    <x v="8"/>
    <s v="Bill"/>
    <s v=""/>
    <x v="436"/>
    <s v="Salsa Huancaina"/>
    <n v="1"/>
    <n v="31.8"/>
    <n v="31.8"/>
    <n v="1080.1999999999998"/>
    <n v="2"/>
    <s v="Se repite 2 veces"/>
    <s v="Peru Chef-Walibi Salsa Huancaina"/>
    <n v="2"/>
    <s v="Se repite 2 veces en Peru Chef"/>
    <s v="Peru Chef-Walibi Salsa Huancaina-31.8"/>
    <n v="2"/>
    <s v="Se repite 2 veces el precio de 31.8"/>
    <s v="El producto Walibi Salsa Huancaina Se repite 2 veces en Peru Chef, Se repite 2 veces el precio de 31.8"/>
  </r>
  <r>
    <x v="1"/>
    <x v="15"/>
    <s v="Bill"/>
    <s v="55372"/>
    <x v="436"/>
    <s v="- SALSAS Y CREMAS -  WALIBI -  SALSA HUANCAINA-  DOY PACK 380 G / 12"/>
    <n v="1"/>
    <n v="31.8"/>
    <n v="31.8"/>
    <n v="9846.5"/>
    <n v="2"/>
    <s v="Se repite 2 veces"/>
    <s v="Peru Chef-Walibi Salsa Huancaina"/>
    <n v="2"/>
    <s v="Se repite 2 veces en Peru Chef"/>
    <s v="Peru Chef-Walibi Salsa Huancaina-31.8"/>
    <n v="2"/>
    <s v="Se repite 2 veces el precio de 31.8"/>
    <s v="El producto Walibi Salsa Huancaina Se repite 2 veces en Peru Chef, Se repite 2 veces el precio de 31.8"/>
  </r>
  <r>
    <x v="1"/>
    <x v="23"/>
    <s v="Bill"/>
    <s v="2025001209"/>
    <x v="437"/>
    <s v="Base Pisco Sour Chicha Morada"/>
    <n v="1"/>
    <n v="22"/>
    <n v="22"/>
    <n v="19079.5"/>
    <n v="2"/>
    <s v="Se repite 2 veces"/>
    <s v="Peru Chef-Wasska Base Pisco Sour Chicha Morada 125gr x 9"/>
    <n v="2"/>
    <s v="Se repite 2 veces en Peru Chef"/>
    <s v="Peru Chef-Wasska Base Pisco Sour Chicha Morada 125gr x 9-22"/>
    <n v="2"/>
    <s v="Se repite 2 veces el precio de 22"/>
    <s v="El producto Wasska Base Pisco Sour Chicha Morada 125gr x 9 Se repite 2 veces en Peru Chef, Se repite 2 veces el precio de 22"/>
  </r>
  <r>
    <x v="1"/>
    <x v="2"/>
    <s v="Bill"/>
    <s v="2025001691"/>
    <x v="437"/>
    <s v="BEBIDAS -  WASSKA -  BASE PISCO SOUR CHICHA MORADA-  CAJA X 125 G / 9"/>
    <n v="2"/>
    <n v="22"/>
    <n v="44"/>
    <n v="29629.5"/>
    <n v="2"/>
    <s v="Se repite 2 veces"/>
    <s v="Peru Chef-Wasska Base Pisco Sour Chicha Morada 125gr x 9"/>
    <n v="2"/>
    <s v="Se repite 2 veces en Peru Chef"/>
    <s v="Peru Chef-Wasska Base Pisco Sour Chicha Morada 125gr x 9-22"/>
    <n v="2"/>
    <s v="Se repite 2 veces el precio de 22"/>
    <s v="El producto Wasska Base Pisco Sour Chicha Morada 125gr x 9 Se repite 2 veces en Peru Chef, Se repite 2 veces el precio de 22"/>
  </r>
  <r>
    <x v="1"/>
    <x v="23"/>
    <s v="Bill"/>
    <s v="2025001209"/>
    <x v="438"/>
    <s v="Base Pisco Sour Limon"/>
    <n v="2"/>
    <n v="22"/>
    <n v="44"/>
    <n v="19057.5"/>
    <n v="2"/>
    <s v="Se repite 2 veces"/>
    <s v="Peru Chef-Wasska Base Pisco Sour Limon 125gr x 9"/>
    <n v="2"/>
    <s v="Se repite 2 veces en Peru Chef"/>
    <s v="Peru Chef-Wasska Base Pisco Sour Limon 125gr x 9-22"/>
    <n v="2"/>
    <s v="Se repite 2 veces el precio de 22"/>
    <s v="El producto Wasska Base Pisco Sour Limon 125gr x 9 Se repite 2 veces en Peru Chef, Se repite 2 veces el precio de 22"/>
  </r>
  <r>
    <x v="1"/>
    <x v="1"/>
    <s v="Bill"/>
    <s v="2025001378"/>
    <x v="438"/>
    <s v="BEBIDAS -  WASSKA -  BASE PISCO SOUR LIMON-  CAJA X 125 G / 9"/>
    <n v="2"/>
    <n v="22"/>
    <n v="44"/>
    <n v="22057"/>
    <n v="2"/>
    <s v="Se repite 2 veces"/>
    <s v="Peru Chef-Wasska Base Pisco Sour Limon 125gr x 9"/>
    <n v="2"/>
    <s v="Se repite 2 veces en Peru Chef"/>
    <s v="Peru Chef-Wasska Base Pisco Sour Limon 125gr x 9-22"/>
    <n v="2"/>
    <s v="Se repite 2 veces el precio de 22"/>
    <s v="El producto Wasska Base Pisco Sour Limon 125gr x 9 Se repite 2 veces en Peru Chef, Se repite 2 veces el precio de 22"/>
  </r>
  <r>
    <x v="1"/>
    <x v="23"/>
    <s v="Bill"/>
    <s v="2025001209"/>
    <x v="439"/>
    <s v="Base Pisco Sour Mango Con Camucamu"/>
    <n v="1"/>
    <n v="22"/>
    <n v="22"/>
    <n v="19145.5"/>
    <n v="2"/>
    <s v="Se repite 2 veces"/>
    <s v="Peru Chef-Wasska Base Pisco Sour Mango Con Camucamu 125gr x 9"/>
    <n v="2"/>
    <s v="Se repite 2 veces en Peru Chef"/>
    <s v="Peru Chef-Wasska Base Pisco Sour Mango Con Camucamu 125gr x 9-22"/>
    <n v="2"/>
    <s v="Se repite 2 veces el precio de 22"/>
    <s v="El producto Wasska Base Pisco Sour Mango Con Camucamu 125gr x 9 Se repite 2 veces en Peru Chef, Se repite 2 veces el precio de 22"/>
  </r>
  <r>
    <x v="1"/>
    <x v="2"/>
    <s v="Bill"/>
    <s v="2025001691"/>
    <x v="439"/>
    <s v="Base Pisco Sour Mango Con Camucamu"/>
    <n v="4"/>
    <n v="22"/>
    <n v="88"/>
    <n v="29717.5"/>
    <n v="2"/>
    <s v="Se repite 2 veces"/>
    <s v="Peru Chef-Wasska Base Pisco Sour Mango Con Camucamu 125gr x 9"/>
    <n v="2"/>
    <s v="Se repite 2 veces en Peru Chef"/>
    <s v="Peru Chef-Wasska Base Pisco Sour Mango Con Camucamu 125gr x 9-22"/>
    <n v="2"/>
    <s v="Se repite 2 veces el precio de 22"/>
    <s v="El producto Wasska Base Pisco Sour Mango Con Camucamu 125gr x 9 Se repite 2 veces en Peru Chef, Se repite 2 veces el precio de 22"/>
  </r>
  <r>
    <x v="1"/>
    <x v="23"/>
    <s v="Bill"/>
    <s v="2025001209"/>
    <x v="440"/>
    <s v="Base Pisco Sour Maracuya"/>
    <n v="2"/>
    <n v="22"/>
    <n v="44"/>
    <n v="19123.5"/>
    <n v="2"/>
    <s v="Se repite 2 veces"/>
    <s v="Peru Chef-Wasska Base Pisco Sour Maracuya 125gr x 9"/>
    <n v="2"/>
    <s v="Se repite 2 veces en Peru Chef"/>
    <s v="Peru Chef-Wasska Base Pisco Sour Maracuya 125gr x 9-22"/>
    <n v="1"/>
    <s v="No se repite"/>
    <s v="El producto Wasska Base Pisco Sour Maracuya 125gr x 9 Se repite 2 veces en Peru Chef Una vez con el precio 22"/>
  </r>
  <r>
    <x v="1"/>
    <x v="16"/>
    <s v="Bill"/>
    <s v="2025001895"/>
    <x v="440"/>
    <s v="BEBIDAS -  WASSKA -  BASE PISCO SOUR MARACUYA-  CAJA X 125 G / 9"/>
    <n v="2"/>
    <n v="19.8"/>
    <n v="39.6"/>
    <n v="32065.599999999999"/>
    <n v="2"/>
    <s v="Se repite 2 veces"/>
    <s v="Peru Chef-Wasska Base Pisco Sour Maracuya 125gr x 9"/>
    <n v="2"/>
    <s v="Se repite 2 veces en Peru Chef"/>
    <s v="Peru Chef-Wasska Base Pisco Sour Maracuya 125gr x 9-19.8"/>
    <n v="1"/>
    <s v="No se repite"/>
    <s v="El producto Wasska Base Pisco Sour Maracuya 125gr x 9 Se repite 2 veces en Peru Chef Una vez con el precio 19.8"/>
  </r>
  <r>
    <x v="2"/>
    <x v="3"/>
    <s v="Bill"/>
    <s v="64308"/>
    <x v="441"/>
    <s v="BELMONT - GOLOSINAS Y DULCES -   -  WINTERS OLE OLE 60 x 15 / 7752748008543 / DA-22"/>
    <n v="1"/>
    <n v="40"/>
    <n v="40"/>
    <n v="3770.7000000000003"/>
    <n v="2"/>
    <s v="Se repite 2 veces"/>
    <s v="Belmont International Trading Corp-Winter Ole Ole x 60 x 15"/>
    <n v="2"/>
    <s v="Se repite 2 veces en Belmont International Trading Corp"/>
    <s v="Belmont International Trading Corp-Winter Ole Ole x 60 x 15-40"/>
    <n v="1"/>
    <s v="No se repite"/>
    <s v="El producto Winter Ole Ole x 60 x 15 Se repite 2 veces en Belmont International Trading Corp Una vez con el precio 40"/>
  </r>
  <r>
    <x v="2"/>
    <x v="4"/>
    <s v="Bill"/>
    <s v="66496"/>
    <x v="441"/>
    <s v="BELMONT - GOLOSINAS Y DULCES -   -  WINTERS OLE OLE 60 x 15 / 7752748008543 / DA-22"/>
    <n v="6"/>
    <n v="44"/>
    <n v="264"/>
    <n v="14542.64"/>
    <n v="2"/>
    <s v="Se repite 2 veces"/>
    <s v="Belmont International Trading Corp-Winter Ole Ole x 60 x 15"/>
    <n v="2"/>
    <s v="Se repite 2 veces en Belmont International Trading Corp"/>
    <s v="Belmont International Trading Corp-Winter Ole Ole x 60 x 15-44"/>
    <n v="1"/>
    <s v="No se repite"/>
    <s v="El producto Winter Ole Ole x 60 x 15 Se repite 2 veces en Belmont International Trading Corp Una vez con el precio 44"/>
  </r>
  <r>
    <x v="1"/>
    <x v="8"/>
    <s v="Bill"/>
    <s v=""/>
    <x v="442"/>
    <s v="Winters Ole Ole 225 G X 15"/>
    <n v="1"/>
    <n v="38"/>
    <n v="38"/>
    <n v="1568.1999999999998"/>
    <n v="3"/>
    <s v="Se repite 3 veces"/>
    <s v="Peru Chef-Winters Ole Ole 225 gr x 50 x 15"/>
    <n v="3"/>
    <s v="Se repite 3 veces en Peru Chef"/>
    <s v="Peru Chef-Winters Ole Ole 225 gr x 50 x 15-38"/>
    <n v="1"/>
    <s v="No se repite"/>
    <s v="El producto Winters Ole Ole 225 gr x 50 x 15 Se repite 3 veces en Peru Chef Una vez con el precio 38"/>
  </r>
  <r>
    <x v="1"/>
    <x v="2"/>
    <s v="Bill"/>
    <s v="2025001691"/>
    <x v="442"/>
    <s v="PERU CHEF- GOLOSINAS Y DULCES -   -  WINTERS OLE OLE 225gr x 50 x 15-   / 15"/>
    <n v="8"/>
    <n v="41"/>
    <n v="328"/>
    <n v="28369.5"/>
    <n v="3"/>
    <s v="Se repite 3 veces"/>
    <s v="Peru Chef-Winters Ole Ole 225 gr x 50 x 15"/>
    <n v="3"/>
    <s v="Se repite 3 veces en Peru Chef"/>
    <s v="Peru Chef-Winters Ole Ole 225 gr x 50 x 15-41"/>
    <n v="1"/>
    <s v="No se repite"/>
    <s v="El producto Winters Ole Ole 225 gr x 50 x 15 Se repite 3 veces en Peru Chef Una vez con el precio 41"/>
  </r>
  <r>
    <x v="1"/>
    <x v="18"/>
    <s v="Bill"/>
    <s v="2025002373"/>
    <x v="442"/>
    <s v="PERU CHEF- GOLOSINAS Y DULCES -   -  WINTERS OLE OLE 225gr x 50 x 15-   / 15"/>
    <n v="8"/>
    <n v="36.9"/>
    <n v="295.2"/>
    <n v="39993.25"/>
    <n v="3"/>
    <s v="Se repite 3 veces"/>
    <s v="Peru Chef-Winters Ole Ole 225 gr x 50 x 15"/>
    <n v="3"/>
    <s v="Se repite 3 veces en Peru Chef"/>
    <s v="Peru Chef-Winters Ole Ole 225 gr x 50 x 15-36.9"/>
    <n v="1"/>
    <s v="No se repite"/>
    <s v="El producto Winters Ole Ole 225 gr x 50 x 15 Se repite 3 veces en Peru Chef Una vez con el precio 36.9"/>
  </r>
  <r>
    <x v="1"/>
    <x v="50"/>
    <s v="Bill"/>
    <s v="56495"/>
    <x v="443"/>
    <s v="TA - WINTER'S PRODUCTS- PERU -   -  WINTER'S - Panettone-  6 / 900g - WI2023"/>
    <n v="5"/>
    <n v="38"/>
    <n v="190"/>
    <n v="19369.5"/>
    <n v="7"/>
    <s v="Se repite 7 veces"/>
    <s v="Peru Chef-WINTER'S Paneton 900gr x 6"/>
    <n v="1"/>
    <s v="No se repite en proveedor"/>
    <s v="Peru Chef-WINTER'S Paneton 900gr x 6-38"/>
    <n v="1"/>
    <s v="No se repite"/>
    <s v="El producto WINTER'S Paneton 900gr x 6 No se repite en proveedor Una vez con el precio 38"/>
  </r>
  <r>
    <x v="3"/>
    <x v="10"/>
    <s v="Bill"/>
    <s v="476974"/>
    <x v="443"/>
    <s v="WINTER'S - Panettone"/>
    <n v="3"/>
    <n v="35.94"/>
    <n v="107.82"/>
    <n v="18510.48"/>
    <n v="7"/>
    <s v="Se repite 7 veces"/>
    <s v="Tradiciones Andinas-WINTER'S Paneton 900gr x 6"/>
    <n v="6"/>
    <s v="Se repite 6 veces en Tradiciones Andinas"/>
    <s v="Tradiciones Andinas-WINTER'S Paneton 900gr x 6-35.94"/>
    <n v="2"/>
    <s v="Se repite 2 veces el precio de 35.94"/>
    <s v="El producto WINTER'S Paneton 900gr x 6 Se repite 6 veces en Tradiciones Andinas, Se repite 2 veces el precio de 35.94"/>
  </r>
  <r>
    <x v="3"/>
    <x v="4"/>
    <s v="Bill"/>
    <s v="480295"/>
    <x v="443"/>
    <s v="TA - WINTER'S PRODUCTS- PERU -   -  WINTER'S - Panettone-  6 / 900g - WI2023"/>
    <n v="5"/>
    <n v="36"/>
    <n v="180"/>
    <n v="40685.099999999991"/>
    <n v="7"/>
    <s v="Se repite 7 veces"/>
    <s v="Tradiciones Andinas-WINTER'S Paneton 900gr x 6"/>
    <n v="6"/>
    <s v="Se repite 6 veces en Tradiciones Andinas"/>
    <s v="Tradiciones Andinas-WINTER'S Paneton 900gr x 6-36"/>
    <n v="1"/>
    <s v="No se repite"/>
    <s v="El producto WINTER'S Paneton 900gr x 6 Se repite 6 veces en Tradiciones Andinas Una vez con el precio 36"/>
  </r>
  <r>
    <x v="3"/>
    <x v="45"/>
    <s v="Bill"/>
    <s v="480888"/>
    <x v="443"/>
    <s v="TA - WINTER'S PRODUCTS- PERU -   -  WINTER'S - Panettone-  6 / 900g - WI2023"/>
    <n v="10"/>
    <n v="35.94"/>
    <n v="359.4"/>
    <n v="44062.86"/>
    <n v="7"/>
    <s v="Se repite 7 veces"/>
    <s v="Tradiciones Andinas-WINTER'S Paneton 900gr x 6"/>
    <n v="6"/>
    <s v="Se repite 6 veces en Tradiciones Andinas"/>
    <s v="Tradiciones Andinas-WINTER'S Paneton 900gr x 6-35.94"/>
    <n v="2"/>
    <s v="Se repite 2 veces el precio de 35.94"/>
    <s v="El producto WINTER'S Paneton 900gr x 6 Se repite 6 veces en Tradiciones Andinas, Se repite 2 veces el precio de 35.94"/>
  </r>
  <r>
    <x v="3"/>
    <x v="37"/>
    <s v="Bill"/>
    <s v="482330"/>
    <x v="443"/>
    <s v="TA - WINTER'S PRODUCTS- PERU -   -  WINTER'S - Panettone-  6 / 900g - WI2023"/>
    <n v="100"/>
    <n v="30"/>
    <n v="3000"/>
    <n v="61448.349999999933"/>
    <n v="7"/>
    <s v="Se repite 7 veces"/>
    <s v="Tradiciones Andinas-WINTER'S Paneton 900gr x 6"/>
    <n v="6"/>
    <s v="Se repite 6 veces en Tradiciones Andinas"/>
    <s v="Tradiciones Andinas-WINTER'S Paneton 900gr x 6-30"/>
    <n v="1"/>
    <s v="No se repite"/>
    <s v="El producto WINTER'S Paneton 900gr x 6 Se repite 6 veces en Tradiciones Andinas Una vez con el precio 30"/>
  </r>
  <r>
    <x v="3"/>
    <x v="47"/>
    <s v="Bill"/>
    <s v="488017"/>
    <x v="443"/>
    <s v="TA - WINTER'S PRODUCTS- PERU -   -  WINTER'S - Paneton -  6 / 900g - WI2023"/>
    <n v="100"/>
    <n v="34"/>
    <n v="3400"/>
    <n v="93166.629999999932"/>
    <n v="7"/>
    <s v="Se repite 7 veces"/>
    <s v="Tradiciones Andinas-WINTER'S Paneton 900gr x 6"/>
    <n v="6"/>
    <s v="Se repite 6 veces en Tradiciones Andinas"/>
    <s v="Tradiciones Andinas-WINTER'S Paneton 900gr x 6-34"/>
    <n v="2"/>
    <s v="Se repite 2 veces el precio de 34"/>
    <s v="El producto WINTER'S Paneton 900gr x 6 Se repite 6 veces en Tradiciones Andinas, Se repite 2 veces el precio de 34"/>
  </r>
  <r>
    <x v="3"/>
    <x v="32"/>
    <s v="Bill"/>
    <s v="491332"/>
    <x v="443"/>
    <s v="TA - WINTER'S PRODUCTS- PERU -   -  WINTER'S - Paneton -  6 / 900g - WI2023"/>
    <n v="50"/>
    <n v="34"/>
    <n v="1700"/>
    <n v="95260.889999999941"/>
    <n v="7"/>
    <s v="Se repite 7 veces"/>
    <s v="Tradiciones Andinas-WINTER'S Paneton 900gr x 6"/>
    <n v="6"/>
    <s v="Se repite 6 veces en Tradiciones Andinas"/>
    <s v="Tradiciones Andinas-WINTER'S Paneton 900gr x 6-34"/>
    <n v="2"/>
    <s v="Se repite 2 veces el precio de 34"/>
    <s v="El producto WINTER'S Paneton 900gr x 6 Se repite 6 veces en Tradiciones Andinas, Se repite 2 veces el precio de 34"/>
  </r>
  <r>
    <x v="2"/>
    <x v="3"/>
    <s v="Bill"/>
    <s v="64308"/>
    <x v="444"/>
    <s v="Winter'S Picaras Chocolate"/>
    <n v="1"/>
    <n v="60.8"/>
    <n v="60.8"/>
    <n v="3831.5000000000005"/>
    <n v="5"/>
    <s v="Se repite 5 veces"/>
    <s v="Belmont International Trading Corp-Winter'S Picaras Chocolate 6 x30"/>
    <n v="2"/>
    <s v="Se repite 2 veces en Belmont International Trading Corp"/>
    <s v="Belmont International Trading Corp-Winter'S Picaras Chocolate 6 x30-60.8"/>
    <n v="1"/>
    <s v="No se repite"/>
    <s v="El producto Winter'S Picaras Chocolate 6 x30 Se repite 2 veces en Belmont International Trading Corp Una vez con el precio 60.8"/>
  </r>
  <r>
    <x v="2"/>
    <x v="19"/>
    <s v="Bill"/>
    <s v="65207"/>
    <x v="444"/>
    <s v="Winter'S Picaras Chocolate"/>
    <n v="10"/>
    <n v="66.900000000000006"/>
    <n v="669"/>
    <n v="9817.74"/>
    <n v="5"/>
    <s v="Se repite 5 veces"/>
    <s v="Belmont International Trading Corp-Winter'S Picaras Chocolate 6 x30"/>
    <n v="2"/>
    <s v="Se repite 2 veces en Belmont International Trading Corp"/>
    <s v="Belmont International Trading Corp-Winter'S Picaras Chocolate 6 x30-66.9"/>
    <n v="1"/>
    <s v="No se repite"/>
    <s v="El producto Winter'S Picaras Chocolate 6 x30 Se repite 2 veces en Belmont International Trading Corp Una vez con el precio 66.9"/>
  </r>
  <r>
    <x v="1"/>
    <x v="24"/>
    <s v="Bill"/>
    <s v="55164"/>
    <x v="444"/>
    <s v="Winter'S Picaras Chocolate"/>
    <n v="2"/>
    <n v="69"/>
    <n v="138"/>
    <n v="6928.6"/>
    <n v="5"/>
    <s v="Se repite 5 veces"/>
    <s v="Peru Chef-Winter'S Picaras Chocolate 6 x30"/>
    <n v="3"/>
    <s v="Se repite 3 veces en Peru Chef"/>
    <s v="Peru Chef-Winter'S Picaras Chocolate 6 x30-69"/>
    <n v="1"/>
    <s v="No se repite"/>
    <s v="El producto Winter'S Picaras Chocolate 6 x30 Se repite 3 veces en Peru Chef Una vez con el precio 69"/>
  </r>
  <r>
    <x v="1"/>
    <x v="17"/>
    <s v="Bill"/>
    <s v="57055"/>
    <x v="444"/>
    <s v="Winter'S Picaras Chocolate"/>
    <n v="3"/>
    <n v="62.1"/>
    <n v="186.3"/>
    <n v="37442.650000000009"/>
    <n v="5"/>
    <s v="Se repite 5 veces"/>
    <s v="Peru Chef-Winter'S Picaras Chocolate 6 x30"/>
    <n v="3"/>
    <s v="Se repite 3 veces en Peru Chef"/>
    <s v="Peru Chef-Winter'S Picaras Chocolate 6 x30-62.1"/>
    <n v="2"/>
    <s v="Se repite 2 veces el precio de 62.1"/>
    <s v="El producto Winter'S Picaras Chocolate 6 x30 Se repite 3 veces en Peru Chef, Se repite 2 veces el precio de 62.1"/>
  </r>
  <r>
    <x v="1"/>
    <x v="18"/>
    <s v="Bill"/>
    <s v="2025002373"/>
    <x v="444"/>
    <s v="Winter'S Picaras Chocolate"/>
    <n v="4"/>
    <n v="62.1"/>
    <n v="248.4"/>
    <n v="40241.65"/>
    <n v="5"/>
    <s v="Se repite 5 veces"/>
    <s v="Peru Chef-Winter'S Picaras Chocolate 6 x30"/>
    <n v="3"/>
    <s v="Se repite 3 veces en Peru Chef"/>
    <s v="Peru Chef-Winter'S Picaras Chocolate 6 x30-62.1"/>
    <n v="2"/>
    <s v="Se repite 2 veces el precio de 62.1"/>
    <s v="El producto Winter'S Picaras Chocolate 6 x30 Se repite 3 veces en Peru Chef, Se repite 2 veces el precio de 62.1"/>
  </r>
  <r>
    <x v="11"/>
    <x v="11"/>
    <s v="Bill"/>
    <s v="14265331"/>
    <x v="445"/>
    <s v="TA- COSTA RICA -  FROZEN -  Yuca Family Pack / Cassava Family Pack -  5lbs - CR101"/>
    <n v="2.3332999999999999"/>
    <n v="40.5428"/>
    <n v="94.6"/>
    <n v="94.6"/>
    <n v="8"/>
    <s v="Se repite 8 veces"/>
    <s v="SAVERS SUPERMERCADO COST + PLUS-Yuca Family Pack / Cassava Family Pack 5lb x 6"/>
    <n v="5"/>
    <s v="Se repite 5 veces en SAVERS SUPERMERCADO COST + PLUS"/>
    <s v="SAVERS SUPERMERCADO COST + PLUS-Yuca Family Pack / Cassava Family Pack 5lb x 6-40.5428"/>
    <n v="1"/>
    <s v="No se repite"/>
    <s v="El producto Yuca Family Pack / Cassava Family Pack 5lb x 6 Se repite 5 veces en SAVERS SUPERMERCADO COST + PLUS Una vez con el precio 40.5428"/>
  </r>
  <r>
    <x v="11"/>
    <x v="11"/>
    <s v="Bill"/>
    <s v="14266331"/>
    <x v="445"/>
    <s v="TA- COSTA RICA -  FROZEN -  Yuca Family Pack / Cassava Family Pack -  5lbs - CR101"/>
    <n v="0.66669999999999996"/>
    <n v="42.344999999999999"/>
    <n v="28.23"/>
    <n v="122.83"/>
    <n v="8"/>
    <s v="Se repite 8 veces"/>
    <s v="SAVERS SUPERMERCADO COST + PLUS-Yuca Family Pack / Cassava Family Pack 5lb x 6"/>
    <n v="5"/>
    <s v="Se repite 5 veces en SAVERS SUPERMERCADO COST + PLUS"/>
    <s v="SAVERS SUPERMERCADO COST + PLUS-Yuca Family Pack / Cassava Family Pack 5lb x 6-42.345"/>
    <n v="1"/>
    <s v="No se repite"/>
    <s v="El producto Yuca Family Pack / Cassava Family Pack 5lb x 6 Se repite 5 veces en SAVERS SUPERMERCADO COST + PLUS Una vez con el precio 42.345"/>
  </r>
  <r>
    <x v="11"/>
    <x v="51"/>
    <s v="Bill"/>
    <s v="1639223"/>
    <x v="445"/>
    <s v="TA- COSTA RICA -  FROZEN -  Yuca Family Pack / Cassava Family Pack -  5lbs - CR101"/>
    <n v="3"/>
    <n v="39.826000000000001"/>
    <n v="119.48"/>
    <n v="242.31"/>
    <n v="8"/>
    <s v="Se repite 8 veces"/>
    <s v="SAVERS SUPERMERCADO COST + PLUS-Yuca Family Pack / Cassava Family Pack 5lb x 6"/>
    <n v="5"/>
    <s v="Se repite 5 veces en SAVERS SUPERMERCADO COST + PLUS"/>
    <s v="SAVERS SUPERMERCADO COST + PLUS-Yuca Family Pack / Cassava Family Pack 5lb x 6-39.826"/>
    <n v="1"/>
    <s v="No se repite"/>
    <s v="El producto Yuca Family Pack / Cassava Family Pack 5lb x 6 Se repite 5 veces en SAVERS SUPERMERCADO COST + PLUS Una vez con el precio 39.826"/>
  </r>
  <r>
    <x v="11"/>
    <x v="4"/>
    <s v="Bill"/>
    <s v="33165126"/>
    <x v="445"/>
    <s v="TA- COSTA RICA -  FROZEN -  Yuca Family Pack / Cassava Family Pack -  5lbs - CR101"/>
    <n v="3"/>
    <n v="49.15"/>
    <n v="147.44999999999999"/>
    <n v="389.76"/>
    <n v="8"/>
    <s v="Se repite 8 veces"/>
    <s v="SAVERS SUPERMERCADO COST + PLUS-Yuca Family Pack / Cassava Family Pack 5lb x 6"/>
    <n v="5"/>
    <s v="Se repite 5 veces en SAVERS SUPERMERCADO COST + PLUS"/>
    <s v="SAVERS SUPERMERCADO COST + PLUS-Yuca Family Pack / Cassava Family Pack 5lb x 6-49.15"/>
    <n v="2"/>
    <s v="Se repite 2 veces el precio de 49.15"/>
    <s v="El producto Yuca Family Pack / Cassava Family Pack 5lb x 6 Se repite 5 veces en SAVERS SUPERMERCADO COST + PLUS, Se repite 2 veces el precio de 49.15"/>
  </r>
  <r>
    <x v="11"/>
    <x v="52"/>
    <s v="Bill"/>
    <s v=""/>
    <x v="445"/>
    <s v="TA- COSTA RICA -  FROZEN -  Yuca Family Pack / Cassava Family Pack -  5lbs - CR101"/>
    <n v="3"/>
    <n v="49.15"/>
    <n v="147.44999999999999"/>
    <n v="537.21"/>
    <n v="8"/>
    <s v="Se repite 8 veces"/>
    <s v="SAVERS SUPERMERCADO COST + PLUS-Yuca Family Pack / Cassava Family Pack 5lb x 6"/>
    <n v="5"/>
    <s v="Se repite 5 veces en SAVERS SUPERMERCADO COST + PLUS"/>
    <s v="SAVERS SUPERMERCADO COST + PLUS-Yuca Family Pack / Cassava Family Pack 5lb x 6-49.15"/>
    <n v="2"/>
    <s v="Se repite 2 veces el precio de 49.15"/>
    <s v="El producto Yuca Family Pack / Cassava Family Pack 5lb x 6 Se repite 5 veces en SAVERS SUPERMERCADO COST + PLUS, Se repite 2 veces el precio de 49.15"/>
  </r>
  <r>
    <x v="3"/>
    <x v="33"/>
    <s v="Bill"/>
    <s v="475144"/>
    <x v="445"/>
    <s v="Yuca Family Pack / Cassava Family Pack"/>
    <n v="2"/>
    <n v="27"/>
    <n v="54"/>
    <n v="3346.5199999999995"/>
    <n v="8"/>
    <s v="Se repite 8 veces"/>
    <s v="Tradiciones Andinas-Yuca Family Pack / Cassava Family Pack 5lb x 6"/>
    <n v="3"/>
    <s v="Se repite 3 veces en Tradiciones Andinas"/>
    <s v="Tradiciones Andinas-Yuca Family Pack / Cassava Family Pack 5lb x 6-27"/>
    <n v="1"/>
    <s v="No se repite"/>
    <s v="El producto Yuca Family Pack / Cassava Family Pack 5lb x 6 Se repite 3 veces en Tradiciones Andinas Una vez con el precio 27"/>
  </r>
  <r>
    <x v="3"/>
    <x v="25"/>
    <s v="Bill"/>
    <s v="483292"/>
    <x v="445"/>
    <s v="TA- COSTA RICA -  FROZEN -  Yuca Family Pack / Cassava Family Pack -  5lbs - CR101"/>
    <n v="12"/>
    <n v="36"/>
    <n v="432"/>
    <n v="66810.539999999979"/>
    <n v="8"/>
    <s v="Se repite 8 veces"/>
    <s v="Tradiciones Andinas-Yuca Family Pack / Cassava Family Pack 5lb x 6"/>
    <n v="3"/>
    <s v="Se repite 3 veces en Tradiciones Andinas"/>
    <s v="Tradiciones Andinas-Yuca Family Pack / Cassava Family Pack 5lb x 6-36"/>
    <n v="2"/>
    <s v="Se repite 2 veces el precio de 36"/>
    <s v="El producto Yuca Family Pack / Cassava Family Pack 5lb x 6 Se repite 3 veces en Tradiciones Andinas, Se repite 2 veces el precio de 36"/>
  </r>
  <r>
    <x v="3"/>
    <x v="13"/>
    <s v="Bill"/>
    <s v="485230"/>
    <x v="445"/>
    <s v="TA- COSTA RICA -  FROZEN -  Yuca Family Pack / Cassava Family Pack -  5lbs - CR101"/>
    <n v="20"/>
    <n v="36"/>
    <n v="720"/>
    <n v="74055.560000000012"/>
    <n v="8"/>
    <s v="Se repite 8 veces"/>
    <s v="Tradiciones Andinas-Yuca Family Pack / Cassava Family Pack 5lb x 6"/>
    <n v="3"/>
    <s v="Se repite 3 veces en Tradiciones Andinas"/>
    <s v="Tradiciones Andinas-Yuca Family Pack / Cassava Family Pack 5lb x 6-36"/>
    <n v="2"/>
    <s v="Se repite 2 veces el precio de 36"/>
    <s v="El producto Yuca Family Pack / Cassava Family Pack 5lb x 6 Se repite 3 veces en Tradiciones Andinas, Se repite 2 veces el precio de 3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452E8D5-1A27-49AD-9EF2-E548593E37BE}" name="TablaDiná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gridDropZones="1" multipleFieldFilters="0">
  <location ref="A3:E1453" firstHeaderRow="1" firstDataRow="2" firstDataCol="3"/>
  <pivotFields count="10">
    <pivotField axis="axisRow" compact="0" outline="0" showAll="0" defaultSubtotal="0">
      <items count="12">
        <item x="0"/>
        <item x="1"/>
        <item x="2"/>
        <item x="3"/>
        <item x="4"/>
        <item x="5"/>
        <item x="7"/>
        <item x="6"/>
        <item x="8"/>
        <item x="9"/>
        <item x="10"/>
        <item x="1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58">
        <item x="9"/>
        <item x="10"/>
        <item x="2"/>
        <item x="24"/>
        <item x="41"/>
        <item x="11"/>
        <item x="25"/>
        <item x="26"/>
        <item x="27"/>
        <item x="42"/>
        <item x="3"/>
        <item x="43"/>
        <item x="12"/>
        <item x="4"/>
        <item x="38"/>
        <item x="39"/>
        <item x="0"/>
        <item x="1"/>
        <item x="5"/>
        <item x="44"/>
        <item x="45"/>
        <item x="13"/>
        <item x="46"/>
        <item x="40"/>
        <item x="6"/>
        <item x="28"/>
        <item x="47"/>
        <item x="14"/>
        <item x="23"/>
        <item x="29"/>
        <item x="30"/>
        <item x="31"/>
        <item x="32"/>
        <item x="48"/>
        <item x="49"/>
        <item x="15"/>
        <item x="16"/>
        <item x="22"/>
        <item x="50"/>
        <item x="51"/>
        <item x="33"/>
        <item x="52"/>
        <item x="53"/>
        <item x="7"/>
        <item x="34"/>
        <item x="21"/>
        <item x="54"/>
        <item x="17"/>
        <item x="18"/>
        <item x="55"/>
        <item x="19"/>
        <item x="35"/>
        <item x="56"/>
        <item x="57"/>
        <item x="36"/>
        <item x="8"/>
        <item x="37"/>
        <item x="2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/>
    <pivotField compact="0" outline="0" showAll="0"/>
    <pivotField axis="axisRow" compact="0" outline="0" showAll="0" defaultSubtotal="0">
      <items count="454">
        <item x="248"/>
        <item x="221"/>
        <item x="13"/>
        <item x="10"/>
        <item x="340"/>
        <item x="9"/>
        <item x="318"/>
        <item x="136"/>
        <item x="65"/>
        <item x="47"/>
        <item x="49"/>
        <item x="79"/>
        <item x="78"/>
        <item x="64"/>
        <item x="4"/>
        <item x="81"/>
        <item x="7"/>
        <item x="6"/>
        <item x="82"/>
        <item x="8"/>
        <item x="73"/>
        <item x="68"/>
        <item x="41"/>
        <item x="44"/>
        <item x="61"/>
        <item x="60"/>
        <item x="3"/>
        <item x="5"/>
        <item x="70"/>
        <item x="46"/>
        <item x="48"/>
        <item x="43"/>
        <item x="25"/>
        <item x="84"/>
        <item x="76"/>
        <item x="42"/>
        <item x="75"/>
        <item x="62"/>
        <item x="63"/>
        <item x="69"/>
        <item x="74"/>
        <item x="45"/>
        <item x="80"/>
        <item x="85"/>
        <item x="66"/>
        <item x="71"/>
        <item x="72"/>
        <item x="83"/>
        <item x="67"/>
        <item x="2"/>
        <item x="37"/>
        <item x="36"/>
        <item x="38"/>
        <item x="35"/>
        <item x="77"/>
        <item x="201"/>
        <item x="11"/>
        <item x="12"/>
        <item x="177"/>
        <item x="422"/>
        <item x="420"/>
        <item x="421"/>
        <item x="108"/>
        <item x="22"/>
        <item x="20"/>
        <item x="404"/>
        <item x="353"/>
        <item x="352"/>
        <item x="0"/>
        <item x="21"/>
        <item x="32"/>
        <item x="159"/>
        <item x="155"/>
        <item x="206"/>
        <item x="202"/>
        <item x="203"/>
        <item x="204"/>
        <item x="205"/>
        <item x="28"/>
        <item x="34"/>
        <item x="24"/>
        <item x="183"/>
        <item x="144"/>
        <item x="29"/>
        <item x="96"/>
        <item x="94"/>
        <item x="97"/>
        <item x="95"/>
        <item x="26"/>
        <item x="145"/>
        <item x="23"/>
        <item x="365"/>
        <item x="33"/>
        <item x="363"/>
        <item x="287"/>
        <item x="288"/>
        <item x="354"/>
        <item x="151"/>
        <item x="149"/>
        <item x="148"/>
        <item x="150"/>
        <item x="39"/>
        <item x="237"/>
        <item x="236"/>
        <item x="185"/>
        <item x="184"/>
        <item x="238"/>
        <item x="235"/>
        <item x="16"/>
        <item x="90"/>
        <item x="86"/>
        <item x="87"/>
        <item x="89"/>
        <item x="88"/>
        <item x="156"/>
        <item x="228"/>
        <item x="160"/>
        <item x="92"/>
        <item x="103"/>
        <item x="102"/>
        <item x="106"/>
        <item x="104"/>
        <item x="105"/>
        <item x="19"/>
        <item x="18"/>
        <item x="40"/>
        <item x="107"/>
        <item x="380"/>
        <item x="312"/>
        <item x="27"/>
        <item x="14"/>
        <item x="439"/>
        <item x="437"/>
        <item x="101"/>
        <item x="93"/>
        <item x="207"/>
        <item x="141"/>
        <item x="140"/>
        <item x="212"/>
        <item x="173"/>
        <item x="214"/>
        <item x="213"/>
        <item x="163"/>
        <item x="165"/>
        <item x="244"/>
        <item x="134"/>
        <item x="195"/>
        <item x="174"/>
        <item x="211"/>
        <item x="124"/>
        <item x="222"/>
        <item x="234"/>
        <item x="142"/>
        <item x="158"/>
        <item x="162"/>
        <item x="191"/>
        <item x="127"/>
        <item x="114"/>
        <item x="239"/>
        <item x="157"/>
        <item x="125"/>
        <item x="110"/>
        <item x="161"/>
        <item x="240"/>
        <item x="181"/>
        <item x="226"/>
        <item x="224"/>
        <item x="225"/>
        <item x="227"/>
        <item x="197"/>
        <item x="243"/>
        <item x="130"/>
        <item x="172"/>
        <item x="126"/>
        <item x="182"/>
        <item x="129"/>
        <item x="175"/>
        <item x="135"/>
        <item x="199"/>
        <item x="118"/>
        <item x="117"/>
        <item x="116"/>
        <item x="119"/>
        <item x="109"/>
        <item x="143"/>
        <item x="223"/>
        <item x="166"/>
        <item x="131"/>
        <item x="133"/>
        <item x="128"/>
        <item x="190"/>
        <item x="167"/>
        <item x="233"/>
        <item x="121"/>
        <item x="120"/>
        <item x="241"/>
        <item x="111"/>
        <item x="186"/>
        <item x="230"/>
        <item x="245"/>
        <item x="112"/>
        <item x="180"/>
        <item x="187"/>
        <item x="246"/>
        <item x="229"/>
        <item x="113"/>
        <item x="231"/>
        <item x="208"/>
        <item x="179"/>
        <item x="123"/>
        <item x="176"/>
        <item x="242"/>
        <item x="164"/>
        <item x="192"/>
        <item x="209"/>
        <item x="193"/>
        <item x="196"/>
        <item x="194"/>
        <item x="115"/>
        <item x="210"/>
        <item x="198"/>
        <item x="169"/>
        <item x="170"/>
        <item x="171"/>
        <item x="122"/>
        <item x="132"/>
        <item x="220"/>
        <item x="168"/>
        <item x="232"/>
        <item x="91"/>
        <item x="50"/>
        <item x="51"/>
        <item x="52"/>
        <item x="53"/>
        <item x="54"/>
        <item x="55"/>
        <item x="56"/>
        <item x="57"/>
        <item x="58"/>
        <item x="59"/>
        <item x="392"/>
        <item x="154"/>
        <item x="178"/>
        <item x="200"/>
        <item x="448"/>
        <item x="152"/>
        <item x="376"/>
        <item x="345"/>
        <item x="403"/>
        <item x="348"/>
        <item x="347"/>
        <item x="386"/>
        <item x="346"/>
        <item x="385"/>
        <item x="344"/>
        <item x="285"/>
        <item x="283"/>
        <item x="284"/>
        <item x="286"/>
        <item x="453"/>
        <item x="443"/>
        <item x="325"/>
        <item x="303"/>
        <item x="263"/>
        <item x="330"/>
        <item x="324"/>
        <item x="293"/>
        <item x="423"/>
        <item x="383"/>
        <item x="299"/>
        <item x="256"/>
        <item x="260"/>
        <item x="251"/>
        <item x="389"/>
        <item x="304"/>
        <item x="265"/>
        <item x="264"/>
        <item x="440"/>
        <item x="300"/>
        <item x="253"/>
        <item x="424"/>
        <item x="254"/>
        <item x="258"/>
        <item x="262"/>
        <item x="259"/>
        <item x="255"/>
        <item x="250"/>
        <item x="428"/>
        <item x="326"/>
        <item x="350"/>
        <item x="449"/>
        <item x="435"/>
        <item x="367"/>
        <item x="268"/>
        <item x="273"/>
        <item x="333"/>
        <item x="295"/>
        <item x="337"/>
        <item x="338"/>
        <item x="321"/>
        <item x="301"/>
        <item x="319"/>
        <item x="297"/>
        <item x="429"/>
        <item x="274"/>
        <item x="399"/>
        <item x="450"/>
        <item x="366"/>
        <item x="276"/>
        <item x="432"/>
        <item x="296"/>
        <item x="427"/>
        <item x="306"/>
        <item x="336"/>
        <item x="334"/>
        <item x="335"/>
        <item x="351"/>
        <item x="411"/>
        <item x="323"/>
        <item x="434"/>
        <item x="331"/>
        <item x="381"/>
        <item x="378"/>
        <item x="279"/>
        <item x="342"/>
        <item x="289"/>
        <item x="391"/>
        <item x="271"/>
        <item x="292"/>
        <item x="341"/>
        <item x="431"/>
        <item x="402"/>
        <item x="343"/>
        <item x="277"/>
        <item x="266"/>
        <item x="290"/>
        <item x="309"/>
        <item x="446"/>
        <item x="368"/>
        <item x="278"/>
        <item x="291"/>
        <item x="339"/>
        <item x="322"/>
        <item x="451"/>
        <item x="390"/>
        <item x="320"/>
        <item x="447"/>
        <item x="282"/>
        <item x="280"/>
        <item x="281"/>
        <item x="267"/>
        <item x="269"/>
        <item x="384"/>
        <item x="388"/>
        <item x="302"/>
        <item x="305"/>
        <item x="433"/>
        <item x="441"/>
        <item x="307"/>
        <item x="308"/>
        <item x="272"/>
        <item x="400"/>
        <item x="252"/>
        <item x="382"/>
        <item x="298"/>
        <item x="257"/>
        <item x="261"/>
        <item x="328"/>
        <item x="329"/>
        <item x="379"/>
        <item x="416"/>
        <item x="332"/>
        <item x="349"/>
        <item x="270"/>
        <item x="275"/>
        <item x="327"/>
        <item x="15"/>
        <item x="146"/>
        <item x="147"/>
        <item x="401"/>
        <item x="415"/>
        <item x="393"/>
        <item x="414"/>
        <item x="412"/>
        <item x="387"/>
        <item x="452"/>
        <item x="436"/>
        <item x="394"/>
        <item x="413"/>
        <item x="445"/>
        <item x="313"/>
        <item x="17"/>
        <item x="362"/>
        <item x="311"/>
        <item x="430"/>
        <item x="310"/>
        <item x="360"/>
        <item x="355"/>
        <item x="405"/>
        <item x="395"/>
        <item x="406"/>
        <item x="357"/>
        <item x="356"/>
        <item x="364"/>
        <item x="361"/>
        <item x="359"/>
        <item x="358"/>
        <item x="294"/>
        <item x="372"/>
        <item x="373"/>
        <item x="374"/>
        <item x="375"/>
        <item x="425"/>
        <item x="444"/>
        <item x="419"/>
        <item x="377"/>
        <item x="369"/>
        <item x="370"/>
        <item x="371"/>
        <item x="407"/>
        <item x="409"/>
        <item x="397"/>
        <item x="398"/>
        <item x="417"/>
        <item x="408"/>
        <item x="418"/>
        <item x="410"/>
        <item x="426"/>
        <item x="442"/>
        <item x="396"/>
        <item x="438"/>
        <item x="247"/>
        <item x="317"/>
        <item x="316"/>
        <item x="314"/>
        <item x="315"/>
        <item x="99"/>
        <item x="100"/>
        <item x="98"/>
        <item x="1"/>
        <item x="137"/>
        <item x="138"/>
        <item x="188"/>
        <item x="189"/>
        <item x="139"/>
        <item x="216"/>
        <item x="215"/>
        <item x="218"/>
        <item x="217"/>
        <item x="30"/>
        <item x="153"/>
        <item x="219"/>
        <item x="31"/>
        <item x="249"/>
      </items>
    </pivotField>
    <pivotField compact="0" outline="0" showAll="0"/>
    <pivotField compact="0" numFmtId="4" outline="0" showAll="0"/>
    <pivotField dataField="1" compact="0" numFmtId="4" outline="0" showAll="0"/>
    <pivotField compact="0" numFmtId="4" outline="0" showAll="0"/>
    <pivotField compact="0" numFmtId="4" outline="0" showAll="0"/>
  </pivotFields>
  <rowFields count="3">
    <field x="0"/>
    <field x="1"/>
    <field x="4"/>
  </rowFields>
  <rowItems count="1449">
    <i>
      <x/>
      <x v="16"/>
      <x v="68"/>
    </i>
    <i r="1">
      <x v="17"/>
      <x v="68"/>
    </i>
    <i>
      <x v="1"/>
      <x v="2"/>
      <x v="439"/>
    </i>
    <i>
      <x v="2"/>
      <x v="10"/>
      <x v="2"/>
    </i>
    <i r="2">
      <x v="3"/>
    </i>
    <i r="2">
      <x v="5"/>
    </i>
    <i r="2">
      <x v="8"/>
    </i>
    <i r="2">
      <x v="9"/>
    </i>
    <i r="2">
      <x v="10"/>
    </i>
    <i r="2">
      <x v="13"/>
    </i>
    <i r="2">
      <x v="14"/>
    </i>
    <i r="2">
      <x v="16"/>
    </i>
    <i r="2">
      <x v="17"/>
    </i>
    <i r="2">
      <x v="19"/>
    </i>
    <i r="2">
      <x v="22"/>
    </i>
    <i r="2">
      <x v="23"/>
    </i>
    <i r="2">
      <x v="24"/>
    </i>
    <i r="2">
      <x v="25"/>
    </i>
    <i r="2">
      <x v="26"/>
    </i>
    <i r="2">
      <x v="27"/>
    </i>
    <i r="2">
      <x v="29"/>
    </i>
    <i r="2">
      <x v="30"/>
    </i>
    <i r="2">
      <x v="31"/>
    </i>
    <i r="2">
      <x v="32"/>
    </i>
    <i r="2">
      <x v="35"/>
    </i>
    <i r="2">
      <x v="37"/>
    </i>
    <i r="2">
      <x v="38"/>
    </i>
    <i r="2">
      <x v="41"/>
    </i>
    <i r="2">
      <x v="49"/>
    </i>
    <i r="2">
      <x v="50"/>
    </i>
    <i r="2">
      <x v="51"/>
    </i>
    <i r="2">
      <x v="52"/>
    </i>
    <i r="2">
      <x v="53"/>
    </i>
    <i r="2">
      <x v="56"/>
    </i>
    <i r="2">
      <x v="57"/>
    </i>
    <i r="2">
      <x v="63"/>
    </i>
    <i r="2">
      <x v="64"/>
    </i>
    <i r="2">
      <x v="69"/>
    </i>
    <i r="2">
      <x v="70"/>
    </i>
    <i r="2">
      <x v="78"/>
    </i>
    <i r="2">
      <x v="79"/>
    </i>
    <i r="2">
      <x v="80"/>
    </i>
    <i r="2">
      <x v="83"/>
    </i>
    <i r="2">
      <x v="88"/>
    </i>
    <i r="2">
      <x v="90"/>
    </i>
    <i r="2">
      <x v="92"/>
    </i>
    <i r="2">
      <x v="101"/>
    </i>
    <i r="2">
      <x v="108"/>
    </i>
    <i r="2">
      <x v="123"/>
    </i>
    <i r="2">
      <x v="124"/>
    </i>
    <i r="2">
      <x v="125"/>
    </i>
    <i r="2">
      <x v="129"/>
    </i>
    <i r="2">
      <x v="130"/>
    </i>
    <i r="2">
      <x v="230"/>
    </i>
    <i r="2">
      <x v="231"/>
    </i>
    <i r="2">
      <x v="232"/>
    </i>
    <i r="2">
      <x v="233"/>
    </i>
    <i r="2">
      <x v="234"/>
    </i>
    <i r="2">
      <x v="235"/>
    </i>
    <i r="2">
      <x v="236"/>
    </i>
    <i r="2">
      <x v="237"/>
    </i>
    <i r="2">
      <x v="238"/>
    </i>
    <i r="2">
      <x v="239"/>
    </i>
    <i r="2">
      <x v="376"/>
    </i>
    <i r="2">
      <x v="391"/>
    </i>
    <i r="2">
      <x v="449"/>
    </i>
    <i r="2">
      <x v="452"/>
    </i>
    <i r="1">
      <x v="13"/>
      <x v="8"/>
    </i>
    <i r="2">
      <x v="17"/>
    </i>
    <i r="2">
      <x v="21"/>
    </i>
    <i r="2">
      <x v="26"/>
    </i>
    <i r="2">
      <x v="39"/>
    </i>
    <i r="2">
      <x v="44"/>
    </i>
    <i r="2">
      <x v="48"/>
    </i>
    <i r="2">
      <x v="49"/>
    </i>
    <i r="2">
      <x v="50"/>
    </i>
    <i r="2">
      <x v="51"/>
    </i>
    <i r="2">
      <x v="53"/>
    </i>
    <i r="2">
      <x v="63"/>
    </i>
    <i r="2">
      <x v="108"/>
    </i>
    <i r="2">
      <x v="125"/>
    </i>
    <i r="2">
      <x v="130"/>
    </i>
    <i r="2">
      <x v="376"/>
    </i>
    <i r="2">
      <x v="391"/>
    </i>
    <i r="2">
      <x v="452"/>
    </i>
    <i r="1">
      <x v="18"/>
      <x v="14"/>
    </i>
    <i r="2">
      <x v="20"/>
    </i>
    <i r="2">
      <x v="27"/>
    </i>
    <i r="2">
      <x v="28"/>
    </i>
    <i r="2">
      <x v="45"/>
    </i>
    <i r="2">
      <x v="46"/>
    </i>
    <i r="2">
      <x v="49"/>
    </i>
    <i r="2">
      <x v="78"/>
    </i>
    <i r="2">
      <x v="83"/>
    </i>
    <i r="2">
      <x v="130"/>
    </i>
    <i r="2">
      <x v="376"/>
    </i>
    <i r="2">
      <x v="391"/>
    </i>
    <i r="2">
      <x v="449"/>
    </i>
    <i r="1">
      <x v="24"/>
      <x v="22"/>
    </i>
    <i r="2">
      <x v="23"/>
    </i>
    <i r="2">
      <x v="34"/>
    </i>
    <i r="2">
      <x v="35"/>
    </i>
    <i r="2">
      <x v="36"/>
    </i>
    <i r="2">
      <x v="40"/>
    </i>
    <i r="2">
      <x v="41"/>
    </i>
    <i r="2">
      <x v="45"/>
    </i>
    <i r="2">
      <x v="53"/>
    </i>
    <i r="2">
      <x v="54"/>
    </i>
    <i r="2">
      <x v="125"/>
    </i>
    <i r="1">
      <x v="43"/>
      <x v="9"/>
    </i>
    <i r="2">
      <x v="10"/>
    </i>
    <i r="2">
      <x v="11"/>
    </i>
    <i r="2">
      <x v="12"/>
    </i>
    <i r="2">
      <x v="15"/>
    </i>
    <i r="2">
      <x v="18"/>
    </i>
    <i r="2">
      <x v="22"/>
    </i>
    <i r="2">
      <x v="23"/>
    </i>
    <i r="2">
      <x v="27"/>
    </i>
    <i r="2">
      <x v="28"/>
    </i>
    <i r="2">
      <x v="31"/>
    </i>
    <i r="2">
      <x v="33"/>
    </i>
    <i r="2">
      <x v="35"/>
    </i>
    <i r="2">
      <x v="36"/>
    </i>
    <i r="2">
      <x v="42"/>
    </i>
    <i r="2">
      <x v="43"/>
    </i>
    <i r="2">
      <x v="45"/>
    </i>
    <i r="2">
      <x v="47"/>
    </i>
    <i r="2">
      <x v="49"/>
    </i>
    <i r="2">
      <x v="70"/>
    </i>
    <i r="2">
      <x v="92"/>
    </i>
    <i r="2">
      <x v="230"/>
    </i>
    <i r="2">
      <x v="231"/>
    </i>
    <i r="2">
      <x v="232"/>
    </i>
    <i r="2">
      <x v="233"/>
    </i>
    <i r="2">
      <x v="234"/>
    </i>
    <i r="2">
      <x v="235"/>
    </i>
    <i r="2">
      <x v="237"/>
    </i>
    <i r="1">
      <x v="55"/>
      <x v="22"/>
    </i>
    <i r="2">
      <x v="29"/>
    </i>
    <i r="2">
      <x v="49"/>
    </i>
    <i r="2">
      <x v="92"/>
    </i>
    <i r="2">
      <x v="125"/>
    </i>
    <i>
      <x v="3"/>
      <x/>
      <x v="109"/>
    </i>
    <i r="2">
      <x v="110"/>
    </i>
    <i r="2">
      <x v="111"/>
    </i>
    <i r="2">
      <x v="112"/>
    </i>
    <i r="2">
      <x v="113"/>
    </i>
    <i r="1">
      <x v="1"/>
      <x v="110"/>
    </i>
    <i r="2">
      <x v="229"/>
    </i>
    <i r="1">
      <x v="5"/>
      <x v="111"/>
    </i>
    <i r="2">
      <x v="112"/>
    </i>
    <i r="1">
      <x v="10"/>
      <x v="109"/>
    </i>
    <i r="2">
      <x v="112"/>
    </i>
    <i r="2">
      <x v="117"/>
    </i>
    <i r="1">
      <x v="12"/>
      <x v="109"/>
    </i>
    <i r="1">
      <x v="21"/>
      <x v="110"/>
    </i>
    <i r="2">
      <x v="111"/>
    </i>
    <i r="2">
      <x v="112"/>
    </i>
    <i r="1">
      <x v="27"/>
      <x v="109"/>
    </i>
    <i r="2">
      <x v="110"/>
    </i>
    <i r="2">
      <x v="112"/>
    </i>
    <i r="2">
      <x v="113"/>
    </i>
    <i r="2">
      <x v="117"/>
    </i>
    <i r="1">
      <x v="35"/>
      <x v="111"/>
    </i>
    <i r="2">
      <x v="112"/>
    </i>
    <i r="1">
      <x v="36"/>
      <x v="110"/>
    </i>
    <i r="2">
      <x v="112"/>
    </i>
    <i r="2">
      <x v="134"/>
    </i>
    <i r="1">
      <x v="47"/>
      <x v="112"/>
    </i>
    <i r="1">
      <x v="48"/>
      <x v="84"/>
    </i>
    <i r="2">
      <x v="85"/>
    </i>
    <i r="2">
      <x v="86"/>
    </i>
    <i r="2">
      <x v="87"/>
    </i>
    <i r="2">
      <x v="110"/>
    </i>
    <i r="2">
      <x v="111"/>
    </i>
    <i r="2">
      <x v="112"/>
    </i>
    <i r="2">
      <x v="113"/>
    </i>
    <i r="2">
      <x v="134"/>
    </i>
    <i r="2">
      <x v="436"/>
    </i>
    <i r="2">
      <x v="437"/>
    </i>
    <i r="2">
      <x v="438"/>
    </i>
    <i>
      <x v="4"/>
      <x v="50"/>
      <x v="133"/>
    </i>
    <i r="1">
      <x v="57"/>
      <x v="133"/>
    </i>
    <i>
      <x v="5"/>
      <x v="45"/>
      <x v="133"/>
    </i>
    <i>
      <x v="6"/>
      <x v="28"/>
      <x v="62"/>
    </i>
    <i r="2">
      <x v="126"/>
    </i>
    <i>
      <x v="7"/>
      <x v="37"/>
      <x v="118"/>
    </i>
    <i r="2">
      <x v="119"/>
    </i>
    <i r="2">
      <x v="120"/>
    </i>
    <i r="2">
      <x v="121"/>
    </i>
    <i r="2">
      <x v="122"/>
    </i>
    <i>
      <x v="8"/>
      <x v="3"/>
      <x v="3"/>
    </i>
    <i r="2">
      <x v="7"/>
    </i>
    <i r="2">
      <x v="50"/>
    </i>
    <i r="2">
      <x v="53"/>
    </i>
    <i r="2">
      <x v="71"/>
    </i>
    <i r="2">
      <x v="72"/>
    </i>
    <i r="2">
      <x v="82"/>
    </i>
    <i r="2">
      <x v="89"/>
    </i>
    <i r="2">
      <x v="97"/>
    </i>
    <i r="2">
      <x v="98"/>
    </i>
    <i r="2">
      <x v="99"/>
    </i>
    <i r="2">
      <x v="100"/>
    </i>
    <i r="2">
      <x v="114"/>
    </i>
    <i r="2">
      <x v="116"/>
    </i>
    <i r="2">
      <x v="136"/>
    </i>
    <i r="2">
      <x v="137"/>
    </i>
    <i r="2">
      <x v="142"/>
    </i>
    <i r="2">
      <x v="143"/>
    </i>
    <i r="2">
      <x v="145"/>
    </i>
    <i r="2">
      <x v="149"/>
    </i>
    <i r="2">
      <x v="152"/>
    </i>
    <i r="2">
      <x v="153"/>
    </i>
    <i r="2">
      <x v="154"/>
    </i>
    <i r="2">
      <x v="156"/>
    </i>
    <i r="2">
      <x v="157"/>
    </i>
    <i r="2">
      <x v="159"/>
    </i>
    <i r="2">
      <x v="160"/>
    </i>
    <i r="2">
      <x v="161"/>
    </i>
    <i r="2">
      <x v="162"/>
    </i>
    <i r="2">
      <x v="171"/>
    </i>
    <i r="2">
      <x v="173"/>
    </i>
    <i r="2">
      <x v="175"/>
    </i>
    <i r="2">
      <x v="177"/>
    </i>
    <i r="2">
      <x v="179"/>
    </i>
    <i r="2">
      <x v="180"/>
    </i>
    <i r="2">
      <x v="181"/>
    </i>
    <i r="2">
      <x v="182"/>
    </i>
    <i r="2">
      <x v="183"/>
    </i>
    <i r="2">
      <x v="184"/>
    </i>
    <i r="2">
      <x v="186"/>
    </i>
    <i r="2">
      <x v="187"/>
    </i>
    <i r="2">
      <x v="188"/>
    </i>
    <i r="2">
      <x v="189"/>
    </i>
    <i r="2">
      <x v="191"/>
    </i>
    <i r="2">
      <x v="193"/>
    </i>
    <i r="2">
      <x v="194"/>
    </i>
    <i r="2">
      <x v="196"/>
    </i>
    <i r="2">
      <x v="200"/>
    </i>
    <i r="2">
      <x v="205"/>
    </i>
    <i r="2">
      <x v="209"/>
    </i>
    <i r="2">
      <x v="212"/>
    </i>
    <i r="2">
      <x v="218"/>
    </i>
    <i r="2">
      <x v="224"/>
    </i>
    <i r="2">
      <x v="225"/>
    </i>
    <i r="2">
      <x v="227"/>
    </i>
    <i r="2">
      <x v="233"/>
    </i>
    <i r="2">
      <x v="235"/>
    </i>
    <i r="2">
      <x v="236"/>
    </i>
    <i r="2">
      <x v="241"/>
    </i>
    <i r="2">
      <x v="245"/>
    </i>
    <i r="2">
      <x v="377"/>
    </i>
    <i r="2">
      <x v="378"/>
    </i>
    <i r="2">
      <x v="440"/>
    </i>
    <i r="2">
      <x v="441"/>
    </i>
    <i r="2">
      <x v="444"/>
    </i>
    <i r="2">
      <x v="450"/>
    </i>
    <i r="1">
      <x v="6"/>
      <x v="3"/>
    </i>
    <i r="2">
      <x v="7"/>
    </i>
    <i r="2">
      <x v="54"/>
    </i>
    <i r="2">
      <x v="71"/>
    </i>
    <i r="2">
      <x v="72"/>
    </i>
    <i r="2">
      <x v="78"/>
    </i>
    <i r="2">
      <x v="82"/>
    </i>
    <i r="2">
      <x v="89"/>
    </i>
    <i r="2">
      <x v="97"/>
    </i>
    <i r="2">
      <x v="98"/>
    </i>
    <i r="2">
      <x v="99"/>
    </i>
    <i r="2">
      <x v="116"/>
    </i>
    <i r="2">
      <x v="136"/>
    </i>
    <i r="2">
      <x v="137"/>
    </i>
    <i r="2">
      <x v="142"/>
    </i>
    <i r="2">
      <x v="143"/>
    </i>
    <i r="2">
      <x v="145"/>
    </i>
    <i r="2">
      <x v="149"/>
    </i>
    <i r="2">
      <x v="152"/>
    </i>
    <i r="2">
      <x v="153"/>
    </i>
    <i r="2">
      <x v="154"/>
    </i>
    <i r="2">
      <x v="156"/>
    </i>
    <i r="2">
      <x v="157"/>
    </i>
    <i r="2">
      <x v="159"/>
    </i>
    <i r="2">
      <x v="160"/>
    </i>
    <i r="2">
      <x v="162"/>
    </i>
    <i r="2">
      <x v="171"/>
    </i>
    <i r="2">
      <x v="173"/>
    </i>
    <i r="2">
      <x v="175"/>
    </i>
    <i r="2">
      <x v="177"/>
    </i>
    <i r="2">
      <x v="179"/>
    </i>
    <i r="2">
      <x v="180"/>
    </i>
    <i r="2">
      <x v="181"/>
    </i>
    <i r="2">
      <x v="182"/>
    </i>
    <i r="2">
      <x v="184"/>
    </i>
    <i r="2">
      <x v="186"/>
    </i>
    <i r="2">
      <x v="187"/>
    </i>
    <i r="2">
      <x v="188"/>
    </i>
    <i r="2">
      <x v="189"/>
    </i>
    <i r="2">
      <x v="191"/>
    </i>
    <i r="2">
      <x v="193"/>
    </i>
    <i r="2">
      <x v="194"/>
    </i>
    <i r="2">
      <x v="196"/>
    </i>
    <i r="2">
      <x v="200"/>
    </i>
    <i r="2">
      <x v="205"/>
    </i>
    <i r="2">
      <x v="209"/>
    </i>
    <i r="2">
      <x v="212"/>
    </i>
    <i r="2">
      <x v="218"/>
    </i>
    <i r="2">
      <x v="221"/>
    </i>
    <i r="2">
      <x v="222"/>
    </i>
    <i r="2">
      <x v="223"/>
    </i>
    <i r="2">
      <x v="224"/>
    </i>
    <i r="2">
      <x v="225"/>
    </i>
    <i r="2">
      <x v="227"/>
    </i>
    <i r="2">
      <x v="233"/>
    </i>
    <i r="2">
      <x v="235"/>
    </i>
    <i r="2">
      <x v="236"/>
    </i>
    <i r="2">
      <x v="241"/>
    </i>
    <i r="2">
      <x v="245"/>
    </i>
    <i r="2">
      <x v="377"/>
    </i>
    <i r="2">
      <x v="378"/>
    </i>
    <i r="1">
      <x v="7"/>
      <x v="54"/>
    </i>
    <i r="2">
      <x v="58"/>
    </i>
    <i r="2">
      <x v="64"/>
    </i>
    <i r="2">
      <x v="69"/>
    </i>
    <i r="2">
      <x v="70"/>
    </i>
    <i r="2">
      <x v="72"/>
    </i>
    <i r="2">
      <x v="81"/>
    </i>
    <i r="2">
      <x v="82"/>
    </i>
    <i r="2">
      <x v="89"/>
    </i>
    <i r="2">
      <x v="90"/>
    </i>
    <i r="2">
      <x v="92"/>
    </i>
    <i r="2">
      <x v="97"/>
    </i>
    <i r="2">
      <x v="98"/>
    </i>
    <i r="2">
      <x v="99"/>
    </i>
    <i r="2">
      <x v="104"/>
    </i>
    <i r="2">
      <x v="105"/>
    </i>
    <i r="2">
      <x v="114"/>
    </i>
    <i r="2">
      <x v="116"/>
    </i>
    <i r="2">
      <x v="139"/>
    </i>
    <i r="2">
      <x v="147"/>
    </i>
    <i r="2">
      <x v="152"/>
    </i>
    <i r="2">
      <x v="153"/>
    </i>
    <i r="2">
      <x v="159"/>
    </i>
    <i r="2">
      <x v="164"/>
    </i>
    <i r="2">
      <x v="172"/>
    </i>
    <i r="2">
      <x v="174"/>
    </i>
    <i r="2">
      <x v="176"/>
    </i>
    <i r="2">
      <x v="181"/>
    </i>
    <i r="2">
      <x v="196"/>
    </i>
    <i r="2">
      <x v="201"/>
    </i>
    <i r="2">
      <x v="208"/>
    </i>
    <i r="2">
      <x v="210"/>
    </i>
    <i r="2">
      <x v="221"/>
    </i>
    <i r="2">
      <x v="222"/>
    </i>
    <i r="2">
      <x v="223"/>
    </i>
    <i r="2">
      <x v="238"/>
    </i>
    <i r="2">
      <x v="241"/>
    </i>
    <i r="2">
      <x v="242"/>
    </i>
    <i r="2">
      <x v="377"/>
    </i>
    <i r="2">
      <x v="378"/>
    </i>
    <i r="2">
      <x v="452"/>
    </i>
    <i r="1">
      <x v="8"/>
      <x v="7"/>
    </i>
    <i r="2">
      <x v="58"/>
    </i>
    <i r="2">
      <x v="70"/>
    </i>
    <i r="2">
      <x v="82"/>
    </i>
    <i r="2">
      <x v="92"/>
    </i>
    <i r="2">
      <x v="145"/>
    </i>
    <i r="2">
      <x v="153"/>
    </i>
    <i r="2">
      <x v="159"/>
    </i>
    <i r="2">
      <x v="160"/>
    </i>
    <i r="2">
      <x v="173"/>
    </i>
    <i r="2">
      <x v="175"/>
    </i>
    <i r="2">
      <x v="179"/>
    </i>
    <i r="2">
      <x v="180"/>
    </i>
    <i r="2">
      <x v="190"/>
    </i>
    <i r="2">
      <x v="193"/>
    </i>
    <i r="2">
      <x v="194"/>
    </i>
    <i r="2">
      <x v="196"/>
    </i>
    <i r="2">
      <x v="197"/>
    </i>
    <i r="2">
      <x v="200"/>
    </i>
    <i r="2">
      <x v="202"/>
    </i>
    <i r="2">
      <x v="205"/>
    </i>
    <i r="2">
      <x v="209"/>
    </i>
    <i r="2">
      <x v="221"/>
    </i>
    <i r="2">
      <x v="222"/>
    </i>
    <i r="2">
      <x v="223"/>
    </i>
    <i r="2">
      <x v="224"/>
    </i>
    <i r="2">
      <x v="241"/>
    </i>
    <i r="2">
      <x v="242"/>
    </i>
    <i r="2">
      <x v="440"/>
    </i>
    <i r="2">
      <x v="441"/>
    </i>
    <i r="2">
      <x v="442"/>
    </i>
    <i r="2">
      <x v="443"/>
    </i>
    <i r="2">
      <x v="444"/>
    </i>
    <i r="1">
      <x v="25"/>
      <x v="5"/>
    </i>
    <i r="2">
      <x v="55"/>
    </i>
    <i r="2">
      <x v="71"/>
    </i>
    <i r="2">
      <x v="73"/>
    </i>
    <i r="2">
      <x v="74"/>
    </i>
    <i r="2">
      <x v="75"/>
    </i>
    <i r="2">
      <x v="76"/>
    </i>
    <i r="2">
      <x v="77"/>
    </i>
    <i r="2">
      <x v="104"/>
    </i>
    <i r="2">
      <x v="105"/>
    </i>
    <i r="2">
      <x v="116"/>
    </i>
    <i r="2">
      <x v="135"/>
    </i>
    <i r="2">
      <x v="143"/>
    </i>
    <i r="2">
      <x v="146"/>
    </i>
    <i r="2">
      <x v="149"/>
    </i>
    <i r="2">
      <x v="155"/>
    </i>
    <i r="2">
      <x v="157"/>
    </i>
    <i r="2">
      <x v="161"/>
    </i>
    <i r="2">
      <x v="169"/>
    </i>
    <i r="2">
      <x v="175"/>
    </i>
    <i r="2">
      <x v="176"/>
    </i>
    <i r="2">
      <x v="178"/>
    </i>
    <i r="2">
      <x v="180"/>
    </i>
    <i r="2">
      <x v="189"/>
    </i>
    <i r="2">
      <x v="190"/>
    </i>
    <i r="2">
      <x v="193"/>
    </i>
    <i r="2">
      <x v="196"/>
    </i>
    <i r="2">
      <x v="197"/>
    </i>
    <i r="2">
      <x v="200"/>
    </i>
    <i r="2">
      <x v="205"/>
    </i>
    <i r="2">
      <x v="209"/>
    </i>
    <i r="2">
      <x v="213"/>
    </i>
    <i r="2">
      <x v="215"/>
    </i>
    <i r="2">
      <x v="216"/>
    </i>
    <i r="2">
      <x v="217"/>
    </i>
    <i r="2">
      <x v="220"/>
    </i>
    <i r="2">
      <x v="224"/>
    </i>
    <i r="2">
      <x v="242"/>
    </i>
    <i r="2">
      <x v="243"/>
    </i>
    <i r="2">
      <x v="245"/>
    </i>
    <i r="2">
      <x v="441"/>
    </i>
    <i r="1">
      <x v="29"/>
      <x v="72"/>
    </i>
    <i r="2">
      <x v="173"/>
    </i>
    <i r="2">
      <x v="225"/>
    </i>
    <i r="1">
      <x v="30"/>
      <x v="50"/>
    </i>
    <i r="2">
      <x v="51"/>
    </i>
    <i r="2">
      <x v="52"/>
    </i>
    <i r="2">
      <x v="53"/>
    </i>
    <i r="2">
      <x v="55"/>
    </i>
    <i r="2">
      <x v="71"/>
    </i>
    <i r="2">
      <x v="73"/>
    </i>
    <i r="2">
      <x v="74"/>
    </i>
    <i r="2">
      <x v="75"/>
    </i>
    <i r="2">
      <x v="76"/>
    </i>
    <i r="2">
      <x v="77"/>
    </i>
    <i r="2">
      <x v="105"/>
    </i>
    <i r="2">
      <x v="138"/>
    </i>
    <i r="2">
      <x v="139"/>
    </i>
    <i r="2">
      <x v="140"/>
    </i>
    <i r="2">
      <x v="141"/>
    </i>
    <i r="2">
      <x v="143"/>
    </i>
    <i r="2">
      <x v="146"/>
    </i>
    <i r="2">
      <x v="148"/>
    </i>
    <i r="2">
      <x v="149"/>
    </i>
    <i r="2">
      <x v="155"/>
    </i>
    <i r="2">
      <x v="156"/>
    </i>
    <i r="2">
      <x v="157"/>
    </i>
    <i r="2">
      <x v="161"/>
    </i>
    <i r="2">
      <x v="169"/>
    </i>
    <i r="2">
      <x v="176"/>
    </i>
    <i r="2">
      <x v="182"/>
    </i>
    <i r="2">
      <x v="184"/>
    </i>
    <i r="2">
      <x v="189"/>
    </i>
    <i r="2">
      <x v="193"/>
    </i>
    <i r="2">
      <x v="205"/>
    </i>
    <i r="2">
      <x v="207"/>
    </i>
    <i r="2">
      <x v="209"/>
    </i>
    <i r="2">
      <x v="213"/>
    </i>
    <i r="2">
      <x v="214"/>
    </i>
    <i r="2">
      <x v="215"/>
    </i>
    <i r="2">
      <x v="216"/>
    </i>
    <i r="2">
      <x v="217"/>
    </i>
    <i r="2">
      <x v="218"/>
    </i>
    <i r="2">
      <x v="219"/>
    </i>
    <i r="2">
      <x v="220"/>
    </i>
    <i r="2">
      <x v="224"/>
    </i>
    <i r="2">
      <x v="241"/>
    </i>
    <i r="2">
      <x v="242"/>
    </i>
    <i r="2">
      <x v="243"/>
    </i>
    <i r="2">
      <x v="245"/>
    </i>
    <i r="2">
      <x v="445"/>
    </i>
    <i r="2">
      <x v="446"/>
    </i>
    <i r="2">
      <x v="447"/>
    </i>
    <i r="2">
      <x v="448"/>
    </i>
    <i r="1">
      <x v="31"/>
      <x v="451"/>
    </i>
    <i r="1">
      <x v="32"/>
      <x v="1"/>
    </i>
    <i r="2">
      <x v="51"/>
    </i>
    <i r="2">
      <x v="53"/>
    </i>
    <i r="2">
      <x v="58"/>
    </i>
    <i r="2">
      <x v="70"/>
    </i>
    <i r="2">
      <x v="71"/>
    </i>
    <i r="2">
      <x v="104"/>
    </i>
    <i r="2">
      <x v="108"/>
    </i>
    <i r="2">
      <x v="143"/>
    </i>
    <i r="2">
      <x v="155"/>
    </i>
    <i r="2">
      <x v="176"/>
    </i>
    <i r="2">
      <x v="182"/>
    </i>
    <i r="2">
      <x v="190"/>
    </i>
    <i r="2">
      <x v="212"/>
    </i>
    <i r="2">
      <x v="226"/>
    </i>
    <i r="2">
      <x v="232"/>
    </i>
    <i r="2">
      <x v="238"/>
    </i>
    <i r="2">
      <x v="243"/>
    </i>
    <i r="2">
      <x v="245"/>
    </i>
    <i r="2">
      <x v="376"/>
    </i>
    <i r="2">
      <x v="391"/>
    </i>
    <i r="2">
      <x v="440"/>
    </i>
    <i r="2">
      <x v="443"/>
    </i>
    <i r="2">
      <x v="446"/>
    </i>
    <i r="1">
      <x v="40"/>
      <x v="1"/>
    </i>
    <i r="2">
      <x v="55"/>
    </i>
    <i r="2">
      <x v="58"/>
    </i>
    <i r="2">
      <x v="70"/>
    </i>
    <i r="2">
      <x v="92"/>
    </i>
    <i r="2">
      <x v="108"/>
    </i>
    <i r="2">
      <x v="115"/>
    </i>
    <i r="2">
      <x v="130"/>
    </i>
    <i r="2">
      <x v="150"/>
    </i>
    <i r="2">
      <x v="165"/>
    </i>
    <i r="2">
      <x v="166"/>
    </i>
    <i r="2">
      <x v="167"/>
    </i>
    <i r="2">
      <x v="168"/>
    </i>
    <i r="2">
      <x v="185"/>
    </i>
    <i r="2">
      <x v="193"/>
    </i>
    <i r="2">
      <x v="194"/>
    </i>
    <i r="2">
      <x v="237"/>
    </i>
    <i r="2">
      <x v="238"/>
    </i>
    <i r="2">
      <x v="245"/>
    </i>
    <i r="2">
      <x v="376"/>
    </i>
    <i r="2">
      <x v="391"/>
    </i>
    <i r="2">
      <x v="440"/>
    </i>
    <i r="2">
      <x v="443"/>
    </i>
    <i r="2">
      <x v="445"/>
    </i>
    <i r="2">
      <x v="447"/>
    </i>
    <i r="2">
      <x v="450"/>
    </i>
    <i r="1">
      <x v="44"/>
      <x v="7"/>
    </i>
    <i r="2">
      <x v="55"/>
    </i>
    <i r="2">
      <x v="58"/>
    </i>
    <i r="2">
      <x v="70"/>
    </i>
    <i r="2">
      <x v="76"/>
    </i>
    <i r="2">
      <x v="77"/>
    </i>
    <i r="2">
      <x v="89"/>
    </i>
    <i r="2">
      <x v="98"/>
    </i>
    <i r="2">
      <x v="99"/>
    </i>
    <i r="2">
      <x v="100"/>
    </i>
    <i r="2">
      <x v="115"/>
    </i>
    <i r="2">
      <x v="130"/>
    </i>
    <i r="2">
      <x v="178"/>
    </i>
    <i r="2">
      <x v="179"/>
    </i>
    <i r="2">
      <x v="180"/>
    </i>
    <i r="2">
      <x v="193"/>
    </i>
    <i r="2">
      <x v="194"/>
    </i>
    <i r="2">
      <x v="198"/>
    </i>
    <i r="2">
      <x v="204"/>
    </i>
    <i r="2">
      <x v="206"/>
    </i>
    <i r="2">
      <x v="209"/>
    </i>
    <i r="2">
      <x v="220"/>
    </i>
    <i r="2">
      <x v="226"/>
    </i>
    <i r="2">
      <x v="242"/>
    </i>
    <i r="2">
      <x v="245"/>
    </i>
    <i r="2">
      <x v="376"/>
    </i>
    <i r="2">
      <x v="377"/>
    </i>
    <i r="2">
      <x v="391"/>
    </i>
    <i r="2">
      <x v="440"/>
    </i>
    <i r="2">
      <x v="441"/>
    </i>
    <i r="2">
      <x v="443"/>
    </i>
    <i r="2">
      <x v="448"/>
    </i>
    <i r="1">
      <x v="51"/>
      <x v="7"/>
    </i>
    <i r="2">
      <x v="50"/>
    </i>
    <i r="2">
      <x v="52"/>
    </i>
    <i r="2">
      <x v="53"/>
    </i>
    <i r="2">
      <x v="58"/>
    </i>
    <i r="2">
      <x v="76"/>
    </i>
    <i r="2">
      <x v="89"/>
    </i>
    <i r="2">
      <x v="98"/>
    </i>
    <i r="2">
      <x v="99"/>
    </i>
    <i r="2">
      <x v="102"/>
    </i>
    <i r="2">
      <x v="103"/>
    </i>
    <i r="2">
      <x v="105"/>
    </i>
    <i r="2">
      <x v="106"/>
    </i>
    <i r="2">
      <x v="107"/>
    </i>
    <i r="2">
      <x v="151"/>
    </i>
    <i r="2">
      <x v="154"/>
    </i>
    <i r="2">
      <x v="155"/>
    </i>
    <i r="2">
      <x v="156"/>
    </i>
    <i r="2">
      <x v="173"/>
    </i>
    <i r="2">
      <x v="178"/>
    </i>
    <i r="2">
      <x v="179"/>
    </i>
    <i r="2">
      <x v="192"/>
    </i>
    <i r="2">
      <x v="193"/>
    </i>
    <i r="2">
      <x v="194"/>
    </i>
    <i r="2">
      <x v="212"/>
    </i>
    <i r="2">
      <x v="220"/>
    </i>
    <i r="2">
      <x v="228"/>
    </i>
    <i r="2">
      <x v="241"/>
    </i>
    <i r="2">
      <x v="242"/>
    </i>
    <i r="2">
      <x v="377"/>
    </i>
    <i r="2">
      <x v="441"/>
    </i>
    <i r="2">
      <x v="443"/>
    </i>
    <i r="2">
      <x v="452"/>
    </i>
    <i r="1">
      <x v="54"/>
      <x v="7"/>
    </i>
    <i r="2">
      <x v="55"/>
    </i>
    <i r="2">
      <x v="70"/>
    </i>
    <i r="2">
      <x v="76"/>
    </i>
    <i r="2">
      <x v="108"/>
    </i>
    <i r="2">
      <x v="144"/>
    </i>
    <i r="2">
      <x v="158"/>
    </i>
    <i r="2">
      <x v="160"/>
    </i>
    <i r="2">
      <x v="163"/>
    </i>
    <i r="2">
      <x v="166"/>
    </i>
    <i r="2">
      <x v="167"/>
    </i>
    <i r="2">
      <x v="170"/>
    </i>
    <i r="2">
      <x v="175"/>
    </i>
    <i r="2">
      <x v="184"/>
    </i>
    <i r="2">
      <x v="189"/>
    </i>
    <i r="2">
      <x v="190"/>
    </i>
    <i r="2">
      <x v="195"/>
    </i>
    <i r="2">
      <x v="196"/>
    </i>
    <i r="2">
      <x v="199"/>
    </i>
    <i r="2">
      <x v="200"/>
    </i>
    <i r="2">
      <x v="203"/>
    </i>
    <i r="2">
      <x v="204"/>
    </i>
    <i r="2">
      <x v="211"/>
    </i>
    <i r="2">
      <x v="218"/>
    </i>
    <i r="2">
      <x v="228"/>
    </i>
    <i r="2">
      <x v="233"/>
    </i>
    <i r="2">
      <x v="235"/>
    </i>
    <i r="2">
      <x v="236"/>
    </i>
    <i r="2">
      <x v="237"/>
    </i>
    <i r="2">
      <x v="241"/>
    </i>
    <i r="2">
      <x v="245"/>
    </i>
    <i r="2">
      <x v="376"/>
    </i>
    <i r="2">
      <x v="391"/>
    </i>
    <i r="2">
      <x v="431"/>
    </i>
    <i r="2">
      <x v="443"/>
    </i>
    <i r="2">
      <x v="450"/>
    </i>
    <i r="2">
      <x v="452"/>
    </i>
    <i>
      <x v="9"/>
      <x v="56"/>
      <x/>
    </i>
    <i>
      <x v="10"/>
      <x v="14"/>
      <x v="453"/>
    </i>
    <i r="1">
      <x v="15"/>
      <x v="453"/>
    </i>
    <i r="1">
      <x v="18"/>
      <x v="453"/>
    </i>
    <i r="1">
      <x v="23"/>
      <x v="453"/>
    </i>
    <i>
      <x v="11"/>
      <x v="4"/>
      <x v="94"/>
    </i>
    <i r="2">
      <x v="95"/>
    </i>
    <i r="2">
      <x v="114"/>
    </i>
    <i r="2">
      <x v="255"/>
    </i>
    <i r="2">
      <x v="256"/>
    </i>
    <i r="2">
      <x v="257"/>
    </i>
    <i r="2">
      <x v="258"/>
    </i>
    <i r="2">
      <x v="262"/>
    </i>
    <i r="2">
      <x v="263"/>
    </i>
    <i r="2">
      <x v="266"/>
    </i>
    <i r="2">
      <x v="269"/>
    </i>
    <i r="2">
      <x v="270"/>
    </i>
    <i r="2">
      <x v="271"/>
    </i>
    <i r="2">
      <x v="272"/>
    </i>
    <i r="2">
      <x v="274"/>
    </i>
    <i r="2">
      <x v="275"/>
    </i>
    <i r="2">
      <x v="276"/>
    </i>
    <i r="2">
      <x v="278"/>
    </i>
    <i r="2">
      <x v="279"/>
    </i>
    <i r="2">
      <x v="281"/>
    </i>
    <i r="2">
      <x v="282"/>
    </i>
    <i r="2">
      <x v="283"/>
    </i>
    <i r="2">
      <x v="284"/>
    </i>
    <i r="2">
      <x v="285"/>
    </i>
    <i r="2">
      <x v="286"/>
    </i>
    <i r="2">
      <x v="293"/>
    </i>
    <i r="2">
      <x v="294"/>
    </i>
    <i r="2">
      <x v="296"/>
    </i>
    <i r="2">
      <x v="300"/>
    </i>
    <i r="2">
      <x v="302"/>
    </i>
    <i r="2">
      <x v="304"/>
    </i>
    <i r="2">
      <x v="308"/>
    </i>
    <i r="2">
      <x v="310"/>
    </i>
    <i r="2">
      <x v="323"/>
    </i>
    <i r="2">
      <x v="325"/>
    </i>
    <i r="2">
      <x v="327"/>
    </i>
    <i r="2">
      <x v="328"/>
    </i>
    <i r="2">
      <x v="333"/>
    </i>
    <i r="2">
      <x v="334"/>
    </i>
    <i r="2">
      <x v="335"/>
    </i>
    <i r="2">
      <x v="339"/>
    </i>
    <i r="2">
      <x v="340"/>
    </i>
    <i r="2">
      <x v="347"/>
    </i>
    <i r="2">
      <x v="348"/>
    </i>
    <i r="2">
      <x v="349"/>
    </i>
    <i r="2">
      <x v="350"/>
    </i>
    <i r="2">
      <x v="351"/>
    </i>
    <i r="2">
      <x v="354"/>
    </i>
    <i r="2">
      <x v="355"/>
    </i>
    <i r="2">
      <x v="360"/>
    </i>
    <i r="2">
      <x v="362"/>
    </i>
    <i r="2">
      <x v="364"/>
    </i>
    <i r="2">
      <x v="365"/>
    </i>
    <i r="2">
      <x v="366"/>
    </i>
    <i r="2">
      <x v="373"/>
    </i>
    <i r="2">
      <x v="374"/>
    </i>
    <i r="2">
      <x v="407"/>
    </i>
    <i r="2">
      <x v="453"/>
    </i>
    <i r="1">
      <x v="6"/>
      <x v="6"/>
    </i>
    <i r="2">
      <x v="64"/>
    </i>
    <i r="2">
      <x v="69"/>
    </i>
    <i r="2">
      <x v="72"/>
    </i>
    <i r="2">
      <x v="79"/>
    </i>
    <i r="2">
      <x v="80"/>
    </i>
    <i r="2">
      <x v="90"/>
    </i>
    <i r="2">
      <x v="95"/>
    </i>
    <i r="2">
      <x v="114"/>
    </i>
    <i r="2">
      <x v="128"/>
    </i>
    <i r="2">
      <x v="255"/>
    </i>
    <i r="2">
      <x v="256"/>
    </i>
    <i r="2">
      <x v="257"/>
    </i>
    <i r="2">
      <x v="258"/>
    </i>
    <i r="2">
      <x v="262"/>
    </i>
    <i r="2">
      <x v="265"/>
    </i>
    <i r="2">
      <x v="269"/>
    </i>
    <i r="2">
      <x v="270"/>
    </i>
    <i r="2">
      <x v="271"/>
    </i>
    <i r="2">
      <x v="272"/>
    </i>
    <i r="2">
      <x v="275"/>
    </i>
    <i r="2">
      <x v="278"/>
    </i>
    <i r="2">
      <x v="279"/>
    </i>
    <i r="2">
      <x v="281"/>
    </i>
    <i r="2">
      <x v="282"/>
    </i>
    <i r="2">
      <x v="283"/>
    </i>
    <i r="2">
      <x v="285"/>
    </i>
    <i r="2">
      <x v="286"/>
    </i>
    <i r="2">
      <x v="293"/>
    </i>
    <i r="2">
      <x v="294"/>
    </i>
    <i r="2">
      <x v="299"/>
    </i>
    <i r="2">
      <x v="301"/>
    </i>
    <i r="2">
      <x v="302"/>
    </i>
    <i r="2">
      <x v="304"/>
    </i>
    <i r="2">
      <x v="308"/>
    </i>
    <i r="2">
      <x v="310"/>
    </i>
    <i r="2">
      <x v="312"/>
    </i>
    <i r="2">
      <x v="318"/>
    </i>
    <i r="2">
      <x v="327"/>
    </i>
    <i r="2">
      <x v="334"/>
    </i>
    <i r="2">
      <x v="336"/>
    </i>
    <i r="2">
      <x v="342"/>
    </i>
    <i r="2">
      <x v="345"/>
    </i>
    <i r="2">
      <x v="347"/>
    </i>
    <i r="2">
      <x v="350"/>
    </i>
    <i r="2">
      <x v="351"/>
    </i>
    <i r="2">
      <x v="354"/>
    </i>
    <i r="2">
      <x v="355"/>
    </i>
    <i r="2">
      <x v="358"/>
    </i>
    <i r="2">
      <x v="359"/>
    </i>
    <i r="2">
      <x v="362"/>
    </i>
    <i r="2">
      <x v="365"/>
    </i>
    <i r="2">
      <x v="366"/>
    </i>
    <i r="2">
      <x v="373"/>
    </i>
    <i r="2">
      <x v="374"/>
    </i>
    <i r="2">
      <x v="390"/>
    </i>
    <i r="2">
      <x v="393"/>
    </i>
    <i r="2">
      <x v="395"/>
    </i>
    <i r="2">
      <x v="432"/>
    </i>
    <i r="2">
      <x v="433"/>
    </i>
    <i r="2">
      <x v="434"/>
    </i>
    <i r="2">
      <x v="435"/>
    </i>
    <i r="1">
      <x v="9"/>
      <x v="3"/>
    </i>
    <i r="2">
      <x v="4"/>
    </i>
    <i r="2">
      <x v="64"/>
    </i>
    <i r="2">
      <x v="66"/>
    </i>
    <i r="2">
      <x v="67"/>
    </i>
    <i r="2">
      <x v="69"/>
    </i>
    <i r="2">
      <x v="72"/>
    </i>
    <i r="2">
      <x v="79"/>
    </i>
    <i r="2">
      <x v="80"/>
    </i>
    <i r="2">
      <x v="90"/>
    </i>
    <i r="2">
      <x v="91"/>
    </i>
    <i r="2">
      <x v="93"/>
    </i>
    <i r="2">
      <x v="95"/>
    </i>
    <i r="2">
      <x v="96"/>
    </i>
    <i r="2">
      <x v="114"/>
    </i>
    <i r="2">
      <x v="246"/>
    </i>
    <i r="2">
      <x v="247"/>
    </i>
    <i r="2">
      <x v="249"/>
    </i>
    <i r="2">
      <x v="250"/>
    </i>
    <i r="2">
      <x v="252"/>
    </i>
    <i r="2">
      <x v="254"/>
    </i>
    <i r="2">
      <x v="255"/>
    </i>
    <i r="2">
      <x v="256"/>
    </i>
    <i r="2">
      <x v="257"/>
    </i>
    <i r="2">
      <x v="258"/>
    </i>
    <i r="2">
      <x v="261"/>
    </i>
    <i r="2">
      <x v="263"/>
    </i>
    <i r="2">
      <x v="264"/>
    </i>
    <i r="2">
      <x v="265"/>
    </i>
    <i r="2">
      <x v="269"/>
    </i>
    <i r="2">
      <x v="270"/>
    </i>
    <i r="2">
      <x v="271"/>
    </i>
    <i r="2">
      <x v="272"/>
    </i>
    <i r="2">
      <x v="275"/>
    </i>
    <i r="2">
      <x v="278"/>
    </i>
    <i r="2">
      <x v="279"/>
    </i>
    <i r="2">
      <x v="281"/>
    </i>
    <i r="2">
      <x v="282"/>
    </i>
    <i r="2">
      <x v="283"/>
    </i>
    <i r="2">
      <x v="285"/>
    </i>
    <i r="2">
      <x v="286"/>
    </i>
    <i r="2">
      <x v="288"/>
    </i>
    <i r="2">
      <x v="289"/>
    </i>
    <i r="2">
      <x v="292"/>
    </i>
    <i r="2">
      <x v="293"/>
    </i>
    <i r="2">
      <x v="294"/>
    </i>
    <i r="2">
      <x v="295"/>
    </i>
    <i r="2">
      <x v="297"/>
    </i>
    <i r="2">
      <x v="298"/>
    </i>
    <i r="2">
      <x v="299"/>
    </i>
    <i r="2">
      <x v="301"/>
    </i>
    <i r="2">
      <x v="304"/>
    </i>
    <i r="2">
      <x v="307"/>
    </i>
    <i r="2">
      <x v="308"/>
    </i>
    <i r="2">
      <x v="310"/>
    </i>
    <i r="2">
      <x v="312"/>
    </i>
    <i r="2">
      <x v="313"/>
    </i>
    <i r="2">
      <x v="314"/>
    </i>
    <i r="2">
      <x v="315"/>
    </i>
    <i r="2">
      <x v="316"/>
    </i>
    <i r="2">
      <x v="318"/>
    </i>
    <i r="2">
      <x v="320"/>
    </i>
    <i r="2">
      <x v="322"/>
    </i>
    <i r="2">
      <x v="324"/>
    </i>
    <i r="2">
      <x v="325"/>
    </i>
    <i r="2">
      <x v="329"/>
    </i>
    <i r="2">
      <x v="332"/>
    </i>
    <i r="2">
      <x v="334"/>
    </i>
    <i r="2">
      <x v="335"/>
    </i>
    <i r="2">
      <x v="336"/>
    </i>
    <i r="2">
      <x v="338"/>
    </i>
    <i r="2">
      <x v="341"/>
    </i>
    <i r="2">
      <x v="342"/>
    </i>
    <i r="2">
      <x v="345"/>
    </i>
    <i r="2">
      <x v="347"/>
    </i>
    <i r="2">
      <x v="350"/>
    </i>
    <i r="2">
      <x v="351"/>
    </i>
    <i r="2">
      <x v="354"/>
    </i>
    <i r="2">
      <x v="358"/>
    </i>
    <i r="2">
      <x v="359"/>
    </i>
    <i r="2">
      <x v="360"/>
    </i>
    <i r="2">
      <x v="362"/>
    </i>
    <i r="2">
      <x v="364"/>
    </i>
    <i r="2">
      <x v="365"/>
    </i>
    <i r="2">
      <x v="367"/>
    </i>
    <i r="2">
      <x v="368"/>
    </i>
    <i r="2">
      <x v="369"/>
    </i>
    <i r="2">
      <x v="371"/>
    </i>
    <i r="2">
      <x v="372"/>
    </i>
    <i r="2">
      <x v="373"/>
    </i>
    <i r="2">
      <x v="374"/>
    </i>
    <i r="2">
      <x v="375"/>
    </i>
    <i r="2">
      <x v="392"/>
    </i>
    <i r="2">
      <x v="393"/>
    </i>
    <i r="2">
      <x v="395"/>
    </i>
    <i r="2">
      <x v="396"/>
    </i>
    <i r="2">
      <x v="397"/>
    </i>
    <i r="2">
      <x v="401"/>
    </i>
    <i r="2">
      <x v="402"/>
    </i>
    <i r="2">
      <x v="403"/>
    </i>
    <i r="2">
      <x v="404"/>
    </i>
    <i r="2">
      <x v="405"/>
    </i>
    <i r="2">
      <x v="406"/>
    </i>
    <i r="2">
      <x v="407"/>
    </i>
    <i r="2">
      <x v="408"/>
    </i>
    <i r="2">
      <x v="409"/>
    </i>
    <i r="2">
      <x v="410"/>
    </i>
    <i r="2">
      <x v="411"/>
    </i>
    <i r="2">
      <x v="415"/>
    </i>
    <i r="2">
      <x v="416"/>
    </i>
    <i r="2">
      <x v="417"/>
    </i>
    <i r="2">
      <x v="418"/>
    </i>
    <i r="2">
      <x v="451"/>
    </i>
    <i r="1">
      <x v="11"/>
      <x v="72"/>
    </i>
    <i r="2">
      <x v="127"/>
    </i>
    <i r="2">
      <x v="295"/>
    </i>
    <i r="2">
      <x v="321"/>
    </i>
    <i r="2">
      <x v="397"/>
    </i>
    <i r="2">
      <x v="432"/>
    </i>
    <i r="2">
      <x v="433"/>
    </i>
    <i r="2">
      <x v="435"/>
    </i>
    <i r="1">
      <x v="14"/>
      <x v="4"/>
    </i>
    <i r="2">
      <x v="64"/>
    </i>
    <i r="2">
      <x v="69"/>
    </i>
    <i r="2">
      <x v="80"/>
    </i>
    <i r="2">
      <x v="82"/>
    </i>
    <i r="2">
      <x v="90"/>
    </i>
    <i r="2">
      <x v="93"/>
    </i>
    <i r="2">
      <x v="94"/>
    </i>
    <i r="2">
      <x v="96"/>
    </i>
    <i r="2">
      <x v="250"/>
    </i>
    <i r="2">
      <x v="251"/>
    </i>
    <i r="2">
      <x v="252"/>
    </i>
    <i r="2">
      <x v="253"/>
    </i>
    <i r="2">
      <x v="255"/>
    </i>
    <i r="2">
      <x v="258"/>
    </i>
    <i r="2">
      <x v="263"/>
    </i>
    <i r="2">
      <x v="268"/>
    </i>
    <i r="2">
      <x v="269"/>
    </i>
    <i r="2">
      <x v="271"/>
    </i>
    <i r="2">
      <x v="272"/>
    </i>
    <i r="2">
      <x v="296"/>
    </i>
    <i r="2">
      <x v="298"/>
    </i>
    <i r="2">
      <x v="325"/>
    </i>
    <i r="2">
      <x v="335"/>
    </i>
    <i r="2">
      <x v="338"/>
    </i>
    <i r="2">
      <x v="341"/>
    </i>
    <i r="2">
      <x v="352"/>
    </i>
    <i r="2">
      <x v="353"/>
    </i>
    <i r="2">
      <x v="354"/>
    </i>
    <i r="2">
      <x v="355"/>
    </i>
    <i r="2">
      <x v="363"/>
    </i>
    <i r="2">
      <x v="364"/>
    </i>
    <i r="2">
      <x v="368"/>
    </i>
    <i r="2">
      <x v="384"/>
    </i>
    <i r="2">
      <x v="393"/>
    </i>
    <i r="2">
      <x v="395"/>
    </i>
    <i r="2">
      <x v="396"/>
    </i>
    <i r="2">
      <x v="397"/>
    </i>
    <i r="2">
      <x v="402"/>
    </i>
    <i r="2">
      <x v="403"/>
    </i>
    <i r="2">
      <x v="405"/>
    </i>
    <i r="2">
      <x v="406"/>
    </i>
    <i r="2">
      <x v="407"/>
    </i>
    <i r="2">
      <x v="416"/>
    </i>
    <i r="2">
      <x v="418"/>
    </i>
    <i r="1">
      <x v="18"/>
      <x v="2"/>
    </i>
    <i r="2">
      <x v="3"/>
    </i>
    <i r="2">
      <x v="4"/>
    </i>
    <i r="2">
      <x v="91"/>
    </i>
    <i r="2">
      <x v="240"/>
    </i>
    <i r="2">
      <x v="247"/>
    </i>
    <i r="2">
      <x v="250"/>
    </i>
    <i r="2">
      <x v="252"/>
    </i>
    <i r="2">
      <x v="254"/>
    </i>
    <i r="2">
      <x v="262"/>
    </i>
    <i r="2">
      <x v="263"/>
    </i>
    <i r="2">
      <x v="264"/>
    </i>
    <i r="2">
      <x v="265"/>
    </i>
    <i r="2">
      <x v="269"/>
    </i>
    <i r="2">
      <x v="273"/>
    </i>
    <i r="2">
      <x v="278"/>
    </i>
    <i r="2">
      <x v="284"/>
    </i>
    <i r="2">
      <x v="286"/>
    </i>
    <i r="2">
      <x v="288"/>
    </i>
    <i r="2">
      <x v="289"/>
    </i>
    <i r="2">
      <x v="293"/>
    </i>
    <i r="2">
      <x v="296"/>
    </i>
    <i r="2">
      <x v="297"/>
    </i>
    <i r="2">
      <x v="298"/>
    </i>
    <i r="2">
      <x v="299"/>
    </i>
    <i r="2">
      <x v="301"/>
    </i>
    <i r="2">
      <x v="310"/>
    </i>
    <i r="2">
      <x v="312"/>
    </i>
    <i r="2">
      <x v="316"/>
    </i>
    <i r="2">
      <x v="318"/>
    </i>
    <i r="2">
      <x v="326"/>
    </i>
    <i r="2">
      <x v="333"/>
    </i>
    <i r="2">
      <x v="334"/>
    </i>
    <i r="2">
      <x v="344"/>
    </i>
    <i r="2">
      <x v="352"/>
    </i>
    <i r="2">
      <x v="355"/>
    </i>
    <i r="2">
      <x v="364"/>
    </i>
    <i r="2">
      <x v="367"/>
    </i>
    <i r="2">
      <x v="371"/>
    </i>
    <i r="2">
      <x v="372"/>
    </i>
    <i r="2">
      <x v="381"/>
    </i>
    <i r="2">
      <x v="384"/>
    </i>
    <i r="2">
      <x v="387"/>
    </i>
    <i r="2">
      <x v="390"/>
    </i>
    <i r="2">
      <x v="392"/>
    </i>
    <i r="2">
      <x v="395"/>
    </i>
    <i r="2">
      <x v="399"/>
    </i>
    <i r="2">
      <x v="401"/>
    </i>
    <i r="2">
      <x v="404"/>
    </i>
    <i r="2">
      <x v="421"/>
    </i>
    <i r="2">
      <x v="422"/>
    </i>
    <i r="2">
      <x v="429"/>
    </i>
    <i r="2">
      <x v="433"/>
    </i>
    <i r="2">
      <x v="451"/>
    </i>
    <i r="1">
      <x v="19"/>
      <x v="240"/>
    </i>
    <i r="2">
      <x v="247"/>
    </i>
    <i r="2">
      <x v="250"/>
    </i>
    <i r="2">
      <x v="252"/>
    </i>
    <i r="2">
      <x v="254"/>
    </i>
    <i r="2">
      <x v="264"/>
    </i>
    <i r="2">
      <x v="293"/>
    </i>
    <i r="2">
      <x v="310"/>
    </i>
    <i r="2">
      <x v="392"/>
    </i>
    <i r="2">
      <x v="404"/>
    </i>
    <i r="2">
      <x v="429"/>
    </i>
    <i r="2">
      <x v="451"/>
    </i>
    <i r="1">
      <x v="20"/>
      <x v="2"/>
    </i>
    <i r="2">
      <x v="4"/>
    </i>
    <i r="2">
      <x v="65"/>
    </i>
    <i r="2">
      <x v="67"/>
    </i>
    <i r="2">
      <x v="94"/>
    </i>
    <i r="2">
      <x v="95"/>
    </i>
    <i r="2">
      <x v="96"/>
    </i>
    <i r="2">
      <x v="114"/>
    </i>
    <i r="2">
      <x v="240"/>
    </i>
    <i r="2">
      <x v="246"/>
    </i>
    <i r="2">
      <x v="248"/>
    </i>
    <i r="2">
      <x v="249"/>
    </i>
    <i r="2">
      <x v="250"/>
    </i>
    <i r="2">
      <x v="252"/>
    </i>
    <i r="2">
      <x v="255"/>
    </i>
    <i r="2">
      <x v="256"/>
    </i>
    <i r="2">
      <x v="258"/>
    </i>
    <i r="2">
      <x v="261"/>
    </i>
    <i r="2">
      <x v="263"/>
    </i>
    <i r="2">
      <x v="266"/>
    </i>
    <i r="2">
      <x v="268"/>
    </i>
    <i r="2">
      <x v="272"/>
    </i>
    <i r="2">
      <x v="273"/>
    </i>
    <i r="2">
      <x v="276"/>
    </i>
    <i r="2">
      <x v="279"/>
    </i>
    <i r="2">
      <x v="284"/>
    </i>
    <i r="2">
      <x v="286"/>
    </i>
    <i r="2">
      <x v="288"/>
    </i>
    <i r="2">
      <x v="293"/>
    </i>
    <i r="2">
      <x v="294"/>
    </i>
    <i r="2">
      <x v="296"/>
    </i>
    <i r="2">
      <x v="305"/>
    </i>
    <i r="2">
      <x v="307"/>
    </i>
    <i r="2">
      <x v="308"/>
    </i>
    <i r="2">
      <x v="313"/>
    </i>
    <i r="2">
      <x v="314"/>
    </i>
    <i r="2">
      <x v="316"/>
    </i>
    <i r="2">
      <x v="320"/>
    </i>
    <i r="2">
      <x v="322"/>
    </i>
    <i r="2">
      <x v="324"/>
    </i>
    <i r="2">
      <x v="328"/>
    </i>
    <i r="2">
      <x v="329"/>
    </i>
    <i r="2">
      <x v="331"/>
    </i>
    <i r="2">
      <x v="332"/>
    </i>
    <i r="2">
      <x v="333"/>
    </i>
    <i r="2">
      <x v="335"/>
    </i>
    <i r="2">
      <x v="336"/>
    </i>
    <i r="2">
      <x v="340"/>
    </i>
    <i r="2">
      <x v="344"/>
    </i>
    <i r="2">
      <x v="351"/>
    </i>
    <i r="2">
      <x v="352"/>
    </i>
    <i r="2">
      <x v="361"/>
    </i>
    <i r="2">
      <x v="362"/>
    </i>
    <i r="2">
      <x v="366"/>
    </i>
    <i r="2">
      <x v="367"/>
    </i>
    <i r="2">
      <x v="368"/>
    </i>
    <i r="2">
      <x v="374"/>
    </i>
    <i r="2">
      <x v="379"/>
    </i>
    <i r="2">
      <x v="384"/>
    </i>
    <i r="2">
      <x v="392"/>
    </i>
    <i r="2">
      <x v="393"/>
    </i>
    <i r="2">
      <x v="395"/>
    </i>
    <i r="2">
      <x v="396"/>
    </i>
    <i r="2">
      <x v="397"/>
    </i>
    <i r="2">
      <x v="398"/>
    </i>
    <i r="2">
      <x v="399"/>
    </i>
    <i r="2">
      <x v="400"/>
    </i>
    <i r="2">
      <x v="401"/>
    </i>
    <i r="2">
      <x v="402"/>
    </i>
    <i r="2">
      <x v="404"/>
    </i>
    <i r="2">
      <x v="405"/>
    </i>
    <i r="2">
      <x v="406"/>
    </i>
    <i r="2">
      <x v="407"/>
    </i>
    <i r="2">
      <x v="408"/>
    </i>
    <i r="2">
      <x v="409"/>
    </i>
    <i r="2">
      <x v="410"/>
    </i>
    <i r="2">
      <x v="411"/>
    </i>
    <i r="2">
      <x v="415"/>
    </i>
    <i r="2">
      <x v="416"/>
    </i>
    <i r="2">
      <x v="419"/>
    </i>
    <i r="2">
      <x v="420"/>
    </i>
    <i r="2">
      <x v="421"/>
    </i>
    <i r="2">
      <x v="422"/>
    </i>
    <i r="2">
      <x v="424"/>
    </i>
    <i r="2">
      <x v="426"/>
    </i>
    <i r="2">
      <x v="429"/>
    </i>
    <i r="2">
      <x v="433"/>
    </i>
    <i r="1">
      <x v="21"/>
      <x v="272"/>
    </i>
    <i r="2">
      <x v="451"/>
    </i>
    <i r="1">
      <x v="22"/>
      <x v="59"/>
    </i>
    <i r="2">
      <x v="60"/>
    </i>
    <i r="2">
      <x v="61"/>
    </i>
    <i r="2">
      <x v="65"/>
    </i>
    <i r="2">
      <x v="66"/>
    </i>
    <i r="2">
      <x v="262"/>
    </i>
    <i r="2">
      <x v="265"/>
    </i>
    <i r="2">
      <x v="266"/>
    </i>
    <i r="2">
      <x v="267"/>
    </i>
    <i r="2">
      <x v="269"/>
    </i>
    <i r="2">
      <x v="280"/>
    </i>
    <i r="2">
      <x v="289"/>
    </i>
    <i r="2">
      <x v="299"/>
    </i>
    <i r="2">
      <x v="301"/>
    </i>
    <i r="2">
      <x v="311"/>
    </i>
    <i r="2">
      <x v="313"/>
    </i>
    <i r="2">
      <x v="316"/>
    </i>
    <i r="2">
      <x v="317"/>
    </i>
    <i r="2">
      <x v="318"/>
    </i>
    <i r="2">
      <x v="322"/>
    </i>
    <i r="2">
      <x v="329"/>
    </i>
    <i r="2">
      <x v="333"/>
    </i>
    <i r="2">
      <x v="354"/>
    </i>
    <i r="2">
      <x v="369"/>
    </i>
    <i r="2">
      <x v="370"/>
    </i>
    <i r="2">
      <x v="372"/>
    </i>
    <i r="2">
      <x v="379"/>
    </i>
    <i r="2">
      <x v="380"/>
    </i>
    <i r="2">
      <x v="382"/>
    </i>
    <i r="2">
      <x v="383"/>
    </i>
    <i r="2">
      <x v="384"/>
    </i>
    <i r="2">
      <x v="388"/>
    </i>
    <i r="2">
      <x v="398"/>
    </i>
    <i r="2">
      <x v="400"/>
    </i>
    <i r="2">
      <x v="412"/>
    </i>
    <i r="2">
      <x v="414"/>
    </i>
    <i r="2">
      <x v="423"/>
    </i>
    <i r="2">
      <x v="425"/>
    </i>
    <i r="2">
      <x v="427"/>
    </i>
    <i r="2">
      <x v="453"/>
    </i>
    <i r="1">
      <x v="26"/>
      <x v="5"/>
    </i>
    <i r="2">
      <x v="64"/>
    </i>
    <i r="2">
      <x v="69"/>
    </i>
    <i r="2">
      <x v="82"/>
    </i>
    <i r="2">
      <x v="90"/>
    </i>
    <i r="2">
      <x v="91"/>
    </i>
    <i r="2">
      <x v="94"/>
    </i>
    <i r="2">
      <x v="95"/>
    </i>
    <i r="2">
      <x v="252"/>
    </i>
    <i r="2">
      <x v="258"/>
    </i>
    <i r="2">
      <x v="261"/>
    </i>
    <i r="2">
      <x v="263"/>
    </i>
    <i r="2">
      <x v="267"/>
    </i>
    <i r="2">
      <x v="271"/>
    </i>
    <i r="2">
      <x v="279"/>
    </i>
    <i r="2">
      <x v="280"/>
    </i>
    <i r="2">
      <x v="281"/>
    </i>
    <i r="2">
      <x v="284"/>
    </i>
    <i r="2">
      <x v="287"/>
    </i>
    <i r="2">
      <x v="288"/>
    </i>
    <i r="2">
      <x v="296"/>
    </i>
    <i r="2">
      <x v="299"/>
    </i>
    <i r="2">
      <x v="301"/>
    </i>
    <i r="2">
      <x v="303"/>
    </i>
    <i r="2">
      <x v="305"/>
    </i>
    <i r="2">
      <x v="307"/>
    </i>
    <i r="2">
      <x v="309"/>
    </i>
    <i r="2">
      <x v="310"/>
    </i>
    <i r="2">
      <x v="311"/>
    </i>
    <i r="2">
      <x v="312"/>
    </i>
    <i r="2">
      <x v="315"/>
    </i>
    <i r="2">
      <x v="324"/>
    </i>
    <i r="2">
      <x v="327"/>
    </i>
    <i r="2">
      <x v="328"/>
    </i>
    <i r="2">
      <x v="330"/>
    </i>
    <i r="2">
      <x v="331"/>
    </i>
    <i r="2">
      <x v="332"/>
    </i>
    <i r="2">
      <x v="333"/>
    </i>
    <i r="2">
      <x v="342"/>
    </i>
    <i r="2">
      <x v="345"/>
    </i>
    <i r="2">
      <x v="347"/>
    </i>
    <i r="2">
      <x v="350"/>
    </i>
    <i r="2">
      <x v="351"/>
    </i>
    <i r="2">
      <x v="355"/>
    </i>
    <i r="2">
      <x v="356"/>
    </i>
    <i r="2">
      <x v="358"/>
    </i>
    <i r="2">
      <x v="360"/>
    </i>
    <i r="2">
      <x v="361"/>
    </i>
    <i r="2">
      <x v="362"/>
    </i>
    <i r="2">
      <x v="366"/>
    </i>
    <i r="2">
      <x v="367"/>
    </i>
    <i r="2">
      <x v="371"/>
    </i>
    <i r="2">
      <x v="374"/>
    </i>
    <i r="2">
      <x v="375"/>
    </i>
    <i r="2">
      <x v="381"/>
    </i>
    <i r="2">
      <x v="382"/>
    </i>
    <i r="2">
      <x v="383"/>
    </i>
    <i r="2">
      <x v="393"/>
    </i>
    <i r="2">
      <x v="394"/>
    </i>
    <i r="2">
      <x v="399"/>
    </i>
    <i r="2">
      <x v="400"/>
    </i>
    <i r="2">
      <x v="412"/>
    </i>
    <i r="2">
      <x v="414"/>
    </i>
    <i r="2">
      <x v="416"/>
    </i>
    <i r="2">
      <x v="418"/>
    </i>
    <i r="2">
      <x v="429"/>
    </i>
    <i r="2">
      <x v="433"/>
    </i>
    <i r="2">
      <x v="434"/>
    </i>
    <i r="2">
      <x v="453"/>
    </i>
    <i r="1">
      <x v="33"/>
      <x v="2"/>
    </i>
    <i r="2">
      <x v="3"/>
    </i>
    <i r="2">
      <x v="4"/>
    </i>
    <i r="2">
      <x v="5"/>
    </i>
    <i r="2">
      <x v="64"/>
    </i>
    <i r="2">
      <x v="65"/>
    </i>
    <i r="2">
      <x v="66"/>
    </i>
    <i r="2">
      <x v="67"/>
    </i>
    <i r="2">
      <x v="69"/>
    </i>
    <i r="2">
      <x v="78"/>
    </i>
    <i r="2">
      <x v="90"/>
    </i>
    <i r="2">
      <x v="114"/>
    </i>
    <i r="2">
      <x v="127"/>
    </i>
    <i r="2">
      <x v="131"/>
    </i>
    <i r="2">
      <x v="132"/>
    </i>
    <i r="2">
      <x v="246"/>
    </i>
    <i r="2">
      <x v="250"/>
    </i>
    <i r="2">
      <x v="261"/>
    </i>
    <i r="2">
      <x v="262"/>
    </i>
    <i r="2">
      <x v="263"/>
    </i>
    <i r="2">
      <x v="265"/>
    </i>
    <i r="2">
      <x v="267"/>
    </i>
    <i r="2">
      <x v="269"/>
    </i>
    <i r="2">
      <x v="272"/>
    </i>
    <i r="2">
      <x v="276"/>
    </i>
    <i r="2">
      <x v="278"/>
    </i>
    <i r="2">
      <x v="279"/>
    </i>
    <i r="2">
      <x v="281"/>
    </i>
    <i r="2">
      <x v="284"/>
    </i>
    <i r="2">
      <x v="286"/>
    </i>
    <i r="2">
      <x v="289"/>
    </i>
    <i r="2">
      <x v="291"/>
    </i>
    <i r="2">
      <x v="293"/>
    </i>
    <i r="2">
      <x v="294"/>
    </i>
    <i r="2">
      <x v="295"/>
    </i>
    <i r="2">
      <x v="296"/>
    </i>
    <i r="2">
      <x v="299"/>
    </i>
    <i r="2">
      <x v="300"/>
    </i>
    <i r="2">
      <x v="304"/>
    </i>
    <i r="2">
      <x v="305"/>
    </i>
    <i r="2">
      <x v="307"/>
    </i>
    <i r="2">
      <x v="308"/>
    </i>
    <i r="2">
      <x v="310"/>
    </i>
    <i r="2">
      <x v="312"/>
    </i>
    <i r="2">
      <x v="314"/>
    </i>
    <i r="2">
      <x v="316"/>
    </i>
    <i r="2">
      <x v="319"/>
    </i>
    <i r="2">
      <x v="325"/>
    </i>
    <i r="2">
      <x v="327"/>
    </i>
    <i r="2">
      <x v="334"/>
    </i>
    <i r="2">
      <x v="336"/>
    </i>
    <i r="2">
      <x v="342"/>
    </i>
    <i r="2">
      <x v="345"/>
    </i>
    <i r="2">
      <x v="347"/>
    </i>
    <i r="2">
      <x v="353"/>
    </i>
    <i r="2">
      <x v="356"/>
    </i>
    <i r="2">
      <x v="360"/>
    </i>
    <i r="2">
      <x v="362"/>
    </i>
    <i r="2">
      <x v="364"/>
    </i>
    <i r="2">
      <x v="367"/>
    </i>
    <i r="2">
      <x v="368"/>
    </i>
    <i r="2">
      <x v="372"/>
    </i>
    <i r="2">
      <x v="374"/>
    </i>
    <i r="2">
      <x v="379"/>
    </i>
    <i r="2">
      <x v="380"/>
    </i>
    <i r="2">
      <x v="381"/>
    </i>
    <i r="2">
      <x v="382"/>
    </i>
    <i r="2">
      <x v="383"/>
    </i>
    <i r="2">
      <x v="384"/>
    </i>
    <i r="2">
      <x v="386"/>
    </i>
    <i r="2">
      <x v="387"/>
    </i>
    <i r="2">
      <x v="388"/>
    </i>
    <i r="2">
      <x v="395"/>
    </i>
    <i r="2">
      <x v="402"/>
    </i>
    <i r="2">
      <x v="407"/>
    </i>
    <i r="2">
      <x v="410"/>
    </i>
    <i r="2">
      <x v="411"/>
    </i>
    <i r="2">
      <x v="412"/>
    </i>
    <i r="2">
      <x v="416"/>
    </i>
    <i r="2">
      <x v="418"/>
    </i>
    <i r="2">
      <x v="423"/>
    </i>
    <i r="2">
      <x v="424"/>
    </i>
    <i r="2">
      <x v="426"/>
    </i>
    <i r="2">
      <x v="430"/>
    </i>
    <i r="2">
      <x v="433"/>
    </i>
    <i r="2">
      <x v="435"/>
    </i>
    <i r="1">
      <x v="34"/>
      <x v="277"/>
    </i>
    <i r="2">
      <x v="451"/>
    </i>
    <i r="1">
      <x v="38"/>
      <x v="80"/>
    </i>
    <i r="2">
      <x v="261"/>
    </i>
    <i r="2">
      <x v="295"/>
    </i>
    <i r="2">
      <x v="313"/>
    </i>
    <i r="2">
      <x v="319"/>
    </i>
    <i r="2">
      <x v="357"/>
    </i>
    <i r="2">
      <x v="451"/>
    </i>
    <i r="1">
      <x v="39"/>
      <x v="425"/>
    </i>
    <i r="2">
      <x v="428"/>
    </i>
    <i r="1">
      <x v="41"/>
      <x v="260"/>
    </i>
    <i r="1">
      <x v="42"/>
      <x v="78"/>
    </i>
    <i r="1">
      <x v="46"/>
      <x v="94"/>
    </i>
    <i r="2">
      <x v="95"/>
    </i>
    <i r="2">
      <x v="96"/>
    </i>
    <i r="2">
      <x v="250"/>
    </i>
    <i r="2">
      <x v="251"/>
    </i>
    <i r="2">
      <x v="252"/>
    </i>
    <i r="2">
      <x v="253"/>
    </i>
    <i r="2">
      <x v="257"/>
    </i>
    <i r="2">
      <x v="307"/>
    </i>
    <i r="2">
      <x v="323"/>
    </i>
    <i r="2">
      <x v="333"/>
    </i>
    <i r="2">
      <x v="395"/>
    </i>
    <i r="2">
      <x v="396"/>
    </i>
    <i r="2">
      <x v="397"/>
    </i>
    <i r="2">
      <x v="398"/>
    </i>
    <i r="2">
      <x v="399"/>
    </i>
    <i r="2">
      <x v="400"/>
    </i>
    <i r="2">
      <x v="402"/>
    </i>
    <i r="2">
      <x v="413"/>
    </i>
    <i r="2">
      <x v="416"/>
    </i>
    <i r="1">
      <x v="49"/>
      <x v="64"/>
    </i>
    <i r="2">
      <x v="69"/>
    </i>
    <i r="2">
      <x v="79"/>
    </i>
    <i r="2">
      <x v="90"/>
    </i>
    <i r="2">
      <x v="128"/>
    </i>
    <i r="2">
      <x v="131"/>
    </i>
    <i r="2">
      <x v="240"/>
    </i>
    <i r="2">
      <x v="251"/>
    </i>
    <i r="2">
      <x v="253"/>
    </i>
    <i r="2">
      <x v="258"/>
    </i>
    <i r="2">
      <x v="271"/>
    </i>
    <i r="2">
      <x v="279"/>
    </i>
    <i r="2">
      <x v="293"/>
    </i>
    <i r="2">
      <x v="294"/>
    </i>
    <i r="2">
      <x v="296"/>
    </i>
    <i r="2">
      <x v="308"/>
    </i>
    <i r="2">
      <x v="312"/>
    </i>
    <i r="2">
      <x v="313"/>
    </i>
    <i r="2">
      <x v="314"/>
    </i>
    <i r="2">
      <x v="319"/>
    </i>
    <i r="2">
      <x v="320"/>
    </i>
    <i r="2">
      <x v="325"/>
    </i>
    <i r="2">
      <x v="326"/>
    </i>
    <i r="2">
      <x v="327"/>
    </i>
    <i r="2">
      <x v="328"/>
    </i>
    <i r="2">
      <x v="335"/>
    </i>
    <i r="2">
      <x v="340"/>
    </i>
    <i r="2">
      <x v="351"/>
    </i>
    <i r="2">
      <x v="371"/>
    </i>
    <i r="2">
      <x v="374"/>
    </i>
    <i r="2">
      <x v="390"/>
    </i>
    <i r="2">
      <x v="395"/>
    </i>
    <i r="2">
      <x v="413"/>
    </i>
    <i r="2">
      <x v="415"/>
    </i>
    <i r="2">
      <x v="418"/>
    </i>
    <i r="2">
      <x v="424"/>
    </i>
    <i r="2">
      <x v="425"/>
    </i>
    <i r="2">
      <x v="428"/>
    </i>
    <i r="2">
      <x v="430"/>
    </i>
    <i r="2">
      <x v="433"/>
    </i>
    <i r="2">
      <x v="435"/>
    </i>
    <i r="1">
      <x v="52"/>
      <x v="2"/>
    </i>
    <i r="2">
      <x v="3"/>
    </i>
    <i r="2">
      <x v="5"/>
    </i>
    <i r="2">
      <x v="51"/>
    </i>
    <i r="2">
      <x v="64"/>
    </i>
    <i r="2">
      <x v="65"/>
    </i>
    <i r="2">
      <x v="67"/>
    </i>
    <i r="2">
      <x v="69"/>
    </i>
    <i r="2">
      <x v="78"/>
    </i>
    <i r="2">
      <x v="79"/>
    </i>
    <i r="2">
      <x v="80"/>
    </i>
    <i r="2">
      <x v="82"/>
    </i>
    <i r="2">
      <x v="91"/>
    </i>
    <i r="2">
      <x v="93"/>
    </i>
    <i r="2">
      <x v="94"/>
    </i>
    <i r="2">
      <x v="95"/>
    </i>
    <i r="2">
      <x v="96"/>
    </i>
    <i r="2">
      <x v="114"/>
    </i>
    <i r="2">
      <x v="244"/>
    </i>
    <i r="2">
      <x v="246"/>
    </i>
    <i r="2">
      <x v="247"/>
    </i>
    <i r="2">
      <x v="248"/>
    </i>
    <i r="2">
      <x v="254"/>
    </i>
    <i r="2">
      <x v="257"/>
    </i>
    <i r="2">
      <x v="260"/>
    </i>
    <i r="2">
      <x v="261"/>
    </i>
    <i r="2">
      <x v="262"/>
    </i>
    <i r="2">
      <x v="264"/>
    </i>
    <i r="2">
      <x v="265"/>
    </i>
    <i r="2">
      <x v="266"/>
    </i>
    <i r="2">
      <x v="271"/>
    </i>
    <i r="2">
      <x v="272"/>
    </i>
    <i r="2">
      <x v="281"/>
    </i>
    <i r="2">
      <x v="283"/>
    </i>
    <i r="2">
      <x v="286"/>
    </i>
    <i r="2">
      <x v="288"/>
    </i>
    <i r="2">
      <x v="289"/>
    </i>
    <i r="2">
      <x v="290"/>
    </i>
    <i r="2">
      <x v="293"/>
    </i>
    <i r="2">
      <x v="296"/>
    </i>
    <i r="2">
      <x v="299"/>
    </i>
    <i r="2">
      <x v="301"/>
    </i>
    <i r="2">
      <x v="304"/>
    </i>
    <i r="2">
      <x v="306"/>
    </i>
    <i r="2">
      <x v="311"/>
    </i>
    <i r="2">
      <x v="316"/>
    </i>
    <i r="2">
      <x v="318"/>
    </i>
    <i r="2">
      <x v="319"/>
    </i>
    <i r="2">
      <x v="324"/>
    </i>
    <i r="2">
      <x v="329"/>
    </i>
    <i r="2">
      <x v="333"/>
    </i>
    <i r="2">
      <x v="336"/>
    </i>
    <i r="2">
      <x v="337"/>
    </i>
    <i r="2">
      <x v="342"/>
    </i>
    <i r="2">
      <x v="345"/>
    </i>
    <i r="2">
      <x v="346"/>
    </i>
    <i r="2">
      <x v="353"/>
    </i>
    <i r="2">
      <x v="355"/>
    </i>
    <i r="2">
      <x v="356"/>
    </i>
    <i r="2">
      <x v="357"/>
    </i>
    <i r="2">
      <x v="362"/>
    </i>
    <i r="2">
      <x v="364"/>
    </i>
    <i r="2">
      <x v="372"/>
    </i>
    <i r="2">
      <x v="381"/>
    </i>
    <i r="2">
      <x v="384"/>
    </i>
    <i r="2">
      <x v="389"/>
    </i>
    <i r="2">
      <x v="397"/>
    </i>
    <i r="2">
      <x v="398"/>
    </i>
    <i r="2">
      <x v="400"/>
    </i>
    <i r="2">
      <x v="401"/>
    </i>
    <i r="2">
      <x v="404"/>
    </i>
    <i r="2">
      <x v="407"/>
    </i>
    <i r="2">
      <x v="415"/>
    </i>
    <i r="2">
      <x v="419"/>
    </i>
    <i r="2">
      <x v="428"/>
    </i>
    <i r="2">
      <x v="430"/>
    </i>
    <i r="2">
      <x v="433"/>
    </i>
    <i r="1">
      <x v="53"/>
      <x v="6"/>
    </i>
    <i r="2">
      <x v="94"/>
    </i>
    <i r="2">
      <x v="127"/>
    </i>
    <i r="2">
      <x v="240"/>
    </i>
    <i r="2">
      <x v="259"/>
    </i>
    <i r="2">
      <x v="260"/>
    </i>
    <i r="2">
      <x v="263"/>
    </i>
    <i r="2">
      <x v="268"/>
    </i>
    <i r="2">
      <x v="293"/>
    </i>
    <i r="2">
      <x v="310"/>
    </i>
    <i r="2">
      <x v="333"/>
    </i>
    <i r="2">
      <x v="343"/>
    </i>
    <i r="2">
      <x v="381"/>
    </i>
    <i r="2">
      <x v="385"/>
    </i>
    <i r="2">
      <x v="393"/>
    </i>
    <i r="2">
      <x v="432"/>
    </i>
    <i r="2">
      <x v="434"/>
    </i>
    <i t="grand">
      <x/>
    </i>
  </rowItems>
  <colFields count="1">
    <field x="-2"/>
  </colFields>
  <colItems count="2">
    <i>
      <x/>
    </i>
    <i i="1">
      <x v="1"/>
    </i>
  </colItems>
  <dataFields count="2">
    <dataField name="Mín. de Rate" fld="7" subtotal="min" baseField="4" baseItem="0" numFmtId="4"/>
    <dataField name="Máx. de Rate" fld="7" subtotal="max" baseField="4" baseItem="57" numFmtId="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695180A-6E16-4997-8A5F-F42F82984D5B}" name="TablaDinámica2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gridDropZones="1" multipleFieldFilters="0">
  <location ref="A3:F7" firstHeaderRow="1" firstDataRow="2" firstDataCol="3"/>
  <pivotFields count="19">
    <pivotField axis="axisRow" compact="0" outline="0" showAll="0" defaultSubtotal="0">
      <items count="12">
        <item x="5"/>
        <item h="1" x="10"/>
        <item h="1" x="2"/>
        <item h="1" x="6"/>
        <item h="1" x="8"/>
        <item h="1" x="9"/>
        <item h="1" x="4"/>
        <item h="1" x="7"/>
        <item h="1" x="1"/>
        <item h="1" x="0"/>
        <item h="1" x="11"/>
        <item h="1" x="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53">
        <item x="35"/>
        <item x="49"/>
        <item x="8"/>
        <item x="33"/>
        <item x="40"/>
        <item x="9"/>
        <item x="24"/>
        <item x="15"/>
        <item x="10"/>
        <item x="3"/>
        <item x="31"/>
        <item x="19"/>
        <item x="11"/>
        <item x="51"/>
        <item x="28"/>
        <item x="29"/>
        <item x="4"/>
        <item x="45"/>
        <item x="5"/>
        <item x="37"/>
        <item x="25"/>
        <item x="52"/>
        <item x="21"/>
        <item x="12"/>
        <item x="13"/>
        <item x="36"/>
        <item x="26"/>
        <item x="30"/>
        <item x="23"/>
        <item x="50"/>
        <item x="1"/>
        <item x="6"/>
        <item x="47"/>
        <item x="38"/>
        <item x="41"/>
        <item x="32"/>
        <item x="48"/>
        <item x="2"/>
        <item x="46"/>
        <item x="20"/>
        <item x="16"/>
        <item x="44"/>
        <item x="34"/>
        <item x="39"/>
        <item x="27"/>
        <item x="42"/>
        <item x="17"/>
        <item x="7"/>
        <item x="14"/>
        <item x="18"/>
        <item x="22"/>
        <item x="0"/>
        <item x="4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/>
    <pivotField compact="0" outline="0" showAll="0"/>
    <pivotField axis="axisRow" compact="0" outline="0" showAll="0">
      <items count="44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t="default"/>
      </items>
    </pivotField>
    <pivotField compact="0" outline="0" showAll="0"/>
    <pivotField dataField="1" compact="0" numFmtId="4" outline="0" showAll="0"/>
    <pivotField dataField="1" compact="0" numFmtId="4" outline="0" showAll="0"/>
    <pivotField compact="0" numFmtId="4" outline="0" showAll="0"/>
    <pivotField compact="0" numFmtId="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3">
    <field x="1"/>
    <field x="0"/>
    <field x="4"/>
  </rowFields>
  <rowItems count="3">
    <i>
      <x v="14"/>
      <x/>
      <x v="68"/>
    </i>
    <i>
      <x v="15"/>
      <x/>
      <x v="68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a de Quantity" fld="6" baseField="0" baseItem="0" numFmtId="4"/>
    <dataField name="Mín. de Rate" fld="7" subtotal="min" baseField="1" baseItem="0" numFmtId="4"/>
    <dataField name="Máx. de Rate" fld="7" subtotal="max" baseField="1" baseItem="0" numFmtId="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B3FEF-A70D-B944-82F4-C9836B181100}">
  <dimension ref="A1:J2322"/>
  <sheetViews>
    <sheetView workbookViewId="0">
      <selection sqref="A1:I1"/>
    </sheetView>
  </sheetViews>
  <sheetFormatPr baseColWidth="10" defaultColWidth="11.25" defaultRowHeight="15.75" outlineLevelRow="1" x14ac:dyDescent="0.25"/>
  <cols>
    <col min="1" max="1" width="38.5" style="1" customWidth="1"/>
    <col min="2" max="2" width="14.375" style="1" customWidth="1"/>
    <col min="3" max="3" width="21.25" style="1" customWidth="1"/>
    <col min="4" max="4" width="14.375" style="1" customWidth="1"/>
    <col min="5" max="5" width="68.5" style="1" customWidth="1"/>
    <col min="6" max="6" width="86.625" style="1" customWidth="1"/>
    <col min="7" max="8" width="7.5" style="1" customWidth="1"/>
    <col min="9" max="9" width="16.125" style="1" customWidth="1"/>
    <col min="10" max="10" width="17" style="1" customWidth="1"/>
  </cols>
  <sheetData>
    <row r="1" spans="1:10" x14ac:dyDescent="0.25">
      <c r="A1" s="29">
        <v>1</v>
      </c>
      <c r="B1" s="30"/>
      <c r="C1" s="30"/>
      <c r="D1" s="30"/>
      <c r="E1" s="30"/>
      <c r="F1" s="30"/>
      <c r="G1" s="30"/>
      <c r="H1" s="30"/>
      <c r="I1" s="30"/>
    </row>
    <row r="2" spans="1:10" x14ac:dyDescent="0.25">
      <c r="A2" s="31" t="s">
        <v>0</v>
      </c>
      <c r="B2" s="30"/>
      <c r="C2" s="30"/>
      <c r="D2" s="30"/>
      <c r="E2" s="30"/>
      <c r="F2" s="30"/>
      <c r="G2" s="30"/>
      <c r="H2" s="30"/>
      <c r="I2" s="30"/>
    </row>
    <row r="3" spans="1:10" x14ac:dyDescent="0.25">
      <c r="A3" s="32" t="s">
        <v>1</v>
      </c>
      <c r="B3" s="30"/>
      <c r="C3" s="30"/>
      <c r="D3" s="30"/>
      <c r="E3" s="30"/>
      <c r="F3" s="30"/>
      <c r="G3" s="30"/>
      <c r="H3" s="30"/>
      <c r="I3" s="30"/>
    </row>
    <row r="5" spans="1:10" x14ac:dyDescent="0.25">
      <c r="B5" s="5" t="s">
        <v>2303</v>
      </c>
      <c r="C5" s="5" t="s">
        <v>2304</v>
      </c>
      <c r="D5" s="5" t="s">
        <v>2305</v>
      </c>
      <c r="E5" s="5" t="s">
        <v>2306</v>
      </c>
      <c r="F5" s="5" t="s">
        <v>2307</v>
      </c>
      <c r="G5" s="5" t="s">
        <v>2308</v>
      </c>
      <c r="H5" s="5" t="s">
        <v>2309</v>
      </c>
      <c r="I5" s="5" t="s">
        <v>2310</v>
      </c>
      <c r="J5" s="5" t="s">
        <v>2311</v>
      </c>
    </row>
    <row r="6" spans="1:10" x14ac:dyDescent="0.25">
      <c r="A6" s="8" t="s">
        <v>2</v>
      </c>
    </row>
    <row r="7" spans="1:10" outlineLevel="1" x14ac:dyDescent="0.25">
      <c r="A7" s="8" t="s">
        <v>2</v>
      </c>
      <c r="B7" s="3" t="s">
        <v>3</v>
      </c>
      <c r="C7" s="3" t="s">
        <v>4</v>
      </c>
      <c r="D7" s="3" t="s">
        <v>5</v>
      </c>
      <c r="E7" s="3" t="s">
        <v>6</v>
      </c>
      <c r="F7" s="3" t="s">
        <v>7</v>
      </c>
      <c r="G7" s="6">
        <v>8</v>
      </c>
      <c r="H7" s="6">
        <v>5.41</v>
      </c>
      <c r="I7" s="6">
        <v>43.28</v>
      </c>
      <c r="J7" s="6">
        <v>43.28</v>
      </c>
    </row>
    <row r="8" spans="1:10" outlineLevel="1" x14ac:dyDescent="0.25">
      <c r="A8" s="8" t="s">
        <v>2</v>
      </c>
      <c r="B8" s="3" t="s">
        <v>8</v>
      </c>
      <c r="C8" s="3" t="s">
        <v>9</v>
      </c>
      <c r="D8" s="3" t="s">
        <v>5</v>
      </c>
      <c r="E8" s="3" t="s">
        <v>6</v>
      </c>
      <c r="F8" s="3" t="s">
        <v>10</v>
      </c>
      <c r="G8" s="6">
        <v>8</v>
      </c>
      <c r="H8" s="6">
        <v>5.41</v>
      </c>
      <c r="I8" s="6">
        <v>43.28</v>
      </c>
      <c r="J8" s="6">
        <v>86.56</v>
      </c>
    </row>
    <row r="9" spans="1:10" x14ac:dyDescent="0.25">
      <c r="A9" s="9" t="s">
        <v>11</v>
      </c>
      <c r="I9" s="7">
        <f>I7+I8</f>
        <v>86.56</v>
      </c>
    </row>
    <row r="10" spans="1:10" x14ac:dyDescent="0.25">
      <c r="A10" s="8" t="s">
        <v>12</v>
      </c>
    </row>
    <row r="11" spans="1:10" outlineLevel="1" x14ac:dyDescent="0.25">
      <c r="A11" s="8" t="s">
        <v>12</v>
      </c>
      <c r="B11" s="3" t="s">
        <v>13</v>
      </c>
      <c r="C11" s="3" t="s">
        <v>4</v>
      </c>
      <c r="D11" s="3" t="s">
        <v>14</v>
      </c>
      <c r="E11" s="3" t="s">
        <v>15</v>
      </c>
      <c r="F11" s="3" t="s">
        <v>16</v>
      </c>
      <c r="G11" s="6">
        <v>15</v>
      </c>
      <c r="H11" s="6">
        <v>16.022600000000001</v>
      </c>
      <c r="I11" s="6">
        <v>240.34</v>
      </c>
      <c r="J11" s="6">
        <v>240.34</v>
      </c>
    </row>
    <row r="12" spans="1:10" x14ac:dyDescent="0.25">
      <c r="A12" s="9" t="s">
        <v>17</v>
      </c>
      <c r="I12" s="7">
        <f>I11</f>
        <v>240.34</v>
      </c>
    </row>
    <row r="13" spans="1:10" x14ac:dyDescent="0.25">
      <c r="A13" s="8" t="s">
        <v>18</v>
      </c>
    </row>
    <row r="14" spans="1:10" outlineLevel="1" x14ac:dyDescent="0.25">
      <c r="A14" s="8" t="s">
        <v>18</v>
      </c>
      <c r="B14" s="3" t="s">
        <v>19</v>
      </c>
      <c r="C14" s="3" t="s">
        <v>4</v>
      </c>
      <c r="D14" s="3" t="s">
        <v>20</v>
      </c>
      <c r="E14" s="3" t="s">
        <v>21</v>
      </c>
      <c r="F14" s="3" t="s">
        <v>22</v>
      </c>
      <c r="G14" s="6">
        <v>1</v>
      </c>
      <c r="H14" s="6">
        <v>54</v>
      </c>
      <c r="I14" s="6">
        <v>54</v>
      </c>
      <c r="J14" s="6">
        <v>54</v>
      </c>
    </row>
    <row r="15" spans="1:10" outlineLevel="1" x14ac:dyDescent="0.25">
      <c r="A15" s="8" t="s">
        <v>18</v>
      </c>
      <c r="B15" s="3" t="s">
        <v>19</v>
      </c>
      <c r="C15" s="3" t="s">
        <v>4</v>
      </c>
      <c r="D15" s="3" t="s">
        <v>20</v>
      </c>
      <c r="E15" s="3" t="s">
        <v>23</v>
      </c>
      <c r="F15" s="3" t="s">
        <v>24</v>
      </c>
      <c r="G15" s="6">
        <v>1</v>
      </c>
      <c r="H15" s="6">
        <v>48</v>
      </c>
      <c r="I15" s="6">
        <v>48</v>
      </c>
      <c r="J15" s="6">
        <v>102</v>
      </c>
    </row>
    <row r="16" spans="1:10" outlineLevel="1" x14ac:dyDescent="0.25">
      <c r="A16" s="8" t="s">
        <v>18</v>
      </c>
      <c r="B16" s="3" t="s">
        <v>19</v>
      </c>
      <c r="C16" s="3" t="s">
        <v>4</v>
      </c>
      <c r="D16" s="3" t="s">
        <v>20</v>
      </c>
      <c r="E16" s="3" t="s">
        <v>25</v>
      </c>
      <c r="F16" s="3" t="s">
        <v>26</v>
      </c>
      <c r="G16" s="6">
        <v>6</v>
      </c>
      <c r="H16" s="6">
        <v>45</v>
      </c>
      <c r="I16" s="6">
        <v>270</v>
      </c>
      <c r="J16" s="6">
        <v>372</v>
      </c>
    </row>
    <row r="17" spans="1:10" outlineLevel="1" x14ac:dyDescent="0.25">
      <c r="A17" s="8" t="s">
        <v>18</v>
      </c>
      <c r="B17" s="3" t="s">
        <v>19</v>
      </c>
      <c r="C17" s="3" t="s">
        <v>4</v>
      </c>
      <c r="D17" s="3" t="s">
        <v>20</v>
      </c>
      <c r="E17" s="3" t="s">
        <v>27</v>
      </c>
      <c r="F17" s="3" t="s">
        <v>28</v>
      </c>
      <c r="G17" s="6">
        <v>6</v>
      </c>
      <c r="H17" s="6">
        <v>72.5</v>
      </c>
      <c r="I17" s="6">
        <v>435</v>
      </c>
      <c r="J17" s="6">
        <v>807</v>
      </c>
    </row>
    <row r="18" spans="1:10" outlineLevel="1" x14ac:dyDescent="0.25">
      <c r="A18" s="8" t="s">
        <v>18</v>
      </c>
      <c r="B18" s="3" t="s">
        <v>19</v>
      </c>
      <c r="C18" s="3" t="s">
        <v>4</v>
      </c>
      <c r="D18" s="3" t="s">
        <v>20</v>
      </c>
      <c r="E18" s="3" t="s">
        <v>29</v>
      </c>
      <c r="F18" s="3" t="s">
        <v>30</v>
      </c>
      <c r="G18" s="6">
        <v>1</v>
      </c>
      <c r="H18" s="6">
        <v>20.9</v>
      </c>
      <c r="I18" s="6">
        <v>20.9</v>
      </c>
      <c r="J18" s="6">
        <v>827.9</v>
      </c>
    </row>
    <row r="19" spans="1:10" outlineLevel="1" x14ac:dyDescent="0.25">
      <c r="A19" s="8" t="s">
        <v>18</v>
      </c>
      <c r="B19" s="3" t="s">
        <v>19</v>
      </c>
      <c r="C19" s="3" t="s">
        <v>4</v>
      </c>
      <c r="D19" s="3" t="s">
        <v>20</v>
      </c>
      <c r="E19" s="3" t="s">
        <v>31</v>
      </c>
      <c r="F19" s="3" t="s">
        <v>32</v>
      </c>
      <c r="G19" s="6">
        <v>3</v>
      </c>
      <c r="H19" s="6">
        <v>23.5</v>
      </c>
      <c r="I19" s="6">
        <v>70.5</v>
      </c>
      <c r="J19" s="6">
        <v>898.4</v>
      </c>
    </row>
    <row r="20" spans="1:10" outlineLevel="1" x14ac:dyDescent="0.25">
      <c r="A20" s="8" t="s">
        <v>18</v>
      </c>
      <c r="B20" s="3" t="s">
        <v>19</v>
      </c>
      <c r="C20" s="3" t="s">
        <v>4</v>
      </c>
      <c r="D20" s="3" t="s">
        <v>20</v>
      </c>
      <c r="E20" s="3" t="s">
        <v>33</v>
      </c>
      <c r="F20" s="3" t="s">
        <v>34</v>
      </c>
      <c r="G20" s="6">
        <v>2</v>
      </c>
      <c r="H20" s="6">
        <v>23.5</v>
      </c>
      <c r="I20" s="6">
        <v>47</v>
      </c>
      <c r="J20" s="6">
        <v>945.4</v>
      </c>
    </row>
    <row r="21" spans="1:10" outlineLevel="1" x14ac:dyDescent="0.25">
      <c r="A21" s="8" t="s">
        <v>18</v>
      </c>
      <c r="B21" s="3" t="s">
        <v>19</v>
      </c>
      <c r="C21" s="3" t="s">
        <v>4</v>
      </c>
      <c r="D21" s="3" t="s">
        <v>20</v>
      </c>
      <c r="E21" s="3" t="s">
        <v>35</v>
      </c>
      <c r="F21" s="3" t="s">
        <v>36</v>
      </c>
      <c r="G21" s="6">
        <v>1</v>
      </c>
      <c r="H21" s="6">
        <v>50.4</v>
      </c>
      <c r="I21" s="6">
        <v>50.4</v>
      </c>
      <c r="J21" s="6">
        <v>995.8</v>
      </c>
    </row>
    <row r="22" spans="1:10" outlineLevel="1" x14ac:dyDescent="0.25">
      <c r="A22" s="8" t="s">
        <v>18</v>
      </c>
      <c r="B22" s="3" t="s">
        <v>19</v>
      </c>
      <c r="C22" s="3" t="s">
        <v>4</v>
      </c>
      <c r="D22" s="3" t="s">
        <v>20</v>
      </c>
      <c r="E22" s="3" t="s">
        <v>37</v>
      </c>
      <c r="F22" s="3" t="s">
        <v>38</v>
      </c>
      <c r="G22" s="6">
        <v>1</v>
      </c>
      <c r="H22" s="6">
        <v>90</v>
      </c>
      <c r="I22" s="6">
        <v>90</v>
      </c>
      <c r="J22" s="6">
        <v>1085.8</v>
      </c>
    </row>
    <row r="23" spans="1:10" outlineLevel="1" x14ac:dyDescent="0.25">
      <c r="A23" s="8" t="s">
        <v>18</v>
      </c>
      <c r="B23" s="3" t="s">
        <v>19</v>
      </c>
      <c r="C23" s="3" t="s">
        <v>4</v>
      </c>
      <c r="D23" s="3" t="s">
        <v>20</v>
      </c>
      <c r="E23" s="3" t="s">
        <v>39</v>
      </c>
      <c r="F23" s="3" t="s">
        <v>39</v>
      </c>
      <c r="G23" s="6">
        <v>1</v>
      </c>
      <c r="H23" s="6">
        <v>30</v>
      </c>
      <c r="I23" s="6">
        <v>30</v>
      </c>
      <c r="J23" s="6">
        <v>1115.8</v>
      </c>
    </row>
    <row r="24" spans="1:10" outlineLevel="1" x14ac:dyDescent="0.25">
      <c r="A24" s="8" t="s">
        <v>18</v>
      </c>
      <c r="B24" s="3" t="s">
        <v>19</v>
      </c>
      <c r="C24" s="3" t="s">
        <v>4</v>
      </c>
      <c r="D24" s="3" t="s">
        <v>20</v>
      </c>
      <c r="E24" s="3" t="s">
        <v>40</v>
      </c>
      <c r="F24" s="3" t="s">
        <v>41</v>
      </c>
      <c r="G24" s="6">
        <v>1</v>
      </c>
      <c r="H24" s="6">
        <v>30</v>
      </c>
      <c r="I24" s="6">
        <v>30</v>
      </c>
      <c r="J24" s="6">
        <v>1145.8</v>
      </c>
    </row>
    <row r="25" spans="1:10" outlineLevel="1" x14ac:dyDescent="0.25">
      <c r="A25" s="8" t="s">
        <v>18</v>
      </c>
      <c r="B25" s="3" t="s">
        <v>19</v>
      </c>
      <c r="C25" s="3" t="s">
        <v>4</v>
      </c>
      <c r="D25" s="3" t="s">
        <v>20</v>
      </c>
      <c r="E25" s="3" t="s">
        <v>42</v>
      </c>
      <c r="F25" s="3" t="s">
        <v>43</v>
      </c>
      <c r="G25" s="6">
        <v>1</v>
      </c>
      <c r="H25" s="6">
        <v>109</v>
      </c>
      <c r="I25" s="6">
        <v>109</v>
      </c>
      <c r="J25" s="6">
        <v>1254.8</v>
      </c>
    </row>
    <row r="26" spans="1:10" outlineLevel="1" x14ac:dyDescent="0.25">
      <c r="A26" s="8" t="s">
        <v>18</v>
      </c>
      <c r="B26" s="3" t="s">
        <v>19</v>
      </c>
      <c r="C26" s="3" t="s">
        <v>4</v>
      </c>
      <c r="D26" s="3" t="s">
        <v>20</v>
      </c>
      <c r="E26" s="3" t="s">
        <v>44</v>
      </c>
      <c r="F26" s="3" t="s">
        <v>45</v>
      </c>
      <c r="G26" s="6">
        <v>20</v>
      </c>
      <c r="H26" s="6">
        <v>39.5</v>
      </c>
      <c r="I26" s="6">
        <v>790</v>
      </c>
      <c r="J26" s="6">
        <v>2044.8</v>
      </c>
    </row>
    <row r="27" spans="1:10" outlineLevel="1" x14ac:dyDescent="0.25">
      <c r="A27" s="8" t="s">
        <v>18</v>
      </c>
      <c r="B27" s="3" t="s">
        <v>19</v>
      </c>
      <c r="C27" s="3" t="s">
        <v>4</v>
      </c>
      <c r="D27" s="3" t="s">
        <v>20</v>
      </c>
      <c r="E27" s="3" t="s">
        <v>46</v>
      </c>
      <c r="F27" s="3" t="s">
        <v>47</v>
      </c>
      <c r="G27" s="6">
        <v>10</v>
      </c>
      <c r="H27" s="6">
        <v>39.5</v>
      </c>
      <c r="I27" s="6">
        <v>395</v>
      </c>
      <c r="J27" s="6">
        <v>2439.8000000000002</v>
      </c>
    </row>
    <row r="28" spans="1:10" outlineLevel="1" x14ac:dyDescent="0.25">
      <c r="A28" s="8" t="s">
        <v>18</v>
      </c>
      <c r="B28" s="3" t="s">
        <v>19</v>
      </c>
      <c r="C28" s="3" t="s">
        <v>4</v>
      </c>
      <c r="D28" s="3" t="s">
        <v>20</v>
      </c>
      <c r="E28" s="3" t="s">
        <v>48</v>
      </c>
      <c r="F28" s="3" t="s">
        <v>49</v>
      </c>
      <c r="G28" s="6">
        <v>2</v>
      </c>
      <c r="H28" s="6">
        <v>39.5</v>
      </c>
      <c r="I28" s="6">
        <v>79</v>
      </c>
      <c r="J28" s="6">
        <v>2518.8000000000002</v>
      </c>
    </row>
    <row r="29" spans="1:10" outlineLevel="1" x14ac:dyDescent="0.25">
      <c r="A29" s="8" t="s">
        <v>18</v>
      </c>
      <c r="B29" s="3" t="s">
        <v>19</v>
      </c>
      <c r="C29" s="3" t="s">
        <v>4</v>
      </c>
      <c r="D29" s="3" t="s">
        <v>20</v>
      </c>
      <c r="E29" s="3" t="s">
        <v>50</v>
      </c>
      <c r="F29" s="3" t="s">
        <v>51</v>
      </c>
      <c r="G29" s="6">
        <v>10</v>
      </c>
      <c r="H29" s="6">
        <v>39.5</v>
      </c>
      <c r="I29" s="6">
        <v>395</v>
      </c>
      <c r="J29" s="6">
        <v>2913.8</v>
      </c>
    </row>
    <row r="30" spans="1:10" outlineLevel="1" x14ac:dyDescent="0.25">
      <c r="A30" s="8" t="s">
        <v>18</v>
      </c>
      <c r="B30" s="3" t="s">
        <v>19</v>
      </c>
      <c r="C30" s="3" t="s">
        <v>4</v>
      </c>
      <c r="D30" s="3" t="s">
        <v>20</v>
      </c>
      <c r="E30" s="3" t="s">
        <v>52</v>
      </c>
      <c r="F30" s="3" t="s">
        <v>53</v>
      </c>
      <c r="G30" s="6">
        <v>5</v>
      </c>
      <c r="H30" s="6">
        <v>25.5</v>
      </c>
      <c r="I30" s="6">
        <v>127.5</v>
      </c>
      <c r="J30" s="6">
        <v>3041.3</v>
      </c>
    </row>
    <row r="31" spans="1:10" outlineLevel="1" x14ac:dyDescent="0.25">
      <c r="A31" s="8" t="s">
        <v>18</v>
      </c>
      <c r="B31" s="3" t="s">
        <v>19</v>
      </c>
      <c r="C31" s="3" t="s">
        <v>4</v>
      </c>
      <c r="D31" s="3" t="s">
        <v>20</v>
      </c>
      <c r="E31" s="3" t="s">
        <v>54</v>
      </c>
      <c r="F31" s="3" t="s">
        <v>55</v>
      </c>
      <c r="G31" s="6">
        <v>2</v>
      </c>
      <c r="H31" s="6">
        <v>25.5</v>
      </c>
      <c r="I31" s="6">
        <v>51</v>
      </c>
      <c r="J31" s="6">
        <v>3092.3</v>
      </c>
    </row>
    <row r="32" spans="1:10" outlineLevel="1" x14ac:dyDescent="0.25">
      <c r="A32" s="8" t="s">
        <v>18</v>
      </c>
      <c r="B32" s="3" t="s">
        <v>19</v>
      </c>
      <c r="C32" s="3" t="s">
        <v>4</v>
      </c>
      <c r="D32" s="3" t="s">
        <v>20</v>
      </c>
      <c r="E32" s="3" t="s">
        <v>56</v>
      </c>
      <c r="F32" s="3" t="s">
        <v>57</v>
      </c>
      <c r="G32" s="6">
        <v>2</v>
      </c>
      <c r="H32" s="6">
        <v>63</v>
      </c>
      <c r="I32" s="6">
        <v>126</v>
      </c>
      <c r="J32" s="6">
        <v>3218.3</v>
      </c>
    </row>
    <row r="33" spans="1:10" outlineLevel="1" x14ac:dyDescent="0.25">
      <c r="A33" s="8" t="s">
        <v>18</v>
      </c>
      <c r="B33" s="3" t="s">
        <v>19</v>
      </c>
      <c r="C33" s="3" t="s">
        <v>4</v>
      </c>
      <c r="D33" s="3" t="s">
        <v>20</v>
      </c>
      <c r="E33" s="3" t="s">
        <v>58</v>
      </c>
      <c r="F33" s="3" t="s">
        <v>59</v>
      </c>
      <c r="G33" s="6">
        <v>2</v>
      </c>
      <c r="H33" s="6">
        <v>70</v>
      </c>
      <c r="I33" s="6">
        <v>140</v>
      </c>
      <c r="J33" s="6">
        <v>3358.3</v>
      </c>
    </row>
    <row r="34" spans="1:10" outlineLevel="1" x14ac:dyDescent="0.25">
      <c r="A34" s="8" t="s">
        <v>18</v>
      </c>
      <c r="B34" s="3" t="s">
        <v>19</v>
      </c>
      <c r="C34" s="3" t="s">
        <v>4</v>
      </c>
      <c r="D34" s="3" t="s">
        <v>20</v>
      </c>
      <c r="E34" s="3" t="s">
        <v>60</v>
      </c>
      <c r="F34" s="3" t="s">
        <v>61</v>
      </c>
      <c r="G34" s="6">
        <v>1</v>
      </c>
      <c r="H34" s="6">
        <v>56</v>
      </c>
      <c r="I34" s="6">
        <v>56</v>
      </c>
      <c r="J34" s="6">
        <v>3414.3</v>
      </c>
    </row>
    <row r="35" spans="1:10" outlineLevel="1" x14ac:dyDescent="0.25">
      <c r="A35" s="8" t="s">
        <v>18</v>
      </c>
      <c r="B35" s="3" t="s">
        <v>19</v>
      </c>
      <c r="C35" s="3" t="s">
        <v>4</v>
      </c>
      <c r="D35" s="3" t="s">
        <v>20</v>
      </c>
      <c r="E35" s="3" t="s">
        <v>62</v>
      </c>
      <c r="F35" s="3" t="s">
        <v>63</v>
      </c>
      <c r="G35" s="6">
        <v>3</v>
      </c>
      <c r="H35" s="6">
        <v>16</v>
      </c>
      <c r="I35" s="6">
        <v>48</v>
      </c>
      <c r="J35" s="6">
        <v>3462.3</v>
      </c>
    </row>
    <row r="36" spans="1:10" outlineLevel="1" x14ac:dyDescent="0.25">
      <c r="A36" s="8" t="s">
        <v>18</v>
      </c>
      <c r="B36" s="3" t="s">
        <v>19</v>
      </c>
      <c r="C36" s="3" t="s">
        <v>4</v>
      </c>
      <c r="D36" s="3" t="s">
        <v>20</v>
      </c>
      <c r="E36" s="3" t="s">
        <v>64</v>
      </c>
      <c r="F36" s="3" t="s">
        <v>65</v>
      </c>
      <c r="G36" s="6">
        <v>1</v>
      </c>
      <c r="H36" s="6">
        <v>49</v>
      </c>
      <c r="I36" s="6">
        <v>49</v>
      </c>
      <c r="J36" s="6">
        <v>3511.3</v>
      </c>
    </row>
    <row r="37" spans="1:10" outlineLevel="1" x14ac:dyDescent="0.25">
      <c r="A37" s="8" t="s">
        <v>18</v>
      </c>
      <c r="B37" s="3" t="s">
        <v>19</v>
      </c>
      <c r="C37" s="3" t="s">
        <v>4</v>
      </c>
      <c r="D37" s="3" t="s">
        <v>20</v>
      </c>
      <c r="E37" s="3" t="s">
        <v>66</v>
      </c>
      <c r="F37" s="3" t="s">
        <v>67</v>
      </c>
      <c r="G37" s="6">
        <v>1</v>
      </c>
      <c r="H37" s="6">
        <v>48</v>
      </c>
      <c r="I37" s="6">
        <v>48</v>
      </c>
      <c r="J37" s="6">
        <v>3559.3</v>
      </c>
    </row>
    <row r="38" spans="1:10" outlineLevel="1" x14ac:dyDescent="0.25">
      <c r="A38" s="8" t="s">
        <v>18</v>
      </c>
      <c r="B38" s="3" t="s">
        <v>19</v>
      </c>
      <c r="C38" s="3" t="s">
        <v>4</v>
      </c>
      <c r="D38" s="3" t="s">
        <v>20</v>
      </c>
      <c r="E38" s="3" t="s">
        <v>68</v>
      </c>
      <c r="F38" s="3" t="s">
        <v>69</v>
      </c>
      <c r="G38" s="6">
        <v>1</v>
      </c>
      <c r="H38" s="6">
        <v>9.5</v>
      </c>
      <c r="I38" s="6">
        <v>9.5</v>
      </c>
      <c r="J38" s="6">
        <v>3568.8</v>
      </c>
    </row>
    <row r="39" spans="1:10" outlineLevel="1" x14ac:dyDescent="0.25">
      <c r="A39" s="8" t="s">
        <v>18</v>
      </c>
      <c r="B39" s="3" t="s">
        <v>19</v>
      </c>
      <c r="C39" s="3" t="s">
        <v>4</v>
      </c>
      <c r="D39" s="3" t="s">
        <v>20</v>
      </c>
      <c r="E39" s="3" t="s">
        <v>70</v>
      </c>
      <c r="F39" s="3" t="s">
        <v>71</v>
      </c>
      <c r="G39" s="6">
        <v>1</v>
      </c>
      <c r="H39" s="6">
        <v>29.9</v>
      </c>
      <c r="I39" s="6">
        <v>29.9</v>
      </c>
      <c r="J39" s="6">
        <v>3598.7000000000003</v>
      </c>
    </row>
    <row r="40" spans="1:10" outlineLevel="1" x14ac:dyDescent="0.25">
      <c r="A40" s="8" t="s">
        <v>18</v>
      </c>
      <c r="B40" s="3" t="s">
        <v>19</v>
      </c>
      <c r="C40" s="3" t="s">
        <v>4</v>
      </c>
      <c r="D40" s="3" t="s">
        <v>20</v>
      </c>
      <c r="E40" s="3" t="s">
        <v>72</v>
      </c>
      <c r="F40" s="3" t="s">
        <v>73</v>
      </c>
      <c r="G40" s="6">
        <v>1</v>
      </c>
      <c r="H40" s="6">
        <v>77</v>
      </c>
      <c r="I40" s="6">
        <v>77</v>
      </c>
      <c r="J40" s="6">
        <v>3675.7000000000003</v>
      </c>
    </row>
    <row r="41" spans="1:10" outlineLevel="1" x14ac:dyDescent="0.25">
      <c r="A41" s="8" t="s">
        <v>18</v>
      </c>
      <c r="B41" s="3" t="s">
        <v>19</v>
      </c>
      <c r="C41" s="3" t="s">
        <v>4</v>
      </c>
      <c r="D41" s="3" t="s">
        <v>20</v>
      </c>
      <c r="E41" s="3" t="s">
        <v>74</v>
      </c>
      <c r="F41" s="3" t="s">
        <v>75</v>
      </c>
      <c r="G41" s="6">
        <v>1</v>
      </c>
      <c r="H41" s="6">
        <v>55</v>
      </c>
      <c r="I41" s="6">
        <v>55</v>
      </c>
      <c r="J41" s="6">
        <v>3730.7000000000003</v>
      </c>
    </row>
    <row r="42" spans="1:10" outlineLevel="1" x14ac:dyDescent="0.25">
      <c r="A42" s="8" t="s">
        <v>18</v>
      </c>
      <c r="B42" s="3" t="s">
        <v>19</v>
      </c>
      <c r="C42" s="3" t="s">
        <v>4</v>
      </c>
      <c r="D42" s="3" t="s">
        <v>20</v>
      </c>
      <c r="E42" s="3" t="s">
        <v>76</v>
      </c>
      <c r="F42" s="3" t="s">
        <v>77</v>
      </c>
      <c r="G42" s="6">
        <v>1</v>
      </c>
      <c r="H42" s="6">
        <v>40</v>
      </c>
      <c r="I42" s="6">
        <v>40</v>
      </c>
      <c r="J42" s="6">
        <v>3770.7000000000003</v>
      </c>
    </row>
    <row r="43" spans="1:10" outlineLevel="1" x14ac:dyDescent="0.25">
      <c r="A43" s="8" t="s">
        <v>18</v>
      </c>
      <c r="B43" s="3" t="s">
        <v>19</v>
      </c>
      <c r="C43" s="3" t="s">
        <v>4</v>
      </c>
      <c r="D43" s="3" t="s">
        <v>20</v>
      </c>
      <c r="E43" s="3" t="s">
        <v>78</v>
      </c>
      <c r="F43" s="3" t="s">
        <v>79</v>
      </c>
      <c r="G43" s="6">
        <v>1</v>
      </c>
      <c r="H43" s="6">
        <v>60.8</v>
      </c>
      <c r="I43" s="6">
        <v>60.8</v>
      </c>
      <c r="J43" s="6">
        <v>3831.5000000000005</v>
      </c>
    </row>
    <row r="44" spans="1:10" outlineLevel="1" x14ac:dyDescent="0.25">
      <c r="A44" s="8" t="s">
        <v>18</v>
      </c>
      <c r="B44" s="3" t="s">
        <v>19</v>
      </c>
      <c r="C44" s="3" t="s">
        <v>4</v>
      </c>
      <c r="D44" s="3" t="s">
        <v>20</v>
      </c>
      <c r="E44" s="3" t="s">
        <v>80</v>
      </c>
      <c r="F44" s="3" t="s">
        <v>81</v>
      </c>
      <c r="G44" s="6">
        <v>18</v>
      </c>
      <c r="H44" s="6">
        <v>12.25</v>
      </c>
      <c r="I44" s="6">
        <v>220.5</v>
      </c>
      <c r="J44" s="6">
        <v>4052.0000000000005</v>
      </c>
    </row>
    <row r="45" spans="1:10" outlineLevel="1" x14ac:dyDescent="0.25">
      <c r="A45" s="8" t="s">
        <v>18</v>
      </c>
      <c r="B45" s="3" t="s">
        <v>19</v>
      </c>
      <c r="C45" s="3" t="s">
        <v>4</v>
      </c>
      <c r="D45" s="3" t="s">
        <v>20</v>
      </c>
      <c r="E45" s="3" t="s">
        <v>82</v>
      </c>
      <c r="F45" s="3" t="s">
        <v>83</v>
      </c>
      <c r="G45" s="6">
        <v>1</v>
      </c>
      <c r="H45" s="6">
        <v>58</v>
      </c>
      <c r="I45" s="6">
        <v>58</v>
      </c>
      <c r="J45" s="6">
        <v>4110</v>
      </c>
    </row>
    <row r="46" spans="1:10" outlineLevel="1" x14ac:dyDescent="0.25">
      <c r="A46" s="8" t="s">
        <v>18</v>
      </c>
      <c r="B46" s="3" t="s">
        <v>19</v>
      </c>
      <c r="C46" s="3" t="s">
        <v>4</v>
      </c>
      <c r="D46" s="3" t="s">
        <v>20</v>
      </c>
      <c r="E46" s="3" t="s">
        <v>84</v>
      </c>
      <c r="F46" s="3" t="s">
        <v>85</v>
      </c>
      <c r="G46" s="6">
        <v>2</v>
      </c>
      <c r="H46" s="6">
        <v>50.4</v>
      </c>
      <c r="I46" s="6">
        <v>100.8</v>
      </c>
      <c r="J46" s="6">
        <v>4210.8</v>
      </c>
    </row>
    <row r="47" spans="1:10" outlineLevel="1" x14ac:dyDescent="0.25">
      <c r="A47" s="8" t="s">
        <v>18</v>
      </c>
      <c r="B47" s="3" t="s">
        <v>19</v>
      </c>
      <c r="C47" s="3" t="s">
        <v>4</v>
      </c>
      <c r="D47" s="3" t="s">
        <v>20</v>
      </c>
      <c r="E47" s="3" t="s">
        <v>86</v>
      </c>
      <c r="F47" s="3" t="s">
        <v>87</v>
      </c>
      <c r="G47" s="6">
        <v>1</v>
      </c>
      <c r="H47" s="6">
        <v>16</v>
      </c>
      <c r="I47" s="6">
        <v>16</v>
      </c>
      <c r="J47" s="6">
        <v>4226.8</v>
      </c>
    </row>
    <row r="48" spans="1:10" outlineLevel="1" x14ac:dyDescent="0.25">
      <c r="A48" s="8" t="s">
        <v>18</v>
      </c>
      <c r="B48" s="3" t="s">
        <v>19</v>
      </c>
      <c r="C48" s="3" t="s">
        <v>4</v>
      </c>
      <c r="D48" s="3" t="s">
        <v>20</v>
      </c>
      <c r="E48" s="3" t="s">
        <v>88</v>
      </c>
      <c r="F48" s="3" t="s">
        <v>89</v>
      </c>
      <c r="G48" s="6">
        <v>1</v>
      </c>
      <c r="H48" s="6">
        <v>16</v>
      </c>
      <c r="I48" s="6">
        <v>16</v>
      </c>
      <c r="J48" s="6">
        <v>4242.8</v>
      </c>
    </row>
    <row r="49" spans="1:10" outlineLevel="1" x14ac:dyDescent="0.25">
      <c r="A49" s="8" t="s">
        <v>18</v>
      </c>
      <c r="B49" s="3" t="s">
        <v>19</v>
      </c>
      <c r="C49" s="3" t="s">
        <v>4</v>
      </c>
      <c r="D49" s="3" t="s">
        <v>20</v>
      </c>
      <c r="E49" s="3" t="s">
        <v>90</v>
      </c>
      <c r="F49" s="3" t="s">
        <v>91</v>
      </c>
      <c r="G49" s="6">
        <v>1</v>
      </c>
      <c r="H49" s="6">
        <v>16</v>
      </c>
      <c r="I49" s="6">
        <v>16</v>
      </c>
      <c r="J49" s="6">
        <v>4258.8</v>
      </c>
    </row>
    <row r="50" spans="1:10" outlineLevel="1" x14ac:dyDescent="0.25">
      <c r="A50" s="8" t="s">
        <v>18</v>
      </c>
      <c r="B50" s="3" t="s">
        <v>19</v>
      </c>
      <c r="C50" s="3" t="s">
        <v>4</v>
      </c>
      <c r="D50" s="3" t="s">
        <v>20</v>
      </c>
      <c r="E50" s="3" t="s">
        <v>92</v>
      </c>
      <c r="F50" s="3" t="s">
        <v>93</v>
      </c>
      <c r="G50" s="6">
        <v>1</v>
      </c>
      <c r="H50" s="6">
        <v>16</v>
      </c>
      <c r="I50" s="6">
        <v>16</v>
      </c>
      <c r="J50" s="6">
        <v>4274.8</v>
      </c>
    </row>
    <row r="51" spans="1:10" outlineLevel="1" x14ac:dyDescent="0.25">
      <c r="A51" s="8" t="s">
        <v>18</v>
      </c>
      <c r="B51" s="3" t="s">
        <v>19</v>
      </c>
      <c r="C51" s="3" t="s">
        <v>4</v>
      </c>
      <c r="D51" s="3" t="s">
        <v>20</v>
      </c>
      <c r="E51" s="3" t="s">
        <v>94</v>
      </c>
      <c r="F51" s="3" t="s">
        <v>95</v>
      </c>
      <c r="G51" s="6">
        <v>1</v>
      </c>
      <c r="H51" s="6">
        <v>15.9</v>
      </c>
      <c r="I51" s="6">
        <v>15.9</v>
      </c>
      <c r="J51" s="6">
        <v>4290.7</v>
      </c>
    </row>
    <row r="52" spans="1:10" outlineLevel="1" x14ac:dyDescent="0.25">
      <c r="A52" s="8" t="s">
        <v>18</v>
      </c>
      <c r="B52" s="3" t="s">
        <v>19</v>
      </c>
      <c r="C52" s="3" t="s">
        <v>4</v>
      </c>
      <c r="D52" s="3" t="s">
        <v>20</v>
      </c>
      <c r="E52" s="3" t="s">
        <v>96</v>
      </c>
      <c r="F52" s="3" t="s">
        <v>97</v>
      </c>
      <c r="G52" s="6">
        <v>9</v>
      </c>
      <c r="H52" s="6">
        <v>29.9</v>
      </c>
      <c r="I52" s="6">
        <v>269.10000000000002</v>
      </c>
      <c r="J52" s="6">
        <v>4559.8</v>
      </c>
    </row>
    <row r="53" spans="1:10" outlineLevel="1" x14ac:dyDescent="0.25">
      <c r="A53" s="8" t="s">
        <v>18</v>
      </c>
      <c r="B53" s="3" t="s">
        <v>19</v>
      </c>
      <c r="C53" s="3" t="s">
        <v>4</v>
      </c>
      <c r="D53" s="3" t="s">
        <v>20</v>
      </c>
      <c r="E53" s="3" t="s">
        <v>98</v>
      </c>
      <c r="F53" s="3" t="s">
        <v>99</v>
      </c>
      <c r="G53" s="6">
        <v>1</v>
      </c>
      <c r="H53" s="6">
        <v>12.5</v>
      </c>
      <c r="I53" s="6">
        <v>12.5</v>
      </c>
      <c r="J53" s="6">
        <v>4572.3</v>
      </c>
    </row>
    <row r="54" spans="1:10" outlineLevel="1" x14ac:dyDescent="0.25">
      <c r="A54" s="8" t="s">
        <v>18</v>
      </c>
      <c r="B54" s="3" t="s">
        <v>19</v>
      </c>
      <c r="C54" s="3" t="s">
        <v>4</v>
      </c>
      <c r="D54" s="3" t="s">
        <v>20</v>
      </c>
      <c r="E54" s="3" t="s">
        <v>100</v>
      </c>
      <c r="F54" s="3" t="s">
        <v>101</v>
      </c>
      <c r="G54" s="6">
        <v>1</v>
      </c>
      <c r="H54" s="6">
        <v>12.5</v>
      </c>
      <c r="I54" s="6">
        <v>12.5</v>
      </c>
      <c r="J54" s="6">
        <v>4584.8</v>
      </c>
    </row>
    <row r="55" spans="1:10" outlineLevel="1" x14ac:dyDescent="0.25">
      <c r="A55" s="8" t="s">
        <v>18</v>
      </c>
      <c r="B55" s="3" t="s">
        <v>19</v>
      </c>
      <c r="C55" s="3" t="s">
        <v>4</v>
      </c>
      <c r="D55" s="3" t="s">
        <v>20</v>
      </c>
      <c r="E55" s="3" t="s">
        <v>102</v>
      </c>
      <c r="F55" s="3" t="s">
        <v>103</v>
      </c>
      <c r="G55" s="6">
        <v>1</v>
      </c>
      <c r="H55" s="6">
        <v>12.5</v>
      </c>
      <c r="I55" s="6">
        <v>12.5</v>
      </c>
      <c r="J55" s="6">
        <v>4597.3</v>
      </c>
    </row>
    <row r="56" spans="1:10" outlineLevel="1" x14ac:dyDescent="0.25">
      <c r="A56" s="8" t="s">
        <v>18</v>
      </c>
      <c r="B56" s="3" t="s">
        <v>19</v>
      </c>
      <c r="C56" s="3" t="s">
        <v>4</v>
      </c>
      <c r="D56" s="3" t="s">
        <v>20</v>
      </c>
      <c r="E56" s="3" t="s">
        <v>104</v>
      </c>
      <c r="F56" s="3" t="s">
        <v>105</v>
      </c>
      <c r="G56" s="6">
        <v>2</v>
      </c>
      <c r="H56" s="6">
        <v>12</v>
      </c>
      <c r="I56" s="6">
        <v>24</v>
      </c>
      <c r="J56" s="6">
        <v>4621.3</v>
      </c>
    </row>
    <row r="57" spans="1:10" outlineLevel="1" x14ac:dyDescent="0.25">
      <c r="A57" s="8" t="s">
        <v>18</v>
      </c>
      <c r="B57" s="3" t="s">
        <v>19</v>
      </c>
      <c r="C57" s="3" t="s">
        <v>4</v>
      </c>
      <c r="D57" s="3" t="s">
        <v>20</v>
      </c>
      <c r="E57" s="3" t="s">
        <v>106</v>
      </c>
      <c r="F57" s="3" t="s">
        <v>107</v>
      </c>
      <c r="G57" s="6">
        <v>1</v>
      </c>
      <c r="H57" s="6">
        <v>12</v>
      </c>
      <c r="I57" s="6">
        <v>12</v>
      </c>
      <c r="J57" s="6">
        <v>4633.3</v>
      </c>
    </row>
    <row r="58" spans="1:10" outlineLevel="1" x14ac:dyDescent="0.25">
      <c r="A58" s="8" t="s">
        <v>18</v>
      </c>
      <c r="B58" s="3" t="s">
        <v>19</v>
      </c>
      <c r="C58" s="3" t="s">
        <v>4</v>
      </c>
      <c r="D58" s="3" t="s">
        <v>20</v>
      </c>
      <c r="E58" s="3" t="s">
        <v>108</v>
      </c>
      <c r="F58" s="3" t="s">
        <v>109</v>
      </c>
      <c r="G58" s="6">
        <v>1</v>
      </c>
      <c r="H58" s="6">
        <v>35.5</v>
      </c>
      <c r="I58" s="6">
        <v>35.5</v>
      </c>
      <c r="J58" s="6">
        <v>4668.8</v>
      </c>
    </row>
    <row r="59" spans="1:10" outlineLevel="1" x14ac:dyDescent="0.25">
      <c r="A59" s="8" t="s">
        <v>18</v>
      </c>
      <c r="B59" s="3" t="s">
        <v>19</v>
      </c>
      <c r="C59" s="3" t="s">
        <v>4</v>
      </c>
      <c r="D59" s="3" t="s">
        <v>20</v>
      </c>
      <c r="E59" s="3" t="s">
        <v>110</v>
      </c>
      <c r="F59" s="3" t="s">
        <v>111</v>
      </c>
      <c r="G59" s="6">
        <v>2</v>
      </c>
      <c r="H59" s="6">
        <v>39</v>
      </c>
      <c r="I59" s="6">
        <v>78</v>
      </c>
      <c r="J59" s="6">
        <v>4746.8</v>
      </c>
    </row>
    <row r="60" spans="1:10" outlineLevel="1" x14ac:dyDescent="0.25">
      <c r="A60" s="8" t="s">
        <v>18</v>
      </c>
      <c r="B60" s="3" t="s">
        <v>19</v>
      </c>
      <c r="C60" s="3" t="s">
        <v>4</v>
      </c>
      <c r="D60" s="3" t="s">
        <v>20</v>
      </c>
      <c r="E60" s="3" t="s">
        <v>112</v>
      </c>
      <c r="F60" s="3" t="s">
        <v>113</v>
      </c>
      <c r="G60" s="6">
        <v>1</v>
      </c>
      <c r="H60" s="6">
        <v>23.5</v>
      </c>
      <c r="I60" s="6">
        <v>23.5</v>
      </c>
      <c r="J60" s="6">
        <v>4770.3</v>
      </c>
    </row>
    <row r="61" spans="1:10" outlineLevel="1" x14ac:dyDescent="0.25">
      <c r="A61" s="8" t="s">
        <v>18</v>
      </c>
      <c r="B61" s="3" t="s">
        <v>19</v>
      </c>
      <c r="C61" s="3" t="s">
        <v>4</v>
      </c>
      <c r="D61" s="3" t="s">
        <v>20</v>
      </c>
      <c r="E61" s="3" t="s">
        <v>114</v>
      </c>
      <c r="F61" s="3" t="s">
        <v>115</v>
      </c>
      <c r="G61" s="6">
        <v>1</v>
      </c>
      <c r="H61" s="6">
        <v>41</v>
      </c>
      <c r="I61" s="6">
        <v>41</v>
      </c>
      <c r="J61" s="6">
        <v>4811.3</v>
      </c>
    </row>
    <row r="62" spans="1:10" outlineLevel="1" x14ac:dyDescent="0.25">
      <c r="A62" s="8" t="s">
        <v>18</v>
      </c>
      <c r="B62" s="3" t="s">
        <v>19</v>
      </c>
      <c r="C62" s="3" t="s">
        <v>4</v>
      </c>
      <c r="D62" s="3" t="s">
        <v>20</v>
      </c>
      <c r="E62" s="3" t="s">
        <v>116</v>
      </c>
      <c r="F62" s="3" t="s">
        <v>117</v>
      </c>
      <c r="G62" s="6">
        <v>1</v>
      </c>
      <c r="H62" s="6">
        <v>19.690000000000001</v>
      </c>
      <c r="I62" s="6">
        <v>19.690000000000001</v>
      </c>
      <c r="J62" s="6">
        <v>4830.99</v>
      </c>
    </row>
    <row r="63" spans="1:10" outlineLevel="1" x14ac:dyDescent="0.25">
      <c r="A63" s="8" t="s">
        <v>18</v>
      </c>
      <c r="B63" s="3" t="s">
        <v>19</v>
      </c>
      <c r="C63" s="3" t="s">
        <v>4</v>
      </c>
      <c r="D63" s="3" t="s">
        <v>20</v>
      </c>
      <c r="E63" s="3" t="s">
        <v>118</v>
      </c>
      <c r="F63" s="3" t="s">
        <v>119</v>
      </c>
      <c r="G63" s="6">
        <v>1</v>
      </c>
      <c r="H63" s="6">
        <v>23.63</v>
      </c>
      <c r="I63" s="6">
        <v>23.63</v>
      </c>
      <c r="J63" s="6">
        <v>4854.62</v>
      </c>
    </row>
    <row r="64" spans="1:10" outlineLevel="1" x14ac:dyDescent="0.25">
      <c r="A64" s="8" t="s">
        <v>18</v>
      </c>
      <c r="B64" s="3" t="s">
        <v>19</v>
      </c>
      <c r="C64" s="3" t="s">
        <v>4</v>
      </c>
      <c r="D64" s="3" t="s">
        <v>20</v>
      </c>
      <c r="E64" s="3" t="s">
        <v>120</v>
      </c>
      <c r="F64" s="3" t="s">
        <v>121</v>
      </c>
      <c r="G64" s="6">
        <v>1</v>
      </c>
      <c r="H64" s="6">
        <v>12.5</v>
      </c>
      <c r="I64" s="6">
        <v>12.5</v>
      </c>
      <c r="J64" s="6">
        <v>4867.12</v>
      </c>
    </row>
    <row r="65" spans="1:10" outlineLevel="1" x14ac:dyDescent="0.25">
      <c r="A65" s="8" t="s">
        <v>18</v>
      </c>
      <c r="B65" s="3" t="s">
        <v>19</v>
      </c>
      <c r="C65" s="3" t="s">
        <v>4</v>
      </c>
      <c r="D65" s="3" t="s">
        <v>20</v>
      </c>
      <c r="E65" s="3" t="s">
        <v>122</v>
      </c>
      <c r="F65" s="3" t="s">
        <v>123</v>
      </c>
      <c r="G65" s="6">
        <v>1</v>
      </c>
      <c r="H65" s="6">
        <v>23.63</v>
      </c>
      <c r="I65" s="6">
        <v>23.63</v>
      </c>
      <c r="J65" s="6">
        <v>4890.75</v>
      </c>
    </row>
    <row r="66" spans="1:10" outlineLevel="1" x14ac:dyDescent="0.25">
      <c r="A66" s="8" t="s">
        <v>18</v>
      </c>
      <c r="B66" s="3" t="s">
        <v>19</v>
      </c>
      <c r="C66" s="3" t="s">
        <v>4</v>
      </c>
      <c r="D66" s="3" t="s">
        <v>20</v>
      </c>
      <c r="E66" s="3" t="s">
        <v>124</v>
      </c>
      <c r="F66" s="3" t="s">
        <v>125</v>
      </c>
      <c r="G66" s="6">
        <v>1</v>
      </c>
      <c r="H66" s="6">
        <v>42.08</v>
      </c>
      <c r="I66" s="6">
        <v>42.08</v>
      </c>
      <c r="J66" s="6">
        <v>4932.83</v>
      </c>
    </row>
    <row r="67" spans="1:10" outlineLevel="1" x14ac:dyDescent="0.25">
      <c r="A67" s="8" t="s">
        <v>18</v>
      </c>
      <c r="B67" s="3" t="s">
        <v>19</v>
      </c>
      <c r="C67" s="3" t="s">
        <v>4</v>
      </c>
      <c r="D67" s="3" t="s">
        <v>20</v>
      </c>
      <c r="E67" s="3" t="s">
        <v>126</v>
      </c>
      <c r="F67" s="3" t="s">
        <v>127</v>
      </c>
      <c r="G67" s="6">
        <v>1</v>
      </c>
      <c r="H67" s="6">
        <v>23.63</v>
      </c>
      <c r="I67" s="6">
        <v>23.63</v>
      </c>
      <c r="J67" s="6">
        <v>4956.46</v>
      </c>
    </row>
    <row r="68" spans="1:10" outlineLevel="1" x14ac:dyDescent="0.25">
      <c r="A68" s="8" t="s">
        <v>18</v>
      </c>
      <c r="B68" s="3" t="s">
        <v>19</v>
      </c>
      <c r="C68" s="3" t="s">
        <v>4</v>
      </c>
      <c r="D68" s="3" t="s">
        <v>20</v>
      </c>
      <c r="E68" s="3" t="s">
        <v>128</v>
      </c>
      <c r="F68" s="3" t="s">
        <v>129</v>
      </c>
      <c r="G68" s="6">
        <v>1</v>
      </c>
      <c r="H68" s="6">
        <v>23.63</v>
      </c>
      <c r="I68" s="6">
        <v>23.63</v>
      </c>
      <c r="J68" s="6">
        <v>4980.09</v>
      </c>
    </row>
    <row r="69" spans="1:10" outlineLevel="1" x14ac:dyDescent="0.25">
      <c r="A69" s="8" t="s">
        <v>18</v>
      </c>
      <c r="B69" s="3" t="s">
        <v>19</v>
      </c>
      <c r="C69" s="3" t="s">
        <v>4</v>
      </c>
      <c r="D69" s="3" t="s">
        <v>20</v>
      </c>
      <c r="E69" s="3" t="s">
        <v>130</v>
      </c>
      <c r="F69" s="3" t="s">
        <v>131</v>
      </c>
      <c r="G69" s="6">
        <v>1</v>
      </c>
      <c r="H69" s="6">
        <v>17.5</v>
      </c>
      <c r="I69" s="6">
        <v>17.5</v>
      </c>
      <c r="J69" s="6">
        <v>4997.59</v>
      </c>
    </row>
    <row r="70" spans="1:10" outlineLevel="1" x14ac:dyDescent="0.25">
      <c r="A70" s="8" t="s">
        <v>18</v>
      </c>
      <c r="B70" s="3" t="s">
        <v>19</v>
      </c>
      <c r="C70" s="3" t="s">
        <v>4</v>
      </c>
      <c r="D70" s="3" t="s">
        <v>20</v>
      </c>
      <c r="E70" s="3" t="s">
        <v>132</v>
      </c>
      <c r="F70" s="3" t="s">
        <v>133</v>
      </c>
      <c r="G70" s="6">
        <v>1</v>
      </c>
      <c r="H70" s="6">
        <v>34.4</v>
      </c>
      <c r="I70" s="6">
        <v>34.4</v>
      </c>
      <c r="J70" s="6">
        <v>5031.99</v>
      </c>
    </row>
    <row r="71" spans="1:10" outlineLevel="1" x14ac:dyDescent="0.25">
      <c r="A71" s="8" t="s">
        <v>18</v>
      </c>
      <c r="B71" s="3" t="s">
        <v>19</v>
      </c>
      <c r="C71" s="3" t="s">
        <v>4</v>
      </c>
      <c r="D71" s="3" t="s">
        <v>20</v>
      </c>
      <c r="E71" s="3" t="s">
        <v>134</v>
      </c>
      <c r="F71" s="3" t="s">
        <v>135</v>
      </c>
      <c r="G71" s="6">
        <v>1</v>
      </c>
      <c r="H71" s="6">
        <v>19.7</v>
      </c>
      <c r="I71" s="6">
        <v>19.7</v>
      </c>
      <c r="J71" s="6">
        <v>5051.6899999999996</v>
      </c>
    </row>
    <row r="72" spans="1:10" outlineLevel="1" x14ac:dyDescent="0.25">
      <c r="A72" s="8" t="s">
        <v>18</v>
      </c>
      <c r="B72" s="3" t="s">
        <v>19</v>
      </c>
      <c r="C72" s="3" t="s">
        <v>4</v>
      </c>
      <c r="D72" s="3" t="s">
        <v>20</v>
      </c>
      <c r="E72" s="3" t="s">
        <v>136</v>
      </c>
      <c r="F72" s="3" t="s">
        <v>137</v>
      </c>
      <c r="G72" s="6">
        <v>2</v>
      </c>
      <c r="H72" s="6">
        <v>36.5</v>
      </c>
      <c r="I72" s="6">
        <v>73</v>
      </c>
      <c r="J72" s="6">
        <v>5124.6899999999996</v>
      </c>
    </row>
    <row r="73" spans="1:10" outlineLevel="1" x14ac:dyDescent="0.25">
      <c r="A73" s="8" t="s">
        <v>18</v>
      </c>
      <c r="B73" s="3" t="s">
        <v>19</v>
      </c>
      <c r="C73" s="3" t="s">
        <v>4</v>
      </c>
      <c r="D73" s="3" t="s">
        <v>20</v>
      </c>
      <c r="E73" s="3" t="s">
        <v>138</v>
      </c>
      <c r="F73" s="3" t="s">
        <v>139</v>
      </c>
      <c r="G73" s="6">
        <v>2</v>
      </c>
      <c r="H73" s="6">
        <v>37.5</v>
      </c>
      <c r="I73" s="6">
        <v>75</v>
      </c>
      <c r="J73" s="6">
        <v>5199.6899999999996</v>
      </c>
    </row>
    <row r="74" spans="1:10" outlineLevel="1" x14ac:dyDescent="0.25">
      <c r="A74" s="8" t="s">
        <v>18</v>
      </c>
      <c r="B74" s="3" t="s">
        <v>19</v>
      </c>
      <c r="C74" s="3" t="s">
        <v>4</v>
      </c>
      <c r="D74" s="3" t="s">
        <v>20</v>
      </c>
      <c r="E74" s="3" t="s">
        <v>140</v>
      </c>
      <c r="F74" s="3" t="s">
        <v>141</v>
      </c>
      <c r="G74" s="6">
        <v>2</v>
      </c>
      <c r="H74" s="6">
        <v>22</v>
      </c>
      <c r="I74" s="6">
        <v>44</v>
      </c>
      <c r="J74" s="6">
        <v>5243.69</v>
      </c>
    </row>
    <row r="75" spans="1:10" outlineLevel="1" x14ac:dyDescent="0.25">
      <c r="A75" s="8" t="s">
        <v>18</v>
      </c>
      <c r="B75" s="3" t="s">
        <v>19</v>
      </c>
      <c r="C75" s="3" t="s">
        <v>4</v>
      </c>
      <c r="D75" s="3" t="s">
        <v>20</v>
      </c>
      <c r="E75" s="3" t="s">
        <v>142</v>
      </c>
      <c r="F75" s="3" t="s">
        <v>143</v>
      </c>
      <c r="G75" s="6">
        <v>4</v>
      </c>
      <c r="H75" s="6">
        <v>29</v>
      </c>
      <c r="I75" s="6">
        <v>116</v>
      </c>
      <c r="J75" s="6">
        <v>5359.69</v>
      </c>
    </row>
    <row r="76" spans="1:10" outlineLevel="1" x14ac:dyDescent="0.25">
      <c r="A76" s="8" t="s">
        <v>18</v>
      </c>
      <c r="B76" s="3" t="s">
        <v>19</v>
      </c>
      <c r="C76" s="3" t="s">
        <v>4</v>
      </c>
      <c r="D76" s="3" t="s">
        <v>20</v>
      </c>
      <c r="E76" s="3" t="s">
        <v>144</v>
      </c>
      <c r="F76" s="3" t="s">
        <v>145</v>
      </c>
      <c r="G76" s="6">
        <v>1</v>
      </c>
      <c r="H76" s="6">
        <v>36.75</v>
      </c>
      <c r="I76" s="6">
        <v>36.75</v>
      </c>
      <c r="J76" s="6">
        <v>5396.44</v>
      </c>
    </row>
    <row r="77" spans="1:10" outlineLevel="1" x14ac:dyDescent="0.25">
      <c r="A77" s="8" t="s">
        <v>18</v>
      </c>
      <c r="B77" s="3" t="s">
        <v>19</v>
      </c>
      <c r="C77" s="3" t="s">
        <v>4</v>
      </c>
      <c r="D77" s="3" t="s">
        <v>20</v>
      </c>
      <c r="E77" s="3" t="s">
        <v>40</v>
      </c>
      <c r="F77" s="3" t="s">
        <v>41</v>
      </c>
      <c r="G77" s="6">
        <v>-1</v>
      </c>
      <c r="H77" s="6">
        <v>34</v>
      </c>
      <c r="I77" s="6">
        <v>-34</v>
      </c>
      <c r="J77" s="6">
        <v>5362.44</v>
      </c>
    </row>
    <row r="78" spans="1:10" outlineLevel="1" x14ac:dyDescent="0.25">
      <c r="A78" s="8" t="s">
        <v>18</v>
      </c>
      <c r="B78" s="3" t="s">
        <v>19</v>
      </c>
      <c r="C78" s="3" t="s">
        <v>4</v>
      </c>
      <c r="D78" s="3" t="s">
        <v>20</v>
      </c>
      <c r="E78" s="3" t="s">
        <v>146</v>
      </c>
      <c r="F78" s="3" t="s">
        <v>147</v>
      </c>
      <c r="G78" s="6">
        <v>1</v>
      </c>
      <c r="H78" s="6">
        <v>106</v>
      </c>
      <c r="I78" s="6">
        <v>106</v>
      </c>
      <c r="J78" s="6">
        <v>5468.44</v>
      </c>
    </row>
    <row r="79" spans="1:10" outlineLevel="1" x14ac:dyDescent="0.25">
      <c r="A79" s="8" t="s">
        <v>18</v>
      </c>
      <c r="B79" s="3" t="s">
        <v>19</v>
      </c>
      <c r="C79" s="3" t="s">
        <v>4</v>
      </c>
      <c r="D79" s="3" t="s">
        <v>20</v>
      </c>
      <c r="E79" s="3" t="s">
        <v>40</v>
      </c>
      <c r="F79" s="3" t="s">
        <v>41</v>
      </c>
      <c r="G79" s="6">
        <v>1</v>
      </c>
      <c r="H79" s="6">
        <v>4</v>
      </c>
      <c r="I79" s="6">
        <v>4</v>
      </c>
      <c r="J79" s="6">
        <v>5472.44</v>
      </c>
    </row>
    <row r="80" spans="1:10" outlineLevel="1" x14ac:dyDescent="0.25">
      <c r="A80" s="8" t="s">
        <v>18</v>
      </c>
      <c r="B80" s="3" t="s">
        <v>19</v>
      </c>
      <c r="C80" s="3" t="s">
        <v>4</v>
      </c>
      <c r="D80" s="3" t="s">
        <v>20</v>
      </c>
      <c r="E80" s="3" t="s">
        <v>40</v>
      </c>
      <c r="F80" s="3" t="s">
        <v>41</v>
      </c>
      <c r="G80" s="6">
        <v>-1</v>
      </c>
      <c r="H80" s="6">
        <v>4</v>
      </c>
      <c r="I80" s="6">
        <v>-4</v>
      </c>
      <c r="J80" s="6">
        <v>5468.44</v>
      </c>
    </row>
    <row r="81" spans="1:10" outlineLevel="1" x14ac:dyDescent="0.25">
      <c r="A81" s="8" t="s">
        <v>18</v>
      </c>
      <c r="B81" s="3" t="s">
        <v>148</v>
      </c>
      <c r="C81" s="3" t="s">
        <v>4</v>
      </c>
      <c r="D81" s="3" t="s">
        <v>149</v>
      </c>
      <c r="E81" s="3" t="s">
        <v>21</v>
      </c>
      <c r="F81" s="3" t="s">
        <v>22</v>
      </c>
      <c r="G81" s="6">
        <v>4</v>
      </c>
      <c r="H81" s="6">
        <v>59.9</v>
      </c>
      <c r="I81" s="6">
        <v>239.6</v>
      </c>
      <c r="J81" s="6">
        <v>5708.04</v>
      </c>
    </row>
    <row r="82" spans="1:10" outlineLevel="1" x14ac:dyDescent="0.25">
      <c r="A82" s="8" t="s">
        <v>18</v>
      </c>
      <c r="B82" s="3" t="s">
        <v>148</v>
      </c>
      <c r="C82" s="3" t="s">
        <v>4</v>
      </c>
      <c r="D82" s="3" t="s">
        <v>149</v>
      </c>
      <c r="E82" s="3" t="s">
        <v>150</v>
      </c>
      <c r="F82" s="3" t="s">
        <v>151</v>
      </c>
      <c r="G82" s="6">
        <v>4</v>
      </c>
      <c r="H82" s="6">
        <v>62.9</v>
      </c>
      <c r="I82" s="6">
        <v>251.6</v>
      </c>
      <c r="J82" s="6">
        <v>5959.64</v>
      </c>
    </row>
    <row r="83" spans="1:10" outlineLevel="1" x14ac:dyDescent="0.25">
      <c r="A83" s="8" t="s">
        <v>18</v>
      </c>
      <c r="B83" s="3" t="s">
        <v>148</v>
      </c>
      <c r="C83" s="3" t="s">
        <v>4</v>
      </c>
      <c r="D83" s="3" t="s">
        <v>149</v>
      </c>
      <c r="E83" s="3" t="s">
        <v>23</v>
      </c>
      <c r="F83" s="3" t="s">
        <v>24</v>
      </c>
      <c r="G83" s="6">
        <v>3</v>
      </c>
      <c r="H83" s="6">
        <v>52.9</v>
      </c>
      <c r="I83" s="6">
        <v>158.69999999999999</v>
      </c>
      <c r="J83" s="6">
        <v>6118.34</v>
      </c>
    </row>
    <row r="84" spans="1:10" outlineLevel="1" x14ac:dyDescent="0.25">
      <c r="A84" s="8" t="s">
        <v>18</v>
      </c>
      <c r="B84" s="3" t="s">
        <v>148</v>
      </c>
      <c r="C84" s="3" t="s">
        <v>4</v>
      </c>
      <c r="D84" s="3" t="s">
        <v>149</v>
      </c>
      <c r="E84" s="3" t="s">
        <v>29</v>
      </c>
      <c r="F84" s="3" t="s">
        <v>30</v>
      </c>
      <c r="G84" s="6">
        <v>6</v>
      </c>
      <c r="H84" s="6">
        <v>20.9</v>
      </c>
      <c r="I84" s="6">
        <v>125.4</v>
      </c>
      <c r="J84" s="6">
        <v>6243.74</v>
      </c>
    </row>
    <row r="85" spans="1:10" outlineLevel="1" x14ac:dyDescent="0.25">
      <c r="A85" s="8" t="s">
        <v>18</v>
      </c>
      <c r="B85" s="3" t="s">
        <v>148</v>
      </c>
      <c r="C85" s="3" t="s">
        <v>4</v>
      </c>
      <c r="D85" s="3" t="s">
        <v>149</v>
      </c>
      <c r="E85" s="3" t="s">
        <v>152</v>
      </c>
      <c r="F85" s="3" t="s">
        <v>153</v>
      </c>
      <c r="G85" s="6">
        <v>6</v>
      </c>
      <c r="H85" s="6">
        <v>51</v>
      </c>
      <c r="I85" s="6">
        <v>306</v>
      </c>
      <c r="J85" s="6">
        <v>6549.74</v>
      </c>
    </row>
    <row r="86" spans="1:10" outlineLevel="1" x14ac:dyDescent="0.25">
      <c r="A86" s="8" t="s">
        <v>18</v>
      </c>
      <c r="B86" s="3" t="s">
        <v>148</v>
      </c>
      <c r="C86" s="3" t="s">
        <v>4</v>
      </c>
      <c r="D86" s="3" t="s">
        <v>149</v>
      </c>
      <c r="E86" s="3" t="s">
        <v>146</v>
      </c>
      <c r="F86" s="3" t="s">
        <v>147</v>
      </c>
      <c r="G86" s="6">
        <v>4</v>
      </c>
      <c r="H86" s="6">
        <v>106</v>
      </c>
      <c r="I86" s="6">
        <v>424</v>
      </c>
      <c r="J86" s="6">
        <v>6973.74</v>
      </c>
    </row>
    <row r="87" spans="1:10" outlineLevel="1" x14ac:dyDescent="0.25">
      <c r="A87" s="8" t="s">
        <v>18</v>
      </c>
      <c r="B87" s="3" t="s">
        <v>148</v>
      </c>
      <c r="C87" s="3" t="s">
        <v>4</v>
      </c>
      <c r="D87" s="3" t="s">
        <v>149</v>
      </c>
      <c r="E87" s="3" t="s">
        <v>44</v>
      </c>
      <c r="F87" s="3" t="s">
        <v>45</v>
      </c>
      <c r="G87" s="6">
        <v>10</v>
      </c>
      <c r="H87" s="6">
        <v>43.5</v>
      </c>
      <c r="I87" s="6">
        <v>435</v>
      </c>
      <c r="J87" s="6">
        <v>7408.74</v>
      </c>
    </row>
    <row r="88" spans="1:10" outlineLevel="1" x14ac:dyDescent="0.25">
      <c r="A88" s="8" t="s">
        <v>18</v>
      </c>
      <c r="B88" s="3" t="s">
        <v>148</v>
      </c>
      <c r="C88" s="3" t="s">
        <v>4</v>
      </c>
      <c r="D88" s="3" t="s">
        <v>149</v>
      </c>
      <c r="E88" s="3" t="s">
        <v>46</v>
      </c>
      <c r="F88" s="3" t="s">
        <v>47</v>
      </c>
      <c r="G88" s="6">
        <v>10</v>
      </c>
      <c r="H88" s="6">
        <v>43.5</v>
      </c>
      <c r="I88" s="6">
        <v>435</v>
      </c>
      <c r="J88" s="6">
        <v>7843.74</v>
      </c>
    </row>
    <row r="89" spans="1:10" outlineLevel="1" x14ac:dyDescent="0.25">
      <c r="A89" s="8" t="s">
        <v>18</v>
      </c>
      <c r="B89" s="3" t="s">
        <v>148</v>
      </c>
      <c r="C89" s="3" t="s">
        <v>4</v>
      </c>
      <c r="D89" s="3" t="s">
        <v>149</v>
      </c>
      <c r="E89" s="3" t="s">
        <v>48</v>
      </c>
      <c r="F89" s="3" t="s">
        <v>49</v>
      </c>
      <c r="G89" s="6">
        <v>18</v>
      </c>
      <c r="H89" s="6">
        <v>43.5</v>
      </c>
      <c r="I89" s="6">
        <v>783</v>
      </c>
      <c r="J89" s="6">
        <v>8626.74</v>
      </c>
    </row>
    <row r="90" spans="1:10" outlineLevel="1" x14ac:dyDescent="0.25">
      <c r="A90" s="8" t="s">
        <v>18</v>
      </c>
      <c r="B90" s="3" t="s">
        <v>148</v>
      </c>
      <c r="C90" s="3" t="s">
        <v>4</v>
      </c>
      <c r="D90" s="3" t="s">
        <v>149</v>
      </c>
      <c r="E90" s="3" t="s">
        <v>50</v>
      </c>
      <c r="F90" s="3" t="s">
        <v>51</v>
      </c>
      <c r="G90" s="6">
        <v>12</v>
      </c>
      <c r="H90" s="6">
        <v>43.5</v>
      </c>
      <c r="I90" s="6">
        <v>522</v>
      </c>
      <c r="J90" s="6">
        <v>9148.74</v>
      </c>
    </row>
    <row r="91" spans="1:10" outlineLevel="1" x14ac:dyDescent="0.25">
      <c r="A91" s="8" t="s">
        <v>18</v>
      </c>
      <c r="B91" s="3" t="s">
        <v>148</v>
      </c>
      <c r="C91" s="3" t="s">
        <v>4</v>
      </c>
      <c r="D91" s="3" t="s">
        <v>149</v>
      </c>
      <c r="E91" s="3" t="s">
        <v>78</v>
      </c>
      <c r="F91" s="3" t="s">
        <v>79</v>
      </c>
      <c r="G91" s="6">
        <v>10</v>
      </c>
      <c r="H91" s="6">
        <v>66.900000000000006</v>
      </c>
      <c r="I91" s="6">
        <v>669</v>
      </c>
      <c r="J91" s="6">
        <v>9817.74</v>
      </c>
    </row>
    <row r="92" spans="1:10" outlineLevel="1" x14ac:dyDescent="0.25">
      <c r="A92" s="8" t="s">
        <v>18</v>
      </c>
      <c r="B92" s="3" t="s">
        <v>148</v>
      </c>
      <c r="C92" s="3" t="s">
        <v>4</v>
      </c>
      <c r="D92" s="3" t="s">
        <v>149</v>
      </c>
      <c r="E92" s="3" t="s">
        <v>60</v>
      </c>
      <c r="F92" s="3" t="s">
        <v>61</v>
      </c>
      <c r="G92" s="6">
        <v>10</v>
      </c>
      <c r="H92" s="6">
        <v>61.6</v>
      </c>
      <c r="I92" s="6">
        <v>616</v>
      </c>
      <c r="J92" s="6">
        <v>10433.74</v>
      </c>
    </row>
    <row r="93" spans="1:10" outlineLevel="1" x14ac:dyDescent="0.25">
      <c r="A93" s="8" t="s">
        <v>18</v>
      </c>
      <c r="B93" s="3" t="s">
        <v>148</v>
      </c>
      <c r="C93" s="3" t="s">
        <v>4</v>
      </c>
      <c r="D93" s="3" t="s">
        <v>149</v>
      </c>
      <c r="E93" s="3" t="s">
        <v>90</v>
      </c>
      <c r="F93" s="3" t="s">
        <v>91</v>
      </c>
      <c r="G93" s="6">
        <v>10</v>
      </c>
      <c r="H93" s="6">
        <v>17.600000000000001</v>
      </c>
      <c r="I93" s="6">
        <v>176</v>
      </c>
      <c r="J93" s="6">
        <v>10609.74</v>
      </c>
    </row>
    <row r="94" spans="1:10" outlineLevel="1" x14ac:dyDescent="0.25">
      <c r="A94" s="8" t="s">
        <v>18</v>
      </c>
      <c r="B94" s="3" t="s">
        <v>148</v>
      </c>
      <c r="C94" s="3" t="s">
        <v>4</v>
      </c>
      <c r="D94" s="3" t="s">
        <v>149</v>
      </c>
      <c r="E94" s="3" t="s">
        <v>86</v>
      </c>
      <c r="F94" s="3" t="s">
        <v>87</v>
      </c>
      <c r="G94" s="6">
        <v>10</v>
      </c>
      <c r="H94" s="6">
        <v>17.600000000000001</v>
      </c>
      <c r="I94" s="6">
        <v>176</v>
      </c>
      <c r="J94" s="6">
        <v>10785.74</v>
      </c>
    </row>
    <row r="95" spans="1:10" outlineLevel="1" x14ac:dyDescent="0.25">
      <c r="A95" s="8" t="s">
        <v>18</v>
      </c>
      <c r="B95" s="3" t="s">
        <v>148</v>
      </c>
      <c r="C95" s="3" t="s">
        <v>4</v>
      </c>
      <c r="D95" s="3" t="s">
        <v>149</v>
      </c>
      <c r="E95" s="3" t="s">
        <v>88</v>
      </c>
      <c r="F95" s="3" t="s">
        <v>89</v>
      </c>
      <c r="G95" s="6">
        <v>10</v>
      </c>
      <c r="H95" s="6">
        <v>17.600000000000001</v>
      </c>
      <c r="I95" s="6">
        <v>176</v>
      </c>
      <c r="J95" s="6">
        <v>10961.74</v>
      </c>
    </row>
    <row r="96" spans="1:10" outlineLevel="1" x14ac:dyDescent="0.25">
      <c r="A96" s="8" t="s">
        <v>18</v>
      </c>
      <c r="B96" s="3" t="s">
        <v>148</v>
      </c>
      <c r="C96" s="3" t="s">
        <v>4</v>
      </c>
      <c r="D96" s="3" t="s">
        <v>149</v>
      </c>
      <c r="E96" s="3" t="s">
        <v>96</v>
      </c>
      <c r="F96" s="3" t="s">
        <v>97</v>
      </c>
      <c r="G96" s="6">
        <v>10</v>
      </c>
      <c r="H96" s="6">
        <v>29.9</v>
      </c>
      <c r="I96" s="6">
        <v>299</v>
      </c>
      <c r="J96" s="6">
        <v>11260.74</v>
      </c>
    </row>
    <row r="97" spans="1:10" outlineLevel="1" x14ac:dyDescent="0.25">
      <c r="A97" s="8" t="s">
        <v>18</v>
      </c>
      <c r="B97" s="3" t="s">
        <v>148</v>
      </c>
      <c r="C97" s="3" t="s">
        <v>4</v>
      </c>
      <c r="D97" s="3" t="s">
        <v>149</v>
      </c>
      <c r="E97" s="3" t="s">
        <v>154</v>
      </c>
      <c r="F97" s="3" t="s">
        <v>155</v>
      </c>
      <c r="G97" s="6">
        <v>1</v>
      </c>
      <c r="H97" s="6">
        <v>35.9</v>
      </c>
      <c r="I97" s="6">
        <v>35.9</v>
      </c>
      <c r="J97" s="6">
        <v>11296.64</v>
      </c>
    </row>
    <row r="98" spans="1:10" outlineLevel="1" x14ac:dyDescent="0.25">
      <c r="A98" s="8" t="s">
        <v>18</v>
      </c>
      <c r="B98" s="3" t="s">
        <v>148</v>
      </c>
      <c r="C98" s="3" t="s">
        <v>4</v>
      </c>
      <c r="D98" s="3" t="s">
        <v>149</v>
      </c>
      <c r="E98" s="3" t="s">
        <v>156</v>
      </c>
      <c r="F98" s="3" t="s">
        <v>157</v>
      </c>
      <c r="G98" s="6">
        <v>20</v>
      </c>
      <c r="H98" s="6">
        <v>27.9</v>
      </c>
      <c r="I98" s="6">
        <v>558</v>
      </c>
      <c r="J98" s="6">
        <v>11854.64</v>
      </c>
    </row>
    <row r="99" spans="1:10" outlineLevel="1" x14ac:dyDescent="0.25">
      <c r="A99" s="8" t="s">
        <v>18</v>
      </c>
      <c r="B99" s="3" t="s">
        <v>158</v>
      </c>
      <c r="C99" s="3" t="s">
        <v>4</v>
      </c>
      <c r="D99" s="3" t="s">
        <v>159</v>
      </c>
      <c r="E99" s="3" t="s">
        <v>25</v>
      </c>
      <c r="F99" s="3" t="s">
        <v>26</v>
      </c>
      <c r="G99" s="6">
        <v>1</v>
      </c>
      <c r="H99" s="6">
        <v>45</v>
      </c>
      <c r="I99" s="6">
        <v>45</v>
      </c>
      <c r="J99" s="6">
        <v>11899.64</v>
      </c>
    </row>
    <row r="100" spans="1:10" outlineLevel="1" x14ac:dyDescent="0.25">
      <c r="A100" s="8" t="s">
        <v>18</v>
      </c>
      <c r="B100" s="3" t="s">
        <v>158</v>
      </c>
      <c r="C100" s="3" t="s">
        <v>4</v>
      </c>
      <c r="D100" s="3" t="s">
        <v>159</v>
      </c>
      <c r="E100" s="3" t="s">
        <v>27</v>
      </c>
      <c r="F100" s="3" t="s">
        <v>28</v>
      </c>
      <c r="G100" s="6">
        <v>2</v>
      </c>
      <c r="H100" s="6">
        <v>72.5</v>
      </c>
      <c r="I100" s="6">
        <v>145</v>
      </c>
      <c r="J100" s="6">
        <v>12044.64</v>
      </c>
    </row>
    <row r="101" spans="1:10" outlineLevel="1" x14ac:dyDescent="0.25">
      <c r="A101" s="8" t="s">
        <v>18</v>
      </c>
      <c r="B101" s="3" t="s">
        <v>158</v>
      </c>
      <c r="C101" s="3" t="s">
        <v>4</v>
      </c>
      <c r="D101" s="3" t="s">
        <v>159</v>
      </c>
      <c r="E101" s="3" t="s">
        <v>160</v>
      </c>
      <c r="F101" s="3" t="s">
        <v>161</v>
      </c>
      <c r="G101" s="6">
        <v>2</v>
      </c>
      <c r="H101" s="6">
        <v>72.5</v>
      </c>
      <c r="I101" s="6">
        <v>145</v>
      </c>
      <c r="J101" s="6">
        <v>12189.64</v>
      </c>
    </row>
    <row r="102" spans="1:10" outlineLevel="1" x14ac:dyDescent="0.25">
      <c r="A102" s="8" t="s">
        <v>18</v>
      </c>
      <c r="B102" s="3" t="s">
        <v>158</v>
      </c>
      <c r="C102" s="3" t="s">
        <v>4</v>
      </c>
      <c r="D102" s="3" t="s">
        <v>159</v>
      </c>
      <c r="E102" s="3" t="s">
        <v>162</v>
      </c>
      <c r="F102" s="3" t="s">
        <v>163</v>
      </c>
      <c r="G102" s="6">
        <v>5</v>
      </c>
      <c r="H102" s="6">
        <v>48.5</v>
      </c>
      <c r="I102" s="6">
        <v>242.5</v>
      </c>
      <c r="J102" s="6">
        <v>12432.14</v>
      </c>
    </row>
    <row r="103" spans="1:10" outlineLevel="1" x14ac:dyDescent="0.25">
      <c r="A103" s="8" t="s">
        <v>18</v>
      </c>
      <c r="B103" s="3" t="s">
        <v>158</v>
      </c>
      <c r="C103" s="3" t="s">
        <v>4</v>
      </c>
      <c r="D103" s="3" t="s">
        <v>159</v>
      </c>
      <c r="E103" s="3" t="s">
        <v>164</v>
      </c>
      <c r="F103" s="3" t="s">
        <v>165</v>
      </c>
      <c r="G103" s="6">
        <v>2</v>
      </c>
      <c r="H103" s="6">
        <v>66.5</v>
      </c>
      <c r="I103" s="6">
        <v>133</v>
      </c>
      <c r="J103" s="6">
        <v>12565.14</v>
      </c>
    </row>
    <row r="104" spans="1:10" outlineLevel="1" x14ac:dyDescent="0.25">
      <c r="A104" s="8" t="s">
        <v>18</v>
      </c>
      <c r="B104" s="3" t="s">
        <v>158</v>
      </c>
      <c r="C104" s="3" t="s">
        <v>4</v>
      </c>
      <c r="D104" s="3" t="s">
        <v>159</v>
      </c>
      <c r="E104" s="3" t="s">
        <v>21</v>
      </c>
      <c r="F104" s="3" t="s">
        <v>22</v>
      </c>
      <c r="G104" s="6">
        <v>4</v>
      </c>
      <c r="H104" s="6">
        <v>59.9</v>
      </c>
      <c r="I104" s="6">
        <v>239.6</v>
      </c>
      <c r="J104" s="6">
        <v>12804.74</v>
      </c>
    </row>
    <row r="105" spans="1:10" outlineLevel="1" x14ac:dyDescent="0.25">
      <c r="A105" s="8" t="s">
        <v>18</v>
      </c>
      <c r="B105" s="3" t="s">
        <v>158</v>
      </c>
      <c r="C105" s="3" t="s">
        <v>4</v>
      </c>
      <c r="D105" s="3" t="s">
        <v>159</v>
      </c>
      <c r="E105" s="3" t="s">
        <v>166</v>
      </c>
      <c r="F105" s="3" t="s">
        <v>167</v>
      </c>
      <c r="G105" s="6">
        <v>6</v>
      </c>
      <c r="H105" s="6">
        <v>20.166599999999999</v>
      </c>
      <c r="I105" s="6">
        <v>121</v>
      </c>
      <c r="J105" s="6">
        <v>12925.74</v>
      </c>
    </row>
    <row r="106" spans="1:10" outlineLevel="1" x14ac:dyDescent="0.25">
      <c r="A106" s="8" t="s">
        <v>18</v>
      </c>
      <c r="B106" s="3" t="s">
        <v>158</v>
      </c>
      <c r="C106" s="3" t="s">
        <v>4</v>
      </c>
      <c r="D106" s="3" t="s">
        <v>159</v>
      </c>
      <c r="E106" s="3" t="s">
        <v>44</v>
      </c>
      <c r="F106" s="3" t="s">
        <v>45</v>
      </c>
      <c r="G106" s="6">
        <v>8</v>
      </c>
      <c r="H106" s="6">
        <v>43.5</v>
      </c>
      <c r="I106" s="6">
        <v>348</v>
      </c>
      <c r="J106" s="6">
        <v>13273.74</v>
      </c>
    </row>
    <row r="107" spans="1:10" outlineLevel="1" x14ac:dyDescent="0.25">
      <c r="A107" s="8" t="s">
        <v>18</v>
      </c>
      <c r="B107" s="3" t="s">
        <v>158</v>
      </c>
      <c r="C107" s="3" t="s">
        <v>4</v>
      </c>
      <c r="D107" s="3" t="s">
        <v>159</v>
      </c>
      <c r="E107" s="3" t="s">
        <v>46</v>
      </c>
      <c r="F107" s="3" t="s">
        <v>47</v>
      </c>
      <c r="G107" s="6">
        <v>5</v>
      </c>
      <c r="H107" s="6">
        <v>43.5</v>
      </c>
      <c r="I107" s="6">
        <v>217.5</v>
      </c>
      <c r="J107" s="6">
        <v>13491.24</v>
      </c>
    </row>
    <row r="108" spans="1:10" outlineLevel="1" x14ac:dyDescent="0.25">
      <c r="A108" s="8" t="s">
        <v>18</v>
      </c>
      <c r="B108" s="3" t="s">
        <v>158</v>
      </c>
      <c r="C108" s="3" t="s">
        <v>4</v>
      </c>
      <c r="D108" s="3" t="s">
        <v>159</v>
      </c>
      <c r="E108" s="3" t="s">
        <v>50</v>
      </c>
      <c r="F108" s="3" t="s">
        <v>51</v>
      </c>
      <c r="G108" s="6">
        <v>5</v>
      </c>
      <c r="H108" s="6">
        <v>43.5</v>
      </c>
      <c r="I108" s="6">
        <v>217.5</v>
      </c>
      <c r="J108" s="6">
        <v>13708.74</v>
      </c>
    </row>
    <row r="109" spans="1:10" outlineLevel="1" x14ac:dyDescent="0.25">
      <c r="A109" s="8" t="s">
        <v>18</v>
      </c>
      <c r="B109" s="3" t="s">
        <v>158</v>
      </c>
      <c r="C109" s="3" t="s">
        <v>4</v>
      </c>
      <c r="D109" s="3" t="s">
        <v>159</v>
      </c>
      <c r="E109" s="3" t="s">
        <v>72</v>
      </c>
      <c r="F109" s="3" t="s">
        <v>73</v>
      </c>
      <c r="G109" s="6">
        <v>6</v>
      </c>
      <c r="H109" s="6">
        <v>84.9</v>
      </c>
      <c r="I109" s="6">
        <v>509.4</v>
      </c>
      <c r="J109" s="6">
        <v>14218.14</v>
      </c>
    </row>
    <row r="110" spans="1:10" outlineLevel="1" x14ac:dyDescent="0.25">
      <c r="A110" s="8" t="s">
        <v>18</v>
      </c>
      <c r="B110" s="3" t="s">
        <v>158</v>
      </c>
      <c r="C110" s="3" t="s">
        <v>4</v>
      </c>
      <c r="D110" s="3" t="s">
        <v>159</v>
      </c>
      <c r="E110" s="3" t="s">
        <v>74</v>
      </c>
      <c r="F110" s="3" t="s">
        <v>75</v>
      </c>
      <c r="G110" s="6">
        <v>1</v>
      </c>
      <c r="H110" s="6">
        <v>60.5</v>
      </c>
      <c r="I110" s="6">
        <v>60.5</v>
      </c>
      <c r="J110" s="6">
        <v>14278.64</v>
      </c>
    </row>
    <row r="111" spans="1:10" outlineLevel="1" x14ac:dyDescent="0.25">
      <c r="A111" s="8" t="s">
        <v>18</v>
      </c>
      <c r="B111" s="3" t="s">
        <v>158</v>
      </c>
      <c r="C111" s="3" t="s">
        <v>4</v>
      </c>
      <c r="D111" s="3" t="s">
        <v>159</v>
      </c>
      <c r="E111" s="3" t="s">
        <v>76</v>
      </c>
      <c r="F111" s="3" t="s">
        <v>77</v>
      </c>
      <c r="G111" s="6">
        <v>6</v>
      </c>
      <c r="H111" s="6">
        <v>44</v>
      </c>
      <c r="I111" s="6">
        <v>264</v>
      </c>
      <c r="J111" s="6">
        <v>14542.64</v>
      </c>
    </row>
    <row r="112" spans="1:10" outlineLevel="1" x14ac:dyDescent="0.25">
      <c r="A112" s="8" t="s">
        <v>18</v>
      </c>
      <c r="B112" s="3" t="s">
        <v>168</v>
      </c>
      <c r="C112" s="3" t="s">
        <v>4</v>
      </c>
      <c r="D112" s="3" t="s">
        <v>169</v>
      </c>
      <c r="E112" s="3" t="s">
        <v>162</v>
      </c>
      <c r="F112" s="3" t="s">
        <v>163</v>
      </c>
      <c r="G112" s="6">
        <v>12</v>
      </c>
      <c r="H112" s="6">
        <v>48.5</v>
      </c>
      <c r="I112" s="6">
        <v>582</v>
      </c>
      <c r="J112" s="6">
        <v>15124.64</v>
      </c>
    </row>
    <row r="113" spans="1:10" outlineLevel="1" x14ac:dyDescent="0.25">
      <c r="A113" s="8" t="s">
        <v>18</v>
      </c>
      <c r="B113" s="3" t="s">
        <v>168</v>
      </c>
      <c r="C113" s="3" t="s">
        <v>4</v>
      </c>
      <c r="D113" s="3" t="s">
        <v>169</v>
      </c>
      <c r="E113" s="3" t="s">
        <v>96</v>
      </c>
      <c r="F113" s="3" t="s">
        <v>97</v>
      </c>
      <c r="G113" s="6">
        <v>48</v>
      </c>
      <c r="H113" s="6">
        <v>29.9</v>
      </c>
      <c r="I113" s="6">
        <v>1435.2</v>
      </c>
      <c r="J113" s="6">
        <v>16559.84</v>
      </c>
    </row>
    <row r="114" spans="1:10" outlineLevel="1" x14ac:dyDescent="0.25">
      <c r="A114" s="8" t="s">
        <v>18</v>
      </c>
      <c r="B114" s="3" t="s">
        <v>168</v>
      </c>
      <c r="C114" s="3" t="s">
        <v>4</v>
      </c>
      <c r="D114" s="3" t="s">
        <v>169</v>
      </c>
      <c r="E114" s="3" t="s">
        <v>98</v>
      </c>
      <c r="F114" s="3" t="s">
        <v>99</v>
      </c>
      <c r="G114" s="6">
        <v>10</v>
      </c>
      <c r="H114" s="6">
        <v>12.5</v>
      </c>
      <c r="I114" s="6">
        <v>125</v>
      </c>
      <c r="J114" s="6">
        <v>16684.84</v>
      </c>
    </row>
    <row r="115" spans="1:10" outlineLevel="1" x14ac:dyDescent="0.25">
      <c r="A115" s="8" t="s">
        <v>18</v>
      </c>
      <c r="B115" s="3" t="s">
        <v>168</v>
      </c>
      <c r="C115" s="3" t="s">
        <v>4</v>
      </c>
      <c r="D115" s="3" t="s">
        <v>169</v>
      </c>
      <c r="E115" s="3" t="s">
        <v>170</v>
      </c>
      <c r="F115" s="3" t="s">
        <v>171</v>
      </c>
      <c r="G115" s="6">
        <v>5</v>
      </c>
      <c r="H115" s="6">
        <v>12.5</v>
      </c>
      <c r="I115" s="6">
        <v>62.5</v>
      </c>
      <c r="J115" s="6">
        <v>16747.34</v>
      </c>
    </row>
    <row r="116" spans="1:10" outlineLevel="1" x14ac:dyDescent="0.25">
      <c r="A116" s="8" t="s">
        <v>18</v>
      </c>
      <c r="B116" s="3" t="s">
        <v>168</v>
      </c>
      <c r="C116" s="3" t="s">
        <v>4</v>
      </c>
      <c r="D116" s="3" t="s">
        <v>169</v>
      </c>
      <c r="E116" s="3" t="s">
        <v>100</v>
      </c>
      <c r="F116" s="3" t="s">
        <v>101</v>
      </c>
      <c r="G116" s="6">
        <v>10</v>
      </c>
      <c r="H116" s="6">
        <v>12.5</v>
      </c>
      <c r="I116" s="6">
        <v>125</v>
      </c>
      <c r="J116" s="6">
        <v>16872.34</v>
      </c>
    </row>
    <row r="117" spans="1:10" outlineLevel="1" x14ac:dyDescent="0.25">
      <c r="A117" s="8" t="s">
        <v>18</v>
      </c>
      <c r="B117" s="3" t="s">
        <v>168</v>
      </c>
      <c r="C117" s="3" t="s">
        <v>4</v>
      </c>
      <c r="D117" s="3" t="s">
        <v>169</v>
      </c>
      <c r="E117" s="3" t="s">
        <v>104</v>
      </c>
      <c r="F117" s="3" t="s">
        <v>105</v>
      </c>
      <c r="G117" s="6">
        <v>40</v>
      </c>
      <c r="H117" s="6">
        <v>12</v>
      </c>
      <c r="I117" s="6">
        <v>480</v>
      </c>
      <c r="J117" s="6">
        <v>17352.34</v>
      </c>
    </row>
    <row r="118" spans="1:10" outlineLevel="1" x14ac:dyDescent="0.25">
      <c r="A118" s="8" t="s">
        <v>18</v>
      </c>
      <c r="B118" s="3" t="s">
        <v>168</v>
      </c>
      <c r="C118" s="3" t="s">
        <v>4</v>
      </c>
      <c r="D118" s="3" t="s">
        <v>169</v>
      </c>
      <c r="E118" s="3" t="s">
        <v>172</v>
      </c>
      <c r="F118" s="3" t="s">
        <v>173</v>
      </c>
      <c r="G118" s="6">
        <v>20</v>
      </c>
      <c r="H118" s="6">
        <v>12</v>
      </c>
      <c r="I118" s="6">
        <v>240</v>
      </c>
      <c r="J118" s="6">
        <v>17592.34</v>
      </c>
    </row>
    <row r="119" spans="1:10" outlineLevel="1" x14ac:dyDescent="0.25">
      <c r="A119" s="8" t="s">
        <v>18</v>
      </c>
      <c r="B119" s="3" t="s">
        <v>168</v>
      </c>
      <c r="C119" s="3" t="s">
        <v>4</v>
      </c>
      <c r="D119" s="3" t="s">
        <v>169</v>
      </c>
      <c r="E119" s="3" t="s">
        <v>106</v>
      </c>
      <c r="F119" s="3" t="s">
        <v>107</v>
      </c>
      <c r="G119" s="6">
        <v>10</v>
      </c>
      <c r="H119" s="6">
        <v>12</v>
      </c>
      <c r="I119" s="6">
        <v>120</v>
      </c>
      <c r="J119" s="6">
        <v>17712.34</v>
      </c>
    </row>
    <row r="120" spans="1:10" outlineLevel="1" x14ac:dyDescent="0.25">
      <c r="A120" s="8" t="s">
        <v>18</v>
      </c>
      <c r="B120" s="3" t="s">
        <v>168</v>
      </c>
      <c r="C120" s="3" t="s">
        <v>4</v>
      </c>
      <c r="D120" s="3" t="s">
        <v>169</v>
      </c>
      <c r="E120" s="3" t="s">
        <v>174</v>
      </c>
      <c r="F120" s="3" t="s">
        <v>174</v>
      </c>
      <c r="G120" s="6">
        <v>2</v>
      </c>
      <c r="H120" s="6">
        <v>22</v>
      </c>
      <c r="I120" s="6">
        <v>44</v>
      </c>
      <c r="J120" s="6">
        <v>17756.34</v>
      </c>
    </row>
    <row r="121" spans="1:10" outlineLevel="1" x14ac:dyDescent="0.25">
      <c r="A121" s="8" t="s">
        <v>18</v>
      </c>
      <c r="B121" s="3" t="s">
        <v>168</v>
      </c>
      <c r="C121" s="3" t="s">
        <v>4</v>
      </c>
      <c r="D121" s="3" t="s">
        <v>169</v>
      </c>
      <c r="E121" s="3" t="s">
        <v>175</v>
      </c>
      <c r="F121" s="3" t="s">
        <v>176</v>
      </c>
      <c r="G121" s="6">
        <v>1</v>
      </c>
      <c r="H121" s="6">
        <v>21.5</v>
      </c>
      <c r="I121" s="6">
        <v>21.5</v>
      </c>
      <c r="J121" s="6">
        <v>17777.84</v>
      </c>
    </row>
    <row r="122" spans="1:10" outlineLevel="1" x14ac:dyDescent="0.25">
      <c r="A122" s="8" t="s">
        <v>18</v>
      </c>
      <c r="B122" s="3" t="s">
        <v>168</v>
      </c>
      <c r="C122" s="3" t="s">
        <v>4</v>
      </c>
      <c r="D122" s="3" t="s">
        <v>169</v>
      </c>
      <c r="E122" s="3" t="s">
        <v>86</v>
      </c>
      <c r="F122" s="3" t="s">
        <v>87</v>
      </c>
      <c r="G122" s="6">
        <v>1</v>
      </c>
      <c r="H122" s="6">
        <v>17.600000000000001</v>
      </c>
      <c r="I122" s="6">
        <v>17.600000000000001</v>
      </c>
      <c r="J122" s="6">
        <v>17795.439999999999</v>
      </c>
    </row>
    <row r="123" spans="1:10" outlineLevel="1" x14ac:dyDescent="0.25">
      <c r="A123" s="8" t="s">
        <v>18</v>
      </c>
      <c r="B123" s="3" t="s">
        <v>177</v>
      </c>
      <c r="C123" s="3" t="s">
        <v>4</v>
      </c>
      <c r="D123" s="3" t="s">
        <v>178</v>
      </c>
      <c r="E123" s="3" t="s">
        <v>179</v>
      </c>
      <c r="F123" s="3" t="s">
        <v>180</v>
      </c>
      <c r="G123" s="6">
        <v>5</v>
      </c>
      <c r="H123" s="6">
        <v>56</v>
      </c>
      <c r="I123" s="6">
        <v>280</v>
      </c>
      <c r="J123" s="6">
        <v>18075.439999999999</v>
      </c>
    </row>
    <row r="124" spans="1:10" outlineLevel="1" x14ac:dyDescent="0.25">
      <c r="A124" s="8" t="s">
        <v>18</v>
      </c>
      <c r="B124" s="3" t="s">
        <v>177</v>
      </c>
      <c r="C124" s="3" t="s">
        <v>4</v>
      </c>
      <c r="D124" s="3" t="s">
        <v>178</v>
      </c>
      <c r="E124" s="3" t="s">
        <v>181</v>
      </c>
      <c r="F124" s="3" t="s">
        <v>182</v>
      </c>
      <c r="G124" s="6">
        <v>3</v>
      </c>
      <c r="H124" s="6">
        <v>30.9</v>
      </c>
      <c r="I124" s="6">
        <v>92.7</v>
      </c>
      <c r="J124" s="6">
        <v>18168.14</v>
      </c>
    </row>
    <row r="125" spans="1:10" outlineLevel="1" x14ac:dyDescent="0.25">
      <c r="A125" s="8" t="s">
        <v>18</v>
      </c>
      <c r="B125" s="3" t="s">
        <v>177</v>
      </c>
      <c r="C125" s="3" t="s">
        <v>4</v>
      </c>
      <c r="D125" s="3" t="s">
        <v>178</v>
      </c>
      <c r="E125" s="3" t="s">
        <v>27</v>
      </c>
      <c r="F125" s="3" t="s">
        <v>28</v>
      </c>
      <c r="G125" s="6">
        <v>1</v>
      </c>
      <c r="H125" s="6">
        <v>72.5</v>
      </c>
      <c r="I125" s="6">
        <v>72.5</v>
      </c>
      <c r="J125" s="6">
        <v>18240.64</v>
      </c>
    </row>
    <row r="126" spans="1:10" outlineLevel="1" x14ac:dyDescent="0.25">
      <c r="A126" s="8" t="s">
        <v>18</v>
      </c>
      <c r="B126" s="3" t="s">
        <v>177</v>
      </c>
      <c r="C126" s="3" t="s">
        <v>4</v>
      </c>
      <c r="D126" s="3" t="s">
        <v>178</v>
      </c>
      <c r="E126" s="3" t="s">
        <v>160</v>
      </c>
      <c r="F126" s="3" t="s">
        <v>161</v>
      </c>
      <c r="G126" s="6">
        <v>1</v>
      </c>
      <c r="H126" s="6">
        <v>72.5</v>
      </c>
      <c r="I126" s="6">
        <v>72.5</v>
      </c>
      <c r="J126" s="6">
        <v>18313.14</v>
      </c>
    </row>
    <row r="127" spans="1:10" outlineLevel="1" x14ac:dyDescent="0.25">
      <c r="A127" s="8" t="s">
        <v>18</v>
      </c>
      <c r="B127" s="3" t="s">
        <v>177</v>
      </c>
      <c r="C127" s="3" t="s">
        <v>4</v>
      </c>
      <c r="D127" s="3" t="s">
        <v>178</v>
      </c>
      <c r="E127" s="3" t="s">
        <v>162</v>
      </c>
      <c r="F127" s="3" t="s">
        <v>163</v>
      </c>
      <c r="G127" s="6">
        <v>10</v>
      </c>
      <c r="H127" s="6">
        <v>48.5</v>
      </c>
      <c r="I127" s="6">
        <v>485</v>
      </c>
      <c r="J127" s="6">
        <v>18798.14</v>
      </c>
    </row>
    <row r="128" spans="1:10" outlineLevel="1" x14ac:dyDescent="0.25">
      <c r="A128" s="8" t="s">
        <v>18</v>
      </c>
      <c r="B128" s="3" t="s">
        <v>177</v>
      </c>
      <c r="C128" s="3" t="s">
        <v>4</v>
      </c>
      <c r="D128" s="3" t="s">
        <v>178</v>
      </c>
      <c r="E128" s="3" t="s">
        <v>183</v>
      </c>
      <c r="F128" s="3" t="s">
        <v>184</v>
      </c>
      <c r="G128" s="6">
        <v>3</v>
      </c>
      <c r="H128" s="6">
        <v>79.5</v>
      </c>
      <c r="I128" s="6">
        <v>238.5</v>
      </c>
      <c r="J128" s="6">
        <v>19036.64</v>
      </c>
    </row>
    <row r="129" spans="1:10" outlineLevel="1" x14ac:dyDescent="0.25">
      <c r="A129" s="8" t="s">
        <v>18</v>
      </c>
      <c r="B129" s="3" t="s">
        <v>177</v>
      </c>
      <c r="C129" s="3" t="s">
        <v>4</v>
      </c>
      <c r="D129" s="3" t="s">
        <v>178</v>
      </c>
      <c r="E129" s="3" t="s">
        <v>21</v>
      </c>
      <c r="F129" s="3" t="s">
        <v>22</v>
      </c>
      <c r="G129" s="6">
        <v>1</v>
      </c>
      <c r="H129" s="6">
        <v>59.9</v>
      </c>
      <c r="I129" s="6">
        <v>59.9</v>
      </c>
      <c r="J129" s="6">
        <v>19096.54</v>
      </c>
    </row>
    <row r="130" spans="1:10" outlineLevel="1" x14ac:dyDescent="0.25">
      <c r="A130" s="8" t="s">
        <v>18</v>
      </c>
      <c r="B130" s="3" t="s">
        <v>177</v>
      </c>
      <c r="C130" s="3" t="s">
        <v>4</v>
      </c>
      <c r="D130" s="3" t="s">
        <v>178</v>
      </c>
      <c r="E130" s="3" t="s">
        <v>104</v>
      </c>
      <c r="F130" s="3" t="s">
        <v>105</v>
      </c>
      <c r="G130" s="6">
        <v>25</v>
      </c>
      <c r="H130" s="6">
        <v>12</v>
      </c>
      <c r="I130" s="6">
        <v>300</v>
      </c>
      <c r="J130" s="6">
        <v>19396.54</v>
      </c>
    </row>
    <row r="131" spans="1:10" outlineLevel="1" x14ac:dyDescent="0.25">
      <c r="A131" s="8" t="s">
        <v>18</v>
      </c>
      <c r="B131" s="3" t="s">
        <v>177</v>
      </c>
      <c r="C131" s="3" t="s">
        <v>4</v>
      </c>
      <c r="D131" s="3" t="s">
        <v>178</v>
      </c>
      <c r="E131" s="3" t="s">
        <v>172</v>
      </c>
      <c r="F131" s="3" t="s">
        <v>173</v>
      </c>
      <c r="G131" s="6">
        <v>25</v>
      </c>
      <c r="H131" s="6">
        <v>12</v>
      </c>
      <c r="I131" s="6">
        <v>300</v>
      </c>
      <c r="J131" s="6">
        <v>19696.54</v>
      </c>
    </row>
    <row r="132" spans="1:10" outlineLevel="1" x14ac:dyDescent="0.25">
      <c r="A132" s="8" t="s">
        <v>18</v>
      </c>
      <c r="B132" s="3" t="s">
        <v>177</v>
      </c>
      <c r="C132" s="3" t="s">
        <v>4</v>
      </c>
      <c r="D132" s="3" t="s">
        <v>178</v>
      </c>
      <c r="E132" s="3" t="s">
        <v>98</v>
      </c>
      <c r="F132" s="3" t="s">
        <v>99</v>
      </c>
      <c r="G132" s="6">
        <v>17</v>
      </c>
      <c r="H132" s="6">
        <v>12.5</v>
      </c>
      <c r="I132" s="6">
        <v>212.5</v>
      </c>
      <c r="J132" s="6">
        <v>19909.04</v>
      </c>
    </row>
    <row r="133" spans="1:10" outlineLevel="1" x14ac:dyDescent="0.25">
      <c r="A133" s="8" t="s">
        <v>18</v>
      </c>
      <c r="B133" s="3" t="s">
        <v>177</v>
      </c>
      <c r="C133" s="3" t="s">
        <v>4</v>
      </c>
      <c r="D133" s="3" t="s">
        <v>178</v>
      </c>
      <c r="E133" s="3" t="s">
        <v>100</v>
      </c>
      <c r="F133" s="3" t="s">
        <v>101</v>
      </c>
      <c r="G133" s="6">
        <v>17</v>
      </c>
      <c r="H133" s="6">
        <v>12.5</v>
      </c>
      <c r="I133" s="6">
        <v>212.5</v>
      </c>
      <c r="J133" s="6">
        <v>20121.54</v>
      </c>
    </row>
    <row r="134" spans="1:10" outlineLevel="1" x14ac:dyDescent="0.25">
      <c r="A134" s="8" t="s">
        <v>18</v>
      </c>
      <c r="B134" s="3" t="s">
        <v>177</v>
      </c>
      <c r="C134" s="3" t="s">
        <v>4</v>
      </c>
      <c r="D134" s="3" t="s">
        <v>178</v>
      </c>
      <c r="E134" s="3" t="s">
        <v>102</v>
      </c>
      <c r="F134" s="3" t="s">
        <v>103</v>
      </c>
      <c r="G134" s="6">
        <v>5</v>
      </c>
      <c r="H134" s="6">
        <v>12.5</v>
      </c>
      <c r="I134" s="6">
        <v>62.5</v>
      </c>
      <c r="J134" s="6">
        <v>20184.04</v>
      </c>
    </row>
    <row r="135" spans="1:10" outlineLevel="1" x14ac:dyDescent="0.25">
      <c r="A135" s="8" t="s">
        <v>18</v>
      </c>
      <c r="B135" s="3" t="s">
        <v>177</v>
      </c>
      <c r="C135" s="3" t="s">
        <v>4</v>
      </c>
      <c r="D135" s="3" t="s">
        <v>178</v>
      </c>
      <c r="E135" s="3" t="s">
        <v>185</v>
      </c>
      <c r="F135" s="3" t="s">
        <v>186</v>
      </c>
      <c r="G135" s="6">
        <v>1</v>
      </c>
      <c r="H135" s="6">
        <v>44</v>
      </c>
      <c r="I135" s="6">
        <v>44</v>
      </c>
      <c r="J135" s="6">
        <v>20228.04</v>
      </c>
    </row>
    <row r="136" spans="1:10" outlineLevel="1" x14ac:dyDescent="0.25">
      <c r="A136" s="8" t="s">
        <v>18</v>
      </c>
      <c r="B136" s="3" t="s">
        <v>177</v>
      </c>
      <c r="C136" s="3" t="s">
        <v>4</v>
      </c>
      <c r="D136" s="3" t="s">
        <v>178</v>
      </c>
      <c r="E136" s="3" t="s">
        <v>187</v>
      </c>
      <c r="F136" s="3" t="s">
        <v>188</v>
      </c>
      <c r="G136" s="6">
        <v>1</v>
      </c>
      <c r="H136" s="6">
        <v>44</v>
      </c>
      <c r="I136" s="6">
        <v>44</v>
      </c>
      <c r="J136" s="6">
        <v>20272.04</v>
      </c>
    </row>
    <row r="137" spans="1:10" outlineLevel="1" x14ac:dyDescent="0.25">
      <c r="A137" s="8" t="s">
        <v>18</v>
      </c>
      <c r="B137" s="3" t="s">
        <v>177</v>
      </c>
      <c r="C137" s="3" t="s">
        <v>4</v>
      </c>
      <c r="D137" s="3" t="s">
        <v>178</v>
      </c>
      <c r="E137" s="3" t="s">
        <v>114</v>
      </c>
      <c r="F137" s="3" t="s">
        <v>115</v>
      </c>
      <c r="G137" s="6">
        <v>2</v>
      </c>
      <c r="H137" s="6">
        <v>45</v>
      </c>
      <c r="I137" s="6">
        <v>90</v>
      </c>
      <c r="J137" s="6">
        <v>20362.04</v>
      </c>
    </row>
    <row r="138" spans="1:10" outlineLevel="1" x14ac:dyDescent="0.25">
      <c r="A138" s="8" t="s">
        <v>18</v>
      </c>
      <c r="B138" s="3" t="s">
        <v>177</v>
      </c>
      <c r="C138" s="3" t="s">
        <v>4</v>
      </c>
      <c r="D138" s="3" t="s">
        <v>178</v>
      </c>
      <c r="E138" s="3" t="s">
        <v>110</v>
      </c>
      <c r="F138" s="3" t="s">
        <v>189</v>
      </c>
      <c r="G138" s="6">
        <v>2</v>
      </c>
      <c r="H138" s="6">
        <v>39</v>
      </c>
      <c r="I138" s="6">
        <v>78</v>
      </c>
      <c r="J138" s="6">
        <v>20440.04</v>
      </c>
    </row>
    <row r="139" spans="1:10" outlineLevel="1" x14ac:dyDescent="0.25">
      <c r="A139" s="8" t="s">
        <v>18</v>
      </c>
      <c r="B139" s="3" t="s">
        <v>177</v>
      </c>
      <c r="C139" s="3" t="s">
        <v>4</v>
      </c>
      <c r="D139" s="3" t="s">
        <v>178</v>
      </c>
      <c r="E139" s="3" t="s">
        <v>190</v>
      </c>
      <c r="F139" s="3" t="s">
        <v>191</v>
      </c>
      <c r="G139" s="6">
        <v>2</v>
      </c>
      <c r="H139" s="6">
        <v>39.9</v>
      </c>
      <c r="I139" s="6">
        <v>79.8</v>
      </c>
      <c r="J139" s="6">
        <v>20519.84</v>
      </c>
    </row>
    <row r="140" spans="1:10" outlineLevel="1" x14ac:dyDescent="0.25">
      <c r="A140" s="8" t="s">
        <v>18</v>
      </c>
      <c r="B140" s="3" t="s">
        <v>177</v>
      </c>
      <c r="C140" s="3" t="s">
        <v>4</v>
      </c>
      <c r="D140" s="3" t="s">
        <v>178</v>
      </c>
      <c r="E140" s="3" t="s">
        <v>192</v>
      </c>
      <c r="F140" s="3" t="s">
        <v>193</v>
      </c>
      <c r="G140" s="6">
        <v>1</v>
      </c>
      <c r="H140" s="6">
        <v>25</v>
      </c>
      <c r="I140" s="6">
        <v>25</v>
      </c>
      <c r="J140" s="6">
        <v>20544.84</v>
      </c>
    </row>
    <row r="141" spans="1:10" outlineLevel="1" x14ac:dyDescent="0.25">
      <c r="A141" s="8" t="s">
        <v>18</v>
      </c>
      <c r="B141" s="3" t="s">
        <v>177</v>
      </c>
      <c r="C141" s="3" t="s">
        <v>4</v>
      </c>
      <c r="D141" s="3" t="s">
        <v>178</v>
      </c>
      <c r="E141" s="3" t="s">
        <v>194</v>
      </c>
      <c r="F141" s="3" t="s">
        <v>195</v>
      </c>
      <c r="G141" s="6">
        <v>1</v>
      </c>
      <c r="H141" s="6">
        <v>29.9</v>
      </c>
      <c r="I141" s="6">
        <v>29.9</v>
      </c>
      <c r="J141" s="6">
        <v>20574.740000000002</v>
      </c>
    </row>
    <row r="142" spans="1:10" outlineLevel="1" x14ac:dyDescent="0.25">
      <c r="A142" s="8" t="s">
        <v>18</v>
      </c>
      <c r="B142" s="3" t="s">
        <v>177</v>
      </c>
      <c r="C142" s="3" t="s">
        <v>4</v>
      </c>
      <c r="D142" s="3" t="s">
        <v>178</v>
      </c>
      <c r="E142" s="3" t="s">
        <v>116</v>
      </c>
      <c r="F142" s="3" t="s">
        <v>196</v>
      </c>
      <c r="G142" s="6">
        <v>2</v>
      </c>
      <c r="H142" s="6">
        <v>21.9</v>
      </c>
      <c r="I142" s="6">
        <v>43.8</v>
      </c>
      <c r="J142" s="6">
        <v>20618.54</v>
      </c>
    </row>
    <row r="143" spans="1:10" outlineLevel="1" x14ac:dyDescent="0.25">
      <c r="A143" s="8" t="s">
        <v>18</v>
      </c>
      <c r="B143" s="3" t="s">
        <v>177</v>
      </c>
      <c r="C143" s="3" t="s">
        <v>4</v>
      </c>
      <c r="D143" s="3" t="s">
        <v>178</v>
      </c>
      <c r="E143" s="3" t="s">
        <v>118</v>
      </c>
      <c r="F143" s="3" t="s">
        <v>119</v>
      </c>
      <c r="G143" s="6">
        <v>2</v>
      </c>
      <c r="H143" s="6">
        <v>25.9</v>
      </c>
      <c r="I143" s="6">
        <v>51.8</v>
      </c>
      <c r="J143" s="6">
        <v>20670.34</v>
      </c>
    </row>
    <row r="144" spans="1:10" outlineLevel="1" x14ac:dyDescent="0.25">
      <c r="A144" s="8" t="s">
        <v>18</v>
      </c>
      <c r="B144" s="3" t="s">
        <v>177</v>
      </c>
      <c r="C144" s="3" t="s">
        <v>4</v>
      </c>
      <c r="D144" s="3" t="s">
        <v>178</v>
      </c>
      <c r="E144" s="3" t="s">
        <v>120</v>
      </c>
      <c r="F144" s="3" t="s">
        <v>121</v>
      </c>
      <c r="G144" s="6">
        <v>1</v>
      </c>
      <c r="H144" s="6">
        <v>13.9</v>
      </c>
      <c r="I144" s="6">
        <v>13.9</v>
      </c>
      <c r="J144" s="6">
        <v>20684.240000000002</v>
      </c>
    </row>
    <row r="145" spans="1:10" outlineLevel="1" x14ac:dyDescent="0.25">
      <c r="A145" s="8" t="s">
        <v>18</v>
      </c>
      <c r="B145" s="3" t="s">
        <v>177</v>
      </c>
      <c r="C145" s="3" t="s">
        <v>4</v>
      </c>
      <c r="D145" s="3" t="s">
        <v>178</v>
      </c>
      <c r="E145" s="3" t="s">
        <v>122</v>
      </c>
      <c r="F145" s="3" t="s">
        <v>123</v>
      </c>
      <c r="G145" s="6">
        <v>2</v>
      </c>
      <c r="H145" s="6">
        <v>25.9</v>
      </c>
      <c r="I145" s="6">
        <v>51.8</v>
      </c>
      <c r="J145" s="6">
        <v>20736.04</v>
      </c>
    </row>
    <row r="146" spans="1:10" outlineLevel="1" x14ac:dyDescent="0.25">
      <c r="A146" s="8" t="s">
        <v>18</v>
      </c>
      <c r="B146" s="3" t="s">
        <v>177</v>
      </c>
      <c r="C146" s="3" t="s">
        <v>4</v>
      </c>
      <c r="D146" s="3" t="s">
        <v>178</v>
      </c>
      <c r="E146" s="3" t="s">
        <v>124</v>
      </c>
      <c r="F146" s="3" t="s">
        <v>125</v>
      </c>
      <c r="G146" s="6">
        <v>1</v>
      </c>
      <c r="H146" s="6">
        <v>46.5</v>
      </c>
      <c r="I146" s="6">
        <v>46.5</v>
      </c>
      <c r="J146" s="6">
        <v>20782.54</v>
      </c>
    </row>
    <row r="147" spans="1:10" outlineLevel="1" x14ac:dyDescent="0.25">
      <c r="A147" s="8" t="s">
        <v>18</v>
      </c>
      <c r="B147" s="3" t="s">
        <v>177</v>
      </c>
      <c r="C147" s="3" t="s">
        <v>4</v>
      </c>
      <c r="D147" s="3" t="s">
        <v>178</v>
      </c>
      <c r="E147" s="3" t="s">
        <v>130</v>
      </c>
      <c r="F147" s="3" t="s">
        <v>131</v>
      </c>
      <c r="G147" s="6">
        <v>1</v>
      </c>
      <c r="H147" s="6">
        <v>19.5</v>
      </c>
      <c r="I147" s="6">
        <v>19.5</v>
      </c>
      <c r="J147" s="6">
        <v>20802.04</v>
      </c>
    </row>
    <row r="148" spans="1:10" outlineLevel="1" x14ac:dyDescent="0.25">
      <c r="A148" s="8" t="s">
        <v>18</v>
      </c>
      <c r="B148" s="3" t="s">
        <v>177</v>
      </c>
      <c r="C148" s="3" t="s">
        <v>4</v>
      </c>
      <c r="D148" s="3" t="s">
        <v>178</v>
      </c>
      <c r="E148" s="3" t="s">
        <v>126</v>
      </c>
      <c r="F148" s="3" t="s">
        <v>127</v>
      </c>
      <c r="G148" s="6">
        <v>2</v>
      </c>
      <c r="H148" s="6">
        <v>25.9</v>
      </c>
      <c r="I148" s="6">
        <v>51.8</v>
      </c>
      <c r="J148" s="6">
        <v>20853.84</v>
      </c>
    </row>
    <row r="149" spans="1:10" outlineLevel="1" x14ac:dyDescent="0.25">
      <c r="A149" s="8" t="s">
        <v>18</v>
      </c>
      <c r="B149" s="3" t="s">
        <v>177</v>
      </c>
      <c r="C149" s="3" t="s">
        <v>4</v>
      </c>
      <c r="D149" s="3" t="s">
        <v>178</v>
      </c>
      <c r="E149" s="3" t="s">
        <v>80</v>
      </c>
      <c r="F149" s="3" t="s">
        <v>81</v>
      </c>
      <c r="G149" s="6">
        <v>10</v>
      </c>
      <c r="H149" s="6">
        <v>13.5</v>
      </c>
      <c r="I149" s="6">
        <v>135</v>
      </c>
      <c r="J149" s="6">
        <v>20988.84</v>
      </c>
    </row>
    <row r="150" spans="1:10" outlineLevel="1" x14ac:dyDescent="0.25">
      <c r="A150" s="8" t="s">
        <v>18</v>
      </c>
      <c r="B150" s="3" t="s">
        <v>177</v>
      </c>
      <c r="C150" s="3" t="s">
        <v>4</v>
      </c>
      <c r="D150" s="3" t="s">
        <v>178</v>
      </c>
      <c r="E150" s="3" t="s">
        <v>82</v>
      </c>
      <c r="F150" s="3" t="s">
        <v>197</v>
      </c>
      <c r="G150" s="6">
        <v>5</v>
      </c>
      <c r="H150" s="6">
        <v>63.9</v>
      </c>
      <c r="I150" s="6">
        <v>319.5</v>
      </c>
      <c r="J150" s="6">
        <v>21308.34</v>
      </c>
    </row>
    <row r="151" spans="1:10" outlineLevel="1" x14ac:dyDescent="0.25">
      <c r="A151" s="8" t="s">
        <v>18</v>
      </c>
      <c r="B151" s="3" t="s">
        <v>198</v>
      </c>
      <c r="C151" s="3" t="s">
        <v>4</v>
      </c>
      <c r="D151" s="3" t="s">
        <v>199</v>
      </c>
      <c r="E151" s="3" t="s">
        <v>21</v>
      </c>
      <c r="F151" s="3" t="s">
        <v>22</v>
      </c>
      <c r="G151" s="6">
        <v>2</v>
      </c>
      <c r="H151" s="6">
        <v>59.9</v>
      </c>
      <c r="I151" s="6">
        <v>119.8</v>
      </c>
      <c r="J151" s="6">
        <v>21428.14</v>
      </c>
    </row>
    <row r="152" spans="1:10" outlineLevel="1" x14ac:dyDescent="0.25">
      <c r="A152" s="8" t="s">
        <v>18</v>
      </c>
      <c r="B152" s="3" t="s">
        <v>198</v>
      </c>
      <c r="C152" s="3" t="s">
        <v>4</v>
      </c>
      <c r="D152" s="3" t="s">
        <v>199</v>
      </c>
      <c r="E152" s="3" t="s">
        <v>98</v>
      </c>
      <c r="F152" s="3" t="s">
        <v>99</v>
      </c>
      <c r="G152" s="6">
        <v>3</v>
      </c>
      <c r="H152" s="6">
        <v>12.5</v>
      </c>
      <c r="I152" s="6">
        <v>37.5</v>
      </c>
      <c r="J152" s="6">
        <v>21465.64</v>
      </c>
    </row>
    <row r="153" spans="1:10" outlineLevel="1" x14ac:dyDescent="0.25">
      <c r="A153" s="8" t="s">
        <v>18</v>
      </c>
      <c r="B153" s="3" t="s">
        <v>198</v>
      </c>
      <c r="C153" s="3" t="s">
        <v>4</v>
      </c>
      <c r="D153" s="3" t="s">
        <v>199</v>
      </c>
      <c r="E153" s="3" t="s">
        <v>108</v>
      </c>
      <c r="F153" s="3" t="s">
        <v>109</v>
      </c>
      <c r="G153" s="6">
        <v>4</v>
      </c>
      <c r="H153" s="6">
        <v>41.9</v>
      </c>
      <c r="I153" s="6">
        <v>167.6</v>
      </c>
      <c r="J153" s="6">
        <v>21633.239999999998</v>
      </c>
    </row>
    <row r="154" spans="1:10" outlineLevel="1" x14ac:dyDescent="0.25">
      <c r="A154" s="8" t="s">
        <v>18</v>
      </c>
      <c r="B154" s="3" t="s">
        <v>198</v>
      </c>
      <c r="C154" s="3" t="s">
        <v>4</v>
      </c>
      <c r="D154" s="3" t="s">
        <v>199</v>
      </c>
      <c r="E154" s="3" t="s">
        <v>96</v>
      </c>
      <c r="F154" s="3" t="s">
        <v>97</v>
      </c>
      <c r="G154" s="6">
        <v>104</v>
      </c>
      <c r="H154" s="6">
        <v>25.9</v>
      </c>
      <c r="I154" s="6">
        <v>2693.6</v>
      </c>
      <c r="J154" s="6">
        <v>24326.839999999997</v>
      </c>
    </row>
    <row r="155" spans="1:10" outlineLevel="1" x14ac:dyDescent="0.25">
      <c r="A155" s="8" t="s">
        <v>18</v>
      </c>
      <c r="B155" s="3" t="s">
        <v>198</v>
      </c>
      <c r="C155" s="3" t="s">
        <v>4</v>
      </c>
      <c r="D155" s="3" t="s">
        <v>199</v>
      </c>
      <c r="E155" s="3" t="s">
        <v>82</v>
      </c>
      <c r="F155" s="3" t="s">
        <v>197</v>
      </c>
      <c r="G155" s="6">
        <v>4</v>
      </c>
      <c r="H155" s="6">
        <v>63.9</v>
      </c>
      <c r="I155" s="6">
        <v>255.6</v>
      </c>
      <c r="J155" s="6">
        <v>24582.439999999995</v>
      </c>
    </row>
    <row r="156" spans="1:10" x14ac:dyDescent="0.25">
      <c r="A156" s="9" t="s">
        <v>200</v>
      </c>
      <c r="I156" s="7">
        <f>I14+I15+I16+I17+I18+I19+I20+I21+I22+I23+I24+I25+I26+I27+I28+I29+I30+I31+I32+I33+I34+I35+I36+I37+I38+I39+I40+I41+I42+I43+I44+I45+I46+I47+I48+I49+I50+I51+I52+I53+I54+I55+I56+I57+I58+I59+I60+I61+I62+I63+I64+I65+I66+I67+I68+I69+I70+I71+I72+I73+I74+I75+I76+I77+I78+I79+I80+I81+I82+I83+I84+I85+I86+I87+I88+I89+I90+I91+I92+I93+I94+I95+I96+I97+I98+I99+I100+I101+I102+I103+I104+I105+I106+I107+I108+I109+I110+I111+I112+I113+I114+I115+I116+I117+I118+I119+I120+I121+I122+I123+I124+I125+I126+I127+I128+I129+I130+I131+I132+I133+I134+I135+I136+I137+I138+I139+I140+I141+I142+I143+I144+I145+I146+I147+I148+I149+I150+I151+I152+I153+I154+I155</f>
        <v>24582.439999999995</v>
      </c>
    </row>
    <row r="157" spans="1:10" x14ac:dyDescent="0.25">
      <c r="A157" s="8" t="s">
        <v>201</v>
      </c>
    </row>
    <row r="158" spans="1:10" outlineLevel="1" x14ac:dyDescent="0.25">
      <c r="A158" s="8" t="s">
        <v>201</v>
      </c>
      <c r="B158" s="3" t="s">
        <v>202</v>
      </c>
      <c r="C158" s="3" t="s">
        <v>4</v>
      </c>
      <c r="D158" s="3" t="s">
        <v>5</v>
      </c>
      <c r="E158" s="3" t="s">
        <v>203</v>
      </c>
      <c r="F158" s="3" t="s">
        <v>204</v>
      </c>
      <c r="G158" s="6">
        <v>840</v>
      </c>
      <c r="H158" s="6">
        <v>12.73</v>
      </c>
      <c r="I158" s="6">
        <v>10693.2</v>
      </c>
      <c r="J158" s="6">
        <v>10693.2</v>
      </c>
    </row>
    <row r="159" spans="1:10" outlineLevel="1" x14ac:dyDescent="0.25">
      <c r="A159" s="8" t="s">
        <v>201</v>
      </c>
      <c r="B159" s="3" t="s">
        <v>202</v>
      </c>
      <c r="C159" s="3" t="s">
        <v>4</v>
      </c>
      <c r="D159" s="3" t="s">
        <v>5</v>
      </c>
      <c r="E159" s="3" t="s">
        <v>205</v>
      </c>
      <c r="F159" s="3" t="s">
        <v>206</v>
      </c>
      <c r="G159" s="6">
        <v>104</v>
      </c>
      <c r="H159" s="6">
        <v>10.06</v>
      </c>
      <c r="I159" s="6">
        <v>1046.24</v>
      </c>
      <c r="J159" s="6">
        <v>11739.44</v>
      </c>
    </row>
    <row r="160" spans="1:10" outlineLevel="1" x14ac:dyDescent="0.25">
      <c r="A160" s="8" t="s">
        <v>201</v>
      </c>
      <c r="B160" s="3" t="s">
        <v>202</v>
      </c>
      <c r="C160" s="3" t="s">
        <v>4</v>
      </c>
      <c r="D160" s="3" t="s">
        <v>5</v>
      </c>
      <c r="E160" s="3" t="s">
        <v>207</v>
      </c>
      <c r="F160" s="3" t="s">
        <v>208</v>
      </c>
      <c r="G160" s="6">
        <v>70</v>
      </c>
      <c r="H160" s="6">
        <v>22.5</v>
      </c>
      <c r="I160" s="6">
        <v>1575</v>
      </c>
      <c r="J160" s="6">
        <v>13314.44</v>
      </c>
    </row>
    <row r="161" spans="1:10" outlineLevel="1" x14ac:dyDescent="0.25">
      <c r="A161" s="8" t="s">
        <v>201</v>
      </c>
      <c r="B161" s="3" t="s">
        <v>202</v>
      </c>
      <c r="C161" s="3" t="s">
        <v>4</v>
      </c>
      <c r="D161" s="3" t="s">
        <v>5</v>
      </c>
      <c r="E161" s="3" t="s">
        <v>209</v>
      </c>
      <c r="F161" s="3" t="s">
        <v>210</v>
      </c>
      <c r="G161" s="6">
        <v>416</v>
      </c>
      <c r="H161" s="6">
        <v>4.9850000000000003</v>
      </c>
      <c r="I161" s="6">
        <v>2073.7600000000002</v>
      </c>
      <c r="J161" s="6">
        <v>15388.2</v>
      </c>
    </row>
    <row r="162" spans="1:10" outlineLevel="1" x14ac:dyDescent="0.25">
      <c r="A162" s="8" t="s">
        <v>201</v>
      </c>
      <c r="B162" s="3" t="s">
        <v>202</v>
      </c>
      <c r="C162" s="3" t="s">
        <v>4</v>
      </c>
      <c r="D162" s="3" t="s">
        <v>5</v>
      </c>
      <c r="E162" s="3" t="s">
        <v>211</v>
      </c>
      <c r="F162" s="3" t="s">
        <v>212</v>
      </c>
      <c r="G162" s="6">
        <v>104</v>
      </c>
      <c r="H162" s="6">
        <v>11.94</v>
      </c>
      <c r="I162" s="6">
        <v>1241.76</v>
      </c>
      <c r="J162" s="6">
        <v>16629.96</v>
      </c>
    </row>
    <row r="163" spans="1:10" outlineLevel="1" x14ac:dyDescent="0.25">
      <c r="A163" s="8" t="s">
        <v>201</v>
      </c>
      <c r="B163" s="3" t="s">
        <v>213</v>
      </c>
      <c r="C163" s="3" t="s">
        <v>214</v>
      </c>
      <c r="D163" s="3" t="s">
        <v>5</v>
      </c>
      <c r="E163" s="3" t="s">
        <v>203</v>
      </c>
      <c r="F163" s="3" t="s">
        <v>204</v>
      </c>
      <c r="G163" s="6">
        <v>-80</v>
      </c>
      <c r="H163" s="6">
        <v>12.73</v>
      </c>
      <c r="I163" s="6">
        <v>-1018.4</v>
      </c>
      <c r="J163" s="6">
        <v>15611.56</v>
      </c>
    </row>
    <row r="164" spans="1:10" outlineLevel="1" x14ac:dyDescent="0.25">
      <c r="A164" s="8" t="s">
        <v>201</v>
      </c>
      <c r="B164" s="3" t="s">
        <v>213</v>
      </c>
      <c r="C164" s="3" t="s">
        <v>214</v>
      </c>
      <c r="D164" s="3" t="s">
        <v>5</v>
      </c>
      <c r="E164" s="3" t="s">
        <v>215</v>
      </c>
      <c r="F164" s="3" t="s">
        <v>216</v>
      </c>
      <c r="G164" s="6">
        <v>-1</v>
      </c>
      <c r="H164" s="6">
        <v>204.88</v>
      </c>
      <c r="I164" s="6">
        <v>-204.88</v>
      </c>
      <c r="J164" s="6">
        <v>15406.68</v>
      </c>
    </row>
    <row r="165" spans="1:10" outlineLevel="1" x14ac:dyDescent="0.25">
      <c r="A165" s="8" t="s">
        <v>201</v>
      </c>
      <c r="B165" s="3" t="s">
        <v>217</v>
      </c>
      <c r="C165" s="3" t="s">
        <v>4</v>
      </c>
      <c r="D165" s="3" t="s">
        <v>5</v>
      </c>
      <c r="E165" s="3" t="s">
        <v>209</v>
      </c>
      <c r="F165" s="3" t="s">
        <v>218</v>
      </c>
      <c r="G165" s="6">
        <v>1664</v>
      </c>
      <c r="H165" s="6">
        <v>5.2350000000000003</v>
      </c>
      <c r="I165" s="6">
        <v>8711.0400000000009</v>
      </c>
      <c r="J165" s="6">
        <v>24117.72</v>
      </c>
    </row>
    <row r="166" spans="1:10" outlineLevel="1" x14ac:dyDescent="0.25">
      <c r="A166" s="8" t="s">
        <v>201</v>
      </c>
      <c r="B166" s="3" t="s">
        <v>217</v>
      </c>
      <c r="C166" s="3" t="s">
        <v>4</v>
      </c>
      <c r="D166" s="3" t="s">
        <v>5</v>
      </c>
      <c r="E166" s="3" t="s">
        <v>205</v>
      </c>
      <c r="F166" s="3" t="s">
        <v>219</v>
      </c>
      <c r="G166" s="6">
        <v>104</v>
      </c>
      <c r="H166" s="6">
        <v>12.44</v>
      </c>
      <c r="I166" s="6">
        <v>1293.76</v>
      </c>
      <c r="J166" s="6">
        <v>25411.48</v>
      </c>
    </row>
    <row r="167" spans="1:10" outlineLevel="1" x14ac:dyDescent="0.25">
      <c r="A167" s="8" t="s">
        <v>201</v>
      </c>
      <c r="B167" s="3" t="s">
        <v>19</v>
      </c>
      <c r="C167" s="3" t="s">
        <v>4</v>
      </c>
      <c r="D167" s="3" t="s">
        <v>5</v>
      </c>
      <c r="E167" s="3" t="s">
        <v>209</v>
      </c>
      <c r="F167" s="3" t="s">
        <v>218</v>
      </c>
      <c r="G167" s="6">
        <v>416</v>
      </c>
      <c r="H167" s="6">
        <v>5.2350000000000003</v>
      </c>
      <c r="I167" s="6">
        <v>2177.7600000000002</v>
      </c>
      <c r="J167" s="6">
        <v>27589.239999999998</v>
      </c>
    </row>
    <row r="168" spans="1:10" outlineLevel="1" x14ac:dyDescent="0.25">
      <c r="A168" s="8" t="s">
        <v>201</v>
      </c>
      <c r="B168" s="3" t="s">
        <v>19</v>
      </c>
      <c r="C168" s="3" t="s">
        <v>4</v>
      </c>
      <c r="D168" s="3" t="s">
        <v>5</v>
      </c>
      <c r="E168" s="3" t="s">
        <v>211</v>
      </c>
      <c r="F168" s="3" t="s">
        <v>220</v>
      </c>
      <c r="G168" s="6">
        <v>208</v>
      </c>
      <c r="H168" s="6">
        <v>12.44</v>
      </c>
      <c r="I168" s="6">
        <v>2587.52</v>
      </c>
      <c r="J168" s="6">
        <v>30176.76</v>
      </c>
    </row>
    <row r="169" spans="1:10" outlineLevel="1" x14ac:dyDescent="0.25">
      <c r="A169" s="8" t="s">
        <v>201</v>
      </c>
      <c r="B169" s="3" t="s">
        <v>19</v>
      </c>
      <c r="C169" s="3" t="s">
        <v>4</v>
      </c>
      <c r="D169" s="3" t="s">
        <v>5</v>
      </c>
      <c r="E169" s="3" t="s">
        <v>221</v>
      </c>
      <c r="F169" s="3" t="s">
        <v>222</v>
      </c>
      <c r="G169" s="6">
        <v>50</v>
      </c>
      <c r="H169" s="6">
        <v>16</v>
      </c>
      <c r="I169" s="6">
        <v>800</v>
      </c>
      <c r="J169" s="6">
        <v>30976.76</v>
      </c>
    </row>
    <row r="170" spans="1:10" outlineLevel="1" x14ac:dyDescent="0.25">
      <c r="A170" s="8" t="s">
        <v>201</v>
      </c>
      <c r="B170" s="3" t="s">
        <v>223</v>
      </c>
      <c r="C170" s="3" t="s">
        <v>214</v>
      </c>
      <c r="D170" s="3" t="s">
        <v>5</v>
      </c>
      <c r="E170" s="3" t="s">
        <v>211</v>
      </c>
      <c r="F170" s="3" t="s">
        <v>220</v>
      </c>
      <c r="G170" s="6">
        <v>-8</v>
      </c>
      <c r="H170" s="6">
        <v>12.44</v>
      </c>
      <c r="I170" s="6">
        <v>-99.52</v>
      </c>
      <c r="J170" s="6">
        <v>30877.239999999998</v>
      </c>
    </row>
    <row r="171" spans="1:10" outlineLevel="1" x14ac:dyDescent="0.25">
      <c r="A171" s="8" t="s">
        <v>201</v>
      </c>
      <c r="B171" s="3" t="s">
        <v>224</v>
      </c>
      <c r="C171" s="3" t="s">
        <v>4</v>
      </c>
      <c r="D171" s="3" t="s">
        <v>225</v>
      </c>
      <c r="E171" s="3" t="s">
        <v>203</v>
      </c>
      <c r="F171" s="3" t="s">
        <v>226</v>
      </c>
      <c r="G171" s="6">
        <v>240</v>
      </c>
      <c r="H171" s="6">
        <v>13.28</v>
      </c>
      <c r="I171" s="6">
        <v>3187.2</v>
      </c>
      <c r="J171" s="6">
        <v>34064.439999999995</v>
      </c>
    </row>
    <row r="172" spans="1:10" outlineLevel="1" x14ac:dyDescent="0.25">
      <c r="A172" s="8" t="s">
        <v>201</v>
      </c>
      <c r="B172" s="3" t="s">
        <v>224</v>
      </c>
      <c r="C172" s="3" t="s">
        <v>4</v>
      </c>
      <c r="D172" s="3" t="s">
        <v>225</v>
      </c>
      <c r="E172" s="3" t="s">
        <v>209</v>
      </c>
      <c r="F172" s="3" t="s">
        <v>218</v>
      </c>
      <c r="G172" s="6">
        <v>824</v>
      </c>
      <c r="H172" s="6">
        <v>5.2350000000000003</v>
      </c>
      <c r="I172" s="6">
        <v>4313.6400000000003</v>
      </c>
      <c r="J172" s="6">
        <v>38378.079999999994</v>
      </c>
    </row>
    <row r="173" spans="1:10" outlineLevel="1" x14ac:dyDescent="0.25">
      <c r="A173" s="8" t="s">
        <v>201</v>
      </c>
      <c r="B173" s="3" t="s">
        <v>224</v>
      </c>
      <c r="C173" s="3" t="s">
        <v>4</v>
      </c>
      <c r="D173" s="3" t="s">
        <v>225</v>
      </c>
      <c r="E173" s="3" t="s">
        <v>205</v>
      </c>
      <c r="F173" s="3" t="s">
        <v>219</v>
      </c>
      <c r="G173" s="6">
        <v>312</v>
      </c>
      <c r="H173" s="6">
        <v>10.56</v>
      </c>
      <c r="I173" s="6">
        <v>3294.72</v>
      </c>
      <c r="J173" s="6">
        <v>41672.799999999996</v>
      </c>
    </row>
    <row r="174" spans="1:10" outlineLevel="1" x14ac:dyDescent="0.25">
      <c r="A174" s="8" t="s">
        <v>201</v>
      </c>
      <c r="B174" s="3" t="s">
        <v>227</v>
      </c>
      <c r="C174" s="3" t="s">
        <v>4</v>
      </c>
      <c r="D174" s="3" t="s">
        <v>228</v>
      </c>
      <c r="E174" s="3" t="s">
        <v>203</v>
      </c>
      <c r="F174" s="3" t="s">
        <v>226</v>
      </c>
      <c r="G174" s="6">
        <v>240</v>
      </c>
      <c r="H174" s="6">
        <v>13.28</v>
      </c>
      <c r="I174" s="6">
        <v>3187.2</v>
      </c>
      <c r="J174" s="6">
        <v>44859.999999999993</v>
      </c>
    </row>
    <row r="175" spans="1:10" outlineLevel="1" x14ac:dyDescent="0.25">
      <c r="A175" s="8" t="s">
        <v>201</v>
      </c>
      <c r="B175" s="3" t="s">
        <v>227</v>
      </c>
      <c r="C175" s="3" t="s">
        <v>4</v>
      </c>
      <c r="D175" s="3" t="s">
        <v>228</v>
      </c>
      <c r="E175" s="3" t="s">
        <v>209</v>
      </c>
      <c r="F175" s="3" t="s">
        <v>218</v>
      </c>
      <c r="G175" s="6">
        <v>832</v>
      </c>
      <c r="H175" s="6">
        <v>5.2350000000000003</v>
      </c>
      <c r="I175" s="6">
        <v>4355.5200000000004</v>
      </c>
      <c r="J175" s="6">
        <v>49215.51999999999</v>
      </c>
    </row>
    <row r="176" spans="1:10" outlineLevel="1" x14ac:dyDescent="0.25">
      <c r="A176" s="8" t="s">
        <v>201</v>
      </c>
      <c r="B176" s="3" t="s">
        <v>227</v>
      </c>
      <c r="C176" s="3" t="s">
        <v>4</v>
      </c>
      <c r="D176" s="3" t="s">
        <v>228</v>
      </c>
      <c r="E176" s="3" t="s">
        <v>211</v>
      </c>
      <c r="F176" s="3" t="s">
        <v>220</v>
      </c>
      <c r="G176" s="6">
        <v>100</v>
      </c>
      <c r="H176" s="6">
        <v>12.44</v>
      </c>
      <c r="I176" s="6">
        <v>1244</v>
      </c>
      <c r="J176" s="6">
        <v>50459.51999999999</v>
      </c>
    </row>
    <row r="177" spans="1:10" outlineLevel="1" x14ac:dyDescent="0.25">
      <c r="A177" s="8" t="s">
        <v>201</v>
      </c>
      <c r="B177" s="3" t="s">
        <v>227</v>
      </c>
      <c r="C177" s="3" t="s">
        <v>4</v>
      </c>
      <c r="D177" s="3" t="s">
        <v>228</v>
      </c>
      <c r="E177" s="3" t="s">
        <v>207</v>
      </c>
      <c r="F177" s="3" t="s">
        <v>229</v>
      </c>
      <c r="G177" s="6">
        <v>70</v>
      </c>
      <c r="H177" s="6">
        <v>24.25</v>
      </c>
      <c r="I177" s="6">
        <v>1697.5</v>
      </c>
      <c r="J177" s="6">
        <v>52157.01999999999</v>
      </c>
    </row>
    <row r="178" spans="1:10" outlineLevel="1" x14ac:dyDescent="0.25">
      <c r="A178" s="8" t="s">
        <v>201</v>
      </c>
      <c r="B178" s="3" t="s">
        <v>227</v>
      </c>
      <c r="C178" s="3" t="s">
        <v>4</v>
      </c>
      <c r="D178" s="3" t="s">
        <v>228</v>
      </c>
      <c r="E178" s="3" t="s">
        <v>221</v>
      </c>
      <c r="F178" s="3" t="s">
        <v>222</v>
      </c>
      <c r="G178" s="6">
        <v>50</v>
      </c>
      <c r="H178" s="6">
        <v>16</v>
      </c>
      <c r="I178" s="6">
        <v>800</v>
      </c>
      <c r="J178" s="6">
        <v>52957.01999999999</v>
      </c>
    </row>
    <row r="179" spans="1:10" outlineLevel="1" x14ac:dyDescent="0.25">
      <c r="A179" s="8" t="s">
        <v>201</v>
      </c>
      <c r="B179" s="3" t="s">
        <v>230</v>
      </c>
      <c r="C179" s="3" t="s">
        <v>214</v>
      </c>
      <c r="D179" s="3" t="s">
        <v>231</v>
      </c>
      <c r="E179" s="3" t="s">
        <v>205</v>
      </c>
      <c r="F179" s="3" t="s">
        <v>219</v>
      </c>
      <c r="G179" s="6">
        <v>-100</v>
      </c>
      <c r="H179" s="6">
        <v>10.56</v>
      </c>
      <c r="I179" s="6">
        <v>-1056</v>
      </c>
      <c r="J179" s="6">
        <v>51901.01999999999</v>
      </c>
    </row>
    <row r="180" spans="1:10" outlineLevel="1" x14ac:dyDescent="0.25">
      <c r="A180" s="8" t="s">
        <v>201</v>
      </c>
      <c r="B180" s="3" t="s">
        <v>230</v>
      </c>
      <c r="C180" s="3" t="s">
        <v>214</v>
      </c>
      <c r="D180" s="3" t="s">
        <v>231</v>
      </c>
      <c r="E180" s="3" t="s">
        <v>209</v>
      </c>
      <c r="F180" s="3" t="s">
        <v>218</v>
      </c>
      <c r="G180" s="6">
        <v>-824</v>
      </c>
      <c r="H180" s="6">
        <v>5.2350000000000003</v>
      </c>
      <c r="I180" s="6">
        <v>-4313.6400000000003</v>
      </c>
      <c r="J180" s="6">
        <v>47587.37999999999</v>
      </c>
    </row>
    <row r="181" spans="1:10" outlineLevel="1" x14ac:dyDescent="0.25">
      <c r="A181" s="8" t="s">
        <v>201</v>
      </c>
      <c r="B181" s="3" t="s">
        <v>230</v>
      </c>
      <c r="C181" s="3" t="s">
        <v>214</v>
      </c>
      <c r="D181" s="3" t="s">
        <v>231</v>
      </c>
      <c r="E181" s="3" t="s">
        <v>209</v>
      </c>
      <c r="F181" s="3" t="s">
        <v>218</v>
      </c>
      <c r="G181" s="6">
        <v>-832</v>
      </c>
      <c r="H181" s="6">
        <v>5.2350000000000003</v>
      </c>
      <c r="I181" s="6">
        <v>-4355.5200000000004</v>
      </c>
      <c r="J181" s="6">
        <v>43231.859999999986</v>
      </c>
    </row>
    <row r="182" spans="1:10" outlineLevel="1" x14ac:dyDescent="0.25">
      <c r="A182" s="8" t="s">
        <v>201</v>
      </c>
      <c r="B182" s="3" t="s">
        <v>232</v>
      </c>
      <c r="C182" s="3" t="s">
        <v>4</v>
      </c>
      <c r="D182" s="3" t="s">
        <v>233</v>
      </c>
      <c r="E182" s="3" t="s">
        <v>203</v>
      </c>
      <c r="F182" s="3" t="s">
        <v>226</v>
      </c>
      <c r="G182" s="6">
        <v>160</v>
      </c>
      <c r="H182" s="6">
        <v>13.28</v>
      </c>
      <c r="I182" s="6">
        <v>2124.8000000000002</v>
      </c>
      <c r="J182" s="6">
        <v>45356.659999999989</v>
      </c>
    </row>
    <row r="183" spans="1:10" outlineLevel="1" x14ac:dyDescent="0.25">
      <c r="A183" s="8" t="s">
        <v>201</v>
      </c>
      <c r="B183" s="3" t="s">
        <v>232</v>
      </c>
      <c r="C183" s="3" t="s">
        <v>4</v>
      </c>
      <c r="D183" s="3" t="s">
        <v>233</v>
      </c>
      <c r="E183" s="3" t="s">
        <v>209</v>
      </c>
      <c r="F183" s="3" t="s">
        <v>218</v>
      </c>
      <c r="G183" s="6">
        <v>832</v>
      </c>
      <c r="H183" s="6">
        <v>5.2350000000000003</v>
      </c>
      <c r="I183" s="6">
        <v>4355.5200000000004</v>
      </c>
      <c r="J183" s="6">
        <v>49712.179999999993</v>
      </c>
    </row>
    <row r="184" spans="1:10" outlineLevel="1" x14ac:dyDescent="0.25">
      <c r="A184" s="8" t="s">
        <v>201</v>
      </c>
      <c r="B184" s="3" t="s">
        <v>232</v>
      </c>
      <c r="C184" s="3" t="s">
        <v>4</v>
      </c>
      <c r="D184" s="3" t="s">
        <v>233</v>
      </c>
      <c r="E184" s="3" t="s">
        <v>234</v>
      </c>
      <c r="F184" s="3" t="s">
        <v>235</v>
      </c>
      <c r="G184" s="6">
        <v>100</v>
      </c>
      <c r="H184" s="6">
        <v>38</v>
      </c>
      <c r="I184" s="6">
        <v>3800</v>
      </c>
      <c r="J184" s="6">
        <v>53512.179999999993</v>
      </c>
    </row>
    <row r="185" spans="1:10" outlineLevel="1" x14ac:dyDescent="0.25">
      <c r="A185" s="8" t="s">
        <v>201</v>
      </c>
      <c r="B185" s="3" t="s">
        <v>236</v>
      </c>
      <c r="C185" s="3" t="s">
        <v>214</v>
      </c>
      <c r="D185" s="3" t="s">
        <v>5</v>
      </c>
      <c r="E185" s="3" t="s">
        <v>209</v>
      </c>
      <c r="F185" s="3" t="s">
        <v>218</v>
      </c>
      <c r="G185" s="6">
        <v>-208</v>
      </c>
      <c r="H185" s="6">
        <v>5.2350000000000003</v>
      </c>
      <c r="I185" s="6">
        <v>-1088.8800000000001</v>
      </c>
      <c r="J185" s="6">
        <v>52423.299999999996</v>
      </c>
    </row>
    <row r="186" spans="1:10" outlineLevel="1" x14ac:dyDescent="0.25">
      <c r="A186" s="8" t="s">
        <v>201</v>
      </c>
      <c r="B186" s="3" t="s">
        <v>237</v>
      </c>
      <c r="C186" s="3" t="s">
        <v>4</v>
      </c>
      <c r="D186" s="3" t="s">
        <v>238</v>
      </c>
      <c r="E186" s="3" t="s">
        <v>203</v>
      </c>
      <c r="F186" s="3" t="s">
        <v>226</v>
      </c>
      <c r="G186" s="6">
        <v>240</v>
      </c>
      <c r="H186" s="6">
        <v>13.28</v>
      </c>
      <c r="I186" s="6">
        <v>3187.2</v>
      </c>
      <c r="J186" s="6">
        <v>55610.499999999993</v>
      </c>
    </row>
    <row r="187" spans="1:10" outlineLevel="1" x14ac:dyDescent="0.25">
      <c r="A187" s="8" t="s">
        <v>201</v>
      </c>
      <c r="B187" s="3" t="s">
        <v>237</v>
      </c>
      <c r="C187" s="3" t="s">
        <v>4</v>
      </c>
      <c r="D187" s="3" t="s">
        <v>238</v>
      </c>
      <c r="E187" s="3" t="s">
        <v>234</v>
      </c>
      <c r="F187" s="3" t="s">
        <v>235</v>
      </c>
      <c r="G187" s="6">
        <v>50</v>
      </c>
      <c r="H187" s="6">
        <v>38</v>
      </c>
      <c r="I187" s="6">
        <v>1900</v>
      </c>
      <c r="J187" s="6">
        <v>57510.499999999993</v>
      </c>
    </row>
    <row r="188" spans="1:10" outlineLevel="1" x14ac:dyDescent="0.25">
      <c r="A188" s="8" t="s">
        <v>201</v>
      </c>
      <c r="B188" s="3" t="s">
        <v>237</v>
      </c>
      <c r="C188" s="3" t="s">
        <v>4</v>
      </c>
      <c r="D188" s="3" t="s">
        <v>238</v>
      </c>
      <c r="E188" s="3" t="s">
        <v>205</v>
      </c>
      <c r="F188" s="3" t="s">
        <v>219</v>
      </c>
      <c r="G188" s="6">
        <v>104</v>
      </c>
      <c r="H188" s="6">
        <v>10.56</v>
      </c>
      <c r="I188" s="6">
        <v>1098.24</v>
      </c>
      <c r="J188" s="6">
        <v>58608.739999999991</v>
      </c>
    </row>
    <row r="189" spans="1:10" outlineLevel="1" x14ac:dyDescent="0.25">
      <c r="A189" s="8" t="s">
        <v>201</v>
      </c>
      <c r="B189" s="3" t="s">
        <v>237</v>
      </c>
      <c r="C189" s="3" t="s">
        <v>4</v>
      </c>
      <c r="D189" s="3" t="s">
        <v>238</v>
      </c>
      <c r="E189" s="3" t="s">
        <v>207</v>
      </c>
      <c r="F189" s="3" t="s">
        <v>229</v>
      </c>
      <c r="G189" s="6">
        <v>70</v>
      </c>
      <c r="H189" s="6">
        <v>24.25</v>
      </c>
      <c r="I189" s="6">
        <v>1697.5</v>
      </c>
      <c r="J189" s="6">
        <v>60306.239999999991</v>
      </c>
    </row>
    <row r="190" spans="1:10" outlineLevel="1" x14ac:dyDescent="0.25">
      <c r="A190" s="8" t="s">
        <v>201</v>
      </c>
      <c r="B190" s="3" t="s">
        <v>237</v>
      </c>
      <c r="C190" s="3" t="s">
        <v>4</v>
      </c>
      <c r="D190" s="3" t="s">
        <v>238</v>
      </c>
      <c r="E190" s="3" t="s">
        <v>209</v>
      </c>
      <c r="F190" s="3" t="s">
        <v>218</v>
      </c>
      <c r="G190" s="6">
        <v>208</v>
      </c>
      <c r="H190" s="6">
        <v>5.2350000000000003</v>
      </c>
      <c r="I190" s="6">
        <v>1088.8800000000001</v>
      </c>
      <c r="J190" s="6">
        <v>61395.119999999988</v>
      </c>
    </row>
    <row r="191" spans="1:10" outlineLevel="1" x14ac:dyDescent="0.25">
      <c r="A191" s="8" t="s">
        <v>201</v>
      </c>
      <c r="B191" s="3" t="s">
        <v>237</v>
      </c>
      <c r="C191" s="3" t="s">
        <v>4</v>
      </c>
      <c r="D191" s="3" t="s">
        <v>238</v>
      </c>
      <c r="E191" s="3" t="s">
        <v>239</v>
      </c>
      <c r="F191" s="3" t="s">
        <v>239</v>
      </c>
      <c r="G191" s="6">
        <v>1</v>
      </c>
      <c r="H191" s="6">
        <v>0</v>
      </c>
      <c r="I191" s="6">
        <v>0</v>
      </c>
      <c r="J191" s="6">
        <v>61395.119999999988</v>
      </c>
    </row>
    <row r="192" spans="1:10" outlineLevel="1" x14ac:dyDescent="0.25">
      <c r="A192" s="8" t="s">
        <v>201</v>
      </c>
      <c r="B192" s="3" t="s">
        <v>237</v>
      </c>
      <c r="C192" s="3" t="s">
        <v>4</v>
      </c>
      <c r="D192" s="3" t="s">
        <v>238</v>
      </c>
      <c r="E192" s="3" t="s">
        <v>240</v>
      </c>
      <c r="F192" s="3" t="s">
        <v>240</v>
      </c>
      <c r="G192" s="6">
        <v>1</v>
      </c>
      <c r="H192" s="6">
        <v>0</v>
      </c>
      <c r="I192" s="6">
        <v>0</v>
      </c>
      <c r="J192" s="6">
        <v>61395.119999999988</v>
      </c>
    </row>
    <row r="193" spans="1:10" outlineLevel="1" x14ac:dyDescent="0.25">
      <c r="A193" s="8" t="s">
        <v>201</v>
      </c>
      <c r="B193" s="3" t="s">
        <v>237</v>
      </c>
      <c r="C193" s="3" t="s">
        <v>4</v>
      </c>
      <c r="D193" s="3" t="s">
        <v>238</v>
      </c>
      <c r="E193" s="3" t="s">
        <v>241</v>
      </c>
      <c r="F193" s="3" t="s">
        <v>241</v>
      </c>
      <c r="G193" s="6">
        <v>1</v>
      </c>
      <c r="H193" s="6">
        <v>0</v>
      </c>
      <c r="I193" s="6">
        <v>0</v>
      </c>
      <c r="J193" s="6">
        <v>61395.119999999988</v>
      </c>
    </row>
    <row r="194" spans="1:10" outlineLevel="1" x14ac:dyDescent="0.25">
      <c r="A194" s="8" t="s">
        <v>201</v>
      </c>
      <c r="B194" s="3" t="s">
        <v>237</v>
      </c>
      <c r="C194" s="3" t="s">
        <v>4</v>
      </c>
      <c r="D194" s="3" t="s">
        <v>238</v>
      </c>
      <c r="E194" s="3" t="s">
        <v>242</v>
      </c>
      <c r="F194" s="3" t="s">
        <v>242</v>
      </c>
      <c r="G194" s="6">
        <v>1</v>
      </c>
      <c r="H194" s="6">
        <v>0</v>
      </c>
      <c r="I194" s="6">
        <v>0</v>
      </c>
      <c r="J194" s="6">
        <v>61395.119999999988</v>
      </c>
    </row>
    <row r="195" spans="1:10" outlineLevel="1" x14ac:dyDescent="0.25">
      <c r="A195" s="8" t="s">
        <v>201</v>
      </c>
      <c r="B195" s="3" t="s">
        <v>237</v>
      </c>
      <c r="C195" s="3" t="s">
        <v>4</v>
      </c>
      <c r="D195" s="3" t="s">
        <v>238</v>
      </c>
      <c r="E195" s="3" t="s">
        <v>243</v>
      </c>
      <c r="F195" s="3" t="s">
        <v>243</v>
      </c>
      <c r="G195" s="6">
        <v>1</v>
      </c>
      <c r="H195" s="6">
        <v>0</v>
      </c>
      <c r="I195" s="6">
        <v>0</v>
      </c>
      <c r="J195" s="6">
        <v>61395.119999999988</v>
      </c>
    </row>
    <row r="196" spans="1:10" outlineLevel="1" x14ac:dyDescent="0.25">
      <c r="A196" s="8" t="s">
        <v>201</v>
      </c>
      <c r="B196" s="3" t="s">
        <v>237</v>
      </c>
      <c r="C196" s="3" t="s">
        <v>4</v>
      </c>
      <c r="D196" s="3" t="s">
        <v>238</v>
      </c>
      <c r="E196" s="3" t="s">
        <v>244</v>
      </c>
      <c r="F196" s="3" t="s">
        <v>244</v>
      </c>
      <c r="G196" s="6">
        <v>1</v>
      </c>
      <c r="H196" s="6">
        <v>0</v>
      </c>
      <c r="I196" s="6">
        <v>0</v>
      </c>
      <c r="J196" s="6">
        <v>61395.119999999988</v>
      </c>
    </row>
    <row r="197" spans="1:10" outlineLevel="1" x14ac:dyDescent="0.25">
      <c r="A197" s="8" t="s">
        <v>201</v>
      </c>
      <c r="B197" s="3" t="s">
        <v>237</v>
      </c>
      <c r="C197" s="3" t="s">
        <v>4</v>
      </c>
      <c r="D197" s="3" t="s">
        <v>238</v>
      </c>
      <c r="E197" s="3" t="s">
        <v>245</v>
      </c>
      <c r="F197" s="3" t="s">
        <v>245</v>
      </c>
      <c r="G197" s="6">
        <v>1</v>
      </c>
      <c r="H197" s="6">
        <v>0</v>
      </c>
      <c r="I197" s="6">
        <v>0</v>
      </c>
      <c r="J197" s="6">
        <v>61395.119999999988</v>
      </c>
    </row>
    <row r="198" spans="1:10" x14ac:dyDescent="0.25">
      <c r="A198" s="9" t="s">
        <v>246</v>
      </c>
      <c r="I198" s="7">
        <f>I158+I159+I160+I161+I162+I163+I164+I165+I166+I167+I168+I169+I170+I171+I172+I173+I174+I175+I176+I177+I178+I179+I180+I181+I182+I183+I184+I185+I186+I187+I188+I189+I190+I191+I192+I193+I194+I195+I196+I197</f>
        <v>61395.119999999988</v>
      </c>
    </row>
    <row r="199" spans="1:10" x14ac:dyDescent="0.25">
      <c r="A199" s="8" t="s">
        <v>247</v>
      </c>
    </row>
    <row r="200" spans="1:10" outlineLevel="1" x14ac:dyDescent="0.25">
      <c r="A200" s="8" t="s">
        <v>247</v>
      </c>
      <c r="B200" s="3" t="s">
        <v>248</v>
      </c>
      <c r="C200" s="3" t="s">
        <v>4</v>
      </c>
      <c r="D200" s="3" t="s">
        <v>249</v>
      </c>
      <c r="E200" s="3" t="s">
        <v>250</v>
      </c>
      <c r="F200" s="3" t="s">
        <v>250</v>
      </c>
      <c r="G200" s="6">
        <v>15</v>
      </c>
      <c r="H200" s="6">
        <v>65.94</v>
      </c>
      <c r="I200" s="6">
        <v>989.1</v>
      </c>
      <c r="J200" s="6">
        <v>989.1</v>
      </c>
    </row>
    <row r="201" spans="1:10" outlineLevel="1" x14ac:dyDescent="0.25">
      <c r="A201" s="8" t="s">
        <v>247</v>
      </c>
      <c r="B201" s="3" t="s">
        <v>251</v>
      </c>
      <c r="C201" s="3" t="s">
        <v>4</v>
      </c>
      <c r="D201" s="3" t="s">
        <v>5</v>
      </c>
      <c r="E201" s="3" t="s">
        <v>250</v>
      </c>
      <c r="F201" s="3" t="s">
        <v>250</v>
      </c>
      <c r="G201" s="6">
        <v>12</v>
      </c>
      <c r="H201" s="6">
        <v>47.94</v>
      </c>
      <c r="I201" s="6">
        <v>575.28</v>
      </c>
      <c r="J201" s="6">
        <v>1564.38</v>
      </c>
    </row>
    <row r="202" spans="1:10" x14ac:dyDescent="0.25">
      <c r="A202" s="9" t="s">
        <v>252</v>
      </c>
      <c r="I202" s="7">
        <f>I200+I201</f>
        <v>1564.38</v>
      </c>
    </row>
    <row r="203" spans="1:10" x14ac:dyDescent="0.25">
      <c r="A203" s="8" t="s">
        <v>253</v>
      </c>
    </row>
    <row r="204" spans="1:10" outlineLevel="1" x14ac:dyDescent="0.25">
      <c r="A204" s="8" t="s">
        <v>253</v>
      </c>
      <c r="B204" s="3" t="s">
        <v>254</v>
      </c>
      <c r="C204" s="3" t="s">
        <v>4</v>
      </c>
      <c r="D204" s="3" t="s">
        <v>255</v>
      </c>
      <c r="E204" s="3" t="s">
        <v>250</v>
      </c>
      <c r="F204" s="3" t="s">
        <v>250</v>
      </c>
      <c r="G204" s="6">
        <v>40</v>
      </c>
      <c r="H204" s="6">
        <v>50.153500000000001</v>
      </c>
      <c r="I204" s="6">
        <v>2006.14</v>
      </c>
      <c r="J204" s="6">
        <v>2006.14</v>
      </c>
    </row>
    <row r="205" spans="1:10" x14ac:dyDescent="0.25">
      <c r="A205" s="9" t="s">
        <v>256</v>
      </c>
      <c r="I205" s="7">
        <f>I204</f>
        <v>2006.14</v>
      </c>
    </row>
    <row r="206" spans="1:10" x14ac:dyDescent="0.25">
      <c r="A206" s="8" t="s">
        <v>257</v>
      </c>
    </row>
    <row r="207" spans="1:10" outlineLevel="1" x14ac:dyDescent="0.25">
      <c r="A207" s="8" t="s">
        <v>257</v>
      </c>
      <c r="B207" s="3" t="s">
        <v>258</v>
      </c>
      <c r="C207" s="3" t="s">
        <v>4</v>
      </c>
      <c r="D207" s="3" t="s">
        <v>259</v>
      </c>
      <c r="E207" s="3" t="s">
        <v>260</v>
      </c>
      <c r="F207" s="3" t="s">
        <v>260</v>
      </c>
      <c r="G207" s="6">
        <v>48</v>
      </c>
      <c r="H207" s="6">
        <v>30</v>
      </c>
      <c r="I207" s="6">
        <v>1440</v>
      </c>
      <c r="J207" s="6">
        <v>1440</v>
      </c>
    </row>
    <row r="208" spans="1:10" outlineLevel="1" x14ac:dyDescent="0.25">
      <c r="A208" s="8" t="s">
        <v>257</v>
      </c>
      <c r="B208" s="3" t="s">
        <v>258</v>
      </c>
      <c r="C208" s="3" t="s">
        <v>4</v>
      </c>
      <c r="D208" s="3" t="s">
        <v>259</v>
      </c>
      <c r="E208" s="3" t="s">
        <v>261</v>
      </c>
      <c r="F208" s="3" t="s">
        <v>261</v>
      </c>
      <c r="G208" s="6">
        <v>12</v>
      </c>
      <c r="H208" s="6">
        <v>30</v>
      </c>
      <c r="I208" s="6">
        <v>360</v>
      </c>
      <c r="J208" s="6">
        <v>1800</v>
      </c>
    </row>
    <row r="209" spans="1:10" outlineLevel="1" x14ac:dyDescent="0.25">
      <c r="A209" s="8" t="s">
        <v>257</v>
      </c>
      <c r="B209" s="3" t="s">
        <v>258</v>
      </c>
      <c r="C209" s="3" t="s">
        <v>4</v>
      </c>
      <c r="D209" s="3" t="s">
        <v>259</v>
      </c>
      <c r="E209" s="3" t="s">
        <v>262</v>
      </c>
      <c r="F209" s="3" t="s">
        <v>262</v>
      </c>
      <c r="G209" s="6">
        <v>4</v>
      </c>
      <c r="H209" s="6">
        <v>36</v>
      </c>
      <c r="I209" s="6">
        <v>144</v>
      </c>
      <c r="J209" s="6">
        <v>1944</v>
      </c>
    </row>
    <row r="210" spans="1:10" outlineLevel="1" x14ac:dyDescent="0.25">
      <c r="A210" s="8" t="s">
        <v>257</v>
      </c>
      <c r="B210" s="3" t="s">
        <v>258</v>
      </c>
      <c r="C210" s="3" t="s">
        <v>4</v>
      </c>
      <c r="D210" s="3" t="s">
        <v>259</v>
      </c>
      <c r="E210" s="3" t="s">
        <v>263</v>
      </c>
      <c r="F210" s="3" t="s">
        <v>263</v>
      </c>
      <c r="G210" s="6">
        <v>4</v>
      </c>
      <c r="H210" s="6">
        <v>36</v>
      </c>
      <c r="I210" s="6">
        <v>144</v>
      </c>
      <c r="J210" s="6">
        <v>2088</v>
      </c>
    </row>
    <row r="211" spans="1:10" outlineLevel="1" x14ac:dyDescent="0.25">
      <c r="A211" s="8" t="s">
        <v>257</v>
      </c>
      <c r="B211" s="3" t="s">
        <v>258</v>
      </c>
      <c r="C211" s="3" t="s">
        <v>4</v>
      </c>
      <c r="D211" s="3" t="s">
        <v>259</v>
      </c>
      <c r="E211" s="3" t="s">
        <v>264</v>
      </c>
      <c r="F211" s="3" t="s">
        <v>264</v>
      </c>
      <c r="G211" s="6">
        <v>4</v>
      </c>
      <c r="H211" s="6">
        <v>36</v>
      </c>
      <c r="I211" s="6">
        <v>144</v>
      </c>
      <c r="J211" s="6">
        <v>2232</v>
      </c>
    </row>
    <row r="212" spans="1:10" x14ac:dyDescent="0.25">
      <c r="A212" s="9" t="s">
        <v>265</v>
      </c>
      <c r="I212" s="7">
        <f>I207+I208+I209+I210+I211</f>
        <v>2232</v>
      </c>
    </row>
    <row r="213" spans="1:10" x14ac:dyDescent="0.25">
      <c r="A213" s="8" t="s">
        <v>266</v>
      </c>
    </row>
    <row r="214" spans="1:10" outlineLevel="1" x14ac:dyDescent="0.25">
      <c r="A214" s="8" t="s">
        <v>266</v>
      </c>
      <c r="B214" s="3" t="s">
        <v>267</v>
      </c>
      <c r="C214" s="3" t="s">
        <v>4</v>
      </c>
      <c r="D214" s="3" t="s">
        <v>5</v>
      </c>
      <c r="E214" s="3" t="s">
        <v>268</v>
      </c>
      <c r="F214" s="3" t="s">
        <v>269</v>
      </c>
      <c r="G214" s="6">
        <v>1</v>
      </c>
      <c r="H214" s="6">
        <v>75</v>
      </c>
      <c r="I214" s="6">
        <v>75</v>
      </c>
      <c r="J214" s="6">
        <v>75</v>
      </c>
    </row>
    <row r="215" spans="1:10" outlineLevel="1" x14ac:dyDescent="0.25">
      <c r="A215" s="8" t="s">
        <v>266</v>
      </c>
      <c r="B215" s="3" t="s">
        <v>267</v>
      </c>
      <c r="C215" s="3" t="s">
        <v>4</v>
      </c>
      <c r="D215" s="3" t="s">
        <v>5</v>
      </c>
      <c r="E215" s="3" t="s">
        <v>270</v>
      </c>
      <c r="F215" s="3" t="s">
        <v>270</v>
      </c>
      <c r="G215" s="6">
        <v>1</v>
      </c>
      <c r="H215" s="6">
        <v>148</v>
      </c>
      <c r="I215" s="6">
        <v>148</v>
      </c>
      <c r="J215" s="6">
        <v>223</v>
      </c>
    </row>
    <row r="216" spans="1:10" x14ac:dyDescent="0.25">
      <c r="A216" s="9" t="s">
        <v>271</v>
      </c>
      <c r="I216" s="7">
        <f>I214+I215</f>
        <v>223</v>
      </c>
    </row>
    <row r="217" spans="1:10" x14ac:dyDescent="0.25">
      <c r="A217" s="8" t="s">
        <v>272</v>
      </c>
    </row>
    <row r="218" spans="1:10" outlineLevel="1" x14ac:dyDescent="0.25">
      <c r="A218" s="8" t="s">
        <v>272</v>
      </c>
      <c r="B218" s="3" t="s">
        <v>273</v>
      </c>
      <c r="C218" s="3" t="s">
        <v>4</v>
      </c>
      <c r="D218" s="3" t="s">
        <v>5</v>
      </c>
      <c r="E218" s="3" t="s">
        <v>274</v>
      </c>
      <c r="F218" s="3" t="s">
        <v>275</v>
      </c>
      <c r="G218" s="6">
        <v>1</v>
      </c>
      <c r="H218" s="6">
        <v>32.5</v>
      </c>
      <c r="I218" s="6">
        <v>32.5</v>
      </c>
      <c r="J218" s="6">
        <v>32.5</v>
      </c>
    </row>
    <row r="219" spans="1:10" outlineLevel="1" x14ac:dyDescent="0.25">
      <c r="A219" s="8" t="s">
        <v>272</v>
      </c>
      <c r="B219" s="3" t="s">
        <v>273</v>
      </c>
      <c r="C219" s="3" t="s">
        <v>4</v>
      </c>
      <c r="D219" s="3" t="s">
        <v>5</v>
      </c>
      <c r="E219" s="3" t="s">
        <v>276</v>
      </c>
      <c r="F219" s="3" t="s">
        <v>277</v>
      </c>
      <c r="G219" s="6">
        <v>1</v>
      </c>
      <c r="H219" s="6">
        <v>30</v>
      </c>
      <c r="I219" s="6">
        <v>30</v>
      </c>
      <c r="J219" s="6">
        <v>62.5</v>
      </c>
    </row>
    <row r="220" spans="1:10" outlineLevel="1" x14ac:dyDescent="0.25">
      <c r="A220" s="8" t="s">
        <v>272</v>
      </c>
      <c r="B220" s="3" t="s">
        <v>273</v>
      </c>
      <c r="C220" s="3" t="s">
        <v>4</v>
      </c>
      <c r="D220" s="3" t="s">
        <v>5</v>
      </c>
      <c r="E220" s="3" t="s">
        <v>278</v>
      </c>
      <c r="F220" s="3" t="s">
        <v>279</v>
      </c>
      <c r="G220" s="6">
        <v>1</v>
      </c>
      <c r="H220" s="6">
        <v>36</v>
      </c>
      <c r="I220" s="6">
        <v>36</v>
      </c>
      <c r="J220" s="6">
        <v>98.5</v>
      </c>
    </row>
    <row r="221" spans="1:10" outlineLevel="1" x14ac:dyDescent="0.25">
      <c r="A221" s="8" t="s">
        <v>272</v>
      </c>
      <c r="B221" s="3" t="s">
        <v>273</v>
      </c>
      <c r="C221" s="3" t="s">
        <v>4</v>
      </c>
      <c r="D221" s="3" t="s">
        <v>5</v>
      </c>
      <c r="E221" s="3" t="s">
        <v>280</v>
      </c>
      <c r="F221" s="3" t="s">
        <v>281</v>
      </c>
      <c r="G221" s="6">
        <v>1</v>
      </c>
      <c r="H221" s="6">
        <v>40</v>
      </c>
      <c r="I221" s="6">
        <v>40</v>
      </c>
      <c r="J221" s="6">
        <v>138.5</v>
      </c>
    </row>
    <row r="222" spans="1:10" outlineLevel="1" x14ac:dyDescent="0.25">
      <c r="A222" s="8" t="s">
        <v>272</v>
      </c>
      <c r="B222" s="3" t="s">
        <v>273</v>
      </c>
      <c r="C222" s="3" t="s">
        <v>4</v>
      </c>
      <c r="D222" s="3" t="s">
        <v>5</v>
      </c>
      <c r="E222" s="3" t="s">
        <v>282</v>
      </c>
      <c r="F222" s="3" t="s">
        <v>283</v>
      </c>
      <c r="G222" s="6">
        <v>1</v>
      </c>
      <c r="H222" s="6">
        <v>60</v>
      </c>
      <c r="I222" s="6">
        <v>60</v>
      </c>
      <c r="J222" s="6">
        <v>198.5</v>
      </c>
    </row>
    <row r="223" spans="1:10" outlineLevel="1" x14ac:dyDescent="0.25">
      <c r="A223" s="8" t="s">
        <v>272</v>
      </c>
      <c r="B223" s="3" t="s">
        <v>273</v>
      </c>
      <c r="C223" s="3" t="s">
        <v>4</v>
      </c>
      <c r="D223" s="3" t="s">
        <v>5</v>
      </c>
      <c r="E223" s="3" t="s">
        <v>284</v>
      </c>
      <c r="F223" s="3" t="s">
        <v>285</v>
      </c>
      <c r="G223" s="6">
        <v>1</v>
      </c>
      <c r="H223" s="6">
        <v>36</v>
      </c>
      <c r="I223" s="6">
        <v>36</v>
      </c>
      <c r="J223" s="6">
        <v>234.5</v>
      </c>
    </row>
    <row r="224" spans="1:10" outlineLevel="1" x14ac:dyDescent="0.25">
      <c r="A224" s="8" t="s">
        <v>272</v>
      </c>
      <c r="B224" s="3" t="s">
        <v>273</v>
      </c>
      <c r="C224" s="3" t="s">
        <v>4</v>
      </c>
      <c r="D224" s="3" t="s">
        <v>5</v>
      </c>
      <c r="E224" s="3" t="s">
        <v>286</v>
      </c>
      <c r="F224" s="3" t="s">
        <v>287</v>
      </c>
      <c r="G224" s="6">
        <v>1</v>
      </c>
      <c r="H224" s="6">
        <v>45</v>
      </c>
      <c r="I224" s="6">
        <v>45</v>
      </c>
      <c r="J224" s="6">
        <v>279.5</v>
      </c>
    </row>
    <row r="225" spans="1:10" outlineLevel="1" x14ac:dyDescent="0.25">
      <c r="A225" s="8" t="s">
        <v>272</v>
      </c>
      <c r="B225" s="3" t="s">
        <v>273</v>
      </c>
      <c r="C225" s="3" t="s">
        <v>4</v>
      </c>
      <c r="D225" s="3" t="s">
        <v>5</v>
      </c>
      <c r="E225" s="3" t="s">
        <v>288</v>
      </c>
      <c r="F225" s="3" t="s">
        <v>289</v>
      </c>
      <c r="G225" s="6">
        <v>1</v>
      </c>
      <c r="H225" s="6">
        <v>48</v>
      </c>
      <c r="I225" s="6">
        <v>48</v>
      </c>
      <c r="J225" s="6">
        <v>327.5</v>
      </c>
    </row>
    <row r="226" spans="1:10" outlineLevel="1" x14ac:dyDescent="0.25">
      <c r="A226" s="8" t="s">
        <v>272</v>
      </c>
      <c r="B226" s="3" t="s">
        <v>273</v>
      </c>
      <c r="C226" s="3" t="s">
        <v>4</v>
      </c>
      <c r="D226" s="3" t="s">
        <v>5</v>
      </c>
      <c r="E226" s="3" t="s">
        <v>290</v>
      </c>
      <c r="F226" s="3" t="s">
        <v>291</v>
      </c>
      <c r="G226" s="6">
        <v>1</v>
      </c>
      <c r="H226" s="6">
        <v>28</v>
      </c>
      <c r="I226" s="6">
        <v>28</v>
      </c>
      <c r="J226" s="6">
        <v>355.5</v>
      </c>
    </row>
    <row r="227" spans="1:10" outlineLevel="1" x14ac:dyDescent="0.25">
      <c r="A227" s="8" t="s">
        <v>272</v>
      </c>
      <c r="B227" s="3" t="s">
        <v>273</v>
      </c>
      <c r="C227" s="3" t="s">
        <v>4</v>
      </c>
      <c r="D227" s="3" t="s">
        <v>5</v>
      </c>
      <c r="E227" s="3" t="s">
        <v>292</v>
      </c>
      <c r="F227" s="3" t="s">
        <v>293</v>
      </c>
      <c r="G227" s="6">
        <v>1</v>
      </c>
      <c r="H227" s="6">
        <v>28</v>
      </c>
      <c r="I227" s="6">
        <v>28</v>
      </c>
      <c r="J227" s="6">
        <v>383.5</v>
      </c>
    </row>
    <row r="228" spans="1:10" outlineLevel="1" x14ac:dyDescent="0.25">
      <c r="A228" s="8" t="s">
        <v>272</v>
      </c>
      <c r="B228" s="3" t="s">
        <v>273</v>
      </c>
      <c r="C228" s="3" t="s">
        <v>4</v>
      </c>
      <c r="D228" s="3" t="s">
        <v>5</v>
      </c>
      <c r="E228" s="3" t="s">
        <v>294</v>
      </c>
      <c r="F228" s="3" t="s">
        <v>295</v>
      </c>
      <c r="G228" s="6">
        <v>1</v>
      </c>
      <c r="H228" s="6">
        <v>30</v>
      </c>
      <c r="I228" s="6">
        <v>30</v>
      </c>
      <c r="J228" s="6">
        <v>413.5</v>
      </c>
    </row>
    <row r="229" spans="1:10" outlineLevel="1" x14ac:dyDescent="0.25">
      <c r="A229" s="8" t="s">
        <v>272</v>
      </c>
      <c r="B229" s="3" t="s">
        <v>273</v>
      </c>
      <c r="C229" s="3" t="s">
        <v>4</v>
      </c>
      <c r="D229" s="3" t="s">
        <v>5</v>
      </c>
      <c r="E229" s="3" t="s">
        <v>296</v>
      </c>
      <c r="F229" s="3" t="s">
        <v>297</v>
      </c>
      <c r="G229" s="6">
        <v>1</v>
      </c>
      <c r="H229" s="6">
        <v>19</v>
      </c>
      <c r="I229" s="6">
        <v>19</v>
      </c>
      <c r="J229" s="6">
        <v>432.5</v>
      </c>
    </row>
    <row r="230" spans="1:10" outlineLevel="1" x14ac:dyDescent="0.25">
      <c r="A230" s="8" t="s">
        <v>272</v>
      </c>
      <c r="B230" s="3" t="s">
        <v>273</v>
      </c>
      <c r="C230" s="3" t="s">
        <v>4</v>
      </c>
      <c r="D230" s="3" t="s">
        <v>5</v>
      </c>
      <c r="E230" s="3" t="s">
        <v>298</v>
      </c>
      <c r="F230" s="3" t="s">
        <v>299</v>
      </c>
      <c r="G230" s="6">
        <v>1</v>
      </c>
      <c r="H230" s="6">
        <v>17</v>
      </c>
      <c r="I230" s="6">
        <v>17</v>
      </c>
      <c r="J230" s="6">
        <v>449.5</v>
      </c>
    </row>
    <row r="231" spans="1:10" outlineLevel="1" x14ac:dyDescent="0.25">
      <c r="A231" s="8" t="s">
        <v>272</v>
      </c>
      <c r="B231" s="3" t="s">
        <v>273</v>
      </c>
      <c r="C231" s="3" t="s">
        <v>4</v>
      </c>
      <c r="D231" s="3" t="s">
        <v>5</v>
      </c>
      <c r="E231" s="3" t="s">
        <v>300</v>
      </c>
      <c r="F231" s="3" t="s">
        <v>301</v>
      </c>
      <c r="G231" s="6">
        <v>1</v>
      </c>
      <c r="H231" s="6">
        <v>19.8</v>
      </c>
      <c r="I231" s="6">
        <v>19.8</v>
      </c>
      <c r="J231" s="6">
        <v>469.3</v>
      </c>
    </row>
    <row r="232" spans="1:10" outlineLevel="1" x14ac:dyDescent="0.25">
      <c r="A232" s="8" t="s">
        <v>272</v>
      </c>
      <c r="B232" s="3" t="s">
        <v>273</v>
      </c>
      <c r="C232" s="3" t="s">
        <v>4</v>
      </c>
      <c r="D232" s="3" t="s">
        <v>5</v>
      </c>
      <c r="E232" s="3" t="s">
        <v>302</v>
      </c>
      <c r="F232" s="3" t="s">
        <v>303</v>
      </c>
      <c r="G232" s="6">
        <v>1</v>
      </c>
      <c r="H232" s="6">
        <v>28</v>
      </c>
      <c r="I232" s="6">
        <v>28</v>
      </c>
      <c r="J232" s="6">
        <v>497.3</v>
      </c>
    </row>
    <row r="233" spans="1:10" outlineLevel="1" x14ac:dyDescent="0.25">
      <c r="A233" s="8" t="s">
        <v>272</v>
      </c>
      <c r="B233" s="3" t="s">
        <v>273</v>
      </c>
      <c r="C233" s="3" t="s">
        <v>4</v>
      </c>
      <c r="D233" s="3" t="s">
        <v>5</v>
      </c>
      <c r="E233" s="3" t="s">
        <v>304</v>
      </c>
      <c r="F233" s="3" t="s">
        <v>305</v>
      </c>
      <c r="G233" s="6">
        <v>1</v>
      </c>
      <c r="H233" s="6">
        <v>13</v>
      </c>
      <c r="I233" s="6">
        <v>13</v>
      </c>
      <c r="J233" s="6">
        <v>510.3</v>
      </c>
    </row>
    <row r="234" spans="1:10" outlineLevel="1" x14ac:dyDescent="0.25">
      <c r="A234" s="8" t="s">
        <v>272</v>
      </c>
      <c r="B234" s="3" t="s">
        <v>273</v>
      </c>
      <c r="C234" s="3" t="s">
        <v>4</v>
      </c>
      <c r="D234" s="3" t="s">
        <v>5</v>
      </c>
      <c r="E234" s="3" t="s">
        <v>306</v>
      </c>
      <c r="F234" s="3" t="s">
        <v>307</v>
      </c>
      <c r="G234" s="6">
        <v>1</v>
      </c>
      <c r="H234" s="6">
        <v>30</v>
      </c>
      <c r="I234" s="6">
        <v>30</v>
      </c>
      <c r="J234" s="6">
        <v>540.29999999999995</v>
      </c>
    </row>
    <row r="235" spans="1:10" outlineLevel="1" x14ac:dyDescent="0.25">
      <c r="A235" s="8" t="s">
        <v>272</v>
      </c>
      <c r="B235" s="3" t="s">
        <v>273</v>
      </c>
      <c r="C235" s="3" t="s">
        <v>4</v>
      </c>
      <c r="D235" s="3" t="s">
        <v>5</v>
      </c>
      <c r="E235" s="3" t="s">
        <v>308</v>
      </c>
      <c r="F235" s="3" t="s">
        <v>309</v>
      </c>
      <c r="G235" s="6">
        <v>1</v>
      </c>
      <c r="H235" s="6">
        <v>25</v>
      </c>
      <c r="I235" s="6">
        <v>25</v>
      </c>
      <c r="J235" s="6">
        <v>565.29999999999995</v>
      </c>
    </row>
    <row r="236" spans="1:10" outlineLevel="1" x14ac:dyDescent="0.25">
      <c r="A236" s="8" t="s">
        <v>272</v>
      </c>
      <c r="B236" s="3" t="s">
        <v>273</v>
      </c>
      <c r="C236" s="3" t="s">
        <v>4</v>
      </c>
      <c r="D236" s="3" t="s">
        <v>5</v>
      </c>
      <c r="E236" s="3" t="s">
        <v>310</v>
      </c>
      <c r="F236" s="3" t="s">
        <v>311</v>
      </c>
      <c r="G236" s="6">
        <v>1</v>
      </c>
      <c r="H236" s="6">
        <v>22</v>
      </c>
      <c r="I236" s="6">
        <v>22</v>
      </c>
      <c r="J236" s="6">
        <v>587.29999999999995</v>
      </c>
    </row>
    <row r="237" spans="1:10" outlineLevel="1" x14ac:dyDescent="0.25">
      <c r="A237" s="8" t="s">
        <v>272</v>
      </c>
      <c r="B237" s="3" t="s">
        <v>273</v>
      </c>
      <c r="C237" s="3" t="s">
        <v>4</v>
      </c>
      <c r="D237" s="3" t="s">
        <v>5</v>
      </c>
      <c r="E237" s="3" t="s">
        <v>312</v>
      </c>
      <c r="F237" s="3" t="s">
        <v>313</v>
      </c>
      <c r="G237" s="6">
        <v>1</v>
      </c>
      <c r="H237" s="6">
        <v>24</v>
      </c>
      <c r="I237" s="6">
        <v>24</v>
      </c>
      <c r="J237" s="6">
        <v>611.29999999999995</v>
      </c>
    </row>
    <row r="238" spans="1:10" outlineLevel="1" x14ac:dyDescent="0.25">
      <c r="A238" s="8" t="s">
        <v>272</v>
      </c>
      <c r="B238" s="3" t="s">
        <v>273</v>
      </c>
      <c r="C238" s="3" t="s">
        <v>4</v>
      </c>
      <c r="D238" s="3" t="s">
        <v>5</v>
      </c>
      <c r="E238" s="3" t="s">
        <v>314</v>
      </c>
      <c r="F238" s="3" t="s">
        <v>315</v>
      </c>
      <c r="G238" s="6">
        <v>1</v>
      </c>
      <c r="H238" s="6">
        <v>36</v>
      </c>
      <c r="I238" s="6">
        <v>36</v>
      </c>
      <c r="J238" s="6">
        <v>647.29999999999995</v>
      </c>
    </row>
    <row r="239" spans="1:10" outlineLevel="1" x14ac:dyDescent="0.25">
      <c r="A239" s="8" t="s">
        <v>272</v>
      </c>
      <c r="B239" s="3" t="s">
        <v>273</v>
      </c>
      <c r="C239" s="3" t="s">
        <v>4</v>
      </c>
      <c r="D239" s="3" t="s">
        <v>5</v>
      </c>
      <c r="E239" s="3" t="s">
        <v>316</v>
      </c>
      <c r="F239" s="3" t="s">
        <v>317</v>
      </c>
      <c r="G239" s="6">
        <v>1</v>
      </c>
      <c r="H239" s="6">
        <v>24</v>
      </c>
      <c r="I239" s="6">
        <v>24</v>
      </c>
      <c r="J239" s="6">
        <v>671.3</v>
      </c>
    </row>
    <row r="240" spans="1:10" outlineLevel="1" x14ac:dyDescent="0.25">
      <c r="A240" s="8" t="s">
        <v>272</v>
      </c>
      <c r="B240" s="3" t="s">
        <v>273</v>
      </c>
      <c r="C240" s="3" t="s">
        <v>4</v>
      </c>
      <c r="D240" s="3" t="s">
        <v>5</v>
      </c>
      <c r="E240" s="3" t="s">
        <v>318</v>
      </c>
      <c r="F240" s="3" t="s">
        <v>319</v>
      </c>
      <c r="G240" s="6">
        <v>1</v>
      </c>
      <c r="H240" s="6">
        <v>30</v>
      </c>
      <c r="I240" s="6">
        <v>30</v>
      </c>
      <c r="J240" s="6">
        <v>701.3</v>
      </c>
    </row>
    <row r="241" spans="1:10" outlineLevel="1" x14ac:dyDescent="0.25">
      <c r="A241" s="8" t="s">
        <v>272</v>
      </c>
      <c r="B241" s="3" t="s">
        <v>273</v>
      </c>
      <c r="C241" s="3" t="s">
        <v>4</v>
      </c>
      <c r="D241" s="3" t="s">
        <v>5</v>
      </c>
      <c r="E241" s="3" t="s">
        <v>320</v>
      </c>
      <c r="F241" s="3" t="s">
        <v>321</v>
      </c>
      <c r="G241" s="6">
        <v>1</v>
      </c>
      <c r="H241" s="6">
        <v>24</v>
      </c>
      <c r="I241" s="6">
        <v>24</v>
      </c>
      <c r="J241" s="6">
        <v>725.3</v>
      </c>
    </row>
    <row r="242" spans="1:10" outlineLevel="1" x14ac:dyDescent="0.25">
      <c r="A242" s="8" t="s">
        <v>272</v>
      </c>
      <c r="B242" s="3" t="s">
        <v>273</v>
      </c>
      <c r="C242" s="3" t="s">
        <v>4</v>
      </c>
      <c r="D242" s="3" t="s">
        <v>5</v>
      </c>
      <c r="E242" s="3" t="s">
        <v>322</v>
      </c>
      <c r="F242" s="3" t="s">
        <v>323</v>
      </c>
      <c r="G242" s="6">
        <v>1</v>
      </c>
      <c r="H242" s="6">
        <v>24</v>
      </c>
      <c r="I242" s="6">
        <v>24</v>
      </c>
      <c r="J242" s="6">
        <v>749.3</v>
      </c>
    </row>
    <row r="243" spans="1:10" outlineLevel="1" x14ac:dyDescent="0.25">
      <c r="A243" s="8" t="s">
        <v>272</v>
      </c>
      <c r="B243" s="3" t="s">
        <v>273</v>
      </c>
      <c r="C243" s="3" t="s">
        <v>4</v>
      </c>
      <c r="D243" s="3" t="s">
        <v>5</v>
      </c>
      <c r="E243" s="3" t="s">
        <v>324</v>
      </c>
      <c r="F243" s="3" t="s">
        <v>325</v>
      </c>
      <c r="G243" s="6">
        <v>1</v>
      </c>
      <c r="H243" s="6">
        <v>26</v>
      </c>
      <c r="I243" s="6">
        <v>26</v>
      </c>
      <c r="J243" s="6">
        <v>775.3</v>
      </c>
    </row>
    <row r="244" spans="1:10" outlineLevel="1" x14ac:dyDescent="0.25">
      <c r="A244" s="8" t="s">
        <v>272</v>
      </c>
      <c r="B244" s="3" t="s">
        <v>273</v>
      </c>
      <c r="C244" s="3" t="s">
        <v>4</v>
      </c>
      <c r="D244" s="3" t="s">
        <v>5</v>
      </c>
      <c r="E244" s="3" t="s">
        <v>326</v>
      </c>
      <c r="F244" s="3" t="s">
        <v>327</v>
      </c>
      <c r="G244" s="6">
        <v>1</v>
      </c>
      <c r="H244" s="6">
        <v>28</v>
      </c>
      <c r="I244" s="6">
        <v>28</v>
      </c>
      <c r="J244" s="6">
        <v>803.3</v>
      </c>
    </row>
    <row r="245" spans="1:10" outlineLevel="1" x14ac:dyDescent="0.25">
      <c r="A245" s="8" t="s">
        <v>272</v>
      </c>
      <c r="B245" s="3" t="s">
        <v>273</v>
      </c>
      <c r="C245" s="3" t="s">
        <v>4</v>
      </c>
      <c r="D245" s="3" t="s">
        <v>5</v>
      </c>
      <c r="E245" s="3" t="s">
        <v>328</v>
      </c>
      <c r="F245" s="3" t="s">
        <v>329</v>
      </c>
      <c r="G245" s="6">
        <v>1</v>
      </c>
      <c r="H245" s="6">
        <v>82.5</v>
      </c>
      <c r="I245" s="6">
        <v>82.5</v>
      </c>
      <c r="J245" s="6">
        <v>885.8</v>
      </c>
    </row>
    <row r="246" spans="1:10" outlineLevel="1" x14ac:dyDescent="0.25">
      <c r="A246" s="8" t="s">
        <v>272</v>
      </c>
      <c r="B246" s="3" t="s">
        <v>273</v>
      </c>
      <c r="C246" s="3" t="s">
        <v>4</v>
      </c>
      <c r="D246" s="3" t="s">
        <v>5</v>
      </c>
      <c r="E246" s="3" t="s">
        <v>37</v>
      </c>
      <c r="F246" s="3" t="s">
        <v>330</v>
      </c>
      <c r="G246" s="6">
        <v>1</v>
      </c>
      <c r="H246" s="6">
        <v>99</v>
      </c>
      <c r="I246" s="6">
        <v>99</v>
      </c>
      <c r="J246" s="6">
        <v>984.8</v>
      </c>
    </row>
    <row r="247" spans="1:10" outlineLevel="1" x14ac:dyDescent="0.25">
      <c r="A247" s="8" t="s">
        <v>272</v>
      </c>
      <c r="B247" s="3" t="s">
        <v>273</v>
      </c>
      <c r="C247" s="3" t="s">
        <v>4</v>
      </c>
      <c r="D247" s="3" t="s">
        <v>5</v>
      </c>
      <c r="E247" s="3" t="s">
        <v>331</v>
      </c>
      <c r="F247" s="3" t="s">
        <v>332</v>
      </c>
      <c r="G247" s="6">
        <v>1</v>
      </c>
      <c r="H247" s="6">
        <v>31.8</v>
      </c>
      <c r="I247" s="6">
        <v>31.8</v>
      </c>
      <c r="J247" s="6">
        <v>1016.5999999999999</v>
      </c>
    </row>
    <row r="248" spans="1:10" outlineLevel="1" x14ac:dyDescent="0.25">
      <c r="A248" s="8" t="s">
        <v>272</v>
      </c>
      <c r="B248" s="3" t="s">
        <v>273</v>
      </c>
      <c r="C248" s="3" t="s">
        <v>4</v>
      </c>
      <c r="D248" s="3" t="s">
        <v>5</v>
      </c>
      <c r="E248" s="3" t="s">
        <v>333</v>
      </c>
      <c r="F248" s="3" t="s">
        <v>334</v>
      </c>
      <c r="G248" s="6">
        <v>1</v>
      </c>
      <c r="H248" s="6">
        <v>31.8</v>
      </c>
      <c r="I248" s="6">
        <v>31.8</v>
      </c>
      <c r="J248" s="6">
        <v>1048.3999999999999</v>
      </c>
    </row>
    <row r="249" spans="1:10" outlineLevel="1" x14ac:dyDescent="0.25">
      <c r="A249" s="8" t="s">
        <v>272</v>
      </c>
      <c r="B249" s="3" t="s">
        <v>273</v>
      </c>
      <c r="C249" s="3" t="s">
        <v>4</v>
      </c>
      <c r="D249" s="3" t="s">
        <v>5</v>
      </c>
      <c r="E249" s="3" t="s">
        <v>335</v>
      </c>
      <c r="F249" s="3" t="s">
        <v>336</v>
      </c>
      <c r="G249" s="6">
        <v>1</v>
      </c>
      <c r="H249" s="6">
        <v>31.8</v>
      </c>
      <c r="I249" s="6">
        <v>31.8</v>
      </c>
      <c r="J249" s="6">
        <v>1080.1999999999998</v>
      </c>
    </row>
    <row r="250" spans="1:10" outlineLevel="1" x14ac:dyDescent="0.25">
      <c r="A250" s="8" t="s">
        <v>272</v>
      </c>
      <c r="B250" s="3" t="s">
        <v>273</v>
      </c>
      <c r="C250" s="3" t="s">
        <v>4</v>
      </c>
      <c r="D250" s="3" t="s">
        <v>5</v>
      </c>
      <c r="E250" s="3" t="s">
        <v>337</v>
      </c>
      <c r="F250" s="3" t="s">
        <v>338</v>
      </c>
      <c r="G250" s="6">
        <v>1</v>
      </c>
      <c r="H250" s="6">
        <v>39</v>
      </c>
      <c r="I250" s="6">
        <v>39</v>
      </c>
      <c r="J250" s="6">
        <v>1119.1999999999998</v>
      </c>
    </row>
    <row r="251" spans="1:10" outlineLevel="1" x14ac:dyDescent="0.25">
      <c r="A251" s="8" t="s">
        <v>272</v>
      </c>
      <c r="B251" s="3" t="s">
        <v>273</v>
      </c>
      <c r="C251" s="3" t="s">
        <v>4</v>
      </c>
      <c r="D251" s="3" t="s">
        <v>5</v>
      </c>
      <c r="E251" s="3" t="s">
        <v>339</v>
      </c>
      <c r="F251" s="3" t="s">
        <v>340</v>
      </c>
      <c r="G251" s="6">
        <v>1</v>
      </c>
      <c r="H251" s="6">
        <v>42</v>
      </c>
      <c r="I251" s="6">
        <v>42</v>
      </c>
      <c r="J251" s="6">
        <v>1161.1999999999998</v>
      </c>
    </row>
    <row r="252" spans="1:10" outlineLevel="1" x14ac:dyDescent="0.25">
      <c r="A252" s="8" t="s">
        <v>272</v>
      </c>
      <c r="B252" s="3" t="s">
        <v>273</v>
      </c>
      <c r="C252" s="3" t="s">
        <v>4</v>
      </c>
      <c r="D252" s="3" t="s">
        <v>5</v>
      </c>
      <c r="E252" s="3" t="s">
        <v>341</v>
      </c>
      <c r="F252" s="3" t="s">
        <v>342</v>
      </c>
      <c r="G252" s="6">
        <v>1</v>
      </c>
      <c r="H252" s="6">
        <v>39</v>
      </c>
      <c r="I252" s="6">
        <v>39</v>
      </c>
      <c r="J252" s="6">
        <v>1200.1999999999998</v>
      </c>
    </row>
    <row r="253" spans="1:10" outlineLevel="1" x14ac:dyDescent="0.25">
      <c r="A253" s="8" t="s">
        <v>272</v>
      </c>
      <c r="B253" s="3" t="s">
        <v>273</v>
      </c>
      <c r="C253" s="3" t="s">
        <v>4</v>
      </c>
      <c r="D253" s="3" t="s">
        <v>5</v>
      </c>
      <c r="E253" s="3" t="s">
        <v>343</v>
      </c>
      <c r="F253" s="3" t="s">
        <v>344</v>
      </c>
      <c r="G253" s="6">
        <v>1</v>
      </c>
      <c r="H253" s="6">
        <v>50</v>
      </c>
      <c r="I253" s="6">
        <v>50</v>
      </c>
      <c r="J253" s="6">
        <v>1250.1999999999998</v>
      </c>
    </row>
    <row r="254" spans="1:10" outlineLevel="1" x14ac:dyDescent="0.25">
      <c r="A254" s="8" t="s">
        <v>272</v>
      </c>
      <c r="B254" s="3" t="s">
        <v>273</v>
      </c>
      <c r="C254" s="3" t="s">
        <v>4</v>
      </c>
      <c r="D254" s="3" t="s">
        <v>5</v>
      </c>
      <c r="E254" s="3" t="s">
        <v>128</v>
      </c>
      <c r="F254" s="3" t="s">
        <v>345</v>
      </c>
      <c r="G254" s="6">
        <v>1</v>
      </c>
      <c r="H254" s="6">
        <v>28</v>
      </c>
      <c r="I254" s="6">
        <v>28</v>
      </c>
      <c r="J254" s="6">
        <v>1278.1999999999998</v>
      </c>
    </row>
    <row r="255" spans="1:10" outlineLevel="1" x14ac:dyDescent="0.25">
      <c r="A255" s="8" t="s">
        <v>272</v>
      </c>
      <c r="B255" s="3" t="s">
        <v>273</v>
      </c>
      <c r="C255" s="3" t="s">
        <v>4</v>
      </c>
      <c r="D255" s="3" t="s">
        <v>5</v>
      </c>
      <c r="E255" s="3" t="s">
        <v>126</v>
      </c>
      <c r="F255" s="3" t="s">
        <v>346</v>
      </c>
      <c r="G255" s="6">
        <v>1</v>
      </c>
      <c r="H255" s="6">
        <v>28</v>
      </c>
      <c r="I255" s="6">
        <v>28</v>
      </c>
      <c r="J255" s="6">
        <v>1306.1999999999998</v>
      </c>
    </row>
    <row r="256" spans="1:10" outlineLevel="1" x14ac:dyDescent="0.25">
      <c r="A256" s="8" t="s">
        <v>272</v>
      </c>
      <c r="B256" s="3" t="s">
        <v>273</v>
      </c>
      <c r="C256" s="3" t="s">
        <v>4</v>
      </c>
      <c r="D256" s="3" t="s">
        <v>5</v>
      </c>
      <c r="E256" s="3" t="s">
        <v>122</v>
      </c>
      <c r="F256" s="3" t="s">
        <v>347</v>
      </c>
      <c r="G256" s="6">
        <v>1</v>
      </c>
      <c r="H256" s="6">
        <v>26</v>
      </c>
      <c r="I256" s="6">
        <v>26</v>
      </c>
      <c r="J256" s="6">
        <v>1332.1999999999998</v>
      </c>
    </row>
    <row r="257" spans="1:10" outlineLevel="1" x14ac:dyDescent="0.25">
      <c r="A257" s="8" t="s">
        <v>272</v>
      </c>
      <c r="B257" s="3" t="s">
        <v>273</v>
      </c>
      <c r="C257" s="3" t="s">
        <v>4</v>
      </c>
      <c r="D257" s="3" t="s">
        <v>5</v>
      </c>
      <c r="E257" s="3" t="s">
        <v>348</v>
      </c>
      <c r="F257" s="3" t="s">
        <v>349</v>
      </c>
      <c r="G257" s="6">
        <v>1</v>
      </c>
      <c r="H257" s="6">
        <v>16</v>
      </c>
      <c r="I257" s="6">
        <v>16</v>
      </c>
      <c r="J257" s="6">
        <v>1348.1999999999998</v>
      </c>
    </row>
    <row r="258" spans="1:10" outlineLevel="1" x14ac:dyDescent="0.25">
      <c r="A258" s="8" t="s">
        <v>272</v>
      </c>
      <c r="B258" s="3" t="s">
        <v>273</v>
      </c>
      <c r="C258" s="3" t="s">
        <v>4</v>
      </c>
      <c r="D258" s="3" t="s">
        <v>5</v>
      </c>
      <c r="E258" s="3" t="s">
        <v>350</v>
      </c>
      <c r="F258" s="3" t="s">
        <v>351</v>
      </c>
      <c r="G258" s="6">
        <v>1</v>
      </c>
      <c r="H258" s="6">
        <v>16</v>
      </c>
      <c r="I258" s="6">
        <v>16</v>
      </c>
      <c r="J258" s="6">
        <v>1364.1999999999998</v>
      </c>
    </row>
    <row r="259" spans="1:10" outlineLevel="1" x14ac:dyDescent="0.25">
      <c r="A259" s="8" t="s">
        <v>272</v>
      </c>
      <c r="B259" s="3" t="s">
        <v>273</v>
      </c>
      <c r="C259" s="3" t="s">
        <v>4</v>
      </c>
      <c r="D259" s="3" t="s">
        <v>5</v>
      </c>
      <c r="E259" s="3" t="s">
        <v>86</v>
      </c>
      <c r="F259" s="3" t="s">
        <v>352</v>
      </c>
      <c r="G259" s="6">
        <v>1</v>
      </c>
      <c r="H259" s="6">
        <v>15.5</v>
      </c>
      <c r="I259" s="6">
        <v>15.5</v>
      </c>
      <c r="J259" s="6">
        <v>1379.6999999999998</v>
      </c>
    </row>
    <row r="260" spans="1:10" outlineLevel="1" x14ac:dyDescent="0.25">
      <c r="A260" s="8" t="s">
        <v>272</v>
      </c>
      <c r="B260" s="3" t="s">
        <v>273</v>
      </c>
      <c r="C260" s="3" t="s">
        <v>4</v>
      </c>
      <c r="D260" s="3" t="s">
        <v>5</v>
      </c>
      <c r="E260" s="3" t="s">
        <v>90</v>
      </c>
      <c r="F260" s="3" t="s">
        <v>353</v>
      </c>
      <c r="G260" s="6">
        <v>1</v>
      </c>
      <c r="H260" s="6">
        <v>15.5</v>
      </c>
      <c r="I260" s="6">
        <v>15.5</v>
      </c>
      <c r="J260" s="6">
        <v>1395.1999999999998</v>
      </c>
    </row>
    <row r="261" spans="1:10" outlineLevel="1" x14ac:dyDescent="0.25">
      <c r="A261" s="8" t="s">
        <v>272</v>
      </c>
      <c r="B261" s="3" t="s">
        <v>273</v>
      </c>
      <c r="C261" s="3" t="s">
        <v>4</v>
      </c>
      <c r="D261" s="3" t="s">
        <v>5</v>
      </c>
      <c r="E261" s="3" t="s">
        <v>354</v>
      </c>
      <c r="F261" s="3" t="s">
        <v>355</v>
      </c>
      <c r="G261" s="6">
        <v>1</v>
      </c>
      <c r="H261" s="6">
        <v>16</v>
      </c>
      <c r="I261" s="6">
        <v>16</v>
      </c>
      <c r="J261" s="6">
        <v>1411.1999999999998</v>
      </c>
    </row>
    <row r="262" spans="1:10" outlineLevel="1" x14ac:dyDescent="0.25">
      <c r="A262" s="8" t="s">
        <v>272</v>
      </c>
      <c r="B262" s="3" t="s">
        <v>273</v>
      </c>
      <c r="C262" s="3" t="s">
        <v>4</v>
      </c>
      <c r="D262" s="3" t="s">
        <v>5</v>
      </c>
      <c r="E262" s="3" t="s">
        <v>356</v>
      </c>
      <c r="F262" s="3" t="s">
        <v>357</v>
      </c>
      <c r="G262" s="6">
        <v>1</v>
      </c>
      <c r="H262" s="6">
        <v>16</v>
      </c>
      <c r="I262" s="6">
        <v>16</v>
      </c>
      <c r="J262" s="6">
        <v>1427.1999999999998</v>
      </c>
    </row>
    <row r="263" spans="1:10" outlineLevel="1" x14ac:dyDescent="0.25">
      <c r="A263" s="8" t="s">
        <v>272</v>
      </c>
      <c r="B263" s="3" t="s">
        <v>273</v>
      </c>
      <c r="C263" s="3" t="s">
        <v>4</v>
      </c>
      <c r="D263" s="3" t="s">
        <v>5</v>
      </c>
      <c r="E263" s="3" t="s">
        <v>358</v>
      </c>
      <c r="F263" s="3" t="s">
        <v>359</v>
      </c>
      <c r="G263" s="6">
        <v>1</v>
      </c>
      <c r="H263" s="6">
        <v>17</v>
      </c>
      <c r="I263" s="6">
        <v>17</v>
      </c>
      <c r="J263" s="6">
        <v>1444.1999999999998</v>
      </c>
    </row>
    <row r="264" spans="1:10" outlineLevel="1" x14ac:dyDescent="0.25">
      <c r="A264" s="8" t="s">
        <v>272</v>
      </c>
      <c r="B264" s="3" t="s">
        <v>273</v>
      </c>
      <c r="C264" s="3" t="s">
        <v>4</v>
      </c>
      <c r="D264" s="3" t="s">
        <v>5</v>
      </c>
      <c r="E264" s="3" t="s">
        <v>360</v>
      </c>
      <c r="F264" s="3" t="s">
        <v>361</v>
      </c>
      <c r="G264" s="6">
        <v>1</v>
      </c>
      <c r="H264" s="6">
        <v>17</v>
      </c>
      <c r="I264" s="6">
        <v>17</v>
      </c>
      <c r="J264" s="6">
        <v>1461.1999999999998</v>
      </c>
    </row>
    <row r="265" spans="1:10" outlineLevel="1" x14ac:dyDescent="0.25">
      <c r="A265" s="8" t="s">
        <v>272</v>
      </c>
      <c r="B265" s="3" t="s">
        <v>273</v>
      </c>
      <c r="C265" s="3" t="s">
        <v>4</v>
      </c>
      <c r="D265" s="3" t="s">
        <v>5</v>
      </c>
      <c r="E265" s="3" t="s">
        <v>362</v>
      </c>
      <c r="F265" s="3" t="s">
        <v>363</v>
      </c>
      <c r="G265" s="6">
        <v>1</v>
      </c>
      <c r="H265" s="6">
        <v>17</v>
      </c>
      <c r="I265" s="6">
        <v>17</v>
      </c>
      <c r="J265" s="6">
        <v>1478.1999999999998</v>
      </c>
    </row>
    <row r="266" spans="1:10" outlineLevel="1" x14ac:dyDescent="0.25">
      <c r="A266" s="8" t="s">
        <v>272</v>
      </c>
      <c r="B266" s="3" t="s">
        <v>273</v>
      </c>
      <c r="C266" s="3" t="s">
        <v>4</v>
      </c>
      <c r="D266" s="3" t="s">
        <v>5</v>
      </c>
      <c r="E266" s="3" t="s">
        <v>364</v>
      </c>
      <c r="F266" s="3" t="s">
        <v>365</v>
      </c>
      <c r="G266" s="6">
        <v>1</v>
      </c>
      <c r="H266" s="6">
        <v>17</v>
      </c>
      <c r="I266" s="6">
        <v>17</v>
      </c>
      <c r="J266" s="6">
        <v>1495.1999999999998</v>
      </c>
    </row>
    <row r="267" spans="1:10" outlineLevel="1" x14ac:dyDescent="0.25">
      <c r="A267" s="8" t="s">
        <v>272</v>
      </c>
      <c r="B267" s="3" t="s">
        <v>273</v>
      </c>
      <c r="C267" s="3" t="s">
        <v>4</v>
      </c>
      <c r="D267" s="3" t="s">
        <v>5</v>
      </c>
      <c r="E267" s="3" t="s">
        <v>366</v>
      </c>
      <c r="F267" s="3" t="s">
        <v>367</v>
      </c>
      <c r="G267" s="6">
        <v>1</v>
      </c>
      <c r="H267" s="6">
        <v>35</v>
      </c>
      <c r="I267" s="6">
        <v>35</v>
      </c>
      <c r="J267" s="6">
        <v>1530.1999999999998</v>
      </c>
    </row>
    <row r="268" spans="1:10" outlineLevel="1" x14ac:dyDescent="0.25">
      <c r="A268" s="8" t="s">
        <v>272</v>
      </c>
      <c r="B268" s="3" t="s">
        <v>273</v>
      </c>
      <c r="C268" s="3" t="s">
        <v>4</v>
      </c>
      <c r="D268" s="3" t="s">
        <v>5</v>
      </c>
      <c r="E268" s="3" t="s">
        <v>368</v>
      </c>
      <c r="F268" s="3" t="s">
        <v>369</v>
      </c>
      <c r="G268" s="6">
        <v>1</v>
      </c>
      <c r="H268" s="6">
        <v>38</v>
      </c>
      <c r="I268" s="6">
        <v>38</v>
      </c>
      <c r="J268" s="6">
        <v>1568.1999999999998</v>
      </c>
    </row>
    <row r="269" spans="1:10" outlineLevel="1" x14ac:dyDescent="0.25">
      <c r="A269" s="8" t="s">
        <v>272</v>
      </c>
      <c r="B269" s="3" t="s">
        <v>273</v>
      </c>
      <c r="C269" s="3" t="s">
        <v>4</v>
      </c>
      <c r="D269" s="3" t="s">
        <v>5</v>
      </c>
      <c r="E269" s="3" t="s">
        <v>370</v>
      </c>
      <c r="F269" s="3" t="s">
        <v>371</v>
      </c>
      <c r="G269" s="6">
        <v>1</v>
      </c>
      <c r="H269" s="6">
        <v>8</v>
      </c>
      <c r="I269" s="6">
        <v>8</v>
      </c>
      <c r="J269" s="6">
        <v>1576.1999999999998</v>
      </c>
    </row>
    <row r="270" spans="1:10" outlineLevel="1" x14ac:dyDescent="0.25">
      <c r="A270" s="8" t="s">
        <v>272</v>
      </c>
      <c r="B270" s="3" t="s">
        <v>273</v>
      </c>
      <c r="C270" s="3" t="s">
        <v>4</v>
      </c>
      <c r="D270" s="3" t="s">
        <v>5</v>
      </c>
      <c r="E270" s="3" t="s">
        <v>372</v>
      </c>
      <c r="F270" s="3" t="s">
        <v>373</v>
      </c>
      <c r="G270" s="6">
        <v>1</v>
      </c>
      <c r="H270" s="6">
        <v>36</v>
      </c>
      <c r="I270" s="6">
        <v>36</v>
      </c>
      <c r="J270" s="6">
        <v>1612.1999999999998</v>
      </c>
    </row>
    <row r="271" spans="1:10" outlineLevel="1" x14ac:dyDescent="0.25">
      <c r="A271" s="8" t="s">
        <v>272</v>
      </c>
      <c r="B271" s="3" t="s">
        <v>273</v>
      </c>
      <c r="C271" s="3" t="s">
        <v>4</v>
      </c>
      <c r="D271" s="3" t="s">
        <v>5</v>
      </c>
      <c r="E271" s="3" t="s">
        <v>374</v>
      </c>
      <c r="F271" s="3" t="s">
        <v>375</v>
      </c>
      <c r="G271" s="6">
        <v>1</v>
      </c>
      <c r="H271" s="6">
        <v>39</v>
      </c>
      <c r="I271" s="6">
        <v>39</v>
      </c>
      <c r="J271" s="6">
        <v>1651.1999999999998</v>
      </c>
    </row>
    <row r="272" spans="1:10" outlineLevel="1" x14ac:dyDescent="0.25">
      <c r="A272" s="8" t="s">
        <v>272</v>
      </c>
      <c r="B272" s="3" t="s">
        <v>273</v>
      </c>
      <c r="C272" s="3" t="s">
        <v>4</v>
      </c>
      <c r="D272" s="3" t="s">
        <v>5</v>
      </c>
      <c r="E272" s="3" t="s">
        <v>376</v>
      </c>
      <c r="F272" s="3" t="s">
        <v>377</v>
      </c>
      <c r="G272" s="6">
        <v>1</v>
      </c>
      <c r="H272" s="6">
        <v>19</v>
      </c>
      <c r="I272" s="6">
        <v>19</v>
      </c>
      <c r="J272" s="6">
        <v>1670.1999999999998</v>
      </c>
    </row>
    <row r="273" spans="1:10" outlineLevel="1" x14ac:dyDescent="0.25">
      <c r="A273" s="8" t="s">
        <v>272</v>
      </c>
      <c r="B273" s="3" t="s">
        <v>273</v>
      </c>
      <c r="C273" s="3" t="s">
        <v>4</v>
      </c>
      <c r="D273" s="3" t="s">
        <v>5</v>
      </c>
      <c r="E273" s="3" t="s">
        <v>378</v>
      </c>
      <c r="F273" s="3" t="s">
        <v>379</v>
      </c>
      <c r="G273" s="6">
        <v>1</v>
      </c>
      <c r="H273" s="6">
        <v>12.5</v>
      </c>
      <c r="I273" s="6">
        <v>12.5</v>
      </c>
      <c r="J273" s="6">
        <v>1682.6999999999998</v>
      </c>
    </row>
    <row r="274" spans="1:10" outlineLevel="1" x14ac:dyDescent="0.25">
      <c r="A274" s="8" t="s">
        <v>272</v>
      </c>
      <c r="B274" s="3" t="s">
        <v>273</v>
      </c>
      <c r="C274" s="3" t="s">
        <v>4</v>
      </c>
      <c r="D274" s="3" t="s">
        <v>5</v>
      </c>
      <c r="E274" s="3" t="s">
        <v>380</v>
      </c>
      <c r="F274" s="3" t="s">
        <v>380</v>
      </c>
      <c r="G274" s="6">
        <v>1</v>
      </c>
      <c r="H274" s="6">
        <v>54</v>
      </c>
      <c r="I274" s="6">
        <v>54</v>
      </c>
      <c r="J274" s="6">
        <v>1736.6999999999998</v>
      </c>
    </row>
    <row r="275" spans="1:10" outlineLevel="1" x14ac:dyDescent="0.25">
      <c r="A275" s="8" t="s">
        <v>272</v>
      </c>
      <c r="B275" s="3" t="s">
        <v>273</v>
      </c>
      <c r="C275" s="3" t="s">
        <v>4</v>
      </c>
      <c r="D275" s="3" t="s">
        <v>5</v>
      </c>
      <c r="E275" s="3" t="s">
        <v>381</v>
      </c>
      <c r="F275" s="3" t="s">
        <v>381</v>
      </c>
      <c r="G275" s="6">
        <v>1</v>
      </c>
      <c r="H275" s="6">
        <v>115</v>
      </c>
      <c r="I275" s="6">
        <v>115</v>
      </c>
      <c r="J275" s="6">
        <v>1851.6999999999998</v>
      </c>
    </row>
    <row r="276" spans="1:10" outlineLevel="1" x14ac:dyDescent="0.25">
      <c r="A276" s="8" t="s">
        <v>272</v>
      </c>
      <c r="B276" s="3" t="s">
        <v>273</v>
      </c>
      <c r="C276" s="3" t="s">
        <v>4</v>
      </c>
      <c r="D276" s="3" t="s">
        <v>5</v>
      </c>
      <c r="E276" s="3" t="s">
        <v>382</v>
      </c>
      <c r="F276" s="3" t="s">
        <v>383</v>
      </c>
      <c r="G276" s="6">
        <v>1</v>
      </c>
      <c r="H276" s="6">
        <v>21</v>
      </c>
      <c r="I276" s="6">
        <v>21</v>
      </c>
      <c r="J276" s="6">
        <v>1872.6999999999998</v>
      </c>
    </row>
    <row r="277" spans="1:10" outlineLevel="1" x14ac:dyDescent="0.25">
      <c r="A277" s="8" t="s">
        <v>272</v>
      </c>
      <c r="B277" s="3" t="s">
        <v>273</v>
      </c>
      <c r="C277" s="3" t="s">
        <v>4</v>
      </c>
      <c r="D277" s="3" t="s">
        <v>5</v>
      </c>
      <c r="E277" s="3" t="s">
        <v>384</v>
      </c>
      <c r="F277" s="3" t="s">
        <v>385</v>
      </c>
      <c r="G277" s="6">
        <v>1</v>
      </c>
      <c r="H277" s="6">
        <v>66</v>
      </c>
      <c r="I277" s="6">
        <v>66</v>
      </c>
      <c r="J277" s="6">
        <v>1938.6999999999998</v>
      </c>
    </row>
    <row r="278" spans="1:10" outlineLevel="1" x14ac:dyDescent="0.25">
      <c r="A278" s="8" t="s">
        <v>272</v>
      </c>
      <c r="B278" s="3" t="s">
        <v>273</v>
      </c>
      <c r="C278" s="3" t="s">
        <v>4</v>
      </c>
      <c r="D278" s="3" t="s">
        <v>5</v>
      </c>
      <c r="E278" s="3" t="s">
        <v>386</v>
      </c>
      <c r="F278" s="3" t="s">
        <v>387</v>
      </c>
      <c r="G278" s="6">
        <v>1</v>
      </c>
      <c r="H278" s="6">
        <v>46</v>
      </c>
      <c r="I278" s="6">
        <v>46</v>
      </c>
      <c r="J278" s="6">
        <v>1984.6999999999998</v>
      </c>
    </row>
    <row r="279" spans="1:10" outlineLevel="1" x14ac:dyDescent="0.25">
      <c r="A279" s="8" t="s">
        <v>272</v>
      </c>
      <c r="B279" s="3" t="s">
        <v>273</v>
      </c>
      <c r="C279" s="3" t="s">
        <v>4</v>
      </c>
      <c r="D279" s="3" t="s">
        <v>5</v>
      </c>
      <c r="E279" s="3" t="s">
        <v>388</v>
      </c>
      <c r="F279" s="3" t="s">
        <v>389</v>
      </c>
      <c r="G279" s="6">
        <v>1</v>
      </c>
      <c r="H279" s="6">
        <v>55</v>
      </c>
      <c r="I279" s="6">
        <v>55</v>
      </c>
      <c r="J279" s="6">
        <v>2039.6999999999998</v>
      </c>
    </row>
    <row r="280" spans="1:10" outlineLevel="1" x14ac:dyDescent="0.25">
      <c r="A280" s="8" t="s">
        <v>272</v>
      </c>
      <c r="B280" s="3" t="s">
        <v>273</v>
      </c>
      <c r="C280" s="3" t="s">
        <v>4</v>
      </c>
      <c r="D280" s="3" t="s">
        <v>5</v>
      </c>
      <c r="E280" s="3" t="s">
        <v>390</v>
      </c>
      <c r="F280" s="3" t="s">
        <v>391</v>
      </c>
      <c r="G280" s="6">
        <v>1</v>
      </c>
      <c r="H280" s="6">
        <v>39</v>
      </c>
      <c r="I280" s="6">
        <v>39</v>
      </c>
      <c r="J280" s="6">
        <v>2078.6999999999998</v>
      </c>
    </row>
    <row r="281" spans="1:10" outlineLevel="1" x14ac:dyDescent="0.25">
      <c r="A281" s="8" t="s">
        <v>272</v>
      </c>
      <c r="B281" s="3" t="s">
        <v>273</v>
      </c>
      <c r="C281" s="3" t="s">
        <v>4</v>
      </c>
      <c r="D281" s="3" t="s">
        <v>5</v>
      </c>
      <c r="E281" s="3" t="s">
        <v>392</v>
      </c>
      <c r="F281" s="3" t="s">
        <v>393</v>
      </c>
      <c r="G281" s="6">
        <v>1</v>
      </c>
      <c r="H281" s="6">
        <v>80</v>
      </c>
      <c r="I281" s="6">
        <v>80</v>
      </c>
      <c r="J281" s="6">
        <v>2158.6999999999998</v>
      </c>
    </row>
    <row r="282" spans="1:10" outlineLevel="1" x14ac:dyDescent="0.25">
      <c r="A282" s="8" t="s">
        <v>272</v>
      </c>
      <c r="B282" s="3" t="s">
        <v>273</v>
      </c>
      <c r="C282" s="3" t="s">
        <v>4</v>
      </c>
      <c r="D282" s="3" t="s">
        <v>5</v>
      </c>
      <c r="E282" s="3" t="s">
        <v>394</v>
      </c>
      <c r="F282" s="3" t="s">
        <v>395</v>
      </c>
      <c r="G282" s="6">
        <v>1</v>
      </c>
      <c r="H282" s="6">
        <v>78</v>
      </c>
      <c r="I282" s="6">
        <v>78</v>
      </c>
      <c r="J282" s="6">
        <v>2236.6999999999998</v>
      </c>
    </row>
    <row r="283" spans="1:10" outlineLevel="1" x14ac:dyDescent="0.25">
      <c r="A283" s="8" t="s">
        <v>272</v>
      </c>
      <c r="B283" s="3" t="s">
        <v>273</v>
      </c>
      <c r="C283" s="3" t="s">
        <v>4</v>
      </c>
      <c r="D283" s="3" t="s">
        <v>5</v>
      </c>
      <c r="E283" s="3" t="s">
        <v>396</v>
      </c>
      <c r="F283" s="3" t="s">
        <v>397</v>
      </c>
      <c r="G283" s="6">
        <v>1</v>
      </c>
      <c r="H283" s="6">
        <v>72</v>
      </c>
      <c r="I283" s="6">
        <v>72</v>
      </c>
      <c r="J283" s="6">
        <v>2308.6999999999998</v>
      </c>
    </row>
    <row r="284" spans="1:10" outlineLevel="1" x14ac:dyDescent="0.25">
      <c r="A284" s="8" t="s">
        <v>272</v>
      </c>
      <c r="B284" s="3" t="s">
        <v>398</v>
      </c>
      <c r="C284" s="3" t="s">
        <v>4</v>
      </c>
      <c r="D284" s="3" t="s">
        <v>399</v>
      </c>
      <c r="E284" s="3" t="s">
        <v>278</v>
      </c>
      <c r="F284" s="3" t="s">
        <v>279</v>
      </c>
      <c r="G284" s="6">
        <v>1</v>
      </c>
      <c r="H284" s="6">
        <v>36</v>
      </c>
      <c r="I284" s="6">
        <v>36</v>
      </c>
      <c r="J284" s="6">
        <v>2344.6999999999998</v>
      </c>
    </row>
    <row r="285" spans="1:10" outlineLevel="1" x14ac:dyDescent="0.25">
      <c r="A285" s="8" t="s">
        <v>272</v>
      </c>
      <c r="B285" s="3" t="s">
        <v>398</v>
      </c>
      <c r="C285" s="3" t="s">
        <v>4</v>
      </c>
      <c r="D285" s="3" t="s">
        <v>399</v>
      </c>
      <c r="E285" s="3" t="s">
        <v>280</v>
      </c>
      <c r="F285" s="3" t="s">
        <v>281</v>
      </c>
      <c r="G285" s="6">
        <v>1</v>
      </c>
      <c r="H285" s="6">
        <v>40</v>
      </c>
      <c r="I285" s="6">
        <v>40</v>
      </c>
      <c r="J285" s="6">
        <v>2384.6999999999998</v>
      </c>
    </row>
    <row r="286" spans="1:10" outlineLevel="1" x14ac:dyDescent="0.25">
      <c r="A286" s="8" t="s">
        <v>272</v>
      </c>
      <c r="B286" s="3" t="s">
        <v>398</v>
      </c>
      <c r="C286" s="3" t="s">
        <v>4</v>
      </c>
      <c r="D286" s="3" t="s">
        <v>399</v>
      </c>
      <c r="E286" s="3" t="s">
        <v>282</v>
      </c>
      <c r="F286" s="3" t="s">
        <v>283</v>
      </c>
      <c r="G286" s="6">
        <v>1</v>
      </c>
      <c r="H286" s="6">
        <v>60</v>
      </c>
      <c r="I286" s="6">
        <v>60</v>
      </c>
      <c r="J286" s="6">
        <v>2444.6999999999998</v>
      </c>
    </row>
    <row r="287" spans="1:10" outlineLevel="1" x14ac:dyDescent="0.25">
      <c r="A287" s="8" t="s">
        <v>272</v>
      </c>
      <c r="B287" s="3" t="s">
        <v>398</v>
      </c>
      <c r="C287" s="3" t="s">
        <v>4</v>
      </c>
      <c r="D287" s="3" t="s">
        <v>399</v>
      </c>
      <c r="E287" s="3" t="s">
        <v>284</v>
      </c>
      <c r="F287" s="3" t="s">
        <v>285</v>
      </c>
      <c r="G287" s="6">
        <v>1</v>
      </c>
      <c r="H287" s="6">
        <v>36</v>
      </c>
      <c r="I287" s="6">
        <v>36</v>
      </c>
      <c r="J287" s="6">
        <v>2480.6999999999998</v>
      </c>
    </row>
    <row r="288" spans="1:10" outlineLevel="1" x14ac:dyDescent="0.25">
      <c r="A288" s="8" t="s">
        <v>272</v>
      </c>
      <c r="B288" s="3" t="s">
        <v>398</v>
      </c>
      <c r="C288" s="3" t="s">
        <v>4</v>
      </c>
      <c r="D288" s="3" t="s">
        <v>399</v>
      </c>
      <c r="E288" s="3" t="s">
        <v>286</v>
      </c>
      <c r="F288" s="3" t="s">
        <v>287</v>
      </c>
      <c r="G288" s="6">
        <v>1</v>
      </c>
      <c r="H288" s="6">
        <v>45</v>
      </c>
      <c r="I288" s="6">
        <v>45</v>
      </c>
      <c r="J288" s="6">
        <v>2525.6999999999998</v>
      </c>
    </row>
    <row r="289" spans="1:10" outlineLevel="1" x14ac:dyDescent="0.25">
      <c r="A289" s="8" t="s">
        <v>272</v>
      </c>
      <c r="B289" s="3" t="s">
        <v>398</v>
      </c>
      <c r="C289" s="3" t="s">
        <v>4</v>
      </c>
      <c r="D289" s="3" t="s">
        <v>399</v>
      </c>
      <c r="E289" s="3" t="s">
        <v>288</v>
      </c>
      <c r="F289" s="3" t="s">
        <v>289</v>
      </c>
      <c r="G289" s="6">
        <v>1</v>
      </c>
      <c r="H289" s="6">
        <v>48</v>
      </c>
      <c r="I289" s="6">
        <v>48</v>
      </c>
      <c r="J289" s="6">
        <v>2573.6999999999998</v>
      </c>
    </row>
    <row r="290" spans="1:10" outlineLevel="1" x14ac:dyDescent="0.25">
      <c r="A290" s="8" t="s">
        <v>272</v>
      </c>
      <c r="B290" s="3" t="s">
        <v>398</v>
      </c>
      <c r="C290" s="3" t="s">
        <v>4</v>
      </c>
      <c r="D290" s="3" t="s">
        <v>399</v>
      </c>
      <c r="E290" s="3" t="s">
        <v>290</v>
      </c>
      <c r="F290" s="3" t="s">
        <v>291</v>
      </c>
      <c r="G290" s="6">
        <v>1</v>
      </c>
      <c r="H290" s="6">
        <v>28</v>
      </c>
      <c r="I290" s="6">
        <v>28</v>
      </c>
      <c r="J290" s="6">
        <v>2601.6999999999998</v>
      </c>
    </row>
    <row r="291" spans="1:10" outlineLevel="1" x14ac:dyDescent="0.25">
      <c r="A291" s="8" t="s">
        <v>272</v>
      </c>
      <c r="B291" s="3" t="s">
        <v>398</v>
      </c>
      <c r="C291" s="3" t="s">
        <v>4</v>
      </c>
      <c r="D291" s="3" t="s">
        <v>399</v>
      </c>
      <c r="E291" s="3" t="s">
        <v>292</v>
      </c>
      <c r="F291" s="3" t="s">
        <v>293</v>
      </c>
      <c r="G291" s="6">
        <v>1</v>
      </c>
      <c r="H291" s="6">
        <v>28</v>
      </c>
      <c r="I291" s="6">
        <v>28</v>
      </c>
      <c r="J291" s="6">
        <v>2629.7</v>
      </c>
    </row>
    <row r="292" spans="1:10" outlineLevel="1" x14ac:dyDescent="0.25">
      <c r="A292" s="8" t="s">
        <v>272</v>
      </c>
      <c r="B292" s="3" t="s">
        <v>398</v>
      </c>
      <c r="C292" s="3" t="s">
        <v>4</v>
      </c>
      <c r="D292" s="3" t="s">
        <v>399</v>
      </c>
      <c r="E292" s="3" t="s">
        <v>294</v>
      </c>
      <c r="F292" s="3" t="s">
        <v>295</v>
      </c>
      <c r="G292" s="6">
        <v>1</v>
      </c>
      <c r="H292" s="6">
        <v>30</v>
      </c>
      <c r="I292" s="6">
        <v>30</v>
      </c>
      <c r="J292" s="6">
        <v>2659.7</v>
      </c>
    </row>
    <row r="293" spans="1:10" outlineLevel="1" x14ac:dyDescent="0.25">
      <c r="A293" s="8" t="s">
        <v>272</v>
      </c>
      <c r="B293" s="3" t="s">
        <v>398</v>
      </c>
      <c r="C293" s="3" t="s">
        <v>4</v>
      </c>
      <c r="D293" s="3" t="s">
        <v>399</v>
      </c>
      <c r="E293" s="3" t="s">
        <v>296</v>
      </c>
      <c r="F293" s="3" t="s">
        <v>297</v>
      </c>
      <c r="G293" s="6">
        <v>1</v>
      </c>
      <c r="H293" s="6">
        <v>19</v>
      </c>
      <c r="I293" s="6">
        <v>19</v>
      </c>
      <c r="J293" s="6">
        <v>2678.7</v>
      </c>
    </row>
    <row r="294" spans="1:10" outlineLevel="1" x14ac:dyDescent="0.25">
      <c r="A294" s="8" t="s">
        <v>272</v>
      </c>
      <c r="B294" s="3" t="s">
        <v>398</v>
      </c>
      <c r="C294" s="3" t="s">
        <v>4</v>
      </c>
      <c r="D294" s="3" t="s">
        <v>399</v>
      </c>
      <c r="E294" s="3" t="s">
        <v>298</v>
      </c>
      <c r="F294" s="3" t="s">
        <v>299</v>
      </c>
      <c r="G294" s="6">
        <v>1</v>
      </c>
      <c r="H294" s="6">
        <v>17</v>
      </c>
      <c r="I294" s="6">
        <v>17</v>
      </c>
      <c r="J294" s="6">
        <v>2695.7</v>
      </c>
    </row>
    <row r="295" spans="1:10" outlineLevel="1" x14ac:dyDescent="0.25">
      <c r="A295" s="8" t="s">
        <v>272</v>
      </c>
      <c r="B295" s="3" t="s">
        <v>398</v>
      </c>
      <c r="C295" s="3" t="s">
        <v>4</v>
      </c>
      <c r="D295" s="3" t="s">
        <v>399</v>
      </c>
      <c r="E295" s="3" t="s">
        <v>300</v>
      </c>
      <c r="F295" s="3" t="s">
        <v>301</v>
      </c>
      <c r="G295" s="6">
        <v>1</v>
      </c>
      <c r="H295" s="6">
        <v>19.8</v>
      </c>
      <c r="I295" s="6">
        <v>19.8</v>
      </c>
      <c r="J295" s="6">
        <v>2715.5</v>
      </c>
    </row>
    <row r="296" spans="1:10" outlineLevel="1" x14ac:dyDescent="0.25">
      <c r="A296" s="8" t="s">
        <v>272</v>
      </c>
      <c r="B296" s="3" t="s">
        <v>398</v>
      </c>
      <c r="C296" s="3" t="s">
        <v>4</v>
      </c>
      <c r="D296" s="3" t="s">
        <v>399</v>
      </c>
      <c r="E296" s="3" t="s">
        <v>302</v>
      </c>
      <c r="F296" s="3" t="s">
        <v>303</v>
      </c>
      <c r="G296" s="6">
        <v>1</v>
      </c>
      <c r="H296" s="6">
        <v>28</v>
      </c>
      <c r="I296" s="6">
        <v>28</v>
      </c>
      <c r="J296" s="6">
        <v>2743.5</v>
      </c>
    </row>
    <row r="297" spans="1:10" outlineLevel="1" x14ac:dyDescent="0.25">
      <c r="A297" s="8" t="s">
        <v>272</v>
      </c>
      <c r="B297" s="3" t="s">
        <v>398</v>
      </c>
      <c r="C297" s="3" t="s">
        <v>4</v>
      </c>
      <c r="D297" s="3" t="s">
        <v>399</v>
      </c>
      <c r="E297" s="3" t="s">
        <v>304</v>
      </c>
      <c r="F297" s="3" t="s">
        <v>305</v>
      </c>
      <c r="G297" s="6">
        <v>1</v>
      </c>
      <c r="H297" s="6">
        <v>13</v>
      </c>
      <c r="I297" s="6">
        <v>13</v>
      </c>
      <c r="J297" s="6">
        <v>2756.5</v>
      </c>
    </row>
    <row r="298" spans="1:10" outlineLevel="1" x14ac:dyDescent="0.25">
      <c r="A298" s="8" t="s">
        <v>272</v>
      </c>
      <c r="B298" s="3" t="s">
        <v>398</v>
      </c>
      <c r="C298" s="3" t="s">
        <v>4</v>
      </c>
      <c r="D298" s="3" t="s">
        <v>399</v>
      </c>
      <c r="E298" s="3" t="s">
        <v>306</v>
      </c>
      <c r="F298" s="3" t="s">
        <v>307</v>
      </c>
      <c r="G298" s="6">
        <v>1</v>
      </c>
      <c r="H298" s="6">
        <v>30</v>
      </c>
      <c r="I298" s="6">
        <v>30</v>
      </c>
      <c r="J298" s="6">
        <v>2786.5</v>
      </c>
    </row>
    <row r="299" spans="1:10" outlineLevel="1" x14ac:dyDescent="0.25">
      <c r="A299" s="8" t="s">
        <v>272</v>
      </c>
      <c r="B299" s="3" t="s">
        <v>398</v>
      </c>
      <c r="C299" s="3" t="s">
        <v>4</v>
      </c>
      <c r="D299" s="3" t="s">
        <v>399</v>
      </c>
      <c r="E299" s="3" t="s">
        <v>308</v>
      </c>
      <c r="F299" s="3" t="s">
        <v>309</v>
      </c>
      <c r="G299" s="6">
        <v>1</v>
      </c>
      <c r="H299" s="6">
        <v>25</v>
      </c>
      <c r="I299" s="6">
        <v>25</v>
      </c>
      <c r="J299" s="6">
        <v>2811.5</v>
      </c>
    </row>
    <row r="300" spans="1:10" outlineLevel="1" x14ac:dyDescent="0.25">
      <c r="A300" s="8" t="s">
        <v>272</v>
      </c>
      <c r="B300" s="3" t="s">
        <v>398</v>
      </c>
      <c r="C300" s="3" t="s">
        <v>4</v>
      </c>
      <c r="D300" s="3" t="s">
        <v>399</v>
      </c>
      <c r="E300" s="3" t="s">
        <v>310</v>
      </c>
      <c r="F300" s="3" t="s">
        <v>311</v>
      </c>
      <c r="G300" s="6">
        <v>1</v>
      </c>
      <c r="H300" s="6">
        <v>22</v>
      </c>
      <c r="I300" s="6">
        <v>22</v>
      </c>
      <c r="J300" s="6">
        <v>2833.5</v>
      </c>
    </row>
    <row r="301" spans="1:10" outlineLevel="1" x14ac:dyDescent="0.25">
      <c r="A301" s="8" t="s">
        <v>272</v>
      </c>
      <c r="B301" s="3" t="s">
        <v>398</v>
      </c>
      <c r="C301" s="3" t="s">
        <v>4</v>
      </c>
      <c r="D301" s="3" t="s">
        <v>399</v>
      </c>
      <c r="E301" s="3" t="s">
        <v>312</v>
      </c>
      <c r="F301" s="3" t="s">
        <v>313</v>
      </c>
      <c r="G301" s="6">
        <v>1</v>
      </c>
      <c r="H301" s="6">
        <v>24</v>
      </c>
      <c r="I301" s="6">
        <v>24</v>
      </c>
      <c r="J301" s="6">
        <v>2857.5</v>
      </c>
    </row>
    <row r="302" spans="1:10" outlineLevel="1" x14ac:dyDescent="0.25">
      <c r="A302" s="8" t="s">
        <v>272</v>
      </c>
      <c r="B302" s="3" t="s">
        <v>398</v>
      </c>
      <c r="C302" s="3" t="s">
        <v>4</v>
      </c>
      <c r="D302" s="3" t="s">
        <v>399</v>
      </c>
      <c r="E302" s="3" t="s">
        <v>314</v>
      </c>
      <c r="F302" s="3" t="s">
        <v>315</v>
      </c>
      <c r="G302" s="6">
        <v>1</v>
      </c>
      <c r="H302" s="6">
        <v>36</v>
      </c>
      <c r="I302" s="6">
        <v>36</v>
      </c>
      <c r="J302" s="6">
        <v>2893.5</v>
      </c>
    </row>
    <row r="303" spans="1:10" outlineLevel="1" x14ac:dyDescent="0.25">
      <c r="A303" s="8" t="s">
        <v>272</v>
      </c>
      <c r="B303" s="3" t="s">
        <v>398</v>
      </c>
      <c r="C303" s="3" t="s">
        <v>4</v>
      </c>
      <c r="D303" s="3" t="s">
        <v>399</v>
      </c>
      <c r="E303" s="3" t="s">
        <v>316</v>
      </c>
      <c r="F303" s="3" t="s">
        <v>317</v>
      </c>
      <c r="G303" s="6">
        <v>1</v>
      </c>
      <c r="H303" s="6">
        <v>24</v>
      </c>
      <c r="I303" s="6">
        <v>24</v>
      </c>
      <c r="J303" s="6">
        <v>2917.5</v>
      </c>
    </row>
    <row r="304" spans="1:10" outlineLevel="1" x14ac:dyDescent="0.25">
      <c r="A304" s="8" t="s">
        <v>272</v>
      </c>
      <c r="B304" s="3" t="s">
        <v>398</v>
      </c>
      <c r="C304" s="3" t="s">
        <v>4</v>
      </c>
      <c r="D304" s="3" t="s">
        <v>399</v>
      </c>
      <c r="E304" s="3" t="s">
        <v>318</v>
      </c>
      <c r="F304" s="3" t="s">
        <v>319</v>
      </c>
      <c r="G304" s="6">
        <v>1</v>
      </c>
      <c r="H304" s="6">
        <v>30</v>
      </c>
      <c r="I304" s="6">
        <v>30</v>
      </c>
      <c r="J304" s="6">
        <v>2947.5</v>
      </c>
    </row>
    <row r="305" spans="1:10" outlineLevel="1" x14ac:dyDescent="0.25">
      <c r="A305" s="8" t="s">
        <v>272</v>
      </c>
      <c r="B305" s="3" t="s">
        <v>398</v>
      </c>
      <c r="C305" s="3" t="s">
        <v>4</v>
      </c>
      <c r="D305" s="3" t="s">
        <v>399</v>
      </c>
      <c r="E305" s="3" t="s">
        <v>320</v>
      </c>
      <c r="F305" s="3" t="s">
        <v>321</v>
      </c>
      <c r="G305" s="6">
        <v>1</v>
      </c>
      <c r="H305" s="6">
        <v>24</v>
      </c>
      <c r="I305" s="6">
        <v>24</v>
      </c>
      <c r="J305" s="6">
        <v>2971.5</v>
      </c>
    </row>
    <row r="306" spans="1:10" outlineLevel="1" x14ac:dyDescent="0.25">
      <c r="A306" s="8" t="s">
        <v>272</v>
      </c>
      <c r="B306" s="3" t="s">
        <v>398</v>
      </c>
      <c r="C306" s="3" t="s">
        <v>4</v>
      </c>
      <c r="D306" s="3" t="s">
        <v>399</v>
      </c>
      <c r="E306" s="3" t="s">
        <v>322</v>
      </c>
      <c r="F306" s="3" t="s">
        <v>323</v>
      </c>
      <c r="G306" s="6">
        <v>1</v>
      </c>
      <c r="H306" s="6">
        <v>24</v>
      </c>
      <c r="I306" s="6">
        <v>24</v>
      </c>
      <c r="J306" s="6">
        <v>2995.5</v>
      </c>
    </row>
    <row r="307" spans="1:10" outlineLevel="1" x14ac:dyDescent="0.25">
      <c r="A307" s="8" t="s">
        <v>272</v>
      </c>
      <c r="B307" s="3" t="s">
        <v>398</v>
      </c>
      <c r="C307" s="3" t="s">
        <v>4</v>
      </c>
      <c r="D307" s="3" t="s">
        <v>399</v>
      </c>
      <c r="E307" s="3" t="s">
        <v>324</v>
      </c>
      <c r="F307" s="3" t="s">
        <v>325</v>
      </c>
      <c r="G307" s="6">
        <v>1</v>
      </c>
      <c r="H307" s="6">
        <v>26</v>
      </c>
      <c r="I307" s="6">
        <v>26</v>
      </c>
      <c r="J307" s="6">
        <v>3021.5</v>
      </c>
    </row>
    <row r="308" spans="1:10" outlineLevel="1" x14ac:dyDescent="0.25">
      <c r="A308" s="8" t="s">
        <v>272</v>
      </c>
      <c r="B308" s="3" t="s">
        <v>398</v>
      </c>
      <c r="C308" s="3" t="s">
        <v>4</v>
      </c>
      <c r="D308" s="3" t="s">
        <v>399</v>
      </c>
      <c r="E308" s="3" t="s">
        <v>326</v>
      </c>
      <c r="F308" s="3" t="s">
        <v>327</v>
      </c>
      <c r="G308" s="6">
        <v>1</v>
      </c>
      <c r="H308" s="6">
        <v>28</v>
      </c>
      <c r="I308" s="6">
        <v>28</v>
      </c>
      <c r="J308" s="6">
        <v>3049.5</v>
      </c>
    </row>
    <row r="309" spans="1:10" outlineLevel="1" x14ac:dyDescent="0.25">
      <c r="A309" s="8" t="s">
        <v>272</v>
      </c>
      <c r="B309" s="3" t="s">
        <v>398</v>
      </c>
      <c r="C309" s="3" t="s">
        <v>4</v>
      </c>
      <c r="D309" s="3" t="s">
        <v>399</v>
      </c>
      <c r="E309" s="3" t="s">
        <v>328</v>
      </c>
      <c r="F309" s="3" t="s">
        <v>400</v>
      </c>
      <c r="G309" s="6">
        <v>1</v>
      </c>
      <c r="H309" s="6">
        <v>82.5</v>
      </c>
      <c r="I309" s="6">
        <v>82.5</v>
      </c>
      <c r="J309" s="6">
        <v>3132</v>
      </c>
    </row>
    <row r="310" spans="1:10" outlineLevel="1" x14ac:dyDescent="0.25">
      <c r="A310" s="8" t="s">
        <v>272</v>
      </c>
      <c r="B310" s="3" t="s">
        <v>398</v>
      </c>
      <c r="C310" s="3" t="s">
        <v>4</v>
      </c>
      <c r="D310" s="3" t="s">
        <v>399</v>
      </c>
      <c r="E310" s="3" t="s">
        <v>37</v>
      </c>
      <c r="F310" s="3" t="s">
        <v>330</v>
      </c>
      <c r="G310" s="6">
        <v>1</v>
      </c>
      <c r="H310" s="6">
        <v>99</v>
      </c>
      <c r="I310" s="6">
        <v>99</v>
      </c>
      <c r="J310" s="6">
        <v>3231</v>
      </c>
    </row>
    <row r="311" spans="1:10" outlineLevel="1" x14ac:dyDescent="0.25">
      <c r="A311" s="8" t="s">
        <v>272</v>
      </c>
      <c r="B311" s="3" t="s">
        <v>398</v>
      </c>
      <c r="C311" s="3" t="s">
        <v>4</v>
      </c>
      <c r="D311" s="3" t="s">
        <v>399</v>
      </c>
      <c r="E311" s="3" t="s">
        <v>337</v>
      </c>
      <c r="F311" s="3" t="s">
        <v>338</v>
      </c>
      <c r="G311" s="6">
        <v>1</v>
      </c>
      <c r="H311" s="6">
        <v>39</v>
      </c>
      <c r="I311" s="6">
        <v>39</v>
      </c>
      <c r="J311" s="6">
        <v>3270</v>
      </c>
    </row>
    <row r="312" spans="1:10" outlineLevel="1" x14ac:dyDescent="0.25">
      <c r="A312" s="8" t="s">
        <v>272</v>
      </c>
      <c r="B312" s="3" t="s">
        <v>398</v>
      </c>
      <c r="C312" s="3" t="s">
        <v>4</v>
      </c>
      <c r="D312" s="3" t="s">
        <v>399</v>
      </c>
      <c r="E312" s="3" t="s">
        <v>339</v>
      </c>
      <c r="F312" s="3" t="s">
        <v>340</v>
      </c>
      <c r="G312" s="6">
        <v>1</v>
      </c>
      <c r="H312" s="6">
        <v>42</v>
      </c>
      <c r="I312" s="6">
        <v>42</v>
      </c>
      <c r="J312" s="6">
        <v>3312</v>
      </c>
    </row>
    <row r="313" spans="1:10" outlineLevel="1" x14ac:dyDescent="0.25">
      <c r="A313" s="8" t="s">
        <v>272</v>
      </c>
      <c r="B313" s="3" t="s">
        <v>398</v>
      </c>
      <c r="C313" s="3" t="s">
        <v>4</v>
      </c>
      <c r="D313" s="3" t="s">
        <v>399</v>
      </c>
      <c r="E313" s="3" t="s">
        <v>341</v>
      </c>
      <c r="F313" s="3" t="s">
        <v>342</v>
      </c>
      <c r="G313" s="6">
        <v>1</v>
      </c>
      <c r="H313" s="6">
        <v>39</v>
      </c>
      <c r="I313" s="6">
        <v>39</v>
      </c>
      <c r="J313" s="6">
        <v>3351</v>
      </c>
    </row>
    <row r="314" spans="1:10" outlineLevel="1" x14ac:dyDescent="0.25">
      <c r="A314" s="8" t="s">
        <v>272</v>
      </c>
      <c r="B314" s="3" t="s">
        <v>398</v>
      </c>
      <c r="C314" s="3" t="s">
        <v>4</v>
      </c>
      <c r="D314" s="3" t="s">
        <v>399</v>
      </c>
      <c r="E314" s="3" t="s">
        <v>343</v>
      </c>
      <c r="F314" s="3" t="s">
        <v>344</v>
      </c>
      <c r="G314" s="6">
        <v>1</v>
      </c>
      <c r="H314" s="6">
        <v>50</v>
      </c>
      <c r="I314" s="6">
        <v>50</v>
      </c>
      <c r="J314" s="6">
        <v>3401</v>
      </c>
    </row>
    <row r="315" spans="1:10" outlineLevel="1" x14ac:dyDescent="0.25">
      <c r="A315" s="8" t="s">
        <v>272</v>
      </c>
      <c r="B315" s="3" t="s">
        <v>398</v>
      </c>
      <c r="C315" s="3" t="s">
        <v>4</v>
      </c>
      <c r="D315" s="3" t="s">
        <v>399</v>
      </c>
      <c r="E315" s="3" t="s">
        <v>128</v>
      </c>
      <c r="F315" s="3" t="s">
        <v>345</v>
      </c>
      <c r="G315" s="6">
        <v>1</v>
      </c>
      <c r="H315" s="6">
        <v>28</v>
      </c>
      <c r="I315" s="6">
        <v>28</v>
      </c>
      <c r="J315" s="6">
        <v>3429</v>
      </c>
    </row>
    <row r="316" spans="1:10" outlineLevel="1" x14ac:dyDescent="0.25">
      <c r="A316" s="8" t="s">
        <v>272</v>
      </c>
      <c r="B316" s="3" t="s">
        <v>398</v>
      </c>
      <c r="C316" s="3" t="s">
        <v>4</v>
      </c>
      <c r="D316" s="3" t="s">
        <v>399</v>
      </c>
      <c r="E316" s="3" t="s">
        <v>126</v>
      </c>
      <c r="F316" s="3" t="s">
        <v>346</v>
      </c>
      <c r="G316" s="6">
        <v>1</v>
      </c>
      <c r="H316" s="6">
        <v>28</v>
      </c>
      <c r="I316" s="6">
        <v>28</v>
      </c>
      <c r="J316" s="6">
        <v>3457</v>
      </c>
    </row>
    <row r="317" spans="1:10" outlineLevel="1" x14ac:dyDescent="0.25">
      <c r="A317" s="8" t="s">
        <v>272</v>
      </c>
      <c r="B317" s="3" t="s">
        <v>398</v>
      </c>
      <c r="C317" s="3" t="s">
        <v>4</v>
      </c>
      <c r="D317" s="3" t="s">
        <v>399</v>
      </c>
      <c r="E317" s="3" t="s">
        <v>122</v>
      </c>
      <c r="F317" s="3" t="s">
        <v>347</v>
      </c>
      <c r="G317" s="6">
        <v>1</v>
      </c>
      <c r="H317" s="6">
        <v>26</v>
      </c>
      <c r="I317" s="6">
        <v>26</v>
      </c>
      <c r="J317" s="6">
        <v>3483</v>
      </c>
    </row>
    <row r="318" spans="1:10" outlineLevel="1" x14ac:dyDescent="0.25">
      <c r="A318" s="8" t="s">
        <v>272</v>
      </c>
      <c r="B318" s="3" t="s">
        <v>398</v>
      </c>
      <c r="C318" s="3" t="s">
        <v>4</v>
      </c>
      <c r="D318" s="3" t="s">
        <v>399</v>
      </c>
      <c r="E318" s="3" t="s">
        <v>348</v>
      </c>
      <c r="F318" s="3" t="s">
        <v>349</v>
      </c>
      <c r="G318" s="6">
        <v>1</v>
      </c>
      <c r="H318" s="6">
        <v>16</v>
      </c>
      <c r="I318" s="6">
        <v>16</v>
      </c>
      <c r="J318" s="6">
        <v>3499</v>
      </c>
    </row>
    <row r="319" spans="1:10" outlineLevel="1" x14ac:dyDescent="0.25">
      <c r="A319" s="8" t="s">
        <v>272</v>
      </c>
      <c r="B319" s="3" t="s">
        <v>398</v>
      </c>
      <c r="C319" s="3" t="s">
        <v>4</v>
      </c>
      <c r="D319" s="3" t="s">
        <v>399</v>
      </c>
      <c r="E319" s="3" t="s">
        <v>350</v>
      </c>
      <c r="F319" s="3" t="s">
        <v>351</v>
      </c>
      <c r="G319" s="6">
        <v>1</v>
      </c>
      <c r="H319" s="6">
        <v>16</v>
      </c>
      <c r="I319" s="6">
        <v>16</v>
      </c>
      <c r="J319" s="6">
        <v>3515</v>
      </c>
    </row>
    <row r="320" spans="1:10" outlineLevel="1" x14ac:dyDescent="0.25">
      <c r="A320" s="8" t="s">
        <v>272</v>
      </c>
      <c r="B320" s="3" t="s">
        <v>398</v>
      </c>
      <c r="C320" s="3" t="s">
        <v>4</v>
      </c>
      <c r="D320" s="3" t="s">
        <v>399</v>
      </c>
      <c r="E320" s="3" t="s">
        <v>354</v>
      </c>
      <c r="F320" s="3" t="s">
        <v>355</v>
      </c>
      <c r="G320" s="6">
        <v>1</v>
      </c>
      <c r="H320" s="6">
        <v>16</v>
      </c>
      <c r="I320" s="6">
        <v>16</v>
      </c>
      <c r="J320" s="6">
        <v>3531</v>
      </c>
    </row>
    <row r="321" spans="1:10" outlineLevel="1" x14ac:dyDescent="0.25">
      <c r="A321" s="8" t="s">
        <v>272</v>
      </c>
      <c r="B321" s="3" t="s">
        <v>398</v>
      </c>
      <c r="C321" s="3" t="s">
        <v>4</v>
      </c>
      <c r="D321" s="3" t="s">
        <v>399</v>
      </c>
      <c r="E321" s="3" t="s">
        <v>356</v>
      </c>
      <c r="F321" s="3" t="s">
        <v>357</v>
      </c>
      <c r="G321" s="6">
        <v>1</v>
      </c>
      <c r="H321" s="6">
        <v>16</v>
      </c>
      <c r="I321" s="6">
        <v>16</v>
      </c>
      <c r="J321" s="6">
        <v>3547</v>
      </c>
    </row>
    <row r="322" spans="1:10" outlineLevel="1" x14ac:dyDescent="0.25">
      <c r="A322" s="8" t="s">
        <v>272</v>
      </c>
      <c r="B322" s="3" t="s">
        <v>398</v>
      </c>
      <c r="C322" s="3" t="s">
        <v>4</v>
      </c>
      <c r="D322" s="3" t="s">
        <v>399</v>
      </c>
      <c r="E322" s="3" t="s">
        <v>358</v>
      </c>
      <c r="F322" s="3" t="s">
        <v>359</v>
      </c>
      <c r="G322" s="6">
        <v>1</v>
      </c>
      <c r="H322" s="6">
        <v>17</v>
      </c>
      <c r="I322" s="6">
        <v>17</v>
      </c>
      <c r="J322" s="6">
        <v>3564</v>
      </c>
    </row>
    <row r="323" spans="1:10" outlineLevel="1" x14ac:dyDescent="0.25">
      <c r="A323" s="8" t="s">
        <v>272</v>
      </c>
      <c r="B323" s="3" t="s">
        <v>398</v>
      </c>
      <c r="C323" s="3" t="s">
        <v>4</v>
      </c>
      <c r="D323" s="3" t="s">
        <v>399</v>
      </c>
      <c r="E323" s="3" t="s">
        <v>360</v>
      </c>
      <c r="F323" s="3" t="s">
        <v>361</v>
      </c>
      <c r="G323" s="6">
        <v>1</v>
      </c>
      <c r="H323" s="6">
        <v>17</v>
      </c>
      <c r="I323" s="6">
        <v>17</v>
      </c>
      <c r="J323" s="6">
        <v>3581</v>
      </c>
    </row>
    <row r="324" spans="1:10" outlineLevel="1" x14ac:dyDescent="0.25">
      <c r="A324" s="8" t="s">
        <v>272</v>
      </c>
      <c r="B324" s="3" t="s">
        <v>398</v>
      </c>
      <c r="C324" s="3" t="s">
        <v>4</v>
      </c>
      <c r="D324" s="3" t="s">
        <v>399</v>
      </c>
      <c r="E324" s="3" t="s">
        <v>364</v>
      </c>
      <c r="F324" s="3" t="s">
        <v>365</v>
      </c>
      <c r="G324" s="6">
        <v>1</v>
      </c>
      <c r="H324" s="6">
        <v>17</v>
      </c>
      <c r="I324" s="6">
        <v>17</v>
      </c>
      <c r="J324" s="6">
        <v>3598</v>
      </c>
    </row>
    <row r="325" spans="1:10" outlineLevel="1" x14ac:dyDescent="0.25">
      <c r="A325" s="8" t="s">
        <v>272</v>
      </c>
      <c r="B325" s="3" t="s">
        <v>398</v>
      </c>
      <c r="C325" s="3" t="s">
        <v>4</v>
      </c>
      <c r="D325" s="3" t="s">
        <v>399</v>
      </c>
      <c r="E325" s="3" t="s">
        <v>366</v>
      </c>
      <c r="F325" s="3" t="s">
        <v>367</v>
      </c>
      <c r="G325" s="6">
        <v>1</v>
      </c>
      <c r="H325" s="6">
        <v>35</v>
      </c>
      <c r="I325" s="6">
        <v>35</v>
      </c>
      <c r="J325" s="6">
        <v>3633</v>
      </c>
    </row>
    <row r="326" spans="1:10" outlineLevel="1" x14ac:dyDescent="0.25">
      <c r="A326" s="8" t="s">
        <v>272</v>
      </c>
      <c r="B326" s="3" t="s">
        <v>398</v>
      </c>
      <c r="C326" s="3" t="s">
        <v>4</v>
      </c>
      <c r="D326" s="3" t="s">
        <v>399</v>
      </c>
      <c r="E326" s="3" t="s">
        <v>370</v>
      </c>
      <c r="F326" s="3" t="s">
        <v>371</v>
      </c>
      <c r="G326" s="6">
        <v>1</v>
      </c>
      <c r="H326" s="6">
        <v>8</v>
      </c>
      <c r="I326" s="6">
        <v>8</v>
      </c>
      <c r="J326" s="6">
        <v>3641</v>
      </c>
    </row>
    <row r="327" spans="1:10" outlineLevel="1" x14ac:dyDescent="0.25">
      <c r="A327" s="8" t="s">
        <v>272</v>
      </c>
      <c r="B327" s="3" t="s">
        <v>398</v>
      </c>
      <c r="C327" s="3" t="s">
        <v>4</v>
      </c>
      <c r="D327" s="3" t="s">
        <v>399</v>
      </c>
      <c r="E327" s="3" t="s">
        <v>372</v>
      </c>
      <c r="F327" s="3" t="s">
        <v>373</v>
      </c>
      <c r="G327" s="6">
        <v>1</v>
      </c>
      <c r="H327" s="6">
        <v>36</v>
      </c>
      <c r="I327" s="6">
        <v>36</v>
      </c>
      <c r="J327" s="6">
        <v>3677</v>
      </c>
    </row>
    <row r="328" spans="1:10" outlineLevel="1" x14ac:dyDescent="0.25">
      <c r="A328" s="8" t="s">
        <v>272</v>
      </c>
      <c r="B328" s="3" t="s">
        <v>398</v>
      </c>
      <c r="C328" s="3" t="s">
        <v>4</v>
      </c>
      <c r="D328" s="3" t="s">
        <v>399</v>
      </c>
      <c r="E328" s="3" t="s">
        <v>376</v>
      </c>
      <c r="F328" s="3" t="s">
        <v>377</v>
      </c>
      <c r="G328" s="6">
        <v>1</v>
      </c>
      <c r="H328" s="6">
        <v>19</v>
      </c>
      <c r="I328" s="6">
        <v>19</v>
      </c>
      <c r="J328" s="6">
        <v>3696</v>
      </c>
    </row>
    <row r="329" spans="1:10" outlineLevel="1" x14ac:dyDescent="0.25">
      <c r="A329" s="8" t="s">
        <v>272</v>
      </c>
      <c r="B329" s="3" t="s">
        <v>398</v>
      </c>
      <c r="C329" s="3" t="s">
        <v>4</v>
      </c>
      <c r="D329" s="3" t="s">
        <v>399</v>
      </c>
      <c r="E329" s="3" t="s">
        <v>378</v>
      </c>
      <c r="F329" s="3" t="s">
        <v>379</v>
      </c>
      <c r="G329" s="6">
        <v>1</v>
      </c>
      <c r="H329" s="6">
        <v>12.5</v>
      </c>
      <c r="I329" s="6">
        <v>12.5</v>
      </c>
      <c r="J329" s="6">
        <v>3708.5</v>
      </c>
    </row>
    <row r="330" spans="1:10" outlineLevel="1" x14ac:dyDescent="0.25">
      <c r="A330" s="8" t="s">
        <v>272</v>
      </c>
      <c r="B330" s="3" t="s">
        <v>398</v>
      </c>
      <c r="C330" s="3" t="s">
        <v>4</v>
      </c>
      <c r="D330" s="3" t="s">
        <v>399</v>
      </c>
      <c r="E330" s="3" t="s">
        <v>380</v>
      </c>
      <c r="F330" s="3" t="s">
        <v>380</v>
      </c>
      <c r="G330" s="6">
        <v>1</v>
      </c>
      <c r="H330" s="6">
        <v>54</v>
      </c>
      <c r="I330" s="6">
        <v>54</v>
      </c>
      <c r="J330" s="6">
        <v>3762.5</v>
      </c>
    </row>
    <row r="331" spans="1:10" outlineLevel="1" x14ac:dyDescent="0.25">
      <c r="A331" s="8" t="s">
        <v>272</v>
      </c>
      <c r="B331" s="3" t="s">
        <v>398</v>
      </c>
      <c r="C331" s="3" t="s">
        <v>4</v>
      </c>
      <c r="D331" s="3" t="s">
        <v>399</v>
      </c>
      <c r="E331" s="3" t="s">
        <v>381</v>
      </c>
      <c r="F331" s="3" t="s">
        <v>381</v>
      </c>
      <c r="G331" s="6">
        <v>1</v>
      </c>
      <c r="H331" s="6">
        <v>115</v>
      </c>
      <c r="I331" s="6">
        <v>115</v>
      </c>
      <c r="J331" s="6">
        <v>3877.5</v>
      </c>
    </row>
    <row r="332" spans="1:10" outlineLevel="1" x14ac:dyDescent="0.25">
      <c r="A332" s="8" t="s">
        <v>272</v>
      </c>
      <c r="B332" s="3" t="s">
        <v>398</v>
      </c>
      <c r="C332" s="3" t="s">
        <v>4</v>
      </c>
      <c r="D332" s="3" t="s">
        <v>399</v>
      </c>
      <c r="E332" s="3" t="s">
        <v>382</v>
      </c>
      <c r="F332" s="3" t="s">
        <v>383</v>
      </c>
      <c r="G332" s="6">
        <v>1</v>
      </c>
      <c r="H332" s="6">
        <v>21</v>
      </c>
      <c r="I332" s="6">
        <v>21</v>
      </c>
      <c r="J332" s="6">
        <v>3898.5</v>
      </c>
    </row>
    <row r="333" spans="1:10" outlineLevel="1" x14ac:dyDescent="0.25">
      <c r="A333" s="8" t="s">
        <v>272</v>
      </c>
      <c r="B333" s="3" t="s">
        <v>398</v>
      </c>
      <c r="C333" s="3" t="s">
        <v>4</v>
      </c>
      <c r="D333" s="3" t="s">
        <v>399</v>
      </c>
      <c r="E333" s="3" t="s">
        <v>384</v>
      </c>
      <c r="F333" s="3" t="s">
        <v>385</v>
      </c>
      <c r="G333" s="6">
        <v>1</v>
      </c>
      <c r="H333" s="6">
        <v>66</v>
      </c>
      <c r="I333" s="6">
        <v>66</v>
      </c>
      <c r="J333" s="6">
        <v>3964.5</v>
      </c>
    </row>
    <row r="334" spans="1:10" outlineLevel="1" x14ac:dyDescent="0.25">
      <c r="A334" s="8" t="s">
        <v>272</v>
      </c>
      <c r="B334" s="3" t="s">
        <v>398</v>
      </c>
      <c r="C334" s="3" t="s">
        <v>4</v>
      </c>
      <c r="D334" s="3" t="s">
        <v>399</v>
      </c>
      <c r="E334" s="3" t="s">
        <v>386</v>
      </c>
      <c r="F334" s="3" t="s">
        <v>387</v>
      </c>
      <c r="G334" s="6">
        <v>1</v>
      </c>
      <c r="H334" s="6">
        <v>46</v>
      </c>
      <c r="I334" s="6">
        <v>46</v>
      </c>
      <c r="J334" s="6">
        <v>4010.5</v>
      </c>
    </row>
    <row r="335" spans="1:10" outlineLevel="1" x14ac:dyDescent="0.25">
      <c r="A335" s="8" t="s">
        <v>272</v>
      </c>
      <c r="B335" s="3" t="s">
        <v>398</v>
      </c>
      <c r="C335" s="3" t="s">
        <v>4</v>
      </c>
      <c r="D335" s="3" t="s">
        <v>399</v>
      </c>
      <c r="E335" s="3" t="s">
        <v>388</v>
      </c>
      <c r="F335" s="3" t="s">
        <v>389</v>
      </c>
      <c r="G335" s="6">
        <v>1</v>
      </c>
      <c r="H335" s="6">
        <v>55</v>
      </c>
      <c r="I335" s="6">
        <v>55</v>
      </c>
      <c r="J335" s="6">
        <v>4065.5</v>
      </c>
    </row>
    <row r="336" spans="1:10" outlineLevel="1" x14ac:dyDescent="0.25">
      <c r="A336" s="8" t="s">
        <v>272</v>
      </c>
      <c r="B336" s="3" t="s">
        <v>398</v>
      </c>
      <c r="C336" s="3" t="s">
        <v>4</v>
      </c>
      <c r="D336" s="3" t="s">
        <v>399</v>
      </c>
      <c r="E336" s="3" t="s">
        <v>390</v>
      </c>
      <c r="F336" s="3" t="s">
        <v>391</v>
      </c>
      <c r="G336" s="6">
        <v>1</v>
      </c>
      <c r="H336" s="6">
        <v>39</v>
      </c>
      <c r="I336" s="6">
        <v>39</v>
      </c>
      <c r="J336" s="6">
        <v>4104.5</v>
      </c>
    </row>
    <row r="337" spans="1:10" outlineLevel="1" x14ac:dyDescent="0.25">
      <c r="A337" s="8" t="s">
        <v>272</v>
      </c>
      <c r="B337" s="3" t="s">
        <v>398</v>
      </c>
      <c r="C337" s="3" t="s">
        <v>4</v>
      </c>
      <c r="D337" s="3" t="s">
        <v>399</v>
      </c>
      <c r="E337" s="3" t="s">
        <v>392</v>
      </c>
      <c r="F337" s="3" t="s">
        <v>393</v>
      </c>
      <c r="G337" s="6">
        <v>1</v>
      </c>
      <c r="H337" s="6">
        <v>80</v>
      </c>
      <c r="I337" s="6">
        <v>80</v>
      </c>
      <c r="J337" s="6">
        <v>4184.5</v>
      </c>
    </row>
    <row r="338" spans="1:10" outlineLevel="1" x14ac:dyDescent="0.25">
      <c r="A338" s="8" t="s">
        <v>272</v>
      </c>
      <c r="B338" s="3" t="s">
        <v>398</v>
      </c>
      <c r="C338" s="3" t="s">
        <v>4</v>
      </c>
      <c r="D338" s="3" t="s">
        <v>399</v>
      </c>
      <c r="E338" s="3" t="s">
        <v>394</v>
      </c>
      <c r="F338" s="3" t="s">
        <v>395</v>
      </c>
      <c r="G338" s="6">
        <v>1</v>
      </c>
      <c r="H338" s="6">
        <v>78</v>
      </c>
      <c r="I338" s="6">
        <v>78</v>
      </c>
      <c r="J338" s="6">
        <v>4262.5</v>
      </c>
    </row>
    <row r="339" spans="1:10" outlineLevel="1" x14ac:dyDescent="0.25">
      <c r="A339" s="8" t="s">
        <v>272</v>
      </c>
      <c r="B339" s="3" t="s">
        <v>398</v>
      </c>
      <c r="C339" s="3" t="s">
        <v>4</v>
      </c>
      <c r="D339" s="3" t="s">
        <v>399</v>
      </c>
      <c r="E339" s="3" t="s">
        <v>396</v>
      </c>
      <c r="F339" s="3" t="s">
        <v>397</v>
      </c>
      <c r="G339" s="6">
        <v>1</v>
      </c>
      <c r="H339" s="6">
        <v>72</v>
      </c>
      <c r="I339" s="6">
        <v>72</v>
      </c>
      <c r="J339" s="6">
        <v>4334.5</v>
      </c>
    </row>
    <row r="340" spans="1:10" outlineLevel="1" x14ac:dyDescent="0.25">
      <c r="A340" s="8" t="s">
        <v>272</v>
      </c>
      <c r="B340" s="3" t="s">
        <v>398</v>
      </c>
      <c r="C340" s="3" t="s">
        <v>4</v>
      </c>
      <c r="D340" s="3" t="s">
        <v>399</v>
      </c>
      <c r="E340" s="3" t="s">
        <v>72</v>
      </c>
      <c r="F340" s="3" t="s">
        <v>401</v>
      </c>
      <c r="G340" s="6">
        <v>1</v>
      </c>
      <c r="H340" s="6">
        <v>79.5</v>
      </c>
      <c r="I340" s="6">
        <v>79.5</v>
      </c>
      <c r="J340" s="6">
        <v>4414</v>
      </c>
    </row>
    <row r="341" spans="1:10" outlineLevel="1" x14ac:dyDescent="0.25">
      <c r="A341" s="8" t="s">
        <v>272</v>
      </c>
      <c r="B341" s="3" t="s">
        <v>398</v>
      </c>
      <c r="C341" s="3" t="s">
        <v>4</v>
      </c>
      <c r="D341" s="3" t="s">
        <v>399</v>
      </c>
      <c r="E341" s="3" t="s">
        <v>175</v>
      </c>
      <c r="F341" s="3" t="s">
        <v>176</v>
      </c>
      <c r="G341" s="6">
        <v>1</v>
      </c>
      <c r="H341" s="6">
        <v>27</v>
      </c>
      <c r="I341" s="6">
        <v>27</v>
      </c>
      <c r="J341" s="6">
        <v>4441</v>
      </c>
    </row>
    <row r="342" spans="1:10" outlineLevel="1" x14ac:dyDescent="0.25">
      <c r="A342" s="8" t="s">
        <v>272</v>
      </c>
      <c r="B342" s="3" t="s">
        <v>398</v>
      </c>
      <c r="C342" s="3" t="s">
        <v>4</v>
      </c>
      <c r="D342" s="3" t="s">
        <v>399</v>
      </c>
      <c r="E342" s="3" t="s">
        <v>402</v>
      </c>
      <c r="F342" s="3" t="s">
        <v>403</v>
      </c>
      <c r="G342" s="6">
        <v>1</v>
      </c>
      <c r="H342" s="6">
        <v>30</v>
      </c>
      <c r="I342" s="6">
        <v>30</v>
      </c>
      <c r="J342" s="6">
        <v>4471</v>
      </c>
    </row>
    <row r="343" spans="1:10" outlineLevel="1" x14ac:dyDescent="0.25">
      <c r="A343" s="8" t="s">
        <v>272</v>
      </c>
      <c r="B343" s="3" t="s">
        <v>398</v>
      </c>
      <c r="C343" s="3" t="s">
        <v>4</v>
      </c>
      <c r="D343" s="3" t="s">
        <v>399</v>
      </c>
      <c r="E343" s="3" t="s">
        <v>404</v>
      </c>
      <c r="F343" s="3" t="s">
        <v>405</v>
      </c>
      <c r="G343" s="6">
        <v>1</v>
      </c>
      <c r="H343" s="6">
        <v>30</v>
      </c>
      <c r="I343" s="6">
        <v>30</v>
      </c>
      <c r="J343" s="6">
        <v>4501</v>
      </c>
    </row>
    <row r="344" spans="1:10" outlineLevel="1" x14ac:dyDescent="0.25">
      <c r="A344" s="8" t="s">
        <v>272</v>
      </c>
      <c r="B344" s="3" t="s">
        <v>398</v>
      </c>
      <c r="C344" s="3" t="s">
        <v>4</v>
      </c>
      <c r="D344" s="3" t="s">
        <v>399</v>
      </c>
      <c r="E344" s="3" t="s">
        <v>406</v>
      </c>
      <c r="F344" s="3" t="s">
        <v>407</v>
      </c>
      <c r="G344" s="6">
        <v>1</v>
      </c>
      <c r="H344" s="6">
        <v>30</v>
      </c>
      <c r="I344" s="6">
        <v>30</v>
      </c>
      <c r="J344" s="6">
        <v>4531</v>
      </c>
    </row>
    <row r="345" spans="1:10" outlineLevel="1" x14ac:dyDescent="0.25">
      <c r="A345" s="8" t="s">
        <v>272</v>
      </c>
      <c r="B345" s="3" t="s">
        <v>408</v>
      </c>
      <c r="C345" s="3" t="s">
        <v>4</v>
      </c>
      <c r="D345" s="3" t="s">
        <v>409</v>
      </c>
      <c r="E345" s="3" t="s">
        <v>410</v>
      </c>
      <c r="F345" s="3" t="s">
        <v>411</v>
      </c>
      <c r="G345" s="6">
        <v>1</v>
      </c>
      <c r="H345" s="6">
        <v>15.6</v>
      </c>
      <c r="I345" s="6">
        <v>15.6</v>
      </c>
      <c r="J345" s="6">
        <v>4546.6000000000004</v>
      </c>
    </row>
    <row r="346" spans="1:10" outlineLevel="1" x14ac:dyDescent="0.25">
      <c r="A346" s="8" t="s">
        <v>272</v>
      </c>
      <c r="B346" s="3" t="s">
        <v>408</v>
      </c>
      <c r="C346" s="3" t="s">
        <v>4</v>
      </c>
      <c r="D346" s="3" t="s">
        <v>409</v>
      </c>
      <c r="E346" s="3" t="s">
        <v>412</v>
      </c>
      <c r="F346" s="3" t="s">
        <v>413</v>
      </c>
      <c r="G346" s="6">
        <v>1</v>
      </c>
      <c r="H346" s="6">
        <v>36</v>
      </c>
      <c r="I346" s="6">
        <v>36</v>
      </c>
      <c r="J346" s="6">
        <v>4582.6000000000004</v>
      </c>
    </row>
    <row r="347" spans="1:10" outlineLevel="1" x14ac:dyDescent="0.25">
      <c r="A347" s="8" t="s">
        <v>272</v>
      </c>
      <c r="B347" s="3" t="s">
        <v>408</v>
      </c>
      <c r="C347" s="3" t="s">
        <v>4</v>
      </c>
      <c r="D347" s="3" t="s">
        <v>409</v>
      </c>
      <c r="E347" s="3" t="s">
        <v>341</v>
      </c>
      <c r="F347" s="3" t="s">
        <v>342</v>
      </c>
      <c r="G347" s="6">
        <v>1</v>
      </c>
      <c r="H347" s="6">
        <v>39</v>
      </c>
      <c r="I347" s="6">
        <v>39</v>
      </c>
      <c r="J347" s="6">
        <v>4621.6000000000004</v>
      </c>
    </row>
    <row r="348" spans="1:10" outlineLevel="1" x14ac:dyDescent="0.25">
      <c r="A348" s="8" t="s">
        <v>272</v>
      </c>
      <c r="B348" s="3" t="s">
        <v>408</v>
      </c>
      <c r="C348" s="3" t="s">
        <v>4</v>
      </c>
      <c r="D348" s="3" t="s">
        <v>409</v>
      </c>
      <c r="E348" s="3" t="s">
        <v>414</v>
      </c>
      <c r="F348" s="3" t="s">
        <v>415</v>
      </c>
      <c r="G348" s="6">
        <v>1</v>
      </c>
      <c r="H348" s="6">
        <v>72</v>
      </c>
      <c r="I348" s="6">
        <v>72</v>
      </c>
      <c r="J348" s="6">
        <v>4693.6000000000004</v>
      </c>
    </row>
    <row r="349" spans="1:10" outlineLevel="1" x14ac:dyDescent="0.25">
      <c r="A349" s="8" t="s">
        <v>272</v>
      </c>
      <c r="B349" s="3" t="s">
        <v>408</v>
      </c>
      <c r="C349" s="3" t="s">
        <v>4</v>
      </c>
      <c r="D349" s="3" t="s">
        <v>409</v>
      </c>
      <c r="E349" s="3" t="s">
        <v>416</v>
      </c>
      <c r="F349" s="3" t="s">
        <v>417</v>
      </c>
      <c r="G349" s="6">
        <v>1</v>
      </c>
      <c r="H349" s="6">
        <v>55</v>
      </c>
      <c r="I349" s="6">
        <v>55</v>
      </c>
      <c r="J349" s="6">
        <v>4748.6000000000004</v>
      </c>
    </row>
    <row r="350" spans="1:10" outlineLevel="1" x14ac:dyDescent="0.25">
      <c r="A350" s="8" t="s">
        <v>272</v>
      </c>
      <c r="B350" s="3" t="s">
        <v>408</v>
      </c>
      <c r="C350" s="3" t="s">
        <v>4</v>
      </c>
      <c r="D350" s="3" t="s">
        <v>409</v>
      </c>
      <c r="E350" s="3" t="s">
        <v>378</v>
      </c>
      <c r="F350" s="3" t="s">
        <v>418</v>
      </c>
      <c r="G350" s="6">
        <v>1</v>
      </c>
      <c r="H350" s="6">
        <v>12.5</v>
      </c>
      <c r="I350" s="6">
        <v>12.5</v>
      </c>
      <c r="J350" s="6">
        <v>4761.1000000000004</v>
      </c>
    </row>
    <row r="351" spans="1:10" outlineLevel="1" x14ac:dyDescent="0.25">
      <c r="A351" s="8" t="s">
        <v>272</v>
      </c>
      <c r="B351" s="3" t="s">
        <v>408</v>
      </c>
      <c r="C351" s="3" t="s">
        <v>4</v>
      </c>
      <c r="D351" s="3" t="s">
        <v>409</v>
      </c>
      <c r="E351" s="3" t="s">
        <v>376</v>
      </c>
      <c r="F351" s="3" t="s">
        <v>419</v>
      </c>
      <c r="G351" s="6">
        <v>1</v>
      </c>
      <c r="H351" s="6">
        <v>19</v>
      </c>
      <c r="I351" s="6">
        <v>19</v>
      </c>
      <c r="J351" s="6">
        <v>4780.1000000000004</v>
      </c>
    </row>
    <row r="352" spans="1:10" outlineLevel="1" x14ac:dyDescent="0.25">
      <c r="A352" s="8" t="s">
        <v>272</v>
      </c>
      <c r="B352" s="3" t="s">
        <v>408</v>
      </c>
      <c r="C352" s="3" t="s">
        <v>4</v>
      </c>
      <c r="D352" s="3" t="s">
        <v>409</v>
      </c>
      <c r="E352" s="3" t="s">
        <v>420</v>
      </c>
      <c r="F352" s="3" t="s">
        <v>421</v>
      </c>
      <c r="G352" s="6">
        <v>1</v>
      </c>
      <c r="H352" s="6">
        <v>36</v>
      </c>
      <c r="I352" s="6">
        <v>36</v>
      </c>
      <c r="J352" s="6">
        <v>4816.1000000000004</v>
      </c>
    </row>
    <row r="353" spans="1:10" outlineLevel="1" x14ac:dyDescent="0.25">
      <c r="A353" s="8" t="s">
        <v>272</v>
      </c>
      <c r="B353" s="3" t="s">
        <v>408</v>
      </c>
      <c r="C353" s="3" t="s">
        <v>4</v>
      </c>
      <c r="D353" s="3" t="s">
        <v>409</v>
      </c>
      <c r="E353" s="3" t="s">
        <v>132</v>
      </c>
      <c r="F353" s="3" t="s">
        <v>133</v>
      </c>
      <c r="G353" s="6">
        <v>1</v>
      </c>
      <c r="H353" s="6">
        <v>40</v>
      </c>
      <c r="I353" s="6">
        <v>40</v>
      </c>
      <c r="J353" s="6">
        <v>4856.1000000000004</v>
      </c>
    </row>
    <row r="354" spans="1:10" outlineLevel="1" x14ac:dyDescent="0.25">
      <c r="A354" s="8" t="s">
        <v>272</v>
      </c>
      <c r="B354" s="3" t="s">
        <v>408</v>
      </c>
      <c r="C354" s="3" t="s">
        <v>4</v>
      </c>
      <c r="D354" s="3" t="s">
        <v>409</v>
      </c>
      <c r="E354" s="3" t="s">
        <v>374</v>
      </c>
      <c r="F354" s="3" t="s">
        <v>422</v>
      </c>
      <c r="G354" s="6">
        <v>1</v>
      </c>
      <c r="H354" s="6">
        <v>39</v>
      </c>
      <c r="I354" s="6">
        <v>39</v>
      </c>
      <c r="J354" s="6">
        <v>4895.1000000000004</v>
      </c>
    </row>
    <row r="355" spans="1:10" outlineLevel="1" x14ac:dyDescent="0.25">
      <c r="A355" s="8" t="s">
        <v>272</v>
      </c>
      <c r="B355" s="3" t="s">
        <v>408</v>
      </c>
      <c r="C355" s="3" t="s">
        <v>4</v>
      </c>
      <c r="D355" s="3" t="s">
        <v>409</v>
      </c>
      <c r="E355" s="3" t="s">
        <v>372</v>
      </c>
      <c r="F355" s="3" t="s">
        <v>423</v>
      </c>
      <c r="G355" s="6">
        <v>1</v>
      </c>
      <c r="H355" s="6">
        <v>39</v>
      </c>
      <c r="I355" s="6">
        <v>39</v>
      </c>
      <c r="J355" s="6">
        <v>4934.1000000000004</v>
      </c>
    </row>
    <row r="356" spans="1:10" outlineLevel="1" x14ac:dyDescent="0.25">
      <c r="A356" s="8" t="s">
        <v>272</v>
      </c>
      <c r="B356" s="3" t="s">
        <v>408</v>
      </c>
      <c r="C356" s="3" t="s">
        <v>4</v>
      </c>
      <c r="D356" s="3" t="s">
        <v>409</v>
      </c>
      <c r="E356" s="3" t="s">
        <v>381</v>
      </c>
      <c r="F356" s="3" t="s">
        <v>381</v>
      </c>
      <c r="G356" s="6">
        <v>1</v>
      </c>
      <c r="H356" s="6">
        <v>115</v>
      </c>
      <c r="I356" s="6">
        <v>115</v>
      </c>
      <c r="J356" s="6">
        <v>5049.1000000000004</v>
      </c>
    </row>
    <row r="357" spans="1:10" outlineLevel="1" x14ac:dyDescent="0.25">
      <c r="A357" s="8" t="s">
        <v>272</v>
      </c>
      <c r="B357" s="3" t="s">
        <v>408</v>
      </c>
      <c r="C357" s="3" t="s">
        <v>4</v>
      </c>
      <c r="D357" s="3" t="s">
        <v>409</v>
      </c>
      <c r="E357" s="3" t="s">
        <v>80</v>
      </c>
      <c r="F357" s="3" t="s">
        <v>81</v>
      </c>
      <c r="G357" s="6">
        <v>5</v>
      </c>
      <c r="H357" s="6">
        <v>15</v>
      </c>
      <c r="I357" s="6">
        <v>75</v>
      </c>
      <c r="J357" s="6">
        <v>5124.1000000000004</v>
      </c>
    </row>
    <row r="358" spans="1:10" outlineLevel="1" x14ac:dyDescent="0.25">
      <c r="A358" s="8" t="s">
        <v>272</v>
      </c>
      <c r="B358" s="3" t="s">
        <v>408</v>
      </c>
      <c r="C358" s="3" t="s">
        <v>4</v>
      </c>
      <c r="D358" s="3" t="s">
        <v>409</v>
      </c>
      <c r="E358" s="3" t="s">
        <v>424</v>
      </c>
      <c r="F358" s="3" t="s">
        <v>425</v>
      </c>
      <c r="G358" s="6">
        <v>5</v>
      </c>
      <c r="H358" s="6">
        <v>15.5</v>
      </c>
      <c r="I358" s="6">
        <v>77.5</v>
      </c>
      <c r="J358" s="6">
        <v>5201.6000000000004</v>
      </c>
    </row>
    <row r="359" spans="1:10" outlineLevel="1" x14ac:dyDescent="0.25">
      <c r="A359" s="8" t="s">
        <v>272</v>
      </c>
      <c r="B359" s="3" t="s">
        <v>408</v>
      </c>
      <c r="C359" s="3" t="s">
        <v>4</v>
      </c>
      <c r="D359" s="3" t="s">
        <v>409</v>
      </c>
      <c r="E359" s="3" t="s">
        <v>82</v>
      </c>
      <c r="F359" s="3" t="s">
        <v>83</v>
      </c>
      <c r="G359" s="6">
        <v>1</v>
      </c>
      <c r="H359" s="6">
        <v>78</v>
      </c>
      <c r="I359" s="6">
        <v>78</v>
      </c>
      <c r="J359" s="6">
        <v>5279.6</v>
      </c>
    </row>
    <row r="360" spans="1:10" outlineLevel="1" x14ac:dyDescent="0.25">
      <c r="A360" s="8" t="s">
        <v>272</v>
      </c>
      <c r="B360" s="3" t="s">
        <v>408</v>
      </c>
      <c r="C360" s="3" t="s">
        <v>4</v>
      </c>
      <c r="D360" s="3" t="s">
        <v>409</v>
      </c>
      <c r="E360" s="3" t="s">
        <v>58</v>
      </c>
      <c r="F360" s="3" t="s">
        <v>59</v>
      </c>
      <c r="G360" s="6">
        <v>1</v>
      </c>
      <c r="H360" s="6">
        <v>70</v>
      </c>
      <c r="I360" s="6">
        <v>70</v>
      </c>
      <c r="J360" s="6">
        <v>5349.6</v>
      </c>
    </row>
    <row r="361" spans="1:10" outlineLevel="1" x14ac:dyDescent="0.25">
      <c r="A361" s="8" t="s">
        <v>272</v>
      </c>
      <c r="B361" s="3" t="s">
        <v>408</v>
      </c>
      <c r="C361" s="3" t="s">
        <v>4</v>
      </c>
      <c r="D361" s="3" t="s">
        <v>409</v>
      </c>
      <c r="E361" s="3" t="s">
        <v>56</v>
      </c>
      <c r="F361" s="3" t="s">
        <v>57</v>
      </c>
      <c r="G361" s="6">
        <v>1</v>
      </c>
      <c r="H361" s="6">
        <v>68</v>
      </c>
      <c r="I361" s="6">
        <v>68</v>
      </c>
      <c r="J361" s="6">
        <v>5417.6</v>
      </c>
    </row>
    <row r="362" spans="1:10" outlineLevel="1" x14ac:dyDescent="0.25">
      <c r="A362" s="8" t="s">
        <v>272</v>
      </c>
      <c r="B362" s="3" t="s">
        <v>408</v>
      </c>
      <c r="C362" s="3" t="s">
        <v>4</v>
      </c>
      <c r="D362" s="3" t="s">
        <v>409</v>
      </c>
      <c r="E362" s="3" t="s">
        <v>175</v>
      </c>
      <c r="F362" s="3" t="s">
        <v>176</v>
      </c>
      <c r="G362" s="6">
        <v>3</v>
      </c>
      <c r="H362" s="6">
        <v>27</v>
      </c>
      <c r="I362" s="6">
        <v>81</v>
      </c>
      <c r="J362" s="6">
        <v>5498.6</v>
      </c>
    </row>
    <row r="363" spans="1:10" outlineLevel="1" x14ac:dyDescent="0.25">
      <c r="A363" s="8" t="s">
        <v>272</v>
      </c>
      <c r="B363" s="3" t="s">
        <v>408</v>
      </c>
      <c r="C363" s="3" t="s">
        <v>4</v>
      </c>
      <c r="D363" s="3" t="s">
        <v>409</v>
      </c>
      <c r="E363" s="3" t="s">
        <v>62</v>
      </c>
      <c r="F363" s="3" t="s">
        <v>63</v>
      </c>
      <c r="G363" s="6">
        <v>5</v>
      </c>
      <c r="H363" s="6">
        <v>17</v>
      </c>
      <c r="I363" s="6">
        <v>85</v>
      </c>
      <c r="J363" s="6">
        <v>5583.6</v>
      </c>
    </row>
    <row r="364" spans="1:10" outlineLevel="1" x14ac:dyDescent="0.25">
      <c r="A364" s="8" t="s">
        <v>272</v>
      </c>
      <c r="B364" s="3" t="s">
        <v>408</v>
      </c>
      <c r="C364" s="3" t="s">
        <v>4</v>
      </c>
      <c r="D364" s="3" t="s">
        <v>409</v>
      </c>
      <c r="E364" s="3" t="s">
        <v>426</v>
      </c>
      <c r="F364" s="3" t="s">
        <v>427</v>
      </c>
      <c r="G364" s="6">
        <v>1</v>
      </c>
      <c r="H364" s="6">
        <v>15</v>
      </c>
      <c r="I364" s="6">
        <v>15</v>
      </c>
      <c r="J364" s="6">
        <v>5598.6</v>
      </c>
    </row>
    <row r="365" spans="1:10" outlineLevel="1" x14ac:dyDescent="0.25">
      <c r="A365" s="8" t="s">
        <v>272</v>
      </c>
      <c r="B365" s="3" t="s">
        <v>408</v>
      </c>
      <c r="C365" s="3" t="s">
        <v>4</v>
      </c>
      <c r="D365" s="3" t="s">
        <v>409</v>
      </c>
      <c r="E365" s="3" t="s">
        <v>370</v>
      </c>
      <c r="F365" s="3" t="s">
        <v>428</v>
      </c>
      <c r="G365" s="6">
        <v>5</v>
      </c>
      <c r="H365" s="6">
        <v>8</v>
      </c>
      <c r="I365" s="6">
        <v>40</v>
      </c>
      <c r="J365" s="6">
        <v>5638.6</v>
      </c>
    </row>
    <row r="366" spans="1:10" outlineLevel="1" x14ac:dyDescent="0.25">
      <c r="A366" s="8" t="s">
        <v>272</v>
      </c>
      <c r="B366" s="3" t="s">
        <v>408</v>
      </c>
      <c r="C366" s="3" t="s">
        <v>4</v>
      </c>
      <c r="D366" s="3" t="s">
        <v>409</v>
      </c>
      <c r="E366" s="3" t="s">
        <v>402</v>
      </c>
      <c r="F366" s="3" t="s">
        <v>403</v>
      </c>
      <c r="G366" s="6">
        <v>1</v>
      </c>
      <c r="H366" s="6">
        <v>30</v>
      </c>
      <c r="I366" s="6">
        <v>30</v>
      </c>
      <c r="J366" s="6">
        <v>5668.6</v>
      </c>
    </row>
    <row r="367" spans="1:10" outlineLevel="1" x14ac:dyDescent="0.25">
      <c r="A367" s="8" t="s">
        <v>272</v>
      </c>
      <c r="B367" s="3" t="s">
        <v>408</v>
      </c>
      <c r="C367" s="3" t="s">
        <v>4</v>
      </c>
      <c r="D367" s="3" t="s">
        <v>409</v>
      </c>
      <c r="E367" s="3" t="s">
        <v>404</v>
      </c>
      <c r="F367" s="3" t="s">
        <v>405</v>
      </c>
      <c r="G367" s="6">
        <v>1</v>
      </c>
      <c r="H367" s="6">
        <v>30</v>
      </c>
      <c r="I367" s="6">
        <v>30</v>
      </c>
      <c r="J367" s="6">
        <v>5698.6</v>
      </c>
    </row>
    <row r="368" spans="1:10" outlineLevel="1" x14ac:dyDescent="0.25">
      <c r="A368" s="8" t="s">
        <v>272</v>
      </c>
      <c r="B368" s="3" t="s">
        <v>408</v>
      </c>
      <c r="C368" s="3" t="s">
        <v>4</v>
      </c>
      <c r="D368" s="3" t="s">
        <v>409</v>
      </c>
      <c r="E368" s="3" t="s">
        <v>406</v>
      </c>
      <c r="F368" s="3" t="s">
        <v>407</v>
      </c>
      <c r="G368" s="6">
        <v>1</v>
      </c>
      <c r="H368" s="6">
        <v>30</v>
      </c>
      <c r="I368" s="6">
        <v>30</v>
      </c>
      <c r="J368" s="6">
        <v>5728.6</v>
      </c>
    </row>
    <row r="369" spans="1:10" outlineLevel="1" x14ac:dyDescent="0.25">
      <c r="A369" s="8" t="s">
        <v>272</v>
      </c>
      <c r="B369" s="3" t="s">
        <v>408</v>
      </c>
      <c r="C369" s="3" t="s">
        <v>4</v>
      </c>
      <c r="D369" s="3" t="s">
        <v>409</v>
      </c>
      <c r="E369" s="3" t="s">
        <v>278</v>
      </c>
      <c r="F369" s="3" t="s">
        <v>279</v>
      </c>
      <c r="G369" s="6">
        <v>1</v>
      </c>
      <c r="H369" s="6">
        <v>36</v>
      </c>
      <c r="I369" s="6">
        <v>36</v>
      </c>
      <c r="J369" s="6">
        <v>5764.6</v>
      </c>
    </row>
    <row r="370" spans="1:10" outlineLevel="1" x14ac:dyDescent="0.25">
      <c r="A370" s="8" t="s">
        <v>272</v>
      </c>
      <c r="B370" s="3" t="s">
        <v>408</v>
      </c>
      <c r="C370" s="3" t="s">
        <v>4</v>
      </c>
      <c r="D370" s="3" t="s">
        <v>409</v>
      </c>
      <c r="E370" s="3" t="s">
        <v>288</v>
      </c>
      <c r="F370" s="3" t="s">
        <v>289</v>
      </c>
      <c r="G370" s="6">
        <v>1</v>
      </c>
      <c r="H370" s="6">
        <v>48</v>
      </c>
      <c r="I370" s="6">
        <v>48</v>
      </c>
      <c r="J370" s="6">
        <v>5812.6</v>
      </c>
    </row>
    <row r="371" spans="1:10" outlineLevel="1" x14ac:dyDescent="0.25">
      <c r="A371" s="8" t="s">
        <v>272</v>
      </c>
      <c r="B371" s="3" t="s">
        <v>408</v>
      </c>
      <c r="C371" s="3" t="s">
        <v>4</v>
      </c>
      <c r="D371" s="3" t="s">
        <v>409</v>
      </c>
      <c r="E371" s="3" t="s">
        <v>429</v>
      </c>
      <c r="F371" s="3" t="s">
        <v>430</v>
      </c>
      <c r="G371" s="6">
        <v>1</v>
      </c>
      <c r="H371" s="6">
        <v>30</v>
      </c>
      <c r="I371" s="6">
        <v>30</v>
      </c>
      <c r="J371" s="6">
        <v>5842.6</v>
      </c>
    </row>
    <row r="372" spans="1:10" outlineLevel="1" x14ac:dyDescent="0.25">
      <c r="A372" s="8" t="s">
        <v>272</v>
      </c>
      <c r="B372" s="3" t="s">
        <v>408</v>
      </c>
      <c r="C372" s="3" t="s">
        <v>4</v>
      </c>
      <c r="D372" s="3" t="s">
        <v>409</v>
      </c>
      <c r="E372" s="3" t="s">
        <v>431</v>
      </c>
      <c r="F372" s="3" t="s">
        <v>432</v>
      </c>
      <c r="G372" s="6">
        <v>1</v>
      </c>
      <c r="H372" s="6">
        <v>24</v>
      </c>
      <c r="I372" s="6">
        <v>24</v>
      </c>
      <c r="J372" s="6">
        <v>5866.6</v>
      </c>
    </row>
    <row r="373" spans="1:10" outlineLevel="1" x14ac:dyDescent="0.25">
      <c r="A373" s="8" t="s">
        <v>272</v>
      </c>
      <c r="B373" s="3" t="s">
        <v>408</v>
      </c>
      <c r="C373" s="3" t="s">
        <v>4</v>
      </c>
      <c r="D373" s="3" t="s">
        <v>409</v>
      </c>
      <c r="E373" s="3" t="s">
        <v>350</v>
      </c>
      <c r="F373" s="3" t="s">
        <v>351</v>
      </c>
      <c r="G373" s="6">
        <v>5</v>
      </c>
      <c r="H373" s="6">
        <v>17</v>
      </c>
      <c r="I373" s="6">
        <v>85</v>
      </c>
      <c r="J373" s="6">
        <v>5951.6</v>
      </c>
    </row>
    <row r="374" spans="1:10" outlineLevel="1" x14ac:dyDescent="0.25">
      <c r="A374" s="8" t="s">
        <v>272</v>
      </c>
      <c r="B374" s="3" t="s">
        <v>408</v>
      </c>
      <c r="C374" s="3" t="s">
        <v>4</v>
      </c>
      <c r="D374" s="3" t="s">
        <v>409</v>
      </c>
      <c r="E374" s="3" t="s">
        <v>348</v>
      </c>
      <c r="F374" s="3" t="s">
        <v>433</v>
      </c>
      <c r="G374" s="6">
        <v>5</v>
      </c>
      <c r="H374" s="6">
        <v>17</v>
      </c>
      <c r="I374" s="6">
        <v>85</v>
      </c>
      <c r="J374" s="6">
        <v>6036.6</v>
      </c>
    </row>
    <row r="375" spans="1:10" outlineLevel="1" x14ac:dyDescent="0.25">
      <c r="A375" s="8" t="s">
        <v>272</v>
      </c>
      <c r="B375" s="3" t="s">
        <v>408</v>
      </c>
      <c r="C375" s="3" t="s">
        <v>4</v>
      </c>
      <c r="D375" s="3" t="s">
        <v>409</v>
      </c>
      <c r="E375" s="3" t="s">
        <v>354</v>
      </c>
      <c r="F375" s="3" t="s">
        <v>355</v>
      </c>
      <c r="G375" s="6">
        <v>5</v>
      </c>
      <c r="H375" s="6">
        <v>17</v>
      </c>
      <c r="I375" s="6">
        <v>85</v>
      </c>
      <c r="J375" s="6">
        <v>6121.6</v>
      </c>
    </row>
    <row r="376" spans="1:10" outlineLevel="1" x14ac:dyDescent="0.25">
      <c r="A376" s="8" t="s">
        <v>272</v>
      </c>
      <c r="B376" s="3" t="s">
        <v>408</v>
      </c>
      <c r="C376" s="3" t="s">
        <v>4</v>
      </c>
      <c r="D376" s="3" t="s">
        <v>409</v>
      </c>
      <c r="E376" s="3" t="s">
        <v>356</v>
      </c>
      <c r="F376" s="3" t="s">
        <v>357</v>
      </c>
      <c r="G376" s="6">
        <v>5</v>
      </c>
      <c r="H376" s="6">
        <v>17</v>
      </c>
      <c r="I376" s="6">
        <v>85</v>
      </c>
      <c r="J376" s="6">
        <v>6206.6</v>
      </c>
    </row>
    <row r="377" spans="1:10" outlineLevel="1" x14ac:dyDescent="0.25">
      <c r="A377" s="8" t="s">
        <v>272</v>
      </c>
      <c r="B377" s="3" t="s">
        <v>408</v>
      </c>
      <c r="C377" s="3" t="s">
        <v>4</v>
      </c>
      <c r="D377" s="3" t="s">
        <v>409</v>
      </c>
      <c r="E377" s="3" t="s">
        <v>358</v>
      </c>
      <c r="F377" s="3" t="s">
        <v>359</v>
      </c>
      <c r="G377" s="6">
        <v>5</v>
      </c>
      <c r="H377" s="6">
        <v>17</v>
      </c>
      <c r="I377" s="6">
        <v>85</v>
      </c>
      <c r="J377" s="6">
        <v>6291.6</v>
      </c>
    </row>
    <row r="378" spans="1:10" outlineLevel="1" x14ac:dyDescent="0.25">
      <c r="A378" s="8" t="s">
        <v>272</v>
      </c>
      <c r="B378" s="3" t="s">
        <v>408</v>
      </c>
      <c r="C378" s="3" t="s">
        <v>4</v>
      </c>
      <c r="D378" s="3" t="s">
        <v>409</v>
      </c>
      <c r="E378" s="3" t="s">
        <v>364</v>
      </c>
      <c r="F378" s="3" t="s">
        <v>365</v>
      </c>
      <c r="G378" s="6">
        <v>5</v>
      </c>
      <c r="H378" s="6">
        <v>17</v>
      </c>
      <c r="I378" s="6">
        <v>85</v>
      </c>
      <c r="J378" s="6">
        <v>6376.6</v>
      </c>
    </row>
    <row r="379" spans="1:10" outlineLevel="1" x14ac:dyDescent="0.25">
      <c r="A379" s="8" t="s">
        <v>272</v>
      </c>
      <c r="B379" s="3" t="s">
        <v>408</v>
      </c>
      <c r="C379" s="3" t="s">
        <v>4</v>
      </c>
      <c r="D379" s="3" t="s">
        <v>409</v>
      </c>
      <c r="E379" s="3" t="s">
        <v>360</v>
      </c>
      <c r="F379" s="3" t="s">
        <v>361</v>
      </c>
      <c r="G379" s="6">
        <v>5</v>
      </c>
      <c r="H379" s="6">
        <v>17</v>
      </c>
      <c r="I379" s="6">
        <v>85</v>
      </c>
      <c r="J379" s="6">
        <v>6461.6</v>
      </c>
    </row>
    <row r="380" spans="1:10" outlineLevel="1" x14ac:dyDescent="0.25">
      <c r="A380" s="8" t="s">
        <v>272</v>
      </c>
      <c r="B380" s="3" t="s">
        <v>408</v>
      </c>
      <c r="C380" s="3" t="s">
        <v>4</v>
      </c>
      <c r="D380" s="3" t="s">
        <v>409</v>
      </c>
      <c r="E380" s="3" t="s">
        <v>434</v>
      </c>
      <c r="F380" s="3" t="s">
        <v>435</v>
      </c>
      <c r="G380" s="6">
        <v>1</v>
      </c>
      <c r="H380" s="6">
        <v>19.5</v>
      </c>
      <c r="I380" s="6">
        <v>19.5</v>
      </c>
      <c r="J380" s="6">
        <v>6481.1</v>
      </c>
    </row>
    <row r="381" spans="1:10" outlineLevel="1" x14ac:dyDescent="0.25">
      <c r="A381" s="8" t="s">
        <v>272</v>
      </c>
      <c r="B381" s="3" t="s">
        <v>408</v>
      </c>
      <c r="C381" s="3" t="s">
        <v>4</v>
      </c>
      <c r="D381" s="3" t="s">
        <v>409</v>
      </c>
      <c r="E381" s="3" t="s">
        <v>436</v>
      </c>
      <c r="F381" s="3" t="s">
        <v>437</v>
      </c>
      <c r="G381" s="6">
        <v>1</v>
      </c>
      <c r="H381" s="6">
        <v>19.5</v>
      </c>
      <c r="I381" s="6">
        <v>19.5</v>
      </c>
      <c r="J381" s="6">
        <v>6500.6</v>
      </c>
    </row>
    <row r="382" spans="1:10" outlineLevel="1" x14ac:dyDescent="0.25">
      <c r="A382" s="8" t="s">
        <v>272</v>
      </c>
      <c r="B382" s="3" t="s">
        <v>408</v>
      </c>
      <c r="C382" s="3" t="s">
        <v>4</v>
      </c>
      <c r="D382" s="3" t="s">
        <v>409</v>
      </c>
      <c r="E382" s="3" t="s">
        <v>438</v>
      </c>
      <c r="F382" s="3" t="s">
        <v>439</v>
      </c>
      <c r="G382" s="6">
        <v>5</v>
      </c>
      <c r="H382" s="6">
        <v>58</v>
      </c>
      <c r="I382" s="6">
        <v>290</v>
      </c>
      <c r="J382" s="6">
        <v>6790.6</v>
      </c>
    </row>
    <row r="383" spans="1:10" outlineLevel="1" x14ac:dyDescent="0.25">
      <c r="A383" s="8" t="s">
        <v>272</v>
      </c>
      <c r="B383" s="3" t="s">
        <v>408</v>
      </c>
      <c r="C383" s="3" t="s">
        <v>4</v>
      </c>
      <c r="D383" s="3" t="s">
        <v>409</v>
      </c>
      <c r="E383" s="3" t="s">
        <v>78</v>
      </c>
      <c r="F383" s="3" t="s">
        <v>79</v>
      </c>
      <c r="G383" s="6">
        <v>2</v>
      </c>
      <c r="H383" s="6">
        <v>69</v>
      </c>
      <c r="I383" s="6">
        <v>138</v>
      </c>
      <c r="J383" s="6">
        <v>6928.6</v>
      </c>
    </row>
    <row r="384" spans="1:10" outlineLevel="1" x14ac:dyDescent="0.25">
      <c r="A384" s="8" t="s">
        <v>272</v>
      </c>
      <c r="B384" s="3" t="s">
        <v>408</v>
      </c>
      <c r="C384" s="3" t="s">
        <v>4</v>
      </c>
      <c r="D384" s="3" t="s">
        <v>409</v>
      </c>
      <c r="E384" s="3" t="s">
        <v>440</v>
      </c>
      <c r="F384" s="3" t="s">
        <v>441</v>
      </c>
      <c r="G384" s="6">
        <v>5</v>
      </c>
      <c r="H384" s="6">
        <v>9</v>
      </c>
      <c r="I384" s="6">
        <v>45</v>
      </c>
      <c r="J384" s="6">
        <v>6973.6</v>
      </c>
    </row>
    <row r="385" spans="1:10" outlineLevel="1" x14ac:dyDescent="0.25">
      <c r="A385" s="8" t="s">
        <v>272</v>
      </c>
      <c r="B385" s="3" t="s">
        <v>408</v>
      </c>
      <c r="C385" s="3" t="s">
        <v>4</v>
      </c>
      <c r="D385" s="3" t="s">
        <v>409</v>
      </c>
      <c r="E385" s="3" t="s">
        <v>442</v>
      </c>
      <c r="F385" s="3" t="s">
        <v>443</v>
      </c>
      <c r="G385" s="6">
        <v>5</v>
      </c>
      <c r="H385" s="6">
        <v>9</v>
      </c>
      <c r="I385" s="6">
        <v>45</v>
      </c>
      <c r="J385" s="6">
        <v>7018.6</v>
      </c>
    </row>
    <row r="386" spans="1:10" outlineLevel="1" x14ac:dyDescent="0.25">
      <c r="A386" s="8" t="s">
        <v>272</v>
      </c>
      <c r="B386" s="3" t="s">
        <v>444</v>
      </c>
      <c r="C386" s="3" t="s">
        <v>4</v>
      </c>
      <c r="D386" s="3" t="s">
        <v>445</v>
      </c>
      <c r="E386" s="3" t="s">
        <v>280</v>
      </c>
      <c r="F386" s="3" t="s">
        <v>281</v>
      </c>
      <c r="G386" s="6">
        <v>2</v>
      </c>
      <c r="H386" s="6">
        <v>44</v>
      </c>
      <c r="I386" s="6">
        <v>88</v>
      </c>
      <c r="J386" s="6">
        <v>7106.6</v>
      </c>
    </row>
    <row r="387" spans="1:10" outlineLevel="1" x14ac:dyDescent="0.25">
      <c r="A387" s="8" t="s">
        <v>272</v>
      </c>
      <c r="B387" s="3" t="s">
        <v>444</v>
      </c>
      <c r="C387" s="3" t="s">
        <v>4</v>
      </c>
      <c r="D387" s="3" t="s">
        <v>445</v>
      </c>
      <c r="E387" s="3" t="s">
        <v>278</v>
      </c>
      <c r="F387" s="3" t="s">
        <v>279</v>
      </c>
      <c r="G387" s="6">
        <v>2</v>
      </c>
      <c r="H387" s="6">
        <v>40</v>
      </c>
      <c r="I387" s="6">
        <v>80</v>
      </c>
      <c r="J387" s="6">
        <v>7186.6</v>
      </c>
    </row>
    <row r="388" spans="1:10" outlineLevel="1" x14ac:dyDescent="0.25">
      <c r="A388" s="8" t="s">
        <v>272</v>
      </c>
      <c r="B388" s="3" t="s">
        <v>444</v>
      </c>
      <c r="C388" s="3" t="s">
        <v>4</v>
      </c>
      <c r="D388" s="3" t="s">
        <v>445</v>
      </c>
      <c r="E388" s="3" t="s">
        <v>282</v>
      </c>
      <c r="F388" s="3" t="s">
        <v>446</v>
      </c>
      <c r="G388" s="6">
        <v>1</v>
      </c>
      <c r="H388" s="6">
        <v>66</v>
      </c>
      <c r="I388" s="6">
        <v>66</v>
      </c>
      <c r="J388" s="6">
        <v>7252.6</v>
      </c>
    </row>
    <row r="389" spans="1:10" outlineLevel="1" x14ac:dyDescent="0.25">
      <c r="A389" s="8" t="s">
        <v>272</v>
      </c>
      <c r="B389" s="3" t="s">
        <v>444</v>
      </c>
      <c r="C389" s="3" t="s">
        <v>4</v>
      </c>
      <c r="D389" s="3" t="s">
        <v>445</v>
      </c>
      <c r="E389" s="3" t="s">
        <v>447</v>
      </c>
      <c r="F389" s="3" t="s">
        <v>448</v>
      </c>
      <c r="G389" s="6">
        <v>2</v>
      </c>
      <c r="H389" s="6">
        <v>40</v>
      </c>
      <c r="I389" s="6">
        <v>80</v>
      </c>
      <c r="J389" s="6">
        <v>7332.6</v>
      </c>
    </row>
    <row r="390" spans="1:10" outlineLevel="1" x14ac:dyDescent="0.25">
      <c r="A390" s="8" t="s">
        <v>272</v>
      </c>
      <c r="B390" s="3" t="s">
        <v>444</v>
      </c>
      <c r="C390" s="3" t="s">
        <v>4</v>
      </c>
      <c r="D390" s="3" t="s">
        <v>445</v>
      </c>
      <c r="E390" s="3" t="s">
        <v>449</v>
      </c>
      <c r="F390" s="3" t="s">
        <v>450</v>
      </c>
      <c r="G390" s="6">
        <v>1</v>
      </c>
      <c r="H390" s="6">
        <v>48</v>
      </c>
      <c r="I390" s="6">
        <v>48</v>
      </c>
      <c r="J390" s="6">
        <v>7380.6</v>
      </c>
    </row>
    <row r="391" spans="1:10" outlineLevel="1" x14ac:dyDescent="0.25">
      <c r="A391" s="8" t="s">
        <v>272</v>
      </c>
      <c r="B391" s="3" t="s">
        <v>444</v>
      </c>
      <c r="C391" s="3" t="s">
        <v>4</v>
      </c>
      <c r="D391" s="3" t="s">
        <v>445</v>
      </c>
      <c r="E391" s="3" t="s">
        <v>290</v>
      </c>
      <c r="F391" s="3" t="s">
        <v>451</v>
      </c>
      <c r="G391" s="6">
        <v>2</v>
      </c>
      <c r="H391" s="6">
        <v>28</v>
      </c>
      <c r="I391" s="6">
        <v>56</v>
      </c>
      <c r="J391" s="6">
        <v>7436.6</v>
      </c>
    </row>
    <row r="392" spans="1:10" outlineLevel="1" x14ac:dyDescent="0.25">
      <c r="A392" s="8" t="s">
        <v>272</v>
      </c>
      <c r="B392" s="3" t="s">
        <v>444</v>
      </c>
      <c r="C392" s="3" t="s">
        <v>4</v>
      </c>
      <c r="D392" s="3" t="s">
        <v>445</v>
      </c>
      <c r="E392" s="3" t="s">
        <v>292</v>
      </c>
      <c r="F392" s="3" t="s">
        <v>452</v>
      </c>
      <c r="G392" s="6">
        <v>2</v>
      </c>
      <c r="H392" s="6">
        <v>28</v>
      </c>
      <c r="I392" s="6">
        <v>56</v>
      </c>
      <c r="J392" s="6">
        <v>7492.6</v>
      </c>
    </row>
    <row r="393" spans="1:10" outlineLevel="1" x14ac:dyDescent="0.25">
      <c r="A393" s="8" t="s">
        <v>272</v>
      </c>
      <c r="B393" s="3" t="s">
        <v>444</v>
      </c>
      <c r="C393" s="3" t="s">
        <v>4</v>
      </c>
      <c r="D393" s="3" t="s">
        <v>445</v>
      </c>
      <c r="E393" s="3" t="s">
        <v>296</v>
      </c>
      <c r="F393" s="3" t="s">
        <v>453</v>
      </c>
      <c r="G393" s="6">
        <v>2</v>
      </c>
      <c r="H393" s="6">
        <v>21</v>
      </c>
      <c r="I393" s="6">
        <v>42</v>
      </c>
      <c r="J393" s="6">
        <v>7534.6</v>
      </c>
    </row>
    <row r="394" spans="1:10" outlineLevel="1" x14ac:dyDescent="0.25">
      <c r="A394" s="8" t="s">
        <v>272</v>
      </c>
      <c r="B394" s="3" t="s">
        <v>444</v>
      </c>
      <c r="C394" s="3" t="s">
        <v>4</v>
      </c>
      <c r="D394" s="3" t="s">
        <v>445</v>
      </c>
      <c r="E394" s="3" t="s">
        <v>298</v>
      </c>
      <c r="F394" s="3" t="s">
        <v>454</v>
      </c>
      <c r="G394" s="6">
        <v>2</v>
      </c>
      <c r="H394" s="6">
        <v>17</v>
      </c>
      <c r="I394" s="6">
        <v>34</v>
      </c>
      <c r="J394" s="6">
        <v>7568.6</v>
      </c>
    </row>
    <row r="395" spans="1:10" outlineLevel="1" x14ac:dyDescent="0.25">
      <c r="A395" s="8" t="s">
        <v>272</v>
      </c>
      <c r="B395" s="3" t="s">
        <v>444</v>
      </c>
      <c r="C395" s="3" t="s">
        <v>4</v>
      </c>
      <c r="D395" s="3" t="s">
        <v>445</v>
      </c>
      <c r="E395" s="3" t="s">
        <v>300</v>
      </c>
      <c r="F395" s="3" t="s">
        <v>455</v>
      </c>
      <c r="G395" s="6">
        <v>2</v>
      </c>
      <c r="H395" s="6">
        <v>19.8</v>
      </c>
      <c r="I395" s="6">
        <v>39.6</v>
      </c>
      <c r="J395" s="6">
        <v>7608.2000000000007</v>
      </c>
    </row>
    <row r="396" spans="1:10" outlineLevel="1" x14ac:dyDescent="0.25">
      <c r="A396" s="8" t="s">
        <v>272</v>
      </c>
      <c r="B396" s="3" t="s">
        <v>444</v>
      </c>
      <c r="C396" s="3" t="s">
        <v>4</v>
      </c>
      <c r="D396" s="3" t="s">
        <v>445</v>
      </c>
      <c r="E396" s="3" t="s">
        <v>302</v>
      </c>
      <c r="F396" s="3" t="s">
        <v>456</v>
      </c>
      <c r="G396" s="6">
        <v>2</v>
      </c>
      <c r="H396" s="6">
        <v>28</v>
      </c>
      <c r="I396" s="6">
        <v>56</v>
      </c>
      <c r="J396" s="6">
        <v>7664.2000000000007</v>
      </c>
    </row>
    <row r="397" spans="1:10" outlineLevel="1" x14ac:dyDescent="0.25">
      <c r="A397" s="8" t="s">
        <v>272</v>
      </c>
      <c r="B397" s="3" t="s">
        <v>444</v>
      </c>
      <c r="C397" s="3" t="s">
        <v>4</v>
      </c>
      <c r="D397" s="3" t="s">
        <v>445</v>
      </c>
      <c r="E397" s="3" t="s">
        <v>308</v>
      </c>
      <c r="F397" s="3" t="s">
        <v>457</v>
      </c>
      <c r="G397" s="6">
        <v>4</v>
      </c>
      <c r="H397" s="6">
        <v>25</v>
      </c>
      <c r="I397" s="6">
        <v>100</v>
      </c>
      <c r="J397" s="6">
        <v>7764.2000000000007</v>
      </c>
    </row>
    <row r="398" spans="1:10" outlineLevel="1" x14ac:dyDescent="0.25">
      <c r="A398" s="8" t="s">
        <v>272</v>
      </c>
      <c r="B398" s="3" t="s">
        <v>444</v>
      </c>
      <c r="C398" s="3" t="s">
        <v>4</v>
      </c>
      <c r="D398" s="3" t="s">
        <v>445</v>
      </c>
      <c r="E398" s="3" t="s">
        <v>306</v>
      </c>
      <c r="F398" s="3" t="s">
        <v>458</v>
      </c>
      <c r="G398" s="6">
        <v>2</v>
      </c>
      <c r="H398" s="6">
        <v>30</v>
      </c>
      <c r="I398" s="6">
        <v>60</v>
      </c>
      <c r="J398" s="6">
        <v>7824.2000000000007</v>
      </c>
    </row>
    <row r="399" spans="1:10" outlineLevel="1" x14ac:dyDescent="0.25">
      <c r="A399" s="8" t="s">
        <v>272</v>
      </c>
      <c r="B399" s="3" t="s">
        <v>444</v>
      </c>
      <c r="C399" s="3" t="s">
        <v>4</v>
      </c>
      <c r="D399" s="3" t="s">
        <v>445</v>
      </c>
      <c r="E399" s="3" t="s">
        <v>314</v>
      </c>
      <c r="F399" s="3" t="s">
        <v>459</v>
      </c>
      <c r="G399" s="6">
        <v>2</v>
      </c>
      <c r="H399" s="6">
        <v>36</v>
      </c>
      <c r="I399" s="6">
        <v>72</v>
      </c>
      <c r="J399" s="6">
        <v>7896.2000000000007</v>
      </c>
    </row>
    <row r="400" spans="1:10" outlineLevel="1" x14ac:dyDescent="0.25">
      <c r="A400" s="8" t="s">
        <v>272</v>
      </c>
      <c r="B400" s="3" t="s">
        <v>444</v>
      </c>
      <c r="C400" s="3" t="s">
        <v>4</v>
      </c>
      <c r="D400" s="3" t="s">
        <v>445</v>
      </c>
      <c r="E400" s="3" t="s">
        <v>324</v>
      </c>
      <c r="F400" s="3" t="s">
        <v>460</v>
      </c>
      <c r="G400" s="6">
        <v>2</v>
      </c>
      <c r="H400" s="6">
        <v>26</v>
      </c>
      <c r="I400" s="6">
        <v>52</v>
      </c>
      <c r="J400" s="6">
        <v>7948.2000000000007</v>
      </c>
    </row>
    <row r="401" spans="1:10" outlineLevel="1" x14ac:dyDescent="0.25">
      <c r="A401" s="8" t="s">
        <v>272</v>
      </c>
      <c r="B401" s="3" t="s">
        <v>444</v>
      </c>
      <c r="C401" s="3" t="s">
        <v>4</v>
      </c>
      <c r="D401" s="3" t="s">
        <v>445</v>
      </c>
      <c r="E401" s="3" t="s">
        <v>82</v>
      </c>
      <c r="F401" s="3" t="s">
        <v>83</v>
      </c>
      <c r="G401" s="6">
        <v>2</v>
      </c>
      <c r="H401" s="6">
        <v>78</v>
      </c>
      <c r="I401" s="6">
        <v>156</v>
      </c>
      <c r="J401" s="6">
        <v>8104.2000000000007</v>
      </c>
    </row>
    <row r="402" spans="1:10" outlineLevel="1" x14ac:dyDescent="0.25">
      <c r="A402" s="8" t="s">
        <v>272</v>
      </c>
      <c r="B402" s="3" t="s">
        <v>444</v>
      </c>
      <c r="C402" s="3" t="s">
        <v>4</v>
      </c>
      <c r="D402" s="3" t="s">
        <v>445</v>
      </c>
      <c r="E402" s="3" t="s">
        <v>80</v>
      </c>
      <c r="F402" s="3" t="s">
        <v>81</v>
      </c>
      <c r="G402" s="6">
        <v>15</v>
      </c>
      <c r="H402" s="6">
        <v>15</v>
      </c>
      <c r="I402" s="6">
        <v>225</v>
      </c>
      <c r="J402" s="6">
        <v>8329.2000000000007</v>
      </c>
    </row>
    <row r="403" spans="1:10" outlineLevel="1" x14ac:dyDescent="0.25">
      <c r="A403" s="8" t="s">
        <v>272</v>
      </c>
      <c r="B403" s="3" t="s">
        <v>444</v>
      </c>
      <c r="C403" s="3" t="s">
        <v>4</v>
      </c>
      <c r="D403" s="3" t="s">
        <v>445</v>
      </c>
      <c r="E403" s="3" t="s">
        <v>424</v>
      </c>
      <c r="F403" s="3" t="s">
        <v>425</v>
      </c>
      <c r="G403" s="6">
        <v>25</v>
      </c>
      <c r="H403" s="6">
        <v>15.5</v>
      </c>
      <c r="I403" s="6">
        <v>387.5</v>
      </c>
      <c r="J403" s="6">
        <v>8716.7000000000007</v>
      </c>
    </row>
    <row r="404" spans="1:10" outlineLevel="1" x14ac:dyDescent="0.25">
      <c r="A404" s="8" t="s">
        <v>272</v>
      </c>
      <c r="B404" s="3" t="s">
        <v>444</v>
      </c>
      <c r="C404" s="3" t="s">
        <v>4</v>
      </c>
      <c r="D404" s="3" t="s">
        <v>445</v>
      </c>
      <c r="E404" s="3" t="s">
        <v>348</v>
      </c>
      <c r="F404" s="3" t="s">
        <v>433</v>
      </c>
      <c r="G404" s="6">
        <v>8</v>
      </c>
      <c r="H404" s="6">
        <v>17</v>
      </c>
      <c r="I404" s="6">
        <v>136</v>
      </c>
      <c r="J404" s="6">
        <v>8852.7000000000007</v>
      </c>
    </row>
    <row r="405" spans="1:10" outlineLevel="1" x14ac:dyDescent="0.25">
      <c r="A405" s="8" t="s">
        <v>272</v>
      </c>
      <c r="B405" s="3" t="s">
        <v>444</v>
      </c>
      <c r="C405" s="3" t="s">
        <v>4</v>
      </c>
      <c r="D405" s="3" t="s">
        <v>445</v>
      </c>
      <c r="E405" s="3" t="s">
        <v>426</v>
      </c>
      <c r="F405" s="3" t="s">
        <v>427</v>
      </c>
      <c r="G405" s="6">
        <v>5</v>
      </c>
      <c r="H405" s="6">
        <v>15</v>
      </c>
      <c r="I405" s="6">
        <v>75</v>
      </c>
      <c r="J405" s="6">
        <v>8927.7000000000007</v>
      </c>
    </row>
    <row r="406" spans="1:10" outlineLevel="1" x14ac:dyDescent="0.25">
      <c r="A406" s="8" t="s">
        <v>272</v>
      </c>
      <c r="B406" s="3" t="s">
        <v>444</v>
      </c>
      <c r="C406" s="3" t="s">
        <v>4</v>
      </c>
      <c r="D406" s="3" t="s">
        <v>445</v>
      </c>
      <c r="E406" s="3" t="s">
        <v>370</v>
      </c>
      <c r="F406" s="3" t="s">
        <v>428</v>
      </c>
      <c r="G406" s="6">
        <v>15</v>
      </c>
      <c r="H406" s="6">
        <v>8</v>
      </c>
      <c r="I406" s="6">
        <v>120</v>
      </c>
      <c r="J406" s="6">
        <v>9047.7000000000007</v>
      </c>
    </row>
    <row r="407" spans="1:10" outlineLevel="1" x14ac:dyDescent="0.25">
      <c r="A407" s="8" t="s">
        <v>272</v>
      </c>
      <c r="B407" s="3" t="s">
        <v>444</v>
      </c>
      <c r="C407" s="3" t="s">
        <v>4</v>
      </c>
      <c r="D407" s="3" t="s">
        <v>445</v>
      </c>
      <c r="E407" s="3" t="s">
        <v>376</v>
      </c>
      <c r="F407" s="3" t="s">
        <v>419</v>
      </c>
      <c r="G407" s="6">
        <v>5</v>
      </c>
      <c r="H407" s="6">
        <v>19</v>
      </c>
      <c r="I407" s="6">
        <v>95</v>
      </c>
      <c r="J407" s="6">
        <v>9142.7000000000007</v>
      </c>
    </row>
    <row r="408" spans="1:10" outlineLevel="1" x14ac:dyDescent="0.25">
      <c r="A408" s="8" t="s">
        <v>272</v>
      </c>
      <c r="B408" s="3" t="s">
        <v>444</v>
      </c>
      <c r="C408" s="3" t="s">
        <v>4</v>
      </c>
      <c r="D408" s="3" t="s">
        <v>445</v>
      </c>
      <c r="E408" s="3" t="s">
        <v>378</v>
      </c>
      <c r="F408" s="3" t="s">
        <v>418</v>
      </c>
      <c r="G408" s="6">
        <v>8</v>
      </c>
      <c r="H408" s="6">
        <v>12.5</v>
      </c>
      <c r="I408" s="6">
        <v>100</v>
      </c>
      <c r="J408" s="6">
        <v>9242.7000000000007</v>
      </c>
    </row>
    <row r="409" spans="1:10" outlineLevel="1" x14ac:dyDescent="0.25">
      <c r="A409" s="8" t="s">
        <v>272</v>
      </c>
      <c r="B409" s="3" t="s">
        <v>444</v>
      </c>
      <c r="C409" s="3" t="s">
        <v>4</v>
      </c>
      <c r="D409" s="3" t="s">
        <v>445</v>
      </c>
      <c r="E409" s="3" t="s">
        <v>402</v>
      </c>
      <c r="F409" s="3" t="s">
        <v>403</v>
      </c>
      <c r="G409" s="6">
        <v>1</v>
      </c>
      <c r="H409" s="6">
        <v>30</v>
      </c>
      <c r="I409" s="6">
        <v>30</v>
      </c>
      <c r="J409" s="6">
        <v>9272.7000000000007</v>
      </c>
    </row>
    <row r="410" spans="1:10" outlineLevel="1" x14ac:dyDescent="0.25">
      <c r="A410" s="8" t="s">
        <v>272</v>
      </c>
      <c r="B410" s="3" t="s">
        <v>444</v>
      </c>
      <c r="C410" s="3" t="s">
        <v>4</v>
      </c>
      <c r="D410" s="3" t="s">
        <v>445</v>
      </c>
      <c r="E410" s="3" t="s">
        <v>404</v>
      </c>
      <c r="F410" s="3" t="s">
        <v>405</v>
      </c>
      <c r="G410" s="6">
        <v>1</v>
      </c>
      <c r="H410" s="6">
        <v>30</v>
      </c>
      <c r="I410" s="6">
        <v>30</v>
      </c>
      <c r="J410" s="6">
        <v>9302.7000000000007</v>
      </c>
    </row>
    <row r="411" spans="1:10" outlineLevel="1" x14ac:dyDescent="0.25">
      <c r="A411" s="8" t="s">
        <v>272</v>
      </c>
      <c r="B411" s="3" t="s">
        <v>444</v>
      </c>
      <c r="C411" s="3" t="s">
        <v>4</v>
      </c>
      <c r="D411" s="3" t="s">
        <v>445</v>
      </c>
      <c r="E411" s="3" t="s">
        <v>406</v>
      </c>
      <c r="F411" s="3" t="s">
        <v>407</v>
      </c>
      <c r="G411" s="6">
        <v>1</v>
      </c>
      <c r="H411" s="6">
        <v>30</v>
      </c>
      <c r="I411" s="6">
        <v>30</v>
      </c>
      <c r="J411" s="6">
        <v>9332.7000000000007</v>
      </c>
    </row>
    <row r="412" spans="1:10" outlineLevel="1" x14ac:dyDescent="0.25">
      <c r="A412" s="8" t="s">
        <v>272</v>
      </c>
      <c r="B412" s="3" t="s">
        <v>444</v>
      </c>
      <c r="C412" s="3" t="s">
        <v>4</v>
      </c>
      <c r="D412" s="3" t="s">
        <v>445</v>
      </c>
      <c r="E412" s="3" t="s">
        <v>328</v>
      </c>
      <c r="F412" s="3" t="s">
        <v>461</v>
      </c>
      <c r="G412" s="6">
        <v>2</v>
      </c>
      <c r="H412" s="6">
        <v>82</v>
      </c>
      <c r="I412" s="6">
        <v>164</v>
      </c>
      <c r="J412" s="6">
        <v>9496.7000000000007</v>
      </c>
    </row>
    <row r="413" spans="1:10" outlineLevel="1" x14ac:dyDescent="0.25">
      <c r="A413" s="8" t="s">
        <v>272</v>
      </c>
      <c r="B413" s="3" t="s">
        <v>444</v>
      </c>
      <c r="C413" s="3" t="s">
        <v>4</v>
      </c>
      <c r="D413" s="3" t="s">
        <v>445</v>
      </c>
      <c r="E413" s="3" t="s">
        <v>331</v>
      </c>
      <c r="F413" s="3" t="s">
        <v>462</v>
      </c>
      <c r="G413" s="6">
        <v>3</v>
      </c>
      <c r="H413" s="6">
        <v>31.8</v>
      </c>
      <c r="I413" s="6">
        <v>95.4</v>
      </c>
      <c r="J413" s="6">
        <v>9592.1</v>
      </c>
    </row>
    <row r="414" spans="1:10" outlineLevel="1" x14ac:dyDescent="0.25">
      <c r="A414" s="8" t="s">
        <v>272</v>
      </c>
      <c r="B414" s="3" t="s">
        <v>444</v>
      </c>
      <c r="C414" s="3" t="s">
        <v>4</v>
      </c>
      <c r="D414" s="3" t="s">
        <v>445</v>
      </c>
      <c r="E414" s="3" t="s">
        <v>463</v>
      </c>
      <c r="F414" s="3" t="s">
        <v>464</v>
      </c>
      <c r="G414" s="6">
        <v>2</v>
      </c>
      <c r="H414" s="6">
        <v>31.8</v>
      </c>
      <c r="I414" s="6">
        <v>63.6</v>
      </c>
      <c r="J414" s="6">
        <v>9655.7000000000007</v>
      </c>
    </row>
    <row r="415" spans="1:10" outlineLevel="1" x14ac:dyDescent="0.25">
      <c r="A415" s="8" t="s">
        <v>272</v>
      </c>
      <c r="B415" s="3" t="s">
        <v>444</v>
      </c>
      <c r="C415" s="3" t="s">
        <v>4</v>
      </c>
      <c r="D415" s="3" t="s">
        <v>445</v>
      </c>
      <c r="E415" s="3" t="s">
        <v>465</v>
      </c>
      <c r="F415" s="3" t="s">
        <v>466</v>
      </c>
      <c r="G415" s="6">
        <v>2</v>
      </c>
      <c r="H415" s="6">
        <v>31.8</v>
      </c>
      <c r="I415" s="6">
        <v>63.6</v>
      </c>
      <c r="J415" s="6">
        <v>9719.3000000000011</v>
      </c>
    </row>
    <row r="416" spans="1:10" outlineLevel="1" x14ac:dyDescent="0.25">
      <c r="A416" s="8" t="s">
        <v>272</v>
      </c>
      <c r="B416" s="3" t="s">
        <v>444</v>
      </c>
      <c r="C416" s="3" t="s">
        <v>4</v>
      </c>
      <c r="D416" s="3" t="s">
        <v>445</v>
      </c>
      <c r="E416" s="3" t="s">
        <v>333</v>
      </c>
      <c r="F416" s="3" t="s">
        <v>467</v>
      </c>
      <c r="G416" s="6">
        <v>3</v>
      </c>
      <c r="H416" s="6">
        <v>31.8</v>
      </c>
      <c r="I416" s="6">
        <v>95.4</v>
      </c>
      <c r="J416" s="6">
        <v>9814.7000000000007</v>
      </c>
    </row>
    <row r="417" spans="1:10" outlineLevel="1" x14ac:dyDescent="0.25">
      <c r="A417" s="8" t="s">
        <v>272</v>
      </c>
      <c r="B417" s="3" t="s">
        <v>444</v>
      </c>
      <c r="C417" s="3" t="s">
        <v>4</v>
      </c>
      <c r="D417" s="3" t="s">
        <v>445</v>
      </c>
      <c r="E417" s="3" t="s">
        <v>335</v>
      </c>
      <c r="F417" s="3" t="s">
        <v>468</v>
      </c>
      <c r="G417" s="6">
        <v>1</v>
      </c>
      <c r="H417" s="6">
        <v>31.8</v>
      </c>
      <c r="I417" s="6">
        <v>31.8</v>
      </c>
      <c r="J417" s="6">
        <v>9846.5</v>
      </c>
    </row>
    <row r="418" spans="1:10" outlineLevel="1" x14ac:dyDescent="0.25">
      <c r="A418" s="8" t="s">
        <v>272</v>
      </c>
      <c r="B418" s="3" t="s">
        <v>444</v>
      </c>
      <c r="C418" s="3" t="s">
        <v>4</v>
      </c>
      <c r="D418" s="3" t="s">
        <v>445</v>
      </c>
      <c r="E418" s="3" t="s">
        <v>469</v>
      </c>
      <c r="F418" s="3" t="s">
        <v>470</v>
      </c>
      <c r="G418" s="6">
        <v>20</v>
      </c>
      <c r="H418" s="6">
        <v>38</v>
      </c>
      <c r="I418" s="6">
        <v>760</v>
      </c>
      <c r="J418" s="6">
        <v>10606.5</v>
      </c>
    </row>
    <row r="419" spans="1:10" outlineLevel="1" x14ac:dyDescent="0.25">
      <c r="A419" s="8" t="s">
        <v>272</v>
      </c>
      <c r="B419" s="3" t="s">
        <v>471</v>
      </c>
      <c r="C419" s="3" t="s">
        <v>4</v>
      </c>
      <c r="D419" s="3" t="s">
        <v>472</v>
      </c>
      <c r="E419" s="3" t="s">
        <v>473</v>
      </c>
      <c r="F419" s="3" t="s">
        <v>474</v>
      </c>
      <c r="G419" s="6">
        <v>4</v>
      </c>
      <c r="H419" s="6">
        <v>70.5</v>
      </c>
      <c r="I419" s="6">
        <v>282</v>
      </c>
      <c r="J419" s="6">
        <v>10888.5</v>
      </c>
    </row>
    <row r="420" spans="1:10" outlineLevel="1" x14ac:dyDescent="0.25">
      <c r="A420" s="8" t="s">
        <v>272</v>
      </c>
      <c r="B420" s="3" t="s">
        <v>471</v>
      </c>
      <c r="C420" s="3" t="s">
        <v>4</v>
      </c>
      <c r="D420" s="3" t="s">
        <v>472</v>
      </c>
      <c r="E420" s="3" t="s">
        <v>390</v>
      </c>
      <c r="F420" s="3" t="s">
        <v>391</v>
      </c>
      <c r="G420" s="6">
        <v>4</v>
      </c>
      <c r="H420" s="6">
        <v>43</v>
      </c>
      <c r="I420" s="6">
        <v>172</v>
      </c>
      <c r="J420" s="6">
        <v>11060.5</v>
      </c>
    </row>
    <row r="421" spans="1:10" outlineLevel="1" x14ac:dyDescent="0.25">
      <c r="A421" s="8" t="s">
        <v>272</v>
      </c>
      <c r="B421" s="3" t="s">
        <v>471</v>
      </c>
      <c r="C421" s="3" t="s">
        <v>4</v>
      </c>
      <c r="D421" s="3" t="s">
        <v>472</v>
      </c>
      <c r="E421" s="3" t="s">
        <v>280</v>
      </c>
      <c r="F421" s="3" t="s">
        <v>281</v>
      </c>
      <c r="G421" s="6">
        <v>1</v>
      </c>
      <c r="H421" s="6">
        <v>44</v>
      </c>
      <c r="I421" s="6">
        <v>44</v>
      </c>
      <c r="J421" s="6">
        <v>11104.5</v>
      </c>
    </row>
    <row r="422" spans="1:10" outlineLevel="1" x14ac:dyDescent="0.25">
      <c r="A422" s="8" t="s">
        <v>272</v>
      </c>
      <c r="B422" s="3" t="s">
        <v>471</v>
      </c>
      <c r="C422" s="3" t="s">
        <v>4</v>
      </c>
      <c r="D422" s="3" t="s">
        <v>472</v>
      </c>
      <c r="E422" s="3" t="s">
        <v>278</v>
      </c>
      <c r="F422" s="3" t="s">
        <v>279</v>
      </c>
      <c r="G422" s="6">
        <v>1</v>
      </c>
      <c r="H422" s="6">
        <v>40</v>
      </c>
      <c r="I422" s="6">
        <v>40</v>
      </c>
      <c r="J422" s="6">
        <v>11144.5</v>
      </c>
    </row>
    <row r="423" spans="1:10" outlineLevel="1" x14ac:dyDescent="0.25">
      <c r="A423" s="8" t="s">
        <v>272</v>
      </c>
      <c r="B423" s="3" t="s">
        <v>471</v>
      </c>
      <c r="C423" s="3" t="s">
        <v>4</v>
      </c>
      <c r="D423" s="3" t="s">
        <v>472</v>
      </c>
      <c r="E423" s="3" t="s">
        <v>282</v>
      </c>
      <c r="F423" s="3" t="s">
        <v>446</v>
      </c>
      <c r="G423" s="6">
        <v>1</v>
      </c>
      <c r="H423" s="6">
        <v>66</v>
      </c>
      <c r="I423" s="6">
        <v>66</v>
      </c>
      <c r="J423" s="6">
        <v>11210.5</v>
      </c>
    </row>
    <row r="424" spans="1:10" outlineLevel="1" x14ac:dyDescent="0.25">
      <c r="A424" s="8" t="s">
        <v>272</v>
      </c>
      <c r="B424" s="3" t="s">
        <v>471</v>
      </c>
      <c r="C424" s="3" t="s">
        <v>4</v>
      </c>
      <c r="D424" s="3" t="s">
        <v>472</v>
      </c>
      <c r="E424" s="3" t="s">
        <v>447</v>
      </c>
      <c r="F424" s="3" t="s">
        <v>448</v>
      </c>
      <c r="G424" s="6">
        <v>1</v>
      </c>
      <c r="H424" s="6">
        <v>40</v>
      </c>
      <c r="I424" s="6">
        <v>40</v>
      </c>
      <c r="J424" s="6">
        <v>11250.5</v>
      </c>
    </row>
    <row r="425" spans="1:10" outlineLevel="1" x14ac:dyDescent="0.25">
      <c r="A425" s="8" t="s">
        <v>272</v>
      </c>
      <c r="B425" s="3" t="s">
        <v>471</v>
      </c>
      <c r="C425" s="3" t="s">
        <v>4</v>
      </c>
      <c r="D425" s="3" t="s">
        <v>472</v>
      </c>
      <c r="E425" s="3" t="s">
        <v>475</v>
      </c>
      <c r="F425" s="3" t="s">
        <v>476</v>
      </c>
      <c r="G425" s="6">
        <v>1</v>
      </c>
      <c r="H425" s="6">
        <v>42</v>
      </c>
      <c r="I425" s="6">
        <v>42</v>
      </c>
      <c r="J425" s="6">
        <v>11292.5</v>
      </c>
    </row>
    <row r="426" spans="1:10" outlineLevel="1" x14ac:dyDescent="0.25">
      <c r="A426" s="8" t="s">
        <v>272</v>
      </c>
      <c r="B426" s="3" t="s">
        <v>471</v>
      </c>
      <c r="C426" s="3" t="s">
        <v>4</v>
      </c>
      <c r="D426" s="3" t="s">
        <v>472</v>
      </c>
      <c r="E426" s="3" t="s">
        <v>477</v>
      </c>
      <c r="F426" s="3" t="s">
        <v>478</v>
      </c>
      <c r="G426" s="6">
        <v>1</v>
      </c>
      <c r="H426" s="6">
        <v>39</v>
      </c>
      <c r="I426" s="6">
        <v>39</v>
      </c>
      <c r="J426" s="6">
        <v>11331.5</v>
      </c>
    </row>
    <row r="427" spans="1:10" outlineLevel="1" x14ac:dyDescent="0.25">
      <c r="A427" s="8" t="s">
        <v>272</v>
      </c>
      <c r="B427" s="3" t="s">
        <v>471</v>
      </c>
      <c r="C427" s="3" t="s">
        <v>4</v>
      </c>
      <c r="D427" s="3" t="s">
        <v>472</v>
      </c>
      <c r="E427" s="3" t="s">
        <v>284</v>
      </c>
      <c r="F427" s="3" t="s">
        <v>285</v>
      </c>
      <c r="G427" s="6">
        <v>3</v>
      </c>
      <c r="H427" s="6">
        <v>39</v>
      </c>
      <c r="I427" s="6">
        <v>117</v>
      </c>
      <c r="J427" s="6">
        <v>11448.5</v>
      </c>
    </row>
    <row r="428" spans="1:10" outlineLevel="1" x14ac:dyDescent="0.25">
      <c r="A428" s="8" t="s">
        <v>272</v>
      </c>
      <c r="B428" s="3" t="s">
        <v>471</v>
      </c>
      <c r="C428" s="3" t="s">
        <v>4</v>
      </c>
      <c r="D428" s="3" t="s">
        <v>472</v>
      </c>
      <c r="E428" s="3" t="s">
        <v>479</v>
      </c>
      <c r="F428" s="3" t="s">
        <v>480</v>
      </c>
      <c r="G428" s="6">
        <v>2</v>
      </c>
      <c r="H428" s="6">
        <v>49.5</v>
      </c>
      <c r="I428" s="6">
        <v>99</v>
      </c>
      <c r="J428" s="6">
        <v>11547.5</v>
      </c>
    </row>
    <row r="429" spans="1:10" outlineLevel="1" x14ac:dyDescent="0.25">
      <c r="A429" s="8" t="s">
        <v>272</v>
      </c>
      <c r="B429" s="3" t="s">
        <v>471</v>
      </c>
      <c r="C429" s="3" t="s">
        <v>4</v>
      </c>
      <c r="D429" s="3" t="s">
        <v>472</v>
      </c>
      <c r="E429" s="3" t="s">
        <v>481</v>
      </c>
      <c r="F429" s="3" t="s">
        <v>482</v>
      </c>
      <c r="G429" s="6">
        <v>2</v>
      </c>
      <c r="H429" s="6">
        <v>39</v>
      </c>
      <c r="I429" s="6">
        <v>78</v>
      </c>
      <c r="J429" s="6">
        <v>11625.5</v>
      </c>
    </row>
    <row r="430" spans="1:10" outlineLevel="1" x14ac:dyDescent="0.25">
      <c r="A430" s="8" t="s">
        <v>272</v>
      </c>
      <c r="B430" s="3" t="s">
        <v>471</v>
      </c>
      <c r="C430" s="3" t="s">
        <v>4</v>
      </c>
      <c r="D430" s="3" t="s">
        <v>472</v>
      </c>
      <c r="E430" s="3" t="s">
        <v>483</v>
      </c>
      <c r="F430" s="3" t="s">
        <v>484</v>
      </c>
      <c r="G430" s="6">
        <v>2</v>
      </c>
      <c r="H430" s="6">
        <v>60</v>
      </c>
      <c r="I430" s="6">
        <v>120</v>
      </c>
      <c r="J430" s="6">
        <v>11745.5</v>
      </c>
    </row>
    <row r="431" spans="1:10" outlineLevel="1" x14ac:dyDescent="0.25">
      <c r="A431" s="8" t="s">
        <v>272</v>
      </c>
      <c r="B431" s="3" t="s">
        <v>471</v>
      </c>
      <c r="C431" s="3" t="s">
        <v>4</v>
      </c>
      <c r="D431" s="3" t="s">
        <v>472</v>
      </c>
      <c r="E431" s="3" t="s">
        <v>416</v>
      </c>
      <c r="F431" s="3" t="s">
        <v>485</v>
      </c>
      <c r="G431" s="6">
        <v>3</v>
      </c>
      <c r="H431" s="6">
        <v>55</v>
      </c>
      <c r="I431" s="6">
        <v>165</v>
      </c>
      <c r="J431" s="6">
        <v>11910.5</v>
      </c>
    </row>
    <row r="432" spans="1:10" outlineLevel="1" x14ac:dyDescent="0.25">
      <c r="A432" s="8" t="s">
        <v>272</v>
      </c>
      <c r="B432" s="3" t="s">
        <v>471</v>
      </c>
      <c r="C432" s="3" t="s">
        <v>4</v>
      </c>
      <c r="D432" s="3" t="s">
        <v>472</v>
      </c>
      <c r="E432" s="3" t="s">
        <v>290</v>
      </c>
      <c r="F432" s="3" t="s">
        <v>451</v>
      </c>
      <c r="G432" s="6">
        <v>5</v>
      </c>
      <c r="H432" s="6">
        <v>30</v>
      </c>
      <c r="I432" s="6">
        <v>150</v>
      </c>
      <c r="J432" s="6">
        <v>12060.5</v>
      </c>
    </row>
    <row r="433" spans="1:10" outlineLevel="1" x14ac:dyDescent="0.25">
      <c r="A433" s="8" t="s">
        <v>272</v>
      </c>
      <c r="B433" s="3" t="s">
        <v>471</v>
      </c>
      <c r="C433" s="3" t="s">
        <v>4</v>
      </c>
      <c r="D433" s="3" t="s">
        <v>472</v>
      </c>
      <c r="E433" s="3" t="s">
        <v>298</v>
      </c>
      <c r="F433" s="3" t="s">
        <v>454</v>
      </c>
      <c r="G433" s="6">
        <v>3</v>
      </c>
      <c r="H433" s="6">
        <v>19</v>
      </c>
      <c r="I433" s="6">
        <v>57</v>
      </c>
      <c r="J433" s="6">
        <v>12117.5</v>
      </c>
    </row>
    <row r="434" spans="1:10" outlineLevel="1" x14ac:dyDescent="0.25">
      <c r="A434" s="8" t="s">
        <v>272</v>
      </c>
      <c r="B434" s="3" t="s">
        <v>471</v>
      </c>
      <c r="C434" s="3" t="s">
        <v>4</v>
      </c>
      <c r="D434" s="3" t="s">
        <v>472</v>
      </c>
      <c r="E434" s="3" t="s">
        <v>300</v>
      </c>
      <c r="F434" s="3" t="s">
        <v>455</v>
      </c>
      <c r="G434" s="6">
        <v>2</v>
      </c>
      <c r="H434" s="6">
        <v>21</v>
      </c>
      <c r="I434" s="6">
        <v>42</v>
      </c>
      <c r="J434" s="6">
        <v>12159.5</v>
      </c>
    </row>
    <row r="435" spans="1:10" outlineLevel="1" x14ac:dyDescent="0.25">
      <c r="A435" s="8" t="s">
        <v>272</v>
      </c>
      <c r="B435" s="3" t="s">
        <v>471</v>
      </c>
      <c r="C435" s="3" t="s">
        <v>4</v>
      </c>
      <c r="D435" s="3" t="s">
        <v>472</v>
      </c>
      <c r="E435" s="3" t="s">
        <v>302</v>
      </c>
      <c r="F435" s="3" t="s">
        <v>456</v>
      </c>
      <c r="G435" s="6">
        <v>3</v>
      </c>
      <c r="H435" s="6">
        <v>30</v>
      </c>
      <c r="I435" s="6">
        <v>90</v>
      </c>
      <c r="J435" s="6">
        <v>12249.5</v>
      </c>
    </row>
    <row r="436" spans="1:10" outlineLevel="1" x14ac:dyDescent="0.25">
      <c r="A436" s="8" t="s">
        <v>272</v>
      </c>
      <c r="B436" s="3" t="s">
        <v>471</v>
      </c>
      <c r="C436" s="3" t="s">
        <v>4</v>
      </c>
      <c r="D436" s="3" t="s">
        <v>472</v>
      </c>
      <c r="E436" s="3" t="s">
        <v>304</v>
      </c>
      <c r="F436" s="3" t="s">
        <v>486</v>
      </c>
      <c r="G436" s="6">
        <v>2</v>
      </c>
      <c r="H436" s="6">
        <v>14</v>
      </c>
      <c r="I436" s="6">
        <v>28</v>
      </c>
      <c r="J436" s="6">
        <v>12277.5</v>
      </c>
    </row>
    <row r="437" spans="1:10" outlineLevel="1" x14ac:dyDescent="0.25">
      <c r="A437" s="8" t="s">
        <v>272</v>
      </c>
      <c r="B437" s="3" t="s">
        <v>471</v>
      </c>
      <c r="C437" s="3" t="s">
        <v>4</v>
      </c>
      <c r="D437" s="3" t="s">
        <v>472</v>
      </c>
      <c r="E437" s="3" t="s">
        <v>487</v>
      </c>
      <c r="F437" s="3" t="s">
        <v>488</v>
      </c>
      <c r="G437" s="6">
        <v>2</v>
      </c>
      <c r="H437" s="6">
        <v>22</v>
      </c>
      <c r="I437" s="6">
        <v>44</v>
      </c>
      <c r="J437" s="6">
        <v>12321.5</v>
      </c>
    </row>
    <row r="438" spans="1:10" outlineLevel="1" x14ac:dyDescent="0.25">
      <c r="A438" s="8" t="s">
        <v>272</v>
      </c>
      <c r="B438" s="3" t="s">
        <v>471</v>
      </c>
      <c r="C438" s="3" t="s">
        <v>4</v>
      </c>
      <c r="D438" s="3" t="s">
        <v>472</v>
      </c>
      <c r="E438" s="3" t="s">
        <v>312</v>
      </c>
      <c r="F438" s="3" t="s">
        <v>489</v>
      </c>
      <c r="G438" s="6">
        <v>2</v>
      </c>
      <c r="H438" s="6">
        <v>26</v>
      </c>
      <c r="I438" s="6">
        <v>52</v>
      </c>
      <c r="J438" s="6">
        <v>12373.5</v>
      </c>
    </row>
    <row r="439" spans="1:10" outlineLevel="1" x14ac:dyDescent="0.25">
      <c r="A439" s="8" t="s">
        <v>272</v>
      </c>
      <c r="B439" s="3" t="s">
        <v>471</v>
      </c>
      <c r="C439" s="3" t="s">
        <v>4</v>
      </c>
      <c r="D439" s="3" t="s">
        <v>472</v>
      </c>
      <c r="E439" s="3" t="s">
        <v>490</v>
      </c>
      <c r="F439" s="3" t="s">
        <v>491</v>
      </c>
      <c r="G439" s="6">
        <v>2</v>
      </c>
      <c r="H439" s="6">
        <v>18</v>
      </c>
      <c r="I439" s="6">
        <v>36</v>
      </c>
      <c r="J439" s="6">
        <v>12409.5</v>
      </c>
    </row>
    <row r="440" spans="1:10" outlineLevel="1" x14ac:dyDescent="0.25">
      <c r="A440" s="8" t="s">
        <v>272</v>
      </c>
      <c r="B440" s="3" t="s">
        <v>471</v>
      </c>
      <c r="C440" s="3" t="s">
        <v>4</v>
      </c>
      <c r="D440" s="3" t="s">
        <v>472</v>
      </c>
      <c r="E440" s="3" t="s">
        <v>492</v>
      </c>
      <c r="F440" s="3" t="s">
        <v>493</v>
      </c>
      <c r="G440" s="6">
        <v>2</v>
      </c>
      <c r="H440" s="6">
        <v>32</v>
      </c>
      <c r="I440" s="6">
        <v>64</v>
      </c>
      <c r="J440" s="6">
        <v>12473.5</v>
      </c>
    </row>
    <row r="441" spans="1:10" outlineLevel="1" x14ac:dyDescent="0.25">
      <c r="A441" s="8" t="s">
        <v>272</v>
      </c>
      <c r="B441" s="3" t="s">
        <v>471</v>
      </c>
      <c r="C441" s="3" t="s">
        <v>4</v>
      </c>
      <c r="D441" s="3" t="s">
        <v>472</v>
      </c>
      <c r="E441" s="3" t="s">
        <v>314</v>
      </c>
      <c r="F441" s="3" t="s">
        <v>459</v>
      </c>
      <c r="G441" s="6">
        <v>12</v>
      </c>
      <c r="H441" s="6">
        <v>39</v>
      </c>
      <c r="I441" s="6">
        <v>468</v>
      </c>
      <c r="J441" s="6">
        <v>12941.5</v>
      </c>
    </row>
    <row r="442" spans="1:10" outlineLevel="1" x14ac:dyDescent="0.25">
      <c r="A442" s="8" t="s">
        <v>272</v>
      </c>
      <c r="B442" s="3" t="s">
        <v>471</v>
      </c>
      <c r="C442" s="3" t="s">
        <v>4</v>
      </c>
      <c r="D442" s="3" t="s">
        <v>472</v>
      </c>
      <c r="E442" s="3" t="s">
        <v>494</v>
      </c>
      <c r="F442" s="3" t="s">
        <v>495</v>
      </c>
      <c r="G442" s="6">
        <v>24</v>
      </c>
      <c r="H442" s="6">
        <v>5.5</v>
      </c>
      <c r="I442" s="6">
        <v>132</v>
      </c>
      <c r="J442" s="6">
        <v>13073.5</v>
      </c>
    </row>
    <row r="443" spans="1:10" outlineLevel="1" x14ac:dyDescent="0.25">
      <c r="A443" s="8" t="s">
        <v>272</v>
      </c>
      <c r="B443" s="3" t="s">
        <v>471</v>
      </c>
      <c r="C443" s="3" t="s">
        <v>4</v>
      </c>
      <c r="D443" s="3" t="s">
        <v>472</v>
      </c>
      <c r="E443" s="3" t="s">
        <v>366</v>
      </c>
      <c r="F443" s="3" t="s">
        <v>367</v>
      </c>
      <c r="G443" s="6">
        <v>2</v>
      </c>
      <c r="H443" s="6">
        <v>37</v>
      </c>
      <c r="I443" s="6">
        <v>74</v>
      </c>
      <c r="J443" s="6">
        <v>13147.5</v>
      </c>
    </row>
    <row r="444" spans="1:10" outlineLevel="1" x14ac:dyDescent="0.25">
      <c r="A444" s="8" t="s">
        <v>272</v>
      </c>
      <c r="B444" s="3" t="s">
        <v>471</v>
      </c>
      <c r="C444" s="3" t="s">
        <v>4</v>
      </c>
      <c r="D444" s="3" t="s">
        <v>472</v>
      </c>
      <c r="E444" s="3" t="s">
        <v>496</v>
      </c>
      <c r="F444" s="3" t="s">
        <v>497</v>
      </c>
      <c r="G444" s="6">
        <v>7</v>
      </c>
      <c r="H444" s="6">
        <v>22</v>
      </c>
      <c r="I444" s="6">
        <v>154</v>
      </c>
      <c r="J444" s="6">
        <v>13301.5</v>
      </c>
    </row>
    <row r="445" spans="1:10" outlineLevel="1" x14ac:dyDescent="0.25">
      <c r="A445" s="8" t="s">
        <v>272</v>
      </c>
      <c r="B445" s="3" t="s">
        <v>471</v>
      </c>
      <c r="C445" s="3" t="s">
        <v>4</v>
      </c>
      <c r="D445" s="3" t="s">
        <v>472</v>
      </c>
      <c r="E445" s="3" t="s">
        <v>426</v>
      </c>
      <c r="F445" s="3" t="s">
        <v>427</v>
      </c>
      <c r="G445" s="6">
        <v>2</v>
      </c>
      <c r="H445" s="6">
        <v>15</v>
      </c>
      <c r="I445" s="6">
        <v>30</v>
      </c>
      <c r="J445" s="6">
        <v>13331.5</v>
      </c>
    </row>
    <row r="446" spans="1:10" outlineLevel="1" x14ac:dyDescent="0.25">
      <c r="A446" s="8" t="s">
        <v>272</v>
      </c>
      <c r="B446" s="3" t="s">
        <v>471</v>
      </c>
      <c r="C446" s="3" t="s">
        <v>4</v>
      </c>
      <c r="D446" s="3" t="s">
        <v>472</v>
      </c>
      <c r="E446" s="3" t="s">
        <v>442</v>
      </c>
      <c r="F446" s="3" t="s">
        <v>443</v>
      </c>
      <c r="G446" s="6">
        <v>8</v>
      </c>
      <c r="H446" s="6">
        <v>9</v>
      </c>
      <c r="I446" s="6">
        <v>72</v>
      </c>
      <c r="J446" s="6">
        <v>13403.5</v>
      </c>
    </row>
    <row r="447" spans="1:10" outlineLevel="1" x14ac:dyDescent="0.25">
      <c r="A447" s="8" t="s">
        <v>272</v>
      </c>
      <c r="B447" s="3" t="s">
        <v>471</v>
      </c>
      <c r="C447" s="3" t="s">
        <v>4</v>
      </c>
      <c r="D447" s="3" t="s">
        <v>472</v>
      </c>
      <c r="E447" s="3" t="s">
        <v>440</v>
      </c>
      <c r="F447" s="3" t="s">
        <v>441</v>
      </c>
      <c r="G447" s="6">
        <v>5</v>
      </c>
      <c r="H447" s="6">
        <v>9</v>
      </c>
      <c r="I447" s="6">
        <v>45</v>
      </c>
      <c r="J447" s="6">
        <v>13448.5</v>
      </c>
    </row>
    <row r="448" spans="1:10" outlineLevel="1" x14ac:dyDescent="0.25">
      <c r="A448" s="8" t="s">
        <v>272</v>
      </c>
      <c r="B448" s="3" t="s">
        <v>471</v>
      </c>
      <c r="C448" s="3" t="s">
        <v>4</v>
      </c>
      <c r="D448" s="3" t="s">
        <v>472</v>
      </c>
      <c r="E448" s="3" t="s">
        <v>498</v>
      </c>
      <c r="F448" s="3" t="s">
        <v>499</v>
      </c>
      <c r="G448" s="6">
        <v>2</v>
      </c>
      <c r="H448" s="6">
        <v>13</v>
      </c>
      <c r="I448" s="6">
        <v>26</v>
      </c>
      <c r="J448" s="6">
        <v>13474.5</v>
      </c>
    </row>
    <row r="449" spans="1:10" outlineLevel="1" x14ac:dyDescent="0.25">
      <c r="A449" s="8" t="s">
        <v>272</v>
      </c>
      <c r="B449" s="3" t="s">
        <v>471</v>
      </c>
      <c r="C449" s="3" t="s">
        <v>4</v>
      </c>
      <c r="D449" s="3" t="s">
        <v>472</v>
      </c>
      <c r="E449" s="3" t="s">
        <v>500</v>
      </c>
      <c r="F449" s="3" t="s">
        <v>501</v>
      </c>
      <c r="G449" s="6">
        <v>2</v>
      </c>
      <c r="H449" s="6">
        <v>13</v>
      </c>
      <c r="I449" s="6">
        <v>26</v>
      </c>
      <c r="J449" s="6">
        <v>13500.5</v>
      </c>
    </row>
    <row r="450" spans="1:10" outlineLevel="1" x14ac:dyDescent="0.25">
      <c r="A450" s="8" t="s">
        <v>272</v>
      </c>
      <c r="B450" s="3" t="s">
        <v>471</v>
      </c>
      <c r="C450" s="3" t="s">
        <v>4</v>
      </c>
      <c r="D450" s="3" t="s">
        <v>472</v>
      </c>
      <c r="E450" s="3" t="s">
        <v>502</v>
      </c>
      <c r="F450" s="3" t="s">
        <v>503</v>
      </c>
      <c r="G450" s="6">
        <v>2</v>
      </c>
      <c r="H450" s="6">
        <v>22</v>
      </c>
      <c r="I450" s="6">
        <v>44</v>
      </c>
      <c r="J450" s="6">
        <v>13544.5</v>
      </c>
    </row>
    <row r="451" spans="1:10" outlineLevel="1" x14ac:dyDescent="0.25">
      <c r="A451" s="8" t="s">
        <v>272</v>
      </c>
      <c r="B451" s="3" t="s">
        <v>471</v>
      </c>
      <c r="C451" s="3" t="s">
        <v>4</v>
      </c>
      <c r="D451" s="3" t="s">
        <v>472</v>
      </c>
      <c r="E451" s="3" t="s">
        <v>504</v>
      </c>
      <c r="F451" s="3" t="s">
        <v>505</v>
      </c>
      <c r="G451" s="6">
        <v>2</v>
      </c>
      <c r="H451" s="6">
        <v>22</v>
      </c>
      <c r="I451" s="6">
        <v>44</v>
      </c>
      <c r="J451" s="6">
        <v>13588.5</v>
      </c>
    </row>
    <row r="452" spans="1:10" outlineLevel="1" x14ac:dyDescent="0.25">
      <c r="A452" s="8" t="s">
        <v>272</v>
      </c>
      <c r="B452" s="3" t="s">
        <v>471</v>
      </c>
      <c r="C452" s="3" t="s">
        <v>4</v>
      </c>
      <c r="D452" s="3" t="s">
        <v>472</v>
      </c>
      <c r="E452" s="3" t="s">
        <v>506</v>
      </c>
      <c r="F452" s="3" t="s">
        <v>507</v>
      </c>
      <c r="G452" s="6">
        <v>2</v>
      </c>
      <c r="H452" s="6">
        <v>22</v>
      </c>
      <c r="I452" s="6">
        <v>44</v>
      </c>
      <c r="J452" s="6">
        <v>13632.5</v>
      </c>
    </row>
    <row r="453" spans="1:10" outlineLevel="1" x14ac:dyDescent="0.25">
      <c r="A453" s="8" t="s">
        <v>272</v>
      </c>
      <c r="B453" s="3" t="s">
        <v>471</v>
      </c>
      <c r="C453" s="3" t="s">
        <v>4</v>
      </c>
      <c r="D453" s="3" t="s">
        <v>472</v>
      </c>
      <c r="E453" s="3" t="s">
        <v>380</v>
      </c>
      <c r="F453" s="3" t="s">
        <v>380</v>
      </c>
      <c r="G453" s="6">
        <v>3</v>
      </c>
      <c r="H453" s="6">
        <v>61</v>
      </c>
      <c r="I453" s="6">
        <v>183</v>
      </c>
      <c r="J453" s="6">
        <v>13815.5</v>
      </c>
    </row>
    <row r="454" spans="1:10" outlineLevel="1" x14ac:dyDescent="0.25">
      <c r="A454" s="8" t="s">
        <v>272</v>
      </c>
      <c r="B454" s="3" t="s">
        <v>471</v>
      </c>
      <c r="C454" s="3" t="s">
        <v>4</v>
      </c>
      <c r="D454" s="3" t="s">
        <v>472</v>
      </c>
      <c r="E454" s="3" t="s">
        <v>381</v>
      </c>
      <c r="F454" s="3" t="s">
        <v>381</v>
      </c>
      <c r="G454" s="6">
        <v>3</v>
      </c>
      <c r="H454" s="6">
        <v>125</v>
      </c>
      <c r="I454" s="6">
        <v>375</v>
      </c>
      <c r="J454" s="6">
        <v>14190.5</v>
      </c>
    </row>
    <row r="455" spans="1:10" outlineLevel="1" x14ac:dyDescent="0.25">
      <c r="A455" s="8" t="s">
        <v>272</v>
      </c>
      <c r="B455" s="3" t="s">
        <v>471</v>
      </c>
      <c r="C455" s="3" t="s">
        <v>4</v>
      </c>
      <c r="D455" s="3" t="s">
        <v>472</v>
      </c>
      <c r="E455" s="3" t="s">
        <v>333</v>
      </c>
      <c r="F455" s="3" t="s">
        <v>467</v>
      </c>
      <c r="G455" s="6">
        <v>3</v>
      </c>
      <c r="H455" s="6">
        <v>39</v>
      </c>
      <c r="I455" s="6">
        <v>117</v>
      </c>
      <c r="J455" s="6">
        <v>14307.5</v>
      </c>
    </row>
    <row r="456" spans="1:10" outlineLevel="1" x14ac:dyDescent="0.25">
      <c r="A456" s="8" t="s">
        <v>272</v>
      </c>
      <c r="B456" s="3" t="s">
        <v>471</v>
      </c>
      <c r="C456" s="3" t="s">
        <v>4</v>
      </c>
      <c r="D456" s="3" t="s">
        <v>472</v>
      </c>
      <c r="E456" s="3" t="s">
        <v>508</v>
      </c>
      <c r="F456" s="3" t="s">
        <v>509</v>
      </c>
      <c r="G456" s="6">
        <v>3</v>
      </c>
      <c r="H456" s="6">
        <v>27</v>
      </c>
      <c r="I456" s="6">
        <v>81</v>
      </c>
      <c r="J456" s="6">
        <v>14388.5</v>
      </c>
    </row>
    <row r="457" spans="1:10" outlineLevel="1" x14ac:dyDescent="0.25">
      <c r="A457" s="8" t="s">
        <v>272</v>
      </c>
      <c r="B457" s="3" t="s">
        <v>471</v>
      </c>
      <c r="C457" s="3" t="s">
        <v>4</v>
      </c>
      <c r="D457" s="3" t="s">
        <v>472</v>
      </c>
      <c r="E457" s="3" t="s">
        <v>469</v>
      </c>
      <c r="F457" s="3" t="s">
        <v>470</v>
      </c>
      <c r="G457" s="6">
        <v>5</v>
      </c>
      <c r="H457" s="6">
        <v>42</v>
      </c>
      <c r="I457" s="6">
        <v>210</v>
      </c>
      <c r="J457" s="6">
        <v>14598.5</v>
      </c>
    </row>
    <row r="458" spans="1:10" outlineLevel="1" x14ac:dyDescent="0.25">
      <c r="A458" s="8" t="s">
        <v>272</v>
      </c>
      <c r="B458" s="3" t="s">
        <v>471</v>
      </c>
      <c r="C458" s="3" t="s">
        <v>4</v>
      </c>
      <c r="D458" s="3" t="s">
        <v>472</v>
      </c>
      <c r="E458" s="3" t="s">
        <v>35</v>
      </c>
      <c r="F458" s="3" t="s">
        <v>36</v>
      </c>
      <c r="G458" s="6">
        <v>1</v>
      </c>
      <c r="H458" s="6">
        <v>45</v>
      </c>
      <c r="I458" s="6">
        <v>45</v>
      </c>
      <c r="J458" s="6">
        <v>14643.5</v>
      </c>
    </row>
    <row r="459" spans="1:10" outlineLevel="1" x14ac:dyDescent="0.25">
      <c r="A459" s="8" t="s">
        <v>272</v>
      </c>
      <c r="B459" s="3" t="s">
        <v>471</v>
      </c>
      <c r="C459" s="3" t="s">
        <v>4</v>
      </c>
      <c r="D459" s="3" t="s">
        <v>472</v>
      </c>
      <c r="E459" s="3" t="s">
        <v>276</v>
      </c>
      <c r="F459" s="3" t="s">
        <v>277</v>
      </c>
      <c r="G459" s="6">
        <v>2</v>
      </c>
      <c r="H459" s="6">
        <v>33</v>
      </c>
      <c r="I459" s="6">
        <v>66</v>
      </c>
      <c r="J459" s="6">
        <v>14709.5</v>
      </c>
    </row>
    <row r="460" spans="1:10" outlineLevel="1" x14ac:dyDescent="0.25">
      <c r="A460" s="8" t="s">
        <v>272</v>
      </c>
      <c r="B460" s="3" t="s">
        <v>510</v>
      </c>
      <c r="C460" s="3" t="s">
        <v>214</v>
      </c>
      <c r="D460" s="3" t="s">
        <v>5</v>
      </c>
      <c r="E460" s="3" t="s">
        <v>320</v>
      </c>
      <c r="F460" s="3" t="s">
        <v>511</v>
      </c>
      <c r="G460" s="6">
        <v>-1</v>
      </c>
      <c r="H460" s="6">
        <v>24</v>
      </c>
      <c r="I460" s="6">
        <v>-24</v>
      </c>
      <c r="J460" s="6">
        <v>14685.5</v>
      </c>
    </row>
    <row r="461" spans="1:10" outlineLevel="1" x14ac:dyDescent="0.25">
      <c r="A461" s="8" t="s">
        <v>272</v>
      </c>
      <c r="B461" s="3" t="s">
        <v>510</v>
      </c>
      <c r="C461" s="3" t="s">
        <v>214</v>
      </c>
      <c r="D461" s="3" t="s">
        <v>5</v>
      </c>
      <c r="E461" s="3" t="s">
        <v>372</v>
      </c>
      <c r="F461" s="3" t="s">
        <v>423</v>
      </c>
      <c r="G461" s="6">
        <v>-1</v>
      </c>
      <c r="H461" s="6">
        <v>39</v>
      </c>
      <c r="I461" s="6">
        <v>-39</v>
      </c>
      <c r="J461" s="6">
        <v>14646.5</v>
      </c>
    </row>
    <row r="462" spans="1:10" outlineLevel="1" x14ac:dyDescent="0.25">
      <c r="A462" s="8" t="s">
        <v>272</v>
      </c>
      <c r="B462" s="3" t="s">
        <v>510</v>
      </c>
      <c r="C462" s="3" t="s">
        <v>214</v>
      </c>
      <c r="D462" s="3" t="s">
        <v>5</v>
      </c>
      <c r="E462" s="3" t="s">
        <v>308</v>
      </c>
      <c r="F462" s="3" t="s">
        <v>457</v>
      </c>
      <c r="G462" s="6">
        <v>-4</v>
      </c>
      <c r="H462" s="6">
        <v>3.5</v>
      </c>
      <c r="I462" s="6">
        <v>-14</v>
      </c>
      <c r="J462" s="6">
        <v>14632.5</v>
      </c>
    </row>
    <row r="463" spans="1:10" outlineLevel="1" x14ac:dyDescent="0.25">
      <c r="A463" s="8" t="s">
        <v>272</v>
      </c>
      <c r="B463" s="3" t="s">
        <v>510</v>
      </c>
      <c r="C463" s="3" t="s">
        <v>214</v>
      </c>
      <c r="D463" s="3" t="s">
        <v>5</v>
      </c>
      <c r="E463" s="3" t="s">
        <v>372</v>
      </c>
      <c r="F463" s="3" t="s">
        <v>423</v>
      </c>
      <c r="G463" s="6">
        <v>1</v>
      </c>
      <c r="H463" s="6">
        <v>9</v>
      </c>
      <c r="I463" s="6">
        <v>9</v>
      </c>
      <c r="J463" s="6">
        <v>14641.5</v>
      </c>
    </row>
    <row r="464" spans="1:10" outlineLevel="1" x14ac:dyDescent="0.25">
      <c r="A464" s="8" t="s">
        <v>272</v>
      </c>
      <c r="B464" s="3" t="s">
        <v>510</v>
      </c>
      <c r="C464" s="3" t="s">
        <v>214</v>
      </c>
      <c r="D464" s="3" t="s">
        <v>5</v>
      </c>
      <c r="E464" s="3" t="s">
        <v>308</v>
      </c>
      <c r="F464" s="3" t="s">
        <v>457</v>
      </c>
      <c r="G464" s="6">
        <v>4</v>
      </c>
      <c r="H464" s="6">
        <v>-21.5</v>
      </c>
      <c r="I464" s="6">
        <v>-86</v>
      </c>
      <c r="J464" s="6">
        <v>14555.5</v>
      </c>
    </row>
    <row r="465" spans="1:10" outlineLevel="1" x14ac:dyDescent="0.25">
      <c r="A465" s="8" t="s">
        <v>272</v>
      </c>
      <c r="B465" s="3" t="s">
        <v>510</v>
      </c>
      <c r="C465" s="3" t="s">
        <v>214</v>
      </c>
      <c r="D465" s="3" t="s">
        <v>5</v>
      </c>
      <c r="E465" s="3" t="s">
        <v>372</v>
      </c>
      <c r="F465" s="3" t="s">
        <v>423</v>
      </c>
      <c r="G465" s="6">
        <v>-1</v>
      </c>
      <c r="H465" s="6">
        <v>9</v>
      </c>
      <c r="I465" s="6">
        <v>-9</v>
      </c>
      <c r="J465" s="6">
        <v>14546.5</v>
      </c>
    </row>
    <row r="466" spans="1:10" outlineLevel="1" x14ac:dyDescent="0.25">
      <c r="A466" s="8" t="s">
        <v>272</v>
      </c>
      <c r="B466" s="3" t="s">
        <v>510</v>
      </c>
      <c r="C466" s="3" t="s">
        <v>214</v>
      </c>
      <c r="D466" s="3" t="s">
        <v>5</v>
      </c>
      <c r="E466" s="3" t="s">
        <v>308</v>
      </c>
      <c r="F466" s="3" t="s">
        <v>457</v>
      </c>
      <c r="G466" s="6">
        <v>-4</v>
      </c>
      <c r="H466" s="6">
        <v>-21.5</v>
      </c>
      <c r="I466" s="6">
        <v>86</v>
      </c>
      <c r="J466" s="6">
        <v>14632.5</v>
      </c>
    </row>
    <row r="467" spans="1:10" outlineLevel="1" x14ac:dyDescent="0.25">
      <c r="A467" s="8" t="s">
        <v>272</v>
      </c>
      <c r="B467" s="3" t="s">
        <v>512</v>
      </c>
      <c r="C467" s="3" t="s">
        <v>4</v>
      </c>
      <c r="D467" s="3" t="s">
        <v>513</v>
      </c>
      <c r="E467" s="3" t="s">
        <v>366</v>
      </c>
      <c r="F467" s="3" t="s">
        <v>514</v>
      </c>
      <c r="G467" s="6">
        <v>5</v>
      </c>
      <c r="H467" s="6">
        <v>37</v>
      </c>
      <c r="I467" s="6">
        <v>185</v>
      </c>
      <c r="J467" s="6">
        <v>14817.5</v>
      </c>
    </row>
    <row r="468" spans="1:10" outlineLevel="1" x14ac:dyDescent="0.25">
      <c r="A468" s="8" t="s">
        <v>272</v>
      </c>
      <c r="B468" s="3" t="s">
        <v>512</v>
      </c>
      <c r="C468" s="3" t="s">
        <v>4</v>
      </c>
      <c r="D468" s="3" t="s">
        <v>513</v>
      </c>
      <c r="E468" s="3" t="s">
        <v>86</v>
      </c>
      <c r="F468" s="3" t="s">
        <v>87</v>
      </c>
      <c r="G468" s="6">
        <v>9</v>
      </c>
      <c r="H468" s="6">
        <v>17</v>
      </c>
      <c r="I468" s="6">
        <v>153</v>
      </c>
      <c r="J468" s="6">
        <v>14970.5</v>
      </c>
    </row>
    <row r="469" spans="1:10" outlineLevel="1" x14ac:dyDescent="0.25">
      <c r="A469" s="8" t="s">
        <v>272</v>
      </c>
      <c r="B469" s="3" t="s">
        <v>512</v>
      </c>
      <c r="C469" s="3" t="s">
        <v>4</v>
      </c>
      <c r="D469" s="3" t="s">
        <v>513</v>
      </c>
      <c r="E469" s="3" t="s">
        <v>88</v>
      </c>
      <c r="F469" s="3" t="s">
        <v>89</v>
      </c>
      <c r="G469" s="6">
        <v>4</v>
      </c>
      <c r="H469" s="6">
        <v>17</v>
      </c>
      <c r="I469" s="6">
        <v>68</v>
      </c>
      <c r="J469" s="6">
        <v>15038.5</v>
      </c>
    </row>
    <row r="470" spans="1:10" outlineLevel="1" x14ac:dyDescent="0.25">
      <c r="A470" s="8" t="s">
        <v>272</v>
      </c>
      <c r="B470" s="3" t="s">
        <v>512</v>
      </c>
      <c r="C470" s="3" t="s">
        <v>4</v>
      </c>
      <c r="D470" s="3" t="s">
        <v>513</v>
      </c>
      <c r="E470" s="3" t="s">
        <v>90</v>
      </c>
      <c r="F470" s="3" t="s">
        <v>91</v>
      </c>
      <c r="G470" s="6">
        <v>6</v>
      </c>
      <c r="H470" s="6">
        <v>17</v>
      </c>
      <c r="I470" s="6">
        <v>102</v>
      </c>
      <c r="J470" s="6">
        <v>15140.5</v>
      </c>
    </row>
    <row r="471" spans="1:10" outlineLevel="1" x14ac:dyDescent="0.25">
      <c r="A471" s="8" t="s">
        <v>272</v>
      </c>
      <c r="B471" s="3" t="s">
        <v>512</v>
      </c>
      <c r="C471" s="3" t="s">
        <v>4</v>
      </c>
      <c r="D471" s="3" t="s">
        <v>513</v>
      </c>
      <c r="E471" s="3" t="s">
        <v>496</v>
      </c>
      <c r="F471" s="3" t="s">
        <v>515</v>
      </c>
      <c r="G471" s="6">
        <v>5</v>
      </c>
      <c r="H471" s="6">
        <v>22</v>
      </c>
      <c r="I471" s="6">
        <v>110</v>
      </c>
      <c r="J471" s="6">
        <v>15250.5</v>
      </c>
    </row>
    <row r="472" spans="1:10" outlineLevel="1" x14ac:dyDescent="0.25">
      <c r="A472" s="8" t="s">
        <v>272</v>
      </c>
      <c r="B472" s="3" t="s">
        <v>512</v>
      </c>
      <c r="C472" s="3" t="s">
        <v>4</v>
      </c>
      <c r="D472" s="3" t="s">
        <v>513</v>
      </c>
      <c r="E472" s="3" t="s">
        <v>276</v>
      </c>
      <c r="F472" s="3" t="s">
        <v>277</v>
      </c>
      <c r="G472" s="6">
        <v>1</v>
      </c>
      <c r="H472" s="6">
        <v>33</v>
      </c>
      <c r="I472" s="6">
        <v>33</v>
      </c>
      <c r="J472" s="6">
        <v>15283.5</v>
      </c>
    </row>
    <row r="473" spans="1:10" outlineLevel="1" x14ac:dyDescent="0.25">
      <c r="A473" s="8" t="s">
        <v>272</v>
      </c>
      <c r="B473" s="3" t="s">
        <v>512</v>
      </c>
      <c r="C473" s="3" t="s">
        <v>4</v>
      </c>
      <c r="D473" s="3" t="s">
        <v>513</v>
      </c>
      <c r="E473" s="3" t="s">
        <v>380</v>
      </c>
      <c r="F473" s="3" t="s">
        <v>516</v>
      </c>
      <c r="G473" s="6">
        <v>2</v>
      </c>
      <c r="H473" s="6">
        <v>61</v>
      </c>
      <c r="I473" s="6">
        <v>122</v>
      </c>
      <c r="J473" s="6">
        <v>15405.5</v>
      </c>
    </row>
    <row r="474" spans="1:10" outlineLevel="1" x14ac:dyDescent="0.25">
      <c r="A474" s="8" t="s">
        <v>272</v>
      </c>
      <c r="B474" s="3" t="s">
        <v>512</v>
      </c>
      <c r="C474" s="3" t="s">
        <v>4</v>
      </c>
      <c r="D474" s="3" t="s">
        <v>513</v>
      </c>
      <c r="E474" s="3" t="s">
        <v>494</v>
      </c>
      <c r="F474" s="3" t="s">
        <v>517</v>
      </c>
      <c r="G474" s="6">
        <v>72</v>
      </c>
      <c r="H474" s="6">
        <v>5.5</v>
      </c>
      <c r="I474" s="6">
        <v>396</v>
      </c>
      <c r="J474" s="6">
        <v>15801.5</v>
      </c>
    </row>
    <row r="475" spans="1:10" outlineLevel="1" x14ac:dyDescent="0.25">
      <c r="A475" s="8" t="s">
        <v>272</v>
      </c>
      <c r="B475" s="3" t="s">
        <v>512</v>
      </c>
      <c r="C475" s="3" t="s">
        <v>4</v>
      </c>
      <c r="D475" s="3" t="s">
        <v>513</v>
      </c>
      <c r="E475" s="3" t="s">
        <v>473</v>
      </c>
      <c r="F475" s="3" t="s">
        <v>474</v>
      </c>
      <c r="G475" s="6">
        <v>4</v>
      </c>
      <c r="H475" s="6">
        <v>70.5</v>
      </c>
      <c r="I475" s="6">
        <v>282</v>
      </c>
      <c r="J475" s="6">
        <v>16083.5</v>
      </c>
    </row>
    <row r="476" spans="1:10" outlineLevel="1" x14ac:dyDescent="0.25">
      <c r="A476" s="8" t="s">
        <v>272</v>
      </c>
      <c r="B476" s="3" t="s">
        <v>512</v>
      </c>
      <c r="C476" s="3" t="s">
        <v>4</v>
      </c>
      <c r="D476" s="3" t="s">
        <v>513</v>
      </c>
      <c r="E476" s="3" t="s">
        <v>390</v>
      </c>
      <c r="F476" s="3" t="s">
        <v>518</v>
      </c>
      <c r="G476" s="6">
        <v>10</v>
      </c>
      <c r="H476" s="6">
        <v>43</v>
      </c>
      <c r="I476" s="6">
        <v>430</v>
      </c>
      <c r="J476" s="6">
        <v>16513.5</v>
      </c>
    </row>
    <row r="477" spans="1:10" outlineLevel="1" x14ac:dyDescent="0.25">
      <c r="A477" s="8" t="s">
        <v>272</v>
      </c>
      <c r="B477" s="3" t="s">
        <v>512</v>
      </c>
      <c r="C477" s="3" t="s">
        <v>4</v>
      </c>
      <c r="D477" s="3" t="s">
        <v>513</v>
      </c>
      <c r="E477" s="3" t="s">
        <v>294</v>
      </c>
      <c r="F477" s="3" t="s">
        <v>295</v>
      </c>
      <c r="G477" s="6">
        <v>2</v>
      </c>
      <c r="H477" s="6">
        <v>36</v>
      </c>
      <c r="I477" s="6">
        <v>72</v>
      </c>
      <c r="J477" s="6">
        <v>16585.5</v>
      </c>
    </row>
    <row r="478" spans="1:10" outlineLevel="1" x14ac:dyDescent="0.25">
      <c r="A478" s="8" t="s">
        <v>272</v>
      </c>
      <c r="B478" s="3" t="s">
        <v>512</v>
      </c>
      <c r="C478" s="3" t="s">
        <v>4</v>
      </c>
      <c r="D478" s="3" t="s">
        <v>513</v>
      </c>
      <c r="E478" s="3" t="s">
        <v>298</v>
      </c>
      <c r="F478" s="3" t="s">
        <v>454</v>
      </c>
      <c r="G478" s="6">
        <v>2</v>
      </c>
      <c r="H478" s="6">
        <v>19</v>
      </c>
      <c r="I478" s="6">
        <v>38</v>
      </c>
      <c r="J478" s="6">
        <v>16623.5</v>
      </c>
    </row>
    <row r="479" spans="1:10" outlineLevel="1" x14ac:dyDescent="0.25">
      <c r="A479" s="8" t="s">
        <v>272</v>
      </c>
      <c r="B479" s="3" t="s">
        <v>512</v>
      </c>
      <c r="C479" s="3" t="s">
        <v>4</v>
      </c>
      <c r="D479" s="3" t="s">
        <v>513</v>
      </c>
      <c r="E479" s="3" t="s">
        <v>487</v>
      </c>
      <c r="F479" s="3" t="s">
        <v>519</v>
      </c>
      <c r="G479" s="6">
        <v>2</v>
      </c>
      <c r="H479" s="6">
        <v>22</v>
      </c>
      <c r="I479" s="6">
        <v>44</v>
      </c>
      <c r="J479" s="6">
        <v>16667.5</v>
      </c>
    </row>
    <row r="480" spans="1:10" outlineLevel="1" x14ac:dyDescent="0.25">
      <c r="A480" s="8" t="s">
        <v>272</v>
      </c>
      <c r="B480" s="3" t="s">
        <v>512</v>
      </c>
      <c r="C480" s="3" t="s">
        <v>4</v>
      </c>
      <c r="D480" s="3" t="s">
        <v>513</v>
      </c>
      <c r="E480" s="3" t="s">
        <v>300</v>
      </c>
      <c r="F480" s="3" t="s">
        <v>455</v>
      </c>
      <c r="G480" s="6">
        <v>2</v>
      </c>
      <c r="H480" s="6">
        <v>21</v>
      </c>
      <c r="I480" s="6">
        <v>42</v>
      </c>
      <c r="J480" s="6">
        <v>16709.5</v>
      </c>
    </row>
    <row r="481" spans="1:10" outlineLevel="1" x14ac:dyDescent="0.25">
      <c r="A481" s="8" t="s">
        <v>272</v>
      </c>
      <c r="B481" s="3" t="s">
        <v>512</v>
      </c>
      <c r="C481" s="3" t="s">
        <v>4</v>
      </c>
      <c r="D481" s="3" t="s">
        <v>513</v>
      </c>
      <c r="E481" s="3" t="s">
        <v>302</v>
      </c>
      <c r="F481" s="3" t="s">
        <v>456</v>
      </c>
      <c r="G481" s="6">
        <v>2</v>
      </c>
      <c r="H481" s="6">
        <v>30</v>
      </c>
      <c r="I481" s="6">
        <v>60</v>
      </c>
      <c r="J481" s="6">
        <v>16769.5</v>
      </c>
    </row>
    <row r="482" spans="1:10" outlineLevel="1" x14ac:dyDescent="0.25">
      <c r="A482" s="8" t="s">
        <v>272</v>
      </c>
      <c r="B482" s="3" t="s">
        <v>512</v>
      </c>
      <c r="C482" s="3" t="s">
        <v>4</v>
      </c>
      <c r="D482" s="3" t="s">
        <v>513</v>
      </c>
      <c r="E482" s="3" t="s">
        <v>304</v>
      </c>
      <c r="F482" s="3" t="s">
        <v>486</v>
      </c>
      <c r="G482" s="6">
        <v>1</v>
      </c>
      <c r="H482" s="6">
        <v>14</v>
      </c>
      <c r="I482" s="6">
        <v>14</v>
      </c>
      <c r="J482" s="6">
        <v>16783.5</v>
      </c>
    </row>
    <row r="483" spans="1:10" outlineLevel="1" x14ac:dyDescent="0.25">
      <c r="A483" s="8" t="s">
        <v>272</v>
      </c>
      <c r="B483" s="3" t="s">
        <v>512</v>
      </c>
      <c r="C483" s="3" t="s">
        <v>4</v>
      </c>
      <c r="D483" s="3" t="s">
        <v>513</v>
      </c>
      <c r="E483" s="3" t="s">
        <v>310</v>
      </c>
      <c r="F483" s="3" t="s">
        <v>520</v>
      </c>
      <c r="G483" s="6">
        <v>2</v>
      </c>
      <c r="H483" s="6">
        <v>24</v>
      </c>
      <c r="I483" s="6">
        <v>48</v>
      </c>
      <c r="J483" s="6">
        <v>16831.5</v>
      </c>
    </row>
    <row r="484" spans="1:10" outlineLevel="1" x14ac:dyDescent="0.25">
      <c r="A484" s="8" t="s">
        <v>272</v>
      </c>
      <c r="B484" s="3" t="s">
        <v>512</v>
      </c>
      <c r="C484" s="3" t="s">
        <v>4</v>
      </c>
      <c r="D484" s="3" t="s">
        <v>513</v>
      </c>
      <c r="E484" s="3" t="s">
        <v>312</v>
      </c>
      <c r="F484" s="3" t="s">
        <v>489</v>
      </c>
      <c r="G484" s="6">
        <v>2</v>
      </c>
      <c r="H484" s="6">
        <v>26</v>
      </c>
      <c r="I484" s="6">
        <v>52</v>
      </c>
      <c r="J484" s="6">
        <v>16883.5</v>
      </c>
    </row>
    <row r="485" spans="1:10" outlineLevel="1" x14ac:dyDescent="0.25">
      <c r="A485" s="8" t="s">
        <v>272</v>
      </c>
      <c r="B485" s="3" t="s">
        <v>512</v>
      </c>
      <c r="C485" s="3" t="s">
        <v>4</v>
      </c>
      <c r="D485" s="3" t="s">
        <v>513</v>
      </c>
      <c r="E485" s="3" t="s">
        <v>490</v>
      </c>
      <c r="F485" s="3" t="s">
        <v>521</v>
      </c>
      <c r="G485" s="6">
        <v>2</v>
      </c>
      <c r="H485" s="6">
        <v>18</v>
      </c>
      <c r="I485" s="6">
        <v>36</v>
      </c>
      <c r="J485" s="6">
        <v>16919.5</v>
      </c>
    </row>
    <row r="486" spans="1:10" outlineLevel="1" x14ac:dyDescent="0.25">
      <c r="A486" s="8" t="s">
        <v>272</v>
      </c>
      <c r="B486" s="3" t="s">
        <v>512</v>
      </c>
      <c r="C486" s="3" t="s">
        <v>4</v>
      </c>
      <c r="D486" s="3" t="s">
        <v>513</v>
      </c>
      <c r="E486" s="3" t="s">
        <v>522</v>
      </c>
      <c r="F486" s="3" t="s">
        <v>523</v>
      </c>
      <c r="G486" s="6">
        <v>1</v>
      </c>
      <c r="H486" s="6">
        <v>48</v>
      </c>
      <c r="I486" s="6">
        <v>48</v>
      </c>
      <c r="J486" s="6">
        <v>16967.5</v>
      </c>
    </row>
    <row r="487" spans="1:10" outlineLevel="1" x14ac:dyDescent="0.25">
      <c r="A487" s="8" t="s">
        <v>272</v>
      </c>
      <c r="B487" s="3" t="s">
        <v>512</v>
      </c>
      <c r="C487" s="3" t="s">
        <v>4</v>
      </c>
      <c r="D487" s="3" t="s">
        <v>513</v>
      </c>
      <c r="E487" s="3" t="s">
        <v>282</v>
      </c>
      <c r="F487" s="3" t="s">
        <v>524</v>
      </c>
      <c r="G487" s="6">
        <v>1</v>
      </c>
      <c r="H487" s="6">
        <v>66</v>
      </c>
      <c r="I487" s="6">
        <v>66</v>
      </c>
      <c r="J487" s="6">
        <v>17033.5</v>
      </c>
    </row>
    <row r="488" spans="1:10" outlineLevel="1" x14ac:dyDescent="0.25">
      <c r="A488" s="8" t="s">
        <v>272</v>
      </c>
      <c r="B488" s="3" t="s">
        <v>512</v>
      </c>
      <c r="C488" s="3" t="s">
        <v>4</v>
      </c>
      <c r="D488" s="3" t="s">
        <v>513</v>
      </c>
      <c r="E488" s="3" t="s">
        <v>475</v>
      </c>
      <c r="F488" s="3" t="s">
        <v>525</v>
      </c>
      <c r="G488" s="6">
        <v>2</v>
      </c>
      <c r="H488" s="6">
        <v>42</v>
      </c>
      <c r="I488" s="6">
        <v>84</v>
      </c>
      <c r="J488" s="6">
        <v>17117.5</v>
      </c>
    </row>
    <row r="489" spans="1:10" outlineLevel="1" x14ac:dyDescent="0.25">
      <c r="A489" s="8" t="s">
        <v>272</v>
      </c>
      <c r="B489" s="3" t="s">
        <v>512</v>
      </c>
      <c r="C489" s="3" t="s">
        <v>4</v>
      </c>
      <c r="D489" s="3" t="s">
        <v>513</v>
      </c>
      <c r="E489" s="3" t="s">
        <v>526</v>
      </c>
      <c r="F489" s="3" t="s">
        <v>527</v>
      </c>
      <c r="G489" s="6">
        <v>2</v>
      </c>
      <c r="H489" s="6">
        <v>39</v>
      </c>
      <c r="I489" s="6">
        <v>78</v>
      </c>
      <c r="J489" s="6">
        <v>17195.5</v>
      </c>
    </row>
    <row r="490" spans="1:10" outlineLevel="1" x14ac:dyDescent="0.25">
      <c r="A490" s="8" t="s">
        <v>272</v>
      </c>
      <c r="B490" s="3" t="s">
        <v>512</v>
      </c>
      <c r="C490" s="3" t="s">
        <v>4</v>
      </c>
      <c r="D490" s="3" t="s">
        <v>513</v>
      </c>
      <c r="E490" s="3" t="s">
        <v>286</v>
      </c>
      <c r="F490" s="3" t="s">
        <v>528</v>
      </c>
      <c r="G490" s="6">
        <v>2</v>
      </c>
      <c r="H490" s="6">
        <v>49.5</v>
      </c>
      <c r="I490" s="6">
        <v>99</v>
      </c>
      <c r="J490" s="6">
        <v>17294.5</v>
      </c>
    </row>
    <row r="491" spans="1:10" outlineLevel="1" x14ac:dyDescent="0.25">
      <c r="A491" s="8" t="s">
        <v>272</v>
      </c>
      <c r="B491" s="3" t="s">
        <v>512</v>
      </c>
      <c r="C491" s="3" t="s">
        <v>4</v>
      </c>
      <c r="D491" s="3" t="s">
        <v>513</v>
      </c>
      <c r="E491" s="3" t="s">
        <v>477</v>
      </c>
      <c r="F491" s="3" t="s">
        <v>529</v>
      </c>
      <c r="G491" s="6">
        <v>2</v>
      </c>
      <c r="H491" s="6">
        <v>39</v>
      </c>
      <c r="I491" s="6">
        <v>78</v>
      </c>
      <c r="J491" s="6">
        <v>17372.5</v>
      </c>
    </row>
    <row r="492" spans="1:10" outlineLevel="1" x14ac:dyDescent="0.25">
      <c r="A492" s="8" t="s">
        <v>272</v>
      </c>
      <c r="B492" s="3" t="s">
        <v>512</v>
      </c>
      <c r="C492" s="3" t="s">
        <v>4</v>
      </c>
      <c r="D492" s="3" t="s">
        <v>513</v>
      </c>
      <c r="E492" s="3" t="s">
        <v>530</v>
      </c>
      <c r="F492" s="3" t="s">
        <v>531</v>
      </c>
      <c r="G492" s="6">
        <v>2</v>
      </c>
      <c r="H492" s="6">
        <v>57</v>
      </c>
      <c r="I492" s="6">
        <v>114</v>
      </c>
      <c r="J492" s="6">
        <v>17486.5</v>
      </c>
    </row>
    <row r="493" spans="1:10" outlineLevel="1" x14ac:dyDescent="0.25">
      <c r="A493" s="8" t="s">
        <v>272</v>
      </c>
      <c r="B493" s="3" t="s">
        <v>512</v>
      </c>
      <c r="C493" s="3" t="s">
        <v>4</v>
      </c>
      <c r="D493" s="3" t="s">
        <v>513</v>
      </c>
      <c r="E493" s="3" t="s">
        <v>532</v>
      </c>
      <c r="F493" s="3" t="s">
        <v>533</v>
      </c>
      <c r="G493" s="6">
        <v>2</v>
      </c>
      <c r="H493" s="6">
        <v>39</v>
      </c>
      <c r="I493" s="6">
        <v>78</v>
      </c>
      <c r="J493" s="6">
        <v>17564.5</v>
      </c>
    </row>
    <row r="494" spans="1:10" outlineLevel="1" x14ac:dyDescent="0.25">
      <c r="A494" s="8" t="s">
        <v>272</v>
      </c>
      <c r="B494" s="3" t="s">
        <v>512</v>
      </c>
      <c r="C494" s="3" t="s">
        <v>4</v>
      </c>
      <c r="D494" s="3" t="s">
        <v>513</v>
      </c>
      <c r="E494" s="3" t="s">
        <v>479</v>
      </c>
      <c r="F494" s="3" t="s">
        <v>534</v>
      </c>
      <c r="G494" s="6">
        <v>2</v>
      </c>
      <c r="H494" s="6">
        <v>49.5</v>
      </c>
      <c r="I494" s="6">
        <v>99</v>
      </c>
      <c r="J494" s="6">
        <v>17663.5</v>
      </c>
    </row>
    <row r="495" spans="1:10" outlineLevel="1" x14ac:dyDescent="0.25">
      <c r="A495" s="8" t="s">
        <v>272</v>
      </c>
      <c r="B495" s="3" t="s">
        <v>512</v>
      </c>
      <c r="C495" s="3" t="s">
        <v>4</v>
      </c>
      <c r="D495" s="3" t="s">
        <v>513</v>
      </c>
      <c r="E495" s="3" t="s">
        <v>481</v>
      </c>
      <c r="F495" s="3" t="s">
        <v>535</v>
      </c>
      <c r="G495" s="6">
        <v>2</v>
      </c>
      <c r="H495" s="6">
        <v>39</v>
      </c>
      <c r="I495" s="6">
        <v>78</v>
      </c>
      <c r="J495" s="6">
        <v>17741.5</v>
      </c>
    </row>
    <row r="496" spans="1:10" outlineLevel="1" x14ac:dyDescent="0.25">
      <c r="A496" s="8" t="s">
        <v>272</v>
      </c>
      <c r="B496" s="3" t="s">
        <v>512</v>
      </c>
      <c r="C496" s="3" t="s">
        <v>4</v>
      </c>
      <c r="D496" s="3" t="s">
        <v>513</v>
      </c>
      <c r="E496" s="3" t="s">
        <v>483</v>
      </c>
      <c r="F496" s="3" t="s">
        <v>536</v>
      </c>
      <c r="G496" s="6">
        <v>2</v>
      </c>
      <c r="H496" s="6">
        <v>60</v>
      </c>
      <c r="I496" s="6">
        <v>120</v>
      </c>
      <c r="J496" s="6">
        <v>17861.5</v>
      </c>
    </row>
    <row r="497" spans="1:10" outlineLevel="1" x14ac:dyDescent="0.25">
      <c r="A497" s="8" t="s">
        <v>272</v>
      </c>
      <c r="B497" s="3" t="s">
        <v>512</v>
      </c>
      <c r="C497" s="3" t="s">
        <v>4</v>
      </c>
      <c r="D497" s="3" t="s">
        <v>513</v>
      </c>
      <c r="E497" s="3" t="s">
        <v>537</v>
      </c>
      <c r="F497" s="3" t="s">
        <v>538</v>
      </c>
      <c r="G497" s="6">
        <v>2</v>
      </c>
      <c r="H497" s="6">
        <v>42</v>
      </c>
      <c r="I497" s="6">
        <v>84</v>
      </c>
      <c r="J497" s="6">
        <v>17945.5</v>
      </c>
    </row>
    <row r="498" spans="1:10" outlineLevel="1" x14ac:dyDescent="0.25">
      <c r="A498" s="8" t="s">
        <v>272</v>
      </c>
      <c r="B498" s="3" t="s">
        <v>512</v>
      </c>
      <c r="C498" s="3" t="s">
        <v>4</v>
      </c>
      <c r="D498" s="3" t="s">
        <v>513</v>
      </c>
      <c r="E498" s="3" t="s">
        <v>412</v>
      </c>
      <c r="F498" s="3" t="s">
        <v>413</v>
      </c>
      <c r="G498" s="6">
        <v>2</v>
      </c>
      <c r="H498" s="6">
        <v>39</v>
      </c>
      <c r="I498" s="6">
        <v>78</v>
      </c>
      <c r="J498" s="6">
        <v>18023.5</v>
      </c>
    </row>
    <row r="499" spans="1:10" outlineLevel="1" x14ac:dyDescent="0.25">
      <c r="A499" s="8" t="s">
        <v>272</v>
      </c>
      <c r="B499" s="3" t="s">
        <v>512</v>
      </c>
      <c r="C499" s="3" t="s">
        <v>4</v>
      </c>
      <c r="D499" s="3" t="s">
        <v>513</v>
      </c>
      <c r="E499" s="3" t="s">
        <v>539</v>
      </c>
      <c r="F499" s="3" t="s">
        <v>540</v>
      </c>
      <c r="G499" s="6">
        <v>2</v>
      </c>
      <c r="H499" s="6">
        <v>39</v>
      </c>
      <c r="I499" s="6">
        <v>78</v>
      </c>
      <c r="J499" s="6">
        <v>18101.5</v>
      </c>
    </row>
    <row r="500" spans="1:10" outlineLevel="1" x14ac:dyDescent="0.25">
      <c r="A500" s="8" t="s">
        <v>272</v>
      </c>
      <c r="B500" s="3" t="s">
        <v>512</v>
      </c>
      <c r="C500" s="3" t="s">
        <v>4</v>
      </c>
      <c r="D500" s="3" t="s">
        <v>513</v>
      </c>
      <c r="E500" s="3" t="s">
        <v>541</v>
      </c>
      <c r="F500" s="3" t="s">
        <v>542</v>
      </c>
      <c r="G500" s="6">
        <v>2</v>
      </c>
      <c r="H500" s="6">
        <v>46</v>
      </c>
      <c r="I500" s="6">
        <v>92</v>
      </c>
      <c r="J500" s="6">
        <v>18193.5</v>
      </c>
    </row>
    <row r="501" spans="1:10" outlineLevel="1" x14ac:dyDescent="0.25">
      <c r="A501" s="8" t="s">
        <v>272</v>
      </c>
      <c r="B501" s="3" t="s">
        <v>512</v>
      </c>
      <c r="C501" s="3" t="s">
        <v>4</v>
      </c>
      <c r="D501" s="3" t="s">
        <v>513</v>
      </c>
      <c r="E501" s="3" t="s">
        <v>284</v>
      </c>
      <c r="F501" s="3" t="s">
        <v>543</v>
      </c>
      <c r="G501" s="6">
        <v>2</v>
      </c>
      <c r="H501" s="6">
        <v>39</v>
      </c>
      <c r="I501" s="6">
        <v>78</v>
      </c>
      <c r="J501" s="6">
        <v>18271.5</v>
      </c>
    </row>
    <row r="502" spans="1:10" outlineLevel="1" x14ac:dyDescent="0.25">
      <c r="A502" s="8" t="s">
        <v>272</v>
      </c>
      <c r="B502" s="3" t="s">
        <v>512</v>
      </c>
      <c r="C502" s="3" t="s">
        <v>4</v>
      </c>
      <c r="D502" s="3" t="s">
        <v>513</v>
      </c>
      <c r="E502" s="3" t="s">
        <v>416</v>
      </c>
      <c r="F502" s="3" t="s">
        <v>485</v>
      </c>
      <c r="G502" s="6">
        <v>1</v>
      </c>
      <c r="H502" s="6">
        <v>55</v>
      </c>
      <c r="I502" s="6">
        <v>55</v>
      </c>
      <c r="J502" s="6">
        <v>18326.5</v>
      </c>
    </row>
    <row r="503" spans="1:10" outlineLevel="1" x14ac:dyDescent="0.25">
      <c r="A503" s="8" t="s">
        <v>272</v>
      </c>
      <c r="B503" s="3" t="s">
        <v>512</v>
      </c>
      <c r="C503" s="3" t="s">
        <v>4</v>
      </c>
      <c r="D503" s="3" t="s">
        <v>513</v>
      </c>
      <c r="E503" s="3" t="s">
        <v>343</v>
      </c>
      <c r="F503" s="3" t="s">
        <v>544</v>
      </c>
      <c r="G503" s="6">
        <v>2</v>
      </c>
      <c r="H503" s="6">
        <v>58</v>
      </c>
      <c r="I503" s="6">
        <v>116</v>
      </c>
      <c r="J503" s="6">
        <v>18442.5</v>
      </c>
    </row>
    <row r="504" spans="1:10" outlineLevel="1" x14ac:dyDescent="0.25">
      <c r="A504" s="8" t="s">
        <v>272</v>
      </c>
      <c r="B504" s="3" t="s">
        <v>512</v>
      </c>
      <c r="C504" s="3" t="s">
        <v>4</v>
      </c>
      <c r="D504" s="3" t="s">
        <v>513</v>
      </c>
      <c r="E504" s="3" t="s">
        <v>426</v>
      </c>
      <c r="F504" s="3" t="s">
        <v>427</v>
      </c>
      <c r="G504" s="6">
        <v>3</v>
      </c>
      <c r="H504" s="6">
        <v>15</v>
      </c>
      <c r="I504" s="6">
        <v>45</v>
      </c>
      <c r="J504" s="6">
        <v>18487.5</v>
      </c>
    </row>
    <row r="505" spans="1:10" outlineLevel="1" x14ac:dyDescent="0.25">
      <c r="A505" s="8" t="s">
        <v>272</v>
      </c>
      <c r="B505" s="3" t="s">
        <v>512</v>
      </c>
      <c r="C505" s="3" t="s">
        <v>4</v>
      </c>
      <c r="D505" s="3" t="s">
        <v>513</v>
      </c>
      <c r="E505" s="3" t="s">
        <v>440</v>
      </c>
      <c r="F505" s="3" t="s">
        <v>545</v>
      </c>
      <c r="G505" s="6">
        <v>10</v>
      </c>
      <c r="H505" s="6">
        <v>9</v>
      </c>
      <c r="I505" s="6">
        <v>90</v>
      </c>
      <c r="J505" s="6">
        <v>18577.5</v>
      </c>
    </row>
    <row r="506" spans="1:10" outlineLevel="1" x14ac:dyDescent="0.25">
      <c r="A506" s="8" t="s">
        <v>272</v>
      </c>
      <c r="B506" s="3" t="s">
        <v>512</v>
      </c>
      <c r="C506" s="3" t="s">
        <v>4</v>
      </c>
      <c r="D506" s="3" t="s">
        <v>513</v>
      </c>
      <c r="E506" s="3" t="s">
        <v>370</v>
      </c>
      <c r="F506" s="3" t="s">
        <v>428</v>
      </c>
      <c r="G506" s="6">
        <v>20</v>
      </c>
      <c r="H506" s="6">
        <v>8</v>
      </c>
      <c r="I506" s="6">
        <v>160</v>
      </c>
      <c r="J506" s="6">
        <v>18737.5</v>
      </c>
    </row>
    <row r="507" spans="1:10" outlineLevel="1" x14ac:dyDescent="0.25">
      <c r="A507" s="8" t="s">
        <v>272</v>
      </c>
      <c r="B507" s="3" t="s">
        <v>512</v>
      </c>
      <c r="C507" s="3" t="s">
        <v>4</v>
      </c>
      <c r="D507" s="3" t="s">
        <v>513</v>
      </c>
      <c r="E507" s="3" t="s">
        <v>498</v>
      </c>
      <c r="F507" s="3" t="s">
        <v>546</v>
      </c>
      <c r="G507" s="6">
        <v>3</v>
      </c>
      <c r="H507" s="6">
        <v>13</v>
      </c>
      <c r="I507" s="6">
        <v>39</v>
      </c>
      <c r="J507" s="6">
        <v>18776.5</v>
      </c>
    </row>
    <row r="508" spans="1:10" outlineLevel="1" x14ac:dyDescent="0.25">
      <c r="A508" s="8" t="s">
        <v>272</v>
      </c>
      <c r="B508" s="3" t="s">
        <v>512</v>
      </c>
      <c r="C508" s="3" t="s">
        <v>4</v>
      </c>
      <c r="D508" s="3" t="s">
        <v>513</v>
      </c>
      <c r="E508" s="3" t="s">
        <v>500</v>
      </c>
      <c r="F508" s="3" t="s">
        <v>547</v>
      </c>
      <c r="G508" s="6">
        <v>3</v>
      </c>
      <c r="H508" s="6">
        <v>13</v>
      </c>
      <c r="I508" s="6">
        <v>39</v>
      </c>
      <c r="J508" s="6">
        <v>18815.5</v>
      </c>
    </row>
    <row r="509" spans="1:10" outlineLevel="1" x14ac:dyDescent="0.25">
      <c r="A509" s="8" t="s">
        <v>272</v>
      </c>
      <c r="B509" s="3" t="s">
        <v>512</v>
      </c>
      <c r="C509" s="3" t="s">
        <v>4</v>
      </c>
      <c r="D509" s="3" t="s">
        <v>513</v>
      </c>
      <c r="E509" s="3" t="s">
        <v>502</v>
      </c>
      <c r="F509" s="3" t="s">
        <v>548</v>
      </c>
      <c r="G509" s="6">
        <v>3</v>
      </c>
      <c r="H509" s="6">
        <v>22</v>
      </c>
      <c r="I509" s="6">
        <v>66</v>
      </c>
      <c r="J509" s="6">
        <v>18881.5</v>
      </c>
    </row>
    <row r="510" spans="1:10" outlineLevel="1" x14ac:dyDescent="0.25">
      <c r="A510" s="8" t="s">
        <v>272</v>
      </c>
      <c r="B510" s="3" t="s">
        <v>512</v>
      </c>
      <c r="C510" s="3" t="s">
        <v>4</v>
      </c>
      <c r="D510" s="3" t="s">
        <v>513</v>
      </c>
      <c r="E510" s="3" t="s">
        <v>504</v>
      </c>
      <c r="F510" s="3" t="s">
        <v>549</v>
      </c>
      <c r="G510" s="6">
        <v>3</v>
      </c>
      <c r="H510" s="6">
        <v>22</v>
      </c>
      <c r="I510" s="6">
        <v>66</v>
      </c>
      <c r="J510" s="6">
        <v>18947.5</v>
      </c>
    </row>
    <row r="511" spans="1:10" outlineLevel="1" x14ac:dyDescent="0.25">
      <c r="A511" s="8" t="s">
        <v>272</v>
      </c>
      <c r="B511" s="3" t="s">
        <v>512</v>
      </c>
      <c r="C511" s="3" t="s">
        <v>4</v>
      </c>
      <c r="D511" s="3" t="s">
        <v>513</v>
      </c>
      <c r="E511" s="3" t="s">
        <v>506</v>
      </c>
      <c r="F511" s="3" t="s">
        <v>550</v>
      </c>
      <c r="G511" s="6">
        <v>3</v>
      </c>
      <c r="H511" s="6">
        <v>22</v>
      </c>
      <c r="I511" s="6">
        <v>66</v>
      </c>
      <c r="J511" s="6">
        <v>19013.5</v>
      </c>
    </row>
    <row r="512" spans="1:10" outlineLevel="1" x14ac:dyDescent="0.25">
      <c r="A512" s="8" t="s">
        <v>272</v>
      </c>
      <c r="B512" s="3" t="s">
        <v>512</v>
      </c>
      <c r="C512" s="3" t="s">
        <v>4</v>
      </c>
      <c r="D512" s="3" t="s">
        <v>513</v>
      </c>
      <c r="E512" s="3" t="s">
        <v>551</v>
      </c>
      <c r="F512" s="3" t="s">
        <v>552</v>
      </c>
      <c r="G512" s="6">
        <v>2</v>
      </c>
      <c r="H512" s="6">
        <v>22</v>
      </c>
      <c r="I512" s="6">
        <v>44</v>
      </c>
      <c r="J512" s="6">
        <v>19057.5</v>
      </c>
    </row>
    <row r="513" spans="1:10" outlineLevel="1" x14ac:dyDescent="0.25">
      <c r="A513" s="8" t="s">
        <v>272</v>
      </c>
      <c r="B513" s="3" t="s">
        <v>512</v>
      </c>
      <c r="C513" s="3" t="s">
        <v>4</v>
      </c>
      <c r="D513" s="3" t="s">
        <v>513</v>
      </c>
      <c r="E513" s="3" t="s">
        <v>553</v>
      </c>
      <c r="F513" s="3" t="s">
        <v>554</v>
      </c>
      <c r="G513" s="6">
        <v>1</v>
      </c>
      <c r="H513" s="6">
        <v>22</v>
      </c>
      <c r="I513" s="6">
        <v>22</v>
      </c>
      <c r="J513" s="6">
        <v>19079.5</v>
      </c>
    </row>
    <row r="514" spans="1:10" outlineLevel="1" x14ac:dyDescent="0.25">
      <c r="A514" s="8" t="s">
        <v>272</v>
      </c>
      <c r="B514" s="3" t="s">
        <v>512</v>
      </c>
      <c r="C514" s="3" t="s">
        <v>4</v>
      </c>
      <c r="D514" s="3" t="s">
        <v>513</v>
      </c>
      <c r="E514" s="3" t="s">
        <v>555</v>
      </c>
      <c r="F514" s="3" t="s">
        <v>556</v>
      </c>
      <c r="G514" s="6">
        <v>2</v>
      </c>
      <c r="H514" s="6">
        <v>22</v>
      </c>
      <c r="I514" s="6">
        <v>44</v>
      </c>
      <c r="J514" s="6">
        <v>19123.5</v>
      </c>
    </row>
    <row r="515" spans="1:10" outlineLevel="1" x14ac:dyDescent="0.25">
      <c r="A515" s="8" t="s">
        <v>272</v>
      </c>
      <c r="B515" s="3" t="s">
        <v>512</v>
      </c>
      <c r="C515" s="3" t="s">
        <v>4</v>
      </c>
      <c r="D515" s="3" t="s">
        <v>513</v>
      </c>
      <c r="E515" s="3" t="s">
        <v>557</v>
      </c>
      <c r="F515" s="3" t="s">
        <v>558</v>
      </c>
      <c r="G515" s="6">
        <v>1</v>
      </c>
      <c r="H515" s="6">
        <v>22</v>
      </c>
      <c r="I515" s="6">
        <v>22</v>
      </c>
      <c r="J515" s="6">
        <v>19145.5</v>
      </c>
    </row>
    <row r="516" spans="1:10" outlineLevel="1" x14ac:dyDescent="0.25">
      <c r="A516" s="8" t="s">
        <v>272</v>
      </c>
      <c r="B516" s="3" t="s">
        <v>512</v>
      </c>
      <c r="C516" s="3" t="s">
        <v>4</v>
      </c>
      <c r="D516" s="3" t="s">
        <v>513</v>
      </c>
      <c r="E516" s="3" t="s">
        <v>92</v>
      </c>
      <c r="F516" s="3" t="s">
        <v>93</v>
      </c>
      <c r="G516" s="6">
        <v>2</v>
      </c>
      <c r="H516" s="6">
        <v>17</v>
      </c>
      <c r="I516" s="6">
        <v>34</v>
      </c>
      <c r="J516" s="6">
        <v>19179.5</v>
      </c>
    </row>
    <row r="517" spans="1:10" outlineLevel="1" x14ac:dyDescent="0.25">
      <c r="A517" s="8" t="s">
        <v>272</v>
      </c>
      <c r="B517" s="3" t="s">
        <v>559</v>
      </c>
      <c r="C517" s="3" t="s">
        <v>4</v>
      </c>
      <c r="D517" s="3" t="s">
        <v>560</v>
      </c>
      <c r="E517" s="3" t="s">
        <v>561</v>
      </c>
      <c r="F517" s="3" t="s">
        <v>562</v>
      </c>
      <c r="G517" s="6">
        <v>5</v>
      </c>
      <c r="H517" s="6">
        <v>38</v>
      </c>
      <c r="I517" s="6">
        <v>190</v>
      </c>
      <c r="J517" s="6">
        <v>19369.5</v>
      </c>
    </row>
    <row r="518" spans="1:10" outlineLevel="1" x14ac:dyDescent="0.25">
      <c r="A518" s="8" t="s">
        <v>272</v>
      </c>
      <c r="B518" s="3" t="s">
        <v>563</v>
      </c>
      <c r="C518" s="3" t="s">
        <v>4</v>
      </c>
      <c r="D518" s="3" t="s">
        <v>564</v>
      </c>
      <c r="E518" s="3" t="s">
        <v>424</v>
      </c>
      <c r="F518" s="3" t="s">
        <v>425</v>
      </c>
      <c r="G518" s="6">
        <v>5</v>
      </c>
      <c r="H518" s="6">
        <v>15.5</v>
      </c>
      <c r="I518" s="6">
        <v>77.5</v>
      </c>
      <c r="J518" s="6">
        <v>19447</v>
      </c>
    </row>
    <row r="519" spans="1:10" outlineLevel="1" x14ac:dyDescent="0.25">
      <c r="A519" s="8" t="s">
        <v>272</v>
      </c>
      <c r="B519" s="3" t="s">
        <v>563</v>
      </c>
      <c r="C519" s="3" t="s">
        <v>4</v>
      </c>
      <c r="D519" s="3" t="s">
        <v>564</v>
      </c>
      <c r="E519" s="3" t="s">
        <v>80</v>
      </c>
      <c r="F519" s="3" t="s">
        <v>81</v>
      </c>
      <c r="G519" s="6">
        <v>5</v>
      </c>
      <c r="H519" s="6">
        <v>15</v>
      </c>
      <c r="I519" s="6">
        <v>75</v>
      </c>
      <c r="J519" s="6">
        <v>19522</v>
      </c>
    </row>
    <row r="520" spans="1:10" outlineLevel="1" x14ac:dyDescent="0.25">
      <c r="A520" s="8" t="s">
        <v>272</v>
      </c>
      <c r="B520" s="3" t="s">
        <v>563</v>
      </c>
      <c r="C520" s="3" t="s">
        <v>4</v>
      </c>
      <c r="D520" s="3" t="s">
        <v>564</v>
      </c>
      <c r="E520" s="3" t="s">
        <v>366</v>
      </c>
      <c r="F520" s="3" t="s">
        <v>514</v>
      </c>
      <c r="G520" s="6">
        <v>2</v>
      </c>
      <c r="H520" s="6">
        <v>37</v>
      </c>
      <c r="I520" s="6">
        <v>74</v>
      </c>
      <c r="J520" s="6">
        <v>19596</v>
      </c>
    </row>
    <row r="521" spans="1:10" outlineLevel="1" x14ac:dyDescent="0.25">
      <c r="A521" s="8" t="s">
        <v>272</v>
      </c>
      <c r="B521" s="3" t="s">
        <v>563</v>
      </c>
      <c r="C521" s="3" t="s">
        <v>4</v>
      </c>
      <c r="D521" s="3" t="s">
        <v>564</v>
      </c>
      <c r="E521" s="3" t="s">
        <v>86</v>
      </c>
      <c r="F521" s="3" t="s">
        <v>87</v>
      </c>
      <c r="G521" s="6">
        <v>4</v>
      </c>
      <c r="H521" s="6">
        <v>17</v>
      </c>
      <c r="I521" s="6">
        <v>68</v>
      </c>
      <c r="J521" s="6">
        <v>19664</v>
      </c>
    </row>
    <row r="522" spans="1:10" outlineLevel="1" x14ac:dyDescent="0.25">
      <c r="A522" s="8" t="s">
        <v>272</v>
      </c>
      <c r="B522" s="3" t="s">
        <v>563</v>
      </c>
      <c r="C522" s="3" t="s">
        <v>4</v>
      </c>
      <c r="D522" s="3" t="s">
        <v>564</v>
      </c>
      <c r="E522" s="3" t="s">
        <v>88</v>
      </c>
      <c r="F522" s="3" t="s">
        <v>89</v>
      </c>
      <c r="G522" s="6">
        <v>4</v>
      </c>
      <c r="H522" s="6">
        <v>17</v>
      </c>
      <c r="I522" s="6">
        <v>68</v>
      </c>
      <c r="J522" s="6">
        <v>19732</v>
      </c>
    </row>
    <row r="523" spans="1:10" outlineLevel="1" x14ac:dyDescent="0.25">
      <c r="A523" s="8" t="s">
        <v>272</v>
      </c>
      <c r="B523" s="3" t="s">
        <v>563</v>
      </c>
      <c r="C523" s="3" t="s">
        <v>4</v>
      </c>
      <c r="D523" s="3" t="s">
        <v>564</v>
      </c>
      <c r="E523" s="3" t="s">
        <v>473</v>
      </c>
      <c r="F523" s="3" t="s">
        <v>474</v>
      </c>
      <c r="G523" s="6">
        <v>3</v>
      </c>
      <c r="H523" s="6">
        <v>70.5</v>
      </c>
      <c r="I523" s="6">
        <v>211.5</v>
      </c>
      <c r="J523" s="6">
        <v>19943.5</v>
      </c>
    </row>
    <row r="524" spans="1:10" outlineLevel="1" x14ac:dyDescent="0.25">
      <c r="A524" s="8" t="s">
        <v>272</v>
      </c>
      <c r="B524" s="3" t="s">
        <v>563</v>
      </c>
      <c r="C524" s="3" t="s">
        <v>4</v>
      </c>
      <c r="D524" s="3" t="s">
        <v>564</v>
      </c>
      <c r="E524" s="3" t="s">
        <v>388</v>
      </c>
      <c r="F524" s="3" t="s">
        <v>389</v>
      </c>
      <c r="G524" s="6">
        <v>3</v>
      </c>
      <c r="H524" s="6">
        <v>59.5</v>
      </c>
      <c r="I524" s="6">
        <v>178.5</v>
      </c>
      <c r="J524" s="6">
        <v>20122</v>
      </c>
    </row>
    <row r="525" spans="1:10" outlineLevel="1" x14ac:dyDescent="0.25">
      <c r="A525" s="8" t="s">
        <v>272</v>
      </c>
      <c r="B525" s="3" t="s">
        <v>563</v>
      </c>
      <c r="C525" s="3" t="s">
        <v>4</v>
      </c>
      <c r="D525" s="3" t="s">
        <v>564</v>
      </c>
      <c r="E525" s="3" t="s">
        <v>390</v>
      </c>
      <c r="F525" s="3" t="s">
        <v>518</v>
      </c>
      <c r="G525" s="6">
        <v>20</v>
      </c>
      <c r="H525" s="6">
        <v>43</v>
      </c>
      <c r="I525" s="6">
        <v>860</v>
      </c>
      <c r="J525" s="6">
        <v>20982</v>
      </c>
    </row>
    <row r="526" spans="1:10" outlineLevel="1" x14ac:dyDescent="0.25">
      <c r="A526" s="8" t="s">
        <v>272</v>
      </c>
      <c r="B526" s="3" t="s">
        <v>563</v>
      </c>
      <c r="C526" s="3" t="s">
        <v>4</v>
      </c>
      <c r="D526" s="3" t="s">
        <v>564</v>
      </c>
      <c r="E526" s="3" t="s">
        <v>294</v>
      </c>
      <c r="F526" s="3" t="s">
        <v>295</v>
      </c>
      <c r="G526" s="6">
        <v>4</v>
      </c>
      <c r="H526" s="6">
        <v>36</v>
      </c>
      <c r="I526" s="6">
        <v>144</v>
      </c>
      <c r="J526" s="6">
        <v>21126</v>
      </c>
    </row>
    <row r="527" spans="1:10" outlineLevel="1" x14ac:dyDescent="0.25">
      <c r="A527" s="8" t="s">
        <v>272</v>
      </c>
      <c r="B527" s="3" t="s">
        <v>563</v>
      </c>
      <c r="C527" s="3" t="s">
        <v>4</v>
      </c>
      <c r="D527" s="3" t="s">
        <v>564</v>
      </c>
      <c r="E527" s="3" t="s">
        <v>416</v>
      </c>
      <c r="F527" s="3" t="s">
        <v>485</v>
      </c>
      <c r="G527" s="6">
        <v>3</v>
      </c>
      <c r="H527" s="6">
        <v>55</v>
      </c>
      <c r="I527" s="6">
        <v>165</v>
      </c>
      <c r="J527" s="6">
        <v>21291</v>
      </c>
    </row>
    <row r="528" spans="1:10" outlineLevel="1" x14ac:dyDescent="0.25">
      <c r="A528" s="8" t="s">
        <v>272</v>
      </c>
      <c r="B528" s="3" t="s">
        <v>563</v>
      </c>
      <c r="C528" s="3" t="s">
        <v>4</v>
      </c>
      <c r="D528" s="3" t="s">
        <v>564</v>
      </c>
      <c r="E528" s="3" t="s">
        <v>469</v>
      </c>
      <c r="F528" s="3" t="s">
        <v>470</v>
      </c>
      <c r="G528" s="6">
        <v>10</v>
      </c>
      <c r="H528" s="6">
        <v>36</v>
      </c>
      <c r="I528" s="6">
        <v>360</v>
      </c>
      <c r="J528" s="6">
        <v>21651</v>
      </c>
    </row>
    <row r="529" spans="1:10" outlineLevel="1" x14ac:dyDescent="0.25">
      <c r="A529" s="8" t="s">
        <v>272</v>
      </c>
      <c r="B529" s="3" t="s">
        <v>563</v>
      </c>
      <c r="C529" s="3" t="s">
        <v>4</v>
      </c>
      <c r="D529" s="3" t="s">
        <v>564</v>
      </c>
      <c r="E529" s="3" t="s">
        <v>132</v>
      </c>
      <c r="F529" s="3" t="s">
        <v>133</v>
      </c>
      <c r="G529" s="6">
        <v>5</v>
      </c>
      <c r="H529" s="6">
        <v>40</v>
      </c>
      <c r="I529" s="6">
        <v>200</v>
      </c>
      <c r="J529" s="6">
        <v>21851</v>
      </c>
    </row>
    <row r="530" spans="1:10" outlineLevel="1" x14ac:dyDescent="0.25">
      <c r="A530" s="8" t="s">
        <v>272</v>
      </c>
      <c r="B530" s="3" t="s">
        <v>563</v>
      </c>
      <c r="C530" s="3" t="s">
        <v>4</v>
      </c>
      <c r="D530" s="3" t="s">
        <v>564</v>
      </c>
      <c r="E530" s="3" t="s">
        <v>120</v>
      </c>
      <c r="F530" s="3" t="s">
        <v>121</v>
      </c>
      <c r="G530" s="6">
        <v>3</v>
      </c>
      <c r="H530" s="6">
        <v>18</v>
      </c>
      <c r="I530" s="6">
        <v>54</v>
      </c>
      <c r="J530" s="6">
        <v>21905</v>
      </c>
    </row>
    <row r="531" spans="1:10" outlineLevel="1" x14ac:dyDescent="0.25">
      <c r="A531" s="8" t="s">
        <v>272</v>
      </c>
      <c r="B531" s="3" t="s">
        <v>563</v>
      </c>
      <c r="C531" s="3" t="s">
        <v>4</v>
      </c>
      <c r="D531" s="3" t="s">
        <v>564</v>
      </c>
      <c r="E531" s="3" t="s">
        <v>442</v>
      </c>
      <c r="F531" s="3" t="s">
        <v>565</v>
      </c>
      <c r="G531" s="6">
        <v>12</v>
      </c>
      <c r="H531" s="6">
        <v>9</v>
      </c>
      <c r="I531" s="6">
        <v>108</v>
      </c>
      <c r="J531" s="6">
        <v>22013</v>
      </c>
    </row>
    <row r="532" spans="1:10" outlineLevel="1" x14ac:dyDescent="0.25">
      <c r="A532" s="8" t="s">
        <v>272</v>
      </c>
      <c r="B532" s="3" t="s">
        <v>563</v>
      </c>
      <c r="C532" s="3" t="s">
        <v>4</v>
      </c>
      <c r="D532" s="3" t="s">
        <v>564</v>
      </c>
      <c r="E532" s="3" t="s">
        <v>551</v>
      </c>
      <c r="F532" s="3" t="s">
        <v>566</v>
      </c>
      <c r="G532" s="6">
        <v>2</v>
      </c>
      <c r="H532" s="6">
        <v>22</v>
      </c>
      <c r="I532" s="6">
        <v>44</v>
      </c>
      <c r="J532" s="6">
        <v>22057</v>
      </c>
    </row>
    <row r="533" spans="1:10" outlineLevel="1" x14ac:dyDescent="0.25">
      <c r="A533" s="8" t="s">
        <v>272</v>
      </c>
      <c r="B533" s="3" t="s">
        <v>563</v>
      </c>
      <c r="C533" s="3" t="s">
        <v>4</v>
      </c>
      <c r="D533" s="3" t="s">
        <v>564</v>
      </c>
      <c r="E533" s="3" t="s">
        <v>331</v>
      </c>
      <c r="F533" s="3" t="s">
        <v>462</v>
      </c>
      <c r="G533" s="6">
        <v>5</v>
      </c>
      <c r="H533" s="6">
        <v>39</v>
      </c>
      <c r="I533" s="6">
        <v>195</v>
      </c>
      <c r="J533" s="6">
        <v>22252</v>
      </c>
    </row>
    <row r="534" spans="1:10" outlineLevel="1" x14ac:dyDescent="0.25">
      <c r="A534" s="8" t="s">
        <v>272</v>
      </c>
      <c r="B534" s="3" t="s">
        <v>563</v>
      </c>
      <c r="C534" s="3" t="s">
        <v>4</v>
      </c>
      <c r="D534" s="3" t="s">
        <v>564</v>
      </c>
      <c r="E534" s="3" t="s">
        <v>465</v>
      </c>
      <c r="F534" s="3" t="s">
        <v>466</v>
      </c>
      <c r="G534" s="6">
        <v>5</v>
      </c>
      <c r="H534" s="6">
        <v>39</v>
      </c>
      <c r="I534" s="6">
        <v>195</v>
      </c>
      <c r="J534" s="6">
        <v>22447</v>
      </c>
    </row>
    <row r="535" spans="1:10" outlineLevel="1" x14ac:dyDescent="0.25">
      <c r="A535" s="8" t="s">
        <v>272</v>
      </c>
      <c r="B535" s="3" t="s">
        <v>563</v>
      </c>
      <c r="C535" s="3" t="s">
        <v>4</v>
      </c>
      <c r="D535" s="3" t="s">
        <v>564</v>
      </c>
      <c r="E535" s="3" t="s">
        <v>48</v>
      </c>
      <c r="F535" s="3" t="s">
        <v>49</v>
      </c>
      <c r="G535" s="6">
        <v>3</v>
      </c>
      <c r="H535" s="6">
        <v>35</v>
      </c>
      <c r="I535" s="6">
        <v>105</v>
      </c>
      <c r="J535" s="6">
        <v>22552</v>
      </c>
    </row>
    <row r="536" spans="1:10" outlineLevel="1" x14ac:dyDescent="0.25">
      <c r="A536" s="8" t="s">
        <v>272</v>
      </c>
      <c r="B536" s="3" t="s">
        <v>563</v>
      </c>
      <c r="C536" s="3" t="s">
        <v>4</v>
      </c>
      <c r="D536" s="3" t="s">
        <v>564</v>
      </c>
      <c r="E536" s="3" t="s">
        <v>50</v>
      </c>
      <c r="F536" s="3" t="s">
        <v>51</v>
      </c>
      <c r="G536" s="6">
        <v>3</v>
      </c>
      <c r="H536" s="6">
        <v>35</v>
      </c>
      <c r="I536" s="6">
        <v>105</v>
      </c>
      <c r="J536" s="6">
        <v>22657</v>
      </c>
    </row>
    <row r="537" spans="1:10" outlineLevel="1" x14ac:dyDescent="0.25">
      <c r="A537" s="8" t="s">
        <v>272</v>
      </c>
      <c r="B537" s="3" t="s">
        <v>563</v>
      </c>
      <c r="C537" s="3" t="s">
        <v>4</v>
      </c>
      <c r="D537" s="3" t="s">
        <v>564</v>
      </c>
      <c r="E537" s="3" t="s">
        <v>46</v>
      </c>
      <c r="F537" s="3" t="s">
        <v>47</v>
      </c>
      <c r="G537" s="6">
        <v>3</v>
      </c>
      <c r="H537" s="6">
        <v>35</v>
      </c>
      <c r="I537" s="6">
        <v>105</v>
      </c>
      <c r="J537" s="6">
        <v>22762</v>
      </c>
    </row>
    <row r="538" spans="1:10" outlineLevel="1" x14ac:dyDescent="0.25">
      <c r="A538" s="8" t="s">
        <v>272</v>
      </c>
      <c r="B538" s="3" t="s">
        <v>563</v>
      </c>
      <c r="C538" s="3" t="s">
        <v>4</v>
      </c>
      <c r="D538" s="3" t="s">
        <v>564</v>
      </c>
      <c r="E538" s="3" t="s">
        <v>567</v>
      </c>
      <c r="F538" s="3" t="s">
        <v>568</v>
      </c>
      <c r="G538" s="6">
        <v>60</v>
      </c>
      <c r="H538" s="6">
        <v>5.5</v>
      </c>
      <c r="I538" s="6">
        <v>330</v>
      </c>
      <c r="J538" s="6">
        <v>23092</v>
      </c>
    </row>
    <row r="539" spans="1:10" outlineLevel="1" x14ac:dyDescent="0.25">
      <c r="A539" s="8" t="s">
        <v>272</v>
      </c>
      <c r="B539" s="3" t="s">
        <v>563</v>
      </c>
      <c r="C539" s="3" t="s">
        <v>4</v>
      </c>
      <c r="D539" s="3" t="s">
        <v>564</v>
      </c>
      <c r="E539" s="3" t="s">
        <v>567</v>
      </c>
      <c r="F539" s="3" t="s">
        <v>568</v>
      </c>
      <c r="G539" s="6">
        <v>12</v>
      </c>
      <c r="H539" s="6">
        <v>0</v>
      </c>
      <c r="I539" s="6">
        <v>0</v>
      </c>
      <c r="J539" s="6">
        <v>23092</v>
      </c>
    </row>
    <row r="540" spans="1:10" outlineLevel="1" x14ac:dyDescent="0.25">
      <c r="A540" s="8" t="s">
        <v>272</v>
      </c>
      <c r="B540" s="3" t="s">
        <v>563</v>
      </c>
      <c r="C540" s="3" t="s">
        <v>4</v>
      </c>
      <c r="D540" s="3" t="s">
        <v>564</v>
      </c>
      <c r="E540" s="3" t="s">
        <v>494</v>
      </c>
      <c r="F540" s="3" t="s">
        <v>517</v>
      </c>
      <c r="G540" s="6">
        <v>360</v>
      </c>
      <c r="H540" s="6">
        <v>5.5</v>
      </c>
      <c r="I540" s="6">
        <v>1980</v>
      </c>
      <c r="J540" s="6">
        <v>25072</v>
      </c>
    </row>
    <row r="541" spans="1:10" outlineLevel="1" x14ac:dyDescent="0.25">
      <c r="A541" s="8" t="s">
        <v>272</v>
      </c>
      <c r="B541" s="3" t="s">
        <v>563</v>
      </c>
      <c r="C541" s="3" t="s">
        <v>4</v>
      </c>
      <c r="D541" s="3" t="s">
        <v>564</v>
      </c>
      <c r="E541" s="3" t="s">
        <v>494</v>
      </c>
      <c r="F541" s="3" t="s">
        <v>517</v>
      </c>
      <c r="G541" s="6">
        <v>24</v>
      </c>
      <c r="H541" s="6">
        <v>0</v>
      </c>
      <c r="I541" s="6">
        <v>0</v>
      </c>
      <c r="J541" s="6">
        <v>25072</v>
      </c>
    </row>
    <row r="542" spans="1:10" outlineLevel="1" x14ac:dyDescent="0.25">
      <c r="A542" s="8" t="s">
        <v>272</v>
      </c>
      <c r="B542" s="3" t="s">
        <v>563</v>
      </c>
      <c r="C542" s="3" t="s">
        <v>4</v>
      </c>
      <c r="D542" s="3" t="s">
        <v>564</v>
      </c>
      <c r="E542" s="3" t="s">
        <v>569</v>
      </c>
      <c r="F542" s="3" t="s">
        <v>570</v>
      </c>
      <c r="G542" s="6">
        <v>1</v>
      </c>
      <c r="H542" s="6">
        <v>180</v>
      </c>
      <c r="I542" s="6">
        <v>180</v>
      </c>
      <c r="J542" s="6">
        <v>25252</v>
      </c>
    </row>
    <row r="543" spans="1:10" outlineLevel="1" x14ac:dyDescent="0.25">
      <c r="A543" s="8" t="s">
        <v>272</v>
      </c>
      <c r="B543" s="3" t="s">
        <v>563</v>
      </c>
      <c r="C543" s="3" t="s">
        <v>4</v>
      </c>
      <c r="D543" s="3" t="s">
        <v>564</v>
      </c>
      <c r="E543" s="3" t="s">
        <v>380</v>
      </c>
      <c r="F543" s="3" t="s">
        <v>571</v>
      </c>
      <c r="G543" s="6">
        <v>2</v>
      </c>
      <c r="H543" s="6">
        <v>61</v>
      </c>
      <c r="I543" s="6">
        <v>122</v>
      </c>
      <c r="J543" s="6">
        <v>25374</v>
      </c>
    </row>
    <row r="544" spans="1:10" outlineLevel="1" x14ac:dyDescent="0.25">
      <c r="A544" s="8" t="s">
        <v>272</v>
      </c>
      <c r="B544" s="3" t="s">
        <v>572</v>
      </c>
      <c r="C544" s="3" t="s">
        <v>4</v>
      </c>
      <c r="D544" s="3" t="s">
        <v>573</v>
      </c>
      <c r="E544" s="3" t="s">
        <v>48</v>
      </c>
      <c r="F544" s="3" t="s">
        <v>49</v>
      </c>
      <c r="G544" s="6">
        <v>2</v>
      </c>
      <c r="H544" s="6">
        <v>35</v>
      </c>
      <c r="I544" s="6">
        <v>70</v>
      </c>
      <c r="J544" s="6">
        <v>25444</v>
      </c>
    </row>
    <row r="545" spans="1:10" outlineLevel="1" x14ac:dyDescent="0.25">
      <c r="A545" s="8" t="s">
        <v>272</v>
      </c>
      <c r="B545" s="3" t="s">
        <v>572</v>
      </c>
      <c r="C545" s="3" t="s">
        <v>4</v>
      </c>
      <c r="D545" s="3" t="s">
        <v>573</v>
      </c>
      <c r="E545" s="3" t="s">
        <v>44</v>
      </c>
      <c r="F545" s="3" t="s">
        <v>45</v>
      </c>
      <c r="G545" s="6">
        <v>12</v>
      </c>
      <c r="H545" s="6">
        <v>35</v>
      </c>
      <c r="I545" s="6">
        <v>420</v>
      </c>
      <c r="J545" s="6">
        <v>25864</v>
      </c>
    </row>
    <row r="546" spans="1:10" outlineLevel="1" x14ac:dyDescent="0.25">
      <c r="A546" s="8" t="s">
        <v>272</v>
      </c>
      <c r="B546" s="3" t="s">
        <v>572</v>
      </c>
      <c r="C546" s="3" t="s">
        <v>4</v>
      </c>
      <c r="D546" s="3" t="s">
        <v>573</v>
      </c>
      <c r="E546" s="3" t="s">
        <v>50</v>
      </c>
      <c r="F546" s="3" t="s">
        <v>51</v>
      </c>
      <c r="G546" s="6">
        <v>10</v>
      </c>
      <c r="H546" s="6">
        <v>35</v>
      </c>
      <c r="I546" s="6">
        <v>350</v>
      </c>
      <c r="J546" s="6">
        <v>26214</v>
      </c>
    </row>
    <row r="547" spans="1:10" outlineLevel="1" x14ac:dyDescent="0.25">
      <c r="A547" s="8" t="s">
        <v>272</v>
      </c>
      <c r="B547" s="3" t="s">
        <v>572</v>
      </c>
      <c r="C547" s="3" t="s">
        <v>4</v>
      </c>
      <c r="D547" s="3" t="s">
        <v>573</v>
      </c>
      <c r="E547" s="3" t="s">
        <v>46</v>
      </c>
      <c r="F547" s="3" t="s">
        <v>47</v>
      </c>
      <c r="G547" s="6">
        <v>10</v>
      </c>
      <c r="H547" s="6">
        <v>35</v>
      </c>
      <c r="I547" s="6">
        <v>350</v>
      </c>
      <c r="J547" s="6">
        <v>26564</v>
      </c>
    </row>
    <row r="548" spans="1:10" outlineLevel="1" x14ac:dyDescent="0.25">
      <c r="A548" s="8" t="s">
        <v>272</v>
      </c>
      <c r="B548" s="3" t="s">
        <v>572</v>
      </c>
      <c r="C548" s="3" t="s">
        <v>4</v>
      </c>
      <c r="D548" s="3" t="s">
        <v>573</v>
      </c>
      <c r="E548" s="3" t="s">
        <v>424</v>
      </c>
      <c r="F548" s="3" t="s">
        <v>425</v>
      </c>
      <c r="G548" s="6">
        <v>10</v>
      </c>
      <c r="H548" s="6">
        <v>15.5</v>
      </c>
      <c r="I548" s="6">
        <v>155</v>
      </c>
      <c r="J548" s="6">
        <v>26719</v>
      </c>
    </row>
    <row r="549" spans="1:10" outlineLevel="1" x14ac:dyDescent="0.25">
      <c r="A549" s="8" t="s">
        <v>272</v>
      </c>
      <c r="B549" s="3" t="s">
        <v>572</v>
      </c>
      <c r="C549" s="3" t="s">
        <v>4</v>
      </c>
      <c r="D549" s="3" t="s">
        <v>573</v>
      </c>
      <c r="E549" s="3" t="s">
        <v>82</v>
      </c>
      <c r="F549" s="3" t="s">
        <v>197</v>
      </c>
      <c r="G549" s="6">
        <v>2</v>
      </c>
      <c r="H549" s="6">
        <v>78</v>
      </c>
      <c r="I549" s="6">
        <v>156</v>
      </c>
      <c r="J549" s="6">
        <v>26875</v>
      </c>
    </row>
    <row r="550" spans="1:10" outlineLevel="1" x14ac:dyDescent="0.25">
      <c r="A550" s="8" t="s">
        <v>272</v>
      </c>
      <c r="B550" s="3" t="s">
        <v>572</v>
      </c>
      <c r="C550" s="3" t="s">
        <v>4</v>
      </c>
      <c r="D550" s="3" t="s">
        <v>573</v>
      </c>
      <c r="E550" s="3" t="s">
        <v>80</v>
      </c>
      <c r="F550" s="3" t="s">
        <v>81</v>
      </c>
      <c r="G550" s="6">
        <v>15</v>
      </c>
      <c r="H550" s="6">
        <v>15</v>
      </c>
      <c r="I550" s="6">
        <v>225</v>
      </c>
      <c r="J550" s="6">
        <v>27100</v>
      </c>
    </row>
    <row r="551" spans="1:10" outlineLevel="1" x14ac:dyDescent="0.25">
      <c r="A551" s="8" t="s">
        <v>272</v>
      </c>
      <c r="B551" s="3" t="s">
        <v>572</v>
      </c>
      <c r="C551" s="3" t="s">
        <v>4</v>
      </c>
      <c r="D551" s="3" t="s">
        <v>573</v>
      </c>
      <c r="E551" s="3" t="s">
        <v>574</v>
      </c>
      <c r="F551" s="3" t="s">
        <v>575</v>
      </c>
      <c r="G551" s="6">
        <v>2</v>
      </c>
      <c r="H551" s="6">
        <v>21.5</v>
      </c>
      <c r="I551" s="6">
        <v>43</v>
      </c>
      <c r="J551" s="6">
        <v>27143</v>
      </c>
    </row>
    <row r="552" spans="1:10" outlineLevel="1" x14ac:dyDescent="0.25">
      <c r="A552" s="8" t="s">
        <v>272</v>
      </c>
      <c r="B552" s="3" t="s">
        <v>572</v>
      </c>
      <c r="C552" s="3" t="s">
        <v>4</v>
      </c>
      <c r="D552" s="3" t="s">
        <v>573</v>
      </c>
      <c r="E552" s="3" t="s">
        <v>576</v>
      </c>
      <c r="F552" s="3" t="s">
        <v>577</v>
      </c>
      <c r="G552" s="6">
        <v>2</v>
      </c>
      <c r="H552" s="6">
        <v>21.5</v>
      </c>
      <c r="I552" s="6">
        <v>43</v>
      </c>
      <c r="J552" s="6">
        <v>27186</v>
      </c>
    </row>
    <row r="553" spans="1:10" outlineLevel="1" x14ac:dyDescent="0.25">
      <c r="A553" s="8" t="s">
        <v>272</v>
      </c>
      <c r="B553" s="3" t="s">
        <v>572</v>
      </c>
      <c r="C553" s="3" t="s">
        <v>4</v>
      </c>
      <c r="D553" s="3" t="s">
        <v>573</v>
      </c>
      <c r="E553" s="3" t="s">
        <v>578</v>
      </c>
      <c r="F553" s="3" t="s">
        <v>579</v>
      </c>
      <c r="G553" s="6">
        <v>2</v>
      </c>
      <c r="H553" s="6">
        <v>21.5</v>
      </c>
      <c r="I553" s="6">
        <v>43</v>
      </c>
      <c r="J553" s="6">
        <v>27229</v>
      </c>
    </row>
    <row r="554" spans="1:10" outlineLevel="1" x14ac:dyDescent="0.25">
      <c r="A554" s="8" t="s">
        <v>272</v>
      </c>
      <c r="B554" s="3" t="s">
        <v>572</v>
      </c>
      <c r="C554" s="3" t="s">
        <v>4</v>
      </c>
      <c r="D554" s="3" t="s">
        <v>573</v>
      </c>
      <c r="E554" s="3" t="s">
        <v>580</v>
      </c>
      <c r="F554" s="3" t="s">
        <v>581</v>
      </c>
      <c r="G554" s="6">
        <v>1</v>
      </c>
      <c r="H554" s="6">
        <v>26.5</v>
      </c>
      <c r="I554" s="6">
        <v>26.5</v>
      </c>
      <c r="J554" s="6">
        <v>27255.5</v>
      </c>
    </row>
    <row r="555" spans="1:10" outlineLevel="1" x14ac:dyDescent="0.25">
      <c r="A555" s="8" t="s">
        <v>272</v>
      </c>
      <c r="B555" s="3" t="s">
        <v>572</v>
      </c>
      <c r="C555" s="3" t="s">
        <v>4</v>
      </c>
      <c r="D555" s="3" t="s">
        <v>573</v>
      </c>
      <c r="E555" s="3" t="s">
        <v>582</v>
      </c>
      <c r="F555" s="3" t="s">
        <v>583</v>
      </c>
      <c r="G555" s="6">
        <v>2</v>
      </c>
      <c r="H555" s="6">
        <v>21.5</v>
      </c>
      <c r="I555" s="6">
        <v>43</v>
      </c>
      <c r="J555" s="6">
        <v>27298.5</v>
      </c>
    </row>
    <row r="556" spans="1:10" outlineLevel="1" x14ac:dyDescent="0.25">
      <c r="A556" s="8" t="s">
        <v>272</v>
      </c>
      <c r="B556" s="3" t="s">
        <v>572</v>
      </c>
      <c r="C556" s="3" t="s">
        <v>4</v>
      </c>
      <c r="D556" s="3" t="s">
        <v>573</v>
      </c>
      <c r="E556" s="3" t="s">
        <v>584</v>
      </c>
      <c r="F556" s="3" t="s">
        <v>585</v>
      </c>
      <c r="G556" s="6">
        <v>2</v>
      </c>
      <c r="H556" s="6">
        <v>21.5</v>
      </c>
      <c r="I556" s="6">
        <v>43</v>
      </c>
      <c r="J556" s="6">
        <v>27341.5</v>
      </c>
    </row>
    <row r="557" spans="1:10" outlineLevel="1" x14ac:dyDescent="0.25">
      <c r="A557" s="8" t="s">
        <v>272</v>
      </c>
      <c r="B557" s="3" t="s">
        <v>572</v>
      </c>
      <c r="C557" s="3" t="s">
        <v>4</v>
      </c>
      <c r="D557" s="3" t="s">
        <v>573</v>
      </c>
      <c r="E557" s="3" t="s">
        <v>366</v>
      </c>
      <c r="F557" s="3" t="s">
        <v>514</v>
      </c>
      <c r="G557" s="6">
        <v>10</v>
      </c>
      <c r="H557" s="6">
        <v>37</v>
      </c>
      <c r="I557" s="6">
        <v>370</v>
      </c>
      <c r="J557" s="6">
        <v>27711.5</v>
      </c>
    </row>
    <row r="558" spans="1:10" outlineLevel="1" x14ac:dyDescent="0.25">
      <c r="A558" s="8" t="s">
        <v>272</v>
      </c>
      <c r="B558" s="3" t="s">
        <v>572</v>
      </c>
      <c r="C558" s="3" t="s">
        <v>4</v>
      </c>
      <c r="D558" s="3" t="s">
        <v>573</v>
      </c>
      <c r="E558" s="3" t="s">
        <v>496</v>
      </c>
      <c r="F558" s="3" t="s">
        <v>515</v>
      </c>
      <c r="G558" s="6">
        <v>15</v>
      </c>
      <c r="H558" s="6">
        <v>22</v>
      </c>
      <c r="I558" s="6">
        <v>330</v>
      </c>
      <c r="J558" s="6">
        <v>28041.5</v>
      </c>
    </row>
    <row r="559" spans="1:10" outlineLevel="1" x14ac:dyDescent="0.25">
      <c r="A559" s="8" t="s">
        <v>272</v>
      </c>
      <c r="B559" s="3" t="s">
        <v>572</v>
      </c>
      <c r="C559" s="3" t="s">
        <v>4</v>
      </c>
      <c r="D559" s="3" t="s">
        <v>573</v>
      </c>
      <c r="E559" s="3" t="s">
        <v>368</v>
      </c>
      <c r="F559" s="3" t="s">
        <v>586</v>
      </c>
      <c r="G559" s="6">
        <v>8</v>
      </c>
      <c r="H559" s="6">
        <v>41</v>
      </c>
      <c r="I559" s="6">
        <v>328</v>
      </c>
      <c r="J559" s="6">
        <v>28369.5</v>
      </c>
    </row>
    <row r="560" spans="1:10" outlineLevel="1" x14ac:dyDescent="0.25">
      <c r="A560" s="8" t="s">
        <v>272</v>
      </c>
      <c r="B560" s="3" t="s">
        <v>572</v>
      </c>
      <c r="C560" s="3" t="s">
        <v>4</v>
      </c>
      <c r="D560" s="3" t="s">
        <v>573</v>
      </c>
      <c r="E560" s="3" t="s">
        <v>587</v>
      </c>
      <c r="F560" s="3" t="s">
        <v>588</v>
      </c>
      <c r="G560" s="6">
        <v>4</v>
      </c>
      <c r="H560" s="6">
        <v>11.25</v>
      </c>
      <c r="I560" s="6">
        <v>45</v>
      </c>
      <c r="J560" s="6">
        <v>28414.5</v>
      </c>
    </row>
    <row r="561" spans="1:10" outlineLevel="1" x14ac:dyDescent="0.25">
      <c r="A561" s="8" t="s">
        <v>272</v>
      </c>
      <c r="B561" s="3" t="s">
        <v>572</v>
      </c>
      <c r="C561" s="3" t="s">
        <v>4</v>
      </c>
      <c r="D561" s="3" t="s">
        <v>573</v>
      </c>
      <c r="E561" s="3" t="s">
        <v>296</v>
      </c>
      <c r="F561" s="3" t="s">
        <v>453</v>
      </c>
      <c r="G561" s="6">
        <v>2</v>
      </c>
      <c r="H561" s="6">
        <v>21</v>
      </c>
      <c r="I561" s="6">
        <v>42</v>
      </c>
      <c r="J561" s="6">
        <v>28456.5</v>
      </c>
    </row>
    <row r="562" spans="1:10" outlineLevel="1" x14ac:dyDescent="0.25">
      <c r="A562" s="8" t="s">
        <v>272</v>
      </c>
      <c r="B562" s="3" t="s">
        <v>572</v>
      </c>
      <c r="C562" s="3" t="s">
        <v>4</v>
      </c>
      <c r="D562" s="3" t="s">
        <v>573</v>
      </c>
      <c r="E562" s="3" t="s">
        <v>298</v>
      </c>
      <c r="F562" s="3" t="s">
        <v>454</v>
      </c>
      <c r="G562" s="6">
        <v>5</v>
      </c>
      <c r="H562" s="6">
        <v>19</v>
      </c>
      <c r="I562" s="6">
        <v>95</v>
      </c>
      <c r="J562" s="6">
        <v>28551.5</v>
      </c>
    </row>
    <row r="563" spans="1:10" outlineLevel="1" x14ac:dyDescent="0.25">
      <c r="A563" s="8" t="s">
        <v>272</v>
      </c>
      <c r="B563" s="3" t="s">
        <v>572</v>
      </c>
      <c r="C563" s="3" t="s">
        <v>4</v>
      </c>
      <c r="D563" s="3" t="s">
        <v>573</v>
      </c>
      <c r="E563" s="3" t="s">
        <v>569</v>
      </c>
      <c r="F563" s="3" t="s">
        <v>570</v>
      </c>
      <c r="G563" s="6">
        <v>5</v>
      </c>
      <c r="H563" s="6">
        <v>40</v>
      </c>
      <c r="I563" s="6">
        <v>200</v>
      </c>
      <c r="J563" s="6">
        <v>28751.5</v>
      </c>
    </row>
    <row r="564" spans="1:10" outlineLevel="1" x14ac:dyDescent="0.25">
      <c r="A564" s="8" t="s">
        <v>272</v>
      </c>
      <c r="B564" s="3" t="s">
        <v>572</v>
      </c>
      <c r="C564" s="3" t="s">
        <v>4</v>
      </c>
      <c r="D564" s="3" t="s">
        <v>573</v>
      </c>
      <c r="E564" s="3" t="s">
        <v>132</v>
      </c>
      <c r="F564" s="3" t="s">
        <v>133</v>
      </c>
      <c r="G564" s="6">
        <v>4</v>
      </c>
      <c r="H564" s="6">
        <v>40</v>
      </c>
      <c r="I564" s="6">
        <v>160</v>
      </c>
      <c r="J564" s="6">
        <v>28911.5</v>
      </c>
    </row>
    <row r="565" spans="1:10" outlineLevel="1" x14ac:dyDescent="0.25">
      <c r="A565" s="8" t="s">
        <v>272</v>
      </c>
      <c r="B565" s="3" t="s">
        <v>572</v>
      </c>
      <c r="C565" s="3" t="s">
        <v>4</v>
      </c>
      <c r="D565" s="3" t="s">
        <v>573</v>
      </c>
      <c r="E565" s="3" t="s">
        <v>130</v>
      </c>
      <c r="F565" s="3" t="s">
        <v>131</v>
      </c>
      <c r="G565" s="6">
        <v>2</v>
      </c>
      <c r="H565" s="6">
        <v>22</v>
      </c>
      <c r="I565" s="6">
        <v>44</v>
      </c>
      <c r="J565" s="6">
        <v>28955.5</v>
      </c>
    </row>
    <row r="566" spans="1:10" outlineLevel="1" x14ac:dyDescent="0.25">
      <c r="A566" s="8" t="s">
        <v>272</v>
      </c>
      <c r="B566" s="3" t="s">
        <v>572</v>
      </c>
      <c r="C566" s="3" t="s">
        <v>4</v>
      </c>
      <c r="D566" s="3" t="s">
        <v>573</v>
      </c>
      <c r="E566" s="3" t="s">
        <v>331</v>
      </c>
      <c r="F566" s="3" t="s">
        <v>462</v>
      </c>
      <c r="G566" s="6">
        <v>10</v>
      </c>
      <c r="H566" s="6">
        <v>35</v>
      </c>
      <c r="I566" s="6">
        <v>350</v>
      </c>
      <c r="J566" s="6">
        <v>29305.5</v>
      </c>
    </row>
    <row r="567" spans="1:10" outlineLevel="1" x14ac:dyDescent="0.25">
      <c r="A567" s="8" t="s">
        <v>272</v>
      </c>
      <c r="B567" s="3" t="s">
        <v>572</v>
      </c>
      <c r="C567" s="3" t="s">
        <v>4</v>
      </c>
      <c r="D567" s="3" t="s">
        <v>573</v>
      </c>
      <c r="E567" s="3" t="s">
        <v>465</v>
      </c>
      <c r="F567" s="3" t="s">
        <v>466</v>
      </c>
      <c r="G567" s="6">
        <v>8</v>
      </c>
      <c r="H567" s="6">
        <v>35</v>
      </c>
      <c r="I567" s="6">
        <v>280</v>
      </c>
      <c r="J567" s="6">
        <v>29585.5</v>
      </c>
    </row>
    <row r="568" spans="1:10" outlineLevel="1" x14ac:dyDescent="0.25">
      <c r="A568" s="8" t="s">
        <v>272</v>
      </c>
      <c r="B568" s="3" t="s">
        <v>572</v>
      </c>
      <c r="C568" s="3" t="s">
        <v>4</v>
      </c>
      <c r="D568" s="3" t="s">
        <v>573</v>
      </c>
      <c r="E568" s="3" t="s">
        <v>553</v>
      </c>
      <c r="F568" s="3" t="s">
        <v>589</v>
      </c>
      <c r="G568" s="6">
        <v>2</v>
      </c>
      <c r="H568" s="6">
        <v>22</v>
      </c>
      <c r="I568" s="6">
        <v>44</v>
      </c>
      <c r="J568" s="6">
        <v>29629.5</v>
      </c>
    </row>
    <row r="569" spans="1:10" outlineLevel="1" x14ac:dyDescent="0.25">
      <c r="A569" s="8" t="s">
        <v>272</v>
      </c>
      <c r="B569" s="3" t="s">
        <v>572</v>
      </c>
      <c r="C569" s="3" t="s">
        <v>4</v>
      </c>
      <c r="D569" s="3" t="s">
        <v>573</v>
      </c>
      <c r="E569" s="3" t="s">
        <v>557</v>
      </c>
      <c r="F569" s="3" t="s">
        <v>558</v>
      </c>
      <c r="G569" s="6">
        <v>4</v>
      </c>
      <c r="H569" s="6">
        <v>22</v>
      </c>
      <c r="I569" s="6">
        <v>88</v>
      </c>
      <c r="J569" s="6">
        <v>29717.5</v>
      </c>
    </row>
    <row r="570" spans="1:10" outlineLevel="1" x14ac:dyDescent="0.25">
      <c r="A570" s="8" t="s">
        <v>272</v>
      </c>
      <c r="B570" s="3" t="s">
        <v>590</v>
      </c>
      <c r="C570" s="3" t="s">
        <v>4</v>
      </c>
      <c r="D570" s="3" t="s">
        <v>591</v>
      </c>
      <c r="E570" s="3" t="s">
        <v>328</v>
      </c>
      <c r="F570" s="3" t="s">
        <v>461</v>
      </c>
      <c r="G570" s="6">
        <v>2</v>
      </c>
      <c r="H570" s="6">
        <v>81</v>
      </c>
      <c r="I570" s="6">
        <v>162</v>
      </c>
      <c r="J570" s="6">
        <v>29879.5</v>
      </c>
    </row>
    <row r="571" spans="1:10" outlineLevel="1" x14ac:dyDescent="0.25">
      <c r="A571" s="8" t="s">
        <v>272</v>
      </c>
      <c r="B571" s="3" t="s">
        <v>590</v>
      </c>
      <c r="C571" s="3" t="s">
        <v>4</v>
      </c>
      <c r="D571" s="3" t="s">
        <v>591</v>
      </c>
      <c r="E571" s="3" t="s">
        <v>424</v>
      </c>
      <c r="F571" s="3" t="s">
        <v>425</v>
      </c>
      <c r="G571" s="6">
        <v>6</v>
      </c>
      <c r="H571" s="6">
        <v>13.95</v>
      </c>
      <c r="I571" s="6">
        <v>83.7</v>
      </c>
      <c r="J571" s="6">
        <v>29963.200000000001</v>
      </c>
    </row>
    <row r="572" spans="1:10" outlineLevel="1" x14ac:dyDescent="0.25">
      <c r="A572" s="8" t="s">
        <v>272</v>
      </c>
      <c r="B572" s="3" t="s">
        <v>590</v>
      </c>
      <c r="C572" s="3" t="s">
        <v>4</v>
      </c>
      <c r="D572" s="3" t="s">
        <v>591</v>
      </c>
      <c r="E572" s="3" t="s">
        <v>80</v>
      </c>
      <c r="F572" s="3" t="s">
        <v>81</v>
      </c>
      <c r="G572" s="6">
        <v>4</v>
      </c>
      <c r="H572" s="6">
        <v>13.5</v>
      </c>
      <c r="I572" s="6">
        <v>54</v>
      </c>
      <c r="J572" s="6">
        <v>30017.200000000001</v>
      </c>
    </row>
    <row r="573" spans="1:10" outlineLevel="1" x14ac:dyDescent="0.25">
      <c r="A573" s="8" t="s">
        <v>272</v>
      </c>
      <c r="B573" s="3" t="s">
        <v>590</v>
      </c>
      <c r="C573" s="3" t="s">
        <v>4</v>
      </c>
      <c r="D573" s="3" t="s">
        <v>591</v>
      </c>
      <c r="E573" s="3" t="s">
        <v>350</v>
      </c>
      <c r="F573" s="3" t="s">
        <v>592</v>
      </c>
      <c r="G573" s="6">
        <v>10</v>
      </c>
      <c r="H573" s="6">
        <v>15.3</v>
      </c>
      <c r="I573" s="6">
        <v>153</v>
      </c>
      <c r="J573" s="6">
        <v>30170.2</v>
      </c>
    </row>
    <row r="574" spans="1:10" outlineLevel="1" x14ac:dyDescent="0.25">
      <c r="A574" s="8" t="s">
        <v>272</v>
      </c>
      <c r="B574" s="3" t="s">
        <v>590</v>
      </c>
      <c r="C574" s="3" t="s">
        <v>4</v>
      </c>
      <c r="D574" s="3" t="s">
        <v>591</v>
      </c>
      <c r="E574" s="3" t="s">
        <v>366</v>
      </c>
      <c r="F574" s="3" t="s">
        <v>514</v>
      </c>
      <c r="G574" s="6">
        <v>2</v>
      </c>
      <c r="H574" s="6">
        <v>33.299999999999997</v>
      </c>
      <c r="I574" s="6">
        <v>66.599999999999994</v>
      </c>
      <c r="J574" s="6">
        <v>30236.799999999999</v>
      </c>
    </row>
    <row r="575" spans="1:10" outlineLevel="1" x14ac:dyDescent="0.25">
      <c r="A575" s="8" t="s">
        <v>272</v>
      </c>
      <c r="B575" s="3" t="s">
        <v>590</v>
      </c>
      <c r="C575" s="3" t="s">
        <v>4</v>
      </c>
      <c r="D575" s="3" t="s">
        <v>591</v>
      </c>
      <c r="E575" s="3" t="s">
        <v>354</v>
      </c>
      <c r="F575" s="3" t="s">
        <v>355</v>
      </c>
      <c r="G575" s="6">
        <v>4</v>
      </c>
      <c r="H575" s="6">
        <v>15.3</v>
      </c>
      <c r="I575" s="6">
        <v>61.2</v>
      </c>
      <c r="J575" s="6">
        <v>30298</v>
      </c>
    </row>
    <row r="576" spans="1:10" outlineLevel="1" x14ac:dyDescent="0.25">
      <c r="A576" s="8" t="s">
        <v>272</v>
      </c>
      <c r="B576" s="3" t="s">
        <v>590</v>
      </c>
      <c r="C576" s="3" t="s">
        <v>4</v>
      </c>
      <c r="D576" s="3" t="s">
        <v>591</v>
      </c>
      <c r="E576" s="3" t="s">
        <v>496</v>
      </c>
      <c r="F576" s="3" t="s">
        <v>515</v>
      </c>
      <c r="G576" s="6">
        <v>3</v>
      </c>
      <c r="H576" s="6">
        <v>19.8</v>
      </c>
      <c r="I576" s="6">
        <v>59.4</v>
      </c>
      <c r="J576" s="6">
        <v>30357.4</v>
      </c>
    </row>
    <row r="577" spans="1:10" outlineLevel="1" x14ac:dyDescent="0.25">
      <c r="A577" s="8" t="s">
        <v>272</v>
      </c>
      <c r="B577" s="3" t="s">
        <v>590</v>
      </c>
      <c r="C577" s="3" t="s">
        <v>4</v>
      </c>
      <c r="D577" s="3" t="s">
        <v>591</v>
      </c>
      <c r="E577" s="3" t="s">
        <v>593</v>
      </c>
      <c r="F577" s="3" t="s">
        <v>594</v>
      </c>
      <c r="G577" s="6">
        <v>8</v>
      </c>
      <c r="H577" s="6">
        <v>18</v>
      </c>
      <c r="I577" s="6">
        <v>144</v>
      </c>
      <c r="J577" s="6">
        <v>30501.4</v>
      </c>
    </row>
    <row r="578" spans="1:10" outlineLevel="1" x14ac:dyDescent="0.25">
      <c r="A578" s="8" t="s">
        <v>272</v>
      </c>
      <c r="B578" s="3" t="s">
        <v>590</v>
      </c>
      <c r="C578" s="3" t="s">
        <v>4</v>
      </c>
      <c r="D578" s="3" t="s">
        <v>591</v>
      </c>
      <c r="E578" s="3" t="s">
        <v>595</v>
      </c>
      <c r="F578" s="3" t="s">
        <v>596</v>
      </c>
      <c r="G578" s="6">
        <v>8</v>
      </c>
      <c r="H578" s="6">
        <v>18</v>
      </c>
      <c r="I578" s="6">
        <v>144</v>
      </c>
      <c r="J578" s="6">
        <v>30645.4</v>
      </c>
    </row>
    <row r="579" spans="1:10" outlineLevel="1" x14ac:dyDescent="0.25">
      <c r="A579" s="8" t="s">
        <v>272</v>
      </c>
      <c r="B579" s="3" t="s">
        <v>590</v>
      </c>
      <c r="C579" s="3" t="s">
        <v>4</v>
      </c>
      <c r="D579" s="3" t="s">
        <v>591</v>
      </c>
      <c r="E579" s="3" t="s">
        <v>597</v>
      </c>
      <c r="F579" s="3" t="s">
        <v>598</v>
      </c>
      <c r="G579" s="6">
        <v>4</v>
      </c>
      <c r="H579" s="6">
        <v>18</v>
      </c>
      <c r="I579" s="6">
        <v>72</v>
      </c>
      <c r="J579" s="6">
        <v>30717.4</v>
      </c>
    </row>
    <row r="580" spans="1:10" outlineLevel="1" x14ac:dyDescent="0.25">
      <c r="A580" s="8" t="s">
        <v>272</v>
      </c>
      <c r="B580" s="3" t="s">
        <v>590</v>
      </c>
      <c r="C580" s="3" t="s">
        <v>4</v>
      </c>
      <c r="D580" s="3" t="s">
        <v>591</v>
      </c>
      <c r="E580" s="3" t="s">
        <v>587</v>
      </c>
      <c r="F580" s="3" t="s">
        <v>588</v>
      </c>
      <c r="G580" s="6">
        <v>4</v>
      </c>
      <c r="H580" s="6">
        <v>10.125</v>
      </c>
      <c r="I580" s="6">
        <v>40.5</v>
      </c>
      <c r="J580" s="6">
        <v>30757.9</v>
      </c>
    </row>
    <row r="581" spans="1:10" outlineLevel="1" x14ac:dyDescent="0.25">
      <c r="A581" s="8" t="s">
        <v>272</v>
      </c>
      <c r="B581" s="3" t="s">
        <v>590</v>
      </c>
      <c r="C581" s="3" t="s">
        <v>4</v>
      </c>
      <c r="D581" s="3" t="s">
        <v>591</v>
      </c>
      <c r="E581" s="3" t="s">
        <v>290</v>
      </c>
      <c r="F581" s="3" t="s">
        <v>451</v>
      </c>
      <c r="G581" s="6">
        <v>5</v>
      </c>
      <c r="H581" s="6">
        <v>27</v>
      </c>
      <c r="I581" s="6">
        <v>135</v>
      </c>
      <c r="J581" s="6">
        <v>30892.9</v>
      </c>
    </row>
    <row r="582" spans="1:10" outlineLevel="1" x14ac:dyDescent="0.25">
      <c r="A582" s="8" t="s">
        <v>272</v>
      </c>
      <c r="B582" s="3" t="s">
        <v>590</v>
      </c>
      <c r="C582" s="3" t="s">
        <v>4</v>
      </c>
      <c r="D582" s="3" t="s">
        <v>591</v>
      </c>
      <c r="E582" s="3" t="s">
        <v>292</v>
      </c>
      <c r="F582" s="3" t="s">
        <v>452</v>
      </c>
      <c r="G582" s="6">
        <v>5</v>
      </c>
      <c r="H582" s="6">
        <v>27</v>
      </c>
      <c r="I582" s="6">
        <v>135</v>
      </c>
      <c r="J582" s="6">
        <v>31027.9</v>
      </c>
    </row>
    <row r="583" spans="1:10" outlineLevel="1" x14ac:dyDescent="0.25">
      <c r="A583" s="8" t="s">
        <v>272</v>
      </c>
      <c r="B583" s="3" t="s">
        <v>590</v>
      </c>
      <c r="C583" s="3" t="s">
        <v>4</v>
      </c>
      <c r="D583" s="3" t="s">
        <v>591</v>
      </c>
      <c r="E583" s="3" t="s">
        <v>296</v>
      </c>
      <c r="F583" s="3" t="s">
        <v>453</v>
      </c>
      <c r="G583" s="6">
        <v>4</v>
      </c>
      <c r="H583" s="6">
        <v>18.899999999999999</v>
      </c>
      <c r="I583" s="6">
        <v>75.599999999999994</v>
      </c>
      <c r="J583" s="6">
        <v>31103.5</v>
      </c>
    </row>
    <row r="584" spans="1:10" outlineLevel="1" x14ac:dyDescent="0.25">
      <c r="A584" s="8" t="s">
        <v>272</v>
      </c>
      <c r="B584" s="3" t="s">
        <v>590</v>
      </c>
      <c r="C584" s="3" t="s">
        <v>4</v>
      </c>
      <c r="D584" s="3" t="s">
        <v>591</v>
      </c>
      <c r="E584" s="3" t="s">
        <v>298</v>
      </c>
      <c r="F584" s="3" t="s">
        <v>454</v>
      </c>
      <c r="G584" s="6">
        <v>2</v>
      </c>
      <c r="H584" s="6">
        <v>17.100000000000001</v>
      </c>
      <c r="I584" s="6">
        <v>34.200000000000003</v>
      </c>
      <c r="J584" s="6">
        <v>31137.7</v>
      </c>
    </row>
    <row r="585" spans="1:10" outlineLevel="1" x14ac:dyDescent="0.25">
      <c r="A585" s="8" t="s">
        <v>272</v>
      </c>
      <c r="B585" s="3" t="s">
        <v>590</v>
      </c>
      <c r="C585" s="3" t="s">
        <v>4</v>
      </c>
      <c r="D585" s="3" t="s">
        <v>591</v>
      </c>
      <c r="E585" s="3" t="s">
        <v>302</v>
      </c>
      <c r="F585" s="3" t="s">
        <v>456</v>
      </c>
      <c r="G585" s="6">
        <v>3</v>
      </c>
      <c r="H585" s="6">
        <v>27</v>
      </c>
      <c r="I585" s="6">
        <v>81</v>
      </c>
      <c r="J585" s="6">
        <v>31218.7</v>
      </c>
    </row>
    <row r="586" spans="1:10" outlineLevel="1" x14ac:dyDescent="0.25">
      <c r="A586" s="8" t="s">
        <v>272</v>
      </c>
      <c r="B586" s="3" t="s">
        <v>590</v>
      </c>
      <c r="C586" s="3" t="s">
        <v>4</v>
      </c>
      <c r="D586" s="3" t="s">
        <v>591</v>
      </c>
      <c r="E586" s="3" t="s">
        <v>490</v>
      </c>
      <c r="F586" s="3" t="s">
        <v>521</v>
      </c>
      <c r="G586" s="6">
        <v>1</v>
      </c>
      <c r="H586" s="6">
        <v>16.2</v>
      </c>
      <c r="I586" s="6">
        <v>16.2</v>
      </c>
      <c r="J586" s="6">
        <v>31234.9</v>
      </c>
    </row>
    <row r="587" spans="1:10" outlineLevel="1" x14ac:dyDescent="0.25">
      <c r="A587" s="8" t="s">
        <v>272</v>
      </c>
      <c r="B587" s="3" t="s">
        <v>590</v>
      </c>
      <c r="C587" s="3" t="s">
        <v>4</v>
      </c>
      <c r="D587" s="3" t="s">
        <v>591</v>
      </c>
      <c r="E587" s="3" t="s">
        <v>492</v>
      </c>
      <c r="F587" s="3" t="s">
        <v>493</v>
      </c>
      <c r="G587" s="6">
        <v>2</v>
      </c>
      <c r="H587" s="6">
        <v>28.8</v>
      </c>
      <c r="I587" s="6">
        <v>57.6</v>
      </c>
      <c r="J587" s="6">
        <v>31292.5</v>
      </c>
    </row>
    <row r="588" spans="1:10" outlineLevel="1" x14ac:dyDescent="0.25">
      <c r="A588" s="8" t="s">
        <v>272</v>
      </c>
      <c r="B588" s="3" t="s">
        <v>590</v>
      </c>
      <c r="C588" s="3" t="s">
        <v>4</v>
      </c>
      <c r="D588" s="3" t="s">
        <v>591</v>
      </c>
      <c r="E588" s="3" t="s">
        <v>567</v>
      </c>
      <c r="F588" s="3" t="s">
        <v>568</v>
      </c>
      <c r="G588" s="6">
        <v>120</v>
      </c>
      <c r="H588" s="6">
        <v>4.95</v>
      </c>
      <c r="I588" s="6">
        <v>594</v>
      </c>
      <c r="J588" s="6">
        <v>31886.5</v>
      </c>
    </row>
    <row r="589" spans="1:10" outlineLevel="1" x14ac:dyDescent="0.25">
      <c r="A589" s="8" t="s">
        <v>272</v>
      </c>
      <c r="B589" s="3" t="s">
        <v>590</v>
      </c>
      <c r="C589" s="3" t="s">
        <v>4</v>
      </c>
      <c r="D589" s="3" t="s">
        <v>591</v>
      </c>
      <c r="E589" s="3" t="s">
        <v>567</v>
      </c>
      <c r="F589" s="3" t="s">
        <v>568</v>
      </c>
      <c r="G589" s="6">
        <v>12</v>
      </c>
      <c r="H589" s="6">
        <v>0</v>
      </c>
      <c r="I589" s="6">
        <v>0</v>
      </c>
      <c r="J589" s="6">
        <v>31886.5</v>
      </c>
    </row>
    <row r="590" spans="1:10" outlineLevel="1" x14ac:dyDescent="0.25">
      <c r="A590" s="8" t="s">
        <v>272</v>
      </c>
      <c r="B590" s="3" t="s">
        <v>590</v>
      </c>
      <c r="C590" s="3" t="s">
        <v>4</v>
      </c>
      <c r="D590" s="3" t="s">
        <v>591</v>
      </c>
      <c r="E590" s="3" t="s">
        <v>426</v>
      </c>
      <c r="F590" s="3" t="s">
        <v>427</v>
      </c>
      <c r="G590" s="6">
        <v>3</v>
      </c>
      <c r="H590" s="6">
        <v>13.5</v>
      </c>
      <c r="I590" s="6">
        <v>40.5</v>
      </c>
      <c r="J590" s="6">
        <v>31927</v>
      </c>
    </row>
    <row r="591" spans="1:10" outlineLevel="1" x14ac:dyDescent="0.25">
      <c r="A591" s="8" t="s">
        <v>272</v>
      </c>
      <c r="B591" s="3" t="s">
        <v>590</v>
      </c>
      <c r="C591" s="3" t="s">
        <v>4</v>
      </c>
      <c r="D591" s="3" t="s">
        <v>591</v>
      </c>
      <c r="E591" s="3" t="s">
        <v>502</v>
      </c>
      <c r="F591" s="3" t="s">
        <v>548</v>
      </c>
      <c r="G591" s="6">
        <v>2</v>
      </c>
      <c r="H591" s="6">
        <v>19.8</v>
      </c>
      <c r="I591" s="6">
        <v>39.6</v>
      </c>
      <c r="J591" s="6">
        <v>31966.6</v>
      </c>
    </row>
    <row r="592" spans="1:10" outlineLevel="1" x14ac:dyDescent="0.25">
      <c r="A592" s="8" t="s">
        <v>272</v>
      </c>
      <c r="B592" s="3" t="s">
        <v>590</v>
      </c>
      <c r="C592" s="3" t="s">
        <v>4</v>
      </c>
      <c r="D592" s="3" t="s">
        <v>591</v>
      </c>
      <c r="E592" s="3" t="s">
        <v>504</v>
      </c>
      <c r="F592" s="3" t="s">
        <v>549</v>
      </c>
      <c r="G592" s="6">
        <v>3</v>
      </c>
      <c r="H592" s="6">
        <v>19.8</v>
      </c>
      <c r="I592" s="6">
        <v>59.4</v>
      </c>
      <c r="J592" s="6">
        <v>32026</v>
      </c>
    </row>
    <row r="593" spans="1:10" outlineLevel="1" x14ac:dyDescent="0.25">
      <c r="A593" s="8" t="s">
        <v>272</v>
      </c>
      <c r="B593" s="3" t="s">
        <v>590</v>
      </c>
      <c r="C593" s="3" t="s">
        <v>4</v>
      </c>
      <c r="D593" s="3" t="s">
        <v>591</v>
      </c>
      <c r="E593" s="3" t="s">
        <v>555</v>
      </c>
      <c r="F593" s="3" t="s">
        <v>599</v>
      </c>
      <c r="G593" s="6">
        <v>2</v>
      </c>
      <c r="H593" s="6">
        <v>19.8</v>
      </c>
      <c r="I593" s="6">
        <v>39.6</v>
      </c>
      <c r="J593" s="6">
        <v>32065.599999999999</v>
      </c>
    </row>
    <row r="594" spans="1:10" outlineLevel="1" x14ac:dyDescent="0.25">
      <c r="A594" s="8" t="s">
        <v>272</v>
      </c>
      <c r="B594" s="3" t="s">
        <v>590</v>
      </c>
      <c r="C594" s="3" t="s">
        <v>4</v>
      </c>
      <c r="D594" s="3" t="s">
        <v>591</v>
      </c>
      <c r="E594" s="3" t="s">
        <v>358</v>
      </c>
      <c r="F594" s="3" t="s">
        <v>359</v>
      </c>
      <c r="G594" s="6">
        <v>6</v>
      </c>
      <c r="H594" s="6">
        <v>15.3</v>
      </c>
      <c r="I594" s="6">
        <v>91.8</v>
      </c>
      <c r="J594" s="6">
        <v>32157.399999999998</v>
      </c>
    </row>
    <row r="595" spans="1:10" outlineLevel="1" x14ac:dyDescent="0.25">
      <c r="A595" s="8" t="s">
        <v>272</v>
      </c>
      <c r="B595" s="3" t="s">
        <v>590</v>
      </c>
      <c r="C595" s="3" t="s">
        <v>4</v>
      </c>
      <c r="D595" s="3" t="s">
        <v>591</v>
      </c>
      <c r="E595" s="3" t="s">
        <v>362</v>
      </c>
      <c r="F595" s="3" t="s">
        <v>363</v>
      </c>
      <c r="G595" s="6">
        <v>6</v>
      </c>
      <c r="H595" s="6">
        <v>15.3</v>
      </c>
      <c r="I595" s="6">
        <v>91.8</v>
      </c>
      <c r="J595" s="6">
        <v>32249.199999999997</v>
      </c>
    </row>
    <row r="596" spans="1:10" outlineLevel="1" x14ac:dyDescent="0.25">
      <c r="A596" s="8" t="s">
        <v>272</v>
      </c>
      <c r="B596" s="3" t="s">
        <v>590</v>
      </c>
      <c r="C596" s="3" t="s">
        <v>4</v>
      </c>
      <c r="D596" s="3" t="s">
        <v>591</v>
      </c>
      <c r="E596" s="3" t="s">
        <v>360</v>
      </c>
      <c r="F596" s="3" t="s">
        <v>361</v>
      </c>
      <c r="G596" s="6">
        <v>6</v>
      </c>
      <c r="H596" s="6">
        <v>15.3</v>
      </c>
      <c r="I596" s="6">
        <v>91.8</v>
      </c>
      <c r="J596" s="6">
        <v>32340.999999999996</v>
      </c>
    </row>
    <row r="597" spans="1:10" outlineLevel="1" x14ac:dyDescent="0.25">
      <c r="A597" s="8" t="s">
        <v>272</v>
      </c>
      <c r="B597" s="3" t="s">
        <v>590</v>
      </c>
      <c r="C597" s="3" t="s">
        <v>4</v>
      </c>
      <c r="D597" s="3" t="s">
        <v>591</v>
      </c>
      <c r="E597" s="3" t="s">
        <v>331</v>
      </c>
      <c r="F597" s="3" t="s">
        <v>462</v>
      </c>
      <c r="G597" s="6">
        <v>10</v>
      </c>
      <c r="H597" s="6">
        <v>35.1</v>
      </c>
      <c r="I597" s="6">
        <v>351</v>
      </c>
      <c r="J597" s="6">
        <v>32691.999999999996</v>
      </c>
    </row>
    <row r="598" spans="1:10" outlineLevel="1" x14ac:dyDescent="0.25">
      <c r="A598" s="8" t="s">
        <v>272</v>
      </c>
      <c r="B598" s="3" t="s">
        <v>590</v>
      </c>
      <c r="C598" s="3" t="s">
        <v>4</v>
      </c>
      <c r="D598" s="3" t="s">
        <v>591</v>
      </c>
      <c r="E598" s="3" t="s">
        <v>465</v>
      </c>
      <c r="F598" s="3" t="s">
        <v>466</v>
      </c>
      <c r="G598" s="6">
        <v>6</v>
      </c>
      <c r="H598" s="6">
        <v>35.1</v>
      </c>
      <c r="I598" s="6">
        <v>210.6</v>
      </c>
      <c r="J598" s="6">
        <v>32902.6</v>
      </c>
    </row>
    <row r="599" spans="1:10" outlineLevel="1" x14ac:dyDescent="0.25">
      <c r="A599" s="8" t="s">
        <v>272</v>
      </c>
      <c r="B599" s="3" t="s">
        <v>590</v>
      </c>
      <c r="C599" s="3" t="s">
        <v>4</v>
      </c>
      <c r="D599" s="3" t="s">
        <v>591</v>
      </c>
      <c r="E599" s="3" t="s">
        <v>333</v>
      </c>
      <c r="F599" s="3" t="s">
        <v>467</v>
      </c>
      <c r="G599" s="6">
        <v>6</v>
      </c>
      <c r="H599" s="6">
        <v>35.1</v>
      </c>
      <c r="I599" s="6">
        <v>210.6</v>
      </c>
      <c r="J599" s="6">
        <v>33113.199999999997</v>
      </c>
    </row>
    <row r="600" spans="1:10" outlineLevel="1" x14ac:dyDescent="0.25">
      <c r="A600" s="8" t="s">
        <v>272</v>
      </c>
      <c r="B600" s="3" t="s">
        <v>590</v>
      </c>
      <c r="C600" s="3" t="s">
        <v>4</v>
      </c>
      <c r="D600" s="3" t="s">
        <v>5</v>
      </c>
      <c r="E600" s="3" t="s">
        <v>44</v>
      </c>
      <c r="F600" s="3" t="s">
        <v>45</v>
      </c>
      <c r="G600" s="6">
        <v>20</v>
      </c>
      <c r="H600" s="6">
        <v>35</v>
      </c>
      <c r="I600" s="6">
        <v>700</v>
      </c>
      <c r="J600" s="6">
        <v>33813.199999999997</v>
      </c>
    </row>
    <row r="601" spans="1:10" outlineLevel="1" x14ac:dyDescent="0.25">
      <c r="A601" s="8" t="s">
        <v>272</v>
      </c>
      <c r="B601" s="3" t="s">
        <v>590</v>
      </c>
      <c r="C601" s="3" t="s">
        <v>4</v>
      </c>
      <c r="D601" s="3" t="s">
        <v>5</v>
      </c>
      <c r="E601" s="3" t="s">
        <v>50</v>
      </c>
      <c r="F601" s="3" t="s">
        <v>51</v>
      </c>
      <c r="G601" s="6">
        <v>3</v>
      </c>
      <c r="H601" s="6">
        <v>35</v>
      </c>
      <c r="I601" s="6">
        <v>105</v>
      </c>
      <c r="J601" s="6">
        <v>33918.199999999997</v>
      </c>
    </row>
    <row r="602" spans="1:10" outlineLevel="1" x14ac:dyDescent="0.25">
      <c r="A602" s="8" t="s">
        <v>272</v>
      </c>
      <c r="B602" s="3" t="s">
        <v>590</v>
      </c>
      <c r="C602" s="3" t="s">
        <v>4</v>
      </c>
      <c r="D602" s="3" t="s">
        <v>5</v>
      </c>
      <c r="E602" s="3" t="s">
        <v>46</v>
      </c>
      <c r="F602" s="3" t="s">
        <v>47</v>
      </c>
      <c r="G602" s="6">
        <v>4</v>
      </c>
      <c r="H602" s="6">
        <v>35</v>
      </c>
      <c r="I602" s="6">
        <v>140</v>
      </c>
      <c r="J602" s="6">
        <v>34058.199999999997</v>
      </c>
    </row>
    <row r="603" spans="1:10" outlineLevel="1" x14ac:dyDescent="0.25">
      <c r="A603" s="8" t="s">
        <v>272</v>
      </c>
      <c r="B603" s="3" t="s">
        <v>600</v>
      </c>
      <c r="C603" s="3" t="s">
        <v>4</v>
      </c>
      <c r="D603" s="3" t="s">
        <v>601</v>
      </c>
      <c r="E603" s="3" t="s">
        <v>384</v>
      </c>
      <c r="F603" s="3" t="s">
        <v>385</v>
      </c>
      <c r="G603" s="6">
        <v>3</v>
      </c>
      <c r="H603" s="6">
        <v>64.349999999999994</v>
      </c>
      <c r="I603" s="6">
        <v>193.05</v>
      </c>
      <c r="J603" s="6">
        <v>34251.25</v>
      </c>
    </row>
    <row r="604" spans="1:10" outlineLevel="1" x14ac:dyDescent="0.25">
      <c r="A604" s="8" t="s">
        <v>272</v>
      </c>
      <c r="B604" s="3" t="s">
        <v>600</v>
      </c>
      <c r="C604" s="3" t="s">
        <v>4</v>
      </c>
      <c r="D604" s="3" t="s">
        <v>601</v>
      </c>
      <c r="E604" s="3" t="s">
        <v>473</v>
      </c>
      <c r="F604" s="3" t="s">
        <v>474</v>
      </c>
      <c r="G604" s="6">
        <v>3</v>
      </c>
      <c r="H604" s="6">
        <v>63.45</v>
      </c>
      <c r="I604" s="6">
        <v>190.35</v>
      </c>
      <c r="J604" s="6">
        <v>34441.599999999999</v>
      </c>
    </row>
    <row r="605" spans="1:10" outlineLevel="1" x14ac:dyDescent="0.25">
      <c r="A605" s="8" t="s">
        <v>272</v>
      </c>
      <c r="B605" s="3" t="s">
        <v>600</v>
      </c>
      <c r="C605" s="3" t="s">
        <v>4</v>
      </c>
      <c r="D605" s="3" t="s">
        <v>601</v>
      </c>
      <c r="E605" s="3" t="s">
        <v>388</v>
      </c>
      <c r="F605" s="3" t="s">
        <v>602</v>
      </c>
      <c r="G605" s="6">
        <v>5</v>
      </c>
      <c r="H605" s="6">
        <v>53.55</v>
      </c>
      <c r="I605" s="6">
        <v>267.75</v>
      </c>
      <c r="J605" s="6">
        <v>34709.35</v>
      </c>
    </row>
    <row r="606" spans="1:10" outlineLevel="1" x14ac:dyDescent="0.25">
      <c r="A606" s="8" t="s">
        <v>272</v>
      </c>
      <c r="B606" s="3" t="s">
        <v>600</v>
      </c>
      <c r="C606" s="3" t="s">
        <v>4</v>
      </c>
      <c r="D606" s="3" t="s">
        <v>601</v>
      </c>
      <c r="E606" s="3" t="s">
        <v>603</v>
      </c>
      <c r="F606" s="3" t="s">
        <v>603</v>
      </c>
      <c r="G606" s="6">
        <v>20</v>
      </c>
      <c r="H606" s="6">
        <v>5.625</v>
      </c>
      <c r="I606" s="6">
        <v>112.5</v>
      </c>
      <c r="J606" s="6">
        <v>34821.85</v>
      </c>
    </row>
    <row r="607" spans="1:10" outlineLevel="1" x14ac:dyDescent="0.25">
      <c r="A607" s="8" t="s">
        <v>272</v>
      </c>
      <c r="B607" s="3" t="s">
        <v>600</v>
      </c>
      <c r="C607" s="3" t="s">
        <v>4</v>
      </c>
      <c r="D607" s="3" t="s">
        <v>601</v>
      </c>
      <c r="E607" s="3" t="s">
        <v>604</v>
      </c>
      <c r="F607" s="3" t="s">
        <v>604</v>
      </c>
      <c r="G607" s="6">
        <v>24</v>
      </c>
      <c r="H607" s="6">
        <v>4.5</v>
      </c>
      <c r="I607" s="6">
        <v>108</v>
      </c>
      <c r="J607" s="6">
        <v>34929.85</v>
      </c>
    </row>
    <row r="608" spans="1:10" outlineLevel="1" x14ac:dyDescent="0.25">
      <c r="A608" s="8" t="s">
        <v>272</v>
      </c>
      <c r="B608" s="3" t="s">
        <v>600</v>
      </c>
      <c r="C608" s="3" t="s">
        <v>4</v>
      </c>
      <c r="D608" s="3" t="s">
        <v>601</v>
      </c>
      <c r="E608" s="3" t="s">
        <v>292</v>
      </c>
      <c r="F608" s="3" t="s">
        <v>452</v>
      </c>
      <c r="G608" s="6">
        <v>1</v>
      </c>
      <c r="H608" s="6">
        <v>27</v>
      </c>
      <c r="I608" s="6">
        <v>27</v>
      </c>
      <c r="J608" s="6">
        <v>34956.85</v>
      </c>
    </row>
    <row r="609" spans="1:10" outlineLevel="1" x14ac:dyDescent="0.25">
      <c r="A609" s="8" t="s">
        <v>272</v>
      </c>
      <c r="B609" s="3" t="s">
        <v>600</v>
      </c>
      <c r="C609" s="3" t="s">
        <v>4</v>
      </c>
      <c r="D609" s="3" t="s">
        <v>601</v>
      </c>
      <c r="E609" s="3" t="s">
        <v>296</v>
      </c>
      <c r="F609" s="3" t="s">
        <v>453</v>
      </c>
      <c r="G609" s="6">
        <v>2</v>
      </c>
      <c r="H609" s="6">
        <v>18.899999999999999</v>
      </c>
      <c r="I609" s="6">
        <v>37.799999999999997</v>
      </c>
      <c r="J609" s="6">
        <v>34994.65</v>
      </c>
    </row>
    <row r="610" spans="1:10" outlineLevel="1" x14ac:dyDescent="0.25">
      <c r="A610" s="8" t="s">
        <v>272</v>
      </c>
      <c r="B610" s="3" t="s">
        <v>600</v>
      </c>
      <c r="C610" s="3" t="s">
        <v>4</v>
      </c>
      <c r="D610" s="3" t="s">
        <v>601</v>
      </c>
      <c r="E610" s="3" t="s">
        <v>298</v>
      </c>
      <c r="F610" s="3" t="s">
        <v>454</v>
      </c>
      <c r="G610" s="6">
        <v>3</v>
      </c>
      <c r="H610" s="6">
        <v>17.100000000000001</v>
      </c>
      <c r="I610" s="6">
        <v>51.3</v>
      </c>
      <c r="J610" s="6">
        <v>35045.950000000004</v>
      </c>
    </row>
    <row r="611" spans="1:10" outlineLevel="1" x14ac:dyDescent="0.25">
      <c r="A611" s="8" t="s">
        <v>272</v>
      </c>
      <c r="B611" s="3" t="s">
        <v>600</v>
      </c>
      <c r="C611" s="3" t="s">
        <v>4</v>
      </c>
      <c r="D611" s="3" t="s">
        <v>601</v>
      </c>
      <c r="E611" s="3" t="s">
        <v>308</v>
      </c>
      <c r="F611" s="3" t="s">
        <v>457</v>
      </c>
      <c r="G611" s="6">
        <v>4</v>
      </c>
      <c r="H611" s="6">
        <v>24.75</v>
      </c>
      <c r="I611" s="6">
        <v>99</v>
      </c>
      <c r="J611" s="6">
        <v>35144.950000000004</v>
      </c>
    </row>
    <row r="612" spans="1:10" outlineLevel="1" x14ac:dyDescent="0.25">
      <c r="A612" s="8" t="s">
        <v>272</v>
      </c>
      <c r="B612" s="3" t="s">
        <v>600</v>
      </c>
      <c r="C612" s="3" t="s">
        <v>4</v>
      </c>
      <c r="D612" s="3" t="s">
        <v>601</v>
      </c>
      <c r="E612" s="3" t="s">
        <v>310</v>
      </c>
      <c r="F612" s="3" t="s">
        <v>520</v>
      </c>
      <c r="G612" s="6">
        <v>4</v>
      </c>
      <c r="H612" s="6">
        <v>21.6</v>
      </c>
      <c r="I612" s="6">
        <v>86.4</v>
      </c>
      <c r="J612" s="6">
        <v>35231.350000000006</v>
      </c>
    </row>
    <row r="613" spans="1:10" outlineLevel="1" x14ac:dyDescent="0.25">
      <c r="A613" s="8" t="s">
        <v>272</v>
      </c>
      <c r="B613" s="3" t="s">
        <v>600</v>
      </c>
      <c r="C613" s="3" t="s">
        <v>4</v>
      </c>
      <c r="D613" s="3" t="s">
        <v>601</v>
      </c>
      <c r="E613" s="3" t="s">
        <v>490</v>
      </c>
      <c r="F613" s="3" t="s">
        <v>521</v>
      </c>
      <c r="G613" s="6">
        <v>2</v>
      </c>
      <c r="H613" s="6">
        <v>16.2</v>
      </c>
      <c r="I613" s="6">
        <v>32.4</v>
      </c>
      <c r="J613" s="6">
        <v>35263.750000000007</v>
      </c>
    </row>
    <row r="614" spans="1:10" outlineLevel="1" x14ac:dyDescent="0.25">
      <c r="A614" s="8" t="s">
        <v>272</v>
      </c>
      <c r="B614" s="3" t="s">
        <v>600</v>
      </c>
      <c r="C614" s="3" t="s">
        <v>4</v>
      </c>
      <c r="D614" s="3" t="s">
        <v>601</v>
      </c>
      <c r="E614" s="3" t="s">
        <v>492</v>
      </c>
      <c r="F614" s="3" t="s">
        <v>493</v>
      </c>
      <c r="G614" s="6">
        <v>1</v>
      </c>
      <c r="H614" s="6">
        <v>28.8</v>
      </c>
      <c r="I614" s="6">
        <v>28.8</v>
      </c>
      <c r="J614" s="6">
        <v>35292.55000000001</v>
      </c>
    </row>
    <row r="615" spans="1:10" outlineLevel="1" x14ac:dyDescent="0.25">
      <c r="A615" s="8" t="s">
        <v>272</v>
      </c>
      <c r="B615" s="3" t="s">
        <v>600</v>
      </c>
      <c r="C615" s="3" t="s">
        <v>4</v>
      </c>
      <c r="D615" s="3" t="s">
        <v>601</v>
      </c>
      <c r="E615" s="3" t="s">
        <v>328</v>
      </c>
      <c r="F615" s="3" t="s">
        <v>461</v>
      </c>
      <c r="G615" s="6">
        <v>2</v>
      </c>
      <c r="H615" s="6">
        <v>81</v>
      </c>
      <c r="I615" s="6">
        <v>162</v>
      </c>
      <c r="J615" s="6">
        <v>35454.55000000001</v>
      </c>
    </row>
    <row r="616" spans="1:10" outlineLevel="1" x14ac:dyDescent="0.25">
      <c r="A616" s="8" t="s">
        <v>272</v>
      </c>
      <c r="B616" s="3" t="s">
        <v>600</v>
      </c>
      <c r="C616" s="3" t="s">
        <v>4</v>
      </c>
      <c r="D616" s="3" t="s">
        <v>601</v>
      </c>
      <c r="E616" s="3" t="s">
        <v>465</v>
      </c>
      <c r="F616" s="3" t="s">
        <v>466</v>
      </c>
      <c r="G616" s="6">
        <v>6</v>
      </c>
      <c r="H616" s="6">
        <v>35.1</v>
      </c>
      <c r="I616" s="6">
        <v>210.6</v>
      </c>
      <c r="J616" s="6">
        <v>35665.150000000009</v>
      </c>
    </row>
    <row r="617" spans="1:10" outlineLevel="1" x14ac:dyDescent="0.25">
      <c r="A617" s="8" t="s">
        <v>272</v>
      </c>
      <c r="B617" s="3" t="s">
        <v>600</v>
      </c>
      <c r="C617" s="3" t="s">
        <v>4</v>
      </c>
      <c r="D617" s="3" t="s">
        <v>601</v>
      </c>
      <c r="E617" s="3" t="s">
        <v>333</v>
      </c>
      <c r="F617" s="3" t="s">
        <v>467</v>
      </c>
      <c r="G617" s="6">
        <v>4</v>
      </c>
      <c r="H617" s="6">
        <v>35.1</v>
      </c>
      <c r="I617" s="6">
        <v>140.4</v>
      </c>
      <c r="J617" s="6">
        <v>35805.55000000001</v>
      </c>
    </row>
    <row r="618" spans="1:10" outlineLevel="1" x14ac:dyDescent="0.25">
      <c r="A618" s="8" t="s">
        <v>272</v>
      </c>
      <c r="B618" s="3" t="s">
        <v>600</v>
      </c>
      <c r="C618" s="3" t="s">
        <v>4</v>
      </c>
      <c r="D618" s="3" t="s">
        <v>601</v>
      </c>
      <c r="E618" s="3" t="s">
        <v>502</v>
      </c>
      <c r="F618" s="3" t="s">
        <v>548</v>
      </c>
      <c r="G618" s="6">
        <v>1</v>
      </c>
      <c r="H618" s="6">
        <v>19.8</v>
      </c>
      <c r="I618" s="6">
        <v>19.8</v>
      </c>
      <c r="J618" s="6">
        <v>35825.350000000013</v>
      </c>
    </row>
    <row r="619" spans="1:10" outlineLevel="1" x14ac:dyDescent="0.25">
      <c r="A619" s="8" t="s">
        <v>272</v>
      </c>
      <c r="B619" s="3" t="s">
        <v>600</v>
      </c>
      <c r="C619" s="3" t="s">
        <v>4</v>
      </c>
      <c r="D619" s="3" t="s">
        <v>601</v>
      </c>
      <c r="E619" s="3" t="s">
        <v>605</v>
      </c>
      <c r="F619" s="3" t="s">
        <v>606</v>
      </c>
      <c r="G619" s="6">
        <v>2</v>
      </c>
      <c r="H619" s="6">
        <v>23.4</v>
      </c>
      <c r="I619" s="6">
        <v>46.8</v>
      </c>
      <c r="J619" s="6">
        <v>35872.150000000016</v>
      </c>
    </row>
    <row r="620" spans="1:10" outlineLevel="1" x14ac:dyDescent="0.25">
      <c r="A620" s="8" t="s">
        <v>272</v>
      </c>
      <c r="B620" s="3" t="s">
        <v>600</v>
      </c>
      <c r="C620" s="3" t="s">
        <v>4</v>
      </c>
      <c r="D620" s="3" t="s">
        <v>601</v>
      </c>
      <c r="E620" s="3" t="s">
        <v>424</v>
      </c>
      <c r="F620" s="3" t="s">
        <v>607</v>
      </c>
      <c r="G620" s="6">
        <v>20</v>
      </c>
      <c r="H620" s="6">
        <v>13.95</v>
      </c>
      <c r="I620" s="6">
        <v>279</v>
      </c>
      <c r="J620" s="6">
        <v>36151.150000000016</v>
      </c>
    </row>
    <row r="621" spans="1:10" outlineLevel="1" x14ac:dyDescent="0.25">
      <c r="A621" s="8" t="s">
        <v>272</v>
      </c>
      <c r="B621" s="3" t="s">
        <v>600</v>
      </c>
      <c r="C621" s="3" t="s">
        <v>4</v>
      </c>
      <c r="D621" s="3" t="s">
        <v>601</v>
      </c>
      <c r="E621" s="3" t="s">
        <v>370</v>
      </c>
      <c r="F621" s="3" t="s">
        <v>428</v>
      </c>
      <c r="G621" s="6">
        <v>35</v>
      </c>
      <c r="H621" s="6">
        <v>7.2</v>
      </c>
      <c r="I621" s="6">
        <v>252</v>
      </c>
      <c r="J621" s="6">
        <v>36403.150000000016</v>
      </c>
    </row>
    <row r="622" spans="1:10" outlineLevel="1" x14ac:dyDescent="0.25">
      <c r="A622" s="8" t="s">
        <v>272</v>
      </c>
      <c r="B622" s="3" t="s">
        <v>600</v>
      </c>
      <c r="C622" s="3" t="s">
        <v>4</v>
      </c>
      <c r="D622" s="3" t="s">
        <v>601</v>
      </c>
      <c r="E622" s="3" t="s">
        <v>608</v>
      </c>
      <c r="F622" s="3" t="s">
        <v>609</v>
      </c>
      <c r="G622" s="6">
        <v>4</v>
      </c>
      <c r="H622" s="6">
        <v>8.1</v>
      </c>
      <c r="I622" s="6">
        <v>32.4</v>
      </c>
      <c r="J622" s="6">
        <v>36435.550000000017</v>
      </c>
    </row>
    <row r="623" spans="1:10" outlineLevel="1" x14ac:dyDescent="0.25">
      <c r="A623" s="8" t="s">
        <v>272</v>
      </c>
      <c r="B623" s="3" t="s">
        <v>600</v>
      </c>
      <c r="C623" s="3" t="s">
        <v>4</v>
      </c>
      <c r="D623" s="3" t="s">
        <v>601</v>
      </c>
      <c r="E623" s="3" t="s">
        <v>440</v>
      </c>
      <c r="F623" s="3" t="s">
        <v>545</v>
      </c>
      <c r="G623" s="6">
        <v>14</v>
      </c>
      <c r="H623" s="6">
        <v>8.1</v>
      </c>
      <c r="I623" s="6">
        <v>113.4</v>
      </c>
      <c r="J623" s="6">
        <v>36548.950000000019</v>
      </c>
    </row>
    <row r="624" spans="1:10" outlineLevel="1" x14ac:dyDescent="0.25">
      <c r="A624" s="8" t="s">
        <v>272</v>
      </c>
      <c r="B624" s="3" t="s">
        <v>600</v>
      </c>
      <c r="C624" s="3" t="s">
        <v>4</v>
      </c>
      <c r="D624" s="3" t="s">
        <v>601</v>
      </c>
      <c r="E624" s="3" t="s">
        <v>610</v>
      </c>
      <c r="F624" s="3" t="s">
        <v>611</v>
      </c>
      <c r="G624" s="6">
        <v>2</v>
      </c>
      <c r="H624" s="6">
        <v>8.1</v>
      </c>
      <c r="I624" s="6">
        <v>16.2</v>
      </c>
      <c r="J624" s="6">
        <v>36565.150000000016</v>
      </c>
    </row>
    <row r="625" spans="1:10" outlineLevel="1" x14ac:dyDescent="0.25">
      <c r="A625" s="8" t="s">
        <v>272</v>
      </c>
      <c r="B625" s="3" t="s">
        <v>600</v>
      </c>
      <c r="C625" s="3" t="s">
        <v>4</v>
      </c>
      <c r="D625" s="3" t="s">
        <v>601</v>
      </c>
      <c r="E625" s="3" t="s">
        <v>612</v>
      </c>
      <c r="F625" s="3" t="s">
        <v>613</v>
      </c>
      <c r="G625" s="6">
        <v>2</v>
      </c>
      <c r="H625" s="6">
        <v>8.1</v>
      </c>
      <c r="I625" s="6">
        <v>16.2</v>
      </c>
      <c r="J625" s="6">
        <v>36581.350000000013</v>
      </c>
    </row>
    <row r="626" spans="1:10" outlineLevel="1" x14ac:dyDescent="0.25">
      <c r="A626" s="8" t="s">
        <v>272</v>
      </c>
      <c r="B626" s="3" t="s">
        <v>600</v>
      </c>
      <c r="C626" s="3" t="s">
        <v>4</v>
      </c>
      <c r="D626" s="3" t="s">
        <v>601</v>
      </c>
      <c r="E626" s="3" t="s">
        <v>614</v>
      </c>
      <c r="F626" s="3" t="s">
        <v>615</v>
      </c>
      <c r="G626" s="6">
        <v>2</v>
      </c>
      <c r="H626" s="6">
        <v>8.1</v>
      </c>
      <c r="I626" s="6">
        <v>16.2</v>
      </c>
      <c r="J626" s="6">
        <v>36597.55000000001</v>
      </c>
    </row>
    <row r="627" spans="1:10" outlineLevel="1" x14ac:dyDescent="0.25">
      <c r="A627" s="8" t="s">
        <v>272</v>
      </c>
      <c r="B627" s="3" t="s">
        <v>600</v>
      </c>
      <c r="C627" s="3" t="s">
        <v>4</v>
      </c>
      <c r="D627" s="3" t="s">
        <v>601</v>
      </c>
      <c r="E627" s="3" t="s">
        <v>426</v>
      </c>
      <c r="F627" s="3" t="s">
        <v>427</v>
      </c>
      <c r="G627" s="6">
        <v>8</v>
      </c>
      <c r="H627" s="6">
        <v>13.5</v>
      </c>
      <c r="I627" s="6">
        <v>108</v>
      </c>
      <c r="J627" s="6">
        <v>36705.55000000001</v>
      </c>
    </row>
    <row r="628" spans="1:10" outlineLevel="1" x14ac:dyDescent="0.25">
      <c r="A628" s="8" t="s">
        <v>272</v>
      </c>
      <c r="B628" s="3" t="s">
        <v>600</v>
      </c>
      <c r="C628" s="3" t="s">
        <v>4</v>
      </c>
      <c r="D628" s="3" t="s">
        <v>601</v>
      </c>
      <c r="E628" s="3" t="s">
        <v>350</v>
      </c>
      <c r="F628" s="3" t="s">
        <v>592</v>
      </c>
      <c r="G628" s="6">
        <v>4</v>
      </c>
      <c r="H628" s="6">
        <v>15.3</v>
      </c>
      <c r="I628" s="6">
        <v>61.2</v>
      </c>
      <c r="J628" s="6">
        <v>36766.750000000007</v>
      </c>
    </row>
    <row r="629" spans="1:10" outlineLevel="1" x14ac:dyDescent="0.25">
      <c r="A629" s="8" t="s">
        <v>272</v>
      </c>
      <c r="B629" s="3" t="s">
        <v>600</v>
      </c>
      <c r="C629" s="3" t="s">
        <v>4</v>
      </c>
      <c r="D629" s="3" t="s">
        <v>601</v>
      </c>
      <c r="E629" s="3" t="s">
        <v>86</v>
      </c>
      <c r="F629" s="3" t="s">
        <v>87</v>
      </c>
      <c r="G629" s="6">
        <v>12</v>
      </c>
      <c r="H629" s="6">
        <v>15.3</v>
      </c>
      <c r="I629" s="6">
        <v>183.6</v>
      </c>
      <c r="J629" s="6">
        <v>36950.350000000006</v>
      </c>
    </row>
    <row r="630" spans="1:10" outlineLevel="1" x14ac:dyDescent="0.25">
      <c r="A630" s="8" t="s">
        <v>272</v>
      </c>
      <c r="B630" s="3" t="s">
        <v>600</v>
      </c>
      <c r="C630" s="3" t="s">
        <v>4</v>
      </c>
      <c r="D630" s="3" t="s">
        <v>601</v>
      </c>
      <c r="E630" s="3" t="s">
        <v>90</v>
      </c>
      <c r="F630" s="3" t="s">
        <v>91</v>
      </c>
      <c r="G630" s="6">
        <v>10</v>
      </c>
      <c r="H630" s="6">
        <v>15.3</v>
      </c>
      <c r="I630" s="6">
        <v>153</v>
      </c>
      <c r="J630" s="6">
        <v>37103.350000000006</v>
      </c>
    </row>
    <row r="631" spans="1:10" outlineLevel="1" x14ac:dyDescent="0.25">
      <c r="A631" s="8" t="s">
        <v>272</v>
      </c>
      <c r="B631" s="3" t="s">
        <v>600</v>
      </c>
      <c r="C631" s="3" t="s">
        <v>4</v>
      </c>
      <c r="D631" s="3" t="s">
        <v>601</v>
      </c>
      <c r="E631" s="3" t="s">
        <v>92</v>
      </c>
      <c r="F631" s="3" t="s">
        <v>93</v>
      </c>
      <c r="G631" s="6">
        <v>10</v>
      </c>
      <c r="H631" s="6">
        <v>15.3</v>
      </c>
      <c r="I631" s="6">
        <v>153</v>
      </c>
      <c r="J631" s="6">
        <v>37256.350000000006</v>
      </c>
    </row>
    <row r="632" spans="1:10" outlineLevel="1" x14ac:dyDescent="0.25">
      <c r="A632" s="8" t="s">
        <v>272</v>
      </c>
      <c r="B632" s="3" t="s">
        <v>600</v>
      </c>
      <c r="C632" s="3" t="s">
        <v>4</v>
      </c>
      <c r="D632" s="3" t="s">
        <v>601</v>
      </c>
      <c r="E632" s="3" t="s">
        <v>78</v>
      </c>
      <c r="F632" s="3" t="s">
        <v>79</v>
      </c>
      <c r="G632" s="6">
        <v>3</v>
      </c>
      <c r="H632" s="6">
        <v>62.1</v>
      </c>
      <c r="I632" s="6">
        <v>186.3</v>
      </c>
      <c r="J632" s="6">
        <v>37442.650000000009</v>
      </c>
    </row>
    <row r="633" spans="1:10" outlineLevel="1" x14ac:dyDescent="0.25">
      <c r="A633" s="8" t="s">
        <v>272</v>
      </c>
      <c r="B633" s="3" t="s">
        <v>600</v>
      </c>
      <c r="C633" s="3" t="s">
        <v>4</v>
      </c>
      <c r="D633" s="3" t="s">
        <v>601</v>
      </c>
      <c r="E633" s="3" t="s">
        <v>358</v>
      </c>
      <c r="F633" s="3" t="s">
        <v>616</v>
      </c>
      <c r="G633" s="6">
        <v>12</v>
      </c>
      <c r="H633" s="6">
        <v>15.3</v>
      </c>
      <c r="I633" s="6">
        <v>183.6</v>
      </c>
      <c r="J633" s="6">
        <v>37626.250000000007</v>
      </c>
    </row>
    <row r="634" spans="1:10" outlineLevel="1" x14ac:dyDescent="0.25">
      <c r="A634" s="8" t="s">
        <v>272</v>
      </c>
      <c r="B634" s="3" t="s">
        <v>600</v>
      </c>
      <c r="C634" s="3" t="s">
        <v>4</v>
      </c>
      <c r="D634" s="3" t="s">
        <v>601</v>
      </c>
      <c r="E634" s="3" t="s">
        <v>360</v>
      </c>
      <c r="F634" s="3" t="s">
        <v>617</v>
      </c>
      <c r="G634" s="6">
        <v>12</v>
      </c>
      <c r="H634" s="6">
        <v>15.3</v>
      </c>
      <c r="I634" s="6">
        <v>183.6</v>
      </c>
      <c r="J634" s="6">
        <v>37809.850000000006</v>
      </c>
    </row>
    <row r="635" spans="1:10" outlineLevel="1" x14ac:dyDescent="0.25">
      <c r="A635" s="8" t="s">
        <v>272</v>
      </c>
      <c r="B635" s="3" t="s">
        <v>600</v>
      </c>
      <c r="C635" s="3" t="s">
        <v>4</v>
      </c>
      <c r="D635" s="3" t="s">
        <v>601</v>
      </c>
      <c r="E635" s="3" t="s">
        <v>354</v>
      </c>
      <c r="F635" s="3" t="s">
        <v>618</v>
      </c>
      <c r="G635" s="6">
        <v>10</v>
      </c>
      <c r="H635" s="6">
        <v>15.3</v>
      </c>
      <c r="I635" s="6">
        <v>153</v>
      </c>
      <c r="J635" s="6">
        <v>37962.850000000006</v>
      </c>
    </row>
    <row r="636" spans="1:10" outlineLevel="1" x14ac:dyDescent="0.25">
      <c r="A636" s="8" t="s">
        <v>272</v>
      </c>
      <c r="B636" s="3" t="s">
        <v>619</v>
      </c>
      <c r="C636" s="3" t="s">
        <v>4</v>
      </c>
      <c r="D636" s="3" t="s">
        <v>620</v>
      </c>
      <c r="E636" s="3" t="s">
        <v>48</v>
      </c>
      <c r="F636" s="3" t="s">
        <v>49</v>
      </c>
      <c r="G636" s="6">
        <v>4</v>
      </c>
      <c r="H636" s="6">
        <v>35</v>
      </c>
      <c r="I636" s="6">
        <v>140</v>
      </c>
      <c r="J636" s="6">
        <v>38102.850000000006</v>
      </c>
    </row>
    <row r="637" spans="1:10" outlineLevel="1" x14ac:dyDescent="0.25">
      <c r="A637" s="8" t="s">
        <v>272</v>
      </c>
      <c r="B637" s="3" t="s">
        <v>619</v>
      </c>
      <c r="C637" s="3" t="s">
        <v>4</v>
      </c>
      <c r="D637" s="3" t="s">
        <v>620</v>
      </c>
      <c r="E637" s="3" t="s">
        <v>50</v>
      </c>
      <c r="F637" s="3" t="s">
        <v>51</v>
      </c>
      <c r="G637" s="6">
        <v>6</v>
      </c>
      <c r="H637" s="6">
        <v>35</v>
      </c>
      <c r="I637" s="6">
        <v>210</v>
      </c>
      <c r="J637" s="6">
        <v>38312.850000000006</v>
      </c>
    </row>
    <row r="638" spans="1:10" outlineLevel="1" x14ac:dyDescent="0.25">
      <c r="A638" s="8" t="s">
        <v>272</v>
      </c>
      <c r="B638" s="3" t="s">
        <v>619</v>
      </c>
      <c r="C638" s="3" t="s">
        <v>4</v>
      </c>
      <c r="D638" s="3" t="s">
        <v>620</v>
      </c>
      <c r="E638" s="3" t="s">
        <v>46</v>
      </c>
      <c r="F638" s="3" t="s">
        <v>47</v>
      </c>
      <c r="G638" s="6">
        <v>8</v>
      </c>
      <c r="H638" s="6">
        <v>35</v>
      </c>
      <c r="I638" s="6">
        <v>280</v>
      </c>
      <c r="J638" s="6">
        <v>38592.850000000006</v>
      </c>
    </row>
    <row r="639" spans="1:10" outlineLevel="1" x14ac:dyDescent="0.25">
      <c r="A639" s="8" t="s">
        <v>272</v>
      </c>
      <c r="B639" s="3" t="s">
        <v>619</v>
      </c>
      <c r="C639" s="3" t="s">
        <v>4</v>
      </c>
      <c r="D639" s="3" t="s">
        <v>620</v>
      </c>
      <c r="E639" s="3" t="s">
        <v>469</v>
      </c>
      <c r="F639" s="3" t="s">
        <v>470</v>
      </c>
      <c r="G639" s="6">
        <v>5</v>
      </c>
      <c r="H639" s="6">
        <v>36</v>
      </c>
      <c r="I639" s="6">
        <v>180</v>
      </c>
      <c r="J639" s="6">
        <v>38772.850000000006</v>
      </c>
    </row>
    <row r="640" spans="1:10" outlineLevel="1" x14ac:dyDescent="0.25">
      <c r="A640" s="8" t="s">
        <v>272</v>
      </c>
      <c r="B640" s="3" t="s">
        <v>619</v>
      </c>
      <c r="C640" s="3" t="s">
        <v>4</v>
      </c>
      <c r="D640" s="3" t="s">
        <v>621</v>
      </c>
      <c r="E640" s="3" t="s">
        <v>328</v>
      </c>
      <c r="F640" s="3" t="s">
        <v>461</v>
      </c>
      <c r="G640" s="6">
        <v>2</v>
      </c>
      <c r="H640" s="6">
        <v>81</v>
      </c>
      <c r="I640" s="6">
        <v>162</v>
      </c>
      <c r="J640" s="6">
        <v>38934.850000000006</v>
      </c>
    </row>
    <row r="641" spans="1:10" outlineLevel="1" x14ac:dyDescent="0.25">
      <c r="A641" s="8" t="s">
        <v>272</v>
      </c>
      <c r="B641" s="3" t="s">
        <v>619</v>
      </c>
      <c r="C641" s="3" t="s">
        <v>4</v>
      </c>
      <c r="D641" s="3" t="s">
        <v>621</v>
      </c>
      <c r="E641" s="3" t="s">
        <v>80</v>
      </c>
      <c r="F641" s="3" t="s">
        <v>622</v>
      </c>
      <c r="G641" s="6">
        <v>24</v>
      </c>
      <c r="H641" s="6">
        <v>13.5</v>
      </c>
      <c r="I641" s="6">
        <v>324</v>
      </c>
      <c r="J641" s="6">
        <v>39258.850000000006</v>
      </c>
    </row>
    <row r="642" spans="1:10" outlineLevel="1" x14ac:dyDescent="0.25">
      <c r="A642" s="8" t="s">
        <v>272</v>
      </c>
      <c r="B642" s="3" t="s">
        <v>619</v>
      </c>
      <c r="C642" s="3" t="s">
        <v>4</v>
      </c>
      <c r="D642" s="3" t="s">
        <v>621</v>
      </c>
      <c r="E642" s="3" t="s">
        <v>578</v>
      </c>
      <c r="F642" s="3" t="s">
        <v>579</v>
      </c>
      <c r="G642" s="6">
        <v>1</v>
      </c>
      <c r="H642" s="6">
        <v>19.350000000000001</v>
      </c>
      <c r="I642" s="6">
        <v>19.350000000000001</v>
      </c>
      <c r="J642" s="6">
        <v>39278.200000000004</v>
      </c>
    </row>
    <row r="643" spans="1:10" outlineLevel="1" x14ac:dyDescent="0.25">
      <c r="A643" s="8" t="s">
        <v>272</v>
      </c>
      <c r="B643" s="3" t="s">
        <v>619</v>
      </c>
      <c r="C643" s="3" t="s">
        <v>4</v>
      </c>
      <c r="D643" s="3" t="s">
        <v>621</v>
      </c>
      <c r="E643" s="3" t="s">
        <v>580</v>
      </c>
      <c r="F643" s="3" t="s">
        <v>623</v>
      </c>
      <c r="G643" s="6">
        <v>1</v>
      </c>
      <c r="H643" s="6">
        <v>23.85</v>
      </c>
      <c r="I643" s="6">
        <v>23.85</v>
      </c>
      <c r="J643" s="6">
        <v>39302.050000000003</v>
      </c>
    </row>
    <row r="644" spans="1:10" outlineLevel="1" x14ac:dyDescent="0.25">
      <c r="A644" s="8" t="s">
        <v>272</v>
      </c>
      <c r="B644" s="3" t="s">
        <v>619</v>
      </c>
      <c r="C644" s="3" t="s">
        <v>4</v>
      </c>
      <c r="D644" s="3" t="s">
        <v>621</v>
      </c>
      <c r="E644" s="3" t="s">
        <v>624</v>
      </c>
      <c r="F644" s="3" t="s">
        <v>625</v>
      </c>
      <c r="G644" s="6">
        <v>2</v>
      </c>
      <c r="H644" s="6">
        <v>19.350000000000001</v>
      </c>
      <c r="I644" s="6">
        <v>38.700000000000003</v>
      </c>
      <c r="J644" s="6">
        <v>39340.75</v>
      </c>
    </row>
    <row r="645" spans="1:10" outlineLevel="1" x14ac:dyDescent="0.25">
      <c r="A645" s="8" t="s">
        <v>272</v>
      </c>
      <c r="B645" s="3" t="s">
        <v>619</v>
      </c>
      <c r="C645" s="3" t="s">
        <v>4</v>
      </c>
      <c r="D645" s="3" t="s">
        <v>621</v>
      </c>
      <c r="E645" s="3" t="s">
        <v>626</v>
      </c>
      <c r="F645" s="3" t="s">
        <v>627</v>
      </c>
      <c r="G645" s="6">
        <v>2</v>
      </c>
      <c r="H645" s="6">
        <v>19.350000000000001</v>
      </c>
      <c r="I645" s="6">
        <v>38.700000000000003</v>
      </c>
      <c r="J645" s="6">
        <v>39379.449999999997</v>
      </c>
    </row>
    <row r="646" spans="1:10" outlineLevel="1" x14ac:dyDescent="0.25">
      <c r="A646" s="8" t="s">
        <v>272</v>
      </c>
      <c r="B646" s="3" t="s">
        <v>619</v>
      </c>
      <c r="C646" s="3" t="s">
        <v>4</v>
      </c>
      <c r="D646" s="3" t="s">
        <v>621</v>
      </c>
      <c r="E646" s="3" t="s">
        <v>366</v>
      </c>
      <c r="F646" s="3" t="s">
        <v>514</v>
      </c>
      <c r="G646" s="6">
        <v>6</v>
      </c>
      <c r="H646" s="6">
        <v>33.299999999999997</v>
      </c>
      <c r="I646" s="6">
        <v>199.8</v>
      </c>
      <c r="J646" s="6">
        <v>39579.25</v>
      </c>
    </row>
    <row r="647" spans="1:10" outlineLevel="1" x14ac:dyDescent="0.25">
      <c r="A647" s="8" t="s">
        <v>272</v>
      </c>
      <c r="B647" s="3" t="s">
        <v>619</v>
      </c>
      <c r="C647" s="3" t="s">
        <v>4</v>
      </c>
      <c r="D647" s="3" t="s">
        <v>621</v>
      </c>
      <c r="E647" s="3" t="s">
        <v>496</v>
      </c>
      <c r="F647" s="3" t="s">
        <v>515</v>
      </c>
      <c r="G647" s="6">
        <v>6</v>
      </c>
      <c r="H647" s="6">
        <v>19.8</v>
      </c>
      <c r="I647" s="6">
        <v>118.8</v>
      </c>
      <c r="J647" s="6">
        <v>39698.050000000003</v>
      </c>
    </row>
    <row r="648" spans="1:10" outlineLevel="1" x14ac:dyDescent="0.25">
      <c r="A648" s="8" t="s">
        <v>272</v>
      </c>
      <c r="B648" s="3" t="s">
        <v>619</v>
      </c>
      <c r="C648" s="3" t="s">
        <v>4</v>
      </c>
      <c r="D648" s="3" t="s">
        <v>621</v>
      </c>
      <c r="E648" s="3" t="s">
        <v>368</v>
      </c>
      <c r="F648" s="3" t="s">
        <v>586</v>
      </c>
      <c r="G648" s="6">
        <v>8</v>
      </c>
      <c r="H648" s="6">
        <v>36.9</v>
      </c>
      <c r="I648" s="6">
        <v>295.2</v>
      </c>
      <c r="J648" s="6">
        <v>39993.25</v>
      </c>
    </row>
    <row r="649" spans="1:10" outlineLevel="1" x14ac:dyDescent="0.25">
      <c r="A649" s="8" t="s">
        <v>272</v>
      </c>
      <c r="B649" s="3" t="s">
        <v>619</v>
      </c>
      <c r="C649" s="3" t="s">
        <v>4</v>
      </c>
      <c r="D649" s="3" t="s">
        <v>621</v>
      </c>
      <c r="E649" s="3" t="s">
        <v>78</v>
      </c>
      <c r="F649" s="3" t="s">
        <v>79</v>
      </c>
      <c r="G649" s="6">
        <v>4</v>
      </c>
      <c r="H649" s="6">
        <v>62.1</v>
      </c>
      <c r="I649" s="6">
        <v>248.4</v>
      </c>
      <c r="J649" s="6">
        <v>40241.65</v>
      </c>
    </row>
    <row r="650" spans="1:10" outlineLevel="1" x14ac:dyDescent="0.25">
      <c r="A650" s="8" t="s">
        <v>272</v>
      </c>
      <c r="B650" s="3" t="s">
        <v>619</v>
      </c>
      <c r="C650" s="3" t="s">
        <v>4</v>
      </c>
      <c r="D650" s="3" t="s">
        <v>621</v>
      </c>
      <c r="E650" s="3" t="s">
        <v>593</v>
      </c>
      <c r="F650" s="3" t="s">
        <v>628</v>
      </c>
      <c r="G650" s="6">
        <v>8</v>
      </c>
      <c r="H650" s="6">
        <v>18</v>
      </c>
      <c r="I650" s="6">
        <v>144</v>
      </c>
      <c r="J650" s="6">
        <v>40385.65</v>
      </c>
    </row>
    <row r="651" spans="1:10" outlineLevel="1" x14ac:dyDescent="0.25">
      <c r="A651" s="8" t="s">
        <v>272</v>
      </c>
      <c r="B651" s="3" t="s">
        <v>619</v>
      </c>
      <c r="C651" s="3" t="s">
        <v>4</v>
      </c>
      <c r="D651" s="3" t="s">
        <v>621</v>
      </c>
      <c r="E651" s="3" t="s">
        <v>629</v>
      </c>
      <c r="F651" s="3" t="s">
        <v>630</v>
      </c>
      <c r="G651" s="6">
        <v>8</v>
      </c>
      <c r="H651" s="6">
        <v>18</v>
      </c>
      <c r="I651" s="6">
        <v>144</v>
      </c>
      <c r="J651" s="6">
        <v>40529.65</v>
      </c>
    </row>
    <row r="652" spans="1:10" outlineLevel="1" x14ac:dyDescent="0.25">
      <c r="A652" s="8" t="s">
        <v>272</v>
      </c>
      <c r="B652" s="3" t="s">
        <v>619</v>
      </c>
      <c r="C652" s="3" t="s">
        <v>4</v>
      </c>
      <c r="D652" s="3" t="s">
        <v>621</v>
      </c>
      <c r="E652" s="3" t="s">
        <v>631</v>
      </c>
      <c r="F652" s="3" t="s">
        <v>632</v>
      </c>
      <c r="G652" s="6">
        <v>2</v>
      </c>
      <c r="H652" s="6">
        <v>46.8</v>
      </c>
      <c r="I652" s="6">
        <v>93.6</v>
      </c>
      <c r="J652" s="6">
        <v>40623.25</v>
      </c>
    </row>
    <row r="653" spans="1:10" outlineLevel="1" x14ac:dyDescent="0.25">
      <c r="A653" s="8" t="s">
        <v>272</v>
      </c>
      <c r="B653" s="3" t="s">
        <v>619</v>
      </c>
      <c r="C653" s="3" t="s">
        <v>4</v>
      </c>
      <c r="D653" s="3" t="s">
        <v>621</v>
      </c>
      <c r="E653" s="3" t="s">
        <v>603</v>
      </c>
      <c r="F653" s="3" t="s">
        <v>603</v>
      </c>
      <c r="G653" s="6">
        <v>140</v>
      </c>
      <c r="H653" s="6">
        <v>5.625</v>
      </c>
      <c r="I653" s="6">
        <v>787.5</v>
      </c>
      <c r="J653" s="6">
        <v>41410.75</v>
      </c>
    </row>
    <row r="654" spans="1:10" outlineLevel="1" x14ac:dyDescent="0.25">
      <c r="A654" s="8" t="s">
        <v>272</v>
      </c>
      <c r="B654" s="3" t="s">
        <v>619</v>
      </c>
      <c r="C654" s="3" t="s">
        <v>4</v>
      </c>
      <c r="D654" s="3" t="s">
        <v>621</v>
      </c>
      <c r="E654" s="3" t="s">
        <v>633</v>
      </c>
      <c r="F654" s="3" t="s">
        <v>634</v>
      </c>
      <c r="G654" s="6">
        <v>2</v>
      </c>
      <c r="H654" s="6">
        <v>19.8</v>
      </c>
      <c r="I654" s="6">
        <v>39.6</v>
      </c>
      <c r="J654" s="6">
        <v>41450.35</v>
      </c>
    </row>
    <row r="655" spans="1:10" outlineLevel="1" x14ac:dyDescent="0.25">
      <c r="A655" s="8" t="s">
        <v>272</v>
      </c>
      <c r="B655" s="3" t="s">
        <v>619</v>
      </c>
      <c r="C655" s="3" t="s">
        <v>4</v>
      </c>
      <c r="D655" s="3" t="s">
        <v>621</v>
      </c>
      <c r="E655" s="3" t="s">
        <v>635</v>
      </c>
      <c r="F655" s="3" t="s">
        <v>636</v>
      </c>
      <c r="G655" s="6">
        <v>1</v>
      </c>
      <c r="H655" s="6">
        <v>12.6</v>
      </c>
      <c r="I655" s="6">
        <v>12.6</v>
      </c>
      <c r="J655" s="6">
        <v>41462.949999999997</v>
      </c>
    </row>
    <row r="656" spans="1:10" outlineLevel="1" x14ac:dyDescent="0.25">
      <c r="A656" s="8" t="s">
        <v>272</v>
      </c>
      <c r="B656" s="3" t="s">
        <v>619</v>
      </c>
      <c r="C656" s="3" t="s">
        <v>4</v>
      </c>
      <c r="D656" s="3" t="s">
        <v>621</v>
      </c>
      <c r="E656" s="3" t="s">
        <v>312</v>
      </c>
      <c r="F656" s="3" t="s">
        <v>489</v>
      </c>
      <c r="G656" s="6">
        <v>1</v>
      </c>
      <c r="H656" s="6">
        <v>23.4</v>
      </c>
      <c r="I656" s="6">
        <v>23.4</v>
      </c>
      <c r="J656" s="6">
        <v>41486.35</v>
      </c>
    </row>
    <row r="657" spans="1:10" outlineLevel="1" x14ac:dyDescent="0.25">
      <c r="A657" s="8" t="s">
        <v>272</v>
      </c>
      <c r="B657" s="3" t="s">
        <v>619</v>
      </c>
      <c r="C657" s="3" t="s">
        <v>4</v>
      </c>
      <c r="D657" s="3" t="s">
        <v>621</v>
      </c>
      <c r="E657" s="3" t="s">
        <v>306</v>
      </c>
      <c r="F657" s="3" t="s">
        <v>458</v>
      </c>
      <c r="G657" s="6">
        <v>2</v>
      </c>
      <c r="H657" s="6">
        <v>29.7</v>
      </c>
      <c r="I657" s="6">
        <v>59.4</v>
      </c>
      <c r="J657" s="6">
        <v>41545.75</v>
      </c>
    </row>
    <row r="658" spans="1:10" outlineLevel="1" x14ac:dyDescent="0.25">
      <c r="A658" s="8" t="s">
        <v>272</v>
      </c>
      <c r="B658" s="3" t="s">
        <v>619</v>
      </c>
      <c r="C658" s="3" t="s">
        <v>4</v>
      </c>
      <c r="D658" s="3" t="s">
        <v>621</v>
      </c>
      <c r="E658" s="3" t="s">
        <v>314</v>
      </c>
      <c r="F658" s="3" t="s">
        <v>459</v>
      </c>
      <c r="G658" s="6">
        <v>2</v>
      </c>
      <c r="H658" s="6">
        <v>35.1</v>
      </c>
      <c r="I658" s="6">
        <v>70.2</v>
      </c>
      <c r="J658" s="6">
        <v>41615.949999999997</v>
      </c>
    </row>
    <row r="659" spans="1:10" outlineLevel="1" x14ac:dyDescent="0.25">
      <c r="A659" s="8" t="s">
        <v>272</v>
      </c>
      <c r="B659" s="3" t="s">
        <v>619</v>
      </c>
      <c r="C659" s="3" t="s">
        <v>4</v>
      </c>
      <c r="D659" s="3" t="s">
        <v>621</v>
      </c>
      <c r="E659" s="3" t="s">
        <v>280</v>
      </c>
      <c r="F659" s="3" t="s">
        <v>637</v>
      </c>
      <c r="G659" s="6">
        <v>2</v>
      </c>
      <c r="H659" s="6">
        <v>39.6</v>
      </c>
      <c r="I659" s="6">
        <v>79.2</v>
      </c>
      <c r="J659" s="6">
        <v>41695.149999999994</v>
      </c>
    </row>
    <row r="660" spans="1:10" outlineLevel="1" x14ac:dyDescent="0.25">
      <c r="A660" s="8" t="s">
        <v>272</v>
      </c>
      <c r="B660" s="3" t="s">
        <v>619</v>
      </c>
      <c r="C660" s="3" t="s">
        <v>4</v>
      </c>
      <c r="D660" s="3" t="s">
        <v>621</v>
      </c>
      <c r="E660" s="3" t="s">
        <v>278</v>
      </c>
      <c r="F660" s="3" t="s">
        <v>638</v>
      </c>
      <c r="G660" s="6">
        <v>2</v>
      </c>
      <c r="H660" s="6">
        <v>36</v>
      </c>
      <c r="I660" s="6">
        <v>72</v>
      </c>
      <c r="J660" s="6">
        <v>41767.149999999994</v>
      </c>
    </row>
    <row r="661" spans="1:10" outlineLevel="1" x14ac:dyDescent="0.25">
      <c r="A661" s="8" t="s">
        <v>272</v>
      </c>
      <c r="B661" s="3" t="s">
        <v>619</v>
      </c>
      <c r="C661" s="3" t="s">
        <v>4</v>
      </c>
      <c r="D661" s="3" t="s">
        <v>621</v>
      </c>
      <c r="E661" s="3" t="s">
        <v>639</v>
      </c>
      <c r="F661" s="3" t="s">
        <v>640</v>
      </c>
      <c r="G661" s="6">
        <v>1</v>
      </c>
      <c r="H661" s="6">
        <v>29.7</v>
      </c>
      <c r="I661" s="6">
        <v>29.7</v>
      </c>
      <c r="J661" s="6">
        <v>41796.849999999991</v>
      </c>
    </row>
    <row r="662" spans="1:10" outlineLevel="1" x14ac:dyDescent="0.25">
      <c r="A662" s="8" t="s">
        <v>272</v>
      </c>
      <c r="B662" s="3" t="s">
        <v>619</v>
      </c>
      <c r="C662" s="3" t="s">
        <v>4</v>
      </c>
      <c r="D662" s="3" t="s">
        <v>621</v>
      </c>
      <c r="E662" s="3" t="s">
        <v>641</v>
      </c>
      <c r="F662" s="3" t="s">
        <v>642</v>
      </c>
      <c r="G662" s="6">
        <v>1</v>
      </c>
      <c r="H662" s="6">
        <v>32.4</v>
      </c>
      <c r="I662" s="6">
        <v>32.4</v>
      </c>
      <c r="J662" s="6">
        <v>41829.249999999993</v>
      </c>
    </row>
    <row r="663" spans="1:10" outlineLevel="1" x14ac:dyDescent="0.25">
      <c r="A663" s="8" t="s">
        <v>272</v>
      </c>
      <c r="B663" s="3" t="s">
        <v>619</v>
      </c>
      <c r="C663" s="3" t="s">
        <v>4</v>
      </c>
      <c r="D663" s="3" t="s">
        <v>621</v>
      </c>
      <c r="E663" s="3" t="s">
        <v>286</v>
      </c>
      <c r="F663" s="3" t="s">
        <v>528</v>
      </c>
      <c r="G663" s="6">
        <v>2</v>
      </c>
      <c r="H663" s="6">
        <v>44.55</v>
      </c>
      <c r="I663" s="6">
        <v>89.1</v>
      </c>
      <c r="J663" s="6">
        <v>41918.349999999991</v>
      </c>
    </row>
    <row r="664" spans="1:10" outlineLevel="1" x14ac:dyDescent="0.25">
      <c r="A664" s="8" t="s">
        <v>272</v>
      </c>
      <c r="B664" s="3" t="s">
        <v>619</v>
      </c>
      <c r="C664" s="3" t="s">
        <v>4</v>
      </c>
      <c r="D664" s="3" t="s">
        <v>621</v>
      </c>
      <c r="E664" s="3" t="s">
        <v>343</v>
      </c>
      <c r="F664" s="3" t="s">
        <v>544</v>
      </c>
      <c r="G664" s="6">
        <v>1</v>
      </c>
      <c r="H664" s="6">
        <v>52.2</v>
      </c>
      <c r="I664" s="6">
        <v>52.2</v>
      </c>
      <c r="J664" s="6">
        <v>41970.549999999988</v>
      </c>
    </row>
    <row r="665" spans="1:10" outlineLevel="1" x14ac:dyDescent="0.25">
      <c r="A665" s="8" t="s">
        <v>272</v>
      </c>
      <c r="B665" s="3" t="s">
        <v>619</v>
      </c>
      <c r="C665" s="3" t="s">
        <v>4</v>
      </c>
      <c r="D665" s="3" t="s">
        <v>621</v>
      </c>
      <c r="E665" s="3" t="s">
        <v>128</v>
      </c>
      <c r="F665" s="3" t="s">
        <v>129</v>
      </c>
      <c r="G665" s="6">
        <v>2</v>
      </c>
      <c r="H665" s="6">
        <v>25.2</v>
      </c>
      <c r="I665" s="6">
        <v>50.4</v>
      </c>
      <c r="J665" s="6">
        <v>42020.94999999999</v>
      </c>
    </row>
    <row r="666" spans="1:10" outlineLevel="1" x14ac:dyDescent="0.25">
      <c r="A666" s="8" t="s">
        <v>272</v>
      </c>
      <c r="B666" s="3" t="s">
        <v>619</v>
      </c>
      <c r="C666" s="3" t="s">
        <v>4</v>
      </c>
      <c r="D666" s="3" t="s">
        <v>621</v>
      </c>
      <c r="E666" s="3" t="s">
        <v>126</v>
      </c>
      <c r="F666" s="3" t="s">
        <v>127</v>
      </c>
      <c r="G666" s="6">
        <v>1</v>
      </c>
      <c r="H666" s="6">
        <v>25.2</v>
      </c>
      <c r="I666" s="6">
        <v>25.2</v>
      </c>
      <c r="J666" s="6">
        <v>42046.149999999987</v>
      </c>
    </row>
    <row r="667" spans="1:10" outlineLevel="1" x14ac:dyDescent="0.25">
      <c r="A667" s="8" t="s">
        <v>272</v>
      </c>
      <c r="B667" s="3" t="s">
        <v>619</v>
      </c>
      <c r="C667" s="3" t="s">
        <v>4</v>
      </c>
      <c r="D667" s="3" t="s">
        <v>621</v>
      </c>
      <c r="E667" s="3" t="s">
        <v>130</v>
      </c>
      <c r="F667" s="3" t="s">
        <v>643</v>
      </c>
      <c r="G667" s="6">
        <v>2</v>
      </c>
      <c r="H667" s="6">
        <v>19.8</v>
      </c>
      <c r="I667" s="6">
        <v>39.6</v>
      </c>
      <c r="J667" s="6">
        <v>42085.749999999985</v>
      </c>
    </row>
    <row r="668" spans="1:10" outlineLevel="1" x14ac:dyDescent="0.25">
      <c r="A668" s="8" t="s">
        <v>272</v>
      </c>
      <c r="B668" s="3" t="s">
        <v>619</v>
      </c>
      <c r="C668" s="3" t="s">
        <v>4</v>
      </c>
      <c r="D668" s="3" t="s">
        <v>621</v>
      </c>
      <c r="E668" s="3" t="s">
        <v>122</v>
      </c>
      <c r="F668" s="3" t="s">
        <v>644</v>
      </c>
      <c r="G668" s="6">
        <v>1</v>
      </c>
      <c r="H668" s="6">
        <v>23.4</v>
      </c>
      <c r="I668" s="6">
        <v>23.4</v>
      </c>
      <c r="J668" s="6">
        <v>42109.149999999987</v>
      </c>
    </row>
    <row r="669" spans="1:10" outlineLevel="1" x14ac:dyDescent="0.25">
      <c r="A669" s="8" t="s">
        <v>272</v>
      </c>
      <c r="B669" s="3" t="s">
        <v>619</v>
      </c>
      <c r="C669" s="3" t="s">
        <v>4</v>
      </c>
      <c r="D669" s="3" t="s">
        <v>621</v>
      </c>
      <c r="E669" s="3" t="s">
        <v>645</v>
      </c>
      <c r="F669" s="3" t="s">
        <v>646</v>
      </c>
      <c r="G669" s="6">
        <v>1</v>
      </c>
      <c r="H669" s="6">
        <v>75.599999999999994</v>
      </c>
      <c r="I669" s="6">
        <v>75.599999999999994</v>
      </c>
      <c r="J669" s="6">
        <v>42184.749999999985</v>
      </c>
    </row>
    <row r="670" spans="1:10" outlineLevel="1" x14ac:dyDescent="0.25">
      <c r="A670" s="8" t="s">
        <v>272</v>
      </c>
      <c r="B670" s="3" t="s">
        <v>619</v>
      </c>
      <c r="C670" s="3" t="s">
        <v>4</v>
      </c>
      <c r="D670" s="3" t="s">
        <v>621</v>
      </c>
      <c r="E670" s="3" t="s">
        <v>370</v>
      </c>
      <c r="F670" s="3" t="s">
        <v>428</v>
      </c>
      <c r="G670" s="6">
        <v>10</v>
      </c>
      <c r="H670" s="6">
        <v>7.2</v>
      </c>
      <c r="I670" s="6">
        <v>72</v>
      </c>
      <c r="J670" s="6">
        <v>42256.749999999985</v>
      </c>
    </row>
    <row r="671" spans="1:10" outlineLevel="1" x14ac:dyDescent="0.25">
      <c r="A671" s="8" t="s">
        <v>272</v>
      </c>
      <c r="B671" s="3" t="s">
        <v>619</v>
      </c>
      <c r="C671" s="3" t="s">
        <v>4</v>
      </c>
      <c r="D671" s="3" t="s">
        <v>621</v>
      </c>
      <c r="E671" s="3" t="s">
        <v>502</v>
      </c>
      <c r="F671" s="3" t="s">
        <v>548</v>
      </c>
      <c r="G671" s="6">
        <v>1</v>
      </c>
      <c r="H671" s="6">
        <v>19.8</v>
      </c>
      <c r="I671" s="6">
        <v>19.8</v>
      </c>
      <c r="J671" s="6">
        <v>42276.549999999988</v>
      </c>
    </row>
    <row r="672" spans="1:10" outlineLevel="1" x14ac:dyDescent="0.25">
      <c r="A672" s="8" t="s">
        <v>272</v>
      </c>
      <c r="B672" s="3" t="s">
        <v>619</v>
      </c>
      <c r="C672" s="3" t="s">
        <v>4</v>
      </c>
      <c r="D672" s="3" t="s">
        <v>621</v>
      </c>
      <c r="E672" s="3" t="s">
        <v>465</v>
      </c>
      <c r="F672" s="3" t="s">
        <v>466</v>
      </c>
      <c r="G672" s="6">
        <v>6</v>
      </c>
      <c r="H672" s="6">
        <v>35.1</v>
      </c>
      <c r="I672" s="6">
        <v>210.6</v>
      </c>
      <c r="J672" s="6">
        <v>42487.149999999987</v>
      </c>
    </row>
    <row r="673" spans="1:10" x14ac:dyDescent="0.25">
      <c r="A673" s="9" t="s">
        <v>647</v>
      </c>
      <c r="I673" s="7">
        <f>I218+I219+I220+I221+I222+I223+I224+I225+I226+I227+I228+I229+I230+I231+I232+I233+I234+I235+I236+I237+I238+I239+I240+I241+I242+I243+I244+I245+I246+I247+I248+I249+I250+I251+I252+I253+I254+I255+I256+I257+I258+I259+I260+I261+I262+I263+I264+I265+I266+I267+I268+I269+I270+I271+I272+I273+I274+I275+I276+I277+I278+I279+I280+I281+I282+I283+I284+I285+I286+I287+I288+I289+I290+I291+I292+I293+I294+I295+I296+I297+I298+I299+I300+I301+I302+I303+I304+I305+I306+I307+I308+I309+I310+I311+I312+I313+I314+I315+I316+I317+I318+I319+I320+I321+I322+I323+I324+I325+I326+I327+I328+I329+I330+I331+I332+I333+I334+I335+I336+I337+I338+I339+I340+I341+I342+I343+I344+I345+I346+I347+I348+I349+I350+I351+I352+I353+I354+I355+I356+I357+I358+I359+I360+I361+I362+I363+I364+I365+I366+I367+I368+I369+I370+I371+I372+I373+I374+I375+I376+I377+I378+I379+I380+I381+I382+I383+I384+I385+I386+I387+I388+I389+I390+I391+I392+I393+I394+I395+I396+I397+I398+I399+I400+I401+I402+I403+I404+I405+I406+I407+I408+I409+I410+I411+I412+I413+I414+I415+I416+I417+I418+I419+I420+I421+I422+I423+I424+I425+I426+I427+I428+I429+I430+I431+I432+I433+I434+I435+I436+I437+I438+I439+I440+I441+I442+I443+I444+I445+I446+I447+I448+I449+I450+I451+I452+I453+I454+I455+I456+I457+I458+I459+I460+I461+I462+I463+I464+I465+I466+I467+I468+I469+I470+I471+I472+I473+I474+I475+I476+I477+I478+I479+I480+I481+I482+I483+I484+I485+I486+I487+I488+I489+I490+I491+I492+I493+I494+I495+I496+I497+I498+I499+I500+I501+I502+I503+I504+I505+I506+I507+I508+I509+I510+I511+I512+I513+I514+I515+I516+I517+I518+I519+I520+I521+I522+I523+I524+I525+I526+I527+I528+I529+I530+I531+I532+I533+I534+I535+I536+I537+I538+I539+I540+I541+I542+I543+I544+I545+I546+I547+I548+I549+I550+I551+I552+I553+I554+I555+I556+I557+I558+I559+I560+I561+I562+I563+I564+I565+I566+I567+I568+I569+I570+I571+I572+I573+I574+I575+I576+I577+I578+I579+I580+I581+I582+I583+I584+I585+I586+I587+I588+I589+I590+I591+I592+I593+I594+I595+I596+I597+I598+I599+I600+I601+I602+I603+I604+I605+I606+I607+I608+I609+I610+I611+I612+I613+I614+I615+I616+I617+I618+I619+I620+I621+I622+I623+I624+I625+I626+I627+I628+I629+I630+I631+I632+I633+I634+I635+I636+I637+I638+I639+I640+I641+I642+I643+I644+I645+I646+I647+I648+I649+I650+I651+I652+I653+I654+I655+I656+I657+I658+I659+I660+I661+I662+I663+I664+I665+I666+I667+I668+I669+I670+I671+I672</f>
        <v>42487.149999999987</v>
      </c>
    </row>
    <row r="674" spans="1:10" x14ac:dyDescent="0.25">
      <c r="A674" s="8" t="s">
        <v>648</v>
      </c>
    </row>
    <row r="675" spans="1:10" outlineLevel="1" x14ac:dyDescent="0.25">
      <c r="A675" s="8" t="s">
        <v>648</v>
      </c>
      <c r="B675" s="3" t="s">
        <v>649</v>
      </c>
      <c r="C675" s="3" t="s">
        <v>4</v>
      </c>
      <c r="D675" s="3" t="s">
        <v>5</v>
      </c>
      <c r="E675" s="3" t="s">
        <v>650</v>
      </c>
      <c r="F675" s="3" t="s">
        <v>651</v>
      </c>
      <c r="G675" s="6">
        <v>5</v>
      </c>
      <c r="H675" s="6">
        <v>7.98</v>
      </c>
      <c r="I675" s="6">
        <v>39.9</v>
      </c>
      <c r="J675" s="6">
        <v>39.9</v>
      </c>
    </row>
    <row r="676" spans="1:10" x14ac:dyDescent="0.25">
      <c r="A676" s="9" t="s">
        <v>652</v>
      </c>
      <c r="I676" s="7">
        <f>I675</f>
        <v>39.9</v>
      </c>
    </row>
    <row r="677" spans="1:10" x14ac:dyDescent="0.25">
      <c r="A677" s="8" t="s">
        <v>653</v>
      </c>
    </row>
    <row r="678" spans="1:10" outlineLevel="1" x14ac:dyDescent="0.25">
      <c r="A678" s="8" t="s">
        <v>653</v>
      </c>
      <c r="B678" s="3" t="s">
        <v>654</v>
      </c>
      <c r="C678" s="3" t="s">
        <v>4</v>
      </c>
      <c r="D678" s="3" t="s">
        <v>655</v>
      </c>
      <c r="E678" s="3" t="s">
        <v>656</v>
      </c>
      <c r="F678" s="3" t="s">
        <v>657</v>
      </c>
      <c r="G678" s="6">
        <v>2.3332999999999999</v>
      </c>
      <c r="H678" s="6">
        <v>40.5428</v>
      </c>
      <c r="I678" s="6">
        <v>94.6</v>
      </c>
      <c r="J678" s="6">
        <v>94.6</v>
      </c>
    </row>
    <row r="679" spans="1:10" outlineLevel="1" x14ac:dyDescent="0.25">
      <c r="A679" s="8" t="s">
        <v>653</v>
      </c>
      <c r="B679" s="3" t="s">
        <v>654</v>
      </c>
      <c r="C679" s="3" t="s">
        <v>4</v>
      </c>
      <c r="D679" s="3" t="s">
        <v>658</v>
      </c>
      <c r="E679" s="3" t="s">
        <v>656</v>
      </c>
      <c r="F679" s="3" t="s">
        <v>657</v>
      </c>
      <c r="G679" s="6">
        <v>0.66669999999999996</v>
      </c>
      <c r="H679" s="6">
        <v>42.344999999999999</v>
      </c>
      <c r="I679" s="6">
        <v>28.23</v>
      </c>
      <c r="J679" s="6">
        <v>122.83</v>
      </c>
    </row>
    <row r="680" spans="1:10" outlineLevel="1" x14ac:dyDescent="0.25">
      <c r="A680" s="8" t="s">
        <v>653</v>
      </c>
      <c r="B680" s="3" t="s">
        <v>659</v>
      </c>
      <c r="C680" s="3" t="s">
        <v>4</v>
      </c>
      <c r="D680" s="3" t="s">
        <v>660</v>
      </c>
      <c r="E680" s="3" t="s">
        <v>656</v>
      </c>
      <c r="F680" s="3" t="s">
        <v>657</v>
      </c>
      <c r="G680" s="6">
        <v>3</v>
      </c>
      <c r="H680" s="6">
        <v>39.826000000000001</v>
      </c>
      <c r="I680" s="6">
        <v>119.48</v>
      </c>
      <c r="J680" s="6">
        <v>242.31</v>
      </c>
    </row>
    <row r="681" spans="1:10" outlineLevel="1" x14ac:dyDescent="0.25">
      <c r="A681" s="8" t="s">
        <v>653</v>
      </c>
      <c r="B681" s="3" t="s">
        <v>158</v>
      </c>
      <c r="C681" s="3" t="s">
        <v>4</v>
      </c>
      <c r="D681" s="3" t="s">
        <v>661</v>
      </c>
      <c r="E681" s="3" t="s">
        <v>656</v>
      </c>
      <c r="F681" s="3" t="s">
        <v>657</v>
      </c>
      <c r="G681" s="6">
        <v>3</v>
      </c>
      <c r="H681" s="6">
        <v>49.15</v>
      </c>
      <c r="I681" s="6">
        <v>147.44999999999999</v>
      </c>
      <c r="J681" s="6">
        <v>389.76</v>
      </c>
    </row>
    <row r="682" spans="1:10" outlineLevel="1" x14ac:dyDescent="0.25">
      <c r="A682" s="8" t="s">
        <v>653</v>
      </c>
      <c r="B682" s="3" t="s">
        <v>662</v>
      </c>
      <c r="C682" s="3" t="s">
        <v>4</v>
      </c>
      <c r="D682" s="3" t="s">
        <v>5</v>
      </c>
      <c r="E682" s="3" t="s">
        <v>656</v>
      </c>
      <c r="F682" s="3" t="s">
        <v>657</v>
      </c>
      <c r="G682" s="6">
        <v>3</v>
      </c>
      <c r="H682" s="6">
        <v>49.15</v>
      </c>
      <c r="I682" s="6">
        <v>147.44999999999999</v>
      </c>
      <c r="J682" s="6">
        <v>537.21</v>
      </c>
    </row>
    <row r="683" spans="1:10" x14ac:dyDescent="0.25">
      <c r="A683" s="9" t="s">
        <v>663</v>
      </c>
      <c r="I683" s="7">
        <f>I678+I679+I680+I681+I682</f>
        <v>537.21</v>
      </c>
    </row>
    <row r="684" spans="1:10" x14ac:dyDescent="0.25">
      <c r="A684" s="8" t="s">
        <v>664</v>
      </c>
    </row>
    <row r="685" spans="1:10" outlineLevel="1" x14ac:dyDescent="0.25">
      <c r="A685" s="8" t="s">
        <v>664</v>
      </c>
      <c r="B685" s="3" t="s">
        <v>665</v>
      </c>
      <c r="C685" s="3" t="s">
        <v>4</v>
      </c>
      <c r="D685" s="3" t="s">
        <v>666</v>
      </c>
      <c r="E685" s="3" t="s">
        <v>667</v>
      </c>
      <c r="F685" s="3" t="s">
        <v>668</v>
      </c>
      <c r="G685" s="6">
        <v>2</v>
      </c>
      <c r="H685" s="6">
        <v>28.8</v>
      </c>
      <c r="I685" s="6">
        <v>57.6</v>
      </c>
      <c r="J685" s="6">
        <v>57.6</v>
      </c>
    </row>
    <row r="686" spans="1:10" outlineLevel="1" x14ac:dyDescent="0.25">
      <c r="A686" s="8" t="s">
        <v>664</v>
      </c>
      <c r="B686" s="3" t="s">
        <v>665</v>
      </c>
      <c r="C686" s="3" t="s">
        <v>4</v>
      </c>
      <c r="D686" s="3" t="s">
        <v>666</v>
      </c>
      <c r="E686" s="3" t="s">
        <v>669</v>
      </c>
      <c r="F686" s="3" t="s">
        <v>670</v>
      </c>
      <c r="G686" s="6">
        <v>2</v>
      </c>
      <c r="H686" s="6">
        <v>28.8</v>
      </c>
      <c r="I686" s="6">
        <v>57.6</v>
      </c>
      <c r="J686" s="6">
        <v>115.2</v>
      </c>
    </row>
    <row r="687" spans="1:10" outlineLevel="1" x14ac:dyDescent="0.25">
      <c r="A687" s="8" t="s">
        <v>664</v>
      </c>
      <c r="B687" s="3" t="s">
        <v>665</v>
      </c>
      <c r="C687" s="3" t="s">
        <v>4</v>
      </c>
      <c r="D687" s="3" t="s">
        <v>666</v>
      </c>
      <c r="E687" s="3" t="s">
        <v>671</v>
      </c>
      <c r="F687" s="3" t="s">
        <v>672</v>
      </c>
      <c r="G687" s="6">
        <v>2</v>
      </c>
      <c r="H687" s="6">
        <v>30.96</v>
      </c>
      <c r="I687" s="6">
        <v>61.92</v>
      </c>
      <c r="J687" s="6">
        <v>177.12</v>
      </c>
    </row>
    <row r="688" spans="1:10" outlineLevel="1" x14ac:dyDescent="0.25">
      <c r="A688" s="8" t="s">
        <v>664</v>
      </c>
      <c r="B688" s="3" t="s">
        <v>665</v>
      </c>
      <c r="C688" s="3" t="s">
        <v>4</v>
      </c>
      <c r="D688" s="3" t="s">
        <v>666</v>
      </c>
      <c r="E688" s="3" t="s">
        <v>673</v>
      </c>
      <c r="F688" s="3" t="s">
        <v>674</v>
      </c>
      <c r="G688" s="6">
        <v>2</v>
      </c>
      <c r="H688" s="6">
        <v>31.2</v>
      </c>
      <c r="I688" s="6">
        <v>62.4</v>
      </c>
      <c r="J688" s="6">
        <v>239.52</v>
      </c>
    </row>
    <row r="689" spans="1:10" outlineLevel="1" x14ac:dyDescent="0.25">
      <c r="A689" s="8" t="s">
        <v>664</v>
      </c>
      <c r="B689" s="3" t="s">
        <v>665</v>
      </c>
      <c r="C689" s="3" t="s">
        <v>4</v>
      </c>
      <c r="D689" s="3" t="s">
        <v>666</v>
      </c>
      <c r="E689" s="3" t="s">
        <v>675</v>
      </c>
      <c r="F689" s="3" t="s">
        <v>676</v>
      </c>
      <c r="G689" s="6">
        <v>2</v>
      </c>
      <c r="H689" s="6">
        <v>31.2</v>
      </c>
      <c r="I689" s="6">
        <v>62.4</v>
      </c>
      <c r="J689" s="6">
        <v>301.92</v>
      </c>
    </row>
    <row r="690" spans="1:10" outlineLevel="1" x14ac:dyDescent="0.25">
      <c r="A690" s="8" t="s">
        <v>664</v>
      </c>
      <c r="B690" s="3" t="s">
        <v>665</v>
      </c>
      <c r="C690" s="3" t="s">
        <v>4</v>
      </c>
      <c r="D690" s="3" t="s">
        <v>666</v>
      </c>
      <c r="E690" s="3" t="s">
        <v>677</v>
      </c>
      <c r="F690" s="3" t="s">
        <v>678</v>
      </c>
      <c r="G690" s="6">
        <v>2</v>
      </c>
      <c r="H690" s="6">
        <v>19.8</v>
      </c>
      <c r="I690" s="6">
        <v>39.6</v>
      </c>
      <c r="J690" s="6">
        <v>341.52000000000004</v>
      </c>
    </row>
    <row r="691" spans="1:10" outlineLevel="1" x14ac:dyDescent="0.25">
      <c r="A691" s="8" t="s">
        <v>664</v>
      </c>
      <c r="B691" s="3" t="s">
        <v>665</v>
      </c>
      <c r="C691" s="3" t="s">
        <v>4</v>
      </c>
      <c r="D691" s="3" t="s">
        <v>666</v>
      </c>
      <c r="E691" s="3" t="s">
        <v>679</v>
      </c>
      <c r="F691" s="3" t="s">
        <v>680</v>
      </c>
      <c r="G691" s="6">
        <v>2</v>
      </c>
      <c r="H691" s="6">
        <v>19.8</v>
      </c>
      <c r="I691" s="6">
        <v>39.6</v>
      </c>
      <c r="J691" s="6">
        <v>381.12000000000006</v>
      </c>
    </row>
    <row r="692" spans="1:10" outlineLevel="1" x14ac:dyDescent="0.25">
      <c r="A692" s="8" t="s">
        <v>664</v>
      </c>
      <c r="B692" s="3" t="s">
        <v>665</v>
      </c>
      <c r="C692" s="3" t="s">
        <v>4</v>
      </c>
      <c r="D692" s="3" t="s">
        <v>666</v>
      </c>
      <c r="E692" s="3" t="s">
        <v>681</v>
      </c>
      <c r="F692" s="3" t="s">
        <v>682</v>
      </c>
      <c r="G692" s="6">
        <v>1</v>
      </c>
      <c r="H692" s="6">
        <v>23.88</v>
      </c>
      <c r="I692" s="6">
        <v>23.88</v>
      </c>
      <c r="J692" s="6">
        <v>405.00000000000006</v>
      </c>
    </row>
    <row r="693" spans="1:10" outlineLevel="1" x14ac:dyDescent="0.25">
      <c r="A693" s="8" t="s">
        <v>664</v>
      </c>
      <c r="B693" s="3" t="s">
        <v>665</v>
      </c>
      <c r="C693" s="3" t="s">
        <v>4</v>
      </c>
      <c r="D693" s="3" t="s">
        <v>666</v>
      </c>
      <c r="E693" s="3" t="s">
        <v>683</v>
      </c>
      <c r="F693" s="3" t="s">
        <v>684</v>
      </c>
      <c r="G693" s="6">
        <v>2</v>
      </c>
      <c r="H693" s="6">
        <v>19.2</v>
      </c>
      <c r="I693" s="6">
        <v>38.4</v>
      </c>
      <c r="J693" s="6">
        <v>443.40000000000003</v>
      </c>
    </row>
    <row r="694" spans="1:10" outlineLevel="1" x14ac:dyDescent="0.25">
      <c r="A694" s="8" t="s">
        <v>664</v>
      </c>
      <c r="B694" s="3" t="s">
        <v>665</v>
      </c>
      <c r="C694" s="3" t="s">
        <v>4</v>
      </c>
      <c r="D694" s="3" t="s">
        <v>666</v>
      </c>
      <c r="E694" s="3" t="s">
        <v>685</v>
      </c>
      <c r="F694" s="3" t="s">
        <v>685</v>
      </c>
      <c r="G694" s="6">
        <v>2</v>
      </c>
      <c r="H694" s="6">
        <v>23.88</v>
      </c>
      <c r="I694" s="6">
        <v>47.76</v>
      </c>
      <c r="J694" s="6">
        <v>491.16</v>
      </c>
    </row>
    <row r="695" spans="1:10" outlineLevel="1" x14ac:dyDescent="0.25">
      <c r="A695" s="8" t="s">
        <v>664</v>
      </c>
      <c r="B695" s="3" t="s">
        <v>665</v>
      </c>
      <c r="C695" s="3" t="s">
        <v>4</v>
      </c>
      <c r="D695" s="3" t="s">
        <v>666</v>
      </c>
      <c r="E695" s="3" t="s">
        <v>686</v>
      </c>
      <c r="F695" s="3" t="s">
        <v>687</v>
      </c>
      <c r="G695" s="6">
        <v>2</v>
      </c>
      <c r="H695" s="6">
        <v>23.88</v>
      </c>
      <c r="I695" s="6">
        <v>47.76</v>
      </c>
      <c r="J695" s="6">
        <v>538.92000000000007</v>
      </c>
    </row>
    <row r="696" spans="1:10" outlineLevel="1" x14ac:dyDescent="0.25">
      <c r="A696" s="8" t="s">
        <v>664</v>
      </c>
      <c r="B696" s="3" t="s">
        <v>665</v>
      </c>
      <c r="C696" s="3" t="s">
        <v>4</v>
      </c>
      <c r="D696" s="3" t="s">
        <v>666</v>
      </c>
      <c r="E696" s="3" t="s">
        <v>688</v>
      </c>
      <c r="F696" s="3" t="s">
        <v>689</v>
      </c>
      <c r="G696" s="6">
        <v>2</v>
      </c>
      <c r="H696" s="6">
        <v>27.48</v>
      </c>
      <c r="I696" s="6">
        <v>54.96</v>
      </c>
      <c r="J696" s="6">
        <v>593.88000000000011</v>
      </c>
    </row>
    <row r="697" spans="1:10" outlineLevel="1" x14ac:dyDescent="0.25">
      <c r="A697" s="8" t="s">
        <v>664</v>
      </c>
      <c r="B697" s="3" t="s">
        <v>665</v>
      </c>
      <c r="C697" s="3" t="s">
        <v>4</v>
      </c>
      <c r="D697" s="3" t="s">
        <v>666</v>
      </c>
      <c r="E697" s="3" t="s">
        <v>690</v>
      </c>
      <c r="F697" s="3" t="s">
        <v>691</v>
      </c>
      <c r="G697" s="6">
        <v>2</v>
      </c>
      <c r="H697" s="6">
        <v>25.08</v>
      </c>
      <c r="I697" s="6">
        <v>50.16</v>
      </c>
      <c r="J697" s="6">
        <v>644.04000000000008</v>
      </c>
    </row>
    <row r="698" spans="1:10" outlineLevel="1" x14ac:dyDescent="0.25">
      <c r="A698" s="8" t="s">
        <v>664</v>
      </c>
      <c r="B698" s="3" t="s">
        <v>665</v>
      </c>
      <c r="C698" s="3" t="s">
        <v>4</v>
      </c>
      <c r="D698" s="3" t="s">
        <v>666</v>
      </c>
      <c r="E698" s="3" t="s">
        <v>692</v>
      </c>
      <c r="F698" s="3" t="s">
        <v>693</v>
      </c>
      <c r="G698" s="6">
        <v>3</v>
      </c>
      <c r="H698" s="6">
        <v>37.08</v>
      </c>
      <c r="I698" s="6">
        <v>111.24</v>
      </c>
      <c r="J698" s="6">
        <v>755.28000000000009</v>
      </c>
    </row>
    <row r="699" spans="1:10" outlineLevel="1" x14ac:dyDescent="0.25">
      <c r="A699" s="8" t="s">
        <v>664</v>
      </c>
      <c r="B699" s="3" t="s">
        <v>665</v>
      </c>
      <c r="C699" s="3" t="s">
        <v>4</v>
      </c>
      <c r="D699" s="3" t="s">
        <v>666</v>
      </c>
      <c r="E699" s="3" t="s">
        <v>694</v>
      </c>
      <c r="F699" s="3" t="s">
        <v>695</v>
      </c>
      <c r="G699" s="6">
        <v>2</v>
      </c>
      <c r="H699" s="6">
        <v>38.159999999999997</v>
      </c>
      <c r="I699" s="6">
        <v>76.319999999999993</v>
      </c>
      <c r="J699" s="6">
        <v>831.60000000000014</v>
      </c>
    </row>
    <row r="700" spans="1:10" outlineLevel="1" x14ac:dyDescent="0.25">
      <c r="A700" s="8" t="s">
        <v>664</v>
      </c>
      <c r="B700" s="3" t="s">
        <v>665</v>
      </c>
      <c r="C700" s="3" t="s">
        <v>4</v>
      </c>
      <c r="D700" s="3" t="s">
        <v>666</v>
      </c>
      <c r="E700" s="3" t="s">
        <v>696</v>
      </c>
      <c r="F700" s="3" t="s">
        <v>697</v>
      </c>
      <c r="G700" s="6">
        <v>2</v>
      </c>
      <c r="H700" s="6">
        <v>31.08</v>
      </c>
      <c r="I700" s="6">
        <v>62.16</v>
      </c>
      <c r="J700" s="6">
        <v>893.7600000000001</v>
      </c>
    </row>
    <row r="701" spans="1:10" outlineLevel="1" x14ac:dyDescent="0.25">
      <c r="A701" s="8" t="s">
        <v>664</v>
      </c>
      <c r="B701" s="3" t="s">
        <v>665</v>
      </c>
      <c r="C701" s="3" t="s">
        <v>4</v>
      </c>
      <c r="D701" s="3" t="s">
        <v>666</v>
      </c>
      <c r="E701" s="3" t="s">
        <v>698</v>
      </c>
      <c r="F701" s="3" t="s">
        <v>699</v>
      </c>
      <c r="G701" s="6">
        <v>2</v>
      </c>
      <c r="H701" s="6">
        <v>22.4</v>
      </c>
      <c r="I701" s="6">
        <v>44.8</v>
      </c>
      <c r="J701" s="6">
        <v>938.56000000000006</v>
      </c>
    </row>
    <row r="702" spans="1:10" outlineLevel="1" x14ac:dyDescent="0.25">
      <c r="A702" s="8" t="s">
        <v>664</v>
      </c>
      <c r="B702" s="3" t="s">
        <v>665</v>
      </c>
      <c r="C702" s="3" t="s">
        <v>4</v>
      </c>
      <c r="D702" s="3" t="s">
        <v>666</v>
      </c>
      <c r="E702" s="3" t="s">
        <v>700</v>
      </c>
      <c r="F702" s="3" t="s">
        <v>701</v>
      </c>
      <c r="G702" s="6">
        <v>2</v>
      </c>
      <c r="H702" s="6">
        <v>28.62</v>
      </c>
      <c r="I702" s="6">
        <v>57.24</v>
      </c>
      <c r="J702" s="6">
        <v>995.80000000000007</v>
      </c>
    </row>
    <row r="703" spans="1:10" outlineLevel="1" x14ac:dyDescent="0.25">
      <c r="A703" s="8" t="s">
        <v>664</v>
      </c>
      <c r="B703" s="3" t="s">
        <v>665</v>
      </c>
      <c r="C703" s="3" t="s">
        <v>4</v>
      </c>
      <c r="D703" s="3" t="s">
        <v>666</v>
      </c>
      <c r="E703" s="3" t="s">
        <v>702</v>
      </c>
      <c r="F703" s="3" t="s">
        <v>703</v>
      </c>
      <c r="G703" s="6">
        <v>2</v>
      </c>
      <c r="H703" s="6">
        <v>42.96</v>
      </c>
      <c r="I703" s="6">
        <v>85.92</v>
      </c>
      <c r="J703" s="6">
        <v>1081.72</v>
      </c>
    </row>
    <row r="704" spans="1:10" outlineLevel="1" x14ac:dyDescent="0.25">
      <c r="A704" s="8" t="s">
        <v>664</v>
      </c>
      <c r="B704" s="3" t="s">
        <v>665</v>
      </c>
      <c r="C704" s="3" t="s">
        <v>4</v>
      </c>
      <c r="D704" s="3" t="s">
        <v>666</v>
      </c>
      <c r="E704" s="3" t="s">
        <v>704</v>
      </c>
      <c r="F704" s="3" t="s">
        <v>705</v>
      </c>
      <c r="G704" s="6">
        <v>2</v>
      </c>
      <c r="H704" s="6">
        <v>39.36</v>
      </c>
      <c r="I704" s="6">
        <v>78.72</v>
      </c>
      <c r="J704" s="6">
        <v>1160.44</v>
      </c>
    </row>
    <row r="705" spans="1:10" outlineLevel="1" x14ac:dyDescent="0.25">
      <c r="A705" s="8" t="s">
        <v>664</v>
      </c>
      <c r="B705" s="3" t="s">
        <v>665</v>
      </c>
      <c r="C705" s="3" t="s">
        <v>4</v>
      </c>
      <c r="D705" s="3" t="s">
        <v>666</v>
      </c>
      <c r="E705" s="3" t="s">
        <v>706</v>
      </c>
      <c r="F705" s="3" t="s">
        <v>707</v>
      </c>
      <c r="G705" s="6">
        <v>2</v>
      </c>
      <c r="H705" s="6">
        <v>30</v>
      </c>
      <c r="I705" s="6">
        <v>60</v>
      </c>
      <c r="J705" s="6">
        <v>1220.44</v>
      </c>
    </row>
    <row r="706" spans="1:10" outlineLevel="1" x14ac:dyDescent="0.25">
      <c r="A706" s="8" t="s">
        <v>664</v>
      </c>
      <c r="B706" s="3" t="s">
        <v>665</v>
      </c>
      <c r="C706" s="3" t="s">
        <v>4</v>
      </c>
      <c r="D706" s="3" t="s">
        <v>666</v>
      </c>
      <c r="E706" s="3" t="s">
        <v>708</v>
      </c>
      <c r="F706" s="3" t="s">
        <v>709</v>
      </c>
      <c r="G706" s="6">
        <v>2</v>
      </c>
      <c r="H706" s="6">
        <v>40.56</v>
      </c>
      <c r="I706" s="6">
        <v>81.12</v>
      </c>
      <c r="J706" s="6">
        <v>1301.56</v>
      </c>
    </row>
    <row r="707" spans="1:10" outlineLevel="1" x14ac:dyDescent="0.25">
      <c r="A707" s="8" t="s">
        <v>664</v>
      </c>
      <c r="B707" s="3" t="s">
        <v>665</v>
      </c>
      <c r="C707" s="3" t="s">
        <v>4</v>
      </c>
      <c r="D707" s="3" t="s">
        <v>666</v>
      </c>
      <c r="E707" s="3" t="s">
        <v>710</v>
      </c>
      <c r="F707" s="3" t="s">
        <v>711</v>
      </c>
      <c r="G707" s="6">
        <v>2</v>
      </c>
      <c r="H707" s="6">
        <v>40.159999999999997</v>
      </c>
      <c r="I707" s="6">
        <v>80.319999999999993</v>
      </c>
      <c r="J707" s="6">
        <v>1381.8799999999999</v>
      </c>
    </row>
    <row r="708" spans="1:10" outlineLevel="1" x14ac:dyDescent="0.25">
      <c r="A708" s="8" t="s">
        <v>664</v>
      </c>
      <c r="B708" s="3" t="s">
        <v>665</v>
      </c>
      <c r="C708" s="3" t="s">
        <v>4</v>
      </c>
      <c r="D708" s="3" t="s">
        <v>666</v>
      </c>
      <c r="E708" s="3" t="s">
        <v>712</v>
      </c>
      <c r="F708" s="3" t="s">
        <v>713</v>
      </c>
      <c r="G708" s="6">
        <v>2</v>
      </c>
      <c r="H708" s="6">
        <v>19.8</v>
      </c>
      <c r="I708" s="6">
        <v>39.6</v>
      </c>
      <c r="J708" s="6">
        <v>1421.4799999999998</v>
      </c>
    </row>
    <row r="709" spans="1:10" outlineLevel="1" x14ac:dyDescent="0.25">
      <c r="A709" s="8" t="s">
        <v>664</v>
      </c>
      <c r="B709" s="3" t="s">
        <v>665</v>
      </c>
      <c r="C709" s="3" t="s">
        <v>4</v>
      </c>
      <c r="D709" s="3" t="s">
        <v>666</v>
      </c>
      <c r="E709" s="3" t="s">
        <v>714</v>
      </c>
      <c r="F709" s="3" t="s">
        <v>715</v>
      </c>
      <c r="G709" s="6">
        <v>2</v>
      </c>
      <c r="H709" s="6">
        <v>48.42</v>
      </c>
      <c r="I709" s="6">
        <v>96.84</v>
      </c>
      <c r="J709" s="6">
        <v>1518.3199999999997</v>
      </c>
    </row>
    <row r="710" spans="1:10" outlineLevel="1" x14ac:dyDescent="0.25">
      <c r="A710" s="8" t="s">
        <v>664</v>
      </c>
      <c r="B710" s="3" t="s">
        <v>665</v>
      </c>
      <c r="C710" s="3" t="s">
        <v>4</v>
      </c>
      <c r="D710" s="3" t="s">
        <v>666</v>
      </c>
      <c r="E710" s="3" t="s">
        <v>716</v>
      </c>
      <c r="F710" s="3" t="s">
        <v>717</v>
      </c>
      <c r="G710" s="6">
        <v>2</v>
      </c>
      <c r="H710" s="6">
        <v>30</v>
      </c>
      <c r="I710" s="6">
        <v>60</v>
      </c>
      <c r="J710" s="6">
        <v>1578.3199999999997</v>
      </c>
    </row>
    <row r="711" spans="1:10" outlineLevel="1" x14ac:dyDescent="0.25">
      <c r="A711" s="8" t="s">
        <v>664</v>
      </c>
      <c r="B711" s="3" t="s">
        <v>665</v>
      </c>
      <c r="C711" s="3" t="s">
        <v>4</v>
      </c>
      <c r="D711" s="3" t="s">
        <v>666</v>
      </c>
      <c r="E711" s="3" t="s">
        <v>718</v>
      </c>
      <c r="F711" s="3" t="s">
        <v>719</v>
      </c>
      <c r="G711" s="6">
        <v>2</v>
      </c>
      <c r="H711" s="6">
        <v>19.8</v>
      </c>
      <c r="I711" s="6">
        <v>39.6</v>
      </c>
      <c r="J711" s="6">
        <v>1617.9199999999996</v>
      </c>
    </row>
    <row r="712" spans="1:10" outlineLevel="1" x14ac:dyDescent="0.25">
      <c r="A712" s="8" t="s">
        <v>664</v>
      </c>
      <c r="B712" s="3" t="s">
        <v>665</v>
      </c>
      <c r="C712" s="3" t="s">
        <v>4</v>
      </c>
      <c r="D712" s="3" t="s">
        <v>666</v>
      </c>
      <c r="E712" s="3" t="s">
        <v>720</v>
      </c>
      <c r="F712" s="3" t="s">
        <v>721</v>
      </c>
      <c r="G712" s="6">
        <v>2</v>
      </c>
      <c r="H712" s="6">
        <v>22.4</v>
      </c>
      <c r="I712" s="6">
        <v>44.8</v>
      </c>
      <c r="J712" s="6">
        <v>1662.7199999999996</v>
      </c>
    </row>
    <row r="713" spans="1:10" outlineLevel="1" x14ac:dyDescent="0.25">
      <c r="A713" s="8" t="s">
        <v>664</v>
      </c>
      <c r="B713" s="3" t="s">
        <v>665</v>
      </c>
      <c r="C713" s="3" t="s">
        <v>4</v>
      </c>
      <c r="D713" s="3" t="s">
        <v>666</v>
      </c>
      <c r="E713" s="3" t="s">
        <v>722</v>
      </c>
      <c r="F713" s="3" t="s">
        <v>723</v>
      </c>
      <c r="G713" s="6">
        <v>2</v>
      </c>
      <c r="H713" s="6">
        <v>35</v>
      </c>
      <c r="I713" s="6">
        <v>70</v>
      </c>
      <c r="J713" s="6">
        <v>1732.7199999999996</v>
      </c>
    </row>
    <row r="714" spans="1:10" outlineLevel="1" x14ac:dyDescent="0.25">
      <c r="A714" s="8" t="s">
        <v>664</v>
      </c>
      <c r="B714" s="3" t="s">
        <v>665</v>
      </c>
      <c r="C714" s="3" t="s">
        <v>4</v>
      </c>
      <c r="D714" s="3" t="s">
        <v>666</v>
      </c>
      <c r="E714" s="3" t="s">
        <v>724</v>
      </c>
      <c r="F714" s="3" t="s">
        <v>725</v>
      </c>
      <c r="G714" s="6">
        <v>2</v>
      </c>
      <c r="H714" s="6">
        <v>35</v>
      </c>
      <c r="I714" s="6">
        <v>70</v>
      </c>
      <c r="J714" s="6">
        <v>1802.7199999999996</v>
      </c>
    </row>
    <row r="715" spans="1:10" outlineLevel="1" x14ac:dyDescent="0.25">
      <c r="A715" s="8" t="s">
        <v>664</v>
      </c>
      <c r="B715" s="3" t="s">
        <v>665</v>
      </c>
      <c r="C715" s="3" t="s">
        <v>4</v>
      </c>
      <c r="D715" s="3" t="s">
        <v>666</v>
      </c>
      <c r="E715" s="3" t="s">
        <v>726</v>
      </c>
      <c r="F715" s="3" t="s">
        <v>727</v>
      </c>
      <c r="G715" s="6">
        <v>2</v>
      </c>
      <c r="H715" s="6">
        <v>27.54</v>
      </c>
      <c r="I715" s="6">
        <v>55.08</v>
      </c>
      <c r="J715" s="6">
        <v>1857.7999999999995</v>
      </c>
    </row>
    <row r="716" spans="1:10" outlineLevel="1" x14ac:dyDescent="0.25">
      <c r="A716" s="8" t="s">
        <v>664</v>
      </c>
      <c r="B716" s="3" t="s">
        <v>665</v>
      </c>
      <c r="C716" s="3" t="s">
        <v>4</v>
      </c>
      <c r="D716" s="3" t="s">
        <v>666</v>
      </c>
      <c r="E716" s="3" t="s">
        <v>728</v>
      </c>
      <c r="F716" s="3" t="s">
        <v>729</v>
      </c>
      <c r="G716" s="6">
        <v>2</v>
      </c>
      <c r="H716" s="6">
        <v>28.62</v>
      </c>
      <c r="I716" s="6">
        <v>57.24</v>
      </c>
      <c r="J716" s="6">
        <v>1915.0399999999995</v>
      </c>
    </row>
    <row r="717" spans="1:10" outlineLevel="1" x14ac:dyDescent="0.25">
      <c r="A717" s="8" t="s">
        <v>664</v>
      </c>
      <c r="B717" s="3" t="s">
        <v>665</v>
      </c>
      <c r="C717" s="3" t="s">
        <v>4</v>
      </c>
      <c r="D717" s="3" t="s">
        <v>666</v>
      </c>
      <c r="E717" s="3" t="s">
        <v>730</v>
      </c>
      <c r="F717" s="3" t="s">
        <v>731</v>
      </c>
      <c r="G717" s="6">
        <v>2</v>
      </c>
      <c r="H717" s="6">
        <v>28.62</v>
      </c>
      <c r="I717" s="6">
        <v>57.24</v>
      </c>
      <c r="J717" s="6">
        <v>1972.2799999999995</v>
      </c>
    </row>
    <row r="718" spans="1:10" outlineLevel="1" x14ac:dyDescent="0.25">
      <c r="A718" s="8" t="s">
        <v>664</v>
      </c>
      <c r="B718" s="3" t="s">
        <v>665</v>
      </c>
      <c r="C718" s="3" t="s">
        <v>4</v>
      </c>
      <c r="D718" s="3" t="s">
        <v>666</v>
      </c>
      <c r="E718" s="3" t="s">
        <v>374</v>
      </c>
      <c r="F718" s="3" t="s">
        <v>375</v>
      </c>
      <c r="G718" s="6">
        <v>2</v>
      </c>
      <c r="H718" s="6">
        <v>29.7</v>
      </c>
      <c r="I718" s="6">
        <v>59.4</v>
      </c>
      <c r="J718" s="6">
        <v>2031.6799999999996</v>
      </c>
    </row>
    <row r="719" spans="1:10" outlineLevel="1" x14ac:dyDescent="0.25">
      <c r="A719" s="8" t="s">
        <v>664</v>
      </c>
      <c r="B719" s="3" t="s">
        <v>665</v>
      </c>
      <c r="C719" s="3" t="s">
        <v>4</v>
      </c>
      <c r="D719" s="3" t="s">
        <v>666</v>
      </c>
      <c r="E719" s="3" t="s">
        <v>732</v>
      </c>
      <c r="F719" s="3" t="s">
        <v>733</v>
      </c>
      <c r="G719" s="6">
        <v>2</v>
      </c>
      <c r="H719" s="6">
        <v>11.88</v>
      </c>
      <c r="I719" s="6">
        <v>23.76</v>
      </c>
      <c r="J719" s="6">
        <v>2055.4399999999996</v>
      </c>
    </row>
    <row r="720" spans="1:10" outlineLevel="1" x14ac:dyDescent="0.25">
      <c r="A720" s="8" t="s">
        <v>664</v>
      </c>
      <c r="B720" s="3" t="s">
        <v>665</v>
      </c>
      <c r="C720" s="3" t="s">
        <v>4</v>
      </c>
      <c r="D720" s="3" t="s">
        <v>666</v>
      </c>
      <c r="E720" s="3" t="s">
        <v>734</v>
      </c>
      <c r="F720" s="3" t="s">
        <v>735</v>
      </c>
      <c r="G720" s="6">
        <v>2</v>
      </c>
      <c r="H720" s="6">
        <v>11.88</v>
      </c>
      <c r="I720" s="6">
        <v>23.76</v>
      </c>
      <c r="J720" s="6">
        <v>2079.1999999999998</v>
      </c>
    </row>
    <row r="721" spans="1:10" outlineLevel="1" x14ac:dyDescent="0.25">
      <c r="A721" s="8" t="s">
        <v>664</v>
      </c>
      <c r="B721" s="3" t="s">
        <v>665</v>
      </c>
      <c r="C721" s="3" t="s">
        <v>4</v>
      </c>
      <c r="D721" s="3" t="s">
        <v>666</v>
      </c>
      <c r="E721" s="3" t="s">
        <v>736</v>
      </c>
      <c r="F721" s="3" t="s">
        <v>737</v>
      </c>
      <c r="G721" s="6">
        <v>2</v>
      </c>
      <c r="H721" s="6">
        <v>9.48</v>
      </c>
      <c r="I721" s="6">
        <v>18.96</v>
      </c>
      <c r="J721" s="6">
        <v>2098.16</v>
      </c>
    </row>
    <row r="722" spans="1:10" outlineLevel="1" x14ac:dyDescent="0.25">
      <c r="A722" s="8" t="s">
        <v>664</v>
      </c>
      <c r="B722" s="3" t="s">
        <v>665</v>
      </c>
      <c r="C722" s="3" t="s">
        <v>4</v>
      </c>
      <c r="D722" s="3" t="s">
        <v>666</v>
      </c>
      <c r="E722" s="3" t="s">
        <v>738</v>
      </c>
      <c r="F722" s="3" t="s">
        <v>738</v>
      </c>
      <c r="G722" s="6">
        <v>2</v>
      </c>
      <c r="H722" s="6">
        <v>9.48</v>
      </c>
      <c r="I722" s="6">
        <v>18.96</v>
      </c>
      <c r="J722" s="6">
        <v>2117.12</v>
      </c>
    </row>
    <row r="723" spans="1:10" outlineLevel="1" x14ac:dyDescent="0.25">
      <c r="A723" s="8" t="s">
        <v>664</v>
      </c>
      <c r="B723" s="3" t="s">
        <v>665</v>
      </c>
      <c r="C723" s="3" t="s">
        <v>4</v>
      </c>
      <c r="D723" s="3" t="s">
        <v>666</v>
      </c>
      <c r="E723" s="3" t="s">
        <v>739</v>
      </c>
      <c r="F723" s="3" t="s">
        <v>740</v>
      </c>
      <c r="G723" s="6">
        <v>2</v>
      </c>
      <c r="H723" s="6">
        <v>13.08</v>
      </c>
      <c r="I723" s="6">
        <v>26.16</v>
      </c>
      <c r="J723" s="6">
        <v>2143.2799999999997</v>
      </c>
    </row>
    <row r="724" spans="1:10" outlineLevel="1" x14ac:dyDescent="0.25">
      <c r="A724" s="8" t="s">
        <v>664</v>
      </c>
      <c r="B724" s="3" t="s">
        <v>665</v>
      </c>
      <c r="C724" s="3" t="s">
        <v>4</v>
      </c>
      <c r="D724" s="3" t="s">
        <v>666</v>
      </c>
      <c r="E724" s="3" t="s">
        <v>741</v>
      </c>
      <c r="F724" s="3" t="s">
        <v>742</v>
      </c>
      <c r="G724" s="6">
        <v>1</v>
      </c>
      <c r="H724" s="6">
        <v>13.08</v>
      </c>
      <c r="I724" s="6">
        <v>13.08</v>
      </c>
      <c r="J724" s="6">
        <v>2156.3599999999997</v>
      </c>
    </row>
    <row r="725" spans="1:10" outlineLevel="1" x14ac:dyDescent="0.25">
      <c r="A725" s="8" t="s">
        <v>664</v>
      </c>
      <c r="B725" s="3" t="s">
        <v>665</v>
      </c>
      <c r="C725" s="3" t="s">
        <v>4</v>
      </c>
      <c r="D725" s="3" t="s">
        <v>666</v>
      </c>
      <c r="E725" s="3" t="s">
        <v>743</v>
      </c>
      <c r="F725" s="3" t="s">
        <v>744</v>
      </c>
      <c r="G725" s="6">
        <v>1</v>
      </c>
      <c r="H725" s="6">
        <v>60</v>
      </c>
      <c r="I725" s="6">
        <v>60</v>
      </c>
      <c r="J725" s="6">
        <v>2216.3599999999997</v>
      </c>
    </row>
    <row r="726" spans="1:10" outlineLevel="1" x14ac:dyDescent="0.25">
      <c r="A726" s="8" t="s">
        <v>664</v>
      </c>
      <c r="B726" s="3" t="s">
        <v>665</v>
      </c>
      <c r="C726" s="3" t="s">
        <v>4</v>
      </c>
      <c r="D726" s="3" t="s">
        <v>666</v>
      </c>
      <c r="E726" s="3" t="s">
        <v>745</v>
      </c>
      <c r="F726" s="3" t="s">
        <v>745</v>
      </c>
      <c r="G726" s="6">
        <v>2</v>
      </c>
      <c r="H726" s="6">
        <v>60</v>
      </c>
      <c r="I726" s="6">
        <v>120</v>
      </c>
      <c r="J726" s="6">
        <v>2336.3599999999997</v>
      </c>
    </row>
    <row r="727" spans="1:10" outlineLevel="1" x14ac:dyDescent="0.25">
      <c r="A727" s="8" t="s">
        <v>664</v>
      </c>
      <c r="B727" s="3" t="s">
        <v>665</v>
      </c>
      <c r="C727" s="3" t="s">
        <v>4</v>
      </c>
      <c r="D727" s="3" t="s">
        <v>666</v>
      </c>
      <c r="E727" s="3" t="s">
        <v>746</v>
      </c>
      <c r="F727" s="3" t="s">
        <v>747</v>
      </c>
      <c r="G727" s="6">
        <v>1</v>
      </c>
      <c r="H727" s="6">
        <v>80</v>
      </c>
      <c r="I727" s="6">
        <v>80</v>
      </c>
      <c r="J727" s="6">
        <v>2416.3599999999997</v>
      </c>
    </row>
    <row r="728" spans="1:10" outlineLevel="1" x14ac:dyDescent="0.25">
      <c r="A728" s="8" t="s">
        <v>664</v>
      </c>
      <c r="B728" s="3" t="s">
        <v>665</v>
      </c>
      <c r="C728" s="3" t="s">
        <v>4</v>
      </c>
      <c r="D728" s="3" t="s">
        <v>666</v>
      </c>
      <c r="E728" s="3" t="s">
        <v>748</v>
      </c>
      <c r="F728" s="3" t="s">
        <v>749</v>
      </c>
      <c r="G728" s="6">
        <v>1</v>
      </c>
      <c r="H728" s="6">
        <v>73</v>
      </c>
      <c r="I728" s="6">
        <v>73</v>
      </c>
      <c r="J728" s="6">
        <v>2489.3599999999997</v>
      </c>
    </row>
    <row r="729" spans="1:10" outlineLevel="1" x14ac:dyDescent="0.25">
      <c r="A729" s="8" t="s">
        <v>664</v>
      </c>
      <c r="B729" s="3" t="s">
        <v>665</v>
      </c>
      <c r="C729" s="3" t="s">
        <v>4</v>
      </c>
      <c r="D729" s="3" t="s">
        <v>666</v>
      </c>
      <c r="E729" s="3" t="s">
        <v>750</v>
      </c>
      <c r="F729" s="3" t="s">
        <v>751</v>
      </c>
      <c r="G729" s="6">
        <v>1</v>
      </c>
      <c r="H729" s="6">
        <v>52</v>
      </c>
      <c r="I729" s="6">
        <v>52</v>
      </c>
      <c r="J729" s="6">
        <v>2541.3599999999997</v>
      </c>
    </row>
    <row r="730" spans="1:10" outlineLevel="1" x14ac:dyDescent="0.25">
      <c r="A730" s="8" t="s">
        <v>664</v>
      </c>
      <c r="B730" s="3" t="s">
        <v>665</v>
      </c>
      <c r="C730" s="3" t="s">
        <v>4</v>
      </c>
      <c r="D730" s="3" t="s">
        <v>666</v>
      </c>
      <c r="E730" s="3" t="s">
        <v>752</v>
      </c>
      <c r="F730" s="3" t="s">
        <v>753</v>
      </c>
      <c r="G730" s="6">
        <v>1</v>
      </c>
      <c r="H730" s="6">
        <v>35</v>
      </c>
      <c r="I730" s="6">
        <v>35</v>
      </c>
      <c r="J730" s="6">
        <v>2576.3599999999997</v>
      </c>
    </row>
    <row r="731" spans="1:10" outlineLevel="1" x14ac:dyDescent="0.25">
      <c r="A731" s="8" t="s">
        <v>664</v>
      </c>
      <c r="B731" s="3" t="s">
        <v>665</v>
      </c>
      <c r="C731" s="3" t="s">
        <v>4</v>
      </c>
      <c r="D731" s="3" t="s">
        <v>666</v>
      </c>
      <c r="E731" s="3" t="s">
        <v>726</v>
      </c>
      <c r="F731" s="3" t="s">
        <v>727</v>
      </c>
      <c r="G731" s="6">
        <v>1</v>
      </c>
      <c r="H731" s="6">
        <v>28.62</v>
      </c>
      <c r="I731" s="6">
        <v>28.62</v>
      </c>
      <c r="J731" s="6">
        <v>2604.9799999999996</v>
      </c>
    </row>
    <row r="732" spans="1:10" outlineLevel="1" x14ac:dyDescent="0.25">
      <c r="A732" s="8" t="s">
        <v>664</v>
      </c>
      <c r="B732" s="3" t="s">
        <v>665</v>
      </c>
      <c r="C732" s="3" t="s">
        <v>4</v>
      </c>
      <c r="D732" s="3" t="s">
        <v>666</v>
      </c>
      <c r="E732" s="3" t="s">
        <v>754</v>
      </c>
      <c r="F732" s="3" t="s">
        <v>755</v>
      </c>
      <c r="G732" s="6">
        <v>1</v>
      </c>
      <c r="H732" s="6">
        <v>35.880000000000003</v>
      </c>
      <c r="I732" s="6">
        <v>35.880000000000003</v>
      </c>
      <c r="J732" s="6">
        <v>2640.8599999999997</v>
      </c>
    </row>
    <row r="733" spans="1:10" outlineLevel="1" x14ac:dyDescent="0.25">
      <c r="A733" s="8" t="s">
        <v>664</v>
      </c>
      <c r="B733" s="3" t="s">
        <v>665</v>
      </c>
      <c r="C733" s="3" t="s">
        <v>4</v>
      </c>
      <c r="D733" s="3" t="s">
        <v>666</v>
      </c>
      <c r="E733" s="3" t="s">
        <v>756</v>
      </c>
      <c r="F733" s="3" t="s">
        <v>757</v>
      </c>
      <c r="G733" s="6">
        <v>1</v>
      </c>
      <c r="H733" s="6">
        <v>12</v>
      </c>
      <c r="I733" s="6">
        <v>12</v>
      </c>
      <c r="J733" s="6">
        <v>2652.8599999999997</v>
      </c>
    </row>
    <row r="734" spans="1:10" outlineLevel="1" x14ac:dyDescent="0.25">
      <c r="A734" s="8" t="s">
        <v>664</v>
      </c>
      <c r="B734" s="3" t="s">
        <v>665</v>
      </c>
      <c r="C734" s="3" t="s">
        <v>4</v>
      </c>
      <c r="D734" s="3" t="s">
        <v>666</v>
      </c>
      <c r="E734" s="3" t="s">
        <v>758</v>
      </c>
      <c r="F734" s="3" t="s">
        <v>759</v>
      </c>
      <c r="G734" s="6">
        <v>2</v>
      </c>
      <c r="H734" s="6">
        <v>35</v>
      </c>
      <c r="I734" s="6">
        <v>70</v>
      </c>
      <c r="J734" s="6">
        <v>2722.8599999999997</v>
      </c>
    </row>
    <row r="735" spans="1:10" outlineLevel="1" x14ac:dyDescent="0.25">
      <c r="A735" s="8" t="s">
        <v>664</v>
      </c>
      <c r="B735" s="3" t="s">
        <v>665</v>
      </c>
      <c r="C735" s="3" t="s">
        <v>4</v>
      </c>
      <c r="D735" s="3" t="s">
        <v>666</v>
      </c>
      <c r="E735" s="3" t="s">
        <v>760</v>
      </c>
      <c r="F735" s="3" t="s">
        <v>761</v>
      </c>
      <c r="G735" s="6">
        <v>1</v>
      </c>
      <c r="H735" s="6">
        <v>50</v>
      </c>
      <c r="I735" s="6">
        <v>50</v>
      </c>
      <c r="J735" s="6">
        <v>2772.8599999999997</v>
      </c>
    </row>
    <row r="736" spans="1:10" outlineLevel="1" x14ac:dyDescent="0.25">
      <c r="A736" s="8" t="s">
        <v>664</v>
      </c>
      <c r="B736" s="3" t="s">
        <v>665</v>
      </c>
      <c r="C736" s="3" t="s">
        <v>4</v>
      </c>
      <c r="D736" s="3" t="s">
        <v>666</v>
      </c>
      <c r="E736" s="3" t="s">
        <v>762</v>
      </c>
      <c r="F736" s="3" t="s">
        <v>763</v>
      </c>
      <c r="G736" s="6">
        <v>2</v>
      </c>
      <c r="H736" s="6">
        <v>36</v>
      </c>
      <c r="I736" s="6">
        <v>72</v>
      </c>
      <c r="J736" s="6">
        <v>2844.8599999999997</v>
      </c>
    </row>
    <row r="737" spans="1:10" outlineLevel="1" x14ac:dyDescent="0.25">
      <c r="A737" s="8" t="s">
        <v>664</v>
      </c>
      <c r="B737" s="3" t="s">
        <v>665</v>
      </c>
      <c r="C737" s="3" t="s">
        <v>4</v>
      </c>
      <c r="D737" s="3" t="s">
        <v>666</v>
      </c>
      <c r="E737" s="3" t="s">
        <v>764</v>
      </c>
      <c r="F737" s="3" t="s">
        <v>765</v>
      </c>
      <c r="G737" s="6">
        <v>1</v>
      </c>
      <c r="H737" s="6">
        <v>44.82</v>
      </c>
      <c r="I737" s="6">
        <v>44.82</v>
      </c>
      <c r="J737" s="6">
        <v>2889.68</v>
      </c>
    </row>
    <row r="738" spans="1:10" outlineLevel="1" x14ac:dyDescent="0.25">
      <c r="A738" s="8" t="s">
        <v>664</v>
      </c>
      <c r="B738" s="3" t="s">
        <v>665</v>
      </c>
      <c r="C738" s="3" t="s">
        <v>4</v>
      </c>
      <c r="D738" s="3" t="s">
        <v>666</v>
      </c>
      <c r="E738" s="3" t="s">
        <v>766</v>
      </c>
      <c r="F738" s="3" t="s">
        <v>767</v>
      </c>
      <c r="G738" s="6">
        <v>2</v>
      </c>
      <c r="H738" s="6">
        <v>60</v>
      </c>
      <c r="I738" s="6">
        <v>120</v>
      </c>
      <c r="J738" s="6">
        <v>3009.68</v>
      </c>
    </row>
    <row r="739" spans="1:10" outlineLevel="1" x14ac:dyDescent="0.25">
      <c r="A739" s="8" t="s">
        <v>664</v>
      </c>
      <c r="B739" s="3" t="s">
        <v>665</v>
      </c>
      <c r="C739" s="3" t="s">
        <v>4</v>
      </c>
      <c r="D739" s="3" t="s">
        <v>666</v>
      </c>
      <c r="E739" s="3" t="s">
        <v>768</v>
      </c>
      <c r="F739" s="3" t="s">
        <v>769</v>
      </c>
      <c r="G739" s="6">
        <v>2</v>
      </c>
      <c r="H739" s="6">
        <v>45.8</v>
      </c>
      <c r="I739" s="6">
        <v>91.6</v>
      </c>
      <c r="J739" s="6">
        <v>3101.2799999999997</v>
      </c>
    </row>
    <row r="740" spans="1:10" outlineLevel="1" x14ac:dyDescent="0.25">
      <c r="A740" s="8" t="s">
        <v>664</v>
      </c>
      <c r="B740" s="3" t="s">
        <v>665</v>
      </c>
      <c r="C740" s="3" t="s">
        <v>4</v>
      </c>
      <c r="D740" s="3" t="s">
        <v>666</v>
      </c>
      <c r="E740" s="3" t="s">
        <v>770</v>
      </c>
      <c r="F740" s="3" t="s">
        <v>771</v>
      </c>
      <c r="G740" s="6">
        <v>2</v>
      </c>
      <c r="H740" s="6">
        <v>37</v>
      </c>
      <c r="I740" s="6">
        <v>74</v>
      </c>
      <c r="J740" s="6">
        <v>3175.2799999999997</v>
      </c>
    </row>
    <row r="741" spans="1:10" outlineLevel="1" x14ac:dyDescent="0.25">
      <c r="A741" s="8" t="s">
        <v>664</v>
      </c>
      <c r="B741" s="3" t="s">
        <v>665</v>
      </c>
      <c r="C741" s="3" t="s">
        <v>4</v>
      </c>
      <c r="D741" s="3" t="s">
        <v>666</v>
      </c>
      <c r="E741" s="3" t="s">
        <v>772</v>
      </c>
      <c r="F741" s="3" t="s">
        <v>773</v>
      </c>
      <c r="G741" s="6">
        <v>1</v>
      </c>
      <c r="H741" s="6">
        <v>42</v>
      </c>
      <c r="I741" s="6">
        <v>42</v>
      </c>
      <c r="J741" s="6">
        <v>3217.2799999999997</v>
      </c>
    </row>
    <row r="742" spans="1:10" outlineLevel="1" x14ac:dyDescent="0.25">
      <c r="A742" s="8" t="s">
        <v>664</v>
      </c>
      <c r="B742" s="3" t="s">
        <v>665</v>
      </c>
      <c r="C742" s="3" t="s">
        <v>4</v>
      </c>
      <c r="D742" s="3" t="s">
        <v>666</v>
      </c>
      <c r="E742" s="3" t="s">
        <v>774</v>
      </c>
      <c r="F742" s="3" t="s">
        <v>775</v>
      </c>
      <c r="G742" s="6">
        <v>3</v>
      </c>
      <c r="H742" s="6">
        <v>25.08</v>
      </c>
      <c r="I742" s="6">
        <v>75.239999999999995</v>
      </c>
      <c r="J742" s="6">
        <v>3292.5199999999995</v>
      </c>
    </row>
    <row r="743" spans="1:10" outlineLevel="1" x14ac:dyDescent="0.25">
      <c r="A743" s="8" t="s">
        <v>664</v>
      </c>
      <c r="B743" s="3" t="s">
        <v>665</v>
      </c>
      <c r="C743" s="3" t="s">
        <v>4</v>
      </c>
      <c r="D743" s="3" t="s">
        <v>666</v>
      </c>
      <c r="E743" s="3" t="s">
        <v>656</v>
      </c>
      <c r="F743" s="3" t="s">
        <v>776</v>
      </c>
      <c r="G743" s="6">
        <v>2</v>
      </c>
      <c r="H743" s="6">
        <v>27</v>
      </c>
      <c r="I743" s="6">
        <v>54</v>
      </c>
      <c r="J743" s="6">
        <v>3346.5199999999995</v>
      </c>
    </row>
    <row r="744" spans="1:10" outlineLevel="1" x14ac:dyDescent="0.25">
      <c r="A744" s="8" t="s">
        <v>664</v>
      </c>
      <c r="B744" s="3" t="s">
        <v>398</v>
      </c>
      <c r="C744" s="3" t="s">
        <v>4</v>
      </c>
      <c r="D744" s="3" t="s">
        <v>5</v>
      </c>
      <c r="E744" s="3" t="s">
        <v>667</v>
      </c>
      <c r="F744" s="3" t="s">
        <v>668</v>
      </c>
      <c r="G744" s="6">
        <v>2</v>
      </c>
      <c r="H744" s="6">
        <v>28.8</v>
      </c>
      <c r="I744" s="6">
        <v>57.6</v>
      </c>
      <c r="J744" s="6">
        <v>3404.1199999999994</v>
      </c>
    </row>
    <row r="745" spans="1:10" outlineLevel="1" x14ac:dyDescent="0.25">
      <c r="A745" s="8" t="s">
        <v>664</v>
      </c>
      <c r="B745" s="3" t="s">
        <v>398</v>
      </c>
      <c r="C745" s="3" t="s">
        <v>4</v>
      </c>
      <c r="D745" s="3" t="s">
        <v>5</v>
      </c>
      <c r="E745" s="3" t="s">
        <v>669</v>
      </c>
      <c r="F745" s="3" t="s">
        <v>670</v>
      </c>
      <c r="G745" s="6">
        <v>2</v>
      </c>
      <c r="H745" s="6">
        <v>28.8</v>
      </c>
      <c r="I745" s="6">
        <v>57.6</v>
      </c>
      <c r="J745" s="6">
        <v>3461.7199999999993</v>
      </c>
    </row>
    <row r="746" spans="1:10" outlineLevel="1" x14ac:dyDescent="0.25">
      <c r="A746" s="8" t="s">
        <v>664</v>
      </c>
      <c r="B746" s="3" t="s">
        <v>398</v>
      </c>
      <c r="C746" s="3" t="s">
        <v>4</v>
      </c>
      <c r="D746" s="3" t="s">
        <v>5</v>
      </c>
      <c r="E746" s="3" t="s">
        <v>671</v>
      </c>
      <c r="F746" s="3" t="s">
        <v>672</v>
      </c>
      <c r="G746" s="6">
        <v>2</v>
      </c>
      <c r="H746" s="6">
        <v>30.96</v>
      </c>
      <c r="I746" s="6">
        <v>61.92</v>
      </c>
      <c r="J746" s="6">
        <v>3523.6399999999994</v>
      </c>
    </row>
    <row r="747" spans="1:10" outlineLevel="1" x14ac:dyDescent="0.25">
      <c r="A747" s="8" t="s">
        <v>664</v>
      </c>
      <c r="B747" s="3" t="s">
        <v>398</v>
      </c>
      <c r="C747" s="3" t="s">
        <v>4</v>
      </c>
      <c r="D747" s="3" t="s">
        <v>5</v>
      </c>
      <c r="E747" s="3" t="s">
        <v>673</v>
      </c>
      <c r="F747" s="3" t="s">
        <v>674</v>
      </c>
      <c r="G747" s="6">
        <v>2</v>
      </c>
      <c r="H747" s="6">
        <v>31.2</v>
      </c>
      <c r="I747" s="6">
        <v>62.4</v>
      </c>
      <c r="J747" s="6">
        <v>3586.0399999999995</v>
      </c>
    </row>
    <row r="748" spans="1:10" outlineLevel="1" x14ac:dyDescent="0.25">
      <c r="A748" s="8" t="s">
        <v>664</v>
      </c>
      <c r="B748" s="3" t="s">
        <v>398</v>
      </c>
      <c r="C748" s="3" t="s">
        <v>4</v>
      </c>
      <c r="D748" s="3" t="s">
        <v>5</v>
      </c>
      <c r="E748" s="3" t="s">
        <v>675</v>
      </c>
      <c r="F748" s="3" t="s">
        <v>676</v>
      </c>
      <c r="G748" s="6">
        <v>2</v>
      </c>
      <c r="H748" s="6">
        <v>31.2</v>
      </c>
      <c r="I748" s="6">
        <v>62.4</v>
      </c>
      <c r="J748" s="6">
        <v>3648.4399999999996</v>
      </c>
    </row>
    <row r="749" spans="1:10" outlineLevel="1" x14ac:dyDescent="0.25">
      <c r="A749" s="8" t="s">
        <v>664</v>
      </c>
      <c r="B749" s="3" t="s">
        <v>398</v>
      </c>
      <c r="C749" s="3" t="s">
        <v>4</v>
      </c>
      <c r="D749" s="3" t="s">
        <v>5</v>
      </c>
      <c r="E749" s="3" t="s">
        <v>677</v>
      </c>
      <c r="F749" s="3" t="s">
        <v>678</v>
      </c>
      <c r="G749" s="6">
        <v>2</v>
      </c>
      <c r="H749" s="6">
        <v>19.8</v>
      </c>
      <c r="I749" s="6">
        <v>39.6</v>
      </c>
      <c r="J749" s="6">
        <v>3688.0399999999995</v>
      </c>
    </row>
    <row r="750" spans="1:10" outlineLevel="1" x14ac:dyDescent="0.25">
      <c r="A750" s="8" t="s">
        <v>664</v>
      </c>
      <c r="B750" s="3" t="s">
        <v>398</v>
      </c>
      <c r="C750" s="3" t="s">
        <v>4</v>
      </c>
      <c r="D750" s="3" t="s">
        <v>5</v>
      </c>
      <c r="E750" s="3" t="s">
        <v>679</v>
      </c>
      <c r="F750" s="3" t="s">
        <v>680</v>
      </c>
      <c r="G750" s="6">
        <v>2</v>
      </c>
      <c r="H750" s="6">
        <v>19.8</v>
      </c>
      <c r="I750" s="6">
        <v>39.6</v>
      </c>
      <c r="J750" s="6">
        <v>3727.6399999999994</v>
      </c>
    </row>
    <row r="751" spans="1:10" outlineLevel="1" x14ac:dyDescent="0.25">
      <c r="A751" s="8" t="s">
        <v>664</v>
      </c>
      <c r="B751" s="3" t="s">
        <v>398</v>
      </c>
      <c r="C751" s="3" t="s">
        <v>4</v>
      </c>
      <c r="D751" s="3" t="s">
        <v>5</v>
      </c>
      <c r="E751" s="3" t="s">
        <v>681</v>
      </c>
      <c r="F751" s="3" t="s">
        <v>682</v>
      </c>
      <c r="G751" s="6">
        <v>2</v>
      </c>
      <c r="H751" s="6">
        <v>23.88</v>
      </c>
      <c r="I751" s="6">
        <v>47.76</v>
      </c>
      <c r="J751" s="6">
        <v>3775.3999999999996</v>
      </c>
    </row>
    <row r="752" spans="1:10" outlineLevel="1" x14ac:dyDescent="0.25">
      <c r="A752" s="8" t="s">
        <v>664</v>
      </c>
      <c r="B752" s="3" t="s">
        <v>398</v>
      </c>
      <c r="C752" s="3" t="s">
        <v>4</v>
      </c>
      <c r="D752" s="3" t="s">
        <v>5</v>
      </c>
      <c r="E752" s="3" t="s">
        <v>683</v>
      </c>
      <c r="F752" s="3" t="s">
        <v>684</v>
      </c>
      <c r="G752" s="6">
        <v>2</v>
      </c>
      <c r="H752" s="6">
        <v>19.2</v>
      </c>
      <c r="I752" s="6">
        <v>38.4</v>
      </c>
      <c r="J752" s="6">
        <v>3813.7999999999997</v>
      </c>
    </row>
    <row r="753" spans="1:10" outlineLevel="1" x14ac:dyDescent="0.25">
      <c r="A753" s="8" t="s">
        <v>664</v>
      </c>
      <c r="B753" s="3" t="s">
        <v>398</v>
      </c>
      <c r="C753" s="3" t="s">
        <v>4</v>
      </c>
      <c r="D753" s="3" t="s">
        <v>5</v>
      </c>
      <c r="E753" s="3" t="s">
        <v>686</v>
      </c>
      <c r="F753" s="3" t="s">
        <v>687</v>
      </c>
      <c r="G753" s="6">
        <v>4</v>
      </c>
      <c r="H753" s="6">
        <v>23.88</v>
      </c>
      <c r="I753" s="6">
        <v>95.52</v>
      </c>
      <c r="J753" s="6">
        <v>3909.3199999999997</v>
      </c>
    </row>
    <row r="754" spans="1:10" outlineLevel="1" x14ac:dyDescent="0.25">
      <c r="A754" s="8" t="s">
        <v>664</v>
      </c>
      <c r="B754" s="3" t="s">
        <v>398</v>
      </c>
      <c r="C754" s="3" t="s">
        <v>4</v>
      </c>
      <c r="D754" s="3" t="s">
        <v>5</v>
      </c>
      <c r="E754" s="3" t="s">
        <v>688</v>
      </c>
      <c r="F754" s="3" t="s">
        <v>689</v>
      </c>
      <c r="G754" s="6">
        <v>1</v>
      </c>
      <c r="H754" s="6">
        <v>27.48</v>
      </c>
      <c r="I754" s="6">
        <v>27.48</v>
      </c>
      <c r="J754" s="6">
        <v>3936.7999999999997</v>
      </c>
    </row>
    <row r="755" spans="1:10" outlineLevel="1" x14ac:dyDescent="0.25">
      <c r="A755" s="8" t="s">
        <v>664</v>
      </c>
      <c r="B755" s="3" t="s">
        <v>398</v>
      </c>
      <c r="C755" s="3" t="s">
        <v>4</v>
      </c>
      <c r="D755" s="3" t="s">
        <v>5</v>
      </c>
      <c r="E755" s="3" t="s">
        <v>690</v>
      </c>
      <c r="F755" s="3" t="s">
        <v>691</v>
      </c>
      <c r="G755" s="6">
        <v>4</v>
      </c>
      <c r="H755" s="6">
        <v>25.08</v>
      </c>
      <c r="I755" s="6">
        <v>100.32</v>
      </c>
      <c r="J755" s="6">
        <v>4037.12</v>
      </c>
    </row>
    <row r="756" spans="1:10" outlineLevel="1" x14ac:dyDescent="0.25">
      <c r="A756" s="8" t="s">
        <v>664</v>
      </c>
      <c r="B756" s="3" t="s">
        <v>398</v>
      </c>
      <c r="C756" s="3" t="s">
        <v>4</v>
      </c>
      <c r="D756" s="3" t="s">
        <v>5</v>
      </c>
      <c r="E756" s="3" t="s">
        <v>696</v>
      </c>
      <c r="F756" s="3" t="s">
        <v>697</v>
      </c>
      <c r="G756" s="6">
        <v>4</v>
      </c>
      <c r="H756" s="6">
        <v>31.08</v>
      </c>
      <c r="I756" s="6">
        <v>124.32</v>
      </c>
      <c r="J756" s="6">
        <v>4161.4399999999996</v>
      </c>
    </row>
    <row r="757" spans="1:10" outlineLevel="1" x14ac:dyDescent="0.25">
      <c r="A757" s="8" t="s">
        <v>664</v>
      </c>
      <c r="B757" s="3" t="s">
        <v>398</v>
      </c>
      <c r="C757" s="3" t="s">
        <v>4</v>
      </c>
      <c r="D757" s="3" t="s">
        <v>5</v>
      </c>
      <c r="E757" s="3" t="s">
        <v>698</v>
      </c>
      <c r="F757" s="3" t="s">
        <v>699</v>
      </c>
      <c r="G757" s="6">
        <v>4</v>
      </c>
      <c r="H757" s="6">
        <v>22.4</v>
      </c>
      <c r="I757" s="6">
        <v>89.6</v>
      </c>
      <c r="J757" s="6">
        <v>4251.04</v>
      </c>
    </row>
    <row r="758" spans="1:10" outlineLevel="1" x14ac:dyDescent="0.25">
      <c r="A758" s="8" t="s">
        <v>664</v>
      </c>
      <c r="B758" s="3" t="s">
        <v>398</v>
      </c>
      <c r="C758" s="3" t="s">
        <v>4</v>
      </c>
      <c r="D758" s="3" t="s">
        <v>5</v>
      </c>
      <c r="E758" s="3" t="s">
        <v>700</v>
      </c>
      <c r="F758" s="3" t="s">
        <v>701</v>
      </c>
      <c r="G758" s="6">
        <v>2</v>
      </c>
      <c r="H758" s="6">
        <v>28.62</v>
      </c>
      <c r="I758" s="6">
        <v>57.24</v>
      </c>
      <c r="J758" s="6">
        <v>4308.28</v>
      </c>
    </row>
    <row r="759" spans="1:10" outlineLevel="1" x14ac:dyDescent="0.25">
      <c r="A759" s="8" t="s">
        <v>664</v>
      </c>
      <c r="B759" s="3" t="s">
        <v>398</v>
      </c>
      <c r="C759" s="3" t="s">
        <v>4</v>
      </c>
      <c r="D759" s="3" t="s">
        <v>5</v>
      </c>
      <c r="E759" s="3" t="s">
        <v>702</v>
      </c>
      <c r="F759" s="3" t="s">
        <v>703</v>
      </c>
      <c r="G759" s="6">
        <v>2</v>
      </c>
      <c r="H759" s="6">
        <v>42.96</v>
      </c>
      <c r="I759" s="6">
        <v>85.92</v>
      </c>
      <c r="J759" s="6">
        <v>4394.2</v>
      </c>
    </row>
    <row r="760" spans="1:10" outlineLevel="1" x14ac:dyDescent="0.25">
      <c r="A760" s="8" t="s">
        <v>664</v>
      </c>
      <c r="B760" s="3" t="s">
        <v>398</v>
      </c>
      <c r="C760" s="3" t="s">
        <v>4</v>
      </c>
      <c r="D760" s="3" t="s">
        <v>5</v>
      </c>
      <c r="E760" s="3" t="s">
        <v>704</v>
      </c>
      <c r="F760" s="3" t="s">
        <v>705</v>
      </c>
      <c r="G760" s="6">
        <v>2</v>
      </c>
      <c r="H760" s="6">
        <v>42.96</v>
      </c>
      <c r="I760" s="6">
        <v>85.92</v>
      </c>
      <c r="J760" s="6">
        <v>4480.12</v>
      </c>
    </row>
    <row r="761" spans="1:10" outlineLevel="1" x14ac:dyDescent="0.25">
      <c r="A761" s="8" t="s">
        <v>664</v>
      </c>
      <c r="B761" s="3" t="s">
        <v>398</v>
      </c>
      <c r="C761" s="3" t="s">
        <v>4</v>
      </c>
      <c r="D761" s="3" t="s">
        <v>5</v>
      </c>
      <c r="E761" s="3" t="s">
        <v>706</v>
      </c>
      <c r="F761" s="3" t="s">
        <v>707</v>
      </c>
      <c r="G761" s="6">
        <v>3</v>
      </c>
      <c r="H761" s="6">
        <v>30</v>
      </c>
      <c r="I761" s="6">
        <v>90</v>
      </c>
      <c r="J761" s="6">
        <v>4570.12</v>
      </c>
    </row>
    <row r="762" spans="1:10" outlineLevel="1" x14ac:dyDescent="0.25">
      <c r="A762" s="8" t="s">
        <v>664</v>
      </c>
      <c r="B762" s="3" t="s">
        <v>398</v>
      </c>
      <c r="C762" s="3" t="s">
        <v>4</v>
      </c>
      <c r="D762" s="3" t="s">
        <v>5</v>
      </c>
      <c r="E762" s="3" t="s">
        <v>708</v>
      </c>
      <c r="F762" s="3" t="s">
        <v>709</v>
      </c>
      <c r="G762" s="6">
        <v>2</v>
      </c>
      <c r="H762" s="6">
        <v>40.56</v>
      </c>
      <c r="I762" s="6">
        <v>81.12</v>
      </c>
      <c r="J762" s="6">
        <v>4651.24</v>
      </c>
    </row>
    <row r="763" spans="1:10" outlineLevel="1" x14ac:dyDescent="0.25">
      <c r="A763" s="8" t="s">
        <v>664</v>
      </c>
      <c r="B763" s="3" t="s">
        <v>398</v>
      </c>
      <c r="C763" s="3" t="s">
        <v>4</v>
      </c>
      <c r="D763" s="3" t="s">
        <v>5</v>
      </c>
      <c r="E763" s="3" t="s">
        <v>712</v>
      </c>
      <c r="F763" s="3" t="s">
        <v>713</v>
      </c>
      <c r="G763" s="6">
        <v>3</v>
      </c>
      <c r="H763" s="6">
        <v>19.8</v>
      </c>
      <c r="I763" s="6">
        <v>59.4</v>
      </c>
      <c r="J763" s="6">
        <v>4710.6399999999994</v>
      </c>
    </row>
    <row r="764" spans="1:10" outlineLevel="1" x14ac:dyDescent="0.25">
      <c r="A764" s="8" t="s">
        <v>664</v>
      </c>
      <c r="B764" s="3" t="s">
        <v>398</v>
      </c>
      <c r="C764" s="3" t="s">
        <v>4</v>
      </c>
      <c r="D764" s="3" t="s">
        <v>5</v>
      </c>
      <c r="E764" s="3" t="s">
        <v>714</v>
      </c>
      <c r="F764" s="3" t="s">
        <v>715</v>
      </c>
      <c r="G764" s="6">
        <v>1</v>
      </c>
      <c r="H764" s="6">
        <v>48.42</v>
      </c>
      <c r="I764" s="6">
        <v>48.42</v>
      </c>
      <c r="J764" s="6">
        <v>4759.0599999999995</v>
      </c>
    </row>
    <row r="765" spans="1:10" outlineLevel="1" x14ac:dyDescent="0.25">
      <c r="A765" s="8" t="s">
        <v>664</v>
      </c>
      <c r="B765" s="3" t="s">
        <v>398</v>
      </c>
      <c r="C765" s="3" t="s">
        <v>4</v>
      </c>
      <c r="D765" s="3" t="s">
        <v>5</v>
      </c>
      <c r="E765" s="3" t="s">
        <v>716</v>
      </c>
      <c r="F765" s="3" t="s">
        <v>777</v>
      </c>
      <c r="G765" s="6">
        <v>2</v>
      </c>
      <c r="H765" s="6">
        <v>30</v>
      </c>
      <c r="I765" s="6">
        <v>60</v>
      </c>
      <c r="J765" s="6">
        <v>4819.0599999999995</v>
      </c>
    </row>
    <row r="766" spans="1:10" outlineLevel="1" x14ac:dyDescent="0.25">
      <c r="A766" s="8" t="s">
        <v>664</v>
      </c>
      <c r="B766" s="3" t="s">
        <v>398</v>
      </c>
      <c r="C766" s="3" t="s">
        <v>4</v>
      </c>
      <c r="D766" s="3" t="s">
        <v>5</v>
      </c>
      <c r="E766" s="3" t="s">
        <v>778</v>
      </c>
      <c r="F766" s="3" t="s">
        <v>779</v>
      </c>
      <c r="G766" s="6">
        <v>2</v>
      </c>
      <c r="H766" s="6">
        <v>28.8</v>
      </c>
      <c r="I766" s="6">
        <v>57.6</v>
      </c>
      <c r="J766" s="6">
        <v>4876.66</v>
      </c>
    </row>
    <row r="767" spans="1:10" outlineLevel="1" x14ac:dyDescent="0.25">
      <c r="A767" s="8" t="s">
        <v>664</v>
      </c>
      <c r="B767" s="3" t="s">
        <v>398</v>
      </c>
      <c r="C767" s="3" t="s">
        <v>4</v>
      </c>
      <c r="D767" s="3" t="s">
        <v>5</v>
      </c>
      <c r="E767" s="3" t="s">
        <v>718</v>
      </c>
      <c r="F767" s="3" t="s">
        <v>719</v>
      </c>
      <c r="G767" s="6">
        <v>2</v>
      </c>
      <c r="H767" s="6">
        <v>19.8</v>
      </c>
      <c r="I767" s="6">
        <v>39.6</v>
      </c>
      <c r="J767" s="6">
        <v>4916.26</v>
      </c>
    </row>
    <row r="768" spans="1:10" outlineLevel="1" x14ac:dyDescent="0.25">
      <c r="A768" s="8" t="s">
        <v>664</v>
      </c>
      <c r="B768" s="3" t="s">
        <v>398</v>
      </c>
      <c r="C768" s="3" t="s">
        <v>4</v>
      </c>
      <c r="D768" s="3" t="s">
        <v>5</v>
      </c>
      <c r="E768" s="3" t="s">
        <v>730</v>
      </c>
      <c r="F768" s="3" t="s">
        <v>731</v>
      </c>
      <c r="G768" s="6">
        <v>2</v>
      </c>
      <c r="H768" s="6">
        <v>28.62</v>
      </c>
      <c r="I768" s="6">
        <v>57.24</v>
      </c>
      <c r="J768" s="6">
        <v>4973.5</v>
      </c>
    </row>
    <row r="769" spans="1:10" outlineLevel="1" x14ac:dyDescent="0.25">
      <c r="A769" s="8" t="s">
        <v>664</v>
      </c>
      <c r="B769" s="3" t="s">
        <v>398</v>
      </c>
      <c r="C769" s="3" t="s">
        <v>4</v>
      </c>
      <c r="D769" s="3" t="s">
        <v>5</v>
      </c>
      <c r="E769" s="3" t="s">
        <v>780</v>
      </c>
      <c r="F769" s="3" t="s">
        <v>781</v>
      </c>
      <c r="G769" s="6">
        <v>2</v>
      </c>
      <c r="H769" s="6">
        <v>22.68</v>
      </c>
      <c r="I769" s="6">
        <v>45.36</v>
      </c>
      <c r="J769" s="6">
        <v>5018.8599999999997</v>
      </c>
    </row>
    <row r="770" spans="1:10" outlineLevel="1" x14ac:dyDescent="0.25">
      <c r="A770" s="8" t="s">
        <v>664</v>
      </c>
      <c r="B770" s="3" t="s">
        <v>398</v>
      </c>
      <c r="C770" s="3" t="s">
        <v>4</v>
      </c>
      <c r="D770" s="3" t="s">
        <v>5</v>
      </c>
      <c r="E770" s="3" t="s">
        <v>782</v>
      </c>
      <c r="F770" s="3" t="s">
        <v>783</v>
      </c>
      <c r="G770" s="6">
        <v>2</v>
      </c>
      <c r="H770" s="6">
        <v>22.68</v>
      </c>
      <c r="I770" s="6">
        <v>45.36</v>
      </c>
      <c r="J770" s="6">
        <v>5064.2199999999993</v>
      </c>
    </row>
    <row r="771" spans="1:10" outlineLevel="1" x14ac:dyDescent="0.25">
      <c r="A771" s="8" t="s">
        <v>664</v>
      </c>
      <c r="B771" s="3" t="s">
        <v>398</v>
      </c>
      <c r="C771" s="3" t="s">
        <v>4</v>
      </c>
      <c r="D771" s="3" t="s">
        <v>5</v>
      </c>
      <c r="E771" s="3" t="s">
        <v>372</v>
      </c>
      <c r="F771" s="3" t="s">
        <v>373</v>
      </c>
      <c r="G771" s="6">
        <v>3</v>
      </c>
      <c r="H771" s="6">
        <v>30</v>
      </c>
      <c r="I771" s="6">
        <v>90</v>
      </c>
      <c r="J771" s="6">
        <v>5154.2199999999993</v>
      </c>
    </row>
    <row r="772" spans="1:10" outlineLevel="1" x14ac:dyDescent="0.25">
      <c r="A772" s="8" t="s">
        <v>664</v>
      </c>
      <c r="B772" s="3" t="s">
        <v>398</v>
      </c>
      <c r="C772" s="3" t="s">
        <v>4</v>
      </c>
      <c r="D772" s="3" t="s">
        <v>5</v>
      </c>
      <c r="E772" s="3" t="s">
        <v>374</v>
      </c>
      <c r="F772" s="3" t="s">
        <v>375</v>
      </c>
      <c r="G772" s="6">
        <v>3</v>
      </c>
      <c r="H772" s="6">
        <v>29.7</v>
      </c>
      <c r="I772" s="6">
        <v>89.1</v>
      </c>
      <c r="J772" s="6">
        <v>5243.32</v>
      </c>
    </row>
    <row r="773" spans="1:10" outlineLevel="1" x14ac:dyDescent="0.25">
      <c r="A773" s="8" t="s">
        <v>664</v>
      </c>
      <c r="B773" s="3" t="s">
        <v>398</v>
      </c>
      <c r="C773" s="3" t="s">
        <v>4</v>
      </c>
      <c r="D773" s="3" t="s">
        <v>5</v>
      </c>
      <c r="E773" s="3" t="s">
        <v>756</v>
      </c>
      <c r="F773" s="3" t="s">
        <v>757</v>
      </c>
      <c r="G773" s="6">
        <v>2</v>
      </c>
      <c r="H773" s="6">
        <v>12</v>
      </c>
      <c r="I773" s="6">
        <v>24</v>
      </c>
      <c r="J773" s="6">
        <v>5267.32</v>
      </c>
    </row>
    <row r="774" spans="1:10" outlineLevel="1" x14ac:dyDescent="0.25">
      <c r="A774" s="8" t="s">
        <v>664</v>
      </c>
      <c r="B774" s="3" t="s">
        <v>398</v>
      </c>
      <c r="C774" s="3" t="s">
        <v>4</v>
      </c>
      <c r="D774" s="3" t="s">
        <v>5</v>
      </c>
      <c r="E774" s="3" t="s">
        <v>784</v>
      </c>
      <c r="F774" s="3" t="s">
        <v>785</v>
      </c>
      <c r="G774" s="6">
        <v>2</v>
      </c>
      <c r="H774" s="6">
        <v>12</v>
      </c>
      <c r="I774" s="6">
        <v>24</v>
      </c>
      <c r="J774" s="6">
        <v>5291.32</v>
      </c>
    </row>
    <row r="775" spans="1:10" outlineLevel="1" x14ac:dyDescent="0.25">
      <c r="A775" s="8" t="s">
        <v>664</v>
      </c>
      <c r="B775" s="3" t="s">
        <v>398</v>
      </c>
      <c r="C775" s="3" t="s">
        <v>4</v>
      </c>
      <c r="D775" s="3" t="s">
        <v>5</v>
      </c>
      <c r="E775" s="3" t="s">
        <v>734</v>
      </c>
      <c r="F775" s="3" t="s">
        <v>735</v>
      </c>
      <c r="G775" s="6">
        <v>3</v>
      </c>
      <c r="H775" s="6">
        <v>11.88</v>
      </c>
      <c r="I775" s="6">
        <v>35.64</v>
      </c>
      <c r="J775" s="6">
        <v>5326.96</v>
      </c>
    </row>
    <row r="776" spans="1:10" outlineLevel="1" x14ac:dyDescent="0.25">
      <c r="A776" s="8" t="s">
        <v>664</v>
      </c>
      <c r="B776" s="3" t="s">
        <v>398</v>
      </c>
      <c r="C776" s="3" t="s">
        <v>4</v>
      </c>
      <c r="D776" s="3" t="s">
        <v>5</v>
      </c>
      <c r="E776" s="3" t="s">
        <v>732</v>
      </c>
      <c r="F776" s="3" t="s">
        <v>733</v>
      </c>
      <c r="G776" s="6">
        <v>2</v>
      </c>
      <c r="H776" s="6">
        <v>11.88</v>
      </c>
      <c r="I776" s="6">
        <v>23.76</v>
      </c>
      <c r="J776" s="6">
        <v>5350.72</v>
      </c>
    </row>
    <row r="777" spans="1:10" outlineLevel="1" x14ac:dyDescent="0.25">
      <c r="A777" s="8" t="s">
        <v>664</v>
      </c>
      <c r="B777" s="3" t="s">
        <v>398</v>
      </c>
      <c r="C777" s="3" t="s">
        <v>4</v>
      </c>
      <c r="D777" s="3" t="s">
        <v>5</v>
      </c>
      <c r="E777" s="3" t="s">
        <v>736</v>
      </c>
      <c r="F777" s="3" t="s">
        <v>737</v>
      </c>
      <c r="G777" s="6">
        <v>2</v>
      </c>
      <c r="H777" s="6">
        <v>8.48</v>
      </c>
      <c r="I777" s="6">
        <v>16.96</v>
      </c>
      <c r="J777" s="6">
        <v>5367.68</v>
      </c>
    </row>
    <row r="778" spans="1:10" outlineLevel="1" x14ac:dyDescent="0.25">
      <c r="A778" s="8" t="s">
        <v>664</v>
      </c>
      <c r="B778" s="3" t="s">
        <v>398</v>
      </c>
      <c r="C778" s="3" t="s">
        <v>4</v>
      </c>
      <c r="D778" s="3" t="s">
        <v>5</v>
      </c>
      <c r="E778" s="3" t="s">
        <v>738</v>
      </c>
      <c r="F778" s="3" t="s">
        <v>738</v>
      </c>
      <c r="G778" s="6">
        <v>3</v>
      </c>
      <c r="H778" s="6">
        <v>8.48</v>
      </c>
      <c r="I778" s="6">
        <v>25.44</v>
      </c>
      <c r="J778" s="6">
        <v>5393.12</v>
      </c>
    </row>
    <row r="779" spans="1:10" outlineLevel="1" x14ac:dyDescent="0.25">
      <c r="A779" s="8" t="s">
        <v>664</v>
      </c>
      <c r="B779" s="3" t="s">
        <v>398</v>
      </c>
      <c r="C779" s="3" t="s">
        <v>4</v>
      </c>
      <c r="D779" s="3" t="s">
        <v>5</v>
      </c>
      <c r="E779" s="3" t="s">
        <v>741</v>
      </c>
      <c r="F779" s="3" t="s">
        <v>742</v>
      </c>
      <c r="G779" s="6">
        <v>2</v>
      </c>
      <c r="H779" s="6">
        <v>13.08</v>
      </c>
      <c r="I779" s="6">
        <v>26.16</v>
      </c>
      <c r="J779" s="6">
        <v>5419.28</v>
      </c>
    </row>
    <row r="780" spans="1:10" outlineLevel="1" x14ac:dyDescent="0.25">
      <c r="A780" s="8" t="s">
        <v>664</v>
      </c>
      <c r="B780" s="3" t="s">
        <v>398</v>
      </c>
      <c r="C780" s="3" t="s">
        <v>4</v>
      </c>
      <c r="D780" s="3" t="s">
        <v>5</v>
      </c>
      <c r="E780" s="3" t="s">
        <v>786</v>
      </c>
      <c r="F780" s="3" t="s">
        <v>787</v>
      </c>
      <c r="G780" s="6">
        <v>1</v>
      </c>
      <c r="H780" s="6">
        <v>21.36</v>
      </c>
      <c r="I780" s="6">
        <v>21.36</v>
      </c>
      <c r="J780" s="6">
        <v>5440.6399999999994</v>
      </c>
    </row>
    <row r="781" spans="1:10" outlineLevel="1" x14ac:dyDescent="0.25">
      <c r="A781" s="8" t="s">
        <v>664</v>
      </c>
      <c r="B781" s="3" t="s">
        <v>398</v>
      </c>
      <c r="C781" s="3" t="s">
        <v>4</v>
      </c>
      <c r="D781" s="3" t="s">
        <v>5</v>
      </c>
      <c r="E781" s="3" t="s">
        <v>788</v>
      </c>
      <c r="F781" s="3" t="s">
        <v>789</v>
      </c>
      <c r="G781" s="6">
        <v>2</v>
      </c>
      <c r="H781" s="6">
        <v>12</v>
      </c>
      <c r="I781" s="6">
        <v>24</v>
      </c>
      <c r="J781" s="6">
        <v>5464.6399999999994</v>
      </c>
    </row>
    <row r="782" spans="1:10" outlineLevel="1" x14ac:dyDescent="0.25">
      <c r="A782" s="8" t="s">
        <v>664</v>
      </c>
      <c r="B782" s="3" t="s">
        <v>398</v>
      </c>
      <c r="C782" s="3" t="s">
        <v>4</v>
      </c>
      <c r="D782" s="3" t="s">
        <v>5</v>
      </c>
      <c r="E782" s="3" t="s">
        <v>62</v>
      </c>
      <c r="F782" s="3" t="s">
        <v>790</v>
      </c>
      <c r="G782" s="6">
        <v>5</v>
      </c>
      <c r="H782" s="6">
        <v>12.8</v>
      </c>
      <c r="I782" s="6">
        <v>64</v>
      </c>
      <c r="J782" s="6">
        <v>5528.6399999999994</v>
      </c>
    </row>
    <row r="783" spans="1:10" outlineLevel="1" x14ac:dyDescent="0.25">
      <c r="A783" s="8" t="s">
        <v>664</v>
      </c>
      <c r="B783" s="3" t="s">
        <v>398</v>
      </c>
      <c r="C783" s="3" t="s">
        <v>4</v>
      </c>
      <c r="D783" s="3" t="s">
        <v>5</v>
      </c>
      <c r="E783" s="3" t="s">
        <v>56</v>
      </c>
      <c r="F783" s="3" t="s">
        <v>791</v>
      </c>
      <c r="G783" s="6">
        <v>5</v>
      </c>
      <c r="H783" s="6">
        <v>47.76</v>
      </c>
      <c r="I783" s="6">
        <v>238.8</v>
      </c>
      <c r="J783" s="6">
        <v>5767.44</v>
      </c>
    </row>
    <row r="784" spans="1:10" outlineLevel="1" x14ac:dyDescent="0.25">
      <c r="A784" s="8" t="s">
        <v>664</v>
      </c>
      <c r="B784" s="3" t="s">
        <v>398</v>
      </c>
      <c r="C784" s="3" t="s">
        <v>4</v>
      </c>
      <c r="D784" s="3" t="s">
        <v>5</v>
      </c>
      <c r="E784" s="3" t="s">
        <v>58</v>
      </c>
      <c r="F784" s="3" t="s">
        <v>792</v>
      </c>
      <c r="G784" s="6">
        <v>5</v>
      </c>
      <c r="H784" s="6">
        <v>53.64</v>
      </c>
      <c r="I784" s="6">
        <v>268.2</v>
      </c>
      <c r="J784" s="6">
        <v>6035.6399999999994</v>
      </c>
    </row>
    <row r="785" spans="1:10" outlineLevel="1" x14ac:dyDescent="0.25">
      <c r="A785" s="8" t="s">
        <v>664</v>
      </c>
      <c r="B785" s="3" t="s">
        <v>398</v>
      </c>
      <c r="C785" s="3" t="s">
        <v>4</v>
      </c>
      <c r="D785" s="3" t="s">
        <v>5</v>
      </c>
      <c r="E785" s="3" t="s">
        <v>84</v>
      </c>
      <c r="F785" s="3" t="s">
        <v>793</v>
      </c>
      <c r="G785" s="6">
        <v>5</v>
      </c>
      <c r="H785" s="6">
        <v>46.44</v>
      </c>
      <c r="I785" s="6">
        <v>232.2</v>
      </c>
      <c r="J785" s="6">
        <v>6267.8399999999992</v>
      </c>
    </row>
    <row r="786" spans="1:10" outlineLevel="1" x14ac:dyDescent="0.25">
      <c r="A786" s="8" t="s">
        <v>664</v>
      </c>
      <c r="B786" s="3" t="s">
        <v>398</v>
      </c>
      <c r="C786" s="3" t="s">
        <v>4</v>
      </c>
      <c r="D786" s="3" t="s">
        <v>5</v>
      </c>
      <c r="E786" s="3" t="s">
        <v>64</v>
      </c>
      <c r="F786" s="3" t="s">
        <v>794</v>
      </c>
      <c r="G786" s="6">
        <v>5</v>
      </c>
      <c r="H786" s="6">
        <v>47.56</v>
      </c>
      <c r="I786" s="6">
        <v>237.8</v>
      </c>
      <c r="J786" s="6">
        <v>6505.6399999999994</v>
      </c>
    </row>
    <row r="787" spans="1:10" outlineLevel="1" x14ac:dyDescent="0.25">
      <c r="A787" s="8" t="s">
        <v>664</v>
      </c>
      <c r="B787" s="3" t="s">
        <v>398</v>
      </c>
      <c r="C787" s="3" t="s">
        <v>4</v>
      </c>
      <c r="D787" s="3" t="s">
        <v>5</v>
      </c>
      <c r="E787" s="3" t="s">
        <v>795</v>
      </c>
      <c r="F787" s="3" t="s">
        <v>796</v>
      </c>
      <c r="G787" s="6">
        <v>5</v>
      </c>
      <c r="H787" s="6">
        <v>20</v>
      </c>
      <c r="I787" s="6">
        <v>100</v>
      </c>
      <c r="J787" s="6">
        <v>6605.6399999999994</v>
      </c>
    </row>
    <row r="788" spans="1:10" outlineLevel="1" x14ac:dyDescent="0.25">
      <c r="A788" s="8" t="s">
        <v>664</v>
      </c>
      <c r="B788" s="3" t="s">
        <v>398</v>
      </c>
      <c r="C788" s="3" t="s">
        <v>4</v>
      </c>
      <c r="D788" s="3" t="s">
        <v>5</v>
      </c>
      <c r="E788" s="3" t="s">
        <v>797</v>
      </c>
      <c r="F788" s="3" t="s">
        <v>798</v>
      </c>
      <c r="G788" s="6">
        <v>4</v>
      </c>
      <c r="H788" s="6">
        <v>20</v>
      </c>
      <c r="I788" s="6">
        <v>80</v>
      </c>
      <c r="J788" s="6">
        <v>6685.6399999999994</v>
      </c>
    </row>
    <row r="789" spans="1:10" outlineLevel="1" x14ac:dyDescent="0.25">
      <c r="A789" s="8" t="s">
        <v>664</v>
      </c>
      <c r="B789" s="3" t="s">
        <v>398</v>
      </c>
      <c r="C789" s="3" t="s">
        <v>4</v>
      </c>
      <c r="D789" s="3" t="s">
        <v>5</v>
      </c>
      <c r="E789" s="3" t="s">
        <v>799</v>
      </c>
      <c r="F789" s="3" t="s">
        <v>800</v>
      </c>
      <c r="G789" s="6">
        <v>3</v>
      </c>
      <c r="H789" s="6">
        <v>24</v>
      </c>
      <c r="I789" s="6">
        <v>72</v>
      </c>
      <c r="J789" s="6">
        <v>6757.6399999999994</v>
      </c>
    </row>
    <row r="790" spans="1:10" outlineLevel="1" x14ac:dyDescent="0.25">
      <c r="A790" s="8" t="s">
        <v>664</v>
      </c>
      <c r="B790" s="3" t="s">
        <v>398</v>
      </c>
      <c r="C790" s="3" t="s">
        <v>4</v>
      </c>
      <c r="D790" s="3" t="s">
        <v>5</v>
      </c>
      <c r="E790" s="3" t="s">
        <v>801</v>
      </c>
      <c r="F790" s="3" t="s">
        <v>802</v>
      </c>
      <c r="G790" s="6">
        <v>3</v>
      </c>
      <c r="H790" s="6">
        <v>24</v>
      </c>
      <c r="I790" s="6">
        <v>72</v>
      </c>
      <c r="J790" s="6">
        <v>6829.6399999999994</v>
      </c>
    </row>
    <row r="791" spans="1:10" outlineLevel="1" x14ac:dyDescent="0.25">
      <c r="A791" s="8" t="s">
        <v>664</v>
      </c>
      <c r="B791" s="3" t="s">
        <v>398</v>
      </c>
      <c r="C791" s="3" t="s">
        <v>4</v>
      </c>
      <c r="D791" s="3" t="s">
        <v>5</v>
      </c>
      <c r="E791" s="3" t="s">
        <v>803</v>
      </c>
      <c r="F791" s="3" t="s">
        <v>804</v>
      </c>
      <c r="G791" s="6">
        <v>2</v>
      </c>
      <c r="H791" s="6">
        <v>24</v>
      </c>
      <c r="I791" s="6">
        <v>48</v>
      </c>
      <c r="J791" s="6">
        <v>6877.6399999999994</v>
      </c>
    </row>
    <row r="792" spans="1:10" outlineLevel="1" x14ac:dyDescent="0.25">
      <c r="A792" s="8" t="s">
        <v>664</v>
      </c>
      <c r="B792" s="3" t="s">
        <v>398</v>
      </c>
      <c r="C792" s="3" t="s">
        <v>4</v>
      </c>
      <c r="D792" s="3" t="s">
        <v>5</v>
      </c>
      <c r="E792" s="3" t="s">
        <v>805</v>
      </c>
      <c r="F792" s="3" t="s">
        <v>806</v>
      </c>
      <c r="G792" s="6">
        <v>2</v>
      </c>
      <c r="H792" s="6">
        <v>24</v>
      </c>
      <c r="I792" s="6">
        <v>48</v>
      </c>
      <c r="J792" s="6">
        <v>6925.6399999999994</v>
      </c>
    </row>
    <row r="793" spans="1:10" outlineLevel="1" x14ac:dyDescent="0.25">
      <c r="A793" s="8" t="s">
        <v>664</v>
      </c>
      <c r="B793" s="3" t="s">
        <v>398</v>
      </c>
      <c r="C793" s="3" t="s">
        <v>4</v>
      </c>
      <c r="D793" s="3" t="s">
        <v>5</v>
      </c>
      <c r="E793" s="3" t="s">
        <v>807</v>
      </c>
      <c r="F793" s="3" t="s">
        <v>808</v>
      </c>
      <c r="G793" s="6">
        <v>2</v>
      </c>
      <c r="H793" s="6">
        <v>20</v>
      </c>
      <c r="I793" s="6">
        <v>40</v>
      </c>
      <c r="J793" s="6">
        <v>6965.6399999999994</v>
      </c>
    </row>
    <row r="794" spans="1:10" outlineLevel="1" x14ac:dyDescent="0.25">
      <c r="A794" s="8" t="s">
        <v>664</v>
      </c>
      <c r="B794" s="3" t="s">
        <v>398</v>
      </c>
      <c r="C794" s="3" t="s">
        <v>4</v>
      </c>
      <c r="D794" s="3" t="s">
        <v>5</v>
      </c>
      <c r="E794" s="3" t="s">
        <v>758</v>
      </c>
      <c r="F794" s="3" t="s">
        <v>759</v>
      </c>
      <c r="G794" s="6">
        <v>1</v>
      </c>
      <c r="H794" s="6">
        <v>35</v>
      </c>
      <c r="I794" s="6">
        <v>35</v>
      </c>
      <c r="J794" s="6">
        <v>7000.6399999999994</v>
      </c>
    </row>
    <row r="795" spans="1:10" outlineLevel="1" x14ac:dyDescent="0.25">
      <c r="A795" s="8" t="s">
        <v>664</v>
      </c>
      <c r="B795" s="3" t="s">
        <v>398</v>
      </c>
      <c r="C795" s="3" t="s">
        <v>4</v>
      </c>
      <c r="D795" s="3" t="s">
        <v>5</v>
      </c>
      <c r="E795" s="3" t="s">
        <v>809</v>
      </c>
      <c r="F795" s="3" t="s">
        <v>810</v>
      </c>
      <c r="G795" s="6">
        <v>3</v>
      </c>
      <c r="H795" s="6">
        <v>30.6</v>
      </c>
      <c r="I795" s="6">
        <v>91.8</v>
      </c>
      <c r="J795" s="6">
        <v>7092.44</v>
      </c>
    </row>
    <row r="796" spans="1:10" outlineLevel="1" x14ac:dyDescent="0.25">
      <c r="A796" s="8" t="s">
        <v>664</v>
      </c>
      <c r="B796" s="3" t="s">
        <v>398</v>
      </c>
      <c r="C796" s="3" t="s">
        <v>4</v>
      </c>
      <c r="D796" s="3" t="s">
        <v>5</v>
      </c>
      <c r="E796" s="3" t="s">
        <v>811</v>
      </c>
      <c r="F796" s="3" t="s">
        <v>812</v>
      </c>
      <c r="G796" s="6">
        <v>5</v>
      </c>
      <c r="H796" s="6">
        <v>49.8</v>
      </c>
      <c r="I796" s="6">
        <v>249</v>
      </c>
      <c r="J796" s="6">
        <v>7341.44</v>
      </c>
    </row>
    <row r="797" spans="1:10" outlineLevel="1" x14ac:dyDescent="0.25">
      <c r="A797" s="8" t="s">
        <v>664</v>
      </c>
      <c r="B797" s="3" t="s">
        <v>398</v>
      </c>
      <c r="C797" s="3" t="s">
        <v>4</v>
      </c>
      <c r="D797" s="3" t="s">
        <v>5</v>
      </c>
      <c r="E797" s="3" t="s">
        <v>762</v>
      </c>
      <c r="F797" s="3" t="s">
        <v>763</v>
      </c>
      <c r="G797" s="6">
        <v>3</v>
      </c>
      <c r="H797" s="6">
        <v>36</v>
      </c>
      <c r="I797" s="6">
        <v>108</v>
      </c>
      <c r="J797" s="6">
        <v>7449.44</v>
      </c>
    </row>
    <row r="798" spans="1:10" outlineLevel="1" x14ac:dyDescent="0.25">
      <c r="A798" s="8" t="s">
        <v>664</v>
      </c>
      <c r="B798" s="3" t="s">
        <v>398</v>
      </c>
      <c r="C798" s="3" t="s">
        <v>4</v>
      </c>
      <c r="D798" s="3" t="s">
        <v>5</v>
      </c>
      <c r="E798" s="3" t="s">
        <v>813</v>
      </c>
      <c r="F798" s="3" t="s">
        <v>814</v>
      </c>
      <c r="G798" s="6">
        <v>3</v>
      </c>
      <c r="H798" s="6">
        <v>51</v>
      </c>
      <c r="I798" s="6">
        <v>153</v>
      </c>
      <c r="J798" s="6">
        <v>7602.44</v>
      </c>
    </row>
    <row r="799" spans="1:10" outlineLevel="1" x14ac:dyDescent="0.25">
      <c r="A799" s="8" t="s">
        <v>664</v>
      </c>
      <c r="B799" s="3" t="s">
        <v>398</v>
      </c>
      <c r="C799" s="3" t="s">
        <v>4</v>
      </c>
      <c r="D799" s="3" t="s">
        <v>5</v>
      </c>
      <c r="E799" s="3" t="s">
        <v>815</v>
      </c>
      <c r="F799" s="3" t="s">
        <v>816</v>
      </c>
      <c r="G799" s="6">
        <v>3</v>
      </c>
      <c r="H799" s="6">
        <v>45</v>
      </c>
      <c r="I799" s="6">
        <v>135</v>
      </c>
      <c r="J799" s="6">
        <v>7737.44</v>
      </c>
    </row>
    <row r="800" spans="1:10" outlineLevel="1" x14ac:dyDescent="0.25">
      <c r="A800" s="8" t="s">
        <v>664</v>
      </c>
      <c r="B800" s="3" t="s">
        <v>398</v>
      </c>
      <c r="C800" s="3" t="s">
        <v>4</v>
      </c>
      <c r="D800" s="3" t="s">
        <v>5</v>
      </c>
      <c r="E800" s="3" t="s">
        <v>817</v>
      </c>
      <c r="F800" s="3" t="s">
        <v>818</v>
      </c>
      <c r="G800" s="6">
        <v>2</v>
      </c>
      <c r="H800" s="6">
        <v>43.2</v>
      </c>
      <c r="I800" s="6">
        <v>86.4</v>
      </c>
      <c r="J800" s="6">
        <v>7823.8399999999992</v>
      </c>
    </row>
    <row r="801" spans="1:10" outlineLevel="1" x14ac:dyDescent="0.25">
      <c r="A801" s="8" t="s">
        <v>664</v>
      </c>
      <c r="B801" s="3" t="s">
        <v>398</v>
      </c>
      <c r="C801" s="3" t="s">
        <v>4</v>
      </c>
      <c r="D801" s="3" t="s">
        <v>5</v>
      </c>
      <c r="E801" s="3" t="s">
        <v>764</v>
      </c>
      <c r="F801" s="3" t="s">
        <v>765</v>
      </c>
      <c r="G801" s="6">
        <v>2</v>
      </c>
      <c r="H801" s="6">
        <v>32.4</v>
      </c>
      <c r="I801" s="6">
        <v>64.8</v>
      </c>
      <c r="J801" s="6">
        <v>7888.6399999999994</v>
      </c>
    </row>
    <row r="802" spans="1:10" outlineLevel="1" x14ac:dyDescent="0.25">
      <c r="A802" s="8" t="s">
        <v>664</v>
      </c>
      <c r="B802" s="3" t="s">
        <v>398</v>
      </c>
      <c r="C802" s="3" t="s">
        <v>4</v>
      </c>
      <c r="D802" s="3" t="s">
        <v>5</v>
      </c>
      <c r="E802" s="3" t="s">
        <v>768</v>
      </c>
      <c r="F802" s="3" t="s">
        <v>769</v>
      </c>
      <c r="G802" s="6">
        <v>1</v>
      </c>
      <c r="H802" s="6">
        <v>47.8</v>
      </c>
      <c r="I802" s="6">
        <v>47.8</v>
      </c>
      <c r="J802" s="6">
        <v>7936.44</v>
      </c>
    </row>
    <row r="803" spans="1:10" outlineLevel="1" x14ac:dyDescent="0.25">
      <c r="A803" s="8" t="s">
        <v>664</v>
      </c>
      <c r="B803" s="3" t="s">
        <v>398</v>
      </c>
      <c r="C803" s="3" t="s">
        <v>4</v>
      </c>
      <c r="D803" s="3" t="s">
        <v>5</v>
      </c>
      <c r="E803" s="3" t="s">
        <v>770</v>
      </c>
      <c r="F803" s="3" t="s">
        <v>771</v>
      </c>
      <c r="G803" s="6">
        <v>3</v>
      </c>
      <c r="H803" s="6">
        <v>35</v>
      </c>
      <c r="I803" s="6">
        <v>105</v>
      </c>
      <c r="J803" s="6">
        <v>8041.44</v>
      </c>
    </row>
    <row r="804" spans="1:10" outlineLevel="1" x14ac:dyDescent="0.25">
      <c r="A804" s="8" t="s">
        <v>664</v>
      </c>
      <c r="B804" s="3" t="s">
        <v>398</v>
      </c>
      <c r="C804" s="3" t="s">
        <v>4</v>
      </c>
      <c r="D804" s="3" t="s">
        <v>5</v>
      </c>
      <c r="E804" s="3" t="s">
        <v>774</v>
      </c>
      <c r="F804" s="3" t="s">
        <v>775</v>
      </c>
      <c r="G804" s="6">
        <v>2</v>
      </c>
      <c r="H804" s="6">
        <v>25.08</v>
      </c>
      <c r="I804" s="6">
        <v>50.16</v>
      </c>
      <c r="J804" s="6">
        <v>8091.5999999999995</v>
      </c>
    </row>
    <row r="805" spans="1:10" outlineLevel="1" x14ac:dyDescent="0.25">
      <c r="A805" s="8" t="s">
        <v>664</v>
      </c>
      <c r="B805" s="3" t="s">
        <v>398</v>
      </c>
      <c r="C805" s="3" t="s">
        <v>4</v>
      </c>
      <c r="D805" s="3" t="s">
        <v>5</v>
      </c>
      <c r="E805" s="3" t="s">
        <v>819</v>
      </c>
      <c r="F805" s="3" t="s">
        <v>820</v>
      </c>
      <c r="G805" s="6">
        <v>2</v>
      </c>
      <c r="H805" s="6">
        <v>27.48</v>
      </c>
      <c r="I805" s="6">
        <v>54.96</v>
      </c>
      <c r="J805" s="6">
        <v>8146.5599999999995</v>
      </c>
    </row>
    <row r="806" spans="1:10" outlineLevel="1" x14ac:dyDescent="0.25">
      <c r="A806" s="8" t="s">
        <v>664</v>
      </c>
      <c r="B806" s="3" t="s">
        <v>821</v>
      </c>
      <c r="C806" s="3" t="s">
        <v>4</v>
      </c>
      <c r="D806" s="3" t="s">
        <v>822</v>
      </c>
      <c r="E806" s="3" t="s">
        <v>667</v>
      </c>
      <c r="F806" s="3" t="s">
        <v>668</v>
      </c>
      <c r="G806" s="6">
        <v>6</v>
      </c>
      <c r="H806" s="6">
        <v>28.8</v>
      </c>
      <c r="I806" s="6">
        <v>172.8</v>
      </c>
      <c r="J806" s="6">
        <v>8319.3599999999988</v>
      </c>
    </row>
    <row r="807" spans="1:10" outlineLevel="1" x14ac:dyDescent="0.25">
      <c r="A807" s="8" t="s">
        <v>664</v>
      </c>
      <c r="B807" s="3" t="s">
        <v>821</v>
      </c>
      <c r="C807" s="3" t="s">
        <v>4</v>
      </c>
      <c r="D807" s="3" t="s">
        <v>822</v>
      </c>
      <c r="E807" s="3" t="s">
        <v>669</v>
      </c>
      <c r="F807" s="3" t="s">
        <v>670</v>
      </c>
      <c r="G807" s="6">
        <v>6</v>
      </c>
      <c r="H807" s="6">
        <v>28.8</v>
      </c>
      <c r="I807" s="6">
        <v>172.8</v>
      </c>
      <c r="J807" s="6">
        <v>8492.159999999998</v>
      </c>
    </row>
    <row r="808" spans="1:10" outlineLevel="1" x14ac:dyDescent="0.25">
      <c r="A808" s="8" t="s">
        <v>664</v>
      </c>
      <c r="B808" s="3" t="s">
        <v>821</v>
      </c>
      <c r="C808" s="3" t="s">
        <v>4</v>
      </c>
      <c r="D808" s="3" t="s">
        <v>822</v>
      </c>
      <c r="E808" s="3" t="s">
        <v>671</v>
      </c>
      <c r="F808" s="3" t="s">
        <v>672</v>
      </c>
      <c r="G808" s="6">
        <v>6</v>
      </c>
      <c r="H808" s="6">
        <v>30.96</v>
      </c>
      <c r="I808" s="6">
        <v>185.76</v>
      </c>
      <c r="J808" s="6">
        <v>8677.9199999999983</v>
      </c>
    </row>
    <row r="809" spans="1:10" outlineLevel="1" x14ac:dyDescent="0.25">
      <c r="A809" s="8" t="s">
        <v>664</v>
      </c>
      <c r="B809" s="3" t="s">
        <v>821</v>
      </c>
      <c r="C809" s="3" t="s">
        <v>4</v>
      </c>
      <c r="D809" s="3" t="s">
        <v>822</v>
      </c>
      <c r="E809" s="3" t="s">
        <v>823</v>
      </c>
      <c r="F809" s="3" t="s">
        <v>824</v>
      </c>
      <c r="G809" s="6">
        <v>6</v>
      </c>
      <c r="H809" s="6">
        <v>38.159999999999997</v>
      </c>
      <c r="I809" s="6">
        <v>228.96</v>
      </c>
      <c r="J809" s="6">
        <v>8906.8799999999974</v>
      </c>
    </row>
    <row r="810" spans="1:10" outlineLevel="1" x14ac:dyDescent="0.25">
      <c r="A810" s="8" t="s">
        <v>664</v>
      </c>
      <c r="B810" s="3" t="s">
        <v>821</v>
      </c>
      <c r="C810" s="3" t="s">
        <v>4</v>
      </c>
      <c r="D810" s="3" t="s">
        <v>822</v>
      </c>
      <c r="E810" s="3" t="s">
        <v>673</v>
      </c>
      <c r="F810" s="3" t="s">
        <v>674</v>
      </c>
      <c r="G810" s="6">
        <v>4</v>
      </c>
      <c r="H810" s="6">
        <v>31.2</v>
      </c>
      <c r="I810" s="6">
        <v>124.8</v>
      </c>
      <c r="J810" s="6">
        <v>9031.6799999999967</v>
      </c>
    </row>
    <row r="811" spans="1:10" outlineLevel="1" x14ac:dyDescent="0.25">
      <c r="A811" s="8" t="s">
        <v>664</v>
      </c>
      <c r="B811" s="3" t="s">
        <v>821</v>
      </c>
      <c r="C811" s="3" t="s">
        <v>4</v>
      </c>
      <c r="D811" s="3" t="s">
        <v>822</v>
      </c>
      <c r="E811" s="3" t="s">
        <v>825</v>
      </c>
      <c r="F811" s="3" t="s">
        <v>826</v>
      </c>
      <c r="G811" s="6">
        <v>4</v>
      </c>
      <c r="H811" s="6">
        <v>30</v>
      </c>
      <c r="I811" s="6">
        <v>120</v>
      </c>
      <c r="J811" s="6">
        <v>9151.6799999999967</v>
      </c>
    </row>
    <row r="812" spans="1:10" outlineLevel="1" x14ac:dyDescent="0.25">
      <c r="A812" s="8" t="s">
        <v>664</v>
      </c>
      <c r="B812" s="3" t="s">
        <v>821</v>
      </c>
      <c r="C812" s="3" t="s">
        <v>4</v>
      </c>
      <c r="D812" s="3" t="s">
        <v>822</v>
      </c>
      <c r="E812" s="3" t="s">
        <v>675</v>
      </c>
      <c r="F812" s="3" t="s">
        <v>676</v>
      </c>
      <c r="G812" s="6">
        <v>6</v>
      </c>
      <c r="H812" s="6">
        <v>31.2</v>
      </c>
      <c r="I812" s="6">
        <v>187.2</v>
      </c>
      <c r="J812" s="6">
        <v>9338.8799999999974</v>
      </c>
    </row>
    <row r="813" spans="1:10" outlineLevel="1" x14ac:dyDescent="0.25">
      <c r="A813" s="8" t="s">
        <v>664</v>
      </c>
      <c r="B813" s="3" t="s">
        <v>821</v>
      </c>
      <c r="C813" s="3" t="s">
        <v>4</v>
      </c>
      <c r="D813" s="3" t="s">
        <v>822</v>
      </c>
      <c r="E813" s="3" t="s">
        <v>679</v>
      </c>
      <c r="F813" s="3" t="s">
        <v>680</v>
      </c>
      <c r="G813" s="6">
        <v>6</v>
      </c>
      <c r="H813" s="6">
        <v>19.8</v>
      </c>
      <c r="I813" s="6">
        <v>118.8</v>
      </c>
      <c r="J813" s="6">
        <v>9457.6799999999967</v>
      </c>
    </row>
    <row r="814" spans="1:10" outlineLevel="1" x14ac:dyDescent="0.25">
      <c r="A814" s="8" t="s">
        <v>664</v>
      </c>
      <c r="B814" s="3" t="s">
        <v>821</v>
      </c>
      <c r="C814" s="3" t="s">
        <v>4</v>
      </c>
      <c r="D814" s="3" t="s">
        <v>822</v>
      </c>
      <c r="E814" s="3" t="s">
        <v>681</v>
      </c>
      <c r="F814" s="3" t="s">
        <v>682</v>
      </c>
      <c r="G814" s="6">
        <v>4</v>
      </c>
      <c r="H814" s="6">
        <v>23.88</v>
      </c>
      <c r="I814" s="6">
        <v>95.52</v>
      </c>
      <c r="J814" s="6">
        <v>9553.1999999999971</v>
      </c>
    </row>
    <row r="815" spans="1:10" outlineLevel="1" x14ac:dyDescent="0.25">
      <c r="A815" s="8" t="s">
        <v>664</v>
      </c>
      <c r="B815" s="3" t="s">
        <v>821</v>
      </c>
      <c r="C815" s="3" t="s">
        <v>4</v>
      </c>
      <c r="D815" s="3" t="s">
        <v>822</v>
      </c>
      <c r="E815" s="3" t="s">
        <v>683</v>
      </c>
      <c r="F815" s="3" t="s">
        <v>684</v>
      </c>
      <c r="G815" s="6">
        <v>6</v>
      </c>
      <c r="H815" s="6">
        <v>19.2</v>
      </c>
      <c r="I815" s="6">
        <v>115.2</v>
      </c>
      <c r="J815" s="6">
        <v>9668.3999999999978</v>
      </c>
    </row>
    <row r="816" spans="1:10" outlineLevel="1" x14ac:dyDescent="0.25">
      <c r="A816" s="8" t="s">
        <v>664</v>
      </c>
      <c r="B816" s="3" t="s">
        <v>821</v>
      </c>
      <c r="C816" s="3" t="s">
        <v>4</v>
      </c>
      <c r="D816" s="3" t="s">
        <v>822</v>
      </c>
      <c r="E816" s="3" t="s">
        <v>827</v>
      </c>
      <c r="F816" s="3" t="s">
        <v>827</v>
      </c>
      <c r="G816" s="6">
        <v>2</v>
      </c>
      <c r="H816" s="6">
        <v>35.880000000000003</v>
      </c>
      <c r="I816" s="6">
        <v>71.760000000000005</v>
      </c>
      <c r="J816" s="6">
        <v>9740.159999999998</v>
      </c>
    </row>
    <row r="817" spans="1:10" outlineLevel="1" x14ac:dyDescent="0.25">
      <c r="A817" s="8" t="s">
        <v>664</v>
      </c>
      <c r="B817" s="3" t="s">
        <v>821</v>
      </c>
      <c r="C817" s="3" t="s">
        <v>4</v>
      </c>
      <c r="D817" s="3" t="s">
        <v>822</v>
      </c>
      <c r="E817" s="3" t="s">
        <v>828</v>
      </c>
      <c r="F817" s="3" t="s">
        <v>829</v>
      </c>
      <c r="G817" s="6">
        <v>2</v>
      </c>
      <c r="H817" s="6">
        <v>27</v>
      </c>
      <c r="I817" s="6">
        <v>54</v>
      </c>
      <c r="J817" s="6">
        <v>9794.159999999998</v>
      </c>
    </row>
    <row r="818" spans="1:10" outlineLevel="1" x14ac:dyDescent="0.25">
      <c r="A818" s="8" t="s">
        <v>664</v>
      </c>
      <c r="B818" s="3" t="s">
        <v>821</v>
      </c>
      <c r="C818" s="3" t="s">
        <v>4</v>
      </c>
      <c r="D818" s="3" t="s">
        <v>822</v>
      </c>
      <c r="E818" s="3" t="s">
        <v>690</v>
      </c>
      <c r="F818" s="3" t="s">
        <v>691</v>
      </c>
      <c r="G818" s="6">
        <v>6</v>
      </c>
      <c r="H818" s="6">
        <v>25.08</v>
      </c>
      <c r="I818" s="6">
        <v>150.47999999999999</v>
      </c>
      <c r="J818" s="6">
        <v>9944.6399999999976</v>
      </c>
    </row>
    <row r="819" spans="1:10" outlineLevel="1" x14ac:dyDescent="0.25">
      <c r="A819" s="8" t="s">
        <v>664</v>
      </c>
      <c r="B819" s="3" t="s">
        <v>821</v>
      </c>
      <c r="C819" s="3" t="s">
        <v>4</v>
      </c>
      <c r="D819" s="3" t="s">
        <v>822</v>
      </c>
      <c r="E819" s="3" t="s">
        <v>830</v>
      </c>
      <c r="F819" s="3" t="s">
        <v>831</v>
      </c>
      <c r="G819" s="6">
        <v>2</v>
      </c>
      <c r="H819" s="6">
        <v>27</v>
      </c>
      <c r="I819" s="6">
        <v>54</v>
      </c>
      <c r="J819" s="6">
        <v>9998.6399999999976</v>
      </c>
    </row>
    <row r="820" spans="1:10" outlineLevel="1" x14ac:dyDescent="0.25">
      <c r="A820" s="8" t="s">
        <v>664</v>
      </c>
      <c r="B820" s="3" t="s">
        <v>821</v>
      </c>
      <c r="C820" s="3" t="s">
        <v>4</v>
      </c>
      <c r="D820" s="3" t="s">
        <v>822</v>
      </c>
      <c r="E820" s="3" t="s">
        <v>692</v>
      </c>
      <c r="F820" s="3" t="s">
        <v>693</v>
      </c>
      <c r="G820" s="6">
        <v>6</v>
      </c>
      <c r="H820" s="6">
        <v>37.08</v>
      </c>
      <c r="I820" s="6">
        <v>222.48</v>
      </c>
      <c r="J820" s="6">
        <v>10221.119999999997</v>
      </c>
    </row>
    <row r="821" spans="1:10" outlineLevel="1" x14ac:dyDescent="0.25">
      <c r="A821" s="8" t="s">
        <v>664</v>
      </c>
      <c r="B821" s="3" t="s">
        <v>821</v>
      </c>
      <c r="C821" s="3" t="s">
        <v>4</v>
      </c>
      <c r="D821" s="3" t="s">
        <v>822</v>
      </c>
      <c r="E821" s="3" t="s">
        <v>832</v>
      </c>
      <c r="F821" s="3" t="s">
        <v>833</v>
      </c>
      <c r="G821" s="6">
        <v>4</v>
      </c>
      <c r="H821" s="6">
        <v>37.08</v>
      </c>
      <c r="I821" s="6">
        <v>148.32</v>
      </c>
      <c r="J821" s="6">
        <v>10369.439999999997</v>
      </c>
    </row>
    <row r="822" spans="1:10" outlineLevel="1" x14ac:dyDescent="0.25">
      <c r="A822" s="8" t="s">
        <v>664</v>
      </c>
      <c r="B822" s="3" t="s">
        <v>821</v>
      </c>
      <c r="C822" s="3" t="s">
        <v>4</v>
      </c>
      <c r="D822" s="3" t="s">
        <v>822</v>
      </c>
      <c r="E822" s="3" t="s">
        <v>696</v>
      </c>
      <c r="F822" s="3" t="s">
        <v>697</v>
      </c>
      <c r="G822" s="6">
        <v>6</v>
      </c>
      <c r="H822" s="6">
        <v>31.08</v>
      </c>
      <c r="I822" s="6">
        <v>186.48</v>
      </c>
      <c r="J822" s="6">
        <v>10555.919999999996</v>
      </c>
    </row>
    <row r="823" spans="1:10" outlineLevel="1" x14ac:dyDescent="0.25">
      <c r="A823" s="8" t="s">
        <v>664</v>
      </c>
      <c r="B823" s="3" t="s">
        <v>821</v>
      </c>
      <c r="C823" s="3" t="s">
        <v>4</v>
      </c>
      <c r="D823" s="3" t="s">
        <v>822</v>
      </c>
      <c r="E823" s="3" t="s">
        <v>698</v>
      </c>
      <c r="F823" s="3" t="s">
        <v>699</v>
      </c>
      <c r="G823" s="6">
        <v>10</v>
      </c>
      <c r="H823" s="6">
        <v>22.4</v>
      </c>
      <c r="I823" s="6">
        <v>224</v>
      </c>
      <c r="J823" s="6">
        <v>10779.919999999996</v>
      </c>
    </row>
    <row r="824" spans="1:10" outlineLevel="1" x14ac:dyDescent="0.25">
      <c r="A824" s="8" t="s">
        <v>664</v>
      </c>
      <c r="B824" s="3" t="s">
        <v>821</v>
      </c>
      <c r="C824" s="3" t="s">
        <v>4</v>
      </c>
      <c r="D824" s="3" t="s">
        <v>822</v>
      </c>
      <c r="E824" s="3" t="s">
        <v>700</v>
      </c>
      <c r="F824" s="3" t="s">
        <v>701</v>
      </c>
      <c r="G824" s="6">
        <v>10</v>
      </c>
      <c r="H824" s="6">
        <v>28.62</v>
      </c>
      <c r="I824" s="6">
        <v>286.2</v>
      </c>
      <c r="J824" s="6">
        <v>11066.119999999997</v>
      </c>
    </row>
    <row r="825" spans="1:10" outlineLevel="1" x14ac:dyDescent="0.25">
      <c r="A825" s="8" t="s">
        <v>664</v>
      </c>
      <c r="B825" s="3" t="s">
        <v>821</v>
      </c>
      <c r="C825" s="3" t="s">
        <v>4</v>
      </c>
      <c r="D825" s="3" t="s">
        <v>822</v>
      </c>
      <c r="E825" s="3" t="s">
        <v>702</v>
      </c>
      <c r="F825" s="3" t="s">
        <v>703</v>
      </c>
      <c r="G825" s="6">
        <v>4</v>
      </c>
      <c r="H825" s="6">
        <v>42.96</v>
      </c>
      <c r="I825" s="6">
        <v>171.84</v>
      </c>
      <c r="J825" s="6">
        <v>11237.959999999997</v>
      </c>
    </row>
    <row r="826" spans="1:10" outlineLevel="1" x14ac:dyDescent="0.25">
      <c r="A826" s="8" t="s">
        <v>664</v>
      </c>
      <c r="B826" s="3" t="s">
        <v>821</v>
      </c>
      <c r="C826" s="3" t="s">
        <v>4</v>
      </c>
      <c r="D826" s="3" t="s">
        <v>822</v>
      </c>
      <c r="E826" s="3" t="s">
        <v>704</v>
      </c>
      <c r="F826" s="3" t="s">
        <v>705</v>
      </c>
      <c r="G826" s="6">
        <v>4</v>
      </c>
      <c r="H826" s="6">
        <v>42.96</v>
      </c>
      <c r="I826" s="6">
        <v>171.84</v>
      </c>
      <c r="J826" s="6">
        <v>11409.799999999997</v>
      </c>
    </row>
    <row r="827" spans="1:10" outlineLevel="1" x14ac:dyDescent="0.25">
      <c r="A827" s="8" t="s">
        <v>664</v>
      </c>
      <c r="B827" s="3" t="s">
        <v>821</v>
      </c>
      <c r="C827" s="3" t="s">
        <v>4</v>
      </c>
      <c r="D827" s="3" t="s">
        <v>822</v>
      </c>
      <c r="E827" s="3" t="s">
        <v>834</v>
      </c>
      <c r="F827" s="3" t="s">
        <v>834</v>
      </c>
      <c r="G827" s="6">
        <v>3</v>
      </c>
      <c r="H827" s="6">
        <v>31.2</v>
      </c>
      <c r="I827" s="6">
        <v>93.6</v>
      </c>
      <c r="J827" s="6">
        <v>11503.399999999998</v>
      </c>
    </row>
    <row r="828" spans="1:10" outlineLevel="1" x14ac:dyDescent="0.25">
      <c r="A828" s="8" t="s">
        <v>664</v>
      </c>
      <c r="B828" s="3" t="s">
        <v>821</v>
      </c>
      <c r="C828" s="3" t="s">
        <v>4</v>
      </c>
      <c r="D828" s="3" t="s">
        <v>822</v>
      </c>
      <c r="E828" s="3" t="s">
        <v>716</v>
      </c>
      <c r="F828" s="3" t="s">
        <v>717</v>
      </c>
      <c r="G828" s="6">
        <v>6</v>
      </c>
      <c r="H828" s="6">
        <v>30</v>
      </c>
      <c r="I828" s="6">
        <v>180</v>
      </c>
      <c r="J828" s="6">
        <v>11683.399999999998</v>
      </c>
    </row>
    <row r="829" spans="1:10" outlineLevel="1" x14ac:dyDescent="0.25">
      <c r="A829" s="8" t="s">
        <v>664</v>
      </c>
      <c r="B829" s="3" t="s">
        <v>821</v>
      </c>
      <c r="C829" s="3" t="s">
        <v>4</v>
      </c>
      <c r="D829" s="3" t="s">
        <v>822</v>
      </c>
      <c r="E829" s="3" t="s">
        <v>710</v>
      </c>
      <c r="F829" s="3" t="s">
        <v>711</v>
      </c>
      <c r="G829" s="6">
        <v>6</v>
      </c>
      <c r="H829" s="6">
        <v>40.159999999999997</v>
      </c>
      <c r="I829" s="6">
        <v>240.96</v>
      </c>
      <c r="J829" s="6">
        <v>11924.359999999997</v>
      </c>
    </row>
    <row r="830" spans="1:10" outlineLevel="1" x14ac:dyDescent="0.25">
      <c r="A830" s="8" t="s">
        <v>664</v>
      </c>
      <c r="B830" s="3" t="s">
        <v>821</v>
      </c>
      <c r="C830" s="3" t="s">
        <v>4</v>
      </c>
      <c r="D830" s="3" t="s">
        <v>822</v>
      </c>
      <c r="E830" s="3" t="s">
        <v>835</v>
      </c>
      <c r="F830" s="3" t="s">
        <v>836</v>
      </c>
      <c r="G830" s="6">
        <v>4</v>
      </c>
      <c r="H830" s="6">
        <v>28.8</v>
      </c>
      <c r="I830" s="6">
        <v>115.2</v>
      </c>
      <c r="J830" s="6">
        <v>12039.559999999998</v>
      </c>
    </row>
    <row r="831" spans="1:10" outlineLevel="1" x14ac:dyDescent="0.25">
      <c r="A831" s="8" t="s">
        <v>664</v>
      </c>
      <c r="B831" s="3" t="s">
        <v>821</v>
      </c>
      <c r="C831" s="3" t="s">
        <v>4</v>
      </c>
      <c r="D831" s="3" t="s">
        <v>822</v>
      </c>
      <c r="E831" s="3" t="s">
        <v>712</v>
      </c>
      <c r="F831" s="3" t="s">
        <v>713</v>
      </c>
      <c r="G831" s="6">
        <v>10</v>
      </c>
      <c r="H831" s="6">
        <v>19.8</v>
      </c>
      <c r="I831" s="6">
        <v>198</v>
      </c>
      <c r="J831" s="6">
        <v>12237.559999999998</v>
      </c>
    </row>
    <row r="832" spans="1:10" outlineLevel="1" x14ac:dyDescent="0.25">
      <c r="A832" s="8" t="s">
        <v>664</v>
      </c>
      <c r="B832" s="3" t="s">
        <v>821</v>
      </c>
      <c r="C832" s="3" t="s">
        <v>4</v>
      </c>
      <c r="D832" s="3" t="s">
        <v>822</v>
      </c>
      <c r="E832" s="3" t="s">
        <v>714</v>
      </c>
      <c r="F832" s="3" t="s">
        <v>715</v>
      </c>
      <c r="G832" s="6">
        <v>2</v>
      </c>
      <c r="H832" s="6">
        <v>48.42</v>
      </c>
      <c r="I832" s="6">
        <v>96.84</v>
      </c>
      <c r="J832" s="6">
        <v>12334.399999999998</v>
      </c>
    </row>
    <row r="833" spans="1:10" outlineLevel="1" x14ac:dyDescent="0.25">
      <c r="A833" s="8" t="s">
        <v>664</v>
      </c>
      <c r="B833" s="3" t="s">
        <v>821</v>
      </c>
      <c r="C833" s="3" t="s">
        <v>4</v>
      </c>
      <c r="D833" s="3" t="s">
        <v>822</v>
      </c>
      <c r="E833" s="3" t="s">
        <v>706</v>
      </c>
      <c r="F833" s="3" t="s">
        <v>707</v>
      </c>
      <c r="G833" s="6">
        <v>6</v>
      </c>
      <c r="H833" s="6">
        <v>30</v>
      </c>
      <c r="I833" s="6">
        <v>180</v>
      </c>
      <c r="J833" s="6">
        <v>12514.399999999998</v>
      </c>
    </row>
    <row r="834" spans="1:10" outlineLevel="1" x14ac:dyDescent="0.25">
      <c r="A834" s="8" t="s">
        <v>664</v>
      </c>
      <c r="B834" s="3" t="s">
        <v>821</v>
      </c>
      <c r="C834" s="3" t="s">
        <v>4</v>
      </c>
      <c r="D834" s="3" t="s">
        <v>822</v>
      </c>
      <c r="E834" s="3" t="s">
        <v>778</v>
      </c>
      <c r="F834" s="3" t="s">
        <v>779</v>
      </c>
      <c r="G834" s="6">
        <v>10</v>
      </c>
      <c r="H834" s="6">
        <v>28.8</v>
      </c>
      <c r="I834" s="6">
        <v>288</v>
      </c>
      <c r="J834" s="6">
        <v>12802.399999999998</v>
      </c>
    </row>
    <row r="835" spans="1:10" outlineLevel="1" x14ac:dyDescent="0.25">
      <c r="A835" s="8" t="s">
        <v>664</v>
      </c>
      <c r="B835" s="3" t="s">
        <v>821</v>
      </c>
      <c r="C835" s="3" t="s">
        <v>4</v>
      </c>
      <c r="D835" s="3" t="s">
        <v>822</v>
      </c>
      <c r="E835" s="3" t="s">
        <v>718</v>
      </c>
      <c r="F835" s="3" t="s">
        <v>719</v>
      </c>
      <c r="G835" s="6">
        <v>4</v>
      </c>
      <c r="H835" s="6">
        <v>19.8</v>
      </c>
      <c r="I835" s="6">
        <v>79.2</v>
      </c>
      <c r="J835" s="6">
        <v>12881.599999999999</v>
      </c>
    </row>
    <row r="836" spans="1:10" outlineLevel="1" x14ac:dyDescent="0.25">
      <c r="A836" s="8" t="s">
        <v>664</v>
      </c>
      <c r="B836" s="3" t="s">
        <v>821</v>
      </c>
      <c r="C836" s="3" t="s">
        <v>4</v>
      </c>
      <c r="D836" s="3" t="s">
        <v>822</v>
      </c>
      <c r="E836" s="3" t="s">
        <v>730</v>
      </c>
      <c r="F836" s="3" t="s">
        <v>731</v>
      </c>
      <c r="G836" s="6">
        <v>2</v>
      </c>
      <c r="H836" s="6">
        <v>28.62</v>
      </c>
      <c r="I836" s="6">
        <v>57.24</v>
      </c>
      <c r="J836" s="6">
        <v>12938.839999999998</v>
      </c>
    </row>
    <row r="837" spans="1:10" outlineLevel="1" x14ac:dyDescent="0.25">
      <c r="A837" s="8" t="s">
        <v>664</v>
      </c>
      <c r="B837" s="3" t="s">
        <v>821</v>
      </c>
      <c r="C837" s="3" t="s">
        <v>4</v>
      </c>
      <c r="D837" s="3" t="s">
        <v>822</v>
      </c>
      <c r="E837" s="3" t="s">
        <v>837</v>
      </c>
      <c r="F837" s="3" t="s">
        <v>838</v>
      </c>
      <c r="G837" s="6">
        <v>2</v>
      </c>
      <c r="H837" s="6">
        <v>28.64</v>
      </c>
      <c r="I837" s="6">
        <v>57.28</v>
      </c>
      <c r="J837" s="6">
        <v>12996.119999999999</v>
      </c>
    </row>
    <row r="838" spans="1:10" outlineLevel="1" x14ac:dyDescent="0.25">
      <c r="A838" s="8" t="s">
        <v>664</v>
      </c>
      <c r="B838" s="3" t="s">
        <v>821</v>
      </c>
      <c r="C838" s="3" t="s">
        <v>4</v>
      </c>
      <c r="D838" s="3" t="s">
        <v>822</v>
      </c>
      <c r="E838" s="3" t="s">
        <v>839</v>
      </c>
      <c r="F838" s="3" t="s">
        <v>840</v>
      </c>
      <c r="G838" s="6">
        <v>1</v>
      </c>
      <c r="H838" s="6">
        <v>28.64</v>
      </c>
      <c r="I838" s="6">
        <v>28.64</v>
      </c>
      <c r="J838" s="6">
        <v>13024.759999999998</v>
      </c>
    </row>
    <row r="839" spans="1:10" outlineLevel="1" x14ac:dyDescent="0.25">
      <c r="A839" s="8" t="s">
        <v>664</v>
      </c>
      <c r="B839" s="3" t="s">
        <v>821</v>
      </c>
      <c r="C839" s="3" t="s">
        <v>4</v>
      </c>
      <c r="D839" s="3" t="s">
        <v>822</v>
      </c>
      <c r="E839" s="3" t="s">
        <v>780</v>
      </c>
      <c r="F839" s="3" t="s">
        <v>781</v>
      </c>
      <c r="G839" s="6">
        <v>2</v>
      </c>
      <c r="H839" s="6">
        <v>22.68</v>
      </c>
      <c r="I839" s="6">
        <v>45.36</v>
      </c>
      <c r="J839" s="6">
        <v>13070.119999999999</v>
      </c>
    </row>
    <row r="840" spans="1:10" outlineLevel="1" x14ac:dyDescent="0.25">
      <c r="A840" s="8" t="s">
        <v>664</v>
      </c>
      <c r="B840" s="3" t="s">
        <v>821</v>
      </c>
      <c r="C840" s="3" t="s">
        <v>4</v>
      </c>
      <c r="D840" s="3" t="s">
        <v>822</v>
      </c>
      <c r="E840" s="3" t="s">
        <v>782</v>
      </c>
      <c r="F840" s="3" t="s">
        <v>783</v>
      </c>
      <c r="G840" s="6">
        <v>2</v>
      </c>
      <c r="H840" s="6">
        <v>22.68</v>
      </c>
      <c r="I840" s="6">
        <v>45.36</v>
      </c>
      <c r="J840" s="6">
        <v>13115.48</v>
      </c>
    </row>
    <row r="841" spans="1:10" outlineLevel="1" x14ac:dyDescent="0.25">
      <c r="A841" s="8" t="s">
        <v>664</v>
      </c>
      <c r="B841" s="3" t="s">
        <v>821</v>
      </c>
      <c r="C841" s="3" t="s">
        <v>4</v>
      </c>
      <c r="D841" s="3" t="s">
        <v>822</v>
      </c>
      <c r="E841" s="3" t="s">
        <v>841</v>
      </c>
      <c r="F841" s="3" t="s">
        <v>842</v>
      </c>
      <c r="G841" s="6">
        <v>1</v>
      </c>
      <c r="H841" s="6">
        <v>39.6</v>
      </c>
      <c r="I841" s="6">
        <v>39.6</v>
      </c>
      <c r="J841" s="6">
        <v>13155.08</v>
      </c>
    </row>
    <row r="842" spans="1:10" outlineLevel="1" x14ac:dyDescent="0.25">
      <c r="A842" s="8" t="s">
        <v>664</v>
      </c>
      <c r="B842" s="3" t="s">
        <v>821</v>
      </c>
      <c r="C842" s="3" t="s">
        <v>4</v>
      </c>
      <c r="D842" s="3" t="s">
        <v>822</v>
      </c>
      <c r="E842" s="3" t="s">
        <v>843</v>
      </c>
      <c r="F842" s="3" t="s">
        <v>844</v>
      </c>
      <c r="G842" s="6">
        <v>1</v>
      </c>
      <c r="H842" s="6">
        <v>50.16</v>
      </c>
      <c r="I842" s="6">
        <v>50.16</v>
      </c>
      <c r="J842" s="6">
        <v>13205.24</v>
      </c>
    </row>
    <row r="843" spans="1:10" outlineLevel="1" x14ac:dyDescent="0.25">
      <c r="A843" s="8" t="s">
        <v>664</v>
      </c>
      <c r="B843" s="3" t="s">
        <v>821</v>
      </c>
      <c r="C843" s="3" t="s">
        <v>4</v>
      </c>
      <c r="D843" s="3" t="s">
        <v>822</v>
      </c>
      <c r="E843" s="3" t="s">
        <v>372</v>
      </c>
      <c r="F843" s="3" t="s">
        <v>373</v>
      </c>
      <c r="G843" s="6">
        <v>20</v>
      </c>
      <c r="H843" s="6">
        <v>30</v>
      </c>
      <c r="I843" s="6">
        <v>600</v>
      </c>
      <c r="J843" s="6">
        <v>13805.24</v>
      </c>
    </row>
    <row r="844" spans="1:10" outlineLevel="1" x14ac:dyDescent="0.25">
      <c r="A844" s="8" t="s">
        <v>664</v>
      </c>
      <c r="B844" s="3" t="s">
        <v>821</v>
      </c>
      <c r="C844" s="3" t="s">
        <v>4</v>
      </c>
      <c r="D844" s="3" t="s">
        <v>822</v>
      </c>
      <c r="E844" s="3" t="s">
        <v>845</v>
      </c>
      <c r="F844" s="3" t="s">
        <v>846</v>
      </c>
      <c r="G844" s="6">
        <v>3</v>
      </c>
      <c r="H844" s="6">
        <v>18.600000000000001</v>
      </c>
      <c r="I844" s="6">
        <v>55.8</v>
      </c>
      <c r="J844" s="6">
        <v>13861.039999999999</v>
      </c>
    </row>
    <row r="845" spans="1:10" outlineLevel="1" x14ac:dyDescent="0.25">
      <c r="A845" s="8" t="s">
        <v>664</v>
      </c>
      <c r="B845" s="3" t="s">
        <v>821</v>
      </c>
      <c r="C845" s="3" t="s">
        <v>4</v>
      </c>
      <c r="D845" s="3" t="s">
        <v>822</v>
      </c>
      <c r="E845" s="3" t="s">
        <v>847</v>
      </c>
      <c r="F845" s="3" t="s">
        <v>848</v>
      </c>
      <c r="G845" s="6">
        <v>3</v>
      </c>
      <c r="H845" s="6">
        <v>13.08</v>
      </c>
      <c r="I845" s="6">
        <v>39.24</v>
      </c>
      <c r="J845" s="6">
        <v>13900.279999999999</v>
      </c>
    </row>
    <row r="846" spans="1:10" outlineLevel="1" x14ac:dyDescent="0.25">
      <c r="A846" s="8" t="s">
        <v>664</v>
      </c>
      <c r="B846" s="3" t="s">
        <v>821</v>
      </c>
      <c r="C846" s="3" t="s">
        <v>4</v>
      </c>
      <c r="D846" s="3" t="s">
        <v>822</v>
      </c>
      <c r="E846" s="3" t="s">
        <v>849</v>
      </c>
      <c r="F846" s="3" t="s">
        <v>850</v>
      </c>
      <c r="G846" s="6">
        <v>3</v>
      </c>
      <c r="H846" s="6">
        <v>15</v>
      </c>
      <c r="I846" s="6">
        <v>45</v>
      </c>
      <c r="J846" s="6">
        <v>13945.279999999999</v>
      </c>
    </row>
    <row r="847" spans="1:10" outlineLevel="1" x14ac:dyDescent="0.25">
      <c r="A847" s="8" t="s">
        <v>664</v>
      </c>
      <c r="B847" s="3" t="s">
        <v>821</v>
      </c>
      <c r="C847" s="3" t="s">
        <v>4</v>
      </c>
      <c r="D847" s="3" t="s">
        <v>822</v>
      </c>
      <c r="E847" s="3" t="s">
        <v>374</v>
      </c>
      <c r="F847" s="3" t="s">
        <v>375</v>
      </c>
      <c r="G847" s="6">
        <v>10</v>
      </c>
      <c r="H847" s="6">
        <v>29.7</v>
      </c>
      <c r="I847" s="6">
        <v>297</v>
      </c>
      <c r="J847" s="6">
        <v>14242.279999999999</v>
      </c>
    </row>
    <row r="848" spans="1:10" outlineLevel="1" x14ac:dyDescent="0.25">
      <c r="A848" s="8" t="s">
        <v>664</v>
      </c>
      <c r="B848" s="3" t="s">
        <v>821</v>
      </c>
      <c r="C848" s="3" t="s">
        <v>4</v>
      </c>
      <c r="D848" s="3" t="s">
        <v>822</v>
      </c>
      <c r="E848" s="3" t="s">
        <v>37</v>
      </c>
      <c r="F848" s="3" t="s">
        <v>330</v>
      </c>
      <c r="G848" s="6">
        <v>3</v>
      </c>
      <c r="H848" s="6">
        <v>69</v>
      </c>
      <c r="I848" s="6">
        <v>207</v>
      </c>
      <c r="J848" s="6">
        <v>14449.279999999999</v>
      </c>
    </row>
    <row r="849" spans="1:10" outlineLevel="1" x14ac:dyDescent="0.25">
      <c r="A849" s="8" t="s">
        <v>664</v>
      </c>
      <c r="B849" s="3" t="s">
        <v>821</v>
      </c>
      <c r="C849" s="3" t="s">
        <v>4</v>
      </c>
      <c r="D849" s="3" t="s">
        <v>822</v>
      </c>
      <c r="E849" s="3" t="s">
        <v>851</v>
      </c>
      <c r="F849" s="3" t="s">
        <v>852</v>
      </c>
      <c r="G849" s="6">
        <v>6</v>
      </c>
      <c r="H849" s="6">
        <v>71</v>
      </c>
      <c r="I849" s="6">
        <v>426</v>
      </c>
      <c r="J849" s="6">
        <v>14875.279999999999</v>
      </c>
    </row>
    <row r="850" spans="1:10" outlineLevel="1" x14ac:dyDescent="0.25">
      <c r="A850" s="8" t="s">
        <v>664</v>
      </c>
      <c r="B850" s="3" t="s">
        <v>821</v>
      </c>
      <c r="C850" s="3" t="s">
        <v>4</v>
      </c>
      <c r="D850" s="3" t="s">
        <v>822</v>
      </c>
      <c r="E850" s="3" t="s">
        <v>853</v>
      </c>
      <c r="F850" s="3" t="s">
        <v>854</v>
      </c>
      <c r="G850" s="6">
        <v>6</v>
      </c>
      <c r="H850" s="6">
        <v>12</v>
      </c>
      <c r="I850" s="6">
        <v>72</v>
      </c>
      <c r="J850" s="6">
        <v>14947.279999999999</v>
      </c>
    </row>
    <row r="851" spans="1:10" outlineLevel="1" x14ac:dyDescent="0.25">
      <c r="A851" s="8" t="s">
        <v>664</v>
      </c>
      <c r="B851" s="3" t="s">
        <v>821</v>
      </c>
      <c r="C851" s="3" t="s">
        <v>4</v>
      </c>
      <c r="D851" s="3" t="s">
        <v>822</v>
      </c>
      <c r="E851" s="3" t="s">
        <v>855</v>
      </c>
      <c r="F851" s="3" t="s">
        <v>856</v>
      </c>
      <c r="G851" s="6">
        <v>5</v>
      </c>
      <c r="H851" s="6">
        <v>12</v>
      </c>
      <c r="I851" s="6">
        <v>60</v>
      </c>
      <c r="J851" s="6">
        <v>15007.279999999999</v>
      </c>
    </row>
    <row r="852" spans="1:10" outlineLevel="1" x14ac:dyDescent="0.25">
      <c r="A852" s="8" t="s">
        <v>664</v>
      </c>
      <c r="B852" s="3" t="s">
        <v>821</v>
      </c>
      <c r="C852" s="3" t="s">
        <v>4</v>
      </c>
      <c r="D852" s="3" t="s">
        <v>822</v>
      </c>
      <c r="E852" s="3" t="s">
        <v>756</v>
      </c>
      <c r="F852" s="3" t="s">
        <v>757</v>
      </c>
      <c r="G852" s="6">
        <v>6</v>
      </c>
      <c r="H852" s="6">
        <v>12</v>
      </c>
      <c r="I852" s="6">
        <v>72</v>
      </c>
      <c r="J852" s="6">
        <v>15079.279999999999</v>
      </c>
    </row>
    <row r="853" spans="1:10" outlineLevel="1" x14ac:dyDescent="0.25">
      <c r="A853" s="8" t="s">
        <v>664</v>
      </c>
      <c r="B853" s="3" t="s">
        <v>821</v>
      </c>
      <c r="C853" s="3" t="s">
        <v>4</v>
      </c>
      <c r="D853" s="3" t="s">
        <v>822</v>
      </c>
      <c r="E853" s="3" t="s">
        <v>857</v>
      </c>
      <c r="F853" s="3" t="s">
        <v>858</v>
      </c>
      <c r="G853" s="6">
        <v>5</v>
      </c>
      <c r="H853" s="6">
        <v>12</v>
      </c>
      <c r="I853" s="6">
        <v>60</v>
      </c>
      <c r="J853" s="6">
        <v>15139.279999999999</v>
      </c>
    </row>
    <row r="854" spans="1:10" outlineLevel="1" x14ac:dyDescent="0.25">
      <c r="A854" s="8" t="s">
        <v>664</v>
      </c>
      <c r="B854" s="3" t="s">
        <v>821</v>
      </c>
      <c r="C854" s="3" t="s">
        <v>4</v>
      </c>
      <c r="D854" s="3" t="s">
        <v>822</v>
      </c>
      <c r="E854" s="3" t="s">
        <v>784</v>
      </c>
      <c r="F854" s="3" t="s">
        <v>785</v>
      </c>
      <c r="G854" s="6">
        <v>6</v>
      </c>
      <c r="H854" s="6">
        <v>12</v>
      </c>
      <c r="I854" s="6">
        <v>72</v>
      </c>
      <c r="J854" s="6">
        <v>15211.279999999999</v>
      </c>
    </row>
    <row r="855" spans="1:10" outlineLevel="1" x14ac:dyDescent="0.25">
      <c r="A855" s="8" t="s">
        <v>664</v>
      </c>
      <c r="B855" s="3" t="s">
        <v>821</v>
      </c>
      <c r="C855" s="3" t="s">
        <v>4</v>
      </c>
      <c r="D855" s="3" t="s">
        <v>822</v>
      </c>
      <c r="E855" s="3" t="s">
        <v>859</v>
      </c>
      <c r="F855" s="3" t="s">
        <v>860</v>
      </c>
      <c r="G855" s="6">
        <v>6</v>
      </c>
      <c r="H855" s="6">
        <v>42.5</v>
      </c>
      <c r="I855" s="6">
        <v>255</v>
      </c>
      <c r="J855" s="6">
        <v>15466.279999999999</v>
      </c>
    </row>
    <row r="856" spans="1:10" outlineLevel="1" x14ac:dyDescent="0.25">
      <c r="A856" s="8" t="s">
        <v>664</v>
      </c>
      <c r="B856" s="3" t="s">
        <v>821</v>
      </c>
      <c r="C856" s="3" t="s">
        <v>4</v>
      </c>
      <c r="D856" s="3" t="s">
        <v>822</v>
      </c>
      <c r="E856" s="3" t="s">
        <v>861</v>
      </c>
      <c r="F856" s="3" t="s">
        <v>862</v>
      </c>
      <c r="G856" s="6">
        <v>5</v>
      </c>
      <c r="H856" s="6">
        <v>42.5</v>
      </c>
      <c r="I856" s="6">
        <v>212.5</v>
      </c>
      <c r="J856" s="6">
        <v>15678.779999999999</v>
      </c>
    </row>
    <row r="857" spans="1:10" outlineLevel="1" x14ac:dyDescent="0.25">
      <c r="A857" s="8" t="s">
        <v>664</v>
      </c>
      <c r="B857" s="3" t="s">
        <v>821</v>
      </c>
      <c r="C857" s="3" t="s">
        <v>4</v>
      </c>
      <c r="D857" s="3" t="s">
        <v>822</v>
      </c>
      <c r="E857" s="3" t="s">
        <v>732</v>
      </c>
      <c r="F857" s="3" t="s">
        <v>733</v>
      </c>
      <c r="G857" s="6">
        <v>4</v>
      </c>
      <c r="H857" s="6">
        <v>11.88</v>
      </c>
      <c r="I857" s="6">
        <v>47.52</v>
      </c>
      <c r="J857" s="6">
        <v>15726.3</v>
      </c>
    </row>
    <row r="858" spans="1:10" outlineLevel="1" x14ac:dyDescent="0.25">
      <c r="A858" s="8" t="s">
        <v>664</v>
      </c>
      <c r="B858" s="3" t="s">
        <v>821</v>
      </c>
      <c r="C858" s="3" t="s">
        <v>4</v>
      </c>
      <c r="D858" s="3" t="s">
        <v>822</v>
      </c>
      <c r="E858" s="3" t="s">
        <v>734</v>
      </c>
      <c r="F858" s="3" t="s">
        <v>735</v>
      </c>
      <c r="G858" s="6">
        <v>4</v>
      </c>
      <c r="H858" s="6">
        <v>11.88</v>
      </c>
      <c r="I858" s="6">
        <v>47.52</v>
      </c>
      <c r="J858" s="6">
        <v>15773.82</v>
      </c>
    </row>
    <row r="859" spans="1:10" outlineLevel="1" x14ac:dyDescent="0.25">
      <c r="A859" s="8" t="s">
        <v>664</v>
      </c>
      <c r="B859" s="3" t="s">
        <v>821</v>
      </c>
      <c r="C859" s="3" t="s">
        <v>4</v>
      </c>
      <c r="D859" s="3" t="s">
        <v>822</v>
      </c>
      <c r="E859" s="3" t="s">
        <v>736</v>
      </c>
      <c r="F859" s="3" t="s">
        <v>737</v>
      </c>
      <c r="G859" s="6">
        <v>4</v>
      </c>
      <c r="H859" s="6">
        <v>8.48</v>
      </c>
      <c r="I859" s="6">
        <v>33.92</v>
      </c>
      <c r="J859" s="6">
        <v>15807.74</v>
      </c>
    </row>
    <row r="860" spans="1:10" outlineLevel="1" x14ac:dyDescent="0.25">
      <c r="A860" s="8" t="s">
        <v>664</v>
      </c>
      <c r="B860" s="3" t="s">
        <v>821</v>
      </c>
      <c r="C860" s="3" t="s">
        <v>4</v>
      </c>
      <c r="D860" s="3" t="s">
        <v>822</v>
      </c>
      <c r="E860" s="3" t="s">
        <v>738</v>
      </c>
      <c r="F860" s="3" t="s">
        <v>738</v>
      </c>
      <c r="G860" s="6">
        <v>4</v>
      </c>
      <c r="H860" s="6">
        <v>8.48</v>
      </c>
      <c r="I860" s="6">
        <v>33.92</v>
      </c>
      <c r="J860" s="6">
        <v>15841.66</v>
      </c>
    </row>
    <row r="861" spans="1:10" outlineLevel="1" x14ac:dyDescent="0.25">
      <c r="A861" s="8" t="s">
        <v>664</v>
      </c>
      <c r="B861" s="3" t="s">
        <v>821</v>
      </c>
      <c r="C861" s="3" t="s">
        <v>4</v>
      </c>
      <c r="D861" s="3" t="s">
        <v>822</v>
      </c>
      <c r="E861" s="3" t="s">
        <v>863</v>
      </c>
      <c r="F861" s="3" t="s">
        <v>864</v>
      </c>
      <c r="G861" s="6">
        <v>10</v>
      </c>
      <c r="H861" s="6">
        <v>49.08</v>
      </c>
      <c r="I861" s="6">
        <v>490.8</v>
      </c>
      <c r="J861" s="6">
        <v>16332.46</v>
      </c>
    </row>
    <row r="862" spans="1:10" outlineLevel="1" x14ac:dyDescent="0.25">
      <c r="A862" s="8" t="s">
        <v>664</v>
      </c>
      <c r="B862" s="3" t="s">
        <v>821</v>
      </c>
      <c r="C862" s="3" t="s">
        <v>4</v>
      </c>
      <c r="D862" s="3" t="s">
        <v>822</v>
      </c>
      <c r="E862" s="3" t="s">
        <v>865</v>
      </c>
      <c r="F862" s="3" t="s">
        <v>865</v>
      </c>
      <c r="G862" s="6">
        <v>10</v>
      </c>
      <c r="H862" s="6">
        <v>49.08</v>
      </c>
      <c r="I862" s="6">
        <v>490.8</v>
      </c>
      <c r="J862" s="6">
        <v>16823.259999999998</v>
      </c>
    </row>
    <row r="863" spans="1:10" outlineLevel="1" x14ac:dyDescent="0.25">
      <c r="A863" s="8" t="s">
        <v>664</v>
      </c>
      <c r="B863" s="3" t="s">
        <v>821</v>
      </c>
      <c r="C863" s="3" t="s">
        <v>4</v>
      </c>
      <c r="D863" s="3" t="s">
        <v>822</v>
      </c>
      <c r="E863" s="3" t="s">
        <v>866</v>
      </c>
      <c r="F863" s="3" t="s">
        <v>867</v>
      </c>
      <c r="G863" s="6">
        <v>8</v>
      </c>
      <c r="H863" s="6">
        <v>49.08</v>
      </c>
      <c r="I863" s="6">
        <v>392.64</v>
      </c>
      <c r="J863" s="6">
        <v>17215.899999999998</v>
      </c>
    </row>
    <row r="864" spans="1:10" outlineLevel="1" x14ac:dyDescent="0.25">
      <c r="A864" s="8" t="s">
        <v>664</v>
      </c>
      <c r="B864" s="3" t="s">
        <v>821</v>
      </c>
      <c r="C864" s="3" t="s">
        <v>4</v>
      </c>
      <c r="D864" s="3" t="s">
        <v>822</v>
      </c>
      <c r="E864" s="3" t="s">
        <v>868</v>
      </c>
      <c r="F864" s="3" t="s">
        <v>869</v>
      </c>
      <c r="G864" s="6">
        <v>2</v>
      </c>
      <c r="H864" s="6">
        <v>25.5</v>
      </c>
      <c r="I864" s="6">
        <v>51</v>
      </c>
      <c r="J864" s="6">
        <v>17266.899999999998</v>
      </c>
    </row>
    <row r="865" spans="1:10" outlineLevel="1" x14ac:dyDescent="0.25">
      <c r="A865" s="8" t="s">
        <v>664</v>
      </c>
      <c r="B865" s="3" t="s">
        <v>821</v>
      </c>
      <c r="C865" s="3" t="s">
        <v>4</v>
      </c>
      <c r="D865" s="3" t="s">
        <v>822</v>
      </c>
      <c r="E865" s="3" t="s">
        <v>870</v>
      </c>
      <c r="F865" s="3" t="s">
        <v>871</v>
      </c>
      <c r="G865" s="6">
        <v>2</v>
      </c>
      <c r="H865" s="6">
        <v>25.5</v>
      </c>
      <c r="I865" s="6">
        <v>51</v>
      </c>
      <c r="J865" s="6">
        <v>17317.899999999998</v>
      </c>
    </row>
    <row r="866" spans="1:10" outlineLevel="1" x14ac:dyDescent="0.25">
      <c r="A866" s="8" t="s">
        <v>664</v>
      </c>
      <c r="B866" s="3" t="s">
        <v>821</v>
      </c>
      <c r="C866" s="3" t="s">
        <v>4</v>
      </c>
      <c r="D866" s="3" t="s">
        <v>822</v>
      </c>
      <c r="E866" s="3" t="s">
        <v>872</v>
      </c>
      <c r="F866" s="3" t="s">
        <v>873</v>
      </c>
      <c r="G866" s="6">
        <v>2</v>
      </c>
      <c r="H866" s="6">
        <v>25.5</v>
      </c>
      <c r="I866" s="6">
        <v>51</v>
      </c>
      <c r="J866" s="6">
        <v>17368.899999999998</v>
      </c>
    </row>
    <row r="867" spans="1:10" outlineLevel="1" x14ac:dyDescent="0.25">
      <c r="A867" s="8" t="s">
        <v>664</v>
      </c>
      <c r="B867" s="3" t="s">
        <v>821</v>
      </c>
      <c r="C867" s="3" t="s">
        <v>4</v>
      </c>
      <c r="D867" s="3" t="s">
        <v>822</v>
      </c>
      <c r="E867" s="3" t="s">
        <v>874</v>
      </c>
      <c r="F867" s="3" t="s">
        <v>875</v>
      </c>
      <c r="G867" s="6">
        <v>2</v>
      </c>
      <c r="H867" s="6">
        <v>36.880000000000003</v>
      </c>
      <c r="I867" s="6">
        <v>73.760000000000005</v>
      </c>
      <c r="J867" s="6">
        <v>17442.659999999996</v>
      </c>
    </row>
    <row r="868" spans="1:10" outlineLevel="1" x14ac:dyDescent="0.25">
      <c r="A868" s="8" t="s">
        <v>664</v>
      </c>
      <c r="B868" s="3" t="s">
        <v>821</v>
      </c>
      <c r="C868" s="3" t="s">
        <v>4</v>
      </c>
      <c r="D868" s="3" t="s">
        <v>822</v>
      </c>
      <c r="E868" s="3" t="s">
        <v>876</v>
      </c>
      <c r="F868" s="3" t="s">
        <v>877</v>
      </c>
      <c r="G868" s="6">
        <v>2</v>
      </c>
      <c r="H868" s="6">
        <v>36.880000000000003</v>
      </c>
      <c r="I868" s="6">
        <v>73.760000000000005</v>
      </c>
      <c r="J868" s="6">
        <v>17516.419999999995</v>
      </c>
    </row>
    <row r="869" spans="1:10" outlineLevel="1" x14ac:dyDescent="0.25">
      <c r="A869" s="8" t="s">
        <v>664</v>
      </c>
      <c r="B869" s="3" t="s">
        <v>821</v>
      </c>
      <c r="C869" s="3" t="s">
        <v>4</v>
      </c>
      <c r="D869" s="3" t="s">
        <v>822</v>
      </c>
      <c r="E869" s="3" t="s">
        <v>741</v>
      </c>
      <c r="F869" s="3" t="s">
        <v>742</v>
      </c>
      <c r="G869" s="6">
        <v>6</v>
      </c>
      <c r="H869" s="6">
        <v>13.08</v>
      </c>
      <c r="I869" s="6">
        <v>78.48</v>
      </c>
      <c r="J869" s="6">
        <v>17594.899999999994</v>
      </c>
    </row>
    <row r="870" spans="1:10" outlineLevel="1" x14ac:dyDescent="0.25">
      <c r="A870" s="8" t="s">
        <v>664</v>
      </c>
      <c r="B870" s="3" t="s">
        <v>821</v>
      </c>
      <c r="C870" s="3" t="s">
        <v>4</v>
      </c>
      <c r="D870" s="3" t="s">
        <v>822</v>
      </c>
      <c r="E870" s="3" t="s">
        <v>878</v>
      </c>
      <c r="F870" s="3" t="s">
        <v>879</v>
      </c>
      <c r="G870" s="6">
        <v>3</v>
      </c>
      <c r="H870" s="6">
        <v>13.08</v>
      </c>
      <c r="I870" s="6">
        <v>39.24</v>
      </c>
      <c r="J870" s="6">
        <v>17634.139999999996</v>
      </c>
    </row>
    <row r="871" spans="1:10" outlineLevel="1" x14ac:dyDescent="0.25">
      <c r="A871" s="8" t="s">
        <v>664</v>
      </c>
      <c r="B871" s="3" t="s">
        <v>821</v>
      </c>
      <c r="C871" s="3" t="s">
        <v>4</v>
      </c>
      <c r="D871" s="3" t="s">
        <v>822</v>
      </c>
      <c r="E871" s="3" t="s">
        <v>880</v>
      </c>
      <c r="F871" s="3" t="s">
        <v>881</v>
      </c>
      <c r="G871" s="6">
        <v>4</v>
      </c>
      <c r="H871" s="6">
        <v>13.08</v>
      </c>
      <c r="I871" s="6">
        <v>52.32</v>
      </c>
      <c r="J871" s="6">
        <v>17686.459999999995</v>
      </c>
    </row>
    <row r="872" spans="1:10" outlineLevel="1" x14ac:dyDescent="0.25">
      <c r="A872" s="8" t="s">
        <v>664</v>
      </c>
      <c r="B872" s="3" t="s">
        <v>821</v>
      </c>
      <c r="C872" s="3" t="s">
        <v>4</v>
      </c>
      <c r="D872" s="3" t="s">
        <v>822</v>
      </c>
      <c r="E872" s="3" t="s">
        <v>882</v>
      </c>
      <c r="F872" s="3" t="s">
        <v>883</v>
      </c>
      <c r="G872" s="6">
        <v>8</v>
      </c>
      <c r="H872" s="6">
        <v>13.08</v>
      </c>
      <c r="I872" s="6">
        <v>104.64</v>
      </c>
      <c r="J872" s="6">
        <v>17791.099999999995</v>
      </c>
    </row>
    <row r="873" spans="1:10" outlineLevel="1" x14ac:dyDescent="0.25">
      <c r="A873" s="8" t="s">
        <v>664</v>
      </c>
      <c r="B873" s="3" t="s">
        <v>821</v>
      </c>
      <c r="C873" s="3" t="s">
        <v>4</v>
      </c>
      <c r="D873" s="3" t="s">
        <v>822</v>
      </c>
      <c r="E873" s="3" t="s">
        <v>786</v>
      </c>
      <c r="F873" s="3" t="s">
        <v>884</v>
      </c>
      <c r="G873" s="6">
        <v>3</v>
      </c>
      <c r="H873" s="6">
        <v>21.36</v>
      </c>
      <c r="I873" s="6">
        <v>64.08</v>
      </c>
      <c r="J873" s="6">
        <v>17855.179999999997</v>
      </c>
    </row>
    <row r="874" spans="1:10" outlineLevel="1" x14ac:dyDescent="0.25">
      <c r="A874" s="8" t="s">
        <v>664</v>
      </c>
      <c r="B874" s="3" t="s">
        <v>821</v>
      </c>
      <c r="C874" s="3" t="s">
        <v>4</v>
      </c>
      <c r="D874" s="3" t="s">
        <v>822</v>
      </c>
      <c r="E874" s="3" t="s">
        <v>788</v>
      </c>
      <c r="F874" s="3" t="s">
        <v>789</v>
      </c>
      <c r="G874" s="6">
        <v>12</v>
      </c>
      <c r="H874" s="6">
        <v>12</v>
      </c>
      <c r="I874" s="6">
        <v>144</v>
      </c>
      <c r="J874" s="6">
        <v>17999.179999999997</v>
      </c>
    </row>
    <row r="875" spans="1:10" outlineLevel="1" x14ac:dyDescent="0.25">
      <c r="A875" s="8" t="s">
        <v>664</v>
      </c>
      <c r="B875" s="3" t="s">
        <v>821</v>
      </c>
      <c r="C875" s="3" t="s">
        <v>4</v>
      </c>
      <c r="D875" s="3" t="s">
        <v>822</v>
      </c>
      <c r="E875" s="3" t="s">
        <v>885</v>
      </c>
      <c r="F875" s="3" t="s">
        <v>886</v>
      </c>
      <c r="G875" s="6">
        <v>5</v>
      </c>
      <c r="H875" s="6">
        <v>9</v>
      </c>
      <c r="I875" s="6">
        <v>45</v>
      </c>
      <c r="J875" s="6">
        <v>18044.179999999997</v>
      </c>
    </row>
    <row r="876" spans="1:10" outlineLevel="1" x14ac:dyDescent="0.25">
      <c r="A876" s="8" t="s">
        <v>664</v>
      </c>
      <c r="B876" s="3" t="s">
        <v>821</v>
      </c>
      <c r="C876" s="3" t="s">
        <v>4</v>
      </c>
      <c r="D876" s="3" t="s">
        <v>822</v>
      </c>
      <c r="E876" s="3" t="s">
        <v>887</v>
      </c>
      <c r="F876" s="3" t="s">
        <v>888</v>
      </c>
      <c r="G876" s="6">
        <v>5</v>
      </c>
      <c r="H876" s="6">
        <v>12</v>
      </c>
      <c r="I876" s="6">
        <v>60</v>
      </c>
      <c r="J876" s="6">
        <v>18104.179999999997</v>
      </c>
    </row>
    <row r="877" spans="1:10" outlineLevel="1" x14ac:dyDescent="0.25">
      <c r="A877" s="8" t="s">
        <v>664</v>
      </c>
      <c r="B877" s="3" t="s">
        <v>821</v>
      </c>
      <c r="C877" s="3" t="s">
        <v>4</v>
      </c>
      <c r="D877" s="3" t="s">
        <v>822</v>
      </c>
      <c r="E877" s="3" t="s">
        <v>889</v>
      </c>
      <c r="F877" s="3" t="s">
        <v>890</v>
      </c>
      <c r="G877" s="6">
        <v>8</v>
      </c>
      <c r="H877" s="6">
        <v>12</v>
      </c>
      <c r="I877" s="6">
        <v>96</v>
      </c>
      <c r="J877" s="6">
        <v>18200.179999999997</v>
      </c>
    </row>
    <row r="878" spans="1:10" outlineLevel="1" x14ac:dyDescent="0.25">
      <c r="A878" s="8" t="s">
        <v>664</v>
      </c>
      <c r="B878" s="3" t="s">
        <v>821</v>
      </c>
      <c r="C878" s="3" t="s">
        <v>4</v>
      </c>
      <c r="D878" s="3" t="s">
        <v>822</v>
      </c>
      <c r="E878" s="3" t="s">
        <v>891</v>
      </c>
      <c r="F878" s="3" t="s">
        <v>892</v>
      </c>
      <c r="G878" s="6">
        <v>4</v>
      </c>
      <c r="H878" s="6">
        <v>13</v>
      </c>
      <c r="I878" s="6">
        <v>52</v>
      </c>
      <c r="J878" s="6">
        <v>18252.179999999997</v>
      </c>
    </row>
    <row r="879" spans="1:10" outlineLevel="1" x14ac:dyDescent="0.25">
      <c r="A879" s="8" t="s">
        <v>664</v>
      </c>
      <c r="B879" s="3" t="s">
        <v>821</v>
      </c>
      <c r="C879" s="3" t="s">
        <v>4</v>
      </c>
      <c r="D879" s="3" t="s">
        <v>822</v>
      </c>
      <c r="E879" s="3" t="s">
        <v>893</v>
      </c>
      <c r="F879" s="3" t="s">
        <v>894</v>
      </c>
      <c r="G879" s="6">
        <v>3</v>
      </c>
      <c r="H879" s="6">
        <v>12</v>
      </c>
      <c r="I879" s="6">
        <v>36</v>
      </c>
      <c r="J879" s="6">
        <v>18288.179999999997</v>
      </c>
    </row>
    <row r="880" spans="1:10" outlineLevel="1" x14ac:dyDescent="0.25">
      <c r="A880" s="8" t="s">
        <v>664</v>
      </c>
      <c r="B880" s="3" t="s">
        <v>821</v>
      </c>
      <c r="C880" s="3" t="s">
        <v>4</v>
      </c>
      <c r="D880" s="3" t="s">
        <v>822</v>
      </c>
      <c r="E880" s="3" t="s">
        <v>895</v>
      </c>
      <c r="F880" s="3" t="s">
        <v>896</v>
      </c>
      <c r="G880" s="6">
        <v>3</v>
      </c>
      <c r="H880" s="6">
        <v>12</v>
      </c>
      <c r="I880" s="6">
        <v>36</v>
      </c>
      <c r="J880" s="6">
        <v>18324.179999999997</v>
      </c>
    </row>
    <row r="881" spans="1:10" outlineLevel="1" x14ac:dyDescent="0.25">
      <c r="A881" s="8" t="s">
        <v>664</v>
      </c>
      <c r="B881" s="3" t="s">
        <v>821</v>
      </c>
      <c r="C881" s="3" t="s">
        <v>4</v>
      </c>
      <c r="D881" s="3" t="s">
        <v>822</v>
      </c>
      <c r="E881" s="3" t="s">
        <v>897</v>
      </c>
      <c r="F881" s="3" t="s">
        <v>898</v>
      </c>
      <c r="G881" s="6">
        <v>3</v>
      </c>
      <c r="H881" s="6">
        <v>13.08</v>
      </c>
      <c r="I881" s="6">
        <v>39.24</v>
      </c>
      <c r="J881" s="6">
        <v>18363.419999999998</v>
      </c>
    </row>
    <row r="882" spans="1:10" outlineLevel="1" x14ac:dyDescent="0.25">
      <c r="A882" s="8" t="s">
        <v>664</v>
      </c>
      <c r="B882" s="3" t="s">
        <v>821</v>
      </c>
      <c r="C882" s="3" t="s">
        <v>4</v>
      </c>
      <c r="D882" s="3" t="s">
        <v>822</v>
      </c>
      <c r="E882" s="3" t="s">
        <v>899</v>
      </c>
      <c r="F882" s="3" t="s">
        <v>900</v>
      </c>
      <c r="G882" s="6">
        <v>3</v>
      </c>
      <c r="H882" s="6">
        <v>13.08</v>
      </c>
      <c r="I882" s="6">
        <v>39.24</v>
      </c>
      <c r="J882" s="6">
        <v>18402.66</v>
      </c>
    </row>
    <row r="883" spans="1:10" outlineLevel="1" x14ac:dyDescent="0.25">
      <c r="A883" s="8" t="s">
        <v>664</v>
      </c>
      <c r="B883" s="3" t="s">
        <v>821</v>
      </c>
      <c r="C883" s="3" t="s">
        <v>4</v>
      </c>
      <c r="D883" s="3" t="s">
        <v>822</v>
      </c>
      <c r="E883" s="3" t="s">
        <v>561</v>
      </c>
      <c r="F883" s="3" t="s">
        <v>901</v>
      </c>
      <c r="G883" s="6">
        <v>3</v>
      </c>
      <c r="H883" s="6">
        <v>35.94</v>
      </c>
      <c r="I883" s="6">
        <v>107.82</v>
      </c>
      <c r="J883" s="6">
        <v>18510.48</v>
      </c>
    </row>
    <row r="884" spans="1:10" outlineLevel="1" x14ac:dyDescent="0.25">
      <c r="A884" s="8" t="s">
        <v>664</v>
      </c>
      <c r="B884" s="3" t="s">
        <v>821</v>
      </c>
      <c r="C884" s="3" t="s">
        <v>4</v>
      </c>
      <c r="D884" s="3" t="s">
        <v>822</v>
      </c>
      <c r="E884" s="3" t="s">
        <v>62</v>
      </c>
      <c r="F884" s="3" t="s">
        <v>790</v>
      </c>
      <c r="G884" s="6">
        <v>12</v>
      </c>
      <c r="H884" s="6">
        <v>12.8</v>
      </c>
      <c r="I884" s="6">
        <v>153.6</v>
      </c>
      <c r="J884" s="6">
        <v>18664.079999999998</v>
      </c>
    </row>
    <row r="885" spans="1:10" outlineLevel="1" x14ac:dyDescent="0.25">
      <c r="A885" s="8" t="s">
        <v>664</v>
      </c>
      <c r="B885" s="3" t="s">
        <v>821</v>
      </c>
      <c r="C885" s="3" t="s">
        <v>4</v>
      </c>
      <c r="D885" s="3" t="s">
        <v>822</v>
      </c>
      <c r="E885" s="3" t="s">
        <v>56</v>
      </c>
      <c r="F885" s="3" t="s">
        <v>791</v>
      </c>
      <c r="G885" s="6">
        <v>12</v>
      </c>
      <c r="H885" s="6">
        <v>47.76</v>
      </c>
      <c r="I885" s="6">
        <v>573.12</v>
      </c>
      <c r="J885" s="6">
        <v>19237.199999999997</v>
      </c>
    </row>
    <row r="886" spans="1:10" outlineLevel="1" x14ac:dyDescent="0.25">
      <c r="A886" s="8" t="s">
        <v>664</v>
      </c>
      <c r="B886" s="3" t="s">
        <v>821</v>
      </c>
      <c r="C886" s="3" t="s">
        <v>4</v>
      </c>
      <c r="D886" s="3" t="s">
        <v>822</v>
      </c>
      <c r="E886" s="3" t="s">
        <v>58</v>
      </c>
      <c r="F886" s="3" t="s">
        <v>792</v>
      </c>
      <c r="G886" s="6">
        <v>8</v>
      </c>
      <c r="H886" s="6">
        <v>53.64</v>
      </c>
      <c r="I886" s="6">
        <v>429.12</v>
      </c>
      <c r="J886" s="6">
        <v>19666.319999999996</v>
      </c>
    </row>
    <row r="887" spans="1:10" outlineLevel="1" x14ac:dyDescent="0.25">
      <c r="A887" s="8" t="s">
        <v>664</v>
      </c>
      <c r="B887" s="3" t="s">
        <v>821</v>
      </c>
      <c r="C887" s="3" t="s">
        <v>4</v>
      </c>
      <c r="D887" s="3" t="s">
        <v>822</v>
      </c>
      <c r="E887" s="3" t="s">
        <v>84</v>
      </c>
      <c r="F887" s="3" t="s">
        <v>793</v>
      </c>
      <c r="G887" s="6">
        <v>12</v>
      </c>
      <c r="H887" s="6">
        <v>46.44</v>
      </c>
      <c r="I887" s="6">
        <v>557.28</v>
      </c>
      <c r="J887" s="6">
        <v>20223.599999999995</v>
      </c>
    </row>
    <row r="888" spans="1:10" outlineLevel="1" x14ac:dyDescent="0.25">
      <c r="A888" s="8" t="s">
        <v>664</v>
      </c>
      <c r="B888" s="3" t="s">
        <v>821</v>
      </c>
      <c r="C888" s="3" t="s">
        <v>4</v>
      </c>
      <c r="D888" s="3" t="s">
        <v>822</v>
      </c>
      <c r="E888" s="3" t="s">
        <v>64</v>
      </c>
      <c r="F888" s="3" t="s">
        <v>794</v>
      </c>
      <c r="G888" s="6">
        <v>5</v>
      </c>
      <c r="H888" s="6">
        <v>47.56</v>
      </c>
      <c r="I888" s="6">
        <v>237.8</v>
      </c>
      <c r="J888" s="6">
        <v>20461.399999999994</v>
      </c>
    </row>
    <row r="889" spans="1:10" outlineLevel="1" x14ac:dyDescent="0.25">
      <c r="A889" s="8" t="s">
        <v>664</v>
      </c>
      <c r="B889" s="3" t="s">
        <v>821</v>
      </c>
      <c r="C889" s="3" t="s">
        <v>4</v>
      </c>
      <c r="D889" s="3" t="s">
        <v>822</v>
      </c>
      <c r="E889" s="3" t="s">
        <v>902</v>
      </c>
      <c r="F889" s="3" t="s">
        <v>903</v>
      </c>
      <c r="G889" s="6">
        <v>5</v>
      </c>
      <c r="H889" s="6">
        <v>67.98</v>
      </c>
      <c r="I889" s="6">
        <v>339.9</v>
      </c>
      <c r="J889" s="6">
        <v>20801.299999999996</v>
      </c>
    </row>
    <row r="890" spans="1:10" outlineLevel="1" x14ac:dyDescent="0.25">
      <c r="A890" s="8" t="s">
        <v>664</v>
      </c>
      <c r="B890" s="3" t="s">
        <v>821</v>
      </c>
      <c r="C890" s="3" t="s">
        <v>4</v>
      </c>
      <c r="D890" s="3" t="s">
        <v>822</v>
      </c>
      <c r="E890" s="3" t="s">
        <v>743</v>
      </c>
      <c r="F890" s="3" t="s">
        <v>744</v>
      </c>
      <c r="G890" s="6">
        <v>6</v>
      </c>
      <c r="H890" s="6">
        <v>60</v>
      </c>
      <c r="I890" s="6">
        <v>360</v>
      </c>
      <c r="J890" s="6">
        <v>21161.299999999996</v>
      </c>
    </row>
    <row r="891" spans="1:10" outlineLevel="1" x14ac:dyDescent="0.25">
      <c r="A891" s="8" t="s">
        <v>664</v>
      </c>
      <c r="B891" s="3" t="s">
        <v>821</v>
      </c>
      <c r="C891" s="3" t="s">
        <v>4</v>
      </c>
      <c r="D891" s="3" t="s">
        <v>822</v>
      </c>
      <c r="E891" s="3" t="s">
        <v>745</v>
      </c>
      <c r="F891" s="3" t="s">
        <v>745</v>
      </c>
      <c r="G891" s="6">
        <v>6</v>
      </c>
      <c r="H891" s="6">
        <v>60</v>
      </c>
      <c r="I891" s="6">
        <v>360</v>
      </c>
      <c r="J891" s="6">
        <v>21521.299999999996</v>
      </c>
    </row>
    <row r="892" spans="1:10" outlineLevel="1" x14ac:dyDescent="0.25">
      <c r="A892" s="8" t="s">
        <v>664</v>
      </c>
      <c r="B892" s="3" t="s">
        <v>821</v>
      </c>
      <c r="C892" s="3" t="s">
        <v>4</v>
      </c>
      <c r="D892" s="3" t="s">
        <v>822</v>
      </c>
      <c r="E892" s="3" t="s">
        <v>904</v>
      </c>
      <c r="F892" s="3" t="s">
        <v>905</v>
      </c>
      <c r="G892" s="6">
        <v>5</v>
      </c>
      <c r="H892" s="6">
        <v>27</v>
      </c>
      <c r="I892" s="6">
        <v>135</v>
      </c>
      <c r="J892" s="6">
        <v>21656.299999999996</v>
      </c>
    </row>
    <row r="893" spans="1:10" outlineLevel="1" x14ac:dyDescent="0.25">
      <c r="A893" s="8" t="s">
        <v>664</v>
      </c>
      <c r="B893" s="3" t="s">
        <v>821</v>
      </c>
      <c r="C893" s="3" t="s">
        <v>4</v>
      </c>
      <c r="D893" s="3" t="s">
        <v>822</v>
      </c>
      <c r="E893" s="3" t="s">
        <v>906</v>
      </c>
      <c r="F893" s="3" t="s">
        <v>907</v>
      </c>
      <c r="G893" s="6">
        <v>2</v>
      </c>
      <c r="H893" s="6">
        <v>34.68</v>
      </c>
      <c r="I893" s="6">
        <v>69.36</v>
      </c>
      <c r="J893" s="6">
        <v>21725.659999999996</v>
      </c>
    </row>
    <row r="894" spans="1:10" outlineLevel="1" x14ac:dyDescent="0.25">
      <c r="A894" s="8" t="s">
        <v>664</v>
      </c>
      <c r="B894" s="3" t="s">
        <v>821</v>
      </c>
      <c r="C894" s="3" t="s">
        <v>4</v>
      </c>
      <c r="D894" s="3" t="s">
        <v>822</v>
      </c>
      <c r="E894" s="3" t="s">
        <v>908</v>
      </c>
      <c r="F894" s="3" t="s">
        <v>909</v>
      </c>
      <c r="G894" s="6">
        <v>2</v>
      </c>
      <c r="H894" s="6">
        <v>34.68</v>
      </c>
      <c r="I894" s="6">
        <v>69.36</v>
      </c>
      <c r="J894" s="6">
        <v>21795.019999999997</v>
      </c>
    </row>
    <row r="895" spans="1:10" outlineLevel="1" x14ac:dyDescent="0.25">
      <c r="A895" s="8" t="s">
        <v>664</v>
      </c>
      <c r="B895" s="3" t="s">
        <v>821</v>
      </c>
      <c r="C895" s="3" t="s">
        <v>4</v>
      </c>
      <c r="D895" s="3" t="s">
        <v>822</v>
      </c>
      <c r="E895" s="3" t="s">
        <v>910</v>
      </c>
      <c r="F895" s="3" t="s">
        <v>911</v>
      </c>
      <c r="G895" s="6">
        <v>5</v>
      </c>
      <c r="H895" s="6">
        <v>39.479999999999997</v>
      </c>
      <c r="I895" s="6">
        <v>197.4</v>
      </c>
      <c r="J895" s="6">
        <v>21992.42</v>
      </c>
    </row>
    <row r="896" spans="1:10" outlineLevel="1" x14ac:dyDescent="0.25">
      <c r="A896" s="8" t="s">
        <v>664</v>
      </c>
      <c r="B896" s="3" t="s">
        <v>821</v>
      </c>
      <c r="C896" s="3" t="s">
        <v>4</v>
      </c>
      <c r="D896" s="3" t="s">
        <v>822</v>
      </c>
      <c r="E896" s="3" t="s">
        <v>912</v>
      </c>
      <c r="F896" s="3" t="s">
        <v>913</v>
      </c>
      <c r="G896" s="6">
        <v>2</v>
      </c>
      <c r="H896" s="6">
        <v>39.479999999999997</v>
      </c>
      <c r="I896" s="6">
        <v>78.959999999999994</v>
      </c>
      <c r="J896" s="6">
        <v>22071.379999999997</v>
      </c>
    </row>
    <row r="897" spans="1:10" outlineLevel="1" x14ac:dyDescent="0.25">
      <c r="A897" s="8" t="s">
        <v>664</v>
      </c>
      <c r="B897" s="3" t="s">
        <v>821</v>
      </c>
      <c r="C897" s="3" t="s">
        <v>4</v>
      </c>
      <c r="D897" s="3" t="s">
        <v>822</v>
      </c>
      <c r="E897" s="3" t="s">
        <v>914</v>
      </c>
      <c r="F897" s="3" t="s">
        <v>915</v>
      </c>
      <c r="G897" s="6">
        <v>1</v>
      </c>
      <c r="H897" s="6">
        <v>46.68</v>
      </c>
      <c r="I897" s="6">
        <v>46.68</v>
      </c>
      <c r="J897" s="6">
        <v>22118.059999999998</v>
      </c>
    </row>
    <row r="898" spans="1:10" outlineLevel="1" x14ac:dyDescent="0.25">
      <c r="A898" s="8" t="s">
        <v>664</v>
      </c>
      <c r="B898" s="3" t="s">
        <v>821</v>
      </c>
      <c r="C898" s="3" t="s">
        <v>4</v>
      </c>
      <c r="D898" s="3" t="s">
        <v>822</v>
      </c>
      <c r="E898" s="3" t="s">
        <v>916</v>
      </c>
      <c r="F898" s="3" t="s">
        <v>917</v>
      </c>
      <c r="G898" s="6">
        <v>2</v>
      </c>
      <c r="H898" s="6">
        <v>42.96</v>
      </c>
      <c r="I898" s="6">
        <v>85.92</v>
      </c>
      <c r="J898" s="6">
        <v>22203.979999999996</v>
      </c>
    </row>
    <row r="899" spans="1:10" outlineLevel="1" x14ac:dyDescent="0.25">
      <c r="A899" s="8" t="s">
        <v>664</v>
      </c>
      <c r="B899" s="3" t="s">
        <v>821</v>
      </c>
      <c r="C899" s="3" t="s">
        <v>4</v>
      </c>
      <c r="D899" s="3" t="s">
        <v>822</v>
      </c>
      <c r="E899" s="3" t="s">
        <v>918</v>
      </c>
      <c r="F899" s="3" t="s">
        <v>919</v>
      </c>
      <c r="G899" s="6">
        <v>2</v>
      </c>
      <c r="H899" s="6">
        <v>33.479999999999997</v>
      </c>
      <c r="I899" s="6">
        <v>66.959999999999994</v>
      </c>
      <c r="J899" s="6">
        <v>22270.939999999995</v>
      </c>
    </row>
    <row r="900" spans="1:10" outlineLevel="1" x14ac:dyDescent="0.25">
      <c r="A900" s="8" t="s">
        <v>664</v>
      </c>
      <c r="B900" s="3" t="s">
        <v>821</v>
      </c>
      <c r="C900" s="3" t="s">
        <v>4</v>
      </c>
      <c r="D900" s="3" t="s">
        <v>822</v>
      </c>
      <c r="E900" s="3" t="s">
        <v>920</v>
      </c>
      <c r="F900" s="3" t="s">
        <v>921</v>
      </c>
      <c r="G900" s="6">
        <v>1</v>
      </c>
      <c r="H900" s="6">
        <v>32.15</v>
      </c>
      <c r="I900" s="6">
        <v>32.15</v>
      </c>
      <c r="J900" s="6">
        <v>22303.089999999997</v>
      </c>
    </row>
    <row r="901" spans="1:10" outlineLevel="1" x14ac:dyDescent="0.25">
      <c r="A901" s="8" t="s">
        <v>664</v>
      </c>
      <c r="B901" s="3" t="s">
        <v>821</v>
      </c>
      <c r="C901" s="3" t="s">
        <v>4</v>
      </c>
      <c r="D901" s="3" t="s">
        <v>822</v>
      </c>
      <c r="E901" s="3" t="s">
        <v>922</v>
      </c>
      <c r="F901" s="3" t="s">
        <v>923</v>
      </c>
      <c r="G901" s="6">
        <v>1</v>
      </c>
      <c r="H901" s="6">
        <v>32.15</v>
      </c>
      <c r="I901" s="6">
        <v>32.15</v>
      </c>
      <c r="J901" s="6">
        <v>22335.239999999998</v>
      </c>
    </row>
    <row r="902" spans="1:10" outlineLevel="1" x14ac:dyDescent="0.25">
      <c r="A902" s="8" t="s">
        <v>664</v>
      </c>
      <c r="B902" s="3" t="s">
        <v>821</v>
      </c>
      <c r="C902" s="3" t="s">
        <v>4</v>
      </c>
      <c r="D902" s="3" t="s">
        <v>822</v>
      </c>
      <c r="E902" s="3" t="s">
        <v>924</v>
      </c>
      <c r="F902" s="3" t="s">
        <v>925</v>
      </c>
      <c r="G902" s="6">
        <v>1</v>
      </c>
      <c r="H902" s="6">
        <v>32.15</v>
      </c>
      <c r="I902" s="6">
        <v>32.15</v>
      </c>
      <c r="J902" s="6">
        <v>22367.39</v>
      </c>
    </row>
    <row r="903" spans="1:10" outlineLevel="1" x14ac:dyDescent="0.25">
      <c r="A903" s="8" t="s">
        <v>664</v>
      </c>
      <c r="B903" s="3" t="s">
        <v>821</v>
      </c>
      <c r="C903" s="3" t="s">
        <v>4</v>
      </c>
      <c r="D903" s="3" t="s">
        <v>822</v>
      </c>
      <c r="E903" s="3" t="s">
        <v>926</v>
      </c>
      <c r="F903" s="3" t="s">
        <v>927</v>
      </c>
      <c r="G903" s="6">
        <v>1</v>
      </c>
      <c r="H903" s="6">
        <v>32.15</v>
      </c>
      <c r="I903" s="6">
        <v>32.15</v>
      </c>
      <c r="J903" s="6">
        <v>22399.54</v>
      </c>
    </row>
    <row r="904" spans="1:10" outlineLevel="1" x14ac:dyDescent="0.25">
      <c r="A904" s="8" t="s">
        <v>664</v>
      </c>
      <c r="B904" s="3" t="s">
        <v>821</v>
      </c>
      <c r="C904" s="3" t="s">
        <v>4</v>
      </c>
      <c r="D904" s="3" t="s">
        <v>822</v>
      </c>
      <c r="E904" s="3" t="s">
        <v>752</v>
      </c>
      <c r="F904" s="3" t="s">
        <v>753</v>
      </c>
      <c r="G904" s="6">
        <v>2</v>
      </c>
      <c r="H904" s="6">
        <v>35</v>
      </c>
      <c r="I904" s="6">
        <v>70</v>
      </c>
      <c r="J904" s="6">
        <v>22469.54</v>
      </c>
    </row>
    <row r="905" spans="1:10" outlineLevel="1" x14ac:dyDescent="0.25">
      <c r="A905" s="8" t="s">
        <v>664</v>
      </c>
      <c r="B905" s="3" t="s">
        <v>821</v>
      </c>
      <c r="C905" s="3" t="s">
        <v>4</v>
      </c>
      <c r="D905" s="3" t="s">
        <v>822</v>
      </c>
      <c r="E905" s="3" t="s">
        <v>928</v>
      </c>
      <c r="F905" s="3" t="s">
        <v>929</v>
      </c>
      <c r="G905" s="6">
        <v>1</v>
      </c>
      <c r="H905" s="6">
        <v>62</v>
      </c>
      <c r="I905" s="6">
        <v>62</v>
      </c>
      <c r="J905" s="6">
        <v>22531.54</v>
      </c>
    </row>
    <row r="906" spans="1:10" outlineLevel="1" x14ac:dyDescent="0.25">
      <c r="A906" s="8" t="s">
        <v>664</v>
      </c>
      <c r="B906" s="3" t="s">
        <v>821</v>
      </c>
      <c r="C906" s="3" t="s">
        <v>4</v>
      </c>
      <c r="D906" s="3" t="s">
        <v>822</v>
      </c>
      <c r="E906" s="3" t="s">
        <v>930</v>
      </c>
      <c r="F906" s="3" t="s">
        <v>931</v>
      </c>
      <c r="G906" s="6">
        <v>2</v>
      </c>
      <c r="H906" s="6">
        <v>28.8</v>
      </c>
      <c r="I906" s="6">
        <v>57.6</v>
      </c>
      <c r="J906" s="6">
        <v>22589.14</v>
      </c>
    </row>
    <row r="907" spans="1:10" outlineLevel="1" x14ac:dyDescent="0.25">
      <c r="A907" s="8" t="s">
        <v>664</v>
      </c>
      <c r="B907" s="3" t="s">
        <v>821</v>
      </c>
      <c r="C907" s="3" t="s">
        <v>4</v>
      </c>
      <c r="D907" s="3" t="s">
        <v>822</v>
      </c>
      <c r="E907" s="3" t="s">
        <v>809</v>
      </c>
      <c r="F907" s="3" t="s">
        <v>810</v>
      </c>
      <c r="G907" s="6">
        <v>4</v>
      </c>
      <c r="H907" s="6">
        <v>30.6</v>
      </c>
      <c r="I907" s="6">
        <v>122.4</v>
      </c>
      <c r="J907" s="6">
        <v>22711.54</v>
      </c>
    </row>
    <row r="908" spans="1:10" outlineLevel="1" x14ac:dyDescent="0.25">
      <c r="A908" s="8" t="s">
        <v>664</v>
      </c>
      <c r="B908" s="3" t="s">
        <v>821</v>
      </c>
      <c r="C908" s="3" t="s">
        <v>4</v>
      </c>
      <c r="D908" s="3" t="s">
        <v>822</v>
      </c>
      <c r="E908" s="3" t="s">
        <v>760</v>
      </c>
      <c r="F908" s="3" t="s">
        <v>761</v>
      </c>
      <c r="G908" s="6">
        <v>1</v>
      </c>
      <c r="H908" s="6">
        <v>50</v>
      </c>
      <c r="I908" s="6">
        <v>50</v>
      </c>
      <c r="J908" s="6">
        <v>22761.54</v>
      </c>
    </row>
    <row r="909" spans="1:10" outlineLevel="1" x14ac:dyDescent="0.25">
      <c r="A909" s="8" t="s">
        <v>664</v>
      </c>
      <c r="B909" s="3" t="s">
        <v>821</v>
      </c>
      <c r="C909" s="3" t="s">
        <v>4</v>
      </c>
      <c r="D909" s="3" t="s">
        <v>822</v>
      </c>
      <c r="E909" s="3" t="s">
        <v>811</v>
      </c>
      <c r="F909" s="3" t="s">
        <v>812</v>
      </c>
      <c r="G909" s="6">
        <v>4</v>
      </c>
      <c r="H909" s="6">
        <v>49.8</v>
      </c>
      <c r="I909" s="6">
        <v>199.2</v>
      </c>
      <c r="J909" s="6">
        <v>22960.74</v>
      </c>
    </row>
    <row r="910" spans="1:10" outlineLevel="1" x14ac:dyDescent="0.25">
      <c r="A910" s="8" t="s">
        <v>664</v>
      </c>
      <c r="B910" s="3" t="s">
        <v>821</v>
      </c>
      <c r="C910" s="3" t="s">
        <v>4</v>
      </c>
      <c r="D910" s="3" t="s">
        <v>822</v>
      </c>
      <c r="E910" s="3" t="s">
        <v>762</v>
      </c>
      <c r="F910" s="3" t="s">
        <v>763</v>
      </c>
      <c r="G910" s="6">
        <v>4</v>
      </c>
      <c r="H910" s="6">
        <v>36</v>
      </c>
      <c r="I910" s="6">
        <v>144</v>
      </c>
      <c r="J910" s="6">
        <v>23104.74</v>
      </c>
    </row>
    <row r="911" spans="1:10" outlineLevel="1" x14ac:dyDescent="0.25">
      <c r="A911" s="8" t="s">
        <v>664</v>
      </c>
      <c r="B911" s="3" t="s">
        <v>821</v>
      </c>
      <c r="C911" s="3" t="s">
        <v>4</v>
      </c>
      <c r="D911" s="3" t="s">
        <v>822</v>
      </c>
      <c r="E911" s="3" t="s">
        <v>813</v>
      </c>
      <c r="F911" s="3" t="s">
        <v>814</v>
      </c>
      <c r="G911" s="6">
        <v>2</v>
      </c>
      <c r="H911" s="6">
        <v>51</v>
      </c>
      <c r="I911" s="6">
        <v>102</v>
      </c>
      <c r="J911" s="6">
        <v>23206.74</v>
      </c>
    </row>
    <row r="912" spans="1:10" outlineLevel="1" x14ac:dyDescent="0.25">
      <c r="A912" s="8" t="s">
        <v>664</v>
      </c>
      <c r="B912" s="3" t="s">
        <v>821</v>
      </c>
      <c r="C912" s="3" t="s">
        <v>4</v>
      </c>
      <c r="D912" s="3" t="s">
        <v>822</v>
      </c>
      <c r="E912" s="3" t="s">
        <v>815</v>
      </c>
      <c r="F912" s="3" t="s">
        <v>816</v>
      </c>
      <c r="G912" s="6">
        <v>8</v>
      </c>
      <c r="H912" s="6">
        <v>45</v>
      </c>
      <c r="I912" s="6">
        <v>360</v>
      </c>
      <c r="J912" s="6">
        <v>23566.74</v>
      </c>
    </row>
    <row r="913" spans="1:10" outlineLevel="1" x14ac:dyDescent="0.25">
      <c r="A913" s="8" t="s">
        <v>664</v>
      </c>
      <c r="B913" s="3" t="s">
        <v>821</v>
      </c>
      <c r="C913" s="3" t="s">
        <v>4</v>
      </c>
      <c r="D913" s="3" t="s">
        <v>822</v>
      </c>
      <c r="E913" s="3" t="s">
        <v>817</v>
      </c>
      <c r="F913" s="3" t="s">
        <v>818</v>
      </c>
      <c r="G913" s="6">
        <v>2</v>
      </c>
      <c r="H913" s="6">
        <v>43.2</v>
      </c>
      <c r="I913" s="6">
        <v>86.4</v>
      </c>
      <c r="J913" s="6">
        <v>23653.140000000003</v>
      </c>
    </row>
    <row r="914" spans="1:10" outlineLevel="1" x14ac:dyDescent="0.25">
      <c r="A914" s="8" t="s">
        <v>664</v>
      </c>
      <c r="B914" s="3" t="s">
        <v>821</v>
      </c>
      <c r="C914" s="3" t="s">
        <v>4</v>
      </c>
      <c r="D914" s="3" t="s">
        <v>822</v>
      </c>
      <c r="E914" s="3" t="s">
        <v>764</v>
      </c>
      <c r="F914" s="3" t="s">
        <v>765</v>
      </c>
      <c r="G914" s="6">
        <v>2</v>
      </c>
      <c r="H914" s="6">
        <v>32.4</v>
      </c>
      <c r="I914" s="6">
        <v>64.8</v>
      </c>
      <c r="J914" s="6">
        <v>23717.940000000002</v>
      </c>
    </row>
    <row r="915" spans="1:10" outlineLevel="1" x14ac:dyDescent="0.25">
      <c r="A915" s="8" t="s">
        <v>664</v>
      </c>
      <c r="B915" s="3" t="s">
        <v>821</v>
      </c>
      <c r="C915" s="3" t="s">
        <v>4</v>
      </c>
      <c r="D915" s="3" t="s">
        <v>822</v>
      </c>
      <c r="E915" s="3" t="s">
        <v>768</v>
      </c>
      <c r="F915" s="3" t="s">
        <v>769</v>
      </c>
      <c r="G915" s="6">
        <v>1</v>
      </c>
      <c r="H915" s="6">
        <v>47.8</v>
      </c>
      <c r="I915" s="6">
        <v>47.8</v>
      </c>
      <c r="J915" s="6">
        <v>23765.74</v>
      </c>
    </row>
    <row r="916" spans="1:10" outlineLevel="1" x14ac:dyDescent="0.25">
      <c r="A916" s="8" t="s">
        <v>664</v>
      </c>
      <c r="B916" s="3" t="s">
        <v>821</v>
      </c>
      <c r="C916" s="3" t="s">
        <v>4</v>
      </c>
      <c r="D916" s="3" t="s">
        <v>822</v>
      </c>
      <c r="E916" s="3" t="s">
        <v>819</v>
      </c>
      <c r="F916" s="3" t="s">
        <v>820</v>
      </c>
      <c r="G916" s="6">
        <v>2</v>
      </c>
      <c r="H916" s="6">
        <v>27.48</v>
      </c>
      <c r="I916" s="6">
        <v>54.96</v>
      </c>
      <c r="J916" s="6">
        <v>23820.7</v>
      </c>
    </row>
    <row r="917" spans="1:10" outlineLevel="1" x14ac:dyDescent="0.25">
      <c r="A917" s="8" t="s">
        <v>664</v>
      </c>
      <c r="B917" s="3" t="s">
        <v>821</v>
      </c>
      <c r="C917" s="3" t="s">
        <v>4</v>
      </c>
      <c r="D917" s="3" t="s">
        <v>822</v>
      </c>
      <c r="E917" s="3" t="s">
        <v>677</v>
      </c>
      <c r="F917" s="3" t="s">
        <v>678</v>
      </c>
      <c r="G917" s="6">
        <v>6</v>
      </c>
      <c r="H917" s="6">
        <v>19.8</v>
      </c>
      <c r="I917" s="6">
        <v>118.8</v>
      </c>
      <c r="J917" s="6">
        <v>23939.5</v>
      </c>
    </row>
    <row r="918" spans="1:10" outlineLevel="1" x14ac:dyDescent="0.25">
      <c r="A918" s="8" t="s">
        <v>664</v>
      </c>
      <c r="B918" s="3" t="s">
        <v>821</v>
      </c>
      <c r="C918" s="3" t="s">
        <v>4</v>
      </c>
      <c r="D918" s="3" t="s">
        <v>822</v>
      </c>
      <c r="E918" s="3" t="s">
        <v>686</v>
      </c>
      <c r="F918" s="3" t="s">
        <v>687</v>
      </c>
      <c r="G918" s="6">
        <v>6</v>
      </c>
      <c r="H918" s="6">
        <v>23.88</v>
      </c>
      <c r="I918" s="6">
        <v>143.28</v>
      </c>
      <c r="J918" s="6">
        <v>24082.78</v>
      </c>
    </row>
    <row r="919" spans="1:10" outlineLevel="1" x14ac:dyDescent="0.25">
      <c r="A919" s="8" t="s">
        <v>664</v>
      </c>
      <c r="B919" s="3" t="s">
        <v>932</v>
      </c>
      <c r="C919" s="3" t="s">
        <v>4</v>
      </c>
      <c r="D919" s="3" t="s">
        <v>933</v>
      </c>
      <c r="E919" s="3" t="s">
        <v>837</v>
      </c>
      <c r="F919" s="3" t="s">
        <v>934</v>
      </c>
      <c r="G919" s="6">
        <v>1</v>
      </c>
      <c r="H919" s="6">
        <v>28.64</v>
      </c>
      <c r="I919" s="6">
        <v>28.64</v>
      </c>
      <c r="J919" s="6">
        <v>24111.42</v>
      </c>
    </row>
    <row r="920" spans="1:10" outlineLevel="1" x14ac:dyDescent="0.25">
      <c r="A920" s="8" t="s">
        <v>664</v>
      </c>
      <c r="B920" s="3" t="s">
        <v>932</v>
      </c>
      <c r="C920" s="3" t="s">
        <v>4</v>
      </c>
      <c r="D920" s="3" t="s">
        <v>933</v>
      </c>
      <c r="E920" s="3" t="s">
        <v>372</v>
      </c>
      <c r="F920" s="3" t="s">
        <v>423</v>
      </c>
      <c r="G920" s="6">
        <v>10</v>
      </c>
      <c r="H920" s="6">
        <v>30</v>
      </c>
      <c r="I920" s="6">
        <v>300</v>
      </c>
      <c r="J920" s="6">
        <v>24411.42</v>
      </c>
    </row>
    <row r="921" spans="1:10" outlineLevel="1" x14ac:dyDescent="0.25">
      <c r="A921" s="8" t="s">
        <v>664</v>
      </c>
      <c r="B921" s="3" t="s">
        <v>932</v>
      </c>
      <c r="C921" s="3" t="s">
        <v>4</v>
      </c>
      <c r="D921" s="3" t="s">
        <v>933</v>
      </c>
      <c r="E921" s="3" t="s">
        <v>880</v>
      </c>
      <c r="F921" s="3" t="s">
        <v>935</v>
      </c>
      <c r="G921" s="6">
        <v>5</v>
      </c>
      <c r="H921" s="6">
        <v>13.08</v>
      </c>
      <c r="I921" s="6">
        <v>65.400000000000006</v>
      </c>
      <c r="J921" s="6">
        <v>24476.82</v>
      </c>
    </row>
    <row r="922" spans="1:10" outlineLevel="1" x14ac:dyDescent="0.25">
      <c r="A922" s="8" t="s">
        <v>664</v>
      </c>
      <c r="B922" s="3" t="s">
        <v>932</v>
      </c>
      <c r="C922" s="3" t="s">
        <v>4</v>
      </c>
      <c r="D922" s="3" t="s">
        <v>933</v>
      </c>
      <c r="E922" s="3" t="s">
        <v>936</v>
      </c>
      <c r="F922" s="3" t="s">
        <v>937</v>
      </c>
      <c r="G922" s="6">
        <v>2</v>
      </c>
      <c r="H922" s="6">
        <v>20</v>
      </c>
      <c r="I922" s="6">
        <v>40</v>
      </c>
      <c r="J922" s="6">
        <v>24516.82</v>
      </c>
    </row>
    <row r="923" spans="1:10" outlineLevel="1" x14ac:dyDescent="0.25">
      <c r="A923" s="8" t="s">
        <v>664</v>
      </c>
      <c r="B923" s="3" t="s">
        <v>932</v>
      </c>
      <c r="C923" s="3" t="s">
        <v>4</v>
      </c>
      <c r="D923" s="3" t="s">
        <v>933</v>
      </c>
      <c r="E923" s="3" t="s">
        <v>801</v>
      </c>
      <c r="F923" s="3" t="s">
        <v>802</v>
      </c>
      <c r="G923" s="6">
        <v>2</v>
      </c>
      <c r="H923" s="6">
        <v>24</v>
      </c>
      <c r="I923" s="6">
        <v>48</v>
      </c>
      <c r="J923" s="6">
        <v>24564.82</v>
      </c>
    </row>
    <row r="924" spans="1:10" outlineLevel="1" x14ac:dyDescent="0.25">
      <c r="A924" s="8" t="s">
        <v>664</v>
      </c>
      <c r="B924" s="3" t="s">
        <v>932</v>
      </c>
      <c r="C924" s="3" t="s">
        <v>4</v>
      </c>
      <c r="D924" s="3" t="s">
        <v>933</v>
      </c>
      <c r="E924" s="3" t="s">
        <v>803</v>
      </c>
      <c r="F924" s="3" t="s">
        <v>804</v>
      </c>
      <c r="G924" s="6">
        <v>2</v>
      </c>
      <c r="H924" s="6">
        <v>24</v>
      </c>
      <c r="I924" s="6">
        <v>48</v>
      </c>
      <c r="J924" s="6">
        <v>24612.82</v>
      </c>
    </row>
    <row r="925" spans="1:10" outlineLevel="1" x14ac:dyDescent="0.25">
      <c r="A925" s="8" t="s">
        <v>664</v>
      </c>
      <c r="B925" s="3" t="s">
        <v>932</v>
      </c>
      <c r="C925" s="3" t="s">
        <v>4</v>
      </c>
      <c r="D925" s="3" t="s">
        <v>933</v>
      </c>
      <c r="E925" s="3" t="s">
        <v>805</v>
      </c>
      <c r="F925" s="3" t="s">
        <v>806</v>
      </c>
      <c r="G925" s="6">
        <v>2</v>
      </c>
      <c r="H925" s="6">
        <v>24</v>
      </c>
      <c r="I925" s="6">
        <v>48</v>
      </c>
      <c r="J925" s="6">
        <v>24660.82</v>
      </c>
    </row>
    <row r="926" spans="1:10" outlineLevel="1" x14ac:dyDescent="0.25">
      <c r="A926" s="8" t="s">
        <v>664</v>
      </c>
      <c r="B926" s="3" t="s">
        <v>932</v>
      </c>
      <c r="C926" s="3" t="s">
        <v>4</v>
      </c>
      <c r="D926" s="3" t="s">
        <v>933</v>
      </c>
      <c r="E926" s="3" t="s">
        <v>938</v>
      </c>
      <c r="F926" s="3" t="s">
        <v>939</v>
      </c>
      <c r="G926" s="6">
        <v>1</v>
      </c>
      <c r="H926" s="6">
        <v>60</v>
      </c>
      <c r="I926" s="6">
        <v>60</v>
      </c>
      <c r="J926" s="6">
        <v>24720.82</v>
      </c>
    </row>
    <row r="927" spans="1:10" outlineLevel="1" x14ac:dyDescent="0.25">
      <c r="A927" s="8" t="s">
        <v>664</v>
      </c>
      <c r="B927" s="3" t="s">
        <v>654</v>
      </c>
      <c r="C927" s="3" t="s">
        <v>4</v>
      </c>
      <c r="D927" s="3" t="s">
        <v>940</v>
      </c>
      <c r="E927" s="3" t="s">
        <v>669</v>
      </c>
      <c r="F927" s="3" t="s">
        <v>941</v>
      </c>
      <c r="G927" s="6">
        <v>4</v>
      </c>
      <c r="H927" s="6">
        <v>30.82</v>
      </c>
      <c r="I927" s="6">
        <v>123.28</v>
      </c>
      <c r="J927" s="6">
        <v>24844.1</v>
      </c>
    </row>
    <row r="928" spans="1:10" outlineLevel="1" x14ac:dyDescent="0.25">
      <c r="A928" s="8" t="s">
        <v>664</v>
      </c>
      <c r="B928" s="3" t="s">
        <v>654</v>
      </c>
      <c r="C928" s="3" t="s">
        <v>4</v>
      </c>
      <c r="D928" s="3" t="s">
        <v>940</v>
      </c>
      <c r="E928" s="3" t="s">
        <v>686</v>
      </c>
      <c r="F928" s="3" t="s">
        <v>942</v>
      </c>
      <c r="G928" s="6">
        <v>2</v>
      </c>
      <c r="H928" s="6">
        <v>25.55</v>
      </c>
      <c r="I928" s="6">
        <v>51.1</v>
      </c>
      <c r="J928" s="6">
        <v>24895.199999999997</v>
      </c>
    </row>
    <row r="929" spans="1:10" outlineLevel="1" x14ac:dyDescent="0.25">
      <c r="A929" s="8" t="s">
        <v>664</v>
      </c>
      <c r="B929" s="3" t="s">
        <v>654</v>
      </c>
      <c r="C929" s="3" t="s">
        <v>4</v>
      </c>
      <c r="D929" s="3" t="s">
        <v>940</v>
      </c>
      <c r="E929" s="3" t="s">
        <v>830</v>
      </c>
      <c r="F929" s="3" t="s">
        <v>943</v>
      </c>
      <c r="G929" s="6">
        <v>3</v>
      </c>
      <c r="H929" s="6">
        <v>28.89</v>
      </c>
      <c r="I929" s="6">
        <v>86.67</v>
      </c>
      <c r="J929" s="6">
        <v>24981.869999999995</v>
      </c>
    </row>
    <row r="930" spans="1:10" outlineLevel="1" x14ac:dyDescent="0.25">
      <c r="A930" s="8" t="s">
        <v>664</v>
      </c>
      <c r="B930" s="3" t="s">
        <v>654</v>
      </c>
      <c r="C930" s="3" t="s">
        <v>4</v>
      </c>
      <c r="D930" s="3" t="s">
        <v>940</v>
      </c>
      <c r="E930" s="3" t="s">
        <v>692</v>
      </c>
      <c r="F930" s="3" t="s">
        <v>944</v>
      </c>
      <c r="G930" s="6">
        <v>10</v>
      </c>
      <c r="H930" s="6">
        <v>39.68</v>
      </c>
      <c r="I930" s="6">
        <v>396.8</v>
      </c>
      <c r="J930" s="6">
        <v>25378.669999999995</v>
      </c>
    </row>
    <row r="931" spans="1:10" outlineLevel="1" x14ac:dyDescent="0.25">
      <c r="A931" s="8" t="s">
        <v>664</v>
      </c>
      <c r="B931" s="3" t="s">
        <v>654</v>
      </c>
      <c r="C931" s="3" t="s">
        <v>4</v>
      </c>
      <c r="D931" s="3" t="s">
        <v>940</v>
      </c>
      <c r="E931" s="3" t="s">
        <v>945</v>
      </c>
      <c r="F931" s="3" t="s">
        <v>946</v>
      </c>
      <c r="G931" s="6">
        <v>2</v>
      </c>
      <c r="H931" s="6">
        <v>32</v>
      </c>
      <c r="I931" s="6">
        <v>64</v>
      </c>
      <c r="J931" s="6">
        <v>25442.669999999995</v>
      </c>
    </row>
    <row r="932" spans="1:10" outlineLevel="1" x14ac:dyDescent="0.25">
      <c r="A932" s="8" t="s">
        <v>664</v>
      </c>
      <c r="B932" s="3" t="s">
        <v>654</v>
      </c>
      <c r="C932" s="3" t="s">
        <v>4</v>
      </c>
      <c r="D932" s="3" t="s">
        <v>940</v>
      </c>
      <c r="E932" s="3" t="s">
        <v>947</v>
      </c>
      <c r="F932" s="3" t="s">
        <v>948</v>
      </c>
      <c r="G932" s="6">
        <v>2</v>
      </c>
      <c r="H932" s="6">
        <v>47.76</v>
      </c>
      <c r="I932" s="6">
        <v>95.52</v>
      </c>
      <c r="J932" s="6">
        <v>25538.189999999995</v>
      </c>
    </row>
    <row r="933" spans="1:10" outlineLevel="1" x14ac:dyDescent="0.25">
      <c r="A933" s="8" t="s">
        <v>664</v>
      </c>
      <c r="B933" s="3" t="s">
        <v>654</v>
      </c>
      <c r="C933" s="3" t="s">
        <v>4</v>
      </c>
      <c r="D933" s="3" t="s">
        <v>940</v>
      </c>
      <c r="E933" s="3" t="s">
        <v>847</v>
      </c>
      <c r="F933" s="3" t="s">
        <v>949</v>
      </c>
      <c r="G933" s="6">
        <v>4</v>
      </c>
      <c r="H933" s="6">
        <v>14</v>
      </c>
      <c r="I933" s="6">
        <v>56</v>
      </c>
      <c r="J933" s="6">
        <v>25594.189999999995</v>
      </c>
    </row>
    <row r="934" spans="1:10" outlineLevel="1" x14ac:dyDescent="0.25">
      <c r="A934" s="8" t="s">
        <v>664</v>
      </c>
      <c r="B934" s="3" t="s">
        <v>654</v>
      </c>
      <c r="C934" s="3" t="s">
        <v>4</v>
      </c>
      <c r="D934" s="3" t="s">
        <v>940</v>
      </c>
      <c r="E934" s="3" t="s">
        <v>849</v>
      </c>
      <c r="F934" s="3" t="s">
        <v>950</v>
      </c>
      <c r="G934" s="6">
        <v>3</v>
      </c>
      <c r="H934" s="6">
        <v>16.05</v>
      </c>
      <c r="I934" s="6">
        <v>48.15</v>
      </c>
      <c r="J934" s="6">
        <v>25642.339999999997</v>
      </c>
    </row>
    <row r="935" spans="1:10" outlineLevel="1" x14ac:dyDescent="0.25">
      <c r="A935" s="8" t="s">
        <v>664</v>
      </c>
      <c r="B935" s="3" t="s">
        <v>654</v>
      </c>
      <c r="C935" s="3" t="s">
        <v>4</v>
      </c>
      <c r="D935" s="3" t="s">
        <v>940</v>
      </c>
      <c r="E935" s="3" t="s">
        <v>851</v>
      </c>
      <c r="F935" s="3" t="s">
        <v>951</v>
      </c>
      <c r="G935" s="6">
        <v>2</v>
      </c>
      <c r="H935" s="6">
        <v>75.97</v>
      </c>
      <c r="I935" s="6">
        <v>151.94</v>
      </c>
      <c r="J935" s="6">
        <v>25794.279999999995</v>
      </c>
    </row>
    <row r="936" spans="1:10" outlineLevel="1" x14ac:dyDescent="0.25">
      <c r="A936" s="8" t="s">
        <v>664</v>
      </c>
      <c r="B936" s="3" t="s">
        <v>654</v>
      </c>
      <c r="C936" s="3" t="s">
        <v>4</v>
      </c>
      <c r="D936" s="3" t="s">
        <v>940</v>
      </c>
      <c r="E936" s="3" t="s">
        <v>754</v>
      </c>
      <c r="F936" s="3" t="s">
        <v>952</v>
      </c>
      <c r="G936" s="6">
        <v>8</v>
      </c>
      <c r="H936" s="6">
        <v>38.39</v>
      </c>
      <c r="I936" s="6">
        <v>307.12</v>
      </c>
      <c r="J936" s="6">
        <v>26101.399999999994</v>
      </c>
    </row>
    <row r="937" spans="1:10" outlineLevel="1" x14ac:dyDescent="0.25">
      <c r="A937" s="8" t="s">
        <v>664</v>
      </c>
      <c r="B937" s="3" t="s">
        <v>654</v>
      </c>
      <c r="C937" s="3" t="s">
        <v>4</v>
      </c>
      <c r="D937" s="3" t="s">
        <v>940</v>
      </c>
      <c r="E937" s="3" t="s">
        <v>953</v>
      </c>
      <c r="F937" s="3" t="s">
        <v>954</v>
      </c>
      <c r="G937" s="6">
        <v>4</v>
      </c>
      <c r="H937" s="6">
        <v>13.2</v>
      </c>
      <c r="I937" s="6">
        <v>52.8</v>
      </c>
      <c r="J937" s="6">
        <v>26154.199999999993</v>
      </c>
    </row>
    <row r="938" spans="1:10" outlineLevel="1" x14ac:dyDescent="0.25">
      <c r="A938" s="8" t="s">
        <v>664</v>
      </c>
      <c r="B938" s="3" t="s">
        <v>654</v>
      </c>
      <c r="C938" s="3" t="s">
        <v>4</v>
      </c>
      <c r="D938" s="3" t="s">
        <v>940</v>
      </c>
      <c r="E938" s="3" t="s">
        <v>955</v>
      </c>
      <c r="F938" s="3" t="s">
        <v>956</v>
      </c>
      <c r="G938" s="6">
        <v>20</v>
      </c>
      <c r="H938" s="6">
        <v>42</v>
      </c>
      <c r="I938" s="6">
        <v>840</v>
      </c>
      <c r="J938" s="6">
        <v>26994.199999999993</v>
      </c>
    </row>
    <row r="939" spans="1:10" outlineLevel="1" x14ac:dyDescent="0.25">
      <c r="A939" s="8" t="s">
        <v>664</v>
      </c>
      <c r="B939" s="3" t="s">
        <v>654</v>
      </c>
      <c r="C939" s="3" t="s">
        <v>4</v>
      </c>
      <c r="D939" s="3" t="s">
        <v>940</v>
      </c>
      <c r="E939" s="3" t="s">
        <v>957</v>
      </c>
      <c r="F939" s="3" t="s">
        <v>958</v>
      </c>
      <c r="G939" s="6">
        <v>20</v>
      </c>
      <c r="H939" s="6">
        <v>42</v>
      </c>
      <c r="I939" s="6">
        <v>840</v>
      </c>
      <c r="J939" s="6">
        <v>27834.199999999993</v>
      </c>
    </row>
    <row r="940" spans="1:10" outlineLevel="1" x14ac:dyDescent="0.25">
      <c r="A940" s="8" t="s">
        <v>664</v>
      </c>
      <c r="B940" s="3" t="s">
        <v>654</v>
      </c>
      <c r="C940" s="3" t="s">
        <v>4</v>
      </c>
      <c r="D940" s="3" t="s">
        <v>940</v>
      </c>
      <c r="E940" s="3" t="s">
        <v>736</v>
      </c>
      <c r="F940" s="3" t="s">
        <v>959</v>
      </c>
      <c r="G940" s="6">
        <v>8</v>
      </c>
      <c r="H940" s="6">
        <v>9.07</v>
      </c>
      <c r="I940" s="6">
        <v>72.56</v>
      </c>
      <c r="J940" s="6">
        <v>27906.759999999995</v>
      </c>
    </row>
    <row r="941" spans="1:10" outlineLevel="1" x14ac:dyDescent="0.25">
      <c r="A941" s="8" t="s">
        <v>664</v>
      </c>
      <c r="B941" s="3" t="s">
        <v>654</v>
      </c>
      <c r="C941" s="3" t="s">
        <v>4</v>
      </c>
      <c r="D941" s="3" t="s">
        <v>940</v>
      </c>
      <c r="E941" s="3" t="s">
        <v>738</v>
      </c>
      <c r="F941" s="3" t="s">
        <v>738</v>
      </c>
      <c r="G941" s="6">
        <v>8</v>
      </c>
      <c r="H941" s="6">
        <v>9.07</v>
      </c>
      <c r="I941" s="6">
        <v>72.56</v>
      </c>
      <c r="J941" s="6">
        <v>27979.319999999996</v>
      </c>
    </row>
    <row r="942" spans="1:10" outlineLevel="1" x14ac:dyDescent="0.25">
      <c r="A942" s="8" t="s">
        <v>664</v>
      </c>
      <c r="B942" s="3" t="s">
        <v>654</v>
      </c>
      <c r="C942" s="3" t="s">
        <v>4</v>
      </c>
      <c r="D942" s="3" t="s">
        <v>940</v>
      </c>
      <c r="E942" s="3" t="s">
        <v>863</v>
      </c>
      <c r="F942" s="3" t="s">
        <v>960</v>
      </c>
      <c r="G942" s="6">
        <v>15</v>
      </c>
      <c r="H942" s="6">
        <v>52.52</v>
      </c>
      <c r="I942" s="6">
        <v>787.8</v>
      </c>
      <c r="J942" s="6">
        <v>28767.119999999995</v>
      </c>
    </row>
    <row r="943" spans="1:10" outlineLevel="1" x14ac:dyDescent="0.25">
      <c r="A943" s="8" t="s">
        <v>664</v>
      </c>
      <c r="B943" s="3" t="s">
        <v>654</v>
      </c>
      <c r="C943" s="3" t="s">
        <v>4</v>
      </c>
      <c r="D943" s="3" t="s">
        <v>940</v>
      </c>
      <c r="E943" s="3" t="s">
        <v>865</v>
      </c>
      <c r="F943" s="3" t="s">
        <v>961</v>
      </c>
      <c r="G943" s="6">
        <v>15</v>
      </c>
      <c r="H943" s="6">
        <v>52.52</v>
      </c>
      <c r="I943" s="6">
        <v>787.8</v>
      </c>
      <c r="J943" s="6">
        <v>29554.919999999995</v>
      </c>
    </row>
    <row r="944" spans="1:10" outlineLevel="1" x14ac:dyDescent="0.25">
      <c r="A944" s="8" t="s">
        <v>664</v>
      </c>
      <c r="B944" s="3" t="s">
        <v>654</v>
      </c>
      <c r="C944" s="3" t="s">
        <v>4</v>
      </c>
      <c r="D944" s="3" t="s">
        <v>940</v>
      </c>
      <c r="E944" s="3" t="s">
        <v>962</v>
      </c>
      <c r="F944" s="3" t="s">
        <v>963</v>
      </c>
      <c r="G944" s="6">
        <v>2</v>
      </c>
      <c r="H944" s="6">
        <v>27.29</v>
      </c>
      <c r="I944" s="6">
        <v>54.58</v>
      </c>
      <c r="J944" s="6">
        <v>29609.499999999996</v>
      </c>
    </row>
    <row r="945" spans="1:10" outlineLevel="1" x14ac:dyDescent="0.25">
      <c r="A945" s="8" t="s">
        <v>664</v>
      </c>
      <c r="B945" s="3" t="s">
        <v>654</v>
      </c>
      <c r="C945" s="3" t="s">
        <v>4</v>
      </c>
      <c r="D945" s="3" t="s">
        <v>940</v>
      </c>
      <c r="E945" s="3" t="s">
        <v>739</v>
      </c>
      <c r="F945" s="3" t="s">
        <v>964</v>
      </c>
      <c r="G945" s="6">
        <v>24</v>
      </c>
      <c r="H945" s="6">
        <v>14</v>
      </c>
      <c r="I945" s="6">
        <v>336</v>
      </c>
      <c r="J945" s="6">
        <v>29945.499999999996</v>
      </c>
    </row>
    <row r="946" spans="1:10" outlineLevel="1" x14ac:dyDescent="0.25">
      <c r="A946" s="8" t="s">
        <v>664</v>
      </c>
      <c r="B946" s="3" t="s">
        <v>654</v>
      </c>
      <c r="C946" s="3" t="s">
        <v>4</v>
      </c>
      <c r="D946" s="3" t="s">
        <v>940</v>
      </c>
      <c r="E946" s="3" t="s">
        <v>878</v>
      </c>
      <c r="F946" s="3" t="s">
        <v>965</v>
      </c>
      <c r="G946" s="6">
        <v>3</v>
      </c>
      <c r="H946" s="6">
        <v>14</v>
      </c>
      <c r="I946" s="6">
        <v>42</v>
      </c>
      <c r="J946" s="6">
        <v>29987.499999999996</v>
      </c>
    </row>
    <row r="947" spans="1:10" outlineLevel="1" x14ac:dyDescent="0.25">
      <c r="A947" s="8" t="s">
        <v>664</v>
      </c>
      <c r="B947" s="3" t="s">
        <v>654</v>
      </c>
      <c r="C947" s="3" t="s">
        <v>4</v>
      </c>
      <c r="D947" s="3" t="s">
        <v>940</v>
      </c>
      <c r="E947" s="3" t="s">
        <v>880</v>
      </c>
      <c r="F947" s="3" t="s">
        <v>935</v>
      </c>
      <c r="G947" s="6">
        <v>2</v>
      </c>
      <c r="H947" s="6">
        <v>14</v>
      </c>
      <c r="I947" s="6">
        <v>28</v>
      </c>
      <c r="J947" s="6">
        <v>30015.499999999996</v>
      </c>
    </row>
    <row r="948" spans="1:10" outlineLevel="1" x14ac:dyDescent="0.25">
      <c r="A948" s="8" t="s">
        <v>664</v>
      </c>
      <c r="B948" s="3" t="s">
        <v>654</v>
      </c>
      <c r="C948" s="3" t="s">
        <v>4</v>
      </c>
      <c r="D948" s="3" t="s">
        <v>940</v>
      </c>
      <c r="E948" s="3" t="s">
        <v>882</v>
      </c>
      <c r="F948" s="3" t="s">
        <v>966</v>
      </c>
      <c r="G948" s="6">
        <v>24</v>
      </c>
      <c r="H948" s="6">
        <v>14</v>
      </c>
      <c r="I948" s="6">
        <v>336</v>
      </c>
      <c r="J948" s="6">
        <v>30351.499999999996</v>
      </c>
    </row>
    <row r="949" spans="1:10" outlineLevel="1" x14ac:dyDescent="0.25">
      <c r="A949" s="8" t="s">
        <v>664</v>
      </c>
      <c r="B949" s="3" t="s">
        <v>654</v>
      </c>
      <c r="C949" s="3" t="s">
        <v>4</v>
      </c>
      <c r="D949" s="3" t="s">
        <v>940</v>
      </c>
      <c r="E949" s="3" t="s">
        <v>786</v>
      </c>
      <c r="F949" s="3" t="s">
        <v>967</v>
      </c>
      <c r="G949" s="6">
        <v>4</v>
      </c>
      <c r="H949" s="6">
        <v>22.86</v>
      </c>
      <c r="I949" s="6">
        <v>91.44</v>
      </c>
      <c r="J949" s="6">
        <v>30442.939999999995</v>
      </c>
    </row>
    <row r="950" spans="1:10" outlineLevel="1" x14ac:dyDescent="0.25">
      <c r="A950" s="8" t="s">
        <v>664</v>
      </c>
      <c r="B950" s="3" t="s">
        <v>654</v>
      </c>
      <c r="C950" s="3" t="s">
        <v>4</v>
      </c>
      <c r="D950" s="3" t="s">
        <v>940</v>
      </c>
      <c r="E950" s="3" t="s">
        <v>788</v>
      </c>
      <c r="F950" s="3" t="s">
        <v>968</v>
      </c>
      <c r="G950" s="6">
        <v>3</v>
      </c>
      <c r="H950" s="6">
        <v>12.84</v>
      </c>
      <c r="I950" s="6">
        <v>38.520000000000003</v>
      </c>
      <c r="J950" s="6">
        <v>30481.459999999995</v>
      </c>
    </row>
    <row r="951" spans="1:10" outlineLevel="1" x14ac:dyDescent="0.25">
      <c r="A951" s="8" t="s">
        <v>664</v>
      </c>
      <c r="B951" s="3" t="s">
        <v>654</v>
      </c>
      <c r="C951" s="3" t="s">
        <v>4</v>
      </c>
      <c r="D951" s="3" t="s">
        <v>940</v>
      </c>
      <c r="E951" s="3" t="s">
        <v>887</v>
      </c>
      <c r="F951" s="3" t="s">
        <v>969</v>
      </c>
      <c r="G951" s="6">
        <v>3</v>
      </c>
      <c r="H951" s="6">
        <v>12.84</v>
      </c>
      <c r="I951" s="6">
        <v>38.520000000000003</v>
      </c>
      <c r="J951" s="6">
        <v>30519.979999999996</v>
      </c>
    </row>
    <row r="952" spans="1:10" outlineLevel="1" x14ac:dyDescent="0.25">
      <c r="A952" s="8" t="s">
        <v>664</v>
      </c>
      <c r="B952" s="3" t="s">
        <v>654</v>
      </c>
      <c r="C952" s="3" t="s">
        <v>4</v>
      </c>
      <c r="D952" s="3" t="s">
        <v>940</v>
      </c>
      <c r="E952" s="3" t="s">
        <v>889</v>
      </c>
      <c r="F952" s="3" t="s">
        <v>970</v>
      </c>
      <c r="G952" s="6">
        <v>3</v>
      </c>
      <c r="H952" s="6">
        <v>12.84</v>
      </c>
      <c r="I952" s="6">
        <v>38.520000000000003</v>
      </c>
      <c r="J952" s="6">
        <v>30558.499999999996</v>
      </c>
    </row>
    <row r="953" spans="1:10" outlineLevel="1" x14ac:dyDescent="0.25">
      <c r="A953" s="8" t="s">
        <v>664</v>
      </c>
      <c r="B953" s="3" t="s">
        <v>654</v>
      </c>
      <c r="C953" s="3" t="s">
        <v>4</v>
      </c>
      <c r="D953" s="3" t="s">
        <v>940</v>
      </c>
      <c r="E953" s="3" t="s">
        <v>891</v>
      </c>
      <c r="F953" s="3" t="s">
        <v>971</v>
      </c>
      <c r="G953" s="6">
        <v>4</v>
      </c>
      <c r="H953" s="6">
        <v>13.91</v>
      </c>
      <c r="I953" s="6">
        <v>55.64</v>
      </c>
      <c r="J953" s="6">
        <v>30614.139999999996</v>
      </c>
    </row>
    <row r="954" spans="1:10" outlineLevel="1" x14ac:dyDescent="0.25">
      <c r="A954" s="8" t="s">
        <v>664</v>
      </c>
      <c r="B954" s="3" t="s">
        <v>654</v>
      </c>
      <c r="C954" s="3" t="s">
        <v>4</v>
      </c>
      <c r="D954" s="3" t="s">
        <v>940</v>
      </c>
      <c r="E954" s="3" t="s">
        <v>897</v>
      </c>
      <c r="F954" s="3" t="s">
        <v>972</v>
      </c>
      <c r="G954" s="6">
        <v>4</v>
      </c>
      <c r="H954" s="6">
        <v>14</v>
      </c>
      <c r="I954" s="6">
        <v>56</v>
      </c>
      <c r="J954" s="6">
        <v>30670.139999999996</v>
      </c>
    </row>
    <row r="955" spans="1:10" outlineLevel="1" x14ac:dyDescent="0.25">
      <c r="A955" s="8" t="s">
        <v>664</v>
      </c>
      <c r="B955" s="3" t="s">
        <v>654</v>
      </c>
      <c r="C955" s="3" t="s">
        <v>4</v>
      </c>
      <c r="D955" s="3" t="s">
        <v>940</v>
      </c>
      <c r="E955" s="3" t="s">
        <v>899</v>
      </c>
      <c r="F955" s="3" t="s">
        <v>900</v>
      </c>
      <c r="G955" s="6">
        <v>8</v>
      </c>
      <c r="H955" s="6">
        <v>14</v>
      </c>
      <c r="I955" s="6">
        <v>112</v>
      </c>
      <c r="J955" s="6">
        <v>30782.139999999996</v>
      </c>
    </row>
    <row r="956" spans="1:10" outlineLevel="1" x14ac:dyDescent="0.25">
      <c r="A956" s="8" t="s">
        <v>664</v>
      </c>
      <c r="B956" s="3" t="s">
        <v>654</v>
      </c>
      <c r="C956" s="3" t="s">
        <v>4</v>
      </c>
      <c r="D956" s="3" t="s">
        <v>940</v>
      </c>
      <c r="E956" s="3" t="s">
        <v>62</v>
      </c>
      <c r="F956" s="3" t="s">
        <v>63</v>
      </c>
      <c r="G956" s="6">
        <v>5</v>
      </c>
      <c r="H956" s="6">
        <v>13.57</v>
      </c>
      <c r="I956" s="6">
        <v>67.849999999999994</v>
      </c>
      <c r="J956" s="6">
        <v>30849.989999999994</v>
      </c>
    </row>
    <row r="957" spans="1:10" outlineLevel="1" x14ac:dyDescent="0.25">
      <c r="A957" s="8" t="s">
        <v>664</v>
      </c>
      <c r="B957" s="3" t="s">
        <v>654</v>
      </c>
      <c r="C957" s="3" t="s">
        <v>4</v>
      </c>
      <c r="D957" s="3" t="s">
        <v>940</v>
      </c>
      <c r="E957" s="3" t="s">
        <v>56</v>
      </c>
      <c r="F957" s="3" t="s">
        <v>57</v>
      </c>
      <c r="G957" s="6">
        <v>4</v>
      </c>
      <c r="H957" s="6">
        <v>51.1</v>
      </c>
      <c r="I957" s="6">
        <v>204.4</v>
      </c>
      <c r="J957" s="6">
        <v>31054.389999999996</v>
      </c>
    </row>
    <row r="958" spans="1:10" outlineLevel="1" x14ac:dyDescent="0.25">
      <c r="A958" s="8" t="s">
        <v>664</v>
      </c>
      <c r="B958" s="3" t="s">
        <v>654</v>
      </c>
      <c r="C958" s="3" t="s">
        <v>4</v>
      </c>
      <c r="D958" s="3" t="s">
        <v>940</v>
      </c>
      <c r="E958" s="3" t="s">
        <v>58</v>
      </c>
      <c r="F958" s="3" t="s">
        <v>59</v>
      </c>
      <c r="G958" s="6">
        <v>5</v>
      </c>
      <c r="H958" s="6">
        <v>57.39</v>
      </c>
      <c r="I958" s="6">
        <v>286.95</v>
      </c>
      <c r="J958" s="6">
        <v>31341.339999999997</v>
      </c>
    </row>
    <row r="959" spans="1:10" outlineLevel="1" x14ac:dyDescent="0.25">
      <c r="A959" s="8" t="s">
        <v>664</v>
      </c>
      <c r="B959" s="3" t="s">
        <v>654</v>
      </c>
      <c r="C959" s="3" t="s">
        <v>4</v>
      </c>
      <c r="D959" s="3" t="s">
        <v>940</v>
      </c>
      <c r="E959" s="3" t="s">
        <v>64</v>
      </c>
      <c r="F959" s="3" t="s">
        <v>65</v>
      </c>
      <c r="G959" s="6">
        <v>6</v>
      </c>
      <c r="H959" s="6">
        <v>50.9</v>
      </c>
      <c r="I959" s="6">
        <v>305.39999999999998</v>
      </c>
      <c r="J959" s="6">
        <v>31646.739999999998</v>
      </c>
    </row>
    <row r="960" spans="1:10" outlineLevel="1" x14ac:dyDescent="0.25">
      <c r="A960" s="8" t="s">
        <v>664</v>
      </c>
      <c r="B960" s="3" t="s">
        <v>654</v>
      </c>
      <c r="C960" s="3" t="s">
        <v>4</v>
      </c>
      <c r="D960" s="3" t="s">
        <v>940</v>
      </c>
      <c r="E960" s="3" t="s">
        <v>348</v>
      </c>
      <c r="F960" s="3" t="s">
        <v>433</v>
      </c>
      <c r="G960" s="6">
        <v>6</v>
      </c>
      <c r="H960" s="6">
        <v>18.32</v>
      </c>
      <c r="I960" s="6">
        <v>109.92</v>
      </c>
      <c r="J960" s="6">
        <v>31756.659999999996</v>
      </c>
    </row>
    <row r="961" spans="1:10" outlineLevel="1" x14ac:dyDescent="0.25">
      <c r="A961" s="8" t="s">
        <v>664</v>
      </c>
      <c r="B961" s="3" t="s">
        <v>654</v>
      </c>
      <c r="C961" s="3" t="s">
        <v>4</v>
      </c>
      <c r="D961" s="3" t="s">
        <v>940</v>
      </c>
      <c r="E961" s="3" t="s">
        <v>743</v>
      </c>
      <c r="F961" s="3" t="s">
        <v>973</v>
      </c>
      <c r="G961" s="6">
        <v>12</v>
      </c>
      <c r="H961" s="6">
        <v>64.2</v>
      </c>
      <c r="I961" s="6">
        <v>770.4</v>
      </c>
      <c r="J961" s="6">
        <v>32527.059999999998</v>
      </c>
    </row>
    <row r="962" spans="1:10" outlineLevel="1" x14ac:dyDescent="0.25">
      <c r="A962" s="8" t="s">
        <v>664</v>
      </c>
      <c r="B962" s="3" t="s">
        <v>654</v>
      </c>
      <c r="C962" s="3" t="s">
        <v>4</v>
      </c>
      <c r="D962" s="3" t="s">
        <v>940</v>
      </c>
      <c r="E962" s="3" t="s">
        <v>745</v>
      </c>
      <c r="F962" s="3" t="s">
        <v>974</v>
      </c>
      <c r="G962" s="6">
        <v>4</v>
      </c>
      <c r="H962" s="6">
        <v>64.2</v>
      </c>
      <c r="I962" s="6">
        <v>256.8</v>
      </c>
      <c r="J962" s="6">
        <v>32783.86</v>
      </c>
    </row>
    <row r="963" spans="1:10" outlineLevel="1" x14ac:dyDescent="0.25">
      <c r="A963" s="8" t="s">
        <v>664</v>
      </c>
      <c r="B963" s="3" t="s">
        <v>654</v>
      </c>
      <c r="C963" s="3" t="s">
        <v>4</v>
      </c>
      <c r="D963" s="3" t="s">
        <v>940</v>
      </c>
      <c r="E963" s="3" t="s">
        <v>908</v>
      </c>
      <c r="F963" s="3" t="s">
        <v>975</v>
      </c>
      <c r="G963" s="6">
        <v>2</v>
      </c>
      <c r="H963" s="6">
        <v>37.11</v>
      </c>
      <c r="I963" s="6">
        <v>74.22</v>
      </c>
      <c r="J963" s="6">
        <v>32858.080000000002</v>
      </c>
    </row>
    <row r="964" spans="1:10" outlineLevel="1" x14ac:dyDescent="0.25">
      <c r="A964" s="8" t="s">
        <v>664</v>
      </c>
      <c r="B964" s="3" t="s">
        <v>654</v>
      </c>
      <c r="C964" s="3" t="s">
        <v>4</v>
      </c>
      <c r="D964" s="3" t="s">
        <v>940</v>
      </c>
      <c r="E964" s="3" t="s">
        <v>910</v>
      </c>
      <c r="F964" s="3" t="s">
        <v>976</v>
      </c>
      <c r="G964" s="6">
        <v>2</v>
      </c>
      <c r="H964" s="6">
        <v>42.24</v>
      </c>
      <c r="I964" s="6">
        <v>84.48</v>
      </c>
      <c r="J964" s="6">
        <v>32942.560000000005</v>
      </c>
    </row>
    <row r="965" spans="1:10" outlineLevel="1" x14ac:dyDescent="0.25">
      <c r="A965" s="8" t="s">
        <v>664</v>
      </c>
      <c r="B965" s="3" t="s">
        <v>654</v>
      </c>
      <c r="C965" s="3" t="s">
        <v>4</v>
      </c>
      <c r="D965" s="3" t="s">
        <v>940</v>
      </c>
      <c r="E965" s="3" t="s">
        <v>914</v>
      </c>
      <c r="F965" s="3" t="s">
        <v>977</v>
      </c>
      <c r="G965" s="6">
        <v>2</v>
      </c>
      <c r="H965" s="6">
        <v>49.95</v>
      </c>
      <c r="I965" s="6">
        <v>99.9</v>
      </c>
      <c r="J965" s="6">
        <v>33042.460000000006</v>
      </c>
    </row>
    <row r="966" spans="1:10" outlineLevel="1" x14ac:dyDescent="0.25">
      <c r="A966" s="8" t="s">
        <v>664</v>
      </c>
      <c r="B966" s="3" t="s">
        <v>654</v>
      </c>
      <c r="C966" s="3" t="s">
        <v>4</v>
      </c>
      <c r="D966" s="3" t="s">
        <v>940</v>
      </c>
      <c r="E966" s="3" t="s">
        <v>752</v>
      </c>
      <c r="F966" s="3" t="s">
        <v>978</v>
      </c>
      <c r="G966" s="6">
        <v>2</v>
      </c>
      <c r="H966" s="6">
        <v>37.450000000000003</v>
      </c>
      <c r="I966" s="6">
        <v>74.900000000000006</v>
      </c>
      <c r="J966" s="6">
        <v>33117.360000000008</v>
      </c>
    </row>
    <row r="967" spans="1:10" outlineLevel="1" x14ac:dyDescent="0.25">
      <c r="A967" s="8" t="s">
        <v>664</v>
      </c>
      <c r="B967" s="3" t="s">
        <v>654</v>
      </c>
      <c r="C967" s="3" t="s">
        <v>4</v>
      </c>
      <c r="D967" s="3" t="s">
        <v>940</v>
      </c>
      <c r="E967" s="3" t="s">
        <v>760</v>
      </c>
      <c r="F967" s="3" t="s">
        <v>979</v>
      </c>
      <c r="G967" s="6">
        <v>8</v>
      </c>
      <c r="H967" s="6">
        <v>53.5</v>
      </c>
      <c r="I967" s="6">
        <v>428</v>
      </c>
      <c r="J967" s="6">
        <v>33545.360000000008</v>
      </c>
    </row>
    <row r="968" spans="1:10" outlineLevel="1" x14ac:dyDescent="0.25">
      <c r="A968" s="8" t="s">
        <v>664</v>
      </c>
      <c r="B968" s="3" t="s">
        <v>654</v>
      </c>
      <c r="C968" s="3" t="s">
        <v>4</v>
      </c>
      <c r="D968" s="3" t="s">
        <v>940</v>
      </c>
      <c r="E968" s="3" t="s">
        <v>762</v>
      </c>
      <c r="F968" s="3" t="s">
        <v>763</v>
      </c>
      <c r="G968" s="6">
        <v>14</v>
      </c>
      <c r="H968" s="6">
        <v>38.520000000000003</v>
      </c>
      <c r="I968" s="6">
        <v>539.28</v>
      </c>
      <c r="J968" s="6">
        <v>34084.640000000007</v>
      </c>
    </row>
    <row r="969" spans="1:10" outlineLevel="1" x14ac:dyDescent="0.25">
      <c r="A969" s="8" t="s">
        <v>664</v>
      </c>
      <c r="B969" s="3" t="s">
        <v>654</v>
      </c>
      <c r="C969" s="3" t="s">
        <v>4</v>
      </c>
      <c r="D969" s="3" t="s">
        <v>940</v>
      </c>
      <c r="E969" s="3" t="s">
        <v>768</v>
      </c>
      <c r="F969" s="3" t="s">
        <v>980</v>
      </c>
      <c r="G969" s="6">
        <v>6</v>
      </c>
      <c r="H969" s="6">
        <v>51.15</v>
      </c>
      <c r="I969" s="6">
        <v>306.89999999999998</v>
      </c>
      <c r="J969" s="6">
        <v>34391.540000000008</v>
      </c>
    </row>
    <row r="970" spans="1:10" outlineLevel="1" x14ac:dyDescent="0.25">
      <c r="A970" s="8" t="s">
        <v>664</v>
      </c>
      <c r="B970" s="3" t="s">
        <v>654</v>
      </c>
      <c r="C970" s="3" t="s">
        <v>4</v>
      </c>
      <c r="D970" s="3" t="s">
        <v>940</v>
      </c>
      <c r="E970" s="3" t="s">
        <v>774</v>
      </c>
      <c r="F970" s="3" t="s">
        <v>981</v>
      </c>
      <c r="G970" s="6">
        <v>5</v>
      </c>
      <c r="H970" s="6">
        <v>26.84</v>
      </c>
      <c r="I970" s="6">
        <v>134.19999999999999</v>
      </c>
      <c r="J970" s="6">
        <v>34525.740000000005</v>
      </c>
    </row>
    <row r="971" spans="1:10" outlineLevel="1" x14ac:dyDescent="0.25">
      <c r="A971" s="8" t="s">
        <v>664</v>
      </c>
      <c r="B971" s="3" t="s">
        <v>654</v>
      </c>
      <c r="C971" s="3" t="s">
        <v>4</v>
      </c>
      <c r="D971" s="3" t="s">
        <v>940</v>
      </c>
      <c r="E971" s="3" t="s">
        <v>982</v>
      </c>
      <c r="F971" s="3" t="s">
        <v>983</v>
      </c>
      <c r="G971" s="6">
        <v>3</v>
      </c>
      <c r="H971" s="6">
        <v>28.68</v>
      </c>
      <c r="I971" s="6">
        <v>86.04</v>
      </c>
      <c r="J971" s="6">
        <v>34611.780000000006</v>
      </c>
    </row>
    <row r="972" spans="1:10" outlineLevel="1" x14ac:dyDescent="0.25">
      <c r="A972" s="8" t="s">
        <v>664</v>
      </c>
      <c r="B972" s="3" t="s">
        <v>158</v>
      </c>
      <c r="C972" s="3" t="s">
        <v>4</v>
      </c>
      <c r="D972" s="3" t="s">
        <v>984</v>
      </c>
      <c r="E972" s="3" t="s">
        <v>667</v>
      </c>
      <c r="F972" s="3" t="s">
        <v>985</v>
      </c>
      <c r="G972" s="6">
        <v>3</v>
      </c>
      <c r="H972" s="6">
        <v>30.82</v>
      </c>
      <c r="I972" s="6">
        <v>92.46</v>
      </c>
      <c r="J972" s="6">
        <v>34704.240000000005</v>
      </c>
    </row>
    <row r="973" spans="1:10" outlineLevel="1" x14ac:dyDescent="0.25">
      <c r="A973" s="8" t="s">
        <v>664</v>
      </c>
      <c r="B973" s="3" t="s">
        <v>158</v>
      </c>
      <c r="C973" s="3" t="s">
        <v>4</v>
      </c>
      <c r="D973" s="3" t="s">
        <v>984</v>
      </c>
      <c r="E973" s="3" t="s">
        <v>825</v>
      </c>
      <c r="F973" s="3" t="s">
        <v>986</v>
      </c>
      <c r="G973" s="6">
        <v>2</v>
      </c>
      <c r="H973" s="6">
        <v>30</v>
      </c>
      <c r="I973" s="6">
        <v>60</v>
      </c>
      <c r="J973" s="6">
        <v>34764.240000000005</v>
      </c>
    </row>
    <row r="974" spans="1:10" outlineLevel="1" x14ac:dyDescent="0.25">
      <c r="A974" s="8" t="s">
        <v>664</v>
      </c>
      <c r="B974" s="3" t="s">
        <v>158</v>
      </c>
      <c r="C974" s="3" t="s">
        <v>4</v>
      </c>
      <c r="D974" s="3" t="s">
        <v>984</v>
      </c>
      <c r="E974" s="3" t="s">
        <v>685</v>
      </c>
      <c r="F974" s="3" t="s">
        <v>685</v>
      </c>
      <c r="G974" s="6">
        <v>10</v>
      </c>
      <c r="H974" s="6">
        <v>25.54</v>
      </c>
      <c r="I974" s="6">
        <v>255.4</v>
      </c>
      <c r="J974" s="6">
        <v>35019.640000000007</v>
      </c>
    </row>
    <row r="975" spans="1:10" outlineLevel="1" x14ac:dyDescent="0.25">
      <c r="A975" s="8" t="s">
        <v>664</v>
      </c>
      <c r="B975" s="3" t="s">
        <v>158</v>
      </c>
      <c r="C975" s="3" t="s">
        <v>4</v>
      </c>
      <c r="D975" s="3" t="s">
        <v>984</v>
      </c>
      <c r="E975" s="3" t="s">
        <v>828</v>
      </c>
      <c r="F975" s="3" t="s">
        <v>987</v>
      </c>
      <c r="G975" s="6">
        <v>3</v>
      </c>
      <c r="H975" s="6">
        <v>28.89</v>
      </c>
      <c r="I975" s="6">
        <v>86.67</v>
      </c>
      <c r="J975" s="6">
        <v>35106.310000000005</v>
      </c>
    </row>
    <row r="976" spans="1:10" outlineLevel="1" x14ac:dyDescent="0.25">
      <c r="A976" s="8" t="s">
        <v>664</v>
      </c>
      <c r="B976" s="3" t="s">
        <v>158</v>
      </c>
      <c r="C976" s="3" t="s">
        <v>4</v>
      </c>
      <c r="D976" s="3" t="s">
        <v>984</v>
      </c>
      <c r="E976" s="3" t="s">
        <v>692</v>
      </c>
      <c r="F976" s="3" t="s">
        <v>944</v>
      </c>
      <c r="G976" s="6">
        <v>15</v>
      </c>
      <c r="H976" s="6">
        <v>39.68</v>
      </c>
      <c r="I976" s="6">
        <v>595.20000000000005</v>
      </c>
      <c r="J976" s="6">
        <v>35701.51</v>
      </c>
    </row>
    <row r="977" spans="1:10" outlineLevel="1" x14ac:dyDescent="0.25">
      <c r="A977" s="8" t="s">
        <v>664</v>
      </c>
      <c r="B977" s="3" t="s">
        <v>158</v>
      </c>
      <c r="C977" s="3" t="s">
        <v>4</v>
      </c>
      <c r="D977" s="3" t="s">
        <v>984</v>
      </c>
      <c r="E977" s="3" t="s">
        <v>832</v>
      </c>
      <c r="F977" s="3" t="s">
        <v>988</v>
      </c>
      <c r="G977" s="6">
        <v>2</v>
      </c>
      <c r="H977" s="6">
        <v>39.68</v>
      </c>
      <c r="I977" s="6">
        <v>79.36</v>
      </c>
      <c r="J977" s="6">
        <v>35780.870000000003</v>
      </c>
    </row>
    <row r="978" spans="1:10" outlineLevel="1" x14ac:dyDescent="0.25">
      <c r="A978" s="8" t="s">
        <v>664</v>
      </c>
      <c r="B978" s="3" t="s">
        <v>158</v>
      </c>
      <c r="C978" s="3" t="s">
        <v>4</v>
      </c>
      <c r="D978" s="3" t="s">
        <v>984</v>
      </c>
      <c r="E978" s="3" t="s">
        <v>989</v>
      </c>
      <c r="F978" s="3" t="s">
        <v>990</v>
      </c>
      <c r="G978" s="6">
        <v>2</v>
      </c>
      <c r="H978" s="6">
        <v>32</v>
      </c>
      <c r="I978" s="6">
        <v>64</v>
      </c>
      <c r="J978" s="6">
        <v>35844.870000000003</v>
      </c>
    </row>
    <row r="979" spans="1:10" outlineLevel="1" x14ac:dyDescent="0.25">
      <c r="A979" s="8" t="s">
        <v>664</v>
      </c>
      <c r="B979" s="3" t="s">
        <v>158</v>
      </c>
      <c r="C979" s="3" t="s">
        <v>4</v>
      </c>
      <c r="D979" s="3" t="s">
        <v>984</v>
      </c>
      <c r="E979" s="3" t="s">
        <v>698</v>
      </c>
      <c r="F979" s="3" t="s">
        <v>991</v>
      </c>
      <c r="G979" s="6">
        <v>50</v>
      </c>
      <c r="H979" s="6">
        <v>23.96</v>
      </c>
      <c r="I979" s="6">
        <v>1198</v>
      </c>
      <c r="J979" s="6">
        <v>37042.870000000003</v>
      </c>
    </row>
    <row r="980" spans="1:10" outlineLevel="1" x14ac:dyDescent="0.25">
      <c r="A980" s="8" t="s">
        <v>664</v>
      </c>
      <c r="B980" s="3" t="s">
        <v>158</v>
      </c>
      <c r="C980" s="3" t="s">
        <v>4</v>
      </c>
      <c r="D980" s="3" t="s">
        <v>984</v>
      </c>
      <c r="E980" s="3" t="s">
        <v>702</v>
      </c>
      <c r="F980" s="3" t="s">
        <v>992</v>
      </c>
      <c r="G980" s="6">
        <v>8</v>
      </c>
      <c r="H980" s="6">
        <v>45.96</v>
      </c>
      <c r="I980" s="6">
        <v>367.68</v>
      </c>
      <c r="J980" s="6">
        <v>37410.550000000003</v>
      </c>
    </row>
    <row r="981" spans="1:10" outlineLevel="1" x14ac:dyDescent="0.25">
      <c r="A981" s="8" t="s">
        <v>664</v>
      </c>
      <c r="B981" s="3" t="s">
        <v>158</v>
      </c>
      <c r="C981" s="3" t="s">
        <v>4</v>
      </c>
      <c r="D981" s="3" t="s">
        <v>984</v>
      </c>
      <c r="E981" s="3" t="s">
        <v>835</v>
      </c>
      <c r="F981" s="3" t="s">
        <v>993</v>
      </c>
      <c r="G981" s="6">
        <v>3</v>
      </c>
      <c r="H981" s="6">
        <v>30.82</v>
      </c>
      <c r="I981" s="6">
        <v>92.46</v>
      </c>
      <c r="J981" s="6">
        <v>37503.01</v>
      </c>
    </row>
    <row r="982" spans="1:10" outlineLevel="1" x14ac:dyDescent="0.25">
      <c r="A982" s="8" t="s">
        <v>664</v>
      </c>
      <c r="B982" s="3" t="s">
        <v>158</v>
      </c>
      <c r="C982" s="3" t="s">
        <v>4</v>
      </c>
      <c r="D982" s="3" t="s">
        <v>984</v>
      </c>
      <c r="E982" s="3" t="s">
        <v>778</v>
      </c>
      <c r="F982" s="3" t="s">
        <v>994</v>
      </c>
      <c r="G982" s="6">
        <v>3</v>
      </c>
      <c r="H982" s="6">
        <v>30.82</v>
      </c>
      <c r="I982" s="6">
        <v>92.46</v>
      </c>
      <c r="J982" s="6">
        <v>37595.47</v>
      </c>
    </row>
    <row r="983" spans="1:10" outlineLevel="1" x14ac:dyDescent="0.25">
      <c r="A983" s="8" t="s">
        <v>664</v>
      </c>
      <c r="B983" s="3" t="s">
        <v>158</v>
      </c>
      <c r="C983" s="3" t="s">
        <v>4</v>
      </c>
      <c r="D983" s="3" t="s">
        <v>984</v>
      </c>
      <c r="E983" s="3" t="s">
        <v>720</v>
      </c>
      <c r="F983" s="3" t="s">
        <v>721</v>
      </c>
      <c r="G983" s="6">
        <v>2</v>
      </c>
      <c r="H983" s="6">
        <v>23.96</v>
      </c>
      <c r="I983" s="6">
        <v>47.92</v>
      </c>
      <c r="J983" s="6">
        <v>37643.39</v>
      </c>
    </row>
    <row r="984" spans="1:10" outlineLevel="1" x14ac:dyDescent="0.25">
      <c r="A984" s="8" t="s">
        <v>664</v>
      </c>
      <c r="B984" s="3" t="s">
        <v>158</v>
      </c>
      <c r="C984" s="3" t="s">
        <v>4</v>
      </c>
      <c r="D984" s="3" t="s">
        <v>984</v>
      </c>
      <c r="E984" s="3" t="s">
        <v>995</v>
      </c>
      <c r="F984" s="3" t="s">
        <v>996</v>
      </c>
      <c r="G984" s="6">
        <v>2</v>
      </c>
      <c r="H984" s="6">
        <v>36</v>
      </c>
      <c r="I984" s="6">
        <v>72</v>
      </c>
      <c r="J984" s="6">
        <v>37715.39</v>
      </c>
    </row>
    <row r="985" spans="1:10" outlineLevel="1" x14ac:dyDescent="0.25">
      <c r="A985" s="8" t="s">
        <v>664</v>
      </c>
      <c r="B985" s="3" t="s">
        <v>158</v>
      </c>
      <c r="C985" s="3" t="s">
        <v>4</v>
      </c>
      <c r="D985" s="3" t="s">
        <v>984</v>
      </c>
      <c r="E985" s="3" t="s">
        <v>997</v>
      </c>
      <c r="F985" s="3" t="s">
        <v>998</v>
      </c>
      <c r="G985" s="6">
        <v>2</v>
      </c>
      <c r="H985" s="6">
        <v>35</v>
      </c>
      <c r="I985" s="6">
        <v>70</v>
      </c>
      <c r="J985" s="6">
        <v>37785.39</v>
      </c>
    </row>
    <row r="986" spans="1:10" outlineLevel="1" x14ac:dyDescent="0.25">
      <c r="A986" s="8" t="s">
        <v>664</v>
      </c>
      <c r="B986" s="3" t="s">
        <v>158</v>
      </c>
      <c r="C986" s="3" t="s">
        <v>4</v>
      </c>
      <c r="D986" s="3" t="s">
        <v>984</v>
      </c>
      <c r="E986" s="3" t="s">
        <v>999</v>
      </c>
      <c r="F986" s="3" t="s">
        <v>999</v>
      </c>
      <c r="G986" s="6">
        <v>3</v>
      </c>
      <c r="H986" s="6">
        <v>9.99</v>
      </c>
      <c r="I986" s="6">
        <v>29.97</v>
      </c>
      <c r="J986" s="6">
        <v>37815.360000000001</v>
      </c>
    </row>
    <row r="987" spans="1:10" outlineLevel="1" x14ac:dyDescent="0.25">
      <c r="A987" s="8" t="s">
        <v>664</v>
      </c>
      <c r="B987" s="3" t="s">
        <v>158</v>
      </c>
      <c r="C987" s="3" t="s">
        <v>4</v>
      </c>
      <c r="D987" s="3" t="s">
        <v>984</v>
      </c>
      <c r="E987" s="3" t="s">
        <v>1000</v>
      </c>
      <c r="F987" s="3" t="s">
        <v>1000</v>
      </c>
      <c r="G987" s="6">
        <v>2</v>
      </c>
      <c r="H987" s="6">
        <v>78.959999999999994</v>
      </c>
      <c r="I987" s="6">
        <v>157.91999999999999</v>
      </c>
      <c r="J987" s="6">
        <v>37973.279999999999</v>
      </c>
    </row>
    <row r="988" spans="1:10" outlineLevel="1" x14ac:dyDescent="0.25">
      <c r="A988" s="8" t="s">
        <v>664</v>
      </c>
      <c r="B988" s="3" t="s">
        <v>158</v>
      </c>
      <c r="C988" s="3" t="s">
        <v>4</v>
      </c>
      <c r="D988" s="3" t="s">
        <v>984</v>
      </c>
      <c r="E988" s="3" t="s">
        <v>845</v>
      </c>
      <c r="F988" s="3" t="s">
        <v>1001</v>
      </c>
      <c r="G988" s="6">
        <v>6</v>
      </c>
      <c r="H988" s="6">
        <v>19.899999999999999</v>
      </c>
      <c r="I988" s="6">
        <v>119.4</v>
      </c>
      <c r="J988" s="6">
        <v>38092.68</v>
      </c>
    </row>
    <row r="989" spans="1:10" outlineLevel="1" x14ac:dyDescent="0.25">
      <c r="A989" s="8" t="s">
        <v>664</v>
      </c>
      <c r="B989" s="3" t="s">
        <v>158</v>
      </c>
      <c r="C989" s="3" t="s">
        <v>4</v>
      </c>
      <c r="D989" s="3" t="s">
        <v>984</v>
      </c>
      <c r="E989" s="3" t="s">
        <v>847</v>
      </c>
      <c r="F989" s="3" t="s">
        <v>949</v>
      </c>
      <c r="G989" s="6">
        <v>5</v>
      </c>
      <c r="H989" s="6">
        <v>14</v>
      </c>
      <c r="I989" s="6">
        <v>70</v>
      </c>
      <c r="J989" s="6">
        <v>38162.68</v>
      </c>
    </row>
    <row r="990" spans="1:10" outlineLevel="1" x14ac:dyDescent="0.25">
      <c r="A990" s="8" t="s">
        <v>664</v>
      </c>
      <c r="B990" s="3" t="s">
        <v>158</v>
      </c>
      <c r="C990" s="3" t="s">
        <v>4</v>
      </c>
      <c r="D990" s="3" t="s">
        <v>984</v>
      </c>
      <c r="E990" s="3" t="s">
        <v>37</v>
      </c>
      <c r="F990" s="3" t="s">
        <v>38</v>
      </c>
      <c r="G990" s="6">
        <v>5</v>
      </c>
      <c r="H990" s="6">
        <v>73.8</v>
      </c>
      <c r="I990" s="6">
        <v>369</v>
      </c>
      <c r="J990" s="6">
        <v>38531.68</v>
      </c>
    </row>
    <row r="991" spans="1:10" outlineLevel="1" x14ac:dyDescent="0.25">
      <c r="A991" s="8" t="s">
        <v>664</v>
      </c>
      <c r="B991" s="3" t="s">
        <v>158</v>
      </c>
      <c r="C991" s="3" t="s">
        <v>4</v>
      </c>
      <c r="D991" s="3" t="s">
        <v>984</v>
      </c>
      <c r="E991" s="3" t="s">
        <v>42</v>
      </c>
      <c r="F991" s="3" t="s">
        <v>43</v>
      </c>
      <c r="G991" s="6">
        <v>1</v>
      </c>
      <c r="H991" s="6">
        <v>85</v>
      </c>
      <c r="I991" s="6">
        <v>85</v>
      </c>
      <c r="J991" s="6">
        <v>38616.68</v>
      </c>
    </row>
    <row r="992" spans="1:10" outlineLevel="1" x14ac:dyDescent="0.25">
      <c r="A992" s="8" t="s">
        <v>664</v>
      </c>
      <c r="B992" s="3" t="s">
        <v>158</v>
      </c>
      <c r="C992" s="3" t="s">
        <v>4</v>
      </c>
      <c r="D992" s="3" t="s">
        <v>984</v>
      </c>
      <c r="E992" s="3" t="s">
        <v>851</v>
      </c>
      <c r="F992" s="3" t="s">
        <v>951</v>
      </c>
      <c r="G992" s="6">
        <v>1</v>
      </c>
      <c r="H992" s="6">
        <v>75.97</v>
      </c>
      <c r="I992" s="6">
        <v>75.97</v>
      </c>
      <c r="J992" s="6">
        <v>38692.65</v>
      </c>
    </row>
    <row r="993" spans="1:10" outlineLevel="1" x14ac:dyDescent="0.25">
      <c r="A993" s="8" t="s">
        <v>664</v>
      </c>
      <c r="B993" s="3" t="s">
        <v>158</v>
      </c>
      <c r="C993" s="3" t="s">
        <v>4</v>
      </c>
      <c r="D993" s="3" t="s">
        <v>984</v>
      </c>
      <c r="E993" s="3" t="s">
        <v>754</v>
      </c>
      <c r="F993" s="3" t="s">
        <v>952</v>
      </c>
      <c r="G993" s="6">
        <v>5</v>
      </c>
      <c r="H993" s="6">
        <v>38.39</v>
      </c>
      <c r="I993" s="6">
        <v>191.95</v>
      </c>
      <c r="J993" s="6">
        <v>38884.6</v>
      </c>
    </row>
    <row r="994" spans="1:10" outlineLevel="1" x14ac:dyDescent="0.25">
      <c r="A994" s="8" t="s">
        <v>664</v>
      </c>
      <c r="B994" s="3" t="s">
        <v>158</v>
      </c>
      <c r="C994" s="3" t="s">
        <v>4</v>
      </c>
      <c r="D994" s="3" t="s">
        <v>984</v>
      </c>
      <c r="E994" s="3" t="s">
        <v>1002</v>
      </c>
      <c r="F994" s="3" t="s">
        <v>1002</v>
      </c>
      <c r="G994" s="6">
        <v>4</v>
      </c>
      <c r="H994" s="6">
        <v>12.6</v>
      </c>
      <c r="I994" s="6">
        <v>50.4</v>
      </c>
      <c r="J994" s="6">
        <v>38935</v>
      </c>
    </row>
    <row r="995" spans="1:10" outlineLevel="1" x14ac:dyDescent="0.25">
      <c r="A995" s="8" t="s">
        <v>664</v>
      </c>
      <c r="B995" s="3" t="s">
        <v>158</v>
      </c>
      <c r="C995" s="3" t="s">
        <v>4</v>
      </c>
      <c r="D995" s="3" t="s">
        <v>984</v>
      </c>
      <c r="E995" s="3" t="s">
        <v>756</v>
      </c>
      <c r="F995" s="3" t="s">
        <v>1003</v>
      </c>
      <c r="G995" s="6">
        <v>1</v>
      </c>
      <c r="H995" s="6">
        <v>13.2</v>
      </c>
      <c r="I995" s="6">
        <v>13.2</v>
      </c>
      <c r="J995" s="6">
        <v>38948.199999999997</v>
      </c>
    </row>
    <row r="996" spans="1:10" outlineLevel="1" x14ac:dyDescent="0.25">
      <c r="A996" s="8" t="s">
        <v>664</v>
      </c>
      <c r="B996" s="3" t="s">
        <v>158</v>
      </c>
      <c r="C996" s="3" t="s">
        <v>4</v>
      </c>
      <c r="D996" s="3" t="s">
        <v>984</v>
      </c>
      <c r="E996" s="3" t="s">
        <v>953</v>
      </c>
      <c r="F996" s="3" t="s">
        <v>1004</v>
      </c>
      <c r="G996" s="6">
        <v>7</v>
      </c>
      <c r="H996" s="6">
        <v>13.2</v>
      </c>
      <c r="I996" s="6">
        <v>92.4</v>
      </c>
      <c r="J996" s="6">
        <v>39040.6</v>
      </c>
    </row>
    <row r="997" spans="1:10" outlineLevel="1" x14ac:dyDescent="0.25">
      <c r="A997" s="8" t="s">
        <v>664</v>
      </c>
      <c r="B997" s="3" t="s">
        <v>158</v>
      </c>
      <c r="C997" s="3" t="s">
        <v>4</v>
      </c>
      <c r="D997" s="3" t="s">
        <v>984</v>
      </c>
      <c r="E997" s="3" t="s">
        <v>859</v>
      </c>
      <c r="F997" s="3" t="s">
        <v>1005</v>
      </c>
      <c r="G997" s="6">
        <v>6</v>
      </c>
      <c r="H997" s="6">
        <v>45</v>
      </c>
      <c r="I997" s="6">
        <v>270</v>
      </c>
      <c r="J997" s="6">
        <v>39310.6</v>
      </c>
    </row>
    <row r="998" spans="1:10" outlineLevel="1" x14ac:dyDescent="0.25">
      <c r="A998" s="8" t="s">
        <v>664</v>
      </c>
      <c r="B998" s="3" t="s">
        <v>158</v>
      </c>
      <c r="C998" s="3" t="s">
        <v>4</v>
      </c>
      <c r="D998" s="3" t="s">
        <v>984</v>
      </c>
      <c r="E998" s="3" t="s">
        <v>861</v>
      </c>
      <c r="F998" s="3" t="s">
        <v>1006</v>
      </c>
      <c r="G998" s="6">
        <v>6</v>
      </c>
      <c r="H998" s="6">
        <v>45</v>
      </c>
      <c r="I998" s="6">
        <v>270</v>
      </c>
      <c r="J998" s="6">
        <v>39580.6</v>
      </c>
    </row>
    <row r="999" spans="1:10" outlineLevel="1" x14ac:dyDescent="0.25">
      <c r="A999" s="8" t="s">
        <v>664</v>
      </c>
      <c r="B999" s="3" t="s">
        <v>158</v>
      </c>
      <c r="C999" s="3" t="s">
        <v>4</v>
      </c>
      <c r="D999" s="3" t="s">
        <v>984</v>
      </c>
      <c r="E999" s="3" t="s">
        <v>863</v>
      </c>
      <c r="F999" s="3" t="s">
        <v>960</v>
      </c>
      <c r="G999" s="6">
        <v>5</v>
      </c>
      <c r="H999" s="6">
        <v>52.52</v>
      </c>
      <c r="I999" s="6">
        <v>262.60000000000002</v>
      </c>
      <c r="J999" s="6">
        <v>39843.199999999997</v>
      </c>
    </row>
    <row r="1000" spans="1:10" outlineLevel="1" x14ac:dyDescent="0.25">
      <c r="A1000" s="8" t="s">
        <v>664</v>
      </c>
      <c r="B1000" s="3" t="s">
        <v>158</v>
      </c>
      <c r="C1000" s="3" t="s">
        <v>4</v>
      </c>
      <c r="D1000" s="3" t="s">
        <v>984</v>
      </c>
      <c r="E1000" s="3" t="s">
        <v>865</v>
      </c>
      <c r="F1000" s="3" t="s">
        <v>961</v>
      </c>
      <c r="G1000" s="6">
        <v>5</v>
      </c>
      <c r="H1000" s="6">
        <v>52.52</v>
      </c>
      <c r="I1000" s="6">
        <v>262.60000000000002</v>
      </c>
      <c r="J1000" s="6">
        <v>40105.799999999996</v>
      </c>
    </row>
    <row r="1001" spans="1:10" outlineLevel="1" x14ac:dyDescent="0.25">
      <c r="A1001" s="8" t="s">
        <v>664</v>
      </c>
      <c r="B1001" s="3" t="s">
        <v>158</v>
      </c>
      <c r="C1001" s="3" t="s">
        <v>4</v>
      </c>
      <c r="D1001" s="3" t="s">
        <v>984</v>
      </c>
      <c r="E1001" s="3" t="s">
        <v>962</v>
      </c>
      <c r="F1001" s="3" t="s">
        <v>963</v>
      </c>
      <c r="G1001" s="6">
        <v>1</v>
      </c>
      <c r="H1001" s="6">
        <v>27.29</v>
      </c>
      <c r="I1001" s="6">
        <v>27.29</v>
      </c>
      <c r="J1001" s="6">
        <v>40133.089999999997</v>
      </c>
    </row>
    <row r="1002" spans="1:10" outlineLevel="1" x14ac:dyDescent="0.25">
      <c r="A1002" s="8" t="s">
        <v>664</v>
      </c>
      <c r="B1002" s="3" t="s">
        <v>158</v>
      </c>
      <c r="C1002" s="3" t="s">
        <v>4</v>
      </c>
      <c r="D1002" s="3" t="s">
        <v>984</v>
      </c>
      <c r="E1002" s="3" t="s">
        <v>868</v>
      </c>
      <c r="F1002" s="3" t="s">
        <v>1007</v>
      </c>
      <c r="G1002" s="6">
        <v>7</v>
      </c>
      <c r="H1002" s="6">
        <v>27.29</v>
      </c>
      <c r="I1002" s="6">
        <v>191.03</v>
      </c>
      <c r="J1002" s="6">
        <v>40324.119999999995</v>
      </c>
    </row>
    <row r="1003" spans="1:10" outlineLevel="1" x14ac:dyDescent="0.25">
      <c r="A1003" s="8" t="s">
        <v>664</v>
      </c>
      <c r="B1003" s="3" t="s">
        <v>158</v>
      </c>
      <c r="C1003" s="3" t="s">
        <v>4</v>
      </c>
      <c r="D1003" s="3" t="s">
        <v>984</v>
      </c>
      <c r="E1003" s="3" t="s">
        <v>870</v>
      </c>
      <c r="F1003" s="3" t="s">
        <v>1008</v>
      </c>
      <c r="G1003" s="6">
        <v>1</v>
      </c>
      <c r="H1003" s="6">
        <v>27.29</v>
      </c>
      <c r="I1003" s="6">
        <v>27.29</v>
      </c>
      <c r="J1003" s="6">
        <v>40351.409999999996</v>
      </c>
    </row>
    <row r="1004" spans="1:10" outlineLevel="1" x14ac:dyDescent="0.25">
      <c r="A1004" s="8" t="s">
        <v>664</v>
      </c>
      <c r="B1004" s="3" t="s">
        <v>158</v>
      </c>
      <c r="C1004" s="3" t="s">
        <v>4</v>
      </c>
      <c r="D1004" s="3" t="s">
        <v>984</v>
      </c>
      <c r="E1004" s="3" t="s">
        <v>872</v>
      </c>
      <c r="F1004" s="3" t="s">
        <v>1009</v>
      </c>
      <c r="G1004" s="6">
        <v>1</v>
      </c>
      <c r="H1004" s="6">
        <v>27.29</v>
      </c>
      <c r="I1004" s="6">
        <v>27.29</v>
      </c>
      <c r="J1004" s="6">
        <v>40378.699999999997</v>
      </c>
    </row>
    <row r="1005" spans="1:10" outlineLevel="1" x14ac:dyDescent="0.25">
      <c r="A1005" s="8" t="s">
        <v>664</v>
      </c>
      <c r="B1005" s="3" t="s">
        <v>158</v>
      </c>
      <c r="C1005" s="3" t="s">
        <v>4</v>
      </c>
      <c r="D1005" s="3" t="s">
        <v>984</v>
      </c>
      <c r="E1005" s="3" t="s">
        <v>786</v>
      </c>
      <c r="F1005" s="3" t="s">
        <v>967</v>
      </c>
      <c r="G1005" s="6">
        <v>2</v>
      </c>
      <c r="H1005" s="6">
        <v>22.86</v>
      </c>
      <c r="I1005" s="6">
        <v>45.72</v>
      </c>
      <c r="J1005" s="6">
        <v>40424.42</v>
      </c>
    </row>
    <row r="1006" spans="1:10" outlineLevel="1" x14ac:dyDescent="0.25">
      <c r="A1006" s="8" t="s">
        <v>664</v>
      </c>
      <c r="B1006" s="3" t="s">
        <v>158</v>
      </c>
      <c r="C1006" s="3" t="s">
        <v>4</v>
      </c>
      <c r="D1006" s="3" t="s">
        <v>984</v>
      </c>
      <c r="E1006" s="3" t="s">
        <v>1010</v>
      </c>
      <c r="F1006" s="3" t="s">
        <v>1011</v>
      </c>
      <c r="G1006" s="6">
        <v>2</v>
      </c>
      <c r="H1006" s="6">
        <v>14</v>
      </c>
      <c r="I1006" s="6">
        <v>28</v>
      </c>
      <c r="J1006" s="6">
        <v>40452.42</v>
      </c>
    </row>
    <row r="1007" spans="1:10" outlineLevel="1" x14ac:dyDescent="0.25">
      <c r="A1007" s="8" t="s">
        <v>664</v>
      </c>
      <c r="B1007" s="3" t="s">
        <v>158</v>
      </c>
      <c r="C1007" s="3" t="s">
        <v>4</v>
      </c>
      <c r="D1007" s="3" t="s">
        <v>984</v>
      </c>
      <c r="E1007" s="3" t="s">
        <v>885</v>
      </c>
      <c r="F1007" s="3" t="s">
        <v>1012</v>
      </c>
      <c r="G1007" s="6">
        <v>3</v>
      </c>
      <c r="H1007" s="6">
        <v>9</v>
      </c>
      <c r="I1007" s="6">
        <v>27</v>
      </c>
      <c r="J1007" s="6">
        <v>40479.42</v>
      </c>
    </row>
    <row r="1008" spans="1:10" outlineLevel="1" x14ac:dyDescent="0.25">
      <c r="A1008" s="8" t="s">
        <v>664</v>
      </c>
      <c r="B1008" s="3" t="s">
        <v>158</v>
      </c>
      <c r="C1008" s="3" t="s">
        <v>4</v>
      </c>
      <c r="D1008" s="3" t="s">
        <v>984</v>
      </c>
      <c r="E1008" s="3" t="s">
        <v>893</v>
      </c>
      <c r="F1008" s="3" t="s">
        <v>1013</v>
      </c>
      <c r="G1008" s="6">
        <v>1</v>
      </c>
      <c r="H1008" s="6">
        <v>12.84</v>
      </c>
      <c r="I1008" s="6">
        <v>12.84</v>
      </c>
      <c r="J1008" s="6">
        <v>40492.259999999995</v>
      </c>
    </row>
    <row r="1009" spans="1:10" outlineLevel="1" x14ac:dyDescent="0.25">
      <c r="A1009" s="8" t="s">
        <v>664</v>
      </c>
      <c r="B1009" s="3" t="s">
        <v>158</v>
      </c>
      <c r="C1009" s="3" t="s">
        <v>4</v>
      </c>
      <c r="D1009" s="3" t="s">
        <v>984</v>
      </c>
      <c r="E1009" s="3" t="s">
        <v>895</v>
      </c>
      <c r="F1009" s="3" t="s">
        <v>1014</v>
      </c>
      <c r="G1009" s="6">
        <v>1</v>
      </c>
      <c r="H1009" s="6">
        <v>12.84</v>
      </c>
      <c r="I1009" s="6">
        <v>12.84</v>
      </c>
      <c r="J1009" s="6">
        <v>40505.099999999991</v>
      </c>
    </row>
    <row r="1010" spans="1:10" outlineLevel="1" x14ac:dyDescent="0.25">
      <c r="A1010" s="8" t="s">
        <v>664</v>
      </c>
      <c r="B1010" s="3" t="s">
        <v>158</v>
      </c>
      <c r="C1010" s="3" t="s">
        <v>4</v>
      </c>
      <c r="D1010" s="3" t="s">
        <v>984</v>
      </c>
      <c r="E1010" s="3" t="s">
        <v>561</v>
      </c>
      <c r="F1010" s="3" t="s">
        <v>562</v>
      </c>
      <c r="G1010" s="6">
        <v>5</v>
      </c>
      <c r="H1010" s="6">
        <v>36</v>
      </c>
      <c r="I1010" s="6">
        <v>180</v>
      </c>
      <c r="J1010" s="6">
        <v>40685.099999999991</v>
      </c>
    </row>
    <row r="1011" spans="1:10" outlineLevel="1" x14ac:dyDescent="0.25">
      <c r="A1011" s="8" t="s">
        <v>664</v>
      </c>
      <c r="B1011" s="3" t="s">
        <v>158</v>
      </c>
      <c r="C1011" s="3" t="s">
        <v>4</v>
      </c>
      <c r="D1011" s="3" t="s">
        <v>984</v>
      </c>
      <c r="E1011" s="3" t="s">
        <v>797</v>
      </c>
      <c r="F1011" s="3" t="s">
        <v>1015</v>
      </c>
      <c r="G1011" s="6">
        <v>5</v>
      </c>
      <c r="H1011" s="6">
        <v>21.4</v>
      </c>
      <c r="I1011" s="6">
        <v>107</v>
      </c>
      <c r="J1011" s="6">
        <v>40792.099999999991</v>
      </c>
    </row>
    <row r="1012" spans="1:10" outlineLevel="1" x14ac:dyDescent="0.25">
      <c r="A1012" s="8" t="s">
        <v>664</v>
      </c>
      <c r="B1012" s="3" t="s">
        <v>158</v>
      </c>
      <c r="C1012" s="3" t="s">
        <v>4</v>
      </c>
      <c r="D1012" s="3" t="s">
        <v>984</v>
      </c>
      <c r="E1012" s="3" t="s">
        <v>803</v>
      </c>
      <c r="F1012" s="3" t="s">
        <v>1016</v>
      </c>
      <c r="G1012" s="6">
        <v>6</v>
      </c>
      <c r="H1012" s="6">
        <v>21.4</v>
      </c>
      <c r="I1012" s="6">
        <v>128.4</v>
      </c>
      <c r="J1012" s="6">
        <v>40920.499999999993</v>
      </c>
    </row>
    <row r="1013" spans="1:10" outlineLevel="1" x14ac:dyDescent="0.25">
      <c r="A1013" s="8" t="s">
        <v>664</v>
      </c>
      <c r="B1013" s="3" t="s">
        <v>158</v>
      </c>
      <c r="C1013" s="3" t="s">
        <v>4</v>
      </c>
      <c r="D1013" s="3" t="s">
        <v>984</v>
      </c>
      <c r="E1013" s="3" t="s">
        <v>902</v>
      </c>
      <c r="F1013" s="3" t="s">
        <v>1017</v>
      </c>
      <c r="G1013" s="6">
        <v>3</v>
      </c>
      <c r="H1013" s="6">
        <v>72.72</v>
      </c>
      <c r="I1013" s="6">
        <v>218.16</v>
      </c>
      <c r="J1013" s="6">
        <v>41138.659999999996</v>
      </c>
    </row>
    <row r="1014" spans="1:10" outlineLevel="1" x14ac:dyDescent="0.25">
      <c r="A1014" s="8" t="s">
        <v>664</v>
      </c>
      <c r="B1014" s="3" t="s">
        <v>158</v>
      </c>
      <c r="C1014" s="3" t="s">
        <v>4</v>
      </c>
      <c r="D1014" s="3" t="s">
        <v>984</v>
      </c>
      <c r="E1014" s="3" t="s">
        <v>1018</v>
      </c>
      <c r="F1014" s="3" t="s">
        <v>1019</v>
      </c>
      <c r="G1014" s="6">
        <v>4</v>
      </c>
      <c r="H1014" s="6">
        <v>19.2</v>
      </c>
      <c r="I1014" s="6">
        <v>76.8</v>
      </c>
      <c r="J1014" s="6">
        <v>41215.46</v>
      </c>
    </row>
    <row r="1015" spans="1:10" outlineLevel="1" x14ac:dyDescent="0.25">
      <c r="A1015" s="8" t="s">
        <v>664</v>
      </c>
      <c r="B1015" s="3" t="s">
        <v>158</v>
      </c>
      <c r="C1015" s="3" t="s">
        <v>4</v>
      </c>
      <c r="D1015" s="3" t="s">
        <v>984</v>
      </c>
      <c r="E1015" s="3" t="s">
        <v>1020</v>
      </c>
      <c r="F1015" s="3" t="s">
        <v>1021</v>
      </c>
      <c r="G1015" s="6">
        <v>4</v>
      </c>
      <c r="H1015" s="6">
        <v>20.399999999999999</v>
      </c>
      <c r="I1015" s="6">
        <v>81.599999999999994</v>
      </c>
      <c r="J1015" s="6">
        <v>41297.06</v>
      </c>
    </row>
    <row r="1016" spans="1:10" outlineLevel="1" x14ac:dyDescent="0.25">
      <c r="A1016" s="8" t="s">
        <v>664</v>
      </c>
      <c r="B1016" s="3" t="s">
        <v>158</v>
      </c>
      <c r="C1016" s="3" t="s">
        <v>4</v>
      </c>
      <c r="D1016" s="3" t="s">
        <v>984</v>
      </c>
      <c r="E1016" s="3" t="s">
        <v>1022</v>
      </c>
      <c r="F1016" s="3" t="s">
        <v>1023</v>
      </c>
      <c r="G1016" s="6">
        <v>3</v>
      </c>
      <c r="H1016" s="6">
        <v>25.9</v>
      </c>
      <c r="I1016" s="6">
        <v>77.7</v>
      </c>
      <c r="J1016" s="6">
        <v>41374.759999999995</v>
      </c>
    </row>
    <row r="1017" spans="1:10" outlineLevel="1" x14ac:dyDescent="0.25">
      <c r="A1017" s="8" t="s">
        <v>664</v>
      </c>
      <c r="B1017" s="3" t="s">
        <v>158</v>
      </c>
      <c r="C1017" s="3" t="s">
        <v>4</v>
      </c>
      <c r="D1017" s="3" t="s">
        <v>984</v>
      </c>
      <c r="E1017" s="3" t="s">
        <v>809</v>
      </c>
      <c r="F1017" s="3" t="s">
        <v>810</v>
      </c>
      <c r="G1017" s="6">
        <v>1</v>
      </c>
      <c r="H1017" s="6">
        <v>32.74</v>
      </c>
      <c r="I1017" s="6">
        <v>32.74</v>
      </c>
      <c r="J1017" s="6">
        <v>41407.499999999993</v>
      </c>
    </row>
    <row r="1018" spans="1:10" outlineLevel="1" x14ac:dyDescent="0.25">
      <c r="A1018" s="8" t="s">
        <v>664</v>
      </c>
      <c r="B1018" s="3" t="s">
        <v>158</v>
      </c>
      <c r="C1018" s="3" t="s">
        <v>4</v>
      </c>
      <c r="D1018" s="3" t="s">
        <v>984</v>
      </c>
      <c r="E1018" s="3" t="s">
        <v>760</v>
      </c>
      <c r="F1018" s="3" t="s">
        <v>979</v>
      </c>
      <c r="G1018" s="6">
        <v>10</v>
      </c>
      <c r="H1018" s="6">
        <v>53.5</v>
      </c>
      <c r="I1018" s="6">
        <v>535</v>
      </c>
      <c r="J1018" s="6">
        <v>41942.499999999993</v>
      </c>
    </row>
    <row r="1019" spans="1:10" outlineLevel="1" x14ac:dyDescent="0.25">
      <c r="A1019" s="8" t="s">
        <v>664</v>
      </c>
      <c r="B1019" s="3" t="s">
        <v>158</v>
      </c>
      <c r="C1019" s="3" t="s">
        <v>4</v>
      </c>
      <c r="D1019" s="3" t="s">
        <v>984</v>
      </c>
      <c r="E1019" s="3" t="s">
        <v>762</v>
      </c>
      <c r="F1019" s="3" t="s">
        <v>763</v>
      </c>
      <c r="G1019" s="6">
        <v>16</v>
      </c>
      <c r="H1019" s="6">
        <v>38.520000000000003</v>
      </c>
      <c r="I1019" s="6">
        <v>616.32000000000005</v>
      </c>
      <c r="J1019" s="6">
        <v>42558.819999999992</v>
      </c>
    </row>
    <row r="1020" spans="1:10" outlineLevel="1" x14ac:dyDescent="0.25">
      <c r="A1020" s="8" t="s">
        <v>664</v>
      </c>
      <c r="B1020" s="3" t="s">
        <v>158</v>
      </c>
      <c r="C1020" s="3" t="s">
        <v>4</v>
      </c>
      <c r="D1020" s="3" t="s">
        <v>984</v>
      </c>
      <c r="E1020" s="3" t="s">
        <v>813</v>
      </c>
      <c r="F1020" s="3" t="s">
        <v>1024</v>
      </c>
      <c r="G1020" s="6">
        <v>8</v>
      </c>
      <c r="H1020" s="6">
        <v>54.57</v>
      </c>
      <c r="I1020" s="6">
        <v>436.56</v>
      </c>
      <c r="J1020" s="6">
        <v>42995.37999999999</v>
      </c>
    </row>
    <row r="1021" spans="1:10" outlineLevel="1" x14ac:dyDescent="0.25">
      <c r="A1021" s="8" t="s">
        <v>664</v>
      </c>
      <c r="B1021" s="3" t="s">
        <v>158</v>
      </c>
      <c r="C1021" s="3" t="s">
        <v>4</v>
      </c>
      <c r="D1021" s="3" t="s">
        <v>984</v>
      </c>
      <c r="E1021" s="3" t="s">
        <v>817</v>
      </c>
      <c r="F1021" s="3" t="s">
        <v>1025</v>
      </c>
      <c r="G1021" s="6">
        <v>2</v>
      </c>
      <c r="H1021" s="6">
        <v>46.22</v>
      </c>
      <c r="I1021" s="6">
        <v>92.44</v>
      </c>
      <c r="J1021" s="6">
        <v>43087.819999999992</v>
      </c>
    </row>
    <row r="1022" spans="1:10" outlineLevel="1" x14ac:dyDescent="0.25">
      <c r="A1022" s="8" t="s">
        <v>664</v>
      </c>
      <c r="B1022" s="3" t="s">
        <v>158</v>
      </c>
      <c r="C1022" s="3" t="s">
        <v>4</v>
      </c>
      <c r="D1022" s="3" t="s">
        <v>984</v>
      </c>
      <c r="E1022" s="3" t="s">
        <v>764</v>
      </c>
      <c r="F1022" s="3" t="s">
        <v>1026</v>
      </c>
      <c r="G1022" s="6">
        <v>4</v>
      </c>
      <c r="H1022" s="6">
        <v>34.659999999999997</v>
      </c>
      <c r="I1022" s="6">
        <v>138.63999999999999</v>
      </c>
      <c r="J1022" s="6">
        <v>43226.459999999992</v>
      </c>
    </row>
    <row r="1023" spans="1:10" outlineLevel="1" x14ac:dyDescent="0.25">
      <c r="A1023" s="8" t="s">
        <v>664</v>
      </c>
      <c r="B1023" s="3" t="s">
        <v>158</v>
      </c>
      <c r="C1023" s="3" t="s">
        <v>4</v>
      </c>
      <c r="D1023" s="3" t="s">
        <v>984</v>
      </c>
      <c r="E1023" s="3" t="s">
        <v>770</v>
      </c>
      <c r="F1023" s="3" t="s">
        <v>1027</v>
      </c>
      <c r="G1023" s="6">
        <v>4</v>
      </c>
      <c r="H1023" s="6">
        <v>37.450000000000003</v>
      </c>
      <c r="I1023" s="6">
        <v>149.80000000000001</v>
      </c>
      <c r="J1023" s="6">
        <v>43376.259999999995</v>
      </c>
    </row>
    <row r="1024" spans="1:10" outlineLevel="1" x14ac:dyDescent="0.25">
      <c r="A1024" s="8" t="s">
        <v>664</v>
      </c>
      <c r="B1024" s="3" t="s">
        <v>158</v>
      </c>
      <c r="C1024" s="3" t="s">
        <v>4</v>
      </c>
      <c r="D1024" s="3" t="s">
        <v>984</v>
      </c>
      <c r="E1024" s="3" t="s">
        <v>774</v>
      </c>
      <c r="F1024" s="3" t="s">
        <v>981</v>
      </c>
      <c r="G1024" s="6">
        <v>10</v>
      </c>
      <c r="H1024" s="6">
        <v>26.84</v>
      </c>
      <c r="I1024" s="6">
        <v>268.39999999999998</v>
      </c>
      <c r="J1024" s="6">
        <v>43644.659999999996</v>
      </c>
    </row>
    <row r="1025" spans="1:10" outlineLevel="1" x14ac:dyDescent="0.25">
      <c r="A1025" s="8" t="s">
        <v>664</v>
      </c>
      <c r="B1025" s="3" t="s">
        <v>158</v>
      </c>
      <c r="C1025" s="3" t="s">
        <v>4</v>
      </c>
      <c r="D1025" s="3" t="s">
        <v>984</v>
      </c>
      <c r="E1025" s="3" t="s">
        <v>819</v>
      </c>
      <c r="F1025" s="3" t="s">
        <v>1028</v>
      </c>
      <c r="G1025" s="6">
        <v>2</v>
      </c>
      <c r="H1025" s="6">
        <v>29.4</v>
      </c>
      <c r="I1025" s="6">
        <v>58.8</v>
      </c>
      <c r="J1025" s="6">
        <v>43703.46</v>
      </c>
    </row>
    <row r="1026" spans="1:10" outlineLevel="1" x14ac:dyDescent="0.25">
      <c r="A1026" s="8" t="s">
        <v>664</v>
      </c>
      <c r="B1026" s="3" t="s">
        <v>1029</v>
      </c>
      <c r="C1026" s="3" t="s">
        <v>4</v>
      </c>
      <c r="D1026" s="3" t="s">
        <v>1030</v>
      </c>
      <c r="E1026" s="3" t="s">
        <v>561</v>
      </c>
      <c r="F1026" s="3" t="s">
        <v>562</v>
      </c>
      <c r="G1026" s="6">
        <v>10</v>
      </c>
      <c r="H1026" s="6">
        <v>35.94</v>
      </c>
      <c r="I1026" s="6">
        <v>359.4</v>
      </c>
      <c r="J1026" s="6">
        <v>44062.86</v>
      </c>
    </row>
    <row r="1027" spans="1:10" outlineLevel="1" x14ac:dyDescent="0.25">
      <c r="A1027" s="8" t="s">
        <v>664</v>
      </c>
      <c r="B1027" s="3" t="s">
        <v>1029</v>
      </c>
      <c r="C1027" s="3" t="s">
        <v>4</v>
      </c>
      <c r="D1027" s="3" t="s">
        <v>1030</v>
      </c>
      <c r="E1027" s="3" t="s">
        <v>999</v>
      </c>
      <c r="F1027" s="3" t="s">
        <v>1031</v>
      </c>
      <c r="G1027" s="6">
        <v>3</v>
      </c>
      <c r="H1027" s="6">
        <v>9.99</v>
      </c>
      <c r="I1027" s="6">
        <v>29.97</v>
      </c>
      <c r="J1027" s="6">
        <v>44092.83</v>
      </c>
    </row>
    <row r="1028" spans="1:10" outlineLevel="1" x14ac:dyDescent="0.25">
      <c r="A1028" s="8" t="s">
        <v>664</v>
      </c>
      <c r="B1028" s="3" t="s">
        <v>1029</v>
      </c>
      <c r="C1028" s="3" t="s">
        <v>4</v>
      </c>
      <c r="D1028" s="3" t="s">
        <v>1030</v>
      </c>
      <c r="E1028" s="3" t="s">
        <v>1018</v>
      </c>
      <c r="F1028" s="3" t="s">
        <v>1032</v>
      </c>
      <c r="G1028" s="6">
        <v>1</v>
      </c>
      <c r="H1028" s="6">
        <v>19.2</v>
      </c>
      <c r="I1028" s="6">
        <v>19.2</v>
      </c>
      <c r="J1028" s="6">
        <v>44112.03</v>
      </c>
    </row>
    <row r="1029" spans="1:10" outlineLevel="1" x14ac:dyDescent="0.25">
      <c r="A1029" s="8" t="s">
        <v>664</v>
      </c>
      <c r="B1029" s="3" t="s">
        <v>1029</v>
      </c>
      <c r="C1029" s="3" t="s">
        <v>4</v>
      </c>
      <c r="D1029" s="3" t="s">
        <v>1030</v>
      </c>
      <c r="E1029" s="3" t="s">
        <v>859</v>
      </c>
      <c r="F1029" s="3" t="s">
        <v>1005</v>
      </c>
      <c r="G1029" s="6">
        <v>8</v>
      </c>
      <c r="H1029" s="6">
        <v>45</v>
      </c>
      <c r="I1029" s="6">
        <v>360</v>
      </c>
      <c r="J1029" s="6">
        <v>44472.03</v>
      </c>
    </row>
    <row r="1030" spans="1:10" outlineLevel="1" x14ac:dyDescent="0.25">
      <c r="A1030" s="8" t="s">
        <v>664</v>
      </c>
      <c r="B1030" s="3" t="s">
        <v>1029</v>
      </c>
      <c r="C1030" s="3" t="s">
        <v>4</v>
      </c>
      <c r="D1030" s="3" t="s">
        <v>1030</v>
      </c>
      <c r="E1030" s="3" t="s">
        <v>861</v>
      </c>
      <c r="F1030" s="3" t="s">
        <v>1006</v>
      </c>
      <c r="G1030" s="6">
        <v>8</v>
      </c>
      <c r="H1030" s="6">
        <v>45</v>
      </c>
      <c r="I1030" s="6">
        <v>360</v>
      </c>
      <c r="J1030" s="6">
        <v>44832.03</v>
      </c>
    </row>
    <row r="1031" spans="1:10" outlineLevel="1" x14ac:dyDescent="0.25">
      <c r="A1031" s="8" t="s">
        <v>664</v>
      </c>
      <c r="B1031" s="3" t="s">
        <v>1029</v>
      </c>
      <c r="C1031" s="3" t="s">
        <v>4</v>
      </c>
      <c r="D1031" s="3" t="s">
        <v>1030</v>
      </c>
      <c r="E1031" s="3" t="s">
        <v>863</v>
      </c>
      <c r="F1031" s="3" t="s">
        <v>960</v>
      </c>
      <c r="G1031" s="6">
        <v>5</v>
      </c>
      <c r="H1031" s="6">
        <v>52.52</v>
      </c>
      <c r="I1031" s="6">
        <v>262.60000000000002</v>
      </c>
      <c r="J1031" s="6">
        <v>45094.63</v>
      </c>
    </row>
    <row r="1032" spans="1:10" outlineLevel="1" x14ac:dyDescent="0.25">
      <c r="A1032" s="8" t="s">
        <v>664</v>
      </c>
      <c r="B1032" s="3" t="s">
        <v>1029</v>
      </c>
      <c r="C1032" s="3" t="s">
        <v>4</v>
      </c>
      <c r="D1032" s="3" t="s">
        <v>1030</v>
      </c>
      <c r="E1032" s="3" t="s">
        <v>865</v>
      </c>
      <c r="F1032" s="3" t="s">
        <v>961</v>
      </c>
      <c r="G1032" s="6">
        <v>5</v>
      </c>
      <c r="H1032" s="6">
        <v>52.52</v>
      </c>
      <c r="I1032" s="6">
        <v>262.60000000000002</v>
      </c>
      <c r="J1032" s="6">
        <v>45357.229999999996</v>
      </c>
    </row>
    <row r="1033" spans="1:10" outlineLevel="1" x14ac:dyDescent="0.25">
      <c r="A1033" s="8" t="s">
        <v>664</v>
      </c>
      <c r="B1033" s="3" t="s">
        <v>1029</v>
      </c>
      <c r="C1033" s="3" t="s">
        <v>4</v>
      </c>
      <c r="D1033" s="3" t="s">
        <v>1030</v>
      </c>
      <c r="E1033" s="3" t="s">
        <v>756</v>
      </c>
      <c r="F1033" s="3" t="s">
        <v>1003</v>
      </c>
      <c r="G1033" s="6">
        <v>4</v>
      </c>
      <c r="H1033" s="6">
        <v>13.2</v>
      </c>
      <c r="I1033" s="6">
        <v>52.8</v>
      </c>
      <c r="J1033" s="6">
        <v>45410.03</v>
      </c>
    </row>
    <row r="1034" spans="1:10" outlineLevel="1" x14ac:dyDescent="0.25">
      <c r="A1034" s="8" t="s">
        <v>664</v>
      </c>
      <c r="B1034" s="3" t="s">
        <v>1029</v>
      </c>
      <c r="C1034" s="3" t="s">
        <v>4</v>
      </c>
      <c r="D1034" s="3" t="s">
        <v>1030</v>
      </c>
      <c r="E1034" s="3" t="s">
        <v>895</v>
      </c>
      <c r="F1034" s="3" t="s">
        <v>1014</v>
      </c>
      <c r="G1034" s="6">
        <v>3</v>
      </c>
      <c r="H1034" s="6">
        <v>12.84</v>
      </c>
      <c r="I1034" s="6">
        <v>38.520000000000003</v>
      </c>
      <c r="J1034" s="6">
        <v>45448.549999999996</v>
      </c>
    </row>
    <row r="1035" spans="1:10" outlineLevel="1" x14ac:dyDescent="0.25">
      <c r="A1035" s="8" t="s">
        <v>664</v>
      </c>
      <c r="B1035" s="3" t="s">
        <v>1029</v>
      </c>
      <c r="C1035" s="3" t="s">
        <v>4</v>
      </c>
      <c r="D1035" s="3" t="s">
        <v>1030</v>
      </c>
      <c r="E1035" s="3" t="s">
        <v>893</v>
      </c>
      <c r="F1035" s="3" t="s">
        <v>1013</v>
      </c>
      <c r="G1035" s="6">
        <v>3</v>
      </c>
      <c r="H1035" s="6">
        <v>12.84</v>
      </c>
      <c r="I1035" s="6">
        <v>38.520000000000003</v>
      </c>
      <c r="J1035" s="6">
        <v>45487.069999999992</v>
      </c>
    </row>
    <row r="1036" spans="1:10" outlineLevel="1" x14ac:dyDescent="0.25">
      <c r="A1036" s="8" t="s">
        <v>664</v>
      </c>
      <c r="B1036" s="3" t="s">
        <v>1029</v>
      </c>
      <c r="C1036" s="3" t="s">
        <v>4</v>
      </c>
      <c r="D1036" s="3" t="s">
        <v>1030</v>
      </c>
      <c r="E1036" s="3" t="s">
        <v>702</v>
      </c>
      <c r="F1036" s="3" t="s">
        <v>992</v>
      </c>
      <c r="G1036" s="6">
        <v>3</v>
      </c>
      <c r="H1036" s="6">
        <v>45.96</v>
      </c>
      <c r="I1036" s="6">
        <v>137.88</v>
      </c>
      <c r="J1036" s="6">
        <v>45624.94999999999</v>
      </c>
    </row>
    <row r="1037" spans="1:10" outlineLevel="1" x14ac:dyDescent="0.25">
      <c r="A1037" s="8" t="s">
        <v>664</v>
      </c>
      <c r="B1037" s="3" t="s">
        <v>1029</v>
      </c>
      <c r="C1037" s="3" t="s">
        <v>4</v>
      </c>
      <c r="D1037" s="3" t="s">
        <v>1030</v>
      </c>
      <c r="E1037" s="3" t="s">
        <v>832</v>
      </c>
      <c r="F1037" s="3" t="s">
        <v>988</v>
      </c>
      <c r="G1037" s="6">
        <v>2</v>
      </c>
      <c r="H1037" s="6">
        <v>39.68</v>
      </c>
      <c r="I1037" s="6">
        <v>79.36</v>
      </c>
      <c r="J1037" s="6">
        <v>45704.30999999999</v>
      </c>
    </row>
    <row r="1038" spans="1:10" outlineLevel="1" x14ac:dyDescent="0.25">
      <c r="A1038" s="8" t="s">
        <v>664</v>
      </c>
      <c r="B1038" s="3" t="s">
        <v>1033</v>
      </c>
      <c r="C1038" s="3" t="s">
        <v>4</v>
      </c>
      <c r="D1038" s="3" t="s">
        <v>1034</v>
      </c>
      <c r="E1038" s="3" t="s">
        <v>667</v>
      </c>
      <c r="F1038" s="3" t="s">
        <v>985</v>
      </c>
      <c r="G1038" s="6">
        <v>8</v>
      </c>
      <c r="H1038" s="6">
        <v>30.82</v>
      </c>
      <c r="I1038" s="6">
        <v>246.56</v>
      </c>
      <c r="J1038" s="6">
        <v>45950.869999999988</v>
      </c>
    </row>
    <row r="1039" spans="1:10" outlineLevel="1" x14ac:dyDescent="0.25">
      <c r="A1039" s="8" t="s">
        <v>664</v>
      </c>
      <c r="B1039" s="3" t="s">
        <v>1033</v>
      </c>
      <c r="C1039" s="3" t="s">
        <v>4</v>
      </c>
      <c r="D1039" s="3" t="s">
        <v>1034</v>
      </c>
      <c r="E1039" s="3" t="s">
        <v>669</v>
      </c>
      <c r="F1039" s="3" t="s">
        <v>941</v>
      </c>
      <c r="G1039" s="6">
        <v>5</v>
      </c>
      <c r="H1039" s="6">
        <v>30.82</v>
      </c>
      <c r="I1039" s="6">
        <v>154.1</v>
      </c>
      <c r="J1039" s="6">
        <v>46104.969999999987</v>
      </c>
    </row>
    <row r="1040" spans="1:10" outlineLevel="1" x14ac:dyDescent="0.25">
      <c r="A1040" s="8" t="s">
        <v>664</v>
      </c>
      <c r="B1040" s="3" t="s">
        <v>1033</v>
      </c>
      <c r="C1040" s="3" t="s">
        <v>4</v>
      </c>
      <c r="D1040" s="3" t="s">
        <v>1034</v>
      </c>
      <c r="E1040" s="3" t="s">
        <v>671</v>
      </c>
      <c r="F1040" s="3" t="s">
        <v>1035</v>
      </c>
      <c r="G1040" s="6">
        <v>2</v>
      </c>
      <c r="H1040" s="6">
        <v>33.119999999999997</v>
      </c>
      <c r="I1040" s="6">
        <v>66.239999999999995</v>
      </c>
      <c r="J1040" s="6">
        <v>46171.209999999985</v>
      </c>
    </row>
    <row r="1041" spans="1:10" outlineLevel="1" x14ac:dyDescent="0.25">
      <c r="A1041" s="8" t="s">
        <v>664</v>
      </c>
      <c r="B1041" s="3" t="s">
        <v>1033</v>
      </c>
      <c r="C1041" s="3" t="s">
        <v>4</v>
      </c>
      <c r="D1041" s="3" t="s">
        <v>1034</v>
      </c>
      <c r="E1041" s="3" t="s">
        <v>823</v>
      </c>
      <c r="F1041" s="3" t="s">
        <v>1036</v>
      </c>
      <c r="G1041" s="6">
        <v>2</v>
      </c>
      <c r="H1041" s="6">
        <v>40.82</v>
      </c>
      <c r="I1041" s="6">
        <v>81.64</v>
      </c>
      <c r="J1041" s="6">
        <v>46252.849999999984</v>
      </c>
    </row>
    <row r="1042" spans="1:10" outlineLevel="1" x14ac:dyDescent="0.25">
      <c r="A1042" s="8" t="s">
        <v>664</v>
      </c>
      <c r="B1042" s="3" t="s">
        <v>1033</v>
      </c>
      <c r="C1042" s="3" t="s">
        <v>4</v>
      </c>
      <c r="D1042" s="3" t="s">
        <v>1034</v>
      </c>
      <c r="E1042" s="3" t="s">
        <v>673</v>
      </c>
      <c r="F1042" s="3" t="s">
        <v>1037</v>
      </c>
      <c r="G1042" s="6">
        <v>3</v>
      </c>
      <c r="H1042" s="6">
        <v>33.380000000000003</v>
      </c>
      <c r="I1042" s="6">
        <v>100.14</v>
      </c>
      <c r="J1042" s="6">
        <v>46352.989999999983</v>
      </c>
    </row>
    <row r="1043" spans="1:10" outlineLevel="1" x14ac:dyDescent="0.25">
      <c r="A1043" s="8" t="s">
        <v>664</v>
      </c>
      <c r="B1043" s="3" t="s">
        <v>1033</v>
      </c>
      <c r="C1043" s="3" t="s">
        <v>4</v>
      </c>
      <c r="D1043" s="3" t="s">
        <v>1034</v>
      </c>
      <c r="E1043" s="3" t="s">
        <v>825</v>
      </c>
      <c r="F1043" s="3" t="s">
        <v>986</v>
      </c>
      <c r="G1043" s="6">
        <v>2</v>
      </c>
      <c r="H1043" s="6">
        <v>32.1</v>
      </c>
      <c r="I1043" s="6">
        <v>64.2</v>
      </c>
      <c r="J1043" s="6">
        <v>46417.189999999981</v>
      </c>
    </row>
    <row r="1044" spans="1:10" outlineLevel="1" x14ac:dyDescent="0.25">
      <c r="A1044" s="8" t="s">
        <v>664</v>
      </c>
      <c r="B1044" s="3" t="s">
        <v>1033</v>
      </c>
      <c r="C1044" s="3" t="s">
        <v>4</v>
      </c>
      <c r="D1044" s="3" t="s">
        <v>1034</v>
      </c>
      <c r="E1044" s="3" t="s">
        <v>1038</v>
      </c>
      <c r="F1044" s="3" t="s">
        <v>1039</v>
      </c>
      <c r="G1044" s="6">
        <v>2</v>
      </c>
      <c r="H1044" s="6">
        <v>32.1</v>
      </c>
      <c r="I1044" s="6">
        <v>64.2</v>
      </c>
      <c r="J1044" s="6">
        <v>46481.389999999978</v>
      </c>
    </row>
    <row r="1045" spans="1:10" outlineLevel="1" x14ac:dyDescent="0.25">
      <c r="A1045" s="8" t="s">
        <v>664</v>
      </c>
      <c r="B1045" s="3" t="s">
        <v>1033</v>
      </c>
      <c r="C1045" s="3" t="s">
        <v>4</v>
      </c>
      <c r="D1045" s="3" t="s">
        <v>1034</v>
      </c>
      <c r="E1045" s="3" t="s">
        <v>685</v>
      </c>
      <c r="F1045" s="3" t="s">
        <v>685</v>
      </c>
      <c r="G1045" s="6">
        <v>2</v>
      </c>
      <c r="H1045" s="6">
        <v>25.54</v>
      </c>
      <c r="I1045" s="6">
        <v>51.08</v>
      </c>
      <c r="J1045" s="6">
        <v>46532.469999999979</v>
      </c>
    </row>
    <row r="1046" spans="1:10" outlineLevel="1" x14ac:dyDescent="0.25">
      <c r="A1046" s="8" t="s">
        <v>664</v>
      </c>
      <c r="B1046" s="3" t="s">
        <v>1033</v>
      </c>
      <c r="C1046" s="3" t="s">
        <v>4</v>
      </c>
      <c r="D1046" s="3" t="s">
        <v>1034</v>
      </c>
      <c r="E1046" s="3" t="s">
        <v>688</v>
      </c>
      <c r="F1046" s="3" t="s">
        <v>689</v>
      </c>
      <c r="G1046" s="6">
        <v>3</v>
      </c>
      <c r="H1046" s="6">
        <v>29.4</v>
      </c>
      <c r="I1046" s="6">
        <v>88.2</v>
      </c>
      <c r="J1046" s="6">
        <v>46620.669999999976</v>
      </c>
    </row>
    <row r="1047" spans="1:10" outlineLevel="1" x14ac:dyDescent="0.25">
      <c r="A1047" s="8" t="s">
        <v>664</v>
      </c>
      <c r="B1047" s="3" t="s">
        <v>1033</v>
      </c>
      <c r="C1047" s="3" t="s">
        <v>4</v>
      </c>
      <c r="D1047" s="3" t="s">
        <v>1034</v>
      </c>
      <c r="E1047" s="3" t="s">
        <v>828</v>
      </c>
      <c r="F1047" s="3" t="s">
        <v>987</v>
      </c>
      <c r="G1047" s="6">
        <v>2</v>
      </c>
      <c r="H1047" s="6">
        <v>28.88</v>
      </c>
      <c r="I1047" s="6">
        <v>57.76</v>
      </c>
      <c r="J1047" s="6">
        <v>46678.429999999978</v>
      </c>
    </row>
    <row r="1048" spans="1:10" outlineLevel="1" x14ac:dyDescent="0.25">
      <c r="A1048" s="8" t="s">
        <v>664</v>
      </c>
      <c r="B1048" s="3" t="s">
        <v>1033</v>
      </c>
      <c r="C1048" s="3" t="s">
        <v>4</v>
      </c>
      <c r="D1048" s="3" t="s">
        <v>1034</v>
      </c>
      <c r="E1048" s="3" t="s">
        <v>830</v>
      </c>
      <c r="F1048" s="3" t="s">
        <v>943</v>
      </c>
      <c r="G1048" s="6">
        <v>4</v>
      </c>
      <c r="H1048" s="6">
        <v>28.88</v>
      </c>
      <c r="I1048" s="6">
        <v>115.52</v>
      </c>
      <c r="J1048" s="6">
        <v>46793.949999999975</v>
      </c>
    </row>
    <row r="1049" spans="1:10" outlineLevel="1" x14ac:dyDescent="0.25">
      <c r="A1049" s="8" t="s">
        <v>664</v>
      </c>
      <c r="B1049" s="3" t="s">
        <v>1033</v>
      </c>
      <c r="C1049" s="3" t="s">
        <v>4</v>
      </c>
      <c r="D1049" s="3" t="s">
        <v>1034</v>
      </c>
      <c r="E1049" s="3" t="s">
        <v>692</v>
      </c>
      <c r="F1049" s="3" t="s">
        <v>944</v>
      </c>
      <c r="G1049" s="6">
        <v>20</v>
      </c>
      <c r="H1049" s="6">
        <v>39.68</v>
      </c>
      <c r="I1049" s="6">
        <v>793.6</v>
      </c>
      <c r="J1049" s="6">
        <v>47587.549999999974</v>
      </c>
    </row>
    <row r="1050" spans="1:10" outlineLevel="1" x14ac:dyDescent="0.25">
      <c r="A1050" s="8" t="s">
        <v>664</v>
      </c>
      <c r="B1050" s="3" t="s">
        <v>1033</v>
      </c>
      <c r="C1050" s="3" t="s">
        <v>4</v>
      </c>
      <c r="D1050" s="3" t="s">
        <v>1034</v>
      </c>
      <c r="E1050" s="3" t="s">
        <v>989</v>
      </c>
      <c r="F1050" s="3" t="s">
        <v>1040</v>
      </c>
      <c r="G1050" s="6">
        <v>5</v>
      </c>
      <c r="H1050" s="6">
        <v>32</v>
      </c>
      <c r="I1050" s="6">
        <v>160</v>
      </c>
      <c r="J1050" s="6">
        <v>47747.549999999974</v>
      </c>
    </row>
    <row r="1051" spans="1:10" outlineLevel="1" x14ac:dyDescent="0.25">
      <c r="A1051" s="8" t="s">
        <v>664</v>
      </c>
      <c r="B1051" s="3" t="s">
        <v>1033</v>
      </c>
      <c r="C1051" s="3" t="s">
        <v>4</v>
      </c>
      <c r="D1051" s="3" t="s">
        <v>1034</v>
      </c>
      <c r="E1051" s="3" t="s">
        <v>694</v>
      </c>
      <c r="F1051" s="3" t="s">
        <v>1041</v>
      </c>
      <c r="G1051" s="6">
        <v>7</v>
      </c>
      <c r="H1051" s="6">
        <v>38.159999999999997</v>
      </c>
      <c r="I1051" s="6">
        <v>267.12</v>
      </c>
      <c r="J1051" s="6">
        <v>48014.669999999976</v>
      </c>
    </row>
    <row r="1052" spans="1:10" outlineLevel="1" x14ac:dyDescent="0.25">
      <c r="A1052" s="8" t="s">
        <v>664</v>
      </c>
      <c r="B1052" s="3" t="s">
        <v>1033</v>
      </c>
      <c r="C1052" s="3" t="s">
        <v>4</v>
      </c>
      <c r="D1052" s="3" t="s">
        <v>1034</v>
      </c>
      <c r="E1052" s="3" t="s">
        <v>1042</v>
      </c>
      <c r="F1052" s="3" t="s">
        <v>1043</v>
      </c>
      <c r="G1052" s="6">
        <v>2</v>
      </c>
      <c r="H1052" s="6">
        <v>51.1</v>
      </c>
      <c r="I1052" s="6">
        <v>102.2</v>
      </c>
      <c r="J1052" s="6">
        <v>48116.869999999974</v>
      </c>
    </row>
    <row r="1053" spans="1:10" outlineLevel="1" x14ac:dyDescent="0.25">
      <c r="A1053" s="8" t="s">
        <v>664</v>
      </c>
      <c r="B1053" s="3" t="s">
        <v>1033</v>
      </c>
      <c r="C1053" s="3" t="s">
        <v>4</v>
      </c>
      <c r="D1053" s="3" t="s">
        <v>1034</v>
      </c>
      <c r="E1053" s="3" t="s">
        <v>947</v>
      </c>
      <c r="F1053" s="3" t="s">
        <v>948</v>
      </c>
      <c r="G1053" s="6">
        <v>3</v>
      </c>
      <c r="H1053" s="6">
        <v>51.1</v>
      </c>
      <c r="I1053" s="6">
        <v>153.30000000000001</v>
      </c>
      <c r="J1053" s="6">
        <v>48270.169999999976</v>
      </c>
    </row>
    <row r="1054" spans="1:10" outlineLevel="1" x14ac:dyDescent="0.25">
      <c r="A1054" s="8" t="s">
        <v>664</v>
      </c>
      <c r="B1054" s="3" t="s">
        <v>1033</v>
      </c>
      <c r="C1054" s="3" t="s">
        <v>4</v>
      </c>
      <c r="D1054" s="3" t="s">
        <v>1034</v>
      </c>
      <c r="E1054" s="3" t="s">
        <v>702</v>
      </c>
      <c r="F1054" s="3" t="s">
        <v>992</v>
      </c>
      <c r="G1054" s="6">
        <v>8</v>
      </c>
      <c r="H1054" s="6">
        <v>45.96</v>
      </c>
      <c r="I1054" s="6">
        <v>367.68</v>
      </c>
      <c r="J1054" s="6">
        <v>48637.849999999977</v>
      </c>
    </row>
    <row r="1055" spans="1:10" outlineLevel="1" x14ac:dyDescent="0.25">
      <c r="A1055" s="8" t="s">
        <v>664</v>
      </c>
      <c r="B1055" s="3" t="s">
        <v>1033</v>
      </c>
      <c r="C1055" s="3" t="s">
        <v>4</v>
      </c>
      <c r="D1055" s="3" t="s">
        <v>1034</v>
      </c>
      <c r="E1055" s="3" t="s">
        <v>704</v>
      </c>
      <c r="F1055" s="3" t="s">
        <v>1044</v>
      </c>
      <c r="G1055" s="6">
        <v>2</v>
      </c>
      <c r="H1055" s="6">
        <v>45.96</v>
      </c>
      <c r="I1055" s="6">
        <v>91.92</v>
      </c>
      <c r="J1055" s="6">
        <v>48729.769999999975</v>
      </c>
    </row>
    <row r="1056" spans="1:10" outlineLevel="1" x14ac:dyDescent="0.25">
      <c r="A1056" s="8" t="s">
        <v>664</v>
      </c>
      <c r="B1056" s="3" t="s">
        <v>1033</v>
      </c>
      <c r="C1056" s="3" t="s">
        <v>4</v>
      </c>
      <c r="D1056" s="3" t="s">
        <v>1034</v>
      </c>
      <c r="E1056" s="3" t="s">
        <v>834</v>
      </c>
      <c r="F1056" s="3" t="s">
        <v>1045</v>
      </c>
      <c r="G1056" s="6">
        <v>3</v>
      </c>
      <c r="H1056" s="6">
        <v>33.380000000000003</v>
      </c>
      <c r="I1056" s="6">
        <v>100.14</v>
      </c>
      <c r="J1056" s="6">
        <v>48829.909999999974</v>
      </c>
    </row>
    <row r="1057" spans="1:10" outlineLevel="1" x14ac:dyDescent="0.25">
      <c r="A1057" s="8" t="s">
        <v>664</v>
      </c>
      <c r="B1057" s="3" t="s">
        <v>1033</v>
      </c>
      <c r="C1057" s="3" t="s">
        <v>4</v>
      </c>
      <c r="D1057" s="3" t="s">
        <v>1034</v>
      </c>
      <c r="E1057" s="3" t="s">
        <v>716</v>
      </c>
      <c r="F1057" s="3" t="s">
        <v>777</v>
      </c>
      <c r="G1057" s="6">
        <v>2</v>
      </c>
      <c r="H1057" s="6">
        <v>32.1</v>
      </c>
      <c r="I1057" s="6">
        <v>64.2</v>
      </c>
      <c r="J1057" s="6">
        <v>48894.109999999971</v>
      </c>
    </row>
    <row r="1058" spans="1:10" outlineLevel="1" x14ac:dyDescent="0.25">
      <c r="A1058" s="8" t="s">
        <v>664</v>
      </c>
      <c r="B1058" s="3" t="s">
        <v>1033</v>
      </c>
      <c r="C1058" s="3" t="s">
        <v>4</v>
      </c>
      <c r="D1058" s="3" t="s">
        <v>1034</v>
      </c>
      <c r="E1058" s="3" t="s">
        <v>712</v>
      </c>
      <c r="F1058" s="3" t="s">
        <v>1046</v>
      </c>
      <c r="G1058" s="6">
        <v>2</v>
      </c>
      <c r="H1058" s="6">
        <v>21.18</v>
      </c>
      <c r="I1058" s="6">
        <v>42.36</v>
      </c>
      <c r="J1058" s="6">
        <v>48936.469999999972</v>
      </c>
    </row>
    <row r="1059" spans="1:10" outlineLevel="1" x14ac:dyDescent="0.25">
      <c r="A1059" s="8" t="s">
        <v>664</v>
      </c>
      <c r="B1059" s="3" t="s">
        <v>1033</v>
      </c>
      <c r="C1059" s="3" t="s">
        <v>4</v>
      </c>
      <c r="D1059" s="3" t="s">
        <v>1034</v>
      </c>
      <c r="E1059" s="3" t="s">
        <v>718</v>
      </c>
      <c r="F1059" s="3" t="s">
        <v>1047</v>
      </c>
      <c r="G1059" s="6">
        <v>10</v>
      </c>
      <c r="H1059" s="6">
        <v>21.18</v>
      </c>
      <c r="I1059" s="6">
        <v>211.8</v>
      </c>
      <c r="J1059" s="6">
        <v>49148.269999999975</v>
      </c>
    </row>
    <row r="1060" spans="1:10" outlineLevel="1" x14ac:dyDescent="0.25">
      <c r="A1060" s="8" t="s">
        <v>664</v>
      </c>
      <c r="B1060" s="3" t="s">
        <v>1033</v>
      </c>
      <c r="C1060" s="3" t="s">
        <v>4</v>
      </c>
      <c r="D1060" s="3" t="s">
        <v>1034</v>
      </c>
      <c r="E1060" s="3" t="s">
        <v>720</v>
      </c>
      <c r="F1060" s="3" t="s">
        <v>721</v>
      </c>
      <c r="G1060" s="6">
        <v>4</v>
      </c>
      <c r="H1060" s="6">
        <v>23.96</v>
      </c>
      <c r="I1060" s="6">
        <v>95.84</v>
      </c>
      <c r="J1060" s="6">
        <v>49244.109999999971</v>
      </c>
    </row>
    <row r="1061" spans="1:10" outlineLevel="1" x14ac:dyDescent="0.25">
      <c r="A1061" s="8" t="s">
        <v>664</v>
      </c>
      <c r="B1061" s="3" t="s">
        <v>1033</v>
      </c>
      <c r="C1061" s="3" t="s">
        <v>4</v>
      </c>
      <c r="D1061" s="3" t="s">
        <v>1034</v>
      </c>
      <c r="E1061" s="3" t="s">
        <v>995</v>
      </c>
      <c r="F1061" s="3" t="s">
        <v>1048</v>
      </c>
      <c r="G1061" s="6">
        <v>6</v>
      </c>
      <c r="H1061" s="6">
        <v>36</v>
      </c>
      <c r="I1061" s="6">
        <v>216</v>
      </c>
      <c r="J1061" s="6">
        <v>49460.109999999971</v>
      </c>
    </row>
    <row r="1062" spans="1:10" outlineLevel="1" x14ac:dyDescent="0.25">
      <c r="A1062" s="8" t="s">
        <v>664</v>
      </c>
      <c r="B1062" s="3" t="s">
        <v>1033</v>
      </c>
      <c r="C1062" s="3" t="s">
        <v>4</v>
      </c>
      <c r="D1062" s="3" t="s">
        <v>1034</v>
      </c>
      <c r="E1062" s="3" t="s">
        <v>999</v>
      </c>
      <c r="F1062" s="3" t="s">
        <v>1031</v>
      </c>
      <c r="G1062" s="6">
        <v>12</v>
      </c>
      <c r="H1062" s="6">
        <v>9.99</v>
      </c>
      <c r="I1062" s="6">
        <v>119.88</v>
      </c>
      <c r="J1062" s="6">
        <v>49579.989999999969</v>
      </c>
    </row>
    <row r="1063" spans="1:10" outlineLevel="1" x14ac:dyDescent="0.25">
      <c r="A1063" s="8" t="s">
        <v>664</v>
      </c>
      <c r="B1063" s="3" t="s">
        <v>1033</v>
      </c>
      <c r="C1063" s="3" t="s">
        <v>4</v>
      </c>
      <c r="D1063" s="3" t="s">
        <v>1034</v>
      </c>
      <c r="E1063" s="3" t="s">
        <v>839</v>
      </c>
      <c r="F1063" s="3" t="s">
        <v>1049</v>
      </c>
      <c r="G1063" s="6">
        <v>2</v>
      </c>
      <c r="H1063" s="6">
        <v>30.64</v>
      </c>
      <c r="I1063" s="6">
        <v>61.28</v>
      </c>
      <c r="J1063" s="6">
        <v>49641.269999999968</v>
      </c>
    </row>
    <row r="1064" spans="1:10" outlineLevel="1" x14ac:dyDescent="0.25">
      <c r="A1064" s="8" t="s">
        <v>664</v>
      </c>
      <c r="B1064" s="3" t="s">
        <v>1033</v>
      </c>
      <c r="C1064" s="3" t="s">
        <v>4</v>
      </c>
      <c r="D1064" s="3" t="s">
        <v>1034</v>
      </c>
      <c r="E1064" s="3" t="s">
        <v>843</v>
      </c>
      <c r="F1064" s="3" t="s">
        <v>1050</v>
      </c>
      <c r="G1064" s="6">
        <v>2</v>
      </c>
      <c r="H1064" s="6">
        <v>53.68</v>
      </c>
      <c r="I1064" s="6">
        <v>107.36</v>
      </c>
      <c r="J1064" s="6">
        <v>49748.629999999968</v>
      </c>
    </row>
    <row r="1065" spans="1:10" outlineLevel="1" x14ac:dyDescent="0.25">
      <c r="A1065" s="8" t="s">
        <v>664</v>
      </c>
      <c r="B1065" s="3" t="s">
        <v>1033</v>
      </c>
      <c r="C1065" s="3" t="s">
        <v>4</v>
      </c>
      <c r="D1065" s="3" t="s">
        <v>1034</v>
      </c>
      <c r="E1065" s="3" t="s">
        <v>374</v>
      </c>
      <c r="F1065" s="3" t="s">
        <v>422</v>
      </c>
      <c r="G1065" s="6">
        <v>15</v>
      </c>
      <c r="H1065" s="6">
        <v>31.8</v>
      </c>
      <c r="I1065" s="6">
        <v>477</v>
      </c>
      <c r="J1065" s="6">
        <v>50225.629999999968</v>
      </c>
    </row>
    <row r="1066" spans="1:10" outlineLevel="1" x14ac:dyDescent="0.25">
      <c r="A1066" s="8" t="s">
        <v>664</v>
      </c>
      <c r="B1066" s="3" t="s">
        <v>1033</v>
      </c>
      <c r="C1066" s="3" t="s">
        <v>4</v>
      </c>
      <c r="D1066" s="3" t="s">
        <v>1034</v>
      </c>
      <c r="E1066" s="3" t="s">
        <v>42</v>
      </c>
      <c r="F1066" s="3" t="s">
        <v>43</v>
      </c>
      <c r="G1066" s="6">
        <v>2</v>
      </c>
      <c r="H1066" s="6">
        <v>85</v>
      </c>
      <c r="I1066" s="6">
        <v>170</v>
      </c>
      <c r="J1066" s="6">
        <v>50395.629999999968</v>
      </c>
    </row>
    <row r="1067" spans="1:10" outlineLevel="1" x14ac:dyDescent="0.25">
      <c r="A1067" s="8" t="s">
        <v>664</v>
      </c>
      <c r="B1067" s="3" t="s">
        <v>1033</v>
      </c>
      <c r="C1067" s="3" t="s">
        <v>4</v>
      </c>
      <c r="D1067" s="3" t="s">
        <v>1034</v>
      </c>
      <c r="E1067" s="3" t="s">
        <v>851</v>
      </c>
      <c r="F1067" s="3" t="s">
        <v>951</v>
      </c>
      <c r="G1067" s="6">
        <v>4</v>
      </c>
      <c r="H1067" s="6">
        <v>75.97</v>
      </c>
      <c r="I1067" s="6">
        <v>303.88</v>
      </c>
      <c r="J1067" s="6">
        <v>50699.509999999966</v>
      </c>
    </row>
    <row r="1068" spans="1:10" outlineLevel="1" x14ac:dyDescent="0.25">
      <c r="A1068" s="8" t="s">
        <v>664</v>
      </c>
      <c r="B1068" s="3" t="s">
        <v>1033</v>
      </c>
      <c r="C1068" s="3" t="s">
        <v>4</v>
      </c>
      <c r="D1068" s="3" t="s">
        <v>1034</v>
      </c>
      <c r="E1068" s="3" t="s">
        <v>754</v>
      </c>
      <c r="F1068" s="3" t="s">
        <v>952</v>
      </c>
      <c r="G1068" s="6">
        <v>5</v>
      </c>
      <c r="H1068" s="6">
        <v>38.39</v>
      </c>
      <c r="I1068" s="6">
        <v>191.95</v>
      </c>
      <c r="J1068" s="6">
        <v>50891.459999999963</v>
      </c>
    </row>
    <row r="1069" spans="1:10" outlineLevel="1" x14ac:dyDescent="0.25">
      <c r="A1069" s="8" t="s">
        <v>664</v>
      </c>
      <c r="B1069" s="3" t="s">
        <v>1033</v>
      </c>
      <c r="C1069" s="3" t="s">
        <v>4</v>
      </c>
      <c r="D1069" s="3" t="s">
        <v>1034</v>
      </c>
      <c r="E1069" s="3" t="s">
        <v>1051</v>
      </c>
      <c r="F1069" s="3" t="s">
        <v>1051</v>
      </c>
      <c r="G1069" s="6">
        <v>2</v>
      </c>
      <c r="H1069" s="6">
        <v>16.68</v>
      </c>
      <c r="I1069" s="6">
        <v>33.36</v>
      </c>
      <c r="J1069" s="6">
        <v>50924.819999999963</v>
      </c>
    </row>
    <row r="1070" spans="1:10" outlineLevel="1" x14ac:dyDescent="0.25">
      <c r="A1070" s="8" t="s">
        <v>664</v>
      </c>
      <c r="B1070" s="3" t="s">
        <v>1033</v>
      </c>
      <c r="C1070" s="3" t="s">
        <v>4</v>
      </c>
      <c r="D1070" s="3" t="s">
        <v>1034</v>
      </c>
      <c r="E1070" s="3" t="s">
        <v>853</v>
      </c>
      <c r="F1070" s="3" t="s">
        <v>1052</v>
      </c>
      <c r="G1070" s="6">
        <v>6</v>
      </c>
      <c r="H1070" s="6">
        <v>13.2</v>
      </c>
      <c r="I1070" s="6">
        <v>79.2</v>
      </c>
      <c r="J1070" s="6">
        <v>51004.01999999996</v>
      </c>
    </row>
    <row r="1071" spans="1:10" outlineLevel="1" x14ac:dyDescent="0.25">
      <c r="A1071" s="8" t="s">
        <v>664</v>
      </c>
      <c r="B1071" s="3" t="s">
        <v>1033</v>
      </c>
      <c r="C1071" s="3" t="s">
        <v>4</v>
      </c>
      <c r="D1071" s="3" t="s">
        <v>1034</v>
      </c>
      <c r="E1071" s="3" t="s">
        <v>855</v>
      </c>
      <c r="F1071" s="3" t="s">
        <v>1053</v>
      </c>
      <c r="G1071" s="6">
        <v>5</v>
      </c>
      <c r="H1071" s="6">
        <v>13.2</v>
      </c>
      <c r="I1071" s="6">
        <v>66</v>
      </c>
      <c r="J1071" s="6">
        <v>51070.01999999996</v>
      </c>
    </row>
    <row r="1072" spans="1:10" outlineLevel="1" x14ac:dyDescent="0.25">
      <c r="A1072" s="8" t="s">
        <v>664</v>
      </c>
      <c r="B1072" s="3" t="s">
        <v>1033</v>
      </c>
      <c r="C1072" s="3" t="s">
        <v>4</v>
      </c>
      <c r="D1072" s="3" t="s">
        <v>1034</v>
      </c>
      <c r="E1072" s="3" t="s">
        <v>857</v>
      </c>
      <c r="F1072" s="3" t="s">
        <v>1054</v>
      </c>
      <c r="G1072" s="6">
        <v>4</v>
      </c>
      <c r="H1072" s="6">
        <v>13.2</v>
      </c>
      <c r="I1072" s="6">
        <v>52.8</v>
      </c>
      <c r="J1072" s="6">
        <v>51122.819999999963</v>
      </c>
    </row>
    <row r="1073" spans="1:10" outlineLevel="1" x14ac:dyDescent="0.25">
      <c r="A1073" s="8" t="s">
        <v>664</v>
      </c>
      <c r="B1073" s="3" t="s">
        <v>1033</v>
      </c>
      <c r="C1073" s="3" t="s">
        <v>4</v>
      </c>
      <c r="D1073" s="3" t="s">
        <v>1034</v>
      </c>
      <c r="E1073" s="3" t="s">
        <v>784</v>
      </c>
      <c r="F1073" s="3" t="s">
        <v>1055</v>
      </c>
      <c r="G1073" s="6">
        <v>6</v>
      </c>
      <c r="H1073" s="6">
        <v>13.2</v>
      </c>
      <c r="I1073" s="6">
        <v>79.2</v>
      </c>
      <c r="J1073" s="6">
        <v>51202.01999999996</v>
      </c>
    </row>
    <row r="1074" spans="1:10" outlineLevel="1" x14ac:dyDescent="0.25">
      <c r="A1074" s="8" t="s">
        <v>664</v>
      </c>
      <c r="B1074" s="3" t="s">
        <v>1033</v>
      </c>
      <c r="C1074" s="3" t="s">
        <v>4</v>
      </c>
      <c r="D1074" s="3" t="s">
        <v>1034</v>
      </c>
      <c r="E1074" s="3" t="s">
        <v>1056</v>
      </c>
      <c r="F1074" s="3" t="s">
        <v>1057</v>
      </c>
      <c r="G1074" s="6">
        <v>2</v>
      </c>
      <c r="H1074" s="6">
        <v>13.2</v>
      </c>
      <c r="I1074" s="6">
        <v>26.4</v>
      </c>
      <c r="J1074" s="6">
        <v>51228.419999999962</v>
      </c>
    </row>
    <row r="1075" spans="1:10" outlineLevel="1" x14ac:dyDescent="0.25">
      <c r="A1075" s="8" t="s">
        <v>664</v>
      </c>
      <c r="B1075" s="3" t="s">
        <v>1033</v>
      </c>
      <c r="C1075" s="3" t="s">
        <v>4</v>
      </c>
      <c r="D1075" s="3" t="s">
        <v>1034</v>
      </c>
      <c r="E1075" s="3" t="s">
        <v>953</v>
      </c>
      <c r="F1075" s="3" t="s">
        <v>1004</v>
      </c>
      <c r="G1075" s="6">
        <v>18</v>
      </c>
      <c r="H1075" s="6">
        <v>13.2</v>
      </c>
      <c r="I1075" s="6">
        <v>237.6</v>
      </c>
      <c r="J1075" s="6">
        <v>51466.01999999996</v>
      </c>
    </row>
    <row r="1076" spans="1:10" outlineLevel="1" x14ac:dyDescent="0.25">
      <c r="A1076" s="8" t="s">
        <v>664</v>
      </c>
      <c r="B1076" s="3" t="s">
        <v>1033</v>
      </c>
      <c r="C1076" s="3" t="s">
        <v>4</v>
      </c>
      <c r="D1076" s="3" t="s">
        <v>1034</v>
      </c>
      <c r="E1076" s="3" t="s">
        <v>1058</v>
      </c>
      <c r="F1076" s="3" t="s">
        <v>1059</v>
      </c>
      <c r="G1076" s="6">
        <v>5</v>
      </c>
      <c r="H1076" s="6">
        <v>39</v>
      </c>
      <c r="I1076" s="6">
        <v>195</v>
      </c>
      <c r="J1076" s="6">
        <v>51661.01999999996</v>
      </c>
    </row>
    <row r="1077" spans="1:10" outlineLevel="1" x14ac:dyDescent="0.25">
      <c r="A1077" s="8" t="s">
        <v>664</v>
      </c>
      <c r="B1077" s="3" t="s">
        <v>1033</v>
      </c>
      <c r="C1077" s="3" t="s">
        <v>4</v>
      </c>
      <c r="D1077" s="3" t="s">
        <v>1034</v>
      </c>
      <c r="E1077" s="3" t="s">
        <v>732</v>
      </c>
      <c r="F1077" s="3" t="s">
        <v>1060</v>
      </c>
      <c r="G1077" s="6">
        <v>5</v>
      </c>
      <c r="H1077" s="6">
        <v>12.7</v>
      </c>
      <c r="I1077" s="6">
        <v>63.5</v>
      </c>
      <c r="J1077" s="6">
        <v>51724.51999999996</v>
      </c>
    </row>
    <row r="1078" spans="1:10" outlineLevel="1" x14ac:dyDescent="0.25">
      <c r="A1078" s="8" t="s">
        <v>664</v>
      </c>
      <c r="B1078" s="3" t="s">
        <v>1033</v>
      </c>
      <c r="C1078" s="3" t="s">
        <v>4</v>
      </c>
      <c r="D1078" s="3" t="s">
        <v>1034</v>
      </c>
      <c r="E1078" s="3" t="s">
        <v>736</v>
      </c>
      <c r="F1078" s="3" t="s">
        <v>959</v>
      </c>
      <c r="G1078" s="6">
        <v>6</v>
      </c>
      <c r="H1078" s="6">
        <v>9.07</v>
      </c>
      <c r="I1078" s="6">
        <v>54.42</v>
      </c>
      <c r="J1078" s="6">
        <v>51778.939999999959</v>
      </c>
    </row>
    <row r="1079" spans="1:10" outlineLevel="1" x14ac:dyDescent="0.25">
      <c r="A1079" s="8" t="s">
        <v>664</v>
      </c>
      <c r="B1079" s="3" t="s">
        <v>1033</v>
      </c>
      <c r="C1079" s="3" t="s">
        <v>4</v>
      </c>
      <c r="D1079" s="3" t="s">
        <v>1034</v>
      </c>
      <c r="E1079" s="3" t="s">
        <v>738</v>
      </c>
      <c r="F1079" s="3" t="s">
        <v>738</v>
      </c>
      <c r="G1079" s="6">
        <v>6</v>
      </c>
      <c r="H1079" s="6">
        <v>9.07</v>
      </c>
      <c r="I1079" s="6">
        <v>54.42</v>
      </c>
      <c r="J1079" s="6">
        <v>51833.359999999957</v>
      </c>
    </row>
    <row r="1080" spans="1:10" outlineLevel="1" x14ac:dyDescent="0.25">
      <c r="A1080" s="8" t="s">
        <v>664</v>
      </c>
      <c r="B1080" s="3" t="s">
        <v>1033</v>
      </c>
      <c r="C1080" s="3" t="s">
        <v>4</v>
      </c>
      <c r="D1080" s="3" t="s">
        <v>1034</v>
      </c>
      <c r="E1080" s="3" t="s">
        <v>863</v>
      </c>
      <c r="F1080" s="3" t="s">
        <v>960</v>
      </c>
      <c r="G1080" s="6">
        <v>12</v>
      </c>
      <c r="H1080" s="6">
        <v>52.52</v>
      </c>
      <c r="I1080" s="6">
        <v>630.24</v>
      </c>
      <c r="J1080" s="6">
        <v>52463.599999999955</v>
      </c>
    </row>
    <row r="1081" spans="1:10" outlineLevel="1" x14ac:dyDescent="0.25">
      <c r="A1081" s="8" t="s">
        <v>664</v>
      </c>
      <c r="B1081" s="3" t="s">
        <v>1033</v>
      </c>
      <c r="C1081" s="3" t="s">
        <v>4</v>
      </c>
      <c r="D1081" s="3" t="s">
        <v>1034</v>
      </c>
      <c r="E1081" s="3" t="s">
        <v>865</v>
      </c>
      <c r="F1081" s="3" t="s">
        <v>961</v>
      </c>
      <c r="G1081" s="6">
        <v>12</v>
      </c>
      <c r="H1081" s="6">
        <v>52.52</v>
      </c>
      <c r="I1081" s="6">
        <v>630.24</v>
      </c>
      <c r="J1081" s="6">
        <v>53093.839999999953</v>
      </c>
    </row>
    <row r="1082" spans="1:10" outlineLevel="1" x14ac:dyDescent="0.25">
      <c r="A1082" s="8" t="s">
        <v>664</v>
      </c>
      <c r="B1082" s="3" t="s">
        <v>1033</v>
      </c>
      <c r="C1082" s="3" t="s">
        <v>4</v>
      </c>
      <c r="D1082" s="3" t="s">
        <v>1034</v>
      </c>
      <c r="E1082" s="3" t="s">
        <v>866</v>
      </c>
      <c r="F1082" s="3" t="s">
        <v>1061</v>
      </c>
      <c r="G1082" s="6">
        <v>10</v>
      </c>
      <c r="H1082" s="6">
        <v>52.52</v>
      </c>
      <c r="I1082" s="6">
        <v>525.20000000000005</v>
      </c>
      <c r="J1082" s="6">
        <v>53619.03999999995</v>
      </c>
    </row>
    <row r="1083" spans="1:10" outlineLevel="1" x14ac:dyDescent="0.25">
      <c r="A1083" s="8" t="s">
        <v>664</v>
      </c>
      <c r="B1083" s="3" t="s">
        <v>1033</v>
      </c>
      <c r="C1083" s="3" t="s">
        <v>4</v>
      </c>
      <c r="D1083" s="3" t="s">
        <v>1034</v>
      </c>
      <c r="E1083" s="3" t="s">
        <v>962</v>
      </c>
      <c r="F1083" s="3" t="s">
        <v>963</v>
      </c>
      <c r="G1083" s="6">
        <v>1</v>
      </c>
      <c r="H1083" s="6">
        <v>27.29</v>
      </c>
      <c r="I1083" s="6">
        <v>27.29</v>
      </c>
      <c r="J1083" s="6">
        <v>53646.329999999951</v>
      </c>
    </row>
    <row r="1084" spans="1:10" outlineLevel="1" x14ac:dyDescent="0.25">
      <c r="A1084" s="8" t="s">
        <v>664</v>
      </c>
      <c r="B1084" s="3" t="s">
        <v>1033</v>
      </c>
      <c r="C1084" s="3" t="s">
        <v>4</v>
      </c>
      <c r="D1084" s="3" t="s">
        <v>1034</v>
      </c>
      <c r="E1084" s="3" t="s">
        <v>872</v>
      </c>
      <c r="F1084" s="3" t="s">
        <v>1009</v>
      </c>
      <c r="G1084" s="6">
        <v>1</v>
      </c>
      <c r="H1084" s="6">
        <v>27.29</v>
      </c>
      <c r="I1084" s="6">
        <v>27.29</v>
      </c>
      <c r="J1084" s="6">
        <v>53673.619999999952</v>
      </c>
    </row>
    <row r="1085" spans="1:10" outlineLevel="1" x14ac:dyDescent="0.25">
      <c r="A1085" s="8" t="s">
        <v>664</v>
      </c>
      <c r="B1085" s="3" t="s">
        <v>1033</v>
      </c>
      <c r="C1085" s="3" t="s">
        <v>4</v>
      </c>
      <c r="D1085" s="3" t="s">
        <v>1034</v>
      </c>
      <c r="E1085" s="3" t="s">
        <v>1062</v>
      </c>
      <c r="F1085" s="3" t="s">
        <v>1063</v>
      </c>
      <c r="G1085" s="6">
        <v>1</v>
      </c>
      <c r="H1085" s="6">
        <v>39.46</v>
      </c>
      <c r="I1085" s="6">
        <v>39.46</v>
      </c>
      <c r="J1085" s="6">
        <v>53713.079999999951</v>
      </c>
    </row>
    <row r="1086" spans="1:10" outlineLevel="1" x14ac:dyDescent="0.25">
      <c r="A1086" s="8" t="s">
        <v>664</v>
      </c>
      <c r="B1086" s="3" t="s">
        <v>1033</v>
      </c>
      <c r="C1086" s="3" t="s">
        <v>4</v>
      </c>
      <c r="D1086" s="3" t="s">
        <v>1034</v>
      </c>
      <c r="E1086" s="3" t="s">
        <v>874</v>
      </c>
      <c r="F1086" s="3" t="s">
        <v>1064</v>
      </c>
      <c r="G1086" s="6">
        <v>2</v>
      </c>
      <c r="H1086" s="6">
        <v>39.46</v>
      </c>
      <c r="I1086" s="6">
        <v>78.92</v>
      </c>
      <c r="J1086" s="6">
        <v>53791.999999999949</v>
      </c>
    </row>
    <row r="1087" spans="1:10" outlineLevel="1" x14ac:dyDescent="0.25">
      <c r="A1087" s="8" t="s">
        <v>664</v>
      </c>
      <c r="B1087" s="3" t="s">
        <v>1033</v>
      </c>
      <c r="C1087" s="3" t="s">
        <v>4</v>
      </c>
      <c r="D1087" s="3" t="s">
        <v>1034</v>
      </c>
      <c r="E1087" s="3" t="s">
        <v>739</v>
      </c>
      <c r="F1087" s="3" t="s">
        <v>964</v>
      </c>
      <c r="G1087" s="6">
        <v>6</v>
      </c>
      <c r="H1087" s="6">
        <v>14</v>
      </c>
      <c r="I1087" s="6">
        <v>84</v>
      </c>
      <c r="J1087" s="6">
        <v>53875.999999999949</v>
      </c>
    </row>
    <row r="1088" spans="1:10" outlineLevel="1" x14ac:dyDescent="0.25">
      <c r="A1088" s="8" t="s">
        <v>664</v>
      </c>
      <c r="B1088" s="3" t="s">
        <v>1033</v>
      </c>
      <c r="C1088" s="3" t="s">
        <v>4</v>
      </c>
      <c r="D1088" s="3" t="s">
        <v>1034</v>
      </c>
      <c r="E1088" s="3" t="s">
        <v>741</v>
      </c>
      <c r="F1088" s="3" t="s">
        <v>1065</v>
      </c>
      <c r="G1088" s="6">
        <v>7</v>
      </c>
      <c r="H1088" s="6">
        <v>14</v>
      </c>
      <c r="I1088" s="6">
        <v>98</v>
      </c>
      <c r="J1088" s="6">
        <v>53973.999999999949</v>
      </c>
    </row>
    <row r="1089" spans="1:10" outlineLevel="1" x14ac:dyDescent="0.25">
      <c r="A1089" s="8" t="s">
        <v>664</v>
      </c>
      <c r="B1089" s="3" t="s">
        <v>1033</v>
      </c>
      <c r="C1089" s="3" t="s">
        <v>4</v>
      </c>
      <c r="D1089" s="3" t="s">
        <v>1034</v>
      </c>
      <c r="E1089" s="3" t="s">
        <v>878</v>
      </c>
      <c r="F1089" s="3" t="s">
        <v>965</v>
      </c>
      <c r="G1089" s="6">
        <v>12</v>
      </c>
      <c r="H1089" s="6">
        <v>14</v>
      </c>
      <c r="I1089" s="6">
        <v>168</v>
      </c>
      <c r="J1089" s="6">
        <v>54141.999999999949</v>
      </c>
    </row>
    <row r="1090" spans="1:10" outlineLevel="1" x14ac:dyDescent="0.25">
      <c r="A1090" s="8" t="s">
        <v>664</v>
      </c>
      <c r="B1090" s="3" t="s">
        <v>1033</v>
      </c>
      <c r="C1090" s="3" t="s">
        <v>4</v>
      </c>
      <c r="D1090" s="3" t="s">
        <v>1034</v>
      </c>
      <c r="E1090" s="3" t="s">
        <v>1066</v>
      </c>
      <c r="F1090" s="3" t="s">
        <v>1067</v>
      </c>
      <c r="G1090" s="6">
        <v>3</v>
      </c>
      <c r="H1090" s="6">
        <v>14</v>
      </c>
      <c r="I1090" s="6">
        <v>42</v>
      </c>
      <c r="J1090" s="6">
        <v>54183.999999999949</v>
      </c>
    </row>
    <row r="1091" spans="1:10" outlineLevel="1" x14ac:dyDescent="0.25">
      <c r="A1091" s="8" t="s">
        <v>664</v>
      </c>
      <c r="B1091" s="3" t="s">
        <v>1033</v>
      </c>
      <c r="C1091" s="3" t="s">
        <v>4</v>
      </c>
      <c r="D1091" s="3" t="s">
        <v>1034</v>
      </c>
      <c r="E1091" s="3" t="s">
        <v>1068</v>
      </c>
      <c r="F1091" s="3" t="s">
        <v>1069</v>
      </c>
      <c r="G1091" s="6">
        <v>3</v>
      </c>
      <c r="H1091" s="6">
        <v>14</v>
      </c>
      <c r="I1091" s="6">
        <v>42</v>
      </c>
      <c r="J1091" s="6">
        <v>54225.999999999949</v>
      </c>
    </row>
    <row r="1092" spans="1:10" outlineLevel="1" x14ac:dyDescent="0.25">
      <c r="A1092" s="8" t="s">
        <v>664</v>
      </c>
      <c r="B1092" s="3" t="s">
        <v>1033</v>
      </c>
      <c r="C1092" s="3" t="s">
        <v>4</v>
      </c>
      <c r="D1092" s="3" t="s">
        <v>1034</v>
      </c>
      <c r="E1092" s="3" t="s">
        <v>880</v>
      </c>
      <c r="F1092" s="3" t="s">
        <v>935</v>
      </c>
      <c r="G1092" s="6">
        <v>12</v>
      </c>
      <c r="H1092" s="6">
        <v>14</v>
      </c>
      <c r="I1092" s="6">
        <v>168</v>
      </c>
      <c r="J1092" s="6">
        <v>54393.999999999949</v>
      </c>
    </row>
    <row r="1093" spans="1:10" outlineLevel="1" x14ac:dyDescent="0.25">
      <c r="A1093" s="8" t="s">
        <v>664</v>
      </c>
      <c r="B1093" s="3" t="s">
        <v>1033</v>
      </c>
      <c r="C1093" s="3" t="s">
        <v>4</v>
      </c>
      <c r="D1093" s="3" t="s">
        <v>1034</v>
      </c>
      <c r="E1093" s="3" t="s">
        <v>882</v>
      </c>
      <c r="F1093" s="3" t="s">
        <v>966</v>
      </c>
      <c r="G1093" s="6">
        <v>6</v>
      </c>
      <c r="H1093" s="6">
        <v>14</v>
      </c>
      <c r="I1093" s="6">
        <v>84</v>
      </c>
      <c r="J1093" s="6">
        <v>54477.999999999949</v>
      </c>
    </row>
    <row r="1094" spans="1:10" outlineLevel="1" x14ac:dyDescent="0.25">
      <c r="A1094" s="8" t="s">
        <v>664</v>
      </c>
      <c r="B1094" s="3" t="s">
        <v>1033</v>
      </c>
      <c r="C1094" s="3" t="s">
        <v>4</v>
      </c>
      <c r="D1094" s="3" t="s">
        <v>1034</v>
      </c>
      <c r="E1094" s="3" t="s">
        <v>786</v>
      </c>
      <c r="F1094" s="3" t="s">
        <v>967</v>
      </c>
      <c r="G1094" s="6">
        <v>3</v>
      </c>
      <c r="H1094" s="6">
        <v>22.86</v>
      </c>
      <c r="I1094" s="6">
        <v>68.58</v>
      </c>
      <c r="J1094" s="6">
        <v>54546.579999999951</v>
      </c>
    </row>
    <row r="1095" spans="1:10" outlineLevel="1" x14ac:dyDescent="0.25">
      <c r="A1095" s="8" t="s">
        <v>664</v>
      </c>
      <c r="B1095" s="3" t="s">
        <v>1033</v>
      </c>
      <c r="C1095" s="3" t="s">
        <v>4</v>
      </c>
      <c r="D1095" s="3" t="s">
        <v>1034</v>
      </c>
      <c r="E1095" s="3" t="s">
        <v>788</v>
      </c>
      <c r="F1095" s="3" t="s">
        <v>968</v>
      </c>
      <c r="G1095" s="6">
        <v>15</v>
      </c>
      <c r="H1095" s="6">
        <v>12.84</v>
      </c>
      <c r="I1095" s="6">
        <v>192.6</v>
      </c>
      <c r="J1095" s="6">
        <v>54739.179999999949</v>
      </c>
    </row>
    <row r="1096" spans="1:10" outlineLevel="1" x14ac:dyDescent="0.25">
      <c r="A1096" s="8" t="s">
        <v>664</v>
      </c>
      <c r="B1096" s="3" t="s">
        <v>1033</v>
      </c>
      <c r="C1096" s="3" t="s">
        <v>4</v>
      </c>
      <c r="D1096" s="3" t="s">
        <v>1034</v>
      </c>
      <c r="E1096" s="3" t="s">
        <v>1010</v>
      </c>
      <c r="F1096" s="3" t="s">
        <v>1070</v>
      </c>
      <c r="G1096" s="6">
        <v>4</v>
      </c>
      <c r="H1096" s="6">
        <v>14</v>
      </c>
      <c r="I1096" s="6">
        <v>56</v>
      </c>
      <c r="J1096" s="6">
        <v>54795.179999999949</v>
      </c>
    </row>
    <row r="1097" spans="1:10" outlineLevel="1" x14ac:dyDescent="0.25">
      <c r="A1097" s="8" t="s">
        <v>664</v>
      </c>
      <c r="B1097" s="3" t="s">
        <v>1033</v>
      </c>
      <c r="C1097" s="3" t="s">
        <v>4</v>
      </c>
      <c r="D1097" s="3" t="s">
        <v>1034</v>
      </c>
      <c r="E1097" s="3" t="s">
        <v>885</v>
      </c>
      <c r="F1097" s="3" t="s">
        <v>1012</v>
      </c>
      <c r="G1097" s="6">
        <v>6</v>
      </c>
      <c r="H1097" s="6">
        <v>9</v>
      </c>
      <c r="I1097" s="6">
        <v>54</v>
      </c>
      <c r="J1097" s="6">
        <v>54849.179999999949</v>
      </c>
    </row>
    <row r="1098" spans="1:10" outlineLevel="1" x14ac:dyDescent="0.25">
      <c r="A1098" s="8" t="s">
        <v>664</v>
      </c>
      <c r="B1098" s="3" t="s">
        <v>1033</v>
      </c>
      <c r="C1098" s="3" t="s">
        <v>4</v>
      </c>
      <c r="D1098" s="3" t="s">
        <v>1034</v>
      </c>
      <c r="E1098" s="3" t="s">
        <v>887</v>
      </c>
      <c r="F1098" s="3" t="s">
        <v>969</v>
      </c>
      <c r="G1098" s="6">
        <v>9</v>
      </c>
      <c r="H1098" s="6">
        <v>12.84</v>
      </c>
      <c r="I1098" s="6">
        <v>115.56</v>
      </c>
      <c r="J1098" s="6">
        <v>54964.739999999947</v>
      </c>
    </row>
    <row r="1099" spans="1:10" outlineLevel="1" x14ac:dyDescent="0.25">
      <c r="A1099" s="8" t="s">
        <v>664</v>
      </c>
      <c r="B1099" s="3" t="s">
        <v>1033</v>
      </c>
      <c r="C1099" s="3" t="s">
        <v>4</v>
      </c>
      <c r="D1099" s="3" t="s">
        <v>1034</v>
      </c>
      <c r="E1099" s="3" t="s">
        <v>889</v>
      </c>
      <c r="F1099" s="3" t="s">
        <v>970</v>
      </c>
      <c r="G1099" s="6">
        <v>9</v>
      </c>
      <c r="H1099" s="6">
        <v>12.84</v>
      </c>
      <c r="I1099" s="6">
        <v>115.56</v>
      </c>
      <c r="J1099" s="6">
        <v>55080.299999999945</v>
      </c>
    </row>
    <row r="1100" spans="1:10" outlineLevel="1" x14ac:dyDescent="0.25">
      <c r="A1100" s="8" t="s">
        <v>664</v>
      </c>
      <c r="B1100" s="3" t="s">
        <v>1033</v>
      </c>
      <c r="C1100" s="3" t="s">
        <v>4</v>
      </c>
      <c r="D1100" s="3" t="s">
        <v>1034</v>
      </c>
      <c r="E1100" s="3" t="s">
        <v>891</v>
      </c>
      <c r="F1100" s="3" t="s">
        <v>971</v>
      </c>
      <c r="G1100" s="6">
        <v>5</v>
      </c>
      <c r="H1100" s="6">
        <v>14</v>
      </c>
      <c r="I1100" s="6">
        <v>70</v>
      </c>
      <c r="J1100" s="6">
        <v>55150.299999999945</v>
      </c>
    </row>
    <row r="1101" spans="1:10" outlineLevel="1" x14ac:dyDescent="0.25">
      <c r="A1101" s="8" t="s">
        <v>664</v>
      </c>
      <c r="B1101" s="3" t="s">
        <v>1033</v>
      </c>
      <c r="C1101" s="3" t="s">
        <v>4</v>
      </c>
      <c r="D1101" s="3" t="s">
        <v>1034</v>
      </c>
      <c r="E1101" s="3" t="s">
        <v>893</v>
      </c>
      <c r="F1101" s="3" t="s">
        <v>1013</v>
      </c>
      <c r="G1101" s="6">
        <v>2</v>
      </c>
      <c r="H1101" s="6">
        <v>12.84</v>
      </c>
      <c r="I1101" s="6">
        <v>25.68</v>
      </c>
      <c r="J1101" s="6">
        <v>55175.979999999945</v>
      </c>
    </row>
    <row r="1102" spans="1:10" outlineLevel="1" x14ac:dyDescent="0.25">
      <c r="A1102" s="8" t="s">
        <v>664</v>
      </c>
      <c r="B1102" s="3" t="s">
        <v>1033</v>
      </c>
      <c r="C1102" s="3" t="s">
        <v>4</v>
      </c>
      <c r="D1102" s="3" t="s">
        <v>1034</v>
      </c>
      <c r="E1102" s="3" t="s">
        <v>895</v>
      </c>
      <c r="F1102" s="3" t="s">
        <v>1014</v>
      </c>
      <c r="G1102" s="6">
        <v>2</v>
      </c>
      <c r="H1102" s="6">
        <v>12.84</v>
      </c>
      <c r="I1102" s="6">
        <v>25.68</v>
      </c>
      <c r="J1102" s="6">
        <v>55201.659999999945</v>
      </c>
    </row>
    <row r="1103" spans="1:10" outlineLevel="1" x14ac:dyDescent="0.25">
      <c r="A1103" s="8" t="s">
        <v>664</v>
      </c>
      <c r="B1103" s="3" t="s">
        <v>1033</v>
      </c>
      <c r="C1103" s="3" t="s">
        <v>4</v>
      </c>
      <c r="D1103" s="3" t="s">
        <v>1034</v>
      </c>
      <c r="E1103" s="3" t="s">
        <v>803</v>
      </c>
      <c r="F1103" s="3" t="s">
        <v>1016</v>
      </c>
      <c r="G1103" s="6">
        <v>4</v>
      </c>
      <c r="H1103" s="6">
        <v>21.4</v>
      </c>
      <c r="I1103" s="6">
        <v>85.6</v>
      </c>
      <c r="J1103" s="6">
        <v>55287.259999999944</v>
      </c>
    </row>
    <row r="1104" spans="1:10" outlineLevel="1" x14ac:dyDescent="0.25">
      <c r="A1104" s="8" t="s">
        <v>664</v>
      </c>
      <c r="B1104" s="3" t="s">
        <v>1033</v>
      </c>
      <c r="C1104" s="3" t="s">
        <v>4</v>
      </c>
      <c r="D1104" s="3" t="s">
        <v>1034</v>
      </c>
      <c r="E1104" s="3" t="s">
        <v>745</v>
      </c>
      <c r="F1104" s="3" t="s">
        <v>974</v>
      </c>
      <c r="G1104" s="6">
        <v>6</v>
      </c>
      <c r="H1104" s="6">
        <v>64.2</v>
      </c>
      <c r="I1104" s="6">
        <v>385.2</v>
      </c>
      <c r="J1104" s="6">
        <v>55672.459999999941</v>
      </c>
    </row>
    <row r="1105" spans="1:10" outlineLevel="1" x14ac:dyDescent="0.25">
      <c r="A1105" s="8" t="s">
        <v>664</v>
      </c>
      <c r="B1105" s="3" t="s">
        <v>1033</v>
      </c>
      <c r="C1105" s="3" t="s">
        <v>4</v>
      </c>
      <c r="D1105" s="3" t="s">
        <v>1034</v>
      </c>
      <c r="E1105" s="3" t="s">
        <v>746</v>
      </c>
      <c r="F1105" s="3" t="s">
        <v>1071</v>
      </c>
      <c r="G1105" s="6">
        <v>1</v>
      </c>
      <c r="H1105" s="6">
        <v>85.6</v>
      </c>
      <c r="I1105" s="6">
        <v>85.6</v>
      </c>
      <c r="J1105" s="6">
        <v>55758.059999999939</v>
      </c>
    </row>
    <row r="1106" spans="1:10" outlineLevel="1" x14ac:dyDescent="0.25">
      <c r="A1106" s="8" t="s">
        <v>664</v>
      </c>
      <c r="B1106" s="3" t="s">
        <v>1033</v>
      </c>
      <c r="C1106" s="3" t="s">
        <v>4</v>
      </c>
      <c r="D1106" s="3" t="s">
        <v>1034</v>
      </c>
      <c r="E1106" s="3" t="s">
        <v>748</v>
      </c>
      <c r="F1106" s="3" t="s">
        <v>749</v>
      </c>
      <c r="G1106" s="6">
        <v>4</v>
      </c>
      <c r="H1106" s="6">
        <v>78</v>
      </c>
      <c r="I1106" s="6">
        <v>312</v>
      </c>
      <c r="J1106" s="6">
        <v>56070.059999999939</v>
      </c>
    </row>
    <row r="1107" spans="1:10" outlineLevel="1" x14ac:dyDescent="0.25">
      <c r="A1107" s="8" t="s">
        <v>664</v>
      </c>
      <c r="B1107" s="3" t="s">
        <v>1033</v>
      </c>
      <c r="C1107" s="3" t="s">
        <v>4</v>
      </c>
      <c r="D1107" s="3" t="s">
        <v>1034</v>
      </c>
      <c r="E1107" s="3" t="s">
        <v>750</v>
      </c>
      <c r="F1107" s="3" t="s">
        <v>1072</v>
      </c>
      <c r="G1107" s="6">
        <v>4</v>
      </c>
      <c r="H1107" s="6">
        <v>13.91</v>
      </c>
      <c r="I1107" s="6">
        <v>55.64</v>
      </c>
      <c r="J1107" s="6">
        <v>56125.699999999939</v>
      </c>
    </row>
    <row r="1108" spans="1:10" ht="23.25" outlineLevel="1" x14ac:dyDescent="0.25">
      <c r="A1108" s="8" t="s">
        <v>664</v>
      </c>
      <c r="B1108" s="3" t="s">
        <v>1033</v>
      </c>
      <c r="C1108" s="3" t="s">
        <v>4</v>
      </c>
      <c r="D1108" s="3" t="s">
        <v>1034</v>
      </c>
      <c r="E1108" s="3" t="s">
        <v>904</v>
      </c>
      <c r="F1108" s="3" t="s">
        <v>1073</v>
      </c>
      <c r="G1108" s="6">
        <v>3</v>
      </c>
      <c r="H1108" s="6">
        <v>28.88</v>
      </c>
      <c r="I1108" s="6">
        <v>86.64</v>
      </c>
      <c r="J1108" s="6">
        <v>56212.339999999938</v>
      </c>
    </row>
    <row r="1109" spans="1:10" outlineLevel="1" x14ac:dyDescent="0.25">
      <c r="A1109" s="8" t="s">
        <v>664</v>
      </c>
      <c r="B1109" s="3" t="s">
        <v>1033</v>
      </c>
      <c r="C1109" s="3" t="s">
        <v>4</v>
      </c>
      <c r="D1109" s="3" t="s">
        <v>1034</v>
      </c>
      <c r="E1109" s="3" t="s">
        <v>910</v>
      </c>
      <c r="F1109" s="3" t="s">
        <v>976</v>
      </c>
      <c r="G1109" s="6">
        <v>4</v>
      </c>
      <c r="H1109" s="6">
        <v>42.24</v>
      </c>
      <c r="I1109" s="6">
        <v>168.96</v>
      </c>
      <c r="J1109" s="6">
        <v>56381.299999999937</v>
      </c>
    </row>
    <row r="1110" spans="1:10" outlineLevel="1" x14ac:dyDescent="0.25">
      <c r="A1110" s="8" t="s">
        <v>664</v>
      </c>
      <c r="B1110" s="3" t="s">
        <v>1033</v>
      </c>
      <c r="C1110" s="3" t="s">
        <v>4</v>
      </c>
      <c r="D1110" s="3" t="s">
        <v>1034</v>
      </c>
      <c r="E1110" s="3" t="s">
        <v>916</v>
      </c>
      <c r="F1110" s="3" t="s">
        <v>1074</v>
      </c>
      <c r="G1110" s="6">
        <v>5</v>
      </c>
      <c r="H1110" s="6">
        <v>45.96</v>
      </c>
      <c r="I1110" s="6">
        <v>229.8</v>
      </c>
      <c r="J1110" s="6">
        <v>56611.09999999994</v>
      </c>
    </row>
    <row r="1111" spans="1:10" outlineLevel="1" x14ac:dyDescent="0.25">
      <c r="A1111" s="8" t="s">
        <v>664</v>
      </c>
      <c r="B1111" s="3" t="s">
        <v>1033</v>
      </c>
      <c r="C1111" s="3" t="s">
        <v>4</v>
      </c>
      <c r="D1111" s="3" t="s">
        <v>1034</v>
      </c>
      <c r="E1111" s="3" t="s">
        <v>918</v>
      </c>
      <c r="F1111" s="3" t="s">
        <v>1075</v>
      </c>
      <c r="G1111" s="6">
        <v>5</v>
      </c>
      <c r="H1111" s="6">
        <v>33.479999999999997</v>
      </c>
      <c r="I1111" s="6">
        <v>167.4</v>
      </c>
      <c r="J1111" s="6">
        <v>56778.499999999942</v>
      </c>
    </row>
    <row r="1112" spans="1:10" outlineLevel="1" x14ac:dyDescent="0.25">
      <c r="A1112" s="8" t="s">
        <v>664</v>
      </c>
      <c r="B1112" s="3" t="s">
        <v>1033</v>
      </c>
      <c r="C1112" s="3" t="s">
        <v>4</v>
      </c>
      <c r="D1112" s="3" t="s">
        <v>1034</v>
      </c>
      <c r="E1112" s="3" t="s">
        <v>920</v>
      </c>
      <c r="F1112" s="3" t="s">
        <v>1076</v>
      </c>
      <c r="G1112" s="6">
        <v>5</v>
      </c>
      <c r="H1112" s="6">
        <v>32.15</v>
      </c>
      <c r="I1112" s="6">
        <v>160.75</v>
      </c>
      <c r="J1112" s="6">
        <v>56939.249999999942</v>
      </c>
    </row>
    <row r="1113" spans="1:10" outlineLevel="1" x14ac:dyDescent="0.25">
      <c r="A1113" s="8" t="s">
        <v>664</v>
      </c>
      <c r="B1113" s="3" t="s">
        <v>1033</v>
      </c>
      <c r="C1113" s="3" t="s">
        <v>4</v>
      </c>
      <c r="D1113" s="3" t="s">
        <v>1034</v>
      </c>
      <c r="E1113" s="3" t="s">
        <v>922</v>
      </c>
      <c r="F1113" s="3" t="s">
        <v>1077</v>
      </c>
      <c r="G1113" s="6">
        <v>5</v>
      </c>
      <c r="H1113" s="6">
        <v>32.15</v>
      </c>
      <c r="I1113" s="6">
        <v>160.75</v>
      </c>
      <c r="J1113" s="6">
        <v>57099.999999999942</v>
      </c>
    </row>
    <row r="1114" spans="1:10" outlineLevel="1" x14ac:dyDescent="0.25">
      <c r="A1114" s="8" t="s">
        <v>664</v>
      </c>
      <c r="B1114" s="3" t="s">
        <v>1033</v>
      </c>
      <c r="C1114" s="3" t="s">
        <v>4</v>
      </c>
      <c r="D1114" s="3" t="s">
        <v>1034</v>
      </c>
      <c r="E1114" s="3" t="s">
        <v>924</v>
      </c>
      <c r="F1114" s="3" t="s">
        <v>1078</v>
      </c>
      <c r="G1114" s="6">
        <v>5</v>
      </c>
      <c r="H1114" s="6">
        <v>32.15</v>
      </c>
      <c r="I1114" s="6">
        <v>160.75</v>
      </c>
      <c r="J1114" s="6">
        <v>57260.749999999942</v>
      </c>
    </row>
    <row r="1115" spans="1:10" outlineLevel="1" x14ac:dyDescent="0.25">
      <c r="A1115" s="8" t="s">
        <v>664</v>
      </c>
      <c r="B1115" s="3" t="s">
        <v>1033</v>
      </c>
      <c r="C1115" s="3" t="s">
        <v>4</v>
      </c>
      <c r="D1115" s="3" t="s">
        <v>1034</v>
      </c>
      <c r="E1115" s="3" t="s">
        <v>926</v>
      </c>
      <c r="F1115" s="3" t="s">
        <v>1079</v>
      </c>
      <c r="G1115" s="6">
        <v>5</v>
      </c>
      <c r="H1115" s="6">
        <v>32.15</v>
      </c>
      <c r="I1115" s="6">
        <v>160.75</v>
      </c>
      <c r="J1115" s="6">
        <v>57421.499999999942</v>
      </c>
    </row>
    <row r="1116" spans="1:10" outlineLevel="1" x14ac:dyDescent="0.25">
      <c r="A1116" s="8" t="s">
        <v>664</v>
      </c>
      <c r="B1116" s="3" t="s">
        <v>1033</v>
      </c>
      <c r="C1116" s="3" t="s">
        <v>4</v>
      </c>
      <c r="D1116" s="3" t="s">
        <v>1034</v>
      </c>
      <c r="E1116" s="3" t="s">
        <v>752</v>
      </c>
      <c r="F1116" s="3" t="s">
        <v>978</v>
      </c>
      <c r="G1116" s="6">
        <v>5</v>
      </c>
      <c r="H1116" s="6">
        <v>37.450000000000003</v>
      </c>
      <c r="I1116" s="6">
        <v>187.25</v>
      </c>
      <c r="J1116" s="6">
        <v>57608.749999999942</v>
      </c>
    </row>
    <row r="1117" spans="1:10" outlineLevel="1" x14ac:dyDescent="0.25">
      <c r="A1117" s="8" t="s">
        <v>664</v>
      </c>
      <c r="B1117" s="3" t="s">
        <v>1033</v>
      </c>
      <c r="C1117" s="3" t="s">
        <v>4</v>
      </c>
      <c r="D1117" s="3" t="s">
        <v>1034</v>
      </c>
      <c r="E1117" s="3" t="s">
        <v>928</v>
      </c>
      <c r="F1117" s="3" t="s">
        <v>1080</v>
      </c>
      <c r="G1117" s="6">
        <v>1</v>
      </c>
      <c r="H1117" s="6">
        <v>66.34</v>
      </c>
      <c r="I1117" s="6">
        <v>66.34</v>
      </c>
      <c r="J1117" s="6">
        <v>57675.089999999938</v>
      </c>
    </row>
    <row r="1118" spans="1:10" outlineLevel="1" x14ac:dyDescent="0.25">
      <c r="A1118" s="8" t="s">
        <v>664</v>
      </c>
      <c r="B1118" s="3" t="s">
        <v>1033</v>
      </c>
      <c r="C1118" s="3" t="s">
        <v>4</v>
      </c>
      <c r="D1118" s="3" t="s">
        <v>1034</v>
      </c>
      <c r="E1118" s="3" t="s">
        <v>1081</v>
      </c>
      <c r="F1118" s="3" t="s">
        <v>1082</v>
      </c>
      <c r="G1118" s="6">
        <v>5</v>
      </c>
      <c r="H1118" s="6">
        <v>23.22</v>
      </c>
      <c r="I1118" s="6">
        <v>116.1</v>
      </c>
      <c r="J1118" s="6">
        <v>57791.189999999937</v>
      </c>
    </row>
    <row r="1119" spans="1:10" outlineLevel="1" x14ac:dyDescent="0.25">
      <c r="A1119" s="8" t="s">
        <v>664</v>
      </c>
      <c r="B1119" s="3" t="s">
        <v>1033</v>
      </c>
      <c r="C1119" s="3" t="s">
        <v>4</v>
      </c>
      <c r="D1119" s="3" t="s">
        <v>1034</v>
      </c>
      <c r="E1119" s="3" t="s">
        <v>1083</v>
      </c>
      <c r="F1119" s="3" t="s">
        <v>1084</v>
      </c>
      <c r="G1119" s="6">
        <v>3</v>
      </c>
      <c r="H1119" s="6">
        <v>22.24</v>
      </c>
      <c r="I1119" s="6">
        <v>66.72</v>
      </c>
      <c r="J1119" s="6">
        <v>57857.909999999938</v>
      </c>
    </row>
    <row r="1120" spans="1:10" outlineLevel="1" x14ac:dyDescent="0.25">
      <c r="A1120" s="8" t="s">
        <v>664</v>
      </c>
      <c r="B1120" s="3" t="s">
        <v>1033</v>
      </c>
      <c r="C1120" s="3" t="s">
        <v>4</v>
      </c>
      <c r="D1120" s="3" t="s">
        <v>1034</v>
      </c>
      <c r="E1120" s="3" t="s">
        <v>1085</v>
      </c>
      <c r="F1120" s="3" t="s">
        <v>1086</v>
      </c>
      <c r="G1120" s="6">
        <v>6</v>
      </c>
      <c r="H1120" s="6">
        <v>30.42</v>
      </c>
      <c r="I1120" s="6">
        <v>182.52</v>
      </c>
      <c r="J1120" s="6">
        <v>58040.429999999935</v>
      </c>
    </row>
    <row r="1121" spans="1:10" outlineLevel="1" x14ac:dyDescent="0.25">
      <c r="A1121" s="8" t="s">
        <v>664</v>
      </c>
      <c r="B1121" s="3" t="s">
        <v>1033</v>
      </c>
      <c r="C1121" s="3" t="s">
        <v>4</v>
      </c>
      <c r="D1121" s="3" t="s">
        <v>1034</v>
      </c>
      <c r="E1121" s="3" t="s">
        <v>1087</v>
      </c>
      <c r="F1121" s="3" t="s">
        <v>1088</v>
      </c>
      <c r="G1121" s="6">
        <v>3</v>
      </c>
      <c r="H1121" s="6">
        <v>22.24</v>
      </c>
      <c r="I1121" s="6">
        <v>66.72</v>
      </c>
      <c r="J1121" s="6">
        <v>58107.149999999936</v>
      </c>
    </row>
    <row r="1122" spans="1:10" outlineLevel="1" x14ac:dyDescent="0.25">
      <c r="A1122" s="8" t="s">
        <v>664</v>
      </c>
      <c r="B1122" s="3" t="s">
        <v>1033</v>
      </c>
      <c r="C1122" s="3" t="s">
        <v>4</v>
      </c>
      <c r="D1122" s="3" t="s">
        <v>1034</v>
      </c>
      <c r="E1122" s="3" t="s">
        <v>1018</v>
      </c>
      <c r="F1122" s="3" t="s">
        <v>1032</v>
      </c>
      <c r="G1122" s="6">
        <v>6</v>
      </c>
      <c r="H1122" s="6">
        <v>19.2</v>
      </c>
      <c r="I1122" s="6">
        <v>115.2</v>
      </c>
      <c r="J1122" s="6">
        <v>58222.349999999933</v>
      </c>
    </row>
    <row r="1123" spans="1:10" outlineLevel="1" x14ac:dyDescent="0.25">
      <c r="A1123" s="8" t="s">
        <v>664</v>
      </c>
      <c r="B1123" s="3" t="s">
        <v>1033</v>
      </c>
      <c r="C1123" s="3" t="s">
        <v>4</v>
      </c>
      <c r="D1123" s="3" t="s">
        <v>1034</v>
      </c>
      <c r="E1123" s="3" t="s">
        <v>1020</v>
      </c>
      <c r="F1123" s="3" t="s">
        <v>1089</v>
      </c>
      <c r="G1123" s="6">
        <v>6</v>
      </c>
      <c r="H1123" s="6">
        <v>20.399999999999999</v>
      </c>
      <c r="I1123" s="6">
        <v>122.4</v>
      </c>
      <c r="J1123" s="6">
        <v>58344.749999999935</v>
      </c>
    </row>
    <row r="1124" spans="1:10" outlineLevel="1" x14ac:dyDescent="0.25">
      <c r="A1124" s="8" t="s">
        <v>664</v>
      </c>
      <c r="B1124" s="3" t="s">
        <v>1033</v>
      </c>
      <c r="C1124" s="3" t="s">
        <v>4</v>
      </c>
      <c r="D1124" s="3" t="s">
        <v>1034</v>
      </c>
      <c r="E1124" s="3" t="s">
        <v>1022</v>
      </c>
      <c r="F1124" s="3" t="s">
        <v>1090</v>
      </c>
      <c r="G1124" s="6">
        <v>4</v>
      </c>
      <c r="H1124" s="6">
        <v>25.9</v>
      </c>
      <c r="I1124" s="6">
        <v>103.6</v>
      </c>
      <c r="J1124" s="6">
        <v>58448.349999999933</v>
      </c>
    </row>
    <row r="1125" spans="1:10" outlineLevel="1" x14ac:dyDescent="0.25">
      <c r="A1125" s="8" t="s">
        <v>664</v>
      </c>
      <c r="B1125" s="3" t="s">
        <v>224</v>
      </c>
      <c r="C1125" s="3" t="s">
        <v>4</v>
      </c>
      <c r="D1125" s="3" t="s">
        <v>1091</v>
      </c>
      <c r="E1125" s="3" t="s">
        <v>561</v>
      </c>
      <c r="F1125" s="3" t="s">
        <v>562</v>
      </c>
      <c r="G1125" s="6">
        <v>100</v>
      </c>
      <c r="H1125" s="6">
        <v>30</v>
      </c>
      <c r="I1125" s="6">
        <v>3000</v>
      </c>
      <c r="J1125" s="6">
        <v>61448.349999999933</v>
      </c>
    </row>
    <row r="1126" spans="1:10" outlineLevel="1" x14ac:dyDescent="0.25">
      <c r="A1126" s="8" t="s">
        <v>664</v>
      </c>
      <c r="B1126" s="3" t="s">
        <v>224</v>
      </c>
      <c r="C1126" s="3" t="s">
        <v>4</v>
      </c>
      <c r="D1126" s="3" t="s">
        <v>1091</v>
      </c>
      <c r="E1126" s="3" t="s">
        <v>561</v>
      </c>
      <c r="F1126" s="3" t="s">
        <v>562</v>
      </c>
      <c r="G1126" s="6">
        <v>30</v>
      </c>
      <c r="H1126" s="6">
        <v>0</v>
      </c>
      <c r="I1126" s="6">
        <v>0</v>
      </c>
      <c r="J1126" s="6">
        <v>61448.349999999933</v>
      </c>
    </row>
    <row r="1127" spans="1:10" outlineLevel="1" x14ac:dyDescent="0.25">
      <c r="A1127" s="8" t="s">
        <v>664</v>
      </c>
      <c r="B1127" s="3" t="s">
        <v>224</v>
      </c>
      <c r="C1127" s="3" t="s">
        <v>4</v>
      </c>
      <c r="D1127" s="3" t="s">
        <v>1091</v>
      </c>
      <c r="E1127" s="3" t="s">
        <v>669</v>
      </c>
      <c r="F1127" s="3" t="s">
        <v>941</v>
      </c>
      <c r="G1127" s="6">
        <v>2</v>
      </c>
      <c r="H1127" s="6">
        <v>0</v>
      </c>
      <c r="I1127" s="6">
        <v>0</v>
      </c>
      <c r="J1127" s="6">
        <v>61448.349999999933</v>
      </c>
    </row>
    <row r="1128" spans="1:10" outlineLevel="1" x14ac:dyDescent="0.25">
      <c r="A1128" s="8" t="s">
        <v>664</v>
      </c>
      <c r="B1128" s="3" t="s">
        <v>1092</v>
      </c>
      <c r="C1128" s="3" t="s">
        <v>4</v>
      </c>
      <c r="D1128" s="3" t="s">
        <v>1093</v>
      </c>
      <c r="E1128" s="3" t="s">
        <v>720</v>
      </c>
      <c r="F1128" s="3" t="s">
        <v>721</v>
      </c>
      <c r="G1128" s="6">
        <v>8</v>
      </c>
      <c r="H1128" s="6">
        <v>23.96</v>
      </c>
      <c r="I1128" s="6">
        <v>191.68</v>
      </c>
      <c r="J1128" s="6">
        <v>61640.029999999933</v>
      </c>
    </row>
    <row r="1129" spans="1:10" outlineLevel="1" x14ac:dyDescent="0.25">
      <c r="A1129" s="8" t="s">
        <v>664</v>
      </c>
      <c r="B1129" s="3" t="s">
        <v>1092</v>
      </c>
      <c r="C1129" s="3" t="s">
        <v>4</v>
      </c>
      <c r="D1129" s="3" t="s">
        <v>1093</v>
      </c>
      <c r="E1129" s="3" t="s">
        <v>1094</v>
      </c>
      <c r="F1129" s="3" t="s">
        <v>1095</v>
      </c>
      <c r="G1129" s="6">
        <v>2</v>
      </c>
      <c r="H1129" s="6">
        <v>31.08</v>
      </c>
      <c r="I1129" s="6">
        <v>62.16</v>
      </c>
      <c r="J1129" s="6">
        <v>61702.189999999937</v>
      </c>
    </row>
    <row r="1130" spans="1:10" outlineLevel="1" x14ac:dyDescent="0.25">
      <c r="A1130" s="8" t="s">
        <v>664</v>
      </c>
      <c r="B1130" s="3" t="s">
        <v>1092</v>
      </c>
      <c r="C1130" s="3" t="s">
        <v>4</v>
      </c>
      <c r="D1130" s="3" t="s">
        <v>1093</v>
      </c>
      <c r="E1130" s="3" t="s">
        <v>843</v>
      </c>
      <c r="F1130" s="3" t="s">
        <v>1050</v>
      </c>
      <c r="G1130" s="6">
        <v>2</v>
      </c>
      <c r="H1130" s="6">
        <v>53.68</v>
      </c>
      <c r="I1130" s="6">
        <v>107.36</v>
      </c>
      <c r="J1130" s="6">
        <v>61809.549999999937</v>
      </c>
    </row>
    <row r="1131" spans="1:10" outlineLevel="1" x14ac:dyDescent="0.25">
      <c r="A1131" s="8" t="s">
        <v>664</v>
      </c>
      <c r="B1131" s="3" t="s">
        <v>1092</v>
      </c>
      <c r="C1131" s="3" t="s">
        <v>4</v>
      </c>
      <c r="D1131" s="3" t="s">
        <v>1093</v>
      </c>
      <c r="E1131" s="3" t="s">
        <v>1096</v>
      </c>
      <c r="F1131" s="3" t="s">
        <v>1096</v>
      </c>
      <c r="G1131" s="6">
        <v>3</v>
      </c>
      <c r="H1131" s="6">
        <v>12.6</v>
      </c>
      <c r="I1131" s="6">
        <v>37.799999999999997</v>
      </c>
      <c r="J1131" s="6">
        <v>61847.34999999994</v>
      </c>
    </row>
    <row r="1132" spans="1:10" outlineLevel="1" x14ac:dyDescent="0.25">
      <c r="A1132" s="8" t="s">
        <v>664</v>
      </c>
      <c r="B1132" s="3" t="s">
        <v>1092</v>
      </c>
      <c r="C1132" s="3" t="s">
        <v>4</v>
      </c>
      <c r="D1132" s="3" t="s">
        <v>1093</v>
      </c>
      <c r="E1132" s="3" t="s">
        <v>1051</v>
      </c>
      <c r="F1132" s="3" t="s">
        <v>1051</v>
      </c>
      <c r="G1132" s="6">
        <v>3</v>
      </c>
      <c r="H1132" s="6">
        <v>16.68</v>
      </c>
      <c r="I1132" s="6">
        <v>50.04</v>
      </c>
      <c r="J1132" s="6">
        <v>61897.389999999941</v>
      </c>
    </row>
    <row r="1133" spans="1:10" outlineLevel="1" x14ac:dyDescent="0.25">
      <c r="A1133" s="8" t="s">
        <v>664</v>
      </c>
      <c r="B1133" s="3" t="s">
        <v>1092</v>
      </c>
      <c r="C1133" s="3" t="s">
        <v>4</v>
      </c>
      <c r="D1133" s="3" t="s">
        <v>1093</v>
      </c>
      <c r="E1133" s="3" t="s">
        <v>1097</v>
      </c>
      <c r="F1133" s="3" t="s">
        <v>1098</v>
      </c>
      <c r="G1133" s="6">
        <v>3</v>
      </c>
      <c r="H1133" s="6">
        <v>12.6</v>
      </c>
      <c r="I1133" s="6">
        <v>37.799999999999997</v>
      </c>
      <c r="J1133" s="6">
        <v>61935.189999999944</v>
      </c>
    </row>
    <row r="1134" spans="1:10" outlineLevel="1" x14ac:dyDescent="0.25">
      <c r="A1134" s="8" t="s">
        <v>664</v>
      </c>
      <c r="B1134" s="3" t="s">
        <v>1092</v>
      </c>
      <c r="C1134" s="3" t="s">
        <v>4</v>
      </c>
      <c r="D1134" s="3" t="s">
        <v>1093</v>
      </c>
      <c r="E1134" s="3" t="s">
        <v>1099</v>
      </c>
      <c r="F1134" s="3" t="s">
        <v>1099</v>
      </c>
      <c r="G1134" s="6">
        <v>3</v>
      </c>
      <c r="H1134" s="6">
        <v>12.6</v>
      </c>
      <c r="I1134" s="6">
        <v>37.799999999999997</v>
      </c>
      <c r="J1134" s="6">
        <v>61972.989999999947</v>
      </c>
    </row>
    <row r="1135" spans="1:10" outlineLevel="1" x14ac:dyDescent="0.25">
      <c r="A1135" s="8" t="s">
        <v>664</v>
      </c>
      <c r="B1135" s="3" t="s">
        <v>1092</v>
      </c>
      <c r="C1135" s="3" t="s">
        <v>4</v>
      </c>
      <c r="D1135" s="3" t="s">
        <v>1093</v>
      </c>
      <c r="E1135" s="3" t="s">
        <v>1100</v>
      </c>
      <c r="F1135" s="3" t="s">
        <v>1100</v>
      </c>
      <c r="G1135" s="6">
        <v>3</v>
      </c>
      <c r="H1135" s="6">
        <v>12.6</v>
      </c>
      <c r="I1135" s="6">
        <v>37.799999999999997</v>
      </c>
      <c r="J1135" s="6">
        <v>62010.78999999995</v>
      </c>
    </row>
    <row r="1136" spans="1:10" outlineLevel="1" x14ac:dyDescent="0.25">
      <c r="A1136" s="8" t="s">
        <v>664</v>
      </c>
      <c r="B1136" s="3" t="s">
        <v>1092</v>
      </c>
      <c r="C1136" s="3" t="s">
        <v>4</v>
      </c>
      <c r="D1136" s="3" t="s">
        <v>1093</v>
      </c>
      <c r="E1136" s="3" t="s">
        <v>853</v>
      </c>
      <c r="F1136" s="3" t="s">
        <v>1052</v>
      </c>
      <c r="G1136" s="6">
        <v>2</v>
      </c>
      <c r="H1136" s="6">
        <v>13.2</v>
      </c>
      <c r="I1136" s="6">
        <v>26.4</v>
      </c>
      <c r="J1136" s="6">
        <v>62037.189999999951</v>
      </c>
    </row>
    <row r="1137" spans="1:10" outlineLevel="1" x14ac:dyDescent="0.25">
      <c r="A1137" s="8" t="s">
        <v>664</v>
      </c>
      <c r="B1137" s="3" t="s">
        <v>1092</v>
      </c>
      <c r="C1137" s="3" t="s">
        <v>4</v>
      </c>
      <c r="D1137" s="3" t="s">
        <v>1093</v>
      </c>
      <c r="E1137" s="3" t="s">
        <v>962</v>
      </c>
      <c r="F1137" s="3" t="s">
        <v>963</v>
      </c>
      <c r="G1137" s="6">
        <v>1</v>
      </c>
      <c r="H1137" s="6">
        <v>27.29</v>
      </c>
      <c r="I1137" s="6">
        <v>27.29</v>
      </c>
      <c r="J1137" s="6">
        <v>62064.479999999952</v>
      </c>
    </row>
    <row r="1138" spans="1:10" outlineLevel="1" x14ac:dyDescent="0.25">
      <c r="A1138" s="8" t="s">
        <v>664</v>
      </c>
      <c r="B1138" s="3" t="s">
        <v>1092</v>
      </c>
      <c r="C1138" s="3" t="s">
        <v>4</v>
      </c>
      <c r="D1138" s="3" t="s">
        <v>1093</v>
      </c>
      <c r="E1138" s="3" t="s">
        <v>868</v>
      </c>
      <c r="F1138" s="3" t="s">
        <v>1007</v>
      </c>
      <c r="G1138" s="6">
        <v>2</v>
      </c>
      <c r="H1138" s="6">
        <v>27.29</v>
      </c>
      <c r="I1138" s="6">
        <v>54.58</v>
      </c>
      <c r="J1138" s="6">
        <v>62119.059999999954</v>
      </c>
    </row>
    <row r="1139" spans="1:10" outlineLevel="1" x14ac:dyDescent="0.25">
      <c r="A1139" s="8" t="s">
        <v>664</v>
      </c>
      <c r="B1139" s="3" t="s">
        <v>1092</v>
      </c>
      <c r="C1139" s="3" t="s">
        <v>4</v>
      </c>
      <c r="D1139" s="3" t="s">
        <v>1093</v>
      </c>
      <c r="E1139" s="3" t="s">
        <v>870</v>
      </c>
      <c r="F1139" s="3" t="s">
        <v>1008</v>
      </c>
      <c r="G1139" s="6">
        <v>1</v>
      </c>
      <c r="H1139" s="6">
        <v>27.29</v>
      </c>
      <c r="I1139" s="6">
        <v>27.29</v>
      </c>
      <c r="J1139" s="6">
        <v>62146.349999999955</v>
      </c>
    </row>
    <row r="1140" spans="1:10" outlineLevel="1" x14ac:dyDescent="0.25">
      <c r="A1140" s="8" t="s">
        <v>664</v>
      </c>
      <c r="B1140" s="3" t="s">
        <v>1092</v>
      </c>
      <c r="C1140" s="3" t="s">
        <v>4</v>
      </c>
      <c r="D1140" s="3" t="s">
        <v>1093</v>
      </c>
      <c r="E1140" s="3" t="s">
        <v>872</v>
      </c>
      <c r="F1140" s="3" t="s">
        <v>1009</v>
      </c>
      <c r="G1140" s="6">
        <v>1</v>
      </c>
      <c r="H1140" s="6">
        <v>27.29</v>
      </c>
      <c r="I1140" s="6">
        <v>27.29</v>
      </c>
      <c r="J1140" s="6">
        <v>62173.639999999956</v>
      </c>
    </row>
    <row r="1141" spans="1:10" outlineLevel="1" x14ac:dyDescent="0.25">
      <c r="A1141" s="8" t="s">
        <v>664</v>
      </c>
      <c r="B1141" s="3" t="s">
        <v>1092</v>
      </c>
      <c r="C1141" s="3" t="s">
        <v>4</v>
      </c>
      <c r="D1141" s="3" t="s">
        <v>1093</v>
      </c>
      <c r="E1141" s="3" t="s">
        <v>1062</v>
      </c>
      <c r="F1141" s="3" t="s">
        <v>1063</v>
      </c>
      <c r="G1141" s="6">
        <v>2</v>
      </c>
      <c r="H1141" s="6">
        <v>39.46</v>
      </c>
      <c r="I1141" s="6">
        <v>78.92</v>
      </c>
      <c r="J1141" s="6">
        <v>62252.559999999954</v>
      </c>
    </row>
    <row r="1142" spans="1:10" outlineLevel="1" x14ac:dyDescent="0.25">
      <c r="A1142" s="8" t="s">
        <v>664</v>
      </c>
      <c r="B1142" s="3" t="s">
        <v>1092</v>
      </c>
      <c r="C1142" s="3" t="s">
        <v>4</v>
      </c>
      <c r="D1142" s="3" t="s">
        <v>1093</v>
      </c>
      <c r="E1142" s="3" t="s">
        <v>876</v>
      </c>
      <c r="F1142" s="3" t="s">
        <v>1101</v>
      </c>
      <c r="G1142" s="6">
        <v>1</v>
      </c>
      <c r="H1142" s="6">
        <v>39.46</v>
      </c>
      <c r="I1142" s="6">
        <v>39.46</v>
      </c>
      <c r="J1142" s="6">
        <v>62292.019999999953</v>
      </c>
    </row>
    <row r="1143" spans="1:10" outlineLevel="1" x14ac:dyDescent="0.25">
      <c r="A1143" s="8" t="s">
        <v>664</v>
      </c>
      <c r="B1143" s="3" t="s">
        <v>1092</v>
      </c>
      <c r="C1143" s="3" t="s">
        <v>4</v>
      </c>
      <c r="D1143" s="3" t="s">
        <v>1093</v>
      </c>
      <c r="E1143" s="3" t="s">
        <v>1066</v>
      </c>
      <c r="F1143" s="3" t="s">
        <v>1067</v>
      </c>
      <c r="G1143" s="6">
        <v>4</v>
      </c>
      <c r="H1143" s="6">
        <v>14</v>
      </c>
      <c r="I1143" s="6">
        <v>56</v>
      </c>
      <c r="J1143" s="6">
        <v>62348.019999999953</v>
      </c>
    </row>
    <row r="1144" spans="1:10" outlineLevel="1" x14ac:dyDescent="0.25">
      <c r="A1144" s="8" t="s">
        <v>664</v>
      </c>
      <c r="B1144" s="3" t="s">
        <v>1092</v>
      </c>
      <c r="C1144" s="3" t="s">
        <v>4</v>
      </c>
      <c r="D1144" s="3" t="s">
        <v>1093</v>
      </c>
      <c r="E1144" s="3" t="s">
        <v>1068</v>
      </c>
      <c r="F1144" s="3" t="s">
        <v>1069</v>
      </c>
      <c r="G1144" s="6">
        <v>4</v>
      </c>
      <c r="H1144" s="6">
        <v>14</v>
      </c>
      <c r="I1144" s="6">
        <v>56</v>
      </c>
      <c r="J1144" s="6">
        <v>62404.019999999953</v>
      </c>
    </row>
    <row r="1145" spans="1:10" outlineLevel="1" x14ac:dyDescent="0.25">
      <c r="A1145" s="8" t="s">
        <v>664</v>
      </c>
      <c r="B1145" s="3" t="s">
        <v>1092</v>
      </c>
      <c r="C1145" s="3" t="s">
        <v>4</v>
      </c>
      <c r="D1145" s="3" t="s">
        <v>1093</v>
      </c>
      <c r="E1145" s="3" t="s">
        <v>750</v>
      </c>
      <c r="F1145" s="3" t="s">
        <v>1102</v>
      </c>
      <c r="G1145" s="6">
        <v>4</v>
      </c>
      <c r="H1145" s="6">
        <v>13.91</v>
      </c>
      <c r="I1145" s="6">
        <v>55.64</v>
      </c>
      <c r="J1145" s="6">
        <v>62459.659999999953</v>
      </c>
    </row>
    <row r="1146" spans="1:10" outlineLevel="1" x14ac:dyDescent="0.25">
      <c r="A1146" s="8" t="s">
        <v>664</v>
      </c>
      <c r="B1146" s="3" t="s">
        <v>1092</v>
      </c>
      <c r="C1146" s="3" t="s">
        <v>4</v>
      </c>
      <c r="D1146" s="3" t="s">
        <v>1093</v>
      </c>
      <c r="E1146" s="3" t="s">
        <v>928</v>
      </c>
      <c r="F1146" s="3" t="s">
        <v>1080</v>
      </c>
      <c r="G1146" s="6">
        <v>4</v>
      </c>
      <c r="H1146" s="6">
        <v>66.34</v>
      </c>
      <c r="I1146" s="6">
        <v>265.36</v>
      </c>
      <c r="J1146" s="6">
        <v>62725.019999999953</v>
      </c>
    </row>
    <row r="1147" spans="1:10" outlineLevel="1" x14ac:dyDescent="0.25">
      <c r="A1147" s="8" t="s">
        <v>664</v>
      </c>
      <c r="B1147" s="3" t="s">
        <v>1092</v>
      </c>
      <c r="C1147" s="3" t="s">
        <v>4</v>
      </c>
      <c r="D1147" s="3" t="s">
        <v>1093</v>
      </c>
      <c r="E1147" s="3" t="s">
        <v>930</v>
      </c>
      <c r="F1147" s="3" t="s">
        <v>1103</v>
      </c>
      <c r="G1147" s="6">
        <v>2</v>
      </c>
      <c r="H1147" s="6">
        <v>26.4</v>
      </c>
      <c r="I1147" s="6">
        <v>52.8</v>
      </c>
      <c r="J1147" s="6">
        <v>62777.819999999956</v>
      </c>
    </row>
    <row r="1148" spans="1:10" outlineLevel="1" x14ac:dyDescent="0.25">
      <c r="A1148" s="8" t="s">
        <v>664</v>
      </c>
      <c r="B1148" s="3" t="s">
        <v>1092</v>
      </c>
      <c r="C1148" s="3" t="s">
        <v>4</v>
      </c>
      <c r="D1148" s="3" t="s">
        <v>1093</v>
      </c>
      <c r="E1148" s="3" t="s">
        <v>1104</v>
      </c>
      <c r="F1148" s="3" t="s">
        <v>1105</v>
      </c>
      <c r="G1148" s="6">
        <v>2</v>
      </c>
      <c r="H1148" s="6">
        <v>39.5</v>
      </c>
      <c r="I1148" s="6">
        <v>79</v>
      </c>
      <c r="J1148" s="6">
        <v>62856.819999999956</v>
      </c>
    </row>
    <row r="1149" spans="1:10" outlineLevel="1" x14ac:dyDescent="0.25">
      <c r="A1149" s="8" t="s">
        <v>664</v>
      </c>
      <c r="B1149" s="3" t="s">
        <v>1092</v>
      </c>
      <c r="C1149" s="3" t="s">
        <v>4</v>
      </c>
      <c r="D1149" s="3" t="s">
        <v>1093</v>
      </c>
      <c r="E1149" s="3" t="s">
        <v>1106</v>
      </c>
      <c r="F1149" s="3" t="s">
        <v>1107</v>
      </c>
      <c r="G1149" s="6">
        <v>3</v>
      </c>
      <c r="H1149" s="6">
        <v>22.24</v>
      </c>
      <c r="I1149" s="6">
        <v>66.72</v>
      </c>
      <c r="J1149" s="6">
        <v>62923.539999999957</v>
      </c>
    </row>
    <row r="1150" spans="1:10" outlineLevel="1" x14ac:dyDescent="0.25">
      <c r="A1150" s="8" t="s">
        <v>664</v>
      </c>
      <c r="B1150" s="3" t="s">
        <v>1092</v>
      </c>
      <c r="C1150" s="3" t="s">
        <v>4</v>
      </c>
      <c r="D1150" s="3" t="s">
        <v>1093</v>
      </c>
      <c r="E1150" s="3" t="s">
        <v>1108</v>
      </c>
      <c r="F1150" s="3" t="s">
        <v>1109</v>
      </c>
      <c r="G1150" s="6">
        <v>1</v>
      </c>
      <c r="H1150" s="6">
        <v>22.24</v>
      </c>
      <c r="I1150" s="6">
        <v>22.24</v>
      </c>
      <c r="J1150" s="6">
        <v>62945.779999999955</v>
      </c>
    </row>
    <row r="1151" spans="1:10" outlineLevel="1" x14ac:dyDescent="0.25">
      <c r="A1151" s="8" t="s">
        <v>664</v>
      </c>
      <c r="B1151" s="3" t="s">
        <v>1092</v>
      </c>
      <c r="C1151" s="3" t="s">
        <v>4</v>
      </c>
      <c r="D1151" s="3" t="s">
        <v>1093</v>
      </c>
      <c r="E1151" s="3" t="s">
        <v>1110</v>
      </c>
      <c r="F1151" s="3" t="s">
        <v>1111</v>
      </c>
      <c r="G1151" s="6">
        <v>3</v>
      </c>
      <c r="H1151" s="6">
        <v>23.76</v>
      </c>
      <c r="I1151" s="6">
        <v>71.28</v>
      </c>
      <c r="J1151" s="6">
        <v>63017.059999999954</v>
      </c>
    </row>
    <row r="1152" spans="1:10" outlineLevel="1" x14ac:dyDescent="0.25">
      <c r="A1152" s="8" t="s">
        <v>664</v>
      </c>
      <c r="B1152" s="3" t="s">
        <v>1092</v>
      </c>
      <c r="C1152" s="3" t="s">
        <v>4</v>
      </c>
      <c r="D1152" s="3" t="s">
        <v>1093</v>
      </c>
      <c r="E1152" s="3" t="s">
        <v>1112</v>
      </c>
      <c r="F1152" s="3" t="s">
        <v>1112</v>
      </c>
      <c r="G1152" s="6">
        <v>3</v>
      </c>
      <c r="H1152" s="6">
        <v>23.76</v>
      </c>
      <c r="I1152" s="6">
        <v>71.28</v>
      </c>
      <c r="J1152" s="6">
        <v>63088.339999999953</v>
      </c>
    </row>
    <row r="1153" spans="1:10" outlineLevel="1" x14ac:dyDescent="0.25">
      <c r="A1153" s="8" t="s">
        <v>664</v>
      </c>
      <c r="B1153" s="3" t="s">
        <v>1092</v>
      </c>
      <c r="C1153" s="3" t="s">
        <v>4</v>
      </c>
      <c r="D1153" s="3" t="s">
        <v>1093</v>
      </c>
      <c r="E1153" s="3" t="s">
        <v>1113</v>
      </c>
      <c r="F1153" s="3" t="s">
        <v>1113</v>
      </c>
      <c r="G1153" s="6">
        <v>3</v>
      </c>
      <c r="H1153" s="6">
        <v>23.76</v>
      </c>
      <c r="I1153" s="6">
        <v>71.28</v>
      </c>
      <c r="J1153" s="6">
        <v>63159.619999999952</v>
      </c>
    </row>
    <row r="1154" spans="1:10" outlineLevel="1" x14ac:dyDescent="0.25">
      <c r="A1154" s="8" t="s">
        <v>664</v>
      </c>
      <c r="B1154" s="3" t="s">
        <v>1092</v>
      </c>
      <c r="C1154" s="3" t="s">
        <v>4</v>
      </c>
      <c r="D1154" s="3" t="s">
        <v>1093</v>
      </c>
      <c r="E1154" s="3" t="s">
        <v>1114</v>
      </c>
      <c r="F1154" s="3" t="s">
        <v>1114</v>
      </c>
      <c r="G1154" s="6">
        <v>3</v>
      </c>
      <c r="H1154" s="6">
        <v>23.76</v>
      </c>
      <c r="I1154" s="6">
        <v>71.28</v>
      </c>
      <c r="J1154" s="6">
        <v>63230.899999999951</v>
      </c>
    </row>
    <row r="1155" spans="1:10" outlineLevel="1" x14ac:dyDescent="0.25">
      <c r="A1155" s="8" t="s">
        <v>664</v>
      </c>
      <c r="B1155" s="3" t="s">
        <v>1092</v>
      </c>
      <c r="C1155" s="3" t="s">
        <v>4</v>
      </c>
      <c r="D1155" s="3" t="s">
        <v>1093</v>
      </c>
      <c r="E1155" s="3" t="s">
        <v>1115</v>
      </c>
      <c r="F1155" s="3" t="s">
        <v>1116</v>
      </c>
      <c r="G1155" s="6">
        <v>2</v>
      </c>
      <c r="H1155" s="6">
        <v>30</v>
      </c>
      <c r="I1155" s="6">
        <v>60</v>
      </c>
      <c r="J1155" s="6">
        <v>63290.899999999951</v>
      </c>
    </row>
    <row r="1156" spans="1:10" outlineLevel="1" x14ac:dyDescent="0.25">
      <c r="A1156" s="8" t="s">
        <v>664</v>
      </c>
      <c r="B1156" s="3" t="s">
        <v>1092</v>
      </c>
      <c r="C1156" s="3" t="s">
        <v>4</v>
      </c>
      <c r="D1156" s="3" t="s">
        <v>1093</v>
      </c>
      <c r="E1156" s="3" t="s">
        <v>1117</v>
      </c>
      <c r="F1156" s="3" t="s">
        <v>1118</v>
      </c>
      <c r="G1156" s="6">
        <v>1</v>
      </c>
      <c r="H1156" s="6">
        <v>28.56</v>
      </c>
      <c r="I1156" s="6">
        <v>28.56</v>
      </c>
      <c r="J1156" s="6">
        <v>63319.459999999948</v>
      </c>
    </row>
    <row r="1157" spans="1:10" outlineLevel="1" x14ac:dyDescent="0.25">
      <c r="A1157" s="8" t="s">
        <v>664</v>
      </c>
      <c r="B1157" s="3" t="s">
        <v>1092</v>
      </c>
      <c r="C1157" s="3" t="s">
        <v>4</v>
      </c>
      <c r="D1157" s="3" t="s">
        <v>1093</v>
      </c>
      <c r="E1157" s="3" t="s">
        <v>1119</v>
      </c>
      <c r="F1157" s="3" t="s">
        <v>1120</v>
      </c>
      <c r="G1157" s="6">
        <v>1</v>
      </c>
      <c r="H1157" s="6">
        <v>25.02</v>
      </c>
      <c r="I1157" s="6">
        <v>25.02</v>
      </c>
      <c r="J1157" s="6">
        <v>63344.479999999945</v>
      </c>
    </row>
    <row r="1158" spans="1:10" outlineLevel="1" x14ac:dyDescent="0.25">
      <c r="A1158" s="8" t="s">
        <v>664</v>
      </c>
      <c r="B1158" s="3" t="s">
        <v>1092</v>
      </c>
      <c r="C1158" s="3" t="s">
        <v>4</v>
      </c>
      <c r="D1158" s="3" t="s">
        <v>1093</v>
      </c>
      <c r="E1158" s="3" t="s">
        <v>1121</v>
      </c>
      <c r="F1158" s="3" t="s">
        <v>1122</v>
      </c>
      <c r="G1158" s="6">
        <v>3</v>
      </c>
      <c r="H1158" s="6">
        <v>22.24</v>
      </c>
      <c r="I1158" s="6">
        <v>66.72</v>
      </c>
      <c r="J1158" s="6">
        <v>63411.199999999946</v>
      </c>
    </row>
    <row r="1159" spans="1:10" outlineLevel="1" x14ac:dyDescent="0.25">
      <c r="A1159" s="8" t="s">
        <v>664</v>
      </c>
      <c r="B1159" s="3" t="s">
        <v>1092</v>
      </c>
      <c r="C1159" s="3" t="s">
        <v>4</v>
      </c>
      <c r="D1159" s="3" t="s">
        <v>1093</v>
      </c>
      <c r="E1159" s="3" t="s">
        <v>1123</v>
      </c>
      <c r="F1159" s="3" t="s">
        <v>1124</v>
      </c>
      <c r="G1159" s="6">
        <v>2</v>
      </c>
      <c r="H1159" s="6">
        <v>55.8</v>
      </c>
      <c r="I1159" s="6">
        <v>111.6</v>
      </c>
      <c r="J1159" s="6">
        <v>63522.799999999945</v>
      </c>
    </row>
    <row r="1160" spans="1:10" outlineLevel="1" x14ac:dyDescent="0.25">
      <c r="A1160" s="8" t="s">
        <v>664</v>
      </c>
      <c r="B1160" s="3" t="s">
        <v>1092</v>
      </c>
      <c r="C1160" s="3" t="s">
        <v>4</v>
      </c>
      <c r="D1160" s="3" t="s">
        <v>1093</v>
      </c>
      <c r="E1160" s="3" t="s">
        <v>809</v>
      </c>
      <c r="F1160" s="3" t="s">
        <v>810</v>
      </c>
      <c r="G1160" s="6">
        <v>2</v>
      </c>
      <c r="H1160" s="6">
        <v>32.74</v>
      </c>
      <c r="I1160" s="6">
        <v>65.48</v>
      </c>
      <c r="J1160" s="6">
        <v>63588.279999999948</v>
      </c>
    </row>
    <row r="1161" spans="1:10" outlineLevel="1" x14ac:dyDescent="0.25">
      <c r="A1161" s="8" t="s">
        <v>664</v>
      </c>
      <c r="B1161" s="3" t="s">
        <v>1092</v>
      </c>
      <c r="C1161" s="3" t="s">
        <v>4</v>
      </c>
      <c r="D1161" s="3" t="s">
        <v>1093</v>
      </c>
      <c r="E1161" s="3" t="s">
        <v>817</v>
      </c>
      <c r="F1161" s="3" t="s">
        <v>1025</v>
      </c>
      <c r="G1161" s="6">
        <v>3</v>
      </c>
      <c r="H1161" s="6">
        <v>46.22</v>
      </c>
      <c r="I1161" s="6">
        <v>138.66</v>
      </c>
      <c r="J1161" s="6">
        <v>63726.939999999951</v>
      </c>
    </row>
    <row r="1162" spans="1:10" outlineLevel="1" x14ac:dyDescent="0.25">
      <c r="A1162" s="8" t="s">
        <v>664</v>
      </c>
      <c r="B1162" s="3" t="s">
        <v>1092</v>
      </c>
      <c r="C1162" s="3" t="s">
        <v>4</v>
      </c>
      <c r="D1162" s="3" t="s">
        <v>1093</v>
      </c>
      <c r="E1162" s="3" t="s">
        <v>819</v>
      </c>
      <c r="F1162" s="3" t="s">
        <v>1028</v>
      </c>
      <c r="G1162" s="6">
        <v>2</v>
      </c>
      <c r="H1162" s="6">
        <v>29.4</v>
      </c>
      <c r="I1162" s="6">
        <v>58.8</v>
      </c>
      <c r="J1162" s="6">
        <v>63785.739999999954</v>
      </c>
    </row>
    <row r="1163" spans="1:10" outlineLevel="1" x14ac:dyDescent="0.25">
      <c r="A1163" s="8" t="s">
        <v>664</v>
      </c>
      <c r="B1163" s="3" t="s">
        <v>1092</v>
      </c>
      <c r="C1163" s="3" t="s">
        <v>4</v>
      </c>
      <c r="D1163" s="3" t="s">
        <v>1093</v>
      </c>
      <c r="E1163" s="3" t="s">
        <v>762</v>
      </c>
      <c r="F1163" s="3" t="s">
        <v>763</v>
      </c>
      <c r="G1163" s="6">
        <v>40</v>
      </c>
      <c r="H1163" s="6">
        <v>38.520000000000003</v>
      </c>
      <c r="I1163" s="6">
        <v>1540.8</v>
      </c>
      <c r="J1163" s="6">
        <v>65326.539999999957</v>
      </c>
    </row>
    <row r="1164" spans="1:10" outlineLevel="1" x14ac:dyDescent="0.25">
      <c r="A1164" s="8" t="s">
        <v>664</v>
      </c>
      <c r="B1164" s="3" t="s">
        <v>1092</v>
      </c>
      <c r="C1164" s="3" t="s">
        <v>4</v>
      </c>
      <c r="D1164" s="3" t="s">
        <v>1093</v>
      </c>
      <c r="E1164" s="3" t="s">
        <v>813</v>
      </c>
      <c r="F1164" s="3" t="s">
        <v>1024</v>
      </c>
      <c r="G1164" s="6">
        <v>8</v>
      </c>
      <c r="H1164" s="6">
        <v>54.57</v>
      </c>
      <c r="I1164" s="6">
        <v>436.56</v>
      </c>
      <c r="J1164" s="6">
        <v>65763.099999999962</v>
      </c>
    </row>
    <row r="1165" spans="1:10" outlineLevel="1" x14ac:dyDescent="0.25">
      <c r="A1165" s="8" t="s">
        <v>664</v>
      </c>
      <c r="B1165" s="3" t="s">
        <v>1092</v>
      </c>
      <c r="C1165" s="3" t="s">
        <v>4</v>
      </c>
      <c r="D1165" s="3" t="s">
        <v>1093</v>
      </c>
      <c r="E1165" s="3" t="s">
        <v>770</v>
      </c>
      <c r="F1165" s="3" t="s">
        <v>1027</v>
      </c>
      <c r="G1165" s="6">
        <v>8</v>
      </c>
      <c r="H1165" s="6">
        <v>37.450000000000003</v>
      </c>
      <c r="I1165" s="6">
        <v>299.60000000000002</v>
      </c>
      <c r="J1165" s="6">
        <v>66062.699999999968</v>
      </c>
    </row>
    <row r="1166" spans="1:10" outlineLevel="1" x14ac:dyDescent="0.25">
      <c r="A1166" s="8" t="s">
        <v>664</v>
      </c>
      <c r="B1166" s="3" t="s">
        <v>1092</v>
      </c>
      <c r="C1166" s="3" t="s">
        <v>4</v>
      </c>
      <c r="D1166" s="3" t="s">
        <v>1093</v>
      </c>
      <c r="E1166" s="3" t="s">
        <v>809</v>
      </c>
      <c r="F1166" s="3" t="s">
        <v>810</v>
      </c>
      <c r="G1166" s="6">
        <v>4</v>
      </c>
      <c r="H1166" s="6">
        <v>32.74</v>
      </c>
      <c r="I1166" s="6">
        <v>130.96</v>
      </c>
      <c r="J1166" s="6">
        <v>66193.659999999974</v>
      </c>
    </row>
    <row r="1167" spans="1:10" outlineLevel="1" x14ac:dyDescent="0.25">
      <c r="A1167" s="8" t="s">
        <v>664</v>
      </c>
      <c r="B1167" s="3" t="s">
        <v>1092</v>
      </c>
      <c r="C1167" s="3" t="s">
        <v>4</v>
      </c>
      <c r="D1167" s="3" t="s">
        <v>1093</v>
      </c>
      <c r="E1167" s="3" t="s">
        <v>817</v>
      </c>
      <c r="F1167" s="3" t="s">
        <v>1025</v>
      </c>
      <c r="G1167" s="6">
        <v>4</v>
      </c>
      <c r="H1167" s="6">
        <v>46.22</v>
      </c>
      <c r="I1167" s="6">
        <v>184.88</v>
      </c>
      <c r="J1167" s="6">
        <v>66378.539999999979</v>
      </c>
    </row>
    <row r="1168" spans="1:10" outlineLevel="1" x14ac:dyDescent="0.25">
      <c r="A1168" s="8" t="s">
        <v>664</v>
      </c>
      <c r="B1168" s="3" t="s">
        <v>1092</v>
      </c>
      <c r="C1168" s="3" t="s">
        <v>4</v>
      </c>
      <c r="D1168" s="3" t="s">
        <v>1093</v>
      </c>
      <c r="E1168" s="3" t="s">
        <v>656</v>
      </c>
      <c r="F1168" s="3" t="s">
        <v>657</v>
      </c>
      <c r="G1168" s="6">
        <v>12</v>
      </c>
      <c r="H1168" s="6">
        <v>36</v>
      </c>
      <c r="I1168" s="6">
        <v>432</v>
      </c>
      <c r="J1168" s="6">
        <v>66810.539999999979</v>
      </c>
    </row>
    <row r="1169" spans="1:10" outlineLevel="1" x14ac:dyDescent="0.25">
      <c r="A1169" s="8" t="s">
        <v>664</v>
      </c>
      <c r="B1169" s="3" t="s">
        <v>1092</v>
      </c>
      <c r="C1169" s="3" t="s">
        <v>4</v>
      </c>
      <c r="D1169" s="3" t="s">
        <v>1093</v>
      </c>
      <c r="E1169" s="3" t="s">
        <v>768</v>
      </c>
      <c r="F1169" s="3" t="s">
        <v>980</v>
      </c>
      <c r="G1169" s="6">
        <v>5</v>
      </c>
      <c r="H1169" s="6">
        <v>45.8</v>
      </c>
      <c r="I1169" s="6">
        <v>229</v>
      </c>
      <c r="J1169" s="6">
        <v>67039.539999999979</v>
      </c>
    </row>
    <row r="1170" spans="1:10" outlineLevel="1" x14ac:dyDescent="0.25">
      <c r="A1170" s="8" t="s">
        <v>664</v>
      </c>
      <c r="B1170" s="3" t="s">
        <v>1125</v>
      </c>
      <c r="C1170" s="3" t="s">
        <v>4</v>
      </c>
      <c r="D1170" s="3" t="s">
        <v>1126</v>
      </c>
      <c r="E1170" s="3" t="s">
        <v>671</v>
      </c>
      <c r="F1170" s="3" t="s">
        <v>1035</v>
      </c>
      <c r="G1170" s="6">
        <v>2</v>
      </c>
      <c r="H1170" s="6">
        <v>33.119999999999997</v>
      </c>
      <c r="I1170" s="6">
        <v>66.239999999999995</v>
      </c>
      <c r="J1170" s="6">
        <v>67105.779999999984</v>
      </c>
    </row>
    <row r="1171" spans="1:10" outlineLevel="1" x14ac:dyDescent="0.25">
      <c r="A1171" s="8" t="s">
        <v>664</v>
      </c>
      <c r="B1171" s="3" t="s">
        <v>1125</v>
      </c>
      <c r="C1171" s="3" t="s">
        <v>4</v>
      </c>
      <c r="D1171" s="3" t="s">
        <v>1126</v>
      </c>
      <c r="E1171" s="3" t="s">
        <v>823</v>
      </c>
      <c r="F1171" s="3" t="s">
        <v>1036</v>
      </c>
      <c r="G1171" s="6">
        <v>1</v>
      </c>
      <c r="H1171" s="6">
        <v>40.82</v>
      </c>
      <c r="I1171" s="6">
        <v>40.82</v>
      </c>
      <c r="J1171" s="6">
        <v>67146.599999999991</v>
      </c>
    </row>
    <row r="1172" spans="1:10" outlineLevel="1" x14ac:dyDescent="0.25">
      <c r="A1172" s="8" t="s">
        <v>664</v>
      </c>
      <c r="B1172" s="3" t="s">
        <v>1125</v>
      </c>
      <c r="C1172" s="3" t="s">
        <v>4</v>
      </c>
      <c r="D1172" s="3" t="s">
        <v>1126</v>
      </c>
      <c r="E1172" s="3" t="s">
        <v>673</v>
      </c>
      <c r="F1172" s="3" t="s">
        <v>1037</v>
      </c>
      <c r="G1172" s="6">
        <v>1</v>
      </c>
      <c r="H1172" s="6">
        <v>33.380000000000003</v>
      </c>
      <c r="I1172" s="6">
        <v>33.380000000000003</v>
      </c>
      <c r="J1172" s="6">
        <v>67179.98</v>
      </c>
    </row>
    <row r="1173" spans="1:10" outlineLevel="1" x14ac:dyDescent="0.25">
      <c r="A1173" s="8" t="s">
        <v>664</v>
      </c>
      <c r="B1173" s="3" t="s">
        <v>1125</v>
      </c>
      <c r="C1173" s="3" t="s">
        <v>4</v>
      </c>
      <c r="D1173" s="3" t="s">
        <v>1126</v>
      </c>
      <c r="E1173" s="3" t="s">
        <v>825</v>
      </c>
      <c r="F1173" s="3" t="s">
        <v>986</v>
      </c>
      <c r="G1173" s="6">
        <v>3</v>
      </c>
      <c r="H1173" s="6">
        <v>32.1</v>
      </c>
      <c r="I1173" s="6">
        <v>96.3</v>
      </c>
      <c r="J1173" s="6">
        <v>67276.28</v>
      </c>
    </row>
    <row r="1174" spans="1:10" outlineLevel="1" x14ac:dyDescent="0.25">
      <c r="A1174" s="8" t="s">
        <v>664</v>
      </c>
      <c r="B1174" s="3" t="s">
        <v>1125</v>
      </c>
      <c r="C1174" s="3" t="s">
        <v>4</v>
      </c>
      <c r="D1174" s="3" t="s">
        <v>1126</v>
      </c>
      <c r="E1174" s="3" t="s">
        <v>825</v>
      </c>
      <c r="F1174" s="3" t="s">
        <v>986</v>
      </c>
      <c r="G1174" s="6">
        <v>2</v>
      </c>
      <c r="H1174" s="6">
        <v>32.1</v>
      </c>
      <c r="I1174" s="6">
        <v>64.2</v>
      </c>
      <c r="J1174" s="6">
        <v>67340.479999999996</v>
      </c>
    </row>
    <row r="1175" spans="1:10" outlineLevel="1" x14ac:dyDescent="0.25">
      <c r="A1175" s="8" t="s">
        <v>664</v>
      </c>
      <c r="B1175" s="3" t="s">
        <v>1125</v>
      </c>
      <c r="C1175" s="3" t="s">
        <v>4</v>
      </c>
      <c r="D1175" s="3" t="s">
        <v>1126</v>
      </c>
      <c r="E1175" s="3" t="s">
        <v>1038</v>
      </c>
      <c r="F1175" s="3" t="s">
        <v>1039</v>
      </c>
      <c r="G1175" s="6">
        <v>1</v>
      </c>
      <c r="H1175" s="6">
        <v>32.1</v>
      </c>
      <c r="I1175" s="6">
        <v>32.1</v>
      </c>
      <c r="J1175" s="6">
        <v>67372.58</v>
      </c>
    </row>
    <row r="1176" spans="1:10" outlineLevel="1" x14ac:dyDescent="0.25">
      <c r="A1176" s="8" t="s">
        <v>664</v>
      </c>
      <c r="B1176" s="3" t="s">
        <v>1125</v>
      </c>
      <c r="C1176" s="3" t="s">
        <v>4</v>
      </c>
      <c r="D1176" s="3" t="s">
        <v>1126</v>
      </c>
      <c r="E1176" s="3" t="s">
        <v>675</v>
      </c>
      <c r="F1176" s="3" t="s">
        <v>1127</v>
      </c>
      <c r="G1176" s="6">
        <v>8</v>
      </c>
      <c r="H1176" s="6">
        <v>31.2</v>
      </c>
      <c r="I1176" s="6">
        <v>249.6</v>
      </c>
      <c r="J1176" s="6">
        <v>67622.180000000008</v>
      </c>
    </row>
    <row r="1177" spans="1:10" outlineLevel="1" x14ac:dyDescent="0.25">
      <c r="A1177" s="8" t="s">
        <v>664</v>
      </c>
      <c r="B1177" s="3" t="s">
        <v>1125</v>
      </c>
      <c r="C1177" s="3" t="s">
        <v>4</v>
      </c>
      <c r="D1177" s="3" t="s">
        <v>1126</v>
      </c>
      <c r="E1177" s="3" t="s">
        <v>1115</v>
      </c>
      <c r="F1177" s="3" t="s">
        <v>1116</v>
      </c>
      <c r="G1177" s="6">
        <v>2</v>
      </c>
      <c r="H1177" s="6">
        <v>30</v>
      </c>
      <c r="I1177" s="6">
        <v>60</v>
      </c>
      <c r="J1177" s="6">
        <v>67682.180000000008</v>
      </c>
    </row>
    <row r="1178" spans="1:10" outlineLevel="1" x14ac:dyDescent="0.25">
      <c r="A1178" s="8" t="s">
        <v>664</v>
      </c>
      <c r="B1178" s="3" t="s">
        <v>1125</v>
      </c>
      <c r="C1178" s="3" t="s">
        <v>4</v>
      </c>
      <c r="D1178" s="3" t="s">
        <v>1126</v>
      </c>
      <c r="E1178" s="3" t="s">
        <v>685</v>
      </c>
      <c r="F1178" s="3" t="s">
        <v>685</v>
      </c>
      <c r="G1178" s="6">
        <v>2</v>
      </c>
      <c r="H1178" s="6">
        <v>25.54</v>
      </c>
      <c r="I1178" s="6">
        <v>51.08</v>
      </c>
      <c r="J1178" s="6">
        <v>67733.260000000009</v>
      </c>
    </row>
    <row r="1179" spans="1:10" outlineLevel="1" x14ac:dyDescent="0.25">
      <c r="A1179" s="8" t="s">
        <v>664</v>
      </c>
      <c r="B1179" s="3" t="s">
        <v>1125</v>
      </c>
      <c r="C1179" s="3" t="s">
        <v>4</v>
      </c>
      <c r="D1179" s="3" t="s">
        <v>1126</v>
      </c>
      <c r="E1179" s="3" t="s">
        <v>686</v>
      </c>
      <c r="F1179" s="3" t="s">
        <v>942</v>
      </c>
      <c r="G1179" s="6">
        <v>8</v>
      </c>
      <c r="H1179" s="6">
        <v>25.54</v>
      </c>
      <c r="I1179" s="6">
        <v>204.32</v>
      </c>
      <c r="J1179" s="6">
        <v>67937.580000000016</v>
      </c>
    </row>
    <row r="1180" spans="1:10" outlineLevel="1" x14ac:dyDescent="0.25">
      <c r="A1180" s="8" t="s">
        <v>664</v>
      </c>
      <c r="B1180" s="3" t="s">
        <v>1125</v>
      </c>
      <c r="C1180" s="3" t="s">
        <v>4</v>
      </c>
      <c r="D1180" s="3" t="s">
        <v>1126</v>
      </c>
      <c r="E1180" s="3" t="s">
        <v>688</v>
      </c>
      <c r="F1180" s="3" t="s">
        <v>689</v>
      </c>
      <c r="G1180" s="6">
        <v>1</v>
      </c>
      <c r="H1180" s="6">
        <v>29.4</v>
      </c>
      <c r="I1180" s="6">
        <v>29.4</v>
      </c>
      <c r="J1180" s="6">
        <v>67966.98000000001</v>
      </c>
    </row>
    <row r="1181" spans="1:10" outlineLevel="1" x14ac:dyDescent="0.25">
      <c r="A1181" s="8" t="s">
        <v>664</v>
      </c>
      <c r="B1181" s="3" t="s">
        <v>1125</v>
      </c>
      <c r="C1181" s="3" t="s">
        <v>4</v>
      </c>
      <c r="D1181" s="3" t="s">
        <v>1126</v>
      </c>
      <c r="E1181" s="3" t="s">
        <v>827</v>
      </c>
      <c r="F1181" s="3" t="s">
        <v>1128</v>
      </c>
      <c r="G1181" s="6">
        <v>2</v>
      </c>
      <c r="H1181" s="6">
        <v>35.880000000000003</v>
      </c>
      <c r="I1181" s="6">
        <v>71.760000000000005</v>
      </c>
      <c r="J1181" s="6">
        <v>68038.740000000005</v>
      </c>
    </row>
    <row r="1182" spans="1:10" outlineLevel="1" x14ac:dyDescent="0.25">
      <c r="A1182" s="8" t="s">
        <v>664</v>
      </c>
      <c r="B1182" s="3" t="s">
        <v>1125</v>
      </c>
      <c r="C1182" s="3" t="s">
        <v>4</v>
      </c>
      <c r="D1182" s="3" t="s">
        <v>1126</v>
      </c>
      <c r="E1182" s="3" t="s">
        <v>828</v>
      </c>
      <c r="F1182" s="3" t="s">
        <v>987</v>
      </c>
      <c r="G1182" s="6">
        <v>2</v>
      </c>
      <c r="H1182" s="6">
        <v>28.89</v>
      </c>
      <c r="I1182" s="6">
        <v>57.78</v>
      </c>
      <c r="J1182" s="6">
        <v>68096.52</v>
      </c>
    </row>
    <row r="1183" spans="1:10" outlineLevel="1" x14ac:dyDescent="0.25">
      <c r="A1183" s="8" t="s">
        <v>664</v>
      </c>
      <c r="B1183" s="3" t="s">
        <v>1125</v>
      </c>
      <c r="C1183" s="3" t="s">
        <v>4</v>
      </c>
      <c r="D1183" s="3" t="s">
        <v>1126</v>
      </c>
      <c r="E1183" s="3" t="s">
        <v>692</v>
      </c>
      <c r="F1183" s="3" t="s">
        <v>944</v>
      </c>
      <c r="G1183" s="6">
        <v>8</v>
      </c>
      <c r="H1183" s="6">
        <v>39.68</v>
      </c>
      <c r="I1183" s="6">
        <v>317.44</v>
      </c>
      <c r="J1183" s="6">
        <v>68413.960000000006</v>
      </c>
    </row>
    <row r="1184" spans="1:10" outlineLevel="1" x14ac:dyDescent="0.25">
      <c r="A1184" s="8" t="s">
        <v>664</v>
      </c>
      <c r="B1184" s="3" t="s">
        <v>1125</v>
      </c>
      <c r="C1184" s="3" t="s">
        <v>4</v>
      </c>
      <c r="D1184" s="3" t="s">
        <v>1126</v>
      </c>
      <c r="E1184" s="3" t="s">
        <v>1042</v>
      </c>
      <c r="F1184" s="3" t="s">
        <v>1043</v>
      </c>
      <c r="G1184" s="6">
        <v>1</v>
      </c>
      <c r="H1184" s="6">
        <v>51.1</v>
      </c>
      <c r="I1184" s="6">
        <v>51.1</v>
      </c>
      <c r="J1184" s="6">
        <v>68465.060000000012</v>
      </c>
    </row>
    <row r="1185" spans="1:10" outlineLevel="1" x14ac:dyDescent="0.25">
      <c r="A1185" s="8" t="s">
        <v>664</v>
      </c>
      <c r="B1185" s="3" t="s">
        <v>1125</v>
      </c>
      <c r="C1185" s="3" t="s">
        <v>4</v>
      </c>
      <c r="D1185" s="3" t="s">
        <v>1126</v>
      </c>
      <c r="E1185" s="3" t="s">
        <v>700</v>
      </c>
      <c r="F1185" s="3" t="s">
        <v>1129</v>
      </c>
      <c r="G1185" s="6">
        <v>2</v>
      </c>
      <c r="H1185" s="6">
        <v>30.24</v>
      </c>
      <c r="I1185" s="6">
        <v>60.48</v>
      </c>
      <c r="J1185" s="6">
        <v>68525.540000000008</v>
      </c>
    </row>
    <row r="1186" spans="1:10" outlineLevel="1" x14ac:dyDescent="0.25">
      <c r="A1186" s="8" t="s">
        <v>664</v>
      </c>
      <c r="B1186" s="3" t="s">
        <v>1125</v>
      </c>
      <c r="C1186" s="3" t="s">
        <v>4</v>
      </c>
      <c r="D1186" s="3" t="s">
        <v>1126</v>
      </c>
      <c r="E1186" s="3" t="s">
        <v>704</v>
      </c>
      <c r="F1186" s="3" t="s">
        <v>1044</v>
      </c>
      <c r="G1186" s="6">
        <v>2</v>
      </c>
      <c r="H1186" s="6">
        <v>45.96</v>
      </c>
      <c r="I1186" s="6">
        <v>91.92</v>
      </c>
      <c r="J1186" s="6">
        <v>68617.460000000006</v>
      </c>
    </row>
    <row r="1187" spans="1:10" outlineLevel="1" x14ac:dyDescent="0.25">
      <c r="A1187" s="8" t="s">
        <v>664</v>
      </c>
      <c r="B1187" s="3" t="s">
        <v>1125</v>
      </c>
      <c r="C1187" s="3" t="s">
        <v>4</v>
      </c>
      <c r="D1187" s="3" t="s">
        <v>1126</v>
      </c>
      <c r="E1187" s="3" t="s">
        <v>716</v>
      </c>
      <c r="F1187" s="3" t="s">
        <v>777</v>
      </c>
      <c r="G1187" s="6">
        <v>1</v>
      </c>
      <c r="H1187" s="6">
        <v>32.1</v>
      </c>
      <c r="I1187" s="6">
        <v>32.1</v>
      </c>
      <c r="J1187" s="6">
        <v>68649.560000000012</v>
      </c>
    </row>
    <row r="1188" spans="1:10" outlineLevel="1" x14ac:dyDescent="0.25">
      <c r="A1188" s="8" t="s">
        <v>664</v>
      </c>
      <c r="B1188" s="3" t="s">
        <v>1125</v>
      </c>
      <c r="C1188" s="3" t="s">
        <v>4</v>
      </c>
      <c r="D1188" s="3" t="s">
        <v>1126</v>
      </c>
      <c r="E1188" s="3" t="s">
        <v>708</v>
      </c>
      <c r="F1188" s="3" t="s">
        <v>709</v>
      </c>
      <c r="G1188" s="6">
        <v>5</v>
      </c>
      <c r="H1188" s="6">
        <v>40.56</v>
      </c>
      <c r="I1188" s="6">
        <v>202.8</v>
      </c>
      <c r="J1188" s="6">
        <v>68852.360000000015</v>
      </c>
    </row>
    <row r="1189" spans="1:10" outlineLevel="1" x14ac:dyDescent="0.25">
      <c r="A1189" s="8" t="s">
        <v>664</v>
      </c>
      <c r="B1189" s="3" t="s">
        <v>1125</v>
      </c>
      <c r="C1189" s="3" t="s">
        <v>4</v>
      </c>
      <c r="D1189" s="3" t="s">
        <v>1126</v>
      </c>
      <c r="E1189" s="3" t="s">
        <v>710</v>
      </c>
      <c r="F1189" s="3" t="s">
        <v>1130</v>
      </c>
      <c r="G1189" s="6">
        <v>2</v>
      </c>
      <c r="H1189" s="6">
        <v>40.159999999999997</v>
      </c>
      <c r="I1189" s="6">
        <v>80.319999999999993</v>
      </c>
      <c r="J1189" s="6">
        <v>68932.680000000022</v>
      </c>
    </row>
    <row r="1190" spans="1:10" outlineLevel="1" x14ac:dyDescent="0.25">
      <c r="A1190" s="8" t="s">
        <v>664</v>
      </c>
      <c r="B1190" s="3" t="s">
        <v>1125</v>
      </c>
      <c r="C1190" s="3" t="s">
        <v>4</v>
      </c>
      <c r="D1190" s="3" t="s">
        <v>1126</v>
      </c>
      <c r="E1190" s="3" t="s">
        <v>835</v>
      </c>
      <c r="F1190" s="3" t="s">
        <v>993</v>
      </c>
      <c r="G1190" s="6">
        <v>4</v>
      </c>
      <c r="H1190" s="6">
        <v>30.82</v>
      </c>
      <c r="I1190" s="6">
        <v>123.28</v>
      </c>
      <c r="J1190" s="6">
        <v>69055.960000000021</v>
      </c>
    </row>
    <row r="1191" spans="1:10" outlineLevel="1" x14ac:dyDescent="0.25">
      <c r="A1191" s="8" t="s">
        <v>664</v>
      </c>
      <c r="B1191" s="3" t="s">
        <v>1125</v>
      </c>
      <c r="C1191" s="3" t="s">
        <v>4</v>
      </c>
      <c r="D1191" s="3" t="s">
        <v>1126</v>
      </c>
      <c r="E1191" s="3" t="s">
        <v>1117</v>
      </c>
      <c r="F1191" s="3" t="s">
        <v>1118</v>
      </c>
      <c r="G1191" s="6">
        <v>1</v>
      </c>
      <c r="H1191" s="6">
        <v>28.56</v>
      </c>
      <c r="I1191" s="6">
        <v>28.56</v>
      </c>
      <c r="J1191" s="6">
        <v>69084.520000000019</v>
      </c>
    </row>
    <row r="1192" spans="1:10" outlineLevel="1" x14ac:dyDescent="0.25">
      <c r="A1192" s="8" t="s">
        <v>664</v>
      </c>
      <c r="B1192" s="3" t="s">
        <v>1125</v>
      </c>
      <c r="C1192" s="3" t="s">
        <v>4</v>
      </c>
      <c r="D1192" s="3" t="s">
        <v>1126</v>
      </c>
      <c r="E1192" s="3" t="s">
        <v>1131</v>
      </c>
      <c r="F1192" s="3" t="s">
        <v>1132</v>
      </c>
      <c r="G1192" s="6">
        <v>2</v>
      </c>
      <c r="H1192" s="6">
        <v>28.56</v>
      </c>
      <c r="I1192" s="6">
        <v>57.12</v>
      </c>
      <c r="J1192" s="6">
        <v>69141.640000000014</v>
      </c>
    </row>
    <row r="1193" spans="1:10" outlineLevel="1" x14ac:dyDescent="0.25">
      <c r="A1193" s="8" t="s">
        <v>664</v>
      </c>
      <c r="B1193" s="3" t="s">
        <v>1125</v>
      </c>
      <c r="C1193" s="3" t="s">
        <v>4</v>
      </c>
      <c r="D1193" s="3" t="s">
        <v>1126</v>
      </c>
      <c r="E1193" s="3" t="s">
        <v>778</v>
      </c>
      <c r="F1193" s="3" t="s">
        <v>994</v>
      </c>
      <c r="G1193" s="6">
        <v>6</v>
      </c>
      <c r="H1193" s="6">
        <v>30.82</v>
      </c>
      <c r="I1193" s="6">
        <v>184.92</v>
      </c>
      <c r="J1193" s="6">
        <v>69326.560000000012</v>
      </c>
    </row>
    <row r="1194" spans="1:10" outlineLevel="1" x14ac:dyDescent="0.25">
      <c r="A1194" s="8" t="s">
        <v>664</v>
      </c>
      <c r="B1194" s="3" t="s">
        <v>1125</v>
      </c>
      <c r="C1194" s="3" t="s">
        <v>4</v>
      </c>
      <c r="D1194" s="3" t="s">
        <v>1126</v>
      </c>
      <c r="E1194" s="3" t="s">
        <v>720</v>
      </c>
      <c r="F1194" s="3" t="s">
        <v>721</v>
      </c>
      <c r="G1194" s="6">
        <v>4</v>
      </c>
      <c r="H1194" s="6">
        <v>23.96</v>
      </c>
      <c r="I1194" s="6">
        <v>95.84</v>
      </c>
      <c r="J1194" s="6">
        <v>69422.400000000009</v>
      </c>
    </row>
    <row r="1195" spans="1:10" outlineLevel="1" x14ac:dyDescent="0.25">
      <c r="A1195" s="8" t="s">
        <v>664</v>
      </c>
      <c r="B1195" s="3" t="s">
        <v>1125</v>
      </c>
      <c r="C1195" s="3" t="s">
        <v>4</v>
      </c>
      <c r="D1195" s="3" t="s">
        <v>1126</v>
      </c>
      <c r="E1195" s="3" t="s">
        <v>1133</v>
      </c>
      <c r="F1195" s="3" t="s">
        <v>1134</v>
      </c>
      <c r="G1195" s="6">
        <v>2</v>
      </c>
      <c r="H1195" s="6">
        <v>36</v>
      </c>
      <c r="I1195" s="6">
        <v>72</v>
      </c>
      <c r="J1195" s="6">
        <v>69494.400000000009</v>
      </c>
    </row>
    <row r="1196" spans="1:10" outlineLevel="1" x14ac:dyDescent="0.25">
      <c r="A1196" s="8" t="s">
        <v>664</v>
      </c>
      <c r="B1196" s="3" t="s">
        <v>1125</v>
      </c>
      <c r="C1196" s="3" t="s">
        <v>4</v>
      </c>
      <c r="D1196" s="3" t="s">
        <v>1126</v>
      </c>
      <c r="E1196" s="3" t="s">
        <v>730</v>
      </c>
      <c r="F1196" s="3" t="s">
        <v>1135</v>
      </c>
      <c r="G1196" s="6">
        <v>2</v>
      </c>
      <c r="H1196" s="6">
        <v>30.24</v>
      </c>
      <c r="I1196" s="6">
        <v>60.48</v>
      </c>
      <c r="J1196" s="6">
        <v>69554.880000000005</v>
      </c>
    </row>
    <row r="1197" spans="1:10" outlineLevel="1" x14ac:dyDescent="0.25">
      <c r="A1197" s="8" t="s">
        <v>664</v>
      </c>
      <c r="B1197" s="3" t="s">
        <v>1125</v>
      </c>
      <c r="C1197" s="3" t="s">
        <v>4</v>
      </c>
      <c r="D1197" s="3" t="s">
        <v>1126</v>
      </c>
      <c r="E1197" s="3" t="s">
        <v>780</v>
      </c>
      <c r="F1197" s="3" t="s">
        <v>1136</v>
      </c>
      <c r="G1197" s="6">
        <v>2</v>
      </c>
      <c r="H1197" s="6">
        <v>22.68</v>
      </c>
      <c r="I1197" s="6">
        <v>45.36</v>
      </c>
      <c r="J1197" s="6">
        <v>69600.240000000005</v>
      </c>
    </row>
    <row r="1198" spans="1:10" outlineLevel="1" x14ac:dyDescent="0.25">
      <c r="A1198" s="8" t="s">
        <v>664</v>
      </c>
      <c r="B1198" s="3" t="s">
        <v>1125</v>
      </c>
      <c r="C1198" s="3" t="s">
        <v>4</v>
      </c>
      <c r="D1198" s="3" t="s">
        <v>1126</v>
      </c>
      <c r="E1198" s="3" t="s">
        <v>841</v>
      </c>
      <c r="F1198" s="3" t="s">
        <v>1137</v>
      </c>
      <c r="G1198" s="6">
        <v>1</v>
      </c>
      <c r="H1198" s="6">
        <v>39.6</v>
      </c>
      <c r="I1198" s="6">
        <v>39.6</v>
      </c>
      <c r="J1198" s="6">
        <v>69639.840000000011</v>
      </c>
    </row>
    <row r="1199" spans="1:10" outlineLevel="1" x14ac:dyDescent="0.25">
      <c r="A1199" s="8" t="s">
        <v>664</v>
      </c>
      <c r="B1199" s="3" t="s">
        <v>1125</v>
      </c>
      <c r="C1199" s="3" t="s">
        <v>4</v>
      </c>
      <c r="D1199" s="3" t="s">
        <v>1126</v>
      </c>
      <c r="E1199" s="3" t="s">
        <v>1000</v>
      </c>
      <c r="F1199" s="3" t="s">
        <v>1138</v>
      </c>
      <c r="G1199" s="6">
        <v>1</v>
      </c>
      <c r="H1199" s="6">
        <v>78.959999999999994</v>
      </c>
      <c r="I1199" s="6">
        <v>78.959999999999994</v>
      </c>
      <c r="J1199" s="6">
        <v>69718.800000000017</v>
      </c>
    </row>
    <row r="1200" spans="1:10" outlineLevel="1" x14ac:dyDescent="0.25">
      <c r="A1200" s="8" t="s">
        <v>664</v>
      </c>
      <c r="B1200" s="3" t="s">
        <v>1125</v>
      </c>
      <c r="C1200" s="3" t="s">
        <v>4</v>
      </c>
      <c r="D1200" s="3" t="s">
        <v>1126</v>
      </c>
      <c r="E1200" s="3" t="s">
        <v>35</v>
      </c>
      <c r="F1200" s="3" t="s">
        <v>36</v>
      </c>
      <c r="G1200" s="6">
        <v>2</v>
      </c>
      <c r="H1200" s="6">
        <v>28.8</v>
      </c>
      <c r="I1200" s="6">
        <v>57.6</v>
      </c>
      <c r="J1200" s="6">
        <v>69776.400000000023</v>
      </c>
    </row>
    <row r="1201" spans="1:10" outlineLevel="1" x14ac:dyDescent="0.25">
      <c r="A1201" s="8" t="s">
        <v>664</v>
      </c>
      <c r="B1201" s="3" t="s">
        <v>1125</v>
      </c>
      <c r="C1201" s="3" t="s">
        <v>4</v>
      </c>
      <c r="D1201" s="3" t="s">
        <v>1126</v>
      </c>
      <c r="E1201" s="3" t="s">
        <v>754</v>
      </c>
      <c r="F1201" s="3" t="s">
        <v>952</v>
      </c>
      <c r="G1201" s="6">
        <v>3</v>
      </c>
      <c r="H1201" s="6">
        <v>38.39</v>
      </c>
      <c r="I1201" s="6">
        <v>115.17</v>
      </c>
      <c r="J1201" s="6">
        <v>69891.570000000022</v>
      </c>
    </row>
    <row r="1202" spans="1:10" outlineLevel="1" x14ac:dyDescent="0.25">
      <c r="A1202" s="8" t="s">
        <v>664</v>
      </c>
      <c r="B1202" s="3" t="s">
        <v>1125</v>
      </c>
      <c r="C1202" s="3" t="s">
        <v>4</v>
      </c>
      <c r="D1202" s="3" t="s">
        <v>1126</v>
      </c>
      <c r="E1202" s="3" t="s">
        <v>1096</v>
      </c>
      <c r="F1202" s="3" t="s">
        <v>1096</v>
      </c>
      <c r="G1202" s="6">
        <v>3</v>
      </c>
      <c r="H1202" s="6">
        <v>12.6</v>
      </c>
      <c r="I1202" s="6">
        <v>37.799999999999997</v>
      </c>
      <c r="J1202" s="6">
        <v>69929.370000000024</v>
      </c>
    </row>
    <row r="1203" spans="1:10" outlineLevel="1" x14ac:dyDescent="0.25">
      <c r="A1203" s="8" t="s">
        <v>664</v>
      </c>
      <c r="B1203" s="3" t="s">
        <v>1125</v>
      </c>
      <c r="C1203" s="3" t="s">
        <v>4</v>
      </c>
      <c r="D1203" s="3" t="s">
        <v>1126</v>
      </c>
      <c r="E1203" s="3" t="s">
        <v>1099</v>
      </c>
      <c r="F1203" s="3" t="s">
        <v>1099</v>
      </c>
      <c r="G1203" s="6">
        <v>2</v>
      </c>
      <c r="H1203" s="6">
        <v>12.6</v>
      </c>
      <c r="I1203" s="6">
        <v>25.2</v>
      </c>
      <c r="J1203" s="6">
        <v>69954.570000000022</v>
      </c>
    </row>
    <row r="1204" spans="1:10" outlineLevel="1" x14ac:dyDescent="0.25">
      <c r="A1204" s="8" t="s">
        <v>664</v>
      </c>
      <c r="B1204" s="3" t="s">
        <v>1125</v>
      </c>
      <c r="C1204" s="3" t="s">
        <v>4</v>
      </c>
      <c r="D1204" s="3" t="s">
        <v>1126</v>
      </c>
      <c r="E1204" s="3" t="s">
        <v>855</v>
      </c>
      <c r="F1204" s="3" t="s">
        <v>1053</v>
      </c>
      <c r="G1204" s="6">
        <v>2</v>
      </c>
      <c r="H1204" s="6">
        <v>13.2</v>
      </c>
      <c r="I1204" s="6">
        <v>26.4</v>
      </c>
      <c r="J1204" s="6">
        <v>69980.970000000016</v>
      </c>
    </row>
    <row r="1205" spans="1:10" outlineLevel="1" x14ac:dyDescent="0.25">
      <c r="A1205" s="8" t="s">
        <v>664</v>
      </c>
      <c r="B1205" s="3" t="s">
        <v>1125</v>
      </c>
      <c r="C1205" s="3" t="s">
        <v>4</v>
      </c>
      <c r="D1205" s="3" t="s">
        <v>1126</v>
      </c>
      <c r="E1205" s="3" t="s">
        <v>756</v>
      </c>
      <c r="F1205" s="3" t="s">
        <v>1003</v>
      </c>
      <c r="G1205" s="6">
        <v>4</v>
      </c>
      <c r="H1205" s="6">
        <v>13.2</v>
      </c>
      <c r="I1205" s="6">
        <v>52.8</v>
      </c>
      <c r="J1205" s="6">
        <v>70033.770000000019</v>
      </c>
    </row>
    <row r="1206" spans="1:10" outlineLevel="1" x14ac:dyDescent="0.25">
      <c r="A1206" s="8" t="s">
        <v>664</v>
      </c>
      <c r="B1206" s="3" t="s">
        <v>1125</v>
      </c>
      <c r="C1206" s="3" t="s">
        <v>4</v>
      </c>
      <c r="D1206" s="3" t="s">
        <v>1126</v>
      </c>
      <c r="E1206" s="3" t="s">
        <v>857</v>
      </c>
      <c r="F1206" s="3" t="s">
        <v>1054</v>
      </c>
      <c r="G1206" s="6">
        <v>2</v>
      </c>
      <c r="H1206" s="6">
        <v>13.2</v>
      </c>
      <c r="I1206" s="6">
        <v>26.4</v>
      </c>
      <c r="J1206" s="6">
        <v>70060.170000000013</v>
      </c>
    </row>
    <row r="1207" spans="1:10" outlineLevel="1" x14ac:dyDescent="0.25">
      <c r="A1207" s="8" t="s">
        <v>664</v>
      </c>
      <c r="B1207" s="3" t="s">
        <v>1125</v>
      </c>
      <c r="C1207" s="3" t="s">
        <v>4</v>
      </c>
      <c r="D1207" s="3" t="s">
        <v>1126</v>
      </c>
      <c r="E1207" s="3" t="s">
        <v>1056</v>
      </c>
      <c r="F1207" s="3" t="s">
        <v>1057</v>
      </c>
      <c r="G1207" s="6">
        <v>5</v>
      </c>
      <c r="H1207" s="6">
        <v>13.2</v>
      </c>
      <c r="I1207" s="6">
        <v>66</v>
      </c>
      <c r="J1207" s="6">
        <v>70126.170000000013</v>
      </c>
    </row>
    <row r="1208" spans="1:10" outlineLevel="1" x14ac:dyDescent="0.25">
      <c r="A1208" s="8" t="s">
        <v>664</v>
      </c>
      <c r="B1208" s="3" t="s">
        <v>1125</v>
      </c>
      <c r="C1208" s="3" t="s">
        <v>4</v>
      </c>
      <c r="D1208" s="3" t="s">
        <v>1126</v>
      </c>
      <c r="E1208" s="3" t="s">
        <v>738</v>
      </c>
      <c r="F1208" s="3" t="s">
        <v>738</v>
      </c>
      <c r="G1208" s="6">
        <v>8</v>
      </c>
      <c r="H1208" s="6">
        <v>9.07</v>
      </c>
      <c r="I1208" s="6">
        <v>72.56</v>
      </c>
      <c r="J1208" s="6">
        <v>70198.73000000001</v>
      </c>
    </row>
    <row r="1209" spans="1:10" outlineLevel="1" x14ac:dyDescent="0.25">
      <c r="A1209" s="8" t="s">
        <v>664</v>
      </c>
      <c r="B1209" s="3" t="s">
        <v>1125</v>
      </c>
      <c r="C1209" s="3" t="s">
        <v>4</v>
      </c>
      <c r="D1209" s="3" t="s">
        <v>1126</v>
      </c>
      <c r="E1209" s="3" t="s">
        <v>863</v>
      </c>
      <c r="F1209" s="3" t="s">
        <v>960</v>
      </c>
      <c r="G1209" s="6">
        <v>4</v>
      </c>
      <c r="H1209" s="6">
        <v>52.52</v>
      </c>
      <c r="I1209" s="6">
        <v>210.08</v>
      </c>
      <c r="J1209" s="6">
        <v>70408.810000000012</v>
      </c>
    </row>
    <row r="1210" spans="1:10" outlineLevel="1" x14ac:dyDescent="0.25">
      <c r="A1210" s="8" t="s">
        <v>664</v>
      </c>
      <c r="B1210" s="3" t="s">
        <v>1125</v>
      </c>
      <c r="C1210" s="3" t="s">
        <v>4</v>
      </c>
      <c r="D1210" s="3" t="s">
        <v>1126</v>
      </c>
      <c r="E1210" s="3" t="s">
        <v>739</v>
      </c>
      <c r="F1210" s="3" t="s">
        <v>964</v>
      </c>
      <c r="G1210" s="6">
        <v>18</v>
      </c>
      <c r="H1210" s="6">
        <v>14</v>
      </c>
      <c r="I1210" s="6">
        <v>252</v>
      </c>
      <c r="J1210" s="6">
        <v>70660.810000000012</v>
      </c>
    </row>
    <row r="1211" spans="1:10" outlineLevel="1" x14ac:dyDescent="0.25">
      <c r="A1211" s="8" t="s">
        <v>664</v>
      </c>
      <c r="B1211" s="3" t="s">
        <v>1125</v>
      </c>
      <c r="C1211" s="3" t="s">
        <v>4</v>
      </c>
      <c r="D1211" s="3" t="s">
        <v>1126</v>
      </c>
      <c r="E1211" s="3" t="s">
        <v>741</v>
      </c>
      <c r="F1211" s="3" t="s">
        <v>1065</v>
      </c>
      <c r="G1211" s="6">
        <v>3</v>
      </c>
      <c r="H1211" s="6">
        <v>14</v>
      </c>
      <c r="I1211" s="6">
        <v>42</v>
      </c>
      <c r="J1211" s="6">
        <v>70702.810000000012</v>
      </c>
    </row>
    <row r="1212" spans="1:10" outlineLevel="1" x14ac:dyDescent="0.25">
      <c r="A1212" s="8" t="s">
        <v>664</v>
      </c>
      <c r="B1212" s="3" t="s">
        <v>1125</v>
      </c>
      <c r="C1212" s="3" t="s">
        <v>4</v>
      </c>
      <c r="D1212" s="3" t="s">
        <v>1126</v>
      </c>
      <c r="E1212" s="3" t="s">
        <v>1068</v>
      </c>
      <c r="F1212" s="3" t="s">
        <v>1069</v>
      </c>
      <c r="G1212" s="6">
        <v>3</v>
      </c>
      <c r="H1212" s="6">
        <v>14</v>
      </c>
      <c r="I1212" s="6">
        <v>42</v>
      </c>
      <c r="J1212" s="6">
        <v>70744.810000000012</v>
      </c>
    </row>
    <row r="1213" spans="1:10" outlineLevel="1" x14ac:dyDescent="0.25">
      <c r="A1213" s="8" t="s">
        <v>664</v>
      </c>
      <c r="B1213" s="3" t="s">
        <v>1125</v>
      </c>
      <c r="C1213" s="3" t="s">
        <v>4</v>
      </c>
      <c r="D1213" s="3" t="s">
        <v>1126</v>
      </c>
      <c r="E1213" s="3" t="s">
        <v>788</v>
      </c>
      <c r="F1213" s="3" t="s">
        <v>968</v>
      </c>
      <c r="G1213" s="6">
        <v>3</v>
      </c>
      <c r="H1213" s="6">
        <v>12.84</v>
      </c>
      <c r="I1213" s="6">
        <v>38.520000000000003</v>
      </c>
      <c r="J1213" s="6">
        <v>70783.330000000016</v>
      </c>
    </row>
    <row r="1214" spans="1:10" outlineLevel="1" x14ac:dyDescent="0.25">
      <c r="A1214" s="8" t="s">
        <v>664</v>
      </c>
      <c r="B1214" s="3" t="s">
        <v>1125</v>
      </c>
      <c r="C1214" s="3" t="s">
        <v>4</v>
      </c>
      <c r="D1214" s="3" t="s">
        <v>1126</v>
      </c>
      <c r="E1214" s="3" t="s">
        <v>1010</v>
      </c>
      <c r="F1214" s="3" t="s">
        <v>1070</v>
      </c>
      <c r="G1214" s="6">
        <v>3</v>
      </c>
      <c r="H1214" s="6">
        <v>14</v>
      </c>
      <c r="I1214" s="6">
        <v>42</v>
      </c>
      <c r="J1214" s="6">
        <v>70825.330000000016</v>
      </c>
    </row>
    <row r="1215" spans="1:10" outlineLevel="1" x14ac:dyDescent="0.25">
      <c r="A1215" s="8" t="s">
        <v>664</v>
      </c>
      <c r="B1215" s="3" t="s">
        <v>1125</v>
      </c>
      <c r="C1215" s="3" t="s">
        <v>4</v>
      </c>
      <c r="D1215" s="3" t="s">
        <v>1126</v>
      </c>
      <c r="E1215" s="3" t="s">
        <v>1139</v>
      </c>
      <c r="F1215" s="3" t="s">
        <v>1140</v>
      </c>
      <c r="G1215" s="6">
        <v>3</v>
      </c>
      <c r="H1215" s="6">
        <v>9</v>
      </c>
      <c r="I1215" s="6">
        <v>27</v>
      </c>
      <c r="J1215" s="6">
        <v>70852.330000000016</v>
      </c>
    </row>
    <row r="1216" spans="1:10" outlineLevel="1" x14ac:dyDescent="0.25">
      <c r="A1216" s="8" t="s">
        <v>664</v>
      </c>
      <c r="B1216" s="3" t="s">
        <v>1125</v>
      </c>
      <c r="C1216" s="3" t="s">
        <v>4</v>
      </c>
      <c r="D1216" s="3" t="s">
        <v>1126</v>
      </c>
      <c r="E1216" s="3" t="s">
        <v>62</v>
      </c>
      <c r="F1216" s="3" t="s">
        <v>63</v>
      </c>
      <c r="G1216" s="6">
        <v>10</v>
      </c>
      <c r="H1216" s="6">
        <v>13.57</v>
      </c>
      <c r="I1216" s="6">
        <v>135.69999999999999</v>
      </c>
      <c r="J1216" s="6">
        <v>70988.030000000013</v>
      </c>
    </row>
    <row r="1217" spans="1:10" outlineLevel="1" x14ac:dyDescent="0.25">
      <c r="A1217" s="8" t="s">
        <v>664</v>
      </c>
      <c r="B1217" s="3" t="s">
        <v>1125</v>
      </c>
      <c r="C1217" s="3" t="s">
        <v>4</v>
      </c>
      <c r="D1217" s="3" t="s">
        <v>1126</v>
      </c>
      <c r="E1217" s="3" t="s">
        <v>56</v>
      </c>
      <c r="F1217" s="3" t="s">
        <v>57</v>
      </c>
      <c r="G1217" s="6">
        <v>2</v>
      </c>
      <c r="H1217" s="6">
        <v>51.1</v>
      </c>
      <c r="I1217" s="6">
        <v>102.2</v>
      </c>
      <c r="J1217" s="6">
        <v>71090.23000000001</v>
      </c>
    </row>
    <row r="1218" spans="1:10" outlineLevel="1" x14ac:dyDescent="0.25">
      <c r="A1218" s="8" t="s">
        <v>664</v>
      </c>
      <c r="B1218" s="3" t="s">
        <v>1125</v>
      </c>
      <c r="C1218" s="3" t="s">
        <v>4</v>
      </c>
      <c r="D1218" s="3" t="s">
        <v>1126</v>
      </c>
      <c r="E1218" s="3" t="s">
        <v>58</v>
      </c>
      <c r="F1218" s="3" t="s">
        <v>59</v>
      </c>
      <c r="G1218" s="6">
        <v>2</v>
      </c>
      <c r="H1218" s="6">
        <v>57.39</v>
      </c>
      <c r="I1218" s="6">
        <v>114.78</v>
      </c>
      <c r="J1218" s="6">
        <v>71205.010000000009</v>
      </c>
    </row>
    <row r="1219" spans="1:10" outlineLevel="1" x14ac:dyDescent="0.25">
      <c r="A1219" s="8" t="s">
        <v>664</v>
      </c>
      <c r="B1219" s="3" t="s">
        <v>1125</v>
      </c>
      <c r="C1219" s="3" t="s">
        <v>4</v>
      </c>
      <c r="D1219" s="3" t="s">
        <v>1126</v>
      </c>
      <c r="E1219" s="3" t="s">
        <v>348</v>
      </c>
      <c r="F1219" s="3" t="s">
        <v>433</v>
      </c>
      <c r="G1219" s="6">
        <v>8</v>
      </c>
      <c r="H1219" s="6">
        <v>18.32</v>
      </c>
      <c r="I1219" s="6">
        <v>146.56</v>
      </c>
      <c r="J1219" s="6">
        <v>71351.570000000007</v>
      </c>
    </row>
    <row r="1220" spans="1:10" outlineLevel="1" x14ac:dyDescent="0.25">
      <c r="A1220" s="8" t="s">
        <v>664</v>
      </c>
      <c r="B1220" s="3" t="s">
        <v>1125</v>
      </c>
      <c r="C1220" s="3" t="s">
        <v>4</v>
      </c>
      <c r="D1220" s="3" t="s">
        <v>1126</v>
      </c>
      <c r="E1220" s="3" t="s">
        <v>799</v>
      </c>
      <c r="F1220" s="3" t="s">
        <v>1141</v>
      </c>
      <c r="G1220" s="6">
        <v>5</v>
      </c>
      <c r="H1220" s="6">
        <v>26.4</v>
      </c>
      <c r="I1220" s="6">
        <v>132</v>
      </c>
      <c r="J1220" s="6">
        <v>71483.570000000007</v>
      </c>
    </row>
    <row r="1221" spans="1:10" outlineLevel="1" x14ac:dyDescent="0.25">
      <c r="A1221" s="8" t="s">
        <v>664</v>
      </c>
      <c r="B1221" s="3" t="s">
        <v>1125</v>
      </c>
      <c r="C1221" s="3" t="s">
        <v>4</v>
      </c>
      <c r="D1221" s="3" t="s">
        <v>1126</v>
      </c>
      <c r="E1221" s="3" t="s">
        <v>803</v>
      </c>
      <c r="F1221" s="3" t="s">
        <v>1016</v>
      </c>
      <c r="G1221" s="6">
        <v>3</v>
      </c>
      <c r="H1221" s="6">
        <v>22</v>
      </c>
      <c r="I1221" s="6">
        <v>66</v>
      </c>
      <c r="J1221" s="6">
        <v>71549.570000000007</v>
      </c>
    </row>
    <row r="1222" spans="1:10" outlineLevel="1" x14ac:dyDescent="0.25">
      <c r="A1222" s="8" t="s">
        <v>664</v>
      </c>
      <c r="B1222" s="3" t="s">
        <v>1125</v>
      </c>
      <c r="C1222" s="3" t="s">
        <v>4</v>
      </c>
      <c r="D1222" s="3" t="s">
        <v>1126</v>
      </c>
      <c r="E1222" s="3" t="s">
        <v>902</v>
      </c>
      <c r="F1222" s="3" t="s">
        <v>1017</v>
      </c>
      <c r="G1222" s="6">
        <v>2</v>
      </c>
      <c r="H1222" s="6">
        <v>72.72</v>
      </c>
      <c r="I1222" s="6">
        <v>145.44</v>
      </c>
      <c r="J1222" s="6">
        <v>71695.010000000009</v>
      </c>
    </row>
    <row r="1223" spans="1:10" outlineLevel="1" x14ac:dyDescent="0.25">
      <c r="A1223" s="8" t="s">
        <v>664</v>
      </c>
      <c r="B1223" s="3" t="s">
        <v>1125</v>
      </c>
      <c r="C1223" s="3" t="s">
        <v>4</v>
      </c>
      <c r="D1223" s="3" t="s">
        <v>1126</v>
      </c>
      <c r="E1223" s="3" t="s">
        <v>748</v>
      </c>
      <c r="F1223" s="3" t="s">
        <v>1142</v>
      </c>
      <c r="G1223" s="6">
        <v>1</v>
      </c>
      <c r="H1223" s="6">
        <v>78</v>
      </c>
      <c r="I1223" s="6">
        <v>78</v>
      </c>
      <c r="J1223" s="6">
        <v>71773.010000000009</v>
      </c>
    </row>
    <row r="1224" spans="1:10" ht="23.25" outlineLevel="1" x14ac:dyDescent="0.25">
      <c r="A1224" s="8" t="s">
        <v>664</v>
      </c>
      <c r="B1224" s="3" t="s">
        <v>1125</v>
      </c>
      <c r="C1224" s="3" t="s">
        <v>4</v>
      </c>
      <c r="D1224" s="3" t="s">
        <v>1126</v>
      </c>
      <c r="E1224" s="3" t="s">
        <v>904</v>
      </c>
      <c r="F1224" s="3" t="s">
        <v>1073</v>
      </c>
      <c r="G1224" s="6">
        <v>1</v>
      </c>
      <c r="H1224" s="6">
        <v>27</v>
      </c>
      <c r="I1224" s="6">
        <v>27</v>
      </c>
      <c r="J1224" s="6">
        <v>71800.010000000009</v>
      </c>
    </row>
    <row r="1225" spans="1:10" outlineLevel="1" x14ac:dyDescent="0.25">
      <c r="A1225" s="8" t="s">
        <v>664</v>
      </c>
      <c r="B1225" s="3" t="s">
        <v>1125</v>
      </c>
      <c r="C1225" s="3" t="s">
        <v>4</v>
      </c>
      <c r="D1225" s="3" t="s">
        <v>1126</v>
      </c>
      <c r="E1225" s="3" t="s">
        <v>910</v>
      </c>
      <c r="F1225" s="3" t="s">
        <v>976</v>
      </c>
      <c r="G1225" s="6">
        <v>2</v>
      </c>
      <c r="H1225" s="6">
        <v>42.24</v>
      </c>
      <c r="I1225" s="6">
        <v>84.48</v>
      </c>
      <c r="J1225" s="6">
        <v>71884.490000000005</v>
      </c>
    </row>
    <row r="1226" spans="1:10" outlineLevel="1" x14ac:dyDescent="0.25">
      <c r="A1226" s="8" t="s">
        <v>664</v>
      </c>
      <c r="B1226" s="3" t="s">
        <v>1125</v>
      </c>
      <c r="C1226" s="3" t="s">
        <v>4</v>
      </c>
      <c r="D1226" s="3" t="s">
        <v>1126</v>
      </c>
      <c r="E1226" s="3" t="s">
        <v>914</v>
      </c>
      <c r="F1226" s="3" t="s">
        <v>977</v>
      </c>
      <c r="G1226" s="6">
        <v>1</v>
      </c>
      <c r="H1226" s="6">
        <v>49.95</v>
      </c>
      <c r="I1226" s="6">
        <v>49.95</v>
      </c>
      <c r="J1226" s="6">
        <v>71934.44</v>
      </c>
    </row>
    <row r="1227" spans="1:10" outlineLevel="1" x14ac:dyDescent="0.25">
      <c r="A1227" s="8" t="s">
        <v>664</v>
      </c>
      <c r="B1227" s="3" t="s">
        <v>1125</v>
      </c>
      <c r="C1227" s="3" t="s">
        <v>4</v>
      </c>
      <c r="D1227" s="3" t="s">
        <v>1126</v>
      </c>
      <c r="E1227" s="3" t="s">
        <v>1119</v>
      </c>
      <c r="F1227" s="3" t="s">
        <v>1120</v>
      </c>
      <c r="G1227" s="6">
        <v>2</v>
      </c>
      <c r="H1227" s="6">
        <v>25.02</v>
      </c>
      <c r="I1227" s="6">
        <v>50.04</v>
      </c>
      <c r="J1227" s="6">
        <v>71984.479999999996</v>
      </c>
    </row>
    <row r="1228" spans="1:10" outlineLevel="1" x14ac:dyDescent="0.25">
      <c r="A1228" s="8" t="s">
        <v>664</v>
      </c>
      <c r="B1228" s="3" t="s">
        <v>1125</v>
      </c>
      <c r="C1228" s="3" t="s">
        <v>4</v>
      </c>
      <c r="D1228" s="3" t="s">
        <v>1126</v>
      </c>
      <c r="E1228" s="3" t="s">
        <v>1110</v>
      </c>
      <c r="F1228" s="3" t="s">
        <v>1111</v>
      </c>
      <c r="G1228" s="6">
        <v>2</v>
      </c>
      <c r="H1228" s="6">
        <v>23.76</v>
      </c>
      <c r="I1228" s="6">
        <v>47.52</v>
      </c>
      <c r="J1228" s="6">
        <v>72032</v>
      </c>
    </row>
    <row r="1229" spans="1:10" outlineLevel="1" x14ac:dyDescent="0.25">
      <c r="A1229" s="8" t="s">
        <v>664</v>
      </c>
      <c r="B1229" s="3" t="s">
        <v>1125</v>
      </c>
      <c r="C1229" s="3" t="s">
        <v>4</v>
      </c>
      <c r="D1229" s="3" t="s">
        <v>1126</v>
      </c>
      <c r="E1229" s="3" t="s">
        <v>1123</v>
      </c>
      <c r="F1229" s="3" t="s">
        <v>1143</v>
      </c>
      <c r="G1229" s="6">
        <v>2</v>
      </c>
      <c r="H1229" s="6">
        <v>55.8</v>
      </c>
      <c r="I1229" s="6">
        <v>111.6</v>
      </c>
      <c r="J1229" s="6">
        <v>72143.600000000006</v>
      </c>
    </row>
    <row r="1230" spans="1:10" outlineLevel="1" x14ac:dyDescent="0.25">
      <c r="A1230" s="8" t="s">
        <v>664</v>
      </c>
      <c r="B1230" s="3" t="s">
        <v>1125</v>
      </c>
      <c r="C1230" s="3" t="s">
        <v>4</v>
      </c>
      <c r="D1230" s="3" t="s">
        <v>1126</v>
      </c>
      <c r="E1230" s="3" t="s">
        <v>809</v>
      </c>
      <c r="F1230" s="3" t="s">
        <v>1144</v>
      </c>
      <c r="G1230" s="6">
        <v>6</v>
      </c>
      <c r="H1230" s="6">
        <v>32.74</v>
      </c>
      <c r="I1230" s="6">
        <v>196.44</v>
      </c>
      <c r="J1230" s="6">
        <v>72340.040000000008</v>
      </c>
    </row>
    <row r="1231" spans="1:10" outlineLevel="1" x14ac:dyDescent="0.25">
      <c r="A1231" s="8" t="s">
        <v>664</v>
      </c>
      <c r="B1231" s="3" t="s">
        <v>1125</v>
      </c>
      <c r="C1231" s="3" t="s">
        <v>4</v>
      </c>
      <c r="D1231" s="3" t="s">
        <v>1126</v>
      </c>
      <c r="E1231" s="3" t="s">
        <v>1145</v>
      </c>
      <c r="F1231" s="3" t="s">
        <v>1146</v>
      </c>
      <c r="G1231" s="6">
        <v>1</v>
      </c>
      <c r="H1231" s="6">
        <v>58.5</v>
      </c>
      <c r="I1231" s="6">
        <v>58.5</v>
      </c>
      <c r="J1231" s="6">
        <v>72398.540000000008</v>
      </c>
    </row>
    <row r="1232" spans="1:10" outlineLevel="1" x14ac:dyDescent="0.25">
      <c r="A1232" s="8" t="s">
        <v>664</v>
      </c>
      <c r="B1232" s="3" t="s">
        <v>1125</v>
      </c>
      <c r="C1232" s="3" t="s">
        <v>4</v>
      </c>
      <c r="D1232" s="3" t="s">
        <v>1126</v>
      </c>
      <c r="E1232" s="3" t="s">
        <v>811</v>
      </c>
      <c r="F1232" s="3" t="s">
        <v>1147</v>
      </c>
      <c r="G1232" s="6">
        <v>2</v>
      </c>
      <c r="H1232" s="6">
        <v>49.8</v>
      </c>
      <c r="I1232" s="6">
        <v>99.6</v>
      </c>
      <c r="J1232" s="6">
        <v>72498.140000000014</v>
      </c>
    </row>
    <row r="1233" spans="1:10" outlineLevel="1" x14ac:dyDescent="0.25">
      <c r="A1233" s="8" t="s">
        <v>664</v>
      </c>
      <c r="B1233" s="3" t="s">
        <v>1125</v>
      </c>
      <c r="C1233" s="3" t="s">
        <v>4</v>
      </c>
      <c r="D1233" s="3" t="s">
        <v>1126</v>
      </c>
      <c r="E1233" s="3" t="s">
        <v>813</v>
      </c>
      <c r="F1233" s="3" t="s">
        <v>1024</v>
      </c>
      <c r="G1233" s="6">
        <v>6</v>
      </c>
      <c r="H1233" s="6">
        <v>54.57</v>
      </c>
      <c r="I1233" s="6">
        <v>327.42</v>
      </c>
      <c r="J1233" s="6">
        <v>72825.560000000012</v>
      </c>
    </row>
    <row r="1234" spans="1:10" outlineLevel="1" x14ac:dyDescent="0.25">
      <c r="A1234" s="8" t="s">
        <v>664</v>
      </c>
      <c r="B1234" s="3" t="s">
        <v>1125</v>
      </c>
      <c r="C1234" s="3" t="s">
        <v>4</v>
      </c>
      <c r="D1234" s="3" t="s">
        <v>1126</v>
      </c>
      <c r="E1234" s="3" t="s">
        <v>815</v>
      </c>
      <c r="F1234" s="3" t="s">
        <v>1148</v>
      </c>
      <c r="G1234" s="6">
        <v>2</v>
      </c>
      <c r="H1234" s="6">
        <v>45</v>
      </c>
      <c r="I1234" s="6">
        <v>90</v>
      </c>
      <c r="J1234" s="6">
        <v>72915.560000000012</v>
      </c>
    </row>
    <row r="1235" spans="1:10" outlineLevel="1" x14ac:dyDescent="0.25">
      <c r="A1235" s="8" t="s">
        <v>664</v>
      </c>
      <c r="B1235" s="3" t="s">
        <v>1125</v>
      </c>
      <c r="C1235" s="3" t="s">
        <v>4</v>
      </c>
      <c r="D1235" s="3" t="s">
        <v>1126</v>
      </c>
      <c r="E1235" s="3" t="s">
        <v>774</v>
      </c>
      <c r="F1235" s="3" t="s">
        <v>981</v>
      </c>
      <c r="G1235" s="6">
        <v>5</v>
      </c>
      <c r="H1235" s="6">
        <v>26.4</v>
      </c>
      <c r="I1235" s="6">
        <v>132</v>
      </c>
      <c r="J1235" s="6">
        <v>73047.560000000012</v>
      </c>
    </row>
    <row r="1236" spans="1:10" outlineLevel="1" x14ac:dyDescent="0.25">
      <c r="A1236" s="8" t="s">
        <v>664</v>
      </c>
      <c r="B1236" s="3" t="s">
        <v>1125</v>
      </c>
      <c r="C1236" s="3" t="s">
        <v>4</v>
      </c>
      <c r="D1236" s="3" t="s">
        <v>1126</v>
      </c>
      <c r="E1236" s="3" t="s">
        <v>1149</v>
      </c>
      <c r="F1236" s="3" t="s">
        <v>1150</v>
      </c>
      <c r="G1236" s="6">
        <v>16</v>
      </c>
      <c r="H1236" s="6">
        <v>18</v>
      </c>
      <c r="I1236" s="6">
        <v>288</v>
      </c>
      <c r="J1236" s="6">
        <v>73335.560000000012</v>
      </c>
    </row>
    <row r="1237" spans="1:10" outlineLevel="1" x14ac:dyDescent="0.25">
      <c r="A1237" s="8" t="s">
        <v>664</v>
      </c>
      <c r="B1237" s="3" t="s">
        <v>1125</v>
      </c>
      <c r="C1237" s="3" t="s">
        <v>4</v>
      </c>
      <c r="D1237" s="3" t="s">
        <v>1126</v>
      </c>
      <c r="E1237" s="3" t="s">
        <v>656</v>
      </c>
      <c r="F1237" s="3" t="s">
        <v>657</v>
      </c>
      <c r="G1237" s="6">
        <v>20</v>
      </c>
      <c r="H1237" s="6">
        <v>36</v>
      </c>
      <c r="I1237" s="6">
        <v>720</v>
      </c>
      <c r="J1237" s="6">
        <v>74055.560000000012</v>
      </c>
    </row>
    <row r="1238" spans="1:10" outlineLevel="1" x14ac:dyDescent="0.25">
      <c r="A1238" s="8" t="s">
        <v>664</v>
      </c>
      <c r="B1238" s="3" t="s">
        <v>1125</v>
      </c>
      <c r="C1238" s="3" t="s">
        <v>4</v>
      </c>
      <c r="D1238" s="3" t="s">
        <v>1126</v>
      </c>
      <c r="E1238" s="3" t="s">
        <v>1018</v>
      </c>
      <c r="F1238" s="3" t="s">
        <v>1032</v>
      </c>
      <c r="G1238" s="6">
        <v>5</v>
      </c>
      <c r="H1238" s="6">
        <v>19.2</v>
      </c>
      <c r="I1238" s="6">
        <v>96</v>
      </c>
      <c r="J1238" s="6">
        <v>74151.560000000012</v>
      </c>
    </row>
    <row r="1239" spans="1:10" outlineLevel="1" x14ac:dyDescent="0.25">
      <c r="A1239" s="8" t="s">
        <v>664</v>
      </c>
      <c r="B1239" s="3" t="s">
        <v>1125</v>
      </c>
      <c r="C1239" s="3" t="s">
        <v>4</v>
      </c>
      <c r="D1239" s="3" t="s">
        <v>1126</v>
      </c>
      <c r="E1239" s="3" t="s">
        <v>1151</v>
      </c>
      <c r="F1239" s="3" t="s">
        <v>1152</v>
      </c>
      <c r="G1239" s="6">
        <v>6</v>
      </c>
      <c r="H1239" s="6">
        <v>26.84</v>
      </c>
      <c r="I1239" s="6">
        <v>161.04</v>
      </c>
      <c r="J1239" s="6">
        <v>74312.600000000006</v>
      </c>
    </row>
    <row r="1240" spans="1:10" outlineLevel="1" x14ac:dyDescent="0.25">
      <c r="A1240" s="8" t="s">
        <v>664</v>
      </c>
      <c r="B1240" s="3" t="s">
        <v>1153</v>
      </c>
      <c r="C1240" s="3" t="s">
        <v>4</v>
      </c>
      <c r="D1240" s="3" t="s">
        <v>1154</v>
      </c>
      <c r="E1240" s="3" t="s">
        <v>667</v>
      </c>
      <c r="F1240" s="3" t="s">
        <v>985</v>
      </c>
      <c r="G1240" s="6">
        <v>6</v>
      </c>
      <c r="H1240" s="6">
        <v>30.82</v>
      </c>
      <c r="I1240" s="6">
        <v>184.92</v>
      </c>
      <c r="J1240" s="6">
        <v>74497.52</v>
      </c>
    </row>
    <row r="1241" spans="1:10" outlineLevel="1" x14ac:dyDescent="0.25">
      <c r="A1241" s="8" t="s">
        <v>664</v>
      </c>
      <c r="B1241" s="3" t="s">
        <v>1153</v>
      </c>
      <c r="C1241" s="3" t="s">
        <v>4</v>
      </c>
      <c r="D1241" s="3" t="s">
        <v>1154</v>
      </c>
      <c r="E1241" s="3" t="s">
        <v>669</v>
      </c>
      <c r="F1241" s="3" t="s">
        <v>941</v>
      </c>
      <c r="G1241" s="6">
        <v>8</v>
      </c>
      <c r="H1241" s="6">
        <v>30.82</v>
      </c>
      <c r="I1241" s="6">
        <v>246.56</v>
      </c>
      <c r="J1241" s="6">
        <v>74744.08</v>
      </c>
    </row>
    <row r="1242" spans="1:10" outlineLevel="1" x14ac:dyDescent="0.25">
      <c r="A1242" s="8" t="s">
        <v>664</v>
      </c>
      <c r="B1242" s="3" t="s">
        <v>1153</v>
      </c>
      <c r="C1242" s="3" t="s">
        <v>4</v>
      </c>
      <c r="D1242" s="3" t="s">
        <v>1154</v>
      </c>
      <c r="E1242" s="3" t="s">
        <v>671</v>
      </c>
      <c r="F1242" s="3" t="s">
        <v>1035</v>
      </c>
      <c r="G1242" s="6">
        <v>4</v>
      </c>
      <c r="H1242" s="6">
        <v>33.119999999999997</v>
      </c>
      <c r="I1242" s="6">
        <v>132.47999999999999</v>
      </c>
      <c r="J1242" s="6">
        <v>74876.56</v>
      </c>
    </row>
    <row r="1243" spans="1:10" outlineLevel="1" x14ac:dyDescent="0.25">
      <c r="A1243" s="8" t="s">
        <v>664</v>
      </c>
      <c r="B1243" s="3" t="s">
        <v>1153</v>
      </c>
      <c r="C1243" s="3" t="s">
        <v>4</v>
      </c>
      <c r="D1243" s="3" t="s">
        <v>1154</v>
      </c>
      <c r="E1243" s="3" t="s">
        <v>823</v>
      </c>
      <c r="F1243" s="3" t="s">
        <v>1036</v>
      </c>
      <c r="G1243" s="6">
        <v>2</v>
      </c>
      <c r="H1243" s="6">
        <v>40.82</v>
      </c>
      <c r="I1243" s="6">
        <v>81.64</v>
      </c>
      <c r="J1243" s="6">
        <v>74958.2</v>
      </c>
    </row>
    <row r="1244" spans="1:10" outlineLevel="1" x14ac:dyDescent="0.25">
      <c r="A1244" s="8" t="s">
        <v>664</v>
      </c>
      <c r="B1244" s="3" t="s">
        <v>1153</v>
      </c>
      <c r="C1244" s="3" t="s">
        <v>4</v>
      </c>
      <c r="D1244" s="3" t="s">
        <v>1154</v>
      </c>
      <c r="E1244" s="3" t="s">
        <v>673</v>
      </c>
      <c r="F1244" s="3" t="s">
        <v>1037</v>
      </c>
      <c r="G1244" s="6">
        <v>2</v>
      </c>
      <c r="H1244" s="6">
        <v>33.380000000000003</v>
      </c>
      <c r="I1244" s="6">
        <v>66.760000000000005</v>
      </c>
      <c r="J1244" s="6">
        <v>75024.959999999992</v>
      </c>
    </row>
    <row r="1245" spans="1:10" outlineLevel="1" x14ac:dyDescent="0.25">
      <c r="A1245" s="8" t="s">
        <v>664</v>
      </c>
      <c r="B1245" s="3" t="s">
        <v>1153</v>
      </c>
      <c r="C1245" s="3" t="s">
        <v>4</v>
      </c>
      <c r="D1245" s="3" t="s">
        <v>1154</v>
      </c>
      <c r="E1245" s="3" t="s">
        <v>1155</v>
      </c>
      <c r="F1245" s="3" t="s">
        <v>1156</v>
      </c>
      <c r="G1245" s="6">
        <v>3</v>
      </c>
      <c r="H1245" s="6">
        <v>32.1</v>
      </c>
      <c r="I1245" s="6">
        <v>96.3</v>
      </c>
      <c r="J1245" s="6">
        <v>75121.259999999995</v>
      </c>
    </row>
    <row r="1246" spans="1:10" outlineLevel="1" x14ac:dyDescent="0.25">
      <c r="A1246" s="8" t="s">
        <v>664</v>
      </c>
      <c r="B1246" s="3" t="s">
        <v>1153</v>
      </c>
      <c r="C1246" s="3" t="s">
        <v>4</v>
      </c>
      <c r="D1246" s="3" t="s">
        <v>1154</v>
      </c>
      <c r="E1246" s="3" t="s">
        <v>1038</v>
      </c>
      <c r="F1246" s="3" t="s">
        <v>1039</v>
      </c>
      <c r="G1246" s="6">
        <v>4</v>
      </c>
      <c r="H1246" s="6">
        <v>32.1</v>
      </c>
      <c r="I1246" s="6">
        <v>128.4</v>
      </c>
      <c r="J1246" s="6">
        <v>75249.659999999989</v>
      </c>
    </row>
    <row r="1247" spans="1:10" outlineLevel="1" x14ac:dyDescent="0.25">
      <c r="A1247" s="8" t="s">
        <v>664</v>
      </c>
      <c r="B1247" s="3" t="s">
        <v>1153</v>
      </c>
      <c r="C1247" s="3" t="s">
        <v>4</v>
      </c>
      <c r="D1247" s="3" t="s">
        <v>1154</v>
      </c>
      <c r="E1247" s="3" t="s">
        <v>675</v>
      </c>
      <c r="F1247" s="3" t="s">
        <v>1127</v>
      </c>
      <c r="G1247" s="6">
        <v>6</v>
      </c>
      <c r="H1247" s="6">
        <v>31.2</v>
      </c>
      <c r="I1247" s="6">
        <v>187.2</v>
      </c>
      <c r="J1247" s="6">
        <v>75436.859999999986</v>
      </c>
    </row>
    <row r="1248" spans="1:10" outlineLevel="1" x14ac:dyDescent="0.25">
      <c r="A1248" s="8" t="s">
        <v>664</v>
      </c>
      <c r="B1248" s="3" t="s">
        <v>1153</v>
      </c>
      <c r="C1248" s="3" t="s">
        <v>4</v>
      </c>
      <c r="D1248" s="3" t="s">
        <v>1154</v>
      </c>
      <c r="E1248" s="3" t="s">
        <v>1115</v>
      </c>
      <c r="F1248" s="3" t="s">
        <v>1116</v>
      </c>
      <c r="G1248" s="6">
        <v>2</v>
      </c>
      <c r="H1248" s="6">
        <v>30</v>
      </c>
      <c r="I1248" s="6">
        <v>60</v>
      </c>
      <c r="J1248" s="6">
        <v>75496.859999999986</v>
      </c>
    </row>
    <row r="1249" spans="1:10" outlineLevel="1" x14ac:dyDescent="0.25">
      <c r="A1249" s="8" t="s">
        <v>664</v>
      </c>
      <c r="B1249" s="3" t="s">
        <v>1153</v>
      </c>
      <c r="C1249" s="3" t="s">
        <v>4</v>
      </c>
      <c r="D1249" s="3" t="s">
        <v>1154</v>
      </c>
      <c r="E1249" s="3" t="s">
        <v>685</v>
      </c>
      <c r="F1249" s="3" t="s">
        <v>685</v>
      </c>
      <c r="G1249" s="6">
        <v>6</v>
      </c>
      <c r="H1249" s="6">
        <v>25.54</v>
      </c>
      <c r="I1249" s="6">
        <v>153.24</v>
      </c>
      <c r="J1249" s="6">
        <v>75650.099999999991</v>
      </c>
    </row>
    <row r="1250" spans="1:10" outlineLevel="1" x14ac:dyDescent="0.25">
      <c r="A1250" s="8" t="s">
        <v>664</v>
      </c>
      <c r="B1250" s="3" t="s">
        <v>1153</v>
      </c>
      <c r="C1250" s="3" t="s">
        <v>4</v>
      </c>
      <c r="D1250" s="3" t="s">
        <v>1154</v>
      </c>
      <c r="E1250" s="3" t="s">
        <v>828</v>
      </c>
      <c r="F1250" s="3" t="s">
        <v>987</v>
      </c>
      <c r="G1250" s="6">
        <v>2</v>
      </c>
      <c r="H1250" s="6">
        <v>28.88</v>
      </c>
      <c r="I1250" s="6">
        <v>57.76</v>
      </c>
      <c r="J1250" s="6">
        <v>75707.859999999986</v>
      </c>
    </row>
    <row r="1251" spans="1:10" outlineLevel="1" x14ac:dyDescent="0.25">
      <c r="A1251" s="8" t="s">
        <v>664</v>
      </c>
      <c r="B1251" s="3" t="s">
        <v>1153</v>
      </c>
      <c r="C1251" s="3" t="s">
        <v>4</v>
      </c>
      <c r="D1251" s="3" t="s">
        <v>1154</v>
      </c>
      <c r="E1251" s="3" t="s">
        <v>830</v>
      </c>
      <c r="F1251" s="3" t="s">
        <v>943</v>
      </c>
      <c r="G1251" s="6">
        <v>1</v>
      </c>
      <c r="H1251" s="6">
        <v>28.88</v>
      </c>
      <c r="I1251" s="6">
        <v>28.88</v>
      </c>
      <c r="J1251" s="6">
        <v>75736.739999999991</v>
      </c>
    </row>
    <row r="1252" spans="1:10" outlineLevel="1" x14ac:dyDescent="0.25">
      <c r="A1252" s="8" t="s">
        <v>664</v>
      </c>
      <c r="B1252" s="3" t="s">
        <v>1153</v>
      </c>
      <c r="C1252" s="3" t="s">
        <v>4</v>
      </c>
      <c r="D1252" s="3" t="s">
        <v>1154</v>
      </c>
      <c r="E1252" s="3" t="s">
        <v>692</v>
      </c>
      <c r="F1252" s="3" t="s">
        <v>944</v>
      </c>
      <c r="G1252" s="6">
        <v>25</v>
      </c>
      <c r="H1252" s="6">
        <v>39.68</v>
      </c>
      <c r="I1252" s="6">
        <v>992</v>
      </c>
      <c r="J1252" s="6">
        <v>76728.739999999991</v>
      </c>
    </row>
    <row r="1253" spans="1:10" outlineLevel="1" x14ac:dyDescent="0.25">
      <c r="A1253" s="8" t="s">
        <v>664</v>
      </c>
      <c r="B1253" s="3" t="s">
        <v>1153</v>
      </c>
      <c r="C1253" s="3" t="s">
        <v>4</v>
      </c>
      <c r="D1253" s="3" t="s">
        <v>1154</v>
      </c>
      <c r="E1253" s="3" t="s">
        <v>694</v>
      </c>
      <c r="F1253" s="3" t="s">
        <v>1041</v>
      </c>
      <c r="G1253" s="6">
        <v>3</v>
      </c>
      <c r="H1253" s="6">
        <v>38.159999999999997</v>
      </c>
      <c r="I1253" s="6">
        <v>114.48</v>
      </c>
      <c r="J1253" s="6">
        <v>76843.219999999987</v>
      </c>
    </row>
    <row r="1254" spans="1:10" outlineLevel="1" x14ac:dyDescent="0.25">
      <c r="A1254" s="8" t="s">
        <v>664</v>
      </c>
      <c r="B1254" s="3" t="s">
        <v>1153</v>
      </c>
      <c r="C1254" s="3" t="s">
        <v>4</v>
      </c>
      <c r="D1254" s="3" t="s">
        <v>1154</v>
      </c>
      <c r="E1254" s="3" t="s">
        <v>698</v>
      </c>
      <c r="F1254" s="3" t="s">
        <v>991</v>
      </c>
      <c r="G1254" s="6">
        <v>50</v>
      </c>
      <c r="H1254" s="6">
        <v>23.96</v>
      </c>
      <c r="I1254" s="6">
        <v>1198</v>
      </c>
      <c r="J1254" s="6">
        <v>78041.219999999987</v>
      </c>
    </row>
    <row r="1255" spans="1:10" outlineLevel="1" x14ac:dyDescent="0.25">
      <c r="A1255" s="8" t="s">
        <v>664</v>
      </c>
      <c r="B1255" s="3" t="s">
        <v>1153</v>
      </c>
      <c r="C1255" s="3" t="s">
        <v>4</v>
      </c>
      <c r="D1255" s="3" t="s">
        <v>1154</v>
      </c>
      <c r="E1255" s="3" t="s">
        <v>702</v>
      </c>
      <c r="F1255" s="3" t="s">
        <v>992</v>
      </c>
      <c r="G1255" s="6">
        <v>10</v>
      </c>
      <c r="H1255" s="6">
        <v>45.96</v>
      </c>
      <c r="I1255" s="6">
        <v>459.6</v>
      </c>
      <c r="J1255" s="6">
        <v>78500.819999999992</v>
      </c>
    </row>
    <row r="1256" spans="1:10" outlineLevel="1" x14ac:dyDescent="0.25">
      <c r="A1256" s="8" t="s">
        <v>664</v>
      </c>
      <c r="B1256" s="3" t="s">
        <v>1153</v>
      </c>
      <c r="C1256" s="3" t="s">
        <v>4</v>
      </c>
      <c r="D1256" s="3" t="s">
        <v>1154</v>
      </c>
      <c r="E1256" s="3" t="s">
        <v>716</v>
      </c>
      <c r="F1256" s="3" t="s">
        <v>777</v>
      </c>
      <c r="G1256" s="6">
        <v>4</v>
      </c>
      <c r="H1256" s="6">
        <v>32.1</v>
      </c>
      <c r="I1256" s="6">
        <v>128.4</v>
      </c>
      <c r="J1256" s="6">
        <v>78629.219999999987</v>
      </c>
    </row>
    <row r="1257" spans="1:10" outlineLevel="1" x14ac:dyDescent="0.25">
      <c r="A1257" s="8" t="s">
        <v>664</v>
      </c>
      <c r="B1257" s="3" t="s">
        <v>1153</v>
      </c>
      <c r="C1257" s="3" t="s">
        <v>4</v>
      </c>
      <c r="D1257" s="3" t="s">
        <v>1154</v>
      </c>
      <c r="E1257" s="3" t="s">
        <v>708</v>
      </c>
      <c r="F1257" s="3" t="s">
        <v>709</v>
      </c>
      <c r="G1257" s="6">
        <v>3</v>
      </c>
      <c r="H1257" s="6">
        <v>40.56</v>
      </c>
      <c r="I1257" s="6">
        <v>121.68</v>
      </c>
      <c r="J1257" s="6">
        <v>78750.89999999998</v>
      </c>
    </row>
    <row r="1258" spans="1:10" outlineLevel="1" x14ac:dyDescent="0.25">
      <c r="A1258" s="8" t="s">
        <v>664</v>
      </c>
      <c r="B1258" s="3" t="s">
        <v>1153</v>
      </c>
      <c r="C1258" s="3" t="s">
        <v>4</v>
      </c>
      <c r="D1258" s="3" t="s">
        <v>1154</v>
      </c>
      <c r="E1258" s="3" t="s">
        <v>710</v>
      </c>
      <c r="F1258" s="3" t="s">
        <v>1130</v>
      </c>
      <c r="G1258" s="6">
        <v>2</v>
      </c>
      <c r="H1258" s="6">
        <v>40.159999999999997</v>
      </c>
      <c r="I1258" s="6">
        <v>80.319999999999993</v>
      </c>
      <c r="J1258" s="6">
        <v>78831.219999999987</v>
      </c>
    </row>
    <row r="1259" spans="1:10" outlineLevel="1" x14ac:dyDescent="0.25">
      <c r="A1259" s="8" t="s">
        <v>664</v>
      </c>
      <c r="B1259" s="3" t="s">
        <v>1153</v>
      </c>
      <c r="C1259" s="3" t="s">
        <v>4</v>
      </c>
      <c r="D1259" s="3" t="s">
        <v>1154</v>
      </c>
      <c r="E1259" s="3" t="s">
        <v>712</v>
      </c>
      <c r="F1259" s="3" t="s">
        <v>1046</v>
      </c>
      <c r="G1259" s="6">
        <v>5</v>
      </c>
      <c r="H1259" s="6">
        <v>21.18</v>
      </c>
      <c r="I1259" s="6">
        <v>105.9</v>
      </c>
      <c r="J1259" s="6">
        <v>78937.119999999981</v>
      </c>
    </row>
    <row r="1260" spans="1:10" outlineLevel="1" x14ac:dyDescent="0.25">
      <c r="A1260" s="8" t="s">
        <v>664</v>
      </c>
      <c r="B1260" s="3" t="s">
        <v>1153</v>
      </c>
      <c r="C1260" s="3" t="s">
        <v>4</v>
      </c>
      <c r="D1260" s="3" t="s">
        <v>1154</v>
      </c>
      <c r="E1260" s="3" t="s">
        <v>1157</v>
      </c>
      <c r="F1260" s="3" t="s">
        <v>1158</v>
      </c>
      <c r="G1260" s="6">
        <v>2</v>
      </c>
      <c r="H1260" s="6">
        <v>31.2</v>
      </c>
      <c r="I1260" s="6">
        <v>62.4</v>
      </c>
      <c r="J1260" s="6">
        <v>78999.519999999975</v>
      </c>
    </row>
    <row r="1261" spans="1:10" outlineLevel="1" x14ac:dyDescent="0.25">
      <c r="A1261" s="8" t="s">
        <v>664</v>
      </c>
      <c r="B1261" s="3" t="s">
        <v>1153</v>
      </c>
      <c r="C1261" s="3" t="s">
        <v>4</v>
      </c>
      <c r="D1261" s="3" t="s">
        <v>1154</v>
      </c>
      <c r="E1261" s="3" t="s">
        <v>714</v>
      </c>
      <c r="F1261" s="3" t="s">
        <v>1159</v>
      </c>
      <c r="G1261" s="6">
        <v>6</v>
      </c>
      <c r="H1261" s="6">
        <v>51.8</v>
      </c>
      <c r="I1261" s="6">
        <v>310.8</v>
      </c>
      <c r="J1261" s="6">
        <v>79310.319999999978</v>
      </c>
    </row>
    <row r="1262" spans="1:10" outlineLevel="1" x14ac:dyDescent="0.25">
      <c r="A1262" s="8" t="s">
        <v>664</v>
      </c>
      <c r="B1262" s="3" t="s">
        <v>1153</v>
      </c>
      <c r="C1262" s="3" t="s">
        <v>4</v>
      </c>
      <c r="D1262" s="3" t="s">
        <v>1154</v>
      </c>
      <c r="E1262" s="3" t="s">
        <v>778</v>
      </c>
      <c r="F1262" s="3" t="s">
        <v>994</v>
      </c>
      <c r="G1262" s="6">
        <v>8</v>
      </c>
      <c r="H1262" s="6">
        <v>30.82</v>
      </c>
      <c r="I1262" s="6">
        <v>246.56</v>
      </c>
      <c r="J1262" s="6">
        <v>79556.879999999976</v>
      </c>
    </row>
    <row r="1263" spans="1:10" outlineLevel="1" x14ac:dyDescent="0.25">
      <c r="A1263" s="8" t="s">
        <v>664</v>
      </c>
      <c r="B1263" s="3" t="s">
        <v>1153</v>
      </c>
      <c r="C1263" s="3" t="s">
        <v>4</v>
      </c>
      <c r="D1263" s="3" t="s">
        <v>1154</v>
      </c>
      <c r="E1263" s="3" t="s">
        <v>718</v>
      </c>
      <c r="F1263" s="3" t="s">
        <v>1047</v>
      </c>
      <c r="G1263" s="6">
        <v>3</v>
      </c>
      <c r="H1263" s="6">
        <v>21.18</v>
      </c>
      <c r="I1263" s="6">
        <v>63.54</v>
      </c>
      <c r="J1263" s="6">
        <v>79620.419999999969</v>
      </c>
    </row>
    <row r="1264" spans="1:10" outlineLevel="1" x14ac:dyDescent="0.25">
      <c r="A1264" s="8" t="s">
        <v>664</v>
      </c>
      <c r="B1264" s="3" t="s">
        <v>1153</v>
      </c>
      <c r="C1264" s="3" t="s">
        <v>4</v>
      </c>
      <c r="D1264" s="3" t="s">
        <v>1154</v>
      </c>
      <c r="E1264" s="3" t="s">
        <v>730</v>
      </c>
      <c r="F1264" s="3" t="s">
        <v>1135</v>
      </c>
      <c r="G1264" s="6">
        <v>2</v>
      </c>
      <c r="H1264" s="6">
        <v>30.24</v>
      </c>
      <c r="I1264" s="6">
        <v>60.48</v>
      </c>
      <c r="J1264" s="6">
        <v>79680.899999999965</v>
      </c>
    </row>
    <row r="1265" spans="1:10" outlineLevel="1" x14ac:dyDescent="0.25">
      <c r="A1265" s="8" t="s">
        <v>664</v>
      </c>
      <c r="B1265" s="3" t="s">
        <v>1153</v>
      </c>
      <c r="C1265" s="3" t="s">
        <v>4</v>
      </c>
      <c r="D1265" s="3" t="s">
        <v>1154</v>
      </c>
      <c r="E1265" s="3" t="s">
        <v>837</v>
      </c>
      <c r="F1265" s="3" t="s">
        <v>934</v>
      </c>
      <c r="G1265" s="6">
        <v>1</v>
      </c>
      <c r="H1265" s="6">
        <v>30.64</v>
      </c>
      <c r="I1265" s="6">
        <v>30.64</v>
      </c>
      <c r="J1265" s="6">
        <v>79711.539999999964</v>
      </c>
    </row>
    <row r="1266" spans="1:10" outlineLevel="1" x14ac:dyDescent="0.25">
      <c r="A1266" s="8" t="s">
        <v>664</v>
      </c>
      <c r="B1266" s="3" t="s">
        <v>1153</v>
      </c>
      <c r="C1266" s="3" t="s">
        <v>4</v>
      </c>
      <c r="D1266" s="3" t="s">
        <v>1154</v>
      </c>
      <c r="E1266" s="3" t="s">
        <v>839</v>
      </c>
      <c r="F1266" s="3" t="s">
        <v>1049</v>
      </c>
      <c r="G1266" s="6">
        <v>1</v>
      </c>
      <c r="H1266" s="6">
        <v>30.64</v>
      </c>
      <c r="I1266" s="6">
        <v>30.64</v>
      </c>
      <c r="J1266" s="6">
        <v>79742.179999999964</v>
      </c>
    </row>
    <row r="1267" spans="1:10" outlineLevel="1" x14ac:dyDescent="0.25">
      <c r="A1267" s="8" t="s">
        <v>664</v>
      </c>
      <c r="B1267" s="3" t="s">
        <v>1153</v>
      </c>
      <c r="C1267" s="3" t="s">
        <v>4</v>
      </c>
      <c r="D1267" s="3" t="s">
        <v>1154</v>
      </c>
      <c r="E1267" s="3" t="s">
        <v>1000</v>
      </c>
      <c r="F1267" s="3" t="s">
        <v>1138</v>
      </c>
      <c r="G1267" s="6">
        <v>1</v>
      </c>
      <c r="H1267" s="6">
        <v>78.959999999999994</v>
      </c>
      <c r="I1267" s="6">
        <v>78.959999999999994</v>
      </c>
      <c r="J1267" s="6">
        <v>79821.13999999997</v>
      </c>
    </row>
    <row r="1268" spans="1:10" outlineLevel="1" x14ac:dyDescent="0.25">
      <c r="A1268" s="8" t="s">
        <v>664</v>
      </c>
      <c r="B1268" s="3" t="s">
        <v>1153</v>
      </c>
      <c r="C1268" s="3" t="s">
        <v>4</v>
      </c>
      <c r="D1268" s="3" t="s">
        <v>1154</v>
      </c>
      <c r="E1268" s="3" t="s">
        <v>374</v>
      </c>
      <c r="F1268" s="3" t="s">
        <v>422</v>
      </c>
      <c r="G1268" s="6">
        <v>18</v>
      </c>
      <c r="H1268" s="6">
        <v>31.8</v>
      </c>
      <c r="I1268" s="6">
        <v>572.4</v>
      </c>
      <c r="J1268" s="6">
        <v>80393.539999999964</v>
      </c>
    </row>
    <row r="1269" spans="1:10" outlineLevel="1" x14ac:dyDescent="0.25">
      <c r="A1269" s="8" t="s">
        <v>664</v>
      </c>
      <c r="B1269" s="3" t="s">
        <v>1153</v>
      </c>
      <c r="C1269" s="3" t="s">
        <v>4</v>
      </c>
      <c r="D1269" s="3" t="s">
        <v>1154</v>
      </c>
      <c r="E1269" s="3" t="s">
        <v>37</v>
      </c>
      <c r="F1269" s="3" t="s">
        <v>38</v>
      </c>
      <c r="G1269" s="6">
        <v>3</v>
      </c>
      <c r="H1269" s="6">
        <v>73.8</v>
      </c>
      <c r="I1269" s="6">
        <v>221.4</v>
      </c>
      <c r="J1269" s="6">
        <v>80614.939999999959</v>
      </c>
    </row>
    <row r="1270" spans="1:10" outlineLevel="1" x14ac:dyDescent="0.25">
      <c r="A1270" s="8" t="s">
        <v>664</v>
      </c>
      <c r="B1270" s="3" t="s">
        <v>1153</v>
      </c>
      <c r="C1270" s="3" t="s">
        <v>4</v>
      </c>
      <c r="D1270" s="3" t="s">
        <v>1154</v>
      </c>
      <c r="E1270" s="3" t="s">
        <v>42</v>
      </c>
      <c r="F1270" s="3" t="s">
        <v>43</v>
      </c>
      <c r="G1270" s="6">
        <v>1</v>
      </c>
      <c r="H1270" s="6">
        <v>85</v>
      </c>
      <c r="I1270" s="6">
        <v>85</v>
      </c>
      <c r="J1270" s="6">
        <v>80699.939999999959</v>
      </c>
    </row>
    <row r="1271" spans="1:10" outlineLevel="1" x14ac:dyDescent="0.25">
      <c r="A1271" s="8" t="s">
        <v>664</v>
      </c>
      <c r="B1271" s="3" t="s">
        <v>1153</v>
      </c>
      <c r="C1271" s="3" t="s">
        <v>4</v>
      </c>
      <c r="D1271" s="3" t="s">
        <v>1154</v>
      </c>
      <c r="E1271" s="3" t="s">
        <v>851</v>
      </c>
      <c r="F1271" s="3" t="s">
        <v>951</v>
      </c>
      <c r="G1271" s="6">
        <v>3</v>
      </c>
      <c r="H1271" s="6">
        <v>75.97</v>
      </c>
      <c r="I1271" s="6">
        <v>227.91</v>
      </c>
      <c r="J1271" s="6">
        <v>80927.849999999962</v>
      </c>
    </row>
    <row r="1272" spans="1:10" outlineLevel="1" x14ac:dyDescent="0.25">
      <c r="A1272" s="8" t="s">
        <v>664</v>
      </c>
      <c r="B1272" s="3" t="s">
        <v>1153</v>
      </c>
      <c r="C1272" s="3" t="s">
        <v>4</v>
      </c>
      <c r="D1272" s="3" t="s">
        <v>1154</v>
      </c>
      <c r="E1272" s="3" t="s">
        <v>35</v>
      </c>
      <c r="F1272" s="3" t="s">
        <v>36</v>
      </c>
      <c r="G1272" s="6">
        <v>5</v>
      </c>
      <c r="H1272" s="6">
        <v>28.8</v>
      </c>
      <c r="I1272" s="6">
        <v>144</v>
      </c>
      <c r="J1272" s="6">
        <v>81071.849999999962</v>
      </c>
    </row>
    <row r="1273" spans="1:10" outlineLevel="1" x14ac:dyDescent="0.25">
      <c r="A1273" s="8" t="s">
        <v>664</v>
      </c>
      <c r="B1273" s="3" t="s">
        <v>1153</v>
      </c>
      <c r="C1273" s="3" t="s">
        <v>4</v>
      </c>
      <c r="D1273" s="3" t="s">
        <v>1154</v>
      </c>
      <c r="E1273" s="3" t="s">
        <v>754</v>
      </c>
      <c r="F1273" s="3" t="s">
        <v>952</v>
      </c>
      <c r="G1273" s="6">
        <v>3</v>
      </c>
      <c r="H1273" s="6">
        <v>38.380000000000003</v>
      </c>
      <c r="I1273" s="6">
        <v>115.14</v>
      </c>
      <c r="J1273" s="6">
        <v>81186.989999999962</v>
      </c>
    </row>
    <row r="1274" spans="1:10" outlineLevel="1" x14ac:dyDescent="0.25">
      <c r="A1274" s="8" t="s">
        <v>664</v>
      </c>
      <c r="B1274" s="3" t="s">
        <v>1153</v>
      </c>
      <c r="C1274" s="3" t="s">
        <v>4</v>
      </c>
      <c r="D1274" s="3" t="s">
        <v>1154</v>
      </c>
      <c r="E1274" s="3" t="s">
        <v>1002</v>
      </c>
      <c r="F1274" s="3" t="s">
        <v>1160</v>
      </c>
      <c r="G1274" s="6">
        <v>10</v>
      </c>
      <c r="H1274" s="6">
        <v>12.6</v>
      </c>
      <c r="I1274" s="6">
        <v>126</v>
      </c>
      <c r="J1274" s="6">
        <v>81312.989999999962</v>
      </c>
    </row>
    <row r="1275" spans="1:10" outlineLevel="1" x14ac:dyDescent="0.25">
      <c r="A1275" s="8" t="s">
        <v>664</v>
      </c>
      <c r="B1275" s="3" t="s">
        <v>1153</v>
      </c>
      <c r="C1275" s="3" t="s">
        <v>4</v>
      </c>
      <c r="D1275" s="3" t="s">
        <v>1154</v>
      </c>
      <c r="E1275" s="3" t="s">
        <v>1096</v>
      </c>
      <c r="F1275" s="3" t="s">
        <v>1096</v>
      </c>
      <c r="G1275" s="6">
        <v>6</v>
      </c>
      <c r="H1275" s="6">
        <v>12.6</v>
      </c>
      <c r="I1275" s="6">
        <v>75.599999999999994</v>
      </c>
      <c r="J1275" s="6">
        <v>81388.589999999967</v>
      </c>
    </row>
    <row r="1276" spans="1:10" outlineLevel="1" x14ac:dyDescent="0.25">
      <c r="A1276" s="8" t="s">
        <v>664</v>
      </c>
      <c r="B1276" s="3" t="s">
        <v>1153</v>
      </c>
      <c r="C1276" s="3" t="s">
        <v>4</v>
      </c>
      <c r="D1276" s="3" t="s">
        <v>1154</v>
      </c>
      <c r="E1276" s="3" t="s">
        <v>1051</v>
      </c>
      <c r="F1276" s="3" t="s">
        <v>1051</v>
      </c>
      <c r="G1276" s="6">
        <v>8</v>
      </c>
      <c r="H1276" s="6">
        <v>16.68</v>
      </c>
      <c r="I1276" s="6">
        <v>133.44</v>
      </c>
      <c r="J1276" s="6">
        <v>81522.02999999997</v>
      </c>
    </row>
    <row r="1277" spans="1:10" outlineLevel="1" x14ac:dyDescent="0.25">
      <c r="A1277" s="8" t="s">
        <v>664</v>
      </c>
      <c r="B1277" s="3" t="s">
        <v>1153</v>
      </c>
      <c r="C1277" s="3" t="s">
        <v>4</v>
      </c>
      <c r="D1277" s="3" t="s">
        <v>1154</v>
      </c>
      <c r="E1277" s="3" t="s">
        <v>1097</v>
      </c>
      <c r="F1277" s="3" t="s">
        <v>1098</v>
      </c>
      <c r="G1277" s="6">
        <v>6</v>
      </c>
      <c r="H1277" s="6">
        <v>12.6</v>
      </c>
      <c r="I1277" s="6">
        <v>75.599999999999994</v>
      </c>
      <c r="J1277" s="6">
        <v>81597.629999999976</v>
      </c>
    </row>
    <row r="1278" spans="1:10" outlineLevel="1" x14ac:dyDescent="0.25">
      <c r="A1278" s="8" t="s">
        <v>664</v>
      </c>
      <c r="B1278" s="3" t="s">
        <v>1153</v>
      </c>
      <c r="C1278" s="3" t="s">
        <v>4</v>
      </c>
      <c r="D1278" s="3" t="s">
        <v>1154</v>
      </c>
      <c r="E1278" s="3" t="s">
        <v>1099</v>
      </c>
      <c r="F1278" s="3" t="s">
        <v>1099</v>
      </c>
      <c r="G1278" s="6">
        <v>2</v>
      </c>
      <c r="H1278" s="6">
        <v>12.6</v>
      </c>
      <c r="I1278" s="6">
        <v>25.2</v>
      </c>
      <c r="J1278" s="6">
        <v>81622.829999999973</v>
      </c>
    </row>
    <row r="1279" spans="1:10" outlineLevel="1" x14ac:dyDescent="0.25">
      <c r="A1279" s="8" t="s">
        <v>664</v>
      </c>
      <c r="B1279" s="3" t="s">
        <v>1153</v>
      </c>
      <c r="C1279" s="3" t="s">
        <v>4</v>
      </c>
      <c r="D1279" s="3" t="s">
        <v>1154</v>
      </c>
      <c r="E1279" s="3" t="s">
        <v>1100</v>
      </c>
      <c r="F1279" s="3" t="s">
        <v>1100</v>
      </c>
      <c r="G1279" s="6">
        <v>2</v>
      </c>
      <c r="H1279" s="6">
        <v>12.6</v>
      </c>
      <c r="I1279" s="6">
        <v>25.2</v>
      </c>
      <c r="J1279" s="6">
        <v>81648.02999999997</v>
      </c>
    </row>
    <row r="1280" spans="1:10" outlineLevel="1" x14ac:dyDescent="0.25">
      <c r="A1280" s="8" t="s">
        <v>664</v>
      </c>
      <c r="B1280" s="3" t="s">
        <v>1153</v>
      </c>
      <c r="C1280" s="3" t="s">
        <v>4</v>
      </c>
      <c r="D1280" s="3" t="s">
        <v>1154</v>
      </c>
      <c r="E1280" s="3" t="s">
        <v>1161</v>
      </c>
      <c r="F1280" s="3" t="s">
        <v>1162</v>
      </c>
      <c r="G1280" s="6">
        <v>12</v>
      </c>
      <c r="H1280" s="6">
        <v>18.600000000000001</v>
      </c>
      <c r="I1280" s="6">
        <v>223.2</v>
      </c>
      <c r="J1280" s="6">
        <v>81871.229999999967</v>
      </c>
    </row>
    <row r="1281" spans="1:10" outlineLevel="1" x14ac:dyDescent="0.25">
      <c r="A1281" s="8" t="s">
        <v>664</v>
      </c>
      <c r="B1281" s="3" t="s">
        <v>1153</v>
      </c>
      <c r="C1281" s="3" t="s">
        <v>4</v>
      </c>
      <c r="D1281" s="3" t="s">
        <v>1154</v>
      </c>
      <c r="E1281" s="3" t="s">
        <v>756</v>
      </c>
      <c r="F1281" s="3" t="s">
        <v>1003</v>
      </c>
      <c r="G1281" s="6">
        <v>10</v>
      </c>
      <c r="H1281" s="6">
        <v>13.2</v>
      </c>
      <c r="I1281" s="6">
        <v>132</v>
      </c>
      <c r="J1281" s="6">
        <v>82003.229999999967</v>
      </c>
    </row>
    <row r="1282" spans="1:10" outlineLevel="1" x14ac:dyDescent="0.25">
      <c r="A1282" s="8" t="s">
        <v>664</v>
      </c>
      <c r="B1282" s="3" t="s">
        <v>1153</v>
      </c>
      <c r="C1282" s="3" t="s">
        <v>4</v>
      </c>
      <c r="D1282" s="3" t="s">
        <v>1154</v>
      </c>
      <c r="E1282" s="3" t="s">
        <v>784</v>
      </c>
      <c r="F1282" s="3" t="s">
        <v>1055</v>
      </c>
      <c r="G1282" s="6">
        <v>5</v>
      </c>
      <c r="H1282" s="6">
        <v>13.2</v>
      </c>
      <c r="I1282" s="6">
        <v>66</v>
      </c>
      <c r="J1282" s="6">
        <v>82069.229999999967</v>
      </c>
    </row>
    <row r="1283" spans="1:10" outlineLevel="1" x14ac:dyDescent="0.25">
      <c r="A1283" s="8" t="s">
        <v>664</v>
      </c>
      <c r="B1283" s="3" t="s">
        <v>1153</v>
      </c>
      <c r="C1283" s="3" t="s">
        <v>4</v>
      </c>
      <c r="D1283" s="3" t="s">
        <v>1154</v>
      </c>
      <c r="E1283" s="3" t="s">
        <v>865</v>
      </c>
      <c r="F1283" s="3" t="s">
        <v>961</v>
      </c>
      <c r="G1283" s="6">
        <v>18</v>
      </c>
      <c r="H1283" s="6">
        <v>52.52</v>
      </c>
      <c r="I1283" s="6">
        <v>945.36</v>
      </c>
      <c r="J1283" s="6">
        <v>83014.589999999967</v>
      </c>
    </row>
    <row r="1284" spans="1:10" outlineLevel="1" x14ac:dyDescent="0.25">
      <c r="A1284" s="8" t="s">
        <v>664</v>
      </c>
      <c r="B1284" s="3" t="s">
        <v>1153</v>
      </c>
      <c r="C1284" s="3" t="s">
        <v>4</v>
      </c>
      <c r="D1284" s="3" t="s">
        <v>1154</v>
      </c>
      <c r="E1284" s="3" t="s">
        <v>962</v>
      </c>
      <c r="F1284" s="3" t="s">
        <v>963</v>
      </c>
      <c r="G1284" s="6">
        <v>3</v>
      </c>
      <c r="H1284" s="6">
        <v>27.29</v>
      </c>
      <c r="I1284" s="6">
        <v>81.87</v>
      </c>
      <c r="J1284" s="6">
        <v>83096.459999999963</v>
      </c>
    </row>
    <row r="1285" spans="1:10" outlineLevel="1" x14ac:dyDescent="0.25">
      <c r="A1285" s="8" t="s">
        <v>664</v>
      </c>
      <c r="B1285" s="3" t="s">
        <v>1153</v>
      </c>
      <c r="C1285" s="3" t="s">
        <v>4</v>
      </c>
      <c r="D1285" s="3" t="s">
        <v>1154</v>
      </c>
      <c r="E1285" s="3" t="s">
        <v>868</v>
      </c>
      <c r="F1285" s="3" t="s">
        <v>1007</v>
      </c>
      <c r="G1285" s="6">
        <v>2</v>
      </c>
      <c r="H1285" s="6">
        <v>27.29</v>
      </c>
      <c r="I1285" s="6">
        <v>54.58</v>
      </c>
      <c r="J1285" s="6">
        <v>83151.039999999964</v>
      </c>
    </row>
    <row r="1286" spans="1:10" outlineLevel="1" x14ac:dyDescent="0.25">
      <c r="A1286" s="8" t="s">
        <v>664</v>
      </c>
      <c r="B1286" s="3" t="s">
        <v>1153</v>
      </c>
      <c r="C1286" s="3" t="s">
        <v>4</v>
      </c>
      <c r="D1286" s="3" t="s">
        <v>1154</v>
      </c>
      <c r="E1286" s="3" t="s">
        <v>870</v>
      </c>
      <c r="F1286" s="3" t="s">
        <v>1008</v>
      </c>
      <c r="G1286" s="6">
        <v>4</v>
      </c>
      <c r="H1286" s="6">
        <v>27.29</v>
      </c>
      <c r="I1286" s="6">
        <v>109.16</v>
      </c>
      <c r="J1286" s="6">
        <v>83260.199999999968</v>
      </c>
    </row>
    <row r="1287" spans="1:10" outlineLevel="1" x14ac:dyDescent="0.25">
      <c r="A1287" s="8" t="s">
        <v>664</v>
      </c>
      <c r="B1287" s="3" t="s">
        <v>1153</v>
      </c>
      <c r="C1287" s="3" t="s">
        <v>4</v>
      </c>
      <c r="D1287" s="3" t="s">
        <v>1154</v>
      </c>
      <c r="E1287" s="3" t="s">
        <v>872</v>
      </c>
      <c r="F1287" s="3" t="s">
        <v>1009</v>
      </c>
      <c r="G1287" s="6">
        <v>3</v>
      </c>
      <c r="H1287" s="6">
        <v>27.29</v>
      </c>
      <c r="I1287" s="6">
        <v>81.87</v>
      </c>
      <c r="J1287" s="6">
        <v>83342.069999999963</v>
      </c>
    </row>
    <row r="1288" spans="1:10" outlineLevel="1" x14ac:dyDescent="0.25">
      <c r="A1288" s="8" t="s">
        <v>664</v>
      </c>
      <c r="B1288" s="3" t="s">
        <v>1153</v>
      </c>
      <c r="C1288" s="3" t="s">
        <v>4</v>
      </c>
      <c r="D1288" s="3" t="s">
        <v>1154</v>
      </c>
      <c r="E1288" s="3" t="s">
        <v>1062</v>
      </c>
      <c r="F1288" s="3" t="s">
        <v>1063</v>
      </c>
      <c r="G1288" s="6">
        <v>4</v>
      </c>
      <c r="H1288" s="6">
        <v>39.46</v>
      </c>
      <c r="I1288" s="6">
        <v>157.84</v>
      </c>
      <c r="J1288" s="6">
        <v>83499.90999999996</v>
      </c>
    </row>
    <row r="1289" spans="1:10" outlineLevel="1" x14ac:dyDescent="0.25">
      <c r="A1289" s="8" t="s">
        <v>664</v>
      </c>
      <c r="B1289" s="3" t="s">
        <v>1153</v>
      </c>
      <c r="C1289" s="3" t="s">
        <v>4</v>
      </c>
      <c r="D1289" s="3" t="s">
        <v>1154</v>
      </c>
      <c r="E1289" s="3" t="s">
        <v>874</v>
      </c>
      <c r="F1289" s="3" t="s">
        <v>1064</v>
      </c>
      <c r="G1289" s="6">
        <v>4</v>
      </c>
      <c r="H1289" s="6">
        <v>39.46</v>
      </c>
      <c r="I1289" s="6">
        <v>157.84</v>
      </c>
      <c r="J1289" s="6">
        <v>83657.749999999956</v>
      </c>
    </row>
    <row r="1290" spans="1:10" outlineLevel="1" x14ac:dyDescent="0.25">
      <c r="A1290" s="8" t="s">
        <v>664</v>
      </c>
      <c r="B1290" s="3" t="s">
        <v>1153</v>
      </c>
      <c r="C1290" s="3" t="s">
        <v>4</v>
      </c>
      <c r="D1290" s="3" t="s">
        <v>1154</v>
      </c>
      <c r="E1290" s="3" t="s">
        <v>876</v>
      </c>
      <c r="F1290" s="3" t="s">
        <v>1101</v>
      </c>
      <c r="G1290" s="6">
        <v>4</v>
      </c>
      <c r="H1290" s="6">
        <v>39.46</v>
      </c>
      <c r="I1290" s="6">
        <v>157.84</v>
      </c>
      <c r="J1290" s="6">
        <v>83815.589999999953</v>
      </c>
    </row>
    <row r="1291" spans="1:10" outlineLevel="1" x14ac:dyDescent="0.25">
      <c r="A1291" s="8" t="s">
        <v>664</v>
      </c>
      <c r="B1291" s="3" t="s">
        <v>1153</v>
      </c>
      <c r="C1291" s="3" t="s">
        <v>4</v>
      </c>
      <c r="D1291" s="3" t="s">
        <v>1154</v>
      </c>
      <c r="E1291" s="3" t="s">
        <v>882</v>
      </c>
      <c r="F1291" s="3" t="s">
        <v>966</v>
      </c>
      <c r="G1291" s="6">
        <v>9</v>
      </c>
      <c r="H1291" s="6">
        <v>14</v>
      </c>
      <c r="I1291" s="6">
        <v>126</v>
      </c>
      <c r="J1291" s="6">
        <v>83941.589999999953</v>
      </c>
    </row>
    <row r="1292" spans="1:10" outlineLevel="1" x14ac:dyDescent="0.25">
      <c r="A1292" s="8" t="s">
        <v>664</v>
      </c>
      <c r="B1292" s="3" t="s">
        <v>1153</v>
      </c>
      <c r="C1292" s="3" t="s">
        <v>4</v>
      </c>
      <c r="D1292" s="3" t="s">
        <v>1154</v>
      </c>
      <c r="E1292" s="3" t="s">
        <v>786</v>
      </c>
      <c r="F1292" s="3" t="s">
        <v>967</v>
      </c>
      <c r="G1292" s="6">
        <v>8</v>
      </c>
      <c r="H1292" s="6">
        <v>22.86</v>
      </c>
      <c r="I1292" s="6">
        <v>182.88</v>
      </c>
      <c r="J1292" s="6">
        <v>84124.469999999958</v>
      </c>
    </row>
    <row r="1293" spans="1:10" outlineLevel="1" x14ac:dyDescent="0.25">
      <c r="A1293" s="8" t="s">
        <v>664</v>
      </c>
      <c r="B1293" s="3" t="s">
        <v>1153</v>
      </c>
      <c r="C1293" s="3" t="s">
        <v>4</v>
      </c>
      <c r="D1293" s="3" t="s">
        <v>1154</v>
      </c>
      <c r="E1293" s="3" t="s">
        <v>62</v>
      </c>
      <c r="F1293" s="3" t="s">
        <v>63</v>
      </c>
      <c r="G1293" s="6">
        <v>3</v>
      </c>
      <c r="H1293" s="6">
        <v>13.57</v>
      </c>
      <c r="I1293" s="6">
        <v>40.71</v>
      </c>
      <c r="J1293" s="6">
        <v>84165.179999999964</v>
      </c>
    </row>
    <row r="1294" spans="1:10" outlineLevel="1" x14ac:dyDescent="0.25">
      <c r="A1294" s="8" t="s">
        <v>664</v>
      </c>
      <c r="B1294" s="3" t="s">
        <v>1153</v>
      </c>
      <c r="C1294" s="3" t="s">
        <v>4</v>
      </c>
      <c r="D1294" s="3" t="s">
        <v>1154</v>
      </c>
      <c r="E1294" s="3" t="s">
        <v>56</v>
      </c>
      <c r="F1294" s="3" t="s">
        <v>57</v>
      </c>
      <c r="G1294" s="6">
        <v>3</v>
      </c>
      <c r="H1294" s="6">
        <v>51.1</v>
      </c>
      <c r="I1294" s="6">
        <v>153.30000000000001</v>
      </c>
      <c r="J1294" s="6">
        <v>84318.479999999967</v>
      </c>
    </row>
    <row r="1295" spans="1:10" outlineLevel="1" x14ac:dyDescent="0.25">
      <c r="A1295" s="8" t="s">
        <v>664</v>
      </c>
      <c r="B1295" s="3" t="s">
        <v>1153</v>
      </c>
      <c r="C1295" s="3" t="s">
        <v>4</v>
      </c>
      <c r="D1295" s="3" t="s">
        <v>1154</v>
      </c>
      <c r="E1295" s="3" t="s">
        <v>58</v>
      </c>
      <c r="F1295" s="3" t="s">
        <v>59</v>
      </c>
      <c r="G1295" s="6">
        <v>3</v>
      </c>
      <c r="H1295" s="6">
        <v>57.39</v>
      </c>
      <c r="I1295" s="6">
        <v>172.17</v>
      </c>
      <c r="J1295" s="6">
        <v>84490.649999999965</v>
      </c>
    </row>
    <row r="1296" spans="1:10" outlineLevel="1" x14ac:dyDescent="0.25">
      <c r="A1296" s="8" t="s">
        <v>664</v>
      </c>
      <c r="B1296" s="3" t="s">
        <v>1153</v>
      </c>
      <c r="C1296" s="3" t="s">
        <v>4</v>
      </c>
      <c r="D1296" s="3" t="s">
        <v>1154</v>
      </c>
      <c r="E1296" s="3" t="s">
        <v>72</v>
      </c>
      <c r="F1296" s="3" t="s">
        <v>73</v>
      </c>
      <c r="G1296" s="6">
        <v>1</v>
      </c>
      <c r="H1296" s="6">
        <v>66.88</v>
      </c>
      <c r="I1296" s="6">
        <v>66.88</v>
      </c>
      <c r="J1296" s="6">
        <v>84557.52999999997</v>
      </c>
    </row>
    <row r="1297" spans="1:10" outlineLevel="1" x14ac:dyDescent="0.25">
      <c r="A1297" s="8" t="s">
        <v>664</v>
      </c>
      <c r="B1297" s="3" t="s">
        <v>1153</v>
      </c>
      <c r="C1297" s="3" t="s">
        <v>4</v>
      </c>
      <c r="D1297" s="3" t="s">
        <v>1154</v>
      </c>
      <c r="E1297" s="3" t="s">
        <v>936</v>
      </c>
      <c r="F1297" s="3" t="s">
        <v>1163</v>
      </c>
      <c r="G1297" s="6">
        <v>3</v>
      </c>
      <c r="H1297" s="6">
        <v>21.4</v>
      </c>
      <c r="I1297" s="6">
        <v>64.2</v>
      </c>
      <c r="J1297" s="6">
        <v>84621.729999999967</v>
      </c>
    </row>
    <row r="1298" spans="1:10" outlineLevel="1" x14ac:dyDescent="0.25">
      <c r="A1298" s="8" t="s">
        <v>664</v>
      </c>
      <c r="B1298" s="3" t="s">
        <v>1153</v>
      </c>
      <c r="C1298" s="3" t="s">
        <v>4</v>
      </c>
      <c r="D1298" s="3" t="s">
        <v>1154</v>
      </c>
      <c r="E1298" s="3" t="s">
        <v>801</v>
      </c>
      <c r="F1298" s="3" t="s">
        <v>1164</v>
      </c>
      <c r="G1298" s="6">
        <v>5</v>
      </c>
      <c r="H1298" s="6">
        <v>25.68</v>
      </c>
      <c r="I1298" s="6">
        <v>128.4</v>
      </c>
      <c r="J1298" s="6">
        <v>84750.129999999961</v>
      </c>
    </row>
    <row r="1299" spans="1:10" outlineLevel="1" x14ac:dyDescent="0.25">
      <c r="A1299" s="8" t="s">
        <v>664</v>
      </c>
      <c r="B1299" s="3" t="s">
        <v>1153</v>
      </c>
      <c r="C1299" s="3" t="s">
        <v>4</v>
      </c>
      <c r="D1299" s="3" t="s">
        <v>1154</v>
      </c>
      <c r="E1299" s="3" t="s">
        <v>803</v>
      </c>
      <c r="F1299" s="3" t="s">
        <v>1016</v>
      </c>
      <c r="G1299" s="6">
        <v>6</v>
      </c>
      <c r="H1299" s="6">
        <v>22</v>
      </c>
      <c r="I1299" s="6">
        <v>132</v>
      </c>
      <c r="J1299" s="6">
        <v>84882.129999999961</v>
      </c>
    </row>
    <row r="1300" spans="1:10" outlineLevel="1" x14ac:dyDescent="0.25">
      <c r="A1300" s="8" t="s">
        <v>664</v>
      </c>
      <c r="B1300" s="3" t="s">
        <v>1153</v>
      </c>
      <c r="C1300" s="3" t="s">
        <v>4</v>
      </c>
      <c r="D1300" s="3" t="s">
        <v>1154</v>
      </c>
      <c r="E1300" s="3" t="s">
        <v>743</v>
      </c>
      <c r="F1300" s="3" t="s">
        <v>973</v>
      </c>
      <c r="G1300" s="6">
        <v>5</v>
      </c>
      <c r="H1300" s="6">
        <v>64.2</v>
      </c>
      <c r="I1300" s="6">
        <v>321</v>
      </c>
      <c r="J1300" s="6">
        <v>85203.129999999961</v>
      </c>
    </row>
    <row r="1301" spans="1:10" ht="23.25" outlineLevel="1" x14ac:dyDescent="0.25">
      <c r="A1301" s="8" t="s">
        <v>664</v>
      </c>
      <c r="B1301" s="3" t="s">
        <v>1153</v>
      </c>
      <c r="C1301" s="3" t="s">
        <v>4</v>
      </c>
      <c r="D1301" s="3" t="s">
        <v>1154</v>
      </c>
      <c r="E1301" s="3" t="s">
        <v>904</v>
      </c>
      <c r="F1301" s="3" t="s">
        <v>1073</v>
      </c>
      <c r="G1301" s="6">
        <v>3</v>
      </c>
      <c r="H1301" s="6">
        <v>27</v>
      </c>
      <c r="I1301" s="6">
        <v>81</v>
      </c>
      <c r="J1301" s="6">
        <v>85284.129999999961</v>
      </c>
    </row>
    <row r="1302" spans="1:10" outlineLevel="1" x14ac:dyDescent="0.25">
      <c r="A1302" s="8" t="s">
        <v>664</v>
      </c>
      <c r="B1302" s="3" t="s">
        <v>1153</v>
      </c>
      <c r="C1302" s="3" t="s">
        <v>4</v>
      </c>
      <c r="D1302" s="3" t="s">
        <v>1154</v>
      </c>
      <c r="E1302" s="3" t="s">
        <v>1165</v>
      </c>
      <c r="F1302" s="3" t="s">
        <v>1166</v>
      </c>
      <c r="G1302" s="6">
        <v>3</v>
      </c>
      <c r="H1302" s="6">
        <v>28</v>
      </c>
      <c r="I1302" s="6">
        <v>84</v>
      </c>
      <c r="J1302" s="6">
        <v>85368.129999999961</v>
      </c>
    </row>
    <row r="1303" spans="1:10" outlineLevel="1" x14ac:dyDescent="0.25">
      <c r="A1303" s="8" t="s">
        <v>664</v>
      </c>
      <c r="B1303" s="3" t="s">
        <v>1153</v>
      </c>
      <c r="C1303" s="3" t="s">
        <v>4</v>
      </c>
      <c r="D1303" s="3" t="s">
        <v>1154</v>
      </c>
      <c r="E1303" s="3" t="s">
        <v>910</v>
      </c>
      <c r="F1303" s="3" t="s">
        <v>976</v>
      </c>
      <c r="G1303" s="6">
        <v>2</v>
      </c>
      <c r="H1303" s="6">
        <v>42.24</v>
      </c>
      <c r="I1303" s="6">
        <v>84.48</v>
      </c>
      <c r="J1303" s="6">
        <v>85452.609999999957</v>
      </c>
    </row>
    <row r="1304" spans="1:10" outlineLevel="1" x14ac:dyDescent="0.25">
      <c r="A1304" s="8" t="s">
        <v>664</v>
      </c>
      <c r="B1304" s="3" t="s">
        <v>1153</v>
      </c>
      <c r="C1304" s="3" t="s">
        <v>4</v>
      </c>
      <c r="D1304" s="3" t="s">
        <v>1154</v>
      </c>
      <c r="E1304" s="3" t="s">
        <v>914</v>
      </c>
      <c r="F1304" s="3" t="s">
        <v>977</v>
      </c>
      <c r="G1304" s="6">
        <v>1</v>
      </c>
      <c r="H1304" s="6">
        <v>49.95</v>
      </c>
      <c r="I1304" s="6">
        <v>49.95</v>
      </c>
      <c r="J1304" s="6">
        <v>85502.559999999954</v>
      </c>
    </row>
    <row r="1305" spans="1:10" outlineLevel="1" x14ac:dyDescent="0.25">
      <c r="A1305" s="8" t="s">
        <v>664</v>
      </c>
      <c r="B1305" s="3" t="s">
        <v>1153</v>
      </c>
      <c r="C1305" s="3" t="s">
        <v>4</v>
      </c>
      <c r="D1305" s="3" t="s">
        <v>1154</v>
      </c>
      <c r="E1305" s="3" t="s">
        <v>920</v>
      </c>
      <c r="F1305" s="3" t="s">
        <v>1076</v>
      </c>
      <c r="G1305" s="6">
        <v>3</v>
      </c>
      <c r="H1305" s="6">
        <v>32.15</v>
      </c>
      <c r="I1305" s="6">
        <v>96.45</v>
      </c>
      <c r="J1305" s="6">
        <v>85599.009999999951</v>
      </c>
    </row>
    <row r="1306" spans="1:10" outlineLevel="1" x14ac:dyDescent="0.25">
      <c r="A1306" s="8" t="s">
        <v>664</v>
      </c>
      <c r="B1306" s="3" t="s">
        <v>1153</v>
      </c>
      <c r="C1306" s="3" t="s">
        <v>4</v>
      </c>
      <c r="D1306" s="3" t="s">
        <v>1154</v>
      </c>
      <c r="E1306" s="3" t="s">
        <v>922</v>
      </c>
      <c r="F1306" s="3" t="s">
        <v>1077</v>
      </c>
      <c r="G1306" s="6">
        <v>3</v>
      </c>
      <c r="H1306" s="6">
        <v>32.15</v>
      </c>
      <c r="I1306" s="6">
        <v>96.45</v>
      </c>
      <c r="J1306" s="6">
        <v>85695.459999999948</v>
      </c>
    </row>
    <row r="1307" spans="1:10" outlineLevel="1" x14ac:dyDescent="0.25">
      <c r="A1307" s="8" t="s">
        <v>664</v>
      </c>
      <c r="B1307" s="3" t="s">
        <v>1153</v>
      </c>
      <c r="C1307" s="3" t="s">
        <v>4</v>
      </c>
      <c r="D1307" s="3" t="s">
        <v>1154</v>
      </c>
      <c r="E1307" s="3" t="s">
        <v>924</v>
      </c>
      <c r="F1307" s="3" t="s">
        <v>1078</v>
      </c>
      <c r="G1307" s="6">
        <v>3</v>
      </c>
      <c r="H1307" s="6">
        <v>32.15</v>
      </c>
      <c r="I1307" s="6">
        <v>96.45</v>
      </c>
      <c r="J1307" s="6">
        <v>85791.909999999945</v>
      </c>
    </row>
    <row r="1308" spans="1:10" outlineLevel="1" x14ac:dyDescent="0.25">
      <c r="A1308" s="8" t="s">
        <v>664</v>
      </c>
      <c r="B1308" s="3" t="s">
        <v>1153</v>
      </c>
      <c r="C1308" s="3" t="s">
        <v>4</v>
      </c>
      <c r="D1308" s="3" t="s">
        <v>1154</v>
      </c>
      <c r="E1308" s="3" t="s">
        <v>752</v>
      </c>
      <c r="F1308" s="3" t="s">
        <v>978</v>
      </c>
      <c r="G1308" s="6">
        <v>3</v>
      </c>
      <c r="H1308" s="6">
        <v>37.450000000000003</v>
      </c>
      <c r="I1308" s="6">
        <v>112.35</v>
      </c>
      <c r="J1308" s="6">
        <v>85904.259999999951</v>
      </c>
    </row>
    <row r="1309" spans="1:10" outlineLevel="1" x14ac:dyDescent="0.25">
      <c r="A1309" s="8" t="s">
        <v>664</v>
      </c>
      <c r="B1309" s="3" t="s">
        <v>1153</v>
      </c>
      <c r="C1309" s="3" t="s">
        <v>4</v>
      </c>
      <c r="D1309" s="3" t="s">
        <v>1154</v>
      </c>
      <c r="E1309" s="3" t="s">
        <v>1106</v>
      </c>
      <c r="F1309" s="3" t="s">
        <v>1107</v>
      </c>
      <c r="G1309" s="6">
        <v>5</v>
      </c>
      <c r="H1309" s="6">
        <v>22.24</v>
      </c>
      <c r="I1309" s="6">
        <v>111.2</v>
      </c>
      <c r="J1309" s="6">
        <v>86015.459999999948</v>
      </c>
    </row>
    <row r="1310" spans="1:10" outlineLevel="1" x14ac:dyDescent="0.25">
      <c r="A1310" s="8" t="s">
        <v>664</v>
      </c>
      <c r="B1310" s="3" t="s">
        <v>1153</v>
      </c>
      <c r="C1310" s="3" t="s">
        <v>4</v>
      </c>
      <c r="D1310" s="3" t="s">
        <v>1154</v>
      </c>
      <c r="E1310" s="3" t="s">
        <v>1119</v>
      </c>
      <c r="F1310" s="3" t="s">
        <v>1120</v>
      </c>
      <c r="G1310" s="6">
        <v>2</v>
      </c>
      <c r="H1310" s="6">
        <v>25.02</v>
      </c>
      <c r="I1310" s="6">
        <v>50.04</v>
      </c>
      <c r="J1310" s="6">
        <v>86065.499999999942</v>
      </c>
    </row>
    <row r="1311" spans="1:10" outlineLevel="1" x14ac:dyDescent="0.25">
      <c r="A1311" s="8" t="s">
        <v>664</v>
      </c>
      <c r="B1311" s="3" t="s">
        <v>1153</v>
      </c>
      <c r="C1311" s="3" t="s">
        <v>4</v>
      </c>
      <c r="D1311" s="3" t="s">
        <v>1154</v>
      </c>
      <c r="E1311" s="3" t="s">
        <v>1083</v>
      </c>
      <c r="F1311" s="3" t="s">
        <v>1167</v>
      </c>
      <c r="G1311" s="6">
        <v>2</v>
      </c>
      <c r="H1311" s="6">
        <v>22.24</v>
      </c>
      <c r="I1311" s="6">
        <v>44.48</v>
      </c>
      <c r="J1311" s="6">
        <v>86109.979999999938</v>
      </c>
    </row>
    <row r="1312" spans="1:10" outlineLevel="1" x14ac:dyDescent="0.25">
      <c r="A1312" s="8" t="s">
        <v>664</v>
      </c>
      <c r="B1312" s="3" t="s">
        <v>1153</v>
      </c>
      <c r="C1312" s="3" t="s">
        <v>4</v>
      </c>
      <c r="D1312" s="3" t="s">
        <v>1154</v>
      </c>
      <c r="E1312" s="3" t="s">
        <v>1168</v>
      </c>
      <c r="F1312" s="3" t="s">
        <v>1169</v>
      </c>
      <c r="G1312" s="6">
        <v>2</v>
      </c>
      <c r="H1312" s="6">
        <v>30.42</v>
      </c>
      <c r="I1312" s="6">
        <v>60.84</v>
      </c>
      <c r="J1312" s="6">
        <v>86170.819999999934</v>
      </c>
    </row>
    <row r="1313" spans="1:10" outlineLevel="1" x14ac:dyDescent="0.25">
      <c r="A1313" s="8" t="s">
        <v>664</v>
      </c>
      <c r="B1313" s="3" t="s">
        <v>1153</v>
      </c>
      <c r="C1313" s="3" t="s">
        <v>4</v>
      </c>
      <c r="D1313" s="3" t="s">
        <v>1154</v>
      </c>
      <c r="E1313" s="3" t="s">
        <v>1087</v>
      </c>
      <c r="F1313" s="3" t="s">
        <v>1170</v>
      </c>
      <c r="G1313" s="6">
        <v>3</v>
      </c>
      <c r="H1313" s="6">
        <v>22.24</v>
      </c>
      <c r="I1313" s="6">
        <v>66.72</v>
      </c>
      <c r="J1313" s="6">
        <v>86237.539999999935</v>
      </c>
    </row>
    <row r="1314" spans="1:10" outlineLevel="1" x14ac:dyDescent="0.25">
      <c r="A1314" s="8" t="s">
        <v>664</v>
      </c>
      <c r="B1314" s="3" t="s">
        <v>1153</v>
      </c>
      <c r="C1314" s="3" t="s">
        <v>4</v>
      </c>
      <c r="D1314" s="3" t="s">
        <v>1154</v>
      </c>
      <c r="E1314" s="3" t="s">
        <v>1171</v>
      </c>
      <c r="F1314" s="3" t="s">
        <v>1172</v>
      </c>
      <c r="G1314" s="6">
        <v>3</v>
      </c>
      <c r="H1314" s="6">
        <v>23.76</v>
      </c>
      <c r="I1314" s="6">
        <v>71.28</v>
      </c>
      <c r="J1314" s="6">
        <v>86308.819999999934</v>
      </c>
    </row>
    <row r="1315" spans="1:10" outlineLevel="1" x14ac:dyDescent="0.25">
      <c r="A1315" s="8" t="s">
        <v>664</v>
      </c>
      <c r="B1315" s="3" t="s">
        <v>1153</v>
      </c>
      <c r="C1315" s="3" t="s">
        <v>4</v>
      </c>
      <c r="D1315" s="3" t="s">
        <v>1154</v>
      </c>
      <c r="E1315" s="3" t="s">
        <v>760</v>
      </c>
      <c r="F1315" s="3" t="s">
        <v>979</v>
      </c>
      <c r="G1315" s="6">
        <v>10</v>
      </c>
      <c r="H1315" s="6">
        <v>53.5</v>
      </c>
      <c r="I1315" s="6">
        <v>535</v>
      </c>
      <c r="J1315" s="6">
        <v>86843.819999999934</v>
      </c>
    </row>
    <row r="1316" spans="1:10" outlineLevel="1" x14ac:dyDescent="0.25">
      <c r="A1316" s="8" t="s">
        <v>664</v>
      </c>
      <c r="B1316" s="3" t="s">
        <v>1153</v>
      </c>
      <c r="C1316" s="3" t="s">
        <v>4</v>
      </c>
      <c r="D1316" s="3" t="s">
        <v>1154</v>
      </c>
      <c r="E1316" s="3" t="s">
        <v>811</v>
      </c>
      <c r="F1316" s="3" t="s">
        <v>1147</v>
      </c>
      <c r="G1316" s="6">
        <v>2</v>
      </c>
      <c r="H1316" s="6">
        <v>49.8</v>
      </c>
      <c r="I1316" s="6">
        <v>99.6</v>
      </c>
      <c r="J1316" s="6">
        <v>86943.41999999994</v>
      </c>
    </row>
    <row r="1317" spans="1:10" outlineLevel="1" x14ac:dyDescent="0.25">
      <c r="A1317" s="8" t="s">
        <v>664</v>
      </c>
      <c r="B1317" s="3" t="s">
        <v>1153</v>
      </c>
      <c r="C1317" s="3" t="s">
        <v>4</v>
      </c>
      <c r="D1317" s="3" t="s">
        <v>1154</v>
      </c>
      <c r="E1317" s="3" t="s">
        <v>762</v>
      </c>
      <c r="F1317" s="3" t="s">
        <v>763</v>
      </c>
      <c r="G1317" s="6">
        <v>40</v>
      </c>
      <c r="H1317" s="6">
        <v>36</v>
      </c>
      <c r="I1317" s="6">
        <v>1440</v>
      </c>
      <c r="J1317" s="6">
        <v>88383.41999999994</v>
      </c>
    </row>
    <row r="1318" spans="1:10" outlineLevel="1" x14ac:dyDescent="0.25">
      <c r="A1318" s="8" t="s">
        <v>664</v>
      </c>
      <c r="B1318" s="3" t="s">
        <v>1153</v>
      </c>
      <c r="C1318" s="3" t="s">
        <v>4</v>
      </c>
      <c r="D1318" s="3" t="s">
        <v>1154</v>
      </c>
      <c r="E1318" s="3" t="s">
        <v>813</v>
      </c>
      <c r="F1318" s="3" t="s">
        <v>1024</v>
      </c>
      <c r="G1318" s="6">
        <v>2</v>
      </c>
      <c r="H1318" s="6">
        <v>54.57</v>
      </c>
      <c r="I1318" s="6">
        <v>109.14</v>
      </c>
      <c r="J1318" s="6">
        <v>88492.559999999939</v>
      </c>
    </row>
    <row r="1319" spans="1:10" outlineLevel="1" x14ac:dyDescent="0.25">
      <c r="A1319" s="8" t="s">
        <v>664</v>
      </c>
      <c r="B1319" s="3" t="s">
        <v>1153</v>
      </c>
      <c r="C1319" s="3" t="s">
        <v>4</v>
      </c>
      <c r="D1319" s="3" t="s">
        <v>1154</v>
      </c>
      <c r="E1319" s="3" t="s">
        <v>815</v>
      </c>
      <c r="F1319" s="3" t="s">
        <v>1148</v>
      </c>
      <c r="G1319" s="6">
        <v>2</v>
      </c>
      <c r="H1319" s="6">
        <v>45</v>
      </c>
      <c r="I1319" s="6">
        <v>90</v>
      </c>
      <c r="J1319" s="6">
        <v>88582.559999999939</v>
      </c>
    </row>
    <row r="1320" spans="1:10" outlineLevel="1" x14ac:dyDescent="0.25">
      <c r="A1320" s="8" t="s">
        <v>664</v>
      </c>
      <c r="B1320" s="3" t="s">
        <v>1153</v>
      </c>
      <c r="C1320" s="3" t="s">
        <v>4</v>
      </c>
      <c r="D1320" s="3" t="s">
        <v>1154</v>
      </c>
      <c r="E1320" s="3" t="s">
        <v>764</v>
      </c>
      <c r="F1320" s="3" t="s">
        <v>1026</v>
      </c>
      <c r="G1320" s="6">
        <v>8</v>
      </c>
      <c r="H1320" s="6">
        <v>34.659999999999997</v>
      </c>
      <c r="I1320" s="6">
        <v>277.27999999999997</v>
      </c>
      <c r="J1320" s="6">
        <v>88859.839999999938</v>
      </c>
    </row>
    <row r="1321" spans="1:10" outlineLevel="1" x14ac:dyDescent="0.25">
      <c r="A1321" s="8" t="s">
        <v>664</v>
      </c>
      <c r="B1321" s="3" t="s">
        <v>1153</v>
      </c>
      <c r="C1321" s="3" t="s">
        <v>4</v>
      </c>
      <c r="D1321" s="3" t="s">
        <v>1154</v>
      </c>
      <c r="E1321" s="3" t="s">
        <v>766</v>
      </c>
      <c r="F1321" s="3" t="s">
        <v>767</v>
      </c>
      <c r="G1321" s="6">
        <v>6</v>
      </c>
      <c r="H1321" s="6">
        <v>64.2</v>
      </c>
      <c r="I1321" s="6">
        <v>385.2</v>
      </c>
      <c r="J1321" s="6">
        <v>89245.039999999935</v>
      </c>
    </row>
    <row r="1322" spans="1:10" outlineLevel="1" x14ac:dyDescent="0.25">
      <c r="A1322" s="8" t="s">
        <v>664</v>
      </c>
      <c r="B1322" s="3" t="s">
        <v>1153</v>
      </c>
      <c r="C1322" s="3" t="s">
        <v>4</v>
      </c>
      <c r="D1322" s="3" t="s">
        <v>1154</v>
      </c>
      <c r="E1322" s="3" t="s">
        <v>770</v>
      </c>
      <c r="F1322" s="3" t="s">
        <v>1173</v>
      </c>
      <c r="G1322" s="6">
        <v>3</v>
      </c>
      <c r="H1322" s="6">
        <v>37.450000000000003</v>
      </c>
      <c r="I1322" s="6">
        <v>112.35</v>
      </c>
      <c r="J1322" s="6">
        <v>89357.389999999941</v>
      </c>
    </row>
    <row r="1323" spans="1:10" outlineLevel="1" x14ac:dyDescent="0.25">
      <c r="A1323" s="8" t="s">
        <v>664</v>
      </c>
      <c r="B1323" s="3" t="s">
        <v>1153</v>
      </c>
      <c r="C1323" s="3" t="s">
        <v>4</v>
      </c>
      <c r="D1323" s="3" t="s">
        <v>1154</v>
      </c>
      <c r="E1323" s="3" t="s">
        <v>1151</v>
      </c>
      <c r="F1323" s="3" t="s">
        <v>1174</v>
      </c>
      <c r="G1323" s="6">
        <v>10</v>
      </c>
      <c r="H1323" s="6">
        <v>26.84</v>
      </c>
      <c r="I1323" s="6">
        <v>268.39999999999998</v>
      </c>
      <c r="J1323" s="6">
        <v>89625.789999999935</v>
      </c>
    </row>
    <row r="1324" spans="1:10" outlineLevel="1" x14ac:dyDescent="0.25">
      <c r="A1324" s="8" t="s">
        <v>664</v>
      </c>
      <c r="B1324" s="3" t="s">
        <v>1153</v>
      </c>
      <c r="C1324" s="3" t="s">
        <v>4</v>
      </c>
      <c r="D1324" s="3" t="s">
        <v>1154</v>
      </c>
      <c r="E1324" s="3" t="s">
        <v>982</v>
      </c>
      <c r="F1324" s="3" t="s">
        <v>983</v>
      </c>
      <c r="G1324" s="6">
        <v>2</v>
      </c>
      <c r="H1324" s="6">
        <v>28.68</v>
      </c>
      <c r="I1324" s="6">
        <v>57.36</v>
      </c>
      <c r="J1324" s="6">
        <v>89683.149999999936</v>
      </c>
    </row>
    <row r="1325" spans="1:10" outlineLevel="1" x14ac:dyDescent="0.25">
      <c r="A1325" s="8" t="s">
        <v>664</v>
      </c>
      <c r="B1325" s="3" t="s">
        <v>1153</v>
      </c>
      <c r="C1325" s="3" t="s">
        <v>4</v>
      </c>
      <c r="D1325" s="3" t="s">
        <v>1154</v>
      </c>
      <c r="E1325" s="3" t="s">
        <v>819</v>
      </c>
      <c r="F1325" s="3" t="s">
        <v>1028</v>
      </c>
      <c r="G1325" s="6">
        <v>1</v>
      </c>
      <c r="H1325" s="6">
        <v>29.4</v>
      </c>
      <c r="I1325" s="6">
        <v>29.4</v>
      </c>
      <c r="J1325" s="6">
        <v>89712.54999999993</v>
      </c>
    </row>
    <row r="1326" spans="1:10" outlineLevel="1" x14ac:dyDescent="0.25">
      <c r="A1326" s="8" t="s">
        <v>664</v>
      </c>
      <c r="B1326" s="3" t="s">
        <v>1175</v>
      </c>
      <c r="C1326" s="3" t="s">
        <v>4</v>
      </c>
      <c r="D1326" s="3" t="s">
        <v>1176</v>
      </c>
      <c r="E1326" s="3" t="s">
        <v>1177</v>
      </c>
      <c r="F1326" s="3" t="s">
        <v>1178</v>
      </c>
      <c r="G1326" s="6">
        <v>2</v>
      </c>
      <c r="H1326" s="6">
        <v>27.04</v>
      </c>
      <c r="I1326" s="6">
        <v>54.08</v>
      </c>
      <c r="J1326" s="6">
        <v>89766.629999999932</v>
      </c>
    </row>
    <row r="1327" spans="1:10" outlineLevel="1" x14ac:dyDescent="0.25">
      <c r="A1327" s="8" t="s">
        <v>664</v>
      </c>
      <c r="B1327" s="3" t="s">
        <v>1175</v>
      </c>
      <c r="C1327" s="3" t="s">
        <v>4</v>
      </c>
      <c r="D1327" s="3" t="s">
        <v>1176</v>
      </c>
      <c r="E1327" s="3" t="s">
        <v>561</v>
      </c>
      <c r="F1327" s="3" t="s">
        <v>1179</v>
      </c>
      <c r="G1327" s="6">
        <v>100</v>
      </c>
      <c r="H1327" s="6">
        <v>34</v>
      </c>
      <c r="I1327" s="6">
        <v>3400</v>
      </c>
      <c r="J1327" s="6">
        <v>93166.629999999932</v>
      </c>
    </row>
    <row r="1328" spans="1:10" outlineLevel="1" x14ac:dyDescent="0.25">
      <c r="A1328" s="8" t="s">
        <v>664</v>
      </c>
      <c r="B1328" s="3" t="s">
        <v>1180</v>
      </c>
      <c r="C1328" s="3" t="s">
        <v>4</v>
      </c>
      <c r="D1328" s="3" t="s">
        <v>1181</v>
      </c>
      <c r="E1328" s="3" t="s">
        <v>823</v>
      </c>
      <c r="F1328" s="3" t="s">
        <v>1036</v>
      </c>
      <c r="G1328" s="6">
        <v>1</v>
      </c>
      <c r="H1328" s="6">
        <v>40.82</v>
      </c>
      <c r="I1328" s="6">
        <v>40.82</v>
      </c>
      <c r="J1328" s="6">
        <v>93207.449999999939</v>
      </c>
    </row>
    <row r="1329" spans="1:10" outlineLevel="1" x14ac:dyDescent="0.25">
      <c r="A1329" s="8" t="s">
        <v>664</v>
      </c>
      <c r="B1329" s="3" t="s">
        <v>1180</v>
      </c>
      <c r="C1329" s="3" t="s">
        <v>4</v>
      </c>
      <c r="D1329" s="3" t="s">
        <v>1181</v>
      </c>
      <c r="E1329" s="3" t="s">
        <v>1155</v>
      </c>
      <c r="F1329" s="3" t="s">
        <v>1156</v>
      </c>
      <c r="G1329" s="6">
        <v>1</v>
      </c>
      <c r="H1329" s="6">
        <v>32.1</v>
      </c>
      <c r="I1329" s="6">
        <v>32.1</v>
      </c>
      <c r="J1329" s="6">
        <v>93239.549999999945</v>
      </c>
    </row>
    <row r="1330" spans="1:10" outlineLevel="1" x14ac:dyDescent="0.25">
      <c r="A1330" s="8" t="s">
        <v>664</v>
      </c>
      <c r="B1330" s="3" t="s">
        <v>1180</v>
      </c>
      <c r="C1330" s="3" t="s">
        <v>4</v>
      </c>
      <c r="D1330" s="3" t="s">
        <v>1181</v>
      </c>
      <c r="E1330" s="3" t="s">
        <v>837</v>
      </c>
      <c r="F1330" s="3" t="s">
        <v>934</v>
      </c>
      <c r="G1330" s="6">
        <v>2</v>
      </c>
      <c r="H1330" s="6">
        <v>30.64</v>
      </c>
      <c r="I1330" s="6">
        <v>61.28</v>
      </c>
      <c r="J1330" s="6">
        <v>93300.829999999944</v>
      </c>
    </row>
    <row r="1331" spans="1:10" outlineLevel="1" x14ac:dyDescent="0.25">
      <c r="A1331" s="8" t="s">
        <v>664</v>
      </c>
      <c r="B1331" s="3" t="s">
        <v>1180</v>
      </c>
      <c r="C1331" s="3" t="s">
        <v>4</v>
      </c>
      <c r="D1331" s="3" t="s">
        <v>1181</v>
      </c>
      <c r="E1331" s="3" t="s">
        <v>843</v>
      </c>
      <c r="F1331" s="3" t="s">
        <v>1050</v>
      </c>
      <c r="G1331" s="6">
        <v>2</v>
      </c>
      <c r="H1331" s="6">
        <v>53.68</v>
      </c>
      <c r="I1331" s="6">
        <v>107.36</v>
      </c>
      <c r="J1331" s="6">
        <v>93408.189999999944</v>
      </c>
    </row>
    <row r="1332" spans="1:10" outlineLevel="1" x14ac:dyDescent="0.25">
      <c r="A1332" s="8" t="s">
        <v>664</v>
      </c>
      <c r="B1332" s="3" t="s">
        <v>1180</v>
      </c>
      <c r="C1332" s="3" t="s">
        <v>4</v>
      </c>
      <c r="D1332" s="3" t="s">
        <v>1181</v>
      </c>
      <c r="E1332" s="3" t="s">
        <v>64</v>
      </c>
      <c r="F1332" s="3" t="s">
        <v>65</v>
      </c>
      <c r="G1332" s="6">
        <v>3</v>
      </c>
      <c r="H1332" s="6">
        <v>50.9</v>
      </c>
      <c r="I1332" s="6">
        <v>152.69999999999999</v>
      </c>
      <c r="J1332" s="6">
        <v>93560.889999999941</v>
      </c>
    </row>
    <row r="1333" spans="1:10" outlineLevel="1" x14ac:dyDescent="0.25">
      <c r="A1333" s="8" t="s">
        <v>664</v>
      </c>
      <c r="B1333" s="3" t="s">
        <v>1180</v>
      </c>
      <c r="C1333" s="3" t="s">
        <v>4</v>
      </c>
      <c r="D1333" s="3" t="s">
        <v>1181</v>
      </c>
      <c r="E1333" s="3" t="s">
        <v>561</v>
      </c>
      <c r="F1333" s="3" t="s">
        <v>1179</v>
      </c>
      <c r="G1333" s="6">
        <v>50</v>
      </c>
      <c r="H1333" s="6">
        <v>34</v>
      </c>
      <c r="I1333" s="6">
        <v>1700</v>
      </c>
      <c r="J1333" s="6">
        <v>95260.889999999941</v>
      </c>
    </row>
    <row r="1334" spans="1:10" outlineLevel="1" x14ac:dyDescent="0.25">
      <c r="A1334" s="8" t="s">
        <v>664</v>
      </c>
      <c r="B1334" s="3" t="s">
        <v>1180</v>
      </c>
      <c r="C1334" s="3" t="s">
        <v>4</v>
      </c>
      <c r="D1334" s="3" t="s">
        <v>1181</v>
      </c>
      <c r="E1334" s="3" t="s">
        <v>1182</v>
      </c>
      <c r="F1334" s="3" t="s">
        <v>1183</v>
      </c>
      <c r="G1334" s="6">
        <v>2</v>
      </c>
      <c r="H1334" s="6">
        <v>38.93</v>
      </c>
      <c r="I1334" s="6">
        <v>77.86</v>
      </c>
      <c r="J1334" s="6">
        <v>95338.749999999942</v>
      </c>
    </row>
    <row r="1335" spans="1:10" outlineLevel="1" x14ac:dyDescent="0.25">
      <c r="A1335" s="8" t="s">
        <v>664</v>
      </c>
      <c r="B1335" s="3" t="s">
        <v>1184</v>
      </c>
      <c r="C1335" s="3" t="s">
        <v>4</v>
      </c>
      <c r="D1335" s="3" t="s">
        <v>1185</v>
      </c>
      <c r="E1335" s="3" t="s">
        <v>1108</v>
      </c>
      <c r="F1335" s="3" t="s">
        <v>1109</v>
      </c>
      <c r="G1335" s="6">
        <v>5</v>
      </c>
      <c r="H1335" s="6">
        <v>22.24</v>
      </c>
      <c r="I1335" s="6">
        <v>111.2</v>
      </c>
      <c r="J1335" s="6">
        <v>95449.949999999939</v>
      </c>
    </row>
    <row r="1336" spans="1:10" outlineLevel="1" x14ac:dyDescent="0.25">
      <c r="A1336" s="8" t="s">
        <v>664</v>
      </c>
      <c r="B1336" s="3" t="s">
        <v>1184</v>
      </c>
      <c r="C1336" s="3" t="s">
        <v>4</v>
      </c>
      <c r="D1336" s="3" t="s">
        <v>1185</v>
      </c>
      <c r="E1336" s="3" t="s">
        <v>1186</v>
      </c>
      <c r="F1336" s="3" t="s">
        <v>1187</v>
      </c>
      <c r="G1336" s="6">
        <v>1</v>
      </c>
      <c r="H1336" s="6">
        <v>22.24</v>
      </c>
      <c r="I1336" s="6">
        <v>22.24</v>
      </c>
      <c r="J1336" s="6">
        <v>95472.189999999944</v>
      </c>
    </row>
    <row r="1337" spans="1:10" outlineLevel="1" x14ac:dyDescent="0.25">
      <c r="A1337" s="8" t="s">
        <v>664</v>
      </c>
      <c r="B1337" s="3" t="s">
        <v>1188</v>
      </c>
      <c r="C1337" s="3" t="s">
        <v>4</v>
      </c>
      <c r="D1337" s="3" t="s">
        <v>1189</v>
      </c>
      <c r="E1337" s="3" t="s">
        <v>1190</v>
      </c>
      <c r="F1337" s="3" t="s">
        <v>1191</v>
      </c>
      <c r="G1337" s="6">
        <v>6</v>
      </c>
      <c r="H1337" s="6">
        <v>10.68</v>
      </c>
      <c r="I1337" s="6">
        <v>64.08</v>
      </c>
      <c r="J1337" s="6">
        <v>95536.269999999946</v>
      </c>
    </row>
    <row r="1338" spans="1:10" outlineLevel="1" x14ac:dyDescent="0.25">
      <c r="A1338" s="8" t="s">
        <v>664</v>
      </c>
      <c r="B1338" s="3" t="s">
        <v>1192</v>
      </c>
      <c r="C1338" s="3" t="s">
        <v>214</v>
      </c>
      <c r="D1338" s="3" t="s">
        <v>5</v>
      </c>
      <c r="E1338" s="3" t="s">
        <v>72</v>
      </c>
      <c r="F1338" s="3" t="s">
        <v>73</v>
      </c>
      <c r="G1338" s="6">
        <v>-1</v>
      </c>
      <c r="H1338" s="6">
        <v>66.88</v>
      </c>
      <c r="I1338" s="6">
        <v>-66.88</v>
      </c>
      <c r="J1338" s="6">
        <v>95469.389999999941</v>
      </c>
    </row>
    <row r="1339" spans="1:10" outlineLevel="1" x14ac:dyDescent="0.25">
      <c r="A1339" s="8" t="s">
        <v>664</v>
      </c>
      <c r="B1339" s="3" t="s">
        <v>1193</v>
      </c>
      <c r="C1339" s="3" t="s">
        <v>4</v>
      </c>
      <c r="D1339" s="3" t="s">
        <v>1194</v>
      </c>
      <c r="E1339" s="3" t="s">
        <v>720</v>
      </c>
      <c r="F1339" s="3" t="s">
        <v>721</v>
      </c>
      <c r="G1339" s="6">
        <v>8</v>
      </c>
      <c r="H1339" s="6">
        <v>23.96</v>
      </c>
      <c r="I1339" s="6">
        <v>191.68</v>
      </c>
      <c r="J1339" s="6">
        <v>95661.069999999934</v>
      </c>
    </row>
    <row r="1340" spans="1:10" outlineLevel="1" x14ac:dyDescent="0.25">
      <c r="A1340" s="8" t="s">
        <v>664</v>
      </c>
      <c r="B1340" s="3" t="s">
        <v>1193</v>
      </c>
      <c r="C1340" s="3" t="s">
        <v>4</v>
      </c>
      <c r="D1340" s="3" t="s">
        <v>1194</v>
      </c>
      <c r="E1340" s="3" t="s">
        <v>724</v>
      </c>
      <c r="F1340" s="3" t="s">
        <v>1195</v>
      </c>
      <c r="G1340" s="6">
        <v>5</v>
      </c>
      <c r="H1340" s="6">
        <v>35</v>
      </c>
      <c r="I1340" s="6">
        <v>175</v>
      </c>
      <c r="J1340" s="6">
        <v>95836.069999999934</v>
      </c>
    </row>
    <row r="1341" spans="1:10" outlineLevel="1" x14ac:dyDescent="0.25">
      <c r="A1341" s="8" t="s">
        <v>664</v>
      </c>
      <c r="B1341" s="3" t="s">
        <v>1193</v>
      </c>
      <c r="C1341" s="3" t="s">
        <v>4</v>
      </c>
      <c r="D1341" s="3" t="s">
        <v>1194</v>
      </c>
      <c r="E1341" s="3" t="s">
        <v>957</v>
      </c>
      <c r="F1341" s="3" t="s">
        <v>1196</v>
      </c>
      <c r="G1341" s="6">
        <v>6</v>
      </c>
      <c r="H1341" s="6">
        <v>39</v>
      </c>
      <c r="I1341" s="6">
        <v>234</v>
      </c>
      <c r="J1341" s="6">
        <v>96070.069999999934</v>
      </c>
    </row>
    <row r="1342" spans="1:10" outlineLevel="1" x14ac:dyDescent="0.25">
      <c r="A1342" s="8" t="s">
        <v>664</v>
      </c>
      <c r="B1342" s="3" t="s">
        <v>1193</v>
      </c>
      <c r="C1342" s="3" t="s">
        <v>4</v>
      </c>
      <c r="D1342" s="3" t="s">
        <v>1194</v>
      </c>
      <c r="E1342" s="3" t="s">
        <v>955</v>
      </c>
      <c r="F1342" s="3" t="s">
        <v>1197</v>
      </c>
      <c r="G1342" s="6">
        <v>6</v>
      </c>
      <c r="H1342" s="6">
        <v>39</v>
      </c>
      <c r="I1342" s="6">
        <v>234</v>
      </c>
      <c r="J1342" s="6">
        <v>96304.069999999934</v>
      </c>
    </row>
    <row r="1343" spans="1:10" outlineLevel="1" x14ac:dyDescent="0.25">
      <c r="A1343" s="8" t="s">
        <v>664</v>
      </c>
      <c r="B1343" s="3" t="s">
        <v>1193</v>
      </c>
      <c r="C1343" s="3" t="s">
        <v>4</v>
      </c>
      <c r="D1343" s="3" t="s">
        <v>1194</v>
      </c>
      <c r="E1343" s="3" t="s">
        <v>734</v>
      </c>
      <c r="F1343" s="3" t="s">
        <v>1198</v>
      </c>
      <c r="G1343" s="6">
        <v>6</v>
      </c>
      <c r="H1343" s="6">
        <v>11.88</v>
      </c>
      <c r="I1343" s="6">
        <v>71.28</v>
      </c>
      <c r="J1343" s="6">
        <v>96375.349999999933</v>
      </c>
    </row>
    <row r="1344" spans="1:10" outlineLevel="1" x14ac:dyDescent="0.25">
      <c r="A1344" s="8" t="s">
        <v>664</v>
      </c>
      <c r="B1344" s="3" t="s">
        <v>1193</v>
      </c>
      <c r="C1344" s="3" t="s">
        <v>4</v>
      </c>
      <c r="D1344" s="3" t="s">
        <v>1194</v>
      </c>
      <c r="E1344" s="3" t="s">
        <v>863</v>
      </c>
      <c r="F1344" s="3" t="s">
        <v>960</v>
      </c>
      <c r="G1344" s="6">
        <v>18</v>
      </c>
      <c r="H1344" s="6">
        <v>49.52</v>
      </c>
      <c r="I1344" s="6">
        <v>891.36</v>
      </c>
      <c r="J1344" s="6">
        <v>97266.709999999934</v>
      </c>
    </row>
    <row r="1345" spans="1:10" outlineLevel="1" x14ac:dyDescent="0.25">
      <c r="A1345" s="8" t="s">
        <v>664</v>
      </c>
      <c r="B1345" s="3" t="s">
        <v>1193</v>
      </c>
      <c r="C1345" s="3" t="s">
        <v>4</v>
      </c>
      <c r="D1345" s="3" t="s">
        <v>1194</v>
      </c>
      <c r="E1345" s="3" t="s">
        <v>865</v>
      </c>
      <c r="F1345" s="3" t="s">
        <v>961</v>
      </c>
      <c r="G1345" s="6">
        <v>22</v>
      </c>
      <c r="H1345" s="6">
        <v>49.52</v>
      </c>
      <c r="I1345" s="6">
        <v>1089.44</v>
      </c>
      <c r="J1345" s="6">
        <v>98356.149999999936</v>
      </c>
    </row>
    <row r="1346" spans="1:10" outlineLevel="1" x14ac:dyDescent="0.25">
      <c r="A1346" s="8" t="s">
        <v>664</v>
      </c>
      <c r="B1346" s="3" t="s">
        <v>1193</v>
      </c>
      <c r="C1346" s="3" t="s">
        <v>4</v>
      </c>
      <c r="D1346" s="3" t="s">
        <v>1194</v>
      </c>
      <c r="E1346" s="3" t="s">
        <v>739</v>
      </c>
      <c r="F1346" s="3" t="s">
        <v>964</v>
      </c>
      <c r="G1346" s="6">
        <v>20</v>
      </c>
      <c r="H1346" s="6">
        <v>14</v>
      </c>
      <c r="I1346" s="6">
        <v>280</v>
      </c>
      <c r="J1346" s="6">
        <v>98636.149999999936</v>
      </c>
    </row>
    <row r="1347" spans="1:10" outlineLevel="1" x14ac:dyDescent="0.25">
      <c r="A1347" s="8" t="s">
        <v>664</v>
      </c>
      <c r="B1347" s="3" t="s">
        <v>1193</v>
      </c>
      <c r="C1347" s="3" t="s">
        <v>4</v>
      </c>
      <c r="D1347" s="3" t="s">
        <v>1194</v>
      </c>
      <c r="E1347" s="3" t="s">
        <v>741</v>
      </c>
      <c r="F1347" s="3" t="s">
        <v>1065</v>
      </c>
      <c r="G1347" s="6">
        <v>6</v>
      </c>
      <c r="H1347" s="6">
        <v>14</v>
      </c>
      <c r="I1347" s="6">
        <v>84</v>
      </c>
      <c r="J1347" s="6">
        <v>98720.149999999936</v>
      </c>
    </row>
    <row r="1348" spans="1:10" outlineLevel="1" x14ac:dyDescent="0.25">
      <c r="A1348" s="8" t="s">
        <v>664</v>
      </c>
      <c r="B1348" s="3" t="s">
        <v>1193</v>
      </c>
      <c r="C1348" s="3" t="s">
        <v>4</v>
      </c>
      <c r="D1348" s="3" t="s">
        <v>1194</v>
      </c>
      <c r="E1348" s="3" t="s">
        <v>878</v>
      </c>
      <c r="F1348" s="3" t="s">
        <v>965</v>
      </c>
      <c r="G1348" s="6">
        <v>6</v>
      </c>
      <c r="H1348" s="6">
        <v>14</v>
      </c>
      <c r="I1348" s="6">
        <v>84</v>
      </c>
      <c r="J1348" s="6">
        <v>98804.149999999936</v>
      </c>
    </row>
    <row r="1349" spans="1:10" outlineLevel="1" x14ac:dyDescent="0.25">
      <c r="A1349" s="8" t="s">
        <v>664</v>
      </c>
      <c r="B1349" s="3" t="s">
        <v>1193</v>
      </c>
      <c r="C1349" s="3" t="s">
        <v>4</v>
      </c>
      <c r="D1349" s="3" t="s">
        <v>1194</v>
      </c>
      <c r="E1349" s="3" t="s">
        <v>1066</v>
      </c>
      <c r="F1349" s="3" t="s">
        <v>1067</v>
      </c>
      <c r="G1349" s="6">
        <v>6</v>
      </c>
      <c r="H1349" s="6">
        <v>14</v>
      </c>
      <c r="I1349" s="6">
        <v>84</v>
      </c>
      <c r="J1349" s="6">
        <v>98888.149999999936</v>
      </c>
    </row>
    <row r="1350" spans="1:10" outlineLevel="1" x14ac:dyDescent="0.25">
      <c r="A1350" s="8" t="s">
        <v>664</v>
      </c>
      <c r="B1350" s="3" t="s">
        <v>1193</v>
      </c>
      <c r="C1350" s="3" t="s">
        <v>4</v>
      </c>
      <c r="D1350" s="3" t="s">
        <v>1194</v>
      </c>
      <c r="E1350" s="3" t="s">
        <v>1068</v>
      </c>
      <c r="F1350" s="3" t="s">
        <v>1069</v>
      </c>
      <c r="G1350" s="6">
        <v>6</v>
      </c>
      <c r="H1350" s="6">
        <v>14</v>
      </c>
      <c r="I1350" s="6">
        <v>84</v>
      </c>
      <c r="J1350" s="6">
        <v>98972.149999999936</v>
      </c>
    </row>
    <row r="1351" spans="1:10" outlineLevel="1" x14ac:dyDescent="0.25">
      <c r="A1351" s="8" t="s">
        <v>664</v>
      </c>
      <c r="B1351" s="3" t="s">
        <v>1193</v>
      </c>
      <c r="C1351" s="3" t="s">
        <v>4</v>
      </c>
      <c r="D1351" s="3" t="s">
        <v>1194</v>
      </c>
      <c r="E1351" s="3" t="s">
        <v>880</v>
      </c>
      <c r="F1351" s="3" t="s">
        <v>935</v>
      </c>
      <c r="G1351" s="6">
        <v>18</v>
      </c>
      <c r="H1351" s="6">
        <v>14</v>
      </c>
      <c r="I1351" s="6">
        <v>252</v>
      </c>
      <c r="J1351" s="6">
        <v>99224.149999999936</v>
      </c>
    </row>
    <row r="1352" spans="1:10" outlineLevel="1" x14ac:dyDescent="0.25">
      <c r="A1352" s="8" t="s">
        <v>664</v>
      </c>
      <c r="B1352" s="3" t="s">
        <v>1193</v>
      </c>
      <c r="C1352" s="3" t="s">
        <v>4</v>
      </c>
      <c r="D1352" s="3" t="s">
        <v>1194</v>
      </c>
      <c r="E1352" s="3" t="s">
        <v>882</v>
      </c>
      <c r="F1352" s="3" t="s">
        <v>966</v>
      </c>
      <c r="G1352" s="6">
        <v>32</v>
      </c>
      <c r="H1352" s="6">
        <v>14</v>
      </c>
      <c r="I1352" s="6">
        <v>448</v>
      </c>
      <c r="J1352" s="6">
        <v>99672.149999999936</v>
      </c>
    </row>
    <row r="1353" spans="1:10" outlineLevel="1" x14ac:dyDescent="0.25">
      <c r="A1353" s="8" t="s">
        <v>664</v>
      </c>
      <c r="B1353" s="3" t="s">
        <v>1193</v>
      </c>
      <c r="C1353" s="3" t="s">
        <v>4</v>
      </c>
      <c r="D1353" s="3" t="s">
        <v>1194</v>
      </c>
      <c r="E1353" s="3" t="s">
        <v>786</v>
      </c>
      <c r="F1353" s="3" t="s">
        <v>967</v>
      </c>
      <c r="G1353" s="6">
        <v>2</v>
      </c>
      <c r="H1353" s="6">
        <v>22.86</v>
      </c>
      <c r="I1353" s="6">
        <v>45.72</v>
      </c>
      <c r="J1353" s="6">
        <v>99717.869999999937</v>
      </c>
    </row>
    <row r="1354" spans="1:10" outlineLevel="1" x14ac:dyDescent="0.25">
      <c r="A1354" s="8" t="s">
        <v>664</v>
      </c>
      <c r="B1354" s="3" t="s">
        <v>1193</v>
      </c>
      <c r="C1354" s="3" t="s">
        <v>4</v>
      </c>
      <c r="D1354" s="3" t="s">
        <v>1194</v>
      </c>
      <c r="E1354" s="3" t="s">
        <v>1010</v>
      </c>
      <c r="F1354" s="3" t="s">
        <v>1070</v>
      </c>
      <c r="G1354" s="6">
        <v>8</v>
      </c>
      <c r="H1354" s="6">
        <v>14</v>
      </c>
      <c r="I1354" s="6">
        <v>112</v>
      </c>
      <c r="J1354" s="6">
        <v>99829.869999999937</v>
      </c>
    </row>
    <row r="1355" spans="1:10" outlineLevel="1" x14ac:dyDescent="0.25">
      <c r="A1355" s="8" t="s">
        <v>664</v>
      </c>
      <c r="B1355" s="3" t="s">
        <v>1193</v>
      </c>
      <c r="C1355" s="3" t="s">
        <v>4</v>
      </c>
      <c r="D1355" s="3" t="s">
        <v>1194</v>
      </c>
      <c r="E1355" s="3" t="s">
        <v>891</v>
      </c>
      <c r="F1355" s="3" t="s">
        <v>971</v>
      </c>
      <c r="G1355" s="6">
        <v>8</v>
      </c>
      <c r="H1355" s="6">
        <v>14</v>
      </c>
      <c r="I1355" s="6">
        <v>112</v>
      </c>
      <c r="J1355" s="6">
        <v>99941.869999999937</v>
      </c>
    </row>
    <row r="1356" spans="1:10" ht="23.25" outlineLevel="1" x14ac:dyDescent="0.25">
      <c r="A1356" s="8" t="s">
        <v>664</v>
      </c>
      <c r="B1356" s="3" t="s">
        <v>1193</v>
      </c>
      <c r="C1356" s="3" t="s">
        <v>4</v>
      </c>
      <c r="D1356" s="3" t="s">
        <v>1194</v>
      </c>
      <c r="E1356" s="3" t="s">
        <v>904</v>
      </c>
      <c r="F1356" s="3" t="s">
        <v>1073</v>
      </c>
      <c r="G1356" s="6">
        <v>4</v>
      </c>
      <c r="H1356" s="6">
        <v>27</v>
      </c>
      <c r="I1356" s="6">
        <v>108</v>
      </c>
      <c r="J1356" s="6">
        <v>100049.86999999994</v>
      </c>
    </row>
    <row r="1357" spans="1:10" outlineLevel="1" x14ac:dyDescent="0.25">
      <c r="A1357" s="8" t="s">
        <v>664</v>
      </c>
      <c r="B1357" s="3" t="s">
        <v>1193</v>
      </c>
      <c r="C1357" s="3" t="s">
        <v>4</v>
      </c>
      <c r="D1357" s="3" t="s">
        <v>1194</v>
      </c>
      <c r="E1357" s="3" t="s">
        <v>910</v>
      </c>
      <c r="F1357" s="3" t="s">
        <v>976</v>
      </c>
      <c r="G1357" s="6">
        <v>4</v>
      </c>
      <c r="H1357" s="6">
        <v>42.24</v>
      </c>
      <c r="I1357" s="6">
        <v>168.96</v>
      </c>
      <c r="J1357" s="6">
        <v>100218.82999999994</v>
      </c>
    </row>
    <row r="1358" spans="1:10" outlineLevel="1" x14ac:dyDescent="0.25">
      <c r="A1358" s="8" t="s">
        <v>664</v>
      </c>
      <c r="B1358" s="3" t="s">
        <v>1193</v>
      </c>
      <c r="C1358" s="3" t="s">
        <v>4</v>
      </c>
      <c r="D1358" s="3" t="s">
        <v>1194</v>
      </c>
      <c r="E1358" s="3" t="s">
        <v>1199</v>
      </c>
      <c r="F1358" s="3" t="s">
        <v>1200</v>
      </c>
      <c r="G1358" s="6">
        <v>2</v>
      </c>
      <c r="H1358" s="6">
        <v>18</v>
      </c>
      <c r="I1358" s="6">
        <v>36</v>
      </c>
      <c r="J1358" s="6">
        <v>100254.82999999994</v>
      </c>
    </row>
    <row r="1359" spans="1:10" outlineLevel="1" x14ac:dyDescent="0.25">
      <c r="A1359" s="8" t="s">
        <v>664</v>
      </c>
      <c r="B1359" s="3" t="s">
        <v>1201</v>
      </c>
      <c r="C1359" s="3" t="s">
        <v>4</v>
      </c>
      <c r="D1359" s="3" t="s">
        <v>1202</v>
      </c>
      <c r="E1359" s="3" t="s">
        <v>673</v>
      </c>
      <c r="F1359" s="3" t="s">
        <v>1037</v>
      </c>
      <c r="G1359" s="6">
        <v>2</v>
      </c>
      <c r="H1359" s="6">
        <v>33.380000000000003</v>
      </c>
      <c r="I1359" s="6">
        <v>66.760000000000005</v>
      </c>
      <c r="J1359" s="6">
        <v>100321.58999999994</v>
      </c>
    </row>
    <row r="1360" spans="1:10" outlineLevel="1" x14ac:dyDescent="0.25">
      <c r="A1360" s="8" t="s">
        <v>664</v>
      </c>
      <c r="B1360" s="3" t="s">
        <v>1201</v>
      </c>
      <c r="C1360" s="3" t="s">
        <v>4</v>
      </c>
      <c r="D1360" s="3" t="s">
        <v>1202</v>
      </c>
      <c r="E1360" s="3" t="s">
        <v>1155</v>
      </c>
      <c r="F1360" s="3" t="s">
        <v>1156</v>
      </c>
      <c r="G1360" s="6">
        <v>4</v>
      </c>
      <c r="H1360" s="6">
        <v>32.1</v>
      </c>
      <c r="I1360" s="6">
        <v>128.4</v>
      </c>
      <c r="J1360" s="6">
        <v>100449.98999999993</v>
      </c>
    </row>
    <row r="1361" spans="1:10" outlineLevel="1" x14ac:dyDescent="0.25">
      <c r="A1361" s="8" t="s">
        <v>664</v>
      </c>
      <c r="B1361" s="3" t="s">
        <v>1201</v>
      </c>
      <c r="C1361" s="3" t="s">
        <v>4</v>
      </c>
      <c r="D1361" s="3" t="s">
        <v>1202</v>
      </c>
      <c r="E1361" s="3" t="s">
        <v>686</v>
      </c>
      <c r="F1361" s="3" t="s">
        <v>942</v>
      </c>
      <c r="G1361" s="6">
        <v>2</v>
      </c>
      <c r="H1361" s="6">
        <v>25.54</v>
      </c>
      <c r="I1361" s="6">
        <v>51.08</v>
      </c>
      <c r="J1361" s="6">
        <v>100501.06999999993</v>
      </c>
    </row>
    <row r="1362" spans="1:10" outlineLevel="1" x14ac:dyDescent="0.25">
      <c r="A1362" s="8" t="s">
        <v>664</v>
      </c>
      <c r="B1362" s="3" t="s">
        <v>1201</v>
      </c>
      <c r="C1362" s="3" t="s">
        <v>4</v>
      </c>
      <c r="D1362" s="3" t="s">
        <v>1202</v>
      </c>
      <c r="E1362" s="3" t="s">
        <v>702</v>
      </c>
      <c r="F1362" s="3" t="s">
        <v>992</v>
      </c>
      <c r="G1362" s="6">
        <v>5</v>
      </c>
      <c r="H1362" s="6">
        <v>45.96</v>
      </c>
      <c r="I1362" s="6">
        <v>229.8</v>
      </c>
      <c r="J1362" s="6">
        <v>100730.86999999994</v>
      </c>
    </row>
    <row r="1363" spans="1:10" outlineLevel="1" x14ac:dyDescent="0.25">
      <c r="A1363" s="8" t="s">
        <v>664</v>
      </c>
      <c r="B1363" s="3" t="s">
        <v>1201</v>
      </c>
      <c r="C1363" s="3" t="s">
        <v>4</v>
      </c>
      <c r="D1363" s="3" t="s">
        <v>1202</v>
      </c>
      <c r="E1363" s="3" t="s">
        <v>704</v>
      </c>
      <c r="F1363" s="3" t="s">
        <v>1044</v>
      </c>
      <c r="G1363" s="6">
        <v>2</v>
      </c>
      <c r="H1363" s="6">
        <v>45.96</v>
      </c>
      <c r="I1363" s="6">
        <v>91.92</v>
      </c>
      <c r="J1363" s="6">
        <v>100822.78999999994</v>
      </c>
    </row>
    <row r="1364" spans="1:10" outlineLevel="1" x14ac:dyDescent="0.25">
      <c r="A1364" s="8" t="s">
        <v>664</v>
      </c>
      <c r="B1364" s="3" t="s">
        <v>1201</v>
      </c>
      <c r="C1364" s="3" t="s">
        <v>4</v>
      </c>
      <c r="D1364" s="3" t="s">
        <v>1202</v>
      </c>
      <c r="E1364" s="3" t="s">
        <v>834</v>
      </c>
      <c r="F1364" s="3" t="s">
        <v>1045</v>
      </c>
      <c r="G1364" s="6">
        <v>2</v>
      </c>
      <c r="H1364" s="6">
        <v>33.380000000000003</v>
      </c>
      <c r="I1364" s="6">
        <v>66.760000000000005</v>
      </c>
      <c r="J1364" s="6">
        <v>100889.54999999993</v>
      </c>
    </row>
    <row r="1365" spans="1:10" outlineLevel="1" x14ac:dyDescent="0.25">
      <c r="A1365" s="8" t="s">
        <v>664</v>
      </c>
      <c r="B1365" s="3" t="s">
        <v>1201</v>
      </c>
      <c r="C1365" s="3" t="s">
        <v>4</v>
      </c>
      <c r="D1365" s="3" t="s">
        <v>1202</v>
      </c>
      <c r="E1365" s="3" t="s">
        <v>716</v>
      </c>
      <c r="F1365" s="3" t="s">
        <v>777</v>
      </c>
      <c r="G1365" s="6">
        <v>6</v>
      </c>
      <c r="H1365" s="6">
        <v>32.1</v>
      </c>
      <c r="I1365" s="6">
        <v>192.6</v>
      </c>
      <c r="J1365" s="6">
        <v>101082.14999999994</v>
      </c>
    </row>
    <row r="1366" spans="1:10" outlineLevel="1" x14ac:dyDescent="0.25">
      <c r="A1366" s="8" t="s">
        <v>664</v>
      </c>
      <c r="B1366" s="3" t="s">
        <v>1201</v>
      </c>
      <c r="C1366" s="3" t="s">
        <v>4</v>
      </c>
      <c r="D1366" s="3" t="s">
        <v>1202</v>
      </c>
      <c r="E1366" s="3" t="s">
        <v>708</v>
      </c>
      <c r="F1366" s="3" t="s">
        <v>1203</v>
      </c>
      <c r="G1366" s="6">
        <v>8</v>
      </c>
      <c r="H1366" s="6">
        <v>40.56</v>
      </c>
      <c r="I1366" s="6">
        <v>324.48</v>
      </c>
      <c r="J1366" s="6">
        <v>101406.62999999993</v>
      </c>
    </row>
    <row r="1367" spans="1:10" outlineLevel="1" x14ac:dyDescent="0.25">
      <c r="A1367" s="8" t="s">
        <v>664</v>
      </c>
      <c r="B1367" s="3" t="s">
        <v>1201</v>
      </c>
      <c r="C1367" s="3" t="s">
        <v>4</v>
      </c>
      <c r="D1367" s="3" t="s">
        <v>1202</v>
      </c>
      <c r="E1367" s="3" t="s">
        <v>835</v>
      </c>
      <c r="F1367" s="3" t="s">
        <v>993</v>
      </c>
      <c r="G1367" s="6">
        <v>4</v>
      </c>
      <c r="H1367" s="6">
        <v>30.82</v>
      </c>
      <c r="I1367" s="6">
        <v>123.28</v>
      </c>
      <c r="J1367" s="6">
        <v>101529.90999999993</v>
      </c>
    </row>
    <row r="1368" spans="1:10" outlineLevel="1" x14ac:dyDescent="0.25">
      <c r="A1368" s="8" t="s">
        <v>664</v>
      </c>
      <c r="B1368" s="3" t="s">
        <v>1201</v>
      </c>
      <c r="C1368" s="3" t="s">
        <v>4</v>
      </c>
      <c r="D1368" s="3" t="s">
        <v>1202</v>
      </c>
      <c r="E1368" s="3" t="s">
        <v>712</v>
      </c>
      <c r="F1368" s="3" t="s">
        <v>1046</v>
      </c>
      <c r="G1368" s="6">
        <v>4</v>
      </c>
      <c r="H1368" s="6">
        <v>21.18</v>
      </c>
      <c r="I1368" s="6">
        <v>84.72</v>
      </c>
      <c r="J1368" s="6">
        <v>101614.62999999993</v>
      </c>
    </row>
    <row r="1369" spans="1:10" outlineLevel="1" x14ac:dyDescent="0.25">
      <c r="A1369" s="8" t="s">
        <v>664</v>
      </c>
      <c r="B1369" s="3" t="s">
        <v>1201</v>
      </c>
      <c r="C1369" s="3" t="s">
        <v>4</v>
      </c>
      <c r="D1369" s="3" t="s">
        <v>1202</v>
      </c>
      <c r="E1369" s="3" t="s">
        <v>778</v>
      </c>
      <c r="F1369" s="3" t="s">
        <v>994</v>
      </c>
      <c r="G1369" s="6">
        <v>2</v>
      </c>
      <c r="H1369" s="6">
        <v>30.82</v>
      </c>
      <c r="I1369" s="6">
        <v>61.64</v>
      </c>
      <c r="J1369" s="6">
        <v>101676.26999999993</v>
      </c>
    </row>
    <row r="1370" spans="1:10" outlineLevel="1" x14ac:dyDescent="0.25">
      <c r="A1370" s="8" t="s">
        <v>664</v>
      </c>
      <c r="B1370" s="3" t="s">
        <v>1201</v>
      </c>
      <c r="C1370" s="3" t="s">
        <v>4</v>
      </c>
      <c r="D1370" s="3" t="s">
        <v>1202</v>
      </c>
      <c r="E1370" s="3" t="s">
        <v>718</v>
      </c>
      <c r="F1370" s="3" t="s">
        <v>1047</v>
      </c>
      <c r="G1370" s="6">
        <v>4</v>
      </c>
      <c r="H1370" s="6">
        <v>21.18</v>
      </c>
      <c r="I1370" s="6">
        <v>84.72</v>
      </c>
      <c r="J1370" s="6">
        <v>101760.98999999993</v>
      </c>
    </row>
    <row r="1371" spans="1:10" outlineLevel="1" x14ac:dyDescent="0.25">
      <c r="A1371" s="8" t="s">
        <v>664</v>
      </c>
      <c r="B1371" s="3" t="s">
        <v>1201</v>
      </c>
      <c r="C1371" s="3" t="s">
        <v>4</v>
      </c>
      <c r="D1371" s="3" t="s">
        <v>1202</v>
      </c>
      <c r="E1371" s="3" t="s">
        <v>997</v>
      </c>
      <c r="F1371" s="3" t="s">
        <v>1204</v>
      </c>
      <c r="G1371" s="6">
        <v>1</v>
      </c>
      <c r="H1371" s="6">
        <v>35</v>
      </c>
      <c r="I1371" s="6">
        <v>35</v>
      </c>
      <c r="J1371" s="6">
        <v>101795.98999999993</v>
      </c>
    </row>
    <row r="1372" spans="1:10" outlineLevel="1" x14ac:dyDescent="0.25">
      <c r="A1372" s="8" t="s">
        <v>664</v>
      </c>
      <c r="B1372" s="3" t="s">
        <v>1201</v>
      </c>
      <c r="C1372" s="3" t="s">
        <v>4</v>
      </c>
      <c r="D1372" s="3" t="s">
        <v>1202</v>
      </c>
      <c r="E1372" s="3" t="s">
        <v>999</v>
      </c>
      <c r="F1372" s="3" t="s">
        <v>1031</v>
      </c>
      <c r="G1372" s="6">
        <v>2</v>
      </c>
      <c r="H1372" s="6">
        <v>9.99</v>
      </c>
      <c r="I1372" s="6">
        <v>19.98</v>
      </c>
      <c r="J1372" s="6">
        <v>101815.96999999993</v>
      </c>
    </row>
    <row r="1373" spans="1:10" outlineLevel="1" x14ac:dyDescent="0.25">
      <c r="A1373" s="8" t="s">
        <v>664</v>
      </c>
      <c r="B1373" s="3" t="s">
        <v>1201</v>
      </c>
      <c r="C1373" s="3" t="s">
        <v>4</v>
      </c>
      <c r="D1373" s="3" t="s">
        <v>1202</v>
      </c>
      <c r="E1373" s="3" t="s">
        <v>839</v>
      </c>
      <c r="F1373" s="3" t="s">
        <v>1049</v>
      </c>
      <c r="G1373" s="6">
        <v>2</v>
      </c>
      <c r="H1373" s="6">
        <v>30.64</v>
      </c>
      <c r="I1373" s="6">
        <v>61.28</v>
      </c>
      <c r="J1373" s="6">
        <v>101877.24999999993</v>
      </c>
    </row>
    <row r="1374" spans="1:10" outlineLevel="1" x14ac:dyDescent="0.25">
      <c r="A1374" s="8" t="s">
        <v>664</v>
      </c>
      <c r="B1374" s="3" t="s">
        <v>1201</v>
      </c>
      <c r="C1374" s="3" t="s">
        <v>4</v>
      </c>
      <c r="D1374" s="3" t="s">
        <v>1202</v>
      </c>
      <c r="E1374" s="3" t="s">
        <v>843</v>
      </c>
      <c r="F1374" s="3" t="s">
        <v>1050</v>
      </c>
      <c r="G1374" s="6">
        <v>2</v>
      </c>
      <c r="H1374" s="6">
        <v>53.68</v>
      </c>
      <c r="I1374" s="6">
        <v>107.36</v>
      </c>
      <c r="J1374" s="6">
        <v>101984.60999999993</v>
      </c>
    </row>
    <row r="1375" spans="1:10" outlineLevel="1" x14ac:dyDescent="0.25">
      <c r="A1375" s="8" t="s">
        <v>664</v>
      </c>
      <c r="B1375" s="3" t="s">
        <v>1201</v>
      </c>
      <c r="C1375" s="3" t="s">
        <v>4</v>
      </c>
      <c r="D1375" s="3" t="s">
        <v>1202</v>
      </c>
      <c r="E1375" s="3" t="s">
        <v>754</v>
      </c>
      <c r="F1375" s="3" t="s">
        <v>952</v>
      </c>
      <c r="G1375" s="6">
        <v>3</v>
      </c>
      <c r="H1375" s="6">
        <v>38.380000000000003</v>
      </c>
      <c r="I1375" s="6">
        <v>115.14</v>
      </c>
      <c r="J1375" s="6">
        <v>102099.74999999993</v>
      </c>
    </row>
    <row r="1376" spans="1:10" outlineLevel="1" x14ac:dyDescent="0.25">
      <c r="A1376" s="8" t="s">
        <v>664</v>
      </c>
      <c r="B1376" s="3" t="s">
        <v>1201</v>
      </c>
      <c r="C1376" s="3" t="s">
        <v>4</v>
      </c>
      <c r="D1376" s="3" t="s">
        <v>1202</v>
      </c>
      <c r="E1376" s="3" t="s">
        <v>957</v>
      </c>
      <c r="F1376" s="3" t="s">
        <v>1196</v>
      </c>
      <c r="G1376" s="6">
        <v>3</v>
      </c>
      <c r="H1376" s="6">
        <v>39</v>
      </c>
      <c r="I1376" s="6">
        <v>117</v>
      </c>
      <c r="J1376" s="6">
        <v>102216.74999999993</v>
      </c>
    </row>
    <row r="1377" spans="1:10" outlineLevel="1" x14ac:dyDescent="0.25">
      <c r="A1377" s="8" t="s">
        <v>664</v>
      </c>
      <c r="B1377" s="3" t="s">
        <v>1201</v>
      </c>
      <c r="C1377" s="3" t="s">
        <v>4</v>
      </c>
      <c r="D1377" s="3" t="s">
        <v>1202</v>
      </c>
      <c r="E1377" s="3" t="s">
        <v>955</v>
      </c>
      <c r="F1377" s="3" t="s">
        <v>1197</v>
      </c>
      <c r="G1377" s="6">
        <v>6</v>
      </c>
      <c r="H1377" s="6">
        <v>39</v>
      </c>
      <c r="I1377" s="6">
        <v>234</v>
      </c>
      <c r="J1377" s="6">
        <v>102450.74999999993</v>
      </c>
    </row>
    <row r="1378" spans="1:10" outlineLevel="1" x14ac:dyDescent="0.25">
      <c r="A1378" s="8" t="s">
        <v>664</v>
      </c>
      <c r="B1378" s="3" t="s">
        <v>1201</v>
      </c>
      <c r="C1378" s="3" t="s">
        <v>4</v>
      </c>
      <c r="D1378" s="3" t="s">
        <v>1202</v>
      </c>
      <c r="E1378" s="3" t="s">
        <v>738</v>
      </c>
      <c r="F1378" s="3" t="s">
        <v>738</v>
      </c>
      <c r="G1378" s="6">
        <v>2</v>
      </c>
      <c r="H1378" s="6">
        <v>9.07</v>
      </c>
      <c r="I1378" s="6">
        <v>18.14</v>
      </c>
      <c r="J1378" s="6">
        <v>102468.88999999993</v>
      </c>
    </row>
    <row r="1379" spans="1:10" outlineLevel="1" x14ac:dyDescent="0.25">
      <c r="A1379" s="8" t="s">
        <v>664</v>
      </c>
      <c r="B1379" s="3" t="s">
        <v>1201</v>
      </c>
      <c r="C1379" s="3" t="s">
        <v>4</v>
      </c>
      <c r="D1379" s="3" t="s">
        <v>1202</v>
      </c>
      <c r="E1379" s="3" t="s">
        <v>786</v>
      </c>
      <c r="F1379" s="3" t="s">
        <v>967</v>
      </c>
      <c r="G1379" s="6">
        <v>1</v>
      </c>
      <c r="H1379" s="6">
        <v>22.86</v>
      </c>
      <c r="I1379" s="6">
        <v>22.86</v>
      </c>
      <c r="J1379" s="6">
        <v>102491.74999999993</v>
      </c>
    </row>
    <row r="1380" spans="1:10" outlineLevel="1" x14ac:dyDescent="0.25">
      <c r="A1380" s="8" t="s">
        <v>664</v>
      </c>
      <c r="B1380" s="3" t="s">
        <v>1201</v>
      </c>
      <c r="C1380" s="3" t="s">
        <v>4</v>
      </c>
      <c r="D1380" s="3" t="s">
        <v>1202</v>
      </c>
      <c r="E1380" s="3" t="s">
        <v>62</v>
      </c>
      <c r="F1380" s="3" t="s">
        <v>63</v>
      </c>
      <c r="G1380" s="6">
        <v>16</v>
      </c>
      <c r="H1380" s="6">
        <v>13.57</v>
      </c>
      <c r="I1380" s="6">
        <v>217.12</v>
      </c>
      <c r="J1380" s="6">
        <v>102708.86999999992</v>
      </c>
    </row>
    <row r="1381" spans="1:10" outlineLevel="1" x14ac:dyDescent="0.25">
      <c r="A1381" s="8" t="s">
        <v>664</v>
      </c>
      <c r="B1381" s="3" t="s">
        <v>1201</v>
      </c>
      <c r="C1381" s="3" t="s">
        <v>4</v>
      </c>
      <c r="D1381" s="3" t="s">
        <v>1202</v>
      </c>
      <c r="E1381" s="3" t="s">
        <v>795</v>
      </c>
      <c r="F1381" s="3" t="s">
        <v>1205</v>
      </c>
      <c r="G1381" s="6">
        <v>5</v>
      </c>
      <c r="H1381" s="6">
        <v>21.4</v>
      </c>
      <c r="I1381" s="6">
        <v>107</v>
      </c>
      <c r="J1381" s="6">
        <v>102815.86999999992</v>
      </c>
    </row>
    <row r="1382" spans="1:10" outlineLevel="1" x14ac:dyDescent="0.25">
      <c r="A1382" s="8" t="s">
        <v>664</v>
      </c>
      <c r="B1382" s="3" t="s">
        <v>1201</v>
      </c>
      <c r="C1382" s="3" t="s">
        <v>4</v>
      </c>
      <c r="D1382" s="3" t="s">
        <v>1202</v>
      </c>
      <c r="E1382" s="3" t="s">
        <v>797</v>
      </c>
      <c r="F1382" s="3" t="s">
        <v>1015</v>
      </c>
      <c r="G1382" s="6">
        <v>5</v>
      </c>
      <c r="H1382" s="6">
        <v>21.4</v>
      </c>
      <c r="I1382" s="6">
        <v>107</v>
      </c>
      <c r="J1382" s="6">
        <v>102922.86999999992</v>
      </c>
    </row>
    <row r="1383" spans="1:10" outlineLevel="1" x14ac:dyDescent="0.25">
      <c r="A1383" s="8" t="s">
        <v>664</v>
      </c>
      <c r="B1383" s="3" t="s">
        <v>1201</v>
      </c>
      <c r="C1383" s="3" t="s">
        <v>4</v>
      </c>
      <c r="D1383" s="3" t="s">
        <v>1202</v>
      </c>
      <c r="E1383" s="3" t="s">
        <v>801</v>
      </c>
      <c r="F1383" s="3" t="s">
        <v>1164</v>
      </c>
      <c r="G1383" s="6">
        <v>3</v>
      </c>
      <c r="H1383" s="6">
        <v>25.68</v>
      </c>
      <c r="I1383" s="6">
        <v>77.040000000000006</v>
      </c>
      <c r="J1383" s="6">
        <v>102999.90999999992</v>
      </c>
    </row>
    <row r="1384" spans="1:10" outlineLevel="1" x14ac:dyDescent="0.25">
      <c r="A1384" s="8" t="s">
        <v>664</v>
      </c>
      <c r="B1384" s="3" t="s">
        <v>1201</v>
      </c>
      <c r="C1384" s="3" t="s">
        <v>4</v>
      </c>
      <c r="D1384" s="3" t="s">
        <v>1202</v>
      </c>
      <c r="E1384" s="3" t="s">
        <v>803</v>
      </c>
      <c r="F1384" s="3" t="s">
        <v>1016</v>
      </c>
      <c r="G1384" s="6">
        <v>5</v>
      </c>
      <c r="H1384" s="6">
        <v>22</v>
      </c>
      <c r="I1384" s="6">
        <v>110</v>
      </c>
      <c r="J1384" s="6">
        <v>103109.90999999992</v>
      </c>
    </row>
    <row r="1385" spans="1:10" outlineLevel="1" x14ac:dyDescent="0.25">
      <c r="A1385" s="8" t="s">
        <v>664</v>
      </c>
      <c r="B1385" s="3" t="s">
        <v>1201</v>
      </c>
      <c r="C1385" s="3" t="s">
        <v>4</v>
      </c>
      <c r="D1385" s="3" t="s">
        <v>1202</v>
      </c>
      <c r="E1385" s="3" t="s">
        <v>743</v>
      </c>
      <c r="F1385" s="3" t="s">
        <v>973</v>
      </c>
      <c r="G1385" s="6">
        <v>4</v>
      </c>
      <c r="H1385" s="6">
        <v>64.2</v>
      </c>
      <c r="I1385" s="6">
        <v>256.8</v>
      </c>
      <c r="J1385" s="6">
        <v>103366.70999999992</v>
      </c>
    </row>
    <row r="1386" spans="1:10" outlineLevel="1" x14ac:dyDescent="0.25">
      <c r="A1386" s="8" t="s">
        <v>664</v>
      </c>
      <c r="B1386" s="3" t="s">
        <v>1201</v>
      </c>
      <c r="C1386" s="3" t="s">
        <v>4</v>
      </c>
      <c r="D1386" s="3" t="s">
        <v>1202</v>
      </c>
      <c r="E1386" s="3" t="s">
        <v>745</v>
      </c>
      <c r="F1386" s="3" t="s">
        <v>974</v>
      </c>
      <c r="G1386" s="6">
        <v>6</v>
      </c>
      <c r="H1386" s="6">
        <v>64.2</v>
      </c>
      <c r="I1386" s="6">
        <v>385.2</v>
      </c>
      <c r="J1386" s="6">
        <v>103751.90999999992</v>
      </c>
    </row>
    <row r="1387" spans="1:10" outlineLevel="1" x14ac:dyDescent="0.25">
      <c r="A1387" s="8" t="s">
        <v>664</v>
      </c>
      <c r="B1387" s="3" t="s">
        <v>1201</v>
      </c>
      <c r="C1387" s="3" t="s">
        <v>4</v>
      </c>
      <c r="D1387" s="3" t="s">
        <v>1202</v>
      </c>
      <c r="E1387" s="3" t="s">
        <v>748</v>
      </c>
      <c r="F1387" s="3" t="s">
        <v>1142</v>
      </c>
      <c r="G1387" s="6">
        <v>1</v>
      </c>
      <c r="H1387" s="6">
        <v>78</v>
      </c>
      <c r="I1387" s="6">
        <v>78</v>
      </c>
      <c r="J1387" s="6">
        <v>103829.90999999992</v>
      </c>
    </row>
    <row r="1388" spans="1:10" outlineLevel="1" x14ac:dyDescent="0.25">
      <c r="A1388" s="8" t="s">
        <v>664</v>
      </c>
      <c r="B1388" s="3" t="s">
        <v>1201</v>
      </c>
      <c r="C1388" s="3" t="s">
        <v>4</v>
      </c>
      <c r="D1388" s="3" t="s">
        <v>1202</v>
      </c>
      <c r="E1388" s="3" t="s">
        <v>746</v>
      </c>
      <c r="F1388" s="3" t="s">
        <v>1071</v>
      </c>
      <c r="G1388" s="6">
        <v>2</v>
      </c>
      <c r="H1388" s="6">
        <v>85.6</v>
      </c>
      <c r="I1388" s="6">
        <v>171.2</v>
      </c>
      <c r="J1388" s="6">
        <v>104001.10999999991</v>
      </c>
    </row>
    <row r="1389" spans="1:10" outlineLevel="1" x14ac:dyDescent="0.25">
      <c r="A1389" s="8" t="s">
        <v>664</v>
      </c>
      <c r="B1389" s="3" t="s">
        <v>1201</v>
      </c>
      <c r="C1389" s="3" t="s">
        <v>4</v>
      </c>
      <c r="D1389" s="3" t="s">
        <v>1202</v>
      </c>
      <c r="E1389" s="3" t="s">
        <v>914</v>
      </c>
      <c r="F1389" s="3" t="s">
        <v>977</v>
      </c>
      <c r="G1389" s="6">
        <v>3</v>
      </c>
      <c r="H1389" s="6">
        <v>49.95</v>
      </c>
      <c r="I1389" s="6">
        <v>149.85</v>
      </c>
      <c r="J1389" s="6">
        <v>104150.95999999992</v>
      </c>
    </row>
    <row r="1390" spans="1:10" outlineLevel="1" x14ac:dyDescent="0.25">
      <c r="A1390" s="8" t="s">
        <v>664</v>
      </c>
      <c r="B1390" s="3" t="s">
        <v>1201</v>
      </c>
      <c r="C1390" s="3" t="s">
        <v>4</v>
      </c>
      <c r="D1390" s="3" t="s">
        <v>1202</v>
      </c>
      <c r="E1390" s="3" t="s">
        <v>926</v>
      </c>
      <c r="F1390" s="3" t="s">
        <v>1079</v>
      </c>
      <c r="G1390" s="6">
        <v>4</v>
      </c>
      <c r="H1390" s="6">
        <v>32.15</v>
      </c>
      <c r="I1390" s="6">
        <v>128.6</v>
      </c>
      <c r="J1390" s="6">
        <v>104279.55999999992</v>
      </c>
    </row>
    <row r="1391" spans="1:10" outlineLevel="1" x14ac:dyDescent="0.25">
      <c r="A1391" s="8" t="s">
        <v>664</v>
      </c>
      <c r="B1391" s="3" t="s">
        <v>1201</v>
      </c>
      <c r="C1391" s="3" t="s">
        <v>4</v>
      </c>
      <c r="D1391" s="3" t="s">
        <v>1202</v>
      </c>
      <c r="E1391" s="3" t="s">
        <v>1108</v>
      </c>
      <c r="F1391" s="3" t="s">
        <v>1109</v>
      </c>
      <c r="G1391" s="6">
        <v>6</v>
      </c>
      <c r="H1391" s="6">
        <v>22.24</v>
      </c>
      <c r="I1391" s="6">
        <v>133.44</v>
      </c>
      <c r="J1391" s="6">
        <v>104412.99999999993</v>
      </c>
    </row>
    <row r="1392" spans="1:10" outlineLevel="1" x14ac:dyDescent="0.25">
      <c r="A1392" s="8" t="s">
        <v>664</v>
      </c>
      <c r="B1392" s="3" t="s">
        <v>1201</v>
      </c>
      <c r="C1392" s="3" t="s">
        <v>4</v>
      </c>
      <c r="D1392" s="3" t="s">
        <v>1202</v>
      </c>
      <c r="E1392" s="3" t="s">
        <v>1083</v>
      </c>
      <c r="F1392" s="3" t="s">
        <v>1167</v>
      </c>
      <c r="G1392" s="6">
        <v>1</v>
      </c>
      <c r="H1392" s="6">
        <v>22.24</v>
      </c>
      <c r="I1392" s="6">
        <v>22.24</v>
      </c>
      <c r="J1392" s="6">
        <v>104435.23999999993</v>
      </c>
    </row>
    <row r="1393" spans="1:10" outlineLevel="1" x14ac:dyDescent="0.25">
      <c r="A1393" s="8" t="s">
        <v>664</v>
      </c>
      <c r="B1393" s="3" t="s">
        <v>1201</v>
      </c>
      <c r="C1393" s="3" t="s">
        <v>4</v>
      </c>
      <c r="D1393" s="3" t="s">
        <v>1202</v>
      </c>
      <c r="E1393" s="3" t="s">
        <v>1186</v>
      </c>
      <c r="F1393" s="3" t="s">
        <v>1187</v>
      </c>
      <c r="G1393" s="6">
        <v>3</v>
      </c>
      <c r="H1393" s="6">
        <v>22.24</v>
      </c>
      <c r="I1393" s="6">
        <v>66.72</v>
      </c>
      <c r="J1393" s="6">
        <v>104501.95999999993</v>
      </c>
    </row>
    <row r="1394" spans="1:10" outlineLevel="1" x14ac:dyDescent="0.25">
      <c r="A1394" s="8" t="s">
        <v>664</v>
      </c>
      <c r="B1394" s="3" t="s">
        <v>1201</v>
      </c>
      <c r="C1394" s="3" t="s">
        <v>4</v>
      </c>
      <c r="D1394" s="3" t="s">
        <v>1202</v>
      </c>
      <c r="E1394" s="3" t="s">
        <v>1168</v>
      </c>
      <c r="F1394" s="3" t="s">
        <v>1206</v>
      </c>
      <c r="G1394" s="6">
        <v>2</v>
      </c>
      <c r="H1394" s="6">
        <v>30.42</v>
      </c>
      <c r="I1394" s="6">
        <v>60.84</v>
      </c>
      <c r="J1394" s="6">
        <v>104562.79999999993</v>
      </c>
    </row>
    <row r="1395" spans="1:10" outlineLevel="1" x14ac:dyDescent="0.25">
      <c r="A1395" s="8" t="s">
        <v>664</v>
      </c>
      <c r="B1395" s="3" t="s">
        <v>1201</v>
      </c>
      <c r="C1395" s="3" t="s">
        <v>4</v>
      </c>
      <c r="D1395" s="3" t="s">
        <v>1202</v>
      </c>
      <c r="E1395" s="3" t="s">
        <v>1199</v>
      </c>
      <c r="F1395" s="3" t="s">
        <v>1200</v>
      </c>
      <c r="G1395" s="6">
        <v>1</v>
      </c>
      <c r="H1395" s="6">
        <v>18</v>
      </c>
      <c r="I1395" s="6">
        <v>18</v>
      </c>
      <c r="J1395" s="6">
        <v>104580.79999999993</v>
      </c>
    </row>
    <row r="1396" spans="1:10" outlineLevel="1" x14ac:dyDescent="0.25">
      <c r="A1396" s="8" t="s">
        <v>664</v>
      </c>
      <c r="B1396" s="3" t="s">
        <v>1201</v>
      </c>
      <c r="C1396" s="3" t="s">
        <v>4</v>
      </c>
      <c r="D1396" s="3" t="s">
        <v>1202</v>
      </c>
      <c r="E1396" s="3" t="s">
        <v>1171</v>
      </c>
      <c r="F1396" s="3" t="s">
        <v>1172</v>
      </c>
      <c r="G1396" s="6">
        <v>1</v>
      </c>
      <c r="H1396" s="6">
        <v>23.76</v>
      </c>
      <c r="I1396" s="6">
        <v>23.76</v>
      </c>
      <c r="J1396" s="6">
        <v>104604.55999999992</v>
      </c>
    </row>
    <row r="1397" spans="1:10" outlineLevel="1" x14ac:dyDescent="0.25">
      <c r="A1397" s="8" t="s">
        <v>664</v>
      </c>
      <c r="B1397" s="3" t="s">
        <v>1201</v>
      </c>
      <c r="C1397" s="3" t="s">
        <v>4</v>
      </c>
      <c r="D1397" s="3" t="s">
        <v>1202</v>
      </c>
      <c r="E1397" s="3" t="s">
        <v>56</v>
      </c>
      <c r="F1397" s="3" t="s">
        <v>57</v>
      </c>
      <c r="G1397" s="6">
        <v>4</v>
      </c>
      <c r="H1397" s="6">
        <v>54.96</v>
      </c>
      <c r="I1397" s="6">
        <v>219.84</v>
      </c>
      <c r="J1397" s="6">
        <v>104824.39999999992</v>
      </c>
    </row>
    <row r="1398" spans="1:10" outlineLevel="1" x14ac:dyDescent="0.25">
      <c r="A1398" s="8" t="s">
        <v>664</v>
      </c>
      <c r="B1398" s="3" t="s">
        <v>1201</v>
      </c>
      <c r="C1398" s="3" t="s">
        <v>4</v>
      </c>
      <c r="D1398" s="3" t="s">
        <v>1202</v>
      </c>
      <c r="E1398" s="3" t="s">
        <v>58</v>
      </c>
      <c r="F1398" s="3" t="s">
        <v>59</v>
      </c>
      <c r="G1398" s="6">
        <v>4</v>
      </c>
      <c r="H1398" s="6">
        <v>60.84</v>
      </c>
      <c r="I1398" s="6">
        <v>243.36</v>
      </c>
      <c r="J1398" s="6">
        <v>105067.75999999992</v>
      </c>
    </row>
    <row r="1399" spans="1:10" outlineLevel="1" x14ac:dyDescent="0.25">
      <c r="A1399" s="8" t="s">
        <v>664</v>
      </c>
      <c r="B1399" s="3" t="s">
        <v>1201</v>
      </c>
      <c r="C1399" s="3" t="s">
        <v>4</v>
      </c>
      <c r="D1399" s="3" t="s">
        <v>1202</v>
      </c>
      <c r="E1399" s="3" t="s">
        <v>84</v>
      </c>
      <c r="F1399" s="3" t="s">
        <v>85</v>
      </c>
      <c r="G1399" s="6">
        <v>2</v>
      </c>
      <c r="H1399" s="6">
        <v>46.44</v>
      </c>
      <c r="I1399" s="6">
        <v>92.88</v>
      </c>
      <c r="J1399" s="6">
        <v>105160.63999999993</v>
      </c>
    </row>
    <row r="1400" spans="1:10" outlineLevel="1" x14ac:dyDescent="0.25">
      <c r="A1400" s="8" t="s">
        <v>664</v>
      </c>
      <c r="B1400" s="3" t="s">
        <v>1207</v>
      </c>
      <c r="C1400" s="3" t="s">
        <v>4</v>
      </c>
      <c r="D1400" s="3" t="s">
        <v>1208</v>
      </c>
      <c r="E1400" s="3" t="s">
        <v>667</v>
      </c>
      <c r="F1400" s="3" t="s">
        <v>985</v>
      </c>
      <c r="G1400" s="6">
        <v>3</v>
      </c>
      <c r="H1400" s="6">
        <v>30.82</v>
      </c>
      <c r="I1400" s="6">
        <v>92.46</v>
      </c>
      <c r="J1400" s="6">
        <v>105253.09999999993</v>
      </c>
    </row>
    <row r="1401" spans="1:10" outlineLevel="1" x14ac:dyDescent="0.25">
      <c r="A1401" s="8" t="s">
        <v>664</v>
      </c>
      <c r="B1401" s="3" t="s">
        <v>1207</v>
      </c>
      <c r="C1401" s="3" t="s">
        <v>4</v>
      </c>
      <c r="D1401" s="3" t="s">
        <v>1208</v>
      </c>
      <c r="E1401" s="3" t="s">
        <v>669</v>
      </c>
      <c r="F1401" s="3" t="s">
        <v>941</v>
      </c>
      <c r="G1401" s="6">
        <v>2</v>
      </c>
      <c r="H1401" s="6">
        <v>30.82</v>
      </c>
      <c r="I1401" s="6">
        <v>61.64</v>
      </c>
      <c r="J1401" s="6">
        <v>105314.73999999993</v>
      </c>
    </row>
    <row r="1402" spans="1:10" outlineLevel="1" x14ac:dyDescent="0.25">
      <c r="A1402" s="8" t="s">
        <v>664</v>
      </c>
      <c r="B1402" s="3" t="s">
        <v>1207</v>
      </c>
      <c r="C1402" s="3" t="s">
        <v>4</v>
      </c>
      <c r="D1402" s="3" t="s">
        <v>1208</v>
      </c>
      <c r="E1402" s="3" t="s">
        <v>671</v>
      </c>
      <c r="F1402" s="3" t="s">
        <v>1035</v>
      </c>
      <c r="G1402" s="6">
        <v>3</v>
      </c>
      <c r="H1402" s="6">
        <v>33.119999999999997</v>
      </c>
      <c r="I1402" s="6">
        <v>99.36</v>
      </c>
      <c r="J1402" s="6">
        <v>105414.09999999993</v>
      </c>
    </row>
    <row r="1403" spans="1:10" outlineLevel="1" x14ac:dyDescent="0.25">
      <c r="A1403" s="8" t="s">
        <v>664</v>
      </c>
      <c r="B1403" s="3" t="s">
        <v>1207</v>
      </c>
      <c r="C1403" s="3" t="s">
        <v>4</v>
      </c>
      <c r="D1403" s="3" t="s">
        <v>1208</v>
      </c>
      <c r="E1403" s="3" t="s">
        <v>823</v>
      </c>
      <c r="F1403" s="3" t="s">
        <v>1036</v>
      </c>
      <c r="G1403" s="6">
        <v>1</v>
      </c>
      <c r="H1403" s="6">
        <v>40.82</v>
      </c>
      <c r="I1403" s="6">
        <v>40.82</v>
      </c>
      <c r="J1403" s="6">
        <v>105454.91999999994</v>
      </c>
    </row>
    <row r="1404" spans="1:10" outlineLevel="1" x14ac:dyDescent="0.25">
      <c r="A1404" s="8" t="s">
        <v>664</v>
      </c>
      <c r="B1404" s="3" t="s">
        <v>1207</v>
      </c>
      <c r="C1404" s="3" t="s">
        <v>4</v>
      </c>
      <c r="D1404" s="3" t="s">
        <v>1208</v>
      </c>
      <c r="E1404" s="3" t="s">
        <v>825</v>
      </c>
      <c r="F1404" s="3" t="s">
        <v>986</v>
      </c>
      <c r="G1404" s="6">
        <v>1</v>
      </c>
      <c r="H1404" s="6">
        <v>32.1</v>
      </c>
      <c r="I1404" s="6">
        <v>32.1</v>
      </c>
      <c r="J1404" s="6">
        <v>105487.01999999995</v>
      </c>
    </row>
    <row r="1405" spans="1:10" outlineLevel="1" x14ac:dyDescent="0.25">
      <c r="A1405" s="8" t="s">
        <v>664</v>
      </c>
      <c r="B1405" s="3" t="s">
        <v>1207</v>
      </c>
      <c r="C1405" s="3" t="s">
        <v>4</v>
      </c>
      <c r="D1405" s="3" t="s">
        <v>1208</v>
      </c>
      <c r="E1405" s="3" t="s">
        <v>1155</v>
      </c>
      <c r="F1405" s="3" t="s">
        <v>1156</v>
      </c>
      <c r="G1405" s="6">
        <v>1</v>
      </c>
      <c r="H1405" s="6">
        <v>32.1</v>
      </c>
      <c r="I1405" s="6">
        <v>32.1</v>
      </c>
      <c r="J1405" s="6">
        <v>105519.11999999995</v>
      </c>
    </row>
    <row r="1406" spans="1:10" outlineLevel="1" x14ac:dyDescent="0.25">
      <c r="A1406" s="8" t="s">
        <v>664</v>
      </c>
      <c r="B1406" s="3" t="s">
        <v>1207</v>
      </c>
      <c r="C1406" s="3" t="s">
        <v>4</v>
      </c>
      <c r="D1406" s="3" t="s">
        <v>1208</v>
      </c>
      <c r="E1406" s="3" t="s">
        <v>675</v>
      </c>
      <c r="F1406" s="3" t="s">
        <v>1127</v>
      </c>
      <c r="G1406" s="6">
        <v>2</v>
      </c>
      <c r="H1406" s="6">
        <v>31.2</v>
      </c>
      <c r="I1406" s="6">
        <v>62.4</v>
      </c>
      <c r="J1406" s="6">
        <v>105581.51999999995</v>
      </c>
    </row>
    <row r="1407" spans="1:10" outlineLevel="1" x14ac:dyDescent="0.25">
      <c r="A1407" s="8" t="s">
        <v>664</v>
      </c>
      <c r="B1407" s="3" t="s">
        <v>1207</v>
      </c>
      <c r="C1407" s="3" t="s">
        <v>4</v>
      </c>
      <c r="D1407" s="3" t="s">
        <v>1208</v>
      </c>
      <c r="E1407" s="3" t="s">
        <v>686</v>
      </c>
      <c r="F1407" s="3" t="s">
        <v>942</v>
      </c>
      <c r="G1407" s="6">
        <v>2</v>
      </c>
      <c r="H1407" s="6">
        <v>25.54</v>
      </c>
      <c r="I1407" s="6">
        <v>51.08</v>
      </c>
      <c r="J1407" s="6">
        <v>105632.59999999995</v>
      </c>
    </row>
    <row r="1408" spans="1:10" outlineLevel="1" x14ac:dyDescent="0.25">
      <c r="A1408" s="8" t="s">
        <v>664</v>
      </c>
      <c r="B1408" s="3" t="s">
        <v>1207</v>
      </c>
      <c r="C1408" s="3" t="s">
        <v>4</v>
      </c>
      <c r="D1408" s="3" t="s">
        <v>1208</v>
      </c>
      <c r="E1408" s="3" t="s">
        <v>690</v>
      </c>
      <c r="F1408" s="3" t="s">
        <v>691</v>
      </c>
      <c r="G1408" s="6">
        <v>2</v>
      </c>
      <c r="H1408" s="6">
        <v>26.84</v>
      </c>
      <c r="I1408" s="6">
        <v>53.68</v>
      </c>
      <c r="J1408" s="6">
        <v>105686.27999999994</v>
      </c>
    </row>
    <row r="1409" spans="1:10" outlineLevel="1" x14ac:dyDescent="0.25">
      <c r="A1409" s="8" t="s">
        <v>664</v>
      </c>
      <c r="B1409" s="3" t="s">
        <v>1207</v>
      </c>
      <c r="C1409" s="3" t="s">
        <v>4</v>
      </c>
      <c r="D1409" s="3" t="s">
        <v>1208</v>
      </c>
      <c r="E1409" s="3" t="s">
        <v>832</v>
      </c>
      <c r="F1409" s="3" t="s">
        <v>988</v>
      </c>
      <c r="G1409" s="6">
        <v>5</v>
      </c>
      <c r="H1409" s="6">
        <v>39.68</v>
      </c>
      <c r="I1409" s="6">
        <v>198.4</v>
      </c>
      <c r="J1409" s="6">
        <v>105884.67999999993</v>
      </c>
    </row>
    <row r="1410" spans="1:10" outlineLevel="1" x14ac:dyDescent="0.25">
      <c r="A1410" s="8" t="s">
        <v>664</v>
      </c>
      <c r="B1410" s="3" t="s">
        <v>1207</v>
      </c>
      <c r="C1410" s="3" t="s">
        <v>4</v>
      </c>
      <c r="D1410" s="3" t="s">
        <v>1208</v>
      </c>
      <c r="E1410" s="3" t="s">
        <v>702</v>
      </c>
      <c r="F1410" s="3" t="s">
        <v>992</v>
      </c>
      <c r="G1410" s="6">
        <v>6</v>
      </c>
      <c r="H1410" s="6">
        <v>45.96</v>
      </c>
      <c r="I1410" s="6">
        <v>275.76</v>
      </c>
      <c r="J1410" s="6">
        <v>106160.43999999993</v>
      </c>
    </row>
    <row r="1411" spans="1:10" outlineLevel="1" x14ac:dyDescent="0.25">
      <c r="A1411" s="8" t="s">
        <v>664</v>
      </c>
      <c r="B1411" s="3" t="s">
        <v>1207</v>
      </c>
      <c r="C1411" s="3" t="s">
        <v>4</v>
      </c>
      <c r="D1411" s="3" t="s">
        <v>1208</v>
      </c>
      <c r="E1411" s="3" t="s">
        <v>714</v>
      </c>
      <c r="F1411" s="3" t="s">
        <v>1159</v>
      </c>
      <c r="G1411" s="6">
        <v>3</v>
      </c>
      <c r="H1411" s="6">
        <v>51.8</v>
      </c>
      <c r="I1411" s="6">
        <v>155.4</v>
      </c>
      <c r="J1411" s="6">
        <v>106315.83999999992</v>
      </c>
    </row>
    <row r="1412" spans="1:10" outlineLevel="1" x14ac:dyDescent="0.25">
      <c r="A1412" s="8" t="s">
        <v>664</v>
      </c>
      <c r="B1412" s="3" t="s">
        <v>1207</v>
      </c>
      <c r="C1412" s="3" t="s">
        <v>4</v>
      </c>
      <c r="D1412" s="3" t="s">
        <v>1208</v>
      </c>
      <c r="E1412" s="3" t="s">
        <v>720</v>
      </c>
      <c r="F1412" s="3" t="s">
        <v>721</v>
      </c>
      <c r="G1412" s="6">
        <v>5</v>
      </c>
      <c r="H1412" s="6">
        <v>23.96</v>
      </c>
      <c r="I1412" s="6">
        <v>119.8</v>
      </c>
      <c r="J1412" s="6">
        <v>106435.63999999993</v>
      </c>
    </row>
    <row r="1413" spans="1:10" outlineLevel="1" x14ac:dyDescent="0.25">
      <c r="A1413" s="8" t="s">
        <v>664</v>
      </c>
      <c r="B1413" s="3" t="s">
        <v>1207</v>
      </c>
      <c r="C1413" s="3" t="s">
        <v>4</v>
      </c>
      <c r="D1413" s="3" t="s">
        <v>1208</v>
      </c>
      <c r="E1413" s="3" t="s">
        <v>1182</v>
      </c>
      <c r="F1413" s="3" t="s">
        <v>1183</v>
      </c>
      <c r="G1413" s="6">
        <v>1</v>
      </c>
      <c r="H1413" s="6">
        <v>38.93</v>
      </c>
      <c r="I1413" s="6">
        <v>38.93</v>
      </c>
      <c r="J1413" s="6">
        <v>106474.56999999992</v>
      </c>
    </row>
    <row r="1414" spans="1:10" outlineLevel="1" x14ac:dyDescent="0.25">
      <c r="A1414" s="8" t="s">
        <v>664</v>
      </c>
      <c r="B1414" s="3" t="s">
        <v>1207</v>
      </c>
      <c r="C1414" s="3" t="s">
        <v>4</v>
      </c>
      <c r="D1414" s="3" t="s">
        <v>1208</v>
      </c>
      <c r="E1414" s="3" t="s">
        <v>1000</v>
      </c>
      <c r="F1414" s="3" t="s">
        <v>1138</v>
      </c>
      <c r="G1414" s="6">
        <v>1</v>
      </c>
      <c r="H1414" s="6">
        <v>78.959999999999994</v>
      </c>
      <c r="I1414" s="6">
        <v>78.959999999999994</v>
      </c>
      <c r="J1414" s="6">
        <v>106553.52999999993</v>
      </c>
    </row>
    <row r="1415" spans="1:10" outlineLevel="1" x14ac:dyDescent="0.25">
      <c r="A1415" s="8" t="s">
        <v>664</v>
      </c>
      <c r="B1415" s="3" t="s">
        <v>1207</v>
      </c>
      <c r="C1415" s="3" t="s">
        <v>4</v>
      </c>
      <c r="D1415" s="3" t="s">
        <v>1208</v>
      </c>
      <c r="E1415" s="3" t="s">
        <v>374</v>
      </c>
      <c r="F1415" s="3" t="s">
        <v>1209</v>
      </c>
      <c r="G1415" s="6">
        <v>13</v>
      </c>
      <c r="H1415" s="6">
        <v>31.8</v>
      </c>
      <c r="I1415" s="6">
        <v>413.4</v>
      </c>
      <c r="J1415" s="6">
        <v>106966.92999999992</v>
      </c>
    </row>
    <row r="1416" spans="1:10" outlineLevel="1" x14ac:dyDescent="0.25">
      <c r="A1416" s="8" t="s">
        <v>664</v>
      </c>
      <c r="B1416" s="3" t="s">
        <v>1207</v>
      </c>
      <c r="C1416" s="3" t="s">
        <v>4</v>
      </c>
      <c r="D1416" s="3" t="s">
        <v>1208</v>
      </c>
      <c r="E1416" s="3" t="s">
        <v>37</v>
      </c>
      <c r="F1416" s="3" t="s">
        <v>38</v>
      </c>
      <c r="G1416" s="6">
        <v>4</v>
      </c>
      <c r="H1416" s="6">
        <v>73.8</v>
      </c>
      <c r="I1416" s="6">
        <v>295.2</v>
      </c>
      <c r="J1416" s="6">
        <v>107262.12999999992</v>
      </c>
    </row>
    <row r="1417" spans="1:10" outlineLevel="1" x14ac:dyDescent="0.25">
      <c r="A1417" s="8" t="s">
        <v>664</v>
      </c>
      <c r="B1417" s="3" t="s">
        <v>1207</v>
      </c>
      <c r="C1417" s="3" t="s">
        <v>4</v>
      </c>
      <c r="D1417" s="3" t="s">
        <v>1208</v>
      </c>
      <c r="E1417" s="3" t="s">
        <v>42</v>
      </c>
      <c r="F1417" s="3" t="s">
        <v>43</v>
      </c>
      <c r="G1417" s="6">
        <v>2</v>
      </c>
      <c r="H1417" s="6">
        <v>85</v>
      </c>
      <c r="I1417" s="6">
        <v>170</v>
      </c>
      <c r="J1417" s="6">
        <v>107432.12999999992</v>
      </c>
    </row>
    <row r="1418" spans="1:10" outlineLevel="1" x14ac:dyDescent="0.25">
      <c r="A1418" s="8" t="s">
        <v>664</v>
      </c>
      <c r="B1418" s="3" t="s">
        <v>1207</v>
      </c>
      <c r="C1418" s="3" t="s">
        <v>4</v>
      </c>
      <c r="D1418" s="3" t="s">
        <v>1208</v>
      </c>
      <c r="E1418" s="3" t="s">
        <v>35</v>
      </c>
      <c r="F1418" s="3" t="s">
        <v>36</v>
      </c>
      <c r="G1418" s="6">
        <v>3</v>
      </c>
      <c r="H1418" s="6">
        <v>28.8</v>
      </c>
      <c r="I1418" s="6">
        <v>86.4</v>
      </c>
      <c r="J1418" s="6">
        <v>107518.52999999991</v>
      </c>
    </row>
    <row r="1419" spans="1:10" outlineLevel="1" x14ac:dyDescent="0.25">
      <c r="A1419" s="8" t="s">
        <v>664</v>
      </c>
      <c r="B1419" s="3" t="s">
        <v>1207</v>
      </c>
      <c r="C1419" s="3" t="s">
        <v>4</v>
      </c>
      <c r="D1419" s="3" t="s">
        <v>1208</v>
      </c>
      <c r="E1419" s="3" t="s">
        <v>754</v>
      </c>
      <c r="F1419" s="3" t="s">
        <v>952</v>
      </c>
      <c r="G1419" s="6">
        <v>12</v>
      </c>
      <c r="H1419" s="6">
        <v>38.380000000000003</v>
      </c>
      <c r="I1419" s="6">
        <v>460.56</v>
      </c>
      <c r="J1419" s="6">
        <v>107979.08999999991</v>
      </c>
    </row>
    <row r="1420" spans="1:10" outlineLevel="1" x14ac:dyDescent="0.25">
      <c r="A1420" s="8" t="s">
        <v>664</v>
      </c>
      <c r="B1420" s="3" t="s">
        <v>1207</v>
      </c>
      <c r="C1420" s="3" t="s">
        <v>4</v>
      </c>
      <c r="D1420" s="3" t="s">
        <v>1208</v>
      </c>
      <c r="E1420" s="3" t="s">
        <v>853</v>
      </c>
      <c r="F1420" s="3" t="s">
        <v>1052</v>
      </c>
      <c r="G1420" s="6">
        <v>8</v>
      </c>
      <c r="H1420" s="6">
        <v>13.2</v>
      </c>
      <c r="I1420" s="6">
        <v>105.6</v>
      </c>
      <c r="J1420" s="6">
        <v>108084.68999999992</v>
      </c>
    </row>
    <row r="1421" spans="1:10" outlineLevel="1" x14ac:dyDescent="0.25">
      <c r="A1421" s="8" t="s">
        <v>664</v>
      </c>
      <c r="B1421" s="3" t="s">
        <v>1207</v>
      </c>
      <c r="C1421" s="3" t="s">
        <v>4</v>
      </c>
      <c r="D1421" s="3" t="s">
        <v>1208</v>
      </c>
      <c r="E1421" s="3" t="s">
        <v>855</v>
      </c>
      <c r="F1421" s="3" t="s">
        <v>1053</v>
      </c>
      <c r="G1421" s="6">
        <v>7</v>
      </c>
      <c r="H1421" s="6">
        <v>13.2</v>
      </c>
      <c r="I1421" s="6">
        <v>92.4</v>
      </c>
      <c r="J1421" s="6">
        <v>108177.08999999991</v>
      </c>
    </row>
    <row r="1422" spans="1:10" outlineLevel="1" x14ac:dyDescent="0.25">
      <c r="A1422" s="8" t="s">
        <v>664</v>
      </c>
      <c r="B1422" s="3" t="s">
        <v>1207</v>
      </c>
      <c r="C1422" s="3" t="s">
        <v>4</v>
      </c>
      <c r="D1422" s="3" t="s">
        <v>1208</v>
      </c>
      <c r="E1422" s="3" t="s">
        <v>784</v>
      </c>
      <c r="F1422" s="3" t="s">
        <v>1055</v>
      </c>
      <c r="G1422" s="6">
        <v>3</v>
      </c>
      <c r="H1422" s="6">
        <v>13.2</v>
      </c>
      <c r="I1422" s="6">
        <v>39.6</v>
      </c>
      <c r="J1422" s="6">
        <v>108216.68999999992</v>
      </c>
    </row>
    <row r="1423" spans="1:10" outlineLevel="1" x14ac:dyDescent="0.25">
      <c r="A1423" s="8" t="s">
        <v>664</v>
      </c>
      <c r="B1423" s="3" t="s">
        <v>1207</v>
      </c>
      <c r="C1423" s="3" t="s">
        <v>4</v>
      </c>
      <c r="D1423" s="3" t="s">
        <v>1208</v>
      </c>
      <c r="E1423" s="3" t="s">
        <v>859</v>
      </c>
      <c r="F1423" s="3" t="s">
        <v>1005</v>
      </c>
      <c r="G1423" s="6">
        <v>1</v>
      </c>
      <c r="H1423" s="6">
        <v>45</v>
      </c>
      <c r="I1423" s="6">
        <v>45</v>
      </c>
      <c r="J1423" s="6">
        <v>108261.68999999992</v>
      </c>
    </row>
    <row r="1424" spans="1:10" outlineLevel="1" x14ac:dyDescent="0.25">
      <c r="A1424" s="8" t="s">
        <v>664</v>
      </c>
      <c r="B1424" s="3" t="s">
        <v>1207</v>
      </c>
      <c r="C1424" s="3" t="s">
        <v>4</v>
      </c>
      <c r="D1424" s="3" t="s">
        <v>1208</v>
      </c>
      <c r="E1424" s="3" t="s">
        <v>861</v>
      </c>
      <c r="F1424" s="3" t="s">
        <v>1006</v>
      </c>
      <c r="G1424" s="6">
        <v>3</v>
      </c>
      <c r="H1424" s="6">
        <v>45</v>
      </c>
      <c r="I1424" s="6">
        <v>135</v>
      </c>
      <c r="J1424" s="6">
        <v>108396.68999999992</v>
      </c>
    </row>
    <row r="1425" spans="1:10" outlineLevel="1" x14ac:dyDescent="0.25">
      <c r="A1425" s="8" t="s">
        <v>664</v>
      </c>
      <c r="B1425" s="3" t="s">
        <v>1207</v>
      </c>
      <c r="C1425" s="3" t="s">
        <v>4</v>
      </c>
      <c r="D1425" s="3" t="s">
        <v>1208</v>
      </c>
      <c r="E1425" s="3" t="s">
        <v>1058</v>
      </c>
      <c r="F1425" s="3" t="s">
        <v>1210</v>
      </c>
      <c r="G1425" s="6">
        <v>1</v>
      </c>
      <c r="H1425" s="6">
        <v>39</v>
      </c>
      <c r="I1425" s="6">
        <v>39</v>
      </c>
      <c r="J1425" s="6">
        <v>108435.68999999992</v>
      </c>
    </row>
    <row r="1426" spans="1:10" outlineLevel="1" x14ac:dyDescent="0.25">
      <c r="A1426" s="8" t="s">
        <v>664</v>
      </c>
      <c r="B1426" s="3" t="s">
        <v>1207</v>
      </c>
      <c r="C1426" s="3" t="s">
        <v>4</v>
      </c>
      <c r="D1426" s="3" t="s">
        <v>1208</v>
      </c>
      <c r="E1426" s="3" t="s">
        <v>734</v>
      </c>
      <c r="F1426" s="3" t="s">
        <v>1198</v>
      </c>
      <c r="G1426" s="6">
        <v>3</v>
      </c>
      <c r="H1426" s="6">
        <v>11.88</v>
      </c>
      <c r="I1426" s="6">
        <v>35.64</v>
      </c>
      <c r="J1426" s="6">
        <v>108471.32999999991</v>
      </c>
    </row>
    <row r="1427" spans="1:10" outlineLevel="1" x14ac:dyDescent="0.25">
      <c r="A1427" s="8" t="s">
        <v>664</v>
      </c>
      <c r="B1427" s="3" t="s">
        <v>1207</v>
      </c>
      <c r="C1427" s="3" t="s">
        <v>4</v>
      </c>
      <c r="D1427" s="3" t="s">
        <v>1208</v>
      </c>
      <c r="E1427" s="3" t="s">
        <v>962</v>
      </c>
      <c r="F1427" s="3" t="s">
        <v>963</v>
      </c>
      <c r="G1427" s="6">
        <v>5</v>
      </c>
      <c r="H1427" s="6">
        <v>27.29</v>
      </c>
      <c r="I1427" s="6">
        <v>136.44999999999999</v>
      </c>
      <c r="J1427" s="6">
        <v>108607.77999999991</v>
      </c>
    </row>
    <row r="1428" spans="1:10" outlineLevel="1" x14ac:dyDescent="0.25">
      <c r="A1428" s="8" t="s">
        <v>664</v>
      </c>
      <c r="B1428" s="3" t="s">
        <v>1207</v>
      </c>
      <c r="C1428" s="3" t="s">
        <v>4</v>
      </c>
      <c r="D1428" s="3" t="s">
        <v>1208</v>
      </c>
      <c r="E1428" s="3" t="s">
        <v>868</v>
      </c>
      <c r="F1428" s="3" t="s">
        <v>1007</v>
      </c>
      <c r="G1428" s="6">
        <v>5</v>
      </c>
      <c r="H1428" s="6">
        <v>27.29</v>
      </c>
      <c r="I1428" s="6">
        <v>136.44999999999999</v>
      </c>
      <c r="J1428" s="6">
        <v>108744.22999999991</v>
      </c>
    </row>
    <row r="1429" spans="1:10" outlineLevel="1" x14ac:dyDescent="0.25">
      <c r="A1429" s="8" t="s">
        <v>664</v>
      </c>
      <c r="B1429" s="3" t="s">
        <v>1207</v>
      </c>
      <c r="C1429" s="3" t="s">
        <v>4</v>
      </c>
      <c r="D1429" s="3" t="s">
        <v>1208</v>
      </c>
      <c r="E1429" s="3" t="s">
        <v>870</v>
      </c>
      <c r="F1429" s="3" t="s">
        <v>1008</v>
      </c>
      <c r="G1429" s="6">
        <v>5</v>
      </c>
      <c r="H1429" s="6">
        <v>27.29</v>
      </c>
      <c r="I1429" s="6">
        <v>136.44999999999999</v>
      </c>
      <c r="J1429" s="6">
        <v>108880.67999999991</v>
      </c>
    </row>
    <row r="1430" spans="1:10" outlineLevel="1" x14ac:dyDescent="0.25">
      <c r="A1430" s="8" t="s">
        <v>664</v>
      </c>
      <c r="B1430" s="3" t="s">
        <v>1207</v>
      </c>
      <c r="C1430" s="3" t="s">
        <v>4</v>
      </c>
      <c r="D1430" s="3" t="s">
        <v>1208</v>
      </c>
      <c r="E1430" s="3" t="s">
        <v>872</v>
      </c>
      <c r="F1430" s="3" t="s">
        <v>1009</v>
      </c>
      <c r="G1430" s="6">
        <v>4</v>
      </c>
      <c r="H1430" s="6">
        <v>27.29</v>
      </c>
      <c r="I1430" s="6">
        <v>109.16</v>
      </c>
      <c r="J1430" s="6">
        <v>108989.83999999991</v>
      </c>
    </row>
    <row r="1431" spans="1:10" outlineLevel="1" x14ac:dyDescent="0.25">
      <c r="A1431" s="8" t="s">
        <v>664</v>
      </c>
      <c r="B1431" s="3" t="s">
        <v>1207</v>
      </c>
      <c r="C1431" s="3" t="s">
        <v>4</v>
      </c>
      <c r="D1431" s="3" t="s">
        <v>1208</v>
      </c>
      <c r="E1431" s="3" t="s">
        <v>1062</v>
      </c>
      <c r="F1431" s="3" t="s">
        <v>1063</v>
      </c>
      <c r="G1431" s="6">
        <v>2</v>
      </c>
      <c r="H1431" s="6">
        <v>39.46</v>
      </c>
      <c r="I1431" s="6">
        <v>78.92</v>
      </c>
      <c r="J1431" s="6">
        <v>109068.75999999991</v>
      </c>
    </row>
    <row r="1432" spans="1:10" outlineLevel="1" x14ac:dyDescent="0.25">
      <c r="A1432" s="8" t="s">
        <v>664</v>
      </c>
      <c r="B1432" s="3" t="s">
        <v>1207</v>
      </c>
      <c r="C1432" s="3" t="s">
        <v>4</v>
      </c>
      <c r="D1432" s="3" t="s">
        <v>1208</v>
      </c>
      <c r="E1432" s="3" t="s">
        <v>874</v>
      </c>
      <c r="F1432" s="3" t="s">
        <v>1064</v>
      </c>
      <c r="G1432" s="6">
        <v>2</v>
      </c>
      <c r="H1432" s="6">
        <v>39.46</v>
      </c>
      <c r="I1432" s="6">
        <v>78.92</v>
      </c>
      <c r="J1432" s="6">
        <v>109147.67999999991</v>
      </c>
    </row>
    <row r="1433" spans="1:10" outlineLevel="1" x14ac:dyDescent="0.25">
      <c r="A1433" s="8" t="s">
        <v>664</v>
      </c>
      <c r="B1433" s="3" t="s">
        <v>1207</v>
      </c>
      <c r="C1433" s="3" t="s">
        <v>4</v>
      </c>
      <c r="D1433" s="3" t="s">
        <v>1208</v>
      </c>
      <c r="E1433" s="3" t="s">
        <v>739</v>
      </c>
      <c r="F1433" s="3" t="s">
        <v>964</v>
      </c>
      <c r="G1433" s="6">
        <v>8</v>
      </c>
      <c r="H1433" s="6">
        <v>14</v>
      </c>
      <c r="I1433" s="6">
        <v>112</v>
      </c>
      <c r="J1433" s="6">
        <v>109259.67999999991</v>
      </c>
    </row>
    <row r="1434" spans="1:10" outlineLevel="1" x14ac:dyDescent="0.25">
      <c r="A1434" s="8" t="s">
        <v>664</v>
      </c>
      <c r="B1434" s="3" t="s">
        <v>1207</v>
      </c>
      <c r="C1434" s="3" t="s">
        <v>4</v>
      </c>
      <c r="D1434" s="3" t="s">
        <v>1208</v>
      </c>
      <c r="E1434" s="3" t="s">
        <v>741</v>
      </c>
      <c r="F1434" s="3" t="s">
        <v>1065</v>
      </c>
      <c r="G1434" s="6">
        <v>8</v>
      </c>
      <c r="H1434" s="6">
        <v>14</v>
      </c>
      <c r="I1434" s="6">
        <v>112</v>
      </c>
      <c r="J1434" s="6">
        <v>109371.67999999991</v>
      </c>
    </row>
    <row r="1435" spans="1:10" outlineLevel="1" x14ac:dyDescent="0.25">
      <c r="A1435" s="8" t="s">
        <v>664</v>
      </c>
      <c r="B1435" s="3" t="s">
        <v>1207</v>
      </c>
      <c r="C1435" s="3" t="s">
        <v>4</v>
      </c>
      <c r="D1435" s="3" t="s">
        <v>1208</v>
      </c>
      <c r="E1435" s="3" t="s">
        <v>878</v>
      </c>
      <c r="F1435" s="3" t="s">
        <v>965</v>
      </c>
      <c r="G1435" s="6">
        <v>4</v>
      </c>
      <c r="H1435" s="6">
        <v>14</v>
      </c>
      <c r="I1435" s="6">
        <v>56</v>
      </c>
      <c r="J1435" s="6">
        <v>109427.67999999991</v>
      </c>
    </row>
    <row r="1436" spans="1:10" outlineLevel="1" x14ac:dyDescent="0.25">
      <c r="A1436" s="8" t="s">
        <v>664</v>
      </c>
      <c r="B1436" s="3" t="s">
        <v>1207</v>
      </c>
      <c r="C1436" s="3" t="s">
        <v>4</v>
      </c>
      <c r="D1436" s="3" t="s">
        <v>1208</v>
      </c>
      <c r="E1436" s="3" t="s">
        <v>1066</v>
      </c>
      <c r="F1436" s="3" t="s">
        <v>1067</v>
      </c>
      <c r="G1436" s="6">
        <v>2</v>
      </c>
      <c r="H1436" s="6">
        <v>14</v>
      </c>
      <c r="I1436" s="6">
        <v>28</v>
      </c>
      <c r="J1436" s="6">
        <v>109455.67999999991</v>
      </c>
    </row>
    <row r="1437" spans="1:10" outlineLevel="1" x14ac:dyDescent="0.25">
      <c r="A1437" s="8" t="s">
        <v>664</v>
      </c>
      <c r="B1437" s="3" t="s">
        <v>1207</v>
      </c>
      <c r="C1437" s="3" t="s">
        <v>4</v>
      </c>
      <c r="D1437" s="3" t="s">
        <v>1208</v>
      </c>
      <c r="E1437" s="3" t="s">
        <v>1068</v>
      </c>
      <c r="F1437" s="3" t="s">
        <v>1069</v>
      </c>
      <c r="G1437" s="6">
        <v>4</v>
      </c>
      <c r="H1437" s="6">
        <v>14</v>
      </c>
      <c r="I1437" s="6">
        <v>56</v>
      </c>
      <c r="J1437" s="6">
        <v>109511.67999999991</v>
      </c>
    </row>
    <row r="1438" spans="1:10" outlineLevel="1" x14ac:dyDescent="0.25">
      <c r="A1438" s="8" t="s">
        <v>664</v>
      </c>
      <c r="B1438" s="3" t="s">
        <v>1207</v>
      </c>
      <c r="C1438" s="3" t="s">
        <v>4</v>
      </c>
      <c r="D1438" s="3" t="s">
        <v>1208</v>
      </c>
      <c r="E1438" s="3" t="s">
        <v>880</v>
      </c>
      <c r="F1438" s="3" t="s">
        <v>935</v>
      </c>
      <c r="G1438" s="6">
        <v>32</v>
      </c>
      <c r="H1438" s="6">
        <v>14</v>
      </c>
      <c r="I1438" s="6">
        <v>448</v>
      </c>
      <c r="J1438" s="6">
        <v>109959.67999999991</v>
      </c>
    </row>
    <row r="1439" spans="1:10" outlineLevel="1" x14ac:dyDescent="0.25">
      <c r="A1439" s="8" t="s">
        <v>664</v>
      </c>
      <c r="B1439" s="3" t="s">
        <v>1207</v>
      </c>
      <c r="C1439" s="3" t="s">
        <v>4</v>
      </c>
      <c r="D1439" s="3" t="s">
        <v>1208</v>
      </c>
      <c r="E1439" s="3" t="s">
        <v>885</v>
      </c>
      <c r="F1439" s="3" t="s">
        <v>1012</v>
      </c>
      <c r="G1439" s="6">
        <v>3</v>
      </c>
      <c r="H1439" s="6">
        <v>9</v>
      </c>
      <c r="I1439" s="6">
        <v>27</v>
      </c>
      <c r="J1439" s="6">
        <v>109986.67999999991</v>
      </c>
    </row>
    <row r="1440" spans="1:10" outlineLevel="1" x14ac:dyDescent="0.25">
      <c r="A1440" s="8" t="s">
        <v>664</v>
      </c>
      <c r="B1440" s="3" t="s">
        <v>1207</v>
      </c>
      <c r="C1440" s="3" t="s">
        <v>4</v>
      </c>
      <c r="D1440" s="3" t="s">
        <v>1208</v>
      </c>
      <c r="E1440" s="3" t="s">
        <v>893</v>
      </c>
      <c r="F1440" s="3" t="s">
        <v>1013</v>
      </c>
      <c r="G1440" s="6">
        <v>6</v>
      </c>
      <c r="H1440" s="6">
        <v>12.84</v>
      </c>
      <c r="I1440" s="6">
        <v>77.040000000000006</v>
      </c>
      <c r="J1440" s="6">
        <v>110063.7199999999</v>
      </c>
    </row>
    <row r="1441" spans="1:10" outlineLevel="1" x14ac:dyDescent="0.25">
      <c r="A1441" s="8" t="s">
        <v>664</v>
      </c>
      <c r="B1441" s="3" t="s">
        <v>1207</v>
      </c>
      <c r="C1441" s="3" t="s">
        <v>4</v>
      </c>
      <c r="D1441" s="3" t="s">
        <v>1208</v>
      </c>
      <c r="E1441" s="3" t="s">
        <v>897</v>
      </c>
      <c r="F1441" s="3" t="s">
        <v>972</v>
      </c>
      <c r="G1441" s="6">
        <v>2</v>
      </c>
      <c r="H1441" s="6">
        <v>14</v>
      </c>
      <c r="I1441" s="6">
        <v>28</v>
      </c>
      <c r="J1441" s="6">
        <v>110091.7199999999</v>
      </c>
    </row>
    <row r="1442" spans="1:10" outlineLevel="1" x14ac:dyDescent="0.25">
      <c r="A1442" s="8" t="s">
        <v>664</v>
      </c>
      <c r="B1442" s="3" t="s">
        <v>1207</v>
      </c>
      <c r="C1442" s="3" t="s">
        <v>4</v>
      </c>
      <c r="D1442" s="3" t="s">
        <v>1208</v>
      </c>
      <c r="E1442" s="3" t="s">
        <v>56</v>
      </c>
      <c r="F1442" s="3" t="s">
        <v>57</v>
      </c>
      <c r="G1442" s="6">
        <v>10</v>
      </c>
      <c r="H1442" s="6">
        <v>54.96</v>
      </c>
      <c r="I1442" s="6">
        <v>549.6</v>
      </c>
      <c r="J1442" s="6">
        <v>110641.31999999991</v>
      </c>
    </row>
    <row r="1443" spans="1:10" outlineLevel="1" x14ac:dyDescent="0.25">
      <c r="A1443" s="8" t="s">
        <v>664</v>
      </c>
      <c r="B1443" s="3" t="s">
        <v>1207</v>
      </c>
      <c r="C1443" s="3" t="s">
        <v>4</v>
      </c>
      <c r="D1443" s="3" t="s">
        <v>1208</v>
      </c>
      <c r="E1443" s="3" t="s">
        <v>58</v>
      </c>
      <c r="F1443" s="3" t="s">
        <v>59</v>
      </c>
      <c r="G1443" s="6">
        <v>10</v>
      </c>
      <c r="H1443" s="6">
        <v>60.84</v>
      </c>
      <c r="I1443" s="6">
        <v>608.4</v>
      </c>
      <c r="J1443" s="6">
        <v>111249.7199999999</v>
      </c>
    </row>
    <row r="1444" spans="1:10" outlineLevel="1" x14ac:dyDescent="0.25">
      <c r="A1444" s="8" t="s">
        <v>664</v>
      </c>
      <c r="B1444" s="3" t="s">
        <v>1207</v>
      </c>
      <c r="C1444" s="3" t="s">
        <v>4</v>
      </c>
      <c r="D1444" s="3" t="s">
        <v>1208</v>
      </c>
      <c r="E1444" s="3" t="s">
        <v>84</v>
      </c>
      <c r="F1444" s="3" t="s">
        <v>85</v>
      </c>
      <c r="G1444" s="6">
        <v>10</v>
      </c>
      <c r="H1444" s="6">
        <v>46.44</v>
      </c>
      <c r="I1444" s="6">
        <v>464.4</v>
      </c>
      <c r="J1444" s="6">
        <v>111714.11999999989</v>
      </c>
    </row>
    <row r="1445" spans="1:10" outlineLevel="1" x14ac:dyDescent="0.25">
      <c r="A1445" s="8" t="s">
        <v>664</v>
      </c>
      <c r="B1445" s="3" t="s">
        <v>1207</v>
      </c>
      <c r="C1445" s="3" t="s">
        <v>4</v>
      </c>
      <c r="D1445" s="3" t="s">
        <v>1208</v>
      </c>
      <c r="E1445" s="3" t="s">
        <v>64</v>
      </c>
      <c r="F1445" s="3" t="s">
        <v>65</v>
      </c>
      <c r="G1445" s="6">
        <v>3</v>
      </c>
      <c r="H1445" s="6">
        <v>50.9</v>
      </c>
      <c r="I1445" s="6">
        <v>152.69999999999999</v>
      </c>
      <c r="J1445" s="6">
        <v>111866.81999999989</v>
      </c>
    </row>
    <row r="1446" spans="1:10" outlineLevel="1" x14ac:dyDescent="0.25">
      <c r="A1446" s="8" t="s">
        <v>664</v>
      </c>
      <c r="B1446" s="3" t="s">
        <v>1207</v>
      </c>
      <c r="C1446" s="3" t="s">
        <v>4</v>
      </c>
      <c r="D1446" s="3" t="s">
        <v>1208</v>
      </c>
      <c r="E1446" s="3" t="s">
        <v>88</v>
      </c>
      <c r="F1446" s="3" t="s">
        <v>89</v>
      </c>
      <c r="G1446" s="6">
        <v>10</v>
      </c>
      <c r="H1446" s="6">
        <v>18.32</v>
      </c>
      <c r="I1446" s="6">
        <v>183.2</v>
      </c>
      <c r="J1446" s="6">
        <v>112050.01999999989</v>
      </c>
    </row>
    <row r="1447" spans="1:10" outlineLevel="1" x14ac:dyDescent="0.25">
      <c r="A1447" s="8" t="s">
        <v>664</v>
      </c>
      <c r="B1447" s="3" t="s">
        <v>1207</v>
      </c>
      <c r="C1447" s="3" t="s">
        <v>4</v>
      </c>
      <c r="D1447" s="3" t="s">
        <v>1208</v>
      </c>
      <c r="E1447" s="3" t="s">
        <v>348</v>
      </c>
      <c r="F1447" s="3" t="s">
        <v>433</v>
      </c>
      <c r="G1447" s="6">
        <v>20</v>
      </c>
      <c r="H1447" s="6">
        <v>18.32</v>
      </c>
      <c r="I1447" s="6">
        <v>366.4</v>
      </c>
      <c r="J1447" s="6">
        <v>112416.41999999988</v>
      </c>
    </row>
    <row r="1448" spans="1:10" outlineLevel="1" x14ac:dyDescent="0.25">
      <c r="A1448" s="8" t="s">
        <v>664</v>
      </c>
      <c r="B1448" s="3" t="s">
        <v>1207</v>
      </c>
      <c r="C1448" s="3" t="s">
        <v>4</v>
      </c>
      <c r="D1448" s="3" t="s">
        <v>1208</v>
      </c>
      <c r="E1448" s="3" t="s">
        <v>72</v>
      </c>
      <c r="F1448" s="3" t="s">
        <v>73</v>
      </c>
      <c r="G1448" s="6">
        <v>2</v>
      </c>
      <c r="H1448" s="6">
        <v>66.88</v>
      </c>
      <c r="I1448" s="6">
        <v>133.76</v>
      </c>
      <c r="J1448" s="6">
        <v>112550.17999999988</v>
      </c>
    </row>
    <row r="1449" spans="1:10" outlineLevel="1" x14ac:dyDescent="0.25">
      <c r="A1449" s="8" t="s">
        <v>664</v>
      </c>
      <c r="B1449" s="3" t="s">
        <v>1207</v>
      </c>
      <c r="C1449" s="3" t="s">
        <v>4</v>
      </c>
      <c r="D1449" s="3" t="s">
        <v>1208</v>
      </c>
      <c r="E1449" s="3" t="s">
        <v>1211</v>
      </c>
      <c r="F1449" s="3" t="s">
        <v>1212</v>
      </c>
      <c r="G1449" s="6">
        <v>2</v>
      </c>
      <c r="H1449" s="6">
        <v>22</v>
      </c>
      <c r="I1449" s="6">
        <v>44</v>
      </c>
      <c r="J1449" s="6">
        <v>112594.17999999988</v>
      </c>
    </row>
    <row r="1450" spans="1:10" outlineLevel="1" x14ac:dyDescent="0.25">
      <c r="A1450" s="8" t="s">
        <v>664</v>
      </c>
      <c r="B1450" s="3" t="s">
        <v>1207</v>
      </c>
      <c r="C1450" s="3" t="s">
        <v>4</v>
      </c>
      <c r="D1450" s="3" t="s">
        <v>1208</v>
      </c>
      <c r="E1450" s="3" t="s">
        <v>803</v>
      </c>
      <c r="F1450" s="3" t="s">
        <v>1016</v>
      </c>
      <c r="G1450" s="6">
        <v>5</v>
      </c>
      <c r="H1450" s="6">
        <v>22</v>
      </c>
      <c r="I1450" s="6">
        <v>110</v>
      </c>
      <c r="J1450" s="6">
        <v>112704.17999999988</v>
      </c>
    </row>
    <row r="1451" spans="1:10" outlineLevel="1" x14ac:dyDescent="0.25">
      <c r="A1451" s="8" t="s">
        <v>664</v>
      </c>
      <c r="B1451" s="3" t="s">
        <v>1207</v>
      </c>
      <c r="C1451" s="3" t="s">
        <v>4</v>
      </c>
      <c r="D1451" s="3" t="s">
        <v>1208</v>
      </c>
      <c r="E1451" s="3" t="s">
        <v>902</v>
      </c>
      <c r="F1451" s="3" t="s">
        <v>1017</v>
      </c>
      <c r="G1451" s="6">
        <v>5</v>
      </c>
      <c r="H1451" s="6">
        <v>72.72</v>
      </c>
      <c r="I1451" s="6">
        <v>363.6</v>
      </c>
      <c r="J1451" s="6">
        <v>113067.77999999988</v>
      </c>
    </row>
    <row r="1452" spans="1:10" outlineLevel="1" x14ac:dyDescent="0.25">
      <c r="A1452" s="8" t="s">
        <v>664</v>
      </c>
      <c r="B1452" s="3" t="s">
        <v>1207</v>
      </c>
      <c r="C1452" s="3" t="s">
        <v>4</v>
      </c>
      <c r="D1452" s="3" t="s">
        <v>1208</v>
      </c>
      <c r="E1452" s="3" t="s">
        <v>750</v>
      </c>
      <c r="F1452" s="3" t="s">
        <v>1102</v>
      </c>
      <c r="G1452" s="6">
        <v>4</v>
      </c>
      <c r="H1452" s="6">
        <v>13.91</v>
      </c>
      <c r="I1452" s="6">
        <v>55.64</v>
      </c>
      <c r="J1452" s="6">
        <v>113123.41999999988</v>
      </c>
    </row>
    <row r="1453" spans="1:10" outlineLevel="1" x14ac:dyDescent="0.25">
      <c r="A1453" s="8" t="s">
        <v>664</v>
      </c>
      <c r="B1453" s="3" t="s">
        <v>1207</v>
      </c>
      <c r="C1453" s="3" t="s">
        <v>4</v>
      </c>
      <c r="D1453" s="3" t="s">
        <v>1208</v>
      </c>
      <c r="E1453" s="3" t="s">
        <v>924</v>
      </c>
      <c r="F1453" s="3" t="s">
        <v>1078</v>
      </c>
      <c r="G1453" s="6">
        <v>2</v>
      </c>
      <c r="H1453" s="6">
        <v>32.15</v>
      </c>
      <c r="I1453" s="6">
        <v>64.3</v>
      </c>
      <c r="J1453" s="6">
        <v>113187.71999999988</v>
      </c>
    </row>
    <row r="1454" spans="1:10" outlineLevel="1" x14ac:dyDescent="0.25">
      <c r="A1454" s="8" t="s">
        <v>664</v>
      </c>
      <c r="B1454" s="3" t="s">
        <v>1207</v>
      </c>
      <c r="C1454" s="3" t="s">
        <v>4</v>
      </c>
      <c r="D1454" s="3" t="s">
        <v>1208</v>
      </c>
      <c r="E1454" s="3" t="s">
        <v>926</v>
      </c>
      <c r="F1454" s="3" t="s">
        <v>1079</v>
      </c>
      <c r="G1454" s="6">
        <v>2</v>
      </c>
      <c r="H1454" s="6">
        <v>32.15</v>
      </c>
      <c r="I1454" s="6">
        <v>64.3</v>
      </c>
      <c r="J1454" s="6">
        <v>113252.01999999989</v>
      </c>
    </row>
    <row r="1455" spans="1:10" outlineLevel="1" x14ac:dyDescent="0.25">
      <c r="A1455" s="8" t="s">
        <v>664</v>
      </c>
      <c r="B1455" s="3" t="s">
        <v>1207</v>
      </c>
      <c r="C1455" s="3" t="s">
        <v>4</v>
      </c>
      <c r="D1455" s="3" t="s">
        <v>1208</v>
      </c>
      <c r="E1455" s="3" t="s">
        <v>752</v>
      </c>
      <c r="F1455" s="3" t="s">
        <v>978</v>
      </c>
      <c r="G1455" s="6">
        <v>2</v>
      </c>
      <c r="H1455" s="6">
        <v>37.450000000000003</v>
      </c>
      <c r="I1455" s="6">
        <v>74.900000000000006</v>
      </c>
      <c r="J1455" s="6">
        <v>113326.91999999988</v>
      </c>
    </row>
    <row r="1456" spans="1:10" outlineLevel="1" x14ac:dyDescent="0.25">
      <c r="A1456" s="8" t="s">
        <v>664</v>
      </c>
      <c r="B1456" s="3" t="s">
        <v>1207</v>
      </c>
      <c r="C1456" s="3" t="s">
        <v>4</v>
      </c>
      <c r="D1456" s="3" t="s">
        <v>1208</v>
      </c>
      <c r="E1456" s="3" t="s">
        <v>1081</v>
      </c>
      <c r="F1456" s="3" t="s">
        <v>1082</v>
      </c>
      <c r="G1456" s="6">
        <v>4</v>
      </c>
      <c r="H1456" s="6">
        <v>23.22</v>
      </c>
      <c r="I1456" s="6">
        <v>92.88</v>
      </c>
      <c r="J1456" s="6">
        <v>113419.79999999989</v>
      </c>
    </row>
    <row r="1457" spans="1:10" outlineLevel="1" x14ac:dyDescent="0.25">
      <c r="A1457" s="8" t="s">
        <v>664</v>
      </c>
      <c r="B1457" s="3" t="s">
        <v>1207</v>
      </c>
      <c r="C1457" s="3" t="s">
        <v>4</v>
      </c>
      <c r="D1457" s="3" t="s">
        <v>1208</v>
      </c>
      <c r="E1457" s="3" t="s">
        <v>1186</v>
      </c>
      <c r="F1457" s="3" t="s">
        <v>1187</v>
      </c>
      <c r="G1457" s="6">
        <v>2</v>
      </c>
      <c r="H1457" s="6">
        <v>22.24</v>
      </c>
      <c r="I1457" s="6">
        <v>44.48</v>
      </c>
      <c r="J1457" s="6">
        <v>113464.27999999988</v>
      </c>
    </row>
    <row r="1458" spans="1:10" outlineLevel="1" x14ac:dyDescent="0.25">
      <c r="A1458" s="8" t="s">
        <v>664</v>
      </c>
      <c r="B1458" s="3" t="s">
        <v>1207</v>
      </c>
      <c r="C1458" s="3" t="s">
        <v>4</v>
      </c>
      <c r="D1458" s="3" t="s">
        <v>1208</v>
      </c>
      <c r="E1458" s="3" t="s">
        <v>1168</v>
      </c>
      <c r="F1458" s="3" t="s">
        <v>1206</v>
      </c>
      <c r="G1458" s="6">
        <v>2</v>
      </c>
      <c r="H1458" s="6">
        <v>30.42</v>
      </c>
      <c r="I1458" s="6">
        <v>60.84</v>
      </c>
      <c r="J1458" s="6">
        <v>113525.11999999988</v>
      </c>
    </row>
    <row r="1459" spans="1:10" outlineLevel="1" x14ac:dyDescent="0.25">
      <c r="A1459" s="8" t="s">
        <v>664</v>
      </c>
      <c r="B1459" s="3" t="s">
        <v>1207</v>
      </c>
      <c r="C1459" s="3" t="s">
        <v>4</v>
      </c>
      <c r="D1459" s="3" t="s">
        <v>1208</v>
      </c>
      <c r="E1459" s="3" t="s">
        <v>1190</v>
      </c>
      <c r="F1459" s="3" t="s">
        <v>1191</v>
      </c>
      <c r="G1459" s="6">
        <v>2</v>
      </c>
      <c r="H1459" s="6">
        <v>10.68</v>
      </c>
      <c r="I1459" s="6">
        <v>21.36</v>
      </c>
      <c r="J1459" s="6">
        <v>113546.47999999988</v>
      </c>
    </row>
    <row r="1460" spans="1:10" outlineLevel="1" x14ac:dyDescent="0.25">
      <c r="A1460" s="8" t="s">
        <v>664</v>
      </c>
      <c r="B1460" s="3" t="s">
        <v>1207</v>
      </c>
      <c r="C1460" s="3" t="s">
        <v>4</v>
      </c>
      <c r="D1460" s="3" t="s">
        <v>1208</v>
      </c>
      <c r="E1460" s="3" t="s">
        <v>1123</v>
      </c>
      <c r="F1460" s="3" t="s">
        <v>1143</v>
      </c>
      <c r="G1460" s="6">
        <v>5</v>
      </c>
      <c r="H1460" s="6">
        <v>55.8</v>
      </c>
      <c r="I1460" s="6">
        <v>279</v>
      </c>
      <c r="J1460" s="6">
        <v>113825.47999999988</v>
      </c>
    </row>
    <row r="1461" spans="1:10" outlineLevel="1" x14ac:dyDescent="0.25">
      <c r="A1461" s="8" t="s">
        <v>664</v>
      </c>
      <c r="B1461" s="3" t="s">
        <v>1207</v>
      </c>
      <c r="C1461" s="3" t="s">
        <v>4</v>
      </c>
      <c r="D1461" s="3" t="s">
        <v>1208</v>
      </c>
      <c r="E1461" s="3" t="s">
        <v>809</v>
      </c>
      <c r="F1461" s="3" t="s">
        <v>1144</v>
      </c>
      <c r="G1461" s="6">
        <v>2</v>
      </c>
      <c r="H1461" s="6">
        <v>32.74</v>
      </c>
      <c r="I1461" s="6">
        <v>65.48</v>
      </c>
      <c r="J1461" s="6">
        <v>113890.95999999988</v>
      </c>
    </row>
    <row r="1462" spans="1:10" outlineLevel="1" x14ac:dyDescent="0.25">
      <c r="A1462" s="8" t="s">
        <v>664</v>
      </c>
      <c r="B1462" s="3" t="s">
        <v>1207</v>
      </c>
      <c r="C1462" s="3" t="s">
        <v>4</v>
      </c>
      <c r="D1462" s="3" t="s">
        <v>1208</v>
      </c>
      <c r="E1462" s="3" t="s">
        <v>760</v>
      </c>
      <c r="F1462" s="3" t="s">
        <v>979</v>
      </c>
      <c r="G1462" s="6">
        <v>10</v>
      </c>
      <c r="H1462" s="6">
        <v>53.5</v>
      </c>
      <c r="I1462" s="6">
        <v>535</v>
      </c>
      <c r="J1462" s="6">
        <v>114425.95999999988</v>
      </c>
    </row>
    <row r="1463" spans="1:10" outlineLevel="1" x14ac:dyDescent="0.25">
      <c r="A1463" s="8" t="s">
        <v>664</v>
      </c>
      <c r="B1463" s="3" t="s">
        <v>1207</v>
      </c>
      <c r="C1463" s="3" t="s">
        <v>4</v>
      </c>
      <c r="D1463" s="3" t="s">
        <v>1208</v>
      </c>
      <c r="E1463" s="3" t="s">
        <v>811</v>
      </c>
      <c r="F1463" s="3" t="s">
        <v>1147</v>
      </c>
      <c r="G1463" s="6">
        <v>5</v>
      </c>
      <c r="H1463" s="6">
        <v>49.8</v>
      </c>
      <c r="I1463" s="6">
        <v>249</v>
      </c>
      <c r="J1463" s="6">
        <v>114674.95999999988</v>
      </c>
    </row>
    <row r="1464" spans="1:10" outlineLevel="1" x14ac:dyDescent="0.25">
      <c r="A1464" s="8" t="s">
        <v>664</v>
      </c>
      <c r="B1464" s="3" t="s">
        <v>1207</v>
      </c>
      <c r="C1464" s="3" t="s">
        <v>4</v>
      </c>
      <c r="D1464" s="3" t="s">
        <v>1208</v>
      </c>
      <c r="E1464" s="3" t="s">
        <v>813</v>
      </c>
      <c r="F1464" s="3" t="s">
        <v>1024</v>
      </c>
      <c r="G1464" s="6">
        <v>6</v>
      </c>
      <c r="H1464" s="6">
        <v>54.57</v>
      </c>
      <c r="I1464" s="6">
        <v>327.42</v>
      </c>
      <c r="J1464" s="6">
        <v>115002.37999999987</v>
      </c>
    </row>
    <row r="1465" spans="1:10" outlineLevel="1" x14ac:dyDescent="0.25">
      <c r="A1465" s="8" t="s">
        <v>664</v>
      </c>
      <c r="B1465" s="3" t="s">
        <v>1207</v>
      </c>
      <c r="C1465" s="3" t="s">
        <v>4</v>
      </c>
      <c r="D1465" s="3" t="s">
        <v>1208</v>
      </c>
      <c r="E1465" s="3" t="s">
        <v>815</v>
      </c>
      <c r="F1465" s="3" t="s">
        <v>1148</v>
      </c>
      <c r="G1465" s="6">
        <v>5</v>
      </c>
      <c r="H1465" s="6">
        <v>45</v>
      </c>
      <c r="I1465" s="6">
        <v>225</v>
      </c>
      <c r="J1465" s="6">
        <v>115227.37999999987</v>
      </c>
    </row>
    <row r="1466" spans="1:10" outlineLevel="1" x14ac:dyDescent="0.25">
      <c r="A1466" s="8" t="s">
        <v>664</v>
      </c>
      <c r="B1466" s="3" t="s">
        <v>1207</v>
      </c>
      <c r="C1466" s="3" t="s">
        <v>4</v>
      </c>
      <c r="D1466" s="3" t="s">
        <v>1208</v>
      </c>
      <c r="E1466" s="3" t="s">
        <v>817</v>
      </c>
      <c r="F1466" s="3" t="s">
        <v>1025</v>
      </c>
      <c r="G1466" s="6">
        <v>3</v>
      </c>
      <c r="H1466" s="6">
        <v>46.22</v>
      </c>
      <c r="I1466" s="6">
        <v>138.66</v>
      </c>
      <c r="J1466" s="6">
        <v>115366.03999999988</v>
      </c>
    </row>
    <row r="1467" spans="1:10" outlineLevel="1" x14ac:dyDescent="0.25">
      <c r="A1467" s="8" t="s">
        <v>664</v>
      </c>
      <c r="B1467" s="3" t="s">
        <v>1207</v>
      </c>
      <c r="C1467" s="3" t="s">
        <v>4</v>
      </c>
      <c r="D1467" s="3" t="s">
        <v>1208</v>
      </c>
      <c r="E1467" s="3" t="s">
        <v>770</v>
      </c>
      <c r="F1467" s="3" t="s">
        <v>1173</v>
      </c>
      <c r="G1467" s="6">
        <v>10</v>
      </c>
      <c r="H1467" s="6">
        <v>37.450000000000003</v>
      </c>
      <c r="I1467" s="6">
        <v>374.5</v>
      </c>
      <c r="J1467" s="6">
        <v>115740.53999999988</v>
      </c>
    </row>
    <row r="1468" spans="1:10" outlineLevel="1" x14ac:dyDescent="0.25">
      <c r="A1468" s="8" t="s">
        <v>664</v>
      </c>
      <c r="B1468" s="3" t="s">
        <v>1207</v>
      </c>
      <c r="C1468" s="3" t="s">
        <v>4</v>
      </c>
      <c r="D1468" s="3" t="s">
        <v>1208</v>
      </c>
      <c r="E1468" s="3" t="s">
        <v>774</v>
      </c>
      <c r="F1468" s="3" t="s">
        <v>981</v>
      </c>
      <c r="G1468" s="6">
        <v>5</v>
      </c>
      <c r="H1468" s="6">
        <v>26.84</v>
      </c>
      <c r="I1468" s="6">
        <v>134.19999999999999</v>
      </c>
      <c r="J1468" s="6">
        <v>115874.73999999987</v>
      </c>
    </row>
    <row r="1469" spans="1:10" outlineLevel="1" x14ac:dyDescent="0.25">
      <c r="A1469" s="8" t="s">
        <v>664</v>
      </c>
      <c r="B1469" s="3" t="s">
        <v>1207</v>
      </c>
      <c r="C1469" s="3" t="s">
        <v>4</v>
      </c>
      <c r="D1469" s="3" t="s">
        <v>1208</v>
      </c>
      <c r="E1469" s="3" t="s">
        <v>1213</v>
      </c>
      <c r="F1469" s="3" t="s">
        <v>1214</v>
      </c>
      <c r="G1469" s="6">
        <v>2</v>
      </c>
      <c r="H1469" s="6">
        <v>35</v>
      </c>
      <c r="I1469" s="6">
        <v>70</v>
      </c>
      <c r="J1469" s="6">
        <v>115944.73999999987</v>
      </c>
    </row>
    <row r="1470" spans="1:10" outlineLevel="1" x14ac:dyDescent="0.25">
      <c r="A1470" s="8" t="s">
        <v>664</v>
      </c>
      <c r="B1470" s="3" t="s">
        <v>1207</v>
      </c>
      <c r="C1470" s="3" t="s">
        <v>4</v>
      </c>
      <c r="D1470" s="3" t="s">
        <v>1208</v>
      </c>
      <c r="E1470" s="3" t="s">
        <v>1151</v>
      </c>
      <c r="F1470" s="3" t="s">
        <v>1174</v>
      </c>
      <c r="G1470" s="6">
        <v>12</v>
      </c>
      <c r="H1470" s="6">
        <v>26.84</v>
      </c>
      <c r="I1470" s="6">
        <v>322.08</v>
      </c>
      <c r="J1470" s="6">
        <v>116266.81999999988</v>
      </c>
    </row>
    <row r="1471" spans="1:10" outlineLevel="1" x14ac:dyDescent="0.25">
      <c r="A1471" s="8" t="s">
        <v>664</v>
      </c>
      <c r="B1471" s="3" t="s">
        <v>1207</v>
      </c>
      <c r="C1471" s="3" t="s">
        <v>4</v>
      </c>
      <c r="D1471" s="3" t="s">
        <v>1208</v>
      </c>
      <c r="E1471" s="3" t="s">
        <v>982</v>
      </c>
      <c r="F1471" s="3" t="s">
        <v>1215</v>
      </c>
      <c r="G1471" s="6">
        <v>2</v>
      </c>
      <c r="H1471" s="6">
        <v>28.68</v>
      </c>
      <c r="I1471" s="6">
        <v>57.36</v>
      </c>
      <c r="J1471" s="6">
        <v>116324.17999999988</v>
      </c>
    </row>
    <row r="1472" spans="1:10" outlineLevel="1" x14ac:dyDescent="0.25">
      <c r="A1472" s="8" t="s">
        <v>664</v>
      </c>
      <c r="B1472" s="3" t="s">
        <v>1207</v>
      </c>
      <c r="C1472" s="3" t="s">
        <v>4</v>
      </c>
      <c r="D1472" s="3" t="s">
        <v>1208</v>
      </c>
      <c r="E1472" s="3" t="s">
        <v>819</v>
      </c>
      <c r="F1472" s="3" t="s">
        <v>1028</v>
      </c>
      <c r="G1472" s="6">
        <v>2</v>
      </c>
      <c r="H1472" s="6">
        <v>29.4</v>
      </c>
      <c r="I1472" s="6">
        <v>58.8</v>
      </c>
      <c r="J1472" s="6">
        <v>116382.97999999988</v>
      </c>
    </row>
    <row r="1473" spans="1:10" outlineLevel="1" x14ac:dyDescent="0.25">
      <c r="A1473" s="8" t="s">
        <v>664</v>
      </c>
      <c r="B1473" s="3" t="s">
        <v>1207</v>
      </c>
      <c r="C1473" s="3" t="s">
        <v>4</v>
      </c>
      <c r="D1473" s="3" t="s">
        <v>1208</v>
      </c>
      <c r="E1473" s="3" t="s">
        <v>1216</v>
      </c>
      <c r="F1473" s="3" t="s">
        <v>1217</v>
      </c>
      <c r="G1473" s="6">
        <v>2</v>
      </c>
      <c r="H1473" s="6">
        <v>45</v>
      </c>
      <c r="I1473" s="6">
        <v>90</v>
      </c>
      <c r="J1473" s="6">
        <v>116472.97999999988</v>
      </c>
    </row>
    <row r="1474" spans="1:10" outlineLevel="1" x14ac:dyDescent="0.25">
      <c r="A1474" s="8" t="s">
        <v>664</v>
      </c>
      <c r="B1474" s="3" t="s">
        <v>1207</v>
      </c>
      <c r="C1474" s="3" t="s">
        <v>4</v>
      </c>
      <c r="D1474" s="3" t="s">
        <v>1208</v>
      </c>
      <c r="E1474" s="3" t="s">
        <v>1218</v>
      </c>
      <c r="F1474" s="3" t="s">
        <v>1219</v>
      </c>
      <c r="G1474" s="6">
        <v>2</v>
      </c>
      <c r="H1474" s="6">
        <v>27.5</v>
      </c>
      <c r="I1474" s="6">
        <v>55</v>
      </c>
      <c r="J1474" s="6">
        <v>116527.97999999988</v>
      </c>
    </row>
    <row r="1475" spans="1:10" outlineLevel="1" x14ac:dyDescent="0.25">
      <c r="A1475" s="8" t="s">
        <v>664</v>
      </c>
      <c r="B1475" s="3" t="s">
        <v>1207</v>
      </c>
      <c r="C1475" s="3" t="s">
        <v>4</v>
      </c>
      <c r="D1475" s="3" t="s">
        <v>1208</v>
      </c>
      <c r="E1475" s="3" t="s">
        <v>1220</v>
      </c>
      <c r="F1475" s="3" t="s">
        <v>1221</v>
      </c>
      <c r="G1475" s="6">
        <v>2</v>
      </c>
      <c r="H1475" s="6">
        <v>37.5</v>
      </c>
      <c r="I1475" s="6">
        <v>75</v>
      </c>
      <c r="J1475" s="6">
        <v>116602.97999999988</v>
      </c>
    </row>
    <row r="1476" spans="1:10" outlineLevel="1" x14ac:dyDescent="0.25">
      <c r="A1476" s="8" t="s">
        <v>664</v>
      </c>
      <c r="B1476" s="3" t="s">
        <v>1207</v>
      </c>
      <c r="C1476" s="3" t="s">
        <v>4</v>
      </c>
      <c r="D1476" s="3" t="s">
        <v>1208</v>
      </c>
      <c r="E1476" s="3" t="s">
        <v>1222</v>
      </c>
      <c r="F1476" s="3" t="s">
        <v>1223</v>
      </c>
      <c r="G1476" s="6">
        <v>1</v>
      </c>
      <c r="H1476" s="6">
        <v>40.56</v>
      </c>
      <c r="I1476" s="6">
        <v>40.56</v>
      </c>
      <c r="J1476" s="6">
        <v>116643.53999999988</v>
      </c>
    </row>
    <row r="1477" spans="1:10" outlineLevel="1" x14ac:dyDescent="0.25">
      <c r="A1477" s="8" t="s">
        <v>664</v>
      </c>
      <c r="B1477" s="3" t="s">
        <v>1224</v>
      </c>
      <c r="C1477" s="3" t="s">
        <v>4</v>
      </c>
      <c r="D1477" s="3" t="s">
        <v>1225</v>
      </c>
      <c r="E1477" s="3" t="s">
        <v>692</v>
      </c>
      <c r="F1477" s="3" t="s">
        <v>944</v>
      </c>
      <c r="G1477" s="6">
        <v>10</v>
      </c>
      <c r="H1477" s="6">
        <v>39.68</v>
      </c>
      <c r="I1477" s="6">
        <v>396.8</v>
      </c>
      <c r="J1477" s="6">
        <v>117040.33999999988</v>
      </c>
    </row>
    <row r="1478" spans="1:10" outlineLevel="1" x14ac:dyDescent="0.25">
      <c r="A1478" s="8" t="s">
        <v>664</v>
      </c>
      <c r="B1478" s="3" t="s">
        <v>1224</v>
      </c>
      <c r="C1478" s="3" t="s">
        <v>4</v>
      </c>
      <c r="D1478" s="3" t="s">
        <v>1225</v>
      </c>
      <c r="E1478" s="3" t="s">
        <v>1226</v>
      </c>
      <c r="F1478" s="3" t="s">
        <v>1227</v>
      </c>
      <c r="G1478" s="6">
        <v>2</v>
      </c>
      <c r="H1478" s="6">
        <v>51.1</v>
      </c>
      <c r="I1478" s="6">
        <v>102.2</v>
      </c>
      <c r="J1478" s="6">
        <v>117142.53999999988</v>
      </c>
    </row>
    <row r="1479" spans="1:10" outlineLevel="1" x14ac:dyDescent="0.25">
      <c r="A1479" s="8" t="s">
        <v>664</v>
      </c>
      <c r="B1479" s="3" t="s">
        <v>1224</v>
      </c>
      <c r="C1479" s="3" t="s">
        <v>4</v>
      </c>
      <c r="D1479" s="3" t="s">
        <v>1225</v>
      </c>
      <c r="E1479" s="3" t="s">
        <v>947</v>
      </c>
      <c r="F1479" s="3" t="s">
        <v>948</v>
      </c>
      <c r="G1479" s="6">
        <v>1</v>
      </c>
      <c r="H1479" s="6">
        <v>51.1</v>
      </c>
      <c r="I1479" s="6">
        <v>51.1</v>
      </c>
      <c r="J1479" s="6">
        <v>117193.63999999988</v>
      </c>
    </row>
    <row r="1480" spans="1:10" outlineLevel="1" x14ac:dyDescent="0.25">
      <c r="A1480" s="8" t="s">
        <v>664</v>
      </c>
      <c r="B1480" s="3" t="s">
        <v>1224</v>
      </c>
      <c r="C1480" s="3" t="s">
        <v>4</v>
      </c>
      <c r="D1480" s="3" t="s">
        <v>1225</v>
      </c>
      <c r="E1480" s="3" t="s">
        <v>702</v>
      </c>
      <c r="F1480" s="3" t="s">
        <v>992</v>
      </c>
      <c r="G1480" s="6">
        <v>10</v>
      </c>
      <c r="H1480" s="6">
        <v>45.96</v>
      </c>
      <c r="I1480" s="6">
        <v>459.6</v>
      </c>
      <c r="J1480" s="6">
        <v>117653.23999999989</v>
      </c>
    </row>
    <row r="1481" spans="1:10" outlineLevel="1" x14ac:dyDescent="0.25">
      <c r="A1481" s="8" t="s">
        <v>664</v>
      </c>
      <c r="B1481" s="3" t="s">
        <v>1224</v>
      </c>
      <c r="C1481" s="3" t="s">
        <v>4</v>
      </c>
      <c r="D1481" s="3" t="s">
        <v>1225</v>
      </c>
      <c r="E1481" s="3" t="s">
        <v>720</v>
      </c>
      <c r="F1481" s="3" t="s">
        <v>721</v>
      </c>
      <c r="G1481" s="6">
        <v>5</v>
      </c>
      <c r="H1481" s="6">
        <v>23.96</v>
      </c>
      <c r="I1481" s="6">
        <v>119.8</v>
      </c>
      <c r="J1481" s="6">
        <v>117773.03999999989</v>
      </c>
    </row>
    <row r="1482" spans="1:10" outlineLevel="1" x14ac:dyDescent="0.25">
      <c r="A1482" s="8" t="s">
        <v>664</v>
      </c>
      <c r="B1482" s="3" t="s">
        <v>1224</v>
      </c>
      <c r="C1482" s="3" t="s">
        <v>4</v>
      </c>
      <c r="D1482" s="3" t="s">
        <v>1225</v>
      </c>
      <c r="E1482" s="3" t="s">
        <v>999</v>
      </c>
      <c r="F1482" s="3" t="s">
        <v>1031</v>
      </c>
      <c r="G1482" s="6">
        <v>4</v>
      </c>
      <c r="H1482" s="6">
        <v>9.99</v>
      </c>
      <c r="I1482" s="6">
        <v>39.96</v>
      </c>
      <c r="J1482" s="6">
        <v>117812.9999999999</v>
      </c>
    </row>
    <row r="1483" spans="1:10" outlineLevel="1" x14ac:dyDescent="0.25">
      <c r="A1483" s="8" t="s">
        <v>664</v>
      </c>
      <c r="B1483" s="3" t="s">
        <v>1224</v>
      </c>
      <c r="C1483" s="3" t="s">
        <v>4</v>
      </c>
      <c r="D1483" s="3" t="s">
        <v>1225</v>
      </c>
      <c r="E1483" s="3" t="s">
        <v>1228</v>
      </c>
      <c r="F1483" s="3" t="s">
        <v>1229</v>
      </c>
      <c r="G1483" s="6">
        <v>1</v>
      </c>
      <c r="H1483" s="6">
        <v>98.16</v>
      </c>
      <c r="I1483" s="6">
        <v>98.16</v>
      </c>
      <c r="J1483" s="6">
        <v>117911.1599999999</v>
      </c>
    </row>
    <row r="1484" spans="1:10" outlineLevel="1" x14ac:dyDescent="0.25">
      <c r="A1484" s="8" t="s">
        <v>664</v>
      </c>
      <c r="B1484" s="3" t="s">
        <v>1224</v>
      </c>
      <c r="C1484" s="3" t="s">
        <v>4</v>
      </c>
      <c r="D1484" s="3" t="s">
        <v>1225</v>
      </c>
      <c r="E1484" s="3" t="s">
        <v>1000</v>
      </c>
      <c r="F1484" s="3" t="s">
        <v>1138</v>
      </c>
      <c r="G1484" s="6">
        <v>1</v>
      </c>
      <c r="H1484" s="6">
        <v>78.959999999999994</v>
      </c>
      <c r="I1484" s="6">
        <v>78.959999999999994</v>
      </c>
      <c r="J1484" s="6">
        <v>117990.11999999991</v>
      </c>
    </row>
    <row r="1485" spans="1:10" outlineLevel="1" x14ac:dyDescent="0.25">
      <c r="A1485" s="8" t="s">
        <v>664</v>
      </c>
      <c r="B1485" s="3" t="s">
        <v>1224</v>
      </c>
      <c r="C1485" s="3" t="s">
        <v>4</v>
      </c>
      <c r="D1485" s="3" t="s">
        <v>1225</v>
      </c>
      <c r="E1485" s="3" t="s">
        <v>756</v>
      </c>
      <c r="F1485" s="3" t="s">
        <v>1003</v>
      </c>
      <c r="G1485" s="6">
        <v>6</v>
      </c>
      <c r="H1485" s="6">
        <v>13.2</v>
      </c>
      <c r="I1485" s="6">
        <v>79.2</v>
      </c>
      <c r="J1485" s="6">
        <v>118069.31999999991</v>
      </c>
    </row>
    <row r="1486" spans="1:10" outlineLevel="1" x14ac:dyDescent="0.25">
      <c r="A1486" s="8" t="s">
        <v>664</v>
      </c>
      <c r="B1486" s="3" t="s">
        <v>1224</v>
      </c>
      <c r="C1486" s="3" t="s">
        <v>4</v>
      </c>
      <c r="D1486" s="3" t="s">
        <v>1225</v>
      </c>
      <c r="E1486" s="3" t="s">
        <v>739</v>
      </c>
      <c r="F1486" s="3" t="s">
        <v>964</v>
      </c>
      <c r="G1486" s="6">
        <v>12</v>
      </c>
      <c r="H1486" s="6">
        <v>14</v>
      </c>
      <c r="I1486" s="6">
        <v>168</v>
      </c>
      <c r="J1486" s="6">
        <v>118237.31999999991</v>
      </c>
    </row>
    <row r="1487" spans="1:10" outlineLevel="1" x14ac:dyDescent="0.25">
      <c r="A1487" s="8" t="s">
        <v>664</v>
      </c>
      <c r="B1487" s="3" t="s">
        <v>1224</v>
      </c>
      <c r="C1487" s="3" t="s">
        <v>4</v>
      </c>
      <c r="D1487" s="3" t="s">
        <v>1225</v>
      </c>
      <c r="E1487" s="3" t="s">
        <v>788</v>
      </c>
      <c r="F1487" s="3" t="s">
        <v>968</v>
      </c>
      <c r="G1487" s="6">
        <v>2</v>
      </c>
      <c r="H1487" s="6">
        <v>12.4</v>
      </c>
      <c r="I1487" s="6">
        <v>24.8</v>
      </c>
      <c r="J1487" s="6">
        <v>118262.11999999991</v>
      </c>
    </row>
    <row r="1488" spans="1:10" outlineLevel="1" x14ac:dyDescent="0.25">
      <c r="A1488" s="8" t="s">
        <v>664</v>
      </c>
      <c r="B1488" s="3" t="s">
        <v>1224</v>
      </c>
      <c r="C1488" s="3" t="s">
        <v>4</v>
      </c>
      <c r="D1488" s="3" t="s">
        <v>1225</v>
      </c>
      <c r="E1488" s="3" t="s">
        <v>936</v>
      </c>
      <c r="F1488" s="3" t="s">
        <v>1163</v>
      </c>
      <c r="G1488" s="6">
        <v>2</v>
      </c>
      <c r="H1488" s="6">
        <v>21.4</v>
      </c>
      <c r="I1488" s="6">
        <v>42.8</v>
      </c>
      <c r="J1488" s="6">
        <v>118304.91999999991</v>
      </c>
    </row>
    <row r="1489" spans="1:10" outlineLevel="1" x14ac:dyDescent="0.25">
      <c r="A1489" s="8" t="s">
        <v>664</v>
      </c>
      <c r="B1489" s="3" t="s">
        <v>1224</v>
      </c>
      <c r="C1489" s="3" t="s">
        <v>4</v>
      </c>
      <c r="D1489" s="3" t="s">
        <v>1225</v>
      </c>
      <c r="E1489" s="3" t="s">
        <v>799</v>
      </c>
      <c r="F1489" s="3" t="s">
        <v>1141</v>
      </c>
      <c r="G1489" s="6">
        <v>2</v>
      </c>
      <c r="H1489" s="6">
        <v>26.4</v>
      </c>
      <c r="I1489" s="6">
        <v>52.8</v>
      </c>
      <c r="J1489" s="6">
        <v>118357.71999999991</v>
      </c>
    </row>
    <row r="1490" spans="1:10" outlineLevel="1" x14ac:dyDescent="0.25">
      <c r="A1490" s="8" t="s">
        <v>664</v>
      </c>
      <c r="B1490" s="3" t="s">
        <v>1224</v>
      </c>
      <c r="C1490" s="3" t="s">
        <v>4</v>
      </c>
      <c r="D1490" s="3" t="s">
        <v>1225</v>
      </c>
      <c r="E1490" s="3" t="s">
        <v>805</v>
      </c>
      <c r="F1490" s="3" t="s">
        <v>1230</v>
      </c>
      <c r="G1490" s="6">
        <v>2</v>
      </c>
      <c r="H1490" s="6">
        <v>26.4</v>
      </c>
      <c r="I1490" s="6">
        <v>52.8</v>
      </c>
      <c r="J1490" s="6">
        <v>118410.51999999992</v>
      </c>
    </row>
    <row r="1491" spans="1:10" outlineLevel="1" x14ac:dyDescent="0.25">
      <c r="A1491" s="8" t="s">
        <v>664</v>
      </c>
      <c r="B1491" s="3" t="s">
        <v>1224</v>
      </c>
      <c r="C1491" s="3" t="s">
        <v>4</v>
      </c>
      <c r="D1491" s="3" t="s">
        <v>1225</v>
      </c>
      <c r="E1491" s="3" t="s">
        <v>807</v>
      </c>
      <c r="F1491" s="3" t="s">
        <v>1231</v>
      </c>
      <c r="G1491" s="6">
        <v>2</v>
      </c>
      <c r="H1491" s="6">
        <v>21.4</v>
      </c>
      <c r="I1491" s="6">
        <v>42.8</v>
      </c>
      <c r="J1491" s="6">
        <v>118453.31999999992</v>
      </c>
    </row>
    <row r="1492" spans="1:10" outlineLevel="1" x14ac:dyDescent="0.25">
      <c r="A1492" s="8" t="s">
        <v>664</v>
      </c>
      <c r="B1492" s="3" t="s">
        <v>1224</v>
      </c>
      <c r="C1492" s="3" t="s">
        <v>4</v>
      </c>
      <c r="D1492" s="3" t="s">
        <v>1225</v>
      </c>
      <c r="E1492" s="3" t="s">
        <v>1190</v>
      </c>
      <c r="F1492" s="3" t="s">
        <v>1191</v>
      </c>
      <c r="G1492" s="6">
        <v>6</v>
      </c>
      <c r="H1492" s="6">
        <v>10.68</v>
      </c>
      <c r="I1492" s="6">
        <v>64.08</v>
      </c>
      <c r="J1492" s="6">
        <v>118517.39999999992</v>
      </c>
    </row>
    <row r="1493" spans="1:10" outlineLevel="1" x14ac:dyDescent="0.25">
      <c r="A1493" s="8" t="s">
        <v>664</v>
      </c>
      <c r="B1493" s="3" t="s">
        <v>1224</v>
      </c>
      <c r="C1493" s="3" t="s">
        <v>4</v>
      </c>
      <c r="D1493" s="3" t="s">
        <v>1225</v>
      </c>
      <c r="E1493" s="3" t="s">
        <v>1232</v>
      </c>
      <c r="F1493" s="3" t="s">
        <v>1232</v>
      </c>
      <c r="G1493" s="6">
        <v>6</v>
      </c>
      <c r="H1493" s="6">
        <v>10.68</v>
      </c>
      <c r="I1493" s="6">
        <v>64.08</v>
      </c>
      <c r="J1493" s="6">
        <v>118581.47999999992</v>
      </c>
    </row>
    <row r="1494" spans="1:10" x14ac:dyDescent="0.25">
      <c r="A1494" s="9" t="s">
        <v>1233</v>
      </c>
      <c r="I1494" s="7">
        <f>I685+I686+I687+I688+I689+I690+I691+I692+I693+I694+I695+I696+I697+I698+I699+I700+I701+I702+I703+I704+I705+I706+I707+I708+I709+I710+I711+I712+I713+I714+I715+I716+I717+I718+I719+I720+I721+I722+I723+I724+I725+I726+I727+I728+I729+I730+I731+I732+I733+I734+I735+I736+I737+I738+I739+I740+I741+I742+I743+I744+I745+I746+I747+I748+I749+I750+I751+I752+I753+I754+I755+I756+I757+I758+I759+I760+I761+I762+I763+I764+I765+I766+I767+I768+I769+I770+I771+I772+I773+I774+I775+I776+I777+I778+I779+I780+I781+I782+I783+I784+I785+I786+I787+I788+I789+I790+I791+I792+I793+I794+I795+I796+I797+I798+I799+I800+I801+I802+I803+I804+I805+I806+I807+I808+I809+I810+I811+I812+I813+I814+I815+I816+I817+I818+I819+I820+I821+I822+I823+I824+I825+I826+I827+I828+I829+I830+I831+I832+I833+I834+I835+I836+I837+I838+I839+I840+I841+I842+I843+I844+I845+I846+I847+I848+I849+I850+I851+I852+I853+I854+I855+I856+I857+I858+I859+I860+I861+I862+I863+I864+I865+I866+I867+I868+I869+I870+I871+I872+I873+I874+I875+I876+I877+I878+I879+I880+I881+I882+I883+I884+I885+I886+I887+I888+I889+I890+I891+I892+I893+I894+I895+I896+I897+I898+I899+I900+I901+I902+I903+I904+I905+I906+I907+I908+I909+I910+I911+I912+I913+I914+I915+I916+I917+I918+I919+I920+I921+I922+I923+I924+I925+I926+I927+I928+I929+I930+I931+I932+I933+I934+I935+I936+I937+I938+I939+I940+I941+I942+I943+I944+I945+I946+I947+I948+I949+I950+I951+I952+I953+I954+I955+I956+I957+I958+I959+I960+I961+I962+I963+I964+I965+I966+I967+I968+I969+I970+I971+I972+I973+I974+I975+I976+I977+I978+I979+I980+I981+I982+I983+I984+I985+I986+I987+I988+I989+I990+I991+I992+I993+I994+I995+I996+I997+I998+I999+I1000+I1001+I1002+I1003+I1004+I1005+I1006+I1007+I1008+I1009+I1010+I1011+I1012+I1013+I1014+I1015+I1016+I1017+I1018+I1019+I1020+I1021+I1022+I1023+I1024+I1025+I1026+I1027+I1028+I1029+I1030+I1031+I1032+I1033+I1034+I1035+I1036+I1037+I1038+I1039+I1040+I1041+I1042+I1043+I1044+I1045+I1046+I1047+I1048+I1049+I1050+I1051+I1052+I1053+I1054+I1055+I1056+I1057+I1058+I1059+I1060+I1061+I1062+I1063+I1064+I1065+I1066+I1067+I1068+I1069+I1070+I1071+I1072+I1073+I1074+I1075+I1076+I1077+I1078+I1079+I1080+I1081+I1082+I1083+I1084+I1085+I1086+I1087+I1088+I1089+I1090+I1091+I1092+I1093+I1094+I1095+I1096+I1097+I1098+I1099+I1100+I1101+I1102+I1103+I1104+I1105+I1106+I1107+I1108+I1109+I1110+I1111+I1112+I1113+I1114+I1115+I1116+I1117+I1118+I1119+I1120+I1121+I1122+I1123+I1124+I1125+I1126+I1127+I1128+I1129+I1130+I1131+I1132+I1133+I1134+I1135+I1136+I1137+I1138+I1139+I1140+I1141+I1142+I1143+I1144+I1145+I1146+I1147+I1148+I1149+I1150+I1151+I1152+I1153+I1154+I1155+I1156+I1157+I1158+I1159+I1160+I1161+I1162+I1163+I1164+I1165+I1166+I1167+I1168+I1169+I1170+I1171+I1172+I1173+I1174+I1175+I1176+I1177+I1178+I1179+I1180+I1181+I1182+I1183+I1184+I1185+I1186+I1187+I1188+I1189+I1190+I1191+I1192+I1193+I1194+I1195+I1196+I1197+I1198+I1199+I1200+I1201+I1202+I1203+I1204+I1205+I1206+I1207+I1208+I1209+I1210+I1211+I1212+I1213+I1214+I1215+I1216+I1217+I1218+I1219+I1220+I1221+I1222+I1223+I1224+I1225+I1226+I1227+I1228+I1229+I1230+I1231+I1232+I1233+I1234+I1235+I1236+I1237+I1238+I1239+I1240+I1241+I1242+I1243+I1244+I1245+I1246+I1247+I1248+I1249+I1250+I1251+I1252+I1253+I1254+I1255+I1256+I1257+I1258+I1259+I1260+I1261+I1262+I1263+I1264+I1265+I1266+I1267+I1268+I1269+I1270+I1271+I1272+I1273+I1274+I1275+I1276+I1277+I1278+I1279+I1280+I1281+I1282+I1283+I1284+I1285+I1286+I1287+I1288+I1289+I1290+I1291+I1292+I1293+I1294+I1295+I1296+I1297+I1298+I1299+I1300+I1301+I1302+I1303+I1304+I1305+I1306+I1307+I1308+I1309+I1310+I1311+I1312+I1313+I1314+I1315+I1316+I1317+I1318+I1319+I1320+I1321+I1322+I1323+I1324+I1325+I1326+I1327+I1328+I1329+I1330+I1331+I1332+I1333+I1334+I1335+I1336+I1337+I1338+I1339+I1340+I1341+I1342+I1343+I1344+I1345+I1346+I1347+I1348+I1349+I1350+I1351+I1352+I1353+I1354+I1355+I1356+I1357+I1358+I1359+I1360+I1361+I1362+I1363+I1364+I1365+I1366+I1367+I1368+I1369+I1370+I1371+I1372+I1373+I1374+I1375+I1376+I1377+I1378+I1379+I1380+I1381+I1382+I1383+I1384+I1385+I1386+I1387+I1388+I1389+I1390+I1391+I1392+I1393+I1394+I1395+I1396+I1397+I1398+I1399+I1400+I1401+I1402+I1403+I1404+I1405+I1406+I1407+I1408+I1409+I1410+I1411+I1412+I1413+I1414+I1415+I1416+I1417+I1418+I1419+I1420+I1421+I1422+I1423+I1424+I1425+I1426+I1427+I1428+I1429+I1430+I1431+I1432+I1433+I1434+I1435+I1436+I1437+I1438+I1439+I1440+I1441+I1442+I1443+I1444+I1445+I1446+I1447+I1448+I1449+I1450+I1451+I1452+I1453+I1454+I1455+I1456+I1457+I1458+I1459+I1460+I1461+I1462+I1463+I1464+I1465+I1466+I1467+I1468+I1469+I1470+I1471+I1472+I1473+I1474+I1475+I1476+I1477+I1478+I1479+I1480+I1481+I1482+I1483+I1484+I1485+I1486+I1487+I1488+I1489+I1490+I1491+I1492+I1493</f>
        <v>118581.47999999992</v>
      </c>
    </row>
    <row r="1495" spans="1:10" x14ac:dyDescent="0.25">
      <c r="A1495" s="8" t="s">
        <v>5</v>
      </c>
    </row>
    <row r="1496" spans="1:10" outlineLevel="1" x14ac:dyDescent="0.25">
      <c r="B1496" s="3" t="s">
        <v>1234</v>
      </c>
      <c r="C1496" s="3" t="s">
        <v>1235</v>
      </c>
      <c r="D1496" s="3" t="s">
        <v>1236</v>
      </c>
      <c r="E1496" s="3" t="s">
        <v>25</v>
      </c>
      <c r="F1496" s="3" t="s">
        <v>1237</v>
      </c>
      <c r="G1496" s="6">
        <v>0</v>
      </c>
      <c r="H1496" s="3"/>
      <c r="I1496" s="6">
        <v>0</v>
      </c>
      <c r="J1496" s="6">
        <v>0</v>
      </c>
    </row>
    <row r="1497" spans="1:10" outlineLevel="1" x14ac:dyDescent="0.25">
      <c r="B1497" s="3" t="s">
        <v>1234</v>
      </c>
      <c r="C1497" s="3" t="s">
        <v>1235</v>
      </c>
      <c r="D1497" s="3" t="s">
        <v>1236</v>
      </c>
      <c r="E1497" s="3" t="s">
        <v>29</v>
      </c>
      <c r="F1497" s="3" t="s">
        <v>1238</v>
      </c>
      <c r="G1497" s="6">
        <v>0</v>
      </c>
      <c r="H1497" s="3"/>
      <c r="I1497" s="6">
        <v>0</v>
      </c>
      <c r="J1497" s="6">
        <v>0</v>
      </c>
    </row>
    <row r="1498" spans="1:10" outlineLevel="1" x14ac:dyDescent="0.25">
      <c r="B1498" s="3" t="s">
        <v>1234</v>
      </c>
      <c r="C1498" s="3" t="s">
        <v>1235</v>
      </c>
      <c r="D1498" s="3" t="s">
        <v>1236</v>
      </c>
      <c r="E1498" s="3" t="s">
        <v>27</v>
      </c>
      <c r="F1498" s="3" t="s">
        <v>1239</v>
      </c>
      <c r="G1498" s="6">
        <v>0</v>
      </c>
      <c r="H1498" s="3"/>
      <c r="I1498" s="6">
        <v>0</v>
      </c>
      <c r="J1498" s="6">
        <v>0</v>
      </c>
    </row>
    <row r="1499" spans="1:10" outlineLevel="1" x14ac:dyDescent="0.25">
      <c r="B1499" s="3" t="s">
        <v>1234</v>
      </c>
      <c r="C1499" s="3" t="s">
        <v>1235</v>
      </c>
      <c r="D1499" s="3" t="s">
        <v>1236</v>
      </c>
      <c r="E1499" s="3" t="s">
        <v>31</v>
      </c>
      <c r="F1499" s="3" t="s">
        <v>1240</v>
      </c>
      <c r="G1499" s="6">
        <v>0</v>
      </c>
      <c r="H1499" s="3"/>
      <c r="I1499" s="6">
        <v>0</v>
      </c>
      <c r="J1499" s="6">
        <v>0</v>
      </c>
    </row>
    <row r="1500" spans="1:10" outlineLevel="1" x14ac:dyDescent="0.25">
      <c r="B1500" s="3" t="s">
        <v>1234</v>
      </c>
      <c r="C1500" s="3" t="s">
        <v>1235</v>
      </c>
      <c r="D1500" s="3" t="s">
        <v>1236</v>
      </c>
      <c r="E1500" s="3" t="s">
        <v>33</v>
      </c>
      <c r="F1500" s="3" t="s">
        <v>1241</v>
      </c>
      <c r="G1500" s="6">
        <v>0</v>
      </c>
      <c r="H1500" s="3"/>
      <c r="I1500" s="6">
        <v>0</v>
      </c>
      <c r="J1500" s="6">
        <v>0</v>
      </c>
    </row>
    <row r="1501" spans="1:10" outlineLevel="1" x14ac:dyDescent="0.25">
      <c r="B1501" s="3" t="s">
        <v>1234</v>
      </c>
      <c r="C1501" s="3" t="s">
        <v>1235</v>
      </c>
      <c r="D1501" s="3" t="s">
        <v>1236</v>
      </c>
      <c r="E1501" s="3" t="s">
        <v>66</v>
      </c>
      <c r="F1501" s="3" t="s">
        <v>1242</v>
      </c>
      <c r="G1501" s="6">
        <v>0</v>
      </c>
      <c r="H1501" s="3"/>
      <c r="I1501" s="6">
        <v>0</v>
      </c>
      <c r="J1501" s="6">
        <v>0</v>
      </c>
    </row>
    <row r="1502" spans="1:10" outlineLevel="1" x14ac:dyDescent="0.25">
      <c r="B1502" s="3" t="s">
        <v>1234</v>
      </c>
      <c r="C1502" s="3" t="s">
        <v>1235</v>
      </c>
      <c r="D1502" s="3" t="s">
        <v>1236</v>
      </c>
      <c r="E1502" s="3" t="s">
        <v>144</v>
      </c>
      <c r="F1502" s="3" t="s">
        <v>1243</v>
      </c>
      <c r="G1502" s="6">
        <v>0</v>
      </c>
      <c r="H1502" s="3"/>
      <c r="I1502" s="6">
        <v>0</v>
      </c>
      <c r="J1502" s="6">
        <v>0</v>
      </c>
    </row>
    <row r="1503" spans="1:10" outlineLevel="1" x14ac:dyDescent="0.25">
      <c r="B1503" s="3" t="s">
        <v>1234</v>
      </c>
      <c r="C1503" s="3" t="s">
        <v>1235</v>
      </c>
      <c r="D1503" s="3" t="s">
        <v>1236</v>
      </c>
      <c r="E1503" s="3" t="s">
        <v>420</v>
      </c>
      <c r="F1503" s="3" t="s">
        <v>1244</v>
      </c>
      <c r="G1503" s="6">
        <v>0</v>
      </c>
      <c r="H1503" s="6">
        <v>36</v>
      </c>
      <c r="I1503" s="6">
        <v>0</v>
      </c>
      <c r="J1503" s="6">
        <v>0</v>
      </c>
    </row>
    <row r="1504" spans="1:10" outlineLevel="1" x14ac:dyDescent="0.25">
      <c r="B1504" s="3" t="s">
        <v>1234</v>
      </c>
      <c r="C1504" s="3" t="s">
        <v>1235</v>
      </c>
      <c r="D1504" s="3" t="s">
        <v>1236</v>
      </c>
      <c r="E1504" s="3" t="s">
        <v>152</v>
      </c>
      <c r="F1504" s="3" t="s">
        <v>1245</v>
      </c>
      <c r="G1504" s="6">
        <v>0</v>
      </c>
      <c r="H1504" s="6">
        <v>51</v>
      </c>
      <c r="I1504" s="6">
        <v>0</v>
      </c>
      <c r="J1504" s="6">
        <v>0</v>
      </c>
    </row>
    <row r="1505" spans="2:10" outlineLevel="1" x14ac:dyDescent="0.25">
      <c r="B1505" s="3" t="s">
        <v>1234</v>
      </c>
      <c r="C1505" s="3" t="s">
        <v>1235</v>
      </c>
      <c r="D1505" s="3" t="s">
        <v>1236</v>
      </c>
      <c r="E1505" s="3" t="s">
        <v>150</v>
      </c>
      <c r="F1505" s="3" t="s">
        <v>1246</v>
      </c>
      <c r="G1505" s="6">
        <v>0</v>
      </c>
      <c r="H1505" s="6">
        <v>62.9</v>
      </c>
      <c r="I1505" s="6">
        <v>0</v>
      </c>
      <c r="J1505" s="6">
        <v>0</v>
      </c>
    </row>
    <row r="1506" spans="2:10" outlineLevel="1" x14ac:dyDescent="0.25">
      <c r="B1506" s="3" t="s">
        <v>1234</v>
      </c>
      <c r="C1506" s="3" t="s">
        <v>1235</v>
      </c>
      <c r="D1506" s="3" t="s">
        <v>1236</v>
      </c>
      <c r="E1506" s="3" t="s">
        <v>154</v>
      </c>
      <c r="F1506" s="3" t="s">
        <v>1247</v>
      </c>
      <c r="G1506" s="6">
        <v>0</v>
      </c>
      <c r="H1506" s="6">
        <v>35.9</v>
      </c>
      <c r="I1506" s="6">
        <v>0</v>
      </c>
      <c r="J1506" s="6">
        <v>0</v>
      </c>
    </row>
    <row r="1507" spans="2:10" outlineLevel="1" x14ac:dyDescent="0.25">
      <c r="B1507" s="3" t="s">
        <v>1234</v>
      </c>
      <c r="C1507" s="3" t="s">
        <v>1235</v>
      </c>
      <c r="D1507" s="3" t="s">
        <v>1236</v>
      </c>
      <c r="E1507" s="3" t="s">
        <v>156</v>
      </c>
      <c r="F1507" s="3" t="s">
        <v>1248</v>
      </c>
      <c r="G1507" s="6">
        <v>0</v>
      </c>
      <c r="H1507" s="6">
        <v>27.9</v>
      </c>
      <c r="I1507" s="6">
        <v>0</v>
      </c>
      <c r="J1507" s="6">
        <v>0</v>
      </c>
    </row>
    <row r="1508" spans="2:10" outlineLevel="1" x14ac:dyDescent="0.25">
      <c r="B1508" s="3" t="s">
        <v>1234</v>
      </c>
      <c r="C1508" s="3" t="s">
        <v>1235</v>
      </c>
      <c r="D1508" s="3" t="s">
        <v>1236</v>
      </c>
      <c r="E1508" s="3" t="s">
        <v>1249</v>
      </c>
      <c r="F1508" s="3" t="s">
        <v>1250</v>
      </c>
      <c r="G1508" s="6">
        <v>0</v>
      </c>
      <c r="H1508" s="6">
        <v>63</v>
      </c>
      <c r="I1508" s="6">
        <v>0</v>
      </c>
      <c r="J1508" s="6">
        <v>0</v>
      </c>
    </row>
    <row r="1509" spans="2:10" outlineLevel="1" x14ac:dyDescent="0.25">
      <c r="B1509" s="3" t="s">
        <v>1234</v>
      </c>
      <c r="C1509" s="3" t="s">
        <v>1235</v>
      </c>
      <c r="D1509" s="3" t="s">
        <v>1236</v>
      </c>
      <c r="E1509" s="3" t="s">
        <v>1251</v>
      </c>
      <c r="F1509" s="3" t="s">
        <v>1252</v>
      </c>
      <c r="G1509" s="6">
        <v>0</v>
      </c>
      <c r="H1509" s="6">
        <v>121</v>
      </c>
      <c r="I1509" s="6">
        <v>0</v>
      </c>
      <c r="J1509" s="6">
        <v>0</v>
      </c>
    </row>
    <row r="1510" spans="2:10" outlineLevel="1" x14ac:dyDescent="0.25">
      <c r="B1510" s="3" t="s">
        <v>1234</v>
      </c>
      <c r="C1510" s="3" t="s">
        <v>1235</v>
      </c>
      <c r="D1510" s="3" t="s">
        <v>1236</v>
      </c>
      <c r="E1510" s="3" t="s">
        <v>1253</v>
      </c>
      <c r="F1510" s="3" t="s">
        <v>1254</v>
      </c>
      <c r="G1510" s="6">
        <v>0</v>
      </c>
      <c r="H1510" s="6">
        <v>75</v>
      </c>
      <c r="I1510" s="6">
        <v>0</v>
      </c>
      <c r="J1510" s="6">
        <v>0</v>
      </c>
    </row>
    <row r="1511" spans="2:10" outlineLevel="1" x14ac:dyDescent="0.25">
      <c r="B1511" s="3" t="s">
        <v>1234</v>
      </c>
      <c r="C1511" s="3" t="s">
        <v>1235</v>
      </c>
      <c r="D1511" s="3" t="s">
        <v>1236</v>
      </c>
      <c r="E1511" s="3" t="s">
        <v>1255</v>
      </c>
      <c r="F1511" s="3" t="s">
        <v>1256</v>
      </c>
      <c r="G1511" s="6">
        <v>0</v>
      </c>
      <c r="H1511" s="3"/>
      <c r="I1511" s="6">
        <v>0</v>
      </c>
      <c r="J1511" s="6">
        <v>0</v>
      </c>
    </row>
    <row r="1512" spans="2:10" outlineLevel="1" x14ac:dyDescent="0.25">
      <c r="B1512" s="3" t="s">
        <v>1234</v>
      </c>
      <c r="C1512" s="3" t="s">
        <v>1235</v>
      </c>
      <c r="D1512" s="3" t="s">
        <v>1236</v>
      </c>
      <c r="E1512" s="3" t="s">
        <v>1257</v>
      </c>
      <c r="F1512" s="3" t="s">
        <v>1258</v>
      </c>
      <c r="G1512" s="6">
        <v>0</v>
      </c>
      <c r="H1512" s="3"/>
      <c r="I1512" s="6">
        <v>0</v>
      </c>
      <c r="J1512" s="6">
        <v>0</v>
      </c>
    </row>
    <row r="1513" spans="2:10" outlineLevel="1" x14ac:dyDescent="0.25">
      <c r="B1513" s="3" t="s">
        <v>1234</v>
      </c>
      <c r="C1513" s="3" t="s">
        <v>1235</v>
      </c>
      <c r="D1513" s="3" t="s">
        <v>1236</v>
      </c>
      <c r="E1513" s="3" t="s">
        <v>160</v>
      </c>
      <c r="F1513" s="3" t="s">
        <v>1259</v>
      </c>
      <c r="G1513" s="6">
        <v>0</v>
      </c>
      <c r="H1513" s="6">
        <v>75.5</v>
      </c>
      <c r="I1513" s="6">
        <v>0</v>
      </c>
      <c r="J1513" s="6">
        <v>0</v>
      </c>
    </row>
    <row r="1514" spans="2:10" outlineLevel="1" x14ac:dyDescent="0.25">
      <c r="B1514" s="3" t="s">
        <v>1234</v>
      </c>
      <c r="C1514" s="3" t="s">
        <v>1235</v>
      </c>
      <c r="D1514" s="3" t="s">
        <v>1236</v>
      </c>
      <c r="E1514" s="3" t="s">
        <v>162</v>
      </c>
      <c r="F1514" s="3" t="s">
        <v>1260</v>
      </c>
      <c r="G1514" s="6">
        <v>0</v>
      </c>
      <c r="H1514" s="6">
        <v>48.5</v>
      </c>
      <c r="I1514" s="6">
        <v>0</v>
      </c>
      <c r="J1514" s="6">
        <v>0</v>
      </c>
    </row>
    <row r="1515" spans="2:10" outlineLevel="1" x14ac:dyDescent="0.25">
      <c r="B1515" s="3" t="s">
        <v>1234</v>
      </c>
      <c r="C1515" s="3" t="s">
        <v>1235</v>
      </c>
      <c r="D1515" s="3" t="s">
        <v>1236</v>
      </c>
      <c r="E1515" s="3" t="s">
        <v>164</v>
      </c>
      <c r="F1515" s="3" t="s">
        <v>1261</v>
      </c>
      <c r="G1515" s="6">
        <v>0</v>
      </c>
      <c r="H1515" s="6">
        <v>66.5</v>
      </c>
      <c r="I1515" s="6">
        <v>0</v>
      </c>
      <c r="J1515" s="6">
        <v>0</v>
      </c>
    </row>
    <row r="1516" spans="2:10" outlineLevel="1" x14ac:dyDescent="0.25">
      <c r="B1516" s="3" t="s">
        <v>1234</v>
      </c>
      <c r="C1516" s="3" t="s">
        <v>1235</v>
      </c>
      <c r="D1516" s="3" t="s">
        <v>1236</v>
      </c>
      <c r="E1516" s="3" t="s">
        <v>166</v>
      </c>
      <c r="F1516" s="3" t="s">
        <v>1262</v>
      </c>
      <c r="G1516" s="6">
        <v>0</v>
      </c>
      <c r="H1516" s="6">
        <v>20.170000000000002</v>
      </c>
      <c r="I1516" s="6">
        <v>0</v>
      </c>
      <c r="J1516" s="6">
        <v>0</v>
      </c>
    </row>
    <row r="1517" spans="2:10" outlineLevel="1" x14ac:dyDescent="0.25">
      <c r="B1517" s="3" t="s">
        <v>1234</v>
      </c>
      <c r="C1517" s="3" t="s">
        <v>1235</v>
      </c>
      <c r="D1517" s="3" t="s">
        <v>1236</v>
      </c>
      <c r="E1517" s="3" t="s">
        <v>170</v>
      </c>
      <c r="F1517" s="3" t="s">
        <v>1263</v>
      </c>
      <c r="G1517" s="6">
        <v>0</v>
      </c>
      <c r="H1517" s="3"/>
      <c r="I1517" s="6">
        <v>0</v>
      </c>
      <c r="J1517" s="6">
        <v>0</v>
      </c>
    </row>
    <row r="1518" spans="2:10" outlineLevel="1" x14ac:dyDescent="0.25">
      <c r="B1518" s="3" t="s">
        <v>1234</v>
      </c>
      <c r="C1518" s="3" t="s">
        <v>1235</v>
      </c>
      <c r="D1518" s="3" t="s">
        <v>1236</v>
      </c>
      <c r="E1518" s="3" t="s">
        <v>174</v>
      </c>
      <c r="F1518" s="3" t="s">
        <v>1264</v>
      </c>
      <c r="G1518" s="6">
        <v>0</v>
      </c>
      <c r="H1518" s="3"/>
      <c r="I1518" s="6">
        <v>0</v>
      </c>
      <c r="J1518" s="6">
        <v>0</v>
      </c>
    </row>
    <row r="1519" spans="2:10" outlineLevel="1" x14ac:dyDescent="0.25">
      <c r="B1519" s="3" t="s">
        <v>1234</v>
      </c>
      <c r="C1519" s="3" t="s">
        <v>1235</v>
      </c>
      <c r="D1519" s="3" t="s">
        <v>1236</v>
      </c>
      <c r="E1519" s="3" t="s">
        <v>268</v>
      </c>
      <c r="F1519" s="3" t="s">
        <v>1265</v>
      </c>
      <c r="G1519" s="6">
        <v>0</v>
      </c>
      <c r="H1519" s="3"/>
      <c r="I1519" s="6">
        <v>0</v>
      </c>
      <c r="J1519" s="6">
        <v>0</v>
      </c>
    </row>
    <row r="1520" spans="2:10" outlineLevel="1" x14ac:dyDescent="0.25">
      <c r="B1520" s="3" t="s">
        <v>1234</v>
      </c>
      <c r="C1520" s="3" t="s">
        <v>1235</v>
      </c>
      <c r="D1520" s="3" t="s">
        <v>1236</v>
      </c>
      <c r="E1520" s="3" t="s">
        <v>270</v>
      </c>
      <c r="F1520" s="3" t="s">
        <v>1266</v>
      </c>
      <c r="G1520" s="6">
        <v>0</v>
      </c>
      <c r="H1520" s="3"/>
      <c r="I1520" s="6">
        <v>0</v>
      </c>
      <c r="J1520" s="6">
        <v>0</v>
      </c>
    </row>
    <row r="1521" spans="2:10" outlineLevel="1" x14ac:dyDescent="0.25">
      <c r="B1521" s="3" t="s">
        <v>1234</v>
      </c>
      <c r="C1521" s="3" t="s">
        <v>1235</v>
      </c>
      <c r="D1521" s="3" t="s">
        <v>1236</v>
      </c>
      <c r="E1521" s="3" t="s">
        <v>234</v>
      </c>
      <c r="F1521" s="3" t="s">
        <v>1267</v>
      </c>
      <c r="G1521" s="6">
        <v>0</v>
      </c>
      <c r="H1521" s="6">
        <v>38</v>
      </c>
      <c r="I1521" s="6">
        <v>0</v>
      </c>
      <c r="J1521" s="6">
        <v>0</v>
      </c>
    </row>
    <row r="1522" spans="2:10" outlineLevel="1" x14ac:dyDescent="0.25">
      <c r="B1522" s="3" t="s">
        <v>1234</v>
      </c>
      <c r="C1522" s="3" t="s">
        <v>1235</v>
      </c>
      <c r="D1522" s="3" t="s">
        <v>1236</v>
      </c>
      <c r="E1522" s="3" t="s">
        <v>1190</v>
      </c>
      <c r="F1522" s="3" t="s">
        <v>1268</v>
      </c>
      <c r="G1522" s="6">
        <v>0</v>
      </c>
      <c r="H1522" s="6">
        <v>10.68</v>
      </c>
      <c r="I1522" s="6">
        <v>0</v>
      </c>
      <c r="J1522" s="6">
        <v>0</v>
      </c>
    </row>
    <row r="1523" spans="2:10" outlineLevel="1" x14ac:dyDescent="0.25">
      <c r="B1523" s="3" t="s">
        <v>1234</v>
      </c>
      <c r="C1523" s="3" t="s">
        <v>1235</v>
      </c>
      <c r="D1523" s="3" t="s">
        <v>1236</v>
      </c>
      <c r="E1523" s="3" t="s">
        <v>260</v>
      </c>
      <c r="F1523" s="3" t="s">
        <v>1269</v>
      </c>
      <c r="G1523" s="6">
        <v>0</v>
      </c>
      <c r="H1523" s="6">
        <v>30</v>
      </c>
      <c r="I1523" s="6">
        <v>0</v>
      </c>
      <c r="J1523" s="6">
        <v>0</v>
      </c>
    </row>
    <row r="1524" spans="2:10" outlineLevel="1" x14ac:dyDescent="0.25">
      <c r="B1524" s="3" t="s">
        <v>1234</v>
      </c>
      <c r="C1524" s="3" t="s">
        <v>1235</v>
      </c>
      <c r="D1524" s="3" t="s">
        <v>1236</v>
      </c>
      <c r="E1524" s="3" t="s">
        <v>261</v>
      </c>
      <c r="F1524" s="3" t="s">
        <v>1270</v>
      </c>
      <c r="G1524" s="6">
        <v>0</v>
      </c>
      <c r="H1524" s="6">
        <v>36</v>
      </c>
      <c r="I1524" s="6">
        <v>0</v>
      </c>
      <c r="J1524" s="6">
        <v>0</v>
      </c>
    </row>
    <row r="1525" spans="2:10" outlineLevel="1" x14ac:dyDescent="0.25">
      <c r="B1525" s="3" t="s">
        <v>1234</v>
      </c>
      <c r="C1525" s="3" t="s">
        <v>1235</v>
      </c>
      <c r="D1525" s="3" t="s">
        <v>1236</v>
      </c>
      <c r="E1525" s="3" t="s">
        <v>262</v>
      </c>
      <c r="F1525" s="3" t="s">
        <v>1271</v>
      </c>
      <c r="G1525" s="6">
        <v>0</v>
      </c>
      <c r="H1525" s="6">
        <v>36</v>
      </c>
      <c r="I1525" s="6">
        <v>0</v>
      </c>
      <c r="J1525" s="6">
        <v>0</v>
      </c>
    </row>
    <row r="1526" spans="2:10" outlineLevel="1" x14ac:dyDescent="0.25">
      <c r="B1526" s="3" t="s">
        <v>1234</v>
      </c>
      <c r="C1526" s="3" t="s">
        <v>1235</v>
      </c>
      <c r="D1526" s="3" t="s">
        <v>1236</v>
      </c>
      <c r="E1526" s="3" t="s">
        <v>263</v>
      </c>
      <c r="F1526" s="3" t="s">
        <v>1272</v>
      </c>
      <c r="G1526" s="6">
        <v>0</v>
      </c>
      <c r="H1526" s="6">
        <v>36</v>
      </c>
      <c r="I1526" s="6">
        <v>0</v>
      </c>
      <c r="J1526" s="6">
        <v>0</v>
      </c>
    </row>
    <row r="1527" spans="2:10" outlineLevel="1" x14ac:dyDescent="0.25">
      <c r="B1527" s="3" t="s">
        <v>1234</v>
      </c>
      <c r="C1527" s="3" t="s">
        <v>1235</v>
      </c>
      <c r="D1527" s="3" t="s">
        <v>1236</v>
      </c>
      <c r="E1527" s="3" t="s">
        <v>264</v>
      </c>
      <c r="F1527" s="3" t="s">
        <v>1273</v>
      </c>
      <c r="G1527" s="6">
        <v>0</v>
      </c>
      <c r="H1527" s="6">
        <v>36</v>
      </c>
      <c r="I1527" s="6">
        <v>0</v>
      </c>
      <c r="J1527" s="6">
        <v>0</v>
      </c>
    </row>
    <row r="1528" spans="2:10" outlineLevel="1" x14ac:dyDescent="0.25">
      <c r="B1528" s="3" t="s">
        <v>1234</v>
      </c>
      <c r="C1528" s="3" t="s">
        <v>1235</v>
      </c>
      <c r="D1528" s="3" t="s">
        <v>1236</v>
      </c>
      <c r="E1528" s="3" t="s">
        <v>179</v>
      </c>
      <c r="F1528" s="3" t="s">
        <v>1274</v>
      </c>
      <c r="G1528" s="6">
        <v>0</v>
      </c>
      <c r="H1528" s="6">
        <v>56</v>
      </c>
      <c r="I1528" s="6">
        <v>0</v>
      </c>
      <c r="J1528" s="6">
        <v>0</v>
      </c>
    </row>
    <row r="1529" spans="2:10" outlineLevel="1" x14ac:dyDescent="0.25">
      <c r="B1529" s="3" t="s">
        <v>1234</v>
      </c>
      <c r="C1529" s="3" t="s">
        <v>1235</v>
      </c>
      <c r="D1529" s="3" t="s">
        <v>1236</v>
      </c>
      <c r="E1529" s="3" t="s">
        <v>181</v>
      </c>
      <c r="F1529" s="3" t="s">
        <v>1275</v>
      </c>
      <c r="G1529" s="6">
        <v>0</v>
      </c>
      <c r="H1529" s="3"/>
      <c r="I1529" s="6">
        <v>0</v>
      </c>
      <c r="J1529" s="6">
        <v>0</v>
      </c>
    </row>
    <row r="1530" spans="2:10" outlineLevel="1" x14ac:dyDescent="0.25">
      <c r="B1530" s="3" t="s">
        <v>1234</v>
      </c>
      <c r="C1530" s="3" t="s">
        <v>1235</v>
      </c>
      <c r="D1530" s="3" t="s">
        <v>1236</v>
      </c>
      <c r="E1530" s="3" t="s">
        <v>183</v>
      </c>
      <c r="F1530" s="3" t="s">
        <v>1276</v>
      </c>
      <c r="G1530" s="6">
        <v>0</v>
      </c>
      <c r="H1530" s="6">
        <v>79.5</v>
      </c>
      <c r="I1530" s="6">
        <v>0</v>
      </c>
      <c r="J1530" s="6">
        <v>0</v>
      </c>
    </row>
    <row r="1531" spans="2:10" outlineLevel="1" x14ac:dyDescent="0.25">
      <c r="B1531" s="3" t="s">
        <v>1234</v>
      </c>
      <c r="C1531" s="3" t="s">
        <v>1235</v>
      </c>
      <c r="D1531" s="3" t="s">
        <v>1236</v>
      </c>
      <c r="E1531" s="3" t="s">
        <v>185</v>
      </c>
      <c r="F1531" s="3" t="s">
        <v>1277</v>
      </c>
      <c r="G1531" s="6">
        <v>0</v>
      </c>
      <c r="H1531" s="6">
        <v>44</v>
      </c>
      <c r="I1531" s="6">
        <v>0</v>
      </c>
      <c r="J1531" s="6">
        <v>0</v>
      </c>
    </row>
    <row r="1532" spans="2:10" outlineLevel="1" x14ac:dyDescent="0.25">
      <c r="B1532" s="3" t="s">
        <v>1234</v>
      </c>
      <c r="C1532" s="3" t="s">
        <v>1235</v>
      </c>
      <c r="D1532" s="3" t="s">
        <v>1236</v>
      </c>
      <c r="E1532" s="3" t="s">
        <v>187</v>
      </c>
      <c r="F1532" s="3" t="s">
        <v>1278</v>
      </c>
      <c r="G1532" s="6">
        <v>0</v>
      </c>
      <c r="H1532" s="6">
        <v>62.77</v>
      </c>
      <c r="I1532" s="6">
        <v>0</v>
      </c>
      <c r="J1532" s="6">
        <v>0</v>
      </c>
    </row>
    <row r="1533" spans="2:10" outlineLevel="1" x14ac:dyDescent="0.25">
      <c r="B1533" s="3" t="s">
        <v>1234</v>
      </c>
      <c r="C1533" s="3" t="s">
        <v>1235</v>
      </c>
      <c r="D1533" s="3" t="s">
        <v>1236</v>
      </c>
      <c r="E1533" s="3" t="s">
        <v>190</v>
      </c>
      <c r="F1533" s="3" t="s">
        <v>1279</v>
      </c>
      <c r="G1533" s="6">
        <v>0</v>
      </c>
      <c r="H1533" s="6">
        <v>42.74</v>
      </c>
      <c r="I1533" s="6">
        <v>0</v>
      </c>
      <c r="J1533" s="6">
        <v>0</v>
      </c>
    </row>
    <row r="1534" spans="2:10" outlineLevel="1" x14ac:dyDescent="0.25">
      <c r="B1534" s="3" t="s">
        <v>1234</v>
      </c>
      <c r="C1534" s="3" t="s">
        <v>1235</v>
      </c>
      <c r="D1534" s="3" t="s">
        <v>1236</v>
      </c>
      <c r="E1534" s="3" t="s">
        <v>192</v>
      </c>
      <c r="F1534" s="3" t="s">
        <v>1280</v>
      </c>
      <c r="G1534" s="6">
        <v>0</v>
      </c>
      <c r="H1534" s="6">
        <v>25</v>
      </c>
      <c r="I1534" s="6">
        <v>0</v>
      </c>
      <c r="J1534" s="6">
        <v>0</v>
      </c>
    </row>
    <row r="1535" spans="2:10" outlineLevel="1" x14ac:dyDescent="0.25">
      <c r="B1535" s="3" t="s">
        <v>1234</v>
      </c>
      <c r="C1535" s="3" t="s">
        <v>1235</v>
      </c>
      <c r="D1535" s="3" t="s">
        <v>1236</v>
      </c>
      <c r="E1535" s="3" t="s">
        <v>194</v>
      </c>
      <c r="F1535" s="3" t="s">
        <v>1281</v>
      </c>
      <c r="G1535" s="6">
        <v>0</v>
      </c>
      <c r="H1535" s="6">
        <v>29.9</v>
      </c>
      <c r="I1535" s="6">
        <v>0</v>
      </c>
      <c r="J1535" s="6">
        <v>0</v>
      </c>
    </row>
    <row r="1536" spans="2:10" outlineLevel="1" x14ac:dyDescent="0.25">
      <c r="B1536" s="3" t="s">
        <v>1234</v>
      </c>
      <c r="C1536" s="3" t="s">
        <v>1235</v>
      </c>
      <c r="D1536" s="3" t="s">
        <v>1236</v>
      </c>
      <c r="E1536" s="3" t="s">
        <v>1282</v>
      </c>
      <c r="F1536" s="3" t="s">
        <v>1283</v>
      </c>
      <c r="G1536" s="6">
        <v>0</v>
      </c>
      <c r="H1536" s="3"/>
      <c r="I1536" s="6">
        <v>0</v>
      </c>
      <c r="J1536" s="6">
        <v>0</v>
      </c>
    </row>
    <row r="1537" spans="2:10" outlineLevel="1" x14ac:dyDescent="0.25">
      <c r="B1537" s="3" t="s">
        <v>1234</v>
      </c>
      <c r="C1537" s="3" t="s">
        <v>1235</v>
      </c>
      <c r="D1537" s="3" t="s">
        <v>1236</v>
      </c>
      <c r="E1537" s="3" t="s">
        <v>241</v>
      </c>
      <c r="F1537" s="3" t="s">
        <v>1284</v>
      </c>
      <c r="G1537" s="6">
        <v>0</v>
      </c>
      <c r="H1537" s="6">
        <v>0</v>
      </c>
      <c r="I1537" s="6">
        <v>0</v>
      </c>
      <c r="J1537" s="6">
        <v>0</v>
      </c>
    </row>
    <row r="1538" spans="2:10" outlineLevel="1" x14ac:dyDescent="0.25">
      <c r="B1538" s="3" t="s">
        <v>1234</v>
      </c>
      <c r="C1538" s="3" t="s">
        <v>1235</v>
      </c>
      <c r="D1538" s="3" t="s">
        <v>1236</v>
      </c>
      <c r="E1538" s="3" t="s">
        <v>239</v>
      </c>
      <c r="F1538" s="3" t="s">
        <v>1285</v>
      </c>
      <c r="G1538" s="6">
        <v>0</v>
      </c>
      <c r="H1538" s="6">
        <v>0</v>
      </c>
      <c r="I1538" s="6">
        <v>0</v>
      </c>
      <c r="J1538" s="6">
        <v>0</v>
      </c>
    </row>
    <row r="1539" spans="2:10" outlineLevel="1" x14ac:dyDescent="0.25">
      <c r="B1539" s="3" t="s">
        <v>1234</v>
      </c>
      <c r="C1539" s="3" t="s">
        <v>1235</v>
      </c>
      <c r="D1539" s="3" t="s">
        <v>1236</v>
      </c>
      <c r="E1539" s="3" t="s">
        <v>242</v>
      </c>
      <c r="F1539" s="3" t="s">
        <v>1286</v>
      </c>
      <c r="G1539" s="6">
        <v>0</v>
      </c>
      <c r="H1539" s="6">
        <v>0</v>
      </c>
      <c r="I1539" s="6">
        <v>0</v>
      </c>
      <c r="J1539" s="6">
        <v>0</v>
      </c>
    </row>
    <row r="1540" spans="2:10" outlineLevel="1" x14ac:dyDescent="0.25">
      <c r="B1540" s="3" t="s">
        <v>1234</v>
      </c>
      <c r="C1540" s="3" t="s">
        <v>1235</v>
      </c>
      <c r="D1540" s="3" t="s">
        <v>1236</v>
      </c>
      <c r="E1540" s="3" t="s">
        <v>240</v>
      </c>
      <c r="F1540" s="3" t="s">
        <v>1287</v>
      </c>
      <c r="G1540" s="6">
        <v>0</v>
      </c>
      <c r="H1540" s="6">
        <v>0</v>
      </c>
      <c r="I1540" s="6">
        <v>0</v>
      </c>
      <c r="J1540" s="6">
        <v>0</v>
      </c>
    </row>
    <row r="1541" spans="2:10" outlineLevel="1" x14ac:dyDescent="0.25">
      <c r="B1541" s="3" t="s">
        <v>1234</v>
      </c>
      <c r="C1541" s="3" t="s">
        <v>1235</v>
      </c>
      <c r="D1541" s="3" t="s">
        <v>1236</v>
      </c>
      <c r="E1541" s="3" t="s">
        <v>244</v>
      </c>
      <c r="F1541" s="3" t="s">
        <v>1288</v>
      </c>
      <c r="G1541" s="6">
        <v>0</v>
      </c>
      <c r="H1541" s="6">
        <v>0</v>
      </c>
      <c r="I1541" s="6">
        <v>0</v>
      </c>
      <c r="J1541" s="6">
        <v>0</v>
      </c>
    </row>
    <row r="1542" spans="2:10" outlineLevel="1" x14ac:dyDescent="0.25">
      <c r="B1542" s="3" t="s">
        <v>1234</v>
      </c>
      <c r="C1542" s="3" t="s">
        <v>1235</v>
      </c>
      <c r="D1542" s="3" t="s">
        <v>1236</v>
      </c>
      <c r="E1542" s="3" t="s">
        <v>243</v>
      </c>
      <c r="F1542" s="3" t="s">
        <v>1289</v>
      </c>
      <c r="G1542" s="6">
        <v>0</v>
      </c>
      <c r="H1542" s="6">
        <v>0</v>
      </c>
      <c r="I1542" s="6">
        <v>0</v>
      </c>
      <c r="J1542" s="6">
        <v>0</v>
      </c>
    </row>
    <row r="1543" spans="2:10" outlineLevel="1" x14ac:dyDescent="0.25">
      <c r="B1543" s="3" t="s">
        <v>1234</v>
      </c>
      <c r="C1543" s="3" t="s">
        <v>1235</v>
      </c>
      <c r="D1543" s="3" t="s">
        <v>1236</v>
      </c>
      <c r="E1543" s="3" t="s">
        <v>245</v>
      </c>
      <c r="F1543" s="3" t="s">
        <v>1290</v>
      </c>
      <c r="G1543" s="6">
        <v>0</v>
      </c>
      <c r="H1543" s="6">
        <v>0</v>
      </c>
      <c r="I1543" s="6">
        <v>0</v>
      </c>
      <c r="J1543" s="6">
        <v>0</v>
      </c>
    </row>
    <row r="1544" spans="2:10" outlineLevel="1" x14ac:dyDescent="0.25">
      <c r="B1544" s="3" t="s">
        <v>1234</v>
      </c>
      <c r="C1544" s="3" t="s">
        <v>1235</v>
      </c>
      <c r="D1544" s="3" t="s">
        <v>1236</v>
      </c>
      <c r="E1544" s="3" t="s">
        <v>603</v>
      </c>
      <c r="F1544" s="3" t="s">
        <v>1291</v>
      </c>
      <c r="G1544" s="6">
        <v>0</v>
      </c>
      <c r="H1544" s="6">
        <v>6.25</v>
      </c>
      <c r="I1544" s="6">
        <v>0</v>
      </c>
      <c r="J1544" s="6">
        <v>0</v>
      </c>
    </row>
    <row r="1545" spans="2:10" outlineLevel="1" x14ac:dyDescent="0.25">
      <c r="B1545" s="3" t="s">
        <v>1234</v>
      </c>
      <c r="C1545" s="3" t="s">
        <v>1235</v>
      </c>
      <c r="D1545" s="3" t="s">
        <v>1236</v>
      </c>
      <c r="E1545" s="3" t="s">
        <v>604</v>
      </c>
      <c r="F1545" s="3" t="s">
        <v>1292</v>
      </c>
      <c r="G1545" s="6">
        <v>0</v>
      </c>
      <c r="H1545" s="6">
        <v>5</v>
      </c>
      <c r="I1545" s="6">
        <v>0</v>
      </c>
      <c r="J1545" s="6">
        <v>0</v>
      </c>
    </row>
    <row r="1546" spans="2:10" outlineLevel="1" x14ac:dyDescent="0.25">
      <c r="B1546" s="3" t="s">
        <v>1234</v>
      </c>
      <c r="C1546" s="3" t="s">
        <v>1235</v>
      </c>
      <c r="D1546" s="3" t="s">
        <v>1236</v>
      </c>
      <c r="E1546" s="3" t="s">
        <v>1232</v>
      </c>
      <c r="F1546" s="3" t="s">
        <v>1293</v>
      </c>
      <c r="G1546" s="6">
        <v>0</v>
      </c>
      <c r="H1546" s="6">
        <v>10.68</v>
      </c>
      <c r="I1546" s="6">
        <v>0</v>
      </c>
      <c r="J1546" s="6">
        <v>0</v>
      </c>
    </row>
    <row r="1547" spans="2:10" outlineLevel="1" x14ac:dyDescent="0.25">
      <c r="B1547" s="3" t="s">
        <v>1234</v>
      </c>
      <c r="C1547" s="3" t="s">
        <v>1235</v>
      </c>
      <c r="D1547" s="3" t="s">
        <v>1236</v>
      </c>
      <c r="E1547" s="3" t="s">
        <v>650</v>
      </c>
      <c r="F1547" s="3" t="s">
        <v>1294</v>
      </c>
      <c r="G1547" s="6">
        <v>0</v>
      </c>
      <c r="H1547" s="3"/>
      <c r="I1547" s="6">
        <v>0</v>
      </c>
      <c r="J1547" s="6">
        <v>0</v>
      </c>
    </row>
    <row r="1548" spans="2:10" outlineLevel="1" x14ac:dyDescent="0.25">
      <c r="B1548" s="3" t="s">
        <v>1234</v>
      </c>
      <c r="C1548" s="3" t="s">
        <v>1235</v>
      </c>
      <c r="D1548" s="3" t="s">
        <v>1236</v>
      </c>
      <c r="E1548" s="3" t="s">
        <v>645</v>
      </c>
      <c r="F1548" s="3" t="s">
        <v>1295</v>
      </c>
      <c r="G1548" s="6">
        <v>0</v>
      </c>
      <c r="H1548" s="6">
        <v>75.599999999999994</v>
      </c>
      <c r="I1548" s="6">
        <v>0</v>
      </c>
      <c r="J1548" s="6">
        <v>0</v>
      </c>
    </row>
    <row r="1549" spans="2:10" outlineLevel="1" x14ac:dyDescent="0.25">
      <c r="B1549" s="3" t="s">
        <v>1234</v>
      </c>
      <c r="C1549" s="3" t="s">
        <v>1235</v>
      </c>
      <c r="D1549" s="3" t="s">
        <v>1236</v>
      </c>
      <c r="E1549" s="3" t="s">
        <v>205</v>
      </c>
      <c r="F1549" s="3" t="s">
        <v>1296</v>
      </c>
      <c r="G1549" s="6">
        <v>0</v>
      </c>
      <c r="H1549" s="6">
        <v>0</v>
      </c>
      <c r="I1549" s="6">
        <v>0</v>
      </c>
      <c r="J1549" s="6">
        <v>0</v>
      </c>
    </row>
    <row r="1550" spans="2:10" outlineLevel="1" x14ac:dyDescent="0.25">
      <c r="B1550" s="3" t="s">
        <v>1234</v>
      </c>
      <c r="C1550" s="3" t="s">
        <v>1235</v>
      </c>
      <c r="D1550" s="3" t="s">
        <v>1236</v>
      </c>
      <c r="E1550" s="3" t="s">
        <v>386</v>
      </c>
      <c r="F1550" s="3" t="s">
        <v>1297</v>
      </c>
      <c r="G1550" s="6">
        <v>0</v>
      </c>
      <c r="H1550" s="6">
        <v>0</v>
      </c>
      <c r="I1550" s="6">
        <v>0</v>
      </c>
      <c r="J1550" s="6">
        <v>0</v>
      </c>
    </row>
    <row r="1551" spans="2:10" outlineLevel="1" x14ac:dyDescent="0.25">
      <c r="B1551" s="3" t="s">
        <v>1234</v>
      </c>
      <c r="C1551" s="3" t="s">
        <v>1235</v>
      </c>
      <c r="D1551" s="3" t="s">
        <v>1236</v>
      </c>
      <c r="E1551" s="3" t="s">
        <v>414</v>
      </c>
      <c r="F1551" s="3" t="s">
        <v>1298</v>
      </c>
      <c r="G1551" s="6">
        <v>0</v>
      </c>
      <c r="H1551" s="6">
        <v>0</v>
      </c>
      <c r="I1551" s="6">
        <v>0</v>
      </c>
      <c r="J1551" s="6">
        <v>0</v>
      </c>
    </row>
    <row r="1552" spans="2:10" outlineLevel="1" x14ac:dyDescent="0.25">
      <c r="B1552" s="3" t="s">
        <v>1234</v>
      </c>
      <c r="C1552" s="3" t="s">
        <v>1235</v>
      </c>
      <c r="D1552" s="3" t="s">
        <v>1236</v>
      </c>
      <c r="E1552" s="3" t="s">
        <v>416</v>
      </c>
      <c r="F1552" s="3" t="s">
        <v>1299</v>
      </c>
      <c r="G1552" s="6">
        <v>0</v>
      </c>
      <c r="H1552" s="6">
        <v>0</v>
      </c>
      <c r="I1552" s="6">
        <v>0</v>
      </c>
      <c r="J1552" s="6">
        <v>0</v>
      </c>
    </row>
    <row r="1553" spans="2:10" outlineLevel="1" x14ac:dyDescent="0.25">
      <c r="B1553" s="3" t="s">
        <v>1234</v>
      </c>
      <c r="C1553" s="3" t="s">
        <v>1235</v>
      </c>
      <c r="D1553" s="3" t="s">
        <v>1236</v>
      </c>
      <c r="E1553" s="3" t="s">
        <v>1300</v>
      </c>
      <c r="F1553" s="3" t="s">
        <v>1301</v>
      </c>
      <c r="G1553" s="6">
        <v>0</v>
      </c>
      <c r="H1553" s="6">
        <v>0</v>
      </c>
      <c r="I1553" s="6">
        <v>0</v>
      </c>
      <c r="J1553" s="6">
        <v>0</v>
      </c>
    </row>
    <row r="1554" spans="2:10" outlineLevel="1" x14ac:dyDescent="0.25">
      <c r="B1554" s="3" t="s">
        <v>1234</v>
      </c>
      <c r="C1554" s="3" t="s">
        <v>1235</v>
      </c>
      <c r="D1554" s="3" t="s">
        <v>1236</v>
      </c>
      <c r="E1554" s="3" t="s">
        <v>211</v>
      </c>
      <c r="F1554" s="3" t="s">
        <v>1302</v>
      </c>
      <c r="G1554" s="6">
        <v>0</v>
      </c>
      <c r="H1554" s="6">
        <v>0</v>
      </c>
      <c r="I1554" s="6">
        <v>0</v>
      </c>
      <c r="J1554" s="6">
        <v>0</v>
      </c>
    </row>
    <row r="1555" spans="2:10" outlineLevel="1" x14ac:dyDescent="0.25">
      <c r="B1555" s="3" t="s">
        <v>1234</v>
      </c>
      <c r="C1555" s="3" t="s">
        <v>1235</v>
      </c>
      <c r="D1555" s="3" t="s">
        <v>1236</v>
      </c>
      <c r="E1555" s="3" t="s">
        <v>1303</v>
      </c>
      <c r="F1555" s="3" t="s">
        <v>1304</v>
      </c>
      <c r="G1555" s="6">
        <v>0</v>
      </c>
      <c r="H1555" s="6">
        <v>0</v>
      </c>
      <c r="I1555" s="6">
        <v>0</v>
      </c>
      <c r="J1555" s="6">
        <v>0</v>
      </c>
    </row>
    <row r="1556" spans="2:10" outlineLevel="1" x14ac:dyDescent="0.25">
      <c r="B1556" s="3" t="s">
        <v>1234</v>
      </c>
      <c r="C1556" s="3" t="s">
        <v>1235</v>
      </c>
      <c r="D1556" s="3" t="s">
        <v>1236</v>
      </c>
      <c r="E1556" s="3" t="s">
        <v>1305</v>
      </c>
      <c r="F1556" s="3" t="s">
        <v>1306</v>
      </c>
      <c r="G1556" s="6">
        <v>0</v>
      </c>
      <c r="H1556" s="6">
        <v>0</v>
      </c>
      <c r="I1556" s="6">
        <v>0</v>
      </c>
      <c r="J1556" s="6">
        <v>0</v>
      </c>
    </row>
    <row r="1557" spans="2:10" outlineLevel="1" x14ac:dyDescent="0.25">
      <c r="B1557" s="3" t="s">
        <v>1234</v>
      </c>
      <c r="C1557" s="3" t="s">
        <v>1235</v>
      </c>
      <c r="D1557" s="3" t="s">
        <v>1236</v>
      </c>
      <c r="E1557" s="3" t="s">
        <v>633</v>
      </c>
      <c r="F1557" s="3" t="s">
        <v>1307</v>
      </c>
      <c r="G1557" s="6">
        <v>0</v>
      </c>
      <c r="H1557" s="6">
        <v>0</v>
      </c>
      <c r="I1557" s="6">
        <v>0</v>
      </c>
      <c r="J1557" s="6">
        <v>0</v>
      </c>
    </row>
    <row r="1558" spans="2:10" outlineLevel="1" x14ac:dyDescent="0.25">
      <c r="B1558" s="3" t="s">
        <v>1234</v>
      </c>
      <c r="C1558" s="3" t="s">
        <v>1235</v>
      </c>
      <c r="D1558" s="3" t="s">
        <v>1236</v>
      </c>
      <c r="E1558" s="3" t="s">
        <v>306</v>
      </c>
      <c r="F1558" s="3" t="s">
        <v>1308</v>
      </c>
      <c r="G1558" s="6">
        <v>0</v>
      </c>
      <c r="H1558" s="6">
        <v>0</v>
      </c>
      <c r="I1558" s="6">
        <v>0</v>
      </c>
      <c r="J1558" s="6">
        <v>0</v>
      </c>
    </row>
    <row r="1559" spans="2:10" outlineLevel="1" x14ac:dyDescent="0.25">
      <c r="B1559" s="3" t="s">
        <v>1234</v>
      </c>
      <c r="C1559" s="3" t="s">
        <v>1235</v>
      </c>
      <c r="D1559" s="3" t="s">
        <v>1236</v>
      </c>
      <c r="E1559" s="3" t="s">
        <v>207</v>
      </c>
      <c r="F1559" s="3" t="s">
        <v>1309</v>
      </c>
      <c r="G1559" s="6">
        <v>0</v>
      </c>
      <c r="H1559" s="6">
        <v>0</v>
      </c>
      <c r="I1559" s="6">
        <v>0</v>
      </c>
      <c r="J1559" s="6">
        <v>0</v>
      </c>
    </row>
    <row r="1560" spans="2:10" outlineLevel="1" x14ac:dyDescent="0.25">
      <c r="B1560" s="3" t="s">
        <v>1234</v>
      </c>
      <c r="C1560" s="3" t="s">
        <v>1235</v>
      </c>
      <c r="D1560" s="3" t="s">
        <v>1236</v>
      </c>
      <c r="E1560" s="3" t="s">
        <v>1310</v>
      </c>
      <c r="F1560" s="3" t="s">
        <v>1311</v>
      </c>
      <c r="G1560" s="6">
        <v>0</v>
      </c>
      <c r="H1560" s="6">
        <v>0</v>
      </c>
      <c r="I1560" s="6">
        <v>0</v>
      </c>
      <c r="J1560" s="6">
        <v>0</v>
      </c>
    </row>
    <row r="1561" spans="2:10" outlineLevel="1" x14ac:dyDescent="0.25">
      <c r="B1561" s="3" t="s">
        <v>1234</v>
      </c>
      <c r="C1561" s="3" t="s">
        <v>1235</v>
      </c>
      <c r="D1561" s="3" t="s">
        <v>1236</v>
      </c>
      <c r="E1561" s="3" t="s">
        <v>384</v>
      </c>
      <c r="F1561" s="3" t="s">
        <v>1312</v>
      </c>
      <c r="G1561" s="6">
        <v>0</v>
      </c>
      <c r="H1561" s="6">
        <v>0</v>
      </c>
      <c r="I1561" s="6">
        <v>0</v>
      </c>
      <c r="J1561" s="6">
        <v>0</v>
      </c>
    </row>
    <row r="1562" spans="2:10" outlineLevel="1" x14ac:dyDescent="0.25">
      <c r="B1562" s="3" t="s">
        <v>1234</v>
      </c>
      <c r="C1562" s="3" t="s">
        <v>1235</v>
      </c>
      <c r="D1562" s="3" t="s">
        <v>1236</v>
      </c>
      <c r="E1562" s="3" t="s">
        <v>1313</v>
      </c>
      <c r="F1562" s="3" t="s">
        <v>1314</v>
      </c>
      <c r="G1562" s="6">
        <v>0</v>
      </c>
      <c r="H1562" s="6">
        <v>0</v>
      </c>
      <c r="I1562" s="6">
        <v>0</v>
      </c>
      <c r="J1562" s="6">
        <v>0</v>
      </c>
    </row>
    <row r="1563" spans="2:10" outlineLevel="1" x14ac:dyDescent="0.25">
      <c r="B1563" s="3" t="s">
        <v>1234</v>
      </c>
      <c r="C1563" s="3" t="s">
        <v>1235</v>
      </c>
      <c r="D1563" s="3" t="s">
        <v>1236</v>
      </c>
      <c r="E1563" s="3" t="s">
        <v>343</v>
      </c>
      <c r="F1563" s="3" t="s">
        <v>1315</v>
      </c>
      <c r="G1563" s="6">
        <v>0</v>
      </c>
      <c r="H1563" s="6">
        <v>0</v>
      </c>
      <c r="I1563" s="6">
        <v>0</v>
      </c>
      <c r="J1563" s="6">
        <v>0</v>
      </c>
    </row>
    <row r="1564" spans="2:10" outlineLevel="1" x14ac:dyDescent="0.25">
      <c r="B1564" s="3" t="s">
        <v>1234</v>
      </c>
      <c r="C1564" s="3" t="s">
        <v>1235</v>
      </c>
      <c r="D1564" s="3" t="s">
        <v>1236</v>
      </c>
      <c r="E1564" s="3" t="s">
        <v>203</v>
      </c>
      <c r="F1564" s="3" t="s">
        <v>1316</v>
      </c>
      <c r="G1564" s="6">
        <v>0</v>
      </c>
      <c r="H1564" s="6">
        <v>0</v>
      </c>
      <c r="I1564" s="6">
        <v>0</v>
      </c>
      <c r="J1564" s="6">
        <v>0</v>
      </c>
    </row>
    <row r="1565" spans="2:10" outlineLevel="1" x14ac:dyDescent="0.25">
      <c r="B1565" s="3" t="s">
        <v>1234</v>
      </c>
      <c r="C1565" s="3" t="s">
        <v>1235</v>
      </c>
      <c r="D1565" s="3" t="s">
        <v>1236</v>
      </c>
      <c r="E1565" s="3" t="s">
        <v>209</v>
      </c>
      <c r="F1565" s="3" t="s">
        <v>1317</v>
      </c>
      <c r="G1565" s="6">
        <v>0</v>
      </c>
      <c r="H1565" s="6">
        <v>0</v>
      </c>
      <c r="I1565" s="6">
        <v>0</v>
      </c>
      <c r="J1565" s="6">
        <v>0</v>
      </c>
    </row>
    <row r="1566" spans="2:10" outlineLevel="1" x14ac:dyDescent="0.25">
      <c r="B1566" s="3" t="s">
        <v>1234</v>
      </c>
      <c r="C1566" s="3" t="s">
        <v>1235</v>
      </c>
      <c r="D1566" s="3" t="s">
        <v>1236</v>
      </c>
      <c r="E1566" s="3" t="s">
        <v>1318</v>
      </c>
      <c r="F1566" s="3" t="s">
        <v>1319</v>
      </c>
      <c r="G1566" s="6">
        <v>0</v>
      </c>
      <c r="H1566" s="6">
        <v>0</v>
      </c>
      <c r="I1566" s="6">
        <v>0</v>
      </c>
      <c r="J1566" s="6">
        <v>0</v>
      </c>
    </row>
    <row r="1567" spans="2:10" outlineLevel="1" x14ac:dyDescent="0.25">
      <c r="B1567" s="3" t="s">
        <v>1234</v>
      </c>
      <c r="C1567" s="3" t="s">
        <v>1235</v>
      </c>
      <c r="D1567" s="3" t="s">
        <v>1236</v>
      </c>
      <c r="E1567" s="3" t="s">
        <v>1320</v>
      </c>
      <c r="F1567" s="3" t="s">
        <v>1321</v>
      </c>
      <c r="G1567" s="6">
        <v>0</v>
      </c>
      <c r="H1567" s="6">
        <v>0</v>
      </c>
      <c r="I1567" s="6">
        <v>0</v>
      </c>
      <c r="J1567" s="6">
        <v>0</v>
      </c>
    </row>
    <row r="1568" spans="2:10" outlineLevel="1" x14ac:dyDescent="0.25">
      <c r="B1568" s="3" t="s">
        <v>1234</v>
      </c>
      <c r="C1568" s="3" t="s">
        <v>1235</v>
      </c>
      <c r="D1568" s="3" t="s">
        <v>1236</v>
      </c>
      <c r="E1568" s="3" t="s">
        <v>1322</v>
      </c>
      <c r="F1568" s="3" t="s">
        <v>1323</v>
      </c>
      <c r="G1568" s="6">
        <v>0</v>
      </c>
      <c r="H1568" s="6">
        <v>0</v>
      </c>
      <c r="I1568" s="6">
        <v>0</v>
      </c>
      <c r="J1568" s="6">
        <v>0</v>
      </c>
    </row>
    <row r="1569" spans="2:10" outlineLevel="1" x14ac:dyDescent="0.25">
      <c r="B1569" s="3" t="s">
        <v>1234</v>
      </c>
      <c r="C1569" s="3" t="s">
        <v>1235</v>
      </c>
      <c r="D1569" s="3" t="s">
        <v>1236</v>
      </c>
      <c r="E1569" s="3" t="s">
        <v>1324</v>
      </c>
      <c r="F1569" s="3" t="s">
        <v>1325</v>
      </c>
      <c r="G1569" s="6">
        <v>0</v>
      </c>
      <c r="H1569" s="6">
        <v>0</v>
      </c>
      <c r="I1569" s="6">
        <v>0</v>
      </c>
      <c r="J1569" s="6">
        <v>0</v>
      </c>
    </row>
    <row r="1570" spans="2:10" outlineLevel="1" x14ac:dyDescent="0.25">
      <c r="B1570" s="3" t="s">
        <v>1234</v>
      </c>
      <c r="C1570" s="3" t="s">
        <v>1235</v>
      </c>
      <c r="D1570" s="3" t="s">
        <v>1236</v>
      </c>
      <c r="E1570" s="3" t="s">
        <v>1326</v>
      </c>
      <c r="F1570" s="3" t="s">
        <v>1327</v>
      </c>
      <c r="G1570" s="6">
        <v>0</v>
      </c>
      <c r="H1570" s="6">
        <v>0</v>
      </c>
      <c r="I1570" s="6">
        <v>0</v>
      </c>
      <c r="J1570" s="6">
        <v>0</v>
      </c>
    </row>
    <row r="1571" spans="2:10" outlineLevel="1" x14ac:dyDescent="0.25">
      <c r="B1571" s="3" t="s">
        <v>1234</v>
      </c>
      <c r="C1571" s="3" t="s">
        <v>1235</v>
      </c>
      <c r="D1571" s="3" t="s">
        <v>1236</v>
      </c>
      <c r="E1571" s="3" t="s">
        <v>1328</v>
      </c>
      <c r="F1571" s="3" t="s">
        <v>1329</v>
      </c>
      <c r="G1571" s="6">
        <v>0</v>
      </c>
      <c r="H1571" s="6">
        <v>0</v>
      </c>
      <c r="I1571" s="6">
        <v>0</v>
      </c>
      <c r="J1571" s="6">
        <v>0</v>
      </c>
    </row>
    <row r="1572" spans="2:10" outlineLevel="1" x14ac:dyDescent="0.25">
      <c r="B1572" s="3" t="s">
        <v>1234</v>
      </c>
      <c r="C1572" s="3" t="s">
        <v>1235</v>
      </c>
      <c r="D1572" s="3" t="s">
        <v>1236</v>
      </c>
      <c r="E1572" s="3" t="s">
        <v>1330</v>
      </c>
      <c r="F1572" s="3" t="s">
        <v>1331</v>
      </c>
      <c r="G1572" s="6">
        <v>0</v>
      </c>
      <c r="H1572" s="6">
        <v>0</v>
      </c>
      <c r="I1572" s="6">
        <v>0</v>
      </c>
      <c r="J1572" s="6">
        <v>0</v>
      </c>
    </row>
    <row r="1573" spans="2:10" outlineLevel="1" x14ac:dyDescent="0.25">
      <c r="B1573" s="3" t="s">
        <v>1234</v>
      </c>
      <c r="C1573" s="3" t="s">
        <v>1235</v>
      </c>
      <c r="D1573" s="3" t="s">
        <v>1236</v>
      </c>
      <c r="E1573" s="3" t="s">
        <v>394</v>
      </c>
      <c r="F1573" s="3" t="s">
        <v>1332</v>
      </c>
      <c r="G1573" s="6">
        <v>0</v>
      </c>
      <c r="H1573" s="6">
        <v>0</v>
      </c>
      <c r="I1573" s="6">
        <v>0</v>
      </c>
      <c r="J1573" s="6">
        <v>0</v>
      </c>
    </row>
    <row r="1574" spans="2:10" outlineLevel="1" x14ac:dyDescent="0.25">
      <c r="B1574" s="3" t="s">
        <v>1234</v>
      </c>
      <c r="C1574" s="3" t="s">
        <v>1235</v>
      </c>
      <c r="D1574" s="3" t="s">
        <v>1236</v>
      </c>
      <c r="E1574" s="3" t="s">
        <v>1333</v>
      </c>
      <c r="F1574" s="3" t="s">
        <v>1334</v>
      </c>
      <c r="G1574" s="6">
        <v>0</v>
      </c>
      <c r="H1574" s="6">
        <v>0</v>
      </c>
      <c r="I1574" s="6">
        <v>0</v>
      </c>
      <c r="J1574" s="6">
        <v>0</v>
      </c>
    </row>
    <row r="1575" spans="2:10" outlineLevel="1" x14ac:dyDescent="0.25">
      <c r="B1575" s="3" t="s">
        <v>1234</v>
      </c>
      <c r="C1575" s="3" t="s">
        <v>1235</v>
      </c>
      <c r="D1575" s="3" t="s">
        <v>1236</v>
      </c>
      <c r="E1575" s="3" t="s">
        <v>475</v>
      </c>
      <c r="F1575" s="3" t="s">
        <v>1335</v>
      </c>
      <c r="G1575" s="6">
        <v>0</v>
      </c>
      <c r="H1575" s="6">
        <v>0</v>
      </c>
      <c r="I1575" s="6">
        <v>0</v>
      </c>
      <c r="J1575" s="6">
        <v>0</v>
      </c>
    </row>
    <row r="1576" spans="2:10" outlineLevel="1" x14ac:dyDescent="0.25">
      <c r="B1576" s="3" t="s">
        <v>1234</v>
      </c>
      <c r="C1576" s="3" t="s">
        <v>1235</v>
      </c>
      <c r="D1576" s="3" t="s">
        <v>1236</v>
      </c>
      <c r="E1576" s="3" t="s">
        <v>477</v>
      </c>
      <c r="F1576" s="3" t="s">
        <v>1336</v>
      </c>
      <c r="G1576" s="6">
        <v>0</v>
      </c>
      <c r="H1576" s="6">
        <v>0</v>
      </c>
      <c r="I1576" s="6">
        <v>0</v>
      </c>
      <c r="J1576" s="6">
        <v>0</v>
      </c>
    </row>
    <row r="1577" spans="2:10" outlineLevel="1" x14ac:dyDescent="0.25">
      <c r="B1577" s="3" t="s">
        <v>1234</v>
      </c>
      <c r="C1577" s="3" t="s">
        <v>1235</v>
      </c>
      <c r="D1577" s="3" t="s">
        <v>1236</v>
      </c>
      <c r="E1577" s="3" t="s">
        <v>1337</v>
      </c>
      <c r="F1577" s="3" t="s">
        <v>1338</v>
      </c>
      <c r="G1577" s="6">
        <v>0</v>
      </c>
      <c r="H1577" s="6">
        <v>0</v>
      </c>
      <c r="I1577" s="6">
        <v>0</v>
      </c>
      <c r="J1577" s="6">
        <v>0</v>
      </c>
    </row>
    <row r="1578" spans="2:10" outlineLevel="1" x14ac:dyDescent="0.25">
      <c r="B1578" s="3" t="s">
        <v>1234</v>
      </c>
      <c r="C1578" s="3" t="s">
        <v>1235</v>
      </c>
      <c r="D1578" s="3" t="s">
        <v>1236</v>
      </c>
      <c r="E1578" s="3" t="s">
        <v>1339</v>
      </c>
      <c r="F1578" s="3" t="s">
        <v>1340</v>
      </c>
      <c r="G1578" s="6">
        <v>0</v>
      </c>
      <c r="H1578" s="6">
        <v>0</v>
      </c>
      <c r="I1578" s="6">
        <v>0</v>
      </c>
      <c r="J1578" s="6">
        <v>0</v>
      </c>
    </row>
    <row r="1579" spans="2:10" outlineLevel="1" x14ac:dyDescent="0.25">
      <c r="B1579" s="3" t="s">
        <v>1234</v>
      </c>
      <c r="C1579" s="3" t="s">
        <v>1235</v>
      </c>
      <c r="D1579" s="3" t="s">
        <v>1236</v>
      </c>
      <c r="E1579" s="3" t="s">
        <v>1341</v>
      </c>
      <c r="F1579" s="3" t="s">
        <v>1342</v>
      </c>
      <c r="G1579" s="6">
        <v>0</v>
      </c>
      <c r="H1579" s="6">
        <v>0</v>
      </c>
      <c r="I1579" s="6">
        <v>0</v>
      </c>
      <c r="J1579" s="6">
        <v>0</v>
      </c>
    </row>
    <row r="1580" spans="2:10" outlineLevel="1" x14ac:dyDescent="0.25">
      <c r="B1580" s="3" t="s">
        <v>1234</v>
      </c>
      <c r="C1580" s="3" t="s">
        <v>1235</v>
      </c>
      <c r="D1580" s="3" t="s">
        <v>1236</v>
      </c>
      <c r="E1580" s="3" t="s">
        <v>1343</v>
      </c>
      <c r="F1580" s="3" t="s">
        <v>1344</v>
      </c>
      <c r="G1580" s="6">
        <v>0</v>
      </c>
      <c r="H1580" s="6">
        <v>0</v>
      </c>
      <c r="I1580" s="6">
        <v>0</v>
      </c>
      <c r="J1580" s="6">
        <v>0</v>
      </c>
    </row>
    <row r="1581" spans="2:10" outlineLevel="1" x14ac:dyDescent="0.25">
      <c r="B1581" s="3" t="s">
        <v>1234</v>
      </c>
      <c r="C1581" s="3" t="s">
        <v>1235</v>
      </c>
      <c r="D1581" s="3" t="s">
        <v>1236</v>
      </c>
      <c r="E1581" s="3" t="s">
        <v>530</v>
      </c>
      <c r="F1581" s="3" t="s">
        <v>1345</v>
      </c>
      <c r="G1581" s="6">
        <v>0</v>
      </c>
      <c r="H1581" s="6">
        <v>0</v>
      </c>
      <c r="I1581" s="6">
        <v>0</v>
      </c>
      <c r="J1581" s="6">
        <v>0</v>
      </c>
    </row>
    <row r="1582" spans="2:10" outlineLevel="1" x14ac:dyDescent="0.25">
      <c r="B1582" s="3" t="s">
        <v>1234</v>
      </c>
      <c r="C1582" s="3" t="s">
        <v>1235</v>
      </c>
      <c r="D1582" s="3" t="s">
        <v>1236</v>
      </c>
      <c r="E1582" s="3" t="s">
        <v>473</v>
      </c>
      <c r="F1582" s="3" t="s">
        <v>1346</v>
      </c>
      <c r="G1582" s="6">
        <v>0</v>
      </c>
      <c r="H1582" s="6">
        <v>0</v>
      </c>
      <c r="I1582" s="6">
        <v>0</v>
      </c>
      <c r="J1582" s="6">
        <v>0</v>
      </c>
    </row>
    <row r="1583" spans="2:10" outlineLevel="1" x14ac:dyDescent="0.25">
      <c r="B1583" s="3" t="s">
        <v>1234</v>
      </c>
      <c r="C1583" s="3" t="s">
        <v>1235</v>
      </c>
      <c r="D1583" s="3" t="s">
        <v>1236</v>
      </c>
      <c r="E1583" s="3" t="s">
        <v>392</v>
      </c>
      <c r="F1583" s="3" t="s">
        <v>1347</v>
      </c>
      <c r="G1583" s="6">
        <v>0</v>
      </c>
      <c r="H1583" s="6">
        <v>0</v>
      </c>
      <c r="I1583" s="6">
        <v>0</v>
      </c>
      <c r="J1583" s="6">
        <v>0</v>
      </c>
    </row>
    <row r="1584" spans="2:10" outlineLevel="1" x14ac:dyDescent="0.25">
      <c r="B1584" s="3" t="s">
        <v>1234</v>
      </c>
      <c r="C1584" s="3" t="s">
        <v>1235</v>
      </c>
      <c r="D1584" s="3" t="s">
        <v>1236</v>
      </c>
      <c r="E1584" s="3" t="s">
        <v>1348</v>
      </c>
      <c r="F1584" s="3" t="s">
        <v>1349</v>
      </c>
      <c r="G1584" s="6">
        <v>0</v>
      </c>
      <c r="H1584" s="6">
        <v>0</v>
      </c>
      <c r="I1584" s="6">
        <v>0</v>
      </c>
      <c r="J1584" s="6">
        <v>0</v>
      </c>
    </row>
    <row r="1585" spans="2:10" outlineLevel="1" x14ac:dyDescent="0.25">
      <c r="B1585" s="3" t="s">
        <v>1234</v>
      </c>
      <c r="C1585" s="3" t="s">
        <v>1235</v>
      </c>
      <c r="D1585" s="3" t="s">
        <v>1236</v>
      </c>
      <c r="E1585" s="3" t="s">
        <v>1350</v>
      </c>
      <c r="F1585" s="3" t="s">
        <v>1351</v>
      </c>
      <c r="G1585" s="6">
        <v>0</v>
      </c>
      <c r="H1585" s="6">
        <v>0</v>
      </c>
      <c r="I1585" s="6">
        <v>0</v>
      </c>
      <c r="J1585" s="6">
        <v>0</v>
      </c>
    </row>
    <row r="1586" spans="2:10" outlineLevel="1" x14ac:dyDescent="0.25">
      <c r="B1586" s="3" t="s">
        <v>1234</v>
      </c>
      <c r="C1586" s="3" t="s">
        <v>1235</v>
      </c>
      <c r="D1586" s="3" t="s">
        <v>1236</v>
      </c>
      <c r="E1586" s="3" t="s">
        <v>1352</v>
      </c>
      <c r="F1586" s="3" t="s">
        <v>1353</v>
      </c>
      <c r="G1586" s="6">
        <v>0</v>
      </c>
      <c r="H1586" s="6">
        <v>0</v>
      </c>
      <c r="I1586" s="6">
        <v>0</v>
      </c>
      <c r="J1586" s="6">
        <v>0</v>
      </c>
    </row>
    <row r="1587" spans="2:10" outlineLevel="1" x14ac:dyDescent="0.25">
      <c r="B1587" s="3" t="s">
        <v>1234</v>
      </c>
      <c r="C1587" s="3" t="s">
        <v>1235</v>
      </c>
      <c r="D1587" s="3" t="s">
        <v>1236</v>
      </c>
      <c r="E1587" s="3" t="s">
        <v>631</v>
      </c>
      <c r="F1587" s="3" t="s">
        <v>1354</v>
      </c>
      <c r="G1587" s="6">
        <v>0</v>
      </c>
      <c r="H1587" s="6">
        <v>0</v>
      </c>
      <c r="I1587" s="6">
        <v>0</v>
      </c>
      <c r="J1587" s="6">
        <v>0</v>
      </c>
    </row>
    <row r="1588" spans="2:10" outlineLevel="1" x14ac:dyDescent="0.25">
      <c r="B1588" s="3" t="s">
        <v>1234</v>
      </c>
      <c r="C1588" s="3" t="s">
        <v>1235</v>
      </c>
      <c r="D1588" s="3" t="s">
        <v>1236</v>
      </c>
      <c r="E1588" s="3" t="s">
        <v>288</v>
      </c>
      <c r="F1588" s="3" t="s">
        <v>1355</v>
      </c>
      <c r="G1588" s="6">
        <v>0</v>
      </c>
      <c r="H1588" s="6">
        <v>0</v>
      </c>
      <c r="I1588" s="6">
        <v>0</v>
      </c>
      <c r="J1588" s="6">
        <v>0</v>
      </c>
    </row>
    <row r="1589" spans="2:10" outlineLevel="1" x14ac:dyDescent="0.25">
      <c r="B1589" s="3" t="s">
        <v>1234</v>
      </c>
      <c r="C1589" s="3" t="s">
        <v>1235</v>
      </c>
      <c r="D1589" s="3" t="s">
        <v>1236</v>
      </c>
      <c r="E1589" s="3" t="s">
        <v>526</v>
      </c>
      <c r="F1589" s="3" t="s">
        <v>1356</v>
      </c>
      <c r="G1589" s="6">
        <v>0</v>
      </c>
      <c r="H1589" s="6">
        <v>0</v>
      </c>
      <c r="I1589" s="6">
        <v>0</v>
      </c>
      <c r="J1589" s="6">
        <v>0</v>
      </c>
    </row>
    <row r="1590" spans="2:10" outlineLevel="1" x14ac:dyDescent="0.25">
      <c r="B1590" s="3" t="s">
        <v>1234</v>
      </c>
      <c r="C1590" s="3" t="s">
        <v>1235</v>
      </c>
      <c r="D1590" s="3" t="s">
        <v>1236</v>
      </c>
      <c r="E1590" s="3" t="s">
        <v>1357</v>
      </c>
      <c r="F1590" s="3" t="s">
        <v>1358</v>
      </c>
      <c r="G1590" s="6">
        <v>0</v>
      </c>
      <c r="H1590" s="6">
        <v>0</v>
      </c>
      <c r="I1590" s="6">
        <v>0</v>
      </c>
      <c r="J1590" s="6">
        <v>0</v>
      </c>
    </row>
    <row r="1591" spans="2:10" outlineLevel="1" x14ac:dyDescent="0.25">
      <c r="B1591" s="3" t="s">
        <v>1234</v>
      </c>
      <c r="C1591" s="3" t="s">
        <v>1235</v>
      </c>
      <c r="D1591" s="3" t="s">
        <v>1236</v>
      </c>
      <c r="E1591" s="3" t="s">
        <v>390</v>
      </c>
      <c r="F1591" s="3" t="s">
        <v>1359</v>
      </c>
      <c r="G1591" s="6">
        <v>0</v>
      </c>
      <c r="H1591" s="6">
        <v>0</v>
      </c>
      <c r="I1591" s="6">
        <v>0</v>
      </c>
      <c r="J1591" s="6">
        <v>0</v>
      </c>
    </row>
    <row r="1592" spans="2:10" outlineLevel="1" x14ac:dyDescent="0.25">
      <c r="B1592" s="3" t="s">
        <v>1234</v>
      </c>
      <c r="C1592" s="3" t="s">
        <v>1235</v>
      </c>
      <c r="D1592" s="3" t="s">
        <v>1236</v>
      </c>
      <c r="E1592" s="3" t="s">
        <v>1360</v>
      </c>
      <c r="F1592" s="3" t="s">
        <v>1361</v>
      </c>
      <c r="G1592" s="6">
        <v>0</v>
      </c>
      <c r="H1592" s="6">
        <v>0</v>
      </c>
      <c r="I1592" s="6">
        <v>0</v>
      </c>
      <c r="J1592" s="6">
        <v>0</v>
      </c>
    </row>
    <row r="1593" spans="2:10" outlineLevel="1" x14ac:dyDescent="0.25">
      <c r="B1593" s="3" t="s">
        <v>1234</v>
      </c>
      <c r="C1593" s="3" t="s">
        <v>1235</v>
      </c>
      <c r="D1593" s="3" t="s">
        <v>1236</v>
      </c>
      <c r="E1593" s="3" t="s">
        <v>290</v>
      </c>
      <c r="F1593" s="3" t="s">
        <v>1362</v>
      </c>
      <c r="G1593" s="6">
        <v>0</v>
      </c>
      <c r="H1593" s="6">
        <v>0</v>
      </c>
      <c r="I1593" s="6">
        <v>0</v>
      </c>
      <c r="J1593" s="6">
        <v>0</v>
      </c>
    </row>
    <row r="1594" spans="2:10" outlineLevel="1" x14ac:dyDescent="0.25">
      <c r="B1594" s="3" t="s">
        <v>1234</v>
      </c>
      <c r="C1594" s="3" t="s">
        <v>1235</v>
      </c>
      <c r="D1594" s="3" t="s">
        <v>1236</v>
      </c>
      <c r="E1594" s="3" t="s">
        <v>388</v>
      </c>
      <c r="F1594" s="3" t="s">
        <v>1363</v>
      </c>
      <c r="G1594" s="6">
        <v>0</v>
      </c>
      <c r="H1594" s="6">
        <v>0</v>
      </c>
      <c r="I1594" s="6">
        <v>0</v>
      </c>
      <c r="J1594" s="6">
        <v>0</v>
      </c>
    </row>
    <row r="1595" spans="2:10" outlineLevel="1" x14ac:dyDescent="0.25">
      <c r="B1595" s="3" t="s">
        <v>1234</v>
      </c>
      <c r="C1595" s="3" t="s">
        <v>1235</v>
      </c>
      <c r="D1595" s="3" t="s">
        <v>1236</v>
      </c>
      <c r="E1595" s="3" t="s">
        <v>1364</v>
      </c>
      <c r="F1595" s="3" t="s">
        <v>1365</v>
      </c>
      <c r="G1595" s="6">
        <v>0</v>
      </c>
      <c r="H1595" s="6">
        <v>0</v>
      </c>
      <c r="I1595" s="6">
        <v>0</v>
      </c>
      <c r="J1595" s="6">
        <v>0</v>
      </c>
    </row>
    <row r="1596" spans="2:10" outlineLevel="1" x14ac:dyDescent="0.25">
      <c r="B1596" s="3" t="s">
        <v>1234</v>
      </c>
      <c r="C1596" s="3" t="s">
        <v>1235</v>
      </c>
      <c r="D1596" s="3" t="s">
        <v>1236</v>
      </c>
      <c r="E1596" s="3" t="s">
        <v>341</v>
      </c>
      <c r="F1596" s="3" t="s">
        <v>1366</v>
      </c>
      <c r="G1596" s="6">
        <v>0</v>
      </c>
      <c r="H1596" s="6">
        <v>0</v>
      </c>
      <c r="I1596" s="6">
        <v>0</v>
      </c>
      <c r="J1596" s="6">
        <v>0</v>
      </c>
    </row>
    <row r="1597" spans="2:10" outlineLevel="1" x14ac:dyDescent="0.25">
      <c r="B1597" s="3" t="s">
        <v>1234</v>
      </c>
      <c r="C1597" s="3" t="s">
        <v>1235</v>
      </c>
      <c r="D1597" s="3" t="s">
        <v>1236</v>
      </c>
      <c r="E1597" s="3" t="s">
        <v>1367</v>
      </c>
      <c r="F1597" s="3" t="s">
        <v>1368</v>
      </c>
      <c r="G1597" s="6">
        <v>0</v>
      </c>
      <c r="H1597" s="6">
        <v>0</v>
      </c>
      <c r="I1597" s="6">
        <v>0</v>
      </c>
      <c r="J1597" s="6">
        <v>0</v>
      </c>
    </row>
    <row r="1598" spans="2:10" outlineLevel="1" x14ac:dyDescent="0.25">
      <c r="B1598" s="3" t="s">
        <v>1234</v>
      </c>
      <c r="C1598" s="3" t="s">
        <v>1235</v>
      </c>
      <c r="D1598" s="3" t="s">
        <v>1236</v>
      </c>
      <c r="E1598" s="3" t="s">
        <v>1369</v>
      </c>
      <c r="F1598" s="3" t="s">
        <v>1370</v>
      </c>
      <c r="G1598" s="6">
        <v>0</v>
      </c>
      <c r="H1598" s="6">
        <v>0</v>
      </c>
      <c r="I1598" s="6">
        <v>0</v>
      </c>
      <c r="J1598" s="6">
        <v>0</v>
      </c>
    </row>
    <row r="1599" spans="2:10" outlineLevel="1" x14ac:dyDescent="0.25">
      <c r="B1599" s="3" t="s">
        <v>1234</v>
      </c>
      <c r="C1599" s="3" t="s">
        <v>1235</v>
      </c>
      <c r="D1599" s="3" t="s">
        <v>1236</v>
      </c>
      <c r="E1599" s="3" t="s">
        <v>1371</v>
      </c>
      <c r="F1599" s="3" t="s">
        <v>1372</v>
      </c>
      <c r="G1599" s="6">
        <v>0</v>
      </c>
      <c r="H1599" s="6">
        <v>0</v>
      </c>
      <c r="I1599" s="6">
        <v>0</v>
      </c>
      <c r="J1599" s="6">
        <v>0</v>
      </c>
    </row>
    <row r="1600" spans="2:10" outlineLevel="1" x14ac:dyDescent="0.25">
      <c r="B1600" s="3" t="s">
        <v>1234</v>
      </c>
      <c r="C1600" s="3" t="s">
        <v>1235</v>
      </c>
      <c r="D1600" s="3" t="s">
        <v>1236</v>
      </c>
      <c r="E1600" s="3" t="s">
        <v>302</v>
      </c>
      <c r="F1600" s="3" t="s">
        <v>1373</v>
      </c>
      <c r="G1600" s="6">
        <v>0</v>
      </c>
      <c r="H1600" s="6">
        <v>0</v>
      </c>
      <c r="I1600" s="6">
        <v>0</v>
      </c>
      <c r="J1600" s="6">
        <v>0</v>
      </c>
    </row>
    <row r="1601" spans="2:10" outlineLevel="1" x14ac:dyDescent="0.25">
      <c r="B1601" s="3" t="s">
        <v>1234</v>
      </c>
      <c r="C1601" s="3" t="s">
        <v>1235</v>
      </c>
      <c r="D1601" s="3" t="s">
        <v>1236</v>
      </c>
      <c r="E1601" s="3" t="s">
        <v>304</v>
      </c>
      <c r="F1601" s="3" t="s">
        <v>1374</v>
      </c>
      <c r="G1601" s="6">
        <v>0</v>
      </c>
      <c r="H1601" s="6">
        <v>0</v>
      </c>
      <c r="I1601" s="6">
        <v>0</v>
      </c>
      <c r="J1601" s="6">
        <v>0</v>
      </c>
    </row>
    <row r="1602" spans="2:10" outlineLevel="1" x14ac:dyDescent="0.25">
      <c r="B1602" s="3" t="s">
        <v>1234</v>
      </c>
      <c r="C1602" s="3" t="s">
        <v>1235</v>
      </c>
      <c r="D1602" s="3" t="s">
        <v>1236</v>
      </c>
      <c r="E1602" s="3" t="s">
        <v>308</v>
      </c>
      <c r="F1602" s="3" t="s">
        <v>1375</v>
      </c>
      <c r="G1602" s="6">
        <v>0</v>
      </c>
      <c r="H1602" s="6">
        <v>0</v>
      </c>
      <c r="I1602" s="6">
        <v>0</v>
      </c>
      <c r="J1602" s="6">
        <v>0</v>
      </c>
    </row>
    <row r="1603" spans="2:10" outlineLevel="1" x14ac:dyDescent="0.25">
      <c r="B1603" s="3" t="s">
        <v>1234</v>
      </c>
      <c r="C1603" s="3" t="s">
        <v>1235</v>
      </c>
      <c r="D1603" s="3" t="s">
        <v>1236</v>
      </c>
      <c r="E1603" s="3" t="s">
        <v>312</v>
      </c>
      <c r="F1603" s="3" t="s">
        <v>1376</v>
      </c>
      <c r="G1603" s="6">
        <v>0</v>
      </c>
      <c r="H1603" s="6">
        <v>0</v>
      </c>
      <c r="I1603" s="6">
        <v>0</v>
      </c>
      <c r="J1603" s="6">
        <v>0</v>
      </c>
    </row>
    <row r="1604" spans="2:10" outlineLevel="1" x14ac:dyDescent="0.25">
      <c r="B1604" s="3" t="s">
        <v>1234</v>
      </c>
      <c r="C1604" s="3" t="s">
        <v>1235</v>
      </c>
      <c r="D1604" s="3" t="s">
        <v>1236</v>
      </c>
      <c r="E1604" s="3" t="s">
        <v>1377</v>
      </c>
      <c r="F1604" s="3" t="s">
        <v>1378</v>
      </c>
      <c r="G1604" s="6">
        <v>0</v>
      </c>
      <c r="H1604" s="6">
        <v>0</v>
      </c>
      <c r="I1604" s="6">
        <v>0</v>
      </c>
      <c r="J1604" s="6">
        <v>0</v>
      </c>
    </row>
    <row r="1605" spans="2:10" outlineLevel="1" x14ac:dyDescent="0.25">
      <c r="B1605" s="3" t="s">
        <v>1234</v>
      </c>
      <c r="C1605" s="3" t="s">
        <v>1235</v>
      </c>
      <c r="D1605" s="3" t="s">
        <v>1236</v>
      </c>
      <c r="E1605" s="3" t="s">
        <v>298</v>
      </c>
      <c r="F1605" s="3" t="s">
        <v>1379</v>
      </c>
      <c r="G1605" s="6">
        <v>0</v>
      </c>
      <c r="H1605" s="6">
        <v>0</v>
      </c>
      <c r="I1605" s="6">
        <v>0</v>
      </c>
      <c r="J1605" s="6">
        <v>0</v>
      </c>
    </row>
    <row r="1606" spans="2:10" outlineLevel="1" x14ac:dyDescent="0.25">
      <c r="B1606" s="3" t="s">
        <v>1234</v>
      </c>
      <c r="C1606" s="3" t="s">
        <v>1235</v>
      </c>
      <c r="D1606" s="3" t="s">
        <v>1236</v>
      </c>
      <c r="E1606" s="3" t="s">
        <v>487</v>
      </c>
      <c r="F1606" s="3" t="s">
        <v>1380</v>
      </c>
      <c r="G1606" s="6">
        <v>0</v>
      </c>
      <c r="H1606" s="6">
        <v>0</v>
      </c>
      <c r="I1606" s="6">
        <v>0</v>
      </c>
      <c r="J1606" s="6">
        <v>0</v>
      </c>
    </row>
    <row r="1607" spans="2:10" outlineLevel="1" x14ac:dyDescent="0.25">
      <c r="B1607" s="3" t="s">
        <v>1234</v>
      </c>
      <c r="C1607" s="3" t="s">
        <v>1235</v>
      </c>
      <c r="D1607" s="3" t="s">
        <v>1236</v>
      </c>
      <c r="E1607" s="3" t="s">
        <v>1381</v>
      </c>
      <c r="F1607" s="3" t="s">
        <v>1382</v>
      </c>
      <c r="G1607" s="6">
        <v>0</v>
      </c>
      <c r="H1607" s="6">
        <v>0</v>
      </c>
      <c r="I1607" s="6">
        <v>0</v>
      </c>
      <c r="J1607" s="6">
        <v>0</v>
      </c>
    </row>
    <row r="1608" spans="2:10" outlineLevel="1" x14ac:dyDescent="0.25">
      <c r="B1608" s="3" t="s">
        <v>1234</v>
      </c>
      <c r="C1608" s="3" t="s">
        <v>1235</v>
      </c>
      <c r="D1608" s="3" t="s">
        <v>1236</v>
      </c>
      <c r="E1608" s="3" t="s">
        <v>300</v>
      </c>
      <c r="F1608" s="3" t="s">
        <v>1383</v>
      </c>
      <c r="G1608" s="6">
        <v>0</v>
      </c>
      <c r="H1608" s="6">
        <v>0</v>
      </c>
      <c r="I1608" s="6">
        <v>0</v>
      </c>
      <c r="J1608" s="6">
        <v>0</v>
      </c>
    </row>
    <row r="1609" spans="2:10" outlineLevel="1" x14ac:dyDescent="0.25">
      <c r="B1609" s="3" t="s">
        <v>1234</v>
      </c>
      <c r="C1609" s="3" t="s">
        <v>1235</v>
      </c>
      <c r="D1609" s="3" t="s">
        <v>1236</v>
      </c>
      <c r="E1609" s="3" t="s">
        <v>292</v>
      </c>
      <c r="F1609" s="3" t="s">
        <v>1384</v>
      </c>
      <c r="G1609" s="6">
        <v>0</v>
      </c>
      <c r="H1609" s="6">
        <v>0</v>
      </c>
      <c r="I1609" s="6">
        <v>0</v>
      </c>
      <c r="J1609" s="6">
        <v>0</v>
      </c>
    </row>
    <row r="1610" spans="2:10" outlineLevel="1" x14ac:dyDescent="0.25">
      <c r="B1610" s="3" t="s">
        <v>1234</v>
      </c>
      <c r="C1610" s="3" t="s">
        <v>1235</v>
      </c>
      <c r="D1610" s="3" t="s">
        <v>1236</v>
      </c>
      <c r="E1610" s="3" t="s">
        <v>294</v>
      </c>
      <c r="F1610" s="3" t="s">
        <v>1385</v>
      </c>
      <c r="G1610" s="6">
        <v>0</v>
      </c>
      <c r="H1610" s="6">
        <v>0</v>
      </c>
      <c r="I1610" s="6">
        <v>0</v>
      </c>
      <c r="J1610" s="6">
        <v>0</v>
      </c>
    </row>
    <row r="1611" spans="2:10" outlineLevel="1" x14ac:dyDescent="0.25">
      <c r="B1611" s="3" t="s">
        <v>1234</v>
      </c>
      <c r="C1611" s="3" t="s">
        <v>1235</v>
      </c>
      <c r="D1611" s="3" t="s">
        <v>1236</v>
      </c>
      <c r="E1611" s="3" t="s">
        <v>296</v>
      </c>
      <c r="F1611" s="3" t="s">
        <v>1386</v>
      </c>
      <c r="G1611" s="6">
        <v>0</v>
      </c>
      <c r="H1611" s="6">
        <v>0</v>
      </c>
      <c r="I1611" s="6">
        <v>0</v>
      </c>
      <c r="J1611" s="6">
        <v>0</v>
      </c>
    </row>
    <row r="1612" spans="2:10" outlineLevel="1" x14ac:dyDescent="0.25">
      <c r="B1612" s="3" t="s">
        <v>1234</v>
      </c>
      <c r="C1612" s="3" t="s">
        <v>1235</v>
      </c>
      <c r="D1612" s="3" t="s">
        <v>1236</v>
      </c>
      <c r="E1612" s="3" t="s">
        <v>569</v>
      </c>
      <c r="F1612" s="3" t="s">
        <v>1387</v>
      </c>
      <c r="G1612" s="6">
        <v>0</v>
      </c>
      <c r="H1612" s="6">
        <v>0</v>
      </c>
      <c r="I1612" s="6">
        <v>0</v>
      </c>
      <c r="J1612" s="6">
        <v>0</v>
      </c>
    </row>
    <row r="1613" spans="2:10" outlineLevel="1" x14ac:dyDescent="0.25">
      <c r="B1613" s="3" t="s">
        <v>1234</v>
      </c>
      <c r="C1613" s="3" t="s">
        <v>1235</v>
      </c>
      <c r="D1613" s="3" t="s">
        <v>1236</v>
      </c>
      <c r="E1613" s="3" t="s">
        <v>635</v>
      </c>
      <c r="F1613" s="3" t="s">
        <v>1388</v>
      </c>
      <c r="G1613" s="6">
        <v>0</v>
      </c>
      <c r="H1613" s="6">
        <v>0</v>
      </c>
      <c r="I1613" s="6">
        <v>0</v>
      </c>
      <c r="J1613" s="6">
        <v>0</v>
      </c>
    </row>
    <row r="1614" spans="2:10" outlineLevel="1" x14ac:dyDescent="0.25">
      <c r="B1614" s="3" t="s">
        <v>1234</v>
      </c>
      <c r="C1614" s="3" t="s">
        <v>1235</v>
      </c>
      <c r="D1614" s="3" t="s">
        <v>1236</v>
      </c>
      <c r="E1614" s="3" t="s">
        <v>1389</v>
      </c>
      <c r="F1614" s="3" t="s">
        <v>1390</v>
      </c>
      <c r="G1614" s="6">
        <v>0</v>
      </c>
      <c r="H1614" s="6">
        <v>0</v>
      </c>
      <c r="I1614" s="6">
        <v>0</v>
      </c>
      <c r="J1614" s="6">
        <v>0</v>
      </c>
    </row>
    <row r="1615" spans="2:10" outlineLevel="1" x14ac:dyDescent="0.25">
      <c r="B1615" s="3" t="s">
        <v>1234</v>
      </c>
      <c r="C1615" s="3" t="s">
        <v>1235</v>
      </c>
      <c r="D1615" s="3" t="s">
        <v>1236</v>
      </c>
      <c r="E1615" s="3" t="s">
        <v>1391</v>
      </c>
      <c r="F1615" s="3" t="s">
        <v>1392</v>
      </c>
      <c r="G1615" s="6">
        <v>0</v>
      </c>
      <c r="H1615" s="6">
        <v>0</v>
      </c>
      <c r="I1615" s="6">
        <v>0</v>
      </c>
      <c r="J1615" s="6">
        <v>0</v>
      </c>
    </row>
    <row r="1616" spans="2:10" outlineLevel="1" x14ac:dyDescent="0.25">
      <c r="B1616" s="3" t="s">
        <v>1234</v>
      </c>
      <c r="C1616" s="3" t="s">
        <v>1235</v>
      </c>
      <c r="D1616" s="3" t="s">
        <v>1236</v>
      </c>
      <c r="E1616" s="3" t="s">
        <v>1393</v>
      </c>
      <c r="F1616" s="3" t="s">
        <v>1394</v>
      </c>
      <c r="G1616" s="6">
        <v>0</v>
      </c>
      <c r="H1616" s="6">
        <v>0</v>
      </c>
      <c r="I1616" s="6">
        <v>0</v>
      </c>
      <c r="J1616" s="6">
        <v>0</v>
      </c>
    </row>
    <row r="1617" spans="2:10" outlineLevel="1" x14ac:dyDescent="0.25">
      <c r="B1617" s="3" t="s">
        <v>1234</v>
      </c>
      <c r="C1617" s="3" t="s">
        <v>1235</v>
      </c>
      <c r="D1617" s="3" t="s">
        <v>1236</v>
      </c>
      <c r="E1617" s="3" t="s">
        <v>1395</v>
      </c>
      <c r="F1617" s="3" t="s">
        <v>1396</v>
      </c>
      <c r="G1617" s="6">
        <v>0</v>
      </c>
      <c r="H1617" s="6">
        <v>0</v>
      </c>
      <c r="I1617" s="6">
        <v>0</v>
      </c>
      <c r="J1617" s="6">
        <v>0</v>
      </c>
    </row>
    <row r="1618" spans="2:10" outlineLevel="1" x14ac:dyDescent="0.25">
      <c r="B1618" s="3" t="s">
        <v>1234</v>
      </c>
      <c r="C1618" s="3" t="s">
        <v>1235</v>
      </c>
      <c r="D1618" s="3" t="s">
        <v>1236</v>
      </c>
      <c r="E1618" s="3" t="s">
        <v>1397</v>
      </c>
      <c r="F1618" s="3" t="s">
        <v>1398</v>
      </c>
      <c r="G1618" s="6">
        <v>0</v>
      </c>
      <c r="H1618" s="6">
        <v>0</v>
      </c>
      <c r="I1618" s="6">
        <v>0</v>
      </c>
      <c r="J1618" s="6">
        <v>0</v>
      </c>
    </row>
    <row r="1619" spans="2:10" outlineLevel="1" x14ac:dyDescent="0.25">
      <c r="B1619" s="3" t="s">
        <v>1234</v>
      </c>
      <c r="C1619" s="3" t="s">
        <v>1235</v>
      </c>
      <c r="D1619" s="3" t="s">
        <v>1236</v>
      </c>
      <c r="E1619" s="3" t="s">
        <v>310</v>
      </c>
      <c r="F1619" s="3" t="s">
        <v>1399</v>
      </c>
      <c r="G1619" s="6">
        <v>0</v>
      </c>
      <c r="H1619" s="6">
        <v>0</v>
      </c>
      <c r="I1619" s="6">
        <v>0</v>
      </c>
      <c r="J1619" s="6">
        <v>0</v>
      </c>
    </row>
    <row r="1620" spans="2:10" outlineLevel="1" x14ac:dyDescent="0.25">
      <c r="B1620" s="3" t="s">
        <v>1234</v>
      </c>
      <c r="C1620" s="3" t="s">
        <v>1235</v>
      </c>
      <c r="D1620" s="3" t="s">
        <v>1236</v>
      </c>
      <c r="E1620" s="3" t="s">
        <v>1400</v>
      </c>
      <c r="F1620" s="3" t="s">
        <v>1401</v>
      </c>
      <c r="G1620" s="6">
        <v>0</v>
      </c>
      <c r="H1620" s="6">
        <v>0</v>
      </c>
      <c r="I1620" s="6">
        <v>0</v>
      </c>
      <c r="J1620" s="6">
        <v>0</v>
      </c>
    </row>
    <row r="1621" spans="2:10" outlineLevel="1" x14ac:dyDescent="0.25">
      <c r="B1621" s="3" t="s">
        <v>1234</v>
      </c>
      <c r="C1621" s="3" t="s">
        <v>1235</v>
      </c>
      <c r="D1621" s="3" t="s">
        <v>1236</v>
      </c>
      <c r="E1621" s="3" t="s">
        <v>784</v>
      </c>
      <c r="F1621" s="3" t="s">
        <v>1402</v>
      </c>
      <c r="G1621" s="6">
        <v>0</v>
      </c>
      <c r="H1621" s="6">
        <v>0</v>
      </c>
      <c r="I1621" s="6">
        <v>0</v>
      </c>
      <c r="J1621" s="6">
        <v>0</v>
      </c>
    </row>
    <row r="1622" spans="2:10" outlineLevel="1" x14ac:dyDescent="0.25">
      <c r="B1622" s="3" t="s">
        <v>1234</v>
      </c>
      <c r="C1622" s="3" t="s">
        <v>1235</v>
      </c>
      <c r="D1622" s="3" t="s">
        <v>1236</v>
      </c>
      <c r="E1622" s="3" t="s">
        <v>853</v>
      </c>
      <c r="F1622" s="3" t="s">
        <v>1403</v>
      </c>
      <c r="G1622" s="6">
        <v>0</v>
      </c>
      <c r="H1622" s="6">
        <v>0</v>
      </c>
      <c r="I1622" s="6">
        <v>0</v>
      </c>
      <c r="J1622" s="6">
        <v>0</v>
      </c>
    </row>
    <row r="1623" spans="2:10" outlineLevel="1" x14ac:dyDescent="0.25">
      <c r="B1623" s="3" t="s">
        <v>1234</v>
      </c>
      <c r="C1623" s="3" t="s">
        <v>1235</v>
      </c>
      <c r="D1623" s="3" t="s">
        <v>1236</v>
      </c>
      <c r="E1623" s="3" t="s">
        <v>914</v>
      </c>
      <c r="F1623" s="3" t="s">
        <v>1404</v>
      </c>
      <c r="G1623" s="6">
        <v>0</v>
      </c>
      <c r="H1623" s="6">
        <v>0</v>
      </c>
      <c r="I1623" s="6">
        <v>0</v>
      </c>
      <c r="J1623" s="6">
        <v>0</v>
      </c>
    </row>
    <row r="1624" spans="2:10" outlineLevel="1" x14ac:dyDescent="0.25">
      <c r="B1624" s="3" t="s">
        <v>1234</v>
      </c>
      <c r="C1624" s="3" t="s">
        <v>1235</v>
      </c>
      <c r="D1624" s="3" t="s">
        <v>1236</v>
      </c>
      <c r="E1624" s="3" t="s">
        <v>1405</v>
      </c>
      <c r="F1624" s="3" t="s">
        <v>1406</v>
      </c>
      <c r="G1624" s="6">
        <v>0</v>
      </c>
      <c r="H1624" s="6">
        <v>0</v>
      </c>
      <c r="I1624" s="6">
        <v>0</v>
      </c>
      <c r="J1624" s="6">
        <v>0</v>
      </c>
    </row>
    <row r="1625" spans="2:10" outlineLevel="1" x14ac:dyDescent="0.25">
      <c r="B1625" s="3" t="s">
        <v>1234</v>
      </c>
      <c r="C1625" s="3" t="s">
        <v>1235</v>
      </c>
      <c r="D1625" s="3" t="s">
        <v>1236</v>
      </c>
      <c r="E1625" s="3" t="s">
        <v>1407</v>
      </c>
      <c r="F1625" s="3" t="s">
        <v>1408</v>
      </c>
      <c r="G1625" s="6">
        <v>0</v>
      </c>
      <c r="H1625" s="6">
        <v>0</v>
      </c>
      <c r="I1625" s="6">
        <v>0</v>
      </c>
      <c r="J1625" s="6">
        <v>0</v>
      </c>
    </row>
    <row r="1626" spans="2:10" outlineLevel="1" x14ac:dyDescent="0.25">
      <c r="B1626" s="3" t="s">
        <v>1234</v>
      </c>
      <c r="C1626" s="3" t="s">
        <v>1235</v>
      </c>
      <c r="D1626" s="3" t="s">
        <v>1236</v>
      </c>
      <c r="E1626" s="3" t="s">
        <v>1409</v>
      </c>
      <c r="F1626" s="3" t="s">
        <v>1410</v>
      </c>
      <c r="G1626" s="6">
        <v>0</v>
      </c>
      <c r="H1626" s="6">
        <v>0</v>
      </c>
      <c r="I1626" s="6">
        <v>0</v>
      </c>
      <c r="J1626" s="6">
        <v>0</v>
      </c>
    </row>
    <row r="1627" spans="2:10" outlineLevel="1" x14ac:dyDescent="0.25">
      <c r="B1627" s="3" t="s">
        <v>1234</v>
      </c>
      <c r="C1627" s="3" t="s">
        <v>1235</v>
      </c>
      <c r="D1627" s="3" t="s">
        <v>1236</v>
      </c>
      <c r="E1627" s="3" t="s">
        <v>1411</v>
      </c>
      <c r="F1627" s="3" t="s">
        <v>1412</v>
      </c>
      <c r="G1627" s="6">
        <v>0</v>
      </c>
      <c r="H1627" s="6">
        <v>0</v>
      </c>
      <c r="I1627" s="6">
        <v>0</v>
      </c>
      <c r="J1627" s="6">
        <v>0</v>
      </c>
    </row>
    <row r="1628" spans="2:10" outlineLevel="1" x14ac:dyDescent="0.25">
      <c r="B1628" s="3" t="s">
        <v>1234</v>
      </c>
      <c r="C1628" s="3" t="s">
        <v>1235</v>
      </c>
      <c r="D1628" s="3" t="s">
        <v>1236</v>
      </c>
      <c r="E1628" s="3" t="s">
        <v>469</v>
      </c>
      <c r="F1628" s="3" t="s">
        <v>1413</v>
      </c>
      <c r="G1628" s="6">
        <v>0</v>
      </c>
      <c r="H1628" s="6">
        <v>0</v>
      </c>
      <c r="I1628" s="6">
        <v>0</v>
      </c>
      <c r="J1628" s="6">
        <v>0</v>
      </c>
    </row>
    <row r="1629" spans="2:10" outlineLevel="1" x14ac:dyDescent="0.25">
      <c r="B1629" s="3" t="s">
        <v>1234</v>
      </c>
      <c r="C1629" s="3" t="s">
        <v>1235</v>
      </c>
      <c r="D1629" s="3" t="s">
        <v>1236</v>
      </c>
      <c r="E1629" s="3" t="s">
        <v>490</v>
      </c>
      <c r="F1629" s="3" t="s">
        <v>1414</v>
      </c>
      <c r="G1629" s="6">
        <v>0</v>
      </c>
      <c r="H1629" s="6">
        <v>0</v>
      </c>
      <c r="I1629" s="6">
        <v>0</v>
      </c>
      <c r="J1629" s="6">
        <v>0</v>
      </c>
    </row>
    <row r="1630" spans="2:10" outlineLevel="1" x14ac:dyDescent="0.25">
      <c r="B1630" s="3" t="s">
        <v>1234</v>
      </c>
      <c r="C1630" s="3" t="s">
        <v>1235</v>
      </c>
      <c r="D1630" s="3" t="s">
        <v>1236</v>
      </c>
      <c r="E1630" s="3" t="s">
        <v>492</v>
      </c>
      <c r="F1630" s="3" t="s">
        <v>1415</v>
      </c>
      <c r="G1630" s="6">
        <v>0</v>
      </c>
      <c r="H1630" s="6">
        <v>0</v>
      </c>
      <c r="I1630" s="6">
        <v>0</v>
      </c>
      <c r="J1630" s="6">
        <v>0</v>
      </c>
    </row>
    <row r="1631" spans="2:10" outlineLevel="1" x14ac:dyDescent="0.25">
      <c r="B1631" s="3" t="s">
        <v>1234</v>
      </c>
      <c r="C1631" s="3" t="s">
        <v>1235</v>
      </c>
      <c r="D1631" s="3" t="s">
        <v>1236</v>
      </c>
      <c r="E1631" s="3" t="s">
        <v>1416</v>
      </c>
      <c r="F1631" s="3" t="s">
        <v>1417</v>
      </c>
      <c r="G1631" s="6">
        <v>0</v>
      </c>
      <c r="H1631" s="6">
        <v>0</v>
      </c>
      <c r="I1631" s="6">
        <v>0</v>
      </c>
      <c r="J1631" s="6">
        <v>0</v>
      </c>
    </row>
    <row r="1632" spans="2:10" outlineLevel="1" x14ac:dyDescent="0.25">
      <c r="B1632" s="3" t="s">
        <v>1234</v>
      </c>
      <c r="C1632" s="3" t="s">
        <v>1235</v>
      </c>
      <c r="D1632" s="3" t="s">
        <v>1236</v>
      </c>
      <c r="E1632" s="3" t="s">
        <v>1418</v>
      </c>
      <c r="F1632" s="3" t="s">
        <v>1419</v>
      </c>
      <c r="G1632" s="6">
        <v>0</v>
      </c>
      <c r="H1632" s="6">
        <v>0</v>
      </c>
      <c r="I1632" s="6">
        <v>0</v>
      </c>
      <c r="J1632" s="6">
        <v>0</v>
      </c>
    </row>
    <row r="1633" spans="2:10" outlineLevel="1" x14ac:dyDescent="0.25">
      <c r="B1633" s="3" t="s">
        <v>1234</v>
      </c>
      <c r="C1633" s="3" t="s">
        <v>1235</v>
      </c>
      <c r="D1633" s="3" t="s">
        <v>1236</v>
      </c>
      <c r="E1633" s="3" t="s">
        <v>1420</v>
      </c>
      <c r="F1633" s="3" t="s">
        <v>1421</v>
      </c>
      <c r="G1633" s="6">
        <v>0</v>
      </c>
      <c r="H1633" s="6">
        <v>0</v>
      </c>
      <c r="I1633" s="6">
        <v>0</v>
      </c>
      <c r="J1633" s="6">
        <v>0</v>
      </c>
    </row>
    <row r="1634" spans="2:10" outlineLevel="1" x14ac:dyDescent="0.25">
      <c r="B1634" s="3" t="s">
        <v>1234</v>
      </c>
      <c r="C1634" s="3" t="s">
        <v>1235</v>
      </c>
      <c r="D1634" s="3" t="s">
        <v>1236</v>
      </c>
      <c r="E1634" s="3" t="s">
        <v>605</v>
      </c>
      <c r="F1634" s="3" t="s">
        <v>1422</v>
      </c>
      <c r="G1634" s="6">
        <v>0</v>
      </c>
      <c r="H1634" s="6">
        <v>0</v>
      </c>
      <c r="I1634" s="6">
        <v>0</v>
      </c>
      <c r="J1634" s="6">
        <v>0</v>
      </c>
    </row>
    <row r="1635" spans="2:10" outlineLevel="1" x14ac:dyDescent="0.25">
      <c r="B1635" s="3" t="s">
        <v>1234</v>
      </c>
      <c r="C1635" s="3" t="s">
        <v>1235</v>
      </c>
      <c r="D1635" s="3" t="s">
        <v>1236</v>
      </c>
      <c r="E1635" s="3" t="s">
        <v>1423</v>
      </c>
      <c r="F1635" s="3" t="s">
        <v>1424</v>
      </c>
      <c r="G1635" s="6">
        <v>0</v>
      </c>
      <c r="H1635" s="6">
        <v>0</v>
      </c>
      <c r="I1635" s="6">
        <v>0</v>
      </c>
      <c r="J1635" s="6">
        <v>0</v>
      </c>
    </row>
    <row r="1636" spans="2:10" outlineLevel="1" x14ac:dyDescent="0.25">
      <c r="B1636" s="3" t="s">
        <v>1234</v>
      </c>
      <c r="C1636" s="3" t="s">
        <v>1235</v>
      </c>
      <c r="D1636" s="3" t="s">
        <v>1236</v>
      </c>
      <c r="E1636" s="3" t="s">
        <v>1425</v>
      </c>
      <c r="F1636" s="3" t="s">
        <v>1426</v>
      </c>
      <c r="G1636" s="6">
        <v>0</v>
      </c>
      <c r="H1636" s="6">
        <v>0</v>
      </c>
      <c r="I1636" s="6">
        <v>0</v>
      </c>
      <c r="J1636" s="6">
        <v>0</v>
      </c>
    </row>
    <row r="1637" spans="2:10" outlineLevel="1" x14ac:dyDescent="0.25">
      <c r="B1637" s="3" t="s">
        <v>1234</v>
      </c>
      <c r="C1637" s="3" t="s">
        <v>1235</v>
      </c>
      <c r="D1637" s="3" t="s">
        <v>1236</v>
      </c>
      <c r="E1637" s="3" t="s">
        <v>1427</v>
      </c>
      <c r="F1637" s="3" t="s">
        <v>1428</v>
      </c>
      <c r="G1637" s="6">
        <v>0</v>
      </c>
      <c r="H1637" s="6">
        <v>0</v>
      </c>
      <c r="I1637" s="6">
        <v>0</v>
      </c>
      <c r="J1637" s="6">
        <v>0</v>
      </c>
    </row>
    <row r="1638" spans="2:10" outlineLevel="1" x14ac:dyDescent="0.25">
      <c r="B1638" s="3" t="s">
        <v>1234</v>
      </c>
      <c r="C1638" s="3" t="s">
        <v>1235</v>
      </c>
      <c r="D1638" s="3" t="s">
        <v>1236</v>
      </c>
      <c r="E1638" s="3" t="s">
        <v>1000</v>
      </c>
      <c r="F1638" s="3" t="s">
        <v>1429</v>
      </c>
      <c r="G1638" s="6">
        <v>0</v>
      </c>
      <c r="H1638" s="6">
        <v>0</v>
      </c>
      <c r="I1638" s="6">
        <v>0</v>
      </c>
      <c r="J1638" s="6">
        <v>0</v>
      </c>
    </row>
    <row r="1639" spans="2:10" outlineLevel="1" x14ac:dyDescent="0.25">
      <c r="B1639" s="3" t="s">
        <v>1234</v>
      </c>
      <c r="C1639" s="3" t="s">
        <v>1235</v>
      </c>
      <c r="D1639" s="3" t="s">
        <v>1236</v>
      </c>
      <c r="E1639" s="3" t="s">
        <v>1430</v>
      </c>
      <c r="F1639" s="3" t="s">
        <v>1431</v>
      </c>
      <c r="G1639" s="6">
        <v>0</v>
      </c>
      <c r="H1639" s="6">
        <v>0</v>
      </c>
      <c r="I1639" s="6">
        <v>0</v>
      </c>
      <c r="J1639" s="6">
        <v>0</v>
      </c>
    </row>
    <row r="1640" spans="2:10" outlineLevel="1" x14ac:dyDescent="0.25">
      <c r="B1640" s="3" t="s">
        <v>1234</v>
      </c>
      <c r="C1640" s="3" t="s">
        <v>1235</v>
      </c>
      <c r="D1640" s="3" t="s">
        <v>1236</v>
      </c>
      <c r="E1640" s="3" t="s">
        <v>1432</v>
      </c>
      <c r="F1640" s="3" t="s">
        <v>1433</v>
      </c>
      <c r="G1640" s="6">
        <v>0</v>
      </c>
      <c r="H1640" s="6">
        <v>0</v>
      </c>
      <c r="I1640" s="6">
        <v>0</v>
      </c>
      <c r="J1640" s="6">
        <v>0</v>
      </c>
    </row>
    <row r="1641" spans="2:10" outlineLevel="1" x14ac:dyDescent="0.25">
      <c r="B1641" s="3" t="s">
        <v>1234</v>
      </c>
      <c r="C1641" s="3" t="s">
        <v>1235</v>
      </c>
      <c r="D1641" s="3" t="s">
        <v>1236</v>
      </c>
      <c r="E1641" s="3" t="s">
        <v>328</v>
      </c>
      <c r="F1641" s="3" t="s">
        <v>1434</v>
      </c>
      <c r="G1641" s="6">
        <v>0</v>
      </c>
      <c r="H1641" s="6">
        <v>0</v>
      </c>
      <c r="I1641" s="6">
        <v>0</v>
      </c>
      <c r="J1641" s="6">
        <v>0</v>
      </c>
    </row>
    <row r="1642" spans="2:10" outlineLevel="1" x14ac:dyDescent="0.25">
      <c r="B1642" s="3" t="s">
        <v>1234</v>
      </c>
      <c r="C1642" s="3" t="s">
        <v>1235</v>
      </c>
      <c r="D1642" s="3" t="s">
        <v>1236</v>
      </c>
      <c r="E1642" s="3" t="s">
        <v>1435</v>
      </c>
      <c r="F1642" s="3" t="s">
        <v>1436</v>
      </c>
      <c r="G1642" s="6">
        <v>0</v>
      </c>
      <c r="H1642" s="6">
        <v>0</v>
      </c>
      <c r="I1642" s="6">
        <v>0</v>
      </c>
      <c r="J1642" s="6">
        <v>0</v>
      </c>
    </row>
    <row r="1643" spans="2:10" outlineLevel="1" x14ac:dyDescent="0.25">
      <c r="B1643" s="3" t="s">
        <v>1234</v>
      </c>
      <c r="C1643" s="3" t="s">
        <v>1235</v>
      </c>
      <c r="D1643" s="3" t="s">
        <v>1236</v>
      </c>
      <c r="E1643" s="3" t="s">
        <v>1437</v>
      </c>
      <c r="F1643" s="3" t="s">
        <v>1438</v>
      </c>
      <c r="G1643" s="6">
        <v>0</v>
      </c>
      <c r="H1643" s="6">
        <v>0</v>
      </c>
      <c r="I1643" s="6">
        <v>0</v>
      </c>
      <c r="J1643" s="6">
        <v>0</v>
      </c>
    </row>
    <row r="1644" spans="2:10" outlineLevel="1" x14ac:dyDescent="0.25">
      <c r="B1644" s="3" t="s">
        <v>1234</v>
      </c>
      <c r="C1644" s="3" t="s">
        <v>1235</v>
      </c>
      <c r="D1644" s="3" t="s">
        <v>1236</v>
      </c>
      <c r="E1644" s="3" t="s">
        <v>339</v>
      </c>
      <c r="F1644" s="3" t="s">
        <v>1439</v>
      </c>
      <c r="G1644" s="6">
        <v>0</v>
      </c>
      <c r="H1644" s="6">
        <v>0</v>
      </c>
      <c r="I1644" s="6">
        <v>0</v>
      </c>
      <c r="J1644" s="6">
        <v>0</v>
      </c>
    </row>
    <row r="1645" spans="2:10" outlineLevel="1" x14ac:dyDescent="0.25">
      <c r="B1645" s="3" t="s">
        <v>1234</v>
      </c>
      <c r="C1645" s="3" t="s">
        <v>1235</v>
      </c>
      <c r="D1645" s="3" t="s">
        <v>1236</v>
      </c>
      <c r="E1645" s="3" t="s">
        <v>587</v>
      </c>
      <c r="F1645" s="3" t="s">
        <v>1440</v>
      </c>
      <c r="G1645" s="6">
        <v>0</v>
      </c>
      <c r="H1645" s="6">
        <v>0</v>
      </c>
      <c r="I1645" s="6">
        <v>0</v>
      </c>
      <c r="J1645" s="6">
        <v>0</v>
      </c>
    </row>
    <row r="1646" spans="2:10" outlineLevel="1" x14ac:dyDescent="0.25">
      <c r="B1646" s="3" t="s">
        <v>1234</v>
      </c>
      <c r="C1646" s="3" t="s">
        <v>1235</v>
      </c>
      <c r="D1646" s="3" t="s">
        <v>1236</v>
      </c>
      <c r="E1646" s="3" t="s">
        <v>1441</v>
      </c>
      <c r="F1646" s="3" t="s">
        <v>1442</v>
      </c>
      <c r="G1646" s="6">
        <v>0</v>
      </c>
      <c r="H1646" s="6">
        <v>0</v>
      </c>
      <c r="I1646" s="6">
        <v>0</v>
      </c>
      <c r="J1646" s="6">
        <v>0</v>
      </c>
    </row>
    <row r="1647" spans="2:10" outlineLevel="1" x14ac:dyDescent="0.25">
      <c r="B1647" s="3" t="s">
        <v>1234</v>
      </c>
      <c r="C1647" s="3" t="s">
        <v>1235</v>
      </c>
      <c r="D1647" s="3" t="s">
        <v>1236</v>
      </c>
      <c r="E1647" s="3" t="s">
        <v>912</v>
      </c>
      <c r="F1647" s="3" t="s">
        <v>1443</v>
      </c>
      <c r="G1647" s="6">
        <v>0</v>
      </c>
      <c r="H1647" s="6">
        <v>0</v>
      </c>
      <c r="I1647" s="6">
        <v>0</v>
      </c>
      <c r="J1647" s="6">
        <v>0</v>
      </c>
    </row>
    <row r="1648" spans="2:10" outlineLevel="1" x14ac:dyDescent="0.25">
      <c r="B1648" s="3" t="s">
        <v>1234</v>
      </c>
      <c r="C1648" s="3" t="s">
        <v>1235</v>
      </c>
      <c r="D1648" s="3" t="s">
        <v>1236</v>
      </c>
      <c r="E1648" s="3" t="s">
        <v>872</v>
      </c>
      <c r="F1648" s="3" t="s">
        <v>1444</v>
      </c>
      <c r="G1648" s="6">
        <v>0</v>
      </c>
      <c r="H1648" s="6">
        <v>0</v>
      </c>
      <c r="I1648" s="6">
        <v>0</v>
      </c>
      <c r="J1648" s="6">
        <v>0</v>
      </c>
    </row>
    <row r="1649" spans="2:10" outlineLevel="1" x14ac:dyDescent="0.25">
      <c r="B1649" s="3" t="s">
        <v>1234</v>
      </c>
      <c r="C1649" s="3" t="s">
        <v>1235</v>
      </c>
      <c r="D1649" s="3" t="s">
        <v>1236</v>
      </c>
      <c r="E1649" s="3" t="s">
        <v>1445</v>
      </c>
      <c r="F1649" s="3" t="s">
        <v>1446</v>
      </c>
      <c r="G1649" s="6">
        <v>0</v>
      </c>
      <c r="H1649" s="6">
        <v>0</v>
      </c>
      <c r="I1649" s="6">
        <v>0</v>
      </c>
      <c r="J1649" s="6">
        <v>0</v>
      </c>
    </row>
    <row r="1650" spans="2:10" outlineLevel="1" x14ac:dyDescent="0.25">
      <c r="B1650" s="3" t="s">
        <v>1234</v>
      </c>
      <c r="C1650" s="3" t="s">
        <v>1235</v>
      </c>
      <c r="D1650" s="3" t="s">
        <v>1236</v>
      </c>
      <c r="E1650" s="3" t="s">
        <v>374</v>
      </c>
      <c r="F1650" s="3" t="s">
        <v>1447</v>
      </c>
      <c r="G1650" s="6">
        <v>0</v>
      </c>
      <c r="H1650" s="6">
        <v>0</v>
      </c>
      <c r="I1650" s="6">
        <v>0</v>
      </c>
      <c r="J1650" s="6">
        <v>0</v>
      </c>
    </row>
    <row r="1651" spans="2:10" outlineLevel="1" x14ac:dyDescent="0.25">
      <c r="B1651" s="3" t="s">
        <v>1234</v>
      </c>
      <c r="C1651" s="3" t="s">
        <v>1235</v>
      </c>
      <c r="D1651" s="3" t="s">
        <v>1236</v>
      </c>
      <c r="E1651" s="3" t="s">
        <v>1448</v>
      </c>
      <c r="F1651" s="3" t="s">
        <v>1449</v>
      </c>
      <c r="G1651" s="6">
        <v>0</v>
      </c>
      <c r="H1651" s="6">
        <v>0</v>
      </c>
      <c r="I1651" s="6">
        <v>0</v>
      </c>
      <c r="J1651" s="6">
        <v>0</v>
      </c>
    </row>
    <row r="1652" spans="2:10" outlineLevel="1" x14ac:dyDescent="0.25">
      <c r="B1652" s="3" t="s">
        <v>1234</v>
      </c>
      <c r="C1652" s="3" t="s">
        <v>1235</v>
      </c>
      <c r="D1652" s="3" t="s">
        <v>1236</v>
      </c>
      <c r="E1652" s="3" t="s">
        <v>1450</v>
      </c>
      <c r="F1652" s="3" t="s">
        <v>1451</v>
      </c>
      <c r="G1652" s="6">
        <v>0</v>
      </c>
      <c r="H1652" s="6">
        <v>0</v>
      </c>
      <c r="I1652" s="6">
        <v>0</v>
      </c>
      <c r="J1652" s="6">
        <v>0</v>
      </c>
    </row>
    <row r="1653" spans="2:10" outlineLevel="1" x14ac:dyDescent="0.25">
      <c r="B1653" s="3" t="s">
        <v>1234</v>
      </c>
      <c r="C1653" s="3" t="s">
        <v>1235</v>
      </c>
      <c r="D1653" s="3" t="s">
        <v>1236</v>
      </c>
      <c r="E1653" s="3" t="s">
        <v>1452</v>
      </c>
      <c r="F1653" s="3" t="s">
        <v>1453</v>
      </c>
      <c r="G1653" s="6">
        <v>0</v>
      </c>
      <c r="H1653" s="6">
        <v>0</v>
      </c>
      <c r="I1653" s="6">
        <v>0</v>
      </c>
      <c r="J1653" s="6">
        <v>0</v>
      </c>
    </row>
    <row r="1654" spans="2:10" outlineLevel="1" x14ac:dyDescent="0.25">
      <c r="B1654" s="3" t="s">
        <v>1234</v>
      </c>
      <c r="C1654" s="3" t="s">
        <v>1235</v>
      </c>
      <c r="D1654" s="3" t="s">
        <v>1236</v>
      </c>
      <c r="E1654" s="3" t="s">
        <v>1161</v>
      </c>
      <c r="F1654" s="3" t="s">
        <v>1454</v>
      </c>
      <c r="G1654" s="6">
        <v>0</v>
      </c>
      <c r="H1654" s="6">
        <v>0</v>
      </c>
      <c r="I1654" s="6">
        <v>0</v>
      </c>
      <c r="J1654" s="6">
        <v>0</v>
      </c>
    </row>
    <row r="1655" spans="2:10" outlineLevel="1" x14ac:dyDescent="0.25">
      <c r="B1655" s="3" t="s">
        <v>1234</v>
      </c>
      <c r="C1655" s="3" t="s">
        <v>1235</v>
      </c>
      <c r="D1655" s="3" t="s">
        <v>1236</v>
      </c>
      <c r="E1655" s="3" t="s">
        <v>1455</v>
      </c>
      <c r="F1655" s="3" t="s">
        <v>1456</v>
      </c>
      <c r="G1655" s="6">
        <v>0</v>
      </c>
      <c r="H1655" s="6">
        <v>0</v>
      </c>
      <c r="I1655" s="6">
        <v>0</v>
      </c>
      <c r="J1655" s="6">
        <v>0</v>
      </c>
    </row>
    <row r="1656" spans="2:10" outlineLevel="1" x14ac:dyDescent="0.25">
      <c r="B1656" s="3" t="s">
        <v>1234</v>
      </c>
      <c r="C1656" s="3" t="s">
        <v>1235</v>
      </c>
      <c r="D1656" s="3" t="s">
        <v>1236</v>
      </c>
      <c r="E1656" s="3" t="s">
        <v>1056</v>
      </c>
      <c r="F1656" s="3" t="s">
        <v>1457</v>
      </c>
      <c r="G1656" s="6">
        <v>0</v>
      </c>
      <c r="H1656" s="6">
        <v>0</v>
      </c>
      <c r="I1656" s="6">
        <v>0</v>
      </c>
      <c r="J1656" s="6">
        <v>0</v>
      </c>
    </row>
    <row r="1657" spans="2:10" outlineLevel="1" x14ac:dyDescent="0.25">
      <c r="B1657" s="3" t="s">
        <v>1234</v>
      </c>
      <c r="C1657" s="3" t="s">
        <v>1235</v>
      </c>
      <c r="D1657" s="3" t="s">
        <v>1236</v>
      </c>
      <c r="E1657" s="3" t="s">
        <v>1458</v>
      </c>
      <c r="F1657" s="3" t="s">
        <v>1459</v>
      </c>
      <c r="G1657" s="6">
        <v>0</v>
      </c>
      <c r="H1657" s="6">
        <v>0</v>
      </c>
      <c r="I1657" s="6">
        <v>0</v>
      </c>
      <c r="J1657" s="6">
        <v>0</v>
      </c>
    </row>
    <row r="1658" spans="2:10" outlineLevel="1" x14ac:dyDescent="0.25">
      <c r="B1658" s="3" t="s">
        <v>1234</v>
      </c>
      <c r="C1658" s="3" t="s">
        <v>1235</v>
      </c>
      <c r="D1658" s="3" t="s">
        <v>1236</v>
      </c>
      <c r="E1658" s="3" t="s">
        <v>567</v>
      </c>
      <c r="F1658" s="3" t="s">
        <v>1460</v>
      </c>
      <c r="G1658" s="6">
        <v>0</v>
      </c>
      <c r="H1658" s="6">
        <v>0</v>
      </c>
      <c r="I1658" s="6">
        <v>0</v>
      </c>
      <c r="J1658" s="6">
        <v>0</v>
      </c>
    </row>
    <row r="1659" spans="2:10" outlineLevel="1" x14ac:dyDescent="0.25">
      <c r="B1659" s="3" t="s">
        <v>1234</v>
      </c>
      <c r="C1659" s="3" t="s">
        <v>1235</v>
      </c>
      <c r="D1659" s="3" t="s">
        <v>1236</v>
      </c>
      <c r="E1659" s="3" t="s">
        <v>1461</v>
      </c>
      <c r="F1659" s="3" t="s">
        <v>1462</v>
      </c>
      <c r="G1659" s="6">
        <v>0</v>
      </c>
      <c r="H1659" s="6">
        <v>0</v>
      </c>
      <c r="I1659" s="6">
        <v>0</v>
      </c>
      <c r="J1659" s="6">
        <v>0</v>
      </c>
    </row>
    <row r="1660" spans="2:10" outlineLevel="1" x14ac:dyDescent="0.25">
      <c r="B1660" s="3" t="s">
        <v>1234</v>
      </c>
      <c r="C1660" s="3" t="s">
        <v>1235</v>
      </c>
      <c r="D1660" s="3" t="s">
        <v>1236</v>
      </c>
      <c r="E1660" s="3" t="s">
        <v>916</v>
      </c>
      <c r="F1660" s="3" t="s">
        <v>1463</v>
      </c>
      <c r="G1660" s="6">
        <v>0</v>
      </c>
      <c r="H1660" s="6">
        <v>0</v>
      </c>
      <c r="I1660" s="6">
        <v>0</v>
      </c>
      <c r="J1660" s="6">
        <v>0</v>
      </c>
    </row>
    <row r="1661" spans="2:10" outlineLevel="1" x14ac:dyDescent="0.25">
      <c r="B1661" s="3" t="s">
        <v>1234</v>
      </c>
      <c r="C1661" s="3" t="s">
        <v>1235</v>
      </c>
      <c r="D1661" s="3" t="s">
        <v>1236</v>
      </c>
      <c r="E1661" s="3" t="s">
        <v>1228</v>
      </c>
      <c r="F1661" s="3" t="s">
        <v>1464</v>
      </c>
      <c r="G1661" s="6">
        <v>0</v>
      </c>
      <c r="H1661" s="6">
        <v>0</v>
      </c>
      <c r="I1661" s="6">
        <v>0</v>
      </c>
      <c r="J1661" s="6">
        <v>0</v>
      </c>
    </row>
    <row r="1662" spans="2:10" outlineLevel="1" x14ac:dyDescent="0.25">
      <c r="B1662" s="3" t="s">
        <v>1234</v>
      </c>
      <c r="C1662" s="3" t="s">
        <v>1235</v>
      </c>
      <c r="D1662" s="3" t="s">
        <v>1236</v>
      </c>
      <c r="E1662" s="3" t="s">
        <v>1112</v>
      </c>
      <c r="F1662" s="3" t="s">
        <v>1465</v>
      </c>
      <c r="G1662" s="6">
        <v>0</v>
      </c>
      <c r="H1662" s="6">
        <v>0</v>
      </c>
      <c r="I1662" s="6">
        <v>0</v>
      </c>
      <c r="J1662" s="6">
        <v>0</v>
      </c>
    </row>
    <row r="1663" spans="2:10" outlineLevel="1" x14ac:dyDescent="0.25">
      <c r="B1663" s="3" t="s">
        <v>1234</v>
      </c>
      <c r="C1663" s="3" t="s">
        <v>1235</v>
      </c>
      <c r="D1663" s="3" t="s">
        <v>1236</v>
      </c>
      <c r="E1663" s="3" t="s">
        <v>1466</v>
      </c>
      <c r="F1663" s="3" t="s">
        <v>1467</v>
      </c>
      <c r="G1663" s="6">
        <v>0</v>
      </c>
      <c r="H1663" s="6">
        <v>0</v>
      </c>
      <c r="I1663" s="6">
        <v>0</v>
      </c>
      <c r="J1663" s="6">
        <v>0</v>
      </c>
    </row>
    <row r="1664" spans="2:10" outlineLevel="1" x14ac:dyDescent="0.25">
      <c r="B1664" s="3" t="s">
        <v>1234</v>
      </c>
      <c r="C1664" s="3" t="s">
        <v>1235</v>
      </c>
      <c r="D1664" s="3" t="s">
        <v>1236</v>
      </c>
      <c r="E1664" s="3" t="s">
        <v>1468</v>
      </c>
      <c r="F1664" s="3" t="s">
        <v>1469</v>
      </c>
      <c r="G1664" s="6">
        <v>0</v>
      </c>
      <c r="H1664" s="6">
        <v>0</v>
      </c>
      <c r="I1664" s="6">
        <v>0</v>
      </c>
      <c r="J1664" s="6">
        <v>0</v>
      </c>
    </row>
    <row r="1665" spans="2:10" outlineLevel="1" x14ac:dyDescent="0.25">
      <c r="B1665" s="3" t="s">
        <v>1234</v>
      </c>
      <c r="C1665" s="3" t="s">
        <v>1235</v>
      </c>
      <c r="D1665" s="3" t="s">
        <v>1236</v>
      </c>
      <c r="E1665" s="3" t="s">
        <v>857</v>
      </c>
      <c r="F1665" s="3" t="s">
        <v>1470</v>
      </c>
      <c r="G1665" s="6">
        <v>0</v>
      </c>
      <c r="H1665" s="6">
        <v>0</v>
      </c>
      <c r="I1665" s="6">
        <v>0</v>
      </c>
      <c r="J1665" s="6">
        <v>0</v>
      </c>
    </row>
    <row r="1666" spans="2:10" outlineLevel="1" x14ac:dyDescent="0.25">
      <c r="B1666" s="3" t="s">
        <v>1234</v>
      </c>
      <c r="C1666" s="3" t="s">
        <v>1235</v>
      </c>
      <c r="D1666" s="3" t="s">
        <v>1236</v>
      </c>
      <c r="E1666" s="3" t="s">
        <v>855</v>
      </c>
      <c r="F1666" s="3" t="s">
        <v>1471</v>
      </c>
      <c r="G1666" s="6">
        <v>0</v>
      </c>
      <c r="H1666" s="6">
        <v>0</v>
      </c>
      <c r="I1666" s="6">
        <v>0</v>
      </c>
      <c r="J1666" s="6">
        <v>0</v>
      </c>
    </row>
    <row r="1667" spans="2:10" outlineLevel="1" x14ac:dyDescent="0.25">
      <c r="B1667" s="3" t="s">
        <v>1234</v>
      </c>
      <c r="C1667" s="3" t="s">
        <v>1235</v>
      </c>
      <c r="D1667" s="3" t="s">
        <v>1236</v>
      </c>
      <c r="E1667" s="3" t="s">
        <v>1149</v>
      </c>
      <c r="F1667" s="3" t="s">
        <v>1472</v>
      </c>
      <c r="G1667" s="6">
        <v>0</v>
      </c>
      <c r="H1667" s="6">
        <v>0</v>
      </c>
      <c r="I1667" s="6">
        <v>0</v>
      </c>
      <c r="J1667" s="6">
        <v>0</v>
      </c>
    </row>
    <row r="1668" spans="2:10" outlineLevel="1" x14ac:dyDescent="0.25">
      <c r="B1668" s="3" t="s">
        <v>1234</v>
      </c>
      <c r="C1668" s="3" t="s">
        <v>1235</v>
      </c>
      <c r="D1668" s="3" t="s">
        <v>1236</v>
      </c>
      <c r="E1668" s="3" t="s">
        <v>1473</v>
      </c>
      <c r="F1668" s="3" t="s">
        <v>1474</v>
      </c>
      <c r="G1668" s="6">
        <v>0</v>
      </c>
      <c r="H1668" s="6">
        <v>0</v>
      </c>
      <c r="I1668" s="6">
        <v>0</v>
      </c>
      <c r="J1668" s="6">
        <v>0</v>
      </c>
    </row>
    <row r="1669" spans="2:10" outlineLevel="1" x14ac:dyDescent="0.25">
      <c r="B1669" s="3" t="s">
        <v>1234</v>
      </c>
      <c r="C1669" s="3" t="s">
        <v>1235</v>
      </c>
      <c r="D1669" s="3" t="s">
        <v>1236</v>
      </c>
      <c r="E1669" s="3" t="s">
        <v>756</v>
      </c>
      <c r="F1669" s="3" t="s">
        <v>1475</v>
      </c>
      <c r="G1669" s="6">
        <v>0</v>
      </c>
      <c r="H1669" s="6">
        <v>0</v>
      </c>
      <c r="I1669" s="6">
        <v>0</v>
      </c>
      <c r="J1669" s="6">
        <v>0</v>
      </c>
    </row>
    <row r="1670" spans="2:10" outlineLevel="1" x14ac:dyDescent="0.25">
      <c r="B1670" s="3" t="s">
        <v>1234</v>
      </c>
      <c r="C1670" s="3" t="s">
        <v>1235</v>
      </c>
      <c r="D1670" s="3" t="s">
        <v>1236</v>
      </c>
      <c r="E1670" s="3" t="s">
        <v>1476</v>
      </c>
      <c r="F1670" s="3" t="s">
        <v>1477</v>
      </c>
      <c r="G1670" s="6">
        <v>0</v>
      </c>
      <c r="H1670" s="6">
        <v>0</v>
      </c>
      <c r="I1670" s="6">
        <v>0</v>
      </c>
      <c r="J1670" s="6">
        <v>0</v>
      </c>
    </row>
    <row r="1671" spans="2:10" outlineLevel="1" x14ac:dyDescent="0.25">
      <c r="B1671" s="3" t="s">
        <v>1234</v>
      </c>
      <c r="C1671" s="3" t="s">
        <v>1235</v>
      </c>
      <c r="D1671" s="3" t="s">
        <v>1236</v>
      </c>
      <c r="E1671" s="3" t="s">
        <v>920</v>
      </c>
      <c r="F1671" s="3" t="s">
        <v>1478</v>
      </c>
      <c r="G1671" s="6">
        <v>0</v>
      </c>
      <c r="H1671" s="6">
        <v>0</v>
      </c>
      <c r="I1671" s="6">
        <v>0</v>
      </c>
      <c r="J1671" s="6">
        <v>0</v>
      </c>
    </row>
    <row r="1672" spans="2:10" outlineLevel="1" x14ac:dyDescent="0.25">
      <c r="B1672" s="3" t="s">
        <v>1234</v>
      </c>
      <c r="C1672" s="3" t="s">
        <v>1235</v>
      </c>
      <c r="D1672" s="3" t="s">
        <v>1236</v>
      </c>
      <c r="E1672" s="3" t="s">
        <v>922</v>
      </c>
      <c r="F1672" s="3" t="s">
        <v>1479</v>
      </c>
      <c r="G1672" s="6">
        <v>0</v>
      </c>
      <c r="H1672" s="6">
        <v>0</v>
      </c>
      <c r="I1672" s="6">
        <v>0</v>
      </c>
      <c r="J1672" s="6">
        <v>0</v>
      </c>
    </row>
    <row r="1673" spans="2:10" outlineLevel="1" x14ac:dyDescent="0.25">
      <c r="B1673" s="3" t="s">
        <v>1234</v>
      </c>
      <c r="C1673" s="3" t="s">
        <v>1235</v>
      </c>
      <c r="D1673" s="3" t="s">
        <v>1236</v>
      </c>
      <c r="E1673" s="3" t="s">
        <v>918</v>
      </c>
      <c r="F1673" s="3" t="s">
        <v>1480</v>
      </c>
      <c r="G1673" s="6">
        <v>0</v>
      </c>
      <c r="H1673" s="6">
        <v>0</v>
      </c>
      <c r="I1673" s="6">
        <v>0</v>
      </c>
      <c r="J1673" s="6">
        <v>0</v>
      </c>
    </row>
    <row r="1674" spans="2:10" outlineLevel="1" x14ac:dyDescent="0.25">
      <c r="B1674" s="3" t="s">
        <v>1234</v>
      </c>
      <c r="C1674" s="3" t="s">
        <v>1235</v>
      </c>
      <c r="D1674" s="3" t="s">
        <v>1236</v>
      </c>
      <c r="E1674" s="3" t="s">
        <v>870</v>
      </c>
      <c r="F1674" s="3" t="s">
        <v>1481</v>
      </c>
      <c r="G1674" s="6">
        <v>0</v>
      </c>
      <c r="H1674" s="6">
        <v>0</v>
      </c>
      <c r="I1674" s="6">
        <v>0</v>
      </c>
      <c r="J1674" s="6">
        <v>0</v>
      </c>
    </row>
    <row r="1675" spans="2:10" outlineLevel="1" x14ac:dyDescent="0.25">
      <c r="B1675" s="3" t="s">
        <v>1234</v>
      </c>
      <c r="C1675" s="3" t="s">
        <v>1235</v>
      </c>
      <c r="D1675" s="3" t="s">
        <v>1236</v>
      </c>
      <c r="E1675" s="3" t="s">
        <v>962</v>
      </c>
      <c r="F1675" s="3" t="s">
        <v>1482</v>
      </c>
      <c r="G1675" s="6">
        <v>0</v>
      </c>
      <c r="H1675" s="6">
        <v>0</v>
      </c>
      <c r="I1675" s="6">
        <v>0</v>
      </c>
      <c r="J1675" s="6">
        <v>0</v>
      </c>
    </row>
    <row r="1676" spans="2:10" outlineLevel="1" x14ac:dyDescent="0.25">
      <c r="B1676" s="3" t="s">
        <v>1234</v>
      </c>
      <c r="C1676" s="3" t="s">
        <v>1235</v>
      </c>
      <c r="D1676" s="3" t="s">
        <v>1236</v>
      </c>
      <c r="E1676" s="3" t="s">
        <v>868</v>
      </c>
      <c r="F1676" s="3" t="s">
        <v>1483</v>
      </c>
      <c r="G1676" s="6">
        <v>0</v>
      </c>
      <c r="H1676" s="6">
        <v>0</v>
      </c>
      <c r="I1676" s="6">
        <v>0</v>
      </c>
      <c r="J1676" s="6">
        <v>0</v>
      </c>
    </row>
    <row r="1677" spans="2:10" outlineLevel="1" x14ac:dyDescent="0.25">
      <c r="B1677" s="3" t="s">
        <v>1234</v>
      </c>
      <c r="C1677" s="3" t="s">
        <v>1235</v>
      </c>
      <c r="D1677" s="3" t="s">
        <v>1236</v>
      </c>
      <c r="E1677" s="3" t="s">
        <v>832</v>
      </c>
      <c r="F1677" s="3" t="s">
        <v>1484</v>
      </c>
      <c r="G1677" s="6">
        <v>0</v>
      </c>
      <c r="H1677" s="6">
        <v>0</v>
      </c>
      <c r="I1677" s="6">
        <v>0</v>
      </c>
      <c r="J1677" s="6">
        <v>0</v>
      </c>
    </row>
    <row r="1678" spans="2:10" outlineLevel="1" x14ac:dyDescent="0.25">
      <c r="B1678" s="3" t="s">
        <v>1234</v>
      </c>
      <c r="C1678" s="3" t="s">
        <v>1235</v>
      </c>
      <c r="D1678" s="3" t="s">
        <v>1236</v>
      </c>
      <c r="E1678" s="3" t="s">
        <v>1113</v>
      </c>
      <c r="F1678" s="3" t="s">
        <v>1485</v>
      </c>
      <c r="G1678" s="6">
        <v>0</v>
      </c>
      <c r="H1678" s="6">
        <v>0</v>
      </c>
      <c r="I1678" s="6">
        <v>0</v>
      </c>
      <c r="J1678" s="6">
        <v>0</v>
      </c>
    </row>
    <row r="1679" spans="2:10" outlineLevel="1" x14ac:dyDescent="0.25">
      <c r="B1679" s="3" t="s">
        <v>1234</v>
      </c>
      <c r="C1679" s="3" t="s">
        <v>1235</v>
      </c>
      <c r="D1679" s="3" t="s">
        <v>1236</v>
      </c>
      <c r="E1679" s="3" t="s">
        <v>1114</v>
      </c>
      <c r="F1679" s="3" t="s">
        <v>1486</v>
      </c>
      <c r="G1679" s="6">
        <v>0</v>
      </c>
      <c r="H1679" s="6">
        <v>0</v>
      </c>
      <c r="I1679" s="6">
        <v>0</v>
      </c>
      <c r="J1679" s="6">
        <v>0</v>
      </c>
    </row>
    <row r="1680" spans="2:10" outlineLevel="1" x14ac:dyDescent="0.25">
      <c r="B1680" s="3" t="s">
        <v>1234</v>
      </c>
      <c r="C1680" s="3" t="s">
        <v>1235</v>
      </c>
      <c r="D1680" s="3" t="s">
        <v>1236</v>
      </c>
      <c r="E1680" s="3" t="s">
        <v>574</v>
      </c>
      <c r="F1680" s="3" t="s">
        <v>1487</v>
      </c>
      <c r="G1680" s="6">
        <v>0</v>
      </c>
      <c r="H1680" s="6">
        <v>0</v>
      </c>
      <c r="I1680" s="6">
        <v>0</v>
      </c>
      <c r="J1680" s="6">
        <v>0</v>
      </c>
    </row>
    <row r="1681" spans="2:10" outlineLevel="1" x14ac:dyDescent="0.25">
      <c r="B1681" s="3" t="s">
        <v>1234</v>
      </c>
      <c r="C1681" s="3" t="s">
        <v>1235</v>
      </c>
      <c r="D1681" s="3" t="s">
        <v>1236</v>
      </c>
      <c r="E1681" s="3" t="s">
        <v>1488</v>
      </c>
      <c r="F1681" s="3" t="s">
        <v>1489</v>
      </c>
      <c r="G1681" s="6">
        <v>0</v>
      </c>
      <c r="H1681" s="6">
        <v>0</v>
      </c>
      <c r="I1681" s="6">
        <v>0</v>
      </c>
      <c r="J1681" s="6">
        <v>0</v>
      </c>
    </row>
    <row r="1682" spans="2:10" outlineLevel="1" x14ac:dyDescent="0.25">
      <c r="B1682" s="3" t="s">
        <v>1234</v>
      </c>
      <c r="C1682" s="3" t="s">
        <v>1235</v>
      </c>
      <c r="D1682" s="3" t="s">
        <v>1236</v>
      </c>
      <c r="E1682" s="3" t="s">
        <v>1490</v>
      </c>
      <c r="F1682" s="3" t="s">
        <v>1491</v>
      </c>
      <c r="G1682" s="6">
        <v>0</v>
      </c>
      <c r="H1682" s="6">
        <v>0</v>
      </c>
      <c r="I1682" s="6">
        <v>0</v>
      </c>
      <c r="J1682" s="6">
        <v>0</v>
      </c>
    </row>
    <row r="1683" spans="2:10" outlineLevel="1" x14ac:dyDescent="0.25">
      <c r="B1683" s="3" t="s">
        <v>1234</v>
      </c>
      <c r="C1683" s="3" t="s">
        <v>1235</v>
      </c>
      <c r="D1683" s="3" t="s">
        <v>1236</v>
      </c>
      <c r="E1683" s="3" t="s">
        <v>1492</v>
      </c>
      <c r="F1683" s="3" t="s">
        <v>1493</v>
      </c>
      <c r="G1683" s="6">
        <v>0</v>
      </c>
      <c r="H1683" s="6">
        <v>0</v>
      </c>
      <c r="I1683" s="6">
        <v>0</v>
      </c>
      <c r="J1683" s="6">
        <v>0</v>
      </c>
    </row>
    <row r="1684" spans="2:10" outlineLevel="1" x14ac:dyDescent="0.25">
      <c r="B1684" s="3" t="s">
        <v>1234</v>
      </c>
      <c r="C1684" s="3" t="s">
        <v>1235</v>
      </c>
      <c r="D1684" s="3" t="s">
        <v>1236</v>
      </c>
      <c r="E1684" s="3" t="s">
        <v>1494</v>
      </c>
      <c r="F1684" s="3" t="s">
        <v>1495</v>
      </c>
      <c r="G1684" s="6">
        <v>0</v>
      </c>
      <c r="H1684" s="6">
        <v>0</v>
      </c>
      <c r="I1684" s="6">
        <v>0</v>
      </c>
      <c r="J1684" s="6">
        <v>0</v>
      </c>
    </row>
    <row r="1685" spans="2:10" outlineLevel="1" x14ac:dyDescent="0.25">
      <c r="B1685" s="3" t="s">
        <v>1234</v>
      </c>
      <c r="C1685" s="3" t="s">
        <v>1235</v>
      </c>
      <c r="D1685" s="3" t="s">
        <v>1236</v>
      </c>
      <c r="E1685" s="3" t="s">
        <v>1496</v>
      </c>
      <c r="F1685" s="3" t="s">
        <v>1497</v>
      </c>
      <c r="G1685" s="6">
        <v>0</v>
      </c>
      <c r="H1685" s="6">
        <v>0</v>
      </c>
      <c r="I1685" s="6">
        <v>0</v>
      </c>
      <c r="J1685" s="6">
        <v>0</v>
      </c>
    </row>
    <row r="1686" spans="2:10" outlineLevel="1" x14ac:dyDescent="0.25">
      <c r="B1686" s="3" t="s">
        <v>1234</v>
      </c>
      <c r="C1686" s="3" t="s">
        <v>1235</v>
      </c>
      <c r="D1686" s="3" t="s">
        <v>1236</v>
      </c>
      <c r="E1686" s="3" t="s">
        <v>1498</v>
      </c>
      <c r="F1686" s="3" t="s">
        <v>1499</v>
      </c>
      <c r="G1686" s="6">
        <v>0</v>
      </c>
      <c r="H1686" s="6">
        <v>0</v>
      </c>
      <c r="I1686" s="6">
        <v>0</v>
      </c>
      <c r="J1686" s="6">
        <v>0</v>
      </c>
    </row>
    <row r="1687" spans="2:10" outlineLevel="1" x14ac:dyDescent="0.25">
      <c r="B1687" s="3" t="s">
        <v>1234</v>
      </c>
      <c r="C1687" s="3" t="s">
        <v>1235</v>
      </c>
      <c r="D1687" s="3" t="s">
        <v>1236</v>
      </c>
      <c r="E1687" s="3" t="s">
        <v>1500</v>
      </c>
      <c r="F1687" s="3" t="s">
        <v>1501</v>
      </c>
      <c r="G1687" s="6">
        <v>0</v>
      </c>
      <c r="H1687" s="6">
        <v>0</v>
      </c>
      <c r="I1687" s="6">
        <v>0</v>
      </c>
      <c r="J1687" s="6">
        <v>0</v>
      </c>
    </row>
    <row r="1688" spans="2:10" outlineLevel="1" x14ac:dyDescent="0.25">
      <c r="B1688" s="3" t="s">
        <v>1234</v>
      </c>
      <c r="C1688" s="3" t="s">
        <v>1235</v>
      </c>
      <c r="D1688" s="3" t="s">
        <v>1236</v>
      </c>
      <c r="E1688" s="3" t="s">
        <v>694</v>
      </c>
      <c r="F1688" s="3" t="s">
        <v>1502</v>
      </c>
      <c r="G1688" s="6">
        <v>0</v>
      </c>
      <c r="H1688" s="6">
        <v>0</v>
      </c>
      <c r="I1688" s="6">
        <v>0</v>
      </c>
      <c r="J1688" s="6">
        <v>0</v>
      </c>
    </row>
    <row r="1689" spans="2:10" outlineLevel="1" x14ac:dyDescent="0.25">
      <c r="B1689" s="3" t="s">
        <v>1234</v>
      </c>
      <c r="C1689" s="3" t="s">
        <v>1235</v>
      </c>
      <c r="D1689" s="3" t="s">
        <v>1236</v>
      </c>
      <c r="E1689" s="3" t="s">
        <v>752</v>
      </c>
      <c r="F1689" s="3" t="s">
        <v>1503</v>
      </c>
      <c r="G1689" s="6">
        <v>0</v>
      </c>
      <c r="H1689" s="6">
        <v>0</v>
      </c>
      <c r="I1689" s="6">
        <v>0</v>
      </c>
      <c r="J1689" s="6">
        <v>0</v>
      </c>
    </row>
    <row r="1690" spans="2:10" outlineLevel="1" x14ac:dyDescent="0.25">
      <c r="B1690" s="3" t="s">
        <v>1234</v>
      </c>
      <c r="C1690" s="3" t="s">
        <v>1235</v>
      </c>
      <c r="D1690" s="3" t="s">
        <v>1236</v>
      </c>
      <c r="E1690" s="3" t="s">
        <v>1151</v>
      </c>
      <c r="F1690" s="3" t="s">
        <v>1504</v>
      </c>
      <c r="G1690" s="6">
        <v>0</v>
      </c>
      <c r="H1690" s="6">
        <v>0</v>
      </c>
      <c r="I1690" s="6">
        <v>0</v>
      </c>
      <c r="J1690" s="6">
        <v>0</v>
      </c>
    </row>
    <row r="1691" spans="2:10" outlineLevel="1" x14ac:dyDescent="0.25">
      <c r="B1691" s="3" t="s">
        <v>1234</v>
      </c>
      <c r="C1691" s="3" t="s">
        <v>1235</v>
      </c>
      <c r="D1691" s="3" t="s">
        <v>1236</v>
      </c>
      <c r="E1691" s="3" t="s">
        <v>1505</v>
      </c>
      <c r="F1691" s="3" t="s">
        <v>1506</v>
      </c>
      <c r="G1691" s="6">
        <v>0</v>
      </c>
      <c r="H1691" s="6">
        <v>0</v>
      </c>
      <c r="I1691" s="6">
        <v>0</v>
      </c>
      <c r="J1691" s="6">
        <v>0</v>
      </c>
    </row>
    <row r="1692" spans="2:10" outlineLevel="1" x14ac:dyDescent="0.25">
      <c r="B1692" s="3" t="s">
        <v>1234</v>
      </c>
      <c r="C1692" s="3" t="s">
        <v>1235</v>
      </c>
      <c r="D1692" s="3" t="s">
        <v>1236</v>
      </c>
      <c r="E1692" s="3" t="s">
        <v>1507</v>
      </c>
      <c r="F1692" s="3" t="s">
        <v>1508</v>
      </c>
      <c r="G1692" s="6">
        <v>0</v>
      </c>
      <c r="H1692" s="6">
        <v>0</v>
      </c>
      <c r="I1692" s="6">
        <v>0</v>
      </c>
      <c r="J1692" s="6">
        <v>0</v>
      </c>
    </row>
    <row r="1693" spans="2:10" outlineLevel="1" x14ac:dyDescent="0.25">
      <c r="B1693" s="3" t="s">
        <v>1234</v>
      </c>
      <c r="C1693" s="3" t="s">
        <v>1235</v>
      </c>
      <c r="D1693" s="3" t="s">
        <v>1236</v>
      </c>
      <c r="E1693" s="3" t="s">
        <v>924</v>
      </c>
      <c r="F1693" s="3" t="s">
        <v>1509</v>
      </c>
      <c r="G1693" s="6">
        <v>0</v>
      </c>
      <c r="H1693" s="6">
        <v>0</v>
      </c>
      <c r="I1693" s="6">
        <v>0</v>
      </c>
      <c r="J1693" s="6">
        <v>0</v>
      </c>
    </row>
    <row r="1694" spans="2:10" outlineLevel="1" x14ac:dyDescent="0.25">
      <c r="B1694" s="3" t="s">
        <v>1234</v>
      </c>
      <c r="C1694" s="3" t="s">
        <v>1235</v>
      </c>
      <c r="D1694" s="3" t="s">
        <v>1236</v>
      </c>
      <c r="E1694" s="3" t="s">
        <v>926</v>
      </c>
      <c r="F1694" s="3" t="s">
        <v>1510</v>
      </c>
      <c r="G1694" s="6">
        <v>0</v>
      </c>
      <c r="H1694" s="6">
        <v>0</v>
      </c>
      <c r="I1694" s="6">
        <v>0</v>
      </c>
      <c r="J1694" s="6">
        <v>0</v>
      </c>
    </row>
    <row r="1695" spans="2:10" outlineLevel="1" x14ac:dyDescent="0.25">
      <c r="B1695" s="3" t="s">
        <v>1234</v>
      </c>
      <c r="C1695" s="3" t="s">
        <v>1235</v>
      </c>
      <c r="D1695" s="3" t="s">
        <v>1236</v>
      </c>
      <c r="E1695" s="3" t="s">
        <v>1511</v>
      </c>
      <c r="F1695" s="3" t="s">
        <v>1512</v>
      </c>
      <c r="G1695" s="6">
        <v>0</v>
      </c>
      <c r="H1695" s="6">
        <v>0</v>
      </c>
      <c r="I1695" s="6">
        <v>0</v>
      </c>
      <c r="J1695" s="6">
        <v>0</v>
      </c>
    </row>
    <row r="1696" spans="2:10" outlineLevel="1" x14ac:dyDescent="0.25">
      <c r="B1696" s="3" t="s">
        <v>1234</v>
      </c>
      <c r="C1696" s="3" t="s">
        <v>1235</v>
      </c>
      <c r="D1696" s="3" t="s">
        <v>1236</v>
      </c>
      <c r="E1696" s="3" t="s">
        <v>953</v>
      </c>
      <c r="F1696" s="3" t="s">
        <v>1513</v>
      </c>
      <c r="G1696" s="6">
        <v>0</v>
      </c>
      <c r="H1696" s="6">
        <v>0</v>
      </c>
      <c r="I1696" s="6">
        <v>0</v>
      </c>
      <c r="J1696" s="6">
        <v>0</v>
      </c>
    </row>
    <row r="1697" spans="2:10" outlineLevel="1" x14ac:dyDescent="0.25">
      <c r="B1697" s="3" t="s">
        <v>1234</v>
      </c>
      <c r="C1697" s="3" t="s">
        <v>1235</v>
      </c>
      <c r="D1697" s="3" t="s">
        <v>1236</v>
      </c>
      <c r="E1697" s="3" t="s">
        <v>1514</v>
      </c>
      <c r="F1697" s="3" t="s">
        <v>1515</v>
      </c>
      <c r="G1697" s="6">
        <v>0</v>
      </c>
      <c r="H1697" s="6">
        <v>0</v>
      </c>
      <c r="I1697" s="6">
        <v>0</v>
      </c>
      <c r="J1697" s="6">
        <v>0</v>
      </c>
    </row>
    <row r="1698" spans="2:10" outlineLevel="1" x14ac:dyDescent="0.25">
      <c r="B1698" s="3" t="s">
        <v>1234</v>
      </c>
      <c r="C1698" s="3" t="s">
        <v>1235</v>
      </c>
      <c r="D1698" s="3" t="s">
        <v>1236</v>
      </c>
      <c r="E1698" s="3" t="s">
        <v>1516</v>
      </c>
      <c r="F1698" s="3" t="s">
        <v>1517</v>
      </c>
      <c r="G1698" s="6">
        <v>0</v>
      </c>
      <c r="H1698" s="6">
        <v>0</v>
      </c>
      <c r="I1698" s="6">
        <v>0</v>
      </c>
      <c r="J1698" s="6">
        <v>0</v>
      </c>
    </row>
    <row r="1699" spans="2:10" outlineLevel="1" x14ac:dyDescent="0.25">
      <c r="B1699" s="3" t="s">
        <v>1234</v>
      </c>
      <c r="C1699" s="3" t="s">
        <v>1235</v>
      </c>
      <c r="D1699" s="3" t="s">
        <v>1236</v>
      </c>
      <c r="E1699" s="3" t="s">
        <v>1222</v>
      </c>
      <c r="F1699" s="3" t="s">
        <v>1518</v>
      </c>
      <c r="G1699" s="6">
        <v>0</v>
      </c>
      <c r="H1699" s="6">
        <v>0</v>
      </c>
      <c r="I1699" s="6">
        <v>0</v>
      </c>
      <c r="J1699" s="6">
        <v>0</v>
      </c>
    </row>
    <row r="1700" spans="2:10" outlineLevel="1" x14ac:dyDescent="0.25">
      <c r="B1700" s="3" t="s">
        <v>1234</v>
      </c>
      <c r="C1700" s="3" t="s">
        <v>1235</v>
      </c>
      <c r="D1700" s="3" t="s">
        <v>1236</v>
      </c>
      <c r="E1700" s="3" t="s">
        <v>576</v>
      </c>
      <c r="F1700" s="3" t="s">
        <v>1519</v>
      </c>
      <c r="G1700" s="6">
        <v>0</v>
      </c>
      <c r="H1700" s="6">
        <v>0</v>
      </c>
      <c r="I1700" s="6">
        <v>0</v>
      </c>
      <c r="J1700" s="6">
        <v>0</v>
      </c>
    </row>
    <row r="1701" spans="2:10" outlineLevel="1" x14ac:dyDescent="0.25">
      <c r="B1701" s="3" t="s">
        <v>1234</v>
      </c>
      <c r="C1701" s="3" t="s">
        <v>1235</v>
      </c>
      <c r="D1701" s="3" t="s">
        <v>1236</v>
      </c>
      <c r="E1701" s="3" t="s">
        <v>578</v>
      </c>
      <c r="F1701" s="3" t="s">
        <v>1520</v>
      </c>
      <c r="G1701" s="6">
        <v>0</v>
      </c>
      <c r="H1701" s="6">
        <v>0</v>
      </c>
      <c r="I1701" s="6">
        <v>0</v>
      </c>
      <c r="J1701" s="6">
        <v>0</v>
      </c>
    </row>
    <row r="1702" spans="2:10" outlineLevel="1" x14ac:dyDescent="0.25">
      <c r="B1702" s="3" t="s">
        <v>1234</v>
      </c>
      <c r="C1702" s="3" t="s">
        <v>1235</v>
      </c>
      <c r="D1702" s="3" t="s">
        <v>1236</v>
      </c>
      <c r="E1702" s="3" t="s">
        <v>1521</v>
      </c>
      <c r="F1702" s="3" t="s">
        <v>1522</v>
      </c>
      <c r="G1702" s="6">
        <v>0</v>
      </c>
      <c r="H1702" s="6">
        <v>0</v>
      </c>
      <c r="I1702" s="6">
        <v>0</v>
      </c>
      <c r="J1702" s="6">
        <v>0</v>
      </c>
    </row>
    <row r="1703" spans="2:10" outlineLevel="1" x14ac:dyDescent="0.25">
      <c r="B1703" s="3" t="s">
        <v>1234</v>
      </c>
      <c r="C1703" s="3" t="s">
        <v>1235</v>
      </c>
      <c r="D1703" s="3" t="s">
        <v>1236</v>
      </c>
      <c r="E1703" s="3" t="s">
        <v>1523</v>
      </c>
      <c r="F1703" s="3" t="s">
        <v>1524</v>
      </c>
      <c r="G1703" s="6">
        <v>0</v>
      </c>
      <c r="H1703" s="6">
        <v>0</v>
      </c>
      <c r="I1703" s="6">
        <v>0</v>
      </c>
      <c r="J1703" s="6">
        <v>0</v>
      </c>
    </row>
    <row r="1704" spans="2:10" outlineLevel="1" x14ac:dyDescent="0.25">
      <c r="B1704" s="3" t="s">
        <v>1234</v>
      </c>
      <c r="C1704" s="3" t="s">
        <v>1235</v>
      </c>
      <c r="D1704" s="3" t="s">
        <v>1236</v>
      </c>
      <c r="E1704" s="3" t="s">
        <v>1525</v>
      </c>
      <c r="F1704" s="3" t="s">
        <v>1526</v>
      </c>
      <c r="G1704" s="6">
        <v>0</v>
      </c>
      <c r="H1704" s="6">
        <v>0</v>
      </c>
      <c r="I1704" s="6">
        <v>0</v>
      </c>
      <c r="J1704" s="6">
        <v>0</v>
      </c>
    </row>
    <row r="1705" spans="2:10" outlineLevel="1" x14ac:dyDescent="0.25">
      <c r="B1705" s="3" t="s">
        <v>1234</v>
      </c>
      <c r="C1705" s="3" t="s">
        <v>1235</v>
      </c>
      <c r="D1705" s="3" t="s">
        <v>1236</v>
      </c>
      <c r="E1705" s="3" t="s">
        <v>1527</v>
      </c>
      <c r="F1705" s="3" t="s">
        <v>1528</v>
      </c>
      <c r="G1705" s="6">
        <v>0</v>
      </c>
      <c r="H1705" s="6">
        <v>0</v>
      </c>
      <c r="I1705" s="6">
        <v>0</v>
      </c>
      <c r="J1705" s="6">
        <v>0</v>
      </c>
    </row>
    <row r="1706" spans="2:10" outlineLevel="1" x14ac:dyDescent="0.25">
      <c r="B1706" s="3" t="s">
        <v>1234</v>
      </c>
      <c r="C1706" s="3" t="s">
        <v>1235</v>
      </c>
      <c r="D1706" s="3" t="s">
        <v>1236</v>
      </c>
      <c r="E1706" s="3" t="s">
        <v>1529</v>
      </c>
      <c r="F1706" s="3" t="s">
        <v>1530</v>
      </c>
      <c r="G1706" s="6">
        <v>0</v>
      </c>
      <c r="H1706" s="6">
        <v>0</v>
      </c>
      <c r="I1706" s="6">
        <v>0</v>
      </c>
      <c r="J1706" s="6">
        <v>0</v>
      </c>
    </row>
    <row r="1707" spans="2:10" outlineLevel="1" x14ac:dyDescent="0.25">
      <c r="B1707" s="3" t="s">
        <v>1234</v>
      </c>
      <c r="C1707" s="3" t="s">
        <v>1235</v>
      </c>
      <c r="D1707" s="3" t="s">
        <v>1236</v>
      </c>
      <c r="E1707" s="3" t="s">
        <v>1531</v>
      </c>
      <c r="F1707" s="3" t="s">
        <v>1532</v>
      </c>
      <c r="G1707" s="6">
        <v>0</v>
      </c>
      <c r="H1707" s="6">
        <v>0</v>
      </c>
      <c r="I1707" s="6">
        <v>0</v>
      </c>
      <c r="J1707" s="6">
        <v>0</v>
      </c>
    </row>
    <row r="1708" spans="2:10" outlineLevel="1" x14ac:dyDescent="0.25">
      <c r="B1708" s="3" t="s">
        <v>1234</v>
      </c>
      <c r="C1708" s="3" t="s">
        <v>1235</v>
      </c>
      <c r="D1708" s="3" t="s">
        <v>1236</v>
      </c>
      <c r="E1708" s="3" t="s">
        <v>1533</v>
      </c>
      <c r="F1708" s="3" t="s">
        <v>1534</v>
      </c>
      <c r="G1708" s="6">
        <v>0</v>
      </c>
      <c r="H1708" s="6">
        <v>0</v>
      </c>
      <c r="I1708" s="6">
        <v>0</v>
      </c>
      <c r="J1708" s="6">
        <v>0</v>
      </c>
    </row>
    <row r="1709" spans="2:10" outlineLevel="1" x14ac:dyDescent="0.25">
      <c r="B1709" s="3" t="s">
        <v>1234</v>
      </c>
      <c r="C1709" s="3" t="s">
        <v>1235</v>
      </c>
      <c r="D1709" s="3" t="s">
        <v>1236</v>
      </c>
      <c r="E1709" s="3" t="s">
        <v>1535</v>
      </c>
      <c r="F1709" s="3" t="s">
        <v>1536</v>
      </c>
      <c r="G1709" s="6">
        <v>0</v>
      </c>
      <c r="H1709" s="6">
        <v>0</v>
      </c>
      <c r="I1709" s="6">
        <v>0</v>
      </c>
      <c r="J1709" s="6">
        <v>0</v>
      </c>
    </row>
    <row r="1710" spans="2:10" outlineLevel="1" x14ac:dyDescent="0.25">
      <c r="B1710" s="3" t="s">
        <v>1234</v>
      </c>
      <c r="C1710" s="3" t="s">
        <v>1235</v>
      </c>
      <c r="D1710" s="3" t="s">
        <v>1236</v>
      </c>
      <c r="E1710" s="3" t="s">
        <v>1537</v>
      </c>
      <c r="F1710" s="3" t="s">
        <v>1538</v>
      </c>
      <c r="G1710" s="6">
        <v>0</v>
      </c>
      <c r="H1710" s="6">
        <v>0</v>
      </c>
      <c r="I1710" s="6">
        <v>0</v>
      </c>
      <c r="J1710" s="6">
        <v>0</v>
      </c>
    </row>
    <row r="1711" spans="2:10" outlineLevel="1" x14ac:dyDescent="0.25">
      <c r="B1711" s="3" t="s">
        <v>1234</v>
      </c>
      <c r="C1711" s="3" t="s">
        <v>1235</v>
      </c>
      <c r="D1711" s="3" t="s">
        <v>1236</v>
      </c>
      <c r="E1711" s="3" t="s">
        <v>1539</v>
      </c>
      <c r="F1711" s="3" t="s">
        <v>1540</v>
      </c>
      <c r="G1711" s="6">
        <v>0</v>
      </c>
      <c r="H1711" s="6">
        <v>0</v>
      </c>
      <c r="I1711" s="6">
        <v>0</v>
      </c>
      <c r="J1711" s="6">
        <v>0</v>
      </c>
    </row>
    <row r="1712" spans="2:10" outlineLevel="1" x14ac:dyDescent="0.25">
      <c r="B1712" s="3" t="s">
        <v>1234</v>
      </c>
      <c r="C1712" s="3" t="s">
        <v>1235</v>
      </c>
      <c r="D1712" s="3" t="s">
        <v>1236</v>
      </c>
      <c r="E1712" s="3" t="s">
        <v>483</v>
      </c>
      <c r="F1712" s="3" t="s">
        <v>1541</v>
      </c>
      <c r="G1712" s="6">
        <v>0</v>
      </c>
      <c r="H1712" s="6">
        <v>0</v>
      </c>
      <c r="I1712" s="6">
        <v>0</v>
      </c>
      <c r="J1712" s="6">
        <v>0</v>
      </c>
    </row>
    <row r="1713" spans="2:10" outlineLevel="1" x14ac:dyDescent="0.25">
      <c r="B1713" s="3" t="s">
        <v>1234</v>
      </c>
      <c r="C1713" s="3" t="s">
        <v>1235</v>
      </c>
      <c r="D1713" s="3" t="s">
        <v>1236</v>
      </c>
      <c r="E1713" s="3" t="s">
        <v>1542</v>
      </c>
      <c r="F1713" s="3" t="s">
        <v>1543</v>
      </c>
      <c r="G1713" s="6">
        <v>0</v>
      </c>
      <c r="H1713" s="6">
        <v>0</v>
      </c>
      <c r="I1713" s="6">
        <v>0</v>
      </c>
      <c r="J1713" s="6">
        <v>0</v>
      </c>
    </row>
    <row r="1714" spans="2:10" outlineLevel="1" x14ac:dyDescent="0.25">
      <c r="B1714" s="3" t="s">
        <v>1234</v>
      </c>
      <c r="C1714" s="3" t="s">
        <v>1235</v>
      </c>
      <c r="D1714" s="3" t="s">
        <v>1236</v>
      </c>
      <c r="E1714" s="3" t="s">
        <v>1544</v>
      </c>
      <c r="F1714" s="3" t="s">
        <v>1545</v>
      </c>
      <c r="G1714" s="6">
        <v>0</v>
      </c>
      <c r="H1714" s="6">
        <v>0</v>
      </c>
      <c r="I1714" s="6">
        <v>0</v>
      </c>
      <c r="J1714" s="6">
        <v>0</v>
      </c>
    </row>
    <row r="1715" spans="2:10" outlineLevel="1" x14ac:dyDescent="0.25">
      <c r="B1715" s="3" t="s">
        <v>1234</v>
      </c>
      <c r="C1715" s="3" t="s">
        <v>1235</v>
      </c>
      <c r="D1715" s="3" t="s">
        <v>1236</v>
      </c>
      <c r="E1715" s="3" t="s">
        <v>1546</v>
      </c>
      <c r="F1715" s="3" t="s">
        <v>1547</v>
      </c>
      <c r="G1715" s="6">
        <v>0</v>
      </c>
      <c r="H1715" s="6">
        <v>0</v>
      </c>
      <c r="I1715" s="6">
        <v>0</v>
      </c>
      <c r="J1715" s="6">
        <v>0</v>
      </c>
    </row>
    <row r="1716" spans="2:10" outlineLevel="1" x14ac:dyDescent="0.25">
      <c r="B1716" s="3" t="s">
        <v>1234</v>
      </c>
      <c r="C1716" s="3" t="s">
        <v>1235</v>
      </c>
      <c r="D1716" s="3" t="s">
        <v>1236</v>
      </c>
      <c r="E1716" s="3" t="s">
        <v>1548</v>
      </c>
      <c r="F1716" s="3" t="s">
        <v>1549</v>
      </c>
      <c r="G1716" s="6">
        <v>0</v>
      </c>
      <c r="H1716" s="6">
        <v>0</v>
      </c>
      <c r="I1716" s="6">
        <v>0</v>
      </c>
      <c r="J1716" s="6">
        <v>0</v>
      </c>
    </row>
    <row r="1717" spans="2:10" outlineLevel="1" x14ac:dyDescent="0.25">
      <c r="B1717" s="3" t="s">
        <v>1234</v>
      </c>
      <c r="C1717" s="3" t="s">
        <v>1235</v>
      </c>
      <c r="D1717" s="3" t="s">
        <v>1236</v>
      </c>
      <c r="E1717" s="3" t="s">
        <v>1550</v>
      </c>
      <c r="F1717" s="3" t="s">
        <v>1551</v>
      </c>
      <c r="G1717" s="6">
        <v>0</v>
      </c>
      <c r="H1717" s="6">
        <v>0</v>
      </c>
      <c r="I1717" s="6">
        <v>0</v>
      </c>
      <c r="J1717" s="6">
        <v>0</v>
      </c>
    </row>
    <row r="1718" spans="2:10" outlineLevel="1" x14ac:dyDescent="0.25">
      <c r="B1718" s="3" t="s">
        <v>1234</v>
      </c>
      <c r="C1718" s="3" t="s">
        <v>1235</v>
      </c>
      <c r="D1718" s="3" t="s">
        <v>1236</v>
      </c>
      <c r="E1718" s="3" t="s">
        <v>1552</v>
      </c>
      <c r="F1718" s="3" t="s">
        <v>1553</v>
      </c>
      <c r="G1718" s="6">
        <v>0</v>
      </c>
      <c r="H1718" s="6">
        <v>0</v>
      </c>
      <c r="I1718" s="6">
        <v>0</v>
      </c>
      <c r="J1718" s="6">
        <v>0</v>
      </c>
    </row>
    <row r="1719" spans="2:10" outlineLevel="1" x14ac:dyDescent="0.25">
      <c r="B1719" s="3" t="s">
        <v>1234</v>
      </c>
      <c r="C1719" s="3" t="s">
        <v>1235</v>
      </c>
      <c r="D1719" s="3" t="s">
        <v>1236</v>
      </c>
      <c r="E1719" s="3" t="s">
        <v>1554</v>
      </c>
      <c r="F1719" s="3" t="s">
        <v>1555</v>
      </c>
      <c r="G1719" s="6">
        <v>0</v>
      </c>
      <c r="H1719" s="6">
        <v>0</v>
      </c>
      <c r="I1719" s="6">
        <v>0</v>
      </c>
      <c r="J1719" s="6">
        <v>0</v>
      </c>
    </row>
    <row r="1720" spans="2:10" outlineLevel="1" x14ac:dyDescent="0.25">
      <c r="B1720" s="3" t="s">
        <v>1234</v>
      </c>
      <c r="C1720" s="3" t="s">
        <v>1235</v>
      </c>
      <c r="D1720" s="3" t="s">
        <v>1236</v>
      </c>
      <c r="E1720" s="3" t="s">
        <v>1556</v>
      </c>
      <c r="F1720" s="3" t="s">
        <v>1557</v>
      </c>
      <c r="G1720" s="6">
        <v>0</v>
      </c>
      <c r="H1720" s="6">
        <v>0</v>
      </c>
      <c r="I1720" s="6">
        <v>0</v>
      </c>
      <c r="J1720" s="6">
        <v>0</v>
      </c>
    </row>
    <row r="1721" spans="2:10" outlineLevel="1" x14ac:dyDescent="0.25">
      <c r="B1721" s="3" t="s">
        <v>1234</v>
      </c>
      <c r="C1721" s="3" t="s">
        <v>1235</v>
      </c>
      <c r="D1721" s="3" t="s">
        <v>1236</v>
      </c>
      <c r="E1721" s="3" t="s">
        <v>1558</v>
      </c>
      <c r="F1721" s="3" t="s">
        <v>1559</v>
      </c>
      <c r="G1721" s="6">
        <v>0</v>
      </c>
      <c r="H1721" s="6">
        <v>0</v>
      </c>
      <c r="I1721" s="6">
        <v>0</v>
      </c>
      <c r="J1721" s="6">
        <v>0</v>
      </c>
    </row>
    <row r="1722" spans="2:10" outlineLevel="1" x14ac:dyDescent="0.25">
      <c r="B1722" s="3" t="s">
        <v>1234</v>
      </c>
      <c r="C1722" s="3" t="s">
        <v>1235</v>
      </c>
      <c r="D1722" s="3" t="s">
        <v>1236</v>
      </c>
      <c r="E1722" s="3" t="s">
        <v>1560</v>
      </c>
      <c r="F1722" s="3" t="s">
        <v>1561</v>
      </c>
      <c r="G1722" s="6">
        <v>0</v>
      </c>
      <c r="H1722" s="6">
        <v>0</v>
      </c>
      <c r="I1722" s="6">
        <v>0</v>
      </c>
      <c r="J1722" s="6">
        <v>0</v>
      </c>
    </row>
    <row r="1723" spans="2:10" outlineLevel="1" x14ac:dyDescent="0.25">
      <c r="B1723" s="3" t="s">
        <v>1234</v>
      </c>
      <c r="C1723" s="3" t="s">
        <v>1235</v>
      </c>
      <c r="D1723" s="3" t="s">
        <v>1236</v>
      </c>
      <c r="E1723" s="3" t="s">
        <v>1562</v>
      </c>
      <c r="F1723" s="3" t="s">
        <v>1563</v>
      </c>
      <c r="G1723" s="6">
        <v>0</v>
      </c>
      <c r="H1723" s="6">
        <v>0</v>
      </c>
      <c r="I1723" s="6">
        <v>0</v>
      </c>
      <c r="J1723" s="6">
        <v>0</v>
      </c>
    </row>
    <row r="1724" spans="2:10" outlineLevel="1" x14ac:dyDescent="0.25">
      <c r="B1724" s="3" t="s">
        <v>1234</v>
      </c>
      <c r="C1724" s="3" t="s">
        <v>1235</v>
      </c>
      <c r="D1724" s="3" t="s">
        <v>1236</v>
      </c>
      <c r="E1724" s="3" t="s">
        <v>1564</v>
      </c>
      <c r="F1724" s="3" t="s">
        <v>1565</v>
      </c>
      <c r="G1724" s="6">
        <v>0</v>
      </c>
      <c r="H1724" s="6">
        <v>0</v>
      </c>
      <c r="I1724" s="6">
        <v>0</v>
      </c>
      <c r="J1724" s="6">
        <v>0</v>
      </c>
    </row>
    <row r="1725" spans="2:10" outlineLevel="1" x14ac:dyDescent="0.25">
      <c r="B1725" s="3" t="s">
        <v>1234</v>
      </c>
      <c r="C1725" s="3" t="s">
        <v>1235</v>
      </c>
      <c r="D1725" s="3" t="s">
        <v>1236</v>
      </c>
      <c r="E1725" s="3" t="s">
        <v>1566</v>
      </c>
      <c r="F1725" s="3" t="s">
        <v>1567</v>
      </c>
      <c r="G1725" s="6">
        <v>0</v>
      </c>
      <c r="H1725" s="6">
        <v>0</v>
      </c>
      <c r="I1725" s="6">
        <v>0</v>
      </c>
      <c r="J1725" s="6">
        <v>0</v>
      </c>
    </row>
    <row r="1726" spans="2:10" outlineLevel="1" x14ac:dyDescent="0.25">
      <c r="B1726" s="3" t="s">
        <v>1234</v>
      </c>
      <c r="C1726" s="3" t="s">
        <v>1235</v>
      </c>
      <c r="D1726" s="3" t="s">
        <v>1236</v>
      </c>
      <c r="E1726" s="3" t="s">
        <v>316</v>
      </c>
      <c r="F1726" s="3" t="s">
        <v>1568</v>
      </c>
      <c r="G1726" s="6">
        <v>0</v>
      </c>
      <c r="H1726" s="6">
        <v>0</v>
      </c>
      <c r="I1726" s="6">
        <v>0</v>
      </c>
      <c r="J1726" s="6">
        <v>0</v>
      </c>
    </row>
    <row r="1727" spans="2:10" outlineLevel="1" x14ac:dyDescent="0.25">
      <c r="B1727" s="3" t="s">
        <v>1234</v>
      </c>
      <c r="C1727" s="3" t="s">
        <v>1235</v>
      </c>
      <c r="D1727" s="3" t="s">
        <v>1236</v>
      </c>
      <c r="E1727" s="3" t="s">
        <v>1569</v>
      </c>
      <c r="F1727" s="3" t="s">
        <v>1570</v>
      </c>
      <c r="G1727" s="6">
        <v>0</v>
      </c>
      <c r="H1727" s="6">
        <v>0</v>
      </c>
      <c r="I1727" s="6">
        <v>0</v>
      </c>
      <c r="J1727" s="6">
        <v>0</v>
      </c>
    </row>
    <row r="1728" spans="2:10" outlineLevel="1" x14ac:dyDescent="0.25">
      <c r="B1728" s="3" t="s">
        <v>1234</v>
      </c>
      <c r="C1728" s="3" t="s">
        <v>1235</v>
      </c>
      <c r="D1728" s="3" t="s">
        <v>1236</v>
      </c>
      <c r="E1728" s="3" t="s">
        <v>1571</v>
      </c>
      <c r="F1728" s="3" t="s">
        <v>1572</v>
      </c>
      <c r="G1728" s="6">
        <v>0</v>
      </c>
      <c r="H1728" s="6">
        <v>0</v>
      </c>
      <c r="I1728" s="6">
        <v>0</v>
      </c>
      <c r="J1728" s="6">
        <v>0</v>
      </c>
    </row>
    <row r="1729" spans="2:10" outlineLevel="1" x14ac:dyDescent="0.25">
      <c r="B1729" s="3" t="s">
        <v>1234</v>
      </c>
      <c r="C1729" s="3" t="s">
        <v>1235</v>
      </c>
      <c r="D1729" s="3" t="s">
        <v>1236</v>
      </c>
      <c r="E1729" s="3" t="s">
        <v>1573</v>
      </c>
      <c r="F1729" s="3" t="s">
        <v>1574</v>
      </c>
      <c r="G1729" s="6">
        <v>0</v>
      </c>
      <c r="H1729" s="6">
        <v>0</v>
      </c>
      <c r="I1729" s="6">
        <v>0</v>
      </c>
      <c r="J1729" s="6">
        <v>0</v>
      </c>
    </row>
    <row r="1730" spans="2:10" outlineLevel="1" x14ac:dyDescent="0.25">
      <c r="B1730" s="3" t="s">
        <v>1234</v>
      </c>
      <c r="C1730" s="3" t="s">
        <v>1235</v>
      </c>
      <c r="D1730" s="3" t="s">
        <v>1236</v>
      </c>
      <c r="E1730" s="3" t="s">
        <v>1575</v>
      </c>
      <c r="F1730" s="3" t="s">
        <v>1576</v>
      </c>
      <c r="G1730" s="6">
        <v>0</v>
      </c>
      <c r="H1730" s="6">
        <v>0</v>
      </c>
      <c r="I1730" s="6">
        <v>0</v>
      </c>
      <c r="J1730" s="6">
        <v>0</v>
      </c>
    </row>
    <row r="1731" spans="2:10" outlineLevel="1" x14ac:dyDescent="0.25">
      <c r="B1731" s="3" t="s">
        <v>1234</v>
      </c>
      <c r="C1731" s="3" t="s">
        <v>1235</v>
      </c>
      <c r="D1731" s="3" t="s">
        <v>1236</v>
      </c>
      <c r="E1731" s="3" t="s">
        <v>1577</v>
      </c>
      <c r="F1731" s="3" t="s">
        <v>1578</v>
      </c>
      <c r="G1731" s="6">
        <v>0</v>
      </c>
      <c r="H1731" s="6">
        <v>0</v>
      </c>
      <c r="I1731" s="6">
        <v>0</v>
      </c>
      <c r="J1731" s="6">
        <v>0</v>
      </c>
    </row>
    <row r="1732" spans="2:10" outlineLevel="1" x14ac:dyDescent="0.25">
      <c r="B1732" s="3" t="s">
        <v>1234</v>
      </c>
      <c r="C1732" s="3" t="s">
        <v>1235</v>
      </c>
      <c r="D1732" s="3" t="s">
        <v>1236</v>
      </c>
      <c r="E1732" s="3" t="s">
        <v>1579</v>
      </c>
      <c r="F1732" s="3" t="s">
        <v>1580</v>
      </c>
      <c r="G1732" s="6">
        <v>0</v>
      </c>
      <c r="H1732" s="6">
        <v>0</v>
      </c>
      <c r="I1732" s="6">
        <v>0</v>
      </c>
      <c r="J1732" s="6">
        <v>0</v>
      </c>
    </row>
    <row r="1733" spans="2:10" outlineLevel="1" x14ac:dyDescent="0.25">
      <c r="B1733" s="3" t="s">
        <v>1234</v>
      </c>
      <c r="C1733" s="3" t="s">
        <v>1235</v>
      </c>
      <c r="D1733" s="3" t="s">
        <v>1236</v>
      </c>
      <c r="E1733" s="3" t="s">
        <v>1581</v>
      </c>
      <c r="F1733" s="3" t="s">
        <v>1582</v>
      </c>
      <c r="G1733" s="6">
        <v>0</v>
      </c>
      <c r="H1733" s="6">
        <v>0</v>
      </c>
      <c r="I1733" s="6">
        <v>0</v>
      </c>
      <c r="J1733" s="6">
        <v>0</v>
      </c>
    </row>
    <row r="1734" spans="2:10" outlineLevel="1" x14ac:dyDescent="0.25">
      <c r="B1734" s="3" t="s">
        <v>1234</v>
      </c>
      <c r="C1734" s="3" t="s">
        <v>1235</v>
      </c>
      <c r="D1734" s="3" t="s">
        <v>1236</v>
      </c>
      <c r="E1734" s="3" t="s">
        <v>1583</v>
      </c>
      <c r="F1734" s="3" t="s">
        <v>1584</v>
      </c>
      <c r="G1734" s="6">
        <v>0</v>
      </c>
      <c r="H1734" s="6">
        <v>0</v>
      </c>
      <c r="I1734" s="6">
        <v>0</v>
      </c>
      <c r="J1734" s="6">
        <v>0</v>
      </c>
    </row>
    <row r="1735" spans="2:10" outlineLevel="1" x14ac:dyDescent="0.25">
      <c r="B1735" s="3" t="s">
        <v>1234</v>
      </c>
      <c r="C1735" s="3" t="s">
        <v>1235</v>
      </c>
      <c r="D1735" s="3" t="s">
        <v>1236</v>
      </c>
      <c r="E1735" s="3" t="s">
        <v>1585</v>
      </c>
      <c r="F1735" s="3" t="s">
        <v>1586</v>
      </c>
      <c r="G1735" s="6">
        <v>0</v>
      </c>
      <c r="H1735" s="6">
        <v>0</v>
      </c>
      <c r="I1735" s="6">
        <v>0</v>
      </c>
      <c r="J1735" s="6">
        <v>0</v>
      </c>
    </row>
    <row r="1736" spans="2:10" outlineLevel="1" x14ac:dyDescent="0.25">
      <c r="B1736" s="3" t="s">
        <v>1234</v>
      </c>
      <c r="C1736" s="3" t="s">
        <v>1235</v>
      </c>
      <c r="D1736" s="3" t="s">
        <v>1236</v>
      </c>
      <c r="E1736" s="3" t="s">
        <v>1587</v>
      </c>
      <c r="F1736" s="3" t="s">
        <v>1588</v>
      </c>
      <c r="G1736" s="6">
        <v>0</v>
      </c>
      <c r="H1736" s="6">
        <v>0</v>
      </c>
      <c r="I1736" s="6">
        <v>0</v>
      </c>
      <c r="J1736" s="6">
        <v>0</v>
      </c>
    </row>
    <row r="1737" spans="2:10" outlineLevel="1" x14ac:dyDescent="0.25">
      <c r="B1737" s="3" t="s">
        <v>1234</v>
      </c>
      <c r="C1737" s="3" t="s">
        <v>1235</v>
      </c>
      <c r="D1737" s="3" t="s">
        <v>1236</v>
      </c>
      <c r="E1737" s="3" t="s">
        <v>1589</v>
      </c>
      <c r="F1737" s="3" t="s">
        <v>1590</v>
      </c>
      <c r="G1737" s="6">
        <v>0</v>
      </c>
      <c r="H1737" s="6">
        <v>0</v>
      </c>
      <c r="I1737" s="6">
        <v>0</v>
      </c>
      <c r="J1737" s="6">
        <v>0</v>
      </c>
    </row>
    <row r="1738" spans="2:10" outlineLevel="1" x14ac:dyDescent="0.25">
      <c r="B1738" s="3" t="s">
        <v>1234</v>
      </c>
      <c r="C1738" s="3" t="s">
        <v>1235</v>
      </c>
      <c r="D1738" s="3" t="s">
        <v>1236</v>
      </c>
      <c r="E1738" s="3" t="s">
        <v>1591</v>
      </c>
      <c r="F1738" s="3" t="s">
        <v>1592</v>
      </c>
      <c r="G1738" s="6">
        <v>0</v>
      </c>
      <c r="H1738" s="6">
        <v>0</v>
      </c>
      <c r="I1738" s="6">
        <v>0</v>
      </c>
      <c r="J1738" s="6">
        <v>0</v>
      </c>
    </row>
    <row r="1739" spans="2:10" outlineLevel="1" x14ac:dyDescent="0.25">
      <c r="B1739" s="3" t="s">
        <v>1234</v>
      </c>
      <c r="C1739" s="3" t="s">
        <v>1235</v>
      </c>
      <c r="D1739" s="3" t="s">
        <v>1236</v>
      </c>
      <c r="E1739" s="3" t="s">
        <v>1593</v>
      </c>
      <c r="F1739" s="3" t="s">
        <v>1594</v>
      </c>
      <c r="G1739" s="6">
        <v>0</v>
      </c>
      <c r="H1739" s="6">
        <v>0</v>
      </c>
      <c r="I1739" s="6">
        <v>0</v>
      </c>
      <c r="J1739" s="6">
        <v>0</v>
      </c>
    </row>
    <row r="1740" spans="2:10" outlineLevel="1" x14ac:dyDescent="0.25">
      <c r="B1740" s="3" t="s">
        <v>1234</v>
      </c>
      <c r="C1740" s="3" t="s">
        <v>1235</v>
      </c>
      <c r="D1740" s="3" t="s">
        <v>1236</v>
      </c>
      <c r="E1740" s="3" t="s">
        <v>1595</v>
      </c>
      <c r="F1740" s="3" t="s">
        <v>1596</v>
      </c>
      <c r="G1740" s="6">
        <v>0</v>
      </c>
      <c r="H1740" s="6">
        <v>0</v>
      </c>
      <c r="I1740" s="6">
        <v>0</v>
      </c>
      <c r="J1740" s="6">
        <v>0</v>
      </c>
    </row>
    <row r="1741" spans="2:10" outlineLevel="1" x14ac:dyDescent="0.25">
      <c r="B1741" s="3" t="s">
        <v>1234</v>
      </c>
      <c r="C1741" s="3" t="s">
        <v>1235</v>
      </c>
      <c r="D1741" s="3" t="s">
        <v>1236</v>
      </c>
      <c r="E1741" s="3" t="s">
        <v>1597</v>
      </c>
      <c r="F1741" s="3" t="s">
        <v>1598</v>
      </c>
      <c r="G1741" s="6">
        <v>0</v>
      </c>
      <c r="H1741" s="6">
        <v>0</v>
      </c>
      <c r="I1741" s="6">
        <v>0</v>
      </c>
      <c r="J1741" s="6">
        <v>0</v>
      </c>
    </row>
    <row r="1742" spans="2:10" outlineLevel="1" x14ac:dyDescent="0.25">
      <c r="B1742" s="3" t="s">
        <v>1234</v>
      </c>
      <c r="C1742" s="3" t="s">
        <v>1235</v>
      </c>
      <c r="D1742" s="3" t="s">
        <v>1236</v>
      </c>
      <c r="E1742" s="3" t="s">
        <v>532</v>
      </c>
      <c r="F1742" s="3" t="s">
        <v>1599</v>
      </c>
      <c r="G1742" s="6">
        <v>0</v>
      </c>
      <c r="H1742" s="6">
        <v>0</v>
      </c>
      <c r="I1742" s="6">
        <v>0</v>
      </c>
      <c r="J1742" s="6">
        <v>0</v>
      </c>
    </row>
    <row r="1743" spans="2:10" outlineLevel="1" x14ac:dyDescent="0.25">
      <c r="B1743" s="3" t="s">
        <v>1234</v>
      </c>
      <c r="C1743" s="3" t="s">
        <v>1235</v>
      </c>
      <c r="D1743" s="3" t="s">
        <v>1236</v>
      </c>
      <c r="E1743" s="3" t="s">
        <v>1600</v>
      </c>
      <c r="F1743" s="3" t="s">
        <v>1601</v>
      </c>
      <c r="G1743" s="6">
        <v>0</v>
      </c>
      <c r="H1743" s="6">
        <v>0</v>
      </c>
      <c r="I1743" s="6">
        <v>0</v>
      </c>
      <c r="J1743" s="6">
        <v>0</v>
      </c>
    </row>
    <row r="1744" spans="2:10" outlineLevel="1" x14ac:dyDescent="0.25">
      <c r="B1744" s="3" t="s">
        <v>1234</v>
      </c>
      <c r="C1744" s="3" t="s">
        <v>1235</v>
      </c>
      <c r="D1744" s="3" t="s">
        <v>1236</v>
      </c>
      <c r="E1744" s="3" t="s">
        <v>481</v>
      </c>
      <c r="F1744" s="3" t="s">
        <v>1602</v>
      </c>
      <c r="G1744" s="6">
        <v>0</v>
      </c>
      <c r="H1744" s="6">
        <v>0</v>
      </c>
      <c r="I1744" s="6">
        <v>0</v>
      </c>
      <c r="J1744" s="6">
        <v>0</v>
      </c>
    </row>
    <row r="1745" spans="2:10" outlineLevel="1" x14ac:dyDescent="0.25">
      <c r="B1745" s="3" t="s">
        <v>1234</v>
      </c>
      <c r="C1745" s="3" t="s">
        <v>1235</v>
      </c>
      <c r="D1745" s="3" t="s">
        <v>1236</v>
      </c>
      <c r="E1745" s="3" t="s">
        <v>1603</v>
      </c>
      <c r="F1745" s="3" t="s">
        <v>1604</v>
      </c>
      <c r="G1745" s="6">
        <v>0</v>
      </c>
      <c r="H1745" s="6">
        <v>0</v>
      </c>
      <c r="I1745" s="6">
        <v>0</v>
      </c>
      <c r="J1745" s="6">
        <v>0</v>
      </c>
    </row>
    <row r="1746" spans="2:10" outlineLevel="1" x14ac:dyDescent="0.25">
      <c r="B1746" s="3" t="s">
        <v>1234</v>
      </c>
      <c r="C1746" s="3" t="s">
        <v>1235</v>
      </c>
      <c r="D1746" s="3" t="s">
        <v>1236</v>
      </c>
      <c r="E1746" s="3" t="s">
        <v>1605</v>
      </c>
      <c r="F1746" s="3" t="s">
        <v>1606</v>
      </c>
      <c r="G1746" s="6">
        <v>0</v>
      </c>
      <c r="H1746" s="6">
        <v>0</v>
      </c>
      <c r="I1746" s="6">
        <v>0</v>
      </c>
      <c r="J1746" s="6">
        <v>0</v>
      </c>
    </row>
    <row r="1747" spans="2:10" outlineLevel="1" x14ac:dyDescent="0.25">
      <c r="B1747" s="3" t="s">
        <v>1234</v>
      </c>
      <c r="C1747" s="3" t="s">
        <v>1235</v>
      </c>
      <c r="D1747" s="3" t="s">
        <v>1236</v>
      </c>
      <c r="E1747" s="3" t="s">
        <v>1607</v>
      </c>
      <c r="F1747" s="3" t="s">
        <v>1608</v>
      </c>
      <c r="G1747" s="6">
        <v>0</v>
      </c>
      <c r="H1747" s="6">
        <v>0</v>
      </c>
      <c r="I1747" s="6">
        <v>0</v>
      </c>
      <c r="J1747" s="6">
        <v>0</v>
      </c>
    </row>
    <row r="1748" spans="2:10" outlineLevel="1" x14ac:dyDescent="0.25">
      <c r="B1748" s="3" t="s">
        <v>1234</v>
      </c>
      <c r="C1748" s="3" t="s">
        <v>1235</v>
      </c>
      <c r="D1748" s="3" t="s">
        <v>1236</v>
      </c>
      <c r="E1748" s="3" t="s">
        <v>479</v>
      </c>
      <c r="F1748" s="3" t="s">
        <v>1609</v>
      </c>
      <c r="G1748" s="6">
        <v>0</v>
      </c>
      <c r="H1748" s="6">
        <v>0</v>
      </c>
      <c r="I1748" s="6">
        <v>0</v>
      </c>
      <c r="J1748" s="6">
        <v>0</v>
      </c>
    </row>
    <row r="1749" spans="2:10" outlineLevel="1" x14ac:dyDescent="0.25">
      <c r="B1749" s="3" t="s">
        <v>1234</v>
      </c>
      <c r="C1749" s="3" t="s">
        <v>1235</v>
      </c>
      <c r="D1749" s="3" t="s">
        <v>1236</v>
      </c>
      <c r="E1749" s="3" t="s">
        <v>1610</v>
      </c>
      <c r="F1749" s="3" t="s">
        <v>1611</v>
      </c>
      <c r="G1749" s="6">
        <v>0</v>
      </c>
      <c r="H1749" s="6">
        <v>0</v>
      </c>
      <c r="I1749" s="6">
        <v>0</v>
      </c>
      <c r="J1749" s="6">
        <v>0</v>
      </c>
    </row>
    <row r="1750" spans="2:10" outlineLevel="1" x14ac:dyDescent="0.25">
      <c r="B1750" s="3" t="s">
        <v>1234</v>
      </c>
      <c r="C1750" s="3" t="s">
        <v>1235</v>
      </c>
      <c r="D1750" s="3" t="s">
        <v>1236</v>
      </c>
      <c r="E1750" s="3" t="s">
        <v>1612</v>
      </c>
      <c r="F1750" s="3" t="s">
        <v>1613</v>
      </c>
      <c r="G1750" s="6">
        <v>0</v>
      </c>
      <c r="H1750" s="6">
        <v>0</v>
      </c>
      <c r="I1750" s="6">
        <v>0</v>
      </c>
      <c r="J1750" s="6">
        <v>0</v>
      </c>
    </row>
    <row r="1751" spans="2:10" outlineLevel="1" x14ac:dyDescent="0.25">
      <c r="B1751" s="3" t="s">
        <v>1234</v>
      </c>
      <c r="C1751" s="3" t="s">
        <v>1235</v>
      </c>
      <c r="D1751" s="3" t="s">
        <v>1236</v>
      </c>
      <c r="E1751" s="3" t="s">
        <v>1614</v>
      </c>
      <c r="F1751" s="3" t="s">
        <v>1615</v>
      </c>
      <c r="G1751" s="6">
        <v>0</v>
      </c>
      <c r="H1751" s="6">
        <v>0</v>
      </c>
      <c r="I1751" s="6">
        <v>0</v>
      </c>
      <c r="J1751" s="6">
        <v>0</v>
      </c>
    </row>
    <row r="1752" spans="2:10" outlineLevel="1" x14ac:dyDescent="0.25">
      <c r="B1752" s="3" t="s">
        <v>1234</v>
      </c>
      <c r="C1752" s="3" t="s">
        <v>1235</v>
      </c>
      <c r="D1752" s="3" t="s">
        <v>1236</v>
      </c>
      <c r="E1752" s="3" t="s">
        <v>1616</v>
      </c>
      <c r="F1752" s="3" t="s">
        <v>1617</v>
      </c>
      <c r="G1752" s="6">
        <v>0</v>
      </c>
      <c r="H1752" s="6">
        <v>0</v>
      </c>
      <c r="I1752" s="6">
        <v>0</v>
      </c>
      <c r="J1752" s="6">
        <v>0</v>
      </c>
    </row>
    <row r="1753" spans="2:10" outlineLevel="1" x14ac:dyDescent="0.25">
      <c r="B1753" s="3" t="s">
        <v>1234</v>
      </c>
      <c r="C1753" s="3" t="s">
        <v>1235</v>
      </c>
      <c r="D1753" s="3" t="s">
        <v>1236</v>
      </c>
      <c r="E1753" s="3" t="s">
        <v>1618</v>
      </c>
      <c r="F1753" s="3" t="s">
        <v>1619</v>
      </c>
      <c r="G1753" s="6">
        <v>0</v>
      </c>
      <c r="H1753" s="6">
        <v>0</v>
      </c>
      <c r="I1753" s="6">
        <v>0</v>
      </c>
      <c r="J1753" s="6">
        <v>0</v>
      </c>
    </row>
    <row r="1754" spans="2:10" outlineLevel="1" x14ac:dyDescent="0.25">
      <c r="B1754" s="3" t="s">
        <v>1234</v>
      </c>
      <c r="C1754" s="3" t="s">
        <v>1235</v>
      </c>
      <c r="D1754" s="3" t="s">
        <v>1236</v>
      </c>
      <c r="E1754" s="3" t="s">
        <v>1620</v>
      </c>
      <c r="F1754" s="3" t="s">
        <v>1621</v>
      </c>
      <c r="G1754" s="6">
        <v>0</v>
      </c>
      <c r="H1754" s="6">
        <v>0</v>
      </c>
      <c r="I1754" s="6">
        <v>0</v>
      </c>
      <c r="J1754" s="6">
        <v>0</v>
      </c>
    </row>
    <row r="1755" spans="2:10" outlineLevel="1" x14ac:dyDescent="0.25">
      <c r="B1755" s="3" t="s">
        <v>1234</v>
      </c>
      <c r="C1755" s="3" t="s">
        <v>1235</v>
      </c>
      <c r="D1755" s="3" t="s">
        <v>1236</v>
      </c>
      <c r="E1755" s="3" t="s">
        <v>904</v>
      </c>
      <c r="F1755" s="3" t="s">
        <v>1622</v>
      </c>
      <c r="G1755" s="6">
        <v>0</v>
      </c>
      <c r="H1755" s="6">
        <v>0</v>
      </c>
      <c r="I1755" s="6">
        <v>0</v>
      </c>
      <c r="J1755" s="6">
        <v>0</v>
      </c>
    </row>
    <row r="1756" spans="2:10" outlineLevel="1" x14ac:dyDescent="0.25">
      <c r="B1756" s="3" t="s">
        <v>1234</v>
      </c>
      <c r="C1756" s="3" t="s">
        <v>1235</v>
      </c>
      <c r="D1756" s="3" t="s">
        <v>1236</v>
      </c>
      <c r="E1756" s="3" t="s">
        <v>1171</v>
      </c>
      <c r="F1756" s="3" t="s">
        <v>1623</v>
      </c>
      <c r="G1756" s="6">
        <v>0</v>
      </c>
      <c r="H1756" s="6">
        <v>0</v>
      </c>
      <c r="I1756" s="6">
        <v>0</v>
      </c>
      <c r="J1756" s="6">
        <v>0</v>
      </c>
    </row>
    <row r="1757" spans="2:10" outlineLevel="1" x14ac:dyDescent="0.25">
      <c r="B1757" s="3" t="s">
        <v>1234</v>
      </c>
      <c r="C1757" s="3" t="s">
        <v>1235</v>
      </c>
      <c r="D1757" s="3" t="s">
        <v>1236</v>
      </c>
      <c r="E1757" s="3" t="s">
        <v>999</v>
      </c>
      <c r="F1757" s="3" t="s">
        <v>1624</v>
      </c>
      <c r="G1757" s="6">
        <v>0</v>
      </c>
      <c r="H1757" s="6">
        <v>0</v>
      </c>
      <c r="I1757" s="6">
        <v>0</v>
      </c>
      <c r="J1757" s="6">
        <v>0</v>
      </c>
    </row>
    <row r="1758" spans="2:10" outlineLevel="1" x14ac:dyDescent="0.25">
      <c r="B1758" s="3" t="s">
        <v>1234</v>
      </c>
      <c r="C1758" s="3" t="s">
        <v>1235</v>
      </c>
      <c r="D1758" s="3" t="s">
        <v>1236</v>
      </c>
      <c r="E1758" s="3" t="s">
        <v>1625</v>
      </c>
      <c r="F1758" s="3" t="s">
        <v>1626</v>
      </c>
      <c r="G1758" s="6">
        <v>0</v>
      </c>
      <c r="H1758" s="6">
        <v>0</v>
      </c>
      <c r="I1758" s="6">
        <v>0</v>
      </c>
      <c r="J1758" s="6">
        <v>0</v>
      </c>
    </row>
    <row r="1759" spans="2:10" outlineLevel="1" x14ac:dyDescent="0.25">
      <c r="B1759" s="3" t="s">
        <v>1234</v>
      </c>
      <c r="C1759" s="3" t="s">
        <v>1235</v>
      </c>
      <c r="D1759" s="3" t="s">
        <v>1236</v>
      </c>
      <c r="E1759" s="3" t="s">
        <v>1627</v>
      </c>
      <c r="F1759" s="3" t="s">
        <v>1628</v>
      </c>
      <c r="G1759" s="6">
        <v>0</v>
      </c>
      <c r="H1759" s="6">
        <v>0</v>
      </c>
      <c r="I1759" s="6">
        <v>0</v>
      </c>
      <c r="J1759" s="6">
        <v>0</v>
      </c>
    </row>
    <row r="1760" spans="2:10" outlineLevel="1" x14ac:dyDescent="0.25">
      <c r="B1760" s="3" t="s">
        <v>1234</v>
      </c>
      <c r="C1760" s="3" t="s">
        <v>1235</v>
      </c>
      <c r="D1760" s="3" t="s">
        <v>1236</v>
      </c>
      <c r="E1760" s="3" t="s">
        <v>1629</v>
      </c>
      <c r="F1760" s="3" t="s">
        <v>1630</v>
      </c>
      <c r="G1760" s="6">
        <v>0</v>
      </c>
      <c r="H1760" s="6">
        <v>0</v>
      </c>
      <c r="I1760" s="6">
        <v>0</v>
      </c>
      <c r="J1760" s="6">
        <v>0</v>
      </c>
    </row>
    <row r="1761" spans="2:10" outlineLevel="1" x14ac:dyDescent="0.25">
      <c r="B1761" s="3" t="s">
        <v>1234</v>
      </c>
      <c r="C1761" s="3" t="s">
        <v>1235</v>
      </c>
      <c r="D1761" s="3" t="s">
        <v>1236</v>
      </c>
      <c r="E1761" s="3" t="s">
        <v>1631</v>
      </c>
      <c r="F1761" s="3" t="s">
        <v>1632</v>
      </c>
      <c r="G1761" s="6">
        <v>0</v>
      </c>
      <c r="H1761" s="6">
        <v>0</v>
      </c>
      <c r="I1761" s="6">
        <v>0</v>
      </c>
      <c r="J1761" s="6">
        <v>0</v>
      </c>
    </row>
    <row r="1762" spans="2:10" outlineLevel="1" x14ac:dyDescent="0.25">
      <c r="B1762" s="3" t="s">
        <v>1234</v>
      </c>
      <c r="C1762" s="3" t="s">
        <v>1235</v>
      </c>
      <c r="D1762" s="3" t="s">
        <v>1236</v>
      </c>
      <c r="E1762" s="3" t="s">
        <v>906</v>
      </c>
      <c r="F1762" s="3" t="s">
        <v>1633</v>
      </c>
      <c r="G1762" s="6">
        <v>0</v>
      </c>
      <c r="H1762" s="6">
        <v>0</v>
      </c>
      <c r="I1762" s="6">
        <v>0</v>
      </c>
      <c r="J1762" s="6">
        <v>0</v>
      </c>
    </row>
    <row r="1763" spans="2:10" outlineLevel="1" x14ac:dyDescent="0.25">
      <c r="B1763" s="3" t="s">
        <v>1234</v>
      </c>
      <c r="C1763" s="3" t="s">
        <v>1235</v>
      </c>
      <c r="D1763" s="3" t="s">
        <v>1236</v>
      </c>
      <c r="E1763" s="3" t="s">
        <v>1634</v>
      </c>
      <c r="F1763" s="3" t="s">
        <v>1635</v>
      </c>
      <c r="G1763" s="6">
        <v>0</v>
      </c>
      <c r="H1763" s="6">
        <v>0</v>
      </c>
      <c r="I1763" s="6">
        <v>0</v>
      </c>
      <c r="J1763" s="6">
        <v>0</v>
      </c>
    </row>
    <row r="1764" spans="2:10" outlineLevel="1" x14ac:dyDescent="0.25">
      <c r="B1764" s="3" t="s">
        <v>1234</v>
      </c>
      <c r="C1764" s="3" t="s">
        <v>1235</v>
      </c>
      <c r="D1764" s="3" t="s">
        <v>1236</v>
      </c>
      <c r="E1764" s="3" t="s">
        <v>1636</v>
      </c>
      <c r="F1764" s="3" t="s">
        <v>1637</v>
      </c>
      <c r="G1764" s="6">
        <v>0</v>
      </c>
      <c r="H1764" s="6">
        <v>0</v>
      </c>
      <c r="I1764" s="6">
        <v>0</v>
      </c>
      <c r="J1764" s="6">
        <v>0</v>
      </c>
    </row>
    <row r="1765" spans="2:10" outlineLevel="1" x14ac:dyDescent="0.25">
      <c r="B1765" s="3" t="s">
        <v>1234</v>
      </c>
      <c r="C1765" s="3" t="s">
        <v>1235</v>
      </c>
      <c r="D1765" s="3" t="s">
        <v>1236</v>
      </c>
      <c r="E1765" s="3" t="s">
        <v>1638</v>
      </c>
      <c r="F1765" s="3" t="s">
        <v>1639</v>
      </c>
      <c r="G1765" s="6">
        <v>0</v>
      </c>
      <c r="H1765" s="6">
        <v>0</v>
      </c>
      <c r="I1765" s="6">
        <v>0</v>
      </c>
      <c r="J1765" s="6">
        <v>0</v>
      </c>
    </row>
    <row r="1766" spans="2:10" outlineLevel="1" x14ac:dyDescent="0.25">
      <c r="B1766" s="3" t="s">
        <v>1234</v>
      </c>
      <c r="C1766" s="3" t="s">
        <v>1235</v>
      </c>
      <c r="D1766" s="3" t="s">
        <v>1236</v>
      </c>
      <c r="E1766" s="3" t="s">
        <v>1640</v>
      </c>
      <c r="F1766" s="3" t="s">
        <v>1641</v>
      </c>
      <c r="G1766" s="6">
        <v>0</v>
      </c>
      <c r="H1766" s="6">
        <v>0</v>
      </c>
      <c r="I1766" s="6">
        <v>0</v>
      </c>
      <c r="J1766" s="6">
        <v>0</v>
      </c>
    </row>
    <row r="1767" spans="2:10" outlineLevel="1" x14ac:dyDescent="0.25">
      <c r="B1767" s="3" t="s">
        <v>1234</v>
      </c>
      <c r="C1767" s="3" t="s">
        <v>1235</v>
      </c>
      <c r="D1767" s="3" t="s">
        <v>1236</v>
      </c>
      <c r="E1767" s="3" t="s">
        <v>1642</v>
      </c>
      <c r="F1767" s="3" t="s">
        <v>1643</v>
      </c>
      <c r="G1767" s="6">
        <v>0</v>
      </c>
      <c r="H1767" s="6">
        <v>0</v>
      </c>
      <c r="I1767" s="6">
        <v>0</v>
      </c>
      <c r="J1767" s="6">
        <v>0</v>
      </c>
    </row>
    <row r="1768" spans="2:10" outlineLevel="1" x14ac:dyDescent="0.25">
      <c r="B1768" s="3" t="s">
        <v>1234</v>
      </c>
      <c r="C1768" s="3" t="s">
        <v>1235</v>
      </c>
      <c r="D1768" s="3" t="s">
        <v>1236</v>
      </c>
      <c r="E1768" s="3" t="s">
        <v>780</v>
      </c>
      <c r="F1768" s="3" t="s">
        <v>1644</v>
      </c>
      <c r="G1768" s="6">
        <v>0</v>
      </c>
      <c r="H1768" s="6">
        <v>0</v>
      </c>
      <c r="I1768" s="6">
        <v>0</v>
      </c>
      <c r="J1768" s="6">
        <v>0</v>
      </c>
    </row>
    <row r="1769" spans="2:10" outlineLevel="1" x14ac:dyDescent="0.25">
      <c r="B1769" s="3" t="s">
        <v>1234</v>
      </c>
      <c r="C1769" s="3" t="s">
        <v>1235</v>
      </c>
      <c r="D1769" s="3" t="s">
        <v>1236</v>
      </c>
      <c r="E1769" s="3" t="s">
        <v>1645</v>
      </c>
      <c r="F1769" s="3" t="s">
        <v>1646</v>
      </c>
      <c r="G1769" s="6">
        <v>0</v>
      </c>
      <c r="H1769" s="6">
        <v>0</v>
      </c>
      <c r="I1769" s="6">
        <v>0</v>
      </c>
      <c r="J1769" s="6">
        <v>0</v>
      </c>
    </row>
    <row r="1770" spans="2:10" outlineLevel="1" x14ac:dyDescent="0.25">
      <c r="B1770" s="3" t="s">
        <v>1234</v>
      </c>
      <c r="C1770" s="3" t="s">
        <v>1235</v>
      </c>
      <c r="D1770" s="3" t="s">
        <v>1236</v>
      </c>
      <c r="E1770" s="3" t="s">
        <v>1647</v>
      </c>
      <c r="F1770" s="3" t="s">
        <v>1648</v>
      </c>
      <c r="G1770" s="6">
        <v>0</v>
      </c>
      <c r="H1770" s="6">
        <v>0</v>
      </c>
      <c r="I1770" s="6">
        <v>0</v>
      </c>
      <c r="J1770" s="6">
        <v>0</v>
      </c>
    </row>
    <row r="1771" spans="2:10" outlineLevel="1" x14ac:dyDescent="0.25">
      <c r="B1771" s="3" t="s">
        <v>1234</v>
      </c>
      <c r="C1771" s="3" t="s">
        <v>1235</v>
      </c>
      <c r="D1771" s="3" t="s">
        <v>1236</v>
      </c>
      <c r="E1771" s="3" t="s">
        <v>1649</v>
      </c>
      <c r="F1771" s="3" t="s">
        <v>1650</v>
      </c>
      <c r="G1771" s="6">
        <v>0</v>
      </c>
      <c r="H1771" s="6">
        <v>0</v>
      </c>
      <c r="I1771" s="6">
        <v>0</v>
      </c>
      <c r="J1771" s="6">
        <v>0</v>
      </c>
    </row>
    <row r="1772" spans="2:10" outlineLevel="1" x14ac:dyDescent="0.25">
      <c r="B1772" s="3" t="s">
        <v>1234</v>
      </c>
      <c r="C1772" s="3" t="s">
        <v>1235</v>
      </c>
      <c r="D1772" s="3" t="s">
        <v>1236</v>
      </c>
      <c r="E1772" s="3" t="s">
        <v>1651</v>
      </c>
      <c r="F1772" s="3" t="s">
        <v>1652</v>
      </c>
      <c r="G1772" s="6">
        <v>0</v>
      </c>
      <c r="H1772" s="6">
        <v>0</v>
      </c>
      <c r="I1772" s="6">
        <v>0</v>
      </c>
      <c r="J1772" s="6">
        <v>0</v>
      </c>
    </row>
    <row r="1773" spans="2:10" outlineLevel="1" x14ac:dyDescent="0.25">
      <c r="B1773" s="3" t="s">
        <v>1234</v>
      </c>
      <c r="C1773" s="3" t="s">
        <v>1235</v>
      </c>
      <c r="D1773" s="3" t="s">
        <v>1236</v>
      </c>
      <c r="E1773" s="3" t="s">
        <v>1182</v>
      </c>
      <c r="F1773" s="3" t="s">
        <v>1653</v>
      </c>
      <c r="G1773" s="6">
        <v>0</v>
      </c>
      <c r="H1773" s="6">
        <v>0</v>
      </c>
      <c r="I1773" s="6">
        <v>0</v>
      </c>
      <c r="J1773" s="6">
        <v>0</v>
      </c>
    </row>
    <row r="1774" spans="2:10" outlineLevel="1" x14ac:dyDescent="0.25">
      <c r="B1774" s="3" t="s">
        <v>1234</v>
      </c>
      <c r="C1774" s="3" t="s">
        <v>1235</v>
      </c>
      <c r="D1774" s="3" t="s">
        <v>1236</v>
      </c>
      <c r="E1774" s="3" t="s">
        <v>782</v>
      </c>
      <c r="F1774" s="3" t="s">
        <v>1654</v>
      </c>
      <c r="G1774" s="6">
        <v>0</v>
      </c>
      <c r="H1774" s="6">
        <v>0</v>
      </c>
      <c r="I1774" s="6">
        <v>0</v>
      </c>
      <c r="J1774" s="6">
        <v>0</v>
      </c>
    </row>
    <row r="1775" spans="2:10" outlineLevel="1" x14ac:dyDescent="0.25">
      <c r="B1775" s="3" t="s">
        <v>1234</v>
      </c>
      <c r="C1775" s="3" t="s">
        <v>1235</v>
      </c>
      <c r="D1775" s="3" t="s">
        <v>1236</v>
      </c>
      <c r="E1775" s="3" t="s">
        <v>1022</v>
      </c>
      <c r="F1775" s="3" t="s">
        <v>1655</v>
      </c>
      <c r="G1775" s="6">
        <v>0</v>
      </c>
      <c r="H1775" s="6">
        <v>0</v>
      </c>
      <c r="I1775" s="6">
        <v>0</v>
      </c>
      <c r="J1775" s="6">
        <v>0</v>
      </c>
    </row>
    <row r="1776" spans="2:10" outlineLevel="1" x14ac:dyDescent="0.25">
      <c r="B1776" s="3" t="s">
        <v>1234</v>
      </c>
      <c r="C1776" s="3" t="s">
        <v>1235</v>
      </c>
      <c r="D1776" s="3" t="s">
        <v>1236</v>
      </c>
      <c r="E1776" s="3" t="s">
        <v>1656</v>
      </c>
      <c r="F1776" s="3" t="s">
        <v>1657</v>
      </c>
      <c r="G1776" s="6">
        <v>0</v>
      </c>
      <c r="H1776" s="6">
        <v>0</v>
      </c>
      <c r="I1776" s="6">
        <v>0</v>
      </c>
      <c r="J1776" s="6">
        <v>0</v>
      </c>
    </row>
    <row r="1777" spans="2:10" outlineLevel="1" x14ac:dyDescent="0.25">
      <c r="B1777" s="3" t="s">
        <v>1234</v>
      </c>
      <c r="C1777" s="3" t="s">
        <v>1235</v>
      </c>
      <c r="D1777" s="3" t="s">
        <v>1236</v>
      </c>
      <c r="E1777" s="3" t="s">
        <v>1658</v>
      </c>
      <c r="F1777" s="3" t="s">
        <v>1659</v>
      </c>
      <c r="G1777" s="6">
        <v>0</v>
      </c>
      <c r="H1777" s="6">
        <v>0</v>
      </c>
      <c r="I1777" s="6">
        <v>0</v>
      </c>
      <c r="J1777" s="6">
        <v>0</v>
      </c>
    </row>
    <row r="1778" spans="2:10" outlineLevel="1" x14ac:dyDescent="0.25">
      <c r="B1778" s="3" t="s">
        <v>1234</v>
      </c>
      <c r="C1778" s="3" t="s">
        <v>1235</v>
      </c>
      <c r="D1778" s="3" t="s">
        <v>1236</v>
      </c>
      <c r="E1778" s="3" t="s">
        <v>1660</v>
      </c>
      <c r="F1778" s="3" t="s">
        <v>1661</v>
      </c>
      <c r="G1778" s="6">
        <v>0</v>
      </c>
      <c r="H1778" s="6">
        <v>0</v>
      </c>
      <c r="I1778" s="6">
        <v>0</v>
      </c>
      <c r="J1778" s="6">
        <v>0</v>
      </c>
    </row>
    <row r="1779" spans="2:10" outlineLevel="1" x14ac:dyDescent="0.25">
      <c r="B1779" s="3" t="s">
        <v>1234</v>
      </c>
      <c r="C1779" s="3" t="s">
        <v>1235</v>
      </c>
      <c r="D1779" s="3" t="s">
        <v>1236</v>
      </c>
      <c r="E1779" s="3" t="s">
        <v>908</v>
      </c>
      <c r="F1779" s="3" t="s">
        <v>1662</v>
      </c>
      <c r="G1779" s="6">
        <v>0</v>
      </c>
      <c r="H1779" s="6">
        <v>0</v>
      </c>
      <c r="I1779" s="6">
        <v>0</v>
      </c>
      <c r="J1779" s="6">
        <v>0</v>
      </c>
    </row>
    <row r="1780" spans="2:10" outlineLevel="1" x14ac:dyDescent="0.25">
      <c r="B1780" s="3" t="s">
        <v>1234</v>
      </c>
      <c r="C1780" s="3" t="s">
        <v>1235</v>
      </c>
      <c r="D1780" s="3" t="s">
        <v>1236</v>
      </c>
      <c r="E1780" s="3" t="s">
        <v>1663</v>
      </c>
      <c r="F1780" s="3" t="s">
        <v>1664</v>
      </c>
      <c r="G1780" s="6">
        <v>0</v>
      </c>
      <c r="H1780" s="6">
        <v>0</v>
      </c>
      <c r="I1780" s="6">
        <v>0</v>
      </c>
      <c r="J1780" s="6">
        <v>0</v>
      </c>
    </row>
    <row r="1781" spans="2:10" outlineLevel="1" x14ac:dyDescent="0.25">
      <c r="B1781" s="3" t="s">
        <v>1234</v>
      </c>
      <c r="C1781" s="3" t="s">
        <v>1235</v>
      </c>
      <c r="D1781" s="3" t="s">
        <v>1236</v>
      </c>
      <c r="E1781" s="3" t="s">
        <v>982</v>
      </c>
      <c r="F1781" s="3" t="s">
        <v>1665</v>
      </c>
      <c r="G1781" s="6">
        <v>0</v>
      </c>
      <c r="H1781" s="6">
        <v>0</v>
      </c>
      <c r="I1781" s="6">
        <v>0</v>
      </c>
      <c r="J1781" s="6">
        <v>0</v>
      </c>
    </row>
    <row r="1782" spans="2:10" outlineLevel="1" x14ac:dyDescent="0.25">
      <c r="B1782" s="3" t="s">
        <v>1234</v>
      </c>
      <c r="C1782" s="3" t="s">
        <v>1235</v>
      </c>
      <c r="D1782" s="3" t="s">
        <v>1236</v>
      </c>
      <c r="E1782" s="3" t="s">
        <v>1085</v>
      </c>
      <c r="F1782" s="3" t="s">
        <v>1666</v>
      </c>
      <c r="G1782" s="6">
        <v>0</v>
      </c>
      <c r="H1782" s="6">
        <v>0</v>
      </c>
      <c r="I1782" s="6">
        <v>0</v>
      </c>
      <c r="J1782" s="6">
        <v>0</v>
      </c>
    </row>
    <row r="1783" spans="2:10" outlineLevel="1" x14ac:dyDescent="0.25">
      <c r="B1783" s="3" t="s">
        <v>1234</v>
      </c>
      <c r="C1783" s="3" t="s">
        <v>1235</v>
      </c>
      <c r="D1783" s="3" t="s">
        <v>1236</v>
      </c>
      <c r="E1783" s="3" t="s">
        <v>1667</v>
      </c>
      <c r="F1783" s="3" t="s">
        <v>1668</v>
      </c>
      <c r="G1783" s="6">
        <v>0</v>
      </c>
      <c r="H1783" s="6">
        <v>0</v>
      </c>
      <c r="I1783" s="6">
        <v>0</v>
      </c>
      <c r="J1783" s="6">
        <v>0</v>
      </c>
    </row>
    <row r="1784" spans="2:10" outlineLevel="1" x14ac:dyDescent="0.25">
      <c r="B1784" s="3" t="s">
        <v>1234</v>
      </c>
      <c r="C1784" s="3" t="s">
        <v>1235</v>
      </c>
      <c r="D1784" s="3" t="s">
        <v>1236</v>
      </c>
      <c r="E1784" s="3" t="s">
        <v>1669</v>
      </c>
      <c r="F1784" s="3" t="s">
        <v>1670</v>
      </c>
      <c r="G1784" s="6">
        <v>0</v>
      </c>
      <c r="H1784" s="6">
        <v>0</v>
      </c>
      <c r="I1784" s="6">
        <v>0</v>
      </c>
      <c r="J1784" s="6">
        <v>0</v>
      </c>
    </row>
    <row r="1785" spans="2:10" outlineLevel="1" x14ac:dyDescent="0.25">
      <c r="B1785" s="3" t="s">
        <v>1234</v>
      </c>
      <c r="C1785" s="3" t="s">
        <v>1235</v>
      </c>
      <c r="D1785" s="3" t="s">
        <v>1236</v>
      </c>
      <c r="E1785" s="3" t="s">
        <v>1199</v>
      </c>
      <c r="F1785" s="3" t="s">
        <v>1671</v>
      </c>
      <c r="G1785" s="6">
        <v>0</v>
      </c>
      <c r="H1785" s="6">
        <v>0</v>
      </c>
      <c r="I1785" s="6">
        <v>0</v>
      </c>
      <c r="J1785" s="6">
        <v>0</v>
      </c>
    </row>
    <row r="1786" spans="2:10" outlineLevel="1" x14ac:dyDescent="0.25">
      <c r="B1786" s="3" t="s">
        <v>1234</v>
      </c>
      <c r="C1786" s="3" t="s">
        <v>1235</v>
      </c>
      <c r="D1786" s="3" t="s">
        <v>1236</v>
      </c>
      <c r="E1786" s="3" t="s">
        <v>1672</v>
      </c>
      <c r="F1786" s="3" t="s">
        <v>1673</v>
      </c>
      <c r="G1786" s="6">
        <v>0</v>
      </c>
      <c r="H1786" s="6">
        <v>0</v>
      </c>
      <c r="I1786" s="6">
        <v>0</v>
      </c>
      <c r="J1786" s="6">
        <v>0</v>
      </c>
    </row>
    <row r="1787" spans="2:10" outlineLevel="1" x14ac:dyDescent="0.25">
      <c r="B1787" s="3" t="s">
        <v>1234</v>
      </c>
      <c r="C1787" s="3" t="s">
        <v>1235</v>
      </c>
      <c r="D1787" s="3" t="s">
        <v>1236</v>
      </c>
      <c r="E1787" s="3" t="s">
        <v>1674</v>
      </c>
      <c r="F1787" s="3" t="s">
        <v>1675</v>
      </c>
      <c r="G1787" s="6">
        <v>0</v>
      </c>
      <c r="H1787" s="6">
        <v>0</v>
      </c>
      <c r="I1787" s="6">
        <v>0</v>
      </c>
      <c r="J1787" s="6">
        <v>0</v>
      </c>
    </row>
    <row r="1788" spans="2:10" outlineLevel="1" x14ac:dyDescent="0.25">
      <c r="B1788" s="3" t="s">
        <v>1234</v>
      </c>
      <c r="C1788" s="3" t="s">
        <v>1235</v>
      </c>
      <c r="D1788" s="3" t="s">
        <v>1236</v>
      </c>
      <c r="E1788" s="3" t="s">
        <v>1676</v>
      </c>
      <c r="F1788" s="3" t="s">
        <v>1677</v>
      </c>
      <c r="G1788" s="6">
        <v>0</v>
      </c>
      <c r="H1788" s="6">
        <v>0</v>
      </c>
      <c r="I1788" s="6">
        <v>0</v>
      </c>
      <c r="J1788" s="6">
        <v>0</v>
      </c>
    </row>
    <row r="1789" spans="2:10" outlineLevel="1" x14ac:dyDescent="0.25">
      <c r="B1789" s="3" t="s">
        <v>1234</v>
      </c>
      <c r="C1789" s="3" t="s">
        <v>1235</v>
      </c>
      <c r="D1789" s="3" t="s">
        <v>1236</v>
      </c>
      <c r="E1789" s="3" t="s">
        <v>683</v>
      </c>
      <c r="F1789" s="3" t="s">
        <v>1678</v>
      </c>
      <c r="G1789" s="6">
        <v>0</v>
      </c>
      <c r="H1789" s="6">
        <v>0</v>
      </c>
      <c r="I1789" s="6">
        <v>0</v>
      </c>
      <c r="J1789" s="6">
        <v>0</v>
      </c>
    </row>
    <row r="1790" spans="2:10" outlineLevel="1" x14ac:dyDescent="0.25">
      <c r="B1790" s="3" t="s">
        <v>1234</v>
      </c>
      <c r="C1790" s="3" t="s">
        <v>1235</v>
      </c>
      <c r="D1790" s="3" t="s">
        <v>1236</v>
      </c>
      <c r="E1790" s="3" t="s">
        <v>1018</v>
      </c>
      <c r="F1790" s="3" t="s">
        <v>1679</v>
      </c>
      <c r="G1790" s="6">
        <v>0</v>
      </c>
      <c r="H1790" s="6">
        <v>0</v>
      </c>
      <c r="I1790" s="6">
        <v>0</v>
      </c>
      <c r="J1790" s="6">
        <v>0</v>
      </c>
    </row>
    <row r="1791" spans="2:10" outlineLevel="1" x14ac:dyDescent="0.25">
      <c r="B1791" s="3" t="s">
        <v>1234</v>
      </c>
      <c r="C1791" s="3" t="s">
        <v>1235</v>
      </c>
      <c r="D1791" s="3" t="s">
        <v>1236</v>
      </c>
      <c r="E1791" s="3" t="s">
        <v>1680</v>
      </c>
      <c r="F1791" s="3" t="s">
        <v>1681</v>
      </c>
      <c r="G1791" s="6">
        <v>0</v>
      </c>
      <c r="H1791" s="6">
        <v>0</v>
      </c>
      <c r="I1791" s="6">
        <v>0</v>
      </c>
      <c r="J1791" s="6">
        <v>0</v>
      </c>
    </row>
    <row r="1792" spans="2:10" outlineLevel="1" x14ac:dyDescent="0.25">
      <c r="B1792" s="3" t="s">
        <v>1234</v>
      </c>
      <c r="C1792" s="3" t="s">
        <v>1235</v>
      </c>
      <c r="D1792" s="3" t="s">
        <v>1236</v>
      </c>
      <c r="E1792" s="3" t="s">
        <v>1104</v>
      </c>
      <c r="F1792" s="3" t="s">
        <v>1682</v>
      </c>
      <c r="G1792" s="6">
        <v>0</v>
      </c>
      <c r="H1792" s="6">
        <v>0</v>
      </c>
      <c r="I1792" s="6">
        <v>0</v>
      </c>
      <c r="J1792" s="6">
        <v>0</v>
      </c>
    </row>
    <row r="1793" spans="2:10" outlineLevel="1" x14ac:dyDescent="0.25">
      <c r="B1793" s="3" t="s">
        <v>1234</v>
      </c>
      <c r="C1793" s="3" t="s">
        <v>1235</v>
      </c>
      <c r="D1793" s="3" t="s">
        <v>1236</v>
      </c>
      <c r="E1793" s="3" t="s">
        <v>849</v>
      </c>
      <c r="F1793" s="3" t="s">
        <v>1683</v>
      </c>
      <c r="G1793" s="6">
        <v>0</v>
      </c>
      <c r="H1793" s="6">
        <v>0</v>
      </c>
      <c r="I1793" s="6">
        <v>0</v>
      </c>
      <c r="J1793" s="6">
        <v>0</v>
      </c>
    </row>
    <row r="1794" spans="2:10" outlineLevel="1" x14ac:dyDescent="0.25">
      <c r="B1794" s="3" t="s">
        <v>1234</v>
      </c>
      <c r="C1794" s="3" t="s">
        <v>1235</v>
      </c>
      <c r="D1794" s="3" t="s">
        <v>1236</v>
      </c>
      <c r="E1794" s="3" t="s">
        <v>995</v>
      </c>
      <c r="F1794" s="3" t="s">
        <v>1684</v>
      </c>
      <c r="G1794" s="6">
        <v>0</v>
      </c>
      <c r="H1794" s="6">
        <v>0</v>
      </c>
      <c r="I1794" s="6">
        <v>0</v>
      </c>
      <c r="J1794" s="6">
        <v>0</v>
      </c>
    </row>
    <row r="1795" spans="2:10" outlineLevel="1" x14ac:dyDescent="0.25">
      <c r="B1795" s="3" t="s">
        <v>1234</v>
      </c>
      <c r="C1795" s="3" t="s">
        <v>1235</v>
      </c>
      <c r="D1795" s="3" t="s">
        <v>1236</v>
      </c>
      <c r="E1795" s="3" t="s">
        <v>1020</v>
      </c>
      <c r="F1795" s="3" t="s">
        <v>1685</v>
      </c>
      <c r="G1795" s="6">
        <v>0</v>
      </c>
      <c r="H1795" s="6">
        <v>0</v>
      </c>
      <c r="I1795" s="6">
        <v>0</v>
      </c>
      <c r="J1795" s="6">
        <v>0</v>
      </c>
    </row>
    <row r="1796" spans="2:10" outlineLevel="1" x14ac:dyDescent="0.25">
      <c r="B1796" s="3" t="s">
        <v>1234</v>
      </c>
      <c r="C1796" s="3" t="s">
        <v>1235</v>
      </c>
      <c r="D1796" s="3" t="s">
        <v>1236</v>
      </c>
      <c r="E1796" s="3" t="s">
        <v>1686</v>
      </c>
      <c r="F1796" s="3" t="s">
        <v>1687</v>
      </c>
      <c r="G1796" s="6">
        <v>0</v>
      </c>
      <c r="H1796" s="6">
        <v>0</v>
      </c>
      <c r="I1796" s="6">
        <v>0</v>
      </c>
      <c r="J1796" s="6">
        <v>0</v>
      </c>
    </row>
    <row r="1797" spans="2:10" outlineLevel="1" x14ac:dyDescent="0.25">
      <c r="B1797" s="3" t="s">
        <v>1234</v>
      </c>
      <c r="C1797" s="3" t="s">
        <v>1235</v>
      </c>
      <c r="D1797" s="3" t="s">
        <v>1236</v>
      </c>
      <c r="E1797" s="3" t="s">
        <v>930</v>
      </c>
      <c r="F1797" s="3" t="s">
        <v>1688</v>
      </c>
      <c r="G1797" s="6">
        <v>0</v>
      </c>
      <c r="H1797" s="6">
        <v>0</v>
      </c>
      <c r="I1797" s="6">
        <v>0</v>
      </c>
      <c r="J1797" s="6">
        <v>0</v>
      </c>
    </row>
    <row r="1798" spans="2:10" outlineLevel="1" x14ac:dyDescent="0.25">
      <c r="B1798" s="3" t="s">
        <v>1234</v>
      </c>
      <c r="C1798" s="3" t="s">
        <v>1235</v>
      </c>
      <c r="D1798" s="3" t="s">
        <v>1236</v>
      </c>
      <c r="E1798" s="3" t="s">
        <v>1100</v>
      </c>
      <c r="F1798" s="3" t="s">
        <v>1689</v>
      </c>
      <c r="G1798" s="6">
        <v>0</v>
      </c>
      <c r="H1798" s="6">
        <v>0</v>
      </c>
      <c r="I1798" s="6">
        <v>0</v>
      </c>
      <c r="J1798" s="6">
        <v>0</v>
      </c>
    </row>
    <row r="1799" spans="2:10" outlineLevel="1" x14ac:dyDescent="0.25">
      <c r="B1799" s="3" t="s">
        <v>1234</v>
      </c>
      <c r="C1799" s="3" t="s">
        <v>1235</v>
      </c>
      <c r="D1799" s="3" t="s">
        <v>1236</v>
      </c>
      <c r="E1799" s="3" t="s">
        <v>1690</v>
      </c>
      <c r="F1799" s="3" t="s">
        <v>1691</v>
      </c>
      <c r="G1799" s="6">
        <v>0</v>
      </c>
      <c r="H1799" s="6">
        <v>0</v>
      </c>
      <c r="I1799" s="6">
        <v>0</v>
      </c>
      <c r="J1799" s="6">
        <v>0</v>
      </c>
    </row>
    <row r="1800" spans="2:10" outlineLevel="1" x14ac:dyDescent="0.25">
      <c r="B1800" s="3" t="s">
        <v>1234</v>
      </c>
      <c r="C1800" s="3" t="s">
        <v>1235</v>
      </c>
      <c r="D1800" s="3" t="s">
        <v>1236</v>
      </c>
      <c r="E1800" s="3" t="s">
        <v>1692</v>
      </c>
      <c r="F1800" s="3" t="s">
        <v>1693</v>
      </c>
      <c r="G1800" s="6">
        <v>0</v>
      </c>
      <c r="H1800" s="6">
        <v>0</v>
      </c>
      <c r="I1800" s="6">
        <v>0</v>
      </c>
      <c r="J1800" s="6">
        <v>0</v>
      </c>
    </row>
    <row r="1801" spans="2:10" outlineLevel="1" x14ac:dyDescent="0.25">
      <c r="B1801" s="3" t="s">
        <v>1234</v>
      </c>
      <c r="C1801" s="3" t="s">
        <v>1235</v>
      </c>
      <c r="D1801" s="3" t="s">
        <v>1236</v>
      </c>
      <c r="E1801" s="3" t="s">
        <v>1694</v>
      </c>
      <c r="F1801" s="3" t="s">
        <v>1695</v>
      </c>
      <c r="G1801" s="6">
        <v>0</v>
      </c>
      <c r="H1801" s="6">
        <v>0</v>
      </c>
      <c r="I1801" s="6">
        <v>0</v>
      </c>
      <c r="J1801" s="6">
        <v>0</v>
      </c>
    </row>
    <row r="1802" spans="2:10" outlineLevel="1" x14ac:dyDescent="0.25">
      <c r="B1802" s="3" t="s">
        <v>1234</v>
      </c>
      <c r="C1802" s="3" t="s">
        <v>1235</v>
      </c>
      <c r="D1802" s="3" t="s">
        <v>1236</v>
      </c>
      <c r="E1802" s="3" t="s">
        <v>1696</v>
      </c>
      <c r="F1802" s="3" t="s">
        <v>1697</v>
      </c>
      <c r="G1802" s="6">
        <v>0</v>
      </c>
      <c r="H1802" s="6">
        <v>0</v>
      </c>
      <c r="I1802" s="6">
        <v>0</v>
      </c>
      <c r="J1802" s="6">
        <v>0</v>
      </c>
    </row>
    <row r="1803" spans="2:10" outlineLevel="1" x14ac:dyDescent="0.25">
      <c r="B1803" s="3" t="s">
        <v>1234</v>
      </c>
      <c r="C1803" s="3" t="s">
        <v>1235</v>
      </c>
      <c r="D1803" s="3" t="s">
        <v>1236</v>
      </c>
      <c r="E1803" s="3" t="s">
        <v>1698</v>
      </c>
      <c r="F1803" s="3" t="s">
        <v>1699</v>
      </c>
      <c r="G1803" s="6">
        <v>0</v>
      </c>
      <c r="H1803" s="6">
        <v>0</v>
      </c>
      <c r="I1803" s="6">
        <v>0</v>
      </c>
      <c r="J1803" s="6">
        <v>0</v>
      </c>
    </row>
    <row r="1804" spans="2:10" outlineLevel="1" x14ac:dyDescent="0.25">
      <c r="B1804" s="3" t="s">
        <v>1234</v>
      </c>
      <c r="C1804" s="3" t="s">
        <v>1235</v>
      </c>
      <c r="D1804" s="3" t="s">
        <v>1236</v>
      </c>
      <c r="E1804" s="3" t="s">
        <v>1700</v>
      </c>
      <c r="F1804" s="3" t="s">
        <v>1701</v>
      </c>
      <c r="G1804" s="6">
        <v>0</v>
      </c>
      <c r="H1804" s="6">
        <v>0</v>
      </c>
      <c r="I1804" s="6">
        <v>0</v>
      </c>
      <c r="J1804" s="6">
        <v>0</v>
      </c>
    </row>
    <row r="1805" spans="2:10" outlineLevel="1" x14ac:dyDescent="0.25">
      <c r="B1805" s="3" t="s">
        <v>1234</v>
      </c>
      <c r="C1805" s="3" t="s">
        <v>1235</v>
      </c>
      <c r="D1805" s="3" t="s">
        <v>1236</v>
      </c>
      <c r="E1805" s="3" t="s">
        <v>1702</v>
      </c>
      <c r="F1805" s="3" t="s">
        <v>1703</v>
      </c>
      <c r="G1805" s="6">
        <v>0</v>
      </c>
      <c r="H1805" s="6">
        <v>0</v>
      </c>
      <c r="I1805" s="6">
        <v>0</v>
      </c>
      <c r="J1805" s="6">
        <v>0</v>
      </c>
    </row>
    <row r="1806" spans="2:10" outlineLevel="1" x14ac:dyDescent="0.25">
      <c r="B1806" s="3" t="s">
        <v>1234</v>
      </c>
      <c r="C1806" s="3" t="s">
        <v>1235</v>
      </c>
      <c r="D1806" s="3" t="s">
        <v>1236</v>
      </c>
      <c r="E1806" s="3" t="s">
        <v>1704</v>
      </c>
      <c r="F1806" s="3" t="s">
        <v>1705</v>
      </c>
      <c r="G1806" s="6">
        <v>0</v>
      </c>
      <c r="H1806" s="6">
        <v>0</v>
      </c>
      <c r="I1806" s="6">
        <v>0</v>
      </c>
      <c r="J1806" s="6">
        <v>0</v>
      </c>
    </row>
    <row r="1807" spans="2:10" outlineLevel="1" x14ac:dyDescent="0.25">
      <c r="B1807" s="3" t="s">
        <v>1234</v>
      </c>
      <c r="C1807" s="3" t="s">
        <v>1235</v>
      </c>
      <c r="D1807" s="3" t="s">
        <v>1236</v>
      </c>
      <c r="E1807" s="3" t="s">
        <v>938</v>
      </c>
      <c r="F1807" s="3" t="s">
        <v>1706</v>
      </c>
      <c r="G1807" s="6">
        <v>0</v>
      </c>
      <c r="H1807" s="6">
        <v>0</v>
      </c>
      <c r="I1807" s="6">
        <v>0</v>
      </c>
      <c r="J1807" s="6">
        <v>0</v>
      </c>
    </row>
    <row r="1808" spans="2:10" outlineLevel="1" x14ac:dyDescent="0.25">
      <c r="B1808" s="3" t="s">
        <v>1234</v>
      </c>
      <c r="C1808" s="3" t="s">
        <v>1235</v>
      </c>
      <c r="D1808" s="3" t="s">
        <v>1236</v>
      </c>
      <c r="E1808" s="3" t="s">
        <v>1707</v>
      </c>
      <c r="F1808" s="3" t="s">
        <v>1708</v>
      </c>
      <c r="G1808" s="6">
        <v>0</v>
      </c>
      <c r="H1808" s="6">
        <v>0</v>
      </c>
      <c r="I1808" s="6">
        <v>0</v>
      </c>
      <c r="J1808" s="6">
        <v>0</v>
      </c>
    </row>
    <row r="1809" spans="2:10" outlineLevel="1" x14ac:dyDescent="0.25">
      <c r="B1809" s="3" t="s">
        <v>1234</v>
      </c>
      <c r="C1809" s="3" t="s">
        <v>1235</v>
      </c>
      <c r="D1809" s="3" t="s">
        <v>1236</v>
      </c>
      <c r="E1809" s="3" t="s">
        <v>1099</v>
      </c>
      <c r="F1809" s="3" t="s">
        <v>1709</v>
      </c>
      <c r="G1809" s="6">
        <v>0</v>
      </c>
      <c r="H1809" s="6">
        <v>0</v>
      </c>
      <c r="I1809" s="6">
        <v>0</v>
      </c>
      <c r="J1809" s="6">
        <v>0</v>
      </c>
    </row>
    <row r="1810" spans="2:10" outlineLevel="1" x14ac:dyDescent="0.25">
      <c r="B1810" s="3" t="s">
        <v>1234</v>
      </c>
      <c r="C1810" s="3" t="s">
        <v>1235</v>
      </c>
      <c r="D1810" s="3" t="s">
        <v>1236</v>
      </c>
      <c r="E1810" s="3" t="s">
        <v>819</v>
      </c>
      <c r="F1810" s="3" t="s">
        <v>1710</v>
      </c>
      <c r="G1810" s="6">
        <v>0</v>
      </c>
      <c r="H1810" s="6">
        <v>0</v>
      </c>
      <c r="I1810" s="6">
        <v>0</v>
      </c>
      <c r="J1810" s="6">
        <v>0</v>
      </c>
    </row>
    <row r="1811" spans="2:10" outlineLevel="1" x14ac:dyDescent="0.25">
      <c r="B1811" s="3" t="s">
        <v>1234</v>
      </c>
      <c r="C1811" s="3" t="s">
        <v>1235</v>
      </c>
      <c r="D1811" s="3" t="s">
        <v>1236</v>
      </c>
      <c r="E1811" s="3" t="s">
        <v>1165</v>
      </c>
      <c r="F1811" s="3" t="s">
        <v>1711</v>
      </c>
      <c r="G1811" s="6">
        <v>0</v>
      </c>
      <c r="H1811" s="6">
        <v>0</v>
      </c>
      <c r="I1811" s="6">
        <v>0</v>
      </c>
      <c r="J1811" s="6">
        <v>0</v>
      </c>
    </row>
    <row r="1812" spans="2:10" outlineLevel="1" x14ac:dyDescent="0.25">
      <c r="B1812" s="3" t="s">
        <v>1234</v>
      </c>
      <c r="C1812" s="3" t="s">
        <v>1235</v>
      </c>
      <c r="D1812" s="3" t="s">
        <v>1236</v>
      </c>
      <c r="E1812" s="3" t="s">
        <v>1712</v>
      </c>
      <c r="F1812" s="3" t="s">
        <v>1713</v>
      </c>
      <c r="G1812" s="6">
        <v>0</v>
      </c>
      <c r="H1812" s="6">
        <v>0</v>
      </c>
      <c r="I1812" s="6">
        <v>0</v>
      </c>
      <c r="J1812" s="6">
        <v>0</v>
      </c>
    </row>
    <row r="1813" spans="2:10" outlineLevel="1" x14ac:dyDescent="0.25">
      <c r="B1813" s="3" t="s">
        <v>1234</v>
      </c>
      <c r="C1813" s="3" t="s">
        <v>1235</v>
      </c>
      <c r="D1813" s="3" t="s">
        <v>1236</v>
      </c>
      <c r="E1813" s="3" t="s">
        <v>1714</v>
      </c>
      <c r="F1813" s="3" t="s">
        <v>1715</v>
      </c>
      <c r="G1813" s="6">
        <v>0</v>
      </c>
      <c r="H1813" s="6">
        <v>0</v>
      </c>
      <c r="I1813" s="6">
        <v>0</v>
      </c>
      <c r="J1813" s="6">
        <v>0</v>
      </c>
    </row>
    <row r="1814" spans="2:10" outlineLevel="1" x14ac:dyDescent="0.25">
      <c r="B1814" s="3" t="s">
        <v>1234</v>
      </c>
      <c r="C1814" s="3" t="s">
        <v>1235</v>
      </c>
      <c r="D1814" s="3" t="s">
        <v>1236</v>
      </c>
      <c r="E1814" s="3" t="s">
        <v>1121</v>
      </c>
      <c r="F1814" s="3" t="s">
        <v>1716</v>
      </c>
      <c r="G1814" s="6">
        <v>0</v>
      </c>
      <c r="H1814" s="6">
        <v>0</v>
      </c>
      <c r="I1814" s="6">
        <v>0</v>
      </c>
      <c r="J1814" s="6">
        <v>0</v>
      </c>
    </row>
    <row r="1815" spans="2:10" outlineLevel="1" x14ac:dyDescent="0.25">
      <c r="B1815" s="3" t="s">
        <v>1234</v>
      </c>
      <c r="C1815" s="3" t="s">
        <v>1235</v>
      </c>
      <c r="D1815" s="3" t="s">
        <v>1236</v>
      </c>
      <c r="E1815" s="3" t="s">
        <v>1087</v>
      </c>
      <c r="F1815" s="3" t="s">
        <v>1717</v>
      </c>
      <c r="G1815" s="6">
        <v>0</v>
      </c>
      <c r="H1815" s="6">
        <v>0</v>
      </c>
      <c r="I1815" s="6">
        <v>0</v>
      </c>
      <c r="J1815" s="6">
        <v>0</v>
      </c>
    </row>
    <row r="1816" spans="2:10" outlineLevel="1" x14ac:dyDescent="0.25">
      <c r="B1816" s="3" t="s">
        <v>1234</v>
      </c>
      <c r="C1816" s="3" t="s">
        <v>1235</v>
      </c>
      <c r="D1816" s="3" t="s">
        <v>1236</v>
      </c>
      <c r="E1816" s="3" t="s">
        <v>843</v>
      </c>
      <c r="F1816" s="3" t="s">
        <v>1718</v>
      </c>
      <c r="G1816" s="6">
        <v>0</v>
      </c>
      <c r="H1816" s="6">
        <v>0</v>
      </c>
      <c r="I1816" s="6">
        <v>0</v>
      </c>
      <c r="J1816" s="6">
        <v>0</v>
      </c>
    </row>
    <row r="1817" spans="2:10" outlineLevel="1" x14ac:dyDescent="0.25">
      <c r="B1817" s="3" t="s">
        <v>1234</v>
      </c>
      <c r="C1817" s="3" t="s">
        <v>1235</v>
      </c>
      <c r="D1817" s="3" t="s">
        <v>1236</v>
      </c>
      <c r="E1817" s="3" t="s">
        <v>1220</v>
      </c>
      <c r="F1817" s="3" t="s">
        <v>1719</v>
      </c>
      <c r="G1817" s="6">
        <v>0</v>
      </c>
      <c r="H1817" s="6">
        <v>0</v>
      </c>
      <c r="I1817" s="6">
        <v>0</v>
      </c>
      <c r="J1817" s="6">
        <v>0</v>
      </c>
    </row>
    <row r="1818" spans="2:10" outlineLevel="1" x14ac:dyDescent="0.25">
      <c r="B1818" s="3" t="s">
        <v>1234</v>
      </c>
      <c r="C1818" s="3" t="s">
        <v>1235</v>
      </c>
      <c r="D1818" s="3" t="s">
        <v>1236</v>
      </c>
      <c r="E1818" s="3" t="s">
        <v>1216</v>
      </c>
      <c r="F1818" s="3" t="s">
        <v>1720</v>
      </c>
      <c r="G1818" s="6">
        <v>0</v>
      </c>
      <c r="H1818" s="6">
        <v>0</v>
      </c>
      <c r="I1818" s="6">
        <v>0</v>
      </c>
      <c r="J1818" s="6">
        <v>0</v>
      </c>
    </row>
    <row r="1819" spans="2:10" outlineLevel="1" x14ac:dyDescent="0.25">
      <c r="B1819" s="3" t="s">
        <v>1234</v>
      </c>
      <c r="C1819" s="3" t="s">
        <v>1235</v>
      </c>
      <c r="D1819" s="3" t="s">
        <v>1236</v>
      </c>
      <c r="E1819" s="3" t="s">
        <v>1218</v>
      </c>
      <c r="F1819" s="3" t="s">
        <v>1721</v>
      </c>
      <c r="G1819" s="6">
        <v>0</v>
      </c>
      <c r="H1819" s="6">
        <v>0</v>
      </c>
      <c r="I1819" s="6">
        <v>0</v>
      </c>
      <c r="J1819" s="6">
        <v>0</v>
      </c>
    </row>
    <row r="1820" spans="2:10" outlineLevel="1" x14ac:dyDescent="0.25">
      <c r="B1820" s="3" t="s">
        <v>1234</v>
      </c>
      <c r="C1820" s="3" t="s">
        <v>1235</v>
      </c>
      <c r="D1820" s="3" t="s">
        <v>1236</v>
      </c>
      <c r="E1820" s="3" t="s">
        <v>1722</v>
      </c>
      <c r="F1820" s="3" t="s">
        <v>1723</v>
      </c>
      <c r="G1820" s="6">
        <v>0</v>
      </c>
      <c r="H1820" s="6">
        <v>0</v>
      </c>
      <c r="I1820" s="6">
        <v>0</v>
      </c>
      <c r="J1820" s="6">
        <v>0</v>
      </c>
    </row>
    <row r="1821" spans="2:10" outlineLevel="1" x14ac:dyDescent="0.25">
      <c r="B1821" s="3" t="s">
        <v>1234</v>
      </c>
      <c r="C1821" s="3" t="s">
        <v>1235</v>
      </c>
      <c r="D1821" s="3" t="s">
        <v>1236</v>
      </c>
      <c r="E1821" s="3" t="s">
        <v>1119</v>
      </c>
      <c r="F1821" s="3" t="s">
        <v>1724</v>
      </c>
      <c r="G1821" s="6">
        <v>0</v>
      </c>
      <c r="H1821" s="6">
        <v>0</v>
      </c>
      <c r="I1821" s="6">
        <v>0</v>
      </c>
      <c r="J1821" s="6">
        <v>0</v>
      </c>
    </row>
    <row r="1822" spans="2:10" outlineLevel="1" x14ac:dyDescent="0.25">
      <c r="B1822" s="3" t="s">
        <v>1234</v>
      </c>
      <c r="C1822" s="3" t="s">
        <v>1235</v>
      </c>
      <c r="D1822" s="3" t="s">
        <v>1236</v>
      </c>
      <c r="E1822" s="3" t="s">
        <v>1725</v>
      </c>
      <c r="F1822" s="3" t="s">
        <v>1726</v>
      </c>
      <c r="G1822" s="6">
        <v>0</v>
      </c>
      <c r="H1822" s="6">
        <v>0</v>
      </c>
      <c r="I1822" s="6">
        <v>0</v>
      </c>
      <c r="J1822" s="6">
        <v>0</v>
      </c>
    </row>
    <row r="1823" spans="2:10" outlineLevel="1" x14ac:dyDescent="0.25">
      <c r="B1823" s="3" t="s">
        <v>1234</v>
      </c>
      <c r="C1823" s="3" t="s">
        <v>1235</v>
      </c>
      <c r="D1823" s="3" t="s">
        <v>1236</v>
      </c>
      <c r="E1823" s="3" t="s">
        <v>1727</v>
      </c>
      <c r="F1823" s="3" t="s">
        <v>1728</v>
      </c>
      <c r="G1823" s="6">
        <v>0</v>
      </c>
      <c r="H1823" s="6">
        <v>0</v>
      </c>
      <c r="I1823" s="6">
        <v>0</v>
      </c>
      <c r="J1823" s="6">
        <v>0</v>
      </c>
    </row>
    <row r="1824" spans="2:10" outlineLevel="1" x14ac:dyDescent="0.25">
      <c r="B1824" s="3" t="s">
        <v>1234</v>
      </c>
      <c r="C1824" s="3" t="s">
        <v>1235</v>
      </c>
      <c r="D1824" s="3" t="s">
        <v>1236</v>
      </c>
      <c r="E1824" s="3" t="s">
        <v>1729</v>
      </c>
      <c r="F1824" s="3" t="s">
        <v>1730</v>
      </c>
      <c r="G1824" s="6">
        <v>0</v>
      </c>
      <c r="H1824" s="6">
        <v>0</v>
      </c>
      <c r="I1824" s="6">
        <v>0</v>
      </c>
      <c r="J1824" s="6">
        <v>0</v>
      </c>
    </row>
    <row r="1825" spans="2:10" outlineLevel="1" x14ac:dyDescent="0.25">
      <c r="B1825" s="3" t="s">
        <v>1234</v>
      </c>
      <c r="C1825" s="3" t="s">
        <v>1235</v>
      </c>
      <c r="D1825" s="3" t="s">
        <v>1236</v>
      </c>
      <c r="E1825" s="3" t="s">
        <v>1731</v>
      </c>
      <c r="F1825" s="3" t="s">
        <v>1732</v>
      </c>
      <c r="G1825" s="6">
        <v>0</v>
      </c>
      <c r="H1825" s="6">
        <v>0</v>
      </c>
      <c r="I1825" s="6">
        <v>0</v>
      </c>
      <c r="J1825" s="6">
        <v>0</v>
      </c>
    </row>
    <row r="1826" spans="2:10" outlineLevel="1" x14ac:dyDescent="0.25">
      <c r="B1826" s="3" t="s">
        <v>1234</v>
      </c>
      <c r="C1826" s="3" t="s">
        <v>1235</v>
      </c>
      <c r="D1826" s="3" t="s">
        <v>1236</v>
      </c>
      <c r="E1826" s="3" t="s">
        <v>1733</v>
      </c>
      <c r="F1826" s="3" t="s">
        <v>1734</v>
      </c>
      <c r="G1826" s="6">
        <v>0</v>
      </c>
      <c r="H1826" s="6">
        <v>0</v>
      </c>
      <c r="I1826" s="6">
        <v>0</v>
      </c>
      <c r="J1826" s="6">
        <v>0</v>
      </c>
    </row>
    <row r="1827" spans="2:10" outlineLevel="1" x14ac:dyDescent="0.25">
      <c r="B1827" s="3" t="s">
        <v>1234</v>
      </c>
      <c r="C1827" s="3" t="s">
        <v>1235</v>
      </c>
      <c r="D1827" s="3" t="s">
        <v>1236</v>
      </c>
      <c r="E1827" s="3" t="s">
        <v>1735</v>
      </c>
      <c r="F1827" s="3" t="s">
        <v>1736</v>
      </c>
      <c r="G1827" s="6">
        <v>0</v>
      </c>
      <c r="H1827" s="6">
        <v>0</v>
      </c>
      <c r="I1827" s="6">
        <v>0</v>
      </c>
      <c r="J1827" s="6">
        <v>0</v>
      </c>
    </row>
    <row r="1828" spans="2:10" outlineLevel="1" x14ac:dyDescent="0.25">
      <c r="B1828" s="3" t="s">
        <v>1234</v>
      </c>
      <c r="C1828" s="3" t="s">
        <v>1235</v>
      </c>
      <c r="D1828" s="3" t="s">
        <v>1236</v>
      </c>
      <c r="E1828" s="3" t="s">
        <v>768</v>
      </c>
      <c r="F1828" s="3" t="s">
        <v>1737</v>
      </c>
      <c r="G1828" s="6">
        <v>0</v>
      </c>
      <c r="H1828" s="6">
        <v>0</v>
      </c>
      <c r="I1828" s="6">
        <v>0</v>
      </c>
      <c r="J1828" s="6">
        <v>0</v>
      </c>
    </row>
    <row r="1829" spans="2:10" outlineLevel="1" x14ac:dyDescent="0.25">
      <c r="B1829" s="3" t="s">
        <v>1234</v>
      </c>
      <c r="C1829" s="3" t="s">
        <v>1235</v>
      </c>
      <c r="D1829" s="3" t="s">
        <v>1236</v>
      </c>
      <c r="E1829" s="3" t="s">
        <v>1110</v>
      </c>
      <c r="F1829" s="3" t="s">
        <v>1738</v>
      </c>
      <c r="G1829" s="6">
        <v>0</v>
      </c>
      <c r="H1829" s="6">
        <v>0</v>
      </c>
      <c r="I1829" s="6">
        <v>0</v>
      </c>
      <c r="J1829" s="6">
        <v>0</v>
      </c>
    </row>
    <row r="1830" spans="2:10" outlineLevel="1" x14ac:dyDescent="0.25">
      <c r="B1830" s="3" t="s">
        <v>1234</v>
      </c>
      <c r="C1830" s="3" t="s">
        <v>1235</v>
      </c>
      <c r="D1830" s="3" t="s">
        <v>1236</v>
      </c>
      <c r="E1830" s="3" t="s">
        <v>774</v>
      </c>
      <c r="F1830" s="3" t="s">
        <v>1739</v>
      </c>
      <c r="G1830" s="6">
        <v>0</v>
      </c>
      <c r="H1830" s="6">
        <v>0</v>
      </c>
      <c r="I1830" s="6">
        <v>0</v>
      </c>
      <c r="J1830" s="6">
        <v>0</v>
      </c>
    </row>
    <row r="1831" spans="2:10" outlineLevel="1" x14ac:dyDescent="0.25">
      <c r="B1831" s="3" t="s">
        <v>1234</v>
      </c>
      <c r="C1831" s="3" t="s">
        <v>1235</v>
      </c>
      <c r="D1831" s="3" t="s">
        <v>1236</v>
      </c>
      <c r="E1831" s="3" t="s">
        <v>1740</v>
      </c>
      <c r="F1831" s="3" t="s">
        <v>1741</v>
      </c>
      <c r="G1831" s="6">
        <v>0</v>
      </c>
      <c r="H1831" s="6">
        <v>0</v>
      </c>
      <c r="I1831" s="6">
        <v>0</v>
      </c>
      <c r="J1831" s="6">
        <v>0</v>
      </c>
    </row>
    <row r="1832" spans="2:10" outlineLevel="1" x14ac:dyDescent="0.25">
      <c r="B1832" s="3" t="s">
        <v>1234</v>
      </c>
      <c r="C1832" s="3" t="s">
        <v>1235</v>
      </c>
      <c r="D1832" s="3" t="s">
        <v>1236</v>
      </c>
      <c r="E1832" s="3" t="s">
        <v>1742</v>
      </c>
      <c r="F1832" s="3" t="s">
        <v>1743</v>
      </c>
      <c r="G1832" s="6">
        <v>0</v>
      </c>
      <c r="H1832" s="6">
        <v>0</v>
      </c>
      <c r="I1832" s="6">
        <v>0</v>
      </c>
      <c r="J1832" s="6">
        <v>0</v>
      </c>
    </row>
    <row r="1833" spans="2:10" outlineLevel="1" x14ac:dyDescent="0.25">
      <c r="B1833" s="3" t="s">
        <v>1234</v>
      </c>
      <c r="C1833" s="3" t="s">
        <v>1235</v>
      </c>
      <c r="D1833" s="3" t="s">
        <v>1236</v>
      </c>
      <c r="E1833" s="3" t="s">
        <v>841</v>
      </c>
      <c r="F1833" s="3" t="s">
        <v>1744</v>
      </c>
      <c r="G1833" s="6">
        <v>0</v>
      </c>
      <c r="H1833" s="6">
        <v>0</v>
      </c>
      <c r="I1833" s="6">
        <v>0</v>
      </c>
      <c r="J1833" s="6">
        <v>0</v>
      </c>
    </row>
    <row r="1834" spans="2:10" outlineLevel="1" x14ac:dyDescent="0.25">
      <c r="B1834" s="3" t="s">
        <v>1234</v>
      </c>
      <c r="C1834" s="3" t="s">
        <v>1235</v>
      </c>
      <c r="D1834" s="3" t="s">
        <v>1236</v>
      </c>
      <c r="E1834" s="3" t="s">
        <v>1745</v>
      </c>
      <c r="F1834" s="3" t="s">
        <v>1746</v>
      </c>
      <c r="G1834" s="6">
        <v>0</v>
      </c>
      <c r="H1834" s="6">
        <v>0</v>
      </c>
      <c r="I1834" s="6">
        <v>0</v>
      </c>
      <c r="J1834" s="6">
        <v>0</v>
      </c>
    </row>
    <row r="1835" spans="2:10" outlineLevel="1" x14ac:dyDescent="0.25">
      <c r="B1835" s="3" t="s">
        <v>1234</v>
      </c>
      <c r="C1835" s="3" t="s">
        <v>1235</v>
      </c>
      <c r="D1835" s="3" t="s">
        <v>1236</v>
      </c>
      <c r="E1835" s="3" t="s">
        <v>1747</v>
      </c>
      <c r="F1835" s="3" t="s">
        <v>1748</v>
      </c>
      <c r="G1835" s="6">
        <v>0</v>
      </c>
      <c r="H1835" s="6">
        <v>0</v>
      </c>
      <c r="I1835" s="6">
        <v>0</v>
      </c>
      <c r="J1835" s="6">
        <v>0</v>
      </c>
    </row>
    <row r="1836" spans="2:10" outlineLevel="1" x14ac:dyDescent="0.25">
      <c r="B1836" s="3" t="s">
        <v>1234</v>
      </c>
      <c r="C1836" s="3" t="s">
        <v>1235</v>
      </c>
      <c r="D1836" s="3" t="s">
        <v>1236</v>
      </c>
      <c r="E1836" s="3" t="s">
        <v>376</v>
      </c>
      <c r="F1836" s="3" t="s">
        <v>1749</v>
      </c>
      <c r="G1836" s="6">
        <v>0</v>
      </c>
      <c r="H1836" s="6">
        <v>0</v>
      </c>
      <c r="I1836" s="6">
        <v>0</v>
      </c>
      <c r="J1836" s="6">
        <v>0</v>
      </c>
    </row>
    <row r="1837" spans="2:10" outlineLevel="1" x14ac:dyDescent="0.25">
      <c r="B1837" s="3" t="s">
        <v>1234</v>
      </c>
      <c r="C1837" s="3" t="s">
        <v>1235</v>
      </c>
      <c r="D1837" s="3" t="s">
        <v>1236</v>
      </c>
      <c r="E1837" s="3" t="s">
        <v>382</v>
      </c>
      <c r="F1837" s="3" t="s">
        <v>1750</v>
      </c>
      <c r="G1837" s="6">
        <v>0</v>
      </c>
      <c r="H1837" s="6">
        <v>0</v>
      </c>
      <c r="I1837" s="6">
        <v>0</v>
      </c>
      <c r="J1837" s="6">
        <v>0</v>
      </c>
    </row>
    <row r="1838" spans="2:10" outlineLevel="1" x14ac:dyDescent="0.25">
      <c r="B1838" s="3" t="s">
        <v>1234</v>
      </c>
      <c r="C1838" s="3" t="s">
        <v>1235</v>
      </c>
      <c r="D1838" s="3" t="s">
        <v>1236</v>
      </c>
      <c r="E1838" s="3" t="s">
        <v>720</v>
      </c>
      <c r="F1838" s="3" t="s">
        <v>1751</v>
      </c>
      <c r="G1838" s="6">
        <v>0</v>
      </c>
      <c r="H1838" s="6">
        <v>0</v>
      </c>
      <c r="I1838" s="6">
        <v>0</v>
      </c>
      <c r="J1838" s="6">
        <v>0</v>
      </c>
    </row>
    <row r="1839" spans="2:10" outlineLevel="1" x14ac:dyDescent="0.25">
      <c r="B1839" s="3" t="s">
        <v>1234</v>
      </c>
      <c r="C1839" s="3" t="s">
        <v>1235</v>
      </c>
      <c r="D1839" s="3" t="s">
        <v>1236</v>
      </c>
      <c r="E1839" s="3" t="s">
        <v>1752</v>
      </c>
      <c r="F1839" s="3" t="s">
        <v>1753</v>
      </c>
      <c r="G1839" s="6">
        <v>0</v>
      </c>
      <c r="H1839" s="6">
        <v>0</v>
      </c>
      <c r="I1839" s="6">
        <v>0</v>
      </c>
      <c r="J1839" s="6">
        <v>0</v>
      </c>
    </row>
    <row r="1840" spans="2:10" outlineLevel="1" x14ac:dyDescent="0.25">
      <c r="B1840" s="3" t="s">
        <v>1234</v>
      </c>
      <c r="C1840" s="3" t="s">
        <v>1235</v>
      </c>
      <c r="D1840" s="3" t="s">
        <v>1236</v>
      </c>
      <c r="E1840" s="3" t="s">
        <v>1108</v>
      </c>
      <c r="F1840" s="3" t="s">
        <v>1754</v>
      </c>
      <c r="G1840" s="6">
        <v>0</v>
      </c>
      <c r="H1840" s="6">
        <v>0</v>
      </c>
      <c r="I1840" s="6">
        <v>0</v>
      </c>
      <c r="J1840" s="6">
        <v>0</v>
      </c>
    </row>
    <row r="1841" spans="2:10" outlineLevel="1" x14ac:dyDescent="0.25">
      <c r="B1841" s="3" t="s">
        <v>1234</v>
      </c>
      <c r="C1841" s="3" t="s">
        <v>1235</v>
      </c>
      <c r="D1841" s="3" t="s">
        <v>1236</v>
      </c>
      <c r="E1841" s="3" t="s">
        <v>845</v>
      </c>
      <c r="F1841" s="3" t="s">
        <v>1755</v>
      </c>
      <c r="G1841" s="6">
        <v>0</v>
      </c>
      <c r="H1841" s="6">
        <v>0</v>
      </c>
      <c r="I1841" s="6">
        <v>0</v>
      </c>
      <c r="J1841" s="6">
        <v>0</v>
      </c>
    </row>
    <row r="1842" spans="2:10" outlineLevel="1" x14ac:dyDescent="0.25">
      <c r="B1842" s="3" t="s">
        <v>1234</v>
      </c>
      <c r="C1842" s="3" t="s">
        <v>1235</v>
      </c>
      <c r="D1842" s="3" t="s">
        <v>1236</v>
      </c>
      <c r="E1842" s="3" t="s">
        <v>1051</v>
      </c>
      <c r="F1842" s="3" t="s">
        <v>1756</v>
      </c>
      <c r="G1842" s="6">
        <v>0</v>
      </c>
      <c r="H1842" s="6">
        <v>0</v>
      </c>
      <c r="I1842" s="6">
        <v>0</v>
      </c>
      <c r="J1842" s="6">
        <v>0</v>
      </c>
    </row>
    <row r="1843" spans="2:10" outlineLevel="1" x14ac:dyDescent="0.25">
      <c r="B1843" s="3" t="s">
        <v>1234</v>
      </c>
      <c r="C1843" s="3" t="s">
        <v>1235</v>
      </c>
      <c r="D1843" s="3" t="s">
        <v>1236</v>
      </c>
      <c r="E1843" s="3" t="s">
        <v>1757</v>
      </c>
      <c r="F1843" s="3" t="s">
        <v>1758</v>
      </c>
      <c r="G1843" s="6">
        <v>0</v>
      </c>
      <c r="H1843" s="6">
        <v>0</v>
      </c>
      <c r="I1843" s="6">
        <v>0</v>
      </c>
      <c r="J1843" s="6">
        <v>0</v>
      </c>
    </row>
    <row r="1844" spans="2:10" outlineLevel="1" x14ac:dyDescent="0.25">
      <c r="B1844" s="3" t="s">
        <v>1234</v>
      </c>
      <c r="C1844" s="3" t="s">
        <v>1235</v>
      </c>
      <c r="D1844" s="3" t="s">
        <v>1236</v>
      </c>
      <c r="E1844" s="3" t="s">
        <v>1106</v>
      </c>
      <c r="F1844" s="3" t="s">
        <v>1759</v>
      </c>
      <c r="G1844" s="6">
        <v>0</v>
      </c>
      <c r="H1844" s="6">
        <v>0</v>
      </c>
      <c r="I1844" s="6">
        <v>0</v>
      </c>
      <c r="J1844" s="6">
        <v>0</v>
      </c>
    </row>
    <row r="1845" spans="2:10" outlineLevel="1" x14ac:dyDescent="0.25">
      <c r="B1845" s="3" t="s">
        <v>1234</v>
      </c>
      <c r="C1845" s="3" t="s">
        <v>1235</v>
      </c>
      <c r="D1845" s="3" t="s">
        <v>1236</v>
      </c>
      <c r="E1845" s="3" t="s">
        <v>1760</v>
      </c>
      <c r="F1845" s="3" t="s">
        <v>1761</v>
      </c>
      <c r="G1845" s="6">
        <v>0</v>
      </c>
      <c r="H1845" s="6">
        <v>0</v>
      </c>
      <c r="I1845" s="6">
        <v>0</v>
      </c>
      <c r="J1845" s="6">
        <v>0</v>
      </c>
    </row>
    <row r="1846" spans="2:10" outlineLevel="1" x14ac:dyDescent="0.25">
      <c r="B1846" s="3" t="s">
        <v>1234</v>
      </c>
      <c r="C1846" s="3" t="s">
        <v>1235</v>
      </c>
      <c r="D1846" s="3" t="s">
        <v>1236</v>
      </c>
      <c r="E1846" s="3" t="s">
        <v>1762</v>
      </c>
      <c r="F1846" s="3" t="s">
        <v>1763</v>
      </c>
      <c r="G1846" s="6">
        <v>0</v>
      </c>
      <c r="H1846" s="6">
        <v>0</v>
      </c>
      <c r="I1846" s="6">
        <v>0</v>
      </c>
      <c r="J1846" s="6">
        <v>0</v>
      </c>
    </row>
    <row r="1847" spans="2:10" outlineLevel="1" x14ac:dyDescent="0.25">
      <c r="B1847" s="3" t="s">
        <v>1234</v>
      </c>
      <c r="C1847" s="3" t="s">
        <v>1235</v>
      </c>
      <c r="D1847" s="3" t="s">
        <v>1236</v>
      </c>
      <c r="E1847" s="3" t="s">
        <v>378</v>
      </c>
      <c r="F1847" s="3" t="s">
        <v>1764</v>
      </c>
      <c r="G1847" s="6">
        <v>0</v>
      </c>
      <c r="H1847" s="6">
        <v>0</v>
      </c>
      <c r="I1847" s="6">
        <v>0</v>
      </c>
      <c r="J1847" s="6">
        <v>0</v>
      </c>
    </row>
    <row r="1848" spans="2:10" outlineLevel="1" x14ac:dyDescent="0.25">
      <c r="B1848" s="3" t="s">
        <v>1234</v>
      </c>
      <c r="C1848" s="3" t="s">
        <v>1235</v>
      </c>
      <c r="D1848" s="3" t="s">
        <v>1236</v>
      </c>
      <c r="E1848" s="3" t="s">
        <v>1765</v>
      </c>
      <c r="F1848" s="3" t="s">
        <v>1766</v>
      </c>
      <c r="G1848" s="6">
        <v>0</v>
      </c>
      <c r="H1848" s="6">
        <v>0</v>
      </c>
      <c r="I1848" s="6">
        <v>0</v>
      </c>
      <c r="J1848" s="6">
        <v>0</v>
      </c>
    </row>
    <row r="1849" spans="2:10" outlineLevel="1" x14ac:dyDescent="0.25">
      <c r="B1849" s="3" t="s">
        <v>1234</v>
      </c>
      <c r="C1849" s="3" t="s">
        <v>1235</v>
      </c>
      <c r="D1849" s="3" t="s">
        <v>1236</v>
      </c>
      <c r="E1849" s="3" t="s">
        <v>1767</v>
      </c>
      <c r="F1849" s="3" t="s">
        <v>1768</v>
      </c>
      <c r="G1849" s="6">
        <v>0</v>
      </c>
      <c r="H1849" s="6">
        <v>0</v>
      </c>
      <c r="I1849" s="6">
        <v>0</v>
      </c>
      <c r="J1849" s="6">
        <v>0</v>
      </c>
    </row>
    <row r="1850" spans="2:10" outlineLevel="1" x14ac:dyDescent="0.25">
      <c r="B1850" s="3" t="s">
        <v>1234</v>
      </c>
      <c r="C1850" s="3" t="s">
        <v>1235</v>
      </c>
      <c r="D1850" s="3" t="s">
        <v>1236</v>
      </c>
      <c r="E1850" s="3" t="s">
        <v>997</v>
      </c>
      <c r="F1850" s="3" t="s">
        <v>1769</v>
      </c>
      <c r="G1850" s="6">
        <v>0</v>
      </c>
      <c r="H1850" s="6">
        <v>0</v>
      </c>
      <c r="I1850" s="6">
        <v>0</v>
      </c>
      <c r="J1850" s="6">
        <v>0</v>
      </c>
    </row>
    <row r="1851" spans="2:10" outlineLevel="1" x14ac:dyDescent="0.25">
      <c r="B1851" s="3" t="s">
        <v>1234</v>
      </c>
      <c r="C1851" s="3" t="s">
        <v>1235</v>
      </c>
      <c r="D1851" s="3" t="s">
        <v>1236</v>
      </c>
      <c r="E1851" s="3" t="s">
        <v>1770</v>
      </c>
      <c r="F1851" s="3" t="s">
        <v>1771</v>
      </c>
      <c r="G1851" s="6">
        <v>0</v>
      </c>
      <c r="H1851" s="6">
        <v>0</v>
      </c>
      <c r="I1851" s="6">
        <v>0</v>
      </c>
      <c r="J1851" s="6">
        <v>0</v>
      </c>
    </row>
    <row r="1852" spans="2:10" outlineLevel="1" x14ac:dyDescent="0.25">
      <c r="B1852" s="3" t="s">
        <v>1234</v>
      </c>
      <c r="C1852" s="3" t="s">
        <v>1235</v>
      </c>
      <c r="D1852" s="3" t="s">
        <v>1236</v>
      </c>
      <c r="E1852" s="3" t="s">
        <v>1097</v>
      </c>
      <c r="F1852" s="3" t="s">
        <v>1772</v>
      </c>
      <c r="G1852" s="6">
        <v>0</v>
      </c>
      <c r="H1852" s="6">
        <v>0</v>
      </c>
      <c r="I1852" s="6">
        <v>0</v>
      </c>
      <c r="J1852" s="6">
        <v>0</v>
      </c>
    </row>
    <row r="1853" spans="2:10" outlineLevel="1" x14ac:dyDescent="0.25">
      <c r="B1853" s="3" t="s">
        <v>1234</v>
      </c>
      <c r="C1853" s="3" t="s">
        <v>1235</v>
      </c>
      <c r="D1853" s="3" t="s">
        <v>1236</v>
      </c>
      <c r="E1853" s="3" t="s">
        <v>1773</v>
      </c>
      <c r="F1853" s="3" t="s">
        <v>1774</v>
      </c>
      <c r="G1853" s="6">
        <v>0</v>
      </c>
      <c r="H1853" s="6">
        <v>0</v>
      </c>
      <c r="I1853" s="6">
        <v>0</v>
      </c>
      <c r="J1853" s="6">
        <v>0</v>
      </c>
    </row>
    <row r="1854" spans="2:10" outlineLevel="1" x14ac:dyDescent="0.25">
      <c r="B1854" s="3" t="s">
        <v>1234</v>
      </c>
      <c r="C1854" s="3" t="s">
        <v>1235</v>
      </c>
      <c r="D1854" s="3" t="s">
        <v>1236</v>
      </c>
      <c r="E1854" s="3" t="s">
        <v>1168</v>
      </c>
      <c r="F1854" s="3" t="s">
        <v>1775</v>
      </c>
      <c r="G1854" s="6">
        <v>0</v>
      </c>
      <c r="H1854" s="6">
        <v>0</v>
      </c>
      <c r="I1854" s="6">
        <v>0</v>
      </c>
      <c r="J1854" s="6">
        <v>0</v>
      </c>
    </row>
    <row r="1855" spans="2:10" outlineLevel="1" x14ac:dyDescent="0.25">
      <c r="B1855" s="3" t="s">
        <v>1234</v>
      </c>
      <c r="C1855" s="3" t="s">
        <v>1235</v>
      </c>
      <c r="D1855" s="3" t="s">
        <v>1236</v>
      </c>
      <c r="E1855" s="3" t="s">
        <v>817</v>
      </c>
      <c r="F1855" s="3" t="s">
        <v>1776</v>
      </c>
      <c r="G1855" s="6">
        <v>0</v>
      </c>
      <c r="H1855" s="6">
        <v>0</v>
      </c>
      <c r="I1855" s="6">
        <v>0</v>
      </c>
      <c r="J1855" s="6">
        <v>0</v>
      </c>
    </row>
    <row r="1856" spans="2:10" outlineLevel="1" x14ac:dyDescent="0.25">
      <c r="B1856" s="3" t="s">
        <v>1234</v>
      </c>
      <c r="C1856" s="3" t="s">
        <v>1235</v>
      </c>
      <c r="D1856" s="3" t="s">
        <v>1236</v>
      </c>
      <c r="E1856" s="3" t="s">
        <v>656</v>
      </c>
      <c r="F1856" s="3" t="s">
        <v>1777</v>
      </c>
      <c r="G1856" s="6">
        <v>0</v>
      </c>
      <c r="H1856" s="6">
        <v>0</v>
      </c>
      <c r="I1856" s="6">
        <v>0</v>
      </c>
      <c r="J1856" s="6">
        <v>0</v>
      </c>
    </row>
    <row r="1857" spans="2:10" outlineLevel="1" x14ac:dyDescent="0.25">
      <c r="B1857" s="3" t="s">
        <v>1234</v>
      </c>
      <c r="C1857" s="3" t="s">
        <v>1235</v>
      </c>
      <c r="D1857" s="3" t="s">
        <v>1236</v>
      </c>
      <c r="E1857" s="3" t="s">
        <v>1096</v>
      </c>
      <c r="F1857" s="3" t="s">
        <v>1778</v>
      </c>
      <c r="G1857" s="6">
        <v>0</v>
      </c>
      <c r="H1857" s="6">
        <v>0</v>
      </c>
      <c r="I1857" s="6">
        <v>0</v>
      </c>
      <c r="J1857" s="6">
        <v>0</v>
      </c>
    </row>
    <row r="1858" spans="2:10" outlineLevel="1" x14ac:dyDescent="0.25">
      <c r="B1858" s="3" t="s">
        <v>1234</v>
      </c>
      <c r="C1858" s="3" t="s">
        <v>1235</v>
      </c>
      <c r="D1858" s="3" t="s">
        <v>1236</v>
      </c>
      <c r="E1858" s="3" t="s">
        <v>1083</v>
      </c>
      <c r="F1858" s="3" t="s">
        <v>1779</v>
      </c>
      <c r="G1858" s="6">
        <v>0</v>
      </c>
      <c r="H1858" s="6">
        <v>0</v>
      </c>
      <c r="I1858" s="6">
        <v>0</v>
      </c>
      <c r="J1858" s="6">
        <v>0</v>
      </c>
    </row>
    <row r="1859" spans="2:10" outlineLevel="1" x14ac:dyDescent="0.25">
      <c r="B1859" s="3" t="s">
        <v>1234</v>
      </c>
      <c r="C1859" s="3" t="s">
        <v>1235</v>
      </c>
      <c r="D1859" s="3" t="s">
        <v>1236</v>
      </c>
      <c r="E1859" s="3" t="s">
        <v>1780</v>
      </c>
      <c r="F1859" s="3" t="s">
        <v>1781</v>
      </c>
      <c r="G1859" s="6">
        <v>0</v>
      </c>
      <c r="H1859" s="6">
        <v>0</v>
      </c>
      <c r="I1859" s="6">
        <v>0</v>
      </c>
      <c r="J1859" s="6">
        <v>0</v>
      </c>
    </row>
    <row r="1860" spans="2:10" outlineLevel="1" x14ac:dyDescent="0.25">
      <c r="B1860" s="3" t="s">
        <v>1234</v>
      </c>
      <c r="C1860" s="3" t="s">
        <v>1235</v>
      </c>
      <c r="D1860" s="3" t="s">
        <v>1236</v>
      </c>
      <c r="E1860" s="3" t="s">
        <v>1782</v>
      </c>
      <c r="F1860" s="3" t="s">
        <v>1783</v>
      </c>
      <c r="G1860" s="6">
        <v>0</v>
      </c>
      <c r="H1860" s="6">
        <v>0</v>
      </c>
      <c r="I1860" s="6">
        <v>0</v>
      </c>
      <c r="J1860" s="6">
        <v>0</v>
      </c>
    </row>
    <row r="1861" spans="2:10" outlineLevel="1" x14ac:dyDescent="0.25">
      <c r="B1861" s="3" t="s">
        <v>1234</v>
      </c>
      <c r="C1861" s="3" t="s">
        <v>1235</v>
      </c>
      <c r="D1861" s="3" t="s">
        <v>1236</v>
      </c>
      <c r="E1861" s="3" t="s">
        <v>1784</v>
      </c>
      <c r="F1861" s="3" t="s">
        <v>1785</v>
      </c>
      <c r="G1861" s="6">
        <v>0</v>
      </c>
      <c r="H1861" s="6">
        <v>0</v>
      </c>
      <c r="I1861" s="6">
        <v>0</v>
      </c>
      <c r="J1861" s="6">
        <v>0</v>
      </c>
    </row>
    <row r="1862" spans="2:10" outlineLevel="1" x14ac:dyDescent="0.25">
      <c r="B1862" s="3" t="s">
        <v>1234</v>
      </c>
      <c r="C1862" s="3" t="s">
        <v>1235</v>
      </c>
      <c r="D1862" s="3" t="s">
        <v>1236</v>
      </c>
      <c r="E1862" s="3" t="s">
        <v>1786</v>
      </c>
      <c r="F1862" s="3" t="s">
        <v>1787</v>
      </c>
      <c r="G1862" s="6">
        <v>0</v>
      </c>
      <c r="H1862" s="6">
        <v>0</v>
      </c>
      <c r="I1862" s="6">
        <v>0</v>
      </c>
      <c r="J1862" s="6">
        <v>0</v>
      </c>
    </row>
    <row r="1863" spans="2:10" outlineLevel="1" x14ac:dyDescent="0.25">
      <c r="B1863" s="3" t="s">
        <v>1234</v>
      </c>
      <c r="C1863" s="3" t="s">
        <v>1235</v>
      </c>
      <c r="D1863" s="3" t="s">
        <v>1236</v>
      </c>
      <c r="E1863" s="3" t="s">
        <v>1186</v>
      </c>
      <c r="F1863" s="3" t="s">
        <v>1788</v>
      </c>
      <c r="G1863" s="6">
        <v>0</v>
      </c>
      <c r="H1863" s="6">
        <v>0</v>
      </c>
      <c r="I1863" s="6">
        <v>0</v>
      </c>
      <c r="J1863" s="6">
        <v>0</v>
      </c>
    </row>
    <row r="1864" spans="2:10" outlineLevel="1" x14ac:dyDescent="0.25">
      <c r="B1864" s="3" t="s">
        <v>1234</v>
      </c>
      <c r="C1864" s="3" t="s">
        <v>1235</v>
      </c>
      <c r="D1864" s="3" t="s">
        <v>1236</v>
      </c>
      <c r="E1864" s="3" t="s">
        <v>1081</v>
      </c>
      <c r="F1864" s="3" t="s">
        <v>1789</v>
      </c>
      <c r="G1864" s="6">
        <v>0</v>
      </c>
      <c r="H1864" s="6">
        <v>0</v>
      </c>
      <c r="I1864" s="6">
        <v>0</v>
      </c>
      <c r="J1864" s="6">
        <v>0</v>
      </c>
    </row>
    <row r="1865" spans="2:10" outlineLevel="1" x14ac:dyDescent="0.25">
      <c r="B1865" s="3" t="s">
        <v>1234</v>
      </c>
      <c r="C1865" s="3" t="s">
        <v>1235</v>
      </c>
      <c r="D1865" s="3" t="s">
        <v>1236</v>
      </c>
      <c r="E1865" s="3" t="s">
        <v>1177</v>
      </c>
      <c r="F1865" s="3" t="s">
        <v>1790</v>
      </c>
      <c r="G1865" s="6">
        <v>0</v>
      </c>
      <c r="H1865" s="6">
        <v>0</v>
      </c>
      <c r="I1865" s="6">
        <v>0</v>
      </c>
      <c r="J1865" s="6">
        <v>0</v>
      </c>
    </row>
    <row r="1866" spans="2:10" outlineLevel="1" x14ac:dyDescent="0.25">
      <c r="B1866" s="3" t="s">
        <v>1234</v>
      </c>
      <c r="C1866" s="3" t="s">
        <v>1235</v>
      </c>
      <c r="D1866" s="3" t="s">
        <v>1236</v>
      </c>
      <c r="E1866" s="3" t="s">
        <v>673</v>
      </c>
      <c r="F1866" s="3" t="s">
        <v>1791</v>
      </c>
      <c r="G1866" s="6">
        <v>0</v>
      </c>
      <c r="H1866" s="6">
        <v>0</v>
      </c>
      <c r="I1866" s="6">
        <v>0</v>
      </c>
      <c r="J1866" s="6">
        <v>0</v>
      </c>
    </row>
    <row r="1867" spans="2:10" outlineLevel="1" x14ac:dyDescent="0.25">
      <c r="B1867" s="3" t="s">
        <v>1234</v>
      </c>
      <c r="C1867" s="3" t="s">
        <v>1235</v>
      </c>
      <c r="D1867" s="3" t="s">
        <v>1236</v>
      </c>
      <c r="E1867" s="3" t="s">
        <v>828</v>
      </c>
      <c r="F1867" s="3" t="s">
        <v>1792</v>
      </c>
      <c r="G1867" s="6">
        <v>0</v>
      </c>
      <c r="H1867" s="6">
        <v>0</v>
      </c>
      <c r="I1867" s="6">
        <v>0</v>
      </c>
      <c r="J1867" s="6">
        <v>0</v>
      </c>
    </row>
    <row r="1868" spans="2:10" outlineLevel="1" x14ac:dyDescent="0.25">
      <c r="B1868" s="3" t="s">
        <v>1234</v>
      </c>
      <c r="C1868" s="3" t="s">
        <v>1235</v>
      </c>
      <c r="D1868" s="3" t="s">
        <v>1236</v>
      </c>
      <c r="E1868" s="3" t="s">
        <v>1793</v>
      </c>
      <c r="F1868" s="3" t="s">
        <v>1794</v>
      </c>
      <c r="G1868" s="6">
        <v>0</v>
      </c>
      <c r="H1868" s="6">
        <v>0</v>
      </c>
      <c r="I1868" s="6">
        <v>0</v>
      </c>
      <c r="J1868" s="6">
        <v>0</v>
      </c>
    </row>
    <row r="1869" spans="2:10" outlineLevel="1" x14ac:dyDescent="0.25">
      <c r="B1869" s="3" t="s">
        <v>1234</v>
      </c>
      <c r="C1869" s="3" t="s">
        <v>1235</v>
      </c>
      <c r="D1869" s="3" t="s">
        <v>1236</v>
      </c>
      <c r="E1869" s="3" t="s">
        <v>1795</v>
      </c>
      <c r="F1869" s="3" t="s">
        <v>1796</v>
      </c>
      <c r="G1869" s="6">
        <v>0</v>
      </c>
      <c r="H1869" s="6">
        <v>0</v>
      </c>
      <c r="I1869" s="6">
        <v>0</v>
      </c>
      <c r="J1869" s="6">
        <v>0</v>
      </c>
    </row>
    <row r="1870" spans="2:10" outlineLevel="1" x14ac:dyDescent="0.25">
      <c r="B1870" s="3" t="s">
        <v>1234</v>
      </c>
      <c r="C1870" s="3" t="s">
        <v>1235</v>
      </c>
      <c r="D1870" s="3" t="s">
        <v>1236</v>
      </c>
      <c r="E1870" s="3" t="s">
        <v>1002</v>
      </c>
      <c r="F1870" s="3" t="s">
        <v>1797</v>
      </c>
      <c r="G1870" s="6">
        <v>0</v>
      </c>
      <c r="H1870" s="6">
        <v>0</v>
      </c>
      <c r="I1870" s="6">
        <v>0</v>
      </c>
      <c r="J1870" s="6">
        <v>0</v>
      </c>
    </row>
    <row r="1871" spans="2:10" outlineLevel="1" x14ac:dyDescent="0.25">
      <c r="B1871" s="3" t="s">
        <v>1234</v>
      </c>
      <c r="C1871" s="3" t="s">
        <v>1235</v>
      </c>
      <c r="D1871" s="3" t="s">
        <v>1236</v>
      </c>
      <c r="E1871" s="3" t="s">
        <v>1213</v>
      </c>
      <c r="F1871" s="3" t="s">
        <v>1798</v>
      </c>
      <c r="G1871" s="6">
        <v>0</v>
      </c>
      <c r="H1871" s="6">
        <v>0</v>
      </c>
      <c r="I1871" s="6">
        <v>0</v>
      </c>
      <c r="J1871" s="6">
        <v>0</v>
      </c>
    </row>
    <row r="1872" spans="2:10" outlineLevel="1" x14ac:dyDescent="0.25">
      <c r="B1872" s="3" t="s">
        <v>1234</v>
      </c>
      <c r="C1872" s="3" t="s">
        <v>1235</v>
      </c>
      <c r="D1872" s="3" t="s">
        <v>1236</v>
      </c>
      <c r="E1872" s="3" t="s">
        <v>580</v>
      </c>
      <c r="F1872" s="3" t="s">
        <v>1799</v>
      </c>
      <c r="G1872" s="6">
        <v>0</v>
      </c>
      <c r="H1872" s="6">
        <v>0</v>
      </c>
      <c r="I1872" s="6">
        <v>0</v>
      </c>
      <c r="J1872" s="6">
        <v>0</v>
      </c>
    </row>
    <row r="1873" spans="2:10" outlineLevel="1" x14ac:dyDescent="0.25">
      <c r="B1873" s="3" t="s">
        <v>1234</v>
      </c>
      <c r="C1873" s="3" t="s">
        <v>1235</v>
      </c>
      <c r="D1873" s="3" t="s">
        <v>1236</v>
      </c>
      <c r="E1873" s="3" t="s">
        <v>910</v>
      </c>
      <c r="F1873" s="3" t="s">
        <v>1800</v>
      </c>
      <c r="G1873" s="6">
        <v>0</v>
      </c>
      <c r="H1873" s="6">
        <v>0</v>
      </c>
      <c r="I1873" s="6">
        <v>0</v>
      </c>
      <c r="J1873" s="6">
        <v>0</v>
      </c>
    </row>
    <row r="1874" spans="2:10" outlineLevel="1" x14ac:dyDescent="0.25">
      <c r="B1874" s="3" t="s">
        <v>1234</v>
      </c>
      <c r="C1874" s="3" t="s">
        <v>1235</v>
      </c>
      <c r="D1874" s="3" t="s">
        <v>1236</v>
      </c>
      <c r="E1874" s="3" t="s">
        <v>320</v>
      </c>
      <c r="F1874" s="3" t="s">
        <v>1801</v>
      </c>
      <c r="G1874" s="6">
        <v>0</v>
      </c>
      <c r="H1874" s="6">
        <v>0</v>
      </c>
      <c r="I1874" s="6">
        <v>0</v>
      </c>
      <c r="J1874" s="6">
        <v>0</v>
      </c>
    </row>
    <row r="1875" spans="2:10" outlineLevel="1" x14ac:dyDescent="0.25">
      <c r="B1875" s="3" t="s">
        <v>1234</v>
      </c>
      <c r="C1875" s="3" t="s">
        <v>1235</v>
      </c>
      <c r="D1875" s="3" t="s">
        <v>1236</v>
      </c>
      <c r="E1875" s="3" t="s">
        <v>324</v>
      </c>
      <c r="F1875" s="3" t="s">
        <v>1802</v>
      </c>
      <c r="G1875" s="6">
        <v>0</v>
      </c>
      <c r="H1875" s="6">
        <v>0</v>
      </c>
      <c r="I1875" s="6">
        <v>0</v>
      </c>
      <c r="J1875" s="6">
        <v>0</v>
      </c>
    </row>
    <row r="1876" spans="2:10" outlineLevel="1" x14ac:dyDescent="0.25">
      <c r="B1876" s="3" t="s">
        <v>1234</v>
      </c>
      <c r="C1876" s="3" t="s">
        <v>1235</v>
      </c>
      <c r="D1876" s="3" t="s">
        <v>1236</v>
      </c>
      <c r="E1876" s="3" t="s">
        <v>1803</v>
      </c>
      <c r="F1876" s="3" t="s">
        <v>1804</v>
      </c>
      <c r="G1876" s="6">
        <v>0</v>
      </c>
      <c r="H1876" s="6">
        <v>0</v>
      </c>
      <c r="I1876" s="6">
        <v>0</v>
      </c>
      <c r="J1876" s="6">
        <v>0</v>
      </c>
    </row>
    <row r="1877" spans="2:10" outlineLevel="1" x14ac:dyDescent="0.25">
      <c r="B1877" s="3" t="s">
        <v>1234</v>
      </c>
      <c r="C1877" s="3" t="s">
        <v>1235</v>
      </c>
      <c r="D1877" s="3" t="s">
        <v>1236</v>
      </c>
      <c r="E1877" s="3" t="s">
        <v>1805</v>
      </c>
      <c r="F1877" s="3" t="s">
        <v>1806</v>
      </c>
      <c r="G1877" s="6">
        <v>0</v>
      </c>
      <c r="H1877" s="6">
        <v>0</v>
      </c>
      <c r="I1877" s="6">
        <v>0</v>
      </c>
      <c r="J1877" s="6">
        <v>0</v>
      </c>
    </row>
    <row r="1878" spans="2:10" outlineLevel="1" x14ac:dyDescent="0.25">
      <c r="B1878" s="3" t="s">
        <v>1234</v>
      </c>
      <c r="C1878" s="3" t="s">
        <v>1235</v>
      </c>
      <c r="D1878" s="3" t="s">
        <v>1236</v>
      </c>
      <c r="E1878" s="3" t="s">
        <v>1807</v>
      </c>
      <c r="F1878" s="3" t="s">
        <v>1808</v>
      </c>
      <c r="G1878" s="6">
        <v>0</v>
      </c>
      <c r="H1878" s="6">
        <v>0</v>
      </c>
      <c r="I1878" s="6">
        <v>0</v>
      </c>
      <c r="J1878" s="6">
        <v>0</v>
      </c>
    </row>
    <row r="1879" spans="2:10" outlineLevel="1" x14ac:dyDescent="0.25">
      <c r="B1879" s="3" t="s">
        <v>1234</v>
      </c>
      <c r="C1879" s="3" t="s">
        <v>1235</v>
      </c>
      <c r="D1879" s="3" t="s">
        <v>1236</v>
      </c>
      <c r="E1879" s="3" t="s">
        <v>436</v>
      </c>
      <c r="F1879" s="3" t="s">
        <v>1809</v>
      </c>
      <c r="G1879" s="6">
        <v>0</v>
      </c>
      <c r="H1879" s="6">
        <v>0</v>
      </c>
      <c r="I1879" s="6">
        <v>0</v>
      </c>
      <c r="J1879" s="6">
        <v>0</v>
      </c>
    </row>
    <row r="1880" spans="2:10" outlineLevel="1" x14ac:dyDescent="0.25">
      <c r="B1880" s="3" t="s">
        <v>1234</v>
      </c>
      <c r="C1880" s="3" t="s">
        <v>1235</v>
      </c>
      <c r="D1880" s="3" t="s">
        <v>1236</v>
      </c>
      <c r="E1880" s="3" t="s">
        <v>582</v>
      </c>
      <c r="F1880" s="3" t="s">
        <v>1810</v>
      </c>
      <c r="G1880" s="6">
        <v>0</v>
      </c>
      <c r="H1880" s="6">
        <v>0</v>
      </c>
      <c r="I1880" s="6">
        <v>0</v>
      </c>
      <c r="J1880" s="6">
        <v>0</v>
      </c>
    </row>
    <row r="1881" spans="2:10" outlineLevel="1" x14ac:dyDescent="0.25">
      <c r="B1881" s="3" t="s">
        <v>1234</v>
      </c>
      <c r="C1881" s="3" t="s">
        <v>1235</v>
      </c>
      <c r="D1881" s="3" t="s">
        <v>1236</v>
      </c>
      <c r="E1881" s="3" t="s">
        <v>626</v>
      </c>
      <c r="F1881" s="3" t="s">
        <v>1811</v>
      </c>
      <c r="G1881" s="6">
        <v>0</v>
      </c>
      <c r="H1881" s="6">
        <v>0</v>
      </c>
      <c r="I1881" s="6">
        <v>0</v>
      </c>
      <c r="J1881" s="6">
        <v>0</v>
      </c>
    </row>
    <row r="1882" spans="2:10" outlineLevel="1" x14ac:dyDescent="0.25">
      <c r="B1882" s="3" t="s">
        <v>1234</v>
      </c>
      <c r="C1882" s="3" t="s">
        <v>1235</v>
      </c>
      <c r="D1882" s="3" t="s">
        <v>1236</v>
      </c>
      <c r="E1882" s="3" t="s">
        <v>278</v>
      </c>
      <c r="F1882" s="3" t="s">
        <v>1812</v>
      </c>
      <c r="G1882" s="6">
        <v>0</v>
      </c>
      <c r="H1882" s="6">
        <v>0</v>
      </c>
      <c r="I1882" s="6">
        <v>0</v>
      </c>
      <c r="J1882" s="6">
        <v>0</v>
      </c>
    </row>
    <row r="1883" spans="2:10" outlineLevel="1" x14ac:dyDescent="0.25">
      <c r="B1883" s="3" t="s">
        <v>1234</v>
      </c>
      <c r="C1883" s="3" t="s">
        <v>1235</v>
      </c>
      <c r="D1883" s="3" t="s">
        <v>1236</v>
      </c>
      <c r="E1883" s="3" t="s">
        <v>326</v>
      </c>
      <c r="F1883" s="3" t="s">
        <v>1813</v>
      </c>
      <c r="G1883" s="6">
        <v>0</v>
      </c>
      <c r="H1883" s="6">
        <v>0</v>
      </c>
      <c r="I1883" s="6">
        <v>0</v>
      </c>
      <c r="J1883" s="6">
        <v>0</v>
      </c>
    </row>
    <row r="1884" spans="2:10" outlineLevel="1" x14ac:dyDescent="0.25">
      <c r="B1884" s="3" t="s">
        <v>1234</v>
      </c>
      <c r="C1884" s="3" t="s">
        <v>1235</v>
      </c>
      <c r="D1884" s="3" t="s">
        <v>1236</v>
      </c>
      <c r="E1884" s="3" t="s">
        <v>1814</v>
      </c>
      <c r="F1884" s="3" t="s">
        <v>1815</v>
      </c>
      <c r="G1884" s="6">
        <v>0</v>
      </c>
      <c r="H1884" s="6">
        <v>0</v>
      </c>
      <c r="I1884" s="6">
        <v>0</v>
      </c>
      <c r="J1884" s="6">
        <v>0</v>
      </c>
    </row>
    <row r="1885" spans="2:10" outlineLevel="1" x14ac:dyDescent="0.25">
      <c r="B1885" s="3" t="s">
        <v>1234</v>
      </c>
      <c r="C1885" s="3" t="s">
        <v>1235</v>
      </c>
      <c r="D1885" s="3" t="s">
        <v>1236</v>
      </c>
      <c r="E1885" s="3" t="s">
        <v>584</v>
      </c>
      <c r="F1885" s="3" t="s">
        <v>1816</v>
      </c>
      <c r="G1885" s="6">
        <v>0</v>
      </c>
      <c r="H1885" s="6">
        <v>0</v>
      </c>
      <c r="I1885" s="6">
        <v>0</v>
      </c>
      <c r="J1885" s="6">
        <v>0</v>
      </c>
    </row>
    <row r="1886" spans="2:10" outlineLevel="1" x14ac:dyDescent="0.25">
      <c r="B1886" s="3" t="s">
        <v>1234</v>
      </c>
      <c r="C1886" s="3" t="s">
        <v>1235</v>
      </c>
      <c r="D1886" s="3" t="s">
        <v>1236</v>
      </c>
      <c r="E1886" s="3" t="s">
        <v>1817</v>
      </c>
      <c r="F1886" s="3" t="s">
        <v>1818</v>
      </c>
      <c r="G1886" s="6">
        <v>0</v>
      </c>
      <c r="H1886" s="6">
        <v>0</v>
      </c>
      <c r="I1886" s="6">
        <v>0</v>
      </c>
      <c r="J1886" s="6">
        <v>0</v>
      </c>
    </row>
    <row r="1887" spans="2:10" outlineLevel="1" x14ac:dyDescent="0.25">
      <c r="B1887" s="3" t="s">
        <v>1234</v>
      </c>
      <c r="C1887" s="3" t="s">
        <v>1235</v>
      </c>
      <c r="D1887" s="3" t="s">
        <v>1236</v>
      </c>
      <c r="E1887" s="3" t="s">
        <v>1819</v>
      </c>
      <c r="F1887" s="3" t="s">
        <v>1820</v>
      </c>
      <c r="G1887" s="6">
        <v>0</v>
      </c>
      <c r="H1887" s="6">
        <v>0</v>
      </c>
      <c r="I1887" s="6">
        <v>0</v>
      </c>
      <c r="J1887" s="6">
        <v>0</v>
      </c>
    </row>
    <row r="1888" spans="2:10" outlineLevel="1" x14ac:dyDescent="0.25">
      <c r="B1888" s="3" t="s">
        <v>1234</v>
      </c>
      <c r="C1888" s="3" t="s">
        <v>1235</v>
      </c>
      <c r="D1888" s="3" t="s">
        <v>1236</v>
      </c>
      <c r="E1888" s="3" t="s">
        <v>434</v>
      </c>
      <c r="F1888" s="3" t="s">
        <v>1821</v>
      </c>
      <c r="G1888" s="6">
        <v>0</v>
      </c>
      <c r="H1888" s="6">
        <v>0</v>
      </c>
      <c r="I1888" s="6">
        <v>0</v>
      </c>
      <c r="J1888" s="6">
        <v>0</v>
      </c>
    </row>
    <row r="1889" spans="2:10" outlineLevel="1" x14ac:dyDescent="0.25">
      <c r="B1889" s="3" t="s">
        <v>1234</v>
      </c>
      <c r="C1889" s="3" t="s">
        <v>1235</v>
      </c>
      <c r="D1889" s="3" t="s">
        <v>1236</v>
      </c>
      <c r="E1889" s="3" t="s">
        <v>1822</v>
      </c>
      <c r="F1889" s="3" t="s">
        <v>1823</v>
      </c>
      <c r="G1889" s="6">
        <v>0</v>
      </c>
      <c r="H1889" s="6">
        <v>0</v>
      </c>
      <c r="I1889" s="6">
        <v>0</v>
      </c>
      <c r="J1889" s="6">
        <v>0</v>
      </c>
    </row>
    <row r="1890" spans="2:10" outlineLevel="1" x14ac:dyDescent="0.25">
      <c r="B1890" s="3" t="s">
        <v>1234</v>
      </c>
      <c r="C1890" s="3" t="s">
        <v>1235</v>
      </c>
      <c r="D1890" s="3" t="s">
        <v>1236</v>
      </c>
      <c r="E1890" s="3" t="s">
        <v>624</v>
      </c>
      <c r="F1890" s="3" t="s">
        <v>1824</v>
      </c>
      <c r="G1890" s="6">
        <v>0</v>
      </c>
      <c r="H1890" s="6">
        <v>0</v>
      </c>
      <c r="I1890" s="6">
        <v>0</v>
      </c>
      <c r="J1890" s="6">
        <v>0</v>
      </c>
    </row>
    <row r="1891" spans="2:10" outlineLevel="1" x14ac:dyDescent="0.25">
      <c r="B1891" s="3" t="s">
        <v>1234</v>
      </c>
      <c r="C1891" s="3" t="s">
        <v>1235</v>
      </c>
      <c r="D1891" s="3" t="s">
        <v>1236</v>
      </c>
      <c r="E1891" s="3" t="s">
        <v>282</v>
      </c>
      <c r="F1891" s="3" t="s">
        <v>1825</v>
      </c>
      <c r="G1891" s="6">
        <v>0</v>
      </c>
      <c r="H1891" s="6">
        <v>0</v>
      </c>
      <c r="I1891" s="6">
        <v>0</v>
      </c>
      <c r="J1891" s="6">
        <v>0</v>
      </c>
    </row>
    <row r="1892" spans="2:10" outlineLevel="1" x14ac:dyDescent="0.25">
      <c r="B1892" s="3" t="s">
        <v>1234</v>
      </c>
      <c r="C1892" s="3" t="s">
        <v>1235</v>
      </c>
      <c r="D1892" s="3" t="s">
        <v>1236</v>
      </c>
      <c r="E1892" s="3" t="s">
        <v>404</v>
      </c>
      <c r="F1892" s="3" t="s">
        <v>1826</v>
      </c>
      <c r="G1892" s="6">
        <v>0</v>
      </c>
      <c r="H1892" s="6">
        <v>0</v>
      </c>
      <c r="I1892" s="6">
        <v>0</v>
      </c>
      <c r="J1892" s="6">
        <v>0</v>
      </c>
    </row>
    <row r="1893" spans="2:10" outlineLevel="1" x14ac:dyDescent="0.25">
      <c r="B1893" s="3" t="s">
        <v>1234</v>
      </c>
      <c r="C1893" s="3" t="s">
        <v>1235</v>
      </c>
      <c r="D1893" s="3" t="s">
        <v>1236</v>
      </c>
      <c r="E1893" s="3" t="s">
        <v>1827</v>
      </c>
      <c r="F1893" s="3" t="s">
        <v>1828</v>
      </c>
      <c r="G1893" s="6">
        <v>0</v>
      </c>
      <c r="H1893" s="6">
        <v>0</v>
      </c>
      <c r="I1893" s="6">
        <v>0</v>
      </c>
      <c r="J1893" s="6">
        <v>0</v>
      </c>
    </row>
    <row r="1894" spans="2:10" outlineLevel="1" x14ac:dyDescent="0.25">
      <c r="B1894" s="3" t="s">
        <v>1234</v>
      </c>
      <c r="C1894" s="3" t="s">
        <v>1235</v>
      </c>
      <c r="D1894" s="3" t="s">
        <v>1236</v>
      </c>
      <c r="E1894" s="3" t="s">
        <v>1829</v>
      </c>
      <c r="F1894" s="3" t="s">
        <v>1830</v>
      </c>
      <c r="G1894" s="6">
        <v>0</v>
      </c>
      <c r="H1894" s="6">
        <v>0</v>
      </c>
      <c r="I1894" s="6">
        <v>0</v>
      </c>
      <c r="J1894" s="6">
        <v>0</v>
      </c>
    </row>
    <row r="1895" spans="2:10" outlineLevel="1" x14ac:dyDescent="0.25">
      <c r="B1895" s="3" t="s">
        <v>1234</v>
      </c>
      <c r="C1895" s="3" t="s">
        <v>1235</v>
      </c>
      <c r="D1895" s="3" t="s">
        <v>1236</v>
      </c>
      <c r="E1895" s="3" t="s">
        <v>522</v>
      </c>
      <c r="F1895" s="3" t="s">
        <v>1831</v>
      </c>
      <c r="G1895" s="6">
        <v>0</v>
      </c>
      <c r="H1895" s="6">
        <v>0</v>
      </c>
      <c r="I1895" s="6">
        <v>0</v>
      </c>
      <c r="J1895" s="6">
        <v>0</v>
      </c>
    </row>
    <row r="1896" spans="2:10" outlineLevel="1" x14ac:dyDescent="0.25">
      <c r="B1896" s="3" t="s">
        <v>1234</v>
      </c>
      <c r="C1896" s="3" t="s">
        <v>1235</v>
      </c>
      <c r="D1896" s="3" t="s">
        <v>1236</v>
      </c>
      <c r="E1896" s="3" t="s">
        <v>1832</v>
      </c>
      <c r="F1896" s="3" t="s">
        <v>1833</v>
      </c>
      <c r="G1896" s="6">
        <v>0</v>
      </c>
      <c r="H1896" s="6">
        <v>0</v>
      </c>
      <c r="I1896" s="6">
        <v>0</v>
      </c>
      <c r="J1896" s="6">
        <v>0</v>
      </c>
    </row>
    <row r="1897" spans="2:10" outlineLevel="1" x14ac:dyDescent="0.25">
      <c r="B1897" s="3" t="s">
        <v>1234</v>
      </c>
      <c r="C1897" s="3" t="s">
        <v>1235</v>
      </c>
      <c r="D1897" s="3" t="s">
        <v>1236</v>
      </c>
      <c r="E1897" s="3" t="s">
        <v>1834</v>
      </c>
      <c r="F1897" s="3" t="s">
        <v>1835</v>
      </c>
      <c r="G1897" s="6">
        <v>0</v>
      </c>
      <c r="H1897" s="6">
        <v>0</v>
      </c>
      <c r="I1897" s="6">
        <v>0</v>
      </c>
      <c r="J1897" s="6">
        <v>0</v>
      </c>
    </row>
    <row r="1898" spans="2:10" outlineLevel="1" x14ac:dyDescent="0.25">
      <c r="B1898" s="3" t="s">
        <v>1234</v>
      </c>
      <c r="C1898" s="3" t="s">
        <v>1235</v>
      </c>
      <c r="D1898" s="3" t="s">
        <v>1236</v>
      </c>
      <c r="E1898" s="3" t="s">
        <v>1836</v>
      </c>
      <c r="F1898" s="3" t="s">
        <v>1837</v>
      </c>
      <c r="G1898" s="6">
        <v>0</v>
      </c>
      <c r="H1898" s="6">
        <v>0</v>
      </c>
      <c r="I1898" s="6">
        <v>0</v>
      </c>
      <c r="J1898" s="6">
        <v>0</v>
      </c>
    </row>
    <row r="1899" spans="2:10" outlineLevel="1" x14ac:dyDescent="0.25">
      <c r="B1899" s="3" t="s">
        <v>1234</v>
      </c>
      <c r="C1899" s="3" t="s">
        <v>1235</v>
      </c>
      <c r="D1899" s="3" t="s">
        <v>1236</v>
      </c>
      <c r="E1899" s="3" t="s">
        <v>280</v>
      </c>
      <c r="F1899" s="3" t="s">
        <v>1838</v>
      </c>
      <c r="G1899" s="6">
        <v>0</v>
      </c>
      <c r="H1899" s="6">
        <v>0</v>
      </c>
      <c r="I1899" s="6">
        <v>0</v>
      </c>
      <c r="J1899" s="6">
        <v>0</v>
      </c>
    </row>
    <row r="1900" spans="2:10" outlineLevel="1" x14ac:dyDescent="0.25">
      <c r="B1900" s="3" t="s">
        <v>1234</v>
      </c>
      <c r="C1900" s="3" t="s">
        <v>1235</v>
      </c>
      <c r="D1900" s="3" t="s">
        <v>1236</v>
      </c>
      <c r="E1900" s="3" t="s">
        <v>1839</v>
      </c>
      <c r="F1900" s="3" t="s">
        <v>1840</v>
      </c>
      <c r="G1900" s="6">
        <v>0</v>
      </c>
      <c r="H1900" s="6">
        <v>0</v>
      </c>
      <c r="I1900" s="6">
        <v>0</v>
      </c>
      <c r="J1900" s="6">
        <v>0</v>
      </c>
    </row>
    <row r="1901" spans="2:10" outlineLevel="1" x14ac:dyDescent="0.25">
      <c r="B1901" s="3" t="s">
        <v>1234</v>
      </c>
      <c r="C1901" s="3" t="s">
        <v>1235</v>
      </c>
      <c r="D1901" s="3" t="s">
        <v>1236</v>
      </c>
      <c r="E1901" s="3" t="s">
        <v>447</v>
      </c>
      <c r="F1901" s="3" t="s">
        <v>1841</v>
      </c>
      <c r="G1901" s="6">
        <v>0</v>
      </c>
      <c r="H1901" s="6">
        <v>0</v>
      </c>
      <c r="I1901" s="6">
        <v>0</v>
      </c>
      <c r="J1901" s="6">
        <v>0</v>
      </c>
    </row>
    <row r="1902" spans="2:10" outlineLevel="1" x14ac:dyDescent="0.25">
      <c r="B1902" s="3" t="s">
        <v>1234</v>
      </c>
      <c r="C1902" s="3" t="s">
        <v>1235</v>
      </c>
      <c r="D1902" s="3" t="s">
        <v>1236</v>
      </c>
      <c r="E1902" s="3" t="s">
        <v>1842</v>
      </c>
      <c r="F1902" s="3" t="s">
        <v>1843</v>
      </c>
      <c r="G1902" s="6">
        <v>0</v>
      </c>
      <c r="H1902" s="6">
        <v>0</v>
      </c>
      <c r="I1902" s="6">
        <v>0</v>
      </c>
      <c r="J1902" s="6">
        <v>0</v>
      </c>
    </row>
    <row r="1903" spans="2:10" outlineLevel="1" x14ac:dyDescent="0.25">
      <c r="B1903" s="3" t="s">
        <v>1234</v>
      </c>
      <c r="C1903" s="3" t="s">
        <v>1235</v>
      </c>
      <c r="D1903" s="3" t="s">
        <v>1236</v>
      </c>
      <c r="E1903" s="3" t="s">
        <v>314</v>
      </c>
      <c r="F1903" s="3" t="s">
        <v>1844</v>
      </c>
      <c r="G1903" s="6">
        <v>0</v>
      </c>
      <c r="H1903" s="6">
        <v>0</v>
      </c>
      <c r="I1903" s="6">
        <v>0</v>
      </c>
      <c r="J1903" s="6">
        <v>0</v>
      </c>
    </row>
    <row r="1904" spans="2:10" outlineLevel="1" x14ac:dyDescent="0.25">
      <c r="B1904" s="3" t="s">
        <v>1234</v>
      </c>
      <c r="C1904" s="3" t="s">
        <v>1235</v>
      </c>
      <c r="D1904" s="3" t="s">
        <v>1236</v>
      </c>
      <c r="E1904" s="3" t="s">
        <v>449</v>
      </c>
      <c r="F1904" s="3" t="s">
        <v>1845</v>
      </c>
      <c r="G1904" s="6">
        <v>0</v>
      </c>
      <c r="H1904" s="6">
        <v>0</v>
      </c>
      <c r="I1904" s="6">
        <v>0</v>
      </c>
      <c r="J1904" s="6">
        <v>0</v>
      </c>
    </row>
    <row r="1905" spans="2:10" outlineLevel="1" x14ac:dyDescent="0.25">
      <c r="B1905" s="3" t="s">
        <v>1234</v>
      </c>
      <c r="C1905" s="3" t="s">
        <v>1235</v>
      </c>
      <c r="D1905" s="3" t="s">
        <v>1236</v>
      </c>
      <c r="E1905" s="3" t="s">
        <v>1846</v>
      </c>
      <c r="F1905" s="3" t="s">
        <v>1847</v>
      </c>
      <c r="G1905" s="6">
        <v>0</v>
      </c>
      <c r="H1905" s="6">
        <v>0</v>
      </c>
      <c r="I1905" s="6">
        <v>0</v>
      </c>
      <c r="J1905" s="6">
        <v>0</v>
      </c>
    </row>
    <row r="1906" spans="2:10" outlineLevel="1" x14ac:dyDescent="0.25">
      <c r="B1906" s="3" t="s">
        <v>1234</v>
      </c>
      <c r="C1906" s="3" t="s">
        <v>1235</v>
      </c>
      <c r="D1906" s="3" t="s">
        <v>1236</v>
      </c>
      <c r="E1906" s="3" t="s">
        <v>337</v>
      </c>
      <c r="F1906" s="3" t="s">
        <v>1848</v>
      </c>
      <c r="G1906" s="6">
        <v>0</v>
      </c>
      <c r="H1906" s="6">
        <v>0</v>
      </c>
      <c r="I1906" s="6">
        <v>0</v>
      </c>
      <c r="J1906" s="6">
        <v>0</v>
      </c>
    </row>
    <row r="1907" spans="2:10" outlineLevel="1" x14ac:dyDescent="0.25">
      <c r="B1907" s="3" t="s">
        <v>1234</v>
      </c>
      <c r="C1907" s="3" t="s">
        <v>1235</v>
      </c>
      <c r="D1907" s="3" t="s">
        <v>1236</v>
      </c>
      <c r="E1907" s="3" t="s">
        <v>402</v>
      </c>
      <c r="F1907" s="3" t="s">
        <v>1849</v>
      </c>
      <c r="G1907" s="6">
        <v>0</v>
      </c>
      <c r="H1907" s="6">
        <v>0</v>
      </c>
      <c r="I1907" s="6">
        <v>0</v>
      </c>
      <c r="J1907" s="6">
        <v>0</v>
      </c>
    </row>
    <row r="1908" spans="2:10" outlineLevel="1" x14ac:dyDescent="0.25">
      <c r="B1908" s="3" t="s">
        <v>1234</v>
      </c>
      <c r="C1908" s="3" t="s">
        <v>1235</v>
      </c>
      <c r="D1908" s="3" t="s">
        <v>1236</v>
      </c>
      <c r="E1908" s="3" t="s">
        <v>1850</v>
      </c>
      <c r="F1908" s="3" t="s">
        <v>1851</v>
      </c>
      <c r="G1908" s="6">
        <v>0</v>
      </c>
      <c r="H1908" s="6">
        <v>0</v>
      </c>
      <c r="I1908" s="6">
        <v>0</v>
      </c>
      <c r="J1908" s="6">
        <v>0</v>
      </c>
    </row>
    <row r="1909" spans="2:10" outlineLevel="1" x14ac:dyDescent="0.25">
      <c r="B1909" s="3" t="s">
        <v>1234</v>
      </c>
      <c r="C1909" s="3" t="s">
        <v>1235</v>
      </c>
      <c r="D1909" s="3" t="s">
        <v>1236</v>
      </c>
      <c r="E1909" s="3" t="s">
        <v>1852</v>
      </c>
      <c r="F1909" s="3" t="s">
        <v>1853</v>
      </c>
      <c r="G1909" s="6">
        <v>0</v>
      </c>
      <c r="H1909" s="6">
        <v>0</v>
      </c>
      <c r="I1909" s="6">
        <v>0</v>
      </c>
      <c r="J1909" s="6">
        <v>0</v>
      </c>
    </row>
    <row r="1910" spans="2:10" outlineLevel="1" x14ac:dyDescent="0.25">
      <c r="B1910" s="3" t="s">
        <v>1234</v>
      </c>
      <c r="C1910" s="3" t="s">
        <v>1235</v>
      </c>
      <c r="D1910" s="3" t="s">
        <v>1236</v>
      </c>
      <c r="E1910" s="3" t="s">
        <v>1854</v>
      </c>
      <c r="F1910" s="3" t="s">
        <v>1855</v>
      </c>
      <c r="G1910" s="6">
        <v>0</v>
      </c>
      <c r="H1910" s="6">
        <v>0</v>
      </c>
      <c r="I1910" s="6">
        <v>0</v>
      </c>
      <c r="J1910" s="6">
        <v>0</v>
      </c>
    </row>
    <row r="1911" spans="2:10" outlineLevel="1" x14ac:dyDescent="0.25">
      <c r="B1911" s="3" t="s">
        <v>1234</v>
      </c>
      <c r="C1911" s="3" t="s">
        <v>1235</v>
      </c>
      <c r="D1911" s="3" t="s">
        <v>1236</v>
      </c>
      <c r="E1911" s="3" t="s">
        <v>1856</v>
      </c>
      <c r="F1911" s="3" t="s">
        <v>1857</v>
      </c>
      <c r="G1911" s="6">
        <v>0</v>
      </c>
      <c r="H1911" s="6">
        <v>0</v>
      </c>
      <c r="I1911" s="6">
        <v>0</v>
      </c>
      <c r="J1911" s="6">
        <v>0</v>
      </c>
    </row>
    <row r="1912" spans="2:10" outlineLevel="1" x14ac:dyDescent="0.25">
      <c r="B1912" s="3" t="s">
        <v>1234</v>
      </c>
      <c r="C1912" s="3" t="s">
        <v>1235</v>
      </c>
      <c r="D1912" s="3" t="s">
        <v>1236</v>
      </c>
      <c r="E1912" s="3" t="s">
        <v>1858</v>
      </c>
      <c r="F1912" s="3" t="s">
        <v>1859</v>
      </c>
      <c r="G1912" s="6">
        <v>0</v>
      </c>
      <c r="H1912" s="6">
        <v>0</v>
      </c>
      <c r="I1912" s="6">
        <v>0</v>
      </c>
      <c r="J1912" s="6">
        <v>0</v>
      </c>
    </row>
    <row r="1913" spans="2:10" outlineLevel="1" x14ac:dyDescent="0.25">
      <c r="B1913" s="3" t="s">
        <v>1234</v>
      </c>
      <c r="C1913" s="3" t="s">
        <v>1235</v>
      </c>
      <c r="D1913" s="3" t="s">
        <v>1236</v>
      </c>
      <c r="E1913" s="3" t="s">
        <v>406</v>
      </c>
      <c r="F1913" s="3" t="s">
        <v>1860</v>
      </c>
      <c r="G1913" s="6">
        <v>0</v>
      </c>
      <c r="H1913" s="6">
        <v>0</v>
      </c>
      <c r="I1913" s="6">
        <v>0</v>
      </c>
      <c r="J1913" s="6">
        <v>0</v>
      </c>
    </row>
    <row r="1914" spans="2:10" outlineLevel="1" x14ac:dyDescent="0.25">
      <c r="B1914" s="3" t="s">
        <v>1234</v>
      </c>
      <c r="C1914" s="3" t="s">
        <v>1235</v>
      </c>
      <c r="D1914" s="3" t="s">
        <v>1236</v>
      </c>
      <c r="E1914" s="3" t="s">
        <v>431</v>
      </c>
      <c r="F1914" s="3" t="s">
        <v>1861</v>
      </c>
      <c r="G1914" s="6">
        <v>0</v>
      </c>
      <c r="H1914" s="6">
        <v>0</v>
      </c>
      <c r="I1914" s="6">
        <v>0</v>
      </c>
      <c r="J1914" s="6">
        <v>0</v>
      </c>
    </row>
    <row r="1915" spans="2:10" outlineLevel="1" x14ac:dyDescent="0.25">
      <c r="B1915" s="3" t="s">
        <v>1234</v>
      </c>
      <c r="C1915" s="3" t="s">
        <v>1235</v>
      </c>
      <c r="D1915" s="3" t="s">
        <v>1236</v>
      </c>
      <c r="E1915" s="3" t="s">
        <v>1862</v>
      </c>
      <c r="F1915" s="3" t="s">
        <v>1863</v>
      </c>
      <c r="G1915" s="6">
        <v>0</v>
      </c>
      <c r="H1915" s="6">
        <v>0</v>
      </c>
      <c r="I1915" s="6">
        <v>0</v>
      </c>
      <c r="J1915" s="6">
        <v>0</v>
      </c>
    </row>
    <row r="1916" spans="2:10" outlineLevel="1" x14ac:dyDescent="0.25">
      <c r="B1916" s="3" t="s">
        <v>1234</v>
      </c>
      <c r="C1916" s="3" t="s">
        <v>1235</v>
      </c>
      <c r="D1916" s="3" t="s">
        <v>1236</v>
      </c>
      <c r="E1916" s="3" t="s">
        <v>1864</v>
      </c>
      <c r="F1916" s="3" t="s">
        <v>1865</v>
      </c>
      <c r="G1916" s="6">
        <v>0</v>
      </c>
      <c r="H1916" s="6">
        <v>0</v>
      </c>
      <c r="I1916" s="6">
        <v>0</v>
      </c>
      <c r="J1916" s="6">
        <v>0</v>
      </c>
    </row>
    <row r="1917" spans="2:10" outlineLevel="1" x14ac:dyDescent="0.25">
      <c r="B1917" s="3" t="s">
        <v>1234</v>
      </c>
      <c r="C1917" s="3" t="s">
        <v>1235</v>
      </c>
      <c r="D1917" s="3" t="s">
        <v>1236</v>
      </c>
      <c r="E1917" s="3" t="s">
        <v>1866</v>
      </c>
      <c r="F1917" s="3" t="s">
        <v>1867</v>
      </c>
      <c r="G1917" s="6">
        <v>0</v>
      </c>
      <c r="H1917" s="6">
        <v>0</v>
      </c>
      <c r="I1917" s="6">
        <v>0</v>
      </c>
      <c r="J1917" s="6">
        <v>0</v>
      </c>
    </row>
    <row r="1918" spans="2:10" outlineLevel="1" x14ac:dyDescent="0.25">
      <c r="B1918" s="3" t="s">
        <v>1234</v>
      </c>
      <c r="C1918" s="3" t="s">
        <v>1235</v>
      </c>
      <c r="D1918" s="3" t="s">
        <v>1236</v>
      </c>
      <c r="E1918" s="3" t="s">
        <v>396</v>
      </c>
      <c r="F1918" s="3" t="s">
        <v>1868</v>
      </c>
      <c r="G1918" s="6">
        <v>0</v>
      </c>
      <c r="H1918" s="6">
        <v>0</v>
      </c>
      <c r="I1918" s="6">
        <v>0</v>
      </c>
      <c r="J1918" s="6">
        <v>0</v>
      </c>
    </row>
    <row r="1919" spans="2:10" outlineLevel="1" x14ac:dyDescent="0.25">
      <c r="B1919" s="3" t="s">
        <v>1234</v>
      </c>
      <c r="C1919" s="3" t="s">
        <v>1235</v>
      </c>
      <c r="D1919" s="3" t="s">
        <v>1236</v>
      </c>
      <c r="E1919" s="3" t="s">
        <v>629</v>
      </c>
      <c r="F1919" s="3" t="s">
        <v>1869</v>
      </c>
      <c r="G1919" s="6">
        <v>0</v>
      </c>
      <c r="H1919" s="6">
        <v>0</v>
      </c>
      <c r="I1919" s="6">
        <v>0</v>
      </c>
      <c r="J1919" s="6">
        <v>0</v>
      </c>
    </row>
    <row r="1920" spans="2:10" outlineLevel="1" x14ac:dyDescent="0.25">
      <c r="B1920" s="3" t="s">
        <v>1234</v>
      </c>
      <c r="C1920" s="3" t="s">
        <v>1235</v>
      </c>
      <c r="D1920" s="3" t="s">
        <v>1236</v>
      </c>
      <c r="E1920" s="3" t="s">
        <v>1870</v>
      </c>
      <c r="F1920" s="3" t="s">
        <v>1871</v>
      </c>
      <c r="G1920" s="6">
        <v>0</v>
      </c>
      <c r="H1920" s="6">
        <v>0</v>
      </c>
      <c r="I1920" s="6">
        <v>0</v>
      </c>
      <c r="J1920" s="6">
        <v>0</v>
      </c>
    </row>
    <row r="1921" spans="2:10" outlineLevel="1" x14ac:dyDescent="0.25">
      <c r="B1921" s="3" t="s">
        <v>1234</v>
      </c>
      <c r="C1921" s="3" t="s">
        <v>1235</v>
      </c>
      <c r="D1921" s="3" t="s">
        <v>1236</v>
      </c>
      <c r="E1921" s="3" t="s">
        <v>1872</v>
      </c>
      <c r="F1921" s="3" t="s">
        <v>1873</v>
      </c>
      <c r="G1921" s="6">
        <v>0</v>
      </c>
      <c r="H1921" s="6">
        <v>0</v>
      </c>
      <c r="I1921" s="6">
        <v>0</v>
      </c>
      <c r="J1921" s="6">
        <v>0</v>
      </c>
    </row>
    <row r="1922" spans="2:10" outlineLevel="1" x14ac:dyDescent="0.25">
      <c r="B1922" s="3" t="s">
        <v>1234</v>
      </c>
      <c r="C1922" s="3" t="s">
        <v>1235</v>
      </c>
      <c r="D1922" s="3" t="s">
        <v>1236</v>
      </c>
      <c r="E1922" s="3" t="s">
        <v>1874</v>
      </c>
      <c r="F1922" s="3" t="s">
        <v>1875</v>
      </c>
      <c r="G1922" s="6">
        <v>0</v>
      </c>
      <c r="H1922" s="6">
        <v>0</v>
      </c>
      <c r="I1922" s="6">
        <v>0</v>
      </c>
      <c r="J1922" s="6">
        <v>0</v>
      </c>
    </row>
    <row r="1923" spans="2:10" outlineLevel="1" x14ac:dyDescent="0.25">
      <c r="B1923" s="3" t="s">
        <v>1234</v>
      </c>
      <c r="C1923" s="3" t="s">
        <v>1235</v>
      </c>
      <c r="D1923" s="3" t="s">
        <v>1236</v>
      </c>
      <c r="E1923" s="3" t="s">
        <v>1876</v>
      </c>
      <c r="F1923" s="3" t="s">
        <v>1877</v>
      </c>
      <c r="G1923" s="6">
        <v>0</v>
      </c>
      <c r="H1923" s="6">
        <v>0</v>
      </c>
      <c r="I1923" s="6">
        <v>0</v>
      </c>
      <c r="J1923" s="6">
        <v>0</v>
      </c>
    </row>
    <row r="1924" spans="2:10" outlineLevel="1" x14ac:dyDescent="0.25">
      <c r="B1924" s="3" t="s">
        <v>1234</v>
      </c>
      <c r="C1924" s="3" t="s">
        <v>1235</v>
      </c>
      <c r="D1924" s="3" t="s">
        <v>1236</v>
      </c>
      <c r="E1924" s="3" t="s">
        <v>639</v>
      </c>
      <c r="F1924" s="3" t="s">
        <v>1878</v>
      </c>
      <c r="G1924" s="6">
        <v>0</v>
      </c>
      <c r="H1924" s="6">
        <v>0</v>
      </c>
      <c r="I1924" s="6">
        <v>0</v>
      </c>
      <c r="J1924" s="6">
        <v>0</v>
      </c>
    </row>
    <row r="1925" spans="2:10" outlineLevel="1" x14ac:dyDescent="0.25">
      <c r="B1925" s="3" t="s">
        <v>1234</v>
      </c>
      <c r="C1925" s="3" t="s">
        <v>1235</v>
      </c>
      <c r="D1925" s="3" t="s">
        <v>1236</v>
      </c>
      <c r="E1925" s="3" t="s">
        <v>1879</v>
      </c>
      <c r="F1925" s="3" t="s">
        <v>1880</v>
      </c>
      <c r="G1925" s="6">
        <v>0</v>
      </c>
      <c r="H1925" s="6">
        <v>0</v>
      </c>
      <c r="I1925" s="6">
        <v>0</v>
      </c>
      <c r="J1925" s="6">
        <v>0</v>
      </c>
    </row>
    <row r="1926" spans="2:10" outlineLevel="1" x14ac:dyDescent="0.25">
      <c r="B1926" s="3" t="s">
        <v>1234</v>
      </c>
      <c r="C1926" s="3" t="s">
        <v>1235</v>
      </c>
      <c r="D1926" s="3" t="s">
        <v>1236</v>
      </c>
      <c r="E1926" s="3" t="s">
        <v>429</v>
      </c>
      <c r="F1926" s="3" t="s">
        <v>1881</v>
      </c>
      <c r="G1926" s="6">
        <v>0</v>
      </c>
      <c r="H1926" s="6">
        <v>0</v>
      </c>
      <c r="I1926" s="6">
        <v>0</v>
      </c>
      <c r="J1926" s="6">
        <v>0</v>
      </c>
    </row>
    <row r="1927" spans="2:10" outlineLevel="1" x14ac:dyDescent="0.25">
      <c r="B1927" s="3" t="s">
        <v>1234</v>
      </c>
      <c r="C1927" s="3" t="s">
        <v>1235</v>
      </c>
      <c r="D1927" s="3" t="s">
        <v>1236</v>
      </c>
      <c r="E1927" s="3" t="s">
        <v>537</v>
      </c>
      <c r="F1927" s="3" t="s">
        <v>1882</v>
      </c>
      <c r="G1927" s="6">
        <v>0</v>
      </c>
      <c r="H1927" s="6">
        <v>0</v>
      </c>
      <c r="I1927" s="6">
        <v>0</v>
      </c>
      <c r="J1927" s="6">
        <v>0</v>
      </c>
    </row>
    <row r="1928" spans="2:10" outlineLevel="1" x14ac:dyDescent="0.25">
      <c r="B1928" s="3" t="s">
        <v>1234</v>
      </c>
      <c r="C1928" s="3" t="s">
        <v>1235</v>
      </c>
      <c r="D1928" s="3" t="s">
        <v>1236</v>
      </c>
      <c r="E1928" s="3" t="s">
        <v>412</v>
      </c>
      <c r="F1928" s="3" t="s">
        <v>1883</v>
      </c>
      <c r="G1928" s="6">
        <v>0</v>
      </c>
      <c r="H1928" s="6">
        <v>0</v>
      </c>
      <c r="I1928" s="6">
        <v>0</v>
      </c>
      <c r="J1928" s="6">
        <v>0</v>
      </c>
    </row>
    <row r="1929" spans="2:10" outlineLevel="1" x14ac:dyDescent="0.25">
      <c r="B1929" s="3" t="s">
        <v>1234</v>
      </c>
      <c r="C1929" s="3" t="s">
        <v>1235</v>
      </c>
      <c r="D1929" s="3" t="s">
        <v>1236</v>
      </c>
      <c r="E1929" s="3" t="s">
        <v>724</v>
      </c>
      <c r="F1929" s="3" t="s">
        <v>1884</v>
      </c>
      <c r="G1929" s="6">
        <v>0</v>
      </c>
      <c r="H1929" s="6">
        <v>0</v>
      </c>
      <c r="I1929" s="6">
        <v>0</v>
      </c>
      <c r="J1929" s="6">
        <v>0</v>
      </c>
    </row>
    <row r="1930" spans="2:10" outlineLevel="1" x14ac:dyDescent="0.25">
      <c r="B1930" s="3" t="s">
        <v>1234</v>
      </c>
      <c r="C1930" s="3" t="s">
        <v>1235</v>
      </c>
      <c r="D1930" s="3" t="s">
        <v>1236</v>
      </c>
      <c r="E1930" s="3" t="s">
        <v>1885</v>
      </c>
      <c r="F1930" s="3" t="s">
        <v>1886</v>
      </c>
      <c r="G1930" s="6">
        <v>0</v>
      </c>
      <c r="H1930" s="6">
        <v>0</v>
      </c>
      <c r="I1930" s="6">
        <v>0</v>
      </c>
      <c r="J1930" s="6">
        <v>0</v>
      </c>
    </row>
    <row r="1931" spans="2:10" outlineLevel="1" x14ac:dyDescent="0.25">
      <c r="B1931" s="3" t="s">
        <v>1234</v>
      </c>
      <c r="C1931" s="3" t="s">
        <v>1235</v>
      </c>
      <c r="D1931" s="3" t="s">
        <v>1236</v>
      </c>
      <c r="E1931" s="3" t="s">
        <v>1887</v>
      </c>
      <c r="F1931" s="3" t="s">
        <v>1888</v>
      </c>
      <c r="G1931" s="6">
        <v>0</v>
      </c>
      <c r="H1931" s="6">
        <v>0</v>
      </c>
      <c r="I1931" s="6">
        <v>0</v>
      </c>
      <c r="J1931" s="6">
        <v>0</v>
      </c>
    </row>
    <row r="1932" spans="2:10" outlineLevel="1" x14ac:dyDescent="0.25">
      <c r="B1932" s="3" t="s">
        <v>1234</v>
      </c>
      <c r="C1932" s="3" t="s">
        <v>1235</v>
      </c>
      <c r="D1932" s="3" t="s">
        <v>1236</v>
      </c>
      <c r="E1932" s="3" t="s">
        <v>561</v>
      </c>
      <c r="F1932" s="3" t="s">
        <v>1889</v>
      </c>
      <c r="G1932" s="6">
        <v>0</v>
      </c>
      <c r="H1932" s="6">
        <v>0</v>
      </c>
      <c r="I1932" s="6">
        <v>0</v>
      </c>
      <c r="J1932" s="6">
        <v>0</v>
      </c>
    </row>
    <row r="1933" spans="2:10" outlineLevel="1" x14ac:dyDescent="0.25">
      <c r="B1933" s="3" t="s">
        <v>1234</v>
      </c>
      <c r="C1933" s="3" t="s">
        <v>1235</v>
      </c>
      <c r="D1933" s="3" t="s">
        <v>1236</v>
      </c>
      <c r="E1933" s="3" t="s">
        <v>1890</v>
      </c>
      <c r="F1933" s="3" t="s">
        <v>1891</v>
      </c>
      <c r="G1933" s="6">
        <v>0</v>
      </c>
      <c r="H1933" s="6">
        <v>0</v>
      </c>
      <c r="I1933" s="6">
        <v>0</v>
      </c>
      <c r="J1933" s="6">
        <v>0</v>
      </c>
    </row>
    <row r="1934" spans="2:10" outlineLevel="1" x14ac:dyDescent="0.25">
      <c r="B1934" s="3" t="s">
        <v>1234</v>
      </c>
      <c r="C1934" s="3" t="s">
        <v>1235</v>
      </c>
      <c r="D1934" s="3" t="s">
        <v>1236</v>
      </c>
      <c r="E1934" s="3" t="s">
        <v>1145</v>
      </c>
      <c r="F1934" s="3" t="s">
        <v>1892</v>
      </c>
      <c r="G1934" s="6">
        <v>0</v>
      </c>
      <c r="H1934" s="6">
        <v>0</v>
      </c>
      <c r="I1934" s="6">
        <v>0</v>
      </c>
      <c r="J1934" s="6">
        <v>0</v>
      </c>
    </row>
    <row r="1935" spans="2:10" outlineLevel="1" x14ac:dyDescent="0.25">
      <c r="B1935" s="3" t="s">
        <v>1234</v>
      </c>
      <c r="C1935" s="3" t="s">
        <v>1235</v>
      </c>
      <c r="D1935" s="3" t="s">
        <v>1236</v>
      </c>
      <c r="E1935" s="3" t="s">
        <v>1893</v>
      </c>
      <c r="F1935" s="3" t="s">
        <v>1894</v>
      </c>
      <c r="G1935" s="6">
        <v>0</v>
      </c>
      <c r="H1935" s="6">
        <v>0</v>
      </c>
      <c r="I1935" s="6">
        <v>0</v>
      </c>
      <c r="J1935" s="6">
        <v>0</v>
      </c>
    </row>
    <row r="1936" spans="2:10" outlineLevel="1" x14ac:dyDescent="0.25">
      <c r="B1936" s="3" t="s">
        <v>1234</v>
      </c>
      <c r="C1936" s="3" t="s">
        <v>1235</v>
      </c>
      <c r="D1936" s="3" t="s">
        <v>1236</v>
      </c>
      <c r="E1936" s="3" t="s">
        <v>593</v>
      </c>
      <c r="F1936" s="3" t="s">
        <v>1895</v>
      </c>
      <c r="G1936" s="6">
        <v>0</v>
      </c>
      <c r="H1936" s="6">
        <v>0</v>
      </c>
      <c r="I1936" s="6">
        <v>0</v>
      </c>
      <c r="J1936" s="6">
        <v>0</v>
      </c>
    </row>
    <row r="1937" spans="2:10" outlineLevel="1" x14ac:dyDescent="0.25">
      <c r="B1937" s="3" t="s">
        <v>1234</v>
      </c>
      <c r="C1937" s="3" t="s">
        <v>1235</v>
      </c>
      <c r="D1937" s="3" t="s">
        <v>1236</v>
      </c>
      <c r="E1937" s="3" t="s">
        <v>1896</v>
      </c>
      <c r="F1937" s="3" t="s">
        <v>1897</v>
      </c>
      <c r="G1937" s="6">
        <v>0</v>
      </c>
      <c r="H1937" s="6">
        <v>0</v>
      </c>
      <c r="I1937" s="6">
        <v>0</v>
      </c>
      <c r="J1937" s="6">
        <v>0</v>
      </c>
    </row>
    <row r="1938" spans="2:10" outlineLevel="1" x14ac:dyDescent="0.25">
      <c r="B1938" s="3" t="s">
        <v>1234</v>
      </c>
      <c r="C1938" s="3" t="s">
        <v>1235</v>
      </c>
      <c r="D1938" s="3" t="s">
        <v>1236</v>
      </c>
      <c r="E1938" s="3" t="s">
        <v>1898</v>
      </c>
      <c r="F1938" s="3" t="s">
        <v>1899</v>
      </c>
      <c r="G1938" s="6">
        <v>0</v>
      </c>
      <c r="H1938" s="6">
        <v>0</v>
      </c>
      <c r="I1938" s="6">
        <v>0</v>
      </c>
      <c r="J1938" s="6">
        <v>0</v>
      </c>
    </row>
    <row r="1939" spans="2:10" outlineLevel="1" x14ac:dyDescent="0.25">
      <c r="B1939" s="3" t="s">
        <v>1234</v>
      </c>
      <c r="C1939" s="3" t="s">
        <v>1235</v>
      </c>
      <c r="D1939" s="3" t="s">
        <v>1236</v>
      </c>
      <c r="E1939" s="3" t="s">
        <v>679</v>
      </c>
      <c r="F1939" s="3" t="s">
        <v>1900</v>
      </c>
      <c r="G1939" s="6">
        <v>0</v>
      </c>
      <c r="H1939" s="6">
        <v>0</v>
      </c>
      <c r="I1939" s="6">
        <v>0</v>
      </c>
      <c r="J1939" s="6">
        <v>0</v>
      </c>
    </row>
    <row r="1940" spans="2:10" outlineLevel="1" x14ac:dyDescent="0.25">
      <c r="B1940" s="3" t="s">
        <v>1234</v>
      </c>
      <c r="C1940" s="3" t="s">
        <v>1235</v>
      </c>
      <c r="D1940" s="3" t="s">
        <v>1236</v>
      </c>
      <c r="E1940" s="3" t="s">
        <v>595</v>
      </c>
      <c r="F1940" s="3" t="s">
        <v>1901</v>
      </c>
      <c r="G1940" s="6">
        <v>0</v>
      </c>
      <c r="H1940" s="6">
        <v>0</v>
      </c>
      <c r="I1940" s="6">
        <v>0</v>
      </c>
      <c r="J1940" s="6">
        <v>0</v>
      </c>
    </row>
    <row r="1941" spans="2:10" outlineLevel="1" x14ac:dyDescent="0.25">
      <c r="B1941" s="3" t="s">
        <v>1234</v>
      </c>
      <c r="C1941" s="3" t="s">
        <v>1235</v>
      </c>
      <c r="D1941" s="3" t="s">
        <v>1236</v>
      </c>
      <c r="E1941" s="3" t="s">
        <v>1902</v>
      </c>
      <c r="F1941" s="3" t="s">
        <v>1903</v>
      </c>
      <c r="G1941" s="6">
        <v>0</v>
      </c>
      <c r="H1941" s="6">
        <v>0</v>
      </c>
      <c r="I1941" s="6">
        <v>0</v>
      </c>
      <c r="J1941" s="6">
        <v>0</v>
      </c>
    </row>
    <row r="1942" spans="2:10" outlineLevel="1" x14ac:dyDescent="0.25">
      <c r="B1942" s="3" t="s">
        <v>1234</v>
      </c>
      <c r="C1942" s="3" t="s">
        <v>1235</v>
      </c>
      <c r="D1942" s="3" t="s">
        <v>1236</v>
      </c>
      <c r="E1942" s="3" t="s">
        <v>1904</v>
      </c>
      <c r="F1942" s="3" t="s">
        <v>1905</v>
      </c>
      <c r="G1942" s="6">
        <v>0</v>
      </c>
      <c r="H1942" s="6">
        <v>0</v>
      </c>
      <c r="I1942" s="6">
        <v>0</v>
      </c>
      <c r="J1942" s="6">
        <v>0</v>
      </c>
    </row>
    <row r="1943" spans="2:10" outlineLevel="1" x14ac:dyDescent="0.25">
      <c r="B1943" s="3" t="s">
        <v>1234</v>
      </c>
      <c r="C1943" s="3" t="s">
        <v>1235</v>
      </c>
      <c r="D1943" s="3" t="s">
        <v>1236</v>
      </c>
      <c r="E1943" s="3" t="s">
        <v>539</v>
      </c>
      <c r="F1943" s="3" t="s">
        <v>1906</v>
      </c>
      <c r="G1943" s="6">
        <v>0</v>
      </c>
      <c r="H1943" s="6">
        <v>0</v>
      </c>
      <c r="I1943" s="6">
        <v>0</v>
      </c>
      <c r="J1943" s="6">
        <v>0</v>
      </c>
    </row>
    <row r="1944" spans="2:10" outlineLevel="1" x14ac:dyDescent="0.25">
      <c r="B1944" s="3" t="s">
        <v>1234</v>
      </c>
      <c r="C1944" s="3" t="s">
        <v>1235</v>
      </c>
      <c r="D1944" s="3" t="s">
        <v>1236</v>
      </c>
      <c r="E1944" s="3" t="s">
        <v>1907</v>
      </c>
      <c r="F1944" s="3" t="s">
        <v>1908</v>
      </c>
      <c r="G1944" s="6">
        <v>0</v>
      </c>
      <c r="H1944" s="6">
        <v>0</v>
      </c>
      <c r="I1944" s="6">
        <v>0</v>
      </c>
      <c r="J1944" s="6">
        <v>0</v>
      </c>
    </row>
    <row r="1945" spans="2:10" outlineLevel="1" x14ac:dyDescent="0.25">
      <c r="B1945" s="3" t="s">
        <v>1234</v>
      </c>
      <c r="C1945" s="3" t="s">
        <v>1235</v>
      </c>
      <c r="D1945" s="3" t="s">
        <v>1236</v>
      </c>
      <c r="E1945" s="3" t="s">
        <v>1909</v>
      </c>
      <c r="F1945" s="3" t="s">
        <v>1910</v>
      </c>
      <c r="G1945" s="6">
        <v>0</v>
      </c>
      <c r="H1945" s="6">
        <v>0</v>
      </c>
      <c r="I1945" s="6">
        <v>0</v>
      </c>
      <c r="J1945" s="6">
        <v>0</v>
      </c>
    </row>
    <row r="1946" spans="2:10" outlineLevel="1" x14ac:dyDescent="0.25">
      <c r="B1946" s="3" t="s">
        <v>1234</v>
      </c>
      <c r="C1946" s="3" t="s">
        <v>1235</v>
      </c>
      <c r="D1946" s="3" t="s">
        <v>1236</v>
      </c>
      <c r="E1946" s="3" t="s">
        <v>597</v>
      </c>
      <c r="F1946" s="3" t="s">
        <v>1911</v>
      </c>
      <c r="G1946" s="6">
        <v>0</v>
      </c>
      <c r="H1946" s="6">
        <v>0</v>
      </c>
      <c r="I1946" s="6">
        <v>0</v>
      </c>
      <c r="J1946" s="6">
        <v>0</v>
      </c>
    </row>
    <row r="1947" spans="2:10" outlineLevel="1" x14ac:dyDescent="0.25">
      <c r="B1947" s="3" t="s">
        <v>1234</v>
      </c>
      <c r="C1947" s="3" t="s">
        <v>1235</v>
      </c>
      <c r="D1947" s="3" t="s">
        <v>1236</v>
      </c>
      <c r="E1947" s="3" t="s">
        <v>322</v>
      </c>
      <c r="F1947" s="3" t="s">
        <v>1912</v>
      </c>
      <c r="G1947" s="6">
        <v>0</v>
      </c>
      <c r="H1947" s="6">
        <v>0</v>
      </c>
      <c r="I1947" s="6">
        <v>0</v>
      </c>
      <c r="J1947" s="6">
        <v>0</v>
      </c>
    </row>
    <row r="1948" spans="2:10" outlineLevel="1" x14ac:dyDescent="0.25">
      <c r="B1948" s="3" t="s">
        <v>1234</v>
      </c>
      <c r="C1948" s="3" t="s">
        <v>1235</v>
      </c>
      <c r="D1948" s="3" t="s">
        <v>1236</v>
      </c>
      <c r="E1948" s="3" t="s">
        <v>318</v>
      </c>
      <c r="F1948" s="3" t="s">
        <v>1913</v>
      </c>
      <c r="G1948" s="6">
        <v>0</v>
      </c>
      <c r="H1948" s="6">
        <v>0</v>
      </c>
      <c r="I1948" s="6">
        <v>0</v>
      </c>
      <c r="J1948" s="6">
        <v>0</v>
      </c>
    </row>
    <row r="1949" spans="2:10" outlineLevel="1" x14ac:dyDescent="0.25">
      <c r="B1949" s="3" t="s">
        <v>1234</v>
      </c>
      <c r="C1949" s="3" t="s">
        <v>1235</v>
      </c>
      <c r="D1949" s="3" t="s">
        <v>1236</v>
      </c>
      <c r="E1949" s="3" t="s">
        <v>1226</v>
      </c>
      <c r="F1949" s="3" t="s">
        <v>1914</v>
      </c>
      <c r="G1949" s="6">
        <v>0</v>
      </c>
      <c r="H1949" s="6">
        <v>0</v>
      </c>
      <c r="I1949" s="6">
        <v>0</v>
      </c>
      <c r="J1949" s="6">
        <v>0</v>
      </c>
    </row>
    <row r="1950" spans="2:10" outlineLevel="1" x14ac:dyDescent="0.25">
      <c r="B1950" s="3" t="s">
        <v>1234</v>
      </c>
      <c r="C1950" s="3" t="s">
        <v>1235</v>
      </c>
      <c r="D1950" s="3" t="s">
        <v>1236</v>
      </c>
      <c r="E1950" s="3" t="s">
        <v>541</v>
      </c>
      <c r="F1950" s="3" t="s">
        <v>1915</v>
      </c>
      <c r="G1950" s="6">
        <v>0</v>
      </c>
      <c r="H1950" s="6">
        <v>0</v>
      </c>
      <c r="I1950" s="6">
        <v>0</v>
      </c>
      <c r="J1950" s="6">
        <v>0</v>
      </c>
    </row>
    <row r="1951" spans="2:10" outlineLevel="1" x14ac:dyDescent="0.25">
      <c r="B1951" s="3" t="s">
        <v>1234</v>
      </c>
      <c r="C1951" s="3" t="s">
        <v>1235</v>
      </c>
      <c r="D1951" s="3" t="s">
        <v>1236</v>
      </c>
      <c r="E1951" s="3" t="s">
        <v>284</v>
      </c>
      <c r="F1951" s="3" t="s">
        <v>1916</v>
      </c>
      <c r="G1951" s="6">
        <v>0</v>
      </c>
      <c r="H1951" s="6">
        <v>0</v>
      </c>
      <c r="I1951" s="6">
        <v>0</v>
      </c>
      <c r="J1951" s="6">
        <v>0</v>
      </c>
    </row>
    <row r="1952" spans="2:10" outlineLevel="1" x14ac:dyDescent="0.25">
      <c r="B1952" s="3" t="s">
        <v>1234</v>
      </c>
      <c r="C1952" s="3" t="s">
        <v>1235</v>
      </c>
      <c r="D1952" s="3" t="s">
        <v>1236</v>
      </c>
      <c r="E1952" s="3" t="s">
        <v>677</v>
      </c>
      <c r="F1952" s="3" t="s">
        <v>1917</v>
      </c>
      <c r="G1952" s="6">
        <v>0</v>
      </c>
      <c r="H1952" s="6">
        <v>0</v>
      </c>
      <c r="I1952" s="6">
        <v>0</v>
      </c>
      <c r="J1952" s="6">
        <v>0</v>
      </c>
    </row>
    <row r="1953" spans="2:10" outlineLevel="1" x14ac:dyDescent="0.25">
      <c r="B1953" s="3" t="s">
        <v>1234</v>
      </c>
      <c r="C1953" s="3" t="s">
        <v>1235</v>
      </c>
      <c r="D1953" s="3" t="s">
        <v>1236</v>
      </c>
      <c r="E1953" s="3" t="s">
        <v>813</v>
      </c>
      <c r="F1953" s="3" t="s">
        <v>1918</v>
      </c>
      <c r="G1953" s="6">
        <v>0</v>
      </c>
      <c r="H1953" s="6">
        <v>0</v>
      </c>
      <c r="I1953" s="6">
        <v>0</v>
      </c>
      <c r="J1953" s="6">
        <v>0</v>
      </c>
    </row>
    <row r="1954" spans="2:10" outlineLevel="1" x14ac:dyDescent="0.25">
      <c r="B1954" s="3" t="s">
        <v>1234</v>
      </c>
      <c r="C1954" s="3" t="s">
        <v>1235</v>
      </c>
      <c r="D1954" s="3" t="s">
        <v>1236</v>
      </c>
      <c r="E1954" s="3" t="s">
        <v>815</v>
      </c>
      <c r="F1954" s="3" t="s">
        <v>1919</v>
      </c>
      <c r="G1954" s="6">
        <v>0</v>
      </c>
      <c r="H1954" s="6">
        <v>0</v>
      </c>
      <c r="I1954" s="6">
        <v>0</v>
      </c>
      <c r="J1954" s="6">
        <v>0</v>
      </c>
    </row>
    <row r="1955" spans="2:10" outlineLevel="1" x14ac:dyDescent="0.25">
      <c r="B1955" s="3" t="s">
        <v>1234</v>
      </c>
      <c r="C1955" s="3" t="s">
        <v>1235</v>
      </c>
      <c r="D1955" s="3" t="s">
        <v>1236</v>
      </c>
      <c r="E1955" s="3" t="s">
        <v>78</v>
      </c>
      <c r="F1955" s="3" t="s">
        <v>1920</v>
      </c>
      <c r="G1955" s="6">
        <v>0</v>
      </c>
      <c r="H1955" s="6">
        <v>0</v>
      </c>
      <c r="I1955" s="6">
        <v>0</v>
      </c>
      <c r="J1955" s="6">
        <v>0</v>
      </c>
    </row>
    <row r="1956" spans="2:10" outlineLevel="1" x14ac:dyDescent="0.25">
      <c r="B1956" s="3" t="s">
        <v>1234</v>
      </c>
      <c r="C1956" s="3" t="s">
        <v>1235</v>
      </c>
      <c r="D1956" s="3" t="s">
        <v>1236</v>
      </c>
      <c r="E1956" s="3" t="s">
        <v>1123</v>
      </c>
      <c r="F1956" s="3" t="s">
        <v>1921</v>
      </c>
      <c r="G1956" s="6">
        <v>0</v>
      </c>
      <c r="H1956" s="6">
        <v>0</v>
      </c>
      <c r="I1956" s="6">
        <v>0</v>
      </c>
      <c r="J1956" s="6">
        <v>0</v>
      </c>
    </row>
    <row r="1957" spans="2:10" outlineLevel="1" x14ac:dyDescent="0.25">
      <c r="B1957" s="3" t="s">
        <v>1234</v>
      </c>
      <c r="C1957" s="3" t="s">
        <v>1235</v>
      </c>
      <c r="D1957" s="3" t="s">
        <v>1236</v>
      </c>
      <c r="E1957" s="3" t="s">
        <v>726</v>
      </c>
      <c r="F1957" s="3" t="s">
        <v>1922</v>
      </c>
      <c r="G1957" s="6">
        <v>0</v>
      </c>
      <c r="H1957" s="6">
        <v>7.57</v>
      </c>
      <c r="I1957" s="6">
        <v>0</v>
      </c>
      <c r="J1957" s="6">
        <v>0</v>
      </c>
    </row>
    <row r="1958" spans="2:10" outlineLevel="1" x14ac:dyDescent="0.25">
      <c r="B1958" s="3" t="s">
        <v>1234</v>
      </c>
      <c r="C1958" s="3" t="s">
        <v>1235</v>
      </c>
      <c r="D1958" s="3" t="s">
        <v>1236</v>
      </c>
      <c r="E1958" s="3" t="s">
        <v>760</v>
      </c>
      <c r="F1958" s="3" t="s">
        <v>1923</v>
      </c>
      <c r="G1958" s="6">
        <v>0</v>
      </c>
      <c r="H1958" s="6">
        <v>0</v>
      </c>
      <c r="I1958" s="6">
        <v>0</v>
      </c>
      <c r="J1958" s="6">
        <v>0</v>
      </c>
    </row>
    <row r="1959" spans="2:10" outlineLevel="1" x14ac:dyDescent="0.25">
      <c r="B1959" s="3" t="s">
        <v>1234</v>
      </c>
      <c r="C1959" s="3" t="s">
        <v>1235</v>
      </c>
      <c r="D1959" s="3" t="s">
        <v>1236</v>
      </c>
      <c r="E1959" s="3" t="s">
        <v>811</v>
      </c>
      <c r="F1959" s="3" t="s">
        <v>1924</v>
      </c>
      <c r="G1959" s="6">
        <v>0</v>
      </c>
      <c r="H1959" s="6">
        <v>0</v>
      </c>
      <c r="I1959" s="6">
        <v>0</v>
      </c>
      <c r="J1959" s="6">
        <v>0</v>
      </c>
    </row>
    <row r="1960" spans="2:10" outlineLevel="1" x14ac:dyDescent="0.25">
      <c r="B1960" s="3" t="s">
        <v>1234</v>
      </c>
      <c r="C1960" s="3" t="s">
        <v>1235</v>
      </c>
      <c r="D1960" s="3" t="s">
        <v>1236</v>
      </c>
      <c r="E1960" s="3" t="s">
        <v>681</v>
      </c>
      <c r="F1960" s="3" t="s">
        <v>1925</v>
      </c>
      <c r="G1960" s="6">
        <v>0</v>
      </c>
      <c r="H1960" s="6">
        <v>0</v>
      </c>
      <c r="I1960" s="6">
        <v>0</v>
      </c>
      <c r="J1960" s="6">
        <v>0</v>
      </c>
    </row>
    <row r="1961" spans="2:10" outlineLevel="1" x14ac:dyDescent="0.25">
      <c r="B1961" s="3" t="s">
        <v>1234</v>
      </c>
      <c r="C1961" s="3" t="s">
        <v>1235</v>
      </c>
      <c r="D1961" s="3" t="s">
        <v>1236</v>
      </c>
      <c r="E1961" s="3" t="s">
        <v>758</v>
      </c>
      <c r="F1961" s="3" t="s">
        <v>1926</v>
      </c>
      <c r="G1961" s="6">
        <v>0</v>
      </c>
      <c r="H1961" s="6">
        <v>0</v>
      </c>
      <c r="I1961" s="6">
        <v>0</v>
      </c>
      <c r="J1961" s="6">
        <v>0</v>
      </c>
    </row>
    <row r="1962" spans="2:10" outlineLevel="1" x14ac:dyDescent="0.25">
      <c r="B1962" s="3" t="s">
        <v>1234</v>
      </c>
      <c r="C1962" s="3" t="s">
        <v>1235</v>
      </c>
      <c r="D1962" s="3" t="s">
        <v>1236</v>
      </c>
      <c r="E1962" s="3" t="s">
        <v>1927</v>
      </c>
      <c r="F1962" s="3" t="s">
        <v>1928</v>
      </c>
      <c r="G1962" s="6">
        <v>0</v>
      </c>
      <c r="H1962" s="6">
        <v>0</v>
      </c>
      <c r="I1962" s="6">
        <v>0</v>
      </c>
      <c r="J1962" s="6">
        <v>0</v>
      </c>
    </row>
    <row r="1963" spans="2:10" outlineLevel="1" x14ac:dyDescent="0.25">
      <c r="B1963" s="3" t="s">
        <v>1234</v>
      </c>
      <c r="C1963" s="3" t="s">
        <v>1235</v>
      </c>
      <c r="D1963" s="3" t="s">
        <v>1236</v>
      </c>
      <c r="E1963" s="3" t="s">
        <v>1133</v>
      </c>
      <c r="F1963" s="3" t="s">
        <v>1929</v>
      </c>
      <c r="G1963" s="6">
        <v>0</v>
      </c>
      <c r="H1963" s="6">
        <v>9.6300000000000008</v>
      </c>
      <c r="I1963" s="6">
        <v>0</v>
      </c>
      <c r="J1963" s="6">
        <v>0</v>
      </c>
    </row>
    <row r="1964" spans="2:10" outlineLevel="1" x14ac:dyDescent="0.25">
      <c r="B1964" s="3" t="s">
        <v>1234</v>
      </c>
      <c r="C1964" s="3" t="s">
        <v>1235</v>
      </c>
      <c r="D1964" s="3" t="s">
        <v>1236</v>
      </c>
      <c r="E1964" s="3" t="s">
        <v>702</v>
      </c>
      <c r="F1964" s="3" t="s">
        <v>1930</v>
      </c>
      <c r="G1964" s="6">
        <v>0</v>
      </c>
      <c r="H1964" s="6">
        <v>0</v>
      </c>
      <c r="I1964" s="6">
        <v>0</v>
      </c>
      <c r="J1964" s="6">
        <v>0</v>
      </c>
    </row>
    <row r="1965" spans="2:10" outlineLevel="1" x14ac:dyDescent="0.25">
      <c r="B1965" s="3" t="s">
        <v>1234</v>
      </c>
      <c r="C1965" s="3" t="s">
        <v>1235</v>
      </c>
      <c r="D1965" s="3" t="s">
        <v>1236</v>
      </c>
      <c r="E1965" s="3" t="s">
        <v>762</v>
      </c>
      <c r="F1965" s="3" t="s">
        <v>1931</v>
      </c>
      <c r="G1965" s="6">
        <v>0</v>
      </c>
      <c r="H1965" s="6">
        <v>0</v>
      </c>
      <c r="I1965" s="6">
        <v>0</v>
      </c>
      <c r="J1965" s="6">
        <v>0</v>
      </c>
    </row>
    <row r="1966" spans="2:10" outlineLevel="1" x14ac:dyDescent="0.25">
      <c r="B1966" s="3" t="s">
        <v>1234</v>
      </c>
      <c r="C1966" s="3" t="s">
        <v>1235</v>
      </c>
      <c r="D1966" s="3" t="s">
        <v>1236</v>
      </c>
      <c r="E1966" s="3" t="s">
        <v>989</v>
      </c>
      <c r="F1966" s="3" t="s">
        <v>1932</v>
      </c>
      <c r="G1966" s="6">
        <v>0</v>
      </c>
      <c r="H1966" s="6">
        <v>0</v>
      </c>
      <c r="I1966" s="6">
        <v>0</v>
      </c>
      <c r="J1966" s="6">
        <v>0</v>
      </c>
    </row>
    <row r="1967" spans="2:10" outlineLevel="1" x14ac:dyDescent="0.25">
      <c r="B1967" s="3" t="s">
        <v>1234</v>
      </c>
      <c r="C1967" s="3" t="s">
        <v>1235</v>
      </c>
      <c r="D1967" s="3" t="s">
        <v>1236</v>
      </c>
      <c r="E1967" s="3" t="s">
        <v>947</v>
      </c>
      <c r="F1967" s="3" t="s">
        <v>1933</v>
      </c>
      <c r="G1967" s="6">
        <v>0</v>
      </c>
      <c r="H1967" s="6">
        <v>0</v>
      </c>
      <c r="I1967" s="6">
        <v>0</v>
      </c>
      <c r="J1967" s="6">
        <v>0</v>
      </c>
    </row>
    <row r="1968" spans="2:10" outlineLevel="1" x14ac:dyDescent="0.25">
      <c r="B1968" s="3" t="s">
        <v>1234</v>
      </c>
      <c r="C1968" s="3" t="s">
        <v>1235</v>
      </c>
      <c r="D1968" s="3" t="s">
        <v>1236</v>
      </c>
      <c r="E1968" s="3" t="s">
        <v>1934</v>
      </c>
      <c r="F1968" s="3" t="s">
        <v>1935</v>
      </c>
      <c r="G1968" s="6">
        <v>0</v>
      </c>
      <c r="H1968" s="6">
        <v>0</v>
      </c>
      <c r="I1968" s="6">
        <v>0</v>
      </c>
      <c r="J1968" s="6">
        <v>0</v>
      </c>
    </row>
    <row r="1969" spans="2:10" outlineLevel="1" x14ac:dyDescent="0.25">
      <c r="B1969" s="3" t="s">
        <v>1234</v>
      </c>
      <c r="C1969" s="3" t="s">
        <v>1235</v>
      </c>
      <c r="D1969" s="3" t="s">
        <v>1236</v>
      </c>
      <c r="E1969" s="3" t="s">
        <v>778</v>
      </c>
      <c r="F1969" s="3" t="s">
        <v>1936</v>
      </c>
      <c r="G1969" s="6">
        <v>0</v>
      </c>
      <c r="H1969" s="6">
        <v>0</v>
      </c>
      <c r="I1969" s="6">
        <v>0</v>
      </c>
      <c r="J1969" s="6">
        <v>0</v>
      </c>
    </row>
    <row r="1970" spans="2:10" outlineLevel="1" x14ac:dyDescent="0.25">
      <c r="B1970" s="3" t="s">
        <v>1234</v>
      </c>
      <c r="C1970" s="3" t="s">
        <v>1235</v>
      </c>
      <c r="D1970" s="3" t="s">
        <v>1236</v>
      </c>
      <c r="E1970" s="3" t="s">
        <v>1937</v>
      </c>
      <c r="F1970" s="3" t="s">
        <v>1938</v>
      </c>
      <c r="G1970" s="6">
        <v>0</v>
      </c>
      <c r="H1970" s="6">
        <v>0</v>
      </c>
      <c r="I1970" s="6">
        <v>0</v>
      </c>
      <c r="J1970" s="6">
        <v>0</v>
      </c>
    </row>
    <row r="1971" spans="2:10" outlineLevel="1" x14ac:dyDescent="0.25">
      <c r="B1971" s="3" t="s">
        <v>1234</v>
      </c>
      <c r="C1971" s="3" t="s">
        <v>1235</v>
      </c>
      <c r="D1971" s="3" t="s">
        <v>1236</v>
      </c>
      <c r="E1971" s="3" t="s">
        <v>764</v>
      </c>
      <c r="F1971" s="3" t="s">
        <v>1939</v>
      </c>
      <c r="G1971" s="6">
        <v>0</v>
      </c>
      <c r="H1971" s="6">
        <v>0</v>
      </c>
      <c r="I1971" s="6">
        <v>0</v>
      </c>
      <c r="J1971" s="6">
        <v>0</v>
      </c>
    </row>
    <row r="1972" spans="2:10" outlineLevel="1" x14ac:dyDescent="0.25">
      <c r="B1972" s="3" t="s">
        <v>1234</v>
      </c>
      <c r="C1972" s="3" t="s">
        <v>1235</v>
      </c>
      <c r="D1972" s="3" t="s">
        <v>1236</v>
      </c>
      <c r="E1972" s="3" t="s">
        <v>671</v>
      </c>
      <c r="F1972" s="3" t="s">
        <v>1940</v>
      </c>
      <c r="G1972" s="6">
        <v>0</v>
      </c>
      <c r="H1972" s="6">
        <v>0</v>
      </c>
      <c r="I1972" s="6">
        <v>0</v>
      </c>
      <c r="J1972" s="6">
        <v>0</v>
      </c>
    </row>
    <row r="1973" spans="2:10" outlineLevel="1" x14ac:dyDescent="0.25">
      <c r="B1973" s="3" t="s">
        <v>1234</v>
      </c>
      <c r="C1973" s="3" t="s">
        <v>1235</v>
      </c>
      <c r="D1973" s="3" t="s">
        <v>1236</v>
      </c>
      <c r="E1973" s="3" t="s">
        <v>839</v>
      </c>
      <c r="F1973" s="3" t="s">
        <v>1941</v>
      </c>
      <c r="G1973" s="6">
        <v>0</v>
      </c>
      <c r="H1973" s="6">
        <v>0</v>
      </c>
      <c r="I1973" s="6">
        <v>0</v>
      </c>
      <c r="J1973" s="6">
        <v>0</v>
      </c>
    </row>
    <row r="1974" spans="2:10" outlineLevel="1" x14ac:dyDescent="0.25">
      <c r="B1974" s="3" t="s">
        <v>1234</v>
      </c>
      <c r="C1974" s="3" t="s">
        <v>1235</v>
      </c>
      <c r="D1974" s="3" t="s">
        <v>1236</v>
      </c>
      <c r="E1974" s="3" t="s">
        <v>1094</v>
      </c>
      <c r="F1974" s="3" t="s">
        <v>1942</v>
      </c>
      <c r="G1974" s="6">
        <v>0</v>
      </c>
      <c r="H1974" s="6">
        <v>0</v>
      </c>
      <c r="I1974" s="6">
        <v>0</v>
      </c>
      <c r="J1974" s="6">
        <v>0</v>
      </c>
    </row>
    <row r="1975" spans="2:10" outlineLevel="1" x14ac:dyDescent="0.25">
      <c r="B1975" s="3" t="s">
        <v>1234</v>
      </c>
      <c r="C1975" s="3" t="s">
        <v>1235</v>
      </c>
      <c r="D1975" s="3" t="s">
        <v>1236</v>
      </c>
      <c r="E1975" s="3" t="s">
        <v>1943</v>
      </c>
      <c r="F1975" s="3" t="s">
        <v>1944</v>
      </c>
      <c r="G1975" s="6">
        <v>0</v>
      </c>
      <c r="H1975" s="6">
        <v>0</v>
      </c>
      <c r="I1975" s="6">
        <v>0</v>
      </c>
      <c r="J1975" s="6">
        <v>0</v>
      </c>
    </row>
    <row r="1976" spans="2:10" outlineLevel="1" x14ac:dyDescent="0.25">
      <c r="B1976" s="3" t="s">
        <v>1234</v>
      </c>
      <c r="C1976" s="3" t="s">
        <v>1235</v>
      </c>
      <c r="D1976" s="3" t="s">
        <v>1236</v>
      </c>
      <c r="E1976" s="3" t="s">
        <v>1945</v>
      </c>
      <c r="F1976" s="3" t="s">
        <v>1946</v>
      </c>
      <c r="G1976" s="6">
        <v>0</v>
      </c>
      <c r="H1976" s="6">
        <v>0</v>
      </c>
      <c r="I1976" s="6">
        <v>0</v>
      </c>
      <c r="J1976" s="6">
        <v>0</v>
      </c>
    </row>
    <row r="1977" spans="2:10" outlineLevel="1" x14ac:dyDescent="0.25">
      <c r="B1977" s="3" t="s">
        <v>1234</v>
      </c>
      <c r="C1977" s="3" t="s">
        <v>1235</v>
      </c>
      <c r="D1977" s="3" t="s">
        <v>1236</v>
      </c>
      <c r="E1977" s="3" t="s">
        <v>1947</v>
      </c>
      <c r="F1977" s="3" t="s">
        <v>1948</v>
      </c>
      <c r="G1977" s="6">
        <v>0</v>
      </c>
      <c r="H1977" s="6">
        <v>0</v>
      </c>
      <c r="I1977" s="6">
        <v>0</v>
      </c>
      <c r="J1977" s="6">
        <v>0</v>
      </c>
    </row>
    <row r="1978" spans="2:10" outlineLevel="1" x14ac:dyDescent="0.25">
      <c r="B1978" s="3" t="s">
        <v>1234</v>
      </c>
      <c r="C1978" s="3" t="s">
        <v>1235</v>
      </c>
      <c r="D1978" s="3" t="s">
        <v>1236</v>
      </c>
      <c r="E1978" s="3" t="s">
        <v>714</v>
      </c>
      <c r="F1978" s="3" t="s">
        <v>1949</v>
      </c>
      <c r="G1978" s="6">
        <v>0</v>
      </c>
      <c r="H1978" s="6">
        <v>0</v>
      </c>
      <c r="I1978" s="6">
        <v>0</v>
      </c>
      <c r="J1978" s="6">
        <v>0</v>
      </c>
    </row>
    <row r="1979" spans="2:10" outlineLevel="1" x14ac:dyDescent="0.25">
      <c r="B1979" s="3" t="s">
        <v>1234</v>
      </c>
      <c r="C1979" s="3" t="s">
        <v>1235</v>
      </c>
      <c r="D1979" s="3" t="s">
        <v>1236</v>
      </c>
      <c r="E1979" s="3" t="s">
        <v>928</v>
      </c>
      <c r="F1979" s="3" t="s">
        <v>1950</v>
      </c>
      <c r="G1979" s="6">
        <v>0</v>
      </c>
      <c r="H1979" s="6">
        <v>0</v>
      </c>
      <c r="I1979" s="6">
        <v>0</v>
      </c>
      <c r="J1979" s="6">
        <v>0</v>
      </c>
    </row>
    <row r="1980" spans="2:10" outlineLevel="1" x14ac:dyDescent="0.25">
      <c r="B1980" s="3" t="s">
        <v>1234</v>
      </c>
      <c r="C1980" s="3" t="s">
        <v>1235</v>
      </c>
      <c r="D1980" s="3" t="s">
        <v>1236</v>
      </c>
      <c r="E1980" s="3" t="s">
        <v>1042</v>
      </c>
      <c r="F1980" s="3" t="s">
        <v>1951</v>
      </c>
      <c r="G1980" s="6">
        <v>0</v>
      </c>
      <c r="H1980" s="6">
        <v>0</v>
      </c>
      <c r="I1980" s="6">
        <v>0</v>
      </c>
      <c r="J1980" s="6">
        <v>0</v>
      </c>
    </row>
    <row r="1981" spans="2:10" outlineLevel="1" x14ac:dyDescent="0.25">
      <c r="B1981" s="3" t="s">
        <v>1234</v>
      </c>
      <c r="C1981" s="3" t="s">
        <v>1235</v>
      </c>
      <c r="D1981" s="3" t="s">
        <v>1236</v>
      </c>
      <c r="E1981" s="3" t="s">
        <v>754</v>
      </c>
      <c r="F1981" s="3" t="s">
        <v>1952</v>
      </c>
      <c r="G1981" s="6">
        <v>0</v>
      </c>
      <c r="H1981" s="6">
        <v>0</v>
      </c>
      <c r="I1981" s="6">
        <v>0</v>
      </c>
      <c r="J1981" s="6">
        <v>0</v>
      </c>
    </row>
    <row r="1982" spans="2:10" outlineLevel="1" x14ac:dyDescent="0.25">
      <c r="B1982" s="3" t="s">
        <v>1234</v>
      </c>
      <c r="C1982" s="3" t="s">
        <v>1235</v>
      </c>
      <c r="D1982" s="3" t="s">
        <v>1236</v>
      </c>
      <c r="E1982" s="3" t="s">
        <v>1953</v>
      </c>
      <c r="F1982" s="3" t="s">
        <v>1954</v>
      </c>
      <c r="G1982" s="6">
        <v>0</v>
      </c>
      <c r="H1982" s="6">
        <v>0</v>
      </c>
      <c r="I1982" s="6">
        <v>0</v>
      </c>
      <c r="J1982" s="6">
        <v>0</v>
      </c>
    </row>
    <row r="1983" spans="2:10" outlineLevel="1" x14ac:dyDescent="0.25">
      <c r="B1983" s="3" t="s">
        <v>1234</v>
      </c>
      <c r="C1983" s="3" t="s">
        <v>1235</v>
      </c>
      <c r="D1983" s="3" t="s">
        <v>1236</v>
      </c>
      <c r="E1983" s="3" t="s">
        <v>945</v>
      </c>
      <c r="F1983" s="3" t="s">
        <v>1955</v>
      </c>
      <c r="G1983" s="6">
        <v>0</v>
      </c>
      <c r="H1983" s="6">
        <v>0</v>
      </c>
      <c r="I1983" s="6">
        <v>0</v>
      </c>
      <c r="J1983" s="6">
        <v>0</v>
      </c>
    </row>
    <row r="1984" spans="2:10" outlineLevel="1" x14ac:dyDescent="0.25">
      <c r="B1984" s="3" t="s">
        <v>1234</v>
      </c>
      <c r="C1984" s="3" t="s">
        <v>1235</v>
      </c>
      <c r="D1984" s="3" t="s">
        <v>1236</v>
      </c>
      <c r="E1984" s="3" t="s">
        <v>830</v>
      </c>
      <c r="F1984" s="3" t="s">
        <v>1956</v>
      </c>
      <c r="G1984" s="6">
        <v>0</v>
      </c>
      <c r="H1984" s="6">
        <v>0</v>
      </c>
      <c r="I1984" s="6">
        <v>0</v>
      </c>
      <c r="J1984" s="6">
        <v>0</v>
      </c>
    </row>
    <row r="1985" spans="2:10" outlineLevel="1" x14ac:dyDescent="0.25">
      <c r="B1985" s="3" t="s">
        <v>1234</v>
      </c>
      <c r="C1985" s="3" t="s">
        <v>1235</v>
      </c>
      <c r="D1985" s="3" t="s">
        <v>1236</v>
      </c>
      <c r="E1985" s="3" t="s">
        <v>692</v>
      </c>
      <c r="F1985" s="3" t="s">
        <v>1957</v>
      </c>
      <c r="G1985" s="6">
        <v>0</v>
      </c>
      <c r="H1985" s="6">
        <v>0</v>
      </c>
      <c r="I1985" s="6">
        <v>0</v>
      </c>
      <c r="J1985" s="6">
        <v>0</v>
      </c>
    </row>
    <row r="1986" spans="2:10" outlineLevel="1" x14ac:dyDescent="0.25">
      <c r="B1986" s="3" t="s">
        <v>1234</v>
      </c>
      <c r="C1986" s="3" t="s">
        <v>1235</v>
      </c>
      <c r="D1986" s="3" t="s">
        <v>1236</v>
      </c>
      <c r="E1986" s="3" t="s">
        <v>728</v>
      </c>
      <c r="F1986" s="3" t="s">
        <v>1958</v>
      </c>
      <c r="G1986" s="6">
        <v>0</v>
      </c>
      <c r="H1986" s="6">
        <v>0</v>
      </c>
      <c r="I1986" s="6">
        <v>0</v>
      </c>
      <c r="J1986" s="6">
        <v>0</v>
      </c>
    </row>
    <row r="1987" spans="2:10" outlineLevel="1" x14ac:dyDescent="0.25">
      <c r="B1987" s="3" t="s">
        <v>1234</v>
      </c>
      <c r="C1987" s="3" t="s">
        <v>1235</v>
      </c>
      <c r="D1987" s="3" t="s">
        <v>1236</v>
      </c>
      <c r="E1987" s="3" t="s">
        <v>698</v>
      </c>
      <c r="F1987" s="3" t="s">
        <v>1959</v>
      </c>
      <c r="G1987" s="6">
        <v>0</v>
      </c>
      <c r="H1987" s="6">
        <v>0</v>
      </c>
      <c r="I1987" s="6">
        <v>0</v>
      </c>
      <c r="J1987" s="6">
        <v>0</v>
      </c>
    </row>
    <row r="1988" spans="2:10" outlineLevel="1" x14ac:dyDescent="0.25">
      <c r="B1988" s="3" t="s">
        <v>1234</v>
      </c>
      <c r="C1988" s="3" t="s">
        <v>1235</v>
      </c>
      <c r="D1988" s="3" t="s">
        <v>1236</v>
      </c>
      <c r="E1988" s="3" t="s">
        <v>718</v>
      </c>
      <c r="F1988" s="3" t="s">
        <v>1960</v>
      </c>
      <c r="G1988" s="6">
        <v>0</v>
      </c>
      <c r="H1988" s="6">
        <v>0</v>
      </c>
      <c r="I1988" s="6">
        <v>0</v>
      </c>
      <c r="J1988" s="6">
        <v>0</v>
      </c>
    </row>
    <row r="1989" spans="2:10" outlineLevel="1" x14ac:dyDescent="0.25">
      <c r="B1989" s="3" t="s">
        <v>1234</v>
      </c>
      <c r="C1989" s="3" t="s">
        <v>1235</v>
      </c>
      <c r="D1989" s="3" t="s">
        <v>1236</v>
      </c>
      <c r="E1989" s="3" t="s">
        <v>712</v>
      </c>
      <c r="F1989" s="3" t="s">
        <v>1961</v>
      </c>
      <c r="G1989" s="6">
        <v>0</v>
      </c>
      <c r="H1989" s="6">
        <v>0</v>
      </c>
      <c r="I1989" s="6">
        <v>0</v>
      </c>
      <c r="J1989" s="6">
        <v>0</v>
      </c>
    </row>
    <row r="1990" spans="2:10" outlineLevel="1" x14ac:dyDescent="0.25">
      <c r="B1990" s="3" t="s">
        <v>1234</v>
      </c>
      <c r="C1990" s="3" t="s">
        <v>1235</v>
      </c>
      <c r="D1990" s="3" t="s">
        <v>1236</v>
      </c>
      <c r="E1990" s="3" t="s">
        <v>1115</v>
      </c>
      <c r="F1990" s="3" t="s">
        <v>1962</v>
      </c>
      <c r="G1990" s="6">
        <v>0</v>
      </c>
      <c r="H1990" s="6">
        <v>0</v>
      </c>
      <c r="I1990" s="6">
        <v>0</v>
      </c>
      <c r="J1990" s="6">
        <v>0</v>
      </c>
    </row>
    <row r="1991" spans="2:10" outlineLevel="1" x14ac:dyDescent="0.25">
      <c r="B1991" s="3" t="s">
        <v>1234</v>
      </c>
      <c r="C1991" s="3" t="s">
        <v>1235</v>
      </c>
      <c r="D1991" s="3" t="s">
        <v>1236</v>
      </c>
      <c r="E1991" s="3" t="s">
        <v>704</v>
      </c>
      <c r="F1991" s="3" t="s">
        <v>1963</v>
      </c>
      <c r="G1991" s="6">
        <v>0</v>
      </c>
      <c r="H1991" s="6">
        <v>0</v>
      </c>
      <c r="I1991" s="6">
        <v>0</v>
      </c>
      <c r="J1991" s="6">
        <v>0</v>
      </c>
    </row>
    <row r="1992" spans="2:10" outlineLevel="1" x14ac:dyDescent="0.25">
      <c r="B1992" s="3" t="s">
        <v>1234</v>
      </c>
      <c r="C1992" s="3" t="s">
        <v>1235</v>
      </c>
      <c r="D1992" s="3" t="s">
        <v>1236</v>
      </c>
      <c r="E1992" s="3" t="s">
        <v>722</v>
      </c>
      <c r="F1992" s="3" t="s">
        <v>1964</v>
      </c>
      <c r="G1992" s="6">
        <v>0</v>
      </c>
      <c r="H1992" s="6">
        <v>0</v>
      </c>
      <c r="I1992" s="6">
        <v>0</v>
      </c>
      <c r="J1992" s="6">
        <v>0</v>
      </c>
    </row>
    <row r="1993" spans="2:10" outlineLevel="1" x14ac:dyDescent="0.25">
      <c r="B1993" s="3" t="s">
        <v>1234</v>
      </c>
      <c r="C1993" s="3" t="s">
        <v>1235</v>
      </c>
      <c r="D1993" s="3" t="s">
        <v>1236</v>
      </c>
      <c r="E1993" s="3" t="s">
        <v>1038</v>
      </c>
      <c r="F1993" s="3" t="s">
        <v>1965</v>
      </c>
      <c r="G1993" s="6">
        <v>0</v>
      </c>
      <c r="H1993" s="6">
        <v>0</v>
      </c>
      <c r="I1993" s="6">
        <v>0</v>
      </c>
      <c r="J1993" s="6">
        <v>0</v>
      </c>
    </row>
    <row r="1994" spans="2:10" outlineLevel="1" x14ac:dyDescent="0.25">
      <c r="B1994" s="3" t="s">
        <v>1234</v>
      </c>
      <c r="C1994" s="3" t="s">
        <v>1235</v>
      </c>
      <c r="D1994" s="3" t="s">
        <v>1236</v>
      </c>
      <c r="E1994" s="3" t="s">
        <v>1966</v>
      </c>
      <c r="F1994" s="3" t="s">
        <v>1967</v>
      </c>
      <c r="G1994" s="6">
        <v>0</v>
      </c>
      <c r="H1994" s="6">
        <v>0</v>
      </c>
      <c r="I1994" s="6">
        <v>0</v>
      </c>
      <c r="J1994" s="6">
        <v>0</v>
      </c>
    </row>
    <row r="1995" spans="2:10" outlineLevel="1" x14ac:dyDescent="0.25">
      <c r="B1995" s="3" t="s">
        <v>1234</v>
      </c>
      <c r="C1995" s="3" t="s">
        <v>1235</v>
      </c>
      <c r="D1995" s="3" t="s">
        <v>1236</v>
      </c>
      <c r="E1995" s="3" t="s">
        <v>700</v>
      </c>
      <c r="F1995" s="3" t="s">
        <v>1968</v>
      </c>
      <c r="G1995" s="6">
        <v>0</v>
      </c>
      <c r="H1995" s="6">
        <v>0</v>
      </c>
      <c r="I1995" s="6">
        <v>0</v>
      </c>
      <c r="J1995" s="6">
        <v>0</v>
      </c>
    </row>
    <row r="1996" spans="2:10" outlineLevel="1" x14ac:dyDescent="0.25">
      <c r="B1996" s="3" t="s">
        <v>1234</v>
      </c>
      <c r="C1996" s="3" t="s">
        <v>1235</v>
      </c>
      <c r="D1996" s="3" t="s">
        <v>1236</v>
      </c>
      <c r="E1996" s="3" t="s">
        <v>837</v>
      </c>
      <c r="F1996" s="3" t="s">
        <v>1969</v>
      </c>
      <c r="G1996" s="6">
        <v>0</v>
      </c>
      <c r="H1996" s="6">
        <v>0</v>
      </c>
      <c r="I1996" s="6">
        <v>0</v>
      </c>
      <c r="J1996" s="6">
        <v>0</v>
      </c>
    </row>
    <row r="1997" spans="2:10" outlineLevel="1" x14ac:dyDescent="0.25">
      <c r="B1997" s="3" t="s">
        <v>1234</v>
      </c>
      <c r="C1997" s="3" t="s">
        <v>1235</v>
      </c>
      <c r="D1997" s="3" t="s">
        <v>1236</v>
      </c>
      <c r="E1997" s="3" t="s">
        <v>1155</v>
      </c>
      <c r="F1997" s="3" t="s">
        <v>1970</v>
      </c>
      <c r="G1997" s="6">
        <v>0</v>
      </c>
      <c r="H1997" s="6">
        <v>0</v>
      </c>
      <c r="I1997" s="6">
        <v>0</v>
      </c>
      <c r="J1997" s="6">
        <v>0</v>
      </c>
    </row>
    <row r="1998" spans="2:10" outlineLevel="1" x14ac:dyDescent="0.25">
      <c r="B1998" s="3" t="s">
        <v>1234</v>
      </c>
      <c r="C1998" s="3" t="s">
        <v>1235</v>
      </c>
      <c r="D1998" s="3" t="s">
        <v>1236</v>
      </c>
      <c r="E1998" s="3" t="s">
        <v>1117</v>
      </c>
      <c r="F1998" s="3" t="s">
        <v>1971</v>
      </c>
      <c r="G1998" s="6">
        <v>0</v>
      </c>
      <c r="H1998" s="6">
        <v>0</v>
      </c>
      <c r="I1998" s="6">
        <v>0</v>
      </c>
      <c r="J1998" s="6">
        <v>0</v>
      </c>
    </row>
    <row r="1999" spans="2:10" outlineLevel="1" x14ac:dyDescent="0.25">
      <c r="B1999" s="3" t="s">
        <v>1234</v>
      </c>
      <c r="C1999" s="3" t="s">
        <v>1235</v>
      </c>
      <c r="D1999" s="3" t="s">
        <v>1236</v>
      </c>
      <c r="E1999" s="3" t="s">
        <v>772</v>
      </c>
      <c r="F1999" s="3" t="s">
        <v>1972</v>
      </c>
      <c r="G1999" s="6">
        <v>0</v>
      </c>
      <c r="H1999" s="6">
        <v>0</v>
      </c>
      <c r="I1999" s="6">
        <v>0</v>
      </c>
      <c r="J1999" s="6">
        <v>0</v>
      </c>
    </row>
    <row r="2000" spans="2:10" outlineLevel="1" x14ac:dyDescent="0.25">
      <c r="B2000" s="3" t="s">
        <v>1234</v>
      </c>
      <c r="C2000" s="3" t="s">
        <v>1235</v>
      </c>
      <c r="D2000" s="3" t="s">
        <v>1236</v>
      </c>
      <c r="E2000" s="3" t="s">
        <v>730</v>
      </c>
      <c r="F2000" s="3" t="s">
        <v>1973</v>
      </c>
      <c r="G2000" s="6">
        <v>0</v>
      </c>
      <c r="H2000" s="6">
        <v>0</v>
      </c>
      <c r="I2000" s="6">
        <v>0</v>
      </c>
      <c r="J2000" s="6">
        <v>0</v>
      </c>
    </row>
    <row r="2001" spans="2:10" outlineLevel="1" x14ac:dyDescent="0.25">
      <c r="B2001" s="3" t="s">
        <v>1234</v>
      </c>
      <c r="C2001" s="3" t="s">
        <v>1235</v>
      </c>
      <c r="D2001" s="3" t="s">
        <v>1236</v>
      </c>
      <c r="E2001" s="3" t="s">
        <v>1974</v>
      </c>
      <c r="F2001" s="3" t="s">
        <v>1975</v>
      </c>
      <c r="G2001" s="6">
        <v>0</v>
      </c>
      <c r="H2001" s="6">
        <v>0</v>
      </c>
      <c r="I2001" s="6">
        <v>0</v>
      </c>
      <c r="J2001" s="6">
        <v>0</v>
      </c>
    </row>
    <row r="2002" spans="2:10" outlineLevel="1" x14ac:dyDescent="0.25">
      <c r="B2002" s="3" t="s">
        <v>1234</v>
      </c>
      <c r="C2002" s="3" t="s">
        <v>1235</v>
      </c>
      <c r="D2002" s="3" t="s">
        <v>1236</v>
      </c>
      <c r="E2002" s="3" t="s">
        <v>710</v>
      </c>
      <c r="F2002" s="3" t="s">
        <v>1976</v>
      </c>
      <c r="G2002" s="6">
        <v>0</v>
      </c>
      <c r="H2002" s="6">
        <v>0</v>
      </c>
      <c r="I2002" s="6">
        <v>0</v>
      </c>
      <c r="J2002" s="6">
        <v>0</v>
      </c>
    </row>
    <row r="2003" spans="2:10" outlineLevel="1" x14ac:dyDescent="0.25">
      <c r="B2003" s="3" t="s">
        <v>1234</v>
      </c>
      <c r="C2003" s="3" t="s">
        <v>1235</v>
      </c>
      <c r="D2003" s="3" t="s">
        <v>1236</v>
      </c>
      <c r="E2003" s="3" t="s">
        <v>835</v>
      </c>
      <c r="F2003" s="3" t="s">
        <v>1977</v>
      </c>
      <c r="G2003" s="6">
        <v>0</v>
      </c>
      <c r="H2003" s="6">
        <v>0</v>
      </c>
      <c r="I2003" s="6">
        <v>0</v>
      </c>
      <c r="J2003" s="6">
        <v>0</v>
      </c>
    </row>
    <row r="2004" spans="2:10" outlineLevel="1" x14ac:dyDescent="0.25">
      <c r="B2004" s="3" t="s">
        <v>1234</v>
      </c>
      <c r="C2004" s="3" t="s">
        <v>1235</v>
      </c>
      <c r="D2004" s="3" t="s">
        <v>1236</v>
      </c>
      <c r="E2004" s="3" t="s">
        <v>72</v>
      </c>
      <c r="F2004" s="3" t="s">
        <v>1978</v>
      </c>
      <c r="G2004" s="6">
        <v>0</v>
      </c>
      <c r="H2004" s="6">
        <v>0</v>
      </c>
      <c r="I2004" s="6">
        <v>0</v>
      </c>
      <c r="J2004" s="6">
        <v>0</v>
      </c>
    </row>
    <row r="2005" spans="2:10" outlineLevel="1" x14ac:dyDescent="0.25">
      <c r="B2005" s="3" t="s">
        <v>1234</v>
      </c>
      <c r="C2005" s="3" t="s">
        <v>1235</v>
      </c>
      <c r="D2005" s="3" t="s">
        <v>1236</v>
      </c>
      <c r="E2005" s="3" t="s">
        <v>834</v>
      </c>
      <c r="F2005" s="3" t="s">
        <v>1979</v>
      </c>
      <c r="G2005" s="6">
        <v>0</v>
      </c>
      <c r="H2005" s="6">
        <v>0</v>
      </c>
      <c r="I2005" s="6">
        <v>0</v>
      </c>
      <c r="J2005" s="6">
        <v>0</v>
      </c>
    </row>
    <row r="2006" spans="2:10" outlineLevel="1" x14ac:dyDescent="0.25">
      <c r="B2006" s="3" t="s">
        <v>1234</v>
      </c>
      <c r="C2006" s="3" t="s">
        <v>1235</v>
      </c>
      <c r="D2006" s="3" t="s">
        <v>1236</v>
      </c>
      <c r="E2006" s="3" t="s">
        <v>1157</v>
      </c>
      <c r="F2006" s="3" t="s">
        <v>1980</v>
      </c>
      <c r="G2006" s="6">
        <v>0</v>
      </c>
      <c r="H2006" s="6">
        <v>0</v>
      </c>
      <c r="I2006" s="6">
        <v>0</v>
      </c>
      <c r="J2006" s="6">
        <v>0</v>
      </c>
    </row>
    <row r="2007" spans="2:10" outlineLevel="1" x14ac:dyDescent="0.25">
      <c r="B2007" s="3" t="s">
        <v>1234</v>
      </c>
      <c r="C2007" s="3" t="s">
        <v>1235</v>
      </c>
      <c r="D2007" s="3" t="s">
        <v>1236</v>
      </c>
      <c r="E2007" s="3" t="s">
        <v>1131</v>
      </c>
      <c r="F2007" s="3" t="s">
        <v>1981</v>
      </c>
      <c r="G2007" s="6">
        <v>0</v>
      </c>
      <c r="H2007" s="6">
        <v>0</v>
      </c>
      <c r="I2007" s="6">
        <v>0</v>
      </c>
      <c r="J2007" s="6">
        <v>0</v>
      </c>
    </row>
    <row r="2008" spans="2:10" outlineLevel="1" x14ac:dyDescent="0.25">
      <c r="B2008" s="3" t="s">
        <v>1234</v>
      </c>
      <c r="C2008" s="3" t="s">
        <v>1235</v>
      </c>
      <c r="D2008" s="3" t="s">
        <v>1236</v>
      </c>
      <c r="E2008" s="3" t="s">
        <v>706</v>
      </c>
      <c r="F2008" s="3" t="s">
        <v>1982</v>
      </c>
      <c r="G2008" s="6">
        <v>0</v>
      </c>
      <c r="H2008" s="6">
        <v>0</v>
      </c>
      <c r="I2008" s="6">
        <v>0</v>
      </c>
      <c r="J2008" s="6">
        <v>0</v>
      </c>
    </row>
    <row r="2009" spans="2:10" outlineLevel="1" x14ac:dyDescent="0.25">
      <c r="B2009" s="3" t="s">
        <v>1234</v>
      </c>
      <c r="C2009" s="3" t="s">
        <v>1235</v>
      </c>
      <c r="D2009" s="3" t="s">
        <v>1236</v>
      </c>
      <c r="E2009" s="3" t="s">
        <v>1983</v>
      </c>
      <c r="F2009" s="3" t="s">
        <v>1984</v>
      </c>
      <c r="G2009" s="6">
        <v>0</v>
      </c>
      <c r="H2009" s="6">
        <v>0</v>
      </c>
      <c r="I2009" s="6">
        <v>0</v>
      </c>
      <c r="J2009" s="6">
        <v>0</v>
      </c>
    </row>
    <row r="2010" spans="2:10" outlineLevel="1" x14ac:dyDescent="0.25">
      <c r="B2010" s="3" t="s">
        <v>1234</v>
      </c>
      <c r="C2010" s="3" t="s">
        <v>1235</v>
      </c>
      <c r="D2010" s="3" t="s">
        <v>1236</v>
      </c>
      <c r="E2010" s="3" t="s">
        <v>1985</v>
      </c>
      <c r="F2010" s="3" t="s">
        <v>1986</v>
      </c>
      <c r="G2010" s="6">
        <v>0</v>
      </c>
      <c r="H2010" s="6">
        <v>0</v>
      </c>
      <c r="I2010" s="6">
        <v>0</v>
      </c>
      <c r="J2010" s="6">
        <v>0</v>
      </c>
    </row>
    <row r="2011" spans="2:10" outlineLevel="1" x14ac:dyDescent="0.25">
      <c r="B2011" s="3" t="s">
        <v>1234</v>
      </c>
      <c r="C2011" s="3" t="s">
        <v>1235</v>
      </c>
      <c r="D2011" s="3" t="s">
        <v>1236</v>
      </c>
      <c r="E2011" s="3" t="s">
        <v>438</v>
      </c>
      <c r="F2011" s="3" t="s">
        <v>1987</v>
      </c>
      <c r="G2011" s="6">
        <v>0</v>
      </c>
      <c r="H2011" s="6">
        <v>0</v>
      </c>
      <c r="I2011" s="6">
        <v>0</v>
      </c>
      <c r="J2011" s="6">
        <v>0</v>
      </c>
    </row>
    <row r="2012" spans="2:10" outlineLevel="1" x14ac:dyDescent="0.25">
      <c r="B2012" s="3" t="s">
        <v>1234</v>
      </c>
      <c r="C2012" s="3" t="s">
        <v>1235</v>
      </c>
      <c r="D2012" s="3" t="s">
        <v>1236</v>
      </c>
      <c r="E2012" s="3" t="s">
        <v>612</v>
      </c>
      <c r="F2012" s="3" t="s">
        <v>1988</v>
      </c>
      <c r="G2012" s="6">
        <v>0</v>
      </c>
      <c r="H2012" s="6">
        <v>0</v>
      </c>
      <c r="I2012" s="6">
        <v>0</v>
      </c>
      <c r="J2012" s="6">
        <v>0</v>
      </c>
    </row>
    <row r="2013" spans="2:10" outlineLevel="1" x14ac:dyDescent="0.25">
      <c r="B2013" s="3" t="s">
        <v>1234</v>
      </c>
      <c r="C2013" s="3" t="s">
        <v>1235</v>
      </c>
      <c r="D2013" s="3" t="s">
        <v>1236</v>
      </c>
      <c r="E2013" s="3" t="s">
        <v>360</v>
      </c>
      <c r="F2013" s="3" t="s">
        <v>1989</v>
      </c>
      <c r="G2013" s="6">
        <v>0</v>
      </c>
      <c r="H2013" s="6">
        <v>0</v>
      </c>
      <c r="I2013" s="6">
        <v>0</v>
      </c>
      <c r="J2013" s="6">
        <v>0</v>
      </c>
    </row>
    <row r="2014" spans="2:10" outlineLevel="1" x14ac:dyDescent="0.25">
      <c r="B2014" s="3" t="s">
        <v>1234</v>
      </c>
      <c r="C2014" s="3" t="s">
        <v>1235</v>
      </c>
      <c r="D2014" s="3" t="s">
        <v>1236</v>
      </c>
      <c r="E2014" s="3" t="s">
        <v>331</v>
      </c>
      <c r="F2014" s="3" t="s">
        <v>1990</v>
      </c>
      <c r="G2014" s="6">
        <v>0</v>
      </c>
      <c r="H2014" s="6">
        <v>0</v>
      </c>
      <c r="I2014" s="6">
        <v>0</v>
      </c>
      <c r="J2014" s="6">
        <v>0</v>
      </c>
    </row>
    <row r="2015" spans="2:10" outlineLevel="1" x14ac:dyDescent="0.25">
      <c r="B2015" s="3" t="s">
        <v>1234</v>
      </c>
      <c r="C2015" s="3" t="s">
        <v>1235</v>
      </c>
      <c r="D2015" s="3" t="s">
        <v>1236</v>
      </c>
      <c r="E2015" s="3" t="s">
        <v>708</v>
      </c>
      <c r="F2015" s="3" t="s">
        <v>1991</v>
      </c>
      <c r="G2015" s="6">
        <v>0</v>
      </c>
      <c r="H2015" s="6">
        <v>0</v>
      </c>
      <c r="I2015" s="6">
        <v>0</v>
      </c>
      <c r="J2015" s="6">
        <v>0</v>
      </c>
    </row>
    <row r="2016" spans="2:10" outlineLevel="1" x14ac:dyDescent="0.25">
      <c r="B2016" s="3" t="s">
        <v>1234</v>
      </c>
      <c r="C2016" s="3" t="s">
        <v>1235</v>
      </c>
      <c r="D2016" s="3" t="s">
        <v>1236</v>
      </c>
      <c r="E2016" s="3" t="s">
        <v>825</v>
      </c>
      <c r="F2016" s="3" t="s">
        <v>1992</v>
      </c>
      <c r="G2016" s="6">
        <v>0</v>
      </c>
      <c r="H2016" s="6">
        <v>0</v>
      </c>
      <c r="I2016" s="6">
        <v>0</v>
      </c>
      <c r="J2016" s="6">
        <v>0</v>
      </c>
    </row>
    <row r="2017" spans="2:10" outlineLevel="1" x14ac:dyDescent="0.25">
      <c r="B2017" s="3" t="s">
        <v>1234</v>
      </c>
      <c r="C2017" s="3" t="s">
        <v>1235</v>
      </c>
      <c r="D2017" s="3" t="s">
        <v>1236</v>
      </c>
      <c r="E2017" s="3" t="s">
        <v>424</v>
      </c>
      <c r="F2017" s="3" t="s">
        <v>1993</v>
      </c>
      <c r="G2017" s="6">
        <v>0</v>
      </c>
      <c r="H2017" s="6">
        <v>0</v>
      </c>
      <c r="I2017" s="6">
        <v>0</v>
      </c>
      <c r="J2017" s="6">
        <v>0</v>
      </c>
    </row>
    <row r="2018" spans="2:10" outlineLevel="1" x14ac:dyDescent="0.25">
      <c r="B2018" s="3" t="s">
        <v>1234</v>
      </c>
      <c r="C2018" s="3" t="s">
        <v>1235</v>
      </c>
      <c r="D2018" s="3" t="s">
        <v>1236</v>
      </c>
      <c r="E2018" s="3" t="s">
        <v>1994</v>
      </c>
      <c r="F2018" s="3" t="s">
        <v>1995</v>
      </c>
      <c r="G2018" s="6">
        <v>0</v>
      </c>
      <c r="H2018" s="6">
        <v>0</v>
      </c>
      <c r="I2018" s="6">
        <v>0</v>
      </c>
      <c r="J2018" s="6">
        <v>0</v>
      </c>
    </row>
    <row r="2019" spans="2:10" outlineLevel="1" x14ac:dyDescent="0.25">
      <c r="B2019" s="3" t="s">
        <v>1234</v>
      </c>
      <c r="C2019" s="3" t="s">
        <v>1235</v>
      </c>
      <c r="D2019" s="3" t="s">
        <v>1236</v>
      </c>
      <c r="E2019" s="3" t="s">
        <v>610</v>
      </c>
      <c r="F2019" s="3" t="s">
        <v>1996</v>
      </c>
      <c r="G2019" s="6">
        <v>0</v>
      </c>
      <c r="H2019" s="6">
        <v>0</v>
      </c>
      <c r="I2019" s="6">
        <v>0</v>
      </c>
      <c r="J2019" s="6">
        <v>0</v>
      </c>
    </row>
    <row r="2020" spans="2:10" outlineLevel="1" x14ac:dyDescent="0.25">
      <c r="B2020" s="3" t="s">
        <v>1234</v>
      </c>
      <c r="C2020" s="3" t="s">
        <v>1235</v>
      </c>
      <c r="D2020" s="3" t="s">
        <v>1236</v>
      </c>
      <c r="E2020" s="3" t="s">
        <v>847</v>
      </c>
      <c r="F2020" s="3" t="s">
        <v>1997</v>
      </c>
      <c r="G2020" s="6">
        <v>0</v>
      </c>
      <c r="H2020" s="6">
        <v>0</v>
      </c>
      <c r="I2020" s="6">
        <v>0</v>
      </c>
      <c r="J2020" s="6">
        <v>0</v>
      </c>
    </row>
    <row r="2021" spans="2:10" outlineLevel="1" x14ac:dyDescent="0.25">
      <c r="B2021" s="3" t="s">
        <v>1234</v>
      </c>
      <c r="C2021" s="3" t="s">
        <v>1235</v>
      </c>
      <c r="D2021" s="3" t="s">
        <v>1236</v>
      </c>
      <c r="E2021" s="3" t="s">
        <v>1998</v>
      </c>
      <c r="F2021" s="3" t="s">
        <v>1999</v>
      </c>
      <c r="G2021" s="6">
        <v>0</v>
      </c>
      <c r="H2021" s="6">
        <v>0</v>
      </c>
      <c r="I2021" s="6">
        <v>0</v>
      </c>
      <c r="J2021" s="6">
        <v>0</v>
      </c>
    </row>
    <row r="2022" spans="2:10" outlineLevel="1" x14ac:dyDescent="0.25">
      <c r="B2022" s="3" t="s">
        <v>1234</v>
      </c>
      <c r="C2022" s="3" t="s">
        <v>1235</v>
      </c>
      <c r="D2022" s="3" t="s">
        <v>1236</v>
      </c>
      <c r="E2022" s="3" t="s">
        <v>2000</v>
      </c>
      <c r="F2022" s="3" t="s">
        <v>2001</v>
      </c>
      <c r="G2022" s="6">
        <v>0</v>
      </c>
      <c r="H2022" s="6">
        <v>0</v>
      </c>
      <c r="I2022" s="6">
        <v>0</v>
      </c>
      <c r="J2022" s="6">
        <v>0</v>
      </c>
    </row>
    <row r="2023" spans="2:10" outlineLevel="1" x14ac:dyDescent="0.25">
      <c r="B2023" s="3" t="s">
        <v>1234</v>
      </c>
      <c r="C2023" s="3" t="s">
        <v>1235</v>
      </c>
      <c r="D2023" s="3" t="s">
        <v>1236</v>
      </c>
      <c r="E2023" s="3" t="s">
        <v>2002</v>
      </c>
      <c r="F2023" s="3" t="s">
        <v>2003</v>
      </c>
      <c r="G2023" s="6">
        <v>0</v>
      </c>
      <c r="H2023" s="6">
        <v>0</v>
      </c>
      <c r="I2023" s="6">
        <v>0</v>
      </c>
      <c r="J2023" s="6">
        <v>0</v>
      </c>
    </row>
    <row r="2024" spans="2:10" outlineLevel="1" x14ac:dyDescent="0.25">
      <c r="B2024" s="3" t="s">
        <v>1234</v>
      </c>
      <c r="C2024" s="3" t="s">
        <v>1235</v>
      </c>
      <c r="D2024" s="3" t="s">
        <v>1236</v>
      </c>
      <c r="E2024" s="3" t="s">
        <v>2004</v>
      </c>
      <c r="F2024" s="3" t="s">
        <v>2005</v>
      </c>
      <c r="G2024" s="6">
        <v>0</v>
      </c>
      <c r="H2024" s="6">
        <v>0</v>
      </c>
      <c r="I2024" s="6">
        <v>0</v>
      </c>
      <c r="J2024" s="6">
        <v>0</v>
      </c>
    </row>
    <row r="2025" spans="2:10" outlineLevel="1" x14ac:dyDescent="0.25">
      <c r="B2025" s="3" t="s">
        <v>1234</v>
      </c>
      <c r="C2025" s="3" t="s">
        <v>1235</v>
      </c>
      <c r="D2025" s="3" t="s">
        <v>1236</v>
      </c>
      <c r="E2025" s="3" t="s">
        <v>80</v>
      </c>
      <c r="F2025" s="3" t="s">
        <v>2006</v>
      </c>
      <c r="G2025" s="6">
        <v>0</v>
      </c>
      <c r="H2025" s="6">
        <v>0</v>
      </c>
      <c r="I2025" s="6">
        <v>0</v>
      </c>
      <c r="J2025" s="6">
        <v>0</v>
      </c>
    </row>
    <row r="2026" spans="2:10" outlineLevel="1" x14ac:dyDescent="0.25">
      <c r="B2026" s="3" t="s">
        <v>1234</v>
      </c>
      <c r="C2026" s="3" t="s">
        <v>1235</v>
      </c>
      <c r="D2026" s="3" t="s">
        <v>1236</v>
      </c>
      <c r="E2026" s="3" t="s">
        <v>60</v>
      </c>
      <c r="F2026" s="3" t="s">
        <v>2007</v>
      </c>
      <c r="G2026" s="6">
        <v>0</v>
      </c>
      <c r="H2026" s="6">
        <v>0</v>
      </c>
      <c r="I2026" s="6">
        <v>0</v>
      </c>
      <c r="J2026" s="6">
        <v>0</v>
      </c>
    </row>
    <row r="2027" spans="2:10" outlineLevel="1" x14ac:dyDescent="0.25">
      <c r="B2027" s="3" t="s">
        <v>1234</v>
      </c>
      <c r="C2027" s="3" t="s">
        <v>1235</v>
      </c>
      <c r="D2027" s="3" t="s">
        <v>1236</v>
      </c>
      <c r="E2027" s="3" t="s">
        <v>442</v>
      </c>
      <c r="F2027" s="3" t="s">
        <v>2008</v>
      </c>
      <c r="G2027" s="6">
        <v>0</v>
      </c>
      <c r="H2027" s="6">
        <v>0</v>
      </c>
      <c r="I2027" s="6">
        <v>0</v>
      </c>
      <c r="J2027" s="6">
        <v>0</v>
      </c>
    </row>
    <row r="2028" spans="2:10" outlineLevel="1" x14ac:dyDescent="0.25">
      <c r="B2028" s="3" t="s">
        <v>1234</v>
      </c>
      <c r="C2028" s="3" t="s">
        <v>1235</v>
      </c>
      <c r="D2028" s="3" t="s">
        <v>1236</v>
      </c>
      <c r="E2028" s="3" t="s">
        <v>2009</v>
      </c>
      <c r="F2028" s="3" t="s">
        <v>2010</v>
      </c>
      <c r="G2028" s="6">
        <v>0</v>
      </c>
      <c r="H2028" s="6">
        <v>0</v>
      </c>
      <c r="I2028" s="6">
        <v>0</v>
      </c>
      <c r="J2028" s="6">
        <v>0</v>
      </c>
    </row>
    <row r="2029" spans="2:10" outlineLevel="1" x14ac:dyDescent="0.25">
      <c r="B2029" s="3" t="s">
        <v>1234</v>
      </c>
      <c r="C2029" s="3" t="s">
        <v>1235</v>
      </c>
      <c r="D2029" s="3" t="s">
        <v>1236</v>
      </c>
      <c r="E2029" s="3" t="s">
        <v>2011</v>
      </c>
      <c r="F2029" s="3" t="s">
        <v>2012</v>
      </c>
      <c r="G2029" s="6">
        <v>0</v>
      </c>
      <c r="H2029" s="6">
        <v>0</v>
      </c>
      <c r="I2029" s="6">
        <v>0</v>
      </c>
      <c r="J2029" s="6">
        <v>0</v>
      </c>
    </row>
    <row r="2030" spans="2:10" outlineLevel="1" x14ac:dyDescent="0.25">
      <c r="B2030" s="3" t="s">
        <v>1234</v>
      </c>
      <c r="C2030" s="3" t="s">
        <v>1235</v>
      </c>
      <c r="D2030" s="3" t="s">
        <v>1236</v>
      </c>
      <c r="E2030" s="3" t="s">
        <v>2013</v>
      </c>
      <c r="F2030" s="3" t="s">
        <v>2014</v>
      </c>
      <c r="G2030" s="6">
        <v>0</v>
      </c>
      <c r="H2030" s="6">
        <v>0</v>
      </c>
      <c r="I2030" s="6">
        <v>0</v>
      </c>
      <c r="J2030" s="6">
        <v>0</v>
      </c>
    </row>
    <row r="2031" spans="2:10" outlineLevel="1" x14ac:dyDescent="0.25">
      <c r="B2031" s="3" t="s">
        <v>1234</v>
      </c>
      <c r="C2031" s="3" t="s">
        <v>1235</v>
      </c>
      <c r="D2031" s="3" t="s">
        <v>1236</v>
      </c>
      <c r="E2031" s="3" t="s">
        <v>58</v>
      </c>
      <c r="F2031" s="3" t="s">
        <v>2015</v>
      </c>
      <c r="G2031" s="6">
        <v>0</v>
      </c>
      <c r="H2031" s="6">
        <v>0</v>
      </c>
      <c r="I2031" s="6">
        <v>0</v>
      </c>
      <c r="J2031" s="6">
        <v>0</v>
      </c>
    </row>
    <row r="2032" spans="2:10" outlineLevel="1" x14ac:dyDescent="0.25">
      <c r="B2032" s="3" t="s">
        <v>1234</v>
      </c>
      <c r="C2032" s="3" t="s">
        <v>1235</v>
      </c>
      <c r="D2032" s="3" t="s">
        <v>1236</v>
      </c>
      <c r="E2032" s="3" t="s">
        <v>440</v>
      </c>
      <c r="F2032" s="3" t="s">
        <v>2016</v>
      </c>
      <c r="G2032" s="6">
        <v>0</v>
      </c>
      <c r="H2032" s="6">
        <v>0</v>
      </c>
      <c r="I2032" s="6">
        <v>0</v>
      </c>
      <c r="J2032" s="6">
        <v>0</v>
      </c>
    </row>
    <row r="2033" spans="2:10" outlineLevel="1" x14ac:dyDescent="0.25">
      <c r="B2033" s="3" t="s">
        <v>1234</v>
      </c>
      <c r="C2033" s="3" t="s">
        <v>1235</v>
      </c>
      <c r="D2033" s="3" t="s">
        <v>1236</v>
      </c>
      <c r="E2033" s="3" t="s">
        <v>608</v>
      </c>
      <c r="F2033" s="3" t="s">
        <v>2017</v>
      </c>
      <c r="G2033" s="6">
        <v>0</v>
      </c>
      <c r="H2033" s="6">
        <v>0</v>
      </c>
      <c r="I2033" s="6">
        <v>0</v>
      </c>
      <c r="J2033" s="6">
        <v>0</v>
      </c>
    </row>
    <row r="2034" spans="2:10" outlineLevel="1" x14ac:dyDescent="0.25">
      <c r="B2034" s="3" t="s">
        <v>1234</v>
      </c>
      <c r="C2034" s="3" t="s">
        <v>1235</v>
      </c>
      <c r="D2034" s="3" t="s">
        <v>1236</v>
      </c>
      <c r="E2034" s="3" t="s">
        <v>64</v>
      </c>
      <c r="F2034" s="3" t="s">
        <v>2018</v>
      </c>
      <c r="G2034" s="6">
        <v>0</v>
      </c>
      <c r="H2034" s="6">
        <v>0</v>
      </c>
      <c r="I2034" s="6">
        <v>0</v>
      </c>
      <c r="J2034" s="6">
        <v>0</v>
      </c>
    </row>
    <row r="2035" spans="2:10" outlineLevel="1" x14ac:dyDescent="0.25">
      <c r="B2035" s="3" t="s">
        <v>1234</v>
      </c>
      <c r="C2035" s="3" t="s">
        <v>1235</v>
      </c>
      <c r="D2035" s="3" t="s">
        <v>1236</v>
      </c>
      <c r="E2035" s="3" t="s">
        <v>84</v>
      </c>
      <c r="F2035" s="3" t="s">
        <v>2019</v>
      </c>
      <c r="G2035" s="6">
        <v>0</v>
      </c>
      <c r="H2035" s="6">
        <v>0</v>
      </c>
      <c r="I2035" s="6">
        <v>0</v>
      </c>
      <c r="J2035" s="6">
        <v>0</v>
      </c>
    </row>
    <row r="2036" spans="2:10" outlineLevel="1" x14ac:dyDescent="0.25">
      <c r="B2036" s="3" t="s">
        <v>1234</v>
      </c>
      <c r="C2036" s="3" t="s">
        <v>1235</v>
      </c>
      <c r="D2036" s="3" t="s">
        <v>1236</v>
      </c>
      <c r="E2036" s="3" t="s">
        <v>370</v>
      </c>
      <c r="F2036" s="3" t="s">
        <v>2020</v>
      </c>
      <c r="G2036" s="6">
        <v>0</v>
      </c>
      <c r="H2036" s="6">
        <v>0</v>
      </c>
      <c r="I2036" s="6">
        <v>0</v>
      </c>
      <c r="J2036" s="6">
        <v>0</v>
      </c>
    </row>
    <row r="2037" spans="2:10" outlineLevel="1" x14ac:dyDescent="0.25">
      <c r="B2037" s="3" t="s">
        <v>1234</v>
      </c>
      <c r="C2037" s="3" t="s">
        <v>1235</v>
      </c>
      <c r="D2037" s="3" t="s">
        <v>1236</v>
      </c>
      <c r="E2037" s="3" t="s">
        <v>2021</v>
      </c>
      <c r="F2037" s="3" t="s">
        <v>2022</v>
      </c>
      <c r="G2037" s="6">
        <v>0</v>
      </c>
      <c r="H2037" s="6">
        <v>0</v>
      </c>
      <c r="I2037" s="6">
        <v>0</v>
      </c>
      <c r="J2037" s="6">
        <v>0</v>
      </c>
    </row>
    <row r="2038" spans="2:10" outlineLevel="1" x14ac:dyDescent="0.25">
      <c r="B2038" s="3" t="s">
        <v>1234</v>
      </c>
      <c r="C2038" s="3" t="s">
        <v>1235</v>
      </c>
      <c r="D2038" s="3" t="s">
        <v>1236</v>
      </c>
      <c r="E2038" s="3" t="s">
        <v>86</v>
      </c>
      <c r="F2038" s="3" t="s">
        <v>2023</v>
      </c>
      <c r="G2038" s="6">
        <v>0</v>
      </c>
      <c r="H2038" s="6">
        <v>0</v>
      </c>
      <c r="I2038" s="6">
        <v>0</v>
      </c>
      <c r="J2038" s="6">
        <v>0</v>
      </c>
    </row>
    <row r="2039" spans="2:10" outlineLevel="1" x14ac:dyDescent="0.25">
      <c r="B2039" s="3" t="s">
        <v>1234</v>
      </c>
      <c r="C2039" s="3" t="s">
        <v>1235</v>
      </c>
      <c r="D2039" s="3" t="s">
        <v>1236</v>
      </c>
      <c r="E2039" s="3" t="s">
        <v>2024</v>
      </c>
      <c r="F2039" s="3" t="s">
        <v>2025</v>
      </c>
      <c r="G2039" s="6">
        <v>0</v>
      </c>
      <c r="H2039" s="6">
        <v>0</v>
      </c>
      <c r="I2039" s="6">
        <v>0</v>
      </c>
      <c r="J2039" s="6">
        <v>0</v>
      </c>
    </row>
    <row r="2040" spans="2:10" outlineLevel="1" x14ac:dyDescent="0.25">
      <c r="B2040" s="3" t="s">
        <v>1234</v>
      </c>
      <c r="C2040" s="3" t="s">
        <v>1235</v>
      </c>
      <c r="D2040" s="3" t="s">
        <v>1236</v>
      </c>
      <c r="E2040" s="3" t="s">
        <v>494</v>
      </c>
      <c r="F2040" s="3" t="s">
        <v>2026</v>
      </c>
      <c r="G2040" s="6">
        <v>0</v>
      </c>
      <c r="H2040" s="6">
        <v>0</v>
      </c>
      <c r="I2040" s="6">
        <v>0</v>
      </c>
      <c r="J2040" s="6">
        <v>0</v>
      </c>
    </row>
    <row r="2041" spans="2:10" outlineLevel="1" x14ac:dyDescent="0.25">
      <c r="B2041" s="3" t="s">
        <v>1234</v>
      </c>
      <c r="C2041" s="3" t="s">
        <v>1235</v>
      </c>
      <c r="D2041" s="3" t="s">
        <v>1236</v>
      </c>
      <c r="E2041" s="3" t="s">
        <v>426</v>
      </c>
      <c r="F2041" s="3" t="s">
        <v>2027</v>
      </c>
      <c r="G2041" s="6">
        <v>0</v>
      </c>
      <c r="H2041" s="6">
        <v>0</v>
      </c>
      <c r="I2041" s="6">
        <v>0</v>
      </c>
      <c r="J2041" s="6">
        <v>0</v>
      </c>
    </row>
    <row r="2042" spans="2:10" outlineLevel="1" x14ac:dyDescent="0.25">
      <c r="B2042" s="3" t="s">
        <v>1234</v>
      </c>
      <c r="C2042" s="3" t="s">
        <v>1235</v>
      </c>
      <c r="D2042" s="3" t="s">
        <v>1236</v>
      </c>
      <c r="E2042" s="3" t="s">
        <v>56</v>
      </c>
      <c r="F2042" s="3" t="s">
        <v>2028</v>
      </c>
      <c r="G2042" s="6">
        <v>0</v>
      </c>
      <c r="H2042" s="6">
        <v>0</v>
      </c>
      <c r="I2042" s="6">
        <v>0</v>
      </c>
      <c r="J2042" s="6">
        <v>0</v>
      </c>
    </row>
    <row r="2043" spans="2:10" outlineLevel="1" x14ac:dyDescent="0.25">
      <c r="B2043" s="3" t="s">
        <v>1234</v>
      </c>
      <c r="C2043" s="3" t="s">
        <v>1235</v>
      </c>
      <c r="D2043" s="3" t="s">
        <v>1236</v>
      </c>
      <c r="E2043" s="3" t="s">
        <v>358</v>
      </c>
      <c r="F2043" s="3" t="s">
        <v>2029</v>
      </c>
      <c r="G2043" s="6">
        <v>0</v>
      </c>
      <c r="H2043" s="6">
        <v>0</v>
      </c>
      <c r="I2043" s="6">
        <v>0</v>
      </c>
      <c r="J2043" s="6">
        <v>0</v>
      </c>
    </row>
    <row r="2044" spans="2:10" outlineLevel="1" x14ac:dyDescent="0.25">
      <c r="B2044" s="3" t="s">
        <v>1234</v>
      </c>
      <c r="C2044" s="3" t="s">
        <v>1235</v>
      </c>
      <c r="D2044" s="3" t="s">
        <v>1236</v>
      </c>
      <c r="E2044" s="3" t="s">
        <v>614</v>
      </c>
      <c r="F2044" s="3" t="s">
        <v>2030</v>
      </c>
      <c r="G2044" s="6">
        <v>0</v>
      </c>
      <c r="H2044" s="6">
        <v>0</v>
      </c>
      <c r="I2044" s="6">
        <v>0</v>
      </c>
      <c r="J2044" s="6">
        <v>0</v>
      </c>
    </row>
    <row r="2045" spans="2:10" outlineLevel="1" x14ac:dyDescent="0.25">
      <c r="B2045" s="3" t="s">
        <v>1234</v>
      </c>
      <c r="C2045" s="3" t="s">
        <v>1235</v>
      </c>
      <c r="D2045" s="3" t="s">
        <v>1236</v>
      </c>
      <c r="E2045" s="3" t="s">
        <v>350</v>
      </c>
      <c r="F2045" s="3" t="s">
        <v>2031</v>
      </c>
      <c r="G2045" s="6">
        <v>0</v>
      </c>
      <c r="H2045" s="6">
        <v>0</v>
      </c>
      <c r="I2045" s="6">
        <v>0</v>
      </c>
      <c r="J2045" s="6">
        <v>0</v>
      </c>
    </row>
    <row r="2046" spans="2:10" outlineLevel="1" x14ac:dyDescent="0.25">
      <c r="B2046" s="3" t="s">
        <v>1234</v>
      </c>
      <c r="C2046" s="3" t="s">
        <v>1235</v>
      </c>
      <c r="D2046" s="3" t="s">
        <v>1236</v>
      </c>
      <c r="E2046" s="3" t="s">
        <v>348</v>
      </c>
      <c r="F2046" s="3" t="s">
        <v>2032</v>
      </c>
      <c r="G2046" s="6">
        <v>0</v>
      </c>
      <c r="H2046" s="6">
        <v>0</v>
      </c>
      <c r="I2046" s="6">
        <v>0</v>
      </c>
      <c r="J2046" s="6">
        <v>0</v>
      </c>
    </row>
    <row r="2047" spans="2:10" outlineLevel="1" x14ac:dyDescent="0.25">
      <c r="B2047" s="3" t="s">
        <v>1234</v>
      </c>
      <c r="C2047" s="3" t="s">
        <v>1235</v>
      </c>
      <c r="D2047" s="3" t="s">
        <v>1236</v>
      </c>
      <c r="E2047" s="3" t="s">
        <v>88</v>
      </c>
      <c r="F2047" s="3" t="s">
        <v>2033</v>
      </c>
      <c r="G2047" s="6">
        <v>0</v>
      </c>
      <c r="H2047" s="6">
        <v>0</v>
      </c>
      <c r="I2047" s="6">
        <v>0</v>
      </c>
      <c r="J2047" s="6">
        <v>0</v>
      </c>
    </row>
    <row r="2048" spans="2:10" outlineLevel="1" x14ac:dyDescent="0.25">
      <c r="B2048" s="3" t="s">
        <v>1234</v>
      </c>
      <c r="C2048" s="3" t="s">
        <v>1235</v>
      </c>
      <c r="D2048" s="3" t="s">
        <v>1236</v>
      </c>
      <c r="E2048" s="3" t="s">
        <v>362</v>
      </c>
      <c r="F2048" s="3" t="s">
        <v>2034</v>
      </c>
      <c r="G2048" s="6">
        <v>0</v>
      </c>
      <c r="H2048" s="6">
        <v>0</v>
      </c>
      <c r="I2048" s="6">
        <v>0</v>
      </c>
      <c r="J2048" s="6">
        <v>0</v>
      </c>
    </row>
    <row r="2049" spans="2:10" outlineLevel="1" x14ac:dyDescent="0.25">
      <c r="B2049" s="3" t="s">
        <v>1234</v>
      </c>
      <c r="C2049" s="3" t="s">
        <v>1235</v>
      </c>
      <c r="D2049" s="3" t="s">
        <v>1236</v>
      </c>
      <c r="E2049" s="3" t="s">
        <v>364</v>
      </c>
      <c r="F2049" s="3" t="s">
        <v>2035</v>
      </c>
      <c r="G2049" s="6">
        <v>0</v>
      </c>
      <c r="H2049" s="6">
        <v>0</v>
      </c>
      <c r="I2049" s="6">
        <v>0</v>
      </c>
      <c r="J2049" s="6">
        <v>0</v>
      </c>
    </row>
    <row r="2050" spans="2:10" outlineLevel="1" x14ac:dyDescent="0.25">
      <c r="B2050" s="3" t="s">
        <v>1234</v>
      </c>
      <c r="C2050" s="3" t="s">
        <v>1235</v>
      </c>
      <c r="D2050" s="3" t="s">
        <v>1236</v>
      </c>
      <c r="E2050" s="3" t="s">
        <v>90</v>
      </c>
      <c r="F2050" s="3" t="s">
        <v>2036</v>
      </c>
      <c r="G2050" s="6">
        <v>0</v>
      </c>
      <c r="H2050" s="6">
        <v>0</v>
      </c>
      <c r="I2050" s="6">
        <v>0</v>
      </c>
      <c r="J2050" s="6">
        <v>0</v>
      </c>
    </row>
    <row r="2051" spans="2:10" outlineLevel="1" x14ac:dyDescent="0.25">
      <c r="B2051" s="3" t="s">
        <v>1234</v>
      </c>
      <c r="C2051" s="3" t="s">
        <v>1235</v>
      </c>
      <c r="D2051" s="3" t="s">
        <v>1236</v>
      </c>
      <c r="E2051" s="3" t="s">
        <v>354</v>
      </c>
      <c r="F2051" s="3" t="s">
        <v>2037</v>
      </c>
      <c r="G2051" s="6">
        <v>0</v>
      </c>
      <c r="H2051" s="6">
        <v>0</v>
      </c>
      <c r="I2051" s="6">
        <v>0</v>
      </c>
      <c r="J2051" s="6">
        <v>0</v>
      </c>
    </row>
    <row r="2052" spans="2:10" outlineLevel="1" x14ac:dyDescent="0.25">
      <c r="B2052" s="3" t="s">
        <v>1234</v>
      </c>
      <c r="C2052" s="3" t="s">
        <v>1235</v>
      </c>
      <c r="D2052" s="3" t="s">
        <v>1236</v>
      </c>
      <c r="E2052" s="3" t="s">
        <v>62</v>
      </c>
      <c r="F2052" s="3" t="s">
        <v>2038</v>
      </c>
      <c r="G2052" s="6">
        <v>0</v>
      </c>
      <c r="H2052" s="6">
        <v>0</v>
      </c>
      <c r="I2052" s="6">
        <v>0</v>
      </c>
      <c r="J2052" s="6">
        <v>0</v>
      </c>
    </row>
    <row r="2053" spans="2:10" outlineLevel="1" x14ac:dyDescent="0.25">
      <c r="B2053" s="3" t="s">
        <v>1234</v>
      </c>
      <c r="C2053" s="3" t="s">
        <v>1235</v>
      </c>
      <c r="D2053" s="3" t="s">
        <v>1236</v>
      </c>
      <c r="E2053" s="3" t="s">
        <v>366</v>
      </c>
      <c r="F2053" s="3" t="s">
        <v>2039</v>
      </c>
      <c r="G2053" s="6">
        <v>0</v>
      </c>
      <c r="H2053" s="6">
        <v>0</v>
      </c>
      <c r="I2053" s="6">
        <v>0</v>
      </c>
      <c r="J2053" s="6">
        <v>0</v>
      </c>
    </row>
    <row r="2054" spans="2:10" outlineLevel="1" x14ac:dyDescent="0.25">
      <c r="B2054" s="3" t="s">
        <v>1234</v>
      </c>
      <c r="C2054" s="3" t="s">
        <v>1235</v>
      </c>
      <c r="D2054" s="3" t="s">
        <v>1236</v>
      </c>
      <c r="E2054" s="3" t="s">
        <v>356</v>
      </c>
      <c r="F2054" s="3" t="s">
        <v>2040</v>
      </c>
      <c r="G2054" s="6">
        <v>0</v>
      </c>
      <c r="H2054" s="6">
        <v>0</v>
      </c>
      <c r="I2054" s="6">
        <v>0</v>
      </c>
      <c r="J2054" s="6">
        <v>0</v>
      </c>
    </row>
    <row r="2055" spans="2:10" outlineLevel="1" x14ac:dyDescent="0.25">
      <c r="B2055" s="3" t="s">
        <v>1234</v>
      </c>
      <c r="C2055" s="3" t="s">
        <v>1235</v>
      </c>
      <c r="D2055" s="3" t="s">
        <v>1236</v>
      </c>
      <c r="E2055" s="3" t="s">
        <v>2041</v>
      </c>
      <c r="F2055" s="3" t="s">
        <v>2042</v>
      </c>
      <c r="G2055" s="6">
        <v>0</v>
      </c>
      <c r="H2055" s="6">
        <v>0</v>
      </c>
      <c r="I2055" s="6">
        <v>0</v>
      </c>
      <c r="J2055" s="6">
        <v>0</v>
      </c>
    </row>
    <row r="2056" spans="2:10" outlineLevel="1" x14ac:dyDescent="0.25">
      <c r="B2056" s="3" t="s">
        <v>1234</v>
      </c>
      <c r="C2056" s="3" t="s">
        <v>1235</v>
      </c>
      <c r="D2056" s="3" t="s">
        <v>1236</v>
      </c>
      <c r="E2056" s="3" t="s">
        <v>2043</v>
      </c>
      <c r="F2056" s="3" t="s">
        <v>2044</v>
      </c>
      <c r="G2056" s="6">
        <v>0</v>
      </c>
      <c r="H2056" s="6">
        <v>0</v>
      </c>
      <c r="I2056" s="6">
        <v>0</v>
      </c>
      <c r="J2056" s="6">
        <v>0</v>
      </c>
    </row>
    <row r="2057" spans="2:10" outlineLevel="1" x14ac:dyDescent="0.25">
      <c r="B2057" s="3" t="s">
        <v>1234</v>
      </c>
      <c r="C2057" s="3" t="s">
        <v>1235</v>
      </c>
      <c r="D2057" s="3" t="s">
        <v>1236</v>
      </c>
      <c r="E2057" s="3" t="s">
        <v>463</v>
      </c>
      <c r="F2057" s="3" t="s">
        <v>2045</v>
      </c>
      <c r="G2057" s="6">
        <v>0</v>
      </c>
      <c r="H2057" s="6">
        <v>0</v>
      </c>
      <c r="I2057" s="6">
        <v>0</v>
      </c>
      <c r="J2057" s="6">
        <v>0</v>
      </c>
    </row>
    <row r="2058" spans="2:10" outlineLevel="1" x14ac:dyDescent="0.25">
      <c r="B2058" s="3" t="s">
        <v>1234</v>
      </c>
      <c r="C2058" s="3" t="s">
        <v>1235</v>
      </c>
      <c r="D2058" s="3" t="s">
        <v>1236</v>
      </c>
      <c r="E2058" s="3" t="s">
        <v>92</v>
      </c>
      <c r="F2058" s="3" t="s">
        <v>2046</v>
      </c>
      <c r="G2058" s="6">
        <v>0</v>
      </c>
      <c r="H2058" s="6">
        <v>0</v>
      </c>
      <c r="I2058" s="6">
        <v>0</v>
      </c>
      <c r="J2058" s="6">
        <v>0</v>
      </c>
    </row>
    <row r="2059" spans="2:10" outlineLevel="1" x14ac:dyDescent="0.25">
      <c r="B2059" s="3" t="s">
        <v>1234</v>
      </c>
      <c r="C2059" s="3" t="s">
        <v>1235</v>
      </c>
      <c r="D2059" s="3" t="s">
        <v>1236</v>
      </c>
      <c r="E2059" s="3" t="s">
        <v>2047</v>
      </c>
      <c r="F2059" s="3" t="s">
        <v>2048</v>
      </c>
      <c r="G2059" s="6">
        <v>0</v>
      </c>
      <c r="H2059" s="6">
        <v>0</v>
      </c>
      <c r="I2059" s="6">
        <v>0</v>
      </c>
      <c r="J2059" s="6">
        <v>0</v>
      </c>
    </row>
    <row r="2060" spans="2:10" outlineLevel="1" x14ac:dyDescent="0.25">
      <c r="B2060" s="3" t="s">
        <v>1234</v>
      </c>
      <c r="C2060" s="3" t="s">
        <v>1235</v>
      </c>
      <c r="D2060" s="3" t="s">
        <v>1236</v>
      </c>
      <c r="E2060" s="3" t="s">
        <v>2049</v>
      </c>
      <c r="F2060" s="3" t="s">
        <v>2050</v>
      </c>
      <c r="G2060" s="6">
        <v>0</v>
      </c>
      <c r="H2060" s="6">
        <v>0</v>
      </c>
      <c r="I2060" s="6">
        <v>0</v>
      </c>
      <c r="J2060" s="6">
        <v>0</v>
      </c>
    </row>
    <row r="2061" spans="2:10" outlineLevel="1" x14ac:dyDescent="0.25">
      <c r="B2061" s="3" t="s">
        <v>1234</v>
      </c>
      <c r="C2061" s="3" t="s">
        <v>1235</v>
      </c>
      <c r="D2061" s="3" t="s">
        <v>1236</v>
      </c>
      <c r="E2061" s="3" t="s">
        <v>2051</v>
      </c>
      <c r="F2061" s="3" t="s">
        <v>2052</v>
      </c>
      <c r="G2061" s="6">
        <v>0</v>
      </c>
      <c r="H2061" s="6">
        <v>0</v>
      </c>
      <c r="I2061" s="6">
        <v>0</v>
      </c>
      <c r="J2061" s="6">
        <v>0</v>
      </c>
    </row>
    <row r="2062" spans="2:10" outlineLevel="1" x14ac:dyDescent="0.25">
      <c r="B2062" s="3" t="s">
        <v>1234</v>
      </c>
      <c r="C2062" s="3" t="s">
        <v>1235</v>
      </c>
      <c r="D2062" s="3" t="s">
        <v>1236</v>
      </c>
      <c r="E2062" s="3" t="s">
        <v>221</v>
      </c>
      <c r="F2062" s="3" t="s">
        <v>2053</v>
      </c>
      <c r="G2062" s="6">
        <v>0</v>
      </c>
      <c r="H2062" s="6">
        <v>0</v>
      </c>
      <c r="I2062" s="6">
        <v>0</v>
      </c>
      <c r="J2062" s="6">
        <v>0</v>
      </c>
    </row>
    <row r="2063" spans="2:10" outlineLevel="1" x14ac:dyDescent="0.25">
      <c r="B2063" s="3" t="s">
        <v>1234</v>
      </c>
      <c r="C2063" s="3" t="s">
        <v>1235</v>
      </c>
      <c r="D2063" s="3" t="s">
        <v>1236</v>
      </c>
      <c r="E2063" s="3" t="s">
        <v>2054</v>
      </c>
      <c r="F2063" s="3" t="s">
        <v>2055</v>
      </c>
      <c r="G2063" s="6">
        <v>0</v>
      </c>
      <c r="H2063" s="6">
        <v>0</v>
      </c>
      <c r="I2063" s="6">
        <v>0</v>
      </c>
      <c r="J2063" s="6">
        <v>0</v>
      </c>
    </row>
    <row r="2064" spans="2:10" outlineLevel="1" x14ac:dyDescent="0.25">
      <c r="B2064" s="3" t="s">
        <v>1234</v>
      </c>
      <c r="C2064" s="3" t="s">
        <v>1235</v>
      </c>
      <c r="D2064" s="3" t="s">
        <v>1236</v>
      </c>
      <c r="E2064" s="3" t="s">
        <v>876</v>
      </c>
      <c r="F2064" s="3" t="s">
        <v>2056</v>
      </c>
      <c r="G2064" s="6">
        <v>0</v>
      </c>
      <c r="H2064" s="6">
        <v>0</v>
      </c>
      <c r="I2064" s="6">
        <v>0</v>
      </c>
      <c r="J2064" s="6">
        <v>0</v>
      </c>
    </row>
    <row r="2065" spans="2:10" outlineLevel="1" x14ac:dyDescent="0.25">
      <c r="B2065" s="3" t="s">
        <v>1234</v>
      </c>
      <c r="C2065" s="3" t="s">
        <v>1235</v>
      </c>
      <c r="D2065" s="3" t="s">
        <v>1236</v>
      </c>
      <c r="E2065" s="3" t="s">
        <v>2057</v>
      </c>
      <c r="F2065" s="3" t="s">
        <v>2058</v>
      </c>
      <c r="G2065" s="6">
        <v>0</v>
      </c>
      <c r="H2065" s="6">
        <v>0</v>
      </c>
      <c r="I2065" s="6">
        <v>0</v>
      </c>
      <c r="J2065" s="6">
        <v>0</v>
      </c>
    </row>
    <row r="2066" spans="2:10" outlineLevel="1" x14ac:dyDescent="0.25">
      <c r="B2066" s="3" t="s">
        <v>1234</v>
      </c>
      <c r="C2066" s="3" t="s">
        <v>1235</v>
      </c>
      <c r="D2066" s="3" t="s">
        <v>1236</v>
      </c>
      <c r="E2066" s="3" t="s">
        <v>2059</v>
      </c>
      <c r="F2066" s="3" t="s">
        <v>2060</v>
      </c>
      <c r="G2066" s="6">
        <v>0</v>
      </c>
      <c r="H2066" s="6">
        <v>0</v>
      </c>
      <c r="I2066" s="6">
        <v>0</v>
      </c>
      <c r="J2066" s="6">
        <v>0</v>
      </c>
    </row>
    <row r="2067" spans="2:10" outlineLevel="1" x14ac:dyDescent="0.25">
      <c r="B2067" s="3" t="s">
        <v>1234</v>
      </c>
      <c r="C2067" s="3" t="s">
        <v>1235</v>
      </c>
      <c r="D2067" s="3" t="s">
        <v>1236</v>
      </c>
      <c r="E2067" s="3" t="s">
        <v>372</v>
      </c>
      <c r="F2067" s="3" t="s">
        <v>2061</v>
      </c>
      <c r="G2067" s="6">
        <v>0</v>
      </c>
      <c r="H2067" s="6">
        <v>0</v>
      </c>
      <c r="I2067" s="6">
        <v>0</v>
      </c>
      <c r="J2067" s="6">
        <v>0</v>
      </c>
    </row>
    <row r="2068" spans="2:10" outlineLevel="1" x14ac:dyDescent="0.25">
      <c r="B2068" s="3" t="s">
        <v>1234</v>
      </c>
      <c r="C2068" s="3" t="s">
        <v>1235</v>
      </c>
      <c r="D2068" s="3" t="s">
        <v>1236</v>
      </c>
      <c r="E2068" s="3" t="s">
        <v>2062</v>
      </c>
      <c r="F2068" s="3" t="s">
        <v>2063</v>
      </c>
      <c r="G2068" s="6">
        <v>0</v>
      </c>
      <c r="H2068" s="6">
        <v>0</v>
      </c>
      <c r="I2068" s="6">
        <v>0</v>
      </c>
      <c r="J2068" s="6">
        <v>0</v>
      </c>
    </row>
    <row r="2069" spans="2:10" outlineLevel="1" x14ac:dyDescent="0.25">
      <c r="B2069" s="3" t="s">
        <v>1234</v>
      </c>
      <c r="C2069" s="3" t="s">
        <v>1235</v>
      </c>
      <c r="D2069" s="3" t="s">
        <v>1236</v>
      </c>
      <c r="E2069" s="3" t="s">
        <v>2064</v>
      </c>
      <c r="F2069" s="3" t="s">
        <v>2065</v>
      </c>
      <c r="G2069" s="6">
        <v>0</v>
      </c>
      <c r="H2069" s="6">
        <v>0</v>
      </c>
      <c r="I2069" s="6">
        <v>0</v>
      </c>
      <c r="J2069" s="6">
        <v>0</v>
      </c>
    </row>
    <row r="2070" spans="2:10" outlineLevel="1" x14ac:dyDescent="0.25">
      <c r="B2070" s="3" t="s">
        <v>1234</v>
      </c>
      <c r="C2070" s="3" t="s">
        <v>1235</v>
      </c>
      <c r="D2070" s="3" t="s">
        <v>1236</v>
      </c>
      <c r="E2070" s="3" t="s">
        <v>891</v>
      </c>
      <c r="F2070" s="3" t="s">
        <v>2066</v>
      </c>
      <c r="G2070" s="6">
        <v>0</v>
      </c>
      <c r="H2070" s="6">
        <v>0</v>
      </c>
      <c r="I2070" s="6">
        <v>0</v>
      </c>
      <c r="J2070" s="6">
        <v>0</v>
      </c>
    </row>
    <row r="2071" spans="2:10" outlineLevel="1" x14ac:dyDescent="0.25">
      <c r="B2071" s="3" t="s">
        <v>1234</v>
      </c>
      <c r="C2071" s="3" t="s">
        <v>1235</v>
      </c>
      <c r="D2071" s="3" t="s">
        <v>1236</v>
      </c>
      <c r="E2071" s="3" t="s">
        <v>739</v>
      </c>
      <c r="F2071" s="3" t="s">
        <v>2067</v>
      </c>
      <c r="G2071" s="6">
        <v>0</v>
      </c>
      <c r="H2071" s="6">
        <v>0</v>
      </c>
      <c r="I2071" s="6">
        <v>0</v>
      </c>
      <c r="J2071" s="6">
        <v>0</v>
      </c>
    </row>
    <row r="2072" spans="2:10" outlineLevel="1" x14ac:dyDescent="0.25">
      <c r="B2072" s="3" t="s">
        <v>1234</v>
      </c>
      <c r="C2072" s="3" t="s">
        <v>1235</v>
      </c>
      <c r="D2072" s="3" t="s">
        <v>1236</v>
      </c>
      <c r="E2072" s="3" t="s">
        <v>2068</v>
      </c>
      <c r="F2072" s="3" t="s">
        <v>2069</v>
      </c>
      <c r="G2072" s="6">
        <v>0</v>
      </c>
      <c r="H2072" s="6">
        <v>0</v>
      </c>
      <c r="I2072" s="6">
        <v>0</v>
      </c>
      <c r="J2072" s="6">
        <v>0</v>
      </c>
    </row>
    <row r="2073" spans="2:10" outlineLevel="1" x14ac:dyDescent="0.25">
      <c r="B2073" s="3" t="s">
        <v>1234</v>
      </c>
      <c r="C2073" s="3" t="s">
        <v>1235</v>
      </c>
      <c r="D2073" s="3" t="s">
        <v>1236</v>
      </c>
      <c r="E2073" s="3" t="s">
        <v>2070</v>
      </c>
      <c r="F2073" s="3" t="s">
        <v>2071</v>
      </c>
      <c r="G2073" s="6">
        <v>0</v>
      </c>
      <c r="H2073" s="6">
        <v>0</v>
      </c>
      <c r="I2073" s="6">
        <v>0</v>
      </c>
      <c r="J2073" s="6">
        <v>0</v>
      </c>
    </row>
    <row r="2074" spans="2:10" outlineLevel="1" x14ac:dyDescent="0.25">
      <c r="B2074" s="3" t="s">
        <v>1234</v>
      </c>
      <c r="C2074" s="3" t="s">
        <v>1235</v>
      </c>
      <c r="D2074" s="3" t="s">
        <v>1236</v>
      </c>
      <c r="E2074" s="3" t="s">
        <v>2072</v>
      </c>
      <c r="F2074" s="3" t="s">
        <v>2073</v>
      </c>
      <c r="G2074" s="6">
        <v>0</v>
      </c>
      <c r="H2074" s="6">
        <v>0</v>
      </c>
      <c r="I2074" s="6">
        <v>0</v>
      </c>
      <c r="J2074" s="6">
        <v>0</v>
      </c>
    </row>
    <row r="2075" spans="2:10" outlineLevel="1" x14ac:dyDescent="0.25">
      <c r="B2075" s="3" t="s">
        <v>1234</v>
      </c>
      <c r="C2075" s="3" t="s">
        <v>1235</v>
      </c>
      <c r="D2075" s="3" t="s">
        <v>1236</v>
      </c>
      <c r="E2075" s="3" t="s">
        <v>2074</v>
      </c>
      <c r="F2075" s="3" t="s">
        <v>2075</v>
      </c>
      <c r="G2075" s="6">
        <v>0</v>
      </c>
      <c r="H2075" s="6">
        <v>0</v>
      </c>
      <c r="I2075" s="6">
        <v>0</v>
      </c>
      <c r="J2075" s="6">
        <v>0</v>
      </c>
    </row>
    <row r="2076" spans="2:10" outlineLevel="1" x14ac:dyDescent="0.25">
      <c r="B2076" s="3" t="s">
        <v>1234</v>
      </c>
      <c r="C2076" s="3" t="s">
        <v>1235</v>
      </c>
      <c r="D2076" s="3" t="s">
        <v>1236</v>
      </c>
      <c r="E2076" s="3" t="s">
        <v>2076</v>
      </c>
      <c r="F2076" s="3" t="s">
        <v>2077</v>
      </c>
      <c r="G2076" s="6">
        <v>0</v>
      </c>
      <c r="H2076" s="6">
        <v>0</v>
      </c>
      <c r="I2076" s="6">
        <v>0</v>
      </c>
      <c r="J2076" s="6">
        <v>0</v>
      </c>
    </row>
    <row r="2077" spans="2:10" outlineLevel="1" x14ac:dyDescent="0.25">
      <c r="B2077" s="3" t="s">
        <v>1234</v>
      </c>
      <c r="C2077" s="3" t="s">
        <v>1235</v>
      </c>
      <c r="D2077" s="3" t="s">
        <v>1236</v>
      </c>
      <c r="E2077" s="3" t="s">
        <v>2078</v>
      </c>
      <c r="F2077" s="3" t="s">
        <v>2079</v>
      </c>
      <c r="G2077" s="6">
        <v>0</v>
      </c>
      <c r="H2077" s="6">
        <v>0</v>
      </c>
      <c r="I2077" s="6">
        <v>0</v>
      </c>
      <c r="J2077" s="6">
        <v>0</v>
      </c>
    </row>
    <row r="2078" spans="2:10" outlineLevel="1" x14ac:dyDescent="0.25">
      <c r="B2078" s="3" t="s">
        <v>1234</v>
      </c>
      <c r="C2078" s="3" t="s">
        <v>1235</v>
      </c>
      <c r="D2078" s="3" t="s">
        <v>1236</v>
      </c>
      <c r="E2078" s="3" t="s">
        <v>874</v>
      </c>
      <c r="F2078" s="3" t="s">
        <v>2080</v>
      </c>
      <c r="G2078" s="6">
        <v>0</v>
      </c>
      <c r="H2078" s="6">
        <v>0</v>
      </c>
      <c r="I2078" s="6">
        <v>0</v>
      </c>
      <c r="J2078" s="6">
        <v>0</v>
      </c>
    </row>
    <row r="2079" spans="2:10" outlineLevel="1" x14ac:dyDescent="0.25">
      <c r="B2079" s="3" t="s">
        <v>1234</v>
      </c>
      <c r="C2079" s="3" t="s">
        <v>1235</v>
      </c>
      <c r="D2079" s="3" t="s">
        <v>1236</v>
      </c>
      <c r="E2079" s="3" t="s">
        <v>496</v>
      </c>
      <c r="F2079" s="3" t="s">
        <v>2081</v>
      </c>
      <c r="G2079" s="6">
        <v>0</v>
      </c>
      <c r="H2079" s="6">
        <v>0</v>
      </c>
      <c r="I2079" s="6">
        <v>0</v>
      </c>
      <c r="J2079" s="6">
        <v>0</v>
      </c>
    </row>
    <row r="2080" spans="2:10" outlineLevel="1" x14ac:dyDescent="0.25">
      <c r="B2080" s="3" t="s">
        <v>1234</v>
      </c>
      <c r="C2080" s="3" t="s">
        <v>1235</v>
      </c>
      <c r="D2080" s="3" t="s">
        <v>1236</v>
      </c>
      <c r="E2080" s="3" t="s">
        <v>175</v>
      </c>
      <c r="F2080" s="3" t="s">
        <v>2082</v>
      </c>
      <c r="G2080" s="6">
        <v>0</v>
      </c>
      <c r="H2080" s="6">
        <v>0</v>
      </c>
      <c r="I2080" s="6">
        <v>0</v>
      </c>
      <c r="J2080" s="6">
        <v>0</v>
      </c>
    </row>
    <row r="2081" spans="2:10" outlineLevel="1" x14ac:dyDescent="0.25">
      <c r="B2081" s="3" t="s">
        <v>1234</v>
      </c>
      <c r="C2081" s="3" t="s">
        <v>1235</v>
      </c>
      <c r="D2081" s="3" t="s">
        <v>1236</v>
      </c>
      <c r="E2081" s="3" t="s">
        <v>2083</v>
      </c>
      <c r="F2081" s="3" t="s">
        <v>2084</v>
      </c>
      <c r="G2081" s="6">
        <v>0</v>
      </c>
      <c r="H2081" s="6">
        <v>0</v>
      </c>
      <c r="I2081" s="6">
        <v>0</v>
      </c>
      <c r="J2081" s="6">
        <v>0</v>
      </c>
    </row>
    <row r="2082" spans="2:10" outlineLevel="1" x14ac:dyDescent="0.25">
      <c r="B2082" s="3" t="s">
        <v>1234</v>
      </c>
      <c r="C2082" s="3" t="s">
        <v>1235</v>
      </c>
      <c r="D2082" s="3" t="s">
        <v>1236</v>
      </c>
      <c r="E2082" s="3" t="s">
        <v>1062</v>
      </c>
      <c r="F2082" s="3" t="s">
        <v>2085</v>
      </c>
      <c r="G2082" s="6">
        <v>0</v>
      </c>
      <c r="H2082" s="6">
        <v>0</v>
      </c>
      <c r="I2082" s="6">
        <v>0</v>
      </c>
      <c r="J2082" s="6">
        <v>0</v>
      </c>
    </row>
    <row r="2083" spans="2:10" outlineLevel="1" x14ac:dyDescent="0.25">
      <c r="B2083" s="3" t="s">
        <v>1234</v>
      </c>
      <c r="C2083" s="3" t="s">
        <v>1235</v>
      </c>
      <c r="D2083" s="3" t="s">
        <v>1236</v>
      </c>
      <c r="E2083" s="3" t="s">
        <v>2086</v>
      </c>
      <c r="F2083" s="3" t="s">
        <v>2087</v>
      </c>
      <c r="G2083" s="6">
        <v>0</v>
      </c>
      <c r="H2083" s="6">
        <v>0</v>
      </c>
      <c r="I2083" s="6">
        <v>0</v>
      </c>
      <c r="J2083" s="6">
        <v>0</v>
      </c>
    </row>
    <row r="2084" spans="2:10" outlineLevel="1" x14ac:dyDescent="0.25">
      <c r="B2084" s="3" t="s">
        <v>1234</v>
      </c>
      <c r="C2084" s="3" t="s">
        <v>1235</v>
      </c>
      <c r="D2084" s="3" t="s">
        <v>1236</v>
      </c>
      <c r="E2084" s="3" t="s">
        <v>2088</v>
      </c>
      <c r="F2084" s="3" t="s">
        <v>2089</v>
      </c>
      <c r="G2084" s="6">
        <v>0</v>
      </c>
      <c r="H2084" s="6">
        <v>0</v>
      </c>
      <c r="I2084" s="6">
        <v>0</v>
      </c>
      <c r="J2084" s="6">
        <v>0</v>
      </c>
    </row>
    <row r="2085" spans="2:10" outlineLevel="1" x14ac:dyDescent="0.25">
      <c r="B2085" s="3" t="s">
        <v>1234</v>
      </c>
      <c r="C2085" s="3" t="s">
        <v>1235</v>
      </c>
      <c r="D2085" s="3" t="s">
        <v>1236</v>
      </c>
      <c r="E2085" s="3" t="s">
        <v>335</v>
      </c>
      <c r="F2085" s="3" t="s">
        <v>2090</v>
      </c>
      <c r="G2085" s="6">
        <v>0</v>
      </c>
      <c r="H2085" s="6">
        <v>0</v>
      </c>
      <c r="I2085" s="6">
        <v>0</v>
      </c>
      <c r="J2085" s="6">
        <v>0</v>
      </c>
    </row>
    <row r="2086" spans="2:10" outlineLevel="1" x14ac:dyDescent="0.25">
      <c r="B2086" s="3" t="s">
        <v>1234</v>
      </c>
      <c r="C2086" s="3" t="s">
        <v>1235</v>
      </c>
      <c r="D2086" s="3" t="s">
        <v>1236</v>
      </c>
      <c r="E2086" s="3" t="s">
        <v>2091</v>
      </c>
      <c r="F2086" s="3" t="s">
        <v>2092</v>
      </c>
      <c r="G2086" s="6">
        <v>0</v>
      </c>
      <c r="H2086" s="6">
        <v>0</v>
      </c>
      <c r="I2086" s="6">
        <v>0</v>
      </c>
      <c r="J2086" s="6">
        <v>0</v>
      </c>
    </row>
    <row r="2087" spans="2:10" outlineLevel="1" x14ac:dyDescent="0.25">
      <c r="B2087" s="3" t="s">
        <v>1234</v>
      </c>
      <c r="C2087" s="3" t="s">
        <v>1235</v>
      </c>
      <c r="D2087" s="3" t="s">
        <v>1236</v>
      </c>
      <c r="E2087" s="3" t="s">
        <v>2093</v>
      </c>
      <c r="F2087" s="3" t="s">
        <v>2094</v>
      </c>
      <c r="G2087" s="6">
        <v>0</v>
      </c>
      <c r="H2087" s="6">
        <v>0</v>
      </c>
      <c r="I2087" s="6">
        <v>0</v>
      </c>
      <c r="J2087" s="6">
        <v>0</v>
      </c>
    </row>
    <row r="2088" spans="2:10" outlineLevel="1" x14ac:dyDescent="0.25">
      <c r="B2088" s="3" t="s">
        <v>1234</v>
      </c>
      <c r="C2088" s="3" t="s">
        <v>1235</v>
      </c>
      <c r="D2088" s="3" t="s">
        <v>1236</v>
      </c>
      <c r="E2088" s="3" t="s">
        <v>803</v>
      </c>
      <c r="F2088" s="3" t="s">
        <v>2095</v>
      </c>
      <c r="G2088" s="6">
        <v>0</v>
      </c>
      <c r="H2088" s="6">
        <v>0</v>
      </c>
      <c r="I2088" s="6">
        <v>0</v>
      </c>
      <c r="J2088" s="6">
        <v>0</v>
      </c>
    </row>
    <row r="2089" spans="2:10" outlineLevel="1" x14ac:dyDescent="0.25">
      <c r="B2089" s="3" t="s">
        <v>1234</v>
      </c>
      <c r="C2089" s="3" t="s">
        <v>1235</v>
      </c>
      <c r="D2089" s="3" t="s">
        <v>1236</v>
      </c>
      <c r="E2089" s="3" t="s">
        <v>2096</v>
      </c>
      <c r="F2089" s="3" t="s">
        <v>2097</v>
      </c>
      <c r="G2089" s="6">
        <v>0</v>
      </c>
      <c r="H2089" s="6">
        <v>0</v>
      </c>
      <c r="I2089" s="6">
        <v>0</v>
      </c>
      <c r="J2089" s="6">
        <v>0</v>
      </c>
    </row>
    <row r="2090" spans="2:10" outlineLevel="1" x14ac:dyDescent="0.25">
      <c r="B2090" s="3" t="s">
        <v>1234</v>
      </c>
      <c r="C2090" s="3" t="s">
        <v>1235</v>
      </c>
      <c r="D2090" s="3" t="s">
        <v>1236</v>
      </c>
      <c r="E2090" s="3" t="s">
        <v>555</v>
      </c>
      <c r="F2090" s="3" t="s">
        <v>2098</v>
      </c>
      <c r="G2090" s="6">
        <v>0</v>
      </c>
      <c r="H2090" s="6">
        <v>0</v>
      </c>
      <c r="I2090" s="6">
        <v>0</v>
      </c>
      <c r="J2090" s="6">
        <v>0</v>
      </c>
    </row>
    <row r="2091" spans="2:10" outlineLevel="1" x14ac:dyDescent="0.25">
      <c r="B2091" s="3" t="s">
        <v>1234</v>
      </c>
      <c r="C2091" s="3" t="s">
        <v>1235</v>
      </c>
      <c r="D2091" s="3" t="s">
        <v>1236</v>
      </c>
      <c r="E2091" s="3" t="s">
        <v>902</v>
      </c>
      <c r="F2091" s="3" t="s">
        <v>2099</v>
      </c>
      <c r="G2091" s="6">
        <v>0</v>
      </c>
      <c r="H2091" s="6">
        <v>0</v>
      </c>
      <c r="I2091" s="6">
        <v>0</v>
      </c>
      <c r="J2091" s="6">
        <v>0</v>
      </c>
    </row>
    <row r="2092" spans="2:10" outlineLevel="1" x14ac:dyDescent="0.25">
      <c r="B2092" s="3" t="s">
        <v>1234</v>
      </c>
      <c r="C2092" s="3" t="s">
        <v>1235</v>
      </c>
      <c r="D2092" s="3" t="s">
        <v>1236</v>
      </c>
      <c r="E2092" s="3" t="s">
        <v>465</v>
      </c>
      <c r="F2092" s="3" t="s">
        <v>2100</v>
      </c>
      <c r="G2092" s="6">
        <v>0</v>
      </c>
      <c r="H2092" s="6">
        <v>0</v>
      </c>
      <c r="I2092" s="6">
        <v>0</v>
      </c>
      <c r="J2092" s="6">
        <v>0</v>
      </c>
    </row>
    <row r="2093" spans="2:10" outlineLevel="1" x14ac:dyDescent="0.25">
      <c r="B2093" s="3" t="s">
        <v>1234</v>
      </c>
      <c r="C2093" s="3" t="s">
        <v>1235</v>
      </c>
      <c r="D2093" s="3" t="s">
        <v>1236</v>
      </c>
      <c r="E2093" s="3" t="s">
        <v>788</v>
      </c>
      <c r="F2093" s="3" t="s">
        <v>2101</v>
      </c>
      <c r="G2093" s="6">
        <v>0</v>
      </c>
      <c r="H2093" s="6">
        <v>0</v>
      </c>
      <c r="I2093" s="6">
        <v>0</v>
      </c>
      <c r="J2093" s="6">
        <v>0</v>
      </c>
    </row>
    <row r="2094" spans="2:10" outlineLevel="1" x14ac:dyDescent="0.25">
      <c r="B2094" s="3" t="s">
        <v>1234</v>
      </c>
      <c r="C2094" s="3" t="s">
        <v>1235</v>
      </c>
      <c r="D2094" s="3" t="s">
        <v>1236</v>
      </c>
      <c r="E2094" s="3" t="s">
        <v>1139</v>
      </c>
      <c r="F2094" s="3" t="s">
        <v>2102</v>
      </c>
      <c r="G2094" s="6">
        <v>0</v>
      </c>
      <c r="H2094" s="6">
        <v>0</v>
      </c>
      <c r="I2094" s="6">
        <v>0</v>
      </c>
      <c r="J2094" s="6">
        <v>0</v>
      </c>
    </row>
    <row r="2095" spans="2:10" outlineLevel="1" x14ac:dyDescent="0.25">
      <c r="B2095" s="3" t="s">
        <v>1234</v>
      </c>
      <c r="C2095" s="3" t="s">
        <v>1235</v>
      </c>
      <c r="D2095" s="3" t="s">
        <v>1236</v>
      </c>
      <c r="E2095" s="3" t="s">
        <v>741</v>
      </c>
      <c r="F2095" s="3" t="s">
        <v>2103</v>
      </c>
      <c r="G2095" s="6">
        <v>0</v>
      </c>
      <c r="H2095" s="6">
        <v>0</v>
      </c>
      <c r="I2095" s="6">
        <v>0</v>
      </c>
      <c r="J2095" s="6">
        <v>0</v>
      </c>
    </row>
    <row r="2096" spans="2:10" outlineLevel="1" x14ac:dyDescent="0.25">
      <c r="B2096" s="3" t="s">
        <v>1234</v>
      </c>
      <c r="C2096" s="3" t="s">
        <v>1235</v>
      </c>
      <c r="D2096" s="3" t="s">
        <v>1236</v>
      </c>
      <c r="E2096" s="3" t="s">
        <v>887</v>
      </c>
      <c r="F2096" s="3" t="s">
        <v>2104</v>
      </c>
      <c r="G2096" s="6">
        <v>0</v>
      </c>
      <c r="H2096" s="6">
        <v>0</v>
      </c>
      <c r="I2096" s="6">
        <v>0</v>
      </c>
      <c r="J2096" s="6">
        <v>0</v>
      </c>
    </row>
    <row r="2097" spans="2:10" outlineLevel="1" x14ac:dyDescent="0.25">
      <c r="B2097" s="3" t="s">
        <v>1234</v>
      </c>
      <c r="C2097" s="3" t="s">
        <v>1235</v>
      </c>
      <c r="D2097" s="3" t="s">
        <v>1236</v>
      </c>
      <c r="E2097" s="3" t="s">
        <v>333</v>
      </c>
      <c r="F2097" s="3" t="s">
        <v>2105</v>
      </c>
      <c r="G2097" s="6">
        <v>0</v>
      </c>
      <c r="H2097" s="6">
        <v>0</v>
      </c>
      <c r="I2097" s="6">
        <v>0</v>
      </c>
      <c r="J2097" s="6">
        <v>0</v>
      </c>
    </row>
    <row r="2098" spans="2:10" outlineLevel="1" x14ac:dyDescent="0.25">
      <c r="B2098" s="3" t="s">
        <v>1234</v>
      </c>
      <c r="C2098" s="3" t="s">
        <v>1235</v>
      </c>
      <c r="D2098" s="3" t="s">
        <v>1236</v>
      </c>
      <c r="E2098" s="3" t="s">
        <v>2106</v>
      </c>
      <c r="F2098" s="3" t="s">
        <v>2107</v>
      </c>
      <c r="G2098" s="6">
        <v>0</v>
      </c>
      <c r="H2098" s="6">
        <v>0</v>
      </c>
      <c r="I2098" s="6">
        <v>0</v>
      </c>
      <c r="J2098" s="6">
        <v>0</v>
      </c>
    </row>
    <row r="2099" spans="2:10" outlineLevel="1" x14ac:dyDescent="0.25">
      <c r="B2099" s="3" t="s">
        <v>1234</v>
      </c>
      <c r="C2099" s="3" t="s">
        <v>1235</v>
      </c>
      <c r="D2099" s="3" t="s">
        <v>1236</v>
      </c>
      <c r="E2099" s="3" t="s">
        <v>1066</v>
      </c>
      <c r="F2099" s="3" t="s">
        <v>2108</v>
      </c>
      <c r="G2099" s="6">
        <v>0</v>
      </c>
      <c r="H2099" s="6">
        <v>0</v>
      </c>
      <c r="I2099" s="6">
        <v>0</v>
      </c>
      <c r="J2099" s="6">
        <v>0</v>
      </c>
    </row>
    <row r="2100" spans="2:10" outlineLevel="1" x14ac:dyDescent="0.25">
      <c r="B2100" s="3" t="s">
        <v>1234</v>
      </c>
      <c r="C2100" s="3" t="s">
        <v>1235</v>
      </c>
      <c r="D2100" s="3" t="s">
        <v>1236</v>
      </c>
      <c r="E2100" s="3" t="s">
        <v>1010</v>
      </c>
      <c r="F2100" s="3" t="s">
        <v>2109</v>
      </c>
      <c r="G2100" s="6">
        <v>0</v>
      </c>
      <c r="H2100" s="6">
        <v>0</v>
      </c>
      <c r="I2100" s="6">
        <v>0</v>
      </c>
      <c r="J2100" s="6">
        <v>0</v>
      </c>
    </row>
    <row r="2101" spans="2:10" outlineLevel="1" x14ac:dyDescent="0.25">
      <c r="B2101" s="3" t="s">
        <v>1234</v>
      </c>
      <c r="C2101" s="3" t="s">
        <v>1235</v>
      </c>
      <c r="D2101" s="3" t="s">
        <v>1236</v>
      </c>
      <c r="E2101" s="3" t="s">
        <v>2110</v>
      </c>
      <c r="F2101" s="3" t="s">
        <v>2111</v>
      </c>
      <c r="G2101" s="6">
        <v>0</v>
      </c>
      <c r="H2101" s="6">
        <v>0</v>
      </c>
      <c r="I2101" s="6">
        <v>0</v>
      </c>
      <c r="J2101" s="6">
        <v>0</v>
      </c>
    </row>
    <row r="2102" spans="2:10" outlineLevel="1" x14ac:dyDescent="0.25">
      <c r="B2102" s="3" t="s">
        <v>1234</v>
      </c>
      <c r="C2102" s="3" t="s">
        <v>1235</v>
      </c>
      <c r="D2102" s="3" t="s">
        <v>1236</v>
      </c>
      <c r="E2102" s="3" t="s">
        <v>2112</v>
      </c>
      <c r="F2102" s="3" t="s">
        <v>2113</v>
      </c>
      <c r="G2102" s="6">
        <v>0</v>
      </c>
      <c r="H2102" s="6">
        <v>0</v>
      </c>
      <c r="I2102" s="6">
        <v>0</v>
      </c>
      <c r="J2102" s="6">
        <v>0</v>
      </c>
    </row>
    <row r="2103" spans="2:10" outlineLevel="1" x14ac:dyDescent="0.25">
      <c r="B2103" s="3" t="s">
        <v>1234</v>
      </c>
      <c r="C2103" s="3" t="s">
        <v>1235</v>
      </c>
      <c r="D2103" s="3" t="s">
        <v>1236</v>
      </c>
      <c r="E2103" s="3" t="s">
        <v>882</v>
      </c>
      <c r="F2103" s="3" t="s">
        <v>2114</v>
      </c>
      <c r="G2103" s="6">
        <v>0</v>
      </c>
      <c r="H2103" s="6">
        <v>0</v>
      </c>
      <c r="I2103" s="6">
        <v>0</v>
      </c>
      <c r="J2103" s="6">
        <v>0</v>
      </c>
    </row>
    <row r="2104" spans="2:10" outlineLevel="1" x14ac:dyDescent="0.25">
      <c r="B2104" s="3" t="s">
        <v>1234</v>
      </c>
      <c r="C2104" s="3" t="s">
        <v>1235</v>
      </c>
      <c r="D2104" s="3" t="s">
        <v>1236</v>
      </c>
      <c r="E2104" s="3" t="s">
        <v>897</v>
      </c>
      <c r="F2104" s="3" t="s">
        <v>2115</v>
      </c>
      <c r="G2104" s="6">
        <v>0</v>
      </c>
      <c r="H2104" s="6">
        <v>0</v>
      </c>
      <c r="I2104" s="6">
        <v>0</v>
      </c>
      <c r="J2104" s="6">
        <v>0</v>
      </c>
    </row>
    <row r="2105" spans="2:10" outlineLevel="1" x14ac:dyDescent="0.25">
      <c r="B2105" s="3" t="s">
        <v>1234</v>
      </c>
      <c r="C2105" s="3" t="s">
        <v>1235</v>
      </c>
      <c r="D2105" s="3" t="s">
        <v>1236</v>
      </c>
      <c r="E2105" s="3" t="s">
        <v>899</v>
      </c>
      <c r="F2105" s="3" t="s">
        <v>2116</v>
      </c>
      <c r="G2105" s="6">
        <v>0</v>
      </c>
      <c r="H2105" s="6">
        <v>0</v>
      </c>
      <c r="I2105" s="6">
        <v>0</v>
      </c>
      <c r="J2105" s="6">
        <v>0</v>
      </c>
    </row>
    <row r="2106" spans="2:10" outlineLevel="1" x14ac:dyDescent="0.25">
      <c r="B2106" s="3" t="s">
        <v>1234</v>
      </c>
      <c r="C2106" s="3" t="s">
        <v>1235</v>
      </c>
      <c r="D2106" s="3" t="s">
        <v>1236</v>
      </c>
      <c r="E2106" s="3" t="s">
        <v>120</v>
      </c>
      <c r="F2106" s="3" t="s">
        <v>2117</v>
      </c>
      <c r="G2106" s="6">
        <v>0</v>
      </c>
      <c r="H2106" s="6">
        <v>0</v>
      </c>
      <c r="I2106" s="6">
        <v>0</v>
      </c>
      <c r="J2106" s="6">
        <v>0</v>
      </c>
    </row>
    <row r="2107" spans="2:10" outlineLevel="1" x14ac:dyDescent="0.25">
      <c r="B2107" s="3" t="s">
        <v>1234</v>
      </c>
      <c r="C2107" s="3" t="s">
        <v>1235</v>
      </c>
      <c r="D2107" s="3" t="s">
        <v>1236</v>
      </c>
      <c r="E2107" s="3" t="s">
        <v>878</v>
      </c>
      <c r="F2107" s="3" t="s">
        <v>2118</v>
      </c>
      <c r="G2107" s="6">
        <v>0</v>
      </c>
      <c r="H2107" s="6">
        <v>0</v>
      </c>
      <c r="I2107" s="6">
        <v>0</v>
      </c>
      <c r="J2107" s="6">
        <v>0</v>
      </c>
    </row>
    <row r="2108" spans="2:10" outlineLevel="1" x14ac:dyDescent="0.25">
      <c r="B2108" s="3" t="s">
        <v>1234</v>
      </c>
      <c r="C2108" s="3" t="s">
        <v>1235</v>
      </c>
      <c r="D2108" s="3" t="s">
        <v>1236</v>
      </c>
      <c r="E2108" s="3" t="s">
        <v>1068</v>
      </c>
      <c r="F2108" s="3" t="s">
        <v>2119</v>
      </c>
      <c r="G2108" s="6">
        <v>0</v>
      </c>
      <c r="H2108" s="6">
        <v>0</v>
      </c>
      <c r="I2108" s="6">
        <v>0</v>
      </c>
      <c r="J2108" s="6">
        <v>0</v>
      </c>
    </row>
    <row r="2109" spans="2:10" outlineLevel="1" x14ac:dyDescent="0.25">
      <c r="B2109" s="3" t="s">
        <v>1234</v>
      </c>
      <c r="C2109" s="3" t="s">
        <v>1235</v>
      </c>
      <c r="D2109" s="3" t="s">
        <v>1236</v>
      </c>
      <c r="E2109" s="3" t="s">
        <v>889</v>
      </c>
      <c r="F2109" s="3" t="s">
        <v>2120</v>
      </c>
      <c r="G2109" s="6">
        <v>0</v>
      </c>
      <c r="H2109" s="6">
        <v>0</v>
      </c>
      <c r="I2109" s="6">
        <v>0</v>
      </c>
      <c r="J2109" s="6">
        <v>0</v>
      </c>
    </row>
    <row r="2110" spans="2:10" outlineLevel="1" x14ac:dyDescent="0.25">
      <c r="B2110" s="3" t="s">
        <v>1234</v>
      </c>
      <c r="C2110" s="3" t="s">
        <v>1235</v>
      </c>
      <c r="D2110" s="3" t="s">
        <v>1236</v>
      </c>
      <c r="E2110" s="3" t="s">
        <v>880</v>
      </c>
      <c r="F2110" s="3" t="s">
        <v>2121</v>
      </c>
      <c r="G2110" s="6">
        <v>0</v>
      </c>
      <c r="H2110" s="6">
        <v>0</v>
      </c>
      <c r="I2110" s="6">
        <v>0</v>
      </c>
      <c r="J2110" s="6">
        <v>0</v>
      </c>
    </row>
    <row r="2111" spans="2:10" outlineLevel="1" x14ac:dyDescent="0.25">
      <c r="B2111" s="3" t="s">
        <v>1234</v>
      </c>
      <c r="C2111" s="3" t="s">
        <v>1235</v>
      </c>
      <c r="D2111" s="3" t="s">
        <v>1236</v>
      </c>
      <c r="E2111" s="3" t="s">
        <v>786</v>
      </c>
      <c r="F2111" s="3" t="s">
        <v>2122</v>
      </c>
      <c r="G2111" s="6">
        <v>0</v>
      </c>
      <c r="H2111" s="6">
        <v>0</v>
      </c>
      <c r="I2111" s="6">
        <v>0</v>
      </c>
      <c r="J2111" s="6">
        <v>0</v>
      </c>
    </row>
    <row r="2112" spans="2:10" outlineLevel="1" x14ac:dyDescent="0.25">
      <c r="B2112" s="3" t="s">
        <v>1234</v>
      </c>
      <c r="C2112" s="3" t="s">
        <v>1235</v>
      </c>
      <c r="D2112" s="3" t="s">
        <v>1236</v>
      </c>
      <c r="E2112" s="3" t="s">
        <v>895</v>
      </c>
      <c r="F2112" s="3" t="s">
        <v>2123</v>
      </c>
      <c r="G2112" s="6">
        <v>0</v>
      </c>
      <c r="H2112" s="6">
        <v>0</v>
      </c>
      <c r="I2112" s="6">
        <v>0</v>
      </c>
      <c r="J2112" s="6">
        <v>0</v>
      </c>
    </row>
    <row r="2113" spans="2:10" outlineLevel="1" x14ac:dyDescent="0.25">
      <c r="B2113" s="3" t="s">
        <v>1234</v>
      </c>
      <c r="C2113" s="3" t="s">
        <v>1235</v>
      </c>
      <c r="D2113" s="3" t="s">
        <v>1236</v>
      </c>
      <c r="E2113" s="3" t="s">
        <v>893</v>
      </c>
      <c r="F2113" s="3" t="s">
        <v>2124</v>
      </c>
      <c r="G2113" s="6">
        <v>0</v>
      </c>
      <c r="H2113" s="6">
        <v>0</v>
      </c>
      <c r="I2113" s="6">
        <v>0</v>
      </c>
      <c r="J2113" s="6">
        <v>0</v>
      </c>
    </row>
    <row r="2114" spans="2:10" outlineLevel="1" x14ac:dyDescent="0.25">
      <c r="B2114" s="3" t="s">
        <v>1234</v>
      </c>
      <c r="C2114" s="3" t="s">
        <v>1235</v>
      </c>
      <c r="D2114" s="3" t="s">
        <v>1236</v>
      </c>
      <c r="E2114" s="3" t="s">
        <v>2125</v>
      </c>
      <c r="F2114" s="3" t="s">
        <v>2126</v>
      </c>
      <c r="G2114" s="6">
        <v>0</v>
      </c>
      <c r="H2114" s="6">
        <v>0</v>
      </c>
      <c r="I2114" s="6">
        <v>0</v>
      </c>
      <c r="J2114" s="6">
        <v>0</v>
      </c>
    </row>
    <row r="2115" spans="2:10" outlineLevel="1" x14ac:dyDescent="0.25">
      <c r="B2115" s="3" t="s">
        <v>1234</v>
      </c>
      <c r="C2115" s="3" t="s">
        <v>1235</v>
      </c>
      <c r="D2115" s="3" t="s">
        <v>1236</v>
      </c>
      <c r="E2115" s="3" t="s">
        <v>2127</v>
      </c>
      <c r="F2115" s="3" t="s">
        <v>2128</v>
      </c>
      <c r="G2115" s="6">
        <v>0</v>
      </c>
      <c r="H2115" s="6">
        <v>0</v>
      </c>
      <c r="I2115" s="6">
        <v>0</v>
      </c>
      <c r="J2115" s="6">
        <v>0</v>
      </c>
    </row>
    <row r="2116" spans="2:10" outlineLevel="1" x14ac:dyDescent="0.25">
      <c r="B2116" s="3" t="s">
        <v>1234</v>
      </c>
      <c r="C2116" s="3" t="s">
        <v>1235</v>
      </c>
      <c r="D2116" s="3" t="s">
        <v>1236</v>
      </c>
      <c r="E2116" s="3" t="s">
        <v>118</v>
      </c>
      <c r="F2116" s="3" t="s">
        <v>2129</v>
      </c>
      <c r="G2116" s="6">
        <v>0</v>
      </c>
      <c r="H2116" s="6">
        <v>0</v>
      </c>
      <c r="I2116" s="6">
        <v>0</v>
      </c>
      <c r="J2116" s="6">
        <v>0</v>
      </c>
    </row>
    <row r="2117" spans="2:10" outlineLevel="1" x14ac:dyDescent="0.25">
      <c r="B2117" s="3" t="s">
        <v>1234</v>
      </c>
      <c r="C2117" s="3" t="s">
        <v>1235</v>
      </c>
      <c r="D2117" s="3" t="s">
        <v>1236</v>
      </c>
      <c r="E2117" s="3" t="s">
        <v>2130</v>
      </c>
      <c r="F2117" s="3" t="s">
        <v>2131</v>
      </c>
      <c r="G2117" s="6">
        <v>0</v>
      </c>
      <c r="H2117" s="6">
        <v>0</v>
      </c>
      <c r="I2117" s="6">
        <v>0</v>
      </c>
      <c r="J2117" s="6">
        <v>0</v>
      </c>
    </row>
    <row r="2118" spans="2:10" outlineLevel="1" x14ac:dyDescent="0.25">
      <c r="B2118" s="3" t="s">
        <v>1234</v>
      </c>
      <c r="C2118" s="3" t="s">
        <v>1235</v>
      </c>
      <c r="D2118" s="3" t="s">
        <v>1236</v>
      </c>
      <c r="E2118" s="3" t="s">
        <v>2132</v>
      </c>
      <c r="F2118" s="3" t="s">
        <v>2133</v>
      </c>
      <c r="G2118" s="6">
        <v>0</v>
      </c>
      <c r="H2118" s="6">
        <v>0</v>
      </c>
      <c r="I2118" s="6">
        <v>0</v>
      </c>
      <c r="J2118" s="6">
        <v>0</v>
      </c>
    </row>
    <row r="2119" spans="2:10" outlineLevel="1" x14ac:dyDescent="0.25">
      <c r="B2119" s="3" t="s">
        <v>1234</v>
      </c>
      <c r="C2119" s="3" t="s">
        <v>1235</v>
      </c>
      <c r="D2119" s="3" t="s">
        <v>1236</v>
      </c>
      <c r="E2119" s="3" t="s">
        <v>128</v>
      </c>
      <c r="F2119" s="3" t="s">
        <v>2134</v>
      </c>
      <c r="G2119" s="6">
        <v>0</v>
      </c>
      <c r="H2119" s="6">
        <v>0</v>
      </c>
      <c r="I2119" s="6">
        <v>0</v>
      </c>
      <c r="J2119" s="6">
        <v>0</v>
      </c>
    </row>
    <row r="2120" spans="2:10" outlineLevel="1" x14ac:dyDescent="0.25">
      <c r="B2120" s="3" t="s">
        <v>1234</v>
      </c>
      <c r="C2120" s="3" t="s">
        <v>1235</v>
      </c>
      <c r="D2120" s="3" t="s">
        <v>1236</v>
      </c>
      <c r="E2120" s="3" t="s">
        <v>506</v>
      </c>
      <c r="F2120" s="3" t="s">
        <v>2135</v>
      </c>
      <c r="G2120" s="6">
        <v>0</v>
      </c>
      <c r="H2120" s="6">
        <v>0</v>
      </c>
      <c r="I2120" s="6">
        <v>0</v>
      </c>
      <c r="J2120" s="6">
        <v>0</v>
      </c>
    </row>
    <row r="2121" spans="2:10" outlineLevel="1" x14ac:dyDescent="0.25">
      <c r="B2121" s="3" t="s">
        <v>1234</v>
      </c>
      <c r="C2121" s="3" t="s">
        <v>1235</v>
      </c>
      <c r="D2121" s="3" t="s">
        <v>1236</v>
      </c>
      <c r="E2121" s="3" t="s">
        <v>124</v>
      </c>
      <c r="F2121" s="3" t="s">
        <v>2136</v>
      </c>
      <c r="G2121" s="6">
        <v>0</v>
      </c>
      <c r="H2121" s="6">
        <v>0</v>
      </c>
      <c r="I2121" s="6">
        <v>0</v>
      </c>
      <c r="J2121" s="6">
        <v>0</v>
      </c>
    </row>
    <row r="2122" spans="2:10" outlineLevel="1" x14ac:dyDescent="0.25">
      <c r="B2122" s="3" t="s">
        <v>1234</v>
      </c>
      <c r="C2122" s="3" t="s">
        <v>1235</v>
      </c>
      <c r="D2122" s="3" t="s">
        <v>1236</v>
      </c>
      <c r="E2122" s="3" t="s">
        <v>132</v>
      </c>
      <c r="F2122" s="3" t="s">
        <v>2137</v>
      </c>
      <c r="G2122" s="6">
        <v>0</v>
      </c>
      <c r="H2122" s="6">
        <v>0</v>
      </c>
      <c r="I2122" s="6">
        <v>0</v>
      </c>
      <c r="J2122" s="6">
        <v>0</v>
      </c>
    </row>
    <row r="2123" spans="2:10" outlineLevel="1" x14ac:dyDescent="0.25">
      <c r="B2123" s="3" t="s">
        <v>1234</v>
      </c>
      <c r="C2123" s="3" t="s">
        <v>1235</v>
      </c>
      <c r="D2123" s="3" t="s">
        <v>1236</v>
      </c>
      <c r="E2123" s="3" t="s">
        <v>861</v>
      </c>
      <c r="F2123" s="3" t="s">
        <v>2138</v>
      </c>
      <c r="G2123" s="6">
        <v>0</v>
      </c>
      <c r="H2123" s="6">
        <v>0</v>
      </c>
      <c r="I2123" s="6">
        <v>0</v>
      </c>
      <c r="J2123" s="6">
        <v>0</v>
      </c>
    </row>
    <row r="2124" spans="2:10" outlineLevel="1" x14ac:dyDescent="0.25">
      <c r="B2124" s="3" t="s">
        <v>1234</v>
      </c>
      <c r="C2124" s="3" t="s">
        <v>1235</v>
      </c>
      <c r="D2124" s="3" t="s">
        <v>1236</v>
      </c>
      <c r="E2124" s="3" t="s">
        <v>2139</v>
      </c>
      <c r="F2124" s="3" t="s">
        <v>2140</v>
      </c>
      <c r="G2124" s="6">
        <v>0</v>
      </c>
      <c r="H2124" s="6">
        <v>0</v>
      </c>
      <c r="I2124" s="6">
        <v>0</v>
      </c>
      <c r="J2124" s="6">
        <v>0</v>
      </c>
    </row>
    <row r="2125" spans="2:10" outlineLevel="1" x14ac:dyDescent="0.25">
      <c r="B2125" s="3" t="s">
        <v>1234</v>
      </c>
      <c r="C2125" s="3" t="s">
        <v>1235</v>
      </c>
      <c r="D2125" s="3" t="s">
        <v>1236</v>
      </c>
      <c r="E2125" s="3" t="s">
        <v>2141</v>
      </c>
      <c r="F2125" s="3" t="s">
        <v>2142</v>
      </c>
      <c r="G2125" s="6">
        <v>0</v>
      </c>
      <c r="H2125" s="6">
        <v>0</v>
      </c>
      <c r="I2125" s="6">
        <v>0</v>
      </c>
      <c r="J2125" s="6">
        <v>0</v>
      </c>
    </row>
    <row r="2126" spans="2:10" outlineLevel="1" x14ac:dyDescent="0.25">
      <c r="B2126" s="3" t="s">
        <v>1234</v>
      </c>
      <c r="C2126" s="3" t="s">
        <v>1235</v>
      </c>
      <c r="D2126" s="3" t="s">
        <v>1236</v>
      </c>
      <c r="E2126" s="3" t="s">
        <v>126</v>
      </c>
      <c r="F2126" s="3" t="s">
        <v>2143</v>
      </c>
      <c r="G2126" s="6">
        <v>0</v>
      </c>
      <c r="H2126" s="6">
        <v>0</v>
      </c>
      <c r="I2126" s="6">
        <v>0</v>
      </c>
      <c r="J2126" s="6">
        <v>0</v>
      </c>
    </row>
    <row r="2127" spans="2:10" outlineLevel="1" x14ac:dyDescent="0.25">
      <c r="B2127" s="3" t="s">
        <v>1234</v>
      </c>
      <c r="C2127" s="3" t="s">
        <v>1235</v>
      </c>
      <c r="D2127" s="3" t="s">
        <v>1236</v>
      </c>
      <c r="E2127" s="3" t="s">
        <v>134</v>
      </c>
      <c r="F2127" s="3" t="s">
        <v>2144</v>
      </c>
      <c r="G2127" s="6">
        <v>0</v>
      </c>
      <c r="H2127" s="6">
        <v>0</v>
      </c>
      <c r="I2127" s="6">
        <v>0</v>
      </c>
      <c r="J2127" s="6">
        <v>0</v>
      </c>
    </row>
    <row r="2128" spans="2:10" outlineLevel="1" x14ac:dyDescent="0.25">
      <c r="B2128" s="3" t="s">
        <v>1234</v>
      </c>
      <c r="C2128" s="3" t="s">
        <v>1235</v>
      </c>
      <c r="D2128" s="3" t="s">
        <v>1236</v>
      </c>
      <c r="E2128" s="3" t="s">
        <v>797</v>
      </c>
      <c r="F2128" s="3" t="s">
        <v>2145</v>
      </c>
      <c r="G2128" s="6">
        <v>0</v>
      </c>
      <c r="H2128" s="6">
        <v>0</v>
      </c>
      <c r="I2128" s="6">
        <v>0</v>
      </c>
      <c r="J2128" s="6">
        <v>0</v>
      </c>
    </row>
    <row r="2129" spans="2:10" outlineLevel="1" x14ac:dyDescent="0.25">
      <c r="B2129" s="3" t="s">
        <v>1234</v>
      </c>
      <c r="C2129" s="3" t="s">
        <v>1235</v>
      </c>
      <c r="D2129" s="3" t="s">
        <v>1236</v>
      </c>
      <c r="E2129" s="3" t="s">
        <v>2146</v>
      </c>
      <c r="F2129" s="3" t="s">
        <v>2147</v>
      </c>
      <c r="G2129" s="6">
        <v>0</v>
      </c>
      <c r="H2129" s="6">
        <v>0</v>
      </c>
      <c r="I2129" s="6">
        <v>0</v>
      </c>
      <c r="J2129" s="6">
        <v>0</v>
      </c>
    </row>
    <row r="2130" spans="2:10" outlineLevel="1" x14ac:dyDescent="0.25">
      <c r="B2130" s="3" t="s">
        <v>1234</v>
      </c>
      <c r="C2130" s="3" t="s">
        <v>1235</v>
      </c>
      <c r="D2130" s="3" t="s">
        <v>1236</v>
      </c>
      <c r="E2130" s="3" t="s">
        <v>732</v>
      </c>
      <c r="F2130" s="3" t="s">
        <v>2148</v>
      </c>
      <c r="G2130" s="6">
        <v>0</v>
      </c>
      <c r="H2130" s="6">
        <v>0</v>
      </c>
      <c r="I2130" s="6">
        <v>0</v>
      </c>
      <c r="J2130" s="6">
        <v>0</v>
      </c>
    </row>
    <row r="2131" spans="2:10" outlineLevel="1" x14ac:dyDescent="0.25">
      <c r="B2131" s="3" t="s">
        <v>1234</v>
      </c>
      <c r="C2131" s="3" t="s">
        <v>1235</v>
      </c>
      <c r="D2131" s="3" t="s">
        <v>1236</v>
      </c>
      <c r="E2131" s="3" t="s">
        <v>734</v>
      </c>
      <c r="F2131" s="3" t="s">
        <v>2149</v>
      </c>
      <c r="G2131" s="6">
        <v>0</v>
      </c>
      <c r="H2131" s="6">
        <v>0</v>
      </c>
      <c r="I2131" s="6">
        <v>0</v>
      </c>
      <c r="J2131" s="6">
        <v>0</v>
      </c>
    </row>
    <row r="2132" spans="2:10" outlineLevel="1" x14ac:dyDescent="0.25">
      <c r="B2132" s="3" t="s">
        <v>1234</v>
      </c>
      <c r="C2132" s="3" t="s">
        <v>1235</v>
      </c>
      <c r="D2132" s="3" t="s">
        <v>1236</v>
      </c>
      <c r="E2132" s="3" t="s">
        <v>2150</v>
      </c>
      <c r="F2132" s="3" t="s">
        <v>2151</v>
      </c>
      <c r="G2132" s="6">
        <v>0</v>
      </c>
      <c r="H2132" s="6">
        <v>0</v>
      </c>
      <c r="I2132" s="6">
        <v>0</v>
      </c>
      <c r="J2132" s="6">
        <v>0</v>
      </c>
    </row>
    <row r="2133" spans="2:10" outlineLevel="1" x14ac:dyDescent="0.25">
      <c r="B2133" s="3" t="s">
        <v>1234</v>
      </c>
      <c r="C2133" s="3" t="s">
        <v>1235</v>
      </c>
      <c r="D2133" s="3" t="s">
        <v>1236</v>
      </c>
      <c r="E2133" s="3" t="s">
        <v>116</v>
      </c>
      <c r="F2133" s="3" t="s">
        <v>2152</v>
      </c>
      <c r="G2133" s="6">
        <v>0</v>
      </c>
      <c r="H2133" s="6">
        <v>0</v>
      </c>
      <c r="I2133" s="6">
        <v>0</v>
      </c>
      <c r="J2133" s="6">
        <v>0</v>
      </c>
    </row>
    <row r="2134" spans="2:10" outlineLevel="1" x14ac:dyDescent="0.25">
      <c r="B2134" s="3" t="s">
        <v>1234</v>
      </c>
      <c r="C2134" s="3" t="s">
        <v>1235</v>
      </c>
      <c r="D2134" s="3" t="s">
        <v>1236</v>
      </c>
      <c r="E2134" s="3" t="s">
        <v>551</v>
      </c>
      <c r="F2134" s="3" t="s">
        <v>2153</v>
      </c>
      <c r="G2134" s="6">
        <v>0</v>
      </c>
      <c r="H2134" s="6">
        <v>0</v>
      </c>
      <c r="I2134" s="6">
        <v>0</v>
      </c>
      <c r="J2134" s="6">
        <v>0</v>
      </c>
    </row>
    <row r="2135" spans="2:10" outlineLevel="1" x14ac:dyDescent="0.25">
      <c r="B2135" s="3" t="s">
        <v>1234</v>
      </c>
      <c r="C2135" s="3" t="s">
        <v>1235</v>
      </c>
      <c r="D2135" s="3" t="s">
        <v>1236</v>
      </c>
      <c r="E2135" s="3" t="s">
        <v>2154</v>
      </c>
      <c r="F2135" s="3" t="s">
        <v>2155</v>
      </c>
      <c r="G2135" s="6">
        <v>0</v>
      </c>
      <c r="H2135" s="6">
        <v>0</v>
      </c>
      <c r="I2135" s="6">
        <v>0</v>
      </c>
      <c r="J2135" s="6">
        <v>0</v>
      </c>
    </row>
    <row r="2136" spans="2:10" outlineLevel="1" x14ac:dyDescent="0.25">
      <c r="B2136" s="3" t="s">
        <v>1234</v>
      </c>
      <c r="C2136" s="3" t="s">
        <v>1235</v>
      </c>
      <c r="D2136" s="3" t="s">
        <v>1236</v>
      </c>
      <c r="E2136" s="3" t="s">
        <v>130</v>
      </c>
      <c r="F2136" s="3" t="s">
        <v>2156</v>
      </c>
      <c r="G2136" s="6">
        <v>0</v>
      </c>
      <c r="H2136" s="6">
        <v>0</v>
      </c>
      <c r="I2136" s="6">
        <v>0</v>
      </c>
      <c r="J2136" s="6">
        <v>0</v>
      </c>
    </row>
    <row r="2137" spans="2:10" outlineLevel="1" x14ac:dyDescent="0.25">
      <c r="B2137" s="3" t="s">
        <v>1234</v>
      </c>
      <c r="C2137" s="3" t="s">
        <v>1235</v>
      </c>
      <c r="D2137" s="3" t="s">
        <v>1236</v>
      </c>
      <c r="E2137" s="3" t="s">
        <v>2157</v>
      </c>
      <c r="F2137" s="3" t="s">
        <v>2158</v>
      </c>
      <c r="G2137" s="6">
        <v>0</v>
      </c>
      <c r="H2137" s="6">
        <v>0</v>
      </c>
      <c r="I2137" s="6">
        <v>0</v>
      </c>
      <c r="J2137" s="6">
        <v>0</v>
      </c>
    </row>
    <row r="2138" spans="2:10" outlineLevel="1" x14ac:dyDescent="0.25">
      <c r="B2138" s="3" t="s">
        <v>1234</v>
      </c>
      <c r="C2138" s="3" t="s">
        <v>1235</v>
      </c>
      <c r="D2138" s="3" t="s">
        <v>1236</v>
      </c>
      <c r="E2138" s="3" t="s">
        <v>35</v>
      </c>
      <c r="F2138" s="3" t="s">
        <v>2159</v>
      </c>
      <c r="G2138" s="6">
        <v>0</v>
      </c>
      <c r="H2138" s="6">
        <v>0</v>
      </c>
      <c r="I2138" s="6">
        <v>0</v>
      </c>
      <c r="J2138" s="6">
        <v>0</v>
      </c>
    </row>
    <row r="2139" spans="2:10" outlineLevel="1" x14ac:dyDescent="0.25">
      <c r="B2139" s="3" t="s">
        <v>1234</v>
      </c>
      <c r="C2139" s="3" t="s">
        <v>1235</v>
      </c>
      <c r="D2139" s="3" t="s">
        <v>1236</v>
      </c>
      <c r="E2139" s="3" t="s">
        <v>795</v>
      </c>
      <c r="F2139" s="3" t="s">
        <v>2160</v>
      </c>
      <c r="G2139" s="6">
        <v>0</v>
      </c>
      <c r="H2139" s="6">
        <v>0</v>
      </c>
      <c r="I2139" s="6">
        <v>0</v>
      </c>
      <c r="J2139" s="6">
        <v>0</v>
      </c>
    </row>
    <row r="2140" spans="2:10" outlineLevel="1" x14ac:dyDescent="0.25">
      <c r="B2140" s="3" t="s">
        <v>1234</v>
      </c>
      <c r="C2140" s="3" t="s">
        <v>1235</v>
      </c>
      <c r="D2140" s="3" t="s">
        <v>1236</v>
      </c>
      <c r="E2140" s="3" t="s">
        <v>2161</v>
      </c>
      <c r="F2140" s="3" t="s">
        <v>2162</v>
      </c>
      <c r="G2140" s="6">
        <v>0</v>
      </c>
      <c r="H2140" s="6">
        <v>0</v>
      </c>
      <c r="I2140" s="6">
        <v>0</v>
      </c>
      <c r="J2140" s="6">
        <v>0</v>
      </c>
    </row>
    <row r="2141" spans="2:10" outlineLevel="1" x14ac:dyDescent="0.25">
      <c r="B2141" s="3" t="s">
        <v>1234</v>
      </c>
      <c r="C2141" s="3" t="s">
        <v>1235</v>
      </c>
      <c r="D2141" s="3" t="s">
        <v>1236</v>
      </c>
      <c r="E2141" s="3" t="s">
        <v>122</v>
      </c>
      <c r="F2141" s="3" t="s">
        <v>2163</v>
      </c>
      <c r="G2141" s="6">
        <v>0</v>
      </c>
      <c r="H2141" s="6">
        <v>0</v>
      </c>
      <c r="I2141" s="6">
        <v>0</v>
      </c>
      <c r="J2141" s="6">
        <v>0</v>
      </c>
    </row>
    <row r="2142" spans="2:10" outlineLevel="1" x14ac:dyDescent="0.25">
      <c r="B2142" s="3" t="s">
        <v>1234</v>
      </c>
      <c r="C2142" s="3" t="s">
        <v>1235</v>
      </c>
      <c r="D2142" s="3" t="s">
        <v>1236</v>
      </c>
      <c r="E2142" s="3" t="s">
        <v>368</v>
      </c>
      <c r="F2142" s="3" t="s">
        <v>2164</v>
      </c>
      <c r="G2142" s="6">
        <v>0</v>
      </c>
      <c r="H2142" s="6">
        <v>0</v>
      </c>
      <c r="I2142" s="6">
        <v>0</v>
      </c>
      <c r="J2142" s="6">
        <v>0</v>
      </c>
    </row>
    <row r="2143" spans="2:10" outlineLevel="1" x14ac:dyDescent="0.25">
      <c r="B2143" s="3" t="s">
        <v>1234</v>
      </c>
      <c r="C2143" s="3" t="s">
        <v>1235</v>
      </c>
      <c r="D2143" s="3" t="s">
        <v>1236</v>
      </c>
      <c r="E2143" s="3" t="s">
        <v>805</v>
      </c>
      <c r="F2143" s="3" t="s">
        <v>2165</v>
      </c>
      <c r="G2143" s="6">
        <v>0</v>
      </c>
      <c r="H2143" s="6">
        <v>0</v>
      </c>
      <c r="I2143" s="6">
        <v>0</v>
      </c>
      <c r="J2143" s="6">
        <v>0</v>
      </c>
    </row>
    <row r="2144" spans="2:10" outlineLevel="1" x14ac:dyDescent="0.25">
      <c r="B2144" s="3" t="s">
        <v>1234</v>
      </c>
      <c r="C2144" s="3" t="s">
        <v>1235</v>
      </c>
      <c r="D2144" s="3" t="s">
        <v>1236</v>
      </c>
      <c r="E2144" s="3" t="s">
        <v>807</v>
      </c>
      <c r="F2144" s="3" t="s">
        <v>2166</v>
      </c>
      <c r="G2144" s="6">
        <v>0</v>
      </c>
      <c r="H2144" s="6">
        <v>0</v>
      </c>
      <c r="I2144" s="6">
        <v>0</v>
      </c>
      <c r="J2144" s="6">
        <v>0</v>
      </c>
    </row>
    <row r="2145" spans="2:10" outlineLevel="1" x14ac:dyDescent="0.25">
      <c r="B2145" s="3" t="s">
        <v>1234</v>
      </c>
      <c r="C2145" s="3" t="s">
        <v>1235</v>
      </c>
      <c r="D2145" s="3" t="s">
        <v>1236</v>
      </c>
      <c r="E2145" s="3" t="s">
        <v>799</v>
      </c>
      <c r="F2145" s="3" t="s">
        <v>2167</v>
      </c>
      <c r="G2145" s="6">
        <v>0</v>
      </c>
      <c r="H2145" s="6">
        <v>0</v>
      </c>
      <c r="I2145" s="6">
        <v>0</v>
      </c>
      <c r="J2145" s="6">
        <v>0</v>
      </c>
    </row>
    <row r="2146" spans="2:10" outlineLevel="1" x14ac:dyDescent="0.25">
      <c r="B2146" s="3" t="s">
        <v>1234</v>
      </c>
      <c r="C2146" s="3" t="s">
        <v>1235</v>
      </c>
      <c r="D2146" s="3" t="s">
        <v>1236</v>
      </c>
      <c r="E2146" s="3" t="s">
        <v>801</v>
      </c>
      <c r="F2146" s="3" t="s">
        <v>2168</v>
      </c>
      <c r="G2146" s="6">
        <v>0</v>
      </c>
      <c r="H2146" s="6">
        <v>0</v>
      </c>
      <c r="I2146" s="6">
        <v>0</v>
      </c>
      <c r="J2146" s="6">
        <v>0</v>
      </c>
    </row>
    <row r="2147" spans="2:10" outlineLevel="1" x14ac:dyDescent="0.25">
      <c r="B2147" s="3" t="s">
        <v>1234</v>
      </c>
      <c r="C2147" s="3" t="s">
        <v>1235</v>
      </c>
      <c r="D2147" s="3" t="s">
        <v>1236</v>
      </c>
      <c r="E2147" s="3" t="s">
        <v>553</v>
      </c>
      <c r="F2147" s="3" t="s">
        <v>2169</v>
      </c>
      <c r="G2147" s="6">
        <v>0</v>
      </c>
      <c r="H2147" s="6">
        <v>0</v>
      </c>
      <c r="I2147" s="6">
        <v>0</v>
      </c>
      <c r="J2147" s="6">
        <v>0</v>
      </c>
    </row>
    <row r="2148" spans="2:10" outlineLevel="1" x14ac:dyDescent="0.25">
      <c r="B2148" s="3" t="s">
        <v>1234</v>
      </c>
      <c r="C2148" s="3" t="s">
        <v>1235</v>
      </c>
      <c r="D2148" s="3" t="s">
        <v>1236</v>
      </c>
      <c r="E2148" s="3" t="s">
        <v>557</v>
      </c>
      <c r="F2148" s="3" t="s">
        <v>2170</v>
      </c>
      <c r="G2148" s="6">
        <v>0</v>
      </c>
      <c r="H2148" s="6">
        <v>0</v>
      </c>
      <c r="I2148" s="6">
        <v>0</v>
      </c>
      <c r="J2148" s="6">
        <v>0</v>
      </c>
    </row>
    <row r="2149" spans="2:10" outlineLevel="1" x14ac:dyDescent="0.25">
      <c r="B2149" s="3" t="s">
        <v>1234</v>
      </c>
      <c r="C2149" s="3" t="s">
        <v>1235</v>
      </c>
      <c r="D2149" s="3" t="s">
        <v>1236</v>
      </c>
      <c r="E2149" s="3" t="s">
        <v>2171</v>
      </c>
      <c r="F2149" s="3" t="s">
        <v>2172</v>
      </c>
      <c r="G2149" s="6">
        <v>0</v>
      </c>
      <c r="H2149" s="6">
        <v>0</v>
      </c>
      <c r="I2149" s="6">
        <v>0</v>
      </c>
      <c r="J2149" s="6">
        <v>0</v>
      </c>
    </row>
    <row r="2150" spans="2:10" outlineLevel="1" x14ac:dyDescent="0.25">
      <c r="B2150" s="3" t="s">
        <v>1234</v>
      </c>
      <c r="C2150" s="3" t="s">
        <v>1235</v>
      </c>
      <c r="D2150" s="3" t="s">
        <v>1236</v>
      </c>
      <c r="E2150" s="3" t="s">
        <v>37</v>
      </c>
      <c r="F2150" s="3" t="s">
        <v>2173</v>
      </c>
      <c r="G2150" s="6">
        <v>0</v>
      </c>
      <c r="H2150" s="6">
        <v>0</v>
      </c>
      <c r="I2150" s="6">
        <v>0</v>
      </c>
      <c r="J2150" s="6">
        <v>0</v>
      </c>
    </row>
    <row r="2151" spans="2:10" outlineLevel="1" x14ac:dyDescent="0.25">
      <c r="B2151" s="3" t="s">
        <v>1234</v>
      </c>
      <c r="C2151" s="3" t="s">
        <v>1235</v>
      </c>
      <c r="D2151" s="3" t="s">
        <v>1236</v>
      </c>
      <c r="E2151" s="3" t="s">
        <v>1211</v>
      </c>
      <c r="F2151" s="3" t="s">
        <v>2174</v>
      </c>
      <c r="G2151" s="6">
        <v>0</v>
      </c>
      <c r="H2151" s="6">
        <v>0</v>
      </c>
      <c r="I2151" s="6">
        <v>0</v>
      </c>
      <c r="J2151" s="6">
        <v>0</v>
      </c>
    </row>
    <row r="2152" spans="2:10" outlineLevel="1" x14ac:dyDescent="0.25">
      <c r="B2152" s="3" t="s">
        <v>1234</v>
      </c>
      <c r="C2152" s="3" t="s">
        <v>1235</v>
      </c>
      <c r="D2152" s="3" t="s">
        <v>1236</v>
      </c>
      <c r="E2152" s="3" t="s">
        <v>410</v>
      </c>
      <c r="F2152" s="3" t="s">
        <v>2175</v>
      </c>
      <c r="G2152" s="6">
        <v>0</v>
      </c>
      <c r="H2152" s="6">
        <v>0</v>
      </c>
      <c r="I2152" s="6">
        <v>0</v>
      </c>
      <c r="J2152" s="6">
        <v>0</v>
      </c>
    </row>
    <row r="2153" spans="2:10" outlineLevel="1" x14ac:dyDescent="0.25">
      <c r="B2153" s="3" t="s">
        <v>1234</v>
      </c>
      <c r="C2153" s="3" t="s">
        <v>1235</v>
      </c>
      <c r="D2153" s="3" t="s">
        <v>1236</v>
      </c>
      <c r="E2153" s="3" t="s">
        <v>504</v>
      </c>
      <c r="F2153" s="3" t="s">
        <v>2176</v>
      </c>
      <c r="G2153" s="6">
        <v>0</v>
      </c>
      <c r="H2153" s="6">
        <v>0</v>
      </c>
      <c r="I2153" s="6">
        <v>0</v>
      </c>
      <c r="J2153" s="6">
        <v>0</v>
      </c>
    </row>
    <row r="2154" spans="2:10" outlineLevel="1" x14ac:dyDescent="0.25">
      <c r="B2154" s="3" t="s">
        <v>1234</v>
      </c>
      <c r="C2154" s="3" t="s">
        <v>1235</v>
      </c>
      <c r="D2154" s="3" t="s">
        <v>1236</v>
      </c>
      <c r="E2154" s="3" t="s">
        <v>936</v>
      </c>
      <c r="F2154" s="3" t="s">
        <v>2177</v>
      </c>
      <c r="G2154" s="6">
        <v>0</v>
      </c>
      <c r="H2154" s="6">
        <v>0</v>
      </c>
      <c r="I2154" s="6">
        <v>0</v>
      </c>
      <c r="J2154" s="6">
        <v>0</v>
      </c>
    </row>
    <row r="2155" spans="2:10" outlineLevel="1" x14ac:dyDescent="0.25">
      <c r="B2155" s="3" t="s">
        <v>1234</v>
      </c>
      <c r="C2155" s="3" t="s">
        <v>1235</v>
      </c>
      <c r="D2155" s="3" t="s">
        <v>1236</v>
      </c>
      <c r="E2155" s="3" t="s">
        <v>498</v>
      </c>
      <c r="F2155" s="3" t="s">
        <v>2178</v>
      </c>
      <c r="G2155" s="6">
        <v>0</v>
      </c>
      <c r="H2155" s="6">
        <v>0</v>
      </c>
      <c r="I2155" s="6">
        <v>0</v>
      </c>
      <c r="J2155" s="6">
        <v>0</v>
      </c>
    </row>
    <row r="2156" spans="2:10" outlineLevel="1" x14ac:dyDescent="0.25">
      <c r="B2156" s="3" t="s">
        <v>1234</v>
      </c>
      <c r="C2156" s="3" t="s">
        <v>1235</v>
      </c>
      <c r="D2156" s="3" t="s">
        <v>1236</v>
      </c>
      <c r="E2156" s="3" t="s">
        <v>500</v>
      </c>
      <c r="F2156" s="3" t="s">
        <v>2179</v>
      </c>
      <c r="G2156" s="6">
        <v>0</v>
      </c>
      <c r="H2156" s="6">
        <v>0</v>
      </c>
      <c r="I2156" s="6">
        <v>0</v>
      </c>
      <c r="J2156" s="6">
        <v>0</v>
      </c>
    </row>
    <row r="2157" spans="2:10" outlineLevel="1" x14ac:dyDescent="0.25">
      <c r="B2157" s="3" t="s">
        <v>1234</v>
      </c>
      <c r="C2157" s="3" t="s">
        <v>1235</v>
      </c>
      <c r="D2157" s="3" t="s">
        <v>1236</v>
      </c>
      <c r="E2157" s="3" t="s">
        <v>381</v>
      </c>
      <c r="F2157" s="3" t="s">
        <v>2180</v>
      </c>
      <c r="G2157" s="6">
        <v>0</v>
      </c>
      <c r="H2157" s="6">
        <v>0</v>
      </c>
      <c r="I2157" s="6">
        <v>0</v>
      </c>
      <c r="J2157" s="6">
        <v>0</v>
      </c>
    </row>
    <row r="2158" spans="2:10" outlineLevel="1" x14ac:dyDescent="0.25">
      <c r="B2158" s="3" t="s">
        <v>1234</v>
      </c>
      <c r="C2158" s="3" t="s">
        <v>1235</v>
      </c>
      <c r="D2158" s="3" t="s">
        <v>1236</v>
      </c>
      <c r="E2158" s="3" t="s">
        <v>502</v>
      </c>
      <c r="F2158" s="3" t="s">
        <v>2181</v>
      </c>
      <c r="G2158" s="6">
        <v>0</v>
      </c>
      <c r="H2158" s="6">
        <v>0</v>
      </c>
      <c r="I2158" s="6">
        <v>0</v>
      </c>
      <c r="J2158" s="6">
        <v>0</v>
      </c>
    </row>
    <row r="2159" spans="2:10" outlineLevel="1" x14ac:dyDescent="0.25">
      <c r="B2159" s="3" t="s">
        <v>1234</v>
      </c>
      <c r="C2159" s="3" t="s">
        <v>1235</v>
      </c>
      <c r="D2159" s="3" t="s">
        <v>1236</v>
      </c>
      <c r="E2159" s="3" t="s">
        <v>380</v>
      </c>
      <c r="F2159" s="3" t="s">
        <v>2182</v>
      </c>
      <c r="G2159" s="6">
        <v>0</v>
      </c>
      <c r="H2159" s="6">
        <v>0</v>
      </c>
      <c r="I2159" s="6">
        <v>0</v>
      </c>
      <c r="J2159" s="6">
        <v>0</v>
      </c>
    </row>
    <row r="2160" spans="2:10" outlineLevel="1" x14ac:dyDescent="0.25">
      <c r="B2160" s="3" t="s">
        <v>1234</v>
      </c>
      <c r="C2160" s="3" t="s">
        <v>1235</v>
      </c>
      <c r="D2160" s="3" t="s">
        <v>1236</v>
      </c>
      <c r="E2160" s="3" t="s">
        <v>2183</v>
      </c>
      <c r="F2160" s="3" t="s">
        <v>2184</v>
      </c>
      <c r="G2160" s="6">
        <v>0</v>
      </c>
      <c r="H2160" s="6">
        <v>0</v>
      </c>
      <c r="I2160" s="6">
        <v>0</v>
      </c>
      <c r="J2160" s="6">
        <v>0</v>
      </c>
    </row>
    <row r="2161" spans="2:10" outlineLevel="1" x14ac:dyDescent="0.25">
      <c r="B2161" s="3" t="s">
        <v>1234</v>
      </c>
      <c r="C2161" s="3" t="s">
        <v>1235</v>
      </c>
      <c r="D2161" s="3" t="s">
        <v>1236</v>
      </c>
      <c r="E2161" s="3" t="s">
        <v>746</v>
      </c>
      <c r="F2161" s="3" t="s">
        <v>2185</v>
      </c>
      <c r="G2161" s="6">
        <v>0</v>
      </c>
      <c r="H2161" s="6">
        <v>0</v>
      </c>
      <c r="I2161" s="6">
        <v>0</v>
      </c>
      <c r="J2161" s="6">
        <v>0</v>
      </c>
    </row>
    <row r="2162" spans="2:10" outlineLevel="1" x14ac:dyDescent="0.25">
      <c r="B2162" s="3" t="s">
        <v>1234</v>
      </c>
      <c r="C2162" s="3" t="s">
        <v>1235</v>
      </c>
      <c r="D2162" s="3" t="s">
        <v>1236</v>
      </c>
      <c r="E2162" s="3" t="s">
        <v>748</v>
      </c>
      <c r="F2162" s="3" t="s">
        <v>2186</v>
      </c>
      <c r="G2162" s="6">
        <v>0</v>
      </c>
      <c r="H2162" s="6">
        <v>0</v>
      </c>
      <c r="I2162" s="6">
        <v>0</v>
      </c>
      <c r="J2162" s="6">
        <v>0</v>
      </c>
    </row>
    <row r="2163" spans="2:10" outlineLevel="1" x14ac:dyDescent="0.25">
      <c r="B2163" s="3" t="s">
        <v>1234</v>
      </c>
      <c r="C2163" s="3" t="s">
        <v>1235</v>
      </c>
      <c r="D2163" s="3" t="s">
        <v>1236</v>
      </c>
      <c r="E2163" s="3" t="s">
        <v>743</v>
      </c>
      <c r="F2163" s="3" t="s">
        <v>2187</v>
      </c>
      <c r="G2163" s="6">
        <v>0</v>
      </c>
      <c r="H2163" s="6">
        <v>0</v>
      </c>
      <c r="I2163" s="6">
        <v>0</v>
      </c>
      <c r="J2163" s="6">
        <v>0</v>
      </c>
    </row>
    <row r="2164" spans="2:10" outlineLevel="1" x14ac:dyDescent="0.25">
      <c r="B2164" s="3" t="s">
        <v>1234</v>
      </c>
      <c r="C2164" s="3" t="s">
        <v>1235</v>
      </c>
      <c r="D2164" s="3" t="s">
        <v>1236</v>
      </c>
      <c r="E2164" s="3" t="s">
        <v>2188</v>
      </c>
      <c r="F2164" s="3" t="s">
        <v>2189</v>
      </c>
      <c r="G2164" s="6">
        <v>0</v>
      </c>
      <c r="H2164" s="6">
        <v>0</v>
      </c>
      <c r="I2164" s="6">
        <v>0</v>
      </c>
      <c r="J2164" s="6">
        <v>0</v>
      </c>
    </row>
    <row r="2165" spans="2:10" outlineLevel="1" x14ac:dyDescent="0.25">
      <c r="B2165" s="3" t="s">
        <v>1234</v>
      </c>
      <c r="C2165" s="3" t="s">
        <v>1235</v>
      </c>
      <c r="D2165" s="3" t="s">
        <v>1236</v>
      </c>
      <c r="E2165" s="3" t="s">
        <v>750</v>
      </c>
      <c r="F2165" s="3" t="s">
        <v>2190</v>
      </c>
      <c r="G2165" s="6">
        <v>0</v>
      </c>
      <c r="H2165" s="6">
        <v>0</v>
      </c>
      <c r="I2165" s="6">
        <v>0</v>
      </c>
      <c r="J2165" s="6">
        <v>0</v>
      </c>
    </row>
    <row r="2166" spans="2:10" outlineLevel="1" x14ac:dyDescent="0.25">
      <c r="B2166" s="3" t="s">
        <v>1234</v>
      </c>
      <c r="C2166" s="3" t="s">
        <v>1235</v>
      </c>
      <c r="D2166" s="3" t="s">
        <v>1236</v>
      </c>
      <c r="E2166" s="3" t="s">
        <v>669</v>
      </c>
      <c r="F2166" s="3" t="s">
        <v>2191</v>
      </c>
      <c r="G2166" s="6">
        <v>0</v>
      </c>
      <c r="H2166" s="3"/>
      <c r="I2166" s="6">
        <v>0</v>
      </c>
      <c r="J2166" s="6">
        <v>0</v>
      </c>
    </row>
    <row r="2167" spans="2:10" outlineLevel="1" x14ac:dyDescent="0.25">
      <c r="B2167" s="3" t="s">
        <v>1234</v>
      </c>
      <c r="C2167" s="3" t="s">
        <v>1235</v>
      </c>
      <c r="D2167" s="3" t="s">
        <v>1236</v>
      </c>
      <c r="E2167" s="3" t="s">
        <v>809</v>
      </c>
      <c r="F2167" s="3" t="s">
        <v>2192</v>
      </c>
      <c r="G2167" s="6">
        <v>0</v>
      </c>
      <c r="H2167" s="3"/>
      <c r="I2167" s="6">
        <v>0</v>
      </c>
      <c r="J2167" s="6">
        <v>0</v>
      </c>
    </row>
    <row r="2168" spans="2:10" outlineLevel="1" x14ac:dyDescent="0.25">
      <c r="B2168" s="3" t="s">
        <v>1234</v>
      </c>
      <c r="C2168" s="3" t="s">
        <v>1235</v>
      </c>
      <c r="D2168" s="3" t="s">
        <v>1236</v>
      </c>
      <c r="E2168" s="3" t="s">
        <v>667</v>
      </c>
      <c r="F2168" s="3" t="s">
        <v>2193</v>
      </c>
      <c r="G2168" s="6">
        <v>0</v>
      </c>
      <c r="H2168" s="3"/>
      <c r="I2168" s="6">
        <v>0</v>
      </c>
      <c r="J2168" s="6">
        <v>0</v>
      </c>
    </row>
    <row r="2169" spans="2:10" outlineLevel="1" x14ac:dyDescent="0.25">
      <c r="B2169" s="3" t="s">
        <v>1234</v>
      </c>
      <c r="C2169" s="3" t="s">
        <v>1235</v>
      </c>
      <c r="D2169" s="3" t="s">
        <v>1236</v>
      </c>
      <c r="E2169" s="3" t="s">
        <v>675</v>
      </c>
      <c r="F2169" s="3" t="s">
        <v>2194</v>
      </c>
      <c r="G2169" s="6">
        <v>0</v>
      </c>
      <c r="H2169" s="3"/>
      <c r="I2169" s="6">
        <v>0</v>
      </c>
      <c r="J2169" s="6">
        <v>0</v>
      </c>
    </row>
    <row r="2170" spans="2:10" outlineLevel="1" x14ac:dyDescent="0.25">
      <c r="B2170" s="3" t="s">
        <v>1234</v>
      </c>
      <c r="C2170" s="3" t="s">
        <v>1235</v>
      </c>
      <c r="D2170" s="3" t="s">
        <v>1236</v>
      </c>
      <c r="E2170" s="3" t="s">
        <v>738</v>
      </c>
      <c r="F2170" s="3" t="s">
        <v>2195</v>
      </c>
      <c r="G2170" s="6">
        <v>0</v>
      </c>
      <c r="H2170" s="3"/>
      <c r="I2170" s="6">
        <v>0</v>
      </c>
      <c r="J2170" s="6">
        <v>0</v>
      </c>
    </row>
    <row r="2171" spans="2:10" outlineLevel="1" x14ac:dyDescent="0.25">
      <c r="B2171" s="3" t="s">
        <v>1234</v>
      </c>
      <c r="C2171" s="3" t="s">
        <v>1235</v>
      </c>
      <c r="D2171" s="3" t="s">
        <v>1236</v>
      </c>
      <c r="E2171" s="3" t="s">
        <v>686</v>
      </c>
      <c r="F2171" s="3" t="s">
        <v>2196</v>
      </c>
      <c r="G2171" s="6">
        <v>0</v>
      </c>
      <c r="H2171" s="3"/>
      <c r="I2171" s="6">
        <v>0</v>
      </c>
      <c r="J2171" s="6">
        <v>0</v>
      </c>
    </row>
    <row r="2172" spans="2:10" outlineLevel="1" x14ac:dyDescent="0.25">
      <c r="B2172" s="3" t="s">
        <v>1234</v>
      </c>
      <c r="C2172" s="3" t="s">
        <v>1235</v>
      </c>
      <c r="D2172" s="3" t="s">
        <v>1236</v>
      </c>
      <c r="E2172" s="3" t="s">
        <v>688</v>
      </c>
      <c r="F2172" s="3" t="s">
        <v>2197</v>
      </c>
      <c r="G2172" s="6">
        <v>0</v>
      </c>
      <c r="H2172" s="3"/>
      <c r="I2172" s="6">
        <v>0</v>
      </c>
      <c r="J2172" s="6">
        <v>0</v>
      </c>
    </row>
    <row r="2173" spans="2:10" outlineLevel="1" x14ac:dyDescent="0.25">
      <c r="B2173" s="3" t="s">
        <v>1234</v>
      </c>
      <c r="C2173" s="3" t="s">
        <v>1235</v>
      </c>
      <c r="D2173" s="3" t="s">
        <v>1236</v>
      </c>
      <c r="E2173" s="3" t="s">
        <v>690</v>
      </c>
      <c r="F2173" s="3" t="s">
        <v>2198</v>
      </c>
      <c r="G2173" s="6">
        <v>0</v>
      </c>
      <c r="H2173" s="3"/>
      <c r="I2173" s="6">
        <v>0</v>
      </c>
      <c r="J2173" s="6">
        <v>0</v>
      </c>
    </row>
    <row r="2174" spans="2:10" outlineLevel="1" x14ac:dyDescent="0.25">
      <c r="B2174" s="3" t="s">
        <v>1234</v>
      </c>
      <c r="C2174" s="3" t="s">
        <v>1235</v>
      </c>
      <c r="D2174" s="3" t="s">
        <v>1236</v>
      </c>
      <c r="E2174" s="3" t="s">
        <v>716</v>
      </c>
      <c r="F2174" s="3" t="s">
        <v>2199</v>
      </c>
      <c r="G2174" s="6">
        <v>0</v>
      </c>
      <c r="H2174" s="3"/>
      <c r="I2174" s="6">
        <v>0</v>
      </c>
      <c r="J2174" s="6">
        <v>0</v>
      </c>
    </row>
    <row r="2175" spans="2:10" outlineLevel="1" x14ac:dyDescent="0.25">
      <c r="B2175" s="3" t="s">
        <v>1234</v>
      </c>
      <c r="C2175" s="3" t="s">
        <v>1235</v>
      </c>
      <c r="D2175" s="3" t="s">
        <v>1236</v>
      </c>
      <c r="E2175" s="3" t="s">
        <v>696</v>
      </c>
      <c r="F2175" s="3" t="s">
        <v>2200</v>
      </c>
      <c r="G2175" s="6">
        <v>0</v>
      </c>
      <c r="H2175" s="3"/>
      <c r="I2175" s="6">
        <v>0</v>
      </c>
      <c r="J2175" s="6">
        <v>0</v>
      </c>
    </row>
    <row r="2176" spans="2:10" outlineLevel="1" x14ac:dyDescent="0.25">
      <c r="B2176" s="3" t="s">
        <v>1234</v>
      </c>
      <c r="C2176" s="3" t="s">
        <v>1235</v>
      </c>
      <c r="D2176" s="3" t="s">
        <v>1236</v>
      </c>
      <c r="E2176" s="3" t="s">
        <v>736</v>
      </c>
      <c r="F2176" s="3" t="s">
        <v>2201</v>
      </c>
      <c r="G2176" s="6">
        <v>0</v>
      </c>
      <c r="H2176" s="3"/>
      <c r="I2176" s="6">
        <v>0</v>
      </c>
      <c r="J2176" s="6">
        <v>0</v>
      </c>
    </row>
    <row r="2177" spans="2:10" outlineLevel="1" x14ac:dyDescent="0.25">
      <c r="B2177" s="3" t="s">
        <v>1234</v>
      </c>
      <c r="C2177" s="3" t="s">
        <v>1235</v>
      </c>
      <c r="D2177" s="3" t="s">
        <v>1236</v>
      </c>
      <c r="E2177" s="3" t="s">
        <v>770</v>
      </c>
      <c r="F2177" s="3" t="s">
        <v>2202</v>
      </c>
      <c r="G2177" s="6">
        <v>0</v>
      </c>
      <c r="H2177" s="6">
        <v>0</v>
      </c>
      <c r="I2177" s="6">
        <v>0</v>
      </c>
      <c r="J2177" s="6">
        <v>0</v>
      </c>
    </row>
    <row r="2178" spans="2:10" outlineLevel="1" x14ac:dyDescent="0.25">
      <c r="B2178" s="3" t="s">
        <v>1234</v>
      </c>
      <c r="C2178" s="3" t="s">
        <v>1235</v>
      </c>
      <c r="D2178" s="3" t="s">
        <v>1236</v>
      </c>
      <c r="E2178" s="3" t="s">
        <v>685</v>
      </c>
      <c r="F2178" s="3" t="s">
        <v>2203</v>
      </c>
      <c r="G2178" s="6">
        <v>0</v>
      </c>
      <c r="H2178" s="3"/>
      <c r="I2178" s="6">
        <v>0</v>
      </c>
      <c r="J2178" s="6">
        <v>0</v>
      </c>
    </row>
    <row r="2179" spans="2:10" outlineLevel="1" x14ac:dyDescent="0.25">
      <c r="B2179" s="3" t="s">
        <v>1234</v>
      </c>
      <c r="C2179" s="3" t="s">
        <v>1235</v>
      </c>
      <c r="D2179" s="3" t="s">
        <v>1236</v>
      </c>
      <c r="E2179" s="3" t="s">
        <v>286</v>
      </c>
      <c r="F2179" s="3" t="s">
        <v>2204</v>
      </c>
      <c r="G2179" s="6">
        <v>0</v>
      </c>
      <c r="H2179" s="3"/>
      <c r="I2179" s="6">
        <v>0</v>
      </c>
      <c r="J2179" s="6">
        <v>0</v>
      </c>
    </row>
    <row r="2180" spans="2:10" outlineLevel="1" x14ac:dyDescent="0.25">
      <c r="B2180" s="3" t="s">
        <v>1234</v>
      </c>
      <c r="C2180" s="3" t="s">
        <v>1235</v>
      </c>
      <c r="D2180" s="3" t="s">
        <v>1236</v>
      </c>
      <c r="E2180" s="3" t="s">
        <v>745</v>
      </c>
      <c r="F2180" s="3" t="s">
        <v>2205</v>
      </c>
      <c r="G2180" s="6">
        <v>0</v>
      </c>
      <c r="H2180" s="3"/>
      <c r="I2180" s="6">
        <v>0</v>
      </c>
      <c r="J2180" s="6">
        <v>0</v>
      </c>
    </row>
    <row r="2181" spans="2:10" outlineLevel="1" x14ac:dyDescent="0.25">
      <c r="B2181" s="3" t="s">
        <v>1234</v>
      </c>
      <c r="C2181" s="3" t="s">
        <v>1235</v>
      </c>
      <c r="D2181" s="3" t="s">
        <v>1236</v>
      </c>
      <c r="E2181" s="3" t="s">
        <v>766</v>
      </c>
      <c r="F2181" s="3" t="s">
        <v>2206</v>
      </c>
      <c r="G2181" s="6">
        <v>0</v>
      </c>
      <c r="H2181" s="3"/>
      <c r="I2181" s="6">
        <v>0</v>
      </c>
      <c r="J2181" s="6">
        <v>0</v>
      </c>
    </row>
    <row r="2182" spans="2:10" outlineLevel="1" x14ac:dyDescent="0.25">
      <c r="B2182" s="3" t="s">
        <v>1234</v>
      </c>
      <c r="C2182" s="3" t="s">
        <v>1235</v>
      </c>
      <c r="D2182" s="3" t="s">
        <v>1236</v>
      </c>
      <c r="E2182" s="3" t="s">
        <v>274</v>
      </c>
      <c r="F2182" s="3" t="s">
        <v>2207</v>
      </c>
      <c r="G2182" s="6">
        <v>0</v>
      </c>
      <c r="H2182" s="3"/>
      <c r="I2182" s="6">
        <v>0</v>
      </c>
      <c r="J2182" s="6">
        <v>0</v>
      </c>
    </row>
    <row r="2183" spans="2:10" outlineLevel="1" x14ac:dyDescent="0.25">
      <c r="B2183" s="3" t="s">
        <v>1234</v>
      </c>
      <c r="C2183" s="3" t="s">
        <v>1235</v>
      </c>
      <c r="D2183" s="3" t="s">
        <v>1236</v>
      </c>
      <c r="E2183" s="3" t="s">
        <v>276</v>
      </c>
      <c r="F2183" s="3" t="s">
        <v>2208</v>
      </c>
      <c r="G2183" s="6">
        <v>0</v>
      </c>
      <c r="H2183" s="3"/>
      <c r="I2183" s="6">
        <v>0</v>
      </c>
      <c r="J2183" s="6">
        <v>0</v>
      </c>
    </row>
    <row r="2184" spans="2:10" outlineLevel="1" x14ac:dyDescent="0.25">
      <c r="B2184" s="3" t="s">
        <v>1234</v>
      </c>
      <c r="C2184" s="3" t="s">
        <v>1235</v>
      </c>
      <c r="D2184" s="3" t="s">
        <v>1236</v>
      </c>
      <c r="E2184" s="3" t="s">
        <v>15</v>
      </c>
      <c r="F2184" s="3" t="s">
        <v>2209</v>
      </c>
      <c r="G2184" s="6">
        <v>0</v>
      </c>
      <c r="H2184" s="3"/>
      <c r="I2184" s="6">
        <v>0</v>
      </c>
      <c r="J2184" s="6">
        <v>0</v>
      </c>
    </row>
    <row r="2185" spans="2:10" outlineLevel="1" x14ac:dyDescent="0.25">
      <c r="B2185" s="3" t="s">
        <v>1234</v>
      </c>
      <c r="C2185" s="3" t="s">
        <v>1235</v>
      </c>
      <c r="D2185" s="3" t="s">
        <v>1236</v>
      </c>
      <c r="E2185" s="3" t="s">
        <v>827</v>
      </c>
      <c r="F2185" s="3" t="s">
        <v>2210</v>
      </c>
      <c r="G2185" s="6">
        <v>0</v>
      </c>
      <c r="H2185" s="3"/>
      <c r="I2185" s="6">
        <v>0</v>
      </c>
      <c r="J2185" s="6">
        <v>0</v>
      </c>
    </row>
    <row r="2186" spans="2:10" outlineLevel="1" x14ac:dyDescent="0.25">
      <c r="B2186" s="3" t="s">
        <v>1234</v>
      </c>
      <c r="C2186" s="3" t="s">
        <v>1235</v>
      </c>
      <c r="D2186" s="3" t="s">
        <v>1236</v>
      </c>
      <c r="E2186" s="3" t="s">
        <v>865</v>
      </c>
      <c r="F2186" s="3" t="s">
        <v>2211</v>
      </c>
      <c r="G2186" s="6">
        <v>0</v>
      </c>
      <c r="H2186" s="3"/>
      <c r="I2186" s="6">
        <v>0</v>
      </c>
      <c r="J2186" s="6">
        <v>0</v>
      </c>
    </row>
    <row r="2187" spans="2:10" outlineLevel="1" x14ac:dyDescent="0.25">
      <c r="B2187" s="3" t="s">
        <v>1234</v>
      </c>
      <c r="C2187" s="3" t="s">
        <v>1235</v>
      </c>
      <c r="D2187" s="3" t="s">
        <v>1236</v>
      </c>
      <c r="E2187" s="3" t="s">
        <v>885</v>
      </c>
      <c r="F2187" s="3" t="s">
        <v>2212</v>
      </c>
      <c r="G2187" s="6">
        <v>0</v>
      </c>
      <c r="H2187" s="3"/>
      <c r="I2187" s="6">
        <v>0</v>
      </c>
      <c r="J2187" s="6">
        <v>0</v>
      </c>
    </row>
    <row r="2188" spans="2:10" outlineLevel="1" x14ac:dyDescent="0.25">
      <c r="B2188" s="3" t="s">
        <v>1234</v>
      </c>
      <c r="C2188" s="3" t="s">
        <v>1235</v>
      </c>
      <c r="D2188" s="3" t="s">
        <v>1236</v>
      </c>
      <c r="E2188" s="3" t="s">
        <v>851</v>
      </c>
      <c r="F2188" s="3" t="s">
        <v>2213</v>
      </c>
      <c r="G2188" s="6">
        <v>0</v>
      </c>
      <c r="H2188" s="3"/>
      <c r="I2188" s="6">
        <v>0</v>
      </c>
      <c r="J2188" s="6">
        <v>0</v>
      </c>
    </row>
    <row r="2189" spans="2:10" outlineLevel="1" x14ac:dyDescent="0.25">
      <c r="B2189" s="3" t="s">
        <v>1234</v>
      </c>
      <c r="C2189" s="3" t="s">
        <v>1235</v>
      </c>
      <c r="D2189" s="3" t="s">
        <v>1236</v>
      </c>
      <c r="E2189" s="3" t="s">
        <v>863</v>
      </c>
      <c r="F2189" s="3" t="s">
        <v>2214</v>
      </c>
      <c r="G2189" s="6">
        <v>0</v>
      </c>
      <c r="H2189" s="3"/>
      <c r="I2189" s="6">
        <v>0</v>
      </c>
      <c r="J2189" s="6">
        <v>0</v>
      </c>
    </row>
    <row r="2190" spans="2:10" outlineLevel="1" x14ac:dyDescent="0.25">
      <c r="B2190" s="3" t="s">
        <v>1234</v>
      </c>
      <c r="C2190" s="3" t="s">
        <v>1235</v>
      </c>
      <c r="D2190" s="3" t="s">
        <v>1236</v>
      </c>
      <c r="E2190" s="3" t="s">
        <v>2215</v>
      </c>
      <c r="F2190" s="3" t="s">
        <v>2216</v>
      </c>
      <c r="G2190" s="6">
        <v>0</v>
      </c>
      <c r="H2190" s="3"/>
      <c r="I2190" s="6">
        <v>0</v>
      </c>
      <c r="J2190" s="6">
        <v>0</v>
      </c>
    </row>
    <row r="2191" spans="2:10" outlineLevel="1" x14ac:dyDescent="0.25">
      <c r="B2191" s="3" t="s">
        <v>1234</v>
      </c>
      <c r="C2191" s="3" t="s">
        <v>1235</v>
      </c>
      <c r="D2191" s="3" t="s">
        <v>1236</v>
      </c>
      <c r="E2191" s="3" t="s">
        <v>823</v>
      </c>
      <c r="F2191" s="3" t="s">
        <v>2217</v>
      </c>
      <c r="G2191" s="6">
        <v>0</v>
      </c>
      <c r="H2191" s="3"/>
      <c r="I2191" s="6">
        <v>0</v>
      </c>
      <c r="J2191" s="6">
        <v>0</v>
      </c>
    </row>
    <row r="2192" spans="2:10" outlineLevel="1" x14ac:dyDescent="0.25">
      <c r="B2192" s="3" t="s">
        <v>1234</v>
      </c>
      <c r="C2192" s="3" t="s">
        <v>1235</v>
      </c>
      <c r="D2192" s="3" t="s">
        <v>1236</v>
      </c>
      <c r="E2192" s="3" t="s">
        <v>21</v>
      </c>
      <c r="F2192" s="3" t="s">
        <v>2218</v>
      </c>
      <c r="G2192" s="6">
        <v>0</v>
      </c>
      <c r="H2192" s="3"/>
      <c r="I2192" s="6">
        <v>0</v>
      </c>
      <c r="J2192" s="6">
        <v>0</v>
      </c>
    </row>
    <row r="2193" spans="2:10" outlineLevel="1" x14ac:dyDescent="0.25">
      <c r="B2193" s="3" t="s">
        <v>1234</v>
      </c>
      <c r="C2193" s="3" t="s">
        <v>1235</v>
      </c>
      <c r="D2193" s="3" t="s">
        <v>1236</v>
      </c>
      <c r="E2193" s="3" t="s">
        <v>50</v>
      </c>
      <c r="F2193" s="3" t="s">
        <v>2219</v>
      </c>
      <c r="G2193" s="6">
        <v>0</v>
      </c>
      <c r="H2193" s="3"/>
      <c r="I2193" s="6">
        <v>0</v>
      </c>
      <c r="J2193" s="6">
        <v>0</v>
      </c>
    </row>
    <row r="2194" spans="2:10" outlineLevel="1" x14ac:dyDescent="0.25">
      <c r="B2194" s="3" t="s">
        <v>1234</v>
      </c>
      <c r="C2194" s="3" t="s">
        <v>1235</v>
      </c>
      <c r="D2194" s="3" t="s">
        <v>1236</v>
      </c>
      <c r="E2194" s="3" t="s">
        <v>76</v>
      </c>
      <c r="F2194" s="3" t="s">
        <v>2220</v>
      </c>
      <c r="G2194" s="6">
        <v>0</v>
      </c>
      <c r="H2194" s="3"/>
      <c r="I2194" s="6">
        <v>0</v>
      </c>
      <c r="J2194" s="6">
        <v>0</v>
      </c>
    </row>
    <row r="2195" spans="2:10" outlineLevel="1" x14ac:dyDescent="0.25">
      <c r="B2195" s="3" t="s">
        <v>1234</v>
      </c>
      <c r="C2195" s="3" t="s">
        <v>1235</v>
      </c>
      <c r="D2195" s="3" t="s">
        <v>1236</v>
      </c>
      <c r="E2195" s="3" t="s">
        <v>106</v>
      </c>
      <c r="F2195" s="3" t="s">
        <v>2221</v>
      </c>
      <c r="G2195" s="6">
        <v>0</v>
      </c>
      <c r="H2195" s="3"/>
      <c r="I2195" s="6">
        <v>0</v>
      </c>
      <c r="J2195" s="6">
        <v>0</v>
      </c>
    </row>
    <row r="2196" spans="2:10" outlineLevel="1" x14ac:dyDescent="0.25">
      <c r="B2196" s="3" t="s">
        <v>1234</v>
      </c>
      <c r="C2196" s="3" t="s">
        <v>1235</v>
      </c>
      <c r="D2196" s="3" t="s">
        <v>1236</v>
      </c>
      <c r="E2196" s="3" t="s">
        <v>172</v>
      </c>
      <c r="F2196" s="3" t="s">
        <v>2222</v>
      </c>
      <c r="G2196" s="6">
        <v>0</v>
      </c>
      <c r="H2196" s="3"/>
      <c r="I2196" s="6">
        <v>0</v>
      </c>
      <c r="J2196" s="6">
        <v>0</v>
      </c>
    </row>
    <row r="2197" spans="2:10" outlineLevel="1" x14ac:dyDescent="0.25">
      <c r="B2197" s="3" t="s">
        <v>1234</v>
      </c>
      <c r="C2197" s="3" t="s">
        <v>1235</v>
      </c>
      <c r="D2197" s="3" t="s">
        <v>1236</v>
      </c>
      <c r="E2197" s="3" t="s">
        <v>23</v>
      </c>
      <c r="F2197" s="3" t="s">
        <v>2223</v>
      </c>
      <c r="G2197" s="6">
        <v>0</v>
      </c>
      <c r="H2197" s="3"/>
      <c r="I2197" s="6">
        <v>0</v>
      </c>
      <c r="J2197" s="6">
        <v>0</v>
      </c>
    </row>
    <row r="2198" spans="2:10" outlineLevel="1" x14ac:dyDescent="0.25">
      <c r="B2198" s="3" t="s">
        <v>1234</v>
      </c>
      <c r="C2198" s="3" t="s">
        <v>1235</v>
      </c>
      <c r="D2198" s="3" t="s">
        <v>1236</v>
      </c>
      <c r="E2198" s="3" t="s">
        <v>54</v>
      </c>
      <c r="F2198" s="3" t="s">
        <v>2224</v>
      </c>
      <c r="G2198" s="6">
        <v>0</v>
      </c>
      <c r="H2198" s="3"/>
      <c r="I2198" s="6">
        <v>0</v>
      </c>
      <c r="J2198" s="6">
        <v>0</v>
      </c>
    </row>
    <row r="2199" spans="2:10" outlineLevel="1" x14ac:dyDescent="0.25">
      <c r="B2199" s="3" t="s">
        <v>1234</v>
      </c>
      <c r="C2199" s="3" t="s">
        <v>1235</v>
      </c>
      <c r="D2199" s="3" t="s">
        <v>1236</v>
      </c>
      <c r="E2199" s="3" t="s">
        <v>100</v>
      </c>
      <c r="F2199" s="3" t="s">
        <v>2225</v>
      </c>
      <c r="G2199" s="6">
        <v>0</v>
      </c>
      <c r="H2199" s="3"/>
      <c r="I2199" s="6">
        <v>0</v>
      </c>
      <c r="J2199" s="6">
        <v>0</v>
      </c>
    </row>
    <row r="2200" spans="2:10" outlineLevel="1" x14ac:dyDescent="0.25">
      <c r="B2200" s="3" t="s">
        <v>1234</v>
      </c>
      <c r="C2200" s="3" t="s">
        <v>1235</v>
      </c>
      <c r="D2200" s="3" t="s">
        <v>1236</v>
      </c>
      <c r="E2200" s="3" t="s">
        <v>146</v>
      </c>
      <c r="F2200" s="3" t="s">
        <v>2226</v>
      </c>
      <c r="G2200" s="6">
        <v>0</v>
      </c>
      <c r="H2200" s="3"/>
      <c r="I2200" s="6">
        <v>0</v>
      </c>
      <c r="J2200" s="6">
        <v>0</v>
      </c>
    </row>
    <row r="2201" spans="2:10" outlineLevel="1" x14ac:dyDescent="0.25">
      <c r="B2201" s="3" t="s">
        <v>1234</v>
      </c>
      <c r="C2201" s="3" t="s">
        <v>1235</v>
      </c>
      <c r="D2201" s="3" t="s">
        <v>1236</v>
      </c>
      <c r="E2201" s="3" t="s">
        <v>142</v>
      </c>
      <c r="F2201" s="3" t="s">
        <v>2227</v>
      </c>
      <c r="G2201" s="6">
        <v>0</v>
      </c>
      <c r="H2201" s="3"/>
      <c r="I2201" s="6">
        <v>0</v>
      </c>
      <c r="J2201" s="6">
        <v>0</v>
      </c>
    </row>
    <row r="2202" spans="2:10" outlineLevel="1" x14ac:dyDescent="0.25">
      <c r="B2202" s="3" t="s">
        <v>1234</v>
      </c>
      <c r="C2202" s="3" t="s">
        <v>1235</v>
      </c>
      <c r="D2202" s="3" t="s">
        <v>1236</v>
      </c>
      <c r="E2202" s="3" t="s">
        <v>39</v>
      </c>
      <c r="F2202" s="3" t="s">
        <v>2228</v>
      </c>
      <c r="G2202" s="6">
        <v>0</v>
      </c>
      <c r="H2202" s="3"/>
      <c r="I2202" s="6">
        <v>0</v>
      </c>
      <c r="J2202" s="6">
        <v>0</v>
      </c>
    </row>
    <row r="2203" spans="2:10" outlineLevel="1" x14ac:dyDescent="0.25">
      <c r="B2203" s="3" t="s">
        <v>1234</v>
      </c>
      <c r="C2203" s="3" t="s">
        <v>1235</v>
      </c>
      <c r="D2203" s="3" t="s">
        <v>1236</v>
      </c>
      <c r="E2203" s="3" t="s">
        <v>96</v>
      </c>
      <c r="F2203" s="3" t="s">
        <v>2229</v>
      </c>
      <c r="G2203" s="6">
        <v>0</v>
      </c>
      <c r="H2203" s="3"/>
      <c r="I2203" s="6">
        <v>0</v>
      </c>
      <c r="J2203" s="6">
        <v>0</v>
      </c>
    </row>
    <row r="2204" spans="2:10" outlineLevel="1" x14ac:dyDescent="0.25">
      <c r="B2204" s="3" t="s">
        <v>1234</v>
      </c>
      <c r="C2204" s="3" t="s">
        <v>1235</v>
      </c>
      <c r="D2204" s="3" t="s">
        <v>1236</v>
      </c>
      <c r="E2204" s="3" t="s">
        <v>112</v>
      </c>
      <c r="F2204" s="3" t="s">
        <v>2230</v>
      </c>
      <c r="G2204" s="6">
        <v>0</v>
      </c>
      <c r="H2204" s="3"/>
      <c r="I2204" s="6">
        <v>0</v>
      </c>
      <c r="J2204" s="6">
        <v>0</v>
      </c>
    </row>
    <row r="2205" spans="2:10" outlineLevel="1" x14ac:dyDescent="0.25">
      <c r="B2205" s="3" t="s">
        <v>1234</v>
      </c>
      <c r="C2205" s="3" t="s">
        <v>1235</v>
      </c>
      <c r="D2205" s="3" t="s">
        <v>1236</v>
      </c>
      <c r="E2205" s="3" t="s">
        <v>40</v>
      </c>
      <c r="F2205" s="3" t="s">
        <v>2231</v>
      </c>
      <c r="G2205" s="6">
        <v>0</v>
      </c>
      <c r="H2205" s="3"/>
      <c r="I2205" s="6">
        <v>0</v>
      </c>
      <c r="J2205" s="6">
        <v>0</v>
      </c>
    </row>
    <row r="2206" spans="2:10" outlineLevel="1" x14ac:dyDescent="0.25">
      <c r="B2206" s="3" t="s">
        <v>1234</v>
      </c>
      <c r="C2206" s="3" t="s">
        <v>1235</v>
      </c>
      <c r="D2206" s="3" t="s">
        <v>1236</v>
      </c>
      <c r="E2206" s="3" t="s">
        <v>70</v>
      </c>
      <c r="F2206" s="3" t="s">
        <v>2232</v>
      </c>
      <c r="G2206" s="6">
        <v>0</v>
      </c>
      <c r="H2206" s="3"/>
      <c r="I2206" s="6">
        <v>0</v>
      </c>
      <c r="J2206" s="6">
        <v>0</v>
      </c>
    </row>
    <row r="2207" spans="2:10" outlineLevel="1" x14ac:dyDescent="0.25">
      <c r="B2207" s="3" t="s">
        <v>1234</v>
      </c>
      <c r="C2207" s="3" t="s">
        <v>1235</v>
      </c>
      <c r="D2207" s="3" t="s">
        <v>1236</v>
      </c>
      <c r="E2207" s="3" t="s">
        <v>74</v>
      </c>
      <c r="F2207" s="3" t="s">
        <v>2233</v>
      </c>
      <c r="G2207" s="6">
        <v>0</v>
      </c>
      <c r="H2207" s="3"/>
      <c r="I2207" s="6">
        <v>0</v>
      </c>
      <c r="J2207" s="6">
        <v>0</v>
      </c>
    </row>
    <row r="2208" spans="2:10" outlineLevel="1" x14ac:dyDescent="0.25">
      <c r="B2208" s="3" t="s">
        <v>1234</v>
      </c>
      <c r="C2208" s="3" t="s">
        <v>1235</v>
      </c>
      <c r="D2208" s="3" t="s">
        <v>1236</v>
      </c>
      <c r="E2208" s="3" t="s">
        <v>42</v>
      </c>
      <c r="F2208" s="3" t="s">
        <v>2234</v>
      </c>
      <c r="G2208" s="6">
        <v>0</v>
      </c>
      <c r="H2208" s="3"/>
      <c r="I2208" s="6">
        <v>0</v>
      </c>
      <c r="J2208" s="6">
        <v>0</v>
      </c>
    </row>
    <row r="2209" spans="2:10" outlineLevel="1" x14ac:dyDescent="0.25">
      <c r="B2209" s="3" t="s">
        <v>1234</v>
      </c>
      <c r="C2209" s="3" t="s">
        <v>1235</v>
      </c>
      <c r="D2209" s="3" t="s">
        <v>1236</v>
      </c>
      <c r="E2209" s="3" t="s">
        <v>48</v>
      </c>
      <c r="F2209" s="3" t="s">
        <v>2235</v>
      </c>
      <c r="G2209" s="6">
        <v>0</v>
      </c>
      <c r="H2209" s="3"/>
      <c r="I2209" s="6">
        <v>0</v>
      </c>
      <c r="J2209" s="6">
        <v>0</v>
      </c>
    </row>
    <row r="2210" spans="2:10" outlineLevel="1" x14ac:dyDescent="0.25">
      <c r="B2210" s="3" t="s">
        <v>1234</v>
      </c>
      <c r="C2210" s="3" t="s">
        <v>1235</v>
      </c>
      <c r="D2210" s="3" t="s">
        <v>1236</v>
      </c>
      <c r="E2210" s="3" t="s">
        <v>68</v>
      </c>
      <c r="F2210" s="3" t="s">
        <v>2236</v>
      </c>
      <c r="G2210" s="6">
        <v>0</v>
      </c>
      <c r="H2210" s="3"/>
      <c r="I2210" s="6">
        <v>0</v>
      </c>
      <c r="J2210" s="6">
        <v>0</v>
      </c>
    </row>
    <row r="2211" spans="2:10" outlineLevel="1" x14ac:dyDescent="0.25">
      <c r="B2211" s="3" t="s">
        <v>1234</v>
      </c>
      <c r="C2211" s="3" t="s">
        <v>1235</v>
      </c>
      <c r="D2211" s="3" t="s">
        <v>1236</v>
      </c>
      <c r="E2211" s="3" t="s">
        <v>98</v>
      </c>
      <c r="F2211" s="3" t="s">
        <v>2237</v>
      </c>
      <c r="G2211" s="6">
        <v>0</v>
      </c>
      <c r="H2211" s="3"/>
      <c r="I2211" s="6">
        <v>0</v>
      </c>
      <c r="J2211" s="6">
        <v>0</v>
      </c>
    </row>
    <row r="2212" spans="2:10" outlineLevel="1" x14ac:dyDescent="0.25">
      <c r="B2212" s="3" t="s">
        <v>1234</v>
      </c>
      <c r="C2212" s="3" t="s">
        <v>1235</v>
      </c>
      <c r="D2212" s="3" t="s">
        <v>1236</v>
      </c>
      <c r="E2212" s="3" t="s">
        <v>104</v>
      </c>
      <c r="F2212" s="3" t="s">
        <v>2238</v>
      </c>
      <c r="G2212" s="6">
        <v>0</v>
      </c>
      <c r="H2212" s="3"/>
      <c r="I2212" s="6">
        <v>0</v>
      </c>
      <c r="J2212" s="6">
        <v>0</v>
      </c>
    </row>
    <row r="2213" spans="2:10" outlineLevel="1" x14ac:dyDescent="0.25">
      <c r="B2213" s="3" t="s">
        <v>1234</v>
      </c>
      <c r="C2213" s="3" t="s">
        <v>1235</v>
      </c>
      <c r="D2213" s="3" t="s">
        <v>1236</v>
      </c>
      <c r="E2213" s="3" t="s">
        <v>44</v>
      </c>
      <c r="F2213" s="3" t="s">
        <v>2239</v>
      </c>
      <c r="G2213" s="6">
        <v>0</v>
      </c>
      <c r="H2213" s="3"/>
      <c r="I2213" s="6">
        <v>0</v>
      </c>
      <c r="J2213" s="6">
        <v>0</v>
      </c>
    </row>
    <row r="2214" spans="2:10" outlineLevel="1" x14ac:dyDescent="0.25">
      <c r="B2214" s="3" t="s">
        <v>1234</v>
      </c>
      <c r="C2214" s="3" t="s">
        <v>1235</v>
      </c>
      <c r="D2214" s="3" t="s">
        <v>1236</v>
      </c>
      <c r="E2214" s="3" t="s">
        <v>52</v>
      </c>
      <c r="F2214" s="3" t="s">
        <v>2240</v>
      </c>
      <c r="G2214" s="6">
        <v>0</v>
      </c>
      <c r="H2214" s="3"/>
      <c r="I2214" s="6">
        <v>0</v>
      </c>
      <c r="J2214" s="6">
        <v>0</v>
      </c>
    </row>
    <row r="2215" spans="2:10" outlineLevel="1" x14ac:dyDescent="0.25">
      <c r="B2215" s="3" t="s">
        <v>1234</v>
      </c>
      <c r="C2215" s="3" t="s">
        <v>1235</v>
      </c>
      <c r="D2215" s="3" t="s">
        <v>1236</v>
      </c>
      <c r="E2215" s="3" t="s">
        <v>82</v>
      </c>
      <c r="F2215" s="3" t="s">
        <v>2241</v>
      </c>
      <c r="G2215" s="6">
        <v>0</v>
      </c>
      <c r="H2215" s="3"/>
      <c r="I2215" s="6">
        <v>0</v>
      </c>
      <c r="J2215" s="6">
        <v>0</v>
      </c>
    </row>
    <row r="2216" spans="2:10" outlineLevel="1" x14ac:dyDescent="0.25">
      <c r="B2216" s="3" t="s">
        <v>1234</v>
      </c>
      <c r="C2216" s="3" t="s">
        <v>1235</v>
      </c>
      <c r="D2216" s="3" t="s">
        <v>1236</v>
      </c>
      <c r="E2216" s="3" t="s">
        <v>94</v>
      </c>
      <c r="F2216" s="3" t="s">
        <v>2242</v>
      </c>
      <c r="G2216" s="6">
        <v>0</v>
      </c>
      <c r="H2216" s="3"/>
      <c r="I2216" s="6">
        <v>0</v>
      </c>
      <c r="J2216" s="6">
        <v>0</v>
      </c>
    </row>
    <row r="2217" spans="2:10" outlineLevel="1" x14ac:dyDescent="0.25">
      <c r="B2217" s="3" t="s">
        <v>1234</v>
      </c>
      <c r="C2217" s="3" t="s">
        <v>1235</v>
      </c>
      <c r="D2217" s="3" t="s">
        <v>1236</v>
      </c>
      <c r="E2217" s="3" t="s">
        <v>108</v>
      </c>
      <c r="F2217" s="3" t="s">
        <v>2243</v>
      </c>
      <c r="G2217" s="6">
        <v>0</v>
      </c>
      <c r="H2217" s="3"/>
      <c r="I2217" s="6">
        <v>0</v>
      </c>
      <c r="J2217" s="6">
        <v>0</v>
      </c>
    </row>
    <row r="2218" spans="2:10" outlineLevel="1" x14ac:dyDescent="0.25">
      <c r="B2218" s="3" t="s">
        <v>1234</v>
      </c>
      <c r="C2218" s="3" t="s">
        <v>1235</v>
      </c>
      <c r="D2218" s="3" t="s">
        <v>1236</v>
      </c>
      <c r="E2218" s="3" t="s">
        <v>46</v>
      </c>
      <c r="F2218" s="3" t="s">
        <v>2244</v>
      </c>
      <c r="G2218" s="6">
        <v>0</v>
      </c>
      <c r="H2218" s="3"/>
      <c r="I2218" s="6">
        <v>0</v>
      </c>
      <c r="J2218" s="6">
        <v>0</v>
      </c>
    </row>
    <row r="2219" spans="2:10" outlineLevel="1" x14ac:dyDescent="0.25">
      <c r="B2219" s="3" t="s">
        <v>1234</v>
      </c>
      <c r="C2219" s="3" t="s">
        <v>1235</v>
      </c>
      <c r="D2219" s="3" t="s">
        <v>1236</v>
      </c>
      <c r="E2219" s="3" t="s">
        <v>102</v>
      </c>
      <c r="F2219" s="3" t="s">
        <v>2245</v>
      </c>
      <c r="G2219" s="6">
        <v>0</v>
      </c>
      <c r="H2219" s="3"/>
      <c r="I2219" s="6">
        <v>0</v>
      </c>
      <c r="J2219" s="6">
        <v>0</v>
      </c>
    </row>
    <row r="2220" spans="2:10" outlineLevel="1" x14ac:dyDescent="0.25">
      <c r="B2220" s="3" t="s">
        <v>1234</v>
      </c>
      <c r="C2220" s="3" t="s">
        <v>1235</v>
      </c>
      <c r="D2220" s="3" t="s">
        <v>1236</v>
      </c>
      <c r="E2220" s="3" t="s">
        <v>110</v>
      </c>
      <c r="F2220" s="3" t="s">
        <v>2246</v>
      </c>
      <c r="G2220" s="6">
        <v>0</v>
      </c>
      <c r="H2220" s="3"/>
      <c r="I2220" s="6">
        <v>0</v>
      </c>
      <c r="J2220" s="6">
        <v>0</v>
      </c>
    </row>
    <row r="2221" spans="2:10" outlineLevel="1" x14ac:dyDescent="0.25">
      <c r="B2221" s="3" t="s">
        <v>1234</v>
      </c>
      <c r="C2221" s="3" t="s">
        <v>1235</v>
      </c>
      <c r="D2221" s="3" t="s">
        <v>1236</v>
      </c>
      <c r="E2221" s="3" t="s">
        <v>140</v>
      </c>
      <c r="F2221" s="3" t="s">
        <v>2247</v>
      </c>
      <c r="G2221" s="6">
        <v>0</v>
      </c>
      <c r="H2221" s="3"/>
      <c r="I2221" s="6">
        <v>0</v>
      </c>
      <c r="J2221" s="6">
        <v>0</v>
      </c>
    </row>
    <row r="2222" spans="2:10" outlineLevel="1" x14ac:dyDescent="0.25">
      <c r="B2222" s="3" t="s">
        <v>1234</v>
      </c>
      <c r="C2222" s="3" t="s">
        <v>1235</v>
      </c>
      <c r="D2222" s="3" t="s">
        <v>1236</v>
      </c>
      <c r="E2222" s="3" t="s">
        <v>138</v>
      </c>
      <c r="F2222" s="3" t="s">
        <v>2248</v>
      </c>
      <c r="G2222" s="6">
        <v>0</v>
      </c>
      <c r="H2222" s="3"/>
      <c r="I2222" s="6">
        <v>0</v>
      </c>
      <c r="J2222" s="6">
        <v>0</v>
      </c>
    </row>
    <row r="2223" spans="2:10" outlineLevel="1" x14ac:dyDescent="0.25">
      <c r="B2223" s="3" t="s">
        <v>1234</v>
      </c>
      <c r="C2223" s="3" t="s">
        <v>1235</v>
      </c>
      <c r="D2223" s="3" t="s">
        <v>1236</v>
      </c>
      <c r="E2223" s="3" t="s">
        <v>114</v>
      </c>
      <c r="F2223" s="3" t="s">
        <v>2249</v>
      </c>
      <c r="G2223" s="6">
        <v>0</v>
      </c>
      <c r="H2223" s="3"/>
      <c r="I2223" s="6">
        <v>0</v>
      </c>
      <c r="J2223" s="6">
        <v>0</v>
      </c>
    </row>
    <row r="2224" spans="2:10" outlineLevel="1" x14ac:dyDescent="0.25">
      <c r="B2224" s="3" t="s">
        <v>1234</v>
      </c>
      <c r="C2224" s="3" t="s">
        <v>1235</v>
      </c>
      <c r="D2224" s="3" t="s">
        <v>1236</v>
      </c>
      <c r="E2224" s="3" t="s">
        <v>2250</v>
      </c>
      <c r="F2224" s="3" t="s">
        <v>2251</v>
      </c>
      <c r="G2224" s="6">
        <v>0</v>
      </c>
      <c r="H2224" s="3"/>
      <c r="I2224" s="6">
        <v>0</v>
      </c>
      <c r="J2224" s="6">
        <v>0</v>
      </c>
    </row>
    <row r="2225" spans="2:10" outlineLevel="1" x14ac:dyDescent="0.25">
      <c r="B2225" s="3" t="s">
        <v>1234</v>
      </c>
      <c r="C2225" s="3" t="s">
        <v>1235</v>
      </c>
      <c r="D2225" s="3" t="s">
        <v>1236</v>
      </c>
      <c r="E2225" s="3" t="s">
        <v>2252</v>
      </c>
      <c r="F2225" s="3" t="s">
        <v>2253</v>
      </c>
      <c r="G2225" s="6">
        <v>0</v>
      </c>
      <c r="H2225" s="3"/>
      <c r="I2225" s="6">
        <v>0</v>
      </c>
      <c r="J2225" s="6">
        <v>0</v>
      </c>
    </row>
    <row r="2226" spans="2:10" outlineLevel="1" x14ac:dyDescent="0.25">
      <c r="B2226" s="3" t="s">
        <v>1234</v>
      </c>
      <c r="C2226" s="3" t="s">
        <v>1235</v>
      </c>
      <c r="D2226" s="3" t="s">
        <v>1236</v>
      </c>
      <c r="E2226" s="3" t="s">
        <v>2254</v>
      </c>
      <c r="F2226" s="3" t="s">
        <v>2255</v>
      </c>
      <c r="G2226" s="6">
        <v>0</v>
      </c>
      <c r="H2226" s="3"/>
      <c r="I2226" s="6">
        <v>0</v>
      </c>
      <c r="J2226" s="6">
        <v>0</v>
      </c>
    </row>
    <row r="2227" spans="2:10" outlineLevel="1" x14ac:dyDescent="0.25">
      <c r="B2227" s="3" t="s">
        <v>1234</v>
      </c>
      <c r="C2227" s="3" t="s">
        <v>1235</v>
      </c>
      <c r="D2227" s="3" t="s">
        <v>1236</v>
      </c>
      <c r="E2227" s="3" t="s">
        <v>2256</v>
      </c>
      <c r="F2227" s="3" t="s">
        <v>2257</v>
      </c>
      <c r="G2227" s="6">
        <v>0</v>
      </c>
      <c r="H2227" s="3"/>
      <c r="I2227" s="6">
        <v>0</v>
      </c>
      <c r="J2227" s="6">
        <v>0</v>
      </c>
    </row>
    <row r="2228" spans="2:10" outlineLevel="1" x14ac:dyDescent="0.25">
      <c r="B2228" s="3" t="s">
        <v>1234</v>
      </c>
      <c r="C2228" s="3" t="s">
        <v>1235</v>
      </c>
      <c r="D2228" s="3" t="s">
        <v>1236</v>
      </c>
      <c r="E2228" s="3" t="s">
        <v>2258</v>
      </c>
      <c r="F2228" s="3" t="s">
        <v>2259</v>
      </c>
      <c r="G2228" s="6">
        <v>0</v>
      </c>
      <c r="H2228" s="3"/>
      <c r="I2228" s="6">
        <v>0</v>
      </c>
      <c r="J2228" s="6">
        <v>0</v>
      </c>
    </row>
    <row r="2229" spans="2:10" outlineLevel="1" x14ac:dyDescent="0.25">
      <c r="B2229" s="3" t="s">
        <v>1234</v>
      </c>
      <c r="C2229" s="3" t="s">
        <v>1235</v>
      </c>
      <c r="D2229" s="3" t="s">
        <v>1236</v>
      </c>
      <c r="E2229" s="3" t="s">
        <v>136</v>
      </c>
      <c r="F2229" s="3" t="s">
        <v>2260</v>
      </c>
      <c r="G2229" s="6">
        <v>0</v>
      </c>
      <c r="H2229" s="3"/>
      <c r="I2229" s="6">
        <v>0</v>
      </c>
      <c r="J2229" s="6">
        <v>0</v>
      </c>
    </row>
    <row r="2230" spans="2:10" outlineLevel="1" x14ac:dyDescent="0.25">
      <c r="B2230" s="3" t="s">
        <v>2261</v>
      </c>
      <c r="C2230" s="3" t="s">
        <v>1235</v>
      </c>
      <c r="D2230" s="3" t="s">
        <v>1236</v>
      </c>
      <c r="E2230" s="3" t="s">
        <v>2262</v>
      </c>
      <c r="F2230" s="3" t="s">
        <v>2263</v>
      </c>
      <c r="G2230" s="6">
        <v>1</v>
      </c>
      <c r="H2230" s="6">
        <v>2.4</v>
      </c>
      <c r="I2230" s="6">
        <v>2.4</v>
      </c>
      <c r="J2230" s="6">
        <v>2.4</v>
      </c>
    </row>
    <row r="2231" spans="2:10" outlineLevel="1" x14ac:dyDescent="0.25">
      <c r="B2231" s="3" t="s">
        <v>2264</v>
      </c>
      <c r="C2231" s="3" t="s">
        <v>1235</v>
      </c>
      <c r="D2231" s="3" t="s">
        <v>1236</v>
      </c>
      <c r="E2231" s="3" t="s">
        <v>508</v>
      </c>
      <c r="F2231" s="3" t="s">
        <v>2265</v>
      </c>
      <c r="G2231" s="6">
        <v>0</v>
      </c>
      <c r="H2231" s="6">
        <v>0</v>
      </c>
      <c r="I2231" s="6">
        <v>0</v>
      </c>
      <c r="J2231" s="6">
        <v>2.4</v>
      </c>
    </row>
    <row r="2232" spans="2:10" outlineLevel="1" x14ac:dyDescent="0.25">
      <c r="B2232" s="3" t="s">
        <v>2264</v>
      </c>
      <c r="C2232" s="3" t="s">
        <v>1235</v>
      </c>
      <c r="D2232" s="3" t="s">
        <v>1236</v>
      </c>
      <c r="E2232" s="3" t="s">
        <v>2266</v>
      </c>
      <c r="F2232" s="3" t="s">
        <v>2267</v>
      </c>
      <c r="G2232" s="6">
        <v>0</v>
      </c>
      <c r="H2232" s="6">
        <v>0</v>
      </c>
      <c r="I2232" s="6">
        <v>0</v>
      </c>
      <c r="J2232" s="6">
        <v>2.4</v>
      </c>
    </row>
    <row r="2233" spans="2:10" outlineLevel="1" x14ac:dyDescent="0.25">
      <c r="B2233" s="3" t="s">
        <v>2264</v>
      </c>
      <c r="C2233" s="3" t="s">
        <v>1235</v>
      </c>
      <c r="D2233" s="3" t="s">
        <v>1236</v>
      </c>
      <c r="E2233" s="3" t="s">
        <v>2268</v>
      </c>
      <c r="F2233" s="3" t="s">
        <v>2269</v>
      </c>
      <c r="G2233" s="6">
        <v>0</v>
      </c>
      <c r="H2233" s="6">
        <v>0</v>
      </c>
      <c r="I2233" s="6">
        <v>0</v>
      </c>
      <c r="J2233" s="6">
        <v>2.4</v>
      </c>
    </row>
    <row r="2234" spans="2:10" outlineLevel="1" x14ac:dyDescent="0.25">
      <c r="B2234" s="3" t="s">
        <v>2264</v>
      </c>
      <c r="C2234" s="3" t="s">
        <v>1235</v>
      </c>
      <c r="D2234" s="3" t="s">
        <v>1236</v>
      </c>
      <c r="E2234" s="3" t="s">
        <v>641</v>
      </c>
      <c r="F2234" s="3" t="s">
        <v>2270</v>
      </c>
      <c r="G2234" s="6">
        <v>0</v>
      </c>
      <c r="H2234" s="6">
        <v>0</v>
      </c>
      <c r="I2234" s="6">
        <v>0</v>
      </c>
      <c r="J2234" s="6">
        <v>2.4</v>
      </c>
    </row>
    <row r="2235" spans="2:10" outlineLevel="1" x14ac:dyDescent="0.25">
      <c r="B2235" s="3" t="s">
        <v>2264</v>
      </c>
      <c r="C2235" s="3" t="s">
        <v>1235</v>
      </c>
      <c r="D2235" s="3" t="s">
        <v>1236</v>
      </c>
      <c r="E2235" s="3" t="s">
        <v>2271</v>
      </c>
      <c r="F2235" s="3" t="s">
        <v>2272</v>
      </c>
      <c r="G2235" s="6">
        <v>0</v>
      </c>
      <c r="H2235" s="6">
        <v>0</v>
      </c>
      <c r="I2235" s="6">
        <v>0</v>
      </c>
      <c r="J2235" s="6">
        <v>2.4</v>
      </c>
    </row>
    <row r="2236" spans="2:10" outlineLevel="1" x14ac:dyDescent="0.25">
      <c r="B2236" s="3" t="s">
        <v>2264</v>
      </c>
      <c r="C2236" s="3" t="s">
        <v>1235</v>
      </c>
      <c r="D2236" s="3" t="s">
        <v>1236</v>
      </c>
      <c r="E2236" s="3" t="s">
        <v>2273</v>
      </c>
      <c r="F2236" s="3" t="s">
        <v>2274</v>
      </c>
      <c r="G2236" s="6">
        <v>0</v>
      </c>
      <c r="H2236" s="6">
        <v>0</v>
      </c>
      <c r="I2236" s="6">
        <v>0</v>
      </c>
      <c r="J2236" s="6">
        <v>2.4</v>
      </c>
    </row>
    <row r="2237" spans="2:10" outlineLevel="1" x14ac:dyDescent="0.25">
      <c r="B2237" s="3" t="s">
        <v>2264</v>
      </c>
      <c r="C2237" s="3" t="s">
        <v>1235</v>
      </c>
      <c r="D2237" s="3" t="s">
        <v>1236</v>
      </c>
      <c r="E2237" s="3" t="s">
        <v>2275</v>
      </c>
      <c r="F2237" s="3" t="s">
        <v>2276</v>
      </c>
      <c r="G2237" s="6">
        <v>0</v>
      </c>
      <c r="H2237" s="6">
        <v>2.64</v>
      </c>
      <c r="I2237" s="6">
        <v>0</v>
      </c>
      <c r="J2237" s="6">
        <v>2.4</v>
      </c>
    </row>
    <row r="2238" spans="2:10" outlineLevel="1" x14ac:dyDescent="0.25">
      <c r="B2238" s="3" t="s">
        <v>2264</v>
      </c>
      <c r="C2238" s="3" t="s">
        <v>1235</v>
      </c>
      <c r="D2238" s="3" t="s">
        <v>1236</v>
      </c>
      <c r="E2238" s="3" t="s">
        <v>955</v>
      </c>
      <c r="F2238" s="3" t="s">
        <v>2277</v>
      </c>
      <c r="G2238" s="6">
        <v>0</v>
      </c>
      <c r="H2238" s="6">
        <v>0</v>
      </c>
      <c r="I2238" s="6">
        <v>0</v>
      </c>
      <c r="J2238" s="6">
        <v>2.4</v>
      </c>
    </row>
    <row r="2239" spans="2:10" outlineLevel="1" x14ac:dyDescent="0.25">
      <c r="B2239" s="3" t="s">
        <v>2264</v>
      </c>
      <c r="C2239" s="3" t="s">
        <v>1235</v>
      </c>
      <c r="D2239" s="3" t="s">
        <v>1236</v>
      </c>
      <c r="E2239" s="3" t="s">
        <v>2278</v>
      </c>
      <c r="F2239" s="3" t="s">
        <v>2279</v>
      </c>
      <c r="G2239" s="6">
        <v>0</v>
      </c>
      <c r="H2239" s="6">
        <v>1.63</v>
      </c>
      <c r="I2239" s="6">
        <v>0</v>
      </c>
      <c r="J2239" s="6">
        <v>2.4</v>
      </c>
    </row>
    <row r="2240" spans="2:10" outlineLevel="1" x14ac:dyDescent="0.25">
      <c r="B2240" s="3" t="s">
        <v>2264</v>
      </c>
      <c r="C2240" s="3" t="s">
        <v>1235</v>
      </c>
      <c r="D2240" s="3" t="s">
        <v>1236</v>
      </c>
      <c r="E2240" s="3" t="s">
        <v>1058</v>
      </c>
      <c r="F2240" s="3" t="s">
        <v>2280</v>
      </c>
      <c r="G2240" s="6">
        <v>0</v>
      </c>
      <c r="H2240" s="6">
        <v>0</v>
      </c>
      <c r="I2240" s="6">
        <v>0</v>
      </c>
      <c r="J2240" s="6">
        <v>2.4</v>
      </c>
    </row>
    <row r="2241" spans="2:10" outlineLevel="1" x14ac:dyDescent="0.25">
      <c r="B2241" s="3" t="s">
        <v>2264</v>
      </c>
      <c r="C2241" s="3" t="s">
        <v>1235</v>
      </c>
      <c r="D2241" s="3" t="s">
        <v>1236</v>
      </c>
      <c r="E2241" s="3" t="s">
        <v>859</v>
      </c>
      <c r="F2241" s="3" t="s">
        <v>2281</v>
      </c>
      <c r="G2241" s="6">
        <v>0</v>
      </c>
      <c r="H2241" s="6">
        <v>0</v>
      </c>
      <c r="I2241" s="6">
        <v>0</v>
      </c>
      <c r="J2241" s="6">
        <v>2.4</v>
      </c>
    </row>
    <row r="2242" spans="2:10" outlineLevel="1" x14ac:dyDescent="0.25">
      <c r="B2242" s="3" t="s">
        <v>2264</v>
      </c>
      <c r="C2242" s="3" t="s">
        <v>1235</v>
      </c>
      <c r="D2242" s="3" t="s">
        <v>1236</v>
      </c>
      <c r="E2242" s="3" t="s">
        <v>957</v>
      </c>
      <c r="F2242" s="3" t="s">
        <v>2282</v>
      </c>
      <c r="G2242" s="6">
        <v>0</v>
      </c>
      <c r="H2242" s="6">
        <v>0</v>
      </c>
      <c r="I2242" s="6">
        <v>0</v>
      </c>
      <c r="J2242" s="6">
        <v>2.4</v>
      </c>
    </row>
    <row r="2243" spans="2:10" outlineLevel="1" x14ac:dyDescent="0.25">
      <c r="B2243" s="3" t="s">
        <v>2264</v>
      </c>
      <c r="C2243" s="3" t="s">
        <v>1235</v>
      </c>
      <c r="D2243" s="3" t="s">
        <v>1236</v>
      </c>
      <c r="E2243" s="3" t="s">
        <v>866</v>
      </c>
      <c r="F2243" s="3" t="s">
        <v>2283</v>
      </c>
      <c r="G2243" s="6">
        <v>0</v>
      </c>
      <c r="H2243" s="6">
        <v>0</v>
      </c>
      <c r="I2243" s="6">
        <v>0</v>
      </c>
      <c r="J2243" s="6">
        <v>2.4</v>
      </c>
    </row>
    <row r="2244" spans="2:10" outlineLevel="1" x14ac:dyDescent="0.25">
      <c r="B2244" s="3" t="s">
        <v>2284</v>
      </c>
      <c r="C2244" s="3" t="s">
        <v>2285</v>
      </c>
      <c r="D2244" s="3" t="s">
        <v>2286</v>
      </c>
      <c r="E2244" s="3" t="s">
        <v>2262</v>
      </c>
      <c r="F2244" s="3" t="s">
        <v>2287</v>
      </c>
      <c r="G2244" s="6">
        <v>-1</v>
      </c>
      <c r="H2244" s="6">
        <v>0</v>
      </c>
      <c r="I2244" s="3"/>
      <c r="J2244" s="6">
        <v>2.4</v>
      </c>
    </row>
    <row r="2245" spans="2:10" outlineLevel="1" x14ac:dyDescent="0.25">
      <c r="B2245" s="3" t="s">
        <v>2284</v>
      </c>
      <c r="C2245" s="3" t="s">
        <v>2285</v>
      </c>
      <c r="D2245" s="3" t="s">
        <v>2286</v>
      </c>
      <c r="E2245" s="3" t="s">
        <v>2262</v>
      </c>
      <c r="F2245" s="3" t="s">
        <v>2287</v>
      </c>
      <c r="G2245" s="6">
        <v>-1</v>
      </c>
      <c r="H2245" s="6">
        <v>2.4</v>
      </c>
      <c r="I2245" s="6">
        <v>-2.4</v>
      </c>
      <c r="J2245" s="6">
        <v>0</v>
      </c>
    </row>
    <row r="2246" spans="2:10" outlineLevel="1" x14ac:dyDescent="0.25">
      <c r="B2246" s="3" t="s">
        <v>2284</v>
      </c>
      <c r="C2246" s="3" t="s">
        <v>2285</v>
      </c>
      <c r="D2246" s="3" t="s">
        <v>2286</v>
      </c>
      <c r="E2246" s="3" t="s">
        <v>2262</v>
      </c>
      <c r="F2246" s="3" t="s">
        <v>2287</v>
      </c>
      <c r="G2246" s="6">
        <v>1</v>
      </c>
      <c r="H2246" s="6">
        <v>2.4</v>
      </c>
      <c r="I2246" s="6">
        <v>2.4</v>
      </c>
      <c r="J2246" s="6">
        <v>2.4</v>
      </c>
    </row>
    <row r="2247" spans="2:10" outlineLevel="1" x14ac:dyDescent="0.25">
      <c r="B2247" s="3" t="s">
        <v>2288</v>
      </c>
      <c r="C2247" s="3" t="s">
        <v>2285</v>
      </c>
      <c r="D2247" s="3" t="s">
        <v>2289</v>
      </c>
      <c r="E2247" s="3" t="s">
        <v>211</v>
      </c>
      <c r="F2247" s="3" t="s">
        <v>5</v>
      </c>
      <c r="G2247" s="6">
        <v>-104</v>
      </c>
      <c r="H2247" s="6">
        <v>0</v>
      </c>
      <c r="I2247" s="3"/>
      <c r="J2247" s="6">
        <v>2.4</v>
      </c>
    </row>
    <row r="2248" spans="2:10" outlineLevel="1" x14ac:dyDescent="0.25">
      <c r="B2248" s="3" t="s">
        <v>2288</v>
      </c>
      <c r="C2248" s="3" t="s">
        <v>2285</v>
      </c>
      <c r="D2248" s="3" t="s">
        <v>2289</v>
      </c>
      <c r="E2248" s="3" t="s">
        <v>211</v>
      </c>
      <c r="F2248" s="3" t="s">
        <v>5</v>
      </c>
      <c r="G2248" s="6">
        <v>-104</v>
      </c>
      <c r="H2248" s="6">
        <v>11.94</v>
      </c>
      <c r="I2248" s="6">
        <v>-1241.76</v>
      </c>
      <c r="J2248" s="6">
        <v>-1239.3599999999999</v>
      </c>
    </row>
    <row r="2249" spans="2:10" outlineLevel="1" x14ac:dyDescent="0.25">
      <c r="B2249" s="3" t="s">
        <v>2288</v>
      </c>
      <c r="C2249" s="3" t="s">
        <v>2285</v>
      </c>
      <c r="D2249" s="3" t="s">
        <v>2289</v>
      </c>
      <c r="E2249" s="3" t="s">
        <v>211</v>
      </c>
      <c r="F2249" s="3" t="s">
        <v>5</v>
      </c>
      <c r="G2249" s="6">
        <v>104</v>
      </c>
      <c r="H2249" s="6">
        <v>11.94</v>
      </c>
      <c r="I2249" s="6">
        <v>1241.76</v>
      </c>
      <c r="J2249" s="6">
        <v>2.4000000000000909</v>
      </c>
    </row>
    <row r="2250" spans="2:10" outlineLevel="1" x14ac:dyDescent="0.25">
      <c r="B2250" s="3" t="s">
        <v>2288</v>
      </c>
      <c r="C2250" s="3" t="s">
        <v>2285</v>
      </c>
      <c r="D2250" s="3" t="s">
        <v>2290</v>
      </c>
      <c r="E2250" s="3" t="s">
        <v>209</v>
      </c>
      <c r="F2250" s="3" t="s">
        <v>5</v>
      </c>
      <c r="G2250" s="6">
        <v>104</v>
      </c>
      <c r="H2250" s="6">
        <v>0</v>
      </c>
      <c r="I2250" s="3"/>
      <c r="J2250" s="6">
        <v>2.4000000000000909</v>
      </c>
    </row>
    <row r="2251" spans="2:10" outlineLevel="1" x14ac:dyDescent="0.25">
      <c r="B2251" s="3" t="s">
        <v>2288</v>
      </c>
      <c r="C2251" s="3" t="s">
        <v>2285</v>
      </c>
      <c r="D2251" s="3" t="s">
        <v>2290</v>
      </c>
      <c r="E2251" s="3" t="s">
        <v>209</v>
      </c>
      <c r="F2251" s="3" t="s">
        <v>5</v>
      </c>
      <c r="G2251" s="6">
        <v>104</v>
      </c>
      <c r="H2251" s="6">
        <v>5.2350000000000003</v>
      </c>
      <c r="I2251" s="6">
        <v>544.44000000000005</v>
      </c>
      <c r="J2251" s="6">
        <v>546.84000000000015</v>
      </c>
    </row>
    <row r="2252" spans="2:10" outlineLevel="1" x14ac:dyDescent="0.25">
      <c r="B2252" s="3" t="s">
        <v>2288</v>
      </c>
      <c r="C2252" s="3" t="s">
        <v>2285</v>
      </c>
      <c r="D2252" s="3" t="s">
        <v>2290</v>
      </c>
      <c r="E2252" s="3" t="s">
        <v>209</v>
      </c>
      <c r="F2252" s="3" t="s">
        <v>5</v>
      </c>
      <c r="G2252" s="6">
        <v>-104</v>
      </c>
      <c r="H2252" s="6">
        <v>5.2350000000000003</v>
      </c>
      <c r="I2252" s="6">
        <v>-544.44000000000005</v>
      </c>
      <c r="J2252" s="6">
        <v>2.4000000000000909</v>
      </c>
    </row>
    <row r="2253" spans="2:10" outlineLevel="1" x14ac:dyDescent="0.25">
      <c r="B2253" s="3" t="s">
        <v>932</v>
      </c>
      <c r="C2253" s="3" t="s">
        <v>2285</v>
      </c>
      <c r="D2253" s="3" t="s">
        <v>2291</v>
      </c>
      <c r="E2253" s="3" t="s">
        <v>337</v>
      </c>
      <c r="F2253" s="3" t="s">
        <v>2292</v>
      </c>
      <c r="G2253" s="6">
        <v>-0.25</v>
      </c>
      <c r="H2253" s="3"/>
      <c r="I2253" s="3"/>
      <c r="J2253" s="6">
        <v>2.4000000000000909</v>
      </c>
    </row>
    <row r="2254" spans="2:10" outlineLevel="1" x14ac:dyDescent="0.25">
      <c r="B2254" s="3" t="s">
        <v>932</v>
      </c>
      <c r="C2254" s="3" t="s">
        <v>2285</v>
      </c>
      <c r="D2254" s="3" t="s">
        <v>2291</v>
      </c>
      <c r="E2254" s="3" t="s">
        <v>337</v>
      </c>
      <c r="F2254" s="3" t="s">
        <v>2292</v>
      </c>
      <c r="G2254" s="6">
        <v>-0.25</v>
      </c>
      <c r="H2254" s="6">
        <v>39</v>
      </c>
      <c r="I2254" s="6">
        <v>-9.75</v>
      </c>
      <c r="J2254" s="6">
        <v>-7.3499999999999091</v>
      </c>
    </row>
    <row r="2255" spans="2:10" outlineLevel="1" x14ac:dyDescent="0.25">
      <c r="B2255" s="3" t="s">
        <v>932</v>
      </c>
      <c r="C2255" s="3" t="s">
        <v>2285</v>
      </c>
      <c r="D2255" s="3" t="s">
        <v>2291</v>
      </c>
      <c r="E2255" s="3" t="s">
        <v>337</v>
      </c>
      <c r="F2255" s="3" t="s">
        <v>2292</v>
      </c>
      <c r="G2255" s="6">
        <v>0.25</v>
      </c>
      <c r="H2255" s="6">
        <v>39</v>
      </c>
      <c r="I2255" s="6">
        <v>9.75</v>
      </c>
      <c r="J2255" s="6">
        <v>2.4000000000000909</v>
      </c>
    </row>
    <row r="2256" spans="2:10" outlineLevel="1" x14ac:dyDescent="0.25">
      <c r="B2256" s="3" t="s">
        <v>223</v>
      </c>
      <c r="C2256" s="3" t="s">
        <v>2285</v>
      </c>
      <c r="D2256" s="3" t="s">
        <v>2293</v>
      </c>
      <c r="E2256" s="3" t="s">
        <v>209</v>
      </c>
      <c r="F2256" s="3" t="s">
        <v>2294</v>
      </c>
      <c r="G2256" s="6">
        <v>-104</v>
      </c>
      <c r="H2256" s="3"/>
      <c r="I2256" s="3"/>
      <c r="J2256" s="6">
        <v>2.4000000000000909</v>
      </c>
    </row>
    <row r="2257" spans="2:10" outlineLevel="1" x14ac:dyDescent="0.25">
      <c r="B2257" s="3" t="s">
        <v>223</v>
      </c>
      <c r="C2257" s="3" t="s">
        <v>2285</v>
      </c>
      <c r="D2257" s="3" t="s">
        <v>2293</v>
      </c>
      <c r="E2257" s="3" t="s">
        <v>205</v>
      </c>
      <c r="F2257" s="3" t="s">
        <v>2294</v>
      </c>
      <c r="G2257" s="6">
        <v>104</v>
      </c>
      <c r="H2257" s="3"/>
      <c r="I2257" s="3"/>
      <c r="J2257" s="6">
        <v>2.4000000000000909</v>
      </c>
    </row>
    <row r="2258" spans="2:10" outlineLevel="1" x14ac:dyDescent="0.25">
      <c r="B2258" s="3" t="s">
        <v>223</v>
      </c>
      <c r="C2258" s="3" t="s">
        <v>2285</v>
      </c>
      <c r="D2258" s="3" t="s">
        <v>2293</v>
      </c>
      <c r="E2258" s="3" t="s">
        <v>209</v>
      </c>
      <c r="F2258" s="3" t="s">
        <v>2294</v>
      </c>
      <c r="G2258" s="6">
        <v>-104</v>
      </c>
      <c r="H2258" s="6">
        <v>5.2350000000000003</v>
      </c>
      <c r="I2258" s="6">
        <v>-544.44000000000005</v>
      </c>
      <c r="J2258" s="6">
        <v>-542.04</v>
      </c>
    </row>
    <row r="2259" spans="2:10" outlineLevel="1" x14ac:dyDescent="0.25">
      <c r="B2259" s="3" t="s">
        <v>223</v>
      </c>
      <c r="C2259" s="3" t="s">
        <v>2285</v>
      </c>
      <c r="D2259" s="3" t="s">
        <v>2293</v>
      </c>
      <c r="E2259" s="3" t="s">
        <v>205</v>
      </c>
      <c r="F2259" s="3" t="s">
        <v>2294</v>
      </c>
      <c r="G2259" s="6">
        <v>104</v>
      </c>
      <c r="H2259" s="6">
        <v>12.44</v>
      </c>
      <c r="I2259" s="6">
        <v>1293.76</v>
      </c>
      <c r="J2259" s="6">
        <v>751.72</v>
      </c>
    </row>
    <row r="2260" spans="2:10" outlineLevel="1" x14ac:dyDescent="0.25">
      <c r="B2260" s="3" t="s">
        <v>223</v>
      </c>
      <c r="C2260" s="3" t="s">
        <v>2285</v>
      </c>
      <c r="D2260" s="3" t="s">
        <v>2293</v>
      </c>
      <c r="E2260" s="3" t="s">
        <v>209</v>
      </c>
      <c r="F2260" s="3" t="s">
        <v>2294</v>
      </c>
      <c r="G2260" s="6">
        <v>104</v>
      </c>
      <c r="H2260" s="6">
        <v>5.2350000000000003</v>
      </c>
      <c r="I2260" s="6">
        <v>544.44000000000005</v>
      </c>
      <c r="J2260" s="6">
        <v>1296.1600000000001</v>
      </c>
    </row>
    <row r="2261" spans="2:10" outlineLevel="1" x14ac:dyDescent="0.25">
      <c r="B2261" s="3" t="s">
        <v>223</v>
      </c>
      <c r="C2261" s="3" t="s">
        <v>2285</v>
      </c>
      <c r="D2261" s="3" t="s">
        <v>2293</v>
      </c>
      <c r="E2261" s="3" t="s">
        <v>205</v>
      </c>
      <c r="F2261" s="3" t="s">
        <v>2294</v>
      </c>
      <c r="G2261" s="6">
        <v>-104</v>
      </c>
      <c r="H2261" s="6">
        <v>12.44</v>
      </c>
      <c r="I2261" s="6">
        <v>-1293.76</v>
      </c>
      <c r="J2261" s="6">
        <v>2.4000000000000909</v>
      </c>
    </row>
    <row r="2262" spans="2:10" outlineLevel="1" x14ac:dyDescent="0.25">
      <c r="B2262" s="3" t="s">
        <v>1175</v>
      </c>
      <c r="C2262" s="3" t="s">
        <v>2285</v>
      </c>
      <c r="D2262" s="3" t="s">
        <v>2295</v>
      </c>
      <c r="E2262" s="3" t="s">
        <v>424</v>
      </c>
      <c r="F2262" s="3" t="s">
        <v>5</v>
      </c>
      <c r="G2262" s="6">
        <v>-22</v>
      </c>
      <c r="H2262" s="6">
        <v>0</v>
      </c>
      <c r="I2262" s="3"/>
      <c r="J2262" s="6">
        <v>2.4000000000000909</v>
      </c>
    </row>
    <row r="2263" spans="2:10" outlineLevel="1" x14ac:dyDescent="0.25">
      <c r="B2263" s="3" t="s">
        <v>1175</v>
      </c>
      <c r="C2263" s="3" t="s">
        <v>2285</v>
      </c>
      <c r="D2263" s="3" t="s">
        <v>2295</v>
      </c>
      <c r="E2263" s="3" t="s">
        <v>424</v>
      </c>
      <c r="F2263" s="3" t="s">
        <v>5</v>
      </c>
      <c r="G2263" s="6">
        <v>-19</v>
      </c>
      <c r="H2263" s="6">
        <v>15.5</v>
      </c>
      <c r="I2263" s="6">
        <v>-294.5</v>
      </c>
      <c r="J2263" s="6">
        <v>-292.09999999999991</v>
      </c>
    </row>
    <row r="2264" spans="2:10" outlineLevel="1" x14ac:dyDescent="0.25">
      <c r="B2264" s="3" t="s">
        <v>1175</v>
      </c>
      <c r="C2264" s="3" t="s">
        <v>2285</v>
      </c>
      <c r="D2264" s="3" t="s">
        <v>2295</v>
      </c>
      <c r="E2264" s="3" t="s">
        <v>424</v>
      </c>
      <c r="F2264" s="3" t="s">
        <v>5</v>
      </c>
      <c r="G2264" s="6">
        <v>19</v>
      </c>
      <c r="H2264" s="6">
        <v>15.5</v>
      </c>
      <c r="I2264" s="6">
        <v>294.5</v>
      </c>
      <c r="J2264" s="6">
        <v>2.4000000000000909</v>
      </c>
    </row>
    <row r="2265" spans="2:10" outlineLevel="1" x14ac:dyDescent="0.25">
      <c r="B2265" s="3" t="s">
        <v>1175</v>
      </c>
      <c r="C2265" s="3" t="s">
        <v>2285</v>
      </c>
      <c r="D2265" s="3" t="s">
        <v>2295</v>
      </c>
      <c r="E2265" s="3" t="s">
        <v>424</v>
      </c>
      <c r="F2265" s="3" t="s">
        <v>5</v>
      </c>
      <c r="G2265" s="6">
        <v>-3</v>
      </c>
      <c r="H2265" s="6">
        <v>15.5</v>
      </c>
      <c r="I2265" s="6">
        <v>-46.5</v>
      </c>
      <c r="J2265" s="6">
        <v>-44.099999999999909</v>
      </c>
    </row>
    <row r="2266" spans="2:10" outlineLevel="1" x14ac:dyDescent="0.25">
      <c r="B2266" s="3" t="s">
        <v>1175</v>
      </c>
      <c r="C2266" s="3" t="s">
        <v>2285</v>
      </c>
      <c r="D2266" s="3" t="s">
        <v>2295</v>
      </c>
      <c r="E2266" s="3" t="s">
        <v>424</v>
      </c>
      <c r="F2266" s="3" t="s">
        <v>5</v>
      </c>
      <c r="G2266" s="6">
        <v>3</v>
      </c>
      <c r="H2266" s="6">
        <v>15.5</v>
      </c>
      <c r="I2266" s="6">
        <v>46.5</v>
      </c>
      <c r="J2266" s="6">
        <v>2.4000000000000909</v>
      </c>
    </row>
    <row r="2267" spans="2:10" outlineLevel="1" x14ac:dyDescent="0.25">
      <c r="B2267" s="3" t="s">
        <v>230</v>
      </c>
      <c r="C2267" s="3" t="s">
        <v>2285</v>
      </c>
      <c r="D2267" s="3" t="s">
        <v>2296</v>
      </c>
      <c r="E2267" s="3" t="s">
        <v>561</v>
      </c>
      <c r="F2267" s="3" t="s">
        <v>5</v>
      </c>
      <c r="G2267" s="6">
        <v>-3</v>
      </c>
      <c r="H2267" s="3"/>
      <c r="I2267" s="3"/>
      <c r="J2267" s="6">
        <v>2.4000000000000909</v>
      </c>
    </row>
    <row r="2268" spans="2:10" outlineLevel="1" x14ac:dyDescent="0.25">
      <c r="B2268" s="3" t="s">
        <v>230</v>
      </c>
      <c r="C2268" s="3" t="s">
        <v>2285</v>
      </c>
      <c r="D2268" s="3" t="s">
        <v>2296</v>
      </c>
      <c r="E2268" s="3" t="s">
        <v>561</v>
      </c>
      <c r="F2268" s="3" t="s">
        <v>5</v>
      </c>
      <c r="G2268" s="6">
        <v>-3</v>
      </c>
      <c r="H2268" s="6">
        <v>30</v>
      </c>
      <c r="I2268" s="6">
        <v>-90</v>
      </c>
      <c r="J2268" s="6">
        <v>-87.599999999999909</v>
      </c>
    </row>
    <row r="2269" spans="2:10" outlineLevel="1" x14ac:dyDescent="0.25">
      <c r="B2269" s="3" t="s">
        <v>230</v>
      </c>
      <c r="C2269" s="3" t="s">
        <v>2285</v>
      </c>
      <c r="D2269" s="3" t="s">
        <v>2296</v>
      </c>
      <c r="E2269" s="3" t="s">
        <v>561</v>
      </c>
      <c r="F2269" s="3" t="s">
        <v>5</v>
      </c>
      <c r="G2269" s="6">
        <v>3</v>
      </c>
      <c r="H2269" s="6">
        <v>30</v>
      </c>
      <c r="I2269" s="6">
        <v>90</v>
      </c>
      <c r="J2269" s="6">
        <v>2.4000000000000909</v>
      </c>
    </row>
    <row r="2270" spans="2:10" outlineLevel="1" x14ac:dyDescent="0.25">
      <c r="B2270" s="3" t="s">
        <v>232</v>
      </c>
      <c r="C2270" s="3" t="s">
        <v>2285</v>
      </c>
      <c r="D2270" s="3" t="s">
        <v>2297</v>
      </c>
      <c r="E2270" s="3" t="s">
        <v>56</v>
      </c>
      <c r="F2270" s="3" t="s">
        <v>5</v>
      </c>
      <c r="G2270" s="6">
        <v>-4</v>
      </c>
      <c r="H2270" s="3"/>
      <c r="I2270" s="3"/>
      <c r="J2270" s="6">
        <v>2.4000000000000909</v>
      </c>
    </row>
    <row r="2271" spans="2:10" outlineLevel="1" x14ac:dyDescent="0.25">
      <c r="B2271" s="3" t="s">
        <v>232</v>
      </c>
      <c r="C2271" s="3" t="s">
        <v>2285</v>
      </c>
      <c r="D2271" s="3" t="s">
        <v>2297</v>
      </c>
      <c r="E2271" s="3" t="s">
        <v>60</v>
      </c>
      <c r="F2271" s="3" t="s">
        <v>5</v>
      </c>
      <c r="G2271" s="6">
        <v>-4</v>
      </c>
      <c r="H2271" s="3"/>
      <c r="I2271" s="3"/>
      <c r="J2271" s="6">
        <v>2.4000000000000909</v>
      </c>
    </row>
    <row r="2272" spans="2:10" outlineLevel="1" x14ac:dyDescent="0.25">
      <c r="B2272" s="3" t="s">
        <v>232</v>
      </c>
      <c r="C2272" s="3" t="s">
        <v>2285</v>
      </c>
      <c r="D2272" s="3" t="s">
        <v>2297</v>
      </c>
      <c r="E2272" s="3" t="s">
        <v>58</v>
      </c>
      <c r="F2272" s="3" t="s">
        <v>5</v>
      </c>
      <c r="G2272" s="6">
        <v>-2</v>
      </c>
      <c r="H2272" s="3"/>
      <c r="I2272" s="3"/>
      <c r="J2272" s="6">
        <v>2.4000000000000909</v>
      </c>
    </row>
    <row r="2273" spans="2:10" outlineLevel="1" x14ac:dyDescent="0.25">
      <c r="B2273" s="3" t="s">
        <v>232</v>
      </c>
      <c r="C2273" s="3" t="s">
        <v>2285</v>
      </c>
      <c r="D2273" s="3" t="s">
        <v>2297</v>
      </c>
      <c r="E2273" s="3" t="s">
        <v>48</v>
      </c>
      <c r="F2273" s="3" t="s">
        <v>5</v>
      </c>
      <c r="G2273" s="6">
        <v>-5.25</v>
      </c>
      <c r="H2273" s="3"/>
      <c r="I2273" s="3"/>
      <c r="J2273" s="6">
        <v>2.4000000000000909</v>
      </c>
    </row>
    <row r="2274" spans="2:10" outlineLevel="1" x14ac:dyDescent="0.25">
      <c r="B2274" s="3" t="s">
        <v>232</v>
      </c>
      <c r="C2274" s="3" t="s">
        <v>2285</v>
      </c>
      <c r="D2274" s="3" t="s">
        <v>2297</v>
      </c>
      <c r="E2274" s="3" t="s">
        <v>50</v>
      </c>
      <c r="F2274" s="3" t="s">
        <v>5</v>
      </c>
      <c r="G2274" s="6">
        <v>-6</v>
      </c>
      <c r="H2274" s="3"/>
      <c r="I2274" s="3"/>
      <c r="J2274" s="6">
        <v>2.4000000000000909</v>
      </c>
    </row>
    <row r="2275" spans="2:10" outlineLevel="1" x14ac:dyDescent="0.25">
      <c r="B2275" s="3" t="s">
        <v>232</v>
      </c>
      <c r="C2275" s="3" t="s">
        <v>2285</v>
      </c>
      <c r="D2275" s="3" t="s">
        <v>2297</v>
      </c>
      <c r="E2275" s="3" t="s">
        <v>46</v>
      </c>
      <c r="F2275" s="3" t="s">
        <v>5</v>
      </c>
      <c r="G2275" s="6">
        <v>-4</v>
      </c>
      <c r="H2275" s="3"/>
      <c r="I2275" s="3"/>
      <c r="J2275" s="6">
        <v>2.4000000000000909</v>
      </c>
    </row>
    <row r="2276" spans="2:10" outlineLevel="1" x14ac:dyDescent="0.25">
      <c r="B2276" s="3" t="s">
        <v>232</v>
      </c>
      <c r="C2276" s="3" t="s">
        <v>2285</v>
      </c>
      <c r="D2276" s="3" t="s">
        <v>2297</v>
      </c>
      <c r="E2276" s="3" t="s">
        <v>899</v>
      </c>
      <c r="F2276" s="3" t="s">
        <v>5</v>
      </c>
      <c r="G2276" s="6">
        <v>-8</v>
      </c>
      <c r="H2276" s="3"/>
      <c r="I2276" s="3"/>
      <c r="J2276" s="6">
        <v>2.4000000000000909</v>
      </c>
    </row>
    <row r="2277" spans="2:10" outlineLevel="1" x14ac:dyDescent="0.25">
      <c r="B2277" s="3" t="s">
        <v>232</v>
      </c>
      <c r="C2277" s="3" t="s">
        <v>2285</v>
      </c>
      <c r="D2277" s="3" t="s">
        <v>2297</v>
      </c>
      <c r="E2277" s="3" t="s">
        <v>438</v>
      </c>
      <c r="F2277" s="3" t="s">
        <v>5</v>
      </c>
      <c r="G2277" s="6">
        <v>-0.35699999999999998</v>
      </c>
      <c r="H2277" s="3"/>
      <c r="I2277" s="3"/>
      <c r="J2277" s="6">
        <v>2.4000000000000909</v>
      </c>
    </row>
    <row r="2278" spans="2:10" outlineLevel="1" x14ac:dyDescent="0.25">
      <c r="B2278" s="3" t="s">
        <v>232</v>
      </c>
      <c r="C2278" s="3" t="s">
        <v>2285</v>
      </c>
      <c r="D2278" s="3" t="s">
        <v>2297</v>
      </c>
      <c r="E2278" s="3" t="s">
        <v>56</v>
      </c>
      <c r="F2278" s="3" t="s">
        <v>5</v>
      </c>
      <c r="G2278" s="6">
        <v>-3</v>
      </c>
      <c r="H2278" s="6">
        <v>51.1</v>
      </c>
      <c r="I2278" s="6">
        <v>-153.30000000000001</v>
      </c>
      <c r="J2278" s="6">
        <v>-150.89999999999992</v>
      </c>
    </row>
    <row r="2279" spans="2:10" outlineLevel="1" x14ac:dyDescent="0.25">
      <c r="B2279" s="3" t="s">
        <v>232</v>
      </c>
      <c r="C2279" s="3" t="s">
        <v>2285</v>
      </c>
      <c r="D2279" s="3" t="s">
        <v>2297</v>
      </c>
      <c r="E2279" s="3" t="s">
        <v>60</v>
      </c>
      <c r="F2279" s="3" t="s">
        <v>5</v>
      </c>
      <c r="G2279" s="6">
        <v>-4</v>
      </c>
      <c r="H2279" s="6">
        <v>61.6</v>
      </c>
      <c r="I2279" s="6">
        <v>-246.4</v>
      </c>
      <c r="J2279" s="6">
        <v>-397.29999999999995</v>
      </c>
    </row>
    <row r="2280" spans="2:10" outlineLevel="1" x14ac:dyDescent="0.25">
      <c r="B2280" s="3" t="s">
        <v>232</v>
      </c>
      <c r="C2280" s="3" t="s">
        <v>2285</v>
      </c>
      <c r="D2280" s="3" t="s">
        <v>2297</v>
      </c>
      <c r="E2280" s="3" t="s">
        <v>58</v>
      </c>
      <c r="F2280" s="3" t="s">
        <v>5</v>
      </c>
      <c r="G2280" s="6">
        <v>-2</v>
      </c>
      <c r="H2280" s="6">
        <v>57.39</v>
      </c>
      <c r="I2280" s="6">
        <v>-114.78</v>
      </c>
      <c r="J2280" s="6">
        <v>-512.07999999999993</v>
      </c>
    </row>
    <row r="2281" spans="2:10" outlineLevel="1" x14ac:dyDescent="0.25">
      <c r="B2281" s="3" t="s">
        <v>232</v>
      </c>
      <c r="C2281" s="3" t="s">
        <v>2285</v>
      </c>
      <c r="D2281" s="3" t="s">
        <v>2297</v>
      </c>
      <c r="E2281" s="3" t="s">
        <v>48</v>
      </c>
      <c r="F2281" s="3" t="s">
        <v>5</v>
      </c>
      <c r="G2281" s="6">
        <v>-5.25</v>
      </c>
      <c r="H2281" s="6">
        <v>43.5</v>
      </c>
      <c r="I2281" s="6">
        <v>-228.38</v>
      </c>
      <c r="J2281" s="6">
        <v>-740.45999999999992</v>
      </c>
    </row>
    <row r="2282" spans="2:10" outlineLevel="1" x14ac:dyDescent="0.25">
      <c r="B2282" s="3" t="s">
        <v>232</v>
      </c>
      <c r="C2282" s="3" t="s">
        <v>2285</v>
      </c>
      <c r="D2282" s="3" t="s">
        <v>2297</v>
      </c>
      <c r="E2282" s="3" t="s">
        <v>50</v>
      </c>
      <c r="F2282" s="3" t="s">
        <v>5</v>
      </c>
      <c r="G2282" s="6">
        <v>-2.5</v>
      </c>
      <c r="H2282" s="6">
        <v>43.5</v>
      </c>
      <c r="I2282" s="6">
        <v>-108.75</v>
      </c>
      <c r="J2282" s="6">
        <v>-849.20999999999992</v>
      </c>
    </row>
    <row r="2283" spans="2:10" outlineLevel="1" x14ac:dyDescent="0.25">
      <c r="B2283" s="3" t="s">
        <v>232</v>
      </c>
      <c r="C2283" s="3" t="s">
        <v>2285</v>
      </c>
      <c r="D2283" s="3" t="s">
        <v>2297</v>
      </c>
      <c r="E2283" s="3" t="s">
        <v>46</v>
      </c>
      <c r="F2283" s="3" t="s">
        <v>5</v>
      </c>
      <c r="G2283" s="6">
        <v>-1</v>
      </c>
      <c r="H2283" s="6">
        <v>43.5</v>
      </c>
      <c r="I2283" s="6">
        <v>-43.5</v>
      </c>
      <c r="J2283" s="6">
        <v>-892.70999999999992</v>
      </c>
    </row>
    <row r="2284" spans="2:10" outlineLevel="1" x14ac:dyDescent="0.25">
      <c r="B2284" s="3" t="s">
        <v>232</v>
      </c>
      <c r="C2284" s="3" t="s">
        <v>2285</v>
      </c>
      <c r="D2284" s="3" t="s">
        <v>2297</v>
      </c>
      <c r="E2284" s="3" t="s">
        <v>899</v>
      </c>
      <c r="F2284" s="3" t="s">
        <v>5</v>
      </c>
      <c r="G2284" s="6">
        <v>-1</v>
      </c>
      <c r="H2284" s="6">
        <v>13.08</v>
      </c>
      <c r="I2284" s="6">
        <v>-13.08</v>
      </c>
      <c r="J2284" s="6">
        <v>-905.79</v>
      </c>
    </row>
    <row r="2285" spans="2:10" outlineLevel="1" x14ac:dyDescent="0.25">
      <c r="B2285" s="3" t="s">
        <v>232</v>
      </c>
      <c r="C2285" s="3" t="s">
        <v>2285</v>
      </c>
      <c r="D2285" s="3" t="s">
        <v>2297</v>
      </c>
      <c r="E2285" s="3" t="s">
        <v>438</v>
      </c>
      <c r="F2285" s="3" t="s">
        <v>5</v>
      </c>
      <c r="G2285" s="6">
        <v>-0.35699999999999998</v>
      </c>
      <c r="H2285" s="6">
        <v>58</v>
      </c>
      <c r="I2285" s="6">
        <v>-20.71</v>
      </c>
      <c r="J2285" s="6">
        <v>-926.5</v>
      </c>
    </row>
    <row r="2286" spans="2:10" outlineLevel="1" x14ac:dyDescent="0.25">
      <c r="B2286" s="3" t="s">
        <v>232</v>
      </c>
      <c r="C2286" s="3" t="s">
        <v>2285</v>
      </c>
      <c r="D2286" s="3" t="s">
        <v>2297</v>
      </c>
      <c r="E2286" s="3" t="s">
        <v>56</v>
      </c>
      <c r="F2286" s="3" t="s">
        <v>5</v>
      </c>
      <c r="G2286" s="6">
        <v>3</v>
      </c>
      <c r="H2286" s="6">
        <v>51.1</v>
      </c>
      <c r="I2286" s="6">
        <v>153.30000000000001</v>
      </c>
      <c r="J2286" s="6">
        <v>-773.2</v>
      </c>
    </row>
    <row r="2287" spans="2:10" outlineLevel="1" x14ac:dyDescent="0.25">
      <c r="B2287" s="3" t="s">
        <v>232</v>
      </c>
      <c r="C2287" s="3" t="s">
        <v>2285</v>
      </c>
      <c r="D2287" s="3" t="s">
        <v>2297</v>
      </c>
      <c r="E2287" s="3" t="s">
        <v>60</v>
      </c>
      <c r="F2287" s="3" t="s">
        <v>5</v>
      </c>
      <c r="G2287" s="6">
        <v>4</v>
      </c>
      <c r="H2287" s="6">
        <v>61.6</v>
      </c>
      <c r="I2287" s="6">
        <v>246.4</v>
      </c>
      <c r="J2287" s="6">
        <v>-526.80000000000007</v>
      </c>
    </row>
    <row r="2288" spans="2:10" outlineLevel="1" x14ac:dyDescent="0.25">
      <c r="B2288" s="3" t="s">
        <v>232</v>
      </c>
      <c r="C2288" s="3" t="s">
        <v>2285</v>
      </c>
      <c r="D2288" s="3" t="s">
        <v>2297</v>
      </c>
      <c r="E2288" s="3" t="s">
        <v>58</v>
      </c>
      <c r="F2288" s="3" t="s">
        <v>5</v>
      </c>
      <c r="G2288" s="6">
        <v>2</v>
      </c>
      <c r="H2288" s="6">
        <v>57.39</v>
      </c>
      <c r="I2288" s="6">
        <v>114.78</v>
      </c>
      <c r="J2288" s="6">
        <v>-412.0200000000001</v>
      </c>
    </row>
    <row r="2289" spans="2:10" outlineLevel="1" x14ac:dyDescent="0.25">
      <c r="B2289" s="3" t="s">
        <v>232</v>
      </c>
      <c r="C2289" s="3" t="s">
        <v>2285</v>
      </c>
      <c r="D2289" s="3" t="s">
        <v>2297</v>
      </c>
      <c r="E2289" s="3" t="s">
        <v>48</v>
      </c>
      <c r="F2289" s="3" t="s">
        <v>5</v>
      </c>
      <c r="G2289" s="6">
        <v>5.25</v>
      </c>
      <c r="H2289" s="6">
        <v>43.5</v>
      </c>
      <c r="I2289" s="6">
        <v>228.38</v>
      </c>
      <c r="J2289" s="6">
        <v>-183.6400000000001</v>
      </c>
    </row>
    <row r="2290" spans="2:10" outlineLevel="1" x14ac:dyDescent="0.25">
      <c r="B2290" s="3" t="s">
        <v>232</v>
      </c>
      <c r="C2290" s="3" t="s">
        <v>2285</v>
      </c>
      <c r="D2290" s="3" t="s">
        <v>2297</v>
      </c>
      <c r="E2290" s="3" t="s">
        <v>50</v>
      </c>
      <c r="F2290" s="3" t="s">
        <v>5</v>
      </c>
      <c r="G2290" s="6">
        <v>2.5</v>
      </c>
      <c r="H2290" s="6">
        <v>43.5</v>
      </c>
      <c r="I2290" s="6">
        <v>108.75</v>
      </c>
      <c r="J2290" s="6">
        <v>-74.8900000000001</v>
      </c>
    </row>
    <row r="2291" spans="2:10" outlineLevel="1" x14ac:dyDescent="0.25">
      <c r="B2291" s="3" t="s">
        <v>232</v>
      </c>
      <c r="C2291" s="3" t="s">
        <v>2285</v>
      </c>
      <c r="D2291" s="3" t="s">
        <v>2297</v>
      </c>
      <c r="E2291" s="3" t="s">
        <v>46</v>
      </c>
      <c r="F2291" s="3" t="s">
        <v>5</v>
      </c>
      <c r="G2291" s="6">
        <v>1</v>
      </c>
      <c r="H2291" s="6">
        <v>43.5</v>
      </c>
      <c r="I2291" s="6">
        <v>43.5</v>
      </c>
      <c r="J2291" s="6">
        <v>-31.3900000000001</v>
      </c>
    </row>
    <row r="2292" spans="2:10" outlineLevel="1" x14ac:dyDescent="0.25">
      <c r="B2292" s="3" t="s">
        <v>232</v>
      </c>
      <c r="C2292" s="3" t="s">
        <v>2285</v>
      </c>
      <c r="D2292" s="3" t="s">
        <v>2297</v>
      </c>
      <c r="E2292" s="3" t="s">
        <v>899</v>
      </c>
      <c r="F2292" s="3" t="s">
        <v>5</v>
      </c>
      <c r="G2292" s="6">
        <v>1</v>
      </c>
      <c r="H2292" s="6">
        <v>13.08</v>
      </c>
      <c r="I2292" s="6">
        <v>13.08</v>
      </c>
      <c r="J2292" s="6">
        <v>-18.310000000000102</v>
      </c>
    </row>
    <row r="2293" spans="2:10" outlineLevel="1" x14ac:dyDescent="0.25">
      <c r="B2293" s="3" t="s">
        <v>232</v>
      </c>
      <c r="C2293" s="3" t="s">
        <v>2285</v>
      </c>
      <c r="D2293" s="3" t="s">
        <v>2297</v>
      </c>
      <c r="E2293" s="3" t="s">
        <v>438</v>
      </c>
      <c r="F2293" s="3" t="s">
        <v>5</v>
      </c>
      <c r="G2293" s="6">
        <v>0.35699999999999998</v>
      </c>
      <c r="H2293" s="6">
        <v>58</v>
      </c>
      <c r="I2293" s="6">
        <v>20.71</v>
      </c>
      <c r="J2293" s="6">
        <v>2.3999999999998991</v>
      </c>
    </row>
    <row r="2294" spans="2:10" outlineLevel="1" x14ac:dyDescent="0.25">
      <c r="B2294" s="3" t="s">
        <v>232</v>
      </c>
      <c r="C2294" s="3" t="s">
        <v>2285</v>
      </c>
      <c r="D2294" s="3" t="s">
        <v>2297</v>
      </c>
      <c r="E2294" s="3" t="s">
        <v>56</v>
      </c>
      <c r="F2294" s="3" t="s">
        <v>5</v>
      </c>
      <c r="G2294" s="6">
        <v>-1</v>
      </c>
      <c r="H2294" s="6">
        <v>51.1</v>
      </c>
      <c r="I2294" s="6">
        <v>-51.1</v>
      </c>
      <c r="J2294" s="6">
        <v>-48.700000000000102</v>
      </c>
    </row>
    <row r="2295" spans="2:10" outlineLevel="1" x14ac:dyDescent="0.25">
      <c r="B2295" s="3" t="s">
        <v>232</v>
      </c>
      <c r="C2295" s="3" t="s">
        <v>2285</v>
      </c>
      <c r="D2295" s="3" t="s">
        <v>2297</v>
      </c>
      <c r="E2295" s="3" t="s">
        <v>50</v>
      </c>
      <c r="F2295" s="3" t="s">
        <v>5</v>
      </c>
      <c r="G2295" s="6">
        <v>-0.66700000000000004</v>
      </c>
      <c r="H2295" s="6">
        <v>43.5</v>
      </c>
      <c r="I2295" s="6">
        <v>-29.01</v>
      </c>
      <c r="J2295" s="6">
        <v>-77.710000000000107</v>
      </c>
    </row>
    <row r="2296" spans="2:10" outlineLevel="1" x14ac:dyDescent="0.25">
      <c r="B2296" s="3" t="s">
        <v>232</v>
      </c>
      <c r="C2296" s="3" t="s">
        <v>2285</v>
      </c>
      <c r="D2296" s="3" t="s">
        <v>2297</v>
      </c>
      <c r="E2296" s="3" t="s">
        <v>46</v>
      </c>
      <c r="F2296" s="3" t="s">
        <v>5</v>
      </c>
      <c r="G2296" s="6">
        <v>-0.58299999999999996</v>
      </c>
      <c r="H2296" s="6">
        <v>43.5</v>
      </c>
      <c r="I2296" s="6">
        <v>-25.36</v>
      </c>
      <c r="J2296" s="6">
        <v>-103.07000000000011</v>
      </c>
    </row>
    <row r="2297" spans="2:10" outlineLevel="1" x14ac:dyDescent="0.25">
      <c r="B2297" s="3" t="s">
        <v>232</v>
      </c>
      <c r="C2297" s="3" t="s">
        <v>2285</v>
      </c>
      <c r="D2297" s="3" t="s">
        <v>2297</v>
      </c>
      <c r="E2297" s="3" t="s">
        <v>899</v>
      </c>
      <c r="F2297" s="3" t="s">
        <v>5</v>
      </c>
      <c r="G2297" s="6">
        <v>-7</v>
      </c>
      <c r="H2297" s="6">
        <v>14</v>
      </c>
      <c r="I2297" s="6">
        <v>-98</v>
      </c>
      <c r="J2297" s="6">
        <v>-201.07000000000011</v>
      </c>
    </row>
    <row r="2298" spans="2:10" outlineLevel="1" x14ac:dyDescent="0.25">
      <c r="B2298" s="3" t="s">
        <v>232</v>
      </c>
      <c r="C2298" s="3" t="s">
        <v>2285</v>
      </c>
      <c r="D2298" s="3" t="s">
        <v>2297</v>
      </c>
      <c r="E2298" s="3" t="s">
        <v>56</v>
      </c>
      <c r="F2298" s="3" t="s">
        <v>5</v>
      </c>
      <c r="G2298" s="6">
        <v>1</v>
      </c>
      <c r="H2298" s="6">
        <v>51.1</v>
      </c>
      <c r="I2298" s="6">
        <v>51.1</v>
      </c>
      <c r="J2298" s="6">
        <v>-149.97000000000011</v>
      </c>
    </row>
    <row r="2299" spans="2:10" outlineLevel="1" x14ac:dyDescent="0.25">
      <c r="B2299" s="3" t="s">
        <v>232</v>
      </c>
      <c r="C2299" s="3" t="s">
        <v>2285</v>
      </c>
      <c r="D2299" s="3" t="s">
        <v>2297</v>
      </c>
      <c r="E2299" s="3" t="s">
        <v>50</v>
      </c>
      <c r="F2299" s="3" t="s">
        <v>5</v>
      </c>
      <c r="G2299" s="6">
        <v>0.66700000000000004</v>
      </c>
      <c r="H2299" s="6">
        <v>43.5</v>
      </c>
      <c r="I2299" s="6">
        <v>29.01</v>
      </c>
      <c r="J2299" s="6">
        <v>-120.96000000000011</v>
      </c>
    </row>
    <row r="2300" spans="2:10" outlineLevel="1" x14ac:dyDescent="0.25">
      <c r="B2300" s="3" t="s">
        <v>232</v>
      </c>
      <c r="C2300" s="3" t="s">
        <v>2285</v>
      </c>
      <c r="D2300" s="3" t="s">
        <v>2297</v>
      </c>
      <c r="E2300" s="3" t="s">
        <v>46</v>
      </c>
      <c r="F2300" s="3" t="s">
        <v>5</v>
      </c>
      <c r="G2300" s="6">
        <v>0.58299999999999996</v>
      </c>
      <c r="H2300" s="6">
        <v>43.5</v>
      </c>
      <c r="I2300" s="6">
        <v>25.36</v>
      </c>
      <c r="J2300" s="6">
        <v>-95.600000000000108</v>
      </c>
    </row>
    <row r="2301" spans="2:10" outlineLevel="1" x14ac:dyDescent="0.25">
      <c r="B2301" s="3" t="s">
        <v>232</v>
      </c>
      <c r="C2301" s="3" t="s">
        <v>2285</v>
      </c>
      <c r="D2301" s="3" t="s">
        <v>2297</v>
      </c>
      <c r="E2301" s="3" t="s">
        <v>899</v>
      </c>
      <c r="F2301" s="3" t="s">
        <v>5</v>
      </c>
      <c r="G2301" s="6">
        <v>7</v>
      </c>
      <c r="H2301" s="6">
        <v>14</v>
      </c>
      <c r="I2301" s="6">
        <v>98</v>
      </c>
      <c r="J2301" s="6">
        <v>2.399999999999892</v>
      </c>
    </row>
    <row r="2302" spans="2:10" outlineLevel="1" x14ac:dyDescent="0.25">
      <c r="B2302" s="3" t="s">
        <v>232</v>
      </c>
      <c r="C2302" s="3" t="s">
        <v>2285</v>
      </c>
      <c r="D2302" s="3" t="s">
        <v>2297</v>
      </c>
      <c r="E2302" s="3" t="s">
        <v>50</v>
      </c>
      <c r="F2302" s="3" t="s">
        <v>5</v>
      </c>
      <c r="G2302" s="6">
        <v>-0.25</v>
      </c>
      <c r="H2302" s="6">
        <v>43.5</v>
      </c>
      <c r="I2302" s="6">
        <v>-10.88</v>
      </c>
      <c r="J2302" s="6">
        <v>-8.4800000000001088</v>
      </c>
    </row>
    <row r="2303" spans="2:10" outlineLevel="1" x14ac:dyDescent="0.25">
      <c r="B2303" s="3" t="s">
        <v>232</v>
      </c>
      <c r="C2303" s="3" t="s">
        <v>2285</v>
      </c>
      <c r="D2303" s="3" t="s">
        <v>2297</v>
      </c>
      <c r="E2303" s="3" t="s">
        <v>46</v>
      </c>
      <c r="F2303" s="3" t="s">
        <v>5</v>
      </c>
      <c r="G2303" s="6">
        <v>-0.41699999999999998</v>
      </c>
      <c r="H2303" s="6">
        <v>43.5</v>
      </c>
      <c r="I2303" s="6">
        <v>-18.14</v>
      </c>
      <c r="J2303" s="6">
        <v>-26.620000000000111</v>
      </c>
    </row>
    <row r="2304" spans="2:10" outlineLevel="1" x14ac:dyDescent="0.25">
      <c r="B2304" s="3" t="s">
        <v>232</v>
      </c>
      <c r="C2304" s="3" t="s">
        <v>2285</v>
      </c>
      <c r="D2304" s="3" t="s">
        <v>2297</v>
      </c>
      <c r="E2304" s="3" t="s">
        <v>50</v>
      </c>
      <c r="F2304" s="3" t="s">
        <v>5</v>
      </c>
      <c r="G2304" s="6">
        <v>0.25</v>
      </c>
      <c r="H2304" s="6">
        <v>43.5</v>
      </c>
      <c r="I2304" s="6">
        <v>10.88</v>
      </c>
      <c r="J2304" s="6">
        <v>-15.74000000000011</v>
      </c>
    </row>
    <row r="2305" spans="1:10" outlineLevel="1" x14ac:dyDescent="0.25">
      <c r="B2305" s="3" t="s">
        <v>232</v>
      </c>
      <c r="C2305" s="3" t="s">
        <v>2285</v>
      </c>
      <c r="D2305" s="3" t="s">
        <v>2297</v>
      </c>
      <c r="E2305" s="3" t="s">
        <v>46</v>
      </c>
      <c r="F2305" s="3" t="s">
        <v>5</v>
      </c>
      <c r="G2305" s="6">
        <v>0.41699999999999998</v>
      </c>
      <c r="H2305" s="6">
        <v>43.5</v>
      </c>
      <c r="I2305" s="6">
        <v>18.14</v>
      </c>
      <c r="J2305" s="6">
        <v>2.3999999999998902</v>
      </c>
    </row>
    <row r="2306" spans="1:10" outlineLevel="1" x14ac:dyDescent="0.25">
      <c r="B2306" s="3" t="s">
        <v>232</v>
      </c>
      <c r="C2306" s="3" t="s">
        <v>2285</v>
      </c>
      <c r="D2306" s="3" t="s">
        <v>2297</v>
      </c>
      <c r="E2306" s="3" t="s">
        <v>50</v>
      </c>
      <c r="F2306" s="3" t="s">
        <v>5</v>
      </c>
      <c r="G2306" s="6">
        <v>-2.5830000000000002</v>
      </c>
      <c r="H2306" s="6">
        <v>35</v>
      </c>
      <c r="I2306" s="6">
        <v>-90.41</v>
      </c>
      <c r="J2306" s="6">
        <v>-88.010000000000105</v>
      </c>
    </row>
    <row r="2307" spans="1:10" outlineLevel="1" x14ac:dyDescent="0.25">
      <c r="B2307" s="3" t="s">
        <v>232</v>
      </c>
      <c r="C2307" s="3" t="s">
        <v>2285</v>
      </c>
      <c r="D2307" s="3" t="s">
        <v>2297</v>
      </c>
      <c r="E2307" s="3" t="s">
        <v>46</v>
      </c>
      <c r="F2307" s="3" t="s">
        <v>5</v>
      </c>
      <c r="G2307" s="6">
        <v>-2</v>
      </c>
      <c r="H2307" s="6">
        <v>35</v>
      </c>
      <c r="I2307" s="6">
        <v>-70</v>
      </c>
      <c r="J2307" s="6">
        <v>-158.0100000000001</v>
      </c>
    </row>
    <row r="2308" spans="1:10" outlineLevel="1" x14ac:dyDescent="0.25">
      <c r="B2308" s="3" t="s">
        <v>232</v>
      </c>
      <c r="C2308" s="3" t="s">
        <v>2285</v>
      </c>
      <c r="D2308" s="3" t="s">
        <v>2297</v>
      </c>
      <c r="E2308" s="3" t="s">
        <v>50</v>
      </c>
      <c r="F2308" s="3" t="s">
        <v>5</v>
      </c>
      <c r="G2308" s="6">
        <v>2.5830000000000002</v>
      </c>
      <c r="H2308" s="6">
        <v>35</v>
      </c>
      <c r="I2308" s="6">
        <v>90.41</v>
      </c>
      <c r="J2308" s="6">
        <v>-67.600000000000108</v>
      </c>
    </row>
    <row r="2309" spans="1:10" outlineLevel="1" x14ac:dyDescent="0.25">
      <c r="B2309" s="3" t="s">
        <v>232</v>
      </c>
      <c r="C2309" s="3" t="s">
        <v>2285</v>
      </c>
      <c r="D2309" s="3" t="s">
        <v>2297</v>
      </c>
      <c r="E2309" s="3" t="s">
        <v>46</v>
      </c>
      <c r="F2309" s="3" t="s">
        <v>5</v>
      </c>
      <c r="G2309" s="6">
        <v>2</v>
      </c>
      <c r="H2309" s="6">
        <v>35</v>
      </c>
      <c r="I2309" s="6">
        <v>70</v>
      </c>
      <c r="J2309" s="6">
        <v>2.399999999999892</v>
      </c>
    </row>
    <row r="2310" spans="1:10" outlineLevel="1" x14ac:dyDescent="0.25">
      <c r="B2310" s="3" t="s">
        <v>232</v>
      </c>
      <c r="C2310" s="3" t="s">
        <v>2285</v>
      </c>
      <c r="D2310" s="3" t="s">
        <v>2298</v>
      </c>
      <c r="E2310" s="3" t="s">
        <v>922</v>
      </c>
      <c r="F2310" s="3" t="s">
        <v>5</v>
      </c>
      <c r="G2310" s="6">
        <v>-0.4</v>
      </c>
      <c r="H2310" s="3"/>
      <c r="I2310" s="3"/>
      <c r="J2310" s="6">
        <v>2.399999999999892</v>
      </c>
    </row>
    <row r="2311" spans="1:10" outlineLevel="1" x14ac:dyDescent="0.25">
      <c r="B2311" s="3" t="s">
        <v>232</v>
      </c>
      <c r="C2311" s="3" t="s">
        <v>2285</v>
      </c>
      <c r="D2311" s="3" t="s">
        <v>2298</v>
      </c>
      <c r="E2311" s="3" t="s">
        <v>922</v>
      </c>
      <c r="F2311" s="3" t="s">
        <v>5</v>
      </c>
      <c r="G2311" s="6">
        <v>-0.4</v>
      </c>
      <c r="H2311" s="6">
        <v>32.15</v>
      </c>
      <c r="I2311" s="6">
        <v>-12.86</v>
      </c>
      <c r="J2311" s="6">
        <v>-10.460000000000107</v>
      </c>
    </row>
    <row r="2312" spans="1:10" outlineLevel="1" x14ac:dyDescent="0.25">
      <c r="B2312" s="3" t="s">
        <v>232</v>
      </c>
      <c r="C2312" s="3" t="s">
        <v>2285</v>
      </c>
      <c r="D2312" s="3" t="s">
        <v>2298</v>
      </c>
      <c r="E2312" s="3" t="s">
        <v>922</v>
      </c>
      <c r="F2312" s="3" t="s">
        <v>5</v>
      </c>
      <c r="G2312" s="6">
        <v>0.4</v>
      </c>
      <c r="H2312" s="6">
        <v>32.15</v>
      </c>
      <c r="I2312" s="6">
        <v>12.86</v>
      </c>
      <c r="J2312" s="6">
        <v>2.399999999999892</v>
      </c>
    </row>
    <row r="2313" spans="1:10" outlineLevel="1" x14ac:dyDescent="0.25">
      <c r="B2313" s="3" t="s">
        <v>232</v>
      </c>
      <c r="C2313" s="3" t="s">
        <v>2285</v>
      </c>
      <c r="D2313" s="3" t="s">
        <v>2299</v>
      </c>
      <c r="E2313" s="3" t="s">
        <v>463</v>
      </c>
      <c r="F2313" s="3" t="s">
        <v>5</v>
      </c>
      <c r="G2313" s="6">
        <v>-0.91669999999999996</v>
      </c>
      <c r="H2313" s="3"/>
      <c r="I2313" s="3"/>
      <c r="J2313" s="6">
        <v>2.399999999999892</v>
      </c>
    </row>
    <row r="2314" spans="1:10" outlineLevel="1" x14ac:dyDescent="0.25">
      <c r="B2314" s="3" t="s">
        <v>232</v>
      </c>
      <c r="C2314" s="3" t="s">
        <v>2285</v>
      </c>
      <c r="D2314" s="3" t="s">
        <v>2299</v>
      </c>
      <c r="E2314" s="3" t="s">
        <v>463</v>
      </c>
      <c r="F2314" s="3" t="s">
        <v>5</v>
      </c>
      <c r="G2314" s="6">
        <v>-0.91669999999999996</v>
      </c>
      <c r="H2314" s="6">
        <v>31.8</v>
      </c>
      <c r="I2314" s="6">
        <v>-29.15</v>
      </c>
      <c r="J2314" s="6">
        <v>-26.750000000000107</v>
      </c>
    </row>
    <row r="2315" spans="1:10" outlineLevel="1" x14ac:dyDescent="0.25">
      <c r="B2315" s="3" t="s">
        <v>232</v>
      </c>
      <c r="C2315" s="3" t="s">
        <v>2285</v>
      </c>
      <c r="D2315" s="3" t="s">
        <v>2299</v>
      </c>
      <c r="E2315" s="3" t="s">
        <v>463</v>
      </c>
      <c r="F2315" s="3" t="s">
        <v>5</v>
      </c>
      <c r="G2315" s="6">
        <v>0.91669999999999996</v>
      </c>
      <c r="H2315" s="6">
        <v>31.8</v>
      </c>
      <c r="I2315" s="6">
        <v>29.15</v>
      </c>
      <c r="J2315" s="6">
        <v>2.399999999999892</v>
      </c>
    </row>
    <row r="2316" spans="1:10" outlineLevel="1" x14ac:dyDescent="0.25">
      <c r="B2316" s="3" t="s">
        <v>232</v>
      </c>
      <c r="C2316" s="3" t="s">
        <v>1235</v>
      </c>
      <c r="D2316" s="3" t="s">
        <v>1236</v>
      </c>
      <c r="E2316" s="3" t="s">
        <v>250</v>
      </c>
      <c r="F2316" s="3" t="s">
        <v>2300</v>
      </c>
      <c r="G2316" s="6">
        <v>0</v>
      </c>
      <c r="H2316" s="6">
        <v>52.53</v>
      </c>
      <c r="I2316" s="6">
        <v>0</v>
      </c>
      <c r="J2316" s="6">
        <v>2.399999999999892</v>
      </c>
    </row>
    <row r="2317" spans="1:10" x14ac:dyDescent="0.25">
      <c r="A2317" s="9" t="s">
        <v>2301</v>
      </c>
      <c r="I2317" s="7">
        <f>I1496+I1497+I1498+I1499+I1500+I1501+I1502+I1503+I1504+I1505+I1506+I1507+I1508+I1509+I1510+I1511+I1512+I1513+I1514+I1515+I1516+I1517+I1518+I1519+I1520+I1521+I1522+I1523+I1524+I1525+I1526+I1527+I1528+I1529+I1530+I1531+I1532+I1533+I1534+I1535+I1536+I1537+I1538+I1539+I1540+I1541+I1542+I1543+I1544+I1545+I1546+I1547+I1548+I1549+I1550+I1551+I1552+I1553+I1554+I1555+I1556+I1557+I1558+I1559+I1560+I1561+I1562+I1563+I1564+I1565+I1566+I1567+I1568+I1569+I1570+I1571+I1572+I1573+I1574+I1575+I1576+I1577+I1578+I1579+I1580+I1581+I1582+I1583+I1584+I1585+I1586+I1587+I1588+I1589+I1590+I1591+I1592+I1593+I1594+I1595+I1596+I1597+I1598+I1599+I1600+I1601+I1602+I1603+I1604+I1605+I1606+I1607+I1608+I1609+I1610+I1611+I1612+I1613+I1614+I1615+I1616+I1617+I1618+I1619+I1620+I1621+I1622+I1623+I1624+I1625+I1626+I1627+I1628+I1629+I1630+I1631+I1632+I1633+I1634+I1635+I1636+I1637+I1638+I1639+I1640+I1641+I1642+I1643+I1644+I1645+I1646+I1647+I1648+I1649+I1650+I1651+I1652+I1653+I1654+I1655+I1656+I1657+I1658+I1659+I1660+I1661+I1662+I1663+I1664+I1665+I1666+I1667+I1668+I1669+I1670+I1671+I1672+I1673+I1674+I1675+I1676+I1677+I1678+I1679+I1680+I1681+I1682+I1683+I1684+I1685+I1686+I1687+I1688+I1689+I1690+I1691+I1692+I1693+I1694+I1695+I1696+I1697+I1698+I1699+I1700+I1701+I1702+I1703+I1704+I1705+I1706+I1707+I1708+I1709+I1710+I1711+I1712+I1713+I1714+I1715+I1716+I1717+I1718+I1719+I1720+I1721+I1722+I1723+I1724+I1725+I1726+I1727+I1728+I1729+I1730+I1731+I1732+I1733+I1734+I1735+I1736+I1737+I1738+I1739+I1740+I1741+I1742+I1743+I1744+I1745+I1746+I1747+I1748+I1749+I1750+I1751+I1752+I1753+I1754+I1755+I1756+I1757+I1758+I1759+I1760+I1761+I1762+I1763+I1764+I1765+I1766+I1767+I1768+I1769+I1770+I1771+I1772+I1773+I1774+I1775+I1776+I1777+I1778+I1779+I1780+I1781+I1782+I1783+I1784+I1785+I1786+I1787+I1788+I1789+I1790+I1791+I1792+I1793+I1794+I1795+I1796+I1797+I1798+I1799+I1800+I1801+I1802+I1803+I1804+I1805+I1806+I1807+I1808+I1809+I1810+I1811+I1812+I1813+I1814+I1815+I1816+I1817+I1818+I1819+I1820+I1821+I1822+I1823+I1824+I1825+I1826+I1827+I1828+I1829+I1830+I1831+I1832+I1833+I1834+I1835+I1836+I1837+I1838+I1839+I1840+I1841+I1842+I1843+I1844+I1845+I1846+I1847+I1848+I1849+I1850+I1851+I1852+I1853+I1854+I1855+I1856+I1857+I1858+I1859+I1860+I1861+I1862+I1863+I1864+I1865+I1866+I1867+I1868+I1869+I1870+I1871+I1872+I1873+I1874+I1875+I1876+I1877+I1878+I1879+I1880+I1881+I1882+I1883+I1884+I1885+I1886+I1887+I1888+I1889+I1890+I1891+I1892+I1893+I1894+I1895+I1896+I1897+I1898+I1899+I1900+I1901+I1902+I1903+I1904+I1905+I1906+I1907+I1908+I1909+I1910+I1911+I1912+I1913+I1914+I1915+I1916+I1917+I1918+I1919+I1920+I1921+I1922+I1923+I1924+I1925+I1926+I1927+I1928+I1929+I1930+I1931+I1932+I1933+I1934+I1935+I1936+I1937+I1938+I1939+I1940+I1941+I1942+I1943+I1944+I1945+I1946+I1947+I1948+I1949+I1950+I1951+I1952+I1953+I1954+I1955+I1956+I1957+I1958+I1959+I1960+I1961+I1962+I1963+I1964+I1965+I1966+I1967+I1968+I1969+I1970+I1971+I1972+I1973+I1974+I1975+I1976+I1977+I1978+I1979+I1980+I1981+I1982+I1983+I1984+I1985+I1986+I1987+I1988+I1989+I1990+I1991+I1992+I1993+I1994+I1995+I1996+I1997+I1998+I1999+I2000+I2001+I2002+I2003+I2004+I2005+I2006+I2007+I2008+I2009+I2010+I2011+I2012+I2013+I2014+I2015+I2016+I2017+I2018+I2019+I2020+I2021+I2022+I2023+I2024+I2025+I2026+I2027+I2028+I2029+I2030+I2031+I2032+I2033+I2034+I2035+I2036+I2037+I2038+I2039+I2040+I2041+I2042+I2043+I2044+I2045+I2046+I2047+I2048+I2049+I2050+I2051+I2052+I2053+I2054+I2055+I2056+I2057+I2058+I2059+I2060+I2061+I2062+I2063+I2064+I2065+I2066+I2067+I2068+I2069+I2070+I2071+I2072+I2073+I2074+I2075+I2076+I2077+I2078+I2079+I2080+I2081+I2082+I2083+I2084+I2085+I2086+I2087+I2088+I2089+I2090+I2091+I2092+I2093+I2094+I2095+I2096+I2097+I2098+I2099+I2100+I2101+I2102+I2103+I2104+I2105+I2106+I2107+I2108+I2109+I2110+I2111+I2112+I2113+I2114+I2115+I2116+I2117+I2118+I2119+I2120+I2121+I2122+I2123+I2124+I2125+I2126+I2127+I2128+I2129+I2130+I2131+I2132+I2133+I2134+I2135+I2136+I2137+I2138+I2139+I2140+I2141+I2142+I2143+I2144+I2145+I2146+I2147+I2148+I2149+I2150+I2151+I2152+I2153+I2154+I2155+I2156+I2157+I2158+I2159+I2160+I2161+I2162+I2163+I2164+I2165+I2166+I2167+I2168+I2169+I2170+I2171+I2172+I2173+I2174+I2175+I2176+I2177+I2178+I2179+I2180+I2181+I2182+I2183+I2184+I2185+I2186+I2187+I2188+I2189+I2190+I2191+I2192+I2193+I2194+I2195+I2196+I2197+I2198+I2199+I2200+I2201+I2202+I2203+I2204+I2205+I2206+I2207+I2208+I2209+I2210+I2211+I2212+I2213+I2214+I2215+I2216+I2217+I2218+I2219+I2220+I2221+I2222+I2223+I2224+I2225+I2226+I2227+I2228+I2229+I2230+I2231+I2232+I2233+I2234+I2235+I2236+I2237+I2238+I2239+I2240+I2241+I2242+I2243+I2244+I2245+I2246+I2247+I2248+I2249+I2250+I2251+I2252+I2253+I2254+I2255+I2256+I2257+I2258+I2259+I2260+I2261+I2262+I2263+I2264+I2265+I2266+I2267+I2268+I2269+I2270+I2271+I2272+I2273+I2274+I2275+I2276+I2277+I2278+I2279+I2280+I2281+I2282+I2283+I2284+I2285+I2286+I2287+I2288+I2289+I2290+I2291+I2292+I2293+I2294+I2295+I2296+I2297+I2298+I2299+I2300+I2301+I2302+I2303+I2304+I2305+I2306+I2307+I2308+I2309+I2310+I2311+I2312+I2313+I2314+I2315+I2316</f>
        <v>2.399999999999892</v>
      </c>
    </row>
    <row r="2318" spans="1:10" x14ac:dyDescent="0.25">
      <c r="B2318" s="4" t="s">
        <v>2302</v>
      </c>
      <c r="I2318" s="7">
        <v>253978.11999999988</v>
      </c>
    </row>
    <row r="2322" spans="1:9" x14ac:dyDescent="0.25">
      <c r="A2322" s="33" t="s">
        <v>2312</v>
      </c>
      <c r="B2322" s="30"/>
      <c r="C2322" s="30"/>
      <c r="D2322" s="30"/>
      <c r="E2322" s="30"/>
      <c r="F2322" s="30"/>
      <c r="G2322" s="30"/>
      <c r="H2322" s="30"/>
      <c r="I2322" s="30"/>
    </row>
  </sheetData>
  <mergeCells count="4">
    <mergeCell ref="A1:I1"/>
    <mergeCell ref="A2:I2"/>
    <mergeCell ref="A3:I3"/>
    <mergeCell ref="A2322:I2322"/>
  </mergeCell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68191C-B8EE-4D94-BD7C-2928A30BAF51}">
  <dimension ref="A3:H1453"/>
  <sheetViews>
    <sheetView zoomScale="80" zoomScaleNormal="80" workbookViewId="0">
      <selection sqref="A1:I1"/>
    </sheetView>
  </sheetViews>
  <sheetFormatPr baseColWidth="10" defaultRowHeight="15.75" x14ac:dyDescent="0.25"/>
  <cols>
    <col min="1" max="1" width="35.5" bestFit="1" customWidth="1"/>
    <col min="2" max="2" width="17.25" bestFit="1" customWidth="1"/>
    <col min="3" max="3" width="68.25" bestFit="1" customWidth="1"/>
    <col min="4" max="4" width="11.75" bestFit="1" customWidth="1"/>
    <col min="5" max="6" width="12" bestFit="1" customWidth="1"/>
  </cols>
  <sheetData>
    <row r="3" spans="1:8" x14ac:dyDescent="0.25">
      <c r="D3" s="14" t="s">
        <v>2317</v>
      </c>
    </row>
    <row r="4" spans="1:8" x14ac:dyDescent="0.25">
      <c r="A4" s="14" t="s">
        <v>2313</v>
      </c>
      <c r="B4" s="14" t="s">
        <v>2303</v>
      </c>
      <c r="C4" s="14" t="s">
        <v>2306</v>
      </c>
      <c r="D4" t="s">
        <v>2316</v>
      </c>
      <c r="E4" t="s">
        <v>2318</v>
      </c>
      <c r="F4" t="s">
        <v>2319</v>
      </c>
      <c r="G4" t="s">
        <v>2320</v>
      </c>
      <c r="H4" t="s">
        <v>2321</v>
      </c>
    </row>
    <row r="5" spans="1:8" x14ac:dyDescent="0.25">
      <c r="A5" t="s">
        <v>2</v>
      </c>
      <c r="B5" t="s">
        <v>3</v>
      </c>
      <c r="C5" t="s">
        <v>6</v>
      </c>
      <c r="D5" s="15">
        <v>5.41</v>
      </c>
      <c r="E5" s="15">
        <v>5.41</v>
      </c>
      <c r="F5" t="b">
        <f>D5=E5</f>
        <v>1</v>
      </c>
      <c r="G5" t="str">
        <f>+A5</f>
        <v>Amazon</v>
      </c>
    </row>
    <row r="6" spans="1:8" x14ac:dyDescent="0.25">
      <c r="A6" t="s">
        <v>2</v>
      </c>
      <c r="B6" t="s">
        <v>8</v>
      </c>
      <c r="C6" t="s">
        <v>6</v>
      </c>
      <c r="D6" s="15">
        <v>5.41</v>
      </c>
      <c r="E6" s="15">
        <v>5.41</v>
      </c>
      <c r="F6" t="b">
        <f t="shared" ref="F6:F69" si="0">D6=E6</f>
        <v>1</v>
      </c>
      <c r="G6" t="str">
        <f t="shared" ref="G6:G69" si="1">+A6</f>
        <v>Amazon</v>
      </c>
    </row>
    <row r="7" spans="1:8" x14ac:dyDescent="0.25">
      <c r="A7" t="s">
        <v>12</v>
      </c>
      <c r="B7" t="s">
        <v>13</v>
      </c>
      <c r="C7" t="s">
        <v>15</v>
      </c>
      <c r="D7" s="15">
        <v>16.022600000000001</v>
      </c>
      <c r="E7" s="15">
        <v>16.022600000000001</v>
      </c>
      <c r="F7" t="b">
        <f t="shared" si="0"/>
        <v>1</v>
      </c>
      <c r="G7" t="str">
        <f t="shared" si="1"/>
        <v>Arjo Vision Trading Company LLC</v>
      </c>
    </row>
    <row r="8" spans="1:8" x14ac:dyDescent="0.25">
      <c r="A8" t="s">
        <v>18</v>
      </c>
      <c r="B8" t="s">
        <v>19</v>
      </c>
      <c r="C8" t="s">
        <v>42</v>
      </c>
      <c r="D8" s="15">
        <v>109</v>
      </c>
      <c r="E8" s="15">
        <v>109</v>
      </c>
      <c r="F8" t="b">
        <f t="shared" si="0"/>
        <v>1</v>
      </c>
      <c r="G8" t="str">
        <f t="shared" si="1"/>
        <v>Belmont International Trading Corp</v>
      </c>
    </row>
    <row r="9" spans="1:8" x14ac:dyDescent="0.25">
      <c r="A9" t="s">
        <v>18</v>
      </c>
      <c r="B9" t="s">
        <v>19</v>
      </c>
      <c r="C9" t="s">
        <v>37</v>
      </c>
      <c r="D9" s="15">
        <v>90</v>
      </c>
      <c r="E9" s="15">
        <v>90</v>
      </c>
      <c r="F9" t="b">
        <f t="shared" si="0"/>
        <v>1</v>
      </c>
      <c r="G9" t="str">
        <f t="shared" si="1"/>
        <v>Belmont International Trading Corp</v>
      </c>
    </row>
    <row r="10" spans="1:8" x14ac:dyDescent="0.25">
      <c r="A10" t="s">
        <v>18</v>
      </c>
      <c r="B10" t="s">
        <v>19</v>
      </c>
      <c r="C10" t="s">
        <v>35</v>
      </c>
      <c r="D10" s="15">
        <v>50.4</v>
      </c>
      <c r="E10" s="15">
        <v>50.4</v>
      </c>
      <c r="F10" t="b">
        <f t="shared" si="0"/>
        <v>1</v>
      </c>
      <c r="G10" t="str">
        <f t="shared" si="1"/>
        <v>Belmont International Trading Corp</v>
      </c>
    </row>
    <row r="11" spans="1:8" x14ac:dyDescent="0.25">
      <c r="A11" t="s">
        <v>18</v>
      </c>
      <c r="B11" t="s">
        <v>19</v>
      </c>
      <c r="C11" t="s">
        <v>146</v>
      </c>
      <c r="D11" s="15">
        <v>106</v>
      </c>
      <c r="E11" s="15">
        <v>106</v>
      </c>
      <c r="F11" t="b">
        <f t="shared" si="0"/>
        <v>1</v>
      </c>
      <c r="G11" t="str">
        <f t="shared" si="1"/>
        <v>Belmont International Trading Corp</v>
      </c>
    </row>
    <row r="12" spans="1:8" x14ac:dyDescent="0.25">
      <c r="A12" t="s">
        <v>18</v>
      </c>
      <c r="B12" t="s">
        <v>19</v>
      </c>
      <c r="C12" t="s">
        <v>110</v>
      </c>
      <c r="D12" s="15">
        <v>39</v>
      </c>
      <c r="E12" s="15">
        <v>39</v>
      </c>
      <c r="F12" t="b">
        <f t="shared" si="0"/>
        <v>1</v>
      </c>
      <c r="G12" t="str">
        <f t="shared" si="1"/>
        <v>Belmont International Trading Corp</v>
      </c>
    </row>
    <row r="13" spans="1:8" x14ac:dyDescent="0.25">
      <c r="A13" t="s">
        <v>18</v>
      </c>
      <c r="B13" t="s">
        <v>19</v>
      </c>
      <c r="C13" t="s">
        <v>114</v>
      </c>
      <c r="D13" s="15">
        <v>41</v>
      </c>
      <c r="E13" s="15">
        <v>41</v>
      </c>
      <c r="F13" t="b">
        <f t="shared" si="0"/>
        <v>1</v>
      </c>
      <c r="G13" t="str">
        <f t="shared" si="1"/>
        <v>Belmont International Trading Corp</v>
      </c>
    </row>
    <row r="14" spans="1:8" x14ac:dyDescent="0.25">
      <c r="A14" t="s">
        <v>18</v>
      </c>
      <c r="B14" t="s">
        <v>19</v>
      </c>
      <c r="C14" t="s">
        <v>144</v>
      </c>
      <c r="D14" s="15">
        <v>36.75</v>
      </c>
      <c r="E14" s="15">
        <v>36.75</v>
      </c>
      <c r="F14" t="b">
        <f t="shared" si="0"/>
        <v>1</v>
      </c>
      <c r="G14" t="str">
        <f t="shared" si="1"/>
        <v>Belmont International Trading Corp</v>
      </c>
    </row>
    <row r="15" spans="1:8" x14ac:dyDescent="0.25">
      <c r="A15" t="s">
        <v>18</v>
      </c>
      <c r="B15" t="s">
        <v>19</v>
      </c>
      <c r="C15" t="s">
        <v>25</v>
      </c>
      <c r="D15" s="15">
        <v>45</v>
      </c>
      <c r="E15" s="15">
        <v>45</v>
      </c>
      <c r="F15" t="b">
        <f t="shared" si="0"/>
        <v>1</v>
      </c>
      <c r="G15" t="str">
        <f t="shared" si="1"/>
        <v>Belmont International Trading Corp</v>
      </c>
    </row>
    <row r="16" spans="1:8" x14ac:dyDescent="0.25">
      <c r="A16" t="s">
        <v>18</v>
      </c>
      <c r="B16" t="s">
        <v>19</v>
      </c>
      <c r="C16" t="s">
        <v>31</v>
      </c>
      <c r="D16" s="15">
        <v>23.5</v>
      </c>
      <c r="E16" s="15">
        <v>23.5</v>
      </c>
      <c r="F16" t="b">
        <f t="shared" si="0"/>
        <v>1</v>
      </c>
      <c r="G16" t="str">
        <f t="shared" si="1"/>
        <v>Belmont International Trading Corp</v>
      </c>
    </row>
    <row r="17" spans="1:7" x14ac:dyDescent="0.25">
      <c r="A17" t="s">
        <v>18</v>
      </c>
      <c r="B17" t="s">
        <v>19</v>
      </c>
      <c r="C17" t="s">
        <v>29</v>
      </c>
      <c r="D17" s="15">
        <v>20.9</v>
      </c>
      <c r="E17" s="15">
        <v>20.9</v>
      </c>
      <c r="F17" t="b">
        <f t="shared" si="0"/>
        <v>1</v>
      </c>
      <c r="G17" t="str">
        <f t="shared" si="1"/>
        <v>Belmont International Trading Corp</v>
      </c>
    </row>
    <row r="18" spans="1:7" x14ac:dyDescent="0.25">
      <c r="A18" t="s">
        <v>18</v>
      </c>
      <c r="B18" t="s">
        <v>19</v>
      </c>
      <c r="C18" t="s">
        <v>33</v>
      </c>
      <c r="D18" s="15">
        <v>23.5</v>
      </c>
      <c r="E18" s="15">
        <v>23.5</v>
      </c>
      <c r="F18" t="b">
        <f t="shared" si="0"/>
        <v>1</v>
      </c>
      <c r="G18" t="str">
        <f t="shared" si="1"/>
        <v>Belmont International Trading Corp</v>
      </c>
    </row>
    <row r="19" spans="1:7" x14ac:dyDescent="0.25">
      <c r="A19" t="s">
        <v>18</v>
      </c>
      <c r="B19" t="s">
        <v>19</v>
      </c>
      <c r="C19" t="s">
        <v>98</v>
      </c>
      <c r="D19" s="15">
        <v>12.5</v>
      </c>
      <c r="E19" s="15">
        <v>12.5</v>
      </c>
      <c r="F19" t="b">
        <f t="shared" si="0"/>
        <v>1</v>
      </c>
      <c r="G19" t="str">
        <f t="shared" si="1"/>
        <v>Belmont International Trading Corp</v>
      </c>
    </row>
    <row r="20" spans="1:7" x14ac:dyDescent="0.25">
      <c r="A20" t="s">
        <v>18</v>
      </c>
      <c r="B20" t="s">
        <v>19</v>
      </c>
      <c r="C20" t="s">
        <v>104</v>
      </c>
      <c r="D20" s="15">
        <v>12</v>
      </c>
      <c r="E20" s="15">
        <v>12</v>
      </c>
      <c r="F20" t="b">
        <f t="shared" si="0"/>
        <v>1</v>
      </c>
      <c r="G20" t="str">
        <f t="shared" si="1"/>
        <v>Belmont International Trading Corp</v>
      </c>
    </row>
    <row r="21" spans="1:7" x14ac:dyDescent="0.25">
      <c r="A21" t="s">
        <v>18</v>
      </c>
      <c r="B21" t="s">
        <v>19</v>
      </c>
      <c r="C21" t="s">
        <v>138</v>
      </c>
      <c r="D21" s="15">
        <v>37.5</v>
      </c>
      <c r="E21" s="15">
        <v>37.5</v>
      </c>
      <c r="F21" t="b">
        <f t="shared" si="0"/>
        <v>1</v>
      </c>
      <c r="G21" t="str">
        <f t="shared" si="1"/>
        <v>Belmont International Trading Corp</v>
      </c>
    </row>
    <row r="22" spans="1:7" x14ac:dyDescent="0.25">
      <c r="A22" t="s">
        <v>18</v>
      </c>
      <c r="B22" t="s">
        <v>19</v>
      </c>
      <c r="C22" t="s">
        <v>136</v>
      </c>
      <c r="D22" s="15">
        <v>36.5</v>
      </c>
      <c r="E22" s="15">
        <v>36.5</v>
      </c>
      <c r="F22" t="b">
        <f t="shared" si="0"/>
        <v>1</v>
      </c>
      <c r="G22" t="str">
        <f t="shared" si="1"/>
        <v>Belmont International Trading Corp</v>
      </c>
    </row>
    <row r="23" spans="1:7" x14ac:dyDescent="0.25">
      <c r="A23" t="s">
        <v>18</v>
      </c>
      <c r="B23" t="s">
        <v>19</v>
      </c>
      <c r="C23" t="s">
        <v>23</v>
      </c>
      <c r="D23" s="15">
        <v>48</v>
      </c>
      <c r="E23" s="15">
        <v>48</v>
      </c>
      <c r="F23" t="b">
        <f t="shared" si="0"/>
        <v>1</v>
      </c>
      <c r="G23" t="str">
        <f t="shared" si="1"/>
        <v>Belmont International Trading Corp</v>
      </c>
    </row>
    <row r="24" spans="1:7" x14ac:dyDescent="0.25">
      <c r="A24" t="s">
        <v>18</v>
      </c>
      <c r="B24" t="s">
        <v>19</v>
      </c>
      <c r="C24" t="s">
        <v>27</v>
      </c>
      <c r="D24" s="15">
        <v>72.5</v>
      </c>
      <c r="E24" s="15">
        <v>72.5</v>
      </c>
      <c r="F24" t="b">
        <f t="shared" si="0"/>
        <v>1</v>
      </c>
      <c r="G24" t="str">
        <f t="shared" si="1"/>
        <v>Belmont International Trading Corp</v>
      </c>
    </row>
    <row r="25" spans="1:7" x14ac:dyDescent="0.25">
      <c r="A25" t="s">
        <v>18</v>
      </c>
      <c r="B25" t="s">
        <v>19</v>
      </c>
      <c r="C25" t="s">
        <v>108</v>
      </c>
      <c r="D25" s="15">
        <v>35.5</v>
      </c>
      <c r="E25" s="15">
        <v>35.5</v>
      </c>
      <c r="F25" t="b">
        <f t="shared" si="0"/>
        <v>1</v>
      </c>
      <c r="G25" t="str">
        <f t="shared" si="1"/>
        <v>Belmont International Trading Corp</v>
      </c>
    </row>
    <row r="26" spans="1:7" x14ac:dyDescent="0.25">
      <c r="A26" t="s">
        <v>18</v>
      </c>
      <c r="B26" t="s">
        <v>19</v>
      </c>
      <c r="C26" t="s">
        <v>112</v>
      </c>
      <c r="D26" s="15">
        <v>23.5</v>
      </c>
      <c r="E26" s="15">
        <v>23.5</v>
      </c>
      <c r="F26" t="b">
        <f t="shared" si="0"/>
        <v>1</v>
      </c>
      <c r="G26" t="str">
        <f t="shared" si="1"/>
        <v>Belmont International Trading Corp</v>
      </c>
    </row>
    <row r="27" spans="1:7" x14ac:dyDescent="0.25">
      <c r="A27" t="s">
        <v>18</v>
      </c>
      <c r="B27" t="s">
        <v>19</v>
      </c>
      <c r="C27" t="s">
        <v>102</v>
      </c>
      <c r="D27" s="15">
        <v>12.5</v>
      </c>
      <c r="E27" s="15">
        <v>12.5</v>
      </c>
      <c r="F27" t="b">
        <f t="shared" si="0"/>
        <v>1</v>
      </c>
      <c r="G27" t="str">
        <f t="shared" si="1"/>
        <v>Belmont International Trading Corp</v>
      </c>
    </row>
    <row r="28" spans="1:7" x14ac:dyDescent="0.25">
      <c r="A28" t="s">
        <v>18</v>
      </c>
      <c r="B28" t="s">
        <v>19</v>
      </c>
      <c r="C28" t="s">
        <v>66</v>
      </c>
      <c r="D28" s="15">
        <v>48</v>
      </c>
      <c r="E28" s="15">
        <v>48</v>
      </c>
      <c r="F28" t="b">
        <f t="shared" si="0"/>
        <v>1</v>
      </c>
      <c r="G28" t="str">
        <f t="shared" si="1"/>
        <v>Belmont International Trading Corp</v>
      </c>
    </row>
    <row r="29" spans="1:7" x14ac:dyDescent="0.25">
      <c r="A29" t="s">
        <v>18</v>
      </c>
      <c r="B29" t="s">
        <v>19</v>
      </c>
      <c r="C29" t="s">
        <v>100</v>
      </c>
      <c r="D29" s="15">
        <v>12.5</v>
      </c>
      <c r="E29" s="15">
        <v>12.5</v>
      </c>
      <c r="F29" t="b">
        <f t="shared" si="0"/>
        <v>1</v>
      </c>
      <c r="G29" t="str">
        <f t="shared" si="1"/>
        <v>Belmont International Trading Corp</v>
      </c>
    </row>
    <row r="30" spans="1:7" x14ac:dyDescent="0.25">
      <c r="A30" t="s">
        <v>18</v>
      </c>
      <c r="B30" t="s">
        <v>19</v>
      </c>
      <c r="C30" t="s">
        <v>140</v>
      </c>
      <c r="D30" s="15">
        <v>22</v>
      </c>
      <c r="E30" s="15">
        <v>22</v>
      </c>
      <c r="F30" t="b">
        <f t="shared" si="0"/>
        <v>1</v>
      </c>
      <c r="G30" t="str">
        <f t="shared" si="1"/>
        <v>Belmont International Trading Corp</v>
      </c>
    </row>
    <row r="31" spans="1:7" x14ac:dyDescent="0.25">
      <c r="A31" t="s">
        <v>18</v>
      </c>
      <c r="B31" t="s">
        <v>19</v>
      </c>
      <c r="C31" t="s">
        <v>142</v>
      </c>
      <c r="D31" s="15">
        <v>29</v>
      </c>
      <c r="E31" s="15">
        <v>29</v>
      </c>
      <c r="F31" t="b">
        <f t="shared" si="0"/>
        <v>1</v>
      </c>
      <c r="G31" t="str">
        <f t="shared" si="1"/>
        <v>Belmont International Trading Corp</v>
      </c>
    </row>
    <row r="32" spans="1:7" x14ac:dyDescent="0.25">
      <c r="A32" t="s">
        <v>18</v>
      </c>
      <c r="B32" t="s">
        <v>19</v>
      </c>
      <c r="C32" t="s">
        <v>106</v>
      </c>
      <c r="D32" s="15">
        <v>12</v>
      </c>
      <c r="E32" s="15">
        <v>12</v>
      </c>
      <c r="F32" t="b">
        <f t="shared" si="0"/>
        <v>1</v>
      </c>
      <c r="G32" t="str">
        <f t="shared" si="1"/>
        <v>Belmont International Trading Corp</v>
      </c>
    </row>
    <row r="33" spans="1:7" x14ac:dyDescent="0.25">
      <c r="A33" t="s">
        <v>18</v>
      </c>
      <c r="B33" t="s">
        <v>19</v>
      </c>
      <c r="C33" t="s">
        <v>21</v>
      </c>
      <c r="D33" s="15">
        <v>54</v>
      </c>
      <c r="E33" s="15">
        <v>54</v>
      </c>
      <c r="F33" t="b">
        <f t="shared" si="0"/>
        <v>1</v>
      </c>
      <c r="G33" t="str">
        <f t="shared" si="1"/>
        <v>Belmont International Trading Corp</v>
      </c>
    </row>
    <row r="34" spans="1:7" x14ac:dyDescent="0.25">
      <c r="A34" t="s">
        <v>18</v>
      </c>
      <c r="B34" t="s">
        <v>19</v>
      </c>
      <c r="C34" t="s">
        <v>90</v>
      </c>
      <c r="D34" s="15">
        <v>16</v>
      </c>
      <c r="E34" s="15">
        <v>16</v>
      </c>
      <c r="F34" t="b">
        <f t="shared" si="0"/>
        <v>1</v>
      </c>
      <c r="G34" t="str">
        <f t="shared" si="1"/>
        <v>Belmont International Trading Corp</v>
      </c>
    </row>
    <row r="35" spans="1:7" x14ac:dyDescent="0.25">
      <c r="A35" t="s">
        <v>18</v>
      </c>
      <c r="B35" t="s">
        <v>19</v>
      </c>
      <c r="C35" t="s">
        <v>88</v>
      </c>
      <c r="D35" s="15">
        <v>16</v>
      </c>
      <c r="E35" s="15">
        <v>16</v>
      </c>
      <c r="F35" t="b">
        <f t="shared" si="0"/>
        <v>1</v>
      </c>
      <c r="G35" t="str">
        <f t="shared" si="1"/>
        <v>Belmont International Trading Corp</v>
      </c>
    </row>
    <row r="36" spans="1:7" x14ac:dyDescent="0.25">
      <c r="A36" t="s">
        <v>18</v>
      </c>
      <c r="B36" t="s">
        <v>19</v>
      </c>
      <c r="C36" t="s">
        <v>92</v>
      </c>
      <c r="D36" s="15">
        <v>16</v>
      </c>
      <c r="E36" s="15">
        <v>16</v>
      </c>
      <c r="F36" t="b">
        <f t="shared" si="0"/>
        <v>1</v>
      </c>
      <c r="G36" t="str">
        <f t="shared" si="1"/>
        <v>Belmont International Trading Corp</v>
      </c>
    </row>
    <row r="37" spans="1:7" x14ac:dyDescent="0.25">
      <c r="A37" t="s">
        <v>18</v>
      </c>
      <c r="B37" t="s">
        <v>19</v>
      </c>
      <c r="C37" t="s">
        <v>86</v>
      </c>
      <c r="D37" s="15">
        <v>16</v>
      </c>
      <c r="E37" s="15">
        <v>16</v>
      </c>
      <c r="F37" t="b">
        <f t="shared" si="0"/>
        <v>1</v>
      </c>
      <c r="G37" t="str">
        <f t="shared" si="1"/>
        <v>Belmont International Trading Corp</v>
      </c>
    </row>
    <row r="38" spans="1:7" x14ac:dyDescent="0.25">
      <c r="A38" t="s">
        <v>18</v>
      </c>
      <c r="B38" t="s">
        <v>19</v>
      </c>
      <c r="C38" t="s">
        <v>39</v>
      </c>
      <c r="D38" s="15">
        <v>30</v>
      </c>
      <c r="E38" s="15">
        <v>30</v>
      </c>
      <c r="F38" t="b">
        <f t="shared" si="0"/>
        <v>1</v>
      </c>
      <c r="G38" t="str">
        <f t="shared" si="1"/>
        <v>Belmont International Trading Corp</v>
      </c>
    </row>
    <row r="39" spans="1:7" x14ac:dyDescent="0.25">
      <c r="A39" t="s">
        <v>18</v>
      </c>
      <c r="B39" t="s">
        <v>19</v>
      </c>
      <c r="C39" t="s">
        <v>40</v>
      </c>
      <c r="D39" s="15">
        <v>4</v>
      </c>
      <c r="E39" s="15">
        <v>34</v>
      </c>
      <c r="F39" t="b">
        <f t="shared" si="0"/>
        <v>0</v>
      </c>
      <c r="G39" t="str">
        <f t="shared" si="1"/>
        <v>Belmont International Trading Corp</v>
      </c>
    </row>
    <row r="40" spans="1:7" x14ac:dyDescent="0.25">
      <c r="A40" t="s">
        <v>18</v>
      </c>
      <c r="B40" t="s">
        <v>19</v>
      </c>
      <c r="C40" t="s">
        <v>60</v>
      </c>
      <c r="D40" s="15">
        <v>56</v>
      </c>
      <c r="E40" s="15">
        <v>56</v>
      </c>
      <c r="F40" t="b">
        <f t="shared" si="0"/>
        <v>1</v>
      </c>
      <c r="G40" t="str">
        <f t="shared" si="1"/>
        <v>Belmont International Trading Corp</v>
      </c>
    </row>
    <row r="41" spans="1:7" x14ac:dyDescent="0.25">
      <c r="A41" t="s">
        <v>18</v>
      </c>
      <c r="B41" t="s">
        <v>19</v>
      </c>
      <c r="C41" t="s">
        <v>56</v>
      </c>
      <c r="D41" s="15">
        <v>63</v>
      </c>
      <c r="E41" s="15">
        <v>63</v>
      </c>
      <c r="F41" t="b">
        <f t="shared" si="0"/>
        <v>1</v>
      </c>
      <c r="G41" t="str">
        <f t="shared" si="1"/>
        <v>Belmont International Trading Corp</v>
      </c>
    </row>
    <row r="42" spans="1:7" x14ac:dyDescent="0.25">
      <c r="A42" t="s">
        <v>18</v>
      </c>
      <c r="B42" t="s">
        <v>19</v>
      </c>
      <c r="C42" t="s">
        <v>58</v>
      </c>
      <c r="D42" s="15">
        <v>70</v>
      </c>
      <c r="E42" s="15">
        <v>70</v>
      </c>
      <c r="F42" t="b">
        <f t="shared" si="0"/>
        <v>1</v>
      </c>
      <c r="G42" t="str">
        <f t="shared" si="1"/>
        <v>Belmont International Trading Corp</v>
      </c>
    </row>
    <row r="43" spans="1:7" x14ac:dyDescent="0.25">
      <c r="A43" t="s">
        <v>18</v>
      </c>
      <c r="B43" t="s">
        <v>19</v>
      </c>
      <c r="C43" t="s">
        <v>80</v>
      </c>
      <c r="D43" s="15">
        <v>12.25</v>
      </c>
      <c r="E43" s="15">
        <v>12.25</v>
      </c>
      <c r="F43" t="b">
        <f t="shared" si="0"/>
        <v>1</v>
      </c>
      <c r="G43" t="str">
        <f t="shared" si="1"/>
        <v>Belmont International Trading Corp</v>
      </c>
    </row>
    <row r="44" spans="1:7" x14ac:dyDescent="0.25">
      <c r="A44" t="s">
        <v>18</v>
      </c>
      <c r="B44" t="s">
        <v>19</v>
      </c>
      <c r="C44" t="s">
        <v>72</v>
      </c>
      <c r="D44" s="15">
        <v>77</v>
      </c>
      <c r="E44" s="15">
        <v>77</v>
      </c>
      <c r="F44" t="b">
        <f t="shared" si="0"/>
        <v>1</v>
      </c>
      <c r="G44" t="str">
        <f t="shared" si="1"/>
        <v>Belmont International Trading Corp</v>
      </c>
    </row>
    <row r="45" spans="1:7" x14ac:dyDescent="0.25">
      <c r="A45" t="s">
        <v>18</v>
      </c>
      <c r="B45" t="s">
        <v>19</v>
      </c>
      <c r="C45" t="s">
        <v>84</v>
      </c>
      <c r="D45" s="15">
        <v>50.4</v>
      </c>
      <c r="E45" s="15">
        <v>50.4</v>
      </c>
      <c r="F45" t="b">
        <f t="shared" si="0"/>
        <v>1</v>
      </c>
      <c r="G45" t="str">
        <f t="shared" si="1"/>
        <v>Belmont International Trading Corp</v>
      </c>
    </row>
    <row r="46" spans="1:7" x14ac:dyDescent="0.25">
      <c r="A46" t="s">
        <v>18</v>
      </c>
      <c r="B46" t="s">
        <v>19</v>
      </c>
      <c r="C46" t="s">
        <v>64</v>
      </c>
      <c r="D46" s="15">
        <v>49</v>
      </c>
      <c r="E46" s="15">
        <v>49</v>
      </c>
      <c r="F46" t="b">
        <f t="shared" si="0"/>
        <v>1</v>
      </c>
      <c r="G46" t="str">
        <f t="shared" si="1"/>
        <v>Belmont International Trading Corp</v>
      </c>
    </row>
    <row r="47" spans="1:7" x14ac:dyDescent="0.25">
      <c r="A47" t="s">
        <v>18</v>
      </c>
      <c r="B47" t="s">
        <v>19</v>
      </c>
      <c r="C47" t="s">
        <v>74</v>
      </c>
      <c r="D47" s="15">
        <v>55</v>
      </c>
      <c r="E47" s="15">
        <v>55</v>
      </c>
      <c r="F47" t="b">
        <f t="shared" si="0"/>
        <v>1</v>
      </c>
      <c r="G47" t="str">
        <f t="shared" si="1"/>
        <v>Belmont International Trading Corp</v>
      </c>
    </row>
    <row r="48" spans="1:7" x14ac:dyDescent="0.25">
      <c r="A48" t="s">
        <v>18</v>
      </c>
      <c r="B48" t="s">
        <v>19</v>
      </c>
      <c r="C48" t="s">
        <v>68</v>
      </c>
      <c r="D48" s="15">
        <v>9.5</v>
      </c>
      <c r="E48" s="15">
        <v>9.5</v>
      </c>
      <c r="F48" t="b">
        <f t="shared" si="0"/>
        <v>1</v>
      </c>
      <c r="G48" t="str">
        <f t="shared" si="1"/>
        <v>Belmont International Trading Corp</v>
      </c>
    </row>
    <row r="49" spans="1:7" x14ac:dyDescent="0.25">
      <c r="A49" t="s">
        <v>18</v>
      </c>
      <c r="B49" t="s">
        <v>19</v>
      </c>
      <c r="C49" t="s">
        <v>62</v>
      </c>
      <c r="D49" s="15">
        <v>16</v>
      </c>
      <c r="E49" s="15">
        <v>16</v>
      </c>
      <c r="F49" t="b">
        <f t="shared" si="0"/>
        <v>1</v>
      </c>
      <c r="G49" t="str">
        <f t="shared" si="1"/>
        <v>Belmont International Trading Corp</v>
      </c>
    </row>
    <row r="50" spans="1:7" x14ac:dyDescent="0.25">
      <c r="A50" t="s">
        <v>18</v>
      </c>
      <c r="B50" t="s">
        <v>19</v>
      </c>
      <c r="C50" t="s">
        <v>82</v>
      </c>
      <c r="D50" s="15">
        <v>58</v>
      </c>
      <c r="E50" s="15">
        <v>58</v>
      </c>
      <c r="F50" t="b">
        <f t="shared" si="0"/>
        <v>1</v>
      </c>
      <c r="G50" t="str">
        <f t="shared" si="1"/>
        <v>Belmont International Trading Corp</v>
      </c>
    </row>
    <row r="51" spans="1:7" x14ac:dyDescent="0.25">
      <c r="A51" t="s">
        <v>18</v>
      </c>
      <c r="B51" t="s">
        <v>19</v>
      </c>
      <c r="C51" t="s">
        <v>94</v>
      </c>
      <c r="D51" s="15">
        <v>15.9</v>
      </c>
      <c r="E51" s="15">
        <v>15.9</v>
      </c>
      <c r="F51" t="b">
        <f t="shared" si="0"/>
        <v>1</v>
      </c>
      <c r="G51" t="str">
        <f t="shared" si="1"/>
        <v>Belmont International Trading Corp</v>
      </c>
    </row>
    <row r="52" spans="1:7" x14ac:dyDescent="0.25">
      <c r="A52" t="s">
        <v>18</v>
      </c>
      <c r="B52" t="s">
        <v>19</v>
      </c>
      <c r="C52" t="s">
        <v>48</v>
      </c>
      <c r="D52" s="15">
        <v>39.5</v>
      </c>
      <c r="E52" s="15">
        <v>39.5</v>
      </c>
      <c r="F52" t="b">
        <f t="shared" si="0"/>
        <v>1</v>
      </c>
      <c r="G52" t="str">
        <f t="shared" si="1"/>
        <v>Belmont International Trading Corp</v>
      </c>
    </row>
    <row r="53" spans="1:7" x14ac:dyDescent="0.25">
      <c r="A53" t="s">
        <v>18</v>
      </c>
      <c r="B53" t="s">
        <v>19</v>
      </c>
      <c r="C53" t="s">
        <v>54</v>
      </c>
      <c r="D53" s="15">
        <v>25.5</v>
      </c>
      <c r="E53" s="15">
        <v>25.5</v>
      </c>
      <c r="F53" t="b">
        <f t="shared" si="0"/>
        <v>1</v>
      </c>
      <c r="G53" t="str">
        <f t="shared" si="1"/>
        <v>Belmont International Trading Corp</v>
      </c>
    </row>
    <row r="54" spans="1:7" x14ac:dyDescent="0.25">
      <c r="A54" t="s">
        <v>18</v>
      </c>
      <c r="B54" t="s">
        <v>19</v>
      </c>
      <c r="C54" t="s">
        <v>52</v>
      </c>
      <c r="D54" s="15">
        <v>25.5</v>
      </c>
      <c r="E54" s="15">
        <v>25.5</v>
      </c>
      <c r="F54" t="b">
        <f t="shared" si="0"/>
        <v>1</v>
      </c>
      <c r="G54" t="str">
        <f t="shared" si="1"/>
        <v>Belmont International Trading Corp</v>
      </c>
    </row>
    <row r="55" spans="1:7" x14ac:dyDescent="0.25">
      <c r="A55" t="s">
        <v>18</v>
      </c>
      <c r="B55" t="s">
        <v>19</v>
      </c>
      <c r="C55" t="s">
        <v>96</v>
      </c>
      <c r="D55" s="15">
        <v>29.9</v>
      </c>
      <c r="E55" s="15">
        <v>29.9</v>
      </c>
      <c r="F55" t="b">
        <f t="shared" si="0"/>
        <v>1</v>
      </c>
      <c r="G55" t="str">
        <f t="shared" si="1"/>
        <v>Belmont International Trading Corp</v>
      </c>
    </row>
    <row r="56" spans="1:7" x14ac:dyDescent="0.25">
      <c r="A56" t="s">
        <v>18</v>
      </c>
      <c r="B56" t="s">
        <v>19</v>
      </c>
      <c r="C56" t="s">
        <v>70</v>
      </c>
      <c r="D56" s="15">
        <v>29.9</v>
      </c>
      <c r="E56" s="15">
        <v>29.9</v>
      </c>
      <c r="F56" t="b">
        <f t="shared" si="0"/>
        <v>1</v>
      </c>
      <c r="G56" t="str">
        <f t="shared" si="1"/>
        <v>Belmont International Trading Corp</v>
      </c>
    </row>
    <row r="57" spans="1:7" x14ac:dyDescent="0.25">
      <c r="A57" t="s">
        <v>18</v>
      </c>
      <c r="B57" t="s">
        <v>19</v>
      </c>
      <c r="C57" t="s">
        <v>44</v>
      </c>
      <c r="D57" s="15">
        <v>39.5</v>
      </c>
      <c r="E57" s="15">
        <v>39.5</v>
      </c>
      <c r="F57" t="b">
        <f t="shared" si="0"/>
        <v>1</v>
      </c>
      <c r="G57" t="str">
        <f t="shared" si="1"/>
        <v>Belmont International Trading Corp</v>
      </c>
    </row>
    <row r="58" spans="1:7" x14ac:dyDescent="0.25">
      <c r="A58" t="s">
        <v>18</v>
      </c>
      <c r="B58" t="s">
        <v>19</v>
      </c>
      <c r="C58" t="s">
        <v>116</v>
      </c>
      <c r="D58" s="15">
        <v>19.690000000000001</v>
      </c>
      <c r="E58" s="15">
        <v>19.690000000000001</v>
      </c>
      <c r="F58" t="b">
        <f t="shared" si="0"/>
        <v>1</v>
      </c>
      <c r="G58" t="str">
        <f t="shared" si="1"/>
        <v>Belmont International Trading Corp</v>
      </c>
    </row>
    <row r="59" spans="1:7" x14ac:dyDescent="0.25">
      <c r="A59" t="s">
        <v>18</v>
      </c>
      <c r="B59" t="s">
        <v>19</v>
      </c>
      <c r="C59" t="s">
        <v>118</v>
      </c>
      <c r="D59" s="15">
        <v>23.63</v>
      </c>
      <c r="E59" s="15">
        <v>23.63</v>
      </c>
      <c r="F59" t="b">
        <f t="shared" si="0"/>
        <v>1</v>
      </c>
      <c r="G59" t="str">
        <f t="shared" si="1"/>
        <v>Belmont International Trading Corp</v>
      </c>
    </row>
    <row r="60" spans="1:7" x14ac:dyDescent="0.25">
      <c r="A60" t="s">
        <v>18</v>
      </c>
      <c r="B60" t="s">
        <v>19</v>
      </c>
      <c r="C60" t="s">
        <v>120</v>
      </c>
      <c r="D60" s="15">
        <v>12.5</v>
      </c>
      <c r="E60" s="15">
        <v>12.5</v>
      </c>
      <c r="F60" t="b">
        <f t="shared" si="0"/>
        <v>1</v>
      </c>
      <c r="G60" t="str">
        <f t="shared" si="1"/>
        <v>Belmont International Trading Corp</v>
      </c>
    </row>
    <row r="61" spans="1:7" x14ac:dyDescent="0.25">
      <c r="A61" t="s">
        <v>18</v>
      </c>
      <c r="B61" t="s">
        <v>19</v>
      </c>
      <c r="C61" t="s">
        <v>122</v>
      </c>
      <c r="D61" s="15">
        <v>23.63</v>
      </c>
      <c r="E61" s="15">
        <v>23.63</v>
      </c>
      <c r="F61" t="b">
        <f t="shared" si="0"/>
        <v>1</v>
      </c>
      <c r="G61" t="str">
        <f t="shared" si="1"/>
        <v>Belmont International Trading Corp</v>
      </c>
    </row>
    <row r="62" spans="1:7" x14ac:dyDescent="0.25">
      <c r="A62" t="s">
        <v>18</v>
      </c>
      <c r="B62" t="s">
        <v>19</v>
      </c>
      <c r="C62" t="s">
        <v>124</v>
      </c>
      <c r="D62" s="15">
        <v>42.08</v>
      </c>
      <c r="E62" s="15">
        <v>42.08</v>
      </c>
      <c r="F62" t="b">
        <f t="shared" si="0"/>
        <v>1</v>
      </c>
      <c r="G62" t="str">
        <f t="shared" si="1"/>
        <v>Belmont International Trading Corp</v>
      </c>
    </row>
    <row r="63" spans="1:7" x14ac:dyDescent="0.25">
      <c r="A63" t="s">
        <v>18</v>
      </c>
      <c r="B63" t="s">
        <v>19</v>
      </c>
      <c r="C63" t="s">
        <v>126</v>
      </c>
      <c r="D63" s="15">
        <v>23.63</v>
      </c>
      <c r="E63" s="15">
        <v>23.63</v>
      </c>
      <c r="F63" t="b">
        <f t="shared" si="0"/>
        <v>1</v>
      </c>
      <c r="G63" t="str">
        <f t="shared" si="1"/>
        <v>Belmont International Trading Corp</v>
      </c>
    </row>
    <row r="64" spans="1:7" x14ac:dyDescent="0.25">
      <c r="A64" t="s">
        <v>18</v>
      </c>
      <c r="B64" t="s">
        <v>19</v>
      </c>
      <c r="C64" t="s">
        <v>128</v>
      </c>
      <c r="D64" s="15">
        <v>23.63</v>
      </c>
      <c r="E64" s="15">
        <v>23.63</v>
      </c>
      <c r="F64" t="b">
        <f t="shared" si="0"/>
        <v>1</v>
      </c>
      <c r="G64" t="str">
        <f t="shared" si="1"/>
        <v>Belmont International Trading Corp</v>
      </c>
    </row>
    <row r="65" spans="1:7" x14ac:dyDescent="0.25">
      <c r="A65" t="s">
        <v>18</v>
      </c>
      <c r="B65" t="s">
        <v>19</v>
      </c>
      <c r="C65" t="s">
        <v>130</v>
      </c>
      <c r="D65" s="15">
        <v>17.5</v>
      </c>
      <c r="E65" s="15">
        <v>17.5</v>
      </c>
      <c r="F65" t="b">
        <f t="shared" si="0"/>
        <v>1</v>
      </c>
      <c r="G65" t="str">
        <f t="shared" si="1"/>
        <v>Belmont International Trading Corp</v>
      </c>
    </row>
    <row r="66" spans="1:7" x14ac:dyDescent="0.25">
      <c r="A66" t="s">
        <v>18</v>
      </c>
      <c r="B66" t="s">
        <v>19</v>
      </c>
      <c r="C66" t="s">
        <v>132</v>
      </c>
      <c r="D66" s="15">
        <v>34.4</v>
      </c>
      <c r="E66" s="15">
        <v>34.4</v>
      </c>
      <c r="F66" t="b">
        <f t="shared" si="0"/>
        <v>1</v>
      </c>
      <c r="G66" t="str">
        <f t="shared" si="1"/>
        <v>Belmont International Trading Corp</v>
      </c>
    </row>
    <row r="67" spans="1:7" x14ac:dyDescent="0.25">
      <c r="A67" t="s">
        <v>18</v>
      </c>
      <c r="B67" t="s">
        <v>19</v>
      </c>
      <c r="C67" t="s">
        <v>134</v>
      </c>
      <c r="D67" s="15">
        <v>19.7</v>
      </c>
      <c r="E67" s="15">
        <v>19.7</v>
      </c>
      <c r="F67" t="b">
        <f t="shared" si="0"/>
        <v>1</v>
      </c>
      <c r="G67" t="str">
        <f t="shared" si="1"/>
        <v>Belmont International Trading Corp</v>
      </c>
    </row>
    <row r="68" spans="1:7" x14ac:dyDescent="0.25">
      <c r="A68" t="s">
        <v>18</v>
      </c>
      <c r="B68" t="s">
        <v>19</v>
      </c>
      <c r="C68" t="s">
        <v>46</v>
      </c>
      <c r="D68" s="15">
        <v>39.5</v>
      </c>
      <c r="E68" s="15">
        <v>39.5</v>
      </c>
      <c r="F68" t="b">
        <f t="shared" si="0"/>
        <v>1</v>
      </c>
      <c r="G68" t="str">
        <f t="shared" si="1"/>
        <v>Belmont International Trading Corp</v>
      </c>
    </row>
    <row r="69" spans="1:7" x14ac:dyDescent="0.25">
      <c r="A69" t="s">
        <v>18</v>
      </c>
      <c r="B69" t="s">
        <v>19</v>
      </c>
      <c r="C69" t="s">
        <v>50</v>
      </c>
      <c r="D69" s="15">
        <v>39.5</v>
      </c>
      <c r="E69" s="15">
        <v>39.5</v>
      </c>
      <c r="F69" t="b">
        <f t="shared" si="0"/>
        <v>1</v>
      </c>
      <c r="G69" t="str">
        <f t="shared" si="1"/>
        <v>Belmont International Trading Corp</v>
      </c>
    </row>
    <row r="70" spans="1:7" x14ac:dyDescent="0.25">
      <c r="A70" t="s">
        <v>18</v>
      </c>
      <c r="B70" t="s">
        <v>19</v>
      </c>
      <c r="C70" t="s">
        <v>76</v>
      </c>
      <c r="D70" s="15">
        <v>40</v>
      </c>
      <c r="E70" s="15">
        <v>40</v>
      </c>
      <c r="F70" t="b">
        <f t="shared" ref="F70:F133" si="2">D70=E70</f>
        <v>1</v>
      </c>
      <c r="G70" t="str">
        <f t="shared" ref="G70:G133" si="3">+A70</f>
        <v>Belmont International Trading Corp</v>
      </c>
    </row>
    <row r="71" spans="1:7" x14ac:dyDescent="0.25">
      <c r="A71" t="s">
        <v>18</v>
      </c>
      <c r="B71" t="s">
        <v>19</v>
      </c>
      <c r="C71" t="s">
        <v>78</v>
      </c>
      <c r="D71" s="15">
        <v>60.8</v>
      </c>
      <c r="E71" s="15">
        <v>60.8</v>
      </c>
      <c r="F71" t="b">
        <f t="shared" si="2"/>
        <v>1</v>
      </c>
      <c r="G71" t="str">
        <f t="shared" si="3"/>
        <v>Belmont International Trading Corp</v>
      </c>
    </row>
    <row r="72" spans="1:7" x14ac:dyDescent="0.25">
      <c r="A72" t="s">
        <v>18</v>
      </c>
      <c r="B72" t="s">
        <v>148</v>
      </c>
      <c r="C72" t="s">
        <v>146</v>
      </c>
      <c r="D72" s="15">
        <v>106</v>
      </c>
      <c r="E72" s="15">
        <v>106</v>
      </c>
      <c r="F72" t="b">
        <f t="shared" si="2"/>
        <v>1</v>
      </c>
      <c r="G72" t="str">
        <f t="shared" si="3"/>
        <v>Belmont International Trading Corp</v>
      </c>
    </row>
    <row r="73" spans="1:7" x14ac:dyDescent="0.25">
      <c r="A73" t="s">
        <v>18</v>
      </c>
      <c r="B73" t="s">
        <v>148</v>
      </c>
      <c r="C73" t="s">
        <v>29</v>
      </c>
      <c r="D73" s="15">
        <v>20.9</v>
      </c>
      <c r="E73" s="15">
        <v>20.9</v>
      </c>
      <c r="F73" t="b">
        <f t="shared" si="2"/>
        <v>1</v>
      </c>
      <c r="G73" t="str">
        <f t="shared" si="3"/>
        <v>Belmont International Trading Corp</v>
      </c>
    </row>
    <row r="74" spans="1:7" x14ac:dyDescent="0.25">
      <c r="A74" t="s">
        <v>18</v>
      </c>
      <c r="B74" t="s">
        <v>148</v>
      </c>
      <c r="C74" t="s">
        <v>154</v>
      </c>
      <c r="D74" s="15">
        <v>35.9</v>
      </c>
      <c r="E74" s="15">
        <v>35.9</v>
      </c>
      <c r="F74" t="b">
        <f t="shared" si="2"/>
        <v>1</v>
      </c>
      <c r="G74" t="str">
        <f t="shared" si="3"/>
        <v>Belmont International Trading Corp</v>
      </c>
    </row>
    <row r="75" spans="1:7" x14ac:dyDescent="0.25">
      <c r="A75" t="s">
        <v>18</v>
      </c>
      <c r="B75" t="s">
        <v>148</v>
      </c>
      <c r="C75" t="s">
        <v>23</v>
      </c>
      <c r="D75" s="15">
        <v>52.9</v>
      </c>
      <c r="E75" s="15">
        <v>52.9</v>
      </c>
      <c r="F75" t="b">
        <f t="shared" si="2"/>
        <v>1</v>
      </c>
      <c r="G75" t="str">
        <f t="shared" si="3"/>
        <v>Belmont International Trading Corp</v>
      </c>
    </row>
    <row r="76" spans="1:7" x14ac:dyDescent="0.25">
      <c r="A76" t="s">
        <v>18</v>
      </c>
      <c r="B76" t="s">
        <v>148</v>
      </c>
      <c r="C76" t="s">
        <v>156</v>
      </c>
      <c r="D76" s="15">
        <v>27.9</v>
      </c>
      <c r="E76" s="15">
        <v>27.9</v>
      </c>
      <c r="F76" t="b">
        <f t="shared" si="2"/>
        <v>1</v>
      </c>
      <c r="G76" t="str">
        <f t="shared" si="3"/>
        <v>Belmont International Trading Corp</v>
      </c>
    </row>
    <row r="77" spans="1:7" x14ac:dyDescent="0.25">
      <c r="A77" t="s">
        <v>18</v>
      </c>
      <c r="B77" t="s">
        <v>148</v>
      </c>
      <c r="C77" t="s">
        <v>150</v>
      </c>
      <c r="D77" s="15">
        <v>62.9</v>
      </c>
      <c r="E77" s="15">
        <v>62.9</v>
      </c>
      <c r="F77" t="b">
        <f t="shared" si="2"/>
        <v>1</v>
      </c>
      <c r="G77" t="str">
        <f t="shared" si="3"/>
        <v>Belmont International Trading Corp</v>
      </c>
    </row>
    <row r="78" spans="1:7" x14ac:dyDescent="0.25">
      <c r="A78" t="s">
        <v>18</v>
      </c>
      <c r="B78" t="s">
        <v>148</v>
      </c>
      <c r="C78" t="s">
        <v>152</v>
      </c>
      <c r="D78" s="15">
        <v>51</v>
      </c>
      <c r="E78" s="15">
        <v>51</v>
      </c>
      <c r="F78" t="b">
        <f t="shared" si="2"/>
        <v>1</v>
      </c>
      <c r="G78" t="str">
        <f t="shared" si="3"/>
        <v>Belmont International Trading Corp</v>
      </c>
    </row>
    <row r="79" spans="1:7" x14ac:dyDescent="0.25">
      <c r="A79" t="s">
        <v>18</v>
      </c>
      <c r="B79" t="s">
        <v>148</v>
      </c>
      <c r="C79" t="s">
        <v>21</v>
      </c>
      <c r="D79" s="15">
        <v>59.9</v>
      </c>
      <c r="E79" s="15">
        <v>59.9</v>
      </c>
      <c r="F79" t="b">
        <f t="shared" si="2"/>
        <v>1</v>
      </c>
      <c r="G79" t="str">
        <f t="shared" si="3"/>
        <v>Belmont International Trading Corp</v>
      </c>
    </row>
    <row r="80" spans="1:7" x14ac:dyDescent="0.25">
      <c r="A80" t="s">
        <v>18</v>
      </c>
      <c r="B80" t="s">
        <v>148</v>
      </c>
      <c r="C80" t="s">
        <v>90</v>
      </c>
      <c r="D80" s="15">
        <v>17.600000000000001</v>
      </c>
      <c r="E80" s="15">
        <v>17.600000000000001</v>
      </c>
      <c r="F80" t="b">
        <f t="shared" si="2"/>
        <v>1</v>
      </c>
      <c r="G80" t="str">
        <f t="shared" si="3"/>
        <v>Belmont International Trading Corp</v>
      </c>
    </row>
    <row r="81" spans="1:7" x14ac:dyDescent="0.25">
      <c r="A81" t="s">
        <v>18</v>
      </c>
      <c r="B81" t="s">
        <v>148</v>
      </c>
      <c r="C81" t="s">
        <v>88</v>
      </c>
      <c r="D81" s="15">
        <v>17.600000000000001</v>
      </c>
      <c r="E81" s="15">
        <v>17.600000000000001</v>
      </c>
      <c r="F81" t="b">
        <f t="shared" si="2"/>
        <v>1</v>
      </c>
      <c r="G81" t="str">
        <f t="shared" si="3"/>
        <v>Belmont International Trading Corp</v>
      </c>
    </row>
    <row r="82" spans="1:7" x14ac:dyDescent="0.25">
      <c r="A82" t="s">
        <v>18</v>
      </c>
      <c r="B82" t="s">
        <v>148</v>
      </c>
      <c r="C82" t="s">
        <v>86</v>
      </c>
      <c r="D82" s="15">
        <v>17.600000000000001</v>
      </c>
      <c r="E82" s="15">
        <v>17.600000000000001</v>
      </c>
      <c r="F82" t="b">
        <f t="shared" si="2"/>
        <v>1</v>
      </c>
      <c r="G82" t="str">
        <f t="shared" si="3"/>
        <v>Belmont International Trading Corp</v>
      </c>
    </row>
    <row r="83" spans="1:7" x14ac:dyDescent="0.25">
      <c r="A83" t="s">
        <v>18</v>
      </c>
      <c r="B83" t="s">
        <v>148</v>
      </c>
      <c r="C83" t="s">
        <v>60</v>
      </c>
      <c r="D83" s="15">
        <v>61.6</v>
      </c>
      <c r="E83" s="15">
        <v>61.6</v>
      </c>
      <c r="F83" t="b">
        <f t="shared" si="2"/>
        <v>1</v>
      </c>
      <c r="G83" t="str">
        <f t="shared" si="3"/>
        <v>Belmont International Trading Corp</v>
      </c>
    </row>
    <row r="84" spans="1:7" x14ac:dyDescent="0.25">
      <c r="A84" t="s">
        <v>18</v>
      </c>
      <c r="B84" t="s">
        <v>148</v>
      </c>
      <c r="C84" t="s">
        <v>48</v>
      </c>
      <c r="D84" s="15">
        <v>43.5</v>
      </c>
      <c r="E84" s="15">
        <v>43.5</v>
      </c>
      <c r="F84" t="b">
        <f t="shared" si="2"/>
        <v>1</v>
      </c>
      <c r="G84" t="str">
        <f t="shared" si="3"/>
        <v>Belmont International Trading Corp</v>
      </c>
    </row>
    <row r="85" spans="1:7" x14ac:dyDescent="0.25">
      <c r="A85" t="s">
        <v>18</v>
      </c>
      <c r="B85" t="s">
        <v>148</v>
      </c>
      <c r="C85" t="s">
        <v>96</v>
      </c>
      <c r="D85" s="15">
        <v>29.9</v>
      </c>
      <c r="E85" s="15">
        <v>29.9</v>
      </c>
      <c r="F85" t="b">
        <f t="shared" si="2"/>
        <v>1</v>
      </c>
      <c r="G85" t="str">
        <f t="shared" si="3"/>
        <v>Belmont International Trading Corp</v>
      </c>
    </row>
    <row r="86" spans="1:7" x14ac:dyDescent="0.25">
      <c r="A86" t="s">
        <v>18</v>
      </c>
      <c r="B86" t="s">
        <v>148</v>
      </c>
      <c r="C86" t="s">
        <v>44</v>
      </c>
      <c r="D86" s="15">
        <v>43.5</v>
      </c>
      <c r="E86" s="15">
        <v>43.5</v>
      </c>
      <c r="F86" t="b">
        <f t="shared" si="2"/>
        <v>1</v>
      </c>
      <c r="G86" t="str">
        <f t="shared" si="3"/>
        <v>Belmont International Trading Corp</v>
      </c>
    </row>
    <row r="87" spans="1:7" x14ac:dyDescent="0.25">
      <c r="A87" t="s">
        <v>18</v>
      </c>
      <c r="B87" t="s">
        <v>148</v>
      </c>
      <c r="C87" t="s">
        <v>46</v>
      </c>
      <c r="D87" s="15">
        <v>43.5</v>
      </c>
      <c r="E87" s="15">
        <v>43.5</v>
      </c>
      <c r="F87" t="b">
        <f t="shared" si="2"/>
        <v>1</v>
      </c>
      <c r="G87" t="str">
        <f t="shared" si="3"/>
        <v>Belmont International Trading Corp</v>
      </c>
    </row>
    <row r="88" spans="1:7" x14ac:dyDescent="0.25">
      <c r="A88" t="s">
        <v>18</v>
      </c>
      <c r="B88" t="s">
        <v>148</v>
      </c>
      <c r="C88" t="s">
        <v>50</v>
      </c>
      <c r="D88" s="15">
        <v>43.5</v>
      </c>
      <c r="E88" s="15">
        <v>43.5</v>
      </c>
      <c r="F88" t="b">
        <f t="shared" si="2"/>
        <v>1</v>
      </c>
      <c r="G88" t="str">
        <f t="shared" si="3"/>
        <v>Belmont International Trading Corp</v>
      </c>
    </row>
    <row r="89" spans="1:7" x14ac:dyDescent="0.25">
      <c r="A89" t="s">
        <v>18</v>
      </c>
      <c r="B89" t="s">
        <v>148</v>
      </c>
      <c r="C89" t="s">
        <v>78</v>
      </c>
      <c r="D89" s="15">
        <v>66.900000000000006</v>
      </c>
      <c r="E89" s="15">
        <v>66.900000000000006</v>
      </c>
      <c r="F89" t="b">
        <f t="shared" si="2"/>
        <v>1</v>
      </c>
      <c r="G89" t="str">
        <f t="shared" si="3"/>
        <v>Belmont International Trading Corp</v>
      </c>
    </row>
    <row r="90" spans="1:7" x14ac:dyDescent="0.25">
      <c r="A90" t="s">
        <v>18</v>
      </c>
      <c r="B90" t="s">
        <v>158</v>
      </c>
      <c r="C90" t="s">
        <v>25</v>
      </c>
      <c r="D90" s="15">
        <v>45</v>
      </c>
      <c r="E90" s="15">
        <v>45</v>
      </c>
      <c r="F90" t="b">
        <f t="shared" si="2"/>
        <v>1</v>
      </c>
      <c r="G90" t="str">
        <f t="shared" si="3"/>
        <v>Belmont International Trading Corp</v>
      </c>
    </row>
    <row r="91" spans="1:7" x14ac:dyDescent="0.25">
      <c r="A91" t="s">
        <v>18</v>
      </c>
      <c r="B91" t="s">
        <v>158</v>
      </c>
      <c r="C91" t="s">
        <v>166</v>
      </c>
      <c r="D91" s="15">
        <v>20.166599999999999</v>
      </c>
      <c r="E91" s="15">
        <v>20.166599999999999</v>
      </c>
      <c r="F91" t="b">
        <f t="shared" si="2"/>
        <v>1</v>
      </c>
      <c r="G91" t="str">
        <f t="shared" si="3"/>
        <v>Belmont International Trading Corp</v>
      </c>
    </row>
    <row r="92" spans="1:7" x14ac:dyDescent="0.25">
      <c r="A92" t="s">
        <v>18</v>
      </c>
      <c r="B92" t="s">
        <v>158</v>
      </c>
      <c r="C92" t="s">
        <v>27</v>
      </c>
      <c r="D92" s="15">
        <v>72.5</v>
      </c>
      <c r="E92" s="15">
        <v>72.5</v>
      </c>
      <c r="F92" t="b">
        <f t="shared" si="2"/>
        <v>1</v>
      </c>
      <c r="G92" t="str">
        <f t="shared" si="3"/>
        <v>Belmont International Trading Corp</v>
      </c>
    </row>
    <row r="93" spans="1:7" x14ac:dyDescent="0.25">
      <c r="A93" t="s">
        <v>18</v>
      </c>
      <c r="B93" t="s">
        <v>158</v>
      </c>
      <c r="C93" t="s">
        <v>160</v>
      </c>
      <c r="D93" s="15">
        <v>72.5</v>
      </c>
      <c r="E93" s="15">
        <v>72.5</v>
      </c>
      <c r="F93" t="b">
        <f t="shared" si="2"/>
        <v>1</v>
      </c>
      <c r="G93" t="str">
        <f t="shared" si="3"/>
        <v>Belmont International Trading Corp</v>
      </c>
    </row>
    <row r="94" spans="1:7" x14ac:dyDescent="0.25">
      <c r="A94" t="s">
        <v>18</v>
      </c>
      <c r="B94" t="s">
        <v>158</v>
      </c>
      <c r="C94" t="s">
        <v>162</v>
      </c>
      <c r="D94" s="15">
        <v>48.5</v>
      </c>
      <c r="E94" s="15">
        <v>48.5</v>
      </c>
      <c r="F94" t="b">
        <f t="shared" si="2"/>
        <v>1</v>
      </c>
      <c r="G94" t="str">
        <f t="shared" si="3"/>
        <v>Belmont International Trading Corp</v>
      </c>
    </row>
    <row r="95" spans="1:7" x14ac:dyDescent="0.25">
      <c r="A95" t="s">
        <v>18</v>
      </c>
      <c r="B95" t="s">
        <v>158</v>
      </c>
      <c r="C95" t="s">
        <v>164</v>
      </c>
      <c r="D95" s="15">
        <v>66.5</v>
      </c>
      <c r="E95" s="15">
        <v>66.5</v>
      </c>
      <c r="F95" t="b">
        <f t="shared" si="2"/>
        <v>1</v>
      </c>
      <c r="G95" t="str">
        <f t="shared" si="3"/>
        <v>Belmont International Trading Corp</v>
      </c>
    </row>
    <row r="96" spans="1:7" x14ac:dyDescent="0.25">
      <c r="A96" t="s">
        <v>18</v>
      </c>
      <c r="B96" t="s">
        <v>158</v>
      </c>
      <c r="C96" t="s">
        <v>21</v>
      </c>
      <c r="D96" s="15">
        <v>59.9</v>
      </c>
      <c r="E96" s="15">
        <v>59.9</v>
      </c>
      <c r="F96" t="b">
        <f t="shared" si="2"/>
        <v>1</v>
      </c>
      <c r="G96" t="str">
        <f t="shared" si="3"/>
        <v>Belmont International Trading Corp</v>
      </c>
    </row>
    <row r="97" spans="1:7" x14ac:dyDescent="0.25">
      <c r="A97" t="s">
        <v>18</v>
      </c>
      <c r="B97" t="s">
        <v>158</v>
      </c>
      <c r="C97" t="s">
        <v>72</v>
      </c>
      <c r="D97" s="15">
        <v>84.9</v>
      </c>
      <c r="E97" s="15">
        <v>84.9</v>
      </c>
      <c r="F97" t="b">
        <f t="shared" si="2"/>
        <v>1</v>
      </c>
      <c r="G97" t="str">
        <f t="shared" si="3"/>
        <v>Belmont International Trading Corp</v>
      </c>
    </row>
    <row r="98" spans="1:7" x14ac:dyDescent="0.25">
      <c r="A98" t="s">
        <v>18</v>
      </c>
      <c r="B98" t="s">
        <v>158</v>
      </c>
      <c r="C98" t="s">
        <v>74</v>
      </c>
      <c r="D98" s="15">
        <v>60.5</v>
      </c>
      <c r="E98" s="15">
        <v>60.5</v>
      </c>
      <c r="F98" t="b">
        <f t="shared" si="2"/>
        <v>1</v>
      </c>
      <c r="G98" t="str">
        <f t="shared" si="3"/>
        <v>Belmont International Trading Corp</v>
      </c>
    </row>
    <row r="99" spans="1:7" x14ac:dyDescent="0.25">
      <c r="A99" t="s">
        <v>18</v>
      </c>
      <c r="B99" t="s">
        <v>158</v>
      </c>
      <c r="C99" t="s">
        <v>44</v>
      </c>
      <c r="D99" s="15">
        <v>43.5</v>
      </c>
      <c r="E99" s="15">
        <v>43.5</v>
      </c>
      <c r="F99" t="b">
        <f t="shared" si="2"/>
        <v>1</v>
      </c>
      <c r="G99" t="str">
        <f t="shared" si="3"/>
        <v>Belmont International Trading Corp</v>
      </c>
    </row>
    <row r="100" spans="1:7" x14ac:dyDescent="0.25">
      <c r="A100" t="s">
        <v>18</v>
      </c>
      <c r="B100" t="s">
        <v>158</v>
      </c>
      <c r="C100" t="s">
        <v>46</v>
      </c>
      <c r="D100" s="15">
        <v>43.5</v>
      </c>
      <c r="E100" s="15">
        <v>43.5</v>
      </c>
      <c r="F100" t="b">
        <f t="shared" si="2"/>
        <v>1</v>
      </c>
      <c r="G100" t="str">
        <f t="shared" si="3"/>
        <v>Belmont International Trading Corp</v>
      </c>
    </row>
    <row r="101" spans="1:7" x14ac:dyDescent="0.25">
      <c r="A101" t="s">
        <v>18</v>
      </c>
      <c r="B101" t="s">
        <v>158</v>
      </c>
      <c r="C101" t="s">
        <v>50</v>
      </c>
      <c r="D101" s="15">
        <v>43.5</v>
      </c>
      <c r="E101" s="15">
        <v>43.5</v>
      </c>
      <c r="F101" t="b">
        <f t="shared" si="2"/>
        <v>1</v>
      </c>
      <c r="G101" t="str">
        <f t="shared" si="3"/>
        <v>Belmont International Trading Corp</v>
      </c>
    </row>
    <row r="102" spans="1:7" x14ac:dyDescent="0.25">
      <c r="A102" t="s">
        <v>18</v>
      </c>
      <c r="B102" t="s">
        <v>158</v>
      </c>
      <c r="C102" t="s">
        <v>76</v>
      </c>
      <c r="D102" s="15">
        <v>44</v>
      </c>
      <c r="E102" s="15">
        <v>44</v>
      </c>
      <c r="F102" t="b">
        <f t="shared" si="2"/>
        <v>1</v>
      </c>
      <c r="G102" t="str">
        <f t="shared" si="3"/>
        <v>Belmont International Trading Corp</v>
      </c>
    </row>
    <row r="103" spans="1:7" x14ac:dyDescent="0.25">
      <c r="A103" t="s">
        <v>18</v>
      </c>
      <c r="B103" t="s">
        <v>168</v>
      </c>
      <c r="C103" t="s">
        <v>98</v>
      </c>
      <c r="D103" s="15">
        <v>12.5</v>
      </c>
      <c r="E103" s="15">
        <v>12.5</v>
      </c>
      <c r="F103" t="b">
        <f t="shared" si="2"/>
        <v>1</v>
      </c>
      <c r="G103" t="str">
        <f t="shared" si="3"/>
        <v>Belmont International Trading Corp</v>
      </c>
    </row>
    <row r="104" spans="1:7" x14ac:dyDescent="0.25">
      <c r="A104" t="s">
        <v>18</v>
      </c>
      <c r="B104" t="s">
        <v>168</v>
      </c>
      <c r="C104" t="s">
        <v>104</v>
      </c>
      <c r="D104" s="15">
        <v>12</v>
      </c>
      <c r="E104" s="15">
        <v>12</v>
      </c>
      <c r="F104" t="b">
        <f t="shared" si="2"/>
        <v>1</v>
      </c>
      <c r="G104" t="str">
        <f t="shared" si="3"/>
        <v>Belmont International Trading Corp</v>
      </c>
    </row>
    <row r="105" spans="1:7" x14ac:dyDescent="0.25">
      <c r="A105" t="s">
        <v>18</v>
      </c>
      <c r="B105" t="s">
        <v>168</v>
      </c>
      <c r="C105" t="s">
        <v>174</v>
      </c>
      <c r="D105" s="15">
        <v>22</v>
      </c>
      <c r="E105" s="15">
        <v>22</v>
      </c>
      <c r="F105" t="b">
        <f t="shared" si="2"/>
        <v>1</v>
      </c>
      <c r="G105" t="str">
        <f t="shared" si="3"/>
        <v>Belmont International Trading Corp</v>
      </c>
    </row>
    <row r="106" spans="1:7" x14ac:dyDescent="0.25">
      <c r="A106" t="s">
        <v>18</v>
      </c>
      <c r="B106" t="s">
        <v>168</v>
      </c>
      <c r="C106" t="s">
        <v>100</v>
      </c>
      <c r="D106" s="15">
        <v>12.5</v>
      </c>
      <c r="E106" s="15">
        <v>12.5</v>
      </c>
      <c r="F106" t="b">
        <f t="shared" si="2"/>
        <v>1</v>
      </c>
      <c r="G106" t="str">
        <f t="shared" si="3"/>
        <v>Belmont International Trading Corp</v>
      </c>
    </row>
    <row r="107" spans="1:7" x14ac:dyDescent="0.25">
      <c r="A107" t="s">
        <v>18</v>
      </c>
      <c r="B107" t="s">
        <v>168</v>
      </c>
      <c r="C107" t="s">
        <v>172</v>
      </c>
      <c r="D107" s="15">
        <v>12</v>
      </c>
      <c r="E107" s="15">
        <v>12</v>
      </c>
      <c r="F107" t="b">
        <f t="shared" si="2"/>
        <v>1</v>
      </c>
      <c r="G107" t="str">
        <f t="shared" si="3"/>
        <v>Belmont International Trading Corp</v>
      </c>
    </row>
    <row r="108" spans="1:7" x14ac:dyDescent="0.25">
      <c r="A108" t="s">
        <v>18</v>
      </c>
      <c r="B108" t="s">
        <v>168</v>
      </c>
      <c r="C108" t="s">
        <v>170</v>
      </c>
      <c r="D108" s="15">
        <v>12.5</v>
      </c>
      <c r="E108" s="15">
        <v>12.5</v>
      </c>
      <c r="F108" t="b">
        <f t="shared" si="2"/>
        <v>1</v>
      </c>
      <c r="G108" t="str">
        <f t="shared" si="3"/>
        <v>Belmont International Trading Corp</v>
      </c>
    </row>
    <row r="109" spans="1:7" x14ac:dyDescent="0.25">
      <c r="A109" t="s">
        <v>18</v>
      </c>
      <c r="B109" t="s">
        <v>168</v>
      </c>
      <c r="C109" t="s">
        <v>106</v>
      </c>
      <c r="D109" s="15">
        <v>12</v>
      </c>
      <c r="E109" s="15">
        <v>12</v>
      </c>
      <c r="F109" t="b">
        <f t="shared" si="2"/>
        <v>1</v>
      </c>
      <c r="G109" t="str">
        <f t="shared" si="3"/>
        <v>Belmont International Trading Corp</v>
      </c>
    </row>
    <row r="110" spans="1:7" x14ac:dyDescent="0.25">
      <c r="A110" t="s">
        <v>18</v>
      </c>
      <c r="B110" t="s">
        <v>168</v>
      </c>
      <c r="C110" t="s">
        <v>162</v>
      </c>
      <c r="D110" s="15">
        <v>48.5</v>
      </c>
      <c r="E110" s="15">
        <v>48.5</v>
      </c>
      <c r="F110" t="b">
        <f t="shared" si="2"/>
        <v>1</v>
      </c>
      <c r="G110" t="str">
        <f t="shared" si="3"/>
        <v>Belmont International Trading Corp</v>
      </c>
    </row>
    <row r="111" spans="1:7" x14ac:dyDescent="0.25">
      <c r="A111" t="s">
        <v>18</v>
      </c>
      <c r="B111" t="s">
        <v>168</v>
      </c>
      <c r="C111" t="s">
        <v>86</v>
      </c>
      <c r="D111" s="15">
        <v>17.600000000000001</v>
      </c>
      <c r="E111" s="15">
        <v>17.600000000000001</v>
      </c>
      <c r="F111" t="b">
        <f t="shared" si="2"/>
        <v>1</v>
      </c>
      <c r="G111" t="str">
        <f t="shared" si="3"/>
        <v>Belmont International Trading Corp</v>
      </c>
    </row>
    <row r="112" spans="1:7" x14ac:dyDescent="0.25">
      <c r="A112" t="s">
        <v>18</v>
      </c>
      <c r="B112" t="s">
        <v>168</v>
      </c>
      <c r="C112" t="s">
        <v>175</v>
      </c>
      <c r="D112" s="15">
        <v>21.5</v>
      </c>
      <c r="E112" s="15">
        <v>21.5</v>
      </c>
      <c r="F112" t="b">
        <f t="shared" si="2"/>
        <v>1</v>
      </c>
      <c r="G112" t="str">
        <f t="shared" si="3"/>
        <v>Belmont International Trading Corp</v>
      </c>
    </row>
    <row r="113" spans="1:7" x14ac:dyDescent="0.25">
      <c r="A113" t="s">
        <v>18</v>
      </c>
      <c r="B113" t="s">
        <v>168</v>
      </c>
      <c r="C113" t="s">
        <v>96</v>
      </c>
      <c r="D113" s="15">
        <v>29.9</v>
      </c>
      <c r="E113" s="15">
        <v>29.9</v>
      </c>
      <c r="F113" t="b">
        <f t="shared" si="2"/>
        <v>1</v>
      </c>
      <c r="G113" t="str">
        <f t="shared" si="3"/>
        <v>Belmont International Trading Corp</v>
      </c>
    </row>
    <row r="114" spans="1:7" x14ac:dyDescent="0.25">
      <c r="A114" t="s">
        <v>18</v>
      </c>
      <c r="B114" t="s">
        <v>177</v>
      </c>
      <c r="C114" t="s">
        <v>110</v>
      </c>
      <c r="D114" s="15">
        <v>39</v>
      </c>
      <c r="E114" s="15">
        <v>39</v>
      </c>
      <c r="F114" t="b">
        <f t="shared" si="2"/>
        <v>1</v>
      </c>
      <c r="G114" t="str">
        <f t="shared" si="3"/>
        <v>Belmont International Trading Corp</v>
      </c>
    </row>
    <row r="115" spans="1:7" x14ac:dyDescent="0.25">
      <c r="A115" t="s">
        <v>18</v>
      </c>
      <c r="B115" t="s">
        <v>177</v>
      </c>
      <c r="C115" t="s">
        <v>114</v>
      </c>
      <c r="D115" s="15">
        <v>45</v>
      </c>
      <c r="E115" s="15">
        <v>45</v>
      </c>
      <c r="F115" t="b">
        <f t="shared" si="2"/>
        <v>1</v>
      </c>
      <c r="G115" t="str">
        <f t="shared" si="3"/>
        <v>Belmont International Trading Corp</v>
      </c>
    </row>
    <row r="116" spans="1:7" x14ac:dyDescent="0.25">
      <c r="A116" t="s">
        <v>18</v>
      </c>
      <c r="B116" t="s">
        <v>177</v>
      </c>
      <c r="C116" t="s">
        <v>181</v>
      </c>
      <c r="D116" s="15">
        <v>30.9</v>
      </c>
      <c r="E116" s="15">
        <v>30.9</v>
      </c>
      <c r="F116" t="b">
        <f t="shared" si="2"/>
        <v>1</v>
      </c>
      <c r="G116" t="str">
        <f t="shared" si="3"/>
        <v>Belmont International Trading Corp</v>
      </c>
    </row>
    <row r="117" spans="1:7" x14ac:dyDescent="0.25">
      <c r="A117" t="s">
        <v>18</v>
      </c>
      <c r="B117" t="s">
        <v>177</v>
      </c>
      <c r="C117" t="s">
        <v>179</v>
      </c>
      <c r="D117" s="15">
        <v>56</v>
      </c>
      <c r="E117" s="15">
        <v>56</v>
      </c>
      <c r="F117" t="b">
        <f t="shared" si="2"/>
        <v>1</v>
      </c>
      <c r="G117" t="str">
        <f t="shared" si="3"/>
        <v>Belmont International Trading Corp</v>
      </c>
    </row>
    <row r="118" spans="1:7" x14ac:dyDescent="0.25">
      <c r="A118" t="s">
        <v>18</v>
      </c>
      <c r="B118" t="s">
        <v>177</v>
      </c>
      <c r="C118" t="s">
        <v>185</v>
      </c>
      <c r="D118" s="15">
        <v>44</v>
      </c>
      <c r="E118" s="15">
        <v>44</v>
      </c>
      <c r="F118" t="b">
        <f t="shared" si="2"/>
        <v>1</v>
      </c>
      <c r="G118" t="str">
        <f t="shared" si="3"/>
        <v>Belmont International Trading Corp</v>
      </c>
    </row>
    <row r="119" spans="1:7" x14ac:dyDescent="0.25">
      <c r="A119" t="s">
        <v>18</v>
      </c>
      <c r="B119" t="s">
        <v>177</v>
      </c>
      <c r="C119" t="s">
        <v>187</v>
      </c>
      <c r="D119" s="15">
        <v>44</v>
      </c>
      <c r="E119" s="15">
        <v>44</v>
      </c>
      <c r="F119" t="b">
        <f t="shared" si="2"/>
        <v>1</v>
      </c>
      <c r="G119" t="str">
        <f t="shared" si="3"/>
        <v>Belmont International Trading Corp</v>
      </c>
    </row>
    <row r="120" spans="1:7" x14ac:dyDescent="0.25">
      <c r="A120" t="s">
        <v>18</v>
      </c>
      <c r="B120" t="s">
        <v>177</v>
      </c>
      <c r="C120" t="s">
        <v>98</v>
      </c>
      <c r="D120" s="15">
        <v>12.5</v>
      </c>
      <c r="E120" s="15">
        <v>12.5</v>
      </c>
      <c r="F120" t="b">
        <f t="shared" si="2"/>
        <v>1</v>
      </c>
      <c r="G120" t="str">
        <f t="shared" si="3"/>
        <v>Belmont International Trading Corp</v>
      </c>
    </row>
    <row r="121" spans="1:7" x14ac:dyDescent="0.25">
      <c r="A121" t="s">
        <v>18</v>
      </c>
      <c r="B121" t="s">
        <v>177</v>
      </c>
      <c r="C121" t="s">
        <v>104</v>
      </c>
      <c r="D121" s="15">
        <v>12</v>
      </c>
      <c r="E121" s="15">
        <v>12</v>
      </c>
      <c r="F121" t="b">
        <f t="shared" si="2"/>
        <v>1</v>
      </c>
      <c r="G121" t="str">
        <f t="shared" si="3"/>
        <v>Belmont International Trading Corp</v>
      </c>
    </row>
    <row r="122" spans="1:7" x14ac:dyDescent="0.25">
      <c r="A122" t="s">
        <v>18</v>
      </c>
      <c r="B122" t="s">
        <v>177</v>
      </c>
      <c r="C122" t="s">
        <v>27</v>
      </c>
      <c r="D122" s="15">
        <v>72.5</v>
      </c>
      <c r="E122" s="15">
        <v>72.5</v>
      </c>
      <c r="F122" t="b">
        <f t="shared" si="2"/>
        <v>1</v>
      </c>
      <c r="G122" t="str">
        <f t="shared" si="3"/>
        <v>Belmont International Trading Corp</v>
      </c>
    </row>
    <row r="123" spans="1:7" x14ac:dyDescent="0.25">
      <c r="A123" t="s">
        <v>18</v>
      </c>
      <c r="B123" t="s">
        <v>177</v>
      </c>
      <c r="C123" t="s">
        <v>160</v>
      </c>
      <c r="D123" s="15">
        <v>72.5</v>
      </c>
      <c r="E123" s="15">
        <v>72.5</v>
      </c>
      <c r="F123" t="b">
        <f t="shared" si="2"/>
        <v>1</v>
      </c>
      <c r="G123" t="str">
        <f t="shared" si="3"/>
        <v>Belmont International Trading Corp</v>
      </c>
    </row>
    <row r="124" spans="1:7" x14ac:dyDescent="0.25">
      <c r="A124" t="s">
        <v>18</v>
      </c>
      <c r="B124" t="s">
        <v>177</v>
      </c>
      <c r="C124" t="s">
        <v>102</v>
      </c>
      <c r="D124" s="15">
        <v>12.5</v>
      </c>
      <c r="E124" s="15">
        <v>12.5</v>
      </c>
      <c r="F124" t="b">
        <f t="shared" si="2"/>
        <v>1</v>
      </c>
      <c r="G124" t="str">
        <f t="shared" si="3"/>
        <v>Belmont International Trading Corp</v>
      </c>
    </row>
    <row r="125" spans="1:7" x14ac:dyDescent="0.25">
      <c r="A125" t="s">
        <v>18</v>
      </c>
      <c r="B125" t="s">
        <v>177</v>
      </c>
      <c r="C125" t="s">
        <v>192</v>
      </c>
      <c r="D125" s="15">
        <v>25</v>
      </c>
      <c r="E125" s="15">
        <v>25</v>
      </c>
      <c r="F125" t="b">
        <f t="shared" si="2"/>
        <v>1</v>
      </c>
      <c r="G125" t="str">
        <f t="shared" si="3"/>
        <v>Belmont International Trading Corp</v>
      </c>
    </row>
    <row r="126" spans="1:7" x14ac:dyDescent="0.25">
      <c r="A126" t="s">
        <v>18</v>
      </c>
      <c r="B126" t="s">
        <v>177</v>
      </c>
      <c r="C126" t="s">
        <v>100</v>
      </c>
      <c r="D126" s="15">
        <v>12.5</v>
      </c>
      <c r="E126" s="15">
        <v>12.5</v>
      </c>
      <c r="F126" t="b">
        <f t="shared" si="2"/>
        <v>1</v>
      </c>
      <c r="G126" t="str">
        <f t="shared" si="3"/>
        <v>Belmont International Trading Corp</v>
      </c>
    </row>
    <row r="127" spans="1:7" x14ac:dyDescent="0.25">
      <c r="A127" t="s">
        <v>18</v>
      </c>
      <c r="B127" t="s">
        <v>177</v>
      </c>
      <c r="C127" t="s">
        <v>172</v>
      </c>
      <c r="D127" s="15">
        <v>12</v>
      </c>
      <c r="E127" s="15">
        <v>12</v>
      </c>
      <c r="F127" t="b">
        <f t="shared" si="2"/>
        <v>1</v>
      </c>
      <c r="G127" t="str">
        <f t="shared" si="3"/>
        <v>Belmont International Trading Corp</v>
      </c>
    </row>
    <row r="128" spans="1:7" x14ac:dyDescent="0.25">
      <c r="A128" t="s">
        <v>18</v>
      </c>
      <c r="B128" t="s">
        <v>177</v>
      </c>
      <c r="C128" t="s">
        <v>183</v>
      </c>
      <c r="D128" s="15">
        <v>79.5</v>
      </c>
      <c r="E128" s="15">
        <v>79.5</v>
      </c>
      <c r="F128" t="b">
        <f t="shared" si="2"/>
        <v>1</v>
      </c>
      <c r="G128" t="str">
        <f t="shared" si="3"/>
        <v>Belmont International Trading Corp</v>
      </c>
    </row>
    <row r="129" spans="1:7" x14ac:dyDescent="0.25">
      <c r="A129" t="s">
        <v>18</v>
      </c>
      <c r="B129" t="s">
        <v>177</v>
      </c>
      <c r="C129" t="s">
        <v>194</v>
      </c>
      <c r="D129" s="15">
        <v>29.9</v>
      </c>
      <c r="E129" s="15">
        <v>29.9</v>
      </c>
      <c r="F129" t="b">
        <f t="shared" si="2"/>
        <v>1</v>
      </c>
      <c r="G129" t="str">
        <f t="shared" si="3"/>
        <v>Belmont International Trading Corp</v>
      </c>
    </row>
    <row r="130" spans="1:7" x14ac:dyDescent="0.25">
      <c r="A130" t="s">
        <v>18</v>
      </c>
      <c r="B130" t="s">
        <v>177</v>
      </c>
      <c r="C130" t="s">
        <v>162</v>
      </c>
      <c r="D130" s="15">
        <v>48.5</v>
      </c>
      <c r="E130" s="15">
        <v>48.5</v>
      </c>
      <c r="F130" t="b">
        <f t="shared" si="2"/>
        <v>1</v>
      </c>
      <c r="G130" t="str">
        <f t="shared" si="3"/>
        <v>Belmont International Trading Corp</v>
      </c>
    </row>
    <row r="131" spans="1:7" x14ac:dyDescent="0.25">
      <c r="A131" t="s">
        <v>18</v>
      </c>
      <c r="B131" t="s">
        <v>177</v>
      </c>
      <c r="C131" t="s">
        <v>190</v>
      </c>
      <c r="D131" s="15">
        <v>39.9</v>
      </c>
      <c r="E131" s="15">
        <v>39.9</v>
      </c>
      <c r="F131" t="b">
        <f t="shared" si="2"/>
        <v>1</v>
      </c>
      <c r="G131" t="str">
        <f t="shared" si="3"/>
        <v>Belmont International Trading Corp</v>
      </c>
    </row>
    <row r="132" spans="1:7" x14ac:dyDescent="0.25">
      <c r="A132" t="s">
        <v>18</v>
      </c>
      <c r="B132" t="s">
        <v>177</v>
      </c>
      <c r="C132" t="s">
        <v>21</v>
      </c>
      <c r="D132" s="15">
        <v>59.9</v>
      </c>
      <c r="E132" s="15">
        <v>59.9</v>
      </c>
      <c r="F132" t="b">
        <f t="shared" si="2"/>
        <v>1</v>
      </c>
      <c r="G132" t="str">
        <f t="shared" si="3"/>
        <v>Belmont International Trading Corp</v>
      </c>
    </row>
    <row r="133" spans="1:7" x14ac:dyDescent="0.25">
      <c r="A133" t="s">
        <v>18</v>
      </c>
      <c r="B133" t="s">
        <v>177</v>
      </c>
      <c r="C133" t="s">
        <v>80</v>
      </c>
      <c r="D133" s="15">
        <v>13.5</v>
      </c>
      <c r="E133" s="15">
        <v>13.5</v>
      </c>
      <c r="F133" t="b">
        <f t="shared" si="2"/>
        <v>1</v>
      </c>
      <c r="G133" t="str">
        <f t="shared" si="3"/>
        <v>Belmont International Trading Corp</v>
      </c>
    </row>
    <row r="134" spans="1:7" x14ac:dyDescent="0.25">
      <c r="A134" t="s">
        <v>18</v>
      </c>
      <c r="B134" t="s">
        <v>177</v>
      </c>
      <c r="C134" t="s">
        <v>82</v>
      </c>
      <c r="D134" s="15">
        <v>63.9</v>
      </c>
      <c r="E134" s="15">
        <v>63.9</v>
      </c>
      <c r="F134" t="b">
        <f t="shared" ref="F134:F197" si="4">D134=E134</f>
        <v>1</v>
      </c>
      <c r="G134" t="str">
        <f t="shared" ref="G134:G197" si="5">+A134</f>
        <v>Belmont International Trading Corp</v>
      </c>
    </row>
    <row r="135" spans="1:7" x14ac:dyDescent="0.25">
      <c r="A135" t="s">
        <v>18</v>
      </c>
      <c r="B135" t="s">
        <v>177</v>
      </c>
      <c r="C135" t="s">
        <v>116</v>
      </c>
      <c r="D135" s="15">
        <v>21.9</v>
      </c>
      <c r="E135" s="15">
        <v>21.9</v>
      </c>
      <c r="F135" t="b">
        <f t="shared" si="4"/>
        <v>1</v>
      </c>
      <c r="G135" t="str">
        <f t="shared" si="5"/>
        <v>Belmont International Trading Corp</v>
      </c>
    </row>
    <row r="136" spans="1:7" x14ac:dyDescent="0.25">
      <c r="A136" t="s">
        <v>18</v>
      </c>
      <c r="B136" t="s">
        <v>177</v>
      </c>
      <c r="C136" t="s">
        <v>118</v>
      </c>
      <c r="D136" s="15">
        <v>25.9</v>
      </c>
      <c r="E136" s="15">
        <v>25.9</v>
      </c>
      <c r="F136" t="b">
        <f t="shared" si="4"/>
        <v>1</v>
      </c>
      <c r="G136" t="str">
        <f t="shared" si="5"/>
        <v>Belmont International Trading Corp</v>
      </c>
    </row>
    <row r="137" spans="1:7" x14ac:dyDescent="0.25">
      <c r="A137" t="s">
        <v>18</v>
      </c>
      <c r="B137" t="s">
        <v>177</v>
      </c>
      <c r="C137" t="s">
        <v>120</v>
      </c>
      <c r="D137" s="15">
        <v>13.9</v>
      </c>
      <c r="E137" s="15">
        <v>13.9</v>
      </c>
      <c r="F137" t="b">
        <f t="shared" si="4"/>
        <v>1</v>
      </c>
      <c r="G137" t="str">
        <f t="shared" si="5"/>
        <v>Belmont International Trading Corp</v>
      </c>
    </row>
    <row r="138" spans="1:7" x14ac:dyDescent="0.25">
      <c r="A138" t="s">
        <v>18</v>
      </c>
      <c r="B138" t="s">
        <v>177</v>
      </c>
      <c r="C138" t="s">
        <v>122</v>
      </c>
      <c r="D138" s="15">
        <v>25.9</v>
      </c>
      <c r="E138" s="15">
        <v>25.9</v>
      </c>
      <c r="F138" t="b">
        <f t="shared" si="4"/>
        <v>1</v>
      </c>
      <c r="G138" t="str">
        <f t="shared" si="5"/>
        <v>Belmont International Trading Corp</v>
      </c>
    </row>
    <row r="139" spans="1:7" x14ac:dyDescent="0.25">
      <c r="A139" t="s">
        <v>18</v>
      </c>
      <c r="B139" t="s">
        <v>177</v>
      </c>
      <c r="C139" t="s">
        <v>124</v>
      </c>
      <c r="D139" s="15">
        <v>46.5</v>
      </c>
      <c r="E139" s="15">
        <v>46.5</v>
      </c>
      <c r="F139" t="b">
        <f t="shared" si="4"/>
        <v>1</v>
      </c>
      <c r="G139" t="str">
        <f t="shared" si="5"/>
        <v>Belmont International Trading Corp</v>
      </c>
    </row>
    <row r="140" spans="1:7" x14ac:dyDescent="0.25">
      <c r="A140" t="s">
        <v>18</v>
      </c>
      <c r="B140" t="s">
        <v>177</v>
      </c>
      <c r="C140" t="s">
        <v>126</v>
      </c>
      <c r="D140" s="15">
        <v>25.9</v>
      </c>
      <c r="E140" s="15">
        <v>25.9</v>
      </c>
      <c r="F140" t="b">
        <f t="shared" si="4"/>
        <v>1</v>
      </c>
      <c r="G140" t="str">
        <f t="shared" si="5"/>
        <v>Belmont International Trading Corp</v>
      </c>
    </row>
    <row r="141" spans="1:7" x14ac:dyDescent="0.25">
      <c r="A141" t="s">
        <v>18</v>
      </c>
      <c r="B141" t="s">
        <v>177</v>
      </c>
      <c r="C141" t="s">
        <v>130</v>
      </c>
      <c r="D141" s="15">
        <v>19.5</v>
      </c>
      <c r="E141" s="15">
        <v>19.5</v>
      </c>
      <c r="F141" t="b">
        <f t="shared" si="4"/>
        <v>1</v>
      </c>
      <c r="G141" t="str">
        <f t="shared" si="5"/>
        <v>Belmont International Trading Corp</v>
      </c>
    </row>
    <row r="142" spans="1:7" x14ac:dyDescent="0.25">
      <c r="A142" t="s">
        <v>18</v>
      </c>
      <c r="B142" t="s">
        <v>198</v>
      </c>
      <c r="C142" t="s">
        <v>98</v>
      </c>
      <c r="D142" s="15">
        <v>12.5</v>
      </c>
      <c r="E142" s="15">
        <v>12.5</v>
      </c>
      <c r="F142" t="b">
        <f t="shared" si="4"/>
        <v>1</v>
      </c>
      <c r="G142" t="str">
        <f t="shared" si="5"/>
        <v>Belmont International Trading Corp</v>
      </c>
    </row>
    <row r="143" spans="1:7" x14ac:dyDescent="0.25">
      <c r="A143" t="s">
        <v>18</v>
      </c>
      <c r="B143" t="s">
        <v>198</v>
      </c>
      <c r="C143" t="s">
        <v>108</v>
      </c>
      <c r="D143" s="15">
        <v>41.9</v>
      </c>
      <c r="E143" s="15">
        <v>41.9</v>
      </c>
      <c r="F143" t="b">
        <f t="shared" si="4"/>
        <v>1</v>
      </c>
      <c r="G143" t="str">
        <f t="shared" si="5"/>
        <v>Belmont International Trading Corp</v>
      </c>
    </row>
    <row r="144" spans="1:7" x14ac:dyDescent="0.25">
      <c r="A144" t="s">
        <v>18</v>
      </c>
      <c r="B144" t="s">
        <v>198</v>
      </c>
      <c r="C144" t="s">
        <v>21</v>
      </c>
      <c r="D144" s="15">
        <v>59.9</v>
      </c>
      <c r="E144" s="15">
        <v>59.9</v>
      </c>
      <c r="F144" t="b">
        <f t="shared" si="4"/>
        <v>1</v>
      </c>
      <c r="G144" t="str">
        <f t="shared" si="5"/>
        <v>Belmont International Trading Corp</v>
      </c>
    </row>
    <row r="145" spans="1:7" x14ac:dyDescent="0.25">
      <c r="A145" t="s">
        <v>18</v>
      </c>
      <c r="B145" t="s">
        <v>198</v>
      </c>
      <c r="C145" t="s">
        <v>82</v>
      </c>
      <c r="D145" s="15">
        <v>63.9</v>
      </c>
      <c r="E145" s="15">
        <v>63.9</v>
      </c>
      <c r="F145" t="b">
        <f t="shared" si="4"/>
        <v>1</v>
      </c>
      <c r="G145" t="str">
        <f t="shared" si="5"/>
        <v>Belmont International Trading Corp</v>
      </c>
    </row>
    <row r="146" spans="1:7" x14ac:dyDescent="0.25">
      <c r="A146" t="s">
        <v>18</v>
      </c>
      <c r="B146" t="s">
        <v>198</v>
      </c>
      <c r="C146" t="s">
        <v>96</v>
      </c>
      <c r="D146" s="15">
        <v>25.9</v>
      </c>
      <c r="E146" s="15">
        <v>25.9</v>
      </c>
      <c r="F146" t="b">
        <f t="shared" si="4"/>
        <v>1</v>
      </c>
      <c r="G146" t="str">
        <f t="shared" si="5"/>
        <v>Belmont International Trading Corp</v>
      </c>
    </row>
    <row r="147" spans="1:7" x14ac:dyDescent="0.25">
      <c r="A147" t="s">
        <v>201</v>
      </c>
      <c r="B147" t="s">
        <v>202</v>
      </c>
      <c r="C147" t="s">
        <v>211</v>
      </c>
      <c r="D147" s="15">
        <v>11.94</v>
      </c>
      <c r="E147" s="15">
        <v>11.94</v>
      </c>
      <c r="F147" t="b">
        <f t="shared" si="4"/>
        <v>1</v>
      </c>
      <c r="G147" t="str">
        <f t="shared" si="5"/>
        <v>Continental Food and Beverage, inc</v>
      </c>
    </row>
    <row r="148" spans="1:7" x14ac:dyDescent="0.25">
      <c r="A148" t="s">
        <v>201</v>
      </c>
      <c r="B148" t="s">
        <v>202</v>
      </c>
      <c r="C148" t="s">
        <v>203</v>
      </c>
      <c r="D148" s="15">
        <v>12.73</v>
      </c>
      <c r="E148" s="15">
        <v>12.73</v>
      </c>
      <c r="F148" t="b">
        <f t="shared" si="4"/>
        <v>1</v>
      </c>
      <c r="G148" t="str">
        <f t="shared" si="5"/>
        <v>Continental Food and Beverage, inc</v>
      </c>
    </row>
    <row r="149" spans="1:7" x14ac:dyDescent="0.25">
      <c r="A149" t="s">
        <v>201</v>
      </c>
      <c r="B149" t="s">
        <v>202</v>
      </c>
      <c r="C149" t="s">
        <v>205</v>
      </c>
      <c r="D149" s="15">
        <v>10.06</v>
      </c>
      <c r="E149" s="15">
        <v>10.06</v>
      </c>
      <c r="F149" t="b">
        <f t="shared" si="4"/>
        <v>1</v>
      </c>
      <c r="G149" t="str">
        <f t="shared" si="5"/>
        <v>Continental Food and Beverage, inc</v>
      </c>
    </row>
    <row r="150" spans="1:7" x14ac:dyDescent="0.25">
      <c r="A150" t="s">
        <v>201</v>
      </c>
      <c r="B150" t="s">
        <v>202</v>
      </c>
      <c r="C150" t="s">
        <v>209</v>
      </c>
      <c r="D150" s="15">
        <v>4.9850000000000003</v>
      </c>
      <c r="E150" s="15">
        <v>4.9850000000000003</v>
      </c>
      <c r="F150" t="b">
        <f t="shared" si="4"/>
        <v>1</v>
      </c>
      <c r="G150" t="str">
        <f t="shared" si="5"/>
        <v>Continental Food and Beverage, inc</v>
      </c>
    </row>
    <row r="151" spans="1:7" x14ac:dyDescent="0.25">
      <c r="A151" t="s">
        <v>201</v>
      </c>
      <c r="B151" t="s">
        <v>202</v>
      </c>
      <c r="C151" t="s">
        <v>207</v>
      </c>
      <c r="D151" s="15">
        <v>22.5</v>
      </c>
      <c r="E151" s="15">
        <v>22.5</v>
      </c>
      <c r="F151" t="b">
        <f t="shared" si="4"/>
        <v>1</v>
      </c>
      <c r="G151" t="str">
        <f t="shared" si="5"/>
        <v>Continental Food and Beverage, inc</v>
      </c>
    </row>
    <row r="152" spans="1:7" x14ac:dyDescent="0.25">
      <c r="A152" t="s">
        <v>201</v>
      </c>
      <c r="B152" t="s">
        <v>213</v>
      </c>
      <c r="C152" t="s">
        <v>203</v>
      </c>
      <c r="D152" s="15">
        <v>12.73</v>
      </c>
      <c r="E152" s="15">
        <v>12.73</v>
      </c>
      <c r="F152" t="b">
        <f t="shared" si="4"/>
        <v>1</v>
      </c>
      <c r="G152" t="str">
        <f t="shared" si="5"/>
        <v>Continental Food and Beverage, inc</v>
      </c>
    </row>
    <row r="153" spans="1:7" x14ac:dyDescent="0.25">
      <c r="A153" t="s">
        <v>201</v>
      </c>
      <c r="B153" t="s">
        <v>213</v>
      </c>
      <c r="C153" t="s">
        <v>215</v>
      </c>
      <c r="D153" s="15">
        <v>204.88</v>
      </c>
      <c r="E153" s="15">
        <v>204.88</v>
      </c>
      <c r="F153" t="b">
        <f t="shared" si="4"/>
        <v>1</v>
      </c>
      <c r="G153" t="str">
        <f t="shared" si="5"/>
        <v>Continental Food and Beverage, inc</v>
      </c>
    </row>
    <row r="154" spans="1:7" x14ac:dyDescent="0.25">
      <c r="A154" t="s">
        <v>201</v>
      </c>
      <c r="B154" t="s">
        <v>217</v>
      </c>
      <c r="C154" t="s">
        <v>205</v>
      </c>
      <c r="D154" s="15">
        <v>12.44</v>
      </c>
      <c r="E154" s="15">
        <v>12.44</v>
      </c>
      <c r="F154" t="b">
        <f t="shared" si="4"/>
        <v>1</v>
      </c>
      <c r="G154" t="str">
        <f t="shared" si="5"/>
        <v>Continental Food and Beverage, inc</v>
      </c>
    </row>
    <row r="155" spans="1:7" x14ac:dyDescent="0.25">
      <c r="A155" t="s">
        <v>201</v>
      </c>
      <c r="B155" t="s">
        <v>217</v>
      </c>
      <c r="C155" t="s">
        <v>209</v>
      </c>
      <c r="D155" s="15">
        <v>5.2350000000000003</v>
      </c>
      <c r="E155" s="15">
        <v>5.2350000000000003</v>
      </c>
      <c r="F155" t="b">
        <f t="shared" si="4"/>
        <v>1</v>
      </c>
      <c r="G155" t="str">
        <f t="shared" si="5"/>
        <v>Continental Food and Beverage, inc</v>
      </c>
    </row>
    <row r="156" spans="1:7" x14ac:dyDescent="0.25">
      <c r="A156" t="s">
        <v>201</v>
      </c>
      <c r="B156" t="s">
        <v>19</v>
      </c>
      <c r="C156" t="s">
        <v>211</v>
      </c>
      <c r="D156" s="15">
        <v>12.44</v>
      </c>
      <c r="E156" s="15">
        <v>12.44</v>
      </c>
      <c r="F156" t="b">
        <f t="shared" si="4"/>
        <v>1</v>
      </c>
      <c r="G156" t="str">
        <f t="shared" si="5"/>
        <v>Continental Food and Beverage, inc</v>
      </c>
    </row>
    <row r="157" spans="1:7" x14ac:dyDescent="0.25">
      <c r="A157" t="s">
        <v>201</v>
      </c>
      <c r="B157" t="s">
        <v>19</v>
      </c>
      <c r="C157" t="s">
        <v>209</v>
      </c>
      <c r="D157" s="15">
        <v>5.2350000000000003</v>
      </c>
      <c r="E157" s="15">
        <v>5.2350000000000003</v>
      </c>
      <c r="F157" t="b">
        <f t="shared" si="4"/>
        <v>1</v>
      </c>
      <c r="G157" t="str">
        <f t="shared" si="5"/>
        <v>Continental Food and Beverage, inc</v>
      </c>
    </row>
    <row r="158" spans="1:7" x14ac:dyDescent="0.25">
      <c r="A158" t="s">
        <v>201</v>
      </c>
      <c r="B158" t="s">
        <v>19</v>
      </c>
      <c r="C158" t="s">
        <v>221</v>
      </c>
      <c r="D158" s="15">
        <v>16</v>
      </c>
      <c r="E158" s="15">
        <v>16</v>
      </c>
      <c r="F158" t="b">
        <f t="shared" si="4"/>
        <v>1</v>
      </c>
      <c r="G158" t="str">
        <f t="shared" si="5"/>
        <v>Continental Food and Beverage, inc</v>
      </c>
    </row>
    <row r="159" spans="1:7" x14ac:dyDescent="0.25">
      <c r="A159" t="s">
        <v>201</v>
      </c>
      <c r="B159" t="s">
        <v>223</v>
      </c>
      <c r="C159" t="s">
        <v>211</v>
      </c>
      <c r="D159" s="15">
        <v>12.44</v>
      </c>
      <c r="E159" s="15">
        <v>12.44</v>
      </c>
      <c r="F159" t="b">
        <f t="shared" si="4"/>
        <v>1</v>
      </c>
      <c r="G159" t="str">
        <f t="shared" si="5"/>
        <v>Continental Food and Beverage, inc</v>
      </c>
    </row>
    <row r="160" spans="1:7" x14ac:dyDescent="0.25">
      <c r="A160" t="s">
        <v>201</v>
      </c>
      <c r="B160" t="s">
        <v>224</v>
      </c>
      <c r="C160" t="s">
        <v>203</v>
      </c>
      <c r="D160" s="15">
        <v>13.28</v>
      </c>
      <c r="E160" s="15">
        <v>13.28</v>
      </c>
      <c r="F160" t="b">
        <f t="shared" si="4"/>
        <v>1</v>
      </c>
      <c r="G160" t="str">
        <f t="shared" si="5"/>
        <v>Continental Food and Beverage, inc</v>
      </c>
    </row>
    <row r="161" spans="1:7" x14ac:dyDescent="0.25">
      <c r="A161" t="s">
        <v>201</v>
      </c>
      <c r="B161" t="s">
        <v>224</v>
      </c>
      <c r="C161" t="s">
        <v>205</v>
      </c>
      <c r="D161" s="15">
        <v>10.56</v>
      </c>
      <c r="E161" s="15">
        <v>10.56</v>
      </c>
      <c r="F161" t="b">
        <f t="shared" si="4"/>
        <v>1</v>
      </c>
      <c r="G161" t="str">
        <f t="shared" si="5"/>
        <v>Continental Food and Beverage, inc</v>
      </c>
    </row>
    <row r="162" spans="1:7" x14ac:dyDescent="0.25">
      <c r="A162" t="s">
        <v>201</v>
      </c>
      <c r="B162" t="s">
        <v>224</v>
      </c>
      <c r="C162" t="s">
        <v>209</v>
      </c>
      <c r="D162" s="15">
        <v>5.2350000000000003</v>
      </c>
      <c r="E162" s="15">
        <v>5.2350000000000003</v>
      </c>
      <c r="F162" t="b">
        <f t="shared" si="4"/>
        <v>1</v>
      </c>
      <c r="G162" t="str">
        <f t="shared" si="5"/>
        <v>Continental Food and Beverage, inc</v>
      </c>
    </row>
    <row r="163" spans="1:7" x14ac:dyDescent="0.25">
      <c r="A163" t="s">
        <v>201</v>
      </c>
      <c r="B163" t="s">
        <v>227</v>
      </c>
      <c r="C163" t="s">
        <v>211</v>
      </c>
      <c r="D163" s="15">
        <v>12.44</v>
      </c>
      <c r="E163" s="15">
        <v>12.44</v>
      </c>
      <c r="F163" t="b">
        <f t="shared" si="4"/>
        <v>1</v>
      </c>
      <c r="G163" t="str">
        <f t="shared" si="5"/>
        <v>Continental Food and Beverage, inc</v>
      </c>
    </row>
    <row r="164" spans="1:7" x14ac:dyDescent="0.25">
      <c r="A164" t="s">
        <v>201</v>
      </c>
      <c r="B164" t="s">
        <v>227</v>
      </c>
      <c r="C164" t="s">
        <v>203</v>
      </c>
      <c r="D164" s="15">
        <v>13.28</v>
      </c>
      <c r="E164" s="15">
        <v>13.28</v>
      </c>
      <c r="F164" t="b">
        <f t="shared" si="4"/>
        <v>1</v>
      </c>
      <c r="G164" t="str">
        <f t="shared" si="5"/>
        <v>Continental Food and Beverage, inc</v>
      </c>
    </row>
    <row r="165" spans="1:7" x14ac:dyDescent="0.25">
      <c r="A165" t="s">
        <v>201</v>
      </c>
      <c r="B165" t="s">
        <v>227</v>
      </c>
      <c r="C165" t="s">
        <v>209</v>
      </c>
      <c r="D165" s="15">
        <v>5.2350000000000003</v>
      </c>
      <c r="E165" s="15">
        <v>5.2350000000000003</v>
      </c>
      <c r="F165" t="b">
        <f t="shared" si="4"/>
        <v>1</v>
      </c>
      <c r="G165" t="str">
        <f t="shared" si="5"/>
        <v>Continental Food and Beverage, inc</v>
      </c>
    </row>
    <row r="166" spans="1:7" x14ac:dyDescent="0.25">
      <c r="A166" t="s">
        <v>201</v>
      </c>
      <c r="B166" t="s">
        <v>227</v>
      </c>
      <c r="C166" t="s">
        <v>207</v>
      </c>
      <c r="D166" s="15">
        <v>24.25</v>
      </c>
      <c r="E166" s="15">
        <v>24.25</v>
      </c>
      <c r="F166" t="b">
        <f t="shared" si="4"/>
        <v>1</v>
      </c>
      <c r="G166" t="str">
        <f t="shared" si="5"/>
        <v>Continental Food and Beverage, inc</v>
      </c>
    </row>
    <row r="167" spans="1:7" x14ac:dyDescent="0.25">
      <c r="A167" t="s">
        <v>201</v>
      </c>
      <c r="B167" t="s">
        <v>227</v>
      </c>
      <c r="C167" t="s">
        <v>221</v>
      </c>
      <c r="D167" s="15">
        <v>16</v>
      </c>
      <c r="E167" s="15">
        <v>16</v>
      </c>
      <c r="F167" t="b">
        <f t="shared" si="4"/>
        <v>1</v>
      </c>
      <c r="G167" t="str">
        <f t="shared" si="5"/>
        <v>Continental Food and Beverage, inc</v>
      </c>
    </row>
    <row r="168" spans="1:7" x14ac:dyDescent="0.25">
      <c r="A168" t="s">
        <v>201</v>
      </c>
      <c r="B168" t="s">
        <v>230</v>
      </c>
      <c r="C168" t="s">
        <v>205</v>
      </c>
      <c r="D168" s="15">
        <v>10.56</v>
      </c>
      <c r="E168" s="15">
        <v>10.56</v>
      </c>
      <c r="F168" t="b">
        <f t="shared" si="4"/>
        <v>1</v>
      </c>
      <c r="G168" t="str">
        <f t="shared" si="5"/>
        <v>Continental Food and Beverage, inc</v>
      </c>
    </row>
    <row r="169" spans="1:7" x14ac:dyDescent="0.25">
      <c r="A169" t="s">
        <v>201</v>
      </c>
      <c r="B169" t="s">
        <v>230</v>
      </c>
      <c r="C169" t="s">
        <v>209</v>
      </c>
      <c r="D169" s="15">
        <v>5.2350000000000003</v>
      </c>
      <c r="E169" s="15">
        <v>5.2350000000000003</v>
      </c>
      <c r="F169" t="b">
        <f t="shared" si="4"/>
        <v>1</v>
      </c>
      <c r="G169" t="str">
        <f t="shared" si="5"/>
        <v>Continental Food and Beverage, inc</v>
      </c>
    </row>
    <row r="170" spans="1:7" x14ac:dyDescent="0.25">
      <c r="A170" t="s">
        <v>201</v>
      </c>
      <c r="B170" t="s">
        <v>232</v>
      </c>
      <c r="C170" t="s">
        <v>203</v>
      </c>
      <c r="D170" s="15">
        <v>13.28</v>
      </c>
      <c r="E170" s="15">
        <v>13.28</v>
      </c>
      <c r="F170" t="b">
        <f t="shared" si="4"/>
        <v>1</v>
      </c>
      <c r="G170" t="str">
        <f t="shared" si="5"/>
        <v>Continental Food and Beverage, inc</v>
      </c>
    </row>
    <row r="171" spans="1:7" x14ac:dyDescent="0.25">
      <c r="A171" t="s">
        <v>201</v>
      </c>
      <c r="B171" t="s">
        <v>232</v>
      </c>
      <c r="C171" t="s">
        <v>209</v>
      </c>
      <c r="D171" s="15">
        <v>5.2350000000000003</v>
      </c>
      <c r="E171" s="15">
        <v>5.2350000000000003</v>
      </c>
      <c r="F171" t="b">
        <f t="shared" si="4"/>
        <v>1</v>
      </c>
      <c r="G171" t="str">
        <f t="shared" si="5"/>
        <v>Continental Food and Beverage, inc</v>
      </c>
    </row>
    <row r="172" spans="1:7" x14ac:dyDescent="0.25">
      <c r="A172" t="s">
        <v>201</v>
      </c>
      <c r="B172" t="s">
        <v>232</v>
      </c>
      <c r="C172" t="s">
        <v>234</v>
      </c>
      <c r="D172" s="15">
        <v>38</v>
      </c>
      <c r="E172" s="15">
        <v>38</v>
      </c>
      <c r="F172" t="b">
        <f t="shared" si="4"/>
        <v>1</v>
      </c>
      <c r="G172" t="str">
        <f t="shared" si="5"/>
        <v>Continental Food and Beverage, inc</v>
      </c>
    </row>
    <row r="173" spans="1:7" x14ac:dyDescent="0.25">
      <c r="A173" t="s">
        <v>201</v>
      </c>
      <c r="B173" t="s">
        <v>236</v>
      </c>
      <c r="C173" t="s">
        <v>209</v>
      </c>
      <c r="D173" s="15">
        <v>5.2350000000000003</v>
      </c>
      <c r="E173" s="15">
        <v>5.2350000000000003</v>
      </c>
      <c r="F173" t="b">
        <f t="shared" si="4"/>
        <v>1</v>
      </c>
      <c r="G173" t="str">
        <f t="shared" si="5"/>
        <v>Continental Food and Beverage, inc</v>
      </c>
    </row>
    <row r="174" spans="1:7" x14ac:dyDescent="0.25">
      <c r="A174" t="s">
        <v>201</v>
      </c>
      <c r="B174" t="s">
        <v>237</v>
      </c>
      <c r="C174" t="s">
        <v>241</v>
      </c>
      <c r="D174" s="15">
        <v>0</v>
      </c>
      <c r="E174" s="15">
        <v>0</v>
      </c>
      <c r="F174" t="b">
        <f t="shared" si="4"/>
        <v>1</v>
      </c>
      <c r="G174" t="str">
        <f t="shared" si="5"/>
        <v>Continental Food and Beverage, inc</v>
      </c>
    </row>
    <row r="175" spans="1:7" x14ac:dyDescent="0.25">
      <c r="A175" t="s">
        <v>201</v>
      </c>
      <c r="B175" t="s">
        <v>237</v>
      </c>
      <c r="C175" t="s">
        <v>239</v>
      </c>
      <c r="D175" s="15">
        <v>0</v>
      </c>
      <c r="E175" s="15">
        <v>0</v>
      </c>
      <c r="F175" t="b">
        <f t="shared" si="4"/>
        <v>1</v>
      </c>
      <c r="G175" t="str">
        <f t="shared" si="5"/>
        <v>Continental Food and Beverage, inc</v>
      </c>
    </row>
    <row r="176" spans="1:7" x14ac:dyDescent="0.25">
      <c r="A176" t="s">
        <v>201</v>
      </c>
      <c r="B176" t="s">
        <v>237</v>
      </c>
      <c r="C176" t="s">
        <v>242</v>
      </c>
      <c r="D176" s="15">
        <v>0</v>
      </c>
      <c r="E176" s="15">
        <v>0</v>
      </c>
      <c r="F176" t="b">
        <f t="shared" si="4"/>
        <v>1</v>
      </c>
      <c r="G176" t="str">
        <f t="shared" si="5"/>
        <v>Continental Food and Beverage, inc</v>
      </c>
    </row>
    <row r="177" spans="1:7" x14ac:dyDescent="0.25">
      <c r="A177" t="s">
        <v>201</v>
      </c>
      <c r="B177" t="s">
        <v>237</v>
      </c>
      <c r="C177" t="s">
        <v>240</v>
      </c>
      <c r="D177" s="15">
        <v>0</v>
      </c>
      <c r="E177" s="15">
        <v>0</v>
      </c>
      <c r="F177" t="b">
        <f t="shared" si="4"/>
        <v>1</v>
      </c>
      <c r="G177" t="str">
        <f t="shared" si="5"/>
        <v>Continental Food and Beverage, inc</v>
      </c>
    </row>
    <row r="178" spans="1:7" x14ac:dyDescent="0.25">
      <c r="A178" t="s">
        <v>201</v>
      </c>
      <c r="B178" t="s">
        <v>237</v>
      </c>
      <c r="C178" t="s">
        <v>203</v>
      </c>
      <c r="D178" s="15">
        <v>13.28</v>
      </c>
      <c r="E178" s="15">
        <v>13.28</v>
      </c>
      <c r="F178" t="b">
        <f t="shared" si="4"/>
        <v>1</v>
      </c>
      <c r="G178" t="str">
        <f t="shared" si="5"/>
        <v>Continental Food and Beverage, inc</v>
      </c>
    </row>
    <row r="179" spans="1:7" x14ac:dyDescent="0.25">
      <c r="A179" t="s">
        <v>201</v>
      </c>
      <c r="B179" t="s">
        <v>237</v>
      </c>
      <c r="C179" t="s">
        <v>205</v>
      </c>
      <c r="D179" s="15">
        <v>10.56</v>
      </c>
      <c r="E179" s="15">
        <v>10.56</v>
      </c>
      <c r="F179" t="b">
        <f t="shared" si="4"/>
        <v>1</v>
      </c>
      <c r="G179" t="str">
        <f t="shared" si="5"/>
        <v>Continental Food and Beverage, inc</v>
      </c>
    </row>
    <row r="180" spans="1:7" x14ac:dyDescent="0.25">
      <c r="A180" t="s">
        <v>201</v>
      </c>
      <c r="B180" t="s">
        <v>237</v>
      </c>
      <c r="C180" t="s">
        <v>209</v>
      </c>
      <c r="D180" s="15">
        <v>5.2350000000000003</v>
      </c>
      <c r="E180" s="15">
        <v>5.2350000000000003</v>
      </c>
      <c r="F180" t="b">
        <f t="shared" si="4"/>
        <v>1</v>
      </c>
      <c r="G180" t="str">
        <f t="shared" si="5"/>
        <v>Continental Food and Beverage, inc</v>
      </c>
    </row>
    <row r="181" spans="1:7" x14ac:dyDescent="0.25">
      <c r="A181" t="s">
        <v>201</v>
      </c>
      <c r="B181" t="s">
        <v>237</v>
      </c>
      <c r="C181" t="s">
        <v>207</v>
      </c>
      <c r="D181" s="15">
        <v>24.25</v>
      </c>
      <c r="E181" s="15">
        <v>24.25</v>
      </c>
      <c r="F181" t="b">
        <f t="shared" si="4"/>
        <v>1</v>
      </c>
      <c r="G181" t="str">
        <f t="shared" si="5"/>
        <v>Continental Food and Beverage, inc</v>
      </c>
    </row>
    <row r="182" spans="1:7" x14ac:dyDescent="0.25">
      <c r="A182" t="s">
        <v>201</v>
      </c>
      <c r="B182" t="s">
        <v>237</v>
      </c>
      <c r="C182" t="s">
        <v>234</v>
      </c>
      <c r="D182" s="15">
        <v>38</v>
      </c>
      <c r="E182" s="15">
        <v>38</v>
      </c>
      <c r="F182" t="b">
        <f t="shared" si="4"/>
        <v>1</v>
      </c>
      <c r="G182" t="str">
        <f t="shared" si="5"/>
        <v>Continental Food and Beverage, inc</v>
      </c>
    </row>
    <row r="183" spans="1:7" x14ac:dyDescent="0.25">
      <c r="A183" t="s">
        <v>201</v>
      </c>
      <c r="B183" t="s">
        <v>237</v>
      </c>
      <c r="C183" t="s">
        <v>244</v>
      </c>
      <c r="D183" s="15">
        <v>0</v>
      </c>
      <c r="E183" s="15">
        <v>0</v>
      </c>
      <c r="F183" t="b">
        <f t="shared" si="4"/>
        <v>1</v>
      </c>
      <c r="G183" t="str">
        <f t="shared" si="5"/>
        <v>Continental Food and Beverage, inc</v>
      </c>
    </row>
    <row r="184" spans="1:7" x14ac:dyDescent="0.25">
      <c r="A184" t="s">
        <v>201</v>
      </c>
      <c r="B184" t="s">
        <v>237</v>
      </c>
      <c r="C184" t="s">
        <v>245</v>
      </c>
      <c r="D184" s="15">
        <v>0</v>
      </c>
      <c r="E184" s="15">
        <v>0</v>
      </c>
      <c r="F184" t="b">
        <f t="shared" si="4"/>
        <v>1</v>
      </c>
      <c r="G184" t="str">
        <f t="shared" si="5"/>
        <v>Continental Food and Beverage, inc</v>
      </c>
    </row>
    <row r="185" spans="1:7" x14ac:dyDescent="0.25">
      <c r="A185" t="s">
        <v>201</v>
      </c>
      <c r="B185" t="s">
        <v>237</v>
      </c>
      <c r="C185" t="s">
        <v>243</v>
      </c>
      <c r="D185" s="15">
        <v>0</v>
      </c>
      <c r="E185" s="15">
        <v>0</v>
      </c>
      <c r="F185" t="b">
        <f t="shared" si="4"/>
        <v>1</v>
      </c>
      <c r="G185" t="str">
        <f t="shared" si="5"/>
        <v>Continental Food and Beverage, inc</v>
      </c>
    </row>
    <row r="186" spans="1:7" x14ac:dyDescent="0.25">
      <c r="A186" t="s">
        <v>247</v>
      </c>
      <c r="B186" t="s">
        <v>248</v>
      </c>
      <c r="C186" t="s">
        <v>250</v>
      </c>
      <c r="D186" s="15">
        <v>65.94</v>
      </c>
      <c r="E186" s="15">
        <v>65.94</v>
      </c>
      <c r="F186" t="b">
        <f t="shared" si="4"/>
        <v>1</v>
      </c>
      <c r="G186" t="str">
        <f t="shared" si="5"/>
        <v>Fiesta Mart #60</v>
      </c>
    </row>
    <row r="187" spans="1:7" x14ac:dyDescent="0.25">
      <c r="A187" t="s">
        <v>247</v>
      </c>
      <c r="B187" t="s">
        <v>251</v>
      </c>
      <c r="C187" t="s">
        <v>250</v>
      </c>
      <c r="D187" s="15">
        <v>47.94</v>
      </c>
      <c r="E187" s="15">
        <v>47.94</v>
      </c>
      <c r="F187" t="b">
        <f t="shared" si="4"/>
        <v>1</v>
      </c>
      <c r="G187" t="str">
        <f t="shared" si="5"/>
        <v>Fiesta Mart #60</v>
      </c>
    </row>
    <row r="188" spans="1:7" x14ac:dyDescent="0.25">
      <c r="A188" t="s">
        <v>253</v>
      </c>
      <c r="B188" t="s">
        <v>254</v>
      </c>
      <c r="C188" t="s">
        <v>250</v>
      </c>
      <c r="D188" s="15">
        <v>50.153500000000001</v>
      </c>
      <c r="E188" s="15">
        <v>50.153500000000001</v>
      </c>
      <c r="F188" t="b">
        <f t="shared" si="4"/>
        <v>1</v>
      </c>
      <c r="G188" t="str">
        <f t="shared" si="5"/>
        <v>GUIXENS FOOD GROUP, INC.</v>
      </c>
    </row>
    <row r="189" spans="1:7" x14ac:dyDescent="0.25">
      <c r="A189" t="s">
        <v>266</v>
      </c>
      <c r="B189" t="s">
        <v>267</v>
      </c>
      <c r="C189" t="s">
        <v>270</v>
      </c>
      <c r="D189" s="15">
        <v>148</v>
      </c>
      <c r="E189" s="15">
        <v>148</v>
      </c>
      <c r="F189" t="b">
        <f t="shared" si="4"/>
        <v>1</v>
      </c>
      <c r="G189" t="str">
        <f t="shared" si="5"/>
        <v>La Sorpresa Store</v>
      </c>
    </row>
    <row r="190" spans="1:7" x14ac:dyDescent="0.25">
      <c r="A190" t="s">
        <v>266</v>
      </c>
      <c r="B190" t="s">
        <v>267</v>
      </c>
      <c r="C190" t="s">
        <v>268</v>
      </c>
      <c r="D190" s="15">
        <v>75</v>
      </c>
      <c r="E190" s="15">
        <v>75</v>
      </c>
      <c r="F190" t="b">
        <f t="shared" si="4"/>
        <v>1</v>
      </c>
      <c r="G190" t="str">
        <f t="shared" si="5"/>
        <v>La Sorpresa Store</v>
      </c>
    </row>
    <row r="191" spans="1:7" x14ac:dyDescent="0.25">
      <c r="A191" t="s">
        <v>257</v>
      </c>
      <c r="B191" t="s">
        <v>258</v>
      </c>
      <c r="C191" t="s">
        <v>261</v>
      </c>
      <c r="D191" s="15">
        <v>30</v>
      </c>
      <c r="E191" s="15">
        <v>30</v>
      </c>
      <c r="F191" t="b">
        <f t="shared" si="4"/>
        <v>1</v>
      </c>
      <c r="G191" t="str">
        <f t="shared" si="5"/>
        <v>Lam's Foods Inc.</v>
      </c>
    </row>
    <row r="192" spans="1:7" x14ac:dyDescent="0.25">
      <c r="A192" t="s">
        <v>257</v>
      </c>
      <c r="B192" t="s">
        <v>258</v>
      </c>
      <c r="C192" t="s">
        <v>260</v>
      </c>
      <c r="D192" s="15">
        <v>30</v>
      </c>
      <c r="E192" s="15">
        <v>30</v>
      </c>
      <c r="F192" t="b">
        <f t="shared" si="4"/>
        <v>1</v>
      </c>
      <c r="G192" t="str">
        <f t="shared" si="5"/>
        <v>Lam's Foods Inc.</v>
      </c>
    </row>
    <row r="193" spans="1:7" x14ac:dyDescent="0.25">
      <c r="A193" t="s">
        <v>257</v>
      </c>
      <c r="B193" t="s">
        <v>258</v>
      </c>
      <c r="C193" t="s">
        <v>264</v>
      </c>
      <c r="D193" s="15">
        <v>36</v>
      </c>
      <c r="E193" s="15">
        <v>36</v>
      </c>
      <c r="F193" t="b">
        <f t="shared" si="4"/>
        <v>1</v>
      </c>
      <c r="G193" t="str">
        <f t="shared" si="5"/>
        <v>Lam's Foods Inc.</v>
      </c>
    </row>
    <row r="194" spans="1:7" x14ac:dyDescent="0.25">
      <c r="A194" t="s">
        <v>257</v>
      </c>
      <c r="B194" t="s">
        <v>258</v>
      </c>
      <c r="C194" t="s">
        <v>262</v>
      </c>
      <c r="D194" s="15">
        <v>36</v>
      </c>
      <c r="E194" s="15">
        <v>36</v>
      </c>
      <c r="F194" t="b">
        <f t="shared" si="4"/>
        <v>1</v>
      </c>
      <c r="G194" t="str">
        <f t="shared" si="5"/>
        <v>Lam's Foods Inc.</v>
      </c>
    </row>
    <row r="195" spans="1:7" x14ac:dyDescent="0.25">
      <c r="A195" t="s">
        <v>257</v>
      </c>
      <c r="B195" t="s">
        <v>258</v>
      </c>
      <c r="C195" t="s">
        <v>263</v>
      </c>
      <c r="D195" s="15">
        <v>36</v>
      </c>
      <c r="E195" s="15">
        <v>36</v>
      </c>
      <c r="F195" t="b">
        <f t="shared" si="4"/>
        <v>1</v>
      </c>
      <c r="G195" t="str">
        <f t="shared" si="5"/>
        <v>Lam's Foods Inc.</v>
      </c>
    </row>
    <row r="196" spans="1:7" x14ac:dyDescent="0.25">
      <c r="A196" t="s">
        <v>272</v>
      </c>
      <c r="B196" t="s">
        <v>273</v>
      </c>
      <c r="C196" t="s">
        <v>37</v>
      </c>
      <c r="D196" s="15">
        <v>99</v>
      </c>
      <c r="E196" s="15">
        <v>99</v>
      </c>
      <c r="F196" t="b">
        <f t="shared" si="4"/>
        <v>1</v>
      </c>
      <c r="G196" t="str">
        <f t="shared" si="5"/>
        <v>Peru Chef</v>
      </c>
    </row>
    <row r="197" spans="1:7" x14ac:dyDescent="0.25">
      <c r="A197" t="s">
        <v>272</v>
      </c>
      <c r="B197" t="s">
        <v>273</v>
      </c>
      <c r="C197" t="s">
        <v>328</v>
      </c>
      <c r="D197" s="15">
        <v>82.5</v>
      </c>
      <c r="E197" s="15">
        <v>82.5</v>
      </c>
      <c r="F197" t="b">
        <f t="shared" si="4"/>
        <v>1</v>
      </c>
      <c r="G197" t="str">
        <f t="shared" si="5"/>
        <v>Peru Chef</v>
      </c>
    </row>
    <row r="198" spans="1:7" x14ac:dyDescent="0.25">
      <c r="A198" t="s">
        <v>272</v>
      </c>
      <c r="B198" t="s">
        <v>273</v>
      </c>
      <c r="C198" t="s">
        <v>90</v>
      </c>
      <c r="D198" s="15">
        <v>15.5</v>
      </c>
      <c r="E198" s="15">
        <v>15.5</v>
      </c>
      <c r="F198" t="b">
        <f t="shared" ref="F198:F261" si="6">D198=E198</f>
        <v>1</v>
      </c>
      <c r="G198" t="str">
        <f t="shared" ref="G198:G261" si="7">+A198</f>
        <v>Peru Chef</v>
      </c>
    </row>
    <row r="199" spans="1:7" x14ac:dyDescent="0.25">
      <c r="A199" t="s">
        <v>272</v>
      </c>
      <c r="B199" t="s">
        <v>273</v>
      </c>
      <c r="C199" t="s">
        <v>86</v>
      </c>
      <c r="D199" s="15">
        <v>15.5</v>
      </c>
      <c r="E199" s="15">
        <v>15.5</v>
      </c>
      <c r="F199" t="b">
        <f t="shared" si="6"/>
        <v>1</v>
      </c>
      <c r="G199" t="str">
        <f t="shared" si="7"/>
        <v>Peru Chef</v>
      </c>
    </row>
    <row r="200" spans="1:7" x14ac:dyDescent="0.25">
      <c r="A200" t="s">
        <v>272</v>
      </c>
      <c r="B200" t="s">
        <v>273</v>
      </c>
      <c r="C200" t="s">
        <v>380</v>
      </c>
      <c r="D200" s="15">
        <v>54</v>
      </c>
      <c r="E200" s="15">
        <v>54</v>
      </c>
      <c r="F200" t="b">
        <f t="shared" si="6"/>
        <v>1</v>
      </c>
      <c r="G200" t="str">
        <f t="shared" si="7"/>
        <v>Peru Chef</v>
      </c>
    </row>
    <row r="201" spans="1:7" x14ac:dyDescent="0.25">
      <c r="A201" t="s">
        <v>272</v>
      </c>
      <c r="B201" t="s">
        <v>273</v>
      </c>
      <c r="C201" t="s">
        <v>372</v>
      </c>
      <c r="D201" s="15">
        <v>36</v>
      </c>
      <c r="E201" s="15">
        <v>36</v>
      </c>
      <c r="F201" t="b">
        <f t="shared" si="6"/>
        <v>1</v>
      </c>
      <c r="G201" t="str">
        <f t="shared" si="7"/>
        <v>Peru Chef</v>
      </c>
    </row>
    <row r="202" spans="1:7" x14ac:dyDescent="0.25">
      <c r="A202" t="s">
        <v>272</v>
      </c>
      <c r="B202" t="s">
        <v>273</v>
      </c>
      <c r="C202" t="s">
        <v>348</v>
      </c>
      <c r="D202" s="15">
        <v>16</v>
      </c>
      <c r="E202" s="15">
        <v>16</v>
      </c>
      <c r="F202" t="b">
        <f t="shared" si="6"/>
        <v>1</v>
      </c>
      <c r="G202" t="str">
        <f t="shared" si="7"/>
        <v>Peru Chef</v>
      </c>
    </row>
    <row r="203" spans="1:7" x14ac:dyDescent="0.25">
      <c r="A203" t="s">
        <v>272</v>
      </c>
      <c r="B203" t="s">
        <v>273</v>
      </c>
      <c r="C203" t="s">
        <v>350</v>
      </c>
      <c r="D203" s="15">
        <v>16</v>
      </c>
      <c r="E203" s="15">
        <v>16</v>
      </c>
      <c r="F203" t="b">
        <f t="shared" si="6"/>
        <v>1</v>
      </c>
      <c r="G203" t="str">
        <f t="shared" si="7"/>
        <v>Peru Chef</v>
      </c>
    </row>
    <row r="204" spans="1:7" x14ac:dyDescent="0.25">
      <c r="A204" t="s">
        <v>272</v>
      </c>
      <c r="B204" t="s">
        <v>273</v>
      </c>
      <c r="C204" t="s">
        <v>364</v>
      </c>
      <c r="D204" s="15">
        <v>17</v>
      </c>
      <c r="E204" s="15">
        <v>17</v>
      </c>
      <c r="F204" t="b">
        <f t="shared" si="6"/>
        <v>1</v>
      </c>
      <c r="G204" t="str">
        <f t="shared" si="7"/>
        <v>Peru Chef</v>
      </c>
    </row>
    <row r="205" spans="1:7" x14ac:dyDescent="0.25">
      <c r="A205" t="s">
        <v>272</v>
      </c>
      <c r="B205" t="s">
        <v>273</v>
      </c>
      <c r="C205" t="s">
        <v>360</v>
      </c>
      <c r="D205" s="15">
        <v>17</v>
      </c>
      <c r="E205" s="15">
        <v>17</v>
      </c>
      <c r="F205" t="b">
        <f t="shared" si="6"/>
        <v>1</v>
      </c>
      <c r="G205" t="str">
        <f t="shared" si="7"/>
        <v>Peru Chef</v>
      </c>
    </row>
    <row r="206" spans="1:7" x14ac:dyDescent="0.25">
      <c r="A206" t="s">
        <v>272</v>
      </c>
      <c r="B206" t="s">
        <v>273</v>
      </c>
      <c r="C206" t="s">
        <v>358</v>
      </c>
      <c r="D206" s="15">
        <v>17</v>
      </c>
      <c r="E206" s="15">
        <v>17</v>
      </c>
      <c r="F206" t="b">
        <f t="shared" si="6"/>
        <v>1</v>
      </c>
      <c r="G206" t="str">
        <f t="shared" si="7"/>
        <v>Peru Chef</v>
      </c>
    </row>
    <row r="207" spans="1:7" x14ac:dyDescent="0.25">
      <c r="A207" t="s">
        <v>272</v>
      </c>
      <c r="B207" t="s">
        <v>273</v>
      </c>
      <c r="C207" t="s">
        <v>362</v>
      </c>
      <c r="D207" s="15">
        <v>17</v>
      </c>
      <c r="E207" s="15">
        <v>17</v>
      </c>
      <c r="F207" t="b">
        <f t="shared" si="6"/>
        <v>1</v>
      </c>
      <c r="G207" t="str">
        <f t="shared" si="7"/>
        <v>Peru Chef</v>
      </c>
    </row>
    <row r="208" spans="1:7" x14ac:dyDescent="0.25">
      <c r="A208" t="s">
        <v>272</v>
      </c>
      <c r="B208" t="s">
        <v>273</v>
      </c>
      <c r="C208" t="s">
        <v>374</v>
      </c>
      <c r="D208" s="15">
        <v>39</v>
      </c>
      <c r="E208" s="15">
        <v>39</v>
      </c>
      <c r="F208" t="b">
        <f t="shared" si="6"/>
        <v>1</v>
      </c>
      <c r="G208" t="str">
        <f t="shared" si="7"/>
        <v>Peru Chef</v>
      </c>
    </row>
    <row r="209" spans="1:7" x14ac:dyDescent="0.25">
      <c r="A209" t="s">
        <v>272</v>
      </c>
      <c r="B209" t="s">
        <v>273</v>
      </c>
      <c r="C209" t="s">
        <v>381</v>
      </c>
      <c r="D209" s="15">
        <v>115</v>
      </c>
      <c r="E209" s="15">
        <v>115</v>
      </c>
      <c r="F209" t="b">
        <f t="shared" si="6"/>
        <v>1</v>
      </c>
      <c r="G209" t="str">
        <f t="shared" si="7"/>
        <v>Peru Chef</v>
      </c>
    </row>
    <row r="210" spans="1:7" x14ac:dyDescent="0.25">
      <c r="A210" t="s">
        <v>272</v>
      </c>
      <c r="B210" t="s">
        <v>273</v>
      </c>
      <c r="C210" t="s">
        <v>339</v>
      </c>
      <c r="D210" s="15">
        <v>42</v>
      </c>
      <c r="E210" s="15">
        <v>42</v>
      </c>
      <c r="F210" t="b">
        <f t="shared" si="6"/>
        <v>1</v>
      </c>
      <c r="G210" t="str">
        <f t="shared" si="7"/>
        <v>Peru Chef</v>
      </c>
    </row>
    <row r="211" spans="1:7" x14ac:dyDescent="0.25">
      <c r="A211" t="s">
        <v>272</v>
      </c>
      <c r="B211" t="s">
        <v>273</v>
      </c>
      <c r="C211" t="s">
        <v>337</v>
      </c>
      <c r="D211" s="15">
        <v>39</v>
      </c>
      <c r="E211" s="15">
        <v>39</v>
      </c>
      <c r="F211" t="b">
        <f t="shared" si="6"/>
        <v>1</v>
      </c>
      <c r="G211" t="str">
        <f t="shared" si="7"/>
        <v>Peru Chef</v>
      </c>
    </row>
    <row r="212" spans="1:7" x14ac:dyDescent="0.25">
      <c r="A212" t="s">
        <v>272</v>
      </c>
      <c r="B212" t="s">
        <v>273</v>
      </c>
      <c r="C212" t="s">
        <v>386</v>
      </c>
      <c r="D212" s="15">
        <v>46</v>
      </c>
      <c r="E212" s="15">
        <v>46</v>
      </c>
      <c r="F212" t="b">
        <f t="shared" si="6"/>
        <v>1</v>
      </c>
      <c r="G212" t="str">
        <f t="shared" si="7"/>
        <v>Peru Chef</v>
      </c>
    </row>
    <row r="213" spans="1:7" x14ac:dyDescent="0.25">
      <c r="A213" t="s">
        <v>272</v>
      </c>
      <c r="B213" t="s">
        <v>273</v>
      </c>
      <c r="C213" t="s">
        <v>390</v>
      </c>
      <c r="D213" s="15">
        <v>39</v>
      </c>
      <c r="E213" s="15">
        <v>39</v>
      </c>
      <c r="F213" t="b">
        <f t="shared" si="6"/>
        <v>1</v>
      </c>
      <c r="G213" t="str">
        <f t="shared" si="7"/>
        <v>Peru Chef</v>
      </c>
    </row>
    <row r="214" spans="1:7" x14ac:dyDescent="0.25">
      <c r="A214" t="s">
        <v>272</v>
      </c>
      <c r="B214" t="s">
        <v>273</v>
      </c>
      <c r="C214" t="s">
        <v>324</v>
      </c>
      <c r="D214" s="15">
        <v>26</v>
      </c>
      <c r="E214" s="15">
        <v>26</v>
      </c>
      <c r="F214" t="b">
        <f t="shared" si="6"/>
        <v>1</v>
      </c>
      <c r="G214" t="str">
        <f t="shared" si="7"/>
        <v>Peru Chef</v>
      </c>
    </row>
    <row r="215" spans="1:7" x14ac:dyDescent="0.25">
      <c r="A215" t="s">
        <v>272</v>
      </c>
      <c r="B215" t="s">
        <v>273</v>
      </c>
      <c r="C215" t="s">
        <v>304</v>
      </c>
      <c r="D215" s="15">
        <v>13</v>
      </c>
      <c r="E215" s="15">
        <v>13</v>
      </c>
      <c r="F215" t="b">
        <f t="shared" si="6"/>
        <v>1</v>
      </c>
      <c r="G215" t="str">
        <f t="shared" si="7"/>
        <v>Peru Chef</v>
      </c>
    </row>
    <row r="216" spans="1:7" x14ac:dyDescent="0.25">
      <c r="A216" t="s">
        <v>272</v>
      </c>
      <c r="B216" t="s">
        <v>273</v>
      </c>
      <c r="C216" t="s">
        <v>341</v>
      </c>
      <c r="D216" s="15">
        <v>39</v>
      </c>
      <c r="E216" s="15">
        <v>39</v>
      </c>
      <c r="F216" t="b">
        <f t="shared" si="6"/>
        <v>1</v>
      </c>
      <c r="G216" t="str">
        <f t="shared" si="7"/>
        <v>Peru Chef</v>
      </c>
    </row>
    <row r="217" spans="1:7" x14ac:dyDescent="0.25">
      <c r="A217" t="s">
        <v>272</v>
      </c>
      <c r="B217" t="s">
        <v>273</v>
      </c>
      <c r="C217" t="s">
        <v>378</v>
      </c>
      <c r="D217" s="15">
        <v>12.5</v>
      </c>
      <c r="E217" s="15">
        <v>12.5</v>
      </c>
      <c r="F217" t="b">
        <f t="shared" si="6"/>
        <v>1</v>
      </c>
      <c r="G217" t="str">
        <f t="shared" si="7"/>
        <v>Peru Chef</v>
      </c>
    </row>
    <row r="218" spans="1:7" x14ac:dyDescent="0.25">
      <c r="A218" t="s">
        <v>272</v>
      </c>
      <c r="B218" t="s">
        <v>273</v>
      </c>
      <c r="C218" t="s">
        <v>384</v>
      </c>
      <c r="D218" s="15">
        <v>66</v>
      </c>
      <c r="E218" s="15">
        <v>66</v>
      </c>
      <c r="F218" t="b">
        <f t="shared" si="6"/>
        <v>1</v>
      </c>
      <c r="G218" t="str">
        <f t="shared" si="7"/>
        <v>Peru Chef</v>
      </c>
    </row>
    <row r="219" spans="1:7" x14ac:dyDescent="0.25">
      <c r="A219" t="s">
        <v>272</v>
      </c>
      <c r="B219" t="s">
        <v>273</v>
      </c>
      <c r="C219" t="s">
        <v>310</v>
      </c>
      <c r="D219" s="15">
        <v>22</v>
      </c>
      <c r="E219" s="15">
        <v>22</v>
      </c>
      <c r="F219" t="b">
        <f t="shared" si="6"/>
        <v>1</v>
      </c>
      <c r="G219" t="str">
        <f t="shared" si="7"/>
        <v>Peru Chef</v>
      </c>
    </row>
    <row r="220" spans="1:7" x14ac:dyDescent="0.25">
      <c r="A220" t="s">
        <v>272</v>
      </c>
      <c r="B220" t="s">
        <v>273</v>
      </c>
      <c r="C220" t="s">
        <v>284</v>
      </c>
      <c r="D220" s="15">
        <v>36</v>
      </c>
      <c r="E220" s="15">
        <v>36</v>
      </c>
      <c r="F220" t="b">
        <f t="shared" si="6"/>
        <v>1</v>
      </c>
      <c r="G220" t="str">
        <f t="shared" si="7"/>
        <v>Peru Chef</v>
      </c>
    </row>
    <row r="221" spans="1:7" x14ac:dyDescent="0.25">
      <c r="A221" t="s">
        <v>272</v>
      </c>
      <c r="B221" t="s">
        <v>273</v>
      </c>
      <c r="C221" t="s">
        <v>376</v>
      </c>
      <c r="D221" s="15">
        <v>19</v>
      </c>
      <c r="E221" s="15">
        <v>19</v>
      </c>
      <c r="F221" t="b">
        <f t="shared" si="6"/>
        <v>1</v>
      </c>
      <c r="G221" t="str">
        <f t="shared" si="7"/>
        <v>Peru Chef</v>
      </c>
    </row>
    <row r="222" spans="1:7" x14ac:dyDescent="0.25">
      <c r="A222" t="s">
        <v>272</v>
      </c>
      <c r="B222" t="s">
        <v>273</v>
      </c>
      <c r="C222" t="s">
        <v>306</v>
      </c>
      <c r="D222" s="15">
        <v>30</v>
      </c>
      <c r="E222" s="15">
        <v>30</v>
      </c>
      <c r="F222" t="b">
        <f t="shared" si="6"/>
        <v>1</v>
      </c>
      <c r="G222" t="str">
        <f t="shared" si="7"/>
        <v>Peru Chef</v>
      </c>
    </row>
    <row r="223" spans="1:7" x14ac:dyDescent="0.25">
      <c r="A223" t="s">
        <v>272</v>
      </c>
      <c r="B223" t="s">
        <v>273</v>
      </c>
      <c r="C223" t="s">
        <v>276</v>
      </c>
      <c r="D223" s="15">
        <v>30</v>
      </c>
      <c r="E223" s="15">
        <v>30</v>
      </c>
      <c r="F223" t="b">
        <f t="shared" si="6"/>
        <v>1</v>
      </c>
      <c r="G223" t="str">
        <f t="shared" si="7"/>
        <v>Peru Chef</v>
      </c>
    </row>
    <row r="224" spans="1:7" x14ac:dyDescent="0.25">
      <c r="A224" t="s">
        <v>272</v>
      </c>
      <c r="B224" t="s">
        <v>273</v>
      </c>
      <c r="C224" t="s">
        <v>382</v>
      </c>
      <c r="D224" s="15">
        <v>21</v>
      </c>
      <c r="E224" s="15">
        <v>21</v>
      </c>
      <c r="F224" t="b">
        <f t="shared" si="6"/>
        <v>1</v>
      </c>
      <c r="G224" t="str">
        <f t="shared" si="7"/>
        <v>Peru Chef</v>
      </c>
    </row>
    <row r="225" spans="1:7" x14ac:dyDescent="0.25">
      <c r="A225" t="s">
        <v>272</v>
      </c>
      <c r="B225" t="s">
        <v>273</v>
      </c>
      <c r="C225" t="s">
        <v>316</v>
      </c>
      <c r="D225" s="15">
        <v>24</v>
      </c>
      <c r="E225" s="15">
        <v>24</v>
      </c>
      <c r="F225" t="b">
        <f t="shared" si="6"/>
        <v>1</v>
      </c>
      <c r="G225" t="str">
        <f t="shared" si="7"/>
        <v>Peru Chef</v>
      </c>
    </row>
    <row r="226" spans="1:7" x14ac:dyDescent="0.25">
      <c r="A226" t="s">
        <v>272</v>
      </c>
      <c r="B226" t="s">
        <v>273</v>
      </c>
      <c r="C226" t="s">
        <v>308</v>
      </c>
      <c r="D226" s="15">
        <v>25</v>
      </c>
      <c r="E226" s="15">
        <v>25</v>
      </c>
      <c r="F226" t="b">
        <f t="shared" si="6"/>
        <v>1</v>
      </c>
      <c r="G226" t="str">
        <f t="shared" si="7"/>
        <v>Peru Chef</v>
      </c>
    </row>
    <row r="227" spans="1:7" x14ac:dyDescent="0.25">
      <c r="A227" t="s">
        <v>272</v>
      </c>
      <c r="B227" t="s">
        <v>273</v>
      </c>
      <c r="C227" t="s">
        <v>314</v>
      </c>
      <c r="D227" s="15">
        <v>36</v>
      </c>
      <c r="E227" s="15">
        <v>36</v>
      </c>
      <c r="F227" t="b">
        <f t="shared" si="6"/>
        <v>1</v>
      </c>
      <c r="G227" t="str">
        <f t="shared" si="7"/>
        <v>Peru Chef</v>
      </c>
    </row>
    <row r="228" spans="1:7" x14ac:dyDescent="0.25">
      <c r="A228" t="s">
        <v>272</v>
      </c>
      <c r="B228" t="s">
        <v>273</v>
      </c>
      <c r="C228" t="s">
        <v>326</v>
      </c>
      <c r="D228" s="15">
        <v>28</v>
      </c>
      <c r="E228" s="15">
        <v>28</v>
      </c>
      <c r="F228" t="b">
        <f t="shared" si="6"/>
        <v>1</v>
      </c>
      <c r="G228" t="str">
        <f t="shared" si="7"/>
        <v>Peru Chef</v>
      </c>
    </row>
    <row r="229" spans="1:7" x14ac:dyDescent="0.25">
      <c r="A229" t="s">
        <v>272</v>
      </c>
      <c r="B229" t="s">
        <v>273</v>
      </c>
      <c r="C229" t="s">
        <v>292</v>
      </c>
      <c r="D229" s="15">
        <v>28</v>
      </c>
      <c r="E229" s="15">
        <v>28</v>
      </c>
      <c r="F229" t="b">
        <f t="shared" si="6"/>
        <v>1</v>
      </c>
      <c r="G229" t="str">
        <f t="shared" si="7"/>
        <v>Peru Chef</v>
      </c>
    </row>
    <row r="230" spans="1:7" x14ac:dyDescent="0.25">
      <c r="A230" t="s">
        <v>272</v>
      </c>
      <c r="B230" t="s">
        <v>273</v>
      </c>
      <c r="C230" t="s">
        <v>290</v>
      </c>
      <c r="D230" s="15">
        <v>28</v>
      </c>
      <c r="E230" s="15">
        <v>28</v>
      </c>
      <c r="F230" t="b">
        <f t="shared" si="6"/>
        <v>1</v>
      </c>
      <c r="G230" t="str">
        <f t="shared" si="7"/>
        <v>Peru Chef</v>
      </c>
    </row>
    <row r="231" spans="1:7" x14ac:dyDescent="0.25">
      <c r="A231" t="s">
        <v>272</v>
      </c>
      <c r="B231" t="s">
        <v>273</v>
      </c>
      <c r="C231" t="s">
        <v>288</v>
      </c>
      <c r="D231" s="15">
        <v>48</v>
      </c>
      <c r="E231" s="15">
        <v>48</v>
      </c>
      <c r="F231" t="b">
        <f t="shared" si="6"/>
        <v>1</v>
      </c>
      <c r="G231" t="str">
        <f t="shared" si="7"/>
        <v>Peru Chef</v>
      </c>
    </row>
    <row r="232" spans="1:7" x14ac:dyDescent="0.25">
      <c r="A232" t="s">
        <v>272</v>
      </c>
      <c r="B232" t="s">
        <v>273</v>
      </c>
      <c r="C232" t="s">
        <v>294</v>
      </c>
      <c r="D232" s="15">
        <v>30</v>
      </c>
      <c r="E232" s="15">
        <v>30</v>
      </c>
      <c r="F232" t="b">
        <f t="shared" si="6"/>
        <v>1</v>
      </c>
      <c r="G232" t="str">
        <f t="shared" si="7"/>
        <v>Peru Chef</v>
      </c>
    </row>
    <row r="233" spans="1:7" x14ac:dyDescent="0.25">
      <c r="A233" t="s">
        <v>272</v>
      </c>
      <c r="B233" t="s">
        <v>273</v>
      </c>
      <c r="C233" t="s">
        <v>274</v>
      </c>
      <c r="D233" s="15">
        <v>32.5</v>
      </c>
      <c r="E233" s="15">
        <v>32.5</v>
      </c>
      <c r="F233" t="b">
        <f t="shared" si="6"/>
        <v>1</v>
      </c>
      <c r="G233" t="str">
        <f t="shared" si="7"/>
        <v>Peru Chef</v>
      </c>
    </row>
    <row r="234" spans="1:7" x14ac:dyDescent="0.25">
      <c r="A234" t="s">
        <v>272</v>
      </c>
      <c r="B234" t="s">
        <v>273</v>
      </c>
      <c r="C234" t="s">
        <v>343</v>
      </c>
      <c r="D234" s="15">
        <v>50</v>
      </c>
      <c r="E234" s="15">
        <v>50</v>
      </c>
      <c r="F234" t="b">
        <f t="shared" si="6"/>
        <v>1</v>
      </c>
      <c r="G234" t="str">
        <f t="shared" si="7"/>
        <v>Peru Chef</v>
      </c>
    </row>
    <row r="235" spans="1:7" x14ac:dyDescent="0.25">
      <c r="A235" t="s">
        <v>272</v>
      </c>
      <c r="B235" t="s">
        <v>273</v>
      </c>
      <c r="C235" t="s">
        <v>392</v>
      </c>
      <c r="D235" s="15">
        <v>80</v>
      </c>
      <c r="E235" s="15">
        <v>80</v>
      </c>
      <c r="F235" t="b">
        <f t="shared" si="6"/>
        <v>1</v>
      </c>
      <c r="G235" t="str">
        <f t="shared" si="7"/>
        <v>Peru Chef</v>
      </c>
    </row>
    <row r="236" spans="1:7" x14ac:dyDescent="0.25">
      <c r="A236" t="s">
        <v>272</v>
      </c>
      <c r="B236" t="s">
        <v>273</v>
      </c>
      <c r="C236" t="s">
        <v>318</v>
      </c>
      <c r="D236" s="15">
        <v>30</v>
      </c>
      <c r="E236" s="15">
        <v>30</v>
      </c>
      <c r="F236" t="b">
        <f t="shared" si="6"/>
        <v>1</v>
      </c>
      <c r="G236" t="str">
        <f t="shared" si="7"/>
        <v>Peru Chef</v>
      </c>
    </row>
    <row r="237" spans="1:7" x14ac:dyDescent="0.25">
      <c r="A237" t="s">
        <v>272</v>
      </c>
      <c r="B237" t="s">
        <v>273</v>
      </c>
      <c r="C237" t="s">
        <v>322</v>
      </c>
      <c r="D237" s="15">
        <v>24</v>
      </c>
      <c r="E237" s="15">
        <v>24</v>
      </c>
      <c r="F237" t="b">
        <f t="shared" si="6"/>
        <v>1</v>
      </c>
      <c r="G237" t="str">
        <f t="shared" si="7"/>
        <v>Peru Chef</v>
      </c>
    </row>
    <row r="238" spans="1:7" x14ac:dyDescent="0.25">
      <c r="A238" t="s">
        <v>272</v>
      </c>
      <c r="B238" t="s">
        <v>273</v>
      </c>
      <c r="C238" t="s">
        <v>312</v>
      </c>
      <c r="D238" s="15">
        <v>24</v>
      </c>
      <c r="E238" s="15">
        <v>24</v>
      </c>
      <c r="F238" t="b">
        <f t="shared" si="6"/>
        <v>1</v>
      </c>
      <c r="G238" t="str">
        <f t="shared" si="7"/>
        <v>Peru Chef</v>
      </c>
    </row>
    <row r="239" spans="1:7" x14ac:dyDescent="0.25">
      <c r="A239" t="s">
        <v>272</v>
      </c>
      <c r="B239" t="s">
        <v>273</v>
      </c>
      <c r="C239" t="s">
        <v>394</v>
      </c>
      <c r="D239" s="15">
        <v>78</v>
      </c>
      <c r="E239" s="15">
        <v>78</v>
      </c>
      <c r="F239" t="b">
        <f t="shared" si="6"/>
        <v>1</v>
      </c>
      <c r="G239" t="str">
        <f t="shared" si="7"/>
        <v>Peru Chef</v>
      </c>
    </row>
    <row r="240" spans="1:7" x14ac:dyDescent="0.25">
      <c r="A240" t="s">
        <v>272</v>
      </c>
      <c r="B240" t="s">
        <v>273</v>
      </c>
      <c r="C240" t="s">
        <v>298</v>
      </c>
      <c r="D240" s="15">
        <v>17</v>
      </c>
      <c r="E240" s="15">
        <v>17</v>
      </c>
      <c r="F240" t="b">
        <f t="shared" si="6"/>
        <v>1</v>
      </c>
      <c r="G240" t="str">
        <f t="shared" si="7"/>
        <v>Peru Chef</v>
      </c>
    </row>
    <row r="241" spans="1:7" x14ac:dyDescent="0.25">
      <c r="A241" t="s">
        <v>272</v>
      </c>
      <c r="B241" t="s">
        <v>273</v>
      </c>
      <c r="C241" t="s">
        <v>296</v>
      </c>
      <c r="D241" s="15">
        <v>19</v>
      </c>
      <c r="E241" s="15">
        <v>19</v>
      </c>
      <c r="F241" t="b">
        <f t="shared" si="6"/>
        <v>1</v>
      </c>
      <c r="G241" t="str">
        <f t="shared" si="7"/>
        <v>Peru Chef</v>
      </c>
    </row>
    <row r="242" spans="1:7" x14ac:dyDescent="0.25">
      <c r="A242" t="s">
        <v>272</v>
      </c>
      <c r="B242" t="s">
        <v>273</v>
      </c>
      <c r="C242" t="s">
        <v>278</v>
      </c>
      <c r="D242" s="15">
        <v>36</v>
      </c>
      <c r="E242" s="15">
        <v>36</v>
      </c>
      <c r="F242" t="b">
        <f t="shared" si="6"/>
        <v>1</v>
      </c>
      <c r="G242" t="str">
        <f t="shared" si="7"/>
        <v>Peru Chef</v>
      </c>
    </row>
    <row r="243" spans="1:7" x14ac:dyDescent="0.25">
      <c r="A243" t="s">
        <v>272</v>
      </c>
      <c r="B243" t="s">
        <v>273</v>
      </c>
      <c r="C243" t="s">
        <v>280</v>
      </c>
      <c r="D243" s="15">
        <v>40</v>
      </c>
      <c r="E243" s="15">
        <v>40</v>
      </c>
      <c r="F243" t="b">
        <f t="shared" si="6"/>
        <v>1</v>
      </c>
      <c r="G243" t="str">
        <f t="shared" si="7"/>
        <v>Peru Chef</v>
      </c>
    </row>
    <row r="244" spans="1:7" x14ac:dyDescent="0.25">
      <c r="A244" t="s">
        <v>272</v>
      </c>
      <c r="B244" t="s">
        <v>273</v>
      </c>
      <c r="C244" t="s">
        <v>282</v>
      </c>
      <c r="D244" s="15">
        <v>60</v>
      </c>
      <c r="E244" s="15">
        <v>60</v>
      </c>
      <c r="F244" t="b">
        <f t="shared" si="6"/>
        <v>1</v>
      </c>
      <c r="G244" t="str">
        <f t="shared" si="7"/>
        <v>Peru Chef</v>
      </c>
    </row>
    <row r="245" spans="1:7" x14ac:dyDescent="0.25">
      <c r="A245" t="s">
        <v>272</v>
      </c>
      <c r="B245" t="s">
        <v>273</v>
      </c>
      <c r="C245" t="s">
        <v>302</v>
      </c>
      <c r="D245" s="15">
        <v>28</v>
      </c>
      <c r="E245" s="15">
        <v>28</v>
      </c>
      <c r="F245" t="b">
        <f t="shared" si="6"/>
        <v>1</v>
      </c>
      <c r="G245" t="str">
        <f t="shared" si="7"/>
        <v>Peru Chef</v>
      </c>
    </row>
    <row r="246" spans="1:7" x14ac:dyDescent="0.25">
      <c r="A246" t="s">
        <v>272</v>
      </c>
      <c r="B246" t="s">
        <v>273</v>
      </c>
      <c r="C246" t="s">
        <v>388</v>
      </c>
      <c r="D246" s="15">
        <v>55</v>
      </c>
      <c r="E246" s="15">
        <v>55</v>
      </c>
      <c r="F246" t="b">
        <f t="shared" si="6"/>
        <v>1</v>
      </c>
      <c r="G246" t="str">
        <f t="shared" si="7"/>
        <v>Peru Chef</v>
      </c>
    </row>
    <row r="247" spans="1:7" x14ac:dyDescent="0.25">
      <c r="A247" t="s">
        <v>272</v>
      </c>
      <c r="B247" t="s">
        <v>273</v>
      </c>
      <c r="C247" t="s">
        <v>286</v>
      </c>
      <c r="D247" s="15">
        <v>45</v>
      </c>
      <c r="E247" s="15">
        <v>45</v>
      </c>
      <c r="F247" t="b">
        <f t="shared" si="6"/>
        <v>1</v>
      </c>
      <c r="G247" t="str">
        <f t="shared" si="7"/>
        <v>Peru Chef</v>
      </c>
    </row>
    <row r="248" spans="1:7" x14ac:dyDescent="0.25">
      <c r="A248" t="s">
        <v>272</v>
      </c>
      <c r="B248" t="s">
        <v>273</v>
      </c>
      <c r="C248" t="s">
        <v>300</v>
      </c>
      <c r="D248" s="15">
        <v>19.8</v>
      </c>
      <c r="E248" s="15">
        <v>19.8</v>
      </c>
      <c r="F248" t="b">
        <f t="shared" si="6"/>
        <v>1</v>
      </c>
      <c r="G248" t="str">
        <f t="shared" si="7"/>
        <v>Peru Chef</v>
      </c>
    </row>
    <row r="249" spans="1:7" x14ac:dyDescent="0.25">
      <c r="A249" t="s">
        <v>272</v>
      </c>
      <c r="B249" t="s">
        <v>273</v>
      </c>
      <c r="C249" t="s">
        <v>320</v>
      </c>
      <c r="D249" s="15">
        <v>24</v>
      </c>
      <c r="E249" s="15">
        <v>24</v>
      </c>
      <c r="F249" t="b">
        <f t="shared" si="6"/>
        <v>1</v>
      </c>
      <c r="G249" t="str">
        <f t="shared" si="7"/>
        <v>Peru Chef</v>
      </c>
    </row>
    <row r="250" spans="1:7" x14ac:dyDescent="0.25">
      <c r="A250" t="s">
        <v>272</v>
      </c>
      <c r="B250" t="s">
        <v>273</v>
      </c>
      <c r="C250" t="s">
        <v>396</v>
      </c>
      <c r="D250" s="15">
        <v>72</v>
      </c>
      <c r="E250" s="15">
        <v>72</v>
      </c>
      <c r="F250" t="b">
        <f t="shared" si="6"/>
        <v>1</v>
      </c>
      <c r="G250" t="str">
        <f t="shared" si="7"/>
        <v>Peru Chef</v>
      </c>
    </row>
    <row r="251" spans="1:7" x14ac:dyDescent="0.25">
      <c r="A251" t="s">
        <v>272</v>
      </c>
      <c r="B251" t="s">
        <v>273</v>
      </c>
      <c r="C251" t="s">
        <v>122</v>
      </c>
      <c r="D251" s="15">
        <v>26</v>
      </c>
      <c r="E251" s="15">
        <v>26</v>
      </c>
      <c r="F251" t="b">
        <f t="shared" si="6"/>
        <v>1</v>
      </c>
      <c r="G251" t="str">
        <f t="shared" si="7"/>
        <v>Peru Chef</v>
      </c>
    </row>
    <row r="252" spans="1:7" x14ac:dyDescent="0.25">
      <c r="A252" t="s">
        <v>272</v>
      </c>
      <c r="B252" t="s">
        <v>273</v>
      </c>
      <c r="C252" t="s">
        <v>126</v>
      </c>
      <c r="D252" s="15">
        <v>28</v>
      </c>
      <c r="E252" s="15">
        <v>28</v>
      </c>
      <c r="F252" t="b">
        <f t="shared" si="6"/>
        <v>1</v>
      </c>
      <c r="G252" t="str">
        <f t="shared" si="7"/>
        <v>Peru Chef</v>
      </c>
    </row>
    <row r="253" spans="1:7" x14ac:dyDescent="0.25">
      <c r="A253" t="s">
        <v>272</v>
      </c>
      <c r="B253" t="s">
        <v>273</v>
      </c>
      <c r="C253" t="s">
        <v>128</v>
      </c>
      <c r="D253" s="15">
        <v>28</v>
      </c>
      <c r="E253" s="15">
        <v>28</v>
      </c>
      <c r="F253" t="b">
        <f t="shared" si="6"/>
        <v>1</v>
      </c>
      <c r="G253" t="str">
        <f t="shared" si="7"/>
        <v>Peru Chef</v>
      </c>
    </row>
    <row r="254" spans="1:7" x14ac:dyDescent="0.25">
      <c r="A254" t="s">
        <v>272</v>
      </c>
      <c r="B254" t="s">
        <v>273</v>
      </c>
      <c r="C254" t="s">
        <v>370</v>
      </c>
      <c r="D254" s="15">
        <v>8</v>
      </c>
      <c r="E254" s="15">
        <v>8</v>
      </c>
      <c r="F254" t="b">
        <f t="shared" si="6"/>
        <v>1</v>
      </c>
      <c r="G254" t="str">
        <f t="shared" si="7"/>
        <v>Peru Chef</v>
      </c>
    </row>
    <row r="255" spans="1:7" x14ac:dyDescent="0.25">
      <c r="A255" t="s">
        <v>272</v>
      </c>
      <c r="B255" t="s">
        <v>273</v>
      </c>
      <c r="C255" t="s">
        <v>366</v>
      </c>
      <c r="D255" s="15">
        <v>35</v>
      </c>
      <c r="E255" s="15">
        <v>35</v>
      </c>
      <c r="F255" t="b">
        <f t="shared" si="6"/>
        <v>1</v>
      </c>
      <c r="G255" t="str">
        <f t="shared" si="7"/>
        <v>Peru Chef</v>
      </c>
    </row>
    <row r="256" spans="1:7" x14ac:dyDescent="0.25">
      <c r="A256" t="s">
        <v>272</v>
      </c>
      <c r="B256" t="s">
        <v>273</v>
      </c>
      <c r="C256" t="s">
        <v>354</v>
      </c>
      <c r="D256" s="15">
        <v>16</v>
      </c>
      <c r="E256" s="15">
        <v>16</v>
      </c>
      <c r="F256" t="b">
        <f t="shared" si="6"/>
        <v>1</v>
      </c>
      <c r="G256" t="str">
        <f t="shared" si="7"/>
        <v>Peru Chef</v>
      </c>
    </row>
    <row r="257" spans="1:7" x14ac:dyDescent="0.25">
      <c r="A257" t="s">
        <v>272</v>
      </c>
      <c r="B257" t="s">
        <v>273</v>
      </c>
      <c r="C257" t="s">
        <v>356</v>
      </c>
      <c r="D257" s="15">
        <v>16</v>
      </c>
      <c r="E257" s="15">
        <v>16</v>
      </c>
      <c r="F257" t="b">
        <f t="shared" si="6"/>
        <v>1</v>
      </c>
      <c r="G257" t="str">
        <f t="shared" si="7"/>
        <v>Peru Chef</v>
      </c>
    </row>
    <row r="258" spans="1:7" x14ac:dyDescent="0.25">
      <c r="A258" t="s">
        <v>272</v>
      </c>
      <c r="B258" t="s">
        <v>273</v>
      </c>
      <c r="C258" t="s">
        <v>331</v>
      </c>
      <c r="D258" s="15">
        <v>31.8</v>
      </c>
      <c r="E258" s="15">
        <v>31.8</v>
      </c>
      <c r="F258" t="b">
        <f t="shared" si="6"/>
        <v>1</v>
      </c>
      <c r="G258" t="str">
        <f t="shared" si="7"/>
        <v>Peru Chef</v>
      </c>
    </row>
    <row r="259" spans="1:7" x14ac:dyDescent="0.25">
      <c r="A259" t="s">
        <v>272</v>
      </c>
      <c r="B259" t="s">
        <v>273</v>
      </c>
      <c r="C259" t="s">
        <v>333</v>
      </c>
      <c r="D259" s="15">
        <v>31.8</v>
      </c>
      <c r="E259" s="15">
        <v>31.8</v>
      </c>
      <c r="F259" t="b">
        <f t="shared" si="6"/>
        <v>1</v>
      </c>
      <c r="G259" t="str">
        <f t="shared" si="7"/>
        <v>Peru Chef</v>
      </c>
    </row>
    <row r="260" spans="1:7" x14ac:dyDescent="0.25">
      <c r="A260" t="s">
        <v>272</v>
      </c>
      <c r="B260" t="s">
        <v>273</v>
      </c>
      <c r="C260" t="s">
        <v>335</v>
      </c>
      <c r="D260" s="15">
        <v>31.8</v>
      </c>
      <c r="E260" s="15">
        <v>31.8</v>
      </c>
      <c r="F260" t="b">
        <f t="shared" si="6"/>
        <v>1</v>
      </c>
      <c r="G260" t="str">
        <f t="shared" si="7"/>
        <v>Peru Chef</v>
      </c>
    </row>
    <row r="261" spans="1:7" x14ac:dyDescent="0.25">
      <c r="A261" t="s">
        <v>272</v>
      </c>
      <c r="B261" t="s">
        <v>273</v>
      </c>
      <c r="C261" t="s">
        <v>368</v>
      </c>
      <c r="D261" s="15">
        <v>38</v>
      </c>
      <c r="E261" s="15">
        <v>38</v>
      </c>
      <c r="F261" t="b">
        <f t="shared" si="6"/>
        <v>1</v>
      </c>
      <c r="G261" t="str">
        <f t="shared" si="7"/>
        <v>Peru Chef</v>
      </c>
    </row>
    <row r="262" spans="1:7" x14ac:dyDescent="0.25">
      <c r="A262" t="s">
        <v>272</v>
      </c>
      <c r="B262" t="s">
        <v>398</v>
      </c>
      <c r="C262" t="s">
        <v>37</v>
      </c>
      <c r="D262" s="15">
        <v>99</v>
      </c>
      <c r="E262" s="15">
        <v>99</v>
      </c>
      <c r="F262" t="b">
        <f t="shared" ref="F262:F325" si="8">D262=E262</f>
        <v>1</v>
      </c>
      <c r="G262" t="str">
        <f t="shared" ref="G262:G325" si="9">+A262</f>
        <v>Peru Chef</v>
      </c>
    </row>
    <row r="263" spans="1:7" x14ac:dyDescent="0.25">
      <c r="A263" t="s">
        <v>272</v>
      </c>
      <c r="B263" t="s">
        <v>398</v>
      </c>
      <c r="C263" t="s">
        <v>328</v>
      </c>
      <c r="D263" s="15">
        <v>82.5</v>
      </c>
      <c r="E263" s="15">
        <v>82.5</v>
      </c>
      <c r="F263" t="b">
        <f t="shared" si="8"/>
        <v>1</v>
      </c>
      <c r="G263" t="str">
        <f t="shared" si="9"/>
        <v>Peru Chef</v>
      </c>
    </row>
    <row r="264" spans="1:7" x14ac:dyDescent="0.25">
      <c r="A264" t="s">
        <v>272</v>
      </c>
      <c r="B264" t="s">
        <v>398</v>
      </c>
      <c r="C264" t="s">
        <v>175</v>
      </c>
      <c r="D264" s="15">
        <v>27</v>
      </c>
      <c r="E264" s="15">
        <v>27</v>
      </c>
      <c r="F264" t="b">
        <f t="shared" si="8"/>
        <v>1</v>
      </c>
      <c r="G264" t="str">
        <f t="shared" si="9"/>
        <v>Peru Chef</v>
      </c>
    </row>
    <row r="265" spans="1:7" x14ac:dyDescent="0.25">
      <c r="A265" t="s">
        <v>272</v>
      </c>
      <c r="B265" t="s">
        <v>398</v>
      </c>
      <c r="C265" t="s">
        <v>380</v>
      </c>
      <c r="D265" s="15">
        <v>54</v>
      </c>
      <c r="E265" s="15">
        <v>54</v>
      </c>
      <c r="F265" t="b">
        <f t="shared" si="8"/>
        <v>1</v>
      </c>
      <c r="G265" t="str">
        <f t="shared" si="9"/>
        <v>Peru Chef</v>
      </c>
    </row>
    <row r="266" spans="1:7" x14ac:dyDescent="0.25">
      <c r="A266" t="s">
        <v>272</v>
      </c>
      <c r="B266" t="s">
        <v>398</v>
      </c>
      <c r="C266" t="s">
        <v>372</v>
      </c>
      <c r="D266" s="15">
        <v>36</v>
      </c>
      <c r="E266" s="15">
        <v>36</v>
      </c>
      <c r="F266" t="b">
        <f t="shared" si="8"/>
        <v>1</v>
      </c>
      <c r="G266" t="str">
        <f t="shared" si="9"/>
        <v>Peru Chef</v>
      </c>
    </row>
    <row r="267" spans="1:7" x14ac:dyDescent="0.25">
      <c r="A267" t="s">
        <v>272</v>
      </c>
      <c r="B267" t="s">
        <v>398</v>
      </c>
      <c r="C267" t="s">
        <v>72</v>
      </c>
      <c r="D267" s="15">
        <v>79.5</v>
      </c>
      <c r="E267" s="15">
        <v>79.5</v>
      </c>
      <c r="F267" t="b">
        <f t="shared" si="8"/>
        <v>1</v>
      </c>
      <c r="G267" t="str">
        <f t="shared" si="9"/>
        <v>Peru Chef</v>
      </c>
    </row>
    <row r="268" spans="1:7" x14ac:dyDescent="0.25">
      <c r="A268" t="s">
        <v>272</v>
      </c>
      <c r="B268" t="s">
        <v>398</v>
      </c>
      <c r="C268" t="s">
        <v>348</v>
      </c>
      <c r="D268" s="15">
        <v>16</v>
      </c>
      <c r="E268" s="15">
        <v>16</v>
      </c>
      <c r="F268" t="b">
        <f t="shared" si="8"/>
        <v>1</v>
      </c>
      <c r="G268" t="str">
        <f t="shared" si="9"/>
        <v>Peru Chef</v>
      </c>
    </row>
    <row r="269" spans="1:7" x14ac:dyDescent="0.25">
      <c r="A269" t="s">
        <v>272</v>
      </c>
      <c r="B269" t="s">
        <v>398</v>
      </c>
      <c r="C269" t="s">
        <v>350</v>
      </c>
      <c r="D269" s="15">
        <v>16</v>
      </c>
      <c r="E269" s="15">
        <v>16</v>
      </c>
      <c r="F269" t="b">
        <f t="shared" si="8"/>
        <v>1</v>
      </c>
      <c r="G269" t="str">
        <f t="shared" si="9"/>
        <v>Peru Chef</v>
      </c>
    </row>
    <row r="270" spans="1:7" x14ac:dyDescent="0.25">
      <c r="A270" t="s">
        <v>272</v>
      </c>
      <c r="B270" t="s">
        <v>398</v>
      </c>
      <c r="C270" t="s">
        <v>364</v>
      </c>
      <c r="D270" s="15">
        <v>17</v>
      </c>
      <c r="E270" s="15">
        <v>17</v>
      </c>
      <c r="F270" t="b">
        <f t="shared" si="8"/>
        <v>1</v>
      </c>
      <c r="G270" t="str">
        <f t="shared" si="9"/>
        <v>Peru Chef</v>
      </c>
    </row>
    <row r="271" spans="1:7" x14ac:dyDescent="0.25">
      <c r="A271" t="s">
        <v>272</v>
      </c>
      <c r="B271" t="s">
        <v>398</v>
      </c>
      <c r="C271" t="s">
        <v>360</v>
      </c>
      <c r="D271" s="15">
        <v>17</v>
      </c>
      <c r="E271" s="15">
        <v>17</v>
      </c>
      <c r="F271" t="b">
        <f t="shared" si="8"/>
        <v>1</v>
      </c>
      <c r="G271" t="str">
        <f t="shared" si="9"/>
        <v>Peru Chef</v>
      </c>
    </row>
    <row r="272" spans="1:7" x14ac:dyDescent="0.25">
      <c r="A272" t="s">
        <v>272</v>
      </c>
      <c r="B272" t="s">
        <v>398</v>
      </c>
      <c r="C272" t="s">
        <v>358</v>
      </c>
      <c r="D272" s="15">
        <v>17</v>
      </c>
      <c r="E272" s="15">
        <v>17</v>
      </c>
      <c r="F272" t="b">
        <f t="shared" si="8"/>
        <v>1</v>
      </c>
      <c r="G272" t="str">
        <f t="shared" si="9"/>
        <v>Peru Chef</v>
      </c>
    </row>
    <row r="273" spans="1:7" x14ac:dyDescent="0.25">
      <c r="A273" t="s">
        <v>272</v>
      </c>
      <c r="B273" t="s">
        <v>398</v>
      </c>
      <c r="C273" t="s">
        <v>381</v>
      </c>
      <c r="D273" s="15">
        <v>115</v>
      </c>
      <c r="E273" s="15">
        <v>115</v>
      </c>
      <c r="F273" t="b">
        <f t="shared" si="8"/>
        <v>1</v>
      </c>
      <c r="G273" t="str">
        <f t="shared" si="9"/>
        <v>Peru Chef</v>
      </c>
    </row>
    <row r="274" spans="1:7" x14ac:dyDescent="0.25">
      <c r="A274" t="s">
        <v>272</v>
      </c>
      <c r="B274" t="s">
        <v>398</v>
      </c>
      <c r="C274" t="s">
        <v>339</v>
      </c>
      <c r="D274" s="15">
        <v>42</v>
      </c>
      <c r="E274" s="15">
        <v>42</v>
      </c>
      <c r="F274" t="b">
        <f t="shared" si="8"/>
        <v>1</v>
      </c>
      <c r="G274" t="str">
        <f t="shared" si="9"/>
        <v>Peru Chef</v>
      </c>
    </row>
    <row r="275" spans="1:7" x14ac:dyDescent="0.25">
      <c r="A275" t="s">
        <v>272</v>
      </c>
      <c r="B275" t="s">
        <v>398</v>
      </c>
      <c r="C275" t="s">
        <v>337</v>
      </c>
      <c r="D275" s="15">
        <v>39</v>
      </c>
      <c r="E275" s="15">
        <v>39</v>
      </c>
      <c r="F275" t="b">
        <f t="shared" si="8"/>
        <v>1</v>
      </c>
      <c r="G275" t="str">
        <f t="shared" si="9"/>
        <v>Peru Chef</v>
      </c>
    </row>
    <row r="276" spans="1:7" x14ac:dyDescent="0.25">
      <c r="A276" t="s">
        <v>272</v>
      </c>
      <c r="B276" t="s">
        <v>398</v>
      </c>
      <c r="C276" t="s">
        <v>386</v>
      </c>
      <c r="D276" s="15">
        <v>46</v>
      </c>
      <c r="E276" s="15">
        <v>46</v>
      </c>
      <c r="F276" t="b">
        <f t="shared" si="8"/>
        <v>1</v>
      </c>
      <c r="G276" t="str">
        <f t="shared" si="9"/>
        <v>Peru Chef</v>
      </c>
    </row>
    <row r="277" spans="1:7" x14ac:dyDescent="0.25">
      <c r="A277" t="s">
        <v>272</v>
      </c>
      <c r="B277" t="s">
        <v>398</v>
      </c>
      <c r="C277" t="s">
        <v>390</v>
      </c>
      <c r="D277" s="15">
        <v>39</v>
      </c>
      <c r="E277" s="15">
        <v>39</v>
      </c>
      <c r="F277" t="b">
        <f t="shared" si="8"/>
        <v>1</v>
      </c>
      <c r="G277" t="str">
        <f t="shared" si="9"/>
        <v>Peru Chef</v>
      </c>
    </row>
    <row r="278" spans="1:7" x14ac:dyDescent="0.25">
      <c r="A278" t="s">
        <v>272</v>
      </c>
      <c r="B278" t="s">
        <v>398</v>
      </c>
      <c r="C278" t="s">
        <v>324</v>
      </c>
      <c r="D278" s="15">
        <v>26</v>
      </c>
      <c r="E278" s="15">
        <v>26</v>
      </c>
      <c r="F278" t="b">
        <f t="shared" si="8"/>
        <v>1</v>
      </c>
      <c r="G278" t="str">
        <f t="shared" si="9"/>
        <v>Peru Chef</v>
      </c>
    </row>
    <row r="279" spans="1:7" x14ac:dyDescent="0.25">
      <c r="A279" t="s">
        <v>272</v>
      </c>
      <c r="B279" t="s">
        <v>398</v>
      </c>
      <c r="C279" t="s">
        <v>304</v>
      </c>
      <c r="D279" s="15">
        <v>13</v>
      </c>
      <c r="E279" s="15">
        <v>13</v>
      </c>
      <c r="F279" t="b">
        <f t="shared" si="8"/>
        <v>1</v>
      </c>
      <c r="G279" t="str">
        <f t="shared" si="9"/>
        <v>Peru Chef</v>
      </c>
    </row>
    <row r="280" spans="1:7" x14ac:dyDescent="0.25">
      <c r="A280" t="s">
        <v>272</v>
      </c>
      <c r="B280" t="s">
        <v>398</v>
      </c>
      <c r="C280" t="s">
        <v>341</v>
      </c>
      <c r="D280" s="15">
        <v>39</v>
      </c>
      <c r="E280" s="15">
        <v>39</v>
      </c>
      <c r="F280" t="b">
        <f t="shared" si="8"/>
        <v>1</v>
      </c>
      <c r="G280" t="str">
        <f t="shared" si="9"/>
        <v>Peru Chef</v>
      </c>
    </row>
    <row r="281" spans="1:7" x14ac:dyDescent="0.25">
      <c r="A281" t="s">
        <v>272</v>
      </c>
      <c r="B281" t="s">
        <v>398</v>
      </c>
      <c r="C281" t="s">
        <v>378</v>
      </c>
      <c r="D281" s="15">
        <v>12.5</v>
      </c>
      <c r="E281" s="15">
        <v>12.5</v>
      </c>
      <c r="F281" t="b">
        <f t="shared" si="8"/>
        <v>1</v>
      </c>
      <c r="G281" t="str">
        <f t="shared" si="9"/>
        <v>Peru Chef</v>
      </c>
    </row>
    <row r="282" spans="1:7" x14ac:dyDescent="0.25">
      <c r="A282" t="s">
        <v>272</v>
      </c>
      <c r="B282" t="s">
        <v>398</v>
      </c>
      <c r="C282" t="s">
        <v>384</v>
      </c>
      <c r="D282" s="15">
        <v>66</v>
      </c>
      <c r="E282" s="15">
        <v>66</v>
      </c>
      <c r="F282" t="b">
        <f t="shared" si="8"/>
        <v>1</v>
      </c>
      <c r="G282" t="str">
        <f t="shared" si="9"/>
        <v>Peru Chef</v>
      </c>
    </row>
    <row r="283" spans="1:7" x14ac:dyDescent="0.25">
      <c r="A283" t="s">
        <v>272</v>
      </c>
      <c r="B283" t="s">
        <v>398</v>
      </c>
      <c r="C283" t="s">
        <v>310</v>
      </c>
      <c r="D283" s="15">
        <v>22</v>
      </c>
      <c r="E283" s="15">
        <v>22</v>
      </c>
      <c r="F283" t="b">
        <f t="shared" si="8"/>
        <v>1</v>
      </c>
      <c r="G283" t="str">
        <f t="shared" si="9"/>
        <v>Peru Chef</v>
      </c>
    </row>
    <row r="284" spans="1:7" x14ac:dyDescent="0.25">
      <c r="A284" t="s">
        <v>272</v>
      </c>
      <c r="B284" t="s">
        <v>398</v>
      </c>
      <c r="C284" t="s">
        <v>284</v>
      </c>
      <c r="D284" s="15">
        <v>36</v>
      </c>
      <c r="E284" s="15">
        <v>36</v>
      </c>
      <c r="F284" t="b">
        <f t="shared" si="8"/>
        <v>1</v>
      </c>
      <c r="G284" t="str">
        <f t="shared" si="9"/>
        <v>Peru Chef</v>
      </c>
    </row>
    <row r="285" spans="1:7" x14ac:dyDescent="0.25">
      <c r="A285" t="s">
        <v>272</v>
      </c>
      <c r="B285" t="s">
        <v>398</v>
      </c>
      <c r="C285" t="s">
        <v>376</v>
      </c>
      <c r="D285" s="15">
        <v>19</v>
      </c>
      <c r="E285" s="15">
        <v>19</v>
      </c>
      <c r="F285" t="b">
        <f t="shared" si="8"/>
        <v>1</v>
      </c>
      <c r="G285" t="str">
        <f t="shared" si="9"/>
        <v>Peru Chef</v>
      </c>
    </row>
    <row r="286" spans="1:7" x14ac:dyDescent="0.25">
      <c r="A286" t="s">
        <v>272</v>
      </c>
      <c r="B286" t="s">
        <v>398</v>
      </c>
      <c r="C286" t="s">
        <v>306</v>
      </c>
      <c r="D286" s="15">
        <v>30</v>
      </c>
      <c r="E286" s="15">
        <v>30</v>
      </c>
      <c r="F286" t="b">
        <f t="shared" si="8"/>
        <v>1</v>
      </c>
      <c r="G286" t="str">
        <f t="shared" si="9"/>
        <v>Peru Chef</v>
      </c>
    </row>
    <row r="287" spans="1:7" x14ac:dyDescent="0.25">
      <c r="A287" t="s">
        <v>272</v>
      </c>
      <c r="B287" t="s">
        <v>398</v>
      </c>
      <c r="C287" t="s">
        <v>382</v>
      </c>
      <c r="D287" s="15">
        <v>21</v>
      </c>
      <c r="E287" s="15">
        <v>21</v>
      </c>
      <c r="F287" t="b">
        <f t="shared" si="8"/>
        <v>1</v>
      </c>
      <c r="G287" t="str">
        <f t="shared" si="9"/>
        <v>Peru Chef</v>
      </c>
    </row>
    <row r="288" spans="1:7" x14ac:dyDescent="0.25">
      <c r="A288" t="s">
        <v>272</v>
      </c>
      <c r="B288" t="s">
        <v>398</v>
      </c>
      <c r="C288" t="s">
        <v>316</v>
      </c>
      <c r="D288" s="15">
        <v>24</v>
      </c>
      <c r="E288" s="15">
        <v>24</v>
      </c>
      <c r="F288" t="b">
        <f t="shared" si="8"/>
        <v>1</v>
      </c>
      <c r="G288" t="str">
        <f t="shared" si="9"/>
        <v>Peru Chef</v>
      </c>
    </row>
    <row r="289" spans="1:7" x14ac:dyDescent="0.25">
      <c r="A289" t="s">
        <v>272</v>
      </c>
      <c r="B289" t="s">
        <v>398</v>
      </c>
      <c r="C289" t="s">
        <v>308</v>
      </c>
      <c r="D289" s="15">
        <v>25</v>
      </c>
      <c r="E289" s="15">
        <v>25</v>
      </c>
      <c r="F289" t="b">
        <f t="shared" si="8"/>
        <v>1</v>
      </c>
      <c r="G289" t="str">
        <f t="shared" si="9"/>
        <v>Peru Chef</v>
      </c>
    </row>
    <row r="290" spans="1:7" x14ac:dyDescent="0.25">
      <c r="A290" t="s">
        <v>272</v>
      </c>
      <c r="B290" t="s">
        <v>398</v>
      </c>
      <c r="C290" t="s">
        <v>314</v>
      </c>
      <c r="D290" s="15">
        <v>36</v>
      </c>
      <c r="E290" s="15">
        <v>36</v>
      </c>
      <c r="F290" t="b">
        <f t="shared" si="8"/>
        <v>1</v>
      </c>
      <c r="G290" t="str">
        <f t="shared" si="9"/>
        <v>Peru Chef</v>
      </c>
    </row>
    <row r="291" spans="1:7" x14ac:dyDescent="0.25">
      <c r="A291" t="s">
        <v>272</v>
      </c>
      <c r="B291" t="s">
        <v>398</v>
      </c>
      <c r="C291" t="s">
        <v>326</v>
      </c>
      <c r="D291" s="15">
        <v>28</v>
      </c>
      <c r="E291" s="15">
        <v>28</v>
      </c>
      <c r="F291" t="b">
        <f t="shared" si="8"/>
        <v>1</v>
      </c>
      <c r="G291" t="str">
        <f t="shared" si="9"/>
        <v>Peru Chef</v>
      </c>
    </row>
    <row r="292" spans="1:7" x14ac:dyDescent="0.25">
      <c r="A292" t="s">
        <v>272</v>
      </c>
      <c r="B292" t="s">
        <v>398</v>
      </c>
      <c r="C292" t="s">
        <v>292</v>
      </c>
      <c r="D292" s="15">
        <v>28</v>
      </c>
      <c r="E292" s="15">
        <v>28</v>
      </c>
      <c r="F292" t="b">
        <f t="shared" si="8"/>
        <v>1</v>
      </c>
      <c r="G292" t="str">
        <f t="shared" si="9"/>
        <v>Peru Chef</v>
      </c>
    </row>
    <row r="293" spans="1:7" x14ac:dyDescent="0.25">
      <c r="A293" t="s">
        <v>272</v>
      </c>
      <c r="B293" t="s">
        <v>398</v>
      </c>
      <c r="C293" t="s">
        <v>290</v>
      </c>
      <c r="D293" s="15">
        <v>28</v>
      </c>
      <c r="E293" s="15">
        <v>28</v>
      </c>
      <c r="F293" t="b">
        <f t="shared" si="8"/>
        <v>1</v>
      </c>
      <c r="G293" t="str">
        <f t="shared" si="9"/>
        <v>Peru Chef</v>
      </c>
    </row>
    <row r="294" spans="1:7" x14ac:dyDescent="0.25">
      <c r="A294" t="s">
        <v>272</v>
      </c>
      <c r="B294" t="s">
        <v>398</v>
      </c>
      <c r="C294" t="s">
        <v>288</v>
      </c>
      <c r="D294" s="15">
        <v>48</v>
      </c>
      <c r="E294" s="15">
        <v>48</v>
      </c>
      <c r="F294" t="b">
        <f t="shared" si="8"/>
        <v>1</v>
      </c>
      <c r="G294" t="str">
        <f t="shared" si="9"/>
        <v>Peru Chef</v>
      </c>
    </row>
    <row r="295" spans="1:7" x14ac:dyDescent="0.25">
      <c r="A295" t="s">
        <v>272</v>
      </c>
      <c r="B295" t="s">
        <v>398</v>
      </c>
      <c r="C295" t="s">
        <v>294</v>
      </c>
      <c r="D295" s="15">
        <v>30</v>
      </c>
      <c r="E295" s="15">
        <v>30</v>
      </c>
      <c r="F295" t="b">
        <f t="shared" si="8"/>
        <v>1</v>
      </c>
      <c r="G295" t="str">
        <f t="shared" si="9"/>
        <v>Peru Chef</v>
      </c>
    </row>
    <row r="296" spans="1:7" x14ac:dyDescent="0.25">
      <c r="A296" t="s">
        <v>272</v>
      </c>
      <c r="B296" t="s">
        <v>398</v>
      </c>
      <c r="C296" t="s">
        <v>343</v>
      </c>
      <c r="D296" s="15">
        <v>50</v>
      </c>
      <c r="E296" s="15">
        <v>50</v>
      </c>
      <c r="F296" t="b">
        <f t="shared" si="8"/>
        <v>1</v>
      </c>
      <c r="G296" t="str">
        <f t="shared" si="9"/>
        <v>Peru Chef</v>
      </c>
    </row>
    <row r="297" spans="1:7" x14ac:dyDescent="0.25">
      <c r="A297" t="s">
        <v>272</v>
      </c>
      <c r="B297" t="s">
        <v>398</v>
      </c>
      <c r="C297" t="s">
        <v>392</v>
      </c>
      <c r="D297" s="15">
        <v>80</v>
      </c>
      <c r="E297" s="15">
        <v>80</v>
      </c>
      <c r="F297" t="b">
        <f t="shared" si="8"/>
        <v>1</v>
      </c>
      <c r="G297" t="str">
        <f t="shared" si="9"/>
        <v>Peru Chef</v>
      </c>
    </row>
    <row r="298" spans="1:7" x14ac:dyDescent="0.25">
      <c r="A298" t="s">
        <v>272</v>
      </c>
      <c r="B298" t="s">
        <v>398</v>
      </c>
      <c r="C298" t="s">
        <v>318</v>
      </c>
      <c r="D298" s="15">
        <v>30</v>
      </c>
      <c r="E298" s="15">
        <v>30</v>
      </c>
      <c r="F298" t="b">
        <f t="shared" si="8"/>
        <v>1</v>
      </c>
      <c r="G298" t="str">
        <f t="shared" si="9"/>
        <v>Peru Chef</v>
      </c>
    </row>
    <row r="299" spans="1:7" x14ac:dyDescent="0.25">
      <c r="A299" t="s">
        <v>272</v>
      </c>
      <c r="B299" t="s">
        <v>398</v>
      </c>
      <c r="C299" t="s">
        <v>322</v>
      </c>
      <c r="D299" s="15">
        <v>24</v>
      </c>
      <c r="E299" s="15">
        <v>24</v>
      </c>
      <c r="F299" t="b">
        <f t="shared" si="8"/>
        <v>1</v>
      </c>
      <c r="G299" t="str">
        <f t="shared" si="9"/>
        <v>Peru Chef</v>
      </c>
    </row>
    <row r="300" spans="1:7" x14ac:dyDescent="0.25">
      <c r="A300" t="s">
        <v>272</v>
      </c>
      <c r="B300" t="s">
        <v>398</v>
      </c>
      <c r="C300" t="s">
        <v>312</v>
      </c>
      <c r="D300" s="15">
        <v>24</v>
      </c>
      <c r="E300" s="15">
        <v>24</v>
      </c>
      <c r="F300" t="b">
        <f t="shared" si="8"/>
        <v>1</v>
      </c>
      <c r="G300" t="str">
        <f t="shared" si="9"/>
        <v>Peru Chef</v>
      </c>
    </row>
    <row r="301" spans="1:7" x14ac:dyDescent="0.25">
      <c r="A301" t="s">
        <v>272</v>
      </c>
      <c r="B301" t="s">
        <v>398</v>
      </c>
      <c r="C301" t="s">
        <v>394</v>
      </c>
      <c r="D301" s="15">
        <v>78</v>
      </c>
      <c r="E301" s="15">
        <v>78</v>
      </c>
      <c r="F301" t="b">
        <f t="shared" si="8"/>
        <v>1</v>
      </c>
      <c r="G301" t="str">
        <f t="shared" si="9"/>
        <v>Peru Chef</v>
      </c>
    </row>
    <row r="302" spans="1:7" x14ac:dyDescent="0.25">
      <c r="A302" t="s">
        <v>272</v>
      </c>
      <c r="B302" t="s">
        <v>398</v>
      </c>
      <c r="C302" t="s">
        <v>298</v>
      </c>
      <c r="D302" s="15">
        <v>17</v>
      </c>
      <c r="E302" s="15">
        <v>17</v>
      </c>
      <c r="F302" t="b">
        <f t="shared" si="8"/>
        <v>1</v>
      </c>
      <c r="G302" t="str">
        <f t="shared" si="9"/>
        <v>Peru Chef</v>
      </c>
    </row>
    <row r="303" spans="1:7" x14ac:dyDescent="0.25">
      <c r="A303" t="s">
        <v>272</v>
      </c>
      <c r="B303" t="s">
        <v>398</v>
      </c>
      <c r="C303" t="s">
        <v>296</v>
      </c>
      <c r="D303" s="15">
        <v>19</v>
      </c>
      <c r="E303" s="15">
        <v>19</v>
      </c>
      <c r="F303" t="b">
        <f t="shared" si="8"/>
        <v>1</v>
      </c>
      <c r="G303" t="str">
        <f t="shared" si="9"/>
        <v>Peru Chef</v>
      </c>
    </row>
    <row r="304" spans="1:7" x14ac:dyDescent="0.25">
      <c r="A304" t="s">
        <v>272</v>
      </c>
      <c r="B304" t="s">
        <v>398</v>
      </c>
      <c r="C304" t="s">
        <v>278</v>
      </c>
      <c r="D304" s="15">
        <v>36</v>
      </c>
      <c r="E304" s="15">
        <v>36</v>
      </c>
      <c r="F304" t="b">
        <f t="shared" si="8"/>
        <v>1</v>
      </c>
      <c r="G304" t="str">
        <f t="shared" si="9"/>
        <v>Peru Chef</v>
      </c>
    </row>
    <row r="305" spans="1:7" x14ac:dyDescent="0.25">
      <c r="A305" t="s">
        <v>272</v>
      </c>
      <c r="B305" t="s">
        <v>398</v>
      </c>
      <c r="C305" t="s">
        <v>280</v>
      </c>
      <c r="D305" s="15">
        <v>40</v>
      </c>
      <c r="E305" s="15">
        <v>40</v>
      </c>
      <c r="F305" t="b">
        <f t="shared" si="8"/>
        <v>1</v>
      </c>
      <c r="G305" t="str">
        <f t="shared" si="9"/>
        <v>Peru Chef</v>
      </c>
    </row>
    <row r="306" spans="1:7" x14ac:dyDescent="0.25">
      <c r="A306" t="s">
        <v>272</v>
      </c>
      <c r="B306" t="s">
        <v>398</v>
      </c>
      <c r="C306" t="s">
        <v>282</v>
      </c>
      <c r="D306" s="15">
        <v>60</v>
      </c>
      <c r="E306" s="15">
        <v>60</v>
      </c>
      <c r="F306" t="b">
        <f t="shared" si="8"/>
        <v>1</v>
      </c>
      <c r="G306" t="str">
        <f t="shared" si="9"/>
        <v>Peru Chef</v>
      </c>
    </row>
    <row r="307" spans="1:7" x14ac:dyDescent="0.25">
      <c r="A307" t="s">
        <v>272</v>
      </c>
      <c r="B307" t="s">
        <v>398</v>
      </c>
      <c r="C307" t="s">
        <v>302</v>
      </c>
      <c r="D307" s="15">
        <v>28</v>
      </c>
      <c r="E307" s="15">
        <v>28</v>
      </c>
      <c r="F307" t="b">
        <f t="shared" si="8"/>
        <v>1</v>
      </c>
      <c r="G307" t="str">
        <f t="shared" si="9"/>
        <v>Peru Chef</v>
      </c>
    </row>
    <row r="308" spans="1:7" x14ac:dyDescent="0.25">
      <c r="A308" t="s">
        <v>272</v>
      </c>
      <c r="B308" t="s">
        <v>398</v>
      </c>
      <c r="C308" t="s">
        <v>388</v>
      </c>
      <c r="D308" s="15">
        <v>55</v>
      </c>
      <c r="E308" s="15">
        <v>55</v>
      </c>
      <c r="F308" t="b">
        <f t="shared" si="8"/>
        <v>1</v>
      </c>
      <c r="G308" t="str">
        <f t="shared" si="9"/>
        <v>Peru Chef</v>
      </c>
    </row>
    <row r="309" spans="1:7" x14ac:dyDescent="0.25">
      <c r="A309" t="s">
        <v>272</v>
      </c>
      <c r="B309" t="s">
        <v>398</v>
      </c>
      <c r="C309" t="s">
        <v>286</v>
      </c>
      <c r="D309" s="15">
        <v>45</v>
      </c>
      <c r="E309" s="15">
        <v>45</v>
      </c>
      <c r="F309" t="b">
        <f t="shared" si="8"/>
        <v>1</v>
      </c>
      <c r="G309" t="str">
        <f t="shared" si="9"/>
        <v>Peru Chef</v>
      </c>
    </row>
    <row r="310" spans="1:7" x14ac:dyDescent="0.25">
      <c r="A310" t="s">
        <v>272</v>
      </c>
      <c r="B310" t="s">
        <v>398</v>
      </c>
      <c r="C310" t="s">
        <v>402</v>
      </c>
      <c r="D310" s="15">
        <v>30</v>
      </c>
      <c r="E310" s="15">
        <v>30</v>
      </c>
      <c r="F310" t="b">
        <f t="shared" si="8"/>
        <v>1</v>
      </c>
      <c r="G310" t="str">
        <f t="shared" si="9"/>
        <v>Peru Chef</v>
      </c>
    </row>
    <row r="311" spans="1:7" x14ac:dyDescent="0.25">
      <c r="A311" t="s">
        <v>272</v>
      </c>
      <c r="B311" t="s">
        <v>398</v>
      </c>
      <c r="C311" t="s">
        <v>404</v>
      </c>
      <c r="D311" s="15">
        <v>30</v>
      </c>
      <c r="E311" s="15">
        <v>30</v>
      </c>
      <c r="F311" t="b">
        <f t="shared" si="8"/>
        <v>1</v>
      </c>
      <c r="G311" t="str">
        <f t="shared" si="9"/>
        <v>Peru Chef</v>
      </c>
    </row>
    <row r="312" spans="1:7" x14ac:dyDescent="0.25">
      <c r="A312" t="s">
        <v>272</v>
      </c>
      <c r="B312" t="s">
        <v>398</v>
      </c>
      <c r="C312" t="s">
        <v>406</v>
      </c>
      <c r="D312" s="15">
        <v>30</v>
      </c>
      <c r="E312" s="15">
        <v>30</v>
      </c>
      <c r="F312" t="b">
        <f t="shared" si="8"/>
        <v>1</v>
      </c>
      <c r="G312" t="str">
        <f t="shared" si="9"/>
        <v>Peru Chef</v>
      </c>
    </row>
    <row r="313" spans="1:7" x14ac:dyDescent="0.25">
      <c r="A313" t="s">
        <v>272</v>
      </c>
      <c r="B313" t="s">
        <v>398</v>
      </c>
      <c r="C313" t="s">
        <v>300</v>
      </c>
      <c r="D313" s="15">
        <v>19.8</v>
      </c>
      <c r="E313" s="15">
        <v>19.8</v>
      </c>
      <c r="F313" t="b">
        <f t="shared" si="8"/>
        <v>1</v>
      </c>
      <c r="G313" t="str">
        <f t="shared" si="9"/>
        <v>Peru Chef</v>
      </c>
    </row>
    <row r="314" spans="1:7" x14ac:dyDescent="0.25">
      <c r="A314" t="s">
        <v>272</v>
      </c>
      <c r="B314" t="s">
        <v>398</v>
      </c>
      <c r="C314" t="s">
        <v>320</v>
      </c>
      <c r="D314" s="15">
        <v>24</v>
      </c>
      <c r="E314" s="15">
        <v>24</v>
      </c>
      <c r="F314" t="b">
        <f t="shared" si="8"/>
        <v>1</v>
      </c>
      <c r="G314" t="str">
        <f t="shared" si="9"/>
        <v>Peru Chef</v>
      </c>
    </row>
    <row r="315" spans="1:7" x14ac:dyDescent="0.25">
      <c r="A315" t="s">
        <v>272</v>
      </c>
      <c r="B315" t="s">
        <v>398</v>
      </c>
      <c r="C315" t="s">
        <v>396</v>
      </c>
      <c r="D315" s="15">
        <v>72</v>
      </c>
      <c r="E315" s="15">
        <v>72</v>
      </c>
      <c r="F315" t="b">
        <f t="shared" si="8"/>
        <v>1</v>
      </c>
      <c r="G315" t="str">
        <f t="shared" si="9"/>
        <v>Peru Chef</v>
      </c>
    </row>
    <row r="316" spans="1:7" x14ac:dyDescent="0.25">
      <c r="A316" t="s">
        <v>272</v>
      </c>
      <c r="B316" t="s">
        <v>398</v>
      </c>
      <c r="C316" t="s">
        <v>122</v>
      </c>
      <c r="D316" s="15">
        <v>26</v>
      </c>
      <c r="E316" s="15">
        <v>26</v>
      </c>
      <c r="F316" t="b">
        <f t="shared" si="8"/>
        <v>1</v>
      </c>
      <c r="G316" t="str">
        <f t="shared" si="9"/>
        <v>Peru Chef</v>
      </c>
    </row>
    <row r="317" spans="1:7" x14ac:dyDescent="0.25">
      <c r="A317" t="s">
        <v>272</v>
      </c>
      <c r="B317" t="s">
        <v>398</v>
      </c>
      <c r="C317" t="s">
        <v>126</v>
      </c>
      <c r="D317" s="15">
        <v>28</v>
      </c>
      <c r="E317" s="15">
        <v>28</v>
      </c>
      <c r="F317" t="b">
        <f t="shared" si="8"/>
        <v>1</v>
      </c>
      <c r="G317" t="str">
        <f t="shared" si="9"/>
        <v>Peru Chef</v>
      </c>
    </row>
    <row r="318" spans="1:7" x14ac:dyDescent="0.25">
      <c r="A318" t="s">
        <v>272</v>
      </c>
      <c r="B318" t="s">
        <v>398</v>
      </c>
      <c r="C318" t="s">
        <v>128</v>
      </c>
      <c r="D318" s="15">
        <v>28</v>
      </c>
      <c r="E318" s="15">
        <v>28</v>
      </c>
      <c r="F318" t="b">
        <f t="shared" si="8"/>
        <v>1</v>
      </c>
      <c r="G318" t="str">
        <f t="shared" si="9"/>
        <v>Peru Chef</v>
      </c>
    </row>
    <row r="319" spans="1:7" x14ac:dyDescent="0.25">
      <c r="A319" t="s">
        <v>272</v>
      </c>
      <c r="B319" t="s">
        <v>398</v>
      </c>
      <c r="C319" t="s">
        <v>370</v>
      </c>
      <c r="D319" s="15">
        <v>8</v>
      </c>
      <c r="E319" s="15">
        <v>8</v>
      </c>
      <c r="F319" t="b">
        <f t="shared" si="8"/>
        <v>1</v>
      </c>
      <c r="G319" t="str">
        <f t="shared" si="9"/>
        <v>Peru Chef</v>
      </c>
    </row>
    <row r="320" spans="1:7" x14ac:dyDescent="0.25">
      <c r="A320" t="s">
        <v>272</v>
      </c>
      <c r="B320" t="s">
        <v>398</v>
      </c>
      <c r="C320" t="s">
        <v>366</v>
      </c>
      <c r="D320" s="15">
        <v>35</v>
      </c>
      <c r="E320" s="15">
        <v>35</v>
      </c>
      <c r="F320" t="b">
        <f t="shared" si="8"/>
        <v>1</v>
      </c>
      <c r="G320" t="str">
        <f t="shared" si="9"/>
        <v>Peru Chef</v>
      </c>
    </row>
    <row r="321" spans="1:7" x14ac:dyDescent="0.25">
      <c r="A321" t="s">
        <v>272</v>
      </c>
      <c r="B321" t="s">
        <v>398</v>
      </c>
      <c r="C321" t="s">
        <v>354</v>
      </c>
      <c r="D321" s="15">
        <v>16</v>
      </c>
      <c r="E321" s="15">
        <v>16</v>
      </c>
      <c r="F321" t="b">
        <f t="shared" si="8"/>
        <v>1</v>
      </c>
      <c r="G321" t="str">
        <f t="shared" si="9"/>
        <v>Peru Chef</v>
      </c>
    </row>
    <row r="322" spans="1:7" x14ac:dyDescent="0.25">
      <c r="A322" t="s">
        <v>272</v>
      </c>
      <c r="B322" t="s">
        <v>398</v>
      </c>
      <c r="C322" t="s">
        <v>356</v>
      </c>
      <c r="D322" s="15">
        <v>16</v>
      </c>
      <c r="E322" s="15">
        <v>16</v>
      </c>
      <c r="F322" t="b">
        <f t="shared" si="8"/>
        <v>1</v>
      </c>
      <c r="G322" t="str">
        <f t="shared" si="9"/>
        <v>Peru Chef</v>
      </c>
    </row>
    <row r="323" spans="1:7" x14ac:dyDescent="0.25">
      <c r="A323" t="s">
        <v>272</v>
      </c>
      <c r="B323" t="s">
        <v>408</v>
      </c>
      <c r="C323" t="s">
        <v>175</v>
      </c>
      <c r="D323" s="15">
        <v>27</v>
      </c>
      <c r="E323" s="15">
        <v>27</v>
      </c>
      <c r="F323" t="b">
        <f t="shared" si="8"/>
        <v>1</v>
      </c>
      <c r="G323" t="str">
        <f t="shared" si="9"/>
        <v>Peru Chef</v>
      </c>
    </row>
    <row r="324" spans="1:7" x14ac:dyDescent="0.25">
      <c r="A324" t="s">
        <v>272</v>
      </c>
      <c r="B324" t="s">
        <v>408</v>
      </c>
      <c r="C324" t="s">
        <v>424</v>
      </c>
      <c r="D324" s="15">
        <v>15.5</v>
      </c>
      <c r="E324" s="15">
        <v>15.5</v>
      </c>
      <c r="F324" t="b">
        <f t="shared" si="8"/>
        <v>1</v>
      </c>
      <c r="G324" t="str">
        <f t="shared" si="9"/>
        <v>Peru Chef</v>
      </c>
    </row>
    <row r="325" spans="1:7" x14ac:dyDescent="0.25">
      <c r="A325" t="s">
        <v>272</v>
      </c>
      <c r="B325" t="s">
        <v>408</v>
      </c>
      <c r="C325" t="s">
        <v>56</v>
      </c>
      <c r="D325" s="15">
        <v>68</v>
      </c>
      <c r="E325" s="15">
        <v>68</v>
      </c>
      <c r="F325" t="b">
        <f t="shared" si="8"/>
        <v>1</v>
      </c>
      <c r="G325" t="str">
        <f t="shared" si="9"/>
        <v>Peru Chef</v>
      </c>
    </row>
    <row r="326" spans="1:7" x14ac:dyDescent="0.25">
      <c r="A326" t="s">
        <v>272</v>
      </c>
      <c r="B326" t="s">
        <v>408</v>
      </c>
      <c r="C326" t="s">
        <v>58</v>
      </c>
      <c r="D326" s="15">
        <v>70</v>
      </c>
      <c r="E326" s="15">
        <v>70</v>
      </c>
      <c r="F326" t="b">
        <f t="shared" ref="F326:F389" si="10">D326=E326</f>
        <v>1</v>
      </c>
      <c r="G326" t="str">
        <f t="shared" ref="G326:G389" si="11">+A326</f>
        <v>Peru Chef</v>
      </c>
    </row>
    <row r="327" spans="1:7" x14ac:dyDescent="0.25">
      <c r="A327" t="s">
        <v>272</v>
      </c>
      <c r="B327" t="s">
        <v>408</v>
      </c>
      <c r="C327" t="s">
        <v>80</v>
      </c>
      <c r="D327" s="15">
        <v>15</v>
      </c>
      <c r="E327" s="15">
        <v>15</v>
      </c>
      <c r="F327" t="b">
        <f t="shared" si="10"/>
        <v>1</v>
      </c>
      <c r="G327" t="str">
        <f t="shared" si="11"/>
        <v>Peru Chef</v>
      </c>
    </row>
    <row r="328" spans="1:7" x14ac:dyDescent="0.25">
      <c r="A328" t="s">
        <v>272</v>
      </c>
      <c r="B328" t="s">
        <v>408</v>
      </c>
      <c r="C328" t="s">
        <v>372</v>
      </c>
      <c r="D328" s="15">
        <v>39</v>
      </c>
      <c r="E328" s="15">
        <v>39</v>
      </c>
      <c r="F328" t="b">
        <f t="shared" si="10"/>
        <v>1</v>
      </c>
      <c r="G328" t="str">
        <f t="shared" si="11"/>
        <v>Peru Chef</v>
      </c>
    </row>
    <row r="329" spans="1:7" x14ac:dyDescent="0.25">
      <c r="A329" t="s">
        <v>272</v>
      </c>
      <c r="B329" t="s">
        <v>408</v>
      </c>
      <c r="C329" t="s">
        <v>438</v>
      </c>
      <c r="D329" s="15">
        <v>58</v>
      </c>
      <c r="E329" s="15">
        <v>58</v>
      </c>
      <c r="F329" t="b">
        <f t="shared" si="10"/>
        <v>1</v>
      </c>
      <c r="G329" t="str">
        <f t="shared" si="11"/>
        <v>Peru Chef</v>
      </c>
    </row>
    <row r="330" spans="1:7" x14ac:dyDescent="0.25">
      <c r="A330" t="s">
        <v>272</v>
      </c>
      <c r="B330" t="s">
        <v>408</v>
      </c>
      <c r="C330" t="s">
        <v>348</v>
      </c>
      <c r="D330" s="15">
        <v>17</v>
      </c>
      <c r="E330" s="15">
        <v>17</v>
      </c>
      <c r="F330" t="b">
        <f t="shared" si="10"/>
        <v>1</v>
      </c>
      <c r="G330" t="str">
        <f t="shared" si="11"/>
        <v>Peru Chef</v>
      </c>
    </row>
    <row r="331" spans="1:7" x14ac:dyDescent="0.25">
      <c r="A331" t="s">
        <v>272</v>
      </c>
      <c r="B331" t="s">
        <v>408</v>
      </c>
      <c r="C331" t="s">
        <v>350</v>
      </c>
      <c r="D331" s="15">
        <v>17</v>
      </c>
      <c r="E331" s="15">
        <v>17</v>
      </c>
      <c r="F331" t="b">
        <f t="shared" si="10"/>
        <v>1</v>
      </c>
      <c r="G331" t="str">
        <f t="shared" si="11"/>
        <v>Peru Chef</v>
      </c>
    </row>
    <row r="332" spans="1:7" x14ac:dyDescent="0.25">
      <c r="A332" t="s">
        <v>272</v>
      </c>
      <c r="B332" t="s">
        <v>408</v>
      </c>
      <c r="C332" t="s">
        <v>62</v>
      </c>
      <c r="D332" s="15">
        <v>17</v>
      </c>
      <c r="E332" s="15">
        <v>17</v>
      </c>
      <c r="F332" t="b">
        <f t="shared" si="10"/>
        <v>1</v>
      </c>
      <c r="G332" t="str">
        <f t="shared" si="11"/>
        <v>Peru Chef</v>
      </c>
    </row>
    <row r="333" spans="1:7" x14ac:dyDescent="0.25">
      <c r="A333" t="s">
        <v>272</v>
      </c>
      <c r="B333" t="s">
        <v>408</v>
      </c>
      <c r="C333" t="s">
        <v>82</v>
      </c>
      <c r="D333" s="15">
        <v>78</v>
      </c>
      <c r="E333" s="15">
        <v>78</v>
      </c>
      <c r="F333" t="b">
        <f t="shared" si="10"/>
        <v>1</v>
      </c>
      <c r="G333" t="str">
        <f t="shared" si="11"/>
        <v>Peru Chef</v>
      </c>
    </row>
    <row r="334" spans="1:7" x14ac:dyDescent="0.25">
      <c r="A334" t="s">
        <v>272</v>
      </c>
      <c r="B334" t="s">
        <v>408</v>
      </c>
      <c r="C334" t="s">
        <v>364</v>
      </c>
      <c r="D334" s="15">
        <v>17</v>
      </c>
      <c r="E334" s="15">
        <v>17</v>
      </c>
      <c r="F334" t="b">
        <f t="shared" si="10"/>
        <v>1</v>
      </c>
      <c r="G334" t="str">
        <f t="shared" si="11"/>
        <v>Peru Chef</v>
      </c>
    </row>
    <row r="335" spans="1:7" x14ac:dyDescent="0.25">
      <c r="A335" t="s">
        <v>272</v>
      </c>
      <c r="B335" t="s">
        <v>408</v>
      </c>
      <c r="C335" t="s">
        <v>360</v>
      </c>
      <c r="D335" s="15">
        <v>17</v>
      </c>
      <c r="E335" s="15">
        <v>17</v>
      </c>
      <c r="F335" t="b">
        <f t="shared" si="10"/>
        <v>1</v>
      </c>
      <c r="G335" t="str">
        <f t="shared" si="11"/>
        <v>Peru Chef</v>
      </c>
    </row>
    <row r="336" spans="1:7" x14ac:dyDescent="0.25">
      <c r="A336" t="s">
        <v>272</v>
      </c>
      <c r="B336" t="s">
        <v>408</v>
      </c>
      <c r="C336" t="s">
        <v>358</v>
      </c>
      <c r="D336" s="15">
        <v>17</v>
      </c>
      <c r="E336" s="15">
        <v>17</v>
      </c>
      <c r="F336" t="b">
        <f t="shared" si="10"/>
        <v>1</v>
      </c>
      <c r="G336" t="str">
        <f t="shared" si="11"/>
        <v>Peru Chef</v>
      </c>
    </row>
    <row r="337" spans="1:7" x14ac:dyDescent="0.25">
      <c r="A337" t="s">
        <v>272</v>
      </c>
      <c r="B337" t="s">
        <v>408</v>
      </c>
      <c r="C337" t="s">
        <v>442</v>
      </c>
      <c r="D337" s="15">
        <v>9</v>
      </c>
      <c r="E337" s="15">
        <v>9</v>
      </c>
      <c r="F337" t="b">
        <f t="shared" si="10"/>
        <v>1</v>
      </c>
      <c r="G337" t="str">
        <f t="shared" si="11"/>
        <v>Peru Chef</v>
      </c>
    </row>
    <row r="338" spans="1:7" x14ac:dyDescent="0.25">
      <c r="A338" t="s">
        <v>272</v>
      </c>
      <c r="B338" t="s">
        <v>408</v>
      </c>
      <c r="C338" t="s">
        <v>440</v>
      </c>
      <c r="D338" s="15">
        <v>9</v>
      </c>
      <c r="E338" s="15">
        <v>9</v>
      </c>
      <c r="F338" t="b">
        <f t="shared" si="10"/>
        <v>1</v>
      </c>
      <c r="G338" t="str">
        <f t="shared" si="11"/>
        <v>Peru Chef</v>
      </c>
    </row>
    <row r="339" spans="1:7" x14ac:dyDescent="0.25">
      <c r="A339" t="s">
        <v>272</v>
      </c>
      <c r="B339" t="s">
        <v>408</v>
      </c>
      <c r="C339" t="s">
        <v>374</v>
      </c>
      <c r="D339" s="15">
        <v>39</v>
      </c>
      <c r="E339" s="15">
        <v>39</v>
      </c>
      <c r="F339" t="b">
        <f t="shared" si="10"/>
        <v>1</v>
      </c>
      <c r="G339" t="str">
        <f t="shared" si="11"/>
        <v>Peru Chef</v>
      </c>
    </row>
    <row r="340" spans="1:7" x14ac:dyDescent="0.25">
      <c r="A340" t="s">
        <v>272</v>
      </c>
      <c r="B340" t="s">
        <v>408</v>
      </c>
      <c r="C340" t="s">
        <v>381</v>
      </c>
      <c r="D340" s="15">
        <v>115</v>
      </c>
      <c r="E340" s="15">
        <v>115</v>
      </c>
      <c r="F340" t="b">
        <f t="shared" si="10"/>
        <v>1</v>
      </c>
      <c r="G340" t="str">
        <f t="shared" si="11"/>
        <v>Peru Chef</v>
      </c>
    </row>
    <row r="341" spans="1:7" x14ac:dyDescent="0.25">
      <c r="A341" t="s">
        <v>272</v>
      </c>
      <c r="B341" t="s">
        <v>408</v>
      </c>
      <c r="C341" t="s">
        <v>412</v>
      </c>
      <c r="D341" s="15">
        <v>36</v>
      </c>
      <c r="E341" s="15">
        <v>36</v>
      </c>
      <c r="F341" t="b">
        <f t="shared" si="10"/>
        <v>1</v>
      </c>
      <c r="G341" t="str">
        <f t="shared" si="11"/>
        <v>Peru Chef</v>
      </c>
    </row>
    <row r="342" spans="1:7" x14ac:dyDescent="0.25">
      <c r="A342" t="s">
        <v>272</v>
      </c>
      <c r="B342" t="s">
        <v>408</v>
      </c>
      <c r="C342" t="s">
        <v>414</v>
      </c>
      <c r="D342" s="15">
        <v>72</v>
      </c>
      <c r="E342" s="15">
        <v>72</v>
      </c>
      <c r="F342" t="b">
        <f t="shared" si="10"/>
        <v>1</v>
      </c>
      <c r="G342" t="str">
        <f t="shared" si="11"/>
        <v>Peru Chef</v>
      </c>
    </row>
    <row r="343" spans="1:7" x14ac:dyDescent="0.25">
      <c r="A343" t="s">
        <v>272</v>
      </c>
      <c r="B343" t="s">
        <v>408</v>
      </c>
      <c r="C343" t="s">
        <v>341</v>
      </c>
      <c r="D343" s="15">
        <v>39</v>
      </c>
      <c r="E343" s="15">
        <v>39</v>
      </c>
      <c r="F343" t="b">
        <f t="shared" si="10"/>
        <v>1</v>
      </c>
      <c r="G343" t="str">
        <f t="shared" si="11"/>
        <v>Peru Chef</v>
      </c>
    </row>
    <row r="344" spans="1:7" x14ac:dyDescent="0.25">
      <c r="A344" t="s">
        <v>272</v>
      </c>
      <c r="B344" t="s">
        <v>408</v>
      </c>
      <c r="C344" t="s">
        <v>378</v>
      </c>
      <c r="D344" s="15">
        <v>12.5</v>
      </c>
      <c r="E344" s="15">
        <v>12.5</v>
      </c>
      <c r="F344" t="b">
        <f t="shared" si="10"/>
        <v>1</v>
      </c>
      <c r="G344" t="str">
        <f t="shared" si="11"/>
        <v>Peru Chef</v>
      </c>
    </row>
    <row r="345" spans="1:7" x14ac:dyDescent="0.25">
      <c r="A345" t="s">
        <v>272</v>
      </c>
      <c r="B345" t="s">
        <v>408</v>
      </c>
      <c r="C345" t="s">
        <v>376</v>
      </c>
      <c r="D345" s="15">
        <v>19</v>
      </c>
      <c r="E345" s="15">
        <v>19</v>
      </c>
      <c r="F345" t="b">
        <f t="shared" si="10"/>
        <v>1</v>
      </c>
      <c r="G345" t="str">
        <f t="shared" si="11"/>
        <v>Peru Chef</v>
      </c>
    </row>
    <row r="346" spans="1:7" x14ac:dyDescent="0.25">
      <c r="A346" t="s">
        <v>272</v>
      </c>
      <c r="B346" t="s">
        <v>408</v>
      </c>
      <c r="C346" t="s">
        <v>434</v>
      </c>
      <c r="D346" s="15">
        <v>19.5</v>
      </c>
      <c r="E346" s="15">
        <v>19.5</v>
      </c>
      <c r="F346" t="b">
        <f t="shared" si="10"/>
        <v>1</v>
      </c>
      <c r="G346" t="str">
        <f t="shared" si="11"/>
        <v>Peru Chef</v>
      </c>
    </row>
    <row r="347" spans="1:7" x14ac:dyDescent="0.25">
      <c r="A347" t="s">
        <v>272</v>
      </c>
      <c r="B347" t="s">
        <v>408</v>
      </c>
      <c r="C347" t="s">
        <v>410</v>
      </c>
      <c r="D347" s="15">
        <v>15.6</v>
      </c>
      <c r="E347" s="15">
        <v>15.6</v>
      </c>
      <c r="F347" t="b">
        <f t="shared" si="10"/>
        <v>1</v>
      </c>
      <c r="G347" t="str">
        <f t="shared" si="11"/>
        <v>Peru Chef</v>
      </c>
    </row>
    <row r="348" spans="1:7" x14ac:dyDescent="0.25">
      <c r="A348" t="s">
        <v>272</v>
      </c>
      <c r="B348" t="s">
        <v>408</v>
      </c>
      <c r="C348" t="s">
        <v>436</v>
      </c>
      <c r="D348" s="15">
        <v>19.5</v>
      </c>
      <c r="E348" s="15">
        <v>19.5</v>
      </c>
      <c r="F348" t="b">
        <f t="shared" si="10"/>
        <v>1</v>
      </c>
      <c r="G348" t="str">
        <f t="shared" si="11"/>
        <v>Peru Chef</v>
      </c>
    </row>
    <row r="349" spans="1:7" x14ac:dyDescent="0.25">
      <c r="A349" t="s">
        <v>272</v>
      </c>
      <c r="B349" t="s">
        <v>408</v>
      </c>
      <c r="C349" t="s">
        <v>416</v>
      </c>
      <c r="D349" s="15">
        <v>55</v>
      </c>
      <c r="E349" s="15">
        <v>55</v>
      </c>
      <c r="F349" t="b">
        <f t="shared" si="10"/>
        <v>1</v>
      </c>
      <c r="G349" t="str">
        <f t="shared" si="11"/>
        <v>Peru Chef</v>
      </c>
    </row>
    <row r="350" spans="1:7" x14ac:dyDescent="0.25">
      <c r="A350" t="s">
        <v>272</v>
      </c>
      <c r="B350" t="s">
        <v>408</v>
      </c>
      <c r="C350" t="s">
        <v>288</v>
      </c>
      <c r="D350" s="15">
        <v>48</v>
      </c>
      <c r="E350" s="15">
        <v>48</v>
      </c>
      <c r="F350" t="b">
        <f t="shared" si="10"/>
        <v>1</v>
      </c>
      <c r="G350" t="str">
        <f t="shared" si="11"/>
        <v>Peru Chef</v>
      </c>
    </row>
    <row r="351" spans="1:7" x14ac:dyDescent="0.25">
      <c r="A351" t="s">
        <v>272</v>
      </c>
      <c r="B351" t="s">
        <v>408</v>
      </c>
      <c r="C351" t="s">
        <v>278</v>
      </c>
      <c r="D351" s="15">
        <v>36</v>
      </c>
      <c r="E351" s="15">
        <v>36</v>
      </c>
      <c r="F351" t="b">
        <f t="shared" si="10"/>
        <v>1</v>
      </c>
      <c r="G351" t="str">
        <f t="shared" si="11"/>
        <v>Peru Chef</v>
      </c>
    </row>
    <row r="352" spans="1:7" x14ac:dyDescent="0.25">
      <c r="A352" t="s">
        <v>272</v>
      </c>
      <c r="B352" t="s">
        <v>408</v>
      </c>
      <c r="C352" t="s">
        <v>431</v>
      </c>
      <c r="D352" s="15">
        <v>24</v>
      </c>
      <c r="E352" s="15">
        <v>24</v>
      </c>
      <c r="F352" t="b">
        <f t="shared" si="10"/>
        <v>1</v>
      </c>
      <c r="G352" t="str">
        <f t="shared" si="11"/>
        <v>Peru Chef</v>
      </c>
    </row>
    <row r="353" spans="1:7" x14ac:dyDescent="0.25">
      <c r="A353" t="s">
        <v>272</v>
      </c>
      <c r="B353" t="s">
        <v>408</v>
      </c>
      <c r="C353" t="s">
        <v>429</v>
      </c>
      <c r="D353" s="15">
        <v>30</v>
      </c>
      <c r="E353" s="15">
        <v>30</v>
      </c>
      <c r="F353" t="b">
        <f t="shared" si="10"/>
        <v>1</v>
      </c>
      <c r="G353" t="str">
        <f t="shared" si="11"/>
        <v>Peru Chef</v>
      </c>
    </row>
    <row r="354" spans="1:7" x14ac:dyDescent="0.25">
      <c r="A354" t="s">
        <v>272</v>
      </c>
      <c r="B354" t="s">
        <v>408</v>
      </c>
      <c r="C354" t="s">
        <v>420</v>
      </c>
      <c r="D354" s="15">
        <v>36</v>
      </c>
      <c r="E354" s="15">
        <v>36</v>
      </c>
      <c r="F354" t="b">
        <f t="shared" si="10"/>
        <v>1</v>
      </c>
      <c r="G354" t="str">
        <f t="shared" si="11"/>
        <v>Peru Chef</v>
      </c>
    </row>
    <row r="355" spans="1:7" x14ac:dyDescent="0.25">
      <c r="A355" t="s">
        <v>272</v>
      </c>
      <c r="B355" t="s">
        <v>408</v>
      </c>
      <c r="C355" t="s">
        <v>402</v>
      </c>
      <c r="D355" s="15">
        <v>30</v>
      </c>
      <c r="E355" s="15">
        <v>30</v>
      </c>
      <c r="F355" t="b">
        <f t="shared" si="10"/>
        <v>1</v>
      </c>
      <c r="G355" t="str">
        <f t="shared" si="11"/>
        <v>Peru Chef</v>
      </c>
    </row>
    <row r="356" spans="1:7" x14ac:dyDescent="0.25">
      <c r="A356" t="s">
        <v>272</v>
      </c>
      <c r="B356" t="s">
        <v>408</v>
      </c>
      <c r="C356" t="s">
        <v>404</v>
      </c>
      <c r="D356" s="15">
        <v>30</v>
      </c>
      <c r="E356" s="15">
        <v>30</v>
      </c>
      <c r="F356" t="b">
        <f t="shared" si="10"/>
        <v>1</v>
      </c>
      <c r="G356" t="str">
        <f t="shared" si="11"/>
        <v>Peru Chef</v>
      </c>
    </row>
    <row r="357" spans="1:7" x14ac:dyDescent="0.25">
      <c r="A357" t="s">
        <v>272</v>
      </c>
      <c r="B357" t="s">
        <v>408</v>
      </c>
      <c r="C357" t="s">
        <v>406</v>
      </c>
      <c r="D357" s="15">
        <v>30</v>
      </c>
      <c r="E357" s="15">
        <v>30</v>
      </c>
      <c r="F357" t="b">
        <f t="shared" si="10"/>
        <v>1</v>
      </c>
      <c r="G357" t="str">
        <f t="shared" si="11"/>
        <v>Peru Chef</v>
      </c>
    </row>
    <row r="358" spans="1:7" x14ac:dyDescent="0.25">
      <c r="A358" t="s">
        <v>272</v>
      </c>
      <c r="B358" t="s">
        <v>408</v>
      </c>
      <c r="C358" t="s">
        <v>132</v>
      </c>
      <c r="D358" s="15">
        <v>40</v>
      </c>
      <c r="E358" s="15">
        <v>40</v>
      </c>
      <c r="F358" t="b">
        <f t="shared" si="10"/>
        <v>1</v>
      </c>
      <c r="G358" t="str">
        <f t="shared" si="11"/>
        <v>Peru Chef</v>
      </c>
    </row>
    <row r="359" spans="1:7" x14ac:dyDescent="0.25">
      <c r="A359" t="s">
        <v>272</v>
      </c>
      <c r="B359" t="s">
        <v>408</v>
      </c>
      <c r="C359" t="s">
        <v>370</v>
      </c>
      <c r="D359" s="15">
        <v>8</v>
      </c>
      <c r="E359" s="15">
        <v>8</v>
      </c>
      <c r="F359" t="b">
        <f t="shared" si="10"/>
        <v>1</v>
      </c>
      <c r="G359" t="str">
        <f t="shared" si="11"/>
        <v>Peru Chef</v>
      </c>
    </row>
    <row r="360" spans="1:7" x14ac:dyDescent="0.25">
      <c r="A360" t="s">
        <v>272</v>
      </c>
      <c r="B360" t="s">
        <v>408</v>
      </c>
      <c r="C360" t="s">
        <v>426</v>
      </c>
      <c r="D360" s="15">
        <v>15</v>
      </c>
      <c r="E360" s="15">
        <v>15</v>
      </c>
      <c r="F360" t="b">
        <f t="shared" si="10"/>
        <v>1</v>
      </c>
      <c r="G360" t="str">
        <f t="shared" si="11"/>
        <v>Peru Chef</v>
      </c>
    </row>
    <row r="361" spans="1:7" x14ac:dyDescent="0.25">
      <c r="A361" t="s">
        <v>272</v>
      </c>
      <c r="B361" t="s">
        <v>408</v>
      </c>
      <c r="C361" t="s">
        <v>354</v>
      </c>
      <c r="D361" s="15">
        <v>17</v>
      </c>
      <c r="E361" s="15">
        <v>17</v>
      </c>
      <c r="F361" t="b">
        <f t="shared" si="10"/>
        <v>1</v>
      </c>
      <c r="G361" t="str">
        <f t="shared" si="11"/>
        <v>Peru Chef</v>
      </c>
    </row>
    <row r="362" spans="1:7" x14ac:dyDescent="0.25">
      <c r="A362" t="s">
        <v>272</v>
      </c>
      <c r="B362" t="s">
        <v>408</v>
      </c>
      <c r="C362" t="s">
        <v>356</v>
      </c>
      <c r="D362" s="15">
        <v>17</v>
      </c>
      <c r="E362" s="15">
        <v>17</v>
      </c>
      <c r="F362" t="b">
        <f t="shared" si="10"/>
        <v>1</v>
      </c>
      <c r="G362" t="str">
        <f t="shared" si="11"/>
        <v>Peru Chef</v>
      </c>
    </row>
    <row r="363" spans="1:7" x14ac:dyDescent="0.25">
      <c r="A363" t="s">
        <v>272</v>
      </c>
      <c r="B363" t="s">
        <v>408</v>
      </c>
      <c r="C363" t="s">
        <v>78</v>
      </c>
      <c r="D363" s="15">
        <v>69</v>
      </c>
      <c r="E363" s="15">
        <v>69</v>
      </c>
      <c r="F363" t="b">
        <f t="shared" si="10"/>
        <v>1</v>
      </c>
      <c r="G363" t="str">
        <f t="shared" si="11"/>
        <v>Peru Chef</v>
      </c>
    </row>
    <row r="364" spans="1:7" x14ac:dyDescent="0.25">
      <c r="A364" t="s">
        <v>272</v>
      </c>
      <c r="B364" t="s">
        <v>444</v>
      </c>
      <c r="C364" t="s">
        <v>328</v>
      </c>
      <c r="D364" s="15">
        <v>82</v>
      </c>
      <c r="E364" s="15">
        <v>82</v>
      </c>
      <c r="F364" t="b">
        <f t="shared" si="10"/>
        <v>1</v>
      </c>
      <c r="G364" t="str">
        <f t="shared" si="11"/>
        <v>Peru Chef</v>
      </c>
    </row>
    <row r="365" spans="1:7" x14ac:dyDescent="0.25">
      <c r="A365" t="s">
        <v>272</v>
      </c>
      <c r="B365" t="s">
        <v>444</v>
      </c>
      <c r="C365" t="s">
        <v>424</v>
      </c>
      <c r="D365" s="15">
        <v>15.5</v>
      </c>
      <c r="E365" s="15">
        <v>15.5</v>
      </c>
      <c r="F365" t="b">
        <f t="shared" si="10"/>
        <v>1</v>
      </c>
      <c r="G365" t="str">
        <f t="shared" si="11"/>
        <v>Peru Chef</v>
      </c>
    </row>
    <row r="366" spans="1:7" x14ac:dyDescent="0.25">
      <c r="A366" t="s">
        <v>272</v>
      </c>
      <c r="B366" t="s">
        <v>444</v>
      </c>
      <c r="C366" t="s">
        <v>80</v>
      </c>
      <c r="D366" s="15">
        <v>15</v>
      </c>
      <c r="E366" s="15">
        <v>15</v>
      </c>
      <c r="F366" t="b">
        <f t="shared" si="10"/>
        <v>1</v>
      </c>
      <c r="G366" t="str">
        <f t="shared" si="11"/>
        <v>Peru Chef</v>
      </c>
    </row>
    <row r="367" spans="1:7" x14ac:dyDescent="0.25">
      <c r="A367" t="s">
        <v>272</v>
      </c>
      <c r="B367" t="s">
        <v>444</v>
      </c>
      <c r="C367" t="s">
        <v>348</v>
      </c>
      <c r="D367" s="15">
        <v>17</v>
      </c>
      <c r="E367" s="15">
        <v>17</v>
      </c>
      <c r="F367" t="b">
        <f t="shared" si="10"/>
        <v>1</v>
      </c>
      <c r="G367" t="str">
        <f t="shared" si="11"/>
        <v>Peru Chef</v>
      </c>
    </row>
    <row r="368" spans="1:7" x14ac:dyDescent="0.25">
      <c r="A368" t="s">
        <v>272</v>
      </c>
      <c r="B368" t="s">
        <v>444</v>
      </c>
      <c r="C368" t="s">
        <v>82</v>
      </c>
      <c r="D368" s="15">
        <v>78</v>
      </c>
      <c r="E368" s="15">
        <v>78</v>
      </c>
      <c r="F368" t="b">
        <f t="shared" si="10"/>
        <v>1</v>
      </c>
      <c r="G368" t="str">
        <f t="shared" si="11"/>
        <v>Peru Chef</v>
      </c>
    </row>
    <row r="369" spans="1:7" x14ac:dyDescent="0.25">
      <c r="A369" t="s">
        <v>272</v>
      </c>
      <c r="B369" t="s">
        <v>444</v>
      </c>
      <c r="C369" t="s">
        <v>324</v>
      </c>
      <c r="D369" s="15">
        <v>26</v>
      </c>
      <c r="E369" s="15">
        <v>26</v>
      </c>
      <c r="F369" t="b">
        <f t="shared" si="10"/>
        <v>1</v>
      </c>
      <c r="G369" t="str">
        <f t="shared" si="11"/>
        <v>Peru Chef</v>
      </c>
    </row>
    <row r="370" spans="1:7" x14ac:dyDescent="0.25">
      <c r="A370" t="s">
        <v>272</v>
      </c>
      <c r="B370" t="s">
        <v>444</v>
      </c>
      <c r="C370" t="s">
        <v>378</v>
      </c>
      <c r="D370" s="15">
        <v>12.5</v>
      </c>
      <c r="E370" s="15">
        <v>12.5</v>
      </c>
      <c r="F370" t="b">
        <f t="shared" si="10"/>
        <v>1</v>
      </c>
      <c r="G370" t="str">
        <f t="shared" si="11"/>
        <v>Peru Chef</v>
      </c>
    </row>
    <row r="371" spans="1:7" x14ac:dyDescent="0.25">
      <c r="A371" t="s">
        <v>272</v>
      </c>
      <c r="B371" t="s">
        <v>444</v>
      </c>
      <c r="C371" t="s">
        <v>376</v>
      </c>
      <c r="D371" s="15">
        <v>19</v>
      </c>
      <c r="E371" s="15">
        <v>19</v>
      </c>
      <c r="F371" t="b">
        <f t="shared" si="10"/>
        <v>1</v>
      </c>
      <c r="G371" t="str">
        <f t="shared" si="11"/>
        <v>Peru Chef</v>
      </c>
    </row>
    <row r="372" spans="1:7" x14ac:dyDescent="0.25">
      <c r="A372" t="s">
        <v>272</v>
      </c>
      <c r="B372" t="s">
        <v>444</v>
      </c>
      <c r="C372" t="s">
        <v>306</v>
      </c>
      <c r="D372" s="15">
        <v>30</v>
      </c>
      <c r="E372" s="15">
        <v>30</v>
      </c>
      <c r="F372" t="b">
        <f t="shared" si="10"/>
        <v>1</v>
      </c>
      <c r="G372" t="str">
        <f t="shared" si="11"/>
        <v>Peru Chef</v>
      </c>
    </row>
    <row r="373" spans="1:7" x14ac:dyDescent="0.25">
      <c r="A373" t="s">
        <v>272</v>
      </c>
      <c r="B373" t="s">
        <v>444</v>
      </c>
      <c r="C373" t="s">
        <v>308</v>
      </c>
      <c r="D373" s="15">
        <v>25</v>
      </c>
      <c r="E373" s="15">
        <v>25</v>
      </c>
      <c r="F373" t="b">
        <f t="shared" si="10"/>
        <v>1</v>
      </c>
      <c r="G373" t="str">
        <f t="shared" si="11"/>
        <v>Peru Chef</v>
      </c>
    </row>
    <row r="374" spans="1:7" x14ac:dyDescent="0.25">
      <c r="A374" t="s">
        <v>272</v>
      </c>
      <c r="B374" t="s">
        <v>444</v>
      </c>
      <c r="C374" t="s">
        <v>314</v>
      </c>
      <c r="D374" s="15">
        <v>36</v>
      </c>
      <c r="E374" s="15">
        <v>36</v>
      </c>
      <c r="F374" t="b">
        <f t="shared" si="10"/>
        <v>1</v>
      </c>
      <c r="G374" t="str">
        <f t="shared" si="11"/>
        <v>Peru Chef</v>
      </c>
    </row>
    <row r="375" spans="1:7" x14ac:dyDescent="0.25">
      <c r="A375" t="s">
        <v>272</v>
      </c>
      <c r="B375" t="s">
        <v>444</v>
      </c>
      <c r="C375" t="s">
        <v>292</v>
      </c>
      <c r="D375" s="15">
        <v>28</v>
      </c>
      <c r="E375" s="15">
        <v>28</v>
      </c>
      <c r="F375" t="b">
        <f t="shared" si="10"/>
        <v>1</v>
      </c>
      <c r="G375" t="str">
        <f t="shared" si="11"/>
        <v>Peru Chef</v>
      </c>
    </row>
    <row r="376" spans="1:7" x14ac:dyDescent="0.25">
      <c r="A376" t="s">
        <v>272</v>
      </c>
      <c r="B376" t="s">
        <v>444</v>
      </c>
      <c r="C376" t="s">
        <v>290</v>
      </c>
      <c r="D376" s="15">
        <v>28</v>
      </c>
      <c r="E376" s="15">
        <v>28</v>
      </c>
      <c r="F376" t="b">
        <f t="shared" si="10"/>
        <v>1</v>
      </c>
      <c r="G376" t="str">
        <f t="shared" si="11"/>
        <v>Peru Chef</v>
      </c>
    </row>
    <row r="377" spans="1:7" x14ac:dyDescent="0.25">
      <c r="A377" t="s">
        <v>272</v>
      </c>
      <c r="B377" t="s">
        <v>444</v>
      </c>
      <c r="C377" t="s">
        <v>469</v>
      </c>
      <c r="D377" s="15">
        <v>38</v>
      </c>
      <c r="E377" s="15">
        <v>38</v>
      </c>
      <c r="F377" t="b">
        <f t="shared" si="10"/>
        <v>1</v>
      </c>
      <c r="G377" t="str">
        <f t="shared" si="11"/>
        <v>Peru Chef</v>
      </c>
    </row>
    <row r="378" spans="1:7" x14ac:dyDescent="0.25">
      <c r="A378" t="s">
        <v>272</v>
      </c>
      <c r="B378" t="s">
        <v>444</v>
      </c>
      <c r="C378" t="s">
        <v>298</v>
      </c>
      <c r="D378" s="15">
        <v>17</v>
      </c>
      <c r="E378" s="15">
        <v>17</v>
      </c>
      <c r="F378" t="b">
        <f t="shared" si="10"/>
        <v>1</v>
      </c>
      <c r="G378" t="str">
        <f t="shared" si="11"/>
        <v>Peru Chef</v>
      </c>
    </row>
    <row r="379" spans="1:7" x14ac:dyDescent="0.25">
      <c r="A379" t="s">
        <v>272</v>
      </c>
      <c r="B379" t="s">
        <v>444</v>
      </c>
      <c r="C379" t="s">
        <v>296</v>
      </c>
      <c r="D379" s="15">
        <v>21</v>
      </c>
      <c r="E379" s="15">
        <v>21</v>
      </c>
      <c r="F379" t="b">
        <f t="shared" si="10"/>
        <v>1</v>
      </c>
      <c r="G379" t="str">
        <f t="shared" si="11"/>
        <v>Peru Chef</v>
      </c>
    </row>
    <row r="380" spans="1:7" x14ac:dyDescent="0.25">
      <c r="A380" t="s">
        <v>272</v>
      </c>
      <c r="B380" t="s">
        <v>444</v>
      </c>
      <c r="C380" t="s">
        <v>278</v>
      </c>
      <c r="D380" s="15">
        <v>40</v>
      </c>
      <c r="E380" s="15">
        <v>40</v>
      </c>
      <c r="F380" t="b">
        <f t="shared" si="10"/>
        <v>1</v>
      </c>
      <c r="G380" t="str">
        <f t="shared" si="11"/>
        <v>Peru Chef</v>
      </c>
    </row>
    <row r="381" spans="1:7" x14ac:dyDescent="0.25">
      <c r="A381" t="s">
        <v>272</v>
      </c>
      <c r="B381" t="s">
        <v>444</v>
      </c>
      <c r="C381" t="s">
        <v>447</v>
      </c>
      <c r="D381" s="15">
        <v>40</v>
      </c>
      <c r="E381" s="15">
        <v>40</v>
      </c>
      <c r="F381" t="b">
        <f t="shared" si="10"/>
        <v>1</v>
      </c>
      <c r="G381" t="str">
        <f t="shared" si="11"/>
        <v>Peru Chef</v>
      </c>
    </row>
    <row r="382" spans="1:7" x14ac:dyDescent="0.25">
      <c r="A382" t="s">
        <v>272</v>
      </c>
      <c r="B382" t="s">
        <v>444</v>
      </c>
      <c r="C382" t="s">
        <v>280</v>
      </c>
      <c r="D382" s="15">
        <v>44</v>
      </c>
      <c r="E382" s="15">
        <v>44</v>
      </c>
      <c r="F382" t="b">
        <f t="shared" si="10"/>
        <v>1</v>
      </c>
      <c r="G382" t="str">
        <f t="shared" si="11"/>
        <v>Peru Chef</v>
      </c>
    </row>
    <row r="383" spans="1:7" x14ac:dyDescent="0.25">
      <c r="A383" t="s">
        <v>272</v>
      </c>
      <c r="B383" t="s">
        <v>444</v>
      </c>
      <c r="C383" t="s">
        <v>449</v>
      </c>
      <c r="D383" s="15">
        <v>48</v>
      </c>
      <c r="E383" s="15">
        <v>48</v>
      </c>
      <c r="F383" t="b">
        <f t="shared" si="10"/>
        <v>1</v>
      </c>
      <c r="G383" t="str">
        <f t="shared" si="11"/>
        <v>Peru Chef</v>
      </c>
    </row>
    <row r="384" spans="1:7" x14ac:dyDescent="0.25">
      <c r="A384" t="s">
        <v>272</v>
      </c>
      <c r="B384" t="s">
        <v>444</v>
      </c>
      <c r="C384" t="s">
        <v>282</v>
      </c>
      <c r="D384" s="15">
        <v>66</v>
      </c>
      <c r="E384" s="15">
        <v>66</v>
      </c>
      <c r="F384" t="b">
        <f t="shared" si="10"/>
        <v>1</v>
      </c>
      <c r="G384" t="str">
        <f t="shared" si="11"/>
        <v>Peru Chef</v>
      </c>
    </row>
    <row r="385" spans="1:7" x14ac:dyDescent="0.25">
      <c r="A385" t="s">
        <v>272</v>
      </c>
      <c r="B385" t="s">
        <v>444</v>
      </c>
      <c r="C385" t="s">
        <v>302</v>
      </c>
      <c r="D385" s="15">
        <v>28</v>
      </c>
      <c r="E385" s="15">
        <v>28</v>
      </c>
      <c r="F385" t="b">
        <f t="shared" si="10"/>
        <v>1</v>
      </c>
      <c r="G385" t="str">
        <f t="shared" si="11"/>
        <v>Peru Chef</v>
      </c>
    </row>
    <row r="386" spans="1:7" x14ac:dyDescent="0.25">
      <c r="A386" t="s">
        <v>272</v>
      </c>
      <c r="B386" t="s">
        <v>444</v>
      </c>
      <c r="C386" t="s">
        <v>402</v>
      </c>
      <c r="D386" s="15">
        <v>30</v>
      </c>
      <c r="E386" s="15">
        <v>30</v>
      </c>
      <c r="F386" t="b">
        <f t="shared" si="10"/>
        <v>1</v>
      </c>
      <c r="G386" t="str">
        <f t="shared" si="11"/>
        <v>Peru Chef</v>
      </c>
    </row>
    <row r="387" spans="1:7" x14ac:dyDescent="0.25">
      <c r="A387" t="s">
        <v>272</v>
      </c>
      <c r="B387" t="s">
        <v>444</v>
      </c>
      <c r="C387" t="s">
        <v>404</v>
      </c>
      <c r="D387" s="15">
        <v>30</v>
      </c>
      <c r="E387" s="15">
        <v>30</v>
      </c>
      <c r="F387" t="b">
        <f t="shared" si="10"/>
        <v>1</v>
      </c>
      <c r="G387" t="str">
        <f t="shared" si="11"/>
        <v>Peru Chef</v>
      </c>
    </row>
    <row r="388" spans="1:7" x14ac:dyDescent="0.25">
      <c r="A388" t="s">
        <v>272</v>
      </c>
      <c r="B388" t="s">
        <v>444</v>
      </c>
      <c r="C388" t="s">
        <v>406</v>
      </c>
      <c r="D388" s="15">
        <v>30</v>
      </c>
      <c r="E388" s="15">
        <v>30</v>
      </c>
      <c r="F388" t="b">
        <f t="shared" si="10"/>
        <v>1</v>
      </c>
      <c r="G388" t="str">
        <f t="shared" si="11"/>
        <v>Peru Chef</v>
      </c>
    </row>
    <row r="389" spans="1:7" x14ac:dyDescent="0.25">
      <c r="A389" t="s">
        <v>272</v>
      </c>
      <c r="B389" t="s">
        <v>444</v>
      </c>
      <c r="C389" t="s">
        <v>300</v>
      </c>
      <c r="D389" s="15">
        <v>19.8</v>
      </c>
      <c r="E389" s="15">
        <v>19.8</v>
      </c>
      <c r="F389" t="b">
        <f t="shared" si="10"/>
        <v>1</v>
      </c>
      <c r="G389" t="str">
        <f t="shared" si="11"/>
        <v>Peru Chef</v>
      </c>
    </row>
    <row r="390" spans="1:7" x14ac:dyDescent="0.25">
      <c r="A390" t="s">
        <v>272</v>
      </c>
      <c r="B390" t="s">
        <v>444</v>
      </c>
      <c r="C390" t="s">
        <v>370</v>
      </c>
      <c r="D390" s="15">
        <v>8</v>
      </c>
      <c r="E390" s="15">
        <v>8</v>
      </c>
      <c r="F390" t="b">
        <f t="shared" ref="F390:F453" si="12">D390=E390</f>
        <v>1</v>
      </c>
      <c r="G390" t="str">
        <f t="shared" ref="G390:G453" si="13">+A390</f>
        <v>Peru Chef</v>
      </c>
    </row>
    <row r="391" spans="1:7" x14ac:dyDescent="0.25">
      <c r="A391" t="s">
        <v>272</v>
      </c>
      <c r="B391" t="s">
        <v>444</v>
      </c>
      <c r="C391" t="s">
        <v>426</v>
      </c>
      <c r="D391" s="15">
        <v>15</v>
      </c>
      <c r="E391" s="15">
        <v>15</v>
      </c>
      <c r="F391" t="b">
        <f t="shared" si="12"/>
        <v>1</v>
      </c>
      <c r="G391" t="str">
        <f t="shared" si="13"/>
        <v>Peru Chef</v>
      </c>
    </row>
    <row r="392" spans="1:7" x14ac:dyDescent="0.25">
      <c r="A392" t="s">
        <v>272</v>
      </c>
      <c r="B392" t="s">
        <v>444</v>
      </c>
      <c r="C392" t="s">
        <v>331</v>
      </c>
      <c r="D392" s="15">
        <v>31.8</v>
      </c>
      <c r="E392" s="15">
        <v>31.8</v>
      </c>
      <c r="F392" t="b">
        <f t="shared" si="12"/>
        <v>1</v>
      </c>
      <c r="G392" t="str">
        <f t="shared" si="13"/>
        <v>Peru Chef</v>
      </c>
    </row>
    <row r="393" spans="1:7" x14ac:dyDescent="0.25">
      <c r="A393" t="s">
        <v>272</v>
      </c>
      <c r="B393" t="s">
        <v>444</v>
      </c>
      <c r="C393" t="s">
        <v>333</v>
      </c>
      <c r="D393" s="15">
        <v>31.8</v>
      </c>
      <c r="E393" s="15">
        <v>31.8</v>
      </c>
      <c r="F393" t="b">
        <f t="shared" si="12"/>
        <v>1</v>
      </c>
      <c r="G393" t="str">
        <f t="shared" si="13"/>
        <v>Peru Chef</v>
      </c>
    </row>
    <row r="394" spans="1:7" x14ac:dyDescent="0.25">
      <c r="A394" t="s">
        <v>272</v>
      </c>
      <c r="B394" t="s">
        <v>444</v>
      </c>
      <c r="C394" t="s">
        <v>463</v>
      </c>
      <c r="D394" s="15">
        <v>31.8</v>
      </c>
      <c r="E394" s="15">
        <v>31.8</v>
      </c>
      <c r="F394" t="b">
        <f t="shared" si="12"/>
        <v>1</v>
      </c>
      <c r="G394" t="str">
        <f t="shared" si="13"/>
        <v>Peru Chef</v>
      </c>
    </row>
    <row r="395" spans="1:7" x14ac:dyDescent="0.25">
      <c r="A395" t="s">
        <v>272</v>
      </c>
      <c r="B395" t="s">
        <v>444</v>
      </c>
      <c r="C395" t="s">
        <v>465</v>
      </c>
      <c r="D395" s="15">
        <v>31.8</v>
      </c>
      <c r="E395" s="15">
        <v>31.8</v>
      </c>
      <c r="F395" t="b">
        <f t="shared" si="12"/>
        <v>1</v>
      </c>
      <c r="G395" t="str">
        <f t="shared" si="13"/>
        <v>Peru Chef</v>
      </c>
    </row>
    <row r="396" spans="1:7" x14ac:dyDescent="0.25">
      <c r="A396" t="s">
        <v>272</v>
      </c>
      <c r="B396" t="s">
        <v>444</v>
      </c>
      <c r="C396" t="s">
        <v>335</v>
      </c>
      <c r="D396" s="15">
        <v>31.8</v>
      </c>
      <c r="E396" s="15">
        <v>31.8</v>
      </c>
      <c r="F396" t="b">
        <f t="shared" si="12"/>
        <v>1</v>
      </c>
      <c r="G396" t="str">
        <f t="shared" si="13"/>
        <v>Peru Chef</v>
      </c>
    </row>
    <row r="397" spans="1:7" x14ac:dyDescent="0.25">
      <c r="A397" t="s">
        <v>272</v>
      </c>
      <c r="B397" t="s">
        <v>471</v>
      </c>
      <c r="C397" t="s">
        <v>35</v>
      </c>
      <c r="D397" s="15">
        <v>45</v>
      </c>
      <c r="E397" s="15">
        <v>45</v>
      </c>
      <c r="F397" t="b">
        <f t="shared" si="12"/>
        <v>1</v>
      </c>
      <c r="G397" t="str">
        <f t="shared" si="13"/>
        <v>Peru Chef</v>
      </c>
    </row>
    <row r="398" spans="1:7" x14ac:dyDescent="0.25">
      <c r="A398" t="s">
        <v>272</v>
      </c>
      <c r="B398" t="s">
        <v>471</v>
      </c>
      <c r="C398" t="s">
        <v>496</v>
      </c>
      <c r="D398" s="15">
        <v>22</v>
      </c>
      <c r="E398" s="15">
        <v>22</v>
      </c>
      <c r="F398" t="b">
        <f t="shared" si="12"/>
        <v>1</v>
      </c>
      <c r="G398" t="str">
        <f t="shared" si="13"/>
        <v>Peru Chef</v>
      </c>
    </row>
    <row r="399" spans="1:7" x14ac:dyDescent="0.25">
      <c r="A399" t="s">
        <v>272</v>
      </c>
      <c r="B399" t="s">
        <v>471</v>
      </c>
      <c r="C399" t="s">
        <v>380</v>
      </c>
      <c r="D399" s="15">
        <v>61</v>
      </c>
      <c r="E399" s="15">
        <v>61</v>
      </c>
      <c r="F399" t="b">
        <f t="shared" si="12"/>
        <v>1</v>
      </c>
      <c r="G399" t="str">
        <f t="shared" si="13"/>
        <v>Peru Chef</v>
      </c>
    </row>
    <row r="400" spans="1:7" x14ac:dyDescent="0.25">
      <c r="A400" t="s">
        <v>272</v>
      </c>
      <c r="B400" t="s">
        <v>471</v>
      </c>
      <c r="C400" t="s">
        <v>506</v>
      </c>
      <c r="D400" s="15">
        <v>22</v>
      </c>
      <c r="E400" s="15">
        <v>22</v>
      </c>
      <c r="F400" t="b">
        <f t="shared" si="12"/>
        <v>1</v>
      </c>
      <c r="G400" t="str">
        <f t="shared" si="13"/>
        <v>Peru Chef</v>
      </c>
    </row>
    <row r="401" spans="1:7" x14ac:dyDescent="0.25">
      <c r="A401" t="s">
        <v>272</v>
      </c>
      <c r="B401" t="s">
        <v>471</v>
      </c>
      <c r="C401" t="s">
        <v>498</v>
      </c>
      <c r="D401" s="15">
        <v>13</v>
      </c>
      <c r="E401" s="15">
        <v>13</v>
      </c>
      <c r="F401" t="b">
        <f t="shared" si="12"/>
        <v>1</v>
      </c>
      <c r="G401" t="str">
        <f t="shared" si="13"/>
        <v>Peru Chef</v>
      </c>
    </row>
    <row r="402" spans="1:7" x14ac:dyDescent="0.25">
      <c r="A402" t="s">
        <v>272</v>
      </c>
      <c r="B402" t="s">
        <v>471</v>
      </c>
      <c r="C402" t="s">
        <v>500</v>
      </c>
      <c r="D402" s="15">
        <v>13</v>
      </c>
      <c r="E402" s="15">
        <v>13</v>
      </c>
      <c r="F402" t="b">
        <f t="shared" si="12"/>
        <v>1</v>
      </c>
      <c r="G402" t="str">
        <f t="shared" si="13"/>
        <v>Peru Chef</v>
      </c>
    </row>
    <row r="403" spans="1:7" x14ac:dyDescent="0.25">
      <c r="A403" t="s">
        <v>272</v>
      </c>
      <c r="B403" t="s">
        <v>471</v>
      </c>
      <c r="C403" t="s">
        <v>502</v>
      </c>
      <c r="D403" s="15">
        <v>22</v>
      </c>
      <c r="E403" s="15">
        <v>22</v>
      </c>
      <c r="F403" t="b">
        <f t="shared" si="12"/>
        <v>1</v>
      </c>
      <c r="G403" t="str">
        <f t="shared" si="13"/>
        <v>Peru Chef</v>
      </c>
    </row>
    <row r="404" spans="1:7" x14ac:dyDescent="0.25">
      <c r="A404" t="s">
        <v>272</v>
      </c>
      <c r="B404" t="s">
        <v>471</v>
      </c>
      <c r="C404" t="s">
        <v>504</v>
      </c>
      <c r="D404" s="15">
        <v>22</v>
      </c>
      <c r="E404" s="15">
        <v>22</v>
      </c>
      <c r="F404" t="b">
        <f t="shared" si="12"/>
        <v>1</v>
      </c>
      <c r="G404" t="str">
        <f t="shared" si="13"/>
        <v>Peru Chef</v>
      </c>
    </row>
    <row r="405" spans="1:7" x14ac:dyDescent="0.25">
      <c r="A405" t="s">
        <v>272</v>
      </c>
      <c r="B405" t="s">
        <v>471</v>
      </c>
      <c r="C405" t="s">
        <v>442</v>
      </c>
      <c r="D405" s="15">
        <v>9</v>
      </c>
      <c r="E405" s="15">
        <v>9</v>
      </c>
      <c r="F405" t="b">
        <f t="shared" si="12"/>
        <v>1</v>
      </c>
      <c r="G405" t="str">
        <f t="shared" si="13"/>
        <v>Peru Chef</v>
      </c>
    </row>
    <row r="406" spans="1:7" x14ac:dyDescent="0.25">
      <c r="A406" t="s">
        <v>272</v>
      </c>
      <c r="B406" t="s">
        <v>471</v>
      </c>
      <c r="C406" t="s">
        <v>440</v>
      </c>
      <c r="D406" s="15">
        <v>9</v>
      </c>
      <c r="E406" s="15">
        <v>9</v>
      </c>
      <c r="F406" t="b">
        <f t="shared" si="12"/>
        <v>1</v>
      </c>
      <c r="G406" t="str">
        <f t="shared" si="13"/>
        <v>Peru Chef</v>
      </c>
    </row>
    <row r="407" spans="1:7" x14ac:dyDescent="0.25">
      <c r="A407" t="s">
        <v>272</v>
      </c>
      <c r="B407" t="s">
        <v>471</v>
      </c>
      <c r="C407" t="s">
        <v>381</v>
      </c>
      <c r="D407" s="15">
        <v>125</v>
      </c>
      <c r="E407" s="15">
        <v>125</v>
      </c>
      <c r="F407" t="b">
        <f t="shared" si="12"/>
        <v>1</v>
      </c>
      <c r="G407" t="str">
        <f t="shared" si="13"/>
        <v>Peru Chef</v>
      </c>
    </row>
    <row r="408" spans="1:7" x14ac:dyDescent="0.25">
      <c r="A408" t="s">
        <v>272</v>
      </c>
      <c r="B408" t="s">
        <v>471</v>
      </c>
      <c r="C408" t="s">
        <v>508</v>
      </c>
      <c r="D408" s="15">
        <v>27</v>
      </c>
      <c r="E408" s="15">
        <v>27</v>
      </c>
      <c r="F408" t="b">
        <f t="shared" si="12"/>
        <v>1</v>
      </c>
      <c r="G408" t="str">
        <f t="shared" si="13"/>
        <v>Peru Chef</v>
      </c>
    </row>
    <row r="409" spans="1:7" x14ac:dyDescent="0.25">
      <c r="A409" t="s">
        <v>272</v>
      </c>
      <c r="B409" t="s">
        <v>471</v>
      </c>
      <c r="C409" t="s">
        <v>390</v>
      </c>
      <c r="D409" s="15">
        <v>43</v>
      </c>
      <c r="E409" s="15">
        <v>43</v>
      </c>
      <c r="F409" t="b">
        <f t="shared" si="12"/>
        <v>1</v>
      </c>
      <c r="G409" t="str">
        <f t="shared" si="13"/>
        <v>Peru Chef</v>
      </c>
    </row>
    <row r="410" spans="1:7" x14ac:dyDescent="0.25">
      <c r="A410" t="s">
        <v>272</v>
      </c>
      <c r="B410" t="s">
        <v>471</v>
      </c>
      <c r="C410" t="s">
        <v>481</v>
      </c>
      <c r="D410" s="15">
        <v>39</v>
      </c>
      <c r="E410" s="15">
        <v>39</v>
      </c>
      <c r="F410" t="b">
        <f t="shared" si="12"/>
        <v>1</v>
      </c>
      <c r="G410" t="str">
        <f t="shared" si="13"/>
        <v>Peru Chef</v>
      </c>
    </row>
    <row r="411" spans="1:7" x14ac:dyDescent="0.25">
      <c r="A411" t="s">
        <v>272</v>
      </c>
      <c r="B411" t="s">
        <v>471</v>
      </c>
      <c r="C411" t="s">
        <v>304</v>
      </c>
      <c r="D411" s="15">
        <v>14</v>
      </c>
      <c r="E411" s="15">
        <v>14</v>
      </c>
      <c r="F411" t="b">
        <f t="shared" si="12"/>
        <v>1</v>
      </c>
      <c r="G411" t="str">
        <f t="shared" si="13"/>
        <v>Peru Chef</v>
      </c>
    </row>
    <row r="412" spans="1:7" x14ac:dyDescent="0.25">
      <c r="A412" t="s">
        <v>272</v>
      </c>
      <c r="B412" t="s">
        <v>471</v>
      </c>
      <c r="C412" t="s">
        <v>473</v>
      </c>
      <c r="D412" s="15">
        <v>70.5</v>
      </c>
      <c r="E412" s="15">
        <v>70.5</v>
      </c>
      <c r="F412" t="b">
        <f t="shared" si="12"/>
        <v>1</v>
      </c>
      <c r="G412" t="str">
        <f t="shared" si="13"/>
        <v>Peru Chef</v>
      </c>
    </row>
    <row r="413" spans="1:7" x14ac:dyDescent="0.25">
      <c r="A413" t="s">
        <v>272</v>
      </c>
      <c r="B413" t="s">
        <v>471</v>
      </c>
      <c r="C413" t="s">
        <v>284</v>
      </c>
      <c r="D413" s="15">
        <v>39</v>
      </c>
      <c r="E413" s="15">
        <v>39</v>
      </c>
      <c r="F413" t="b">
        <f t="shared" si="12"/>
        <v>1</v>
      </c>
      <c r="G413" t="str">
        <f t="shared" si="13"/>
        <v>Peru Chef</v>
      </c>
    </row>
    <row r="414" spans="1:7" x14ac:dyDescent="0.25">
      <c r="A414" t="s">
        <v>272</v>
      </c>
      <c r="B414" t="s">
        <v>471</v>
      </c>
      <c r="C414" t="s">
        <v>276</v>
      </c>
      <c r="D414" s="15">
        <v>33</v>
      </c>
      <c r="E414" s="15">
        <v>33</v>
      </c>
      <c r="F414" t="b">
        <f t="shared" si="12"/>
        <v>1</v>
      </c>
      <c r="G414" t="str">
        <f t="shared" si="13"/>
        <v>Peru Chef</v>
      </c>
    </row>
    <row r="415" spans="1:7" x14ac:dyDescent="0.25">
      <c r="A415" t="s">
        <v>272</v>
      </c>
      <c r="B415" t="s">
        <v>471</v>
      </c>
      <c r="C415" t="s">
        <v>487</v>
      </c>
      <c r="D415" s="15">
        <v>22</v>
      </c>
      <c r="E415" s="15">
        <v>22</v>
      </c>
      <c r="F415" t="b">
        <f t="shared" si="12"/>
        <v>1</v>
      </c>
      <c r="G415" t="str">
        <f t="shared" si="13"/>
        <v>Peru Chef</v>
      </c>
    </row>
    <row r="416" spans="1:7" x14ac:dyDescent="0.25">
      <c r="A416" t="s">
        <v>272</v>
      </c>
      <c r="B416" t="s">
        <v>471</v>
      </c>
      <c r="C416" t="s">
        <v>314</v>
      </c>
      <c r="D416" s="15">
        <v>39</v>
      </c>
      <c r="E416" s="15">
        <v>39</v>
      </c>
      <c r="F416" t="b">
        <f t="shared" si="12"/>
        <v>1</v>
      </c>
      <c r="G416" t="str">
        <f t="shared" si="13"/>
        <v>Peru Chef</v>
      </c>
    </row>
    <row r="417" spans="1:7" x14ac:dyDescent="0.25">
      <c r="A417" t="s">
        <v>272</v>
      </c>
      <c r="B417" t="s">
        <v>471</v>
      </c>
      <c r="C417" t="s">
        <v>416</v>
      </c>
      <c r="D417" s="15">
        <v>55</v>
      </c>
      <c r="E417" s="15">
        <v>55</v>
      </c>
      <c r="F417" t="b">
        <f t="shared" si="12"/>
        <v>1</v>
      </c>
      <c r="G417" t="str">
        <f t="shared" si="13"/>
        <v>Peru Chef</v>
      </c>
    </row>
    <row r="418" spans="1:7" x14ac:dyDescent="0.25">
      <c r="A418" t="s">
        <v>272</v>
      </c>
      <c r="B418" t="s">
        <v>471</v>
      </c>
      <c r="C418" t="s">
        <v>492</v>
      </c>
      <c r="D418" s="15">
        <v>32</v>
      </c>
      <c r="E418" s="15">
        <v>32</v>
      </c>
      <c r="F418" t="b">
        <f t="shared" si="12"/>
        <v>1</v>
      </c>
      <c r="G418" t="str">
        <f t="shared" si="13"/>
        <v>Peru Chef</v>
      </c>
    </row>
    <row r="419" spans="1:7" x14ac:dyDescent="0.25">
      <c r="A419" t="s">
        <v>272</v>
      </c>
      <c r="B419" t="s">
        <v>471</v>
      </c>
      <c r="C419" t="s">
        <v>290</v>
      </c>
      <c r="D419" s="15">
        <v>30</v>
      </c>
      <c r="E419" s="15">
        <v>30</v>
      </c>
      <c r="F419" t="b">
        <f t="shared" si="12"/>
        <v>1</v>
      </c>
      <c r="G419" t="str">
        <f t="shared" si="13"/>
        <v>Peru Chef</v>
      </c>
    </row>
    <row r="420" spans="1:7" x14ac:dyDescent="0.25">
      <c r="A420" t="s">
        <v>272</v>
      </c>
      <c r="B420" t="s">
        <v>471</v>
      </c>
      <c r="C420" t="s">
        <v>312</v>
      </c>
      <c r="D420" s="15">
        <v>26</v>
      </c>
      <c r="E420" s="15">
        <v>26</v>
      </c>
      <c r="F420" t="b">
        <f t="shared" si="12"/>
        <v>1</v>
      </c>
      <c r="G420" t="str">
        <f t="shared" si="13"/>
        <v>Peru Chef</v>
      </c>
    </row>
    <row r="421" spans="1:7" x14ac:dyDescent="0.25">
      <c r="A421" t="s">
        <v>272</v>
      </c>
      <c r="B421" t="s">
        <v>471</v>
      </c>
      <c r="C421" t="s">
        <v>469</v>
      </c>
      <c r="D421" s="15">
        <v>42</v>
      </c>
      <c r="E421" s="15">
        <v>42</v>
      </c>
      <c r="F421" t="b">
        <f t="shared" si="12"/>
        <v>1</v>
      </c>
      <c r="G421" t="str">
        <f t="shared" si="13"/>
        <v>Peru Chef</v>
      </c>
    </row>
    <row r="422" spans="1:7" x14ac:dyDescent="0.25">
      <c r="A422" t="s">
        <v>272</v>
      </c>
      <c r="B422" t="s">
        <v>471</v>
      </c>
      <c r="C422" t="s">
        <v>298</v>
      </c>
      <c r="D422" s="15">
        <v>19</v>
      </c>
      <c r="E422" s="15">
        <v>19</v>
      </c>
      <c r="F422" t="b">
        <f t="shared" si="12"/>
        <v>1</v>
      </c>
      <c r="G422" t="str">
        <f t="shared" si="13"/>
        <v>Peru Chef</v>
      </c>
    </row>
    <row r="423" spans="1:7" x14ac:dyDescent="0.25">
      <c r="A423" t="s">
        <v>272</v>
      </c>
      <c r="B423" t="s">
        <v>471</v>
      </c>
      <c r="C423" t="s">
        <v>278</v>
      </c>
      <c r="D423" s="15">
        <v>40</v>
      </c>
      <c r="E423" s="15">
        <v>40</v>
      </c>
      <c r="F423" t="b">
        <f t="shared" si="12"/>
        <v>1</v>
      </c>
      <c r="G423" t="str">
        <f t="shared" si="13"/>
        <v>Peru Chef</v>
      </c>
    </row>
    <row r="424" spans="1:7" x14ac:dyDescent="0.25">
      <c r="A424" t="s">
        <v>272</v>
      </c>
      <c r="B424" t="s">
        <v>471</v>
      </c>
      <c r="C424" t="s">
        <v>447</v>
      </c>
      <c r="D424" s="15">
        <v>40</v>
      </c>
      <c r="E424" s="15">
        <v>40</v>
      </c>
      <c r="F424" t="b">
        <f t="shared" si="12"/>
        <v>1</v>
      </c>
      <c r="G424" t="str">
        <f t="shared" si="13"/>
        <v>Peru Chef</v>
      </c>
    </row>
    <row r="425" spans="1:7" x14ac:dyDescent="0.25">
      <c r="A425" t="s">
        <v>272</v>
      </c>
      <c r="B425" t="s">
        <v>471</v>
      </c>
      <c r="C425" t="s">
        <v>280</v>
      </c>
      <c r="D425" s="15">
        <v>44</v>
      </c>
      <c r="E425" s="15">
        <v>44</v>
      </c>
      <c r="F425" t="b">
        <f t="shared" si="12"/>
        <v>1</v>
      </c>
      <c r="G425" t="str">
        <f t="shared" si="13"/>
        <v>Peru Chef</v>
      </c>
    </row>
    <row r="426" spans="1:7" x14ac:dyDescent="0.25">
      <c r="A426" t="s">
        <v>272</v>
      </c>
      <c r="B426" t="s">
        <v>471</v>
      </c>
      <c r="C426" t="s">
        <v>282</v>
      </c>
      <c r="D426" s="15">
        <v>66</v>
      </c>
      <c r="E426" s="15">
        <v>66</v>
      </c>
      <c r="F426" t="b">
        <f t="shared" si="12"/>
        <v>1</v>
      </c>
      <c r="G426" t="str">
        <f t="shared" si="13"/>
        <v>Peru Chef</v>
      </c>
    </row>
    <row r="427" spans="1:7" x14ac:dyDescent="0.25">
      <c r="A427" t="s">
        <v>272</v>
      </c>
      <c r="B427" t="s">
        <v>471</v>
      </c>
      <c r="C427" t="s">
        <v>302</v>
      </c>
      <c r="D427" s="15">
        <v>30</v>
      </c>
      <c r="E427" s="15">
        <v>30</v>
      </c>
      <c r="F427" t="b">
        <f t="shared" si="12"/>
        <v>1</v>
      </c>
      <c r="G427" t="str">
        <f t="shared" si="13"/>
        <v>Peru Chef</v>
      </c>
    </row>
    <row r="428" spans="1:7" x14ac:dyDescent="0.25">
      <c r="A428" t="s">
        <v>272</v>
      </c>
      <c r="B428" t="s">
        <v>471</v>
      </c>
      <c r="C428" t="s">
        <v>475</v>
      </c>
      <c r="D428" s="15">
        <v>42</v>
      </c>
      <c r="E428" s="15">
        <v>42</v>
      </c>
      <c r="F428" t="b">
        <f t="shared" si="12"/>
        <v>1</v>
      </c>
      <c r="G428" t="str">
        <f t="shared" si="13"/>
        <v>Peru Chef</v>
      </c>
    </row>
    <row r="429" spans="1:7" x14ac:dyDescent="0.25">
      <c r="A429" t="s">
        <v>272</v>
      </c>
      <c r="B429" t="s">
        <v>471</v>
      </c>
      <c r="C429" t="s">
        <v>477</v>
      </c>
      <c r="D429" s="15">
        <v>39</v>
      </c>
      <c r="E429" s="15">
        <v>39</v>
      </c>
      <c r="F429" t="b">
        <f t="shared" si="12"/>
        <v>1</v>
      </c>
      <c r="G429" t="str">
        <f t="shared" si="13"/>
        <v>Peru Chef</v>
      </c>
    </row>
    <row r="430" spans="1:7" x14ac:dyDescent="0.25">
      <c r="A430" t="s">
        <v>272</v>
      </c>
      <c r="B430" t="s">
        <v>471</v>
      </c>
      <c r="C430" t="s">
        <v>483</v>
      </c>
      <c r="D430" s="15">
        <v>60</v>
      </c>
      <c r="E430" s="15">
        <v>60</v>
      </c>
      <c r="F430" t="b">
        <f t="shared" si="12"/>
        <v>1</v>
      </c>
      <c r="G430" t="str">
        <f t="shared" si="13"/>
        <v>Peru Chef</v>
      </c>
    </row>
    <row r="431" spans="1:7" x14ac:dyDescent="0.25">
      <c r="A431" t="s">
        <v>272</v>
      </c>
      <c r="B431" t="s">
        <v>471</v>
      </c>
      <c r="C431" t="s">
        <v>479</v>
      </c>
      <c r="D431" s="15">
        <v>49.5</v>
      </c>
      <c r="E431" s="15">
        <v>49.5</v>
      </c>
      <c r="F431" t="b">
        <f t="shared" si="12"/>
        <v>1</v>
      </c>
      <c r="G431" t="str">
        <f t="shared" si="13"/>
        <v>Peru Chef</v>
      </c>
    </row>
    <row r="432" spans="1:7" x14ac:dyDescent="0.25">
      <c r="A432" t="s">
        <v>272</v>
      </c>
      <c r="B432" t="s">
        <v>471</v>
      </c>
      <c r="C432" t="s">
        <v>490</v>
      </c>
      <c r="D432" s="15">
        <v>18</v>
      </c>
      <c r="E432" s="15">
        <v>18</v>
      </c>
      <c r="F432" t="b">
        <f t="shared" si="12"/>
        <v>1</v>
      </c>
      <c r="G432" t="str">
        <f t="shared" si="13"/>
        <v>Peru Chef</v>
      </c>
    </row>
    <row r="433" spans="1:7" x14ac:dyDescent="0.25">
      <c r="A433" t="s">
        <v>272</v>
      </c>
      <c r="B433" t="s">
        <v>471</v>
      </c>
      <c r="C433" t="s">
        <v>300</v>
      </c>
      <c r="D433" s="15">
        <v>21</v>
      </c>
      <c r="E433" s="15">
        <v>21</v>
      </c>
      <c r="F433" t="b">
        <f t="shared" si="12"/>
        <v>1</v>
      </c>
      <c r="G433" t="str">
        <f t="shared" si="13"/>
        <v>Peru Chef</v>
      </c>
    </row>
    <row r="434" spans="1:7" x14ac:dyDescent="0.25">
      <c r="A434" t="s">
        <v>272</v>
      </c>
      <c r="B434" t="s">
        <v>471</v>
      </c>
      <c r="C434" t="s">
        <v>426</v>
      </c>
      <c r="D434" s="15">
        <v>15</v>
      </c>
      <c r="E434" s="15">
        <v>15</v>
      </c>
      <c r="F434" t="b">
        <f t="shared" si="12"/>
        <v>1</v>
      </c>
      <c r="G434" t="str">
        <f t="shared" si="13"/>
        <v>Peru Chef</v>
      </c>
    </row>
    <row r="435" spans="1:7" x14ac:dyDescent="0.25">
      <c r="A435" t="s">
        <v>272</v>
      </c>
      <c r="B435" t="s">
        <v>471</v>
      </c>
      <c r="C435" t="s">
        <v>494</v>
      </c>
      <c r="D435" s="15">
        <v>5.5</v>
      </c>
      <c r="E435" s="15">
        <v>5.5</v>
      </c>
      <c r="F435" t="b">
        <f t="shared" si="12"/>
        <v>1</v>
      </c>
      <c r="G435" t="str">
        <f t="shared" si="13"/>
        <v>Peru Chef</v>
      </c>
    </row>
    <row r="436" spans="1:7" x14ac:dyDescent="0.25">
      <c r="A436" t="s">
        <v>272</v>
      </c>
      <c r="B436" t="s">
        <v>471</v>
      </c>
      <c r="C436" t="s">
        <v>366</v>
      </c>
      <c r="D436" s="15">
        <v>37</v>
      </c>
      <c r="E436" s="15">
        <v>37</v>
      </c>
      <c r="F436" t="b">
        <f t="shared" si="12"/>
        <v>1</v>
      </c>
      <c r="G436" t="str">
        <f t="shared" si="13"/>
        <v>Peru Chef</v>
      </c>
    </row>
    <row r="437" spans="1:7" x14ac:dyDescent="0.25">
      <c r="A437" t="s">
        <v>272</v>
      </c>
      <c r="B437" t="s">
        <v>471</v>
      </c>
      <c r="C437" t="s">
        <v>333</v>
      </c>
      <c r="D437" s="15">
        <v>39</v>
      </c>
      <c r="E437" s="15">
        <v>39</v>
      </c>
      <c r="F437" t="b">
        <f t="shared" si="12"/>
        <v>1</v>
      </c>
      <c r="G437" t="str">
        <f t="shared" si="13"/>
        <v>Peru Chef</v>
      </c>
    </row>
    <row r="438" spans="1:7" x14ac:dyDescent="0.25">
      <c r="A438" t="s">
        <v>272</v>
      </c>
      <c r="B438" t="s">
        <v>510</v>
      </c>
      <c r="C438" t="s">
        <v>372</v>
      </c>
      <c r="D438" s="15">
        <v>9</v>
      </c>
      <c r="E438" s="15">
        <v>39</v>
      </c>
      <c r="F438" t="b">
        <f t="shared" si="12"/>
        <v>0</v>
      </c>
      <c r="G438" t="str">
        <f t="shared" si="13"/>
        <v>Peru Chef</v>
      </c>
    </row>
    <row r="439" spans="1:7" x14ac:dyDescent="0.25">
      <c r="A439" t="s">
        <v>272</v>
      </c>
      <c r="B439" t="s">
        <v>510</v>
      </c>
      <c r="C439" t="s">
        <v>308</v>
      </c>
      <c r="D439" s="15">
        <v>-21.5</v>
      </c>
      <c r="E439" s="15">
        <v>3.5</v>
      </c>
      <c r="F439" t="b">
        <f t="shared" si="12"/>
        <v>0</v>
      </c>
      <c r="G439" t="str">
        <f t="shared" si="13"/>
        <v>Peru Chef</v>
      </c>
    </row>
    <row r="440" spans="1:7" x14ac:dyDescent="0.25">
      <c r="A440" t="s">
        <v>272</v>
      </c>
      <c r="B440" t="s">
        <v>510</v>
      </c>
      <c r="C440" t="s">
        <v>320</v>
      </c>
      <c r="D440" s="15">
        <v>24</v>
      </c>
      <c r="E440" s="15">
        <v>24</v>
      </c>
      <c r="F440" t="b">
        <f t="shared" si="12"/>
        <v>1</v>
      </c>
      <c r="G440" t="str">
        <f t="shared" si="13"/>
        <v>Peru Chef</v>
      </c>
    </row>
    <row r="441" spans="1:7" x14ac:dyDescent="0.25">
      <c r="A441" t="s">
        <v>272</v>
      </c>
      <c r="B441" t="s">
        <v>512</v>
      </c>
      <c r="C441" t="s">
        <v>90</v>
      </c>
      <c r="D441" s="15">
        <v>17</v>
      </c>
      <c r="E441" s="15">
        <v>17</v>
      </c>
      <c r="F441" t="b">
        <f t="shared" si="12"/>
        <v>1</v>
      </c>
      <c r="G441" t="str">
        <f t="shared" si="13"/>
        <v>Peru Chef</v>
      </c>
    </row>
    <row r="442" spans="1:7" x14ac:dyDescent="0.25">
      <c r="A442" t="s">
        <v>272</v>
      </c>
      <c r="B442" t="s">
        <v>512</v>
      </c>
      <c r="C442" t="s">
        <v>88</v>
      </c>
      <c r="D442" s="15">
        <v>17</v>
      </c>
      <c r="E442" s="15">
        <v>17</v>
      </c>
      <c r="F442" t="b">
        <f t="shared" si="12"/>
        <v>1</v>
      </c>
      <c r="G442" t="str">
        <f t="shared" si="13"/>
        <v>Peru Chef</v>
      </c>
    </row>
    <row r="443" spans="1:7" x14ac:dyDescent="0.25">
      <c r="A443" t="s">
        <v>272</v>
      </c>
      <c r="B443" t="s">
        <v>512</v>
      </c>
      <c r="C443" t="s">
        <v>92</v>
      </c>
      <c r="D443" s="15">
        <v>17</v>
      </c>
      <c r="E443" s="15">
        <v>17</v>
      </c>
      <c r="F443" t="b">
        <f t="shared" si="12"/>
        <v>1</v>
      </c>
      <c r="G443" t="str">
        <f t="shared" si="13"/>
        <v>Peru Chef</v>
      </c>
    </row>
    <row r="444" spans="1:7" x14ac:dyDescent="0.25">
      <c r="A444" t="s">
        <v>272</v>
      </c>
      <c r="B444" t="s">
        <v>512</v>
      </c>
      <c r="C444" t="s">
        <v>86</v>
      </c>
      <c r="D444" s="15">
        <v>17</v>
      </c>
      <c r="E444" s="15">
        <v>17</v>
      </c>
      <c r="F444" t="b">
        <f t="shared" si="12"/>
        <v>1</v>
      </c>
      <c r="G444" t="str">
        <f t="shared" si="13"/>
        <v>Peru Chef</v>
      </c>
    </row>
    <row r="445" spans="1:7" x14ac:dyDescent="0.25">
      <c r="A445" t="s">
        <v>272</v>
      </c>
      <c r="B445" t="s">
        <v>512</v>
      </c>
      <c r="C445" t="s">
        <v>496</v>
      </c>
      <c r="D445" s="15">
        <v>22</v>
      </c>
      <c r="E445" s="15">
        <v>22</v>
      </c>
      <c r="F445" t="b">
        <f t="shared" si="12"/>
        <v>1</v>
      </c>
      <c r="G445" t="str">
        <f t="shared" si="13"/>
        <v>Peru Chef</v>
      </c>
    </row>
    <row r="446" spans="1:7" x14ac:dyDescent="0.25">
      <c r="A446" t="s">
        <v>272</v>
      </c>
      <c r="B446" t="s">
        <v>512</v>
      </c>
      <c r="C446" t="s">
        <v>380</v>
      </c>
      <c r="D446" s="15">
        <v>61</v>
      </c>
      <c r="E446" s="15">
        <v>61</v>
      </c>
      <c r="F446" t="b">
        <f t="shared" si="12"/>
        <v>1</v>
      </c>
      <c r="G446" t="str">
        <f t="shared" si="13"/>
        <v>Peru Chef</v>
      </c>
    </row>
    <row r="447" spans="1:7" x14ac:dyDescent="0.25">
      <c r="A447" t="s">
        <v>272</v>
      </c>
      <c r="B447" t="s">
        <v>512</v>
      </c>
      <c r="C447" t="s">
        <v>506</v>
      </c>
      <c r="D447" s="15">
        <v>22</v>
      </c>
      <c r="E447" s="15">
        <v>22</v>
      </c>
      <c r="F447" t="b">
        <f t="shared" si="12"/>
        <v>1</v>
      </c>
      <c r="G447" t="str">
        <f t="shared" si="13"/>
        <v>Peru Chef</v>
      </c>
    </row>
    <row r="448" spans="1:7" x14ac:dyDescent="0.25">
      <c r="A448" t="s">
        <v>272</v>
      </c>
      <c r="B448" t="s">
        <v>512</v>
      </c>
      <c r="C448" t="s">
        <v>498</v>
      </c>
      <c r="D448" s="15">
        <v>13</v>
      </c>
      <c r="E448" s="15">
        <v>13</v>
      </c>
      <c r="F448" t="b">
        <f t="shared" si="12"/>
        <v>1</v>
      </c>
      <c r="G448" t="str">
        <f t="shared" si="13"/>
        <v>Peru Chef</v>
      </c>
    </row>
    <row r="449" spans="1:7" x14ac:dyDescent="0.25">
      <c r="A449" t="s">
        <v>272</v>
      </c>
      <c r="B449" t="s">
        <v>512</v>
      </c>
      <c r="C449" t="s">
        <v>500</v>
      </c>
      <c r="D449" s="15">
        <v>13</v>
      </c>
      <c r="E449" s="15">
        <v>13</v>
      </c>
      <c r="F449" t="b">
        <f t="shared" si="12"/>
        <v>1</v>
      </c>
      <c r="G449" t="str">
        <f t="shared" si="13"/>
        <v>Peru Chef</v>
      </c>
    </row>
    <row r="450" spans="1:7" x14ac:dyDescent="0.25">
      <c r="A450" t="s">
        <v>272</v>
      </c>
      <c r="B450" t="s">
        <v>512</v>
      </c>
      <c r="C450" t="s">
        <v>502</v>
      </c>
      <c r="D450" s="15">
        <v>22</v>
      </c>
      <c r="E450" s="15">
        <v>22</v>
      </c>
      <c r="F450" t="b">
        <f t="shared" si="12"/>
        <v>1</v>
      </c>
      <c r="G450" t="str">
        <f t="shared" si="13"/>
        <v>Peru Chef</v>
      </c>
    </row>
    <row r="451" spans="1:7" x14ac:dyDescent="0.25">
      <c r="A451" t="s">
        <v>272</v>
      </c>
      <c r="B451" t="s">
        <v>512</v>
      </c>
      <c r="C451" t="s">
        <v>504</v>
      </c>
      <c r="D451" s="15">
        <v>22</v>
      </c>
      <c r="E451" s="15">
        <v>22</v>
      </c>
      <c r="F451" t="b">
        <f t="shared" si="12"/>
        <v>1</v>
      </c>
      <c r="G451" t="str">
        <f t="shared" si="13"/>
        <v>Peru Chef</v>
      </c>
    </row>
    <row r="452" spans="1:7" x14ac:dyDescent="0.25">
      <c r="A452" t="s">
        <v>272</v>
      </c>
      <c r="B452" t="s">
        <v>512</v>
      </c>
      <c r="C452" t="s">
        <v>440</v>
      </c>
      <c r="D452" s="15">
        <v>9</v>
      </c>
      <c r="E452" s="15">
        <v>9</v>
      </c>
      <c r="F452" t="b">
        <f t="shared" si="12"/>
        <v>1</v>
      </c>
      <c r="G452" t="str">
        <f t="shared" si="13"/>
        <v>Peru Chef</v>
      </c>
    </row>
    <row r="453" spans="1:7" x14ac:dyDescent="0.25">
      <c r="A453" t="s">
        <v>272</v>
      </c>
      <c r="B453" t="s">
        <v>512</v>
      </c>
      <c r="C453" t="s">
        <v>537</v>
      </c>
      <c r="D453" s="15">
        <v>42</v>
      </c>
      <c r="E453" s="15">
        <v>42</v>
      </c>
      <c r="F453" t="b">
        <f t="shared" si="12"/>
        <v>1</v>
      </c>
      <c r="G453" t="str">
        <f t="shared" si="13"/>
        <v>Peru Chef</v>
      </c>
    </row>
    <row r="454" spans="1:7" x14ac:dyDescent="0.25">
      <c r="A454" t="s">
        <v>272</v>
      </c>
      <c r="B454" t="s">
        <v>512</v>
      </c>
      <c r="C454" t="s">
        <v>412</v>
      </c>
      <c r="D454" s="15">
        <v>39</v>
      </c>
      <c r="E454" s="15">
        <v>39</v>
      </c>
      <c r="F454" t="b">
        <f t="shared" ref="F454:F517" si="14">D454=E454</f>
        <v>1</v>
      </c>
      <c r="G454" t="str">
        <f t="shared" ref="G454:G517" si="15">+A454</f>
        <v>Peru Chef</v>
      </c>
    </row>
    <row r="455" spans="1:7" x14ac:dyDescent="0.25">
      <c r="A455" t="s">
        <v>272</v>
      </c>
      <c r="B455" t="s">
        <v>512</v>
      </c>
      <c r="C455" t="s">
        <v>541</v>
      </c>
      <c r="D455" s="15">
        <v>46</v>
      </c>
      <c r="E455" s="15">
        <v>46</v>
      </c>
      <c r="F455" t="b">
        <f t="shared" si="14"/>
        <v>1</v>
      </c>
      <c r="G455" t="str">
        <f t="shared" si="15"/>
        <v>Peru Chef</v>
      </c>
    </row>
    <row r="456" spans="1:7" x14ac:dyDescent="0.25">
      <c r="A456" t="s">
        <v>272</v>
      </c>
      <c r="B456" t="s">
        <v>512</v>
      </c>
      <c r="C456" t="s">
        <v>539</v>
      </c>
      <c r="D456" s="15">
        <v>39</v>
      </c>
      <c r="E456" s="15">
        <v>39</v>
      </c>
      <c r="F456" t="b">
        <f t="shared" si="14"/>
        <v>1</v>
      </c>
      <c r="G456" t="str">
        <f t="shared" si="15"/>
        <v>Peru Chef</v>
      </c>
    </row>
    <row r="457" spans="1:7" x14ac:dyDescent="0.25">
      <c r="A457" t="s">
        <v>272</v>
      </c>
      <c r="B457" t="s">
        <v>512</v>
      </c>
      <c r="C457" t="s">
        <v>390</v>
      </c>
      <c r="D457" s="15">
        <v>43</v>
      </c>
      <c r="E457" s="15">
        <v>43</v>
      </c>
      <c r="F457" t="b">
        <f t="shared" si="14"/>
        <v>1</v>
      </c>
      <c r="G457" t="str">
        <f t="shared" si="15"/>
        <v>Peru Chef</v>
      </c>
    </row>
    <row r="458" spans="1:7" x14ac:dyDescent="0.25">
      <c r="A458" t="s">
        <v>272</v>
      </c>
      <c r="B458" t="s">
        <v>512</v>
      </c>
      <c r="C458" t="s">
        <v>481</v>
      </c>
      <c r="D458" s="15">
        <v>39</v>
      </c>
      <c r="E458" s="15">
        <v>39</v>
      </c>
      <c r="F458" t="b">
        <f t="shared" si="14"/>
        <v>1</v>
      </c>
      <c r="G458" t="str">
        <f t="shared" si="15"/>
        <v>Peru Chef</v>
      </c>
    </row>
    <row r="459" spans="1:7" x14ac:dyDescent="0.25">
      <c r="A459" t="s">
        <v>272</v>
      </c>
      <c r="B459" t="s">
        <v>512</v>
      </c>
      <c r="C459" t="s">
        <v>532</v>
      </c>
      <c r="D459" s="15">
        <v>39</v>
      </c>
      <c r="E459" s="15">
        <v>39</v>
      </c>
      <c r="F459" t="b">
        <f t="shared" si="14"/>
        <v>1</v>
      </c>
      <c r="G459" t="str">
        <f t="shared" si="15"/>
        <v>Peru Chef</v>
      </c>
    </row>
    <row r="460" spans="1:7" x14ac:dyDescent="0.25">
      <c r="A460" t="s">
        <v>272</v>
      </c>
      <c r="B460" t="s">
        <v>512</v>
      </c>
      <c r="C460" t="s">
        <v>304</v>
      </c>
      <c r="D460" s="15">
        <v>14</v>
      </c>
      <c r="E460" s="15">
        <v>14</v>
      </c>
      <c r="F460" t="b">
        <f t="shared" si="14"/>
        <v>1</v>
      </c>
      <c r="G460" t="str">
        <f t="shared" si="15"/>
        <v>Peru Chef</v>
      </c>
    </row>
    <row r="461" spans="1:7" x14ac:dyDescent="0.25">
      <c r="A461" t="s">
        <v>272</v>
      </c>
      <c r="B461" t="s">
        <v>512</v>
      </c>
      <c r="C461" t="s">
        <v>473</v>
      </c>
      <c r="D461" s="15">
        <v>70.5</v>
      </c>
      <c r="E461" s="15">
        <v>70.5</v>
      </c>
      <c r="F461" t="b">
        <f t="shared" si="14"/>
        <v>1</v>
      </c>
      <c r="G461" t="str">
        <f t="shared" si="15"/>
        <v>Peru Chef</v>
      </c>
    </row>
    <row r="462" spans="1:7" x14ac:dyDescent="0.25">
      <c r="A462" t="s">
        <v>272</v>
      </c>
      <c r="B462" t="s">
        <v>512</v>
      </c>
      <c r="C462" t="s">
        <v>310</v>
      </c>
      <c r="D462" s="15">
        <v>24</v>
      </c>
      <c r="E462" s="15">
        <v>24</v>
      </c>
      <c r="F462" t="b">
        <f t="shared" si="14"/>
        <v>1</v>
      </c>
      <c r="G462" t="str">
        <f t="shared" si="15"/>
        <v>Peru Chef</v>
      </c>
    </row>
    <row r="463" spans="1:7" x14ac:dyDescent="0.25">
      <c r="A463" t="s">
        <v>272</v>
      </c>
      <c r="B463" t="s">
        <v>512</v>
      </c>
      <c r="C463" t="s">
        <v>284</v>
      </c>
      <c r="D463" s="15">
        <v>39</v>
      </c>
      <c r="E463" s="15">
        <v>39</v>
      </c>
      <c r="F463" t="b">
        <f t="shared" si="14"/>
        <v>1</v>
      </c>
      <c r="G463" t="str">
        <f t="shared" si="15"/>
        <v>Peru Chef</v>
      </c>
    </row>
    <row r="464" spans="1:7" x14ac:dyDescent="0.25">
      <c r="A464" t="s">
        <v>272</v>
      </c>
      <c r="B464" t="s">
        <v>512</v>
      </c>
      <c r="C464" t="s">
        <v>276</v>
      </c>
      <c r="D464" s="15">
        <v>33</v>
      </c>
      <c r="E464" s="15">
        <v>33</v>
      </c>
      <c r="F464" t="b">
        <f t="shared" si="14"/>
        <v>1</v>
      </c>
      <c r="G464" t="str">
        <f t="shared" si="15"/>
        <v>Peru Chef</v>
      </c>
    </row>
    <row r="465" spans="1:7" x14ac:dyDescent="0.25">
      <c r="A465" t="s">
        <v>272</v>
      </c>
      <c r="B465" t="s">
        <v>512</v>
      </c>
      <c r="C465" t="s">
        <v>487</v>
      </c>
      <c r="D465" s="15">
        <v>22</v>
      </c>
      <c r="E465" s="15">
        <v>22</v>
      </c>
      <c r="F465" t="b">
        <f t="shared" si="14"/>
        <v>1</v>
      </c>
      <c r="G465" t="str">
        <f t="shared" si="15"/>
        <v>Peru Chef</v>
      </c>
    </row>
    <row r="466" spans="1:7" x14ac:dyDescent="0.25">
      <c r="A466" t="s">
        <v>272</v>
      </c>
      <c r="B466" t="s">
        <v>512</v>
      </c>
      <c r="C466" t="s">
        <v>416</v>
      </c>
      <c r="D466" s="15">
        <v>55</v>
      </c>
      <c r="E466" s="15">
        <v>55</v>
      </c>
      <c r="F466" t="b">
        <f t="shared" si="14"/>
        <v>1</v>
      </c>
      <c r="G466" t="str">
        <f t="shared" si="15"/>
        <v>Peru Chef</v>
      </c>
    </row>
    <row r="467" spans="1:7" x14ac:dyDescent="0.25">
      <c r="A467" t="s">
        <v>272</v>
      </c>
      <c r="B467" t="s">
        <v>512</v>
      </c>
      <c r="C467" t="s">
        <v>294</v>
      </c>
      <c r="D467" s="15">
        <v>36</v>
      </c>
      <c r="E467" s="15">
        <v>36</v>
      </c>
      <c r="F467" t="b">
        <f t="shared" si="14"/>
        <v>1</v>
      </c>
      <c r="G467" t="str">
        <f t="shared" si="15"/>
        <v>Peru Chef</v>
      </c>
    </row>
    <row r="468" spans="1:7" x14ac:dyDescent="0.25">
      <c r="A468" t="s">
        <v>272</v>
      </c>
      <c r="B468" t="s">
        <v>512</v>
      </c>
      <c r="C468" t="s">
        <v>343</v>
      </c>
      <c r="D468" s="15">
        <v>58</v>
      </c>
      <c r="E468" s="15">
        <v>58</v>
      </c>
      <c r="F468" t="b">
        <f t="shared" si="14"/>
        <v>1</v>
      </c>
      <c r="G468" t="str">
        <f t="shared" si="15"/>
        <v>Peru Chef</v>
      </c>
    </row>
    <row r="469" spans="1:7" x14ac:dyDescent="0.25">
      <c r="A469" t="s">
        <v>272</v>
      </c>
      <c r="B469" t="s">
        <v>512</v>
      </c>
      <c r="C469" t="s">
        <v>312</v>
      </c>
      <c r="D469" s="15">
        <v>26</v>
      </c>
      <c r="E469" s="15">
        <v>26</v>
      </c>
      <c r="F469" t="b">
        <f t="shared" si="14"/>
        <v>1</v>
      </c>
      <c r="G469" t="str">
        <f t="shared" si="15"/>
        <v>Peru Chef</v>
      </c>
    </row>
    <row r="470" spans="1:7" x14ac:dyDescent="0.25">
      <c r="A470" t="s">
        <v>272</v>
      </c>
      <c r="B470" t="s">
        <v>512</v>
      </c>
      <c r="C470" t="s">
        <v>298</v>
      </c>
      <c r="D470" s="15">
        <v>19</v>
      </c>
      <c r="E470" s="15">
        <v>19</v>
      </c>
      <c r="F470" t="b">
        <f t="shared" si="14"/>
        <v>1</v>
      </c>
      <c r="G470" t="str">
        <f t="shared" si="15"/>
        <v>Peru Chef</v>
      </c>
    </row>
    <row r="471" spans="1:7" x14ac:dyDescent="0.25">
      <c r="A471" t="s">
        <v>272</v>
      </c>
      <c r="B471" t="s">
        <v>512</v>
      </c>
      <c r="C471" t="s">
        <v>282</v>
      </c>
      <c r="D471" s="15">
        <v>66</v>
      </c>
      <c r="E471" s="15">
        <v>66</v>
      </c>
      <c r="F471" t="b">
        <f t="shared" si="14"/>
        <v>1</v>
      </c>
      <c r="G471" t="str">
        <f t="shared" si="15"/>
        <v>Peru Chef</v>
      </c>
    </row>
    <row r="472" spans="1:7" x14ac:dyDescent="0.25">
      <c r="A472" t="s">
        <v>272</v>
      </c>
      <c r="B472" t="s">
        <v>512</v>
      </c>
      <c r="C472" t="s">
        <v>522</v>
      </c>
      <c r="D472" s="15">
        <v>48</v>
      </c>
      <c r="E472" s="15">
        <v>48</v>
      </c>
      <c r="F472" t="b">
        <f t="shared" si="14"/>
        <v>1</v>
      </c>
      <c r="G472" t="str">
        <f t="shared" si="15"/>
        <v>Peru Chef</v>
      </c>
    </row>
    <row r="473" spans="1:7" x14ac:dyDescent="0.25">
      <c r="A473" t="s">
        <v>272</v>
      </c>
      <c r="B473" t="s">
        <v>512</v>
      </c>
      <c r="C473" t="s">
        <v>302</v>
      </c>
      <c r="D473" s="15">
        <v>30</v>
      </c>
      <c r="E473" s="15">
        <v>30</v>
      </c>
      <c r="F473" t="b">
        <f t="shared" si="14"/>
        <v>1</v>
      </c>
      <c r="G473" t="str">
        <f t="shared" si="15"/>
        <v>Peru Chef</v>
      </c>
    </row>
    <row r="474" spans="1:7" x14ac:dyDescent="0.25">
      <c r="A474" t="s">
        <v>272</v>
      </c>
      <c r="B474" t="s">
        <v>512</v>
      </c>
      <c r="C474" t="s">
        <v>475</v>
      </c>
      <c r="D474" s="15">
        <v>42</v>
      </c>
      <c r="E474" s="15">
        <v>42</v>
      </c>
      <c r="F474" t="b">
        <f t="shared" si="14"/>
        <v>1</v>
      </c>
      <c r="G474" t="str">
        <f t="shared" si="15"/>
        <v>Peru Chef</v>
      </c>
    </row>
    <row r="475" spans="1:7" x14ac:dyDescent="0.25">
      <c r="A475" t="s">
        <v>272</v>
      </c>
      <c r="B475" t="s">
        <v>512</v>
      </c>
      <c r="C475" t="s">
        <v>526</v>
      </c>
      <c r="D475" s="15">
        <v>39</v>
      </c>
      <c r="E475" s="15">
        <v>39</v>
      </c>
      <c r="F475" t="b">
        <f t="shared" si="14"/>
        <v>1</v>
      </c>
      <c r="G475" t="str">
        <f t="shared" si="15"/>
        <v>Peru Chef</v>
      </c>
    </row>
    <row r="476" spans="1:7" x14ac:dyDescent="0.25">
      <c r="A476" t="s">
        <v>272</v>
      </c>
      <c r="B476" t="s">
        <v>512</v>
      </c>
      <c r="C476" t="s">
        <v>477</v>
      </c>
      <c r="D476" s="15">
        <v>39</v>
      </c>
      <c r="E476" s="15">
        <v>39</v>
      </c>
      <c r="F476" t="b">
        <f t="shared" si="14"/>
        <v>1</v>
      </c>
      <c r="G476" t="str">
        <f t="shared" si="15"/>
        <v>Peru Chef</v>
      </c>
    </row>
    <row r="477" spans="1:7" x14ac:dyDescent="0.25">
      <c r="A477" t="s">
        <v>272</v>
      </c>
      <c r="B477" t="s">
        <v>512</v>
      </c>
      <c r="C477" t="s">
        <v>483</v>
      </c>
      <c r="D477" s="15">
        <v>60</v>
      </c>
      <c r="E477" s="15">
        <v>60</v>
      </c>
      <c r="F477" t="b">
        <f t="shared" si="14"/>
        <v>1</v>
      </c>
      <c r="G477" t="str">
        <f t="shared" si="15"/>
        <v>Peru Chef</v>
      </c>
    </row>
    <row r="478" spans="1:7" x14ac:dyDescent="0.25">
      <c r="A478" t="s">
        <v>272</v>
      </c>
      <c r="B478" t="s">
        <v>512</v>
      </c>
      <c r="C478" t="s">
        <v>479</v>
      </c>
      <c r="D478" s="15">
        <v>49.5</v>
      </c>
      <c r="E478" s="15">
        <v>49.5</v>
      </c>
      <c r="F478" t="b">
        <f t="shared" si="14"/>
        <v>1</v>
      </c>
      <c r="G478" t="str">
        <f t="shared" si="15"/>
        <v>Peru Chef</v>
      </c>
    </row>
    <row r="479" spans="1:7" x14ac:dyDescent="0.25">
      <c r="A479" t="s">
        <v>272</v>
      </c>
      <c r="B479" t="s">
        <v>512</v>
      </c>
      <c r="C479" t="s">
        <v>286</v>
      </c>
      <c r="D479" s="15">
        <v>49.5</v>
      </c>
      <c r="E479" s="15">
        <v>49.5</v>
      </c>
      <c r="F479" t="b">
        <f t="shared" si="14"/>
        <v>1</v>
      </c>
      <c r="G479" t="str">
        <f t="shared" si="15"/>
        <v>Peru Chef</v>
      </c>
    </row>
    <row r="480" spans="1:7" x14ac:dyDescent="0.25">
      <c r="A480" t="s">
        <v>272</v>
      </c>
      <c r="B480" t="s">
        <v>512</v>
      </c>
      <c r="C480" t="s">
        <v>530</v>
      </c>
      <c r="D480" s="15">
        <v>57</v>
      </c>
      <c r="E480" s="15">
        <v>57</v>
      </c>
      <c r="F480" t="b">
        <f t="shared" si="14"/>
        <v>1</v>
      </c>
      <c r="G480" t="str">
        <f t="shared" si="15"/>
        <v>Peru Chef</v>
      </c>
    </row>
    <row r="481" spans="1:7" x14ac:dyDescent="0.25">
      <c r="A481" t="s">
        <v>272</v>
      </c>
      <c r="B481" t="s">
        <v>512</v>
      </c>
      <c r="C481" t="s">
        <v>490</v>
      </c>
      <c r="D481" s="15">
        <v>18</v>
      </c>
      <c r="E481" s="15">
        <v>18</v>
      </c>
      <c r="F481" t="b">
        <f t="shared" si="14"/>
        <v>1</v>
      </c>
      <c r="G481" t="str">
        <f t="shared" si="15"/>
        <v>Peru Chef</v>
      </c>
    </row>
    <row r="482" spans="1:7" x14ac:dyDescent="0.25">
      <c r="A482" t="s">
        <v>272</v>
      </c>
      <c r="B482" t="s">
        <v>512</v>
      </c>
      <c r="C482" t="s">
        <v>300</v>
      </c>
      <c r="D482" s="15">
        <v>21</v>
      </c>
      <c r="E482" s="15">
        <v>21</v>
      </c>
      <c r="F482" t="b">
        <f t="shared" si="14"/>
        <v>1</v>
      </c>
      <c r="G482" t="str">
        <f t="shared" si="15"/>
        <v>Peru Chef</v>
      </c>
    </row>
    <row r="483" spans="1:7" x14ac:dyDescent="0.25">
      <c r="A483" t="s">
        <v>272</v>
      </c>
      <c r="B483" t="s">
        <v>512</v>
      </c>
      <c r="C483" t="s">
        <v>370</v>
      </c>
      <c r="D483" s="15">
        <v>8</v>
      </c>
      <c r="E483" s="15">
        <v>8</v>
      </c>
      <c r="F483" t="b">
        <f t="shared" si="14"/>
        <v>1</v>
      </c>
      <c r="G483" t="str">
        <f t="shared" si="15"/>
        <v>Peru Chef</v>
      </c>
    </row>
    <row r="484" spans="1:7" x14ac:dyDescent="0.25">
      <c r="A484" t="s">
        <v>272</v>
      </c>
      <c r="B484" t="s">
        <v>512</v>
      </c>
      <c r="C484" t="s">
        <v>426</v>
      </c>
      <c r="D484" s="15">
        <v>15</v>
      </c>
      <c r="E484" s="15">
        <v>15</v>
      </c>
      <c r="F484" t="b">
        <f t="shared" si="14"/>
        <v>1</v>
      </c>
      <c r="G484" t="str">
        <f t="shared" si="15"/>
        <v>Peru Chef</v>
      </c>
    </row>
    <row r="485" spans="1:7" x14ac:dyDescent="0.25">
      <c r="A485" t="s">
        <v>272</v>
      </c>
      <c r="B485" t="s">
        <v>512</v>
      </c>
      <c r="C485" t="s">
        <v>494</v>
      </c>
      <c r="D485" s="15">
        <v>5.5</v>
      </c>
      <c r="E485" s="15">
        <v>5.5</v>
      </c>
      <c r="F485" t="b">
        <f t="shared" si="14"/>
        <v>1</v>
      </c>
      <c r="G485" t="str">
        <f t="shared" si="15"/>
        <v>Peru Chef</v>
      </c>
    </row>
    <row r="486" spans="1:7" x14ac:dyDescent="0.25">
      <c r="A486" t="s">
        <v>272</v>
      </c>
      <c r="B486" t="s">
        <v>512</v>
      </c>
      <c r="C486" t="s">
        <v>366</v>
      </c>
      <c r="D486" s="15">
        <v>37</v>
      </c>
      <c r="E486" s="15">
        <v>37</v>
      </c>
      <c r="F486" t="b">
        <f t="shared" si="14"/>
        <v>1</v>
      </c>
      <c r="G486" t="str">
        <f t="shared" si="15"/>
        <v>Peru Chef</v>
      </c>
    </row>
    <row r="487" spans="1:7" x14ac:dyDescent="0.25">
      <c r="A487" t="s">
        <v>272</v>
      </c>
      <c r="B487" t="s">
        <v>512</v>
      </c>
      <c r="C487" t="s">
        <v>553</v>
      </c>
      <c r="D487" s="15">
        <v>22</v>
      </c>
      <c r="E487" s="15">
        <v>22</v>
      </c>
      <c r="F487" t="b">
        <f t="shared" si="14"/>
        <v>1</v>
      </c>
      <c r="G487" t="str">
        <f t="shared" si="15"/>
        <v>Peru Chef</v>
      </c>
    </row>
    <row r="488" spans="1:7" x14ac:dyDescent="0.25">
      <c r="A488" t="s">
        <v>272</v>
      </c>
      <c r="B488" t="s">
        <v>512</v>
      </c>
      <c r="C488" t="s">
        <v>551</v>
      </c>
      <c r="D488" s="15">
        <v>22</v>
      </c>
      <c r="E488" s="15">
        <v>22</v>
      </c>
      <c r="F488" t="b">
        <f t="shared" si="14"/>
        <v>1</v>
      </c>
      <c r="G488" t="str">
        <f t="shared" si="15"/>
        <v>Peru Chef</v>
      </c>
    </row>
    <row r="489" spans="1:7" x14ac:dyDescent="0.25">
      <c r="A489" t="s">
        <v>272</v>
      </c>
      <c r="B489" t="s">
        <v>512</v>
      </c>
      <c r="C489" t="s">
        <v>557</v>
      </c>
      <c r="D489" s="15">
        <v>22</v>
      </c>
      <c r="E489" s="15">
        <v>22</v>
      </c>
      <c r="F489" t="b">
        <f t="shared" si="14"/>
        <v>1</v>
      </c>
      <c r="G489" t="str">
        <f t="shared" si="15"/>
        <v>Peru Chef</v>
      </c>
    </row>
    <row r="490" spans="1:7" x14ac:dyDescent="0.25">
      <c r="A490" t="s">
        <v>272</v>
      </c>
      <c r="B490" t="s">
        <v>512</v>
      </c>
      <c r="C490" t="s">
        <v>555</v>
      </c>
      <c r="D490" s="15">
        <v>22</v>
      </c>
      <c r="E490" s="15">
        <v>22</v>
      </c>
      <c r="F490" t="b">
        <f t="shared" si="14"/>
        <v>1</v>
      </c>
      <c r="G490" t="str">
        <f t="shared" si="15"/>
        <v>Peru Chef</v>
      </c>
    </row>
    <row r="491" spans="1:7" x14ac:dyDescent="0.25">
      <c r="A491" t="s">
        <v>272</v>
      </c>
      <c r="B491" t="s">
        <v>559</v>
      </c>
      <c r="C491" t="s">
        <v>561</v>
      </c>
      <c r="D491" s="15">
        <v>38</v>
      </c>
      <c r="E491" s="15">
        <v>38</v>
      </c>
      <c r="F491" t="b">
        <f t="shared" si="14"/>
        <v>1</v>
      </c>
      <c r="G491" t="str">
        <f t="shared" si="15"/>
        <v>Peru Chef</v>
      </c>
    </row>
    <row r="492" spans="1:7" x14ac:dyDescent="0.25">
      <c r="A492" t="s">
        <v>272</v>
      </c>
      <c r="B492" t="s">
        <v>563</v>
      </c>
      <c r="C492" t="s">
        <v>569</v>
      </c>
      <c r="D492" s="15">
        <v>180</v>
      </c>
      <c r="E492" s="15">
        <v>180</v>
      </c>
      <c r="F492" t="b">
        <f t="shared" si="14"/>
        <v>1</v>
      </c>
      <c r="G492" t="str">
        <f t="shared" si="15"/>
        <v>Peru Chef</v>
      </c>
    </row>
    <row r="493" spans="1:7" x14ac:dyDescent="0.25">
      <c r="A493" t="s">
        <v>272</v>
      </c>
      <c r="B493" t="s">
        <v>563</v>
      </c>
      <c r="C493" t="s">
        <v>88</v>
      </c>
      <c r="D493" s="15">
        <v>17</v>
      </c>
      <c r="E493" s="15">
        <v>17</v>
      </c>
      <c r="F493" t="b">
        <f t="shared" si="14"/>
        <v>1</v>
      </c>
      <c r="G493" t="str">
        <f t="shared" si="15"/>
        <v>Peru Chef</v>
      </c>
    </row>
    <row r="494" spans="1:7" x14ac:dyDescent="0.25">
      <c r="A494" t="s">
        <v>272</v>
      </c>
      <c r="B494" t="s">
        <v>563</v>
      </c>
      <c r="C494" t="s">
        <v>86</v>
      </c>
      <c r="D494" s="15">
        <v>17</v>
      </c>
      <c r="E494" s="15">
        <v>17</v>
      </c>
      <c r="F494" t="b">
        <f t="shared" si="14"/>
        <v>1</v>
      </c>
      <c r="G494" t="str">
        <f t="shared" si="15"/>
        <v>Peru Chef</v>
      </c>
    </row>
    <row r="495" spans="1:7" x14ac:dyDescent="0.25">
      <c r="A495" t="s">
        <v>272</v>
      </c>
      <c r="B495" t="s">
        <v>563</v>
      </c>
      <c r="C495" t="s">
        <v>424</v>
      </c>
      <c r="D495" s="15">
        <v>15.5</v>
      </c>
      <c r="E495" s="15">
        <v>15.5</v>
      </c>
      <c r="F495" t="b">
        <f t="shared" si="14"/>
        <v>1</v>
      </c>
      <c r="G495" t="str">
        <f t="shared" si="15"/>
        <v>Peru Chef</v>
      </c>
    </row>
    <row r="496" spans="1:7" x14ac:dyDescent="0.25">
      <c r="A496" t="s">
        <v>272</v>
      </c>
      <c r="B496" t="s">
        <v>563</v>
      </c>
      <c r="C496" t="s">
        <v>80</v>
      </c>
      <c r="D496" s="15">
        <v>15</v>
      </c>
      <c r="E496" s="15">
        <v>15</v>
      </c>
      <c r="F496" t="b">
        <f t="shared" si="14"/>
        <v>1</v>
      </c>
      <c r="G496" t="str">
        <f t="shared" si="15"/>
        <v>Peru Chef</v>
      </c>
    </row>
    <row r="497" spans="1:7" x14ac:dyDescent="0.25">
      <c r="A497" t="s">
        <v>272</v>
      </c>
      <c r="B497" t="s">
        <v>563</v>
      </c>
      <c r="C497" t="s">
        <v>380</v>
      </c>
      <c r="D497" s="15">
        <v>61</v>
      </c>
      <c r="E497" s="15">
        <v>61</v>
      </c>
      <c r="F497" t="b">
        <f t="shared" si="14"/>
        <v>1</v>
      </c>
      <c r="G497" t="str">
        <f t="shared" si="15"/>
        <v>Peru Chef</v>
      </c>
    </row>
    <row r="498" spans="1:7" x14ac:dyDescent="0.25">
      <c r="A498" t="s">
        <v>272</v>
      </c>
      <c r="B498" t="s">
        <v>563</v>
      </c>
      <c r="C498" t="s">
        <v>442</v>
      </c>
      <c r="D498" s="15">
        <v>9</v>
      </c>
      <c r="E498" s="15">
        <v>9</v>
      </c>
      <c r="F498" t="b">
        <f t="shared" si="14"/>
        <v>1</v>
      </c>
      <c r="G498" t="str">
        <f t="shared" si="15"/>
        <v>Peru Chef</v>
      </c>
    </row>
    <row r="499" spans="1:7" x14ac:dyDescent="0.25">
      <c r="A499" t="s">
        <v>272</v>
      </c>
      <c r="B499" t="s">
        <v>563</v>
      </c>
      <c r="C499" t="s">
        <v>48</v>
      </c>
      <c r="D499" s="15">
        <v>35</v>
      </c>
      <c r="E499" s="15">
        <v>35</v>
      </c>
      <c r="F499" t="b">
        <f t="shared" si="14"/>
        <v>1</v>
      </c>
      <c r="G499" t="str">
        <f t="shared" si="15"/>
        <v>Peru Chef</v>
      </c>
    </row>
    <row r="500" spans="1:7" x14ac:dyDescent="0.25">
      <c r="A500" t="s">
        <v>272</v>
      </c>
      <c r="B500" t="s">
        <v>563</v>
      </c>
      <c r="C500" t="s">
        <v>390</v>
      </c>
      <c r="D500" s="15">
        <v>43</v>
      </c>
      <c r="E500" s="15">
        <v>43</v>
      </c>
      <c r="F500" t="b">
        <f t="shared" si="14"/>
        <v>1</v>
      </c>
      <c r="G500" t="str">
        <f t="shared" si="15"/>
        <v>Peru Chef</v>
      </c>
    </row>
    <row r="501" spans="1:7" x14ac:dyDescent="0.25">
      <c r="A501" t="s">
        <v>272</v>
      </c>
      <c r="B501" t="s">
        <v>563</v>
      </c>
      <c r="C501" t="s">
        <v>473</v>
      </c>
      <c r="D501" s="15">
        <v>70.5</v>
      </c>
      <c r="E501" s="15">
        <v>70.5</v>
      </c>
      <c r="F501" t="b">
        <f t="shared" si="14"/>
        <v>1</v>
      </c>
      <c r="G501" t="str">
        <f t="shared" si="15"/>
        <v>Peru Chef</v>
      </c>
    </row>
    <row r="502" spans="1:7" x14ac:dyDescent="0.25">
      <c r="A502" t="s">
        <v>272</v>
      </c>
      <c r="B502" t="s">
        <v>563</v>
      </c>
      <c r="C502" t="s">
        <v>416</v>
      </c>
      <c r="D502" s="15">
        <v>55</v>
      </c>
      <c r="E502" s="15">
        <v>55</v>
      </c>
      <c r="F502" t="b">
        <f t="shared" si="14"/>
        <v>1</v>
      </c>
      <c r="G502" t="str">
        <f t="shared" si="15"/>
        <v>Peru Chef</v>
      </c>
    </row>
    <row r="503" spans="1:7" x14ac:dyDescent="0.25">
      <c r="A503" t="s">
        <v>272</v>
      </c>
      <c r="B503" t="s">
        <v>563</v>
      </c>
      <c r="C503" t="s">
        <v>294</v>
      </c>
      <c r="D503" s="15">
        <v>36</v>
      </c>
      <c r="E503" s="15">
        <v>36</v>
      </c>
      <c r="F503" t="b">
        <f t="shared" si="14"/>
        <v>1</v>
      </c>
      <c r="G503" t="str">
        <f t="shared" si="15"/>
        <v>Peru Chef</v>
      </c>
    </row>
    <row r="504" spans="1:7" x14ac:dyDescent="0.25">
      <c r="A504" t="s">
        <v>272</v>
      </c>
      <c r="B504" t="s">
        <v>563</v>
      </c>
      <c r="C504" t="s">
        <v>469</v>
      </c>
      <c r="D504" s="15">
        <v>36</v>
      </c>
      <c r="E504" s="15">
        <v>36</v>
      </c>
      <c r="F504" t="b">
        <f t="shared" si="14"/>
        <v>1</v>
      </c>
      <c r="G504" t="str">
        <f t="shared" si="15"/>
        <v>Peru Chef</v>
      </c>
    </row>
    <row r="505" spans="1:7" x14ac:dyDescent="0.25">
      <c r="A505" t="s">
        <v>272</v>
      </c>
      <c r="B505" t="s">
        <v>563</v>
      </c>
      <c r="C505" t="s">
        <v>388</v>
      </c>
      <c r="D505" s="15">
        <v>59.5</v>
      </c>
      <c r="E505" s="15">
        <v>59.5</v>
      </c>
      <c r="F505" t="b">
        <f t="shared" si="14"/>
        <v>1</v>
      </c>
      <c r="G505" t="str">
        <f t="shared" si="15"/>
        <v>Peru Chef</v>
      </c>
    </row>
    <row r="506" spans="1:7" x14ac:dyDescent="0.25">
      <c r="A506" t="s">
        <v>272</v>
      </c>
      <c r="B506" t="s">
        <v>563</v>
      </c>
      <c r="C506" t="s">
        <v>567</v>
      </c>
      <c r="D506" s="15">
        <v>0</v>
      </c>
      <c r="E506" s="15">
        <v>5.5</v>
      </c>
      <c r="F506" t="b">
        <f t="shared" si="14"/>
        <v>0</v>
      </c>
      <c r="G506" t="str">
        <f t="shared" si="15"/>
        <v>Peru Chef</v>
      </c>
    </row>
    <row r="507" spans="1:7" x14ac:dyDescent="0.25">
      <c r="A507" t="s">
        <v>272</v>
      </c>
      <c r="B507" t="s">
        <v>563</v>
      </c>
      <c r="C507" t="s">
        <v>120</v>
      </c>
      <c r="D507" s="15">
        <v>18</v>
      </c>
      <c r="E507" s="15">
        <v>18</v>
      </c>
      <c r="F507" t="b">
        <f t="shared" si="14"/>
        <v>1</v>
      </c>
      <c r="G507" t="str">
        <f t="shared" si="15"/>
        <v>Peru Chef</v>
      </c>
    </row>
    <row r="508" spans="1:7" x14ac:dyDescent="0.25">
      <c r="A508" t="s">
        <v>272</v>
      </c>
      <c r="B508" t="s">
        <v>563</v>
      </c>
      <c r="C508" t="s">
        <v>132</v>
      </c>
      <c r="D508" s="15">
        <v>40</v>
      </c>
      <c r="E508" s="15">
        <v>40</v>
      </c>
      <c r="F508" t="b">
        <f t="shared" si="14"/>
        <v>1</v>
      </c>
      <c r="G508" t="str">
        <f t="shared" si="15"/>
        <v>Peru Chef</v>
      </c>
    </row>
    <row r="509" spans="1:7" x14ac:dyDescent="0.25">
      <c r="A509" t="s">
        <v>272</v>
      </c>
      <c r="B509" t="s">
        <v>563</v>
      </c>
      <c r="C509" t="s">
        <v>494</v>
      </c>
      <c r="D509" s="15">
        <v>0</v>
      </c>
      <c r="E509" s="15">
        <v>5.5</v>
      </c>
      <c r="F509" t="b">
        <f t="shared" si="14"/>
        <v>0</v>
      </c>
      <c r="G509" t="str">
        <f t="shared" si="15"/>
        <v>Peru Chef</v>
      </c>
    </row>
    <row r="510" spans="1:7" x14ac:dyDescent="0.25">
      <c r="A510" t="s">
        <v>272</v>
      </c>
      <c r="B510" t="s">
        <v>563</v>
      </c>
      <c r="C510" t="s">
        <v>366</v>
      </c>
      <c r="D510" s="15">
        <v>37</v>
      </c>
      <c r="E510" s="15">
        <v>37</v>
      </c>
      <c r="F510" t="b">
        <f t="shared" si="14"/>
        <v>1</v>
      </c>
      <c r="G510" t="str">
        <f t="shared" si="15"/>
        <v>Peru Chef</v>
      </c>
    </row>
    <row r="511" spans="1:7" x14ac:dyDescent="0.25">
      <c r="A511" t="s">
        <v>272</v>
      </c>
      <c r="B511" t="s">
        <v>563</v>
      </c>
      <c r="C511" t="s">
        <v>46</v>
      </c>
      <c r="D511" s="15">
        <v>35</v>
      </c>
      <c r="E511" s="15">
        <v>35</v>
      </c>
      <c r="F511" t="b">
        <f t="shared" si="14"/>
        <v>1</v>
      </c>
      <c r="G511" t="str">
        <f t="shared" si="15"/>
        <v>Peru Chef</v>
      </c>
    </row>
    <row r="512" spans="1:7" x14ac:dyDescent="0.25">
      <c r="A512" t="s">
        <v>272</v>
      </c>
      <c r="B512" t="s">
        <v>563</v>
      </c>
      <c r="C512" t="s">
        <v>50</v>
      </c>
      <c r="D512" s="15">
        <v>35</v>
      </c>
      <c r="E512" s="15">
        <v>35</v>
      </c>
      <c r="F512" t="b">
        <f t="shared" si="14"/>
        <v>1</v>
      </c>
      <c r="G512" t="str">
        <f t="shared" si="15"/>
        <v>Peru Chef</v>
      </c>
    </row>
    <row r="513" spans="1:7" x14ac:dyDescent="0.25">
      <c r="A513" t="s">
        <v>272</v>
      </c>
      <c r="B513" t="s">
        <v>563</v>
      </c>
      <c r="C513" t="s">
        <v>331</v>
      </c>
      <c r="D513" s="15">
        <v>39</v>
      </c>
      <c r="E513" s="15">
        <v>39</v>
      </c>
      <c r="F513" t="b">
        <f t="shared" si="14"/>
        <v>1</v>
      </c>
      <c r="G513" t="str">
        <f t="shared" si="15"/>
        <v>Peru Chef</v>
      </c>
    </row>
    <row r="514" spans="1:7" x14ac:dyDescent="0.25">
      <c r="A514" t="s">
        <v>272</v>
      </c>
      <c r="B514" t="s">
        <v>563</v>
      </c>
      <c r="C514" t="s">
        <v>465</v>
      </c>
      <c r="D514" s="15">
        <v>39</v>
      </c>
      <c r="E514" s="15">
        <v>39</v>
      </c>
      <c r="F514" t="b">
        <f t="shared" si="14"/>
        <v>1</v>
      </c>
      <c r="G514" t="str">
        <f t="shared" si="15"/>
        <v>Peru Chef</v>
      </c>
    </row>
    <row r="515" spans="1:7" x14ac:dyDescent="0.25">
      <c r="A515" t="s">
        <v>272</v>
      </c>
      <c r="B515" t="s">
        <v>563</v>
      </c>
      <c r="C515" t="s">
        <v>551</v>
      </c>
      <c r="D515" s="15">
        <v>22</v>
      </c>
      <c r="E515" s="15">
        <v>22</v>
      </c>
      <c r="F515" t="b">
        <f t="shared" si="14"/>
        <v>1</v>
      </c>
      <c r="G515" t="str">
        <f t="shared" si="15"/>
        <v>Peru Chef</v>
      </c>
    </row>
    <row r="516" spans="1:7" x14ac:dyDescent="0.25">
      <c r="A516" t="s">
        <v>272</v>
      </c>
      <c r="B516" t="s">
        <v>572</v>
      </c>
      <c r="C516" t="s">
        <v>569</v>
      </c>
      <c r="D516" s="15">
        <v>40</v>
      </c>
      <c r="E516" s="15">
        <v>40</v>
      </c>
      <c r="F516" t="b">
        <f t="shared" si="14"/>
        <v>1</v>
      </c>
      <c r="G516" t="str">
        <f t="shared" si="15"/>
        <v>Peru Chef</v>
      </c>
    </row>
    <row r="517" spans="1:7" x14ac:dyDescent="0.25">
      <c r="A517" t="s">
        <v>272</v>
      </c>
      <c r="B517" t="s">
        <v>572</v>
      </c>
      <c r="C517" t="s">
        <v>496</v>
      </c>
      <c r="D517" s="15">
        <v>22</v>
      </c>
      <c r="E517" s="15">
        <v>22</v>
      </c>
      <c r="F517" t="b">
        <f t="shared" si="14"/>
        <v>1</v>
      </c>
      <c r="G517" t="str">
        <f t="shared" si="15"/>
        <v>Peru Chef</v>
      </c>
    </row>
    <row r="518" spans="1:7" x14ac:dyDescent="0.25">
      <c r="A518" t="s">
        <v>272</v>
      </c>
      <c r="B518" t="s">
        <v>572</v>
      </c>
      <c r="C518" t="s">
        <v>424</v>
      </c>
      <c r="D518" s="15">
        <v>15.5</v>
      </c>
      <c r="E518" s="15">
        <v>15.5</v>
      </c>
      <c r="F518" t="b">
        <f t="shared" ref="F518:F581" si="16">D518=E518</f>
        <v>1</v>
      </c>
      <c r="G518" t="str">
        <f t="shared" ref="G518:G581" si="17">+A518</f>
        <v>Peru Chef</v>
      </c>
    </row>
    <row r="519" spans="1:7" x14ac:dyDescent="0.25">
      <c r="A519" t="s">
        <v>272</v>
      </c>
      <c r="B519" t="s">
        <v>572</v>
      </c>
      <c r="C519" t="s">
        <v>80</v>
      </c>
      <c r="D519" s="15">
        <v>15</v>
      </c>
      <c r="E519" s="15">
        <v>15</v>
      </c>
      <c r="F519" t="b">
        <f t="shared" si="16"/>
        <v>1</v>
      </c>
      <c r="G519" t="str">
        <f t="shared" si="17"/>
        <v>Peru Chef</v>
      </c>
    </row>
    <row r="520" spans="1:7" x14ac:dyDescent="0.25">
      <c r="A520" t="s">
        <v>272</v>
      </c>
      <c r="B520" t="s">
        <v>572</v>
      </c>
      <c r="C520" t="s">
        <v>82</v>
      </c>
      <c r="D520" s="15">
        <v>78</v>
      </c>
      <c r="E520" s="15">
        <v>78</v>
      </c>
      <c r="F520" t="b">
        <f t="shared" si="16"/>
        <v>1</v>
      </c>
      <c r="G520" t="str">
        <f t="shared" si="17"/>
        <v>Peru Chef</v>
      </c>
    </row>
    <row r="521" spans="1:7" x14ac:dyDescent="0.25">
      <c r="A521" t="s">
        <v>272</v>
      </c>
      <c r="B521" t="s">
        <v>572</v>
      </c>
      <c r="C521" t="s">
        <v>48</v>
      </c>
      <c r="D521" s="15">
        <v>35</v>
      </c>
      <c r="E521" s="15">
        <v>35</v>
      </c>
      <c r="F521" t="b">
        <f t="shared" si="16"/>
        <v>1</v>
      </c>
      <c r="G521" t="str">
        <f t="shared" si="17"/>
        <v>Peru Chef</v>
      </c>
    </row>
    <row r="522" spans="1:7" x14ac:dyDescent="0.25">
      <c r="A522" t="s">
        <v>272</v>
      </c>
      <c r="B522" t="s">
        <v>572</v>
      </c>
      <c r="C522" t="s">
        <v>587</v>
      </c>
      <c r="D522" s="15">
        <v>11.25</v>
      </c>
      <c r="E522" s="15">
        <v>11.25</v>
      </c>
      <c r="F522" t="b">
        <f t="shared" si="16"/>
        <v>1</v>
      </c>
      <c r="G522" t="str">
        <f t="shared" si="17"/>
        <v>Peru Chef</v>
      </c>
    </row>
    <row r="523" spans="1:7" x14ac:dyDescent="0.25">
      <c r="A523" t="s">
        <v>272</v>
      </c>
      <c r="B523" t="s">
        <v>572</v>
      </c>
      <c r="C523" t="s">
        <v>44</v>
      </c>
      <c r="D523" s="15">
        <v>35</v>
      </c>
      <c r="E523" s="15">
        <v>35</v>
      </c>
      <c r="F523" t="b">
        <f t="shared" si="16"/>
        <v>1</v>
      </c>
      <c r="G523" t="str">
        <f t="shared" si="17"/>
        <v>Peru Chef</v>
      </c>
    </row>
    <row r="524" spans="1:7" x14ac:dyDescent="0.25">
      <c r="A524" t="s">
        <v>272</v>
      </c>
      <c r="B524" t="s">
        <v>572</v>
      </c>
      <c r="C524" t="s">
        <v>574</v>
      </c>
      <c r="D524" s="15">
        <v>21.5</v>
      </c>
      <c r="E524" s="15">
        <v>21.5</v>
      </c>
      <c r="F524" t="b">
        <f t="shared" si="16"/>
        <v>1</v>
      </c>
      <c r="G524" t="str">
        <f t="shared" si="17"/>
        <v>Peru Chef</v>
      </c>
    </row>
    <row r="525" spans="1:7" x14ac:dyDescent="0.25">
      <c r="A525" t="s">
        <v>272</v>
      </c>
      <c r="B525" t="s">
        <v>572</v>
      </c>
      <c r="C525" t="s">
        <v>582</v>
      </c>
      <c r="D525" s="15">
        <v>21.5</v>
      </c>
      <c r="E525" s="15">
        <v>21.5</v>
      </c>
      <c r="F525" t="b">
        <f t="shared" si="16"/>
        <v>1</v>
      </c>
      <c r="G525" t="str">
        <f t="shared" si="17"/>
        <v>Peru Chef</v>
      </c>
    </row>
    <row r="526" spans="1:7" x14ac:dyDescent="0.25">
      <c r="A526" t="s">
        <v>272</v>
      </c>
      <c r="B526" t="s">
        <v>572</v>
      </c>
      <c r="C526" t="s">
        <v>578</v>
      </c>
      <c r="D526" s="15">
        <v>21.5</v>
      </c>
      <c r="E526" s="15">
        <v>21.5</v>
      </c>
      <c r="F526" t="b">
        <f t="shared" si="16"/>
        <v>1</v>
      </c>
      <c r="G526" t="str">
        <f t="shared" si="17"/>
        <v>Peru Chef</v>
      </c>
    </row>
    <row r="527" spans="1:7" x14ac:dyDescent="0.25">
      <c r="A527" t="s">
        <v>272</v>
      </c>
      <c r="B527" t="s">
        <v>572</v>
      </c>
      <c r="C527" t="s">
        <v>580</v>
      </c>
      <c r="D527" s="15">
        <v>26.5</v>
      </c>
      <c r="E527" s="15">
        <v>26.5</v>
      </c>
      <c r="F527" t="b">
        <f t="shared" si="16"/>
        <v>1</v>
      </c>
      <c r="G527" t="str">
        <f t="shared" si="17"/>
        <v>Peru Chef</v>
      </c>
    </row>
    <row r="528" spans="1:7" x14ac:dyDescent="0.25">
      <c r="A528" t="s">
        <v>272</v>
      </c>
      <c r="B528" t="s">
        <v>572</v>
      </c>
      <c r="C528" t="s">
        <v>584</v>
      </c>
      <c r="D528" s="15">
        <v>21.5</v>
      </c>
      <c r="E528" s="15">
        <v>21.5</v>
      </c>
      <c r="F528" t="b">
        <f t="shared" si="16"/>
        <v>1</v>
      </c>
      <c r="G528" t="str">
        <f t="shared" si="17"/>
        <v>Peru Chef</v>
      </c>
    </row>
    <row r="529" spans="1:7" x14ac:dyDescent="0.25">
      <c r="A529" t="s">
        <v>272</v>
      </c>
      <c r="B529" t="s">
        <v>572</v>
      </c>
      <c r="C529" t="s">
        <v>576</v>
      </c>
      <c r="D529" s="15">
        <v>21.5</v>
      </c>
      <c r="E529" s="15">
        <v>21.5</v>
      </c>
      <c r="F529" t="b">
        <f t="shared" si="16"/>
        <v>1</v>
      </c>
      <c r="G529" t="str">
        <f t="shared" si="17"/>
        <v>Peru Chef</v>
      </c>
    </row>
    <row r="530" spans="1:7" x14ac:dyDescent="0.25">
      <c r="A530" t="s">
        <v>272</v>
      </c>
      <c r="B530" t="s">
        <v>572</v>
      </c>
      <c r="C530" t="s">
        <v>298</v>
      </c>
      <c r="D530" s="15">
        <v>19</v>
      </c>
      <c r="E530" s="15">
        <v>19</v>
      </c>
      <c r="F530" t="b">
        <f t="shared" si="16"/>
        <v>1</v>
      </c>
      <c r="G530" t="str">
        <f t="shared" si="17"/>
        <v>Peru Chef</v>
      </c>
    </row>
    <row r="531" spans="1:7" x14ac:dyDescent="0.25">
      <c r="A531" t="s">
        <v>272</v>
      </c>
      <c r="B531" t="s">
        <v>572</v>
      </c>
      <c r="C531" t="s">
        <v>296</v>
      </c>
      <c r="D531" s="15">
        <v>21</v>
      </c>
      <c r="E531" s="15">
        <v>21</v>
      </c>
      <c r="F531" t="b">
        <f t="shared" si="16"/>
        <v>1</v>
      </c>
      <c r="G531" t="str">
        <f t="shared" si="17"/>
        <v>Peru Chef</v>
      </c>
    </row>
    <row r="532" spans="1:7" x14ac:dyDescent="0.25">
      <c r="A532" t="s">
        <v>272</v>
      </c>
      <c r="B532" t="s">
        <v>572</v>
      </c>
      <c r="C532" t="s">
        <v>130</v>
      </c>
      <c r="D532" s="15">
        <v>22</v>
      </c>
      <c r="E532" s="15">
        <v>22</v>
      </c>
      <c r="F532" t="b">
        <f t="shared" si="16"/>
        <v>1</v>
      </c>
      <c r="G532" t="str">
        <f t="shared" si="17"/>
        <v>Peru Chef</v>
      </c>
    </row>
    <row r="533" spans="1:7" x14ac:dyDescent="0.25">
      <c r="A533" t="s">
        <v>272</v>
      </c>
      <c r="B533" t="s">
        <v>572</v>
      </c>
      <c r="C533" t="s">
        <v>132</v>
      </c>
      <c r="D533" s="15">
        <v>40</v>
      </c>
      <c r="E533" s="15">
        <v>40</v>
      </c>
      <c r="F533" t="b">
        <f t="shared" si="16"/>
        <v>1</v>
      </c>
      <c r="G533" t="str">
        <f t="shared" si="17"/>
        <v>Peru Chef</v>
      </c>
    </row>
    <row r="534" spans="1:7" x14ac:dyDescent="0.25">
      <c r="A534" t="s">
        <v>272</v>
      </c>
      <c r="B534" t="s">
        <v>572</v>
      </c>
      <c r="C534" t="s">
        <v>366</v>
      </c>
      <c r="D534" s="15">
        <v>37</v>
      </c>
      <c r="E534" s="15">
        <v>37</v>
      </c>
      <c r="F534" t="b">
        <f t="shared" si="16"/>
        <v>1</v>
      </c>
      <c r="G534" t="str">
        <f t="shared" si="17"/>
        <v>Peru Chef</v>
      </c>
    </row>
    <row r="535" spans="1:7" x14ac:dyDescent="0.25">
      <c r="A535" t="s">
        <v>272</v>
      </c>
      <c r="B535" t="s">
        <v>572</v>
      </c>
      <c r="C535" t="s">
        <v>46</v>
      </c>
      <c r="D535" s="15">
        <v>35</v>
      </c>
      <c r="E535" s="15">
        <v>35</v>
      </c>
      <c r="F535" t="b">
        <f t="shared" si="16"/>
        <v>1</v>
      </c>
      <c r="G535" t="str">
        <f t="shared" si="17"/>
        <v>Peru Chef</v>
      </c>
    </row>
    <row r="536" spans="1:7" x14ac:dyDescent="0.25">
      <c r="A536" t="s">
        <v>272</v>
      </c>
      <c r="B536" t="s">
        <v>572</v>
      </c>
      <c r="C536" t="s">
        <v>50</v>
      </c>
      <c r="D536" s="15">
        <v>35</v>
      </c>
      <c r="E536" s="15">
        <v>35</v>
      </c>
      <c r="F536" t="b">
        <f t="shared" si="16"/>
        <v>1</v>
      </c>
      <c r="G536" t="str">
        <f t="shared" si="17"/>
        <v>Peru Chef</v>
      </c>
    </row>
    <row r="537" spans="1:7" x14ac:dyDescent="0.25">
      <c r="A537" t="s">
        <v>272</v>
      </c>
      <c r="B537" t="s">
        <v>572</v>
      </c>
      <c r="C537" t="s">
        <v>331</v>
      </c>
      <c r="D537" s="15">
        <v>35</v>
      </c>
      <c r="E537" s="15">
        <v>35</v>
      </c>
      <c r="F537" t="b">
        <f t="shared" si="16"/>
        <v>1</v>
      </c>
      <c r="G537" t="str">
        <f t="shared" si="17"/>
        <v>Peru Chef</v>
      </c>
    </row>
    <row r="538" spans="1:7" x14ac:dyDescent="0.25">
      <c r="A538" t="s">
        <v>272</v>
      </c>
      <c r="B538" t="s">
        <v>572</v>
      </c>
      <c r="C538" t="s">
        <v>465</v>
      </c>
      <c r="D538" s="15">
        <v>35</v>
      </c>
      <c r="E538" s="15">
        <v>35</v>
      </c>
      <c r="F538" t="b">
        <f t="shared" si="16"/>
        <v>1</v>
      </c>
      <c r="G538" t="str">
        <f t="shared" si="17"/>
        <v>Peru Chef</v>
      </c>
    </row>
    <row r="539" spans="1:7" x14ac:dyDescent="0.25">
      <c r="A539" t="s">
        <v>272</v>
      </c>
      <c r="B539" t="s">
        <v>572</v>
      </c>
      <c r="C539" t="s">
        <v>553</v>
      </c>
      <c r="D539" s="15">
        <v>22</v>
      </c>
      <c r="E539" s="15">
        <v>22</v>
      </c>
      <c r="F539" t="b">
        <f t="shared" si="16"/>
        <v>1</v>
      </c>
      <c r="G539" t="str">
        <f t="shared" si="17"/>
        <v>Peru Chef</v>
      </c>
    </row>
    <row r="540" spans="1:7" x14ac:dyDescent="0.25">
      <c r="A540" t="s">
        <v>272</v>
      </c>
      <c r="B540" t="s">
        <v>572</v>
      </c>
      <c r="C540" t="s">
        <v>557</v>
      </c>
      <c r="D540" s="15">
        <v>22</v>
      </c>
      <c r="E540" s="15">
        <v>22</v>
      </c>
      <c r="F540" t="b">
        <f t="shared" si="16"/>
        <v>1</v>
      </c>
      <c r="G540" t="str">
        <f t="shared" si="17"/>
        <v>Peru Chef</v>
      </c>
    </row>
    <row r="541" spans="1:7" x14ac:dyDescent="0.25">
      <c r="A541" t="s">
        <v>272</v>
      </c>
      <c r="B541" t="s">
        <v>572</v>
      </c>
      <c r="C541" t="s">
        <v>368</v>
      </c>
      <c r="D541" s="15">
        <v>41</v>
      </c>
      <c r="E541" s="15">
        <v>41</v>
      </c>
      <c r="F541" t="b">
        <f t="shared" si="16"/>
        <v>1</v>
      </c>
      <c r="G541" t="str">
        <f t="shared" si="17"/>
        <v>Peru Chef</v>
      </c>
    </row>
    <row r="542" spans="1:7" x14ac:dyDescent="0.25">
      <c r="A542" t="s">
        <v>272</v>
      </c>
      <c r="B542" t="s">
        <v>590</v>
      </c>
      <c r="C542" t="s">
        <v>328</v>
      </c>
      <c r="D542" s="15">
        <v>81</v>
      </c>
      <c r="E542" s="15">
        <v>81</v>
      </c>
      <c r="F542" t="b">
        <f t="shared" si="16"/>
        <v>1</v>
      </c>
      <c r="G542" t="str">
        <f t="shared" si="17"/>
        <v>Peru Chef</v>
      </c>
    </row>
    <row r="543" spans="1:7" x14ac:dyDescent="0.25">
      <c r="A543" t="s">
        <v>272</v>
      </c>
      <c r="B543" t="s">
        <v>590</v>
      </c>
      <c r="C543" t="s">
        <v>496</v>
      </c>
      <c r="D543" s="15">
        <v>19.8</v>
      </c>
      <c r="E543" s="15">
        <v>19.8</v>
      </c>
      <c r="F543" t="b">
        <f t="shared" si="16"/>
        <v>1</v>
      </c>
      <c r="G543" t="str">
        <f t="shared" si="17"/>
        <v>Peru Chef</v>
      </c>
    </row>
    <row r="544" spans="1:7" x14ac:dyDescent="0.25">
      <c r="A544" t="s">
        <v>272</v>
      </c>
      <c r="B544" t="s">
        <v>590</v>
      </c>
      <c r="C544" t="s">
        <v>424</v>
      </c>
      <c r="D544" s="15">
        <v>13.95</v>
      </c>
      <c r="E544" s="15">
        <v>13.95</v>
      </c>
      <c r="F544" t="b">
        <f t="shared" si="16"/>
        <v>1</v>
      </c>
      <c r="G544" t="str">
        <f t="shared" si="17"/>
        <v>Peru Chef</v>
      </c>
    </row>
    <row r="545" spans="1:7" x14ac:dyDescent="0.25">
      <c r="A545" t="s">
        <v>272</v>
      </c>
      <c r="B545" t="s">
        <v>590</v>
      </c>
      <c r="C545" t="s">
        <v>80</v>
      </c>
      <c r="D545" s="15">
        <v>13.5</v>
      </c>
      <c r="E545" s="15">
        <v>13.5</v>
      </c>
      <c r="F545" t="b">
        <f t="shared" si="16"/>
        <v>1</v>
      </c>
      <c r="G545" t="str">
        <f t="shared" si="17"/>
        <v>Peru Chef</v>
      </c>
    </row>
    <row r="546" spans="1:7" x14ac:dyDescent="0.25">
      <c r="A546" t="s">
        <v>272</v>
      </c>
      <c r="B546" t="s">
        <v>590</v>
      </c>
      <c r="C546" t="s">
        <v>502</v>
      </c>
      <c r="D546" s="15">
        <v>19.8</v>
      </c>
      <c r="E546" s="15">
        <v>19.8</v>
      </c>
      <c r="F546" t="b">
        <f t="shared" si="16"/>
        <v>1</v>
      </c>
      <c r="G546" t="str">
        <f t="shared" si="17"/>
        <v>Peru Chef</v>
      </c>
    </row>
    <row r="547" spans="1:7" x14ac:dyDescent="0.25">
      <c r="A547" t="s">
        <v>272</v>
      </c>
      <c r="B547" t="s">
        <v>590</v>
      </c>
      <c r="C547" t="s">
        <v>504</v>
      </c>
      <c r="D547" s="15">
        <v>19.8</v>
      </c>
      <c r="E547" s="15">
        <v>19.8</v>
      </c>
      <c r="F547" t="b">
        <f t="shared" si="16"/>
        <v>1</v>
      </c>
      <c r="G547" t="str">
        <f t="shared" si="17"/>
        <v>Peru Chef</v>
      </c>
    </row>
    <row r="548" spans="1:7" x14ac:dyDescent="0.25">
      <c r="A548" t="s">
        <v>272</v>
      </c>
      <c r="B548" t="s">
        <v>590</v>
      </c>
      <c r="C548" t="s">
        <v>350</v>
      </c>
      <c r="D548" s="15">
        <v>15.3</v>
      </c>
      <c r="E548" s="15">
        <v>15.3</v>
      </c>
      <c r="F548" t="b">
        <f t="shared" si="16"/>
        <v>1</v>
      </c>
      <c r="G548" t="str">
        <f t="shared" si="17"/>
        <v>Peru Chef</v>
      </c>
    </row>
    <row r="549" spans="1:7" x14ac:dyDescent="0.25">
      <c r="A549" t="s">
        <v>272</v>
      </c>
      <c r="B549" t="s">
        <v>590</v>
      </c>
      <c r="C549" t="s">
        <v>360</v>
      </c>
      <c r="D549" s="15">
        <v>15.3</v>
      </c>
      <c r="E549" s="15">
        <v>15.3</v>
      </c>
      <c r="F549" t="b">
        <f t="shared" si="16"/>
        <v>1</v>
      </c>
      <c r="G549" t="str">
        <f t="shared" si="17"/>
        <v>Peru Chef</v>
      </c>
    </row>
    <row r="550" spans="1:7" x14ac:dyDescent="0.25">
      <c r="A550" t="s">
        <v>272</v>
      </c>
      <c r="B550" t="s">
        <v>590</v>
      </c>
      <c r="C550" t="s">
        <v>358</v>
      </c>
      <c r="D550" s="15">
        <v>15.3</v>
      </c>
      <c r="E550" s="15">
        <v>15.3</v>
      </c>
      <c r="F550" t="b">
        <f t="shared" si="16"/>
        <v>1</v>
      </c>
      <c r="G550" t="str">
        <f t="shared" si="17"/>
        <v>Peru Chef</v>
      </c>
    </row>
    <row r="551" spans="1:7" x14ac:dyDescent="0.25">
      <c r="A551" t="s">
        <v>272</v>
      </c>
      <c r="B551" t="s">
        <v>590</v>
      </c>
      <c r="C551" t="s">
        <v>362</v>
      </c>
      <c r="D551" s="15">
        <v>15.3</v>
      </c>
      <c r="E551" s="15">
        <v>15.3</v>
      </c>
      <c r="F551" t="b">
        <f t="shared" si="16"/>
        <v>1</v>
      </c>
      <c r="G551" t="str">
        <f t="shared" si="17"/>
        <v>Peru Chef</v>
      </c>
    </row>
    <row r="552" spans="1:7" x14ac:dyDescent="0.25">
      <c r="A552" t="s">
        <v>272</v>
      </c>
      <c r="B552" t="s">
        <v>590</v>
      </c>
      <c r="C552" t="s">
        <v>587</v>
      </c>
      <c r="D552" s="15">
        <v>10.125</v>
      </c>
      <c r="E552" s="15">
        <v>10.125</v>
      </c>
      <c r="F552" t="b">
        <f t="shared" si="16"/>
        <v>1</v>
      </c>
      <c r="G552" t="str">
        <f t="shared" si="17"/>
        <v>Peru Chef</v>
      </c>
    </row>
    <row r="553" spans="1:7" x14ac:dyDescent="0.25">
      <c r="A553" t="s">
        <v>272</v>
      </c>
      <c r="B553" t="s">
        <v>590</v>
      </c>
      <c r="C553" t="s">
        <v>44</v>
      </c>
      <c r="D553" s="15">
        <v>35</v>
      </c>
      <c r="E553" s="15">
        <v>35</v>
      </c>
      <c r="F553" t="b">
        <f t="shared" si="16"/>
        <v>1</v>
      </c>
      <c r="G553" t="str">
        <f t="shared" si="17"/>
        <v>Peru Chef</v>
      </c>
    </row>
    <row r="554" spans="1:7" x14ac:dyDescent="0.25">
      <c r="A554" t="s">
        <v>272</v>
      </c>
      <c r="B554" t="s">
        <v>590</v>
      </c>
      <c r="C554" t="s">
        <v>492</v>
      </c>
      <c r="D554" s="15">
        <v>28.8</v>
      </c>
      <c r="E554" s="15">
        <v>28.8</v>
      </c>
      <c r="F554" t="b">
        <f t="shared" si="16"/>
        <v>1</v>
      </c>
      <c r="G554" t="str">
        <f t="shared" si="17"/>
        <v>Peru Chef</v>
      </c>
    </row>
    <row r="555" spans="1:7" x14ac:dyDescent="0.25">
      <c r="A555" t="s">
        <v>272</v>
      </c>
      <c r="B555" t="s">
        <v>590</v>
      </c>
      <c r="C555" t="s">
        <v>292</v>
      </c>
      <c r="D555" s="15">
        <v>27</v>
      </c>
      <c r="E555" s="15">
        <v>27</v>
      </c>
      <c r="F555" t="b">
        <f t="shared" si="16"/>
        <v>1</v>
      </c>
      <c r="G555" t="str">
        <f t="shared" si="17"/>
        <v>Peru Chef</v>
      </c>
    </row>
    <row r="556" spans="1:7" x14ac:dyDescent="0.25">
      <c r="A556" t="s">
        <v>272</v>
      </c>
      <c r="B556" t="s">
        <v>590</v>
      </c>
      <c r="C556" t="s">
        <v>290</v>
      </c>
      <c r="D556" s="15">
        <v>27</v>
      </c>
      <c r="E556" s="15">
        <v>27</v>
      </c>
      <c r="F556" t="b">
        <f t="shared" si="16"/>
        <v>1</v>
      </c>
      <c r="G556" t="str">
        <f t="shared" si="17"/>
        <v>Peru Chef</v>
      </c>
    </row>
    <row r="557" spans="1:7" x14ac:dyDescent="0.25">
      <c r="A557" t="s">
        <v>272</v>
      </c>
      <c r="B557" t="s">
        <v>590</v>
      </c>
      <c r="C557" t="s">
        <v>298</v>
      </c>
      <c r="D557" s="15">
        <v>17.100000000000001</v>
      </c>
      <c r="E557" s="15">
        <v>17.100000000000001</v>
      </c>
      <c r="F557" t="b">
        <f t="shared" si="16"/>
        <v>1</v>
      </c>
      <c r="G557" t="str">
        <f t="shared" si="17"/>
        <v>Peru Chef</v>
      </c>
    </row>
    <row r="558" spans="1:7" x14ac:dyDescent="0.25">
      <c r="A558" t="s">
        <v>272</v>
      </c>
      <c r="B558" t="s">
        <v>590</v>
      </c>
      <c r="C558" t="s">
        <v>296</v>
      </c>
      <c r="D558" s="15">
        <v>18.899999999999999</v>
      </c>
      <c r="E558" s="15">
        <v>18.899999999999999</v>
      </c>
      <c r="F558" t="b">
        <f t="shared" si="16"/>
        <v>1</v>
      </c>
      <c r="G558" t="str">
        <f t="shared" si="17"/>
        <v>Peru Chef</v>
      </c>
    </row>
    <row r="559" spans="1:7" x14ac:dyDescent="0.25">
      <c r="A559" t="s">
        <v>272</v>
      </c>
      <c r="B559" t="s">
        <v>590</v>
      </c>
      <c r="C559" t="s">
        <v>595</v>
      </c>
      <c r="D559" s="15">
        <v>18</v>
      </c>
      <c r="E559" s="15">
        <v>18</v>
      </c>
      <c r="F559" t="b">
        <f t="shared" si="16"/>
        <v>1</v>
      </c>
      <c r="G559" t="str">
        <f t="shared" si="17"/>
        <v>Peru Chef</v>
      </c>
    </row>
    <row r="560" spans="1:7" x14ac:dyDescent="0.25">
      <c r="A560" t="s">
        <v>272</v>
      </c>
      <c r="B560" t="s">
        <v>590</v>
      </c>
      <c r="C560" t="s">
        <v>593</v>
      </c>
      <c r="D560" s="15">
        <v>18</v>
      </c>
      <c r="E560" s="15">
        <v>18</v>
      </c>
      <c r="F560" t="b">
        <f t="shared" si="16"/>
        <v>1</v>
      </c>
      <c r="G560" t="str">
        <f t="shared" si="17"/>
        <v>Peru Chef</v>
      </c>
    </row>
    <row r="561" spans="1:7" x14ac:dyDescent="0.25">
      <c r="A561" t="s">
        <v>272</v>
      </c>
      <c r="B561" t="s">
        <v>590</v>
      </c>
      <c r="C561" t="s">
        <v>597</v>
      </c>
      <c r="D561" s="15">
        <v>18</v>
      </c>
      <c r="E561" s="15">
        <v>18</v>
      </c>
      <c r="F561" t="b">
        <f t="shared" si="16"/>
        <v>1</v>
      </c>
      <c r="G561" t="str">
        <f t="shared" si="17"/>
        <v>Peru Chef</v>
      </c>
    </row>
    <row r="562" spans="1:7" x14ac:dyDescent="0.25">
      <c r="A562" t="s">
        <v>272</v>
      </c>
      <c r="B562" t="s">
        <v>590</v>
      </c>
      <c r="C562" t="s">
        <v>302</v>
      </c>
      <c r="D562" s="15">
        <v>27</v>
      </c>
      <c r="E562" s="15">
        <v>27</v>
      </c>
      <c r="F562" t="b">
        <f t="shared" si="16"/>
        <v>1</v>
      </c>
      <c r="G562" t="str">
        <f t="shared" si="17"/>
        <v>Peru Chef</v>
      </c>
    </row>
    <row r="563" spans="1:7" x14ac:dyDescent="0.25">
      <c r="A563" t="s">
        <v>272</v>
      </c>
      <c r="B563" t="s">
        <v>590</v>
      </c>
      <c r="C563" t="s">
        <v>490</v>
      </c>
      <c r="D563" s="15">
        <v>16.2</v>
      </c>
      <c r="E563" s="15">
        <v>16.2</v>
      </c>
      <c r="F563" t="b">
        <f t="shared" si="16"/>
        <v>1</v>
      </c>
      <c r="G563" t="str">
        <f t="shared" si="17"/>
        <v>Peru Chef</v>
      </c>
    </row>
    <row r="564" spans="1:7" x14ac:dyDescent="0.25">
      <c r="A564" t="s">
        <v>272</v>
      </c>
      <c r="B564" t="s">
        <v>590</v>
      </c>
      <c r="C564" t="s">
        <v>567</v>
      </c>
      <c r="D564" s="15">
        <v>0</v>
      </c>
      <c r="E564" s="15">
        <v>4.95</v>
      </c>
      <c r="F564" t="b">
        <f t="shared" si="16"/>
        <v>0</v>
      </c>
      <c r="G564" t="str">
        <f t="shared" si="17"/>
        <v>Peru Chef</v>
      </c>
    </row>
    <row r="565" spans="1:7" x14ac:dyDescent="0.25">
      <c r="A565" t="s">
        <v>272</v>
      </c>
      <c r="B565" t="s">
        <v>590</v>
      </c>
      <c r="C565" t="s">
        <v>426</v>
      </c>
      <c r="D565" s="15">
        <v>13.5</v>
      </c>
      <c r="E565" s="15">
        <v>13.5</v>
      </c>
      <c r="F565" t="b">
        <f t="shared" si="16"/>
        <v>1</v>
      </c>
      <c r="G565" t="str">
        <f t="shared" si="17"/>
        <v>Peru Chef</v>
      </c>
    </row>
    <row r="566" spans="1:7" x14ac:dyDescent="0.25">
      <c r="A566" t="s">
        <v>272</v>
      </c>
      <c r="B566" t="s">
        <v>590</v>
      </c>
      <c r="C566" t="s">
        <v>366</v>
      </c>
      <c r="D566" s="15">
        <v>33.299999999999997</v>
      </c>
      <c r="E566" s="15">
        <v>33.299999999999997</v>
      </c>
      <c r="F566" t="b">
        <f t="shared" si="16"/>
        <v>1</v>
      </c>
      <c r="G566" t="str">
        <f t="shared" si="17"/>
        <v>Peru Chef</v>
      </c>
    </row>
    <row r="567" spans="1:7" x14ac:dyDescent="0.25">
      <c r="A567" t="s">
        <v>272</v>
      </c>
      <c r="B567" t="s">
        <v>590</v>
      </c>
      <c r="C567" t="s">
        <v>46</v>
      </c>
      <c r="D567" s="15">
        <v>35</v>
      </c>
      <c r="E567" s="15">
        <v>35</v>
      </c>
      <c r="F567" t="b">
        <f t="shared" si="16"/>
        <v>1</v>
      </c>
      <c r="G567" t="str">
        <f t="shared" si="17"/>
        <v>Peru Chef</v>
      </c>
    </row>
    <row r="568" spans="1:7" x14ac:dyDescent="0.25">
      <c r="A568" t="s">
        <v>272</v>
      </c>
      <c r="B568" t="s">
        <v>590</v>
      </c>
      <c r="C568" t="s">
        <v>354</v>
      </c>
      <c r="D568" s="15">
        <v>15.3</v>
      </c>
      <c r="E568" s="15">
        <v>15.3</v>
      </c>
      <c r="F568" t="b">
        <f t="shared" si="16"/>
        <v>1</v>
      </c>
      <c r="G568" t="str">
        <f t="shared" si="17"/>
        <v>Peru Chef</v>
      </c>
    </row>
    <row r="569" spans="1:7" x14ac:dyDescent="0.25">
      <c r="A569" t="s">
        <v>272</v>
      </c>
      <c r="B569" t="s">
        <v>590</v>
      </c>
      <c r="C569" t="s">
        <v>50</v>
      </c>
      <c r="D569" s="15">
        <v>35</v>
      </c>
      <c r="E569" s="15">
        <v>35</v>
      </c>
      <c r="F569" t="b">
        <f t="shared" si="16"/>
        <v>1</v>
      </c>
      <c r="G569" t="str">
        <f t="shared" si="17"/>
        <v>Peru Chef</v>
      </c>
    </row>
    <row r="570" spans="1:7" x14ac:dyDescent="0.25">
      <c r="A570" t="s">
        <v>272</v>
      </c>
      <c r="B570" t="s">
        <v>590</v>
      </c>
      <c r="C570" t="s">
        <v>331</v>
      </c>
      <c r="D570" s="15">
        <v>35.1</v>
      </c>
      <c r="E570" s="15">
        <v>35.1</v>
      </c>
      <c r="F570" t="b">
        <f t="shared" si="16"/>
        <v>1</v>
      </c>
      <c r="G570" t="str">
        <f t="shared" si="17"/>
        <v>Peru Chef</v>
      </c>
    </row>
    <row r="571" spans="1:7" x14ac:dyDescent="0.25">
      <c r="A571" t="s">
        <v>272</v>
      </c>
      <c r="B571" t="s">
        <v>590</v>
      </c>
      <c r="C571" t="s">
        <v>333</v>
      </c>
      <c r="D571" s="15">
        <v>35.1</v>
      </c>
      <c r="E571" s="15">
        <v>35.1</v>
      </c>
      <c r="F571" t="b">
        <f t="shared" si="16"/>
        <v>1</v>
      </c>
      <c r="G571" t="str">
        <f t="shared" si="17"/>
        <v>Peru Chef</v>
      </c>
    </row>
    <row r="572" spans="1:7" x14ac:dyDescent="0.25">
      <c r="A572" t="s">
        <v>272</v>
      </c>
      <c r="B572" t="s">
        <v>590</v>
      </c>
      <c r="C572" t="s">
        <v>465</v>
      </c>
      <c r="D572" s="15">
        <v>35.1</v>
      </c>
      <c r="E572" s="15">
        <v>35.1</v>
      </c>
      <c r="F572" t="b">
        <f t="shared" si="16"/>
        <v>1</v>
      </c>
      <c r="G572" t="str">
        <f t="shared" si="17"/>
        <v>Peru Chef</v>
      </c>
    </row>
    <row r="573" spans="1:7" x14ac:dyDescent="0.25">
      <c r="A573" t="s">
        <v>272</v>
      </c>
      <c r="B573" t="s">
        <v>590</v>
      </c>
      <c r="C573" t="s">
        <v>555</v>
      </c>
      <c r="D573" s="15">
        <v>19.8</v>
      </c>
      <c r="E573" s="15">
        <v>19.8</v>
      </c>
      <c r="F573" t="b">
        <f t="shared" si="16"/>
        <v>1</v>
      </c>
      <c r="G573" t="str">
        <f t="shared" si="17"/>
        <v>Peru Chef</v>
      </c>
    </row>
    <row r="574" spans="1:7" x14ac:dyDescent="0.25">
      <c r="A574" t="s">
        <v>272</v>
      </c>
      <c r="B574" t="s">
        <v>600</v>
      </c>
      <c r="C574" t="s">
        <v>328</v>
      </c>
      <c r="D574" s="15">
        <v>81</v>
      </c>
      <c r="E574" s="15">
        <v>81</v>
      </c>
      <c r="F574" t="b">
        <f t="shared" si="16"/>
        <v>1</v>
      </c>
      <c r="G574" t="str">
        <f t="shared" si="17"/>
        <v>Peru Chef</v>
      </c>
    </row>
    <row r="575" spans="1:7" x14ac:dyDescent="0.25">
      <c r="A575" t="s">
        <v>272</v>
      </c>
      <c r="B575" t="s">
        <v>600</v>
      </c>
      <c r="C575" t="s">
        <v>90</v>
      </c>
      <c r="D575" s="15">
        <v>15.3</v>
      </c>
      <c r="E575" s="15">
        <v>15.3</v>
      </c>
      <c r="F575" t="b">
        <f t="shared" si="16"/>
        <v>1</v>
      </c>
      <c r="G575" t="str">
        <f t="shared" si="17"/>
        <v>Peru Chef</v>
      </c>
    </row>
    <row r="576" spans="1:7" x14ac:dyDescent="0.25">
      <c r="A576" t="s">
        <v>272</v>
      </c>
      <c r="B576" t="s">
        <v>600</v>
      </c>
      <c r="C576" t="s">
        <v>92</v>
      </c>
      <c r="D576" s="15">
        <v>15.3</v>
      </c>
      <c r="E576" s="15">
        <v>15.3</v>
      </c>
      <c r="F576" t="b">
        <f t="shared" si="16"/>
        <v>1</v>
      </c>
      <c r="G576" t="str">
        <f t="shared" si="17"/>
        <v>Peru Chef</v>
      </c>
    </row>
    <row r="577" spans="1:7" x14ac:dyDescent="0.25">
      <c r="A577" t="s">
        <v>272</v>
      </c>
      <c r="B577" t="s">
        <v>600</v>
      </c>
      <c r="C577" t="s">
        <v>86</v>
      </c>
      <c r="D577" s="15">
        <v>15.3</v>
      </c>
      <c r="E577" s="15">
        <v>15.3</v>
      </c>
      <c r="F577" t="b">
        <f t="shared" si="16"/>
        <v>1</v>
      </c>
      <c r="G577" t="str">
        <f t="shared" si="17"/>
        <v>Peru Chef</v>
      </c>
    </row>
    <row r="578" spans="1:7" x14ac:dyDescent="0.25">
      <c r="A578" t="s">
        <v>272</v>
      </c>
      <c r="B578" t="s">
        <v>600</v>
      </c>
      <c r="C578" t="s">
        <v>424</v>
      </c>
      <c r="D578" s="15">
        <v>13.95</v>
      </c>
      <c r="E578" s="15">
        <v>13.95</v>
      </c>
      <c r="F578" t="b">
        <f t="shared" si="16"/>
        <v>1</v>
      </c>
      <c r="G578" t="str">
        <f t="shared" si="17"/>
        <v>Peru Chef</v>
      </c>
    </row>
    <row r="579" spans="1:7" x14ac:dyDescent="0.25">
      <c r="A579" t="s">
        <v>272</v>
      </c>
      <c r="B579" t="s">
        <v>600</v>
      </c>
      <c r="C579" t="s">
        <v>502</v>
      </c>
      <c r="D579" s="15">
        <v>19.8</v>
      </c>
      <c r="E579" s="15">
        <v>19.8</v>
      </c>
      <c r="F579" t="b">
        <f t="shared" si="16"/>
        <v>1</v>
      </c>
      <c r="G579" t="str">
        <f t="shared" si="17"/>
        <v>Peru Chef</v>
      </c>
    </row>
    <row r="580" spans="1:7" x14ac:dyDescent="0.25">
      <c r="A580" t="s">
        <v>272</v>
      </c>
      <c r="B580" t="s">
        <v>600</v>
      </c>
      <c r="C580" t="s">
        <v>350</v>
      </c>
      <c r="D580" s="15">
        <v>15.3</v>
      </c>
      <c r="E580" s="15">
        <v>15.3</v>
      </c>
      <c r="F580" t="b">
        <f t="shared" si="16"/>
        <v>1</v>
      </c>
      <c r="G580" t="str">
        <f t="shared" si="17"/>
        <v>Peru Chef</v>
      </c>
    </row>
    <row r="581" spans="1:7" x14ac:dyDescent="0.25">
      <c r="A581" t="s">
        <v>272</v>
      </c>
      <c r="B581" t="s">
        <v>600</v>
      </c>
      <c r="C581" t="s">
        <v>360</v>
      </c>
      <c r="D581" s="15">
        <v>15.3</v>
      </c>
      <c r="E581" s="15">
        <v>15.3</v>
      </c>
      <c r="F581" t="b">
        <f t="shared" si="16"/>
        <v>1</v>
      </c>
      <c r="G581" t="str">
        <f t="shared" si="17"/>
        <v>Peru Chef</v>
      </c>
    </row>
    <row r="582" spans="1:7" x14ac:dyDescent="0.25">
      <c r="A582" t="s">
        <v>272</v>
      </c>
      <c r="B582" t="s">
        <v>600</v>
      </c>
      <c r="C582" t="s">
        <v>358</v>
      </c>
      <c r="D582" s="15">
        <v>15.3</v>
      </c>
      <c r="E582" s="15">
        <v>15.3</v>
      </c>
      <c r="F582" t="b">
        <f t="shared" ref="F582:F645" si="18">D582=E582</f>
        <v>1</v>
      </c>
      <c r="G582" t="str">
        <f t="shared" ref="G582:G645" si="19">+A582</f>
        <v>Peru Chef</v>
      </c>
    </row>
    <row r="583" spans="1:7" x14ac:dyDescent="0.25">
      <c r="A583" t="s">
        <v>272</v>
      </c>
      <c r="B583" t="s">
        <v>600</v>
      </c>
      <c r="C583" t="s">
        <v>612</v>
      </c>
      <c r="D583" s="15">
        <v>8.1</v>
      </c>
      <c r="E583" s="15">
        <v>8.1</v>
      </c>
      <c r="F583" t="b">
        <f t="shared" si="18"/>
        <v>1</v>
      </c>
      <c r="G583" t="str">
        <f t="shared" si="19"/>
        <v>Peru Chef</v>
      </c>
    </row>
    <row r="584" spans="1:7" x14ac:dyDescent="0.25">
      <c r="A584" t="s">
        <v>272</v>
      </c>
      <c r="B584" t="s">
        <v>600</v>
      </c>
      <c r="C584" t="s">
        <v>610</v>
      </c>
      <c r="D584" s="15">
        <v>8.1</v>
      </c>
      <c r="E584" s="15">
        <v>8.1</v>
      </c>
      <c r="F584" t="b">
        <f t="shared" si="18"/>
        <v>1</v>
      </c>
      <c r="G584" t="str">
        <f t="shared" si="19"/>
        <v>Peru Chef</v>
      </c>
    </row>
    <row r="585" spans="1:7" x14ac:dyDescent="0.25">
      <c r="A585" t="s">
        <v>272</v>
      </c>
      <c r="B585" t="s">
        <v>600</v>
      </c>
      <c r="C585" t="s">
        <v>440</v>
      </c>
      <c r="D585" s="15">
        <v>8.1</v>
      </c>
      <c r="E585" s="15">
        <v>8.1</v>
      </c>
      <c r="F585" t="b">
        <f t="shared" si="18"/>
        <v>1</v>
      </c>
      <c r="G585" t="str">
        <f t="shared" si="19"/>
        <v>Peru Chef</v>
      </c>
    </row>
    <row r="586" spans="1:7" x14ac:dyDescent="0.25">
      <c r="A586" t="s">
        <v>272</v>
      </c>
      <c r="B586" t="s">
        <v>600</v>
      </c>
      <c r="C586" t="s">
        <v>614</v>
      </c>
      <c r="D586" s="15">
        <v>8.1</v>
      </c>
      <c r="E586" s="15">
        <v>8.1</v>
      </c>
      <c r="F586" t="b">
        <f t="shared" si="18"/>
        <v>1</v>
      </c>
      <c r="G586" t="str">
        <f t="shared" si="19"/>
        <v>Peru Chef</v>
      </c>
    </row>
    <row r="587" spans="1:7" x14ac:dyDescent="0.25">
      <c r="A587" t="s">
        <v>272</v>
      </c>
      <c r="B587" t="s">
        <v>600</v>
      </c>
      <c r="C587" t="s">
        <v>608</v>
      </c>
      <c r="D587" s="15">
        <v>8.1</v>
      </c>
      <c r="E587" s="15">
        <v>8.1</v>
      </c>
      <c r="F587" t="b">
        <f t="shared" si="18"/>
        <v>1</v>
      </c>
      <c r="G587" t="str">
        <f t="shared" si="19"/>
        <v>Peru Chef</v>
      </c>
    </row>
    <row r="588" spans="1:7" x14ac:dyDescent="0.25">
      <c r="A588" t="s">
        <v>272</v>
      </c>
      <c r="B588" t="s">
        <v>600</v>
      </c>
      <c r="C588" t="s">
        <v>605</v>
      </c>
      <c r="D588" s="15">
        <v>23.4</v>
      </c>
      <c r="E588" s="15">
        <v>23.4</v>
      </c>
      <c r="F588" t="b">
        <f t="shared" si="18"/>
        <v>1</v>
      </c>
      <c r="G588" t="str">
        <f t="shared" si="19"/>
        <v>Peru Chef</v>
      </c>
    </row>
    <row r="589" spans="1:7" x14ac:dyDescent="0.25">
      <c r="A589" t="s">
        <v>272</v>
      </c>
      <c r="B589" t="s">
        <v>600</v>
      </c>
      <c r="C589" t="s">
        <v>384</v>
      </c>
      <c r="D589" s="15">
        <v>64.349999999999994</v>
      </c>
      <c r="E589" s="15">
        <v>64.349999999999994</v>
      </c>
      <c r="F589" t="b">
        <f t="shared" si="18"/>
        <v>1</v>
      </c>
      <c r="G589" t="str">
        <f t="shared" si="19"/>
        <v>Peru Chef</v>
      </c>
    </row>
    <row r="590" spans="1:7" x14ac:dyDescent="0.25">
      <c r="A590" t="s">
        <v>272</v>
      </c>
      <c r="B590" t="s">
        <v>600</v>
      </c>
      <c r="C590" t="s">
        <v>473</v>
      </c>
      <c r="D590" s="15">
        <v>63.45</v>
      </c>
      <c r="E590" s="15">
        <v>63.45</v>
      </c>
      <c r="F590" t="b">
        <f t="shared" si="18"/>
        <v>1</v>
      </c>
      <c r="G590" t="str">
        <f t="shared" si="19"/>
        <v>Peru Chef</v>
      </c>
    </row>
    <row r="591" spans="1:7" x14ac:dyDescent="0.25">
      <c r="A591" t="s">
        <v>272</v>
      </c>
      <c r="B591" t="s">
        <v>600</v>
      </c>
      <c r="C591" t="s">
        <v>310</v>
      </c>
      <c r="D591" s="15">
        <v>21.6</v>
      </c>
      <c r="E591" s="15">
        <v>21.6</v>
      </c>
      <c r="F591" t="b">
        <f t="shared" si="18"/>
        <v>1</v>
      </c>
      <c r="G591" t="str">
        <f t="shared" si="19"/>
        <v>Peru Chef</v>
      </c>
    </row>
    <row r="592" spans="1:7" x14ac:dyDescent="0.25">
      <c r="A592" t="s">
        <v>272</v>
      </c>
      <c r="B592" t="s">
        <v>600</v>
      </c>
      <c r="C592" t="s">
        <v>308</v>
      </c>
      <c r="D592" s="15">
        <v>24.75</v>
      </c>
      <c r="E592" s="15">
        <v>24.75</v>
      </c>
      <c r="F592" t="b">
        <f t="shared" si="18"/>
        <v>1</v>
      </c>
      <c r="G592" t="str">
        <f t="shared" si="19"/>
        <v>Peru Chef</v>
      </c>
    </row>
    <row r="593" spans="1:7" x14ac:dyDescent="0.25">
      <c r="A593" t="s">
        <v>272</v>
      </c>
      <c r="B593" t="s">
        <v>600</v>
      </c>
      <c r="C593" t="s">
        <v>492</v>
      </c>
      <c r="D593" s="15">
        <v>28.8</v>
      </c>
      <c r="E593" s="15">
        <v>28.8</v>
      </c>
      <c r="F593" t="b">
        <f t="shared" si="18"/>
        <v>1</v>
      </c>
      <c r="G593" t="str">
        <f t="shared" si="19"/>
        <v>Peru Chef</v>
      </c>
    </row>
    <row r="594" spans="1:7" x14ac:dyDescent="0.25">
      <c r="A594" t="s">
        <v>272</v>
      </c>
      <c r="B594" t="s">
        <v>600</v>
      </c>
      <c r="C594" t="s">
        <v>292</v>
      </c>
      <c r="D594" s="15">
        <v>27</v>
      </c>
      <c r="E594" s="15">
        <v>27</v>
      </c>
      <c r="F594" t="b">
        <f t="shared" si="18"/>
        <v>1</v>
      </c>
      <c r="G594" t="str">
        <f t="shared" si="19"/>
        <v>Peru Chef</v>
      </c>
    </row>
    <row r="595" spans="1:7" x14ac:dyDescent="0.25">
      <c r="A595" t="s">
        <v>272</v>
      </c>
      <c r="B595" t="s">
        <v>600</v>
      </c>
      <c r="C595" t="s">
        <v>604</v>
      </c>
      <c r="D595" s="15">
        <v>4.5</v>
      </c>
      <c r="E595" s="15">
        <v>4.5</v>
      </c>
      <c r="F595" t="b">
        <f t="shared" si="18"/>
        <v>1</v>
      </c>
      <c r="G595" t="str">
        <f t="shared" si="19"/>
        <v>Peru Chef</v>
      </c>
    </row>
    <row r="596" spans="1:7" x14ac:dyDescent="0.25">
      <c r="A596" t="s">
        <v>272</v>
      </c>
      <c r="B596" t="s">
        <v>600</v>
      </c>
      <c r="C596" t="s">
        <v>298</v>
      </c>
      <c r="D596" s="15">
        <v>17.100000000000001</v>
      </c>
      <c r="E596" s="15">
        <v>17.100000000000001</v>
      </c>
      <c r="F596" t="b">
        <f t="shared" si="18"/>
        <v>1</v>
      </c>
      <c r="G596" t="str">
        <f t="shared" si="19"/>
        <v>Peru Chef</v>
      </c>
    </row>
    <row r="597" spans="1:7" x14ac:dyDescent="0.25">
      <c r="A597" t="s">
        <v>272</v>
      </c>
      <c r="B597" t="s">
        <v>600</v>
      </c>
      <c r="C597" t="s">
        <v>296</v>
      </c>
      <c r="D597" s="15">
        <v>18.899999999999999</v>
      </c>
      <c r="E597" s="15">
        <v>18.899999999999999</v>
      </c>
      <c r="F597" t="b">
        <f t="shared" si="18"/>
        <v>1</v>
      </c>
      <c r="G597" t="str">
        <f t="shared" si="19"/>
        <v>Peru Chef</v>
      </c>
    </row>
    <row r="598" spans="1:7" x14ac:dyDescent="0.25">
      <c r="A598" t="s">
        <v>272</v>
      </c>
      <c r="B598" t="s">
        <v>600</v>
      </c>
      <c r="C598" t="s">
        <v>388</v>
      </c>
      <c r="D598" s="15">
        <v>53.55</v>
      </c>
      <c r="E598" s="15">
        <v>53.55</v>
      </c>
      <c r="F598" t="b">
        <f t="shared" si="18"/>
        <v>1</v>
      </c>
      <c r="G598" t="str">
        <f t="shared" si="19"/>
        <v>Peru Chef</v>
      </c>
    </row>
    <row r="599" spans="1:7" x14ac:dyDescent="0.25">
      <c r="A599" t="s">
        <v>272</v>
      </c>
      <c r="B599" t="s">
        <v>600</v>
      </c>
      <c r="C599" t="s">
        <v>490</v>
      </c>
      <c r="D599" s="15">
        <v>16.2</v>
      </c>
      <c r="E599" s="15">
        <v>16.2</v>
      </c>
      <c r="F599" t="b">
        <f t="shared" si="18"/>
        <v>1</v>
      </c>
      <c r="G599" t="str">
        <f t="shared" si="19"/>
        <v>Peru Chef</v>
      </c>
    </row>
    <row r="600" spans="1:7" x14ac:dyDescent="0.25">
      <c r="A600" t="s">
        <v>272</v>
      </c>
      <c r="B600" t="s">
        <v>600</v>
      </c>
      <c r="C600" t="s">
        <v>603</v>
      </c>
      <c r="D600" s="15">
        <v>5.625</v>
      </c>
      <c r="E600" s="15">
        <v>5.625</v>
      </c>
      <c r="F600" t="b">
        <f t="shared" si="18"/>
        <v>1</v>
      </c>
      <c r="G600" t="str">
        <f t="shared" si="19"/>
        <v>Peru Chef</v>
      </c>
    </row>
    <row r="601" spans="1:7" x14ac:dyDescent="0.25">
      <c r="A601" t="s">
        <v>272</v>
      </c>
      <c r="B601" t="s">
        <v>600</v>
      </c>
      <c r="C601" t="s">
        <v>370</v>
      </c>
      <c r="D601" s="15">
        <v>7.2</v>
      </c>
      <c r="E601" s="15">
        <v>7.2</v>
      </c>
      <c r="F601" t="b">
        <f t="shared" si="18"/>
        <v>1</v>
      </c>
      <c r="G601" t="str">
        <f t="shared" si="19"/>
        <v>Peru Chef</v>
      </c>
    </row>
    <row r="602" spans="1:7" x14ac:dyDescent="0.25">
      <c r="A602" t="s">
        <v>272</v>
      </c>
      <c r="B602" t="s">
        <v>600</v>
      </c>
      <c r="C602" t="s">
        <v>426</v>
      </c>
      <c r="D602" s="15">
        <v>13.5</v>
      </c>
      <c r="E602" s="15">
        <v>13.5</v>
      </c>
      <c r="F602" t="b">
        <f t="shared" si="18"/>
        <v>1</v>
      </c>
      <c r="G602" t="str">
        <f t="shared" si="19"/>
        <v>Peru Chef</v>
      </c>
    </row>
    <row r="603" spans="1:7" x14ac:dyDescent="0.25">
      <c r="A603" t="s">
        <v>272</v>
      </c>
      <c r="B603" t="s">
        <v>600</v>
      </c>
      <c r="C603" t="s">
        <v>354</v>
      </c>
      <c r="D603" s="15">
        <v>15.3</v>
      </c>
      <c r="E603" s="15">
        <v>15.3</v>
      </c>
      <c r="F603" t="b">
        <f t="shared" si="18"/>
        <v>1</v>
      </c>
      <c r="G603" t="str">
        <f t="shared" si="19"/>
        <v>Peru Chef</v>
      </c>
    </row>
    <row r="604" spans="1:7" x14ac:dyDescent="0.25">
      <c r="A604" t="s">
        <v>272</v>
      </c>
      <c r="B604" t="s">
        <v>600</v>
      </c>
      <c r="C604" t="s">
        <v>333</v>
      </c>
      <c r="D604" s="15">
        <v>35.1</v>
      </c>
      <c r="E604" s="15">
        <v>35.1</v>
      </c>
      <c r="F604" t="b">
        <f t="shared" si="18"/>
        <v>1</v>
      </c>
      <c r="G604" t="str">
        <f t="shared" si="19"/>
        <v>Peru Chef</v>
      </c>
    </row>
    <row r="605" spans="1:7" x14ac:dyDescent="0.25">
      <c r="A605" t="s">
        <v>272</v>
      </c>
      <c r="B605" t="s">
        <v>600</v>
      </c>
      <c r="C605" t="s">
        <v>465</v>
      </c>
      <c r="D605" s="15">
        <v>35.1</v>
      </c>
      <c r="E605" s="15">
        <v>35.1</v>
      </c>
      <c r="F605" t="b">
        <f t="shared" si="18"/>
        <v>1</v>
      </c>
      <c r="G605" t="str">
        <f t="shared" si="19"/>
        <v>Peru Chef</v>
      </c>
    </row>
    <row r="606" spans="1:7" x14ac:dyDescent="0.25">
      <c r="A606" t="s">
        <v>272</v>
      </c>
      <c r="B606" t="s">
        <v>600</v>
      </c>
      <c r="C606" t="s">
        <v>78</v>
      </c>
      <c r="D606" s="15">
        <v>62.1</v>
      </c>
      <c r="E606" s="15">
        <v>62.1</v>
      </c>
      <c r="F606" t="b">
        <f t="shared" si="18"/>
        <v>1</v>
      </c>
      <c r="G606" t="str">
        <f t="shared" si="19"/>
        <v>Peru Chef</v>
      </c>
    </row>
    <row r="607" spans="1:7" x14ac:dyDescent="0.25">
      <c r="A607" t="s">
        <v>272</v>
      </c>
      <c r="B607" t="s">
        <v>619</v>
      </c>
      <c r="C607" t="s">
        <v>328</v>
      </c>
      <c r="D607" s="15">
        <v>81</v>
      </c>
      <c r="E607" s="15">
        <v>81</v>
      </c>
      <c r="F607" t="b">
        <f t="shared" si="18"/>
        <v>1</v>
      </c>
      <c r="G607" t="str">
        <f t="shared" si="19"/>
        <v>Peru Chef</v>
      </c>
    </row>
    <row r="608" spans="1:7" x14ac:dyDescent="0.25">
      <c r="A608" t="s">
        <v>272</v>
      </c>
      <c r="B608" t="s">
        <v>619</v>
      </c>
      <c r="C608" t="s">
        <v>496</v>
      </c>
      <c r="D608" s="15">
        <v>19.8</v>
      </c>
      <c r="E608" s="15">
        <v>19.8</v>
      </c>
      <c r="F608" t="b">
        <f t="shared" si="18"/>
        <v>1</v>
      </c>
      <c r="G608" t="str">
        <f t="shared" si="19"/>
        <v>Peru Chef</v>
      </c>
    </row>
    <row r="609" spans="1:7" x14ac:dyDescent="0.25">
      <c r="A609" t="s">
        <v>272</v>
      </c>
      <c r="B609" t="s">
        <v>619</v>
      </c>
      <c r="C609" t="s">
        <v>80</v>
      </c>
      <c r="D609" s="15">
        <v>13.5</v>
      </c>
      <c r="E609" s="15">
        <v>13.5</v>
      </c>
      <c r="F609" t="b">
        <f t="shared" si="18"/>
        <v>1</v>
      </c>
      <c r="G609" t="str">
        <f t="shared" si="19"/>
        <v>Peru Chef</v>
      </c>
    </row>
    <row r="610" spans="1:7" x14ac:dyDescent="0.25">
      <c r="A610" t="s">
        <v>272</v>
      </c>
      <c r="B610" t="s">
        <v>619</v>
      </c>
      <c r="C610" t="s">
        <v>502</v>
      </c>
      <c r="D610" s="15">
        <v>19.8</v>
      </c>
      <c r="E610" s="15">
        <v>19.8</v>
      </c>
      <c r="F610" t="b">
        <f t="shared" si="18"/>
        <v>1</v>
      </c>
      <c r="G610" t="str">
        <f t="shared" si="19"/>
        <v>Peru Chef</v>
      </c>
    </row>
    <row r="611" spans="1:7" x14ac:dyDescent="0.25">
      <c r="A611" t="s">
        <v>272</v>
      </c>
      <c r="B611" t="s">
        <v>619</v>
      </c>
      <c r="C611" t="s">
        <v>48</v>
      </c>
      <c r="D611" s="15">
        <v>35</v>
      </c>
      <c r="E611" s="15">
        <v>35</v>
      </c>
      <c r="F611" t="b">
        <f t="shared" si="18"/>
        <v>1</v>
      </c>
      <c r="G611" t="str">
        <f t="shared" si="19"/>
        <v>Peru Chef</v>
      </c>
    </row>
    <row r="612" spans="1:7" x14ac:dyDescent="0.25">
      <c r="A612" t="s">
        <v>272</v>
      </c>
      <c r="B612" t="s">
        <v>619</v>
      </c>
      <c r="C612" t="s">
        <v>635</v>
      </c>
      <c r="D612" s="15">
        <v>12.6</v>
      </c>
      <c r="E612" s="15">
        <v>12.6</v>
      </c>
      <c r="F612" t="b">
        <f t="shared" si="18"/>
        <v>1</v>
      </c>
      <c r="G612" t="str">
        <f t="shared" si="19"/>
        <v>Peru Chef</v>
      </c>
    </row>
    <row r="613" spans="1:7" x14ac:dyDescent="0.25">
      <c r="A613" t="s">
        <v>272</v>
      </c>
      <c r="B613" t="s">
        <v>619</v>
      </c>
      <c r="C613" t="s">
        <v>624</v>
      </c>
      <c r="D613" s="15">
        <v>19.350000000000001</v>
      </c>
      <c r="E613" s="15">
        <v>19.350000000000001</v>
      </c>
      <c r="F613" t="b">
        <f t="shared" si="18"/>
        <v>1</v>
      </c>
      <c r="G613" t="str">
        <f t="shared" si="19"/>
        <v>Peru Chef</v>
      </c>
    </row>
    <row r="614" spans="1:7" x14ac:dyDescent="0.25">
      <c r="A614" t="s">
        <v>272</v>
      </c>
      <c r="B614" t="s">
        <v>619</v>
      </c>
      <c r="C614" t="s">
        <v>306</v>
      </c>
      <c r="D614" s="15">
        <v>29.7</v>
      </c>
      <c r="E614" s="15">
        <v>29.7</v>
      </c>
      <c r="F614" t="b">
        <f t="shared" si="18"/>
        <v>1</v>
      </c>
      <c r="G614" t="str">
        <f t="shared" si="19"/>
        <v>Peru Chef</v>
      </c>
    </row>
    <row r="615" spans="1:7" x14ac:dyDescent="0.25">
      <c r="A615" t="s">
        <v>272</v>
      </c>
      <c r="B615" t="s">
        <v>619</v>
      </c>
      <c r="C615" t="s">
        <v>626</v>
      </c>
      <c r="D615" s="15">
        <v>19.350000000000001</v>
      </c>
      <c r="E615" s="15">
        <v>19.350000000000001</v>
      </c>
      <c r="F615" t="b">
        <f t="shared" si="18"/>
        <v>1</v>
      </c>
      <c r="G615" t="str">
        <f t="shared" si="19"/>
        <v>Peru Chef</v>
      </c>
    </row>
    <row r="616" spans="1:7" x14ac:dyDescent="0.25">
      <c r="A616" t="s">
        <v>272</v>
      </c>
      <c r="B616" t="s">
        <v>619</v>
      </c>
      <c r="C616" t="s">
        <v>578</v>
      </c>
      <c r="D616" s="15">
        <v>19.350000000000001</v>
      </c>
      <c r="E616" s="15">
        <v>19.350000000000001</v>
      </c>
      <c r="F616" t="b">
        <f t="shared" si="18"/>
        <v>1</v>
      </c>
      <c r="G616" t="str">
        <f t="shared" si="19"/>
        <v>Peru Chef</v>
      </c>
    </row>
    <row r="617" spans="1:7" x14ac:dyDescent="0.25">
      <c r="A617" t="s">
        <v>272</v>
      </c>
      <c r="B617" t="s">
        <v>619</v>
      </c>
      <c r="C617" t="s">
        <v>580</v>
      </c>
      <c r="D617" s="15">
        <v>23.85</v>
      </c>
      <c r="E617" s="15">
        <v>23.85</v>
      </c>
      <c r="F617" t="b">
        <f t="shared" si="18"/>
        <v>1</v>
      </c>
      <c r="G617" t="str">
        <f t="shared" si="19"/>
        <v>Peru Chef</v>
      </c>
    </row>
    <row r="618" spans="1:7" x14ac:dyDescent="0.25">
      <c r="A618" t="s">
        <v>272</v>
      </c>
      <c r="B618" t="s">
        <v>619</v>
      </c>
      <c r="C618" t="s">
        <v>633</v>
      </c>
      <c r="D618" s="15">
        <v>19.8</v>
      </c>
      <c r="E618" s="15">
        <v>19.8</v>
      </c>
      <c r="F618" t="b">
        <f t="shared" si="18"/>
        <v>1</v>
      </c>
      <c r="G618" t="str">
        <f t="shared" si="19"/>
        <v>Peru Chef</v>
      </c>
    </row>
    <row r="619" spans="1:7" x14ac:dyDescent="0.25">
      <c r="A619" t="s">
        <v>272</v>
      </c>
      <c r="B619" t="s">
        <v>619</v>
      </c>
      <c r="C619" t="s">
        <v>314</v>
      </c>
      <c r="D619" s="15">
        <v>35.1</v>
      </c>
      <c r="E619" s="15">
        <v>35.1</v>
      </c>
      <c r="F619" t="b">
        <f t="shared" si="18"/>
        <v>1</v>
      </c>
      <c r="G619" t="str">
        <f t="shared" si="19"/>
        <v>Peru Chef</v>
      </c>
    </row>
    <row r="620" spans="1:7" x14ac:dyDescent="0.25">
      <c r="A620" t="s">
        <v>272</v>
      </c>
      <c r="B620" t="s">
        <v>619</v>
      </c>
      <c r="C620" t="s">
        <v>343</v>
      </c>
      <c r="D620" s="15">
        <v>52.2</v>
      </c>
      <c r="E620" s="15">
        <v>52.2</v>
      </c>
      <c r="F620" t="b">
        <f t="shared" si="18"/>
        <v>1</v>
      </c>
      <c r="G620" t="str">
        <f t="shared" si="19"/>
        <v>Peru Chef</v>
      </c>
    </row>
    <row r="621" spans="1:7" x14ac:dyDescent="0.25">
      <c r="A621" t="s">
        <v>272</v>
      </c>
      <c r="B621" t="s">
        <v>619</v>
      </c>
      <c r="C621" t="s">
        <v>312</v>
      </c>
      <c r="D621" s="15">
        <v>23.4</v>
      </c>
      <c r="E621" s="15">
        <v>23.4</v>
      </c>
      <c r="F621" t="b">
        <f t="shared" si="18"/>
        <v>1</v>
      </c>
      <c r="G621" t="str">
        <f t="shared" si="19"/>
        <v>Peru Chef</v>
      </c>
    </row>
    <row r="622" spans="1:7" x14ac:dyDescent="0.25">
      <c r="A622" t="s">
        <v>272</v>
      </c>
      <c r="B622" t="s">
        <v>619</v>
      </c>
      <c r="C622" t="s">
        <v>469</v>
      </c>
      <c r="D622" s="15">
        <v>36</v>
      </c>
      <c r="E622" s="15">
        <v>36</v>
      </c>
      <c r="F622" t="b">
        <f t="shared" si="18"/>
        <v>1</v>
      </c>
      <c r="G622" t="str">
        <f t="shared" si="19"/>
        <v>Peru Chef</v>
      </c>
    </row>
    <row r="623" spans="1:7" x14ac:dyDescent="0.25">
      <c r="A623" t="s">
        <v>272</v>
      </c>
      <c r="B623" t="s">
        <v>619</v>
      </c>
      <c r="C623" t="s">
        <v>629</v>
      </c>
      <c r="D623" s="15">
        <v>18</v>
      </c>
      <c r="E623" s="15">
        <v>18</v>
      </c>
      <c r="F623" t="b">
        <f t="shared" si="18"/>
        <v>1</v>
      </c>
      <c r="G623" t="str">
        <f t="shared" si="19"/>
        <v>Peru Chef</v>
      </c>
    </row>
    <row r="624" spans="1:7" x14ac:dyDescent="0.25">
      <c r="A624" t="s">
        <v>272</v>
      </c>
      <c r="B624" t="s">
        <v>619</v>
      </c>
      <c r="C624" t="s">
        <v>278</v>
      </c>
      <c r="D624" s="15">
        <v>36</v>
      </c>
      <c r="E624" s="15">
        <v>36</v>
      </c>
      <c r="F624" t="b">
        <f t="shared" si="18"/>
        <v>1</v>
      </c>
      <c r="G624" t="str">
        <f t="shared" si="19"/>
        <v>Peru Chef</v>
      </c>
    </row>
    <row r="625" spans="1:7" x14ac:dyDescent="0.25">
      <c r="A625" t="s">
        <v>272</v>
      </c>
      <c r="B625" t="s">
        <v>619</v>
      </c>
      <c r="C625" t="s">
        <v>639</v>
      </c>
      <c r="D625" s="15">
        <v>29.7</v>
      </c>
      <c r="E625" s="15">
        <v>29.7</v>
      </c>
      <c r="F625" t="b">
        <f t="shared" si="18"/>
        <v>1</v>
      </c>
      <c r="G625" t="str">
        <f t="shared" si="19"/>
        <v>Peru Chef</v>
      </c>
    </row>
    <row r="626" spans="1:7" x14ac:dyDescent="0.25">
      <c r="A626" t="s">
        <v>272</v>
      </c>
      <c r="B626" t="s">
        <v>619</v>
      </c>
      <c r="C626" t="s">
        <v>280</v>
      </c>
      <c r="D626" s="15">
        <v>39.6</v>
      </c>
      <c r="E626" s="15">
        <v>39.6</v>
      </c>
      <c r="F626" t="b">
        <f t="shared" si="18"/>
        <v>1</v>
      </c>
      <c r="G626" t="str">
        <f t="shared" si="19"/>
        <v>Peru Chef</v>
      </c>
    </row>
    <row r="627" spans="1:7" x14ac:dyDescent="0.25">
      <c r="A627" t="s">
        <v>272</v>
      </c>
      <c r="B627" t="s">
        <v>619</v>
      </c>
      <c r="C627" t="s">
        <v>641</v>
      </c>
      <c r="D627" s="15">
        <v>32.4</v>
      </c>
      <c r="E627" s="15">
        <v>32.4</v>
      </c>
      <c r="F627" t="b">
        <f t="shared" si="18"/>
        <v>1</v>
      </c>
      <c r="G627" t="str">
        <f t="shared" si="19"/>
        <v>Peru Chef</v>
      </c>
    </row>
    <row r="628" spans="1:7" x14ac:dyDescent="0.25">
      <c r="A628" t="s">
        <v>272</v>
      </c>
      <c r="B628" t="s">
        <v>619</v>
      </c>
      <c r="C628" t="s">
        <v>593</v>
      </c>
      <c r="D628" s="15">
        <v>18</v>
      </c>
      <c r="E628" s="15">
        <v>18</v>
      </c>
      <c r="F628" t="b">
        <f t="shared" si="18"/>
        <v>1</v>
      </c>
      <c r="G628" t="str">
        <f t="shared" si="19"/>
        <v>Peru Chef</v>
      </c>
    </row>
    <row r="629" spans="1:7" x14ac:dyDescent="0.25">
      <c r="A629" t="s">
        <v>272</v>
      </c>
      <c r="B629" t="s">
        <v>619</v>
      </c>
      <c r="C629" t="s">
        <v>631</v>
      </c>
      <c r="D629" s="15">
        <v>46.8</v>
      </c>
      <c r="E629" s="15">
        <v>46.8</v>
      </c>
      <c r="F629" t="b">
        <f t="shared" si="18"/>
        <v>1</v>
      </c>
      <c r="G629" t="str">
        <f t="shared" si="19"/>
        <v>Peru Chef</v>
      </c>
    </row>
    <row r="630" spans="1:7" x14ac:dyDescent="0.25">
      <c r="A630" t="s">
        <v>272</v>
      </c>
      <c r="B630" t="s">
        <v>619</v>
      </c>
      <c r="C630" t="s">
        <v>286</v>
      </c>
      <c r="D630" s="15">
        <v>44.55</v>
      </c>
      <c r="E630" s="15">
        <v>44.55</v>
      </c>
      <c r="F630" t="b">
        <f t="shared" si="18"/>
        <v>1</v>
      </c>
      <c r="G630" t="str">
        <f t="shared" si="19"/>
        <v>Peru Chef</v>
      </c>
    </row>
    <row r="631" spans="1:7" x14ac:dyDescent="0.25">
      <c r="A631" t="s">
        <v>272</v>
      </c>
      <c r="B631" t="s">
        <v>619</v>
      </c>
      <c r="C631" t="s">
        <v>603</v>
      </c>
      <c r="D631" s="15">
        <v>5.625</v>
      </c>
      <c r="E631" s="15">
        <v>5.625</v>
      </c>
      <c r="F631" t="b">
        <f t="shared" si="18"/>
        <v>1</v>
      </c>
      <c r="G631" t="str">
        <f t="shared" si="19"/>
        <v>Peru Chef</v>
      </c>
    </row>
    <row r="632" spans="1:7" x14ac:dyDescent="0.25">
      <c r="A632" t="s">
        <v>272</v>
      </c>
      <c r="B632" t="s">
        <v>619</v>
      </c>
      <c r="C632" t="s">
        <v>122</v>
      </c>
      <c r="D632" s="15">
        <v>23.4</v>
      </c>
      <c r="E632" s="15">
        <v>23.4</v>
      </c>
      <c r="F632" t="b">
        <f t="shared" si="18"/>
        <v>1</v>
      </c>
      <c r="G632" t="str">
        <f t="shared" si="19"/>
        <v>Peru Chef</v>
      </c>
    </row>
    <row r="633" spans="1:7" x14ac:dyDescent="0.25">
      <c r="A633" t="s">
        <v>272</v>
      </c>
      <c r="B633" t="s">
        <v>619</v>
      </c>
      <c r="C633" t="s">
        <v>126</v>
      </c>
      <c r="D633" s="15">
        <v>25.2</v>
      </c>
      <c r="E633" s="15">
        <v>25.2</v>
      </c>
      <c r="F633" t="b">
        <f t="shared" si="18"/>
        <v>1</v>
      </c>
      <c r="G633" t="str">
        <f t="shared" si="19"/>
        <v>Peru Chef</v>
      </c>
    </row>
    <row r="634" spans="1:7" x14ac:dyDescent="0.25">
      <c r="A634" t="s">
        <v>272</v>
      </c>
      <c r="B634" t="s">
        <v>619</v>
      </c>
      <c r="C634" t="s">
        <v>128</v>
      </c>
      <c r="D634" s="15">
        <v>25.2</v>
      </c>
      <c r="E634" s="15">
        <v>25.2</v>
      </c>
      <c r="F634" t="b">
        <f t="shared" si="18"/>
        <v>1</v>
      </c>
      <c r="G634" t="str">
        <f t="shared" si="19"/>
        <v>Peru Chef</v>
      </c>
    </row>
    <row r="635" spans="1:7" x14ac:dyDescent="0.25">
      <c r="A635" t="s">
        <v>272</v>
      </c>
      <c r="B635" t="s">
        <v>619</v>
      </c>
      <c r="C635" t="s">
        <v>130</v>
      </c>
      <c r="D635" s="15">
        <v>19.8</v>
      </c>
      <c r="E635" s="15">
        <v>19.8</v>
      </c>
      <c r="F635" t="b">
        <f t="shared" si="18"/>
        <v>1</v>
      </c>
      <c r="G635" t="str">
        <f t="shared" si="19"/>
        <v>Peru Chef</v>
      </c>
    </row>
    <row r="636" spans="1:7" x14ac:dyDescent="0.25">
      <c r="A636" t="s">
        <v>272</v>
      </c>
      <c r="B636" t="s">
        <v>619</v>
      </c>
      <c r="C636" t="s">
        <v>370</v>
      </c>
      <c r="D636" s="15">
        <v>7.2</v>
      </c>
      <c r="E636" s="15">
        <v>7.2</v>
      </c>
      <c r="F636" t="b">
        <f t="shared" si="18"/>
        <v>1</v>
      </c>
      <c r="G636" t="str">
        <f t="shared" si="19"/>
        <v>Peru Chef</v>
      </c>
    </row>
    <row r="637" spans="1:7" x14ac:dyDescent="0.25">
      <c r="A637" t="s">
        <v>272</v>
      </c>
      <c r="B637" t="s">
        <v>619</v>
      </c>
      <c r="C637" t="s">
        <v>366</v>
      </c>
      <c r="D637" s="15">
        <v>33.299999999999997</v>
      </c>
      <c r="E637" s="15">
        <v>33.299999999999997</v>
      </c>
      <c r="F637" t="b">
        <f t="shared" si="18"/>
        <v>1</v>
      </c>
      <c r="G637" t="str">
        <f t="shared" si="19"/>
        <v>Peru Chef</v>
      </c>
    </row>
    <row r="638" spans="1:7" x14ac:dyDescent="0.25">
      <c r="A638" t="s">
        <v>272</v>
      </c>
      <c r="B638" t="s">
        <v>619</v>
      </c>
      <c r="C638" t="s">
        <v>46</v>
      </c>
      <c r="D638" s="15">
        <v>35</v>
      </c>
      <c r="E638" s="15">
        <v>35</v>
      </c>
      <c r="F638" t="b">
        <f t="shared" si="18"/>
        <v>1</v>
      </c>
      <c r="G638" t="str">
        <f t="shared" si="19"/>
        <v>Peru Chef</v>
      </c>
    </row>
    <row r="639" spans="1:7" x14ac:dyDescent="0.25">
      <c r="A639" t="s">
        <v>272</v>
      </c>
      <c r="B639" t="s">
        <v>619</v>
      </c>
      <c r="C639" t="s">
        <v>50</v>
      </c>
      <c r="D639" s="15">
        <v>35</v>
      </c>
      <c r="E639" s="15">
        <v>35</v>
      </c>
      <c r="F639" t="b">
        <f t="shared" si="18"/>
        <v>1</v>
      </c>
      <c r="G639" t="str">
        <f t="shared" si="19"/>
        <v>Peru Chef</v>
      </c>
    </row>
    <row r="640" spans="1:7" x14ac:dyDescent="0.25">
      <c r="A640" t="s">
        <v>272</v>
      </c>
      <c r="B640" t="s">
        <v>619</v>
      </c>
      <c r="C640" t="s">
        <v>645</v>
      </c>
      <c r="D640" s="15">
        <v>75.599999999999994</v>
      </c>
      <c r="E640" s="15">
        <v>75.599999999999994</v>
      </c>
      <c r="F640" t="b">
        <f t="shared" si="18"/>
        <v>1</v>
      </c>
      <c r="G640" t="str">
        <f t="shared" si="19"/>
        <v>Peru Chef</v>
      </c>
    </row>
    <row r="641" spans="1:7" x14ac:dyDescent="0.25">
      <c r="A641" t="s">
        <v>272</v>
      </c>
      <c r="B641" t="s">
        <v>619</v>
      </c>
      <c r="C641" t="s">
        <v>465</v>
      </c>
      <c r="D641" s="15">
        <v>35.1</v>
      </c>
      <c r="E641" s="15">
        <v>35.1</v>
      </c>
      <c r="F641" t="b">
        <f t="shared" si="18"/>
        <v>1</v>
      </c>
      <c r="G641" t="str">
        <f t="shared" si="19"/>
        <v>Peru Chef</v>
      </c>
    </row>
    <row r="642" spans="1:7" x14ac:dyDescent="0.25">
      <c r="A642" t="s">
        <v>272</v>
      </c>
      <c r="B642" t="s">
        <v>619</v>
      </c>
      <c r="C642" t="s">
        <v>368</v>
      </c>
      <c r="D642" s="15">
        <v>36.9</v>
      </c>
      <c r="E642" s="15">
        <v>36.9</v>
      </c>
      <c r="F642" t="b">
        <f t="shared" si="18"/>
        <v>1</v>
      </c>
      <c r="G642" t="str">
        <f t="shared" si="19"/>
        <v>Peru Chef</v>
      </c>
    </row>
    <row r="643" spans="1:7" x14ac:dyDescent="0.25">
      <c r="A643" t="s">
        <v>272</v>
      </c>
      <c r="B643" t="s">
        <v>619</v>
      </c>
      <c r="C643" t="s">
        <v>78</v>
      </c>
      <c r="D643" s="15">
        <v>62.1</v>
      </c>
      <c r="E643" s="15">
        <v>62.1</v>
      </c>
      <c r="F643" t="b">
        <f t="shared" si="18"/>
        <v>1</v>
      </c>
      <c r="G643" t="str">
        <f t="shared" si="19"/>
        <v>Peru Chef</v>
      </c>
    </row>
    <row r="644" spans="1:7" x14ac:dyDescent="0.25">
      <c r="A644" t="s">
        <v>648</v>
      </c>
      <c r="B644" t="s">
        <v>649</v>
      </c>
      <c r="C644" t="s">
        <v>650</v>
      </c>
      <c r="D644" s="15">
        <v>7.98</v>
      </c>
      <c r="E644" s="15">
        <v>7.98</v>
      </c>
      <c r="F644" t="b">
        <f t="shared" si="18"/>
        <v>1</v>
      </c>
      <c r="G644" t="str">
        <f t="shared" si="19"/>
        <v>Sam's Club</v>
      </c>
    </row>
    <row r="645" spans="1:7" x14ac:dyDescent="0.25">
      <c r="A645" t="s">
        <v>653</v>
      </c>
      <c r="B645" t="s">
        <v>654</v>
      </c>
      <c r="C645" t="s">
        <v>656</v>
      </c>
      <c r="D645" s="15">
        <v>40.5428</v>
      </c>
      <c r="E645" s="15">
        <v>42.344999999999999</v>
      </c>
      <c r="F645" t="b">
        <f t="shared" si="18"/>
        <v>0</v>
      </c>
      <c r="G645" t="str">
        <f t="shared" si="19"/>
        <v>SAVERS SUPERMERCADO COST + PLUS</v>
      </c>
    </row>
    <row r="646" spans="1:7" x14ac:dyDescent="0.25">
      <c r="A646" t="s">
        <v>653</v>
      </c>
      <c r="B646" t="s">
        <v>659</v>
      </c>
      <c r="C646" t="s">
        <v>656</v>
      </c>
      <c r="D646" s="15">
        <v>39.826000000000001</v>
      </c>
      <c r="E646" s="15">
        <v>39.826000000000001</v>
      </c>
      <c r="F646" t="b">
        <f t="shared" ref="F646:F709" si="20">D646=E646</f>
        <v>1</v>
      </c>
      <c r="G646" t="str">
        <f t="shared" ref="G646:G709" si="21">+A646</f>
        <v>SAVERS SUPERMERCADO COST + PLUS</v>
      </c>
    </row>
    <row r="647" spans="1:7" x14ac:dyDescent="0.25">
      <c r="A647" t="s">
        <v>653</v>
      </c>
      <c r="B647" t="s">
        <v>158</v>
      </c>
      <c r="C647" t="s">
        <v>656</v>
      </c>
      <c r="D647" s="15">
        <v>49.15</v>
      </c>
      <c r="E647" s="15">
        <v>49.15</v>
      </c>
      <c r="F647" t="b">
        <f t="shared" si="20"/>
        <v>1</v>
      </c>
      <c r="G647" t="str">
        <f t="shared" si="21"/>
        <v>SAVERS SUPERMERCADO COST + PLUS</v>
      </c>
    </row>
    <row r="648" spans="1:7" x14ac:dyDescent="0.25">
      <c r="A648" t="s">
        <v>653</v>
      </c>
      <c r="B648" t="s">
        <v>662</v>
      </c>
      <c r="C648" t="s">
        <v>656</v>
      </c>
      <c r="D648" s="15">
        <v>49.15</v>
      </c>
      <c r="E648" s="15">
        <v>49.15</v>
      </c>
      <c r="F648" t="b">
        <f t="shared" si="20"/>
        <v>1</v>
      </c>
      <c r="G648" t="str">
        <f t="shared" si="21"/>
        <v>SAVERS SUPERMERCADO COST + PLUS</v>
      </c>
    </row>
    <row r="649" spans="1:7" x14ac:dyDescent="0.25">
      <c r="A649" t="s">
        <v>664</v>
      </c>
      <c r="B649" t="s">
        <v>665</v>
      </c>
      <c r="C649" t="s">
        <v>739</v>
      </c>
      <c r="D649" s="15">
        <v>13.08</v>
      </c>
      <c r="E649" s="15">
        <v>13.08</v>
      </c>
      <c r="F649" t="b">
        <f t="shared" si="20"/>
        <v>1</v>
      </c>
      <c r="G649" t="str">
        <f t="shared" si="21"/>
        <v>Tradiciones Andinas</v>
      </c>
    </row>
    <row r="650" spans="1:7" x14ac:dyDescent="0.25">
      <c r="A650" t="s">
        <v>664</v>
      </c>
      <c r="B650" t="s">
        <v>665</v>
      </c>
      <c r="C650" t="s">
        <v>741</v>
      </c>
      <c r="D650" s="15">
        <v>13.08</v>
      </c>
      <c r="E650" s="15">
        <v>13.08</v>
      </c>
      <c r="F650" t="b">
        <f t="shared" si="20"/>
        <v>1</v>
      </c>
      <c r="G650" t="str">
        <f t="shared" si="21"/>
        <v>Tradiciones Andinas</v>
      </c>
    </row>
    <row r="651" spans="1:7" x14ac:dyDescent="0.25">
      <c r="A651" t="s">
        <v>664</v>
      </c>
      <c r="B651" t="s">
        <v>665</v>
      </c>
      <c r="C651" t="s">
        <v>374</v>
      </c>
      <c r="D651" s="15">
        <v>29.7</v>
      </c>
      <c r="E651" s="15">
        <v>29.7</v>
      </c>
      <c r="F651" t="b">
        <f t="shared" si="20"/>
        <v>1</v>
      </c>
      <c r="G651" t="str">
        <f t="shared" si="21"/>
        <v>Tradiciones Andinas</v>
      </c>
    </row>
    <row r="652" spans="1:7" x14ac:dyDescent="0.25">
      <c r="A652" t="s">
        <v>664</v>
      </c>
      <c r="B652" t="s">
        <v>665</v>
      </c>
      <c r="C652" t="s">
        <v>736</v>
      </c>
      <c r="D652" s="15">
        <v>9.48</v>
      </c>
      <c r="E652" s="15">
        <v>9.48</v>
      </c>
      <c r="F652" t="b">
        <f t="shared" si="20"/>
        <v>1</v>
      </c>
      <c r="G652" t="str">
        <f t="shared" si="21"/>
        <v>Tradiciones Andinas</v>
      </c>
    </row>
    <row r="653" spans="1:7" x14ac:dyDescent="0.25">
      <c r="A653" t="s">
        <v>664</v>
      </c>
      <c r="B653" t="s">
        <v>665</v>
      </c>
      <c r="C653" t="s">
        <v>732</v>
      </c>
      <c r="D653" s="15">
        <v>11.88</v>
      </c>
      <c r="E653" s="15">
        <v>11.88</v>
      </c>
      <c r="F653" t="b">
        <f t="shared" si="20"/>
        <v>1</v>
      </c>
      <c r="G653" t="str">
        <f t="shared" si="21"/>
        <v>Tradiciones Andinas</v>
      </c>
    </row>
    <row r="654" spans="1:7" x14ac:dyDescent="0.25">
      <c r="A654" t="s">
        <v>664</v>
      </c>
      <c r="B654" t="s">
        <v>665</v>
      </c>
      <c r="C654" t="s">
        <v>734</v>
      </c>
      <c r="D654" s="15">
        <v>11.88</v>
      </c>
      <c r="E654" s="15">
        <v>11.88</v>
      </c>
      <c r="F654" t="b">
        <f t="shared" si="20"/>
        <v>1</v>
      </c>
      <c r="G654" t="str">
        <f t="shared" si="21"/>
        <v>Tradiciones Andinas</v>
      </c>
    </row>
    <row r="655" spans="1:7" x14ac:dyDescent="0.25">
      <c r="A655" t="s">
        <v>664</v>
      </c>
      <c r="B655" t="s">
        <v>665</v>
      </c>
      <c r="C655" t="s">
        <v>738</v>
      </c>
      <c r="D655" s="15">
        <v>9.48</v>
      </c>
      <c r="E655" s="15">
        <v>9.48</v>
      </c>
      <c r="F655" t="b">
        <f t="shared" si="20"/>
        <v>1</v>
      </c>
      <c r="G655" t="str">
        <f t="shared" si="21"/>
        <v>Tradiciones Andinas</v>
      </c>
    </row>
    <row r="656" spans="1:7" x14ac:dyDescent="0.25">
      <c r="A656" t="s">
        <v>664</v>
      </c>
      <c r="B656" t="s">
        <v>665</v>
      </c>
      <c r="C656" t="s">
        <v>770</v>
      </c>
      <c r="D656" s="15">
        <v>37</v>
      </c>
      <c r="E656" s="15">
        <v>37</v>
      </c>
      <c r="F656" t="b">
        <f t="shared" si="20"/>
        <v>1</v>
      </c>
      <c r="G656" t="str">
        <f t="shared" si="21"/>
        <v>Tradiciones Andinas</v>
      </c>
    </row>
    <row r="657" spans="1:7" x14ac:dyDescent="0.25">
      <c r="A657" t="s">
        <v>664</v>
      </c>
      <c r="B657" t="s">
        <v>665</v>
      </c>
      <c r="C657" t="s">
        <v>692</v>
      </c>
      <c r="D657" s="15">
        <v>37.08</v>
      </c>
      <c r="E657" s="15">
        <v>37.08</v>
      </c>
      <c r="F657" t="b">
        <f t="shared" si="20"/>
        <v>1</v>
      </c>
      <c r="G657" t="str">
        <f t="shared" si="21"/>
        <v>Tradiciones Andinas</v>
      </c>
    </row>
    <row r="658" spans="1:7" x14ac:dyDescent="0.25">
      <c r="A658" t="s">
        <v>664</v>
      </c>
      <c r="B658" t="s">
        <v>665</v>
      </c>
      <c r="C658" t="s">
        <v>750</v>
      </c>
      <c r="D658" s="15">
        <v>52</v>
      </c>
      <c r="E658" s="15">
        <v>52</v>
      </c>
      <c r="F658" t="b">
        <f t="shared" si="20"/>
        <v>1</v>
      </c>
      <c r="G658" t="str">
        <f t="shared" si="21"/>
        <v>Tradiciones Andinas</v>
      </c>
    </row>
    <row r="659" spans="1:7" x14ac:dyDescent="0.25">
      <c r="A659" t="s">
        <v>664</v>
      </c>
      <c r="B659" t="s">
        <v>665</v>
      </c>
      <c r="C659" t="s">
        <v>762</v>
      </c>
      <c r="D659" s="15">
        <v>36</v>
      </c>
      <c r="E659" s="15">
        <v>36</v>
      </c>
      <c r="F659" t="b">
        <f t="shared" si="20"/>
        <v>1</v>
      </c>
      <c r="G659" t="str">
        <f t="shared" si="21"/>
        <v>Tradiciones Andinas</v>
      </c>
    </row>
    <row r="660" spans="1:7" x14ac:dyDescent="0.25">
      <c r="A660" t="s">
        <v>664</v>
      </c>
      <c r="B660" t="s">
        <v>665</v>
      </c>
      <c r="C660" t="s">
        <v>679</v>
      </c>
      <c r="D660" s="15">
        <v>19.8</v>
      </c>
      <c r="E660" s="15">
        <v>19.8</v>
      </c>
      <c r="F660" t="b">
        <f t="shared" si="20"/>
        <v>1</v>
      </c>
      <c r="G660" t="str">
        <f t="shared" si="21"/>
        <v>Tradiciones Andinas</v>
      </c>
    </row>
    <row r="661" spans="1:7" x14ac:dyDescent="0.25">
      <c r="A661" t="s">
        <v>664</v>
      </c>
      <c r="B661" t="s">
        <v>665</v>
      </c>
      <c r="C661" t="s">
        <v>686</v>
      </c>
      <c r="D661" s="15">
        <v>23.88</v>
      </c>
      <c r="E661" s="15">
        <v>23.88</v>
      </c>
      <c r="F661" t="b">
        <f t="shared" si="20"/>
        <v>1</v>
      </c>
      <c r="G661" t="str">
        <f t="shared" si="21"/>
        <v>Tradiciones Andinas</v>
      </c>
    </row>
    <row r="662" spans="1:7" x14ac:dyDescent="0.25">
      <c r="A662" t="s">
        <v>664</v>
      </c>
      <c r="B662" t="s">
        <v>665</v>
      </c>
      <c r="C662" t="s">
        <v>669</v>
      </c>
      <c r="D662" s="15">
        <v>28.8</v>
      </c>
      <c r="E662" s="15">
        <v>28.8</v>
      </c>
      <c r="F662" t="b">
        <f t="shared" si="20"/>
        <v>1</v>
      </c>
      <c r="G662" t="str">
        <f t="shared" si="21"/>
        <v>Tradiciones Andinas</v>
      </c>
    </row>
    <row r="663" spans="1:7" x14ac:dyDescent="0.25">
      <c r="A663" t="s">
        <v>664</v>
      </c>
      <c r="B663" t="s">
        <v>665</v>
      </c>
      <c r="C663" t="s">
        <v>772</v>
      </c>
      <c r="D663" s="15">
        <v>42</v>
      </c>
      <c r="E663" s="15">
        <v>42</v>
      </c>
      <c r="F663" t="b">
        <f t="shared" si="20"/>
        <v>1</v>
      </c>
      <c r="G663" t="str">
        <f t="shared" si="21"/>
        <v>Tradiciones Andinas</v>
      </c>
    </row>
    <row r="664" spans="1:7" x14ac:dyDescent="0.25">
      <c r="A664" t="s">
        <v>664</v>
      </c>
      <c r="B664" t="s">
        <v>665</v>
      </c>
      <c r="C664" t="s">
        <v>696</v>
      </c>
      <c r="D664" s="15">
        <v>31.08</v>
      </c>
      <c r="E664" s="15">
        <v>31.08</v>
      </c>
      <c r="F664" t="b">
        <f t="shared" si="20"/>
        <v>1</v>
      </c>
      <c r="G664" t="str">
        <f t="shared" si="21"/>
        <v>Tradiciones Andinas</v>
      </c>
    </row>
    <row r="665" spans="1:7" x14ac:dyDescent="0.25">
      <c r="A665" t="s">
        <v>664</v>
      </c>
      <c r="B665" t="s">
        <v>665</v>
      </c>
      <c r="C665" t="s">
        <v>694</v>
      </c>
      <c r="D665" s="15">
        <v>38.159999999999997</v>
      </c>
      <c r="E665" s="15">
        <v>38.159999999999997</v>
      </c>
      <c r="F665" t="b">
        <f t="shared" si="20"/>
        <v>1</v>
      </c>
      <c r="G665" t="str">
        <f t="shared" si="21"/>
        <v>Tradiciones Andinas</v>
      </c>
    </row>
    <row r="666" spans="1:7" x14ac:dyDescent="0.25">
      <c r="A666" t="s">
        <v>664</v>
      </c>
      <c r="B666" t="s">
        <v>665</v>
      </c>
      <c r="C666" t="s">
        <v>764</v>
      </c>
      <c r="D666" s="15">
        <v>44.82</v>
      </c>
      <c r="E666" s="15">
        <v>44.82</v>
      </c>
      <c r="F666" t="b">
        <f t="shared" si="20"/>
        <v>1</v>
      </c>
      <c r="G666" t="str">
        <f t="shared" si="21"/>
        <v>Tradiciones Andinas</v>
      </c>
    </row>
    <row r="667" spans="1:7" x14ac:dyDescent="0.25">
      <c r="A667" t="s">
        <v>664</v>
      </c>
      <c r="B667" t="s">
        <v>665</v>
      </c>
      <c r="C667" t="s">
        <v>673</v>
      </c>
      <c r="D667" s="15">
        <v>31.2</v>
      </c>
      <c r="E667" s="15">
        <v>31.2</v>
      </c>
      <c r="F667" t="b">
        <f t="shared" si="20"/>
        <v>1</v>
      </c>
      <c r="G667" t="str">
        <f t="shared" si="21"/>
        <v>Tradiciones Andinas</v>
      </c>
    </row>
    <row r="668" spans="1:7" x14ac:dyDescent="0.25">
      <c r="A668" t="s">
        <v>664</v>
      </c>
      <c r="B668" t="s">
        <v>665</v>
      </c>
      <c r="C668" t="s">
        <v>675</v>
      </c>
      <c r="D668" s="15">
        <v>31.2</v>
      </c>
      <c r="E668" s="15">
        <v>31.2</v>
      </c>
      <c r="F668" t="b">
        <f t="shared" si="20"/>
        <v>1</v>
      </c>
      <c r="G668" t="str">
        <f t="shared" si="21"/>
        <v>Tradiciones Andinas</v>
      </c>
    </row>
    <row r="669" spans="1:7" x14ac:dyDescent="0.25">
      <c r="A669" t="s">
        <v>664</v>
      </c>
      <c r="B669" t="s">
        <v>665</v>
      </c>
      <c r="C669" t="s">
        <v>683</v>
      </c>
      <c r="D669" s="15">
        <v>19.2</v>
      </c>
      <c r="E669" s="15">
        <v>19.2</v>
      </c>
      <c r="F669" t="b">
        <f t="shared" si="20"/>
        <v>1</v>
      </c>
      <c r="G669" t="str">
        <f t="shared" si="21"/>
        <v>Tradiciones Andinas</v>
      </c>
    </row>
    <row r="670" spans="1:7" x14ac:dyDescent="0.25">
      <c r="A670" t="s">
        <v>664</v>
      </c>
      <c r="B670" t="s">
        <v>665</v>
      </c>
      <c r="C670" t="s">
        <v>690</v>
      </c>
      <c r="D670" s="15">
        <v>25.08</v>
      </c>
      <c r="E670" s="15">
        <v>25.08</v>
      </c>
      <c r="F670" t="b">
        <f t="shared" si="20"/>
        <v>1</v>
      </c>
      <c r="G670" t="str">
        <f t="shared" si="21"/>
        <v>Tradiciones Andinas</v>
      </c>
    </row>
    <row r="671" spans="1:7" x14ac:dyDescent="0.25">
      <c r="A671" t="s">
        <v>664</v>
      </c>
      <c r="B671" t="s">
        <v>665</v>
      </c>
      <c r="C671" t="s">
        <v>685</v>
      </c>
      <c r="D671" s="15">
        <v>23.88</v>
      </c>
      <c r="E671" s="15">
        <v>23.88</v>
      </c>
      <c r="F671" t="b">
        <f t="shared" si="20"/>
        <v>1</v>
      </c>
      <c r="G671" t="str">
        <f t="shared" si="21"/>
        <v>Tradiciones Andinas</v>
      </c>
    </row>
    <row r="672" spans="1:7" x14ac:dyDescent="0.25">
      <c r="A672" t="s">
        <v>664</v>
      </c>
      <c r="B672" t="s">
        <v>665</v>
      </c>
      <c r="C672" t="s">
        <v>677</v>
      </c>
      <c r="D672" s="15">
        <v>19.8</v>
      </c>
      <c r="E672" s="15">
        <v>19.8</v>
      </c>
      <c r="F672" t="b">
        <f t="shared" si="20"/>
        <v>1</v>
      </c>
      <c r="G672" t="str">
        <f t="shared" si="21"/>
        <v>Tradiciones Andinas</v>
      </c>
    </row>
    <row r="673" spans="1:7" x14ac:dyDescent="0.25">
      <c r="A673" t="s">
        <v>664</v>
      </c>
      <c r="B673" t="s">
        <v>665</v>
      </c>
      <c r="C673" t="s">
        <v>667</v>
      </c>
      <c r="D673" s="15">
        <v>28.8</v>
      </c>
      <c r="E673" s="15">
        <v>28.8</v>
      </c>
      <c r="F673" t="b">
        <f t="shared" si="20"/>
        <v>1</v>
      </c>
      <c r="G673" t="str">
        <f t="shared" si="21"/>
        <v>Tradiciones Andinas</v>
      </c>
    </row>
    <row r="674" spans="1:7" x14ac:dyDescent="0.25">
      <c r="A674" t="s">
        <v>664</v>
      </c>
      <c r="B674" t="s">
        <v>665</v>
      </c>
      <c r="C674" t="s">
        <v>702</v>
      </c>
      <c r="D674" s="15">
        <v>42.96</v>
      </c>
      <c r="E674" s="15">
        <v>42.96</v>
      </c>
      <c r="F674" t="b">
        <f t="shared" si="20"/>
        <v>1</v>
      </c>
      <c r="G674" t="str">
        <f t="shared" si="21"/>
        <v>Tradiciones Andinas</v>
      </c>
    </row>
    <row r="675" spans="1:7" x14ac:dyDescent="0.25">
      <c r="A675" t="s">
        <v>664</v>
      </c>
      <c r="B675" t="s">
        <v>665</v>
      </c>
      <c r="C675" t="s">
        <v>712</v>
      </c>
      <c r="D675" s="15">
        <v>19.8</v>
      </c>
      <c r="E675" s="15">
        <v>19.8</v>
      </c>
      <c r="F675" t="b">
        <f t="shared" si="20"/>
        <v>1</v>
      </c>
      <c r="G675" t="str">
        <f t="shared" si="21"/>
        <v>Tradiciones Andinas</v>
      </c>
    </row>
    <row r="676" spans="1:7" x14ac:dyDescent="0.25">
      <c r="A676" t="s">
        <v>664</v>
      </c>
      <c r="B676" t="s">
        <v>665</v>
      </c>
      <c r="C676" t="s">
        <v>754</v>
      </c>
      <c r="D676" s="15">
        <v>35.880000000000003</v>
      </c>
      <c r="E676" s="15">
        <v>35.880000000000003</v>
      </c>
      <c r="F676" t="b">
        <f t="shared" si="20"/>
        <v>1</v>
      </c>
      <c r="G676" t="str">
        <f t="shared" si="21"/>
        <v>Tradiciones Andinas</v>
      </c>
    </row>
    <row r="677" spans="1:7" x14ac:dyDescent="0.25">
      <c r="A677" t="s">
        <v>664</v>
      </c>
      <c r="B677" t="s">
        <v>665</v>
      </c>
      <c r="C677" t="s">
        <v>766</v>
      </c>
      <c r="D677" s="15">
        <v>60</v>
      </c>
      <c r="E677" s="15">
        <v>60</v>
      </c>
      <c r="F677" t="b">
        <f t="shared" si="20"/>
        <v>1</v>
      </c>
      <c r="G677" t="str">
        <f t="shared" si="21"/>
        <v>Tradiciones Andinas</v>
      </c>
    </row>
    <row r="678" spans="1:7" x14ac:dyDescent="0.25">
      <c r="A678" t="s">
        <v>664</v>
      </c>
      <c r="B678" t="s">
        <v>665</v>
      </c>
      <c r="C678" t="s">
        <v>758</v>
      </c>
      <c r="D678" s="15">
        <v>35</v>
      </c>
      <c r="E678" s="15">
        <v>35</v>
      </c>
      <c r="F678" t="b">
        <f t="shared" si="20"/>
        <v>1</v>
      </c>
      <c r="G678" t="str">
        <f t="shared" si="21"/>
        <v>Tradiciones Andinas</v>
      </c>
    </row>
    <row r="679" spans="1:7" x14ac:dyDescent="0.25">
      <c r="A679" t="s">
        <v>664</v>
      </c>
      <c r="B679" t="s">
        <v>665</v>
      </c>
      <c r="C679" t="s">
        <v>714</v>
      </c>
      <c r="D679" s="15">
        <v>48.42</v>
      </c>
      <c r="E679" s="15">
        <v>48.42</v>
      </c>
      <c r="F679" t="b">
        <f t="shared" si="20"/>
        <v>1</v>
      </c>
      <c r="G679" t="str">
        <f t="shared" si="21"/>
        <v>Tradiciones Andinas</v>
      </c>
    </row>
    <row r="680" spans="1:7" x14ac:dyDescent="0.25">
      <c r="A680" t="s">
        <v>664</v>
      </c>
      <c r="B680" t="s">
        <v>665</v>
      </c>
      <c r="C680" t="s">
        <v>718</v>
      </c>
      <c r="D680" s="15">
        <v>19.8</v>
      </c>
      <c r="E680" s="15">
        <v>19.8</v>
      </c>
      <c r="F680" t="b">
        <f t="shared" si="20"/>
        <v>1</v>
      </c>
      <c r="G680" t="str">
        <f t="shared" si="21"/>
        <v>Tradiciones Andinas</v>
      </c>
    </row>
    <row r="681" spans="1:7" x14ac:dyDescent="0.25">
      <c r="A681" t="s">
        <v>664</v>
      </c>
      <c r="B681" t="s">
        <v>665</v>
      </c>
      <c r="C681" t="s">
        <v>756</v>
      </c>
      <c r="D681" s="15">
        <v>12</v>
      </c>
      <c r="E681" s="15">
        <v>12</v>
      </c>
      <c r="F681" t="b">
        <f t="shared" si="20"/>
        <v>1</v>
      </c>
      <c r="G681" t="str">
        <f t="shared" si="21"/>
        <v>Tradiciones Andinas</v>
      </c>
    </row>
    <row r="682" spans="1:7" x14ac:dyDescent="0.25">
      <c r="A682" t="s">
        <v>664</v>
      </c>
      <c r="B682" t="s">
        <v>665</v>
      </c>
      <c r="C682" t="s">
        <v>724</v>
      </c>
      <c r="D682" s="15">
        <v>35</v>
      </c>
      <c r="E682" s="15">
        <v>35</v>
      </c>
      <c r="F682" t="b">
        <f t="shared" si="20"/>
        <v>1</v>
      </c>
      <c r="G682" t="str">
        <f t="shared" si="21"/>
        <v>Tradiciones Andinas</v>
      </c>
    </row>
    <row r="683" spans="1:7" x14ac:dyDescent="0.25">
      <c r="A683" t="s">
        <v>664</v>
      </c>
      <c r="B683" t="s">
        <v>665</v>
      </c>
      <c r="C683" t="s">
        <v>743</v>
      </c>
      <c r="D683" s="15">
        <v>60</v>
      </c>
      <c r="E683" s="15">
        <v>60</v>
      </c>
      <c r="F683" t="b">
        <f t="shared" si="20"/>
        <v>1</v>
      </c>
      <c r="G683" t="str">
        <f t="shared" si="21"/>
        <v>Tradiciones Andinas</v>
      </c>
    </row>
    <row r="684" spans="1:7" x14ac:dyDescent="0.25">
      <c r="A684" t="s">
        <v>664</v>
      </c>
      <c r="B684" t="s">
        <v>665</v>
      </c>
      <c r="C684" t="s">
        <v>708</v>
      </c>
      <c r="D684" s="15">
        <v>40.56</v>
      </c>
      <c r="E684" s="15">
        <v>40.56</v>
      </c>
      <c r="F684" t="b">
        <f t="shared" si="20"/>
        <v>1</v>
      </c>
      <c r="G684" t="str">
        <f t="shared" si="21"/>
        <v>Tradiciones Andinas</v>
      </c>
    </row>
    <row r="685" spans="1:7" x14ac:dyDescent="0.25">
      <c r="A685" t="s">
        <v>664</v>
      </c>
      <c r="B685" t="s">
        <v>665</v>
      </c>
      <c r="C685" t="s">
        <v>748</v>
      </c>
      <c r="D685" s="15">
        <v>73</v>
      </c>
      <c r="E685" s="15">
        <v>73</v>
      </c>
      <c r="F685" t="b">
        <f t="shared" si="20"/>
        <v>1</v>
      </c>
      <c r="G685" t="str">
        <f t="shared" si="21"/>
        <v>Tradiciones Andinas</v>
      </c>
    </row>
    <row r="686" spans="1:7" x14ac:dyDescent="0.25">
      <c r="A686" t="s">
        <v>664</v>
      </c>
      <c r="B686" t="s">
        <v>665</v>
      </c>
      <c r="C686" t="s">
        <v>720</v>
      </c>
      <c r="D686" s="15">
        <v>22.4</v>
      </c>
      <c r="E686" s="15">
        <v>22.4</v>
      </c>
      <c r="F686" t="b">
        <f t="shared" si="20"/>
        <v>1</v>
      </c>
      <c r="G686" t="str">
        <f t="shared" si="21"/>
        <v>Tradiciones Andinas</v>
      </c>
    </row>
    <row r="687" spans="1:7" x14ac:dyDescent="0.25">
      <c r="A687" t="s">
        <v>664</v>
      </c>
      <c r="B687" t="s">
        <v>665</v>
      </c>
      <c r="C687" t="s">
        <v>698</v>
      </c>
      <c r="D687" s="15">
        <v>22.4</v>
      </c>
      <c r="E687" s="15">
        <v>22.4</v>
      </c>
      <c r="F687" t="b">
        <f t="shared" si="20"/>
        <v>1</v>
      </c>
      <c r="G687" t="str">
        <f t="shared" si="21"/>
        <v>Tradiciones Andinas</v>
      </c>
    </row>
    <row r="688" spans="1:7" x14ac:dyDescent="0.25">
      <c r="A688" t="s">
        <v>664</v>
      </c>
      <c r="B688" t="s">
        <v>665</v>
      </c>
      <c r="C688" t="s">
        <v>745</v>
      </c>
      <c r="D688" s="15">
        <v>60</v>
      </c>
      <c r="E688" s="15">
        <v>60</v>
      </c>
      <c r="F688" t="b">
        <f t="shared" si="20"/>
        <v>1</v>
      </c>
      <c r="G688" t="str">
        <f t="shared" si="21"/>
        <v>Tradiciones Andinas</v>
      </c>
    </row>
    <row r="689" spans="1:7" x14ac:dyDescent="0.25">
      <c r="A689" t="s">
        <v>664</v>
      </c>
      <c r="B689" t="s">
        <v>665</v>
      </c>
      <c r="C689" t="s">
        <v>722</v>
      </c>
      <c r="D689" s="15">
        <v>35</v>
      </c>
      <c r="E689" s="15">
        <v>35</v>
      </c>
      <c r="F689" t="b">
        <f t="shared" si="20"/>
        <v>1</v>
      </c>
      <c r="G689" t="str">
        <f t="shared" si="21"/>
        <v>Tradiciones Andinas</v>
      </c>
    </row>
    <row r="690" spans="1:7" x14ac:dyDescent="0.25">
      <c r="A690" t="s">
        <v>664</v>
      </c>
      <c r="B690" t="s">
        <v>665</v>
      </c>
      <c r="C690" t="s">
        <v>746</v>
      </c>
      <c r="D690" s="15">
        <v>80</v>
      </c>
      <c r="E690" s="15">
        <v>80</v>
      </c>
      <c r="F690" t="b">
        <f t="shared" si="20"/>
        <v>1</v>
      </c>
      <c r="G690" t="str">
        <f t="shared" si="21"/>
        <v>Tradiciones Andinas</v>
      </c>
    </row>
    <row r="691" spans="1:7" x14ac:dyDescent="0.25">
      <c r="A691" t="s">
        <v>664</v>
      </c>
      <c r="B691" t="s">
        <v>665</v>
      </c>
      <c r="C691" t="s">
        <v>730</v>
      </c>
      <c r="D691" s="15">
        <v>28.62</v>
      </c>
      <c r="E691" s="15">
        <v>28.62</v>
      </c>
      <c r="F691" t="b">
        <f t="shared" si="20"/>
        <v>1</v>
      </c>
      <c r="G691" t="str">
        <f t="shared" si="21"/>
        <v>Tradiciones Andinas</v>
      </c>
    </row>
    <row r="692" spans="1:7" x14ac:dyDescent="0.25">
      <c r="A692" t="s">
        <v>664</v>
      </c>
      <c r="B692" t="s">
        <v>665</v>
      </c>
      <c r="C692" t="s">
        <v>726</v>
      </c>
      <c r="D692" s="15">
        <v>27.54</v>
      </c>
      <c r="E692" s="15">
        <v>28.62</v>
      </c>
      <c r="F692" t="b">
        <f t="shared" si="20"/>
        <v>0</v>
      </c>
      <c r="G692" t="str">
        <f t="shared" si="21"/>
        <v>Tradiciones Andinas</v>
      </c>
    </row>
    <row r="693" spans="1:7" x14ac:dyDescent="0.25">
      <c r="A693" t="s">
        <v>664</v>
      </c>
      <c r="B693" t="s">
        <v>665</v>
      </c>
      <c r="C693" t="s">
        <v>728</v>
      </c>
      <c r="D693" s="15">
        <v>28.62</v>
      </c>
      <c r="E693" s="15">
        <v>28.62</v>
      </c>
      <c r="F693" t="b">
        <f t="shared" si="20"/>
        <v>1</v>
      </c>
      <c r="G693" t="str">
        <f t="shared" si="21"/>
        <v>Tradiciones Andinas</v>
      </c>
    </row>
    <row r="694" spans="1:7" x14ac:dyDescent="0.25">
      <c r="A694" t="s">
        <v>664</v>
      </c>
      <c r="B694" t="s">
        <v>665</v>
      </c>
      <c r="C694" t="s">
        <v>700</v>
      </c>
      <c r="D694" s="15">
        <v>28.62</v>
      </c>
      <c r="E694" s="15">
        <v>28.62</v>
      </c>
      <c r="F694" t="b">
        <f t="shared" si="20"/>
        <v>1</v>
      </c>
      <c r="G694" t="str">
        <f t="shared" si="21"/>
        <v>Tradiciones Andinas</v>
      </c>
    </row>
    <row r="695" spans="1:7" x14ac:dyDescent="0.25">
      <c r="A695" t="s">
        <v>664</v>
      </c>
      <c r="B695" t="s">
        <v>665</v>
      </c>
      <c r="C695" t="s">
        <v>704</v>
      </c>
      <c r="D695" s="15">
        <v>39.36</v>
      </c>
      <c r="E695" s="15">
        <v>39.36</v>
      </c>
      <c r="F695" t="b">
        <f t="shared" si="20"/>
        <v>1</v>
      </c>
      <c r="G695" t="str">
        <f t="shared" si="21"/>
        <v>Tradiciones Andinas</v>
      </c>
    </row>
    <row r="696" spans="1:7" x14ac:dyDescent="0.25">
      <c r="A696" t="s">
        <v>664</v>
      </c>
      <c r="B696" t="s">
        <v>665</v>
      </c>
      <c r="C696" t="s">
        <v>768</v>
      </c>
      <c r="D696" s="15">
        <v>45.8</v>
      </c>
      <c r="E696" s="15">
        <v>45.8</v>
      </c>
      <c r="F696" t="b">
        <f t="shared" si="20"/>
        <v>1</v>
      </c>
      <c r="G696" t="str">
        <f t="shared" si="21"/>
        <v>Tradiciones Andinas</v>
      </c>
    </row>
    <row r="697" spans="1:7" x14ac:dyDescent="0.25">
      <c r="A697" t="s">
        <v>664</v>
      </c>
      <c r="B697" t="s">
        <v>665</v>
      </c>
      <c r="C697" t="s">
        <v>774</v>
      </c>
      <c r="D697" s="15">
        <v>25.08</v>
      </c>
      <c r="E697" s="15">
        <v>25.08</v>
      </c>
      <c r="F697" t="b">
        <f t="shared" si="20"/>
        <v>1</v>
      </c>
      <c r="G697" t="str">
        <f t="shared" si="21"/>
        <v>Tradiciones Andinas</v>
      </c>
    </row>
    <row r="698" spans="1:7" x14ac:dyDescent="0.25">
      <c r="A698" t="s">
        <v>664</v>
      </c>
      <c r="B698" t="s">
        <v>665</v>
      </c>
      <c r="C698" t="s">
        <v>710</v>
      </c>
      <c r="D698" s="15">
        <v>40.159999999999997</v>
      </c>
      <c r="E698" s="15">
        <v>40.159999999999997</v>
      </c>
      <c r="F698" t="b">
        <f t="shared" si="20"/>
        <v>1</v>
      </c>
      <c r="G698" t="str">
        <f t="shared" si="21"/>
        <v>Tradiciones Andinas</v>
      </c>
    </row>
    <row r="699" spans="1:7" x14ac:dyDescent="0.25">
      <c r="A699" t="s">
        <v>664</v>
      </c>
      <c r="B699" t="s">
        <v>665</v>
      </c>
      <c r="C699" t="s">
        <v>671</v>
      </c>
      <c r="D699" s="15">
        <v>30.96</v>
      </c>
      <c r="E699" s="15">
        <v>30.96</v>
      </c>
      <c r="F699" t="b">
        <f t="shared" si="20"/>
        <v>1</v>
      </c>
      <c r="G699" t="str">
        <f t="shared" si="21"/>
        <v>Tradiciones Andinas</v>
      </c>
    </row>
    <row r="700" spans="1:7" x14ac:dyDescent="0.25">
      <c r="A700" t="s">
        <v>664</v>
      </c>
      <c r="B700" t="s">
        <v>665</v>
      </c>
      <c r="C700" t="s">
        <v>760</v>
      </c>
      <c r="D700" s="15">
        <v>50</v>
      </c>
      <c r="E700" s="15">
        <v>50</v>
      </c>
      <c r="F700" t="b">
        <f t="shared" si="20"/>
        <v>1</v>
      </c>
      <c r="G700" t="str">
        <f t="shared" si="21"/>
        <v>Tradiciones Andinas</v>
      </c>
    </row>
    <row r="701" spans="1:7" x14ac:dyDescent="0.25">
      <c r="A701" t="s">
        <v>664</v>
      </c>
      <c r="B701" t="s">
        <v>665</v>
      </c>
      <c r="C701" t="s">
        <v>681</v>
      </c>
      <c r="D701" s="15">
        <v>23.88</v>
      </c>
      <c r="E701" s="15">
        <v>23.88</v>
      </c>
      <c r="F701" t="b">
        <f t="shared" si="20"/>
        <v>1</v>
      </c>
      <c r="G701" t="str">
        <f t="shared" si="21"/>
        <v>Tradiciones Andinas</v>
      </c>
    </row>
    <row r="702" spans="1:7" x14ac:dyDescent="0.25">
      <c r="A702" t="s">
        <v>664</v>
      </c>
      <c r="B702" t="s">
        <v>665</v>
      </c>
      <c r="C702" t="s">
        <v>688</v>
      </c>
      <c r="D702" s="15">
        <v>27.48</v>
      </c>
      <c r="E702" s="15">
        <v>27.48</v>
      </c>
      <c r="F702" t="b">
        <f t="shared" si="20"/>
        <v>1</v>
      </c>
      <c r="G702" t="str">
        <f t="shared" si="21"/>
        <v>Tradiciones Andinas</v>
      </c>
    </row>
    <row r="703" spans="1:7" x14ac:dyDescent="0.25">
      <c r="A703" t="s">
        <v>664</v>
      </c>
      <c r="B703" t="s">
        <v>665</v>
      </c>
      <c r="C703" t="s">
        <v>706</v>
      </c>
      <c r="D703" s="15">
        <v>30</v>
      </c>
      <c r="E703" s="15">
        <v>30</v>
      </c>
      <c r="F703" t="b">
        <f t="shared" si="20"/>
        <v>1</v>
      </c>
      <c r="G703" t="str">
        <f t="shared" si="21"/>
        <v>Tradiciones Andinas</v>
      </c>
    </row>
    <row r="704" spans="1:7" x14ac:dyDescent="0.25">
      <c r="A704" t="s">
        <v>664</v>
      </c>
      <c r="B704" t="s">
        <v>665</v>
      </c>
      <c r="C704" t="s">
        <v>716</v>
      </c>
      <c r="D704" s="15">
        <v>30</v>
      </c>
      <c r="E704" s="15">
        <v>30</v>
      </c>
      <c r="F704" t="b">
        <f t="shared" si="20"/>
        <v>1</v>
      </c>
      <c r="G704" t="str">
        <f t="shared" si="21"/>
        <v>Tradiciones Andinas</v>
      </c>
    </row>
    <row r="705" spans="1:7" x14ac:dyDescent="0.25">
      <c r="A705" t="s">
        <v>664</v>
      </c>
      <c r="B705" t="s">
        <v>665</v>
      </c>
      <c r="C705" t="s">
        <v>752</v>
      </c>
      <c r="D705" s="15">
        <v>35</v>
      </c>
      <c r="E705" s="15">
        <v>35</v>
      </c>
      <c r="F705" t="b">
        <f t="shared" si="20"/>
        <v>1</v>
      </c>
      <c r="G705" t="str">
        <f t="shared" si="21"/>
        <v>Tradiciones Andinas</v>
      </c>
    </row>
    <row r="706" spans="1:7" x14ac:dyDescent="0.25">
      <c r="A706" t="s">
        <v>664</v>
      </c>
      <c r="B706" t="s">
        <v>665</v>
      </c>
      <c r="C706" t="s">
        <v>656</v>
      </c>
      <c r="D706" s="15">
        <v>27</v>
      </c>
      <c r="E706" s="15">
        <v>27</v>
      </c>
      <c r="F706" t="b">
        <f t="shared" si="20"/>
        <v>1</v>
      </c>
      <c r="G706" t="str">
        <f t="shared" si="21"/>
        <v>Tradiciones Andinas</v>
      </c>
    </row>
    <row r="707" spans="1:7" x14ac:dyDescent="0.25">
      <c r="A707" t="s">
        <v>664</v>
      </c>
      <c r="B707" t="s">
        <v>398</v>
      </c>
      <c r="C707" t="s">
        <v>807</v>
      </c>
      <c r="D707" s="15">
        <v>20</v>
      </c>
      <c r="E707" s="15">
        <v>20</v>
      </c>
      <c r="F707" t="b">
        <f t="shared" si="20"/>
        <v>1</v>
      </c>
      <c r="G707" t="str">
        <f t="shared" si="21"/>
        <v>Tradiciones Andinas</v>
      </c>
    </row>
    <row r="708" spans="1:7" x14ac:dyDescent="0.25">
      <c r="A708" t="s">
        <v>664</v>
      </c>
      <c r="B708" t="s">
        <v>398</v>
      </c>
      <c r="C708" t="s">
        <v>56</v>
      </c>
      <c r="D708" s="15">
        <v>47.76</v>
      </c>
      <c r="E708" s="15">
        <v>47.76</v>
      </c>
      <c r="F708" t="b">
        <f t="shared" si="20"/>
        <v>1</v>
      </c>
      <c r="G708" t="str">
        <f t="shared" si="21"/>
        <v>Tradiciones Andinas</v>
      </c>
    </row>
    <row r="709" spans="1:7" x14ac:dyDescent="0.25">
      <c r="A709" t="s">
        <v>664</v>
      </c>
      <c r="B709" t="s">
        <v>398</v>
      </c>
      <c r="C709" t="s">
        <v>58</v>
      </c>
      <c r="D709" s="15">
        <v>53.64</v>
      </c>
      <c r="E709" s="15">
        <v>53.64</v>
      </c>
      <c r="F709" t="b">
        <f t="shared" si="20"/>
        <v>1</v>
      </c>
      <c r="G709" t="str">
        <f t="shared" si="21"/>
        <v>Tradiciones Andinas</v>
      </c>
    </row>
    <row r="710" spans="1:7" x14ac:dyDescent="0.25">
      <c r="A710" t="s">
        <v>664</v>
      </c>
      <c r="B710" t="s">
        <v>398</v>
      </c>
      <c r="C710" t="s">
        <v>372</v>
      </c>
      <c r="D710" s="15">
        <v>30</v>
      </c>
      <c r="E710" s="15">
        <v>30</v>
      </c>
      <c r="F710" t="b">
        <f t="shared" ref="F710:F773" si="22">D710=E710</f>
        <v>1</v>
      </c>
      <c r="G710" t="str">
        <f t="shared" ref="G710:G773" si="23">+A710</f>
        <v>Tradiciones Andinas</v>
      </c>
    </row>
    <row r="711" spans="1:7" x14ac:dyDescent="0.25">
      <c r="A711" t="s">
        <v>664</v>
      </c>
      <c r="B711" t="s">
        <v>398</v>
      </c>
      <c r="C711" t="s">
        <v>84</v>
      </c>
      <c r="D711" s="15">
        <v>46.44</v>
      </c>
      <c r="E711" s="15">
        <v>46.44</v>
      </c>
      <c r="F711" t="b">
        <f t="shared" si="22"/>
        <v>1</v>
      </c>
      <c r="G711" t="str">
        <f t="shared" si="23"/>
        <v>Tradiciones Andinas</v>
      </c>
    </row>
    <row r="712" spans="1:7" x14ac:dyDescent="0.25">
      <c r="A712" t="s">
        <v>664</v>
      </c>
      <c r="B712" t="s">
        <v>398</v>
      </c>
      <c r="C712" t="s">
        <v>64</v>
      </c>
      <c r="D712" s="15">
        <v>47.56</v>
      </c>
      <c r="E712" s="15">
        <v>47.56</v>
      </c>
      <c r="F712" t="b">
        <f t="shared" si="22"/>
        <v>1</v>
      </c>
      <c r="G712" t="str">
        <f t="shared" si="23"/>
        <v>Tradiciones Andinas</v>
      </c>
    </row>
    <row r="713" spans="1:7" x14ac:dyDescent="0.25">
      <c r="A713" t="s">
        <v>664</v>
      </c>
      <c r="B713" t="s">
        <v>398</v>
      </c>
      <c r="C713" t="s">
        <v>62</v>
      </c>
      <c r="D713" s="15">
        <v>12.8</v>
      </c>
      <c r="E713" s="15">
        <v>12.8</v>
      </c>
      <c r="F713" t="b">
        <f t="shared" si="22"/>
        <v>1</v>
      </c>
      <c r="G713" t="str">
        <f t="shared" si="23"/>
        <v>Tradiciones Andinas</v>
      </c>
    </row>
    <row r="714" spans="1:7" x14ac:dyDescent="0.25">
      <c r="A714" t="s">
        <v>664</v>
      </c>
      <c r="B714" t="s">
        <v>398</v>
      </c>
      <c r="C714" t="s">
        <v>741</v>
      </c>
      <c r="D714" s="15">
        <v>13.08</v>
      </c>
      <c r="E714" s="15">
        <v>13.08</v>
      </c>
      <c r="F714" t="b">
        <f t="shared" si="22"/>
        <v>1</v>
      </c>
      <c r="G714" t="str">
        <f t="shared" si="23"/>
        <v>Tradiciones Andinas</v>
      </c>
    </row>
    <row r="715" spans="1:7" x14ac:dyDescent="0.25">
      <c r="A715" t="s">
        <v>664</v>
      </c>
      <c r="B715" t="s">
        <v>398</v>
      </c>
      <c r="C715" t="s">
        <v>374</v>
      </c>
      <c r="D715" s="15">
        <v>29.7</v>
      </c>
      <c r="E715" s="15">
        <v>29.7</v>
      </c>
      <c r="F715" t="b">
        <f t="shared" si="22"/>
        <v>1</v>
      </c>
      <c r="G715" t="str">
        <f t="shared" si="23"/>
        <v>Tradiciones Andinas</v>
      </c>
    </row>
    <row r="716" spans="1:7" x14ac:dyDescent="0.25">
      <c r="A716" t="s">
        <v>664</v>
      </c>
      <c r="B716" t="s">
        <v>398</v>
      </c>
      <c r="C716" t="s">
        <v>795</v>
      </c>
      <c r="D716" s="15">
        <v>20</v>
      </c>
      <c r="E716" s="15">
        <v>20</v>
      </c>
      <c r="F716" t="b">
        <f t="shared" si="22"/>
        <v>1</v>
      </c>
      <c r="G716" t="str">
        <f t="shared" si="23"/>
        <v>Tradiciones Andinas</v>
      </c>
    </row>
    <row r="717" spans="1:7" x14ac:dyDescent="0.25">
      <c r="A717" t="s">
        <v>664</v>
      </c>
      <c r="B717" t="s">
        <v>398</v>
      </c>
      <c r="C717" t="s">
        <v>736</v>
      </c>
      <c r="D717" s="15">
        <v>8.48</v>
      </c>
      <c r="E717" s="15">
        <v>8.48</v>
      </c>
      <c r="F717" t="b">
        <f t="shared" si="22"/>
        <v>1</v>
      </c>
      <c r="G717" t="str">
        <f t="shared" si="23"/>
        <v>Tradiciones Andinas</v>
      </c>
    </row>
    <row r="718" spans="1:7" x14ac:dyDescent="0.25">
      <c r="A718" t="s">
        <v>664</v>
      </c>
      <c r="B718" t="s">
        <v>398</v>
      </c>
      <c r="C718" t="s">
        <v>732</v>
      </c>
      <c r="D718" s="15">
        <v>11.88</v>
      </c>
      <c r="E718" s="15">
        <v>11.88</v>
      </c>
      <c r="F718" t="b">
        <f t="shared" si="22"/>
        <v>1</v>
      </c>
      <c r="G718" t="str">
        <f t="shared" si="23"/>
        <v>Tradiciones Andinas</v>
      </c>
    </row>
    <row r="719" spans="1:7" x14ac:dyDescent="0.25">
      <c r="A719" t="s">
        <v>664</v>
      </c>
      <c r="B719" t="s">
        <v>398</v>
      </c>
      <c r="C719" t="s">
        <v>734</v>
      </c>
      <c r="D719" s="15">
        <v>11.88</v>
      </c>
      <c r="E719" s="15">
        <v>11.88</v>
      </c>
      <c r="F719" t="b">
        <f t="shared" si="22"/>
        <v>1</v>
      </c>
      <c r="G719" t="str">
        <f t="shared" si="23"/>
        <v>Tradiciones Andinas</v>
      </c>
    </row>
    <row r="720" spans="1:7" x14ac:dyDescent="0.25">
      <c r="A720" t="s">
        <v>664</v>
      </c>
      <c r="B720" t="s">
        <v>398</v>
      </c>
      <c r="C720" t="s">
        <v>738</v>
      </c>
      <c r="D720" s="15">
        <v>8.48</v>
      </c>
      <c r="E720" s="15">
        <v>8.48</v>
      </c>
      <c r="F720" t="b">
        <f t="shared" si="22"/>
        <v>1</v>
      </c>
      <c r="G720" t="str">
        <f t="shared" si="23"/>
        <v>Tradiciones Andinas</v>
      </c>
    </row>
    <row r="721" spans="1:7" x14ac:dyDescent="0.25">
      <c r="A721" t="s">
        <v>664</v>
      </c>
      <c r="B721" t="s">
        <v>398</v>
      </c>
      <c r="C721" t="s">
        <v>770</v>
      </c>
      <c r="D721" s="15">
        <v>35</v>
      </c>
      <c r="E721" s="15">
        <v>35</v>
      </c>
      <c r="F721" t="b">
        <f t="shared" si="22"/>
        <v>1</v>
      </c>
      <c r="G721" t="str">
        <f t="shared" si="23"/>
        <v>Tradiciones Andinas</v>
      </c>
    </row>
    <row r="722" spans="1:7" x14ac:dyDescent="0.25">
      <c r="A722" t="s">
        <v>664</v>
      </c>
      <c r="B722" t="s">
        <v>398</v>
      </c>
      <c r="C722" t="s">
        <v>819</v>
      </c>
      <c r="D722" s="15">
        <v>27.48</v>
      </c>
      <c r="E722" s="15">
        <v>27.48</v>
      </c>
      <c r="F722" t="b">
        <f t="shared" si="22"/>
        <v>1</v>
      </c>
      <c r="G722" t="str">
        <f t="shared" si="23"/>
        <v>Tradiciones Andinas</v>
      </c>
    </row>
    <row r="723" spans="1:7" x14ac:dyDescent="0.25">
      <c r="A723" t="s">
        <v>664</v>
      </c>
      <c r="B723" t="s">
        <v>398</v>
      </c>
      <c r="C723" t="s">
        <v>762</v>
      </c>
      <c r="D723" s="15">
        <v>36</v>
      </c>
      <c r="E723" s="15">
        <v>36</v>
      </c>
      <c r="F723" t="b">
        <f t="shared" si="22"/>
        <v>1</v>
      </c>
      <c r="G723" t="str">
        <f t="shared" si="23"/>
        <v>Tradiciones Andinas</v>
      </c>
    </row>
    <row r="724" spans="1:7" x14ac:dyDescent="0.25">
      <c r="A724" t="s">
        <v>664</v>
      </c>
      <c r="B724" t="s">
        <v>398</v>
      </c>
      <c r="C724" t="s">
        <v>679</v>
      </c>
      <c r="D724" s="15">
        <v>19.8</v>
      </c>
      <c r="E724" s="15">
        <v>19.8</v>
      </c>
      <c r="F724" t="b">
        <f t="shared" si="22"/>
        <v>1</v>
      </c>
      <c r="G724" t="str">
        <f t="shared" si="23"/>
        <v>Tradiciones Andinas</v>
      </c>
    </row>
    <row r="725" spans="1:7" x14ac:dyDescent="0.25">
      <c r="A725" t="s">
        <v>664</v>
      </c>
      <c r="B725" t="s">
        <v>398</v>
      </c>
      <c r="C725" t="s">
        <v>686</v>
      </c>
      <c r="D725" s="15">
        <v>23.88</v>
      </c>
      <c r="E725" s="15">
        <v>23.88</v>
      </c>
      <c r="F725" t="b">
        <f t="shared" si="22"/>
        <v>1</v>
      </c>
      <c r="G725" t="str">
        <f t="shared" si="23"/>
        <v>Tradiciones Andinas</v>
      </c>
    </row>
    <row r="726" spans="1:7" x14ac:dyDescent="0.25">
      <c r="A726" t="s">
        <v>664</v>
      </c>
      <c r="B726" t="s">
        <v>398</v>
      </c>
      <c r="C726" t="s">
        <v>669</v>
      </c>
      <c r="D726" s="15">
        <v>28.8</v>
      </c>
      <c r="E726" s="15">
        <v>28.8</v>
      </c>
      <c r="F726" t="b">
        <f t="shared" si="22"/>
        <v>1</v>
      </c>
      <c r="G726" t="str">
        <f t="shared" si="23"/>
        <v>Tradiciones Andinas</v>
      </c>
    </row>
    <row r="727" spans="1:7" x14ac:dyDescent="0.25">
      <c r="A727" t="s">
        <v>664</v>
      </c>
      <c r="B727" t="s">
        <v>398</v>
      </c>
      <c r="C727" t="s">
        <v>696</v>
      </c>
      <c r="D727" s="15">
        <v>31.08</v>
      </c>
      <c r="E727" s="15">
        <v>31.08</v>
      </c>
      <c r="F727" t="b">
        <f t="shared" si="22"/>
        <v>1</v>
      </c>
      <c r="G727" t="str">
        <f t="shared" si="23"/>
        <v>Tradiciones Andinas</v>
      </c>
    </row>
    <row r="728" spans="1:7" x14ac:dyDescent="0.25">
      <c r="A728" t="s">
        <v>664</v>
      </c>
      <c r="B728" t="s">
        <v>398</v>
      </c>
      <c r="C728" t="s">
        <v>764</v>
      </c>
      <c r="D728" s="15">
        <v>32.4</v>
      </c>
      <c r="E728" s="15">
        <v>32.4</v>
      </c>
      <c r="F728" t="b">
        <f t="shared" si="22"/>
        <v>1</v>
      </c>
      <c r="G728" t="str">
        <f t="shared" si="23"/>
        <v>Tradiciones Andinas</v>
      </c>
    </row>
    <row r="729" spans="1:7" x14ac:dyDescent="0.25">
      <c r="A729" t="s">
        <v>664</v>
      </c>
      <c r="B729" t="s">
        <v>398</v>
      </c>
      <c r="C729" t="s">
        <v>673</v>
      </c>
      <c r="D729" s="15">
        <v>31.2</v>
      </c>
      <c r="E729" s="15">
        <v>31.2</v>
      </c>
      <c r="F729" t="b">
        <f t="shared" si="22"/>
        <v>1</v>
      </c>
      <c r="G729" t="str">
        <f t="shared" si="23"/>
        <v>Tradiciones Andinas</v>
      </c>
    </row>
    <row r="730" spans="1:7" x14ac:dyDescent="0.25">
      <c r="A730" t="s">
        <v>664</v>
      </c>
      <c r="B730" t="s">
        <v>398</v>
      </c>
      <c r="C730" t="s">
        <v>675</v>
      </c>
      <c r="D730" s="15">
        <v>31.2</v>
      </c>
      <c r="E730" s="15">
        <v>31.2</v>
      </c>
      <c r="F730" t="b">
        <f t="shared" si="22"/>
        <v>1</v>
      </c>
      <c r="G730" t="str">
        <f t="shared" si="23"/>
        <v>Tradiciones Andinas</v>
      </c>
    </row>
    <row r="731" spans="1:7" x14ac:dyDescent="0.25">
      <c r="A731" t="s">
        <v>664</v>
      </c>
      <c r="B731" t="s">
        <v>398</v>
      </c>
      <c r="C731" t="s">
        <v>683</v>
      </c>
      <c r="D731" s="15">
        <v>19.2</v>
      </c>
      <c r="E731" s="15">
        <v>19.2</v>
      </c>
      <c r="F731" t="b">
        <f t="shared" si="22"/>
        <v>1</v>
      </c>
      <c r="G731" t="str">
        <f t="shared" si="23"/>
        <v>Tradiciones Andinas</v>
      </c>
    </row>
    <row r="732" spans="1:7" x14ac:dyDescent="0.25">
      <c r="A732" t="s">
        <v>664</v>
      </c>
      <c r="B732" t="s">
        <v>398</v>
      </c>
      <c r="C732" t="s">
        <v>690</v>
      </c>
      <c r="D732" s="15">
        <v>25.08</v>
      </c>
      <c r="E732" s="15">
        <v>25.08</v>
      </c>
      <c r="F732" t="b">
        <f t="shared" si="22"/>
        <v>1</v>
      </c>
      <c r="G732" t="str">
        <f t="shared" si="23"/>
        <v>Tradiciones Andinas</v>
      </c>
    </row>
    <row r="733" spans="1:7" x14ac:dyDescent="0.25">
      <c r="A733" t="s">
        <v>664</v>
      </c>
      <c r="B733" t="s">
        <v>398</v>
      </c>
      <c r="C733" t="s">
        <v>677</v>
      </c>
      <c r="D733" s="15">
        <v>19.8</v>
      </c>
      <c r="E733" s="15">
        <v>19.8</v>
      </c>
      <c r="F733" t="b">
        <f t="shared" si="22"/>
        <v>1</v>
      </c>
      <c r="G733" t="str">
        <f t="shared" si="23"/>
        <v>Tradiciones Andinas</v>
      </c>
    </row>
    <row r="734" spans="1:7" x14ac:dyDescent="0.25">
      <c r="A734" t="s">
        <v>664</v>
      </c>
      <c r="B734" t="s">
        <v>398</v>
      </c>
      <c r="C734" t="s">
        <v>667</v>
      </c>
      <c r="D734" s="15">
        <v>28.8</v>
      </c>
      <c r="E734" s="15">
        <v>28.8</v>
      </c>
      <c r="F734" t="b">
        <f t="shared" si="22"/>
        <v>1</v>
      </c>
      <c r="G734" t="str">
        <f t="shared" si="23"/>
        <v>Tradiciones Andinas</v>
      </c>
    </row>
    <row r="735" spans="1:7" x14ac:dyDescent="0.25">
      <c r="A735" t="s">
        <v>664</v>
      </c>
      <c r="B735" t="s">
        <v>398</v>
      </c>
      <c r="C735" t="s">
        <v>702</v>
      </c>
      <c r="D735" s="15">
        <v>42.96</v>
      </c>
      <c r="E735" s="15">
        <v>42.96</v>
      </c>
      <c r="F735" t="b">
        <f t="shared" si="22"/>
        <v>1</v>
      </c>
      <c r="G735" t="str">
        <f t="shared" si="23"/>
        <v>Tradiciones Andinas</v>
      </c>
    </row>
    <row r="736" spans="1:7" x14ac:dyDescent="0.25">
      <c r="A736" t="s">
        <v>664</v>
      </c>
      <c r="B736" t="s">
        <v>398</v>
      </c>
      <c r="C736" t="s">
        <v>712</v>
      </c>
      <c r="D736" s="15">
        <v>19.8</v>
      </c>
      <c r="E736" s="15">
        <v>19.8</v>
      </c>
      <c r="F736" t="b">
        <f t="shared" si="22"/>
        <v>1</v>
      </c>
      <c r="G736" t="str">
        <f t="shared" si="23"/>
        <v>Tradiciones Andinas</v>
      </c>
    </row>
    <row r="737" spans="1:7" x14ac:dyDescent="0.25">
      <c r="A737" t="s">
        <v>664</v>
      </c>
      <c r="B737" t="s">
        <v>398</v>
      </c>
      <c r="C737" t="s">
        <v>813</v>
      </c>
      <c r="D737" s="15">
        <v>51</v>
      </c>
      <c r="E737" s="15">
        <v>51</v>
      </c>
      <c r="F737" t="b">
        <f t="shared" si="22"/>
        <v>1</v>
      </c>
      <c r="G737" t="str">
        <f t="shared" si="23"/>
        <v>Tradiciones Andinas</v>
      </c>
    </row>
    <row r="738" spans="1:7" x14ac:dyDescent="0.25">
      <c r="A738" t="s">
        <v>664</v>
      </c>
      <c r="B738" t="s">
        <v>398</v>
      </c>
      <c r="C738" t="s">
        <v>809</v>
      </c>
      <c r="D738" s="15">
        <v>30.6</v>
      </c>
      <c r="E738" s="15">
        <v>30.6</v>
      </c>
      <c r="F738" t="b">
        <f t="shared" si="22"/>
        <v>1</v>
      </c>
      <c r="G738" t="str">
        <f t="shared" si="23"/>
        <v>Tradiciones Andinas</v>
      </c>
    </row>
    <row r="739" spans="1:7" x14ac:dyDescent="0.25">
      <c r="A739" t="s">
        <v>664</v>
      </c>
      <c r="B739" t="s">
        <v>398</v>
      </c>
      <c r="C739" t="s">
        <v>758</v>
      </c>
      <c r="D739" s="15">
        <v>35</v>
      </c>
      <c r="E739" s="15">
        <v>35</v>
      </c>
      <c r="F739" t="b">
        <f t="shared" si="22"/>
        <v>1</v>
      </c>
      <c r="G739" t="str">
        <f t="shared" si="23"/>
        <v>Tradiciones Andinas</v>
      </c>
    </row>
    <row r="740" spans="1:7" x14ac:dyDescent="0.25">
      <c r="A740" t="s">
        <v>664</v>
      </c>
      <c r="B740" t="s">
        <v>398</v>
      </c>
      <c r="C740" t="s">
        <v>714</v>
      </c>
      <c r="D740" s="15">
        <v>48.42</v>
      </c>
      <c r="E740" s="15">
        <v>48.42</v>
      </c>
      <c r="F740" t="b">
        <f t="shared" si="22"/>
        <v>1</v>
      </c>
      <c r="G740" t="str">
        <f t="shared" si="23"/>
        <v>Tradiciones Andinas</v>
      </c>
    </row>
    <row r="741" spans="1:7" x14ac:dyDescent="0.25">
      <c r="A741" t="s">
        <v>664</v>
      </c>
      <c r="B741" t="s">
        <v>398</v>
      </c>
      <c r="C741" t="s">
        <v>718</v>
      </c>
      <c r="D741" s="15">
        <v>19.8</v>
      </c>
      <c r="E741" s="15">
        <v>19.8</v>
      </c>
      <c r="F741" t="b">
        <f t="shared" si="22"/>
        <v>1</v>
      </c>
      <c r="G741" t="str">
        <f t="shared" si="23"/>
        <v>Tradiciones Andinas</v>
      </c>
    </row>
    <row r="742" spans="1:7" x14ac:dyDescent="0.25">
      <c r="A742" t="s">
        <v>664</v>
      </c>
      <c r="B742" t="s">
        <v>398</v>
      </c>
      <c r="C742" t="s">
        <v>756</v>
      </c>
      <c r="D742" s="15">
        <v>12</v>
      </c>
      <c r="E742" s="15">
        <v>12</v>
      </c>
      <c r="F742" t="b">
        <f t="shared" si="22"/>
        <v>1</v>
      </c>
      <c r="G742" t="str">
        <f t="shared" si="23"/>
        <v>Tradiciones Andinas</v>
      </c>
    </row>
    <row r="743" spans="1:7" x14ac:dyDescent="0.25">
      <c r="A743" t="s">
        <v>664</v>
      </c>
      <c r="B743" t="s">
        <v>398</v>
      </c>
      <c r="C743" t="s">
        <v>778</v>
      </c>
      <c r="D743" s="15">
        <v>28.8</v>
      </c>
      <c r="E743" s="15">
        <v>28.8</v>
      </c>
      <c r="F743" t="b">
        <f t="shared" si="22"/>
        <v>1</v>
      </c>
      <c r="G743" t="str">
        <f t="shared" si="23"/>
        <v>Tradiciones Andinas</v>
      </c>
    </row>
    <row r="744" spans="1:7" x14ac:dyDescent="0.25">
      <c r="A744" t="s">
        <v>664</v>
      </c>
      <c r="B744" t="s">
        <v>398</v>
      </c>
      <c r="C744" t="s">
        <v>817</v>
      </c>
      <c r="D744" s="15">
        <v>43.2</v>
      </c>
      <c r="E744" s="15">
        <v>43.2</v>
      </c>
      <c r="F744" t="b">
        <f t="shared" si="22"/>
        <v>1</v>
      </c>
      <c r="G744" t="str">
        <f t="shared" si="23"/>
        <v>Tradiciones Andinas</v>
      </c>
    </row>
    <row r="745" spans="1:7" x14ac:dyDescent="0.25">
      <c r="A745" t="s">
        <v>664</v>
      </c>
      <c r="B745" t="s">
        <v>398</v>
      </c>
      <c r="C745" t="s">
        <v>708</v>
      </c>
      <c r="D745" s="15">
        <v>40.56</v>
      </c>
      <c r="E745" s="15">
        <v>40.56</v>
      </c>
      <c r="F745" t="b">
        <f t="shared" si="22"/>
        <v>1</v>
      </c>
      <c r="G745" t="str">
        <f t="shared" si="23"/>
        <v>Tradiciones Andinas</v>
      </c>
    </row>
    <row r="746" spans="1:7" x14ac:dyDescent="0.25">
      <c r="A746" t="s">
        <v>664</v>
      </c>
      <c r="B746" t="s">
        <v>398</v>
      </c>
      <c r="C746" t="s">
        <v>698</v>
      </c>
      <c r="D746" s="15">
        <v>22.4</v>
      </c>
      <c r="E746" s="15">
        <v>22.4</v>
      </c>
      <c r="F746" t="b">
        <f t="shared" si="22"/>
        <v>1</v>
      </c>
      <c r="G746" t="str">
        <f t="shared" si="23"/>
        <v>Tradiciones Andinas</v>
      </c>
    </row>
    <row r="747" spans="1:7" x14ac:dyDescent="0.25">
      <c r="A747" t="s">
        <v>664</v>
      </c>
      <c r="B747" t="s">
        <v>398</v>
      </c>
      <c r="C747" t="s">
        <v>784</v>
      </c>
      <c r="D747" s="15">
        <v>12</v>
      </c>
      <c r="E747" s="15">
        <v>12</v>
      </c>
      <c r="F747" t="b">
        <f t="shared" si="22"/>
        <v>1</v>
      </c>
      <c r="G747" t="str">
        <f t="shared" si="23"/>
        <v>Tradiciones Andinas</v>
      </c>
    </row>
    <row r="748" spans="1:7" x14ac:dyDescent="0.25">
      <c r="A748" t="s">
        <v>664</v>
      </c>
      <c r="B748" t="s">
        <v>398</v>
      </c>
      <c r="C748" t="s">
        <v>815</v>
      </c>
      <c r="D748" s="15">
        <v>45</v>
      </c>
      <c r="E748" s="15">
        <v>45</v>
      </c>
      <c r="F748" t="b">
        <f t="shared" si="22"/>
        <v>1</v>
      </c>
      <c r="G748" t="str">
        <f t="shared" si="23"/>
        <v>Tradiciones Andinas</v>
      </c>
    </row>
    <row r="749" spans="1:7" x14ac:dyDescent="0.25">
      <c r="A749" t="s">
        <v>664</v>
      </c>
      <c r="B749" t="s">
        <v>398</v>
      </c>
      <c r="C749" t="s">
        <v>811</v>
      </c>
      <c r="D749" s="15">
        <v>49.8</v>
      </c>
      <c r="E749" s="15">
        <v>49.8</v>
      </c>
      <c r="F749" t="b">
        <f t="shared" si="22"/>
        <v>1</v>
      </c>
      <c r="G749" t="str">
        <f t="shared" si="23"/>
        <v>Tradiciones Andinas</v>
      </c>
    </row>
    <row r="750" spans="1:7" x14ac:dyDescent="0.25">
      <c r="A750" t="s">
        <v>664</v>
      </c>
      <c r="B750" t="s">
        <v>398</v>
      </c>
      <c r="C750" t="s">
        <v>730</v>
      </c>
      <c r="D750" s="15">
        <v>28.62</v>
      </c>
      <c r="E750" s="15">
        <v>28.62</v>
      </c>
      <c r="F750" t="b">
        <f t="shared" si="22"/>
        <v>1</v>
      </c>
      <c r="G750" t="str">
        <f t="shared" si="23"/>
        <v>Tradiciones Andinas</v>
      </c>
    </row>
    <row r="751" spans="1:7" x14ac:dyDescent="0.25">
      <c r="A751" t="s">
        <v>664</v>
      </c>
      <c r="B751" t="s">
        <v>398</v>
      </c>
      <c r="C751" t="s">
        <v>700</v>
      </c>
      <c r="D751" s="15">
        <v>28.62</v>
      </c>
      <c r="E751" s="15">
        <v>28.62</v>
      </c>
      <c r="F751" t="b">
        <f t="shared" si="22"/>
        <v>1</v>
      </c>
      <c r="G751" t="str">
        <f t="shared" si="23"/>
        <v>Tradiciones Andinas</v>
      </c>
    </row>
    <row r="752" spans="1:7" x14ac:dyDescent="0.25">
      <c r="A752" t="s">
        <v>664</v>
      </c>
      <c r="B752" t="s">
        <v>398</v>
      </c>
      <c r="C752" t="s">
        <v>704</v>
      </c>
      <c r="D752" s="15">
        <v>42.96</v>
      </c>
      <c r="E752" s="15">
        <v>42.96</v>
      </c>
      <c r="F752" t="b">
        <f t="shared" si="22"/>
        <v>1</v>
      </c>
      <c r="G752" t="str">
        <f t="shared" si="23"/>
        <v>Tradiciones Andinas</v>
      </c>
    </row>
    <row r="753" spans="1:7" x14ac:dyDescent="0.25">
      <c r="A753" t="s">
        <v>664</v>
      </c>
      <c r="B753" t="s">
        <v>398</v>
      </c>
      <c r="C753" t="s">
        <v>768</v>
      </c>
      <c r="D753" s="15">
        <v>47.8</v>
      </c>
      <c r="E753" s="15">
        <v>47.8</v>
      </c>
      <c r="F753" t="b">
        <f t="shared" si="22"/>
        <v>1</v>
      </c>
      <c r="G753" t="str">
        <f t="shared" si="23"/>
        <v>Tradiciones Andinas</v>
      </c>
    </row>
    <row r="754" spans="1:7" x14ac:dyDescent="0.25">
      <c r="A754" t="s">
        <v>664</v>
      </c>
      <c r="B754" t="s">
        <v>398</v>
      </c>
      <c r="C754" t="s">
        <v>774</v>
      </c>
      <c r="D754" s="15">
        <v>25.08</v>
      </c>
      <c r="E754" s="15">
        <v>25.08</v>
      </c>
      <c r="F754" t="b">
        <f t="shared" si="22"/>
        <v>1</v>
      </c>
      <c r="G754" t="str">
        <f t="shared" si="23"/>
        <v>Tradiciones Andinas</v>
      </c>
    </row>
    <row r="755" spans="1:7" x14ac:dyDescent="0.25">
      <c r="A755" t="s">
        <v>664</v>
      </c>
      <c r="B755" t="s">
        <v>398</v>
      </c>
      <c r="C755" t="s">
        <v>780</v>
      </c>
      <c r="D755" s="15">
        <v>22.68</v>
      </c>
      <c r="E755" s="15">
        <v>22.68</v>
      </c>
      <c r="F755" t="b">
        <f t="shared" si="22"/>
        <v>1</v>
      </c>
      <c r="G755" t="str">
        <f t="shared" si="23"/>
        <v>Tradiciones Andinas</v>
      </c>
    </row>
    <row r="756" spans="1:7" x14ac:dyDescent="0.25">
      <c r="A756" t="s">
        <v>664</v>
      </c>
      <c r="B756" t="s">
        <v>398</v>
      </c>
      <c r="C756" t="s">
        <v>782</v>
      </c>
      <c r="D756" s="15">
        <v>22.68</v>
      </c>
      <c r="E756" s="15">
        <v>22.68</v>
      </c>
      <c r="F756" t="b">
        <f t="shared" si="22"/>
        <v>1</v>
      </c>
      <c r="G756" t="str">
        <f t="shared" si="23"/>
        <v>Tradiciones Andinas</v>
      </c>
    </row>
    <row r="757" spans="1:7" x14ac:dyDescent="0.25">
      <c r="A757" t="s">
        <v>664</v>
      </c>
      <c r="B757" t="s">
        <v>398</v>
      </c>
      <c r="C757" t="s">
        <v>671</v>
      </c>
      <c r="D757" s="15">
        <v>30.96</v>
      </c>
      <c r="E757" s="15">
        <v>30.96</v>
      </c>
      <c r="F757" t="b">
        <f t="shared" si="22"/>
        <v>1</v>
      </c>
      <c r="G757" t="str">
        <f t="shared" si="23"/>
        <v>Tradiciones Andinas</v>
      </c>
    </row>
    <row r="758" spans="1:7" x14ac:dyDescent="0.25">
      <c r="A758" t="s">
        <v>664</v>
      </c>
      <c r="B758" t="s">
        <v>398</v>
      </c>
      <c r="C758" t="s">
        <v>681</v>
      </c>
      <c r="D758" s="15">
        <v>23.88</v>
      </c>
      <c r="E758" s="15">
        <v>23.88</v>
      </c>
      <c r="F758" t="b">
        <f t="shared" si="22"/>
        <v>1</v>
      </c>
      <c r="G758" t="str">
        <f t="shared" si="23"/>
        <v>Tradiciones Andinas</v>
      </c>
    </row>
    <row r="759" spans="1:7" x14ac:dyDescent="0.25">
      <c r="A759" t="s">
        <v>664</v>
      </c>
      <c r="B759" t="s">
        <v>398</v>
      </c>
      <c r="C759" t="s">
        <v>688</v>
      </c>
      <c r="D759" s="15">
        <v>27.48</v>
      </c>
      <c r="E759" s="15">
        <v>27.48</v>
      </c>
      <c r="F759" t="b">
        <f t="shared" si="22"/>
        <v>1</v>
      </c>
      <c r="G759" t="str">
        <f t="shared" si="23"/>
        <v>Tradiciones Andinas</v>
      </c>
    </row>
    <row r="760" spans="1:7" x14ac:dyDescent="0.25">
      <c r="A760" t="s">
        <v>664</v>
      </c>
      <c r="B760" t="s">
        <v>398</v>
      </c>
      <c r="C760" t="s">
        <v>706</v>
      </c>
      <c r="D760" s="15">
        <v>30</v>
      </c>
      <c r="E760" s="15">
        <v>30</v>
      </c>
      <c r="F760" t="b">
        <f t="shared" si="22"/>
        <v>1</v>
      </c>
      <c r="G760" t="str">
        <f t="shared" si="23"/>
        <v>Tradiciones Andinas</v>
      </c>
    </row>
    <row r="761" spans="1:7" x14ac:dyDescent="0.25">
      <c r="A761" t="s">
        <v>664</v>
      </c>
      <c r="B761" t="s">
        <v>398</v>
      </c>
      <c r="C761" t="s">
        <v>716</v>
      </c>
      <c r="D761" s="15">
        <v>30</v>
      </c>
      <c r="E761" s="15">
        <v>30</v>
      </c>
      <c r="F761" t="b">
        <f t="shared" si="22"/>
        <v>1</v>
      </c>
      <c r="G761" t="str">
        <f t="shared" si="23"/>
        <v>Tradiciones Andinas</v>
      </c>
    </row>
    <row r="762" spans="1:7" x14ac:dyDescent="0.25">
      <c r="A762" t="s">
        <v>664</v>
      </c>
      <c r="B762" t="s">
        <v>398</v>
      </c>
      <c r="C762" t="s">
        <v>797</v>
      </c>
      <c r="D762" s="15">
        <v>20</v>
      </c>
      <c r="E762" s="15">
        <v>20</v>
      </c>
      <c r="F762" t="b">
        <f t="shared" si="22"/>
        <v>1</v>
      </c>
      <c r="G762" t="str">
        <f t="shared" si="23"/>
        <v>Tradiciones Andinas</v>
      </c>
    </row>
    <row r="763" spans="1:7" x14ac:dyDescent="0.25">
      <c r="A763" t="s">
        <v>664</v>
      </c>
      <c r="B763" t="s">
        <v>398</v>
      </c>
      <c r="C763" t="s">
        <v>788</v>
      </c>
      <c r="D763" s="15">
        <v>12</v>
      </c>
      <c r="E763" s="15">
        <v>12</v>
      </c>
      <c r="F763" t="b">
        <f t="shared" si="22"/>
        <v>1</v>
      </c>
      <c r="G763" t="str">
        <f t="shared" si="23"/>
        <v>Tradiciones Andinas</v>
      </c>
    </row>
    <row r="764" spans="1:7" x14ac:dyDescent="0.25">
      <c r="A764" t="s">
        <v>664</v>
      </c>
      <c r="B764" t="s">
        <v>398</v>
      </c>
      <c r="C764" t="s">
        <v>786</v>
      </c>
      <c r="D764" s="15">
        <v>21.36</v>
      </c>
      <c r="E764" s="15">
        <v>21.36</v>
      </c>
      <c r="F764" t="b">
        <f t="shared" si="22"/>
        <v>1</v>
      </c>
      <c r="G764" t="str">
        <f t="shared" si="23"/>
        <v>Tradiciones Andinas</v>
      </c>
    </row>
    <row r="765" spans="1:7" x14ac:dyDescent="0.25">
      <c r="A765" t="s">
        <v>664</v>
      </c>
      <c r="B765" t="s">
        <v>398</v>
      </c>
      <c r="C765" t="s">
        <v>805</v>
      </c>
      <c r="D765" s="15">
        <v>24</v>
      </c>
      <c r="E765" s="15">
        <v>24</v>
      </c>
      <c r="F765" t="b">
        <f t="shared" si="22"/>
        <v>1</v>
      </c>
      <c r="G765" t="str">
        <f t="shared" si="23"/>
        <v>Tradiciones Andinas</v>
      </c>
    </row>
    <row r="766" spans="1:7" x14ac:dyDescent="0.25">
      <c r="A766" t="s">
        <v>664</v>
      </c>
      <c r="B766" t="s">
        <v>398</v>
      </c>
      <c r="C766" t="s">
        <v>803</v>
      </c>
      <c r="D766" s="15">
        <v>24</v>
      </c>
      <c r="E766" s="15">
        <v>24</v>
      </c>
      <c r="F766" t="b">
        <f t="shared" si="22"/>
        <v>1</v>
      </c>
      <c r="G766" t="str">
        <f t="shared" si="23"/>
        <v>Tradiciones Andinas</v>
      </c>
    </row>
    <row r="767" spans="1:7" x14ac:dyDescent="0.25">
      <c r="A767" t="s">
        <v>664</v>
      </c>
      <c r="B767" t="s">
        <v>398</v>
      </c>
      <c r="C767" t="s">
        <v>799</v>
      </c>
      <c r="D767" s="15">
        <v>24</v>
      </c>
      <c r="E767" s="15">
        <v>24</v>
      </c>
      <c r="F767" t="b">
        <f t="shared" si="22"/>
        <v>1</v>
      </c>
      <c r="G767" t="str">
        <f t="shared" si="23"/>
        <v>Tradiciones Andinas</v>
      </c>
    </row>
    <row r="768" spans="1:7" x14ac:dyDescent="0.25">
      <c r="A768" t="s">
        <v>664</v>
      </c>
      <c r="B768" t="s">
        <v>398</v>
      </c>
      <c r="C768" t="s">
        <v>801</v>
      </c>
      <c r="D768" s="15">
        <v>24</v>
      </c>
      <c r="E768" s="15">
        <v>24</v>
      </c>
      <c r="F768" t="b">
        <f t="shared" si="22"/>
        <v>1</v>
      </c>
      <c r="G768" t="str">
        <f t="shared" si="23"/>
        <v>Tradiciones Andinas</v>
      </c>
    </row>
    <row r="769" spans="1:7" x14ac:dyDescent="0.25">
      <c r="A769" t="s">
        <v>664</v>
      </c>
      <c r="B769" t="s">
        <v>821</v>
      </c>
      <c r="C769" t="s">
        <v>37</v>
      </c>
      <c r="D769" s="15">
        <v>69</v>
      </c>
      <c r="E769" s="15">
        <v>69</v>
      </c>
      <c r="F769" t="b">
        <f t="shared" si="22"/>
        <v>1</v>
      </c>
      <c r="G769" t="str">
        <f t="shared" si="23"/>
        <v>Tradiciones Andinas</v>
      </c>
    </row>
    <row r="770" spans="1:7" x14ac:dyDescent="0.25">
      <c r="A770" t="s">
        <v>664</v>
      </c>
      <c r="B770" t="s">
        <v>821</v>
      </c>
      <c r="C770" t="s">
        <v>851</v>
      </c>
      <c r="D770" s="15">
        <v>71</v>
      </c>
      <c r="E770" s="15">
        <v>71</v>
      </c>
      <c r="F770" t="b">
        <f t="shared" si="22"/>
        <v>1</v>
      </c>
      <c r="G770" t="str">
        <f t="shared" si="23"/>
        <v>Tradiciones Andinas</v>
      </c>
    </row>
    <row r="771" spans="1:7" x14ac:dyDescent="0.25">
      <c r="A771" t="s">
        <v>664</v>
      </c>
      <c r="B771" t="s">
        <v>821</v>
      </c>
      <c r="C771" t="s">
        <v>56</v>
      </c>
      <c r="D771" s="15">
        <v>47.76</v>
      </c>
      <c r="E771" s="15">
        <v>47.76</v>
      </c>
      <c r="F771" t="b">
        <f t="shared" si="22"/>
        <v>1</v>
      </c>
      <c r="G771" t="str">
        <f t="shared" si="23"/>
        <v>Tradiciones Andinas</v>
      </c>
    </row>
    <row r="772" spans="1:7" x14ac:dyDescent="0.25">
      <c r="A772" t="s">
        <v>664</v>
      </c>
      <c r="B772" t="s">
        <v>821</v>
      </c>
      <c r="C772" t="s">
        <v>876</v>
      </c>
      <c r="D772" s="15">
        <v>36.880000000000003</v>
      </c>
      <c r="E772" s="15">
        <v>36.880000000000003</v>
      </c>
      <c r="F772" t="b">
        <f t="shared" si="22"/>
        <v>1</v>
      </c>
      <c r="G772" t="str">
        <f t="shared" si="23"/>
        <v>Tradiciones Andinas</v>
      </c>
    </row>
    <row r="773" spans="1:7" x14ac:dyDescent="0.25">
      <c r="A773" t="s">
        <v>664</v>
      </c>
      <c r="B773" t="s">
        <v>821</v>
      </c>
      <c r="C773" t="s">
        <v>874</v>
      </c>
      <c r="D773" s="15">
        <v>36.880000000000003</v>
      </c>
      <c r="E773" s="15">
        <v>36.880000000000003</v>
      </c>
      <c r="F773" t="b">
        <f t="shared" si="22"/>
        <v>1</v>
      </c>
      <c r="G773" t="str">
        <f t="shared" si="23"/>
        <v>Tradiciones Andinas</v>
      </c>
    </row>
    <row r="774" spans="1:7" x14ac:dyDescent="0.25">
      <c r="A774" t="s">
        <v>664</v>
      </c>
      <c r="B774" t="s">
        <v>821</v>
      </c>
      <c r="C774" t="s">
        <v>58</v>
      </c>
      <c r="D774" s="15">
        <v>53.64</v>
      </c>
      <c r="E774" s="15">
        <v>53.64</v>
      </c>
      <c r="F774" t="b">
        <f t="shared" ref="F774:F837" si="24">D774=E774</f>
        <v>1</v>
      </c>
      <c r="G774" t="str">
        <f t="shared" ref="G774:G837" si="25">+A774</f>
        <v>Tradiciones Andinas</v>
      </c>
    </row>
    <row r="775" spans="1:7" x14ac:dyDescent="0.25">
      <c r="A775" t="s">
        <v>664</v>
      </c>
      <c r="B775" t="s">
        <v>821</v>
      </c>
      <c r="C775" t="s">
        <v>372</v>
      </c>
      <c r="D775" s="15">
        <v>30</v>
      </c>
      <c r="E775" s="15">
        <v>30</v>
      </c>
      <c r="F775" t="b">
        <f t="shared" si="24"/>
        <v>1</v>
      </c>
      <c r="G775" t="str">
        <f t="shared" si="25"/>
        <v>Tradiciones Andinas</v>
      </c>
    </row>
    <row r="776" spans="1:7" x14ac:dyDescent="0.25">
      <c r="A776" t="s">
        <v>664</v>
      </c>
      <c r="B776" t="s">
        <v>821</v>
      </c>
      <c r="C776" t="s">
        <v>84</v>
      </c>
      <c r="D776" s="15">
        <v>46.44</v>
      </c>
      <c r="E776" s="15">
        <v>46.44</v>
      </c>
      <c r="F776" t="b">
        <f t="shared" si="24"/>
        <v>1</v>
      </c>
      <c r="G776" t="str">
        <f t="shared" si="25"/>
        <v>Tradiciones Andinas</v>
      </c>
    </row>
    <row r="777" spans="1:7" x14ac:dyDescent="0.25">
      <c r="A777" t="s">
        <v>664</v>
      </c>
      <c r="B777" t="s">
        <v>821</v>
      </c>
      <c r="C777" t="s">
        <v>64</v>
      </c>
      <c r="D777" s="15">
        <v>47.56</v>
      </c>
      <c r="E777" s="15">
        <v>47.56</v>
      </c>
      <c r="F777" t="b">
        <f t="shared" si="24"/>
        <v>1</v>
      </c>
      <c r="G777" t="str">
        <f t="shared" si="25"/>
        <v>Tradiciones Andinas</v>
      </c>
    </row>
    <row r="778" spans="1:7" x14ac:dyDescent="0.25">
      <c r="A778" t="s">
        <v>664</v>
      </c>
      <c r="B778" t="s">
        <v>821</v>
      </c>
      <c r="C778" t="s">
        <v>62</v>
      </c>
      <c r="D778" s="15">
        <v>12.8</v>
      </c>
      <c r="E778" s="15">
        <v>12.8</v>
      </c>
      <c r="F778" t="b">
        <f t="shared" si="24"/>
        <v>1</v>
      </c>
      <c r="G778" t="str">
        <f t="shared" si="25"/>
        <v>Tradiciones Andinas</v>
      </c>
    </row>
    <row r="779" spans="1:7" x14ac:dyDescent="0.25">
      <c r="A779" t="s">
        <v>664</v>
      </c>
      <c r="B779" t="s">
        <v>821</v>
      </c>
      <c r="C779" t="s">
        <v>902</v>
      </c>
      <c r="D779" s="15">
        <v>67.98</v>
      </c>
      <c r="E779" s="15">
        <v>67.98</v>
      </c>
      <c r="F779" t="b">
        <f t="shared" si="24"/>
        <v>1</v>
      </c>
      <c r="G779" t="str">
        <f t="shared" si="25"/>
        <v>Tradiciones Andinas</v>
      </c>
    </row>
    <row r="780" spans="1:7" x14ac:dyDescent="0.25">
      <c r="A780" t="s">
        <v>664</v>
      </c>
      <c r="B780" t="s">
        <v>821</v>
      </c>
      <c r="C780" t="s">
        <v>897</v>
      </c>
      <c r="D780" s="15">
        <v>13.08</v>
      </c>
      <c r="E780" s="15">
        <v>13.08</v>
      </c>
      <c r="F780" t="b">
        <f t="shared" si="24"/>
        <v>1</v>
      </c>
      <c r="G780" t="str">
        <f t="shared" si="25"/>
        <v>Tradiciones Andinas</v>
      </c>
    </row>
    <row r="781" spans="1:7" x14ac:dyDescent="0.25">
      <c r="A781" t="s">
        <v>664</v>
      </c>
      <c r="B781" t="s">
        <v>821</v>
      </c>
      <c r="C781" t="s">
        <v>741</v>
      </c>
      <c r="D781" s="15">
        <v>13.08</v>
      </c>
      <c r="E781" s="15">
        <v>13.08</v>
      </c>
      <c r="F781" t="b">
        <f t="shared" si="24"/>
        <v>1</v>
      </c>
      <c r="G781" t="str">
        <f t="shared" si="25"/>
        <v>Tradiciones Andinas</v>
      </c>
    </row>
    <row r="782" spans="1:7" x14ac:dyDescent="0.25">
      <c r="A782" t="s">
        <v>664</v>
      </c>
      <c r="B782" t="s">
        <v>821</v>
      </c>
      <c r="C782" t="s">
        <v>878</v>
      </c>
      <c r="D782" s="15">
        <v>13.08</v>
      </c>
      <c r="E782" s="15">
        <v>13.08</v>
      </c>
      <c r="F782" t="b">
        <f t="shared" si="24"/>
        <v>1</v>
      </c>
      <c r="G782" t="str">
        <f t="shared" si="25"/>
        <v>Tradiciones Andinas</v>
      </c>
    </row>
    <row r="783" spans="1:7" x14ac:dyDescent="0.25">
      <c r="A783" t="s">
        <v>664</v>
      </c>
      <c r="B783" t="s">
        <v>821</v>
      </c>
      <c r="C783" t="s">
        <v>374</v>
      </c>
      <c r="D783" s="15">
        <v>29.7</v>
      </c>
      <c r="E783" s="15">
        <v>29.7</v>
      </c>
      <c r="F783" t="b">
        <f t="shared" si="24"/>
        <v>1</v>
      </c>
      <c r="G783" t="str">
        <f t="shared" si="25"/>
        <v>Tradiciones Andinas</v>
      </c>
    </row>
    <row r="784" spans="1:7" x14ac:dyDescent="0.25">
      <c r="A784" t="s">
        <v>664</v>
      </c>
      <c r="B784" t="s">
        <v>821</v>
      </c>
      <c r="C784" t="s">
        <v>924</v>
      </c>
      <c r="D784" s="15">
        <v>32.15</v>
      </c>
      <c r="E784" s="15">
        <v>32.15</v>
      </c>
      <c r="F784" t="b">
        <f t="shared" si="24"/>
        <v>1</v>
      </c>
      <c r="G784" t="str">
        <f t="shared" si="25"/>
        <v>Tradiciones Andinas</v>
      </c>
    </row>
    <row r="785" spans="1:7" x14ac:dyDescent="0.25">
      <c r="A785" t="s">
        <v>664</v>
      </c>
      <c r="B785" t="s">
        <v>821</v>
      </c>
      <c r="C785" t="s">
        <v>861</v>
      </c>
      <c r="D785" s="15">
        <v>42.5</v>
      </c>
      <c r="E785" s="15">
        <v>42.5</v>
      </c>
      <c r="F785" t="b">
        <f t="shared" si="24"/>
        <v>1</v>
      </c>
      <c r="G785" t="str">
        <f t="shared" si="25"/>
        <v>Tradiciones Andinas</v>
      </c>
    </row>
    <row r="786" spans="1:7" x14ac:dyDescent="0.25">
      <c r="A786" t="s">
        <v>664</v>
      </c>
      <c r="B786" t="s">
        <v>821</v>
      </c>
      <c r="C786" t="s">
        <v>866</v>
      </c>
      <c r="D786" s="15">
        <v>49.08</v>
      </c>
      <c r="E786" s="15">
        <v>49.08</v>
      </c>
      <c r="F786" t="b">
        <f t="shared" si="24"/>
        <v>1</v>
      </c>
      <c r="G786" t="str">
        <f t="shared" si="25"/>
        <v>Tradiciones Andinas</v>
      </c>
    </row>
    <row r="787" spans="1:7" x14ac:dyDescent="0.25">
      <c r="A787" t="s">
        <v>664</v>
      </c>
      <c r="B787" t="s">
        <v>821</v>
      </c>
      <c r="C787" t="s">
        <v>865</v>
      </c>
      <c r="D787" s="15">
        <v>49.08</v>
      </c>
      <c r="E787" s="15">
        <v>49.08</v>
      </c>
      <c r="F787" t="b">
        <f t="shared" si="24"/>
        <v>1</v>
      </c>
      <c r="G787" t="str">
        <f t="shared" si="25"/>
        <v>Tradiciones Andinas</v>
      </c>
    </row>
    <row r="788" spans="1:7" x14ac:dyDescent="0.25">
      <c r="A788" t="s">
        <v>664</v>
      </c>
      <c r="B788" t="s">
        <v>821</v>
      </c>
      <c r="C788" t="s">
        <v>863</v>
      </c>
      <c r="D788" s="15">
        <v>49.08</v>
      </c>
      <c r="E788" s="15">
        <v>49.08</v>
      </c>
      <c r="F788" t="b">
        <f t="shared" si="24"/>
        <v>1</v>
      </c>
      <c r="G788" t="str">
        <f t="shared" si="25"/>
        <v>Tradiciones Andinas</v>
      </c>
    </row>
    <row r="789" spans="1:7" x14ac:dyDescent="0.25">
      <c r="A789" t="s">
        <v>664</v>
      </c>
      <c r="B789" t="s">
        <v>821</v>
      </c>
      <c r="C789" t="s">
        <v>859</v>
      </c>
      <c r="D789" s="15">
        <v>42.5</v>
      </c>
      <c r="E789" s="15">
        <v>42.5</v>
      </c>
      <c r="F789" t="b">
        <f t="shared" si="24"/>
        <v>1</v>
      </c>
      <c r="G789" t="str">
        <f t="shared" si="25"/>
        <v>Tradiciones Andinas</v>
      </c>
    </row>
    <row r="790" spans="1:7" x14ac:dyDescent="0.25">
      <c r="A790" t="s">
        <v>664</v>
      </c>
      <c r="B790" t="s">
        <v>821</v>
      </c>
      <c r="C790" t="s">
        <v>736</v>
      </c>
      <c r="D790" s="15">
        <v>8.48</v>
      </c>
      <c r="E790" s="15">
        <v>8.48</v>
      </c>
      <c r="F790" t="b">
        <f t="shared" si="24"/>
        <v>1</v>
      </c>
      <c r="G790" t="str">
        <f t="shared" si="25"/>
        <v>Tradiciones Andinas</v>
      </c>
    </row>
    <row r="791" spans="1:7" x14ac:dyDescent="0.25">
      <c r="A791" t="s">
        <v>664</v>
      </c>
      <c r="B791" t="s">
        <v>821</v>
      </c>
      <c r="C791" t="s">
        <v>732</v>
      </c>
      <c r="D791" s="15">
        <v>11.88</v>
      </c>
      <c r="E791" s="15">
        <v>11.88</v>
      </c>
      <c r="F791" t="b">
        <f t="shared" si="24"/>
        <v>1</v>
      </c>
      <c r="G791" t="str">
        <f t="shared" si="25"/>
        <v>Tradiciones Andinas</v>
      </c>
    </row>
    <row r="792" spans="1:7" x14ac:dyDescent="0.25">
      <c r="A792" t="s">
        <v>664</v>
      </c>
      <c r="B792" t="s">
        <v>821</v>
      </c>
      <c r="C792" t="s">
        <v>734</v>
      </c>
      <c r="D792" s="15">
        <v>11.88</v>
      </c>
      <c r="E792" s="15">
        <v>11.88</v>
      </c>
      <c r="F792" t="b">
        <f t="shared" si="24"/>
        <v>1</v>
      </c>
      <c r="G792" t="str">
        <f t="shared" si="25"/>
        <v>Tradiciones Andinas</v>
      </c>
    </row>
    <row r="793" spans="1:7" x14ac:dyDescent="0.25">
      <c r="A793" t="s">
        <v>664</v>
      </c>
      <c r="B793" t="s">
        <v>821</v>
      </c>
      <c r="C793" t="s">
        <v>738</v>
      </c>
      <c r="D793" s="15">
        <v>8.48</v>
      </c>
      <c r="E793" s="15">
        <v>8.48</v>
      </c>
      <c r="F793" t="b">
        <f t="shared" si="24"/>
        <v>1</v>
      </c>
      <c r="G793" t="str">
        <f t="shared" si="25"/>
        <v>Tradiciones Andinas</v>
      </c>
    </row>
    <row r="794" spans="1:7" x14ac:dyDescent="0.25">
      <c r="A794" t="s">
        <v>664</v>
      </c>
      <c r="B794" t="s">
        <v>821</v>
      </c>
      <c r="C794" t="s">
        <v>823</v>
      </c>
      <c r="D794" s="15">
        <v>38.159999999999997</v>
      </c>
      <c r="E794" s="15">
        <v>38.159999999999997</v>
      </c>
      <c r="F794" t="b">
        <f t="shared" si="24"/>
        <v>1</v>
      </c>
      <c r="G794" t="str">
        <f t="shared" si="25"/>
        <v>Tradiciones Andinas</v>
      </c>
    </row>
    <row r="795" spans="1:7" x14ac:dyDescent="0.25">
      <c r="A795" t="s">
        <v>664</v>
      </c>
      <c r="B795" t="s">
        <v>821</v>
      </c>
      <c r="C795" t="s">
        <v>692</v>
      </c>
      <c r="D795" s="15">
        <v>37.08</v>
      </c>
      <c r="E795" s="15">
        <v>37.08</v>
      </c>
      <c r="F795" t="b">
        <f t="shared" si="24"/>
        <v>1</v>
      </c>
      <c r="G795" t="str">
        <f t="shared" si="25"/>
        <v>Tradiciones Andinas</v>
      </c>
    </row>
    <row r="796" spans="1:7" x14ac:dyDescent="0.25">
      <c r="A796" t="s">
        <v>664</v>
      </c>
      <c r="B796" t="s">
        <v>821</v>
      </c>
      <c r="C796" t="s">
        <v>832</v>
      </c>
      <c r="D796" s="15">
        <v>37.08</v>
      </c>
      <c r="E796" s="15">
        <v>37.08</v>
      </c>
      <c r="F796" t="b">
        <f t="shared" si="24"/>
        <v>1</v>
      </c>
      <c r="G796" t="str">
        <f t="shared" si="25"/>
        <v>Tradiciones Andinas</v>
      </c>
    </row>
    <row r="797" spans="1:7" x14ac:dyDescent="0.25">
      <c r="A797" t="s">
        <v>664</v>
      </c>
      <c r="B797" t="s">
        <v>821</v>
      </c>
      <c r="C797" t="s">
        <v>819</v>
      </c>
      <c r="D797" s="15">
        <v>27.48</v>
      </c>
      <c r="E797" s="15">
        <v>27.48</v>
      </c>
      <c r="F797" t="b">
        <f t="shared" si="24"/>
        <v>1</v>
      </c>
      <c r="G797" t="str">
        <f t="shared" si="25"/>
        <v>Tradiciones Andinas</v>
      </c>
    </row>
    <row r="798" spans="1:7" x14ac:dyDescent="0.25">
      <c r="A798" t="s">
        <v>664</v>
      </c>
      <c r="B798" t="s">
        <v>821</v>
      </c>
      <c r="C798" t="s">
        <v>762</v>
      </c>
      <c r="D798" s="15">
        <v>36</v>
      </c>
      <c r="E798" s="15">
        <v>36</v>
      </c>
      <c r="F798" t="b">
        <f t="shared" si="24"/>
        <v>1</v>
      </c>
      <c r="G798" t="str">
        <f t="shared" si="25"/>
        <v>Tradiciones Andinas</v>
      </c>
    </row>
    <row r="799" spans="1:7" x14ac:dyDescent="0.25">
      <c r="A799" t="s">
        <v>664</v>
      </c>
      <c r="B799" t="s">
        <v>821</v>
      </c>
      <c r="C799" t="s">
        <v>679</v>
      </c>
      <c r="D799" s="15">
        <v>19.8</v>
      </c>
      <c r="E799" s="15">
        <v>19.8</v>
      </c>
      <c r="F799" t="b">
        <f t="shared" si="24"/>
        <v>1</v>
      </c>
      <c r="G799" t="str">
        <f t="shared" si="25"/>
        <v>Tradiciones Andinas</v>
      </c>
    </row>
    <row r="800" spans="1:7" x14ac:dyDescent="0.25">
      <c r="A800" t="s">
        <v>664</v>
      </c>
      <c r="B800" t="s">
        <v>821</v>
      </c>
      <c r="C800" t="s">
        <v>686</v>
      </c>
      <c r="D800" s="15">
        <v>23.88</v>
      </c>
      <c r="E800" s="15">
        <v>23.88</v>
      </c>
      <c r="F800" t="b">
        <f t="shared" si="24"/>
        <v>1</v>
      </c>
      <c r="G800" t="str">
        <f t="shared" si="25"/>
        <v>Tradiciones Andinas</v>
      </c>
    </row>
    <row r="801" spans="1:7" x14ac:dyDescent="0.25">
      <c r="A801" t="s">
        <v>664</v>
      </c>
      <c r="B801" t="s">
        <v>821</v>
      </c>
      <c r="C801" t="s">
        <v>669</v>
      </c>
      <c r="D801" s="15">
        <v>28.8</v>
      </c>
      <c r="E801" s="15">
        <v>28.8</v>
      </c>
      <c r="F801" t="b">
        <f t="shared" si="24"/>
        <v>1</v>
      </c>
      <c r="G801" t="str">
        <f t="shared" si="25"/>
        <v>Tradiciones Andinas</v>
      </c>
    </row>
    <row r="802" spans="1:7" x14ac:dyDescent="0.25">
      <c r="A802" t="s">
        <v>664</v>
      </c>
      <c r="B802" t="s">
        <v>821</v>
      </c>
      <c r="C802" t="s">
        <v>696</v>
      </c>
      <c r="D802" s="15">
        <v>31.08</v>
      </c>
      <c r="E802" s="15">
        <v>31.08</v>
      </c>
      <c r="F802" t="b">
        <f t="shared" si="24"/>
        <v>1</v>
      </c>
      <c r="G802" t="str">
        <f t="shared" si="25"/>
        <v>Tradiciones Andinas</v>
      </c>
    </row>
    <row r="803" spans="1:7" x14ac:dyDescent="0.25">
      <c r="A803" t="s">
        <v>664</v>
      </c>
      <c r="B803" t="s">
        <v>821</v>
      </c>
      <c r="C803" t="s">
        <v>764</v>
      </c>
      <c r="D803" s="15">
        <v>32.4</v>
      </c>
      <c r="E803" s="15">
        <v>32.4</v>
      </c>
      <c r="F803" t="b">
        <f t="shared" si="24"/>
        <v>1</v>
      </c>
      <c r="G803" t="str">
        <f t="shared" si="25"/>
        <v>Tradiciones Andinas</v>
      </c>
    </row>
    <row r="804" spans="1:7" x14ac:dyDescent="0.25">
      <c r="A804" t="s">
        <v>664</v>
      </c>
      <c r="B804" t="s">
        <v>821</v>
      </c>
      <c r="C804" t="s">
        <v>673</v>
      </c>
      <c r="D804" s="15">
        <v>31.2</v>
      </c>
      <c r="E804" s="15">
        <v>31.2</v>
      </c>
      <c r="F804" t="b">
        <f t="shared" si="24"/>
        <v>1</v>
      </c>
      <c r="G804" t="str">
        <f t="shared" si="25"/>
        <v>Tradiciones Andinas</v>
      </c>
    </row>
    <row r="805" spans="1:7" x14ac:dyDescent="0.25">
      <c r="A805" t="s">
        <v>664</v>
      </c>
      <c r="B805" t="s">
        <v>821</v>
      </c>
      <c r="C805" t="s">
        <v>675</v>
      </c>
      <c r="D805" s="15">
        <v>31.2</v>
      </c>
      <c r="E805" s="15">
        <v>31.2</v>
      </c>
      <c r="F805" t="b">
        <f t="shared" si="24"/>
        <v>1</v>
      </c>
      <c r="G805" t="str">
        <f t="shared" si="25"/>
        <v>Tradiciones Andinas</v>
      </c>
    </row>
    <row r="806" spans="1:7" x14ac:dyDescent="0.25">
      <c r="A806" t="s">
        <v>664</v>
      </c>
      <c r="B806" t="s">
        <v>821</v>
      </c>
      <c r="C806" t="s">
        <v>683</v>
      </c>
      <c r="D806" s="15">
        <v>19.2</v>
      </c>
      <c r="E806" s="15">
        <v>19.2</v>
      </c>
      <c r="F806" t="b">
        <f t="shared" si="24"/>
        <v>1</v>
      </c>
      <c r="G806" t="str">
        <f t="shared" si="25"/>
        <v>Tradiciones Andinas</v>
      </c>
    </row>
    <row r="807" spans="1:7" x14ac:dyDescent="0.25">
      <c r="A807" t="s">
        <v>664</v>
      </c>
      <c r="B807" t="s">
        <v>821</v>
      </c>
      <c r="C807" t="s">
        <v>690</v>
      </c>
      <c r="D807" s="15">
        <v>25.08</v>
      </c>
      <c r="E807" s="15">
        <v>25.08</v>
      </c>
      <c r="F807" t="b">
        <f t="shared" si="24"/>
        <v>1</v>
      </c>
      <c r="G807" t="str">
        <f t="shared" si="25"/>
        <v>Tradiciones Andinas</v>
      </c>
    </row>
    <row r="808" spans="1:7" x14ac:dyDescent="0.25">
      <c r="A808" t="s">
        <v>664</v>
      </c>
      <c r="B808" t="s">
        <v>821</v>
      </c>
      <c r="C808" t="s">
        <v>677</v>
      </c>
      <c r="D808" s="15">
        <v>19.8</v>
      </c>
      <c r="E808" s="15">
        <v>19.8</v>
      </c>
      <c r="F808" t="b">
        <f t="shared" si="24"/>
        <v>1</v>
      </c>
      <c r="G808" t="str">
        <f t="shared" si="25"/>
        <v>Tradiciones Andinas</v>
      </c>
    </row>
    <row r="809" spans="1:7" x14ac:dyDescent="0.25">
      <c r="A809" t="s">
        <v>664</v>
      </c>
      <c r="B809" t="s">
        <v>821</v>
      </c>
      <c r="C809" t="s">
        <v>667</v>
      </c>
      <c r="D809" s="15">
        <v>28.8</v>
      </c>
      <c r="E809" s="15">
        <v>28.8</v>
      </c>
      <c r="F809" t="b">
        <f t="shared" si="24"/>
        <v>1</v>
      </c>
      <c r="G809" t="str">
        <f t="shared" si="25"/>
        <v>Tradiciones Andinas</v>
      </c>
    </row>
    <row r="810" spans="1:7" x14ac:dyDescent="0.25">
      <c r="A810" t="s">
        <v>664</v>
      </c>
      <c r="B810" t="s">
        <v>821</v>
      </c>
      <c r="C810" t="s">
        <v>825</v>
      </c>
      <c r="D810" s="15">
        <v>30</v>
      </c>
      <c r="E810" s="15">
        <v>30</v>
      </c>
      <c r="F810" t="b">
        <f t="shared" si="24"/>
        <v>1</v>
      </c>
      <c r="G810" t="str">
        <f t="shared" si="25"/>
        <v>Tradiciones Andinas</v>
      </c>
    </row>
    <row r="811" spans="1:7" x14ac:dyDescent="0.25">
      <c r="A811" t="s">
        <v>664</v>
      </c>
      <c r="B811" t="s">
        <v>821</v>
      </c>
      <c r="C811" t="s">
        <v>870</v>
      </c>
      <c r="D811" s="15">
        <v>25.5</v>
      </c>
      <c r="E811" s="15">
        <v>25.5</v>
      </c>
      <c r="F811" t="b">
        <f t="shared" si="24"/>
        <v>1</v>
      </c>
      <c r="G811" t="str">
        <f t="shared" si="25"/>
        <v>Tradiciones Andinas</v>
      </c>
    </row>
    <row r="812" spans="1:7" x14ac:dyDescent="0.25">
      <c r="A812" t="s">
        <v>664</v>
      </c>
      <c r="B812" t="s">
        <v>821</v>
      </c>
      <c r="C812" t="s">
        <v>906</v>
      </c>
      <c r="D812" s="15">
        <v>34.68</v>
      </c>
      <c r="E812" s="15">
        <v>34.68</v>
      </c>
      <c r="F812" t="b">
        <f t="shared" si="24"/>
        <v>1</v>
      </c>
      <c r="G812" t="str">
        <f t="shared" si="25"/>
        <v>Tradiciones Andinas</v>
      </c>
    </row>
    <row r="813" spans="1:7" x14ac:dyDescent="0.25">
      <c r="A813" t="s">
        <v>664</v>
      </c>
      <c r="B813" t="s">
        <v>821</v>
      </c>
      <c r="C813" t="s">
        <v>702</v>
      </c>
      <c r="D813" s="15">
        <v>42.96</v>
      </c>
      <c r="E813" s="15">
        <v>42.96</v>
      </c>
      <c r="F813" t="b">
        <f t="shared" si="24"/>
        <v>1</v>
      </c>
      <c r="G813" t="str">
        <f t="shared" si="25"/>
        <v>Tradiciones Andinas</v>
      </c>
    </row>
    <row r="814" spans="1:7" x14ac:dyDescent="0.25">
      <c r="A814" t="s">
        <v>664</v>
      </c>
      <c r="B814" t="s">
        <v>821</v>
      </c>
      <c r="C814" t="s">
        <v>712</v>
      </c>
      <c r="D814" s="15">
        <v>19.8</v>
      </c>
      <c r="E814" s="15">
        <v>19.8</v>
      </c>
      <c r="F814" t="b">
        <f t="shared" si="24"/>
        <v>1</v>
      </c>
      <c r="G814" t="str">
        <f t="shared" si="25"/>
        <v>Tradiciones Andinas</v>
      </c>
    </row>
    <row r="815" spans="1:7" x14ac:dyDescent="0.25">
      <c r="A815" t="s">
        <v>664</v>
      </c>
      <c r="B815" t="s">
        <v>821</v>
      </c>
      <c r="C815" t="s">
        <v>837</v>
      </c>
      <c r="D815" s="15">
        <v>28.64</v>
      </c>
      <c r="E815" s="15">
        <v>28.64</v>
      </c>
      <c r="F815" t="b">
        <f t="shared" si="24"/>
        <v>1</v>
      </c>
      <c r="G815" t="str">
        <f t="shared" si="25"/>
        <v>Tradiciones Andinas</v>
      </c>
    </row>
    <row r="816" spans="1:7" x14ac:dyDescent="0.25">
      <c r="A816" t="s">
        <v>664</v>
      </c>
      <c r="B816" t="s">
        <v>821</v>
      </c>
      <c r="C816" t="s">
        <v>845</v>
      </c>
      <c r="D816" s="15">
        <v>18.600000000000001</v>
      </c>
      <c r="E816" s="15">
        <v>18.600000000000001</v>
      </c>
      <c r="F816" t="b">
        <f t="shared" si="24"/>
        <v>1</v>
      </c>
      <c r="G816" t="str">
        <f t="shared" si="25"/>
        <v>Tradiciones Andinas</v>
      </c>
    </row>
    <row r="817" spans="1:7" x14ac:dyDescent="0.25">
      <c r="A817" t="s">
        <v>664</v>
      </c>
      <c r="B817" t="s">
        <v>821</v>
      </c>
      <c r="C817" t="s">
        <v>847</v>
      </c>
      <c r="D817" s="15">
        <v>13.08</v>
      </c>
      <c r="E817" s="15">
        <v>13.08</v>
      </c>
      <c r="F817" t="b">
        <f t="shared" si="24"/>
        <v>1</v>
      </c>
      <c r="G817" t="str">
        <f t="shared" si="25"/>
        <v>Tradiciones Andinas</v>
      </c>
    </row>
    <row r="818" spans="1:7" x14ac:dyDescent="0.25">
      <c r="A818" t="s">
        <v>664</v>
      </c>
      <c r="B818" t="s">
        <v>821</v>
      </c>
      <c r="C818" t="s">
        <v>813</v>
      </c>
      <c r="D818" s="15">
        <v>51</v>
      </c>
      <c r="E818" s="15">
        <v>51</v>
      </c>
      <c r="F818" t="b">
        <f t="shared" si="24"/>
        <v>1</v>
      </c>
      <c r="G818" t="str">
        <f t="shared" si="25"/>
        <v>Tradiciones Andinas</v>
      </c>
    </row>
    <row r="819" spans="1:7" x14ac:dyDescent="0.25">
      <c r="A819" t="s">
        <v>664</v>
      </c>
      <c r="B819" t="s">
        <v>821</v>
      </c>
      <c r="C819" t="s">
        <v>809</v>
      </c>
      <c r="D819" s="15">
        <v>30.6</v>
      </c>
      <c r="E819" s="15">
        <v>30.6</v>
      </c>
      <c r="F819" t="b">
        <f t="shared" si="24"/>
        <v>1</v>
      </c>
      <c r="G819" t="str">
        <f t="shared" si="25"/>
        <v>Tradiciones Andinas</v>
      </c>
    </row>
    <row r="820" spans="1:7" x14ac:dyDescent="0.25">
      <c r="A820" t="s">
        <v>664</v>
      </c>
      <c r="B820" t="s">
        <v>821</v>
      </c>
      <c r="C820" t="s">
        <v>714</v>
      </c>
      <c r="D820" s="15">
        <v>48.42</v>
      </c>
      <c r="E820" s="15">
        <v>48.42</v>
      </c>
      <c r="F820" t="b">
        <f t="shared" si="24"/>
        <v>1</v>
      </c>
      <c r="G820" t="str">
        <f t="shared" si="25"/>
        <v>Tradiciones Andinas</v>
      </c>
    </row>
    <row r="821" spans="1:7" x14ac:dyDescent="0.25">
      <c r="A821" t="s">
        <v>664</v>
      </c>
      <c r="B821" t="s">
        <v>821</v>
      </c>
      <c r="C821" t="s">
        <v>904</v>
      </c>
      <c r="D821" s="15">
        <v>27</v>
      </c>
      <c r="E821" s="15">
        <v>27</v>
      </c>
      <c r="F821" t="b">
        <f t="shared" si="24"/>
        <v>1</v>
      </c>
      <c r="G821" t="str">
        <f t="shared" si="25"/>
        <v>Tradiciones Andinas</v>
      </c>
    </row>
    <row r="822" spans="1:7" x14ac:dyDescent="0.25">
      <c r="A822" t="s">
        <v>664</v>
      </c>
      <c r="B822" t="s">
        <v>821</v>
      </c>
      <c r="C822" t="s">
        <v>718</v>
      </c>
      <c r="D822" s="15">
        <v>19.8</v>
      </c>
      <c r="E822" s="15">
        <v>19.8</v>
      </c>
      <c r="F822" t="b">
        <f t="shared" si="24"/>
        <v>1</v>
      </c>
      <c r="G822" t="str">
        <f t="shared" si="25"/>
        <v>Tradiciones Andinas</v>
      </c>
    </row>
    <row r="823" spans="1:7" x14ac:dyDescent="0.25">
      <c r="A823" t="s">
        <v>664</v>
      </c>
      <c r="B823" t="s">
        <v>821</v>
      </c>
      <c r="C823" t="s">
        <v>756</v>
      </c>
      <c r="D823" s="15">
        <v>12</v>
      </c>
      <c r="E823" s="15">
        <v>12</v>
      </c>
      <c r="F823" t="b">
        <f t="shared" si="24"/>
        <v>1</v>
      </c>
      <c r="G823" t="str">
        <f t="shared" si="25"/>
        <v>Tradiciones Andinas</v>
      </c>
    </row>
    <row r="824" spans="1:7" x14ac:dyDescent="0.25">
      <c r="A824" t="s">
        <v>664</v>
      </c>
      <c r="B824" t="s">
        <v>821</v>
      </c>
      <c r="C824" t="s">
        <v>778</v>
      </c>
      <c r="D824" s="15">
        <v>28.8</v>
      </c>
      <c r="E824" s="15">
        <v>28.8</v>
      </c>
      <c r="F824" t="b">
        <f t="shared" si="24"/>
        <v>1</v>
      </c>
      <c r="G824" t="str">
        <f t="shared" si="25"/>
        <v>Tradiciones Andinas</v>
      </c>
    </row>
    <row r="825" spans="1:7" x14ac:dyDescent="0.25">
      <c r="A825" t="s">
        <v>664</v>
      </c>
      <c r="B825" t="s">
        <v>821</v>
      </c>
      <c r="C825" t="s">
        <v>843</v>
      </c>
      <c r="D825" s="15">
        <v>50.16</v>
      </c>
      <c r="E825" s="15">
        <v>50.16</v>
      </c>
      <c r="F825" t="b">
        <f t="shared" si="24"/>
        <v>1</v>
      </c>
      <c r="G825" t="str">
        <f t="shared" si="25"/>
        <v>Tradiciones Andinas</v>
      </c>
    </row>
    <row r="826" spans="1:7" x14ac:dyDescent="0.25">
      <c r="A826" t="s">
        <v>664</v>
      </c>
      <c r="B826" t="s">
        <v>821</v>
      </c>
      <c r="C826" t="s">
        <v>839</v>
      </c>
      <c r="D826" s="15">
        <v>28.64</v>
      </c>
      <c r="E826" s="15">
        <v>28.64</v>
      </c>
      <c r="F826" t="b">
        <f t="shared" si="24"/>
        <v>1</v>
      </c>
      <c r="G826" t="str">
        <f t="shared" si="25"/>
        <v>Tradiciones Andinas</v>
      </c>
    </row>
    <row r="827" spans="1:7" x14ac:dyDescent="0.25">
      <c r="A827" t="s">
        <v>664</v>
      </c>
      <c r="B827" t="s">
        <v>821</v>
      </c>
      <c r="C827" t="s">
        <v>841</v>
      </c>
      <c r="D827" s="15">
        <v>39.6</v>
      </c>
      <c r="E827" s="15">
        <v>39.6</v>
      </c>
      <c r="F827" t="b">
        <f t="shared" si="24"/>
        <v>1</v>
      </c>
      <c r="G827" t="str">
        <f t="shared" si="25"/>
        <v>Tradiciones Andinas</v>
      </c>
    </row>
    <row r="828" spans="1:7" x14ac:dyDescent="0.25">
      <c r="A828" t="s">
        <v>664</v>
      </c>
      <c r="B828" t="s">
        <v>821</v>
      </c>
      <c r="C828" t="s">
        <v>872</v>
      </c>
      <c r="D828" s="15">
        <v>25.5</v>
      </c>
      <c r="E828" s="15">
        <v>25.5</v>
      </c>
      <c r="F828" t="b">
        <f t="shared" si="24"/>
        <v>1</v>
      </c>
      <c r="G828" t="str">
        <f t="shared" si="25"/>
        <v>Tradiciones Andinas</v>
      </c>
    </row>
    <row r="829" spans="1:7" x14ac:dyDescent="0.25">
      <c r="A829" t="s">
        <v>664</v>
      </c>
      <c r="B829" t="s">
        <v>821</v>
      </c>
      <c r="C829" t="s">
        <v>817</v>
      </c>
      <c r="D829" s="15">
        <v>43.2</v>
      </c>
      <c r="E829" s="15">
        <v>43.2</v>
      </c>
      <c r="F829" t="b">
        <f t="shared" si="24"/>
        <v>1</v>
      </c>
      <c r="G829" t="str">
        <f t="shared" si="25"/>
        <v>Tradiciones Andinas</v>
      </c>
    </row>
    <row r="830" spans="1:7" x14ac:dyDescent="0.25">
      <c r="A830" t="s">
        <v>664</v>
      </c>
      <c r="B830" t="s">
        <v>821</v>
      </c>
      <c r="C830" t="s">
        <v>834</v>
      </c>
      <c r="D830" s="15">
        <v>31.2</v>
      </c>
      <c r="E830" s="15">
        <v>31.2</v>
      </c>
      <c r="F830" t="b">
        <f t="shared" si="24"/>
        <v>1</v>
      </c>
      <c r="G830" t="str">
        <f t="shared" si="25"/>
        <v>Tradiciones Andinas</v>
      </c>
    </row>
    <row r="831" spans="1:7" x14ac:dyDescent="0.25">
      <c r="A831" t="s">
        <v>664</v>
      </c>
      <c r="B831" t="s">
        <v>821</v>
      </c>
      <c r="C831" t="s">
        <v>928</v>
      </c>
      <c r="D831" s="15">
        <v>62</v>
      </c>
      <c r="E831" s="15">
        <v>62</v>
      </c>
      <c r="F831" t="b">
        <f t="shared" si="24"/>
        <v>1</v>
      </c>
      <c r="G831" t="str">
        <f t="shared" si="25"/>
        <v>Tradiciones Andinas</v>
      </c>
    </row>
    <row r="832" spans="1:7" x14ac:dyDescent="0.25">
      <c r="A832" t="s">
        <v>664</v>
      </c>
      <c r="B832" t="s">
        <v>821</v>
      </c>
      <c r="C832" t="s">
        <v>855</v>
      </c>
      <c r="D832" s="15">
        <v>12</v>
      </c>
      <c r="E832" s="15">
        <v>12</v>
      </c>
      <c r="F832" t="b">
        <f t="shared" si="24"/>
        <v>1</v>
      </c>
      <c r="G832" t="str">
        <f t="shared" si="25"/>
        <v>Tradiciones Andinas</v>
      </c>
    </row>
    <row r="833" spans="1:7" x14ac:dyDescent="0.25">
      <c r="A833" t="s">
        <v>664</v>
      </c>
      <c r="B833" t="s">
        <v>821</v>
      </c>
      <c r="C833" t="s">
        <v>743</v>
      </c>
      <c r="D833" s="15">
        <v>60</v>
      </c>
      <c r="E833" s="15">
        <v>60</v>
      </c>
      <c r="F833" t="b">
        <f t="shared" si="24"/>
        <v>1</v>
      </c>
      <c r="G833" t="str">
        <f t="shared" si="25"/>
        <v>Tradiciones Andinas</v>
      </c>
    </row>
    <row r="834" spans="1:7" x14ac:dyDescent="0.25">
      <c r="A834" t="s">
        <v>664</v>
      </c>
      <c r="B834" t="s">
        <v>821</v>
      </c>
      <c r="C834" t="s">
        <v>853</v>
      </c>
      <c r="D834" s="15">
        <v>12</v>
      </c>
      <c r="E834" s="15">
        <v>12</v>
      </c>
      <c r="F834" t="b">
        <f t="shared" si="24"/>
        <v>1</v>
      </c>
      <c r="G834" t="str">
        <f t="shared" si="25"/>
        <v>Tradiciones Andinas</v>
      </c>
    </row>
    <row r="835" spans="1:7" x14ac:dyDescent="0.25">
      <c r="A835" t="s">
        <v>664</v>
      </c>
      <c r="B835" t="s">
        <v>821</v>
      </c>
      <c r="C835" t="s">
        <v>857</v>
      </c>
      <c r="D835" s="15">
        <v>12</v>
      </c>
      <c r="E835" s="15">
        <v>12</v>
      </c>
      <c r="F835" t="b">
        <f t="shared" si="24"/>
        <v>1</v>
      </c>
      <c r="G835" t="str">
        <f t="shared" si="25"/>
        <v>Tradiciones Andinas</v>
      </c>
    </row>
    <row r="836" spans="1:7" x14ac:dyDescent="0.25">
      <c r="A836" t="s">
        <v>664</v>
      </c>
      <c r="B836" t="s">
        <v>821</v>
      </c>
      <c r="C836" t="s">
        <v>698</v>
      </c>
      <c r="D836" s="15">
        <v>22.4</v>
      </c>
      <c r="E836" s="15">
        <v>22.4</v>
      </c>
      <c r="F836" t="b">
        <f t="shared" si="24"/>
        <v>1</v>
      </c>
      <c r="G836" t="str">
        <f t="shared" si="25"/>
        <v>Tradiciones Andinas</v>
      </c>
    </row>
    <row r="837" spans="1:7" x14ac:dyDescent="0.25">
      <c r="A837" t="s">
        <v>664</v>
      </c>
      <c r="B837" t="s">
        <v>821</v>
      </c>
      <c r="C837" t="s">
        <v>745</v>
      </c>
      <c r="D837" s="15">
        <v>60</v>
      </c>
      <c r="E837" s="15">
        <v>60</v>
      </c>
      <c r="F837" t="b">
        <f t="shared" si="24"/>
        <v>1</v>
      </c>
      <c r="G837" t="str">
        <f t="shared" si="25"/>
        <v>Tradiciones Andinas</v>
      </c>
    </row>
    <row r="838" spans="1:7" x14ac:dyDescent="0.25">
      <c r="A838" t="s">
        <v>664</v>
      </c>
      <c r="B838" t="s">
        <v>821</v>
      </c>
      <c r="C838" t="s">
        <v>784</v>
      </c>
      <c r="D838" s="15">
        <v>12</v>
      </c>
      <c r="E838" s="15">
        <v>12</v>
      </c>
      <c r="F838" t="b">
        <f t="shared" ref="F838:F901" si="26">D838=E838</f>
        <v>1</v>
      </c>
      <c r="G838" t="str">
        <f t="shared" ref="G838:G901" si="27">+A838</f>
        <v>Tradiciones Andinas</v>
      </c>
    </row>
    <row r="839" spans="1:7" x14ac:dyDescent="0.25">
      <c r="A839" t="s">
        <v>664</v>
      </c>
      <c r="B839" t="s">
        <v>821</v>
      </c>
      <c r="C839" t="s">
        <v>908</v>
      </c>
      <c r="D839" s="15">
        <v>34.68</v>
      </c>
      <c r="E839" s="15">
        <v>34.68</v>
      </c>
      <c r="F839" t="b">
        <f t="shared" si="26"/>
        <v>1</v>
      </c>
      <c r="G839" t="str">
        <f t="shared" si="27"/>
        <v>Tradiciones Andinas</v>
      </c>
    </row>
    <row r="840" spans="1:7" x14ac:dyDescent="0.25">
      <c r="A840" t="s">
        <v>664</v>
      </c>
      <c r="B840" t="s">
        <v>821</v>
      </c>
      <c r="C840" t="s">
        <v>849</v>
      </c>
      <c r="D840" s="15">
        <v>15</v>
      </c>
      <c r="E840" s="15">
        <v>15</v>
      </c>
      <c r="F840" t="b">
        <f t="shared" si="26"/>
        <v>1</v>
      </c>
      <c r="G840" t="str">
        <f t="shared" si="27"/>
        <v>Tradiciones Andinas</v>
      </c>
    </row>
    <row r="841" spans="1:7" x14ac:dyDescent="0.25">
      <c r="A841" t="s">
        <v>664</v>
      </c>
      <c r="B841" t="s">
        <v>821</v>
      </c>
      <c r="C841" t="s">
        <v>815</v>
      </c>
      <c r="D841" s="15">
        <v>45</v>
      </c>
      <c r="E841" s="15">
        <v>45</v>
      </c>
      <c r="F841" t="b">
        <f t="shared" si="26"/>
        <v>1</v>
      </c>
      <c r="G841" t="str">
        <f t="shared" si="27"/>
        <v>Tradiciones Andinas</v>
      </c>
    </row>
    <row r="842" spans="1:7" x14ac:dyDescent="0.25">
      <c r="A842" t="s">
        <v>664</v>
      </c>
      <c r="B842" t="s">
        <v>821</v>
      </c>
      <c r="C842" t="s">
        <v>811</v>
      </c>
      <c r="D842" s="15">
        <v>49.8</v>
      </c>
      <c r="E842" s="15">
        <v>49.8</v>
      </c>
      <c r="F842" t="b">
        <f t="shared" si="26"/>
        <v>1</v>
      </c>
      <c r="G842" t="str">
        <f t="shared" si="27"/>
        <v>Tradiciones Andinas</v>
      </c>
    </row>
    <row r="843" spans="1:7" x14ac:dyDescent="0.25">
      <c r="A843" t="s">
        <v>664</v>
      </c>
      <c r="B843" t="s">
        <v>821</v>
      </c>
      <c r="C843" t="s">
        <v>730</v>
      </c>
      <c r="D843" s="15">
        <v>28.62</v>
      </c>
      <c r="E843" s="15">
        <v>28.62</v>
      </c>
      <c r="F843" t="b">
        <f t="shared" si="26"/>
        <v>1</v>
      </c>
      <c r="G843" t="str">
        <f t="shared" si="27"/>
        <v>Tradiciones Andinas</v>
      </c>
    </row>
    <row r="844" spans="1:7" x14ac:dyDescent="0.25">
      <c r="A844" t="s">
        <v>664</v>
      </c>
      <c r="B844" t="s">
        <v>821</v>
      </c>
      <c r="C844" t="s">
        <v>700</v>
      </c>
      <c r="D844" s="15">
        <v>28.62</v>
      </c>
      <c r="E844" s="15">
        <v>28.62</v>
      </c>
      <c r="F844" t="b">
        <f t="shared" si="26"/>
        <v>1</v>
      </c>
      <c r="G844" t="str">
        <f t="shared" si="27"/>
        <v>Tradiciones Andinas</v>
      </c>
    </row>
    <row r="845" spans="1:7" x14ac:dyDescent="0.25">
      <c r="A845" t="s">
        <v>664</v>
      </c>
      <c r="B845" t="s">
        <v>821</v>
      </c>
      <c r="C845" t="s">
        <v>704</v>
      </c>
      <c r="D845" s="15">
        <v>42.96</v>
      </c>
      <c r="E845" s="15">
        <v>42.96</v>
      </c>
      <c r="F845" t="b">
        <f t="shared" si="26"/>
        <v>1</v>
      </c>
      <c r="G845" t="str">
        <f t="shared" si="27"/>
        <v>Tradiciones Andinas</v>
      </c>
    </row>
    <row r="846" spans="1:7" x14ac:dyDescent="0.25">
      <c r="A846" t="s">
        <v>664</v>
      </c>
      <c r="B846" t="s">
        <v>821</v>
      </c>
      <c r="C846" t="s">
        <v>768</v>
      </c>
      <c r="D846" s="15">
        <v>47.8</v>
      </c>
      <c r="E846" s="15">
        <v>47.8</v>
      </c>
      <c r="F846" t="b">
        <f t="shared" si="26"/>
        <v>1</v>
      </c>
      <c r="G846" t="str">
        <f t="shared" si="27"/>
        <v>Tradiciones Andinas</v>
      </c>
    </row>
    <row r="847" spans="1:7" x14ac:dyDescent="0.25">
      <c r="A847" t="s">
        <v>664</v>
      </c>
      <c r="B847" t="s">
        <v>821</v>
      </c>
      <c r="C847" t="s">
        <v>780</v>
      </c>
      <c r="D847" s="15">
        <v>22.68</v>
      </c>
      <c r="E847" s="15">
        <v>22.68</v>
      </c>
      <c r="F847" t="b">
        <f t="shared" si="26"/>
        <v>1</v>
      </c>
      <c r="G847" t="str">
        <f t="shared" si="27"/>
        <v>Tradiciones Andinas</v>
      </c>
    </row>
    <row r="848" spans="1:7" x14ac:dyDescent="0.25">
      <c r="A848" t="s">
        <v>664</v>
      </c>
      <c r="B848" t="s">
        <v>821</v>
      </c>
      <c r="C848" t="s">
        <v>782</v>
      </c>
      <c r="D848" s="15">
        <v>22.68</v>
      </c>
      <c r="E848" s="15">
        <v>22.68</v>
      </c>
      <c r="F848" t="b">
        <f t="shared" si="26"/>
        <v>1</v>
      </c>
      <c r="G848" t="str">
        <f t="shared" si="27"/>
        <v>Tradiciones Andinas</v>
      </c>
    </row>
    <row r="849" spans="1:7" x14ac:dyDescent="0.25">
      <c r="A849" t="s">
        <v>664</v>
      </c>
      <c r="B849" t="s">
        <v>821</v>
      </c>
      <c r="C849" t="s">
        <v>710</v>
      </c>
      <c r="D849" s="15">
        <v>40.159999999999997</v>
      </c>
      <c r="E849" s="15">
        <v>40.159999999999997</v>
      </c>
      <c r="F849" t="b">
        <f t="shared" si="26"/>
        <v>1</v>
      </c>
      <c r="G849" t="str">
        <f t="shared" si="27"/>
        <v>Tradiciones Andinas</v>
      </c>
    </row>
    <row r="850" spans="1:7" x14ac:dyDescent="0.25">
      <c r="A850" t="s">
        <v>664</v>
      </c>
      <c r="B850" t="s">
        <v>821</v>
      </c>
      <c r="C850" t="s">
        <v>671</v>
      </c>
      <c r="D850" s="15">
        <v>30.96</v>
      </c>
      <c r="E850" s="15">
        <v>30.96</v>
      </c>
      <c r="F850" t="b">
        <f t="shared" si="26"/>
        <v>1</v>
      </c>
      <c r="G850" t="str">
        <f t="shared" si="27"/>
        <v>Tradiciones Andinas</v>
      </c>
    </row>
    <row r="851" spans="1:7" x14ac:dyDescent="0.25">
      <c r="A851" t="s">
        <v>664</v>
      </c>
      <c r="B851" t="s">
        <v>821</v>
      </c>
      <c r="C851" t="s">
        <v>760</v>
      </c>
      <c r="D851" s="15">
        <v>50</v>
      </c>
      <c r="E851" s="15">
        <v>50</v>
      </c>
      <c r="F851" t="b">
        <f t="shared" si="26"/>
        <v>1</v>
      </c>
      <c r="G851" t="str">
        <f t="shared" si="27"/>
        <v>Tradiciones Andinas</v>
      </c>
    </row>
    <row r="852" spans="1:7" x14ac:dyDescent="0.25">
      <c r="A852" t="s">
        <v>664</v>
      </c>
      <c r="B852" t="s">
        <v>821</v>
      </c>
      <c r="C852" t="s">
        <v>681</v>
      </c>
      <c r="D852" s="15">
        <v>23.88</v>
      </c>
      <c r="E852" s="15">
        <v>23.88</v>
      </c>
      <c r="F852" t="b">
        <f t="shared" si="26"/>
        <v>1</v>
      </c>
      <c r="G852" t="str">
        <f t="shared" si="27"/>
        <v>Tradiciones Andinas</v>
      </c>
    </row>
    <row r="853" spans="1:7" x14ac:dyDescent="0.25">
      <c r="A853" t="s">
        <v>664</v>
      </c>
      <c r="B853" t="s">
        <v>821</v>
      </c>
      <c r="C853" t="s">
        <v>828</v>
      </c>
      <c r="D853" s="15">
        <v>27</v>
      </c>
      <c r="E853" s="15">
        <v>27</v>
      </c>
      <c r="F853" t="b">
        <f t="shared" si="26"/>
        <v>1</v>
      </c>
      <c r="G853" t="str">
        <f t="shared" si="27"/>
        <v>Tradiciones Andinas</v>
      </c>
    </row>
    <row r="854" spans="1:7" x14ac:dyDescent="0.25">
      <c r="A854" t="s">
        <v>664</v>
      </c>
      <c r="B854" t="s">
        <v>821</v>
      </c>
      <c r="C854" t="s">
        <v>830</v>
      </c>
      <c r="D854" s="15">
        <v>27</v>
      </c>
      <c r="E854" s="15">
        <v>27</v>
      </c>
      <c r="F854" t="b">
        <f t="shared" si="26"/>
        <v>1</v>
      </c>
      <c r="G854" t="str">
        <f t="shared" si="27"/>
        <v>Tradiciones Andinas</v>
      </c>
    </row>
    <row r="855" spans="1:7" x14ac:dyDescent="0.25">
      <c r="A855" t="s">
        <v>664</v>
      </c>
      <c r="B855" t="s">
        <v>821</v>
      </c>
      <c r="C855" t="s">
        <v>930</v>
      </c>
      <c r="D855" s="15">
        <v>28.8</v>
      </c>
      <c r="E855" s="15">
        <v>28.8</v>
      </c>
      <c r="F855" t="b">
        <f t="shared" si="26"/>
        <v>1</v>
      </c>
      <c r="G855" t="str">
        <f t="shared" si="27"/>
        <v>Tradiciones Andinas</v>
      </c>
    </row>
    <row r="856" spans="1:7" x14ac:dyDescent="0.25">
      <c r="A856" t="s">
        <v>664</v>
      </c>
      <c r="B856" t="s">
        <v>821</v>
      </c>
      <c r="C856" t="s">
        <v>835</v>
      </c>
      <c r="D856" s="15">
        <v>28.8</v>
      </c>
      <c r="E856" s="15">
        <v>28.8</v>
      </c>
      <c r="F856" t="b">
        <f t="shared" si="26"/>
        <v>1</v>
      </c>
      <c r="G856" t="str">
        <f t="shared" si="27"/>
        <v>Tradiciones Andinas</v>
      </c>
    </row>
    <row r="857" spans="1:7" x14ac:dyDescent="0.25">
      <c r="A857" t="s">
        <v>664</v>
      </c>
      <c r="B857" t="s">
        <v>821</v>
      </c>
      <c r="C857" t="s">
        <v>868</v>
      </c>
      <c r="D857" s="15">
        <v>25.5</v>
      </c>
      <c r="E857" s="15">
        <v>25.5</v>
      </c>
      <c r="F857" t="b">
        <f t="shared" si="26"/>
        <v>1</v>
      </c>
      <c r="G857" t="str">
        <f t="shared" si="27"/>
        <v>Tradiciones Andinas</v>
      </c>
    </row>
    <row r="858" spans="1:7" x14ac:dyDescent="0.25">
      <c r="A858" t="s">
        <v>664</v>
      </c>
      <c r="B858" t="s">
        <v>821</v>
      </c>
      <c r="C858" t="s">
        <v>706</v>
      </c>
      <c r="D858" s="15">
        <v>30</v>
      </c>
      <c r="E858" s="15">
        <v>30</v>
      </c>
      <c r="F858" t="b">
        <f t="shared" si="26"/>
        <v>1</v>
      </c>
      <c r="G858" t="str">
        <f t="shared" si="27"/>
        <v>Tradiciones Andinas</v>
      </c>
    </row>
    <row r="859" spans="1:7" x14ac:dyDescent="0.25">
      <c r="A859" t="s">
        <v>664</v>
      </c>
      <c r="B859" t="s">
        <v>821</v>
      </c>
      <c r="C859" t="s">
        <v>716</v>
      </c>
      <c r="D859" s="15">
        <v>30</v>
      </c>
      <c r="E859" s="15">
        <v>30</v>
      </c>
      <c r="F859" t="b">
        <f t="shared" si="26"/>
        <v>1</v>
      </c>
      <c r="G859" t="str">
        <f t="shared" si="27"/>
        <v>Tradiciones Andinas</v>
      </c>
    </row>
    <row r="860" spans="1:7" x14ac:dyDescent="0.25">
      <c r="A860" t="s">
        <v>664</v>
      </c>
      <c r="B860" t="s">
        <v>821</v>
      </c>
      <c r="C860" t="s">
        <v>827</v>
      </c>
      <c r="D860" s="15">
        <v>35.880000000000003</v>
      </c>
      <c r="E860" s="15">
        <v>35.880000000000003</v>
      </c>
      <c r="F860" t="b">
        <f t="shared" si="26"/>
        <v>1</v>
      </c>
      <c r="G860" t="str">
        <f t="shared" si="27"/>
        <v>Tradiciones Andinas</v>
      </c>
    </row>
    <row r="861" spans="1:7" x14ac:dyDescent="0.25">
      <c r="A861" t="s">
        <v>664</v>
      </c>
      <c r="B861" t="s">
        <v>821</v>
      </c>
      <c r="C861" t="s">
        <v>895</v>
      </c>
      <c r="D861" s="15">
        <v>12</v>
      </c>
      <c r="E861" s="15">
        <v>12</v>
      </c>
      <c r="F861" t="b">
        <f t="shared" si="26"/>
        <v>1</v>
      </c>
      <c r="G861" t="str">
        <f t="shared" si="27"/>
        <v>Tradiciones Andinas</v>
      </c>
    </row>
    <row r="862" spans="1:7" x14ac:dyDescent="0.25">
      <c r="A862" t="s">
        <v>664</v>
      </c>
      <c r="B862" t="s">
        <v>821</v>
      </c>
      <c r="C862" t="s">
        <v>788</v>
      </c>
      <c r="D862" s="15">
        <v>12</v>
      </c>
      <c r="E862" s="15">
        <v>12</v>
      </c>
      <c r="F862" t="b">
        <f t="shared" si="26"/>
        <v>1</v>
      </c>
      <c r="G862" t="str">
        <f t="shared" si="27"/>
        <v>Tradiciones Andinas</v>
      </c>
    </row>
    <row r="863" spans="1:7" x14ac:dyDescent="0.25">
      <c r="A863" t="s">
        <v>664</v>
      </c>
      <c r="B863" t="s">
        <v>821</v>
      </c>
      <c r="C863" t="s">
        <v>786</v>
      </c>
      <c r="D863" s="15">
        <v>21.36</v>
      </c>
      <c r="E863" s="15">
        <v>21.36</v>
      </c>
      <c r="F863" t="b">
        <f t="shared" si="26"/>
        <v>1</v>
      </c>
      <c r="G863" t="str">
        <f t="shared" si="27"/>
        <v>Tradiciones Andinas</v>
      </c>
    </row>
    <row r="864" spans="1:7" x14ac:dyDescent="0.25">
      <c r="A864" t="s">
        <v>664</v>
      </c>
      <c r="B864" t="s">
        <v>821</v>
      </c>
      <c r="C864" t="s">
        <v>891</v>
      </c>
      <c r="D864" s="15">
        <v>13</v>
      </c>
      <c r="E864" s="15">
        <v>13</v>
      </c>
      <c r="F864" t="b">
        <f t="shared" si="26"/>
        <v>1</v>
      </c>
      <c r="G864" t="str">
        <f t="shared" si="27"/>
        <v>Tradiciones Andinas</v>
      </c>
    </row>
    <row r="865" spans="1:7" x14ac:dyDescent="0.25">
      <c r="A865" t="s">
        <v>664</v>
      </c>
      <c r="B865" t="s">
        <v>821</v>
      </c>
      <c r="C865" t="s">
        <v>880</v>
      </c>
      <c r="D865" s="15">
        <v>13.08</v>
      </c>
      <c r="E865" s="15">
        <v>13.08</v>
      </c>
      <c r="F865" t="b">
        <f t="shared" si="26"/>
        <v>1</v>
      </c>
      <c r="G865" t="str">
        <f t="shared" si="27"/>
        <v>Tradiciones Andinas</v>
      </c>
    </row>
    <row r="866" spans="1:7" x14ac:dyDescent="0.25">
      <c r="A866" t="s">
        <v>664</v>
      </c>
      <c r="B866" t="s">
        <v>821</v>
      </c>
      <c r="C866" t="s">
        <v>885</v>
      </c>
      <c r="D866" s="15">
        <v>9</v>
      </c>
      <c r="E866" s="15">
        <v>9</v>
      </c>
      <c r="F866" t="b">
        <f t="shared" si="26"/>
        <v>1</v>
      </c>
      <c r="G866" t="str">
        <f t="shared" si="27"/>
        <v>Tradiciones Andinas</v>
      </c>
    </row>
    <row r="867" spans="1:7" x14ac:dyDescent="0.25">
      <c r="A867" t="s">
        <v>664</v>
      </c>
      <c r="B867" t="s">
        <v>821</v>
      </c>
      <c r="C867" t="s">
        <v>882</v>
      </c>
      <c r="D867" s="15">
        <v>13.08</v>
      </c>
      <c r="E867" s="15">
        <v>13.08</v>
      </c>
      <c r="F867" t="b">
        <f t="shared" si="26"/>
        <v>1</v>
      </c>
      <c r="G867" t="str">
        <f t="shared" si="27"/>
        <v>Tradiciones Andinas</v>
      </c>
    </row>
    <row r="868" spans="1:7" x14ac:dyDescent="0.25">
      <c r="A868" t="s">
        <v>664</v>
      </c>
      <c r="B868" t="s">
        <v>821</v>
      </c>
      <c r="C868" t="s">
        <v>899</v>
      </c>
      <c r="D868" s="15">
        <v>13.08</v>
      </c>
      <c r="E868" s="15">
        <v>13.08</v>
      </c>
      <c r="F868" t="b">
        <f t="shared" si="26"/>
        <v>1</v>
      </c>
      <c r="G868" t="str">
        <f t="shared" si="27"/>
        <v>Tradiciones Andinas</v>
      </c>
    </row>
    <row r="869" spans="1:7" x14ac:dyDescent="0.25">
      <c r="A869" t="s">
        <v>664</v>
      </c>
      <c r="B869" t="s">
        <v>821</v>
      </c>
      <c r="C869" t="s">
        <v>893</v>
      </c>
      <c r="D869" s="15">
        <v>12</v>
      </c>
      <c r="E869" s="15">
        <v>12</v>
      </c>
      <c r="F869" t="b">
        <f t="shared" si="26"/>
        <v>1</v>
      </c>
      <c r="G869" t="str">
        <f t="shared" si="27"/>
        <v>Tradiciones Andinas</v>
      </c>
    </row>
    <row r="870" spans="1:7" x14ac:dyDescent="0.25">
      <c r="A870" t="s">
        <v>664</v>
      </c>
      <c r="B870" t="s">
        <v>821</v>
      </c>
      <c r="C870" t="s">
        <v>889</v>
      </c>
      <c r="D870" s="15">
        <v>12</v>
      </c>
      <c r="E870" s="15">
        <v>12</v>
      </c>
      <c r="F870" t="b">
        <f t="shared" si="26"/>
        <v>1</v>
      </c>
      <c r="G870" t="str">
        <f t="shared" si="27"/>
        <v>Tradiciones Andinas</v>
      </c>
    </row>
    <row r="871" spans="1:7" x14ac:dyDescent="0.25">
      <c r="A871" t="s">
        <v>664</v>
      </c>
      <c r="B871" t="s">
        <v>821</v>
      </c>
      <c r="C871" t="s">
        <v>887</v>
      </c>
      <c r="D871" s="15">
        <v>12</v>
      </c>
      <c r="E871" s="15">
        <v>12</v>
      </c>
      <c r="F871" t="b">
        <f t="shared" si="26"/>
        <v>1</v>
      </c>
      <c r="G871" t="str">
        <f t="shared" si="27"/>
        <v>Tradiciones Andinas</v>
      </c>
    </row>
    <row r="872" spans="1:7" x14ac:dyDescent="0.25">
      <c r="A872" t="s">
        <v>664</v>
      </c>
      <c r="B872" t="s">
        <v>821</v>
      </c>
      <c r="C872" t="s">
        <v>752</v>
      </c>
      <c r="D872" s="15">
        <v>35</v>
      </c>
      <c r="E872" s="15">
        <v>35</v>
      </c>
      <c r="F872" t="b">
        <f t="shared" si="26"/>
        <v>1</v>
      </c>
      <c r="G872" t="str">
        <f t="shared" si="27"/>
        <v>Tradiciones Andinas</v>
      </c>
    </row>
    <row r="873" spans="1:7" x14ac:dyDescent="0.25">
      <c r="A873" t="s">
        <v>664</v>
      </c>
      <c r="B873" t="s">
        <v>821</v>
      </c>
      <c r="C873" t="s">
        <v>916</v>
      </c>
      <c r="D873" s="15">
        <v>42.96</v>
      </c>
      <c r="E873" s="15">
        <v>42.96</v>
      </c>
      <c r="F873" t="b">
        <f t="shared" si="26"/>
        <v>1</v>
      </c>
      <c r="G873" t="str">
        <f t="shared" si="27"/>
        <v>Tradiciones Andinas</v>
      </c>
    </row>
    <row r="874" spans="1:7" x14ac:dyDescent="0.25">
      <c r="A874" t="s">
        <v>664</v>
      </c>
      <c r="B874" t="s">
        <v>821</v>
      </c>
      <c r="C874" t="s">
        <v>918</v>
      </c>
      <c r="D874" s="15">
        <v>33.479999999999997</v>
      </c>
      <c r="E874" s="15">
        <v>33.479999999999997</v>
      </c>
      <c r="F874" t="b">
        <f t="shared" si="26"/>
        <v>1</v>
      </c>
      <c r="G874" t="str">
        <f t="shared" si="27"/>
        <v>Tradiciones Andinas</v>
      </c>
    </row>
    <row r="875" spans="1:7" x14ac:dyDescent="0.25">
      <c r="A875" t="s">
        <v>664</v>
      </c>
      <c r="B875" t="s">
        <v>821</v>
      </c>
      <c r="C875" t="s">
        <v>920</v>
      </c>
      <c r="D875" s="15">
        <v>32.15</v>
      </c>
      <c r="E875" s="15">
        <v>32.15</v>
      </c>
      <c r="F875" t="b">
        <f t="shared" si="26"/>
        <v>1</v>
      </c>
      <c r="G875" t="str">
        <f t="shared" si="27"/>
        <v>Tradiciones Andinas</v>
      </c>
    </row>
    <row r="876" spans="1:7" x14ac:dyDescent="0.25">
      <c r="A876" t="s">
        <v>664</v>
      </c>
      <c r="B876" t="s">
        <v>821</v>
      </c>
      <c r="C876" t="s">
        <v>922</v>
      </c>
      <c r="D876" s="15">
        <v>32.15</v>
      </c>
      <c r="E876" s="15">
        <v>32.15</v>
      </c>
      <c r="F876" t="b">
        <f t="shared" si="26"/>
        <v>1</v>
      </c>
      <c r="G876" t="str">
        <f t="shared" si="27"/>
        <v>Tradiciones Andinas</v>
      </c>
    </row>
    <row r="877" spans="1:7" x14ac:dyDescent="0.25">
      <c r="A877" t="s">
        <v>664</v>
      </c>
      <c r="B877" t="s">
        <v>821</v>
      </c>
      <c r="C877" t="s">
        <v>926</v>
      </c>
      <c r="D877" s="15">
        <v>32.15</v>
      </c>
      <c r="E877" s="15">
        <v>32.15</v>
      </c>
      <c r="F877" t="b">
        <f t="shared" si="26"/>
        <v>1</v>
      </c>
      <c r="G877" t="str">
        <f t="shared" si="27"/>
        <v>Tradiciones Andinas</v>
      </c>
    </row>
    <row r="878" spans="1:7" x14ac:dyDescent="0.25">
      <c r="A878" t="s">
        <v>664</v>
      </c>
      <c r="B878" t="s">
        <v>821</v>
      </c>
      <c r="C878" t="s">
        <v>910</v>
      </c>
      <c r="D878" s="15">
        <v>39.479999999999997</v>
      </c>
      <c r="E878" s="15">
        <v>39.479999999999997</v>
      </c>
      <c r="F878" t="b">
        <f t="shared" si="26"/>
        <v>1</v>
      </c>
      <c r="G878" t="str">
        <f t="shared" si="27"/>
        <v>Tradiciones Andinas</v>
      </c>
    </row>
    <row r="879" spans="1:7" x14ac:dyDescent="0.25">
      <c r="A879" t="s">
        <v>664</v>
      </c>
      <c r="B879" t="s">
        <v>821</v>
      </c>
      <c r="C879" t="s">
        <v>912</v>
      </c>
      <c r="D879" s="15">
        <v>39.479999999999997</v>
      </c>
      <c r="E879" s="15">
        <v>39.479999999999997</v>
      </c>
      <c r="F879" t="b">
        <f t="shared" si="26"/>
        <v>1</v>
      </c>
      <c r="G879" t="str">
        <f t="shared" si="27"/>
        <v>Tradiciones Andinas</v>
      </c>
    </row>
    <row r="880" spans="1:7" x14ac:dyDescent="0.25">
      <c r="A880" t="s">
        <v>664</v>
      </c>
      <c r="B880" t="s">
        <v>821</v>
      </c>
      <c r="C880" t="s">
        <v>914</v>
      </c>
      <c r="D880" s="15">
        <v>46.68</v>
      </c>
      <c r="E880" s="15">
        <v>46.68</v>
      </c>
      <c r="F880" t="b">
        <f t="shared" si="26"/>
        <v>1</v>
      </c>
      <c r="G880" t="str">
        <f t="shared" si="27"/>
        <v>Tradiciones Andinas</v>
      </c>
    </row>
    <row r="881" spans="1:7" x14ac:dyDescent="0.25">
      <c r="A881" t="s">
        <v>664</v>
      </c>
      <c r="B881" t="s">
        <v>821</v>
      </c>
      <c r="C881" t="s">
        <v>561</v>
      </c>
      <c r="D881" s="15">
        <v>35.94</v>
      </c>
      <c r="E881" s="15">
        <v>35.94</v>
      </c>
      <c r="F881" t="b">
        <f t="shared" si="26"/>
        <v>1</v>
      </c>
      <c r="G881" t="str">
        <f t="shared" si="27"/>
        <v>Tradiciones Andinas</v>
      </c>
    </row>
    <row r="882" spans="1:7" x14ac:dyDescent="0.25">
      <c r="A882" t="s">
        <v>664</v>
      </c>
      <c r="B882" t="s">
        <v>932</v>
      </c>
      <c r="C882" t="s">
        <v>372</v>
      </c>
      <c r="D882" s="15">
        <v>30</v>
      </c>
      <c r="E882" s="15">
        <v>30</v>
      </c>
      <c r="F882" t="b">
        <f t="shared" si="26"/>
        <v>1</v>
      </c>
      <c r="G882" t="str">
        <f t="shared" si="27"/>
        <v>Tradiciones Andinas</v>
      </c>
    </row>
    <row r="883" spans="1:7" x14ac:dyDescent="0.25">
      <c r="A883" t="s">
        <v>664</v>
      </c>
      <c r="B883" t="s">
        <v>932</v>
      </c>
      <c r="C883" t="s">
        <v>936</v>
      </c>
      <c r="D883" s="15">
        <v>20</v>
      </c>
      <c r="E883" s="15">
        <v>20</v>
      </c>
      <c r="F883" t="b">
        <f t="shared" si="26"/>
        <v>1</v>
      </c>
      <c r="G883" t="str">
        <f t="shared" si="27"/>
        <v>Tradiciones Andinas</v>
      </c>
    </row>
    <row r="884" spans="1:7" x14ac:dyDescent="0.25">
      <c r="A884" t="s">
        <v>664</v>
      </c>
      <c r="B884" t="s">
        <v>932</v>
      </c>
      <c r="C884" t="s">
        <v>837</v>
      </c>
      <c r="D884" s="15">
        <v>28.64</v>
      </c>
      <c r="E884" s="15">
        <v>28.64</v>
      </c>
      <c r="F884" t="b">
        <f t="shared" si="26"/>
        <v>1</v>
      </c>
      <c r="G884" t="str">
        <f t="shared" si="27"/>
        <v>Tradiciones Andinas</v>
      </c>
    </row>
    <row r="885" spans="1:7" x14ac:dyDescent="0.25">
      <c r="A885" t="s">
        <v>664</v>
      </c>
      <c r="B885" t="s">
        <v>932</v>
      </c>
      <c r="C885" t="s">
        <v>938</v>
      </c>
      <c r="D885" s="15">
        <v>60</v>
      </c>
      <c r="E885" s="15">
        <v>60</v>
      </c>
      <c r="F885" t="b">
        <f t="shared" si="26"/>
        <v>1</v>
      </c>
      <c r="G885" t="str">
        <f t="shared" si="27"/>
        <v>Tradiciones Andinas</v>
      </c>
    </row>
    <row r="886" spans="1:7" x14ac:dyDescent="0.25">
      <c r="A886" t="s">
        <v>664</v>
      </c>
      <c r="B886" t="s">
        <v>932</v>
      </c>
      <c r="C886" t="s">
        <v>880</v>
      </c>
      <c r="D886" s="15">
        <v>13.08</v>
      </c>
      <c r="E886" s="15">
        <v>13.08</v>
      </c>
      <c r="F886" t="b">
        <f t="shared" si="26"/>
        <v>1</v>
      </c>
      <c r="G886" t="str">
        <f t="shared" si="27"/>
        <v>Tradiciones Andinas</v>
      </c>
    </row>
    <row r="887" spans="1:7" x14ac:dyDescent="0.25">
      <c r="A887" t="s">
        <v>664</v>
      </c>
      <c r="B887" t="s">
        <v>932</v>
      </c>
      <c r="C887" t="s">
        <v>805</v>
      </c>
      <c r="D887" s="15">
        <v>24</v>
      </c>
      <c r="E887" s="15">
        <v>24</v>
      </c>
      <c r="F887" t="b">
        <f t="shared" si="26"/>
        <v>1</v>
      </c>
      <c r="G887" t="str">
        <f t="shared" si="27"/>
        <v>Tradiciones Andinas</v>
      </c>
    </row>
    <row r="888" spans="1:7" x14ac:dyDescent="0.25">
      <c r="A888" t="s">
        <v>664</v>
      </c>
      <c r="B888" t="s">
        <v>932</v>
      </c>
      <c r="C888" t="s">
        <v>803</v>
      </c>
      <c r="D888" s="15">
        <v>24</v>
      </c>
      <c r="E888" s="15">
        <v>24</v>
      </c>
      <c r="F888" t="b">
        <f t="shared" si="26"/>
        <v>1</v>
      </c>
      <c r="G888" t="str">
        <f t="shared" si="27"/>
        <v>Tradiciones Andinas</v>
      </c>
    </row>
    <row r="889" spans="1:7" x14ac:dyDescent="0.25">
      <c r="A889" t="s">
        <v>664</v>
      </c>
      <c r="B889" t="s">
        <v>932</v>
      </c>
      <c r="C889" t="s">
        <v>801</v>
      </c>
      <c r="D889" s="15">
        <v>24</v>
      </c>
      <c r="E889" s="15">
        <v>24</v>
      </c>
      <c r="F889" t="b">
        <f t="shared" si="26"/>
        <v>1</v>
      </c>
      <c r="G889" t="str">
        <f t="shared" si="27"/>
        <v>Tradiciones Andinas</v>
      </c>
    </row>
    <row r="890" spans="1:7" x14ac:dyDescent="0.25">
      <c r="A890" t="s">
        <v>664</v>
      </c>
      <c r="B890" t="s">
        <v>654</v>
      </c>
      <c r="C890" t="s">
        <v>851</v>
      </c>
      <c r="D890" s="15">
        <v>75.97</v>
      </c>
      <c r="E890" s="15">
        <v>75.97</v>
      </c>
      <c r="F890" t="b">
        <f t="shared" si="26"/>
        <v>1</v>
      </c>
      <c r="G890" t="str">
        <f t="shared" si="27"/>
        <v>Tradiciones Andinas</v>
      </c>
    </row>
    <row r="891" spans="1:7" x14ac:dyDescent="0.25">
      <c r="A891" t="s">
        <v>664</v>
      </c>
      <c r="B891" t="s">
        <v>654</v>
      </c>
      <c r="C891" t="s">
        <v>56</v>
      </c>
      <c r="D891" s="15">
        <v>51.1</v>
      </c>
      <c r="E891" s="15">
        <v>51.1</v>
      </c>
      <c r="F891" t="b">
        <f t="shared" si="26"/>
        <v>1</v>
      </c>
      <c r="G891" t="str">
        <f t="shared" si="27"/>
        <v>Tradiciones Andinas</v>
      </c>
    </row>
    <row r="892" spans="1:7" x14ac:dyDescent="0.25">
      <c r="A892" t="s">
        <v>664</v>
      </c>
      <c r="B892" t="s">
        <v>654</v>
      </c>
      <c r="C892" t="s">
        <v>58</v>
      </c>
      <c r="D892" s="15">
        <v>57.39</v>
      </c>
      <c r="E892" s="15">
        <v>57.39</v>
      </c>
      <c r="F892" t="b">
        <f t="shared" si="26"/>
        <v>1</v>
      </c>
      <c r="G892" t="str">
        <f t="shared" si="27"/>
        <v>Tradiciones Andinas</v>
      </c>
    </row>
    <row r="893" spans="1:7" x14ac:dyDescent="0.25">
      <c r="A893" t="s">
        <v>664</v>
      </c>
      <c r="B893" t="s">
        <v>654</v>
      </c>
      <c r="C893" t="s">
        <v>64</v>
      </c>
      <c r="D893" s="15">
        <v>50.9</v>
      </c>
      <c r="E893" s="15">
        <v>50.9</v>
      </c>
      <c r="F893" t="b">
        <f t="shared" si="26"/>
        <v>1</v>
      </c>
      <c r="G893" t="str">
        <f t="shared" si="27"/>
        <v>Tradiciones Andinas</v>
      </c>
    </row>
    <row r="894" spans="1:7" x14ac:dyDescent="0.25">
      <c r="A894" t="s">
        <v>664</v>
      </c>
      <c r="B894" t="s">
        <v>654</v>
      </c>
      <c r="C894" t="s">
        <v>348</v>
      </c>
      <c r="D894" s="15">
        <v>18.32</v>
      </c>
      <c r="E894" s="15">
        <v>18.32</v>
      </c>
      <c r="F894" t="b">
        <f t="shared" si="26"/>
        <v>1</v>
      </c>
      <c r="G894" t="str">
        <f t="shared" si="27"/>
        <v>Tradiciones Andinas</v>
      </c>
    </row>
    <row r="895" spans="1:7" x14ac:dyDescent="0.25">
      <c r="A895" t="s">
        <v>664</v>
      </c>
      <c r="B895" t="s">
        <v>654</v>
      </c>
      <c r="C895" t="s">
        <v>62</v>
      </c>
      <c r="D895" s="15">
        <v>13.57</v>
      </c>
      <c r="E895" s="15">
        <v>13.57</v>
      </c>
      <c r="F895" t="b">
        <f t="shared" si="26"/>
        <v>1</v>
      </c>
      <c r="G895" t="str">
        <f t="shared" si="27"/>
        <v>Tradiciones Andinas</v>
      </c>
    </row>
    <row r="896" spans="1:7" x14ac:dyDescent="0.25">
      <c r="A896" t="s">
        <v>664</v>
      </c>
      <c r="B896" t="s">
        <v>654</v>
      </c>
      <c r="C896" t="s">
        <v>897</v>
      </c>
      <c r="D896" s="15">
        <v>14</v>
      </c>
      <c r="E896" s="15">
        <v>14</v>
      </c>
      <c r="F896" t="b">
        <f t="shared" si="26"/>
        <v>1</v>
      </c>
      <c r="G896" t="str">
        <f t="shared" si="27"/>
        <v>Tradiciones Andinas</v>
      </c>
    </row>
    <row r="897" spans="1:7" x14ac:dyDescent="0.25">
      <c r="A897" t="s">
        <v>664</v>
      </c>
      <c r="B897" t="s">
        <v>654</v>
      </c>
      <c r="C897" t="s">
        <v>739</v>
      </c>
      <c r="D897" s="15">
        <v>14</v>
      </c>
      <c r="E897" s="15">
        <v>14</v>
      </c>
      <c r="F897" t="b">
        <f t="shared" si="26"/>
        <v>1</v>
      </c>
      <c r="G897" t="str">
        <f t="shared" si="27"/>
        <v>Tradiciones Andinas</v>
      </c>
    </row>
    <row r="898" spans="1:7" x14ac:dyDescent="0.25">
      <c r="A898" t="s">
        <v>664</v>
      </c>
      <c r="B898" t="s">
        <v>654</v>
      </c>
      <c r="C898" t="s">
        <v>878</v>
      </c>
      <c r="D898" s="15">
        <v>14</v>
      </c>
      <c r="E898" s="15">
        <v>14</v>
      </c>
      <c r="F898" t="b">
        <f t="shared" si="26"/>
        <v>1</v>
      </c>
      <c r="G898" t="str">
        <f t="shared" si="27"/>
        <v>Tradiciones Andinas</v>
      </c>
    </row>
    <row r="899" spans="1:7" x14ac:dyDescent="0.25">
      <c r="A899" t="s">
        <v>664</v>
      </c>
      <c r="B899" t="s">
        <v>654</v>
      </c>
      <c r="C899" t="s">
        <v>865</v>
      </c>
      <c r="D899" s="15">
        <v>52.52</v>
      </c>
      <c r="E899" s="15">
        <v>52.52</v>
      </c>
      <c r="F899" t="b">
        <f t="shared" si="26"/>
        <v>1</v>
      </c>
      <c r="G899" t="str">
        <f t="shared" si="27"/>
        <v>Tradiciones Andinas</v>
      </c>
    </row>
    <row r="900" spans="1:7" x14ac:dyDescent="0.25">
      <c r="A900" t="s">
        <v>664</v>
      </c>
      <c r="B900" t="s">
        <v>654</v>
      </c>
      <c r="C900" t="s">
        <v>957</v>
      </c>
      <c r="D900" s="15">
        <v>42</v>
      </c>
      <c r="E900" s="15">
        <v>42</v>
      </c>
      <c r="F900" t="b">
        <f t="shared" si="26"/>
        <v>1</v>
      </c>
      <c r="G900" t="str">
        <f t="shared" si="27"/>
        <v>Tradiciones Andinas</v>
      </c>
    </row>
    <row r="901" spans="1:7" x14ac:dyDescent="0.25">
      <c r="A901" t="s">
        <v>664</v>
      </c>
      <c r="B901" t="s">
        <v>654</v>
      </c>
      <c r="C901" t="s">
        <v>863</v>
      </c>
      <c r="D901" s="15">
        <v>52.52</v>
      </c>
      <c r="E901" s="15">
        <v>52.52</v>
      </c>
      <c r="F901" t="b">
        <f t="shared" si="26"/>
        <v>1</v>
      </c>
      <c r="G901" t="str">
        <f t="shared" si="27"/>
        <v>Tradiciones Andinas</v>
      </c>
    </row>
    <row r="902" spans="1:7" x14ac:dyDescent="0.25">
      <c r="A902" t="s">
        <v>664</v>
      </c>
      <c r="B902" t="s">
        <v>654</v>
      </c>
      <c r="C902" t="s">
        <v>955</v>
      </c>
      <c r="D902" s="15">
        <v>42</v>
      </c>
      <c r="E902" s="15">
        <v>42</v>
      </c>
      <c r="F902" t="b">
        <f t="shared" ref="F902:F965" si="28">D902=E902</f>
        <v>1</v>
      </c>
      <c r="G902" t="str">
        <f t="shared" ref="G902:G965" si="29">+A902</f>
        <v>Tradiciones Andinas</v>
      </c>
    </row>
    <row r="903" spans="1:7" x14ac:dyDescent="0.25">
      <c r="A903" t="s">
        <v>664</v>
      </c>
      <c r="B903" t="s">
        <v>654</v>
      </c>
      <c r="C903" t="s">
        <v>736</v>
      </c>
      <c r="D903" s="15">
        <v>9.07</v>
      </c>
      <c r="E903" s="15">
        <v>9.07</v>
      </c>
      <c r="F903" t="b">
        <f t="shared" si="28"/>
        <v>1</v>
      </c>
      <c r="G903" t="str">
        <f t="shared" si="29"/>
        <v>Tradiciones Andinas</v>
      </c>
    </row>
    <row r="904" spans="1:7" x14ac:dyDescent="0.25">
      <c r="A904" t="s">
        <v>664</v>
      </c>
      <c r="B904" t="s">
        <v>654</v>
      </c>
      <c r="C904" t="s">
        <v>738</v>
      </c>
      <c r="D904" s="15">
        <v>9.07</v>
      </c>
      <c r="E904" s="15">
        <v>9.07</v>
      </c>
      <c r="F904" t="b">
        <f t="shared" si="28"/>
        <v>1</v>
      </c>
      <c r="G904" t="str">
        <f t="shared" si="29"/>
        <v>Tradiciones Andinas</v>
      </c>
    </row>
    <row r="905" spans="1:7" x14ac:dyDescent="0.25">
      <c r="A905" t="s">
        <v>664</v>
      </c>
      <c r="B905" t="s">
        <v>654</v>
      </c>
      <c r="C905" t="s">
        <v>692</v>
      </c>
      <c r="D905" s="15">
        <v>39.68</v>
      </c>
      <c r="E905" s="15">
        <v>39.68</v>
      </c>
      <c r="F905" t="b">
        <f t="shared" si="28"/>
        <v>1</v>
      </c>
      <c r="G905" t="str">
        <f t="shared" si="29"/>
        <v>Tradiciones Andinas</v>
      </c>
    </row>
    <row r="906" spans="1:7" x14ac:dyDescent="0.25">
      <c r="A906" t="s">
        <v>664</v>
      </c>
      <c r="B906" t="s">
        <v>654</v>
      </c>
      <c r="C906" t="s">
        <v>947</v>
      </c>
      <c r="D906" s="15">
        <v>47.76</v>
      </c>
      <c r="E906" s="15">
        <v>47.76</v>
      </c>
      <c r="F906" t="b">
        <f t="shared" si="28"/>
        <v>1</v>
      </c>
      <c r="G906" t="str">
        <f t="shared" si="29"/>
        <v>Tradiciones Andinas</v>
      </c>
    </row>
    <row r="907" spans="1:7" x14ac:dyDescent="0.25">
      <c r="A907" t="s">
        <v>664</v>
      </c>
      <c r="B907" t="s">
        <v>654</v>
      </c>
      <c r="C907" t="s">
        <v>762</v>
      </c>
      <c r="D907" s="15">
        <v>38.520000000000003</v>
      </c>
      <c r="E907" s="15">
        <v>38.520000000000003</v>
      </c>
      <c r="F907" t="b">
        <f t="shared" si="28"/>
        <v>1</v>
      </c>
      <c r="G907" t="str">
        <f t="shared" si="29"/>
        <v>Tradiciones Andinas</v>
      </c>
    </row>
    <row r="908" spans="1:7" x14ac:dyDescent="0.25">
      <c r="A908" t="s">
        <v>664</v>
      </c>
      <c r="B908" t="s">
        <v>654</v>
      </c>
      <c r="C908" t="s">
        <v>686</v>
      </c>
      <c r="D908" s="15">
        <v>25.55</v>
      </c>
      <c r="E908" s="15">
        <v>25.55</v>
      </c>
      <c r="F908" t="b">
        <f t="shared" si="28"/>
        <v>1</v>
      </c>
      <c r="G908" t="str">
        <f t="shared" si="29"/>
        <v>Tradiciones Andinas</v>
      </c>
    </row>
    <row r="909" spans="1:7" x14ac:dyDescent="0.25">
      <c r="A909" t="s">
        <v>664</v>
      </c>
      <c r="B909" t="s">
        <v>654</v>
      </c>
      <c r="C909" t="s">
        <v>669</v>
      </c>
      <c r="D909" s="15">
        <v>30.82</v>
      </c>
      <c r="E909" s="15">
        <v>30.82</v>
      </c>
      <c r="F909" t="b">
        <f t="shared" si="28"/>
        <v>1</v>
      </c>
      <c r="G909" t="str">
        <f t="shared" si="29"/>
        <v>Tradiciones Andinas</v>
      </c>
    </row>
    <row r="910" spans="1:7" x14ac:dyDescent="0.25">
      <c r="A910" t="s">
        <v>664</v>
      </c>
      <c r="B910" t="s">
        <v>654</v>
      </c>
      <c r="C910" t="s">
        <v>754</v>
      </c>
      <c r="D910" s="15">
        <v>38.39</v>
      </c>
      <c r="E910" s="15">
        <v>38.39</v>
      </c>
      <c r="F910" t="b">
        <f t="shared" si="28"/>
        <v>1</v>
      </c>
      <c r="G910" t="str">
        <f t="shared" si="29"/>
        <v>Tradiciones Andinas</v>
      </c>
    </row>
    <row r="911" spans="1:7" x14ac:dyDescent="0.25">
      <c r="A911" t="s">
        <v>664</v>
      </c>
      <c r="B911" t="s">
        <v>654</v>
      </c>
      <c r="C911" t="s">
        <v>847</v>
      </c>
      <c r="D911" s="15">
        <v>14</v>
      </c>
      <c r="E911" s="15">
        <v>14</v>
      </c>
      <c r="F911" t="b">
        <f t="shared" si="28"/>
        <v>1</v>
      </c>
      <c r="G911" t="str">
        <f t="shared" si="29"/>
        <v>Tradiciones Andinas</v>
      </c>
    </row>
    <row r="912" spans="1:7" x14ac:dyDescent="0.25">
      <c r="A912" t="s">
        <v>664</v>
      </c>
      <c r="B912" t="s">
        <v>654</v>
      </c>
      <c r="C912" t="s">
        <v>743</v>
      </c>
      <c r="D912" s="15">
        <v>64.2</v>
      </c>
      <c r="E912" s="15">
        <v>64.2</v>
      </c>
      <c r="F912" t="b">
        <f t="shared" si="28"/>
        <v>1</v>
      </c>
      <c r="G912" t="str">
        <f t="shared" si="29"/>
        <v>Tradiciones Andinas</v>
      </c>
    </row>
    <row r="913" spans="1:7" x14ac:dyDescent="0.25">
      <c r="A913" t="s">
        <v>664</v>
      </c>
      <c r="B913" t="s">
        <v>654</v>
      </c>
      <c r="C913" t="s">
        <v>745</v>
      </c>
      <c r="D913" s="15">
        <v>64.2</v>
      </c>
      <c r="E913" s="15">
        <v>64.2</v>
      </c>
      <c r="F913" t="b">
        <f t="shared" si="28"/>
        <v>1</v>
      </c>
      <c r="G913" t="str">
        <f t="shared" si="29"/>
        <v>Tradiciones Andinas</v>
      </c>
    </row>
    <row r="914" spans="1:7" x14ac:dyDescent="0.25">
      <c r="A914" t="s">
        <v>664</v>
      </c>
      <c r="B914" t="s">
        <v>654</v>
      </c>
      <c r="C914" t="s">
        <v>908</v>
      </c>
      <c r="D914" s="15">
        <v>37.11</v>
      </c>
      <c r="E914" s="15">
        <v>37.11</v>
      </c>
      <c r="F914" t="b">
        <f t="shared" si="28"/>
        <v>1</v>
      </c>
      <c r="G914" t="str">
        <f t="shared" si="29"/>
        <v>Tradiciones Andinas</v>
      </c>
    </row>
    <row r="915" spans="1:7" x14ac:dyDescent="0.25">
      <c r="A915" t="s">
        <v>664</v>
      </c>
      <c r="B915" t="s">
        <v>654</v>
      </c>
      <c r="C915" t="s">
        <v>849</v>
      </c>
      <c r="D915" s="15">
        <v>16.05</v>
      </c>
      <c r="E915" s="15">
        <v>16.05</v>
      </c>
      <c r="F915" t="b">
        <f t="shared" si="28"/>
        <v>1</v>
      </c>
      <c r="G915" t="str">
        <f t="shared" si="29"/>
        <v>Tradiciones Andinas</v>
      </c>
    </row>
    <row r="916" spans="1:7" x14ac:dyDescent="0.25">
      <c r="A916" t="s">
        <v>664</v>
      </c>
      <c r="B916" t="s">
        <v>654</v>
      </c>
      <c r="C916" t="s">
        <v>953</v>
      </c>
      <c r="D916" s="15">
        <v>13.2</v>
      </c>
      <c r="E916" s="15">
        <v>13.2</v>
      </c>
      <c r="F916" t="b">
        <f t="shared" si="28"/>
        <v>1</v>
      </c>
      <c r="G916" t="str">
        <f t="shared" si="29"/>
        <v>Tradiciones Andinas</v>
      </c>
    </row>
    <row r="917" spans="1:7" x14ac:dyDescent="0.25">
      <c r="A917" t="s">
        <v>664</v>
      </c>
      <c r="B917" t="s">
        <v>654</v>
      </c>
      <c r="C917" t="s">
        <v>982</v>
      </c>
      <c r="D917" s="15">
        <v>28.68</v>
      </c>
      <c r="E917" s="15">
        <v>28.68</v>
      </c>
      <c r="F917" t="b">
        <f t="shared" si="28"/>
        <v>1</v>
      </c>
      <c r="G917" t="str">
        <f t="shared" si="29"/>
        <v>Tradiciones Andinas</v>
      </c>
    </row>
    <row r="918" spans="1:7" x14ac:dyDescent="0.25">
      <c r="A918" t="s">
        <v>664</v>
      </c>
      <c r="B918" t="s">
        <v>654</v>
      </c>
      <c r="C918" t="s">
        <v>768</v>
      </c>
      <c r="D918" s="15">
        <v>51.15</v>
      </c>
      <c r="E918" s="15">
        <v>51.15</v>
      </c>
      <c r="F918" t="b">
        <f t="shared" si="28"/>
        <v>1</v>
      </c>
      <c r="G918" t="str">
        <f t="shared" si="29"/>
        <v>Tradiciones Andinas</v>
      </c>
    </row>
    <row r="919" spans="1:7" x14ac:dyDescent="0.25">
      <c r="A919" t="s">
        <v>664</v>
      </c>
      <c r="B919" t="s">
        <v>654</v>
      </c>
      <c r="C919" t="s">
        <v>774</v>
      </c>
      <c r="D919" s="15">
        <v>26.84</v>
      </c>
      <c r="E919" s="15">
        <v>26.84</v>
      </c>
      <c r="F919" t="b">
        <f t="shared" si="28"/>
        <v>1</v>
      </c>
      <c r="G919" t="str">
        <f t="shared" si="29"/>
        <v>Tradiciones Andinas</v>
      </c>
    </row>
    <row r="920" spans="1:7" x14ac:dyDescent="0.25">
      <c r="A920" t="s">
        <v>664</v>
      </c>
      <c r="B920" t="s">
        <v>654</v>
      </c>
      <c r="C920" t="s">
        <v>945</v>
      </c>
      <c r="D920" s="15">
        <v>32</v>
      </c>
      <c r="E920" s="15">
        <v>32</v>
      </c>
      <c r="F920" t="b">
        <f t="shared" si="28"/>
        <v>1</v>
      </c>
      <c r="G920" t="str">
        <f t="shared" si="29"/>
        <v>Tradiciones Andinas</v>
      </c>
    </row>
    <row r="921" spans="1:7" x14ac:dyDescent="0.25">
      <c r="A921" t="s">
        <v>664</v>
      </c>
      <c r="B921" t="s">
        <v>654</v>
      </c>
      <c r="C921" t="s">
        <v>760</v>
      </c>
      <c r="D921" s="15">
        <v>53.5</v>
      </c>
      <c r="E921" s="15">
        <v>53.5</v>
      </c>
      <c r="F921" t="b">
        <f t="shared" si="28"/>
        <v>1</v>
      </c>
      <c r="G921" t="str">
        <f t="shared" si="29"/>
        <v>Tradiciones Andinas</v>
      </c>
    </row>
    <row r="922" spans="1:7" x14ac:dyDescent="0.25">
      <c r="A922" t="s">
        <v>664</v>
      </c>
      <c r="B922" t="s">
        <v>654</v>
      </c>
      <c r="C922" t="s">
        <v>830</v>
      </c>
      <c r="D922" s="15">
        <v>28.89</v>
      </c>
      <c r="E922" s="15">
        <v>28.89</v>
      </c>
      <c r="F922" t="b">
        <f t="shared" si="28"/>
        <v>1</v>
      </c>
      <c r="G922" t="str">
        <f t="shared" si="29"/>
        <v>Tradiciones Andinas</v>
      </c>
    </row>
    <row r="923" spans="1:7" x14ac:dyDescent="0.25">
      <c r="A923" t="s">
        <v>664</v>
      </c>
      <c r="B923" t="s">
        <v>654</v>
      </c>
      <c r="C923" t="s">
        <v>962</v>
      </c>
      <c r="D923" s="15">
        <v>27.29</v>
      </c>
      <c r="E923" s="15">
        <v>27.29</v>
      </c>
      <c r="F923" t="b">
        <f t="shared" si="28"/>
        <v>1</v>
      </c>
      <c r="G923" t="str">
        <f t="shared" si="29"/>
        <v>Tradiciones Andinas</v>
      </c>
    </row>
    <row r="924" spans="1:7" x14ac:dyDescent="0.25">
      <c r="A924" t="s">
        <v>664</v>
      </c>
      <c r="B924" t="s">
        <v>654</v>
      </c>
      <c r="C924" t="s">
        <v>788</v>
      </c>
      <c r="D924" s="15">
        <v>12.84</v>
      </c>
      <c r="E924" s="15">
        <v>12.84</v>
      </c>
      <c r="F924" t="b">
        <f t="shared" si="28"/>
        <v>1</v>
      </c>
      <c r="G924" t="str">
        <f t="shared" si="29"/>
        <v>Tradiciones Andinas</v>
      </c>
    </row>
    <row r="925" spans="1:7" x14ac:dyDescent="0.25">
      <c r="A925" t="s">
        <v>664</v>
      </c>
      <c r="B925" t="s">
        <v>654</v>
      </c>
      <c r="C925" t="s">
        <v>786</v>
      </c>
      <c r="D925" s="15">
        <v>22.86</v>
      </c>
      <c r="E925" s="15">
        <v>22.86</v>
      </c>
      <c r="F925" t="b">
        <f t="shared" si="28"/>
        <v>1</v>
      </c>
      <c r="G925" t="str">
        <f t="shared" si="29"/>
        <v>Tradiciones Andinas</v>
      </c>
    </row>
    <row r="926" spans="1:7" x14ac:dyDescent="0.25">
      <c r="A926" t="s">
        <v>664</v>
      </c>
      <c r="B926" t="s">
        <v>654</v>
      </c>
      <c r="C926" t="s">
        <v>891</v>
      </c>
      <c r="D926" s="15">
        <v>13.91</v>
      </c>
      <c r="E926" s="15">
        <v>13.91</v>
      </c>
      <c r="F926" t="b">
        <f t="shared" si="28"/>
        <v>1</v>
      </c>
      <c r="G926" t="str">
        <f t="shared" si="29"/>
        <v>Tradiciones Andinas</v>
      </c>
    </row>
    <row r="927" spans="1:7" x14ac:dyDescent="0.25">
      <c r="A927" t="s">
        <v>664</v>
      </c>
      <c r="B927" t="s">
        <v>654</v>
      </c>
      <c r="C927" t="s">
        <v>880</v>
      </c>
      <c r="D927" s="15">
        <v>14</v>
      </c>
      <c r="E927" s="15">
        <v>14</v>
      </c>
      <c r="F927" t="b">
        <f t="shared" si="28"/>
        <v>1</v>
      </c>
      <c r="G927" t="str">
        <f t="shared" si="29"/>
        <v>Tradiciones Andinas</v>
      </c>
    </row>
    <row r="928" spans="1:7" x14ac:dyDescent="0.25">
      <c r="A928" t="s">
        <v>664</v>
      </c>
      <c r="B928" t="s">
        <v>654</v>
      </c>
      <c r="C928" t="s">
        <v>882</v>
      </c>
      <c r="D928" s="15">
        <v>14</v>
      </c>
      <c r="E928" s="15">
        <v>14</v>
      </c>
      <c r="F928" t="b">
        <f t="shared" si="28"/>
        <v>1</v>
      </c>
      <c r="G928" t="str">
        <f t="shared" si="29"/>
        <v>Tradiciones Andinas</v>
      </c>
    </row>
    <row r="929" spans="1:7" x14ac:dyDescent="0.25">
      <c r="A929" t="s">
        <v>664</v>
      </c>
      <c r="B929" t="s">
        <v>654</v>
      </c>
      <c r="C929" t="s">
        <v>899</v>
      </c>
      <c r="D929" s="15">
        <v>14</v>
      </c>
      <c r="E929" s="15">
        <v>14</v>
      </c>
      <c r="F929" t="b">
        <f t="shared" si="28"/>
        <v>1</v>
      </c>
      <c r="G929" t="str">
        <f t="shared" si="29"/>
        <v>Tradiciones Andinas</v>
      </c>
    </row>
    <row r="930" spans="1:7" x14ac:dyDescent="0.25">
      <c r="A930" t="s">
        <v>664</v>
      </c>
      <c r="B930" t="s">
        <v>654</v>
      </c>
      <c r="C930" t="s">
        <v>889</v>
      </c>
      <c r="D930" s="15">
        <v>12.84</v>
      </c>
      <c r="E930" s="15">
        <v>12.84</v>
      </c>
      <c r="F930" t="b">
        <f t="shared" si="28"/>
        <v>1</v>
      </c>
      <c r="G930" t="str">
        <f t="shared" si="29"/>
        <v>Tradiciones Andinas</v>
      </c>
    </row>
    <row r="931" spans="1:7" x14ac:dyDescent="0.25">
      <c r="A931" t="s">
        <v>664</v>
      </c>
      <c r="B931" t="s">
        <v>654</v>
      </c>
      <c r="C931" t="s">
        <v>887</v>
      </c>
      <c r="D931" s="15">
        <v>12.84</v>
      </c>
      <c r="E931" s="15">
        <v>12.84</v>
      </c>
      <c r="F931" t="b">
        <f t="shared" si="28"/>
        <v>1</v>
      </c>
      <c r="G931" t="str">
        <f t="shared" si="29"/>
        <v>Tradiciones Andinas</v>
      </c>
    </row>
    <row r="932" spans="1:7" x14ac:dyDescent="0.25">
      <c r="A932" t="s">
        <v>664</v>
      </c>
      <c r="B932" t="s">
        <v>654</v>
      </c>
      <c r="C932" t="s">
        <v>752</v>
      </c>
      <c r="D932" s="15">
        <v>37.450000000000003</v>
      </c>
      <c r="E932" s="15">
        <v>37.450000000000003</v>
      </c>
      <c r="F932" t="b">
        <f t="shared" si="28"/>
        <v>1</v>
      </c>
      <c r="G932" t="str">
        <f t="shared" si="29"/>
        <v>Tradiciones Andinas</v>
      </c>
    </row>
    <row r="933" spans="1:7" x14ac:dyDescent="0.25">
      <c r="A933" t="s">
        <v>664</v>
      </c>
      <c r="B933" t="s">
        <v>654</v>
      </c>
      <c r="C933" t="s">
        <v>910</v>
      </c>
      <c r="D933" s="15">
        <v>42.24</v>
      </c>
      <c r="E933" s="15">
        <v>42.24</v>
      </c>
      <c r="F933" t="b">
        <f t="shared" si="28"/>
        <v>1</v>
      </c>
      <c r="G933" t="str">
        <f t="shared" si="29"/>
        <v>Tradiciones Andinas</v>
      </c>
    </row>
    <row r="934" spans="1:7" x14ac:dyDescent="0.25">
      <c r="A934" t="s">
        <v>664</v>
      </c>
      <c r="B934" t="s">
        <v>654</v>
      </c>
      <c r="C934" t="s">
        <v>914</v>
      </c>
      <c r="D934" s="15">
        <v>49.95</v>
      </c>
      <c r="E934" s="15">
        <v>49.95</v>
      </c>
      <c r="F934" t="b">
        <f t="shared" si="28"/>
        <v>1</v>
      </c>
      <c r="G934" t="str">
        <f t="shared" si="29"/>
        <v>Tradiciones Andinas</v>
      </c>
    </row>
    <row r="935" spans="1:7" x14ac:dyDescent="0.25">
      <c r="A935" t="s">
        <v>664</v>
      </c>
      <c r="B935" t="s">
        <v>158</v>
      </c>
      <c r="C935" t="s">
        <v>42</v>
      </c>
      <c r="D935" s="15">
        <v>85</v>
      </c>
      <c r="E935" s="15">
        <v>85</v>
      </c>
      <c r="F935" t="b">
        <f t="shared" si="28"/>
        <v>1</v>
      </c>
      <c r="G935" t="str">
        <f t="shared" si="29"/>
        <v>Tradiciones Andinas</v>
      </c>
    </row>
    <row r="936" spans="1:7" x14ac:dyDescent="0.25">
      <c r="A936" t="s">
        <v>664</v>
      </c>
      <c r="B936" t="s">
        <v>158</v>
      </c>
      <c r="C936" t="s">
        <v>37</v>
      </c>
      <c r="D936" s="15">
        <v>73.8</v>
      </c>
      <c r="E936" s="15">
        <v>73.8</v>
      </c>
      <c r="F936" t="b">
        <f t="shared" si="28"/>
        <v>1</v>
      </c>
      <c r="G936" t="str">
        <f t="shared" si="29"/>
        <v>Tradiciones Andinas</v>
      </c>
    </row>
    <row r="937" spans="1:7" x14ac:dyDescent="0.25">
      <c r="A937" t="s">
        <v>664</v>
      </c>
      <c r="B937" t="s">
        <v>158</v>
      </c>
      <c r="C937" t="s">
        <v>851</v>
      </c>
      <c r="D937" s="15">
        <v>75.97</v>
      </c>
      <c r="E937" s="15">
        <v>75.97</v>
      </c>
      <c r="F937" t="b">
        <f t="shared" si="28"/>
        <v>1</v>
      </c>
      <c r="G937" t="str">
        <f t="shared" si="29"/>
        <v>Tradiciones Andinas</v>
      </c>
    </row>
    <row r="938" spans="1:7" x14ac:dyDescent="0.25">
      <c r="A938" t="s">
        <v>664</v>
      </c>
      <c r="B938" t="s">
        <v>158</v>
      </c>
      <c r="C938" t="s">
        <v>902</v>
      </c>
      <c r="D938" s="15">
        <v>72.72</v>
      </c>
      <c r="E938" s="15">
        <v>72.72</v>
      </c>
      <c r="F938" t="b">
        <f t="shared" si="28"/>
        <v>1</v>
      </c>
      <c r="G938" t="str">
        <f t="shared" si="29"/>
        <v>Tradiciones Andinas</v>
      </c>
    </row>
    <row r="939" spans="1:7" x14ac:dyDescent="0.25">
      <c r="A939" t="s">
        <v>664</v>
      </c>
      <c r="B939" t="s">
        <v>158</v>
      </c>
      <c r="C939" t="s">
        <v>999</v>
      </c>
      <c r="D939" s="15">
        <v>9.99</v>
      </c>
      <c r="E939" s="15">
        <v>9.99</v>
      </c>
      <c r="F939" t="b">
        <f t="shared" si="28"/>
        <v>1</v>
      </c>
      <c r="G939" t="str">
        <f t="shared" si="29"/>
        <v>Tradiciones Andinas</v>
      </c>
    </row>
    <row r="940" spans="1:7" x14ac:dyDescent="0.25">
      <c r="A940" t="s">
        <v>664</v>
      </c>
      <c r="B940" t="s">
        <v>158</v>
      </c>
      <c r="C940" t="s">
        <v>861</v>
      </c>
      <c r="D940" s="15">
        <v>45</v>
      </c>
      <c r="E940" s="15">
        <v>45</v>
      </c>
      <c r="F940" t="b">
        <f t="shared" si="28"/>
        <v>1</v>
      </c>
      <c r="G940" t="str">
        <f t="shared" si="29"/>
        <v>Tradiciones Andinas</v>
      </c>
    </row>
    <row r="941" spans="1:7" x14ac:dyDescent="0.25">
      <c r="A941" t="s">
        <v>664</v>
      </c>
      <c r="B941" t="s">
        <v>158</v>
      </c>
      <c r="C941" t="s">
        <v>865</v>
      </c>
      <c r="D941" s="15">
        <v>52.52</v>
      </c>
      <c r="E941" s="15">
        <v>52.52</v>
      </c>
      <c r="F941" t="b">
        <f t="shared" si="28"/>
        <v>1</v>
      </c>
      <c r="G941" t="str">
        <f t="shared" si="29"/>
        <v>Tradiciones Andinas</v>
      </c>
    </row>
    <row r="942" spans="1:7" x14ac:dyDescent="0.25">
      <c r="A942" t="s">
        <v>664</v>
      </c>
      <c r="B942" t="s">
        <v>158</v>
      </c>
      <c r="C942" t="s">
        <v>863</v>
      </c>
      <c r="D942" s="15">
        <v>52.52</v>
      </c>
      <c r="E942" s="15">
        <v>52.52</v>
      </c>
      <c r="F942" t="b">
        <f t="shared" si="28"/>
        <v>1</v>
      </c>
      <c r="G942" t="str">
        <f t="shared" si="29"/>
        <v>Tradiciones Andinas</v>
      </c>
    </row>
    <row r="943" spans="1:7" x14ac:dyDescent="0.25">
      <c r="A943" t="s">
        <v>664</v>
      </c>
      <c r="B943" t="s">
        <v>158</v>
      </c>
      <c r="C943" t="s">
        <v>859</v>
      </c>
      <c r="D943" s="15">
        <v>45</v>
      </c>
      <c r="E943" s="15">
        <v>45</v>
      </c>
      <c r="F943" t="b">
        <f t="shared" si="28"/>
        <v>1</v>
      </c>
      <c r="G943" t="str">
        <f t="shared" si="29"/>
        <v>Tradiciones Andinas</v>
      </c>
    </row>
    <row r="944" spans="1:7" x14ac:dyDescent="0.25">
      <c r="A944" t="s">
        <v>664</v>
      </c>
      <c r="B944" t="s">
        <v>158</v>
      </c>
      <c r="C944" t="s">
        <v>770</v>
      </c>
      <c r="D944" s="15">
        <v>37.450000000000003</v>
      </c>
      <c r="E944" s="15">
        <v>37.450000000000003</v>
      </c>
      <c r="F944" t="b">
        <f t="shared" si="28"/>
        <v>1</v>
      </c>
      <c r="G944" t="str">
        <f t="shared" si="29"/>
        <v>Tradiciones Andinas</v>
      </c>
    </row>
    <row r="945" spans="1:7" x14ac:dyDescent="0.25">
      <c r="A945" t="s">
        <v>664</v>
      </c>
      <c r="B945" t="s">
        <v>158</v>
      </c>
      <c r="C945" t="s">
        <v>692</v>
      </c>
      <c r="D945" s="15">
        <v>39.68</v>
      </c>
      <c r="E945" s="15">
        <v>39.68</v>
      </c>
      <c r="F945" t="b">
        <f t="shared" si="28"/>
        <v>1</v>
      </c>
      <c r="G945" t="str">
        <f t="shared" si="29"/>
        <v>Tradiciones Andinas</v>
      </c>
    </row>
    <row r="946" spans="1:7" x14ac:dyDescent="0.25">
      <c r="A946" t="s">
        <v>664</v>
      </c>
      <c r="B946" t="s">
        <v>158</v>
      </c>
      <c r="C946" t="s">
        <v>832</v>
      </c>
      <c r="D946" s="15">
        <v>39.68</v>
      </c>
      <c r="E946" s="15">
        <v>39.68</v>
      </c>
      <c r="F946" t="b">
        <f t="shared" si="28"/>
        <v>1</v>
      </c>
      <c r="G946" t="str">
        <f t="shared" si="29"/>
        <v>Tradiciones Andinas</v>
      </c>
    </row>
    <row r="947" spans="1:7" x14ac:dyDescent="0.25">
      <c r="A947" t="s">
        <v>664</v>
      </c>
      <c r="B947" t="s">
        <v>158</v>
      </c>
      <c r="C947" t="s">
        <v>819</v>
      </c>
      <c r="D947" s="15">
        <v>29.4</v>
      </c>
      <c r="E947" s="15">
        <v>29.4</v>
      </c>
      <c r="F947" t="b">
        <f t="shared" si="28"/>
        <v>1</v>
      </c>
      <c r="G947" t="str">
        <f t="shared" si="29"/>
        <v>Tradiciones Andinas</v>
      </c>
    </row>
    <row r="948" spans="1:7" x14ac:dyDescent="0.25">
      <c r="A948" t="s">
        <v>664</v>
      </c>
      <c r="B948" t="s">
        <v>158</v>
      </c>
      <c r="C948" t="s">
        <v>762</v>
      </c>
      <c r="D948" s="15">
        <v>38.520000000000003</v>
      </c>
      <c r="E948" s="15">
        <v>38.520000000000003</v>
      </c>
      <c r="F948" t="b">
        <f t="shared" si="28"/>
        <v>1</v>
      </c>
      <c r="G948" t="str">
        <f t="shared" si="29"/>
        <v>Tradiciones Andinas</v>
      </c>
    </row>
    <row r="949" spans="1:7" x14ac:dyDescent="0.25">
      <c r="A949" t="s">
        <v>664</v>
      </c>
      <c r="B949" t="s">
        <v>158</v>
      </c>
      <c r="C949" t="s">
        <v>989</v>
      </c>
      <c r="D949" s="15">
        <v>32</v>
      </c>
      <c r="E949" s="15">
        <v>32</v>
      </c>
      <c r="F949" t="b">
        <f t="shared" si="28"/>
        <v>1</v>
      </c>
      <c r="G949" t="str">
        <f t="shared" si="29"/>
        <v>Tradiciones Andinas</v>
      </c>
    </row>
    <row r="950" spans="1:7" x14ac:dyDescent="0.25">
      <c r="A950" t="s">
        <v>664</v>
      </c>
      <c r="B950" t="s">
        <v>158</v>
      </c>
      <c r="C950" t="s">
        <v>764</v>
      </c>
      <c r="D950" s="15">
        <v>34.659999999999997</v>
      </c>
      <c r="E950" s="15">
        <v>34.659999999999997</v>
      </c>
      <c r="F950" t="b">
        <f t="shared" si="28"/>
        <v>1</v>
      </c>
      <c r="G950" t="str">
        <f t="shared" si="29"/>
        <v>Tradiciones Andinas</v>
      </c>
    </row>
    <row r="951" spans="1:7" x14ac:dyDescent="0.25">
      <c r="A951" t="s">
        <v>664</v>
      </c>
      <c r="B951" t="s">
        <v>158</v>
      </c>
      <c r="C951" t="s">
        <v>685</v>
      </c>
      <c r="D951" s="15">
        <v>25.54</v>
      </c>
      <c r="E951" s="15">
        <v>25.54</v>
      </c>
      <c r="F951" t="b">
        <f t="shared" si="28"/>
        <v>1</v>
      </c>
      <c r="G951" t="str">
        <f t="shared" si="29"/>
        <v>Tradiciones Andinas</v>
      </c>
    </row>
    <row r="952" spans="1:7" x14ac:dyDescent="0.25">
      <c r="A952" t="s">
        <v>664</v>
      </c>
      <c r="B952" t="s">
        <v>158</v>
      </c>
      <c r="C952" t="s">
        <v>667</v>
      </c>
      <c r="D952" s="15">
        <v>30.82</v>
      </c>
      <c r="E952" s="15">
        <v>30.82</v>
      </c>
      <c r="F952" t="b">
        <f t="shared" si="28"/>
        <v>1</v>
      </c>
      <c r="G952" t="str">
        <f t="shared" si="29"/>
        <v>Tradiciones Andinas</v>
      </c>
    </row>
    <row r="953" spans="1:7" x14ac:dyDescent="0.25">
      <c r="A953" t="s">
        <v>664</v>
      </c>
      <c r="B953" t="s">
        <v>158</v>
      </c>
      <c r="C953" t="s">
        <v>825</v>
      </c>
      <c r="D953" s="15">
        <v>30</v>
      </c>
      <c r="E953" s="15">
        <v>30</v>
      </c>
      <c r="F953" t="b">
        <f t="shared" si="28"/>
        <v>1</v>
      </c>
      <c r="G953" t="str">
        <f t="shared" si="29"/>
        <v>Tradiciones Andinas</v>
      </c>
    </row>
    <row r="954" spans="1:7" x14ac:dyDescent="0.25">
      <c r="A954" t="s">
        <v>664</v>
      </c>
      <c r="B954" t="s">
        <v>158</v>
      </c>
      <c r="C954" t="s">
        <v>870</v>
      </c>
      <c r="D954" s="15">
        <v>27.29</v>
      </c>
      <c r="E954" s="15">
        <v>27.29</v>
      </c>
      <c r="F954" t="b">
        <f t="shared" si="28"/>
        <v>1</v>
      </c>
      <c r="G954" t="str">
        <f t="shared" si="29"/>
        <v>Tradiciones Andinas</v>
      </c>
    </row>
    <row r="955" spans="1:7" x14ac:dyDescent="0.25">
      <c r="A955" t="s">
        <v>664</v>
      </c>
      <c r="B955" t="s">
        <v>158</v>
      </c>
      <c r="C955" t="s">
        <v>702</v>
      </c>
      <c r="D955" s="15">
        <v>45.96</v>
      </c>
      <c r="E955" s="15">
        <v>45.96</v>
      </c>
      <c r="F955" t="b">
        <f t="shared" si="28"/>
        <v>1</v>
      </c>
      <c r="G955" t="str">
        <f t="shared" si="29"/>
        <v>Tradiciones Andinas</v>
      </c>
    </row>
    <row r="956" spans="1:7" x14ac:dyDescent="0.25">
      <c r="A956" t="s">
        <v>664</v>
      </c>
      <c r="B956" t="s">
        <v>158</v>
      </c>
      <c r="C956" t="s">
        <v>754</v>
      </c>
      <c r="D956" s="15">
        <v>38.39</v>
      </c>
      <c r="E956" s="15">
        <v>38.39</v>
      </c>
      <c r="F956" t="b">
        <f t="shared" si="28"/>
        <v>1</v>
      </c>
      <c r="G956" t="str">
        <f t="shared" si="29"/>
        <v>Tradiciones Andinas</v>
      </c>
    </row>
    <row r="957" spans="1:7" x14ac:dyDescent="0.25">
      <c r="A957" t="s">
        <v>664</v>
      </c>
      <c r="B957" t="s">
        <v>158</v>
      </c>
      <c r="C957" t="s">
        <v>845</v>
      </c>
      <c r="D957" s="15">
        <v>19.899999999999999</v>
      </c>
      <c r="E957" s="15">
        <v>19.899999999999999</v>
      </c>
      <c r="F957" t="b">
        <f t="shared" si="28"/>
        <v>1</v>
      </c>
      <c r="G957" t="str">
        <f t="shared" si="29"/>
        <v>Tradiciones Andinas</v>
      </c>
    </row>
    <row r="958" spans="1:7" x14ac:dyDescent="0.25">
      <c r="A958" t="s">
        <v>664</v>
      </c>
      <c r="B958" t="s">
        <v>158</v>
      </c>
      <c r="C958" t="s">
        <v>847</v>
      </c>
      <c r="D958" s="15">
        <v>14</v>
      </c>
      <c r="E958" s="15">
        <v>14</v>
      </c>
      <c r="F958" t="b">
        <f t="shared" si="28"/>
        <v>1</v>
      </c>
      <c r="G958" t="str">
        <f t="shared" si="29"/>
        <v>Tradiciones Andinas</v>
      </c>
    </row>
    <row r="959" spans="1:7" x14ac:dyDescent="0.25">
      <c r="A959" t="s">
        <v>664</v>
      </c>
      <c r="B959" t="s">
        <v>158</v>
      </c>
      <c r="C959" t="s">
        <v>813</v>
      </c>
      <c r="D959" s="15">
        <v>54.57</v>
      </c>
      <c r="E959" s="15">
        <v>54.57</v>
      </c>
      <c r="F959" t="b">
        <f t="shared" si="28"/>
        <v>1</v>
      </c>
      <c r="G959" t="str">
        <f t="shared" si="29"/>
        <v>Tradiciones Andinas</v>
      </c>
    </row>
    <row r="960" spans="1:7" x14ac:dyDescent="0.25">
      <c r="A960" t="s">
        <v>664</v>
      </c>
      <c r="B960" t="s">
        <v>158</v>
      </c>
      <c r="C960" t="s">
        <v>809</v>
      </c>
      <c r="D960" s="15">
        <v>32.74</v>
      </c>
      <c r="E960" s="15">
        <v>32.74</v>
      </c>
      <c r="F960" t="b">
        <f t="shared" si="28"/>
        <v>1</v>
      </c>
      <c r="G960" t="str">
        <f t="shared" si="29"/>
        <v>Tradiciones Andinas</v>
      </c>
    </row>
    <row r="961" spans="1:7" x14ac:dyDescent="0.25">
      <c r="A961" t="s">
        <v>664</v>
      </c>
      <c r="B961" t="s">
        <v>158</v>
      </c>
      <c r="C961" t="s">
        <v>756</v>
      </c>
      <c r="D961" s="15">
        <v>13.2</v>
      </c>
      <c r="E961" s="15">
        <v>13.2</v>
      </c>
      <c r="F961" t="b">
        <f t="shared" si="28"/>
        <v>1</v>
      </c>
      <c r="G961" t="str">
        <f t="shared" si="29"/>
        <v>Tradiciones Andinas</v>
      </c>
    </row>
    <row r="962" spans="1:7" x14ac:dyDescent="0.25">
      <c r="A962" t="s">
        <v>664</v>
      </c>
      <c r="B962" t="s">
        <v>158</v>
      </c>
      <c r="C962" t="s">
        <v>778</v>
      </c>
      <c r="D962" s="15">
        <v>30.82</v>
      </c>
      <c r="E962" s="15">
        <v>30.82</v>
      </c>
      <c r="F962" t="b">
        <f t="shared" si="28"/>
        <v>1</v>
      </c>
      <c r="G962" t="str">
        <f t="shared" si="29"/>
        <v>Tradiciones Andinas</v>
      </c>
    </row>
    <row r="963" spans="1:7" x14ac:dyDescent="0.25">
      <c r="A963" t="s">
        <v>664</v>
      </c>
      <c r="B963" t="s">
        <v>158</v>
      </c>
      <c r="C963" t="s">
        <v>872</v>
      </c>
      <c r="D963" s="15">
        <v>27.29</v>
      </c>
      <c r="E963" s="15">
        <v>27.29</v>
      </c>
      <c r="F963" t="b">
        <f t="shared" si="28"/>
        <v>1</v>
      </c>
      <c r="G963" t="str">
        <f t="shared" si="29"/>
        <v>Tradiciones Andinas</v>
      </c>
    </row>
    <row r="964" spans="1:7" x14ac:dyDescent="0.25">
      <c r="A964" t="s">
        <v>664</v>
      </c>
      <c r="B964" t="s">
        <v>158</v>
      </c>
      <c r="C964" t="s">
        <v>817</v>
      </c>
      <c r="D964" s="15">
        <v>46.22</v>
      </c>
      <c r="E964" s="15">
        <v>46.22</v>
      </c>
      <c r="F964" t="b">
        <f t="shared" si="28"/>
        <v>1</v>
      </c>
      <c r="G964" t="str">
        <f t="shared" si="29"/>
        <v>Tradiciones Andinas</v>
      </c>
    </row>
    <row r="965" spans="1:7" x14ac:dyDescent="0.25">
      <c r="A965" t="s">
        <v>664</v>
      </c>
      <c r="B965" t="s">
        <v>158</v>
      </c>
      <c r="C965" t="s">
        <v>997</v>
      </c>
      <c r="D965" s="15">
        <v>35</v>
      </c>
      <c r="E965" s="15">
        <v>35</v>
      </c>
      <c r="F965" t="b">
        <f t="shared" si="28"/>
        <v>1</v>
      </c>
      <c r="G965" t="str">
        <f t="shared" si="29"/>
        <v>Tradiciones Andinas</v>
      </c>
    </row>
    <row r="966" spans="1:7" x14ac:dyDescent="0.25">
      <c r="A966" t="s">
        <v>664</v>
      </c>
      <c r="B966" t="s">
        <v>158</v>
      </c>
      <c r="C966" t="s">
        <v>720</v>
      </c>
      <c r="D966" s="15">
        <v>23.96</v>
      </c>
      <c r="E966" s="15">
        <v>23.96</v>
      </c>
      <c r="F966" t="b">
        <f t="shared" ref="F966:F1029" si="30">D966=E966</f>
        <v>1</v>
      </c>
      <c r="G966" t="str">
        <f t="shared" ref="G966:G1029" si="31">+A966</f>
        <v>Tradiciones Andinas</v>
      </c>
    </row>
    <row r="967" spans="1:7" x14ac:dyDescent="0.25">
      <c r="A967" t="s">
        <v>664</v>
      </c>
      <c r="B967" t="s">
        <v>158</v>
      </c>
      <c r="C967" t="s">
        <v>698</v>
      </c>
      <c r="D967" s="15">
        <v>23.96</v>
      </c>
      <c r="E967" s="15">
        <v>23.96</v>
      </c>
      <c r="F967" t="b">
        <f t="shared" si="30"/>
        <v>1</v>
      </c>
      <c r="G967" t="str">
        <f t="shared" si="31"/>
        <v>Tradiciones Andinas</v>
      </c>
    </row>
    <row r="968" spans="1:7" x14ac:dyDescent="0.25">
      <c r="A968" t="s">
        <v>664</v>
      </c>
      <c r="B968" t="s">
        <v>158</v>
      </c>
      <c r="C968" t="s">
        <v>995</v>
      </c>
      <c r="D968" s="15">
        <v>36</v>
      </c>
      <c r="E968" s="15">
        <v>36</v>
      </c>
      <c r="F968" t="b">
        <f t="shared" si="30"/>
        <v>1</v>
      </c>
      <c r="G968" t="str">
        <f t="shared" si="31"/>
        <v>Tradiciones Andinas</v>
      </c>
    </row>
    <row r="969" spans="1:7" x14ac:dyDescent="0.25">
      <c r="A969" t="s">
        <v>664</v>
      </c>
      <c r="B969" t="s">
        <v>158</v>
      </c>
      <c r="C969" t="s">
        <v>953</v>
      </c>
      <c r="D969" s="15">
        <v>13.2</v>
      </c>
      <c r="E969" s="15">
        <v>13.2</v>
      </c>
      <c r="F969" t="b">
        <f t="shared" si="30"/>
        <v>1</v>
      </c>
      <c r="G969" t="str">
        <f t="shared" si="31"/>
        <v>Tradiciones Andinas</v>
      </c>
    </row>
    <row r="970" spans="1:7" x14ac:dyDescent="0.25">
      <c r="A970" t="s">
        <v>664</v>
      </c>
      <c r="B970" t="s">
        <v>158</v>
      </c>
      <c r="C970" t="s">
        <v>774</v>
      </c>
      <c r="D970" s="15">
        <v>26.84</v>
      </c>
      <c r="E970" s="15">
        <v>26.84</v>
      </c>
      <c r="F970" t="b">
        <f t="shared" si="30"/>
        <v>1</v>
      </c>
      <c r="G970" t="str">
        <f t="shared" si="31"/>
        <v>Tradiciones Andinas</v>
      </c>
    </row>
    <row r="971" spans="1:7" x14ac:dyDescent="0.25">
      <c r="A971" t="s">
        <v>664</v>
      </c>
      <c r="B971" t="s">
        <v>158</v>
      </c>
      <c r="C971" t="s">
        <v>760</v>
      </c>
      <c r="D971" s="15">
        <v>53.5</v>
      </c>
      <c r="E971" s="15">
        <v>53.5</v>
      </c>
      <c r="F971" t="b">
        <f t="shared" si="30"/>
        <v>1</v>
      </c>
      <c r="G971" t="str">
        <f t="shared" si="31"/>
        <v>Tradiciones Andinas</v>
      </c>
    </row>
    <row r="972" spans="1:7" x14ac:dyDescent="0.25">
      <c r="A972" t="s">
        <v>664</v>
      </c>
      <c r="B972" t="s">
        <v>158</v>
      </c>
      <c r="C972" t="s">
        <v>828</v>
      </c>
      <c r="D972" s="15">
        <v>28.89</v>
      </c>
      <c r="E972" s="15">
        <v>28.89</v>
      </c>
      <c r="F972" t="b">
        <f t="shared" si="30"/>
        <v>1</v>
      </c>
      <c r="G972" t="str">
        <f t="shared" si="31"/>
        <v>Tradiciones Andinas</v>
      </c>
    </row>
    <row r="973" spans="1:7" x14ac:dyDescent="0.25">
      <c r="A973" t="s">
        <v>664</v>
      </c>
      <c r="B973" t="s">
        <v>158</v>
      </c>
      <c r="C973" t="s">
        <v>835</v>
      </c>
      <c r="D973" s="15">
        <v>30.82</v>
      </c>
      <c r="E973" s="15">
        <v>30.82</v>
      </c>
      <c r="F973" t="b">
        <f t="shared" si="30"/>
        <v>1</v>
      </c>
      <c r="G973" t="str">
        <f t="shared" si="31"/>
        <v>Tradiciones Andinas</v>
      </c>
    </row>
    <row r="974" spans="1:7" x14ac:dyDescent="0.25">
      <c r="A974" t="s">
        <v>664</v>
      </c>
      <c r="B974" t="s">
        <v>158</v>
      </c>
      <c r="C974" t="s">
        <v>868</v>
      </c>
      <c r="D974" s="15">
        <v>27.29</v>
      </c>
      <c r="E974" s="15">
        <v>27.29</v>
      </c>
      <c r="F974" t="b">
        <f t="shared" si="30"/>
        <v>1</v>
      </c>
      <c r="G974" t="str">
        <f t="shared" si="31"/>
        <v>Tradiciones Andinas</v>
      </c>
    </row>
    <row r="975" spans="1:7" x14ac:dyDescent="0.25">
      <c r="A975" t="s">
        <v>664</v>
      </c>
      <c r="B975" t="s">
        <v>158</v>
      </c>
      <c r="C975" t="s">
        <v>1000</v>
      </c>
      <c r="D975" s="15">
        <v>78.959999999999994</v>
      </c>
      <c r="E975" s="15">
        <v>78.959999999999994</v>
      </c>
      <c r="F975" t="b">
        <f t="shared" si="30"/>
        <v>1</v>
      </c>
      <c r="G975" t="str">
        <f t="shared" si="31"/>
        <v>Tradiciones Andinas</v>
      </c>
    </row>
    <row r="976" spans="1:7" x14ac:dyDescent="0.25">
      <c r="A976" t="s">
        <v>664</v>
      </c>
      <c r="B976" t="s">
        <v>158</v>
      </c>
      <c r="C976" t="s">
        <v>962</v>
      </c>
      <c r="D976" s="15">
        <v>27.29</v>
      </c>
      <c r="E976" s="15">
        <v>27.29</v>
      </c>
      <c r="F976" t="b">
        <f t="shared" si="30"/>
        <v>1</v>
      </c>
      <c r="G976" t="str">
        <f t="shared" si="31"/>
        <v>Tradiciones Andinas</v>
      </c>
    </row>
    <row r="977" spans="1:7" x14ac:dyDescent="0.25">
      <c r="A977" t="s">
        <v>664</v>
      </c>
      <c r="B977" t="s">
        <v>158</v>
      </c>
      <c r="C977" t="s">
        <v>1002</v>
      </c>
      <c r="D977" s="15">
        <v>12.6</v>
      </c>
      <c r="E977" s="15">
        <v>12.6</v>
      </c>
      <c r="F977" t="b">
        <f t="shared" si="30"/>
        <v>1</v>
      </c>
      <c r="G977" t="str">
        <f t="shared" si="31"/>
        <v>Tradiciones Andinas</v>
      </c>
    </row>
    <row r="978" spans="1:7" x14ac:dyDescent="0.25">
      <c r="A978" t="s">
        <v>664</v>
      </c>
      <c r="B978" t="s">
        <v>158</v>
      </c>
      <c r="C978" t="s">
        <v>797</v>
      </c>
      <c r="D978" s="15">
        <v>21.4</v>
      </c>
      <c r="E978" s="15">
        <v>21.4</v>
      </c>
      <c r="F978" t="b">
        <f t="shared" si="30"/>
        <v>1</v>
      </c>
      <c r="G978" t="str">
        <f t="shared" si="31"/>
        <v>Tradiciones Andinas</v>
      </c>
    </row>
    <row r="979" spans="1:7" x14ac:dyDescent="0.25">
      <c r="A979" t="s">
        <v>664</v>
      </c>
      <c r="B979" t="s">
        <v>158</v>
      </c>
      <c r="C979" t="s">
        <v>895</v>
      </c>
      <c r="D979" s="15">
        <v>12.84</v>
      </c>
      <c r="E979" s="15">
        <v>12.84</v>
      </c>
      <c r="F979" t="b">
        <f t="shared" si="30"/>
        <v>1</v>
      </c>
      <c r="G979" t="str">
        <f t="shared" si="31"/>
        <v>Tradiciones Andinas</v>
      </c>
    </row>
    <row r="980" spans="1:7" x14ac:dyDescent="0.25">
      <c r="A980" t="s">
        <v>664</v>
      </c>
      <c r="B980" t="s">
        <v>158</v>
      </c>
      <c r="C980" t="s">
        <v>786</v>
      </c>
      <c r="D980" s="15">
        <v>22.86</v>
      </c>
      <c r="E980" s="15">
        <v>22.86</v>
      </c>
      <c r="F980" t="b">
        <f t="shared" si="30"/>
        <v>1</v>
      </c>
      <c r="G980" t="str">
        <f t="shared" si="31"/>
        <v>Tradiciones Andinas</v>
      </c>
    </row>
    <row r="981" spans="1:7" x14ac:dyDescent="0.25">
      <c r="A981" t="s">
        <v>664</v>
      </c>
      <c r="B981" t="s">
        <v>158</v>
      </c>
      <c r="C981" t="s">
        <v>1010</v>
      </c>
      <c r="D981" s="15">
        <v>14</v>
      </c>
      <c r="E981" s="15">
        <v>14</v>
      </c>
      <c r="F981" t="b">
        <f t="shared" si="30"/>
        <v>1</v>
      </c>
      <c r="G981" t="str">
        <f t="shared" si="31"/>
        <v>Tradiciones Andinas</v>
      </c>
    </row>
    <row r="982" spans="1:7" x14ac:dyDescent="0.25">
      <c r="A982" t="s">
        <v>664</v>
      </c>
      <c r="B982" t="s">
        <v>158</v>
      </c>
      <c r="C982" t="s">
        <v>885</v>
      </c>
      <c r="D982" s="15">
        <v>9</v>
      </c>
      <c r="E982" s="15">
        <v>9</v>
      </c>
      <c r="F982" t="b">
        <f t="shared" si="30"/>
        <v>1</v>
      </c>
      <c r="G982" t="str">
        <f t="shared" si="31"/>
        <v>Tradiciones Andinas</v>
      </c>
    </row>
    <row r="983" spans="1:7" x14ac:dyDescent="0.25">
      <c r="A983" t="s">
        <v>664</v>
      </c>
      <c r="B983" t="s">
        <v>158</v>
      </c>
      <c r="C983" t="s">
        <v>893</v>
      </c>
      <c r="D983" s="15">
        <v>12.84</v>
      </c>
      <c r="E983" s="15">
        <v>12.84</v>
      </c>
      <c r="F983" t="b">
        <f t="shared" si="30"/>
        <v>1</v>
      </c>
      <c r="G983" t="str">
        <f t="shared" si="31"/>
        <v>Tradiciones Andinas</v>
      </c>
    </row>
    <row r="984" spans="1:7" x14ac:dyDescent="0.25">
      <c r="A984" t="s">
        <v>664</v>
      </c>
      <c r="B984" t="s">
        <v>158</v>
      </c>
      <c r="C984" t="s">
        <v>1020</v>
      </c>
      <c r="D984" s="15">
        <v>20.399999999999999</v>
      </c>
      <c r="E984" s="15">
        <v>20.399999999999999</v>
      </c>
      <c r="F984" t="b">
        <f t="shared" si="30"/>
        <v>1</v>
      </c>
      <c r="G984" t="str">
        <f t="shared" si="31"/>
        <v>Tradiciones Andinas</v>
      </c>
    </row>
    <row r="985" spans="1:7" x14ac:dyDescent="0.25">
      <c r="A985" t="s">
        <v>664</v>
      </c>
      <c r="B985" t="s">
        <v>158</v>
      </c>
      <c r="C985" t="s">
        <v>1022</v>
      </c>
      <c r="D985" s="15">
        <v>25.9</v>
      </c>
      <c r="E985" s="15">
        <v>25.9</v>
      </c>
      <c r="F985" t="b">
        <f t="shared" si="30"/>
        <v>1</v>
      </c>
      <c r="G985" t="str">
        <f t="shared" si="31"/>
        <v>Tradiciones Andinas</v>
      </c>
    </row>
    <row r="986" spans="1:7" x14ac:dyDescent="0.25">
      <c r="A986" t="s">
        <v>664</v>
      </c>
      <c r="B986" t="s">
        <v>158</v>
      </c>
      <c r="C986" t="s">
        <v>1018</v>
      </c>
      <c r="D986" s="15">
        <v>19.2</v>
      </c>
      <c r="E986" s="15">
        <v>19.2</v>
      </c>
      <c r="F986" t="b">
        <f t="shared" si="30"/>
        <v>1</v>
      </c>
      <c r="G986" t="str">
        <f t="shared" si="31"/>
        <v>Tradiciones Andinas</v>
      </c>
    </row>
    <row r="987" spans="1:7" x14ac:dyDescent="0.25">
      <c r="A987" t="s">
        <v>664</v>
      </c>
      <c r="B987" t="s">
        <v>158</v>
      </c>
      <c r="C987" t="s">
        <v>803</v>
      </c>
      <c r="D987" s="15">
        <v>21.4</v>
      </c>
      <c r="E987" s="15">
        <v>21.4</v>
      </c>
      <c r="F987" t="b">
        <f t="shared" si="30"/>
        <v>1</v>
      </c>
      <c r="G987" t="str">
        <f t="shared" si="31"/>
        <v>Tradiciones Andinas</v>
      </c>
    </row>
    <row r="988" spans="1:7" x14ac:dyDescent="0.25">
      <c r="A988" t="s">
        <v>664</v>
      </c>
      <c r="B988" t="s">
        <v>158</v>
      </c>
      <c r="C988" t="s">
        <v>561</v>
      </c>
      <c r="D988" s="15">
        <v>36</v>
      </c>
      <c r="E988" s="15">
        <v>36</v>
      </c>
      <c r="F988" t="b">
        <f t="shared" si="30"/>
        <v>1</v>
      </c>
      <c r="G988" t="str">
        <f t="shared" si="31"/>
        <v>Tradiciones Andinas</v>
      </c>
    </row>
    <row r="989" spans="1:7" x14ac:dyDescent="0.25">
      <c r="A989" t="s">
        <v>664</v>
      </c>
      <c r="B989" t="s">
        <v>1029</v>
      </c>
      <c r="C989" t="s">
        <v>999</v>
      </c>
      <c r="D989" s="15">
        <v>9.99</v>
      </c>
      <c r="E989" s="15">
        <v>9.99</v>
      </c>
      <c r="F989" t="b">
        <f t="shared" si="30"/>
        <v>1</v>
      </c>
      <c r="G989" t="str">
        <f t="shared" si="31"/>
        <v>Tradiciones Andinas</v>
      </c>
    </row>
    <row r="990" spans="1:7" x14ac:dyDescent="0.25">
      <c r="A990" t="s">
        <v>664</v>
      </c>
      <c r="B990" t="s">
        <v>1029</v>
      </c>
      <c r="C990" t="s">
        <v>861</v>
      </c>
      <c r="D990" s="15">
        <v>45</v>
      </c>
      <c r="E990" s="15">
        <v>45</v>
      </c>
      <c r="F990" t="b">
        <f t="shared" si="30"/>
        <v>1</v>
      </c>
      <c r="G990" t="str">
        <f t="shared" si="31"/>
        <v>Tradiciones Andinas</v>
      </c>
    </row>
    <row r="991" spans="1:7" x14ac:dyDescent="0.25">
      <c r="A991" t="s">
        <v>664</v>
      </c>
      <c r="B991" t="s">
        <v>1029</v>
      </c>
      <c r="C991" t="s">
        <v>865</v>
      </c>
      <c r="D991" s="15">
        <v>52.52</v>
      </c>
      <c r="E991" s="15">
        <v>52.52</v>
      </c>
      <c r="F991" t="b">
        <f t="shared" si="30"/>
        <v>1</v>
      </c>
      <c r="G991" t="str">
        <f t="shared" si="31"/>
        <v>Tradiciones Andinas</v>
      </c>
    </row>
    <row r="992" spans="1:7" x14ac:dyDescent="0.25">
      <c r="A992" t="s">
        <v>664</v>
      </c>
      <c r="B992" t="s">
        <v>1029</v>
      </c>
      <c r="C992" t="s">
        <v>863</v>
      </c>
      <c r="D992" s="15">
        <v>52.52</v>
      </c>
      <c r="E992" s="15">
        <v>52.52</v>
      </c>
      <c r="F992" t="b">
        <f t="shared" si="30"/>
        <v>1</v>
      </c>
      <c r="G992" t="str">
        <f t="shared" si="31"/>
        <v>Tradiciones Andinas</v>
      </c>
    </row>
    <row r="993" spans="1:7" x14ac:dyDescent="0.25">
      <c r="A993" t="s">
        <v>664</v>
      </c>
      <c r="B993" t="s">
        <v>1029</v>
      </c>
      <c r="C993" t="s">
        <v>859</v>
      </c>
      <c r="D993" s="15">
        <v>45</v>
      </c>
      <c r="E993" s="15">
        <v>45</v>
      </c>
      <c r="F993" t="b">
        <f t="shared" si="30"/>
        <v>1</v>
      </c>
      <c r="G993" t="str">
        <f t="shared" si="31"/>
        <v>Tradiciones Andinas</v>
      </c>
    </row>
    <row r="994" spans="1:7" x14ac:dyDescent="0.25">
      <c r="A994" t="s">
        <v>664</v>
      </c>
      <c r="B994" t="s">
        <v>1029</v>
      </c>
      <c r="C994" t="s">
        <v>832</v>
      </c>
      <c r="D994" s="15">
        <v>39.68</v>
      </c>
      <c r="E994" s="15">
        <v>39.68</v>
      </c>
      <c r="F994" t="b">
        <f t="shared" si="30"/>
        <v>1</v>
      </c>
      <c r="G994" t="str">
        <f t="shared" si="31"/>
        <v>Tradiciones Andinas</v>
      </c>
    </row>
    <row r="995" spans="1:7" x14ac:dyDescent="0.25">
      <c r="A995" t="s">
        <v>664</v>
      </c>
      <c r="B995" t="s">
        <v>1029</v>
      </c>
      <c r="C995" t="s">
        <v>702</v>
      </c>
      <c r="D995" s="15">
        <v>45.96</v>
      </c>
      <c r="E995" s="15">
        <v>45.96</v>
      </c>
      <c r="F995" t="b">
        <f t="shared" si="30"/>
        <v>1</v>
      </c>
      <c r="G995" t="str">
        <f t="shared" si="31"/>
        <v>Tradiciones Andinas</v>
      </c>
    </row>
    <row r="996" spans="1:7" x14ac:dyDescent="0.25">
      <c r="A996" t="s">
        <v>664</v>
      </c>
      <c r="B996" t="s">
        <v>1029</v>
      </c>
      <c r="C996" t="s">
        <v>756</v>
      </c>
      <c r="D996" s="15">
        <v>13.2</v>
      </c>
      <c r="E996" s="15">
        <v>13.2</v>
      </c>
      <c r="F996" t="b">
        <f t="shared" si="30"/>
        <v>1</v>
      </c>
      <c r="G996" t="str">
        <f t="shared" si="31"/>
        <v>Tradiciones Andinas</v>
      </c>
    </row>
    <row r="997" spans="1:7" x14ac:dyDescent="0.25">
      <c r="A997" t="s">
        <v>664</v>
      </c>
      <c r="B997" t="s">
        <v>1029</v>
      </c>
      <c r="C997" t="s">
        <v>895</v>
      </c>
      <c r="D997" s="15">
        <v>12.84</v>
      </c>
      <c r="E997" s="15">
        <v>12.84</v>
      </c>
      <c r="F997" t="b">
        <f t="shared" si="30"/>
        <v>1</v>
      </c>
      <c r="G997" t="str">
        <f t="shared" si="31"/>
        <v>Tradiciones Andinas</v>
      </c>
    </row>
    <row r="998" spans="1:7" x14ac:dyDescent="0.25">
      <c r="A998" t="s">
        <v>664</v>
      </c>
      <c r="B998" t="s">
        <v>1029</v>
      </c>
      <c r="C998" t="s">
        <v>893</v>
      </c>
      <c r="D998" s="15">
        <v>12.84</v>
      </c>
      <c r="E998" s="15">
        <v>12.84</v>
      </c>
      <c r="F998" t="b">
        <f t="shared" si="30"/>
        <v>1</v>
      </c>
      <c r="G998" t="str">
        <f t="shared" si="31"/>
        <v>Tradiciones Andinas</v>
      </c>
    </row>
    <row r="999" spans="1:7" x14ac:dyDescent="0.25">
      <c r="A999" t="s">
        <v>664</v>
      </c>
      <c r="B999" t="s">
        <v>1029</v>
      </c>
      <c r="C999" t="s">
        <v>1018</v>
      </c>
      <c r="D999" s="15">
        <v>19.2</v>
      </c>
      <c r="E999" s="15">
        <v>19.2</v>
      </c>
      <c r="F999" t="b">
        <f t="shared" si="30"/>
        <v>1</v>
      </c>
      <c r="G999" t="str">
        <f t="shared" si="31"/>
        <v>Tradiciones Andinas</v>
      </c>
    </row>
    <row r="1000" spans="1:7" x14ac:dyDescent="0.25">
      <c r="A1000" t="s">
        <v>664</v>
      </c>
      <c r="B1000" t="s">
        <v>1029</v>
      </c>
      <c r="C1000" t="s">
        <v>561</v>
      </c>
      <c r="D1000" s="15">
        <v>35.94</v>
      </c>
      <c r="E1000" s="15">
        <v>35.94</v>
      </c>
      <c r="F1000" t="b">
        <f t="shared" si="30"/>
        <v>1</v>
      </c>
      <c r="G1000" t="str">
        <f t="shared" si="31"/>
        <v>Tradiciones Andinas</v>
      </c>
    </row>
    <row r="1001" spans="1:7" x14ac:dyDescent="0.25">
      <c r="A1001" t="s">
        <v>664</v>
      </c>
      <c r="B1001" t="s">
        <v>1033</v>
      </c>
      <c r="C1001" t="s">
        <v>42</v>
      </c>
      <c r="D1001" s="15">
        <v>85</v>
      </c>
      <c r="E1001" s="15">
        <v>85</v>
      </c>
      <c r="F1001" t="b">
        <f t="shared" si="30"/>
        <v>1</v>
      </c>
      <c r="G1001" t="str">
        <f t="shared" si="31"/>
        <v>Tradiciones Andinas</v>
      </c>
    </row>
    <row r="1002" spans="1:7" x14ac:dyDescent="0.25">
      <c r="A1002" t="s">
        <v>664</v>
      </c>
      <c r="B1002" t="s">
        <v>1033</v>
      </c>
      <c r="C1002" t="s">
        <v>851</v>
      </c>
      <c r="D1002" s="15">
        <v>75.97</v>
      </c>
      <c r="E1002" s="15">
        <v>75.97</v>
      </c>
      <c r="F1002" t="b">
        <f t="shared" si="30"/>
        <v>1</v>
      </c>
      <c r="G1002" t="str">
        <f t="shared" si="31"/>
        <v>Tradiciones Andinas</v>
      </c>
    </row>
    <row r="1003" spans="1:7" x14ac:dyDescent="0.25">
      <c r="A1003" t="s">
        <v>664</v>
      </c>
      <c r="B1003" t="s">
        <v>1033</v>
      </c>
      <c r="C1003" t="s">
        <v>1062</v>
      </c>
      <c r="D1003" s="15">
        <v>39.46</v>
      </c>
      <c r="E1003" s="15">
        <v>39.46</v>
      </c>
      <c r="F1003" t="b">
        <f t="shared" si="30"/>
        <v>1</v>
      </c>
      <c r="G1003" t="str">
        <f t="shared" si="31"/>
        <v>Tradiciones Andinas</v>
      </c>
    </row>
    <row r="1004" spans="1:7" x14ac:dyDescent="0.25">
      <c r="A1004" t="s">
        <v>664</v>
      </c>
      <c r="B1004" t="s">
        <v>1033</v>
      </c>
      <c r="C1004" t="s">
        <v>874</v>
      </c>
      <c r="D1004" s="15">
        <v>39.46</v>
      </c>
      <c r="E1004" s="15">
        <v>39.46</v>
      </c>
      <c r="F1004" t="b">
        <f t="shared" si="30"/>
        <v>1</v>
      </c>
      <c r="G1004" t="str">
        <f t="shared" si="31"/>
        <v>Tradiciones Andinas</v>
      </c>
    </row>
    <row r="1005" spans="1:7" x14ac:dyDescent="0.25">
      <c r="A1005" t="s">
        <v>664</v>
      </c>
      <c r="B1005" t="s">
        <v>1033</v>
      </c>
      <c r="C1005" t="s">
        <v>739</v>
      </c>
      <c r="D1005" s="15">
        <v>14</v>
      </c>
      <c r="E1005" s="15">
        <v>14</v>
      </c>
      <c r="F1005" t="b">
        <f t="shared" si="30"/>
        <v>1</v>
      </c>
      <c r="G1005" t="str">
        <f t="shared" si="31"/>
        <v>Tradiciones Andinas</v>
      </c>
    </row>
    <row r="1006" spans="1:7" x14ac:dyDescent="0.25">
      <c r="A1006" t="s">
        <v>664</v>
      </c>
      <c r="B1006" t="s">
        <v>1033</v>
      </c>
      <c r="C1006" t="s">
        <v>741</v>
      </c>
      <c r="D1006" s="15">
        <v>14</v>
      </c>
      <c r="E1006" s="15">
        <v>14</v>
      </c>
      <c r="F1006" t="b">
        <f t="shared" si="30"/>
        <v>1</v>
      </c>
      <c r="G1006" t="str">
        <f t="shared" si="31"/>
        <v>Tradiciones Andinas</v>
      </c>
    </row>
    <row r="1007" spans="1:7" x14ac:dyDescent="0.25">
      <c r="A1007" t="s">
        <v>664</v>
      </c>
      <c r="B1007" t="s">
        <v>1033</v>
      </c>
      <c r="C1007" t="s">
        <v>878</v>
      </c>
      <c r="D1007" s="15">
        <v>14</v>
      </c>
      <c r="E1007" s="15">
        <v>14</v>
      </c>
      <c r="F1007" t="b">
        <f t="shared" si="30"/>
        <v>1</v>
      </c>
      <c r="G1007" t="str">
        <f t="shared" si="31"/>
        <v>Tradiciones Andinas</v>
      </c>
    </row>
    <row r="1008" spans="1:7" x14ac:dyDescent="0.25">
      <c r="A1008" t="s">
        <v>664</v>
      </c>
      <c r="B1008" t="s">
        <v>1033</v>
      </c>
      <c r="C1008" t="s">
        <v>374</v>
      </c>
      <c r="D1008" s="15">
        <v>31.8</v>
      </c>
      <c r="E1008" s="15">
        <v>31.8</v>
      </c>
      <c r="F1008" t="b">
        <f t="shared" si="30"/>
        <v>1</v>
      </c>
      <c r="G1008" t="str">
        <f t="shared" si="31"/>
        <v>Tradiciones Andinas</v>
      </c>
    </row>
    <row r="1009" spans="1:7" x14ac:dyDescent="0.25">
      <c r="A1009" t="s">
        <v>664</v>
      </c>
      <c r="B1009" t="s">
        <v>1033</v>
      </c>
      <c r="C1009" t="s">
        <v>999</v>
      </c>
      <c r="D1009" s="15">
        <v>9.99</v>
      </c>
      <c r="E1009" s="15">
        <v>9.99</v>
      </c>
      <c r="F1009" t="b">
        <f t="shared" si="30"/>
        <v>1</v>
      </c>
      <c r="G1009" t="str">
        <f t="shared" si="31"/>
        <v>Tradiciones Andinas</v>
      </c>
    </row>
    <row r="1010" spans="1:7" x14ac:dyDescent="0.25">
      <c r="A1010" t="s">
        <v>664</v>
      </c>
      <c r="B1010" t="s">
        <v>1033</v>
      </c>
      <c r="C1010" t="s">
        <v>924</v>
      </c>
      <c r="D1010" s="15">
        <v>32.15</v>
      </c>
      <c r="E1010" s="15">
        <v>32.15</v>
      </c>
      <c r="F1010" t="b">
        <f t="shared" si="30"/>
        <v>1</v>
      </c>
      <c r="G1010" t="str">
        <f t="shared" si="31"/>
        <v>Tradiciones Andinas</v>
      </c>
    </row>
    <row r="1011" spans="1:7" x14ac:dyDescent="0.25">
      <c r="A1011" t="s">
        <v>664</v>
      </c>
      <c r="B1011" t="s">
        <v>1033</v>
      </c>
      <c r="C1011" t="s">
        <v>1058</v>
      </c>
      <c r="D1011" s="15">
        <v>39</v>
      </c>
      <c r="E1011" s="15">
        <v>39</v>
      </c>
      <c r="F1011" t="b">
        <f t="shared" si="30"/>
        <v>1</v>
      </c>
      <c r="G1011" t="str">
        <f t="shared" si="31"/>
        <v>Tradiciones Andinas</v>
      </c>
    </row>
    <row r="1012" spans="1:7" x14ac:dyDescent="0.25">
      <c r="A1012" t="s">
        <v>664</v>
      </c>
      <c r="B1012" t="s">
        <v>1033</v>
      </c>
      <c r="C1012" t="s">
        <v>866</v>
      </c>
      <c r="D1012" s="15">
        <v>52.52</v>
      </c>
      <c r="E1012" s="15">
        <v>52.52</v>
      </c>
      <c r="F1012" t="b">
        <f t="shared" si="30"/>
        <v>1</v>
      </c>
      <c r="G1012" t="str">
        <f t="shared" si="31"/>
        <v>Tradiciones Andinas</v>
      </c>
    </row>
    <row r="1013" spans="1:7" x14ac:dyDescent="0.25">
      <c r="A1013" t="s">
        <v>664</v>
      </c>
      <c r="B1013" t="s">
        <v>1033</v>
      </c>
      <c r="C1013" t="s">
        <v>865</v>
      </c>
      <c r="D1013" s="15">
        <v>52.52</v>
      </c>
      <c r="E1013" s="15">
        <v>52.52</v>
      </c>
      <c r="F1013" t="b">
        <f t="shared" si="30"/>
        <v>1</v>
      </c>
      <c r="G1013" t="str">
        <f t="shared" si="31"/>
        <v>Tradiciones Andinas</v>
      </c>
    </row>
    <row r="1014" spans="1:7" x14ac:dyDescent="0.25">
      <c r="A1014" t="s">
        <v>664</v>
      </c>
      <c r="B1014" t="s">
        <v>1033</v>
      </c>
      <c r="C1014" t="s">
        <v>863</v>
      </c>
      <c r="D1014" s="15">
        <v>52.52</v>
      </c>
      <c r="E1014" s="15">
        <v>52.52</v>
      </c>
      <c r="F1014" t="b">
        <f t="shared" si="30"/>
        <v>1</v>
      </c>
      <c r="G1014" t="str">
        <f t="shared" si="31"/>
        <v>Tradiciones Andinas</v>
      </c>
    </row>
    <row r="1015" spans="1:7" x14ac:dyDescent="0.25">
      <c r="A1015" t="s">
        <v>664</v>
      </c>
      <c r="B1015" t="s">
        <v>1033</v>
      </c>
      <c r="C1015" t="s">
        <v>736</v>
      </c>
      <c r="D1015" s="15">
        <v>9.07</v>
      </c>
      <c r="E1015" s="15">
        <v>9.07</v>
      </c>
      <c r="F1015" t="b">
        <f t="shared" si="30"/>
        <v>1</v>
      </c>
      <c r="G1015" t="str">
        <f t="shared" si="31"/>
        <v>Tradiciones Andinas</v>
      </c>
    </row>
    <row r="1016" spans="1:7" x14ac:dyDescent="0.25">
      <c r="A1016" t="s">
        <v>664</v>
      </c>
      <c r="B1016" t="s">
        <v>1033</v>
      </c>
      <c r="C1016" t="s">
        <v>732</v>
      </c>
      <c r="D1016" s="15">
        <v>12.7</v>
      </c>
      <c r="E1016" s="15">
        <v>12.7</v>
      </c>
      <c r="F1016" t="b">
        <f t="shared" si="30"/>
        <v>1</v>
      </c>
      <c r="G1016" t="str">
        <f t="shared" si="31"/>
        <v>Tradiciones Andinas</v>
      </c>
    </row>
    <row r="1017" spans="1:7" x14ac:dyDescent="0.25">
      <c r="A1017" t="s">
        <v>664</v>
      </c>
      <c r="B1017" t="s">
        <v>1033</v>
      </c>
      <c r="C1017" t="s">
        <v>738</v>
      </c>
      <c r="D1017" s="15">
        <v>9.07</v>
      </c>
      <c r="E1017" s="15">
        <v>9.07</v>
      </c>
      <c r="F1017" t="b">
        <f t="shared" si="30"/>
        <v>1</v>
      </c>
      <c r="G1017" t="str">
        <f t="shared" si="31"/>
        <v>Tradiciones Andinas</v>
      </c>
    </row>
    <row r="1018" spans="1:7" x14ac:dyDescent="0.25">
      <c r="A1018" t="s">
        <v>664</v>
      </c>
      <c r="B1018" t="s">
        <v>1033</v>
      </c>
      <c r="C1018" t="s">
        <v>823</v>
      </c>
      <c r="D1018" s="15">
        <v>40.82</v>
      </c>
      <c r="E1018" s="15">
        <v>40.82</v>
      </c>
      <c r="F1018" t="b">
        <f t="shared" si="30"/>
        <v>1</v>
      </c>
      <c r="G1018" t="str">
        <f t="shared" si="31"/>
        <v>Tradiciones Andinas</v>
      </c>
    </row>
    <row r="1019" spans="1:7" x14ac:dyDescent="0.25">
      <c r="A1019" t="s">
        <v>664</v>
      </c>
      <c r="B1019" t="s">
        <v>1033</v>
      </c>
      <c r="C1019" t="s">
        <v>692</v>
      </c>
      <c r="D1019" s="15">
        <v>39.68</v>
      </c>
      <c r="E1019" s="15">
        <v>39.68</v>
      </c>
      <c r="F1019" t="b">
        <f t="shared" si="30"/>
        <v>1</v>
      </c>
      <c r="G1019" t="str">
        <f t="shared" si="31"/>
        <v>Tradiciones Andinas</v>
      </c>
    </row>
    <row r="1020" spans="1:7" x14ac:dyDescent="0.25">
      <c r="A1020" t="s">
        <v>664</v>
      </c>
      <c r="B1020" t="s">
        <v>1033</v>
      </c>
      <c r="C1020" t="s">
        <v>750</v>
      </c>
      <c r="D1020" s="15">
        <v>13.91</v>
      </c>
      <c r="E1020" s="15">
        <v>13.91</v>
      </c>
      <c r="F1020" t="b">
        <f t="shared" si="30"/>
        <v>1</v>
      </c>
      <c r="G1020" t="str">
        <f t="shared" si="31"/>
        <v>Tradiciones Andinas</v>
      </c>
    </row>
    <row r="1021" spans="1:7" x14ac:dyDescent="0.25">
      <c r="A1021" t="s">
        <v>664</v>
      </c>
      <c r="B1021" t="s">
        <v>1033</v>
      </c>
      <c r="C1021" t="s">
        <v>947</v>
      </c>
      <c r="D1021" s="15">
        <v>51.1</v>
      </c>
      <c r="E1021" s="15">
        <v>51.1</v>
      </c>
      <c r="F1021" t="b">
        <f t="shared" si="30"/>
        <v>1</v>
      </c>
      <c r="G1021" t="str">
        <f t="shared" si="31"/>
        <v>Tradiciones Andinas</v>
      </c>
    </row>
    <row r="1022" spans="1:7" x14ac:dyDescent="0.25">
      <c r="A1022" t="s">
        <v>664</v>
      </c>
      <c r="B1022" t="s">
        <v>1033</v>
      </c>
      <c r="C1022" t="s">
        <v>669</v>
      </c>
      <c r="D1022" s="15">
        <v>30.82</v>
      </c>
      <c r="E1022" s="15">
        <v>30.82</v>
      </c>
      <c r="F1022" t="b">
        <f t="shared" si="30"/>
        <v>1</v>
      </c>
      <c r="G1022" t="str">
        <f t="shared" si="31"/>
        <v>Tradiciones Andinas</v>
      </c>
    </row>
    <row r="1023" spans="1:7" x14ac:dyDescent="0.25">
      <c r="A1023" t="s">
        <v>664</v>
      </c>
      <c r="B1023" t="s">
        <v>1033</v>
      </c>
      <c r="C1023" t="s">
        <v>989</v>
      </c>
      <c r="D1023" s="15">
        <v>32</v>
      </c>
      <c r="E1023" s="15">
        <v>32</v>
      </c>
      <c r="F1023" t="b">
        <f t="shared" si="30"/>
        <v>1</v>
      </c>
      <c r="G1023" t="str">
        <f t="shared" si="31"/>
        <v>Tradiciones Andinas</v>
      </c>
    </row>
    <row r="1024" spans="1:7" x14ac:dyDescent="0.25">
      <c r="A1024" t="s">
        <v>664</v>
      </c>
      <c r="B1024" t="s">
        <v>1033</v>
      </c>
      <c r="C1024" t="s">
        <v>694</v>
      </c>
      <c r="D1024" s="15">
        <v>38.159999999999997</v>
      </c>
      <c r="E1024" s="15">
        <v>38.159999999999997</v>
      </c>
      <c r="F1024" t="b">
        <f t="shared" si="30"/>
        <v>1</v>
      </c>
      <c r="G1024" t="str">
        <f t="shared" si="31"/>
        <v>Tradiciones Andinas</v>
      </c>
    </row>
    <row r="1025" spans="1:7" x14ac:dyDescent="0.25">
      <c r="A1025" t="s">
        <v>664</v>
      </c>
      <c r="B1025" t="s">
        <v>1033</v>
      </c>
      <c r="C1025" t="s">
        <v>673</v>
      </c>
      <c r="D1025" s="15">
        <v>33.380000000000003</v>
      </c>
      <c r="E1025" s="15">
        <v>33.380000000000003</v>
      </c>
      <c r="F1025" t="b">
        <f t="shared" si="30"/>
        <v>1</v>
      </c>
      <c r="G1025" t="str">
        <f t="shared" si="31"/>
        <v>Tradiciones Andinas</v>
      </c>
    </row>
    <row r="1026" spans="1:7" x14ac:dyDescent="0.25">
      <c r="A1026" t="s">
        <v>664</v>
      </c>
      <c r="B1026" t="s">
        <v>1033</v>
      </c>
      <c r="C1026" t="s">
        <v>685</v>
      </c>
      <c r="D1026" s="15">
        <v>25.54</v>
      </c>
      <c r="E1026" s="15">
        <v>25.54</v>
      </c>
      <c r="F1026" t="b">
        <f t="shared" si="30"/>
        <v>1</v>
      </c>
      <c r="G1026" t="str">
        <f t="shared" si="31"/>
        <v>Tradiciones Andinas</v>
      </c>
    </row>
    <row r="1027" spans="1:7" x14ac:dyDescent="0.25">
      <c r="A1027" t="s">
        <v>664</v>
      </c>
      <c r="B1027" t="s">
        <v>1033</v>
      </c>
      <c r="C1027" t="s">
        <v>667</v>
      </c>
      <c r="D1027" s="15">
        <v>30.82</v>
      </c>
      <c r="E1027" s="15">
        <v>30.82</v>
      </c>
      <c r="F1027" t="b">
        <f t="shared" si="30"/>
        <v>1</v>
      </c>
      <c r="G1027" t="str">
        <f t="shared" si="31"/>
        <v>Tradiciones Andinas</v>
      </c>
    </row>
    <row r="1028" spans="1:7" x14ac:dyDescent="0.25">
      <c r="A1028" t="s">
        <v>664</v>
      </c>
      <c r="B1028" t="s">
        <v>1033</v>
      </c>
      <c r="C1028" t="s">
        <v>825</v>
      </c>
      <c r="D1028" s="15">
        <v>32.1</v>
      </c>
      <c r="E1028" s="15">
        <v>32.1</v>
      </c>
      <c r="F1028" t="b">
        <f t="shared" si="30"/>
        <v>1</v>
      </c>
      <c r="G1028" t="str">
        <f t="shared" si="31"/>
        <v>Tradiciones Andinas</v>
      </c>
    </row>
    <row r="1029" spans="1:7" x14ac:dyDescent="0.25">
      <c r="A1029" t="s">
        <v>664</v>
      </c>
      <c r="B1029" t="s">
        <v>1033</v>
      </c>
      <c r="C1029" t="s">
        <v>702</v>
      </c>
      <c r="D1029" s="15">
        <v>45.96</v>
      </c>
      <c r="E1029" s="15">
        <v>45.96</v>
      </c>
      <c r="F1029" t="b">
        <f t="shared" si="30"/>
        <v>1</v>
      </c>
      <c r="G1029" t="str">
        <f t="shared" si="31"/>
        <v>Tradiciones Andinas</v>
      </c>
    </row>
    <row r="1030" spans="1:7" x14ac:dyDescent="0.25">
      <c r="A1030" t="s">
        <v>664</v>
      </c>
      <c r="B1030" t="s">
        <v>1033</v>
      </c>
      <c r="C1030" t="s">
        <v>712</v>
      </c>
      <c r="D1030" s="15">
        <v>21.18</v>
      </c>
      <c r="E1030" s="15">
        <v>21.18</v>
      </c>
      <c r="F1030" t="b">
        <f t="shared" ref="F1030:F1093" si="32">D1030=E1030</f>
        <v>1</v>
      </c>
      <c r="G1030" t="str">
        <f t="shared" ref="G1030:G1093" si="33">+A1030</f>
        <v>Tradiciones Andinas</v>
      </c>
    </row>
    <row r="1031" spans="1:7" x14ac:dyDescent="0.25">
      <c r="A1031" t="s">
        <v>664</v>
      </c>
      <c r="B1031" t="s">
        <v>1033</v>
      </c>
      <c r="C1031" t="s">
        <v>754</v>
      </c>
      <c r="D1031" s="15">
        <v>38.39</v>
      </c>
      <c r="E1031" s="15">
        <v>38.39</v>
      </c>
      <c r="F1031" t="b">
        <f t="shared" si="32"/>
        <v>1</v>
      </c>
      <c r="G1031" t="str">
        <f t="shared" si="33"/>
        <v>Tradiciones Andinas</v>
      </c>
    </row>
    <row r="1032" spans="1:7" x14ac:dyDescent="0.25">
      <c r="A1032" t="s">
        <v>664</v>
      </c>
      <c r="B1032" t="s">
        <v>1033</v>
      </c>
      <c r="C1032" t="s">
        <v>1038</v>
      </c>
      <c r="D1032" s="15">
        <v>32.1</v>
      </c>
      <c r="E1032" s="15">
        <v>32.1</v>
      </c>
      <c r="F1032" t="b">
        <f t="shared" si="32"/>
        <v>1</v>
      </c>
      <c r="G1032" t="str">
        <f t="shared" si="33"/>
        <v>Tradiciones Andinas</v>
      </c>
    </row>
    <row r="1033" spans="1:7" x14ac:dyDescent="0.25">
      <c r="A1033" t="s">
        <v>664</v>
      </c>
      <c r="B1033" t="s">
        <v>1033</v>
      </c>
      <c r="C1033" t="s">
        <v>904</v>
      </c>
      <c r="D1033" s="15">
        <v>28.88</v>
      </c>
      <c r="E1033" s="15">
        <v>28.88</v>
      </c>
      <c r="F1033" t="b">
        <f t="shared" si="32"/>
        <v>1</v>
      </c>
      <c r="G1033" t="str">
        <f t="shared" si="33"/>
        <v>Tradiciones Andinas</v>
      </c>
    </row>
    <row r="1034" spans="1:7" x14ac:dyDescent="0.25">
      <c r="A1034" t="s">
        <v>664</v>
      </c>
      <c r="B1034" t="s">
        <v>1033</v>
      </c>
      <c r="C1034" t="s">
        <v>718</v>
      </c>
      <c r="D1034" s="15">
        <v>21.18</v>
      </c>
      <c r="E1034" s="15">
        <v>21.18</v>
      </c>
      <c r="F1034" t="b">
        <f t="shared" si="32"/>
        <v>1</v>
      </c>
      <c r="G1034" t="str">
        <f t="shared" si="33"/>
        <v>Tradiciones Andinas</v>
      </c>
    </row>
    <row r="1035" spans="1:7" x14ac:dyDescent="0.25">
      <c r="A1035" t="s">
        <v>664</v>
      </c>
      <c r="B1035" t="s">
        <v>1033</v>
      </c>
      <c r="C1035" t="s">
        <v>843</v>
      </c>
      <c r="D1035" s="15">
        <v>53.68</v>
      </c>
      <c r="E1035" s="15">
        <v>53.68</v>
      </c>
      <c r="F1035" t="b">
        <f t="shared" si="32"/>
        <v>1</v>
      </c>
      <c r="G1035" t="str">
        <f t="shared" si="33"/>
        <v>Tradiciones Andinas</v>
      </c>
    </row>
    <row r="1036" spans="1:7" x14ac:dyDescent="0.25">
      <c r="A1036" t="s">
        <v>664</v>
      </c>
      <c r="B1036" t="s">
        <v>1033</v>
      </c>
      <c r="C1036" t="s">
        <v>839</v>
      </c>
      <c r="D1036" s="15">
        <v>30.64</v>
      </c>
      <c r="E1036" s="15">
        <v>30.64</v>
      </c>
      <c r="F1036" t="b">
        <f t="shared" si="32"/>
        <v>1</v>
      </c>
      <c r="G1036" t="str">
        <f t="shared" si="33"/>
        <v>Tradiciones Andinas</v>
      </c>
    </row>
    <row r="1037" spans="1:7" x14ac:dyDescent="0.25">
      <c r="A1037" t="s">
        <v>664</v>
      </c>
      <c r="B1037" t="s">
        <v>1033</v>
      </c>
      <c r="C1037" t="s">
        <v>872</v>
      </c>
      <c r="D1037" s="15">
        <v>27.29</v>
      </c>
      <c r="E1037" s="15">
        <v>27.29</v>
      </c>
      <c r="F1037" t="b">
        <f t="shared" si="32"/>
        <v>1</v>
      </c>
      <c r="G1037" t="str">
        <f t="shared" si="33"/>
        <v>Tradiciones Andinas</v>
      </c>
    </row>
    <row r="1038" spans="1:7" x14ac:dyDescent="0.25">
      <c r="A1038" t="s">
        <v>664</v>
      </c>
      <c r="B1038" t="s">
        <v>1033</v>
      </c>
      <c r="C1038" t="s">
        <v>834</v>
      </c>
      <c r="D1038" s="15">
        <v>33.380000000000003</v>
      </c>
      <c r="E1038" s="15">
        <v>33.380000000000003</v>
      </c>
      <c r="F1038" t="b">
        <f t="shared" si="32"/>
        <v>1</v>
      </c>
      <c r="G1038" t="str">
        <f t="shared" si="33"/>
        <v>Tradiciones Andinas</v>
      </c>
    </row>
    <row r="1039" spans="1:7" x14ac:dyDescent="0.25">
      <c r="A1039" t="s">
        <v>664</v>
      </c>
      <c r="B1039" t="s">
        <v>1033</v>
      </c>
      <c r="C1039" t="s">
        <v>928</v>
      </c>
      <c r="D1039" s="15">
        <v>66.34</v>
      </c>
      <c r="E1039" s="15">
        <v>66.34</v>
      </c>
      <c r="F1039" t="b">
        <f t="shared" si="32"/>
        <v>1</v>
      </c>
      <c r="G1039" t="str">
        <f t="shared" si="33"/>
        <v>Tradiciones Andinas</v>
      </c>
    </row>
    <row r="1040" spans="1:7" x14ac:dyDescent="0.25">
      <c r="A1040" t="s">
        <v>664</v>
      </c>
      <c r="B1040" t="s">
        <v>1033</v>
      </c>
      <c r="C1040" t="s">
        <v>855</v>
      </c>
      <c r="D1040" s="15">
        <v>13.2</v>
      </c>
      <c r="E1040" s="15">
        <v>13.2</v>
      </c>
      <c r="F1040" t="b">
        <f t="shared" si="32"/>
        <v>1</v>
      </c>
      <c r="G1040" t="str">
        <f t="shared" si="33"/>
        <v>Tradiciones Andinas</v>
      </c>
    </row>
    <row r="1041" spans="1:7" x14ac:dyDescent="0.25">
      <c r="A1041" t="s">
        <v>664</v>
      </c>
      <c r="B1041" t="s">
        <v>1033</v>
      </c>
      <c r="C1041" t="s">
        <v>748</v>
      </c>
      <c r="D1041" s="15">
        <v>78</v>
      </c>
      <c r="E1041" s="15">
        <v>78</v>
      </c>
      <c r="F1041" t="b">
        <f t="shared" si="32"/>
        <v>1</v>
      </c>
      <c r="G1041" t="str">
        <f t="shared" si="33"/>
        <v>Tradiciones Andinas</v>
      </c>
    </row>
    <row r="1042" spans="1:7" x14ac:dyDescent="0.25">
      <c r="A1042" t="s">
        <v>664</v>
      </c>
      <c r="B1042" t="s">
        <v>1033</v>
      </c>
      <c r="C1042" t="s">
        <v>853</v>
      </c>
      <c r="D1042" s="15">
        <v>13.2</v>
      </c>
      <c r="E1042" s="15">
        <v>13.2</v>
      </c>
      <c r="F1042" t="b">
        <f t="shared" si="32"/>
        <v>1</v>
      </c>
      <c r="G1042" t="str">
        <f t="shared" si="33"/>
        <v>Tradiciones Andinas</v>
      </c>
    </row>
    <row r="1043" spans="1:7" x14ac:dyDescent="0.25">
      <c r="A1043" t="s">
        <v>664</v>
      </c>
      <c r="B1043" t="s">
        <v>1033</v>
      </c>
      <c r="C1043" t="s">
        <v>1056</v>
      </c>
      <c r="D1043" s="15">
        <v>13.2</v>
      </c>
      <c r="E1043" s="15">
        <v>13.2</v>
      </c>
      <c r="F1043" t="b">
        <f t="shared" si="32"/>
        <v>1</v>
      </c>
      <c r="G1043" t="str">
        <f t="shared" si="33"/>
        <v>Tradiciones Andinas</v>
      </c>
    </row>
    <row r="1044" spans="1:7" x14ac:dyDescent="0.25">
      <c r="A1044" t="s">
        <v>664</v>
      </c>
      <c r="B1044" t="s">
        <v>1033</v>
      </c>
      <c r="C1044" t="s">
        <v>857</v>
      </c>
      <c r="D1044" s="15">
        <v>13.2</v>
      </c>
      <c r="E1044" s="15">
        <v>13.2</v>
      </c>
      <c r="F1044" t="b">
        <f t="shared" si="32"/>
        <v>1</v>
      </c>
      <c r="G1044" t="str">
        <f t="shared" si="33"/>
        <v>Tradiciones Andinas</v>
      </c>
    </row>
    <row r="1045" spans="1:7" x14ac:dyDescent="0.25">
      <c r="A1045" t="s">
        <v>664</v>
      </c>
      <c r="B1045" t="s">
        <v>1033</v>
      </c>
      <c r="C1045" t="s">
        <v>720</v>
      </c>
      <c r="D1045" s="15">
        <v>23.96</v>
      </c>
      <c r="E1045" s="15">
        <v>23.96</v>
      </c>
      <c r="F1045" t="b">
        <f t="shared" si="32"/>
        <v>1</v>
      </c>
      <c r="G1045" t="str">
        <f t="shared" si="33"/>
        <v>Tradiciones Andinas</v>
      </c>
    </row>
    <row r="1046" spans="1:7" x14ac:dyDescent="0.25">
      <c r="A1046" t="s">
        <v>664</v>
      </c>
      <c r="B1046" t="s">
        <v>1033</v>
      </c>
      <c r="C1046" t="s">
        <v>745</v>
      </c>
      <c r="D1046" s="15">
        <v>64.2</v>
      </c>
      <c r="E1046" s="15">
        <v>64.2</v>
      </c>
      <c r="F1046" t="b">
        <f t="shared" si="32"/>
        <v>1</v>
      </c>
      <c r="G1046" t="str">
        <f t="shared" si="33"/>
        <v>Tradiciones Andinas</v>
      </c>
    </row>
    <row r="1047" spans="1:7" x14ac:dyDescent="0.25">
      <c r="A1047" t="s">
        <v>664</v>
      </c>
      <c r="B1047" t="s">
        <v>1033</v>
      </c>
      <c r="C1047" t="s">
        <v>784</v>
      </c>
      <c r="D1047" s="15">
        <v>13.2</v>
      </c>
      <c r="E1047" s="15">
        <v>13.2</v>
      </c>
      <c r="F1047" t="b">
        <f t="shared" si="32"/>
        <v>1</v>
      </c>
      <c r="G1047" t="str">
        <f t="shared" si="33"/>
        <v>Tradiciones Andinas</v>
      </c>
    </row>
    <row r="1048" spans="1:7" x14ac:dyDescent="0.25">
      <c r="A1048" t="s">
        <v>664</v>
      </c>
      <c r="B1048" t="s">
        <v>1033</v>
      </c>
      <c r="C1048" t="s">
        <v>746</v>
      </c>
      <c r="D1048" s="15">
        <v>85.6</v>
      </c>
      <c r="E1048" s="15">
        <v>85.6</v>
      </c>
      <c r="F1048" t="b">
        <f t="shared" si="32"/>
        <v>1</v>
      </c>
      <c r="G1048" t="str">
        <f t="shared" si="33"/>
        <v>Tradiciones Andinas</v>
      </c>
    </row>
    <row r="1049" spans="1:7" x14ac:dyDescent="0.25">
      <c r="A1049" t="s">
        <v>664</v>
      </c>
      <c r="B1049" t="s">
        <v>1033</v>
      </c>
      <c r="C1049" t="s">
        <v>995</v>
      </c>
      <c r="D1049" s="15">
        <v>36</v>
      </c>
      <c r="E1049" s="15">
        <v>36</v>
      </c>
      <c r="F1049" t="b">
        <f t="shared" si="32"/>
        <v>1</v>
      </c>
      <c r="G1049" t="str">
        <f t="shared" si="33"/>
        <v>Tradiciones Andinas</v>
      </c>
    </row>
    <row r="1050" spans="1:7" x14ac:dyDescent="0.25">
      <c r="A1050" t="s">
        <v>664</v>
      </c>
      <c r="B1050" t="s">
        <v>1033</v>
      </c>
      <c r="C1050" t="s">
        <v>704</v>
      </c>
      <c r="D1050" s="15">
        <v>45.96</v>
      </c>
      <c r="E1050" s="15">
        <v>45.96</v>
      </c>
      <c r="F1050" t="b">
        <f t="shared" si="32"/>
        <v>1</v>
      </c>
      <c r="G1050" t="str">
        <f t="shared" si="33"/>
        <v>Tradiciones Andinas</v>
      </c>
    </row>
    <row r="1051" spans="1:7" x14ac:dyDescent="0.25">
      <c r="A1051" t="s">
        <v>664</v>
      </c>
      <c r="B1051" t="s">
        <v>1033</v>
      </c>
      <c r="C1051" t="s">
        <v>953</v>
      </c>
      <c r="D1051" s="15">
        <v>13.2</v>
      </c>
      <c r="E1051" s="15">
        <v>13.2</v>
      </c>
      <c r="F1051" t="b">
        <f t="shared" si="32"/>
        <v>1</v>
      </c>
      <c r="G1051" t="str">
        <f t="shared" si="33"/>
        <v>Tradiciones Andinas</v>
      </c>
    </row>
    <row r="1052" spans="1:7" x14ac:dyDescent="0.25">
      <c r="A1052" t="s">
        <v>664</v>
      </c>
      <c r="B1052" t="s">
        <v>1033</v>
      </c>
      <c r="C1052" t="s">
        <v>1042</v>
      </c>
      <c r="D1052" s="15">
        <v>51.1</v>
      </c>
      <c r="E1052" s="15">
        <v>51.1</v>
      </c>
      <c r="F1052" t="b">
        <f t="shared" si="32"/>
        <v>1</v>
      </c>
      <c r="G1052" t="str">
        <f t="shared" si="33"/>
        <v>Tradiciones Andinas</v>
      </c>
    </row>
    <row r="1053" spans="1:7" x14ac:dyDescent="0.25">
      <c r="A1053" t="s">
        <v>664</v>
      </c>
      <c r="B1053" t="s">
        <v>1033</v>
      </c>
      <c r="C1053" t="s">
        <v>671</v>
      </c>
      <c r="D1053" s="15">
        <v>33.119999999999997</v>
      </c>
      <c r="E1053" s="15">
        <v>33.119999999999997</v>
      </c>
      <c r="F1053" t="b">
        <f t="shared" si="32"/>
        <v>1</v>
      </c>
      <c r="G1053" t="str">
        <f t="shared" si="33"/>
        <v>Tradiciones Andinas</v>
      </c>
    </row>
    <row r="1054" spans="1:7" x14ac:dyDescent="0.25">
      <c r="A1054" t="s">
        <v>664</v>
      </c>
      <c r="B1054" t="s">
        <v>1033</v>
      </c>
      <c r="C1054" t="s">
        <v>688</v>
      </c>
      <c r="D1054" s="15">
        <v>29.4</v>
      </c>
      <c r="E1054" s="15">
        <v>29.4</v>
      </c>
      <c r="F1054" t="b">
        <f t="shared" si="32"/>
        <v>1</v>
      </c>
      <c r="G1054" t="str">
        <f t="shared" si="33"/>
        <v>Tradiciones Andinas</v>
      </c>
    </row>
    <row r="1055" spans="1:7" x14ac:dyDescent="0.25">
      <c r="A1055" t="s">
        <v>664</v>
      </c>
      <c r="B1055" t="s">
        <v>1033</v>
      </c>
      <c r="C1055" t="s">
        <v>828</v>
      </c>
      <c r="D1055" s="15">
        <v>28.88</v>
      </c>
      <c r="E1055" s="15">
        <v>28.88</v>
      </c>
      <c r="F1055" t="b">
        <f t="shared" si="32"/>
        <v>1</v>
      </c>
      <c r="G1055" t="str">
        <f t="shared" si="33"/>
        <v>Tradiciones Andinas</v>
      </c>
    </row>
    <row r="1056" spans="1:7" x14ac:dyDescent="0.25">
      <c r="A1056" t="s">
        <v>664</v>
      </c>
      <c r="B1056" t="s">
        <v>1033</v>
      </c>
      <c r="C1056" t="s">
        <v>830</v>
      </c>
      <c r="D1056" s="15">
        <v>28.88</v>
      </c>
      <c r="E1056" s="15">
        <v>28.88</v>
      </c>
      <c r="F1056" t="b">
        <f t="shared" si="32"/>
        <v>1</v>
      </c>
      <c r="G1056" t="str">
        <f t="shared" si="33"/>
        <v>Tradiciones Andinas</v>
      </c>
    </row>
    <row r="1057" spans="1:7" x14ac:dyDescent="0.25">
      <c r="A1057" t="s">
        <v>664</v>
      </c>
      <c r="B1057" t="s">
        <v>1033</v>
      </c>
      <c r="C1057" t="s">
        <v>716</v>
      </c>
      <c r="D1057" s="15">
        <v>32.1</v>
      </c>
      <c r="E1057" s="15">
        <v>32.1</v>
      </c>
      <c r="F1057" t="b">
        <f t="shared" si="32"/>
        <v>1</v>
      </c>
      <c r="G1057" t="str">
        <f t="shared" si="33"/>
        <v>Tradiciones Andinas</v>
      </c>
    </row>
    <row r="1058" spans="1:7" x14ac:dyDescent="0.25">
      <c r="A1058" t="s">
        <v>664</v>
      </c>
      <c r="B1058" t="s">
        <v>1033</v>
      </c>
      <c r="C1058" t="s">
        <v>1051</v>
      </c>
      <c r="D1058" s="15">
        <v>16.68</v>
      </c>
      <c r="E1058" s="15">
        <v>16.68</v>
      </c>
      <c r="F1058" t="b">
        <f t="shared" si="32"/>
        <v>1</v>
      </c>
      <c r="G1058" t="str">
        <f t="shared" si="33"/>
        <v>Tradiciones Andinas</v>
      </c>
    </row>
    <row r="1059" spans="1:7" x14ac:dyDescent="0.25">
      <c r="A1059" t="s">
        <v>664</v>
      </c>
      <c r="B1059" t="s">
        <v>1033</v>
      </c>
      <c r="C1059" t="s">
        <v>962</v>
      </c>
      <c r="D1059" s="15">
        <v>27.29</v>
      </c>
      <c r="E1059" s="15">
        <v>27.29</v>
      </c>
      <c r="F1059" t="b">
        <f t="shared" si="32"/>
        <v>1</v>
      </c>
      <c r="G1059" t="str">
        <f t="shared" si="33"/>
        <v>Tradiciones Andinas</v>
      </c>
    </row>
    <row r="1060" spans="1:7" x14ac:dyDescent="0.25">
      <c r="A1060" t="s">
        <v>664</v>
      </c>
      <c r="B1060" t="s">
        <v>1033</v>
      </c>
      <c r="C1060" t="s">
        <v>895</v>
      </c>
      <c r="D1060" s="15">
        <v>12.84</v>
      </c>
      <c r="E1060" s="15">
        <v>12.84</v>
      </c>
      <c r="F1060" t="b">
        <f t="shared" si="32"/>
        <v>1</v>
      </c>
      <c r="G1060" t="str">
        <f t="shared" si="33"/>
        <v>Tradiciones Andinas</v>
      </c>
    </row>
    <row r="1061" spans="1:7" x14ac:dyDescent="0.25">
      <c r="A1061" t="s">
        <v>664</v>
      </c>
      <c r="B1061" t="s">
        <v>1033</v>
      </c>
      <c r="C1061" t="s">
        <v>788</v>
      </c>
      <c r="D1061" s="15">
        <v>12.84</v>
      </c>
      <c r="E1061" s="15">
        <v>12.84</v>
      </c>
      <c r="F1061" t="b">
        <f t="shared" si="32"/>
        <v>1</v>
      </c>
      <c r="G1061" t="str">
        <f t="shared" si="33"/>
        <v>Tradiciones Andinas</v>
      </c>
    </row>
    <row r="1062" spans="1:7" x14ac:dyDescent="0.25">
      <c r="A1062" t="s">
        <v>664</v>
      </c>
      <c r="B1062" t="s">
        <v>1033</v>
      </c>
      <c r="C1062" t="s">
        <v>786</v>
      </c>
      <c r="D1062" s="15">
        <v>22.86</v>
      </c>
      <c r="E1062" s="15">
        <v>22.86</v>
      </c>
      <c r="F1062" t="b">
        <f t="shared" si="32"/>
        <v>1</v>
      </c>
      <c r="G1062" t="str">
        <f t="shared" si="33"/>
        <v>Tradiciones Andinas</v>
      </c>
    </row>
    <row r="1063" spans="1:7" x14ac:dyDescent="0.25">
      <c r="A1063" t="s">
        <v>664</v>
      </c>
      <c r="B1063" t="s">
        <v>1033</v>
      </c>
      <c r="C1063" t="s">
        <v>891</v>
      </c>
      <c r="D1063" s="15">
        <v>14</v>
      </c>
      <c r="E1063" s="15">
        <v>14</v>
      </c>
      <c r="F1063" t="b">
        <f t="shared" si="32"/>
        <v>1</v>
      </c>
      <c r="G1063" t="str">
        <f t="shared" si="33"/>
        <v>Tradiciones Andinas</v>
      </c>
    </row>
    <row r="1064" spans="1:7" x14ac:dyDescent="0.25">
      <c r="A1064" t="s">
        <v>664</v>
      </c>
      <c r="B1064" t="s">
        <v>1033</v>
      </c>
      <c r="C1064" t="s">
        <v>880</v>
      </c>
      <c r="D1064" s="15">
        <v>14</v>
      </c>
      <c r="E1064" s="15">
        <v>14</v>
      </c>
      <c r="F1064" t="b">
        <f t="shared" si="32"/>
        <v>1</v>
      </c>
      <c r="G1064" t="str">
        <f t="shared" si="33"/>
        <v>Tradiciones Andinas</v>
      </c>
    </row>
    <row r="1065" spans="1:7" x14ac:dyDescent="0.25">
      <c r="A1065" t="s">
        <v>664</v>
      </c>
      <c r="B1065" t="s">
        <v>1033</v>
      </c>
      <c r="C1065" t="s">
        <v>1066</v>
      </c>
      <c r="D1065" s="15">
        <v>14</v>
      </c>
      <c r="E1065" s="15">
        <v>14</v>
      </c>
      <c r="F1065" t="b">
        <f t="shared" si="32"/>
        <v>1</v>
      </c>
      <c r="G1065" t="str">
        <f t="shared" si="33"/>
        <v>Tradiciones Andinas</v>
      </c>
    </row>
    <row r="1066" spans="1:7" x14ac:dyDescent="0.25">
      <c r="A1066" t="s">
        <v>664</v>
      </c>
      <c r="B1066" t="s">
        <v>1033</v>
      </c>
      <c r="C1066" t="s">
        <v>1010</v>
      </c>
      <c r="D1066" s="15">
        <v>14</v>
      </c>
      <c r="E1066" s="15">
        <v>14</v>
      </c>
      <c r="F1066" t="b">
        <f t="shared" si="32"/>
        <v>1</v>
      </c>
      <c r="G1066" t="str">
        <f t="shared" si="33"/>
        <v>Tradiciones Andinas</v>
      </c>
    </row>
    <row r="1067" spans="1:7" x14ac:dyDescent="0.25">
      <c r="A1067" t="s">
        <v>664</v>
      </c>
      <c r="B1067" t="s">
        <v>1033</v>
      </c>
      <c r="C1067" t="s">
        <v>1068</v>
      </c>
      <c r="D1067" s="15">
        <v>14</v>
      </c>
      <c r="E1067" s="15">
        <v>14</v>
      </c>
      <c r="F1067" t="b">
        <f t="shared" si="32"/>
        <v>1</v>
      </c>
      <c r="G1067" t="str">
        <f t="shared" si="33"/>
        <v>Tradiciones Andinas</v>
      </c>
    </row>
    <row r="1068" spans="1:7" x14ac:dyDescent="0.25">
      <c r="A1068" t="s">
        <v>664</v>
      </c>
      <c r="B1068" t="s">
        <v>1033</v>
      </c>
      <c r="C1068" t="s">
        <v>885</v>
      </c>
      <c r="D1068" s="15">
        <v>9</v>
      </c>
      <c r="E1068" s="15">
        <v>9</v>
      </c>
      <c r="F1068" t="b">
        <f t="shared" si="32"/>
        <v>1</v>
      </c>
      <c r="G1068" t="str">
        <f t="shared" si="33"/>
        <v>Tradiciones Andinas</v>
      </c>
    </row>
    <row r="1069" spans="1:7" x14ac:dyDescent="0.25">
      <c r="A1069" t="s">
        <v>664</v>
      </c>
      <c r="B1069" t="s">
        <v>1033</v>
      </c>
      <c r="C1069" t="s">
        <v>882</v>
      </c>
      <c r="D1069" s="15">
        <v>14</v>
      </c>
      <c r="E1069" s="15">
        <v>14</v>
      </c>
      <c r="F1069" t="b">
        <f t="shared" si="32"/>
        <v>1</v>
      </c>
      <c r="G1069" t="str">
        <f t="shared" si="33"/>
        <v>Tradiciones Andinas</v>
      </c>
    </row>
    <row r="1070" spans="1:7" x14ac:dyDescent="0.25">
      <c r="A1070" t="s">
        <v>664</v>
      </c>
      <c r="B1070" t="s">
        <v>1033</v>
      </c>
      <c r="C1070" t="s">
        <v>893</v>
      </c>
      <c r="D1070" s="15">
        <v>12.84</v>
      </c>
      <c r="E1070" s="15">
        <v>12.84</v>
      </c>
      <c r="F1070" t="b">
        <f t="shared" si="32"/>
        <v>1</v>
      </c>
      <c r="G1070" t="str">
        <f t="shared" si="33"/>
        <v>Tradiciones Andinas</v>
      </c>
    </row>
    <row r="1071" spans="1:7" x14ac:dyDescent="0.25">
      <c r="A1071" t="s">
        <v>664</v>
      </c>
      <c r="B1071" t="s">
        <v>1033</v>
      </c>
      <c r="C1071" t="s">
        <v>889</v>
      </c>
      <c r="D1071" s="15">
        <v>12.84</v>
      </c>
      <c r="E1071" s="15">
        <v>12.84</v>
      </c>
      <c r="F1071" t="b">
        <f t="shared" si="32"/>
        <v>1</v>
      </c>
      <c r="G1071" t="str">
        <f t="shared" si="33"/>
        <v>Tradiciones Andinas</v>
      </c>
    </row>
    <row r="1072" spans="1:7" x14ac:dyDescent="0.25">
      <c r="A1072" t="s">
        <v>664</v>
      </c>
      <c r="B1072" t="s">
        <v>1033</v>
      </c>
      <c r="C1072" t="s">
        <v>887</v>
      </c>
      <c r="D1072" s="15">
        <v>12.84</v>
      </c>
      <c r="E1072" s="15">
        <v>12.84</v>
      </c>
      <c r="F1072" t="b">
        <f t="shared" si="32"/>
        <v>1</v>
      </c>
      <c r="G1072" t="str">
        <f t="shared" si="33"/>
        <v>Tradiciones Andinas</v>
      </c>
    </row>
    <row r="1073" spans="1:7" x14ac:dyDescent="0.25">
      <c r="A1073" t="s">
        <v>664</v>
      </c>
      <c r="B1073" t="s">
        <v>1033</v>
      </c>
      <c r="C1073" t="s">
        <v>752</v>
      </c>
      <c r="D1073" s="15">
        <v>37.450000000000003</v>
      </c>
      <c r="E1073" s="15">
        <v>37.450000000000003</v>
      </c>
      <c r="F1073" t="b">
        <f t="shared" si="32"/>
        <v>1</v>
      </c>
      <c r="G1073" t="str">
        <f t="shared" si="33"/>
        <v>Tradiciones Andinas</v>
      </c>
    </row>
    <row r="1074" spans="1:7" x14ac:dyDescent="0.25">
      <c r="A1074" t="s">
        <v>664</v>
      </c>
      <c r="B1074" t="s">
        <v>1033</v>
      </c>
      <c r="C1074" t="s">
        <v>916</v>
      </c>
      <c r="D1074" s="15">
        <v>45.96</v>
      </c>
      <c r="E1074" s="15">
        <v>45.96</v>
      </c>
      <c r="F1074" t="b">
        <f t="shared" si="32"/>
        <v>1</v>
      </c>
      <c r="G1074" t="str">
        <f t="shared" si="33"/>
        <v>Tradiciones Andinas</v>
      </c>
    </row>
    <row r="1075" spans="1:7" x14ac:dyDescent="0.25">
      <c r="A1075" t="s">
        <v>664</v>
      </c>
      <c r="B1075" t="s">
        <v>1033</v>
      </c>
      <c r="C1075" t="s">
        <v>918</v>
      </c>
      <c r="D1075" s="15">
        <v>33.479999999999997</v>
      </c>
      <c r="E1075" s="15">
        <v>33.479999999999997</v>
      </c>
      <c r="F1075" t="b">
        <f t="shared" si="32"/>
        <v>1</v>
      </c>
      <c r="G1075" t="str">
        <f t="shared" si="33"/>
        <v>Tradiciones Andinas</v>
      </c>
    </row>
    <row r="1076" spans="1:7" x14ac:dyDescent="0.25">
      <c r="A1076" t="s">
        <v>664</v>
      </c>
      <c r="B1076" t="s">
        <v>1033</v>
      </c>
      <c r="C1076" t="s">
        <v>920</v>
      </c>
      <c r="D1076" s="15">
        <v>32.15</v>
      </c>
      <c r="E1076" s="15">
        <v>32.15</v>
      </c>
      <c r="F1076" t="b">
        <f t="shared" si="32"/>
        <v>1</v>
      </c>
      <c r="G1076" t="str">
        <f t="shared" si="33"/>
        <v>Tradiciones Andinas</v>
      </c>
    </row>
    <row r="1077" spans="1:7" x14ac:dyDescent="0.25">
      <c r="A1077" t="s">
        <v>664</v>
      </c>
      <c r="B1077" t="s">
        <v>1033</v>
      </c>
      <c r="C1077" t="s">
        <v>922</v>
      </c>
      <c r="D1077" s="15">
        <v>32.15</v>
      </c>
      <c r="E1077" s="15">
        <v>32.15</v>
      </c>
      <c r="F1077" t="b">
        <f t="shared" si="32"/>
        <v>1</v>
      </c>
      <c r="G1077" t="str">
        <f t="shared" si="33"/>
        <v>Tradiciones Andinas</v>
      </c>
    </row>
    <row r="1078" spans="1:7" x14ac:dyDescent="0.25">
      <c r="A1078" t="s">
        <v>664</v>
      </c>
      <c r="B1078" t="s">
        <v>1033</v>
      </c>
      <c r="C1078" t="s">
        <v>926</v>
      </c>
      <c r="D1078" s="15">
        <v>32.15</v>
      </c>
      <c r="E1078" s="15">
        <v>32.15</v>
      </c>
      <c r="F1078" t="b">
        <f t="shared" si="32"/>
        <v>1</v>
      </c>
      <c r="G1078" t="str">
        <f t="shared" si="33"/>
        <v>Tradiciones Andinas</v>
      </c>
    </row>
    <row r="1079" spans="1:7" x14ac:dyDescent="0.25">
      <c r="A1079" t="s">
        <v>664</v>
      </c>
      <c r="B1079" t="s">
        <v>1033</v>
      </c>
      <c r="C1079" t="s">
        <v>910</v>
      </c>
      <c r="D1079" s="15">
        <v>42.24</v>
      </c>
      <c r="E1079" s="15">
        <v>42.24</v>
      </c>
      <c r="F1079" t="b">
        <f t="shared" si="32"/>
        <v>1</v>
      </c>
      <c r="G1079" t="str">
        <f t="shared" si="33"/>
        <v>Tradiciones Andinas</v>
      </c>
    </row>
    <row r="1080" spans="1:7" x14ac:dyDescent="0.25">
      <c r="A1080" t="s">
        <v>664</v>
      </c>
      <c r="B1080" t="s">
        <v>1033</v>
      </c>
      <c r="C1080" t="s">
        <v>1081</v>
      </c>
      <c r="D1080" s="15">
        <v>23.22</v>
      </c>
      <c r="E1080" s="15">
        <v>23.22</v>
      </c>
      <c r="F1080" t="b">
        <f t="shared" si="32"/>
        <v>1</v>
      </c>
      <c r="G1080" t="str">
        <f t="shared" si="33"/>
        <v>Tradiciones Andinas</v>
      </c>
    </row>
    <row r="1081" spans="1:7" x14ac:dyDescent="0.25">
      <c r="A1081" t="s">
        <v>664</v>
      </c>
      <c r="B1081" t="s">
        <v>1033</v>
      </c>
      <c r="C1081" t="s">
        <v>1085</v>
      </c>
      <c r="D1081" s="15">
        <v>30.42</v>
      </c>
      <c r="E1081" s="15">
        <v>30.42</v>
      </c>
      <c r="F1081" t="b">
        <f t="shared" si="32"/>
        <v>1</v>
      </c>
      <c r="G1081" t="str">
        <f t="shared" si="33"/>
        <v>Tradiciones Andinas</v>
      </c>
    </row>
    <row r="1082" spans="1:7" x14ac:dyDescent="0.25">
      <c r="A1082" t="s">
        <v>664</v>
      </c>
      <c r="B1082" t="s">
        <v>1033</v>
      </c>
      <c r="C1082" t="s">
        <v>1020</v>
      </c>
      <c r="D1082" s="15">
        <v>20.399999999999999</v>
      </c>
      <c r="E1082" s="15">
        <v>20.399999999999999</v>
      </c>
      <c r="F1082" t="b">
        <f t="shared" si="32"/>
        <v>1</v>
      </c>
      <c r="G1082" t="str">
        <f t="shared" si="33"/>
        <v>Tradiciones Andinas</v>
      </c>
    </row>
    <row r="1083" spans="1:7" x14ac:dyDescent="0.25">
      <c r="A1083" t="s">
        <v>664</v>
      </c>
      <c r="B1083" t="s">
        <v>1033</v>
      </c>
      <c r="C1083" t="s">
        <v>1022</v>
      </c>
      <c r="D1083" s="15">
        <v>25.9</v>
      </c>
      <c r="E1083" s="15">
        <v>25.9</v>
      </c>
      <c r="F1083" t="b">
        <f t="shared" si="32"/>
        <v>1</v>
      </c>
      <c r="G1083" t="str">
        <f t="shared" si="33"/>
        <v>Tradiciones Andinas</v>
      </c>
    </row>
    <row r="1084" spans="1:7" x14ac:dyDescent="0.25">
      <c r="A1084" t="s">
        <v>664</v>
      </c>
      <c r="B1084" t="s">
        <v>1033</v>
      </c>
      <c r="C1084" t="s">
        <v>1083</v>
      </c>
      <c r="D1084" s="15">
        <v>22.24</v>
      </c>
      <c r="E1084" s="15">
        <v>22.24</v>
      </c>
      <c r="F1084" t="b">
        <f t="shared" si="32"/>
        <v>1</v>
      </c>
      <c r="G1084" t="str">
        <f t="shared" si="33"/>
        <v>Tradiciones Andinas</v>
      </c>
    </row>
    <row r="1085" spans="1:7" x14ac:dyDescent="0.25">
      <c r="A1085" t="s">
        <v>664</v>
      </c>
      <c r="B1085" t="s">
        <v>1033</v>
      </c>
      <c r="C1085" t="s">
        <v>1087</v>
      </c>
      <c r="D1085" s="15">
        <v>22.24</v>
      </c>
      <c r="E1085" s="15">
        <v>22.24</v>
      </c>
      <c r="F1085" t="b">
        <f t="shared" si="32"/>
        <v>1</v>
      </c>
      <c r="G1085" t="str">
        <f t="shared" si="33"/>
        <v>Tradiciones Andinas</v>
      </c>
    </row>
    <row r="1086" spans="1:7" x14ac:dyDescent="0.25">
      <c r="A1086" t="s">
        <v>664</v>
      </c>
      <c r="B1086" t="s">
        <v>1033</v>
      </c>
      <c r="C1086" t="s">
        <v>1018</v>
      </c>
      <c r="D1086" s="15">
        <v>19.2</v>
      </c>
      <c r="E1086" s="15">
        <v>19.2</v>
      </c>
      <c r="F1086" t="b">
        <f t="shared" si="32"/>
        <v>1</v>
      </c>
      <c r="G1086" t="str">
        <f t="shared" si="33"/>
        <v>Tradiciones Andinas</v>
      </c>
    </row>
    <row r="1087" spans="1:7" x14ac:dyDescent="0.25">
      <c r="A1087" t="s">
        <v>664</v>
      </c>
      <c r="B1087" t="s">
        <v>1033</v>
      </c>
      <c r="C1087" t="s">
        <v>803</v>
      </c>
      <c r="D1087" s="15">
        <v>21.4</v>
      </c>
      <c r="E1087" s="15">
        <v>21.4</v>
      </c>
      <c r="F1087" t="b">
        <f t="shared" si="32"/>
        <v>1</v>
      </c>
      <c r="G1087" t="str">
        <f t="shared" si="33"/>
        <v>Tradiciones Andinas</v>
      </c>
    </row>
    <row r="1088" spans="1:7" x14ac:dyDescent="0.25">
      <c r="A1088" t="s">
        <v>664</v>
      </c>
      <c r="B1088" t="s">
        <v>224</v>
      </c>
      <c r="C1088" t="s">
        <v>669</v>
      </c>
      <c r="D1088" s="15">
        <v>0</v>
      </c>
      <c r="E1088" s="15">
        <v>0</v>
      </c>
      <c r="F1088" t="b">
        <f t="shared" si="32"/>
        <v>1</v>
      </c>
      <c r="G1088" t="str">
        <f t="shared" si="33"/>
        <v>Tradiciones Andinas</v>
      </c>
    </row>
    <row r="1089" spans="1:7" x14ac:dyDescent="0.25">
      <c r="A1089" t="s">
        <v>664</v>
      </c>
      <c r="B1089" t="s">
        <v>224</v>
      </c>
      <c r="C1089" t="s">
        <v>561</v>
      </c>
      <c r="D1089" s="15">
        <v>0</v>
      </c>
      <c r="E1089" s="15">
        <v>30</v>
      </c>
      <c r="F1089" t="b">
        <f t="shared" si="32"/>
        <v>0</v>
      </c>
      <c r="G1089" t="str">
        <f t="shared" si="33"/>
        <v>Tradiciones Andinas</v>
      </c>
    </row>
    <row r="1090" spans="1:7" x14ac:dyDescent="0.25">
      <c r="A1090" t="s">
        <v>664</v>
      </c>
      <c r="B1090" t="s">
        <v>1092</v>
      </c>
      <c r="C1090" t="s">
        <v>1114</v>
      </c>
      <c r="D1090" s="15">
        <v>23.76</v>
      </c>
      <c r="E1090" s="15">
        <v>23.76</v>
      </c>
      <c r="F1090" t="b">
        <f t="shared" si="32"/>
        <v>1</v>
      </c>
      <c r="G1090" t="str">
        <f t="shared" si="33"/>
        <v>Tradiciones Andinas</v>
      </c>
    </row>
    <row r="1091" spans="1:7" x14ac:dyDescent="0.25">
      <c r="A1091" t="s">
        <v>664</v>
      </c>
      <c r="B1091" t="s">
        <v>1092</v>
      </c>
      <c r="C1091" t="s">
        <v>1112</v>
      </c>
      <c r="D1091" s="15">
        <v>23.76</v>
      </c>
      <c r="E1091" s="15">
        <v>23.76</v>
      </c>
      <c r="F1091" t="b">
        <f t="shared" si="32"/>
        <v>1</v>
      </c>
      <c r="G1091" t="str">
        <f t="shared" si="33"/>
        <v>Tradiciones Andinas</v>
      </c>
    </row>
    <row r="1092" spans="1:7" x14ac:dyDescent="0.25">
      <c r="A1092" t="s">
        <v>664</v>
      </c>
      <c r="B1092" t="s">
        <v>1092</v>
      </c>
      <c r="C1092" t="s">
        <v>1113</v>
      </c>
      <c r="D1092" s="15">
        <v>23.76</v>
      </c>
      <c r="E1092" s="15">
        <v>23.76</v>
      </c>
      <c r="F1092" t="b">
        <f t="shared" si="32"/>
        <v>1</v>
      </c>
      <c r="G1092" t="str">
        <f t="shared" si="33"/>
        <v>Tradiciones Andinas</v>
      </c>
    </row>
    <row r="1093" spans="1:7" x14ac:dyDescent="0.25">
      <c r="A1093" t="s">
        <v>664</v>
      </c>
      <c r="B1093" t="s">
        <v>1092</v>
      </c>
      <c r="C1093" t="s">
        <v>1062</v>
      </c>
      <c r="D1093" s="15">
        <v>39.46</v>
      </c>
      <c r="E1093" s="15">
        <v>39.46</v>
      </c>
      <c r="F1093" t="b">
        <f t="shared" si="32"/>
        <v>1</v>
      </c>
      <c r="G1093" t="str">
        <f t="shared" si="33"/>
        <v>Tradiciones Andinas</v>
      </c>
    </row>
    <row r="1094" spans="1:7" x14ac:dyDescent="0.25">
      <c r="A1094" t="s">
        <v>664</v>
      </c>
      <c r="B1094" t="s">
        <v>1092</v>
      </c>
      <c r="C1094" t="s">
        <v>876</v>
      </c>
      <c r="D1094" s="15">
        <v>39.46</v>
      </c>
      <c r="E1094" s="15">
        <v>39.46</v>
      </c>
      <c r="F1094" t="b">
        <f t="shared" ref="F1094:F1157" si="34">D1094=E1094</f>
        <v>1</v>
      </c>
      <c r="G1094" t="str">
        <f t="shared" ref="G1094:G1157" si="35">+A1094</f>
        <v>Tradiciones Andinas</v>
      </c>
    </row>
    <row r="1095" spans="1:7" x14ac:dyDescent="0.25">
      <c r="A1095" t="s">
        <v>664</v>
      </c>
      <c r="B1095" t="s">
        <v>1092</v>
      </c>
      <c r="C1095" t="s">
        <v>770</v>
      </c>
      <c r="D1095" s="15">
        <v>37.450000000000003</v>
      </c>
      <c r="E1095" s="15">
        <v>37.450000000000003</v>
      </c>
      <c r="F1095" t="b">
        <f t="shared" si="34"/>
        <v>1</v>
      </c>
      <c r="G1095" t="str">
        <f t="shared" si="35"/>
        <v>Tradiciones Andinas</v>
      </c>
    </row>
    <row r="1096" spans="1:7" x14ac:dyDescent="0.25">
      <c r="A1096" t="s">
        <v>664</v>
      </c>
      <c r="B1096" t="s">
        <v>1092</v>
      </c>
      <c r="C1096" t="s">
        <v>819</v>
      </c>
      <c r="D1096" s="15">
        <v>29.4</v>
      </c>
      <c r="E1096" s="15">
        <v>29.4</v>
      </c>
      <c r="F1096" t="b">
        <f t="shared" si="34"/>
        <v>1</v>
      </c>
      <c r="G1096" t="str">
        <f t="shared" si="35"/>
        <v>Tradiciones Andinas</v>
      </c>
    </row>
    <row r="1097" spans="1:7" x14ac:dyDescent="0.25">
      <c r="A1097" t="s">
        <v>664</v>
      </c>
      <c r="B1097" t="s">
        <v>1092</v>
      </c>
      <c r="C1097" t="s">
        <v>750</v>
      </c>
      <c r="D1097" s="15">
        <v>13.91</v>
      </c>
      <c r="E1097" s="15">
        <v>13.91</v>
      </c>
      <c r="F1097" t="b">
        <f t="shared" si="34"/>
        <v>1</v>
      </c>
      <c r="G1097" t="str">
        <f t="shared" si="35"/>
        <v>Tradiciones Andinas</v>
      </c>
    </row>
    <row r="1098" spans="1:7" x14ac:dyDescent="0.25">
      <c r="A1098" t="s">
        <v>664</v>
      </c>
      <c r="B1098" t="s">
        <v>1092</v>
      </c>
      <c r="C1098" t="s">
        <v>1115</v>
      </c>
      <c r="D1098" s="15">
        <v>30</v>
      </c>
      <c r="E1098" s="15">
        <v>30</v>
      </c>
      <c r="F1098" t="b">
        <f t="shared" si="34"/>
        <v>1</v>
      </c>
      <c r="G1098" t="str">
        <f t="shared" si="35"/>
        <v>Tradiciones Andinas</v>
      </c>
    </row>
    <row r="1099" spans="1:7" x14ac:dyDescent="0.25">
      <c r="A1099" t="s">
        <v>664</v>
      </c>
      <c r="B1099" t="s">
        <v>1092</v>
      </c>
      <c r="C1099" t="s">
        <v>762</v>
      </c>
      <c r="D1099" s="15">
        <v>38.520000000000003</v>
      </c>
      <c r="E1099" s="15">
        <v>38.520000000000003</v>
      </c>
      <c r="F1099" t="b">
        <f t="shared" si="34"/>
        <v>1</v>
      </c>
      <c r="G1099" t="str">
        <f t="shared" si="35"/>
        <v>Tradiciones Andinas</v>
      </c>
    </row>
    <row r="1100" spans="1:7" x14ac:dyDescent="0.25">
      <c r="A1100" t="s">
        <v>664</v>
      </c>
      <c r="B1100" t="s">
        <v>1092</v>
      </c>
      <c r="C1100" t="s">
        <v>1117</v>
      </c>
      <c r="D1100" s="15">
        <v>28.56</v>
      </c>
      <c r="E1100" s="15">
        <v>28.56</v>
      </c>
      <c r="F1100" t="b">
        <f t="shared" si="34"/>
        <v>1</v>
      </c>
      <c r="G1100" t="str">
        <f t="shared" si="35"/>
        <v>Tradiciones Andinas</v>
      </c>
    </row>
    <row r="1101" spans="1:7" x14ac:dyDescent="0.25">
      <c r="A1101" t="s">
        <v>664</v>
      </c>
      <c r="B1101" t="s">
        <v>1092</v>
      </c>
      <c r="C1101" t="s">
        <v>870</v>
      </c>
      <c r="D1101" s="15">
        <v>27.29</v>
      </c>
      <c r="E1101" s="15">
        <v>27.29</v>
      </c>
      <c r="F1101" t="b">
        <f t="shared" si="34"/>
        <v>1</v>
      </c>
      <c r="G1101" t="str">
        <f t="shared" si="35"/>
        <v>Tradiciones Andinas</v>
      </c>
    </row>
    <row r="1102" spans="1:7" x14ac:dyDescent="0.25">
      <c r="A1102" t="s">
        <v>664</v>
      </c>
      <c r="B1102" t="s">
        <v>1092</v>
      </c>
      <c r="C1102" t="s">
        <v>813</v>
      </c>
      <c r="D1102" s="15">
        <v>54.57</v>
      </c>
      <c r="E1102" s="15">
        <v>54.57</v>
      </c>
      <c r="F1102" t="b">
        <f t="shared" si="34"/>
        <v>1</v>
      </c>
      <c r="G1102" t="str">
        <f t="shared" si="35"/>
        <v>Tradiciones Andinas</v>
      </c>
    </row>
    <row r="1103" spans="1:7" x14ac:dyDescent="0.25">
      <c r="A1103" t="s">
        <v>664</v>
      </c>
      <c r="B1103" t="s">
        <v>1092</v>
      </c>
      <c r="C1103" t="s">
        <v>809</v>
      </c>
      <c r="D1103" s="15">
        <v>32.74</v>
      </c>
      <c r="E1103" s="15">
        <v>32.74</v>
      </c>
      <c r="F1103" t="b">
        <f t="shared" si="34"/>
        <v>1</v>
      </c>
      <c r="G1103" t="str">
        <f t="shared" si="35"/>
        <v>Tradiciones Andinas</v>
      </c>
    </row>
    <row r="1104" spans="1:7" x14ac:dyDescent="0.25">
      <c r="A1104" t="s">
        <v>664</v>
      </c>
      <c r="B1104" t="s">
        <v>1092</v>
      </c>
      <c r="C1104" t="s">
        <v>1123</v>
      </c>
      <c r="D1104" s="15">
        <v>55.8</v>
      </c>
      <c r="E1104" s="15">
        <v>55.8</v>
      </c>
      <c r="F1104" t="b">
        <f t="shared" si="34"/>
        <v>1</v>
      </c>
      <c r="G1104" t="str">
        <f t="shared" si="35"/>
        <v>Tradiciones Andinas</v>
      </c>
    </row>
    <row r="1105" spans="1:7" x14ac:dyDescent="0.25">
      <c r="A1105" t="s">
        <v>664</v>
      </c>
      <c r="B1105" t="s">
        <v>1092</v>
      </c>
      <c r="C1105" t="s">
        <v>843</v>
      </c>
      <c r="D1105" s="15">
        <v>53.68</v>
      </c>
      <c r="E1105" s="15">
        <v>53.68</v>
      </c>
      <c r="F1105" t="b">
        <f t="shared" si="34"/>
        <v>1</v>
      </c>
      <c r="G1105" t="str">
        <f t="shared" si="35"/>
        <v>Tradiciones Andinas</v>
      </c>
    </row>
    <row r="1106" spans="1:7" x14ac:dyDescent="0.25">
      <c r="A1106" t="s">
        <v>664</v>
      </c>
      <c r="B1106" t="s">
        <v>1092</v>
      </c>
      <c r="C1106" t="s">
        <v>872</v>
      </c>
      <c r="D1106" s="15">
        <v>27.29</v>
      </c>
      <c r="E1106" s="15">
        <v>27.29</v>
      </c>
      <c r="F1106" t="b">
        <f t="shared" si="34"/>
        <v>1</v>
      </c>
      <c r="G1106" t="str">
        <f t="shared" si="35"/>
        <v>Tradiciones Andinas</v>
      </c>
    </row>
    <row r="1107" spans="1:7" x14ac:dyDescent="0.25">
      <c r="A1107" t="s">
        <v>664</v>
      </c>
      <c r="B1107" t="s">
        <v>1092</v>
      </c>
      <c r="C1107" t="s">
        <v>1094</v>
      </c>
      <c r="D1107" s="15">
        <v>31.08</v>
      </c>
      <c r="E1107" s="15">
        <v>31.08</v>
      </c>
      <c r="F1107" t="b">
        <f t="shared" si="34"/>
        <v>1</v>
      </c>
      <c r="G1107" t="str">
        <f t="shared" si="35"/>
        <v>Tradiciones Andinas</v>
      </c>
    </row>
    <row r="1108" spans="1:7" x14ac:dyDescent="0.25">
      <c r="A1108" t="s">
        <v>664</v>
      </c>
      <c r="B1108" t="s">
        <v>1092</v>
      </c>
      <c r="C1108" t="s">
        <v>817</v>
      </c>
      <c r="D1108" s="15">
        <v>46.22</v>
      </c>
      <c r="E1108" s="15">
        <v>46.22</v>
      </c>
      <c r="F1108" t="b">
        <f t="shared" si="34"/>
        <v>1</v>
      </c>
      <c r="G1108" t="str">
        <f t="shared" si="35"/>
        <v>Tradiciones Andinas</v>
      </c>
    </row>
    <row r="1109" spans="1:7" x14ac:dyDescent="0.25">
      <c r="A1109" t="s">
        <v>664</v>
      </c>
      <c r="B1109" t="s">
        <v>1092</v>
      </c>
      <c r="C1109" t="s">
        <v>928</v>
      </c>
      <c r="D1109" s="15">
        <v>66.34</v>
      </c>
      <c r="E1109" s="15">
        <v>66.34</v>
      </c>
      <c r="F1109" t="b">
        <f t="shared" si="34"/>
        <v>1</v>
      </c>
      <c r="G1109" t="str">
        <f t="shared" si="35"/>
        <v>Tradiciones Andinas</v>
      </c>
    </row>
    <row r="1110" spans="1:7" x14ac:dyDescent="0.25">
      <c r="A1110" t="s">
        <v>664</v>
      </c>
      <c r="B1110" t="s">
        <v>1092</v>
      </c>
      <c r="C1110" t="s">
        <v>853</v>
      </c>
      <c r="D1110" s="15">
        <v>13.2</v>
      </c>
      <c r="E1110" s="15">
        <v>13.2</v>
      </c>
      <c r="F1110" t="b">
        <f t="shared" si="34"/>
        <v>1</v>
      </c>
      <c r="G1110" t="str">
        <f t="shared" si="35"/>
        <v>Tradiciones Andinas</v>
      </c>
    </row>
    <row r="1111" spans="1:7" x14ac:dyDescent="0.25">
      <c r="A1111" t="s">
        <v>664</v>
      </c>
      <c r="B1111" t="s">
        <v>1092</v>
      </c>
      <c r="C1111" t="s">
        <v>720</v>
      </c>
      <c r="D1111" s="15">
        <v>23.96</v>
      </c>
      <c r="E1111" s="15">
        <v>23.96</v>
      </c>
      <c r="F1111" t="b">
        <f t="shared" si="34"/>
        <v>1</v>
      </c>
      <c r="G1111" t="str">
        <f t="shared" si="35"/>
        <v>Tradiciones Andinas</v>
      </c>
    </row>
    <row r="1112" spans="1:7" x14ac:dyDescent="0.25">
      <c r="A1112" t="s">
        <v>664</v>
      </c>
      <c r="B1112" t="s">
        <v>1092</v>
      </c>
      <c r="C1112" t="s">
        <v>768</v>
      </c>
      <c r="D1112" s="15">
        <v>45.8</v>
      </c>
      <c r="E1112" s="15">
        <v>45.8</v>
      </c>
      <c r="F1112" t="b">
        <f t="shared" si="34"/>
        <v>1</v>
      </c>
      <c r="G1112" t="str">
        <f t="shared" si="35"/>
        <v>Tradiciones Andinas</v>
      </c>
    </row>
    <row r="1113" spans="1:7" x14ac:dyDescent="0.25">
      <c r="A1113" t="s">
        <v>664</v>
      </c>
      <c r="B1113" t="s">
        <v>1092</v>
      </c>
      <c r="C1113" t="s">
        <v>930</v>
      </c>
      <c r="D1113" s="15">
        <v>26.4</v>
      </c>
      <c r="E1113" s="15">
        <v>26.4</v>
      </c>
      <c r="F1113" t="b">
        <f t="shared" si="34"/>
        <v>1</v>
      </c>
      <c r="G1113" t="str">
        <f t="shared" si="35"/>
        <v>Tradiciones Andinas</v>
      </c>
    </row>
    <row r="1114" spans="1:7" x14ac:dyDescent="0.25">
      <c r="A1114" t="s">
        <v>664</v>
      </c>
      <c r="B1114" t="s">
        <v>1092</v>
      </c>
      <c r="C1114" t="s">
        <v>1104</v>
      </c>
      <c r="D1114" s="15">
        <v>39.5</v>
      </c>
      <c r="E1114" s="15">
        <v>39.5</v>
      </c>
      <c r="F1114" t="b">
        <f t="shared" si="34"/>
        <v>1</v>
      </c>
      <c r="G1114" t="str">
        <f t="shared" si="35"/>
        <v>Tradiciones Andinas</v>
      </c>
    </row>
    <row r="1115" spans="1:7" x14ac:dyDescent="0.25">
      <c r="A1115" t="s">
        <v>664</v>
      </c>
      <c r="B1115" t="s">
        <v>1092</v>
      </c>
      <c r="C1115" t="s">
        <v>868</v>
      </c>
      <c r="D1115" s="15">
        <v>27.29</v>
      </c>
      <c r="E1115" s="15">
        <v>27.29</v>
      </c>
      <c r="F1115" t="b">
        <f t="shared" si="34"/>
        <v>1</v>
      </c>
      <c r="G1115" t="str">
        <f t="shared" si="35"/>
        <v>Tradiciones Andinas</v>
      </c>
    </row>
    <row r="1116" spans="1:7" x14ac:dyDescent="0.25">
      <c r="A1116" t="s">
        <v>664</v>
      </c>
      <c r="B1116" t="s">
        <v>1092</v>
      </c>
      <c r="C1116" t="s">
        <v>1051</v>
      </c>
      <c r="D1116" s="15">
        <v>16.68</v>
      </c>
      <c r="E1116" s="15">
        <v>16.68</v>
      </c>
      <c r="F1116" t="b">
        <f t="shared" si="34"/>
        <v>1</v>
      </c>
      <c r="G1116" t="str">
        <f t="shared" si="35"/>
        <v>Tradiciones Andinas</v>
      </c>
    </row>
    <row r="1117" spans="1:7" x14ac:dyDescent="0.25">
      <c r="A1117" t="s">
        <v>664</v>
      </c>
      <c r="B1117" t="s">
        <v>1092</v>
      </c>
      <c r="C1117" t="s">
        <v>1100</v>
      </c>
      <c r="D1117" s="15">
        <v>12.6</v>
      </c>
      <c r="E1117" s="15">
        <v>12.6</v>
      </c>
      <c r="F1117" t="b">
        <f t="shared" si="34"/>
        <v>1</v>
      </c>
      <c r="G1117" t="str">
        <f t="shared" si="35"/>
        <v>Tradiciones Andinas</v>
      </c>
    </row>
    <row r="1118" spans="1:7" x14ac:dyDescent="0.25">
      <c r="A1118" t="s">
        <v>664</v>
      </c>
      <c r="B1118" t="s">
        <v>1092</v>
      </c>
      <c r="C1118" t="s">
        <v>1099</v>
      </c>
      <c r="D1118" s="15">
        <v>12.6</v>
      </c>
      <c r="E1118" s="15">
        <v>12.6</v>
      </c>
      <c r="F1118" t="b">
        <f t="shared" si="34"/>
        <v>1</v>
      </c>
      <c r="G1118" t="str">
        <f t="shared" si="35"/>
        <v>Tradiciones Andinas</v>
      </c>
    </row>
    <row r="1119" spans="1:7" x14ac:dyDescent="0.25">
      <c r="A1119" t="s">
        <v>664</v>
      </c>
      <c r="B1119" t="s">
        <v>1092</v>
      </c>
      <c r="C1119" t="s">
        <v>1096</v>
      </c>
      <c r="D1119" s="15">
        <v>12.6</v>
      </c>
      <c r="E1119" s="15">
        <v>12.6</v>
      </c>
      <c r="F1119" t="b">
        <f t="shared" si="34"/>
        <v>1</v>
      </c>
      <c r="G1119" t="str">
        <f t="shared" si="35"/>
        <v>Tradiciones Andinas</v>
      </c>
    </row>
    <row r="1120" spans="1:7" x14ac:dyDescent="0.25">
      <c r="A1120" t="s">
        <v>664</v>
      </c>
      <c r="B1120" t="s">
        <v>1092</v>
      </c>
      <c r="C1120" t="s">
        <v>962</v>
      </c>
      <c r="D1120" s="15">
        <v>27.29</v>
      </c>
      <c r="E1120" s="15">
        <v>27.29</v>
      </c>
      <c r="F1120" t="b">
        <f t="shared" si="34"/>
        <v>1</v>
      </c>
      <c r="G1120" t="str">
        <f t="shared" si="35"/>
        <v>Tradiciones Andinas</v>
      </c>
    </row>
    <row r="1121" spans="1:7" x14ac:dyDescent="0.25">
      <c r="A1121" t="s">
        <v>664</v>
      </c>
      <c r="B1121" t="s">
        <v>1092</v>
      </c>
      <c r="C1121" t="s">
        <v>1097</v>
      </c>
      <c r="D1121" s="15">
        <v>12.6</v>
      </c>
      <c r="E1121" s="15">
        <v>12.6</v>
      </c>
      <c r="F1121" t="b">
        <f t="shared" si="34"/>
        <v>1</v>
      </c>
      <c r="G1121" t="str">
        <f t="shared" si="35"/>
        <v>Tradiciones Andinas</v>
      </c>
    </row>
    <row r="1122" spans="1:7" x14ac:dyDescent="0.25">
      <c r="A1122" t="s">
        <v>664</v>
      </c>
      <c r="B1122" t="s">
        <v>1092</v>
      </c>
      <c r="C1122" t="s">
        <v>1066</v>
      </c>
      <c r="D1122" s="15">
        <v>14</v>
      </c>
      <c r="E1122" s="15">
        <v>14</v>
      </c>
      <c r="F1122" t="b">
        <f t="shared" si="34"/>
        <v>1</v>
      </c>
      <c r="G1122" t="str">
        <f t="shared" si="35"/>
        <v>Tradiciones Andinas</v>
      </c>
    </row>
    <row r="1123" spans="1:7" x14ac:dyDescent="0.25">
      <c r="A1123" t="s">
        <v>664</v>
      </c>
      <c r="B1123" t="s">
        <v>1092</v>
      </c>
      <c r="C1123" t="s">
        <v>1068</v>
      </c>
      <c r="D1123" s="15">
        <v>14</v>
      </c>
      <c r="E1123" s="15">
        <v>14</v>
      </c>
      <c r="F1123" t="b">
        <f t="shared" si="34"/>
        <v>1</v>
      </c>
      <c r="G1123" t="str">
        <f t="shared" si="35"/>
        <v>Tradiciones Andinas</v>
      </c>
    </row>
    <row r="1124" spans="1:7" x14ac:dyDescent="0.25">
      <c r="A1124" t="s">
        <v>664</v>
      </c>
      <c r="B1124" t="s">
        <v>1092</v>
      </c>
      <c r="C1124" t="s">
        <v>1119</v>
      </c>
      <c r="D1124" s="15">
        <v>25.02</v>
      </c>
      <c r="E1124" s="15">
        <v>25.02</v>
      </c>
      <c r="F1124" t="b">
        <f t="shared" si="34"/>
        <v>1</v>
      </c>
      <c r="G1124" t="str">
        <f t="shared" si="35"/>
        <v>Tradiciones Andinas</v>
      </c>
    </row>
    <row r="1125" spans="1:7" x14ac:dyDescent="0.25">
      <c r="A1125" t="s">
        <v>664</v>
      </c>
      <c r="B1125" t="s">
        <v>1092</v>
      </c>
      <c r="C1125" t="s">
        <v>1110</v>
      </c>
      <c r="D1125" s="15">
        <v>23.76</v>
      </c>
      <c r="E1125" s="15">
        <v>23.76</v>
      </c>
      <c r="F1125" t="b">
        <f t="shared" si="34"/>
        <v>1</v>
      </c>
      <c r="G1125" t="str">
        <f t="shared" si="35"/>
        <v>Tradiciones Andinas</v>
      </c>
    </row>
    <row r="1126" spans="1:7" x14ac:dyDescent="0.25">
      <c r="A1126" t="s">
        <v>664</v>
      </c>
      <c r="B1126" t="s">
        <v>1092</v>
      </c>
      <c r="C1126" t="s">
        <v>1106</v>
      </c>
      <c r="D1126" s="15">
        <v>22.24</v>
      </c>
      <c r="E1126" s="15">
        <v>22.24</v>
      </c>
      <c r="F1126" t="b">
        <f t="shared" si="34"/>
        <v>1</v>
      </c>
      <c r="G1126" t="str">
        <f t="shared" si="35"/>
        <v>Tradiciones Andinas</v>
      </c>
    </row>
    <row r="1127" spans="1:7" x14ac:dyDescent="0.25">
      <c r="A1127" t="s">
        <v>664</v>
      </c>
      <c r="B1127" t="s">
        <v>1092</v>
      </c>
      <c r="C1127" t="s">
        <v>1108</v>
      </c>
      <c r="D1127" s="15">
        <v>22.24</v>
      </c>
      <c r="E1127" s="15">
        <v>22.24</v>
      </c>
      <c r="F1127" t="b">
        <f t="shared" si="34"/>
        <v>1</v>
      </c>
      <c r="G1127" t="str">
        <f t="shared" si="35"/>
        <v>Tradiciones Andinas</v>
      </c>
    </row>
    <row r="1128" spans="1:7" x14ac:dyDescent="0.25">
      <c r="A1128" t="s">
        <v>664</v>
      </c>
      <c r="B1128" t="s">
        <v>1092</v>
      </c>
      <c r="C1128" t="s">
        <v>1121</v>
      </c>
      <c r="D1128" s="15">
        <v>22.24</v>
      </c>
      <c r="E1128" s="15">
        <v>22.24</v>
      </c>
      <c r="F1128" t="b">
        <f t="shared" si="34"/>
        <v>1</v>
      </c>
      <c r="G1128" t="str">
        <f t="shared" si="35"/>
        <v>Tradiciones Andinas</v>
      </c>
    </row>
    <row r="1129" spans="1:7" x14ac:dyDescent="0.25">
      <c r="A1129" t="s">
        <v>664</v>
      </c>
      <c r="B1129" t="s">
        <v>1092</v>
      </c>
      <c r="C1129" t="s">
        <v>656</v>
      </c>
      <c r="D1129" s="15">
        <v>36</v>
      </c>
      <c r="E1129" s="15">
        <v>36</v>
      </c>
      <c r="F1129" t="b">
        <f t="shared" si="34"/>
        <v>1</v>
      </c>
      <c r="G1129" t="str">
        <f t="shared" si="35"/>
        <v>Tradiciones Andinas</v>
      </c>
    </row>
    <row r="1130" spans="1:7" x14ac:dyDescent="0.25">
      <c r="A1130" t="s">
        <v>664</v>
      </c>
      <c r="B1130" t="s">
        <v>1125</v>
      </c>
      <c r="C1130" t="s">
        <v>35</v>
      </c>
      <c r="D1130" s="15">
        <v>28.8</v>
      </c>
      <c r="E1130" s="15">
        <v>28.8</v>
      </c>
      <c r="F1130" t="b">
        <f t="shared" si="34"/>
        <v>1</v>
      </c>
      <c r="G1130" t="str">
        <f t="shared" si="35"/>
        <v>Tradiciones Andinas</v>
      </c>
    </row>
    <row r="1131" spans="1:7" x14ac:dyDescent="0.25">
      <c r="A1131" t="s">
        <v>664</v>
      </c>
      <c r="B1131" t="s">
        <v>1125</v>
      </c>
      <c r="C1131" t="s">
        <v>56</v>
      </c>
      <c r="D1131" s="15">
        <v>51.1</v>
      </c>
      <c r="E1131" s="15">
        <v>51.1</v>
      </c>
      <c r="F1131" t="b">
        <f t="shared" si="34"/>
        <v>1</v>
      </c>
      <c r="G1131" t="str">
        <f t="shared" si="35"/>
        <v>Tradiciones Andinas</v>
      </c>
    </row>
    <row r="1132" spans="1:7" x14ac:dyDescent="0.25">
      <c r="A1132" t="s">
        <v>664</v>
      </c>
      <c r="B1132" t="s">
        <v>1125</v>
      </c>
      <c r="C1132" t="s">
        <v>58</v>
      </c>
      <c r="D1132" s="15">
        <v>57.39</v>
      </c>
      <c r="E1132" s="15">
        <v>57.39</v>
      </c>
      <c r="F1132" t="b">
        <f t="shared" si="34"/>
        <v>1</v>
      </c>
      <c r="G1132" t="str">
        <f t="shared" si="35"/>
        <v>Tradiciones Andinas</v>
      </c>
    </row>
    <row r="1133" spans="1:7" x14ac:dyDescent="0.25">
      <c r="A1133" t="s">
        <v>664</v>
      </c>
      <c r="B1133" t="s">
        <v>1125</v>
      </c>
      <c r="C1133" t="s">
        <v>348</v>
      </c>
      <c r="D1133" s="15">
        <v>18.32</v>
      </c>
      <c r="E1133" s="15">
        <v>18.32</v>
      </c>
      <c r="F1133" t="b">
        <f t="shared" si="34"/>
        <v>1</v>
      </c>
      <c r="G1133" t="str">
        <f t="shared" si="35"/>
        <v>Tradiciones Andinas</v>
      </c>
    </row>
    <row r="1134" spans="1:7" x14ac:dyDescent="0.25">
      <c r="A1134" t="s">
        <v>664</v>
      </c>
      <c r="B1134" t="s">
        <v>1125</v>
      </c>
      <c r="C1134" t="s">
        <v>62</v>
      </c>
      <c r="D1134" s="15">
        <v>13.57</v>
      </c>
      <c r="E1134" s="15">
        <v>13.57</v>
      </c>
      <c r="F1134" t="b">
        <f t="shared" si="34"/>
        <v>1</v>
      </c>
      <c r="G1134" t="str">
        <f t="shared" si="35"/>
        <v>Tradiciones Andinas</v>
      </c>
    </row>
    <row r="1135" spans="1:7" x14ac:dyDescent="0.25">
      <c r="A1135" t="s">
        <v>664</v>
      </c>
      <c r="B1135" t="s">
        <v>1125</v>
      </c>
      <c r="C1135" t="s">
        <v>902</v>
      </c>
      <c r="D1135" s="15">
        <v>72.72</v>
      </c>
      <c r="E1135" s="15">
        <v>72.72</v>
      </c>
      <c r="F1135" t="b">
        <f t="shared" si="34"/>
        <v>1</v>
      </c>
      <c r="G1135" t="str">
        <f t="shared" si="35"/>
        <v>Tradiciones Andinas</v>
      </c>
    </row>
    <row r="1136" spans="1:7" x14ac:dyDescent="0.25">
      <c r="A1136" t="s">
        <v>664</v>
      </c>
      <c r="B1136" t="s">
        <v>1125</v>
      </c>
      <c r="C1136" t="s">
        <v>739</v>
      </c>
      <c r="D1136" s="15">
        <v>14</v>
      </c>
      <c r="E1136" s="15">
        <v>14</v>
      </c>
      <c r="F1136" t="b">
        <f t="shared" si="34"/>
        <v>1</v>
      </c>
      <c r="G1136" t="str">
        <f t="shared" si="35"/>
        <v>Tradiciones Andinas</v>
      </c>
    </row>
    <row r="1137" spans="1:7" x14ac:dyDescent="0.25">
      <c r="A1137" t="s">
        <v>664</v>
      </c>
      <c r="B1137" t="s">
        <v>1125</v>
      </c>
      <c r="C1137" t="s">
        <v>741</v>
      </c>
      <c r="D1137" s="15">
        <v>14</v>
      </c>
      <c r="E1137" s="15">
        <v>14</v>
      </c>
      <c r="F1137" t="b">
        <f t="shared" si="34"/>
        <v>1</v>
      </c>
      <c r="G1137" t="str">
        <f t="shared" si="35"/>
        <v>Tradiciones Andinas</v>
      </c>
    </row>
    <row r="1138" spans="1:7" x14ac:dyDescent="0.25">
      <c r="A1138" t="s">
        <v>664</v>
      </c>
      <c r="B1138" t="s">
        <v>1125</v>
      </c>
      <c r="C1138" t="s">
        <v>863</v>
      </c>
      <c r="D1138" s="15">
        <v>52.52</v>
      </c>
      <c r="E1138" s="15">
        <v>52.52</v>
      </c>
      <c r="F1138" t="b">
        <f t="shared" si="34"/>
        <v>1</v>
      </c>
      <c r="G1138" t="str">
        <f t="shared" si="35"/>
        <v>Tradiciones Andinas</v>
      </c>
    </row>
    <row r="1139" spans="1:7" x14ac:dyDescent="0.25">
      <c r="A1139" t="s">
        <v>664</v>
      </c>
      <c r="B1139" t="s">
        <v>1125</v>
      </c>
      <c r="C1139" t="s">
        <v>738</v>
      </c>
      <c r="D1139" s="15">
        <v>9.07</v>
      </c>
      <c r="E1139" s="15">
        <v>9.07</v>
      </c>
      <c r="F1139" t="b">
        <f t="shared" si="34"/>
        <v>1</v>
      </c>
      <c r="G1139" t="str">
        <f t="shared" si="35"/>
        <v>Tradiciones Andinas</v>
      </c>
    </row>
    <row r="1140" spans="1:7" x14ac:dyDescent="0.25">
      <c r="A1140" t="s">
        <v>664</v>
      </c>
      <c r="B1140" t="s">
        <v>1125</v>
      </c>
      <c r="C1140" t="s">
        <v>823</v>
      </c>
      <c r="D1140" s="15">
        <v>40.82</v>
      </c>
      <c r="E1140" s="15">
        <v>40.82</v>
      </c>
      <c r="F1140" t="b">
        <f t="shared" si="34"/>
        <v>1</v>
      </c>
      <c r="G1140" t="str">
        <f t="shared" si="35"/>
        <v>Tradiciones Andinas</v>
      </c>
    </row>
    <row r="1141" spans="1:7" x14ac:dyDescent="0.25">
      <c r="A1141" t="s">
        <v>664</v>
      </c>
      <c r="B1141" t="s">
        <v>1125</v>
      </c>
      <c r="C1141" t="s">
        <v>692</v>
      </c>
      <c r="D1141" s="15">
        <v>39.68</v>
      </c>
      <c r="E1141" s="15">
        <v>39.68</v>
      </c>
      <c r="F1141" t="b">
        <f t="shared" si="34"/>
        <v>1</v>
      </c>
      <c r="G1141" t="str">
        <f t="shared" si="35"/>
        <v>Tradiciones Andinas</v>
      </c>
    </row>
    <row r="1142" spans="1:7" x14ac:dyDescent="0.25">
      <c r="A1142" t="s">
        <v>664</v>
      </c>
      <c r="B1142" t="s">
        <v>1125</v>
      </c>
      <c r="C1142" t="s">
        <v>1115</v>
      </c>
      <c r="D1142" s="15">
        <v>30</v>
      </c>
      <c r="E1142" s="15">
        <v>30</v>
      </c>
      <c r="F1142" t="b">
        <f t="shared" si="34"/>
        <v>1</v>
      </c>
      <c r="G1142" t="str">
        <f t="shared" si="35"/>
        <v>Tradiciones Andinas</v>
      </c>
    </row>
    <row r="1143" spans="1:7" x14ac:dyDescent="0.25">
      <c r="A1143" t="s">
        <v>664</v>
      </c>
      <c r="B1143" t="s">
        <v>1125</v>
      </c>
      <c r="C1143" t="s">
        <v>686</v>
      </c>
      <c r="D1143" s="15">
        <v>25.54</v>
      </c>
      <c r="E1143" s="15">
        <v>25.54</v>
      </c>
      <c r="F1143" t="b">
        <f t="shared" si="34"/>
        <v>1</v>
      </c>
      <c r="G1143" t="str">
        <f t="shared" si="35"/>
        <v>Tradiciones Andinas</v>
      </c>
    </row>
    <row r="1144" spans="1:7" x14ac:dyDescent="0.25">
      <c r="A1144" t="s">
        <v>664</v>
      </c>
      <c r="B1144" t="s">
        <v>1125</v>
      </c>
      <c r="C1144" t="s">
        <v>673</v>
      </c>
      <c r="D1144" s="15">
        <v>33.380000000000003</v>
      </c>
      <c r="E1144" s="15">
        <v>33.380000000000003</v>
      </c>
      <c r="F1144" t="b">
        <f t="shared" si="34"/>
        <v>1</v>
      </c>
      <c r="G1144" t="str">
        <f t="shared" si="35"/>
        <v>Tradiciones Andinas</v>
      </c>
    </row>
    <row r="1145" spans="1:7" x14ac:dyDescent="0.25">
      <c r="A1145" t="s">
        <v>664</v>
      </c>
      <c r="B1145" t="s">
        <v>1125</v>
      </c>
      <c r="C1145" t="s">
        <v>1117</v>
      </c>
      <c r="D1145" s="15">
        <v>28.56</v>
      </c>
      <c r="E1145" s="15">
        <v>28.56</v>
      </c>
      <c r="F1145" t="b">
        <f t="shared" si="34"/>
        <v>1</v>
      </c>
      <c r="G1145" t="str">
        <f t="shared" si="35"/>
        <v>Tradiciones Andinas</v>
      </c>
    </row>
    <row r="1146" spans="1:7" x14ac:dyDescent="0.25">
      <c r="A1146" t="s">
        <v>664</v>
      </c>
      <c r="B1146" t="s">
        <v>1125</v>
      </c>
      <c r="C1146" t="s">
        <v>675</v>
      </c>
      <c r="D1146" s="15">
        <v>31.2</v>
      </c>
      <c r="E1146" s="15">
        <v>31.2</v>
      </c>
      <c r="F1146" t="b">
        <f t="shared" si="34"/>
        <v>1</v>
      </c>
      <c r="G1146" t="str">
        <f t="shared" si="35"/>
        <v>Tradiciones Andinas</v>
      </c>
    </row>
    <row r="1147" spans="1:7" x14ac:dyDescent="0.25">
      <c r="A1147" t="s">
        <v>664</v>
      </c>
      <c r="B1147" t="s">
        <v>1125</v>
      </c>
      <c r="C1147" t="s">
        <v>685</v>
      </c>
      <c r="D1147" s="15">
        <v>25.54</v>
      </c>
      <c r="E1147" s="15">
        <v>25.54</v>
      </c>
      <c r="F1147" t="b">
        <f t="shared" si="34"/>
        <v>1</v>
      </c>
      <c r="G1147" t="str">
        <f t="shared" si="35"/>
        <v>Tradiciones Andinas</v>
      </c>
    </row>
    <row r="1148" spans="1:7" x14ac:dyDescent="0.25">
      <c r="A1148" t="s">
        <v>664</v>
      </c>
      <c r="B1148" t="s">
        <v>1125</v>
      </c>
      <c r="C1148" t="s">
        <v>1131</v>
      </c>
      <c r="D1148" s="15">
        <v>28.56</v>
      </c>
      <c r="E1148" s="15">
        <v>28.56</v>
      </c>
      <c r="F1148" t="b">
        <f t="shared" si="34"/>
        <v>1</v>
      </c>
      <c r="G1148" t="str">
        <f t="shared" si="35"/>
        <v>Tradiciones Andinas</v>
      </c>
    </row>
    <row r="1149" spans="1:7" x14ac:dyDescent="0.25">
      <c r="A1149" t="s">
        <v>664</v>
      </c>
      <c r="B1149" t="s">
        <v>1125</v>
      </c>
      <c r="C1149" t="s">
        <v>825</v>
      </c>
      <c r="D1149" s="15">
        <v>32.1</v>
      </c>
      <c r="E1149" s="15">
        <v>32.1</v>
      </c>
      <c r="F1149" t="b">
        <f t="shared" si="34"/>
        <v>1</v>
      </c>
      <c r="G1149" t="str">
        <f t="shared" si="35"/>
        <v>Tradiciones Andinas</v>
      </c>
    </row>
    <row r="1150" spans="1:7" x14ac:dyDescent="0.25">
      <c r="A1150" t="s">
        <v>664</v>
      </c>
      <c r="B1150" t="s">
        <v>1125</v>
      </c>
      <c r="C1150" t="s">
        <v>754</v>
      </c>
      <c r="D1150" s="15">
        <v>38.39</v>
      </c>
      <c r="E1150" s="15">
        <v>38.39</v>
      </c>
      <c r="F1150" t="b">
        <f t="shared" si="34"/>
        <v>1</v>
      </c>
      <c r="G1150" t="str">
        <f t="shared" si="35"/>
        <v>Tradiciones Andinas</v>
      </c>
    </row>
    <row r="1151" spans="1:7" x14ac:dyDescent="0.25">
      <c r="A1151" t="s">
        <v>664</v>
      </c>
      <c r="B1151" t="s">
        <v>1125</v>
      </c>
      <c r="C1151" t="s">
        <v>813</v>
      </c>
      <c r="D1151" s="15">
        <v>54.57</v>
      </c>
      <c r="E1151" s="15">
        <v>54.57</v>
      </c>
      <c r="F1151" t="b">
        <f t="shared" si="34"/>
        <v>1</v>
      </c>
      <c r="G1151" t="str">
        <f t="shared" si="35"/>
        <v>Tradiciones Andinas</v>
      </c>
    </row>
    <row r="1152" spans="1:7" x14ac:dyDescent="0.25">
      <c r="A1152" t="s">
        <v>664</v>
      </c>
      <c r="B1152" t="s">
        <v>1125</v>
      </c>
      <c r="C1152" t="s">
        <v>809</v>
      </c>
      <c r="D1152" s="15">
        <v>32.74</v>
      </c>
      <c r="E1152" s="15">
        <v>32.74</v>
      </c>
      <c r="F1152" t="b">
        <f t="shared" si="34"/>
        <v>1</v>
      </c>
      <c r="G1152" t="str">
        <f t="shared" si="35"/>
        <v>Tradiciones Andinas</v>
      </c>
    </row>
    <row r="1153" spans="1:7" x14ac:dyDescent="0.25">
      <c r="A1153" t="s">
        <v>664</v>
      </c>
      <c r="B1153" t="s">
        <v>1125</v>
      </c>
      <c r="C1153" t="s">
        <v>1133</v>
      </c>
      <c r="D1153" s="15">
        <v>36</v>
      </c>
      <c r="E1153" s="15">
        <v>36</v>
      </c>
      <c r="F1153" t="b">
        <f t="shared" si="34"/>
        <v>1</v>
      </c>
      <c r="G1153" t="str">
        <f t="shared" si="35"/>
        <v>Tradiciones Andinas</v>
      </c>
    </row>
    <row r="1154" spans="1:7" x14ac:dyDescent="0.25">
      <c r="A1154" t="s">
        <v>664</v>
      </c>
      <c r="B1154" t="s">
        <v>1125</v>
      </c>
      <c r="C1154" t="s">
        <v>1038</v>
      </c>
      <c r="D1154" s="15">
        <v>32.1</v>
      </c>
      <c r="E1154" s="15">
        <v>32.1</v>
      </c>
      <c r="F1154" t="b">
        <f t="shared" si="34"/>
        <v>1</v>
      </c>
      <c r="G1154" t="str">
        <f t="shared" si="35"/>
        <v>Tradiciones Andinas</v>
      </c>
    </row>
    <row r="1155" spans="1:7" x14ac:dyDescent="0.25">
      <c r="A1155" t="s">
        <v>664</v>
      </c>
      <c r="B1155" t="s">
        <v>1125</v>
      </c>
      <c r="C1155" t="s">
        <v>904</v>
      </c>
      <c r="D1155" s="15">
        <v>27</v>
      </c>
      <c r="E1155" s="15">
        <v>27</v>
      </c>
      <c r="F1155" t="b">
        <f t="shared" si="34"/>
        <v>1</v>
      </c>
      <c r="G1155" t="str">
        <f t="shared" si="35"/>
        <v>Tradiciones Andinas</v>
      </c>
    </row>
    <row r="1156" spans="1:7" x14ac:dyDescent="0.25">
      <c r="A1156" t="s">
        <v>664</v>
      </c>
      <c r="B1156" t="s">
        <v>1125</v>
      </c>
      <c r="C1156" t="s">
        <v>1149</v>
      </c>
      <c r="D1156" s="15">
        <v>18</v>
      </c>
      <c r="E1156" s="15">
        <v>18</v>
      </c>
      <c r="F1156" t="b">
        <f t="shared" si="34"/>
        <v>1</v>
      </c>
      <c r="G1156" t="str">
        <f t="shared" si="35"/>
        <v>Tradiciones Andinas</v>
      </c>
    </row>
    <row r="1157" spans="1:7" x14ac:dyDescent="0.25">
      <c r="A1157" t="s">
        <v>664</v>
      </c>
      <c r="B1157" t="s">
        <v>1125</v>
      </c>
      <c r="C1157" t="s">
        <v>756</v>
      </c>
      <c r="D1157" s="15">
        <v>13.2</v>
      </c>
      <c r="E1157" s="15">
        <v>13.2</v>
      </c>
      <c r="F1157" t="b">
        <f t="shared" si="34"/>
        <v>1</v>
      </c>
      <c r="G1157" t="str">
        <f t="shared" si="35"/>
        <v>Tradiciones Andinas</v>
      </c>
    </row>
    <row r="1158" spans="1:7" x14ac:dyDescent="0.25">
      <c r="A1158" t="s">
        <v>664</v>
      </c>
      <c r="B1158" t="s">
        <v>1125</v>
      </c>
      <c r="C1158" t="s">
        <v>1123</v>
      </c>
      <c r="D1158" s="15">
        <v>55.8</v>
      </c>
      <c r="E1158" s="15">
        <v>55.8</v>
      </c>
      <c r="F1158" t="b">
        <f t="shared" ref="F1158:F1221" si="36">D1158=E1158</f>
        <v>1</v>
      </c>
      <c r="G1158" t="str">
        <f t="shared" ref="G1158:G1221" si="37">+A1158</f>
        <v>Tradiciones Andinas</v>
      </c>
    </row>
    <row r="1159" spans="1:7" x14ac:dyDescent="0.25">
      <c r="A1159" t="s">
        <v>664</v>
      </c>
      <c r="B1159" t="s">
        <v>1125</v>
      </c>
      <c r="C1159" t="s">
        <v>778</v>
      </c>
      <c r="D1159" s="15">
        <v>30.82</v>
      </c>
      <c r="E1159" s="15">
        <v>30.82</v>
      </c>
      <c r="F1159" t="b">
        <f t="shared" si="36"/>
        <v>1</v>
      </c>
      <c r="G1159" t="str">
        <f t="shared" si="37"/>
        <v>Tradiciones Andinas</v>
      </c>
    </row>
    <row r="1160" spans="1:7" x14ac:dyDescent="0.25">
      <c r="A1160" t="s">
        <v>664</v>
      </c>
      <c r="B1160" t="s">
        <v>1125</v>
      </c>
      <c r="C1160" t="s">
        <v>841</v>
      </c>
      <c r="D1160" s="15">
        <v>39.6</v>
      </c>
      <c r="E1160" s="15">
        <v>39.6</v>
      </c>
      <c r="F1160" t="b">
        <f t="shared" si="36"/>
        <v>1</v>
      </c>
      <c r="G1160" t="str">
        <f t="shared" si="37"/>
        <v>Tradiciones Andinas</v>
      </c>
    </row>
    <row r="1161" spans="1:7" x14ac:dyDescent="0.25">
      <c r="A1161" t="s">
        <v>664</v>
      </c>
      <c r="B1161" t="s">
        <v>1125</v>
      </c>
      <c r="C1161" t="s">
        <v>855</v>
      </c>
      <c r="D1161" s="15">
        <v>13.2</v>
      </c>
      <c r="E1161" s="15">
        <v>13.2</v>
      </c>
      <c r="F1161" t="b">
        <f t="shared" si="36"/>
        <v>1</v>
      </c>
      <c r="G1161" t="str">
        <f t="shared" si="37"/>
        <v>Tradiciones Andinas</v>
      </c>
    </row>
    <row r="1162" spans="1:7" x14ac:dyDescent="0.25">
      <c r="A1162" t="s">
        <v>664</v>
      </c>
      <c r="B1162" t="s">
        <v>1125</v>
      </c>
      <c r="C1162" t="s">
        <v>708</v>
      </c>
      <c r="D1162" s="15">
        <v>40.56</v>
      </c>
      <c r="E1162" s="15">
        <v>40.56</v>
      </c>
      <c r="F1162" t="b">
        <f t="shared" si="36"/>
        <v>1</v>
      </c>
      <c r="G1162" t="str">
        <f t="shared" si="37"/>
        <v>Tradiciones Andinas</v>
      </c>
    </row>
    <row r="1163" spans="1:7" x14ac:dyDescent="0.25">
      <c r="A1163" t="s">
        <v>664</v>
      </c>
      <c r="B1163" t="s">
        <v>1125</v>
      </c>
      <c r="C1163" t="s">
        <v>748</v>
      </c>
      <c r="D1163" s="15">
        <v>78</v>
      </c>
      <c r="E1163" s="15">
        <v>78</v>
      </c>
      <c r="F1163" t="b">
        <f t="shared" si="36"/>
        <v>1</v>
      </c>
      <c r="G1163" t="str">
        <f t="shared" si="37"/>
        <v>Tradiciones Andinas</v>
      </c>
    </row>
    <row r="1164" spans="1:7" x14ac:dyDescent="0.25">
      <c r="A1164" t="s">
        <v>664</v>
      </c>
      <c r="B1164" t="s">
        <v>1125</v>
      </c>
      <c r="C1164" t="s">
        <v>1145</v>
      </c>
      <c r="D1164" s="15">
        <v>58.5</v>
      </c>
      <c r="E1164" s="15">
        <v>58.5</v>
      </c>
      <c r="F1164" t="b">
        <f t="shared" si="36"/>
        <v>1</v>
      </c>
      <c r="G1164" t="str">
        <f t="shared" si="37"/>
        <v>Tradiciones Andinas</v>
      </c>
    </row>
    <row r="1165" spans="1:7" x14ac:dyDescent="0.25">
      <c r="A1165" t="s">
        <v>664</v>
      </c>
      <c r="B1165" t="s">
        <v>1125</v>
      </c>
      <c r="C1165" t="s">
        <v>1056</v>
      </c>
      <c r="D1165" s="15">
        <v>13.2</v>
      </c>
      <c r="E1165" s="15">
        <v>13.2</v>
      </c>
      <c r="F1165" t="b">
        <f t="shared" si="36"/>
        <v>1</v>
      </c>
      <c r="G1165" t="str">
        <f t="shared" si="37"/>
        <v>Tradiciones Andinas</v>
      </c>
    </row>
    <row r="1166" spans="1:7" x14ac:dyDescent="0.25">
      <c r="A1166" t="s">
        <v>664</v>
      </c>
      <c r="B1166" t="s">
        <v>1125</v>
      </c>
      <c r="C1166" t="s">
        <v>857</v>
      </c>
      <c r="D1166" s="15">
        <v>13.2</v>
      </c>
      <c r="E1166" s="15">
        <v>13.2</v>
      </c>
      <c r="F1166" t="b">
        <f t="shared" si="36"/>
        <v>1</v>
      </c>
      <c r="G1166" t="str">
        <f t="shared" si="37"/>
        <v>Tradiciones Andinas</v>
      </c>
    </row>
    <row r="1167" spans="1:7" x14ac:dyDescent="0.25">
      <c r="A1167" t="s">
        <v>664</v>
      </c>
      <c r="B1167" t="s">
        <v>1125</v>
      </c>
      <c r="C1167" t="s">
        <v>720</v>
      </c>
      <c r="D1167" s="15">
        <v>23.96</v>
      </c>
      <c r="E1167" s="15">
        <v>23.96</v>
      </c>
      <c r="F1167" t="b">
        <f t="shared" si="36"/>
        <v>1</v>
      </c>
      <c r="G1167" t="str">
        <f t="shared" si="37"/>
        <v>Tradiciones Andinas</v>
      </c>
    </row>
    <row r="1168" spans="1:7" x14ac:dyDescent="0.25">
      <c r="A1168" t="s">
        <v>664</v>
      </c>
      <c r="B1168" t="s">
        <v>1125</v>
      </c>
      <c r="C1168" t="s">
        <v>815</v>
      </c>
      <c r="D1168" s="15">
        <v>45</v>
      </c>
      <c r="E1168" s="15">
        <v>45</v>
      </c>
      <c r="F1168" t="b">
        <f t="shared" si="36"/>
        <v>1</v>
      </c>
      <c r="G1168" t="str">
        <f t="shared" si="37"/>
        <v>Tradiciones Andinas</v>
      </c>
    </row>
    <row r="1169" spans="1:7" x14ac:dyDescent="0.25">
      <c r="A1169" t="s">
        <v>664</v>
      </c>
      <c r="B1169" t="s">
        <v>1125</v>
      </c>
      <c r="C1169" t="s">
        <v>811</v>
      </c>
      <c r="D1169" s="15">
        <v>49.8</v>
      </c>
      <c r="E1169" s="15">
        <v>49.8</v>
      </c>
      <c r="F1169" t="b">
        <f t="shared" si="36"/>
        <v>1</v>
      </c>
      <c r="G1169" t="str">
        <f t="shared" si="37"/>
        <v>Tradiciones Andinas</v>
      </c>
    </row>
    <row r="1170" spans="1:7" x14ac:dyDescent="0.25">
      <c r="A1170" t="s">
        <v>664</v>
      </c>
      <c r="B1170" t="s">
        <v>1125</v>
      </c>
      <c r="C1170" t="s">
        <v>730</v>
      </c>
      <c r="D1170" s="15">
        <v>30.24</v>
      </c>
      <c r="E1170" s="15">
        <v>30.24</v>
      </c>
      <c r="F1170" t="b">
        <f t="shared" si="36"/>
        <v>1</v>
      </c>
      <c r="G1170" t="str">
        <f t="shared" si="37"/>
        <v>Tradiciones Andinas</v>
      </c>
    </row>
    <row r="1171" spans="1:7" x14ac:dyDescent="0.25">
      <c r="A1171" t="s">
        <v>664</v>
      </c>
      <c r="B1171" t="s">
        <v>1125</v>
      </c>
      <c r="C1171" t="s">
        <v>700</v>
      </c>
      <c r="D1171" s="15">
        <v>30.24</v>
      </c>
      <c r="E1171" s="15">
        <v>30.24</v>
      </c>
      <c r="F1171" t="b">
        <f t="shared" si="36"/>
        <v>1</v>
      </c>
      <c r="G1171" t="str">
        <f t="shared" si="37"/>
        <v>Tradiciones Andinas</v>
      </c>
    </row>
    <row r="1172" spans="1:7" x14ac:dyDescent="0.25">
      <c r="A1172" t="s">
        <v>664</v>
      </c>
      <c r="B1172" t="s">
        <v>1125</v>
      </c>
      <c r="C1172" t="s">
        <v>704</v>
      </c>
      <c r="D1172" s="15">
        <v>45.96</v>
      </c>
      <c r="E1172" s="15">
        <v>45.96</v>
      </c>
      <c r="F1172" t="b">
        <f t="shared" si="36"/>
        <v>1</v>
      </c>
      <c r="G1172" t="str">
        <f t="shared" si="37"/>
        <v>Tradiciones Andinas</v>
      </c>
    </row>
    <row r="1173" spans="1:7" x14ac:dyDescent="0.25">
      <c r="A1173" t="s">
        <v>664</v>
      </c>
      <c r="B1173" t="s">
        <v>1125</v>
      </c>
      <c r="C1173" t="s">
        <v>774</v>
      </c>
      <c r="D1173" s="15">
        <v>26.4</v>
      </c>
      <c r="E1173" s="15">
        <v>26.4</v>
      </c>
      <c r="F1173" t="b">
        <f t="shared" si="36"/>
        <v>1</v>
      </c>
      <c r="G1173" t="str">
        <f t="shared" si="37"/>
        <v>Tradiciones Andinas</v>
      </c>
    </row>
    <row r="1174" spans="1:7" x14ac:dyDescent="0.25">
      <c r="A1174" t="s">
        <v>664</v>
      </c>
      <c r="B1174" t="s">
        <v>1125</v>
      </c>
      <c r="C1174" t="s">
        <v>1151</v>
      </c>
      <c r="D1174" s="15">
        <v>26.84</v>
      </c>
      <c r="E1174" s="15">
        <v>26.84</v>
      </c>
      <c r="F1174" t="b">
        <f t="shared" si="36"/>
        <v>1</v>
      </c>
      <c r="G1174" t="str">
        <f t="shared" si="37"/>
        <v>Tradiciones Andinas</v>
      </c>
    </row>
    <row r="1175" spans="1:7" x14ac:dyDescent="0.25">
      <c r="A1175" t="s">
        <v>664</v>
      </c>
      <c r="B1175" t="s">
        <v>1125</v>
      </c>
      <c r="C1175" t="s">
        <v>780</v>
      </c>
      <c r="D1175" s="15">
        <v>22.68</v>
      </c>
      <c r="E1175" s="15">
        <v>22.68</v>
      </c>
      <c r="F1175" t="b">
        <f t="shared" si="36"/>
        <v>1</v>
      </c>
      <c r="G1175" t="str">
        <f t="shared" si="37"/>
        <v>Tradiciones Andinas</v>
      </c>
    </row>
    <row r="1176" spans="1:7" x14ac:dyDescent="0.25">
      <c r="A1176" t="s">
        <v>664</v>
      </c>
      <c r="B1176" t="s">
        <v>1125</v>
      </c>
      <c r="C1176" t="s">
        <v>710</v>
      </c>
      <c r="D1176" s="15">
        <v>40.159999999999997</v>
      </c>
      <c r="E1176" s="15">
        <v>40.159999999999997</v>
      </c>
      <c r="F1176" t="b">
        <f t="shared" si="36"/>
        <v>1</v>
      </c>
      <c r="G1176" t="str">
        <f t="shared" si="37"/>
        <v>Tradiciones Andinas</v>
      </c>
    </row>
    <row r="1177" spans="1:7" x14ac:dyDescent="0.25">
      <c r="A1177" t="s">
        <v>664</v>
      </c>
      <c r="B1177" t="s">
        <v>1125</v>
      </c>
      <c r="C1177" t="s">
        <v>1042</v>
      </c>
      <c r="D1177" s="15">
        <v>51.1</v>
      </c>
      <c r="E1177" s="15">
        <v>51.1</v>
      </c>
      <c r="F1177" t="b">
        <f t="shared" si="36"/>
        <v>1</v>
      </c>
      <c r="G1177" t="str">
        <f t="shared" si="37"/>
        <v>Tradiciones Andinas</v>
      </c>
    </row>
    <row r="1178" spans="1:7" x14ac:dyDescent="0.25">
      <c r="A1178" t="s">
        <v>664</v>
      </c>
      <c r="B1178" t="s">
        <v>1125</v>
      </c>
      <c r="C1178" t="s">
        <v>671</v>
      </c>
      <c r="D1178" s="15">
        <v>33.119999999999997</v>
      </c>
      <c r="E1178" s="15">
        <v>33.119999999999997</v>
      </c>
      <c r="F1178" t="b">
        <f t="shared" si="36"/>
        <v>1</v>
      </c>
      <c r="G1178" t="str">
        <f t="shared" si="37"/>
        <v>Tradiciones Andinas</v>
      </c>
    </row>
    <row r="1179" spans="1:7" x14ac:dyDescent="0.25">
      <c r="A1179" t="s">
        <v>664</v>
      </c>
      <c r="B1179" t="s">
        <v>1125</v>
      </c>
      <c r="C1179" t="s">
        <v>688</v>
      </c>
      <c r="D1179" s="15">
        <v>29.4</v>
      </c>
      <c r="E1179" s="15">
        <v>29.4</v>
      </c>
      <c r="F1179" t="b">
        <f t="shared" si="36"/>
        <v>1</v>
      </c>
      <c r="G1179" t="str">
        <f t="shared" si="37"/>
        <v>Tradiciones Andinas</v>
      </c>
    </row>
    <row r="1180" spans="1:7" x14ac:dyDescent="0.25">
      <c r="A1180" t="s">
        <v>664</v>
      </c>
      <c r="B1180" t="s">
        <v>1125</v>
      </c>
      <c r="C1180" t="s">
        <v>828</v>
      </c>
      <c r="D1180" s="15">
        <v>28.89</v>
      </c>
      <c r="E1180" s="15">
        <v>28.89</v>
      </c>
      <c r="F1180" t="b">
        <f t="shared" si="36"/>
        <v>1</v>
      </c>
      <c r="G1180" t="str">
        <f t="shared" si="37"/>
        <v>Tradiciones Andinas</v>
      </c>
    </row>
    <row r="1181" spans="1:7" x14ac:dyDescent="0.25">
      <c r="A1181" t="s">
        <v>664</v>
      </c>
      <c r="B1181" t="s">
        <v>1125</v>
      </c>
      <c r="C1181" t="s">
        <v>835</v>
      </c>
      <c r="D1181" s="15">
        <v>30.82</v>
      </c>
      <c r="E1181" s="15">
        <v>30.82</v>
      </c>
      <c r="F1181" t="b">
        <f t="shared" si="36"/>
        <v>1</v>
      </c>
      <c r="G1181" t="str">
        <f t="shared" si="37"/>
        <v>Tradiciones Andinas</v>
      </c>
    </row>
    <row r="1182" spans="1:7" x14ac:dyDescent="0.25">
      <c r="A1182" t="s">
        <v>664</v>
      </c>
      <c r="B1182" t="s">
        <v>1125</v>
      </c>
      <c r="C1182" t="s">
        <v>716</v>
      </c>
      <c r="D1182" s="15">
        <v>32.1</v>
      </c>
      <c r="E1182" s="15">
        <v>32.1</v>
      </c>
      <c r="F1182" t="b">
        <f t="shared" si="36"/>
        <v>1</v>
      </c>
      <c r="G1182" t="str">
        <f t="shared" si="37"/>
        <v>Tradiciones Andinas</v>
      </c>
    </row>
    <row r="1183" spans="1:7" x14ac:dyDescent="0.25">
      <c r="A1183" t="s">
        <v>664</v>
      </c>
      <c r="B1183" t="s">
        <v>1125</v>
      </c>
      <c r="C1183" t="s">
        <v>827</v>
      </c>
      <c r="D1183" s="15">
        <v>35.880000000000003</v>
      </c>
      <c r="E1183" s="15">
        <v>35.880000000000003</v>
      </c>
      <c r="F1183" t="b">
        <f t="shared" si="36"/>
        <v>1</v>
      </c>
      <c r="G1183" t="str">
        <f t="shared" si="37"/>
        <v>Tradiciones Andinas</v>
      </c>
    </row>
    <row r="1184" spans="1:7" x14ac:dyDescent="0.25">
      <c r="A1184" t="s">
        <v>664</v>
      </c>
      <c r="B1184" t="s">
        <v>1125</v>
      </c>
      <c r="C1184" t="s">
        <v>1000</v>
      </c>
      <c r="D1184" s="15">
        <v>78.959999999999994</v>
      </c>
      <c r="E1184" s="15">
        <v>78.959999999999994</v>
      </c>
      <c r="F1184" t="b">
        <f t="shared" si="36"/>
        <v>1</v>
      </c>
      <c r="G1184" t="str">
        <f t="shared" si="37"/>
        <v>Tradiciones Andinas</v>
      </c>
    </row>
    <row r="1185" spans="1:7" x14ac:dyDescent="0.25">
      <c r="A1185" t="s">
        <v>664</v>
      </c>
      <c r="B1185" t="s">
        <v>1125</v>
      </c>
      <c r="C1185" t="s">
        <v>1099</v>
      </c>
      <c r="D1185" s="15">
        <v>12.6</v>
      </c>
      <c r="E1185" s="15">
        <v>12.6</v>
      </c>
      <c r="F1185" t="b">
        <f t="shared" si="36"/>
        <v>1</v>
      </c>
      <c r="G1185" t="str">
        <f t="shared" si="37"/>
        <v>Tradiciones Andinas</v>
      </c>
    </row>
    <row r="1186" spans="1:7" x14ac:dyDescent="0.25">
      <c r="A1186" t="s">
        <v>664</v>
      </c>
      <c r="B1186" t="s">
        <v>1125</v>
      </c>
      <c r="C1186" t="s">
        <v>1096</v>
      </c>
      <c r="D1186" s="15">
        <v>12.6</v>
      </c>
      <c r="E1186" s="15">
        <v>12.6</v>
      </c>
      <c r="F1186" t="b">
        <f t="shared" si="36"/>
        <v>1</v>
      </c>
      <c r="G1186" t="str">
        <f t="shared" si="37"/>
        <v>Tradiciones Andinas</v>
      </c>
    </row>
    <row r="1187" spans="1:7" x14ac:dyDescent="0.25">
      <c r="A1187" t="s">
        <v>664</v>
      </c>
      <c r="B1187" t="s">
        <v>1125</v>
      </c>
      <c r="C1187" t="s">
        <v>788</v>
      </c>
      <c r="D1187" s="15">
        <v>12.84</v>
      </c>
      <c r="E1187" s="15">
        <v>12.84</v>
      </c>
      <c r="F1187" t="b">
        <f t="shared" si="36"/>
        <v>1</v>
      </c>
      <c r="G1187" t="str">
        <f t="shared" si="37"/>
        <v>Tradiciones Andinas</v>
      </c>
    </row>
    <row r="1188" spans="1:7" x14ac:dyDescent="0.25">
      <c r="A1188" t="s">
        <v>664</v>
      </c>
      <c r="B1188" t="s">
        <v>1125</v>
      </c>
      <c r="C1188" t="s">
        <v>1139</v>
      </c>
      <c r="D1188" s="15">
        <v>9</v>
      </c>
      <c r="E1188" s="15">
        <v>9</v>
      </c>
      <c r="F1188" t="b">
        <f t="shared" si="36"/>
        <v>1</v>
      </c>
      <c r="G1188" t="str">
        <f t="shared" si="37"/>
        <v>Tradiciones Andinas</v>
      </c>
    </row>
    <row r="1189" spans="1:7" x14ac:dyDescent="0.25">
      <c r="A1189" t="s">
        <v>664</v>
      </c>
      <c r="B1189" t="s">
        <v>1125</v>
      </c>
      <c r="C1189" t="s">
        <v>1010</v>
      </c>
      <c r="D1189" s="15">
        <v>14</v>
      </c>
      <c r="E1189" s="15">
        <v>14</v>
      </c>
      <c r="F1189" t="b">
        <f t="shared" si="36"/>
        <v>1</v>
      </c>
      <c r="G1189" t="str">
        <f t="shared" si="37"/>
        <v>Tradiciones Andinas</v>
      </c>
    </row>
    <row r="1190" spans="1:7" x14ac:dyDescent="0.25">
      <c r="A1190" t="s">
        <v>664</v>
      </c>
      <c r="B1190" t="s">
        <v>1125</v>
      </c>
      <c r="C1190" t="s">
        <v>1068</v>
      </c>
      <c r="D1190" s="15">
        <v>14</v>
      </c>
      <c r="E1190" s="15">
        <v>14</v>
      </c>
      <c r="F1190" t="b">
        <f t="shared" si="36"/>
        <v>1</v>
      </c>
      <c r="G1190" t="str">
        <f t="shared" si="37"/>
        <v>Tradiciones Andinas</v>
      </c>
    </row>
    <row r="1191" spans="1:7" x14ac:dyDescent="0.25">
      <c r="A1191" t="s">
        <v>664</v>
      </c>
      <c r="B1191" t="s">
        <v>1125</v>
      </c>
      <c r="C1191" t="s">
        <v>1119</v>
      </c>
      <c r="D1191" s="15">
        <v>25.02</v>
      </c>
      <c r="E1191" s="15">
        <v>25.02</v>
      </c>
      <c r="F1191" t="b">
        <f t="shared" si="36"/>
        <v>1</v>
      </c>
      <c r="G1191" t="str">
        <f t="shared" si="37"/>
        <v>Tradiciones Andinas</v>
      </c>
    </row>
    <row r="1192" spans="1:7" x14ac:dyDescent="0.25">
      <c r="A1192" t="s">
        <v>664</v>
      </c>
      <c r="B1192" t="s">
        <v>1125</v>
      </c>
      <c r="C1192" t="s">
        <v>1110</v>
      </c>
      <c r="D1192" s="15">
        <v>23.76</v>
      </c>
      <c r="E1192" s="15">
        <v>23.76</v>
      </c>
      <c r="F1192" t="b">
        <f t="shared" si="36"/>
        <v>1</v>
      </c>
      <c r="G1192" t="str">
        <f t="shared" si="37"/>
        <v>Tradiciones Andinas</v>
      </c>
    </row>
    <row r="1193" spans="1:7" x14ac:dyDescent="0.25">
      <c r="A1193" t="s">
        <v>664</v>
      </c>
      <c r="B1193" t="s">
        <v>1125</v>
      </c>
      <c r="C1193" t="s">
        <v>910</v>
      </c>
      <c r="D1193" s="15">
        <v>42.24</v>
      </c>
      <c r="E1193" s="15">
        <v>42.24</v>
      </c>
      <c r="F1193" t="b">
        <f t="shared" si="36"/>
        <v>1</v>
      </c>
      <c r="G1193" t="str">
        <f t="shared" si="37"/>
        <v>Tradiciones Andinas</v>
      </c>
    </row>
    <row r="1194" spans="1:7" x14ac:dyDescent="0.25">
      <c r="A1194" t="s">
        <v>664</v>
      </c>
      <c r="B1194" t="s">
        <v>1125</v>
      </c>
      <c r="C1194" t="s">
        <v>914</v>
      </c>
      <c r="D1194" s="15">
        <v>49.95</v>
      </c>
      <c r="E1194" s="15">
        <v>49.95</v>
      </c>
      <c r="F1194" t="b">
        <f t="shared" si="36"/>
        <v>1</v>
      </c>
      <c r="G1194" t="str">
        <f t="shared" si="37"/>
        <v>Tradiciones Andinas</v>
      </c>
    </row>
    <row r="1195" spans="1:7" x14ac:dyDescent="0.25">
      <c r="A1195" t="s">
        <v>664</v>
      </c>
      <c r="B1195" t="s">
        <v>1125</v>
      </c>
      <c r="C1195" t="s">
        <v>1018</v>
      </c>
      <c r="D1195" s="15">
        <v>19.2</v>
      </c>
      <c r="E1195" s="15">
        <v>19.2</v>
      </c>
      <c r="F1195" t="b">
        <f t="shared" si="36"/>
        <v>1</v>
      </c>
      <c r="G1195" t="str">
        <f t="shared" si="37"/>
        <v>Tradiciones Andinas</v>
      </c>
    </row>
    <row r="1196" spans="1:7" x14ac:dyDescent="0.25">
      <c r="A1196" t="s">
        <v>664</v>
      </c>
      <c r="B1196" t="s">
        <v>1125</v>
      </c>
      <c r="C1196" t="s">
        <v>803</v>
      </c>
      <c r="D1196" s="15">
        <v>22</v>
      </c>
      <c r="E1196" s="15">
        <v>22</v>
      </c>
      <c r="F1196" t="b">
        <f t="shared" si="36"/>
        <v>1</v>
      </c>
      <c r="G1196" t="str">
        <f t="shared" si="37"/>
        <v>Tradiciones Andinas</v>
      </c>
    </row>
    <row r="1197" spans="1:7" x14ac:dyDescent="0.25">
      <c r="A1197" t="s">
        <v>664</v>
      </c>
      <c r="B1197" t="s">
        <v>1125</v>
      </c>
      <c r="C1197" t="s">
        <v>799</v>
      </c>
      <c r="D1197" s="15">
        <v>26.4</v>
      </c>
      <c r="E1197" s="15">
        <v>26.4</v>
      </c>
      <c r="F1197" t="b">
        <f t="shared" si="36"/>
        <v>1</v>
      </c>
      <c r="G1197" t="str">
        <f t="shared" si="37"/>
        <v>Tradiciones Andinas</v>
      </c>
    </row>
    <row r="1198" spans="1:7" x14ac:dyDescent="0.25">
      <c r="A1198" t="s">
        <v>664</v>
      </c>
      <c r="B1198" t="s">
        <v>1125</v>
      </c>
      <c r="C1198" t="s">
        <v>656</v>
      </c>
      <c r="D1198" s="15">
        <v>36</v>
      </c>
      <c r="E1198" s="15">
        <v>36</v>
      </c>
      <c r="F1198" t="b">
        <f t="shared" si="36"/>
        <v>1</v>
      </c>
      <c r="G1198" t="str">
        <f t="shared" si="37"/>
        <v>Tradiciones Andinas</v>
      </c>
    </row>
    <row r="1199" spans="1:7" x14ac:dyDescent="0.25">
      <c r="A1199" t="s">
        <v>664</v>
      </c>
      <c r="B1199" t="s">
        <v>1153</v>
      </c>
      <c r="C1199" t="s">
        <v>42</v>
      </c>
      <c r="D1199" s="15">
        <v>85</v>
      </c>
      <c r="E1199" s="15">
        <v>85</v>
      </c>
      <c r="F1199" t="b">
        <f t="shared" si="36"/>
        <v>1</v>
      </c>
      <c r="G1199" t="str">
        <f t="shared" si="37"/>
        <v>Tradiciones Andinas</v>
      </c>
    </row>
    <row r="1200" spans="1:7" x14ac:dyDescent="0.25">
      <c r="A1200" t="s">
        <v>664</v>
      </c>
      <c r="B1200" t="s">
        <v>1153</v>
      </c>
      <c r="C1200" t="s">
        <v>37</v>
      </c>
      <c r="D1200" s="15">
        <v>73.8</v>
      </c>
      <c r="E1200" s="15">
        <v>73.8</v>
      </c>
      <c r="F1200" t="b">
        <f t="shared" si="36"/>
        <v>1</v>
      </c>
      <c r="G1200" t="str">
        <f t="shared" si="37"/>
        <v>Tradiciones Andinas</v>
      </c>
    </row>
    <row r="1201" spans="1:7" x14ac:dyDescent="0.25">
      <c r="A1201" t="s">
        <v>664</v>
      </c>
      <c r="B1201" t="s">
        <v>1153</v>
      </c>
      <c r="C1201" t="s">
        <v>851</v>
      </c>
      <c r="D1201" s="15">
        <v>75.97</v>
      </c>
      <c r="E1201" s="15">
        <v>75.97</v>
      </c>
      <c r="F1201" t="b">
        <f t="shared" si="36"/>
        <v>1</v>
      </c>
      <c r="G1201" t="str">
        <f t="shared" si="37"/>
        <v>Tradiciones Andinas</v>
      </c>
    </row>
    <row r="1202" spans="1:7" x14ac:dyDescent="0.25">
      <c r="A1202" t="s">
        <v>664</v>
      </c>
      <c r="B1202" t="s">
        <v>1153</v>
      </c>
      <c r="C1202" t="s">
        <v>35</v>
      </c>
      <c r="D1202" s="15">
        <v>28.8</v>
      </c>
      <c r="E1202" s="15">
        <v>28.8</v>
      </c>
      <c r="F1202" t="b">
        <f t="shared" si="36"/>
        <v>1</v>
      </c>
      <c r="G1202" t="str">
        <f t="shared" si="37"/>
        <v>Tradiciones Andinas</v>
      </c>
    </row>
    <row r="1203" spans="1:7" x14ac:dyDescent="0.25">
      <c r="A1203" t="s">
        <v>664</v>
      </c>
      <c r="B1203" t="s">
        <v>1153</v>
      </c>
      <c r="C1203" t="s">
        <v>56</v>
      </c>
      <c r="D1203" s="15">
        <v>51.1</v>
      </c>
      <c r="E1203" s="15">
        <v>51.1</v>
      </c>
      <c r="F1203" t="b">
        <f t="shared" si="36"/>
        <v>1</v>
      </c>
      <c r="G1203" t="str">
        <f t="shared" si="37"/>
        <v>Tradiciones Andinas</v>
      </c>
    </row>
    <row r="1204" spans="1:7" x14ac:dyDescent="0.25">
      <c r="A1204" t="s">
        <v>664</v>
      </c>
      <c r="B1204" t="s">
        <v>1153</v>
      </c>
      <c r="C1204" t="s">
        <v>1062</v>
      </c>
      <c r="D1204" s="15">
        <v>39.46</v>
      </c>
      <c r="E1204" s="15">
        <v>39.46</v>
      </c>
      <c r="F1204" t="b">
        <f t="shared" si="36"/>
        <v>1</v>
      </c>
      <c r="G1204" t="str">
        <f t="shared" si="37"/>
        <v>Tradiciones Andinas</v>
      </c>
    </row>
    <row r="1205" spans="1:7" x14ac:dyDescent="0.25">
      <c r="A1205" t="s">
        <v>664</v>
      </c>
      <c r="B1205" t="s">
        <v>1153</v>
      </c>
      <c r="C1205" t="s">
        <v>876</v>
      </c>
      <c r="D1205" s="15">
        <v>39.46</v>
      </c>
      <c r="E1205" s="15">
        <v>39.46</v>
      </c>
      <c r="F1205" t="b">
        <f t="shared" si="36"/>
        <v>1</v>
      </c>
      <c r="G1205" t="str">
        <f t="shared" si="37"/>
        <v>Tradiciones Andinas</v>
      </c>
    </row>
    <row r="1206" spans="1:7" x14ac:dyDescent="0.25">
      <c r="A1206" t="s">
        <v>664</v>
      </c>
      <c r="B1206" t="s">
        <v>1153</v>
      </c>
      <c r="C1206" t="s">
        <v>874</v>
      </c>
      <c r="D1206" s="15">
        <v>39.46</v>
      </c>
      <c r="E1206" s="15">
        <v>39.46</v>
      </c>
      <c r="F1206" t="b">
        <f t="shared" si="36"/>
        <v>1</v>
      </c>
      <c r="G1206" t="str">
        <f t="shared" si="37"/>
        <v>Tradiciones Andinas</v>
      </c>
    </row>
    <row r="1207" spans="1:7" x14ac:dyDescent="0.25">
      <c r="A1207" t="s">
        <v>664</v>
      </c>
      <c r="B1207" t="s">
        <v>1153</v>
      </c>
      <c r="C1207" t="s">
        <v>58</v>
      </c>
      <c r="D1207" s="15">
        <v>57.39</v>
      </c>
      <c r="E1207" s="15">
        <v>57.39</v>
      </c>
      <c r="F1207" t="b">
        <f t="shared" si="36"/>
        <v>1</v>
      </c>
      <c r="G1207" t="str">
        <f t="shared" si="37"/>
        <v>Tradiciones Andinas</v>
      </c>
    </row>
    <row r="1208" spans="1:7" x14ac:dyDescent="0.25">
      <c r="A1208" t="s">
        <v>664</v>
      </c>
      <c r="B1208" t="s">
        <v>1153</v>
      </c>
      <c r="C1208" t="s">
        <v>72</v>
      </c>
      <c r="D1208" s="15">
        <v>66.88</v>
      </c>
      <c r="E1208" s="15">
        <v>66.88</v>
      </c>
      <c r="F1208" t="b">
        <f t="shared" si="36"/>
        <v>1</v>
      </c>
      <c r="G1208" t="str">
        <f t="shared" si="37"/>
        <v>Tradiciones Andinas</v>
      </c>
    </row>
    <row r="1209" spans="1:7" x14ac:dyDescent="0.25">
      <c r="A1209" t="s">
        <v>664</v>
      </c>
      <c r="B1209" t="s">
        <v>1153</v>
      </c>
      <c r="C1209" t="s">
        <v>62</v>
      </c>
      <c r="D1209" s="15">
        <v>13.57</v>
      </c>
      <c r="E1209" s="15">
        <v>13.57</v>
      </c>
      <c r="F1209" t="b">
        <f t="shared" si="36"/>
        <v>1</v>
      </c>
      <c r="G1209" t="str">
        <f t="shared" si="37"/>
        <v>Tradiciones Andinas</v>
      </c>
    </row>
    <row r="1210" spans="1:7" x14ac:dyDescent="0.25">
      <c r="A1210" t="s">
        <v>664</v>
      </c>
      <c r="B1210" t="s">
        <v>1153</v>
      </c>
      <c r="C1210" t="s">
        <v>374</v>
      </c>
      <c r="D1210" s="15">
        <v>31.8</v>
      </c>
      <c r="E1210" s="15">
        <v>31.8</v>
      </c>
      <c r="F1210" t="b">
        <f t="shared" si="36"/>
        <v>1</v>
      </c>
      <c r="G1210" t="str">
        <f t="shared" si="37"/>
        <v>Tradiciones Andinas</v>
      </c>
    </row>
    <row r="1211" spans="1:7" x14ac:dyDescent="0.25">
      <c r="A1211" t="s">
        <v>664</v>
      </c>
      <c r="B1211" t="s">
        <v>1153</v>
      </c>
      <c r="C1211" t="s">
        <v>936</v>
      </c>
      <c r="D1211" s="15">
        <v>21.4</v>
      </c>
      <c r="E1211" s="15">
        <v>21.4</v>
      </c>
      <c r="F1211" t="b">
        <f t="shared" si="36"/>
        <v>1</v>
      </c>
      <c r="G1211" t="str">
        <f t="shared" si="37"/>
        <v>Tradiciones Andinas</v>
      </c>
    </row>
    <row r="1212" spans="1:7" x14ac:dyDescent="0.25">
      <c r="A1212" t="s">
        <v>664</v>
      </c>
      <c r="B1212" t="s">
        <v>1153</v>
      </c>
      <c r="C1212" t="s">
        <v>1171</v>
      </c>
      <c r="D1212" s="15">
        <v>23.76</v>
      </c>
      <c r="E1212" s="15">
        <v>23.76</v>
      </c>
      <c r="F1212" t="b">
        <f t="shared" si="36"/>
        <v>1</v>
      </c>
      <c r="G1212" t="str">
        <f t="shared" si="37"/>
        <v>Tradiciones Andinas</v>
      </c>
    </row>
    <row r="1213" spans="1:7" x14ac:dyDescent="0.25">
      <c r="A1213" t="s">
        <v>664</v>
      </c>
      <c r="B1213" t="s">
        <v>1153</v>
      </c>
      <c r="C1213" t="s">
        <v>1165</v>
      </c>
      <c r="D1213" s="15">
        <v>28</v>
      </c>
      <c r="E1213" s="15">
        <v>28</v>
      </c>
      <c r="F1213" t="b">
        <f t="shared" si="36"/>
        <v>1</v>
      </c>
      <c r="G1213" t="str">
        <f t="shared" si="37"/>
        <v>Tradiciones Andinas</v>
      </c>
    </row>
    <row r="1214" spans="1:7" x14ac:dyDescent="0.25">
      <c r="A1214" t="s">
        <v>664</v>
      </c>
      <c r="B1214" t="s">
        <v>1153</v>
      </c>
      <c r="C1214" t="s">
        <v>924</v>
      </c>
      <c r="D1214" s="15">
        <v>32.15</v>
      </c>
      <c r="E1214" s="15">
        <v>32.15</v>
      </c>
      <c r="F1214" t="b">
        <f t="shared" si="36"/>
        <v>1</v>
      </c>
      <c r="G1214" t="str">
        <f t="shared" si="37"/>
        <v>Tradiciones Andinas</v>
      </c>
    </row>
    <row r="1215" spans="1:7" x14ac:dyDescent="0.25">
      <c r="A1215" t="s">
        <v>664</v>
      </c>
      <c r="B1215" t="s">
        <v>1153</v>
      </c>
      <c r="C1215" t="s">
        <v>865</v>
      </c>
      <c r="D1215" s="15">
        <v>52.52</v>
      </c>
      <c r="E1215" s="15">
        <v>52.52</v>
      </c>
      <c r="F1215" t="b">
        <f t="shared" si="36"/>
        <v>1</v>
      </c>
      <c r="G1215" t="str">
        <f t="shared" si="37"/>
        <v>Tradiciones Andinas</v>
      </c>
    </row>
    <row r="1216" spans="1:7" x14ac:dyDescent="0.25">
      <c r="A1216" t="s">
        <v>664</v>
      </c>
      <c r="B1216" t="s">
        <v>1153</v>
      </c>
      <c r="C1216" t="s">
        <v>823</v>
      </c>
      <c r="D1216" s="15">
        <v>40.82</v>
      </c>
      <c r="E1216" s="15">
        <v>40.82</v>
      </c>
      <c r="F1216" t="b">
        <f t="shared" si="36"/>
        <v>1</v>
      </c>
      <c r="G1216" t="str">
        <f t="shared" si="37"/>
        <v>Tradiciones Andinas</v>
      </c>
    </row>
    <row r="1217" spans="1:7" x14ac:dyDescent="0.25">
      <c r="A1217" t="s">
        <v>664</v>
      </c>
      <c r="B1217" t="s">
        <v>1153</v>
      </c>
      <c r="C1217" t="s">
        <v>770</v>
      </c>
      <c r="D1217" s="15">
        <v>37.450000000000003</v>
      </c>
      <c r="E1217" s="15">
        <v>37.450000000000003</v>
      </c>
      <c r="F1217" t="b">
        <f t="shared" si="36"/>
        <v>1</v>
      </c>
      <c r="G1217" t="str">
        <f t="shared" si="37"/>
        <v>Tradiciones Andinas</v>
      </c>
    </row>
    <row r="1218" spans="1:7" x14ac:dyDescent="0.25">
      <c r="A1218" t="s">
        <v>664</v>
      </c>
      <c r="B1218" t="s">
        <v>1153</v>
      </c>
      <c r="C1218" t="s">
        <v>692</v>
      </c>
      <c r="D1218" s="15">
        <v>39.68</v>
      </c>
      <c r="E1218" s="15">
        <v>39.68</v>
      </c>
      <c r="F1218" t="b">
        <f t="shared" si="36"/>
        <v>1</v>
      </c>
      <c r="G1218" t="str">
        <f t="shared" si="37"/>
        <v>Tradiciones Andinas</v>
      </c>
    </row>
    <row r="1219" spans="1:7" x14ac:dyDescent="0.25">
      <c r="A1219" t="s">
        <v>664</v>
      </c>
      <c r="B1219" t="s">
        <v>1153</v>
      </c>
      <c r="C1219" t="s">
        <v>819</v>
      </c>
      <c r="D1219" s="15">
        <v>29.4</v>
      </c>
      <c r="E1219" s="15">
        <v>29.4</v>
      </c>
      <c r="F1219" t="b">
        <f t="shared" si="36"/>
        <v>1</v>
      </c>
      <c r="G1219" t="str">
        <f t="shared" si="37"/>
        <v>Tradiciones Andinas</v>
      </c>
    </row>
    <row r="1220" spans="1:7" x14ac:dyDescent="0.25">
      <c r="A1220" t="s">
        <v>664</v>
      </c>
      <c r="B1220" t="s">
        <v>1153</v>
      </c>
      <c r="C1220" t="s">
        <v>1115</v>
      </c>
      <c r="D1220" s="15">
        <v>30</v>
      </c>
      <c r="E1220" s="15">
        <v>30</v>
      </c>
      <c r="F1220" t="b">
        <f t="shared" si="36"/>
        <v>1</v>
      </c>
      <c r="G1220" t="str">
        <f t="shared" si="37"/>
        <v>Tradiciones Andinas</v>
      </c>
    </row>
    <row r="1221" spans="1:7" x14ac:dyDescent="0.25">
      <c r="A1221" t="s">
        <v>664</v>
      </c>
      <c r="B1221" t="s">
        <v>1153</v>
      </c>
      <c r="C1221" t="s">
        <v>762</v>
      </c>
      <c r="D1221" s="15">
        <v>36</v>
      </c>
      <c r="E1221" s="15">
        <v>36</v>
      </c>
      <c r="F1221" t="b">
        <f t="shared" si="36"/>
        <v>1</v>
      </c>
      <c r="G1221" t="str">
        <f t="shared" si="37"/>
        <v>Tradiciones Andinas</v>
      </c>
    </row>
    <row r="1222" spans="1:7" x14ac:dyDescent="0.25">
      <c r="A1222" t="s">
        <v>664</v>
      </c>
      <c r="B1222" t="s">
        <v>1153</v>
      </c>
      <c r="C1222" t="s">
        <v>669</v>
      </c>
      <c r="D1222" s="15">
        <v>30.82</v>
      </c>
      <c r="E1222" s="15">
        <v>30.82</v>
      </c>
      <c r="F1222" t="b">
        <f t="shared" ref="F1222:F1285" si="38">D1222=E1222</f>
        <v>1</v>
      </c>
      <c r="G1222" t="str">
        <f t="shared" ref="G1222:G1285" si="39">+A1222</f>
        <v>Tradiciones Andinas</v>
      </c>
    </row>
    <row r="1223" spans="1:7" x14ac:dyDescent="0.25">
      <c r="A1223" t="s">
        <v>664</v>
      </c>
      <c r="B1223" t="s">
        <v>1153</v>
      </c>
      <c r="C1223" t="s">
        <v>694</v>
      </c>
      <c r="D1223" s="15">
        <v>38.159999999999997</v>
      </c>
      <c r="E1223" s="15">
        <v>38.159999999999997</v>
      </c>
      <c r="F1223" t="b">
        <f t="shared" si="38"/>
        <v>1</v>
      </c>
      <c r="G1223" t="str">
        <f t="shared" si="39"/>
        <v>Tradiciones Andinas</v>
      </c>
    </row>
    <row r="1224" spans="1:7" x14ac:dyDescent="0.25">
      <c r="A1224" t="s">
        <v>664</v>
      </c>
      <c r="B1224" t="s">
        <v>1153</v>
      </c>
      <c r="C1224" t="s">
        <v>764</v>
      </c>
      <c r="D1224" s="15">
        <v>34.659999999999997</v>
      </c>
      <c r="E1224" s="15">
        <v>34.659999999999997</v>
      </c>
      <c r="F1224" t="b">
        <f t="shared" si="38"/>
        <v>1</v>
      </c>
      <c r="G1224" t="str">
        <f t="shared" si="39"/>
        <v>Tradiciones Andinas</v>
      </c>
    </row>
    <row r="1225" spans="1:7" x14ac:dyDescent="0.25">
      <c r="A1225" t="s">
        <v>664</v>
      </c>
      <c r="B1225" t="s">
        <v>1153</v>
      </c>
      <c r="C1225" t="s">
        <v>673</v>
      </c>
      <c r="D1225" s="15">
        <v>33.380000000000003</v>
      </c>
      <c r="E1225" s="15">
        <v>33.380000000000003</v>
      </c>
      <c r="F1225" t="b">
        <f t="shared" si="38"/>
        <v>1</v>
      </c>
      <c r="G1225" t="str">
        <f t="shared" si="39"/>
        <v>Tradiciones Andinas</v>
      </c>
    </row>
    <row r="1226" spans="1:7" x14ac:dyDescent="0.25">
      <c r="A1226" t="s">
        <v>664</v>
      </c>
      <c r="B1226" t="s">
        <v>1153</v>
      </c>
      <c r="C1226" t="s">
        <v>675</v>
      </c>
      <c r="D1226" s="15">
        <v>31.2</v>
      </c>
      <c r="E1226" s="15">
        <v>31.2</v>
      </c>
      <c r="F1226" t="b">
        <f t="shared" si="38"/>
        <v>1</v>
      </c>
      <c r="G1226" t="str">
        <f t="shared" si="39"/>
        <v>Tradiciones Andinas</v>
      </c>
    </row>
    <row r="1227" spans="1:7" x14ac:dyDescent="0.25">
      <c r="A1227" t="s">
        <v>664</v>
      </c>
      <c r="B1227" t="s">
        <v>1153</v>
      </c>
      <c r="C1227" t="s">
        <v>685</v>
      </c>
      <c r="D1227" s="15">
        <v>25.54</v>
      </c>
      <c r="E1227" s="15">
        <v>25.54</v>
      </c>
      <c r="F1227" t="b">
        <f t="shared" si="38"/>
        <v>1</v>
      </c>
      <c r="G1227" t="str">
        <f t="shared" si="39"/>
        <v>Tradiciones Andinas</v>
      </c>
    </row>
    <row r="1228" spans="1:7" x14ac:dyDescent="0.25">
      <c r="A1228" t="s">
        <v>664</v>
      </c>
      <c r="B1228" t="s">
        <v>1153</v>
      </c>
      <c r="C1228" t="s">
        <v>667</v>
      </c>
      <c r="D1228" s="15">
        <v>30.82</v>
      </c>
      <c r="E1228" s="15">
        <v>30.82</v>
      </c>
      <c r="F1228" t="b">
        <f t="shared" si="38"/>
        <v>1</v>
      </c>
      <c r="G1228" t="str">
        <f t="shared" si="39"/>
        <v>Tradiciones Andinas</v>
      </c>
    </row>
    <row r="1229" spans="1:7" x14ac:dyDescent="0.25">
      <c r="A1229" t="s">
        <v>664</v>
      </c>
      <c r="B1229" t="s">
        <v>1153</v>
      </c>
      <c r="C1229" t="s">
        <v>870</v>
      </c>
      <c r="D1229" s="15">
        <v>27.29</v>
      </c>
      <c r="E1229" s="15">
        <v>27.29</v>
      </c>
      <c r="F1229" t="b">
        <f t="shared" si="38"/>
        <v>1</v>
      </c>
      <c r="G1229" t="str">
        <f t="shared" si="39"/>
        <v>Tradiciones Andinas</v>
      </c>
    </row>
    <row r="1230" spans="1:7" x14ac:dyDescent="0.25">
      <c r="A1230" t="s">
        <v>664</v>
      </c>
      <c r="B1230" t="s">
        <v>1153</v>
      </c>
      <c r="C1230" t="s">
        <v>1157</v>
      </c>
      <c r="D1230" s="15">
        <v>31.2</v>
      </c>
      <c r="E1230" s="15">
        <v>31.2</v>
      </c>
      <c r="F1230" t="b">
        <f t="shared" si="38"/>
        <v>1</v>
      </c>
      <c r="G1230" t="str">
        <f t="shared" si="39"/>
        <v>Tradiciones Andinas</v>
      </c>
    </row>
    <row r="1231" spans="1:7" x14ac:dyDescent="0.25">
      <c r="A1231" t="s">
        <v>664</v>
      </c>
      <c r="B1231" t="s">
        <v>1153</v>
      </c>
      <c r="C1231" t="s">
        <v>702</v>
      </c>
      <c r="D1231" s="15">
        <v>45.96</v>
      </c>
      <c r="E1231" s="15">
        <v>45.96</v>
      </c>
      <c r="F1231" t="b">
        <f t="shared" si="38"/>
        <v>1</v>
      </c>
      <c r="G1231" t="str">
        <f t="shared" si="39"/>
        <v>Tradiciones Andinas</v>
      </c>
    </row>
    <row r="1232" spans="1:7" x14ac:dyDescent="0.25">
      <c r="A1232" t="s">
        <v>664</v>
      </c>
      <c r="B1232" t="s">
        <v>1153</v>
      </c>
      <c r="C1232" t="s">
        <v>712</v>
      </c>
      <c r="D1232" s="15">
        <v>21.18</v>
      </c>
      <c r="E1232" s="15">
        <v>21.18</v>
      </c>
      <c r="F1232" t="b">
        <f t="shared" si="38"/>
        <v>1</v>
      </c>
      <c r="G1232" t="str">
        <f t="shared" si="39"/>
        <v>Tradiciones Andinas</v>
      </c>
    </row>
    <row r="1233" spans="1:7" x14ac:dyDescent="0.25">
      <c r="A1233" t="s">
        <v>664</v>
      </c>
      <c r="B1233" t="s">
        <v>1153</v>
      </c>
      <c r="C1233" t="s">
        <v>837</v>
      </c>
      <c r="D1233" s="15">
        <v>30.64</v>
      </c>
      <c r="E1233" s="15">
        <v>30.64</v>
      </c>
      <c r="F1233" t="b">
        <f t="shared" si="38"/>
        <v>1</v>
      </c>
      <c r="G1233" t="str">
        <f t="shared" si="39"/>
        <v>Tradiciones Andinas</v>
      </c>
    </row>
    <row r="1234" spans="1:7" x14ac:dyDescent="0.25">
      <c r="A1234" t="s">
        <v>664</v>
      </c>
      <c r="B1234" t="s">
        <v>1153</v>
      </c>
      <c r="C1234" t="s">
        <v>754</v>
      </c>
      <c r="D1234" s="15">
        <v>38.380000000000003</v>
      </c>
      <c r="E1234" s="15">
        <v>38.380000000000003</v>
      </c>
      <c r="F1234" t="b">
        <f t="shared" si="38"/>
        <v>1</v>
      </c>
      <c r="G1234" t="str">
        <f t="shared" si="39"/>
        <v>Tradiciones Andinas</v>
      </c>
    </row>
    <row r="1235" spans="1:7" x14ac:dyDescent="0.25">
      <c r="A1235" t="s">
        <v>664</v>
      </c>
      <c r="B1235" t="s">
        <v>1153</v>
      </c>
      <c r="C1235" t="s">
        <v>813</v>
      </c>
      <c r="D1235" s="15">
        <v>54.57</v>
      </c>
      <c r="E1235" s="15">
        <v>54.57</v>
      </c>
      <c r="F1235" t="b">
        <f t="shared" si="38"/>
        <v>1</v>
      </c>
      <c r="G1235" t="str">
        <f t="shared" si="39"/>
        <v>Tradiciones Andinas</v>
      </c>
    </row>
    <row r="1236" spans="1:7" x14ac:dyDescent="0.25">
      <c r="A1236" t="s">
        <v>664</v>
      </c>
      <c r="B1236" t="s">
        <v>1153</v>
      </c>
      <c r="C1236" t="s">
        <v>766</v>
      </c>
      <c r="D1236" s="15">
        <v>64.2</v>
      </c>
      <c r="E1236" s="15">
        <v>64.2</v>
      </c>
      <c r="F1236" t="b">
        <f t="shared" si="38"/>
        <v>1</v>
      </c>
      <c r="G1236" t="str">
        <f t="shared" si="39"/>
        <v>Tradiciones Andinas</v>
      </c>
    </row>
    <row r="1237" spans="1:7" x14ac:dyDescent="0.25">
      <c r="A1237" t="s">
        <v>664</v>
      </c>
      <c r="B1237" t="s">
        <v>1153</v>
      </c>
      <c r="C1237" t="s">
        <v>714</v>
      </c>
      <c r="D1237" s="15">
        <v>51.8</v>
      </c>
      <c r="E1237" s="15">
        <v>51.8</v>
      </c>
      <c r="F1237" t="b">
        <f t="shared" si="38"/>
        <v>1</v>
      </c>
      <c r="G1237" t="str">
        <f t="shared" si="39"/>
        <v>Tradiciones Andinas</v>
      </c>
    </row>
    <row r="1238" spans="1:7" x14ac:dyDescent="0.25">
      <c r="A1238" t="s">
        <v>664</v>
      </c>
      <c r="B1238" t="s">
        <v>1153</v>
      </c>
      <c r="C1238" t="s">
        <v>1038</v>
      </c>
      <c r="D1238" s="15">
        <v>32.1</v>
      </c>
      <c r="E1238" s="15">
        <v>32.1</v>
      </c>
      <c r="F1238" t="b">
        <f t="shared" si="38"/>
        <v>1</v>
      </c>
      <c r="G1238" t="str">
        <f t="shared" si="39"/>
        <v>Tradiciones Andinas</v>
      </c>
    </row>
    <row r="1239" spans="1:7" x14ac:dyDescent="0.25">
      <c r="A1239" t="s">
        <v>664</v>
      </c>
      <c r="B1239" t="s">
        <v>1153</v>
      </c>
      <c r="C1239" t="s">
        <v>904</v>
      </c>
      <c r="D1239" s="15">
        <v>27</v>
      </c>
      <c r="E1239" s="15">
        <v>27</v>
      </c>
      <c r="F1239" t="b">
        <f t="shared" si="38"/>
        <v>1</v>
      </c>
      <c r="G1239" t="str">
        <f t="shared" si="39"/>
        <v>Tradiciones Andinas</v>
      </c>
    </row>
    <row r="1240" spans="1:7" x14ac:dyDescent="0.25">
      <c r="A1240" t="s">
        <v>664</v>
      </c>
      <c r="B1240" t="s">
        <v>1153</v>
      </c>
      <c r="C1240" t="s">
        <v>718</v>
      </c>
      <c r="D1240" s="15">
        <v>21.18</v>
      </c>
      <c r="E1240" s="15">
        <v>21.18</v>
      </c>
      <c r="F1240" t="b">
        <f t="shared" si="38"/>
        <v>1</v>
      </c>
      <c r="G1240" t="str">
        <f t="shared" si="39"/>
        <v>Tradiciones Andinas</v>
      </c>
    </row>
    <row r="1241" spans="1:7" x14ac:dyDescent="0.25">
      <c r="A1241" t="s">
        <v>664</v>
      </c>
      <c r="B1241" t="s">
        <v>1153</v>
      </c>
      <c r="C1241" t="s">
        <v>756</v>
      </c>
      <c r="D1241" s="15">
        <v>13.2</v>
      </c>
      <c r="E1241" s="15">
        <v>13.2</v>
      </c>
      <c r="F1241" t="b">
        <f t="shared" si="38"/>
        <v>1</v>
      </c>
      <c r="G1241" t="str">
        <f t="shared" si="39"/>
        <v>Tradiciones Andinas</v>
      </c>
    </row>
    <row r="1242" spans="1:7" x14ac:dyDescent="0.25">
      <c r="A1242" t="s">
        <v>664</v>
      </c>
      <c r="B1242" t="s">
        <v>1153</v>
      </c>
      <c r="C1242" t="s">
        <v>778</v>
      </c>
      <c r="D1242" s="15">
        <v>30.82</v>
      </c>
      <c r="E1242" s="15">
        <v>30.82</v>
      </c>
      <c r="F1242" t="b">
        <f t="shared" si="38"/>
        <v>1</v>
      </c>
      <c r="G1242" t="str">
        <f t="shared" si="39"/>
        <v>Tradiciones Andinas</v>
      </c>
    </row>
    <row r="1243" spans="1:7" x14ac:dyDescent="0.25">
      <c r="A1243" t="s">
        <v>664</v>
      </c>
      <c r="B1243" t="s">
        <v>1153</v>
      </c>
      <c r="C1243" t="s">
        <v>839</v>
      </c>
      <c r="D1243" s="15">
        <v>30.64</v>
      </c>
      <c r="E1243" s="15">
        <v>30.64</v>
      </c>
      <c r="F1243" t="b">
        <f t="shared" si="38"/>
        <v>1</v>
      </c>
      <c r="G1243" t="str">
        <f t="shared" si="39"/>
        <v>Tradiciones Andinas</v>
      </c>
    </row>
    <row r="1244" spans="1:7" x14ac:dyDescent="0.25">
      <c r="A1244" t="s">
        <v>664</v>
      </c>
      <c r="B1244" t="s">
        <v>1153</v>
      </c>
      <c r="C1244" t="s">
        <v>872</v>
      </c>
      <c r="D1244" s="15">
        <v>27.29</v>
      </c>
      <c r="E1244" s="15">
        <v>27.29</v>
      </c>
      <c r="F1244" t="b">
        <f t="shared" si="38"/>
        <v>1</v>
      </c>
      <c r="G1244" t="str">
        <f t="shared" si="39"/>
        <v>Tradiciones Andinas</v>
      </c>
    </row>
    <row r="1245" spans="1:7" x14ac:dyDescent="0.25">
      <c r="A1245" t="s">
        <v>664</v>
      </c>
      <c r="B1245" t="s">
        <v>1153</v>
      </c>
      <c r="C1245" t="s">
        <v>1155</v>
      </c>
      <c r="D1245" s="15">
        <v>32.1</v>
      </c>
      <c r="E1245" s="15">
        <v>32.1</v>
      </c>
      <c r="F1245" t="b">
        <f t="shared" si="38"/>
        <v>1</v>
      </c>
      <c r="G1245" t="str">
        <f t="shared" si="39"/>
        <v>Tradiciones Andinas</v>
      </c>
    </row>
    <row r="1246" spans="1:7" x14ac:dyDescent="0.25">
      <c r="A1246" t="s">
        <v>664</v>
      </c>
      <c r="B1246" t="s">
        <v>1153</v>
      </c>
      <c r="C1246" t="s">
        <v>743</v>
      </c>
      <c r="D1246" s="15">
        <v>64.2</v>
      </c>
      <c r="E1246" s="15">
        <v>64.2</v>
      </c>
      <c r="F1246" t="b">
        <f t="shared" si="38"/>
        <v>1</v>
      </c>
      <c r="G1246" t="str">
        <f t="shared" si="39"/>
        <v>Tradiciones Andinas</v>
      </c>
    </row>
    <row r="1247" spans="1:7" x14ac:dyDescent="0.25">
      <c r="A1247" t="s">
        <v>664</v>
      </c>
      <c r="B1247" t="s">
        <v>1153</v>
      </c>
      <c r="C1247" t="s">
        <v>708</v>
      </c>
      <c r="D1247" s="15">
        <v>40.56</v>
      </c>
      <c r="E1247" s="15">
        <v>40.56</v>
      </c>
      <c r="F1247" t="b">
        <f t="shared" si="38"/>
        <v>1</v>
      </c>
      <c r="G1247" t="str">
        <f t="shared" si="39"/>
        <v>Tradiciones Andinas</v>
      </c>
    </row>
    <row r="1248" spans="1:7" x14ac:dyDescent="0.25">
      <c r="A1248" t="s">
        <v>664</v>
      </c>
      <c r="B1248" t="s">
        <v>1153</v>
      </c>
      <c r="C1248" t="s">
        <v>698</v>
      </c>
      <c r="D1248" s="15">
        <v>23.96</v>
      </c>
      <c r="E1248" s="15">
        <v>23.96</v>
      </c>
      <c r="F1248" t="b">
        <f t="shared" si="38"/>
        <v>1</v>
      </c>
      <c r="G1248" t="str">
        <f t="shared" si="39"/>
        <v>Tradiciones Andinas</v>
      </c>
    </row>
    <row r="1249" spans="1:7" x14ac:dyDescent="0.25">
      <c r="A1249" t="s">
        <v>664</v>
      </c>
      <c r="B1249" t="s">
        <v>1153</v>
      </c>
      <c r="C1249" t="s">
        <v>784</v>
      </c>
      <c r="D1249" s="15">
        <v>13.2</v>
      </c>
      <c r="E1249" s="15">
        <v>13.2</v>
      </c>
      <c r="F1249" t="b">
        <f t="shared" si="38"/>
        <v>1</v>
      </c>
      <c r="G1249" t="str">
        <f t="shared" si="39"/>
        <v>Tradiciones Andinas</v>
      </c>
    </row>
    <row r="1250" spans="1:7" x14ac:dyDescent="0.25">
      <c r="A1250" t="s">
        <v>664</v>
      </c>
      <c r="B1250" t="s">
        <v>1153</v>
      </c>
      <c r="C1250" t="s">
        <v>815</v>
      </c>
      <c r="D1250" s="15">
        <v>45</v>
      </c>
      <c r="E1250" s="15">
        <v>45</v>
      </c>
      <c r="F1250" t="b">
        <f t="shared" si="38"/>
        <v>1</v>
      </c>
      <c r="G1250" t="str">
        <f t="shared" si="39"/>
        <v>Tradiciones Andinas</v>
      </c>
    </row>
    <row r="1251" spans="1:7" x14ac:dyDescent="0.25">
      <c r="A1251" t="s">
        <v>664</v>
      </c>
      <c r="B1251" t="s">
        <v>1153</v>
      </c>
      <c r="C1251" t="s">
        <v>811</v>
      </c>
      <c r="D1251" s="15">
        <v>49.8</v>
      </c>
      <c r="E1251" s="15">
        <v>49.8</v>
      </c>
      <c r="F1251" t="b">
        <f t="shared" si="38"/>
        <v>1</v>
      </c>
      <c r="G1251" t="str">
        <f t="shared" si="39"/>
        <v>Tradiciones Andinas</v>
      </c>
    </row>
    <row r="1252" spans="1:7" x14ac:dyDescent="0.25">
      <c r="A1252" t="s">
        <v>664</v>
      </c>
      <c r="B1252" t="s">
        <v>1153</v>
      </c>
      <c r="C1252" t="s">
        <v>730</v>
      </c>
      <c r="D1252" s="15">
        <v>30.24</v>
      </c>
      <c r="E1252" s="15">
        <v>30.24</v>
      </c>
      <c r="F1252" t="b">
        <f t="shared" si="38"/>
        <v>1</v>
      </c>
      <c r="G1252" t="str">
        <f t="shared" si="39"/>
        <v>Tradiciones Andinas</v>
      </c>
    </row>
    <row r="1253" spans="1:7" x14ac:dyDescent="0.25">
      <c r="A1253" t="s">
        <v>664</v>
      </c>
      <c r="B1253" t="s">
        <v>1153</v>
      </c>
      <c r="C1253" t="s">
        <v>982</v>
      </c>
      <c r="D1253" s="15">
        <v>28.68</v>
      </c>
      <c r="E1253" s="15">
        <v>28.68</v>
      </c>
      <c r="F1253" t="b">
        <f t="shared" si="38"/>
        <v>1</v>
      </c>
      <c r="G1253" t="str">
        <f t="shared" si="39"/>
        <v>Tradiciones Andinas</v>
      </c>
    </row>
    <row r="1254" spans="1:7" x14ac:dyDescent="0.25">
      <c r="A1254" t="s">
        <v>664</v>
      </c>
      <c r="B1254" t="s">
        <v>1153</v>
      </c>
      <c r="C1254" t="s">
        <v>1151</v>
      </c>
      <c r="D1254" s="15">
        <v>26.84</v>
      </c>
      <c r="E1254" s="15">
        <v>26.84</v>
      </c>
      <c r="F1254" t="b">
        <f t="shared" si="38"/>
        <v>1</v>
      </c>
      <c r="G1254" t="str">
        <f t="shared" si="39"/>
        <v>Tradiciones Andinas</v>
      </c>
    </row>
    <row r="1255" spans="1:7" x14ac:dyDescent="0.25">
      <c r="A1255" t="s">
        <v>664</v>
      </c>
      <c r="B1255" t="s">
        <v>1153</v>
      </c>
      <c r="C1255" t="s">
        <v>710</v>
      </c>
      <c r="D1255" s="15">
        <v>40.159999999999997</v>
      </c>
      <c r="E1255" s="15">
        <v>40.159999999999997</v>
      </c>
      <c r="F1255" t="b">
        <f t="shared" si="38"/>
        <v>1</v>
      </c>
      <c r="G1255" t="str">
        <f t="shared" si="39"/>
        <v>Tradiciones Andinas</v>
      </c>
    </row>
    <row r="1256" spans="1:7" x14ac:dyDescent="0.25">
      <c r="A1256" t="s">
        <v>664</v>
      </c>
      <c r="B1256" t="s">
        <v>1153</v>
      </c>
      <c r="C1256" t="s">
        <v>671</v>
      </c>
      <c r="D1256" s="15">
        <v>33.119999999999997</v>
      </c>
      <c r="E1256" s="15">
        <v>33.119999999999997</v>
      </c>
      <c r="F1256" t="b">
        <f t="shared" si="38"/>
        <v>1</v>
      </c>
      <c r="G1256" t="str">
        <f t="shared" si="39"/>
        <v>Tradiciones Andinas</v>
      </c>
    </row>
    <row r="1257" spans="1:7" x14ac:dyDescent="0.25">
      <c r="A1257" t="s">
        <v>664</v>
      </c>
      <c r="B1257" t="s">
        <v>1153</v>
      </c>
      <c r="C1257" t="s">
        <v>760</v>
      </c>
      <c r="D1257" s="15">
        <v>53.5</v>
      </c>
      <c r="E1257" s="15">
        <v>53.5</v>
      </c>
      <c r="F1257" t="b">
        <f t="shared" si="38"/>
        <v>1</v>
      </c>
      <c r="G1257" t="str">
        <f t="shared" si="39"/>
        <v>Tradiciones Andinas</v>
      </c>
    </row>
    <row r="1258" spans="1:7" x14ac:dyDescent="0.25">
      <c r="A1258" t="s">
        <v>664</v>
      </c>
      <c r="B1258" t="s">
        <v>1153</v>
      </c>
      <c r="C1258" t="s">
        <v>828</v>
      </c>
      <c r="D1258" s="15">
        <v>28.88</v>
      </c>
      <c r="E1258" s="15">
        <v>28.88</v>
      </c>
      <c r="F1258" t="b">
        <f t="shared" si="38"/>
        <v>1</v>
      </c>
      <c r="G1258" t="str">
        <f t="shared" si="39"/>
        <v>Tradiciones Andinas</v>
      </c>
    </row>
    <row r="1259" spans="1:7" x14ac:dyDescent="0.25">
      <c r="A1259" t="s">
        <v>664</v>
      </c>
      <c r="B1259" t="s">
        <v>1153</v>
      </c>
      <c r="C1259" t="s">
        <v>830</v>
      </c>
      <c r="D1259" s="15">
        <v>28.88</v>
      </c>
      <c r="E1259" s="15">
        <v>28.88</v>
      </c>
      <c r="F1259" t="b">
        <f t="shared" si="38"/>
        <v>1</v>
      </c>
      <c r="G1259" t="str">
        <f t="shared" si="39"/>
        <v>Tradiciones Andinas</v>
      </c>
    </row>
    <row r="1260" spans="1:7" x14ac:dyDescent="0.25">
      <c r="A1260" t="s">
        <v>664</v>
      </c>
      <c r="B1260" t="s">
        <v>1153</v>
      </c>
      <c r="C1260" t="s">
        <v>868</v>
      </c>
      <c r="D1260" s="15">
        <v>27.29</v>
      </c>
      <c r="E1260" s="15">
        <v>27.29</v>
      </c>
      <c r="F1260" t="b">
        <f t="shared" si="38"/>
        <v>1</v>
      </c>
      <c r="G1260" t="str">
        <f t="shared" si="39"/>
        <v>Tradiciones Andinas</v>
      </c>
    </row>
    <row r="1261" spans="1:7" x14ac:dyDescent="0.25">
      <c r="A1261" t="s">
        <v>664</v>
      </c>
      <c r="B1261" t="s">
        <v>1153</v>
      </c>
      <c r="C1261" t="s">
        <v>716</v>
      </c>
      <c r="D1261" s="15">
        <v>32.1</v>
      </c>
      <c r="E1261" s="15">
        <v>32.1</v>
      </c>
      <c r="F1261" t="b">
        <f t="shared" si="38"/>
        <v>1</v>
      </c>
      <c r="G1261" t="str">
        <f t="shared" si="39"/>
        <v>Tradiciones Andinas</v>
      </c>
    </row>
    <row r="1262" spans="1:7" x14ac:dyDescent="0.25">
      <c r="A1262" t="s">
        <v>664</v>
      </c>
      <c r="B1262" t="s">
        <v>1153</v>
      </c>
      <c r="C1262" t="s">
        <v>1051</v>
      </c>
      <c r="D1262" s="15">
        <v>16.68</v>
      </c>
      <c r="E1262" s="15">
        <v>16.68</v>
      </c>
      <c r="F1262" t="b">
        <f t="shared" si="38"/>
        <v>1</v>
      </c>
      <c r="G1262" t="str">
        <f t="shared" si="39"/>
        <v>Tradiciones Andinas</v>
      </c>
    </row>
    <row r="1263" spans="1:7" x14ac:dyDescent="0.25">
      <c r="A1263" t="s">
        <v>664</v>
      </c>
      <c r="B1263" t="s">
        <v>1153</v>
      </c>
      <c r="C1263" t="s">
        <v>1100</v>
      </c>
      <c r="D1263" s="15">
        <v>12.6</v>
      </c>
      <c r="E1263" s="15">
        <v>12.6</v>
      </c>
      <c r="F1263" t="b">
        <f t="shared" si="38"/>
        <v>1</v>
      </c>
      <c r="G1263" t="str">
        <f t="shared" si="39"/>
        <v>Tradiciones Andinas</v>
      </c>
    </row>
    <row r="1264" spans="1:7" x14ac:dyDescent="0.25">
      <c r="A1264" t="s">
        <v>664</v>
      </c>
      <c r="B1264" t="s">
        <v>1153</v>
      </c>
      <c r="C1264" t="s">
        <v>1000</v>
      </c>
      <c r="D1264" s="15">
        <v>78.959999999999994</v>
      </c>
      <c r="E1264" s="15">
        <v>78.959999999999994</v>
      </c>
      <c r="F1264" t="b">
        <f t="shared" si="38"/>
        <v>1</v>
      </c>
      <c r="G1264" t="str">
        <f t="shared" si="39"/>
        <v>Tradiciones Andinas</v>
      </c>
    </row>
    <row r="1265" spans="1:7" x14ac:dyDescent="0.25">
      <c r="A1265" t="s">
        <v>664</v>
      </c>
      <c r="B1265" t="s">
        <v>1153</v>
      </c>
      <c r="C1265" t="s">
        <v>1099</v>
      </c>
      <c r="D1265" s="15">
        <v>12.6</v>
      </c>
      <c r="E1265" s="15">
        <v>12.6</v>
      </c>
      <c r="F1265" t="b">
        <f t="shared" si="38"/>
        <v>1</v>
      </c>
      <c r="G1265" t="str">
        <f t="shared" si="39"/>
        <v>Tradiciones Andinas</v>
      </c>
    </row>
    <row r="1266" spans="1:7" x14ac:dyDescent="0.25">
      <c r="A1266" t="s">
        <v>664</v>
      </c>
      <c r="B1266" t="s">
        <v>1153</v>
      </c>
      <c r="C1266" t="s">
        <v>1096</v>
      </c>
      <c r="D1266" s="15">
        <v>12.6</v>
      </c>
      <c r="E1266" s="15">
        <v>12.6</v>
      </c>
      <c r="F1266" t="b">
        <f t="shared" si="38"/>
        <v>1</v>
      </c>
      <c r="G1266" t="str">
        <f t="shared" si="39"/>
        <v>Tradiciones Andinas</v>
      </c>
    </row>
    <row r="1267" spans="1:7" x14ac:dyDescent="0.25">
      <c r="A1267" t="s">
        <v>664</v>
      </c>
      <c r="B1267" t="s">
        <v>1153</v>
      </c>
      <c r="C1267" t="s">
        <v>962</v>
      </c>
      <c r="D1267" s="15">
        <v>27.29</v>
      </c>
      <c r="E1267" s="15">
        <v>27.29</v>
      </c>
      <c r="F1267" t="b">
        <f t="shared" si="38"/>
        <v>1</v>
      </c>
      <c r="G1267" t="str">
        <f t="shared" si="39"/>
        <v>Tradiciones Andinas</v>
      </c>
    </row>
    <row r="1268" spans="1:7" x14ac:dyDescent="0.25">
      <c r="A1268" t="s">
        <v>664</v>
      </c>
      <c r="B1268" t="s">
        <v>1153</v>
      </c>
      <c r="C1268" t="s">
        <v>1161</v>
      </c>
      <c r="D1268" s="15">
        <v>18.600000000000001</v>
      </c>
      <c r="E1268" s="15">
        <v>18.600000000000001</v>
      </c>
      <c r="F1268" t="b">
        <f t="shared" si="38"/>
        <v>1</v>
      </c>
      <c r="G1268" t="str">
        <f t="shared" si="39"/>
        <v>Tradiciones Andinas</v>
      </c>
    </row>
    <row r="1269" spans="1:7" x14ac:dyDescent="0.25">
      <c r="A1269" t="s">
        <v>664</v>
      </c>
      <c r="B1269" t="s">
        <v>1153</v>
      </c>
      <c r="C1269" t="s">
        <v>1002</v>
      </c>
      <c r="D1269" s="15">
        <v>12.6</v>
      </c>
      <c r="E1269" s="15">
        <v>12.6</v>
      </c>
      <c r="F1269" t="b">
        <f t="shared" si="38"/>
        <v>1</v>
      </c>
      <c r="G1269" t="str">
        <f t="shared" si="39"/>
        <v>Tradiciones Andinas</v>
      </c>
    </row>
    <row r="1270" spans="1:7" x14ac:dyDescent="0.25">
      <c r="A1270" t="s">
        <v>664</v>
      </c>
      <c r="B1270" t="s">
        <v>1153</v>
      </c>
      <c r="C1270" t="s">
        <v>1097</v>
      </c>
      <c r="D1270" s="15">
        <v>12.6</v>
      </c>
      <c r="E1270" s="15">
        <v>12.6</v>
      </c>
      <c r="F1270" t="b">
        <f t="shared" si="38"/>
        <v>1</v>
      </c>
      <c r="G1270" t="str">
        <f t="shared" si="39"/>
        <v>Tradiciones Andinas</v>
      </c>
    </row>
    <row r="1271" spans="1:7" x14ac:dyDescent="0.25">
      <c r="A1271" t="s">
        <v>664</v>
      </c>
      <c r="B1271" t="s">
        <v>1153</v>
      </c>
      <c r="C1271" t="s">
        <v>786</v>
      </c>
      <c r="D1271" s="15">
        <v>22.86</v>
      </c>
      <c r="E1271" s="15">
        <v>22.86</v>
      </c>
      <c r="F1271" t="b">
        <f t="shared" si="38"/>
        <v>1</v>
      </c>
      <c r="G1271" t="str">
        <f t="shared" si="39"/>
        <v>Tradiciones Andinas</v>
      </c>
    </row>
    <row r="1272" spans="1:7" x14ac:dyDescent="0.25">
      <c r="A1272" t="s">
        <v>664</v>
      </c>
      <c r="B1272" t="s">
        <v>1153</v>
      </c>
      <c r="C1272" t="s">
        <v>882</v>
      </c>
      <c r="D1272" s="15">
        <v>14</v>
      </c>
      <c r="E1272" s="15">
        <v>14</v>
      </c>
      <c r="F1272" t="b">
        <f t="shared" si="38"/>
        <v>1</v>
      </c>
      <c r="G1272" t="str">
        <f t="shared" si="39"/>
        <v>Tradiciones Andinas</v>
      </c>
    </row>
    <row r="1273" spans="1:7" x14ac:dyDescent="0.25">
      <c r="A1273" t="s">
        <v>664</v>
      </c>
      <c r="B1273" t="s">
        <v>1153</v>
      </c>
      <c r="C1273" t="s">
        <v>752</v>
      </c>
      <c r="D1273" s="15">
        <v>37.450000000000003</v>
      </c>
      <c r="E1273" s="15">
        <v>37.450000000000003</v>
      </c>
      <c r="F1273" t="b">
        <f t="shared" si="38"/>
        <v>1</v>
      </c>
      <c r="G1273" t="str">
        <f t="shared" si="39"/>
        <v>Tradiciones Andinas</v>
      </c>
    </row>
    <row r="1274" spans="1:7" x14ac:dyDescent="0.25">
      <c r="A1274" t="s">
        <v>664</v>
      </c>
      <c r="B1274" t="s">
        <v>1153</v>
      </c>
      <c r="C1274" t="s">
        <v>920</v>
      </c>
      <c r="D1274" s="15">
        <v>32.15</v>
      </c>
      <c r="E1274" s="15">
        <v>32.15</v>
      </c>
      <c r="F1274" t="b">
        <f t="shared" si="38"/>
        <v>1</v>
      </c>
      <c r="G1274" t="str">
        <f t="shared" si="39"/>
        <v>Tradiciones Andinas</v>
      </c>
    </row>
    <row r="1275" spans="1:7" x14ac:dyDescent="0.25">
      <c r="A1275" t="s">
        <v>664</v>
      </c>
      <c r="B1275" t="s">
        <v>1153</v>
      </c>
      <c r="C1275" t="s">
        <v>922</v>
      </c>
      <c r="D1275" s="15">
        <v>32.15</v>
      </c>
      <c r="E1275" s="15">
        <v>32.15</v>
      </c>
      <c r="F1275" t="b">
        <f t="shared" si="38"/>
        <v>1</v>
      </c>
      <c r="G1275" t="str">
        <f t="shared" si="39"/>
        <v>Tradiciones Andinas</v>
      </c>
    </row>
    <row r="1276" spans="1:7" x14ac:dyDescent="0.25">
      <c r="A1276" t="s">
        <v>664</v>
      </c>
      <c r="B1276" t="s">
        <v>1153</v>
      </c>
      <c r="C1276" t="s">
        <v>1119</v>
      </c>
      <c r="D1276" s="15">
        <v>25.02</v>
      </c>
      <c r="E1276" s="15">
        <v>25.02</v>
      </c>
      <c r="F1276" t="b">
        <f t="shared" si="38"/>
        <v>1</v>
      </c>
      <c r="G1276" t="str">
        <f t="shared" si="39"/>
        <v>Tradiciones Andinas</v>
      </c>
    </row>
    <row r="1277" spans="1:7" x14ac:dyDescent="0.25">
      <c r="A1277" t="s">
        <v>664</v>
      </c>
      <c r="B1277" t="s">
        <v>1153</v>
      </c>
      <c r="C1277" t="s">
        <v>910</v>
      </c>
      <c r="D1277" s="15">
        <v>42.24</v>
      </c>
      <c r="E1277" s="15">
        <v>42.24</v>
      </c>
      <c r="F1277" t="b">
        <f t="shared" si="38"/>
        <v>1</v>
      </c>
      <c r="G1277" t="str">
        <f t="shared" si="39"/>
        <v>Tradiciones Andinas</v>
      </c>
    </row>
    <row r="1278" spans="1:7" x14ac:dyDescent="0.25">
      <c r="A1278" t="s">
        <v>664</v>
      </c>
      <c r="B1278" t="s">
        <v>1153</v>
      </c>
      <c r="C1278" t="s">
        <v>914</v>
      </c>
      <c r="D1278" s="15">
        <v>49.95</v>
      </c>
      <c r="E1278" s="15">
        <v>49.95</v>
      </c>
      <c r="F1278" t="b">
        <f t="shared" si="38"/>
        <v>1</v>
      </c>
      <c r="G1278" t="str">
        <f t="shared" si="39"/>
        <v>Tradiciones Andinas</v>
      </c>
    </row>
    <row r="1279" spans="1:7" x14ac:dyDescent="0.25">
      <c r="A1279" t="s">
        <v>664</v>
      </c>
      <c r="B1279" t="s">
        <v>1153</v>
      </c>
      <c r="C1279" t="s">
        <v>1106</v>
      </c>
      <c r="D1279" s="15">
        <v>22.24</v>
      </c>
      <c r="E1279" s="15">
        <v>22.24</v>
      </c>
      <c r="F1279" t="b">
        <f t="shared" si="38"/>
        <v>1</v>
      </c>
      <c r="G1279" t="str">
        <f t="shared" si="39"/>
        <v>Tradiciones Andinas</v>
      </c>
    </row>
    <row r="1280" spans="1:7" x14ac:dyDescent="0.25">
      <c r="A1280" t="s">
        <v>664</v>
      </c>
      <c r="B1280" t="s">
        <v>1153</v>
      </c>
      <c r="C1280" t="s">
        <v>1083</v>
      </c>
      <c r="D1280" s="15">
        <v>22.24</v>
      </c>
      <c r="E1280" s="15">
        <v>22.24</v>
      </c>
      <c r="F1280" t="b">
        <f t="shared" si="38"/>
        <v>1</v>
      </c>
      <c r="G1280" t="str">
        <f t="shared" si="39"/>
        <v>Tradiciones Andinas</v>
      </c>
    </row>
    <row r="1281" spans="1:7" x14ac:dyDescent="0.25">
      <c r="A1281" t="s">
        <v>664</v>
      </c>
      <c r="B1281" t="s">
        <v>1153</v>
      </c>
      <c r="C1281" t="s">
        <v>1087</v>
      </c>
      <c r="D1281" s="15">
        <v>22.24</v>
      </c>
      <c r="E1281" s="15">
        <v>22.24</v>
      </c>
      <c r="F1281" t="b">
        <f t="shared" si="38"/>
        <v>1</v>
      </c>
      <c r="G1281" t="str">
        <f t="shared" si="39"/>
        <v>Tradiciones Andinas</v>
      </c>
    </row>
    <row r="1282" spans="1:7" x14ac:dyDescent="0.25">
      <c r="A1282" t="s">
        <v>664</v>
      </c>
      <c r="B1282" t="s">
        <v>1153</v>
      </c>
      <c r="C1282" t="s">
        <v>1168</v>
      </c>
      <c r="D1282" s="15">
        <v>30.42</v>
      </c>
      <c r="E1282" s="15">
        <v>30.42</v>
      </c>
      <c r="F1282" t="b">
        <f t="shared" si="38"/>
        <v>1</v>
      </c>
      <c r="G1282" t="str">
        <f t="shared" si="39"/>
        <v>Tradiciones Andinas</v>
      </c>
    </row>
    <row r="1283" spans="1:7" x14ac:dyDescent="0.25">
      <c r="A1283" t="s">
        <v>664</v>
      </c>
      <c r="B1283" t="s">
        <v>1153</v>
      </c>
      <c r="C1283" t="s">
        <v>803</v>
      </c>
      <c r="D1283" s="15">
        <v>22</v>
      </c>
      <c r="E1283" s="15">
        <v>22</v>
      </c>
      <c r="F1283" t="b">
        <f t="shared" si="38"/>
        <v>1</v>
      </c>
      <c r="G1283" t="str">
        <f t="shared" si="39"/>
        <v>Tradiciones Andinas</v>
      </c>
    </row>
    <row r="1284" spans="1:7" x14ac:dyDescent="0.25">
      <c r="A1284" t="s">
        <v>664</v>
      </c>
      <c r="B1284" t="s">
        <v>1153</v>
      </c>
      <c r="C1284" t="s">
        <v>801</v>
      </c>
      <c r="D1284" s="15">
        <v>25.68</v>
      </c>
      <c r="E1284" s="15">
        <v>25.68</v>
      </c>
      <c r="F1284" t="b">
        <f t="shared" si="38"/>
        <v>1</v>
      </c>
      <c r="G1284" t="str">
        <f t="shared" si="39"/>
        <v>Tradiciones Andinas</v>
      </c>
    </row>
    <row r="1285" spans="1:7" x14ac:dyDescent="0.25">
      <c r="A1285" t="s">
        <v>664</v>
      </c>
      <c r="B1285" t="s">
        <v>1175</v>
      </c>
      <c r="C1285" t="s">
        <v>1177</v>
      </c>
      <c r="D1285" s="15">
        <v>27.04</v>
      </c>
      <c r="E1285" s="15">
        <v>27.04</v>
      </c>
      <c r="F1285" t="b">
        <f t="shared" si="38"/>
        <v>1</v>
      </c>
      <c r="G1285" t="str">
        <f t="shared" si="39"/>
        <v>Tradiciones Andinas</v>
      </c>
    </row>
    <row r="1286" spans="1:7" x14ac:dyDescent="0.25">
      <c r="A1286" t="s">
        <v>664</v>
      </c>
      <c r="B1286" t="s">
        <v>1175</v>
      </c>
      <c r="C1286" t="s">
        <v>561</v>
      </c>
      <c r="D1286" s="15">
        <v>34</v>
      </c>
      <c r="E1286" s="15">
        <v>34</v>
      </c>
      <c r="F1286" t="b">
        <f t="shared" ref="F1286:F1349" si="40">D1286=E1286</f>
        <v>1</v>
      </c>
      <c r="G1286" t="str">
        <f t="shared" ref="G1286:G1349" si="41">+A1286</f>
        <v>Tradiciones Andinas</v>
      </c>
    </row>
    <row r="1287" spans="1:7" x14ac:dyDescent="0.25">
      <c r="A1287" t="s">
        <v>664</v>
      </c>
      <c r="B1287" t="s">
        <v>1180</v>
      </c>
      <c r="C1287" t="s">
        <v>64</v>
      </c>
      <c r="D1287" s="15">
        <v>50.9</v>
      </c>
      <c r="E1287" s="15">
        <v>50.9</v>
      </c>
      <c r="F1287" t="b">
        <f t="shared" si="40"/>
        <v>1</v>
      </c>
      <c r="G1287" t="str">
        <f t="shared" si="41"/>
        <v>Tradiciones Andinas</v>
      </c>
    </row>
    <row r="1288" spans="1:7" x14ac:dyDescent="0.25">
      <c r="A1288" t="s">
        <v>664</v>
      </c>
      <c r="B1288" t="s">
        <v>1180</v>
      </c>
      <c r="C1288" t="s">
        <v>823</v>
      </c>
      <c r="D1288" s="15">
        <v>40.82</v>
      </c>
      <c r="E1288" s="15">
        <v>40.82</v>
      </c>
      <c r="F1288" t="b">
        <f t="shared" si="40"/>
        <v>1</v>
      </c>
      <c r="G1288" t="str">
        <f t="shared" si="41"/>
        <v>Tradiciones Andinas</v>
      </c>
    </row>
    <row r="1289" spans="1:7" x14ac:dyDescent="0.25">
      <c r="A1289" t="s">
        <v>664</v>
      </c>
      <c r="B1289" t="s">
        <v>1180</v>
      </c>
      <c r="C1289" t="s">
        <v>837</v>
      </c>
      <c r="D1289" s="15">
        <v>30.64</v>
      </c>
      <c r="E1289" s="15">
        <v>30.64</v>
      </c>
      <c r="F1289" t="b">
        <f t="shared" si="40"/>
        <v>1</v>
      </c>
      <c r="G1289" t="str">
        <f t="shared" si="41"/>
        <v>Tradiciones Andinas</v>
      </c>
    </row>
    <row r="1290" spans="1:7" x14ac:dyDescent="0.25">
      <c r="A1290" t="s">
        <v>664</v>
      </c>
      <c r="B1290" t="s">
        <v>1180</v>
      </c>
      <c r="C1290" t="s">
        <v>843</v>
      </c>
      <c r="D1290" s="15">
        <v>53.68</v>
      </c>
      <c r="E1290" s="15">
        <v>53.68</v>
      </c>
      <c r="F1290" t="b">
        <f t="shared" si="40"/>
        <v>1</v>
      </c>
      <c r="G1290" t="str">
        <f t="shared" si="41"/>
        <v>Tradiciones Andinas</v>
      </c>
    </row>
    <row r="1291" spans="1:7" x14ac:dyDescent="0.25">
      <c r="A1291" t="s">
        <v>664</v>
      </c>
      <c r="B1291" t="s">
        <v>1180</v>
      </c>
      <c r="C1291" t="s">
        <v>1155</v>
      </c>
      <c r="D1291" s="15">
        <v>32.1</v>
      </c>
      <c r="E1291" s="15">
        <v>32.1</v>
      </c>
      <c r="F1291" t="b">
        <f t="shared" si="40"/>
        <v>1</v>
      </c>
      <c r="G1291" t="str">
        <f t="shared" si="41"/>
        <v>Tradiciones Andinas</v>
      </c>
    </row>
    <row r="1292" spans="1:7" x14ac:dyDescent="0.25">
      <c r="A1292" t="s">
        <v>664</v>
      </c>
      <c r="B1292" t="s">
        <v>1180</v>
      </c>
      <c r="C1292" t="s">
        <v>1182</v>
      </c>
      <c r="D1292" s="15">
        <v>38.93</v>
      </c>
      <c r="E1292" s="15">
        <v>38.93</v>
      </c>
      <c r="F1292" t="b">
        <f t="shared" si="40"/>
        <v>1</v>
      </c>
      <c r="G1292" t="str">
        <f t="shared" si="41"/>
        <v>Tradiciones Andinas</v>
      </c>
    </row>
    <row r="1293" spans="1:7" x14ac:dyDescent="0.25">
      <c r="A1293" t="s">
        <v>664</v>
      </c>
      <c r="B1293" t="s">
        <v>1180</v>
      </c>
      <c r="C1293" t="s">
        <v>561</v>
      </c>
      <c r="D1293" s="15">
        <v>34</v>
      </c>
      <c r="E1293" s="15">
        <v>34</v>
      </c>
      <c r="F1293" t="b">
        <f t="shared" si="40"/>
        <v>1</v>
      </c>
      <c r="G1293" t="str">
        <f t="shared" si="41"/>
        <v>Tradiciones Andinas</v>
      </c>
    </row>
    <row r="1294" spans="1:7" x14ac:dyDescent="0.25">
      <c r="A1294" t="s">
        <v>664</v>
      </c>
      <c r="B1294" t="s">
        <v>1184</v>
      </c>
      <c r="C1294" t="s">
        <v>1108</v>
      </c>
      <c r="D1294" s="15">
        <v>22.24</v>
      </c>
      <c r="E1294" s="15">
        <v>22.24</v>
      </c>
      <c r="F1294" t="b">
        <f t="shared" si="40"/>
        <v>1</v>
      </c>
      <c r="G1294" t="str">
        <f t="shared" si="41"/>
        <v>Tradiciones Andinas</v>
      </c>
    </row>
    <row r="1295" spans="1:7" x14ac:dyDescent="0.25">
      <c r="A1295" t="s">
        <v>664</v>
      </c>
      <c r="B1295" t="s">
        <v>1184</v>
      </c>
      <c r="C1295" t="s">
        <v>1186</v>
      </c>
      <c r="D1295" s="15">
        <v>22.24</v>
      </c>
      <c r="E1295" s="15">
        <v>22.24</v>
      </c>
      <c r="F1295" t="b">
        <f t="shared" si="40"/>
        <v>1</v>
      </c>
      <c r="G1295" t="str">
        <f t="shared" si="41"/>
        <v>Tradiciones Andinas</v>
      </c>
    </row>
    <row r="1296" spans="1:7" x14ac:dyDescent="0.25">
      <c r="A1296" t="s">
        <v>664</v>
      </c>
      <c r="B1296" t="s">
        <v>1188</v>
      </c>
      <c r="C1296" t="s">
        <v>1190</v>
      </c>
      <c r="D1296" s="15">
        <v>10.68</v>
      </c>
      <c r="E1296" s="15">
        <v>10.68</v>
      </c>
      <c r="F1296" t="b">
        <f t="shared" si="40"/>
        <v>1</v>
      </c>
      <c r="G1296" t="str">
        <f t="shared" si="41"/>
        <v>Tradiciones Andinas</v>
      </c>
    </row>
    <row r="1297" spans="1:7" x14ac:dyDescent="0.25">
      <c r="A1297" t="s">
        <v>664</v>
      </c>
      <c r="B1297" t="s">
        <v>1192</v>
      </c>
      <c r="C1297" t="s">
        <v>72</v>
      </c>
      <c r="D1297" s="15">
        <v>66.88</v>
      </c>
      <c r="E1297" s="15">
        <v>66.88</v>
      </c>
      <c r="F1297" t="b">
        <f t="shared" si="40"/>
        <v>1</v>
      </c>
      <c r="G1297" t="str">
        <f t="shared" si="41"/>
        <v>Tradiciones Andinas</v>
      </c>
    </row>
    <row r="1298" spans="1:7" x14ac:dyDescent="0.25">
      <c r="A1298" t="s">
        <v>664</v>
      </c>
      <c r="B1298" t="s">
        <v>1193</v>
      </c>
      <c r="C1298" t="s">
        <v>739</v>
      </c>
      <c r="D1298" s="15">
        <v>14</v>
      </c>
      <c r="E1298" s="15">
        <v>14</v>
      </c>
      <c r="F1298" t="b">
        <f t="shared" si="40"/>
        <v>1</v>
      </c>
      <c r="G1298" t="str">
        <f t="shared" si="41"/>
        <v>Tradiciones Andinas</v>
      </c>
    </row>
    <row r="1299" spans="1:7" x14ac:dyDescent="0.25">
      <c r="A1299" t="s">
        <v>664</v>
      </c>
      <c r="B1299" t="s">
        <v>1193</v>
      </c>
      <c r="C1299" t="s">
        <v>741</v>
      </c>
      <c r="D1299" s="15">
        <v>14</v>
      </c>
      <c r="E1299" s="15">
        <v>14</v>
      </c>
      <c r="F1299" t="b">
        <f t="shared" si="40"/>
        <v>1</v>
      </c>
      <c r="G1299" t="str">
        <f t="shared" si="41"/>
        <v>Tradiciones Andinas</v>
      </c>
    </row>
    <row r="1300" spans="1:7" x14ac:dyDescent="0.25">
      <c r="A1300" t="s">
        <v>664</v>
      </c>
      <c r="B1300" t="s">
        <v>1193</v>
      </c>
      <c r="C1300" t="s">
        <v>878</v>
      </c>
      <c r="D1300" s="15">
        <v>14</v>
      </c>
      <c r="E1300" s="15">
        <v>14</v>
      </c>
      <c r="F1300" t="b">
        <f t="shared" si="40"/>
        <v>1</v>
      </c>
      <c r="G1300" t="str">
        <f t="shared" si="41"/>
        <v>Tradiciones Andinas</v>
      </c>
    </row>
    <row r="1301" spans="1:7" x14ac:dyDescent="0.25">
      <c r="A1301" t="s">
        <v>664</v>
      </c>
      <c r="B1301" t="s">
        <v>1193</v>
      </c>
      <c r="C1301" t="s">
        <v>865</v>
      </c>
      <c r="D1301" s="15">
        <v>49.52</v>
      </c>
      <c r="E1301" s="15">
        <v>49.52</v>
      </c>
      <c r="F1301" t="b">
        <f t="shared" si="40"/>
        <v>1</v>
      </c>
      <c r="G1301" t="str">
        <f t="shared" si="41"/>
        <v>Tradiciones Andinas</v>
      </c>
    </row>
    <row r="1302" spans="1:7" x14ac:dyDescent="0.25">
      <c r="A1302" t="s">
        <v>664</v>
      </c>
      <c r="B1302" t="s">
        <v>1193</v>
      </c>
      <c r="C1302" t="s">
        <v>957</v>
      </c>
      <c r="D1302" s="15">
        <v>39</v>
      </c>
      <c r="E1302" s="15">
        <v>39</v>
      </c>
      <c r="F1302" t="b">
        <f t="shared" si="40"/>
        <v>1</v>
      </c>
      <c r="G1302" t="str">
        <f t="shared" si="41"/>
        <v>Tradiciones Andinas</v>
      </c>
    </row>
    <row r="1303" spans="1:7" x14ac:dyDescent="0.25">
      <c r="A1303" t="s">
        <v>664</v>
      </c>
      <c r="B1303" t="s">
        <v>1193</v>
      </c>
      <c r="C1303" t="s">
        <v>863</v>
      </c>
      <c r="D1303" s="15">
        <v>49.52</v>
      </c>
      <c r="E1303" s="15">
        <v>49.52</v>
      </c>
      <c r="F1303" t="b">
        <f t="shared" si="40"/>
        <v>1</v>
      </c>
      <c r="G1303" t="str">
        <f t="shared" si="41"/>
        <v>Tradiciones Andinas</v>
      </c>
    </row>
    <row r="1304" spans="1:7" x14ac:dyDescent="0.25">
      <c r="A1304" t="s">
        <v>664</v>
      </c>
      <c r="B1304" t="s">
        <v>1193</v>
      </c>
      <c r="C1304" t="s">
        <v>955</v>
      </c>
      <c r="D1304" s="15">
        <v>39</v>
      </c>
      <c r="E1304" s="15">
        <v>39</v>
      </c>
      <c r="F1304" t="b">
        <f t="shared" si="40"/>
        <v>1</v>
      </c>
      <c r="G1304" t="str">
        <f t="shared" si="41"/>
        <v>Tradiciones Andinas</v>
      </c>
    </row>
    <row r="1305" spans="1:7" x14ac:dyDescent="0.25">
      <c r="A1305" t="s">
        <v>664</v>
      </c>
      <c r="B1305" t="s">
        <v>1193</v>
      </c>
      <c r="C1305" t="s">
        <v>734</v>
      </c>
      <c r="D1305" s="15">
        <v>11.88</v>
      </c>
      <c r="E1305" s="15">
        <v>11.88</v>
      </c>
      <c r="F1305" t="b">
        <f t="shared" si="40"/>
        <v>1</v>
      </c>
      <c r="G1305" t="str">
        <f t="shared" si="41"/>
        <v>Tradiciones Andinas</v>
      </c>
    </row>
    <row r="1306" spans="1:7" x14ac:dyDescent="0.25">
      <c r="A1306" t="s">
        <v>664</v>
      </c>
      <c r="B1306" t="s">
        <v>1193</v>
      </c>
      <c r="C1306" t="s">
        <v>904</v>
      </c>
      <c r="D1306" s="15">
        <v>27</v>
      </c>
      <c r="E1306" s="15">
        <v>27</v>
      </c>
      <c r="F1306" t="b">
        <f t="shared" si="40"/>
        <v>1</v>
      </c>
      <c r="G1306" t="str">
        <f t="shared" si="41"/>
        <v>Tradiciones Andinas</v>
      </c>
    </row>
    <row r="1307" spans="1:7" x14ac:dyDescent="0.25">
      <c r="A1307" t="s">
        <v>664</v>
      </c>
      <c r="B1307" t="s">
        <v>1193</v>
      </c>
      <c r="C1307" t="s">
        <v>724</v>
      </c>
      <c r="D1307" s="15">
        <v>35</v>
      </c>
      <c r="E1307" s="15">
        <v>35</v>
      </c>
      <c r="F1307" t="b">
        <f t="shared" si="40"/>
        <v>1</v>
      </c>
      <c r="G1307" t="str">
        <f t="shared" si="41"/>
        <v>Tradiciones Andinas</v>
      </c>
    </row>
    <row r="1308" spans="1:7" x14ac:dyDescent="0.25">
      <c r="A1308" t="s">
        <v>664</v>
      </c>
      <c r="B1308" t="s">
        <v>1193</v>
      </c>
      <c r="C1308" t="s">
        <v>720</v>
      </c>
      <c r="D1308" s="15">
        <v>23.96</v>
      </c>
      <c r="E1308" s="15">
        <v>23.96</v>
      </c>
      <c r="F1308" t="b">
        <f t="shared" si="40"/>
        <v>1</v>
      </c>
      <c r="G1308" t="str">
        <f t="shared" si="41"/>
        <v>Tradiciones Andinas</v>
      </c>
    </row>
    <row r="1309" spans="1:7" x14ac:dyDescent="0.25">
      <c r="A1309" t="s">
        <v>664</v>
      </c>
      <c r="B1309" t="s">
        <v>1193</v>
      </c>
      <c r="C1309" t="s">
        <v>786</v>
      </c>
      <c r="D1309" s="15">
        <v>22.86</v>
      </c>
      <c r="E1309" s="15">
        <v>22.86</v>
      </c>
      <c r="F1309" t="b">
        <f t="shared" si="40"/>
        <v>1</v>
      </c>
      <c r="G1309" t="str">
        <f t="shared" si="41"/>
        <v>Tradiciones Andinas</v>
      </c>
    </row>
    <row r="1310" spans="1:7" x14ac:dyDescent="0.25">
      <c r="A1310" t="s">
        <v>664</v>
      </c>
      <c r="B1310" t="s">
        <v>1193</v>
      </c>
      <c r="C1310" t="s">
        <v>891</v>
      </c>
      <c r="D1310" s="15">
        <v>14</v>
      </c>
      <c r="E1310" s="15">
        <v>14</v>
      </c>
      <c r="F1310" t="b">
        <f t="shared" si="40"/>
        <v>1</v>
      </c>
      <c r="G1310" t="str">
        <f t="shared" si="41"/>
        <v>Tradiciones Andinas</v>
      </c>
    </row>
    <row r="1311" spans="1:7" x14ac:dyDescent="0.25">
      <c r="A1311" t="s">
        <v>664</v>
      </c>
      <c r="B1311" t="s">
        <v>1193</v>
      </c>
      <c r="C1311" t="s">
        <v>880</v>
      </c>
      <c r="D1311" s="15">
        <v>14</v>
      </c>
      <c r="E1311" s="15">
        <v>14</v>
      </c>
      <c r="F1311" t="b">
        <f t="shared" si="40"/>
        <v>1</v>
      </c>
      <c r="G1311" t="str">
        <f t="shared" si="41"/>
        <v>Tradiciones Andinas</v>
      </c>
    </row>
    <row r="1312" spans="1:7" x14ac:dyDescent="0.25">
      <c r="A1312" t="s">
        <v>664</v>
      </c>
      <c r="B1312" t="s">
        <v>1193</v>
      </c>
      <c r="C1312" t="s">
        <v>1066</v>
      </c>
      <c r="D1312" s="15">
        <v>14</v>
      </c>
      <c r="E1312" s="15">
        <v>14</v>
      </c>
      <c r="F1312" t="b">
        <f t="shared" si="40"/>
        <v>1</v>
      </c>
      <c r="G1312" t="str">
        <f t="shared" si="41"/>
        <v>Tradiciones Andinas</v>
      </c>
    </row>
    <row r="1313" spans="1:7" x14ac:dyDescent="0.25">
      <c r="A1313" t="s">
        <v>664</v>
      </c>
      <c r="B1313" t="s">
        <v>1193</v>
      </c>
      <c r="C1313" t="s">
        <v>1010</v>
      </c>
      <c r="D1313" s="15">
        <v>14</v>
      </c>
      <c r="E1313" s="15">
        <v>14</v>
      </c>
      <c r="F1313" t="b">
        <f t="shared" si="40"/>
        <v>1</v>
      </c>
      <c r="G1313" t="str">
        <f t="shared" si="41"/>
        <v>Tradiciones Andinas</v>
      </c>
    </row>
    <row r="1314" spans="1:7" x14ac:dyDescent="0.25">
      <c r="A1314" t="s">
        <v>664</v>
      </c>
      <c r="B1314" t="s">
        <v>1193</v>
      </c>
      <c r="C1314" t="s">
        <v>1068</v>
      </c>
      <c r="D1314" s="15">
        <v>14</v>
      </c>
      <c r="E1314" s="15">
        <v>14</v>
      </c>
      <c r="F1314" t="b">
        <f t="shared" si="40"/>
        <v>1</v>
      </c>
      <c r="G1314" t="str">
        <f t="shared" si="41"/>
        <v>Tradiciones Andinas</v>
      </c>
    </row>
    <row r="1315" spans="1:7" x14ac:dyDescent="0.25">
      <c r="A1315" t="s">
        <v>664</v>
      </c>
      <c r="B1315" t="s">
        <v>1193</v>
      </c>
      <c r="C1315" t="s">
        <v>882</v>
      </c>
      <c r="D1315" s="15">
        <v>14</v>
      </c>
      <c r="E1315" s="15">
        <v>14</v>
      </c>
      <c r="F1315" t="b">
        <f t="shared" si="40"/>
        <v>1</v>
      </c>
      <c r="G1315" t="str">
        <f t="shared" si="41"/>
        <v>Tradiciones Andinas</v>
      </c>
    </row>
    <row r="1316" spans="1:7" x14ac:dyDescent="0.25">
      <c r="A1316" t="s">
        <v>664</v>
      </c>
      <c r="B1316" t="s">
        <v>1193</v>
      </c>
      <c r="C1316" t="s">
        <v>1199</v>
      </c>
      <c r="D1316" s="15">
        <v>18</v>
      </c>
      <c r="E1316" s="15">
        <v>18</v>
      </c>
      <c r="F1316" t="b">
        <f t="shared" si="40"/>
        <v>1</v>
      </c>
      <c r="G1316" t="str">
        <f t="shared" si="41"/>
        <v>Tradiciones Andinas</v>
      </c>
    </row>
    <row r="1317" spans="1:7" x14ac:dyDescent="0.25">
      <c r="A1317" t="s">
        <v>664</v>
      </c>
      <c r="B1317" t="s">
        <v>1193</v>
      </c>
      <c r="C1317" t="s">
        <v>910</v>
      </c>
      <c r="D1317" s="15">
        <v>42.24</v>
      </c>
      <c r="E1317" s="15">
        <v>42.24</v>
      </c>
      <c r="F1317" t="b">
        <f t="shared" si="40"/>
        <v>1</v>
      </c>
      <c r="G1317" t="str">
        <f t="shared" si="41"/>
        <v>Tradiciones Andinas</v>
      </c>
    </row>
    <row r="1318" spans="1:7" x14ac:dyDescent="0.25">
      <c r="A1318" t="s">
        <v>664</v>
      </c>
      <c r="B1318" t="s">
        <v>1201</v>
      </c>
      <c r="C1318" t="s">
        <v>56</v>
      </c>
      <c r="D1318" s="15">
        <v>54.96</v>
      </c>
      <c r="E1318" s="15">
        <v>54.96</v>
      </c>
      <c r="F1318" t="b">
        <f t="shared" si="40"/>
        <v>1</v>
      </c>
      <c r="G1318" t="str">
        <f t="shared" si="41"/>
        <v>Tradiciones Andinas</v>
      </c>
    </row>
    <row r="1319" spans="1:7" x14ac:dyDescent="0.25">
      <c r="A1319" t="s">
        <v>664</v>
      </c>
      <c r="B1319" t="s">
        <v>1201</v>
      </c>
      <c r="C1319" t="s">
        <v>58</v>
      </c>
      <c r="D1319" s="15">
        <v>60.84</v>
      </c>
      <c r="E1319" s="15">
        <v>60.84</v>
      </c>
      <c r="F1319" t="b">
        <f t="shared" si="40"/>
        <v>1</v>
      </c>
      <c r="G1319" t="str">
        <f t="shared" si="41"/>
        <v>Tradiciones Andinas</v>
      </c>
    </row>
    <row r="1320" spans="1:7" x14ac:dyDescent="0.25">
      <c r="A1320" t="s">
        <v>664</v>
      </c>
      <c r="B1320" t="s">
        <v>1201</v>
      </c>
      <c r="C1320" t="s">
        <v>84</v>
      </c>
      <c r="D1320" s="15">
        <v>46.44</v>
      </c>
      <c r="E1320" s="15">
        <v>46.44</v>
      </c>
      <c r="F1320" t="b">
        <f t="shared" si="40"/>
        <v>1</v>
      </c>
      <c r="G1320" t="str">
        <f t="shared" si="41"/>
        <v>Tradiciones Andinas</v>
      </c>
    </row>
    <row r="1321" spans="1:7" x14ac:dyDescent="0.25">
      <c r="A1321" t="s">
        <v>664</v>
      </c>
      <c r="B1321" t="s">
        <v>1201</v>
      </c>
      <c r="C1321" t="s">
        <v>62</v>
      </c>
      <c r="D1321" s="15">
        <v>13.57</v>
      </c>
      <c r="E1321" s="15">
        <v>13.57</v>
      </c>
      <c r="F1321" t="b">
        <f t="shared" si="40"/>
        <v>1</v>
      </c>
      <c r="G1321" t="str">
        <f t="shared" si="41"/>
        <v>Tradiciones Andinas</v>
      </c>
    </row>
    <row r="1322" spans="1:7" x14ac:dyDescent="0.25">
      <c r="A1322" t="s">
        <v>664</v>
      </c>
      <c r="B1322" t="s">
        <v>1201</v>
      </c>
      <c r="C1322" t="s">
        <v>795</v>
      </c>
      <c r="D1322" s="15">
        <v>21.4</v>
      </c>
      <c r="E1322" s="15">
        <v>21.4</v>
      </c>
      <c r="F1322" t="b">
        <f t="shared" si="40"/>
        <v>1</v>
      </c>
      <c r="G1322" t="str">
        <f t="shared" si="41"/>
        <v>Tradiciones Andinas</v>
      </c>
    </row>
    <row r="1323" spans="1:7" x14ac:dyDescent="0.25">
      <c r="A1323" t="s">
        <v>664</v>
      </c>
      <c r="B1323" t="s">
        <v>1201</v>
      </c>
      <c r="C1323" t="s">
        <v>1171</v>
      </c>
      <c r="D1323" s="15">
        <v>23.76</v>
      </c>
      <c r="E1323" s="15">
        <v>23.76</v>
      </c>
      <c r="F1323" t="b">
        <f t="shared" si="40"/>
        <v>1</v>
      </c>
      <c r="G1323" t="str">
        <f t="shared" si="41"/>
        <v>Tradiciones Andinas</v>
      </c>
    </row>
    <row r="1324" spans="1:7" x14ac:dyDescent="0.25">
      <c r="A1324" t="s">
        <v>664</v>
      </c>
      <c r="B1324" t="s">
        <v>1201</v>
      </c>
      <c r="C1324" t="s">
        <v>999</v>
      </c>
      <c r="D1324" s="15">
        <v>9.99</v>
      </c>
      <c r="E1324" s="15">
        <v>9.99</v>
      </c>
      <c r="F1324" t="b">
        <f t="shared" si="40"/>
        <v>1</v>
      </c>
      <c r="G1324" t="str">
        <f t="shared" si="41"/>
        <v>Tradiciones Andinas</v>
      </c>
    </row>
    <row r="1325" spans="1:7" x14ac:dyDescent="0.25">
      <c r="A1325" t="s">
        <v>664</v>
      </c>
      <c r="B1325" t="s">
        <v>1201</v>
      </c>
      <c r="C1325" t="s">
        <v>957</v>
      </c>
      <c r="D1325" s="15">
        <v>39</v>
      </c>
      <c r="E1325" s="15">
        <v>39</v>
      </c>
      <c r="F1325" t="b">
        <f t="shared" si="40"/>
        <v>1</v>
      </c>
      <c r="G1325" t="str">
        <f t="shared" si="41"/>
        <v>Tradiciones Andinas</v>
      </c>
    </row>
    <row r="1326" spans="1:7" x14ac:dyDescent="0.25">
      <c r="A1326" t="s">
        <v>664</v>
      </c>
      <c r="B1326" t="s">
        <v>1201</v>
      </c>
      <c r="C1326" t="s">
        <v>955</v>
      </c>
      <c r="D1326" s="15">
        <v>39</v>
      </c>
      <c r="E1326" s="15">
        <v>39</v>
      </c>
      <c r="F1326" t="b">
        <f t="shared" si="40"/>
        <v>1</v>
      </c>
      <c r="G1326" t="str">
        <f t="shared" si="41"/>
        <v>Tradiciones Andinas</v>
      </c>
    </row>
    <row r="1327" spans="1:7" x14ac:dyDescent="0.25">
      <c r="A1327" t="s">
        <v>664</v>
      </c>
      <c r="B1327" t="s">
        <v>1201</v>
      </c>
      <c r="C1327" t="s">
        <v>738</v>
      </c>
      <c r="D1327" s="15">
        <v>9.07</v>
      </c>
      <c r="E1327" s="15">
        <v>9.07</v>
      </c>
      <c r="F1327" t="b">
        <f t="shared" si="40"/>
        <v>1</v>
      </c>
      <c r="G1327" t="str">
        <f t="shared" si="41"/>
        <v>Tradiciones Andinas</v>
      </c>
    </row>
    <row r="1328" spans="1:7" x14ac:dyDescent="0.25">
      <c r="A1328" t="s">
        <v>664</v>
      </c>
      <c r="B1328" t="s">
        <v>1201</v>
      </c>
      <c r="C1328" t="s">
        <v>686</v>
      </c>
      <c r="D1328" s="15">
        <v>25.54</v>
      </c>
      <c r="E1328" s="15">
        <v>25.54</v>
      </c>
      <c r="F1328" t="b">
        <f t="shared" si="40"/>
        <v>1</v>
      </c>
      <c r="G1328" t="str">
        <f t="shared" si="41"/>
        <v>Tradiciones Andinas</v>
      </c>
    </row>
    <row r="1329" spans="1:7" x14ac:dyDescent="0.25">
      <c r="A1329" t="s">
        <v>664</v>
      </c>
      <c r="B1329" t="s">
        <v>1201</v>
      </c>
      <c r="C1329" t="s">
        <v>673</v>
      </c>
      <c r="D1329" s="15">
        <v>33.380000000000003</v>
      </c>
      <c r="E1329" s="15">
        <v>33.380000000000003</v>
      </c>
      <c r="F1329" t="b">
        <f t="shared" si="40"/>
        <v>1</v>
      </c>
      <c r="G1329" t="str">
        <f t="shared" si="41"/>
        <v>Tradiciones Andinas</v>
      </c>
    </row>
    <row r="1330" spans="1:7" x14ac:dyDescent="0.25">
      <c r="A1330" t="s">
        <v>664</v>
      </c>
      <c r="B1330" t="s">
        <v>1201</v>
      </c>
      <c r="C1330" t="s">
        <v>702</v>
      </c>
      <c r="D1330" s="15">
        <v>45.96</v>
      </c>
      <c r="E1330" s="15">
        <v>45.96</v>
      </c>
      <c r="F1330" t="b">
        <f t="shared" si="40"/>
        <v>1</v>
      </c>
      <c r="G1330" t="str">
        <f t="shared" si="41"/>
        <v>Tradiciones Andinas</v>
      </c>
    </row>
    <row r="1331" spans="1:7" x14ac:dyDescent="0.25">
      <c r="A1331" t="s">
        <v>664</v>
      </c>
      <c r="B1331" t="s">
        <v>1201</v>
      </c>
      <c r="C1331" t="s">
        <v>712</v>
      </c>
      <c r="D1331" s="15">
        <v>21.18</v>
      </c>
      <c r="E1331" s="15">
        <v>21.18</v>
      </c>
      <c r="F1331" t="b">
        <f t="shared" si="40"/>
        <v>1</v>
      </c>
      <c r="G1331" t="str">
        <f t="shared" si="41"/>
        <v>Tradiciones Andinas</v>
      </c>
    </row>
    <row r="1332" spans="1:7" x14ac:dyDescent="0.25">
      <c r="A1332" t="s">
        <v>664</v>
      </c>
      <c r="B1332" t="s">
        <v>1201</v>
      </c>
      <c r="C1332" t="s">
        <v>754</v>
      </c>
      <c r="D1332" s="15">
        <v>38.380000000000003</v>
      </c>
      <c r="E1332" s="15">
        <v>38.380000000000003</v>
      </c>
      <c r="F1332" t="b">
        <f t="shared" si="40"/>
        <v>1</v>
      </c>
      <c r="G1332" t="str">
        <f t="shared" si="41"/>
        <v>Tradiciones Andinas</v>
      </c>
    </row>
    <row r="1333" spans="1:7" x14ac:dyDescent="0.25">
      <c r="A1333" t="s">
        <v>664</v>
      </c>
      <c r="B1333" t="s">
        <v>1201</v>
      </c>
      <c r="C1333" t="s">
        <v>718</v>
      </c>
      <c r="D1333" s="15">
        <v>21.18</v>
      </c>
      <c r="E1333" s="15">
        <v>21.18</v>
      </c>
      <c r="F1333" t="b">
        <f t="shared" si="40"/>
        <v>1</v>
      </c>
      <c r="G1333" t="str">
        <f t="shared" si="41"/>
        <v>Tradiciones Andinas</v>
      </c>
    </row>
    <row r="1334" spans="1:7" x14ac:dyDescent="0.25">
      <c r="A1334" t="s">
        <v>664</v>
      </c>
      <c r="B1334" t="s">
        <v>1201</v>
      </c>
      <c r="C1334" t="s">
        <v>778</v>
      </c>
      <c r="D1334" s="15">
        <v>30.82</v>
      </c>
      <c r="E1334" s="15">
        <v>30.82</v>
      </c>
      <c r="F1334" t="b">
        <f t="shared" si="40"/>
        <v>1</v>
      </c>
      <c r="G1334" t="str">
        <f t="shared" si="41"/>
        <v>Tradiciones Andinas</v>
      </c>
    </row>
    <row r="1335" spans="1:7" x14ac:dyDescent="0.25">
      <c r="A1335" t="s">
        <v>664</v>
      </c>
      <c r="B1335" t="s">
        <v>1201</v>
      </c>
      <c r="C1335" t="s">
        <v>843</v>
      </c>
      <c r="D1335" s="15">
        <v>53.68</v>
      </c>
      <c r="E1335" s="15">
        <v>53.68</v>
      </c>
      <c r="F1335" t="b">
        <f t="shared" si="40"/>
        <v>1</v>
      </c>
      <c r="G1335" t="str">
        <f t="shared" si="41"/>
        <v>Tradiciones Andinas</v>
      </c>
    </row>
    <row r="1336" spans="1:7" x14ac:dyDescent="0.25">
      <c r="A1336" t="s">
        <v>664</v>
      </c>
      <c r="B1336" t="s">
        <v>1201</v>
      </c>
      <c r="C1336" t="s">
        <v>839</v>
      </c>
      <c r="D1336" s="15">
        <v>30.64</v>
      </c>
      <c r="E1336" s="15">
        <v>30.64</v>
      </c>
      <c r="F1336" t="b">
        <f t="shared" si="40"/>
        <v>1</v>
      </c>
      <c r="G1336" t="str">
        <f t="shared" si="41"/>
        <v>Tradiciones Andinas</v>
      </c>
    </row>
    <row r="1337" spans="1:7" x14ac:dyDescent="0.25">
      <c r="A1337" t="s">
        <v>664</v>
      </c>
      <c r="B1337" t="s">
        <v>1201</v>
      </c>
      <c r="C1337" t="s">
        <v>1155</v>
      </c>
      <c r="D1337" s="15">
        <v>32.1</v>
      </c>
      <c r="E1337" s="15">
        <v>32.1</v>
      </c>
      <c r="F1337" t="b">
        <f t="shared" si="40"/>
        <v>1</v>
      </c>
      <c r="G1337" t="str">
        <f t="shared" si="41"/>
        <v>Tradiciones Andinas</v>
      </c>
    </row>
    <row r="1338" spans="1:7" x14ac:dyDescent="0.25">
      <c r="A1338" t="s">
        <v>664</v>
      </c>
      <c r="B1338" t="s">
        <v>1201</v>
      </c>
      <c r="C1338" t="s">
        <v>834</v>
      </c>
      <c r="D1338" s="15">
        <v>33.380000000000003</v>
      </c>
      <c r="E1338" s="15">
        <v>33.380000000000003</v>
      </c>
      <c r="F1338" t="b">
        <f t="shared" si="40"/>
        <v>1</v>
      </c>
      <c r="G1338" t="str">
        <f t="shared" si="41"/>
        <v>Tradiciones Andinas</v>
      </c>
    </row>
    <row r="1339" spans="1:7" x14ac:dyDescent="0.25">
      <c r="A1339" t="s">
        <v>664</v>
      </c>
      <c r="B1339" t="s">
        <v>1201</v>
      </c>
      <c r="C1339" t="s">
        <v>743</v>
      </c>
      <c r="D1339" s="15">
        <v>64.2</v>
      </c>
      <c r="E1339" s="15">
        <v>64.2</v>
      </c>
      <c r="F1339" t="b">
        <f t="shared" si="40"/>
        <v>1</v>
      </c>
      <c r="G1339" t="str">
        <f t="shared" si="41"/>
        <v>Tradiciones Andinas</v>
      </c>
    </row>
    <row r="1340" spans="1:7" x14ac:dyDescent="0.25">
      <c r="A1340" t="s">
        <v>664</v>
      </c>
      <c r="B1340" t="s">
        <v>1201</v>
      </c>
      <c r="C1340" t="s">
        <v>997</v>
      </c>
      <c r="D1340" s="15">
        <v>35</v>
      </c>
      <c r="E1340" s="15">
        <v>35</v>
      </c>
      <c r="F1340" t="b">
        <f t="shared" si="40"/>
        <v>1</v>
      </c>
      <c r="G1340" t="str">
        <f t="shared" si="41"/>
        <v>Tradiciones Andinas</v>
      </c>
    </row>
    <row r="1341" spans="1:7" x14ac:dyDescent="0.25">
      <c r="A1341" t="s">
        <v>664</v>
      </c>
      <c r="B1341" t="s">
        <v>1201</v>
      </c>
      <c r="C1341" t="s">
        <v>708</v>
      </c>
      <c r="D1341" s="15">
        <v>40.56</v>
      </c>
      <c r="E1341" s="15">
        <v>40.56</v>
      </c>
      <c r="F1341" t="b">
        <f t="shared" si="40"/>
        <v>1</v>
      </c>
      <c r="G1341" t="str">
        <f t="shared" si="41"/>
        <v>Tradiciones Andinas</v>
      </c>
    </row>
    <row r="1342" spans="1:7" x14ac:dyDescent="0.25">
      <c r="A1342" t="s">
        <v>664</v>
      </c>
      <c r="B1342" t="s">
        <v>1201</v>
      </c>
      <c r="C1342" t="s">
        <v>748</v>
      </c>
      <c r="D1342" s="15">
        <v>78</v>
      </c>
      <c r="E1342" s="15">
        <v>78</v>
      </c>
      <c r="F1342" t="b">
        <f t="shared" si="40"/>
        <v>1</v>
      </c>
      <c r="G1342" t="str">
        <f t="shared" si="41"/>
        <v>Tradiciones Andinas</v>
      </c>
    </row>
    <row r="1343" spans="1:7" x14ac:dyDescent="0.25">
      <c r="A1343" t="s">
        <v>664</v>
      </c>
      <c r="B1343" t="s">
        <v>1201</v>
      </c>
      <c r="C1343" t="s">
        <v>745</v>
      </c>
      <c r="D1343" s="15">
        <v>64.2</v>
      </c>
      <c r="E1343" s="15">
        <v>64.2</v>
      </c>
      <c r="F1343" t="b">
        <f t="shared" si="40"/>
        <v>1</v>
      </c>
      <c r="G1343" t="str">
        <f t="shared" si="41"/>
        <v>Tradiciones Andinas</v>
      </c>
    </row>
    <row r="1344" spans="1:7" x14ac:dyDescent="0.25">
      <c r="A1344" t="s">
        <v>664</v>
      </c>
      <c r="B1344" t="s">
        <v>1201</v>
      </c>
      <c r="C1344" t="s">
        <v>746</v>
      </c>
      <c r="D1344" s="15">
        <v>85.6</v>
      </c>
      <c r="E1344" s="15">
        <v>85.6</v>
      </c>
      <c r="F1344" t="b">
        <f t="shared" si="40"/>
        <v>1</v>
      </c>
      <c r="G1344" t="str">
        <f t="shared" si="41"/>
        <v>Tradiciones Andinas</v>
      </c>
    </row>
    <row r="1345" spans="1:7" x14ac:dyDescent="0.25">
      <c r="A1345" t="s">
        <v>664</v>
      </c>
      <c r="B1345" t="s">
        <v>1201</v>
      </c>
      <c r="C1345" t="s">
        <v>704</v>
      </c>
      <c r="D1345" s="15">
        <v>45.96</v>
      </c>
      <c r="E1345" s="15">
        <v>45.96</v>
      </c>
      <c r="F1345" t="b">
        <f t="shared" si="40"/>
        <v>1</v>
      </c>
      <c r="G1345" t="str">
        <f t="shared" si="41"/>
        <v>Tradiciones Andinas</v>
      </c>
    </row>
    <row r="1346" spans="1:7" x14ac:dyDescent="0.25">
      <c r="A1346" t="s">
        <v>664</v>
      </c>
      <c r="B1346" t="s">
        <v>1201</v>
      </c>
      <c r="C1346" t="s">
        <v>835</v>
      </c>
      <c r="D1346" s="15">
        <v>30.82</v>
      </c>
      <c r="E1346" s="15">
        <v>30.82</v>
      </c>
      <c r="F1346" t="b">
        <f t="shared" si="40"/>
        <v>1</v>
      </c>
      <c r="G1346" t="str">
        <f t="shared" si="41"/>
        <v>Tradiciones Andinas</v>
      </c>
    </row>
    <row r="1347" spans="1:7" x14ac:dyDescent="0.25">
      <c r="A1347" t="s">
        <v>664</v>
      </c>
      <c r="B1347" t="s">
        <v>1201</v>
      </c>
      <c r="C1347" t="s">
        <v>716</v>
      </c>
      <c r="D1347" s="15">
        <v>32.1</v>
      </c>
      <c r="E1347" s="15">
        <v>32.1</v>
      </c>
      <c r="F1347" t="b">
        <f t="shared" si="40"/>
        <v>1</v>
      </c>
      <c r="G1347" t="str">
        <f t="shared" si="41"/>
        <v>Tradiciones Andinas</v>
      </c>
    </row>
    <row r="1348" spans="1:7" x14ac:dyDescent="0.25">
      <c r="A1348" t="s">
        <v>664</v>
      </c>
      <c r="B1348" t="s">
        <v>1201</v>
      </c>
      <c r="C1348" t="s">
        <v>797</v>
      </c>
      <c r="D1348" s="15">
        <v>21.4</v>
      </c>
      <c r="E1348" s="15">
        <v>21.4</v>
      </c>
      <c r="F1348" t="b">
        <f t="shared" si="40"/>
        <v>1</v>
      </c>
      <c r="G1348" t="str">
        <f t="shared" si="41"/>
        <v>Tradiciones Andinas</v>
      </c>
    </row>
    <row r="1349" spans="1:7" x14ac:dyDescent="0.25">
      <c r="A1349" t="s">
        <v>664</v>
      </c>
      <c r="B1349" t="s">
        <v>1201</v>
      </c>
      <c r="C1349" t="s">
        <v>786</v>
      </c>
      <c r="D1349" s="15">
        <v>22.86</v>
      </c>
      <c r="E1349" s="15">
        <v>22.86</v>
      </c>
      <c r="F1349" t="b">
        <f t="shared" si="40"/>
        <v>1</v>
      </c>
      <c r="G1349" t="str">
        <f t="shared" si="41"/>
        <v>Tradiciones Andinas</v>
      </c>
    </row>
    <row r="1350" spans="1:7" x14ac:dyDescent="0.25">
      <c r="A1350" t="s">
        <v>664</v>
      </c>
      <c r="B1350" t="s">
        <v>1201</v>
      </c>
      <c r="C1350" t="s">
        <v>1199</v>
      </c>
      <c r="D1350" s="15">
        <v>18</v>
      </c>
      <c r="E1350" s="15">
        <v>18</v>
      </c>
      <c r="F1350" t="b">
        <f t="shared" ref="F1350:F1413" si="42">D1350=E1350</f>
        <v>1</v>
      </c>
      <c r="G1350" t="str">
        <f t="shared" ref="G1350:G1413" si="43">+A1350</f>
        <v>Tradiciones Andinas</v>
      </c>
    </row>
    <row r="1351" spans="1:7" x14ac:dyDescent="0.25">
      <c r="A1351" t="s">
        <v>664</v>
      </c>
      <c r="B1351" t="s">
        <v>1201</v>
      </c>
      <c r="C1351" t="s">
        <v>926</v>
      </c>
      <c r="D1351" s="15">
        <v>32.15</v>
      </c>
      <c r="E1351" s="15">
        <v>32.15</v>
      </c>
      <c r="F1351" t="b">
        <f t="shared" si="42"/>
        <v>1</v>
      </c>
      <c r="G1351" t="str">
        <f t="shared" si="43"/>
        <v>Tradiciones Andinas</v>
      </c>
    </row>
    <row r="1352" spans="1:7" x14ac:dyDescent="0.25">
      <c r="A1352" t="s">
        <v>664</v>
      </c>
      <c r="B1352" t="s">
        <v>1201</v>
      </c>
      <c r="C1352" t="s">
        <v>914</v>
      </c>
      <c r="D1352" s="15">
        <v>49.95</v>
      </c>
      <c r="E1352" s="15">
        <v>49.95</v>
      </c>
      <c r="F1352" t="b">
        <f t="shared" si="42"/>
        <v>1</v>
      </c>
      <c r="G1352" t="str">
        <f t="shared" si="43"/>
        <v>Tradiciones Andinas</v>
      </c>
    </row>
    <row r="1353" spans="1:7" x14ac:dyDescent="0.25">
      <c r="A1353" t="s">
        <v>664</v>
      </c>
      <c r="B1353" t="s">
        <v>1201</v>
      </c>
      <c r="C1353" t="s">
        <v>1083</v>
      </c>
      <c r="D1353" s="15">
        <v>22.24</v>
      </c>
      <c r="E1353" s="15">
        <v>22.24</v>
      </c>
      <c r="F1353" t="b">
        <f t="shared" si="42"/>
        <v>1</v>
      </c>
      <c r="G1353" t="str">
        <f t="shared" si="43"/>
        <v>Tradiciones Andinas</v>
      </c>
    </row>
    <row r="1354" spans="1:7" x14ac:dyDescent="0.25">
      <c r="A1354" t="s">
        <v>664</v>
      </c>
      <c r="B1354" t="s">
        <v>1201</v>
      </c>
      <c r="C1354" t="s">
        <v>1108</v>
      </c>
      <c r="D1354" s="15">
        <v>22.24</v>
      </c>
      <c r="E1354" s="15">
        <v>22.24</v>
      </c>
      <c r="F1354" t="b">
        <f t="shared" si="42"/>
        <v>1</v>
      </c>
      <c r="G1354" t="str">
        <f t="shared" si="43"/>
        <v>Tradiciones Andinas</v>
      </c>
    </row>
    <row r="1355" spans="1:7" x14ac:dyDescent="0.25">
      <c r="A1355" t="s">
        <v>664</v>
      </c>
      <c r="B1355" t="s">
        <v>1201</v>
      </c>
      <c r="C1355" t="s">
        <v>1186</v>
      </c>
      <c r="D1355" s="15">
        <v>22.24</v>
      </c>
      <c r="E1355" s="15">
        <v>22.24</v>
      </c>
      <c r="F1355" t="b">
        <f t="shared" si="42"/>
        <v>1</v>
      </c>
      <c r="G1355" t="str">
        <f t="shared" si="43"/>
        <v>Tradiciones Andinas</v>
      </c>
    </row>
    <row r="1356" spans="1:7" x14ac:dyDescent="0.25">
      <c r="A1356" t="s">
        <v>664</v>
      </c>
      <c r="B1356" t="s">
        <v>1201</v>
      </c>
      <c r="C1356" t="s">
        <v>1168</v>
      </c>
      <c r="D1356" s="15">
        <v>30.42</v>
      </c>
      <c r="E1356" s="15">
        <v>30.42</v>
      </c>
      <c r="F1356" t="b">
        <f t="shared" si="42"/>
        <v>1</v>
      </c>
      <c r="G1356" t="str">
        <f t="shared" si="43"/>
        <v>Tradiciones Andinas</v>
      </c>
    </row>
    <row r="1357" spans="1:7" x14ac:dyDescent="0.25">
      <c r="A1357" t="s">
        <v>664</v>
      </c>
      <c r="B1357" t="s">
        <v>1201</v>
      </c>
      <c r="C1357" t="s">
        <v>803</v>
      </c>
      <c r="D1357" s="15">
        <v>22</v>
      </c>
      <c r="E1357" s="15">
        <v>22</v>
      </c>
      <c r="F1357" t="b">
        <f t="shared" si="42"/>
        <v>1</v>
      </c>
      <c r="G1357" t="str">
        <f t="shared" si="43"/>
        <v>Tradiciones Andinas</v>
      </c>
    </row>
    <row r="1358" spans="1:7" x14ac:dyDescent="0.25">
      <c r="A1358" t="s">
        <v>664</v>
      </c>
      <c r="B1358" t="s">
        <v>1201</v>
      </c>
      <c r="C1358" t="s">
        <v>801</v>
      </c>
      <c r="D1358" s="15">
        <v>25.68</v>
      </c>
      <c r="E1358" s="15">
        <v>25.68</v>
      </c>
      <c r="F1358" t="b">
        <f t="shared" si="42"/>
        <v>1</v>
      </c>
      <c r="G1358" t="str">
        <f t="shared" si="43"/>
        <v>Tradiciones Andinas</v>
      </c>
    </row>
    <row r="1359" spans="1:7" x14ac:dyDescent="0.25">
      <c r="A1359" t="s">
        <v>664</v>
      </c>
      <c r="B1359" t="s">
        <v>1207</v>
      </c>
      <c r="C1359" t="s">
        <v>42</v>
      </c>
      <c r="D1359" s="15">
        <v>85</v>
      </c>
      <c r="E1359" s="15">
        <v>85</v>
      </c>
      <c r="F1359" t="b">
        <f t="shared" si="42"/>
        <v>1</v>
      </c>
      <c r="G1359" t="str">
        <f t="shared" si="43"/>
        <v>Tradiciones Andinas</v>
      </c>
    </row>
    <row r="1360" spans="1:7" x14ac:dyDescent="0.25">
      <c r="A1360" t="s">
        <v>664</v>
      </c>
      <c r="B1360" t="s">
        <v>1207</v>
      </c>
      <c r="C1360" t="s">
        <v>37</v>
      </c>
      <c r="D1360" s="15">
        <v>73.8</v>
      </c>
      <c r="E1360" s="15">
        <v>73.8</v>
      </c>
      <c r="F1360" t="b">
        <f t="shared" si="42"/>
        <v>1</v>
      </c>
      <c r="G1360" t="str">
        <f t="shared" si="43"/>
        <v>Tradiciones Andinas</v>
      </c>
    </row>
    <row r="1361" spans="1:7" x14ac:dyDescent="0.25">
      <c r="A1361" t="s">
        <v>664</v>
      </c>
      <c r="B1361" t="s">
        <v>1207</v>
      </c>
      <c r="C1361" t="s">
        <v>35</v>
      </c>
      <c r="D1361" s="15">
        <v>28.8</v>
      </c>
      <c r="E1361" s="15">
        <v>28.8</v>
      </c>
      <c r="F1361" t="b">
        <f t="shared" si="42"/>
        <v>1</v>
      </c>
      <c r="G1361" t="str">
        <f t="shared" si="43"/>
        <v>Tradiciones Andinas</v>
      </c>
    </row>
    <row r="1362" spans="1:7" x14ac:dyDescent="0.25">
      <c r="A1362" t="s">
        <v>664</v>
      </c>
      <c r="B1362" t="s">
        <v>1207</v>
      </c>
      <c r="C1362" t="s">
        <v>88</v>
      </c>
      <c r="D1362" s="15">
        <v>18.32</v>
      </c>
      <c r="E1362" s="15">
        <v>18.32</v>
      </c>
      <c r="F1362" t="b">
        <f t="shared" si="42"/>
        <v>1</v>
      </c>
      <c r="G1362" t="str">
        <f t="shared" si="43"/>
        <v>Tradiciones Andinas</v>
      </c>
    </row>
    <row r="1363" spans="1:7" x14ac:dyDescent="0.25">
      <c r="A1363" t="s">
        <v>664</v>
      </c>
      <c r="B1363" t="s">
        <v>1207</v>
      </c>
      <c r="C1363" t="s">
        <v>56</v>
      </c>
      <c r="D1363" s="15">
        <v>54.96</v>
      </c>
      <c r="E1363" s="15">
        <v>54.96</v>
      </c>
      <c r="F1363" t="b">
        <f t="shared" si="42"/>
        <v>1</v>
      </c>
      <c r="G1363" t="str">
        <f t="shared" si="43"/>
        <v>Tradiciones Andinas</v>
      </c>
    </row>
    <row r="1364" spans="1:7" x14ac:dyDescent="0.25">
      <c r="A1364" t="s">
        <v>664</v>
      </c>
      <c r="B1364" t="s">
        <v>1207</v>
      </c>
      <c r="C1364" t="s">
        <v>1062</v>
      </c>
      <c r="D1364" s="15">
        <v>39.46</v>
      </c>
      <c r="E1364" s="15">
        <v>39.46</v>
      </c>
      <c r="F1364" t="b">
        <f t="shared" si="42"/>
        <v>1</v>
      </c>
      <c r="G1364" t="str">
        <f t="shared" si="43"/>
        <v>Tradiciones Andinas</v>
      </c>
    </row>
    <row r="1365" spans="1:7" x14ac:dyDescent="0.25">
      <c r="A1365" t="s">
        <v>664</v>
      </c>
      <c r="B1365" t="s">
        <v>1207</v>
      </c>
      <c r="C1365" t="s">
        <v>874</v>
      </c>
      <c r="D1365" s="15">
        <v>39.46</v>
      </c>
      <c r="E1365" s="15">
        <v>39.46</v>
      </c>
      <c r="F1365" t="b">
        <f t="shared" si="42"/>
        <v>1</v>
      </c>
      <c r="G1365" t="str">
        <f t="shared" si="43"/>
        <v>Tradiciones Andinas</v>
      </c>
    </row>
    <row r="1366" spans="1:7" x14ac:dyDescent="0.25">
      <c r="A1366" t="s">
        <v>664</v>
      </c>
      <c r="B1366" t="s">
        <v>1207</v>
      </c>
      <c r="C1366" t="s">
        <v>58</v>
      </c>
      <c r="D1366" s="15">
        <v>60.84</v>
      </c>
      <c r="E1366" s="15">
        <v>60.84</v>
      </c>
      <c r="F1366" t="b">
        <f t="shared" si="42"/>
        <v>1</v>
      </c>
      <c r="G1366" t="str">
        <f t="shared" si="43"/>
        <v>Tradiciones Andinas</v>
      </c>
    </row>
    <row r="1367" spans="1:7" x14ac:dyDescent="0.25">
      <c r="A1367" t="s">
        <v>664</v>
      </c>
      <c r="B1367" t="s">
        <v>1207</v>
      </c>
      <c r="C1367" t="s">
        <v>72</v>
      </c>
      <c r="D1367" s="15">
        <v>66.88</v>
      </c>
      <c r="E1367" s="15">
        <v>66.88</v>
      </c>
      <c r="F1367" t="b">
        <f t="shared" si="42"/>
        <v>1</v>
      </c>
      <c r="G1367" t="str">
        <f t="shared" si="43"/>
        <v>Tradiciones Andinas</v>
      </c>
    </row>
    <row r="1368" spans="1:7" x14ac:dyDescent="0.25">
      <c r="A1368" t="s">
        <v>664</v>
      </c>
      <c r="B1368" t="s">
        <v>1207</v>
      </c>
      <c r="C1368" t="s">
        <v>84</v>
      </c>
      <c r="D1368" s="15">
        <v>46.44</v>
      </c>
      <c r="E1368" s="15">
        <v>46.44</v>
      </c>
      <c r="F1368" t="b">
        <f t="shared" si="42"/>
        <v>1</v>
      </c>
      <c r="G1368" t="str">
        <f t="shared" si="43"/>
        <v>Tradiciones Andinas</v>
      </c>
    </row>
    <row r="1369" spans="1:7" x14ac:dyDescent="0.25">
      <c r="A1369" t="s">
        <v>664</v>
      </c>
      <c r="B1369" t="s">
        <v>1207</v>
      </c>
      <c r="C1369" t="s">
        <v>64</v>
      </c>
      <c r="D1369" s="15">
        <v>50.9</v>
      </c>
      <c r="E1369" s="15">
        <v>50.9</v>
      </c>
      <c r="F1369" t="b">
        <f t="shared" si="42"/>
        <v>1</v>
      </c>
      <c r="G1369" t="str">
        <f t="shared" si="43"/>
        <v>Tradiciones Andinas</v>
      </c>
    </row>
    <row r="1370" spans="1:7" x14ac:dyDescent="0.25">
      <c r="A1370" t="s">
        <v>664</v>
      </c>
      <c r="B1370" t="s">
        <v>1207</v>
      </c>
      <c r="C1370" t="s">
        <v>348</v>
      </c>
      <c r="D1370" s="15">
        <v>18.32</v>
      </c>
      <c r="E1370" s="15">
        <v>18.32</v>
      </c>
      <c r="F1370" t="b">
        <f t="shared" si="42"/>
        <v>1</v>
      </c>
      <c r="G1370" t="str">
        <f t="shared" si="43"/>
        <v>Tradiciones Andinas</v>
      </c>
    </row>
    <row r="1371" spans="1:7" x14ac:dyDescent="0.25">
      <c r="A1371" t="s">
        <v>664</v>
      </c>
      <c r="B1371" t="s">
        <v>1207</v>
      </c>
      <c r="C1371" t="s">
        <v>902</v>
      </c>
      <c r="D1371" s="15">
        <v>72.72</v>
      </c>
      <c r="E1371" s="15">
        <v>72.72</v>
      </c>
      <c r="F1371" t="b">
        <f t="shared" si="42"/>
        <v>1</v>
      </c>
      <c r="G1371" t="str">
        <f t="shared" si="43"/>
        <v>Tradiciones Andinas</v>
      </c>
    </row>
    <row r="1372" spans="1:7" x14ac:dyDescent="0.25">
      <c r="A1372" t="s">
        <v>664</v>
      </c>
      <c r="B1372" t="s">
        <v>1207</v>
      </c>
      <c r="C1372" t="s">
        <v>897</v>
      </c>
      <c r="D1372" s="15">
        <v>14</v>
      </c>
      <c r="E1372" s="15">
        <v>14</v>
      </c>
      <c r="F1372" t="b">
        <f t="shared" si="42"/>
        <v>1</v>
      </c>
      <c r="G1372" t="str">
        <f t="shared" si="43"/>
        <v>Tradiciones Andinas</v>
      </c>
    </row>
    <row r="1373" spans="1:7" x14ac:dyDescent="0.25">
      <c r="A1373" t="s">
        <v>664</v>
      </c>
      <c r="B1373" t="s">
        <v>1207</v>
      </c>
      <c r="C1373" t="s">
        <v>739</v>
      </c>
      <c r="D1373" s="15">
        <v>14</v>
      </c>
      <c r="E1373" s="15">
        <v>14</v>
      </c>
      <c r="F1373" t="b">
        <f t="shared" si="42"/>
        <v>1</v>
      </c>
      <c r="G1373" t="str">
        <f t="shared" si="43"/>
        <v>Tradiciones Andinas</v>
      </c>
    </row>
    <row r="1374" spans="1:7" x14ac:dyDescent="0.25">
      <c r="A1374" t="s">
        <v>664</v>
      </c>
      <c r="B1374" t="s">
        <v>1207</v>
      </c>
      <c r="C1374" t="s">
        <v>741</v>
      </c>
      <c r="D1374" s="15">
        <v>14</v>
      </c>
      <c r="E1374" s="15">
        <v>14</v>
      </c>
      <c r="F1374" t="b">
        <f t="shared" si="42"/>
        <v>1</v>
      </c>
      <c r="G1374" t="str">
        <f t="shared" si="43"/>
        <v>Tradiciones Andinas</v>
      </c>
    </row>
    <row r="1375" spans="1:7" x14ac:dyDescent="0.25">
      <c r="A1375" t="s">
        <v>664</v>
      </c>
      <c r="B1375" t="s">
        <v>1207</v>
      </c>
      <c r="C1375" t="s">
        <v>878</v>
      </c>
      <c r="D1375" s="15">
        <v>14</v>
      </c>
      <c r="E1375" s="15">
        <v>14</v>
      </c>
      <c r="F1375" t="b">
        <f t="shared" si="42"/>
        <v>1</v>
      </c>
      <c r="G1375" t="str">
        <f t="shared" si="43"/>
        <v>Tradiciones Andinas</v>
      </c>
    </row>
    <row r="1376" spans="1:7" x14ac:dyDescent="0.25">
      <c r="A1376" t="s">
        <v>664</v>
      </c>
      <c r="B1376" t="s">
        <v>1207</v>
      </c>
      <c r="C1376" t="s">
        <v>374</v>
      </c>
      <c r="D1376" s="15">
        <v>31.8</v>
      </c>
      <c r="E1376" s="15">
        <v>31.8</v>
      </c>
      <c r="F1376" t="b">
        <f t="shared" si="42"/>
        <v>1</v>
      </c>
      <c r="G1376" t="str">
        <f t="shared" si="43"/>
        <v>Tradiciones Andinas</v>
      </c>
    </row>
    <row r="1377" spans="1:7" x14ac:dyDescent="0.25">
      <c r="A1377" t="s">
        <v>664</v>
      </c>
      <c r="B1377" t="s">
        <v>1207</v>
      </c>
      <c r="C1377" t="s">
        <v>1218</v>
      </c>
      <c r="D1377" s="15">
        <v>27.5</v>
      </c>
      <c r="E1377" s="15">
        <v>27.5</v>
      </c>
      <c r="F1377" t="b">
        <f t="shared" si="42"/>
        <v>1</v>
      </c>
      <c r="G1377" t="str">
        <f t="shared" si="43"/>
        <v>Tradiciones Andinas</v>
      </c>
    </row>
    <row r="1378" spans="1:7" x14ac:dyDescent="0.25">
      <c r="A1378" t="s">
        <v>664</v>
      </c>
      <c r="B1378" t="s">
        <v>1207</v>
      </c>
      <c r="C1378" t="s">
        <v>924</v>
      </c>
      <c r="D1378" s="15">
        <v>32.15</v>
      </c>
      <c r="E1378" s="15">
        <v>32.15</v>
      </c>
      <c r="F1378" t="b">
        <f t="shared" si="42"/>
        <v>1</v>
      </c>
      <c r="G1378" t="str">
        <f t="shared" si="43"/>
        <v>Tradiciones Andinas</v>
      </c>
    </row>
    <row r="1379" spans="1:7" x14ac:dyDescent="0.25">
      <c r="A1379" t="s">
        <v>664</v>
      </c>
      <c r="B1379" t="s">
        <v>1207</v>
      </c>
      <c r="C1379" t="s">
        <v>861</v>
      </c>
      <c r="D1379" s="15">
        <v>45</v>
      </c>
      <c r="E1379" s="15">
        <v>45</v>
      </c>
      <c r="F1379" t="b">
        <f t="shared" si="42"/>
        <v>1</v>
      </c>
      <c r="G1379" t="str">
        <f t="shared" si="43"/>
        <v>Tradiciones Andinas</v>
      </c>
    </row>
    <row r="1380" spans="1:7" x14ac:dyDescent="0.25">
      <c r="A1380" t="s">
        <v>664</v>
      </c>
      <c r="B1380" t="s">
        <v>1207</v>
      </c>
      <c r="C1380" t="s">
        <v>1058</v>
      </c>
      <c r="D1380" s="15">
        <v>39</v>
      </c>
      <c r="E1380" s="15">
        <v>39</v>
      </c>
      <c r="F1380" t="b">
        <f t="shared" si="42"/>
        <v>1</v>
      </c>
      <c r="G1380" t="str">
        <f t="shared" si="43"/>
        <v>Tradiciones Andinas</v>
      </c>
    </row>
    <row r="1381" spans="1:7" x14ac:dyDescent="0.25">
      <c r="A1381" t="s">
        <v>664</v>
      </c>
      <c r="B1381" t="s">
        <v>1207</v>
      </c>
      <c r="C1381" t="s">
        <v>859</v>
      </c>
      <c r="D1381" s="15">
        <v>45</v>
      </c>
      <c r="E1381" s="15">
        <v>45</v>
      </c>
      <c r="F1381" t="b">
        <f t="shared" si="42"/>
        <v>1</v>
      </c>
      <c r="G1381" t="str">
        <f t="shared" si="43"/>
        <v>Tradiciones Andinas</v>
      </c>
    </row>
    <row r="1382" spans="1:7" x14ac:dyDescent="0.25">
      <c r="A1382" t="s">
        <v>664</v>
      </c>
      <c r="B1382" t="s">
        <v>1207</v>
      </c>
      <c r="C1382" t="s">
        <v>734</v>
      </c>
      <c r="D1382" s="15">
        <v>11.88</v>
      </c>
      <c r="E1382" s="15">
        <v>11.88</v>
      </c>
      <c r="F1382" t="b">
        <f t="shared" si="42"/>
        <v>1</v>
      </c>
      <c r="G1382" t="str">
        <f t="shared" si="43"/>
        <v>Tradiciones Andinas</v>
      </c>
    </row>
    <row r="1383" spans="1:7" x14ac:dyDescent="0.25">
      <c r="A1383" t="s">
        <v>664</v>
      </c>
      <c r="B1383" t="s">
        <v>1207</v>
      </c>
      <c r="C1383" t="s">
        <v>1190</v>
      </c>
      <c r="D1383" s="15">
        <v>10.68</v>
      </c>
      <c r="E1383" s="15">
        <v>10.68</v>
      </c>
      <c r="F1383" t="b">
        <f t="shared" si="42"/>
        <v>1</v>
      </c>
      <c r="G1383" t="str">
        <f t="shared" si="43"/>
        <v>Tradiciones Andinas</v>
      </c>
    </row>
    <row r="1384" spans="1:7" x14ac:dyDescent="0.25">
      <c r="A1384" t="s">
        <v>664</v>
      </c>
      <c r="B1384" t="s">
        <v>1207</v>
      </c>
      <c r="C1384" t="s">
        <v>823</v>
      </c>
      <c r="D1384" s="15">
        <v>40.82</v>
      </c>
      <c r="E1384" s="15">
        <v>40.82</v>
      </c>
      <c r="F1384" t="b">
        <f t="shared" si="42"/>
        <v>1</v>
      </c>
      <c r="G1384" t="str">
        <f t="shared" si="43"/>
        <v>Tradiciones Andinas</v>
      </c>
    </row>
    <row r="1385" spans="1:7" x14ac:dyDescent="0.25">
      <c r="A1385" t="s">
        <v>664</v>
      </c>
      <c r="B1385" t="s">
        <v>1207</v>
      </c>
      <c r="C1385" t="s">
        <v>770</v>
      </c>
      <c r="D1385" s="15">
        <v>37.450000000000003</v>
      </c>
      <c r="E1385" s="15">
        <v>37.450000000000003</v>
      </c>
      <c r="F1385" t="b">
        <f t="shared" si="42"/>
        <v>1</v>
      </c>
      <c r="G1385" t="str">
        <f t="shared" si="43"/>
        <v>Tradiciones Andinas</v>
      </c>
    </row>
    <row r="1386" spans="1:7" x14ac:dyDescent="0.25">
      <c r="A1386" t="s">
        <v>664</v>
      </c>
      <c r="B1386" t="s">
        <v>1207</v>
      </c>
      <c r="C1386" t="s">
        <v>832</v>
      </c>
      <c r="D1386" s="15">
        <v>39.68</v>
      </c>
      <c r="E1386" s="15">
        <v>39.68</v>
      </c>
      <c r="F1386" t="b">
        <f t="shared" si="42"/>
        <v>1</v>
      </c>
      <c r="G1386" t="str">
        <f t="shared" si="43"/>
        <v>Tradiciones Andinas</v>
      </c>
    </row>
    <row r="1387" spans="1:7" x14ac:dyDescent="0.25">
      <c r="A1387" t="s">
        <v>664</v>
      </c>
      <c r="B1387" t="s">
        <v>1207</v>
      </c>
      <c r="C1387" t="s">
        <v>819</v>
      </c>
      <c r="D1387" s="15">
        <v>29.4</v>
      </c>
      <c r="E1387" s="15">
        <v>29.4</v>
      </c>
      <c r="F1387" t="b">
        <f t="shared" si="42"/>
        <v>1</v>
      </c>
      <c r="G1387" t="str">
        <f t="shared" si="43"/>
        <v>Tradiciones Andinas</v>
      </c>
    </row>
    <row r="1388" spans="1:7" x14ac:dyDescent="0.25">
      <c r="A1388" t="s">
        <v>664</v>
      </c>
      <c r="B1388" t="s">
        <v>1207</v>
      </c>
      <c r="C1388" t="s">
        <v>750</v>
      </c>
      <c r="D1388" s="15">
        <v>13.91</v>
      </c>
      <c r="E1388" s="15">
        <v>13.91</v>
      </c>
      <c r="F1388" t="b">
        <f t="shared" si="42"/>
        <v>1</v>
      </c>
      <c r="G1388" t="str">
        <f t="shared" si="43"/>
        <v>Tradiciones Andinas</v>
      </c>
    </row>
    <row r="1389" spans="1:7" x14ac:dyDescent="0.25">
      <c r="A1389" t="s">
        <v>664</v>
      </c>
      <c r="B1389" t="s">
        <v>1207</v>
      </c>
      <c r="C1389" t="s">
        <v>686</v>
      </c>
      <c r="D1389" s="15">
        <v>25.54</v>
      </c>
      <c r="E1389" s="15">
        <v>25.54</v>
      </c>
      <c r="F1389" t="b">
        <f t="shared" si="42"/>
        <v>1</v>
      </c>
      <c r="G1389" t="str">
        <f t="shared" si="43"/>
        <v>Tradiciones Andinas</v>
      </c>
    </row>
    <row r="1390" spans="1:7" x14ac:dyDescent="0.25">
      <c r="A1390" t="s">
        <v>664</v>
      </c>
      <c r="B1390" t="s">
        <v>1207</v>
      </c>
      <c r="C1390" t="s">
        <v>669</v>
      </c>
      <c r="D1390" s="15">
        <v>30.82</v>
      </c>
      <c r="E1390" s="15">
        <v>30.82</v>
      </c>
      <c r="F1390" t="b">
        <f t="shared" si="42"/>
        <v>1</v>
      </c>
      <c r="G1390" t="str">
        <f t="shared" si="43"/>
        <v>Tradiciones Andinas</v>
      </c>
    </row>
    <row r="1391" spans="1:7" x14ac:dyDescent="0.25">
      <c r="A1391" t="s">
        <v>664</v>
      </c>
      <c r="B1391" t="s">
        <v>1207</v>
      </c>
      <c r="C1391" t="s">
        <v>675</v>
      </c>
      <c r="D1391" s="15">
        <v>31.2</v>
      </c>
      <c r="E1391" s="15">
        <v>31.2</v>
      </c>
      <c r="F1391" t="b">
        <f t="shared" si="42"/>
        <v>1</v>
      </c>
      <c r="G1391" t="str">
        <f t="shared" si="43"/>
        <v>Tradiciones Andinas</v>
      </c>
    </row>
    <row r="1392" spans="1:7" x14ac:dyDescent="0.25">
      <c r="A1392" t="s">
        <v>664</v>
      </c>
      <c r="B1392" t="s">
        <v>1207</v>
      </c>
      <c r="C1392" t="s">
        <v>690</v>
      </c>
      <c r="D1392" s="15">
        <v>26.84</v>
      </c>
      <c r="E1392" s="15">
        <v>26.84</v>
      </c>
      <c r="F1392" t="b">
        <f t="shared" si="42"/>
        <v>1</v>
      </c>
      <c r="G1392" t="str">
        <f t="shared" si="43"/>
        <v>Tradiciones Andinas</v>
      </c>
    </row>
    <row r="1393" spans="1:7" x14ac:dyDescent="0.25">
      <c r="A1393" t="s">
        <v>664</v>
      </c>
      <c r="B1393" t="s">
        <v>1207</v>
      </c>
      <c r="C1393" t="s">
        <v>667</v>
      </c>
      <c r="D1393" s="15">
        <v>30.82</v>
      </c>
      <c r="E1393" s="15">
        <v>30.82</v>
      </c>
      <c r="F1393" t="b">
        <f t="shared" si="42"/>
        <v>1</v>
      </c>
      <c r="G1393" t="str">
        <f t="shared" si="43"/>
        <v>Tradiciones Andinas</v>
      </c>
    </row>
    <row r="1394" spans="1:7" x14ac:dyDescent="0.25">
      <c r="A1394" t="s">
        <v>664</v>
      </c>
      <c r="B1394" t="s">
        <v>1207</v>
      </c>
      <c r="C1394" t="s">
        <v>825</v>
      </c>
      <c r="D1394" s="15">
        <v>32.1</v>
      </c>
      <c r="E1394" s="15">
        <v>32.1</v>
      </c>
      <c r="F1394" t="b">
        <f t="shared" si="42"/>
        <v>1</v>
      </c>
      <c r="G1394" t="str">
        <f t="shared" si="43"/>
        <v>Tradiciones Andinas</v>
      </c>
    </row>
    <row r="1395" spans="1:7" x14ac:dyDescent="0.25">
      <c r="A1395" t="s">
        <v>664</v>
      </c>
      <c r="B1395" t="s">
        <v>1207</v>
      </c>
      <c r="C1395" t="s">
        <v>870</v>
      </c>
      <c r="D1395" s="15">
        <v>27.29</v>
      </c>
      <c r="E1395" s="15">
        <v>27.29</v>
      </c>
      <c r="F1395" t="b">
        <f t="shared" si="42"/>
        <v>1</v>
      </c>
      <c r="G1395" t="str">
        <f t="shared" si="43"/>
        <v>Tradiciones Andinas</v>
      </c>
    </row>
    <row r="1396" spans="1:7" x14ac:dyDescent="0.25">
      <c r="A1396" t="s">
        <v>664</v>
      </c>
      <c r="B1396" t="s">
        <v>1207</v>
      </c>
      <c r="C1396" t="s">
        <v>1220</v>
      </c>
      <c r="D1396" s="15">
        <v>37.5</v>
      </c>
      <c r="E1396" s="15">
        <v>37.5</v>
      </c>
      <c r="F1396" t="b">
        <f t="shared" si="42"/>
        <v>1</v>
      </c>
      <c r="G1396" t="str">
        <f t="shared" si="43"/>
        <v>Tradiciones Andinas</v>
      </c>
    </row>
    <row r="1397" spans="1:7" x14ac:dyDescent="0.25">
      <c r="A1397" t="s">
        <v>664</v>
      </c>
      <c r="B1397" t="s">
        <v>1207</v>
      </c>
      <c r="C1397" t="s">
        <v>702</v>
      </c>
      <c r="D1397" s="15">
        <v>45.96</v>
      </c>
      <c r="E1397" s="15">
        <v>45.96</v>
      </c>
      <c r="F1397" t="b">
        <f t="shared" si="42"/>
        <v>1</v>
      </c>
      <c r="G1397" t="str">
        <f t="shared" si="43"/>
        <v>Tradiciones Andinas</v>
      </c>
    </row>
    <row r="1398" spans="1:7" x14ac:dyDescent="0.25">
      <c r="A1398" t="s">
        <v>664</v>
      </c>
      <c r="B1398" t="s">
        <v>1207</v>
      </c>
      <c r="C1398" t="s">
        <v>754</v>
      </c>
      <c r="D1398" s="15">
        <v>38.380000000000003</v>
      </c>
      <c r="E1398" s="15">
        <v>38.380000000000003</v>
      </c>
      <c r="F1398" t="b">
        <f t="shared" si="42"/>
        <v>1</v>
      </c>
      <c r="G1398" t="str">
        <f t="shared" si="43"/>
        <v>Tradiciones Andinas</v>
      </c>
    </row>
    <row r="1399" spans="1:7" x14ac:dyDescent="0.25">
      <c r="A1399" t="s">
        <v>664</v>
      </c>
      <c r="B1399" t="s">
        <v>1207</v>
      </c>
      <c r="C1399" t="s">
        <v>813</v>
      </c>
      <c r="D1399" s="15">
        <v>54.57</v>
      </c>
      <c r="E1399" s="15">
        <v>54.57</v>
      </c>
      <c r="F1399" t="b">
        <f t="shared" si="42"/>
        <v>1</v>
      </c>
      <c r="G1399" t="str">
        <f t="shared" si="43"/>
        <v>Tradiciones Andinas</v>
      </c>
    </row>
    <row r="1400" spans="1:7" x14ac:dyDescent="0.25">
      <c r="A1400" t="s">
        <v>664</v>
      </c>
      <c r="B1400" t="s">
        <v>1207</v>
      </c>
      <c r="C1400" t="s">
        <v>809</v>
      </c>
      <c r="D1400" s="15">
        <v>32.74</v>
      </c>
      <c r="E1400" s="15">
        <v>32.74</v>
      </c>
      <c r="F1400" t="b">
        <f t="shared" si="42"/>
        <v>1</v>
      </c>
      <c r="G1400" t="str">
        <f t="shared" si="43"/>
        <v>Tradiciones Andinas</v>
      </c>
    </row>
    <row r="1401" spans="1:7" x14ac:dyDescent="0.25">
      <c r="A1401" t="s">
        <v>664</v>
      </c>
      <c r="B1401" t="s">
        <v>1207</v>
      </c>
      <c r="C1401" t="s">
        <v>714</v>
      </c>
      <c r="D1401" s="15">
        <v>51.8</v>
      </c>
      <c r="E1401" s="15">
        <v>51.8</v>
      </c>
      <c r="F1401" t="b">
        <f t="shared" si="42"/>
        <v>1</v>
      </c>
      <c r="G1401" t="str">
        <f t="shared" si="43"/>
        <v>Tradiciones Andinas</v>
      </c>
    </row>
    <row r="1402" spans="1:7" x14ac:dyDescent="0.25">
      <c r="A1402" t="s">
        <v>664</v>
      </c>
      <c r="B1402" t="s">
        <v>1207</v>
      </c>
      <c r="C1402" t="s">
        <v>1222</v>
      </c>
      <c r="D1402" s="15">
        <v>40.56</v>
      </c>
      <c r="E1402" s="15">
        <v>40.56</v>
      </c>
      <c r="F1402" t="b">
        <f t="shared" si="42"/>
        <v>1</v>
      </c>
      <c r="G1402" t="str">
        <f t="shared" si="43"/>
        <v>Tradiciones Andinas</v>
      </c>
    </row>
    <row r="1403" spans="1:7" x14ac:dyDescent="0.25">
      <c r="A1403" t="s">
        <v>664</v>
      </c>
      <c r="B1403" t="s">
        <v>1207</v>
      </c>
      <c r="C1403" t="s">
        <v>1123</v>
      </c>
      <c r="D1403" s="15">
        <v>55.8</v>
      </c>
      <c r="E1403" s="15">
        <v>55.8</v>
      </c>
      <c r="F1403" t="b">
        <f t="shared" si="42"/>
        <v>1</v>
      </c>
      <c r="G1403" t="str">
        <f t="shared" si="43"/>
        <v>Tradiciones Andinas</v>
      </c>
    </row>
    <row r="1404" spans="1:7" x14ac:dyDescent="0.25">
      <c r="A1404" t="s">
        <v>664</v>
      </c>
      <c r="B1404" t="s">
        <v>1207</v>
      </c>
      <c r="C1404" t="s">
        <v>872</v>
      </c>
      <c r="D1404" s="15">
        <v>27.29</v>
      </c>
      <c r="E1404" s="15">
        <v>27.29</v>
      </c>
      <c r="F1404" t="b">
        <f t="shared" si="42"/>
        <v>1</v>
      </c>
      <c r="G1404" t="str">
        <f t="shared" si="43"/>
        <v>Tradiciones Andinas</v>
      </c>
    </row>
    <row r="1405" spans="1:7" x14ac:dyDescent="0.25">
      <c r="A1405" t="s">
        <v>664</v>
      </c>
      <c r="B1405" t="s">
        <v>1207</v>
      </c>
      <c r="C1405" t="s">
        <v>817</v>
      </c>
      <c r="D1405" s="15">
        <v>46.22</v>
      </c>
      <c r="E1405" s="15">
        <v>46.22</v>
      </c>
      <c r="F1405" t="b">
        <f t="shared" si="42"/>
        <v>1</v>
      </c>
      <c r="G1405" t="str">
        <f t="shared" si="43"/>
        <v>Tradiciones Andinas</v>
      </c>
    </row>
    <row r="1406" spans="1:7" x14ac:dyDescent="0.25">
      <c r="A1406" t="s">
        <v>664</v>
      </c>
      <c r="B1406" t="s">
        <v>1207</v>
      </c>
      <c r="C1406" t="s">
        <v>1155</v>
      </c>
      <c r="D1406" s="15">
        <v>32.1</v>
      </c>
      <c r="E1406" s="15">
        <v>32.1</v>
      </c>
      <c r="F1406" t="b">
        <f t="shared" si="42"/>
        <v>1</v>
      </c>
      <c r="G1406" t="str">
        <f t="shared" si="43"/>
        <v>Tradiciones Andinas</v>
      </c>
    </row>
    <row r="1407" spans="1:7" x14ac:dyDescent="0.25">
      <c r="A1407" t="s">
        <v>664</v>
      </c>
      <c r="B1407" t="s">
        <v>1207</v>
      </c>
      <c r="C1407" t="s">
        <v>855</v>
      </c>
      <c r="D1407" s="15">
        <v>13.2</v>
      </c>
      <c r="E1407" s="15">
        <v>13.2</v>
      </c>
      <c r="F1407" t="b">
        <f t="shared" si="42"/>
        <v>1</v>
      </c>
      <c r="G1407" t="str">
        <f t="shared" si="43"/>
        <v>Tradiciones Andinas</v>
      </c>
    </row>
    <row r="1408" spans="1:7" x14ac:dyDescent="0.25">
      <c r="A1408" t="s">
        <v>664</v>
      </c>
      <c r="B1408" t="s">
        <v>1207</v>
      </c>
      <c r="C1408" t="s">
        <v>853</v>
      </c>
      <c r="D1408" s="15">
        <v>13.2</v>
      </c>
      <c r="E1408" s="15">
        <v>13.2</v>
      </c>
      <c r="F1408" t="b">
        <f t="shared" si="42"/>
        <v>1</v>
      </c>
      <c r="G1408" t="str">
        <f t="shared" si="43"/>
        <v>Tradiciones Andinas</v>
      </c>
    </row>
    <row r="1409" spans="1:7" x14ac:dyDescent="0.25">
      <c r="A1409" t="s">
        <v>664</v>
      </c>
      <c r="B1409" t="s">
        <v>1207</v>
      </c>
      <c r="C1409" t="s">
        <v>720</v>
      </c>
      <c r="D1409" s="15">
        <v>23.96</v>
      </c>
      <c r="E1409" s="15">
        <v>23.96</v>
      </c>
      <c r="F1409" t="b">
        <f t="shared" si="42"/>
        <v>1</v>
      </c>
      <c r="G1409" t="str">
        <f t="shared" si="43"/>
        <v>Tradiciones Andinas</v>
      </c>
    </row>
    <row r="1410" spans="1:7" x14ac:dyDescent="0.25">
      <c r="A1410" t="s">
        <v>664</v>
      </c>
      <c r="B1410" t="s">
        <v>1207</v>
      </c>
      <c r="C1410" t="s">
        <v>784</v>
      </c>
      <c r="D1410" s="15">
        <v>13.2</v>
      </c>
      <c r="E1410" s="15">
        <v>13.2</v>
      </c>
      <c r="F1410" t="b">
        <f t="shared" si="42"/>
        <v>1</v>
      </c>
      <c r="G1410" t="str">
        <f t="shared" si="43"/>
        <v>Tradiciones Andinas</v>
      </c>
    </row>
    <row r="1411" spans="1:7" x14ac:dyDescent="0.25">
      <c r="A1411" t="s">
        <v>664</v>
      </c>
      <c r="B1411" t="s">
        <v>1207</v>
      </c>
      <c r="C1411" t="s">
        <v>1213</v>
      </c>
      <c r="D1411" s="15">
        <v>35</v>
      </c>
      <c r="E1411" s="15">
        <v>35</v>
      </c>
      <c r="F1411" t="b">
        <f t="shared" si="42"/>
        <v>1</v>
      </c>
      <c r="G1411" t="str">
        <f t="shared" si="43"/>
        <v>Tradiciones Andinas</v>
      </c>
    </row>
    <row r="1412" spans="1:7" x14ac:dyDescent="0.25">
      <c r="A1412" t="s">
        <v>664</v>
      </c>
      <c r="B1412" t="s">
        <v>1207</v>
      </c>
      <c r="C1412" t="s">
        <v>815</v>
      </c>
      <c r="D1412" s="15">
        <v>45</v>
      </c>
      <c r="E1412" s="15">
        <v>45</v>
      </c>
      <c r="F1412" t="b">
        <f t="shared" si="42"/>
        <v>1</v>
      </c>
      <c r="G1412" t="str">
        <f t="shared" si="43"/>
        <v>Tradiciones Andinas</v>
      </c>
    </row>
    <row r="1413" spans="1:7" x14ac:dyDescent="0.25">
      <c r="A1413" t="s">
        <v>664</v>
      </c>
      <c r="B1413" t="s">
        <v>1207</v>
      </c>
      <c r="C1413" t="s">
        <v>811</v>
      </c>
      <c r="D1413" s="15">
        <v>49.8</v>
      </c>
      <c r="E1413" s="15">
        <v>49.8</v>
      </c>
      <c r="F1413" t="b">
        <f t="shared" si="42"/>
        <v>1</v>
      </c>
      <c r="G1413" t="str">
        <f t="shared" si="43"/>
        <v>Tradiciones Andinas</v>
      </c>
    </row>
    <row r="1414" spans="1:7" x14ac:dyDescent="0.25">
      <c r="A1414" t="s">
        <v>664</v>
      </c>
      <c r="B1414" t="s">
        <v>1207</v>
      </c>
      <c r="C1414" t="s">
        <v>1216</v>
      </c>
      <c r="D1414" s="15">
        <v>45</v>
      </c>
      <c r="E1414" s="15">
        <v>45</v>
      </c>
      <c r="F1414" t="b">
        <f t="shared" ref="F1414:F1452" si="44">D1414=E1414</f>
        <v>1</v>
      </c>
      <c r="G1414" t="str">
        <f t="shared" ref="G1414:G1452" si="45">+A1414</f>
        <v>Tradiciones Andinas</v>
      </c>
    </row>
    <row r="1415" spans="1:7" x14ac:dyDescent="0.25">
      <c r="A1415" t="s">
        <v>664</v>
      </c>
      <c r="B1415" t="s">
        <v>1207</v>
      </c>
      <c r="C1415" t="s">
        <v>982</v>
      </c>
      <c r="D1415" s="15">
        <v>28.68</v>
      </c>
      <c r="E1415" s="15">
        <v>28.68</v>
      </c>
      <c r="F1415" t="b">
        <f t="shared" si="44"/>
        <v>1</v>
      </c>
      <c r="G1415" t="str">
        <f t="shared" si="45"/>
        <v>Tradiciones Andinas</v>
      </c>
    </row>
    <row r="1416" spans="1:7" x14ac:dyDescent="0.25">
      <c r="A1416" t="s">
        <v>664</v>
      </c>
      <c r="B1416" t="s">
        <v>1207</v>
      </c>
      <c r="C1416" t="s">
        <v>774</v>
      </c>
      <c r="D1416" s="15">
        <v>26.84</v>
      </c>
      <c r="E1416" s="15">
        <v>26.84</v>
      </c>
      <c r="F1416" t="b">
        <f t="shared" si="44"/>
        <v>1</v>
      </c>
      <c r="G1416" t="str">
        <f t="shared" si="45"/>
        <v>Tradiciones Andinas</v>
      </c>
    </row>
    <row r="1417" spans="1:7" x14ac:dyDescent="0.25">
      <c r="A1417" t="s">
        <v>664</v>
      </c>
      <c r="B1417" t="s">
        <v>1207</v>
      </c>
      <c r="C1417" t="s">
        <v>1151</v>
      </c>
      <c r="D1417" s="15">
        <v>26.84</v>
      </c>
      <c r="E1417" s="15">
        <v>26.84</v>
      </c>
      <c r="F1417" t="b">
        <f t="shared" si="44"/>
        <v>1</v>
      </c>
      <c r="G1417" t="str">
        <f t="shared" si="45"/>
        <v>Tradiciones Andinas</v>
      </c>
    </row>
    <row r="1418" spans="1:7" x14ac:dyDescent="0.25">
      <c r="A1418" t="s">
        <v>664</v>
      </c>
      <c r="B1418" t="s">
        <v>1207</v>
      </c>
      <c r="C1418" t="s">
        <v>1182</v>
      </c>
      <c r="D1418" s="15">
        <v>38.93</v>
      </c>
      <c r="E1418" s="15">
        <v>38.93</v>
      </c>
      <c r="F1418" t="b">
        <f t="shared" si="44"/>
        <v>1</v>
      </c>
      <c r="G1418" t="str">
        <f t="shared" si="45"/>
        <v>Tradiciones Andinas</v>
      </c>
    </row>
    <row r="1419" spans="1:7" x14ac:dyDescent="0.25">
      <c r="A1419" t="s">
        <v>664</v>
      </c>
      <c r="B1419" t="s">
        <v>1207</v>
      </c>
      <c r="C1419" t="s">
        <v>671</v>
      </c>
      <c r="D1419" s="15">
        <v>33.119999999999997</v>
      </c>
      <c r="E1419" s="15">
        <v>33.119999999999997</v>
      </c>
      <c r="F1419" t="b">
        <f t="shared" si="44"/>
        <v>1</v>
      </c>
      <c r="G1419" t="str">
        <f t="shared" si="45"/>
        <v>Tradiciones Andinas</v>
      </c>
    </row>
    <row r="1420" spans="1:7" x14ac:dyDescent="0.25">
      <c r="A1420" t="s">
        <v>664</v>
      </c>
      <c r="B1420" t="s">
        <v>1207</v>
      </c>
      <c r="C1420" t="s">
        <v>760</v>
      </c>
      <c r="D1420" s="15">
        <v>53.5</v>
      </c>
      <c r="E1420" s="15">
        <v>53.5</v>
      </c>
      <c r="F1420" t="b">
        <f t="shared" si="44"/>
        <v>1</v>
      </c>
      <c r="G1420" t="str">
        <f t="shared" si="45"/>
        <v>Tradiciones Andinas</v>
      </c>
    </row>
    <row r="1421" spans="1:7" x14ac:dyDescent="0.25">
      <c r="A1421" t="s">
        <v>664</v>
      </c>
      <c r="B1421" t="s">
        <v>1207</v>
      </c>
      <c r="C1421" t="s">
        <v>868</v>
      </c>
      <c r="D1421" s="15">
        <v>27.29</v>
      </c>
      <c r="E1421" s="15">
        <v>27.29</v>
      </c>
      <c r="F1421" t="b">
        <f t="shared" si="44"/>
        <v>1</v>
      </c>
      <c r="G1421" t="str">
        <f t="shared" si="45"/>
        <v>Tradiciones Andinas</v>
      </c>
    </row>
    <row r="1422" spans="1:7" x14ac:dyDescent="0.25">
      <c r="A1422" t="s">
        <v>664</v>
      </c>
      <c r="B1422" t="s">
        <v>1207</v>
      </c>
      <c r="C1422" t="s">
        <v>1000</v>
      </c>
      <c r="D1422" s="15">
        <v>78.959999999999994</v>
      </c>
      <c r="E1422" s="15">
        <v>78.959999999999994</v>
      </c>
      <c r="F1422" t="b">
        <f t="shared" si="44"/>
        <v>1</v>
      </c>
      <c r="G1422" t="str">
        <f t="shared" si="45"/>
        <v>Tradiciones Andinas</v>
      </c>
    </row>
    <row r="1423" spans="1:7" x14ac:dyDescent="0.25">
      <c r="A1423" t="s">
        <v>664</v>
      </c>
      <c r="B1423" t="s">
        <v>1207</v>
      </c>
      <c r="C1423" t="s">
        <v>962</v>
      </c>
      <c r="D1423" s="15">
        <v>27.29</v>
      </c>
      <c r="E1423" s="15">
        <v>27.29</v>
      </c>
      <c r="F1423" t="b">
        <f t="shared" si="44"/>
        <v>1</v>
      </c>
      <c r="G1423" t="str">
        <f t="shared" si="45"/>
        <v>Tradiciones Andinas</v>
      </c>
    </row>
    <row r="1424" spans="1:7" x14ac:dyDescent="0.25">
      <c r="A1424" t="s">
        <v>664</v>
      </c>
      <c r="B1424" t="s">
        <v>1207</v>
      </c>
      <c r="C1424" t="s">
        <v>1211</v>
      </c>
      <c r="D1424" s="15">
        <v>22</v>
      </c>
      <c r="E1424" s="15">
        <v>22</v>
      </c>
      <c r="F1424" t="b">
        <f t="shared" si="44"/>
        <v>1</v>
      </c>
      <c r="G1424" t="str">
        <f t="shared" si="45"/>
        <v>Tradiciones Andinas</v>
      </c>
    </row>
    <row r="1425" spans="1:7" x14ac:dyDescent="0.25">
      <c r="A1425" t="s">
        <v>664</v>
      </c>
      <c r="B1425" t="s">
        <v>1207</v>
      </c>
      <c r="C1425" t="s">
        <v>880</v>
      </c>
      <c r="D1425" s="15">
        <v>14</v>
      </c>
      <c r="E1425" s="15">
        <v>14</v>
      </c>
      <c r="F1425" t="b">
        <f t="shared" si="44"/>
        <v>1</v>
      </c>
      <c r="G1425" t="str">
        <f t="shared" si="45"/>
        <v>Tradiciones Andinas</v>
      </c>
    </row>
    <row r="1426" spans="1:7" x14ac:dyDescent="0.25">
      <c r="A1426" t="s">
        <v>664</v>
      </c>
      <c r="B1426" t="s">
        <v>1207</v>
      </c>
      <c r="C1426" t="s">
        <v>1066</v>
      </c>
      <c r="D1426" s="15">
        <v>14</v>
      </c>
      <c r="E1426" s="15">
        <v>14</v>
      </c>
      <c r="F1426" t="b">
        <f t="shared" si="44"/>
        <v>1</v>
      </c>
      <c r="G1426" t="str">
        <f t="shared" si="45"/>
        <v>Tradiciones Andinas</v>
      </c>
    </row>
    <row r="1427" spans="1:7" x14ac:dyDescent="0.25">
      <c r="A1427" t="s">
        <v>664</v>
      </c>
      <c r="B1427" t="s">
        <v>1207</v>
      </c>
      <c r="C1427" t="s">
        <v>1068</v>
      </c>
      <c r="D1427" s="15">
        <v>14</v>
      </c>
      <c r="E1427" s="15">
        <v>14</v>
      </c>
      <c r="F1427" t="b">
        <f t="shared" si="44"/>
        <v>1</v>
      </c>
      <c r="G1427" t="str">
        <f t="shared" si="45"/>
        <v>Tradiciones Andinas</v>
      </c>
    </row>
    <row r="1428" spans="1:7" x14ac:dyDescent="0.25">
      <c r="A1428" t="s">
        <v>664</v>
      </c>
      <c r="B1428" t="s">
        <v>1207</v>
      </c>
      <c r="C1428" t="s">
        <v>885</v>
      </c>
      <c r="D1428" s="15">
        <v>9</v>
      </c>
      <c r="E1428" s="15">
        <v>9</v>
      </c>
      <c r="F1428" t="b">
        <f t="shared" si="44"/>
        <v>1</v>
      </c>
      <c r="G1428" t="str">
        <f t="shared" si="45"/>
        <v>Tradiciones Andinas</v>
      </c>
    </row>
    <row r="1429" spans="1:7" x14ac:dyDescent="0.25">
      <c r="A1429" t="s">
        <v>664</v>
      </c>
      <c r="B1429" t="s">
        <v>1207</v>
      </c>
      <c r="C1429" t="s">
        <v>893</v>
      </c>
      <c r="D1429" s="15">
        <v>12.84</v>
      </c>
      <c r="E1429" s="15">
        <v>12.84</v>
      </c>
      <c r="F1429" t="b">
        <f t="shared" si="44"/>
        <v>1</v>
      </c>
      <c r="G1429" t="str">
        <f t="shared" si="45"/>
        <v>Tradiciones Andinas</v>
      </c>
    </row>
    <row r="1430" spans="1:7" x14ac:dyDescent="0.25">
      <c r="A1430" t="s">
        <v>664</v>
      </c>
      <c r="B1430" t="s">
        <v>1207</v>
      </c>
      <c r="C1430" t="s">
        <v>752</v>
      </c>
      <c r="D1430" s="15">
        <v>37.450000000000003</v>
      </c>
      <c r="E1430" s="15">
        <v>37.450000000000003</v>
      </c>
      <c r="F1430" t="b">
        <f t="shared" si="44"/>
        <v>1</v>
      </c>
      <c r="G1430" t="str">
        <f t="shared" si="45"/>
        <v>Tradiciones Andinas</v>
      </c>
    </row>
    <row r="1431" spans="1:7" x14ac:dyDescent="0.25">
      <c r="A1431" t="s">
        <v>664</v>
      </c>
      <c r="B1431" t="s">
        <v>1207</v>
      </c>
      <c r="C1431" t="s">
        <v>926</v>
      </c>
      <c r="D1431" s="15">
        <v>32.15</v>
      </c>
      <c r="E1431" s="15">
        <v>32.15</v>
      </c>
      <c r="F1431" t="b">
        <f t="shared" si="44"/>
        <v>1</v>
      </c>
      <c r="G1431" t="str">
        <f t="shared" si="45"/>
        <v>Tradiciones Andinas</v>
      </c>
    </row>
    <row r="1432" spans="1:7" x14ac:dyDescent="0.25">
      <c r="A1432" t="s">
        <v>664</v>
      </c>
      <c r="B1432" t="s">
        <v>1207</v>
      </c>
      <c r="C1432" t="s">
        <v>1081</v>
      </c>
      <c r="D1432" s="15">
        <v>23.22</v>
      </c>
      <c r="E1432" s="15">
        <v>23.22</v>
      </c>
      <c r="F1432" t="b">
        <f t="shared" si="44"/>
        <v>1</v>
      </c>
      <c r="G1432" t="str">
        <f t="shared" si="45"/>
        <v>Tradiciones Andinas</v>
      </c>
    </row>
    <row r="1433" spans="1:7" x14ac:dyDescent="0.25">
      <c r="A1433" t="s">
        <v>664</v>
      </c>
      <c r="B1433" t="s">
        <v>1207</v>
      </c>
      <c r="C1433" t="s">
        <v>1186</v>
      </c>
      <c r="D1433" s="15">
        <v>22.24</v>
      </c>
      <c r="E1433" s="15">
        <v>22.24</v>
      </c>
      <c r="F1433" t="b">
        <f t="shared" si="44"/>
        <v>1</v>
      </c>
      <c r="G1433" t="str">
        <f t="shared" si="45"/>
        <v>Tradiciones Andinas</v>
      </c>
    </row>
    <row r="1434" spans="1:7" x14ac:dyDescent="0.25">
      <c r="A1434" t="s">
        <v>664</v>
      </c>
      <c r="B1434" t="s">
        <v>1207</v>
      </c>
      <c r="C1434" t="s">
        <v>1168</v>
      </c>
      <c r="D1434" s="15">
        <v>30.42</v>
      </c>
      <c r="E1434" s="15">
        <v>30.42</v>
      </c>
      <c r="F1434" t="b">
        <f t="shared" si="44"/>
        <v>1</v>
      </c>
      <c r="G1434" t="str">
        <f t="shared" si="45"/>
        <v>Tradiciones Andinas</v>
      </c>
    </row>
    <row r="1435" spans="1:7" x14ac:dyDescent="0.25">
      <c r="A1435" t="s">
        <v>664</v>
      </c>
      <c r="B1435" t="s">
        <v>1207</v>
      </c>
      <c r="C1435" t="s">
        <v>803</v>
      </c>
      <c r="D1435" s="15">
        <v>22</v>
      </c>
      <c r="E1435" s="15">
        <v>22</v>
      </c>
      <c r="F1435" t="b">
        <f t="shared" si="44"/>
        <v>1</v>
      </c>
      <c r="G1435" t="str">
        <f t="shared" si="45"/>
        <v>Tradiciones Andinas</v>
      </c>
    </row>
    <row r="1436" spans="1:7" x14ac:dyDescent="0.25">
      <c r="A1436" t="s">
        <v>664</v>
      </c>
      <c r="B1436" t="s">
        <v>1224</v>
      </c>
      <c r="C1436" t="s">
        <v>807</v>
      </c>
      <c r="D1436" s="15">
        <v>21.4</v>
      </c>
      <c r="E1436" s="15">
        <v>21.4</v>
      </c>
      <c r="F1436" t="b">
        <f t="shared" si="44"/>
        <v>1</v>
      </c>
      <c r="G1436" t="str">
        <f t="shared" si="45"/>
        <v>Tradiciones Andinas</v>
      </c>
    </row>
    <row r="1437" spans="1:7" x14ac:dyDescent="0.25">
      <c r="A1437" t="s">
        <v>664</v>
      </c>
      <c r="B1437" t="s">
        <v>1224</v>
      </c>
      <c r="C1437" t="s">
        <v>739</v>
      </c>
      <c r="D1437" s="15">
        <v>14</v>
      </c>
      <c r="E1437" s="15">
        <v>14</v>
      </c>
      <c r="F1437" t="b">
        <f t="shared" si="44"/>
        <v>1</v>
      </c>
      <c r="G1437" t="str">
        <f t="shared" si="45"/>
        <v>Tradiciones Andinas</v>
      </c>
    </row>
    <row r="1438" spans="1:7" x14ac:dyDescent="0.25">
      <c r="A1438" t="s">
        <v>664</v>
      </c>
      <c r="B1438" t="s">
        <v>1224</v>
      </c>
      <c r="C1438" t="s">
        <v>936</v>
      </c>
      <c r="D1438" s="15">
        <v>21.4</v>
      </c>
      <c r="E1438" s="15">
        <v>21.4</v>
      </c>
      <c r="F1438" t="b">
        <f t="shared" si="44"/>
        <v>1</v>
      </c>
      <c r="G1438" t="str">
        <f t="shared" si="45"/>
        <v>Tradiciones Andinas</v>
      </c>
    </row>
    <row r="1439" spans="1:7" x14ac:dyDescent="0.25">
      <c r="A1439" t="s">
        <v>664</v>
      </c>
      <c r="B1439" t="s">
        <v>1224</v>
      </c>
      <c r="C1439" t="s">
        <v>999</v>
      </c>
      <c r="D1439" s="15">
        <v>9.99</v>
      </c>
      <c r="E1439" s="15">
        <v>9.99</v>
      </c>
      <c r="F1439" t="b">
        <f t="shared" si="44"/>
        <v>1</v>
      </c>
      <c r="G1439" t="str">
        <f t="shared" si="45"/>
        <v>Tradiciones Andinas</v>
      </c>
    </row>
    <row r="1440" spans="1:7" x14ac:dyDescent="0.25">
      <c r="A1440" t="s">
        <v>664</v>
      </c>
      <c r="B1440" t="s">
        <v>1224</v>
      </c>
      <c r="C1440" t="s">
        <v>1232</v>
      </c>
      <c r="D1440" s="15">
        <v>10.68</v>
      </c>
      <c r="E1440" s="15">
        <v>10.68</v>
      </c>
      <c r="F1440" t="b">
        <f t="shared" si="44"/>
        <v>1</v>
      </c>
      <c r="G1440" t="str">
        <f t="shared" si="45"/>
        <v>Tradiciones Andinas</v>
      </c>
    </row>
    <row r="1441" spans="1:7" x14ac:dyDescent="0.25">
      <c r="A1441" t="s">
        <v>664</v>
      </c>
      <c r="B1441" t="s">
        <v>1224</v>
      </c>
      <c r="C1441" t="s">
        <v>1190</v>
      </c>
      <c r="D1441" s="15">
        <v>10.68</v>
      </c>
      <c r="E1441" s="15">
        <v>10.68</v>
      </c>
      <c r="F1441" t="b">
        <f t="shared" si="44"/>
        <v>1</v>
      </c>
      <c r="G1441" t="str">
        <f t="shared" si="45"/>
        <v>Tradiciones Andinas</v>
      </c>
    </row>
    <row r="1442" spans="1:7" x14ac:dyDescent="0.25">
      <c r="A1442" t="s">
        <v>664</v>
      </c>
      <c r="B1442" t="s">
        <v>1224</v>
      </c>
      <c r="C1442" t="s">
        <v>692</v>
      </c>
      <c r="D1442" s="15">
        <v>39.68</v>
      </c>
      <c r="E1442" s="15">
        <v>39.68</v>
      </c>
      <c r="F1442" t="b">
        <f t="shared" si="44"/>
        <v>1</v>
      </c>
      <c r="G1442" t="str">
        <f t="shared" si="45"/>
        <v>Tradiciones Andinas</v>
      </c>
    </row>
    <row r="1443" spans="1:7" x14ac:dyDescent="0.25">
      <c r="A1443" t="s">
        <v>664</v>
      </c>
      <c r="B1443" t="s">
        <v>1224</v>
      </c>
      <c r="C1443" t="s">
        <v>947</v>
      </c>
      <c r="D1443" s="15">
        <v>51.1</v>
      </c>
      <c r="E1443" s="15">
        <v>51.1</v>
      </c>
      <c r="F1443" t="b">
        <f t="shared" si="44"/>
        <v>1</v>
      </c>
      <c r="G1443" t="str">
        <f t="shared" si="45"/>
        <v>Tradiciones Andinas</v>
      </c>
    </row>
    <row r="1444" spans="1:7" x14ac:dyDescent="0.25">
      <c r="A1444" t="s">
        <v>664</v>
      </c>
      <c r="B1444" t="s">
        <v>1224</v>
      </c>
      <c r="C1444" t="s">
        <v>702</v>
      </c>
      <c r="D1444" s="15">
        <v>45.96</v>
      </c>
      <c r="E1444" s="15">
        <v>45.96</v>
      </c>
      <c r="F1444" t="b">
        <f t="shared" si="44"/>
        <v>1</v>
      </c>
      <c r="G1444" t="str">
        <f t="shared" si="45"/>
        <v>Tradiciones Andinas</v>
      </c>
    </row>
    <row r="1445" spans="1:7" x14ac:dyDescent="0.25">
      <c r="A1445" t="s">
        <v>664</v>
      </c>
      <c r="B1445" t="s">
        <v>1224</v>
      </c>
      <c r="C1445" t="s">
        <v>756</v>
      </c>
      <c r="D1445" s="15">
        <v>13.2</v>
      </c>
      <c r="E1445" s="15">
        <v>13.2</v>
      </c>
      <c r="F1445" t="b">
        <f t="shared" si="44"/>
        <v>1</v>
      </c>
      <c r="G1445" t="str">
        <f t="shared" si="45"/>
        <v>Tradiciones Andinas</v>
      </c>
    </row>
    <row r="1446" spans="1:7" x14ac:dyDescent="0.25">
      <c r="A1446" t="s">
        <v>664</v>
      </c>
      <c r="B1446" t="s">
        <v>1224</v>
      </c>
      <c r="C1446" t="s">
        <v>720</v>
      </c>
      <c r="D1446" s="15">
        <v>23.96</v>
      </c>
      <c r="E1446" s="15">
        <v>23.96</v>
      </c>
      <c r="F1446" t="b">
        <f t="shared" si="44"/>
        <v>1</v>
      </c>
      <c r="G1446" t="str">
        <f t="shared" si="45"/>
        <v>Tradiciones Andinas</v>
      </c>
    </row>
    <row r="1447" spans="1:7" x14ac:dyDescent="0.25">
      <c r="A1447" t="s">
        <v>664</v>
      </c>
      <c r="B1447" t="s">
        <v>1224</v>
      </c>
      <c r="C1447" t="s">
        <v>1226</v>
      </c>
      <c r="D1447" s="15">
        <v>51.1</v>
      </c>
      <c r="E1447" s="15">
        <v>51.1</v>
      </c>
      <c r="F1447" t="b">
        <f t="shared" si="44"/>
        <v>1</v>
      </c>
      <c r="G1447" t="str">
        <f t="shared" si="45"/>
        <v>Tradiciones Andinas</v>
      </c>
    </row>
    <row r="1448" spans="1:7" x14ac:dyDescent="0.25">
      <c r="A1448" t="s">
        <v>664</v>
      </c>
      <c r="B1448" t="s">
        <v>1224</v>
      </c>
      <c r="C1448" t="s">
        <v>1000</v>
      </c>
      <c r="D1448" s="15">
        <v>78.959999999999994</v>
      </c>
      <c r="E1448" s="15">
        <v>78.959999999999994</v>
      </c>
      <c r="F1448" t="b">
        <f t="shared" si="44"/>
        <v>1</v>
      </c>
      <c r="G1448" t="str">
        <f t="shared" si="45"/>
        <v>Tradiciones Andinas</v>
      </c>
    </row>
    <row r="1449" spans="1:7" x14ac:dyDescent="0.25">
      <c r="A1449" t="s">
        <v>664</v>
      </c>
      <c r="B1449" t="s">
        <v>1224</v>
      </c>
      <c r="C1449" t="s">
        <v>1228</v>
      </c>
      <c r="D1449" s="15">
        <v>98.16</v>
      </c>
      <c r="E1449" s="15">
        <v>98.16</v>
      </c>
      <c r="F1449" t="b">
        <f t="shared" si="44"/>
        <v>1</v>
      </c>
      <c r="G1449" t="str">
        <f t="shared" si="45"/>
        <v>Tradiciones Andinas</v>
      </c>
    </row>
    <row r="1450" spans="1:7" x14ac:dyDescent="0.25">
      <c r="A1450" t="s">
        <v>664</v>
      </c>
      <c r="B1450" t="s">
        <v>1224</v>
      </c>
      <c r="C1450" t="s">
        <v>788</v>
      </c>
      <c r="D1450" s="15">
        <v>12.4</v>
      </c>
      <c r="E1450" s="15">
        <v>12.4</v>
      </c>
      <c r="F1450" t="b">
        <f t="shared" si="44"/>
        <v>1</v>
      </c>
      <c r="G1450" t="str">
        <f t="shared" si="45"/>
        <v>Tradiciones Andinas</v>
      </c>
    </row>
    <row r="1451" spans="1:7" x14ac:dyDescent="0.25">
      <c r="A1451" t="s">
        <v>664</v>
      </c>
      <c r="B1451" t="s">
        <v>1224</v>
      </c>
      <c r="C1451" t="s">
        <v>805</v>
      </c>
      <c r="D1451" s="15">
        <v>26.4</v>
      </c>
      <c r="E1451" s="15">
        <v>26.4</v>
      </c>
      <c r="F1451" t="b">
        <f t="shared" si="44"/>
        <v>1</v>
      </c>
      <c r="G1451" t="str">
        <f t="shared" si="45"/>
        <v>Tradiciones Andinas</v>
      </c>
    </row>
    <row r="1452" spans="1:7" x14ac:dyDescent="0.25">
      <c r="A1452" t="s">
        <v>664</v>
      </c>
      <c r="B1452" t="s">
        <v>1224</v>
      </c>
      <c r="C1452" t="s">
        <v>799</v>
      </c>
      <c r="D1452" s="15">
        <v>26.4</v>
      </c>
      <c r="E1452" s="15">
        <v>26.4</v>
      </c>
      <c r="F1452" t="b">
        <f t="shared" si="44"/>
        <v>1</v>
      </c>
      <c r="G1452" t="str">
        <f t="shared" si="45"/>
        <v>Tradiciones Andinas</v>
      </c>
    </row>
    <row r="1453" spans="1:7" x14ac:dyDescent="0.25">
      <c r="A1453" t="s">
        <v>2315</v>
      </c>
      <c r="D1453" s="15">
        <v>-21.5</v>
      </c>
      <c r="E1453" s="15">
        <v>204.88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0474E7-43C5-44E7-889A-C31FF2CBB165}">
  <dimension ref="A1:A455"/>
  <sheetViews>
    <sheetView workbookViewId="0">
      <selection sqref="A1:I1"/>
    </sheetView>
  </sheetViews>
  <sheetFormatPr baseColWidth="10" defaultRowHeight="15.75" x14ac:dyDescent="0.25"/>
  <cols>
    <col min="1" max="1" width="52.125" bestFit="1" customWidth="1"/>
  </cols>
  <sheetData>
    <row r="1" spans="1:1" x14ac:dyDescent="0.25">
      <c r="A1" s="10" t="s">
        <v>2306</v>
      </c>
    </row>
    <row r="2" spans="1:1" x14ac:dyDescent="0.25">
      <c r="A2" s="11" t="s">
        <v>6</v>
      </c>
    </row>
    <row r="3" spans="1:1" x14ac:dyDescent="0.25">
      <c r="A3" s="11" t="s">
        <v>15</v>
      </c>
    </row>
    <row r="4" spans="1:1" x14ac:dyDescent="0.25">
      <c r="A4" s="11" t="s">
        <v>21</v>
      </c>
    </row>
    <row r="5" spans="1:1" x14ac:dyDescent="0.25">
      <c r="A5" s="11" t="s">
        <v>23</v>
      </c>
    </row>
    <row r="6" spans="1:1" x14ac:dyDescent="0.25">
      <c r="A6" s="11" t="s">
        <v>25</v>
      </c>
    </row>
    <row r="7" spans="1:1" x14ac:dyDescent="0.25">
      <c r="A7" s="11" t="s">
        <v>27</v>
      </c>
    </row>
    <row r="8" spans="1:1" x14ac:dyDescent="0.25">
      <c r="A8" s="11" t="s">
        <v>29</v>
      </c>
    </row>
    <row r="9" spans="1:1" x14ac:dyDescent="0.25">
      <c r="A9" s="11" t="s">
        <v>31</v>
      </c>
    </row>
    <row r="10" spans="1:1" x14ac:dyDescent="0.25">
      <c r="A10" s="11" t="s">
        <v>33</v>
      </c>
    </row>
    <row r="11" spans="1:1" x14ac:dyDescent="0.25">
      <c r="A11" s="11" t="s">
        <v>35</v>
      </c>
    </row>
    <row r="12" spans="1:1" x14ac:dyDescent="0.25">
      <c r="A12" s="11" t="s">
        <v>37</v>
      </c>
    </row>
    <row r="13" spans="1:1" x14ac:dyDescent="0.25">
      <c r="A13" s="11" t="s">
        <v>39</v>
      </c>
    </row>
    <row r="14" spans="1:1" x14ac:dyDescent="0.25">
      <c r="A14" s="11" t="s">
        <v>40</v>
      </c>
    </row>
    <row r="15" spans="1:1" x14ac:dyDescent="0.25">
      <c r="A15" s="11" t="s">
        <v>42</v>
      </c>
    </row>
    <row r="16" spans="1:1" x14ac:dyDescent="0.25">
      <c r="A16" s="11" t="s">
        <v>44</v>
      </c>
    </row>
    <row r="17" spans="1:1" x14ac:dyDescent="0.25">
      <c r="A17" s="11" t="s">
        <v>46</v>
      </c>
    </row>
    <row r="18" spans="1:1" x14ac:dyDescent="0.25">
      <c r="A18" s="11" t="s">
        <v>48</v>
      </c>
    </row>
    <row r="19" spans="1:1" x14ac:dyDescent="0.25">
      <c r="A19" s="11" t="s">
        <v>50</v>
      </c>
    </row>
    <row r="20" spans="1:1" x14ac:dyDescent="0.25">
      <c r="A20" s="11" t="s">
        <v>52</v>
      </c>
    </row>
    <row r="21" spans="1:1" x14ac:dyDescent="0.25">
      <c r="A21" s="11" t="s">
        <v>54</v>
      </c>
    </row>
    <row r="22" spans="1:1" x14ac:dyDescent="0.25">
      <c r="A22" s="11" t="s">
        <v>56</v>
      </c>
    </row>
    <row r="23" spans="1:1" x14ac:dyDescent="0.25">
      <c r="A23" s="11" t="s">
        <v>58</v>
      </c>
    </row>
    <row r="24" spans="1:1" x14ac:dyDescent="0.25">
      <c r="A24" s="11" t="s">
        <v>60</v>
      </c>
    </row>
    <row r="25" spans="1:1" x14ac:dyDescent="0.25">
      <c r="A25" s="11" t="s">
        <v>62</v>
      </c>
    </row>
    <row r="26" spans="1:1" x14ac:dyDescent="0.25">
      <c r="A26" s="11" t="s">
        <v>64</v>
      </c>
    </row>
    <row r="27" spans="1:1" x14ac:dyDescent="0.25">
      <c r="A27" s="11" t="s">
        <v>66</v>
      </c>
    </row>
    <row r="28" spans="1:1" x14ac:dyDescent="0.25">
      <c r="A28" s="11" t="s">
        <v>68</v>
      </c>
    </row>
    <row r="29" spans="1:1" x14ac:dyDescent="0.25">
      <c r="A29" s="11" t="s">
        <v>70</v>
      </c>
    </row>
    <row r="30" spans="1:1" x14ac:dyDescent="0.25">
      <c r="A30" s="11" t="s">
        <v>72</v>
      </c>
    </row>
    <row r="31" spans="1:1" x14ac:dyDescent="0.25">
      <c r="A31" s="11" t="s">
        <v>74</v>
      </c>
    </row>
    <row r="32" spans="1:1" x14ac:dyDescent="0.25">
      <c r="A32" s="11" t="s">
        <v>76</v>
      </c>
    </row>
    <row r="33" spans="1:1" x14ac:dyDescent="0.25">
      <c r="A33" s="11" t="s">
        <v>78</v>
      </c>
    </row>
    <row r="34" spans="1:1" x14ac:dyDescent="0.25">
      <c r="A34" s="11" t="s">
        <v>80</v>
      </c>
    </row>
    <row r="35" spans="1:1" x14ac:dyDescent="0.25">
      <c r="A35" s="11" t="s">
        <v>82</v>
      </c>
    </row>
    <row r="36" spans="1:1" x14ac:dyDescent="0.25">
      <c r="A36" s="11" t="s">
        <v>84</v>
      </c>
    </row>
    <row r="37" spans="1:1" x14ac:dyDescent="0.25">
      <c r="A37" s="11" t="s">
        <v>86</v>
      </c>
    </row>
    <row r="38" spans="1:1" x14ac:dyDescent="0.25">
      <c r="A38" s="11" t="s">
        <v>88</v>
      </c>
    </row>
    <row r="39" spans="1:1" x14ac:dyDescent="0.25">
      <c r="A39" s="11" t="s">
        <v>90</v>
      </c>
    </row>
    <row r="40" spans="1:1" x14ac:dyDescent="0.25">
      <c r="A40" s="11" t="s">
        <v>92</v>
      </c>
    </row>
    <row r="41" spans="1:1" x14ac:dyDescent="0.25">
      <c r="A41" s="11" t="s">
        <v>94</v>
      </c>
    </row>
    <row r="42" spans="1:1" x14ac:dyDescent="0.25">
      <c r="A42" s="11" t="s">
        <v>96</v>
      </c>
    </row>
    <row r="43" spans="1:1" x14ac:dyDescent="0.25">
      <c r="A43" s="11" t="s">
        <v>98</v>
      </c>
    </row>
    <row r="44" spans="1:1" x14ac:dyDescent="0.25">
      <c r="A44" s="11" t="s">
        <v>100</v>
      </c>
    </row>
    <row r="45" spans="1:1" x14ac:dyDescent="0.25">
      <c r="A45" s="11" t="s">
        <v>102</v>
      </c>
    </row>
    <row r="46" spans="1:1" x14ac:dyDescent="0.25">
      <c r="A46" s="11" t="s">
        <v>104</v>
      </c>
    </row>
    <row r="47" spans="1:1" x14ac:dyDescent="0.25">
      <c r="A47" s="11" t="s">
        <v>106</v>
      </c>
    </row>
    <row r="48" spans="1:1" x14ac:dyDescent="0.25">
      <c r="A48" s="11" t="s">
        <v>108</v>
      </c>
    </row>
    <row r="49" spans="1:1" x14ac:dyDescent="0.25">
      <c r="A49" s="11" t="s">
        <v>110</v>
      </c>
    </row>
    <row r="50" spans="1:1" x14ac:dyDescent="0.25">
      <c r="A50" s="11" t="s">
        <v>112</v>
      </c>
    </row>
    <row r="51" spans="1:1" x14ac:dyDescent="0.25">
      <c r="A51" s="11" t="s">
        <v>114</v>
      </c>
    </row>
    <row r="52" spans="1:1" x14ac:dyDescent="0.25">
      <c r="A52" s="11" t="s">
        <v>116</v>
      </c>
    </row>
    <row r="53" spans="1:1" x14ac:dyDescent="0.25">
      <c r="A53" s="11" t="s">
        <v>118</v>
      </c>
    </row>
    <row r="54" spans="1:1" x14ac:dyDescent="0.25">
      <c r="A54" s="11" t="s">
        <v>120</v>
      </c>
    </row>
    <row r="55" spans="1:1" x14ac:dyDescent="0.25">
      <c r="A55" s="11" t="s">
        <v>122</v>
      </c>
    </row>
    <row r="56" spans="1:1" x14ac:dyDescent="0.25">
      <c r="A56" s="11" t="s">
        <v>124</v>
      </c>
    </row>
    <row r="57" spans="1:1" x14ac:dyDescent="0.25">
      <c r="A57" s="11" t="s">
        <v>126</v>
      </c>
    </row>
    <row r="58" spans="1:1" x14ac:dyDescent="0.25">
      <c r="A58" s="11" t="s">
        <v>128</v>
      </c>
    </row>
    <row r="59" spans="1:1" x14ac:dyDescent="0.25">
      <c r="A59" s="11" t="s">
        <v>130</v>
      </c>
    </row>
    <row r="60" spans="1:1" x14ac:dyDescent="0.25">
      <c r="A60" s="11" t="s">
        <v>132</v>
      </c>
    </row>
    <row r="61" spans="1:1" x14ac:dyDescent="0.25">
      <c r="A61" s="11" t="s">
        <v>134</v>
      </c>
    </row>
    <row r="62" spans="1:1" x14ac:dyDescent="0.25">
      <c r="A62" s="11" t="s">
        <v>136</v>
      </c>
    </row>
    <row r="63" spans="1:1" x14ac:dyDescent="0.25">
      <c r="A63" s="11" t="s">
        <v>138</v>
      </c>
    </row>
    <row r="64" spans="1:1" x14ac:dyDescent="0.25">
      <c r="A64" s="11" t="s">
        <v>140</v>
      </c>
    </row>
    <row r="65" spans="1:1" x14ac:dyDescent="0.25">
      <c r="A65" s="11" t="s">
        <v>142</v>
      </c>
    </row>
    <row r="66" spans="1:1" x14ac:dyDescent="0.25">
      <c r="A66" s="11" t="s">
        <v>144</v>
      </c>
    </row>
    <row r="67" spans="1:1" x14ac:dyDescent="0.25">
      <c r="A67" s="11" t="s">
        <v>146</v>
      </c>
    </row>
    <row r="68" spans="1:1" x14ac:dyDescent="0.25">
      <c r="A68" s="11" t="s">
        <v>150</v>
      </c>
    </row>
    <row r="69" spans="1:1" x14ac:dyDescent="0.25">
      <c r="A69" s="11" t="s">
        <v>152</v>
      </c>
    </row>
    <row r="70" spans="1:1" x14ac:dyDescent="0.25">
      <c r="A70" s="11" t="s">
        <v>154</v>
      </c>
    </row>
    <row r="71" spans="1:1" x14ac:dyDescent="0.25">
      <c r="A71" s="11" t="s">
        <v>156</v>
      </c>
    </row>
    <row r="72" spans="1:1" x14ac:dyDescent="0.25">
      <c r="A72" s="11" t="s">
        <v>160</v>
      </c>
    </row>
    <row r="73" spans="1:1" x14ac:dyDescent="0.25">
      <c r="A73" s="11" t="s">
        <v>162</v>
      </c>
    </row>
    <row r="74" spans="1:1" x14ac:dyDescent="0.25">
      <c r="A74" s="11" t="s">
        <v>164</v>
      </c>
    </row>
    <row r="75" spans="1:1" x14ac:dyDescent="0.25">
      <c r="A75" s="11" t="s">
        <v>166</v>
      </c>
    </row>
    <row r="76" spans="1:1" x14ac:dyDescent="0.25">
      <c r="A76" s="11" t="s">
        <v>170</v>
      </c>
    </row>
    <row r="77" spans="1:1" x14ac:dyDescent="0.25">
      <c r="A77" s="11" t="s">
        <v>172</v>
      </c>
    </row>
    <row r="78" spans="1:1" x14ac:dyDescent="0.25">
      <c r="A78" s="11" t="s">
        <v>174</v>
      </c>
    </row>
    <row r="79" spans="1:1" x14ac:dyDescent="0.25">
      <c r="A79" s="11" t="s">
        <v>175</v>
      </c>
    </row>
    <row r="80" spans="1:1" x14ac:dyDescent="0.25">
      <c r="A80" s="11" t="s">
        <v>179</v>
      </c>
    </row>
    <row r="81" spans="1:1" x14ac:dyDescent="0.25">
      <c r="A81" s="11" t="s">
        <v>181</v>
      </c>
    </row>
    <row r="82" spans="1:1" x14ac:dyDescent="0.25">
      <c r="A82" s="11" t="s">
        <v>183</v>
      </c>
    </row>
    <row r="83" spans="1:1" x14ac:dyDescent="0.25">
      <c r="A83" s="11" t="s">
        <v>185</v>
      </c>
    </row>
    <row r="84" spans="1:1" x14ac:dyDescent="0.25">
      <c r="A84" s="11" t="s">
        <v>187</v>
      </c>
    </row>
    <row r="85" spans="1:1" x14ac:dyDescent="0.25">
      <c r="A85" s="11" t="s">
        <v>190</v>
      </c>
    </row>
    <row r="86" spans="1:1" x14ac:dyDescent="0.25">
      <c r="A86" s="11" t="s">
        <v>192</v>
      </c>
    </row>
    <row r="87" spans="1:1" x14ac:dyDescent="0.25">
      <c r="A87" s="11" t="s">
        <v>194</v>
      </c>
    </row>
    <row r="88" spans="1:1" x14ac:dyDescent="0.25">
      <c r="A88" s="11" t="s">
        <v>203</v>
      </c>
    </row>
    <row r="89" spans="1:1" x14ac:dyDescent="0.25">
      <c r="A89" s="11" t="s">
        <v>205</v>
      </c>
    </row>
    <row r="90" spans="1:1" x14ac:dyDescent="0.25">
      <c r="A90" s="11" t="s">
        <v>207</v>
      </c>
    </row>
    <row r="91" spans="1:1" x14ac:dyDescent="0.25">
      <c r="A91" s="11" t="s">
        <v>209</v>
      </c>
    </row>
    <row r="92" spans="1:1" x14ac:dyDescent="0.25">
      <c r="A92" s="11" t="s">
        <v>211</v>
      </c>
    </row>
    <row r="93" spans="1:1" x14ac:dyDescent="0.25">
      <c r="A93" s="11" t="s">
        <v>215</v>
      </c>
    </row>
    <row r="94" spans="1:1" x14ac:dyDescent="0.25">
      <c r="A94" s="11" t="s">
        <v>221</v>
      </c>
    </row>
    <row r="95" spans="1:1" x14ac:dyDescent="0.25">
      <c r="A95" s="11" t="s">
        <v>234</v>
      </c>
    </row>
    <row r="96" spans="1:1" x14ac:dyDescent="0.25">
      <c r="A96" s="11" t="s">
        <v>239</v>
      </c>
    </row>
    <row r="97" spans="1:1" x14ac:dyDescent="0.25">
      <c r="A97" s="11" t="s">
        <v>240</v>
      </c>
    </row>
    <row r="98" spans="1:1" x14ac:dyDescent="0.25">
      <c r="A98" s="11" t="s">
        <v>241</v>
      </c>
    </row>
    <row r="99" spans="1:1" x14ac:dyDescent="0.25">
      <c r="A99" s="11" t="s">
        <v>242</v>
      </c>
    </row>
    <row r="100" spans="1:1" x14ac:dyDescent="0.25">
      <c r="A100" s="11" t="s">
        <v>243</v>
      </c>
    </row>
    <row r="101" spans="1:1" x14ac:dyDescent="0.25">
      <c r="A101" s="11" t="s">
        <v>244</v>
      </c>
    </row>
    <row r="102" spans="1:1" x14ac:dyDescent="0.25">
      <c r="A102" s="11" t="s">
        <v>245</v>
      </c>
    </row>
    <row r="103" spans="1:1" x14ac:dyDescent="0.25">
      <c r="A103" s="11" t="s">
        <v>250</v>
      </c>
    </row>
    <row r="104" spans="1:1" x14ac:dyDescent="0.25">
      <c r="A104" s="11" t="s">
        <v>260</v>
      </c>
    </row>
    <row r="105" spans="1:1" x14ac:dyDescent="0.25">
      <c r="A105" s="11" t="s">
        <v>261</v>
      </c>
    </row>
    <row r="106" spans="1:1" x14ac:dyDescent="0.25">
      <c r="A106" s="11" t="s">
        <v>262</v>
      </c>
    </row>
    <row r="107" spans="1:1" x14ac:dyDescent="0.25">
      <c r="A107" s="11" t="s">
        <v>263</v>
      </c>
    </row>
    <row r="108" spans="1:1" x14ac:dyDescent="0.25">
      <c r="A108" s="11" t="s">
        <v>264</v>
      </c>
    </row>
    <row r="109" spans="1:1" x14ac:dyDescent="0.25">
      <c r="A109" s="11" t="s">
        <v>268</v>
      </c>
    </row>
    <row r="110" spans="1:1" x14ac:dyDescent="0.25">
      <c r="A110" s="11" t="s">
        <v>270</v>
      </c>
    </row>
    <row r="111" spans="1:1" x14ac:dyDescent="0.25">
      <c r="A111" s="11" t="s">
        <v>274</v>
      </c>
    </row>
    <row r="112" spans="1:1" x14ac:dyDescent="0.25">
      <c r="A112" s="11" t="s">
        <v>276</v>
      </c>
    </row>
    <row r="113" spans="1:1" x14ac:dyDescent="0.25">
      <c r="A113" s="11" t="s">
        <v>278</v>
      </c>
    </row>
    <row r="114" spans="1:1" x14ac:dyDescent="0.25">
      <c r="A114" s="11" t="s">
        <v>280</v>
      </c>
    </row>
    <row r="115" spans="1:1" x14ac:dyDescent="0.25">
      <c r="A115" s="11" t="s">
        <v>282</v>
      </c>
    </row>
    <row r="116" spans="1:1" x14ac:dyDescent="0.25">
      <c r="A116" s="11" t="s">
        <v>284</v>
      </c>
    </row>
    <row r="117" spans="1:1" x14ac:dyDescent="0.25">
      <c r="A117" s="11" t="s">
        <v>286</v>
      </c>
    </row>
    <row r="118" spans="1:1" x14ac:dyDescent="0.25">
      <c r="A118" s="11" t="s">
        <v>288</v>
      </c>
    </row>
    <row r="119" spans="1:1" x14ac:dyDescent="0.25">
      <c r="A119" s="11" t="s">
        <v>290</v>
      </c>
    </row>
    <row r="120" spans="1:1" x14ac:dyDescent="0.25">
      <c r="A120" s="11" t="s">
        <v>292</v>
      </c>
    </row>
    <row r="121" spans="1:1" x14ac:dyDescent="0.25">
      <c r="A121" s="11" t="s">
        <v>294</v>
      </c>
    </row>
    <row r="122" spans="1:1" x14ac:dyDescent="0.25">
      <c r="A122" s="11" t="s">
        <v>296</v>
      </c>
    </row>
    <row r="123" spans="1:1" x14ac:dyDescent="0.25">
      <c r="A123" s="11" t="s">
        <v>298</v>
      </c>
    </row>
    <row r="124" spans="1:1" x14ac:dyDescent="0.25">
      <c r="A124" s="11" t="s">
        <v>300</v>
      </c>
    </row>
    <row r="125" spans="1:1" x14ac:dyDescent="0.25">
      <c r="A125" s="11" t="s">
        <v>302</v>
      </c>
    </row>
    <row r="126" spans="1:1" x14ac:dyDescent="0.25">
      <c r="A126" s="11" t="s">
        <v>304</v>
      </c>
    </row>
    <row r="127" spans="1:1" x14ac:dyDescent="0.25">
      <c r="A127" s="11" t="s">
        <v>306</v>
      </c>
    </row>
    <row r="128" spans="1:1" x14ac:dyDescent="0.25">
      <c r="A128" s="11" t="s">
        <v>308</v>
      </c>
    </row>
    <row r="129" spans="1:1" x14ac:dyDescent="0.25">
      <c r="A129" s="11" t="s">
        <v>310</v>
      </c>
    </row>
    <row r="130" spans="1:1" x14ac:dyDescent="0.25">
      <c r="A130" s="11" t="s">
        <v>312</v>
      </c>
    </row>
    <row r="131" spans="1:1" x14ac:dyDescent="0.25">
      <c r="A131" s="11" t="s">
        <v>314</v>
      </c>
    </row>
    <row r="132" spans="1:1" x14ac:dyDescent="0.25">
      <c r="A132" s="11" t="s">
        <v>316</v>
      </c>
    </row>
    <row r="133" spans="1:1" x14ac:dyDescent="0.25">
      <c r="A133" s="11" t="s">
        <v>318</v>
      </c>
    </row>
    <row r="134" spans="1:1" x14ac:dyDescent="0.25">
      <c r="A134" s="11" t="s">
        <v>320</v>
      </c>
    </row>
    <row r="135" spans="1:1" x14ac:dyDescent="0.25">
      <c r="A135" s="11" t="s">
        <v>322</v>
      </c>
    </row>
    <row r="136" spans="1:1" x14ac:dyDescent="0.25">
      <c r="A136" s="11" t="s">
        <v>324</v>
      </c>
    </row>
    <row r="137" spans="1:1" x14ac:dyDescent="0.25">
      <c r="A137" s="11" t="s">
        <v>326</v>
      </c>
    </row>
    <row r="138" spans="1:1" x14ac:dyDescent="0.25">
      <c r="A138" s="11" t="s">
        <v>328</v>
      </c>
    </row>
    <row r="139" spans="1:1" x14ac:dyDescent="0.25">
      <c r="A139" s="11" t="s">
        <v>331</v>
      </c>
    </row>
    <row r="140" spans="1:1" x14ac:dyDescent="0.25">
      <c r="A140" s="11" t="s">
        <v>333</v>
      </c>
    </row>
    <row r="141" spans="1:1" x14ac:dyDescent="0.25">
      <c r="A141" s="11" t="s">
        <v>335</v>
      </c>
    </row>
    <row r="142" spans="1:1" x14ac:dyDescent="0.25">
      <c r="A142" s="11" t="s">
        <v>337</v>
      </c>
    </row>
    <row r="143" spans="1:1" x14ac:dyDescent="0.25">
      <c r="A143" s="11" t="s">
        <v>339</v>
      </c>
    </row>
    <row r="144" spans="1:1" x14ac:dyDescent="0.25">
      <c r="A144" s="11" t="s">
        <v>341</v>
      </c>
    </row>
    <row r="145" spans="1:1" x14ac:dyDescent="0.25">
      <c r="A145" s="11" t="s">
        <v>343</v>
      </c>
    </row>
    <row r="146" spans="1:1" x14ac:dyDescent="0.25">
      <c r="A146" s="11" t="s">
        <v>348</v>
      </c>
    </row>
    <row r="147" spans="1:1" x14ac:dyDescent="0.25">
      <c r="A147" s="11" t="s">
        <v>350</v>
      </c>
    </row>
    <row r="148" spans="1:1" x14ac:dyDescent="0.25">
      <c r="A148" s="11" t="s">
        <v>354</v>
      </c>
    </row>
    <row r="149" spans="1:1" x14ac:dyDescent="0.25">
      <c r="A149" s="11" t="s">
        <v>356</v>
      </c>
    </row>
    <row r="150" spans="1:1" x14ac:dyDescent="0.25">
      <c r="A150" s="11" t="s">
        <v>358</v>
      </c>
    </row>
    <row r="151" spans="1:1" x14ac:dyDescent="0.25">
      <c r="A151" s="11" t="s">
        <v>360</v>
      </c>
    </row>
    <row r="152" spans="1:1" x14ac:dyDescent="0.25">
      <c r="A152" s="11" t="s">
        <v>362</v>
      </c>
    </row>
    <row r="153" spans="1:1" x14ac:dyDescent="0.25">
      <c r="A153" s="11" t="s">
        <v>364</v>
      </c>
    </row>
    <row r="154" spans="1:1" x14ac:dyDescent="0.25">
      <c r="A154" s="11" t="s">
        <v>366</v>
      </c>
    </row>
    <row r="155" spans="1:1" x14ac:dyDescent="0.25">
      <c r="A155" s="11" t="s">
        <v>368</v>
      </c>
    </row>
    <row r="156" spans="1:1" x14ac:dyDescent="0.25">
      <c r="A156" s="11" t="s">
        <v>370</v>
      </c>
    </row>
    <row r="157" spans="1:1" x14ac:dyDescent="0.25">
      <c r="A157" s="11" t="s">
        <v>372</v>
      </c>
    </row>
    <row r="158" spans="1:1" x14ac:dyDescent="0.25">
      <c r="A158" s="11" t="s">
        <v>374</v>
      </c>
    </row>
    <row r="159" spans="1:1" x14ac:dyDescent="0.25">
      <c r="A159" s="11" t="s">
        <v>376</v>
      </c>
    </row>
    <row r="160" spans="1:1" x14ac:dyDescent="0.25">
      <c r="A160" s="11" t="s">
        <v>378</v>
      </c>
    </row>
    <row r="161" spans="1:1" x14ac:dyDescent="0.25">
      <c r="A161" s="11" t="s">
        <v>380</v>
      </c>
    </row>
    <row r="162" spans="1:1" x14ac:dyDescent="0.25">
      <c r="A162" s="11" t="s">
        <v>381</v>
      </c>
    </row>
    <row r="163" spans="1:1" x14ac:dyDescent="0.25">
      <c r="A163" s="11" t="s">
        <v>382</v>
      </c>
    </row>
    <row r="164" spans="1:1" x14ac:dyDescent="0.25">
      <c r="A164" s="11" t="s">
        <v>384</v>
      </c>
    </row>
    <row r="165" spans="1:1" x14ac:dyDescent="0.25">
      <c r="A165" s="11" t="s">
        <v>386</v>
      </c>
    </row>
    <row r="166" spans="1:1" x14ac:dyDescent="0.25">
      <c r="A166" s="11" t="s">
        <v>388</v>
      </c>
    </row>
    <row r="167" spans="1:1" x14ac:dyDescent="0.25">
      <c r="A167" s="11" t="s">
        <v>390</v>
      </c>
    </row>
    <row r="168" spans="1:1" x14ac:dyDescent="0.25">
      <c r="A168" s="11" t="s">
        <v>392</v>
      </c>
    </row>
    <row r="169" spans="1:1" x14ac:dyDescent="0.25">
      <c r="A169" s="11" t="s">
        <v>394</v>
      </c>
    </row>
    <row r="170" spans="1:1" x14ac:dyDescent="0.25">
      <c r="A170" s="11" t="s">
        <v>396</v>
      </c>
    </row>
    <row r="171" spans="1:1" x14ac:dyDescent="0.25">
      <c r="A171" s="11" t="s">
        <v>402</v>
      </c>
    </row>
    <row r="172" spans="1:1" x14ac:dyDescent="0.25">
      <c r="A172" s="11" t="s">
        <v>404</v>
      </c>
    </row>
    <row r="173" spans="1:1" x14ac:dyDescent="0.25">
      <c r="A173" s="11" t="s">
        <v>406</v>
      </c>
    </row>
    <row r="174" spans="1:1" x14ac:dyDescent="0.25">
      <c r="A174" s="11" t="s">
        <v>410</v>
      </c>
    </row>
    <row r="175" spans="1:1" x14ac:dyDescent="0.25">
      <c r="A175" s="11" t="s">
        <v>412</v>
      </c>
    </row>
    <row r="176" spans="1:1" x14ac:dyDescent="0.25">
      <c r="A176" s="11" t="s">
        <v>414</v>
      </c>
    </row>
    <row r="177" spans="1:1" x14ac:dyDescent="0.25">
      <c r="A177" s="11" t="s">
        <v>416</v>
      </c>
    </row>
    <row r="178" spans="1:1" x14ac:dyDescent="0.25">
      <c r="A178" s="11" t="s">
        <v>420</v>
      </c>
    </row>
    <row r="179" spans="1:1" x14ac:dyDescent="0.25">
      <c r="A179" s="11" t="s">
        <v>424</v>
      </c>
    </row>
    <row r="180" spans="1:1" x14ac:dyDescent="0.25">
      <c r="A180" s="11" t="s">
        <v>426</v>
      </c>
    </row>
    <row r="181" spans="1:1" x14ac:dyDescent="0.25">
      <c r="A181" s="11" t="s">
        <v>429</v>
      </c>
    </row>
    <row r="182" spans="1:1" x14ac:dyDescent="0.25">
      <c r="A182" s="11" t="s">
        <v>431</v>
      </c>
    </row>
    <row r="183" spans="1:1" x14ac:dyDescent="0.25">
      <c r="A183" s="11" t="s">
        <v>434</v>
      </c>
    </row>
    <row r="184" spans="1:1" x14ac:dyDescent="0.25">
      <c r="A184" s="11" t="s">
        <v>436</v>
      </c>
    </row>
    <row r="185" spans="1:1" x14ac:dyDescent="0.25">
      <c r="A185" s="11" t="s">
        <v>438</v>
      </c>
    </row>
    <row r="186" spans="1:1" x14ac:dyDescent="0.25">
      <c r="A186" s="11" t="s">
        <v>440</v>
      </c>
    </row>
    <row r="187" spans="1:1" x14ac:dyDescent="0.25">
      <c r="A187" s="11" t="s">
        <v>442</v>
      </c>
    </row>
    <row r="188" spans="1:1" x14ac:dyDescent="0.25">
      <c r="A188" s="11" t="s">
        <v>447</v>
      </c>
    </row>
    <row r="189" spans="1:1" x14ac:dyDescent="0.25">
      <c r="A189" s="11" t="s">
        <v>449</v>
      </c>
    </row>
    <row r="190" spans="1:1" x14ac:dyDescent="0.25">
      <c r="A190" s="11" t="s">
        <v>463</v>
      </c>
    </row>
    <row r="191" spans="1:1" x14ac:dyDescent="0.25">
      <c r="A191" s="11" t="s">
        <v>465</v>
      </c>
    </row>
    <row r="192" spans="1:1" x14ac:dyDescent="0.25">
      <c r="A192" s="11" t="s">
        <v>469</v>
      </c>
    </row>
    <row r="193" spans="1:1" x14ac:dyDescent="0.25">
      <c r="A193" s="11" t="s">
        <v>473</v>
      </c>
    </row>
    <row r="194" spans="1:1" x14ac:dyDescent="0.25">
      <c r="A194" s="11" t="s">
        <v>475</v>
      </c>
    </row>
    <row r="195" spans="1:1" x14ac:dyDescent="0.25">
      <c r="A195" s="11" t="s">
        <v>477</v>
      </c>
    </row>
    <row r="196" spans="1:1" x14ac:dyDescent="0.25">
      <c r="A196" s="11" t="s">
        <v>479</v>
      </c>
    </row>
    <row r="197" spans="1:1" x14ac:dyDescent="0.25">
      <c r="A197" s="11" t="s">
        <v>481</v>
      </c>
    </row>
    <row r="198" spans="1:1" x14ac:dyDescent="0.25">
      <c r="A198" s="11" t="s">
        <v>483</v>
      </c>
    </row>
    <row r="199" spans="1:1" x14ac:dyDescent="0.25">
      <c r="A199" s="11" t="s">
        <v>487</v>
      </c>
    </row>
    <row r="200" spans="1:1" x14ac:dyDescent="0.25">
      <c r="A200" s="11" t="s">
        <v>490</v>
      </c>
    </row>
    <row r="201" spans="1:1" x14ac:dyDescent="0.25">
      <c r="A201" s="11" t="s">
        <v>492</v>
      </c>
    </row>
    <row r="202" spans="1:1" x14ac:dyDescent="0.25">
      <c r="A202" s="11" t="s">
        <v>494</v>
      </c>
    </row>
    <row r="203" spans="1:1" x14ac:dyDescent="0.25">
      <c r="A203" s="11" t="s">
        <v>496</v>
      </c>
    </row>
    <row r="204" spans="1:1" x14ac:dyDescent="0.25">
      <c r="A204" s="11" t="s">
        <v>498</v>
      </c>
    </row>
    <row r="205" spans="1:1" x14ac:dyDescent="0.25">
      <c r="A205" s="11" t="s">
        <v>500</v>
      </c>
    </row>
    <row r="206" spans="1:1" x14ac:dyDescent="0.25">
      <c r="A206" s="11" t="s">
        <v>502</v>
      </c>
    </row>
    <row r="207" spans="1:1" x14ac:dyDescent="0.25">
      <c r="A207" s="11" t="s">
        <v>504</v>
      </c>
    </row>
    <row r="208" spans="1:1" x14ac:dyDescent="0.25">
      <c r="A208" s="11" t="s">
        <v>506</v>
      </c>
    </row>
    <row r="209" spans="1:1" x14ac:dyDescent="0.25">
      <c r="A209" s="11" t="s">
        <v>508</v>
      </c>
    </row>
    <row r="210" spans="1:1" x14ac:dyDescent="0.25">
      <c r="A210" s="11" t="s">
        <v>522</v>
      </c>
    </row>
    <row r="211" spans="1:1" x14ac:dyDescent="0.25">
      <c r="A211" s="11" t="s">
        <v>526</v>
      </c>
    </row>
    <row r="212" spans="1:1" x14ac:dyDescent="0.25">
      <c r="A212" s="11" t="s">
        <v>530</v>
      </c>
    </row>
    <row r="213" spans="1:1" x14ac:dyDescent="0.25">
      <c r="A213" s="11" t="s">
        <v>532</v>
      </c>
    </row>
    <row r="214" spans="1:1" x14ac:dyDescent="0.25">
      <c r="A214" s="11" t="s">
        <v>537</v>
      </c>
    </row>
    <row r="215" spans="1:1" x14ac:dyDescent="0.25">
      <c r="A215" s="11" t="s">
        <v>539</v>
      </c>
    </row>
    <row r="216" spans="1:1" x14ac:dyDescent="0.25">
      <c r="A216" s="11" t="s">
        <v>541</v>
      </c>
    </row>
    <row r="217" spans="1:1" x14ac:dyDescent="0.25">
      <c r="A217" s="11" t="s">
        <v>551</v>
      </c>
    </row>
    <row r="218" spans="1:1" x14ac:dyDescent="0.25">
      <c r="A218" s="11" t="s">
        <v>553</v>
      </c>
    </row>
    <row r="219" spans="1:1" x14ac:dyDescent="0.25">
      <c r="A219" s="11" t="s">
        <v>555</v>
      </c>
    </row>
    <row r="220" spans="1:1" x14ac:dyDescent="0.25">
      <c r="A220" s="11" t="s">
        <v>557</v>
      </c>
    </row>
    <row r="221" spans="1:1" x14ac:dyDescent="0.25">
      <c r="A221" s="11" t="s">
        <v>561</v>
      </c>
    </row>
    <row r="222" spans="1:1" x14ac:dyDescent="0.25">
      <c r="A222" s="11" t="s">
        <v>567</v>
      </c>
    </row>
    <row r="223" spans="1:1" x14ac:dyDescent="0.25">
      <c r="A223" s="11" t="s">
        <v>569</v>
      </c>
    </row>
    <row r="224" spans="1:1" x14ac:dyDescent="0.25">
      <c r="A224" s="11" t="s">
        <v>574</v>
      </c>
    </row>
    <row r="225" spans="1:1" x14ac:dyDescent="0.25">
      <c r="A225" s="11" t="s">
        <v>576</v>
      </c>
    </row>
    <row r="226" spans="1:1" x14ac:dyDescent="0.25">
      <c r="A226" s="11" t="s">
        <v>578</v>
      </c>
    </row>
    <row r="227" spans="1:1" x14ac:dyDescent="0.25">
      <c r="A227" s="11" t="s">
        <v>580</v>
      </c>
    </row>
    <row r="228" spans="1:1" x14ac:dyDescent="0.25">
      <c r="A228" s="11" t="s">
        <v>582</v>
      </c>
    </row>
    <row r="229" spans="1:1" x14ac:dyDescent="0.25">
      <c r="A229" s="11" t="s">
        <v>584</v>
      </c>
    </row>
    <row r="230" spans="1:1" x14ac:dyDescent="0.25">
      <c r="A230" s="11" t="s">
        <v>587</v>
      </c>
    </row>
    <row r="231" spans="1:1" x14ac:dyDescent="0.25">
      <c r="A231" s="11" t="s">
        <v>593</v>
      </c>
    </row>
    <row r="232" spans="1:1" x14ac:dyDescent="0.25">
      <c r="A232" s="11" t="s">
        <v>595</v>
      </c>
    </row>
    <row r="233" spans="1:1" x14ac:dyDescent="0.25">
      <c r="A233" s="11" t="s">
        <v>597</v>
      </c>
    </row>
    <row r="234" spans="1:1" x14ac:dyDescent="0.25">
      <c r="A234" s="11" t="s">
        <v>603</v>
      </c>
    </row>
    <row r="235" spans="1:1" x14ac:dyDescent="0.25">
      <c r="A235" s="11" t="s">
        <v>604</v>
      </c>
    </row>
    <row r="236" spans="1:1" x14ac:dyDescent="0.25">
      <c r="A236" s="11" t="s">
        <v>605</v>
      </c>
    </row>
    <row r="237" spans="1:1" x14ac:dyDescent="0.25">
      <c r="A237" s="11" t="s">
        <v>608</v>
      </c>
    </row>
    <row r="238" spans="1:1" x14ac:dyDescent="0.25">
      <c r="A238" s="11" t="s">
        <v>610</v>
      </c>
    </row>
    <row r="239" spans="1:1" x14ac:dyDescent="0.25">
      <c r="A239" s="11" t="s">
        <v>612</v>
      </c>
    </row>
    <row r="240" spans="1:1" x14ac:dyDescent="0.25">
      <c r="A240" s="11" t="s">
        <v>614</v>
      </c>
    </row>
    <row r="241" spans="1:1" x14ac:dyDescent="0.25">
      <c r="A241" s="11" t="s">
        <v>624</v>
      </c>
    </row>
    <row r="242" spans="1:1" x14ac:dyDescent="0.25">
      <c r="A242" s="11" t="s">
        <v>626</v>
      </c>
    </row>
    <row r="243" spans="1:1" x14ac:dyDescent="0.25">
      <c r="A243" s="11" t="s">
        <v>629</v>
      </c>
    </row>
    <row r="244" spans="1:1" x14ac:dyDescent="0.25">
      <c r="A244" s="11" t="s">
        <v>631</v>
      </c>
    </row>
    <row r="245" spans="1:1" x14ac:dyDescent="0.25">
      <c r="A245" s="11" t="s">
        <v>633</v>
      </c>
    </row>
    <row r="246" spans="1:1" x14ac:dyDescent="0.25">
      <c r="A246" s="11" t="s">
        <v>635</v>
      </c>
    </row>
    <row r="247" spans="1:1" x14ac:dyDescent="0.25">
      <c r="A247" s="11" t="s">
        <v>639</v>
      </c>
    </row>
    <row r="248" spans="1:1" x14ac:dyDescent="0.25">
      <c r="A248" s="11" t="s">
        <v>641</v>
      </c>
    </row>
    <row r="249" spans="1:1" x14ac:dyDescent="0.25">
      <c r="A249" s="11" t="s">
        <v>645</v>
      </c>
    </row>
    <row r="250" spans="1:1" x14ac:dyDescent="0.25">
      <c r="A250" s="11" t="s">
        <v>650</v>
      </c>
    </row>
    <row r="251" spans="1:1" x14ac:dyDescent="0.25">
      <c r="A251" s="11" t="s">
        <v>656</v>
      </c>
    </row>
    <row r="252" spans="1:1" x14ac:dyDescent="0.25">
      <c r="A252" s="11" t="s">
        <v>667</v>
      </c>
    </row>
    <row r="253" spans="1:1" x14ac:dyDescent="0.25">
      <c r="A253" s="11" t="s">
        <v>669</v>
      </c>
    </row>
    <row r="254" spans="1:1" x14ac:dyDescent="0.25">
      <c r="A254" s="11" t="s">
        <v>671</v>
      </c>
    </row>
    <row r="255" spans="1:1" x14ac:dyDescent="0.25">
      <c r="A255" s="11" t="s">
        <v>673</v>
      </c>
    </row>
    <row r="256" spans="1:1" x14ac:dyDescent="0.25">
      <c r="A256" s="11" t="s">
        <v>675</v>
      </c>
    </row>
    <row r="257" spans="1:1" x14ac:dyDescent="0.25">
      <c r="A257" s="11" t="s">
        <v>677</v>
      </c>
    </row>
    <row r="258" spans="1:1" x14ac:dyDescent="0.25">
      <c r="A258" s="11" t="s">
        <v>679</v>
      </c>
    </row>
    <row r="259" spans="1:1" x14ac:dyDescent="0.25">
      <c r="A259" s="11" t="s">
        <v>681</v>
      </c>
    </row>
    <row r="260" spans="1:1" x14ac:dyDescent="0.25">
      <c r="A260" s="11" t="s">
        <v>683</v>
      </c>
    </row>
    <row r="261" spans="1:1" x14ac:dyDescent="0.25">
      <c r="A261" s="11" t="s">
        <v>685</v>
      </c>
    </row>
    <row r="262" spans="1:1" x14ac:dyDescent="0.25">
      <c r="A262" s="11" t="s">
        <v>686</v>
      </c>
    </row>
    <row r="263" spans="1:1" x14ac:dyDescent="0.25">
      <c r="A263" s="11" t="s">
        <v>688</v>
      </c>
    </row>
    <row r="264" spans="1:1" x14ac:dyDescent="0.25">
      <c r="A264" s="11" t="s">
        <v>690</v>
      </c>
    </row>
    <row r="265" spans="1:1" x14ac:dyDescent="0.25">
      <c r="A265" s="11" t="s">
        <v>692</v>
      </c>
    </row>
    <row r="266" spans="1:1" x14ac:dyDescent="0.25">
      <c r="A266" s="11" t="s">
        <v>694</v>
      </c>
    </row>
    <row r="267" spans="1:1" x14ac:dyDescent="0.25">
      <c r="A267" s="11" t="s">
        <v>696</v>
      </c>
    </row>
    <row r="268" spans="1:1" x14ac:dyDescent="0.25">
      <c r="A268" s="11" t="s">
        <v>698</v>
      </c>
    </row>
    <row r="269" spans="1:1" x14ac:dyDescent="0.25">
      <c r="A269" s="11" t="s">
        <v>700</v>
      </c>
    </row>
    <row r="270" spans="1:1" x14ac:dyDescent="0.25">
      <c r="A270" s="11" t="s">
        <v>702</v>
      </c>
    </row>
    <row r="271" spans="1:1" x14ac:dyDescent="0.25">
      <c r="A271" s="11" t="s">
        <v>704</v>
      </c>
    </row>
    <row r="272" spans="1:1" x14ac:dyDescent="0.25">
      <c r="A272" s="11" t="s">
        <v>706</v>
      </c>
    </row>
    <row r="273" spans="1:1" x14ac:dyDescent="0.25">
      <c r="A273" s="11" t="s">
        <v>708</v>
      </c>
    </row>
    <row r="274" spans="1:1" x14ac:dyDescent="0.25">
      <c r="A274" s="11" t="s">
        <v>710</v>
      </c>
    </row>
    <row r="275" spans="1:1" x14ac:dyDescent="0.25">
      <c r="A275" s="11" t="s">
        <v>712</v>
      </c>
    </row>
    <row r="276" spans="1:1" x14ac:dyDescent="0.25">
      <c r="A276" s="11" t="s">
        <v>714</v>
      </c>
    </row>
    <row r="277" spans="1:1" x14ac:dyDescent="0.25">
      <c r="A277" s="11" t="s">
        <v>716</v>
      </c>
    </row>
    <row r="278" spans="1:1" x14ac:dyDescent="0.25">
      <c r="A278" s="11" t="s">
        <v>718</v>
      </c>
    </row>
    <row r="279" spans="1:1" x14ac:dyDescent="0.25">
      <c r="A279" s="11" t="s">
        <v>720</v>
      </c>
    </row>
    <row r="280" spans="1:1" x14ac:dyDescent="0.25">
      <c r="A280" s="11" t="s">
        <v>722</v>
      </c>
    </row>
    <row r="281" spans="1:1" x14ac:dyDescent="0.25">
      <c r="A281" s="11" t="s">
        <v>724</v>
      </c>
    </row>
    <row r="282" spans="1:1" x14ac:dyDescent="0.25">
      <c r="A282" s="11" t="s">
        <v>726</v>
      </c>
    </row>
    <row r="283" spans="1:1" x14ac:dyDescent="0.25">
      <c r="A283" s="11" t="s">
        <v>728</v>
      </c>
    </row>
    <row r="284" spans="1:1" x14ac:dyDescent="0.25">
      <c r="A284" s="11" t="s">
        <v>730</v>
      </c>
    </row>
    <row r="285" spans="1:1" x14ac:dyDescent="0.25">
      <c r="A285" s="11" t="s">
        <v>732</v>
      </c>
    </row>
    <row r="286" spans="1:1" x14ac:dyDescent="0.25">
      <c r="A286" s="11" t="s">
        <v>734</v>
      </c>
    </row>
    <row r="287" spans="1:1" x14ac:dyDescent="0.25">
      <c r="A287" s="11" t="s">
        <v>736</v>
      </c>
    </row>
    <row r="288" spans="1:1" x14ac:dyDescent="0.25">
      <c r="A288" s="11" t="s">
        <v>738</v>
      </c>
    </row>
    <row r="289" spans="1:1" x14ac:dyDescent="0.25">
      <c r="A289" s="11" t="s">
        <v>739</v>
      </c>
    </row>
    <row r="290" spans="1:1" x14ac:dyDescent="0.25">
      <c r="A290" s="11" t="s">
        <v>741</v>
      </c>
    </row>
    <row r="291" spans="1:1" x14ac:dyDescent="0.25">
      <c r="A291" s="11" t="s">
        <v>743</v>
      </c>
    </row>
    <row r="292" spans="1:1" x14ac:dyDescent="0.25">
      <c r="A292" s="11" t="s">
        <v>745</v>
      </c>
    </row>
    <row r="293" spans="1:1" x14ac:dyDescent="0.25">
      <c r="A293" s="11" t="s">
        <v>746</v>
      </c>
    </row>
    <row r="294" spans="1:1" x14ac:dyDescent="0.25">
      <c r="A294" s="11" t="s">
        <v>748</v>
      </c>
    </row>
    <row r="295" spans="1:1" x14ac:dyDescent="0.25">
      <c r="A295" s="11" t="s">
        <v>750</v>
      </c>
    </row>
    <row r="296" spans="1:1" x14ac:dyDescent="0.25">
      <c r="A296" s="11" t="s">
        <v>752</v>
      </c>
    </row>
    <row r="297" spans="1:1" x14ac:dyDescent="0.25">
      <c r="A297" s="11" t="s">
        <v>754</v>
      </c>
    </row>
    <row r="298" spans="1:1" x14ac:dyDescent="0.25">
      <c r="A298" s="11" t="s">
        <v>756</v>
      </c>
    </row>
    <row r="299" spans="1:1" x14ac:dyDescent="0.25">
      <c r="A299" s="11" t="s">
        <v>758</v>
      </c>
    </row>
    <row r="300" spans="1:1" x14ac:dyDescent="0.25">
      <c r="A300" s="11" t="s">
        <v>760</v>
      </c>
    </row>
    <row r="301" spans="1:1" x14ac:dyDescent="0.25">
      <c r="A301" s="11" t="s">
        <v>762</v>
      </c>
    </row>
    <row r="302" spans="1:1" x14ac:dyDescent="0.25">
      <c r="A302" s="11" t="s">
        <v>764</v>
      </c>
    </row>
    <row r="303" spans="1:1" x14ac:dyDescent="0.25">
      <c r="A303" s="11" t="s">
        <v>766</v>
      </c>
    </row>
    <row r="304" spans="1:1" x14ac:dyDescent="0.25">
      <c r="A304" s="11" t="s">
        <v>768</v>
      </c>
    </row>
    <row r="305" spans="1:1" x14ac:dyDescent="0.25">
      <c r="A305" s="11" t="s">
        <v>770</v>
      </c>
    </row>
    <row r="306" spans="1:1" x14ac:dyDescent="0.25">
      <c r="A306" s="11" t="s">
        <v>772</v>
      </c>
    </row>
    <row r="307" spans="1:1" x14ac:dyDescent="0.25">
      <c r="A307" s="11" t="s">
        <v>774</v>
      </c>
    </row>
    <row r="308" spans="1:1" x14ac:dyDescent="0.25">
      <c r="A308" s="11" t="s">
        <v>778</v>
      </c>
    </row>
    <row r="309" spans="1:1" x14ac:dyDescent="0.25">
      <c r="A309" s="11" t="s">
        <v>780</v>
      </c>
    </row>
    <row r="310" spans="1:1" x14ac:dyDescent="0.25">
      <c r="A310" s="11" t="s">
        <v>782</v>
      </c>
    </row>
    <row r="311" spans="1:1" x14ac:dyDescent="0.25">
      <c r="A311" s="11" t="s">
        <v>784</v>
      </c>
    </row>
    <row r="312" spans="1:1" x14ac:dyDescent="0.25">
      <c r="A312" s="11" t="s">
        <v>786</v>
      </c>
    </row>
    <row r="313" spans="1:1" x14ac:dyDescent="0.25">
      <c r="A313" s="11" t="s">
        <v>788</v>
      </c>
    </row>
    <row r="314" spans="1:1" x14ac:dyDescent="0.25">
      <c r="A314" s="11" t="s">
        <v>795</v>
      </c>
    </row>
    <row r="315" spans="1:1" x14ac:dyDescent="0.25">
      <c r="A315" s="11" t="s">
        <v>797</v>
      </c>
    </row>
    <row r="316" spans="1:1" x14ac:dyDescent="0.25">
      <c r="A316" s="11" t="s">
        <v>799</v>
      </c>
    </row>
    <row r="317" spans="1:1" x14ac:dyDescent="0.25">
      <c r="A317" s="11" t="s">
        <v>801</v>
      </c>
    </row>
    <row r="318" spans="1:1" x14ac:dyDescent="0.25">
      <c r="A318" s="11" t="s">
        <v>803</v>
      </c>
    </row>
    <row r="319" spans="1:1" x14ac:dyDescent="0.25">
      <c r="A319" s="11" t="s">
        <v>805</v>
      </c>
    </row>
    <row r="320" spans="1:1" x14ac:dyDescent="0.25">
      <c r="A320" s="11" t="s">
        <v>807</v>
      </c>
    </row>
    <row r="321" spans="1:1" x14ac:dyDescent="0.25">
      <c r="A321" s="11" t="s">
        <v>809</v>
      </c>
    </row>
    <row r="322" spans="1:1" x14ac:dyDescent="0.25">
      <c r="A322" s="11" t="s">
        <v>811</v>
      </c>
    </row>
    <row r="323" spans="1:1" x14ac:dyDescent="0.25">
      <c r="A323" s="11" t="s">
        <v>813</v>
      </c>
    </row>
    <row r="324" spans="1:1" x14ac:dyDescent="0.25">
      <c r="A324" s="11" t="s">
        <v>815</v>
      </c>
    </row>
    <row r="325" spans="1:1" x14ac:dyDescent="0.25">
      <c r="A325" s="11" t="s">
        <v>817</v>
      </c>
    </row>
    <row r="326" spans="1:1" x14ac:dyDescent="0.25">
      <c r="A326" s="11" t="s">
        <v>819</v>
      </c>
    </row>
    <row r="327" spans="1:1" x14ac:dyDescent="0.25">
      <c r="A327" s="11" t="s">
        <v>823</v>
      </c>
    </row>
    <row r="328" spans="1:1" x14ac:dyDescent="0.25">
      <c r="A328" s="11" t="s">
        <v>825</v>
      </c>
    </row>
    <row r="329" spans="1:1" x14ac:dyDescent="0.25">
      <c r="A329" s="11" t="s">
        <v>827</v>
      </c>
    </row>
    <row r="330" spans="1:1" x14ac:dyDescent="0.25">
      <c r="A330" s="11" t="s">
        <v>828</v>
      </c>
    </row>
    <row r="331" spans="1:1" x14ac:dyDescent="0.25">
      <c r="A331" s="11" t="s">
        <v>830</v>
      </c>
    </row>
    <row r="332" spans="1:1" x14ac:dyDescent="0.25">
      <c r="A332" s="11" t="s">
        <v>832</v>
      </c>
    </row>
    <row r="333" spans="1:1" x14ac:dyDescent="0.25">
      <c r="A333" s="11" t="s">
        <v>834</v>
      </c>
    </row>
    <row r="334" spans="1:1" x14ac:dyDescent="0.25">
      <c r="A334" s="11" t="s">
        <v>835</v>
      </c>
    </row>
    <row r="335" spans="1:1" x14ac:dyDescent="0.25">
      <c r="A335" s="11" t="s">
        <v>837</v>
      </c>
    </row>
    <row r="336" spans="1:1" x14ac:dyDescent="0.25">
      <c r="A336" s="11" t="s">
        <v>839</v>
      </c>
    </row>
    <row r="337" spans="1:1" x14ac:dyDescent="0.25">
      <c r="A337" s="11" t="s">
        <v>841</v>
      </c>
    </row>
    <row r="338" spans="1:1" x14ac:dyDescent="0.25">
      <c r="A338" s="11" t="s">
        <v>843</v>
      </c>
    </row>
    <row r="339" spans="1:1" x14ac:dyDescent="0.25">
      <c r="A339" s="11" t="s">
        <v>845</v>
      </c>
    </row>
    <row r="340" spans="1:1" x14ac:dyDescent="0.25">
      <c r="A340" s="11" t="s">
        <v>847</v>
      </c>
    </row>
    <row r="341" spans="1:1" x14ac:dyDescent="0.25">
      <c r="A341" s="11" t="s">
        <v>849</v>
      </c>
    </row>
    <row r="342" spans="1:1" x14ac:dyDescent="0.25">
      <c r="A342" s="11" t="s">
        <v>851</v>
      </c>
    </row>
    <row r="343" spans="1:1" x14ac:dyDescent="0.25">
      <c r="A343" s="11" t="s">
        <v>853</v>
      </c>
    </row>
    <row r="344" spans="1:1" x14ac:dyDescent="0.25">
      <c r="A344" s="11" t="s">
        <v>855</v>
      </c>
    </row>
    <row r="345" spans="1:1" x14ac:dyDescent="0.25">
      <c r="A345" s="11" t="s">
        <v>857</v>
      </c>
    </row>
    <row r="346" spans="1:1" x14ac:dyDescent="0.25">
      <c r="A346" s="11" t="s">
        <v>859</v>
      </c>
    </row>
    <row r="347" spans="1:1" x14ac:dyDescent="0.25">
      <c r="A347" s="11" t="s">
        <v>861</v>
      </c>
    </row>
    <row r="348" spans="1:1" x14ac:dyDescent="0.25">
      <c r="A348" s="11" t="s">
        <v>863</v>
      </c>
    </row>
    <row r="349" spans="1:1" x14ac:dyDescent="0.25">
      <c r="A349" s="11" t="s">
        <v>865</v>
      </c>
    </row>
    <row r="350" spans="1:1" x14ac:dyDescent="0.25">
      <c r="A350" s="11" t="s">
        <v>866</v>
      </c>
    </row>
    <row r="351" spans="1:1" x14ac:dyDescent="0.25">
      <c r="A351" s="11" t="s">
        <v>868</v>
      </c>
    </row>
    <row r="352" spans="1:1" x14ac:dyDescent="0.25">
      <c r="A352" s="11" t="s">
        <v>870</v>
      </c>
    </row>
    <row r="353" spans="1:1" x14ac:dyDescent="0.25">
      <c r="A353" s="11" t="s">
        <v>872</v>
      </c>
    </row>
    <row r="354" spans="1:1" x14ac:dyDescent="0.25">
      <c r="A354" s="11" t="s">
        <v>874</v>
      </c>
    </row>
    <row r="355" spans="1:1" x14ac:dyDescent="0.25">
      <c r="A355" s="11" t="s">
        <v>876</v>
      </c>
    </row>
    <row r="356" spans="1:1" x14ac:dyDescent="0.25">
      <c r="A356" s="11" t="s">
        <v>878</v>
      </c>
    </row>
    <row r="357" spans="1:1" x14ac:dyDescent="0.25">
      <c r="A357" s="11" t="s">
        <v>880</v>
      </c>
    </row>
    <row r="358" spans="1:1" x14ac:dyDescent="0.25">
      <c r="A358" s="11" t="s">
        <v>882</v>
      </c>
    </row>
    <row r="359" spans="1:1" x14ac:dyDescent="0.25">
      <c r="A359" s="11" t="s">
        <v>885</v>
      </c>
    </row>
    <row r="360" spans="1:1" x14ac:dyDescent="0.25">
      <c r="A360" s="11" t="s">
        <v>887</v>
      </c>
    </row>
    <row r="361" spans="1:1" x14ac:dyDescent="0.25">
      <c r="A361" s="11" t="s">
        <v>889</v>
      </c>
    </row>
    <row r="362" spans="1:1" x14ac:dyDescent="0.25">
      <c r="A362" s="11" t="s">
        <v>891</v>
      </c>
    </row>
    <row r="363" spans="1:1" x14ac:dyDescent="0.25">
      <c r="A363" s="11" t="s">
        <v>893</v>
      </c>
    </row>
    <row r="364" spans="1:1" x14ac:dyDescent="0.25">
      <c r="A364" s="11" t="s">
        <v>895</v>
      </c>
    </row>
    <row r="365" spans="1:1" x14ac:dyDescent="0.25">
      <c r="A365" s="11" t="s">
        <v>897</v>
      </c>
    </row>
    <row r="366" spans="1:1" x14ac:dyDescent="0.25">
      <c r="A366" s="11" t="s">
        <v>899</v>
      </c>
    </row>
    <row r="367" spans="1:1" x14ac:dyDescent="0.25">
      <c r="A367" s="11" t="s">
        <v>902</v>
      </c>
    </row>
    <row r="368" spans="1:1" x14ac:dyDescent="0.25">
      <c r="A368" s="11" t="s">
        <v>904</v>
      </c>
    </row>
    <row r="369" spans="1:1" x14ac:dyDescent="0.25">
      <c r="A369" s="11" t="s">
        <v>906</v>
      </c>
    </row>
    <row r="370" spans="1:1" x14ac:dyDescent="0.25">
      <c r="A370" s="11" t="s">
        <v>908</v>
      </c>
    </row>
    <row r="371" spans="1:1" x14ac:dyDescent="0.25">
      <c r="A371" s="11" t="s">
        <v>910</v>
      </c>
    </row>
    <row r="372" spans="1:1" x14ac:dyDescent="0.25">
      <c r="A372" s="11" t="s">
        <v>912</v>
      </c>
    </row>
    <row r="373" spans="1:1" x14ac:dyDescent="0.25">
      <c r="A373" s="11" t="s">
        <v>914</v>
      </c>
    </row>
    <row r="374" spans="1:1" x14ac:dyDescent="0.25">
      <c r="A374" s="11" t="s">
        <v>916</v>
      </c>
    </row>
    <row r="375" spans="1:1" x14ac:dyDescent="0.25">
      <c r="A375" s="11" t="s">
        <v>918</v>
      </c>
    </row>
    <row r="376" spans="1:1" x14ac:dyDescent="0.25">
      <c r="A376" s="11" t="s">
        <v>920</v>
      </c>
    </row>
    <row r="377" spans="1:1" x14ac:dyDescent="0.25">
      <c r="A377" s="11" t="s">
        <v>922</v>
      </c>
    </row>
    <row r="378" spans="1:1" x14ac:dyDescent="0.25">
      <c r="A378" s="11" t="s">
        <v>924</v>
      </c>
    </row>
    <row r="379" spans="1:1" x14ac:dyDescent="0.25">
      <c r="A379" s="11" t="s">
        <v>926</v>
      </c>
    </row>
    <row r="380" spans="1:1" x14ac:dyDescent="0.25">
      <c r="A380" s="11" t="s">
        <v>928</v>
      </c>
    </row>
    <row r="381" spans="1:1" x14ac:dyDescent="0.25">
      <c r="A381" s="11" t="s">
        <v>930</v>
      </c>
    </row>
    <row r="382" spans="1:1" x14ac:dyDescent="0.25">
      <c r="A382" s="11" t="s">
        <v>936</v>
      </c>
    </row>
    <row r="383" spans="1:1" x14ac:dyDescent="0.25">
      <c r="A383" s="11" t="s">
        <v>938</v>
      </c>
    </row>
    <row r="384" spans="1:1" x14ac:dyDescent="0.25">
      <c r="A384" s="11" t="s">
        <v>945</v>
      </c>
    </row>
    <row r="385" spans="1:1" x14ac:dyDescent="0.25">
      <c r="A385" s="11" t="s">
        <v>947</v>
      </c>
    </row>
    <row r="386" spans="1:1" x14ac:dyDescent="0.25">
      <c r="A386" s="11" t="s">
        <v>953</v>
      </c>
    </row>
    <row r="387" spans="1:1" x14ac:dyDescent="0.25">
      <c r="A387" s="11" t="s">
        <v>955</v>
      </c>
    </row>
    <row r="388" spans="1:1" x14ac:dyDescent="0.25">
      <c r="A388" s="11" t="s">
        <v>957</v>
      </c>
    </row>
    <row r="389" spans="1:1" x14ac:dyDescent="0.25">
      <c r="A389" s="11" t="s">
        <v>962</v>
      </c>
    </row>
    <row r="390" spans="1:1" x14ac:dyDescent="0.25">
      <c r="A390" s="11" t="s">
        <v>982</v>
      </c>
    </row>
    <row r="391" spans="1:1" x14ac:dyDescent="0.25">
      <c r="A391" s="11" t="s">
        <v>989</v>
      </c>
    </row>
    <row r="392" spans="1:1" x14ac:dyDescent="0.25">
      <c r="A392" s="11" t="s">
        <v>995</v>
      </c>
    </row>
    <row r="393" spans="1:1" x14ac:dyDescent="0.25">
      <c r="A393" s="11" t="s">
        <v>997</v>
      </c>
    </row>
    <row r="394" spans="1:1" x14ac:dyDescent="0.25">
      <c r="A394" s="11" t="s">
        <v>999</v>
      </c>
    </row>
    <row r="395" spans="1:1" x14ac:dyDescent="0.25">
      <c r="A395" s="11" t="s">
        <v>1000</v>
      </c>
    </row>
    <row r="396" spans="1:1" x14ac:dyDescent="0.25">
      <c r="A396" s="11" t="s">
        <v>1002</v>
      </c>
    </row>
    <row r="397" spans="1:1" x14ac:dyDescent="0.25">
      <c r="A397" s="11" t="s">
        <v>1010</v>
      </c>
    </row>
    <row r="398" spans="1:1" x14ac:dyDescent="0.25">
      <c r="A398" s="11" t="s">
        <v>1018</v>
      </c>
    </row>
    <row r="399" spans="1:1" x14ac:dyDescent="0.25">
      <c r="A399" s="11" t="s">
        <v>1020</v>
      </c>
    </row>
    <row r="400" spans="1:1" x14ac:dyDescent="0.25">
      <c r="A400" s="11" t="s">
        <v>1022</v>
      </c>
    </row>
    <row r="401" spans="1:1" x14ac:dyDescent="0.25">
      <c r="A401" s="11" t="s">
        <v>1038</v>
      </c>
    </row>
    <row r="402" spans="1:1" x14ac:dyDescent="0.25">
      <c r="A402" s="11" t="s">
        <v>1042</v>
      </c>
    </row>
    <row r="403" spans="1:1" x14ac:dyDescent="0.25">
      <c r="A403" s="11" t="s">
        <v>1051</v>
      </c>
    </row>
    <row r="404" spans="1:1" x14ac:dyDescent="0.25">
      <c r="A404" s="11" t="s">
        <v>1056</v>
      </c>
    </row>
    <row r="405" spans="1:1" x14ac:dyDescent="0.25">
      <c r="A405" s="11" t="s">
        <v>1058</v>
      </c>
    </row>
    <row r="406" spans="1:1" x14ac:dyDescent="0.25">
      <c r="A406" s="11" t="s">
        <v>1062</v>
      </c>
    </row>
    <row r="407" spans="1:1" x14ac:dyDescent="0.25">
      <c r="A407" s="11" t="s">
        <v>1066</v>
      </c>
    </row>
    <row r="408" spans="1:1" x14ac:dyDescent="0.25">
      <c r="A408" s="11" t="s">
        <v>1068</v>
      </c>
    </row>
    <row r="409" spans="1:1" x14ac:dyDescent="0.25">
      <c r="A409" s="11" t="s">
        <v>1081</v>
      </c>
    </row>
    <row r="410" spans="1:1" x14ac:dyDescent="0.25">
      <c r="A410" s="11" t="s">
        <v>1083</v>
      </c>
    </row>
    <row r="411" spans="1:1" x14ac:dyDescent="0.25">
      <c r="A411" s="11" t="s">
        <v>1085</v>
      </c>
    </row>
    <row r="412" spans="1:1" x14ac:dyDescent="0.25">
      <c r="A412" s="11" t="s">
        <v>1087</v>
      </c>
    </row>
    <row r="413" spans="1:1" x14ac:dyDescent="0.25">
      <c r="A413" s="11" t="s">
        <v>1094</v>
      </c>
    </row>
    <row r="414" spans="1:1" x14ac:dyDescent="0.25">
      <c r="A414" s="11" t="s">
        <v>1096</v>
      </c>
    </row>
    <row r="415" spans="1:1" x14ac:dyDescent="0.25">
      <c r="A415" s="11" t="s">
        <v>1097</v>
      </c>
    </row>
    <row r="416" spans="1:1" x14ac:dyDescent="0.25">
      <c r="A416" s="11" t="s">
        <v>1099</v>
      </c>
    </row>
    <row r="417" spans="1:1" x14ac:dyDescent="0.25">
      <c r="A417" s="11" t="s">
        <v>1100</v>
      </c>
    </row>
    <row r="418" spans="1:1" x14ac:dyDescent="0.25">
      <c r="A418" s="11" t="s">
        <v>1104</v>
      </c>
    </row>
    <row r="419" spans="1:1" x14ac:dyDescent="0.25">
      <c r="A419" s="11" t="s">
        <v>1106</v>
      </c>
    </row>
    <row r="420" spans="1:1" x14ac:dyDescent="0.25">
      <c r="A420" s="11" t="s">
        <v>1108</v>
      </c>
    </row>
    <row r="421" spans="1:1" x14ac:dyDescent="0.25">
      <c r="A421" s="11" t="s">
        <v>1110</v>
      </c>
    </row>
    <row r="422" spans="1:1" x14ac:dyDescent="0.25">
      <c r="A422" s="11" t="s">
        <v>1112</v>
      </c>
    </row>
    <row r="423" spans="1:1" x14ac:dyDescent="0.25">
      <c r="A423" s="11" t="s">
        <v>1113</v>
      </c>
    </row>
    <row r="424" spans="1:1" x14ac:dyDescent="0.25">
      <c r="A424" s="11" t="s">
        <v>1114</v>
      </c>
    </row>
    <row r="425" spans="1:1" x14ac:dyDescent="0.25">
      <c r="A425" s="11" t="s">
        <v>1115</v>
      </c>
    </row>
    <row r="426" spans="1:1" x14ac:dyDescent="0.25">
      <c r="A426" s="11" t="s">
        <v>1117</v>
      </c>
    </row>
    <row r="427" spans="1:1" x14ac:dyDescent="0.25">
      <c r="A427" s="11" t="s">
        <v>1119</v>
      </c>
    </row>
    <row r="428" spans="1:1" x14ac:dyDescent="0.25">
      <c r="A428" s="11" t="s">
        <v>1121</v>
      </c>
    </row>
    <row r="429" spans="1:1" x14ac:dyDescent="0.25">
      <c r="A429" s="11" t="s">
        <v>1123</v>
      </c>
    </row>
    <row r="430" spans="1:1" x14ac:dyDescent="0.25">
      <c r="A430" s="11" t="s">
        <v>1131</v>
      </c>
    </row>
    <row r="431" spans="1:1" x14ac:dyDescent="0.25">
      <c r="A431" s="11" t="s">
        <v>1133</v>
      </c>
    </row>
    <row r="432" spans="1:1" x14ac:dyDescent="0.25">
      <c r="A432" s="11" t="s">
        <v>1139</v>
      </c>
    </row>
    <row r="433" spans="1:1" x14ac:dyDescent="0.25">
      <c r="A433" s="11" t="s">
        <v>1145</v>
      </c>
    </row>
    <row r="434" spans="1:1" x14ac:dyDescent="0.25">
      <c r="A434" s="11" t="s">
        <v>1149</v>
      </c>
    </row>
    <row r="435" spans="1:1" x14ac:dyDescent="0.25">
      <c r="A435" s="11" t="s">
        <v>1151</v>
      </c>
    </row>
    <row r="436" spans="1:1" x14ac:dyDescent="0.25">
      <c r="A436" s="11" t="s">
        <v>1155</v>
      </c>
    </row>
    <row r="437" spans="1:1" x14ac:dyDescent="0.25">
      <c r="A437" s="11" t="s">
        <v>1157</v>
      </c>
    </row>
    <row r="438" spans="1:1" x14ac:dyDescent="0.25">
      <c r="A438" s="11" t="s">
        <v>1161</v>
      </c>
    </row>
    <row r="439" spans="1:1" x14ac:dyDescent="0.25">
      <c r="A439" s="11" t="s">
        <v>1165</v>
      </c>
    </row>
    <row r="440" spans="1:1" x14ac:dyDescent="0.25">
      <c r="A440" s="11" t="s">
        <v>1168</v>
      </c>
    </row>
    <row r="441" spans="1:1" x14ac:dyDescent="0.25">
      <c r="A441" s="11" t="s">
        <v>1171</v>
      </c>
    </row>
    <row r="442" spans="1:1" x14ac:dyDescent="0.25">
      <c r="A442" s="11" t="s">
        <v>1177</v>
      </c>
    </row>
    <row r="443" spans="1:1" x14ac:dyDescent="0.25">
      <c r="A443" s="11" t="s">
        <v>1182</v>
      </c>
    </row>
    <row r="444" spans="1:1" x14ac:dyDescent="0.25">
      <c r="A444" s="11" t="s">
        <v>1186</v>
      </c>
    </row>
    <row r="445" spans="1:1" x14ac:dyDescent="0.25">
      <c r="A445" s="11" t="s">
        <v>1190</v>
      </c>
    </row>
    <row r="446" spans="1:1" x14ac:dyDescent="0.25">
      <c r="A446" s="11" t="s">
        <v>1199</v>
      </c>
    </row>
    <row r="447" spans="1:1" x14ac:dyDescent="0.25">
      <c r="A447" s="11" t="s">
        <v>1211</v>
      </c>
    </row>
    <row r="448" spans="1:1" x14ac:dyDescent="0.25">
      <c r="A448" s="11" t="s">
        <v>1213</v>
      </c>
    </row>
    <row r="449" spans="1:1" x14ac:dyDescent="0.25">
      <c r="A449" s="11" t="s">
        <v>1216</v>
      </c>
    </row>
    <row r="450" spans="1:1" x14ac:dyDescent="0.25">
      <c r="A450" s="11" t="s">
        <v>1218</v>
      </c>
    </row>
    <row r="451" spans="1:1" x14ac:dyDescent="0.25">
      <c r="A451" s="11" t="s">
        <v>1220</v>
      </c>
    </row>
    <row r="452" spans="1:1" x14ac:dyDescent="0.25">
      <c r="A452" s="11" t="s">
        <v>1222</v>
      </c>
    </row>
    <row r="453" spans="1:1" x14ac:dyDescent="0.25">
      <c r="A453" s="11" t="s">
        <v>1226</v>
      </c>
    </row>
    <row r="454" spans="1:1" x14ac:dyDescent="0.25">
      <c r="A454" s="11" t="s">
        <v>1228</v>
      </c>
    </row>
    <row r="455" spans="1:1" x14ac:dyDescent="0.25">
      <c r="A455" s="11" t="s">
        <v>1232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767DE3-A0ED-4CB8-B84C-935A07CF80BF}">
  <dimension ref="A1:B13"/>
  <sheetViews>
    <sheetView workbookViewId="0">
      <selection sqref="A1:I1"/>
    </sheetView>
  </sheetViews>
  <sheetFormatPr baseColWidth="10" defaultRowHeight="15.75" x14ac:dyDescent="0.25"/>
  <cols>
    <col min="1" max="1" width="26" bestFit="1" customWidth="1"/>
  </cols>
  <sheetData>
    <row r="1" spans="1:2" x14ac:dyDescent="0.25">
      <c r="A1" t="s">
        <v>2313</v>
      </c>
      <c r="B1" t="s">
        <v>2314</v>
      </c>
    </row>
    <row r="2" spans="1:2" x14ac:dyDescent="0.25">
      <c r="A2" s="2" t="s">
        <v>2</v>
      </c>
      <c r="B2" t="str">
        <f>_xlfn.CONCAT(A2," ", "BP")</f>
        <v>Amazon BP</v>
      </c>
    </row>
    <row r="3" spans="1:2" x14ac:dyDescent="0.25">
      <c r="A3" s="2" t="s">
        <v>12</v>
      </c>
      <c r="B3" t="str">
        <f t="shared" ref="B3:B13" si="0">_xlfn.CONCAT(A3," ", "BP")</f>
        <v>Arjo Vision Trading Company LLC BP</v>
      </c>
    </row>
    <row r="4" spans="1:2" x14ac:dyDescent="0.25">
      <c r="A4" s="2" t="s">
        <v>18</v>
      </c>
      <c r="B4" t="str">
        <f t="shared" si="0"/>
        <v>Belmont International Trading Corp BP</v>
      </c>
    </row>
    <row r="5" spans="1:2" x14ac:dyDescent="0.25">
      <c r="A5" s="2" t="s">
        <v>201</v>
      </c>
      <c r="B5" t="str">
        <f t="shared" si="0"/>
        <v>Continental Food and Beverage, inc BP</v>
      </c>
    </row>
    <row r="6" spans="1:2" x14ac:dyDescent="0.25">
      <c r="A6" s="2" t="s">
        <v>247</v>
      </c>
      <c r="B6" t="str">
        <f t="shared" si="0"/>
        <v>Fiesta Mart #60 BP</v>
      </c>
    </row>
    <row r="7" spans="1:2" x14ac:dyDescent="0.25">
      <c r="A7" s="2" t="s">
        <v>253</v>
      </c>
      <c r="B7" t="str">
        <f t="shared" si="0"/>
        <v>GUIXENS FOOD GROUP, INC. BP</v>
      </c>
    </row>
    <row r="8" spans="1:2" x14ac:dyDescent="0.25">
      <c r="A8" s="2" t="s">
        <v>257</v>
      </c>
      <c r="B8" t="str">
        <f t="shared" si="0"/>
        <v>Lam's Foods Inc. BP</v>
      </c>
    </row>
    <row r="9" spans="1:2" x14ac:dyDescent="0.25">
      <c r="A9" s="2" t="s">
        <v>266</v>
      </c>
      <c r="B9" t="str">
        <f t="shared" si="0"/>
        <v>La Sorpresa Store BP</v>
      </c>
    </row>
    <row r="10" spans="1:2" x14ac:dyDescent="0.25">
      <c r="A10" s="2" t="s">
        <v>272</v>
      </c>
      <c r="B10" t="str">
        <f t="shared" si="0"/>
        <v>Peru Chef BP</v>
      </c>
    </row>
    <row r="11" spans="1:2" x14ac:dyDescent="0.25">
      <c r="A11" s="2" t="s">
        <v>648</v>
      </c>
      <c r="B11" t="str">
        <f t="shared" si="0"/>
        <v>Sam's Club BP</v>
      </c>
    </row>
    <row r="12" spans="1:2" x14ac:dyDescent="0.25">
      <c r="A12" s="2" t="s">
        <v>653</v>
      </c>
      <c r="B12" t="str">
        <f t="shared" si="0"/>
        <v>SAVERS SUPERMERCADO COST + PLUS BP</v>
      </c>
    </row>
    <row r="13" spans="1:2" x14ac:dyDescent="0.25">
      <c r="A13" s="2" t="s">
        <v>664</v>
      </c>
      <c r="B13" t="str">
        <f t="shared" si="0"/>
        <v>Tradiciones Andinas BP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4E91DF-AD8B-496F-9ED4-6C1E31DB47D0}">
  <sheetPr filterMode="1"/>
  <dimension ref="A1:M1466"/>
  <sheetViews>
    <sheetView topLeftCell="A1437" zoomScale="115" zoomScaleNormal="115" workbookViewId="0">
      <selection sqref="A1:I1"/>
    </sheetView>
  </sheetViews>
  <sheetFormatPr baseColWidth="10" defaultRowHeight="15.75" x14ac:dyDescent="0.25"/>
  <cols>
    <col min="1" max="1" width="21.125" customWidth="1"/>
    <col min="5" max="5" width="52.125" bestFit="1" customWidth="1"/>
  </cols>
  <sheetData>
    <row r="1" spans="1:13" x14ac:dyDescent="0.25">
      <c r="A1" t="s">
        <v>2313</v>
      </c>
      <c r="B1" s="10" t="s">
        <v>2303</v>
      </c>
      <c r="C1" s="10" t="s">
        <v>2304</v>
      </c>
      <c r="D1" s="10" t="s">
        <v>2305</v>
      </c>
      <c r="E1" s="10" t="s">
        <v>2306</v>
      </c>
      <c r="F1" s="10" t="s">
        <v>2307</v>
      </c>
      <c r="G1" s="10" t="s">
        <v>2308</v>
      </c>
      <c r="H1" s="10" t="s">
        <v>2309</v>
      </c>
      <c r="I1" s="10" t="s">
        <v>2310</v>
      </c>
      <c r="J1" s="10" t="s">
        <v>2311</v>
      </c>
      <c r="K1" s="13" t="s">
        <v>2322</v>
      </c>
      <c r="L1" s="13" t="s">
        <v>2323</v>
      </c>
      <c r="M1" s="13" t="s">
        <v>2324</v>
      </c>
    </row>
    <row r="2" spans="1:13" x14ac:dyDescent="0.25">
      <c r="A2" s="2" t="s">
        <v>2</v>
      </c>
      <c r="B2" s="11" t="s">
        <v>3</v>
      </c>
      <c r="C2" s="11" t="s">
        <v>4</v>
      </c>
      <c r="D2" s="11" t="s">
        <v>5</v>
      </c>
      <c r="E2" s="11" t="s">
        <v>6</v>
      </c>
      <c r="F2" s="11" t="s">
        <v>7</v>
      </c>
      <c r="G2" s="12">
        <v>8</v>
      </c>
      <c r="H2" s="12">
        <v>5.41</v>
      </c>
      <c r="I2" s="12">
        <v>43.28</v>
      </c>
      <c r="J2" s="12">
        <v>43.28</v>
      </c>
      <c r="K2">
        <f>COUNTIF($E$2:$E$1466,E2)</f>
        <v>2</v>
      </c>
      <c r="L2">
        <f>IF(G2&gt;0,1,0)</f>
        <v>1</v>
      </c>
      <c r="M2">
        <f>IF(H2&gt;0,1,0)</f>
        <v>1</v>
      </c>
    </row>
    <row r="3" spans="1:13" x14ac:dyDescent="0.25">
      <c r="A3" s="2" t="s">
        <v>2</v>
      </c>
      <c r="B3" s="11" t="s">
        <v>8</v>
      </c>
      <c r="C3" s="11" t="s">
        <v>9</v>
      </c>
      <c r="D3" s="11" t="s">
        <v>5</v>
      </c>
      <c r="E3" s="11" t="s">
        <v>6</v>
      </c>
      <c r="F3" s="11" t="s">
        <v>10</v>
      </c>
      <c r="G3" s="12">
        <v>8</v>
      </c>
      <c r="H3" s="12">
        <v>5.41</v>
      </c>
      <c r="I3" s="12">
        <v>43.28</v>
      </c>
      <c r="J3" s="12">
        <v>86.56</v>
      </c>
      <c r="K3">
        <f t="shared" ref="K3:K66" si="0">COUNTIF($E$2:$E$1466,E3)</f>
        <v>2</v>
      </c>
      <c r="L3">
        <f t="shared" ref="L3:L66" si="1">IF(G3&gt;0,1,0)</f>
        <v>1</v>
      </c>
      <c r="M3">
        <f t="shared" ref="M3:M66" si="2">IF(H3&gt;0,1,0)</f>
        <v>1</v>
      </c>
    </row>
    <row r="4" spans="1:13" x14ac:dyDescent="0.25">
      <c r="A4" s="2" t="s">
        <v>12</v>
      </c>
      <c r="B4" s="11" t="s">
        <v>13</v>
      </c>
      <c r="C4" s="11" t="s">
        <v>4</v>
      </c>
      <c r="D4" s="11" t="s">
        <v>14</v>
      </c>
      <c r="E4" s="11" t="s">
        <v>15</v>
      </c>
      <c r="F4" s="11" t="s">
        <v>16</v>
      </c>
      <c r="G4" s="12">
        <v>15</v>
      </c>
      <c r="H4" s="12">
        <v>16.022600000000001</v>
      </c>
      <c r="I4" s="12">
        <v>240.34</v>
      </c>
      <c r="J4" s="12">
        <v>240.34</v>
      </c>
      <c r="K4">
        <f t="shared" si="0"/>
        <v>1</v>
      </c>
      <c r="L4">
        <f t="shared" si="1"/>
        <v>1</v>
      </c>
      <c r="M4">
        <f t="shared" si="2"/>
        <v>1</v>
      </c>
    </row>
    <row r="5" spans="1:13" x14ac:dyDescent="0.25">
      <c r="A5" s="2" t="s">
        <v>18</v>
      </c>
      <c r="B5" s="11" t="s">
        <v>19</v>
      </c>
      <c r="C5" s="11" t="s">
        <v>4</v>
      </c>
      <c r="D5" s="11" t="s">
        <v>20</v>
      </c>
      <c r="E5" s="11" t="s">
        <v>21</v>
      </c>
      <c r="F5" s="11" t="s">
        <v>22</v>
      </c>
      <c r="G5" s="12">
        <v>1</v>
      </c>
      <c r="H5" s="12">
        <v>54</v>
      </c>
      <c r="I5" s="12">
        <v>54</v>
      </c>
      <c r="J5" s="12">
        <v>54</v>
      </c>
      <c r="K5">
        <f t="shared" si="0"/>
        <v>5</v>
      </c>
      <c r="L5">
        <f t="shared" si="1"/>
        <v>1</v>
      </c>
      <c r="M5">
        <f t="shared" si="2"/>
        <v>1</v>
      </c>
    </row>
    <row r="6" spans="1:13" x14ac:dyDescent="0.25">
      <c r="A6" s="2" t="s">
        <v>18</v>
      </c>
      <c r="B6" s="11" t="s">
        <v>19</v>
      </c>
      <c r="C6" s="11" t="s">
        <v>4</v>
      </c>
      <c r="D6" s="11" t="s">
        <v>20</v>
      </c>
      <c r="E6" s="11" t="s">
        <v>23</v>
      </c>
      <c r="F6" s="11" t="s">
        <v>24</v>
      </c>
      <c r="G6" s="12">
        <v>1</v>
      </c>
      <c r="H6" s="12">
        <v>48</v>
      </c>
      <c r="I6" s="12">
        <v>48</v>
      </c>
      <c r="J6" s="12">
        <v>102</v>
      </c>
      <c r="K6">
        <f t="shared" si="0"/>
        <v>2</v>
      </c>
      <c r="L6">
        <f t="shared" si="1"/>
        <v>1</v>
      </c>
      <c r="M6">
        <f t="shared" si="2"/>
        <v>1</v>
      </c>
    </row>
    <row r="7" spans="1:13" x14ac:dyDescent="0.25">
      <c r="A7" s="2" t="s">
        <v>18</v>
      </c>
      <c r="B7" s="11" t="s">
        <v>19</v>
      </c>
      <c r="C7" s="11" t="s">
        <v>4</v>
      </c>
      <c r="D7" s="11" t="s">
        <v>20</v>
      </c>
      <c r="E7" s="11" t="s">
        <v>25</v>
      </c>
      <c r="F7" s="11" t="s">
        <v>26</v>
      </c>
      <c r="G7" s="12">
        <v>6</v>
      </c>
      <c r="H7" s="12">
        <v>45</v>
      </c>
      <c r="I7" s="12">
        <v>270</v>
      </c>
      <c r="J7" s="12">
        <v>372</v>
      </c>
      <c r="K7">
        <f t="shared" si="0"/>
        <v>2</v>
      </c>
      <c r="L7">
        <f t="shared" si="1"/>
        <v>1</v>
      </c>
      <c r="M7">
        <f t="shared" si="2"/>
        <v>1</v>
      </c>
    </row>
    <row r="8" spans="1:13" x14ac:dyDescent="0.25">
      <c r="A8" s="2" t="s">
        <v>18</v>
      </c>
      <c r="B8" s="11" t="s">
        <v>19</v>
      </c>
      <c r="C8" s="11" t="s">
        <v>4</v>
      </c>
      <c r="D8" s="11" t="s">
        <v>20</v>
      </c>
      <c r="E8" s="11" t="s">
        <v>27</v>
      </c>
      <c r="F8" s="11" t="s">
        <v>28</v>
      </c>
      <c r="G8" s="12">
        <v>6</v>
      </c>
      <c r="H8" s="12">
        <v>72.5</v>
      </c>
      <c r="I8" s="12">
        <v>435</v>
      </c>
      <c r="J8" s="12">
        <v>807</v>
      </c>
      <c r="K8">
        <f t="shared" si="0"/>
        <v>3</v>
      </c>
      <c r="L8">
        <f t="shared" si="1"/>
        <v>1</v>
      </c>
      <c r="M8">
        <f t="shared" si="2"/>
        <v>1</v>
      </c>
    </row>
    <row r="9" spans="1:13" x14ac:dyDescent="0.25">
      <c r="A9" s="2" t="s">
        <v>18</v>
      </c>
      <c r="B9" s="11" t="s">
        <v>19</v>
      </c>
      <c r="C9" s="11" t="s">
        <v>4</v>
      </c>
      <c r="D9" s="11" t="s">
        <v>20</v>
      </c>
      <c r="E9" s="11" t="s">
        <v>29</v>
      </c>
      <c r="F9" s="11" t="s">
        <v>30</v>
      </c>
      <c r="G9" s="12">
        <v>1</v>
      </c>
      <c r="H9" s="12">
        <v>20.9</v>
      </c>
      <c r="I9" s="12">
        <v>20.9</v>
      </c>
      <c r="J9" s="12">
        <v>827.9</v>
      </c>
      <c r="K9">
        <f t="shared" si="0"/>
        <v>2</v>
      </c>
      <c r="L9">
        <f t="shared" si="1"/>
        <v>1</v>
      </c>
      <c r="M9">
        <f t="shared" si="2"/>
        <v>1</v>
      </c>
    </row>
    <row r="10" spans="1:13" x14ac:dyDescent="0.25">
      <c r="A10" s="2" t="s">
        <v>18</v>
      </c>
      <c r="B10" s="11" t="s">
        <v>19</v>
      </c>
      <c r="C10" s="11" t="s">
        <v>4</v>
      </c>
      <c r="D10" s="11" t="s">
        <v>20</v>
      </c>
      <c r="E10" s="11" t="s">
        <v>31</v>
      </c>
      <c r="F10" s="11" t="s">
        <v>32</v>
      </c>
      <c r="G10" s="12">
        <v>3</v>
      </c>
      <c r="H10" s="12">
        <v>23.5</v>
      </c>
      <c r="I10" s="12">
        <v>70.5</v>
      </c>
      <c r="J10" s="12">
        <v>898.4</v>
      </c>
      <c r="K10">
        <f t="shared" si="0"/>
        <v>1</v>
      </c>
      <c r="L10">
        <f t="shared" si="1"/>
        <v>1</v>
      </c>
      <c r="M10">
        <f t="shared" si="2"/>
        <v>1</v>
      </c>
    </row>
    <row r="11" spans="1:13" x14ac:dyDescent="0.25">
      <c r="A11" s="2" t="s">
        <v>18</v>
      </c>
      <c r="B11" s="11" t="s">
        <v>19</v>
      </c>
      <c r="C11" s="11" t="s">
        <v>4</v>
      </c>
      <c r="D11" s="11" t="s">
        <v>20</v>
      </c>
      <c r="E11" s="11" t="s">
        <v>33</v>
      </c>
      <c r="F11" s="11" t="s">
        <v>34</v>
      </c>
      <c r="G11" s="12">
        <v>2</v>
      </c>
      <c r="H11" s="12">
        <v>23.5</v>
      </c>
      <c r="I11" s="12">
        <v>47</v>
      </c>
      <c r="J11" s="12">
        <v>945.4</v>
      </c>
      <c r="K11">
        <f t="shared" si="0"/>
        <v>1</v>
      </c>
      <c r="L11">
        <f t="shared" si="1"/>
        <v>1</v>
      </c>
      <c r="M11">
        <f t="shared" si="2"/>
        <v>1</v>
      </c>
    </row>
    <row r="12" spans="1:13" x14ac:dyDescent="0.25">
      <c r="A12" s="2" t="s">
        <v>18</v>
      </c>
      <c r="B12" s="11" t="s">
        <v>19</v>
      </c>
      <c r="C12" s="11" t="s">
        <v>4</v>
      </c>
      <c r="D12" s="11" t="s">
        <v>20</v>
      </c>
      <c r="E12" s="11" t="s">
        <v>35</v>
      </c>
      <c r="F12" s="11" t="s">
        <v>36</v>
      </c>
      <c r="G12" s="12">
        <v>1</v>
      </c>
      <c r="H12" s="12">
        <v>50.4</v>
      </c>
      <c r="I12" s="12">
        <v>50.4</v>
      </c>
      <c r="J12" s="12">
        <v>995.8</v>
      </c>
      <c r="K12">
        <f t="shared" si="0"/>
        <v>5</v>
      </c>
      <c r="L12">
        <f t="shared" si="1"/>
        <v>1</v>
      </c>
      <c r="M12">
        <f t="shared" si="2"/>
        <v>1</v>
      </c>
    </row>
    <row r="13" spans="1:13" x14ac:dyDescent="0.25">
      <c r="A13" s="2" t="s">
        <v>18</v>
      </c>
      <c r="B13" s="11" t="s">
        <v>19</v>
      </c>
      <c r="C13" s="11" t="s">
        <v>4</v>
      </c>
      <c r="D13" s="11" t="s">
        <v>20</v>
      </c>
      <c r="E13" s="11" t="s">
        <v>37</v>
      </c>
      <c r="F13" s="11" t="s">
        <v>38</v>
      </c>
      <c r="G13" s="12">
        <v>1</v>
      </c>
      <c r="H13" s="12">
        <v>90</v>
      </c>
      <c r="I13" s="12">
        <v>90</v>
      </c>
      <c r="J13" s="12">
        <v>1085.8</v>
      </c>
      <c r="K13">
        <f t="shared" si="0"/>
        <v>7</v>
      </c>
      <c r="L13">
        <f t="shared" si="1"/>
        <v>1</v>
      </c>
      <c r="M13">
        <f t="shared" si="2"/>
        <v>1</v>
      </c>
    </row>
    <row r="14" spans="1:13" x14ac:dyDescent="0.25">
      <c r="A14" s="2" t="s">
        <v>18</v>
      </c>
      <c r="B14" s="11" t="s">
        <v>19</v>
      </c>
      <c r="C14" s="11" t="s">
        <v>4</v>
      </c>
      <c r="D14" s="11" t="s">
        <v>20</v>
      </c>
      <c r="E14" s="11" t="s">
        <v>39</v>
      </c>
      <c r="F14" s="11" t="s">
        <v>39</v>
      </c>
      <c r="G14" s="12">
        <v>1</v>
      </c>
      <c r="H14" s="12">
        <v>30</v>
      </c>
      <c r="I14" s="12">
        <v>30</v>
      </c>
      <c r="J14" s="12">
        <v>1115.8</v>
      </c>
      <c r="K14">
        <f t="shared" si="0"/>
        <v>1</v>
      </c>
      <c r="L14">
        <f t="shared" si="1"/>
        <v>1</v>
      </c>
      <c r="M14">
        <f t="shared" si="2"/>
        <v>1</v>
      </c>
    </row>
    <row r="15" spans="1:13" x14ac:dyDescent="0.25">
      <c r="A15" s="2" t="s">
        <v>18</v>
      </c>
      <c r="B15" s="11" t="s">
        <v>19</v>
      </c>
      <c r="C15" s="11" t="s">
        <v>4</v>
      </c>
      <c r="D15" s="11" t="s">
        <v>20</v>
      </c>
      <c r="E15" s="11" t="s">
        <v>40</v>
      </c>
      <c r="F15" s="11" t="s">
        <v>41</v>
      </c>
      <c r="G15" s="12">
        <v>1</v>
      </c>
      <c r="H15" s="12">
        <v>30</v>
      </c>
      <c r="I15" s="12">
        <v>30</v>
      </c>
      <c r="J15" s="12">
        <v>1145.8</v>
      </c>
      <c r="K15">
        <f t="shared" si="0"/>
        <v>4</v>
      </c>
      <c r="L15">
        <f t="shared" si="1"/>
        <v>1</v>
      </c>
      <c r="M15">
        <f t="shared" si="2"/>
        <v>1</v>
      </c>
    </row>
    <row r="16" spans="1:13" x14ac:dyDescent="0.25">
      <c r="A16" s="2" t="s">
        <v>18</v>
      </c>
      <c r="B16" s="11" t="s">
        <v>19</v>
      </c>
      <c r="C16" s="11" t="s">
        <v>4</v>
      </c>
      <c r="D16" s="11" t="s">
        <v>20</v>
      </c>
      <c r="E16" s="11" t="s">
        <v>42</v>
      </c>
      <c r="F16" s="11" t="s">
        <v>43</v>
      </c>
      <c r="G16" s="12">
        <v>1</v>
      </c>
      <c r="H16" s="12">
        <v>109</v>
      </c>
      <c r="I16" s="12">
        <v>109</v>
      </c>
      <c r="J16" s="12">
        <v>1254.8</v>
      </c>
      <c r="K16">
        <f t="shared" si="0"/>
        <v>5</v>
      </c>
      <c r="L16">
        <f t="shared" si="1"/>
        <v>1</v>
      </c>
      <c r="M16">
        <f t="shared" si="2"/>
        <v>1</v>
      </c>
    </row>
    <row r="17" spans="1:13" x14ac:dyDescent="0.25">
      <c r="A17" s="2" t="s">
        <v>18</v>
      </c>
      <c r="B17" s="11" t="s">
        <v>19</v>
      </c>
      <c r="C17" s="11" t="s">
        <v>4</v>
      </c>
      <c r="D17" s="11" t="s">
        <v>20</v>
      </c>
      <c r="E17" s="11" t="s">
        <v>44</v>
      </c>
      <c r="F17" s="11" t="s">
        <v>45</v>
      </c>
      <c r="G17" s="12">
        <v>20</v>
      </c>
      <c r="H17" s="12">
        <v>39.5</v>
      </c>
      <c r="I17" s="12">
        <v>790</v>
      </c>
      <c r="J17" s="12">
        <v>2044.8</v>
      </c>
      <c r="K17">
        <f t="shared" si="0"/>
        <v>5</v>
      </c>
      <c r="L17">
        <f t="shared" si="1"/>
        <v>1</v>
      </c>
      <c r="M17">
        <f t="shared" si="2"/>
        <v>1</v>
      </c>
    </row>
    <row r="18" spans="1:13" x14ac:dyDescent="0.25">
      <c r="A18" s="2" t="s">
        <v>18</v>
      </c>
      <c r="B18" s="11" t="s">
        <v>19</v>
      </c>
      <c r="C18" s="11" t="s">
        <v>4</v>
      </c>
      <c r="D18" s="11" t="s">
        <v>20</v>
      </c>
      <c r="E18" s="11" t="s">
        <v>46</v>
      </c>
      <c r="F18" s="11" t="s">
        <v>47</v>
      </c>
      <c r="G18" s="12">
        <v>10</v>
      </c>
      <c r="H18" s="12">
        <v>39.5</v>
      </c>
      <c r="I18" s="12">
        <v>395</v>
      </c>
      <c r="J18" s="12">
        <v>2439.8000000000002</v>
      </c>
      <c r="K18">
        <f t="shared" si="0"/>
        <v>7</v>
      </c>
      <c r="L18">
        <f t="shared" si="1"/>
        <v>1</v>
      </c>
      <c r="M18">
        <f t="shared" si="2"/>
        <v>1</v>
      </c>
    </row>
    <row r="19" spans="1:13" x14ac:dyDescent="0.25">
      <c r="A19" s="2" t="s">
        <v>18</v>
      </c>
      <c r="B19" s="11" t="s">
        <v>19</v>
      </c>
      <c r="C19" s="11" t="s">
        <v>4</v>
      </c>
      <c r="D19" s="11" t="s">
        <v>20</v>
      </c>
      <c r="E19" s="11" t="s">
        <v>48</v>
      </c>
      <c r="F19" s="11" t="s">
        <v>49</v>
      </c>
      <c r="G19" s="12">
        <v>2</v>
      </c>
      <c r="H19" s="12">
        <v>39.5</v>
      </c>
      <c r="I19" s="12">
        <v>79</v>
      </c>
      <c r="J19" s="12">
        <v>2518.8000000000002</v>
      </c>
      <c r="K19">
        <f t="shared" si="0"/>
        <v>5</v>
      </c>
      <c r="L19">
        <f t="shared" si="1"/>
        <v>1</v>
      </c>
      <c r="M19">
        <f t="shared" si="2"/>
        <v>1</v>
      </c>
    </row>
    <row r="20" spans="1:13" x14ac:dyDescent="0.25">
      <c r="A20" s="2" t="s">
        <v>18</v>
      </c>
      <c r="B20" s="11" t="s">
        <v>19</v>
      </c>
      <c r="C20" s="11" t="s">
        <v>4</v>
      </c>
      <c r="D20" s="11" t="s">
        <v>20</v>
      </c>
      <c r="E20" s="11" t="s">
        <v>50</v>
      </c>
      <c r="F20" s="11" t="s">
        <v>51</v>
      </c>
      <c r="G20" s="12">
        <v>10</v>
      </c>
      <c r="H20" s="12">
        <v>39.5</v>
      </c>
      <c r="I20" s="12">
        <v>395</v>
      </c>
      <c r="J20" s="12">
        <v>2913.8</v>
      </c>
      <c r="K20">
        <f t="shared" si="0"/>
        <v>7</v>
      </c>
      <c r="L20">
        <f t="shared" si="1"/>
        <v>1</v>
      </c>
      <c r="M20">
        <f t="shared" si="2"/>
        <v>1</v>
      </c>
    </row>
    <row r="21" spans="1:13" x14ac:dyDescent="0.25">
      <c r="A21" s="2" t="s">
        <v>18</v>
      </c>
      <c r="B21" s="11" t="s">
        <v>19</v>
      </c>
      <c r="C21" s="11" t="s">
        <v>4</v>
      </c>
      <c r="D21" s="11" t="s">
        <v>20</v>
      </c>
      <c r="E21" s="11" t="s">
        <v>52</v>
      </c>
      <c r="F21" s="11" t="s">
        <v>53</v>
      </c>
      <c r="G21" s="12">
        <v>5</v>
      </c>
      <c r="H21" s="12">
        <v>25.5</v>
      </c>
      <c r="I21" s="12">
        <v>127.5</v>
      </c>
      <c r="J21" s="12">
        <v>3041.3</v>
      </c>
      <c r="K21">
        <f t="shared" si="0"/>
        <v>1</v>
      </c>
      <c r="L21">
        <f t="shared" si="1"/>
        <v>1</v>
      </c>
      <c r="M21">
        <f t="shared" si="2"/>
        <v>1</v>
      </c>
    </row>
    <row r="22" spans="1:13" x14ac:dyDescent="0.25">
      <c r="A22" s="2" t="s">
        <v>18</v>
      </c>
      <c r="B22" s="11" t="s">
        <v>19</v>
      </c>
      <c r="C22" s="11" t="s">
        <v>4</v>
      </c>
      <c r="D22" s="11" t="s">
        <v>20</v>
      </c>
      <c r="E22" s="11" t="s">
        <v>54</v>
      </c>
      <c r="F22" s="11" t="s">
        <v>55</v>
      </c>
      <c r="G22" s="12">
        <v>2</v>
      </c>
      <c r="H22" s="12">
        <v>25.5</v>
      </c>
      <c r="I22" s="12">
        <v>51</v>
      </c>
      <c r="J22" s="12">
        <v>3092.3</v>
      </c>
      <c r="K22">
        <f t="shared" si="0"/>
        <v>1</v>
      </c>
      <c r="L22">
        <f t="shared" si="1"/>
        <v>1</v>
      </c>
      <c r="M22">
        <f t="shared" si="2"/>
        <v>1</v>
      </c>
    </row>
    <row r="23" spans="1:13" x14ac:dyDescent="0.25">
      <c r="A23" s="2" t="s">
        <v>18</v>
      </c>
      <c r="B23" s="11" t="s">
        <v>19</v>
      </c>
      <c r="C23" s="11" t="s">
        <v>4</v>
      </c>
      <c r="D23" s="11" t="s">
        <v>20</v>
      </c>
      <c r="E23" s="11" t="s">
        <v>56</v>
      </c>
      <c r="F23" s="11" t="s">
        <v>57</v>
      </c>
      <c r="G23" s="12">
        <v>2</v>
      </c>
      <c r="H23" s="12">
        <v>63</v>
      </c>
      <c r="I23" s="12">
        <v>126</v>
      </c>
      <c r="J23" s="12">
        <v>3218.3</v>
      </c>
      <c r="K23">
        <f t="shared" si="0"/>
        <v>9</v>
      </c>
      <c r="L23">
        <f t="shared" si="1"/>
        <v>1</v>
      </c>
      <c r="M23">
        <f t="shared" si="2"/>
        <v>1</v>
      </c>
    </row>
    <row r="24" spans="1:13" x14ac:dyDescent="0.25">
      <c r="A24" s="2" t="s">
        <v>18</v>
      </c>
      <c r="B24" s="11" t="s">
        <v>19</v>
      </c>
      <c r="C24" s="11" t="s">
        <v>4</v>
      </c>
      <c r="D24" s="11" t="s">
        <v>20</v>
      </c>
      <c r="E24" s="11" t="s">
        <v>58</v>
      </c>
      <c r="F24" s="11" t="s">
        <v>59</v>
      </c>
      <c r="G24" s="12">
        <v>2</v>
      </c>
      <c r="H24" s="12">
        <v>70</v>
      </c>
      <c r="I24" s="12">
        <v>140</v>
      </c>
      <c r="J24" s="12">
        <v>3358.3</v>
      </c>
      <c r="K24">
        <f t="shared" si="0"/>
        <v>9</v>
      </c>
      <c r="L24">
        <f t="shared" si="1"/>
        <v>1</v>
      </c>
      <c r="M24">
        <f t="shared" si="2"/>
        <v>1</v>
      </c>
    </row>
    <row r="25" spans="1:13" x14ac:dyDescent="0.25">
      <c r="A25" s="2" t="s">
        <v>18</v>
      </c>
      <c r="B25" s="11" t="s">
        <v>19</v>
      </c>
      <c r="C25" s="11" t="s">
        <v>4</v>
      </c>
      <c r="D25" s="11" t="s">
        <v>20</v>
      </c>
      <c r="E25" s="11" t="s">
        <v>60</v>
      </c>
      <c r="F25" s="11" t="s">
        <v>61</v>
      </c>
      <c r="G25" s="12">
        <v>1</v>
      </c>
      <c r="H25" s="12">
        <v>56</v>
      </c>
      <c r="I25" s="12">
        <v>56</v>
      </c>
      <c r="J25" s="12">
        <v>3414.3</v>
      </c>
      <c r="K25">
        <f t="shared" si="0"/>
        <v>2</v>
      </c>
      <c r="L25">
        <f t="shared" si="1"/>
        <v>1</v>
      </c>
      <c r="M25">
        <f t="shared" si="2"/>
        <v>1</v>
      </c>
    </row>
    <row r="26" spans="1:13" x14ac:dyDescent="0.25">
      <c r="A26" s="2" t="s">
        <v>18</v>
      </c>
      <c r="B26" s="11" t="s">
        <v>19</v>
      </c>
      <c r="C26" s="11" t="s">
        <v>4</v>
      </c>
      <c r="D26" s="11" t="s">
        <v>20</v>
      </c>
      <c r="E26" s="11" t="s">
        <v>62</v>
      </c>
      <c r="F26" s="11" t="s">
        <v>63</v>
      </c>
      <c r="G26" s="12">
        <v>3</v>
      </c>
      <c r="H26" s="12">
        <v>16</v>
      </c>
      <c r="I26" s="12">
        <v>48</v>
      </c>
      <c r="J26" s="12">
        <v>3462.3</v>
      </c>
      <c r="K26">
        <f t="shared" si="0"/>
        <v>8</v>
      </c>
      <c r="L26">
        <f t="shared" si="1"/>
        <v>1</v>
      </c>
      <c r="M26">
        <f t="shared" si="2"/>
        <v>1</v>
      </c>
    </row>
    <row r="27" spans="1:13" x14ac:dyDescent="0.25">
      <c r="A27" s="2" t="s">
        <v>18</v>
      </c>
      <c r="B27" s="11" t="s">
        <v>19</v>
      </c>
      <c r="C27" s="11" t="s">
        <v>4</v>
      </c>
      <c r="D27" s="11" t="s">
        <v>20</v>
      </c>
      <c r="E27" s="11" t="s">
        <v>64</v>
      </c>
      <c r="F27" s="11" t="s">
        <v>65</v>
      </c>
      <c r="G27" s="12">
        <v>1</v>
      </c>
      <c r="H27" s="12">
        <v>49</v>
      </c>
      <c r="I27" s="12">
        <v>49</v>
      </c>
      <c r="J27" s="12">
        <v>3511.3</v>
      </c>
      <c r="K27">
        <f t="shared" si="0"/>
        <v>6</v>
      </c>
      <c r="L27">
        <f t="shared" si="1"/>
        <v>1</v>
      </c>
      <c r="M27">
        <f t="shared" si="2"/>
        <v>1</v>
      </c>
    </row>
    <row r="28" spans="1:13" x14ac:dyDescent="0.25">
      <c r="A28" s="2" t="s">
        <v>18</v>
      </c>
      <c r="B28" s="11" t="s">
        <v>19</v>
      </c>
      <c r="C28" s="11" t="s">
        <v>4</v>
      </c>
      <c r="D28" s="11" t="s">
        <v>20</v>
      </c>
      <c r="E28" s="11" t="s">
        <v>66</v>
      </c>
      <c r="F28" s="11" t="s">
        <v>67</v>
      </c>
      <c r="G28" s="12">
        <v>1</v>
      </c>
      <c r="H28" s="12">
        <v>48</v>
      </c>
      <c r="I28" s="12">
        <v>48</v>
      </c>
      <c r="J28" s="12">
        <v>3559.3</v>
      </c>
      <c r="K28">
        <f t="shared" si="0"/>
        <v>1</v>
      </c>
      <c r="L28">
        <f t="shared" si="1"/>
        <v>1</v>
      </c>
      <c r="M28">
        <f t="shared" si="2"/>
        <v>1</v>
      </c>
    </row>
    <row r="29" spans="1:13" x14ac:dyDescent="0.25">
      <c r="A29" s="2" t="s">
        <v>18</v>
      </c>
      <c r="B29" s="11" t="s">
        <v>19</v>
      </c>
      <c r="C29" s="11" t="s">
        <v>4</v>
      </c>
      <c r="D29" s="11" t="s">
        <v>20</v>
      </c>
      <c r="E29" s="11" t="s">
        <v>68</v>
      </c>
      <c r="F29" s="11" t="s">
        <v>69</v>
      </c>
      <c r="G29" s="12">
        <v>1</v>
      </c>
      <c r="H29" s="12">
        <v>9.5</v>
      </c>
      <c r="I29" s="12">
        <v>9.5</v>
      </c>
      <c r="J29" s="12">
        <v>3568.8</v>
      </c>
      <c r="K29">
        <f t="shared" si="0"/>
        <v>1</v>
      </c>
      <c r="L29">
        <f t="shared" si="1"/>
        <v>1</v>
      </c>
      <c r="M29">
        <f t="shared" si="2"/>
        <v>1</v>
      </c>
    </row>
    <row r="30" spans="1:13" x14ac:dyDescent="0.25">
      <c r="A30" s="2" t="s">
        <v>18</v>
      </c>
      <c r="B30" s="11" t="s">
        <v>19</v>
      </c>
      <c r="C30" s="11" t="s">
        <v>4</v>
      </c>
      <c r="D30" s="11" t="s">
        <v>20</v>
      </c>
      <c r="E30" s="11" t="s">
        <v>70</v>
      </c>
      <c r="F30" s="11" t="s">
        <v>71</v>
      </c>
      <c r="G30" s="12">
        <v>1</v>
      </c>
      <c r="H30" s="12">
        <v>29.9</v>
      </c>
      <c r="I30" s="12">
        <v>29.9</v>
      </c>
      <c r="J30" s="12">
        <v>3598.7000000000003</v>
      </c>
      <c r="K30">
        <f t="shared" si="0"/>
        <v>1</v>
      </c>
      <c r="L30">
        <f t="shared" si="1"/>
        <v>1</v>
      </c>
      <c r="M30">
        <f t="shared" si="2"/>
        <v>1</v>
      </c>
    </row>
    <row r="31" spans="1:13" x14ac:dyDescent="0.25">
      <c r="A31" s="2" t="s">
        <v>18</v>
      </c>
      <c r="B31" s="11" t="s">
        <v>19</v>
      </c>
      <c r="C31" s="11" t="s">
        <v>4</v>
      </c>
      <c r="D31" s="11" t="s">
        <v>20</v>
      </c>
      <c r="E31" s="11" t="s">
        <v>72</v>
      </c>
      <c r="F31" s="11" t="s">
        <v>73</v>
      </c>
      <c r="G31" s="12">
        <v>1</v>
      </c>
      <c r="H31" s="12">
        <v>77</v>
      </c>
      <c r="I31" s="12">
        <v>77</v>
      </c>
      <c r="J31" s="12">
        <v>3675.7000000000003</v>
      </c>
      <c r="K31">
        <f t="shared" si="0"/>
        <v>6</v>
      </c>
      <c r="L31">
        <f t="shared" si="1"/>
        <v>1</v>
      </c>
      <c r="M31">
        <f t="shared" si="2"/>
        <v>1</v>
      </c>
    </row>
    <row r="32" spans="1:13" x14ac:dyDescent="0.25">
      <c r="A32" s="2" t="s">
        <v>18</v>
      </c>
      <c r="B32" s="11" t="s">
        <v>19</v>
      </c>
      <c r="C32" s="11" t="s">
        <v>4</v>
      </c>
      <c r="D32" s="11" t="s">
        <v>20</v>
      </c>
      <c r="E32" s="11" t="s">
        <v>74</v>
      </c>
      <c r="F32" s="11" t="s">
        <v>75</v>
      </c>
      <c r="G32" s="12">
        <v>1</v>
      </c>
      <c r="H32" s="12">
        <v>55</v>
      </c>
      <c r="I32" s="12">
        <v>55</v>
      </c>
      <c r="J32" s="12">
        <v>3730.7000000000003</v>
      </c>
      <c r="K32">
        <f t="shared" si="0"/>
        <v>2</v>
      </c>
      <c r="L32">
        <f t="shared" si="1"/>
        <v>1</v>
      </c>
      <c r="M32">
        <f t="shared" si="2"/>
        <v>1</v>
      </c>
    </row>
    <row r="33" spans="1:13" x14ac:dyDescent="0.25">
      <c r="A33" s="2" t="s">
        <v>18</v>
      </c>
      <c r="B33" s="11" t="s">
        <v>19</v>
      </c>
      <c r="C33" s="11" t="s">
        <v>4</v>
      </c>
      <c r="D33" s="11" t="s">
        <v>20</v>
      </c>
      <c r="E33" s="11" t="s">
        <v>76</v>
      </c>
      <c r="F33" s="11" t="s">
        <v>77</v>
      </c>
      <c r="G33" s="12">
        <v>1</v>
      </c>
      <c r="H33" s="12">
        <v>40</v>
      </c>
      <c r="I33" s="12">
        <v>40</v>
      </c>
      <c r="J33" s="12">
        <v>3770.7000000000003</v>
      </c>
      <c r="K33">
        <f t="shared" si="0"/>
        <v>2</v>
      </c>
      <c r="L33">
        <f t="shared" si="1"/>
        <v>1</v>
      </c>
      <c r="M33">
        <f t="shared" si="2"/>
        <v>1</v>
      </c>
    </row>
    <row r="34" spans="1:13" x14ac:dyDescent="0.25">
      <c r="A34" s="2" t="s">
        <v>18</v>
      </c>
      <c r="B34" s="11" t="s">
        <v>19</v>
      </c>
      <c r="C34" s="11" t="s">
        <v>4</v>
      </c>
      <c r="D34" s="11" t="s">
        <v>20</v>
      </c>
      <c r="E34" s="11" t="s">
        <v>78</v>
      </c>
      <c r="F34" s="11" t="s">
        <v>79</v>
      </c>
      <c r="G34" s="12">
        <v>1</v>
      </c>
      <c r="H34" s="12">
        <v>60.8</v>
      </c>
      <c r="I34" s="12">
        <v>60.8</v>
      </c>
      <c r="J34" s="12">
        <v>3831.5000000000005</v>
      </c>
      <c r="K34">
        <f t="shared" si="0"/>
        <v>5</v>
      </c>
      <c r="L34">
        <f t="shared" si="1"/>
        <v>1</v>
      </c>
      <c r="M34">
        <f t="shared" si="2"/>
        <v>1</v>
      </c>
    </row>
    <row r="35" spans="1:13" x14ac:dyDescent="0.25">
      <c r="A35" s="2" t="s">
        <v>18</v>
      </c>
      <c r="B35" s="11" t="s">
        <v>19</v>
      </c>
      <c r="C35" s="11" t="s">
        <v>4</v>
      </c>
      <c r="D35" s="11" t="s">
        <v>20</v>
      </c>
      <c r="E35" s="11" t="s">
        <v>80</v>
      </c>
      <c r="F35" s="11" t="s">
        <v>81</v>
      </c>
      <c r="G35" s="12">
        <v>18</v>
      </c>
      <c r="H35" s="12">
        <v>12.25</v>
      </c>
      <c r="I35" s="12">
        <v>220.5</v>
      </c>
      <c r="J35" s="12">
        <v>4052.0000000000005</v>
      </c>
      <c r="K35">
        <f t="shared" si="0"/>
        <v>8</v>
      </c>
      <c r="L35">
        <f t="shared" si="1"/>
        <v>1</v>
      </c>
      <c r="M35">
        <f t="shared" si="2"/>
        <v>1</v>
      </c>
    </row>
    <row r="36" spans="1:13" x14ac:dyDescent="0.25">
      <c r="A36" s="2" t="s">
        <v>18</v>
      </c>
      <c r="B36" s="11" t="s">
        <v>19</v>
      </c>
      <c r="C36" s="11" t="s">
        <v>4</v>
      </c>
      <c r="D36" s="11" t="s">
        <v>20</v>
      </c>
      <c r="E36" s="11" t="s">
        <v>82</v>
      </c>
      <c r="F36" s="11" t="s">
        <v>83</v>
      </c>
      <c r="G36" s="12">
        <v>1</v>
      </c>
      <c r="H36" s="12">
        <v>58</v>
      </c>
      <c r="I36" s="12">
        <v>58</v>
      </c>
      <c r="J36" s="12">
        <v>4110</v>
      </c>
      <c r="K36">
        <f t="shared" si="0"/>
        <v>6</v>
      </c>
      <c r="L36">
        <f t="shared" si="1"/>
        <v>1</v>
      </c>
      <c r="M36">
        <f t="shared" si="2"/>
        <v>1</v>
      </c>
    </row>
    <row r="37" spans="1:13" x14ac:dyDescent="0.25">
      <c r="A37" s="2" t="s">
        <v>18</v>
      </c>
      <c r="B37" s="11" t="s">
        <v>19</v>
      </c>
      <c r="C37" s="11" t="s">
        <v>4</v>
      </c>
      <c r="D37" s="11" t="s">
        <v>20</v>
      </c>
      <c r="E37" s="11" t="s">
        <v>84</v>
      </c>
      <c r="F37" s="11" t="s">
        <v>85</v>
      </c>
      <c r="G37" s="12">
        <v>2</v>
      </c>
      <c r="H37" s="12">
        <v>50.4</v>
      </c>
      <c r="I37" s="12">
        <v>100.8</v>
      </c>
      <c r="J37" s="12">
        <v>4210.8</v>
      </c>
      <c r="K37">
        <f t="shared" si="0"/>
        <v>5</v>
      </c>
      <c r="L37">
        <f t="shared" si="1"/>
        <v>1</v>
      </c>
      <c r="M37">
        <f t="shared" si="2"/>
        <v>1</v>
      </c>
    </row>
    <row r="38" spans="1:13" x14ac:dyDescent="0.25">
      <c r="A38" s="2" t="s">
        <v>18</v>
      </c>
      <c r="B38" s="11" t="s">
        <v>19</v>
      </c>
      <c r="C38" s="11" t="s">
        <v>4</v>
      </c>
      <c r="D38" s="11" t="s">
        <v>20</v>
      </c>
      <c r="E38" s="11" t="s">
        <v>86</v>
      </c>
      <c r="F38" s="11" t="s">
        <v>87</v>
      </c>
      <c r="G38" s="12">
        <v>1</v>
      </c>
      <c r="H38" s="12">
        <v>16</v>
      </c>
      <c r="I38" s="12">
        <v>16</v>
      </c>
      <c r="J38" s="12">
        <v>4226.8</v>
      </c>
      <c r="K38">
        <f t="shared" si="0"/>
        <v>7</v>
      </c>
      <c r="L38">
        <f t="shared" si="1"/>
        <v>1</v>
      </c>
      <c r="M38">
        <f t="shared" si="2"/>
        <v>1</v>
      </c>
    </row>
    <row r="39" spans="1:13" x14ac:dyDescent="0.25">
      <c r="A39" s="2" t="s">
        <v>18</v>
      </c>
      <c r="B39" s="11" t="s">
        <v>19</v>
      </c>
      <c r="C39" s="11" t="s">
        <v>4</v>
      </c>
      <c r="D39" s="11" t="s">
        <v>20</v>
      </c>
      <c r="E39" s="11" t="s">
        <v>88</v>
      </c>
      <c r="F39" s="11" t="s">
        <v>89</v>
      </c>
      <c r="G39" s="12">
        <v>1</v>
      </c>
      <c r="H39" s="12">
        <v>16</v>
      </c>
      <c r="I39" s="12">
        <v>16</v>
      </c>
      <c r="J39" s="12">
        <v>4242.8</v>
      </c>
      <c r="K39">
        <f t="shared" si="0"/>
        <v>5</v>
      </c>
      <c r="L39">
        <f t="shared" si="1"/>
        <v>1</v>
      </c>
      <c r="M39">
        <f t="shared" si="2"/>
        <v>1</v>
      </c>
    </row>
    <row r="40" spans="1:13" x14ac:dyDescent="0.25">
      <c r="A40" s="2" t="s">
        <v>18</v>
      </c>
      <c r="B40" s="11" t="s">
        <v>19</v>
      </c>
      <c r="C40" s="11" t="s">
        <v>4</v>
      </c>
      <c r="D40" s="11" t="s">
        <v>20</v>
      </c>
      <c r="E40" s="11" t="s">
        <v>90</v>
      </c>
      <c r="F40" s="11" t="s">
        <v>91</v>
      </c>
      <c r="G40" s="12">
        <v>1</v>
      </c>
      <c r="H40" s="12">
        <v>16</v>
      </c>
      <c r="I40" s="12">
        <v>16</v>
      </c>
      <c r="J40" s="12">
        <v>4258.8</v>
      </c>
      <c r="K40">
        <f t="shared" si="0"/>
        <v>5</v>
      </c>
      <c r="L40">
        <f t="shared" si="1"/>
        <v>1</v>
      </c>
      <c r="M40">
        <f t="shared" si="2"/>
        <v>1</v>
      </c>
    </row>
    <row r="41" spans="1:13" x14ac:dyDescent="0.25">
      <c r="A41" s="2" t="s">
        <v>18</v>
      </c>
      <c r="B41" s="11" t="s">
        <v>19</v>
      </c>
      <c r="C41" s="11" t="s">
        <v>4</v>
      </c>
      <c r="D41" s="11" t="s">
        <v>20</v>
      </c>
      <c r="E41" s="11" t="s">
        <v>92</v>
      </c>
      <c r="F41" s="11" t="s">
        <v>93</v>
      </c>
      <c r="G41" s="12">
        <v>1</v>
      </c>
      <c r="H41" s="12">
        <v>16</v>
      </c>
      <c r="I41" s="12">
        <v>16</v>
      </c>
      <c r="J41" s="12">
        <v>4274.8</v>
      </c>
      <c r="K41">
        <f t="shared" si="0"/>
        <v>3</v>
      </c>
      <c r="L41">
        <f t="shared" si="1"/>
        <v>1</v>
      </c>
      <c r="M41">
        <f t="shared" si="2"/>
        <v>1</v>
      </c>
    </row>
    <row r="42" spans="1:13" x14ac:dyDescent="0.25">
      <c r="A42" s="2" t="s">
        <v>18</v>
      </c>
      <c r="B42" s="11" t="s">
        <v>19</v>
      </c>
      <c r="C42" s="11" t="s">
        <v>4</v>
      </c>
      <c r="D42" s="11" t="s">
        <v>20</v>
      </c>
      <c r="E42" s="11" t="s">
        <v>94</v>
      </c>
      <c r="F42" s="11" t="s">
        <v>95</v>
      </c>
      <c r="G42" s="12">
        <v>1</v>
      </c>
      <c r="H42" s="12">
        <v>15.9</v>
      </c>
      <c r="I42" s="12">
        <v>15.9</v>
      </c>
      <c r="J42" s="12">
        <v>4290.7</v>
      </c>
      <c r="K42">
        <f t="shared" si="0"/>
        <v>1</v>
      </c>
      <c r="L42">
        <f t="shared" si="1"/>
        <v>1</v>
      </c>
      <c r="M42">
        <f t="shared" si="2"/>
        <v>1</v>
      </c>
    </row>
    <row r="43" spans="1:13" x14ac:dyDescent="0.25">
      <c r="A43" s="2" t="s">
        <v>18</v>
      </c>
      <c r="B43" s="11" t="s">
        <v>19</v>
      </c>
      <c r="C43" s="11" t="s">
        <v>4</v>
      </c>
      <c r="D43" s="11" t="s">
        <v>20</v>
      </c>
      <c r="E43" s="11" t="s">
        <v>96</v>
      </c>
      <c r="F43" s="11" t="s">
        <v>97</v>
      </c>
      <c r="G43" s="12">
        <v>9</v>
      </c>
      <c r="H43" s="12">
        <v>29.9</v>
      </c>
      <c r="I43" s="12">
        <v>269.10000000000002</v>
      </c>
      <c r="J43" s="12">
        <v>4559.8</v>
      </c>
      <c r="K43">
        <f t="shared" si="0"/>
        <v>4</v>
      </c>
      <c r="L43">
        <f t="shared" si="1"/>
        <v>1</v>
      </c>
      <c r="M43">
        <f t="shared" si="2"/>
        <v>1</v>
      </c>
    </row>
    <row r="44" spans="1:13" x14ac:dyDescent="0.25">
      <c r="A44" s="2" t="s">
        <v>18</v>
      </c>
      <c r="B44" s="11" t="s">
        <v>19</v>
      </c>
      <c r="C44" s="11" t="s">
        <v>4</v>
      </c>
      <c r="D44" s="11" t="s">
        <v>20</v>
      </c>
      <c r="E44" s="11" t="s">
        <v>98</v>
      </c>
      <c r="F44" s="11" t="s">
        <v>99</v>
      </c>
      <c r="G44" s="12">
        <v>1</v>
      </c>
      <c r="H44" s="12">
        <v>12.5</v>
      </c>
      <c r="I44" s="12">
        <v>12.5</v>
      </c>
      <c r="J44" s="12">
        <v>4572.3</v>
      </c>
      <c r="K44">
        <f t="shared" si="0"/>
        <v>4</v>
      </c>
      <c r="L44">
        <f t="shared" si="1"/>
        <v>1</v>
      </c>
      <c r="M44">
        <f t="shared" si="2"/>
        <v>1</v>
      </c>
    </row>
    <row r="45" spans="1:13" x14ac:dyDescent="0.25">
      <c r="A45" s="2" t="s">
        <v>18</v>
      </c>
      <c r="B45" s="11" t="s">
        <v>19</v>
      </c>
      <c r="C45" s="11" t="s">
        <v>4</v>
      </c>
      <c r="D45" s="11" t="s">
        <v>20</v>
      </c>
      <c r="E45" s="11" t="s">
        <v>100</v>
      </c>
      <c r="F45" s="11" t="s">
        <v>101</v>
      </c>
      <c r="G45" s="12">
        <v>1</v>
      </c>
      <c r="H45" s="12">
        <v>12.5</v>
      </c>
      <c r="I45" s="12">
        <v>12.5</v>
      </c>
      <c r="J45" s="12">
        <v>4584.8</v>
      </c>
      <c r="K45">
        <f t="shared" si="0"/>
        <v>3</v>
      </c>
      <c r="L45">
        <f t="shared" si="1"/>
        <v>1</v>
      </c>
      <c r="M45">
        <f t="shared" si="2"/>
        <v>1</v>
      </c>
    </row>
    <row r="46" spans="1:13" x14ac:dyDescent="0.25">
      <c r="A46" s="2" t="s">
        <v>18</v>
      </c>
      <c r="B46" s="11" t="s">
        <v>19</v>
      </c>
      <c r="C46" s="11" t="s">
        <v>4</v>
      </c>
      <c r="D46" s="11" t="s">
        <v>20</v>
      </c>
      <c r="E46" s="11" t="s">
        <v>102</v>
      </c>
      <c r="F46" s="11" t="s">
        <v>103</v>
      </c>
      <c r="G46" s="12">
        <v>1</v>
      </c>
      <c r="H46" s="12">
        <v>12.5</v>
      </c>
      <c r="I46" s="12">
        <v>12.5</v>
      </c>
      <c r="J46" s="12">
        <v>4597.3</v>
      </c>
      <c r="K46">
        <f t="shared" si="0"/>
        <v>2</v>
      </c>
      <c r="L46">
        <f t="shared" si="1"/>
        <v>1</v>
      </c>
      <c r="M46">
        <f t="shared" si="2"/>
        <v>1</v>
      </c>
    </row>
    <row r="47" spans="1:13" x14ac:dyDescent="0.25">
      <c r="A47" s="2" t="s">
        <v>18</v>
      </c>
      <c r="B47" s="11" t="s">
        <v>19</v>
      </c>
      <c r="C47" s="11" t="s">
        <v>4</v>
      </c>
      <c r="D47" s="11" t="s">
        <v>20</v>
      </c>
      <c r="E47" s="11" t="s">
        <v>104</v>
      </c>
      <c r="F47" s="11" t="s">
        <v>105</v>
      </c>
      <c r="G47" s="12">
        <v>2</v>
      </c>
      <c r="H47" s="12">
        <v>12</v>
      </c>
      <c r="I47" s="12">
        <v>24</v>
      </c>
      <c r="J47" s="12">
        <v>4621.3</v>
      </c>
      <c r="K47">
        <f t="shared" si="0"/>
        <v>3</v>
      </c>
      <c r="L47">
        <f t="shared" si="1"/>
        <v>1</v>
      </c>
      <c r="M47">
        <f t="shared" si="2"/>
        <v>1</v>
      </c>
    </row>
    <row r="48" spans="1:13" x14ac:dyDescent="0.25">
      <c r="A48" s="2" t="s">
        <v>18</v>
      </c>
      <c r="B48" s="11" t="s">
        <v>19</v>
      </c>
      <c r="C48" s="11" t="s">
        <v>4</v>
      </c>
      <c r="D48" s="11" t="s">
        <v>20</v>
      </c>
      <c r="E48" s="11" t="s">
        <v>106</v>
      </c>
      <c r="F48" s="11" t="s">
        <v>107</v>
      </c>
      <c r="G48" s="12">
        <v>1</v>
      </c>
      <c r="H48" s="12">
        <v>12</v>
      </c>
      <c r="I48" s="12">
        <v>12</v>
      </c>
      <c r="J48" s="12">
        <v>4633.3</v>
      </c>
      <c r="K48">
        <f t="shared" si="0"/>
        <v>2</v>
      </c>
      <c r="L48">
        <f t="shared" si="1"/>
        <v>1</v>
      </c>
      <c r="M48">
        <f t="shared" si="2"/>
        <v>1</v>
      </c>
    </row>
    <row r="49" spans="1:13" x14ac:dyDescent="0.25">
      <c r="A49" s="2" t="s">
        <v>18</v>
      </c>
      <c r="B49" s="11" t="s">
        <v>19</v>
      </c>
      <c r="C49" s="11" t="s">
        <v>4</v>
      </c>
      <c r="D49" s="11" t="s">
        <v>20</v>
      </c>
      <c r="E49" s="11" t="s">
        <v>108</v>
      </c>
      <c r="F49" s="11" t="s">
        <v>109</v>
      </c>
      <c r="G49" s="12">
        <v>1</v>
      </c>
      <c r="H49" s="12">
        <v>35.5</v>
      </c>
      <c r="I49" s="12">
        <v>35.5</v>
      </c>
      <c r="J49" s="12">
        <v>4668.8</v>
      </c>
      <c r="K49">
        <f t="shared" si="0"/>
        <v>2</v>
      </c>
      <c r="L49">
        <f t="shared" si="1"/>
        <v>1</v>
      </c>
      <c r="M49">
        <f t="shared" si="2"/>
        <v>1</v>
      </c>
    </row>
    <row r="50" spans="1:13" x14ac:dyDescent="0.25">
      <c r="A50" s="2" t="s">
        <v>18</v>
      </c>
      <c r="B50" s="11" t="s">
        <v>19</v>
      </c>
      <c r="C50" s="11" t="s">
        <v>4</v>
      </c>
      <c r="D50" s="11" t="s">
        <v>20</v>
      </c>
      <c r="E50" s="11" t="s">
        <v>110</v>
      </c>
      <c r="F50" s="11" t="s">
        <v>111</v>
      </c>
      <c r="G50" s="12">
        <v>2</v>
      </c>
      <c r="H50" s="12">
        <v>39</v>
      </c>
      <c r="I50" s="12">
        <v>78</v>
      </c>
      <c r="J50" s="12">
        <v>4746.8</v>
      </c>
      <c r="K50">
        <f t="shared" si="0"/>
        <v>2</v>
      </c>
      <c r="L50">
        <f t="shared" si="1"/>
        <v>1</v>
      </c>
      <c r="M50">
        <f t="shared" si="2"/>
        <v>1</v>
      </c>
    </row>
    <row r="51" spans="1:13" x14ac:dyDescent="0.25">
      <c r="A51" s="2" t="s">
        <v>18</v>
      </c>
      <c r="B51" s="11" t="s">
        <v>19</v>
      </c>
      <c r="C51" s="11" t="s">
        <v>4</v>
      </c>
      <c r="D51" s="11" t="s">
        <v>20</v>
      </c>
      <c r="E51" s="11" t="s">
        <v>112</v>
      </c>
      <c r="F51" s="11" t="s">
        <v>113</v>
      </c>
      <c r="G51" s="12">
        <v>1</v>
      </c>
      <c r="H51" s="12">
        <v>23.5</v>
      </c>
      <c r="I51" s="12">
        <v>23.5</v>
      </c>
      <c r="J51" s="12">
        <v>4770.3</v>
      </c>
      <c r="K51">
        <f t="shared" si="0"/>
        <v>1</v>
      </c>
      <c r="L51">
        <f t="shared" si="1"/>
        <v>1</v>
      </c>
      <c r="M51">
        <f t="shared" si="2"/>
        <v>1</v>
      </c>
    </row>
    <row r="52" spans="1:13" x14ac:dyDescent="0.25">
      <c r="A52" s="2" t="s">
        <v>18</v>
      </c>
      <c r="B52" s="11" t="s">
        <v>19</v>
      </c>
      <c r="C52" s="11" t="s">
        <v>4</v>
      </c>
      <c r="D52" s="11" t="s">
        <v>20</v>
      </c>
      <c r="E52" s="11" t="s">
        <v>114</v>
      </c>
      <c r="F52" s="11" t="s">
        <v>115</v>
      </c>
      <c r="G52" s="12">
        <v>1</v>
      </c>
      <c r="H52" s="12">
        <v>41</v>
      </c>
      <c r="I52" s="12">
        <v>41</v>
      </c>
      <c r="J52" s="12">
        <v>4811.3</v>
      </c>
      <c r="K52">
        <f t="shared" si="0"/>
        <v>2</v>
      </c>
      <c r="L52">
        <f t="shared" si="1"/>
        <v>1</v>
      </c>
      <c r="M52">
        <f t="shared" si="2"/>
        <v>1</v>
      </c>
    </row>
    <row r="53" spans="1:13" x14ac:dyDescent="0.25">
      <c r="A53" s="2" t="s">
        <v>18</v>
      </c>
      <c r="B53" s="11" t="s">
        <v>19</v>
      </c>
      <c r="C53" s="11" t="s">
        <v>4</v>
      </c>
      <c r="D53" s="11" t="s">
        <v>20</v>
      </c>
      <c r="E53" s="11" t="s">
        <v>116</v>
      </c>
      <c r="F53" s="11" t="s">
        <v>117</v>
      </c>
      <c r="G53" s="12">
        <v>1</v>
      </c>
      <c r="H53" s="12">
        <v>19.690000000000001</v>
      </c>
      <c r="I53" s="12">
        <v>19.690000000000001</v>
      </c>
      <c r="J53" s="12">
        <v>4830.99</v>
      </c>
      <c r="K53">
        <f t="shared" si="0"/>
        <v>2</v>
      </c>
      <c r="L53">
        <f t="shared" si="1"/>
        <v>1</v>
      </c>
      <c r="M53">
        <f t="shared" si="2"/>
        <v>1</v>
      </c>
    </row>
    <row r="54" spans="1:13" x14ac:dyDescent="0.25">
      <c r="A54" s="2" t="s">
        <v>18</v>
      </c>
      <c r="B54" s="11" t="s">
        <v>19</v>
      </c>
      <c r="C54" s="11" t="s">
        <v>4</v>
      </c>
      <c r="D54" s="11" t="s">
        <v>20</v>
      </c>
      <c r="E54" s="11" t="s">
        <v>118</v>
      </c>
      <c r="F54" s="11" t="s">
        <v>119</v>
      </c>
      <c r="G54" s="12">
        <v>1</v>
      </c>
      <c r="H54" s="12">
        <v>23.63</v>
      </c>
      <c r="I54" s="12">
        <v>23.63</v>
      </c>
      <c r="J54" s="12">
        <v>4854.62</v>
      </c>
      <c r="K54">
        <f t="shared" si="0"/>
        <v>2</v>
      </c>
      <c r="L54">
        <f t="shared" si="1"/>
        <v>1</v>
      </c>
      <c r="M54">
        <f t="shared" si="2"/>
        <v>1</v>
      </c>
    </row>
    <row r="55" spans="1:13" x14ac:dyDescent="0.25">
      <c r="A55" s="2" t="s">
        <v>18</v>
      </c>
      <c r="B55" s="11" t="s">
        <v>19</v>
      </c>
      <c r="C55" s="11" t="s">
        <v>4</v>
      </c>
      <c r="D55" s="11" t="s">
        <v>20</v>
      </c>
      <c r="E55" s="11" t="s">
        <v>120</v>
      </c>
      <c r="F55" s="11" t="s">
        <v>121</v>
      </c>
      <c r="G55" s="12">
        <v>1</v>
      </c>
      <c r="H55" s="12">
        <v>12.5</v>
      </c>
      <c r="I55" s="12">
        <v>12.5</v>
      </c>
      <c r="J55" s="12">
        <v>4867.12</v>
      </c>
      <c r="K55">
        <f t="shared" si="0"/>
        <v>3</v>
      </c>
      <c r="L55">
        <f t="shared" si="1"/>
        <v>1</v>
      </c>
      <c r="M55">
        <f t="shared" si="2"/>
        <v>1</v>
      </c>
    </row>
    <row r="56" spans="1:13" x14ac:dyDescent="0.25">
      <c r="A56" s="2" t="s">
        <v>18</v>
      </c>
      <c r="B56" s="11" t="s">
        <v>19</v>
      </c>
      <c r="C56" s="11" t="s">
        <v>4</v>
      </c>
      <c r="D56" s="11" t="s">
        <v>20</v>
      </c>
      <c r="E56" s="11" t="s">
        <v>122</v>
      </c>
      <c r="F56" s="11" t="s">
        <v>123</v>
      </c>
      <c r="G56" s="12">
        <v>1</v>
      </c>
      <c r="H56" s="12">
        <v>23.63</v>
      </c>
      <c r="I56" s="12">
        <v>23.63</v>
      </c>
      <c r="J56" s="12">
        <v>4890.75</v>
      </c>
      <c r="K56">
        <f t="shared" si="0"/>
        <v>5</v>
      </c>
      <c r="L56">
        <f t="shared" si="1"/>
        <v>1</v>
      </c>
      <c r="M56">
        <f t="shared" si="2"/>
        <v>1</v>
      </c>
    </row>
    <row r="57" spans="1:13" x14ac:dyDescent="0.25">
      <c r="A57" s="2" t="s">
        <v>18</v>
      </c>
      <c r="B57" s="11" t="s">
        <v>19</v>
      </c>
      <c r="C57" s="11" t="s">
        <v>4</v>
      </c>
      <c r="D57" s="11" t="s">
        <v>20</v>
      </c>
      <c r="E57" s="11" t="s">
        <v>124</v>
      </c>
      <c r="F57" s="11" t="s">
        <v>125</v>
      </c>
      <c r="G57" s="12">
        <v>1</v>
      </c>
      <c r="H57" s="12">
        <v>42.08</v>
      </c>
      <c r="I57" s="12">
        <v>42.08</v>
      </c>
      <c r="J57" s="12">
        <v>4932.83</v>
      </c>
      <c r="K57">
        <f t="shared" si="0"/>
        <v>2</v>
      </c>
      <c r="L57">
        <f t="shared" si="1"/>
        <v>1</v>
      </c>
      <c r="M57">
        <f t="shared" si="2"/>
        <v>1</v>
      </c>
    </row>
    <row r="58" spans="1:13" x14ac:dyDescent="0.25">
      <c r="A58" s="2" t="s">
        <v>18</v>
      </c>
      <c r="B58" s="11" t="s">
        <v>19</v>
      </c>
      <c r="C58" s="11" t="s">
        <v>4</v>
      </c>
      <c r="D58" s="11" t="s">
        <v>20</v>
      </c>
      <c r="E58" s="11" t="s">
        <v>126</v>
      </c>
      <c r="F58" s="11" t="s">
        <v>127</v>
      </c>
      <c r="G58" s="12">
        <v>1</v>
      </c>
      <c r="H58" s="12">
        <v>23.63</v>
      </c>
      <c r="I58" s="12">
        <v>23.63</v>
      </c>
      <c r="J58" s="12">
        <v>4956.46</v>
      </c>
      <c r="K58">
        <f t="shared" si="0"/>
        <v>5</v>
      </c>
      <c r="L58">
        <f t="shared" si="1"/>
        <v>1</v>
      </c>
      <c r="M58">
        <f t="shared" si="2"/>
        <v>1</v>
      </c>
    </row>
    <row r="59" spans="1:13" x14ac:dyDescent="0.25">
      <c r="A59" s="2" t="s">
        <v>18</v>
      </c>
      <c r="B59" s="11" t="s">
        <v>19</v>
      </c>
      <c r="C59" s="11" t="s">
        <v>4</v>
      </c>
      <c r="D59" s="11" t="s">
        <v>20</v>
      </c>
      <c r="E59" s="11" t="s">
        <v>128</v>
      </c>
      <c r="F59" s="11" t="s">
        <v>129</v>
      </c>
      <c r="G59" s="12">
        <v>1</v>
      </c>
      <c r="H59" s="12">
        <v>23.63</v>
      </c>
      <c r="I59" s="12">
        <v>23.63</v>
      </c>
      <c r="J59" s="12">
        <v>4980.09</v>
      </c>
      <c r="K59">
        <f t="shared" si="0"/>
        <v>4</v>
      </c>
      <c r="L59">
        <f t="shared" si="1"/>
        <v>1</v>
      </c>
      <c r="M59">
        <f t="shared" si="2"/>
        <v>1</v>
      </c>
    </row>
    <row r="60" spans="1:13" x14ac:dyDescent="0.25">
      <c r="A60" s="2" t="s">
        <v>18</v>
      </c>
      <c r="B60" s="11" t="s">
        <v>19</v>
      </c>
      <c r="C60" s="11" t="s">
        <v>4</v>
      </c>
      <c r="D60" s="11" t="s">
        <v>20</v>
      </c>
      <c r="E60" s="11" t="s">
        <v>130</v>
      </c>
      <c r="F60" s="11" t="s">
        <v>131</v>
      </c>
      <c r="G60" s="12">
        <v>1</v>
      </c>
      <c r="H60" s="12">
        <v>17.5</v>
      </c>
      <c r="I60" s="12">
        <v>17.5</v>
      </c>
      <c r="J60" s="12">
        <v>4997.59</v>
      </c>
      <c r="K60">
        <f t="shared" si="0"/>
        <v>4</v>
      </c>
      <c r="L60">
        <f t="shared" si="1"/>
        <v>1</v>
      </c>
      <c r="M60">
        <f t="shared" si="2"/>
        <v>1</v>
      </c>
    </row>
    <row r="61" spans="1:13" x14ac:dyDescent="0.25">
      <c r="A61" s="2" t="s">
        <v>18</v>
      </c>
      <c r="B61" s="11" t="s">
        <v>19</v>
      </c>
      <c r="C61" s="11" t="s">
        <v>4</v>
      </c>
      <c r="D61" s="11" t="s">
        <v>20</v>
      </c>
      <c r="E61" s="11" t="s">
        <v>132</v>
      </c>
      <c r="F61" s="11" t="s">
        <v>133</v>
      </c>
      <c r="G61" s="12">
        <v>1</v>
      </c>
      <c r="H61" s="12">
        <v>34.4</v>
      </c>
      <c r="I61" s="12">
        <v>34.4</v>
      </c>
      <c r="J61" s="12">
        <v>5031.99</v>
      </c>
      <c r="K61">
        <f t="shared" si="0"/>
        <v>4</v>
      </c>
      <c r="L61">
        <f t="shared" si="1"/>
        <v>1</v>
      </c>
      <c r="M61">
        <f t="shared" si="2"/>
        <v>1</v>
      </c>
    </row>
    <row r="62" spans="1:13" x14ac:dyDescent="0.25">
      <c r="A62" s="2" t="s">
        <v>18</v>
      </c>
      <c r="B62" s="11" t="s">
        <v>19</v>
      </c>
      <c r="C62" s="11" t="s">
        <v>4</v>
      </c>
      <c r="D62" s="11" t="s">
        <v>20</v>
      </c>
      <c r="E62" s="11" t="s">
        <v>134</v>
      </c>
      <c r="F62" s="11" t="s">
        <v>135</v>
      </c>
      <c r="G62" s="12">
        <v>1</v>
      </c>
      <c r="H62" s="12">
        <v>19.7</v>
      </c>
      <c r="I62" s="12">
        <v>19.7</v>
      </c>
      <c r="J62" s="12">
        <v>5051.6899999999996</v>
      </c>
      <c r="K62">
        <f t="shared" si="0"/>
        <v>1</v>
      </c>
      <c r="L62">
        <f t="shared" si="1"/>
        <v>1</v>
      </c>
      <c r="M62">
        <f t="shared" si="2"/>
        <v>1</v>
      </c>
    </row>
    <row r="63" spans="1:13" x14ac:dyDescent="0.25">
      <c r="A63" s="2" t="s">
        <v>18</v>
      </c>
      <c r="B63" s="11" t="s">
        <v>19</v>
      </c>
      <c r="C63" s="11" t="s">
        <v>4</v>
      </c>
      <c r="D63" s="11" t="s">
        <v>20</v>
      </c>
      <c r="E63" s="11" t="s">
        <v>136</v>
      </c>
      <c r="F63" s="11" t="s">
        <v>137</v>
      </c>
      <c r="G63" s="12">
        <v>2</v>
      </c>
      <c r="H63" s="12">
        <v>36.5</v>
      </c>
      <c r="I63" s="12">
        <v>73</v>
      </c>
      <c r="J63" s="12">
        <v>5124.6899999999996</v>
      </c>
      <c r="K63">
        <f t="shared" si="0"/>
        <v>1</v>
      </c>
      <c r="L63">
        <f t="shared" si="1"/>
        <v>1</v>
      </c>
      <c r="M63">
        <f t="shared" si="2"/>
        <v>1</v>
      </c>
    </row>
    <row r="64" spans="1:13" x14ac:dyDescent="0.25">
      <c r="A64" s="2" t="s">
        <v>18</v>
      </c>
      <c r="B64" s="11" t="s">
        <v>19</v>
      </c>
      <c r="C64" s="11" t="s">
        <v>4</v>
      </c>
      <c r="D64" s="11" t="s">
        <v>20</v>
      </c>
      <c r="E64" s="11" t="s">
        <v>138</v>
      </c>
      <c r="F64" s="11" t="s">
        <v>139</v>
      </c>
      <c r="G64" s="12">
        <v>2</v>
      </c>
      <c r="H64" s="12">
        <v>37.5</v>
      </c>
      <c r="I64" s="12">
        <v>75</v>
      </c>
      <c r="J64" s="12">
        <v>5199.6899999999996</v>
      </c>
      <c r="K64">
        <f t="shared" si="0"/>
        <v>1</v>
      </c>
      <c r="L64">
        <f t="shared" si="1"/>
        <v>1</v>
      </c>
      <c r="M64">
        <f t="shared" si="2"/>
        <v>1</v>
      </c>
    </row>
    <row r="65" spans="1:13" x14ac:dyDescent="0.25">
      <c r="A65" s="2" t="s">
        <v>18</v>
      </c>
      <c r="B65" s="11" t="s">
        <v>19</v>
      </c>
      <c r="C65" s="11" t="s">
        <v>4</v>
      </c>
      <c r="D65" s="11" t="s">
        <v>20</v>
      </c>
      <c r="E65" s="11" t="s">
        <v>140</v>
      </c>
      <c r="F65" s="11" t="s">
        <v>141</v>
      </c>
      <c r="G65" s="12">
        <v>2</v>
      </c>
      <c r="H65" s="12">
        <v>22</v>
      </c>
      <c r="I65" s="12">
        <v>44</v>
      </c>
      <c r="J65" s="12">
        <v>5243.69</v>
      </c>
      <c r="K65">
        <f t="shared" si="0"/>
        <v>1</v>
      </c>
      <c r="L65">
        <f t="shared" si="1"/>
        <v>1</v>
      </c>
      <c r="M65">
        <f t="shared" si="2"/>
        <v>1</v>
      </c>
    </row>
    <row r="66" spans="1:13" x14ac:dyDescent="0.25">
      <c r="A66" s="2" t="s">
        <v>18</v>
      </c>
      <c r="B66" s="11" t="s">
        <v>19</v>
      </c>
      <c r="C66" s="11" t="s">
        <v>4</v>
      </c>
      <c r="D66" s="11" t="s">
        <v>20</v>
      </c>
      <c r="E66" s="11" t="s">
        <v>142</v>
      </c>
      <c r="F66" s="11" t="s">
        <v>143</v>
      </c>
      <c r="G66" s="12">
        <v>4</v>
      </c>
      <c r="H66" s="12">
        <v>29</v>
      </c>
      <c r="I66" s="12">
        <v>116</v>
      </c>
      <c r="J66" s="12">
        <v>5359.69</v>
      </c>
      <c r="K66">
        <f t="shared" si="0"/>
        <v>1</v>
      </c>
      <c r="L66">
        <f t="shared" si="1"/>
        <v>1</v>
      </c>
      <c r="M66">
        <f t="shared" si="2"/>
        <v>1</v>
      </c>
    </row>
    <row r="67" spans="1:13" x14ac:dyDescent="0.25">
      <c r="A67" s="2" t="s">
        <v>18</v>
      </c>
      <c r="B67" s="11" t="s">
        <v>19</v>
      </c>
      <c r="C67" s="11" t="s">
        <v>4</v>
      </c>
      <c r="D67" s="11" t="s">
        <v>20</v>
      </c>
      <c r="E67" s="11" t="s">
        <v>144</v>
      </c>
      <c r="F67" s="11" t="s">
        <v>145</v>
      </c>
      <c r="G67" s="12">
        <v>1</v>
      </c>
      <c r="H67" s="12">
        <v>36.75</v>
      </c>
      <c r="I67" s="12">
        <v>36.75</v>
      </c>
      <c r="J67" s="12">
        <v>5396.44</v>
      </c>
      <c r="K67">
        <f t="shared" ref="K67:K130" si="3">COUNTIF($E$2:$E$1466,E67)</f>
        <v>1</v>
      </c>
      <c r="L67">
        <f t="shared" ref="L67:L130" si="4">IF(G67&gt;0,1,0)</f>
        <v>1</v>
      </c>
      <c r="M67">
        <f t="shared" ref="M67:M130" si="5">IF(H67&gt;0,1,0)</f>
        <v>1</v>
      </c>
    </row>
    <row r="68" spans="1:13" x14ac:dyDescent="0.25">
      <c r="A68" s="16" t="s">
        <v>18</v>
      </c>
      <c r="B68" s="17" t="s">
        <v>19</v>
      </c>
      <c r="C68" s="17" t="s">
        <v>4</v>
      </c>
      <c r="D68" s="17" t="s">
        <v>20</v>
      </c>
      <c r="E68" s="17" t="s">
        <v>40</v>
      </c>
      <c r="F68" s="17" t="s">
        <v>41</v>
      </c>
      <c r="G68" s="18">
        <v>-1</v>
      </c>
      <c r="H68" s="18">
        <v>34</v>
      </c>
      <c r="I68" s="18">
        <v>-34</v>
      </c>
      <c r="J68" s="18">
        <v>5362.44</v>
      </c>
      <c r="K68" s="19">
        <f t="shared" si="3"/>
        <v>4</v>
      </c>
      <c r="L68" s="19">
        <f t="shared" si="4"/>
        <v>0</v>
      </c>
      <c r="M68">
        <f t="shared" si="5"/>
        <v>1</v>
      </c>
    </row>
    <row r="69" spans="1:13" x14ac:dyDescent="0.25">
      <c r="A69" s="2" t="s">
        <v>18</v>
      </c>
      <c r="B69" s="11" t="s">
        <v>19</v>
      </c>
      <c r="C69" s="11" t="s">
        <v>4</v>
      </c>
      <c r="D69" s="11" t="s">
        <v>20</v>
      </c>
      <c r="E69" s="11" t="s">
        <v>146</v>
      </c>
      <c r="F69" s="11" t="s">
        <v>147</v>
      </c>
      <c r="G69" s="12">
        <v>1</v>
      </c>
      <c r="H69" s="12">
        <v>106</v>
      </c>
      <c r="I69" s="12">
        <v>106</v>
      </c>
      <c r="J69" s="12">
        <v>5468.44</v>
      </c>
      <c r="K69">
        <f t="shared" si="3"/>
        <v>2</v>
      </c>
      <c r="L69">
        <f t="shared" si="4"/>
        <v>1</v>
      </c>
      <c r="M69">
        <f t="shared" si="5"/>
        <v>1</v>
      </c>
    </row>
    <row r="70" spans="1:13" x14ac:dyDescent="0.25">
      <c r="A70" s="2" t="s">
        <v>18</v>
      </c>
      <c r="B70" s="11" t="s">
        <v>19</v>
      </c>
      <c r="C70" s="11" t="s">
        <v>4</v>
      </c>
      <c r="D70" s="11" t="s">
        <v>20</v>
      </c>
      <c r="E70" s="11" t="s">
        <v>40</v>
      </c>
      <c r="F70" s="11" t="s">
        <v>41</v>
      </c>
      <c r="G70" s="12">
        <v>1</v>
      </c>
      <c r="H70" s="12">
        <v>4</v>
      </c>
      <c r="I70" s="12">
        <v>4</v>
      </c>
      <c r="J70" s="12">
        <v>5472.44</v>
      </c>
      <c r="K70">
        <f t="shared" si="3"/>
        <v>4</v>
      </c>
      <c r="L70">
        <f t="shared" si="4"/>
        <v>1</v>
      </c>
      <c r="M70">
        <f t="shared" si="5"/>
        <v>1</v>
      </c>
    </row>
    <row r="71" spans="1:13" x14ac:dyDescent="0.25">
      <c r="A71" s="16" t="s">
        <v>18</v>
      </c>
      <c r="B71" s="17" t="s">
        <v>19</v>
      </c>
      <c r="C71" s="17" t="s">
        <v>4</v>
      </c>
      <c r="D71" s="17" t="s">
        <v>20</v>
      </c>
      <c r="E71" s="17" t="s">
        <v>40</v>
      </c>
      <c r="F71" s="17" t="s">
        <v>41</v>
      </c>
      <c r="G71" s="18">
        <v>-1</v>
      </c>
      <c r="H71" s="18">
        <v>4</v>
      </c>
      <c r="I71" s="18">
        <v>-4</v>
      </c>
      <c r="J71" s="18">
        <v>5468.44</v>
      </c>
      <c r="K71" s="19">
        <f t="shared" si="3"/>
        <v>4</v>
      </c>
      <c r="L71" s="19">
        <f t="shared" si="4"/>
        <v>0</v>
      </c>
      <c r="M71">
        <f t="shared" si="5"/>
        <v>1</v>
      </c>
    </row>
    <row r="72" spans="1:13" x14ac:dyDescent="0.25">
      <c r="A72" s="2" t="s">
        <v>18</v>
      </c>
      <c r="B72" s="11" t="s">
        <v>148</v>
      </c>
      <c r="C72" s="11" t="s">
        <v>4</v>
      </c>
      <c r="D72" s="11" t="s">
        <v>149</v>
      </c>
      <c r="E72" s="11" t="s">
        <v>21</v>
      </c>
      <c r="F72" s="11" t="s">
        <v>22</v>
      </c>
      <c r="G72" s="12">
        <v>4</v>
      </c>
      <c r="H72" s="12">
        <v>59.9</v>
      </c>
      <c r="I72" s="12">
        <v>239.6</v>
      </c>
      <c r="J72" s="12">
        <v>5708.04</v>
      </c>
      <c r="K72">
        <f t="shared" si="3"/>
        <v>5</v>
      </c>
      <c r="L72">
        <f t="shared" si="4"/>
        <v>1</v>
      </c>
      <c r="M72">
        <f t="shared" si="5"/>
        <v>1</v>
      </c>
    </row>
    <row r="73" spans="1:13" x14ac:dyDescent="0.25">
      <c r="A73" s="2" t="s">
        <v>18</v>
      </c>
      <c r="B73" s="11" t="s">
        <v>148</v>
      </c>
      <c r="C73" s="11" t="s">
        <v>4</v>
      </c>
      <c r="D73" s="11" t="s">
        <v>149</v>
      </c>
      <c r="E73" s="11" t="s">
        <v>150</v>
      </c>
      <c r="F73" s="11" t="s">
        <v>151</v>
      </c>
      <c r="G73" s="12">
        <v>4</v>
      </c>
      <c r="H73" s="12">
        <v>62.9</v>
      </c>
      <c r="I73" s="12">
        <v>251.6</v>
      </c>
      <c r="J73" s="12">
        <v>5959.64</v>
      </c>
      <c r="K73">
        <f t="shared" si="3"/>
        <v>1</v>
      </c>
      <c r="L73">
        <f t="shared" si="4"/>
        <v>1</v>
      </c>
      <c r="M73">
        <f t="shared" si="5"/>
        <v>1</v>
      </c>
    </row>
    <row r="74" spans="1:13" x14ac:dyDescent="0.25">
      <c r="A74" s="2" t="s">
        <v>18</v>
      </c>
      <c r="B74" s="11" t="s">
        <v>148</v>
      </c>
      <c r="C74" s="11" t="s">
        <v>4</v>
      </c>
      <c r="D74" s="11" t="s">
        <v>149</v>
      </c>
      <c r="E74" s="11" t="s">
        <v>23</v>
      </c>
      <c r="F74" s="11" t="s">
        <v>24</v>
      </c>
      <c r="G74" s="12">
        <v>3</v>
      </c>
      <c r="H74" s="12">
        <v>52.9</v>
      </c>
      <c r="I74" s="12">
        <v>158.69999999999999</v>
      </c>
      <c r="J74" s="12">
        <v>6118.34</v>
      </c>
      <c r="K74">
        <f t="shared" si="3"/>
        <v>2</v>
      </c>
      <c r="L74">
        <f t="shared" si="4"/>
        <v>1</v>
      </c>
      <c r="M74">
        <f t="shared" si="5"/>
        <v>1</v>
      </c>
    </row>
    <row r="75" spans="1:13" x14ac:dyDescent="0.25">
      <c r="A75" s="2" t="s">
        <v>18</v>
      </c>
      <c r="B75" s="11" t="s">
        <v>148</v>
      </c>
      <c r="C75" s="11" t="s">
        <v>4</v>
      </c>
      <c r="D75" s="11" t="s">
        <v>149</v>
      </c>
      <c r="E75" s="11" t="s">
        <v>29</v>
      </c>
      <c r="F75" s="11" t="s">
        <v>30</v>
      </c>
      <c r="G75" s="12">
        <v>6</v>
      </c>
      <c r="H75" s="12">
        <v>20.9</v>
      </c>
      <c r="I75" s="12">
        <v>125.4</v>
      </c>
      <c r="J75" s="12">
        <v>6243.74</v>
      </c>
      <c r="K75">
        <f t="shared" si="3"/>
        <v>2</v>
      </c>
      <c r="L75">
        <f t="shared" si="4"/>
        <v>1</v>
      </c>
      <c r="M75">
        <f t="shared" si="5"/>
        <v>1</v>
      </c>
    </row>
    <row r="76" spans="1:13" x14ac:dyDescent="0.25">
      <c r="A76" s="2" t="s">
        <v>18</v>
      </c>
      <c r="B76" s="11" t="s">
        <v>148</v>
      </c>
      <c r="C76" s="11" t="s">
        <v>4</v>
      </c>
      <c r="D76" s="11" t="s">
        <v>149</v>
      </c>
      <c r="E76" s="11" t="s">
        <v>152</v>
      </c>
      <c r="F76" s="11" t="s">
        <v>153</v>
      </c>
      <c r="G76" s="12">
        <v>6</v>
      </c>
      <c r="H76" s="12">
        <v>51</v>
      </c>
      <c r="I76" s="12">
        <v>306</v>
      </c>
      <c r="J76" s="12">
        <v>6549.74</v>
      </c>
      <c r="K76">
        <f t="shared" si="3"/>
        <v>1</v>
      </c>
      <c r="L76">
        <f t="shared" si="4"/>
        <v>1</v>
      </c>
      <c r="M76">
        <f t="shared" si="5"/>
        <v>1</v>
      </c>
    </row>
    <row r="77" spans="1:13" x14ac:dyDescent="0.25">
      <c r="A77" s="2" t="s">
        <v>18</v>
      </c>
      <c r="B77" s="11" t="s">
        <v>148</v>
      </c>
      <c r="C77" s="11" t="s">
        <v>4</v>
      </c>
      <c r="D77" s="11" t="s">
        <v>149</v>
      </c>
      <c r="E77" s="11" t="s">
        <v>146</v>
      </c>
      <c r="F77" s="11" t="s">
        <v>147</v>
      </c>
      <c r="G77" s="12">
        <v>4</v>
      </c>
      <c r="H77" s="12">
        <v>106</v>
      </c>
      <c r="I77" s="12">
        <v>424</v>
      </c>
      <c r="J77" s="12">
        <v>6973.74</v>
      </c>
      <c r="K77">
        <f t="shared" si="3"/>
        <v>2</v>
      </c>
      <c r="L77">
        <f t="shared" si="4"/>
        <v>1</v>
      </c>
      <c r="M77">
        <f t="shared" si="5"/>
        <v>1</v>
      </c>
    </row>
    <row r="78" spans="1:13" x14ac:dyDescent="0.25">
      <c r="A78" s="2" t="s">
        <v>18</v>
      </c>
      <c r="B78" s="11" t="s">
        <v>148</v>
      </c>
      <c r="C78" s="11" t="s">
        <v>4</v>
      </c>
      <c r="D78" s="11" t="s">
        <v>149</v>
      </c>
      <c r="E78" s="11" t="s">
        <v>44</v>
      </c>
      <c r="F78" s="11" t="s">
        <v>45</v>
      </c>
      <c r="G78" s="12">
        <v>10</v>
      </c>
      <c r="H78" s="12">
        <v>43.5</v>
      </c>
      <c r="I78" s="12">
        <v>435</v>
      </c>
      <c r="J78" s="12">
        <v>7408.74</v>
      </c>
      <c r="K78">
        <f t="shared" si="3"/>
        <v>5</v>
      </c>
      <c r="L78">
        <f t="shared" si="4"/>
        <v>1</v>
      </c>
      <c r="M78">
        <f t="shared" si="5"/>
        <v>1</v>
      </c>
    </row>
    <row r="79" spans="1:13" x14ac:dyDescent="0.25">
      <c r="A79" s="2" t="s">
        <v>18</v>
      </c>
      <c r="B79" s="11" t="s">
        <v>148</v>
      </c>
      <c r="C79" s="11" t="s">
        <v>4</v>
      </c>
      <c r="D79" s="11" t="s">
        <v>149</v>
      </c>
      <c r="E79" s="11" t="s">
        <v>46</v>
      </c>
      <c r="F79" s="11" t="s">
        <v>47</v>
      </c>
      <c r="G79" s="12">
        <v>10</v>
      </c>
      <c r="H79" s="12">
        <v>43.5</v>
      </c>
      <c r="I79" s="12">
        <v>435</v>
      </c>
      <c r="J79" s="12">
        <v>7843.74</v>
      </c>
      <c r="K79">
        <f t="shared" si="3"/>
        <v>7</v>
      </c>
      <c r="L79">
        <f t="shared" si="4"/>
        <v>1</v>
      </c>
      <c r="M79">
        <f t="shared" si="5"/>
        <v>1</v>
      </c>
    </row>
    <row r="80" spans="1:13" x14ac:dyDescent="0.25">
      <c r="A80" s="2" t="s">
        <v>18</v>
      </c>
      <c r="B80" s="11" t="s">
        <v>148</v>
      </c>
      <c r="C80" s="11" t="s">
        <v>4</v>
      </c>
      <c r="D80" s="11" t="s">
        <v>149</v>
      </c>
      <c r="E80" s="11" t="s">
        <v>48</v>
      </c>
      <c r="F80" s="11" t="s">
        <v>49</v>
      </c>
      <c r="G80" s="12">
        <v>18</v>
      </c>
      <c r="H80" s="12">
        <v>43.5</v>
      </c>
      <c r="I80" s="12">
        <v>783</v>
      </c>
      <c r="J80" s="12">
        <v>8626.74</v>
      </c>
      <c r="K80">
        <f t="shared" si="3"/>
        <v>5</v>
      </c>
      <c r="L80">
        <f t="shared" si="4"/>
        <v>1</v>
      </c>
      <c r="M80">
        <f t="shared" si="5"/>
        <v>1</v>
      </c>
    </row>
    <row r="81" spans="1:13" x14ac:dyDescent="0.25">
      <c r="A81" s="2" t="s">
        <v>18</v>
      </c>
      <c r="B81" s="11" t="s">
        <v>148</v>
      </c>
      <c r="C81" s="11" t="s">
        <v>4</v>
      </c>
      <c r="D81" s="11" t="s">
        <v>149</v>
      </c>
      <c r="E81" s="11" t="s">
        <v>50</v>
      </c>
      <c r="F81" s="11" t="s">
        <v>51</v>
      </c>
      <c r="G81" s="12">
        <v>12</v>
      </c>
      <c r="H81" s="12">
        <v>43.5</v>
      </c>
      <c r="I81" s="12">
        <v>522</v>
      </c>
      <c r="J81" s="12">
        <v>9148.74</v>
      </c>
      <c r="K81">
        <f t="shared" si="3"/>
        <v>7</v>
      </c>
      <c r="L81">
        <f t="shared" si="4"/>
        <v>1</v>
      </c>
      <c r="M81">
        <f t="shared" si="5"/>
        <v>1</v>
      </c>
    </row>
    <row r="82" spans="1:13" x14ac:dyDescent="0.25">
      <c r="A82" s="2" t="s">
        <v>18</v>
      </c>
      <c r="B82" s="11" t="s">
        <v>148</v>
      </c>
      <c r="C82" s="11" t="s">
        <v>4</v>
      </c>
      <c r="D82" s="11" t="s">
        <v>149</v>
      </c>
      <c r="E82" s="11" t="s">
        <v>78</v>
      </c>
      <c r="F82" s="11" t="s">
        <v>79</v>
      </c>
      <c r="G82" s="12">
        <v>10</v>
      </c>
      <c r="H82" s="12">
        <v>66.900000000000006</v>
      </c>
      <c r="I82" s="12">
        <v>669</v>
      </c>
      <c r="J82" s="12">
        <v>9817.74</v>
      </c>
      <c r="K82">
        <f t="shared" si="3"/>
        <v>5</v>
      </c>
      <c r="L82">
        <f t="shared" si="4"/>
        <v>1</v>
      </c>
      <c r="M82">
        <f t="shared" si="5"/>
        <v>1</v>
      </c>
    </row>
    <row r="83" spans="1:13" x14ac:dyDescent="0.25">
      <c r="A83" s="2" t="s">
        <v>18</v>
      </c>
      <c r="B83" s="11" t="s">
        <v>148</v>
      </c>
      <c r="C83" s="11" t="s">
        <v>4</v>
      </c>
      <c r="D83" s="11" t="s">
        <v>149</v>
      </c>
      <c r="E83" s="11" t="s">
        <v>60</v>
      </c>
      <c r="F83" s="11" t="s">
        <v>61</v>
      </c>
      <c r="G83" s="12">
        <v>10</v>
      </c>
      <c r="H83" s="12">
        <v>61.6</v>
      </c>
      <c r="I83" s="12">
        <v>616</v>
      </c>
      <c r="J83" s="12">
        <v>10433.74</v>
      </c>
      <c r="K83">
        <f t="shared" si="3"/>
        <v>2</v>
      </c>
      <c r="L83">
        <f t="shared" si="4"/>
        <v>1</v>
      </c>
      <c r="M83">
        <f t="shared" si="5"/>
        <v>1</v>
      </c>
    </row>
    <row r="84" spans="1:13" x14ac:dyDescent="0.25">
      <c r="A84" s="2" t="s">
        <v>18</v>
      </c>
      <c r="B84" s="11" t="s">
        <v>148</v>
      </c>
      <c r="C84" s="11" t="s">
        <v>4</v>
      </c>
      <c r="D84" s="11" t="s">
        <v>149</v>
      </c>
      <c r="E84" s="11" t="s">
        <v>90</v>
      </c>
      <c r="F84" s="11" t="s">
        <v>91</v>
      </c>
      <c r="G84" s="12">
        <v>10</v>
      </c>
      <c r="H84" s="12">
        <v>17.600000000000001</v>
      </c>
      <c r="I84" s="12">
        <v>176</v>
      </c>
      <c r="J84" s="12">
        <v>10609.74</v>
      </c>
      <c r="K84">
        <f t="shared" si="3"/>
        <v>5</v>
      </c>
      <c r="L84">
        <f t="shared" si="4"/>
        <v>1</v>
      </c>
      <c r="M84">
        <f t="shared" si="5"/>
        <v>1</v>
      </c>
    </row>
    <row r="85" spans="1:13" x14ac:dyDescent="0.25">
      <c r="A85" s="2" t="s">
        <v>18</v>
      </c>
      <c r="B85" s="11" t="s">
        <v>148</v>
      </c>
      <c r="C85" s="11" t="s">
        <v>4</v>
      </c>
      <c r="D85" s="11" t="s">
        <v>149</v>
      </c>
      <c r="E85" s="11" t="s">
        <v>86</v>
      </c>
      <c r="F85" s="11" t="s">
        <v>87</v>
      </c>
      <c r="G85" s="12">
        <v>10</v>
      </c>
      <c r="H85" s="12">
        <v>17.600000000000001</v>
      </c>
      <c r="I85" s="12">
        <v>176</v>
      </c>
      <c r="J85" s="12">
        <v>10785.74</v>
      </c>
      <c r="K85">
        <f t="shared" si="3"/>
        <v>7</v>
      </c>
      <c r="L85">
        <f t="shared" si="4"/>
        <v>1</v>
      </c>
      <c r="M85">
        <f t="shared" si="5"/>
        <v>1</v>
      </c>
    </row>
    <row r="86" spans="1:13" x14ac:dyDescent="0.25">
      <c r="A86" s="2" t="s">
        <v>18</v>
      </c>
      <c r="B86" s="11" t="s">
        <v>148</v>
      </c>
      <c r="C86" s="11" t="s">
        <v>4</v>
      </c>
      <c r="D86" s="11" t="s">
        <v>149</v>
      </c>
      <c r="E86" s="11" t="s">
        <v>88</v>
      </c>
      <c r="F86" s="11" t="s">
        <v>89</v>
      </c>
      <c r="G86" s="12">
        <v>10</v>
      </c>
      <c r="H86" s="12">
        <v>17.600000000000001</v>
      </c>
      <c r="I86" s="12">
        <v>176</v>
      </c>
      <c r="J86" s="12">
        <v>10961.74</v>
      </c>
      <c r="K86">
        <f t="shared" si="3"/>
        <v>5</v>
      </c>
      <c r="L86">
        <f t="shared" si="4"/>
        <v>1</v>
      </c>
      <c r="M86">
        <f t="shared" si="5"/>
        <v>1</v>
      </c>
    </row>
    <row r="87" spans="1:13" x14ac:dyDescent="0.25">
      <c r="A87" s="2" t="s">
        <v>18</v>
      </c>
      <c r="B87" s="11" t="s">
        <v>148</v>
      </c>
      <c r="C87" s="11" t="s">
        <v>4</v>
      </c>
      <c r="D87" s="11" t="s">
        <v>149</v>
      </c>
      <c r="E87" s="11" t="s">
        <v>96</v>
      </c>
      <c r="F87" s="11" t="s">
        <v>97</v>
      </c>
      <c r="G87" s="12">
        <v>10</v>
      </c>
      <c r="H87" s="12">
        <v>29.9</v>
      </c>
      <c r="I87" s="12">
        <v>299</v>
      </c>
      <c r="J87" s="12">
        <v>11260.74</v>
      </c>
      <c r="K87">
        <f t="shared" si="3"/>
        <v>4</v>
      </c>
      <c r="L87">
        <f t="shared" si="4"/>
        <v>1</v>
      </c>
      <c r="M87">
        <f t="shared" si="5"/>
        <v>1</v>
      </c>
    </row>
    <row r="88" spans="1:13" x14ac:dyDescent="0.25">
      <c r="A88" s="2" t="s">
        <v>18</v>
      </c>
      <c r="B88" s="11" t="s">
        <v>148</v>
      </c>
      <c r="C88" s="11" t="s">
        <v>4</v>
      </c>
      <c r="D88" s="11" t="s">
        <v>149</v>
      </c>
      <c r="E88" s="11" t="s">
        <v>154</v>
      </c>
      <c r="F88" s="11" t="s">
        <v>155</v>
      </c>
      <c r="G88" s="12">
        <v>1</v>
      </c>
      <c r="H88" s="12">
        <v>35.9</v>
      </c>
      <c r="I88" s="12">
        <v>35.9</v>
      </c>
      <c r="J88" s="12">
        <v>11296.64</v>
      </c>
      <c r="K88">
        <f t="shared" si="3"/>
        <v>1</v>
      </c>
      <c r="L88">
        <f t="shared" si="4"/>
        <v>1</v>
      </c>
      <c r="M88">
        <f t="shared" si="5"/>
        <v>1</v>
      </c>
    </row>
    <row r="89" spans="1:13" x14ac:dyDescent="0.25">
      <c r="A89" s="2" t="s">
        <v>18</v>
      </c>
      <c r="B89" s="11" t="s">
        <v>148</v>
      </c>
      <c r="C89" s="11" t="s">
        <v>4</v>
      </c>
      <c r="D89" s="11" t="s">
        <v>149</v>
      </c>
      <c r="E89" s="11" t="s">
        <v>156</v>
      </c>
      <c r="F89" s="11" t="s">
        <v>157</v>
      </c>
      <c r="G89" s="12">
        <v>20</v>
      </c>
      <c r="H89" s="12">
        <v>27.9</v>
      </c>
      <c r="I89" s="12">
        <v>558</v>
      </c>
      <c r="J89" s="12">
        <v>11854.64</v>
      </c>
      <c r="K89">
        <f t="shared" si="3"/>
        <v>1</v>
      </c>
      <c r="L89">
        <f t="shared" si="4"/>
        <v>1</v>
      </c>
      <c r="M89">
        <f t="shared" si="5"/>
        <v>1</v>
      </c>
    </row>
    <row r="90" spans="1:13" x14ac:dyDescent="0.25">
      <c r="A90" s="2" t="s">
        <v>18</v>
      </c>
      <c r="B90" s="11" t="s">
        <v>158</v>
      </c>
      <c r="C90" s="11" t="s">
        <v>4</v>
      </c>
      <c r="D90" s="11" t="s">
        <v>159</v>
      </c>
      <c r="E90" s="11" t="s">
        <v>25</v>
      </c>
      <c r="F90" s="11" t="s">
        <v>26</v>
      </c>
      <c r="G90" s="12">
        <v>1</v>
      </c>
      <c r="H90" s="12">
        <v>45</v>
      </c>
      <c r="I90" s="12">
        <v>45</v>
      </c>
      <c r="J90" s="12">
        <v>11899.64</v>
      </c>
      <c r="K90">
        <f t="shared" si="3"/>
        <v>2</v>
      </c>
      <c r="L90">
        <f t="shared" si="4"/>
        <v>1</v>
      </c>
      <c r="M90">
        <f t="shared" si="5"/>
        <v>1</v>
      </c>
    </row>
    <row r="91" spans="1:13" x14ac:dyDescent="0.25">
      <c r="A91" s="2" t="s">
        <v>18</v>
      </c>
      <c r="B91" s="11" t="s">
        <v>158</v>
      </c>
      <c r="C91" s="11" t="s">
        <v>4</v>
      </c>
      <c r="D91" s="11" t="s">
        <v>159</v>
      </c>
      <c r="E91" s="11" t="s">
        <v>27</v>
      </c>
      <c r="F91" s="11" t="s">
        <v>28</v>
      </c>
      <c r="G91" s="12">
        <v>2</v>
      </c>
      <c r="H91" s="12">
        <v>72.5</v>
      </c>
      <c r="I91" s="12">
        <v>145</v>
      </c>
      <c r="J91" s="12">
        <v>12044.64</v>
      </c>
      <c r="K91">
        <f t="shared" si="3"/>
        <v>3</v>
      </c>
      <c r="L91">
        <f t="shared" si="4"/>
        <v>1</v>
      </c>
      <c r="M91">
        <f t="shared" si="5"/>
        <v>1</v>
      </c>
    </row>
    <row r="92" spans="1:13" x14ac:dyDescent="0.25">
      <c r="A92" s="2" t="s">
        <v>18</v>
      </c>
      <c r="B92" s="11" t="s">
        <v>158</v>
      </c>
      <c r="C92" s="11" t="s">
        <v>4</v>
      </c>
      <c r="D92" s="11" t="s">
        <v>159</v>
      </c>
      <c r="E92" s="11" t="s">
        <v>160</v>
      </c>
      <c r="F92" s="11" t="s">
        <v>161</v>
      </c>
      <c r="G92" s="12">
        <v>2</v>
      </c>
      <c r="H92" s="12">
        <v>72.5</v>
      </c>
      <c r="I92" s="12">
        <v>145</v>
      </c>
      <c r="J92" s="12">
        <v>12189.64</v>
      </c>
      <c r="K92">
        <f t="shared" si="3"/>
        <v>2</v>
      </c>
      <c r="L92">
        <f t="shared" si="4"/>
        <v>1</v>
      </c>
      <c r="M92">
        <f t="shared" si="5"/>
        <v>1</v>
      </c>
    </row>
    <row r="93" spans="1:13" x14ac:dyDescent="0.25">
      <c r="A93" s="2" t="s">
        <v>18</v>
      </c>
      <c r="B93" s="11" t="s">
        <v>158</v>
      </c>
      <c r="C93" s="11" t="s">
        <v>4</v>
      </c>
      <c r="D93" s="11" t="s">
        <v>159</v>
      </c>
      <c r="E93" s="11" t="s">
        <v>162</v>
      </c>
      <c r="F93" s="11" t="s">
        <v>163</v>
      </c>
      <c r="G93" s="12">
        <v>5</v>
      </c>
      <c r="H93" s="12">
        <v>48.5</v>
      </c>
      <c r="I93" s="12">
        <v>242.5</v>
      </c>
      <c r="J93" s="12">
        <v>12432.14</v>
      </c>
      <c r="K93">
        <f t="shared" si="3"/>
        <v>3</v>
      </c>
      <c r="L93">
        <f t="shared" si="4"/>
        <v>1</v>
      </c>
      <c r="M93">
        <f t="shared" si="5"/>
        <v>1</v>
      </c>
    </row>
    <row r="94" spans="1:13" x14ac:dyDescent="0.25">
      <c r="A94" s="2" t="s">
        <v>18</v>
      </c>
      <c r="B94" s="11" t="s">
        <v>158</v>
      </c>
      <c r="C94" s="11" t="s">
        <v>4</v>
      </c>
      <c r="D94" s="11" t="s">
        <v>159</v>
      </c>
      <c r="E94" s="11" t="s">
        <v>164</v>
      </c>
      <c r="F94" s="11" t="s">
        <v>165</v>
      </c>
      <c r="G94" s="12">
        <v>2</v>
      </c>
      <c r="H94" s="12">
        <v>66.5</v>
      </c>
      <c r="I94" s="12">
        <v>133</v>
      </c>
      <c r="J94" s="12">
        <v>12565.14</v>
      </c>
      <c r="K94">
        <f t="shared" si="3"/>
        <v>1</v>
      </c>
      <c r="L94">
        <f t="shared" si="4"/>
        <v>1</v>
      </c>
      <c r="M94">
        <f t="shared" si="5"/>
        <v>1</v>
      </c>
    </row>
    <row r="95" spans="1:13" x14ac:dyDescent="0.25">
      <c r="A95" s="2" t="s">
        <v>18</v>
      </c>
      <c r="B95" s="11" t="s">
        <v>158</v>
      </c>
      <c r="C95" s="11" t="s">
        <v>4</v>
      </c>
      <c r="D95" s="11" t="s">
        <v>159</v>
      </c>
      <c r="E95" s="11" t="s">
        <v>21</v>
      </c>
      <c r="F95" s="11" t="s">
        <v>22</v>
      </c>
      <c r="G95" s="12">
        <v>4</v>
      </c>
      <c r="H95" s="12">
        <v>59.9</v>
      </c>
      <c r="I95" s="12">
        <v>239.6</v>
      </c>
      <c r="J95" s="12">
        <v>12804.74</v>
      </c>
      <c r="K95">
        <f t="shared" si="3"/>
        <v>5</v>
      </c>
      <c r="L95">
        <f t="shared" si="4"/>
        <v>1</v>
      </c>
      <c r="M95">
        <f t="shared" si="5"/>
        <v>1</v>
      </c>
    </row>
    <row r="96" spans="1:13" x14ac:dyDescent="0.25">
      <c r="A96" s="2" t="s">
        <v>18</v>
      </c>
      <c r="B96" s="11" t="s">
        <v>158</v>
      </c>
      <c r="C96" s="11" t="s">
        <v>4</v>
      </c>
      <c r="D96" s="11" t="s">
        <v>159</v>
      </c>
      <c r="E96" s="11" t="s">
        <v>166</v>
      </c>
      <c r="F96" s="11" t="s">
        <v>167</v>
      </c>
      <c r="G96" s="12">
        <v>6</v>
      </c>
      <c r="H96" s="12">
        <v>20.166599999999999</v>
      </c>
      <c r="I96" s="12">
        <v>121</v>
      </c>
      <c r="J96" s="12">
        <v>12925.74</v>
      </c>
      <c r="K96">
        <f t="shared" si="3"/>
        <v>1</v>
      </c>
      <c r="L96">
        <f t="shared" si="4"/>
        <v>1</v>
      </c>
      <c r="M96">
        <f t="shared" si="5"/>
        <v>1</v>
      </c>
    </row>
    <row r="97" spans="1:13" x14ac:dyDescent="0.25">
      <c r="A97" s="2" t="s">
        <v>18</v>
      </c>
      <c r="B97" s="11" t="s">
        <v>158</v>
      </c>
      <c r="C97" s="11" t="s">
        <v>4</v>
      </c>
      <c r="D97" s="11" t="s">
        <v>159</v>
      </c>
      <c r="E97" s="11" t="s">
        <v>44</v>
      </c>
      <c r="F97" s="11" t="s">
        <v>45</v>
      </c>
      <c r="G97" s="12">
        <v>8</v>
      </c>
      <c r="H97" s="12">
        <v>43.5</v>
      </c>
      <c r="I97" s="12">
        <v>348</v>
      </c>
      <c r="J97" s="12">
        <v>13273.74</v>
      </c>
      <c r="K97">
        <f t="shared" si="3"/>
        <v>5</v>
      </c>
      <c r="L97">
        <f t="shared" si="4"/>
        <v>1</v>
      </c>
      <c r="M97">
        <f t="shared" si="5"/>
        <v>1</v>
      </c>
    </row>
    <row r="98" spans="1:13" x14ac:dyDescent="0.25">
      <c r="A98" s="2" t="s">
        <v>18</v>
      </c>
      <c r="B98" s="11" t="s">
        <v>158</v>
      </c>
      <c r="C98" s="11" t="s">
        <v>4</v>
      </c>
      <c r="D98" s="11" t="s">
        <v>159</v>
      </c>
      <c r="E98" s="11" t="s">
        <v>46</v>
      </c>
      <c r="F98" s="11" t="s">
        <v>47</v>
      </c>
      <c r="G98" s="12">
        <v>5</v>
      </c>
      <c r="H98" s="12">
        <v>43.5</v>
      </c>
      <c r="I98" s="12">
        <v>217.5</v>
      </c>
      <c r="J98" s="12">
        <v>13491.24</v>
      </c>
      <c r="K98">
        <f t="shared" si="3"/>
        <v>7</v>
      </c>
      <c r="L98">
        <f t="shared" si="4"/>
        <v>1</v>
      </c>
      <c r="M98">
        <f t="shared" si="5"/>
        <v>1</v>
      </c>
    </row>
    <row r="99" spans="1:13" x14ac:dyDescent="0.25">
      <c r="A99" s="2" t="s">
        <v>18</v>
      </c>
      <c r="B99" s="11" t="s">
        <v>158</v>
      </c>
      <c r="C99" s="11" t="s">
        <v>4</v>
      </c>
      <c r="D99" s="11" t="s">
        <v>159</v>
      </c>
      <c r="E99" s="11" t="s">
        <v>50</v>
      </c>
      <c r="F99" s="11" t="s">
        <v>51</v>
      </c>
      <c r="G99" s="12">
        <v>5</v>
      </c>
      <c r="H99" s="12">
        <v>43.5</v>
      </c>
      <c r="I99" s="12">
        <v>217.5</v>
      </c>
      <c r="J99" s="12">
        <v>13708.74</v>
      </c>
      <c r="K99">
        <f t="shared" si="3"/>
        <v>7</v>
      </c>
      <c r="L99">
        <f t="shared" si="4"/>
        <v>1</v>
      </c>
      <c r="M99">
        <f t="shared" si="5"/>
        <v>1</v>
      </c>
    </row>
    <row r="100" spans="1:13" x14ac:dyDescent="0.25">
      <c r="A100" s="2" t="s">
        <v>18</v>
      </c>
      <c r="B100" s="11" t="s">
        <v>158</v>
      </c>
      <c r="C100" s="11" t="s">
        <v>4</v>
      </c>
      <c r="D100" s="11" t="s">
        <v>159</v>
      </c>
      <c r="E100" s="11" t="s">
        <v>72</v>
      </c>
      <c r="F100" s="11" t="s">
        <v>73</v>
      </c>
      <c r="G100" s="12">
        <v>6</v>
      </c>
      <c r="H100" s="12">
        <v>84.9</v>
      </c>
      <c r="I100" s="12">
        <v>509.4</v>
      </c>
      <c r="J100" s="12">
        <v>14218.14</v>
      </c>
      <c r="K100">
        <f t="shared" si="3"/>
        <v>6</v>
      </c>
      <c r="L100">
        <f t="shared" si="4"/>
        <v>1</v>
      </c>
      <c r="M100">
        <f t="shared" si="5"/>
        <v>1</v>
      </c>
    </row>
    <row r="101" spans="1:13" x14ac:dyDescent="0.25">
      <c r="A101" s="2" t="s">
        <v>18</v>
      </c>
      <c r="B101" s="11" t="s">
        <v>158</v>
      </c>
      <c r="C101" s="11" t="s">
        <v>4</v>
      </c>
      <c r="D101" s="11" t="s">
        <v>159</v>
      </c>
      <c r="E101" s="11" t="s">
        <v>74</v>
      </c>
      <c r="F101" s="11" t="s">
        <v>75</v>
      </c>
      <c r="G101" s="12">
        <v>1</v>
      </c>
      <c r="H101" s="12">
        <v>60.5</v>
      </c>
      <c r="I101" s="12">
        <v>60.5</v>
      </c>
      <c r="J101" s="12">
        <v>14278.64</v>
      </c>
      <c r="K101">
        <f t="shared" si="3"/>
        <v>2</v>
      </c>
      <c r="L101">
        <f t="shared" si="4"/>
        <v>1</v>
      </c>
      <c r="M101">
        <f t="shared" si="5"/>
        <v>1</v>
      </c>
    </row>
    <row r="102" spans="1:13" x14ac:dyDescent="0.25">
      <c r="A102" s="2" t="s">
        <v>18</v>
      </c>
      <c r="B102" s="11" t="s">
        <v>158</v>
      </c>
      <c r="C102" s="11" t="s">
        <v>4</v>
      </c>
      <c r="D102" s="11" t="s">
        <v>159</v>
      </c>
      <c r="E102" s="11" t="s">
        <v>76</v>
      </c>
      <c r="F102" s="11" t="s">
        <v>77</v>
      </c>
      <c r="G102" s="12">
        <v>6</v>
      </c>
      <c r="H102" s="12">
        <v>44</v>
      </c>
      <c r="I102" s="12">
        <v>264</v>
      </c>
      <c r="J102" s="12">
        <v>14542.64</v>
      </c>
      <c r="K102">
        <f t="shared" si="3"/>
        <v>2</v>
      </c>
      <c r="L102">
        <f t="shared" si="4"/>
        <v>1</v>
      </c>
      <c r="M102">
        <f t="shared" si="5"/>
        <v>1</v>
      </c>
    </row>
    <row r="103" spans="1:13" x14ac:dyDescent="0.25">
      <c r="A103" s="2" t="s">
        <v>18</v>
      </c>
      <c r="B103" s="11" t="s">
        <v>168</v>
      </c>
      <c r="C103" s="11" t="s">
        <v>4</v>
      </c>
      <c r="D103" s="11" t="s">
        <v>169</v>
      </c>
      <c r="E103" s="11" t="s">
        <v>162</v>
      </c>
      <c r="F103" s="11" t="s">
        <v>163</v>
      </c>
      <c r="G103" s="12">
        <v>12</v>
      </c>
      <c r="H103" s="12">
        <v>48.5</v>
      </c>
      <c r="I103" s="12">
        <v>582</v>
      </c>
      <c r="J103" s="12">
        <v>15124.64</v>
      </c>
      <c r="K103">
        <f t="shared" si="3"/>
        <v>3</v>
      </c>
      <c r="L103">
        <f t="shared" si="4"/>
        <v>1</v>
      </c>
      <c r="M103">
        <f t="shared" si="5"/>
        <v>1</v>
      </c>
    </row>
    <row r="104" spans="1:13" x14ac:dyDescent="0.25">
      <c r="A104" s="2" t="s">
        <v>18</v>
      </c>
      <c r="B104" s="11" t="s">
        <v>168</v>
      </c>
      <c r="C104" s="11" t="s">
        <v>4</v>
      </c>
      <c r="D104" s="11" t="s">
        <v>169</v>
      </c>
      <c r="E104" s="11" t="s">
        <v>96</v>
      </c>
      <c r="F104" s="11" t="s">
        <v>97</v>
      </c>
      <c r="G104" s="12">
        <v>48</v>
      </c>
      <c r="H104" s="12">
        <v>29.9</v>
      </c>
      <c r="I104" s="12">
        <v>1435.2</v>
      </c>
      <c r="J104" s="12">
        <v>16559.84</v>
      </c>
      <c r="K104">
        <f t="shared" si="3"/>
        <v>4</v>
      </c>
      <c r="L104">
        <f t="shared" si="4"/>
        <v>1</v>
      </c>
      <c r="M104">
        <f t="shared" si="5"/>
        <v>1</v>
      </c>
    </row>
    <row r="105" spans="1:13" x14ac:dyDescent="0.25">
      <c r="A105" s="2" t="s">
        <v>18</v>
      </c>
      <c r="B105" s="11" t="s">
        <v>168</v>
      </c>
      <c r="C105" s="11" t="s">
        <v>4</v>
      </c>
      <c r="D105" s="11" t="s">
        <v>169</v>
      </c>
      <c r="E105" s="11" t="s">
        <v>98</v>
      </c>
      <c r="F105" s="11" t="s">
        <v>99</v>
      </c>
      <c r="G105" s="12">
        <v>10</v>
      </c>
      <c r="H105" s="12">
        <v>12.5</v>
      </c>
      <c r="I105" s="12">
        <v>125</v>
      </c>
      <c r="J105" s="12">
        <v>16684.84</v>
      </c>
      <c r="K105">
        <f t="shared" si="3"/>
        <v>4</v>
      </c>
      <c r="L105">
        <f t="shared" si="4"/>
        <v>1</v>
      </c>
      <c r="M105">
        <f t="shared" si="5"/>
        <v>1</v>
      </c>
    </row>
    <row r="106" spans="1:13" x14ac:dyDescent="0.25">
      <c r="A106" s="2" t="s">
        <v>18</v>
      </c>
      <c r="B106" s="11" t="s">
        <v>168</v>
      </c>
      <c r="C106" s="11" t="s">
        <v>4</v>
      </c>
      <c r="D106" s="11" t="s">
        <v>169</v>
      </c>
      <c r="E106" s="11" t="s">
        <v>170</v>
      </c>
      <c r="F106" s="11" t="s">
        <v>171</v>
      </c>
      <c r="G106" s="12">
        <v>5</v>
      </c>
      <c r="H106" s="12">
        <v>12.5</v>
      </c>
      <c r="I106" s="12">
        <v>62.5</v>
      </c>
      <c r="J106" s="12">
        <v>16747.34</v>
      </c>
      <c r="K106">
        <f t="shared" si="3"/>
        <v>1</v>
      </c>
      <c r="L106">
        <f t="shared" si="4"/>
        <v>1</v>
      </c>
      <c r="M106">
        <f t="shared" si="5"/>
        <v>1</v>
      </c>
    </row>
    <row r="107" spans="1:13" x14ac:dyDescent="0.25">
      <c r="A107" s="2" t="s">
        <v>18</v>
      </c>
      <c r="B107" s="11" t="s">
        <v>168</v>
      </c>
      <c r="C107" s="11" t="s">
        <v>4</v>
      </c>
      <c r="D107" s="11" t="s">
        <v>169</v>
      </c>
      <c r="E107" s="11" t="s">
        <v>100</v>
      </c>
      <c r="F107" s="11" t="s">
        <v>101</v>
      </c>
      <c r="G107" s="12">
        <v>10</v>
      </c>
      <c r="H107" s="12">
        <v>12.5</v>
      </c>
      <c r="I107" s="12">
        <v>125</v>
      </c>
      <c r="J107" s="12">
        <v>16872.34</v>
      </c>
      <c r="K107">
        <f t="shared" si="3"/>
        <v>3</v>
      </c>
      <c r="L107">
        <f t="shared" si="4"/>
        <v>1</v>
      </c>
      <c r="M107">
        <f t="shared" si="5"/>
        <v>1</v>
      </c>
    </row>
    <row r="108" spans="1:13" x14ac:dyDescent="0.25">
      <c r="A108" s="2" t="s">
        <v>18</v>
      </c>
      <c r="B108" s="11" t="s">
        <v>168</v>
      </c>
      <c r="C108" s="11" t="s">
        <v>4</v>
      </c>
      <c r="D108" s="11" t="s">
        <v>169</v>
      </c>
      <c r="E108" s="11" t="s">
        <v>104</v>
      </c>
      <c r="F108" s="11" t="s">
        <v>105</v>
      </c>
      <c r="G108" s="12">
        <v>40</v>
      </c>
      <c r="H108" s="12">
        <v>12</v>
      </c>
      <c r="I108" s="12">
        <v>480</v>
      </c>
      <c r="J108" s="12">
        <v>17352.34</v>
      </c>
      <c r="K108">
        <f t="shared" si="3"/>
        <v>3</v>
      </c>
      <c r="L108">
        <f t="shared" si="4"/>
        <v>1</v>
      </c>
      <c r="M108">
        <f t="shared" si="5"/>
        <v>1</v>
      </c>
    </row>
    <row r="109" spans="1:13" x14ac:dyDescent="0.25">
      <c r="A109" s="2" t="s">
        <v>18</v>
      </c>
      <c r="B109" s="11" t="s">
        <v>168</v>
      </c>
      <c r="C109" s="11" t="s">
        <v>4</v>
      </c>
      <c r="D109" s="11" t="s">
        <v>169</v>
      </c>
      <c r="E109" s="11" t="s">
        <v>172</v>
      </c>
      <c r="F109" s="11" t="s">
        <v>173</v>
      </c>
      <c r="G109" s="12">
        <v>20</v>
      </c>
      <c r="H109" s="12">
        <v>12</v>
      </c>
      <c r="I109" s="12">
        <v>240</v>
      </c>
      <c r="J109" s="12">
        <v>17592.34</v>
      </c>
      <c r="K109">
        <f t="shared" si="3"/>
        <v>2</v>
      </c>
      <c r="L109">
        <f t="shared" si="4"/>
        <v>1</v>
      </c>
      <c r="M109">
        <f t="shared" si="5"/>
        <v>1</v>
      </c>
    </row>
    <row r="110" spans="1:13" x14ac:dyDescent="0.25">
      <c r="A110" s="2" t="s">
        <v>18</v>
      </c>
      <c r="B110" s="11" t="s">
        <v>168</v>
      </c>
      <c r="C110" s="11" t="s">
        <v>4</v>
      </c>
      <c r="D110" s="11" t="s">
        <v>169</v>
      </c>
      <c r="E110" s="11" t="s">
        <v>106</v>
      </c>
      <c r="F110" s="11" t="s">
        <v>107</v>
      </c>
      <c r="G110" s="12">
        <v>10</v>
      </c>
      <c r="H110" s="12">
        <v>12</v>
      </c>
      <c r="I110" s="12">
        <v>120</v>
      </c>
      <c r="J110" s="12">
        <v>17712.34</v>
      </c>
      <c r="K110">
        <f t="shared" si="3"/>
        <v>2</v>
      </c>
      <c r="L110">
        <f t="shared" si="4"/>
        <v>1</v>
      </c>
      <c r="M110">
        <f t="shared" si="5"/>
        <v>1</v>
      </c>
    </row>
    <row r="111" spans="1:13" x14ac:dyDescent="0.25">
      <c r="A111" s="2" t="s">
        <v>18</v>
      </c>
      <c r="B111" s="11" t="s">
        <v>168</v>
      </c>
      <c r="C111" s="11" t="s">
        <v>4</v>
      </c>
      <c r="D111" s="11" t="s">
        <v>169</v>
      </c>
      <c r="E111" s="11" t="s">
        <v>174</v>
      </c>
      <c r="F111" s="11" t="s">
        <v>174</v>
      </c>
      <c r="G111" s="12">
        <v>2</v>
      </c>
      <c r="H111" s="12">
        <v>22</v>
      </c>
      <c r="I111" s="12">
        <v>44</v>
      </c>
      <c r="J111" s="12">
        <v>17756.34</v>
      </c>
      <c r="K111">
        <f t="shared" si="3"/>
        <v>1</v>
      </c>
      <c r="L111">
        <f t="shared" si="4"/>
        <v>1</v>
      </c>
      <c r="M111">
        <f t="shared" si="5"/>
        <v>1</v>
      </c>
    </row>
    <row r="112" spans="1:13" x14ac:dyDescent="0.25">
      <c r="A112" s="2" t="s">
        <v>18</v>
      </c>
      <c r="B112" s="11" t="s">
        <v>168</v>
      </c>
      <c r="C112" s="11" t="s">
        <v>4</v>
      </c>
      <c r="D112" s="11" t="s">
        <v>169</v>
      </c>
      <c r="E112" s="11" t="s">
        <v>175</v>
      </c>
      <c r="F112" s="11" t="s">
        <v>176</v>
      </c>
      <c r="G112" s="12">
        <v>1</v>
      </c>
      <c r="H112" s="12">
        <v>21.5</v>
      </c>
      <c r="I112" s="12">
        <v>21.5</v>
      </c>
      <c r="J112" s="12">
        <v>17777.84</v>
      </c>
      <c r="K112">
        <f t="shared" si="3"/>
        <v>3</v>
      </c>
      <c r="L112">
        <f t="shared" si="4"/>
        <v>1</v>
      </c>
      <c r="M112">
        <f t="shared" si="5"/>
        <v>1</v>
      </c>
    </row>
    <row r="113" spans="1:13" x14ac:dyDescent="0.25">
      <c r="A113" s="2" t="s">
        <v>18</v>
      </c>
      <c r="B113" s="11" t="s">
        <v>168</v>
      </c>
      <c r="C113" s="11" t="s">
        <v>4</v>
      </c>
      <c r="D113" s="11" t="s">
        <v>169</v>
      </c>
      <c r="E113" s="11" t="s">
        <v>86</v>
      </c>
      <c r="F113" s="11" t="s">
        <v>87</v>
      </c>
      <c r="G113" s="12">
        <v>1</v>
      </c>
      <c r="H113" s="12">
        <v>17.600000000000001</v>
      </c>
      <c r="I113" s="12">
        <v>17.600000000000001</v>
      </c>
      <c r="J113" s="12">
        <v>17795.439999999999</v>
      </c>
      <c r="K113">
        <f t="shared" si="3"/>
        <v>7</v>
      </c>
      <c r="L113">
        <f t="shared" si="4"/>
        <v>1</v>
      </c>
      <c r="M113">
        <f t="shared" si="5"/>
        <v>1</v>
      </c>
    </row>
    <row r="114" spans="1:13" x14ac:dyDescent="0.25">
      <c r="A114" s="2" t="s">
        <v>18</v>
      </c>
      <c r="B114" s="11" t="s">
        <v>177</v>
      </c>
      <c r="C114" s="11" t="s">
        <v>4</v>
      </c>
      <c r="D114" s="11" t="s">
        <v>178</v>
      </c>
      <c r="E114" s="11" t="s">
        <v>179</v>
      </c>
      <c r="F114" s="11" t="s">
        <v>180</v>
      </c>
      <c r="G114" s="12">
        <v>5</v>
      </c>
      <c r="H114" s="12">
        <v>56</v>
      </c>
      <c r="I114" s="12">
        <v>280</v>
      </c>
      <c r="J114" s="12">
        <v>18075.439999999999</v>
      </c>
      <c r="K114">
        <f t="shared" si="3"/>
        <v>1</v>
      </c>
      <c r="L114">
        <f t="shared" si="4"/>
        <v>1</v>
      </c>
      <c r="M114">
        <f t="shared" si="5"/>
        <v>1</v>
      </c>
    </row>
    <row r="115" spans="1:13" x14ac:dyDescent="0.25">
      <c r="A115" s="2" t="s">
        <v>18</v>
      </c>
      <c r="B115" s="11" t="s">
        <v>177</v>
      </c>
      <c r="C115" s="11" t="s">
        <v>4</v>
      </c>
      <c r="D115" s="11" t="s">
        <v>178</v>
      </c>
      <c r="E115" s="11" t="s">
        <v>181</v>
      </c>
      <c r="F115" s="11" t="s">
        <v>182</v>
      </c>
      <c r="G115" s="12">
        <v>3</v>
      </c>
      <c r="H115" s="12">
        <v>30.9</v>
      </c>
      <c r="I115" s="12">
        <v>92.7</v>
      </c>
      <c r="J115" s="12">
        <v>18168.14</v>
      </c>
      <c r="K115">
        <f t="shared" si="3"/>
        <v>1</v>
      </c>
      <c r="L115">
        <f t="shared" si="4"/>
        <v>1</v>
      </c>
      <c r="M115">
        <f t="shared" si="5"/>
        <v>1</v>
      </c>
    </row>
    <row r="116" spans="1:13" x14ac:dyDescent="0.25">
      <c r="A116" s="2" t="s">
        <v>18</v>
      </c>
      <c r="B116" s="11" t="s">
        <v>177</v>
      </c>
      <c r="C116" s="11" t="s">
        <v>4</v>
      </c>
      <c r="D116" s="11" t="s">
        <v>178</v>
      </c>
      <c r="E116" s="11" t="s">
        <v>27</v>
      </c>
      <c r="F116" s="11" t="s">
        <v>28</v>
      </c>
      <c r="G116" s="12">
        <v>1</v>
      </c>
      <c r="H116" s="12">
        <v>72.5</v>
      </c>
      <c r="I116" s="12">
        <v>72.5</v>
      </c>
      <c r="J116" s="12">
        <v>18240.64</v>
      </c>
      <c r="K116">
        <f t="shared" si="3"/>
        <v>3</v>
      </c>
      <c r="L116">
        <f t="shared" si="4"/>
        <v>1</v>
      </c>
      <c r="M116">
        <f t="shared" si="5"/>
        <v>1</v>
      </c>
    </row>
    <row r="117" spans="1:13" x14ac:dyDescent="0.25">
      <c r="A117" s="2" t="s">
        <v>18</v>
      </c>
      <c r="B117" s="11" t="s">
        <v>177</v>
      </c>
      <c r="C117" s="11" t="s">
        <v>4</v>
      </c>
      <c r="D117" s="11" t="s">
        <v>178</v>
      </c>
      <c r="E117" s="11" t="s">
        <v>160</v>
      </c>
      <c r="F117" s="11" t="s">
        <v>161</v>
      </c>
      <c r="G117" s="12">
        <v>1</v>
      </c>
      <c r="H117" s="12">
        <v>72.5</v>
      </c>
      <c r="I117" s="12">
        <v>72.5</v>
      </c>
      <c r="J117" s="12">
        <v>18313.14</v>
      </c>
      <c r="K117">
        <f t="shared" si="3"/>
        <v>2</v>
      </c>
      <c r="L117">
        <f t="shared" si="4"/>
        <v>1</v>
      </c>
      <c r="M117">
        <f t="shared" si="5"/>
        <v>1</v>
      </c>
    </row>
    <row r="118" spans="1:13" x14ac:dyDescent="0.25">
      <c r="A118" s="2" t="s">
        <v>18</v>
      </c>
      <c r="B118" s="11" t="s">
        <v>177</v>
      </c>
      <c r="C118" s="11" t="s">
        <v>4</v>
      </c>
      <c r="D118" s="11" t="s">
        <v>178</v>
      </c>
      <c r="E118" s="11" t="s">
        <v>162</v>
      </c>
      <c r="F118" s="11" t="s">
        <v>163</v>
      </c>
      <c r="G118" s="12">
        <v>10</v>
      </c>
      <c r="H118" s="12">
        <v>48.5</v>
      </c>
      <c r="I118" s="12">
        <v>485</v>
      </c>
      <c r="J118" s="12">
        <v>18798.14</v>
      </c>
      <c r="K118">
        <f t="shared" si="3"/>
        <v>3</v>
      </c>
      <c r="L118">
        <f t="shared" si="4"/>
        <v>1</v>
      </c>
      <c r="M118">
        <f t="shared" si="5"/>
        <v>1</v>
      </c>
    </row>
    <row r="119" spans="1:13" x14ac:dyDescent="0.25">
      <c r="A119" s="2" t="s">
        <v>18</v>
      </c>
      <c r="B119" s="11" t="s">
        <v>177</v>
      </c>
      <c r="C119" s="11" t="s">
        <v>4</v>
      </c>
      <c r="D119" s="11" t="s">
        <v>178</v>
      </c>
      <c r="E119" s="11" t="s">
        <v>183</v>
      </c>
      <c r="F119" s="11" t="s">
        <v>184</v>
      </c>
      <c r="G119" s="12">
        <v>3</v>
      </c>
      <c r="H119" s="12">
        <v>79.5</v>
      </c>
      <c r="I119" s="12">
        <v>238.5</v>
      </c>
      <c r="J119" s="12">
        <v>19036.64</v>
      </c>
      <c r="K119">
        <f t="shared" si="3"/>
        <v>1</v>
      </c>
      <c r="L119">
        <f t="shared" si="4"/>
        <v>1</v>
      </c>
      <c r="M119">
        <f t="shared" si="5"/>
        <v>1</v>
      </c>
    </row>
    <row r="120" spans="1:13" x14ac:dyDescent="0.25">
      <c r="A120" s="2" t="s">
        <v>18</v>
      </c>
      <c r="B120" s="11" t="s">
        <v>177</v>
      </c>
      <c r="C120" s="11" t="s">
        <v>4</v>
      </c>
      <c r="D120" s="11" t="s">
        <v>178</v>
      </c>
      <c r="E120" s="11" t="s">
        <v>21</v>
      </c>
      <c r="F120" s="11" t="s">
        <v>22</v>
      </c>
      <c r="G120" s="12">
        <v>1</v>
      </c>
      <c r="H120" s="12">
        <v>59.9</v>
      </c>
      <c r="I120" s="12">
        <v>59.9</v>
      </c>
      <c r="J120" s="12">
        <v>19096.54</v>
      </c>
      <c r="K120">
        <f t="shared" si="3"/>
        <v>5</v>
      </c>
      <c r="L120">
        <f t="shared" si="4"/>
        <v>1</v>
      </c>
      <c r="M120">
        <f t="shared" si="5"/>
        <v>1</v>
      </c>
    </row>
    <row r="121" spans="1:13" x14ac:dyDescent="0.25">
      <c r="A121" s="2" t="s">
        <v>18</v>
      </c>
      <c r="B121" s="11" t="s">
        <v>177</v>
      </c>
      <c r="C121" s="11" t="s">
        <v>4</v>
      </c>
      <c r="D121" s="11" t="s">
        <v>178</v>
      </c>
      <c r="E121" s="11" t="s">
        <v>104</v>
      </c>
      <c r="F121" s="11" t="s">
        <v>105</v>
      </c>
      <c r="G121" s="12">
        <v>25</v>
      </c>
      <c r="H121" s="12">
        <v>12</v>
      </c>
      <c r="I121" s="12">
        <v>300</v>
      </c>
      <c r="J121" s="12">
        <v>19396.54</v>
      </c>
      <c r="K121">
        <f t="shared" si="3"/>
        <v>3</v>
      </c>
      <c r="L121">
        <f t="shared" si="4"/>
        <v>1</v>
      </c>
      <c r="M121">
        <f t="shared" si="5"/>
        <v>1</v>
      </c>
    </row>
    <row r="122" spans="1:13" x14ac:dyDescent="0.25">
      <c r="A122" s="2" t="s">
        <v>18</v>
      </c>
      <c r="B122" s="11" t="s">
        <v>177</v>
      </c>
      <c r="C122" s="11" t="s">
        <v>4</v>
      </c>
      <c r="D122" s="11" t="s">
        <v>178</v>
      </c>
      <c r="E122" s="11" t="s">
        <v>172</v>
      </c>
      <c r="F122" s="11" t="s">
        <v>173</v>
      </c>
      <c r="G122" s="12">
        <v>25</v>
      </c>
      <c r="H122" s="12">
        <v>12</v>
      </c>
      <c r="I122" s="12">
        <v>300</v>
      </c>
      <c r="J122" s="12">
        <v>19696.54</v>
      </c>
      <c r="K122">
        <f t="shared" si="3"/>
        <v>2</v>
      </c>
      <c r="L122">
        <f t="shared" si="4"/>
        <v>1</v>
      </c>
      <c r="M122">
        <f t="shared" si="5"/>
        <v>1</v>
      </c>
    </row>
    <row r="123" spans="1:13" x14ac:dyDescent="0.25">
      <c r="A123" s="2" t="s">
        <v>18</v>
      </c>
      <c r="B123" s="11" t="s">
        <v>177</v>
      </c>
      <c r="C123" s="11" t="s">
        <v>4</v>
      </c>
      <c r="D123" s="11" t="s">
        <v>178</v>
      </c>
      <c r="E123" s="11" t="s">
        <v>98</v>
      </c>
      <c r="F123" s="11" t="s">
        <v>99</v>
      </c>
      <c r="G123" s="12">
        <v>17</v>
      </c>
      <c r="H123" s="12">
        <v>12.5</v>
      </c>
      <c r="I123" s="12">
        <v>212.5</v>
      </c>
      <c r="J123" s="12">
        <v>19909.04</v>
      </c>
      <c r="K123">
        <f t="shared" si="3"/>
        <v>4</v>
      </c>
      <c r="L123">
        <f t="shared" si="4"/>
        <v>1</v>
      </c>
      <c r="M123">
        <f t="shared" si="5"/>
        <v>1</v>
      </c>
    </row>
    <row r="124" spans="1:13" x14ac:dyDescent="0.25">
      <c r="A124" s="2" t="s">
        <v>18</v>
      </c>
      <c r="B124" s="11" t="s">
        <v>177</v>
      </c>
      <c r="C124" s="11" t="s">
        <v>4</v>
      </c>
      <c r="D124" s="11" t="s">
        <v>178</v>
      </c>
      <c r="E124" s="11" t="s">
        <v>100</v>
      </c>
      <c r="F124" s="11" t="s">
        <v>101</v>
      </c>
      <c r="G124" s="12">
        <v>17</v>
      </c>
      <c r="H124" s="12">
        <v>12.5</v>
      </c>
      <c r="I124" s="12">
        <v>212.5</v>
      </c>
      <c r="J124" s="12">
        <v>20121.54</v>
      </c>
      <c r="K124">
        <f t="shared" si="3"/>
        <v>3</v>
      </c>
      <c r="L124">
        <f t="shared" si="4"/>
        <v>1</v>
      </c>
      <c r="M124">
        <f t="shared" si="5"/>
        <v>1</v>
      </c>
    </row>
    <row r="125" spans="1:13" x14ac:dyDescent="0.25">
      <c r="A125" s="2" t="s">
        <v>18</v>
      </c>
      <c r="B125" s="11" t="s">
        <v>177</v>
      </c>
      <c r="C125" s="11" t="s">
        <v>4</v>
      </c>
      <c r="D125" s="11" t="s">
        <v>178</v>
      </c>
      <c r="E125" s="11" t="s">
        <v>102</v>
      </c>
      <c r="F125" s="11" t="s">
        <v>103</v>
      </c>
      <c r="G125" s="12">
        <v>5</v>
      </c>
      <c r="H125" s="12">
        <v>12.5</v>
      </c>
      <c r="I125" s="12">
        <v>62.5</v>
      </c>
      <c r="J125" s="12">
        <v>20184.04</v>
      </c>
      <c r="K125">
        <f t="shared" si="3"/>
        <v>2</v>
      </c>
      <c r="L125">
        <f t="shared" si="4"/>
        <v>1</v>
      </c>
      <c r="M125">
        <f t="shared" si="5"/>
        <v>1</v>
      </c>
    </row>
    <row r="126" spans="1:13" x14ac:dyDescent="0.25">
      <c r="A126" s="2" t="s">
        <v>18</v>
      </c>
      <c r="B126" s="11" t="s">
        <v>177</v>
      </c>
      <c r="C126" s="11" t="s">
        <v>4</v>
      </c>
      <c r="D126" s="11" t="s">
        <v>178</v>
      </c>
      <c r="E126" s="11" t="s">
        <v>185</v>
      </c>
      <c r="F126" s="11" t="s">
        <v>186</v>
      </c>
      <c r="G126" s="12">
        <v>1</v>
      </c>
      <c r="H126" s="12">
        <v>44</v>
      </c>
      <c r="I126" s="12">
        <v>44</v>
      </c>
      <c r="J126" s="12">
        <v>20228.04</v>
      </c>
      <c r="K126">
        <f t="shared" si="3"/>
        <v>1</v>
      </c>
      <c r="L126">
        <f t="shared" si="4"/>
        <v>1</v>
      </c>
      <c r="M126">
        <f t="shared" si="5"/>
        <v>1</v>
      </c>
    </row>
    <row r="127" spans="1:13" x14ac:dyDescent="0.25">
      <c r="A127" s="2" t="s">
        <v>18</v>
      </c>
      <c r="B127" s="11" t="s">
        <v>177</v>
      </c>
      <c r="C127" s="11" t="s">
        <v>4</v>
      </c>
      <c r="D127" s="11" t="s">
        <v>178</v>
      </c>
      <c r="E127" s="11" t="s">
        <v>187</v>
      </c>
      <c r="F127" s="11" t="s">
        <v>188</v>
      </c>
      <c r="G127" s="12">
        <v>1</v>
      </c>
      <c r="H127" s="12">
        <v>44</v>
      </c>
      <c r="I127" s="12">
        <v>44</v>
      </c>
      <c r="J127" s="12">
        <v>20272.04</v>
      </c>
      <c r="K127">
        <f t="shared" si="3"/>
        <v>1</v>
      </c>
      <c r="L127">
        <f t="shared" si="4"/>
        <v>1</v>
      </c>
      <c r="M127">
        <f t="shared" si="5"/>
        <v>1</v>
      </c>
    </row>
    <row r="128" spans="1:13" x14ac:dyDescent="0.25">
      <c r="A128" s="2" t="s">
        <v>18</v>
      </c>
      <c r="B128" s="11" t="s">
        <v>177</v>
      </c>
      <c r="C128" s="11" t="s">
        <v>4</v>
      </c>
      <c r="D128" s="11" t="s">
        <v>178</v>
      </c>
      <c r="E128" s="11" t="s">
        <v>114</v>
      </c>
      <c r="F128" s="11" t="s">
        <v>115</v>
      </c>
      <c r="G128" s="12">
        <v>2</v>
      </c>
      <c r="H128" s="12">
        <v>45</v>
      </c>
      <c r="I128" s="12">
        <v>90</v>
      </c>
      <c r="J128" s="12">
        <v>20362.04</v>
      </c>
      <c r="K128">
        <f t="shared" si="3"/>
        <v>2</v>
      </c>
      <c r="L128">
        <f t="shared" si="4"/>
        <v>1</v>
      </c>
      <c r="M128">
        <f t="shared" si="5"/>
        <v>1</v>
      </c>
    </row>
    <row r="129" spans="1:13" x14ac:dyDescent="0.25">
      <c r="A129" s="2" t="s">
        <v>18</v>
      </c>
      <c r="B129" s="11" t="s">
        <v>177</v>
      </c>
      <c r="C129" s="11" t="s">
        <v>4</v>
      </c>
      <c r="D129" s="11" t="s">
        <v>178</v>
      </c>
      <c r="E129" s="11" t="s">
        <v>110</v>
      </c>
      <c r="F129" s="11" t="s">
        <v>189</v>
      </c>
      <c r="G129" s="12">
        <v>2</v>
      </c>
      <c r="H129" s="12">
        <v>39</v>
      </c>
      <c r="I129" s="12">
        <v>78</v>
      </c>
      <c r="J129" s="12">
        <v>20440.04</v>
      </c>
      <c r="K129">
        <f t="shared" si="3"/>
        <v>2</v>
      </c>
      <c r="L129">
        <f t="shared" si="4"/>
        <v>1</v>
      </c>
      <c r="M129">
        <f t="shared" si="5"/>
        <v>1</v>
      </c>
    </row>
    <row r="130" spans="1:13" x14ac:dyDescent="0.25">
      <c r="A130" s="2" t="s">
        <v>18</v>
      </c>
      <c r="B130" s="11" t="s">
        <v>177</v>
      </c>
      <c r="C130" s="11" t="s">
        <v>4</v>
      </c>
      <c r="D130" s="11" t="s">
        <v>178</v>
      </c>
      <c r="E130" s="11" t="s">
        <v>190</v>
      </c>
      <c r="F130" s="11" t="s">
        <v>191</v>
      </c>
      <c r="G130" s="12">
        <v>2</v>
      </c>
      <c r="H130" s="12">
        <v>39.9</v>
      </c>
      <c r="I130" s="12">
        <v>79.8</v>
      </c>
      <c r="J130" s="12">
        <v>20519.84</v>
      </c>
      <c r="K130">
        <f t="shared" si="3"/>
        <v>1</v>
      </c>
      <c r="L130">
        <f t="shared" si="4"/>
        <v>1</v>
      </c>
      <c r="M130">
        <f t="shared" si="5"/>
        <v>1</v>
      </c>
    </row>
    <row r="131" spans="1:13" x14ac:dyDescent="0.25">
      <c r="A131" s="2" t="s">
        <v>18</v>
      </c>
      <c r="B131" s="11" t="s">
        <v>177</v>
      </c>
      <c r="C131" s="11" t="s">
        <v>4</v>
      </c>
      <c r="D131" s="11" t="s">
        <v>178</v>
      </c>
      <c r="E131" s="11" t="s">
        <v>192</v>
      </c>
      <c r="F131" s="11" t="s">
        <v>193</v>
      </c>
      <c r="G131" s="12">
        <v>1</v>
      </c>
      <c r="H131" s="12">
        <v>25</v>
      </c>
      <c r="I131" s="12">
        <v>25</v>
      </c>
      <c r="J131" s="12">
        <v>20544.84</v>
      </c>
      <c r="K131">
        <f t="shared" ref="K131:K194" si="6">COUNTIF($E$2:$E$1466,E131)</f>
        <v>1</v>
      </c>
      <c r="L131">
        <f t="shared" ref="L131:L194" si="7">IF(G131&gt;0,1,0)</f>
        <v>1</v>
      </c>
      <c r="M131">
        <f t="shared" ref="M131:M194" si="8">IF(H131&gt;0,1,0)</f>
        <v>1</v>
      </c>
    </row>
    <row r="132" spans="1:13" x14ac:dyDescent="0.25">
      <c r="A132" s="2" t="s">
        <v>18</v>
      </c>
      <c r="B132" s="11" t="s">
        <v>177</v>
      </c>
      <c r="C132" s="11" t="s">
        <v>4</v>
      </c>
      <c r="D132" s="11" t="s">
        <v>178</v>
      </c>
      <c r="E132" s="11" t="s">
        <v>194</v>
      </c>
      <c r="F132" s="11" t="s">
        <v>195</v>
      </c>
      <c r="G132" s="12">
        <v>1</v>
      </c>
      <c r="H132" s="12">
        <v>29.9</v>
      </c>
      <c r="I132" s="12">
        <v>29.9</v>
      </c>
      <c r="J132" s="12">
        <v>20574.740000000002</v>
      </c>
      <c r="K132">
        <f t="shared" si="6"/>
        <v>1</v>
      </c>
      <c r="L132">
        <f t="shared" si="7"/>
        <v>1</v>
      </c>
      <c r="M132">
        <f t="shared" si="8"/>
        <v>1</v>
      </c>
    </row>
    <row r="133" spans="1:13" x14ac:dyDescent="0.25">
      <c r="A133" s="2" t="s">
        <v>18</v>
      </c>
      <c r="B133" s="11" t="s">
        <v>177</v>
      </c>
      <c r="C133" s="11" t="s">
        <v>4</v>
      </c>
      <c r="D133" s="11" t="s">
        <v>178</v>
      </c>
      <c r="E133" s="11" t="s">
        <v>116</v>
      </c>
      <c r="F133" s="11" t="s">
        <v>196</v>
      </c>
      <c r="G133" s="12">
        <v>2</v>
      </c>
      <c r="H133" s="12">
        <v>21.9</v>
      </c>
      <c r="I133" s="12">
        <v>43.8</v>
      </c>
      <c r="J133" s="12">
        <v>20618.54</v>
      </c>
      <c r="K133">
        <f t="shared" si="6"/>
        <v>2</v>
      </c>
      <c r="L133">
        <f t="shared" si="7"/>
        <v>1</v>
      </c>
      <c r="M133">
        <f t="shared" si="8"/>
        <v>1</v>
      </c>
    </row>
    <row r="134" spans="1:13" x14ac:dyDescent="0.25">
      <c r="A134" s="2" t="s">
        <v>18</v>
      </c>
      <c r="B134" s="11" t="s">
        <v>177</v>
      </c>
      <c r="C134" s="11" t="s">
        <v>4</v>
      </c>
      <c r="D134" s="11" t="s">
        <v>178</v>
      </c>
      <c r="E134" s="11" t="s">
        <v>118</v>
      </c>
      <c r="F134" s="11" t="s">
        <v>119</v>
      </c>
      <c r="G134" s="12">
        <v>2</v>
      </c>
      <c r="H134" s="12">
        <v>25.9</v>
      </c>
      <c r="I134" s="12">
        <v>51.8</v>
      </c>
      <c r="J134" s="12">
        <v>20670.34</v>
      </c>
      <c r="K134">
        <f t="shared" si="6"/>
        <v>2</v>
      </c>
      <c r="L134">
        <f t="shared" si="7"/>
        <v>1</v>
      </c>
      <c r="M134">
        <f t="shared" si="8"/>
        <v>1</v>
      </c>
    </row>
    <row r="135" spans="1:13" x14ac:dyDescent="0.25">
      <c r="A135" s="2" t="s">
        <v>18</v>
      </c>
      <c r="B135" s="11" t="s">
        <v>177</v>
      </c>
      <c r="C135" s="11" t="s">
        <v>4</v>
      </c>
      <c r="D135" s="11" t="s">
        <v>178</v>
      </c>
      <c r="E135" s="11" t="s">
        <v>120</v>
      </c>
      <c r="F135" s="11" t="s">
        <v>121</v>
      </c>
      <c r="G135" s="12">
        <v>1</v>
      </c>
      <c r="H135" s="12">
        <v>13.9</v>
      </c>
      <c r="I135" s="12">
        <v>13.9</v>
      </c>
      <c r="J135" s="12">
        <v>20684.240000000002</v>
      </c>
      <c r="K135">
        <f t="shared" si="6"/>
        <v>3</v>
      </c>
      <c r="L135">
        <f t="shared" si="7"/>
        <v>1</v>
      </c>
      <c r="M135">
        <f t="shared" si="8"/>
        <v>1</v>
      </c>
    </row>
    <row r="136" spans="1:13" x14ac:dyDescent="0.25">
      <c r="A136" s="2" t="s">
        <v>18</v>
      </c>
      <c r="B136" s="11" t="s">
        <v>177</v>
      </c>
      <c r="C136" s="11" t="s">
        <v>4</v>
      </c>
      <c r="D136" s="11" t="s">
        <v>178</v>
      </c>
      <c r="E136" s="11" t="s">
        <v>122</v>
      </c>
      <c r="F136" s="11" t="s">
        <v>123</v>
      </c>
      <c r="G136" s="12">
        <v>2</v>
      </c>
      <c r="H136" s="12">
        <v>25.9</v>
      </c>
      <c r="I136" s="12">
        <v>51.8</v>
      </c>
      <c r="J136" s="12">
        <v>20736.04</v>
      </c>
      <c r="K136">
        <f t="shared" si="6"/>
        <v>5</v>
      </c>
      <c r="L136">
        <f t="shared" si="7"/>
        <v>1</v>
      </c>
      <c r="M136">
        <f t="shared" si="8"/>
        <v>1</v>
      </c>
    </row>
    <row r="137" spans="1:13" x14ac:dyDescent="0.25">
      <c r="A137" s="2" t="s">
        <v>18</v>
      </c>
      <c r="B137" s="11" t="s">
        <v>177</v>
      </c>
      <c r="C137" s="11" t="s">
        <v>4</v>
      </c>
      <c r="D137" s="11" t="s">
        <v>178</v>
      </c>
      <c r="E137" s="11" t="s">
        <v>124</v>
      </c>
      <c r="F137" s="11" t="s">
        <v>125</v>
      </c>
      <c r="G137" s="12">
        <v>1</v>
      </c>
      <c r="H137" s="12">
        <v>46.5</v>
      </c>
      <c r="I137" s="12">
        <v>46.5</v>
      </c>
      <c r="J137" s="12">
        <v>20782.54</v>
      </c>
      <c r="K137">
        <f t="shared" si="6"/>
        <v>2</v>
      </c>
      <c r="L137">
        <f t="shared" si="7"/>
        <v>1</v>
      </c>
      <c r="M137">
        <f t="shared" si="8"/>
        <v>1</v>
      </c>
    </row>
    <row r="138" spans="1:13" x14ac:dyDescent="0.25">
      <c r="A138" s="2" t="s">
        <v>18</v>
      </c>
      <c r="B138" s="11" t="s">
        <v>177</v>
      </c>
      <c r="C138" s="11" t="s">
        <v>4</v>
      </c>
      <c r="D138" s="11" t="s">
        <v>178</v>
      </c>
      <c r="E138" s="11" t="s">
        <v>130</v>
      </c>
      <c r="F138" s="11" t="s">
        <v>131</v>
      </c>
      <c r="G138" s="12">
        <v>1</v>
      </c>
      <c r="H138" s="12">
        <v>19.5</v>
      </c>
      <c r="I138" s="12">
        <v>19.5</v>
      </c>
      <c r="J138" s="12">
        <v>20802.04</v>
      </c>
      <c r="K138">
        <f t="shared" si="6"/>
        <v>4</v>
      </c>
      <c r="L138">
        <f t="shared" si="7"/>
        <v>1</v>
      </c>
      <c r="M138">
        <f t="shared" si="8"/>
        <v>1</v>
      </c>
    </row>
    <row r="139" spans="1:13" x14ac:dyDescent="0.25">
      <c r="A139" s="2" t="s">
        <v>18</v>
      </c>
      <c r="B139" s="11" t="s">
        <v>177</v>
      </c>
      <c r="C139" s="11" t="s">
        <v>4</v>
      </c>
      <c r="D139" s="11" t="s">
        <v>178</v>
      </c>
      <c r="E139" s="11" t="s">
        <v>126</v>
      </c>
      <c r="F139" s="11" t="s">
        <v>127</v>
      </c>
      <c r="G139" s="12">
        <v>2</v>
      </c>
      <c r="H139" s="12">
        <v>25.9</v>
      </c>
      <c r="I139" s="12">
        <v>51.8</v>
      </c>
      <c r="J139" s="12">
        <v>20853.84</v>
      </c>
      <c r="K139">
        <f t="shared" si="6"/>
        <v>5</v>
      </c>
      <c r="L139">
        <f t="shared" si="7"/>
        <v>1</v>
      </c>
      <c r="M139">
        <f t="shared" si="8"/>
        <v>1</v>
      </c>
    </row>
    <row r="140" spans="1:13" x14ac:dyDescent="0.25">
      <c r="A140" s="2" t="s">
        <v>18</v>
      </c>
      <c r="B140" s="11" t="s">
        <v>177</v>
      </c>
      <c r="C140" s="11" t="s">
        <v>4</v>
      </c>
      <c r="D140" s="11" t="s">
        <v>178</v>
      </c>
      <c r="E140" s="11" t="s">
        <v>80</v>
      </c>
      <c r="F140" s="11" t="s">
        <v>81</v>
      </c>
      <c r="G140" s="12">
        <v>10</v>
      </c>
      <c r="H140" s="12">
        <v>13.5</v>
      </c>
      <c r="I140" s="12">
        <v>135</v>
      </c>
      <c r="J140" s="12">
        <v>20988.84</v>
      </c>
      <c r="K140">
        <f t="shared" si="6"/>
        <v>8</v>
      </c>
      <c r="L140">
        <f t="shared" si="7"/>
        <v>1</v>
      </c>
      <c r="M140">
        <f t="shared" si="8"/>
        <v>1</v>
      </c>
    </row>
    <row r="141" spans="1:13" x14ac:dyDescent="0.25">
      <c r="A141" s="2" t="s">
        <v>18</v>
      </c>
      <c r="B141" s="11" t="s">
        <v>177</v>
      </c>
      <c r="C141" s="11" t="s">
        <v>4</v>
      </c>
      <c r="D141" s="11" t="s">
        <v>178</v>
      </c>
      <c r="E141" s="11" t="s">
        <v>82</v>
      </c>
      <c r="F141" s="11" t="s">
        <v>197</v>
      </c>
      <c r="G141" s="12">
        <v>5</v>
      </c>
      <c r="H141" s="12">
        <v>63.9</v>
      </c>
      <c r="I141" s="12">
        <v>319.5</v>
      </c>
      <c r="J141" s="12">
        <v>21308.34</v>
      </c>
      <c r="K141">
        <f t="shared" si="6"/>
        <v>6</v>
      </c>
      <c r="L141">
        <f t="shared" si="7"/>
        <v>1</v>
      </c>
      <c r="M141">
        <f t="shared" si="8"/>
        <v>1</v>
      </c>
    </row>
    <row r="142" spans="1:13" x14ac:dyDescent="0.25">
      <c r="A142" s="2" t="s">
        <v>18</v>
      </c>
      <c r="B142" s="11" t="s">
        <v>198</v>
      </c>
      <c r="C142" s="11" t="s">
        <v>4</v>
      </c>
      <c r="D142" s="11" t="s">
        <v>199</v>
      </c>
      <c r="E142" s="11" t="s">
        <v>21</v>
      </c>
      <c r="F142" s="11" t="s">
        <v>22</v>
      </c>
      <c r="G142" s="12">
        <v>2</v>
      </c>
      <c r="H142" s="12">
        <v>59.9</v>
      </c>
      <c r="I142" s="12">
        <v>119.8</v>
      </c>
      <c r="J142" s="12">
        <v>21428.14</v>
      </c>
      <c r="K142">
        <f t="shared" si="6"/>
        <v>5</v>
      </c>
      <c r="L142">
        <f t="shared" si="7"/>
        <v>1</v>
      </c>
      <c r="M142">
        <f t="shared" si="8"/>
        <v>1</v>
      </c>
    </row>
    <row r="143" spans="1:13" x14ac:dyDescent="0.25">
      <c r="A143" s="2" t="s">
        <v>18</v>
      </c>
      <c r="B143" s="11" t="s">
        <v>198</v>
      </c>
      <c r="C143" s="11" t="s">
        <v>4</v>
      </c>
      <c r="D143" s="11" t="s">
        <v>199</v>
      </c>
      <c r="E143" s="11" t="s">
        <v>98</v>
      </c>
      <c r="F143" s="11" t="s">
        <v>99</v>
      </c>
      <c r="G143" s="12">
        <v>3</v>
      </c>
      <c r="H143" s="12">
        <v>12.5</v>
      </c>
      <c r="I143" s="12">
        <v>37.5</v>
      </c>
      <c r="J143" s="12">
        <v>21465.64</v>
      </c>
      <c r="K143">
        <f t="shared" si="6"/>
        <v>4</v>
      </c>
      <c r="L143">
        <f t="shared" si="7"/>
        <v>1</v>
      </c>
      <c r="M143">
        <f t="shared" si="8"/>
        <v>1</v>
      </c>
    </row>
    <row r="144" spans="1:13" x14ac:dyDescent="0.25">
      <c r="A144" s="2" t="s">
        <v>18</v>
      </c>
      <c r="B144" s="11" t="s">
        <v>198</v>
      </c>
      <c r="C144" s="11" t="s">
        <v>4</v>
      </c>
      <c r="D144" s="11" t="s">
        <v>199</v>
      </c>
      <c r="E144" s="11" t="s">
        <v>108</v>
      </c>
      <c r="F144" s="11" t="s">
        <v>109</v>
      </c>
      <c r="G144" s="12">
        <v>4</v>
      </c>
      <c r="H144" s="12">
        <v>41.9</v>
      </c>
      <c r="I144" s="12">
        <v>167.6</v>
      </c>
      <c r="J144" s="12">
        <v>21633.239999999998</v>
      </c>
      <c r="K144">
        <f t="shared" si="6"/>
        <v>2</v>
      </c>
      <c r="L144">
        <f t="shared" si="7"/>
        <v>1</v>
      </c>
      <c r="M144">
        <f t="shared" si="8"/>
        <v>1</v>
      </c>
    </row>
    <row r="145" spans="1:13" x14ac:dyDescent="0.25">
      <c r="A145" s="2" t="s">
        <v>18</v>
      </c>
      <c r="B145" s="11" t="s">
        <v>198</v>
      </c>
      <c r="C145" s="11" t="s">
        <v>4</v>
      </c>
      <c r="D145" s="11" t="s">
        <v>199</v>
      </c>
      <c r="E145" s="11" t="s">
        <v>96</v>
      </c>
      <c r="F145" s="11" t="s">
        <v>97</v>
      </c>
      <c r="G145" s="12">
        <v>104</v>
      </c>
      <c r="H145" s="12">
        <v>25.9</v>
      </c>
      <c r="I145" s="12">
        <v>2693.6</v>
      </c>
      <c r="J145" s="12">
        <v>24326.839999999997</v>
      </c>
      <c r="K145">
        <f t="shared" si="6"/>
        <v>4</v>
      </c>
      <c r="L145">
        <f t="shared" si="7"/>
        <v>1</v>
      </c>
      <c r="M145">
        <f t="shared" si="8"/>
        <v>1</v>
      </c>
    </row>
    <row r="146" spans="1:13" x14ac:dyDescent="0.25">
      <c r="A146" s="2" t="s">
        <v>18</v>
      </c>
      <c r="B146" s="11" t="s">
        <v>198</v>
      </c>
      <c r="C146" s="11" t="s">
        <v>4</v>
      </c>
      <c r="D146" s="11" t="s">
        <v>199</v>
      </c>
      <c r="E146" s="11" t="s">
        <v>82</v>
      </c>
      <c r="F146" s="11" t="s">
        <v>197</v>
      </c>
      <c r="G146" s="12">
        <v>4</v>
      </c>
      <c r="H146" s="12">
        <v>63.9</v>
      </c>
      <c r="I146" s="12">
        <v>255.6</v>
      </c>
      <c r="J146" s="12">
        <v>24582.439999999995</v>
      </c>
      <c r="K146">
        <f t="shared" si="6"/>
        <v>6</v>
      </c>
      <c r="L146">
        <f t="shared" si="7"/>
        <v>1</v>
      </c>
      <c r="M146">
        <f t="shared" si="8"/>
        <v>1</v>
      </c>
    </row>
    <row r="147" spans="1:13" x14ac:dyDescent="0.25">
      <c r="A147" s="2" t="s">
        <v>201</v>
      </c>
      <c r="B147" s="11" t="s">
        <v>202</v>
      </c>
      <c r="C147" s="11" t="s">
        <v>4</v>
      </c>
      <c r="D147" s="11" t="s">
        <v>5</v>
      </c>
      <c r="E147" s="11" t="s">
        <v>203</v>
      </c>
      <c r="F147" s="11" t="s">
        <v>204</v>
      </c>
      <c r="G147" s="12">
        <v>840</v>
      </c>
      <c r="H147" s="12">
        <v>12.73</v>
      </c>
      <c r="I147" s="12">
        <v>10693.2</v>
      </c>
      <c r="J147" s="12">
        <v>10693.2</v>
      </c>
      <c r="K147">
        <f t="shared" si="6"/>
        <v>6</v>
      </c>
      <c r="L147">
        <f t="shared" si="7"/>
        <v>1</v>
      </c>
      <c r="M147">
        <f t="shared" si="8"/>
        <v>1</v>
      </c>
    </row>
    <row r="148" spans="1:13" x14ac:dyDescent="0.25">
      <c r="A148" s="2" t="s">
        <v>201</v>
      </c>
      <c r="B148" s="11" t="s">
        <v>202</v>
      </c>
      <c r="C148" s="11" t="s">
        <v>4</v>
      </c>
      <c r="D148" s="11" t="s">
        <v>5</v>
      </c>
      <c r="E148" s="11" t="s">
        <v>205</v>
      </c>
      <c r="F148" s="11" t="s">
        <v>206</v>
      </c>
      <c r="G148" s="12">
        <v>104</v>
      </c>
      <c r="H148" s="12">
        <v>10.06</v>
      </c>
      <c r="I148" s="12">
        <v>1046.24</v>
      </c>
      <c r="J148" s="12">
        <v>11739.44</v>
      </c>
      <c r="K148">
        <f t="shared" si="6"/>
        <v>5</v>
      </c>
      <c r="L148">
        <f t="shared" si="7"/>
        <v>1</v>
      </c>
      <c r="M148">
        <f t="shared" si="8"/>
        <v>1</v>
      </c>
    </row>
    <row r="149" spans="1:13" x14ac:dyDescent="0.25">
      <c r="A149" s="2" t="s">
        <v>201</v>
      </c>
      <c r="B149" s="11" t="s">
        <v>202</v>
      </c>
      <c r="C149" s="11" t="s">
        <v>4</v>
      </c>
      <c r="D149" s="11" t="s">
        <v>5</v>
      </c>
      <c r="E149" s="11" t="s">
        <v>207</v>
      </c>
      <c r="F149" s="11" t="s">
        <v>208</v>
      </c>
      <c r="G149" s="12">
        <v>70</v>
      </c>
      <c r="H149" s="12">
        <v>22.5</v>
      </c>
      <c r="I149" s="12">
        <v>1575</v>
      </c>
      <c r="J149" s="12">
        <v>13314.44</v>
      </c>
      <c r="K149">
        <f t="shared" si="6"/>
        <v>3</v>
      </c>
      <c r="L149">
        <f t="shared" si="7"/>
        <v>1</v>
      </c>
      <c r="M149">
        <f t="shared" si="8"/>
        <v>1</v>
      </c>
    </row>
    <row r="150" spans="1:13" x14ac:dyDescent="0.25">
      <c r="A150" s="2" t="s">
        <v>201</v>
      </c>
      <c r="B150" s="11" t="s">
        <v>202</v>
      </c>
      <c r="C150" s="11" t="s">
        <v>4</v>
      </c>
      <c r="D150" s="11" t="s">
        <v>5</v>
      </c>
      <c r="E150" s="11" t="s">
        <v>209</v>
      </c>
      <c r="F150" s="11" t="s">
        <v>210</v>
      </c>
      <c r="G150" s="12">
        <v>416</v>
      </c>
      <c r="H150" s="12">
        <v>4.9850000000000003</v>
      </c>
      <c r="I150" s="12">
        <v>2073.7600000000002</v>
      </c>
      <c r="J150" s="12">
        <v>15388.2</v>
      </c>
      <c r="K150">
        <f t="shared" si="6"/>
        <v>10</v>
      </c>
      <c r="L150">
        <f t="shared" si="7"/>
        <v>1</v>
      </c>
      <c r="M150">
        <f t="shared" si="8"/>
        <v>1</v>
      </c>
    </row>
    <row r="151" spans="1:13" x14ac:dyDescent="0.25">
      <c r="A151" s="2" t="s">
        <v>201</v>
      </c>
      <c r="B151" s="11" t="s">
        <v>202</v>
      </c>
      <c r="C151" s="11" t="s">
        <v>4</v>
      </c>
      <c r="D151" s="11" t="s">
        <v>5</v>
      </c>
      <c r="E151" s="11" t="s">
        <v>211</v>
      </c>
      <c r="F151" s="11" t="s">
        <v>212</v>
      </c>
      <c r="G151" s="12">
        <v>104</v>
      </c>
      <c r="H151" s="12">
        <v>11.94</v>
      </c>
      <c r="I151" s="12">
        <v>1241.76</v>
      </c>
      <c r="J151" s="12">
        <v>16629.96</v>
      </c>
      <c r="K151">
        <f t="shared" si="6"/>
        <v>4</v>
      </c>
      <c r="L151">
        <f t="shared" si="7"/>
        <v>1</v>
      </c>
      <c r="M151">
        <f t="shared" si="8"/>
        <v>1</v>
      </c>
    </row>
    <row r="152" spans="1:13" x14ac:dyDescent="0.25">
      <c r="A152" s="16" t="s">
        <v>201</v>
      </c>
      <c r="B152" s="17" t="s">
        <v>213</v>
      </c>
      <c r="C152" s="17" t="s">
        <v>214</v>
      </c>
      <c r="D152" s="17" t="s">
        <v>5</v>
      </c>
      <c r="E152" s="17" t="s">
        <v>203</v>
      </c>
      <c r="F152" s="17" t="s">
        <v>204</v>
      </c>
      <c r="G152" s="18">
        <v>-80</v>
      </c>
      <c r="H152" s="18">
        <v>12.73</v>
      </c>
      <c r="I152" s="18">
        <v>-1018.4</v>
      </c>
      <c r="J152" s="18">
        <v>15611.56</v>
      </c>
      <c r="K152" s="19">
        <f t="shared" si="6"/>
        <v>6</v>
      </c>
      <c r="L152" s="19">
        <f t="shared" si="7"/>
        <v>0</v>
      </c>
      <c r="M152">
        <f t="shared" si="8"/>
        <v>1</v>
      </c>
    </row>
    <row r="153" spans="1:13" x14ac:dyDescent="0.25">
      <c r="A153" s="16" t="s">
        <v>201</v>
      </c>
      <c r="B153" s="17" t="s">
        <v>213</v>
      </c>
      <c r="C153" s="17" t="s">
        <v>214</v>
      </c>
      <c r="D153" s="17" t="s">
        <v>5</v>
      </c>
      <c r="E153" s="17" t="s">
        <v>215</v>
      </c>
      <c r="F153" s="17" t="s">
        <v>216</v>
      </c>
      <c r="G153" s="18">
        <v>-1</v>
      </c>
      <c r="H153" s="18">
        <v>204.88</v>
      </c>
      <c r="I153" s="18">
        <v>-204.88</v>
      </c>
      <c r="J153" s="18">
        <v>15406.68</v>
      </c>
      <c r="K153" s="19">
        <f t="shared" si="6"/>
        <v>1</v>
      </c>
      <c r="L153" s="19">
        <f t="shared" si="7"/>
        <v>0</v>
      </c>
      <c r="M153">
        <f t="shared" si="8"/>
        <v>1</v>
      </c>
    </row>
    <row r="154" spans="1:13" x14ac:dyDescent="0.25">
      <c r="A154" s="2" t="s">
        <v>201</v>
      </c>
      <c r="B154" s="11" t="s">
        <v>217</v>
      </c>
      <c r="C154" s="11" t="s">
        <v>4</v>
      </c>
      <c r="D154" s="11" t="s">
        <v>5</v>
      </c>
      <c r="E154" s="11" t="s">
        <v>209</v>
      </c>
      <c r="F154" s="11" t="s">
        <v>218</v>
      </c>
      <c r="G154" s="12">
        <v>1664</v>
      </c>
      <c r="H154" s="12">
        <v>5.2350000000000003</v>
      </c>
      <c r="I154" s="12">
        <v>8711.0400000000009</v>
      </c>
      <c r="J154" s="12">
        <v>24117.72</v>
      </c>
      <c r="K154">
        <f t="shared" si="6"/>
        <v>10</v>
      </c>
      <c r="L154">
        <f t="shared" si="7"/>
        <v>1</v>
      </c>
      <c r="M154">
        <f t="shared" si="8"/>
        <v>1</v>
      </c>
    </row>
    <row r="155" spans="1:13" x14ac:dyDescent="0.25">
      <c r="A155" s="2" t="s">
        <v>201</v>
      </c>
      <c r="B155" s="11" t="s">
        <v>217</v>
      </c>
      <c r="C155" s="11" t="s">
        <v>4</v>
      </c>
      <c r="D155" s="11" t="s">
        <v>5</v>
      </c>
      <c r="E155" s="11" t="s">
        <v>205</v>
      </c>
      <c r="F155" s="11" t="s">
        <v>219</v>
      </c>
      <c r="G155" s="12">
        <v>104</v>
      </c>
      <c r="H155" s="12">
        <v>12.44</v>
      </c>
      <c r="I155" s="12">
        <v>1293.76</v>
      </c>
      <c r="J155" s="12">
        <v>25411.48</v>
      </c>
      <c r="K155">
        <f t="shared" si="6"/>
        <v>5</v>
      </c>
      <c r="L155">
        <f t="shared" si="7"/>
        <v>1</v>
      </c>
      <c r="M155">
        <f t="shared" si="8"/>
        <v>1</v>
      </c>
    </row>
    <row r="156" spans="1:13" x14ac:dyDescent="0.25">
      <c r="A156" s="2" t="s">
        <v>201</v>
      </c>
      <c r="B156" s="11" t="s">
        <v>19</v>
      </c>
      <c r="C156" s="11" t="s">
        <v>4</v>
      </c>
      <c r="D156" s="11" t="s">
        <v>5</v>
      </c>
      <c r="E156" s="11" t="s">
        <v>209</v>
      </c>
      <c r="F156" s="11" t="s">
        <v>218</v>
      </c>
      <c r="G156" s="12">
        <v>416</v>
      </c>
      <c r="H156" s="12">
        <v>5.2350000000000003</v>
      </c>
      <c r="I156" s="12">
        <v>2177.7600000000002</v>
      </c>
      <c r="J156" s="12">
        <v>27589.239999999998</v>
      </c>
      <c r="K156">
        <f t="shared" si="6"/>
        <v>10</v>
      </c>
      <c r="L156">
        <f t="shared" si="7"/>
        <v>1</v>
      </c>
      <c r="M156">
        <f t="shared" si="8"/>
        <v>1</v>
      </c>
    </row>
    <row r="157" spans="1:13" x14ac:dyDescent="0.25">
      <c r="A157" s="2" t="s">
        <v>201</v>
      </c>
      <c r="B157" s="11" t="s">
        <v>19</v>
      </c>
      <c r="C157" s="11" t="s">
        <v>4</v>
      </c>
      <c r="D157" s="11" t="s">
        <v>5</v>
      </c>
      <c r="E157" s="11" t="s">
        <v>211</v>
      </c>
      <c r="F157" s="11" t="s">
        <v>220</v>
      </c>
      <c r="G157" s="12">
        <v>208</v>
      </c>
      <c r="H157" s="12">
        <v>12.44</v>
      </c>
      <c r="I157" s="12">
        <v>2587.52</v>
      </c>
      <c r="J157" s="12">
        <v>30176.76</v>
      </c>
      <c r="K157">
        <f t="shared" si="6"/>
        <v>4</v>
      </c>
      <c r="L157">
        <f t="shared" si="7"/>
        <v>1</v>
      </c>
      <c r="M157">
        <f t="shared" si="8"/>
        <v>1</v>
      </c>
    </row>
    <row r="158" spans="1:13" x14ac:dyDescent="0.25">
      <c r="A158" s="2" t="s">
        <v>201</v>
      </c>
      <c r="B158" s="11" t="s">
        <v>19</v>
      </c>
      <c r="C158" s="11" t="s">
        <v>4</v>
      </c>
      <c r="D158" s="11" t="s">
        <v>5</v>
      </c>
      <c r="E158" s="11" t="s">
        <v>221</v>
      </c>
      <c r="F158" s="11" t="s">
        <v>222</v>
      </c>
      <c r="G158" s="12">
        <v>50</v>
      </c>
      <c r="H158" s="12">
        <v>16</v>
      </c>
      <c r="I158" s="12">
        <v>800</v>
      </c>
      <c r="J158" s="12">
        <v>30976.76</v>
      </c>
      <c r="K158">
        <f t="shared" si="6"/>
        <v>2</v>
      </c>
      <c r="L158">
        <f t="shared" si="7"/>
        <v>1</v>
      </c>
      <c r="M158">
        <f t="shared" si="8"/>
        <v>1</v>
      </c>
    </row>
    <row r="159" spans="1:13" x14ac:dyDescent="0.25">
      <c r="A159" s="16" t="s">
        <v>201</v>
      </c>
      <c r="B159" s="17" t="s">
        <v>223</v>
      </c>
      <c r="C159" s="17" t="s">
        <v>214</v>
      </c>
      <c r="D159" s="17" t="s">
        <v>5</v>
      </c>
      <c r="E159" s="17" t="s">
        <v>211</v>
      </c>
      <c r="F159" s="17" t="s">
        <v>220</v>
      </c>
      <c r="G159" s="18">
        <v>-8</v>
      </c>
      <c r="H159" s="18">
        <v>12.44</v>
      </c>
      <c r="I159" s="18">
        <v>-99.52</v>
      </c>
      <c r="J159" s="18">
        <v>30877.239999999998</v>
      </c>
      <c r="K159" s="19">
        <f t="shared" si="6"/>
        <v>4</v>
      </c>
      <c r="L159" s="19">
        <f t="shared" si="7"/>
        <v>0</v>
      </c>
      <c r="M159">
        <f t="shared" si="8"/>
        <v>1</v>
      </c>
    </row>
    <row r="160" spans="1:13" x14ac:dyDescent="0.25">
      <c r="A160" s="2" t="s">
        <v>201</v>
      </c>
      <c r="B160" s="11" t="s">
        <v>224</v>
      </c>
      <c r="C160" s="11" t="s">
        <v>4</v>
      </c>
      <c r="D160" s="11" t="s">
        <v>225</v>
      </c>
      <c r="E160" s="11" t="s">
        <v>203</v>
      </c>
      <c r="F160" s="11" t="s">
        <v>226</v>
      </c>
      <c r="G160" s="12">
        <v>240</v>
      </c>
      <c r="H160" s="12">
        <v>13.28</v>
      </c>
      <c r="I160" s="12">
        <v>3187.2</v>
      </c>
      <c r="J160" s="12">
        <v>34064.439999999995</v>
      </c>
      <c r="K160">
        <f t="shared" si="6"/>
        <v>6</v>
      </c>
      <c r="L160">
        <f t="shared" si="7"/>
        <v>1</v>
      </c>
      <c r="M160">
        <f t="shared" si="8"/>
        <v>1</v>
      </c>
    </row>
    <row r="161" spans="1:13" x14ac:dyDescent="0.25">
      <c r="A161" s="2" t="s">
        <v>201</v>
      </c>
      <c r="B161" s="11" t="s">
        <v>224</v>
      </c>
      <c r="C161" s="11" t="s">
        <v>4</v>
      </c>
      <c r="D161" s="11" t="s">
        <v>225</v>
      </c>
      <c r="E161" s="11" t="s">
        <v>209</v>
      </c>
      <c r="F161" s="11" t="s">
        <v>218</v>
      </c>
      <c r="G161" s="12">
        <v>824</v>
      </c>
      <c r="H161" s="12">
        <v>5.2350000000000003</v>
      </c>
      <c r="I161" s="12">
        <v>4313.6400000000003</v>
      </c>
      <c r="J161" s="12">
        <v>38378.079999999994</v>
      </c>
      <c r="K161">
        <f t="shared" si="6"/>
        <v>10</v>
      </c>
      <c r="L161">
        <f t="shared" si="7"/>
        <v>1</v>
      </c>
      <c r="M161">
        <f t="shared" si="8"/>
        <v>1</v>
      </c>
    </row>
    <row r="162" spans="1:13" x14ac:dyDescent="0.25">
      <c r="A162" s="2" t="s">
        <v>201</v>
      </c>
      <c r="B162" s="11" t="s">
        <v>224</v>
      </c>
      <c r="C162" s="11" t="s">
        <v>4</v>
      </c>
      <c r="D162" s="11" t="s">
        <v>225</v>
      </c>
      <c r="E162" s="11" t="s">
        <v>205</v>
      </c>
      <c r="F162" s="11" t="s">
        <v>219</v>
      </c>
      <c r="G162" s="12">
        <v>312</v>
      </c>
      <c r="H162" s="12">
        <v>10.56</v>
      </c>
      <c r="I162" s="12">
        <v>3294.72</v>
      </c>
      <c r="J162" s="12">
        <v>41672.799999999996</v>
      </c>
      <c r="K162">
        <f t="shared" si="6"/>
        <v>5</v>
      </c>
      <c r="L162">
        <f t="shared" si="7"/>
        <v>1</v>
      </c>
      <c r="M162">
        <f t="shared" si="8"/>
        <v>1</v>
      </c>
    </row>
    <row r="163" spans="1:13" x14ac:dyDescent="0.25">
      <c r="A163" s="2" t="s">
        <v>201</v>
      </c>
      <c r="B163" s="11" t="s">
        <v>227</v>
      </c>
      <c r="C163" s="11" t="s">
        <v>4</v>
      </c>
      <c r="D163" s="11" t="s">
        <v>228</v>
      </c>
      <c r="E163" s="11" t="s">
        <v>203</v>
      </c>
      <c r="F163" s="11" t="s">
        <v>226</v>
      </c>
      <c r="G163" s="12">
        <v>240</v>
      </c>
      <c r="H163" s="12">
        <v>13.28</v>
      </c>
      <c r="I163" s="12">
        <v>3187.2</v>
      </c>
      <c r="J163" s="12">
        <v>44859.999999999993</v>
      </c>
      <c r="K163">
        <f t="shared" si="6"/>
        <v>6</v>
      </c>
      <c r="L163">
        <f t="shared" si="7"/>
        <v>1</v>
      </c>
      <c r="M163">
        <f t="shared" si="8"/>
        <v>1</v>
      </c>
    </row>
    <row r="164" spans="1:13" x14ac:dyDescent="0.25">
      <c r="A164" s="2" t="s">
        <v>201</v>
      </c>
      <c r="B164" s="11" t="s">
        <v>227</v>
      </c>
      <c r="C164" s="11" t="s">
        <v>4</v>
      </c>
      <c r="D164" s="11" t="s">
        <v>228</v>
      </c>
      <c r="E164" s="11" t="s">
        <v>209</v>
      </c>
      <c r="F164" s="11" t="s">
        <v>218</v>
      </c>
      <c r="G164" s="12">
        <v>832</v>
      </c>
      <c r="H164" s="12">
        <v>5.2350000000000003</v>
      </c>
      <c r="I164" s="12">
        <v>4355.5200000000004</v>
      </c>
      <c r="J164" s="12">
        <v>49215.51999999999</v>
      </c>
      <c r="K164">
        <f t="shared" si="6"/>
        <v>10</v>
      </c>
      <c r="L164">
        <f t="shared" si="7"/>
        <v>1</v>
      </c>
      <c r="M164">
        <f t="shared" si="8"/>
        <v>1</v>
      </c>
    </row>
    <row r="165" spans="1:13" x14ac:dyDescent="0.25">
      <c r="A165" s="2" t="s">
        <v>201</v>
      </c>
      <c r="B165" s="11" t="s">
        <v>227</v>
      </c>
      <c r="C165" s="11" t="s">
        <v>4</v>
      </c>
      <c r="D165" s="11" t="s">
        <v>228</v>
      </c>
      <c r="E165" s="11" t="s">
        <v>211</v>
      </c>
      <c r="F165" s="11" t="s">
        <v>220</v>
      </c>
      <c r="G165" s="12">
        <v>100</v>
      </c>
      <c r="H165" s="12">
        <v>12.44</v>
      </c>
      <c r="I165" s="12">
        <v>1244</v>
      </c>
      <c r="J165" s="12">
        <v>50459.51999999999</v>
      </c>
      <c r="K165">
        <f t="shared" si="6"/>
        <v>4</v>
      </c>
      <c r="L165">
        <f t="shared" si="7"/>
        <v>1</v>
      </c>
      <c r="M165">
        <f t="shared" si="8"/>
        <v>1</v>
      </c>
    </row>
    <row r="166" spans="1:13" x14ac:dyDescent="0.25">
      <c r="A166" s="2" t="s">
        <v>201</v>
      </c>
      <c r="B166" s="11" t="s">
        <v>227</v>
      </c>
      <c r="C166" s="11" t="s">
        <v>4</v>
      </c>
      <c r="D166" s="11" t="s">
        <v>228</v>
      </c>
      <c r="E166" s="11" t="s">
        <v>207</v>
      </c>
      <c r="F166" s="11" t="s">
        <v>229</v>
      </c>
      <c r="G166" s="12">
        <v>70</v>
      </c>
      <c r="H166" s="12">
        <v>24.25</v>
      </c>
      <c r="I166" s="12">
        <v>1697.5</v>
      </c>
      <c r="J166" s="12">
        <v>52157.01999999999</v>
      </c>
      <c r="K166">
        <f t="shared" si="6"/>
        <v>3</v>
      </c>
      <c r="L166">
        <f t="shared" si="7"/>
        <v>1</v>
      </c>
      <c r="M166">
        <f t="shared" si="8"/>
        <v>1</v>
      </c>
    </row>
    <row r="167" spans="1:13" x14ac:dyDescent="0.25">
      <c r="A167" s="2" t="s">
        <v>201</v>
      </c>
      <c r="B167" s="11" t="s">
        <v>227</v>
      </c>
      <c r="C167" s="11" t="s">
        <v>4</v>
      </c>
      <c r="D167" s="11" t="s">
        <v>228</v>
      </c>
      <c r="E167" s="11" t="s">
        <v>221</v>
      </c>
      <c r="F167" s="11" t="s">
        <v>222</v>
      </c>
      <c r="G167" s="12">
        <v>50</v>
      </c>
      <c r="H167" s="12">
        <v>16</v>
      </c>
      <c r="I167" s="12">
        <v>800</v>
      </c>
      <c r="J167" s="12">
        <v>52957.01999999999</v>
      </c>
      <c r="K167">
        <f t="shared" si="6"/>
        <v>2</v>
      </c>
      <c r="L167">
        <f t="shared" si="7"/>
        <v>1</v>
      </c>
      <c r="M167">
        <f t="shared" si="8"/>
        <v>1</v>
      </c>
    </row>
    <row r="168" spans="1:13" x14ac:dyDescent="0.25">
      <c r="A168" s="16" t="s">
        <v>201</v>
      </c>
      <c r="B168" s="17" t="s">
        <v>230</v>
      </c>
      <c r="C168" s="17" t="s">
        <v>214</v>
      </c>
      <c r="D168" s="17" t="s">
        <v>231</v>
      </c>
      <c r="E168" s="17" t="s">
        <v>205</v>
      </c>
      <c r="F168" s="17" t="s">
        <v>219</v>
      </c>
      <c r="G168" s="18">
        <v>-100</v>
      </c>
      <c r="H168" s="18">
        <v>10.56</v>
      </c>
      <c r="I168" s="18">
        <v>-1056</v>
      </c>
      <c r="J168" s="18">
        <v>51901.01999999999</v>
      </c>
      <c r="K168" s="19">
        <f t="shared" si="6"/>
        <v>5</v>
      </c>
      <c r="L168" s="19">
        <f t="shared" si="7"/>
        <v>0</v>
      </c>
      <c r="M168">
        <f t="shared" si="8"/>
        <v>1</v>
      </c>
    </row>
    <row r="169" spans="1:13" x14ac:dyDescent="0.25">
      <c r="A169" s="16" t="s">
        <v>201</v>
      </c>
      <c r="B169" s="17" t="s">
        <v>230</v>
      </c>
      <c r="C169" s="17" t="s">
        <v>214</v>
      </c>
      <c r="D169" s="17" t="s">
        <v>231</v>
      </c>
      <c r="E169" s="17" t="s">
        <v>209</v>
      </c>
      <c r="F169" s="17" t="s">
        <v>218</v>
      </c>
      <c r="G169" s="18">
        <v>-824</v>
      </c>
      <c r="H169" s="18">
        <v>5.2350000000000003</v>
      </c>
      <c r="I169" s="18">
        <v>-4313.6400000000003</v>
      </c>
      <c r="J169" s="18">
        <v>47587.37999999999</v>
      </c>
      <c r="K169" s="19">
        <f t="shared" si="6"/>
        <v>10</v>
      </c>
      <c r="L169" s="19">
        <f t="shared" si="7"/>
        <v>0</v>
      </c>
      <c r="M169">
        <f t="shared" si="8"/>
        <v>1</v>
      </c>
    </row>
    <row r="170" spans="1:13" x14ac:dyDescent="0.25">
      <c r="A170" s="16" t="s">
        <v>201</v>
      </c>
      <c r="B170" s="17" t="s">
        <v>230</v>
      </c>
      <c r="C170" s="17" t="s">
        <v>214</v>
      </c>
      <c r="D170" s="17" t="s">
        <v>231</v>
      </c>
      <c r="E170" s="17" t="s">
        <v>209</v>
      </c>
      <c r="F170" s="17" t="s">
        <v>218</v>
      </c>
      <c r="G170" s="18">
        <v>-832</v>
      </c>
      <c r="H170" s="18">
        <v>5.2350000000000003</v>
      </c>
      <c r="I170" s="18">
        <v>-4355.5200000000004</v>
      </c>
      <c r="J170" s="18">
        <v>43231.859999999986</v>
      </c>
      <c r="K170" s="19">
        <f t="shared" si="6"/>
        <v>10</v>
      </c>
      <c r="L170" s="19">
        <f t="shared" si="7"/>
        <v>0</v>
      </c>
      <c r="M170">
        <f t="shared" si="8"/>
        <v>1</v>
      </c>
    </row>
    <row r="171" spans="1:13" x14ac:dyDescent="0.25">
      <c r="A171" s="2" t="s">
        <v>201</v>
      </c>
      <c r="B171" s="11" t="s">
        <v>232</v>
      </c>
      <c r="C171" s="11" t="s">
        <v>4</v>
      </c>
      <c r="D171" s="11" t="s">
        <v>233</v>
      </c>
      <c r="E171" s="11" t="s">
        <v>203</v>
      </c>
      <c r="F171" s="11" t="s">
        <v>226</v>
      </c>
      <c r="G171" s="12">
        <v>160</v>
      </c>
      <c r="H171" s="12">
        <v>13.28</v>
      </c>
      <c r="I171" s="12">
        <v>2124.8000000000002</v>
      </c>
      <c r="J171" s="12">
        <v>45356.659999999989</v>
      </c>
      <c r="K171">
        <f t="shared" si="6"/>
        <v>6</v>
      </c>
      <c r="L171">
        <f t="shared" si="7"/>
        <v>1</v>
      </c>
      <c r="M171">
        <f t="shared" si="8"/>
        <v>1</v>
      </c>
    </row>
    <row r="172" spans="1:13" x14ac:dyDescent="0.25">
      <c r="A172" s="2" t="s">
        <v>201</v>
      </c>
      <c r="B172" s="11" t="s">
        <v>232</v>
      </c>
      <c r="C172" s="11" t="s">
        <v>4</v>
      </c>
      <c r="D172" s="11" t="s">
        <v>233</v>
      </c>
      <c r="E172" s="11" t="s">
        <v>209</v>
      </c>
      <c r="F172" s="11" t="s">
        <v>218</v>
      </c>
      <c r="G172" s="12">
        <v>832</v>
      </c>
      <c r="H172" s="12">
        <v>5.2350000000000003</v>
      </c>
      <c r="I172" s="12">
        <v>4355.5200000000004</v>
      </c>
      <c r="J172" s="12">
        <v>49712.179999999993</v>
      </c>
      <c r="K172">
        <f t="shared" si="6"/>
        <v>10</v>
      </c>
      <c r="L172">
        <f t="shared" si="7"/>
        <v>1</v>
      </c>
      <c r="M172">
        <f t="shared" si="8"/>
        <v>1</v>
      </c>
    </row>
    <row r="173" spans="1:13" x14ac:dyDescent="0.25">
      <c r="A173" s="2" t="s">
        <v>201</v>
      </c>
      <c r="B173" s="11" t="s">
        <v>232</v>
      </c>
      <c r="C173" s="11" t="s">
        <v>4</v>
      </c>
      <c r="D173" s="11" t="s">
        <v>233</v>
      </c>
      <c r="E173" s="11" t="s">
        <v>234</v>
      </c>
      <c r="F173" s="11" t="s">
        <v>235</v>
      </c>
      <c r="G173" s="12">
        <v>100</v>
      </c>
      <c r="H173" s="12">
        <v>38</v>
      </c>
      <c r="I173" s="12">
        <v>3800</v>
      </c>
      <c r="J173" s="12">
        <v>53512.179999999993</v>
      </c>
      <c r="K173">
        <f t="shared" si="6"/>
        <v>2</v>
      </c>
      <c r="L173">
        <f t="shared" si="7"/>
        <v>1</v>
      </c>
      <c r="M173">
        <f t="shared" si="8"/>
        <v>1</v>
      </c>
    </row>
    <row r="174" spans="1:13" x14ac:dyDescent="0.25">
      <c r="A174" s="16" t="s">
        <v>201</v>
      </c>
      <c r="B174" s="17" t="s">
        <v>236</v>
      </c>
      <c r="C174" s="17" t="s">
        <v>214</v>
      </c>
      <c r="D174" s="17" t="s">
        <v>5</v>
      </c>
      <c r="E174" s="17" t="s">
        <v>209</v>
      </c>
      <c r="F174" s="17" t="s">
        <v>218</v>
      </c>
      <c r="G174" s="18">
        <v>-208</v>
      </c>
      <c r="H174" s="18">
        <v>5.2350000000000003</v>
      </c>
      <c r="I174" s="18">
        <v>-1088.8800000000001</v>
      </c>
      <c r="J174" s="18">
        <v>52423.299999999996</v>
      </c>
      <c r="K174" s="19">
        <f t="shared" si="6"/>
        <v>10</v>
      </c>
      <c r="L174" s="19">
        <f t="shared" si="7"/>
        <v>0</v>
      </c>
      <c r="M174">
        <f t="shared" si="8"/>
        <v>1</v>
      </c>
    </row>
    <row r="175" spans="1:13" x14ac:dyDescent="0.25">
      <c r="A175" s="2" t="s">
        <v>201</v>
      </c>
      <c r="B175" s="11" t="s">
        <v>237</v>
      </c>
      <c r="C175" s="11" t="s">
        <v>4</v>
      </c>
      <c r="D175" s="11" t="s">
        <v>238</v>
      </c>
      <c r="E175" s="11" t="s">
        <v>203</v>
      </c>
      <c r="F175" s="11" t="s">
        <v>226</v>
      </c>
      <c r="G175" s="12">
        <v>240</v>
      </c>
      <c r="H175" s="12">
        <v>13.28</v>
      </c>
      <c r="I175" s="12">
        <v>3187.2</v>
      </c>
      <c r="J175" s="12">
        <v>55610.499999999993</v>
      </c>
      <c r="K175">
        <f t="shared" si="6"/>
        <v>6</v>
      </c>
      <c r="L175">
        <f t="shared" si="7"/>
        <v>1</v>
      </c>
      <c r="M175">
        <f t="shared" si="8"/>
        <v>1</v>
      </c>
    </row>
    <row r="176" spans="1:13" x14ac:dyDescent="0.25">
      <c r="A176" s="2" t="s">
        <v>201</v>
      </c>
      <c r="B176" s="11" t="s">
        <v>237</v>
      </c>
      <c r="C176" s="11" t="s">
        <v>4</v>
      </c>
      <c r="D176" s="11" t="s">
        <v>238</v>
      </c>
      <c r="E176" s="11" t="s">
        <v>234</v>
      </c>
      <c r="F176" s="11" t="s">
        <v>235</v>
      </c>
      <c r="G176" s="12">
        <v>50</v>
      </c>
      <c r="H176" s="12">
        <v>38</v>
      </c>
      <c r="I176" s="12">
        <v>1900</v>
      </c>
      <c r="J176" s="12">
        <v>57510.499999999993</v>
      </c>
      <c r="K176">
        <f t="shared" si="6"/>
        <v>2</v>
      </c>
      <c r="L176">
        <f t="shared" si="7"/>
        <v>1</v>
      </c>
      <c r="M176">
        <f t="shared" si="8"/>
        <v>1</v>
      </c>
    </row>
    <row r="177" spans="1:13" x14ac:dyDescent="0.25">
      <c r="A177" s="2" t="s">
        <v>201</v>
      </c>
      <c r="B177" s="11" t="s">
        <v>237</v>
      </c>
      <c r="C177" s="11" t="s">
        <v>4</v>
      </c>
      <c r="D177" s="11" t="s">
        <v>238</v>
      </c>
      <c r="E177" s="11" t="s">
        <v>205</v>
      </c>
      <c r="F177" s="11" t="s">
        <v>219</v>
      </c>
      <c r="G177" s="12">
        <v>104</v>
      </c>
      <c r="H177" s="12">
        <v>10.56</v>
      </c>
      <c r="I177" s="12">
        <v>1098.24</v>
      </c>
      <c r="J177" s="12">
        <v>58608.739999999991</v>
      </c>
      <c r="K177">
        <f t="shared" si="6"/>
        <v>5</v>
      </c>
      <c r="L177">
        <f t="shared" si="7"/>
        <v>1</v>
      </c>
      <c r="M177">
        <f t="shared" si="8"/>
        <v>1</v>
      </c>
    </row>
    <row r="178" spans="1:13" x14ac:dyDescent="0.25">
      <c r="A178" s="2" t="s">
        <v>201</v>
      </c>
      <c r="B178" s="11" t="s">
        <v>237</v>
      </c>
      <c r="C178" s="11" t="s">
        <v>4</v>
      </c>
      <c r="D178" s="11" t="s">
        <v>238</v>
      </c>
      <c r="E178" s="11" t="s">
        <v>207</v>
      </c>
      <c r="F178" s="11" t="s">
        <v>229</v>
      </c>
      <c r="G178" s="12">
        <v>70</v>
      </c>
      <c r="H178" s="12">
        <v>24.25</v>
      </c>
      <c r="I178" s="12">
        <v>1697.5</v>
      </c>
      <c r="J178" s="12">
        <v>60306.239999999991</v>
      </c>
      <c r="K178">
        <f t="shared" si="6"/>
        <v>3</v>
      </c>
      <c r="L178">
        <f t="shared" si="7"/>
        <v>1</v>
      </c>
      <c r="M178">
        <f t="shared" si="8"/>
        <v>1</v>
      </c>
    </row>
    <row r="179" spans="1:13" x14ac:dyDescent="0.25">
      <c r="A179" s="16" t="s">
        <v>201</v>
      </c>
      <c r="B179" s="17" t="s">
        <v>237</v>
      </c>
      <c r="C179" s="17" t="s">
        <v>4</v>
      </c>
      <c r="D179" s="17" t="s">
        <v>238</v>
      </c>
      <c r="E179" s="17" t="s">
        <v>209</v>
      </c>
      <c r="F179" s="17" t="s">
        <v>218</v>
      </c>
      <c r="G179" s="18">
        <v>208</v>
      </c>
      <c r="H179" s="18">
        <v>5.2350000000000003</v>
      </c>
      <c r="I179" s="18">
        <v>1088.8800000000001</v>
      </c>
      <c r="J179" s="18">
        <v>61395.119999999988</v>
      </c>
      <c r="K179" s="19">
        <f t="shared" si="6"/>
        <v>10</v>
      </c>
      <c r="L179" s="19">
        <f t="shared" si="7"/>
        <v>1</v>
      </c>
      <c r="M179">
        <f t="shared" si="8"/>
        <v>1</v>
      </c>
    </row>
    <row r="180" spans="1:13" hidden="1" x14ac:dyDescent="0.25">
      <c r="A180" s="16" t="s">
        <v>201</v>
      </c>
      <c r="B180" s="17" t="s">
        <v>237</v>
      </c>
      <c r="C180" s="17" t="s">
        <v>4</v>
      </c>
      <c r="D180" s="17" t="s">
        <v>238</v>
      </c>
      <c r="E180" s="17" t="s">
        <v>239</v>
      </c>
      <c r="F180" s="17" t="s">
        <v>239</v>
      </c>
      <c r="G180" s="18">
        <v>1</v>
      </c>
      <c r="H180" s="18">
        <v>0</v>
      </c>
      <c r="I180" s="18">
        <v>0</v>
      </c>
      <c r="J180" s="18">
        <v>61395.119999999988</v>
      </c>
      <c r="K180">
        <f t="shared" si="6"/>
        <v>1</v>
      </c>
      <c r="L180">
        <f t="shared" si="7"/>
        <v>1</v>
      </c>
      <c r="M180">
        <f t="shared" si="8"/>
        <v>0</v>
      </c>
    </row>
    <row r="181" spans="1:13" hidden="1" x14ac:dyDescent="0.25">
      <c r="A181" s="16" t="s">
        <v>201</v>
      </c>
      <c r="B181" s="17" t="s">
        <v>237</v>
      </c>
      <c r="C181" s="17" t="s">
        <v>4</v>
      </c>
      <c r="D181" s="17" t="s">
        <v>238</v>
      </c>
      <c r="E181" s="17" t="s">
        <v>240</v>
      </c>
      <c r="F181" s="17" t="s">
        <v>240</v>
      </c>
      <c r="G181" s="18">
        <v>1</v>
      </c>
      <c r="H181" s="18">
        <v>0</v>
      </c>
      <c r="I181" s="18">
        <v>0</v>
      </c>
      <c r="J181" s="18">
        <v>61395.119999999988</v>
      </c>
      <c r="K181">
        <f t="shared" si="6"/>
        <v>1</v>
      </c>
      <c r="L181">
        <f t="shared" si="7"/>
        <v>1</v>
      </c>
      <c r="M181">
        <f t="shared" si="8"/>
        <v>0</v>
      </c>
    </row>
    <row r="182" spans="1:13" hidden="1" x14ac:dyDescent="0.25">
      <c r="A182" s="16" t="s">
        <v>201</v>
      </c>
      <c r="B182" s="17" t="s">
        <v>237</v>
      </c>
      <c r="C182" s="17" t="s">
        <v>4</v>
      </c>
      <c r="D182" s="17" t="s">
        <v>238</v>
      </c>
      <c r="E182" s="17" t="s">
        <v>241</v>
      </c>
      <c r="F182" s="17" t="s">
        <v>241</v>
      </c>
      <c r="G182" s="18">
        <v>1</v>
      </c>
      <c r="H182" s="18">
        <v>0</v>
      </c>
      <c r="I182" s="18">
        <v>0</v>
      </c>
      <c r="J182" s="18">
        <v>61395.119999999988</v>
      </c>
      <c r="K182">
        <f t="shared" si="6"/>
        <v>1</v>
      </c>
      <c r="L182">
        <f t="shared" si="7"/>
        <v>1</v>
      </c>
      <c r="M182">
        <f t="shared" si="8"/>
        <v>0</v>
      </c>
    </row>
    <row r="183" spans="1:13" hidden="1" x14ac:dyDescent="0.25">
      <c r="A183" s="16" t="s">
        <v>201</v>
      </c>
      <c r="B183" s="17" t="s">
        <v>237</v>
      </c>
      <c r="C183" s="17" t="s">
        <v>4</v>
      </c>
      <c r="D183" s="17" t="s">
        <v>238</v>
      </c>
      <c r="E183" s="17" t="s">
        <v>242</v>
      </c>
      <c r="F183" s="17" t="s">
        <v>242</v>
      </c>
      <c r="G183" s="18">
        <v>1</v>
      </c>
      <c r="H183" s="18">
        <v>0</v>
      </c>
      <c r="I183" s="18">
        <v>0</v>
      </c>
      <c r="J183" s="18">
        <v>61395.119999999988</v>
      </c>
      <c r="K183">
        <f t="shared" si="6"/>
        <v>1</v>
      </c>
      <c r="L183">
        <f t="shared" si="7"/>
        <v>1</v>
      </c>
      <c r="M183">
        <f t="shared" si="8"/>
        <v>0</v>
      </c>
    </row>
    <row r="184" spans="1:13" hidden="1" x14ac:dyDescent="0.25">
      <c r="A184" s="16" t="s">
        <v>201</v>
      </c>
      <c r="B184" s="17" t="s">
        <v>237</v>
      </c>
      <c r="C184" s="17" t="s">
        <v>4</v>
      </c>
      <c r="D184" s="17" t="s">
        <v>238</v>
      </c>
      <c r="E184" s="17" t="s">
        <v>243</v>
      </c>
      <c r="F184" s="17" t="s">
        <v>243</v>
      </c>
      <c r="G184" s="18">
        <v>1</v>
      </c>
      <c r="H184" s="18">
        <v>0</v>
      </c>
      <c r="I184" s="18">
        <v>0</v>
      </c>
      <c r="J184" s="18">
        <v>61395.119999999988</v>
      </c>
      <c r="K184">
        <f t="shared" si="6"/>
        <v>1</v>
      </c>
      <c r="L184">
        <f t="shared" si="7"/>
        <v>1</v>
      </c>
      <c r="M184">
        <f t="shared" si="8"/>
        <v>0</v>
      </c>
    </row>
    <row r="185" spans="1:13" hidden="1" x14ac:dyDescent="0.25">
      <c r="A185" s="16" t="s">
        <v>201</v>
      </c>
      <c r="B185" s="17" t="s">
        <v>237</v>
      </c>
      <c r="C185" s="17" t="s">
        <v>4</v>
      </c>
      <c r="D185" s="17" t="s">
        <v>238</v>
      </c>
      <c r="E185" s="17" t="s">
        <v>244</v>
      </c>
      <c r="F185" s="17" t="s">
        <v>244</v>
      </c>
      <c r="G185" s="18">
        <v>1</v>
      </c>
      <c r="H185" s="18">
        <v>0</v>
      </c>
      <c r="I185" s="18">
        <v>0</v>
      </c>
      <c r="J185" s="18">
        <v>61395.119999999988</v>
      </c>
      <c r="K185">
        <f t="shared" si="6"/>
        <v>1</v>
      </c>
      <c r="L185">
        <f t="shared" si="7"/>
        <v>1</v>
      </c>
      <c r="M185">
        <f t="shared" si="8"/>
        <v>0</v>
      </c>
    </row>
    <row r="186" spans="1:13" hidden="1" x14ac:dyDescent="0.25">
      <c r="A186" s="16" t="s">
        <v>201</v>
      </c>
      <c r="B186" s="17" t="s">
        <v>237</v>
      </c>
      <c r="C186" s="17" t="s">
        <v>4</v>
      </c>
      <c r="D186" s="17" t="s">
        <v>238</v>
      </c>
      <c r="E186" s="17" t="s">
        <v>245</v>
      </c>
      <c r="F186" s="17" t="s">
        <v>245</v>
      </c>
      <c r="G186" s="18">
        <v>1</v>
      </c>
      <c r="H186" s="18">
        <v>0</v>
      </c>
      <c r="I186" s="18">
        <v>0</v>
      </c>
      <c r="J186" s="18">
        <v>61395.119999999988</v>
      </c>
      <c r="K186">
        <f t="shared" si="6"/>
        <v>1</v>
      </c>
      <c r="L186">
        <f t="shared" si="7"/>
        <v>1</v>
      </c>
      <c r="M186">
        <f t="shared" si="8"/>
        <v>0</v>
      </c>
    </row>
    <row r="187" spans="1:13" x14ac:dyDescent="0.25">
      <c r="A187" s="2" t="s">
        <v>247</v>
      </c>
      <c r="B187" s="11" t="s">
        <v>248</v>
      </c>
      <c r="C187" s="11" t="s">
        <v>4</v>
      </c>
      <c r="D187" s="11" t="s">
        <v>249</v>
      </c>
      <c r="E187" s="11" t="s">
        <v>250</v>
      </c>
      <c r="F187" s="11" t="s">
        <v>250</v>
      </c>
      <c r="G187" s="12">
        <v>15</v>
      </c>
      <c r="H187" s="12">
        <v>65.94</v>
      </c>
      <c r="I187" s="12">
        <v>989.1</v>
      </c>
      <c r="J187" s="12">
        <v>989.1</v>
      </c>
      <c r="K187">
        <f t="shared" si="6"/>
        <v>3</v>
      </c>
      <c r="L187">
        <f t="shared" si="7"/>
        <v>1</v>
      </c>
      <c r="M187">
        <f t="shared" si="8"/>
        <v>1</v>
      </c>
    </row>
    <row r="188" spans="1:13" x14ac:dyDescent="0.25">
      <c r="A188" s="2" t="s">
        <v>247</v>
      </c>
      <c r="B188" s="11" t="s">
        <v>251</v>
      </c>
      <c r="C188" s="11" t="s">
        <v>4</v>
      </c>
      <c r="D188" s="11" t="s">
        <v>5</v>
      </c>
      <c r="E188" s="11" t="s">
        <v>250</v>
      </c>
      <c r="F188" s="11" t="s">
        <v>250</v>
      </c>
      <c r="G188" s="12">
        <v>12</v>
      </c>
      <c r="H188" s="12">
        <v>47.94</v>
      </c>
      <c r="I188" s="12">
        <v>575.28</v>
      </c>
      <c r="J188" s="12">
        <v>1564.38</v>
      </c>
      <c r="K188">
        <f t="shared" si="6"/>
        <v>3</v>
      </c>
      <c r="L188">
        <f t="shared" si="7"/>
        <v>1</v>
      </c>
      <c r="M188">
        <f t="shared" si="8"/>
        <v>1</v>
      </c>
    </row>
    <row r="189" spans="1:13" x14ac:dyDescent="0.25">
      <c r="A189" s="2" t="s">
        <v>253</v>
      </c>
      <c r="B189" s="11" t="s">
        <v>254</v>
      </c>
      <c r="C189" s="11" t="s">
        <v>4</v>
      </c>
      <c r="D189" s="11" t="s">
        <v>255</v>
      </c>
      <c r="E189" s="11" t="s">
        <v>250</v>
      </c>
      <c r="F189" s="11" t="s">
        <v>250</v>
      </c>
      <c r="G189" s="12">
        <v>40</v>
      </c>
      <c r="H189" s="12">
        <v>50.153500000000001</v>
      </c>
      <c r="I189" s="12">
        <v>2006.14</v>
      </c>
      <c r="J189" s="12">
        <v>2006.14</v>
      </c>
      <c r="K189">
        <f t="shared" si="6"/>
        <v>3</v>
      </c>
      <c r="L189">
        <f t="shared" si="7"/>
        <v>1</v>
      </c>
      <c r="M189">
        <f t="shared" si="8"/>
        <v>1</v>
      </c>
    </row>
    <row r="190" spans="1:13" x14ac:dyDescent="0.25">
      <c r="A190" s="2" t="s">
        <v>257</v>
      </c>
      <c r="B190" s="11" t="s">
        <v>258</v>
      </c>
      <c r="C190" s="11" t="s">
        <v>4</v>
      </c>
      <c r="D190" s="11" t="s">
        <v>259</v>
      </c>
      <c r="E190" s="11" t="s">
        <v>260</v>
      </c>
      <c r="F190" s="11" t="s">
        <v>260</v>
      </c>
      <c r="G190" s="12">
        <v>48</v>
      </c>
      <c r="H190" s="12">
        <v>30</v>
      </c>
      <c r="I190" s="12">
        <v>1440</v>
      </c>
      <c r="J190" s="12">
        <v>1440</v>
      </c>
      <c r="K190">
        <f t="shared" si="6"/>
        <v>1</v>
      </c>
      <c r="L190">
        <f t="shared" si="7"/>
        <v>1</v>
      </c>
      <c r="M190">
        <f t="shared" si="8"/>
        <v>1</v>
      </c>
    </row>
    <row r="191" spans="1:13" x14ac:dyDescent="0.25">
      <c r="A191" s="2" t="s">
        <v>257</v>
      </c>
      <c r="B191" s="11" t="s">
        <v>258</v>
      </c>
      <c r="C191" s="11" t="s">
        <v>4</v>
      </c>
      <c r="D191" s="11" t="s">
        <v>259</v>
      </c>
      <c r="E191" s="11" t="s">
        <v>261</v>
      </c>
      <c r="F191" s="11" t="s">
        <v>261</v>
      </c>
      <c r="G191" s="12">
        <v>12</v>
      </c>
      <c r="H191" s="12">
        <v>30</v>
      </c>
      <c r="I191" s="12">
        <v>360</v>
      </c>
      <c r="J191" s="12">
        <v>1800</v>
      </c>
      <c r="K191">
        <f t="shared" si="6"/>
        <v>1</v>
      </c>
      <c r="L191">
        <f t="shared" si="7"/>
        <v>1</v>
      </c>
      <c r="M191">
        <f t="shared" si="8"/>
        <v>1</v>
      </c>
    </row>
    <row r="192" spans="1:13" x14ac:dyDescent="0.25">
      <c r="A192" s="2" t="s">
        <v>257</v>
      </c>
      <c r="B192" s="11" t="s">
        <v>258</v>
      </c>
      <c r="C192" s="11" t="s">
        <v>4</v>
      </c>
      <c r="D192" s="11" t="s">
        <v>259</v>
      </c>
      <c r="E192" s="11" t="s">
        <v>262</v>
      </c>
      <c r="F192" s="11" t="s">
        <v>262</v>
      </c>
      <c r="G192" s="12">
        <v>4</v>
      </c>
      <c r="H192" s="12">
        <v>36</v>
      </c>
      <c r="I192" s="12">
        <v>144</v>
      </c>
      <c r="J192" s="12">
        <v>1944</v>
      </c>
      <c r="K192">
        <f t="shared" si="6"/>
        <v>1</v>
      </c>
      <c r="L192">
        <f t="shared" si="7"/>
        <v>1</v>
      </c>
      <c r="M192">
        <f t="shared" si="8"/>
        <v>1</v>
      </c>
    </row>
    <row r="193" spans="1:13" x14ac:dyDescent="0.25">
      <c r="A193" s="2" t="s">
        <v>257</v>
      </c>
      <c r="B193" s="11" t="s">
        <v>258</v>
      </c>
      <c r="C193" s="11" t="s">
        <v>4</v>
      </c>
      <c r="D193" s="11" t="s">
        <v>259</v>
      </c>
      <c r="E193" s="11" t="s">
        <v>263</v>
      </c>
      <c r="F193" s="11" t="s">
        <v>263</v>
      </c>
      <c r="G193" s="12">
        <v>4</v>
      </c>
      <c r="H193" s="12">
        <v>36</v>
      </c>
      <c r="I193" s="12">
        <v>144</v>
      </c>
      <c r="J193" s="12">
        <v>2088</v>
      </c>
      <c r="K193">
        <f t="shared" si="6"/>
        <v>1</v>
      </c>
      <c r="L193">
        <f t="shared" si="7"/>
        <v>1</v>
      </c>
      <c r="M193">
        <f t="shared" si="8"/>
        <v>1</v>
      </c>
    </row>
    <row r="194" spans="1:13" x14ac:dyDescent="0.25">
      <c r="A194" s="2" t="s">
        <v>257</v>
      </c>
      <c r="B194" s="11" t="s">
        <v>258</v>
      </c>
      <c r="C194" s="11" t="s">
        <v>4</v>
      </c>
      <c r="D194" s="11" t="s">
        <v>259</v>
      </c>
      <c r="E194" s="11" t="s">
        <v>264</v>
      </c>
      <c r="F194" s="11" t="s">
        <v>264</v>
      </c>
      <c r="G194" s="12">
        <v>4</v>
      </c>
      <c r="H194" s="12">
        <v>36</v>
      </c>
      <c r="I194" s="12">
        <v>144</v>
      </c>
      <c r="J194" s="12">
        <v>2232</v>
      </c>
      <c r="K194">
        <f t="shared" si="6"/>
        <v>1</v>
      </c>
      <c r="L194">
        <f t="shared" si="7"/>
        <v>1</v>
      </c>
      <c r="M194">
        <f t="shared" si="8"/>
        <v>1</v>
      </c>
    </row>
    <row r="195" spans="1:13" x14ac:dyDescent="0.25">
      <c r="A195" s="2" t="s">
        <v>266</v>
      </c>
      <c r="B195" s="11" t="s">
        <v>267</v>
      </c>
      <c r="C195" s="11" t="s">
        <v>4</v>
      </c>
      <c r="D195" s="11" t="s">
        <v>5</v>
      </c>
      <c r="E195" s="11" t="s">
        <v>268</v>
      </c>
      <c r="F195" s="11" t="s">
        <v>269</v>
      </c>
      <c r="G195" s="12">
        <v>1</v>
      </c>
      <c r="H195" s="12">
        <v>75</v>
      </c>
      <c r="I195" s="12">
        <v>75</v>
      </c>
      <c r="J195" s="12">
        <v>75</v>
      </c>
      <c r="K195">
        <f t="shared" ref="K195:K258" si="9">COUNTIF($E$2:$E$1466,E195)</f>
        <v>1</v>
      </c>
      <c r="L195">
        <f t="shared" ref="L195:L258" si="10">IF(G195&gt;0,1,0)</f>
        <v>1</v>
      </c>
      <c r="M195">
        <f t="shared" ref="M195:M258" si="11">IF(H195&gt;0,1,0)</f>
        <v>1</v>
      </c>
    </row>
    <row r="196" spans="1:13" x14ac:dyDescent="0.25">
      <c r="A196" s="2" t="s">
        <v>266</v>
      </c>
      <c r="B196" s="11" t="s">
        <v>267</v>
      </c>
      <c r="C196" s="11" t="s">
        <v>4</v>
      </c>
      <c r="D196" s="11" t="s">
        <v>5</v>
      </c>
      <c r="E196" s="11" t="s">
        <v>270</v>
      </c>
      <c r="F196" s="11" t="s">
        <v>270</v>
      </c>
      <c r="G196" s="12">
        <v>1</v>
      </c>
      <c r="H196" s="12">
        <v>148</v>
      </c>
      <c r="I196" s="12">
        <v>148</v>
      </c>
      <c r="J196" s="12">
        <v>223</v>
      </c>
      <c r="K196">
        <f t="shared" si="9"/>
        <v>1</v>
      </c>
      <c r="L196">
        <f t="shared" si="10"/>
        <v>1</v>
      </c>
      <c r="M196">
        <f t="shared" si="11"/>
        <v>1</v>
      </c>
    </row>
    <row r="197" spans="1:13" x14ac:dyDescent="0.25">
      <c r="A197" s="2" t="s">
        <v>272</v>
      </c>
      <c r="B197" s="11" t="s">
        <v>273</v>
      </c>
      <c r="C197" s="11" t="s">
        <v>4</v>
      </c>
      <c r="D197" s="11" t="s">
        <v>5</v>
      </c>
      <c r="E197" s="11" t="s">
        <v>274</v>
      </c>
      <c r="F197" s="11" t="s">
        <v>275</v>
      </c>
      <c r="G197" s="12">
        <v>1</v>
      </c>
      <c r="H197" s="12">
        <v>32.5</v>
      </c>
      <c r="I197" s="12">
        <v>32.5</v>
      </c>
      <c r="J197" s="12">
        <v>32.5</v>
      </c>
      <c r="K197">
        <f t="shared" si="9"/>
        <v>1</v>
      </c>
      <c r="L197">
        <f t="shared" si="10"/>
        <v>1</v>
      </c>
      <c r="M197">
        <f t="shared" si="11"/>
        <v>1</v>
      </c>
    </row>
    <row r="198" spans="1:13" x14ac:dyDescent="0.25">
      <c r="A198" s="2" t="s">
        <v>272</v>
      </c>
      <c r="B198" s="11" t="s">
        <v>273</v>
      </c>
      <c r="C198" s="11" t="s">
        <v>4</v>
      </c>
      <c r="D198" s="11" t="s">
        <v>5</v>
      </c>
      <c r="E198" s="11" t="s">
        <v>276</v>
      </c>
      <c r="F198" s="11" t="s">
        <v>277</v>
      </c>
      <c r="G198" s="12">
        <v>1</v>
      </c>
      <c r="H198" s="12">
        <v>30</v>
      </c>
      <c r="I198" s="12">
        <v>30</v>
      </c>
      <c r="J198" s="12">
        <v>62.5</v>
      </c>
      <c r="K198">
        <f t="shared" si="9"/>
        <v>3</v>
      </c>
      <c r="L198">
        <f t="shared" si="10"/>
        <v>1</v>
      </c>
      <c r="M198">
        <f t="shared" si="11"/>
        <v>1</v>
      </c>
    </row>
    <row r="199" spans="1:13" x14ac:dyDescent="0.25">
      <c r="A199" s="2" t="s">
        <v>272</v>
      </c>
      <c r="B199" s="11" t="s">
        <v>273</v>
      </c>
      <c r="C199" s="11" t="s">
        <v>4</v>
      </c>
      <c r="D199" s="11" t="s">
        <v>5</v>
      </c>
      <c r="E199" s="11" t="s">
        <v>278</v>
      </c>
      <c r="F199" s="11" t="s">
        <v>279</v>
      </c>
      <c r="G199" s="12">
        <v>1</v>
      </c>
      <c r="H199" s="12">
        <v>36</v>
      </c>
      <c r="I199" s="12">
        <v>36</v>
      </c>
      <c r="J199" s="12">
        <v>98.5</v>
      </c>
      <c r="K199">
        <f t="shared" si="9"/>
        <v>6</v>
      </c>
      <c r="L199">
        <f t="shared" si="10"/>
        <v>1</v>
      </c>
      <c r="M199">
        <f t="shared" si="11"/>
        <v>1</v>
      </c>
    </row>
    <row r="200" spans="1:13" x14ac:dyDescent="0.25">
      <c r="A200" s="2" t="s">
        <v>272</v>
      </c>
      <c r="B200" s="11" t="s">
        <v>273</v>
      </c>
      <c r="C200" s="11" t="s">
        <v>4</v>
      </c>
      <c r="D200" s="11" t="s">
        <v>5</v>
      </c>
      <c r="E200" s="11" t="s">
        <v>280</v>
      </c>
      <c r="F200" s="11" t="s">
        <v>281</v>
      </c>
      <c r="G200" s="12">
        <v>1</v>
      </c>
      <c r="H200" s="12">
        <v>40</v>
      </c>
      <c r="I200" s="12">
        <v>40</v>
      </c>
      <c r="J200" s="12">
        <v>138.5</v>
      </c>
      <c r="K200">
        <f t="shared" si="9"/>
        <v>5</v>
      </c>
      <c r="L200">
        <f t="shared" si="10"/>
        <v>1</v>
      </c>
      <c r="M200">
        <f t="shared" si="11"/>
        <v>1</v>
      </c>
    </row>
    <row r="201" spans="1:13" x14ac:dyDescent="0.25">
      <c r="A201" s="2" t="s">
        <v>272</v>
      </c>
      <c r="B201" s="11" t="s">
        <v>273</v>
      </c>
      <c r="C201" s="11" t="s">
        <v>4</v>
      </c>
      <c r="D201" s="11" t="s">
        <v>5</v>
      </c>
      <c r="E201" s="11" t="s">
        <v>282</v>
      </c>
      <c r="F201" s="11" t="s">
        <v>283</v>
      </c>
      <c r="G201" s="12">
        <v>1</v>
      </c>
      <c r="H201" s="12">
        <v>60</v>
      </c>
      <c r="I201" s="12">
        <v>60</v>
      </c>
      <c r="J201" s="12">
        <v>198.5</v>
      </c>
      <c r="K201">
        <f t="shared" si="9"/>
        <v>5</v>
      </c>
      <c r="L201">
        <f t="shared" si="10"/>
        <v>1</v>
      </c>
      <c r="M201">
        <f t="shared" si="11"/>
        <v>1</v>
      </c>
    </row>
    <row r="202" spans="1:13" x14ac:dyDescent="0.25">
      <c r="A202" s="2" t="s">
        <v>272</v>
      </c>
      <c r="B202" s="11" t="s">
        <v>273</v>
      </c>
      <c r="C202" s="11" t="s">
        <v>4</v>
      </c>
      <c r="D202" s="11" t="s">
        <v>5</v>
      </c>
      <c r="E202" s="11" t="s">
        <v>284</v>
      </c>
      <c r="F202" s="11" t="s">
        <v>285</v>
      </c>
      <c r="G202" s="12">
        <v>1</v>
      </c>
      <c r="H202" s="12">
        <v>36</v>
      </c>
      <c r="I202" s="12">
        <v>36</v>
      </c>
      <c r="J202" s="12">
        <v>234.5</v>
      </c>
      <c r="K202">
        <f t="shared" si="9"/>
        <v>4</v>
      </c>
      <c r="L202">
        <f t="shared" si="10"/>
        <v>1</v>
      </c>
      <c r="M202">
        <f t="shared" si="11"/>
        <v>1</v>
      </c>
    </row>
    <row r="203" spans="1:13" x14ac:dyDescent="0.25">
      <c r="A203" s="2" t="s">
        <v>272</v>
      </c>
      <c r="B203" s="11" t="s">
        <v>273</v>
      </c>
      <c r="C203" s="11" t="s">
        <v>4</v>
      </c>
      <c r="D203" s="11" t="s">
        <v>5</v>
      </c>
      <c r="E203" s="11" t="s">
        <v>286</v>
      </c>
      <c r="F203" s="11" t="s">
        <v>287</v>
      </c>
      <c r="G203" s="12">
        <v>1</v>
      </c>
      <c r="H203" s="12">
        <v>45</v>
      </c>
      <c r="I203" s="12">
        <v>45</v>
      </c>
      <c r="J203" s="12">
        <v>279.5</v>
      </c>
      <c r="K203">
        <f t="shared" si="9"/>
        <v>4</v>
      </c>
      <c r="L203">
        <f t="shared" si="10"/>
        <v>1</v>
      </c>
      <c r="M203">
        <f t="shared" si="11"/>
        <v>1</v>
      </c>
    </row>
    <row r="204" spans="1:13" x14ac:dyDescent="0.25">
      <c r="A204" s="2" t="s">
        <v>272</v>
      </c>
      <c r="B204" s="11" t="s">
        <v>273</v>
      </c>
      <c r="C204" s="11" t="s">
        <v>4</v>
      </c>
      <c r="D204" s="11" t="s">
        <v>5</v>
      </c>
      <c r="E204" s="11" t="s">
        <v>288</v>
      </c>
      <c r="F204" s="11" t="s">
        <v>289</v>
      </c>
      <c r="G204" s="12">
        <v>1</v>
      </c>
      <c r="H204" s="12">
        <v>48</v>
      </c>
      <c r="I204" s="12">
        <v>48</v>
      </c>
      <c r="J204" s="12">
        <v>327.5</v>
      </c>
      <c r="K204">
        <f t="shared" si="9"/>
        <v>3</v>
      </c>
      <c r="L204">
        <f t="shared" si="10"/>
        <v>1</v>
      </c>
      <c r="M204">
        <f t="shared" si="11"/>
        <v>1</v>
      </c>
    </row>
    <row r="205" spans="1:13" x14ac:dyDescent="0.25">
      <c r="A205" s="2" t="s">
        <v>272</v>
      </c>
      <c r="B205" s="11" t="s">
        <v>273</v>
      </c>
      <c r="C205" s="11" t="s">
        <v>4</v>
      </c>
      <c r="D205" s="11" t="s">
        <v>5</v>
      </c>
      <c r="E205" s="11" t="s">
        <v>290</v>
      </c>
      <c r="F205" s="11" t="s">
        <v>291</v>
      </c>
      <c r="G205" s="12">
        <v>1</v>
      </c>
      <c r="H205" s="12">
        <v>28</v>
      </c>
      <c r="I205" s="12">
        <v>28</v>
      </c>
      <c r="J205" s="12">
        <v>355.5</v>
      </c>
      <c r="K205">
        <f t="shared" si="9"/>
        <v>5</v>
      </c>
      <c r="L205">
        <f t="shared" si="10"/>
        <v>1</v>
      </c>
      <c r="M205">
        <f t="shared" si="11"/>
        <v>1</v>
      </c>
    </row>
    <row r="206" spans="1:13" x14ac:dyDescent="0.25">
      <c r="A206" s="2" t="s">
        <v>272</v>
      </c>
      <c r="B206" s="11" t="s">
        <v>273</v>
      </c>
      <c r="C206" s="11" t="s">
        <v>4</v>
      </c>
      <c r="D206" s="11" t="s">
        <v>5</v>
      </c>
      <c r="E206" s="11" t="s">
        <v>292</v>
      </c>
      <c r="F206" s="11" t="s">
        <v>293</v>
      </c>
      <c r="G206" s="12">
        <v>1</v>
      </c>
      <c r="H206" s="12">
        <v>28</v>
      </c>
      <c r="I206" s="12">
        <v>28</v>
      </c>
      <c r="J206" s="12">
        <v>383.5</v>
      </c>
      <c r="K206">
        <f t="shared" si="9"/>
        <v>5</v>
      </c>
      <c r="L206">
        <f t="shared" si="10"/>
        <v>1</v>
      </c>
      <c r="M206">
        <f t="shared" si="11"/>
        <v>1</v>
      </c>
    </row>
    <row r="207" spans="1:13" x14ac:dyDescent="0.25">
      <c r="A207" s="2" t="s">
        <v>272</v>
      </c>
      <c r="B207" s="11" t="s">
        <v>273</v>
      </c>
      <c r="C207" s="11" t="s">
        <v>4</v>
      </c>
      <c r="D207" s="11" t="s">
        <v>5</v>
      </c>
      <c r="E207" s="11" t="s">
        <v>294</v>
      </c>
      <c r="F207" s="11" t="s">
        <v>295</v>
      </c>
      <c r="G207" s="12">
        <v>1</v>
      </c>
      <c r="H207" s="12">
        <v>30</v>
      </c>
      <c r="I207" s="12">
        <v>30</v>
      </c>
      <c r="J207" s="12">
        <v>413.5</v>
      </c>
      <c r="K207">
        <f t="shared" si="9"/>
        <v>4</v>
      </c>
      <c r="L207">
        <f t="shared" si="10"/>
        <v>1</v>
      </c>
      <c r="M207">
        <f t="shared" si="11"/>
        <v>1</v>
      </c>
    </row>
    <row r="208" spans="1:13" x14ac:dyDescent="0.25">
      <c r="A208" s="2" t="s">
        <v>272</v>
      </c>
      <c r="B208" s="11" t="s">
        <v>273</v>
      </c>
      <c r="C208" s="11" t="s">
        <v>4</v>
      </c>
      <c r="D208" s="11" t="s">
        <v>5</v>
      </c>
      <c r="E208" s="11" t="s">
        <v>296</v>
      </c>
      <c r="F208" s="11" t="s">
        <v>297</v>
      </c>
      <c r="G208" s="12">
        <v>1</v>
      </c>
      <c r="H208" s="12">
        <v>19</v>
      </c>
      <c r="I208" s="12">
        <v>19</v>
      </c>
      <c r="J208" s="12">
        <v>432.5</v>
      </c>
      <c r="K208">
        <f t="shared" si="9"/>
        <v>6</v>
      </c>
      <c r="L208">
        <f t="shared" si="10"/>
        <v>1</v>
      </c>
      <c r="M208">
        <f t="shared" si="11"/>
        <v>1</v>
      </c>
    </row>
    <row r="209" spans="1:13" x14ac:dyDescent="0.25">
      <c r="A209" s="2" t="s">
        <v>272</v>
      </c>
      <c r="B209" s="11" t="s">
        <v>273</v>
      </c>
      <c r="C209" s="11" t="s">
        <v>4</v>
      </c>
      <c r="D209" s="11" t="s">
        <v>5</v>
      </c>
      <c r="E209" s="11" t="s">
        <v>298</v>
      </c>
      <c r="F209" s="11" t="s">
        <v>299</v>
      </c>
      <c r="G209" s="12">
        <v>1</v>
      </c>
      <c r="H209" s="12">
        <v>17</v>
      </c>
      <c r="I209" s="12">
        <v>17</v>
      </c>
      <c r="J209" s="12">
        <v>449.5</v>
      </c>
      <c r="K209">
        <f t="shared" si="9"/>
        <v>8</v>
      </c>
      <c r="L209">
        <f t="shared" si="10"/>
        <v>1</v>
      </c>
      <c r="M209">
        <f t="shared" si="11"/>
        <v>1</v>
      </c>
    </row>
    <row r="210" spans="1:13" x14ac:dyDescent="0.25">
      <c r="A210" s="2" t="s">
        <v>272</v>
      </c>
      <c r="B210" s="11" t="s">
        <v>273</v>
      </c>
      <c r="C210" s="11" t="s">
        <v>4</v>
      </c>
      <c r="D210" s="11" t="s">
        <v>5</v>
      </c>
      <c r="E210" s="11" t="s">
        <v>300</v>
      </c>
      <c r="F210" s="11" t="s">
        <v>301</v>
      </c>
      <c r="G210" s="12">
        <v>1</v>
      </c>
      <c r="H210" s="12">
        <v>19.8</v>
      </c>
      <c r="I210" s="12">
        <v>19.8</v>
      </c>
      <c r="J210" s="12">
        <v>469.3</v>
      </c>
      <c r="K210">
        <f t="shared" si="9"/>
        <v>5</v>
      </c>
      <c r="L210">
        <f t="shared" si="10"/>
        <v>1</v>
      </c>
      <c r="M210">
        <f t="shared" si="11"/>
        <v>1</v>
      </c>
    </row>
    <row r="211" spans="1:13" x14ac:dyDescent="0.25">
      <c r="A211" s="2" t="s">
        <v>272</v>
      </c>
      <c r="B211" s="11" t="s">
        <v>273</v>
      </c>
      <c r="C211" s="11" t="s">
        <v>4</v>
      </c>
      <c r="D211" s="11" t="s">
        <v>5</v>
      </c>
      <c r="E211" s="11" t="s">
        <v>302</v>
      </c>
      <c r="F211" s="11" t="s">
        <v>303</v>
      </c>
      <c r="G211" s="12">
        <v>1</v>
      </c>
      <c r="H211" s="12">
        <v>28</v>
      </c>
      <c r="I211" s="12">
        <v>28</v>
      </c>
      <c r="J211" s="12">
        <v>497.3</v>
      </c>
      <c r="K211">
        <f t="shared" si="9"/>
        <v>6</v>
      </c>
      <c r="L211">
        <f t="shared" si="10"/>
        <v>1</v>
      </c>
      <c r="M211">
        <f t="shared" si="11"/>
        <v>1</v>
      </c>
    </row>
    <row r="212" spans="1:13" x14ac:dyDescent="0.25">
      <c r="A212" s="2" t="s">
        <v>272</v>
      </c>
      <c r="B212" s="11" t="s">
        <v>273</v>
      </c>
      <c r="C212" s="11" t="s">
        <v>4</v>
      </c>
      <c r="D212" s="11" t="s">
        <v>5</v>
      </c>
      <c r="E212" s="11" t="s">
        <v>304</v>
      </c>
      <c r="F212" s="11" t="s">
        <v>305</v>
      </c>
      <c r="G212" s="12">
        <v>1</v>
      </c>
      <c r="H212" s="12">
        <v>13</v>
      </c>
      <c r="I212" s="12">
        <v>13</v>
      </c>
      <c r="J212" s="12">
        <v>510.3</v>
      </c>
      <c r="K212">
        <f t="shared" si="9"/>
        <v>4</v>
      </c>
      <c r="L212">
        <f t="shared" si="10"/>
        <v>1</v>
      </c>
      <c r="M212">
        <f t="shared" si="11"/>
        <v>1</v>
      </c>
    </row>
    <row r="213" spans="1:13" x14ac:dyDescent="0.25">
      <c r="A213" s="2" t="s">
        <v>272</v>
      </c>
      <c r="B213" s="11" t="s">
        <v>273</v>
      </c>
      <c r="C213" s="11" t="s">
        <v>4</v>
      </c>
      <c r="D213" s="11" t="s">
        <v>5</v>
      </c>
      <c r="E213" s="11" t="s">
        <v>306</v>
      </c>
      <c r="F213" s="11" t="s">
        <v>307</v>
      </c>
      <c r="G213" s="12">
        <v>1</v>
      </c>
      <c r="H213" s="12">
        <v>30</v>
      </c>
      <c r="I213" s="12">
        <v>30</v>
      </c>
      <c r="J213" s="12">
        <v>540.29999999999995</v>
      </c>
      <c r="K213">
        <f t="shared" si="9"/>
        <v>4</v>
      </c>
      <c r="L213">
        <f t="shared" si="10"/>
        <v>1</v>
      </c>
      <c r="M213">
        <f t="shared" si="11"/>
        <v>1</v>
      </c>
    </row>
    <row r="214" spans="1:13" x14ac:dyDescent="0.25">
      <c r="A214" s="2" t="s">
        <v>272</v>
      </c>
      <c r="B214" s="11" t="s">
        <v>273</v>
      </c>
      <c r="C214" s="11" t="s">
        <v>4</v>
      </c>
      <c r="D214" s="11" t="s">
        <v>5</v>
      </c>
      <c r="E214" s="11" t="s">
        <v>308</v>
      </c>
      <c r="F214" s="11" t="s">
        <v>309</v>
      </c>
      <c r="G214" s="12">
        <v>1</v>
      </c>
      <c r="H214" s="12">
        <v>25</v>
      </c>
      <c r="I214" s="12">
        <v>25</v>
      </c>
      <c r="J214" s="12">
        <v>565.29999999999995</v>
      </c>
      <c r="K214">
        <f t="shared" si="9"/>
        <v>7</v>
      </c>
      <c r="L214">
        <f t="shared" si="10"/>
        <v>1</v>
      </c>
      <c r="M214">
        <f t="shared" si="11"/>
        <v>1</v>
      </c>
    </row>
    <row r="215" spans="1:13" x14ac:dyDescent="0.25">
      <c r="A215" s="2" t="s">
        <v>272</v>
      </c>
      <c r="B215" s="11" t="s">
        <v>273</v>
      </c>
      <c r="C215" s="11" t="s">
        <v>4</v>
      </c>
      <c r="D215" s="11" t="s">
        <v>5</v>
      </c>
      <c r="E215" s="11" t="s">
        <v>310</v>
      </c>
      <c r="F215" s="11" t="s">
        <v>311</v>
      </c>
      <c r="G215" s="12">
        <v>1</v>
      </c>
      <c r="H215" s="12">
        <v>22</v>
      </c>
      <c r="I215" s="12">
        <v>22</v>
      </c>
      <c r="J215" s="12">
        <v>587.29999999999995</v>
      </c>
      <c r="K215">
        <f t="shared" si="9"/>
        <v>4</v>
      </c>
      <c r="L215">
        <f t="shared" si="10"/>
        <v>1</v>
      </c>
      <c r="M215">
        <f t="shared" si="11"/>
        <v>1</v>
      </c>
    </row>
    <row r="216" spans="1:13" x14ac:dyDescent="0.25">
      <c r="A216" s="2" t="s">
        <v>272</v>
      </c>
      <c r="B216" s="11" t="s">
        <v>273</v>
      </c>
      <c r="C216" s="11" t="s">
        <v>4</v>
      </c>
      <c r="D216" s="11" t="s">
        <v>5</v>
      </c>
      <c r="E216" s="11" t="s">
        <v>312</v>
      </c>
      <c r="F216" s="11" t="s">
        <v>313</v>
      </c>
      <c r="G216" s="12">
        <v>1</v>
      </c>
      <c r="H216" s="12">
        <v>24</v>
      </c>
      <c r="I216" s="12">
        <v>24</v>
      </c>
      <c r="J216" s="12">
        <v>611.29999999999995</v>
      </c>
      <c r="K216">
        <f t="shared" si="9"/>
        <v>5</v>
      </c>
      <c r="L216">
        <f t="shared" si="10"/>
        <v>1</v>
      </c>
      <c r="M216">
        <f t="shared" si="11"/>
        <v>1</v>
      </c>
    </row>
    <row r="217" spans="1:13" x14ac:dyDescent="0.25">
      <c r="A217" s="2" t="s">
        <v>272</v>
      </c>
      <c r="B217" s="11" t="s">
        <v>273</v>
      </c>
      <c r="C217" s="11" t="s">
        <v>4</v>
      </c>
      <c r="D217" s="11" t="s">
        <v>5</v>
      </c>
      <c r="E217" s="11" t="s">
        <v>314</v>
      </c>
      <c r="F217" s="11" t="s">
        <v>315</v>
      </c>
      <c r="G217" s="12">
        <v>1</v>
      </c>
      <c r="H217" s="12">
        <v>36</v>
      </c>
      <c r="I217" s="12">
        <v>36</v>
      </c>
      <c r="J217" s="12">
        <v>647.29999999999995</v>
      </c>
      <c r="K217">
        <f t="shared" si="9"/>
        <v>5</v>
      </c>
      <c r="L217">
        <f t="shared" si="10"/>
        <v>1</v>
      </c>
      <c r="M217">
        <f t="shared" si="11"/>
        <v>1</v>
      </c>
    </row>
    <row r="218" spans="1:13" x14ac:dyDescent="0.25">
      <c r="A218" s="2" t="s">
        <v>272</v>
      </c>
      <c r="B218" s="11" t="s">
        <v>273</v>
      </c>
      <c r="C218" s="11" t="s">
        <v>4</v>
      </c>
      <c r="D218" s="11" t="s">
        <v>5</v>
      </c>
      <c r="E218" s="11" t="s">
        <v>316</v>
      </c>
      <c r="F218" s="11" t="s">
        <v>317</v>
      </c>
      <c r="G218" s="12">
        <v>1</v>
      </c>
      <c r="H218" s="12">
        <v>24</v>
      </c>
      <c r="I218" s="12">
        <v>24</v>
      </c>
      <c r="J218" s="12">
        <v>671.3</v>
      </c>
      <c r="K218">
        <f t="shared" si="9"/>
        <v>2</v>
      </c>
      <c r="L218">
        <f t="shared" si="10"/>
        <v>1</v>
      </c>
      <c r="M218">
        <f t="shared" si="11"/>
        <v>1</v>
      </c>
    </row>
    <row r="219" spans="1:13" x14ac:dyDescent="0.25">
      <c r="A219" s="2" t="s">
        <v>272</v>
      </c>
      <c r="B219" s="11" t="s">
        <v>273</v>
      </c>
      <c r="C219" s="11" t="s">
        <v>4</v>
      </c>
      <c r="D219" s="11" t="s">
        <v>5</v>
      </c>
      <c r="E219" s="11" t="s">
        <v>318</v>
      </c>
      <c r="F219" s="11" t="s">
        <v>319</v>
      </c>
      <c r="G219" s="12">
        <v>1</v>
      </c>
      <c r="H219" s="12">
        <v>30</v>
      </c>
      <c r="I219" s="12">
        <v>30</v>
      </c>
      <c r="J219" s="12">
        <v>701.3</v>
      </c>
      <c r="K219">
        <f t="shared" si="9"/>
        <v>2</v>
      </c>
      <c r="L219">
        <f t="shared" si="10"/>
        <v>1</v>
      </c>
      <c r="M219">
        <f t="shared" si="11"/>
        <v>1</v>
      </c>
    </row>
    <row r="220" spans="1:13" x14ac:dyDescent="0.25">
      <c r="A220" s="2" t="s">
        <v>272</v>
      </c>
      <c r="B220" s="11" t="s">
        <v>273</v>
      </c>
      <c r="C220" s="11" t="s">
        <v>4</v>
      </c>
      <c r="D220" s="11" t="s">
        <v>5</v>
      </c>
      <c r="E220" s="11" t="s">
        <v>320</v>
      </c>
      <c r="F220" s="11" t="s">
        <v>321</v>
      </c>
      <c r="G220" s="12">
        <v>1</v>
      </c>
      <c r="H220" s="12">
        <v>24</v>
      </c>
      <c r="I220" s="12">
        <v>24</v>
      </c>
      <c r="J220" s="12">
        <v>725.3</v>
      </c>
      <c r="K220">
        <f t="shared" si="9"/>
        <v>3</v>
      </c>
      <c r="L220">
        <f t="shared" si="10"/>
        <v>1</v>
      </c>
      <c r="M220">
        <f t="shared" si="11"/>
        <v>1</v>
      </c>
    </row>
    <row r="221" spans="1:13" x14ac:dyDescent="0.25">
      <c r="A221" s="2" t="s">
        <v>272</v>
      </c>
      <c r="B221" s="11" t="s">
        <v>273</v>
      </c>
      <c r="C221" s="11" t="s">
        <v>4</v>
      </c>
      <c r="D221" s="11" t="s">
        <v>5</v>
      </c>
      <c r="E221" s="11" t="s">
        <v>322</v>
      </c>
      <c r="F221" s="11" t="s">
        <v>323</v>
      </c>
      <c r="G221" s="12">
        <v>1</v>
      </c>
      <c r="H221" s="12">
        <v>24</v>
      </c>
      <c r="I221" s="12">
        <v>24</v>
      </c>
      <c r="J221" s="12">
        <v>749.3</v>
      </c>
      <c r="K221">
        <f t="shared" si="9"/>
        <v>2</v>
      </c>
      <c r="L221">
        <f t="shared" si="10"/>
        <v>1</v>
      </c>
      <c r="M221">
        <f t="shared" si="11"/>
        <v>1</v>
      </c>
    </row>
    <row r="222" spans="1:13" x14ac:dyDescent="0.25">
      <c r="A222" s="2" t="s">
        <v>272</v>
      </c>
      <c r="B222" s="11" t="s">
        <v>273</v>
      </c>
      <c r="C222" s="11" t="s">
        <v>4</v>
      </c>
      <c r="D222" s="11" t="s">
        <v>5</v>
      </c>
      <c r="E222" s="11" t="s">
        <v>324</v>
      </c>
      <c r="F222" s="11" t="s">
        <v>325</v>
      </c>
      <c r="G222" s="12">
        <v>1</v>
      </c>
      <c r="H222" s="12">
        <v>26</v>
      </c>
      <c r="I222" s="12">
        <v>26</v>
      </c>
      <c r="J222" s="12">
        <v>775.3</v>
      </c>
      <c r="K222">
        <f t="shared" si="9"/>
        <v>3</v>
      </c>
      <c r="L222">
        <f t="shared" si="10"/>
        <v>1</v>
      </c>
      <c r="M222">
        <f t="shared" si="11"/>
        <v>1</v>
      </c>
    </row>
    <row r="223" spans="1:13" x14ac:dyDescent="0.25">
      <c r="A223" s="2" t="s">
        <v>272</v>
      </c>
      <c r="B223" s="11" t="s">
        <v>273</v>
      </c>
      <c r="C223" s="11" t="s">
        <v>4</v>
      </c>
      <c r="D223" s="11" t="s">
        <v>5</v>
      </c>
      <c r="E223" s="11" t="s">
        <v>326</v>
      </c>
      <c r="F223" s="11" t="s">
        <v>327</v>
      </c>
      <c r="G223" s="12">
        <v>1</v>
      </c>
      <c r="H223" s="12">
        <v>28</v>
      </c>
      <c r="I223" s="12">
        <v>28</v>
      </c>
      <c r="J223" s="12">
        <v>803.3</v>
      </c>
      <c r="K223">
        <f t="shared" si="9"/>
        <v>2</v>
      </c>
      <c r="L223">
        <f t="shared" si="10"/>
        <v>1</v>
      </c>
      <c r="M223">
        <f t="shared" si="11"/>
        <v>1</v>
      </c>
    </row>
    <row r="224" spans="1:13" x14ac:dyDescent="0.25">
      <c r="A224" s="2" t="s">
        <v>272</v>
      </c>
      <c r="B224" s="11" t="s">
        <v>273</v>
      </c>
      <c r="C224" s="11" t="s">
        <v>4</v>
      </c>
      <c r="D224" s="11" t="s">
        <v>5</v>
      </c>
      <c r="E224" s="11" t="s">
        <v>328</v>
      </c>
      <c r="F224" s="11" t="s">
        <v>329</v>
      </c>
      <c r="G224" s="12">
        <v>1</v>
      </c>
      <c r="H224" s="12">
        <v>82.5</v>
      </c>
      <c r="I224" s="12">
        <v>82.5</v>
      </c>
      <c r="J224" s="12">
        <v>885.8</v>
      </c>
      <c r="K224">
        <f t="shared" si="9"/>
        <v>6</v>
      </c>
      <c r="L224">
        <f t="shared" si="10"/>
        <v>1</v>
      </c>
      <c r="M224">
        <f t="shared" si="11"/>
        <v>1</v>
      </c>
    </row>
    <row r="225" spans="1:13" x14ac:dyDescent="0.25">
      <c r="A225" s="2" t="s">
        <v>272</v>
      </c>
      <c r="B225" s="11" t="s">
        <v>273</v>
      </c>
      <c r="C225" s="11" t="s">
        <v>4</v>
      </c>
      <c r="D225" s="11" t="s">
        <v>5</v>
      </c>
      <c r="E225" s="11" t="s">
        <v>37</v>
      </c>
      <c r="F225" s="11" t="s">
        <v>330</v>
      </c>
      <c r="G225" s="12">
        <v>1</v>
      </c>
      <c r="H225" s="12">
        <v>99</v>
      </c>
      <c r="I225" s="12">
        <v>99</v>
      </c>
      <c r="J225" s="12">
        <v>984.8</v>
      </c>
      <c r="K225">
        <f t="shared" si="9"/>
        <v>7</v>
      </c>
      <c r="L225">
        <f t="shared" si="10"/>
        <v>1</v>
      </c>
      <c r="M225">
        <f t="shared" si="11"/>
        <v>1</v>
      </c>
    </row>
    <row r="226" spans="1:13" x14ac:dyDescent="0.25">
      <c r="A226" s="2" t="s">
        <v>272</v>
      </c>
      <c r="B226" s="11" t="s">
        <v>273</v>
      </c>
      <c r="C226" s="11" t="s">
        <v>4</v>
      </c>
      <c r="D226" s="11" t="s">
        <v>5</v>
      </c>
      <c r="E226" s="11" t="s">
        <v>331</v>
      </c>
      <c r="F226" s="11" t="s">
        <v>332</v>
      </c>
      <c r="G226" s="12">
        <v>1</v>
      </c>
      <c r="H226" s="12">
        <v>31.8</v>
      </c>
      <c r="I226" s="12">
        <v>31.8</v>
      </c>
      <c r="J226" s="12">
        <v>1016.5999999999999</v>
      </c>
      <c r="K226">
        <f t="shared" si="9"/>
        <v>5</v>
      </c>
      <c r="L226">
        <f t="shared" si="10"/>
        <v>1</v>
      </c>
      <c r="M226">
        <f t="shared" si="11"/>
        <v>1</v>
      </c>
    </row>
    <row r="227" spans="1:13" x14ac:dyDescent="0.25">
      <c r="A227" s="2" t="s">
        <v>272</v>
      </c>
      <c r="B227" s="11" t="s">
        <v>273</v>
      </c>
      <c r="C227" s="11" t="s">
        <v>4</v>
      </c>
      <c r="D227" s="11" t="s">
        <v>5</v>
      </c>
      <c r="E227" s="11" t="s">
        <v>333</v>
      </c>
      <c r="F227" s="11" t="s">
        <v>334</v>
      </c>
      <c r="G227" s="12">
        <v>1</v>
      </c>
      <c r="H227" s="12">
        <v>31.8</v>
      </c>
      <c r="I227" s="12">
        <v>31.8</v>
      </c>
      <c r="J227" s="12">
        <v>1048.3999999999999</v>
      </c>
      <c r="K227">
        <f t="shared" si="9"/>
        <v>5</v>
      </c>
      <c r="L227">
        <f t="shared" si="10"/>
        <v>1</v>
      </c>
      <c r="M227">
        <f t="shared" si="11"/>
        <v>1</v>
      </c>
    </row>
    <row r="228" spans="1:13" x14ac:dyDescent="0.25">
      <c r="A228" s="2" t="s">
        <v>272</v>
      </c>
      <c r="B228" s="11" t="s">
        <v>273</v>
      </c>
      <c r="C228" s="11" t="s">
        <v>4</v>
      </c>
      <c r="D228" s="11" t="s">
        <v>5</v>
      </c>
      <c r="E228" s="11" t="s">
        <v>335</v>
      </c>
      <c r="F228" s="11" t="s">
        <v>336</v>
      </c>
      <c r="G228" s="12">
        <v>1</v>
      </c>
      <c r="H228" s="12">
        <v>31.8</v>
      </c>
      <c r="I228" s="12">
        <v>31.8</v>
      </c>
      <c r="J228" s="12">
        <v>1080.1999999999998</v>
      </c>
      <c r="K228">
        <f t="shared" si="9"/>
        <v>2</v>
      </c>
      <c r="L228">
        <f t="shared" si="10"/>
        <v>1</v>
      </c>
      <c r="M228">
        <f t="shared" si="11"/>
        <v>1</v>
      </c>
    </row>
    <row r="229" spans="1:13" x14ac:dyDescent="0.25">
      <c r="A229" s="2" t="s">
        <v>272</v>
      </c>
      <c r="B229" s="11" t="s">
        <v>273</v>
      </c>
      <c r="C229" s="11" t="s">
        <v>4</v>
      </c>
      <c r="D229" s="11" t="s">
        <v>5</v>
      </c>
      <c r="E229" s="11" t="s">
        <v>337</v>
      </c>
      <c r="F229" s="11" t="s">
        <v>338</v>
      </c>
      <c r="G229" s="12">
        <v>1</v>
      </c>
      <c r="H229" s="12">
        <v>39</v>
      </c>
      <c r="I229" s="12">
        <v>39</v>
      </c>
      <c r="J229" s="12">
        <v>1119.1999999999998</v>
      </c>
      <c r="K229">
        <f t="shared" si="9"/>
        <v>2</v>
      </c>
      <c r="L229">
        <f t="shared" si="10"/>
        <v>1</v>
      </c>
      <c r="M229">
        <f t="shared" si="11"/>
        <v>1</v>
      </c>
    </row>
    <row r="230" spans="1:13" x14ac:dyDescent="0.25">
      <c r="A230" s="2" t="s">
        <v>272</v>
      </c>
      <c r="B230" s="11" t="s">
        <v>273</v>
      </c>
      <c r="C230" s="11" t="s">
        <v>4</v>
      </c>
      <c r="D230" s="11" t="s">
        <v>5</v>
      </c>
      <c r="E230" s="11" t="s">
        <v>339</v>
      </c>
      <c r="F230" s="11" t="s">
        <v>340</v>
      </c>
      <c r="G230" s="12">
        <v>1</v>
      </c>
      <c r="H230" s="12">
        <v>42</v>
      </c>
      <c r="I230" s="12">
        <v>42</v>
      </c>
      <c r="J230" s="12">
        <v>1161.1999999999998</v>
      </c>
      <c r="K230">
        <f t="shared" si="9"/>
        <v>2</v>
      </c>
      <c r="L230">
        <f t="shared" si="10"/>
        <v>1</v>
      </c>
      <c r="M230">
        <f t="shared" si="11"/>
        <v>1</v>
      </c>
    </row>
    <row r="231" spans="1:13" x14ac:dyDescent="0.25">
      <c r="A231" s="2" t="s">
        <v>272</v>
      </c>
      <c r="B231" s="11" t="s">
        <v>273</v>
      </c>
      <c r="C231" s="11" t="s">
        <v>4</v>
      </c>
      <c r="D231" s="11" t="s">
        <v>5</v>
      </c>
      <c r="E231" s="11" t="s">
        <v>341</v>
      </c>
      <c r="F231" s="11" t="s">
        <v>342</v>
      </c>
      <c r="G231" s="12">
        <v>1</v>
      </c>
      <c r="H231" s="12">
        <v>39</v>
      </c>
      <c r="I231" s="12">
        <v>39</v>
      </c>
      <c r="J231" s="12">
        <v>1200.1999999999998</v>
      </c>
      <c r="K231">
        <f t="shared" si="9"/>
        <v>3</v>
      </c>
      <c r="L231">
        <f t="shared" si="10"/>
        <v>1</v>
      </c>
      <c r="M231">
        <f t="shared" si="11"/>
        <v>1</v>
      </c>
    </row>
    <row r="232" spans="1:13" x14ac:dyDescent="0.25">
      <c r="A232" s="2" t="s">
        <v>272</v>
      </c>
      <c r="B232" s="11" t="s">
        <v>273</v>
      </c>
      <c r="C232" s="11" t="s">
        <v>4</v>
      </c>
      <c r="D232" s="11" t="s">
        <v>5</v>
      </c>
      <c r="E232" s="11" t="s">
        <v>343</v>
      </c>
      <c r="F232" s="11" t="s">
        <v>344</v>
      </c>
      <c r="G232" s="12">
        <v>1</v>
      </c>
      <c r="H232" s="12">
        <v>50</v>
      </c>
      <c r="I232" s="12">
        <v>50</v>
      </c>
      <c r="J232" s="12">
        <v>1250.1999999999998</v>
      </c>
      <c r="K232">
        <f t="shared" si="9"/>
        <v>4</v>
      </c>
      <c r="L232">
        <f t="shared" si="10"/>
        <v>1</v>
      </c>
      <c r="M232">
        <f t="shared" si="11"/>
        <v>1</v>
      </c>
    </row>
    <row r="233" spans="1:13" x14ac:dyDescent="0.25">
      <c r="A233" s="2" t="s">
        <v>272</v>
      </c>
      <c r="B233" s="11" t="s">
        <v>273</v>
      </c>
      <c r="C233" s="11" t="s">
        <v>4</v>
      </c>
      <c r="D233" s="11" t="s">
        <v>5</v>
      </c>
      <c r="E233" s="11" t="s">
        <v>128</v>
      </c>
      <c r="F233" s="11" t="s">
        <v>345</v>
      </c>
      <c r="G233" s="12">
        <v>1</v>
      </c>
      <c r="H233" s="12">
        <v>28</v>
      </c>
      <c r="I233" s="12">
        <v>28</v>
      </c>
      <c r="J233" s="12">
        <v>1278.1999999999998</v>
      </c>
      <c r="K233">
        <f t="shared" si="9"/>
        <v>4</v>
      </c>
      <c r="L233">
        <f t="shared" si="10"/>
        <v>1</v>
      </c>
      <c r="M233">
        <f t="shared" si="11"/>
        <v>1</v>
      </c>
    </row>
    <row r="234" spans="1:13" x14ac:dyDescent="0.25">
      <c r="A234" s="2" t="s">
        <v>272</v>
      </c>
      <c r="B234" s="11" t="s">
        <v>273</v>
      </c>
      <c r="C234" s="11" t="s">
        <v>4</v>
      </c>
      <c r="D234" s="11" t="s">
        <v>5</v>
      </c>
      <c r="E234" s="11" t="s">
        <v>126</v>
      </c>
      <c r="F234" s="11" t="s">
        <v>346</v>
      </c>
      <c r="G234" s="12">
        <v>1</v>
      </c>
      <c r="H234" s="12">
        <v>28</v>
      </c>
      <c r="I234" s="12">
        <v>28</v>
      </c>
      <c r="J234" s="12">
        <v>1306.1999999999998</v>
      </c>
      <c r="K234">
        <f t="shared" si="9"/>
        <v>5</v>
      </c>
      <c r="L234">
        <f t="shared" si="10"/>
        <v>1</v>
      </c>
      <c r="M234">
        <f t="shared" si="11"/>
        <v>1</v>
      </c>
    </row>
    <row r="235" spans="1:13" x14ac:dyDescent="0.25">
      <c r="A235" s="2" t="s">
        <v>272</v>
      </c>
      <c r="B235" s="11" t="s">
        <v>273</v>
      </c>
      <c r="C235" s="11" t="s">
        <v>4</v>
      </c>
      <c r="D235" s="11" t="s">
        <v>5</v>
      </c>
      <c r="E235" s="11" t="s">
        <v>122</v>
      </c>
      <c r="F235" s="11" t="s">
        <v>347</v>
      </c>
      <c r="G235" s="12">
        <v>1</v>
      </c>
      <c r="H235" s="12">
        <v>26</v>
      </c>
      <c r="I235" s="12">
        <v>26</v>
      </c>
      <c r="J235" s="12">
        <v>1332.1999999999998</v>
      </c>
      <c r="K235">
        <f t="shared" si="9"/>
        <v>5</v>
      </c>
      <c r="L235">
        <f t="shared" si="10"/>
        <v>1</v>
      </c>
      <c r="M235">
        <f t="shared" si="11"/>
        <v>1</v>
      </c>
    </row>
    <row r="236" spans="1:13" x14ac:dyDescent="0.25">
      <c r="A236" s="2" t="s">
        <v>272</v>
      </c>
      <c r="B236" s="11" t="s">
        <v>273</v>
      </c>
      <c r="C236" s="11" t="s">
        <v>4</v>
      </c>
      <c r="D236" s="11" t="s">
        <v>5</v>
      </c>
      <c r="E236" s="11" t="s">
        <v>348</v>
      </c>
      <c r="F236" s="11" t="s">
        <v>349</v>
      </c>
      <c r="G236" s="12">
        <v>1</v>
      </c>
      <c r="H236" s="12">
        <v>16</v>
      </c>
      <c r="I236" s="12">
        <v>16</v>
      </c>
      <c r="J236" s="12">
        <v>1348.1999999999998</v>
      </c>
      <c r="K236">
        <f t="shared" si="9"/>
        <v>7</v>
      </c>
      <c r="L236">
        <f t="shared" si="10"/>
        <v>1</v>
      </c>
      <c r="M236">
        <f t="shared" si="11"/>
        <v>1</v>
      </c>
    </row>
    <row r="237" spans="1:13" x14ac:dyDescent="0.25">
      <c r="A237" s="2" t="s">
        <v>272</v>
      </c>
      <c r="B237" s="11" t="s">
        <v>273</v>
      </c>
      <c r="C237" s="11" t="s">
        <v>4</v>
      </c>
      <c r="D237" s="11" t="s">
        <v>5</v>
      </c>
      <c r="E237" s="11" t="s">
        <v>350</v>
      </c>
      <c r="F237" s="11" t="s">
        <v>351</v>
      </c>
      <c r="G237" s="12">
        <v>1</v>
      </c>
      <c r="H237" s="12">
        <v>16</v>
      </c>
      <c r="I237" s="12">
        <v>16</v>
      </c>
      <c r="J237" s="12">
        <v>1364.1999999999998</v>
      </c>
      <c r="K237">
        <f t="shared" si="9"/>
        <v>5</v>
      </c>
      <c r="L237">
        <f t="shared" si="10"/>
        <v>1</v>
      </c>
      <c r="M237">
        <f t="shared" si="11"/>
        <v>1</v>
      </c>
    </row>
    <row r="238" spans="1:13" x14ac:dyDescent="0.25">
      <c r="A238" s="2" t="s">
        <v>272</v>
      </c>
      <c r="B238" s="11" t="s">
        <v>273</v>
      </c>
      <c r="C238" s="11" t="s">
        <v>4</v>
      </c>
      <c r="D238" s="11" t="s">
        <v>5</v>
      </c>
      <c r="E238" s="11" t="s">
        <v>86</v>
      </c>
      <c r="F238" s="11" t="s">
        <v>352</v>
      </c>
      <c r="G238" s="12">
        <v>1</v>
      </c>
      <c r="H238" s="12">
        <v>15.5</v>
      </c>
      <c r="I238" s="12">
        <v>15.5</v>
      </c>
      <c r="J238" s="12">
        <v>1379.6999999999998</v>
      </c>
      <c r="K238">
        <f t="shared" si="9"/>
        <v>7</v>
      </c>
      <c r="L238">
        <f t="shared" si="10"/>
        <v>1</v>
      </c>
      <c r="M238">
        <f t="shared" si="11"/>
        <v>1</v>
      </c>
    </row>
    <row r="239" spans="1:13" x14ac:dyDescent="0.25">
      <c r="A239" s="2" t="s">
        <v>272</v>
      </c>
      <c r="B239" s="11" t="s">
        <v>273</v>
      </c>
      <c r="C239" s="11" t="s">
        <v>4</v>
      </c>
      <c r="D239" s="11" t="s">
        <v>5</v>
      </c>
      <c r="E239" s="11" t="s">
        <v>90</v>
      </c>
      <c r="F239" s="11" t="s">
        <v>353</v>
      </c>
      <c r="G239" s="12">
        <v>1</v>
      </c>
      <c r="H239" s="12">
        <v>15.5</v>
      </c>
      <c r="I239" s="12">
        <v>15.5</v>
      </c>
      <c r="J239" s="12">
        <v>1395.1999999999998</v>
      </c>
      <c r="K239">
        <f t="shared" si="9"/>
        <v>5</v>
      </c>
      <c r="L239">
        <f t="shared" si="10"/>
        <v>1</v>
      </c>
      <c r="M239">
        <f t="shared" si="11"/>
        <v>1</v>
      </c>
    </row>
    <row r="240" spans="1:13" x14ac:dyDescent="0.25">
      <c r="A240" s="2" t="s">
        <v>272</v>
      </c>
      <c r="B240" s="11" t="s">
        <v>273</v>
      </c>
      <c r="C240" s="11" t="s">
        <v>4</v>
      </c>
      <c r="D240" s="11" t="s">
        <v>5</v>
      </c>
      <c r="E240" s="11" t="s">
        <v>354</v>
      </c>
      <c r="F240" s="11" t="s">
        <v>355</v>
      </c>
      <c r="G240" s="12">
        <v>1</v>
      </c>
      <c r="H240" s="12">
        <v>16</v>
      </c>
      <c r="I240" s="12">
        <v>16</v>
      </c>
      <c r="J240" s="12">
        <v>1411.1999999999998</v>
      </c>
      <c r="K240">
        <f t="shared" si="9"/>
        <v>5</v>
      </c>
      <c r="L240">
        <f t="shared" si="10"/>
        <v>1</v>
      </c>
      <c r="M240">
        <f t="shared" si="11"/>
        <v>1</v>
      </c>
    </row>
    <row r="241" spans="1:13" x14ac:dyDescent="0.25">
      <c r="A241" s="2" t="s">
        <v>272</v>
      </c>
      <c r="B241" s="11" t="s">
        <v>273</v>
      </c>
      <c r="C241" s="11" t="s">
        <v>4</v>
      </c>
      <c r="D241" s="11" t="s">
        <v>5</v>
      </c>
      <c r="E241" s="11" t="s">
        <v>356</v>
      </c>
      <c r="F241" s="11" t="s">
        <v>357</v>
      </c>
      <c r="G241" s="12">
        <v>1</v>
      </c>
      <c r="H241" s="12">
        <v>16</v>
      </c>
      <c r="I241" s="12">
        <v>16</v>
      </c>
      <c r="J241" s="12">
        <v>1427.1999999999998</v>
      </c>
      <c r="K241">
        <f t="shared" si="9"/>
        <v>3</v>
      </c>
      <c r="L241">
        <f t="shared" si="10"/>
        <v>1</v>
      </c>
      <c r="M241">
        <f t="shared" si="11"/>
        <v>1</v>
      </c>
    </row>
    <row r="242" spans="1:13" x14ac:dyDescent="0.25">
      <c r="A242" s="2" t="s">
        <v>272</v>
      </c>
      <c r="B242" s="11" t="s">
        <v>273</v>
      </c>
      <c r="C242" s="11" t="s">
        <v>4</v>
      </c>
      <c r="D242" s="11" t="s">
        <v>5</v>
      </c>
      <c r="E242" s="11" t="s">
        <v>358</v>
      </c>
      <c r="F242" s="11" t="s">
        <v>359</v>
      </c>
      <c r="G242" s="12">
        <v>1</v>
      </c>
      <c r="H242" s="12">
        <v>17</v>
      </c>
      <c r="I242" s="12">
        <v>17</v>
      </c>
      <c r="J242" s="12">
        <v>1444.1999999999998</v>
      </c>
      <c r="K242">
        <f t="shared" si="9"/>
        <v>5</v>
      </c>
      <c r="L242">
        <f t="shared" si="10"/>
        <v>1</v>
      </c>
      <c r="M242">
        <f t="shared" si="11"/>
        <v>1</v>
      </c>
    </row>
    <row r="243" spans="1:13" x14ac:dyDescent="0.25">
      <c r="A243" s="2" t="s">
        <v>272</v>
      </c>
      <c r="B243" s="11" t="s">
        <v>273</v>
      </c>
      <c r="C243" s="11" t="s">
        <v>4</v>
      </c>
      <c r="D243" s="11" t="s">
        <v>5</v>
      </c>
      <c r="E243" s="11" t="s">
        <v>360</v>
      </c>
      <c r="F243" s="11" t="s">
        <v>361</v>
      </c>
      <c r="G243" s="12">
        <v>1</v>
      </c>
      <c r="H243" s="12">
        <v>17</v>
      </c>
      <c r="I243" s="12">
        <v>17</v>
      </c>
      <c r="J243" s="12">
        <v>1461.1999999999998</v>
      </c>
      <c r="K243">
        <f t="shared" si="9"/>
        <v>5</v>
      </c>
      <c r="L243">
        <f t="shared" si="10"/>
        <v>1</v>
      </c>
      <c r="M243">
        <f t="shared" si="11"/>
        <v>1</v>
      </c>
    </row>
    <row r="244" spans="1:13" x14ac:dyDescent="0.25">
      <c r="A244" s="2" t="s">
        <v>272</v>
      </c>
      <c r="B244" s="11" t="s">
        <v>273</v>
      </c>
      <c r="C244" s="11" t="s">
        <v>4</v>
      </c>
      <c r="D244" s="11" t="s">
        <v>5</v>
      </c>
      <c r="E244" s="11" t="s">
        <v>362</v>
      </c>
      <c r="F244" s="11" t="s">
        <v>363</v>
      </c>
      <c r="G244" s="12">
        <v>1</v>
      </c>
      <c r="H244" s="12">
        <v>17</v>
      </c>
      <c r="I244" s="12">
        <v>17</v>
      </c>
      <c r="J244" s="12">
        <v>1478.1999999999998</v>
      </c>
      <c r="K244">
        <f t="shared" si="9"/>
        <v>2</v>
      </c>
      <c r="L244">
        <f t="shared" si="10"/>
        <v>1</v>
      </c>
      <c r="M244">
        <f t="shared" si="11"/>
        <v>1</v>
      </c>
    </row>
    <row r="245" spans="1:13" x14ac:dyDescent="0.25">
      <c r="A245" s="2" t="s">
        <v>272</v>
      </c>
      <c r="B245" s="11" t="s">
        <v>273</v>
      </c>
      <c r="C245" s="11" t="s">
        <v>4</v>
      </c>
      <c r="D245" s="11" t="s">
        <v>5</v>
      </c>
      <c r="E245" s="11" t="s">
        <v>364</v>
      </c>
      <c r="F245" s="11" t="s">
        <v>365</v>
      </c>
      <c r="G245" s="12">
        <v>1</v>
      </c>
      <c r="H245" s="12">
        <v>17</v>
      </c>
      <c r="I245" s="12">
        <v>17</v>
      </c>
      <c r="J245" s="12">
        <v>1495.1999999999998</v>
      </c>
      <c r="K245">
        <f t="shared" si="9"/>
        <v>3</v>
      </c>
      <c r="L245">
        <f t="shared" si="10"/>
        <v>1</v>
      </c>
      <c r="M245">
        <f t="shared" si="11"/>
        <v>1</v>
      </c>
    </row>
    <row r="246" spans="1:13" x14ac:dyDescent="0.25">
      <c r="A246" s="2" t="s">
        <v>272</v>
      </c>
      <c r="B246" s="11" t="s">
        <v>273</v>
      </c>
      <c r="C246" s="11" t="s">
        <v>4</v>
      </c>
      <c r="D246" s="11" t="s">
        <v>5</v>
      </c>
      <c r="E246" s="11" t="s">
        <v>366</v>
      </c>
      <c r="F246" s="11" t="s">
        <v>367</v>
      </c>
      <c r="G246" s="12">
        <v>1</v>
      </c>
      <c r="H246" s="12">
        <v>35</v>
      </c>
      <c r="I246" s="12">
        <v>35</v>
      </c>
      <c r="J246" s="12">
        <v>1530.1999999999998</v>
      </c>
      <c r="K246">
        <f t="shared" si="9"/>
        <v>8</v>
      </c>
      <c r="L246">
        <f t="shared" si="10"/>
        <v>1</v>
      </c>
      <c r="M246">
        <f t="shared" si="11"/>
        <v>1</v>
      </c>
    </row>
    <row r="247" spans="1:13" x14ac:dyDescent="0.25">
      <c r="A247" s="2" t="s">
        <v>272</v>
      </c>
      <c r="B247" s="11" t="s">
        <v>273</v>
      </c>
      <c r="C247" s="11" t="s">
        <v>4</v>
      </c>
      <c r="D247" s="11" t="s">
        <v>5</v>
      </c>
      <c r="E247" s="11" t="s">
        <v>368</v>
      </c>
      <c r="F247" s="11" t="s">
        <v>369</v>
      </c>
      <c r="G247" s="12">
        <v>1</v>
      </c>
      <c r="H247" s="12">
        <v>38</v>
      </c>
      <c r="I247" s="12">
        <v>38</v>
      </c>
      <c r="J247" s="12">
        <v>1568.1999999999998</v>
      </c>
      <c r="K247">
        <f t="shared" si="9"/>
        <v>3</v>
      </c>
      <c r="L247">
        <f t="shared" si="10"/>
        <v>1</v>
      </c>
      <c r="M247">
        <f t="shared" si="11"/>
        <v>1</v>
      </c>
    </row>
    <row r="248" spans="1:13" x14ac:dyDescent="0.25">
      <c r="A248" s="2" t="s">
        <v>272</v>
      </c>
      <c r="B248" s="11" t="s">
        <v>273</v>
      </c>
      <c r="C248" s="11" t="s">
        <v>4</v>
      </c>
      <c r="D248" s="11" t="s">
        <v>5</v>
      </c>
      <c r="E248" s="11" t="s">
        <v>370</v>
      </c>
      <c r="F248" s="11" t="s">
        <v>371</v>
      </c>
      <c r="G248" s="12">
        <v>1</v>
      </c>
      <c r="H248" s="12">
        <v>8</v>
      </c>
      <c r="I248" s="12">
        <v>8</v>
      </c>
      <c r="J248" s="12">
        <v>1576.1999999999998</v>
      </c>
      <c r="K248">
        <f t="shared" si="9"/>
        <v>7</v>
      </c>
      <c r="L248">
        <f t="shared" si="10"/>
        <v>1</v>
      </c>
      <c r="M248">
        <f t="shared" si="11"/>
        <v>1</v>
      </c>
    </row>
    <row r="249" spans="1:13" x14ac:dyDescent="0.25">
      <c r="A249" s="2" t="s">
        <v>272</v>
      </c>
      <c r="B249" s="11" t="s">
        <v>273</v>
      </c>
      <c r="C249" s="11" t="s">
        <v>4</v>
      </c>
      <c r="D249" s="11" t="s">
        <v>5</v>
      </c>
      <c r="E249" s="11" t="s">
        <v>372</v>
      </c>
      <c r="F249" s="11" t="s">
        <v>373</v>
      </c>
      <c r="G249" s="12">
        <v>1</v>
      </c>
      <c r="H249" s="12">
        <v>36</v>
      </c>
      <c r="I249" s="12">
        <v>36</v>
      </c>
      <c r="J249" s="12">
        <v>1612.1999999999998</v>
      </c>
      <c r="K249">
        <f t="shared" si="9"/>
        <v>9</v>
      </c>
      <c r="L249">
        <f t="shared" si="10"/>
        <v>1</v>
      </c>
      <c r="M249">
        <f t="shared" si="11"/>
        <v>1</v>
      </c>
    </row>
    <row r="250" spans="1:13" x14ac:dyDescent="0.25">
      <c r="A250" s="2" t="s">
        <v>272</v>
      </c>
      <c r="B250" s="11" t="s">
        <v>273</v>
      </c>
      <c r="C250" s="11" t="s">
        <v>4</v>
      </c>
      <c r="D250" s="11" t="s">
        <v>5</v>
      </c>
      <c r="E250" s="11" t="s">
        <v>374</v>
      </c>
      <c r="F250" s="11" t="s">
        <v>375</v>
      </c>
      <c r="G250" s="12">
        <v>1</v>
      </c>
      <c r="H250" s="12">
        <v>39</v>
      </c>
      <c r="I250" s="12">
        <v>39</v>
      </c>
      <c r="J250" s="12">
        <v>1651.1999999999998</v>
      </c>
      <c r="K250">
        <f t="shared" si="9"/>
        <v>8</v>
      </c>
      <c r="L250">
        <f t="shared" si="10"/>
        <v>1</v>
      </c>
      <c r="M250">
        <f t="shared" si="11"/>
        <v>1</v>
      </c>
    </row>
    <row r="251" spans="1:13" x14ac:dyDescent="0.25">
      <c r="A251" s="2" t="s">
        <v>272</v>
      </c>
      <c r="B251" s="11" t="s">
        <v>273</v>
      </c>
      <c r="C251" s="11" t="s">
        <v>4</v>
      </c>
      <c r="D251" s="11" t="s">
        <v>5</v>
      </c>
      <c r="E251" s="11" t="s">
        <v>376</v>
      </c>
      <c r="F251" s="11" t="s">
        <v>377</v>
      </c>
      <c r="G251" s="12">
        <v>1</v>
      </c>
      <c r="H251" s="12">
        <v>19</v>
      </c>
      <c r="I251" s="12">
        <v>19</v>
      </c>
      <c r="J251" s="12">
        <v>1670.1999999999998</v>
      </c>
      <c r="K251">
        <f t="shared" si="9"/>
        <v>4</v>
      </c>
      <c r="L251">
        <f t="shared" si="10"/>
        <v>1</v>
      </c>
      <c r="M251">
        <f t="shared" si="11"/>
        <v>1</v>
      </c>
    </row>
    <row r="252" spans="1:13" x14ac:dyDescent="0.25">
      <c r="A252" s="2" t="s">
        <v>272</v>
      </c>
      <c r="B252" s="11" t="s">
        <v>273</v>
      </c>
      <c r="C252" s="11" t="s">
        <v>4</v>
      </c>
      <c r="D252" s="11" t="s">
        <v>5</v>
      </c>
      <c r="E252" s="11" t="s">
        <v>378</v>
      </c>
      <c r="F252" s="11" t="s">
        <v>379</v>
      </c>
      <c r="G252" s="12">
        <v>1</v>
      </c>
      <c r="H252" s="12">
        <v>12.5</v>
      </c>
      <c r="I252" s="12">
        <v>12.5</v>
      </c>
      <c r="J252" s="12">
        <v>1682.6999999999998</v>
      </c>
      <c r="K252">
        <f t="shared" si="9"/>
        <v>4</v>
      </c>
      <c r="L252">
        <f t="shared" si="10"/>
        <v>1</v>
      </c>
      <c r="M252">
        <f t="shared" si="11"/>
        <v>1</v>
      </c>
    </row>
    <row r="253" spans="1:13" x14ac:dyDescent="0.25">
      <c r="A253" s="2" t="s">
        <v>272</v>
      </c>
      <c r="B253" s="11" t="s">
        <v>273</v>
      </c>
      <c r="C253" s="11" t="s">
        <v>4</v>
      </c>
      <c r="D253" s="11" t="s">
        <v>5</v>
      </c>
      <c r="E253" s="11" t="s">
        <v>380</v>
      </c>
      <c r="F253" s="11" t="s">
        <v>380</v>
      </c>
      <c r="G253" s="12">
        <v>1</v>
      </c>
      <c r="H253" s="12">
        <v>54</v>
      </c>
      <c r="I253" s="12">
        <v>54</v>
      </c>
      <c r="J253" s="12">
        <v>1736.6999999999998</v>
      </c>
      <c r="K253">
        <f t="shared" si="9"/>
        <v>5</v>
      </c>
      <c r="L253">
        <f t="shared" si="10"/>
        <v>1</v>
      </c>
      <c r="M253">
        <f t="shared" si="11"/>
        <v>1</v>
      </c>
    </row>
    <row r="254" spans="1:13" x14ac:dyDescent="0.25">
      <c r="A254" s="2" t="s">
        <v>272</v>
      </c>
      <c r="B254" s="11" t="s">
        <v>273</v>
      </c>
      <c r="C254" s="11" t="s">
        <v>4</v>
      </c>
      <c r="D254" s="11" t="s">
        <v>5</v>
      </c>
      <c r="E254" s="11" t="s">
        <v>381</v>
      </c>
      <c r="F254" s="11" t="s">
        <v>381</v>
      </c>
      <c r="G254" s="12">
        <v>1</v>
      </c>
      <c r="H254" s="12">
        <v>115</v>
      </c>
      <c r="I254" s="12">
        <v>115</v>
      </c>
      <c r="J254" s="12">
        <v>1851.6999999999998</v>
      </c>
      <c r="K254">
        <f t="shared" si="9"/>
        <v>4</v>
      </c>
      <c r="L254">
        <f t="shared" si="10"/>
        <v>1</v>
      </c>
      <c r="M254">
        <f t="shared" si="11"/>
        <v>1</v>
      </c>
    </row>
    <row r="255" spans="1:13" x14ac:dyDescent="0.25">
      <c r="A255" s="2" t="s">
        <v>272</v>
      </c>
      <c r="B255" s="11" t="s">
        <v>273</v>
      </c>
      <c r="C255" s="11" t="s">
        <v>4</v>
      </c>
      <c r="D255" s="11" t="s">
        <v>5</v>
      </c>
      <c r="E255" s="11" t="s">
        <v>382</v>
      </c>
      <c r="F255" s="11" t="s">
        <v>383</v>
      </c>
      <c r="G255" s="12">
        <v>1</v>
      </c>
      <c r="H255" s="12">
        <v>21</v>
      </c>
      <c r="I255" s="12">
        <v>21</v>
      </c>
      <c r="J255" s="12">
        <v>1872.6999999999998</v>
      </c>
      <c r="K255">
        <f t="shared" si="9"/>
        <v>2</v>
      </c>
      <c r="L255">
        <f t="shared" si="10"/>
        <v>1</v>
      </c>
      <c r="M255">
        <f t="shared" si="11"/>
        <v>1</v>
      </c>
    </row>
    <row r="256" spans="1:13" x14ac:dyDescent="0.25">
      <c r="A256" s="2" t="s">
        <v>272</v>
      </c>
      <c r="B256" s="11" t="s">
        <v>273</v>
      </c>
      <c r="C256" s="11" t="s">
        <v>4</v>
      </c>
      <c r="D256" s="11" t="s">
        <v>5</v>
      </c>
      <c r="E256" s="11" t="s">
        <v>384</v>
      </c>
      <c r="F256" s="11" t="s">
        <v>385</v>
      </c>
      <c r="G256" s="12">
        <v>1</v>
      </c>
      <c r="H256" s="12">
        <v>66</v>
      </c>
      <c r="I256" s="12">
        <v>66</v>
      </c>
      <c r="J256" s="12">
        <v>1938.6999999999998</v>
      </c>
      <c r="K256">
        <f t="shared" si="9"/>
        <v>3</v>
      </c>
      <c r="L256">
        <f t="shared" si="10"/>
        <v>1</v>
      </c>
      <c r="M256">
        <f t="shared" si="11"/>
        <v>1</v>
      </c>
    </row>
    <row r="257" spans="1:13" x14ac:dyDescent="0.25">
      <c r="A257" s="2" t="s">
        <v>272</v>
      </c>
      <c r="B257" s="11" t="s">
        <v>273</v>
      </c>
      <c r="C257" s="11" t="s">
        <v>4</v>
      </c>
      <c r="D257" s="11" t="s">
        <v>5</v>
      </c>
      <c r="E257" s="11" t="s">
        <v>386</v>
      </c>
      <c r="F257" s="11" t="s">
        <v>387</v>
      </c>
      <c r="G257" s="12">
        <v>1</v>
      </c>
      <c r="H257" s="12">
        <v>46</v>
      </c>
      <c r="I257" s="12">
        <v>46</v>
      </c>
      <c r="J257" s="12">
        <v>1984.6999999999998</v>
      </c>
      <c r="K257">
        <f t="shared" si="9"/>
        <v>2</v>
      </c>
      <c r="L257">
        <f t="shared" si="10"/>
        <v>1</v>
      </c>
      <c r="M257">
        <f t="shared" si="11"/>
        <v>1</v>
      </c>
    </row>
    <row r="258" spans="1:13" x14ac:dyDescent="0.25">
      <c r="A258" s="2" t="s">
        <v>272</v>
      </c>
      <c r="B258" s="11" t="s">
        <v>273</v>
      </c>
      <c r="C258" s="11" t="s">
        <v>4</v>
      </c>
      <c r="D258" s="11" t="s">
        <v>5</v>
      </c>
      <c r="E258" s="11" t="s">
        <v>388</v>
      </c>
      <c r="F258" s="11" t="s">
        <v>389</v>
      </c>
      <c r="G258" s="12">
        <v>1</v>
      </c>
      <c r="H258" s="12">
        <v>55</v>
      </c>
      <c r="I258" s="12">
        <v>55</v>
      </c>
      <c r="J258" s="12">
        <v>2039.6999999999998</v>
      </c>
      <c r="K258">
        <f t="shared" si="9"/>
        <v>4</v>
      </c>
      <c r="L258">
        <f t="shared" si="10"/>
        <v>1</v>
      </c>
      <c r="M258">
        <f t="shared" si="11"/>
        <v>1</v>
      </c>
    </row>
    <row r="259" spans="1:13" x14ac:dyDescent="0.25">
      <c r="A259" s="2" t="s">
        <v>272</v>
      </c>
      <c r="B259" s="11" t="s">
        <v>273</v>
      </c>
      <c r="C259" s="11" t="s">
        <v>4</v>
      </c>
      <c r="D259" s="11" t="s">
        <v>5</v>
      </c>
      <c r="E259" s="11" t="s">
        <v>390</v>
      </c>
      <c r="F259" s="11" t="s">
        <v>391</v>
      </c>
      <c r="G259" s="12">
        <v>1</v>
      </c>
      <c r="H259" s="12">
        <v>39</v>
      </c>
      <c r="I259" s="12">
        <v>39</v>
      </c>
      <c r="J259" s="12">
        <v>2078.6999999999998</v>
      </c>
      <c r="K259">
        <f t="shared" ref="K259:K322" si="12">COUNTIF($E$2:$E$1466,E259)</f>
        <v>5</v>
      </c>
      <c r="L259">
        <f t="shared" ref="L259:L322" si="13">IF(G259&gt;0,1,0)</f>
        <v>1</v>
      </c>
      <c r="M259">
        <f t="shared" ref="M259:M322" si="14">IF(H259&gt;0,1,0)</f>
        <v>1</v>
      </c>
    </row>
    <row r="260" spans="1:13" x14ac:dyDescent="0.25">
      <c r="A260" s="2" t="s">
        <v>272</v>
      </c>
      <c r="B260" s="11" t="s">
        <v>273</v>
      </c>
      <c r="C260" s="11" t="s">
        <v>4</v>
      </c>
      <c r="D260" s="11" t="s">
        <v>5</v>
      </c>
      <c r="E260" s="11" t="s">
        <v>392</v>
      </c>
      <c r="F260" s="11" t="s">
        <v>393</v>
      </c>
      <c r="G260" s="12">
        <v>1</v>
      </c>
      <c r="H260" s="12">
        <v>80</v>
      </c>
      <c r="I260" s="12">
        <v>80</v>
      </c>
      <c r="J260" s="12">
        <v>2158.6999999999998</v>
      </c>
      <c r="K260">
        <f t="shared" si="12"/>
        <v>2</v>
      </c>
      <c r="L260">
        <f t="shared" si="13"/>
        <v>1</v>
      </c>
      <c r="M260">
        <f t="shared" si="14"/>
        <v>1</v>
      </c>
    </row>
    <row r="261" spans="1:13" x14ac:dyDescent="0.25">
      <c r="A261" s="2" t="s">
        <v>272</v>
      </c>
      <c r="B261" s="11" t="s">
        <v>273</v>
      </c>
      <c r="C261" s="11" t="s">
        <v>4</v>
      </c>
      <c r="D261" s="11" t="s">
        <v>5</v>
      </c>
      <c r="E261" s="11" t="s">
        <v>394</v>
      </c>
      <c r="F261" s="11" t="s">
        <v>395</v>
      </c>
      <c r="G261" s="12">
        <v>1</v>
      </c>
      <c r="H261" s="12">
        <v>78</v>
      </c>
      <c r="I261" s="12">
        <v>78</v>
      </c>
      <c r="J261" s="12">
        <v>2236.6999999999998</v>
      </c>
      <c r="K261">
        <f t="shared" si="12"/>
        <v>2</v>
      </c>
      <c r="L261">
        <f t="shared" si="13"/>
        <v>1</v>
      </c>
      <c r="M261">
        <f t="shared" si="14"/>
        <v>1</v>
      </c>
    </row>
    <row r="262" spans="1:13" x14ac:dyDescent="0.25">
      <c r="A262" s="2" t="s">
        <v>272</v>
      </c>
      <c r="B262" s="11" t="s">
        <v>273</v>
      </c>
      <c r="C262" s="11" t="s">
        <v>4</v>
      </c>
      <c r="D262" s="11" t="s">
        <v>5</v>
      </c>
      <c r="E262" s="11" t="s">
        <v>396</v>
      </c>
      <c r="F262" s="11" t="s">
        <v>397</v>
      </c>
      <c r="G262" s="12">
        <v>1</v>
      </c>
      <c r="H262" s="12">
        <v>72</v>
      </c>
      <c r="I262" s="12">
        <v>72</v>
      </c>
      <c r="J262" s="12">
        <v>2308.6999999999998</v>
      </c>
      <c r="K262">
        <f t="shared" si="12"/>
        <v>2</v>
      </c>
      <c r="L262">
        <f t="shared" si="13"/>
        <v>1</v>
      </c>
      <c r="M262">
        <f t="shared" si="14"/>
        <v>1</v>
      </c>
    </row>
    <row r="263" spans="1:13" x14ac:dyDescent="0.25">
      <c r="A263" s="2" t="s">
        <v>272</v>
      </c>
      <c r="B263" s="11" t="s">
        <v>398</v>
      </c>
      <c r="C263" s="11" t="s">
        <v>4</v>
      </c>
      <c r="D263" s="11" t="s">
        <v>399</v>
      </c>
      <c r="E263" s="11" t="s">
        <v>278</v>
      </c>
      <c r="F263" s="11" t="s">
        <v>279</v>
      </c>
      <c r="G263" s="12">
        <v>1</v>
      </c>
      <c r="H263" s="12">
        <v>36</v>
      </c>
      <c r="I263" s="12">
        <v>36</v>
      </c>
      <c r="J263" s="12">
        <v>2344.6999999999998</v>
      </c>
      <c r="K263">
        <f t="shared" si="12"/>
        <v>6</v>
      </c>
      <c r="L263">
        <f t="shared" si="13"/>
        <v>1</v>
      </c>
      <c r="M263">
        <f t="shared" si="14"/>
        <v>1</v>
      </c>
    </row>
    <row r="264" spans="1:13" x14ac:dyDescent="0.25">
      <c r="A264" s="2" t="s">
        <v>272</v>
      </c>
      <c r="B264" s="11" t="s">
        <v>398</v>
      </c>
      <c r="C264" s="11" t="s">
        <v>4</v>
      </c>
      <c r="D264" s="11" t="s">
        <v>399</v>
      </c>
      <c r="E264" s="11" t="s">
        <v>280</v>
      </c>
      <c r="F264" s="11" t="s">
        <v>281</v>
      </c>
      <c r="G264" s="12">
        <v>1</v>
      </c>
      <c r="H264" s="12">
        <v>40</v>
      </c>
      <c r="I264" s="12">
        <v>40</v>
      </c>
      <c r="J264" s="12">
        <v>2384.6999999999998</v>
      </c>
      <c r="K264">
        <f t="shared" si="12"/>
        <v>5</v>
      </c>
      <c r="L264">
        <f t="shared" si="13"/>
        <v>1</v>
      </c>
      <c r="M264">
        <f t="shared" si="14"/>
        <v>1</v>
      </c>
    </row>
    <row r="265" spans="1:13" x14ac:dyDescent="0.25">
      <c r="A265" s="2" t="s">
        <v>272</v>
      </c>
      <c r="B265" s="11" t="s">
        <v>398</v>
      </c>
      <c r="C265" s="11" t="s">
        <v>4</v>
      </c>
      <c r="D265" s="11" t="s">
        <v>399</v>
      </c>
      <c r="E265" s="11" t="s">
        <v>282</v>
      </c>
      <c r="F265" s="11" t="s">
        <v>283</v>
      </c>
      <c r="G265" s="12">
        <v>1</v>
      </c>
      <c r="H265" s="12">
        <v>60</v>
      </c>
      <c r="I265" s="12">
        <v>60</v>
      </c>
      <c r="J265" s="12">
        <v>2444.6999999999998</v>
      </c>
      <c r="K265">
        <f t="shared" si="12"/>
        <v>5</v>
      </c>
      <c r="L265">
        <f t="shared" si="13"/>
        <v>1</v>
      </c>
      <c r="M265">
        <f t="shared" si="14"/>
        <v>1</v>
      </c>
    </row>
    <row r="266" spans="1:13" x14ac:dyDescent="0.25">
      <c r="A266" s="2" t="s">
        <v>272</v>
      </c>
      <c r="B266" s="11" t="s">
        <v>398</v>
      </c>
      <c r="C266" s="11" t="s">
        <v>4</v>
      </c>
      <c r="D266" s="11" t="s">
        <v>399</v>
      </c>
      <c r="E266" s="11" t="s">
        <v>284</v>
      </c>
      <c r="F266" s="11" t="s">
        <v>285</v>
      </c>
      <c r="G266" s="12">
        <v>1</v>
      </c>
      <c r="H266" s="12">
        <v>36</v>
      </c>
      <c r="I266" s="12">
        <v>36</v>
      </c>
      <c r="J266" s="12">
        <v>2480.6999999999998</v>
      </c>
      <c r="K266">
        <f t="shared" si="12"/>
        <v>4</v>
      </c>
      <c r="L266">
        <f t="shared" si="13"/>
        <v>1</v>
      </c>
      <c r="M266">
        <f t="shared" si="14"/>
        <v>1</v>
      </c>
    </row>
    <row r="267" spans="1:13" x14ac:dyDescent="0.25">
      <c r="A267" s="2" t="s">
        <v>272</v>
      </c>
      <c r="B267" s="11" t="s">
        <v>398</v>
      </c>
      <c r="C267" s="11" t="s">
        <v>4</v>
      </c>
      <c r="D267" s="11" t="s">
        <v>399</v>
      </c>
      <c r="E267" s="11" t="s">
        <v>286</v>
      </c>
      <c r="F267" s="11" t="s">
        <v>287</v>
      </c>
      <c r="G267" s="12">
        <v>1</v>
      </c>
      <c r="H267" s="12">
        <v>45</v>
      </c>
      <c r="I267" s="12">
        <v>45</v>
      </c>
      <c r="J267" s="12">
        <v>2525.6999999999998</v>
      </c>
      <c r="K267">
        <f t="shared" si="12"/>
        <v>4</v>
      </c>
      <c r="L267">
        <f t="shared" si="13"/>
        <v>1</v>
      </c>
      <c r="M267">
        <f t="shared" si="14"/>
        <v>1</v>
      </c>
    </row>
    <row r="268" spans="1:13" x14ac:dyDescent="0.25">
      <c r="A268" s="2" t="s">
        <v>272</v>
      </c>
      <c r="B268" s="11" t="s">
        <v>398</v>
      </c>
      <c r="C268" s="11" t="s">
        <v>4</v>
      </c>
      <c r="D268" s="11" t="s">
        <v>399</v>
      </c>
      <c r="E268" s="11" t="s">
        <v>288</v>
      </c>
      <c r="F268" s="11" t="s">
        <v>289</v>
      </c>
      <c r="G268" s="12">
        <v>1</v>
      </c>
      <c r="H268" s="12">
        <v>48</v>
      </c>
      <c r="I268" s="12">
        <v>48</v>
      </c>
      <c r="J268" s="12">
        <v>2573.6999999999998</v>
      </c>
      <c r="K268">
        <f t="shared" si="12"/>
        <v>3</v>
      </c>
      <c r="L268">
        <f t="shared" si="13"/>
        <v>1</v>
      </c>
      <c r="M268">
        <f t="shared" si="14"/>
        <v>1</v>
      </c>
    </row>
    <row r="269" spans="1:13" x14ac:dyDescent="0.25">
      <c r="A269" s="2" t="s">
        <v>272</v>
      </c>
      <c r="B269" s="11" t="s">
        <v>398</v>
      </c>
      <c r="C269" s="11" t="s">
        <v>4</v>
      </c>
      <c r="D269" s="11" t="s">
        <v>399</v>
      </c>
      <c r="E269" s="11" t="s">
        <v>290</v>
      </c>
      <c r="F269" s="11" t="s">
        <v>291</v>
      </c>
      <c r="G269" s="12">
        <v>1</v>
      </c>
      <c r="H269" s="12">
        <v>28</v>
      </c>
      <c r="I269" s="12">
        <v>28</v>
      </c>
      <c r="J269" s="12">
        <v>2601.6999999999998</v>
      </c>
      <c r="K269">
        <f t="shared" si="12"/>
        <v>5</v>
      </c>
      <c r="L269">
        <f t="shared" si="13"/>
        <v>1</v>
      </c>
      <c r="M269">
        <f t="shared" si="14"/>
        <v>1</v>
      </c>
    </row>
    <row r="270" spans="1:13" x14ac:dyDescent="0.25">
      <c r="A270" s="2" t="s">
        <v>272</v>
      </c>
      <c r="B270" s="11" t="s">
        <v>398</v>
      </c>
      <c r="C270" s="11" t="s">
        <v>4</v>
      </c>
      <c r="D270" s="11" t="s">
        <v>399</v>
      </c>
      <c r="E270" s="11" t="s">
        <v>292</v>
      </c>
      <c r="F270" s="11" t="s">
        <v>293</v>
      </c>
      <c r="G270" s="12">
        <v>1</v>
      </c>
      <c r="H270" s="12">
        <v>28</v>
      </c>
      <c r="I270" s="12">
        <v>28</v>
      </c>
      <c r="J270" s="12">
        <v>2629.7</v>
      </c>
      <c r="K270">
        <f t="shared" si="12"/>
        <v>5</v>
      </c>
      <c r="L270">
        <f t="shared" si="13"/>
        <v>1</v>
      </c>
      <c r="M270">
        <f t="shared" si="14"/>
        <v>1</v>
      </c>
    </row>
    <row r="271" spans="1:13" x14ac:dyDescent="0.25">
      <c r="A271" s="2" t="s">
        <v>272</v>
      </c>
      <c r="B271" s="11" t="s">
        <v>398</v>
      </c>
      <c r="C271" s="11" t="s">
        <v>4</v>
      </c>
      <c r="D271" s="11" t="s">
        <v>399</v>
      </c>
      <c r="E271" s="11" t="s">
        <v>294</v>
      </c>
      <c r="F271" s="11" t="s">
        <v>295</v>
      </c>
      <c r="G271" s="12">
        <v>1</v>
      </c>
      <c r="H271" s="12">
        <v>30</v>
      </c>
      <c r="I271" s="12">
        <v>30</v>
      </c>
      <c r="J271" s="12">
        <v>2659.7</v>
      </c>
      <c r="K271">
        <f t="shared" si="12"/>
        <v>4</v>
      </c>
      <c r="L271">
        <f t="shared" si="13"/>
        <v>1</v>
      </c>
      <c r="M271">
        <f t="shared" si="14"/>
        <v>1</v>
      </c>
    </row>
    <row r="272" spans="1:13" x14ac:dyDescent="0.25">
      <c r="A272" s="2" t="s">
        <v>272</v>
      </c>
      <c r="B272" s="11" t="s">
        <v>398</v>
      </c>
      <c r="C272" s="11" t="s">
        <v>4</v>
      </c>
      <c r="D272" s="11" t="s">
        <v>399</v>
      </c>
      <c r="E272" s="11" t="s">
        <v>296</v>
      </c>
      <c r="F272" s="11" t="s">
        <v>297</v>
      </c>
      <c r="G272" s="12">
        <v>1</v>
      </c>
      <c r="H272" s="12">
        <v>19</v>
      </c>
      <c r="I272" s="12">
        <v>19</v>
      </c>
      <c r="J272" s="12">
        <v>2678.7</v>
      </c>
      <c r="K272">
        <f t="shared" si="12"/>
        <v>6</v>
      </c>
      <c r="L272">
        <f t="shared" si="13"/>
        <v>1</v>
      </c>
      <c r="M272">
        <f t="shared" si="14"/>
        <v>1</v>
      </c>
    </row>
    <row r="273" spans="1:13" x14ac:dyDescent="0.25">
      <c r="A273" s="2" t="s">
        <v>272</v>
      </c>
      <c r="B273" s="11" t="s">
        <v>398</v>
      </c>
      <c r="C273" s="11" t="s">
        <v>4</v>
      </c>
      <c r="D273" s="11" t="s">
        <v>399</v>
      </c>
      <c r="E273" s="11" t="s">
        <v>298</v>
      </c>
      <c r="F273" s="11" t="s">
        <v>299</v>
      </c>
      <c r="G273" s="12">
        <v>1</v>
      </c>
      <c r="H273" s="12">
        <v>17</v>
      </c>
      <c r="I273" s="12">
        <v>17</v>
      </c>
      <c r="J273" s="12">
        <v>2695.7</v>
      </c>
      <c r="K273">
        <f t="shared" si="12"/>
        <v>8</v>
      </c>
      <c r="L273">
        <f t="shared" si="13"/>
        <v>1</v>
      </c>
      <c r="M273">
        <f t="shared" si="14"/>
        <v>1</v>
      </c>
    </row>
    <row r="274" spans="1:13" x14ac:dyDescent="0.25">
      <c r="A274" s="2" t="s">
        <v>272</v>
      </c>
      <c r="B274" s="11" t="s">
        <v>398</v>
      </c>
      <c r="C274" s="11" t="s">
        <v>4</v>
      </c>
      <c r="D274" s="11" t="s">
        <v>399</v>
      </c>
      <c r="E274" s="11" t="s">
        <v>300</v>
      </c>
      <c r="F274" s="11" t="s">
        <v>301</v>
      </c>
      <c r="G274" s="12">
        <v>1</v>
      </c>
      <c r="H274" s="12">
        <v>19.8</v>
      </c>
      <c r="I274" s="12">
        <v>19.8</v>
      </c>
      <c r="J274" s="12">
        <v>2715.5</v>
      </c>
      <c r="K274">
        <f t="shared" si="12"/>
        <v>5</v>
      </c>
      <c r="L274">
        <f t="shared" si="13"/>
        <v>1</v>
      </c>
      <c r="M274">
        <f t="shared" si="14"/>
        <v>1</v>
      </c>
    </row>
    <row r="275" spans="1:13" x14ac:dyDescent="0.25">
      <c r="A275" s="2" t="s">
        <v>272</v>
      </c>
      <c r="B275" s="11" t="s">
        <v>398</v>
      </c>
      <c r="C275" s="11" t="s">
        <v>4</v>
      </c>
      <c r="D275" s="11" t="s">
        <v>399</v>
      </c>
      <c r="E275" s="11" t="s">
        <v>302</v>
      </c>
      <c r="F275" s="11" t="s">
        <v>303</v>
      </c>
      <c r="G275" s="12">
        <v>1</v>
      </c>
      <c r="H275" s="12">
        <v>28</v>
      </c>
      <c r="I275" s="12">
        <v>28</v>
      </c>
      <c r="J275" s="12">
        <v>2743.5</v>
      </c>
      <c r="K275">
        <f t="shared" si="12"/>
        <v>6</v>
      </c>
      <c r="L275">
        <f t="shared" si="13"/>
        <v>1</v>
      </c>
      <c r="M275">
        <f t="shared" si="14"/>
        <v>1</v>
      </c>
    </row>
    <row r="276" spans="1:13" x14ac:dyDescent="0.25">
      <c r="A276" s="2" t="s">
        <v>272</v>
      </c>
      <c r="B276" s="11" t="s">
        <v>398</v>
      </c>
      <c r="C276" s="11" t="s">
        <v>4</v>
      </c>
      <c r="D276" s="11" t="s">
        <v>399</v>
      </c>
      <c r="E276" s="11" t="s">
        <v>304</v>
      </c>
      <c r="F276" s="11" t="s">
        <v>305</v>
      </c>
      <c r="G276" s="12">
        <v>1</v>
      </c>
      <c r="H276" s="12">
        <v>13</v>
      </c>
      <c r="I276" s="12">
        <v>13</v>
      </c>
      <c r="J276" s="12">
        <v>2756.5</v>
      </c>
      <c r="K276">
        <f t="shared" si="12"/>
        <v>4</v>
      </c>
      <c r="L276">
        <f t="shared" si="13"/>
        <v>1</v>
      </c>
      <c r="M276">
        <f t="shared" si="14"/>
        <v>1</v>
      </c>
    </row>
    <row r="277" spans="1:13" x14ac:dyDescent="0.25">
      <c r="A277" s="2" t="s">
        <v>272</v>
      </c>
      <c r="B277" s="11" t="s">
        <v>398</v>
      </c>
      <c r="C277" s="11" t="s">
        <v>4</v>
      </c>
      <c r="D277" s="11" t="s">
        <v>399</v>
      </c>
      <c r="E277" s="11" t="s">
        <v>306</v>
      </c>
      <c r="F277" s="11" t="s">
        <v>307</v>
      </c>
      <c r="G277" s="12">
        <v>1</v>
      </c>
      <c r="H277" s="12">
        <v>30</v>
      </c>
      <c r="I277" s="12">
        <v>30</v>
      </c>
      <c r="J277" s="12">
        <v>2786.5</v>
      </c>
      <c r="K277">
        <f t="shared" si="12"/>
        <v>4</v>
      </c>
      <c r="L277">
        <f t="shared" si="13"/>
        <v>1</v>
      </c>
      <c r="M277">
        <f t="shared" si="14"/>
        <v>1</v>
      </c>
    </row>
    <row r="278" spans="1:13" x14ac:dyDescent="0.25">
      <c r="A278" s="2" t="s">
        <v>272</v>
      </c>
      <c r="B278" s="11" t="s">
        <v>398</v>
      </c>
      <c r="C278" s="11" t="s">
        <v>4</v>
      </c>
      <c r="D278" s="11" t="s">
        <v>399</v>
      </c>
      <c r="E278" s="11" t="s">
        <v>308</v>
      </c>
      <c r="F278" s="11" t="s">
        <v>309</v>
      </c>
      <c r="G278" s="12">
        <v>1</v>
      </c>
      <c r="H278" s="12">
        <v>25</v>
      </c>
      <c r="I278" s="12">
        <v>25</v>
      </c>
      <c r="J278" s="12">
        <v>2811.5</v>
      </c>
      <c r="K278">
        <f t="shared" si="12"/>
        <v>7</v>
      </c>
      <c r="L278">
        <f t="shared" si="13"/>
        <v>1</v>
      </c>
      <c r="M278">
        <f t="shared" si="14"/>
        <v>1</v>
      </c>
    </row>
    <row r="279" spans="1:13" x14ac:dyDescent="0.25">
      <c r="A279" s="2" t="s">
        <v>272</v>
      </c>
      <c r="B279" s="11" t="s">
        <v>398</v>
      </c>
      <c r="C279" s="11" t="s">
        <v>4</v>
      </c>
      <c r="D279" s="11" t="s">
        <v>399</v>
      </c>
      <c r="E279" s="11" t="s">
        <v>310</v>
      </c>
      <c r="F279" s="11" t="s">
        <v>311</v>
      </c>
      <c r="G279" s="12">
        <v>1</v>
      </c>
      <c r="H279" s="12">
        <v>22</v>
      </c>
      <c r="I279" s="12">
        <v>22</v>
      </c>
      <c r="J279" s="12">
        <v>2833.5</v>
      </c>
      <c r="K279">
        <f t="shared" si="12"/>
        <v>4</v>
      </c>
      <c r="L279">
        <f t="shared" si="13"/>
        <v>1</v>
      </c>
      <c r="M279">
        <f t="shared" si="14"/>
        <v>1</v>
      </c>
    </row>
    <row r="280" spans="1:13" x14ac:dyDescent="0.25">
      <c r="A280" s="2" t="s">
        <v>272</v>
      </c>
      <c r="B280" s="11" t="s">
        <v>398</v>
      </c>
      <c r="C280" s="11" t="s">
        <v>4</v>
      </c>
      <c r="D280" s="11" t="s">
        <v>399</v>
      </c>
      <c r="E280" s="11" t="s">
        <v>312</v>
      </c>
      <c r="F280" s="11" t="s">
        <v>313</v>
      </c>
      <c r="G280" s="12">
        <v>1</v>
      </c>
      <c r="H280" s="12">
        <v>24</v>
      </c>
      <c r="I280" s="12">
        <v>24</v>
      </c>
      <c r="J280" s="12">
        <v>2857.5</v>
      </c>
      <c r="K280">
        <f t="shared" si="12"/>
        <v>5</v>
      </c>
      <c r="L280">
        <f t="shared" si="13"/>
        <v>1</v>
      </c>
      <c r="M280">
        <f t="shared" si="14"/>
        <v>1</v>
      </c>
    </row>
    <row r="281" spans="1:13" x14ac:dyDescent="0.25">
      <c r="A281" s="2" t="s">
        <v>272</v>
      </c>
      <c r="B281" s="11" t="s">
        <v>398</v>
      </c>
      <c r="C281" s="11" t="s">
        <v>4</v>
      </c>
      <c r="D281" s="11" t="s">
        <v>399</v>
      </c>
      <c r="E281" s="11" t="s">
        <v>314</v>
      </c>
      <c r="F281" s="11" t="s">
        <v>315</v>
      </c>
      <c r="G281" s="12">
        <v>1</v>
      </c>
      <c r="H281" s="12">
        <v>36</v>
      </c>
      <c r="I281" s="12">
        <v>36</v>
      </c>
      <c r="J281" s="12">
        <v>2893.5</v>
      </c>
      <c r="K281">
        <f t="shared" si="12"/>
        <v>5</v>
      </c>
      <c r="L281">
        <f t="shared" si="13"/>
        <v>1</v>
      </c>
      <c r="M281">
        <f t="shared" si="14"/>
        <v>1</v>
      </c>
    </row>
    <row r="282" spans="1:13" x14ac:dyDescent="0.25">
      <c r="A282" s="2" t="s">
        <v>272</v>
      </c>
      <c r="B282" s="11" t="s">
        <v>398</v>
      </c>
      <c r="C282" s="11" t="s">
        <v>4</v>
      </c>
      <c r="D282" s="11" t="s">
        <v>399</v>
      </c>
      <c r="E282" s="11" t="s">
        <v>316</v>
      </c>
      <c r="F282" s="11" t="s">
        <v>317</v>
      </c>
      <c r="G282" s="12">
        <v>1</v>
      </c>
      <c r="H282" s="12">
        <v>24</v>
      </c>
      <c r="I282" s="12">
        <v>24</v>
      </c>
      <c r="J282" s="12">
        <v>2917.5</v>
      </c>
      <c r="K282">
        <f t="shared" si="12"/>
        <v>2</v>
      </c>
      <c r="L282">
        <f t="shared" si="13"/>
        <v>1</v>
      </c>
      <c r="M282">
        <f t="shared" si="14"/>
        <v>1</v>
      </c>
    </row>
    <row r="283" spans="1:13" x14ac:dyDescent="0.25">
      <c r="A283" s="2" t="s">
        <v>272</v>
      </c>
      <c r="B283" s="11" t="s">
        <v>398</v>
      </c>
      <c r="C283" s="11" t="s">
        <v>4</v>
      </c>
      <c r="D283" s="11" t="s">
        <v>399</v>
      </c>
      <c r="E283" s="11" t="s">
        <v>318</v>
      </c>
      <c r="F283" s="11" t="s">
        <v>319</v>
      </c>
      <c r="G283" s="12">
        <v>1</v>
      </c>
      <c r="H283" s="12">
        <v>30</v>
      </c>
      <c r="I283" s="12">
        <v>30</v>
      </c>
      <c r="J283" s="12">
        <v>2947.5</v>
      </c>
      <c r="K283">
        <f t="shared" si="12"/>
        <v>2</v>
      </c>
      <c r="L283">
        <f t="shared" si="13"/>
        <v>1</v>
      </c>
      <c r="M283">
        <f t="shared" si="14"/>
        <v>1</v>
      </c>
    </row>
    <row r="284" spans="1:13" x14ac:dyDescent="0.25">
      <c r="A284" s="2" t="s">
        <v>272</v>
      </c>
      <c r="B284" s="11" t="s">
        <v>398</v>
      </c>
      <c r="C284" s="11" t="s">
        <v>4</v>
      </c>
      <c r="D284" s="11" t="s">
        <v>399</v>
      </c>
      <c r="E284" s="11" t="s">
        <v>320</v>
      </c>
      <c r="F284" s="11" t="s">
        <v>321</v>
      </c>
      <c r="G284" s="12">
        <v>1</v>
      </c>
      <c r="H284" s="12">
        <v>24</v>
      </c>
      <c r="I284" s="12">
        <v>24</v>
      </c>
      <c r="J284" s="12">
        <v>2971.5</v>
      </c>
      <c r="K284">
        <f t="shared" si="12"/>
        <v>3</v>
      </c>
      <c r="L284">
        <f t="shared" si="13"/>
        <v>1</v>
      </c>
      <c r="M284">
        <f t="shared" si="14"/>
        <v>1</v>
      </c>
    </row>
    <row r="285" spans="1:13" x14ac:dyDescent="0.25">
      <c r="A285" s="2" t="s">
        <v>272</v>
      </c>
      <c r="B285" s="11" t="s">
        <v>398</v>
      </c>
      <c r="C285" s="11" t="s">
        <v>4</v>
      </c>
      <c r="D285" s="11" t="s">
        <v>399</v>
      </c>
      <c r="E285" s="11" t="s">
        <v>322</v>
      </c>
      <c r="F285" s="11" t="s">
        <v>323</v>
      </c>
      <c r="G285" s="12">
        <v>1</v>
      </c>
      <c r="H285" s="12">
        <v>24</v>
      </c>
      <c r="I285" s="12">
        <v>24</v>
      </c>
      <c r="J285" s="12">
        <v>2995.5</v>
      </c>
      <c r="K285">
        <f t="shared" si="12"/>
        <v>2</v>
      </c>
      <c r="L285">
        <f t="shared" si="13"/>
        <v>1</v>
      </c>
      <c r="M285">
        <f t="shared" si="14"/>
        <v>1</v>
      </c>
    </row>
    <row r="286" spans="1:13" x14ac:dyDescent="0.25">
      <c r="A286" s="2" t="s">
        <v>272</v>
      </c>
      <c r="B286" s="11" t="s">
        <v>398</v>
      </c>
      <c r="C286" s="11" t="s">
        <v>4</v>
      </c>
      <c r="D286" s="11" t="s">
        <v>399</v>
      </c>
      <c r="E286" s="11" t="s">
        <v>324</v>
      </c>
      <c r="F286" s="11" t="s">
        <v>325</v>
      </c>
      <c r="G286" s="12">
        <v>1</v>
      </c>
      <c r="H286" s="12">
        <v>26</v>
      </c>
      <c r="I286" s="12">
        <v>26</v>
      </c>
      <c r="J286" s="12">
        <v>3021.5</v>
      </c>
      <c r="K286">
        <f t="shared" si="12"/>
        <v>3</v>
      </c>
      <c r="L286">
        <f t="shared" si="13"/>
        <v>1</v>
      </c>
      <c r="M286">
        <f t="shared" si="14"/>
        <v>1</v>
      </c>
    </row>
    <row r="287" spans="1:13" x14ac:dyDescent="0.25">
      <c r="A287" s="2" t="s">
        <v>272</v>
      </c>
      <c r="B287" s="11" t="s">
        <v>398</v>
      </c>
      <c r="C287" s="11" t="s">
        <v>4</v>
      </c>
      <c r="D287" s="11" t="s">
        <v>399</v>
      </c>
      <c r="E287" s="11" t="s">
        <v>326</v>
      </c>
      <c r="F287" s="11" t="s">
        <v>327</v>
      </c>
      <c r="G287" s="12">
        <v>1</v>
      </c>
      <c r="H287" s="12">
        <v>28</v>
      </c>
      <c r="I287" s="12">
        <v>28</v>
      </c>
      <c r="J287" s="12">
        <v>3049.5</v>
      </c>
      <c r="K287">
        <f t="shared" si="12"/>
        <v>2</v>
      </c>
      <c r="L287">
        <f t="shared" si="13"/>
        <v>1</v>
      </c>
      <c r="M287">
        <f t="shared" si="14"/>
        <v>1</v>
      </c>
    </row>
    <row r="288" spans="1:13" x14ac:dyDescent="0.25">
      <c r="A288" s="2" t="s">
        <v>272</v>
      </c>
      <c r="B288" s="11" t="s">
        <v>398</v>
      </c>
      <c r="C288" s="11" t="s">
        <v>4</v>
      </c>
      <c r="D288" s="11" t="s">
        <v>399</v>
      </c>
      <c r="E288" s="11" t="s">
        <v>328</v>
      </c>
      <c r="F288" s="11" t="s">
        <v>400</v>
      </c>
      <c r="G288" s="12">
        <v>1</v>
      </c>
      <c r="H288" s="12">
        <v>82.5</v>
      </c>
      <c r="I288" s="12">
        <v>82.5</v>
      </c>
      <c r="J288" s="12">
        <v>3132</v>
      </c>
      <c r="K288">
        <f t="shared" si="12"/>
        <v>6</v>
      </c>
      <c r="L288">
        <f t="shared" si="13"/>
        <v>1</v>
      </c>
      <c r="M288">
        <f t="shared" si="14"/>
        <v>1</v>
      </c>
    </row>
    <row r="289" spans="1:13" x14ac:dyDescent="0.25">
      <c r="A289" s="2" t="s">
        <v>272</v>
      </c>
      <c r="B289" s="11" t="s">
        <v>398</v>
      </c>
      <c r="C289" s="11" t="s">
        <v>4</v>
      </c>
      <c r="D289" s="11" t="s">
        <v>399</v>
      </c>
      <c r="E289" s="11" t="s">
        <v>37</v>
      </c>
      <c r="F289" s="11" t="s">
        <v>330</v>
      </c>
      <c r="G289" s="12">
        <v>1</v>
      </c>
      <c r="H289" s="12">
        <v>99</v>
      </c>
      <c r="I289" s="12">
        <v>99</v>
      </c>
      <c r="J289" s="12">
        <v>3231</v>
      </c>
      <c r="K289">
        <f t="shared" si="12"/>
        <v>7</v>
      </c>
      <c r="L289">
        <f t="shared" si="13"/>
        <v>1</v>
      </c>
      <c r="M289">
        <f t="shared" si="14"/>
        <v>1</v>
      </c>
    </row>
    <row r="290" spans="1:13" x14ac:dyDescent="0.25">
      <c r="A290" s="2" t="s">
        <v>272</v>
      </c>
      <c r="B290" s="11" t="s">
        <v>398</v>
      </c>
      <c r="C290" s="11" t="s">
        <v>4</v>
      </c>
      <c r="D290" s="11" t="s">
        <v>399</v>
      </c>
      <c r="E290" s="11" t="s">
        <v>337</v>
      </c>
      <c r="F290" s="11" t="s">
        <v>338</v>
      </c>
      <c r="G290" s="12">
        <v>1</v>
      </c>
      <c r="H290" s="12">
        <v>39</v>
      </c>
      <c r="I290" s="12">
        <v>39</v>
      </c>
      <c r="J290" s="12">
        <v>3270</v>
      </c>
      <c r="K290">
        <f t="shared" si="12"/>
        <v>2</v>
      </c>
      <c r="L290">
        <f t="shared" si="13"/>
        <v>1</v>
      </c>
      <c r="M290">
        <f t="shared" si="14"/>
        <v>1</v>
      </c>
    </row>
    <row r="291" spans="1:13" x14ac:dyDescent="0.25">
      <c r="A291" s="2" t="s">
        <v>272</v>
      </c>
      <c r="B291" s="11" t="s">
        <v>398</v>
      </c>
      <c r="C291" s="11" t="s">
        <v>4</v>
      </c>
      <c r="D291" s="11" t="s">
        <v>399</v>
      </c>
      <c r="E291" s="11" t="s">
        <v>339</v>
      </c>
      <c r="F291" s="11" t="s">
        <v>340</v>
      </c>
      <c r="G291" s="12">
        <v>1</v>
      </c>
      <c r="H291" s="12">
        <v>42</v>
      </c>
      <c r="I291" s="12">
        <v>42</v>
      </c>
      <c r="J291" s="12">
        <v>3312</v>
      </c>
      <c r="K291">
        <f t="shared" si="12"/>
        <v>2</v>
      </c>
      <c r="L291">
        <f t="shared" si="13"/>
        <v>1</v>
      </c>
      <c r="M291">
        <f t="shared" si="14"/>
        <v>1</v>
      </c>
    </row>
    <row r="292" spans="1:13" x14ac:dyDescent="0.25">
      <c r="A292" s="2" t="s">
        <v>272</v>
      </c>
      <c r="B292" s="11" t="s">
        <v>398</v>
      </c>
      <c r="C292" s="11" t="s">
        <v>4</v>
      </c>
      <c r="D292" s="11" t="s">
        <v>399</v>
      </c>
      <c r="E292" s="11" t="s">
        <v>341</v>
      </c>
      <c r="F292" s="11" t="s">
        <v>342</v>
      </c>
      <c r="G292" s="12">
        <v>1</v>
      </c>
      <c r="H292" s="12">
        <v>39</v>
      </c>
      <c r="I292" s="12">
        <v>39</v>
      </c>
      <c r="J292" s="12">
        <v>3351</v>
      </c>
      <c r="K292">
        <f t="shared" si="12"/>
        <v>3</v>
      </c>
      <c r="L292">
        <f t="shared" si="13"/>
        <v>1</v>
      </c>
      <c r="M292">
        <f t="shared" si="14"/>
        <v>1</v>
      </c>
    </row>
    <row r="293" spans="1:13" x14ac:dyDescent="0.25">
      <c r="A293" s="2" t="s">
        <v>272</v>
      </c>
      <c r="B293" s="11" t="s">
        <v>398</v>
      </c>
      <c r="C293" s="11" t="s">
        <v>4</v>
      </c>
      <c r="D293" s="11" t="s">
        <v>399</v>
      </c>
      <c r="E293" s="11" t="s">
        <v>343</v>
      </c>
      <c r="F293" s="11" t="s">
        <v>344</v>
      </c>
      <c r="G293" s="12">
        <v>1</v>
      </c>
      <c r="H293" s="12">
        <v>50</v>
      </c>
      <c r="I293" s="12">
        <v>50</v>
      </c>
      <c r="J293" s="12">
        <v>3401</v>
      </c>
      <c r="K293">
        <f t="shared" si="12"/>
        <v>4</v>
      </c>
      <c r="L293">
        <f t="shared" si="13"/>
        <v>1</v>
      </c>
      <c r="M293">
        <f t="shared" si="14"/>
        <v>1</v>
      </c>
    </row>
    <row r="294" spans="1:13" x14ac:dyDescent="0.25">
      <c r="A294" s="2" t="s">
        <v>272</v>
      </c>
      <c r="B294" s="11" t="s">
        <v>398</v>
      </c>
      <c r="C294" s="11" t="s">
        <v>4</v>
      </c>
      <c r="D294" s="11" t="s">
        <v>399</v>
      </c>
      <c r="E294" s="11" t="s">
        <v>128</v>
      </c>
      <c r="F294" s="11" t="s">
        <v>345</v>
      </c>
      <c r="G294" s="12">
        <v>1</v>
      </c>
      <c r="H294" s="12">
        <v>28</v>
      </c>
      <c r="I294" s="12">
        <v>28</v>
      </c>
      <c r="J294" s="12">
        <v>3429</v>
      </c>
      <c r="K294">
        <f t="shared" si="12"/>
        <v>4</v>
      </c>
      <c r="L294">
        <f t="shared" si="13"/>
        <v>1</v>
      </c>
      <c r="M294">
        <f t="shared" si="14"/>
        <v>1</v>
      </c>
    </row>
    <row r="295" spans="1:13" x14ac:dyDescent="0.25">
      <c r="A295" s="2" t="s">
        <v>272</v>
      </c>
      <c r="B295" s="11" t="s">
        <v>398</v>
      </c>
      <c r="C295" s="11" t="s">
        <v>4</v>
      </c>
      <c r="D295" s="11" t="s">
        <v>399</v>
      </c>
      <c r="E295" s="11" t="s">
        <v>126</v>
      </c>
      <c r="F295" s="11" t="s">
        <v>346</v>
      </c>
      <c r="G295" s="12">
        <v>1</v>
      </c>
      <c r="H295" s="12">
        <v>28</v>
      </c>
      <c r="I295" s="12">
        <v>28</v>
      </c>
      <c r="J295" s="12">
        <v>3457</v>
      </c>
      <c r="K295">
        <f t="shared" si="12"/>
        <v>5</v>
      </c>
      <c r="L295">
        <f t="shared" si="13"/>
        <v>1</v>
      </c>
      <c r="M295">
        <f t="shared" si="14"/>
        <v>1</v>
      </c>
    </row>
    <row r="296" spans="1:13" x14ac:dyDescent="0.25">
      <c r="A296" s="2" t="s">
        <v>272</v>
      </c>
      <c r="B296" s="11" t="s">
        <v>398</v>
      </c>
      <c r="C296" s="11" t="s">
        <v>4</v>
      </c>
      <c r="D296" s="11" t="s">
        <v>399</v>
      </c>
      <c r="E296" s="11" t="s">
        <v>122</v>
      </c>
      <c r="F296" s="11" t="s">
        <v>347</v>
      </c>
      <c r="G296" s="12">
        <v>1</v>
      </c>
      <c r="H296" s="12">
        <v>26</v>
      </c>
      <c r="I296" s="12">
        <v>26</v>
      </c>
      <c r="J296" s="12">
        <v>3483</v>
      </c>
      <c r="K296">
        <f t="shared" si="12"/>
        <v>5</v>
      </c>
      <c r="L296">
        <f t="shared" si="13"/>
        <v>1</v>
      </c>
      <c r="M296">
        <f t="shared" si="14"/>
        <v>1</v>
      </c>
    </row>
    <row r="297" spans="1:13" x14ac:dyDescent="0.25">
      <c r="A297" s="2" t="s">
        <v>272</v>
      </c>
      <c r="B297" s="11" t="s">
        <v>398</v>
      </c>
      <c r="C297" s="11" t="s">
        <v>4</v>
      </c>
      <c r="D297" s="11" t="s">
        <v>399</v>
      </c>
      <c r="E297" s="11" t="s">
        <v>348</v>
      </c>
      <c r="F297" s="11" t="s">
        <v>349</v>
      </c>
      <c r="G297" s="12">
        <v>1</v>
      </c>
      <c r="H297" s="12">
        <v>16</v>
      </c>
      <c r="I297" s="12">
        <v>16</v>
      </c>
      <c r="J297" s="12">
        <v>3499</v>
      </c>
      <c r="K297">
        <f t="shared" si="12"/>
        <v>7</v>
      </c>
      <c r="L297">
        <f t="shared" si="13"/>
        <v>1</v>
      </c>
      <c r="M297">
        <f t="shared" si="14"/>
        <v>1</v>
      </c>
    </row>
    <row r="298" spans="1:13" x14ac:dyDescent="0.25">
      <c r="A298" s="2" t="s">
        <v>272</v>
      </c>
      <c r="B298" s="11" t="s">
        <v>398</v>
      </c>
      <c r="C298" s="11" t="s">
        <v>4</v>
      </c>
      <c r="D298" s="11" t="s">
        <v>399</v>
      </c>
      <c r="E298" s="11" t="s">
        <v>350</v>
      </c>
      <c r="F298" s="11" t="s">
        <v>351</v>
      </c>
      <c r="G298" s="12">
        <v>1</v>
      </c>
      <c r="H298" s="12">
        <v>16</v>
      </c>
      <c r="I298" s="12">
        <v>16</v>
      </c>
      <c r="J298" s="12">
        <v>3515</v>
      </c>
      <c r="K298">
        <f t="shared" si="12"/>
        <v>5</v>
      </c>
      <c r="L298">
        <f t="shared" si="13"/>
        <v>1</v>
      </c>
      <c r="M298">
        <f t="shared" si="14"/>
        <v>1</v>
      </c>
    </row>
    <row r="299" spans="1:13" x14ac:dyDescent="0.25">
      <c r="A299" s="2" t="s">
        <v>272</v>
      </c>
      <c r="B299" s="11" t="s">
        <v>398</v>
      </c>
      <c r="C299" s="11" t="s">
        <v>4</v>
      </c>
      <c r="D299" s="11" t="s">
        <v>399</v>
      </c>
      <c r="E299" s="11" t="s">
        <v>354</v>
      </c>
      <c r="F299" s="11" t="s">
        <v>355</v>
      </c>
      <c r="G299" s="12">
        <v>1</v>
      </c>
      <c r="H299" s="12">
        <v>16</v>
      </c>
      <c r="I299" s="12">
        <v>16</v>
      </c>
      <c r="J299" s="12">
        <v>3531</v>
      </c>
      <c r="K299">
        <f t="shared" si="12"/>
        <v>5</v>
      </c>
      <c r="L299">
        <f t="shared" si="13"/>
        <v>1</v>
      </c>
      <c r="M299">
        <f t="shared" si="14"/>
        <v>1</v>
      </c>
    </row>
    <row r="300" spans="1:13" x14ac:dyDescent="0.25">
      <c r="A300" s="2" t="s">
        <v>272</v>
      </c>
      <c r="B300" s="11" t="s">
        <v>398</v>
      </c>
      <c r="C300" s="11" t="s">
        <v>4</v>
      </c>
      <c r="D300" s="11" t="s">
        <v>399</v>
      </c>
      <c r="E300" s="11" t="s">
        <v>356</v>
      </c>
      <c r="F300" s="11" t="s">
        <v>357</v>
      </c>
      <c r="G300" s="12">
        <v>1</v>
      </c>
      <c r="H300" s="12">
        <v>16</v>
      </c>
      <c r="I300" s="12">
        <v>16</v>
      </c>
      <c r="J300" s="12">
        <v>3547</v>
      </c>
      <c r="K300">
        <f t="shared" si="12"/>
        <v>3</v>
      </c>
      <c r="L300">
        <f t="shared" si="13"/>
        <v>1</v>
      </c>
      <c r="M300">
        <f t="shared" si="14"/>
        <v>1</v>
      </c>
    </row>
    <row r="301" spans="1:13" x14ac:dyDescent="0.25">
      <c r="A301" s="2" t="s">
        <v>272</v>
      </c>
      <c r="B301" s="11" t="s">
        <v>398</v>
      </c>
      <c r="C301" s="11" t="s">
        <v>4</v>
      </c>
      <c r="D301" s="11" t="s">
        <v>399</v>
      </c>
      <c r="E301" s="11" t="s">
        <v>358</v>
      </c>
      <c r="F301" s="11" t="s">
        <v>359</v>
      </c>
      <c r="G301" s="12">
        <v>1</v>
      </c>
      <c r="H301" s="12">
        <v>17</v>
      </c>
      <c r="I301" s="12">
        <v>17</v>
      </c>
      <c r="J301" s="12">
        <v>3564</v>
      </c>
      <c r="K301">
        <f t="shared" si="12"/>
        <v>5</v>
      </c>
      <c r="L301">
        <f t="shared" si="13"/>
        <v>1</v>
      </c>
      <c r="M301">
        <f t="shared" si="14"/>
        <v>1</v>
      </c>
    </row>
    <row r="302" spans="1:13" x14ac:dyDescent="0.25">
      <c r="A302" s="2" t="s">
        <v>272</v>
      </c>
      <c r="B302" s="11" t="s">
        <v>398</v>
      </c>
      <c r="C302" s="11" t="s">
        <v>4</v>
      </c>
      <c r="D302" s="11" t="s">
        <v>399</v>
      </c>
      <c r="E302" s="11" t="s">
        <v>360</v>
      </c>
      <c r="F302" s="11" t="s">
        <v>361</v>
      </c>
      <c r="G302" s="12">
        <v>1</v>
      </c>
      <c r="H302" s="12">
        <v>17</v>
      </c>
      <c r="I302" s="12">
        <v>17</v>
      </c>
      <c r="J302" s="12">
        <v>3581</v>
      </c>
      <c r="K302">
        <f t="shared" si="12"/>
        <v>5</v>
      </c>
      <c r="L302">
        <f t="shared" si="13"/>
        <v>1</v>
      </c>
      <c r="M302">
        <f t="shared" si="14"/>
        <v>1</v>
      </c>
    </row>
    <row r="303" spans="1:13" x14ac:dyDescent="0.25">
      <c r="A303" s="2" t="s">
        <v>272</v>
      </c>
      <c r="B303" s="11" t="s">
        <v>398</v>
      </c>
      <c r="C303" s="11" t="s">
        <v>4</v>
      </c>
      <c r="D303" s="11" t="s">
        <v>399</v>
      </c>
      <c r="E303" s="11" t="s">
        <v>364</v>
      </c>
      <c r="F303" s="11" t="s">
        <v>365</v>
      </c>
      <c r="G303" s="12">
        <v>1</v>
      </c>
      <c r="H303" s="12">
        <v>17</v>
      </c>
      <c r="I303" s="12">
        <v>17</v>
      </c>
      <c r="J303" s="12">
        <v>3598</v>
      </c>
      <c r="K303">
        <f t="shared" si="12"/>
        <v>3</v>
      </c>
      <c r="L303">
        <f t="shared" si="13"/>
        <v>1</v>
      </c>
      <c r="M303">
        <f t="shared" si="14"/>
        <v>1</v>
      </c>
    </row>
    <row r="304" spans="1:13" x14ac:dyDescent="0.25">
      <c r="A304" s="2" t="s">
        <v>272</v>
      </c>
      <c r="B304" s="11" t="s">
        <v>398</v>
      </c>
      <c r="C304" s="11" t="s">
        <v>4</v>
      </c>
      <c r="D304" s="11" t="s">
        <v>399</v>
      </c>
      <c r="E304" s="11" t="s">
        <v>366</v>
      </c>
      <c r="F304" s="11" t="s">
        <v>367</v>
      </c>
      <c r="G304" s="12">
        <v>1</v>
      </c>
      <c r="H304" s="12">
        <v>35</v>
      </c>
      <c r="I304" s="12">
        <v>35</v>
      </c>
      <c r="J304" s="12">
        <v>3633</v>
      </c>
      <c r="K304">
        <f t="shared" si="12"/>
        <v>8</v>
      </c>
      <c r="L304">
        <f t="shared" si="13"/>
        <v>1</v>
      </c>
      <c r="M304">
        <f t="shared" si="14"/>
        <v>1</v>
      </c>
    </row>
    <row r="305" spans="1:13" x14ac:dyDescent="0.25">
      <c r="A305" s="2" t="s">
        <v>272</v>
      </c>
      <c r="B305" s="11" t="s">
        <v>398</v>
      </c>
      <c r="C305" s="11" t="s">
        <v>4</v>
      </c>
      <c r="D305" s="11" t="s">
        <v>399</v>
      </c>
      <c r="E305" s="11" t="s">
        <v>370</v>
      </c>
      <c r="F305" s="11" t="s">
        <v>371</v>
      </c>
      <c r="G305" s="12">
        <v>1</v>
      </c>
      <c r="H305" s="12">
        <v>8</v>
      </c>
      <c r="I305" s="12">
        <v>8</v>
      </c>
      <c r="J305" s="12">
        <v>3641</v>
      </c>
      <c r="K305">
        <f t="shared" si="12"/>
        <v>7</v>
      </c>
      <c r="L305">
        <f t="shared" si="13"/>
        <v>1</v>
      </c>
      <c r="M305">
        <f t="shared" si="14"/>
        <v>1</v>
      </c>
    </row>
    <row r="306" spans="1:13" x14ac:dyDescent="0.25">
      <c r="A306" s="2" t="s">
        <v>272</v>
      </c>
      <c r="B306" s="11" t="s">
        <v>398</v>
      </c>
      <c r="C306" s="11" t="s">
        <v>4</v>
      </c>
      <c r="D306" s="11" t="s">
        <v>399</v>
      </c>
      <c r="E306" s="11" t="s">
        <v>372</v>
      </c>
      <c r="F306" s="11" t="s">
        <v>373</v>
      </c>
      <c r="G306" s="12">
        <v>1</v>
      </c>
      <c r="H306" s="12">
        <v>36</v>
      </c>
      <c r="I306" s="12">
        <v>36</v>
      </c>
      <c r="J306" s="12">
        <v>3677</v>
      </c>
      <c r="K306">
        <f t="shared" si="12"/>
        <v>9</v>
      </c>
      <c r="L306">
        <f t="shared" si="13"/>
        <v>1</v>
      </c>
      <c r="M306">
        <f t="shared" si="14"/>
        <v>1</v>
      </c>
    </row>
    <row r="307" spans="1:13" x14ac:dyDescent="0.25">
      <c r="A307" s="2" t="s">
        <v>272</v>
      </c>
      <c r="B307" s="11" t="s">
        <v>398</v>
      </c>
      <c r="C307" s="11" t="s">
        <v>4</v>
      </c>
      <c r="D307" s="11" t="s">
        <v>399</v>
      </c>
      <c r="E307" s="11" t="s">
        <v>376</v>
      </c>
      <c r="F307" s="11" t="s">
        <v>377</v>
      </c>
      <c r="G307" s="12">
        <v>1</v>
      </c>
      <c r="H307" s="12">
        <v>19</v>
      </c>
      <c r="I307" s="12">
        <v>19</v>
      </c>
      <c r="J307" s="12">
        <v>3696</v>
      </c>
      <c r="K307">
        <f t="shared" si="12"/>
        <v>4</v>
      </c>
      <c r="L307">
        <f t="shared" si="13"/>
        <v>1</v>
      </c>
      <c r="M307">
        <f t="shared" si="14"/>
        <v>1</v>
      </c>
    </row>
    <row r="308" spans="1:13" x14ac:dyDescent="0.25">
      <c r="A308" s="2" t="s">
        <v>272</v>
      </c>
      <c r="B308" s="11" t="s">
        <v>398</v>
      </c>
      <c r="C308" s="11" t="s">
        <v>4</v>
      </c>
      <c r="D308" s="11" t="s">
        <v>399</v>
      </c>
      <c r="E308" s="11" t="s">
        <v>378</v>
      </c>
      <c r="F308" s="11" t="s">
        <v>379</v>
      </c>
      <c r="G308" s="12">
        <v>1</v>
      </c>
      <c r="H308" s="12">
        <v>12.5</v>
      </c>
      <c r="I308" s="12">
        <v>12.5</v>
      </c>
      <c r="J308" s="12">
        <v>3708.5</v>
      </c>
      <c r="K308">
        <f t="shared" si="12"/>
        <v>4</v>
      </c>
      <c r="L308">
        <f t="shared" si="13"/>
        <v>1</v>
      </c>
      <c r="M308">
        <f t="shared" si="14"/>
        <v>1</v>
      </c>
    </row>
    <row r="309" spans="1:13" x14ac:dyDescent="0.25">
      <c r="A309" s="2" t="s">
        <v>272</v>
      </c>
      <c r="B309" s="11" t="s">
        <v>398</v>
      </c>
      <c r="C309" s="11" t="s">
        <v>4</v>
      </c>
      <c r="D309" s="11" t="s">
        <v>399</v>
      </c>
      <c r="E309" s="11" t="s">
        <v>380</v>
      </c>
      <c r="F309" s="11" t="s">
        <v>380</v>
      </c>
      <c r="G309" s="12">
        <v>1</v>
      </c>
      <c r="H309" s="12">
        <v>54</v>
      </c>
      <c r="I309" s="12">
        <v>54</v>
      </c>
      <c r="J309" s="12">
        <v>3762.5</v>
      </c>
      <c r="K309">
        <f t="shared" si="12"/>
        <v>5</v>
      </c>
      <c r="L309">
        <f t="shared" si="13"/>
        <v>1</v>
      </c>
      <c r="M309">
        <f t="shared" si="14"/>
        <v>1</v>
      </c>
    </row>
    <row r="310" spans="1:13" x14ac:dyDescent="0.25">
      <c r="A310" s="2" t="s">
        <v>272</v>
      </c>
      <c r="B310" s="11" t="s">
        <v>398</v>
      </c>
      <c r="C310" s="11" t="s">
        <v>4</v>
      </c>
      <c r="D310" s="11" t="s">
        <v>399</v>
      </c>
      <c r="E310" s="11" t="s">
        <v>381</v>
      </c>
      <c r="F310" s="11" t="s">
        <v>381</v>
      </c>
      <c r="G310" s="12">
        <v>1</v>
      </c>
      <c r="H310" s="12">
        <v>115</v>
      </c>
      <c r="I310" s="12">
        <v>115</v>
      </c>
      <c r="J310" s="12">
        <v>3877.5</v>
      </c>
      <c r="K310">
        <f t="shared" si="12"/>
        <v>4</v>
      </c>
      <c r="L310">
        <f t="shared" si="13"/>
        <v>1</v>
      </c>
      <c r="M310">
        <f t="shared" si="14"/>
        <v>1</v>
      </c>
    </row>
    <row r="311" spans="1:13" x14ac:dyDescent="0.25">
      <c r="A311" s="2" t="s">
        <v>272</v>
      </c>
      <c r="B311" s="11" t="s">
        <v>398</v>
      </c>
      <c r="C311" s="11" t="s">
        <v>4</v>
      </c>
      <c r="D311" s="11" t="s">
        <v>399</v>
      </c>
      <c r="E311" s="11" t="s">
        <v>382</v>
      </c>
      <c r="F311" s="11" t="s">
        <v>383</v>
      </c>
      <c r="G311" s="12">
        <v>1</v>
      </c>
      <c r="H311" s="12">
        <v>21</v>
      </c>
      <c r="I311" s="12">
        <v>21</v>
      </c>
      <c r="J311" s="12">
        <v>3898.5</v>
      </c>
      <c r="K311">
        <f t="shared" si="12"/>
        <v>2</v>
      </c>
      <c r="L311">
        <f t="shared" si="13"/>
        <v>1</v>
      </c>
      <c r="M311">
        <f t="shared" si="14"/>
        <v>1</v>
      </c>
    </row>
    <row r="312" spans="1:13" x14ac:dyDescent="0.25">
      <c r="A312" s="2" t="s">
        <v>272</v>
      </c>
      <c r="B312" s="11" t="s">
        <v>398</v>
      </c>
      <c r="C312" s="11" t="s">
        <v>4</v>
      </c>
      <c r="D312" s="11" t="s">
        <v>399</v>
      </c>
      <c r="E312" s="11" t="s">
        <v>384</v>
      </c>
      <c r="F312" s="11" t="s">
        <v>385</v>
      </c>
      <c r="G312" s="12">
        <v>1</v>
      </c>
      <c r="H312" s="12">
        <v>66</v>
      </c>
      <c r="I312" s="12">
        <v>66</v>
      </c>
      <c r="J312" s="12">
        <v>3964.5</v>
      </c>
      <c r="K312">
        <f t="shared" si="12"/>
        <v>3</v>
      </c>
      <c r="L312">
        <f t="shared" si="13"/>
        <v>1</v>
      </c>
      <c r="M312">
        <f t="shared" si="14"/>
        <v>1</v>
      </c>
    </row>
    <row r="313" spans="1:13" x14ac:dyDescent="0.25">
      <c r="A313" s="2" t="s">
        <v>272</v>
      </c>
      <c r="B313" s="11" t="s">
        <v>398</v>
      </c>
      <c r="C313" s="11" t="s">
        <v>4</v>
      </c>
      <c r="D313" s="11" t="s">
        <v>399</v>
      </c>
      <c r="E313" s="11" t="s">
        <v>386</v>
      </c>
      <c r="F313" s="11" t="s">
        <v>387</v>
      </c>
      <c r="G313" s="12">
        <v>1</v>
      </c>
      <c r="H313" s="12">
        <v>46</v>
      </c>
      <c r="I313" s="12">
        <v>46</v>
      </c>
      <c r="J313" s="12">
        <v>4010.5</v>
      </c>
      <c r="K313">
        <f t="shared" si="12"/>
        <v>2</v>
      </c>
      <c r="L313">
        <f t="shared" si="13"/>
        <v>1</v>
      </c>
      <c r="M313">
        <f t="shared" si="14"/>
        <v>1</v>
      </c>
    </row>
    <row r="314" spans="1:13" x14ac:dyDescent="0.25">
      <c r="A314" s="2" t="s">
        <v>272</v>
      </c>
      <c r="B314" s="11" t="s">
        <v>398</v>
      </c>
      <c r="C314" s="11" t="s">
        <v>4</v>
      </c>
      <c r="D314" s="11" t="s">
        <v>399</v>
      </c>
      <c r="E314" s="11" t="s">
        <v>388</v>
      </c>
      <c r="F314" s="11" t="s">
        <v>389</v>
      </c>
      <c r="G314" s="12">
        <v>1</v>
      </c>
      <c r="H314" s="12">
        <v>55</v>
      </c>
      <c r="I314" s="12">
        <v>55</v>
      </c>
      <c r="J314" s="12">
        <v>4065.5</v>
      </c>
      <c r="K314">
        <f t="shared" si="12"/>
        <v>4</v>
      </c>
      <c r="L314">
        <f t="shared" si="13"/>
        <v>1</v>
      </c>
      <c r="M314">
        <f t="shared" si="14"/>
        <v>1</v>
      </c>
    </row>
    <row r="315" spans="1:13" x14ac:dyDescent="0.25">
      <c r="A315" s="2" t="s">
        <v>272</v>
      </c>
      <c r="B315" s="11" t="s">
        <v>398</v>
      </c>
      <c r="C315" s="11" t="s">
        <v>4</v>
      </c>
      <c r="D315" s="11" t="s">
        <v>399</v>
      </c>
      <c r="E315" s="11" t="s">
        <v>390</v>
      </c>
      <c r="F315" s="11" t="s">
        <v>391</v>
      </c>
      <c r="G315" s="12">
        <v>1</v>
      </c>
      <c r="H315" s="12">
        <v>39</v>
      </c>
      <c r="I315" s="12">
        <v>39</v>
      </c>
      <c r="J315" s="12">
        <v>4104.5</v>
      </c>
      <c r="K315">
        <f t="shared" si="12"/>
        <v>5</v>
      </c>
      <c r="L315">
        <f t="shared" si="13"/>
        <v>1</v>
      </c>
      <c r="M315">
        <f t="shared" si="14"/>
        <v>1</v>
      </c>
    </row>
    <row r="316" spans="1:13" x14ac:dyDescent="0.25">
      <c r="A316" s="2" t="s">
        <v>272</v>
      </c>
      <c r="B316" s="11" t="s">
        <v>398</v>
      </c>
      <c r="C316" s="11" t="s">
        <v>4</v>
      </c>
      <c r="D316" s="11" t="s">
        <v>399</v>
      </c>
      <c r="E316" s="11" t="s">
        <v>392</v>
      </c>
      <c r="F316" s="11" t="s">
        <v>393</v>
      </c>
      <c r="G316" s="12">
        <v>1</v>
      </c>
      <c r="H316" s="12">
        <v>80</v>
      </c>
      <c r="I316" s="12">
        <v>80</v>
      </c>
      <c r="J316" s="12">
        <v>4184.5</v>
      </c>
      <c r="K316">
        <f t="shared" si="12"/>
        <v>2</v>
      </c>
      <c r="L316">
        <f t="shared" si="13"/>
        <v>1</v>
      </c>
      <c r="M316">
        <f t="shared" si="14"/>
        <v>1</v>
      </c>
    </row>
    <row r="317" spans="1:13" x14ac:dyDescent="0.25">
      <c r="A317" s="2" t="s">
        <v>272</v>
      </c>
      <c r="B317" s="11" t="s">
        <v>398</v>
      </c>
      <c r="C317" s="11" t="s">
        <v>4</v>
      </c>
      <c r="D317" s="11" t="s">
        <v>399</v>
      </c>
      <c r="E317" s="11" t="s">
        <v>394</v>
      </c>
      <c r="F317" s="11" t="s">
        <v>395</v>
      </c>
      <c r="G317" s="12">
        <v>1</v>
      </c>
      <c r="H317" s="12">
        <v>78</v>
      </c>
      <c r="I317" s="12">
        <v>78</v>
      </c>
      <c r="J317" s="12">
        <v>4262.5</v>
      </c>
      <c r="K317">
        <f t="shared" si="12"/>
        <v>2</v>
      </c>
      <c r="L317">
        <f t="shared" si="13"/>
        <v>1</v>
      </c>
      <c r="M317">
        <f t="shared" si="14"/>
        <v>1</v>
      </c>
    </row>
    <row r="318" spans="1:13" x14ac:dyDescent="0.25">
      <c r="A318" s="2" t="s">
        <v>272</v>
      </c>
      <c r="B318" s="11" t="s">
        <v>398</v>
      </c>
      <c r="C318" s="11" t="s">
        <v>4</v>
      </c>
      <c r="D318" s="11" t="s">
        <v>399</v>
      </c>
      <c r="E318" s="11" t="s">
        <v>396</v>
      </c>
      <c r="F318" s="11" t="s">
        <v>397</v>
      </c>
      <c r="G318" s="12">
        <v>1</v>
      </c>
      <c r="H318" s="12">
        <v>72</v>
      </c>
      <c r="I318" s="12">
        <v>72</v>
      </c>
      <c r="J318" s="12">
        <v>4334.5</v>
      </c>
      <c r="K318">
        <f t="shared" si="12"/>
        <v>2</v>
      </c>
      <c r="L318">
        <f t="shared" si="13"/>
        <v>1</v>
      </c>
      <c r="M318">
        <f t="shared" si="14"/>
        <v>1</v>
      </c>
    </row>
    <row r="319" spans="1:13" x14ac:dyDescent="0.25">
      <c r="A319" s="2" t="s">
        <v>272</v>
      </c>
      <c r="B319" s="11" t="s">
        <v>398</v>
      </c>
      <c r="C319" s="11" t="s">
        <v>4</v>
      </c>
      <c r="D319" s="11" t="s">
        <v>399</v>
      </c>
      <c r="E319" s="11" t="s">
        <v>72</v>
      </c>
      <c r="F319" s="11" t="s">
        <v>401</v>
      </c>
      <c r="G319" s="12">
        <v>1</v>
      </c>
      <c r="H319" s="12">
        <v>79.5</v>
      </c>
      <c r="I319" s="12">
        <v>79.5</v>
      </c>
      <c r="J319" s="12">
        <v>4414</v>
      </c>
      <c r="K319">
        <f t="shared" si="12"/>
        <v>6</v>
      </c>
      <c r="L319">
        <f t="shared" si="13"/>
        <v>1</v>
      </c>
      <c r="M319">
        <f t="shared" si="14"/>
        <v>1</v>
      </c>
    </row>
    <row r="320" spans="1:13" x14ac:dyDescent="0.25">
      <c r="A320" s="2" t="s">
        <v>272</v>
      </c>
      <c r="B320" s="11" t="s">
        <v>398</v>
      </c>
      <c r="C320" s="11" t="s">
        <v>4</v>
      </c>
      <c r="D320" s="11" t="s">
        <v>399</v>
      </c>
      <c r="E320" s="11" t="s">
        <v>175</v>
      </c>
      <c r="F320" s="11" t="s">
        <v>176</v>
      </c>
      <c r="G320" s="12">
        <v>1</v>
      </c>
      <c r="H320" s="12">
        <v>27</v>
      </c>
      <c r="I320" s="12">
        <v>27</v>
      </c>
      <c r="J320" s="12">
        <v>4441</v>
      </c>
      <c r="K320">
        <f t="shared" si="12"/>
        <v>3</v>
      </c>
      <c r="L320">
        <f t="shared" si="13"/>
        <v>1</v>
      </c>
      <c r="M320">
        <f t="shared" si="14"/>
        <v>1</v>
      </c>
    </row>
    <row r="321" spans="1:13" x14ac:dyDescent="0.25">
      <c r="A321" s="2" t="s">
        <v>272</v>
      </c>
      <c r="B321" s="11" t="s">
        <v>398</v>
      </c>
      <c r="C321" s="11" t="s">
        <v>4</v>
      </c>
      <c r="D321" s="11" t="s">
        <v>399</v>
      </c>
      <c r="E321" s="11" t="s">
        <v>402</v>
      </c>
      <c r="F321" s="11" t="s">
        <v>403</v>
      </c>
      <c r="G321" s="12">
        <v>1</v>
      </c>
      <c r="H321" s="12">
        <v>30</v>
      </c>
      <c r="I321" s="12">
        <v>30</v>
      </c>
      <c r="J321" s="12">
        <v>4471</v>
      </c>
      <c r="K321">
        <f t="shared" si="12"/>
        <v>3</v>
      </c>
      <c r="L321">
        <f t="shared" si="13"/>
        <v>1</v>
      </c>
      <c r="M321">
        <f t="shared" si="14"/>
        <v>1</v>
      </c>
    </row>
    <row r="322" spans="1:13" x14ac:dyDescent="0.25">
      <c r="A322" s="2" t="s">
        <v>272</v>
      </c>
      <c r="B322" s="11" t="s">
        <v>398</v>
      </c>
      <c r="C322" s="11" t="s">
        <v>4</v>
      </c>
      <c r="D322" s="11" t="s">
        <v>399</v>
      </c>
      <c r="E322" s="11" t="s">
        <v>404</v>
      </c>
      <c r="F322" s="11" t="s">
        <v>405</v>
      </c>
      <c r="G322" s="12">
        <v>1</v>
      </c>
      <c r="H322" s="12">
        <v>30</v>
      </c>
      <c r="I322" s="12">
        <v>30</v>
      </c>
      <c r="J322" s="12">
        <v>4501</v>
      </c>
      <c r="K322">
        <f t="shared" si="12"/>
        <v>3</v>
      </c>
      <c r="L322">
        <f t="shared" si="13"/>
        <v>1</v>
      </c>
      <c r="M322">
        <f t="shared" si="14"/>
        <v>1</v>
      </c>
    </row>
    <row r="323" spans="1:13" x14ac:dyDescent="0.25">
      <c r="A323" s="2" t="s">
        <v>272</v>
      </c>
      <c r="B323" s="11" t="s">
        <v>398</v>
      </c>
      <c r="C323" s="11" t="s">
        <v>4</v>
      </c>
      <c r="D323" s="11" t="s">
        <v>399</v>
      </c>
      <c r="E323" s="11" t="s">
        <v>406</v>
      </c>
      <c r="F323" s="11" t="s">
        <v>407</v>
      </c>
      <c r="G323" s="12">
        <v>1</v>
      </c>
      <c r="H323" s="12">
        <v>30</v>
      </c>
      <c r="I323" s="12">
        <v>30</v>
      </c>
      <c r="J323" s="12">
        <v>4531</v>
      </c>
      <c r="K323">
        <f t="shared" ref="K323:K386" si="15">COUNTIF($E$2:$E$1466,E323)</f>
        <v>3</v>
      </c>
      <c r="L323">
        <f t="shared" ref="L323:L386" si="16">IF(G323&gt;0,1,0)</f>
        <v>1</v>
      </c>
      <c r="M323">
        <f t="shared" ref="M323:M386" si="17">IF(H323&gt;0,1,0)</f>
        <v>1</v>
      </c>
    </row>
    <row r="324" spans="1:13" x14ac:dyDescent="0.25">
      <c r="A324" s="2" t="s">
        <v>272</v>
      </c>
      <c r="B324" s="11" t="s">
        <v>408</v>
      </c>
      <c r="C324" s="11" t="s">
        <v>4</v>
      </c>
      <c r="D324" s="11" t="s">
        <v>409</v>
      </c>
      <c r="E324" s="11" t="s">
        <v>410</v>
      </c>
      <c r="F324" s="11" t="s">
        <v>411</v>
      </c>
      <c r="G324" s="12">
        <v>1</v>
      </c>
      <c r="H324" s="12">
        <v>15.6</v>
      </c>
      <c r="I324" s="12">
        <v>15.6</v>
      </c>
      <c r="J324" s="12">
        <v>4546.6000000000004</v>
      </c>
      <c r="K324">
        <f t="shared" si="15"/>
        <v>1</v>
      </c>
      <c r="L324">
        <f t="shared" si="16"/>
        <v>1</v>
      </c>
      <c r="M324">
        <f t="shared" si="17"/>
        <v>1</v>
      </c>
    </row>
    <row r="325" spans="1:13" x14ac:dyDescent="0.25">
      <c r="A325" s="2" t="s">
        <v>272</v>
      </c>
      <c r="B325" s="11" t="s">
        <v>408</v>
      </c>
      <c r="C325" s="11" t="s">
        <v>4</v>
      </c>
      <c r="D325" s="11" t="s">
        <v>409</v>
      </c>
      <c r="E325" s="11" t="s">
        <v>412</v>
      </c>
      <c r="F325" s="11" t="s">
        <v>413</v>
      </c>
      <c r="G325" s="12">
        <v>1</v>
      </c>
      <c r="H325" s="12">
        <v>36</v>
      </c>
      <c r="I325" s="12">
        <v>36</v>
      </c>
      <c r="J325" s="12">
        <v>4582.6000000000004</v>
      </c>
      <c r="K325">
        <f t="shared" si="15"/>
        <v>2</v>
      </c>
      <c r="L325">
        <f t="shared" si="16"/>
        <v>1</v>
      </c>
      <c r="M325">
        <f t="shared" si="17"/>
        <v>1</v>
      </c>
    </row>
    <row r="326" spans="1:13" x14ac:dyDescent="0.25">
      <c r="A326" s="2" t="s">
        <v>272</v>
      </c>
      <c r="B326" s="11" t="s">
        <v>408</v>
      </c>
      <c r="C326" s="11" t="s">
        <v>4</v>
      </c>
      <c r="D326" s="11" t="s">
        <v>409</v>
      </c>
      <c r="E326" s="11" t="s">
        <v>341</v>
      </c>
      <c r="F326" s="11" t="s">
        <v>342</v>
      </c>
      <c r="G326" s="12">
        <v>1</v>
      </c>
      <c r="H326" s="12">
        <v>39</v>
      </c>
      <c r="I326" s="12">
        <v>39</v>
      </c>
      <c r="J326" s="12">
        <v>4621.6000000000004</v>
      </c>
      <c r="K326">
        <f t="shared" si="15"/>
        <v>3</v>
      </c>
      <c r="L326">
        <f t="shared" si="16"/>
        <v>1</v>
      </c>
      <c r="M326">
        <f t="shared" si="17"/>
        <v>1</v>
      </c>
    </row>
    <row r="327" spans="1:13" x14ac:dyDescent="0.25">
      <c r="A327" s="2" t="s">
        <v>272</v>
      </c>
      <c r="B327" s="11" t="s">
        <v>408</v>
      </c>
      <c r="C327" s="11" t="s">
        <v>4</v>
      </c>
      <c r="D327" s="11" t="s">
        <v>409</v>
      </c>
      <c r="E327" s="11" t="s">
        <v>414</v>
      </c>
      <c r="F327" s="11" t="s">
        <v>415</v>
      </c>
      <c r="G327" s="12">
        <v>1</v>
      </c>
      <c r="H327" s="12">
        <v>72</v>
      </c>
      <c r="I327" s="12">
        <v>72</v>
      </c>
      <c r="J327" s="12">
        <v>4693.6000000000004</v>
      </c>
      <c r="K327">
        <f t="shared" si="15"/>
        <v>1</v>
      </c>
      <c r="L327">
        <f t="shared" si="16"/>
        <v>1</v>
      </c>
      <c r="M327">
        <f t="shared" si="17"/>
        <v>1</v>
      </c>
    </row>
    <row r="328" spans="1:13" x14ac:dyDescent="0.25">
      <c r="A328" s="2" t="s">
        <v>272</v>
      </c>
      <c r="B328" s="11" t="s">
        <v>408</v>
      </c>
      <c r="C328" s="11" t="s">
        <v>4</v>
      </c>
      <c r="D328" s="11" t="s">
        <v>409</v>
      </c>
      <c r="E328" s="11" t="s">
        <v>416</v>
      </c>
      <c r="F328" s="11" t="s">
        <v>417</v>
      </c>
      <c r="G328" s="12">
        <v>1</v>
      </c>
      <c r="H328" s="12">
        <v>55</v>
      </c>
      <c r="I328" s="12">
        <v>55</v>
      </c>
      <c r="J328" s="12">
        <v>4748.6000000000004</v>
      </c>
      <c r="K328">
        <f t="shared" si="15"/>
        <v>4</v>
      </c>
      <c r="L328">
        <f t="shared" si="16"/>
        <v>1</v>
      </c>
      <c r="M328">
        <f t="shared" si="17"/>
        <v>1</v>
      </c>
    </row>
    <row r="329" spans="1:13" x14ac:dyDescent="0.25">
      <c r="A329" s="2" t="s">
        <v>272</v>
      </c>
      <c r="B329" s="11" t="s">
        <v>408</v>
      </c>
      <c r="C329" s="11" t="s">
        <v>4</v>
      </c>
      <c r="D329" s="11" t="s">
        <v>409</v>
      </c>
      <c r="E329" s="11" t="s">
        <v>378</v>
      </c>
      <c r="F329" s="11" t="s">
        <v>418</v>
      </c>
      <c r="G329" s="12">
        <v>1</v>
      </c>
      <c r="H329" s="12">
        <v>12.5</v>
      </c>
      <c r="I329" s="12">
        <v>12.5</v>
      </c>
      <c r="J329" s="12">
        <v>4761.1000000000004</v>
      </c>
      <c r="K329">
        <f t="shared" si="15"/>
        <v>4</v>
      </c>
      <c r="L329">
        <f t="shared" si="16"/>
        <v>1</v>
      </c>
      <c r="M329">
        <f t="shared" si="17"/>
        <v>1</v>
      </c>
    </row>
    <row r="330" spans="1:13" x14ac:dyDescent="0.25">
      <c r="A330" s="2" t="s">
        <v>272</v>
      </c>
      <c r="B330" s="11" t="s">
        <v>408</v>
      </c>
      <c r="C330" s="11" t="s">
        <v>4</v>
      </c>
      <c r="D330" s="11" t="s">
        <v>409</v>
      </c>
      <c r="E330" s="11" t="s">
        <v>376</v>
      </c>
      <c r="F330" s="11" t="s">
        <v>419</v>
      </c>
      <c r="G330" s="12">
        <v>1</v>
      </c>
      <c r="H330" s="12">
        <v>19</v>
      </c>
      <c r="I330" s="12">
        <v>19</v>
      </c>
      <c r="J330" s="12">
        <v>4780.1000000000004</v>
      </c>
      <c r="K330">
        <f t="shared" si="15"/>
        <v>4</v>
      </c>
      <c r="L330">
        <f t="shared" si="16"/>
        <v>1</v>
      </c>
      <c r="M330">
        <f t="shared" si="17"/>
        <v>1</v>
      </c>
    </row>
    <row r="331" spans="1:13" x14ac:dyDescent="0.25">
      <c r="A331" s="2" t="s">
        <v>272</v>
      </c>
      <c r="B331" s="11" t="s">
        <v>408</v>
      </c>
      <c r="C331" s="11" t="s">
        <v>4</v>
      </c>
      <c r="D331" s="11" t="s">
        <v>409</v>
      </c>
      <c r="E331" s="11" t="s">
        <v>420</v>
      </c>
      <c r="F331" s="11" t="s">
        <v>421</v>
      </c>
      <c r="G331" s="12">
        <v>1</v>
      </c>
      <c r="H331" s="12">
        <v>36</v>
      </c>
      <c r="I331" s="12">
        <v>36</v>
      </c>
      <c r="J331" s="12">
        <v>4816.1000000000004</v>
      </c>
      <c r="K331">
        <f t="shared" si="15"/>
        <v>1</v>
      </c>
      <c r="L331">
        <f t="shared" si="16"/>
        <v>1</v>
      </c>
      <c r="M331">
        <f t="shared" si="17"/>
        <v>1</v>
      </c>
    </row>
    <row r="332" spans="1:13" x14ac:dyDescent="0.25">
      <c r="A332" s="2" t="s">
        <v>272</v>
      </c>
      <c r="B332" s="11" t="s">
        <v>408</v>
      </c>
      <c r="C332" s="11" t="s">
        <v>4</v>
      </c>
      <c r="D332" s="11" t="s">
        <v>409</v>
      </c>
      <c r="E332" s="11" t="s">
        <v>132</v>
      </c>
      <c r="F332" s="11" t="s">
        <v>133</v>
      </c>
      <c r="G332" s="12">
        <v>1</v>
      </c>
      <c r="H332" s="12">
        <v>40</v>
      </c>
      <c r="I332" s="12">
        <v>40</v>
      </c>
      <c r="J332" s="12">
        <v>4856.1000000000004</v>
      </c>
      <c r="K332">
        <f t="shared" si="15"/>
        <v>4</v>
      </c>
      <c r="L332">
        <f t="shared" si="16"/>
        <v>1</v>
      </c>
      <c r="M332">
        <f t="shared" si="17"/>
        <v>1</v>
      </c>
    </row>
    <row r="333" spans="1:13" x14ac:dyDescent="0.25">
      <c r="A333" s="2" t="s">
        <v>272</v>
      </c>
      <c r="B333" s="11" t="s">
        <v>408</v>
      </c>
      <c r="C333" s="11" t="s">
        <v>4</v>
      </c>
      <c r="D333" s="11" t="s">
        <v>409</v>
      </c>
      <c r="E333" s="11" t="s">
        <v>374</v>
      </c>
      <c r="F333" s="11" t="s">
        <v>422</v>
      </c>
      <c r="G333" s="12">
        <v>1</v>
      </c>
      <c r="H333" s="12">
        <v>39</v>
      </c>
      <c r="I333" s="12">
        <v>39</v>
      </c>
      <c r="J333" s="12">
        <v>4895.1000000000004</v>
      </c>
      <c r="K333">
        <f t="shared" si="15"/>
        <v>8</v>
      </c>
      <c r="L333">
        <f t="shared" si="16"/>
        <v>1</v>
      </c>
      <c r="M333">
        <f t="shared" si="17"/>
        <v>1</v>
      </c>
    </row>
    <row r="334" spans="1:13" x14ac:dyDescent="0.25">
      <c r="A334" s="2" t="s">
        <v>272</v>
      </c>
      <c r="B334" s="11" t="s">
        <v>408</v>
      </c>
      <c r="C334" s="11" t="s">
        <v>4</v>
      </c>
      <c r="D334" s="11" t="s">
        <v>409</v>
      </c>
      <c r="E334" s="11" t="s">
        <v>372</v>
      </c>
      <c r="F334" s="11" t="s">
        <v>423</v>
      </c>
      <c r="G334" s="12">
        <v>1</v>
      </c>
      <c r="H334" s="12">
        <v>39</v>
      </c>
      <c r="I334" s="12">
        <v>39</v>
      </c>
      <c r="J334" s="12">
        <v>4934.1000000000004</v>
      </c>
      <c r="K334">
        <f t="shared" si="15"/>
        <v>9</v>
      </c>
      <c r="L334">
        <f t="shared" si="16"/>
        <v>1</v>
      </c>
      <c r="M334">
        <f t="shared" si="17"/>
        <v>1</v>
      </c>
    </row>
    <row r="335" spans="1:13" x14ac:dyDescent="0.25">
      <c r="A335" s="2" t="s">
        <v>272</v>
      </c>
      <c r="B335" s="11" t="s">
        <v>408</v>
      </c>
      <c r="C335" s="11" t="s">
        <v>4</v>
      </c>
      <c r="D335" s="11" t="s">
        <v>409</v>
      </c>
      <c r="E335" s="11" t="s">
        <v>381</v>
      </c>
      <c r="F335" s="11" t="s">
        <v>381</v>
      </c>
      <c r="G335" s="12">
        <v>1</v>
      </c>
      <c r="H335" s="12">
        <v>115</v>
      </c>
      <c r="I335" s="12">
        <v>115</v>
      </c>
      <c r="J335" s="12">
        <v>5049.1000000000004</v>
      </c>
      <c r="K335">
        <f t="shared" si="15"/>
        <v>4</v>
      </c>
      <c r="L335">
        <f t="shared" si="16"/>
        <v>1</v>
      </c>
      <c r="M335">
        <f t="shared" si="17"/>
        <v>1</v>
      </c>
    </row>
    <row r="336" spans="1:13" x14ac:dyDescent="0.25">
      <c r="A336" s="2" t="s">
        <v>272</v>
      </c>
      <c r="B336" s="11" t="s">
        <v>408</v>
      </c>
      <c r="C336" s="11" t="s">
        <v>4</v>
      </c>
      <c r="D336" s="11" t="s">
        <v>409</v>
      </c>
      <c r="E336" s="11" t="s">
        <v>80</v>
      </c>
      <c r="F336" s="11" t="s">
        <v>81</v>
      </c>
      <c r="G336" s="12">
        <v>5</v>
      </c>
      <c r="H336" s="12">
        <v>15</v>
      </c>
      <c r="I336" s="12">
        <v>75</v>
      </c>
      <c r="J336" s="12">
        <v>5124.1000000000004</v>
      </c>
      <c r="K336">
        <f t="shared" si="15"/>
        <v>8</v>
      </c>
      <c r="L336">
        <f t="shared" si="16"/>
        <v>1</v>
      </c>
      <c r="M336">
        <f t="shared" si="17"/>
        <v>1</v>
      </c>
    </row>
    <row r="337" spans="1:13" x14ac:dyDescent="0.25">
      <c r="A337" s="2" t="s">
        <v>272</v>
      </c>
      <c r="B337" s="11" t="s">
        <v>408</v>
      </c>
      <c r="C337" s="11" t="s">
        <v>4</v>
      </c>
      <c r="D337" s="11" t="s">
        <v>409</v>
      </c>
      <c r="E337" s="11" t="s">
        <v>424</v>
      </c>
      <c r="F337" s="11" t="s">
        <v>425</v>
      </c>
      <c r="G337" s="12">
        <v>5</v>
      </c>
      <c r="H337" s="12">
        <v>15.5</v>
      </c>
      <c r="I337" s="12">
        <v>77.5</v>
      </c>
      <c r="J337" s="12">
        <v>5201.6000000000004</v>
      </c>
      <c r="K337">
        <f t="shared" si="15"/>
        <v>6</v>
      </c>
      <c r="L337">
        <f t="shared" si="16"/>
        <v>1</v>
      </c>
      <c r="M337">
        <f t="shared" si="17"/>
        <v>1</v>
      </c>
    </row>
    <row r="338" spans="1:13" x14ac:dyDescent="0.25">
      <c r="A338" s="2" t="s">
        <v>272</v>
      </c>
      <c r="B338" s="11" t="s">
        <v>408</v>
      </c>
      <c r="C338" s="11" t="s">
        <v>4</v>
      </c>
      <c r="D338" s="11" t="s">
        <v>409</v>
      </c>
      <c r="E338" s="11" t="s">
        <v>82</v>
      </c>
      <c r="F338" s="11" t="s">
        <v>83</v>
      </c>
      <c r="G338" s="12">
        <v>1</v>
      </c>
      <c r="H338" s="12">
        <v>78</v>
      </c>
      <c r="I338" s="12">
        <v>78</v>
      </c>
      <c r="J338" s="12">
        <v>5279.6</v>
      </c>
      <c r="K338">
        <f t="shared" si="15"/>
        <v>6</v>
      </c>
      <c r="L338">
        <f t="shared" si="16"/>
        <v>1</v>
      </c>
      <c r="M338">
        <f t="shared" si="17"/>
        <v>1</v>
      </c>
    </row>
    <row r="339" spans="1:13" x14ac:dyDescent="0.25">
      <c r="A339" s="2" t="s">
        <v>272</v>
      </c>
      <c r="B339" s="11" t="s">
        <v>408</v>
      </c>
      <c r="C339" s="11" t="s">
        <v>4</v>
      </c>
      <c r="D339" s="11" t="s">
        <v>409</v>
      </c>
      <c r="E339" s="11" t="s">
        <v>58</v>
      </c>
      <c r="F339" s="11" t="s">
        <v>59</v>
      </c>
      <c r="G339" s="12">
        <v>1</v>
      </c>
      <c r="H339" s="12">
        <v>70</v>
      </c>
      <c r="I339" s="12">
        <v>70</v>
      </c>
      <c r="J339" s="12">
        <v>5349.6</v>
      </c>
      <c r="K339">
        <f t="shared" si="15"/>
        <v>9</v>
      </c>
      <c r="L339">
        <f t="shared" si="16"/>
        <v>1</v>
      </c>
      <c r="M339">
        <f t="shared" si="17"/>
        <v>1</v>
      </c>
    </row>
    <row r="340" spans="1:13" x14ac:dyDescent="0.25">
      <c r="A340" s="2" t="s">
        <v>272</v>
      </c>
      <c r="B340" s="11" t="s">
        <v>408</v>
      </c>
      <c r="C340" s="11" t="s">
        <v>4</v>
      </c>
      <c r="D340" s="11" t="s">
        <v>409</v>
      </c>
      <c r="E340" s="11" t="s">
        <v>56</v>
      </c>
      <c r="F340" s="11" t="s">
        <v>57</v>
      </c>
      <c r="G340" s="12">
        <v>1</v>
      </c>
      <c r="H340" s="12">
        <v>68</v>
      </c>
      <c r="I340" s="12">
        <v>68</v>
      </c>
      <c r="J340" s="12">
        <v>5417.6</v>
      </c>
      <c r="K340">
        <f t="shared" si="15"/>
        <v>9</v>
      </c>
      <c r="L340">
        <f t="shared" si="16"/>
        <v>1</v>
      </c>
      <c r="M340">
        <f t="shared" si="17"/>
        <v>1</v>
      </c>
    </row>
    <row r="341" spans="1:13" x14ac:dyDescent="0.25">
      <c r="A341" s="2" t="s">
        <v>272</v>
      </c>
      <c r="B341" s="11" t="s">
        <v>408</v>
      </c>
      <c r="C341" s="11" t="s">
        <v>4</v>
      </c>
      <c r="D341" s="11" t="s">
        <v>409</v>
      </c>
      <c r="E341" s="11" t="s">
        <v>175</v>
      </c>
      <c r="F341" s="11" t="s">
        <v>176</v>
      </c>
      <c r="G341" s="12">
        <v>3</v>
      </c>
      <c r="H341" s="12">
        <v>27</v>
      </c>
      <c r="I341" s="12">
        <v>81</v>
      </c>
      <c r="J341" s="12">
        <v>5498.6</v>
      </c>
      <c r="K341">
        <f t="shared" si="15"/>
        <v>3</v>
      </c>
      <c r="L341">
        <f t="shared" si="16"/>
        <v>1</v>
      </c>
      <c r="M341">
        <f t="shared" si="17"/>
        <v>1</v>
      </c>
    </row>
    <row r="342" spans="1:13" x14ac:dyDescent="0.25">
      <c r="A342" s="2" t="s">
        <v>272</v>
      </c>
      <c r="B342" s="11" t="s">
        <v>408</v>
      </c>
      <c r="C342" s="11" t="s">
        <v>4</v>
      </c>
      <c r="D342" s="11" t="s">
        <v>409</v>
      </c>
      <c r="E342" s="11" t="s">
        <v>62</v>
      </c>
      <c r="F342" s="11" t="s">
        <v>63</v>
      </c>
      <c r="G342" s="12">
        <v>5</v>
      </c>
      <c r="H342" s="12">
        <v>17</v>
      </c>
      <c r="I342" s="12">
        <v>85</v>
      </c>
      <c r="J342" s="12">
        <v>5583.6</v>
      </c>
      <c r="K342">
        <f t="shared" si="15"/>
        <v>8</v>
      </c>
      <c r="L342">
        <f t="shared" si="16"/>
        <v>1</v>
      </c>
      <c r="M342">
        <f t="shared" si="17"/>
        <v>1</v>
      </c>
    </row>
    <row r="343" spans="1:13" x14ac:dyDescent="0.25">
      <c r="A343" s="2" t="s">
        <v>272</v>
      </c>
      <c r="B343" s="11" t="s">
        <v>408</v>
      </c>
      <c r="C343" s="11" t="s">
        <v>4</v>
      </c>
      <c r="D343" s="11" t="s">
        <v>409</v>
      </c>
      <c r="E343" s="11" t="s">
        <v>426</v>
      </c>
      <c r="F343" s="11" t="s">
        <v>427</v>
      </c>
      <c r="G343" s="12">
        <v>1</v>
      </c>
      <c r="H343" s="12">
        <v>15</v>
      </c>
      <c r="I343" s="12">
        <v>15</v>
      </c>
      <c r="J343" s="12">
        <v>5598.6</v>
      </c>
      <c r="K343">
        <f t="shared" si="15"/>
        <v>6</v>
      </c>
      <c r="L343">
        <f t="shared" si="16"/>
        <v>1</v>
      </c>
      <c r="M343">
        <f t="shared" si="17"/>
        <v>1</v>
      </c>
    </row>
    <row r="344" spans="1:13" x14ac:dyDescent="0.25">
      <c r="A344" s="2" t="s">
        <v>272</v>
      </c>
      <c r="B344" s="11" t="s">
        <v>408</v>
      </c>
      <c r="C344" s="11" t="s">
        <v>4</v>
      </c>
      <c r="D344" s="11" t="s">
        <v>409</v>
      </c>
      <c r="E344" s="11" t="s">
        <v>370</v>
      </c>
      <c r="F344" s="11" t="s">
        <v>428</v>
      </c>
      <c r="G344" s="12">
        <v>5</v>
      </c>
      <c r="H344" s="12">
        <v>8</v>
      </c>
      <c r="I344" s="12">
        <v>40</v>
      </c>
      <c r="J344" s="12">
        <v>5638.6</v>
      </c>
      <c r="K344">
        <f t="shared" si="15"/>
        <v>7</v>
      </c>
      <c r="L344">
        <f t="shared" si="16"/>
        <v>1</v>
      </c>
      <c r="M344">
        <f t="shared" si="17"/>
        <v>1</v>
      </c>
    </row>
    <row r="345" spans="1:13" x14ac:dyDescent="0.25">
      <c r="A345" s="2" t="s">
        <v>272</v>
      </c>
      <c r="B345" s="11" t="s">
        <v>408</v>
      </c>
      <c r="C345" s="11" t="s">
        <v>4</v>
      </c>
      <c r="D345" s="11" t="s">
        <v>409</v>
      </c>
      <c r="E345" s="11" t="s">
        <v>402</v>
      </c>
      <c r="F345" s="11" t="s">
        <v>403</v>
      </c>
      <c r="G345" s="12">
        <v>1</v>
      </c>
      <c r="H345" s="12">
        <v>30</v>
      </c>
      <c r="I345" s="12">
        <v>30</v>
      </c>
      <c r="J345" s="12">
        <v>5668.6</v>
      </c>
      <c r="K345">
        <f t="shared" si="15"/>
        <v>3</v>
      </c>
      <c r="L345">
        <f t="shared" si="16"/>
        <v>1</v>
      </c>
      <c r="M345">
        <f t="shared" si="17"/>
        <v>1</v>
      </c>
    </row>
    <row r="346" spans="1:13" x14ac:dyDescent="0.25">
      <c r="A346" s="2" t="s">
        <v>272</v>
      </c>
      <c r="B346" s="11" t="s">
        <v>408</v>
      </c>
      <c r="C346" s="11" t="s">
        <v>4</v>
      </c>
      <c r="D346" s="11" t="s">
        <v>409</v>
      </c>
      <c r="E346" s="11" t="s">
        <v>404</v>
      </c>
      <c r="F346" s="11" t="s">
        <v>405</v>
      </c>
      <c r="G346" s="12">
        <v>1</v>
      </c>
      <c r="H346" s="12">
        <v>30</v>
      </c>
      <c r="I346" s="12">
        <v>30</v>
      </c>
      <c r="J346" s="12">
        <v>5698.6</v>
      </c>
      <c r="K346">
        <f t="shared" si="15"/>
        <v>3</v>
      </c>
      <c r="L346">
        <f t="shared" si="16"/>
        <v>1</v>
      </c>
      <c r="M346">
        <f t="shared" si="17"/>
        <v>1</v>
      </c>
    </row>
    <row r="347" spans="1:13" x14ac:dyDescent="0.25">
      <c r="A347" s="2" t="s">
        <v>272</v>
      </c>
      <c r="B347" s="11" t="s">
        <v>408</v>
      </c>
      <c r="C347" s="11" t="s">
        <v>4</v>
      </c>
      <c r="D347" s="11" t="s">
        <v>409</v>
      </c>
      <c r="E347" s="11" t="s">
        <v>406</v>
      </c>
      <c r="F347" s="11" t="s">
        <v>407</v>
      </c>
      <c r="G347" s="12">
        <v>1</v>
      </c>
      <c r="H347" s="12">
        <v>30</v>
      </c>
      <c r="I347" s="12">
        <v>30</v>
      </c>
      <c r="J347" s="12">
        <v>5728.6</v>
      </c>
      <c r="K347">
        <f t="shared" si="15"/>
        <v>3</v>
      </c>
      <c r="L347">
        <f t="shared" si="16"/>
        <v>1</v>
      </c>
      <c r="M347">
        <f t="shared" si="17"/>
        <v>1</v>
      </c>
    </row>
    <row r="348" spans="1:13" x14ac:dyDescent="0.25">
      <c r="A348" s="2" t="s">
        <v>272</v>
      </c>
      <c r="B348" s="11" t="s">
        <v>408</v>
      </c>
      <c r="C348" s="11" t="s">
        <v>4</v>
      </c>
      <c r="D348" s="11" t="s">
        <v>409</v>
      </c>
      <c r="E348" s="11" t="s">
        <v>278</v>
      </c>
      <c r="F348" s="11" t="s">
        <v>279</v>
      </c>
      <c r="G348" s="12">
        <v>1</v>
      </c>
      <c r="H348" s="12">
        <v>36</v>
      </c>
      <c r="I348" s="12">
        <v>36</v>
      </c>
      <c r="J348" s="12">
        <v>5764.6</v>
      </c>
      <c r="K348">
        <f t="shared" si="15"/>
        <v>6</v>
      </c>
      <c r="L348">
        <f t="shared" si="16"/>
        <v>1</v>
      </c>
      <c r="M348">
        <f t="shared" si="17"/>
        <v>1</v>
      </c>
    </row>
    <row r="349" spans="1:13" x14ac:dyDescent="0.25">
      <c r="A349" s="2" t="s">
        <v>272</v>
      </c>
      <c r="B349" s="11" t="s">
        <v>408</v>
      </c>
      <c r="C349" s="11" t="s">
        <v>4</v>
      </c>
      <c r="D349" s="11" t="s">
        <v>409</v>
      </c>
      <c r="E349" s="11" t="s">
        <v>288</v>
      </c>
      <c r="F349" s="11" t="s">
        <v>289</v>
      </c>
      <c r="G349" s="12">
        <v>1</v>
      </c>
      <c r="H349" s="12">
        <v>48</v>
      </c>
      <c r="I349" s="12">
        <v>48</v>
      </c>
      <c r="J349" s="12">
        <v>5812.6</v>
      </c>
      <c r="K349">
        <f t="shared" si="15"/>
        <v>3</v>
      </c>
      <c r="L349">
        <f t="shared" si="16"/>
        <v>1</v>
      </c>
      <c r="M349">
        <f t="shared" si="17"/>
        <v>1</v>
      </c>
    </row>
    <row r="350" spans="1:13" x14ac:dyDescent="0.25">
      <c r="A350" s="2" t="s">
        <v>272</v>
      </c>
      <c r="B350" s="11" t="s">
        <v>408</v>
      </c>
      <c r="C350" s="11" t="s">
        <v>4</v>
      </c>
      <c r="D350" s="11" t="s">
        <v>409</v>
      </c>
      <c r="E350" s="11" t="s">
        <v>429</v>
      </c>
      <c r="F350" s="11" t="s">
        <v>430</v>
      </c>
      <c r="G350" s="12">
        <v>1</v>
      </c>
      <c r="H350" s="12">
        <v>30</v>
      </c>
      <c r="I350" s="12">
        <v>30</v>
      </c>
      <c r="J350" s="12">
        <v>5842.6</v>
      </c>
      <c r="K350">
        <f t="shared" si="15"/>
        <v>1</v>
      </c>
      <c r="L350">
        <f t="shared" si="16"/>
        <v>1</v>
      </c>
      <c r="M350">
        <f t="shared" si="17"/>
        <v>1</v>
      </c>
    </row>
    <row r="351" spans="1:13" x14ac:dyDescent="0.25">
      <c r="A351" s="2" t="s">
        <v>272</v>
      </c>
      <c r="B351" s="11" t="s">
        <v>408</v>
      </c>
      <c r="C351" s="11" t="s">
        <v>4</v>
      </c>
      <c r="D351" s="11" t="s">
        <v>409</v>
      </c>
      <c r="E351" s="11" t="s">
        <v>431</v>
      </c>
      <c r="F351" s="11" t="s">
        <v>432</v>
      </c>
      <c r="G351" s="12">
        <v>1</v>
      </c>
      <c r="H351" s="12">
        <v>24</v>
      </c>
      <c r="I351" s="12">
        <v>24</v>
      </c>
      <c r="J351" s="12">
        <v>5866.6</v>
      </c>
      <c r="K351">
        <f t="shared" si="15"/>
        <v>1</v>
      </c>
      <c r="L351">
        <f t="shared" si="16"/>
        <v>1</v>
      </c>
      <c r="M351">
        <f t="shared" si="17"/>
        <v>1</v>
      </c>
    </row>
    <row r="352" spans="1:13" x14ac:dyDescent="0.25">
      <c r="A352" s="2" t="s">
        <v>272</v>
      </c>
      <c r="B352" s="11" t="s">
        <v>408</v>
      </c>
      <c r="C352" s="11" t="s">
        <v>4</v>
      </c>
      <c r="D352" s="11" t="s">
        <v>409</v>
      </c>
      <c r="E352" s="11" t="s">
        <v>350</v>
      </c>
      <c r="F352" s="11" t="s">
        <v>351</v>
      </c>
      <c r="G352" s="12">
        <v>5</v>
      </c>
      <c r="H352" s="12">
        <v>17</v>
      </c>
      <c r="I352" s="12">
        <v>85</v>
      </c>
      <c r="J352" s="12">
        <v>5951.6</v>
      </c>
      <c r="K352">
        <f t="shared" si="15"/>
        <v>5</v>
      </c>
      <c r="L352">
        <f t="shared" si="16"/>
        <v>1</v>
      </c>
      <c r="M352">
        <f t="shared" si="17"/>
        <v>1</v>
      </c>
    </row>
    <row r="353" spans="1:13" x14ac:dyDescent="0.25">
      <c r="A353" s="2" t="s">
        <v>272</v>
      </c>
      <c r="B353" s="11" t="s">
        <v>408</v>
      </c>
      <c r="C353" s="11" t="s">
        <v>4</v>
      </c>
      <c r="D353" s="11" t="s">
        <v>409</v>
      </c>
      <c r="E353" s="11" t="s">
        <v>348</v>
      </c>
      <c r="F353" s="11" t="s">
        <v>433</v>
      </c>
      <c r="G353" s="12">
        <v>5</v>
      </c>
      <c r="H353" s="12">
        <v>17</v>
      </c>
      <c r="I353" s="12">
        <v>85</v>
      </c>
      <c r="J353" s="12">
        <v>6036.6</v>
      </c>
      <c r="K353">
        <f t="shared" si="15"/>
        <v>7</v>
      </c>
      <c r="L353">
        <f t="shared" si="16"/>
        <v>1</v>
      </c>
      <c r="M353">
        <f t="shared" si="17"/>
        <v>1</v>
      </c>
    </row>
    <row r="354" spans="1:13" x14ac:dyDescent="0.25">
      <c r="A354" s="2" t="s">
        <v>272</v>
      </c>
      <c r="B354" s="11" t="s">
        <v>408</v>
      </c>
      <c r="C354" s="11" t="s">
        <v>4</v>
      </c>
      <c r="D354" s="11" t="s">
        <v>409</v>
      </c>
      <c r="E354" s="11" t="s">
        <v>354</v>
      </c>
      <c r="F354" s="11" t="s">
        <v>355</v>
      </c>
      <c r="G354" s="12">
        <v>5</v>
      </c>
      <c r="H354" s="12">
        <v>17</v>
      </c>
      <c r="I354" s="12">
        <v>85</v>
      </c>
      <c r="J354" s="12">
        <v>6121.6</v>
      </c>
      <c r="K354">
        <f t="shared" si="15"/>
        <v>5</v>
      </c>
      <c r="L354">
        <f t="shared" si="16"/>
        <v>1</v>
      </c>
      <c r="M354">
        <f t="shared" si="17"/>
        <v>1</v>
      </c>
    </row>
    <row r="355" spans="1:13" x14ac:dyDescent="0.25">
      <c r="A355" s="2" t="s">
        <v>272</v>
      </c>
      <c r="B355" s="11" t="s">
        <v>408</v>
      </c>
      <c r="C355" s="11" t="s">
        <v>4</v>
      </c>
      <c r="D355" s="11" t="s">
        <v>409</v>
      </c>
      <c r="E355" s="11" t="s">
        <v>356</v>
      </c>
      <c r="F355" s="11" t="s">
        <v>357</v>
      </c>
      <c r="G355" s="12">
        <v>5</v>
      </c>
      <c r="H355" s="12">
        <v>17</v>
      </c>
      <c r="I355" s="12">
        <v>85</v>
      </c>
      <c r="J355" s="12">
        <v>6206.6</v>
      </c>
      <c r="K355">
        <f t="shared" si="15"/>
        <v>3</v>
      </c>
      <c r="L355">
        <f t="shared" si="16"/>
        <v>1</v>
      </c>
      <c r="M355">
        <f t="shared" si="17"/>
        <v>1</v>
      </c>
    </row>
    <row r="356" spans="1:13" x14ac:dyDescent="0.25">
      <c r="A356" s="2" t="s">
        <v>272</v>
      </c>
      <c r="B356" s="11" t="s">
        <v>408</v>
      </c>
      <c r="C356" s="11" t="s">
        <v>4</v>
      </c>
      <c r="D356" s="11" t="s">
        <v>409</v>
      </c>
      <c r="E356" s="11" t="s">
        <v>358</v>
      </c>
      <c r="F356" s="11" t="s">
        <v>359</v>
      </c>
      <c r="G356" s="12">
        <v>5</v>
      </c>
      <c r="H356" s="12">
        <v>17</v>
      </c>
      <c r="I356" s="12">
        <v>85</v>
      </c>
      <c r="J356" s="12">
        <v>6291.6</v>
      </c>
      <c r="K356">
        <f t="shared" si="15"/>
        <v>5</v>
      </c>
      <c r="L356">
        <f t="shared" si="16"/>
        <v>1</v>
      </c>
      <c r="M356">
        <f t="shared" si="17"/>
        <v>1</v>
      </c>
    </row>
    <row r="357" spans="1:13" x14ac:dyDescent="0.25">
      <c r="A357" s="2" t="s">
        <v>272</v>
      </c>
      <c r="B357" s="11" t="s">
        <v>408</v>
      </c>
      <c r="C357" s="11" t="s">
        <v>4</v>
      </c>
      <c r="D357" s="11" t="s">
        <v>409</v>
      </c>
      <c r="E357" s="11" t="s">
        <v>364</v>
      </c>
      <c r="F357" s="11" t="s">
        <v>365</v>
      </c>
      <c r="G357" s="12">
        <v>5</v>
      </c>
      <c r="H357" s="12">
        <v>17</v>
      </c>
      <c r="I357" s="12">
        <v>85</v>
      </c>
      <c r="J357" s="12">
        <v>6376.6</v>
      </c>
      <c r="K357">
        <f t="shared" si="15"/>
        <v>3</v>
      </c>
      <c r="L357">
        <f t="shared" si="16"/>
        <v>1</v>
      </c>
      <c r="M357">
        <f t="shared" si="17"/>
        <v>1</v>
      </c>
    </row>
    <row r="358" spans="1:13" x14ac:dyDescent="0.25">
      <c r="A358" s="2" t="s">
        <v>272</v>
      </c>
      <c r="B358" s="11" t="s">
        <v>408</v>
      </c>
      <c r="C358" s="11" t="s">
        <v>4</v>
      </c>
      <c r="D358" s="11" t="s">
        <v>409</v>
      </c>
      <c r="E358" s="11" t="s">
        <v>360</v>
      </c>
      <c r="F358" s="11" t="s">
        <v>361</v>
      </c>
      <c r="G358" s="12">
        <v>5</v>
      </c>
      <c r="H358" s="12">
        <v>17</v>
      </c>
      <c r="I358" s="12">
        <v>85</v>
      </c>
      <c r="J358" s="12">
        <v>6461.6</v>
      </c>
      <c r="K358">
        <f t="shared" si="15"/>
        <v>5</v>
      </c>
      <c r="L358">
        <f t="shared" si="16"/>
        <v>1</v>
      </c>
      <c r="M358">
        <f t="shared" si="17"/>
        <v>1</v>
      </c>
    </row>
    <row r="359" spans="1:13" x14ac:dyDescent="0.25">
      <c r="A359" s="2" t="s">
        <v>272</v>
      </c>
      <c r="B359" s="11" t="s">
        <v>408</v>
      </c>
      <c r="C359" s="11" t="s">
        <v>4</v>
      </c>
      <c r="D359" s="11" t="s">
        <v>409</v>
      </c>
      <c r="E359" s="11" t="s">
        <v>434</v>
      </c>
      <c r="F359" s="11" t="s">
        <v>435</v>
      </c>
      <c r="G359" s="12">
        <v>1</v>
      </c>
      <c r="H359" s="12">
        <v>19.5</v>
      </c>
      <c r="I359" s="12">
        <v>19.5</v>
      </c>
      <c r="J359" s="12">
        <v>6481.1</v>
      </c>
      <c r="K359">
        <f t="shared" si="15"/>
        <v>1</v>
      </c>
      <c r="L359">
        <f t="shared" si="16"/>
        <v>1</v>
      </c>
      <c r="M359">
        <f t="shared" si="17"/>
        <v>1</v>
      </c>
    </row>
    <row r="360" spans="1:13" x14ac:dyDescent="0.25">
      <c r="A360" s="2" t="s">
        <v>272</v>
      </c>
      <c r="B360" s="11" t="s">
        <v>408</v>
      </c>
      <c r="C360" s="11" t="s">
        <v>4</v>
      </c>
      <c r="D360" s="11" t="s">
        <v>409</v>
      </c>
      <c r="E360" s="11" t="s">
        <v>436</v>
      </c>
      <c r="F360" s="11" t="s">
        <v>437</v>
      </c>
      <c r="G360" s="12">
        <v>1</v>
      </c>
      <c r="H360" s="12">
        <v>19.5</v>
      </c>
      <c r="I360" s="12">
        <v>19.5</v>
      </c>
      <c r="J360" s="12">
        <v>6500.6</v>
      </c>
      <c r="K360">
        <f t="shared" si="15"/>
        <v>1</v>
      </c>
      <c r="L360">
        <f t="shared" si="16"/>
        <v>1</v>
      </c>
      <c r="M360">
        <f t="shared" si="17"/>
        <v>1</v>
      </c>
    </row>
    <row r="361" spans="1:13" x14ac:dyDescent="0.25">
      <c r="A361" s="2" t="s">
        <v>272</v>
      </c>
      <c r="B361" s="11" t="s">
        <v>408</v>
      </c>
      <c r="C361" s="11" t="s">
        <v>4</v>
      </c>
      <c r="D361" s="11" t="s">
        <v>409</v>
      </c>
      <c r="E361" s="11" t="s">
        <v>438</v>
      </c>
      <c r="F361" s="11" t="s">
        <v>439</v>
      </c>
      <c r="G361" s="12">
        <v>5</v>
      </c>
      <c r="H361" s="12">
        <v>58</v>
      </c>
      <c r="I361" s="12">
        <v>290</v>
      </c>
      <c r="J361" s="12">
        <v>6790.6</v>
      </c>
      <c r="K361">
        <f t="shared" si="15"/>
        <v>1</v>
      </c>
      <c r="L361">
        <f t="shared" si="16"/>
        <v>1</v>
      </c>
      <c r="M361">
        <f t="shared" si="17"/>
        <v>1</v>
      </c>
    </row>
    <row r="362" spans="1:13" x14ac:dyDescent="0.25">
      <c r="A362" s="2" t="s">
        <v>272</v>
      </c>
      <c r="B362" s="11" t="s">
        <v>408</v>
      </c>
      <c r="C362" s="11" t="s">
        <v>4</v>
      </c>
      <c r="D362" s="11" t="s">
        <v>409</v>
      </c>
      <c r="E362" s="11" t="s">
        <v>78</v>
      </c>
      <c r="F362" s="11" t="s">
        <v>79</v>
      </c>
      <c r="G362" s="12">
        <v>2</v>
      </c>
      <c r="H362" s="12">
        <v>69</v>
      </c>
      <c r="I362" s="12">
        <v>138</v>
      </c>
      <c r="J362" s="12">
        <v>6928.6</v>
      </c>
      <c r="K362">
        <f t="shared" si="15"/>
        <v>5</v>
      </c>
      <c r="L362">
        <f t="shared" si="16"/>
        <v>1</v>
      </c>
      <c r="M362">
        <f t="shared" si="17"/>
        <v>1</v>
      </c>
    </row>
    <row r="363" spans="1:13" x14ac:dyDescent="0.25">
      <c r="A363" s="2" t="s">
        <v>272</v>
      </c>
      <c r="B363" s="11" t="s">
        <v>408</v>
      </c>
      <c r="C363" s="11" t="s">
        <v>4</v>
      </c>
      <c r="D363" s="11" t="s">
        <v>409</v>
      </c>
      <c r="E363" s="11" t="s">
        <v>440</v>
      </c>
      <c r="F363" s="11" t="s">
        <v>441</v>
      </c>
      <c r="G363" s="12">
        <v>5</v>
      </c>
      <c r="H363" s="12">
        <v>9</v>
      </c>
      <c r="I363" s="12">
        <v>45</v>
      </c>
      <c r="J363" s="12">
        <v>6973.6</v>
      </c>
      <c r="K363">
        <f t="shared" si="15"/>
        <v>4</v>
      </c>
      <c r="L363">
        <f t="shared" si="16"/>
        <v>1</v>
      </c>
      <c r="M363">
        <f t="shared" si="17"/>
        <v>1</v>
      </c>
    </row>
    <row r="364" spans="1:13" x14ac:dyDescent="0.25">
      <c r="A364" s="2" t="s">
        <v>272</v>
      </c>
      <c r="B364" s="11" t="s">
        <v>408</v>
      </c>
      <c r="C364" s="11" t="s">
        <v>4</v>
      </c>
      <c r="D364" s="11" t="s">
        <v>409</v>
      </c>
      <c r="E364" s="11" t="s">
        <v>442</v>
      </c>
      <c r="F364" s="11" t="s">
        <v>443</v>
      </c>
      <c r="G364" s="12">
        <v>5</v>
      </c>
      <c r="H364" s="12">
        <v>9</v>
      </c>
      <c r="I364" s="12">
        <v>45</v>
      </c>
      <c r="J364" s="12">
        <v>7018.6</v>
      </c>
      <c r="K364">
        <f t="shared" si="15"/>
        <v>3</v>
      </c>
      <c r="L364">
        <f t="shared" si="16"/>
        <v>1</v>
      </c>
      <c r="M364">
        <f t="shared" si="17"/>
        <v>1</v>
      </c>
    </row>
    <row r="365" spans="1:13" x14ac:dyDescent="0.25">
      <c r="A365" s="2" t="s">
        <v>272</v>
      </c>
      <c r="B365" s="11" t="s">
        <v>444</v>
      </c>
      <c r="C365" s="11" t="s">
        <v>4</v>
      </c>
      <c r="D365" s="11" t="s">
        <v>445</v>
      </c>
      <c r="E365" s="11" t="s">
        <v>280</v>
      </c>
      <c r="F365" s="11" t="s">
        <v>281</v>
      </c>
      <c r="G365" s="12">
        <v>2</v>
      </c>
      <c r="H365" s="12">
        <v>44</v>
      </c>
      <c r="I365" s="12">
        <v>88</v>
      </c>
      <c r="J365" s="12">
        <v>7106.6</v>
      </c>
      <c r="K365">
        <f t="shared" si="15"/>
        <v>5</v>
      </c>
      <c r="L365">
        <f t="shared" si="16"/>
        <v>1</v>
      </c>
      <c r="M365">
        <f t="shared" si="17"/>
        <v>1</v>
      </c>
    </row>
    <row r="366" spans="1:13" x14ac:dyDescent="0.25">
      <c r="A366" s="2" t="s">
        <v>272</v>
      </c>
      <c r="B366" s="11" t="s">
        <v>444</v>
      </c>
      <c r="C366" s="11" t="s">
        <v>4</v>
      </c>
      <c r="D366" s="11" t="s">
        <v>445</v>
      </c>
      <c r="E366" s="11" t="s">
        <v>278</v>
      </c>
      <c r="F366" s="11" t="s">
        <v>279</v>
      </c>
      <c r="G366" s="12">
        <v>2</v>
      </c>
      <c r="H366" s="12">
        <v>40</v>
      </c>
      <c r="I366" s="12">
        <v>80</v>
      </c>
      <c r="J366" s="12">
        <v>7186.6</v>
      </c>
      <c r="K366">
        <f t="shared" si="15"/>
        <v>6</v>
      </c>
      <c r="L366">
        <f t="shared" si="16"/>
        <v>1</v>
      </c>
      <c r="M366">
        <f t="shared" si="17"/>
        <v>1</v>
      </c>
    </row>
    <row r="367" spans="1:13" x14ac:dyDescent="0.25">
      <c r="A367" s="2" t="s">
        <v>272</v>
      </c>
      <c r="B367" s="11" t="s">
        <v>444</v>
      </c>
      <c r="C367" s="11" t="s">
        <v>4</v>
      </c>
      <c r="D367" s="11" t="s">
        <v>445</v>
      </c>
      <c r="E367" s="11" t="s">
        <v>282</v>
      </c>
      <c r="F367" s="11" t="s">
        <v>446</v>
      </c>
      <c r="G367" s="12">
        <v>1</v>
      </c>
      <c r="H367" s="12">
        <v>66</v>
      </c>
      <c r="I367" s="12">
        <v>66</v>
      </c>
      <c r="J367" s="12">
        <v>7252.6</v>
      </c>
      <c r="K367">
        <f t="shared" si="15"/>
        <v>5</v>
      </c>
      <c r="L367">
        <f t="shared" si="16"/>
        <v>1</v>
      </c>
      <c r="M367">
        <f t="shared" si="17"/>
        <v>1</v>
      </c>
    </row>
    <row r="368" spans="1:13" x14ac:dyDescent="0.25">
      <c r="A368" s="2" t="s">
        <v>272</v>
      </c>
      <c r="B368" s="11" t="s">
        <v>444</v>
      </c>
      <c r="C368" s="11" t="s">
        <v>4</v>
      </c>
      <c r="D368" s="11" t="s">
        <v>445</v>
      </c>
      <c r="E368" s="11" t="s">
        <v>447</v>
      </c>
      <c r="F368" s="11" t="s">
        <v>448</v>
      </c>
      <c r="G368" s="12">
        <v>2</v>
      </c>
      <c r="H368" s="12">
        <v>40</v>
      </c>
      <c r="I368" s="12">
        <v>80</v>
      </c>
      <c r="J368" s="12">
        <v>7332.6</v>
      </c>
      <c r="K368">
        <f t="shared" si="15"/>
        <v>2</v>
      </c>
      <c r="L368">
        <f t="shared" si="16"/>
        <v>1</v>
      </c>
      <c r="M368">
        <f t="shared" si="17"/>
        <v>1</v>
      </c>
    </row>
    <row r="369" spans="1:13" x14ac:dyDescent="0.25">
      <c r="A369" s="2" t="s">
        <v>272</v>
      </c>
      <c r="B369" s="11" t="s">
        <v>444</v>
      </c>
      <c r="C369" s="11" t="s">
        <v>4</v>
      </c>
      <c r="D369" s="11" t="s">
        <v>445</v>
      </c>
      <c r="E369" s="11" t="s">
        <v>449</v>
      </c>
      <c r="F369" s="11" t="s">
        <v>450</v>
      </c>
      <c r="G369" s="12">
        <v>1</v>
      </c>
      <c r="H369" s="12">
        <v>48</v>
      </c>
      <c r="I369" s="12">
        <v>48</v>
      </c>
      <c r="J369" s="12">
        <v>7380.6</v>
      </c>
      <c r="K369">
        <f t="shared" si="15"/>
        <v>1</v>
      </c>
      <c r="L369">
        <f t="shared" si="16"/>
        <v>1</v>
      </c>
      <c r="M369">
        <f t="shared" si="17"/>
        <v>1</v>
      </c>
    </row>
    <row r="370" spans="1:13" x14ac:dyDescent="0.25">
      <c r="A370" s="2" t="s">
        <v>272</v>
      </c>
      <c r="B370" s="11" t="s">
        <v>444</v>
      </c>
      <c r="C370" s="11" t="s">
        <v>4</v>
      </c>
      <c r="D370" s="11" t="s">
        <v>445</v>
      </c>
      <c r="E370" s="11" t="s">
        <v>290</v>
      </c>
      <c r="F370" s="11" t="s">
        <v>451</v>
      </c>
      <c r="G370" s="12">
        <v>2</v>
      </c>
      <c r="H370" s="12">
        <v>28</v>
      </c>
      <c r="I370" s="12">
        <v>56</v>
      </c>
      <c r="J370" s="12">
        <v>7436.6</v>
      </c>
      <c r="K370">
        <f t="shared" si="15"/>
        <v>5</v>
      </c>
      <c r="L370">
        <f t="shared" si="16"/>
        <v>1</v>
      </c>
      <c r="M370">
        <f t="shared" si="17"/>
        <v>1</v>
      </c>
    </row>
    <row r="371" spans="1:13" x14ac:dyDescent="0.25">
      <c r="A371" s="2" t="s">
        <v>272</v>
      </c>
      <c r="B371" s="11" t="s">
        <v>444</v>
      </c>
      <c r="C371" s="11" t="s">
        <v>4</v>
      </c>
      <c r="D371" s="11" t="s">
        <v>445</v>
      </c>
      <c r="E371" s="11" t="s">
        <v>292</v>
      </c>
      <c r="F371" s="11" t="s">
        <v>452</v>
      </c>
      <c r="G371" s="12">
        <v>2</v>
      </c>
      <c r="H371" s="12">
        <v>28</v>
      </c>
      <c r="I371" s="12">
        <v>56</v>
      </c>
      <c r="J371" s="12">
        <v>7492.6</v>
      </c>
      <c r="K371">
        <f t="shared" si="15"/>
        <v>5</v>
      </c>
      <c r="L371">
        <f t="shared" si="16"/>
        <v>1</v>
      </c>
      <c r="M371">
        <f t="shared" si="17"/>
        <v>1</v>
      </c>
    </row>
    <row r="372" spans="1:13" x14ac:dyDescent="0.25">
      <c r="A372" s="2" t="s">
        <v>272</v>
      </c>
      <c r="B372" s="11" t="s">
        <v>444</v>
      </c>
      <c r="C372" s="11" t="s">
        <v>4</v>
      </c>
      <c r="D372" s="11" t="s">
        <v>445</v>
      </c>
      <c r="E372" s="11" t="s">
        <v>296</v>
      </c>
      <c r="F372" s="11" t="s">
        <v>453</v>
      </c>
      <c r="G372" s="12">
        <v>2</v>
      </c>
      <c r="H372" s="12">
        <v>21</v>
      </c>
      <c r="I372" s="12">
        <v>42</v>
      </c>
      <c r="J372" s="12">
        <v>7534.6</v>
      </c>
      <c r="K372">
        <f t="shared" si="15"/>
        <v>6</v>
      </c>
      <c r="L372">
        <f t="shared" si="16"/>
        <v>1</v>
      </c>
      <c r="M372">
        <f t="shared" si="17"/>
        <v>1</v>
      </c>
    </row>
    <row r="373" spans="1:13" x14ac:dyDescent="0.25">
      <c r="A373" s="2" t="s">
        <v>272</v>
      </c>
      <c r="B373" s="11" t="s">
        <v>444</v>
      </c>
      <c r="C373" s="11" t="s">
        <v>4</v>
      </c>
      <c r="D373" s="11" t="s">
        <v>445</v>
      </c>
      <c r="E373" s="11" t="s">
        <v>298</v>
      </c>
      <c r="F373" s="11" t="s">
        <v>454</v>
      </c>
      <c r="G373" s="12">
        <v>2</v>
      </c>
      <c r="H373" s="12">
        <v>17</v>
      </c>
      <c r="I373" s="12">
        <v>34</v>
      </c>
      <c r="J373" s="12">
        <v>7568.6</v>
      </c>
      <c r="K373">
        <f t="shared" si="15"/>
        <v>8</v>
      </c>
      <c r="L373">
        <f t="shared" si="16"/>
        <v>1</v>
      </c>
      <c r="M373">
        <f t="shared" si="17"/>
        <v>1</v>
      </c>
    </row>
    <row r="374" spans="1:13" x14ac:dyDescent="0.25">
      <c r="A374" s="2" t="s">
        <v>272</v>
      </c>
      <c r="B374" s="11" t="s">
        <v>444</v>
      </c>
      <c r="C374" s="11" t="s">
        <v>4</v>
      </c>
      <c r="D374" s="11" t="s">
        <v>445</v>
      </c>
      <c r="E374" s="11" t="s">
        <v>300</v>
      </c>
      <c r="F374" s="11" t="s">
        <v>455</v>
      </c>
      <c r="G374" s="12">
        <v>2</v>
      </c>
      <c r="H374" s="12">
        <v>19.8</v>
      </c>
      <c r="I374" s="12">
        <v>39.6</v>
      </c>
      <c r="J374" s="12">
        <v>7608.2000000000007</v>
      </c>
      <c r="K374">
        <f t="shared" si="15"/>
        <v>5</v>
      </c>
      <c r="L374">
        <f t="shared" si="16"/>
        <v>1</v>
      </c>
      <c r="M374">
        <f t="shared" si="17"/>
        <v>1</v>
      </c>
    </row>
    <row r="375" spans="1:13" x14ac:dyDescent="0.25">
      <c r="A375" s="2" t="s">
        <v>272</v>
      </c>
      <c r="B375" s="11" t="s">
        <v>444</v>
      </c>
      <c r="C375" s="11" t="s">
        <v>4</v>
      </c>
      <c r="D375" s="11" t="s">
        <v>445</v>
      </c>
      <c r="E375" s="11" t="s">
        <v>302</v>
      </c>
      <c r="F375" s="11" t="s">
        <v>456</v>
      </c>
      <c r="G375" s="12">
        <v>2</v>
      </c>
      <c r="H375" s="12">
        <v>28</v>
      </c>
      <c r="I375" s="12">
        <v>56</v>
      </c>
      <c r="J375" s="12">
        <v>7664.2000000000007</v>
      </c>
      <c r="K375">
        <f t="shared" si="15"/>
        <v>6</v>
      </c>
      <c r="L375">
        <f t="shared" si="16"/>
        <v>1</v>
      </c>
      <c r="M375">
        <f t="shared" si="17"/>
        <v>1</v>
      </c>
    </row>
    <row r="376" spans="1:13" x14ac:dyDescent="0.25">
      <c r="A376" s="2" t="s">
        <v>272</v>
      </c>
      <c r="B376" s="11" t="s">
        <v>444</v>
      </c>
      <c r="C376" s="11" t="s">
        <v>4</v>
      </c>
      <c r="D376" s="11" t="s">
        <v>445</v>
      </c>
      <c r="E376" s="11" t="s">
        <v>308</v>
      </c>
      <c r="F376" s="11" t="s">
        <v>457</v>
      </c>
      <c r="G376" s="12">
        <v>4</v>
      </c>
      <c r="H376" s="12">
        <v>25</v>
      </c>
      <c r="I376" s="12">
        <v>100</v>
      </c>
      <c r="J376" s="12">
        <v>7764.2000000000007</v>
      </c>
      <c r="K376">
        <f t="shared" si="15"/>
        <v>7</v>
      </c>
      <c r="L376">
        <f t="shared" si="16"/>
        <v>1</v>
      </c>
      <c r="M376">
        <f t="shared" si="17"/>
        <v>1</v>
      </c>
    </row>
    <row r="377" spans="1:13" x14ac:dyDescent="0.25">
      <c r="A377" s="2" t="s">
        <v>272</v>
      </c>
      <c r="B377" s="11" t="s">
        <v>444</v>
      </c>
      <c r="C377" s="11" t="s">
        <v>4</v>
      </c>
      <c r="D377" s="11" t="s">
        <v>445</v>
      </c>
      <c r="E377" s="11" t="s">
        <v>306</v>
      </c>
      <c r="F377" s="11" t="s">
        <v>458</v>
      </c>
      <c r="G377" s="12">
        <v>2</v>
      </c>
      <c r="H377" s="12">
        <v>30</v>
      </c>
      <c r="I377" s="12">
        <v>60</v>
      </c>
      <c r="J377" s="12">
        <v>7824.2000000000007</v>
      </c>
      <c r="K377">
        <f t="shared" si="15"/>
        <v>4</v>
      </c>
      <c r="L377">
        <f t="shared" si="16"/>
        <v>1</v>
      </c>
      <c r="M377">
        <f t="shared" si="17"/>
        <v>1</v>
      </c>
    </row>
    <row r="378" spans="1:13" x14ac:dyDescent="0.25">
      <c r="A378" s="2" t="s">
        <v>272</v>
      </c>
      <c r="B378" s="11" t="s">
        <v>444</v>
      </c>
      <c r="C378" s="11" t="s">
        <v>4</v>
      </c>
      <c r="D378" s="11" t="s">
        <v>445</v>
      </c>
      <c r="E378" s="11" t="s">
        <v>314</v>
      </c>
      <c r="F378" s="11" t="s">
        <v>459</v>
      </c>
      <c r="G378" s="12">
        <v>2</v>
      </c>
      <c r="H378" s="12">
        <v>36</v>
      </c>
      <c r="I378" s="12">
        <v>72</v>
      </c>
      <c r="J378" s="12">
        <v>7896.2000000000007</v>
      </c>
      <c r="K378">
        <f t="shared" si="15"/>
        <v>5</v>
      </c>
      <c r="L378">
        <f t="shared" si="16"/>
        <v>1</v>
      </c>
      <c r="M378">
        <f t="shared" si="17"/>
        <v>1</v>
      </c>
    </row>
    <row r="379" spans="1:13" x14ac:dyDescent="0.25">
      <c r="A379" s="2" t="s">
        <v>272</v>
      </c>
      <c r="B379" s="11" t="s">
        <v>444</v>
      </c>
      <c r="C379" s="11" t="s">
        <v>4</v>
      </c>
      <c r="D379" s="11" t="s">
        <v>445</v>
      </c>
      <c r="E379" s="11" t="s">
        <v>324</v>
      </c>
      <c r="F379" s="11" t="s">
        <v>460</v>
      </c>
      <c r="G379" s="12">
        <v>2</v>
      </c>
      <c r="H379" s="12">
        <v>26</v>
      </c>
      <c r="I379" s="12">
        <v>52</v>
      </c>
      <c r="J379" s="12">
        <v>7948.2000000000007</v>
      </c>
      <c r="K379">
        <f t="shared" si="15"/>
        <v>3</v>
      </c>
      <c r="L379">
        <f t="shared" si="16"/>
        <v>1</v>
      </c>
      <c r="M379">
        <f t="shared" si="17"/>
        <v>1</v>
      </c>
    </row>
    <row r="380" spans="1:13" x14ac:dyDescent="0.25">
      <c r="A380" s="2" t="s">
        <v>272</v>
      </c>
      <c r="B380" s="11" t="s">
        <v>444</v>
      </c>
      <c r="C380" s="11" t="s">
        <v>4</v>
      </c>
      <c r="D380" s="11" t="s">
        <v>445</v>
      </c>
      <c r="E380" s="11" t="s">
        <v>82</v>
      </c>
      <c r="F380" s="11" t="s">
        <v>83</v>
      </c>
      <c r="G380" s="12">
        <v>2</v>
      </c>
      <c r="H380" s="12">
        <v>78</v>
      </c>
      <c r="I380" s="12">
        <v>156</v>
      </c>
      <c r="J380" s="12">
        <v>8104.2000000000007</v>
      </c>
      <c r="K380">
        <f t="shared" si="15"/>
        <v>6</v>
      </c>
      <c r="L380">
        <f t="shared" si="16"/>
        <v>1</v>
      </c>
      <c r="M380">
        <f t="shared" si="17"/>
        <v>1</v>
      </c>
    </row>
    <row r="381" spans="1:13" x14ac:dyDescent="0.25">
      <c r="A381" s="2" t="s">
        <v>272</v>
      </c>
      <c r="B381" s="11" t="s">
        <v>444</v>
      </c>
      <c r="C381" s="11" t="s">
        <v>4</v>
      </c>
      <c r="D381" s="11" t="s">
        <v>445</v>
      </c>
      <c r="E381" s="11" t="s">
        <v>80</v>
      </c>
      <c r="F381" s="11" t="s">
        <v>81</v>
      </c>
      <c r="G381" s="12">
        <v>15</v>
      </c>
      <c r="H381" s="12">
        <v>15</v>
      </c>
      <c r="I381" s="12">
        <v>225</v>
      </c>
      <c r="J381" s="12">
        <v>8329.2000000000007</v>
      </c>
      <c r="K381">
        <f t="shared" si="15"/>
        <v>8</v>
      </c>
      <c r="L381">
        <f t="shared" si="16"/>
        <v>1</v>
      </c>
      <c r="M381">
        <f t="shared" si="17"/>
        <v>1</v>
      </c>
    </row>
    <row r="382" spans="1:13" x14ac:dyDescent="0.25">
      <c r="A382" s="2" t="s">
        <v>272</v>
      </c>
      <c r="B382" s="11" t="s">
        <v>444</v>
      </c>
      <c r="C382" s="11" t="s">
        <v>4</v>
      </c>
      <c r="D382" s="11" t="s">
        <v>445</v>
      </c>
      <c r="E382" s="11" t="s">
        <v>424</v>
      </c>
      <c r="F382" s="11" t="s">
        <v>425</v>
      </c>
      <c r="G382" s="12">
        <v>25</v>
      </c>
      <c r="H382" s="12">
        <v>15.5</v>
      </c>
      <c r="I382" s="12">
        <v>387.5</v>
      </c>
      <c r="J382" s="12">
        <v>8716.7000000000007</v>
      </c>
      <c r="K382">
        <f t="shared" si="15"/>
        <v>6</v>
      </c>
      <c r="L382">
        <f t="shared" si="16"/>
        <v>1</v>
      </c>
      <c r="M382">
        <f t="shared" si="17"/>
        <v>1</v>
      </c>
    </row>
    <row r="383" spans="1:13" x14ac:dyDescent="0.25">
      <c r="A383" s="2" t="s">
        <v>272</v>
      </c>
      <c r="B383" s="11" t="s">
        <v>444</v>
      </c>
      <c r="C383" s="11" t="s">
        <v>4</v>
      </c>
      <c r="D383" s="11" t="s">
        <v>445</v>
      </c>
      <c r="E383" s="11" t="s">
        <v>348</v>
      </c>
      <c r="F383" s="11" t="s">
        <v>433</v>
      </c>
      <c r="G383" s="12">
        <v>8</v>
      </c>
      <c r="H383" s="12">
        <v>17</v>
      </c>
      <c r="I383" s="12">
        <v>136</v>
      </c>
      <c r="J383" s="12">
        <v>8852.7000000000007</v>
      </c>
      <c r="K383">
        <f t="shared" si="15"/>
        <v>7</v>
      </c>
      <c r="L383">
        <f t="shared" si="16"/>
        <v>1</v>
      </c>
      <c r="M383">
        <f t="shared" si="17"/>
        <v>1</v>
      </c>
    </row>
    <row r="384" spans="1:13" x14ac:dyDescent="0.25">
      <c r="A384" s="2" t="s">
        <v>272</v>
      </c>
      <c r="B384" s="11" t="s">
        <v>444</v>
      </c>
      <c r="C384" s="11" t="s">
        <v>4</v>
      </c>
      <c r="D384" s="11" t="s">
        <v>445</v>
      </c>
      <c r="E384" s="11" t="s">
        <v>426</v>
      </c>
      <c r="F384" s="11" t="s">
        <v>427</v>
      </c>
      <c r="G384" s="12">
        <v>5</v>
      </c>
      <c r="H384" s="12">
        <v>15</v>
      </c>
      <c r="I384" s="12">
        <v>75</v>
      </c>
      <c r="J384" s="12">
        <v>8927.7000000000007</v>
      </c>
      <c r="K384">
        <f t="shared" si="15"/>
        <v>6</v>
      </c>
      <c r="L384">
        <f t="shared" si="16"/>
        <v>1</v>
      </c>
      <c r="M384">
        <f t="shared" si="17"/>
        <v>1</v>
      </c>
    </row>
    <row r="385" spans="1:13" x14ac:dyDescent="0.25">
      <c r="A385" s="2" t="s">
        <v>272</v>
      </c>
      <c r="B385" s="11" t="s">
        <v>444</v>
      </c>
      <c r="C385" s="11" t="s">
        <v>4</v>
      </c>
      <c r="D385" s="11" t="s">
        <v>445</v>
      </c>
      <c r="E385" s="11" t="s">
        <v>370</v>
      </c>
      <c r="F385" s="11" t="s">
        <v>428</v>
      </c>
      <c r="G385" s="12">
        <v>15</v>
      </c>
      <c r="H385" s="12">
        <v>8</v>
      </c>
      <c r="I385" s="12">
        <v>120</v>
      </c>
      <c r="J385" s="12">
        <v>9047.7000000000007</v>
      </c>
      <c r="K385">
        <f t="shared" si="15"/>
        <v>7</v>
      </c>
      <c r="L385">
        <f t="shared" si="16"/>
        <v>1</v>
      </c>
      <c r="M385">
        <f t="shared" si="17"/>
        <v>1</v>
      </c>
    </row>
    <row r="386" spans="1:13" x14ac:dyDescent="0.25">
      <c r="A386" s="2" t="s">
        <v>272</v>
      </c>
      <c r="B386" s="11" t="s">
        <v>444</v>
      </c>
      <c r="C386" s="11" t="s">
        <v>4</v>
      </c>
      <c r="D386" s="11" t="s">
        <v>445</v>
      </c>
      <c r="E386" s="11" t="s">
        <v>376</v>
      </c>
      <c r="F386" s="11" t="s">
        <v>419</v>
      </c>
      <c r="G386" s="12">
        <v>5</v>
      </c>
      <c r="H386" s="12">
        <v>19</v>
      </c>
      <c r="I386" s="12">
        <v>95</v>
      </c>
      <c r="J386" s="12">
        <v>9142.7000000000007</v>
      </c>
      <c r="K386">
        <f t="shared" si="15"/>
        <v>4</v>
      </c>
      <c r="L386">
        <f t="shared" si="16"/>
        <v>1</v>
      </c>
      <c r="M386">
        <f t="shared" si="17"/>
        <v>1</v>
      </c>
    </row>
    <row r="387" spans="1:13" x14ac:dyDescent="0.25">
      <c r="A387" s="2" t="s">
        <v>272</v>
      </c>
      <c r="B387" s="11" t="s">
        <v>444</v>
      </c>
      <c r="C387" s="11" t="s">
        <v>4</v>
      </c>
      <c r="D387" s="11" t="s">
        <v>445</v>
      </c>
      <c r="E387" s="11" t="s">
        <v>378</v>
      </c>
      <c r="F387" s="11" t="s">
        <v>418</v>
      </c>
      <c r="G387" s="12">
        <v>8</v>
      </c>
      <c r="H387" s="12">
        <v>12.5</v>
      </c>
      <c r="I387" s="12">
        <v>100</v>
      </c>
      <c r="J387" s="12">
        <v>9242.7000000000007</v>
      </c>
      <c r="K387">
        <f t="shared" ref="K387:K450" si="18">COUNTIF($E$2:$E$1466,E387)</f>
        <v>4</v>
      </c>
      <c r="L387">
        <f t="shared" ref="L387:L450" si="19">IF(G387&gt;0,1,0)</f>
        <v>1</v>
      </c>
      <c r="M387">
        <f t="shared" ref="M387:M450" si="20">IF(H387&gt;0,1,0)</f>
        <v>1</v>
      </c>
    </row>
    <row r="388" spans="1:13" x14ac:dyDescent="0.25">
      <c r="A388" s="2" t="s">
        <v>272</v>
      </c>
      <c r="B388" s="11" t="s">
        <v>444</v>
      </c>
      <c r="C388" s="11" t="s">
        <v>4</v>
      </c>
      <c r="D388" s="11" t="s">
        <v>445</v>
      </c>
      <c r="E388" s="11" t="s">
        <v>402</v>
      </c>
      <c r="F388" s="11" t="s">
        <v>403</v>
      </c>
      <c r="G388" s="12">
        <v>1</v>
      </c>
      <c r="H388" s="12">
        <v>30</v>
      </c>
      <c r="I388" s="12">
        <v>30</v>
      </c>
      <c r="J388" s="12">
        <v>9272.7000000000007</v>
      </c>
      <c r="K388">
        <f t="shared" si="18"/>
        <v>3</v>
      </c>
      <c r="L388">
        <f t="shared" si="19"/>
        <v>1</v>
      </c>
      <c r="M388">
        <f t="shared" si="20"/>
        <v>1</v>
      </c>
    </row>
    <row r="389" spans="1:13" x14ac:dyDescent="0.25">
      <c r="A389" s="2" t="s">
        <v>272</v>
      </c>
      <c r="B389" s="11" t="s">
        <v>444</v>
      </c>
      <c r="C389" s="11" t="s">
        <v>4</v>
      </c>
      <c r="D389" s="11" t="s">
        <v>445</v>
      </c>
      <c r="E389" s="11" t="s">
        <v>404</v>
      </c>
      <c r="F389" s="11" t="s">
        <v>405</v>
      </c>
      <c r="G389" s="12">
        <v>1</v>
      </c>
      <c r="H389" s="12">
        <v>30</v>
      </c>
      <c r="I389" s="12">
        <v>30</v>
      </c>
      <c r="J389" s="12">
        <v>9302.7000000000007</v>
      </c>
      <c r="K389">
        <f t="shared" si="18"/>
        <v>3</v>
      </c>
      <c r="L389">
        <f t="shared" si="19"/>
        <v>1</v>
      </c>
      <c r="M389">
        <f t="shared" si="20"/>
        <v>1</v>
      </c>
    </row>
    <row r="390" spans="1:13" x14ac:dyDescent="0.25">
      <c r="A390" s="2" t="s">
        <v>272</v>
      </c>
      <c r="B390" s="11" t="s">
        <v>444</v>
      </c>
      <c r="C390" s="11" t="s">
        <v>4</v>
      </c>
      <c r="D390" s="11" t="s">
        <v>445</v>
      </c>
      <c r="E390" s="11" t="s">
        <v>406</v>
      </c>
      <c r="F390" s="11" t="s">
        <v>407</v>
      </c>
      <c r="G390" s="12">
        <v>1</v>
      </c>
      <c r="H390" s="12">
        <v>30</v>
      </c>
      <c r="I390" s="12">
        <v>30</v>
      </c>
      <c r="J390" s="12">
        <v>9332.7000000000007</v>
      </c>
      <c r="K390">
        <f t="shared" si="18"/>
        <v>3</v>
      </c>
      <c r="L390">
        <f t="shared" si="19"/>
        <v>1</v>
      </c>
      <c r="M390">
        <f t="shared" si="20"/>
        <v>1</v>
      </c>
    </row>
    <row r="391" spans="1:13" x14ac:dyDescent="0.25">
      <c r="A391" s="2" t="s">
        <v>272</v>
      </c>
      <c r="B391" s="11" t="s">
        <v>444</v>
      </c>
      <c r="C391" s="11" t="s">
        <v>4</v>
      </c>
      <c r="D391" s="11" t="s">
        <v>445</v>
      </c>
      <c r="E391" s="11" t="s">
        <v>328</v>
      </c>
      <c r="F391" s="11" t="s">
        <v>461</v>
      </c>
      <c r="G391" s="12">
        <v>2</v>
      </c>
      <c r="H391" s="12">
        <v>82</v>
      </c>
      <c r="I391" s="12">
        <v>164</v>
      </c>
      <c r="J391" s="12">
        <v>9496.7000000000007</v>
      </c>
      <c r="K391">
        <f t="shared" si="18"/>
        <v>6</v>
      </c>
      <c r="L391">
        <f t="shared" si="19"/>
        <v>1</v>
      </c>
      <c r="M391">
        <f t="shared" si="20"/>
        <v>1</v>
      </c>
    </row>
    <row r="392" spans="1:13" x14ac:dyDescent="0.25">
      <c r="A392" s="2" t="s">
        <v>272</v>
      </c>
      <c r="B392" s="11" t="s">
        <v>444</v>
      </c>
      <c r="C392" s="11" t="s">
        <v>4</v>
      </c>
      <c r="D392" s="11" t="s">
        <v>445</v>
      </c>
      <c r="E392" s="11" t="s">
        <v>331</v>
      </c>
      <c r="F392" s="11" t="s">
        <v>462</v>
      </c>
      <c r="G392" s="12">
        <v>3</v>
      </c>
      <c r="H392" s="12">
        <v>31.8</v>
      </c>
      <c r="I392" s="12">
        <v>95.4</v>
      </c>
      <c r="J392" s="12">
        <v>9592.1</v>
      </c>
      <c r="K392">
        <f t="shared" si="18"/>
        <v>5</v>
      </c>
      <c r="L392">
        <f t="shared" si="19"/>
        <v>1</v>
      </c>
      <c r="M392">
        <f t="shared" si="20"/>
        <v>1</v>
      </c>
    </row>
    <row r="393" spans="1:13" x14ac:dyDescent="0.25">
      <c r="A393" s="2" t="s">
        <v>272</v>
      </c>
      <c r="B393" s="11" t="s">
        <v>444</v>
      </c>
      <c r="C393" s="11" t="s">
        <v>4</v>
      </c>
      <c r="D393" s="11" t="s">
        <v>445</v>
      </c>
      <c r="E393" s="11" t="s">
        <v>463</v>
      </c>
      <c r="F393" s="11" t="s">
        <v>464</v>
      </c>
      <c r="G393" s="12">
        <v>2</v>
      </c>
      <c r="H393" s="12">
        <v>31.8</v>
      </c>
      <c r="I393" s="12">
        <v>63.6</v>
      </c>
      <c r="J393" s="12">
        <v>9655.7000000000007</v>
      </c>
      <c r="K393">
        <f t="shared" si="18"/>
        <v>1</v>
      </c>
      <c r="L393">
        <f t="shared" si="19"/>
        <v>1</v>
      </c>
      <c r="M393">
        <f t="shared" si="20"/>
        <v>1</v>
      </c>
    </row>
    <row r="394" spans="1:13" x14ac:dyDescent="0.25">
      <c r="A394" s="2" t="s">
        <v>272</v>
      </c>
      <c r="B394" s="11" t="s">
        <v>444</v>
      </c>
      <c r="C394" s="11" t="s">
        <v>4</v>
      </c>
      <c r="D394" s="11" t="s">
        <v>445</v>
      </c>
      <c r="E394" s="11" t="s">
        <v>465</v>
      </c>
      <c r="F394" s="11" t="s">
        <v>466</v>
      </c>
      <c r="G394" s="12">
        <v>2</v>
      </c>
      <c r="H394" s="12">
        <v>31.8</v>
      </c>
      <c r="I394" s="12">
        <v>63.6</v>
      </c>
      <c r="J394" s="12">
        <v>9719.3000000000011</v>
      </c>
      <c r="K394">
        <f t="shared" si="18"/>
        <v>6</v>
      </c>
      <c r="L394">
        <f t="shared" si="19"/>
        <v>1</v>
      </c>
      <c r="M394">
        <f t="shared" si="20"/>
        <v>1</v>
      </c>
    </row>
    <row r="395" spans="1:13" x14ac:dyDescent="0.25">
      <c r="A395" s="2" t="s">
        <v>272</v>
      </c>
      <c r="B395" s="11" t="s">
        <v>444</v>
      </c>
      <c r="C395" s="11" t="s">
        <v>4</v>
      </c>
      <c r="D395" s="11" t="s">
        <v>445</v>
      </c>
      <c r="E395" s="11" t="s">
        <v>333</v>
      </c>
      <c r="F395" s="11" t="s">
        <v>467</v>
      </c>
      <c r="G395" s="12">
        <v>3</v>
      </c>
      <c r="H395" s="12">
        <v>31.8</v>
      </c>
      <c r="I395" s="12">
        <v>95.4</v>
      </c>
      <c r="J395" s="12">
        <v>9814.7000000000007</v>
      </c>
      <c r="K395">
        <f t="shared" si="18"/>
        <v>5</v>
      </c>
      <c r="L395">
        <f t="shared" si="19"/>
        <v>1</v>
      </c>
      <c r="M395">
        <f t="shared" si="20"/>
        <v>1</v>
      </c>
    </row>
    <row r="396" spans="1:13" x14ac:dyDescent="0.25">
      <c r="A396" s="2" t="s">
        <v>272</v>
      </c>
      <c r="B396" s="11" t="s">
        <v>444</v>
      </c>
      <c r="C396" s="11" t="s">
        <v>4</v>
      </c>
      <c r="D396" s="11" t="s">
        <v>445</v>
      </c>
      <c r="E396" s="11" t="s">
        <v>335</v>
      </c>
      <c r="F396" s="11" t="s">
        <v>468</v>
      </c>
      <c r="G396" s="12">
        <v>1</v>
      </c>
      <c r="H396" s="12">
        <v>31.8</v>
      </c>
      <c r="I396" s="12">
        <v>31.8</v>
      </c>
      <c r="J396" s="12">
        <v>9846.5</v>
      </c>
      <c r="K396">
        <f t="shared" si="18"/>
        <v>2</v>
      </c>
      <c r="L396">
        <f t="shared" si="19"/>
        <v>1</v>
      </c>
      <c r="M396">
        <f t="shared" si="20"/>
        <v>1</v>
      </c>
    </row>
    <row r="397" spans="1:13" x14ac:dyDescent="0.25">
      <c r="A397" s="2" t="s">
        <v>272</v>
      </c>
      <c r="B397" s="11" t="s">
        <v>444</v>
      </c>
      <c r="C397" s="11" t="s">
        <v>4</v>
      </c>
      <c r="D397" s="11" t="s">
        <v>445</v>
      </c>
      <c r="E397" s="11" t="s">
        <v>469</v>
      </c>
      <c r="F397" s="11" t="s">
        <v>470</v>
      </c>
      <c r="G397" s="12">
        <v>20</v>
      </c>
      <c r="H397" s="12">
        <v>38</v>
      </c>
      <c r="I397" s="12">
        <v>760</v>
      </c>
      <c r="J397" s="12">
        <v>10606.5</v>
      </c>
      <c r="K397">
        <f t="shared" si="18"/>
        <v>4</v>
      </c>
      <c r="L397">
        <f t="shared" si="19"/>
        <v>1</v>
      </c>
      <c r="M397">
        <f t="shared" si="20"/>
        <v>1</v>
      </c>
    </row>
    <row r="398" spans="1:13" x14ac:dyDescent="0.25">
      <c r="A398" s="2" t="s">
        <v>272</v>
      </c>
      <c r="B398" s="11" t="s">
        <v>471</v>
      </c>
      <c r="C398" s="11" t="s">
        <v>4</v>
      </c>
      <c r="D398" s="11" t="s">
        <v>472</v>
      </c>
      <c r="E398" s="11" t="s">
        <v>473</v>
      </c>
      <c r="F398" s="11" t="s">
        <v>474</v>
      </c>
      <c r="G398" s="12">
        <v>4</v>
      </c>
      <c r="H398" s="12">
        <v>70.5</v>
      </c>
      <c r="I398" s="12">
        <v>282</v>
      </c>
      <c r="J398" s="12">
        <v>10888.5</v>
      </c>
      <c r="K398">
        <f t="shared" si="18"/>
        <v>4</v>
      </c>
      <c r="L398">
        <f t="shared" si="19"/>
        <v>1</v>
      </c>
      <c r="M398">
        <f t="shared" si="20"/>
        <v>1</v>
      </c>
    </row>
    <row r="399" spans="1:13" x14ac:dyDescent="0.25">
      <c r="A399" s="2" t="s">
        <v>272</v>
      </c>
      <c r="B399" s="11" t="s">
        <v>471</v>
      </c>
      <c r="C399" s="11" t="s">
        <v>4</v>
      </c>
      <c r="D399" s="11" t="s">
        <v>472</v>
      </c>
      <c r="E399" s="11" t="s">
        <v>390</v>
      </c>
      <c r="F399" s="11" t="s">
        <v>391</v>
      </c>
      <c r="G399" s="12">
        <v>4</v>
      </c>
      <c r="H399" s="12">
        <v>43</v>
      </c>
      <c r="I399" s="12">
        <v>172</v>
      </c>
      <c r="J399" s="12">
        <v>11060.5</v>
      </c>
      <c r="K399">
        <f t="shared" si="18"/>
        <v>5</v>
      </c>
      <c r="L399">
        <f t="shared" si="19"/>
        <v>1</v>
      </c>
      <c r="M399">
        <f t="shared" si="20"/>
        <v>1</v>
      </c>
    </row>
    <row r="400" spans="1:13" x14ac:dyDescent="0.25">
      <c r="A400" s="2" t="s">
        <v>272</v>
      </c>
      <c r="B400" s="11" t="s">
        <v>471</v>
      </c>
      <c r="C400" s="11" t="s">
        <v>4</v>
      </c>
      <c r="D400" s="11" t="s">
        <v>472</v>
      </c>
      <c r="E400" s="11" t="s">
        <v>280</v>
      </c>
      <c r="F400" s="11" t="s">
        <v>281</v>
      </c>
      <c r="G400" s="12">
        <v>1</v>
      </c>
      <c r="H400" s="12">
        <v>44</v>
      </c>
      <c r="I400" s="12">
        <v>44</v>
      </c>
      <c r="J400" s="12">
        <v>11104.5</v>
      </c>
      <c r="K400">
        <f t="shared" si="18"/>
        <v>5</v>
      </c>
      <c r="L400">
        <f t="shared" si="19"/>
        <v>1</v>
      </c>
      <c r="M400">
        <f t="shared" si="20"/>
        <v>1</v>
      </c>
    </row>
    <row r="401" spans="1:13" x14ac:dyDescent="0.25">
      <c r="A401" s="2" t="s">
        <v>272</v>
      </c>
      <c r="B401" s="11" t="s">
        <v>471</v>
      </c>
      <c r="C401" s="11" t="s">
        <v>4</v>
      </c>
      <c r="D401" s="11" t="s">
        <v>472</v>
      </c>
      <c r="E401" s="11" t="s">
        <v>278</v>
      </c>
      <c r="F401" s="11" t="s">
        <v>279</v>
      </c>
      <c r="G401" s="12">
        <v>1</v>
      </c>
      <c r="H401" s="12">
        <v>40</v>
      </c>
      <c r="I401" s="12">
        <v>40</v>
      </c>
      <c r="J401" s="12">
        <v>11144.5</v>
      </c>
      <c r="K401">
        <f t="shared" si="18"/>
        <v>6</v>
      </c>
      <c r="L401">
        <f t="shared" si="19"/>
        <v>1</v>
      </c>
      <c r="M401">
        <f t="shared" si="20"/>
        <v>1</v>
      </c>
    </row>
    <row r="402" spans="1:13" x14ac:dyDescent="0.25">
      <c r="A402" s="2" t="s">
        <v>272</v>
      </c>
      <c r="B402" s="11" t="s">
        <v>471</v>
      </c>
      <c r="C402" s="11" t="s">
        <v>4</v>
      </c>
      <c r="D402" s="11" t="s">
        <v>472</v>
      </c>
      <c r="E402" s="11" t="s">
        <v>282</v>
      </c>
      <c r="F402" s="11" t="s">
        <v>446</v>
      </c>
      <c r="G402" s="12">
        <v>1</v>
      </c>
      <c r="H402" s="12">
        <v>66</v>
      </c>
      <c r="I402" s="12">
        <v>66</v>
      </c>
      <c r="J402" s="12">
        <v>11210.5</v>
      </c>
      <c r="K402">
        <f t="shared" si="18"/>
        <v>5</v>
      </c>
      <c r="L402">
        <f t="shared" si="19"/>
        <v>1</v>
      </c>
      <c r="M402">
        <f t="shared" si="20"/>
        <v>1</v>
      </c>
    </row>
    <row r="403" spans="1:13" x14ac:dyDescent="0.25">
      <c r="A403" s="2" t="s">
        <v>272</v>
      </c>
      <c r="B403" s="11" t="s">
        <v>471</v>
      </c>
      <c r="C403" s="11" t="s">
        <v>4</v>
      </c>
      <c r="D403" s="11" t="s">
        <v>472</v>
      </c>
      <c r="E403" s="11" t="s">
        <v>447</v>
      </c>
      <c r="F403" s="11" t="s">
        <v>448</v>
      </c>
      <c r="G403" s="12">
        <v>1</v>
      </c>
      <c r="H403" s="12">
        <v>40</v>
      </c>
      <c r="I403" s="12">
        <v>40</v>
      </c>
      <c r="J403" s="12">
        <v>11250.5</v>
      </c>
      <c r="K403">
        <f t="shared" si="18"/>
        <v>2</v>
      </c>
      <c r="L403">
        <f t="shared" si="19"/>
        <v>1</v>
      </c>
      <c r="M403">
        <f t="shared" si="20"/>
        <v>1</v>
      </c>
    </row>
    <row r="404" spans="1:13" x14ac:dyDescent="0.25">
      <c r="A404" s="2" t="s">
        <v>272</v>
      </c>
      <c r="B404" s="11" t="s">
        <v>471</v>
      </c>
      <c r="C404" s="11" t="s">
        <v>4</v>
      </c>
      <c r="D404" s="11" t="s">
        <v>472</v>
      </c>
      <c r="E404" s="11" t="s">
        <v>475</v>
      </c>
      <c r="F404" s="11" t="s">
        <v>476</v>
      </c>
      <c r="G404" s="12">
        <v>1</v>
      </c>
      <c r="H404" s="12">
        <v>42</v>
      </c>
      <c r="I404" s="12">
        <v>42</v>
      </c>
      <c r="J404" s="12">
        <v>11292.5</v>
      </c>
      <c r="K404">
        <f t="shared" si="18"/>
        <v>2</v>
      </c>
      <c r="L404">
        <f t="shared" si="19"/>
        <v>1</v>
      </c>
      <c r="M404">
        <f t="shared" si="20"/>
        <v>1</v>
      </c>
    </row>
    <row r="405" spans="1:13" x14ac:dyDescent="0.25">
      <c r="A405" s="2" t="s">
        <v>272</v>
      </c>
      <c r="B405" s="11" t="s">
        <v>471</v>
      </c>
      <c r="C405" s="11" t="s">
        <v>4</v>
      </c>
      <c r="D405" s="11" t="s">
        <v>472</v>
      </c>
      <c r="E405" s="11" t="s">
        <v>477</v>
      </c>
      <c r="F405" s="11" t="s">
        <v>478</v>
      </c>
      <c r="G405" s="12">
        <v>1</v>
      </c>
      <c r="H405" s="12">
        <v>39</v>
      </c>
      <c r="I405" s="12">
        <v>39</v>
      </c>
      <c r="J405" s="12">
        <v>11331.5</v>
      </c>
      <c r="K405">
        <f t="shared" si="18"/>
        <v>2</v>
      </c>
      <c r="L405">
        <f t="shared" si="19"/>
        <v>1</v>
      </c>
      <c r="M405">
        <f t="shared" si="20"/>
        <v>1</v>
      </c>
    </row>
    <row r="406" spans="1:13" x14ac:dyDescent="0.25">
      <c r="A406" s="2" t="s">
        <v>272</v>
      </c>
      <c r="B406" s="11" t="s">
        <v>471</v>
      </c>
      <c r="C406" s="11" t="s">
        <v>4</v>
      </c>
      <c r="D406" s="11" t="s">
        <v>472</v>
      </c>
      <c r="E406" s="11" t="s">
        <v>284</v>
      </c>
      <c r="F406" s="11" t="s">
        <v>285</v>
      </c>
      <c r="G406" s="12">
        <v>3</v>
      </c>
      <c r="H406" s="12">
        <v>39</v>
      </c>
      <c r="I406" s="12">
        <v>117</v>
      </c>
      <c r="J406" s="12">
        <v>11448.5</v>
      </c>
      <c r="K406">
        <f t="shared" si="18"/>
        <v>4</v>
      </c>
      <c r="L406">
        <f t="shared" si="19"/>
        <v>1</v>
      </c>
      <c r="M406">
        <f t="shared" si="20"/>
        <v>1</v>
      </c>
    </row>
    <row r="407" spans="1:13" x14ac:dyDescent="0.25">
      <c r="A407" s="2" t="s">
        <v>272</v>
      </c>
      <c r="B407" s="11" t="s">
        <v>471</v>
      </c>
      <c r="C407" s="11" t="s">
        <v>4</v>
      </c>
      <c r="D407" s="11" t="s">
        <v>472</v>
      </c>
      <c r="E407" s="11" t="s">
        <v>479</v>
      </c>
      <c r="F407" s="11" t="s">
        <v>480</v>
      </c>
      <c r="G407" s="12">
        <v>2</v>
      </c>
      <c r="H407" s="12">
        <v>49.5</v>
      </c>
      <c r="I407" s="12">
        <v>99</v>
      </c>
      <c r="J407" s="12">
        <v>11547.5</v>
      </c>
      <c r="K407">
        <f t="shared" si="18"/>
        <v>2</v>
      </c>
      <c r="L407">
        <f t="shared" si="19"/>
        <v>1</v>
      </c>
      <c r="M407">
        <f t="shared" si="20"/>
        <v>1</v>
      </c>
    </row>
    <row r="408" spans="1:13" x14ac:dyDescent="0.25">
      <c r="A408" s="2" t="s">
        <v>272</v>
      </c>
      <c r="B408" s="11" t="s">
        <v>471</v>
      </c>
      <c r="C408" s="11" t="s">
        <v>4</v>
      </c>
      <c r="D408" s="11" t="s">
        <v>472</v>
      </c>
      <c r="E408" s="11" t="s">
        <v>481</v>
      </c>
      <c r="F408" s="11" t="s">
        <v>482</v>
      </c>
      <c r="G408" s="12">
        <v>2</v>
      </c>
      <c r="H408" s="12">
        <v>39</v>
      </c>
      <c r="I408" s="12">
        <v>78</v>
      </c>
      <c r="J408" s="12">
        <v>11625.5</v>
      </c>
      <c r="K408">
        <f t="shared" si="18"/>
        <v>2</v>
      </c>
      <c r="L408">
        <f t="shared" si="19"/>
        <v>1</v>
      </c>
      <c r="M408">
        <f t="shared" si="20"/>
        <v>1</v>
      </c>
    </row>
    <row r="409" spans="1:13" x14ac:dyDescent="0.25">
      <c r="A409" s="2" t="s">
        <v>272</v>
      </c>
      <c r="B409" s="11" t="s">
        <v>471</v>
      </c>
      <c r="C409" s="11" t="s">
        <v>4</v>
      </c>
      <c r="D409" s="11" t="s">
        <v>472</v>
      </c>
      <c r="E409" s="11" t="s">
        <v>483</v>
      </c>
      <c r="F409" s="11" t="s">
        <v>484</v>
      </c>
      <c r="G409" s="12">
        <v>2</v>
      </c>
      <c r="H409" s="12">
        <v>60</v>
      </c>
      <c r="I409" s="12">
        <v>120</v>
      </c>
      <c r="J409" s="12">
        <v>11745.5</v>
      </c>
      <c r="K409">
        <f t="shared" si="18"/>
        <v>2</v>
      </c>
      <c r="L409">
        <f t="shared" si="19"/>
        <v>1</v>
      </c>
      <c r="M409">
        <f t="shared" si="20"/>
        <v>1</v>
      </c>
    </row>
    <row r="410" spans="1:13" x14ac:dyDescent="0.25">
      <c r="A410" s="2" t="s">
        <v>272</v>
      </c>
      <c r="B410" s="11" t="s">
        <v>471</v>
      </c>
      <c r="C410" s="11" t="s">
        <v>4</v>
      </c>
      <c r="D410" s="11" t="s">
        <v>472</v>
      </c>
      <c r="E410" s="11" t="s">
        <v>416</v>
      </c>
      <c r="F410" s="11" t="s">
        <v>485</v>
      </c>
      <c r="G410" s="12">
        <v>3</v>
      </c>
      <c r="H410" s="12">
        <v>55</v>
      </c>
      <c r="I410" s="12">
        <v>165</v>
      </c>
      <c r="J410" s="12">
        <v>11910.5</v>
      </c>
      <c r="K410">
        <f t="shared" si="18"/>
        <v>4</v>
      </c>
      <c r="L410">
        <f t="shared" si="19"/>
        <v>1</v>
      </c>
      <c r="M410">
        <f t="shared" si="20"/>
        <v>1</v>
      </c>
    </row>
    <row r="411" spans="1:13" x14ac:dyDescent="0.25">
      <c r="A411" s="2" t="s">
        <v>272</v>
      </c>
      <c r="B411" s="11" t="s">
        <v>471</v>
      </c>
      <c r="C411" s="11" t="s">
        <v>4</v>
      </c>
      <c r="D411" s="11" t="s">
        <v>472</v>
      </c>
      <c r="E411" s="11" t="s">
        <v>290</v>
      </c>
      <c r="F411" s="11" t="s">
        <v>451</v>
      </c>
      <c r="G411" s="12">
        <v>5</v>
      </c>
      <c r="H411" s="12">
        <v>30</v>
      </c>
      <c r="I411" s="12">
        <v>150</v>
      </c>
      <c r="J411" s="12">
        <v>12060.5</v>
      </c>
      <c r="K411">
        <f t="shared" si="18"/>
        <v>5</v>
      </c>
      <c r="L411">
        <f t="shared" si="19"/>
        <v>1</v>
      </c>
      <c r="M411">
        <f t="shared" si="20"/>
        <v>1</v>
      </c>
    </row>
    <row r="412" spans="1:13" x14ac:dyDescent="0.25">
      <c r="A412" s="2" t="s">
        <v>272</v>
      </c>
      <c r="B412" s="11" t="s">
        <v>471</v>
      </c>
      <c r="C412" s="11" t="s">
        <v>4</v>
      </c>
      <c r="D412" s="11" t="s">
        <v>472</v>
      </c>
      <c r="E412" s="11" t="s">
        <v>298</v>
      </c>
      <c r="F412" s="11" t="s">
        <v>454</v>
      </c>
      <c r="G412" s="12">
        <v>3</v>
      </c>
      <c r="H412" s="12">
        <v>19</v>
      </c>
      <c r="I412" s="12">
        <v>57</v>
      </c>
      <c r="J412" s="12">
        <v>12117.5</v>
      </c>
      <c r="K412">
        <f t="shared" si="18"/>
        <v>8</v>
      </c>
      <c r="L412">
        <f t="shared" si="19"/>
        <v>1</v>
      </c>
      <c r="M412">
        <f t="shared" si="20"/>
        <v>1</v>
      </c>
    </row>
    <row r="413" spans="1:13" x14ac:dyDescent="0.25">
      <c r="A413" s="2" t="s">
        <v>272</v>
      </c>
      <c r="B413" s="11" t="s">
        <v>471</v>
      </c>
      <c r="C413" s="11" t="s">
        <v>4</v>
      </c>
      <c r="D413" s="11" t="s">
        <v>472</v>
      </c>
      <c r="E413" s="11" t="s">
        <v>300</v>
      </c>
      <c r="F413" s="11" t="s">
        <v>455</v>
      </c>
      <c r="G413" s="12">
        <v>2</v>
      </c>
      <c r="H413" s="12">
        <v>21</v>
      </c>
      <c r="I413" s="12">
        <v>42</v>
      </c>
      <c r="J413" s="12">
        <v>12159.5</v>
      </c>
      <c r="K413">
        <f t="shared" si="18"/>
        <v>5</v>
      </c>
      <c r="L413">
        <f t="shared" si="19"/>
        <v>1</v>
      </c>
      <c r="M413">
        <f t="shared" si="20"/>
        <v>1</v>
      </c>
    </row>
    <row r="414" spans="1:13" x14ac:dyDescent="0.25">
      <c r="A414" s="2" t="s">
        <v>272</v>
      </c>
      <c r="B414" s="11" t="s">
        <v>471</v>
      </c>
      <c r="C414" s="11" t="s">
        <v>4</v>
      </c>
      <c r="D414" s="11" t="s">
        <v>472</v>
      </c>
      <c r="E414" s="11" t="s">
        <v>302</v>
      </c>
      <c r="F414" s="11" t="s">
        <v>456</v>
      </c>
      <c r="G414" s="12">
        <v>3</v>
      </c>
      <c r="H414" s="12">
        <v>30</v>
      </c>
      <c r="I414" s="12">
        <v>90</v>
      </c>
      <c r="J414" s="12">
        <v>12249.5</v>
      </c>
      <c r="K414">
        <f t="shared" si="18"/>
        <v>6</v>
      </c>
      <c r="L414">
        <f t="shared" si="19"/>
        <v>1</v>
      </c>
      <c r="M414">
        <f t="shared" si="20"/>
        <v>1</v>
      </c>
    </row>
    <row r="415" spans="1:13" x14ac:dyDescent="0.25">
      <c r="A415" s="2" t="s">
        <v>272</v>
      </c>
      <c r="B415" s="11" t="s">
        <v>471</v>
      </c>
      <c r="C415" s="11" t="s">
        <v>4</v>
      </c>
      <c r="D415" s="11" t="s">
        <v>472</v>
      </c>
      <c r="E415" s="11" t="s">
        <v>304</v>
      </c>
      <c r="F415" s="11" t="s">
        <v>486</v>
      </c>
      <c r="G415" s="12">
        <v>2</v>
      </c>
      <c r="H415" s="12">
        <v>14</v>
      </c>
      <c r="I415" s="12">
        <v>28</v>
      </c>
      <c r="J415" s="12">
        <v>12277.5</v>
      </c>
      <c r="K415">
        <f t="shared" si="18"/>
        <v>4</v>
      </c>
      <c r="L415">
        <f t="shared" si="19"/>
        <v>1</v>
      </c>
      <c r="M415">
        <f t="shared" si="20"/>
        <v>1</v>
      </c>
    </row>
    <row r="416" spans="1:13" x14ac:dyDescent="0.25">
      <c r="A416" s="2" t="s">
        <v>272</v>
      </c>
      <c r="B416" s="11" t="s">
        <v>471</v>
      </c>
      <c r="C416" s="11" t="s">
        <v>4</v>
      </c>
      <c r="D416" s="11" t="s">
        <v>472</v>
      </c>
      <c r="E416" s="11" t="s">
        <v>487</v>
      </c>
      <c r="F416" s="11" t="s">
        <v>488</v>
      </c>
      <c r="G416" s="12">
        <v>2</v>
      </c>
      <c r="H416" s="12">
        <v>22</v>
      </c>
      <c r="I416" s="12">
        <v>44</v>
      </c>
      <c r="J416" s="12">
        <v>12321.5</v>
      </c>
      <c r="K416">
        <f t="shared" si="18"/>
        <v>2</v>
      </c>
      <c r="L416">
        <f t="shared" si="19"/>
        <v>1</v>
      </c>
      <c r="M416">
        <f t="shared" si="20"/>
        <v>1</v>
      </c>
    </row>
    <row r="417" spans="1:13" x14ac:dyDescent="0.25">
      <c r="A417" s="2" t="s">
        <v>272</v>
      </c>
      <c r="B417" s="11" t="s">
        <v>471</v>
      </c>
      <c r="C417" s="11" t="s">
        <v>4</v>
      </c>
      <c r="D417" s="11" t="s">
        <v>472</v>
      </c>
      <c r="E417" s="11" t="s">
        <v>312</v>
      </c>
      <c r="F417" s="11" t="s">
        <v>489</v>
      </c>
      <c r="G417" s="12">
        <v>2</v>
      </c>
      <c r="H417" s="12">
        <v>26</v>
      </c>
      <c r="I417" s="12">
        <v>52</v>
      </c>
      <c r="J417" s="12">
        <v>12373.5</v>
      </c>
      <c r="K417">
        <f t="shared" si="18"/>
        <v>5</v>
      </c>
      <c r="L417">
        <f t="shared" si="19"/>
        <v>1</v>
      </c>
      <c r="M417">
        <f t="shared" si="20"/>
        <v>1</v>
      </c>
    </row>
    <row r="418" spans="1:13" x14ac:dyDescent="0.25">
      <c r="A418" s="2" t="s">
        <v>272</v>
      </c>
      <c r="B418" s="11" t="s">
        <v>471</v>
      </c>
      <c r="C418" s="11" t="s">
        <v>4</v>
      </c>
      <c r="D418" s="11" t="s">
        <v>472</v>
      </c>
      <c r="E418" s="11" t="s">
        <v>490</v>
      </c>
      <c r="F418" s="11" t="s">
        <v>491</v>
      </c>
      <c r="G418" s="12">
        <v>2</v>
      </c>
      <c r="H418" s="12">
        <v>18</v>
      </c>
      <c r="I418" s="12">
        <v>36</v>
      </c>
      <c r="J418" s="12">
        <v>12409.5</v>
      </c>
      <c r="K418">
        <f t="shared" si="18"/>
        <v>4</v>
      </c>
      <c r="L418">
        <f t="shared" si="19"/>
        <v>1</v>
      </c>
      <c r="M418">
        <f t="shared" si="20"/>
        <v>1</v>
      </c>
    </row>
    <row r="419" spans="1:13" x14ac:dyDescent="0.25">
      <c r="A419" s="2" t="s">
        <v>272</v>
      </c>
      <c r="B419" s="11" t="s">
        <v>471</v>
      </c>
      <c r="C419" s="11" t="s">
        <v>4</v>
      </c>
      <c r="D419" s="11" t="s">
        <v>472</v>
      </c>
      <c r="E419" s="11" t="s">
        <v>492</v>
      </c>
      <c r="F419" s="11" t="s">
        <v>493</v>
      </c>
      <c r="G419" s="12">
        <v>2</v>
      </c>
      <c r="H419" s="12">
        <v>32</v>
      </c>
      <c r="I419" s="12">
        <v>64</v>
      </c>
      <c r="J419" s="12">
        <v>12473.5</v>
      </c>
      <c r="K419">
        <f t="shared" si="18"/>
        <v>3</v>
      </c>
      <c r="L419">
        <f t="shared" si="19"/>
        <v>1</v>
      </c>
      <c r="M419">
        <f t="shared" si="20"/>
        <v>1</v>
      </c>
    </row>
    <row r="420" spans="1:13" x14ac:dyDescent="0.25">
      <c r="A420" s="2" t="s">
        <v>272</v>
      </c>
      <c r="B420" s="11" t="s">
        <v>471</v>
      </c>
      <c r="C420" s="11" t="s">
        <v>4</v>
      </c>
      <c r="D420" s="11" t="s">
        <v>472</v>
      </c>
      <c r="E420" s="11" t="s">
        <v>314</v>
      </c>
      <c r="F420" s="11" t="s">
        <v>459</v>
      </c>
      <c r="G420" s="12">
        <v>12</v>
      </c>
      <c r="H420" s="12">
        <v>39</v>
      </c>
      <c r="I420" s="12">
        <v>468</v>
      </c>
      <c r="J420" s="12">
        <v>12941.5</v>
      </c>
      <c r="K420">
        <f t="shared" si="18"/>
        <v>5</v>
      </c>
      <c r="L420">
        <f t="shared" si="19"/>
        <v>1</v>
      </c>
      <c r="M420">
        <f t="shared" si="20"/>
        <v>1</v>
      </c>
    </row>
    <row r="421" spans="1:13" x14ac:dyDescent="0.25">
      <c r="A421" s="2" t="s">
        <v>272</v>
      </c>
      <c r="B421" s="11" t="s">
        <v>471</v>
      </c>
      <c r="C421" s="11" t="s">
        <v>4</v>
      </c>
      <c r="D421" s="11" t="s">
        <v>472</v>
      </c>
      <c r="E421" s="11" t="s">
        <v>494</v>
      </c>
      <c r="F421" s="11" t="s">
        <v>495</v>
      </c>
      <c r="G421" s="12">
        <v>24</v>
      </c>
      <c r="H421" s="12">
        <v>5.5</v>
      </c>
      <c r="I421" s="12">
        <v>132</v>
      </c>
      <c r="J421" s="12">
        <v>13073.5</v>
      </c>
      <c r="K421">
        <f t="shared" si="18"/>
        <v>4</v>
      </c>
      <c r="L421">
        <f t="shared" si="19"/>
        <v>1</v>
      </c>
      <c r="M421">
        <f t="shared" si="20"/>
        <v>1</v>
      </c>
    </row>
    <row r="422" spans="1:13" x14ac:dyDescent="0.25">
      <c r="A422" s="2" t="s">
        <v>272</v>
      </c>
      <c r="B422" s="11" t="s">
        <v>471</v>
      </c>
      <c r="C422" s="11" t="s">
        <v>4</v>
      </c>
      <c r="D422" s="11" t="s">
        <v>472</v>
      </c>
      <c r="E422" s="11" t="s">
        <v>366</v>
      </c>
      <c r="F422" s="11" t="s">
        <v>367</v>
      </c>
      <c r="G422" s="12">
        <v>2</v>
      </c>
      <c r="H422" s="12">
        <v>37</v>
      </c>
      <c r="I422" s="12">
        <v>74</v>
      </c>
      <c r="J422" s="12">
        <v>13147.5</v>
      </c>
      <c r="K422">
        <f t="shared" si="18"/>
        <v>8</v>
      </c>
      <c r="L422">
        <f t="shared" si="19"/>
        <v>1</v>
      </c>
      <c r="M422">
        <f t="shared" si="20"/>
        <v>1</v>
      </c>
    </row>
    <row r="423" spans="1:13" x14ac:dyDescent="0.25">
      <c r="A423" s="2" t="s">
        <v>272</v>
      </c>
      <c r="B423" s="11" t="s">
        <v>471</v>
      </c>
      <c r="C423" s="11" t="s">
        <v>4</v>
      </c>
      <c r="D423" s="11" t="s">
        <v>472</v>
      </c>
      <c r="E423" s="11" t="s">
        <v>496</v>
      </c>
      <c r="F423" s="11" t="s">
        <v>497</v>
      </c>
      <c r="G423" s="12">
        <v>7</v>
      </c>
      <c r="H423" s="12">
        <v>22</v>
      </c>
      <c r="I423" s="12">
        <v>154</v>
      </c>
      <c r="J423" s="12">
        <v>13301.5</v>
      </c>
      <c r="K423">
        <f t="shared" si="18"/>
        <v>5</v>
      </c>
      <c r="L423">
        <f t="shared" si="19"/>
        <v>1</v>
      </c>
      <c r="M423">
        <f t="shared" si="20"/>
        <v>1</v>
      </c>
    </row>
    <row r="424" spans="1:13" x14ac:dyDescent="0.25">
      <c r="A424" s="2" t="s">
        <v>272</v>
      </c>
      <c r="B424" s="11" t="s">
        <v>471</v>
      </c>
      <c r="C424" s="11" t="s">
        <v>4</v>
      </c>
      <c r="D424" s="11" t="s">
        <v>472</v>
      </c>
      <c r="E424" s="11" t="s">
        <v>426</v>
      </c>
      <c r="F424" s="11" t="s">
        <v>427</v>
      </c>
      <c r="G424" s="12">
        <v>2</v>
      </c>
      <c r="H424" s="12">
        <v>15</v>
      </c>
      <c r="I424" s="12">
        <v>30</v>
      </c>
      <c r="J424" s="12">
        <v>13331.5</v>
      </c>
      <c r="K424">
        <f t="shared" si="18"/>
        <v>6</v>
      </c>
      <c r="L424">
        <f t="shared" si="19"/>
        <v>1</v>
      </c>
      <c r="M424">
        <f t="shared" si="20"/>
        <v>1</v>
      </c>
    </row>
    <row r="425" spans="1:13" x14ac:dyDescent="0.25">
      <c r="A425" s="2" t="s">
        <v>272</v>
      </c>
      <c r="B425" s="11" t="s">
        <v>471</v>
      </c>
      <c r="C425" s="11" t="s">
        <v>4</v>
      </c>
      <c r="D425" s="11" t="s">
        <v>472</v>
      </c>
      <c r="E425" s="11" t="s">
        <v>442</v>
      </c>
      <c r="F425" s="11" t="s">
        <v>443</v>
      </c>
      <c r="G425" s="12">
        <v>8</v>
      </c>
      <c r="H425" s="12">
        <v>9</v>
      </c>
      <c r="I425" s="12">
        <v>72</v>
      </c>
      <c r="J425" s="12">
        <v>13403.5</v>
      </c>
      <c r="K425">
        <f t="shared" si="18"/>
        <v>3</v>
      </c>
      <c r="L425">
        <f t="shared" si="19"/>
        <v>1</v>
      </c>
      <c r="M425">
        <f t="shared" si="20"/>
        <v>1</v>
      </c>
    </row>
    <row r="426" spans="1:13" x14ac:dyDescent="0.25">
      <c r="A426" s="2" t="s">
        <v>272</v>
      </c>
      <c r="B426" s="11" t="s">
        <v>471</v>
      </c>
      <c r="C426" s="11" t="s">
        <v>4</v>
      </c>
      <c r="D426" s="11" t="s">
        <v>472</v>
      </c>
      <c r="E426" s="11" t="s">
        <v>440</v>
      </c>
      <c r="F426" s="11" t="s">
        <v>441</v>
      </c>
      <c r="G426" s="12">
        <v>5</v>
      </c>
      <c r="H426" s="12">
        <v>9</v>
      </c>
      <c r="I426" s="12">
        <v>45</v>
      </c>
      <c r="J426" s="12">
        <v>13448.5</v>
      </c>
      <c r="K426">
        <f t="shared" si="18"/>
        <v>4</v>
      </c>
      <c r="L426">
        <f t="shared" si="19"/>
        <v>1</v>
      </c>
      <c r="M426">
        <f t="shared" si="20"/>
        <v>1</v>
      </c>
    </row>
    <row r="427" spans="1:13" x14ac:dyDescent="0.25">
      <c r="A427" s="2" t="s">
        <v>272</v>
      </c>
      <c r="B427" s="11" t="s">
        <v>471</v>
      </c>
      <c r="C427" s="11" t="s">
        <v>4</v>
      </c>
      <c r="D427" s="11" t="s">
        <v>472</v>
      </c>
      <c r="E427" s="11" t="s">
        <v>498</v>
      </c>
      <c r="F427" s="11" t="s">
        <v>499</v>
      </c>
      <c r="G427" s="12">
        <v>2</v>
      </c>
      <c r="H427" s="12">
        <v>13</v>
      </c>
      <c r="I427" s="12">
        <v>26</v>
      </c>
      <c r="J427" s="12">
        <v>13474.5</v>
      </c>
      <c r="K427">
        <f t="shared" si="18"/>
        <v>2</v>
      </c>
      <c r="L427">
        <f t="shared" si="19"/>
        <v>1</v>
      </c>
      <c r="M427">
        <f t="shared" si="20"/>
        <v>1</v>
      </c>
    </row>
    <row r="428" spans="1:13" x14ac:dyDescent="0.25">
      <c r="A428" s="2" t="s">
        <v>272</v>
      </c>
      <c r="B428" s="11" t="s">
        <v>471</v>
      </c>
      <c r="C428" s="11" t="s">
        <v>4</v>
      </c>
      <c r="D428" s="11" t="s">
        <v>472</v>
      </c>
      <c r="E428" s="11" t="s">
        <v>500</v>
      </c>
      <c r="F428" s="11" t="s">
        <v>501</v>
      </c>
      <c r="G428" s="12">
        <v>2</v>
      </c>
      <c r="H428" s="12">
        <v>13</v>
      </c>
      <c r="I428" s="12">
        <v>26</v>
      </c>
      <c r="J428" s="12">
        <v>13500.5</v>
      </c>
      <c r="K428">
        <f t="shared" si="18"/>
        <v>2</v>
      </c>
      <c r="L428">
        <f t="shared" si="19"/>
        <v>1</v>
      </c>
      <c r="M428">
        <f t="shared" si="20"/>
        <v>1</v>
      </c>
    </row>
    <row r="429" spans="1:13" x14ac:dyDescent="0.25">
      <c r="A429" s="2" t="s">
        <v>272</v>
      </c>
      <c r="B429" s="11" t="s">
        <v>471</v>
      </c>
      <c r="C429" s="11" t="s">
        <v>4</v>
      </c>
      <c r="D429" s="11" t="s">
        <v>472</v>
      </c>
      <c r="E429" s="11" t="s">
        <v>502</v>
      </c>
      <c r="F429" s="11" t="s">
        <v>503</v>
      </c>
      <c r="G429" s="12">
        <v>2</v>
      </c>
      <c r="H429" s="12">
        <v>22</v>
      </c>
      <c r="I429" s="12">
        <v>44</v>
      </c>
      <c r="J429" s="12">
        <v>13544.5</v>
      </c>
      <c r="K429">
        <f t="shared" si="18"/>
        <v>5</v>
      </c>
      <c r="L429">
        <f t="shared" si="19"/>
        <v>1</v>
      </c>
      <c r="M429">
        <f t="shared" si="20"/>
        <v>1</v>
      </c>
    </row>
    <row r="430" spans="1:13" x14ac:dyDescent="0.25">
      <c r="A430" s="2" t="s">
        <v>272</v>
      </c>
      <c r="B430" s="11" t="s">
        <v>471</v>
      </c>
      <c r="C430" s="11" t="s">
        <v>4</v>
      </c>
      <c r="D430" s="11" t="s">
        <v>472</v>
      </c>
      <c r="E430" s="11" t="s">
        <v>504</v>
      </c>
      <c r="F430" s="11" t="s">
        <v>505</v>
      </c>
      <c r="G430" s="12">
        <v>2</v>
      </c>
      <c r="H430" s="12">
        <v>22</v>
      </c>
      <c r="I430" s="12">
        <v>44</v>
      </c>
      <c r="J430" s="12">
        <v>13588.5</v>
      </c>
      <c r="K430">
        <f t="shared" si="18"/>
        <v>3</v>
      </c>
      <c r="L430">
        <f t="shared" si="19"/>
        <v>1</v>
      </c>
      <c r="M430">
        <f t="shared" si="20"/>
        <v>1</v>
      </c>
    </row>
    <row r="431" spans="1:13" x14ac:dyDescent="0.25">
      <c r="A431" s="2" t="s">
        <v>272</v>
      </c>
      <c r="B431" s="11" t="s">
        <v>471</v>
      </c>
      <c r="C431" s="11" t="s">
        <v>4</v>
      </c>
      <c r="D431" s="11" t="s">
        <v>472</v>
      </c>
      <c r="E431" s="11" t="s">
        <v>506</v>
      </c>
      <c r="F431" s="11" t="s">
        <v>507</v>
      </c>
      <c r="G431" s="12">
        <v>2</v>
      </c>
      <c r="H431" s="12">
        <v>22</v>
      </c>
      <c r="I431" s="12">
        <v>44</v>
      </c>
      <c r="J431" s="12">
        <v>13632.5</v>
      </c>
      <c r="K431">
        <f t="shared" si="18"/>
        <v>2</v>
      </c>
      <c r="L431">
        <f t="shared" si="19"/>
        <v>1</v>
      </c>
      <c r="M431">
        <f t="shared" si="20"/>
        <v>1</v>
      </c>
    </row>
    <row r="432" spans="1:13" x14ac:dyDescent="0.25">
      <c r="A432" s="2" t="s">
        <v>272</v>
      </c>
      <c r="B432" s="11" t="s">
        <v>471</v>
      </c>
      <c r="C432" s="11" t="s">
        <v>4</v>
      </c>
      <c r="D432" s="11" t="s">
        <v>472</v>
      </c>
      <c r="E432" s="11" t="s">
        <v>380</v>
      </c>
      <c r="F432" s="11" t="s">
        <v>380</v>
      </c>
      <c r="G432" s="12">
        <v>3</v>
      </c>
      <c r="H432" s="12">
        <v>61</v>
      </c>
      <c r="I432" s="12">
        <v>183</v>
      </c>
      <c r="J432" s="12">
        <v>13815.5</v>
      </c>
      <c r="K432">
        <f t="shared" si="18"/>
        <v>5</v>
      </c>
      <c r="L432">
        <f t="shared" si="19"/>
        <v>1</v>
      </c>
      <c r="M432">
        <f t="shared" si="20"/>
        <v>1</v>
      </c>
    </row>
    <row r="433" spans="1:13" x14ac:dyDescent="0.25">
      <c r="A433" s="2" t="s">
        <v>272</v>
      </c>
      <c r="B433" s="11" t="s">
        <v>471</v>
      </c>
      <c r="C433" s="11" t="s">
        <v>4</v>
      </c>
      <c r="D433" s="11" t="s">
        <v>472</v>
      </c>
      <c r="E433" s="11" t="s">
        <v>381</v>
      </c>
      <c r="F433" s="11" t="s">
        <v>381</v>
      </c>
      <c r="G433" s="12">
        <v>3</v>
      </c>
      <c r="H433" s="12">
        <v>125</v>
      </c>
      <c r="I433" s="12">
        <v>375</v>
      </c>
      <c r="J433" s="12">
        <v>14190.5</v>
      </c>
      <c r="K433">
        <f t="shared" si="18"/>
        <v>4</v>
      </c>
      <c r="L433">
        <f t="shared" si="19"/>
        <v>1</v>
      </c>
      <c r="M433">
        <f t="shared" si="20"/>
        <v>1</v>
      </c>
    </row>
    <row r="434" spans="1:13" x14ac:dyDescent="0.25">
      <c r="A434" s="2" t="s">
        <v>272</v>
      </c>
      <c r="B434" s="11" t="s">
        <v>471</v>
      </c>
      <c r="C434" s="11" t="s">
        <v>4</v>
      </c>
      <c r="D434" s="11" t="s">
        <v>472</v>
      </c>
      <c r="E434" s="11" t="s">
        <v>333</v>
      </c>
      <c r="F434" s="11" t="s">
        <v>467</v>
      </c>
      <c r="G434" s="12">
        <v>3</v>
      </c>
      <c r="H434" s="12">
        <v>39</v>
      </c>
      <c r="I434" s="12">
        <v>117</v>
      </c>
      <c r="J434" s="12">
        <v>14307.5</v>
      </c>
      <c r="K434">
        <f t="shared" si="18"/>
        <v>5</v>
      </c>
      <c r="L434">
        <f t="shared" si="19"/>
        <v>1</v>
      </c>
      <c r="M434">
        <f t="shared" si="20"/>
        <v>1</v>
      </c>
    </row>
    <row r="435" spans="1:13" x14ac:dyDescent="0.25">
      <c r="A435" s="2" t="s">
        <v>272</v>
      </c>
      <c r="B435" s="11" t="s">
        <v>471</v>
      </c>
      <c r="C435" s="11" t="s">
        <v>4</v>
      </c>
      <c r="D435" s="11" t="s">
        <v>472</v>
      </c>
      <c r="E435" s="11" t="s">
        <v>508</v>
      </c>
      <c r="F435" s="11" t="s">
        <v>509</v>
      </c>
      <c r="G435" s="12">
        <v>3</v>
      </c>
      <c r="H435" s="12">
        <v>27</v>
      </c>
      <c r="I435" s="12">
        <v>81</v>
      </c>
      <c r="J435" s="12">
        <v>14388.5</v>
      </c>
      <c r="K435">
        <f t="shared" si="18"/>
        <v>1</v>
      </c>
      <c r="L435">
        <f t="shared" si="19"/>
        <v>1</v>
      </c>
      <c r="M435">
        <f t="shared" si="20"/>
        <v>1</v>
      </c>
    </row>
    <row r="436" spans="1:13" x14ac:dyDescent="0.25">
      <c r="A436" s="2" t="s">
        <v>272</v>
      </c>
      <c r="B436" s="11" t="s">
        <v>471</v>
      </c>
      <c r="C436" s="11" t="s">
        <v>4</v>
      </c>
      <c r="D436" s="11" t="s">
        <v>472</v>
      </c>
      <c r="E436" s="11" t="s">
        <v>469</v>
      </c>
      <c r="F436" s="11" t="s">
        <v>470</v>
      </c>
      <c r="G436" s="12">
        <v>5</v>
      </c>
      <c r="H436" s="12">
        <v>42</v>
      </c>
      <c r="I436" s="12">
        <v>210</v>
      </c>
      <c r="J436" s="12">
        <v>14598.5</v>
      </c>
      <c r="K436">
        <f t="shared" si="18"/>
        <v>4</v>
      </c>
      <c r="L436">
        <f t="shared" si="19"/>
        <v>1</v>
      </c>
      <c r="M436">
        <f t="shared" si="20"/>
        <v>1</v>
      </c>
    </row>
    <row r="437" spans="1:13" x14ac:dyDescent="0.25">
      <c r="A437" s="2" t="s">
        <v>272</v>
      </c>
      <c r="B437" s="11" t="s">
        <v>471</v>
      </c>
      <c r="C437" s="11" t="s">
        <v>4</v>
      </c>
      <c r="D437" s="11" t="s">
        <v>472</v>
      </c>
      <c r="E437" s="11" t="s">
        <v>35</v>
      </c>
      <c r="F437" s="11" t="s">
        <v>36</v>
      </c>
      <c r="G437" s="12">
        <v>1</v>
      </c>
      <c r="H437" s="12">
        <v>45</v>
      </c>
      <c r="I437" s="12">
        <v>45</v>
      </c>
      <c r="J437" s="12">
        <v>14643.5</v>
      </c>
      <c r="K437">
        <f t="shared" si="18"/>
        <v>5</v>
      </c>
      <c r="L437">
        <f t="shared" si="19"/>
        <v>1</v>
      </c>
      <c r="M437">
        <f t="shared" si="20"/>
        <v>1</v>
      </c>
    </row>
    <row r="438" spans="1:13" x14ac:dyDescent="0.25">
      <c r="A438" s="2" t="s">
        <v>272</v>
      </c>
      <c r="B438" s="11" t="s">
        <v>471</v>
      </c>
      <c r="C438" s="11" t="s">
        <v>4</v>
      </c>
      <c r="D438" s="11" t="s">
        <v>472</v>
      </c>
      <c r="E438" s="11" t="s">
        <v>276</v>
      </c>
      <c r="F438" s="11" t="s">
        <v>277</v>
      </c>
      <c r="G438" s="12">
        <v>2</v>
      </c>
      <c r="H438" s="12">
        <v>33</v>
      </c>
      <c r="I438" s="12">
        <v>66</v>
      </c>
      <c r="J438" s="12">
        <v>14709.5</v>
      </c>
      <c r="K438">
        <f t="shared" si="18"/>
        <v>3</v>
      </c>
      <c r="L438">
        <f t="shared" si="19"/>
        <v>1</v>
      </c>
      <c r="M438">
        <f t="shared" si="20"/>
        <v>1</v>
      </c>
    </row>
    <row r="439" spans="1:13" x14ac:dyDescent="0.25">
      <c r="A439" s="16" t="s">
        <v>272</v>
      </c>
      <c r="B439" s="17" t="s">
        <v>510</v>
      </c>
      <c r="C439" s="17" t="s">
        <v>214</v>
      </c>
      <c r="D439" s="17" t="s">
        <v>5</v>
      </c>
      <c r="E439" s="17" t="s">
        <v>320</v>
      </c>
      <c r="F439" s="17" t="s">
        <v>511</v>
      </c>
      <c r="G439" s="18">
        <v>-1</v>
      </c>
      <c r="H439" s="18">
        <v>24</v>
      </c>
      <c r="I439" s="18">
        <v>-24</v>
      </c>
      <c r="J439" s="18">
        <v>14685.5</v>
      </c>
      <c r="K439" s="19">
        <f t="shared" si="18"/>
        <v>3</v>
      </c>
      <c r="L439" s="19">
        <f t="shared" si="19"/>
        <v>0</v>
      </c>
      <c r="M439">
        <f t="shared" si="20"/>
        <v>1</v>
      </c>
    </row>
    <row r="440" spans="1:13" x14ac:dyDescent="0.25">
      <c r="A440" s="16" t="s">
        <v>272</v>
      </c>
      <c r="B440" s="17" t="s">
        <v>510</v>
      </c>
      <c r="C440" s="17" t="s">
        <v>214</v>
      </c>
      <c r="D440" s="17" t="s">
        <v>5</v>
      </c>
      <c r="E440" s="17" t="s">
        <v>372</v>
      </c>
      <c r="F440" s="17" t="s">
        <v>423</v>
      </c>
      <c r="G440" s="18">
        <v>-1</v>
      </c>
      <c r="H440" s="18">
        <v>39</v>
      </c>
      <c r="I440" s="18">
        <v>-39</v>
      </c>
      <c r="J440" s="18">
        <v>14646.5</v>
      </c>
      <c r="K440" s="19">
        <f t="shared" si="18"/>
        <v>9</v>
      </c>
      <c r="L440" s="19">
        <f t="shared" si="19"/>
        <v>0</v>
      </c>
      <c r="M440">
        <f t="shared" si="20"/>
        <v>1</v>
      </c>
    </row>
    <row r="441" spans="1:13" x14ac:dyDescent="0.25">
      <c r="A441" s="16" t="s">
        <v>272</v>
      </c>
      <c r="B441" s="17" t="s">
        <v>510</v>
      </c>
      <c r="C441" s="17" t="s">
        <v>214</v>
      </c>
      <c r="D441" s="17" t="s">
        <v>5</v>
      </c>
      <c r="E441" s="17" t="s">
        <v>308</v>
      </c>
      <c r="F441" s="17" t="s">
        <v>457</v>
      </c>
      <c r="G441" s="18">
        <v>-4</v>
      </c>
      <c r="H441" s="18">
        <v>3.5</v>
      </c>
      <c r="I441" s="18">
        <v>-14</v>
      </c>
      <c r="J441" s="18">
        <v>14632.5</v>
      </c>
      <c r="K441" s="19">
        <f t="shared" si="18"/>
        <v>7</v>
      </c>
      <c r="L441" s="19">
        <f t="shared" si="19"/>
        <v>0</v>
      </c>
      <c r="M441">
        <f t="shared" si="20"/>
        <v>1</v>
      </c>
    </row>
    <row r="442" spans="1:13" x14ac:dyDescent="0.25">
      <c r="A442" s="2" t="s">
        <v>272</v>
      </c>
      <c r="B442" s="11" t="s">
        <v>510</v>
      </c>
      <c r="C442" s="11" t="s">
        <v>214</v>
      </c>
      <c r="D442" s="11" t="s">
        <v>5</v>
      </c>
      <c r="E442" s="11" t="s">
        <v>372</v>
      </c>
      <c r="F442" s="11" t="s">
        <v>423</v>
      </c>
      <c r="G442" s="12">
        <v>1</v>
      </c>
      <c r="H442" s="12">
        <v>9</v>
      </c>
      <c r="I442" s="12">
        <v>9</v>
      </c>
      <c r="J442" s="12">
        <v>14641.5</v>
      </c>
      <c r="K442">
        <f t="shared" si="18"/>
        <v>9</v>
      </c>
      <c r="L442">
        <f t="shared" si="19"/>
        <v>1</v>
      </c>
      <c r="M442">
        <f t="shared" si="20"/>
        <v>1</v>
      </c>
    </row>
    <row r="443" spans="1:13" hidden="1" x14ac:dyDescent="0.25">
      <c r="A443" s="16" t="s">
        <v>272</v>
      </c>
      <c r="B443" s="17" t="s">
        <v>510</v>
      </c>
      <c r="C443" s="17" t="s">
        <v>214</v>
      </c>
      <c r="D443" s="17" t="s">
        <v>5</v>
      </c>
      <c r="E443" s="17" t="s">
        <v>308</v>
      </c>
      <c r="F443" s="17" t="s">
        <v>457</v>
      </c>
      <c r="G443" s="18">
        <v>4</v>
      </c>
      <c r="H443" s="18">
        <v>-21.5</v>
      </c>
      <c r="I443" s="18">
        <v>-86</v>
      </c>
      <c r="J443" s="18">
        <v>14555.5</v>
      </c>
      <c r="K443" s="19">
        <f t="shared" si="18"/>
        <v>7</v>
      </c>
      <c r="L443" s="19">
        <f t="shared" si="19"/>
        <v>1</v>
      </c>
      <c r="M443">
        <f t="shared" si="20"/>
        <v>0</v>
      </c>
    </row>
    <row r="444" spans="1:13" x14ac:dyDescent="0.25">
      <c r="A444" s="16" t="s">
        <v>272</v>
      </c>
      <c r="B444" s="17" t="s">
        <v>510</v>
      </c>
      <c r="C444" s="17" t="s">
        <v>214</v>
      </c>
      <c r="D444" s="17" t="s">
        <v>5</v>
      </c>
      <c r="E444" s="17" t="s">
        <v>372</v>
      </c>
      <c r="F444" s="17" t="s">
        <v>423</v>
      </c>
      <c r="G444" s="18">
        <v>-1</v>
      </c>
      <c r="H444" s="18">
        <v>9</v>
      </c>
      <c r="I444" s="18">
        <v>-9</v>
      </c>
      <c r="J444" s="18">
        <v>14546.5</v>
      </c>
      <c r="K444" s="19">
        <f t="shared" si="18"/>
        <v>9</v>
      </c>
      <c r="L444" s="19">
        <f t="shared" si="19"/>
        <v>0</v>
      </c>
      <c r="M444">
        <f t="shared" si="20"/>
        <v>1</v>
      </c>
    </row>
    <row r="445" spans="1:13" hidden="1" x14ac:dyDescent="0.25">
      <c r="A445" s="16" t="s">
        <v>272</v>
      </c>
      <c r="B445" s="17" t="s">
        <v>510</v>
      </c>
      <c r="C445" s="17" t="s">
        <v>214</v>
      </c>
      <c r="D445" s="17" t="s">
        <v>5</v>
      </c>
      <c r="E445" s="17" t="s">
        <v>308</v>
      </c>
      <c r="F445" s="17" t="s">
        <v>457</v>
      </c>
      <c r="G445" s="18">
        <v>-4</v>
      </c>
      <c r="H445" s="18">
        <v>-21.5</v>
      </c>
      <c r="I445" s="18">
        <v>86</v>
      </c>
      <c r="J445" s="18">
        <v>14632.5</v>
      </c>
      <c r="K445" s="19">
        <f t="shared" si="18"/>
        <v>7</v>
      </c>
      <c r="L445" s="19">
        <f t="shared" si="19"/>
        <v>0</v>
      </c>
      <c r="M445">
        <f t="shared" si="20"/>
        <v>0</v>
      </c>
    </row>
    <row r="446" spans="1:13" x14ac:dyDescent="0.25">
      <c r="A446" s="2" t="s">
        <v>272</v>
      </c>
      <c r="B446" s="11" t="s">
        <v>512</v>
      </c>
      <c r="C446" s="11" t="s">
        <v>4</v>
      </c>
      <c r="D446" s="11" t="s">
        <v>513</v>
      </c>
      <c r="E446" s="11" t="s">
        <v>366</v>
      </c>
      <c r="F446" s="11" t="s">
        <v>514</v>
      </c>
      <c r="G446" s="12">
        <v>5</v>
      </c>
      <c r="H446" s="12">
        <v>37</v>
      </c>
      <c r="I446" s="12">
        <v>185</v>
      </c>
      <c r="J446" s="12">
        <v>14817.5</v>
      </c>
      <c r="K446">
        <f t="shared" si="18"/>
        <v>8</v>
      </c>
      <c r="L446">
        <f t="shared" si="19"/>
        <v>1</v>
      </c>
      <c r="M446">
        <f t="shared" si="20"/>
        <v>1</v>
      </c>
    </row>
    <row r="447" spans="1:13" x14ac:dyDescent="0.25">
      <c r="A447" s="2" t="s">
        <v>272</v>
      </c>
      <c r="B447" s="11" t="s">
        <v>512</v>
      </c>
      <c r="C447" s="11" t="s">
        <v>4</v>
      </c>
      <c r="D447" s="11" t="s">
        <v>513</v>
      </c>
      <c r="E447" s="11" t="s">
        <v>86</v>
      </c>
      <c r="F447" s="11" t="s">
        <v>87</v>
      </c>
      <c r="G447" s="12">
        <v>9</v>
      </c>
      <c r="H447" s="12">
        <v>17</v>
      </c>
      <c r="I447" s="12">
        <v>153</v>
      </c>
      <c r="J447" s="12">
        <v>14970.5</v>
      </c>
      <c r="K447">
        <f t="shared" si="18"/>
        <v>7</v>
      </c>
      <c r="L447">
        <f t="shared" si="19"/>
        <v>1</v>
      </c>
      <c r="M447">
        <f t="shared" si="20"/>
        <v>1</v>
      </c>
    </row>
    <row r="448" spans="1:13" x14ac:dyDescent="0.25">
      <c r="A448" s="2" t="s">
        <v>272</v>
      </c>
      <c r="B448" s="11" t="s">
        <v>512</v>
      </c>
      <c r="C448" s="11" t="s">
        <v>4</v>
      </c>
      <c r="D448" s="11" t="s">
        <v>513</v>
      </c>
      <c r="E448" s="11" t="s">
        <v>88</v>
      </c>
      <c r="F448" s="11" t="s">
        <v>89</v>
      </c>
      <c r="G448" s="12">
        <v>4</v>
      </c>
      <c r="H448" s="12">
        <v>17</v>
      </c>
      <c r="I448" s="12">
        <v>68</v>
      </c>
      <c r="J448" s="12">
        <v>15038.5</v>
      </c>
      <c r="K448">
        <f t="shared" si="18"/>
        <v>5</v>
      </c>
      <c r="L448">
        <f t="shared" si="19"/>
        <v>1</v>
      </c>
      <c r="M448">
        <f t="shared" si="20"/>
        <v>1</v>
      </c>
    </row>
    <row r="449" spans="1:13" x14ac:dyDescent="0.25">
      <c r="A449" s="2" t="s">
        <v>272</v>
      </c>
      <c r="B449" s="11" t="s">
        <v>512</v>
      </c>
      <c r="C449" s="11" t="s">
        <v>4</v>
      </c>
      <c r="D449" s="11" t="s">
        <v>513</v>
      </c>
      <c r="E449" s="11" t="s">
        <v>90</v>
      </c>
      <c r="F449" s="11" t="s">
        <v>91</v>
      </c>
      <c r="G449" s="12">
        <v>6</v>
      </c>
      <c r="H449" s="12">
        <v>17</v>
      </c>
      <c r="I449" s="12">
        <v>102</v>
      </c>
      <c r="J449" s="12">
        <v>15140.5</v>
      </c>
      <c r="K449">
        <f t="shared" si="18"/>
        <v>5</v>
      </c>
      <c r="L449">
        <f t="shared" si="19"/>
        <v>1</v>
      </c>
      <c r="M449">
        <f t="shared" si="20"/>
        <v>1</v>
      </c>
    </row>
    <row r="450" spans="1:13" x14ac:dyDescent="0.25">
      <c r="A450" s="2" t="s">
        <v>272</v>
      </c>
      <c r="B450" s="11" t="s">
        <v>512</v>
      </c>
      <c r="C450" s="11" t="s">
        <v>4</v>
      </c>
      <c r="D450" s="11" t="s">
        <v>513</v>
      </c>
      <c r="E450" s="11" t="s">
        <v>496</v>
      </c>
      <c r="F450" s="11" t="s">
        <v>515</v>
      </c>
      <c r="G450" s="12">
        <v>5</v>
      </c>
      <c r="H450" s="12">
        <v>22</v>
      </c>
      <c r="I450" s="12">
        <v>110</v>
      </c>
      <c r="J450" s="12">
        <v>15250.5</v>
      </c>
      <c r="K450">
        <f t="shared" si="18"/>
        <v>5</v>
      </c>
      <c r="L450">
        <f t="shared" si="19"/>
        <v>1</v>
      </c>
      <c r="M450">
        <f t="shared" si="20"/>
        <v>1</v>
      </c>
    </row>
    <row r="451" spans="1:13" x14ac:dyDescent="0.25">
      <c r="A451" s="2" t="s">
        <v>272</v>
      </c>
      <c r="B451" s="11" t="s">
        <v>512</v>
      </c>
      <c r="C451" s="11" t="s">
        <v>4</v>
      </c>
      <c r="D451" s="11" t="s">
        <v>513</v>
      </c>
      <c r="E451" s="11" t="s">
        <v>276</v>
      </c>
      <c r="F451" s="11" t="s">
        <v>277</v>
      </c>
      <c r="G451" s="12">
        <v>1</v>
      </c>
      <c r="H451" s="12">
        <v>33</v>
      </c>
      <c r="I451" s="12">
        <v>33</v>
      </c>
      <c r="J451" s="12">
        <v>15283.5</v>
      </c>
      <c r="K451">
        <f t="shared" ref="K451:K514" si="21">COUNTIF($E$2:$E$1466,E451)</f>
        <v>3</v>
      </c>
      <c r="L451">
        <f t="shared" ref="L451:L514" si="22">IF(G451&gt;0,1,0)</f>
        <v>1</v>
      </c>
      <c r="M451">
        <f t="shared" ref="M451:M514" si="23">IF(H451&gt;0,1,0)</f>
        <v>1</v>
      </c>
    </row>
    <row r="452" spans="1:13" x14ac:dyDescent="0.25">
      <c r="A452" s="2" t="s">
        <v>272</v>
      </c>
      <c r="B452" s="11" t="s">
        <v>512</v>
      </c>
      <c r="C452" s="11" t="s">
        <v>4</v>
      </c>
      <c r="D452" s="11" t="s">
        <v>513</v>
      </c>
      <c r="E452" s="11" t="s">
        <v>380</v>
      </c>
      <c r="F452" s="11" t="s">
        <v>516</v>
      </c>
      <c r="G452" s="12">
        <v>2</v>
      </c>
      <c r="H452" s="12">
        <v>61</v>
      </c>
      <c r="I452" s="12">
        <v>122</v>
      </c>
      <c r="J452" s="12">
        <v>15405.5</v>
      </c>
      <c r="K452">
        <f t="shared" si="21"/>
        <v>5</v>
      </c>
      <c r="L452">
        <f t="shared" si="22"/>
        <v>1</v>
      </c>
      <c r="M452">
        <f t="shared" si="23"/>
        <v>1</v>
      </c>
    </row>
    <row r="453" spans="1:13" x14ac:dyDescent="0.25">
      <c r="A453" s="2" t="s">
        <v>272</v>
      </c>
      <c r="B453" s="11" t="s">
        <v>512</v>
      </c>
      <c r="C453" s="11" t="s">
        <v>4</v>
      </c>
      <c r="D453" s="11" t="s">
        <v>513</v>
      </c>
      <c r="E453" s="11" t="s">
        <v>494</v>
      </c>
      <c r="F453" s="11" t="s">
        <v>517</v>
      </c>
      <c r="G453" s="12">
        <v>72</v>
      </c>
      <c r="H453" s="12">
        <v>5.5</v>
      </c>
      <c r="I453" s="12">
        <v>396</v>
      </c>
      <c r="J453" s="12">
        <v>15801.5</v>
      </c>
      <c r="K453">
        <f t="shared" si="21"/>
        <v>4</v>
      </c>
      <c r="L453">
        <f t="shared" si="22"/>
        <v>1</v>
      </c>
      <c r="M453">
        <f t="shared" si="23"/>
        <v>1</v>
      </c>
    </row>
    <row r="454" spans="1:13" x14ac:dyDescent="0.25">
      <c r="A454" s="2" t="s">
        <v>272</v>
      </c>
      <c r="B454" s="11" t="s">
        <v>512</v>
      </c>
      <c r="C454" s="11" t="s">
        <v>4</v>
      </c>
      <c r="D454" s="11" t="s">
        <v>513</v>
      </c>
      <c r="E454" s="11" t="s">
        <v>473</v>
      </c>
      <c r="F454" s="11" t="s">
        <v>474</v>
      </c>
      <c r="G454" s="12">
        <v>4</v>
      </c>
      <c r="H454" s="12">
        <v>70.5</v>
      </c>
      <c r="I454" s="12">
        <v>282</v>
      </c>
      <c r="J454" s="12">
        <v>16083.5</v>
      </c>
      <c r="K454">
        <f t="shared" si="21"/>
        <v>4</v>
      </c>
      <c r="L454">
        <f t="shared" si="22"/>
        <v>1</v>
      </c>
      <c r="M454">
        <f t="shared" si="23"/>
        <v>1</v>
      </c>
    </row>
    <row r="455" spans="1:13" x14ac:dyDescent="0.25">
      <c r="A455" s="2" t="s">
        <v>272</v>
      </c>
      <c r="B455" s="11" t="s">
        <v>512</v>
      </c>
      <c r="C455" s="11" t="s">
        <v>4</v>
      </c>
      <c r="D455" s="11" t="s">
        <v>513</v>
      </c>
      <c r="E455" s="11" t="s">
        <v>390</v>
      </c>
      <c r="F455" s="11" t="s">
        <v>518</v>
      </c>
      <c r="G455" s="12">
        <v>10</v>
      </c>
      <c r="H455" s="12">
        <v>43</v>
      </c>
      <c r="I455" s="12">
        <v>430</v>
      </c>
      <c r="J455" s="12">
        <v>16513.5</v>
      </c>
      <c r="K455">
        <f t="shared" si="21"/>
        <v>5</v>
      </c>
      <c r="L455">
        <f t="shared" si="22"/>
        <v>1</v>
      </c>
      <c r="M455">
        <f t="shared" si="23"/>
        <v>1</v>
      </c>
    </row>
    <row r="456" spans="1:13" x14ac:dyDescent="0.25">
      <c r="A456" s="2" t="s">
        <v>272</v>
      </c>
      <c r="B456" s="11" t="s">
        <v>512</v>
      </c>
      <c r="C456" s="11" t="s">
        <v>4</v>
      </c>
      <c r="D456" s="11" t="s">
        <v>513</v>
      </c>
      <c r="E456" s="11" t="s">
        <v>294</v>
      </c>
      <c r="F456" s="11" t="s">
        <v>295</v>
      </c>
      <c r="G456" s="12">
        <v>2</v>
      </c>
      <c r="H456" s="12">
        <v>36</v>
      </c>
      <c r="I456" s="12">
        <v>72</v>
      </c>
      <c r="J456" s="12">
        <v>16585.5</v>
      </c>
      <c r="K456">
        <f t="shared" si="21"/>
        <v>4</v>
      </c>
      <c r="L456">
        <f t="shared" si="22"/>
        <v>1</v>
      </c>
      <c r="M456">
        <f t="shared" si="23"/>
        <v>1</v>
      </c>
    </row>
    <row r="457" spans="1:13" x14ac:dyDescent="0.25">
      <c r="A457" s="2" t="s">
        <v>272</v>
      </c>
      <c r="B457" s="11" t="s">
        <v>512</v>
      </c>
      <c r="C457" s="11" t="s">
        <v>4</v>
      </c>
      <c r="D457" s="11" t="s">
        <v>513</v>
      </c>
      <c r="E457" s="11" t="s">
        <v>298</v>
      </c>
      <c r="F457" s="11" t="s">
        <v>454</v>
      </c>
      <c r="G457" s="12">
        <v>2</v>
      </c>
      <c r="H457" s="12">
        <v>19</v>
      </c>
      <c r="I457" s="12">
        <v>38</v>
      </c>
      <c r="J457" s="12">
        <v>16623.5</v>
      </c>
      <c r="K457">
        <f t="shared" si="21"/>
        <v>8</v>
      </c>
      <c r="L457">
        <f t="shared" si="22"/>
        <v>1</v>
      </c>
      <c r="M457">
        <f t="shared" si="23"/>
        <v>1</v>
      </c>
    </row>
    <row r="458" spans="1:13" x14ac:dyDescent="0.25">
      <c r="A458" s="2" t="s">
        <v>272</v>
      </c>
      <c r="B458" s="11" t="s">
        <v>512</v>
      </c>
      <c r="C458" s="11" t="s">
        <v>4</v>
      </c>
      <c r="D458" s="11" t="s">
        <v>513</v>
      </c>
      <c r="E458" s="11" t="s">
        <v>487</v>
      </c>
      <c r="F458" s="11" t="s">
        <v>519</v>
      </c>
      <c r="G458" s="12">
        <v>2</v>
      </c>
      <c r="H458" s="12">
        <v>22</v>
      </c>
      <c r="I458" s="12">
        <v>44</v>
      </c>
      <c r="J458" s="12">
        <v>16667.5</v>
      </c>
      <c r="K458">
        <f t="shared" si="21"/>
        <v>2</v>
      </c>
      <c r="L458">
        <f t="shared" si="22"/>
        <v>1</v>
      </c>
      <c r="M458">
        <f t="shared" si="23"/>
        <v>1</v>
      </c>
    </row>
    <row r="459" spans="1:13" x14ac:dyDescent="0.25">
      <c r="A459" s="2" t="s">
        <v>272</v>
      </c>
      <c r="B459" s="11" t="s">
        <v>512</v>
      </c>
      <c r="C459" s="11" t="s">
        <v>4</v>
      </c>
      <c r="D459" s="11" t="s">
        <v>513</v>
      </c>
      <c r="E459" s="11" t="s">
        <v>300</v>
      </c>
      <c r="F459" s="11" t="s">
        <v>455</v>
      </c>
      <c r="G459" s="12">
        <v>2</v>
      </c>
      <c r="H459" s="12">
        <v>21</v>
      </c>
      <c r="I459" s="12">
        <v>42</v>
      </c>
      <c r="J459" s="12">
        <v>16709.5</v>
      </c>
      <c r="K459">
        <f t="shared" si="21"/>
        <v>5</v>
      </c>
      <c r="L459">
        <f t="shared" si="22"/>
        <v>1</v>
      </c>
      <c r="M459">
        <f t="shared" si="23"/>
        <v>1</v>
      </c>
    </row>
    <row r="460" spans="1:13" x14ac:dyDescent="0.25">
      <c r="A460" s="2" t="s">
        <v>272</v>
      </c>
      <c r="B460" s="11" t="s">
        <v>512</v>
      </c>
      <c r="C460" s="11" t="s">
        <v>4</v>
      </c>
      <c r="D460" s="11" t="s">
        <v>513</v>
      </c>
      <c r="E460" s="11" t="s">
        <v>302</v>
      </c>
      <c r="F460" s="11" t="s">
        <v>456</v>
      </c>
      <c r="G460" s="12">
        <v>2</v>
      </c>
      <c r="H460" s="12">
        <v>30</v>
      </c>
      <c r="I460" s="12">
        <v>60</v>
      </c>
      <c r="J460" s="12">
        <v>16769.5</v>
      </c>
      <c r="K460">
        <f t="shared" si="21"/>
        <v>6</v>
      </c>
      <c r="L460">
        <f t="shared" si="22"/>
        <v>1</v>
      </c>
      <c r="M460">
        <f t="shared" si="23"/>
        <v>1</v>
      </c>
    </row>
    <row r="461" spans="1:13" x14ac:dyDescent="0.25">
      <c r="A461" s="2" t="s">
        <v>272</v>
      </c>
      <c r="B461" s="11" t="s">
        <v>512</v>
      </c>
      <c r="C461" s="11" t="s">
        <v>4</v>
      </c>
      <c r="D461" s="11" t="s">
        <v>513</v>
      </c>
      <c r="E461" s="11" t="s">
        <v>304</v>
      </c>
      <c r="F461" s="11" t="s">
        <v>486</v>
      </c>
      <c r="G461" s="12">
        <v>1</v>
      </c>
      <c r="H461" s="12">
        <v>14</v>
      </c>
      <c r="I461" s="12">
        <v>14</v>
      </c>
      <c r="J461" s="12">
        <v>16783.5</v>
      </c>
      <c r="K461">
        <f t="shared" si="21"/>
        <v>4</v>
      </c>
      <c r="L461">
        <f t="shared" si="22"/>
        <v>1</v>
      </c>
      <c r="M461">
        <f t="shared" si="23"/>
        <v>1</v>
      </c>
    </row>
    <row r="462" spans="1:13" x14ac:dyDescent="0.25">
      <c r="A462" s="2" t="s">
        <v>272</v>
      </c>
      <c r="B462" s="11" t="s">
        <v>512</v>
      </c>
      <c r="C462" s="11" t="s">
        <v>4</v>
      </c>
      <c r="D462" s="11" t="s">
        <v>513</v>
      </c>
      <c r="E462" s="11" t="s">
        <v>310</v>
      </c>
      <c r="F462" s="11" t="s">
        <v>520</v>
      </c>
      <c r="G462" s="12">
        <v>2</v>
      </c>
      <c r="H462" s="12">
        <v>24</v>
      </c>
      <c r="I462" s="12">
        <v>48</v>
      </c>
      <c r="J462" s="12">
        <v>16831.5</v>
      </c>
      <c r="K462">
        <f t="shared" si="21"/>
        <v>4</v>
      </c>
      <c r="L462">
        <f t="shared" si="22"/>
        <v>1</v>
      </c>
      <c r="M462">
        <f t="shared" si="23"/>
        <v>1</v>
      </c>
    </row>
    <row r="463" spans="1:13" x14ac:dyDescent="0.25">
      <c r="A463" s="2" t="s">
        <v>272</v>
      </c>
      <c r="B463" s="11" t="s">
        <v>512</v>
      </c>
      <c r="C463" s="11" t="s">
        <v>4</v>
      </c>
      <c r="D463" s="11" t="s">
        <v>513</v>
      </c>
      <c r="E463" s="11" t="s">
        <v>312</v>
      </c>
      <c r="F463" s="11" t="s">
        <v>489</v>
      </c>
      <c r="G463" s="12">
        <v>2</v>
      </c>
      <c r="H463" s="12">
        <v>26</v>
      </c>
      <c r="I463" s="12">
        <v>52</v>
      </c>
      <c r="J463" s="12">
        <v>16883.5</v>
      </c>
      <c r="K463">
        <f t="shared" si="21"/>
        <v>5</v>
      </c>
      <c r="L463">
        <f t="shared" si="22"/>
        <v>1</v>
      </c>
      <c r="M463">
        <f t="shared" si="23"/>
        <v>1</v>
      </c>
    </row>
    <row r="464" spans="1:13" x14ac:dyDescent="0.25">
      <c r="A464" s="2" t="s">
        <v>272</v>
      </c>
      <c r="B464" s="11" t="s">
        <v>512</v>
      </c>
      <c r="C464" s="11" t="s">
        <v>4</v>
      </c>
      <c r="D464" s="11" t="s">
        <v>513</v>
      </c>
      <c r="E464" s="11" t="s">
        <v>490</v>
      </c>
      <c r="F464" s="11" t="s">
        <v>521</v>
      </c>
      <c r="G464" s="12">
        <v>2</v>
      </c>
      <c r="H464" s="12">
        <v>18</v>
      </c>
      <c r="I464" s="12">
        <v>36</v>
      </c>
      <c r="J464" s="12">
        <v>16919.5</v>
      </c>
      <c r="K464">
        <f t="shared" si="21"/>
        <v>4</v>
      </c>
      <c r="L464">
        <f t="shared" si="22"/>
        <v>1</v>
      </c>
      <c r="M464">
        <f t="shared" si="23"/>
        <v>1</v>
      </c>
    </row>
    <row r="465" spans="1:13" x14ac:dyDescent="0.25">
      <c r="A465" s="2" t="s">
        <v>272</v>
      </c>
      <c r="B465" s="11" t="s">
        <v>512</v>
      </c>
      <c r="C465" s="11" t="s">
        <v>4</v>
      </c>
      <c r="D465" s="11" t="s">
        <v>513</v>
      </c>
      <c r="E465" s="11" t="s">
        <v>522</v>
      </c>
      <c r="F465" s="11" t="s">
        <v>523</v>
      </c>
      <c r="G465" s="12">
        <v>1</v>
      </c>
      <c r="H465" s="12">
        <v>48</v>
      </c>
      <c r="I465" s="12">
        <v>48</v>
      </c>
      <c r="J465" s="12">
        <v>16967.5</v>
      </c>
      <c r="K465">
        <f t="shared" si="21"/>
        <v>1</v>
      </c>
      <c r="L465">
        <f t="shared" si="22"/>
        <v>1</v>
      </c>
      <c r="M465">
        <f t="shared" si="23"/>
        <v>1</v>
      </c>
    </row>
    <row r="466" spans="1:13" x14ac:dyDescent="0.25">
      <c r="A466" s="2" t="s">
        <v>272</v>
      </c>
      <c r="B466" s="11" t="s">
        <v>512</v>
      </c>
      <c r="C466" s="11" t="s">
        <v>4</v>
      </c>
      <c r="D466" s="11" t="s">
        <v>513</v>
      </c>
      <c r="E466" s="11" t="s">
        <v>282</v>
      </c>
      <c r="F466" s="11" t="s">
        <v>524</v>
      </c>
      <c r="G466" s="12">
        <v>1</v>
      </c>
      <c r="H466" s="12">
        <v>66</v>
      </c>
      <c r="I466" s="12">
        <v>66</v>
      </c>
      <c r="J466" s="12">
        <v>17033.5</v>
      </c>
      <c r="K466">
        <f t="shared" si="21"/>
        <v>5</v>
      </c>
      <c r="L466">
        <f t="shared" si="22"/>
        <v>1</v>
      </c>
      <c r="M466">
        <f t="shared" si="23"/>
        <v>1</v>
      </c>
    </row>
    <row r="467" spans="1:13" x14ac:dyDescent="0.25">
      <c r="A467" s="2" t="s">
        <v>272</v>
      </c>
      <c r="B467" s="11" t="s">
        <v>512</v>
      </c>
      <c r="C467" s="11" t="s">
        <v>4</v>
      </c>
      <c r="D467" s="11" t="s">
        <v>513</v>
      </c>
      <c r="E467" s="11" t="s">
        <v>475</v>
      </c>
      <c r="F467" s="11" t="s">
        <v>525</v>
      </c>
      <c r="G467" s="12">
        <v>2</v>
      </c>
      <c r="H467" s="12">
        <v>42</v>
      </c>
      <c r="I467" s="12">
        <v>84</v>
      </c>
      <c r="J467" s="12">
        <v>17117.5</v>
      </c>
      <c r="K467">
        <f t="shared" si="21"/>
        <v>2</v>
      </c>
      <c r="L467">
        <f t="shared" si="22"/>
        <v>1</v>
      </c>
      <c r="M467">
        <f t="shared" si="23"/>
        <v>1</v>
      </c>
    </row>
    <row r="468" spans="1:13" x14ac:dyDescent="0.25">
      <c r="A468" s="2" t="s">
        <v>272</v>
      </c>
      <c r="B468" s="11" t="s">
        <v>512</v>
      </c>
      <c r="C468" s="11" t="s">
        <v>4</v>
      </c>
      <c r="D468" s="11" t="s">
        <v>513</v>
      </c>
      <c r="E468" s="11" t="s">
        <v>526</v>
      </c>
      <c r="F468" s="11" t="s">
        <v>527</v>
      </c>
      <c r="G468" s="12">
        <v>2</v>
      </c>
      <c r="H468" s="12">
        <v>39</v>
      </c>
      <c r="I468" s="12">
        <v>78</v>
      </c>
      <c r="J468" s="12">
        <v>17195.5</v>
      </c>
      <c r="K468">
        <f t="shared" si="21"/>
        <v>1</v>
      </c>
      <c r="L468">
        <f t="shared" si="22"/>
        <v>1</v>
      </c>
      <c r="M468">
        <f t="shared" si="23"/>
        <v>1</v>
      </c>
    </row>
    <row r="469" spans="1:13" x14ac:dyDescent="0.25">
      <c r="A469" s="2" t="s">
        <v>272</v>
      </c>
      <c r="B469" s="11" t="s">
        <v>512</v>
      </c>
      <c r="C469" s="11" t="s">
        <v>4</v>
      </c>
      <c r="D469" s="11" t="s">
        <v>513</v>
      </c>
      <c r="E469" s="11" t="s">
        <v>286</v>
      </c>
      <c r="F469" s="11" t="s">
        <v>528</v>
      </c>
      <c r="G469" s="12">
        <v>2</v>
      </c>
      <c r="H469" s="12">
        <v>49.5</v>
      </c>
      <c r="I469" s="12">
        <v>99</v>
      </c>
      <c r="J469" s="12">
        <v>17294.5</v>
      </c>
      <c r="K469">
        <f t="shared" si="21"/>
        <v>4</v>
      </c>
      <c r="L469">
        <f t="shared" si="22"/>
        <v>1</v>
      </c>
      <c r="M469">
        <f t="shared" si="23"/>
        <v>1</v>
      </c>
    </row>
    <row r="470" spans="1:13" x14ac:dyDescent="0.25">
      <c r="A470" s="2" t="s">
        <v>272</v>
      </c>
      <c r="B470" s="11" t="s">
        <v>512</v>
      </c>
      <c r="C470" s="11" t="s">
        <v>4</v>
      </c>
      <c r="D470" s="11" t="s">
        <v>513</v>
      </c>
      <c r="E470" s="11" t="s">
        <v>477</v>
      </c>
      <c r="F470" s="11" t="s">
        <v>529</v>
      </c>
      <c r="G470" s="12">
        <v>2</v>
      </c>
      <c r="H470" s="12">
        <v>39</v>
      </c>
      <c r="I470" s="12">
        <v>78</v>
      </c>
      <c r="J470" s="12">
        <v>17372.5</v>
      </c>
      <c r="K470">
        <f t="shared" si="21"/>
        <v>2</v>
      </c>
      <c r="L470">
        <f t="shared" si="22"/>
        <v>1</v>
      </c>
      <c r="M470">
        <f t="shared" si="23"/>
        <v>1</v>
      </c>
    </row>
    <row r="471" spans="1:13" x14ac:dyDescent="0.25">
      <c r="A471" s="2" t="s">
        <v>272</v>
      </c>
      <c r="B471" s="11" t="s">
        <v>512</v>
      </c>
      <c r="C471" s="11" t="s">
        <v>4</v>
      </c>
      <c r="D471" s="11" t="s">
        <v>513</v>
      </c>
      <c r="E471" s="11" t="s">
        <v>530</v>
      </c>
      <c r="F471" s="11" t="s">
        <v>531</v>
      </c>
      <c r="G471" s="12">
        <v>2</v>
      </c>
      <c r="H471" s="12">
        <v>57</v>
      </c>
      <c r="I471" s="12">
        <v>114</v>
      </c>
      <c r="J471" s="12">
        <v>17486.5</v>
      </c>
      <c r="K471">
        <f t="shared" si="21"/>
        <v>1</v>
      </c>
      <c r="L471">
        <f t="shared" si="22"/>
        <v>1</v>
      </c>
      <c r="M471">
        <f t="shared" si="23"/>
        <v>1</v>
      </c>
    </row>
    <row r="472" spans="1:13" x14ac:dyDescent="0.25">
      <c r="A472" s="2" t="s">
        <v>272</v>
      </c>
      <c r="B472" s="11" t="s">
        <v>512</v>
      </c>
      <c r="C472" s="11" t="s">
        <v>4</v>
      </c>
      <c r="D472" s="11" t="s">
        <v>513</v>
      </c>
      <c r="E472" s="11" t="s">
        <v>532</v>
      </c>
      <c r="F472" s="11" t="s">
        <v>533</v>
      </c>
      <c r="G472" s="12">
        <v>2</v>
      </c>
      <c r="H472" s="12">
        <v>39</v>
      </c>
      <c r="I472" s="12">
        <v>78</v>
      </c>
      <c r="J472" s="12">
        <v>17564.5</v>
      </c>
      <c r="K472">
        <f t="shared" si="21"/>
        <v>1</v>
      </c>
      <c r="L472">
        <f t="shared" si="22"/>
        <v>1</v>
      </c>
      <c r="M472">
        <f t="shared" si="23"/>
        <v>1</v>
      </c>
    </row>
    <row r="473" spans="1:13" x14ac:dyDescent="0.25">
      <c r="A473" s="2" t="s">
        <v>272</v>
      </c>
      <c r="B473" s="11" t="s">
        <v>512</v>
      </c>
      <c r="C473" s="11" t="s">
        <v>4</v>
      </c>
      <c r="D473" s="11" t="s">
        <v>513</v>
      </c>
      <c r="E473" s="11" t="s">
        <v>479</v>
      </c>
      <c r="F473" s="11" t="s">
        <v>534</v>
      </c>
      <c r="G473" s="12">
        <v>2</v>
      </c>
      <c r="H473" s="12">
        <v>49.5</v>
      </c>
      <c r="I473" s="12">
        <v>99</v>
      </c>
      <c r="J473" s="12">
        <v>17663.5</v>
      </c>
      <c r="K473">
        <f t="shared" si="21"/>
        <v>2</v>
      </c>
      <c r="L473">
        <f t="shared" si="22"/>
        <v>1</v>
      </c>
      <c r="M473">
        <f t="shared" si="23"/>
        <v>1</v>
      </c>
    </row>
    <row r="474" spans="1:13" x14ac:dyDescent="0.25">
      <c r="A474" s="2" t="s">
        <v>272</v>
      </c>
      <c r="B474" s="11" t="s">
        <v>512</v>
      </c>
      <c r="C474" s="11" t="s">
        <v>4</v>
      </c>
      <c r="D474" s="11" t="s">
        <v>513</v>
      </c>
      <c r="E474" s="11" t="s">
        <v>481</v>
      </c>
      <c r="F474" s="11" t="s">
        <v>535</v>
      </c>
      <c r="G474" s="12">
        <v>2</v>
      </c>
      <c r="H474" s="12">
        <v>39</v>
      </c>
      <c r="I474" s="12">
        <v>78</v>
      </c>
      <c r="J474" s="12">
        <v>17741.5</v>
      </c>
      <c r="K474">
        <f t="shared" si="21"/>
        <v>2</v>
      </c>
      <c r="L474">
        <f t="shared" si="22"/>
        <v>1</v>
      </c>
      <c r="M474">
        <f t="shared" si="23"/>
        <v>1</v>
      </c>
    </row>
    <row r="475" spans="1:13" x14ac:dyDescent="0.25">
      <c r="A475" s="2" t="s">
        <v>272</v>
      </c>
      <c r="B475" s="11" t="s">
        <v>512</v>
      </c>
      <c r="C475" s="11" t="s">
        <v>4</v>
      </c>
      <c r="D475" s="11" t="s">
        <v>513</v>
      </c>
      <c r="E475" s="11" t="s">
        <v>483</v>
      </c>
      <c r="F475" s="11" t="s">
        <v>536</v>
      </c>
      <c r="G475" s="12">
        <v>2</v>
      </c>
      <c r="H475" s="12">
        <v>60</v>
      </c>
      <c r="I475" s="12">
        <v>120</v>
      </c>
      <c r="J475" s="12">
        <v>17861.5</v>
      </c>
      <c r="K475">
        <f t="shared" si="21"/>
        <v>2</v>
      </c>
      <c r="L475">
        <f t="shared" si="22"/>
        <v>1</v>
      </c>
      <c r="M475">
        <f t="shared" si="23"/>
        <v>1</v>
      </c>
    </row>
    <row r="476" spans="1:13" x14ac:dyDescent="0.25">
      <c r="A476" s="2" t="s">
        <v>272</v>
      </c>
      <c r="B476" s="11" t="s">
        <v>512</v>
      </c>
      <c r="C476" s="11" t="s">
        <v>4</v>
      </c>
      <c r="D476" s="11" t="s">
        <v>513</v>
      </c>
      <c r="E476" s="11" t="s">
        <v>537</v>
      </c>
      <c r="F476" s="11" t="s">
        <v>538</v>
      </c>
      <c r="G476" s="12">
        <v>2</v>
      </c>
      <c r="H476" s="12">
        <v>42</v>
      </c>
      <c r="I476" s="12">
        <v>84</v>
      </c>
      <c r="J476" s="12">
        <v>17945.5</v>
      </c>
      <c r="K476">
        <f t="shared" si="21"/>
        <v>1</v>
      </c>
      <c r="L476">
        <f t="shared" si="22"/>
        <v>1</v>
      </c>
      <c r="M476">
        <f t="shared" si="23"/>
        <v>1</v>
      </c>
    </row>
    <row r="477" spans="1:13" x14ac:dyDescent="0.25">
      <c r="A477" s="2" t="s">
        <v>272</v>
      </c>
      <c r="B477" s="11" t="s">
        <v>512</v>
      </c>
      <c r="C477" s="11" t="s">
        <v>4</v>
      </c>
      <c r="D477" s="11" t="s">
        <v>513</v>
      </c>
      <c r="E477" s="11" t="s">
        <v>412</v>
      </c>
      <c r="F477" s="11" t="s">
        <v>413</v>
      </c>
      <c r="G477" s="12">
        <v>2</v>
      </c>
      <c r="H477" s="12">
        <v>39</v>
      </c>
      <c r="I477" s="12">
        <v>78</v>
      </c>
      <c r="J477" s="12">
        <v>18023.5</v>
      </c>
      <c r="K477">
        <f t="shared" si="21"/>
        <v>2</v>
      </c>
      <c r="L477">
        <f t="shared" si="22"/>
        <v>1</v>
      </c>
      <c r="M477">
        <f t="shared" si="23"/>
        <v>1</v>
      </c>
    </row>
    <row r="478" spans="1:13" x14ac:dyDescent="0.25">
      <c r="A478" s="2" t="s">
        <v>272</v>
      </c>
      <c r="B478" s="11" t="s">
        <v>512</v>
      </c>
      <c r="C478" s="11" t="s">
        <v>4</v>
      </c>
      <c r="D478" s="11" t="s">
        <v>513</v>
      </c>
      <c r="E478" s="11" t="s">
        <v>539</v>
      </c>
      <c r="F478" s="11" t="s">
        <v>540</v>
      </c>
      <c r="G478" s="12">
        <v>2</v>
      </c>
      <c r="H478" s="12">
        <v>39</v>
      </c>
      <c r="I478" s="12">
        <v>78</v>
      </c>
      <c r="J478" s="12">
        <v>18101.5</v>
      </c>
      <c r="K478">
        <f t="shared" si="21"/>
        <v>1</v>
      </c>
      <c r="L478">
        <f t="shared" si="22"/>
        <v>1</v>
      </c>
      <c r="M478">
        <f t="shared" si="23"/>
        <v>1</v>
      </c>
    </row>
    <row r="479" spans="1:13" x14ac:dyDescent="0.25">
      <c r="A479" s="2" t="s">
        <v>272</v>
      </c>
      <c r="B479" s="11" t="s">
        <v>512</v>
      </c>
      <c r="C479" s="11" t="s">
        <v>4</v>
      </c>
      <c r="D479" s="11" t="s">
        <v>513</v>
      </c>
      <c r="E479" s="11" t="s">
        <v>541</v>
      </c>
      <c r="F479" s="11" t="s">
        <v>542</v>
      </c>
      <c r="G479" s="12">
        <v>2</v>
      </c>
      <c r="H479" s="12">
        <v>46</v>
      </c>
      <c r="I479" s="12">
        <v>92</v>
      </c>
      <c r="J479" s="12">
        <v>18193.5</v>
      </c>
      <c r="K479">
        <f t="shared" si="21"/>
        <v>1</v>
      </c>
      <c r="L479">
        <f t="shared" si="22"/>
        <v>1</v>
      </c>
      <c r="M479">
        <f t="shared" si="23"/>
        <v>1</v>
      </c>
    </row>
    <row r="480" spans="1:13" x14ac:dyDescent="0.25">
      <c r="A480" s="2" t="s">
        <v>272</v>
      </c>
      <c r="B480" s="11" t="s">
        <v>512</v>
      </c>
      <c r="C480" s="11" t="s">
        <v>4</v>
      </c>
      <c r="D480" s="11" t="s">
        <v>513</v>
      </c>
      <c r="E480" s="11" t="s">
        <v>284</v>
      </c>
      <c r="F480" s="11" t="s">
        <v>543</v>
      </c>
      <c r="G480" s="12">
        <v>2</v>
      </c>
      <c r="H480" s="12">
        <v>39</v>
      </c>
      <c r="I480" s="12">
        <v>78</v>
      </c>
      <c r="J480" s="12">
        <v>18271.5</v>
      </c>
      <c r="K480">
        <f t="shared" si="21"/>
        <v>4</v>
      </c>
      <c r="L480">
        <f t="shared" si="22"/>
        <v>1</v>
      </c>
      <c r="M480">
        <f t="shared" si="23"/>
        <v>1</v>
      </c>
    </row>
    <row r="481" spans="1:13" x14ac:dyDescent="0.25">
      <c r="A481" s="2" t="s">
        <v>272</v>
      </c>
      <c r="B481" s="11" t="s">
        <v>512</v>
      </c>
      <c r="C481" s="11" t="s">
        <v>4</v>
      </c>
      <c r="D481" s="11" t="s">
        <v>513</v>
      </c>
      <c r="E481" s="11" t="s">
        <v>416</v>
      </c>
      <c r="F481" s="11" t="s">
        <v>485</v>
      </c>
      <c r="G481" s="12">
        <v>1</v>
      </c>
      <c r="H481" s="12">
        <v>55</v>
      </c>
      <c r="I481" s="12">
        <v>55</v>
      </c>
      <c r="J481" s="12">
        <v>18326.5</v>
      </c>
      <c r="K481">
        <f t="shared" si="21"/>
        <v>4</v>
      </c>
      <c r="L481">
        <f t="shared" si="22"/>
        <v>1</v>
      </c>
      <c r="M481">
        <f t="shared" si="23"/>
        <v>1</v>
      </c>
    </row>
    <row r="482" spans="1:13" x14ac:dyDescent="0.25">
      <c r="A482" s="2" t="s">
        <v>272</v>
      </c>
      <c r="B482" s="11" t="s">
        <v>512</v>
      </c>
      <c r="C482" s="11" t="s">
        <v>4</v>
      </c>
      <c r="D482" s="11" t="s">
        <v>513</v>
      </c>
      <c r="E482" s="11" t="s">
        <v>343</v>
      </c>
      <c r="F482" s="11" t="s">
        <v>544</v>
      </c>
      <c r="G482" s="12">
        <v>2</v>
      </c>
      <c r="H482" s="12">
        <v>58</v>
      </c>
      <c r="I482" s="12">
        <v>116</v>
      </c>
      <c r="J482" s="12">
        <v>18442.5</v>
      </c>
      <c r="K482">
        <f t="shared" si="21"/>
        <v>4</v>
      </c>
      <c r="L482">
        <f t="shared" si="22"/>
        <v>1</v>
      </c>
      <c r="M482">
        <f t="shared" si="23"/>
        <v>1</v>
      </c>
    </row>
    <row r="483" spans="1:13" x14ac:dyDescent="0.25">
      <c r="A483" s="2" t="s">
        <v>272</v>
      </c>
      <c r="B483" s="11" t="s">
        <v>512</v>
      </c>
      <c r="C483" s="11" t="s">
        <v>4</v>
      </c>
      <c r="D483" s="11" t="s">
        <v>513</v>
      </c>
      <c r="E483" s="11" t="s">
        <v>426</v>
      </c>
      <c r="F483" s="11" t="s">
        <v>427</v>
      </c>
      <c r="G483" s="12">
        <v>3</v>
      </c>
      <c r="H483" s="12">
        <v>15</v>
      </c>
      <c r="I483" s="12">
        <v>45</v>
      </c>
      <c r="J483" s="12">
        <v>18487.5</v>
      </c>
      <c r="K483">
        <f t="shared" si="21"/>
        <v>6</v>
      </c>
      <c r="L483">
        <f t="shared" si="22"/>
        <v>1</v>
      </c>
      <c r="M483">
        <f t="shared" si="23"/>
        <v>1</v>
      </c>
    </row>
    <row r="484" spans="1:13" x14ac:dyDescent="0.25">
      <c r="A484" s="2" t="s">
        <v>272</v>
      </c>
      <c r="B484" s="11" t="s">
        <v>512</v>
      </c>
      <c r="C484" s="11" t="s">
        <v>4</v>
      </c>
      <c r="D484" s="11" t="s">
        <v>513</v>
      </c>
      <c r="E484" s="11" t="s">
        <v>440</v>
      </c>
      <c r="F484" s="11" t="s">
        <v>545</v>
      </c>
      <c r="G484" s="12">
        <v>10</v>
      </c>
      <c r="H484" s="12">
        <v>9</v>
      </c>
      <c r="I484" s="12">
        <v>90</v>
      </c>
      <c r="J484" s="12">
        <v>18577.5</v>
      </c>
      <c r="K484">
        <f t="shared" si="21"/>
        <v>4</v>
      </c>
      <c r="L484">
        <f t="shared" si="22"/>
        <v>1</v>
      </c>
      <c r="M484">
        <f t="shared" si="23"/>
        <v>1</v>
      </c>
    </row>
    <row r="485" spans="1:13" x14ac:dyDescent="0.25">
      <c r="A485" s="2" t="s">
        <v>272</v>
      </c>
      <c r="B485" s="11" t="s">
        <v>512</v>
      </c>
      <c r="C485" s="11" t="s">
        <v>4</v>
      </c>
      <c r="D485" s="11" t="s">
        <v>513</v>
      </c>
      <c r="E485" s="11" t="s">
        <v>370</v>
      </c>
      <c r="F485" s="11" t="s">
        <v>428</v>
      </c>
      <c r="G485" s="12">
        <v>20</v>
      </c>
      <c r="H485" s="12">
        <v>8</v>
      </c>
      <c r="I485" s="12">
        <v>160</v>
      </c>
      <c r="J485" s="12">
        <v>18737.5</v>
      </c>
      <c r="K485">
        <f t="shared" si="21"/>
        <v>7</v>
      </c>
      <c r="L485">
        <f t="shared" si="22"/>
        <v>1</v>
      </c>
      <c r="M485">
        <f t="shared" si="23"/>
        <v>1</v>
      </c>
    </row>
    <row r="486" spans="1:13" x14ac:dyDescent="0.25">
      <c r="A486" s="2" t="s">
        <v>272</v>
      </c>
      <c r="B486" s="11" t="s">
        <v>512</v>
      </c>
      <c r="C486" s="11" t="s">
        <v>4</v>
      </c>
      <c r="D486" s="11" t="s">
        <v>513</v>
      </c>
      <c r="E486" s="11" t="s">
        <v>498</v>
      </c>
      <c r="F486" s="11" t="s">
        <v>546</v>
      </c>
      <c r="G486" s="12">
        <v>3</v>
      </c>
      <c r="H486" s="12">
        <v>13</v>
      </c>
      <c r="I486" s="12">
        <v>39</v>
      </c>
      <c r="J486" s="12">
        <v>18776.5</v>
      </c>
      <c r="K486">
        <f t="shared" si="21"/>
        <v>2</v>
      </c>
      <c r="L486">
        <f t="shared" si="22"/>
        <v>1</v>
      </c>
      <c r="M486">
        <f t="shared" si="23"/>
        <v>1</v>
      </c>
    </row>
    <row r="487" spans="1:13" x14ac:dyDescent="0.25">
      <c r="A487" s="2" t="s">
        <v>272</v>
      </c>
      <c r="B487" s="11" t="s">
        <v>512</v>
      </c>
      <c r="C487" s="11" t="s">
        <v>4</v>
      </c>
      <c r="D487" s="11" t="s">
        <v>513</v>
      </c>
      <c r="E487" s="11" t="s">
        <v>500</v>
      </c>
      <c r="F487" s="11" t="s">
        <v>547</v>
      </c>
      <c r="G487" s="12">
        <v>3</v>
      </c>
      <c r="H487" s="12">
        <v>13</v>
      </c>
      <c r="I487" s="12">
        <v>39</v>
      </c>
      <c r="J487" s="12">
        <v>18815.5</v>
      </c>
      <c r="K487">
        <f t="shared" si="21"/>
        <v>2</v>
      </c>
      <c r="L487">
        <f t="shared" si="22"/>
        <v>1</v>
      </c>
      <c r="M487">
        <f t="shared" si="23"/>
        <v>1</v>
      </c>
    </row>
    <row r="488" spans="1:13" x14ac:dyDescent="0.25">
      <c r="A488" s="2" t="s">
        <v>272</v>
      </c>
      <c r="B488" s="11" t="s">
        <v>512</v>
      </c>
      <c r="C488" s="11" t="s">
        <v>4</v>
      </c>
      <c r="D488" s="11" t="s">
        <v>513</v>
      </c>
      <c r="E488" s="11" t="s">
        <v>502</v>
      </c>
      <c r="F488" s="11" t="s">
        <v>548</v>
      </c>
      <c r="G488" s="12">
        <v>3</v>
      </c>
      <c r="H488" s="12">
        <v>22</v>
      </c>
      <c r="I488" s="12">
        <v>66</v>
      </c>
      <c r="J488" s="12">
        <v>18881.5</v>
      </c>
      <c r="K488">
        <f t="shared" si="21"/>
        <v>5</v>
      </c>
      <c r="L488">
        <f t="shared" si="22"/>
        <v>1</v>
      </c>
      <c r="M488">
        <f t="shared" si="23"/>
        <v>1</v>
      </c>
    </row>
    <row r="489" spans="1:13" x14ac:dyDescent="0.25">
      <c r="A489" s="2" t="s">
        <v>272</v>
      </c>
      <c r="B489" s="11" t="s">
        <v>512</v>
      </c>
      <c r="C489" s="11" t="s">
        <v>4</v>
      </c>
      <c r="D489" s="11" t="s">
        <v>513</v>
      </c>
      <c r="E489" s="11" t="s">
        <v>504</v>
      </c>
      <c r="F489" s="11" t="s">
        <v>549</v>
      </c>
      <c r="G489" s="12">
        <v>3</v>
      </c>
      <c r="H489" s="12">
        <v>22</v>
      </c>
      <c r="I489" s="12">
        <v>66</v>
      </c>
      <c r="J489" s="12">
        <v>18947.5</v>
      </c>
      <c r="K489">
        <f t="shared" si="21"/>
        <v>3</v>
      </c>
      <c r="L489">
        <f t="shared" si="22"/>
        <v>1</v>
      </c>
      <c r="M489">
        <f t="shared" si="23"/>
        <v>1</v>
      </c>
    </row>
    <row r="490" spans="1:13" x14ac:dyDescent="0.25">
      <c r="A490" s="2" t="s">
        <v>272</v>
      </c>
      <c r="B490" s="11" t="s">
        <v>512</v>
      </c>
      <c r="C490" s="11" t="s">
        <v>4</v>
      </c>
      <c r="D490" s="11" t="s">
        <v>513</v>
      </c>
      <c r="E490" s="11" t="s">
        <v>506</v>
      </c>
      <c r="F490" s="11" t="s">
        <v>550</v>
      </c>
      <c r="G490" s="12">
        <v>3</v>
      </c>
      <c r="H490" s="12">
        <v>22</v>
      </c>
      <c r="I490" s="12">
        <v>66</v>
      </c>
      <c r="J490" s="12">
        <v>19013.5</v>
      </c>
      <c r="K490">
        <f t="shared" si="21"/>
        <v>2</v>
      </c>
      <c r="L490">
        <f t="shared" si="22"/>
        <v>1</v>
      </c>
      <c r="M490">
        <f t="shared" si="23"/>
        <v>1</v>
      </c>
    </row>
    <row r="491" spans="1:13" x14ac:dyDescent="0.25">
      <c r="A491" s="2" t="s">
        <v>272</v>
      </c>
      <c r="B491" s="11" t="s">
        <v>512</v>
      </c>
      <c r="C491" s="11" t="s">
        <v>4</v>
      </c>
      <c r="D491" s="11" t="s">
        <v>513</v>
      </c>
      <c r="E491" s="11" t="s">
        <v>551</v>
      </c>
      <c r="F491" s="11" t="s">
        <v>552</v>
      </c>
      <c r="G491" s="12">
        <v>2</v>
      </c>
      <c r="H491" s="12">
        <v>22</v>
      </c>
      <c r="I491" s="12">
        <v>44</v>
      </c>
      <c r="J491" s="12">
        <v>19057.5</v>
      </c>
      <c r="K491">
        <f t="shared" si="21"/>
        <v>2</v>
      </c>
      <c r="L491">
        <f t="shared" si="22"/>
        <v>1</v>
      </c>
      <c r="M491">
        <f t="shared" si="23"/>
        <v>1</v>
      </c>
    </row>
    <row r="492" spans="1:13" x14ac:dyDescent="0.25">
      <c r="A492" s="2" t="s">
        <v>272</v>
      </c>
      <c r="B492" s="11" t="s">
        <v>512</v>
      </c>
      <c r="C492" s="11" t="s">
        <v>4</v>
      </c>
      <c r="D492" s="11" t="s">
        <v>513</v>
      </c>
      <c r="E492" s="11" t="s">
        <v>553</v>
      </c>
      <c r="F492" s="11" t="s">
        <v>554</v>
      </c>
      <c r="G492" s="12">
        <v>1</v>
      </c>
      <c r="H492" s="12">
        <v>22</v>
      </c>
      <c r="I492" s="12">
        <v>22</v>
      </c>
      <c r="J492" s="12">
        <v>19079.5</v>
      </c>
      <c r="K492">
        <f t="shared" si="21"/>
        <v>2</v>
      </c>
      <c r="L492">
        <f t="shared" si="22"/>
        <v>1</v>
      </c>
      <c r="M492">
        <f t="shared" si="23"/>
        <v>1</v>
      </c>
    </row>
    <row r="493" spans="1:13" x14ac:dyDescent="0.25">
      <c r="A493" s="2" t="s">
        <v>272</v>
      </c>
      <c r="B493" s="11" t="s">
        <v>512</v>
      </c>
      <c r="C493" s="11" t="s">
        <v>4</v>
      </c>
      <c r="D493" s="11" t="s">
        <v>513</v>
      </c>
      <c r="E493" s="11" t="s">
        <v>555</v>
      </c>
      <c r="F493" s="11" t="s">
        <v>556</v>
      </c>
      <c r="G493" s="12">
        <v>2</v>
      </c>
      <c r="H493" s="12">
        <v>22</v>
      </c>
      <c r="I493" s="12">
        <v>44</v>
      </c>
      <c r="J493" s="12">
        <v>19123.5</v>
      </c>
      <c r="K493">
        <f t="shared" si="21"/>
        <v>2</v>
      </c>
      <c r="L493">
        <f t="shared" si="22"/>
        <v>1</v>
      </c>
      <c r="M493">
        <f t="shared" si="23"/>
        <v>1</v>
      </c>
    </row>
    <row r="494" spans="1:13" x14ac:dyDescent="0.25">
      <c r="A494" s="2" t="s">
        <v>272</v>
      </c>
      <c r="B494" s="11" t="s">
        <v>512</v>
      </c>
      <c r="C494" s="11" t="s">
        <v>4</v>
      </c>
      <c r="D494" s="11" t="s">
        <v>513</v>
      </c>
      <c r="E494" s="11" t="s">
        <v>557</v>
      </c>
      <c r="F494" s="11" t="s">
        <v>558</v>
      </c>
      <c r="G494" s="12">
        <v>1</v>
      </c>
      <c r="H494" s="12">
        <v>22</v>
      </c>
      <c r="I494" s="12">
        <v>22</v>
      </c>
      <c r="J494" s="12">
        <v>19145.5</v>
      </c>
      <c r="K494">
        <f t="shared" si="21"/>
        <v>2</v>
      </c>
      <c r="L494">
        <f t="shared" si="22"/>
        <v>1</v>
      </c>
      <c r="M494">
        <f t="shared" si="23"/>
        <v>1</v>
      </c>
    </row>
    <row r="495" spans="1:13" x14ac:dyDescent="0.25">
      <c r="A495" s="2" t="s">
        <v>272</v>
      </c>
      <c r="B495" s="11" t="s">
        <v>512</v>
      </c>
      <c r="C495" s="11" t="s">
        <v>4</v>
      </c>
      <c r="D495" s="11" t="s">
        <v>513</v>
      </c>
      <c r="E495" s="11" t="s">
        <v>92</v>
      </c>
      <c r="F495" s="11" t="s">
        <v>93</v>
      </c>
      <c r="G495" s="12">
        <v>2</v>
      </c>
      <c r="H495" s="12">
        <v>17</v>
      </c>
      <c r="I495" s="12">
        <v>34</v>
      </c>
      <c r="J495" s="12">
        <v>19179.5</v>
      </c>
      <c r="K495">
        <f t="shared" si="21"/>
        <v>3</v>
      </c>
      <c r="L495">
        <f t="shared" si="22"/>
        <v>1</v>
      </c>
      <c r="M495">
        <f t="shared" si="23"/>
        <v>1</v>
      </c>
    </row>
    <row r="496" spans="1:13" x14ac:dyDescent="0.25">
      <c r="A496" s="2" t="s">
        <v>272</v>
      </c>
      <c r="B496" s="11" t="s">
        <v>559</v>
      </c>
      <c r="C496" s="11" t="s">
        <v>4</v>
      </c>
      <c r="D496" s="11" t="s">
        <v>560</v>
      </c>
      <c r="E496" s="11" t="s">
        <v>561</v>
      </c>
      <c r="F496" s="11" t="s">
        <v>562</v>
      </c>
      <c r="G496" s="12">
        <v>5</v>
      </c>
      <c r="H496" s="12">
        <v>38</v>
      </c>
      <c r="I496" s="12">
        <v>190</v>
      </c>
      <c r="J496" s="12">
        <v>19369.5</v>
      </c>
      <c r="K496">
        <f t="shared" si="21"/>
        <v>8</v>
      </c>
      <c r="L496">
        <f t="shared" si="22"/>
        <v>1</v>
      </c>
      <c r="M496">
        <f t="shared" si="23"/>
        <v>1</v>
      </c>
    </row>
    <row r="497" spans="1:13" x14ac:dyDescent="0.25">
      <c r="A497" s="2" t="s">
        <v>272</v>
      </c>
      <c r="B497" s="11" t="s">
        <v>563</v>
      </c>
      <c r="C497" s="11" t="s">
        <v>4</v>
      </c>
      <c r="D497" s="11" t="s">
        <v>564</v>
      </c>
      <c r="E497" s="11" t="s">
        <v>424</v>
      </c>
      <c r="F497" s="11" t="s">
        <v>425</v>
      </c>
      <c r="G497" s="12">
        <v>5</v>
      </c>
      <c r="H497" s="12">
        <v>15.5</v>
      </c>
      <c r="I497" s="12">
        <v>77.5</v>
      </c>
      <c r="J497" s="12">
        <v>19447</v>
      </c>
      <c r="K497">
        <f t="shared" si="21"/>
        <v>6</v>
      </c>
      <c r="L497">
        <f t="shared" si="22"/>
        <v>1</v>
      </c>
      <c r="M497">
        <f t="shared" si="23"/>
        <v>1</v>
      </c>
    </row>
    <row r="498" spans="1:13" x14ac:dyDescent="0.25">
      <c r="A498" s="2" t="s">
        <v>272</v>
      </c>
      <c r="B498" s="11" t="s">
        <v>563</v>
      </c>
      <c r="C498" s="11" t="s">
        <v>4</v>
      </c>
      <c r="D498" s="11" t="s">
        <v>564</v>
      </c>
      <c r="E498" s="11" t="s">
        <v>80</v>
      </c>
      <c r="F498" s="11" t="s">
        <v>81</v>
      </c>
      <c r="G498" s="12">
        <v>5</v>
      </c>
      <c r="H498" s="12">
        <v>15</v>
      </c>
      <c r="I498" s="12">
        <v>75</v>
      </c>
      <c r="J498" s="12">
        <v>19522</v>
      </c>
      <c r="K498">
        <f t="shared" si="21"/>
        <v>8</v>
      </c>
      <c r="L498">
        <f t="shared" si="22"/>
        <v>1</v>
      </c>
      <c r="M498">
        <f t="shared" si="23"/>
        <v>1</v>
      </c>
    </row>
    <row r="499" spans="1:13" x14ac:dyDescent="0.25">
      <c r="A499" s="2" t="s">
        <v>272</v>
      </c>
      <c r="B499" s="11" t="s">
        <v>563</v>
      </c>
      <c r="C499" s="11" t="s">
        <v>4</v>
      </c>
      <c r="D499" s="11" t="s">
        <v>564</v>
      </c>
      <c r="E499" s="11" t="s">
        <v>366</v>
      </c>
      <c r="F499" s="11" t="s">
        <v>514</v>
      </c>
      <c r="G499" s="12">
        <v>2</v>
      </c>
      <c r="H499" s="12">
        <v>37</v>
      </c>
      <c r="I499" s="12">
        <v>74</v>
      </c>
      <c r="J499" s="12">
        <v>19596</v>
      </c>
      <c r="K499">
        <f t="shared" si="21"/>
        <v>8</v>
      </c>
      <c r="L499">
        <f t="shared" si="22"/>
        <v>1</v>
      </c>
      <c r="M499">
        <f t="shared" si="23"/>
        <v>1</v>
      </c>
    </row>
    <row r="500" spans="1:13" x14ac:dyDescent="0.25">
      <c r="A500" s="2" t="s">
        <v>272</v>
      </c>
      <c r="B500" s="11" t="s">
        <v>563</v>
      </c>
      <c r="C500" s="11" t="s">
        <v>4</v>
      </c>
      <c r="D500" s="11" t="s">
        <v>564</v>
      </c>
      <c r="E500" s="11" t="s">
        <v>86</v>
      </c>
      <c r="F500" s="11" t="s">
        <v>87</v>
      </c>
      <c r="G500" s="12">
        <v>4</v>
      </c>
      <c r="H500" s="12">
        <v>17</v>
      </c>
      <c r="I500" s="12">
        <v>68</v>
      </c>
      <c r="J500" s="12">
        <v>19664</v>
      </c>
      <c r="K500">
        <f t="shared" si="21"/>
        <v>7</v>
      </c>
      <c r="L500">
        <f t="shared" si="22"/>
        <v>1</v>
      </c>
      <c r="M500">
        <f t="shared" si="23"/>
        <v>1</v>
      </c>
    </row>
    <row r="501" spans="1:13" x14ac:dyDescent="0.25">
      <c r="A501" s="2" t="s">
        <v>272</v>
      </c>
      <c r="B501" s="11" t="s">
        <v>563</v>
      </c>
      <c r="C501" s="11" t="s">
        <v>4</v>
      </c>
      <c r="D501" s="11" t="s">
        <v>564</v>
      </c>
      <c r="E501" s="11" t="s">
        <v>88</v>
      </c>
      <c r="F501" s="11" t="s">
        <v>89</v>
      </c>
      <c r="G501" s="12">
        <v>4</v>
      </c>
      <c r="H501" s="12">
        <v>17</v>
      </c>
      <c r="I501" s="12">
        <v>68</v>
      </c>
      <c r="J501" s="12">
        <v>19732</v>
      </c>
      <c r="K501">
        <f t="shared" si="21"/>
        <v>5</v>
      </c>
      <c r="L501">
        <f t="shared" si="22"/>
        <v>1</v>
      </c>
      <c r="M501">
        <f t="shared" si="23"/>
        <v>1</v>
      </c>
    </row>
    <row r="502" spans="1:13" x14ac:dyDescent="0.25">
      <c r="A502" s="2" t="s">
        <v>272</v>
      </c>
      <c r="B502" s="11" t="s">
        <v>563</v>
      </c>
      <c r="C502" s="11" t="s">
        <v>4</v>
      </c>
      <c r="D502" s="11" t="s">
        <v>564</v>
      </c>
      <c r="E502" s="11" t="s">
        <v>473</v>
      </c>
      <c r="F502" s="11" t="s">
        <v>474</v>
      </c>
      <c r="G502" s="12">
        <v>3</v>
      </c>
      <c r="H502" s="12">
        <v>70.5</v>
      </c>
      <c r="I502" s="12">
        <v>211.5</v>
      </c>
      <c r="J502" s="12">
        <v>19943.5</v>
      </c>
      <c r="K502">
        <f t="shared" si="21"/>
        <v>4</v>
      </c>
      <c r="L502">
        <f t="shared" si="22"/>
        <v>1</v>
      </c>
      <c r="M502">
        <f t="shared" si="23"/>
        <v>1</v>
      </c>
    </row>
    <row r="503" spans="1:13" x14ac:dyDescent="0.25">
      <c r="A503" s="2" t="s">
        <v>272</v>
      </c>
      <c r="B503" s="11" t="s">
        <v>563</v>
      </c>
      <c r="C503" s="11" t="s">
        <v>4</v>
      </c>
      <c r="D503" s="11" t="s">
        <v>564</v>
      </c>
      <c r="E503" s="11" t="s">
        <v>388</v>
      </c>
      <c r="F503" s="11" t="s">
        <v>389</v>
      </c>
      <c r="G503" s="12">
        <v>3</v>
      </c>
      <c r="H503" s="12">
        <v>59.5</v>
      </c>
      <c r="I503" s="12">
        <v>178.5</v>
      </c>
      <c r="J503" s="12">
        <v>20122</v>
      </c>
      <c r="K503">
        <f t="shared" si="21"/>
        <v>4</v>
      </c>
      <c r="L503">
        <f t="shared" si="22"/>
        <v>1</v>
      </c>
      <c r="M503">
        <f t="shared" si="23"/>
        <v>1</v>
      </c>
    </row>
    <row r="504" spans="1:13" x14ac:dyDescent="0.25">
      <c r="A504" s="2" t="s">
        <v>272</v>
      </c>
      <c r="B504" s="11" t="s">
        <v>563</v>
      </c>
      <c r="C504" s="11" t="s">
        <v>4</v>
      </c>
      <c r="D504" s="11" t="s">
        <v>564</v>
      </c>
      <c r="E504" s="11" t="s">
        <v>390</v>
      </c>
      <c r="F504" s="11" t="s">
        <v>518</v>
      </c>
      <c r="G504" s="12">
        <v>20</v>
      </c>
      <c r="H504" s="12">
        <v>43</v>
      </c>
      <c r="I504" s="12">
        <v>860</v>
      </c>
      <c r="J504" s="12">
        <v>20982</v>
      </c>
      <c r="K504">
        <f t="shared" si="21"/>
        <v>5</v>
      </c>
      <c r="L504">
        <f t="shared" si="22"/>
        <v>1</v>
      </c>
      <c r="M504">
        <f t="shared" si="23"/>
        <v>1</v>
      </c>
    </row>
    <row r="505" spans="1:13" x14ac:dyDescent="0.25">
      <c r="A505" s="2" t="s">
        <v>272</v>
      </c>
      <c r="B505" s="11" t="s">
        <v>563</v>
      </c>
      <c r="C505" s="11" t="s">
        <v>4</v>
      </c>
      <c r="D505" s="11" t="s">
        <v>564</v>
      </c>
      <c r="E505" s="11" t="s">
        <v>294</v>
      </c>
      <c r="F505" s="11" t="s">
        <v>295</v>
      </c>
      <c r="G505" s="12">
        <v>4</v>
      </c>
      <c r="H505" s="12">
        <v>36</v>
      </c>
      <c r="I505" s="12">
        <v>144</v>
      </c>
      <c r="J505" s="12">
        <v>21126</v>
      </c>
      <c r="K505">
        <f t="shared" si="21"/>
        <v>4</v>
      </c>
      <c r="L505">
        <f t="shared" si="22"/>
        <v>1</v>
      </c>
      <c r="M505">
        <f t="shared" si="23"/>
        <v>1</v>
      </c>
    </row>
    <row r="506" spans="1:13" x14ac:dyDescent="0.25">
      <c r="A506" s="2" t="s">
        <v>272</v>
      </c>
      <c r="B506" s="11" t="s">
        <v>563</v>
      </c>
      <c r="C506" s="11" t="s">
        <v>4</v>
      </c>
      <c r="D506" s="11" t="s">
        <v>564</v>
      </c>
      <c r="E506" s="11" t="s">
        <v>416</v>
      </c>
      <c r="F506" s="11" t="s">
        <v>485</v>
      </c>
      <c r="G506" s="12">
        <v>3</v>
      </c>
      <c r="H506" s="12">
        <v>55</v>
      </c>
      <c r="I506" s="12">
        <v>165</v>
      </c>
      <c r="J506" s="12">
        <v>21291</v>
      </c>
      <c r="K506">
        <f t="shared" si="21"/>
        <v>4</v>
      </c>
      <c r="L506">
        <f t="shared" si="22"/>
        <v>1</v>
      </c>
      <c r="M506">
        <f t="shared" si="23"/>
        <v>1</v>
      </c>
    </row>
    <row r="507" spans="1:13" x14ac:dyDescent="0.25">
      <c r="A507" s="2" t="s">
        <v>272</v>
      </c>
      <c r="B507" s="11" t="s">
        <v>563</v>
      </c>
      <c r="C507" s="11" t="s">
        <v>4</v>
      </c>
      <c r="D507" s="11" t="s">
        <v>564</v>
      </c>
      <c r="E507" s="11" t="s">
        <v>469</v>
      </c>
      <c r="F507" s="11" t="s">
        <v>470</v>
      </c>
      <c r="G507" s="12">
        <v>10</v>
      </c>
      <c r="H507" s="12">
        <v>36</v>
      </c>
      <c r="I507" s="12">
        <v>360</v>
      </c>
      <c r="J507" s="12">
        <v>21651</v>
      </c>
      <c r="K507">
        <f t="shared" si="21"/>
        <v>4</v>
      </c>
      <c r="L507">
        <f t="shared" si="22"/>
        <v>1</v>
      </c>
      <c r="M507">
        <f t="shared" si="23"/>
        <v>1</v>
      </c>
    </row>
    <row r="508" spans="1:13" x14ac:dyDescent="0.25">
      <c r="A508" s="2" t="s">
        <v>272</v>
      </c>
      <c r="B508" s="11" t="s">
        <v>563</v>
      </c>
      <c r="C508" s="11" t="s">
        <v>4</v>
      </c>
      <c r="D508" s="11" t="s">
        <v>564</v>
      </c>
      <c r="E508" s="11" t="s">
        <v>132</v>
      </c>
      <c r="F508" s="11" t="s">
        <v>133</v>
      </c>
      <c r="G508" s="12">
        <v>5</v>
      </c>
      <c r="H508" s="12">
        <v>40</v>
      </c>
      <c r="I508" s="12">
        <v>200</v>
      </c>
      <c r="J508" s="12">
        <v>21851</v>
      </c>
      <c r="K508">
        <f t="shared" si="21"/>
        <v>4</v>
      </c>
      <c r="L508">
        <f t="shared" si="22"/>
        <v>1</v>
      </c>
      <c r="M508">
        <f t="shared" si="23"/>
        <v>1</v>
      </c>
    </row>
    <row r="509" spans="1:13" x14ac:dyDescent="0.25">
      <c r="A509" s="2" t="s">
        <v>272</v>
      </c>
      <c r="B509" s="11" t="s">
        <v>563</v>
      </c>
      <c r="C509" s="11" t="s">
        <v>4</v>
      </c>
      <c r="D509" s="11" t="s">
        <v>564</v>
      </c>
      <c r="E509" s="11" t="s">
        <v>120</v>
      </c>
      <c r="F509" s="11" t="s">
        <v>121</v>
      </c>
      <c r="G509" s="12">
        <v>3</v>
      </c>
      <c r="H509" s="12">
        <v>18</v>
      </c>
      <c r="I509" s="12">
        <v>54</v>
      </c>
      <c r="J509" s="12">
        <v>21905</v>
      </c>
      <c r="K509">
        <f t="shared" si="21"/>
        <v>3</v>
      </c>
      <c r="L509">
        <f t="shared" si="22"/>
        <v>1</v>
      </c>
      <c r="M509">
        <f t="shared" si="23"/>
        <v>1</v>
      </c>
    </row>
    <row r="510" spans="1:13" x14ac:dyDescent="0.25">
      <c r="A510" s="2" t="s">
        <v>272</v>
      </c>
      <c r="B510" s="11" t="s">
        <v>563</v>
      </c>
      <c r="C510" s="11" t="s">
        <v>4</v>
      </c>
      <c r="D510" s="11" t="s">
        <v>564</v>
      </c>
      <c r="E510" s="11" t="s">
        <v>442</v>
      </c>
      <c r="F510" s="11" t="s">
        <v>565</v>
      </c>
      <c r="G510" s="12">
        <v>12</v>
      </c>
      <c r="H510" s="12">
        <v>9</v>
      </c>
      <c r="I510" s="12">
        <v>108</v>
      </c>
      <c r="J510" s="12">
        <v>22013</v>
      </c>
      <c r="K510">
        <f t="shared" si="21"/>
        <v>3</v>
      </c>
      <c r="L510">
        <f t="shared" si="22"/>
        <v>1</v>
      </c>
      <c r="M510">
        <f t="shared" si="23"/>
        <v>1</v>
      </c>
    </row>
    <row r="511" spans="1:13" x14ac:dyDescent="0.25">
      <c r="A511" s="2" t="s">
        <v>272</v>
      </c>
      <c r="B511" s="11" t="s">
        <v>563</v>
      </c>
      <c r="C511" s="11" t="s">
        <v>4</v>
      </c>
      <c r="D511" s="11" t="s">
        <v>564</v>
      </c>
      <c r="E511" s="11" t="s">
        <v>551</v>
      </c>
      <c r="F511" s="11" t="s">
        <v>566</v>
      </c>
      <c r="G511" s="12">
        <v>2</v>
      </c>
      <c r="H511" s="12">
        <v>22</v>
      </c>
      <c r="I511" s="12">
        <v>44</v>
      </c>
      <c r="J511" s="12">
        <v>22057</v>
      </c>
      <c r="K511">
        <f t="shared" si="21"/>
        <v>2</v>
      </c>
      <c r="L511">
        <f t="shared" si="22"/>
        <v>1</v>
      </c>
      <c r="M511">
        <f t="shared" si="23"/>
        <v>1</v>
      </c>
    </row>
    <row r="512" spans="1:13" x14ac:dyDescent="0.25">
      <c r="A512" s="2" t="s">
        <v>272</v>
      </c>
      <c r="B512" s="11" t="s">
        <v>563</v>
      </c>
      <c r="C512" s="11" t="s">
        <v>4</v>
      </c>
      <c r="D512" s="11" t="s">
        <v>564</v>
      </c>
      <c r="E512" s="11" t="s">
        <v>331</v>
      </c>
      <c r="F512" s="11" t="s">
        <v>462</v>
      </c>
      <c r="G512" s="12">
        <v>5</v>
      </c>
      <c r="H512" s="12">
        <v>39</v>
      </c>
      <c r="I512" s="12">
        <v>195</v>
      </c>
      <c r="J512" s="12">
        <v>22252</v>
      </c>
      <c r="K512">
        <f t="shared" si="21"/>
        <v>5</v>
      </c>
      <c r="L512">
        <f t="shared" si="22"/>
        <v>1</v>
      </c>
      <c r="M512">
        <f t="shared" si="23"/>
        <v>1</v>
      </c>
    </row>
    <row r="513" spans="1:13" x14ac:dyDescent="0.25">
      <c r="A513" s="2" t="s">
        <v>272</v>
      </c>
      <c r="B513" s="11" t="s">
        <v>563</v>
      </c>
      <c r="C513" s="11" t="s">
        <v>4</v>
      </c>
      <c r="D513" s="11" t="s">
        <v>564</v>
      </c>
      <c r="E513" s="11" t="s">
        <v>465</v>
      </c>
      <c r="F513" s="11" t="s">
        <v>466</v>
      </c>
      <c r="G513" s="12">
        <v>5</v>
      </c>
      <c r="H513" s="12">
        <v>39</v>
      </c>
      <c r="I513" s="12">
        <v>195</v>
      </c>
      <c r="J513" s="12">
        <v>22447</v>
      </c>
      <c r="K513">
        <f t="shared" si="21"/>
        <v>6</v>
      </c>
      <c r="L513">
        <f t="shared" si="22"/>
        <v>1</v>
      </c>
      <c r="M513">
        <f t="shared" si="23"/>
        <v>1</v>
      </c>
    </row>
    <row r="514" spans="1:13" x14ac:dyDescent="0.25">
      <c r="A514" s="2" t="s">
        <v>272</v>
      </c>
      <c r="B514" s="11" t="s">
        <v>563</v>
      </c>
      <c r="C514" s="11" t="s">
        <v>4</v>
      </c>
      <c r="D514" s="11" t="s">
        <v>564</v>
      </c>
      <c r="E514" s="11" t="s">
        <v>48</v>
      </c>
      <c r="F514" s="11" t="s">
        <v>49</v>
      </c>
      <c r="G514" s="12">
        <v>3</v>
      </c>
      <c r="H514" s="12">
        <v>35</v>
      </c>
      <c r="I514" s="12">
        <v>105</v>
      </c>
      <c r="J514" s="12">
        <v>22552</v>
      </c>
      <c r="K514">
        <f t="shared" si="21"/>
        <v>5</v>
      </c>
      <c r="L514">
        <f t="shared" si="22"/>
        <v>1</v>
      </c>
      <c r="M514">
        <f t="shared" si="23"/>
        <v>1</v>
      </c>
    </row>
    <row r="515" spans="1:13" x14ac:dyDescent="0.25">
      <c r="A515" s="2" t="s">
        <v>272</v>
      </c>
      <c r="B515" s="11" t="s">
        <v>563</v>
      </c>
      <c r="C515" s="11" t="s">
        <v>4</v>
      </c>
      <c r="D515" s="11" t="s">
        <v>564</v>
      </c>
      <c r="E515" s="11" t="s">
        <v>50</v>
      </c>
      <c r="F515" s="11" t="s">
        <v>51</v>
      </c>
      <c r="G515" s="12">
        <v>3</v>
      </c>
      <c r="H515" s="12">
        <v>35</v>
      </c>
      <c r="I515" s="12">
        <v>105</v>
      </c>
      <c r="J515" s="12">
        <v>22657</v>
      </c>
      <c r="K515">
        <f t="shared" ref="K515:K578" si="24">COUNTIF($E$2:$E$1466,E515)</f>
        <v>7</v>
      </c>
      <c r="L515">
        <f t="shared" ref="L515:L578" si="25">IF(G515&gt;0,1,0)</f>
        <v>1</v>
      </c>
      <c r="M515">
        <f t="shared" ref="M515:M578" si="26">IF(H515&gt;0,1,0)</f>
        <v>1</v>
      </c>
    </row>
    <row r="516" spans="1:13" x14ac:dyDescent="0.25">
      <c r="A516" s="2" t="s">
        <v>272</v>
      </c>
      <c r="B516" s="11" t="s">
        <v>563</v>
      </c>
      <c r="C516" s="11" t="s">
        <v>4</v>
      </c>
      <c r="D516" s="11" t="s">
        <v>564</v>
      </c>
      <c r="E516" s="11" t="s">
        <v>46</v>
      </c>
      <c r="F516" s="11" t="s">
        <v>47</v>
      </c>
      <c r="G516" s="12">
        <v>3</v>
      </c>
      <c r="H516" s="12">
        <v>35</v>
      </c>
      <c r="I516" s="12">
        <v>105</v>
      </c>
      <c r="J516" s="12">
        <v>22762</v>
      </c>
      <c r="K516">
        <f t="shared" si="24"/>
        <v>7</v>
      </c>
      <c r="L516">
        <f t="shared" si="25"/>
        <v>1</v>
      </c>
      <c r="M516">
        <f t="shared" si="26"/>
        <v>1</v>
      </c>
    </row>
    <row r="517" spans="1:13" x14ac:dyDescent="0.25">
      <c r="A517" s="2" t="s">
        <v>272</v>
      </c>
      <c r="B517" s="11" t="s">
        <v>563</v>
      </c>
      <c r="C517" s="11" t="s">
        <v>4</v>
      </c>
      <c r="D517" s="11" t="s">
        <v>564</v>
      </c>
      <c r="E517" s="11" t="s">
        <v>567</v>
      </c>
      <c r="F517" s="11" t="s">
        <v>568</v>
      </c>
      <c r="G517" s="12">
        <v>60</v>
      </c>
      <c r="H517" s="12">
        <v>5.5</v>
      </c>
      <c r="I517" s="12">
        <v>330</v>
      </c>
      <c r="J517" s="12">
        <v>23092</v>
      </c>
      <c r="K517">
        <f t="shared" si="24"/>
        <v>4</v>
      </c>
      <c r="L517">
        <f t="shared" si="25"/>
        <v>1</v>
      </c>
      <c r="M517">
        <f t="shared" si="26"/>
        <v>1</v>
      </c>
    </row>
    <row r="518" spans="1:13" hidden="1" x14ac:dyDescent="0.25">
      <c r="A518" s="16" t="s">
        <v>272</v>
      </c>
      <c r="B518" s="17" t="s">
        <v>563</v>
      </c>
      <c r="C518" s="17" t="s">
        <v>4</v>
      </c>
      <c r="D518" s="17" t="s">
        <v>564</v>
      </c>
      <c r="E518" s="17" t="s">
        <v>567</v>
      </c>
      <c r="F518" s="17" t="s">
        <v>568</v>
      </c>
      <c r="G518" s="18">
        <v>12</v>
      </c>
      <c r="H518" s="18">
        <v>0</v>
      </c>
      <c r="I518" s="18">
        <v>0</v>
      </c>
      <c r="J518" s="18">
        <v>23092</v>
      </c>
      <c r="K518">
        <f t="shared" si="24"/>
        <v>4</v>
      </c>
      <c r="L518">
        <f t="shared" si="25"/>
        <v>1</v>
      </c>
      <c r="M518">
        <f t="shared" si="26"/>
        <v>0</v>
      </c>
    </row>
    <row r="519" spans="1:13" x14ac:dyDescent="0.25">
      <c r="A519" s="2" t="s">
        <v>272</v>
      </c>
      <c r="B519" s="11" t="s">
        <v>563</v>
      </c>
      <c r="C519" s="11" t="s">
        <v>4</v>
      </c>
      <c r="D519" s="11" t="s">
        <v>564</v>
      </c>
      <c r="E519" s="11" t="s">
        <v>494</v>
      </c>
      <c r="F519" s="11" t="s">
        <v>517</v>
      </c>
      <c r="G519" s="12">
        <v>360</v>
      </c>
      <c r="H519" s="12">
        <v>5.5</v>
      </c>
      <c r="I519" s="12">
        <v>1980</v>
      </c>
      <c r="J519" s="12">
        <v>25072</v>
      </c>
      <c r="K519">
        <f t="shared" si="24"/>
        <v>4</v>
      </c>
      <c r="L519">
        <f t="shared" si="25"/>
        <v>1</v>
      </c>
      <c r="M519">
        <f t="shared" si="26"/>
        <v>1</v>
      </c>
    </row>
    <row r="520" spans="1:13" hidden="1" x14ac:dyDescent="0.25">
      <c r="A520" s="16" t="s">
        <v>272</v>
      </c>
      <c r="B520" s="17" t="s">
        <v>563</v>
      </c>
      <c r="C520" s="17" t="s">
        <v>4</v>
      </c>
      <c r="D520" s="17" t="s">
        <v>564</v>
      </c>
      <c r="E520" s="17" t="s">
        <v>494</v>
      </c>
      <c r="F520" s="17" t="s">
        <v>517</v>
      </c>
      <c r="G520" s="18">
        <v>24</v>
      </c>
      <c r="H520" s="18">
        <v>0</v>
      </c>
      <c r="I520" s="18">
        <v>0</v>
      </c>
      <c r="J520" s="18">
        <v>25072</v>
      </c>
      <c r="K520">
        <f t="shared" si="24"/>
        <v>4</v>
      </c>
      <c r="L520">
        <f t="shared" si="25"/>
        <v>1</v>
      </c>
      <c r="M520">
        <f t="shared" si="26"/>
        <v>0</v>
      </c>
    </row>
    <row r="521" spans="1:13" x14ac:dyDescent="0.25">
      <c r="A521" s="2" t="s">
        <v>272</v>
      </c>
      <c r="B521" s="11" t="s">
        <v>563</v>
      </c>
      <c r="C521" s="11" t="s">
        <v>4</v>
      </c>
      <c r="D521" s="11" t="s">
        <v>564</v>
      </c>
      <c r="E521" s="11" t="s">
        <v>569</v>
      </c>
      <c r="F521" s="11" t="s">
        <v>570</v>
      </c>
      <c r="G521" s="12">
        <v>1</v>
      </c>
      <c r="H521" s="12">
        <v>180</v>
      </c>
      <c r="I521" s="12">
        <v>180</v>
      </c>
      <c r="J521" s="12">
        <v>25252</v>
      </c>
      <c r="K521">
        <f t="shared" si="24"/>
        <v>2</v>
      </c>
      <c r="L521">
        <f t="shared" si="25"/>
        <v>1</v>
      </c>
      <c r="M521">
        <f t="shared" si="26"/>
        <v>1</v>
      </c>
    </row>
    <row r="522" spans="1:13" x14ac:dyDescent="0.25">
      <c r="A522" s="2" t="s">
        <v>272</v>
      </c>
      <c r="B522" s="11" t="s">
        <v>563</v>
      </c>
      <c r="C522" s="11" t="s">
        <v>4</v>
      </c>
      <c r="D522" s="11" t="s">
        <v>564</v>
      </c>
      <c r="E522" s="11" t="s">
        <v>380</v>
      </c>
      <c r="F522" s="11" t="s">
        <v>571</v>
      </c>
      <c r="G522" s="12">
        <v>2</v>
      </c>
      <c r="H522" s="12">
        <v>61</v>
      </c>
      <c r="I522" s="12">
        <v>122</v>
      </c>
      <c r="J522" s="12">
        <v>25374</v>
      </c>
      <c r="K522">
        <f t="shared" si="24"/>
        <v>5</v>
      </c>
      <c r="L522">
        <f t="shared" si="25"/>
        <v>1</v>
      </c>
      <c r="M522">
        <f t="shared" si="26"/>
        <v>1</v>
      </c>
    </row>
    <row r="523" spans="1:13" x14ac:dyDescent="0.25">
      <c r="A523" s="2" t="s">
        <v>272</v>
      </c>
      <c r="B523" s="11" t="s">
        <v>572</v>
      </c>
      <c r="C523" s="11" t="s">
        <v>4</v>
      </c>
      <c r="D523" s="11" t="s">
        <v>573</v>
      </c>
      <c r="E523" s="11" t="s">
        <v>48</v>
      </c>
      <c r="F523" s="11" t="s">
        <v>49</v>
      </c>
      <c r="G523" s="12">
        <v>2</v>
      </c>
      <c r="H523" s="12">
        <v>35</v>
      </c>
      <c r="I523" s="12">
        <v>70</v>
      </c>
      <c r="J523" s="12">
        <v>25444</v>
      </c>
      <c r="K523">
        <f t="shared" si="24"/>
        <v>5</v>
      </c>
      <c r="L523">
        <f t="shared" si="25"/>
        <v>1</v>
      </c>
      <c r="M523">
        <f t="shared" si="26"/>
        <v>1</v>
      </c>
    </row>
    <row r="524" spans="1:13" x14ac:dyDescent="0.25">
      <c r="A524" s="2" t="s">
        <v>272</v>
      </c>
      <c r="B524" s="11" t="s">
        <v>572</v>
      </c>
      <c r="C524" s="11" t="s">
        <v>4</v>
      </c>
      <c r="D524" s="11" t="s">
        <v>573</v>
      </c>
      <c r="E524" s="11" t="s">
        <v>44</v>
      </c>
      <c r="F524" s="11" t="s">
        <v>45</v>
      </c>
      <c r="G524" s="12">
        <v>12</v>
      </c>
      <c r="H524" s="12">
        <v>35</v>
      </c>
      <c r="I524" s="12">
        <v>420</v>
      </c>
      <c r="J524" s="12">
        <v>25864</v>
      </c>
      <c r="K524">
        <f t="shared" si="24"/>
        <v>5</v>
      </c>
      <c r="L524">
        <f t="shared" si="25"/>
        <v>1</v>
      </c>
      <c r="M524">
        <f t="shared" si="26"/>
        <v>1</v>
      </c>
    </row>
    <row r="525" spans="1:13" x14ac:dyDescent="0.25">
      <c r="A525" s="2" t="s">
        <v>272</v>
      </c>
      <c r="B525" s="11" t="s">
        <v>572</v>
      </c>
      <c r="C525" s="11" t="s">
        <v>4</v>
      </c>
      <c r="D525" s="11" t="s">
        <v>573</v>
      </c>
      <c r="E525" s="11" t="s">
        <v>50</v>
      </c>
      <c r="F525" s="11" t="s">
        <v>51</v>
      </c>
      <c r="G525" s="12">
        <v>10</v>
      </c>
      <c r="H525" s="12">
        <v>35</v>
      </c>
      <c r="I525" s="12">
        <v>350</v>
      </c>
      <c r="J525" s="12">
        <v>26214</v>
      </c>
      <c r="K525">
        <f t="shared" si="24"/>
        <v>7</v>
      </c>
      <c r="L525">
        <f t="shared" si="25"/>
        <v>1</v>
      </c>
      <c r="M525">
        <f t="shared" si="26"/>
        <v>1</v>
      </c>
    </row>
    <row r="526" spans="1:13" x14ac:dyDescent="0.25">
      <c r="A526" s="2" t="s">
        <v>272</v>
      </c>
      <c r="B526" s="11" t="s">
        <v>572</v>
      </c>
      <c r="C526" s="11" t="s">
        <v>4</v>
      </c>
      <c r="D526" s="11" t="s">
        <v>573</v>
      </c>
      <c r="E526" s="11" t="s">
        <v>46</v>
      </c>
      <c r="F526" s="11" t="s">
        <v>47</v>
      </c>
      <c r="G526" s="12">
        <v>10</v>
      </c>
      <c r="H526" s="12">
        <v>35</v>
      </c>
      <c r="I526" s="12">
        <v>350</v>
      </c>
      <c r="J526" s="12">
        <v>26564</v>
      </c>
      <c r="K526">
        <f t="shared" si="24"/>
        <v>7</v>
      </c>
      <c r="L526">
        <f t="shared" si="25"/>
        <v>1</v>
      </c>
      <c r="M526">
        <f t="shared" si="26"/>
        <v>1</v>
      </c>
    </row>
    <row r="527" spans="1:13" x14ac:dyDescent="0.25">
      <c r="A527" s="2" t="s">
        <v>272</v>
      </c>
      <c r="B527" s="11" t="s">
        <v>572</v>
      </c>
      <c r="C527" s="11" t="s">
        <v>4</v>
      </c>
      <c r="D527" s="11" t="s">
        <v>573</v>
      </c>
      <c r="E527" s="11" t="s">
        <v>424</v>
      </c>
      <c r="F527" s="11" t="s">
        <v>425</v>
      </c>
      <c r="G527" s="12">
        <v>10</v>
      </c>
      <c r="H527" s="12">
        <v>15.5</v>
      </c>
      <c r="I527" s="12">
        <v>155</v>
      </c>
      <c r="J527" s="12">
        <v>26719</v>
      </c>
      <c r="K527">
        <f t="shared" si="24"/>
        <v>6</v>
      </c>
      <c r="L527">
        <f t="shared" si="25"/>
        <v>1</v>
      </c>
      <c r="M527">
        <f t="shared" si="26"/>
        <v>1</v>
      </c>
    </row>
    <row r="528" spans="1:13" x14ac:dyDescent="0.25">
      <c r="A528" s="2" t="s">
        <v>272</v>
      </c>
      <c r="B528" s="11" t="s">
        <v>572</v>
      </c>
      <c r="C528" s="11" t="s">
        <v>4</v>
      </c>
      <c r="D528" s="11" t="s">
        <v>573</v>
      </c>
      <c r="E528" s="11" t="s">
        <v>82</v>
      </c>
      <c r="F528" s="11" t="s">
        <v>197</v>
      </c>
      <c r="G528" s="12">
        <v>2</v>
      </c>
      <c r="H528" s="12">
        <v>78</v>
      </c>
      <c r="I528" s="12">
        <v>156</v>
      </c>
      <c r="J528" s="12">
        <v>26875</v>
      </c>
      <c r="K528">
        <f t="shared" si="24"/>
        <v>6</v>
      </c>
      <c r="L528">
        <f t="shared" si="25"/>
        <v>1</v>
      </c>
      <c r="M528">
        <f t="shared" si="26"/>
        <v>1</v>
      </c>
    </row>
    <row r="529" spans="1:13" x14ac:dyDescent="0.25">
      <c r="A529" s="2" t="s">
        <v>272</v>
      </c>
      <c r="B529" s="11" t="s">
        <v>572</v>
      </c>
      <c r="C529" s="11" t="s">
        <v>4</v>
      </c>
      <c r="D529" s="11" t="s">
        <v>573</v>
      </c>
      <c r="E529" s="11" t="s">
        <v>80</v>
      </c>
      <c r="F529" s="11" t="s">
        <v>81</v>
      </c>
      <c r="G529" s="12">
        <v>15</v>
      </c>
      <c r="H529" s="12">
        <v>15</v>
      </c>
      <c r="I529" s="12">
        <v>225</v>
      </c>
      <c r="J529" s="12">
        <v>27100</v>
      </c>
      <c r="K529">
        <f t="shared" si="24"/>
        <v>8</v>
      </c>
      <c r="L529">
        <f t="shared" si="25"/>
        <v>1</v>
      </c>
      <c r="M529">
        <f t="shared" si="26"/>
        <v>1</v>
      </c>
    </row>
    <row r="530" spans="1:13" x14ac:dyDescent="0.25">
      <c r="A530" s="2" t="s">
        <v>272</v>
      </c>
      <c r="B530" s="11" t="s">
        <v>572</v>
      </c>
      <c r="C530" s="11" t="s">
        <v>4</v>
      </c>
      <c r="D530" s="11" t="s">
        <v>573</v>
      </c>
      <c r="E530" s="11" t="s">
        <v>574</v>
      </c>
      <c r="F530" s="11" t="s">
        <v>575</v>
      </c>
      <c r="G530" s="12">
        <v>2</v>
      </c>
      <c r="H530" s="12">
        <v>21.5</v>
      </c>
      <c r="I530" s="12">
        <v>43</v>
      </c>
      <c r="J530" s="12">
        <v>27143</v>
      </c>
      <c r="K530">
        <f t="shared" si="24"/>
        <v>1</v>
      </c>
      <c r="L530">
        <f t="shared" si="25"/>
        <v>1</v>
      </c>
      <c r="M530">
        <f t="shared" si="26"/>
        <v>1</v>
      </c>
    </row>
    <row r="531" spans="1:13" x14ac:dyDescent="0.25">
      <c r="A531" s="2" t="s">
        <v>272</v>
      </c>
      <c r="B531" s="11" t="s">
        <v>572</v>
      </c>
      <c r="C531" s="11" t="s">
        <v>4</v>
      </c>
      <c r="D531" s="11" t="s">
        <v>573</v>
      </c>
      <c r="E531" s="11" t="s">
        <v>576</v>
      </c>
      <c r="F531" s="11" t="s">
        <v>577</v>
      </c>
      <c r="G531" s="12">
        <v>2</v>
      </c>
      <c r="H531" s="12">
        <v>21.5</v>
      </c>
      <c r="I531" s="12">
        <v>43</v>
      </c>
      <c r="J531" s="12">
        <v>27186</v>
      </c>
      <c r="K531">
        <f t="shared" si="24"/>
        <v>1</v>
      </c>
      <c r="L531">
        <f t="shared" si="25"/>
        <v>1</v>
      </c>
      <c r="M531">
        <f t="shared" si="26"/>
        <v>1</v>
      </c>
    </row>
    <row r="532" spans="1:13" x14ac:dyDescent="0.25">
      <c r="A532" s="2" t="s">
        <v>272</v>
      </c>
      <c r="B532" s="11" t="s">
        <v>572</v>
      </c>
      <c r="C532" s="11" t="s">
        <v>4</v>
      </c>
      <c r="D532" s="11" t="s">
        <v>573</v>
      </c>
      <c r="E532" s="11" t="s">
        <v>578</v>
      </c>
      <c r="F532" s="11" t="s">
        <v>579</v>
      </c>
      <c r="G532" s="12">
        <v>2</v>
      </c>
      <c r="H532" s="12">
        <v>21.5</v>
      </c>
      <c r="I532" s="12">
        <v>43</v>
      </c>
      <c r="J532" s="12">
        <v>27229</v>
      </c>
      <c r="K532">
        <f t="shared" si="24"/>
        <v>2</v>
      </c>
      <c r="L532">
        <f t="shared" si="25"/>
        <v>1</v>
      </c>
      <c r="M532">
        <f t="shared" si="26"/>
        <v>1</v>
      </c>
    </row>
    <row r="533" spans="1:13" x14ac:dyDescent="0.25">
      <c r="A533" s="2" t="s">
        <v>272</v>
      </c>
      <c r="B533" s="11" t="s">
        <v>572</v>
      </c>
      <c r="C533" s="11" t="s">
        <v>4</v>
      </c>
      <c r="D533" s="11" t="s">
        <v>573</v>
      </c>
      <c r="E533" s="11" t="s">
        <v>580</v>
      </c>
      <c r="F533" s="11" t="s">
        <v>581</v>
      </c>
      <c r="G533" s="12">
        <v>1</v>
      </c>
      <c r="H533" s="12">
        <v>26.5</v>
      </c>
      <c r="I533" s="12">
        <v>26.5</v>
      </c>
      <c r="J533" s="12">
        <v>27255.5</v>
      </c>
      <c r="K533">
        <f t="shared" si="24"/>
        <v>2</v>
      </c>
      <c r="L533">
        <f t="shared" si="25"/>
        <v>1</v>
      </c>
      <c r="M533">
        <f t="shared" si="26"/>
        <v>1</v>
      </c>
    </row>
    <row r="534" spans="1:13" x14ac:dyDescent="0.25">
      <c r="A534" s="2" t="s">
        <v>272</v>
      </c>
      <c r="B534" s="11" t="s">
        <v>572</v>
      </c>
      <c r="C534" s="11" t="s">
        <v>4</v>
      </c>
      <c r="D534" s="11" t="s">
        <v>573</v>
      </c>
      <c r="E534" s="11" t="s">
        <v>582</v>
      </c>
      <c r="F534" s="11" t="s">
        <v>583</v>
      </c>
      <c r="G534" s="12">
        <v>2</v>
      </c>
      <c r="H534" s="12">
        <v>21.5</v>
      </c>
      <c r="I534" s="12">
        <v>43</v>
      </c>
      <c r="J534" s="12">
        <v>27298.5</v>
      </c>
      <c r="K534">
        <f t="shared" si="24"/>
        <v>1</v>
      </c>
      <c r="L534">
        <f t="shared" si="25"/>
        <v>1</v>
      </c>
      <c r="M534">
        <f t="shared" si="26"/>
        <v>1</v>
      </c>
    </row>
    <row r="535" spans="1:13" x14ac:dyDescent="0.25">
      <c r="A535" s="2" t="s">
        <v>272</v>
      </c>
      <c r="B535" s="11" t="s">
        <v>572</v>
      </c>
      <c r="C535" s="11" t="s">
        <v>4</v>
      </c>
      <c r="D535" s="11" t="s">
        <v>573</v>
      </c>
      <c r="E535" s="11" t="s">
        <v>584</v>
      </c>
      <c r="F535" s="11" t="s">
        <v>585</v>
      </c>
      <c r="G535" s="12">
        <v>2</v>
      </c>
      <c r="H535" s="12">
        <v>21.5</v>
      </c>
      <c r="I535" s="12">
        <v>43</v>
      </c>
      <c r="J535" s="12">
        <v>27341.5</v>
      </c>
      <c r="K535">
        <f t="shared" si="24"/>
        <v>1</v>
      </c>
      <c r="L535">
        <f t="shared" si="25"/>
        <v>1</v>
      </c>
      <c r="M535">
        <f t="shared" si="26"/>
        <v>1</v>
      </c>
    </row>
    <row r="536" spans="1:13" x14ac:dyDescent="0.25">
      <c r="A536" s="2" t="s">
        <v>272</v>
      </c>
      <c r="B536" s="11" t="s">
        <v>572</v>
      </c>
      <c r="C536" s="11" t="s">
        <v>4</v>
      </c>
      <c r="D536" s="11" t="s">
        <v>573</v>
      </c>
      <c r="E536" s="11" t="s">
        <v>366</v>
      </c>
      <c r="F536" s="11" t="s">
        <v>514</v>
      </c>
      <c r="G536" s="12">
        <v>10</v>
      </c>
      <c r="H536" s="12">
        <v>37</v>
      </c>
      <c r="I536" s="12">
        <v>370</v>
      </c>
      <c r="J536" s="12">
        <v>27711.5</v>
      </c>
      <c r="K536">
        <f t="shared" si="24"/>
        <v>8</v>
      </c>
      <c r="L536">
        <f t="shared" si="25"/>
        <v>1</v>
      </c>
      <c r="M536">
        <f t="shared" si="26"/>
        <v>1</v>
      </c>
    </row>
    <row r="537" spans="1:13" x14ac:dyDescent="0.25">
      <c r="A537" s="2" t="s">
        <v>272</v>
      </c>
      <c r="B537" s="11" t="s">
        <v>572</v>
      </c>
      <c r="C537" s="11" t="s">
        <v>4</v>
      </c>
      <c r="D537" s="11" t="s">
        <v>573</v>
      </c>
      <c r="E537" s="11" t="s">
        <v>496</v>
      </c>
      <c r="F537" s="11" t="s">
        <v>515</v>
      </c>
      <c r="G537" s="12">
        <v>15</v>
      </c>
      <c r="H537" s="12">
        <v>22</v>
      </c>
      <c r="I537" s="12">
        <v>330</v>
      </c>
      <c r="J537" s="12">
        <v>28041.5</v>
      </c>
      <c r="K537">
        <f t="shared" si="24"/>
        <v>5</v>
      </c>
      <c r="L537">
        <f t="shared" si="25"/>
        <v>1</v>
      </c>
      <c r="M537">
        <f t="shared" si="26"/>
        <v>1</v>
      </c>
    </row>
    <row r="538" spans="1:13" x14ac:dyDescent="0.25">
      <c r="A538" s="2" t="s">
        <v>272</v>
      </c>
      <c r="B538" s="11" t="s">
        <v>572</v>
      </c>
      <c r="C538" s="11" t="s">
        <v>4</v>
      </c>
      <c r="D538" s="11" t="s">
        <v>573</v>
      </c>
      <c r="E538" s="11" t="s">
        <v>368</v>
      </c>
      <c r="F538" s="11" t="s">
        <v>586</v>
      </c>
      <c r="G538" s="12">
        <v>8</v>
      </c>
      <c r="H538" s="12">
        <v>41</v>
      </c>
      <c r="I538" s="12">
        <v>328</v>
      </c>
      <c r="J538" s="12">
        <v>28369.5</v>
      </c>
      <c r="K538">
        <f t="shared" si="24"/>
        <v>3</v>
      </c>
      <c r="L538">
        <f t="shared" si="25"/>
        <v>1</v>
      </c>
      <c r="M538">
        <f t="shared" si="26"/>
        <v>1</v>
      </c>
    </row>
    <row r="539" spans="1:13" x14ac:dyDescent="0.25">
      <c r="A539" s="2" t="s">
        <v>272</v>
      </c>
      <c r="B539" s="11" t="s">
        <v>572</v>
      </c>
      <c r="C539" s="11" t="s">
        <v>4</v>
      </c>
      <c r="D539" s="11" t="s">
        <v>573</v>
      </c>
      <c r="E539" s="11" t="s">
        <v>587</v>
      </c>
      <c r="F539" s="11" t="s">
        <v>588</v>
      </c>
      <c r="G539" s="12">
        <v>4</v>
      </c>
      <c r="H539" s="12">
        <v>11.25</v>
      </c>
      <c r="I539" s="12">
        <v>45</v>
      </c>
      <c r="J539" s="12">
        <v>28414.5</v>
      </c>
      <c r="K539">
        <f t="shared" si="24"/>
        <v>2</v>
      </c>
      <c r="L539">
        <f t="shared" si="25"/>
        <v>1</v>
      </c>
      <c r="M539">
        <f t="shared" si="26"/>
        <v>1</v>
      </c>
    </row>
    <row r="540" spans="1:13" x14ac:dyDescent="0.25">
      <c r="A540" s="2" t="s">
        <v>272</v>
      </c>
      <c r="B540" s="11" t="s">
        <v>572</v>
      </c>
      <c r="C540" s="11" t="s">
        <v>4</v>
      </c>
      <c r="D540" s="11" t="s">
        <v>573</v>
      </c>
      <c r="E540" s="11" t="s">
        <v>296</v>
      </c>
      <c r="F540" s="11" t="s">
        <v>453</v>
      </c>
      <c r="G540" s="12">
        <v>2</v>
      </c>
      <c r="H540" s="12">
        <v>21</v>
      </c>
      <c r="I540" s="12">
        <v>42</v>
      </c>
      <c r="J540" s="12">
        <v>28456.5</v>
      </c>
      <c r="K540">
        <f t="shared" si="24"/>
        <v>6</v>
      </c>
      <c r="L540">
        <f t="shared" si="25"/>
        <v>1</v>
      </c>
      <c r="M540">
        <f t="shared" si="26"/>
        <v>1</v>
      </c>
    </row>
    <row r="541" spans="1:13" x14ac:dyDescent="0.25">
      <c r="A541" s="2" t="s">
        <v>272</v>
      </c>
      <c r="B541" s="11" t="s">
        <v>572</v>
      </c>
      <c r="C541" s="11" t="s">
        <v>4</v>
      </c>
      <c r="D541" s="11" t="s">
        <v>573</v>
      </c>
      <c r="E541" s="11" t="s">
        <v>298</v>
      </c>
      <c r="F541" s="11" t="s">
        <v>454</v>
      </c>
      <c r="G541" s="12">
        <v>5</v>
      </c>
      <c r="H541" s="12">
        <v>19</v>
      </c>
      <c r="I541" s="12">
        <v>95</v>
      </c>
      <c r="J541" s="12">
        <v>28551.5</v>
      </c>
      <c r="K541">
        <f t="shared" si="24"/>
        <v>8</v>
      </c>
      <c r="L541">
        <f t="shared" si="25"/>
        <v>1</v>
      </c>
      <c r="M541">
        <f t="shared" si="26"/>
        <v>1</v>
      </c>
    </row>
    <row r="542" spans="1:13" x14ac:dyDescent="0.25">
      <c r="A542" s="2" t="s">
        <v>272</v>
      </c>
      <c r="B542" s="11" t="s">
        <v>572</v>
      </c>
      <c r="C542" s="11" t="s">
        <v>4</v>
      </c>
      <c r="D542" s="11" t="s">
        <v>573</v>
      </c>
      <c r="E542" s="11" t="s">
        <v>569</v>
      </c>
      <c r="F542" s="11" t="s">
        <v>570</v>
      </c>
      <c r="G542" s="12">
        <v>5</v>
      </c>
      <c r="H542" s="12">
        <v>40</v>
      </c>
      <c r="I542" s="12">
        <v>200</v>
      </c>
      <c r="J542" s="12">
        <v>28751.5</v>
      </c>
      <c r="K542">
        <f t="shared" si="24"/>
        <v>2</v>
      </c>
      <c r="L542">
        <f t="shared" si="25"/>
        <v>1</v>
      </c>
      <c r="M542">
        <f t="shared" si="26"/>
        <v>1</v>
      </c>
    </row>
    <row r="543" spans="1:13" x14ac:dyDescent="0.25">
      <c r="A543" s="2" t="s">
        <v>272</v>
      </c>
      <c r="B543" s="11" t="s">
        <v>572</v>
      </c>
      <c r="C543" s="11" t="s">
        <v>4</v>
      </c>
      <c r="D543" s="11" t="s">
        <v>573</v>
      </c>
      <c r="E543" s="11" t="s">
        <v>132</v>
      </c>
      <c r="F543" s="11" t="s">
        <v>133</v>
      </c>
      <c r="G543" s="12">
        <v>4</v>
      </c>
      <c r="H543" s="12">
        <v>40</v>
      </c>
      <c r="I543" s="12">
        <v>160</v>
      </c>
      <c r="J543" s="12">
        <v>28911.5</v>
      </c>
      <c r="K543">
        <f t="shared" si="24"/>
        <v>4</v>
      </c>
      <c r="L543">
        <f t="shared" si="25"/>
        <v>1</v>
      </c>
      <c r="M543">
        <f t="shared" si="26"/>
        <v>1</v>
      </c>
    </row>
    <row r="544" spans="1:13" x14ac:dyDescent="0.25">
      <c r="A544" s="2" t="s">
        <v>272</v>
      </c>
      <c r="B544" s="11" t="s">
        <v>572</v>
      </c>
      <c r="C544" s="11" t="s">
        <v>4</v>
      </c>
      <c r="D544" s="11" t="s">
        <v>573</v>
      </c>
      <c r="E544" s="11" t="s">
        <v>130</v>
      </c>
      <c r="F544" s="11" t="s">
        <v>131</v>
      </c>
      <c r="G544" s="12">
        <v>2</v>
      </c>
      <c r="H544" s="12">
        <v>22</v>
      </c>
      <c r="I544" s="12">
        <v>44</v>
      </c>
      <c r="J544" s="12">
        <v>28955.5</v>
      </c>
      <c r="K544">
        <f t="shared" si="24"/>
        <v>4</v>
      </c>
      <c r="L544">
        <f t="shared" si="25"/>
        <v>1</v>
      </c>
      <c r="M544">
        <f t="shared" si="26"/>
        <v>1</v>
      </c>
    </row>
    <row r="545" spans="1:13" x14ac:dyDescent="0.25">
      <c r="A545" s="2" t="s">
        <v>272</v>
      </c>
      <c r="B545" s="11" t="s">
        <v>572</v>
      </c>
      <c r="C545" s="11" t="s">
        <v>4</v>
      </c>
      <c r="D545" s="11" t="s">
        <v>573</v>
      </c>
      <c r="E545" s="11" t="s">
        <v>331</v>
      </c>
      <c r="F545" s="11" t="s">
        <v>462</v>
      </c>
      <c r="G545" s="12">
        <v>10</v>
      </c>
      <c r="H545" s="12">
        <v>35</v>
      </c>
      <c r="I545" s="12">
        <v>350</v>
      </c>
      <c r="J545" s="12">
        <v>29305.5</v>
      </c>
      <c r="K545">
        <f t="shared" si="24"/>
        <v>5</v>
      </c>
      <c r="L545">
        <f t="shared" si="25"/>
        <v>1</v>
      </c>
      <c r="M545">
        <f t="shared" si="26"/>
        <v>1</v>
      </c>
    </row>
    <row r="546" spans="1:13" x14ac:dyDescent="0.25">
      <c r="A546" s="2" t="s">
        <v>272</v>
      </c>
      <c r="B546" s="11" t="s">
        <v>572</v>
      </c>
      <c r="C546" s="11" t="s">
        <v>4</v>
      </c>
      <c r="D546" s="11" t="s">
        <v>573</v>
      </c>
      <c r="E546" s="11" t="s">
        <v>465</v>
      </c>
      <c r="F546" s="11" t="s">
        <v>466</v>
      </c>
      <c r="G546" s="12">
        <v>8</v>
      </c>
      <c r="H546" s="12">
        <v>35</v>
      </c>
      <c r="I546" s="12">
        <v>280</v>
      </c>
      <c r="J546" s="12">
        <v>29585.5</v>
      </c>
      <c r="K546">
        <f t="shared" si="24"/>
        <v>6</v>
      </c>
      <c r="L546">
        <f t="shared" si="25"/>
        <v>1</v>
      </c>
      <c r="M546">
        <f t="shared" si="26"/>
        <v>1</v>
      </c>
    </row>
    <row r="547" spans="1:13" x14ac:dyDescent="0.25">
      <c r="A547" s="2" t="s">
        <v>272</v>
      </c>
      <c r="B547" s="11" t="s">
        <v>572</v>
      </c>
      <c r="C547" s="11" t="s">
        <v>4</v>
      </c>
      <c r="D547" s="11" t="s">
        <v>573</v>
      </c>
      <c r="E547" s="11" t="s">
        <v>553</v>
      </c>
      <c r="F547" s="11" t="s">
        <v>589</v>
      </c>
      <c r="G547" s="12">
        <v>2</v>
      </c>
      <c r="H547" s="12">
        <v>22</v>
      </c>
      <c r="I547" s="12">
        <v>44</v>
      </c>
      <c r="J547" s="12">
        <v>29629.5</v>
      </c>
      <c r="K547">
        <f t="shared" si="24"/>
        <v>2</v>
      </c>
      <c r="L547">
        <f t="shared" si="25"/>
        <v>1</v>
      </c>
      <c r="M547">
        <f t="shared" si="26"/>
        <v>1</v>
      </c>
    </row>
    <row r="548" spans="1:13" x14ac:dyDescent="0.25">
      <c r="A548" s="2" t="s">
        <v>272</v>
      </c>
      <c r="B548" s="11" t="s">
        <v>572</v>
      </c>
      <c r="C548" s="11" t="s">
        <v>4</v>
      </c>
      <c r="D548" s="11" t="s">
        <v>573</v>
      </c>
      <c r="E548" s="11" t="s">
        <v>557</v>
      </c>
      <c r="F548" s="11" t="s">
        <v>558</v>
      </c>
      <c r="G548" s="12">
        <v>4</v>
      </c>
      <c r="H548" s="12">
        <v>22</v>
      </c>
      <c r="I548" s="12">
        <v>88</v>
      </c>
      <c r="J548" s="12">
        <v>29717.5</v>
      </c>
      <c r="K548">
        <f t="shared" si="24"/>
        <v>2</v>
      </c>
      <c r="L548">
        <f t="shared" si="25"/>
        <v>1</v>
      </c>
      <c r="M548">
        <f t="shared" si="26"/>
        <v>1</v>
      </c>
    </row>
    <row r="549" spans="1:13" x14ac:dyDescent="0.25">
      <c r="A549" s="2" t="s">
        <v>272</v>
      </c>
      <c r="B549" s="11" t="s">
        <v>590</v>
      </c>
      <c r="C549" s="11" t="s">
        <v>4</v>
      </c>
      <c r="D549" s="11" t="s">
        <v>591</v>
      </c>
      <c r="E549" s="11" t="s">
        <v>328</v>
      </c>
      <c r="F549" s="11" t="s">
        <v>461</v>
      </c>
      <c r="G549" s="12">
        <v>2</v>
      </c>
      <c r="H549" s="12">
        <v>81</v>
      </c>
      <c r="I549" s="12">
        <v>162</v>
      </c>
      <c r="J549" s="12">
        <v>29879.5</v>
      </c>
      <c r="K549">
        <f t="shared" si="24"/>
        <v>6</v>
      </c>
      <c r="L549">
        <f t="shared" si="25"/>
        <v>1</v>
      </c>
      <c r="M549">
        <f t="shared" si="26"/>
        <v>1</v>
      </c>
    </row>
    <row r="550" spans="1:13" x14ac:dyDescent="0.25">
      <c r="A550" s="2" t="s">
        <v>272</v>
      </c>
      <c r="B550" s="11" t="s">
        <v>590</v>
      </c>
      <c r="C550" s="11" t="s">
        <v>4</v>
      </c>
      <c r="D550" s="11" t="s">
        <v>591</v>
      </c>
      <c r="E550" s="11" t="s">
        <v>424</v>
      </c>
      <c r="F550" s="11" t="s">
        <v>425</v>
      </c>
      <c r="G550" s="12">
        <v>6</v>
      </c>
      <c r="H550" s="12">
        <v>13.95</v>
      </c>
      <c r="I550" s="12">
        <v>83.7</v>
      </c>
      <c r="J550" s="12">
        <v>29963.200000000001</v>
      </c>
      <c r="K550">
        <f t="shared" si="24"/>
        <v>6</v>
      </c>
      <c r="L550">
        <f t="shared" si="25"/>
        <v>1</v>
      </c>
      <c r="M550">
        <f t="shared" si="26"/>
        <v>1</v>
      </c>
    </row>
    <row r="551" spans="1:13" x14ac:dyDescent="0.25">
      <c r="A551" s="2" t="s">
        <v>272</v>
      </c>
      <c r="B551" s="11" t="s">
        <v>590</v>
      </c>
      <c r="C551" s="11" t="s">
        <v>4</v>
      </c>
      <c r="D551" s="11" t="s">
        <v>591</v>
      </c>
      <c r="E551" s="11" t="s">
        <v>80</v>
      </c>
      <c r="F551" s="11" t="s">
        <v>81</v>
      </c>
      <c r="G551" s="12">
        <v>4</v>
      </c>
      <c r="H551" s="12">
        <v>13.5</v>
      </c>
      <c r="I551" s="12">
        <v>54</v>
      </c>
      <c r="J551" s="12">
        <v>30017.200000000001</v>
      </c>
      <c r="K551">
        <f t="shared" si="24"/>
        <v>8</v>
      </c>
      <c r="L551">
        <f t="shared" si="25"/>
        <v>1</v>
      </c>
      <c r="M551">
        <f t="shared" si="26"/>
        <v>1</v>
      </c>
    </row>
    <row r="552" spans="1:13" x14ac:dyDescent="0.25">
      <c r="A552" s="2" t="s">
        <v>272</v>
      </c>
      <c r="B552" s="11" t="s">
        <v>590</v>
      </c>
      <c r="C552" s="11" t="s">
        <v>4</v>
      </c>
      <c r="D552" s="11" t="s">
        <v>591</v>
      </c>
      <c r="E552" s="11" t="s">
        <v>350</v>
      </c>
      <c r="F552" s="11" t="s">
        <v>592</v>
      </c>
      <c r="G552" s="12">
        <v>10</v>
      </c>
      <c r="H552" s="12">
        <v>15.3</v>
      </c>
      <c r="I552" s="12">
        <v>153</v>
      </c>
      <c r="J552" s="12">
        <v>30170.2</v>
      </c>
      <c r="K552">
        <f t="shared" si="24"/>
        <v>5</v>
      </c>
      <c r="L552">
        <f t="shared" si="25"/>
        <v>1</v>
      </c>
      <c r="M552">
        <f t="shared" si="26"/>
        <v>1</v>
      </c>
    </row>
    <row r="553" spans="1:13" x14ac:dyDescent="0.25">
      <c r="A553" s="2" t="s">
        <v>272</v>
      </c>
      <c r="B553" s="11" t="s">
        <v>590</v>
      </c>
      <c r="C553" s="11" t="s">
        <v>4</v>
      </c>
      <c r="D553" s="11" t="s">
        <v>591</v>
      </c>
      <c r="E553" s="11" t="s">
        <v>366</v>
      </c>
      <c r="F553" s="11" t="s">
        <v>514</v>
      </c>
      <c r="G553" s="12">
        <v>2</v>
      </c>
      <c r="H553" s="12">
        <v>33.299999999999997</v>
      </c>
      <c r="I553" s="12">
        <v>66.599999999999994</v>
      </c>
      <c r="J553" s="12">
        <v>30236.799999999999</v>
      </c>
      <c r="K553">
        <f t="shared" si="24"/>
        <v>8</v>
      </c>
      <c r="L553">
        <f t="shared" si="25"/>
        <v>1</v>
      </c>
      <c r="M553">
        <f t="shared" si="26"/>
        <v>1</v>
      </c>
    </row>
    <row r="554" spans="1:13" x14ac:dyDescent="0.25">
      <c r="A554" s="2" t="s">
        <v>272</v>
      </c>
      <c r="B554" s="11" t="s">
        <v>590</v>
      </c>
      <c r="C554" s="11" t="s">
        <v>4</v>
      </c>
      <c r="D554" s="11" t="s">
        <v>591</v>
      </c>
      <c r="E554" s="11" t="s">
        <v>354</v>
      </c>
      <c r="F554" s="11" t="s">
        <v>355</v>
      </c>
      <c r="G554" s="12">
        <v>4</v>
      </c>
      <c r="H554" s="12">
        <v>15.3</v>
      </c>
      <c r="I554" s="12">
        <v>61.2</v>
      </c>
      <c r="J554" s="12">
        <v>30298</v>
      </c>
      <c r="K554">
        <f t="shared" si="24"/>
        <v>5</v>
      </c>
      <c r="L554">
        <f t="shared" si="25"/>
        <v>1</v>
      </c>
      <c r="M554">
        <f t="shared" si="26"/>
        <v>1</v>
      </c>
    </row>
    <row r="555" spans="1:13" x14ac:dyDescent="0.25">
      <c r="A555" s="2" t="s">
        <v>272</v>
      </c>
      <c r="B555" s="11" t="s">
        <v>590</v>
      </c>
      <c r="C555" s="11" t="s">
        <v>4</v>
      </c>
      <c r="D555" s="11" t="s">
        <v>591</v>
      </c>
      <c r="E555" s="11" t="s">
        <v>496</v>
      </c>
      <c r="F555" s="11" t="s">
        <v>515</v>
      </c>
      <c r="G555" s="12">
        <v>3</v>
      </c>
      <c r="H555" s="12">
        <v>19.8</v>
      </c>
      <c r="I555" s="12">
        <v>59.4</v>
      </c>
      <c r="J555" s="12">
        <v>30357.4</v>
      </c>
      <c r="K555">
        <f t="shared" si="24"/>
        <v>5</v>
      </c>
      <c r="L555">
        <f t="shared" si="25"/>
        <v>1</v>
      </c>
      <c r="M555">
        <f t="shared" si="26"/>
        <v>1</v>
      </c>
    </row>
    <row r="556" spans="1:13" x14ac:dyDescent="0.25">
      <c r="A556" s="2" t="s">
        <v>272</v>
      </c>
      <c r="B556" s="11" t="s">
        <v>590</v>
      </c>
      <c r="C556" s="11" t="s">
        <v>4</v>
      </c>
      <c r="D556" s="11" t="s">
        <v>591</v>
      </c>
      <c r="E556" s="11" t="s">
        <v>593</v>
      </c>
      <c r="F556" s="11" t="s">
        <v>594</v>
      </c>
      <c r="G556" s="12">
        <v>8</v>
      </c>
      <c r="H556" s="12">
        <v>18</v>
      </c>
      <c r="I556" s="12">
        <v>144</v>
      </c>
      <c r="J556" s="12">
        <v>30501.4</v>
      </c>
      <c r="K556">
        <f t="shared" si="24"/>
        <v>2</v>
      </c>
      <c r="L556">
        <f t="shared" si="25"/>
        <v>1</v>
      </c>
      <c r="M556">
        <f t="shared" si="26"/>
        <v>1</v>
      </c>
    </row>
    <row r="557" spans="1:13" x14ac:dyDescent="0.25">
      <c r="A557" s="2" t="s">
        <v>272</v>
      </c>
      <c r="B557" s="11" t="s">
        <v>590</v>
      </c>
      <c r="C557" s="11" t="s">
        <v>4</v>
      </c>
      <c r="D557" s="11" t="s">
        <v>591</v>
      </c>
      <c r="E557" s="11" t="s">
        <v>595</v>
      </c>
      <c r="F557" s="11" t="s">
        <v>596</v>
      </c>
      <c r="G557" s="12">
        <v>8</v>
      </c>
      <c r="H557" s="12">
        <v>18</v>
      </c>
      <c r="I557" s="12">
        <v>144</v>
      </c>
      <c r="J557" s="12">
        <v>30645.4</v>
      </c>
      <c r="K557">
        <f t="shared" si="24"/>
        <v>1</v>
      </c>
      <c r="L557">
        <f t="shared" si="25"/>
        <v>1</v>
      </c>
      <c r="M557">
        <f t="shared" si="26"/>
        <v>1</v>
      </c>
    </row>
    <row r="558" spans="1:13" x14ac:dyDescent="0.25">
      <c r="A558" s="2" t="s">
        <v>272</v>
      </c>
      <c r="B558" s="11" t="s">
        <v>590</v>
      </c>
      <c r="C558" s="11" t="s">
        <v>4</v>
      </c>
      <c r="D558" s="11" t="s">
        <v>591</v>
      </c>
      <c r="E558" s="11" t="s">
        <v>597</v>
      </c>
      <c r="F558" s="11" t="s">
        <v>598</v>
      </c>
      <c r="G558" s="12">
        <v>4</v>
      </c>
      <c r="H558" s="12">
        <v>18</v>
      </c>
      <c r="I558" s="12">
        <v>72</v>
      </c>
      <c r="J558" s="12">
        <v>30717.4</v>
      </c>
      <c r="K558">
        <f t="shared" si="24"/>
        <v>1</v>
      </c>
      <c r="L558">
        <f t="shared" si="25"/>
        <v>1</v>
      </c>
      <c r="M558">
        <f t="shared" si="26"/>
        <v>1</v>
      </c>
    </row>
    <row r="559" spans="1:13" x14ac:dyDescent="0.25">
      <c r="A559" s="2" t="s">
        <v>272</v>
      </c>
      <c r="B559" s="11" t="s">
        <v>590</v>
      </c>
      <c r="C559" s="11" t="s">
        <v>4</v>
      </c>
      <c r="D559" s="11" t="s">
        <v>591</v>
      </c>
      <c r="E559" s="11" t="s">
        <v>587</v>
      </c>
      <c r="F559" s="11" t="s">
        <v>588</v>
      </c>
      <c r="G559" s="12">
        <v>4</v>
      </c>
      <c r="H559" s="12">
        <v>10.125</v>
      </c>
      <c r="I559" s="12">
        <v>40.5</v>
      </c>
      <c r="J559" s="12">
        <v>30757.9</v>
      </c>
      <c r="K559">
        <f t="shared" si="24"/>
        <v>2</v>
      </c>
      <c r="L559">
        <f t="shared" si="25"/>
        <v>1</v>
      </c>
      <c r="M559">
        <f t="shared" si="26"/>
        <v>1</v>
      </c>
    </row>
    <row r="560" spans="1:13" x14ac:dyDescent="0.25">
      <c r="A560" s="2" t="s">
        <v>272</v>
      </c>
      <c r="B560" s="11" t="s">
        <v>590</v>
      </c>
      <c r="C560" s="11" t="s">
        <v>4</v>
      </c>
      <c r="D560" s="11" t="s">
        <v>591</v>
      </c>
      <c r="E560" s="11" t="s">
        <v>290</v>
      </c>
      <c r="F560" s="11" t="s">
        <v>451</v>
      </c>
      <c r="G560" s="12">
        <v>5</v>
      </c>
      <c r="H560" s="12">
        <v>27</v>
      </c>
      <c r="I560" s="12">
        <v>135</v>
      </c>
      <c r="J560" s="12">
        <v>30892.9</v>
      </c>
      <c r="K560">
        <f t="shared" si="24"/>
        <v>5</v>
      </c>
      <c r="L560">
        <f t="shared" si="25"/>
        <v>1</v>
      </c>
      <c r="M560">
        <f t="shared" si="26"/>
        <v>1</v>
      </c>
    </row>
    <row r="561" spans="1:13" x14ac:dyDescent="0.25">
      <c r="A561" s="2" t="s">
        <v>272</v>
      </c>
      <c r="B561" s="11" t="s">
        <v>590</v>
      </c>
      <c r="C561" s="11" t="s">
        <v>4</v>
      </c>
      <c r="D561" s="11" t="s">
        <v>591</v>
      </c>
      <c r="E561" s="11" t="s">
        <v>292</v>
      </c>
      <c r="F561" s="11" t="s">
        <v>452</v>
      </c>
      <c r="G561" s="12">
        <v>5</v>
      </c>
      <c r="H561" s="12">
        <v>27</v>
      </c>
      <c r="I561" s="12">
        <v>135</v>
      </c>
      <c r="J561" s="12">
        <v>31027.9</v>
      </c>
      <c r="K561">
        <f t="shared" si="24"/>
        <v>5</v>
      </c>
      <c r="L561">
        <f t="shared" si="25"/>
        <v>1</v>
      </c>
      <c r="M561">
        <f t="shared" si="26"/>
        <v>1</v>
      </c>
    </row>
    <row r="562" spans="1:13" x14ac:dyDescent="0.25">
      <c r="A562" s="2" t="s">
        <v>272</v>
      </c>
      <c r="B562" s="11" t="s">
        <v>590</v>
      </c>
      <c r="C562" s="11" t="s">
        <v>4</v>
      </c>
      <c r="D562" s="11" t="s">
        <v>591</v>
      </c>
      <c r="E562" s="11" t="s">
        <v>296</v>
      </c>
      <c r="F562" s="11" t="s">
        <v>453</v>
      </c>
      <c r="G562" s="12">
        <v>4</v>
      </c>
      <c r="H562" s="12">
        <v>18.899999999999999</v>
      </c>
      <c r="I562" s="12">
        <v>75.599999999999994</v>
      </c>
      <c r="J562" s="12">
        <v>31103.5</v>
      </c>
      <c r="K562">
        <f t="shared" si="24"/>
        <v>6</v>
      </c>
      <c r="L562">
        <f t="shared" si="25"/>
        <v>1</v>
      </c>
      <c r="M562">
        <f t="shared" si="26"/>
        <v>1</v>
      </c>
    </row>
    <row r="563" spans="1:13" x14ac:dyDescent="0.25">
      <c r="A563" s="2" t="s">
        <v>272</v>
      </c>
      <c r="B563" s="11" t="s">
        <v>590</v>
      </c>
      <c r="C563" s="11" t="s">
        <v>4</v>
      </c>
      <c r="D563" s="11" t="s">
        <v>591</v>
      </c>
      <c r="E563" s="11" t="s">
        <v>298</v>
      </c>
      <c r="F563" s="11" t="s">
        <v>454</v>
      </c>
      <c r="G563" s="12">
        <v>2</v>
      </c>
      <c r="H563" s="12">
        <v>17.100000000000001</v>
      </c>
      <c r="I563" s="12">
        <v>34.200000000000003</v>
      </c>
      <c r="J563" s="12">
        <v>31137.7</v>
      </c>
      <c r="K563">
        <f t="shared" si="24"/>
        <v>8</v>
      </c>
      <c r="L563">
        <f t="shared" si="25"/>
        <v>1</v>
      </c>
      <c r="M563">
        <f t="shared" si="26"/>
        <v>1</v>
      </c>
    </row>
    <row r="564" spans="1:13" x14ac:dyDescent="0.25">
      <c r="A564" s="2" t="s">
        <v>272</v>
      </c>
      <c r="B564" s="11" t="s">
        <v>590</v>
      </c>
      <c r="C564" s="11" t="s">
        <v>4</v>
      </c>
      <c r="D564" s="11" t="s">
        <v>591</v>
      </c>
      <c r="E564" s="11" t="s">
        <v>302</v>
      </c>
      <c r="F564" s="11" t="s">
        <v>456</v>
      </c>
      <c r="G564" s="12">
        <v>3</v>
      </c>
      <c r="H564" s="12">
        <v>27</v>
      </c>
      <c r="I564" s="12">
        <v>81</v>
      </c>
      <c r="J564" s="12">
        <v>31218.7</v>
      </c>
      <c r="K564">
        <f t="shared" si="24"/>
        <v>6</v>
      </c>
      <c r="L564">
        <f t="shared" si="25"/>
        <v>1</v>
      </c>
      <c r="M564">
        <f t="shared" si="26"/>
        <v>1</v>
      </c>
    </row>
    <row r="565" spans="1:13" x14ac:dyDescent="0.25">
      <c r="A565" s="2" t="s">
        <v>272</v>
      </c>
      <c r="B565" s="11" t="s">
        <v>590</v>
      </c>
      <c r="C565" s="11" t="s">
        <v>4</v>
      </c>
      <c r="D565" s="11" t="s">
        <v>591</v>
      </c>
      <c r="E565" s="11" t="s">
        <v>490</v>
      </c>
      <c r="F565" s="11" t="s">
        <v>521</v>
      </c>
      <c r="G565" s="12">
        <v>1</v>
      </c>
      <c r="H565" s="12">
        <v>16.2</v>
      </c>
      <c r="I565" s="12">
        <v>16.2</v>
      </c>
      <c r="J565" s="12">
        <v>31234.9</v>
      </c>
      <c r="K565">
        <f t="shared" si="24"/>
        <v>4</v>
      </c>
      <c r="L565">
        <f t="shared" si="25"/>
        <v>1</v>
      </c>
      <c r="M565">
        <f t="shared" si="26"/>
        <v>1</v>
      </c>
    </row>
    <row r="566" spans="1:13" x14ac:dyDescent="0.25">
      <c r="A566" s="2" t="s">
        <v>272</v>
      </c>
      <c r="B566" s="11" t="s">
        <v>590</v>
      </c>
      <c r="C566" s="11" t="s">
        <v>4</v>
      </c>
      <c r="D566" s="11" t="s">
        <v>591</v>
      </c>
      <c r="E566" s="11" t="s">
        <v>492</v>
      </c>
      <c r="F566" s="11" t="s">
        <v>493</v>
      </c>
      <c r="G566" s="12">
        <v>2</v>
      </c>
      <c r="H566" s="12">
        <v>28.8</v>
      </c>
      <c r="I566" s="12">
        <v>57.6</v>
      </c>
      <c r="J566" s="12">
        <v>31292.5</v>
      </c>
      <c r="K566">
        <f t="shared" si="24"/>
        <v>3</v>
      </c>
      <c r="L566">
        <f t="shared" si="25"/>
        <v>1</v>
      </c>
      <c r="M566">
        <f t="shared" si="26"/>
        <v>1</v>
      </c>
    </row>
    <row r="567" spans="1:13" x14ac:dyDescent="0.25">
      <c r="A567" s="2" t="s">
        <v>272</v>
      </c>
      <c r="B567" s="11" t="s">
        <v>590</v>
      </c>
      <c r="C567" s="11" t="s">
        <v>4</v>
      </c>
      <c r="D567" s="11" t="s">
        <v>591</v>
      </c>
      <c r="E567" s="11" t="s">
        <v>567</v>
      </c>
      <c r="F567" s="11" t="s">
        <v>568</v>
      </c>
      <c r="G567" s="12">
        <v>120</v>
      </c>
      <c r="H567" s="12">
        <v>4.95</v>
      </c>
      <c r="I567" s="12">
        <v>594</v>
      </c>
      <c r="J567" s="12">
        <v>31886.5</v>
      </c>
      <c r="K567">
        <f t="shared" si="24"/>
        <v>4</v>
      </c>
      <c r="L567">
        <f t="shared" si="25"/>
        <v>1</v>
      </c>
      <c r="M567">
        <f t="shared" si="26"/>
        <v>1</v>
      </c>
    </row>
    <row r="568" spans="1:13" hidden="1" x14ac:dyDescent="0.25">
      <c r="A568" s="16" t="s">
        <v>272</v>
      </c>
      <c r="B568" s="17" t="s">
        <v>590</v>
      </c>
      <c r="C568" s="17" t="s">
        <v>4</v>
      </c>
      <c r="D568" s="17" t="s">
        <v>591</v>
      </c>
      <c r="E568" s="17" t="s">
        <v>567</v>
      </c>
      <c r="F568" s="17" t="s">
        <v>568</v>
      </c>
      <c r="G568" s="18">
        <v>12</v>
      </c>
      <c r="H568" s="18">
        <v>0</v>
      </c>
      <c r="I568" s="18">
        <v>0</v>
      </c>
      <c r="J568" s="18">
        <v>31886.5</v>
      </c>
      <c r="K568">
        <f t="shared" si="24"/>
        <v>4</v>
      </c>
      <c r="L568">
        <f t="shared" si="25"/>
        <v>1</v>
      </c>
      <c r="M568">
        <f t="shared" si="26"/>
        <v>0</v>
      </c>
    </row>
    <row r="569" spans="1:13" x14ac:dyDescent="0.25">
      <c r="A569" s="2" t="s">
        <v>272</v>
      </c>
      <c r="B569" s="11" t="s">
        <v>590</v>
      </c>
      <c r="C569" s="11" t="s">
        <v>4</v>
      </c>
      <c r="D569" s="11" t="s">
        <v>591</v>
      </c>
      <c r="E569" s="11" t="s">
        <v>426</v>
      </c>
      <c r="F569" s="11" t="s">
        <v>427</v>
      </c>
      <c r="G569" s="12">
        <v>3</v>
      </c>
      <c r="H569" s="12">
        <v>13.5</v>
      </c>
      <c r="I569" s="12">
        <v>40.5</v>
      </c>
      <c r="J569" s="12">
        <v>31927</v>
      </c>
      <c r="K569">
        <f t="shared" si="24"/>
        <v>6</v>
      </c>
      <c r="L569">
        <f t="shared" si="25"/>
        <v>1</v>
      </c>
      <c r="M569">
        <f t="shared" si="26"/>
        <v>1</v>
      </c>
    </row>
    <row r="570" spans="1:13" x14ac:dyDescent="0.25">
      <c r="A570" s="2" t="s">
        <v>272</v>
      </c>
      <c r="B570" s="11" t="s">
        <v>590</v>
      </c>
      <c r="C570" s="11" t="s">
        <v>4</v>
      </c>
      <c r="D570" s="11" t="s">
        <v>591</v>
      </c>
      <c r="E570" s="11" t="s">
        <v>502</v>
      </c>
      <c r="F570" s="11" t="s">
        <v>548</v>
      </c>
      <c r="G570" s="12">
        <v>2</v>
      </c>
      <c r="H570" s="12">
        <v>19.8</v>
      </c>
      <c r="I570" s="12">
        <v>39.6</v>
      </c>
      <c r="J570" s="12">
        <v>31966.6</v>
      </c>
      <c r="K570">
        <f t="shared" si="24"/>
        <v>5</v>
      </c>
      <c r="L570">
        <f t="shared" si="25"/>
        <v>1</v>
      </c>
      <c r="M570">
        <f t="shared" si="26"/>
        <v>1</v>
      </c>
    </row>
    <row r="571" spans="1:13" x14ac:dyDescent="0.25">
      <c r="A571" s="2" t="s">
        <v>272</v>
      </c>
      <c r="B571" s="11" t="s">
        <v>590</v>
      </c>
      <c r="C571" s="11" t="s">
        <v>4</v>
      </c>
      <c r="D571" s="11" t="s">
        <v>591</v>
      </c>
      <c r="E571" s="11" t="s">
        <v>504</v>
      </c>
      <c r="F571" s="11" t="s">
        <v>549</v>
      </c>
      <c r="G571" s="12">
        <v>3</v>
      </c>
      <c r="H571" s="12">
        <v>19.8</v>
      </c>
      <c r="I571" s="12">
        <v>59.4</v>
      </c>
      <c r="J571" s="12">
        <v>32026</v>
      </c>
      <c r="K571">
        <f t="shared" si="24"/>
        <v>3</v>
      </c>
      <c r="L571">
        <f t="shared" si="25"/>
        <v>1</v>
      </c>
      <c r="M571">
        <f t="shared" si="26"/>
        <v>1</v>
      </c>
    </row>
    <row r="572" spans="1:13" x14ac:dyDescent="0.25">
      <c r="A572" s="2" t="s">
        <v>272</v>
      </c>
      <c r="B572" s="11" t="s">
        <v>590</v>
      </c>
      <c r="C572" s="11" t="s">
        <v>4</v>
      </c>
      <c r="D572" s="11" t="s">
        <v>591</v>
      </c>
      <c r="E572" s="11" t="s">
        <v>555</v>
      </c>
      <c r="F572" s="11" t="s">
        <v>599</v>
      </c>
      <c r="G572" s="12">
        <v>2</v>
      </c>
      <c r="H572" s="12">
        <v>19.8</v>
      </c>
      <c r="I572" s="12">
        <v>39.6</v>
      </c>
      <c r="J572" s="12">
        <v>32065.599999999999</v>
      </c>
      <c r="K572">
        <f t="shared" si="24"/>
        <v>2</v>
      </c>
      <c r="L572">
        <f t="shared" si="25"/>
        <v>1</v>
      </c>
      <c r="M572">
        <f t="shared" si="26"/>
        <v>1</v>
      </c>
    </row>
    <row r="573" spans="1:13" x14ac:dyDescent="0.25">
      <c r="A573" s="2" t="s">
        <v>272</v>
      </c>
      <c r="B573" s="11" t="s">
        <v>590</v>
      </c>
      <c r="C573" s="11" t="s">
        <v>4</v>
      </c>
      <c r="D573" s="11" t="s">
        <v>591</v>
      </c>
      <c r="E573" s="11" t="s">
        <v>358</v>
      </c>
      <c r="F573" s="11" t="s">
        <v>359</v>
      </c>
      <c r="G573" s="12">
        <v>6</v>
      </c>
      <c r="H573" s="12">
        <v>15.3</v>
      </c>
      <c r="I573" s="12">
        <v>91.8</v>
      </c>
      <c r="J573" s="12">
        <v>32157.399999999998</v>
      </c>
      <c r="K573">
        <f t="shared" si="24"/>
        <v>5</v>
      </c>
      <c r="L573">
        <f t="shared" si="25"/>
        <v>1</v>
      </c>
      <c r="M573">
        <f t="shared" si="26"/>
        <v>1</v>
      </c>
    </row>
    <row r="574" spans="1:13" x14ac:dyDescent="0.25">
      <c r="A574" s="2" t="s">
        <v>272</v>
      </c>
      <c r="B574" s="11" t="s">
        <v>590</v>
      </c>
      <c r="C574" s="11" t="s">
        <v>4</v>
      </c>
      <c r="D574" s="11" t="s">
        <v>591</v>
      </c>
      <c r="E574" s="11" t="s">
        <v>362</v>
      </c>
      <c r="F574" s="11" t="s">
        <v>363</v>
      </c>
      <c r="G574" s="12">
        <v>6</v>
      </c>
      <c r="H574" s="12">
        <v>15.3</v>
      </c>
      <c r="I574" s="12">
        <v>91.8</v>
      </c>
      <c r="J574" s="12">
        <v>32249.199999999997</v>
      </c>
      <c r="K574">
        <f t="shared" si="24"/>
        <v>2</v>
      </c>
      <c r="L574">
        <f t="shared" si="25"/>
        <v>1</v>
      </c>
      <c r="M574">
        <f t="shared" si="26"/>
        <v>1</v>
      </c>
    </row>
    <row r="575" spans="1:13" x14ac:dyDescent="0.25">
      <c r="A575" s="2" t="s">
        <v>272</v>
      </c>
      <c r="B575" s="11" t="s">
        <v>590</v>
      </c>
      <c r="C575" s="11" t="s">
        <v>4</v>
      </c>
      <c r="D575" s="11" t="s">
        <v>591</v>
      </c>
      <c r="E575" s="11" t="s">
        <v>360</v>
      </c>
      <c r="F575" s="11" t="s">
        <v>361</v>
      </c>
      <c r="G575" s="12">
        <v>6</v>
      </c>
      <c r="H575" s="12">
        <v>15.3</v>
      </c>
      <c r="I575" s="12">
        <v>91.8</v>
      </c>
      <c r="J575" s="12">
        <v>32340.999999999996</v>
      </c>
      <c r="K575">
        <f t="shared" si="24"/>
        <v>5</v>
      </c>
      <c r="L575">
        <f t="shared" si="25"/>
        <v>1</v>
      </c>
      <c r="M575">
        <f t="shared" si="26"/>
        <v>1</v>
      </c>
    </row>
    <row r="576" spans="1:13" x14ac:dyDescent="0.25">
      <c r="A576" s="2" t="s">
        <v>272</v>
      </c>
      <c r="B576" s="11" t="s">
        <v>590</v>
      </c>
      <c r="C576" s="11" t="s">
        <v>4</v>
      </c>
      <c r="D576" s="11" t="s">
        <v>591</v>
      </c>
      <c r="E576" s="11" t="s">
        <v>331</v>
      </c>
      <c r="F576" s="11" t="s">
        <v>462</v>
      </c>
      <c r="G576" s="12">
        <v>10</v>
      </c>
      <c r="H576" s="12">
        <v>35.1</v>
      </c>
      <c r="I576" s="12">
        <v>351</v>
      </c>
      <c r="J576" s="12">
        <v>32691.999999999996</v>
      </c>
      <c r="K576">
        <f t="shared" si="24"/>
        <v>5</v>
      </c>
      <c r="L576">
        <f t="shared" si="25"/>
        <v>1</v>
      </c>
      <c r="M576">
        <f t="shared" si="26"/>
        <v>1</v>
      </c>
    </row>
    <row r="577" spans="1:13" x14ac:dyDescent="0.25">
      <c r="A577" s="2" t="s">
        <v>272</v>
      </c>
      <c r="B577" s="11" t="s">
        <v>590</v>
      </c>
      <c r="C577" s="11" t="s">
        <v>4</v>
      </c>
      <c r="D577" s="11" t="s">
        <v>591</v>
      </c>
      <c r="E577" s="11" t="s">
        <v>465</v>
      </c>
      <c r="F577" s="11" t="s">
        <v>466</v>
      </c>
      <c r="G577" s="12">
        <v>6</v>
      </c>
      <c r="H577" s="12">
        <v>35.1</v>
      </c>
      <c r="I577" s="12">
        <v>210.6</v>
      </c>
      <c r="J577" s="12">
        <v>32902.6</v>
      </c>
      <c r="K577">
        <f t="shared" si="24"/>
        <v>6</v>
      </c>
      <c r="L577">
        <f t="shared" si="25"/>
        <v>1</v>
      </c>
      <c r="M577">
        <f t="shared" si="26"/>
        <v>1</v>
      </c>
    </row>
    <row r="578" spans="1:13" x14ac:dyDescent="0.25">
      <c r="A578" s="2" t="s">
        <v>272</v>
      </c>
      <c r="B578" s="11" t="s">
        <v>590</v>
      </c>
      <c r="C578" s="11" t="s">
        <v>4</v>
      </c>
      <c r="D578" s="11" t="s">
        <v>591</v>
      </c>
      <c r="E578" s="11" t="s">
        <v>333</v>
      </c>
      <c r="F578" s="11" t="s">
        <v>467</v>
      </c>
      <c r="G578" s="12">
        <v>6</v>
      </c>
      <c r="H578" s="12">
        <v>35.1</v>
      </c>
      <c r="I578" s="12">
        <v>210.6</v>
      </c>
      <c r="J578" s="12">
        <v>33113.199999999997</v>
      </c>
      <c r="K578">
        <f t="shared" si="24"/>
        <v>5</v>
      </c>
      <c r="L578">
        <f t="shared" si="25"/>
        <v>1</v>
      </c>
      <c r="M578">
        <f t="shared" si="26"/>
        <v>1</v>
      </c>
    </row>
    <row r="579" spans="1:13" x14ac:dyDescent="0.25">
      <c r="A579" s="2" t="s">
        <v>272</v>
      </c>
      <c r="B579" s="11" t="s">
        <v>590</v>
      </c>
      <c r="C579" s="11" t="s">
        <v>4</v>
      </c>
      <c r="D579" s="11" t="s">
        <v>5</v>
      </c>
      <c r="E579" s="11" t="s">
        <v>44</v>
      </c>
      <c r="F579" s="11" t="s">
        <v>45</v>
      </c>
      <c r="G579" s="12">
        <v>20</v>
      </c>
      <c r="H579" s="12">
        <v>35</v>
      </c>
      <c r="I579" s="12">
        <v>700</v>
      </c>
      <c r="J579" s="12">
        <v>33813.199999999997</v>
      </c>
      <c r="K579">
        <f t="shared" ref="K579:K642" si="27">COUNTIF($E$2:$E$1466,E579)</f>
        <v>5</v>
      </c>
      <c r="L579">
        <f t="shared" ref="L579:L642" si="28">IF(G579&gt;0,1,0)</f>
        <v>1</v>
      </c>
      <c r="M579">
        <f t="shared" ref="M579:M642" si="29">IF(H579&gt;0,1,0)</f>
        <v>1</v>
      </c>
    </row>
    <row r="580" spans="1:13" x14ac:dyDescent="0.25">
      <c r="A580" s="2" t="s">
        <v>272</v>
      </c>
      <c r="B580" s="11" t="s">
        <v>590</v>
      </c>
      <c r="C580" s="11" t="s">
        <v>4</v>
      </c>
      <c r="D580" s="11" t="s">
        <v>5</v>
      </c>
      <c r="E580" s="11" t="s">
        <v>50</v>
      </c>
      <c r="F580" s="11" t="s">
        <v>51</v>
      </c>
      <c r="G580" s="12">
        <v>3</v>
      </c>
      <c r="H580" s="12">
        <v>35</v>
      </c>
      <c r="I580" s="12">
        <v>105</v>
      </c>
      <c r="J580" s="12">
        <v>33918.199999999997</v>
      </c>
      <c r="K580">
        <f t="shared" si="27"/>
        <v>7</v>
      </c>
      <c r="L580">
        <f t="shared" si="28"/>
        <v>1</v>
      </c>
      <c r="M580">
        <f t="shared" si="29"/>
        <v>1</v>
      </c>
    </row>
    <row r="581" spans="1:13" x14ac:dyDescent="0.25">
      <c r="A581" s="2" t="s">
        <v>272</v>
      </c>
      <c r="B581" s="11" t="s">
        <v>590</v>
      </c>
      <c r="C581" s="11" t="s">
        <v>4</v>
      </c>
      <c r="D581" s="11" t="s">
        <v>5</v>
      </c>
      <c r="E581" s="11" t="s">
        <v>46</v>
      </c>
      <c r="F581" s="11" t="s">
        <v>47</v>
      </c>
      <c r="G581" s="12">
        <v>4</v>
      </c>
      <c r="H581" s="12">
        <v>35</v>
      </c>
      <c r="I581" s="12">
        <v>140</v>
      </c>
      <c r="J581" s="12">
        <v>34058.199999999997</v>
      </c>
      <c r="K581">
        <f t="shared" si="27"/>
        <v>7</v>
      </c>
      <c r="L581">
        <f t="shared" si="28"/>
        <v>1</v>
      </c>
      <c r="M581">
        <f t="shared" si="29"/>
        <v>1</v>
      </c>
    </row>
    <row r="582" spans="1:13" x14ac:dyDescent="0.25">
      <c r="A582" s="2" t="s">
        <v>272</v>
      </c>
      <c r="B582" s="11" t="s">
        <v>600</v>
      </c>
      <c r="C582" s="11" t="s">
        <v>4</v>
      </c>
      <c r="D582" s="11" t="s">
        <v>601</v>
      </c>
      <c r="E582" s="11" t="s">
        <v>384</v>
      </c>
      <c r="F582" s="11" t="s">
        <v>385</v>
      </c>
      <c r="G582" s="12">
        <v>3</v>
      </c>
      <c r="H582" s="12">
        <v>64.349999999999994</v>
      </c>
      <c r="I582" s="12">
        <v>193.05</v>
      </c>
      <c r="J582" s="12">
        <v>34251.25</v>
      </c>
      <c r="K582">
        <f t="shared" si="27"/>
        <v>3</v>
      </c>
      <c r="L582">
        <f t="shared" si="28"/>
        <v>1</v>
      </c>
      <c r="M582">
        <f t="shared" si="29"/>
        <v>1</v>
      </c>
    </row>
    <row r="583" spans="1:13" x14ac:dyDescent="0.25">
      <c r="A583" s="2" t="s">
        <v>272</v>
      </c>
      <c r="B583" s="11" t="s">
        <v>600</v>
      </c>
      <c r="C583" s="11" t="s">
        <v>4</v>
      </c>
      <c r="D583" s="11" t="s">
        <v>601</v>
      </c>
      <c r="E583" s="11" t="s">
        <v>473</v>
      </c>
      <c r="F583" s="11" t="s">
        <v>474</v>
      </c>
      <c r="G583" s="12">
        <v>3</v>
      </c>
      <c r="H583" s="12">
        <v>63.45</v>
      </c>
      <c r="I583" s="12">
        <v>190.35</v>
      </c>
      <c r="J583" s="12">
        <v>34441.599999999999</v>
      </c>
      <c r="K583">
        <f t="shared" si="27"/>
        <v>4</v>
      </c>
      <c r="L583">
        <f t="shared" si="28"/>
        <v>1</v>
      </c>
      <c r="M583">
        <f t="shared" si="29"/>
        <v>1</v>
      </c>
    </row>
    <row r="584" spans="1:13" x14ac:dyDescent="0.25">
      <c r="A584" s="2" t="s">
        <v>272</v>
      </c>
      <c r="B584" s="11" t="s">
        <v>600</v>
      </c>
      <c r="C584" s="11" t="s">
        <v>4</v>
      </c>
      <c r="D584" s="11" t="s">
        <v>601</v>
      </c>
      <c r="E584" s="11" t="s">
        <v>388</v>
      </c>
      <c r="F584" s="11" t="s">
        <v>602</v>
      </c>
      <c r="G584" s="12">
        <v>5</v>
      </c>
      <c r="H584" s="12">
        <v>53.55</v>
      </c>
      <c r="I584" s="12">
        <v>267.75</v>
      </c>
      <c r="J584" s="12">
        <v>34709.35</v>
      </c>
      <c r="K584">
        <f t="shared" si="27"/>
        <v>4</v>
      </c>
      <c r="L584">
        <f t="shared" si="28"/>
        <v>1</v>
      </c>
      <c r="M584">
        <f t="shared" si="29"/>
        <v>1</v>
      </c>
    </row>
    <row r="585" spans="1:13" x14ac:dyDescent="0.25">
      <c r="A585" s="2" t="s">
        <v>272</v>
      </c>
      <c r="B585" s="11" t="s">
        <v>600</v>
      </c>
      <c r="C585" s="11" t="s">
        <v>4</v>
      </c>
      <c r="D585" s="11" t="s">
        <v>601</v>
      </c>
      <c r="E585" s="11" t="s">
        <v>603</v>
      </c>
      <c r="F585" s="11" t="s">
        <v>603</v>
      </c>
      <c r="G585" s="12">
        <v>20</v>
      </c>
      <c r="H585" s="12">
        <v>5.625</v>
      </c>
      <c r="I585" s="12">
        <v>112.5</v>
      </c>
      <c r="J585" s="12">
        <v>34821.85</v>
      </c>
      <c r="K585">
        <f t="shared" si="27"/>
        <v>2</v>
      </c>
      <c r="L585">
        <f t="shared" si="28"/>
        <v>1</v>
      </c>
      <c r="M585">
        <f t="shared" si="29"/>
        <v>1</v>
      </c>
    </row>
    <row r="586" spans="1:13" x14ac:dyDescent="0.25">
      <c r="A586" s="2" t="s">
        <v>272</v>
      </c>
      <c r="B586" s="11" t="s">
        <v>600</v>
      </c>
      <c r="C586" s="11" t="s">
        <v>4</v>
      </c>
      <c r="D586" s="11" t="s">
        <v>601</v>
      </c>
      <c r="E586" s="11" t="s">
        <v>604</v>
      </c>
      <c r="F586" s="11" t="s">
        <v>604</v>
      </c>
      <c r="G586" s="12">
        <v>24</v>
      </c>
      <c r="H586" s="12">
        <v>4.5</v>
      </c>
      <c r="I586" s="12">
        <v>108</v>
      </c>
      <c r="J586" s="12">
        <v>34929.85</v>
      </c>
      <c r="K586">
        <f t="shared" si="27"/>
        <v>1</v>
      </c>
      <c r="L586">
        <f t="shared" si="28"/>
        <v>1</v>
      </c>
      <c r="M586">
        <f t="shared" si="29"/>
        <v>1</v>
      </c>
    </row>
    <row r="587" spans="1:13" x14ac:dyDescent="0.25">
      <c r="A587" s="2" t="s">
        <v>272</v>
      </c>
      <c r="B587" s="11" t="s">
        <v>600</v>
      </c>
      <c r="C587" s="11" t="s">
        <v>4</v>
      </c>
      <c r="D587" s="11" t="s">
        <v>601</v>
      </c>
      <c r="E587" s="11" t="s">
        <v>292</v>
      </c>
      <c r="F587" s="11" t="s">
        <v>452</v>
      </c>
      <c r="G587" s="12">
        <v>1</v>
      </c>
      <c r="H587" s="12">
        <v>27</v>
      </c>
      <c r="I587" s="12">
        <v>27</v>
      </c>
      <c r="J587" s="12">
        <v>34956.85</v>
      </c>
      <c r="K587">
        <f t="shared" si="27"/>
        <v>5</v>
      </c>
      <c r="L587">
        <f t="shared" si="28"/>
        <v>1</v>
      </c>
      <c r="M587">
        <f t="shared" si="29"/>
        <v>1</v>
      </c>
    </row>
    <row r="588" spans="1:13" x14ac:dyDescent="0.25">
      <c r="A588" s="2" t="s">
        <v>272</v>
      </c>
      <c r="B588" s="11" t="s">
        <v>600</v>
      </c>
      <c r="C588" s="11" t="s">
        <v>4</v>
      </c>
      <c r="D588" s="11" t="s">
        <v>601</v>
      </c>
      <c r="E588" s="11" t="s">
        <v>296</v>
      </c>
      <c r="F588" s="11" t="s">
        <v>453</v>
      </c>
      <c r="G588" s="12">
        <v>2</v>
      </c>
      <c r="H588" s="12">
        <v>18.899999999999999</v>
      </c>
      <c r="I588" s="12">
        <v>37.799999999999997</v>
      </c>
      <c r="J588" s="12">
        <v>34994.65</v>
      </c>
      <c r="K588">
        <f t="shared" si="27"/>
        <v>6</v>
      </c>
      <c r="L588">
        <f t="shared" si="28"/>
        <v>1</v>
      </c>
      <c r="M588">
        <f t="shared" si="29"/>
        <v>1</v>
      </c>
    </row>
    <row r="589" spans="1:13" x14ac:dyDescent="0.25">
      <c r="A589" s="2" t="s">
        <v>272</v>
      </c>
      <c r="B589" s="11" t="s">
        <v>600</v>
      </c>
      <c r="C589" s="11" t="s">
        <v>4</v>
      </c>
      <c r="D589" s="11" t="s">
        <v>601</v>
      </c>
      <c r="E589" s="11" t="s">
        <v>298</v>
      </c>
      <c r="F589" s="11" t="s">
        <v>454</v>
      </c>
      <c r="G589" s="12">
        <v>3</v>
      </c>
      <c r="H589" s="12">
        <v>17.100000000000001</v>
      </c>
      <c r="I589" s="12">
        <v>51.3</v>
      </c>
      <c r="J589" s="12">
        <v>35045.950000000004</v>
      </c>
      <c r="K589">
        <f t="shared" si="27"/>
        <v>8</v>
      </c>
      <c r="L589">
        <f t="shared" si="28"/>
        <v>1</v>
      </c>
      <c r="M589">
        <f t="shared" si="29"/>
        <v>1</v>
      </c>
    </row>
    <row r="590" spans="1:13" x14ac:dyDescent="0.25">
      <c r="A590" s="2" t="s">
        <v>272</v>
      </c>
      <c r="B590" s="11" t="s">
        <v>600</v>
      </c>
      <c r="C590" s="11" t="s">
        <v>4</v>
      </c>
      <c r="D590" s="11" t="s">
        <v>601</v>
      </c>
      <c r="E590" s="11" t="s">
        <v>308</v>
      </c>
      <c r="F590" s="11" t="s">
        <v>457</v>
      </c>
      <c r="G590" s="12">
        <v>4</v>
      </c>
      <c r="H590" s="12">
        <v>24.75</v>
      </c>
      <c r="I590" s="12">
        <v>99</v>
      </c>
      <c r="J590" s="12">
        <v>35144.950000000004</v>
      </c>
      <c r="K590">
        <f t="shared" si="27"/>
        <v>7</v>
      </c>
      <c r="L590">
        <f t="shared" si="28"/>
        <v>1</v>
      </c>
      <c r="M590">
        <f t="shared" si="29"/>
        <v>1</v>
      </c>
    </row>
    <row r="591" spans="1:13" x14ac:dyDescent="0.25">
      <c r="A591" s="2" t="s">
        <v>272</v>
      </c>
      <c r="B591" s="11" t="s">
        <v>600</v>
      </c>
      <c r="C591" s="11" t="s">
        <v>4</v>
      </c>
      <c r="D591" s="11" t="s">
        <v>601</v>
      </c>
      <c r="E591" s="11" t="s">
        <v>310</v>
      </c>
      <c r="F591" s="11" t="s">
        <v>520</v>
      </c>
      <c r="G591" s="12">
        <v>4</v>
      </c>
      <c r="H591" s="12">
        <v>21.6</v>
      </c>
      <c r="I591" s="12">
        <v>86.4</v>
      </c>
      <c r="J591" s="12">
        <v>35231.350000000006</v>
      </c>
      <c r="K591">
        <f t="shared" si="27"/>
        <v>4</v>
      </c>
      <c r="L591">
        <f t="shared" si="28"/>
        <v>1</v>
      </c>
      <c r="M591">
        <f t="shared" si="29"/>
        <v>1</v>
      </c>
    </row>
    <row r="592" spans="1:13" x14ac:dyDescent="0.25">
      <c r="A592" s="2" t="s">
        <v>272</v>
      </c>
      <c r="B592" s="11" t="s">
        <v>600</v>
      </c>
      <c r="C592" s="11" t="s">
        <v>4</v>
      </c>
      <c r="D592" s="11" t="s">
        <v>601</v>
      </c>
      <c r="E592" s="11" t="s">
        <v>490</v>
      </c>
      <c r="F592" s="11" t="s">
        <v>521</v>
      </c>
      <c r="G592" s="12">
        <v>2</v>
      </c>
      <c r="H592" s="12">
        <v>16.2</v>
      </c>
      <c r="I592" s="12">
        <v>32.4</v>
      </c>
      <c r="J592" s="12">
        <v>35263.750000000007</v>
      </c>
      <c r="K592">
        <f t="shared" si="27"/>
        <v>4</v>
      </c>
      <c r="L592">
        <f t="shared" si="28"/>
        <v>1</v>
      </c>
      <c r="M592">
        <f t="shared" si="29"/>
        <v>1</v>
      </c>
    </row>
    <row r="593" spans="1:13" x14ac:dyDescent="0.25">
      <c r="A593" s="2" t="s">
        <v>272</v>
      </c>
      <c r="B593" s="11" t="s">
        <v>600</v>
      </c>
      <c r="C593" s="11" t="s">
        <v>4</v>
      </c>
      <c r="D593" s="11" t="s">
        <v>601</v>
      </c>
      <c r="E593" s="11" t="s">
        <v>492</v>
      </c>
      <c r="F593" s="11" t="s">
        <v>493</v>
      </c>
      <c r="G593" s="12">
        <v>1</v>
      </c>
      <c r="H593" s="12">
        <v>28.8</v>
      </c>
      <c r="I593" s="12">
        <v>28.8</v>
      </c>
      <c r="J593" s="12">
        <v>35292.55000000001</v>
      </c>
      <c r="K593">
        <f t="shared" si="27"/>
        <v>3</v>
      </c>
      <c r="L593">
        <f t="shared" si="28"/>
        <v>1</v>
      </c>
      <c r="M593">
        <f t="shared" si="29"/>
        <v>1</v>
      </c>
    </row>
    <row r="594" spans="1:13" x14ac:dyDescent="0.25">
      <c r="A594" s="2" t="s">
        <v>272</v>
      </c>
      <c r="B594" s="11" t="s">
        <v>600</v>
      </c>
      <c r="C594" s="11" t="s">
        <v>4</v>
      </c>
      <c r="D594" s="11" t="s">
        <v>601</v>
      </c>
      <c r="E594" s="11" t="s">
        <v>328</v>
      </c>
      <c r="F594" s="11" t="s">
        <v>461</v>
      </c>
      <c r="G594" s="12">
        <v>2</v>
      </c>
      <c r="H594" s="12">
        <v>81</v>
      </c>
      <c r="I594" s="12">
        <v>162</v>
      </c>
      <c r="J594" s="12">
        <v>35454.55000000001</v>
      </c>
      <c r="K594">
        <f t="shared" si="27"/>
        <v>6</v>
      </c>
      <c r="L594">
        <f t="shared" si="28"/>
        <v>1</v>
      </c>
      <c r="M594">
        <f t="shared" si="29"/>
        <v>1</v>
      </c>
    </row>
    <row r="595" spans="1:13" x14ac:dyDescent="0.25">
      <c r="A595" s="2" t="s">
        <v>272</v>
      </c>
      <c r="B595" s="11" t="s">
        <v>600</v>
      </c>
      <c r="C595" s="11" t="s">
        <v>4</v>
      </c>
      <c r="D595" s="11" t="s">
        <v>601</v>
      </c>
      <c r="E595" s="11" t="s">
        <v>465</v>
      </c>
      <c r="F595" s="11" t="s">
        <v>466</v>
      </c>
      <c r="G595" s="12">
        <v>6</v>
      </c>
      <c r="H595" s="12">
        <v>35.1</v>
      </c>
      <c r="I595" s="12">
        <v>210.6</v>
      </c>
      <c r="J595" s="12">
        <v>35665.150000000009</v>
      </c>
      <c r="K595">
        <f t="shared" si="27"/>
        <v>6</v>
      </c>
      <c r="L595">
        <f t="shared" si="28"/>
        <v>1</v>
      </c>
      <c r="M595">
        <f t="shared" si="29"/>
        <v>1</v>
      </c>
    </row>
    <row r="596" spans="1:13" x14ac:dyDescent="0.25">
      <c r="A596" s="2" t="s">
        <v>272</v>
      </c>
      <c r="B596" s="11" t="s">
        <v>600</v>
      </c>
      <c r="C596" s="11" t="s">
        <v>4</v>
      </c>
      <c r="D596" s="11" t="s">
        <v>601</v>
      </c>
      <c r="E596" s="11" t="s">
        <v>333</v>
      </c>
      <c r="F596" s="11" t="s">
        <v>467</v>
      </c>
      <c r="G596" s="12">
        <v>4</v>
      </c>
      <c r="H596" s="12">
        <v>35.1</v>
      </c>
      <c r="I596" s="12">
        <v>140.4</v>
      </c>
      <c r="J596" s="12">
        <v>35805.55000000001</v>
      </c>
      <c r="K596">
        <f t="shared" si="27"/>
        <v>5</v>
      </c>
      <c r="L596">
        <f t="shared" si="28"/>
        <v>1</v>
      </c>
      <c r="M596">
        <f t="shared" si="29"/>
        <v>1</v>
      </c>
    </row>
    <row r="597" spans="1:13" x14ac:dyDescent="0.25">
      <c r="A597" s="2" t="s">
        <v>272</v>
      </c>
      <c r="B597" s="11" t="s">
        <v>600</v>
      </c>
      <c r="C597" s="11" t="s">
        <v>4</v>
      </c>
      <c r="D597" s="11" t="s">
        <v>601</v>
      </c>
      <c r="E597" s="11" t="s">
        <v>502</v>
      </c>
      <c r="F597" s="11" t="s">
        <v>548</v>
      </c>
      <c r="G597" s="12">
        <v>1</v>
      </c>
      <c r="H597" s="12">
        <v>19.8</v>
      </c>
      <c r="I597" s="12">
        <v>19.8</v>
      </c>
      <c r="J597" s="12">
        <v>35825.350000000013</v>
      </c>
      <c r="K597">
        <f t="shared" si="27"/>
        <v>5</v>
      </c>
      <c r="L597">
        <f t="shared" si="28"/>
        <v>1</v>
      </c>
      <c r="M597">
        <f t="shared" si="29"/>
        <v>1</v>
      </c>
    </row>
    <row r="598" spans="1:13" x14ac:dyDescent="0.25">
      <c r="A598" s="2" t="s">
        <v>272</v>
      </c>
      <c r="B598" s="11" t="s">
        <v>600</v>
      </c>
      <c r="C598" s="11" t="s">
        <v>4</v>
      </c>
      <c r="D598" s="11" t="s">
        <v>601</v>
      </c>
      <c r="E598" s="11" t="s">
        <v>605</v>
      </c>
      <c r="F598" s="11" t="s">
        <v>606</v>
      </c>
      <c r="G598" s="12">
        <v>2</v>
      </c>
      <c r="H598" s="12">
        <v>23.4</v>
      </c>
      <c r="I598" s="12">
        <v>46.8</v>
      </c>
      <c r="J598" s="12">
        <v>35872.150000000016</v>
      </c>
      <c r="K598">
        <f t="shared" si="27"/>
        <v>1</v>
      </c>
      <c r="L598">
        <f t="shared" si="28"/>
        <v>1</v>
      </c>
      <c r="M598">
        <f t="shared" si="29"/>
        <v>1</v>
      </c>
    </row>
    <row r="599" spans="1:13" x14ac:dyDescent="0.25">
      <c r="A599" s="2" t="s">
        <v>272</v>
      </c>
      <c r="B599" s="11" t="s">
        <v>600</v>
      </c>
      <c r="C599" s="11" t="s">
        <v>4</v>
      </c>
      <c r="D599" s="11" t="s">
        <v>601</v>
      </c>
      <c r="E599" s="11" t="s">
        <v>424</v>
      </c>
      <c r="F599" s="11" t="s">
        <v>607</v>
      </c>
      <c r="G599" s="12">
        <v>20</v>
      </c>
      <c r="H599" s="12">
        <v>13.95</v>
      </c>
      <c r="I599" s="12">
        <v>279</v>
      </c>
      <c r="J599" s="12">
        <v>36151.150000000016</v>
      </c>
      <c r="K599">
        <f t="shared" si="27"/>
        <v>6</v>
      </c>
      <c r="L599">
        <f t="shared" si="28"/>
        <v>1</v>
      </c>
      <c r="M599">
        <f t="shared" si="29"/>
        <v>1</v>
      </c>
    </row>
    <row r="600" spans="1:13" x14ac:dyDescent="0.25">
      <c r="A600" s="2" t="s">
        <v>272</v>
      </c>
      <c r="B600" s="11" t="s">
        <v>600</v>
      </c>
      <c r="C600" s="11" t="s">
        <v>4</v>
      </c>
      <c r="D600" s="11" t="s">
        <v>601</v>
      </c>
      <c r="E600" s="11" t="s">
        <v>370</v>
      </c>
      <c r="F600" s="11" t="s">
        <v>428</v>
      </c>
      <c r="G600" s="12">
        <v>35</v>
      </c>
      <c r="H600" s="12">
        <v>7.2</v>
      </c>
      <c r="I600" s="12">
        <v>252</v>
      </c>
      <c r="J600" s="12">
        <v>36403.150000000016</v>
      </c>
      <c r="K600">
        <f t="shared" si="27"/>
        <v>7</v>
      </c>
      <c r="L600">
        <f t="shared" si="28"/>
        <v>1</v>
      </c>
      <c r="M600">
        <f t="shared" si="29"/>
        <v>1</v>
      </c>
    </row>
    <row r="601" spans="1:13" x14ac:dyDescent="0.25">
      <c r="A601" s="2" t="s">
        <v>272</v>
      </c>
      <c r="B601" s="11" t="s">
        <v>600</v>
      </c>
      <c r="C601" s="11" t="s">
        <v>4</v>
      </c>
      <c r="D601" s="11" t="s">
        <v>601</v>
      </c>
      <c r="E601" s="11" t="s">
        <v>608</v>
      </c>
      <c r="F601" s="11" t="s">
        <v>609</v>
      </c>
      <c r="G601" s="12">
        <v>4</v>
      </c>
      <c r="H601" s="12">
        <v>8.1</v>
      </c>
      <c r="I601" s="12">
        <v>32.4</v>
      </c>
      <c r="J601" s="12">
        <v>36435.550000000017</v>
      </c>
      <c r="K601">
        <f t="shared" si="27"/>
        <v>1</v>
      </c>
      <c r="L601">
        <f t="shared" si="28"/>
        <v>1</v>
      </c>
      <c r="M601">
        <f t="shared" si="29"/>
        <v>1</v>
      </c>
    </row>
    <row r="602" spans="1:13" x14ac:dyDescent="0.25">
      <c r="A602" s="2" t="s">
        <v>272</v>
      </c>
      <c r="B602" s="11" t="s">
        <v>600</v>
      </c>
      <c r="C602" s="11" t="s">
        <v>4</v>
      </c>
      <c r="D602" s="11" t="s">
        <v>601</v>
      </c>
      <c r="E602" s="11" t="s">
        <v>440</v>
      </c>
      <c r="F602" s="11" t="s">
        <v>545</v>
      </c>
      <c r="G602" s="12">
        <v>14</v>
      </c>
      <c r="H602" s="12">
        <v>8.1</v>
      </c>
      <c r="I602" s="12">
        <v>113.4</v>
      </c>
      <c r="J602" s="12">
        <v>36548.950000000019</v>
      </c>
      <c r="K602">
        <f t="shared" si="27"/>
        <v>4</v>
      </c>
      <c r="L602">
        <f t="shared" si="28"/>
        <v>1</v>
      </c>
      <c r="M602">
        <f t="shared" si="29"/>
        <v>1</v>
      </c>
    </row>
    <row r="603" spans="1:13" x14ac:dyDescent="0.25">
      <c r="A603" s="2" t="s">
        <v>272</v>
      </c>
      <c r="B603" s="11" t="s">
        <v>600</v>
      </c>
      <c r="C603" s="11" t="s">
        <v>4</v>
      </c>
      <c r="D603" s="11" t="s">
        <v>601</v>
      </c>
      <c r="E603" s="11" t="s">
        <v>610</v>
      </c>
      <c r="F603" s="11" t="s">
        <v>611</v>
      </c>
      <c r="G603" s="12">
        <v>2</v>
      </c>
      <c r="H603" s="12">
        <v>8.1</v>
      </c>
      <c r="I603" s="12">
        <v>16.2</v>
      </c>
      <c r="J603" s="12">
        <v>36565.150000000016</v>
      </c>
      <c r="K603">
        <f t="shared" si="27"/>
        <v>1</v>
      </c>
      <c r="L603">
        <f t="shared" si="28"/>
        <v>1</v>
      </c>
      <c r="M603">
        <f t="shared" si="29"/>
        <v>1</v>
      </c>
    </row>
    <row r="604" spans="1:13" x14ac:dyDescent="0.25">
      <c r="A604" s="2" t="s">
        <v>272</v>
      </c>
      <c r="B604" s="11" t="s">
        <v>600</v>
      </c>
      <c r="C604" s="11" t="s">
        <v>4</v>
      </c>
      <c r="D604" s="11" t="s">
        <v>601</v>
      </c>
      <c r="E604" s="11" t="s">
        <v>612</v>
      </c>
      <c r="F604" s="11" t="s">
        <v>613</v>
      </c>
      <c r="G604" s="12">
        <v>2</v>
      </c>
      <c r="H604" s="12">
        <v>8.1</v>
      </c>
      <c r="I604" s="12">
        <v>16.2</v>
      </c>
      <c r="J604" s="12">
        <v>36581.350000000013</v>
      </c>
      <c r="K604">
        <f t="shared" si="27"/>
        <v>1</v>
      </c>
      <c r="L604">
        <f t="shared" si="28"/>
        <v>1</v>
      </c>
      <c r="M604">
        <f t="shared" si="29"/>
        <v>1</v>
      </c>
    </row>
    <row r="605" spans="1:13" x14ac:dyDescent="0.25">
      <c r="A605" s="2" t="s">
        <v>272</v>
      </c>
      <c r="B605" s="11" t="s">
        <v>600</v>
      </c>
      <c r="C605" s="11" t="s">
        <v>4</v>
      </c>
      <c r="D605" s="11" t="s">
        <v>601</v>
      </c>
      <c r="E605" s="11" t="s">
        <v>614</v>
      </c>
      <c r="F605" s="11" t="s">
        <v>615</v>
      </c>
      <c r="G605" s="12">
        <v>2</v>
      </c>
      <c r="H605" s="12">
        <v>8.1</v>
      </c>
      <c r="I605" s="12">
        <v>16.2</v>
      </c>
      <c r="J605" s="12">
        <v>36597.55000000001</v>
      </c>
      <c r="K605">
        <f t="shared" si="27"/>
        <v>1</v>
      </c>
      <c r="L605">
        <f t="shared" si="28"/>
        <v>1</v>
      </c>
      <c r="M605">
        <f t="shared" si="29"/>
        <v>1</v>
      </c>
    </row>
    <row r="606" spans="1:13" x14ac:dyDescent="0.25">
      <c r="A606" s="2" t="s">
        <v>272</v>
      </c>
      <c r="B606" s="11" t="s">
        <v>600</v>
      </c>
      <c r="C606" s="11" t="s">
        <v>4</v>
      </c>
      <c r="D606" s="11" t="s">
        <v>601</v>
      </c>
      <c r="E606" s="11" t="s">
        <v>426</v>
      </c>
      <c r="F606" s="11" t="s">
        <v>427</v>
      </c>
      <c r="G606" s="12">
        <v>8</v>
      </c>
      <c r="H606" s="12">
        <v>13.5</v>
      </c>
      <c r="I606" s="12">
        <v>108</v>
      </c>
      <c r="J606" s="12">
        <v>36705.55000000001</v>
      </c>
      <c r="K606">
        <f t="shared" si="27"/>
        <v>6</v>
      </c>
      <c r="L606">
        <f t="shared" si="28"/>
        <v>1</v>
      </c>
      <c r="M606">
        <f t="shared" si="29"/>
        <v>1</v>
      </c>
    </row>
    <row r="607" spans="1:13" x14ac:dyDescent="0.25">
      <c r="A607" s="2" t="s">
        <v>272</v>
      </c>
      <c r="B607" s="11" t="s">
        <v>600</v>
      </c>
      <c r="C607" s="11" t="s">
        <v>4</v>
      </c>
      <c r="D607" s="11" t="s">
        <v>601</v>
      </c>
      <c r="E607" s="11" t="s">
        <v>350</v>
      </c>
      <c r="F607" s="11" t="s">
        <v>592</v>
      </c>
      <c r="G607" s="12">
        <v>4</v>
      </c>
      <c r="H607" s="12">
        <v>15.3</v>
      </c>
      <c r="I607" s="12">
        <v>61.2</v>
      </c>
      <c r="J607" s="12">
        <v>36766.750000000007</v>
      </c>
      <c r="K607">
        <f t="shared" si="27"/>
        <v>5</v>
      </c>
      <c r="L607">
        <f t="shared" si="28"/>
        <v>1</v>
      </c>
      <c r="M607">
        <f t="shared" si="29"/>
        <v>1</v>
      </c>
    </row>
    <row r="608" spans="1:13" x14ac:dyDescent="0.25">
      <c r="A608" s="2" t="s">
        <v>272</v>
      </c>
      <c r="B608" s="11" t="s">
        <v>600</v>
      </c>
      <c r="C608" s="11" t="s">
        <v>4</v>
      </c>
      <c r="D608" s="11" t="s">
        <v>601</v>
      </c>
      <c r="E608" s="11" t="s">
        <v>86</v>
      </c>
      <c r="F608" s="11" t="s">
        <v>87</v>
      </c>
      <c r="G608" s="12">
        <v>12</v>
      </c>
      <c r="H608" s="12">
        <v>15.3</v>
      </c>
      <c r="I608" s="12">
        <v>183.6</v>
      </c>
      <c r="J608" s="12">
        <v>36950.350000000006</v>
      </c>
      <c r="K608">
        <f t="shared" si="27"/>
        <v>7</v>
      </c>
      <c r="L608">
        <f t="shared" si="28"/>
        <v>1</v>
      </c>
      <c r="M608">
        <f t="shared" si="29"/>
        <v>1</v>
      </c>
    </row>
    <row r="609" spans="1:13" x14ac:dyDescent="0.25">
      <c r="A609" s="2" t="s">
        <v>272</v>
      </c>
      <c r="B609" s="11" t="s">
        <v>600</v>
      </c>
      <c r="C609" s="11" t="s">
        <v>4</v>
      </c>
      <c r="D609" s="11" t="s">
        <v>601</v>
      </c>
      <c r="E609" s="11" t="s">
        <v>90</v>
      </c>
      <c r="F609" s="11" t="s">
        <v>91</v>
      </c>
      <c r="G609" s="12">
        <v>10</v>
      </c>
      <c r="H609" s="12">
        <v>15.3</v>
      </c>
      <c r="I609" s="12">
        <v>153</v>
      </c>
      <c r="J609" s="12">
        <v>37103.350000000006</v>
      </c>
      <c r="K609">
        <f t="shared" si="27"/>
        <v>5</v>
      </c>
      <c r="L609">
        <f t="shared" si="28"/>
        <v>1</v>
      </c>
      <c r="M609">
        <f t="shared" si="29"/>
        <v>1</v>
      </c>
    </row>
    <row r="610" spans="1:13" x14ac:dyDescent="0.25">
      <c r="A610" s="2" t="s">
        <v>272</v>
      </c>
      <c r="B610" s="11" t="s">
        <v>600</v>
      </c>
      <c r="C610" s="11" t="s">
        <v>4</v>
      </c>
      <c r="D610" s="11" t="s">
        <v>601</v>
      </c>
      <c r="E610" s="11" t="s">
        <v>92</v>
      </c>
      <c r="F610" s="11" t="s">
        <v>93</v>
      </c>
      <c r="G610" s="12">
        <v>10</v>
      </c>
      <c r="H610" s="12">
        <v>15.3</v>
      </c>
      <c r="I610" s="12">
        <v>153</v>
      </c>
      <c r="J610" s="12">
        <v>37256.350000000006</v>
      </c>
      <c r="K610">
        <f t="shared" si="27"/>
        <v>3</v>
      </c>
      <c r="L610">
        <f t="shared" si="28"/>
        <v>1</v>
      </c>
      <c r="M610">
        <f t="shared" si="29"/>
        <v>1</v>
      </c>
    </row>
    <row r="611" spans="1:13" x14ac:dyDescent="0.25">
      <c r="A611" s="2" t="s">
        <v>272</v>
      </c>
      <c r="B611" s="11" t="s">
        <v>600</v>
      </c>
      <c r="C611" s="11" t="s">
        <v>4</v>
      </c>
      <c r="D611" s="11" t="s">
        <v>601</v>
      </c>
      <c r="E611" s="11" t="s">
        <v>78</v>
      </c>
      <c r="F611" s="11" t="s">
        <v>79</v>
      </c>
      <c r="G611" s="12">
        <v>3</v>
      </c>
      <c r="H611" s="12">
        <v>62.1</v>
      </c>
      <c r="I611" s="12">
        <v>186.3</v>
      </c>
      <c r="J611" s="12">
        <v>37442.650000000009</v>
      </c>
      <c r="K611">
        <f t="shared" si="27"/>
        <v>5</v>
      </c>
      <c r="L611">
        <f t="shared" si="28"/>
        <v>1</v>
      </c>
      <c r="M611">
        <f t="shared" si="29"/>
        <v>1</v>
      </c>
    </row>
    <row r="612" spans="1:13" x14ac:dyDescent="0.25">
      <c r="A612" s="2" t="s">
        <v>272</v>
      </c>
      <c r="B612" s="11" t="s">
        <v>600</v>
      </c>
      <c r="C612" s="11" t="s">
        <v>4</v>
      </c>
      <c r="D612" s="11" t="s">
        <v>601</v>
      </c>
      <c r="E612" s="11" t="s">
        <v>358</v>
      </c>
      <c r="F612" s="11" t="s">
        <v>616</v>
      </c>
      <c r="G612" s="12">
        <v>12</v>
      </c>
      <c r="H612" s="12">
        <v>15.3</v>
      </c>
      <c r="I612" s="12">
        <v>183.6</v>
      </c>
      <c r="J612" s="12">
        <v>37626.250000000007</v>
      </c>
      <c r="K612">
        <f t="shared" si="27"/>
        <v>5</v>
      </c>
      <c r="L612">
        <f t="shared" si="28"/>
        <v>1</v>
      </c>
      <c r="M612">
        <f t="shared" si="29"/>
        <v>1</v>
      </c>
    </row>
    <row r="613" spans="1:13" x14ac:dyDescent="0.25">
      <c r="A613" s="2" t="s">
        <v>272</v>
      </c>
      <c r="B613" s="11" t="s">
        <v>600</v>
      </c>
      <c r="C613" s="11" t="s">
        <v>4</v>
      </c>
      <c r="D613" s="11" t="s">
        <v>601</v>
      </c>
      <c r="E613" s="11" t="s">
        <v>360</v>
      </c>
      <c r="F613" s="11" t="s">
        <v>617</v>
      </c>
      <c r="G613" s="12">
        <v>12</v>
      </c>
      <c r="H613" s="12">
        <v>15.3</v>
      </c>
      <c r="I613" s="12">
        <v>183.6</v>
      </c>
      <c r="J613" s="12">
        <v>37809.850000000006</v>
      </c>
      <c r="K613">
        <f t="shared" si="27"/>
        <v>5</v>
      </c>
      <c r="L613">
        <f t="shared" si="28"/>
        <v>1</v>
      </c>
      <c r="M613">
        <f t="shared" si="29"/>
        <v>1</v>
      </c>
    </row>
    <row r="614" spans="1:13" x14ac:dyDescent="0.25">
      <c r="A614" s="2" t="s">
        <v>272</v>
      </c>
      <c r="B614" s="11" t="s">
        <v>600</v>
      </c>
      <c r="C614" s="11" t="s">
        <v>4</v>
      </c>
      <c r="D614" s="11" t="s">
        <v>601</v>
      </c>
      <c r="E614" s="11" t="s">
        <v>354</v>
      </c>
      <c r="F614" s="11" t="s">
        <v>618</v>
      </c>
      <c r="G614" s="12">
        <v>10</v>
      </c>
      <c r="H614" s="12">
        <v>15.3</v>
      </c>
      <c r="I614" s="12">
        <v>153</v>
      </c>
      <c r="J614" s="12">
        <v>37962.850000000006</v>
      </c>
      <c r="K614">
        <f t="shared" si="27"/>
        <v>5</v>
      </c>
      <c r="L614">
        <f t="shared" si="28"/>
        <v>1</v>
      </c>
      <c r="M614">
        <f t="shared" si="29"/>
        <v>1</v>
      </c>
    </row>
    <row r="615" spans="1:13" x14ac:dyDescent="0.25">
      <c r="A615" s="2" t="s">
        <v>272</v>
      </c>
      <c r="B615" s="11" t="s">
        <v>619</v>
      </c>
      <c r="C615" s="11" t="s">
        <v>4</v>
      </c>
      <c r="D615" s="11" t="s">
        <v>620</v>
      </c>
      <c r="E615" s="11" t="s">
        <v>48</v>
      </c>
      <c r="F615" s="11" t="s">
        <v>49</v>
      </c>
      <c r="G615" s="12">
        <v>4</v>
      </c>
      <c r="H615" s="12">
        <v>35</v>
      </c>
      <c r="I615" s="12">
        <v>140</v>
      </c>
      <c r="J615" s="12">
        <v>38102.850000000006</v>
      </c>
      <c r="K615">
        <f t="shared" si="27"/>
        <v>5</v>
      </c>
      <c r="L615">
        <f t="shared" si="28"/>
        <v>1</v>
      </c>
      <c r="M615">
        <f t="shared" si="29"/>
        <v>1</v>
      </c>
    </row>
    <row r="616" spans="1:13" x14ac:dyDescent="0.25">
      <c r="A616" s="2" t="s">
        <v>272</v>
      </c>
      <c r="B616" s="11" t="s">
        <v>619</v>
      </c>
      <c r="C616" s="11" t="s">
        <v>4</v>
      </c>
      <c r="D616" s="11" t="s">
        <v>620</v>
      </c>
      <c r="E616" s="11" t="s">
        <v>50</v>
      </c>
      <c r="F616" s="11" t="s">
        <v>51</v>
      </c>
      <c r="G616" s="12">
        <v>6</v>
      </c>
      <c r="H616" s="12">
        <v>35</v>
      </c>
      <c r="I616" s="12">
        <v>210</v>
      </c>
      <c r="J616" s="12">
        <v>38312.850000000006</v>
      </c>
      <c r="K616">
        <f t="shared" si="27"/>
        <v>7</v>
      </c>
      <c r="L616">
        <f t="shared" si="28"/>
        <v>1</v>
      </c>
      <c r="M616">
        <f t="shared" si="29"/>
        <v>1</v>
      </c>
    </row>
    <row r="617" spans="1:13" x14ac:dyDescent="0.25">
      <c r="A617" s="2" t="s">
        <v>272</v>
      </c>
      <c r="B617" s="11" t="s">
        <v>619</v>
      </c>
      <c r="C617" s="11" t="s">
        <v>4</v>
      </c>
      <c r="D617" s="11" t="s">
        <v>620</v>
      </c>
      <c r="E617" s="11" t="s">
        <v>46</v>
      </c>
      <c r="F617" s="11" t="s">
        <v>47</v>
      </c>
      <c r="G617" s="12">
        <v>8</v>
      </c>
      <c r="H617" s="12">
        <v>35</v>
      </c>
      <c r="I617" s="12">
        <v>280</v>
      </c>
      <c r="J617" s="12">
        <v>38592.850000000006</v>
      </c>
      <c r="K617">
        <f t="shared" si="27"/>
        <v>7</v>
      </c>
      <c r="L617">
        <f t="shared" si="28"/>
        <v>1</v>
      </c>
      <c r="M617">
        <f t="shared" si="29"/>
        <v>1</v>
      </c>
    </row>
    <row r="618" spans="1:13" x14ac:dyDescent="0.25">
      <c r="A618" s="2" t="s">
        <v>272</v>
      </c>
      <c r="B618" s="11" t="s">
        <v>619</v>
      </c>
      <c r="C618" s="11" t="s">
        <v>4</v>
      </c>
      <c r="D618" s="11" t="s">
        <v>620</v>
      </c>
      <c r="E618" s="11" t="s">
        <v>469</v>
      </c>
      <c r="F618" s="11" t="s">
        <v>470</v>
      </c>
      <c r="G618" s="12">
        <v>5</v>
      </c>
      <c r="H618" s="12">
        <v>36</v>
      </c>
      <c r="I618" s="12">
        <v>180</v>
      </c>
      <c r="J618" s="12">
        <v>38772.850000000006</v>
      </c>
      <c r="K618">
        <f t="shared" si="27"/>
        <v>4</v>
      </c>
      <c r="L618">
        <f t="shared" si="28"/>
        <v>1</v>
      </c>
      <c r="M618">
        <f t="shared" si="29"/>
        <v>1</v>
      </c>
    </row>
    <row r="619" spans="1:13" x14ac:dyDescent="0.25">
      <c r="A619" s="2" t="s">
        <v>272</v>
      </c>
      <c r="B619" s="11" t="s">
        <v>619</v>
      </c>
      <c r="C619" s="11" t="s">
        <v>4</v>
      </c>
      <c r="D619" s="11" t="s">
        <v>621</v>
      </c>
      <c r="E619" s="11" t="s">
        <v>328</v>
      </c>
      <c r="F619" s="11" t="s">
        <v>461</v>
      </c>
      <c r="G619" s="12">
        <v>2</v>
      </c>
      <c r="H619" s="12">
        <v>81</v>
      </c>
      <c r="I619" s="12">
        <v>162</v>
      </c>
      <c r="J619" s="12">
        <v>38934.850000000006</v>
      </c>
      <c r="K619">
        <f t="shared" si="27"/>
        <v>6</v>
      </c>
      <c r="L619">
        <f t="shared" si="28"/>
        <v>1</v>
      </c>
      <c r="M619">
        <f t="shared" si="29"/>
        <v>1</v>
      </c>
    </row>
    <row r="620" spans="1:13" x14ac:dyDescent="0.25">
      <c r="A620" s="2" t="s">
        <v>272</v>
      </c>
      <c r="B620" s="11" t="s">
        <v>619</v>
      </c>
      <c r="C620" s="11" t="s">
        <v>4</v>
      </c>
      <c r="D620" s="11" t="s">
        <v>621</v>
      </c>
      <c r="E620" s="11" t="s">
        <v>80</v>
      </c>
      <c r="F620" s="11" t="s">
        <v>622</v>
      </c>
      <c r="G620" s="12">
        <v>24</v>
      </c>
      <c r="H620" s="12">
        <v>13.5</v>
      </c>
      <c r="I620" s="12">
        <v>324</v>
      </c>
      <c r="J620" s="12">
        <v>39258.850000000006</v>
      </c>
      <c r="K620">
        <f t="shared" si="27"/>
        <v>8</v>
      </c>
      <c r="L620">
        <f t="shared" si="28"/>
        <v>1</v>
      </c>
      <c r="M620">
        <f t="shared" si="29"/>
        <v>1</v>
      </c>
    </row>
    <row r="621" spans="1:13" x14ac:dyDescent="0.25">
      <c r="A621" s="2" t="s">
        <v>272</v>
      </c>
      <c r="B621" s="11" t="s">
        <v>619</v>
      </c>
      <c r="C621" s="11" t="s">
        <v>4</v>
      </c>
      <c r="D621" s="11" t="s">
        <v>621</v>
      </c>
      <c r="E621" s="11" t="s">
        <v>578</v>
      </c>
      <c r="F621" s="11" t="s">
        <v>579</v>
      </c>
      <c r="G621" s="12">
        <v>1</v>
      </c>
      <c r="H621" s="12">
        <v>19.350000000000001</v>
      </c>
      <c r="I621" s="12">
        <v>19.350000000000001</v>
      </c>
      <c r="J621" s="12">
        <v>39278.200000000004</v>
      </c>
      <c r="K621">
        <f t="shared" si="27"/>
        <v>2</v>
      </c>
      <c r="L621">
        <f t="shared" si="28"/>
        <v>1</v>
      </c>
      <c r="M621">
        <f t="shared" si="29"/>
        <v>1</v>
      </c>
    </row>
    <row r="622" spans="1:13" x14ac:dyDescent="0.25">
      <c r="A622" s="2" t="s">
        <v>272</v>
      </c>
      <c r="B622" s="11" t="s">
        <v>619</v>
      </c>
      <c r="C622" s="11" t="s">
        <v>4</v>
      </c>
      <c r="D622" s="11" t="s">
        <v>621</v>
      </c>
      <c r="E622" s="11" t="s">
        <v>580</v>
      </c>
      <c r="F622" s="11" t="s">
        <v>623</v>
      </c>
      <c r="G622" s="12">
        <v>1</v>
      </c>
      <c r="H622" s="12">
        <v>23.85</v>
      </c>
      <c r="I622" s="12">
        <v>23.85</v>
      </c>
      <c r="J622" s="12">
        <v>39302.050000000003</v>
      </c>
      <c r="K622">
        <f t="shared" si="27"/>
        <v>2</v>
      </c>
      <c r="L622">
        <f t="shared" si="28"/>
        <v>1</v>
      </c>
      <c r="M622">
        <f t="shared" si="29"/>
        <v>1</v>
      </c>
    </row>
    <row r="623" spans="1:13" x14ac:dyDescent="0.25">
      <c r="A623" s="2" t="s">
        <v>272</v>
      </c>
      <c r="B623" s="11" t="s">
        <v>619</v>
      </c>
      <c r="C623" s="11" t="s">
        <v>4</v>
      </c>
      <c r="D623" s="11" t="s">
        <v>621</v>
      </c>
      <c r="E623" s="11" t="s">
        <v>624</v>
      </c>
      <c r="F623" s="11" t="s">
        <v>625</v>
      </c>
      <c r="G623" s="12">
        <v>2</v>
      </c>
      <c r="H623" s="12">
        <v>19.350000000000001</v>
      </c>
      <c r="I623" s="12">
        <v>38.700000000000003</v>
      </c>
      <c r="J623" s="12">
        <v>39340.75</v>
      </c>
      <c r="K623">
        <f t="shared" si="27"/>
        <v>1</v>
      </c>
      <c r="L623">
        <f t="shared" si="28"/>
        <v>1</v>
      </c>
      <c r="M623">
        <f t="shared" si="29"/>
        <v>1</v>
      </c>
    </row>
    <row r="624" spans="1:13" x14ac:dyDescent="0.25">
      <c r="A624" s="2" t="s">
        <v>272</v>
      </c>
      <c r="B624" s="11" t="s">
        <v>619</v>
      </c>
      <c r="C624" s="11" t="s">
        <v>4</v>
      </c>
      <c r="D624" s="11" t="s">
        <v>621</v>
      </c>
      <c r="E624" s="11" t="s">
        <v>626</v>
      </c>
      <c r="F624" s="11" t="s">
        <v>627</v>
      </c>
      <c r="G624" s="12">
        <v>2</v>
      </c>
      <c r="H624" s="12">
        <v>19.350000000000001</v>
      </c>
      <c r="I624" s="12">
        <v>38.700000000000003</v>
      </c>
      <c r="J624" s="12">
        <v>39379.449999999997</v>
      </c>
      <c r="K624">
        <f t="shared" si="27"/>
        <v>1</v>
      </c>
      <c r="L624">
        <f t="shared" si="28"/>
        <v>1</v>
      </c>
      <c r="M624">
        <f t="shared" si="29"/>
        <v>1</v>
      </c>
    </row>
    <row r="625" spans="1:13" x14ac:dyDescent="0.25">
      <c r="A625" s="2" t="s">
        <v>272</v>
      </c>
      <c r="B625" s="11" t="s">
        <v>619</v>
      </c>
      <c r="C625" s="11" t="s">
        <v>4</v>
      </c>
      <c r="D625" s="11" t="s">
        <v>621</v>
      </c>
      <c r="E625" s="11" t="s">
        <v>366</v>
      </c>
      <c r="F625" s="11" t="s">
        <v>514</v>
      </c>
      <c r="G625" s="12">
        <v>6</v>
      </c>
      <c r="H625" s="12">
        <v>33.299999999999997</v>
      </c>
      <c r="I625" s="12">
        <v>199.8</v>
      </c>
      <c r="J625" s="12">
        <v>39579.25</v>
      </c>
      <c r="K625">
        <f t="shared" si="27"/>
        <v>8</v>
      </c>
      <c r="L625">
        <f t="shared" si="28"/>
        <v>1</v>
      </c>
      <c r="M625">
        <f t="shared" si="29"/>
        <v>1</v>
      </c>
    </row>
    <row r="626" spans="1:13" x14ac:dyDescent="0.25">
      <c r="A626" s="2" t="s">
        <v>272</v>
      </c>
      <c r="B626" s="11" t="s">
        <v>619</v>
      </c>
      <c r="C626" s="11" t="s">
        <v>4</v>
      </c>
      <c r="D626" s="11" t="s">
        <v>621</v>
      </c>
      <c r="E626" s="11" t="s">
        <v>496</v>
      </c>
      <c r="F626" s="11" t="s">
        <v>515</v>
      </c>
      <c r="G626" s="12">
        <v>6</v>
      </c>
      <c r="H626" s="12">
        <v>19.8</v>
      </c>
      <c r="I626" s="12">
        <v>118.8</v>
      </c>
      <c r="J626" s="12">
        <v>39698.050000000003</v>
      </c>
      <c r="K626">
        <f t="shared" si="27"/>
        <v>5</v>
      </c>
      <c r="L626">
        <f t="shared" si="28"/>
        <v>1</v>
      </c>
      <c r="M626">
        <f t="shared" si="29"/>
        <v>1</v>
      </c>
    </row>
    <row r="627" spans="1:13" x14ac:dyDescent="0.25">
      <c r="A627" s="2" t="s">
        <v>272</v>
      </c>
      <c r="B627" s="11" t="s">
        <v>619</v>
      </c>
      <c r="C627" s="11" t="s">
        <v>4</v>
      </c>
      <c r="D627" s="11" t="s">
        <v>621</v>
      </c>
      <c r="E627" s="11" t="s">
        <v>368</v>
      </c>
      <c r="F627" s="11" t="s">
        <v>586</v>
      </c>
      <c r="G627" s="12">
        <v>8</v>
      </c>
      <c r="H627" s="12">
        <v>36.9</v>
      </c>
      <c r="I627" s="12">
        <v>295.2</v>
      </c>
      <c r="J627" s="12">
        <v>39993.25</v>
      </c>
      <c r="K627">
        <f t="shared" si="27"/>
        <v>3</v>
      </c>
      <c r="L627">
        <f t="shared" si="28"/>
        <v>1</v>
      </c>
      <c r="M627">
        <f t="shared" si="29"/>
        <v>1</v>
      </c>
    </row>
    <row r="628" spans="1:13" x14ac:dyDescent="0.25">
      <c r="A628" s="2" t="s">
        <v>272</v>
      </c>
      <c r="B628" s="11" t="s">
        <v>619</v>
      </c>
      <c r="C628" s="11" t="s">
        <v>4</v>
      </c>
      <c r="D628" s="11" t="s">
        <v>621</v>
      </c>
      <c r="E628" s="11" t="s">
        <v>78</v>
      </c>
      <c r="F628" s="11" t="s">
        <v>79</v>
      </c>
      <c r="G628" s="12">
        <v>4</v>
      </c>
      <c r="H628" s="12">
        <v>62.1</v>
      </c>
      <c r="I628" s="12">
        <v>248.4</v>
      </c>
      <c r="J628" s="12">
        <v>40241.65</v>
      </c>
      <c r="K628">
        <f t="shared" si="27"/>
        <v>5</v>
      </c>
      <c r="L628">
        <f t="shared" si="28"/>
        <v>1</v>
      </c>
      <c r="M628">
        <f t="shared" si="29"/>
        <v>1</v>
      </c>
    </row>
    <row r="629" spans="1:13" x14ac:dyDescent="0.25">
      <c r="A629" s="2" t="s">
        <v>272</v>
      </c>
      <c r="B629" s="11" t="s">
        <v>619</v>
      </c>
      <c r="C629" s="11" t="s">
        <v>4</v>
      </c>
      <c r="D629" s="11" t="s">
        <v>621</v>
      </c>
      <c r="E629" s="11" t="s">
        <v>593</v>
      </c>
      <c r="F629" s="11" t="s">
        <v>628</v>
      </c>
      <c r="G629" s="12">
        <v>8</v>
      </c>
      <c r="H629" s="12">
        <v>18</v>
      </c>
      <c r="I629" s="12">
        <v>144</v>
      </c>
      <c r="J629" s="12">
        <v>40385.65</v>
      </c>
      <c r="K629">
        <f t="shared" si="27"/>
        <v>2</v>
      </c>
      <c r="L629">
        <f t="shared" si="28"/>
        <v>1</v>
      </c>
      <c r="M629">
        <f t="shared" si="29"/>
        <v>1</v>
      </c>
    </row>
    <row r="630" spans="1:13" x14ac:dyDescent="0.25">
      <c r="A630" s="2" t="s">
        <v>272</v>
      </c>
      <c r="B630" s="11" t="s">
        <v>619</v>
      </c>
      <c r="C630" s="11" t="s">
        <v>4</v>
      </c>
      <c r="D630" s="11" t="s">
        <v>621</v>
      </c>
      <c r="E630" s="11" t="s">
        <v>629</v>
      </c>
      <c r="F630" s="11" t="s">
        <v>630</v>
      </c>
      <c r="G630" s="12">
        <v>8</v>
      </c>
      <c r="H630" s="12">
        <v>18</v>
      </c>
      <c r="I630" s="12">
        <v>144</v>
      </c>
      <c r="J630" s="12">
        <v>40529.65</v>
      </c>
      <c r="K630">
        <f t="shared" si="27"/>
        <v>1</v>
      </c>
      <c r="L630">
        <f t="shared" si="28"/>
        <v>1</v>
      </c>
      <c r="M630">
        <f t="shared" si="29"/>
        <v>1</v>
      </c>
    </row>
    <row r="631" spans="1:13" x14ac:dyDescent="0.25">
      <c r="A631" s="2" t="s">
        <v>272</v>
      </c>
      <c r="B631" s="11" t="s">
        <v>619</v>
      </c>
      <c r="C631" s="11" t="s">
        <v>4</v>
      </c>
      <c r="D631" s="11" t="s">
        <v>621</v>
      </c>
      <c r="E631" s="11" t="s">
        <v>631</v>
      </c>
      <c r="F631" s="11" t="s">
        <v>632</v>
      </c>
      <c r="G631" s="12">
        <v>2</v>
      </c>
      <c r="H631" s="12">
        <v>46.8</v>
      </c>
      <c r="I631" s="12">
        <v>93.6</v>
      </c>
      <c r="J631" s="12">
        <v>40623.25</v>
      </c>
      <c r="K631">
        <f t="shared" si="27"/>
        <v>1</v>
      </c>
      <c r="L631">
        <f t="shared" si="28"/>
        <v>1</v>
      </c>
      <c r="M631">
        <f t="shared" si="29"/>
        <v>1</v>
      </c>
    </row>
    <row r="632" spans="1:13" x14ac:dyDescent="0.25">
      <c r="A632" s="2" t="s">
        <v>272</v>
      </c>
      <c r="B632" s="11" t="s">
        <v>619</v>
      </c>
      <c r="C632" s="11" t="s">
        <v>4</v>
      </c>
      <c r="D632" s="11" t="s">
        <v>621</v>
      </c>
      <c r="E632" s="11" t="s">
        <v>603</v>
      </c>
      <c r="F632" s="11" t="s">
        <v>603</v>
      </c>
      <c r="G632" s="12">
        <v>140</v>
      </c>
      <c r="H632" s="12">
        <v>5.625</v>
      </c>
      <c r="I632" s="12">
        <v>787.5</v>
      </c>
      <c r="J632" s="12">
        <v>41410.75</v>
      </c>
      <c r="K632">
        <f t="shared" si="27"/>
        <v>2</v>
      </c>
      <c r="L632">
        <f t="shared" si="28"/>
        <v>1</v>
      </c>
      <c r="M632">
        <f t="shared" si="29"/>
        <v>1</v>
      </c>
    </row>
    <row r="633" spans="1:13" x14ac:dyDescent="0.25">
      <c r="A633" s="2" t="s">
        <v>272</v>
      </c>
      <c r="B633" s="11" t="s">
        <v>619</v>
      </c>
      <c r="C633" s="11" t="s">
        <v>4</v>
      </c>
      <c r="D633" s="11" t="s">
        <v>621</v>
      </c>
      <c r="E633" s="11" t="s">
        <v>633</v>
      </c>
      <c r="F633" s="11" t="s">
        <v>634</v>
      </c>
      <c r="G633" s="12">
        <v>2</v>
      </c>
      <c r="H633" s="12">
        <v>19.8</v>
      </c>
      <c r="I633" s="12">
        <v>39.6</v>
      </c>
      <c r="J633" s="12">
        <v>41450.35</v>
      </c>
      <c r="K633">
        <f t="shared" si="27"/>
        <v>1</v>
      </c>
      <c r="L633">
        <f t="shared" si="28"/>
        <v>1</v>
      </c>
      <c r="M633">
        <f t="shared" si="29"/>
        <v>1</v>
      </c>
    </row>
    <row r="634" spans="1:13" x14ac:dyDescent="0.25">
      <c r="A634" s="2" t="s">
        <v>272</v>
      </c>
      <c r="B634" s="11" t="s">
        <v>619</v>
      </c>
      <c r="C634" s="11" t="s">
        <v>4</v>
      </c>
      <c r="D634" s="11" t="s">
        <v>621</v>
      </c>
      <c r="E634" s="11" t="s">
        <v>635</v>
      </c>
      <c r="F634" s="11" t="s">
        <v>636</v>
      </c>
      <c r="G634" s="12">
        <v>1</v>
      </c>
      <c r="H634" s="12">
        <v>12.6</v>
      </c>
      <c r="I634" s="12">
        <v>12.6</v>
      </c>
      <c r="J634" s="12">
        <v>41462.949999999997</v>
      </c>
      <c r="K634">
        <f t="shared" si="27"/>
        <v>1</v>
      </c>
      <c r="L634">
        <f t="shared" si="28"/>
        <v>1</v>
      </c>
      <c r="M634">
        <f t="shared" si="29"/>
        <v>1</v>
      </c>
    </row>
    <row r="635" spans="1:13" x14ac:dyDescent="0.25">
      <c r="A635" s="2" t="s">
        <v>272</v>
      </c>
      <c r="B635" s="11" t="s">
        <v>619</v>
      </c>
      <c r="C635" s="11" t="s">
        <v>4</v>
      </c>
      <c r="D635" s="11" t="s">
        <v>621</v>
      </c>
      <c r="E635" s="11" t="s">
        <v>312</v>
      </c>
      <c r="F635" s="11" t="s">
        <v>489</v>
      </c>
      <c r="G635" s="12">
        <v>1</v>
      </c>
      <c r="H635" s="12">
        <v>23.4</v>
      </c>
      <c r="I635" s="12">
        <v>23.4</v>
      </c>
      <c r="J635" s="12">
        <v>41486.35</v>
      </c>
      <c r="K635">
        <f t="shared" si="27"/>
        <v>5</v>
      </c>
      <c r="L635">
        <f t="shared" si="28"/>
        <v>1</v>
      </c>
      <c r="M635">
        <f t="shared" si="29"/>
        <v>1</v>
      </c>
    </row>
    <row r="636" spans="1:13" x14ac:dyDescent="0.25">
      <c r="A636" s="2" t="s">
        <v>272</v>
      </c>
      <c r="B636" s="11" t="s">
        <v>619</v>
      </c>
      <c r="C636" s="11" t="s">
        <v>4</v>
      </c>
      <c r="D636" s="11" t="s">
        <v>621</v>
      </c>
      <c r="E636" s="11" t="s">
        <v>306</v>
      </c>
      <c r="F636" s="11" t="s">
        <v>458</v>
      </c>
      <c r="G636" s="12">
        <v>2</v>
      </c>
      <c r="H636" s="12">
        <v>29.7</v>
      </c>
      <c r="I636" s="12">
        <v>59.4</v>
      </c>
      <c r="J636" s="12">
        <v>41545.75</v>
      </c>
      <c r="K636">
        <f t="shared" si="27"/>
        <v>4</v>
      </c>
      <c r="L636">
        <f t="shared" si="28"/>
        <v>1</v>
      </c>
      <c r="M636">
        <f t="shared" si="29"/>
        <v>1</v>
      </c>
    </row>
    <row r="637" spans="1:13" x14ac:dyDescent="0.25">
      <c r="A637" s="2" t="s">
        <v>272</v>
      </c>
      <c r="B637" s="11" t="s">
        <v>619</v>
      </c>
      <c r="C637" s="11" t="s">
        <v>4</v>
      </c>
      <c r="D637" s="11" t="s">
        <v>621</v>
      </c>
      <c r="E637" s="11" t="s">
        <v>314</v>
      </c>
      <c r="F637" s="11" t="s">
        <v>459</v>
      </c>
      <c r="G637" s="12">
        <v>2</v>
      </c>
      <c r="H637" s="12">
        <v>35.1</v>
      </c>
      <c r="I637" s="12">
        <v>70.2</v>
      </c>
      <c r="J637" s="12">
        <v>41615.949999999997</v>
      </c>
      <c r="K637">
        <f t="shared" si="27"/>
        <v>5</v>
      </c>
      <c r="L637">
        <f t="shared" si="28"/>
        <v>1</v>
      </c>
      <c r="M637">
        <f t="shared" si="29"/>
        <v>1</v>
      </c>
    </row>
    <row r="638" spans="1:13" x14ac:dyDescent="0.25">
      <c r="A638" s="2" t="s">
        <v>272</v>
      </c>
      <c r="B638" s="11" t="s">
        <v>619</v>
      </c>
      <c r="C638" s="11" t="s">
        <v>4</v>
      </c>
      <c r="D638" s="11" t="s">
        <v>621</v>
      </c>
      <c r="E638" s="11" t="s">
        <v>280</v>
      </c>
      <c r="F638" s="11" t="s">
        <v>637</v>
      </c>
      <c r="G638" s="12">
        <v>2</v>
      </c>
      <c r="H638" s="12">
        <v>39.6</v>
      </c>
      <c r="I638" s="12">
        <v>79.2</v>
      </c>
      <c r="J638" s="12">
        <v>41695.149999999994</v>
      </c>
      <c r="K638">
        <f t="shared" si="27"/>
        <v>5</v>
      </c>
      <c r="L638">
        <f t="shared" si="28"/>
        <v>1</v>
      </c>
      <c r="M638">
        <f t="shared" si="29"/>
        <v>1</v>
      </c>
    </row>
    <row r="639" spans="1:13" x14ac:dyDescent="0.25">
      <c r="A639" s="2" t="s">
        <v>272</v>
      </c>
      <c r="B639" s="11" t="s">
        <v>619</v>
      </c>
      <c r="C639" s="11" t="s">
        <v>4</v>
      </c>
      <c r="D639" s="11" t="s">
        <v>621</v>
      </c>
      <c r="E639" s="11" t="s">
        <v>278</v>
      </c>
      <c r="F639" s="11" t="s">
        <v>638</v>
      </c>
      <c r="G639" s="12">
        <v>2</v>
      </c>
      <c r="H639" s="12">
        <v>36</v>
      </c>
      <c r="I639" s="12">
        <v>72</v>
      </c>
      <c r="J639" s="12">
        <v>41767.149999999994</v>
      </c>
      <c r="K639">
        <f t="shared" si="27"/>
        <v>6</v>
      </c>
      <c r="L639">
        <f t="shared" si="28"/>
        <v>1</v>
      </c>
      <c r="M639">
        <f t="shared" si="29"/>
        <v>1</v>
      </c>
    </row>
    <row r="640" spans="1:13" x14ac:dyDescent="0.25">
      <c r="A640" s="2" t="s">
        <v>272</v>
      </c>
      <c r="B640" s="11" t="s">
        <v>619</v>
      </c>
      <c r="C640" s="11" t="s">
        <v>4</v>
      </c>
      <c r="D640" s="11" t="s">
        <v>621</v>
      </c>
      <c r="E640" s="11" t="s">
        <v>639</v>
      </c>
      <c r="F640" s="11" t="s">
        <v>640</v>
      </c>
      <c r="G640" s="12">
        <v>1</v>
      </c>
      <c r="H640" s="12">
        <v>29.7</v>
      </c>
      <c r="I640" s="12">
        <v>29.7</v>
      </c>
      <c r="J640" s="12">
        <v>41796.849999999991</v>
      </c>
      <c r="K640">
        <f t="shared" si="27"/>
        <v>1</v>
      </c>
      <c r="L640">
        <f t="shared" si="28"/>
        <v>1</v>
      </c>
      <c r="M640">
        <f t="shared" si="29"/>
        <v>1</v>
      </c>
    </row>
    <row r="641" spans="1:13" x14ac:dyDescent="0.25">
      <c r="A641" s="2" t="s">
        <v>272</v>
      </c>
      <c r="B641" s="11" t="s">
        <v>619</v>
      </c>
      <c r="C641" s="11" t="s">
        <v>4</v>
      </c>
      <c r="D641" s="11" t="s">
        <v>621</v>
      </c>
      <c r="E641" s="11" t="s">
        <v>641</v>
      </c>
      <c r="F641" s="11" t="s">
        <v>642</v>
      </c>
      <c r="G641" s="12">
        <v>1</v>
      </c>
      <c r="H641" s="12">
        <v>32.4</v>
      </c>
      <c r="I641" s="12">
        <v>32.4</v>
      </c>
      <c r="J641" s="12">
        <v>41829.249999999993</v>
      </c>
      <c r="K641">
        <f t="shared" si="27"/>
        <v>1</v>
      </c>
      <c r="L641">
        <f t="shared" si="28"/>
        <v>1</v>
      </c>
      <c r="M641">
        <f t="shared" si="29"/>
        <v>1</v>
      </c>
    </row>
    <row r="642" spans="1:13" x14ac:dyDescent="0.25">
      <c r="A642" s="2" t="s">
        <v>272</v>
      </c>
      <c r="B642" s="11" t="s">
        <v>619</v>
      </c>
      <c r="C642" s="11" t="s">
        <v>4</v>
      </c>
      <c r="D642" s="11" t="s">
        <v>621</v>
      </c>
      <c r="E642" s="11" t="s">
        <v>286</v>
      </c>
      <c r="F642" s="11" t="s">
        <v>528</v>
      </c>
      <c r="G642" s="12">
        <v>2</v>
      </c>
      <c r="H642" s="12">
        <v>44.55</v>
      </c>
      <c r="I642" s="12">
        <v>89.1</v>
      </c>
      <c r="J642" s="12">
        <v>41918.349999999991</v>
      </c>
      <c r="K642">
        <f t="shared" si="27"/>
        <v>4</v>
      </c>
      <c r="L642">
        <f t="shared" si="28"/>
        <v>1</v>
      </c>
      <c r="M642">
        <f t="shared" si="29"/>
        <v>1</v>
      </c>
    </row>
    <row r="643" spans="1:13" x14ac:dyDescent="0.25">
      <c r="A643" s="2" t="s">
        <v>272</v>
      </c>
      <c r="B643" s="11" t="s">
        <v>619</v>
      </c>
      <c r="C643" s="11" t="s">
        <v>4</v>
      </c>
      <c r="D643" s="11" t="s">
        <v>621</v>
      </c>
      <c r="E643" s="11" t="s">
        <v>343</v>
      </c>
      <c r="F643" s="11" t="s">
        <v>544</v>
      </c>
      <c r="G643" s="12">
        <v>1</v>
      </c>
      <c r="H643" s="12">
        <v>52.2</v>
      </c>
      <c r="I643" s="12">
        <v>52.2</v>
      </c>
      <c r="J643" s="12">
        <v>41970.549999999988</v>
      </c>
      <c r="K643">
        <f t="shared" ref="K643:K706" si="30">COUNTIF($E$2:$E$1466,E643)</f>
        <v>4</v>
      </c>
      <c r="L643">
        <f t="shared" ref="L643:L706" si="31">IF(G643&gt;0,1,0)</f>
        <v>1</v>
      </c>
      <c r="M643">
        <f t="shared" ref="M643:M706" si="32">IF(H643&gt;0,1,0)</f>
        <v>1</v>
      </c>
    </row>
    <row r="644" spans="1:13" x14ac:dyDescent="0.25">
      <c r="A644" s="2" t="s">
        <v>272</v>
      </c>
      <c r="B644" s="11" t="s">
        <v>619</v>
      </c>
      <c r="C644" s="11" t="s">
        <v>4</v>
      </c>
      <c r="D644" s="11" t="s">
        <v>621</v>
      </c>
      <c r="E644" s="11" t="s">
        <v>128</v>
      </c>
      <c r="F644" s="11" t="s">
        <v>129</v>
      </c>
      <c r="G644" s="12">
        <v>2</v>
      </c>
      <c r="H644" s="12">
        <v>25.2</v>
      </c>
      <c r="I644" s="12">
        <v>50.4</v>
      </c>
      <c r="J644" s="12">
        <v>42020.94999999999</v>
      </c>
      <c r="K644">
        <f t="shared" si="30"/>
        <v>4</v>
      </c>
      <c r="L644">
        <f t="shared" si="31"/>
        <v>1</v>
      </c>
      <c r="M644">
        <f t="shared" si="32"/>
        <v>1</v>
      </c>
    </row>
    <row r="645" spans="1:13" x14ac:dyDescent="0.25">
      <c r="A645" s="2" t="s">
        <v>272</v>
      </c>
      <c r="B645" s="11" t="s">
        <v>619</v>
      </c>
      <c r="C645" s="11" t="s">
        <v>4</v>
      </c>
      <c r="D645" s="11" t="s">
        <v>621</v>
      </c>
      <c r="E645" s="11" t="s">
        <v>126</v>
      </c>
      <c r="F645" s="11" t="s">
        <v>127</v>
      </c>
      <c r="G645" s="12">
        <v>1</v>
      </c>
      <c r="H645" s="12">
        <v>25.2</v>
      </c>
      <c r="I645" s="12">
        <v>25.2</v>
      </c>
      <c r="J645" s="12">
        <v>42046.149999999987</v>
      </c>
      <c r="K645">
        <f t="shared" si="30"/>
        <v>5</v>
      </c>
      <c r="L645">
        <f t="shared" si="31"/>
        <v>1</v>
      </c>
      <c r="M645">
        <f t="shared" si="32"/>
        <v>1</v>
      </c>
    </row>
    <row r="646" spans="1:13" x14ac:dyDescent="0.25">
      <c r="A646" s="2" t="s">
        <v>272</v>
      </c>
      <c r="B646" s="11" t="s">
        <v>619</v>
      </c>
      <c r="C646" s="11" t="s">
        <v>4</v>
      </c>
      <c r="D646" s="11" t="s">
        <v>621</v>
      </c>
      <c r="E646" s="11" t="s">
        <v>130</v>
      </c>
      <c r="F646" s="11" t="s">
        <v>643</v>
      </c>
      <c r="G646" s="12">
        <v>2</v>
      </c>
      <c r="H646" s="12">
        <v>19.8</v>
      </c>
      <c r="I646" s="12">
        <v>39.6</v>
      </c>
      <c r="J646" s="12">
        <v>42085.749999999985</v>
      </c>
      <c r="K646">
        <f t="shared" si="30"/>
        <v>4</v>
      </c>
      <c r="L646">
        <f t="shared" si="31"/>
        <v>1</v>
      </c>
      <c r="M646">
        <f t="shared" si="32"/>
        <v>1</v>
      </c>
    </row>
    <row r="647" spans="1:13" x14ac:dyDescent="0.25">
      <c r="A647" s="2" t="s">
        <v>272</v>
      </c>
      <c r="B647" s="11" t="s">
        <v>619</v>
      </c>
      <c r="C647" s="11" t="s">
        <v>4</v>
      </c>
      <c r="D647" s="11" t="s">
        <v>621</v>
      </c>
      <c r="E647" s="11" t="s">
        <v>122</v>
      </c>
      <c r="F647" s="11" t="s">
        <v>644</v>
      </c>
      <c r="G647" s="12">
        <v>1</v>
      </c>
      <c r="H647" s="12">
        <v>23.4</v>
      </c>
      <c r="I647" s="12">
        <v>23.4</v>
      </c>
      <c r="J647" s="12">
        <v>42109.149999999987</v>
      </c>
      <c r="K647">
        <f t="shared" si="30"/>
        <v>5</v>
      </c>
      <c r="L647">
        <f t="shared" si="31"/>
        <v>1</v>
      </c>
      <c r="M647">
        <f t="shared" si="32"/>
        <v>1</v>
      </c>
    </row>
    <row r="648" spans="1:13" x14ac:dyDescent="0.25">
      <c r="A648" s="2" t="s">
        <v>272</v>
      </c>
      <c r="B648" s="11" t="s">
        <v>619</v>
      </c>
      <c r="C648" s="11" t="s">
        <v>4</v>
      </c>
      <c r="D648" s="11" t="s">
        <v>621</v>
      </c>
      <c r="E648" s="11" t="s">
        <v>645</v>
      </c>
      <c r="F648" s="11" t="s">
        <v>646</v>
      </c>
      <c r="G648" s="12">
        <v>1</v>
      </c>
      <c r="H648" s="12">
        <v>75.599999999999994</v>
      </c>
      <c r="I648" s="12">
        <v>75.599999999999994</v>
      </c>
      <c r="J648" s="12">
        <v>42184.749999999985</v>
      </c>
      <c r="K648">
        <f t="shared" si="30"/>
        <v>1</v>
      </c>
      <c r="L648">
        <f t="shared" si="31"/>
        <v>1</v>
      </c>
      <c r="M648">
        <f t="shared" si="32"/>
        <v>1</v>
      </c>
    </row>
    <row r="649" spans="1:13" x14ac:dyDescent="0.25">
      <c r="A649" s="2" t="s">
        <v>272</v>
      </c>
      <c r="B649" s="11" t="s">
        <v>619</v>
      </c>
      <c r="C649" s="11" t="s">
        <v>4</v>
      </c>
      <c r="D649" s="11" t="s">
        <v>621</v>
      </c>
      <c r="E649" s="11" t="s">
        <v>370</v>
      </c>
      <c r="F649" s="11" t="s">
        <v>428</v>
      </c>
      <c r="G649" s="12">
        <v>10</v>
      </c>
      <c r="H649" s="12">
        <v>7.2</v>
      </c>
      <c r="I649" s="12">
        <v>72</v>
      </c>
      <c r="J649" s="12">
        <v>42256.749999999985</v>
      </c>
      <c r="K649">
        <f t="shared" si="30"/>
        <v>7</v>
      </c>
      <c r="L649">
        <f t="shared" si="31"/>
        <v>1</v>
      </c>
      <c r="M649">
        <f t="shared" si="32"/>
        <v>1</v>
      </c>
    </row>
    <row r="650" spans="1:13" x14ac:dyDescent="0.25">
      <c r="A650" s="2" t="s">
        <v>272</v>
      </c>
      <c r="B650" s="11" t="s">
        <v>619</v>
      </c>
      <c r="C650" s="11" t="s">
        <v>4</v>
      </c>
      <c r="D650" s="11" t="s">
        <v>621</v>
      </c>
      <c r="E650" s="11" t="s">
        <v>502</v>
      </c>
      <c r="F650" s="11" t="s">
        <v>548</v>
      </c>
      <c r="G650" s="12">
        <v>1</v>
      </c>
      <c r="H650" s="12">
        <v>19.8</v>
      </c>
      <c r="I650" s="12">
        <v>19.8</v>
      </c>
      <c r="J650" s="12">
        <v>42276.549999999988</v>
      </c>
      <c r="K650">
        <f t="shared" si="30"/>
        <v>5</v>
      </c>
      <c r="L650">
        <f t="shared" si="31"/>
        <v>1</v>
      </c>
      <c r="M650">
        <f t="shared" si="32"/>
        <v>1</v>
      </c>
    </row>
    <row r="651" spans="1:13" x14ac:dyDescent="0.25">
      <c r="A651" s="2" t="s">
        <v>272</v>
      </c>
      <c r="B651" s="11" t="s">
        <v>619</v>
      </c>
      <c r="C651" s="11" t="s">
        <v>4</v>
      </c>
      <c r="D651" s="11" t="s">
        <v>621</v>
      </c>
      <c r="E651" s="11" t="s">
        <v>465</v>
      </c>
      <c r="F651" s="11" t="s">
        <v>466</v>
      </c>
      <c r="G651" s="12">
        <v>6</v>
      </c>
      <c r="H651" s="12">
        <v>35.1</v>
      </c>
      <c r="I651" s="12">
        <v>210.6</v>
      </c>
      <c r="J651" s="12">
        <v>42487.149999999987</v>
      </c>
      <c r="K651">
        <f t="shared" si="30"/>
        <v>6</v>
      </c>
      <c r="L651">
        <f t="shared" si="31"/>
        <v>1</v>
      </c>
      <c r="M651">
        <f t="shared" si="32"/>
        <v>1</v>
      </c>
    </row>
    <row r="652" spans="1:13" x14ac:dyDescent="0.25">
      <c r="A652" s="2" t="s">
        <v>648</v>
      </c>
      <c r="B652" s="11" t="s">
        <v>649</v>
      </c>
      <c r="C652" s="11" t="s">
        <v>4</v>
      </c>
      <c r="D652" s="11" t="s">
        <v>5</v>
      </c>
      <c r="E652" s="11" t="s">
        <v>650</v>
      </c>
      <c r="F652" s="11" t="s">
        <v>651</v>
      </c>
      <c r="G652" s="12">
        <v>5</v>
      </c>
      <c r="H652" s="12">
        <v>7.98</v>
      </c>
      <c r="I652" s="12">
        <v>39.9</v>
      </c>
      <c r="J652" s="12">
        <v>39.9</v>
      </c>
      <c r="K652">
        <f t="shared" si="30"/>
        <v>1</v>
      </c>
      <c r="L652">
        <f t="shared" si="31"/>
        <v>1</v>
      </c>
      <c r="M652">
        <f t="shared" si="32"/>
        <v>1</v>
      </c>
    </row>
    <row r="653" spans="1:13" x14ac:dyDescent="0.25">
      <c r="A653" s="2" t="s">
        <v>653</v>
      </c>
      <c r="B653" s="11" t="s">
        <v>654</v>
      </c>
      <c r="C653" s="11" t="s">
        <v>4</v>
      </c>
      <c r="D653" s="11" t="s">
        <v>655</v>
      </c>
      <c r="E653" s="11" t="s">
        <v>656</v>
      </c>
      <c r="F653" s="11" t="s">
        <v>657</v>
      </c>
      <c r="G653" s="12">
        <v>2.3332999999999999</v>
      </c>
      <c r="H653" s="12">
        <v>40.5428</v>
      </c>
      <c r="I653" s="12">
        <v>94.6</v>
      </c>
      <c r="J653" s="12">
        <v>94.6</v>
      </c>
      <c r="K653">
        <f t="shared" si="30"/>
        <v>8</v>
      </c>
      <c r="L653">
        <f t="shared" si="31"/>
        <v>1</v>
      </c>
      <c r="M653">
        <f t="shared" si="32"/>
        <v>1</v>
      </c>
    </row>
    <row r="654" spans="1:13" x14ac:dyDescent="0.25">
      <c r="A654" s="2" t="s">
        <v>653</v>
      </c>
      <c r="B654" s="11" t="s">
        <v>654</v>
      </c>
      <c r="C654" s="11" t="s">
        <v>4</v>
      </c>
      <c r="D654" s="11" t="s">
        <v>658</v>
      </c>
      <c r="E654" s="11" t="s">
        <v>656</v>
      </c>
      <c r="F654" s="11" t="s">
        <v>657</v>
      </c>
      <c r="G654" s="12">
        <v>0.66669999999999996</v>
      </c>
      <c r="H654" s="12">
        <v>42.344999999999999</v>
      </c>
      <c r="I654" s="12">
        <v>28.23</v>
      </c>
      <c r="J654" s="12">
        <v>122.83</v>
      </c>
      <c r="K654">
        <f t="shared" si="30"/>
        <v>8</v>
      </c>
      <c r="L654">
        <f t="shared" si="31"/>
        <v>1</v>
      </c>
      <c r="M654">
        <f t="shared" si="32"/>
        <v>1</v>
      </c>
    </row>
    <row r="655" spans="1:13" x14ac:dyDescent="0.25">
      <c r="A655" s="2" t="s">
        <v>653</v>
      </c>
      <c r="B655" s="11" t="s">
        <v>659</v>
      </c>
      <c r="C655" s="11" t="s">
        <v>4</v>
      </c>
      <c r="D655" s="11" t="s">
        <v>660</v>
      </c>
      <c r="E655" s="11" t="s">
        <v>656</v>
      </c>
      <c r="F655" s="11" t="s">
        <v>657</v>
      </c>
      <c r="G655" s="12">
        <v>3</v>
      </c>
      <c r="H655" s="12">
        <v>39.826000000000001</v>
      </c>
      <c r="I655" s="12">
        <v>119.48</v>
      </c>
      <c r="J655" s="12">
        <v>242.31</v>
      </c>
      <c r="K655">
        <f t="shared" si="30"/>
        <v>8</v>
      </c>
      <c r="L655">
        <f t="shared" si="31"/>
        <v>1</v>
      </c>
      <c r="M655">
        <f t="shared" si="32"/>
        <v>1</v>
      </c>
    </row>
    <row r="656" spans="1:13" x14ac:dyDescent="0.25">
      <c r="A656" s="2" t="s">
        <v>653</v>
      </c>
      <c r="B656" s="11" t="s">
        <v>158</v>
      </c>
      <c r="C656" s="11" t="s">
        <v>4</v>
      </c>
      <c r="D656" s="11" t="s">
        <v>661</v>
      </c>
      <c r="E656" s="11" t="s">
        <v>656</v>
      </c>
      <c r="F656" s="11" t="s">
        <v>657</v>
      </c>
      <c r="G656" s="12">
        <v>3</v>
      </c>
      <c r="H656" s="12">
        <v>49.15</v>
      </c>
      <c r="I656" s="12">
        <v>147.44999999999999</v>
      </c>
      <c r="J656" s="12">
        <v>389.76</v>
      </c>
      <c r="K656">
        <f t="shared" si="30"/>
        <v>8</v>
      </c>
      <c r="L656">
        <f t="shared" si="31"/>
        <v>1</v>
      </c>
      <c r="M656">
        <f t="shared" si="32"/>
        <v>1</v>
      </c>
    </row>
    <row r="657" spans="1:13" x14ac:dyDescent="0.25">
      <c r="A657" s="2" t="s">
        <v>653</v>
      </c>
      <c r="B657" s="11" t="s">
        <v>662</v>
      </c>
      <c r="C657" s="11" t="s">
        <v>4</v>
      </c>
      <c r="D657" s="11" t="s">
        <v>5</v>
      </c>
      <c r="E657" s="11" t="s">
        <v>656</v>
      </c>
      <c r="F657" s="11" t="s">
        <v>657</v>
      </c>
      <c r="G657" s="12">
        <v>3</v>
      </c>
      <c r="H657" s="12">
        <v>49.15</v>
      </c>
      <c r="I657" s="12">
        <v>147.44999999999999</v>
      </c>
      <c r="J657" s="12">
        <v>537.21</v>
      </c>
      <c r="K657">
        <f t="shared" si="30"/>
        <v>8</v>
      </c>
      <c r="L657">
        <f t="shared" si="31"/>
        <v>1</v>
      </c>
      <c r="M657">
        <f t="shared" si="32"/>
        <v>1</v>
      </c>
    </row>
    <row r="658" spans="1:13" x14ac:dyDescent="0.25">
      <c r="A658" s="2" t="s">
        <v>664</v>
      </c>
      <c r="B658" s="11" t="s">
        <v>665</v>
      </c>
      <c r="C658" s="11" t="s">
        <v>4</v>
      </c>
      <c r="D658" s="11" t="s">
        <v>666</v>
      </c>
      <c r="E658" s="11" t="s">
        <v>667</v>
      </c>
      <c r="F658" s="11" t="s">
        <v>668</v>
      </c>
      <c r="G658" s="12">
        <v>2</v>
      </c>
      <c r="H658" s="12">
        <v>28.8</v>
      </c>
      <c r="I658" s="12">
        <v>57.6</v>
      </c>
      <c r="J658" s="12">
        <v>57.6</v>
      </c>
      <c r="K658">
        <f t="shared" si="30"/>
        <v>7</v>
      </c>
      <c r="L658">
        <f t="shared" si="31"/>
        <v>1</v>
      </c>
      <c r="M658">
        <f t="shared" si="32"/>
        <v>1</v>
      </c>
    </row>
    <row r="659" spans="1:13" x14ac:dyDescent="0.25">
      <c r="A659" s="2" t="s">
        <v>664</v>
      </c>
      <c r="B659" s="11" t="s">
        <v>665</v>
      </c>
      <c r="C659" s="11" t="s">
        <v>4</v>
      </c>
      <c r="D659" s="11" t="s">
        <v>666</v>
      </c>
      <c r="E659" s="11" t="s">
        <v>669</v>
      </c>
      <c r="F659" s="11" t="s">
        <v>670</v>
      </c>
      <c r="G659" s="12">
        <v>2</v>
      </c>
      <c r="H659" s="12">
        <v>28.8</v>
      </c>
      <c r="I659" s="12">
        <v>57.6</v>
      </c>
      <c r="J659" s="12">
        <v>115.2</v>
      </c>
      <c r="K659">
        <f t="shared" si="30"/>
        <v>8</v>
      </c>
      <c r="L659">
        <f t="shared" si="31"/>
        <v>1</v>
      </c>
      <c r="M659">
        <f t="shared" si="32"/>
        <v>1</v>
      </c>
    </row>
    <row r="660" spans="1:13" x14ac:dyDescent="0.25">
      <c r="A660" s="2" t="s">
        <v>664</v>
      </c>
      <c r="B660" s="11" t="s">
        <v>665</v>
      </c>
      <c r="C660" s="11" t="s">
        <v>4</v>
      </c>
      <c r="D660" s="11" t="s">
        <v>666</v>
      </c>
      <c r="E660" s="11" t="s">
        <v>671</v>
      </c>
      <c r="F660" s="11" t="s">
        <v>672</v>
      </c>
      <c r="G660" s="12">
        <v>2</v>
      </c>
      <c r="H660" s="12">
        <v>30.96</v>
      </c>
      <c r="I660" s="12">
        <v>61.92</v>
      </c>
      <c r="J660" s="12">
        <v>177.12</v>
      </c>
      <c r="K660">
        <f t="shared" si="30"/>
        <v>7</v>
      </c>
      <c r="L660">
        <f t="shared" si="31"/>
        <v>1</v>
      </c>
      <c r="M660">
        <f t="shared" si="32"/>
        <v>1</v>
      </c>
    </row>
    <row r="661" spans="1:13" x14ac:dyDescent="0.25">
      <c r="A661" s="2" t="s">
        <v>664</v>
      </c>
      <c r="B661" s="11" t="s">
        <v>665</v>
      </c>
      <c r="C661" s="11" t="s">
        <v>4</v>
      </c>
      <c r="D661" s="11" t="s">
        <v>666</v>
      </c>
      <c r="E661" s="11" t="s">
        <v>673</v>
      </c>
      <c r="F661" s="11" t="s">
        <v>674</v>
      </c>
      <c r="G661" s="12">
        <v>2</v>
      </c>
      <c r="H661" s="12">
        <v>31.2</v>
      </c>
      <c r="I661" s="12">
        <v>62.4</v>
      </c>
      <c r="J661" s="12">
        <v>239.52</v>
      </c>
      <c r="K661">
        <f t="shared" si="30"/>
        <v>7</v>
      </c>
      <c r="L661">
        <f t="shared" si="31"/>
        <v>1</v>
      </c>
      <c r="M661">
        <f t="shared" si="32"/>
        <v>1</v>
      </c>
    </row>
    <row r="662" spans="1:13" x14ac:dyDescent="0.25">
      <c r="A662" s="2" t="s">
        <v>664</v>
      </c>
      <c r="B662" s="11" t="s">
        <v>665</v>
      </c>
      <c r="C662" s="11" t="s">
        <v>4</v>
      </c>
      <c r="D662" s="11" t="s">
        <v>666</v>
      </c>
      <c r="E662" s="11" t="s">
        <v>675</v>
      </c>
      <c r="F662" s="11" t="s">
        <v>676</v>
      </c>
      <c r="G662" s="12">
        <v>2</v>
      </c>
      <c r="H662" s="12">
        <v>31.2</v>
      </c>
      <c r="I662" s="12">
        <v>62.4</v>
      </c>
      <c r="J662" s="12">
        <v>301.92</v>
      </c>
      <c r="K662">
        <f t="shared" si="30"/>
        <v>6</v>
      </c>
      <c r="L662">
        <f t="shared" si="31"/>
        <v>1</v>
      </c>
      <c r="M662">
        <f t="shared" si="32"/>
        <v>1</v>
      </c>
    </row>
    <row r="663" spans="1:13" x14ac:dyDescent="0.25">
      <c r="A663" s="2" t="s">
        <v>664</v>
      </c>
      <c r="B663" s="11" t="s">
        <v>665</v>
      </c>
      <c r="C663" s="11" t="s">
        <v>4</v>
      </c>
      <c r="D663" s="11" t="s">
        <v>666</v>
      </c>
      <c r="E663" s="11" t="s">
        <v>677</v>
      </c>
      <c r="F663" s="11" t="s">
        <v>678</v>
      </c>
      <c r="G663" s="12">
        <v>2</v>
      </c>
      <c r="H663" s="12">
        <v>19.8</v>
      </c>
      <c r="I663" s="12">
        <v>39.6</v>
      </c>
      <c r="J663" s="12">
        <v>341.52000000000004</v>
      </c>
      <c r="K663">
        <f t="shared" si="30"/>
        <v>3</v>
      </c>
      <c r="L663">
        <f t="shared" si="31"/>
        <v>1</v>
      </c>
      <c r="M663">
        <f t="shared" si="32"/>
        <v>1</v>
      </c>
    </row>
    <row r="664" spans="1:13" x14ac:dyDescent="0.25">
      <c r="A664" s="2" t="s">
        <v>664</v>
      </c>
      <c r="B664" s="11" t="s">
        <v>665</v>
      </c>
      <c r="C664" s="11" t="s">
        <v>4</v>
      </c>
      <c r="D664" s="11" t="s">
        <v>666</v>
      </c>
      <c r="E664" s="11" t="s">
        <v>679</v>
      </c>
      <c r="F664" s="11" t="s">
        <v>680</v>
      </c>
      <c r="G664" s="12">
        <v>2</v>
      </c>
      <c r="H664" s="12">
        <v>19.8</v>
      </c>
      <c r="I664" s="12">
        <v>39.6</v>
      </c>
      <c r="J664" s="12">
        <v>381.12000000000006</v>
      </c>
      <c r="K664">
        <f t="shared" si="30"/>
        <v>3</v>
      </c>
      <c r="L664">
        <f t="shared" si="31"/>
        <v>1</v>
      </c>
      <c r="M664">
        <f t="shared" si="32"/>
        <v>1</v>
      </c>
    </row>
    <row r="665" spans="1:13" x14ac:dyDescent="0.25">
      <c r="A665" s="2" t="s">
        <v>664</v>
      </c>
      <c r="B665" s="11" t="s">
        <v>665</v>
      </c>
      <c r="C665" s="11" t="s">
        <v>4</v>
      </c>
      <c r="D665" s="11" t="s">
        <v>666</v>
      </c>
      <c r="E665" s="11" t="s">
        <v>681</v>
      </c>
      <c r="F665" s="11" t="s">
        <v>682</v>
      </c>
      <c r="G665" s="12">
        <v>1</v>
      </c>
      <c r="H665" s="12">
        <v>23.88</v>
      </c>
      <c r="I665" s="12">
        <v>23.88</v>
      </c>
      <c r="J665" s="12">
        <v>405.00000000000006</v>
      </c>
      <c r="K665">
        <f t="shared" si="30"/>
        <v>3</v>
      </c>
      <c r="L665">
        <f t="shared" si="31"/>
        <v>1</v>
      </c>
      <c r="M665">
        <f t="shared" si="32"/>
        <v>1</v>
      </c>
    </row>
    <row r="666" spans="1:13" x14ac:dyDescent="0.25">
      <c r="A666" s="2" t="s">
        <v>664</v>
      </c>
      <c r="B666" s="11" t="s">
        <v>665</v>
      </c>
      <c r="C666" s="11" t="s">
        <v>4</v>
      </c>
      <c r="D666" s="11" t="s">
        <v>666</v>
      </c>
      <c r="E666" s="11" t="s">
        <v>683</v>
      </c>
      <c r="F666" s="11" t="s">
        <v>684</v>
      </c>
      <c r="G666" s="12">
        <v>2</v>
      </c>
      <c r="H666" s="12">
        <v>19.2</v>
      </c>
      <c r="I666" s="12">
        <v>38.4</v>
      </c>
      <c r="J666" s="12">
        <v>443.40000000000003</v>
      </c>
      <c r="K666">
        <f t="shared" si="30"/>
        <v>3</v>
      </c>
      <c r="L666">
        <f t="shared" si="31"/>
        <v>1</v>
      </c>
      <c r="M666">
        <f t="shared" si="32"/>
        <v>1</v>
      </c>
    </row>
    <row r="667" spans="1:13" x14ac:dyDescent="0.25">
      <c r="A667" s="2" t="s">
        <v>664</v>
      </c>
      <c r="B667" s="11" t="s">
        <v>665</v>
      </c>
      <c r="C667" s="11" t="s">
        <v>4</v>
      </c>
      <c r="D667" s="11" t="s">
        <v>666</v>
      </c>
      <c r="E667" s="11" t="s">
        <v>685</v>
      </c>
      <c r="F667" s="11" t="s">
        <v>685</v>
      </c>
      <c r="G667" s="12">
        <v>2</v>
      </c>
      <c r="H667" s="12">
        <v>23.88</v>
      </c>
      <c r="I667" s="12">
        <v>47.76</v>
      </c>
      <c r="J667" s="12">
        <v>491.16</v>
      </c>
      <c r="K667">
        <f t="shared" si="30"/>
        <v>5</v>
      </c>
      <c r="L667">
        <f t="shared" si="31"/>
        <v>1</v>
      </c>
      <c r="M667">
        <f t="shared" si="32"/>
        <v>1</v>
      </c>
    </row>
    <row r="668" spans="1:13" x14ac:dyDescent="0.25">
      <c r="A668" s="2" t="s">
        <v>664</v>
      </c>
      <c r="B668" s="11" t="s">
        <v>665</v>
      </c>
      <c r="C668" s="11" t="s">
        <v>4</v>
      </c>
      <c r="D668" s="11" t="s">
        <v>666</v>
      </c>
      <c r="E668" s="11" t="s">
        <v>686</v>
      </c>
      <c r="F668" s="11" t="s">
        <v>687</v>
      </c>
      <c r="G668" s="12">
        <v>2</v>
      </c>
      <c r="H668" s="12">
        <v>23.88</v>
      </c>
      <c r="I668" s="12">
        <v>47.76</v>
      </c>
      <c r="J668" s="12">
        <v>538.92000000000007</v>
      </c>
      <c r="K668">
        <f t="shared" si="30"/>
        <v>7</v>
      </c>
      <c r="L668">
        <f t="shared" si="31"/>
        <v>1</v>
      </c>
      <c r="M668">
        <f t="shared" si="32"/>
        <v>1</v>
      </c>
    </row>
    <row r="669" spans="1:13" x14ac:dyDescent="0.25">
      <c r="A669" s="2" t="s">
        <v>664</v>
      </c>
      <c r="B669" s="11" t="s">
        <v>665</v>
      </c>
      <c r="C669" s="11" t="s">
        <v>4</v>
      </c>
      <c r="D669" s="11" t="s">
        <v>666</v>
      </c>
      <c r="E669" s="11" t="s">
        <v>688</v>
      </c>
      <c r="F669" s="11" t="s">
        <v>689</v>
      </c>
      <c r="G669" s="12">
        <v>2</v>
      </c>
      <c r="H669" s="12">
        <v>27.48</v>
      </c>
      <c r="I669" s="12">
        <v>54.96</v>
      </c>
      <c r="J669" s="12">
        <v>593.88000000000011</v>
      </c>
      <c r="K669">
        <f t="shared" si="30"/>
        <v>4</v>
      </c>
      <c r="L669">
        <f t="shared" si="31"/>
        <v>1</v>
      </c>
      <c r="M669">
        <f t="shared" si="32"/>
        <v>1</v>
      </c>
    </row>
    <row r="670" spans="1:13" x14ac:dyDescent="0.25">
      <c r="A670" s="2" t="s">
        <v>664</v>
      </c>
      <c r="B670" s="11" t="s">
        <v>665</v>
      </c>
      <c r="C670" s="11" t="s">
        <v>4</v>
      </c>
      <c r="D670" s="11" t="s">
        <v>666</v>
      </c>
      <c r="E670" s="11" t="s">
        <v>690</v>
      </c>
      <c r="F670" s="11" t="s">
        <v>691</v>
      </c>
      <c r="G670" s="12">
        <v>2</v>
      </c>
      <c r="H670" s="12">
        <v>25.08</v>
      </c>
      <c r="I670" s="12">
        <v>50.16</v>
      </c>
      <c r="J670" s="12">
        <v>644.04000000000008</v>
      </c>
      <c r="K670">
        <f t="shared" si="30"/>
        <v>4</v>
      </c>
      <c r="L670">
        <f t="shared" si="31"/>
        <v>1</v>
      </c>
      <c r="M670">
        <f t="shared" si="32"/>
        <v>1</v>
      </c>
    </row>
    <row r="671" spans="1:13" x14ac:dyDescent="0.25">
      <c r="A671" s="2" t="s">
        <v>664</v>
      </c>
      <c r="B671" s="11" t="s">
        <v>665</v>
      </c>
      <c r="C671" s="11" t="s">
        <v>4</v>
      </c>
      <c r="D671" s="11" t="s">
        <v>666</v>
      </c>
      <c r="E671" s="11" t="s">
        <v>692</v>
      </c>
      <c r="F671" s="11" t="s">
        <v>693</v>
      </c>
      <c r="G671" s="12">
        <v>3</v>
      </c>
      <c r="H671" s="12">
        <v>37.08</v>
      </c>
      <c r="I671" s="12">
        <v>111.24</v>
      </c>
      <c r="J671" s="12">
        <v>755.28000000000009</v>
      </c>
      <c r="K671">
        <f t="shared" si="30"/>
        <v>8</v>
      </c>
      <c r="L671">
        <f t="shared" si="31"/>
        <v>1</v>
      </c>
      <c r="M671">
        <f t="shared" si="32"/>
        <v>1</v>
      </c>
    </row>
    <row r="672" spans="1:13" x14ac:dyDescent="0.25">
      <c r="A672" s="2" t="s">
        <v>664</v>
      </c>
      <c r="B672" s="11" t="s">
        <v>665</v>
      </c>
      <c r="C672" s="11" t="s">
        <v>4</v>
      </c>
      <c r="D672" s="11" t="s">
        <v>666</v>
      </c>
      <c r="E672" s="11" t="s">
        <v>694</v>
      </c>
      <c r="F672" s="11" t="s">
        <v>695</v>
      </c>
      <c r="G672" s="12">
        <v>2</v>
      </c>
      <c r="H672" s="12">
        <v>38.159999999999997</v>
      </c>
      <c r="I672" s="12">
        <v>76.319999999999993</v>
      </c>
      <c r="J672" s="12">
        <v>831.60000000000014</v>
      </c>
      <c r="K672">
        <f t="shared" si="30"/>
        <v>3</v>
      </c>
      <c r="L672">
        <f t="shared" si="31"/>
        <v>1</v>
      </c>
      <c r="M672">
        <f t="shared" si="32"/>
        <v>1</v>
      </c>
    </row>
    <row r="673" spans="1:13" x14ac:dyDescent="0.25">
      <c r="A673" s="2" t="s">
        <v>664</v>
      </c>
      <c r="B673" s="11" t="s">
        <v>665</v>
      </c>
      <c r="C673" s="11" t="s">
        <v>4</v>
      </c>
      <c r="D673" s="11" t="s">
        <v>666</v>
      </c>
      <c r="E673" s="11" t="s">
        <v>696</v>
      </c>
      <c r="F673" s="11" t="s">
        <v>697</v>
      </c>
      <c r="G673" s="12">
        <v>2</v>
      </c>
      <c r="H673" s="12">
        <v>31.08</v>
      </c>
      <c r="I673" s="12">
        <v>62.16</v>
      </c>
      <c r="J673" s="12">
        <v>893.7600000000001</v>
      </c>
      <c r="K673">
        <f t="shared" si="30"/>
        <v>3</v>
      </c>
      <c r="L673">
        <f t="shared" si="31"/>
        <v>1</v>
      </c>
      <c r="M673">
        <f t="shared" si="32"/>
        <v>1</v>
      </c>
    </row>
    <row r="674" spans="1:13" x14ac:dyDescent="0.25">
      <c r="A674" s="2" t="s">
        <v>664</v>
      </c>
      <c r="B674" s="11" t="s">
        <v>665</v>
      </c>
      <c r="C674" s="11" t="s">
        <v>4</v>
      </c>
      <c r="D674" s="11" t="s">
        <v>666</v>
      </c>
      <c r="E674" s="11" t="s">
        <v>698</v>
      </c>
      <c r="F674" s="11" t="s">
        <v>699</v>
      </c>
      <c r="G674" s="12">
        <v>2</v>
      </c>
      <c r="H674" s="12">
        <v>22.4</v>
      </c>
      <c r="I674" s="12">
        <v>44.8</v>
      </c>
      <c r="J674" s="12">
        <v>938.56000000000006</v>
      </c>
      <c r="K674">
        <f t="shared" si="30"/>
        <v>5</v>
      </c>
      <c r="L674">
        <f t="shared" si="31"/>
        <v>1</v>
      </c>
      <c r="M674">
        <f t="shared" si="32"/>
        <v>1</v>
      </c>
    </row>
    <row r="675" spans="1:13" x14ac:dyDescent="0.25">
      <c r="A675" s="2" t="s">
        <v>664</v>
      </c>
      <c r="B675" s="11" t="s">
        <v>665</v>
      </c>
      <c r="C675" s="11" t="s">
        <v>4</v>
      </c>
      <c r="D675" s="11" t="s">
        <v>666</v>
      </c>
      <c r="E675" s="11" t="s">
        <v>700</v>
      </c>
      <c r="F675" s="11" t="s">
        <v>701</v>
      </c>
      <c r="G675" s="12">
        <v>2</v>
      </c>
      <c r="H675" s="12">
        <v>28.62</v>
      </c>
      <c r="I675" s="12">
        <v>57.24</v>
      </c>
      <c r="J675" s="12">
        <v>995.80000000000007</v>
      </c>
      <c r="K675">
        <f t="shared" si="30"/>
        <v>4</v>
      </c>
      <c r="L675">
        <f t="shared" si="31"/>
        <v>1</v>
      </c>
      <c r="M675">
        <f t="shared" si="32"/>
        <v>1</v>
      </c>
    </row>
    <row r="676" spans="1:13" x14ac:dyDescent="0.25">
      <c r="A676" s="2" t="s">
        <v>664</v>
      </c>
      <c r="B676" s="11" t="s">
        <v>665</v>
      </c>
      <c r="C676" s="11" t="s">
        <v>4</v>
      </c>
      <c r="D676" s="11" t="s">
        <v>666</v>
      </c>
      <c r="E676" s="11" t="s">
        <v>702</v>
      </c>
      <c r="F676" s="11" t="s">
        <v>703</v>
      </c>
      <c r="G676" s="12">
        <v>2</v>
      </c>
      <c r="H676" s="12">
        <v>42.96</v>
      </c>
      <c r="I676" s="12">
        <v>85.92</v>
      </c>
      <c r="J676" s="12">
        <v>1081.72</v>
      </c>
      <c r="K676">
        <f t="shared" si="30"/>
        <v>10</v>
      </c>
      <c r="L676">
        <f t="shared" si="31"/>
        <v>1</v>
      </c>
      <c r="M676">
        <f t="shared" si="32"/>
        <v>1</v>
      </c>
    </row>
    <row r="677" spans="1:13" x14ac:dyDescent="0.25">
      <c r="A677" s="2" t="s">
        <v>664</v>
      </c>
      <c r="B677" s="11" t="s">
        <v>665</v>
      </c>
      <c r="C677" s="11" t="s">
        <v>4</v>
      </c>
      <c r="D677" s="11" t="s">
        <v>666</v>
      </c>
      <c r="E677" s="11" t="s">
        <v>704</v>
      </c>
      <c r="F677" s="11" t="s">
        <v>705</v>
      </c>
      <c r="G677" s="12">
        <v>2</v>
      </c>
      <c r="H677" s="12">
        <v>39.36</v>
      </c>
      <c r="I677" s="12">
        <v>78.72</v>
      </c>
      <c r="J677" s="12">
        <v>1160.44</v>
      </c>
      <c r="K677">
        <f t="shared" si="30"/>
        <v>6</v>
      </c>
      <c r="L677">
        <f t="shared" si="31"/>
        <v>1</v>
      </c>
      <c r="M677">
        <f t="shared" si="32"/>
        <v>1</v>
      </c>
    </row>
    <row r="678" spans="1:13" x14ac:dyDescent="0.25">
      <c r="A678" s="2" t="s">
        <v>664</v>
      </c>
      <c r="B678" s="11" t="s">
        <v>665</v>
      </c>
      <c r="C678" s="11" t="s">
        <v>4</v>
      </c>
      <c r="D678" s="11" t="s">
        <v>666</v>
      </c>
      <c r="E678" s="11" t="s">
        <v>706</v>
      </c>
      <c r="F678" s="11" t="s">
        <v>707</v>
      </c>
      <c r="G678" s="12">
        <v>2</v>
      </c>
      <c r="H678" s="12">
        <v>30</v>
      </c>
      <c r="I678" s="12">
        <v>60</v>
      </c>
      <c r="J678" s="12">
        <v>1220.44</v>
      </c>
      <c r="K678">
        <f t="shared" si="30"/>
        <v>3</v>
      </c>
      <c r="L678">
        <f t="shared" si="31"/>
        <v>1</v>
      </c>
      <c r="M678">
        <f t="shared" si="32"/>
        <v>1</v>
      </c>
    </row>
    <row r="679" spans="1:13" x14ac:dyDescent="0.25">
      <c r="A679" s="2" t="s">
        <v>664</v>
      </c>
      <c r="B679" s="11" t="s">
        <v>665</v>
      </c>
      <c r="C679" s="11" t="s">
        <v>4</v>
      </c>
      <c r="D679" s="11" t="s">
        <v>666</v>
      </c>
      <c r="E679" s="11" t="s">
        <v>708</v>
      </c>
      <c r="F679" s="11" t="s">
        <v>709</v>
      </c>
      <c r="G679" s="12">
        <v>2</v>
      </c>
      <c r="H679" s="12">
        <v>40.56</v>
      </c>
      <c r="I679" s="12">
        <v>81.12</v>
      </c>
      <c r="J679" s="12">
        <v>1301.56</v>
      </c>
      <c r="K679">
        <f t="shared" si="30"/>
        <v>5</v>
      </c>
      <c r="L679">
        <f t="shared" si="31"/>
        <v>1</v>
      </c>
      <c r="M679">
        <f t="shared" si="32"/>
        <v>1</v>
      </c>
    </row>
    <row r="680" spans="1:13" x14ac:dyDescent="0.25">
      <c r="A680" s="2" t="s">
        <v>664</v>
      </c>
      <c r="B680" s="11" t="s">
        <v>665</v>
      </c>
      <c r="C680" s="11" t="s">
        <v>4</v>
      </c>
      <c r="D680" s="11" t="s">
        <v>666</v>
      </c>
      <c r="E680" s="11" t="s">
        <v>710</v>
      </c>
      <c r="F680" s="11" t="s">
        <v>711</v>
      </c>
      <c r="G680" s="12">
        <v>2</v>
      </c>
      <c r="H680" s="12">
        <v>40.159999999999997</v>
      </c>
      <c r="I680" s="12">
        <v>80.319999999999993</v>
      </c>
      <c r="J680" s="12">
        <v>1381.8799999999999</v>
      </c>
      <c r="K680">
        <f t="shared" si="30"/>
        <v>4</v>
      </c>
      <c r="L680">
        <f t="shared" si="31"/>
        <v>1</v>
      </c>
      <c r="M680">
        <f t="shared" si="32"/>
        <v>1</v>
      </c>
    </row>
    <row r="681" spans="1:13" x14ac:dyDescent="0.25">
      <c r="A681" s="2" t="s">
        <v>664</v>
      </c>
      <c r="B681" s="11" t="s">
        <v>665</v>
      </c>
      <c r="C681" s="11" t="s">
        <v>4</v>
      </c>
      <c r="D681" s="11" t="s">
        <v>666</v>
      </c>
      <c r="E681" s="11" t="s">
        <v>712</v>
      </c>
      <c r="F681" s="11" t="s">
        <v>713</v>
      </c>
      <c r="G681" s="12">
        <v>2</v>
      </c>
      <c r="H681" s="12">
        <v>19.8</v>
      </c>
      <c r="I681" s="12">
        <v>39.6</v>
      </c>
      <c r="J681" s="12">
        <v>1421.4799999999998</v>
      </c>
      <c r="K681">
        <f t="shared" si="30"/>
        <v>6</v>
      </c>
      <c r="L681">
        <f t="shared" si="31"/>
        <v>1</v>
      </c>
      <c r="M681">
        <f t="shared" si="32"/>
        <v>1</v>
      </c>
    </row>
    <row r="682" spans="1:13" x14ac:dyDescent="0.25">
      <c r="A682" s="2" t="s">
        <v>664</v>
      </c>
      <c r="B682" s="11" t="s">
        <v>665</v>
      </c>
      <c r="C682" s="11" t="s">
        <v>4</v>
      </c>
      <c r="D682" s="11" t="s">
        <v>666</v>
      </c>
      <c r="E682" s="11" t="s">
        <v>714</v>
      </c>
      <c r="F682" s="11" t="s">
        <v>715</v>
      </c>
      <c r="G682" s="12">
        <v>2</v>
      </c>
      <c r="H682" s="12">
        <v>48.42</v>
      </c>
      <c r="I682" s="12">
        <v>96.84</v>
      </c>
      <c r="J682" s="12">
        <v>1518.3199999999997</v>
      </c>
      <c r="K682">
        <f t="shared" si="30"/>
        <v>5</v>
      </c>
      <c r="L682">
        <f t="shared" si="31"/>
        <v>1</v>
      </c>
      <c r="M682">
        <f t="shared" si="32"/>
        <v>1</v>
      </c>
    </row>
    <row r="683" spans="1:13" x14ac:dyDescent="0.25">
      <c r="A683" s="2" t="s">
        <v>664</v>
      </c>
      <c r="B683" s="11" t="s">
        <v>665</v>
      </c>
      <c r="C683" s="11" t="s">
        <v>4</v>
      </c>
      <c r="D683" s="11" t="s">
        <v>666</v>
      </c>
      <c r="E683" s="11" t="s">
        <v>716</v>
      </c>
      <c r="F683" s="11" t="s">
        <v>717</v>
      </c>
      <c r="G683" s="12">
        <v>2</v>
      </c>
      <c r="H683" s="12">
        <v>30</v>
      </c>
      <c r="I683" s="12">
        <v>60</v>
      </c>
      <c r="J683" s="12">
        <v>1578.3199999999997</v>
      </c>
      <c r="K683">
        <f t="shared" si="30"/>
        <v>7</v>
      </c>
      <c r="L683">
        <f t="shared" si="31"/>
        <v>1</v>
      </c>
      <c r="M683">
        <f t="shared" si="32"/>
        <v>1</v>
      </c>
    </row>
    <row r="684" spans="1:13" x14ac:dyDescent="0.25">
      <c r="A684" s="2" t="s">
        <v>664</v>
      </c>
      <c r="B684" s="11" t="s">
        <v>665</v>
      </c>
      <c r="C684" s="11" t="s">
        <v>4</v>
      </c>
      <c r="D684" s="11" t="s">
        <v>666</v>
      </c>
      <c r="E684" s="11" t="s">
        <v>718</v>
      </c>
      <c r="F684" s="11" t="s">
        <v>719</v>
      </c>
      <c r="G684" s="12">
        <v>2</v>
      </c>
      <c r="H684" s="12">
        <v>19.8</v>
      </c>
      <c r="I684" s="12">
        <v>39.6</v>
      </c>
      <c r="J684" s="12">
        <v>1617.9199999999996</v>
      </c>
      <c r="K684">
        <f t="shared" si="30"/>
        <v>6</v>
      </c>
      <c r="L684">
        <f t="shared" si="31"/>
        <v>1</v>
      </c>
      <c r="M684">
        <f t="shared" si="32"/>
        <v>1</v>
      </c>
    </row>
    <row r="685" spans="1:13" x14ac:dyDescent="0.25">
      <c r="A685" s="2" t="s">
        <v>664</v>
      </c>
      <c r="B685" s="11" t="s">
        <v>665</v>
      </c>
      <c r="C685" s="11" t="s">
        <v>4</v>
      </c>
      <c r="D685" s="11" t="s">
        <v>666</v>
      </c>
      <c r="E685" s="11" t="s">
        <v>720</v>
      </c>
      <c r="F685" s="11" t="s">
        <v>721</v>
      </c>
      <c r="G685" s="12">
        <v>2</v>
      </c>
      <c r="H685" s="12">
        <v>22.4</v>
      </c>
      <c r="I685" s="12">
        <v>44.8</v>
      </c>
      <c r="J685" s="12">
        <v>1662.7199999999996</v>
      </c>
      <c r="K685">
        <f t="shared" si="30"/>
        <v>8</v>
      </c>
      <c r="L685">
        <f t="shared" si="31"/>
        <v>1</v>
      </c>
      <c r="M685">
        <f t="shared" si="32"/>
        <v>1</v>
      </c>
    </row>
    <row r="686" spans="1:13" x14ac:dyDescent="0.25">
      <c r="A686" s="2" t="s">
        <v>664</v>
      </c>
      <c r="B686" s="11" t="s">
        <v>665</v>
      </c>
      <c r="C686" s="11" t="s">
        <v>4</v>
      </c>
      <c r="D686" s="11" t="s">
        <v>666</v>
      </c>
      <c r="E686" s="11" t="s">
        <v>722</v>
      </c>
      <c r="F686" s="11" t="s">
        <v>723</v>
      </c>
      <c r="G686" s="12">
        <v>2</v>
      </c>
      <c r="H686" s="12">
        <v>35</v>
      </c>
      <c r="I686" s="12">
        <v>70</v>
      </c>
      <c r="J686" s="12">
        <v>1732.7199999999996</v>
      </c>
      <c r="K686">
        <f t="shared" si="30"/>
        <v>1</v>
      </c>
      <c r="L686">
        <f t="shared" si="31"/>
        <v>1</v>
      </c>
      <c r="M686">
        <f t="shared" si="32"/>
        <v>1</v>
      </c>
    </row>
    <row r="687" spans="1:13" x14ac:dyDescent="0.25">
      <c r="A687" s="2" t="s">
        <v>664</v>
      </c>
      <c r="B687" s="11" t="s">
        <v>665</v>
      </c>
      <c r="C687" s="11" t="s">
        <v>4</v>
      </c>
      <c r="D687" s="11" t="s">
        <v>666</v>
      </c>
      <c r="E687" s="11" t="s">
        <v>724</v>
      </c>
      <c r="F687" s="11" t="s">
        <v>725</v>
      </c>
      <c r="G687" s="12">
        <v>2</v>
      </c>
      <c r="H687" s="12">
        <v>35</v>
      </c>
      <c r="I687" s="12">
        <v>70</v>
      </c>
      <c r="J687" s="12">
        <v>1802.7199999999996</v>
      </c>
      <c r="K687">
        <f t="shared" si="30"/>
        <v>2</v>
      </c>
      <c r="L687">
        <f t="shared" si="31"/>
        <v>1</v>
      </c>
      <c r="M687">
        <f t="shared" si="32"/>
        <v>1</v>
      </c>
    </row>
    <row r="688" spans="1:13" x14ac:dyDescent="0.25">
      <c r="A688" s="2" t="s">
        <v>664</v>
      </c>
      <c r="B688" s="11" t="s">
        <v>665</v>
      </c>
      <c r="C688" s="11" t="s">
        <v>4</v>
      </c>
      <c r="D688" s="11" t="s">
        <v>666</v>
      </c>
      <c r="E688" s="11" t="s">
        <v>726</v>
      </c>
      <c r="F688" s="11" t="s">
        <v>727</v>
      </c>
      <c r="G688" s="12">
        <v>2</v>
      </c>
      <c r="H688" s="12">
        <v>27.54</v>
      </c>
      <c r="I688" s="12">
        <v>55.08</v>
      </c>
      <c r="J688" s="12">
        <v>1857.7999999999995</v>
      </c>
      <c r="K688">
        <f t="shared" si="30"/>
        <v>2</v>
      </c>
      <c r="L688">
        <f t="shared" si="31"/>
        <v>1</v>
      </c>
      <c r="M688">
        <f t="shared" si="32"/>
        <v>1</v>
      </c>
    </row>
    <row r="689" spans="1:13" x14ac:dyDescent="0.25">
      <c r="A689" s="2" t="s">
        <v>664</v>
      </c>
      <c r="B689" s="11" t="s">
        <v>665</v>
      </c>
      <c r="C689" s="11" t="s">
        <v>4</v>
      </c>
      <c r="D689" s="11" t="s">
        <v>666</v>
      </c>
      <c r="E689" s="11" t="s">
        <v>728</v>
      </c>
      <c r="F689" s="11" t="s">
        <v>729</v>
      </c>
      <c r="G689" s="12">
        <v>2</v>
      </c>
      <c r="H689" s="12">
        <v>28.62</v>
      </c>
      <c r="I689" s="12">
        <v>57.24</v>
      </c>
      <c r="J689" s="12">
        <v>1915.0399999999995</v>
      </c>
      <c r="K689">
        <f t="shared" si="30"/>
        <v>1</v>
      </c>
      <c r="L689">
        <f t="shared" si="31"/>
        <v>1</v>
      </c>
      <c r="M689">
        <f t="shared" si="32"/>
        <v>1</v>
      </c>
    </row>
    <row r="690" spans="1:13" x14ac:dyDescent="0.25">
      <c r="A690" s="2" t="s">
        <v>664</v>
      </c>
      <c r="B690" s="11" t="s">
        <v>665</v>
      </c>
      <c r="C690" s="11" t="s">
        <v>4</v>
      </c>
      <c r="D690" s="11" t="s">
        <v>666</v>
      </c>
      <c r="E690" s="11" t="s">
        <v>730</v>
      </c>
      <c r="F690" s="11" t="s">
        <v>731</v>
      </c>
      <c r="G690" s="12">
        <v>2</v>
      </c>
      <c r="H690" s="12">
        <v>28.62</v>
      </c>
      <c r="I690" s="12">
        <v>57.24</v>
      </c>
      <c r="J690" s="12">
        <v>1972.2799999999995</v>
      </c>
      <c r="K690">
        <f t="shared" si="30"/>
        <v>5</v>
      </c>
      <c r="L690">
        <f t="shared" si="31"/>
        <v>1</v>
      </c>
      <c r="M690">
        <f t="shared" si="32"/>
        <v>1</v>
      </c>
    </row>
    <row r="691" spans="1:13" x14ac:dyDescent="0.25">
      <c r="A691" s="2" t="s">
        <v>664</v>
      </c>
      <c r="B691" s="11" t="s">
        <v>665</v>
      </c>
      <c r="C691" s="11" t="s">
        <v>4</v>
      </c>
      <c r="D691" s="11" t="s">
        <v>666</v>
      </c>
      <c r="E691" s="11" t="s">
        <v>374</v>
      </c>
      <c r="F691" s="11" t="s">
        <v>375</v>
      </c>
      <c r="G691" s="12">
        <v>2</v>
      </c>
      <c r="H691" s="12">
        <v>29.7</v>
      </c>
      <c r="I691" s="12">
        <v>59.4</v>
      </c>
      <c r="J691" s="12">
        <v>2031.6799999999996</v>
      </c>
      <c r="K691">
        <f t="shared" si="30"/>
        <v>8</v>
      </c>
      <c r="L691">
        <f t="shared" si="31"/>
        <v>1</v>
      </c>
      <c r="M691">
        <f t="shared" si="32"/>
        <v>1</v>
      </c>
    </row>
    <row r="692" spans="1:13" x14ac:dyDescent="0.25">
      <c r="A692" s="2" t="s">
        <v>664</v>
      </c>
      <c r="B692" s="11" t="s">
        <v>665</v>
      </c>
      <c r="C692" s="11" t="s">
        <v>4</v>
      </c>
      <c r="D692" s="11" t="s">
        <v>666</v>
      </c>
      <c r="E692" s="11" t="s">
        <v>732</v>
      </c>
      <c r="F692" s="11" t="s">
        <v>733</v>
      </c>
      <c r="G692" s="12">
        <v>2</v>
      </c>
      <c r="H692" s="12">
        <v>11.88</v>
      </c>
      <c r="I692" s="12">
        <v>23.76</v>
      </c>
      <c r="J692" s="12">
        <v>2055.4399999999996</v>
      </c>
      <c r="K692">
        <f t="shared" si="30"/>
        <v>4</v>
      </c>
      <c r="L692">
        <f t="shared" si="31"/>
        <v>1</v>
      </c>
      <c r="M692">
        <f t="shared" si="32"/>
        <v>1</v>
      </c>
    </row>
    <row r="693" spans="1:13" x14ac:dyDescent="0.25">
      <c r="A693" s="2" t="s">
        <v>664</v>
      </c>
      <c r="B693" s="11" t="s">
        <v>665</v>
      </c>
      <c r="C693" s="11" t="s">
        <v>4</v>
      </c>
      <c r="D693" s="11" t="s">
        <v>666</v>
      </c>
      <c r="E693" s="11" t="s">
        <v>734</v>
      </c>
      <c r="F693" s="11" t="s">
        <v>735</v>
      </c>
      <c r="G693" s="12">
        <v>2</v>
      </c>
      <c r="H693" s="12">
        <v>11.88</v>
      </c>
      <c r="I693" s="12">
        <v>23.76</v>
      </c>
      <c r="J693" s="12">
        <v>2079.1999999999998</v>
      </c>
      <c r="K693">
        <f t="shared" si="30"/>
        <v>5</v>
      </c>
      <c r="L693">
        <f t="shared" si="31"/>
        <v>1</v>
      </c>
      <c r="M693">
        <f t="shared" si="32"/>
        <v>1</v>
      </c>
    </row>
    <row r="694" spans="1:13" x14ac:dyDescent="0.25">
      <c r="A694" s="2" t="s">
        <v>664</v>
      </c>
      <c r="B694" s="11" t="s">
        <v>665</v>
      </c>
      <c r="C694" s="11" t="s">
        <v>4</v>
      </c>
      <c r="D694" s="11" t="s">
        <v>666</v>
      </c>
      <c r="E694" s="11" t="s">
        <v>736</v>
      </c>
      <c r="F694" s="11" t="s">
        <v>737</v>
      </c>
      <c r="G694" s="12">
        <v>2</v>
      </c>
      <c r="H694" s="12">
        <v>9.48</v>
      </c>
      <c r="I694" s="12">
        <v>18.96</v>
      </c>
      <c r="J694" s="12">
        <v>2098.16</v>
      </c>
      <c r="K694">
        <f t="shared" si="30"/>
        <v>5</v>
      </c>
      <c r="L694">
        <f t="shared" si="31"/>
        <v>1</v>
      </c>
      <c r="M694">
        <f t="shared" si="32"/>
        <v>1</v>
      </c>
    </row>
    <row r="695" spans="1:13" x14ac:dyDescent="0.25">
      <c r="A695" s="2" t="s">
        <v>664</v>
      </c>
      <c r="B695" s="11" t="s">
        <v>665</v>
      </c>
      <c r="C695" s="11" t="s">
        <v>4</v>
      </c>
      <c r="D695" s="11" t="s">
        <v>666</v>
      </c>
      <c r="E695" s="11" t="s">
        <v>738</v>
      </c>
      <c r="F695" s="11" t="s">
        <v>738</v>
      </c>
      <c r="G695" s="12">
        <v>2</v>
      </c>
      <c r="H695" s="12">
        <v>9.48</v>
      </c>
      <c r="I695" s="12">
        <v>18.96</v>
      </c>
      <c r="J695" s="12">
        <v>2117.12</v>
      </c>
      <c r="K695">
        <f t="shared" si="30"/>
        <v>7</v>
      </c>
      <c r="L695">
        <f t="shared" si="31"/>
        <v>1</v>
      </c>
      <c r="M695">
        <f t="shared" si="32"/>
        <v>1</v>
      </c>
    </row>
    <row r="696" spans="1:13" x14ac:dyDescent="0.25">
      <c r="A696" s="2" t="s">
        <v>664</v>
      </c>
      <c r="B696" s="11" t="s">
        <v>665</v>
      </c>
      <c r="C696" s="11" t="s">
        <v>4</v>
      </c>
      <c r="D696" s="11" t="s">
        <v>666</v>
      </c>
      <c r="E696" s="11" t="s">
        <v>739</v>
      </c>
      <c r="F696" s="11" t="s">
        <v>740</v>
      </c>
      <c r="G696" s="12">
        <v>2</v>
      </c>
      <c r="H696" s="12">
        <v>13.08</v>
      </c>
      <c r="I696" s="12">
        <v>26.16</v>
      </c>
      <c r="J696" s="12">
        <v>2143.2799999999997</v>
      </c>
      <c r="K696">
        <f t="shared" si="30"/>
        <v>7</v>
      </c>
      <c r="L696">
        <f t="shared" si="31"/>
        <v>1</v>
      </c>
      <c r="M696">
        <f t="shared" si="32"/>
        <v>1</v>
      </c>
    </row>
    <row r="697" spans="1:13" x14ac:dyDescent="0.25">
      <c r="A697" s="2" t="s">
        <v>664</v>
      </c>
      <c r="B697" s="11" t="s">
        <v>665</v>
      </c>
      <c r="C697" s="11" t="s">
        <v>4</v>
      </c>
      <c r="D697" s="11" t="s">
        <v>666</v>
      </c>
      <c r="E697" s="11" t="s">
        <v>741</v>
      </c>
      <c r="F697" s="11" t="s">
        <v>742</v>
      </c>
      <c r="G697" s="12">
        <v>1</v>
      </c>
      <c r="H697" s="12">
        <v>13.08</v>
      </c>
      <c r="I697" s="12">
        <v>13.08</v>
      </c>
      <c r="J697" s="12">
        <v>2156.3599999999997</v>
      </c>
      <c r="K697">
        <f t="shared" si="30"/>
        <v>7</v>
      </c>
      <c r="L697">
        <f t="shared" si="31"/>
        <v>1</v>
      </c>
      <c r="M697">
        <f t="shared" si="32"/>
        <v>1</v>
      </c>
    </row>
    <row r="698" spans="1:13" x14ac:dyDescent="0.25">
      <c r="A698" s="2" t="s">
        <v>664</v>
      </c>
      <c r="B698" s="11" t="s">
        <v>665</v>
      </c>
      <c r="C698" s="11" t="s">
        <v>4</v>
      </c>
      <c r="D698" s="11" t="s">
        <v>666</v>
      </c>
      <c r="E698" s="11" t="s">
        <v>743</v>
      </c>
      <c r="F698" s="11" t="s">
        <v>744</v>
      </c>
      <c r="G698" s="12">
        <v>1</v>
      </c>
      <c r="H698" s="12">
        <v>60</v>
      </c>
      <c r="I698" s="12">
        <v>60</v>
      </c>
      <c r="J698" s="12">
        <v>2216.3599999999997</v>
      </c>
      <c r="K698">
        <f t="shared" si="30"/>
        <v>5</v>
      </c>
      <c r="L698">
        <f t="shared" si="31"/>
        <v>1</v>
      </c>
      <c r="M698">
        <f t="shared" si="32"/>
        <v>1</v>
      </c>
    </row>
    <row r="699" spans="1:13" x14ac:dyDescent="0.25">
      <c r="A699" s="2" t="s">
        <v>664</v>
      </c>
      <c r="B699" s="11" t="s">
        <v>665</v>
      </c>
      <c r="C699" s="11" t="s">
        <v>4</v>
      </c>
      <c r="D699" s="11" t="s">
        <v>666</v>
      </c>
      <c r="E699" s="11" t="s">
        <v>745</v>
      </c>
      <c r="F699" s="11" t="s">
        <v>745</v>
      </c>
      <c r="G699" s="12">
        <v>2</v>
      </c>
      <c r="H699" s="12">
        <v>60</v>
      </c>
      <c r="I699" s="12">
        <v>120</v>
      </c>
      <c r="J699" s="12">
        <v>2336.3599999999997</v>
      </c>
      <c r="K699">
        <f t="shared" si="30"/>
        <v>5</v>
      </c>
      <c r="L699">
        <f t="shared" si="31"/>
        <v>1</v>
      </c>
      <c r="M699">
        <f t="shared" si="32"/>
        <v>1</v>
      </c>
    </row>
    <row r="700" spans="1:13" x14ac:dyDescent="0.25">
      <c r="A700" s="2" t="s">
        <v>664</v>
      </c>
      <c r="B700" s="11" t="s">
        <v>665</v>
      </c>
      <c r="C700" s="11" t="s">
        <v>4</v>
      </c>
      <c r="D700" s="11" t="s">
        <v>666</v>
      </c>
      <c r="E700" s="11" t="s">
        <v>746</v>
      </c>
      <c r="F700" s="11" t="s">
        <v>747</v>
      </c>
      <c r="G700" s="12">
        <v>1</v>
      </c>
      <c r="H700" s="12">
        <v>80</v>
      </c>
      <c r="I700" s="12">
        <v>80</v>
      </c>
      <c r="J700" s="12">
        <v>2416.3599999999997</v>
      </c>
      <c r="K700">
        <f t="shared" si="30"/>
        <v>3</v>
      </c>
      <c r="L700">
        <f t="shared" si="31"/>
        <v>1</v>
      </c>
      <c r="M700">
        <f t="shared" si="32"/>
        <v>1</v>
      </c>
    </row>
    <row r="701" spans="1:13" x14ac:dyDescent="0.25">
      <c r="A701" s="2" t="s">
        <v>664</v>
      </c>
      <c r="B701" s="11" t="s">
        <v>665</v>
      </c>
      <c r="C701" s="11" t="s">
        <v>4</v>
      </c>
      <c r="D701" s="11" t="s">
        <v>666</v>
      </c>
      <c r="E701" s="11" t="s">
        <v>748</v>
      </c>
      <c r="F701" s="11" t="s">
        <v>749</v>
      </c>
      <c r="G701" s="12">
        <v>1</v>
      </c>
      <c r="H701" s="12">
        <v>73</v>
      </c>
      <c r="I701" s="12">
        <v>73</v>
      </c>
      <c r="J701" s="12">
        <v>2489.3599999999997</v>
      </c>
      <c r="K701">
        <f t="shared" si="30"/>
        <v>4</v>
      </c>
      <c r="L701">
        <f t="shared" si="31"/>
        <v>1</v>
      </c>
      <c r="M701">
        <f t="shared" si="32"/>
        <v>1</v>
      </c>
    </row>
    <row r="702" spans="1:13" x14ac:dyDescent="0.25">
      <c r="A702" s="2" t="s">
        <v>664</v>
      </c>
      <c r="B702" s="11" t="s">
        <v>665</v>
      </c>
      <c r="C702" s="11" t="s">
        <v>4</v>
      </c>
      <c r="D702" s="11" t="s">
        <v>666</v>
      </c>
      <c r="E702" s="11" t="s">
        <v>750</v>
      </c>
      <c r="F702" s="11" t="s">
        <v>751</v>
      </c>
      <c r="G702" s="12">
        <v>1</v>
      </c>
      <c r="H702" s="12">
        <v>52</v>
      </c>
      <c r="I702" s="12">
        <v>52</v>
      </c>
      <c r="J702" s="12">
        <v>2541.3599999999997</v>
      </c>
      <c r="K702">
        <f t="shared" si="30"/>
        <v>4</v>
      </c>
      <c r="L702">
        <f t="shared" si="31"/>
        <v>1</v>
      </c>
      <c r="M702">
        <f t="shared" si="32"/>
        <v>1</v>
      </c>
    </row>
    <row r="703" spans="1:13" x14ac:dyDescent="0.25">
      <c r="A703" s="2" t="s">
        <v>664</v>
      </c>
      <c r="B703" s="11" t="s">
        <v>665</v>
      </c>
      <c r="C703" s="11" t="s">
        <v>4</v>
      </c>
      <c r="D703" s="11" t="s">
        <v>666</v>
      </c>
      <c r="E703" s="11" t="s">
        <v>752</v>
      </c>
      <c r="F703" s="11" t="s">
        <v>753</v>
      </c>
      <c r="G703" s="12">
        <v>1</v>
      </c>
      <c r="H703" s="12">
        <v>35</v>
      </c>
      <c r="I703" s="12">
        <v>35</v>
      </c>
      <c r="J703" s="12">
        <v>2576.3599999999997</v>
      </c>
      <c r="K703">
        <f t="shared" si="30"/>
        <v>6</v>
      </c>
      <c r="L703">
        <f t="shared" si="31"/>
        <v>1</v>
      </c>
      <c r="M703">
        <f t="shared" si="32"/>
        <v>1</v>
      </c>
    </row>
    <row r="704" spans="1:13" x14ac:dyDescent="0.25">
      <c r="A704" s="2" t="s">
        <v>664</v>
      </c>
      <c r="B704" s="11" t="s">
        <v>665</v>
      </c>
      <c r="C704" s="11" t="s">
        <v>4</v>
      </c>
      <c r="D704" s="11" t="s">
        <v>666</v>
      </c>
      <c r="E704" s="11" t="s">
        <v>726</v>
      </c>
      <c r="F704" s="11" t="s">
        <v>727</v>
      </c>
      <c r="G704" s="12">
        <v>1</v>
      </c>
      <c r="H704" s="12">
        <v>28.62</v>
      </c>
      <c r="I704" s="12">
        <v>28.62</v>
      </c>
      <c r="J704" s="12">
        <v>2604.9799999999996</v>
      </c>
      <c r="K704">
        <f t="shared" si="30"/>
        <v>2</v>
      </c>
      <c r="L704">
        <f t="shared" si="31"/>
        <v>1</v>
      </c>
      <c r="M704">
        <f t="shared" si="32"/>
        <v>1</v>
      </c>
    </row>
    <row r="705" spans="1:13" x14ac:dyDescent="0.25">
      <c r="A705" s="2" t="s">
        <v>664</v>
      </c>
      <c r="B705" s="11" t="s">
        <v>665</v>
      </c>
      <c r="C705" s="11" t="s">
        <v>4</v>
      </c>
      <c r="D705" s="11" t="s">
        <v>666</v>
      </c>
      <c r="E705" s="11" t="s">
        <v>754</v>
      </c>
      <c r="F705" s="11" t="s">
        <v>755</v>
      </c>
      <c r="G705" s="12">
        <v>1</v>
      </c>
      <c r="H705" s="12">
        <v>35.880000000000003</v>
      </c>
      <c r="I705" s="12">
        <v>35.880000000000003</v>
      </c>
      <c r="J705" s="12">
        <v>2640.8599999999997</v>
      </c>
      <c r="K705">
        <f t="shared" si="30"/>
        <v>8</v>
      </c>
      <c r="L705">
        <f t="shared" si="31"/>
        <v>1</v>
      </c>
      <c r="M705">
        <f t="shared" si="32"/>
        <v>1</v>
      </c>
    </row>
    <row r="706" spans="1:13" x14ac:dyDescent="0.25">
      <c r="A706" s="2" t="s">
        <v>664</v>
      </c>
      <c r="B706" s="11" t="s">
        <v>665</v>
      </c>
      <c r="C706" s="11" t="s">
        <v>4</v>
      </c>
      <c r="D706" s="11" t="s">
        <v>666</v>
      </c>
      <c r="E706" s="11" t="s">
        <v>756</v>
      </c>
      <c r="F706" s="11" t="s">
        <v>757</v>
      </c>
      <c r="G706" s="12">
        <v>1</v>
      </c>
      <c r="H706" s="12">
        <v>12</v>
      </c>
      <c r="I706" s="12">
        <v>12</v>
      </c>
      <c r="J706" s="12">
        <v>2652.8599999999997</v>
      </c>
      <c r="K706">
        <f t="shared" si="30"/>
        <v>8</v>
      </c>
      <c r="L706">
        <f t="shared" si="31"/>
        <v>1</v>
      </c>
      <c r="M706">
        <f t="shared" si="32"/>
        <v>1</v>
      </c>
    </row>
    <row r="707" spans="1:13" x14ac:dyDescent="0.25">
      <c r="A707" s="2" t="s">
        <v>664</v>
      </c>
      <c r="B707" s="11" t="s">
        <v>665</v>
      </c>
      <c r="C707" s="11" t="s">
        <v>4</v>
      </c>
      <c r="D707" s="11" t="s">
        <v>666</v>
      </c>
      <c r="E707" s="11" t="s">
        <v>758</v>
      </c>
      <c r="F707" s="11" t="s">
        <v>759</v>
      </c>
      <c r="G707" s="12">
        <v>2</v>
      </c>
      <c r="H707" s="12">
        <v>35</v>
      </c>
      <c r="I707" s="12">
        <v>70</v>
      </c>
      <c r="J707" s="12">
        <v>2722.8599999999997</v>
      </c>
      <c r="K707">
        <f t="shared" ref="K707:K770" si="33">COUNTIF($E$2:$E$1466,E707)</f>
        <v>2</v>
      </c>
      <c r="L707">
        <f t="shared" ref="L707:L770" si="34">IF(G707&gt;0,1,0)</f>
        <v>1</v>
      </c>
      <c r="M707">
        <f t="shared" ref="M707:M770" si="35">IF(H707&gt;0,1,0)</f>
        <v>1</v>
      </c>
    </row>
    <row r="708" spans="1:13" x14ac:dyDescent="0.25">
      <c r="A708" s="2" t="s">
        <v>664</v>
      </c>
      <c r="B708" s="11" t="s">
        <v>665</v>
      </c>
      <c r="C708" s="11" t="s">
        <v>4</v>
      </c>
      <c r="D708" s="11" t="s">
        <v>666</v>
      </c>
      <c r="E708" s="11" t="s">
        <v>760</v>
      </c>
      <c r="F708" s="11" t="s">
        <v>761</v>
      </c>
      <c r="G708" s="12">
        <v>1</v>
      </c>
      <c r="H708" s="12">
        <v>50</v>
      </c>
      <c r="I708" s="12">
        <v>50</v>
      </c>
      <c r="J708" s="12">
        <v>2772.8599999999997</v>
      </c>
      <c r="K708">
        <f t="shared" si="33"/>
        <v>6</v>
      </c>
      <c r="L708">
        <f t="shared" si="34"/>
        <v>1</v>
      </c>
      <c r="M708">
        <f t="shared" si="35"/>
        <v>1</v>
      </c>
    </row>
    <row r="709" spans="1:13" x14ac:dyDescent="0.25">
      <c r="A709" s="2" t="s">
        <v>664</v>
      </c>
      <c r="B709" s="11" t="s">
        <v>665</v>
      </c>
      <c r="C709" s="11" t="s">
        <v>4</v>
      </c>
      <c r="D709" s="11" t="s">
        <v>666</v>
      </c>
      <c r="E709" s="11" t="s">
        <v>762</v>
      </c>
      <c r="F709" s="11" t="s">
        <v>763</v>
      </c>
      <c r="G709" s="12">
        <v>2</v>
      </c>
      <c r="H709" s="12">
        <v>36</v>
      </c>
      <c r="I709" s="12">
        <v>72</v>
      </c>
      <c r="J709" s="12">
        <v>2844.8599999999997</v>
      </c>
      <c r="K709">
        <f t="shared" si="33"/>
        <v>7</v>
      </c>
      <c r="L709">
        <f t="shared" si="34"/>
        <v>1</v>
      </c>
      <c r="M709">
        <f t="shared" si="35"/>
        <v>1</v>
      </c>
    </row>
    <row r="710" spans="1:13" x14ac:dyDescent="0.25">
      <c r="A710" s="2" t="s">
        <v>664</v>
      </c>
      <c r="B710" s="11" t="s">
        <v>665</v>
      </c>
      <c r="C710" s="11" t="s">
        <v>4</v>
      </c>
      <c r="D710" s="11" t="s">
        <v>666</v>
      </c>
      <c r="E710" s="11" t="s">
        <v>764</v>
      </c>
      <c r="F710" s="11" t="s">
        <v>765</v>
      </c>
      <c r="G710" s="12">
        <v>1</v>
      </c>
      <c r="H710" s="12">
        <v>44.82</v>
      </c>
      <c r="I710" s="12">
        <v>44.82</v>
      </c>
      <c r="J710" s="12">
        <v>2889.68</v>
      </c>
      <c r="K710">
        <f t="shared" si="33"/>
        <v>5</v>
      </c>
      <c r="L710">
        <f t="shared" si="34"/>
        <v>1</v>
      </c>
      <c r="M710">
        <f t="shared" si="35"/>
        <v>1</v>
      </c>
    </row>
    <row r="711" spans="1:13" x14ac:dyDescent="0.25">
      <c r="A711" s="2" t="s">
        <v>664</v>
      </c>
      <c r="B711" s="11" t="s">
        <v>665</v>
      </c>
      <c r="C711" s="11" t="s">
        <v>4</v>
      </c>
      <c r="D711" s="11" t="s">
        <v>666</v>
      </c>
      <c r="E711" s="11" t="s">
        <v>766</v>
      </c>
      <c r="F711" s="11" t="s">
        <v>767</v>
      </c>
      <c r="G711" s="12">
        <v>2</v>
      </c>
      <c r="H711" s="12">
        <v>60</v>
      </c>
      <c r="I711" s="12">
        <v>120</v>
      </c>
      <c r="J711" s="12">
        <v>3009.68</v>
      </c>
      <c r="K711">
        <f t="shared" si="33"/>
        <v>2</v>
      </c>
      <c r="L711">
        <f t="shared" si="34"/>
        <v>1</v>
      </c>
      <c r="M711">
        <f t="shared" si="35"/>
        <v>1</v>
      </c>
    </row>
    <row r="712" spans="1:13" x14ac:dyDescent="0.25">
      <c r="A712" s="2" t="s">
        <v>664</v>
      </c>
      <c r="B712" s="11" t="s">
        <v>665</v>
      </c>
      <c r="C712" s="11" t="s">
        <v>4</v>
      </c>
      <c r="D712" s="11" t="s">
        <v>666</v>
      </c>
      <c r="E712" s="11" t="s">
        <v>768</v>
      </c>
      <c r="F712" s="11" t="s">
        <v>769</v>
      </c>
      <c r="G712" s="12">
        <v>2</v>
      </c>
      <c r="H712" s="12">
        <v>45.8</v>
      </c>
      <c r="I712" s="12">
        <v>91.6</v>
      </c>
      <c r="J712" s="12">
        <v>3101.2799999999997</v>
      </c>
      <c r="K712">
        <f t="shared" si="33"/>
        <v>5</v>
      </c>
      <c r="L712">
        <f t="shared" si="34"/>
        <v>1</v>
      </c>
      <c r="M712">
        <f t="shared" si="35"/>
        <v>1</v>
      </c>
    </row>
    <row r="713" spans="1:13" x14ac:dyDescent="0.25">
      <c r="A713" s="2" t="s">
        <v>664</v>
      </c>
      <c r="B713" s="11" t="s">
        <v>665</v>
      </c>
      <c r="C713" s="11" t="s">
        <v>4</v>
      </c>
      <c r="D713" s="11" t="s">
        <v>666</v>
      </c>
      <c r="E713" s="11" t="s">
        <v>770</v>
      </c>
      <c r="F713" s="11" t="s">
        <v>771</v>
      </c>
      <c r="G713" s="12">
        <v>2</v>
      </c>
      <c r="H713" s="12">
        <v>37</v>
      </c>
      <c r="I713" s="12">
        <v>74</v>
      </c>
      <c r="J713" s="12">
        <v>3175.2799999999997</v>
      </c>
      <c r="K713">
        <f t="shared" si="33"/>
        <v>6</v>
      </c>
      <c r="L713">
        <f t="shared" si="34"/>
        <v>1</v>
      </c>
      <c r="M713">
        <f t="shared" si="35"/>
        <v>1</v>
      </c>
    </row>
    <row r="714" spans="1:13" x14ac:dyDescent="0.25">
      <c r="A714" s="2" t="s">
        <v>664</v>
      </c>
      <c r="B714" s="11" t="s">
        <v>665</v>
      </c>
      <c r="C714" s="11" t="s">
        <v>4</v>
      </c>
      <c r="D714" s="11" t="s">
        <v>666</v>
      </c>
      <c r="E714" s="11" t="s">
        <v>772</v>
      </c>
      <c r="F714" s="11" t="s">
        <v>773</v>
      </c>
      <c r="G714" s="12">
        <v>1</v>
      </c>
      <c r="H714" s="12">
        <v>42</v>
      </c>
      <c r="I714" s="12">
        <v>42</v>
      </c>
      <c r="J714" s="12">
        <v>3217.2799999999997</v>
      </c>
      <c r="K714">
        <f t="shared" si="33"/>
        <v>1</v>
      </c>
      <c r="L714">
        <f t="shared" si="34"/>
        <v>1</v>
      </c>
      <c r="M714">
        <f t="shared" si="35"/>
        <v>1</v>
      </c>
    </row>
    <row r="715" spans="1:13" x14ac:dyDescent="0.25">
      <c r="A715" s="2" t="s">
        <v>664</v>
      </c>
      <c r="B715" s="11" t="s">
        <v>665</v>
      </c>
      <c r="C715" s="11" t="s">
        <v>4</v>
      </c>
      <c r="D715" s="11" t="s">
        <v>666</v>
      </c>
      <c r="E715" s="11" t="s">
        <v>774</v>
      </c>
      <c r="F715" s="11" t="s">
        <v>775</v>
      </c>
      <c r="G715" s="12">
        <v>3</v>
      </c>
      <c r="H715" s="12">
        <v>25.08</v>
      </c>
      <c r="I715" s="12">
        <v>75.239999999999995</v>
      </c>
      <c r="J715" s="12">
        <v>3292.5199999999995</v>
      </c>
      <c r="K715">
        <f t="shared" si="33"/>
        <v>6</v>
      </c>
      <c r="L715">
        <f t="shared" si="34"/>
        <v>1</v>
      </c>
      <c r="M715">
        <f t="shared" si="35"/>
        <v>1</v>
      </c>
    </row>
    <row r="716" spans="1:13" x14ac:dyDescent="0.25">
      <c r="A716" s="2" t="s">
        <v>664</v>
      </c>
      <c r="B716" s="11" t="s">
        <v>665</v>
      </c>
      <c r="C716" s="11" t="s">
        <v>4</v>
      </c>
      <c r="D716" s="11" t="s">
        <v>666</v>
      </c>
      <c r="E716" s="11" t="s">
        <v>656</v>
      </c>
      <c r="F716" s="11" t="s">
        <v>776</v>
      </c>
      <c r="G716" s="12">
        <v>2</v>
      </c>
      <c r="H716" s="12">
        <v>27</v>
      </c>
      <c r="I716" s="12">
        <v>54</v>
      </c>
      <c r="J716" s="12">
        <v>3346.5199999999995</v>
      </c>
      <c r="K716">
        <f t="shared" si="33"/>
        <v>8</v>
      </c>
      <c r="L716">
        <f t="shared" si="34"/>
        <v>1</v>
      </c>
      <c r="M716">
        <f t="shared" si="35"/>
        <v>1</v>
      </c>
    </row>
    <row r="717" spans="1:13" x14ac:dyDescent="0.25">
      <c r="A717" s="2" t="s">
        <v>664</v>
      </c>
      <c r="B717" s="11" t="s">
        <v>398</v>
      </c>
      <c r="C717" s="11" t="s">
        <v>4</v>
      </c>
      <c r="D717" s="11" t="s">
        <v>5</v>
      </c>
      <c r="E717" s="11" t="s">
        <v>667</v>
      </c>
      <c r="F717" s="11" t="s">
        <v>668</v>
      </c>
      <c r="G717" s="12">
        <v>2</v>
      </c>
      <c r="H717" s="12">
        <v>28.8</v>
      </c>
      <c r="I717" s="12">
        <v>57.6</v>
      </c>
      <c r="J717" s="12">
        <v>3404.1199999999994</v>
      </c>
      <c r="K717">
        <f t="shared" si="33"/>
        <v>7</v>
      </c>
      <c r="L717">
        <f t="shared" si="34"/>
        <v>1</v>
      </c>
      <c r="M717">
        <f t="shared" si="35"/>
        <v>1</v>
      </c>
    </row>
    <row r="718" spans="1:13" x14ac:dyDescent="0.25">
      <c r="A718" s="2" t="s">
        <v>664</v>
      </c>
      <c r="B718" s="11" t="s">
        <v>398</v>
      </c>
      <c r="C718" s="11" t="s">
        <v>4</v>
      </c>
      <c r="D718" s="11" t="s">
        <v>5</v>
      </c>
      <c r="E718" s="11" t="s">
        <v>669</v>
      </c>
      <c r="F718" s="11" t="s">
        <v>670</v>
      </c>
      <c r="G718" s="12">
        <v>2</v>
      </c>
      <c r="H718" s="12">
        <v>28.8</v>
      </c>
      <c r="I718" s="12">
        <v>57.6</v>
      </c>
      <c r="J718" s="12">
        <v>3461.7199999999993</v>
      </c>
      <c r="K718">
        <f t="shared" si="33"/>
        <v>8</v>
      </c>
      <c r="L718">
        <f t="shared" si="34"/>
        <v>1</v>
      </c>
      <c r="M718">
        <f t="shared" si="35"/>
        <v>1</v>
      </c>
    </row>
    <row r="719" spans="1:13" x14ac:dyDescent="0.25">
      <c r="A719" s="2" t="s">
        <v>664</v>
      </c>
      <c r="B719" s="11" t="s">
        <v>398</v>
      </c>
      <c r="C719" s="11" t="s">
        <v>4</v>
      </c>
      <c r="D719" s="11" t="s">
        <v>5</v>
      </c>
      <c r="E719" s="11" t="s">
        <v>671</v>
      </c>
      <c r="F719" s="11" t="s">
        <v>672</v>
      </c>
      <c r="G719" s="12">
        <v>2</v>
      </c>
      <c r="H719" s="12">
        <v>30.96</v>
      </c>
      <c r="I719" s="12">
        <v>61.92</v>
      </c>
      <c r="J719" s="12">
        <v>3523.6399999999994</v>
      </c>
      <c r="K719">
        <f t="shared" si="33"/>
        <v>7</v>
      </c>
      <c r="L719">
        <f t="shared" si="34"/>
        <v>1</v>
      </c>
      <c r="M719">
        <f t="shared" si="35"/>
        <v>1</v>
      </c>
    </row>
    <row r="720" spans="1:13" x14ac:dyDescent="0.25">
      <c r="A720" s="2" t="s">
        <v>664</v>
      </c>
      <c r="B720" s="11" t="s">
        <v>398</v>
      </c>
      <c r="C720" s="11" t="s">
        <v>4</v>
      </c>
      <c r="D720" s="11" t="s">
        <v>5</v>
      </c>
      <c r="E720" s="11" t="s">
        <v>673</v>
      </c>
      <c r="F720" s="11" t="s">
        <v>674</v>
      </c>
      <c r="G720" s="12">
        <v>2</v>
      </c>
      <c r="H720" s="12">
        <v>31.2</v>
      </c>
      <c r="I720" s="12">
        <v>62.4</v>
      </c>
      <c r="J720" s="12">
        <v>3586.0399999999995</v>
      </c>
      <c r="K720">
        <f t="shared" si="33"/>
        <v>7</v>
      </c>
      <c r="L720">
        <f t="shared" si="34"/>
        <v>1</v>
      </c>
      <c r="M720">
        <f t="shared" si="35"/>
        <v>1</v>
      </c>
    </row>
    <row r="721" spans="1:13" x14ac:dyDescent="0.25">
      <c r="A721" s="2" t="s">
        <v>664</v>
      </c>
      <c r="B721" s="11" t="s">
        <v>398</v>
      </c>
      <c r="C721" s="11" t="s">
        <v>4</v>
      </c>
      <c r="D721" s="11" t="s">
        <v>5</v>
      </c>
      <c r="E721" s="11" t="s">
        <v>675</v>
      </c>
      <c r="F721" s="11" t="s">
        <v>676</v>
      </c>
      <c r="G721" s="12">
        <v>2</v>
      </c>
      <c r="H721" s="12">
        <v>31.2</v>
      </c>
      <c r="I721" s="12">
        <v>62.4</v>
      </c>
      <c r="J721" s="12">
        <v>3648.4399999999996</v>
      </c>
      <c r="K721">
        <f t="shared" si="33"/>
        <v>6</v>
      </c>
      <c r="L721">
        <f t="shared" si="34"/>
        <v>1</v>
      </c>
      <c r="M721">
        <f t="shared" si="35"/>
        <v>1</v>
      </c>
    </row>
    <row r="722" spans="1:13" x14ac:dyDescent="0.25">
      <c r="A722" s="2" t="s">
        <v>664</v>
      </c>
      <c r="B722" s="11" t="s">
        <v>398</v>
      </c>
      <c r="C722" s="11" t="s">
        <v>4</v>
      </c>
      <c r="D722" s="11" t="s">
        <v>5</v>
      </c>
      <c r="E722" s="11" t="s">
        <v>677</v>
      </c>
      <c r="F722" s="11" t="s">
        <v>678</v>
      </c>
      <c r="G722" s="12">
        <v>2</v>
      </c>
      <c r="H722" s="12">
        <v>19.8</v>
      </c>
      <c r="I722" s="12">
        <v>39.6</v>
      </c>
      <c r="J722" s="12">
        <v>3688.0399999999995</v>
      </c>
      <c r="K722">
        <f t="shared" si="33"/>
        <v>3</v>
      </c>
      <c r="L722">
        <f t="shared" si="34"/>
        <v>1</v>
      </c>
      <c r="M722">
        <f t="shared" si="35"/>
        <v>1</v>
      </c>
    </row>
    <row r="723" spans="1:13" x14ac:dyDescent="0.25">
      <c r="A723" s="2" t="s">
        <v>664</v>
      </c>
      <c r="B723" s="11" t="s">
        <v>398</v>
      </c>
      <c r="C723" s="11" t="s">
        <v>4</v>
      </c>
      <c r="D723" s="11" t="s">
        <v>5</v>
      </c>
      <c r="E723" s="11" t="s">
        <v>679</v>
      </c>
      <c r="F723" s="11" t="s">
        <v>680</v>
      </c>
      <c r="G723" s="12">
        <v>2</v>
      </c>
      <c r="H723" s="12">
        <v>19.8</v>
      </c>
      <c r="I723" s="12">
        <v>39.6</v>
      </c>
      <c r="J723" s="12">
        <v>3727.6399999999994</v>
      </c>
      <c r="K723">
        <f t="shared" si="33"/>
        <v>3</v>
      </c>
      <c r="L723">
        <f t="shared" si="34"/>
        <v>1</v>
      </c>
      <c r="M723">
        <f t="shared" si="35"/>
        <v>1</v>
      </c>
    </row>
    <row r="724" spans="1:13" x14ac:dyDescent="0.25">
      <c r="A724" s="2" t="s">
        <v>664</v>
      </c>
      <c r="B724" s="11" t="s">
        <v>398</v>
      </c>
      <c r="C724" s="11" t="s">
        <v>4</v>
      </c>
      <c r="D724" s="11" t="s">
        <v>5</v>
      </c>
      <c r="E724" s="11" t="s">
        <v>681</v>
      </c>
      <c r="F724" s="11" t="s">
        <v>682</v>
      </c>
      <c r="G724" s="12">
        <v>2</v>
      </c>
      <c r="H724" s="12">
        <v>23.88</v>
      </c>
      <c r="I724" s="12">
        <v>47.76</v>
      </c>
      <c r="J724" s="12">
        <v>3775.3999999999996</v>
      </c>
      <c r="K724">
        <f t="shared" si="33"/>
        <v>3</v>
      </c>
      <c r="L724">
        <f t="shared" si="34"/>
        <v>1</v>
      </c>
      <c r="M724">
        <f t="shared" si="35"/>
        <v>1</v>
      </c>
    </row>
    <row r="725" spans="1:13" x14ac:dyDescent="0.25">
      <c r="A725" s="2" t="s">
        <v>664</v>
      </c>
      <c r="B725" s="11" t="s">
        <v>398</v>
      </c>
      <c r="C725" s="11" t="s">
        <v>4</v>
      </c>
      <c r="D725" s="11" t="s">
        <v>5</v>
      </c>
      <c r="E725" s="11" t="s">
        <v>683</v>
      </c>
      <c r="F725" s="11" t="s">
        <v>684</v>
      </c>
      <c r="G725" s="12">
        <v>2</v>
      </c>
      <c r="H725" s="12">
        <v>19.2</v>
      </c>
      <c r="I725" s="12">
        <v>38.4</v>
      </c>
      <c r="J725" s="12">
        <v>3813.7999999999997</v>
      </c>
      <c r="K725">
        <f t="shared" si="33"/>
        <v>3</v>
      </c>
      <c r="L725">
        <f t="shared" si="34"/>
        <v>1</v>
      </c>
      <c r="M725">
        <f t="shared" si="35"/>
        <v>1</v>
      </c>
    </row>
    <row r="726" spans="1:13" x14ac:dyDescent="0.25">
      <c r="A726" s="2" t="s">
        <v>664</v>
      </c>
      <c r="B726" s="11" t="s">
        <v>398</v>
      </c>
      <c r="C726" s="11" t="s">
        <v>4</v>
      </c>
      <c r="D726" s="11" t="s">
        <v>5</v>
      </c>
      <c r="E726" s="11" t="s">
        <v>686</v>
      </c>
      <c r="F726" s="11" t="s">
        <v>687</v>
      </c>
      <c r="G726" s="12">
        <v>4</v>
      </c>
      <c r="H726" s="12">
        <v>23.88</v>
      </c>
      <c r="I726" s="12">
        <v>95.52</v>
      </c>
      <c r="J726" s="12">
        <v>3909.3199999999997</v>
      </c>
      <c r="K726">
        <f t="shared" si="33"/>
        <v>7</v>
      </c>
      <c r="L726">
        <f t="shared" si="34"/>
        <v>1</v>
      </c>
      <c r="M726">
        <f t="shared" si="35"/>
        <v>1</v>
      </c>
    </row>
    <row r="727" spans="1:13" x14ac:dyDescent="0.25">
      <c r="A727" s="2" t="s">
        <v>664</v>
      </c>
      <c r="B727" s="11" t="s">
        <v>398</v>
      </c>
      <c r="C727" s="11" t="s">
        <v>4</v>
      </c>
      <c r="D727" s="11" t="s">
        <v>5</v>
      </c>
      <c r="E727" s="11" t="s">
        <v>688</v>
      </c>
      <c r="F727" s="11" t="s">
        <v>689</v>
      </c>
      <c r="G727" s="12">
        <v>1</v>
      </c>
      <c r="H727" s="12">
        <v>27.48</v>
      </c>
      <c r="I727" s="12">
        <v>27.48</v>
      </c>
      <c r="J727" s="12">
        <v>3936.7999999999997</v>
      </c>
      <c r="K727">
        <f t="shared" si="33"/>
        <v>4</v>
      </c>
      <c r="L727">
        <f t="shared" si="34"/>
        <v>1</v>
      </c>
      <c r="M727">
        <f t="shared" si="35"/>
        <v>1</v>
      </c>
    </row>
    <row r="728" spans="1:13" x14ac:dyDescent="0.25">
      <c r="A728" s="2" t="s">
        <v>664</v>
      </c>
      <c r="B728" s="11" t="s">
        <v>398</v>
      </c>
      <c r="C728" s="11" t="s">
        <v>4</v>
      </c>
      <c r="D728" s="11" t="s">
        <v>5</v>
      </c>
      <c r="E728" s="11" t="s">
        <v>690</v>
      </c>
      <c r="F728" s="11" t="s">
        <v>691</v>
      </c>
      <c r="G728" s="12">
        <v>4</v>
      </c>
      <c r="H728" s="12">
        <v>25.08</v>
      </c>
      <c r="I728" s="12">
        <v>100.32</v>
      </c>
      <c r="J728" s="12">
        <v>4037.12</v>
      </c>
      <c r="K728">
        <f t="shared" si="33"/>
        <v>4</v>
      </c>
      <c r="L728">
        <f t="shared" si="34"/>
        <v>1</v>
      </c>
      <c r="M728">
        <f t="shared" si="35"/>
        <v>1</v>
      </c>
    </row>
    <row r="729" spans="1:13" x14ac:dyDescent="0.25">
      <c r="A729" s="2" t="s">
        <v>664</v>
      </c>
      <c r="B729" s="11" t="s">
        <v>398</v>
      </c>
      <c r="C729" s="11" t="s">
        <v>4</v>
      </c>
      <c r="D729" s="11" t="s">
        <v>5</v>
      </c>
      <c r="E729" s="11" t="s">
        <v>696</v>
      </c>
      <c r="F729" s="11" t="s">
        <v>697</v>
      </c>
      <c r="G729" s="12">
        <v>4</v>
      </c>
      <c r="H729" s="12">
        <v>31.08</v>
      </c>
      <c r="I729" s="12">
        <v>124.32</v>
      </c>
      <c r="J729" s="12">
        <v>4161.4399999999996</v>
      </c>
      <c r="K729">
        <f t="shared" si="33"/>
        <v>3</v>
      </c>
      <c r="L729">
        <f t="shared" si="34"/>
        <v>1</v>
      </c>
      <c r="M729">
        <f t="shared" si="35"/>
        <v>1</v>
      </c>
    </row>
    <row r="730" spans="1:13" x14ac:dyDescent="0.25">
      <c r="A730" s="2" t="s">
        <v>664</v>
      </c>
      <c r="B730" s="11" t="s">
        <v>398</v>
      </c>
      <c r="C730" s="11" t="s">
        <v>4</v>
      </c>
      <c r="D730" s="11" t="s">
        <v>5</v>
      </c>
      <c r="E730" s="11" t="s">
        <v>698</v>
      </c>
      <c r="F730" s="11" t="s">
        <v>699</v>
      </c>
      <c r="G730" s="12">
        <v>4</v>
      </c>
      <c r="H730" s="12">
        <v>22.4</v>
      </c>
      <c r="I730" s="12">
        <v>89.6</v>
      </c>
      <c r="J730" s="12">
        <v>4251.04</v>
      </c>
      <c r="K730">
        <f t="shared" si="33"/>
        <v>5</v>
      </c>
      <c r="L730">
        <f t="shared" si="34"/>
        <v>1</v>
      </c>
      <c r="M730">
        <f t="shared" si="35"/>
        <v>1</v>
      </c>
    </row>
    <row r="731" spans="1:13" x14ac:dyDescent="0.25">
      <c r="A731" s="2" t="s">
        <v>664</v>
      </c>
      <c r="B731" s="11" t="s">
        <v>398</v>
      </c>
      <c r="C731" s="11" t="s">
        <v>4</v>
      </c>
      <c r="D731" s="11" t="s">
        <v>5</v>
      </c>
      <c r="E731" s="11" t="s">
        <v>700</v>
      </c>
      <c r="F731" s="11" t="s">
        <v>701</v>
      </c>
      <c r="G731" s="12">
        <v>2</v>
      </c>
      <c r="H731" s="12">
        <v>28.62</v>
      </c>
      <c r="I731" s="12">
        <v>57.24</v>
      </c>
      <c r="J731" s="12">
        <v>4308.28</v>
      </c>
      <c r="K731">
        <f t="shared" si="33"/>
        <v>4</v>
      </c>
      <c r="L731">
        <f t="shared" si="34"/>
        <v>1</v>
      </c>
      <c r="M731">
        <f t="shared" si="35"/>
        <v>1</v>
      </c>
    </row>
    <row r="732" spans="1:13" x14ac:dyDescent="0.25">
      <c r="A732" s="2" t="s">
        <v>664</v>
      </c>
      <c r="B732" s="11" t="s">
        <v>398</v>
      </c>
      <c r="C732" s="11" t="s">
        <v>4</v>
      </c>
      <c r="D732" s="11" t="s">
        <v>5</v>
      </c>
      <c r="E732" s="11" t="s">
        <v>702</v>
      </c>
      <c r="F732" s="11" t="s">
        <v>703</v>
      </c>
      <c r="G732" s="12">
        <v>2</v>
      </c>
      <c r="H732" s="12">
        <v>42.96</v>
      </c>
      <c r="I732" s="12">
        <v>85.92</v>
      </c>
      <c r="J732" s="12">
        <v>4394.2</v>
      </c>
      <c r="K732">
        <f t="shared" si="33"/>
        <v>10</v>
      </c>
      <c r="L732">
        <f t="shared" si="34"/>
        <v>1</v>
      </c>
      <c r="M732">
        <f t="shared" si="35"/>
        <v>1</v>
      </c>
    </row>
    <row r="733" spans="1:13" x14ac:dyDescent="0.25">
      <c r="A733" s="2" t="s">
        <v>664</v>
      </c>
      <c r="B733" s="11" t="s">
        <v>398</v>
      </c>
      <c r="C733" s="11" t="s">
        <v>4</v>
      </c>
      <c r="D733" s="11" t="s">
        <v>5</v>
      </c>
      <c r="E733" s="11" t="s">
        <v>704</v>
      </c>
      <c r="F733" s="11" t="s">
        <v>705</v>
      </c>
      <c r="G733" s="12">
        <v>2</v>
      </c>
      <c r="H733" s="12">
        <v>42.96</v>
      </c>
      <c r="I733" s="12">
        <v>85.92</v>
      </c>
      <c r="J733" s="12">
        <v>4480.12</v>
      </c>
      <c r="K733">
        <f t="shared" si="33"/>
        <v>6</v>
      </c>
      <c r="L733">
        <f t="shared" si="34"/>
        <v>1</v>
      </c>
      <c r="M733">
        <f t="shared" si="35"/>
        <v>1</v>
      </c>
    </row>
    <row r="734" spans="1:13" x14ac:dyDescent="0.25">
      <c r="A734" s="2" t="s">
        <v>664</v>
      </c>
      <c r="B734" s="11" t="s">
        <v>398</v>
      </c>
      <c r="C734" s="11" t="s">
        <v>4</v>
      </c>
      <c r="D734" s="11" t="s">
        <v>5</v>
      </c>
      <c r="E734" s="11" t="s">
        <v>706</v>
      </c>
      <c r="F734" s="11" t="s">
        <v>707</v>
      </c>
      <c r="G734" s="12">
        <v>3</v>
      </c>
      <c r="H734" s="12">
        <v>30</v>
      </c>
      <c r="I734" s="12">
        <v>90</v>
      </c>
      <c r="J734" s="12">
        <v>4570.12</v>
      </c>
      <c r="K734">
        <f t="shared" si="33"/>
        <v>3</v>
      </c>
      <c r="L734">
        <f t="shared" si="34"/>
        <v>1</v>
      </c>
      <c r="M734">
        <f t="shared" si="35"/>
        <v>1</v>
      </c>
    </row>
    <row r="735" spans="1:13" x14ac:dyDescent="0.25">
      <c r="A735" s="2" t="s">
        <v>664</v>
      </c>
      <c r="B735" s="11" t="s">
        <v>398</v>
      </c>
      <c r="C735" s="11" t="s">
        <v>4</v>
      </c>
      <c r="D735" s="11" t="s">
        <v>5</v>
      </c>
      <c r="E735" s="11" t="s">
        <v>708</v>
      </c>
      <c r="F735" s="11" t="s">
        <v>709</v>
      </c>
      <c r="G735" s="12">
        <v>2</v>
      </c>
      <c r="H735" s="12">
        <v>40.56</v>
      </c>
      <c r="I735" s="12">
        <v>81.12</v>
      </c>
      <c r="J735" s="12">
        <v>4651.24</v>
      </c>
      <c r="K735">
        <f t="shared" si="33"/>
        <v>5</v>
      </c>
      <c r="L735">
        <f t="shared" si="34"/>
        <v>1</v>
      </c>
      <c r="M735">
        <f t="shared" si="35"/>
        <v>1</v>
      </c>
    </row>
    <row r="736" spans="1:13" x14ac:dyDescent="0.25">
      <c r="A736" s="2" t="s">
        <v>664</v>
      </c>
      <c r="B736" s="11" t="s">
        <v>398</v>
      </c>
      <c r="C736" s="11" t="s">
        <v>4</v>
      </c>
      <c r="D736" s="11" t="s">
        <v>5</v>
      </c>
      <c r="E736" s="11" t="s">
        <v>712</v>
      </c>
      <c r="F736" s="11" t="s">
        <v>713</v>
      </c>
      <c r="G736" s="12">
        <v>3</v>
      </c>
      <c r="H736" s="12">
        <v>19.8</v>
      </c>
      <c r="I736" s="12">
        <v>59.4</v>
      </c>
      <c r="J736" s="12">
        <v>4710.6399999999994</v>
      </c>
      <c r="K736">
        <f t="shared" si="33"/>
        <v>6</v>
      </c>
      <c r="L736">
        <f t="shared" si="34"/>
        <v>1</v>
      </c>
      <c r="M736">
        <f t="shared" si="35"/>
        <v>1</v>
      </c>
    </row>
    <row r="737" spans="1:13" x14ac:dyDescent="0.25">
      <c r="A737" s="2" t="s">
        <v>664</v>
      </c>
      <c r="B737" s="11" t="s">
        <v>398</v>
      </c>
      <c r="C737" s="11" t="s">
        <v>4</v>
      </c>
      <c r="D737" s="11" t="s">
        <v>5</v>
      </c>
      <c r="E737" s="11" t="s">
        <v>714</v>
      </c>
      <c r="F737" s="11" t="s">
        <v>715</v>
      </c>
      <c r="G737" s="12">
        <v>1</v>
      </c>
      <c r="H737" s="12">
        <v>48.42</v>
      </c>
      <c r="I737" s="12">
        <v>48.42</v>
      </c>
      <c r="J737" s="12">
        <v>4759.0599999999995</v>
      </c>
      <c r="K737">
        <f t="shared" si="33"/>
        <v>5</v>
      </c>
      <c r="L737">
        <f t="shared" si="34"/>
        <v>1</v>
      </c>
      <c r="M737">
        <f t="shared" si="35"/>
        <v>1</v>
      </c>
    </row>
    <row r="738" spans="1:13" x14ac:dyDescent="0.25">
      <c r="A738" s="2" t="s">
        <v>664</v>
      </c>
      <c r="B738" s="11" t="s">
        <v>398</v>
      </c>
      <c r="C738" s="11" t="s">
        <v>4</v>
      </c>
      <c r="D738" s="11" t="s">
        <v>5</v>
      </c>
      <c r="E738" s="11" t="s">
        <v>716</v>
      </c>
      <c r="F738" s="11" t="s">
        <v>777</v>
      </c>
      <c r="G738" s="12">
        <v>2</v>
      </c>
      <c r="H738" s="12">
        <v>30</v>
      </c>
      <c r="I738" s="12">
        <v>60</v>
      </c>
      <c r="J738" s="12">
        <v>4819.0599999999995</v>
      </c>
      <c r="K738">
        <f t="shared" si="33"/>
        <v>7</v>
      </c>
      <c r="L738">
        <f t="shared" si="34"/>
        <v>1</v>
      </c>
      <c r="M738">
        <f t="shared" si="35"/>
        <v>1</v>
      </c>
    </row>
    <row r="739" spans="1:13" x14ac:dyDescent="0.25">
      <c r="A739" s="2" t="s">
        <v>664</v>
      </c>
      <c r="B739" s="11" t="s">
        <v>398</v>
      </c>
      <c r="C739" s="11" t="s">
        <v>4</v>
      </c>
      <c r="D739" s="11" t="s">
        <v>5</v>
      </c>
      <c r="E739" s="11" t="s">
        <v>778</v>
      </c>
      <c r="F739" s="11" t="s">
        <v>779</v>
      </c>
      <c r="G739" s="12">
        <v>2</v>
      </c>
      <c r="H739" s="12">
        <v>28.8</v>
      </c>
      <c r="I739" s="12">
        <v>57.6</v>
      </c>
      <c r="J739" s="12">
        <v>4876.66</v>
      </c>
      <c r="K739">
        <f t="shared" si="33"/>
        <v>6</v>
      </c>
      <c r="L739">
        <f t="shared" si="34"/>
        <v>1</v>
      </c>
      <c r="M739">
        <f t="shared" si="35"/>
        <v>1</v>
      </c>
    </row>
    <row r="740" spans="1:13" x14ac:dyDescent="0.25">
      <c r="A740" s="2" t="s">
        <v>664</v>
      </c>
      <c r="B740" s="11" t="s">
        <v>398</v>
      </c>
      <c r="C740" s="11" t="s">
        <v>4</v>
      </c>
      <c r="D740" s="11" t="s">
        <v>5</v>
      </c>
      <c r="E740" s="11" t="s">
        <v>718</v>
      </c>
      <c r="F740" s="11" t="s">
        <v>719</v>
      </c>
      <c r="G740" s="12">
        <v>2</v>
      </c>
      <c r="H740" s="12">
        <v>19.8</v>
      </c>
      <c r="I740" s="12">
        <v>39.6</v>
      </c>
      <c r="J740" s="12">
        <v>4916.26</v>
      </c>
      <c r="K740">
        <f t="shared" si="33"/>
        <v>6</v>
      </c>
      <c r="L740">
        <f t="shared" si="34"/>
        <v>1</v>
      </c>
      <c r="M740">
        <f t="shared" si="35"/>
        <v>1</v>
      </c>
    </row>
    <row r="741" spans="1:13" x14ac:dyDescent="0.25">
      <c r="A741" s="2" t="s">
        <v>664</v>
      </c>
      <c r="B741" s="11" t="s">
        <v>398</v>
      </c>
      <c r="C741" s="11" t="s">
        <v>4</v>
      </c>
      <c r="D741" s="11" t="s">
        <v>5</v>
      </c>
      <c r="E741" s="11" t="s">
        <v>730</v>
      </c>
      <c r="F741" s="11" t="s">
        <v>731</v>
      </c>
      <c r="G741" s="12">
        <v>2</v>
      </c>
      <c r="H741" s="12">
        <v>28.62</v>
      </c>
      <c r="I741" s="12">
        <v>57.24</v>
      </c>
      <c r="J741" s="12">
        <v>4973.5</v>
      </c>
      <c r="K741">
        <f t="shared" si="33"/>
        <v>5</v>
      </c>
      <c r="L741">
        <f t="shared" si="34"/>
        <v>1</v>
      </c>
      <c r="M741">
        <f t="shared" si="35"/>
        <v>1</v>
      </c>
    </row>
    <row r="742" spans="1:13" x14ac:dyDescent="0.25">
      <c r="A742" s="2" t="s">
        <v>664</v>
      </c>
      <c r="B742" s="11" t="s">
        <v>398</v>
      </c>
      <c r="C742" s="11" t="s">
        <v>4</v>
      </c>
      <c r="D742" s="11" t="s">
        <v>5</v>
      </c>
      <c r="E742" s="11" t="s">
        <v>780</v>
      </c>
      <c r="F742" s="11" t="s">
        <v>781</v>
      </c>
      <c r="G742" s="12">
        <v>2</v>
      </c>
      <c r="H742" s="12">
        <v>22.68</v>
      </c>
      <c r="I742" s="12">
        <v>45.36</v>
      </c>
      <c r="J742" s="12">
        <v>5018.8599999999997</v>
      </c>
      <c r="K742">
        <f t="shared" si="33"/>
        <v>3</v>
      </c>
      <c r="L742">
        <f t="shared" si="34"/>
        <v>1</v>
      </c>
      <c r="M742">
        <f t="shared" si="35"/>
        <v>1</v>
      </c>
    </row>
    <row r="743" spans="1:13" x14ac:dyDescent="0.25">
      <c r="A743" s="2" t="s">
        <v>664</v>
      </c>
      <c r="B743" s="11" t="s">
        <v>398</v>
      </c>
      <c r="C743" s="11" t="s">
        <v>4</v>
      </c>
      <c r="D743" s="11" t="s">
        <v>5</v>
      </c>
      <c r="E743" s="11" t="s">
        <v>782</v>
      </c>
      <c r="F743" s="11" t="s">
        <v>783</v>
      </c>
      <c r="G743" s="12">
        <v>2</v>
      </c>
      <c r="H743" s="12">
        <v>22.68</v>
      </c>
      <c r="I743" s="12">
        <v>45.36</v>
      </c>
      <c r="J743" s="12">
        <v>5064.2199999999993</v>
      </c>
      <c r="K743">
        <f t="shared" si="33"/>
        <v>2</v>
      </c>
      <c r="L743">
        <f t="shared" si="34"/>
        <v>1</v>
      </c>
      <c r="M743">
        <f t="shared" si="35"/>
        <v>1</v>
      </c>
    </row>
    <row r="744" spans="1:13" x14ac:dyDescent="0.25">
      <c r="A744" s="2" t="s">
        <v>664</v>
      </c>
      <c r="B744" s="11" t="s">
        <v>398</v>
      </c>
      <c r="C744" s="11" t="s">
        <v>4</v>
      </c>
      <c r="D744" s="11" t="s">
        <v>5</v>
      </c>
      <c r="E744" s="11" t="s">
        <v>372</v>
      </c>
      <c r="F744" s="11" t="s">
        <v>373</v>
      </c>
      <c r="G744" s="12">
        <v>3</v>
      </c>
      <c r="H744" s="12">
        <v>30</v>
      </c>
      <c r="I744" s="12">
        <v>90</v>
      </c>
      <c r="J744" s="12">
        <v>5154.2199999999993</v>
      </c>
      <c r="K744">
        <f t="shared" si="33"/>
        <v>9</v>
      </c>
      <c r="L744">
        <f t="shared" si="34"/>
        <v>1</v>
      </c>
      <c r="M744">
        <f t="shared" si="35"/>
        <v>1</v>
      </c>
    </row>
    <row r="745" spans="1:13" x14ac:dyDescent="0.25">
      <c r="A745" s="2" t="s">
        <v>664</v>
      </c>
      <c r="B745" s="11" t="s">
        <v>398</v>
      </c>
      <c r="C745" s="11" t="s">
        <v>4</v>
      </c>
      <c r="D745" s="11" t="s">
        <v>5</v>
      </c>
      <c r="E745" s="11" t="s">
        <v>374</v>
      </c>
      <c r="F745" s="11" t="s">
        <v>375</v>
      </c>
      <c r="G745" s="12">
        <v>3</v>
      </c>
      <c r="H745" s="12">
        <v>29.7</v>
      </c>
      <c r="I745" s="12">
        <v>89.1</v>
      </c>
      <c r="J745" s="12">
        <v>5243.32</v>
      </c>
      <c r="K745">
        <f t="shared" si="33"/>
        <v>8</v>
      </c>
      <c r="L745">
        <f t="shared" si="34"/>
        <v>1</v>
      </c>
      <c r="M745">
        <f t="shared" si="35"/>
        <v>1</v>
      </c>
    </row>
    <row r="746" spans="1:13" x14ac:dyDescent="0.25">
      <c r="A746" s="2" t="s">
        <v>664</v>
      </c>
      <c r="B746" s="11" t="s">
        <v>398</v>
      </c>
      <c r="C746" s="11" t="s">
        <v>4</v>
      </c>
      <c r="D746" s="11" t="s">
        <v>5</v>
      </c>
      <c r="E746" s="11" t="s">
        <v>756</v>
      </c>
      <c r="F746" s="11" t="s">
        <v>757</v>
      </c>
      <c r="G746" s="12">
        <v>2</v>
      </c>
      <c r="H746" s="12">
        <v>12</v>
      </c>
      <c r="I746" s="12">
        <v>24</v>
      </c>
      <c r="J746" s="12">
        <v>5267.32</v>
      </c>
      <c r="K746">
        <f t="shared" si="33"/>
        <v>8</v>
      </c>
      <c r="L746">
        <f t="shared" si="34"/>
        <v>1</v>
      </c>
      <c r="M746">
        <f t="shared" si="35"/>
        <v>1</v>
      </c>
    </row>
    <row r="747" spans="1:13" x14ac:dyDescent="0.25">
      <c r="A747" s="2" t="s">
        <v>664</v>
      </c>
      <c r="B747" s="11" t="s">
        <v>398</v>
      </c>
      <c r="C747" s="11" t="s">
        <v>4</v>
      </c>
      <c r="D747" s="11" t="s">
        <v>5</v>
      </c>
      <c r="E747" s="11" t="s">
        <v>784</v>
      </c>
      <c r="F747" s="11" t="s">
        <v>785</v>
      </c>
      <c r="G747" s="12">
        <v>2</v>
      </c>
      <c r="H747" s="12">
        <v>12</v>
      </c>
      <c r="I747" s="12">
        <v>24</v>
      </c>
      <c r="J747" s="12">
        <v>5291.32</v>
      </c>
      <c r="K747">
        <f t="shared" si="33"/>
        <v>5</v>
      </c>
      <c r="L747">
        <f t="shared" si="34"/>
        <v>1</v>
      </c>
      <c r="M747">
        <f t="shared" si="35"/>
        <v>1</v>
      </c>
    </row>
    <row r="748" spans="1:13" x14ac:dyDescent="0.25">
      <c r="A748" s="2" t="s">
        <v>664</v>
      </c>
      <c r="B748" s="11" t="s">
        <v>398</v>
      </c>
      <c r="C748" s="11" t="s">
        <v>4</v>
      </c>
      <c r="D748" s="11" t="s">
        <v>5</v>
      </c>
      <c r="E748" s="11" t="s">
        <v>734</v>
      </c>
      <c r="F748" s="11" t="s">
        <v>735</v>
      </c>
      <c r="G748" s="12">
        <v>3</v>
      </c>
      <c r="H748" s="12">
        <v>11.88</v>
      </c>
      <c r="I748" s="12">
        <v>35.64</v>
      </c>
      <c r="J748" s="12">
        <v>5326.96</v>
      </c>
      <c r="K748">
        <f t="shared" si="33"/>
        <v>5</v>
      </c>
      <c r="L748">
        <f t="shared" si="34"/>
        <v>1</v>
      </c>
      <c r="M748">
        <f t="shared" si="35"/>
        <v>1</v>
      </c>
    </row>
    <row r="749" spans="1:13" x14ac:dyDescent="0.25">
      <c r="A749" s="2" t="s">
        <v>664</v>
      </c>
      <c r="B749" s="11" t="s">
        <v>398</v>
      </c>
      <c r="C749" s="11" t="s">
        <v>4</v>
      </c>
      <c r="D749" s="11" t="s">
        <v>5</v>
      </c>
      <c r="E749" s="11" t="s">
        <v>732</v>
      </c>
      <c r="F749" s="11" t="s">
        <v>733</v>
      </c>
      <c r="G749" s="12">
        <v>2</v>
      </c>
      <c r="H749" s="12">
        <v>11.88</v>
      </c>
      <c r="I749" s="12">
        <v>23.76</v>
      </c>
      <c r="J749" s="12">
        <v>5350.72</v>
      </c>
      <c r="K749">
        <f t="shared" si="33"/>
        <v>4</v>
      </c>
      <c r="L749">
        <f t="shared" si="34"/>
        <v>1</v>
      </c>
      <c r="M749">
        <f t="shared" si="35"/>
        <v>1</v>
      </c>
    </row>
    <row r="750" spans="1:13" x14ac:dyDescent="0.25">
      <c r="A750" s="2" t="s">
        <v>664</v>
      </c>
      <c r="B750" s="11" t="s">
        <v>398</v>
      </c>
      <c r="C750" s="11" t="s">
        <v>4</v>
      </c>
      <c r="D750" s="11" t="s">
        <v>5</v>
      </c>
      <c r="E750" s="11" t="s">
        <v>736</v>
      </c>
      <c r="F750" s="11" t="s">
        <v>737</v>
      </c>
      <c r="G750" s="12">
        <v>2</v>
      </c>
      <c r="H750" s="12">
        <v>8.48</v>
      </c>
      <c r="I750" s="12">
        <v>16.96</v>
      </c>
      <c r="J750" s="12">
        <v>5367.68</v>
      </c>
      <c r="K750">
        <f t="shared" si="33"/>
        <v>5</v>
      </c>
      <c r="L750">
        <f t="shared" si="34"/>
        <v>1</v>
      </c>
      <c r="M750">
        <f t="shared" si="35"/>
        <v>1</v>
      </c>
    </row>
    <row r="751" spans="1:13" x14ac:dyDescent="0.25">
      <c r="A751" s="2" t="s">
        <v>664</v>
      </c>
      <c r="B751" s="11" t="s">
        <v>398</v>
      </c>
      <c r="C751" s="11" t="s">
        <v>4</v>
      </c>
      <c r="D751" s="11" t="s">
        <v>5</v>
      </c>
      <c r="E751" s="11" t="s">
        <v>738</v>
      </c>
      <c r="F751" s="11" t="s">
        <v>738</v>
      </c>
      <c r="G751" s="12">
        <v>3</v>
      </c>
      <c r="H751" s="12">
        <v>8.48</v>
      </c>
      <c r="I751" s="12">
        <v>25.44</v>
      </c>
      <c r="J751" s="12">
        <v>5393.12</v>
      </c>
      <c r="K751">
        <f t="shared" si="33"/>
        <v>7</v>
      </c>
      <c r="L751">
        <f t="shared" si="34"/>
        <v>1</v>
      </c>
      <c r="M751">
        <f t="shared" si="35"/>
        <v>1</v>
      </c>
    </row>
    <row r="752" spans="1:13" x14ac:dyDescent="0.25">
      <c r="A752" s="2" t="s">
        <v>664</v>
      </c>
      <c r="B752" s="11" t="s">
        <v>398</v>
      </c>
      <c r="C752" s="11" t="s">
        <v>4</v>
      </c>
      <c r="D752" s="11" t="s">
        <v>5</v>
      </c>
      <c r="E752" s="11" t="s">
        <v>741</v>
      </c>
      <c r="F752" s="11" t="s">
        <v>742</v>
      </c>
      <c r="G752" s="12">
        <v>2</v>
      </c>
      <c r="H752" s="12">
        <v>13.08</v>
      </c>
      <c r="I752" s="12">
        <v>26.16</v>
      </c>
      <c r="J752" s="12">
        <v>5419.28</v>
      </c>
      <c r="K752">
        <f t="shared" si="33"/>
        <v>7</v>
      </c>
      <c r="L752">
        <f t="shared" si="34"/>
        <v>1</v>
      </c>
      <c r="M752">
        <f t="shared" si="35"/>
        <v>1</v>
      </c>
    </row>
    <row r="753" spans="1:13" x14ac:dyDescent="0.25">
      <c r="A753" s="2" t="s">
        <v>664</v>
      </c>
      <c r="B753" s="11" t="s">
        <v>398</v>
      </c>
      <c r="C753" s="11" t="s">
        <v>4</v>
      </c>
      <c r="D753" s="11" t="s">
        <v>5</v>
      </c>
      <c r="E753" s="11" t="s">
        <v>786</v>
      </c>
      <c r="F753" s="11" t="s">
        <v>787</v>
      </c>
      <c r="G753" s="12">
        <v>1</v>
      </c>
      <c r="H753" s="12">
        <v>21.36</v>
      </c>
      <c r="I753" s="12">
        <v>21.36</v>
      </c>
      <c r="J753" s="12">
        <v>5440.6399999999994</v>
      </c>
      <c r="K753">
        <f t="shared" si="33"/>
        <v>8</v>
      </c>
      <c r="L753">
        <f t="shared" si="34"/>
        <v>1</v>
      </c>
      <c r="M753">
        <f t="shared" si="35"/>
        <v>1</v>
      </c>
    </row>
    <row r="754" spans="1:13" x14ac:dyDescent="0.25">
      <c r="A754" s="2" t="s">
        <v>664</v>
      </c>
      <c r="B754" s="11" t="s">
        <v>398</v>
      </c>
      <c r="C754" s="11" t="s">
        <v>4</v>
      </c>
      <c r="D754" s="11" t="s">
        <v>5</v>
      </c>
      <c r="E754" s="11" t="s">
        <v>788</v>
      </c>
      <c r="F754" s="11" t="s">
        <v>789</v>
      </c>
      <c r="G754" s="12">
        <v>2</v>
      </c>
      <c r="H754" s="12">
        <v>12</v>
      </c>
      <c r="I754" s="12">
        <v>24</v>
      </c>
      <c r="J754" s="12">
        <v>5464.6399999999994</v>
      </c>
      <c r="K754">
        <f t="shared" si="33"/>
        <v>6</v>
      </c>
      <c r="L754">
        <f t="shared" si="34"/>
        <v>1</v>
      </c>
      <c r="M754">
        <f t="shared" si="35"/>
        <v>1</v>
      </c>
    </row>
    <row r="755" spans="1:13" x14ac:dyDescent="0.25">
      <c r="A755" s="2" t="s">
        <v>664</v>
      </c>
      <c r="B755" s="11" t="s">
        <v>398</v>
      </c>
      <c r="C755" s="11" t="s">
        <v>4</v>
      </c>
      <c r="D755" s="11" t="s">
        <v>5</v>
      </c>
      <c r="E755" s="11" t="s">
        <v>62</v>
      </c>
      <c r="F755" s="11" t="s">
        <v>790</v>
      </c>
      <c r="G755" s="12">
        <v>5</v>
      </c>
      <c r="H755" s="12">
        <v>12.8</v>
      </c>
      <c r="I755" s="12">
        <v>64</v>
      </c>
      <c r="J755" s="12">
        <v>5528.6399999999994</v>
      </c>
      <c r="K755">
        <f t="shared" si="33"/>
        <v>8</v>
      </c>
      <c r="L755">
        <f t="shared" si="34"/>
        <v>1</v>
      </c>
      <c r="M755">
        <f t="shared" si="35"/>
        <v>1</v>
      </c>
    </row>
    <row r="756" spans="1:13" x14ac:dyDescent="0.25">
      <c r="A756" s="2" t="s">
        <v>664</v>
      </c>
      <c r="B756" s="11" t="s">
        <v>398</v>
      </c>
      <c r="C756" s="11" t="s">
        <v>4</v>
      </c>
      <c r="D756" s="11" t="s">
        <v>5</v>
      </c>
      <c r="E756" s="11" t="s">
        <v>56</v>
      </c>
      <c r="F756" s="11" t="s">
        <v>791</v>
      </c>
      <c r="G756" s="12">
        <v>5</v>
      </c>
      <c r="H756" s="12">
        <v>47.76</v>
      </c>
      <c r="I756" s="12">
        <v>238.8</v>
      </c>
      <c r="J756" s="12">
        <v>5767.44</v>
      </c>
      <c r="K756">
        <f t="shared" si="33"/>
        <v>9</v>
      </c>
      <c r="L756">
        <f t="shared" si="34"/>
        <v>1</v>
      </c>
      <c r="M756">
        <f t="shared" si="35"/>
        <v>1</v>
      </c>
    </row>
    <row r="757" spans="1:13" x14ac:dyDescent="0.25">
      <c r="A757" s="2" t="s">
        <v>664</v>
      </c>
      <c r="B757" s="11" t="s">
        <v>398</v>
      </c>
      <c r="C757" s="11" t="s">
        <v>4</v>
      </c>
      <c r="D757" s="11" t="s">
        <v>5</v>
      </c>
      <c r="E757" s="11" t="s">
        <v>58</v>
      </c>
      <c r="F757" s="11" t="s">
        <v>792</v>
      </c>
      <c r="G757" s="12">
        <v>5</v>
      </c>
      <c r="H757" s="12">
        <v>53.64</v>
      </c>
      <c r="I757" s="12">
        <v>268.2</v>
      </c>
      <c r="J757" s="12">
        <v>6035.6399999999994</v>
      </c>
      <c r="K757">
        <f t="shared" si="33"/>
        <v>9</v>
      </c>
      <c r="L757">
        <f t="shared" si="34"/>
        <v>1</v>
      </c>
      <c r="M757">
        <f t="shared" si="35"/>
        <v>1</v>
      </c>
    </row>
    <row r="758" spans="1:13" x14ac:dyDescent="0.25">
      <c r="A758" s="2" t="s">
        <v>664</v>
      </c>
      <c r="B758" s="11" t="s">
        <v>398</v>
      </c>
      <c r="C758" s="11" t="s">
        <v>4</v>
      </c>
      <c r="D758" s="11" t="s">
        <v>5</v>
      </c>
      <c r="E758" s="11" t="s">
        <v>84</v>
      </c>
      <c r="F758" s="11" t="s">
        <v>793</v>
      </c>
      <c r="G758" s="12">
        <v>5</v>
      </c>
      <c r="H758" s="12">
        <v>46.44</v>
      </c>
      <c r="I758" s="12">
        <v>232.2</v>
      </c>
      <c r="J758" s="12">
        <v>6267.8399999999992</v>
      </c>
      <c r="K758">
        <f t="shared" si="33"/>
        <v>5</v>
      </c>
      <c r="L758">
        <f t="shared" si="34"/>
        <v>1</v>
      </c>
      <c r="M758">
        <f t="shared" si="35"/>
        <v>1</v>
      </c>
    </row>
    <row r="759" spans="1:13" x14ac:dyDescent="0.25">
      <c r="A759" s="2" t="s">
        <v>664</v>
      </c>
      <c r="B759" s="11" t="s">
        <v>398</v>
      </c>
      <c r="C759" s="11" t="s">
        <v>4</v>
      </c>
      <c r="D759" s="11" t="s">
        <v>5</v>
      </c>
      <c r="E759" s="11" t="s">
        <v>64</v>
      </c>
      <c r="F759" s="11" t="s">
        <v>794</v>
      </c>
      <c r="G759" s="12">
        <v>5</v>
      </c>
      <c r="H759" s="12">
        <v>47.56</v>
      </c>
      <c r="I759" s="12">
        <v>237.8</v>
      </c>
      <c r="J759" s="12">
        <v>6505.6399999999994</v>
      </c>
      <c r="K759">
        <f t="shared" si="33"/>
        <v>6</v>
      </c>
      <c r="L759">
        <f t="shared" si="34"/>
        <v>1</v>
      </c>
      <c r="M759">
        <f t="shared" si="35"/>
        <v>1</v>
      </c>
    </row>
    <row r="760" spans="1:13" x14ac:dyDescent="0.25">
      <c r="A760" s="2" t="s">
        <v>664</v>
      </c>
      <c r="B760" s="11" t="s">
        <v>398</v>
      </c>
      <c r="C760" s="11" t="s">
        <v>4</v>
      </c>
      <c r="D760" s="11" t="s">
        <v>5</v>
      </c>
      <c r="E760" s="11" t="s">
        <v>795</v>
      </c>
      <c r="F760" s="11" t="s">
        <v>796</v>
      </c>
      <c r="G760" s="12">
        <v>5</v>
      </c>
      <c r="H760" s="12">
        <v>20</v>
      </c>
      <c r="I760" s="12">
        <v>100</v>
      </c>
      <c r="J760" s="12">
        <v>6605.6399999999994</v>
      </c>
      <c r="K760">
        <f t="shared" si="33"/>
        <v>2</v>
      </c>
      <c r="L760">
        <f t="shared" si="34"/>
        <v>1</v>
      </c>
      <c r="M760">
        <f t="shared" si="35"/>
        <v>1</v>
      </c>
    </row>
    <row r="761" spans="1:13" x14ac:dyDescent="0.25">
      <c r="A761" s="2" t="s">
        <v>664</v>
      </c>
      <c r="B761" s="11" t="s">
        <v>398</v>
      </c>
      <c r="C761" s="11" t="s">
        <v>4</v>
      </c>
      <c r="D761" s="11" t="s">
        <v>5</v>
      </c>
      <c r="E761" s="11" t="s">
        <v>797</v>
      </c>
      <c r="F761" s="11" t="s">
        <v>798</v>
      </c>
      <c r="G761" s="12">
        <v>4</v>
      </c>
      <c r="H761" s="12">
        <v>20</v>
      </c>
      <c r="I761" s="12">
        <v>80</v>
      </c>
      <c r="J761" s="12">
        <v>6685.6399999999994</v>
      </c>
      <c r="K761">
        <f t="shared" si="33"/>
        <v>3</v>
      </c>
      <c r="L761">
        <f t="shared" si="34"/>
        <v>1</v>
      </c>
      <c r="M761">
        <f t="shared" si="35"/>
        <v>1</v>
      </c>
    </row>
    <row r="762" spans="1:13" x14ac:dyDescent="0.25">
      <c r="A762" s="2" t="s">
        <v>664</v>
      </c>
      <c r="B762" s="11" t="s">
        <v>398</v>
      </c>
      <c r="C762" s="11" t="s">
        <v>4</v>
      </c>
      <c r="D762" s="11" t="s">
        <v>5</v>
      </c>
      <c r="E762" s="11" t="s">
        <v>799</v>
      </c>
      <c r="F762" s="11" t="s">
        <v>800</v>
      </c>
      <c r="G762" s="12">
        <v>3</v>
      </c>
      <c r="H762" s="12">
        <v>24</v>
      </c>
      <c r="I762" s="12">
        <v>72</v>
      </c>
      <c r="J762" s="12">
        <v>6757.6399999999994</v>
      </c>
      <c r="K762">
        <f t="shared" si="33"/>
        <v>3</v>
      </c>
      <c r="L762">
        <f t="shared" si="34"/>
        <v>1</v>
      </c>
      <c r="M762">
        <f t="shared" si="35"/>
        <v>1</v>
      </c>
    </row>
    <row r="763" spans="1:13" x14ac:dyDescent="0.25">
      <c r="A763" s="2" t="s">
        <v>664</v>
      </c>
      <c r="B763" s="11" t="s">
        <v>398</v>
      </c>
      <c r="C763" s="11" t="s">
        <v>4</v>
      </c>
      <c r="D763" s="11" t="s">
        <v>5</v>
      </c>
      <c r="E763" s="11" t="s">
        <v>801</v>
      </c>
      <c r="F763" s="11" t="s">
        <v>802</v>
      </c>
      <c r="G763" s="12">
        <v>3</v>
      </c>
      <c r="H763" s="12">
        <v>24</v>
      </c>
      <c r="I763" s="12">
        <v>72</v>
      </c>
      <c r="J763" s="12">
        <v>6829.6399999999994</v>
      </c>
      <c r="K763">
        <f t="shared" si="33"/>
        <v>4</v>
      </c>
      <c r="L763">
        <f t="shared" si="34"/>
        <v>1</v>
      </c>
      <c r="M763">
        <f t="shared" si="35"/>
        <v>1</v>
      </c>
    </row>
    <row r="764" spans="1:13" x14ac:dyDescent="0.25">
      <c r="A764" s="2" t="s">
        <v>664</v>
      </c>
      <c r="B764" s="11" t="s">
        <v>398</v>
      </c>
      <c r="C764" s="11" t="s">
        <v>4</v>
      </c>
      <c r="D764" s="11" t="s">
        <v>5</v>
      </c>
      <c r="E764" s="11" t="s">
        <v>803</v>
      </c>
      <c r="F764" s="11" t="s">
        <v>804</v>
      </c>
      <c r="G764" s="12">
        <v>2</v>
      </c>
      <c r="H764" s="12">
        <v>24</v>
      </c>
      <c r="I764" s="12">
        <v>48</v>
      </c>
      <c r="J764" s="12">
        <v>6877.6399999999994</v>
      </c>
      <c r="K764">
        <f t="shared" si="33"/>
        <v>8</v>
      </c>
      <c r="L764">
        <f t="shared" si="34"/>
        <v>1</v>
      </c>
      <c r="M764">
        <f t="shared" si="35"/>
        <v>1</v>
      </c>
    </row>
    <row r="765" spans="1:13" x14ac:dyDescent="0.25">
      <c r="A765" s="2" t="s">
        <v>664</v>
      </c>
      <c r="B765" s="11" t="s">
        <v>398</v>
      </c>
      <c r="C765" s="11" t="s">
        <v>4</v>
      </c>
      <c r="D765" s="11" t="s">
        <v>5</v>
      </c>
      <c r="E765" s="11" t="s">
        <v>805</v>
      </c>
      <c r="F765" s="11" t="s">
        <v>806</v>
      </c>
      <c r="G765" s="12">
        <v>2</v>
      </c>
      <c r="H765" s="12">
        <v>24</v>
      </c>
      <c r="I765" s="12">
        <v>48</v>
      </c>
      <c r="J765" s="12">
        <v>6925.6399999999994</v>
      </c>
      <c r="K765">
        <f t="shared" si="33"/>
        <v>3</v>
      </c>
      <c r="L765">
        <f t="shared" si="34"/>
        <v>1</v>
      </c>
      <c r="M765">
        <f t="shared" si="35"/>
        <v>1</v>
      </c>
    </row>
    <row r="766" spans="1:13" x14ac:dyDescent="0.25">
      <c r="A766" s="2" t="s">
        <v>664</v>
      </c>
      <c r="B766" s="11" t="s">
        <v>398</v>
      </c>
      <c r="C766" s="11" t="s">
        <v>4</v>
      </c>
      <c r="D766" s="11" t="s">
        <v>5</v>
      </c>
      <c r="E766" s="11" t="s">
        <v>807</v>
      </c>
      <c r="F766" s="11" t="s">
        <v>808</v>
      </c>
      <c r="G766" s="12">
        <v>2</v>
      </c>
      <c r="H766" s="12">
        <v>20</v>
      </c>
      <c r="I766" s="12">
        <v>40</v>
      </c>
      <c r="J766" s="12">
        <v>6965.6399999999994</v>
      </c>
      <c r="K766">
        <f t="shared" si="33"/>
        <v>2</v>
      </c>
      <c r="L766">
        <f t="shared" si="34"/>
        <v>1</v>
      </c>
      <c r="M766">
        <f t="shared" si="35"/>
        <v>1</v>
      </c>
    </row>
    <row r="767" spans="1:13" x14ac:dyDescent="0.25">
      <c r="A767" s="2" t="s">
        <v>664</v>
      </c>
      <c r="B767" s="11" t="s">
        <v>398</v>
      </c>
      <c r="C767" s="11" t="s">
        <v>4</v>
      </c>
      <c r="D767" s="11" t="s">
        <v>5</v>
      </c>
      <c r="E767" s="11" t="s">
        <v>758</v>
      </c>
      <c r="F767" s="11" t="s">
        <v>759</v>
      </c>
      <c r="G767" s="12">
        <v>1</v>
      </c>
      <c r="H767" s="12">
        <v>35</v>
      </c>
      <c r="I767" s="12">
        <v>35</v>
      </c>
      <c r="J767" s="12">
        <v>7000.6399999999994</v>
      </c>
      <c r="K767">
        <f t="shared" si="33"/>
        <v>2</v>
      </c>
      <c r="L767">
        <f t="shared" si="34"/>
        <v>1</v>
      </c>
      <c r="M767">
        <f t="shared" si="35"/>
        <v>1</v>
      </c>
    </row>
    <row r="768" spans="1:13" x14ac:dyDescent="0.25">
      <c r="A768" s="2" t="s">
        <v>664</v>
      </c>
      <c r="B768" s="11" t="s">
        <v>398</v>
      </c>
      <c r="C768" s="11" t="s">
        <v>4</v>
      </c>
      <c r="D768" s="11" t="s">
        <v>5</v>
      </c>
      <c r="E768" s="11" t="s">
        <v>809</v>
      </c>
      <c r="F768" s="11" t="s">
        <v>810</v>
      </c>
      <c r="G768" s="12">
        <v>3</v>
      </c>
      <c r="H768" s="12">
        <v>30.6</v>
      </c>
      <c r="I768" s="12">
        <v>91.8</v>
      </c>
      <c r="J768" s="12">
        <v>7092.44</v>
      </c>
      <c r="K768">
        <f t="shared" si="33"/>
        <v>7</v>
      </c>
      <c r="L768">
        <f t="shared" si="34"/>
        <v>1</v>
      </c>
      <c r="M768">
        <f t="shared" si="35"/>
        <v>1</v>
      </c>
    </row>
    <row r="769" spans="1:13" x14ac:dyDescent="0.25">
      <c r="A769" s="2" t="s">
        <v>664</v>
      </c>
      <c r="B769" s="11" t="s">
        <v>398</v>
      </c>
      <c r="C769" s="11" t="s">
        <v>4</v>
      </c>
      <c r="D769" s="11" t="s">
        <v>5</v>
      </c>
      <c r="E769" s="11" t="s">
        <v>811</v>
      </c>
      <c r="F769" s="11" t="s">
        <v>812</v>
      </c>
      <c r="G769" s="12">
        <v>5</v>
      </c>
      <c r="H769" s="12">
        <v>49.8</v>
      </c>
      <c r="I769" s="12">
        <v>249</v>
      </c>
      <c r="J769" s="12">
        <v>7341.44</v>
      </c>
      <c r="K769">
        <f t="shared" si="33"/>
        <v>5</v>
      </c>
      <c r="L769">
        <f t="shared" si="34"/>
        <v>1</v>
      </c>
      <c r="M769">
        <f t="shared" si="35"/>
        <v>1</v>
      </c>
    </row>
    <row r="770" spans="1:13" x14ac:dyDescent="0.25">
      <c r="A770" s="2" t="s">
        <v>664</v>
      </c>
      <c r="B770" s="11" t="s">
        <v>398</v>
      </c>
      <c r="C770" s="11" t="s">
        <v>4</v>
      </c>
      <c r="D770" s="11" t="s">
        <v>5</v>
      </c>
      <c r="E770" s="11" t="s">
        <v>762</v>
      </c>
      <c r="F770" s="11" t="s">
        <v>763</v>
      </c>
      <c r="G770" s="12">
        <v>3</v>
      </c>
      <c r="H770" s="12">
        <v>36</v>
      </c>
      <c r="I770" s="12">
        <v>108</v>
      </c>
      <c r="J770" s="12">
        <v>7449.44</v>
      </c>
      <c r="K770">
        <f t="shared" si="33"/>
        <v>7</v>
      </c>
      <c r="L770">
        <f t="shared" si="34"/>
        <v>1</v>
      </c>
      <c r="M770">
        <f t="shared" si="35"/>
        <v>1</v>
      </c>
    </row>
    <row r="771" spans="1:13" x14ac:dyDescent="0.25">
      <c r="A771" s="2" t="s">
        <v>664</v>
      </c>
      <c r="B771" s="11" t="s">
        <v>398</v>
      </c>
      <c r="C771" s="11" t="s">
        <v>4</v>
      </c>
      <c r="D771" s="11" t="s">
        <v>5</v>
      </c>
      <c r="E771" s="11" t="s">
        <v>813</v>
      </c>
      <c r="F771" s="11" t="s">
        <v>814</v>
      </c>
      <c r="G771" s="12">
        <v>3</v>
      </c>
      <c r="H771" s="12">
        <v>51</v>
      </c>
      <c r="I771" s="12">
        <v>153</v>
      </c>
      <c r="J771" s="12">
        <v>7602.44</v>
      </c>
      <c r="K771">
        <f t="shared" ref="K771:K834" si="36">COUNTIF($E$2:$E$1466,E771)</f>
        <v>7</v>
      </c>
      <c r="L771">
        <f t="shared" ref="L771:L834" si="37">IF(G771&gt;0,1,0)</f>
        <v>1</v>
      </c>
      <c r="M771">
        <f t="shared" ref="M771:M834" si="38">IF(H771&gt;0,1,0)</f>
        <v>1</v>
      </c>
    </row>
    <row r="772" spans="1:13" x14ac:dyDescent="0.25">
      <c r="A772" s="2" t="s">
        <v>664</v>
      </c>
      <c r="B772" s="11" t="s">
        <v>398</v>
      </c>
      <c r="C772" s="11" t="s">
        <v>4</v>
      </c>
      <c r="D772" s="11" t="s">
        <v>5</v>
      </c>
      <c r="E772" s="11" t="s">
        <v>815</v>
      </c>
      <c r="F772" s="11" t="s">
        <v>816</v>
      </c>
      <c r="G772" s="12">
        <v>3</v>
      </c>
      <c r="H772" s="12">
        <v>45</v>
      </c>
      <c r="I772" s="12">
        <v>135</v>
      </c>
      <c r="J772" s="12">
        <v>7737.44</v>
      </c>
      <c r="K772">
        <f t="shared" si="36"/>
        <v>5</v>
      </c>
      <c r="L772">
        <f t="shared" si="37"/>
        <v>1</v>
      </c>
      <c r="M772">
        <f t="shared" si="38"/>
        <v>1</v>
      </c>
    </row>
    <row r="773" spans="1:13" x14ac:dyDescent="0.25">
      <c r="A773" s="2" t="s">
        <v>664</v>
      </c>
      <c r="B773" s="11" t="s">
        <v>398</v>
      </c>
      <c r="C773" s="11" t="s">
        <v>4</v>
      </c>
      <c r="D773" s="11" t="s">
        <v>5</v>
      </c>
      <c r="E773" s="11" t="s">
        <v>817</v>
      </c>
      <c r="F773" s="11" t="s">
        <v>818</v>
      </c>
      <c r="G773" s="12">
        <v>2</v>
      </c>
      <c r="H773" s="12">
        <v>43.2</v>
      </c>
      <c r="I773" s="12">
        <v>86.4</v>
      </c>
      <c r="J773" s="12">
        <v>7823.8399999999992</v>
      </c>
      <c r="K773">
        <f t="shared" si="36"/>
        <v>6</v>
      </c>
      <c r="L773">
        <f t="shared" si="37"/>
        <v>1</v>
      </c>
      <c r="M773">
        <f t="shared" si="38"/>
        <v>1</v>
      </c>
    </row>
    <row r="774" spans="1:13" x14ac:dyDescent="0.25">
      <c r="A774" s="2" t="s">
        <v>664</v>
      </c>
      <c r="B774" s="11" t="s">
        <v>398</v>
      </c>
      <c r="C774" s="11" t="s">
        <v>4</v>
      </c>
      <c r="D774" s="11" t="s">
        <v>5</v>
      </c>
      <c r="E774" s="11" t="s">
        <v>764</v>
      </c>
      <c r="F774" s="11" t="s">
        <v>765</v>
      </c>
      <c r="G774" s="12">
        <v>2</v>
      </c>
      <c r="H774" s="12">
        <v>32.4</v>
      </c>
      <c r="I774" s="12">
        <v>64.8</v>
      </c>
      <c r="J774" s="12">
        <v>7888.6399999999994</v>
      </c>
      <c r="K774">
        <f t="shared" si="36"/>
        <v>5</v>
      </c>
      <c r="L774">
        <f t="shared" si="37"/>
        <v>1</v>
      </c>
      <c r="M774">
        <f t="shared" si="38"/>
        <v>1</v>
      </c>
    </row>
    <row r="775" spans="1:13" x14ac:dyDescent="0.25">
      <c r="A775" s="2" t="s">
        <v>664</v>
      </c>
      <c r="B775" s="11" t="s">
        <v>398</v>
      </c>
      <c r="C775" s="11" t="s">
        <v>4</v>
      </c>
      <c r="D775" s="11" t="s">
        <v>5</v>
      </c>
      <c r="E775" s="11" t="s">
        <v>768</v>
      </c>
      <c r="F775" s="11" t="s">
        <v>769</v>
      </c>
      <c r="G775" s="12">
        <v>1</v>
      </c>
      <c r="H775" s="12">
        <v>47.8</v>
      </c>
      <c r="I775" s="12">
        <v>47.8</v>
      </c>
      <c r="J775" s="12">
        <v>7936.44</v>
      </c>
      <c r="K775">
        <f t="shared" si="36"/>
        <v>5</v>
      </c>
      <c r="L775">
        <f t="shared" si="37"/>
        <v>1</v>
      </c>
      <c r="M775">
        <f t="shared" si="38"/>
        <v>1</v>
      </c>
    </row>
    <row r="776" spans="1:13" x14ac:dyDescent="0.25">
      <c r="A776" s="2" t="s">
        <v>664</v>
      </c>
      <c r="B776" s="11" t="s">
        <v>398</v>
      </c>
      <c r="C776" s="11" t="s">
        <v>4</v>
      </c>
      <c r="D776" s="11" t="s">
        <v>5</v>
      </c>
      <c r="E776" s="11" t="s">
        <v>770</v>
      </c>
      <c r="F776" s="11" t="s">
        <v>771</v>
      </c>
      <c r="G776" s="12">
        <v>3</v>
      </c>
      <c r="H776" s="12">
        <v>35</v>
      </c>
      <c r="I776" s="12">
        <v>105</v>
      </c>
      <c r="J776" s="12">
        <v>8041.44</v>
      </c>
      <c r="K776">
        <f t="shared" si="36"/>
        <v>6</v>
      </c>
      <c r="L776">
        <f t="shared" si="37"/>
        <v>1</v>
      </c>
      <c r="M776">
        <f t="shared" si="38"/>
        <v>1</v>
      </c>
    </row>
    <row r="777" spans="1:13" x14ac:dyDescent="0.25">
      <c r="A777" s="2" t="s">
        <v>664</v>
      </c>
      <c r="B777" s="11" t="s">
        <v>398</v>
      </c>
      <c r="C777" s="11" t="s">
        <v>4</v>
      </c>
      <c r="D777" s="11" t="s">
        <v>5</v>
      </c>
      <c r="E777" s="11" t="s">
        <v>774</v>
      </c>
      <c r="F777" s="11" t="s">
        <v>775</v>
      </c>
      <c r="G777" s="12">
        <v>2</v>
      </c>
      <c r="H777" s="12">
        <v>25.08</v>
      </c>
      <c r="I777" s="12">
        <v>50.16</v>
      </c>
      <c r="J777" s="12">
        <v>8091.5999999999995</v>
      </c>
      <c r="K777">
        <f t="shared" si="36"/>
        <v>6</v>
      </c>
      <c r="L777">
        <f t="shared" si="37"/>
        <v>1</v>
      </c>
      <c r="M777">
        <f t="shared" si="38"/>
        <v>1</v>
      </c>
    </row>
    <row r="778" spans="1:13" x14ac:dyDescent="0.25">
      <c r="A778" s="2" t="s">
        <v>664</v>
      </c>
      <c r="B778" s="11" t="s">
        <v>398</v>
      </c>
      <c r="C778" s="11" t="s">
        <v>4</v>
      </c>
      <c r="D778" s="11" t="s">
        <v>5</v>
      </c>
      <c r="E778" s="11" t="s">
        <v>819</v>
      </c>
      <c r="F778" s="11" t="s">
        <v>820</v>
      </c>
      <c r="G778" s="12">
        <v>2</v>
      </c>
      <c r="H778" s="12">
        <v>27.48</v>
      </c>
      <c r="I778" s="12">
        <v>54.96</v>
      </c>
      <c r="J778" s="12">
        <v>8146.5599999999995</v>
      </c>
      <c r="K778">
        <f t="shared" si="36"/>
        <v>6</v>
      </c>
      <c r="L778">
        <f t="shared" si="37"/>
        <v>1</v>
      </c>
      <c r="M778">
        <f t="shared" si="38"/>
        <v>1</v>
      </c>
    </row>
    <row r="779" spans="1:13" x14ac:dyDescent="0.25">
      <c r="A779" s="2" t="s">
        <v>664</v>
      </c>
      <c r="B779" s="11" t="s">
        <v>821</v>
      </c>
      <c r="C779" s="11" t="s">
        <v>4</v>
      </c>
      <c r="D779" s="11" t="s">
        <v>822</v>
      </c>
      <c r="E779" s="11" t="s">
        <v>667</v>
      </c>
      <c r="F779" s="11" t="s">
        <v>668</v>
      </c>
      <c r="G779" s="12">
        <v>6</v>
      </c>
      <c r="H779" s="12">
        <v>28.8</v>
      </c>
      <c r="I779" s="12">
        <v>172.8</v>
      </c>
      <c r="J779" s="12">
        <v>8319.3599999999988</v>
      </c>
      <c r="K779">
        <f t="shared" si="36"/>
        <v>7</v>
      </c>
      <c r="L779">
        <f t="shared" si="37"/>
        <v>1</v>
      </c>
      <c r="M779">
        <f t="shared" si="38"/>
        <v>1</v>
      </c>
    </row>
    <row r="780" spans="1:13" x14ac:dyDescent="0.25">
      <c r="A780" s="2" t="s">
        <v>664</v>
      </c>
      <c r="B780" s="11" t="s">
        <v>821</v>
      </c>
      <c r="C780" s="11" t="s">
        <v>4</v>
      </c>
      <c r="D780" s="11" t="s">
        <v>822</v>
      </c>
      <c r="E780" s="11" t="s">
        <v>669</v>
      </c>
      <c r="F780" s="11" t="s">
        <v>670</v>
      </c>
      <c r="G780" s="12">
        <v>6</v>
      </c>
      <c r="H780" s="12">
        <v>28.8</v>
      </c>
      <c r="I780" s="12">
        <v>172.8</v>
      </c>
      <c r="J780" s="12">
        <v>8492.159999999998</v>
      </c>
      <c r="K780">
        <f t="shared" si="36"/>
        <v>8</v>
      </c>
      <c r="L780">
        <f t="shared" si="37"/>
        <v>1</v>
      </c>
      <c r="M780">
        <f t="shared" si="38"/>
        <v>1</v>
      </c>
    </row>
    <row r="781" spans="1:13" x14ac:dyDescent="0.25">
      <c r="A781" s="2" t="s">
        <v>664</v>
      </c>
      <c r="B781" s="11" t="s">
        <v>821</v>
      </c>
      <c r="C781" s="11" t="s">
        <v>4</v>
      </c>
      <c r="D781" s="11" t="s">
        <v>822</v>
      </c>
      <c r="E781" s="11" t="s">
        <v>671</v>
      </c>
      <c r="F781" s="11" t="s">
        <v>672</v>
      </c>
      <c r="G781" s="12">
        <v>6</v>
      </c>
      <c r="H781" s="12">
        <v>30.96</v>
      </c>
      <c r="I781" s="12">
        <v>185.76</v>
      </c>
      <c r="J781" s="12">
        <v>8677.9199999999983</v>
      </c>
      <c r="K781">
        <f t="shared" si="36"/>
        <v>7</v>
      </c>
      <c r="L781">
        <f t="shared" si="37"/>
        <v>1</v>
      </c>
      <c r="M781">
        <f t="shared" si="38"/>
        <v>1</v>
      </c>
    </row>
    <row r="782" spans="1:13" x14ac:dyDescent="0.25">
      <c r="A782" s="2" t="s">
        <v>664</v>
      </c>
      <c r="B782" s="11" t="s">
        <v>821</v>
      </c>
      <c r="C782" s="11" t="s">
        <v>4</v>
      </c>
      <c r="D782" s="11" t="s">
        <v>822</v>
      </c>
      <c r="E782" s="11" t="s">
        <v>823</v>
      </c>
      <c r="F782" s="11" t="s">
        <v>824</v>
      </c>
      <c r="G782" s="12">
        <v>6</v>
      </c>
      <c r="H782" s="12">
        <v>38.159999999999997</v>
      </c>
      <c r="I782" s="12">
        <v>228.96</v>
      </c>
      <c r="J782" s="12">
        <v>8906.8799999999974</v>
      </c>
      <c r="K782">
        <f t="shared" si="36"/>
        <v>6</v>
      </c>
      <c r="L782">
        <f t="shared" si="37"/>
        <v>1</v>
      </c>
      <c r="M782">
        <f t="shared" si="38"/>
        <v>1</v>
      </c>
    </row>
    <row r="783" spans="1:13" x14ac:dyDescent="0.25">
      <c r="A783" s="2" t="s">
        <v>664</v>
      </c>
      <c r="B783" s="11" t="s">
        <v>821</v>
      </c>
      <c r="C783" s="11" t="s">
        <v>4</v>
      </c>
      <c r="D783" s="11" t="s">
        <v>822</v>
      </c>
      <c r="E783" s="11" t="s">
        <v>673</v>
      </c>
      <c r="F783" s="11" t="s">
        <v>674</v>
      </c>
      <c r="G783" s="12">
        <v>4</v>
      </c>
      <c r="H783" s="12">
        <v>31.2</v>
      </c>
      <c r="I783" s="12">
        <v>124.8</v>
      </c>
      <c r="J783" s="12">
        <v>9031.6799999999967</v>
      </c>
      <c r="K783">
        <f t="shared" si="36"/>
        <v>7</v>
      </c>
      <c r="L783">
        <f t="shared" si="37"/>
        <v>1</v>
      </c>
      <c r="M783">
        <f t="shared" si="38"/>
        <v>1</v>
      </c>
    </row>
    <row r="784" spans="1:13" x14ac:dyDescent="0.25">
      <c r="A784" s="2" t="s">
        <v>664</v>
      </c>
      <c r="B784" s="11" t="s">
        <v>821</v>
      </c>
      <c r="C784" s="11" t="s">
        <v>4</v>
      </c>
      <c r="D784" s="11" t="s">
        <v>822</v>
      </c>
      <c r="E784" s="11" t="s">
        <v>825</v>
      </c>
      <c r="F784" s="11" t="s">
        <v>826</v>
      </c>
      <c r="G784" s="12">
        <v>4</v>
      </c>
      <c r="H784" s="12">
        <v>30</v>
      </c>
      <c r="I784" s="12">
        <v>120</v>
      </c>
      <c r="J784" s="12">
        <v>9151.6799999999967</v>
      </c>
      <c r="K784">
        <f t="shared" si="36"/>
        <v>6</v>
      </c>
      <c r="L784">
        <f t="shared" si="37"/>
        <v>1</v>
      </c>
      <c r="M784">
        <f t="shared" si="38"/>
        <v>1</v>
      </c>
    </row>
    <row r="785" spans="1:13" x14ac:dyDescent="0.25">
      <c r="A785" s="2" t="s">
        <v>664</v>
      </c>
      <c r="B785" s="11" t="s">
        <v>821</v>
      </c>
      <c r="C785" s="11" t="s">
        <v>4</v>
      </c>
      <c r="D785" s="11" t="s">
        <v>822</v>
      </c>
      <c r="E785" s="11" t="s">
        <v>675</v>
      </c>
      <c r="F785" s="11" t="s">
        <v>676</v>
      </c>
      <c r="G785" s="12">
        <v>6</v>
      </c>
      <c r="H785" s="12">
        <v>31.2</v>
      </c>
      <c r="I785" s="12">
        <v>187.2</v>
      </c>
      <c r="J785" s="12">
        <v>9338.8799999999974</v>
      </c>
      <c r="K785">
        <f t="shared" si="36"/>
        <v>6</v>
      </c>
      <c r="L785">
        <f t="shared" si="37"/>
        <v>1</v>
      </c>
      <c r="M785">
        <f t="shared" si="38"/>
        <v>1</v>
      </c>
    </row>
    <row r="786" spans="1:13" x14ac:dyDescent="0.25">
      <c r="A786" s="2" t="s">
        <v>664</v>
      </c>
      <c r="B786" s="11" t="s">
        <v>821</v>
      </c>
      <c r="C786" s="11" t="s">
        <v>4</v>
      </c>
      <c r="D786" s="11" t="s">
        <v>822</v>
      </c>
      <c r="E786" s="11" t="s">
        <v>679</v>
      </c>
      <c r="F786" s="11" t="s">
        <v>680</v>
      </c>
      <c r="G786" s="12">
        <v>6</v>
      </c>
      <c r="H786" s="12">
        <v>19.8</v>
      </c>
      <c r="I786" s="12">
        <v>118.8</v>
      </c>
      <c r="J786" s="12">
        <v>9457.6799999999967</v>
      </c>
      <c r="K786">
        <f t="shared" si="36"/>
        <v>3</v>
      </c>
      <c r="L786">
        <f t="shared" si="37"/>
        <v>1</v>
      </c>
      <c r="M786">
        <f t="shared" si="38"/>
        <v>1</v>
      </c>
    </row>
    <row r="787" spans="1:13" x14ac:dyDescent="0.25">
      <c r="A787" s="2" t="s">
        <v>664</v>
      </c>
      <c r="B787" s="11" t="s">
        <v>821</v>
      </c>
      <c r="C787" s="11" t="s">
        <v>4</v>
      </c>
      <c r="D787" s="11" t="s">
        <v>822</v>
      </c>
      <c r="E787" s="11" t="s">
        <v>681</v>
      </c>
      <c r="F787" s="11" t="s">
        <v>682</v>
      </c>
      <c r="G787" s="12">
        <v>4</v>
      </c>
      <c r="H787" s="12">
        <v>23.88</v>
      </c>
      <c r="I787" s="12">
        <v>95.52</v>
      </c>
      <c r="J787" s="12">
        <v>9553.1999999999971</v>
      </c>
      <c r="K787">
        <f t="shared" si="36"/>
        <v>3</v>
      </c>
      <c r="L787">
        <f t="shared" si="37"/>
        <v>1</v>
      </c>
      <c r="M787">
        <f t="shared" si="38"/>
        <v>1</v>
      </c>
    </row>
    <row r="788" spans="1:13" x14ac:dyDescent="0.25">
      <c r="A788" s="2" t="s">
        <v>664</v>
      </c>
      <c r="B788" s="11" t="s">
        <v>821</v>
      </c>
      <c r="C788" s="11" t="s">
        <v>4</v>
      </c>
      <c r="D788" s="11" t="s">
        <v>822</v>
      </c>
      <c r="E788" s="11" t="s">
        <v>683</v>
      </c>
      <c r="F788" s="11" t="s">
        <v>684</v>
      </c>
      <c r="G788" s="12">
        <v>6</v>
      </c>
      <c r="H788" s="12">
        <v>19.2</v>
      </c>
      <c r="I788" s="12">
        <v>115.2</v>
      </c>
      <c r="J788" s="12">
        <v>9668.3999999999978</v>
      </c>
      <c r="K788">
        <f t="shared" si="36"/>
        <v>3</v>
      </c>
      <c r="L788">
        <f t="shared" si="37"/>
        <v>1</v>
      </c>
      <c r="M788">
        <f t="shared" si="38"/>
        <v>1</v>
      </c>
    </row>
    <row r="789" spans="1:13" x14ac:dyDescent="0.25">
      <c r="A789" s="2" t="s">
        <v>664</v>
      </c>
      <c r="B789" s="11" t="s">
        <v>821</v>
      </c>
      <c r="C789" s="11" t="s">
        <v>4</v>
      </c>
      <c r="D789" s="11" t="s">
        <v>822</v>
      </c>
      <c r="E789" s="11" t="s">
        <v>827</v>
      </c>
      <c r="F789" s="11" t="s">
        <v>827</v>
      </c>
      <c r="G789" s="12">
        <v>2</v>
      </c>
      <c r="H789" s="12">
        <v>35.880000000000003</v>
      </c>
      <c r="I789" s="12">
        <v>71.760000000000005</v>
      </c>
      <c r="J789" s="12">
        <v>9740.159999999998</v>
      </c>
      <c r="K789">
        <f t="shared" si="36"/>
        <v>2</v>
      </c>
      <c r="L789">
        <f t="shared" si="37"/>
        <v>1</v>
      </c>
      <c r="M789">
        <f t="shared" si="38"/>
        <v>1</v>
      </c>
    </row>
    <row r="790" spans="1:13" x14ac:dyDescent="0.25">
      <c r="A790" s="2" t="s">
        <v>664</v>
      </c>
      <c r="B790" s="11" t="s">
        <v>821</v>
      </c>
      <c r="C790" s="11" t="s">
        <v>4</v>
      </c>
      <c r="D790" s="11" t="s">
        <v>822</v>
      </c>
      <c r="E790" s="11" t="s">
        <v>828</v>
      </c>
      <c r="F790" s="11" t="s">
        <v>829</v>
      </c>
      <c r="G790" s="12">
        <v>2</v>
      </c>
      <c r="H790" s="12">
        <v>27</v>
      </c>
      <c r="I790" s="12">
        <v>54</v>
      </c>
      <c r="J790" s="12">
        <v>9794.159999999998</v>
      </c>
      <c r="K790">
        <f t="shared" si="36"/>
        <v>5</v>
      </c>
      <c r="L790">
        <f t="shared" si="37"/>
        <v>1</v>
      </c>
      <c r="M790">
        <f t="shared" si="38"/>
        <v>1</v>
      </c>
    </row>
    <row r="791" spans="1:13" x14ac:dyDescent="0.25">
      <c r="A791" s="2" t="s">
        <v>664</v>
      </c>
      <c r="B791" s="11" t="s">
        <v>821</v>
      </c>
      <c r="C791" s="11" t="s">
        <v>4</v>
      </c>
      <c r="D791" s="11" t="s">
        <v>822</v>
      </c>
      <c r="E791" s="11" t="s">
        <v>690</v>
      </c>
      <c r="F791" s="11" t="s">
        <v>691</v>
      </c>
      <c r="G791" s="12">
        <v>6</v>
      </c>
      <c r="H791" s="12">
        <v>25.08</v>
      </c>
      <c r="I791" s="12">
        <v>150.47999999999999</v>
      </c>
      <c r="J791" s="12">
        <v>9944.6399999999976</v>
      </c>
      <c r="K791">
        <f t="shared" si="36"/>
        <v>4</v>
      </c>
      <c r="L791">
        <f t="shared" si="37"/>
        <v>1</v>
      </c>
      <c r="M791">
        <f t="shared" si="38"/>
        <v>1</v>
      </c>
    </row>
    <row r="792" spans="1:13" x14ac:dyDescent="0.25">
      <c r="A792" s="2" t="s">
        <v>664</v>
      </c>
      <c r="B792" s="11" t="s">
        <v>821</v>
      </c>
      <c r="C792" s="11" t="s">
        <v>4</v>
      </c>
      <c r="D792" s="11" t="s">
        <v>822</v>
      </c>
      <c r="E792" s="11" t="s">
        <v>830</v>
      </c>
      <c r="F792" s="11" t="s">
        <v>831</v>
      </c>
      <c r="G792" s="12">
        <v>2</v>
      </c>
      <c r="H792" s="12">
        <v>27</v>
      </c>
      <c r="I792" s="12">
        <v>54</v>
      </c>
      <c r="J792" s="12">
        <v>9998.6399999999976</v>
      </c>
      <c r="K792">
        <f t="shared" si="36"/>
        <v>4</v>
      </c>
      <c r="L792">
        <f t="shared" si="37"/>
        <v>1</v>
      </c>
      <c r="M792">
        <f t="shared" si="38"/>
        <v>1</v>
      </c>
    </row>
    <row r="793" spans="1:13" x14ac:dyDescent="0.25">
      <c r="A793" s="2" t="s">
        <v>664</v>
      </c>
      <c r="B793" s="11" t="s">
        <v>821</v>
      </c>
      <c r="C793" s="11" t="s">
        <v>4</v>
      </c>
      <c r="D793" s="11" t="s">
        <v>822</v>
      </c>
      <c r="E793" s="11" t="s">
        <v>692</v>
      </c>
      <c r="F793" s="11" t="s">
        <v>693</v>
      </c>
      <c r="G793" s="12">
        <v>6</v>
      </c>
      <c r="H793" s="12">
        <v>37.08</v>
      </c>
      <c r="I793" s="12">
        <v>222.48</v>
      </c>
      <c r="J793" s="12">
        <v>10221.119999999997</v>
      </c>
      <c r="K793">
        <f t="shared" si="36"/>
        <v>8</v>
      </c>
      <c r="L793">
        <f t="shared" si="37"/>
        <v>1</v>
      </c>
      <c r="M793">
        <f t="shared" si="38"/>
        <v>1</v>
      </c>
    </row>
    <row r="794" spans="1:13" x14ac:dyDescent="0.25">
      <c r="A794" s="2" t="s">
        <v>664</v>
      </c>
      <c r="B794" s="11" t="s">
        <v>821</v>
      </c>
      <c r="C794" s="11" t="s">
        <v>4</v>
      </c>
      <c r="D794" s="11" t="s">
        <v>822</v>
      </c>
      <c r="E794" s="11" t="s">
        <v>832</v>
      </c>
      <c r="F794" s="11" t="s">
        <v>833</v>
      </c>
      <c r="G794" s="12">
        <v>4</v>
      </c>
      <c r="H794" s="12">
        <v>37.08</v>
      </c>
      <c r="I794" s="12">
        <v>148.32</v>
      </c>
      <c r="J794" s="12">
        <v>10369.439999999997</v>
      </c>
      <c r="K794">
        <f t="shared" si="36"/>
        <v>4</v>
      </c>
      <c r="L794">
        <f t="shared" si="37"/>
        <v>1</v>
      </c>
      <c r="M794">
        <f t="shared" si="38"/>
        <v>1</v>
      </c>
    </row>
    <row r="795" spans="1:13" x14ac:dyDescent="0.25">
      <c r="A795" s="2" t="s">
        <v>664</v>
      </c>
      <c r="B795" s="11" t="s">
        <v>821</v>
      </c>
      <c r="C795" s="11" t="s">
        <v>4</v>
      </c>
      <c r="D795" s="11" t="s">
        <v>822</v>
      </c>
      <c r="E795" s="11" t="s">
        <v>696</v>
      </c>
      <c r="F795" s="11" t="s">
        <v>697</v>
      </c>
      <c r="G795" s="12">
        <v>6</v>
      </c>
      <c r="H795" s="12">
        <v>31.08</v>
      </c>
      <c r="I795" s="12">
        <v>186.48</v>
      </c>
      <c r="J795" s="12">
        <v>10555.919999999996</v>
      </c>
      <c r="K795">
        <f t="shared" si="36"/>
        <v>3</v>
      </c>
      <c r="L795">
        <f t="shared" si="37"/>
        <v>1</v>
      </c>
      <c r="M795">
        <f t="shared" si="38"/>
        <v>1</v>
      </c>
    </row>
    <row r="796" spans="1:13" x14ac:dyDescent="0.25">
      <c r="A796" s="2" t="s">
        <v>664</v>
      </c>
      <c r="B796" s="11" t="s">
        <v>821</v>
      </c>
      <c r="C796" s="11" t="s">
        <v>4</v>
      </c>
      <c r="D796" s="11" t="s">
        <v>822</v>
      </c>
      <c r="E796" s="11" t="s">
        <v>698</v>
      </c>
      <c r="F796" s="11" t="s">
        <v>699</v>
      </c>
      <c r="G796" s="12">
        <v>10</v>
      </c>
      <c r="H796" s="12">
        <v>22.4</v>
      </c>
      <c r="I796" s="12">
        <v>224</v>
      </c>
      <c r="J796" s="12">
        <v>10779.919999999996</v>
      </c>
      <c r="K796">
        <f t="shared" si="36"/>
        <v>5</v>
      </c>
      <c r="L796">
        <f t="shared" si="37"/>
        <v>1</v>
      </c>
      <c r="M796">
        <f t="shared" si="38"/>
        <v>1</v>
      </c>
    </row>
    <row r="797" spans="1:13" x14ac:dyDescent="0.25">
      <c r="A797" s="2" t="s">
        <v>664</v>
      </c>
      <c r="B797" s="11" t="s">
        <v>821</v>
      </c>
      <c r="C797" s="11" t="s">
        <v>4</v>
      </c>
      <c r="D797" s="11" t="s">
        <v>822</v>
      </c>
      <c r="E797" s="11" t="s">
        <v>700</v>
      </c>
      <c r="F797" s="11" t="s">
        <v>701</v>
      </c>
      <c r="G797" s="12">
        <v>10</v>
      </c>
      <c r="H797" s="12">
        <v>28.62</v>
      </c>
      <c r="I797" s="12">
        <v>286.2</v>
      </c>
      <c r="J797" s="12">
        <v>11066.119999999997</v>
      </c>
      <c r="K797">
        <f t="shared" si="36"/>
        <v>4</v>
      </c>
      <c r="L797">
        <f t="shared" si="37"/>
        <v>1</v>
      </c>
      <c r="M797">
        <f t="shared" si="38"/>
        <v>1</v>
      </c>
    </row>
    <row r="798" spans="1:13" x14ac:dyDescent="0.25">
      <c r="A798" s="2" t="s">
        <v>664</v>
      </c>
      <c r="B798" s="11" t="s">
        <v>821</v>
      </c>
      <c r="C798" s="11" t="s">
        <v>4</v>
      </c>
      <c r="D798" s="11" t="s">
        <v>822</v>
      </c>
      <c r="E798" s="11" t="s">
        <v>702</v>
      </c>
      <c r="F798" s="11" t="s">
        <v>703</v>
      </c>
      <c r="G798" s="12">
        <v>4</v>
      </c>
      <c r="H798" s="12">
        <v>42.96</v>
      </c>
      <c r="I798" s="12">
        <v>171.84</v>
      </c>
      <c r="J798" s="12">
        <v>11237.959999999997</v>
      </c>
      <c r="K798">
        <f t="shared" si="36"/>
        <v>10</v>
      </c>
      <c r="L798">
        <f t="shared" si="37"/>
        <v>1</v>
      </c>
      <c r="M798">
        <f t="shared" si="38"/>
        <v>1</v>
      </c>
    </row>
    <row r="799" spans="1:13" x14ac:dyDescent="0.25">
      <c r="A799" s="2" t="s">
        <v>664</v>
      </c>
      <c r="B799" s="11" t="s">
        <v>821</v>
      </c>
      <c r="C799" s="11" t="s">
        <v>4</v>
      </c>
      <c r="D799" s="11" t="s">
        <v>822</v>
      </c>
      <c r="E799" s="11" t="s">
        <v>704</v>
      </c>
      <c r="F799" s="11" t="s">
        <v>705</v>
      </c>
      <c r="G799" s="12">
        <v>4</v>
      </c>
      <c r="H799" s="12">
        <v>42.96</v>
      </c>
      <c r="I799" s="12">
        <v>171.84</v>
      </c>
      <c r="J799" s="12">
        <v>11409.799999999997</v>
      </c>
      <c r="K799">
        <f t="shared" si="36"/>
        <v>6</v>
      </c>
      <c r="L799">
        <f t="shared" si="37"/>
        <v>1</v>
      </c>
      <c r="M799">
        <f t="shared" si="38"/>
        <v>1</v>
      </c>
    </row>
    <row r="800" spans="1:13" x14ac:dyDescent="0.25">
      <c r="A800" s="2" t="s">
        <v>664</v>
      </c>
      <c r="B800" s="11" t="s">
        <v>821</v>
      </c>
      <c r="C800" s="11" t="s">
        <v>4</v>
      </c>
      <c r="D800" s="11" t="s">
        <v>822</v>
      </c>
      <c r="E800" s="11" t="s">
        <v>834</v>
      </c>
      <c r="F800" s="11" t="s">
        <v>834</v>
      </c>
      <c r="G800" s="12">
        <v>3</v>
      </c>
      <c r="H800" s="12">
        <v>31.2</v>
      </c>
      <c r="I800" s="12">
        <v>93.6</v>
      </c>
      <c r="J800" s="12">
        <v>11503.399999999998</v>
      </c>
      <c r="K800">
        <f t="shared" si="36"/>
        <v>3</v>
      </c>
      <c r="L800">
        <f t="shared" si="37"/>
        <v>1</v>
      </c>
      <c r="M800">
        <f t="shared" si="38"/>
        <v>1</v>
      </c>
    </row>
    <row r="801" spans="1:13" x14ac:dyDescent="0.25">
      <c r="A801" s="2" t="s">
        <v>664</v>
      </c>
      <c r="B801" s="11" t="s">
        <v>821</v>
      </c>
      <c r="C801" s="11" t="s">
        <v>4</v>
      </c>
      <c r="D801" s="11" t="s">
        <v>822</v>
      </c>
      <c r="E801" s="11" t="s">
        <v>716</v>
      </c>
      <c r="F801" s="11" t="s">
        <v>717</v>
      </c>
      <c r="G801" s="12">
        <v>6</v>
      </c>
      <c r="H801" s="12">
        <v>30</v>
      </c>
      <c r="I801" s="12">
        <v>180</v>
      </c>
      <c r="J801" s="12">
        <v>11683.399999999998</v>
      </c>
      <c r="K801">
        <f t="shared" si="36"/>
        <v>7</v>
      </c>
      <c r="L801">
        <f t="shared" si="37"/>
        <v>1</v>
      </c>
      <c r="M801">
        <f t="shared" si="38"/>
        <v>1</v>
      </c>
    </row>
    <row r="802" spans="1:13" x14ac:dyDescent="0.25">
      <c r="A802" s="2" t="s">
        <v>664</v>
      </c>
      <c r="B802" s="11" t="s">
        <v>821</v>
      </c>
      <c r="C802" s="11" t="s">
        <v>4</v>
      </c>
      <c r="D802" s="11" t="s">
        <v>822</v>
      </c>
      <c r="E802" s="11" t="s">
        <v>710</v>
      </c>
      <c r="F802" s="11" t="s">
        <v>711</v>
      </c>
      <c r="G802" s="12">
        <v>6</v>
      </c>
      <c r="H802" s="12">
        <v>40.159999999999997</v>
      </c>
      <c r="I802" s="12">
        <v>240.96</v>
      </c>
      <c r="J802" s="12">
        <v>11924.359999999997</v>
      </c>
      <c r="K802">
        <f t="shared" si="36"/>
        <v>4</v>
      </c>
      <c r="L802">
        <f t="shared" si="37"/>
        <v>1</v>
      </c>
      <c r="M802">
        <f t="shared" si="38"/>
        <v>1</v>
      </c>
    </row>
    <row r="803" spans="1:13" x14ac:dyDescent="0.25">
      <c r="A803" s="2" t="s">
        <v>664</v>
      </c>
      <c r="B803" s="11" t="s">
        <v>821</v>
      </c>
      <c r="C803" s="11" t="s">
        <v>4</v>
      </c>
      <c r="D803" s="11" t="s">
        <v>822</v>
      </c>
      <c r="E803" s="11" t="s">
        <v>835</v>
      </c>
      <c r="F803" s="11" t="s">
        <v>836</v>
      </c>
      <c r="G803" s="12">
        <v>4</v>
      </c>
      <c r="H803" s="12">
        <v>28.8</v>
      </c>
      <c r="I803" s="12">
        <v>115.2</v>
      </c>
      <c r="J803" s="12">
        <v>12039.559999999998</v>
      </c>
      <c r="K803">
        <f t="shared" si="36"/>
        <v>4</v>
      </c>
      <c r="L803">
        <f t="shared" si="37"/>
        <v>1</v>
      </c>
      <c r="M803">
        <f t="shared" si="38"/>
        <v>1</v>
      </c>
    </row>
    <row r="804" spans="1:13" x14ac:dyDescent="0.25">
      <c r="A804" s="2" t="s">
        <v>664</v>
      </c>
      <c r="B804" s="11" t="s">
        <v>821</v>
      </c>
      <c r="C804" s="11" t="s">
        <v>4</v>
      </c>
      <c r="D804" s="11" t="s">
        <v>822</v>
      </c>
      <c r="E804" s="11" t="s">
        <v>712</v>
      </c>
      <c r="F804" s="11" t="s">
        <v>713</v>
      </c>
      <c r="G804" s="12">
        <v>10</v>
      </c>
      <c r="H804" s="12">
        <v>19.8</v>
      </c>
      <c r="I804" s="12">
        <v>198</v>
      </c>
      <c r="J804" s="12">
        <v>12237.559999999998</v>
      </c>
      <c r="K804">
        <f t="shared" si="36"/>
        <v>6</v>
      </c>
      <c r="L804">
        <f t="shared" si="37"/>
        <v>1</v>
      </c>
      <c r="M804">
        <f t="shared" si="38"/>
        <v>1</v>
      </c>
    </row>
    <row r="805" spans="1:13" x14ac:dyDescent="0.25">
      <c r="A805" s="2" t="s">
        <v>664</v>
      </c>
      <c r="B805" s="11" t="s">
        <v>821</v>
      </c>
      <c r="C805" s="11" t="s">
        <v>4</v>
      </c>
      <c r="D805" s="11" t="s">
        <v>822</v>
      </c>
      <c r="E805" s="11" t="s">
        <v>714</v>
      </c>
      <c r="F805" s="11" t="s">
        <v>715</v>
      </c>
      <c r="G805" s="12">
        <v>2</v>
      </c>
      <c r="H805" s="12">
        <v>48.42</v>
      </c>
      <c r="I805" s="12">
        <v>96.84</v>
      </c>
      <c r="J805" s="12">
        <v>12334.399999999998</v>
      </c>
      <c r="K805">
        <f t="shared" si="36"/>
        <v>5</v>
      </c>
      <c r="L805">
        <f t="shared" si="37"/>
        <v>1</v>
      </c>
      <c r="M805">
        <f t="shared" si="38"/>
        <v>1</v>
      </c>
    </row>
    <row r="806" spans="1:13" x14ac:dyDescent="0.25">
      <c r="A806" s="2" t="s">
        <v>664</v>
      </c>
      <c r="B806" s="11" t="s">
        <v>821</v>
      </c>
      <c r="C806" s="11" t="s">
        <v>4</v>
      </c>
      <c r="D806" s="11" t="s">
        <v>822</v>
      </c>
      <c r="E806" s="11" t="s">
        <v>706</v>
      </c>
      <c r="F806" s="11" t="s">
        <v>707</v>
      </c>
      <c r="G806" s="12">
        <v>6</v>
      </c>
      <c r="H806" s="12">
        <v>30</v>
      </c>
      <c r="I806" s="12">
        <v>180</v>
      </c>
      <c r="J806" s="12">
        <v>12514.399999999998</v>
      </c>
      <c r="K806">
        <f t="shared" si="36"/>
        <v>3</v>
      </c>
      <c r="L806">
        <f t="shared" si="37"/>
        <v>1</v>
      </c>
      <c r="M806">
        <f t="shared" si="38"/>
        <v>1</v>
      </c>
    </row>
    <row r="807" spans="1:13" x14ac:dyDescent="0.25">
      <c r="A807" s="2" t="s">
        <v>664</v>
      </c>
      <c r="B807" s="11" t="s">
        <v>821</v>
      </c>
      <c r="C807" s="11" t="s">
        <v>4</v>
      </c>
      <c r="D807" s="11" t="s">
        <v>822</v>
      </c>
      <c r="E807" s="11" t="s">
        <v>778</v>
      </c>
      <c r="F807" s="11" t="s">
        <v>779</v>
      </c>
      <c r="G807" s="12">
        <v>10</v>
      </c>
      <c r="H807" s="12">
        <v>28.8</v>
      </c>
      <c r="I807" s="12">
        <v>288</v>
      </c>
      <c r="J807" s="12">
        <v>12802.399999999998</v>
      </c>
      <c r="K807">
        <f t="shared" si="36"/>
        <v>6</v>
      </c>
      <c r="L807">
        <f t="shared" si="37"/>
        <v>1</v>
      </c>
      <c r="M807">
        <f t="shared" si="38"/>
        <v>1</v>
      </c>
    </row>
    <row r="808" spans="1:13" x14ac:dyDescent="0.25">
      <c r="A808" s="2" t="s">
        <v>664</v>
      </c>
      <c r="B808" s="11" t="s">
        <v>821</v>
      </c>
      <c r="C808" s="11" t="s">
        <v>4</v>
      </c>
      <c r="D808" s="11" t="s">
        <v>822</v>
      </c>
      <c r="E808" s="11" t="s">
        <v>718</v>
      </c>
      <c r="F808" s="11" t="s">
        <v>719</v>
      </c>
      <c r="G808" s="12">
        <v>4</v>
      </c>
      <c r="H808" s="12">
        <v>19.8</v>
      </c>
      <c r="I808" s="12">
        <v>79.2</v>
      </c>
      <c r="J808" s="12">
        <v>12881.599999999999</v>
      </c>
      <c r="K808">
        <f t="shared" si="36"/>
        <v>6</v>
      </c>
      <c r="L808">
        <f t="shared" si="37"/>
        <v>1</v>
      </c>
      <c r="M808">
        <f t="shared" si="38"/>
        <v>1</v>
      </c>
    </row>
    <row r="809" spans="1:13" x14ac:dyDescent="0.25">
      <c r="A809" s="2" t="s">
        <v>664</v>
      </c>
      <c r="B809" s="11" t="s">
        <v>821</v>
      </c>
      <c r="C809" s="11" t="s">
        <v>4</v>
      </c>
      <c r="D809" s="11" t="s">
        <v>822</v>
      </c>
      <c r="E809" s="11" t="s">
        <v>730</v>
      </c>
      <c r="F809" s="11" t="s">
        <v>731</v>
      </c>
      <c r="G809" s="12">
        <v>2</v>
      </c>
      <c r="H809" s="12">
        <v>28.62</v>
      </c>
      <c r="I809" s="12">
        <v>57.24</v>
      </c>
      <c r="J809" s="12">
        <v>12938.839999999998</v>
      </c>
      <c r="K809">
        <f t="shared" si="36"/>
        <v>5</v>
      </c>
      <c r="L809">
        <f t="shared" si="37"/>
        <v>1</v>
      </c>
      <c r="M809">
        <f t="shared" si="38"/>
        <v>1</v>
      </c>
    </row>
    <row r="810" spans="1:13" x14ac:dyDescent="0.25">
      <c r="A810" s="2" t="s">
        <v>664</v>
      </c>
      <c r="B810" s="11" t="s">
        <v>821</v>
      </c>
      <c r="C810" s="11" t="s">
        <v>4</v>
      </c>
      <c r="D810" s="11" t="s">
        <v>822</v>
      </c>
      <c r="E810" s="11" t="s">
        <v>837</v>
      </c>
      <c r="F810" s="11" t="s">
        <v>838</v>
      </c>
      <c r="G810" s="12">
        <v>2</v>
      </c>
      <c r="H810" s="12">
        <v>28.64</v>
      </c>
      <c r="I810" s="12">
        <v>57.28</v>
      </c>
      <c r="J810" s="12">
        <v>12996.119999999999</v>
      </c>
      <c r="K810">
        <f t="shared" si="36"/>
        <v>4</v>
      </c>
      <c r="L810">
        <f t="shared" si="37"/>
        <v>1</v>
      </c>
      <c r="M810">
        <f t="shared" si="38"/>
        <v>1</v>
      </c>
    </row>
    <row r="811" spans="1:13" x14ac:dyDescent="0.25">
      <c r="A811" s="2" t="s">
        <v>664</v>
      </c>
      <c r="B811" s="11" t="s">
        <v>821</v>
      </c>
      <c r="C811" s="11" t="s">
        <v>4</v>
      </c>
      <c r="D811" s="11" t="s">
        <v>822</v>
      </c>
      <c r="E811" s="11" t="s">
        <v>839</v>
      </c>
      <c r="F811" s="11" t="s">
        <v>840</v>
      </c>
      <c r="G811" s="12">
        <v>1</v>
      </c>
      <c r="H811" s="12">
        <v>28.64</v>
      </c>
      <c r="I811" s="12">
        <v>28.64</v>
      </c>
      <c r="J811" s="12">
        <v>13024.759999999998</v>
      </c>
      <c r="K811">
        <f t="shared" si="36"/>
        <v>4</v>
      </c>
      <c r="L811">
        <f t="shared" si="37"/>
        <v>1</v>
      </c>
      <c r="M811">
        <f t="shared" si="38"/>
        <v>1</v>
      </c>
    </row>
    <row r="812" spans="1:13" x14ac:dyDescent="0.25">
      <c r="A812" s="2" t="s">
        <v>664</v>
      </c>
      <c r="B812" s="11" t="s">
        <v>821</v>
      </c>
      <c r="C812" s="11" t="s">
        <v>4</v>
      </c>
      <c r="D812" s="11" t="s">
        <v>822</v>
      </c>
      <c r="E812" s="11" t="s">
        <v>780</v>
      </c>
      <c r="F812" s="11" t="s">
        <v>781</v>
      </c>
      <c r="G812" s="12">
        <v>2</v>
      </c>
      <c r="H812" s="12">
        <v>22.68</v>
      </c>
      <c r="I812" s="12">
        <v>45.36</v>
      </c>
      <c r="J812" s="12">
        <v>13070.119999999999</v>
      </c>
      <c r="K812">
        <f t="shared" si="36"/>
        <v>3</v>
      </c>
      <c r="L812">
        <f t="shared" si="37"/>
        <v>1</v>
      </c>
      <c r="M812">
        <f t="shared" si="38"/>
        <v>1</v>
      </c>
    </row>
    <row r="813" spans="1:13" x14ac:dyDescent="0.25">
      <c r="A813" s="2" t="s">
        <v>664</v>
      </c>
      <c r="B813" s="11" t="s">
        <v>821</v>
      </c>
      <c r="C813" s="11" t="s">
        <v>4</v>
      </c>
      <c r="D813" s="11" t="s">
        <v>822</v>
      </c>
      <c r="E813" s="11" t="s">
        <v>782</v>
      </c>
      <c r="F813" s="11" t="s">
        <v>783</v>
      </c>
      <c r="G813" s="12">
        <v>2</v>
      </c>
      <c r="H813" s="12">
        <v>22.68</v>
      </c>
      <c r="I813" s="12">
        <v>45.36</v>
      </c>
      <c r="J813" s="12">
        <v>13115.48</v>
      </c>
      <c r="K813">
        <f t="shared" si="36"/>
        <v>2</v>
      </c>
      <c r="L813">
        <f t="shared" si="37"/>
        <v>1</v>
      </c>
      <c r="M813">
        <f t="shared" si="38"/>
        <v>1</v>
      </c>
    </row>
    <row r="814" spans="1:13" x14ac:dyDescent="0.25">
      <c r="A814" s="2" t="s">
        <v>664</v>
      </c>
      <c r="B814" s="11" t="s">
        <v>821</v>
      </c>
      <c r="C814" s="11" t="s">
        <v>4</v>
      </c>
      <c r="D814" s="11" t="s">
        <v>822</v>
      </c>
      <c r="E814" s="11" t="s">
        <v>841</v>
      </c>
      <c r="F814" s="11" t="s">
        <v>842</v>
      </c>
      <c r="G814" s="12">
        <v>1</v>
      </c>
      <c r="H814" s="12">
        <v>39.6</v>
      </c>
      <c r="I814" s="12">
        <v>39.6</v>
      </c>
      <c r="J814" s="12">
        <v>13155.08</v>
      </c>
      <c r="K814">
        <f t="shared" si="36"/>
        <v>2</v>
      </c>
      <c r="L814">
        <f t="shared" si="37"/>
        <v>1</v>
      </c>
      <c r="M814">
        <f t="shared" si="38"/>
        <v>1</v>
      </c>
    </row>
    <row r="815" spans="1:13" x14ac:dyDescent="0.25">
      <c r="A815" s="2" t="s">
        <v>664</v>
      </c>
      <c r="B815" s="11" t="s">
        <v>821</v>
      </c>
      <c r="C815" s="11" t="s">
        <v>4</v>
      </c>
      <c r="D815" s="11" t="s">
        <v>822</v>
      </c>
      <c r="E815" s="11" t="s">
        <v>843</v>
      </c>
      <c r="F815" s="11" t="s">
        <v>844</v>
      </c>
      <c r="G815" s="12">
        <v>1</v>
      </c>
      <c r="H815" s="12">
        <v>50.16</v>
      </c>
      <c r="I815" s="12">
        <v>50.16</v>
      </c>
      <c r="J815" s="12">
        <v>13205.24</v>
      </c>
      <c r="K815">
        <f t="shared" si="36"/>
        <v>5</v>
      </c>
      <c r="L815">
        <f t="shared" si="37"/>
        <v>1</v>
      </c>
      <c r="M815">
        <f t="shared" si="38"/>
        <v>1</v>
      </c>
    </row>
    <row r="816" spans="1:13" x14ac:dyDescent="0.25">
      <c r="A816" s="2" t="s">
        <v>664</v>
      </c>
      <c r="B816" s="11" t="s">
        <v>821</v>
      </c>
      <c r="C816" s="11" t="s">
        <v>4</v>
      </c>
      <c r="D816" s="11" t="s">
        <v>822</v>
      </c>
      <c r="E816" s="11" t="s">
        <v>372</v>
      </c>
      <c r="F816" s="11" t="s">
        <v>373</v>
      </c>
      <c r="G816" s="12">
        <v>20</v>
      </c>
      <c r="H816" s="12">
        <v>30</v>
      </c>
      <c r="I816" s="12">
        <v>600</v>
      </c>
      <c r="J816" s="12">
        <v>13805.24</v>
      </c>
      <c r="K816">
        <f t="shared" si="36"/>
        <v>9</v>
      </c>
      <c r="L816">
        <f t="shared" si="37"/>
        <v>1</v>
      </c>
      <c r="M816">
        <f t="shared" si="38"/>
        <v>1</v>
      </c>
    </row>
    <row r="817" spans="1:13" x14ac:dyDescent="0.25">
      <c r="A817" s="2" t="s">
        <v>664</v>
      </c>
      <c r="B817" s="11" t="s">
        <v>821</v>
      </c>
      <c r="C817" s="11" t="s">
        <v>4</v>
      </c>
      <c r="D817" s="11" t="s">
        <v>822</v>
      </c>
      <c r="E817" s="11" t="s">
        <v>845</v>
      </c>
      <c r="F817" s="11" t="s">
        <v>846</v>
      </c>
      <c r="G817" s="12">
        <v>3</v>
      </c>
      <c r="H817" s="12">
        <v>18.600000000000001</v>
      </c>
      <c r="I817" s="12">
        <v>55.8</v>
      </c>
      <c r="J817" s="12">
        <v>13861.039999999999</v>
      </c>
      <c r="K817">
        <f t="shared" si="36"/>
        <v>2</v>
      </c>
      <c r="L817">
        <f t="shared" si="37"/>
        <v>1</v>
      </c>
      <c r="M817">
        <f t="shared" si="38"/>
        <v>1</v>
      </c>
    </row>
    <row r="818" spans="1:13" x14ac:dyDescent="0.25">
      <c r="A818" s="2" t="s">
        <v>664</v>
      </c>
      <c r="B818" s="11" t="s">
        <v>821</v>
      </c>
      <c r="C818" s="11" t="s">
        <v>4</v>
      </c>
      <c r="D818" s="11" t="s">
        <v>822</v>
      </c>
      <c r="E818" s="11" t="s">
        <v>847</v>
      </c>
      <c r="F818" s="11" t="s">
        <v>848</v>
      </c>
      <c r="G818" s="12">
        <v>3</v>
      </c>
      <c r="H818" s="12">
        <v>13.08</v>
      </c>
      <c r="I818" s="12">
        <v>39.24</v>
      </c>
      <c r="J818" s="12">
        <v>13900.279999999999</v>
      </c>
      <c r="K818">
        <f t="shared" si="36"/>
        <v>3</v>
      </c>
      <c r="L818">
        <f t="shared" si="37"/>
        <v>1</v>
      </c>
      <c r="M818">
        <f t="shared" si="38"/>
        <v>1</v>
      </c>
    </row>
    <row r="819" spans="1:13" x14ac:dyDescent="0.25">
      <c r="A819" s="2" t="s">
        <v>664</v>
      </c>
      <c r="B819" s="11" t="s">
        <v>821</v>
      </c>
      <c r="C819" s="11" t="s">
        <v>4</v>
      </c>
      <c r="D819" s="11" t="s">
        <v>822</v>
      </c>
      <c r="E819" s="11" t="s">
        <v>849</v>
      </c>
      <c r="F819" s="11" t="s">
        <v>850</v>
      </c>
      <c r="G819" s="12">
        <v>3</v>
      </c>
      <c r="H819" s="12">
        <v>15</v>
      </c>
      <c r="I819" s="12">
        <v>45</v>
      </c>
      <c r="J819" s="12">
        <v>13945.279999999999</v>
      </c>
      <c r="K819">
        <f t="shared" si="36"/>
        <v>2</v>
      </c>
      <c r="L819">
        <f t="shared" si="37"/>
        <v>1</v>
      </c>
      <c r="M819">
        <f t="shared" si="38"/>
        <v>1</v>
      </c>
    </row>
    <row r="820" spans="1:13" x14ac:dyDescent="0.25">
      <c r="A820" s="2" t="s">
        <v>664</v>
      </c>
      <c r="B820" s="11" t="s">
        <v>821</v>
      </c>
      <c r="C820" s="11" t="s">
        <v>4</v>
      </c>
      <c r="D820" s="11" t="s">
        <v>822</v>
      </c>
      <c r="E820" s="11" t="s">
        <v>374</v>
      </c>
      <c r="F820" s="11" t="s">
        <v>375</v>
      </c>
      <c r="G820" s="12">
        <v>10</v>
      </c>
      <c r="H820" s="12">
        <v>29.7</v>
      </c>
      <c r="I820" s="12">
        <v>297</v>
      </c>
      <c r="J820" s="12">
        <v>14242.279999999999</v>
      </c>
      <c r="K820">
        <f t="shared" si="36"/>
        <v>8</v>
      </c>
      <c r="L820">
        <f t="shared" si="37"/>
        <v>1</v>
      </c>
      <c r="M820">
        <f t="shared" si="38"/>
        <v>1</v>
      </c>
    </row>
    <row r="821" spans="1:13" x14ac:dyDescent="0.25">
      <c r="A821" s="2" t="s">
        <v>664</v>
      </c>
      <c r="B821" s="11" t="s">
        <v>821</v>
      </c>
      <c r="C821" s="11" t="s">
        <v>4</v>
      </c>
      <c r="D821" s="11" t="s">
        <v>822</v>
      </c>
      <c r="E821" s="11" t="s">
        <v>37</v>
      </c>
      <c r="F821" s="11" t="s">
        <v>330</v>
      </c>
      <c r="G821" s="12">
        <v>3</v>
      </c>
      <c r="H821" s="12">
        <v>69</v>
      </c>
      <c r="I821" s="12">
        <v>207</v>
      </c>
      <c r="J821" s="12">
        <v>14449.279999999999</v>
      </c>
      <c r="K821">
        <f t="shared" si="36"/>
        <v>7</v>
      </c>
      <c r="L821">
        <f t="shared" si="37"/>
        <v>1</v>
      </c>
      <c r="M821">
        <f t="shared" si="38"/>
        <v>1</v>
      </c>
    </row>
    <row r="822" spans="1:13" x14ac:dyDescent="0.25">
      <c r="A822" s="2" t="s">
        <v>664</v>
      </c>
      <c r="B822" s="11" t="s">
        <v>821</v>
      </c>
      <c r="C822" s="11" t="s">
        <v>4</v>
      </c>
      <c r="D822" s="11" t="s">
        <v>822</v>
      </c>
      <c r="E822" s="11" t="s">
        <v>851</v>
      </c>
      <c r="F822" s="11" t="s">
        <v>852</v>
      </c>
      <c r="G822" s="12">
        <v>6</v>
      </c>
      <c r="H822" s="12">
        <v>71</v>
      </c>
      <c r="I822" s="12">
        <v>426</v>
      </c>
      <c r="J822" s="12">
        <v>14875.279999999999</v>
      </c>
      <c r="K822">
        <f t="shared" si="36"/>
        <v>5</v>
      </c>
      <c r="L822">
        <f t="shared" si="37"/>
        <v>1</v>
      </c>
      <c r="M822">
        <f t="shared" si="38"/>
        <v>1</v>
      </c>
    </row>
    <row r="823" spans="1:13" x14ac:dyDescent="0.25">
      <c r="A823" s="2" t="s">
        <v>664</v>
      </c>
      <c r="B823" s="11" t="s">
        <v>821</v>
      </c>
      <c r="C823" s="11" t="s">
        <v>4</v>
      </c>
      <c r="D823" s="11" t="s">
        <v>822</v>
      </c>
      <c r="E823" s="11" t="s">
        <v>853</v>
      </c>
      <c r="F823" s="11" t="s">
        <v>854</v>
      </c>
      <c r="G823" s="12">
        <v>6</v>
      </c>
      <c r="H823" s="12">
        <v>12</v>
      </c>
      <c r="I823" s="12">
        <v>72</v>
      </c>
      <c r="J823" s="12">
        <v>14947.279999999999</v>
      </c>
      <c r="K823">
        <f t="shared" si="36"/>
        <v>4</v>
      </c>
      <c r="L823">
        <f t="shared" si="37"/>
        <v>1</v>
      </c>
      <c r="M823">
        <f t="shared" si="38"/>
        <v>1</v>
      </c>
    </row>
    <row r="824" spans="1:13" x14ac:dyDescent="0.25">
      <c r="A824" s="2" t="s">
        <v>664</v>
      </c>
      <c r="B824" s="11" t="s">
        <v>821</v>
      </c>
      <c r="C824" s="11" t="s">
        <v>4</v>
      </c>
      <c r="D824" s="11" t="s">
        <v>822</v>
      </c>
      <c r="E824" s="11" t="s">
        <v>855</v>
      </c>
      <c r="F824" s="11" t="s">
        <v>856</v>
      </c>
      <c r="G824" s="12">
        <v>5</v>
      </c>
      <c r="H824" s="12">
        <v>12</v>
      </c>
      <c r="I824" s="12">
        <v>60</v>
      </c>
      <c r="J824" s="12">
        <v>15007.279999999999</v>
      </c>
      <c r="K824">
        <f t="shared" si="36"/>
        <v>4</v>
      </c>
      <c r="L824">
        <f t="shared" si="37"/>
        <v>1</v>
      </c>
      <c r="M824">
        <f t="shared" si="38"/>
        <v>1</v>
      </c>
    </row>
    <row r="825" spans="1:13" x14ac:dyDescent="0.25">
      <c r="A825" s="2" t="s">
        <v>664</v>
      </c>
      <c r="B825" s="11" t="s">
        <v>821</v>
      </c>
      <c r="C825" s="11" t="s">
        <v>4</v>
      </c>
      <c r="D825" s="11" t="s">
        <v>822</v>
      </c>
      <c r="E825" s="11" t="s">
        <v>756</v>
      </c>
      <c r="F825" s="11" t="s">
        <v>757</v>
      </c>
      <c r="G825" s="12">
        <v>6</v>
      </c>
      <c r="H825" s="12">
        <v>12</v>
      </c>
      <c r="I825" s="12">
        <v>72</v>
      </c>
      <c r="J825" s="12">
        <v>15079.279999999999</v>
      </c>
      <c r="K825">
        <f t="shared" si="36"/>
        <v>8</v>
      </c>
      <c r="L825">
        <f t="shared" si="37"/>
        <v>1</v>
      </c>
      <c r="M825">
        <f t="shared" si="38"/>
        <v>1</v>
      </c>
    </row>
    <row r="826" spans="1:13" x14ac:dyDescent="0.25">
      <c r="A826" s="2" t="s">
        <v>664</v>
      </c>
      <c r="B826" s="11" t="s">
        <v>821</v>
      </c>
      <c r="C826" s="11" t="s">
        <v>4</v>
      </c>
      <c r="D826" s="11" t="s">
        <v>822</v>
      </c>
      <c r="E826" s="11" t="s">
        <v>857</v>
      </c>
      <c r="F826" s="11" t="s">
        <v>858</v>
      </c>
      <c r="G826" s="12">
        <v>5</v>
      </c>
      <c r="H826" s="12">
        <v>12</v>
      </c>
      <c r="I826" s="12">
        <v>60</v>
      </c>
      <c r="J826" s="12">
        <v>15139.279999999999</v>
      </c>
      <c r="K826">
        <f t="shared" si="36"/>
        <v>3</v>
      </c>
      <c r="L826">
        <f t="shared" si="37"/>
        <v>1</v>
      </c>
      <c r="M826">
        <f t="shared" si="38"/>
        <v>1</v>
      </c>
    </row>
    <row r="827" spans="1:13" x14ac:dyDescent="0.25">
      <c r="A827" s="2" t="s">
        <v>664</v>
      </c>
      <c r="B827" s="11" t="s">
        <v>821</v>
      </c>
      <c r="C827" s="11" t="s">
        <v>4</v>
      </c>
      <c r="D827" s="11" t="s">
        <v>822</v>
      </c>
      <c r="E827" s="11" t="s">
        <v>784</v>
      </c>
      <c r="F827" s="11" t="s">
        <v>785</v>
      </c>
      <c r="G827" s="12">
        <v>6</v>
      </c>
      <c r="H827" s="12">
        <v>12</v>
      </c>
      <c r="I827" s="12">
        <v>72</v>
      </c>
      <c r="J827" s="12">
        <v>15211.279999999999</v>
      </c>
      <c r="K827">
        <f t="shared" si="36"/>
        <v>5</v>
      </c>
      <c r="L827">
        <f t="shared" si="37"/>
        <v>1</v>
      </c>
      <c r="M827">
        <f t="shared" si="38"/>
        <v>1</v>
      </c>
    </row>
    <row r="828" spans="1:13" x14ac:dyDescent="0.25">
      <c r="A828" s="2" t="s">
        <v>664</v>
      </c>
      <c r="B828" s="11" t="s">
        <v>821</v>
      </c>
      <c r="C828" s="11" t="s">
        <v>4</v>
      </c>
      <c r="D828" s="11" t="s">
        <v>822</v>
      </c>
      <c r="E828" s="11" t="s">
        <v>859</v>
      </c>
      <c r="F828" s="11" t="s">
        <v>860</v>
      </c>
      <c r="G828" s="12">
        <v>6</v>
      </c>
      <c r="H828" s="12">
        <v>42.5</v>
      </c>
      <c r="I828" s="12">
        <v>255</v>
      </c>
      <c r="J828" s="12">
        <v>15466.279999999999</v>
      </c>
      <c r="K828">
        <f t="shared" si="36"/>
        <v>4</v>
      </c>
      <c r="L828">
        <f t="shared" si="37"/>
        <v>1</v>
      </c>
      <c r="M828">
        <f t="shared" si="38"/>
        <v>1</v>
      </c>
    </row>
    <row r="829" spans="1:13" x14ac:dyDescent="0.25">
      <c r="A829" s="2" t="s">
        <v>664</v>
      </c>
      <c r="B829" s="11" t="s">
        <v>821</v>
      </c>
      <c r="C829" s="11" t="s">
        <v>4</v>
      </c>
      <c r="D829" s="11" t="s">
        <v>822</v>
      </c>
      <c r="E829" s="11" t="s">
        <v>861</v>
      </c>
      <c r="F829" s="11" t="s">
        <v>862</v>
      </c>
      <c r="G829" s="12">
        <v>5</v>
      </c>
      <c r="H829" s="12">
        <v>42.5</v>
      </c>
      <c r="I829" s="12">
        <v>212.5</v>
      </c>
      <c r="J829" s="12">
        <v>15678.779999999999</v>
      </c>
      <c r="K829">
        <f t="shared" si="36"/>
        <v>4</v>
      </c>
      <c r="L829">
        <f t="shared" si="37"/>
        <v>1</v>
      </c>
      <c r="M829">
        <f t="shared" si="38"/>
        <v>1</v>
      </c>
    </row>
    <row r="830" spans="1:13" x14ac:dyDescent="0.25">
      <c r="A830" s="2" t="s">
        <v>664</v>
      </c>
      <c r="B830" s="11" t="s">
        <v>821</v>
      </c>
      <c r="C830" s="11" t="s">
        <v>4</v>
      </c>
      <c r="D830" s="11" t="s">
        <v>822</v>
      </c>
      <c r="E830" s="11" t="s">
        <v>732</v>
      </c>
      <c r="F830" s="11" t="s">
        <v>733</v>
      </c>
      <c r="G830" s="12">
        <v>4</v>
      </c>
      <c r="H830" s="12">
        <v>11.88</v>
      </c>
      <c r="I830" s="12">
        <v>47.52</v>
      </c>
      <c r="J830" s="12">
        <v>15726.3</v>
      </c>
      <c r="K830">
        <f t="shared" si="36"/>
        <v>4</v>
      </c>
      <c r="L830">
        <f t="shared" si="37"/>
        <v>1</v>
      </c>
      <c r="M830">
        <f t="shared" si="38"/>
        <v>1</v>
      </c>
    </row>
    <row r="831" spans="1:13" x14ac:dyDescent="0.25">
      <c r="A831" s="2" t="s">
        <v>664</v>
      </c>
      <c r="B831" s="11" t="s">
        <v>821</v>
      </c>
      <c r="C831" s="11" t="s">
        <v>4</v>
      </c>
      <c r="D831" s="11" t="s">
        <v>822</v>
      </c>
      <c r="E831" s="11" t="s">
        <v>734</v>
      </c>
      <c r="F831" s="11" t="s">
        <v>735</v>
      </c>
      <c r="G831" s="12">
        <v>4</v>
      </c>
      <c r="H831" s="12">
        <v>11.88</v>
      </c>
      <c r="I831" s="12">
        <v>47.52</v>
      </c>
      <c r="J831" s="12">
        <v>15773.82</v>
      </c>
      <c r="K831">
        <f t="shared" si="36"/>
        <v>5</v>
      </c>
      <c r="L831">
        <f t="shared" si="37"/>
        <v>1</v>
      </c>
      <c r="M831">
        <f t="shared" si="38"/>
        <v>1</v>
      </c>
    </row>
    <row r="832" spans="1:13" x14ac:dyDescent="0.25">
      <c r="A832" s="2" t="s">
        <v>664</v>
      </c>
      <c r="B832" s="11" t="s">
        <v>821</v>
      </c>
      <c r="C832" s="11" t="s">
        <v>4</v>
      </c>
      <c r="D832" s="11" t="s">
        <v>822</v>
      </c>
      <c r="E832" s="11" t="s">
        <v>736</v>
      </c>
      <c r="F832" s="11" t="s">
        <v>737</v>
      </c>
      <c r="G832" s="12">
        <v>4</v>
      </c>
      <c r="H832" s="12">
        <v>8.48</v>
      </c>
      <c r="I832" s="12">
        <v>33.92</v>
      </c>
      <c r="J832" s="12">
        <v>15807.74</v>
      </c>
      <c r="K832">
        <f t="shared" si="36"/>
        <v>5</v>
      </c>
      <c r="L832">
        <f t="shared" si="37"/>
        <v>1</v>
      </c>
      <c r="M832">
        <f t="shared" si="38"/>
        <v>1</v>
      </c>
    </row>
    <row r="833" spans="1:13" x14ac:dyDescent="0.25">
      <c r="A833" s="2" t="s">
        <v>664</v>
      </c>
      <c r="B833" s="11" t="s">
        <v>821</v>
      </c>
      <c r="C833" s="11" t="s">
        <v>4</v>
      </c>
      <c r="D833" s="11" t="s">
        <v>822</v>
      </c>
      <c r="E833" s="11" t="s">
        <v>738</v>
      </c>
      <c r="F833" s="11" t="s">
        <v>738</v>
      </c>
      <c r="G833" s="12">
        <v>4</v>
      </c>
      <c r="H833" s="12">
        <v>8.48</v>
      </c>
      <c r="I833" s="12">
        <v>33.92</v>
      </c>
      <c r="J833" s="12">
        <v>15841.66</v>
      </c>
      <c r="K833">
        <f t="shared" si="36"/>
        <v>7</v>
      </c>
      <c r="L833">
        <f t="shared" si="37"/>
        <v>1</v>
      </c>
      <c r="M833">
        <f t="shared" si="38"/>
        <v>1</v>
      </c>
    </row>
    <row r="834" spans="1:13" x14ac:dyDescent="0.25">
      <c r="A834" s="2" t="s">
        <v>664</v>
      </c>
      <c r="B834" s="11" t="s">
        <v>821</v>
      </c>
      <c r="C834" s="11" t="s">
        <v>4</v>
      </c>
      <c r="D834" s="11" t="s">
        <v>822</v>
      </c>
      <c r="E834" s="11" t="s">
        <v>863</v>
      </c>
      <c r="F834" s="11" t="s">
        <v>864</v>
      </c>
      <c r="G834" s="12">
        <v>10</v>
      </c>
      <c r="H834" s="12">
        <v>49.08</v>
      </c>
      <c r="I834" s="12">
        <v>490.8</v>
      </c>
      <c r="J834" s="12">
        <v>16332.46</v>
      </c>
      <c r="K834">
        <f t="shared" si="36"/>
        <v>7</v>
      </c>
      <c r="L834">
        <f t="shared" si="37"/>
        <v>1</v>
      </c>
      <c r="M834">
        <f t="shared" si="38"/>
        <v>1</v>
      </c>
    </row>
    <row r="835" spans="1:13" x14ac:dyDescent="0.25">
      <c r="A835" s="2" t="s">
        <v>664</v>
      </c>
      <c r="B835" s="11" t="s">
        <v>821</v>
      </c>
      <c r="C835" s="11" t="s">
        <v>4</v>
      </c>
      <c r="D835" s="11" t="s">
        <v>822</v>
      </c>
      <c r="E835" s="11" t="s">
        <v>865</v>
      </c>
      <c r="F835" s="11" t="s">
        <v>865</v>
      </c>
      <c r="G835" s="12">
        <v>10</v>
      </c>
      <c r="H835" s="12">
        <v>49.08</v>
      </c>
      <c r="I835" s="12">
        <v>490.8</v>
      </c>
      <c r="J835" s="12">
        <v>16823.259999999998</v>
      </c>
      <c r="K835">
        <f t="shared" ref="K835:K898" si="39">COUNTIF($E$2:$E$1466,E835)</f>
        <v>7</v>
      </c>
      <c r="L835">
        <f t="shared" ref="L835:L898" si="40">IF(G835&gt;0,1,0)</f>
        <v>1</v>
      </c>
      <c r="M835">
        <f t="shared" ref="M835:M898" si="41">IF(H835&gt;0,1,0)</f>
        <v>1</v>
      </c>
    </row>
    <row r="836" spans="1:13" x14ac:dyDescent="0.25">
      <c r="A836" s="2" t="s">
        <v>664</v>
      </c>
      <c r="B836" s="11" t="s">
        <v>821</v>
      </c>
      <c r="C836" s="11" t="s">
        <v>4</v>
      </c>
      <c r="D836" s="11" t="s">
        <v>822</v>
      </c>
      <c r="E836" s="11" t="s">
        <v>866</v>
      </c>
      <c r="F836" s="11" t="s">
        <v>867</v>
      </c>
      <c r="G836" s="12">
        <v>8</v>
      </c>
      <c r="H836" s="12">
        <v>49.08</v>
      </c>
      <c r="I836" s="12">
        <v>392.64</v>
      </c>
      <c r="J836" s="12">
        <v>17215.899999999998</v>
      </c>
      <c r="K836">
        <f t="shared" si="39"/>
        <v>2</v>
      </c>
      <c r="L836">
        <f t="shared" si="40"/>
        <v>1</v>
      </c>
      <c r="M836">
        <f t="shared" si="41"/>
        <v>1</v>
      </c>
    </row>
    <row r="837" spans="1:13" x14ac:dyDescent="0.25">
      <c r="A837" s="2" t="s">
        <v>664</v>
      </c>
      <c r="B837" s="11" t="s">
        <v>821</v>
      </c>
      <c r="C837" s="11" t="s">
        <v>4</v>
      </c>
      <c r="D837" s="11" t="s">
        <v>822</v>
      </c>
      <c r="E837" s="11" t="s">
        <v>868</v>
      </c>
      <c r="F837" s="11" t="s">
        <v>869</v>
      </c>
      <c r="G837" s="12">
        <v>2</v>
      </c>
      <c r="H837" s="12">
        <v>25.5</v>
      </c>
      <c r="I837" s="12">
        <v>51</v>
      </c>
      <c r="J837" s="12">
        <v>17266.899999999998</v>
      </c>
      <c r="K837">
        <f t="shared" si="39"/>
        <v>5</v>
      </c>
      <c r="L837">
        <f t="shared" si="40"/>
        <v>1</v>
      </c>
      <c r="M837">
        <f t="shared" si="41"/>
        <v>1</v>
      </c>
    </row>
    <row r="838" spans="1:13" x14ac:dyDescent="0.25">
      <c r="A838" s="2" t="s">
        <v>664</v>
      </c>
      <c r="B838" s="11" t="s">
        <v>821</v>
      </c>
      <c r="C838" s="11" t="s">
        <v>4</v>
      </c>
      <c r="D838" s="11" t="s">
        <v>822</v>
      </c>
      <c r="E838" s="11" t="s">
        <v>870</v>
      </c>
      <c r="F838" s="11" t="s">
        <v>871</v>
      </c>
      <c r="G838" s="12">
        <v>2</v>
      </c>
      <c r="H838" s="12">
        <v>25.5</v>
      </c>
      <c r="I838" s="12">
        <v>51</v>
      </c>
      <c r="J838" s="12">
        <v>17317.899999999998</v>
      </c>
      <c r="K838">
        <f t="shared" si="39"/>
        <v>5</v>
      </c>
      <c r="L838">
        <f t="shared" si="40"/>
        <v>1</v>
      </c>
      <c r="M838">
        <f t="shared" si="41"/>
        <v>1</v>
      </c>
    </row>
    <row r="839" spans="1:13" x14ac:dyDescent="0.25">
      <c r="A839" s="2" t="s">
        <v>664</v>
      </c>
      <c r="B839" s="11" t="s">
        <v>821</v>
      </c>
      <c r="C839" s="11" t="s">
        <v>4</v>
      </c>
      <c r="D839" s="11" t="s">
        <v>822</v>
      </c>
      <c r="E839" s="11" t="s">
        <v>872</v>
      </c>
      <c r="F839" s="11" t="s">
        <v>873</v>
      </c>
      <c r="G839" s="12">
        <v>2</v>
      </c>
      <c r="H839" s="12">
        <v>25.5</v>
      </c>
      <c r="I839" s="12">
        <v>51</v>
      </c>
      <c r="J839" s="12">
        <v>17368.899999999998</v>
      </c>
      <c r="K839">
        <f t="shared" si="39"/>
        <v>6</v>
      </c>
      <c r="L839">
        <f t="shared" si="40"/>
        <v>1</v>
      </c>
      <c r="M839">
        <f t="shared" si="41"/>
        <v>1</v>
      </c>
    </row>
    <row r="840" spans="1:13" x14ac:dyDescent="0.25">
      <c r="A840" s="2" t="s">
        <v>664</v>
      </c>
      <c r="B840" s="11" t="s">
        <v>821</v>
      </c>
      <c r="C840" s="11" t="s">
        <v>4</v>
      </c>
      <c r="D840" s="11" t="s">
        <v>822</v>
      </c>
      <c r="E840" s="11" t="s">
        <v>874</v>
      </c>
      <c r="F840" s="11" t="s">
        <v>875</v>
      </c>
      <c r="G840" s="12">
        <v>2</v>
      </c>
      <c r="H840" s="12">
        <v>36.880000000000003</v>
      </c>
      <c r="I840" s="12">
        <v>73.760000000000005</v>
      </c>
      <c r="J840" s="12">
        <v>17442.659999999996</v>
      </c>
      <c r="K840">
        <f t="shared" si="39"/>
        <v>4</v>
      </c>
      <c r="L840">
        <f t="shared" si="40"/>
        <v>1</v>
      </c>
      <c r="M840">
        <f t="shared" si="41"/>
        <v>1</v>
      </c>
    </row>
    <row r="841" spans="1:13" x14ac:dyDescent="0.25">
      <c r="A841" s="2" t="s">
        <v>664</v>
      </c>
      <c r="B841" s="11" t="s">
        <v>821</v>
      </c>
      <c r="C841" s="11" t="s">
        <v>4</v>
      </c>
      <c r="D841" s="11" t="s">
        <v>822</v>
      </c>
      <c r="E841" s="11" t="s">
        <v>876</v>
      </c>
      <c r="F841" s="11" t="s">
        <v>877</v>
      </c>
      <c r="G841" s="12">
        <v>2</v>
      </c>
      <c r="H841" s="12">
        <v>36.880000000000003</v>
      </c>
      <c r="I841" s="12">
        <v>73.760000000000005</v>
      </c>
      <c r="J841" s="12">
        <v>17516.419999999995</v>
      </c>
      <c r="K841">
        <f t="shared" si="39"/>
        <v>3</v>
      </c>
      <c r="L841">
        <f t="shared" si="40"/>
        <v>1</v>
      </c>
      <c r="M841">
        <f t="shared" si="41"/>
        <v>1</v>
      </c>
    </row>
    <row r="842" spans="1:13" x14ac:dyDescent="0.25">
      <c r="A842" s="2" t="s">
        <v>664</v>
      </c>
      <c r="B842" s="11" t="s">
        <v>821</v>
      </c>
      <c r="C842" s="11" t="s">
        <v>4</v>
      </c>
      <c r="D842" s="11" t="s">
        <v>822</v>
      </c>
      <c r="E842" s="11" t="s">
        <v>741</v>
      </c>
      <c r="F842" s="11" t="s">
        <v>742</v>
      </c>
      <c r="G842" s="12">
        <v>6</v>
      </c>
      <c r="H842" s="12">
        <v>13.08</v>
      </c>
      <c r="I842" s="12">
        <v>78.48</v>
      </c>
      <c r="J842" s="12">
        <v>17594.899999999994</v>
      </c>
      <c r="K842">
        <f t="shared" si="39"/>
        <v>7</v>
      </c>
      <c r="L842">
        <f t="shared" si="40"/>
        <v>1</v>
      </c>
      <c r="M842">
        <f t="shared" si="41"/>
        <v>1</v>
      </c>
    </row>
    <row r="843" spans="1:13" x14ac:dyDescent="0.25">
      <c r="A843" s="2" t="s">
        <v>664</v>
      </c>
      <c r="B843" s="11" t="s">
        <v>821</v>
      </c>
      <c r="C843" s="11" t="s">
        <v>4</v>
      </c>
      <c r="D843" s="11" t="s">
        <v>822</v>
      </c>
      <c r="E843" s="11" t="s">
        <v>878</v>
      </c>
      <c r="F843" s="11" t="s">
        <v>879</v>
      </c>
      <c r="G843" s="12">
        <v>3</v>
      </c>
      <c r="H843" s="12">
        <v>13.08</v>
      </c>
      <c r="I843" s="12">
        <v>39.24</v>
      </c>
      <c r="J843" s="12">
        <v>17634.139999999996</v>
      </c>
      <c r="K843">
        <f t="shared" si="39"/>
        <v>5</v>
      </c>
      <c r="L843">
        <f t="shared" si="40"/>
        <v>1</v>
      </c>
      <c r="M843">
        <f t="shared" si="41"/>
        <v>1</v>
      </c>
    </row>
    <row r="844" spans="1:13" x14ac:dyDescent="0.25">
      <c r="A844" s="2" t="s">
        <v>664</v>
      </c>
      <c r="B844" s="11" t="s">
        <v>821</v>
      </c>
      <c r="C844" s="11" t="s">
        <v>4</v>
      </c>
      <c r="D844" s="11" t="s">
        <v>822</v>
      </c>
      <c r="E844" s="11" t="s">
        <v>880</v>
      </c>
      <c r="F844" s="11" t="s">
        <v>881</v>
      </c>
      <c r="G844" s="12">
        <v>4</v>
      </c>
      <c r="H844" s="12">
        <v>13.08</v>
      </c>
      <c r="I844" s="12">
        <v>52.32</v>
      </c>
      <c r="J844" s="12">
        <v>17686.459999999995</v>
      </c>
      <c r="K844">
        <f t="shared" si="39"/>
        <v>6</v>
      </c>
      <c r="L844">
        <f t="shared" si="40"/>
        <v>1</v>
      </c>
      <c r="M844">
        <f t="shared" si="41"/>
        <v>1</v>
      </c>
    </row>
    <row r="845" spans="1:13" x14ac:dyDescent="0.25">
      <c r="A845" s="2" t="s">
        <v>664</v>
      </c>
      <c r="B845" s="11" t="s">
        <v>821</v>
      </c>
      <c r="C845" s="11" t="s">
        <v>4</v>
      </c>
      <c r="D845" s="11" t="s">
        <v>822</v>
      </c>
      <c r="E845" s="11" t="s">
        <v>882</v>
      </c>
      <c r="F845" s="11" t="s">
        <v>883</v>
      </c>
      <c r="G845" s="12">
        <v>8</v>
      </c>
      <c r="H845" s="12">
        <v>13.08</v>
      </c>
      <c r="I845" s="12">
        <v>104.64</v>
      </c>
      <c r="J845" s="12">
        <v>17791.099999999995</v>
      </c>
      <c r="K845">
        <f t="shared" si="39"/>
        <v>5</v>
      </c>
      <c r="L845">
        <f t="shared" si="40"/>
        <v>1</v>
      </c>
      <c r="M845">
        <f t="shared" si="41"/>
        <v>1</v>
      </c>
    </row>
    <row r="846" spans="1:13" x14ac:dyDescent="0.25">
      <c r="A846" s="2" t="s">
        <v>664</v>
      </c>
      <c r="B846" s="11" t="s">
        <v>821</v>
      </c>
      <c r="C846" s="11" t="s">
        <v>4</v>
      </c>
      <c r="D846" s="11" t="s">
        <v>822</v>
      </c>
      <c r="E846" s="11" t="s">
        <v>786</v>
      </c>
      <c r="F846" s="11" t="s">
        <v>884</v>
      </c>
      <c r="G846" s="12">
        <v>3</v>
      </c>
      <c r="H846" s="12">
        <v>21.36</v>
      </c>
      <c r="I846" s="12">
        <v>64.08</v>
      </c>
      <c r="J846" s="12">
        <v>17855.179999999997</v>
      </c>
      <c r="K846">
        <f t="shared" si="39"/>
        <v>8</v>
      </c>
      <c r="L846">
        <f t="shared" si="40"/>
        <v>1</v>
      </c>
      <c r="M846">
        <f t="shared" si="41"/>
        <v>1</v>
      </c>
    </row>
    <row r="847" spans="1:13" x14ac:dyDescent="0.25">
      <c r="A847" s="2" t="s">
        <v>664</v>
      </c>
      <c r="B847" s="11" t="s">
        <v>821</v>
      </c>
      <c r="C847" s="11" t="s">
        <v>4</v>
      </c>
      <c r="D847" s="11" t="s">
        <v>822</v>
      </c>
      <c r="E847" s="11" t="s">
        <v>788</v>
      </c>
      <c r="F847" s="11" t="s">
        <v>789</v>
      </c>
      <c r="G847" s="12">
        <v>12</v>
      </c>
      <c r="H847" s="12">
        <v>12</v>
      </c>
      <c r="I847" s="12">
        <v>144</v>
      </c>
      <c r="J847" s="12">
        <v>17999.179999999997</v>
      </c>
      <c r="K847">
        <f t="shared" si="39"/>
        <v>6</v>
      </c>
      <c r="L847">
        <f t="shared" si="40"/>
        <v>1</v>
      </c>
      <c r="M847">
        <f t="shared" si="41"/>
        <v>1</v>
      </c>
    </row>
    <row r="848" spans="1:13" x14ac:dyDescent="0.25">
      <c r="A848" s="2" t="s">
        <v>664</v>
      </c>
      <c r="B848" s="11" t="s">
        <v>821</v>
      </c>
      <c r="C848" s="11" t="s">
        <v>4</v>
      </c>
      <c r="D848" s="11" t="s">
        <v>822</v>
      </c>
      <c r="E848" s="11" t="s">
        <v>885</v>
      </c>
      <c r="F848" s="11" t="s">
        <v>886</v>
      </c>
      <c r="G848" s="12">
        <v>5</v>
      </c>
      <c r="H848" s="12">
        <v>9</v>
      </c>
      <c r="I848" s="12">
        <v>45</v>
      </c>
      <c r="J848" s="12">
        <v>18044.179999999997</v>
      </c>
      <c r="K848">
        <f t="shared" si="39"/>
        <v>4</v>
      </c>
      <c r="L848">
        <f t="shared" si="40"/>
        <v>1</v>
      </c>
      <c r="M848">
        <f t="shared" si="41"/>
        <v>1</v>
      </c>
    </row>
    <row r="849" spans="1:13" x14ac:dyDescent="0.25">
      <c r="A849" s="2" t="s">
        <v>664</v>
      </c>
      <c r="B849" s="11" t="s">
        <v>821</v>
      </c>
      <c r="C849" s="11" t="s">
        <v>4</v>
      </c>
      <c r="D849" s="11" t="s">
        <v>822</v>
      </c>
      <c r="E849" s="11" t="s">
        <v>887</v>
      </c>
      <c r="F849" s="11" t="s">
        <v>888</v>
      </c>
      <c r="G849" s="12">
        <v>5</v>
      </c>
      <c r="H849" s="12">
        <v>12</v>
      </c>
      <c r="I849" s="12">
        <v>60</v>
      </c>
      <c r="J849" s="12">
        <v>18104.179999999997</v>
      </c>
      <c r="K849">
        <f t="shared" si="39"/>
        <v>3</v>
      </c>
      <c r="L849">
        <f t="shared" si="40"/>
        <v>1</v>
      </c>
      <c r="M849">
        <f t="shared" si="41"/>
        <v>1</v>
      </c>
    </row>
    <row r="850" spans="1:13" x14ac:dyDescent="0.25">
      <c r="A850" s="2" t="s">
        <v>664</v>
      </c>
      <c r="B850" s="11" t="s">
        <v>821</v>
      </c>
      <c r="C850" s="11" t="s">
        <v>4</v>
      </c>
      <c r="D850" s="11" t="s">
        <v>822</v>
      </c>
      <c r="E850" s="11" t="s">
        <v>889</v>
      </c>
      <c r="F850" s="11" t="s">
        <v>890</v>
      </c>
      <c r="G850" s="12">
        <v>8</v>
      </c>
      <c r="H850" s="12">
        <v>12</v>
      </c>
      <c r="I850" s="12">
        <v>96</v>
      </c>
      <c r="J850" s="12">
        <v>18200.179999999997</v>
      </c>
      <c r="K850">
        <f t="shared" si="39"/>
        <v>3</v>
      </c>
      <c r="L850">
        <f t="shared" si="40"/>
        <v>1</v>
      </c>
      <c r="M850">
        <f t="shared" si="41"/>
        <v>1</v>
      </c>
    </row>
    <row r="851" spans="1:13" x14ac:dyDescent="0.25">
      <c r="A851" s="2" t="s">
        <v>664</v>
      </c>
      <c r="B851" s="11" t="s">
        <v>821</v>
      </c>
      <c r="C851" s="11" t="s">
        <v>4</v>
      </c>
      <c r="D851" s="11" t="s">
        <v>822</v>
      </c>
      <c r="E851" s="11" t="s">
        <v>891</v>
      </c>
      <c r="F851" s="11" t="s">
        <v>892</v>
      </c>
      <c r="G851" s="12">
        <v>4</v>
      </c>
      <c r="H851" s="12">
        <v>13</v>
      </c>
      <c r="I851" s="12">
        <v>52</v>
      </c>
      <c r="J851" s="12">
        <v>18252.179999999997</v>
      </c>
      <c r="K851">
        <f t="shared" si="39"/>
        <v>4</v>
      </c>
      <c r="L851">
        <f t="shared" si="40"/>
        <v>1</v>
      </c>
      <c r="M851">
        <f t="shared" si="41"/>
        <v>1</v>
      </c>
    </row>
    <row r="852" spans="1:13" x14ac:dyDescent="0.25">
      <c r="A852" s="2" t="s">
        <v>664</v>
      </c>
      <c r="B852" s="11" t="s">
        <v>821</v>
      </c>
      <c r="C852" s="11" t="s">
        <v>4</v>
      </c>
      <c r="D852" s="11" t="s">
        <v>822</v>
      </c>
      <c r="E852" s="11" t="s">
        <v>893</v>
      </c>
      <c r="F852" s="11" t="s">
        <v>894</v>
      </c>
      <c r="G852" s="12">
        <v>3</v>
      </c>
      <c r="H852" s="12">
        <v>12</v>
      </c>
      <c r="I852" s="12">
        <v>36</v>
      </c>
      <c r="J852" s="12">
        <v>18288.179999999997</v>
      </c>
      <c r="K852">
        <f t="shared" si="39"/>
        <v>5</v>
      </c>
      <c r="L852">
        <f t="shared" si="40"/>
        <v>1</v>
      </c>
      <c r="M852">
        <f t="shared" si="41"/>
        <v>1</v>
      </c>
    </row>
    <row r="853" spans="1:13" x14ac:dyDescent="0.25">
      <c r="A853" s="2" t="s">
        <v>664</v>
      </c>
      <c r="B853" s="11" t="s">
        <v>821</v>
      </c>
      <c r="C853" s="11" t="s">
        <v>4</v>
      </c>
      <c r="D853" s="11" t="s">
        <v>822</v>
      </c>
      <c r="E853" s="11" t="s">
        <v>895</v>
      </c>
      <c r="F853" s="11" t="s">
        <v>896</v>
      </c>
      <c r="G853" s="12">
        <v>3</v>
      </c>
      <c r="H853" s="12">
        <v>12</v>
      </c>
      <c r="I853" s="12">
        <v>36</v>
      </c>
      <c r="J853" s="12">
        <v>18324.179999999997</v>
      </c>
      <c r="K853">
        <f t="shared" si="39"/>
        <v>4</v>
      </c>
      <c r="L853">
        <f t="shared" si="40"/>
        <v>1</v>
      </c>
      <c r="M853">
        <f t="shared" si="41"/>
        <v>1</v>
      </c>
    </row>
    <row r="854" spans="1:13" x14ac:dyDescent="0.25">
      <c r="A854" s="2" t="s">
        <v>664</v>
      </c>
      <c r="B854" s="11" t="s">
        <v>821</v>
      </c>
      <c r="C854" s="11" t="s">
        <v>4</v>
      </c>
      <c r="D854" s="11" t="s">
        <v>822</v>
      </c>
      <c r="E854" s="11" t="s">
        <v>897</v>
      </c>
      <c r="F854" s="11" t="s">
        <v>898</v>
      </c>
      <c r="G854" s="12">
        <v>3</v>
      </c>
      <c r="H854" s="12">
        <v>13.08</v>
      </c>
      <c r="I854" s="12">
        <v>39.24</v>
      </c>
      <c r="J854" s="12">
        <v>18363.419999999998</v>
      </c>
      <c r="K854">
        <f t="shared" si="39"/>
        <v>3</v>
      </c>
      <c r="L854">
        <f t="shared" si="40"/>
        <v>1</v>
      </c>
      <c r="M854">
        <f t="shared" si="41"/>
        <v>1</v>
      </c>
    </row>
    <row r="855" spans="1:13" x14ac:dyDescent="0.25">
      <c r="A855" s="2" t="s">
        <v>664</v>
      </c>
      <c r="B855" s="11" t="s">
        <v>821</v>
      </c>
      <c r="C855" s="11" t="s">
        <v>4</v>
      </c>
      <c r="D855" s="11" t="s">
        <v>822</v>
      </c>
      <c r="E855" s="11" t="s">
        <v>899</v>
      </c>
      <c r="F855" s="11" t="s">
        <v>900</v>
      </c>
      <c r="G855" s="12">
        <v>3</v>
      </c>
      <c r="H855" s="12">
        <v>13.08</v>
      </c>
      <c r="I855" s="12">
        <v>39.24</v>
      </c>
      <c r="J855" s="12">
        <v>18402.66</v>
      </c>
      <c r="K855">
        <f t="shared" si="39"/>
        <v>2</v>
      </c>
      <c r="L855">
        <f t="shared" si="40"/>
        <v>1</v>
      </c>
      <c r="M855">
        <f t="shared" si="41"/>
        <v>1</v>
      </c>
    </row>
    <row r="856" spans="1:13" x14ac:dyDescent="0.25">
      <c r="A856" s="2" t="s">
        <v>664</v>
      </c>
      <c r="B856" s="11" t="s">
        <v>821</v>
      </c>
      <c r="C856" s="11" t="s">
        <v>4</v>
      </c>
      <c r="D856" s="11" t="s">
        <v>822</v>
      </c>
      <c r="E856" s="11" t="s">
        <v>561</v>
      </c>
      <c r="F856" s="11" t="s">
        <v>901</v>
      </c>
      <c r="G856" s="12">
        <v>3</v>
      </c>
      <c r="H856" s="12">
        <v>35.94</v>
      </c>
      <c r="I856" s="12">
        <v>107.82</v>
      </c>
      <c r="J856" s="12">
        <v>18510.48</v>
      </c>
      <c r="K856">
        <f t="shared" si="39"/>
        <v>8</v>
      </c>
      <c r="L856">
        <f t="shared" si="40"/>
        <v>1</v>
      </c>
      <c r="M856">
        <f t="shared" si="41"/>
        <v>1</v>
      </c>
    </row>
    <row r="857" spans="1:13" x14ac:dyDescent="0.25">
      <c r="A857" s="2" t="s">
        <v>664</v>
      </c>
      <c r="B857" s="11" t="s">
        <v>821</v>
      </c>
      <c r="C857" s="11" t="s">
        <v>4</v>
      </c>
      <c r="D857" s="11" t="s">
        <v>822</v>
      </c>
      <c r="E857" s="11" t="s">
        <v>62</v>
      </c>
      <c r="F857" s="11" t="s">
        <v>790</v>
      </c>
      <c r="G857" s="12">
        <v>12</v>
      </c>
      <c r="H857" s="12">
        <v>12.8</v>
      </c>
      <c r="I857" s="12">
        <v>153.6</v>
      </c>
      <c r="J857" s="12">
        <v>18664.079999999998</v>
      </c>
      <c r="K857">
        <f t="shared" si="39"/>
        <v>8</v>
      </c>
      <c r="L857">
        <f t="shared" si="40"/>
        <v>1</v>
      </c>
      <c r="M857">
        <f t="shared" si="41"/>
        <v>1</v>
      </c>
    </row>
    <row r="858" spans="1:13" x14ac:dyDescent="0.25">
      <c r="A858" s="2" t="s">
        <v>664</v>
      </c>
      <c r="B858" s="11" t="s">
        <v>821</v>
      </c>
      <c r="C858" s="11" t="s">
        <v>4</v>
      </c>
      <c r="D858" s="11" t="s">
        <v>822</v>
      </c>
      <c r="E858" s="11" t="s">
        <v>56</v>
      </c>
      <c r="F858" s="11" t="s">
        <v>791</v>
      </c>
      <c r="G858" s="12">
        <v>12</v>
      </c>
      <c r="H858" s="12">
        <v>47.76</v>
      </c>
      <c r="I858" s="12">
        <v>573.12</v>
      </c>
      <c r="J858" s="12">
        <v>19237.199999999997</v>
      </c>
      <c r="K858">
        <f t="shared" si="39"/>
        <v>9</v>
      </c>
      <c r="L858">
        <f t="shared" si="40"/>
        <v>1</v>
      </c>
      <c r="M858">
        <f t="shared" si="41"/>
        <v>1</v>
      </c>
    </row>
    <row r="859" spans="1:13" x14ac:dyDescent="0.25">
      <c r="A859" s="2" t="s">
        <v>664</v>
      </c>
      <c r="B859" s="11" t="s">
        <v>821</v>
      </c>
      <c r="C859" s="11" t="s">
        <v>4</v>
      </c>
      <c r="D859" s="11" t="s">
        <v>822</v>
      </c>
      <c r="E859" s="11" t="s">
        <v>58</v>
      </c>
      <c r="F859" s="11" t="s">
        <v>792</v>
      </c>
      <c r="G859" s="12">
        <v>8</v>
      </c>
      <c r="H859" s="12">
        <v>53.64</v>
      </c>
      <c r="I859" s="12">
        <v>429.12</v>
      </c>
      <c r="J859" s="12">
        <v>19666.319999999996</v>
      </c>
      <c r="K859">
        <f t="shared" si="39"/>
        <v>9</v>
      </c>
      <c r="L859">
        <f t="shared" si="40"/>
        <v>1</v>
      </c>
      <c r="M859">
        <f t="shared" si="41"/>
        <v>1</v>
      </c>
    </row>
    <row r="860" spans="1:13" x14ac:dyDescent="0.25">
      <c r="A860" s="2" t="s">
        <v>664</v>
      </c>
      <c r="B860" s="11" t="s">
        <v>821</v>
      </c>
      <c r="C860" s="11" t="s">
        <v>4</v>
      </c>
      <c r="D860" s="11" t="s">
        <v>822</v>
      </c>
      <c r="E860" s="11" t="s">
        <v>84</v>
      </c>
      <c r="F860" s="11" t="s">
        <v>793</v>
      </c>
      <c r="G860" s="12">
        <v>12</v>
      </c>
      <c r="H860" s="12">
        <v>46.44</v>
      </c>
      <c r="I860" s="12">
        <v>557.28</v>
      </c>
      <c r="J860" s="12">
        <v>20223.599999999995</v>
      </c>
      <c r="K860">
        <f t="shared" si="39"/>
        <v>5</v>
      </c>
      <c r="L860">
        <f t="shared" si="40"/>
        <v>1</v>
      </c>
      <c r="M860">
        <f t="shared" si="41"/>
        <v>1</v>
      </c>
    </row>
    <row r="861" spans="1:13" x14ac:dyDescent="0.25">
      <c r="A861" s="2" t="s">
        <v>664</v>
      </c>
      <c r="B861" s="11" t="s">
        <v>821</v>
      </c>
      <c r="C861" s="11" t="s">
        <v>4</v>
      </c>
      <c r="D861" s="11" t="s">
        <v>822</v>
      </c>
      <c r="E861" s="11" t="s">
        <v>64</v>
      </c>
      <c r="F861" s="11" t="s">
        <v>794</v>
      </c>
      <c r="G861" s="12">
        <v>5</v>
      </c>
      <c r="H861" s="12">
        <v>47.56</v>
      </c>
      <c r="I861" s="12">
        <v>237.8</v>
      </c>
      <c r="J861" s="12">
        <v>20461.399999999994</v>
      </c>
      <c r="K861">
        <f t="shared" si="39"/>
        <v>6</v>
      </c>
      <c r="L861">
        <f t="shared" si="40"/>
        <v>1</v>
      </c>
      <c r="M861">
        <f t="shared" si="41"/>
        <v>1</v>
      </c>
    </row>
    <row r="862" spans="1:13" x14ac:dyDescent="0.25">
      <c r="A862" s="2" t="s">
        <v>664</v>
      </c>
      <c r="B862" s="11" t="s">
        <v>821</v>
      </c>
      <c r="C862" s="11" t="s">
        <v>4</v>
      </c>
      <c r="D862" s="11" t="s">
        <v>822</v>
      </c>
      <c r="E862" s="11" t="s">
        <v>902</v>
      </c>
      <c r="F862" s="11" t="s">
        <v>903</v>
      </c>
      <c r="G862" s="12">
        <v>5</v>
      </c>
      <c r="H862" s="12">
        <v>67.98</v>
      </c>
      <c r="I862" s="12">
        <v>339.9</v>
      </c>
      <c r="J862" s="12">
        <v>20801.299999999996</v>
      </c>
      <c r="K862">
        <f t="shared" si="39"/>
        <v>4</v>
      </c>
      <c r="L862">
        <f t="shared" si="40"/>
        <v>1</v>
      </c>
      <c r="M862">
        <f t="shared" si="41"/>
        <v>1</v>
      </c>
    </row>
    <row r="863" spans="1:13" x14ac:dyDescent="0.25">
      <c r="A863" s="2" t="s">
        <v>664</v>
      </c>
      <c r="B863" s="11" t="s">
        <v>821</v>
      </c>
      <c r="C863" s="11" t="s">
        <v>4</v>
      </c>
      <c r="D863" s="11" t="s">
        <v>822</v>
      </c>
      <c r="E863" s="11" t="s">
        <v>743</v>
      </c>
      <c r="F863" s="11" t="s">
        <v>744</v>
      </c>
      <c r="G863" s="12">
        <v>6</v>
      </c>
      <c r="H863" s="12">
        <v>60</v>
      </c>
      <c r="I863" s="12">
        <v>360</v>
      </c>
      <c r="J863" s="12">
        <v>21161.299999999996</v>
      </c>
      <c r="K863">
        <f t="shared" si="39"/>
        <v>5</v>
      </c>
      <c r="L863">
        <f t="shared" si="40"/>
        <v>1</v>
      </c>
      <c r="M863">
        <f t="shared" si="41"/>
        <v>1</v>
      </c>
    </row>
    <row r="864" spans="1:13" x14ac:dyDescent="0.25">
      <c r="A864" s="2" t="s">
        <v>664</v>
      </c>
      <c r="B864" s="11" t="s">
        <v>821</v>
      </c>
      <c r="C864" s="11" t="s">
        <v>4</v>
      </c>
      <c r="D864" s="11" t="s">
        <v>822</v>
      </c>
      <c r="E864" s="11" t="s">
        <v>745</v>
      </c>
      <c r="F864" s="11" t="s">
        <v>745</v>
      </c>
      <c r="G864" s="12">
        <v>6</v>
      </c>
      <c r="H864" s="12">
        <v>60</v>
      </c>
      <c r="I864" s="12">
        <v>360</v>
      </c>
      <c r="J864" s="12">
        <v>21521.299999999996</v>
      </c>
      <c r="K864">
        <f t="shared" si="39"/>
        <v>5</v>
      </c>
      <c r="L864">
        <f t="shared" si="40"/>
        <v>1</v>
      </c>
      <c r="M864">
        <f t="shared" si="41"/>
        <v>1</v>
      </c>
    </row>
    <row r="865" spans="1:13" x14ac:dyDescent="0.25">
      <c r="A865" s="2" t="s">
        <v>664</v>
      </c>
      <c r="B865" s="11" t="s">
        <v>821</v>
      </c>
      <c r="C865" s="11" t="s">
        <v>4</v>
      </c>
      <c r="D865" s="11" t="s">
        <v>822</v>
      </c>
      <c r="E865" s="11" t="s">
        <v>904</v>
      </c>
      <c r="F865" s="11" t="s">
        <v>905</v>
      </c>
      <c r="G865" s="12">
        <v>5</v>
      </c>
      <c r="H865" s="12">
        <v>27</v>
      </c>
      <c r="I865" s="12">
        <v>135</v>
      </c>
      <c r="J865" s="12">
        <v>21656.299999999996</v>
      </c>
      <c r="K865">
        <f t="shared" si="39"/>
        <v>5</v>
      </c>
      <c r="L865">
        <f t="shared" si="40"/>
        <v>1</v>
      </c>
      <c r="M865">
        <f t="shared" si="41"/>
        <v>1</v>
      </c>
    </row>
    <row r="866" spans="1:13" x14ac:dyDescent="0.25">
      <c r="A866" s="2" t="s">
        <v>664</v>
      </c>
      <c r="B866" s="11" t="s">
        <v>821</v>
      </c>
      <c r="C866" s="11" t="s">
        <v>4</v>
      </c>
      <c r="D866" s="11" t="s">
        <v>822</v>
      </c>
      <c r="E866" s="11" t="s">
        <v>906</v>
      </c>
      <c r="F866" s="11" t="s">
        <v>907</v>
      </c>
      <c r="G866" s="12">
        <v>2</v>
      </c>
      <c r="H866" s="12">
        <v>34.68</v>
      </c>
      <c r="I866" s="12">
        <v>69.36</v>
      </c>
      <c r="J866" s="12">
        <v>21725.659999999996</v>
      </c>
      <c r="K866">
        <f t="shared" si="39"/>
        <v>1</v>
      </c>
      <c r="L866">
        <f t="shared" si="40"/>
        <v>1</v>
      </c>
      <c r="M866">
        <f t="shared" si="41"/>
        <v>1</v>
      </c>
    </row>
    <row r="867" spans="1:13" x14ac:dyDescent="0.25">
      <c r="A867" s="2" t="s">
        <v>664</v>
      </c>
      <c r="B867" s="11" t="s">
        <v>821</v>
      </c>
      <c r="C867" s="11" t="s">
        <v>4</v>
      </c>
      <c r="D867" s="11" t="s">
        <v>822</v>
      </c>
      <c r="E867" s="11" t="s">
        <v>908</v>
      </c>
      <c r="F867" s="11" t="s">
        <v>909</v>
      </c>
      <c r="G867" s="12">
        <v>2</v>
      </c>
      <c r="H867" s="12">
        <v>34.68</v>
      </c>
      <c r="I867" s="12">
        <v>69.36</v>
      </c>
      <c r="J867" s="12">
        <v>21795.019999999997</v>
      </c>
      <c r="K867">
        <f t="shared" si="39"/>
        <v>2</v>
      </c>
      <c r="L867">
        <f t="shared" si="40"/>
        <v>1</v>
      </c>
      <c r="M867">
        <f t="shared" si="41"/>
        <v>1</v>
      </c>
    </row>
    <row r="868" spans="1:13" x14ac:dyDescent="0.25">
      <c r="A868" s="2" t="s">
        <v>664</v>
      </c>
      <c r="B868" s="11" t="s">
        <v>821</v>
      </c>
      <c r="C868" s="11" t="s">
        <v>4</v>
      </c>
      <c r="D868" s="11" t="s">
        <v>822</v>
      </c>
      <c r="E868" s="11" t="s">
        <v>910</v>
      </c>
      <c r="F868" s="11" t="s">
        <v>911</v>
      </c>
      <c r="G868" s="12">
        <v>5</v>
      </c>
      <c r="H868" s="12">
        <v>39.479999999999997</v>
      </c>
      <c r="I868" s="12">
        <v>197.4</v>
      </c>
      <c r="J868" s="12">
        <v>21992.42</v>
      </c>
      <c r="K868">
        <f t="shared" si="39"/>
        <v>6</v>
      </c>
      <c r="L868">
        <f t="shared" si="40"/>
        <v>1</v>
      </c>
      <c r="M868">
        <f t="shared" si="41"/>
        <v>1</v>
      </c>
    </row>
    <row r="869" spans="1:13" x14ac:dyDescent="0.25">
      <c r="A869" s="2" t="s">
        <v>664</v>
      </c>
      <c r="B869" s="11" t="s">
        <v>821</v>
      </c>
      <c r="C869" s="11" t="s">
        <v>4</v>
      </c>
      <c r="D869" s="11" t="s">
        <v>822</v>
      </c>
      <c r="E869" s="11" t="s">
        <v>912</v>
      </c>
      <c r="F869" s="11" t="s">
        <v>913</v>
      </c>
      <c r="G869" s="12">
        <v>2</v>
      </c>
      <c r="H869" s="12">
        <v>39.479999999999997</v>
      </c>
      <c r="I869" s="12">
        <v>78.959999999999994</v>
      </c>
      <c r="J869" s="12">
        <v>22071.379999999997</v>
      </c>
      <c r="K869">
        <f t="shared" si="39"/>
        <v>1</v>
      </c>
      <c r="L869">
        <f t="shared" si="40"/>
        <v>1</v>
      </c>
      <c r="M869">
        <f t="shared" si="41"/>
        <v>1</v>
      </c>
    </row>
    <row r="870" spans="1:13" x14ac:dyDescent="0.25">
      <c r="A870" s="2" t="s">
        <v>664</v>
      </c>
      <c r="B870" s="11" t="s">
        <v>821</v>
      </c>
      <c r="C870" s="11" t="s">
        <v>4</v>
      </c>
      <c r="D870" s="11" t="s">
        <v>822</v>
      </c>
      <c r="E870" s="11" t="s">
        <v>914</v>
      </c>
      <c r="F870" s="11" t="s">
        <v>915</v>
      </c>
      <c r="G870" s="12">
        <v>1</v>
      </c>
      <c r="H870" s="12">
        <v>46.68</v>
      </c>
      <c r="I870" s="12">
        <v>46.68</v>
      </c>
      <c r="J870" s="12">
        <v>22118.059999999998</v>
      </c>
      <c r="K870">
        <f t="shared" si="39"/>
        <v>5</v>
      </c>
      <c r="L870">
        <f t="shared" si="40"/>
        <v>1</v>
      </c>
      <c r="M870">
        <f t="shared" si="41"/>
        <v>1</v>
      </c>
    </row>
    <row r="871" spans="1:13" x14ac:dyDescent="0.25">
      <c r="A871" s="2" t="s">
        <v>664</v>
      </c>
      <c r="B871" s="11" t="s">
        <v>821</v>
      </c>
      <c r="C871" s="11" t="s">
        <v>4</v>
      </c>
      <c r="D871" s="11" t="s">
        <v>822</v>
      </c>
      <c r="E871" s="11" t="s">
        <v>916</v>
      </c>
      <c r="F871" s="11" t="s">
        <v>917</v>
      </c>
      <c r="G871" s="12">
        <v>2</v>
      </c>
      <c r="H871" s="12">
        <v>42.96</v>
      </c>
      <c r="I871" s="12">
        <v>85.92</v>
      </c>
      <c r="J871" s="12">
        <v>22203.979999999996</v>
      </c>
      <c r="K871">
        <f t="shared" si="39"/>
        <v>2</v>
      </c>
      <c r="L871">
        <f t="shared" si="40"/>
        <v>1</v>
      </c>
      <c r="M871">
        <f t="shared" si="41"/>
        <v>1</v>
      </c>
    </row>
    <row r="872" spans="1:13" x14ac:dyDescent="0.25">
      <c r="A872" s="2" t="s">
        <v>664</v>
      </c>
      <c r="B872" s="11" t="s">
        <v>821</v>
      </c>
      <c r="C872" s="11" t="s">
        <v>4</v>
      </c>
      <c r="D872" s="11" t="s">
        <v>822</v>
      </c>
      <c r="E872" s="11" t="s">
        <v>918</v>
      </c>
      <c r="F872" s="11" t="s">
        <v>919</v>
      </c>
      <c r="G872" s="12">
        <v>2</v>
      </c>
      <c r="H872" s="12">
        <v>33.479999999999997</v>
      </c>
      <c r="I872" s="12">
        <v>66.959999999999994</v>
      </c>
      <c r="J872" s="12">
        <v>22270.939999999995</v>
      </c>
      <c r="K872">
        <f t="shared" si="39"/>
        <v>2</v>
      </c>
      <c r="L872">
        <f t="shared" si="40"/>
        <v>1</v>
      </c>
      <c r="M872">
        <f t="shared" si="41"/>
        <v>1</v>
      </c>
    </row>
    <row r="873" spans="1:13" x14ac:dyDescent="0.25">
      <c r="A873" s="2" t="s">
        <v>664</v>
      </c>
      <c r="B873" s="11" t="s">
        <v>821</v>
      </c>
      <c r="C873" s="11" t="s">
        <v>4</v>
      </c>
      <c r="D873" s="11" t="s">
        <v>822</v>
      </c>
      <c r="E873" s="11" t="s">
        <v>920</v>
      </c>
      <c r="F873" s="11" t="s">
        <v>921</v>
      </c>
      <c r="G873" s="12">
        <v>1</v>
      </c>
      <c r="H873" s="12">
        <v>32.15</v>
      </c>
      <c r="I873" s="12">
        <v>32.15</v>
      </c>
      <c r="J873" s="12">
        <v>22303.089999999997</v>
      </c>
      <c r="K873">
        <f t="shared" si="39"/>
        <v>3</v>
      </c>
      <c r="L873">
        <f t="shared" si="40"/>
        <v>1</v>
      </c>
      <c r="M873">
        <f t="shared" si="41"/>
        <v>1</v>
      </c>
    </row>
    <row r="874" spans="1:13" x14ac:dyDescent="0.25">
      <c r="A874" s="2" t="s">
        <v>664</v>
      </c>
      <c r="B874" s="11" t="s">
        <v>821</v>
      </c>
      <c r="C874" s="11" t="s">
        <v>4</v>
      </c>
      <c r="D874" s="11" t="s">
        <v>822</v>
      </c>
      <c r="E874" s="11" t="s">
        <v>922</v>
      </c>
      <c r="F874" s="11" t="s">
        <v>923</v>
      </c>
      <c r="G874" s="12">
        <v>1</v>
      </c>
      <c r="H874" s="12">
        <v>32.15</v>
      </c>
      <c r="I874" s="12">
        <v>32.15</v>
      </c>
      <c r="J874" s="12">
        <v>22335.239999999998</v>
      </c>
      <c r="K874">
        <f t="shared" si="39"/>
        <v>3</v>
      </c>
      <c r="L874">
        <f t="shared" si="40"/>
        <v>1</v>
      </c>
      <c r="M874">
        <f t="shared" si="41"/>
        <v>1</v>
      </c>
    </row>
    <row r="875" spans="1:13" x14ac:dyDescent="0.25">
      <c r="A875" s="2" t="s">
        <v>664</v>
      </c>
      <c r="B875" s="11" t="s">
        <v>821</v>
      </c>
      <c r="C875" s="11" t="s">
        <v>4</v>
      </c>
      <c r="D875" s="11" t="s">
        <v>822</v>
      </c>
      <c r="E875" s="11" t="s">
        <v>924</v>
      </c>
      <c r="F875" s="11" t="s">
        <v>925</v>
      </c>
      <c r="G875" s="12">
        <v>1</v>
      </c>
      <c r="H875" s="12">
        <v>32.15</v>
      </c>
      <c r="I875" s="12">
        <v>32.15</v>
      </c>
      <c r="J875" s="12">
        <v>22367.39</v>
      </c>
      <c r="K875">
        <f t="shared" si="39"/>
        <v>4</v>
      </c>
      <c r="L875">
        <f t="shared" si="40"/>
        <v>1</v>
      </c>
      <c r="M875">
        <f t="shared" si="41"/>
        <v>1</v>
      </c>
    </row>
    <row r="876" spans="1:13" x14ac:dyDescent="0.25">
      <c r="A876" s="2" t="s">
        <v>664</v>
      </c>
      <c r="B876" s="11" t="s">
        <v>821</v>
      </c>
      <c r="C876" s="11" t="s">
        <v>4</v>
      </c>
      <c r="D876" s="11" t="s">
        <v>822</v>
      </c>
      <c r="E876" s="11" t="s">
        <v>926</v>
      </c>
      <c r="F876" s="11" t="s">
        <v>927</v>
      </c>
      <c r="G876" s="12">
        <v>1</v>
      </c>
      <c r="H876" s="12">
        <v>32.15</v>
      </c>
      <c r="I876" s="12">
        <v>32.15</v>
      </c>
      <c r="J876" s="12">
        <v>22399.54</v>
      </c>
      <c r="K876">
        <f t="shared" si="39"/>
        <v>4</v>
      </c>
      <c r="L876">
        <f t="shared" si="40"/>
        <v>1</v>
      </c>
      <c r="M876">
        <f t="shared" si="41"/>
        <v>1</v>
      </c>
    </row>
    <row r="877" spans="1:13" x14ac:dyDescent="0.25">
      <c r="A877" s="2" t="s">
        <v>664</v>
      </c>
      <c r="B877" s="11" t="s">
        <v>821</v>
      </c>
      <c r="C877" s="11" t="s">
        <v>4</v>
      </c>
      <c r="D877" s="11" t="s">
        <v>822</v>
      </c>
      <c r="E877" s="11" t="s">
        <v>752</v>
      </c>
      <c r="F877" s="11" t="s">
        <v>753</v>
      </c>
      <c r="G877" s="12">
        <v>2</v>
      </c>
      <c r="H877" s="12">
        <v>35</v>
      </c>
      <c r="I877" s="12">
        <v>70</v>
      </c>
      <c r="J877" s="12">
        <v>22469.54</v>
      </c>
      <c r="K877">
        <f t="shared" si="39"/>
        <v>6</v>
      </c>
      <c r="L877">
        <f t="shared" si="40"/>
        <v>1</v>
      </c>
      <c r="M877">
        <f t="shared" si="41"/>
        <v>1</v>
      </c>
    </row>
    <row r="878" spans="1:13" x14ac:dyDescent="0.25">
      <c r="A878" s="2" t="s">
        <v>664</v>
      </c>
      <c r="B878" s="11" t="s">
        <v>821</v>
      </c>
      <c r="C878" s="11" t="s">
        <v>4</v>
      </c>
      <c r="D878" s="11" t="s">
        <v>822</v>
      </c>
      <c r="E878" s="11" t="s">
        <v>928</v>
      </c>
      <c r="F878" s="11" t="s">
        <v>929</v>
      </c>
      <c r="G878" s="12">
        <v>1</v>
      </c>
      <c r="H878" s="12">
        <v>62</v>
      </c>
      <c r="I878" s="12">
        <v>62</v>
      </c>
      <c r="J878" s="12">
        <v>22531.54</v>
      </c>
      <c r="K878">
        <f t="shared" si="39"/>
        <v>3</v>
      </c>
      <c r="L878">
        <f t="shared" si="40"/>
        <v>1</v>
      </c>
      <c r="M878">
        <f t="shared" si="41"/>
        <v>1</v>
      </c>
    </row>
    <row r="879" spans="1:13" x14ac:dyDescent="0.25">
      <c r="A879" s="2" t="s">
        <v>664</v>
      </c>
      <c r="B879" s="11" t="s">
        <v>821</v>
      </c>
      <c r="C879" s="11" t="s">
        <v>4</v>
      </c>
      <c r="D879" s="11" t="s">
        <v>822</v>
      </c>
      <c r="E879" s="11" t="s">
        <v>930</v>
      </c>
      <c r="F879" s="11" t="s">
        <v>931</v>
      </c>
      <c r="G879" s="12">
        <v>2</v>
      </c>
      <c r="H879" s="12">
        <v>28.8</v>
      </c>
      <c r="I879" s="12">
        <v>57.6</v>
      </c>
      <c r="J879" s="12">
        <v>22589.14</v>
      </c>
      <c r="K879">
        <f t="shared" si="39"/>
        <v>2</v>
      </c>
      <c r="L879">
        <f t="shared" si="40"/>
        <v>1</v>
      </c>
      <c r="M879">
        <f t="shared" si="41"/>
        <v>1</v>
      </c>
    </row>
    <row r="880" spans="1:13" x14ac:dyDescent="0.25">
      <c r="A880" s="2" t="s">
        <v>664</v>
      </c>
      <c r="B880" s="11" t="s">
        <v>821</v>
      </c>
      <c r="C880" s="11" t="s">
        <v>4</v>
      </c>
      <c r="D880" s="11" t="s">
        <v>822</v>
      </c>
      <c r="E880" s="11" t="s">
        <v>809</v>
      </c>
      <c r="F880" s="11" t="s">
        <v>810</v>
      </c>
      <c r="G880" s="12">
        <v>4</v>
      </c>
      <c r="H880" s="12">
        <v>30.6</v>
      </c>
      <c r="I880" s="12">
        <v>122.4</v>
      </c>
      <c r="J880" s="12">
        <v>22711.54</v>
      </c>
      <c r="K880">
        <f t="shared" si="39"/>
        <v>7</v>
      </c>
      <c r="L880">
        <f t="shared" si="40"/>
        <v>1</v>
      </c>
      <c r="M880">
        <f t="shared" si="41"/>
        <v>1</v>
      </c>
    </row>
    <row r="881" spans="1:13" x14ac:dyDescent="0.25">
      <c r="A881" s="2" t="s">
        <v>664</v>
      </c>
      <c r="B881" s="11" t="s">
        <v>821</v>
      </c>
      <c r="C881" s="11" t="s">
        <v>4</v>
      </c>
      <c r="D881" s="11" t="s">
        <v>822</v>
      </c>
      <c r="E881" s="11" t="s">
        <v>760</v>
      </c>
      <c r="F881" s="11" t="s">
        <v>761</v>
      </c>
      <c r="G881" s="12">
        <v>1</v>
      </c>
      <c r="H881" s="12">
        <v>50</v>
      </c>
      <c r="I881" s="12">
        <v>50</v>
      </c>
      <c r="J881" s="12">
        <v>22761.54</v>
      </c>
      <c r="K881">
        <f t="shared" si="39"/>
        <v>6</v>
      </c>
      <c r="L881">
        <f t="shared" si="40"/>
        <v>1</v>
      </c>
      <c r="M881">
        <f t="shared" si="41"/>
        <v>1</v>
      </c>
    </row>
    <row r="882" spans="1:13" x14ac:dyDescent="0.25">
      <c r="A882" s="2" t="s">
        <v>664</v>
      </c>
      <c r="B882" s="11" t="s">
        <v>821</v>
      </c>
      <c r="C882" s="11" t="s">
        <v>4</v>
      </c>
      <c r="D882" s="11" t="s">
        <v>822</v>
      </c>
      <c r="E882" s="11" t="s">
        <v>811</v>
      </c>
      <c r="F882" s="11" t="s">
        <v>812</v>
      </c>
      <c r="G882" s="12">
        <v>4</v>
      </c>
      <c r="H882" s="12">
        <v>49.8</v>
      </c>
      <c r="I882" s="12">
        <v>199.2</v>
      </c>
      <c r="J882" s="12">
        <v>22960.74</v>
      </c>
      <c r="K882">
        <f t="shared" si="39"/>
        <v>5</v>
      </c>
      <c r="L882">
        <f t="shared" si="40"/>
        <v>1</v>
      </c>
      <c r="M882">
        <f t="shared" si="41"/>
        <v>1</v>
      </c>
    </row>
    <row r="883" spans="1:13" x14ac:dyDescent="0.25">
      <c r="A883" s="2" t="s">
        <v>664</v>
      </c>
      <c r="B883" s="11" t="s">
        <v>821</v>
      </c>
      <c r="C883" s="11" t="s">
        <v>4</v>
      </c>
      <c r="D883" s="11" t="s">
        <v>822</v>
      </c>
      <c r="E883" s="11" t="s">
        <v>762</v>
      </c>
      <c r="F883" s="11" t="s">
        <v>763</v>
      </c>
      <c r="G883" s="12">
        <v>4</v>
      </c>
      <c r="H883" s="12">
        <v>36</v>
      </c>
      <c r="I883" s="12">
        <v>144</v>
      </c>
      <c r="J883" s="12">
        <v>23104.74</v>
      </c>
      <c r="K883">
        <f t="shared" si="39"/>
        <v>7</v>
      </c>
      <c r="L883">
        <f t="shared" si="40"/>
        <v>1</v>
      </c>
      <c r="M883">
        <f t="shared" si="41"/>
        <v>1</v>
      </c>
    </row>
    <row r="884" spans="1:13" x14ac:dyDescent="0.25">
      <c r="A884" s="2" t="s">
        <v>664</v>
      </c>
      <c r="B884" s="11" t="s">
        <v>821</v>
      </c>
      <c r="C884" s="11" t="s">
        <v>4</v>
      </c>
      <c r="D884" s="11" t="s">
        <v>822</v>
      </c>
      <c r="E884" s="11" t="s">
        <v>813</v>
      </c>
      <c r="F884" s="11" t="s">
        <v>814</v>
      </c>
      <c r="G884" s="12">
        <v>2</v>
      </c>
      <c r="H884" s="12">
        <v>51</v>
      </c>
      <c r="I884" s="12">
        <v>102</v>
      </c>
      <c r="J884" s="12">
        <v>23206.74</v>
      </c>
      <c r="K884">
        <f t="shared" si="39"/>
        <v>7</v>
      </c>
      <c r="L884">
        <f t="shared" si="40"/>
        <v>1</v>
      </c>
      <c r="M884">
        <f t="shared" si="41"/>
        <v>1</v>
      </c>
    </row>
    <row r="885" spans="1:13" x14ac:dyDescent="0.25">
      <c r="A885" s="2" t="s">
        <v>664</v>
      </c>
      <c r="B885" s="11" t="s">
        <v>821</v>
      </c>
      <c r="C885" s="11" t="s">
        <v>4</v>
      </c>
      <c r="D885" s="11" t="s">
        <v>822</v>
      </c>
      <c r="E885" s="11" t="s">
        <v>815</v>
      </c>
      <c r="F885" s="11" t="s">
        <v>816</v>
      </c>
      <c r="G885" s="12">
        <v>8</v>
      </c>
      <c r="H885" s="12">
        <v>45</v>
      </c>
      <c r="I885" s="12">
        <v>360</v>
      </c>
      <c r="J885" s="12">
        <v>23566.74</v>
      </c>
      <c r="K885">
        <f t="shared" si="39"/>
        <v>5</v>
      </c>
      <c r="L885">
        <f t="shared" si="40"/>
        <v>1</v>
      </c>
      <c r="M885">
        <f t="shared" si="41"/>
        <v>1</v>
      </c>
    </row>
    <row r="886" spans="1:13" x14ac:dyDescent="0.25">
      <c r="A886" s="2" t="s">
        <v>664</v>
      </c>
      <c r="B886" s="11" t="s">
        <v>821</v>
      </c>
      <c r="C886" s="11" t="s">
        <v>4</v>
      </c>
      <c r="D886" s="11" t="s">
        <v>822</v>
      </c>
      <c r="E886" s="11" t="s">
        <v>817</v>
      </c>
      <c r="F886" s="11" t="s">
        <v>818</v>
      </c>
      <c r="G886" s="12">
        <v>2</v>
      </c>
      <c r="H886" s="12">
        <v>43.2</v>
      </c>
      <c r="I886" s="12">
        <v>86.4</v>
      </c>
      <c r="J886" s="12">
        <v>23653.140000000003</v>
      </c>
      <c r="K886">
        <f t="shared" si="39"/>
        <v>6</v>
      </c>
      <c r="L886">
        <f t="shared" si="40"/>
        <v>1</v>
      </c>
      <c r="M886">
        <f t="shared" si="41"/>
        <v>1</v>
      </c>
    </row>
    <row r="887" spans="1:13" x14ac:dyDescent="0.25">
      <c r="A887" s="2" t="s">
        <v>664</v>
      </c>
      <c r="B887" s="11" t="s">
        <v>821</v>
      </c>
      <c r="C887" s="11" t="s">
        <v>4</v>
      </c>
      <c r="D887" s="11" t="s">
        <v>822</v>
      </c>
      <c r="E887" s="11" t="s">
        <v>764</v>
      </c>
      <c r="F887" s="11" t="s">
        <v>765</v>
      </c>
      <c r="G887" s="12">
        <v>2</v>
      </c>
      <c r="H887" s="12">
        <v>32.4</v>
      </c>
      <c r="I887" s="12">
        <v>64.8</v>
      </c>
      <c r="J887" s="12">
        <v>23717.940000000002</v>
      </c>
      <c r="K887">
        <f t="shared" si="39"/>
        <v>5</v>
      </c>
      <c r="L887">
        <f t="shared" si="40"/>
        <v>1</v>
      </c>
      <c r="M887">
        <f t="shared" si="41"/>
        <v>1</v>
      </c>
    </row>
    <row r="888" spans="1:13" x14ac:dyDescent="0.25">
      <c r="A888" s="2" t="s">
        <v>664</v>
      </c>
      <c r="B888" s="11" t="s">
        <v>821</v>
      </c>
      <c r="C888" s="11" t="s">
        <v>4</v>
      </c>
      <c r="D888" s="11" t="s">
        <v>822</v>
      </c>
      <c r="E888" s="11" t="s">
        <v>768</v>
      </c>
      <c r="F888" s="11" t="s">
        <v>769</v>
      </c>
      <c r="G888" s="12">
        <v>1</v>
      </c>
      <c r="H888" s="12">
        <v>47.8</v>
      </c>
      <c r="I888" s="12">
        <v>47.8</v>
      </c>
      <c r="J888" s="12">
        <v>23765.74</v>
      </c>
      <c r="K888">
        <f t="shared" si="39"/>
        <v>5</v>
      </c>
      <c r="L888">
        <f t="shared" si="40"/>
        <v>1</v>
      </c>
      <c r="M888">
        <f t="shared" si="41"/>
        <v>1</v>
      </c>
    </row>
    <row r="889" spans="1:13" x14ac:dyDescent="0.25">
      <c r="A889" s="2" t="s">
        <v>664</v>
      </c>
      <c r="B889" s="11" t="s">
        <v>821</v>
      </c>
      <c r="C889" s="11" t="s">
        <v>4</v>
      </c>
      <c r="D889" s="11" t="s">
        <v>822</v>
      </c>
      <c r="E889" s="11" t="s">
        <v>819</v>
      </c>
      <c r="F889" s="11" t="s">
        <v>820</v>
      </c>
      <c r="G889" s="12">
        <v>2</v>
      </c>
      <c r="H889" s="12">
        <v>27.48</v>
      </c>
      <c r="I889" s="12">
        <v>54.96</v>
      </c>
      <c r="J889" s="12">
        <v>23820.7</v>
      </c>
      <c r="K889">
        <f t="shared" si="39"/>
        <v>6</v>
      </c>
      <c r="L889">
        <f t="shared" si="40"/>
        <v>1</v>
      </c>
      <c r="M889">
        <f t="shared" si="41"/>
        <v>1</v>
      </c>
    </row>
    <row r="890" spans="1:13" x14ac:dyDescent="0.25">
      <c r="A890" s="2" t="s">
        <v>664</v>
      </c>
      <c r="B890" s="11" t="s">
        <v>821</v>
      </c>
      <c r="C890" s="11" t="s">
        <v>4</v>
      </c>
      <c r="D890" s="11" t="s">
        <v>822</v>
      </c>
      <c r="E890" s="11" t="s">
        <v>677</v>
      </c>
      <c r="F890" s="11" t="s">
        <v>678</v>
      </c>
      <c r="G890" s="12">
        <v>6</v>
      </c>
      <c r="H890" s="12">
        <v>19.8</v>
      </c>
      <c r="I890" s="12">
        <v>118.8</v>
      </c>
      <c r="J890" s="12">
        <v>23939.5</v>
      </c>
      <c r="K890">
        <f t="shared" si="39"/>
        <v>3</v>
      </c>
      <c r="L890">
        <f t="shared" si="40"/>
        <v>1</v>
      </c>
      <c r="M890">
        <f t="shared" si="41"/>
        <v>1</v>
      </c>
    </row>
    <row r="891" spans="1:13" x14ac:dyDescent="0.25">
      <c r="A891" s="2" t="s">
        <v>664</v>
      </c>
      <c r="B891" s="11" t="s">
        <v>821</v>
      </c>
      <c r="C891" s="11" t="s">
        <v>4</v>
      </c>
      <c r="D891" s="11" t="s">
        <v>822</v>
      </c>
      <c r="E891" s="11" t="s">
        <v>686</v>
      </c>
      <c r="F891" s="11" t="s">
        <v>687</v>
      </c>
      <c r="G891" s="12">
        <v>6</v>
      </c>
      <c r="H891" s="12">
        <v>23.88</v>
      </c>
      <c r="I891" s="12">
        <v>143.28</v>
      </c>
      <c r="J891" s="12">
        <v>24082.78</v>
      </c>
      <c r="K891">
        <f t="shared" si="39"/>
        <v>7</v>
      </c>
      <c r="L891">
        <f t="shared" si="40"/>
        <v>1</v>
      </c>
      <c r="M891">
        <f t="shared" si="41"/>
        <v>1</v>
      </c>
    </row>
    <row r="892" spans="1:13" x14ac:dyDescent="0.25">
      <c r="A892" s="2" t="s">
        <v>664</v>
      </c>
      <c r="B892" s="11" t="s">
        <v>932</v>
      </c>
      <c r="C892" s="11" t="s">
        <v>4</v>
      </c>
      <c r="D892" s="11" t="s">
        <v>933</v>
      </c>
      <c r="E892" s="11" t="s">
        <v>837</v>
      </c>
      <c r="F892" s="11" t="s">
        <v>934</v>
      </c>
      <c r="G892" s="12">
        <v>1</v>
      </c>
      <c r="H892" s="12">
        <v>28.64</v>
      </c>
      <c r="I892" s="12">
        <v>28.64</v>
      </c>
      <c r="J892" s="12">
        <v>24111.42</v>
      </c>
      <c r="K892">
        <f t="shared" si="39"/>
        <v>4</v>
      </c>
      <c r="L892">
        <f t="shared" si="40"/>
        <v>1</v>
      </c>
      <c r="M892">
        <f t="shared" si="41"/>
        <v>1</v>
      </c>
    </row>
    <row r="893" spans="1:13" x14ac:dyDescent="0.25">
      <c r="A893" s="2" t="s">
        <v>664</v>
      </c>
      <c r="B893" s="11" t="s">
        <v>932</v>
      </c>
      <c r="C893" s="11" t="s">
        <v>4</v>
      </c>
      <c r="D893" s="11" t="s">
        <v>933</v>
      </c>
      <c r="E893" s="11" t="s">
        <v>372</v>
      </c>
      <c r="F893" s="11" t="s">
        <v>423</v>
      </c>
      <c r="G893" s="12">
        <v>10</v>
      </c>
      <c r="H893" s="12">
        <v>30</v>
      </c>
      <c r="I893" s="12">
        <v>300</v>
      </c>
      <c r="J893" s="12">
        <v>24411.42</v>
      </c>
      <c r="K893">
        <f t="shared" si="39"/>
        <v>9</v>
      </c>
      <c r="L893">
        <f t="shared" si="40"/>
        <v>1</v>
      </c>
      <c r="M893">
        <f t="shared" si="41"/>
        <v>1</v>
      </c>
    </row>
    <row r="894" spans="1:13" x14ac:dyDescent="0.25">
      <c r="A894" s="2" t="s">
        <v>664</v>
      </c>
      <c r="B894" s="11" t="s">
        <v>932</v>
      </c>
      <c r="C894" s="11" t="s">
        <v>4</v>
      </c>
      <c r="D894" s="11" t="s">
        <v>933</v>
      </c>
      <c r="E894" s="11" t="s">
        <v>880</v>
      </c>
      <c r="F894" s="11" t="s">
        <v>935</v>
      </c>
      <c r="G894" s="12">
        <v>5</v>
      </c>
      <c r="H894" s="12">
        <v>13.08</v>
      </c>
      <c r="I894" s="12">
        <v>65.400000000000006</v>
      </c>
      <c r="J894" s="12">
        <v>24476.82</v>
      </c>
      <c r="K894">
        <f t="shared" si="39"/>
        <v>6</v>
      </c>
      <c r="L894">
        <f t="shared" si="40"/>
        <v>1</v>
      </c>
      <c r="M894">
        <f t="shared" si="41"/>
        <v>1</v>
      </c>
    </row>
    <row r="895" spans="1:13" x14ac:dyDescent="0.25">
      <c r="A895" s="2" t="s">
        <v>664</v>
      </c>
      <c r="B895" s="11" t="s">
        <v>932</v>
      </c>
      <c r="C895" s="11" t="s">
        <v>4</v>
      </c>
      <c r="D895" s="11" t="s">
        <v>933</v>
      </c>
      <c r="E895" s="11" t="s">
        <v>936</v>
      </c>
      <c r="F895" s="11" t="s">
        <v>937</v>
      </c>
      <c r="G895" s="12">
        <v>2</v>
      </c>
      <c r="H895" s="12">
        <v>20</v>
      </c>
      <c r="I895" s="12">
        <v>40</v>
      </c>
      <c r="J895" s="12">
        <v>24516.82</v>
      </c>
      <c r="K895">
        <f t="shared" si="39"/>
        <v>3</v>
      </c>
      <c r="L895">
        <f t="shared" si="40"/>
        <v>1</v>
      </c>
      <c r="M895">
        <f t="shared" si="41"/>
        <v>1</v>
      </c>
    </row>
    <row r="896" spans="1:13" x14ac:dyDescent="0.25">
      <c r="A896" s="2" t="s">
        <v>664</v>
      </c>
      <c r="B896" s="11" t="s">
        <v>932</v>
      </c>
      <c r="C896" s="11" t="s">
        <v>4</v>
      </c>
      <c r="D896" s="11" t="s">
        <v>933</v>
      </c>
      <c r="E896" s="11" t="s">
        <v>801</v>
      </c>
      <c r="F896" s="11" t="s">
        <v>802</v>
      </c>
      <c r="G896" s="12">
        <v>2</v>
      </c>
      <c r="H896" s="12">
        <v>24</v>
      </c>
      <c r="I896" s="12">
        <v>48</v>
      </c>
      <c r="J896" s="12">
        <v>24564.82</v>
      </c>
      <c r="K896">
        <f t="shared" si="39"/>
        <v>4</v>
      </c>
      <c r="L896">
        <f t="shared" si="40"/>
        <v>1</v>
      </c>
      <c r="M896">
        <f t="shared" si="41"/>
        <v>1</v>
      </c>
    </row>
    <row r="897" spans="1:13" x14ac:dyDescent="0.25">
      <c r="A897" s="2" t="s">
        <v>664</v>
      </c>
      <c r="B897" s="11" t="s">
        <v>932</v>
      </c>
      <c r="C897" s="11" t="s">
        <v>4</v>
      </c>
      <c r="D897" s="11" t="s">
        <v>933</v>
      </c>
      <c r="E897" s="11" t="s">
        <v>803</v>
      </c>
      <c r="F897" s="11" t="s">
        <v>804</v>
      </c>
      <c r="G897" s="12">
        <v>2</v>
      </c>
      <c r="H897" s="12">
        <v>24</v>
      </c>
      <c r="I897" s="12">
        <v>48</v>
      </c>
      <c r="J897" s="12">
        <v>24612.82</v>
      </c>
      <c r="K897">
        <f t="shared" si="39"/>
        <v>8</v>
      </c>
      <c r="L897">
        <f t="shared" si="40"/>
        <v>1</v>
      </c>
      <c r="M897">
        <f t="shared" si="41"/>
        <v>1</v>
      </c>
    </row>
    <row r="898" spans="1:13" x14ac:dyDescent="0.25">
      <c r="A898" s="2" t="s">
        <v>664</v>
      </c>
      <c r="B898" s="11" t="s">
        <v>932</v>
      </c>
      <c r="C898" s="11" t="s">
        <v>4</v>
      </c>
      <c r="D898" s="11" t="s">
        <v>933</v>
      </c>
      <c r="E898" s="11" t="s">
        <v>805</v>
      </c>
      <c r="F898" s="11" t="s">
        <v>806</v>
      </c>
      <c r="G898" s="12">
        <v>2</v>
      </c>
      <c r="H898" s="12">
        <v>24</v>
      </c>
      <c r="I898" s="12">
        <v>48</v>
      </c>
      <c r="J898" s="12">
        <v>24660.82</v>
      </c>
      <c r="K898">
        <f t="shared" si="39"/>
        <v>3</v>
      </c>
      <c r="L898">
        <f t="shared" si="40"/>
        <v>1</v>
      </c>
      <c r="M898">
        <f t="shared" si="41"/>
        <v>1</v>
      </c>
    </row>
    <row r="899" spans="1:13" x14ac:dyDescent="0.25">
      <c r="A899" s="2" t="s">
        <v>664</v>
      </c>
      <c r="B899" s="11" t="s">
        <v>932</v>
      </c>
      <c r="C899" s="11" t="s">
        <v>4</v>
      </c>
      <c r="D899" s="11" t="s">
        <v>933</v>
      </c>
      <c r="E899" s="11" t="s">
        <v>938</v>
      </c>
      <c r="F899" s="11" t="s">
        <v>939</v>
      </c>
      <c r="G899" s="12">
        <v>1</v>
      </c>
      <c r="H899" s="12">
        <v>60</v>
      </c>
      <c r="I899" s="12">
        <v>60</v>
      </c>
      <c r="J899" s="12">
        <v>24720.82</v>
      </c>
      <c r="K899">
        <f t="shared" ref="K899:K962" si="42">COUNTIF($E$2:$E$1466,E899)</f>
        <v>1</v>
      </c>
      <c r="L899">
        <f t="shared" ref="L899:L962" si="43">IF(G899&gt;0,1,0)</f>
        <v>1</v>
      </c>
      <c r="M899">
        <f t="shared" ref="M899:M962" si="44">IF(H899&gt;0,1,0)</f>
        <v>1</v>
      </c>
    </row>
    <row r="900" spans="1:13" x14ac:dyDescent="0.25">
      <c r="A900" s="2" t="s">
        <v>664</v>
      </c>
      <c r="B900" s="11" t="s">
        <v>654</v>
      </c>
      <c r="C900" s="11" t="s">
        <v>4</v>
      </c>
      <c r="D900" s="11" t="s">
        <v>940</v>
      </c>
      <c r="E900" s="11" t="s">
        <v>669</v>
      </c>
      <c r="F900" s="11" t="s">
        <v>941</v>
      </c>
      <c r="G900" s="12">
        <v>4</v>
      </c>
      <c r="H900" s="12">
        <v>30.82</v>
      </c>
      <c r="I900" s="12">
        <v>123.28</v>
      </c>
      <c r="J900" s="12">
        <v>24844.1</v>
      </c>
      <c r="K900">
        <f t="shared" si="42"/>
        <v>8</v>
      </c>
      <c r="L900">
        <f t="shared" si="43"/>
        <v>1</v>
      </c>
      <c r="M900">
        <f t="shared" si="44"/>
        <v>1</v>
      </c>
    </row>
    <row r="901" spans="1:13" x14ac:dyDescent="0.25">
      <c r="A901" s="2" t="s">
        <v>664</v>
      </c>
      <c r="B901" s="11" t="s">
        <v>654</v>
      </c>
      <c r="C901" s="11" t="s">
        <v>4</v>
      </c>
      <c r="D901" s="11" t="s">
        <v>940</v>
      </c>
      <c r="E901" s="11" t="s">
        <v>686</v>
      </c>
      <c r="F901" s="11" t="s">
        <v>942</v>
      </c>
      <c r="G901" s="12">
        <v>2</v>
      </c>
      <c r="H901" s="12">
        <v>25.55</v>
      </c>
      <c r="I901" s="12">
        <v>51.1</v>
      </c>
      <c r="J901" s="12">
        <v>24895.199999999997</v>
      </c>
      <c r="K901">
        <f t="shared" si="42"/>
        <v>7</v>
      </c>
      <c r="L901">
        <f t="shared" si="43"/>
        <v>1</v>
      </c>
      <c r="M901">
        <f t="shared" si="44"/>
        <v>1</v>
      </c>
    </row>
    <row r="902" spans="1:13" x14ac:dyDescent="0.25">
      <c r="A902" s="2" t="s">
        <v>664</v>
      </c>
      <c r="B902" s="11" t="s">
        <v>654</v>
      </c>
      <c r="C902" s="11" t="s">
        <v>4</v>
      </c>
      <c r="D902" s="11" t="s">
        <v>940</v>
      </c>
      <c r="E902" s="11" t="s">
        <v>830</v>
      </c>
      <c r="F902" s="11" t="s">
        <v>943</v>
      </c>
      <c r="G902" s="12">
        <v>3</v>
      </c>
      <c r="H902" s="12">
        <v>28.89</v>
      </c>
      <c r="I902" s="12">
        <v>86.67</v>
      </c>
      <c r="J902" s="12">
        <v>24981.869999999995</v>
      </c>
      <c r="K902">
        <f t="shared" si="42"/>
        <v>4</v>
      </c>
      <c r="L902">
        <f t="shared" si="43"/>
        <v>1</v>
      </c>
      <c r="M902">
        <f t="shared" si="44"/>
        <v>1</v>
      </c>
    </row>
    <row r="903" spans="1:13" x14ac:dyDescent="0.25">
      <c r="A903" s="2" t="s">
        <v>664</v>
      </c>
      <c r="B903" s="11" t="s">
        <v>654</v>
      </c>
      <c r="C903" s="11" t="s">
        <v>4</v>
      </c>
      <c r="D903" s="11" t="s">
        <v>940</v>
      </c>
      <c r="E903" s="11" t="s">
        <v>692</v>
      </c>
      <c r="F903" s="11" t="s">
        <v>944</v>
      </c>
      <c r="G903" s="12">
        <v>10</v>
      </c>
      <c r="H903" s="12">
        <v>39.68</v>
      </c>
      <c r="I903" s="12">
        <v>396.8</v>
      </c>
      <c r="J903" s="12">
        <v>25378.669999999995</v>
      </c>
      <c r="K903">
        <f t="shared" si="42"/>
        <v>8</v>
      </c>
      <c r="L903">
        <f t="shared" si="43"/>
        <v>1</v>
      </c>
      <c r="M903">
        <f t="shared" si="44"/>
        <v>1</v>
      </c>
    </row>
    <row r="904" spans="1:13" x14ac:dyDescent="0.25">
      <c r="A904" s="2" t="s">
        <v>664</v>
      </c>
      <c r="B904" s="11" t="s">
        <v>654</v>
      </c>
      <c r="C904" s="11" t="s">
        <v>4</v>
      </c>
      <c r="D904" s="11" t="s">
        <v>940</v>
      </c>
      <c r="E904" s="11" t="s">
        <v>945</v>
      </c>
      <c r="F904" s="11" t="s">
        <v>946</v>
      </c>
      <c r="G904" s="12">
        <v>2</v>
      </c>
      <c r="H904" s="12">
        <v>32</v>
      </c>
      <c r="I904" s="12">
        <v>64</v>
      </c>
      <c r="J904" s="12">
        <v>25442.669999999995</v>
      </c>
      <c r="K904">
        <f t="shared" si="42"/>
        <v>1</v>
      </c>
      <c r="L904">
        <f t="shared" si="43"/>
        <v>1</v>
      </c>
      <c r="M904">
        <f t="shared" si="44"/>
        <v>1</v>
      </c>
    </row>
    <row r="905" spans="1:13" x14ac:dyDescent="0.25">
      <c r="A905" s="2" t="s">
        <v>664</v>
      </c>
      <c r="B905" s="11" t="s">
        <v>654</v>
      </c>
      <c r="C905" s="11" t="s">
        <v>4</v>
      </c>
      <c r="D905" s="11" t="s">
        <v>940</v>
      </c>
      <c r="E905" s="11" t="s">
        <v>947</v>
      </c>
      <c r="F905" s="11" t="s">
        <v>948</v>
      </c>
      <c r="G905" s="12">
        <v>2</v>
      </c>
      <c r="H905" s="12">
        <v>47.76</v>
      </c>
      <c r="I905" s="12">
        <v>95.52</v>
      </c>
      <c r="J905" s="12">
        <v>25538.189999999995</v>
      </c>
      <c r="K905">
        <f t="shared" si="42"/>
        <v>3</v>
      </c>
      <c r="L905">
        <f t="shared" si="43"/>
        <v>1</v>
      </c>
      <c r="M905">
        <f t="shared" si="44"/>
        <v>1</v>
      </c>
    </row>
    <row r="906" spans="1:13" x14ac:dyDescent="0.25">
      <c r="A906" s="2" t="s">
        <v>664</v>
      </c>
      <c r="B906" s="11" t="s">
        <v>654</v>
      </c>
      <c r="C906" s="11" t="s">
        <v>4</v>
      </c>
      <c r="D906" s="11" t="s">
        <v>940</v>
      </c>
      <c r="E906" s="11" t="s">
        <v>847</v>
      </c>
      <c r="F906" s="11" t="s">
        <v>949</v>
      </c>
      <c r="G906" s="12">
        <v>4</v>
      </c>
      <c r="H906" s="12">
        <v>14</v>
      </c>
      <c r="I906" s="12">
        <v>56</v>
      </c>
      <c r="J906" s="12">
        <v>25594.189999999995</v>
      </c>
      <c r="K906">
        <f t="shared" si="42"/>
        <v>3</v>
      </c>
      <c r="L906">
        <f t="shared" si="43"/>
        <v>1</v>
      </c>
      <c r="M906">
        <f t="shared" si="44"/>
        <v>1</v>
      </c>
    </row>
    <row r="907" spans="1:13" x14ac:dyDescent="0.25">
      <c r="A907" s="2" t="s">
        <v>664</v>
      </c>
      <c r="B907" s="11" t="s">
        <v>654</v>
      </c>
      <c r="C907" s="11" t="s">
        <v>4</v>
      </c>
      <c r="D907" s="11" t="s">
        <v>940</v>
      </c>
      <c r="E907" s="11" t="s">
        <v>849</v>
      </c>
      <c r="F907" s="11" t="s">
        <v>950</v>
      </c>
      <c r="G907" s="12">
        <v>3</v>
      </c>
      <c r="H907" s="12">
        <v>16.05</v>
      </c>
      <c r="I907" s="12">
        <v>48.15</v>
      </c>
      <c r="J907" s="12">
        <v>25642.339999999997</v>
      </c>
      <c r="K907">
        <f t="shared" si="42"/>
        <v>2</v>
      </c>
      <c r="L907">
        <f t="shared" si="43"/>
        <v>1</v>
      </c>
      <c r="M907">
        <f t="shared" si="44"/>
        <v>1</v>
      </c>
    </row>
    <row r="908" spans="1:13" x14ac:dyDescent="0.25">
      <c r="A908" s="2" t="s">
        <v>664</v>
      </c>
      <c r="B908" s="11" t="s">
        <v>654</v>
      </c>
      <c r="C908" s="11" t="s">
        <v>4</v>
      </c>
      <c r="D908" s="11" t="s">
        <v>940</v>
      </c>
      <c r="E908" s="11" t="s">
        <v>851</v>
      </c>
      <c r="F908" s="11" t="s">
        <v>951</v>
      </c>
      <c r="G908" s="12">
        <v>2</v>
      </c>
      <c r="H908" s="12">
        <v>75.97</v>
      </c>
      <c r="I908" s="12">
        <v>151.94</v>
      </c>
      <c r="J908" s="12">
        <v>25794.279999999995</v>
      </c>
      <c r="K908">
        <f t="shared" si="42"/>
        <v>5</v>
      </c>
      <c r="L908">
        <f t="shared" si="43"/>
        <v>1</v>
      </c>
      <c r="M908">
        <f t="shared" si="44"/>
        <v>1</v>
      </c>
    </row>
    <row r="909" spans="1:13" x14ac:dyDescent="0.25">
      <c r="A909" s="2" t="s">
        <v>664</v>
      </c>
      <c r="B909" s="11" t="s">
        <v>654</v>
      </c>
      <c r="C909" s="11" t="s">
        <v>4</v>
      </c>
      <c r="D909" s="11" t="s">
        <v>940</v>
      </c>
      <c r="E909" s="11" t="s">
        <v>754</v>
      </c>
      <c r="F909" s="11" t="s">
        <v>952</v>
      </c>
      <c r="G909" s="12">
        <v>8</v>
      </c>
      <c r="H909" s="12">
        <v>38.39</v>
      </c>
      <c r="I909" s="12">
        <v>307.12</v>
      </c>
      <c r="J909" s="12">
        <v>26101.399999999994</v>
      </c>
      <c r="K909">
        <f t="shared" si="42"/>
        <v>8</v>
      </c>
      <c r="L909">
        <f t="shared" si="43"/>
        <v>1</v>
      </c>
      <c r="M909">
        <f t="shared" si="44"/>
        <v>1</v>
      </c>
    </row>
    <row r="910" spans="1:13" x14ac:dyDescent="0.25">
      <c r="A910" s="2" t="s">
        <v>664</v>
      </c>
      <c r="B910" s="11" t="s">
        <v>654</v>
      </c>
      <c r="C910" s="11" t="s">
        <v>4</v>
      </c>
      <c r="D910" s="11" t="s">
        <v>940</v>
      </c>
      <c r="E910" s="11" t="s">
        <v>953</v>
      </c>
      <c r="F910" s="11" t="s">
        <v>954</v>
      </c>
      <c r="G910" s="12">
        <v>4</v>
      </c>
      <c r="H910" s="12">
        <v>13.2</v>
      </c>
      <c r="I910" s="12">
        <v>52.8</v>
      </c>
      <c r="J910" s="12">
        <v>26154.199999999993</v>
      </c>
      <c r="K910">
        <f t="shared" si="42"/>
        <v>3</v>
      </c>
      <c r="L910">
        <f t="shared" si="43"/>
        <v>1</v>
      </c>
      <c r="M910">
        <f t="shared" si="44"/>
        <v>1</v>
      </c>
    </row>
    <row r="911" spans="1:13" x14ac:dyDescent="0.25">
      <c r="A911" s="2" t="s">
        <v>664</v>
      </c>
      <c r="B911" s="11" t="s">
        <v>654</v>
      </c>
      <c r="C911" s="11" t="s">
        <v>4</v>
      </c>
      <c r="D911" s="11" t="s">
        <v>940</v>
      </c>
      <c r="E911" s="11" t="s">
        <v>955</v>
      </c>
      <c r="F911" s="11" t="s">
        <v>956</v>
      </c>
      <c r="G911" s="12">
        <v>20</v>
      </c>
      <c r="H911" s="12">
        <v>42</v>
      </c>
      <c r="I911" s="12">
        <v>840</v>
      </c>
      <c r="J911" s="12">
        <v>26994.199999999993</v>
      </c>
      <c r="K911">
        <f t="shared" si="42"/>
        <v>3</v>
      </c>
      <c r="L911">
        <f t="shared" si="43"/>
        <v>1</v>
      </c>
      <c r="M911">
        <f t="shared" si="44"/>
        <v>1</v>
      </c>
    </row>
    <row r="912" spans="1:13" x14ac:dyDescent="0.25">
      <c r="A912" s="2" t="s">
        <v>664</v>
      </c>
      <c r="B912" s="11" t="s">
        <v>654</v>
      </c>
      <c r="C912" s="11" t="s">
        <v>4</v>
      </c>
      <c r="D912" s="11" t="s">
        <v>940</v>
      </c>
      <c r="E912" s="11" t="s">
        <v>957</v>
      </c>
      <c r="F912" s="11" t="s">
        <v>958</v>
      </c>
      <c r="G912" s="12">
        <v>20</v>
      </c>
      <c r="H912" s="12">
        <v>42</v>
      </c>
      <c r="I912" s="12">
        <v>840</v>
      </c>
      <c r="J912" s="12">
        <v>27834.199999999993</v>
      </c>
      <c r="K912">
        <f t="shared" si="42"/>
        <v>3</v>
      </c>
      <c r="L912">
        <f t="shared" si="43"/>
        <v>1</v>
      </c>
      <c r="M912">
        <f t="shared" si="44"/>
        <v>1</v>
      </c>
    </row>
    <row r="913" spans="1:13" x14ac:dyDescent="0.25">
      <c r="A913" s="2" t="s">
        <v>664</v>
      </c>
      <c r="B913" s="11" t="s">
        <v>654</v>
      </c>
      <c r="C913" s="11" t="s">
        <v>4</v>
      </c>
      <c r="D913" s="11" t="s">
        <v>940</v>
      </c>
      <c r="E913" s="11" t="s">
        <v>736</v>
      </c>
      <c r="F913" s="11" t="s">
        <v>959</v>
      </c>
      <c r="G913" s="12">
        <v>8</v>
      </c>
      <c r="H913" s="12">
        <v>9.07</v>
      </c>
      <c r="I913" s="12">
        <v>72.56</v>
      </c>
      <c r="J913" s="12">
        <v>27906.759999999995</v>
      </c>
      <c r="K913">
        <f t="shared" si="42"/>
        <v>5</v>
      </c>
      <c r="L913">
        <f t="shared" si="43"/>
        <v>1</v>
      </c>
      <c r="M913">
        <f t="shared" si="44"/>
        <v>1</v>
      </c>
    </row>
    <row r="914" spans="1:13" x14ac:dyDescent="0.25">
      <c r="A914" s="2" t="s">
        <v>664</v>
      </c>
      <c r="B914" s="11" t="s">
        <v>654</v>
      </c>
      <c r="C914" s="11" t="s">
        <v>4</v>
      </c>
      <c r="D914" s="11" t="s">
        <v>940</v>
      </c>
      <c r="E914" s="11" t="s">
        <v>738</v>
      </c>
      <c r="F914" s="11" t="s">
        <v>738</v>
      </c>
      <c r="G914" s="12">
        <v>8</v>
      </c>
      <c r="H914" s="12">
        <v>9.07</v>
      </c>
      <c r="I914" s="12">
        <v>72.56</v>
      </c>
      <c r="J914" s="12">
        <v>27979.319999999996</v>
      </c>
      <c r="K914">
        <f t="shared" si="42"/>
        <v>7</v>
      </c>
      <c r="L914">
        <f t="shared" si="43"/>
        <v>1</v>
      </c>
      <c r="M914">
        <f t="shared" si="44"/>
        <v>1</v>
      </c>
    </row>
    <row r="915" spans="1:13" x14ac:dyDescent="0.25">
      <c r="A915" s="2" t="s">
        <v>664</v>
      </c>
      <c r="B915" s="11" t="s">
        <v>654</v>
      </c>
      <c r="C915" s="11" t="s">
        <v>4</v>
      </c>
      <c r="D915" s="11" t="s">
        <v>940</v>
      </c>
      <c r="E915" s="11" t="s">
        <v>863</v>
      </c>
      <c r="F915" s="11" t="s">
        <v>960</v>
      </c>
      <c r="G915" s="12">
        <v>15</v>
      </c>
      <c r="H915" s="12">
        <v>52.52</v>
      </c>
      <c r="I915" s="12">
        <v>787.8</v>
      </c>
      <c r="J915" s="12">
        <v>28767.119999999995</v>
      </c>
      <c r="K915">
        <f t="shared" si="42"/>
        <v>7</v>
      </c>
      <c r="L915">
        <f t="shared" si="43"/>
        <v>1</v>
      </c>
      <c r="M915">
        <f t="shared" si="44"/>
        <v>1</v>
      </c>
    </row>
    <row r="916" spans="1:13" x14ac:dyDescent="0.25">
      <c r="A916" s="2" t="s">
        <v>664</v>
      </c>
      <c r="B916" s="11" t="s">
        <v>654</v>
      </c>
      <c r="C916" s="11" t="s">
        <v>4</v>
      </c>
      <c r="D916" s="11" t="s">
        <v>940</v>
      </c>
      <c r="E916" s="11" t="s">
        <v>865</v>
      </c>
      <c r="F916" s="11" t="s">
        <v>961</v>
      </c>
      <c r="G916" s="12">
        <v>15</v>
      </c>
      <c r="H916" s="12">
        <v>52.52</v>
      </c>
      <c r="I916" s="12">
        <v>787.8</v>
      </c>
      <c r="J916" s="12">
        <v>29554.919999999995</v>
      </c>
      <c r="K916">
        <f t="shared" si="42"/>
        <v>7</v>
      </c>
      <c r="L916">
        <f t="shared" si="43"/>
        <v>1</v>
      </c>
      <c r="M916">
        <f t="shared" si="44"/>
        <v>1</v>
      </c>
    </row>
    <row r="917" spans="1:13" x14ac:dyDescent="0.25">
      <c r="A917" s="2" t="s">
        <v>664</v>
      </c>
      <c r="B917" s="11" t="s">
        <v>654</v>
      </c>
      <c r="C917" s="11" t="s">
        <v>4</v>
      </c>
      <c r="D917" s="11" t="s">
        <v>940</v>
      </c>
      <c r="E917" s="11" t="s">
        <v>962</v>
      </c>
      <c r="F917" s="11" t="s">
        <v>963</v>
      </c>
      <c r="G917" s="12">
        <v>2</v>
      </c>
      <c r="H917" s="12">
        <v>27.29</v>
      </c>
      <c r="I917" s="12">
        <v>54.58</v>
      </c>
      <c r="J917" s="12">
        <v>29609.499999999996</v>
      </c>
      <c r="K917">
        <f t="shared" si="42"/>
        <v>6</v>
      </c>
      <c r="L917">
        <f t="shared" si="43"/>
        <v>1</v>
      </c>
      <c r="M917">
        <f t="shared" si="44"/>
        <v>1</v>
      </c>
    </row>
    <row r="918" spans="1:13" x14ac:dyDescent="0.25">
      <c r="A918" s="2" t="s">
        <v>664</v>
      </c>
      <c r="B918" s="11" t="s">
        <v>654</v>
      </c>
      <c r="C918" s="11" t="s">
        <v>4</v>
      </c>
      <c r="D918" s="11" t="s">
        <v>940</v>
      </c>
      <c r="E918" s="11" t="s">
        <v>739</v>
      </c>
      <c r="F918" s="11" t="s">
        <v>964</v>
      </c>
      <c r="G918" s="12">
        <v>24</v>
      </c>
      <c r="H918" s="12">
        <v>14</v>
      </c>
      <c r="I918" s="12">
        <v>336</v>
      </c>
      <c r="J918" s="12">
        <v>29945.499999999996</v>
      </c>
      <c r="K918">
        <f t="shared" si="42"/>
        <v>7</v>
      </c>
      <c r="L918">
        <f t="shared" si="43"/>
        <v>1</v>
      </c>
      <c r="M918">
        <f t="shared" si="44"/>
        <v>1</v>
      </c>
    </row>
    <row r="919" spans="1:13" x14ac:dyDescent="0.25">
      <c r="A919" s="2" t="s">
        <v>664</v>
      </c>
      <c r="B919" s="11" t="s">
        <v>654</v>
      </c>
      <c r="C919" s="11" t="s">
        <v>4</v>
      </c>
      <c r="D919" s="11" t="s">
        <v>940</v>
      </c>
      <c r="E919" s="11" t="s">
        <v>878</v>
      </c>
      <c r="F919" s="11" t="s">
        <v>965</v>
      </c>
      <c r="G919" s="12">
        <v>3</v>
      </c>
      <c r="H919" s="12">
        <v>14</v>
      </c>
      <c r="I919" s="12">
        <v>42</v>
      </c>
      <c r="J919" s="12">
        <v>29987.499999999996</v>
      </c>
      <c r="K919">
        <f t="shared" si="42"/>
        <v>5</v>
      </c>
      <c r="L919">
        <f t="shared" si="43"/>
        <v>1</v>
      </c>
      <c r="M919">
        <f t="shared" si="44"/>
        <v>1</v>
      </c>
    </row>
    <row r="920" spans="1:13" x14ac:dyDescent="0.25">
      <c r="A920" s="2" t="s">
        <v>664</v>
      </c>
      <c r="B920" s="11" t="s">
        <v>654</v>
      </c>
      <c r="C920" s="11" t="s">
        <v>4</v>
      </c>
      <c r="D920" s="11" t="s">
        <v>940</v>
      </c>
      <c r="E920" s="11" t="s">
        <v>880</v>
      </c>
      <c r="F920" s="11" t="s">
        <v>935</v>
      </c>
      <c r="G920" s="12">
        <v>2</v>
      </c>
      <c r="H920" s="12">
        <v>14</v>
      </c>
      <c r="I920" s="12">
        <v>28</v>
      </c>
      <c r="J920" s="12">
        <v>30015.499999999996</v>
      </c>
      <c r="K920">
        <f t="shared" si="42"/>
        <v>6</v>
      </c>
      <c r="L920">
        <f t="shared" si="43"/>
        <v>1</v>
      </c>
      <c r="M920">
        <f t="shared" si="44"/>
        <v>1</v>
      </c>
    </row>
    <row r="921" spans="1:13" x14ac:dyDescent="0.25">
      <c r="A921" s="2" t="s">
        <v>664</v>
      </c>
      <c r="B921" s="11" t="s">
        <v>654</v>
      </c>
      <c r="C921" s="11" t="s">
        <v>4</v>
      </c>
      <c r="D921" s="11" t="s">
        <v>940</v>
      </c>
      <c r="E921" s="11" t="s">
        <v>882</v>
      </c>
      <c r="F921" s="11" t="s">
        <v>966</v>
      </c>
      <c r="G921" s="12">
        <v>24</v>
      </c>
      <c r="H921" s="12">
        <v>14</v>
      </c>
      <c r="I921" s="12">
        <v>336</v>
      </c>
      <c r="J921" s="12">
        <v>30351.499999999996</v>
      </c>
      <c r="K921">
        <f t="shared" si="42"/>
        <v>5</v>
      </c>
      <c r="L921">
        <f t="shared" si="43"/>
        <v>1</v>
      </c>
      <c r="M921">
        <f t="shared" si="44"/>
        <v>1</v>
      </c>
    </row>
    <row r="922" spans="1:13" x14ac:dyDescent="0.25">
      <c r="A922" s="2" t="s">
        <v>664</v>
      </c>
      <c r="B922" s="11" t="s">
        <v>654</v>
      </c>
      <c r="C922" s="11" t="s">
        <v>4</v>
      </c>
      <c r="D922" s="11" t="s">
        <v>940</v>
      </c>
      <c r="E922" s="11" t="s">
        <v>786</v>
      </c>
      <c r="F922" s="11" t="s">
        <v>967</v>
      </c>
      <c r="G922" s="12">
        <v>4</v>
      </c>
      <c r="H922" s="12">
        <v>22.86</v>
      </c>
      <c r="I922" s="12">
        <v>91.44</v>
      </c>
      <c r="J922" s="12">
        <v>30442.939999999995</v>
      </c>
      <c r="K922">
        <f t="shared" si="42"/>
        <v>8</v>
      </c>
      <c r="L922">
        <f t="shared" si="43"/>
        <v>1</v>
      </c>
      <c r="M922">
        <f t="shared" si="44"/>
        <v>1</v>
      </c>
    </row>
    <row r="923" spans="1:13" x14ac:dyDescent="0.25">
      <c r="A923" s="2" t="s">
        <v>664</v>
      </c>
      <c r="B923" s="11" t="s">
        <v>654</v>
      </c>
      <c r="C923" s="11" t="s">
        <v>4</v>
      </c>
      <c r="D923" s="11" t="s">
        <v>940</v>
      </c>
      <c r="E923" s="11" t="s">
        <v>788</v>
      </c>
      <c r="F923" s="11" t="s">
        <v>968</v>
      </c>
      <c r="G923" s="12">
        <v>3</v>
      </c>
      <c r="H923" s="12">
        <v>12.84</v>
      </c>
      <c r="I923" s="12">
        <v>38.520000000000003</v>
      </c>
      <c r="J923" s="12">
        <v>30481.459999999995</v>
      </c>
      <c r="K923">
        <f t="shared" si="42"/>
        <v>6</v>
      </c>
      <c r="L923">
        <f t="shared" si="43"/>
        <v>1</v>
      </c>
      <c r="M923">
        <f t="shared" si="44"/>
        <v>1</v>
      </c>
    </row>
    <row r="924" spans="1:13" x14ac:dyDescent="0.25">
      <c r="A924" s="2" t="s">
        <v>664</v>
      </c>
      <c r="B924" s="11" t="s">
        <v>654</v>
      </c>
      <c r="C924" s="11" t="s">
        <v>4</v>
      </c>
      <c r="D924" s="11" t="s">
        <v>940</v>
      </c>
      <c r="E924" s="11" t="s">
        <v>887</v>
      </c>
      <c r="F924" s="11" t="s">
        <v>969</v>
      </c>
      <c r="G924" s="12">
        <v>3</v>
      </c>
      <c r="H924" s="12">
        <v>12.84</v>
      </c>
      <c r="I924" s="12">
        <v>38.520000000000003</v>
      </c>
      <c r="J924" s="12">
        <v>30519.979999999996</v>
      </c>
      <c r="K924">
        <f t="shared" si="42"/>
        <v>3</v>
      </c>
      <c r="L924">
        <f t="shared" si="43"/>
        <v>1</v>
      </c>
      <c r="M924">
        <f t="shared" si="44"/>
        <v>1</v>
      </c>
    </row>
    <row r="925" spans="1:13" x14ac:dyDescent="0.25">
      <c r="A925" s="2" t="s">
        <v>664</v>
      </c>
      <c r="B925" s="11" t="s">
        <v>654</v>
      </c>
      <c r="C925" s="11" t="s">
        <v>4</v>
      </c>
      <c r="D925" s="11" t="s">
        <v>940</v>
      </c>
      <c r="E925" s="11" t="s">
        <v>889</v>
      </c>
      <c r="F925" s="11" t="s">
        <v>970</v>
      </c>
      <c r="G925" s="12">
        <v>3</v>
      </c>
      <c r="H925" s="12">
        <v>12.84</v>
      </c>
      <c r="I925" s="12">
        <v>38.520000000000003</v>
      </c>
      <c r="J925" s="12">
        <v>30558.499999999996</v>
      </c>
      <c r="K925">
        <f t="shared" si="42"/>
        <v>3</v>
      </c>
      <c r="L925">
        <f t="shared" si="43"/>
        <v>1</v>
      </c>
      <c r="M925">
        <f t="shared" si="44"/>
        <v>1</v>
      </c>
    </row>
    <row r="926" spans="1:13" x14ac:dyDescent="0.25">
      <c r="A926" s="2" t="s">
        <v>664</v>
      </c>
      <c r="B926" s="11" t="s">
        <v>654</v>
      </c>
      <c r="C926" s="11" t="s">
        <v>4</v>
      </c>
      <c r="D926" s="11" t="s">
        <v>940</v>
      </c>
      <c r="E926" s="11" t="s">
        <v>891</v>
      </c>
      <c r="F926" s="11" t="s">
        <v>971</v>
      </c>
      <c r="G926" s="12">
        <v>4</v>
      </c>
      <c r="H926" s="12">
        <v>13.91</v>
      </c>
      <c r="I926" s="12">
        <v>55.64</v>
      </c>
      <c r="J926" s="12">
        <v>30614.139999999996</v>
      </c>
      <c r="K926">
        <f t="shared" si="42"/>
        <v>4</v>
      </c>
      <c r="L926">
        <f t="shared" si="43"/>
        <v>1</v>
      </c>
      <c r="M926">
        <f t="shared" si="44"/>
        <v>1</v>
      </c>
    </row>
    <row r="927" spans="1:13" x14ac:dyDescent="0.25">
      <c r="A927" s="2" t="s">
        <v>664</v>
      </c>
      <c r="B927" s="11" t="s">
        <v>654</v>
      </c>
      <c r="C927" s="11" t="s">
        <v>4</v>
      </c>
      <c r="D927" s="11" t="s">
        <v>940</v>
      </c>
      <c r="E927" s="11" t="s">
        <v>897</v>
      </c>
      <c r="F927" s="11" t="s">
        <v>972</v>
      </c>
      <c r="G927" s="12">
        <v>4</v>
      </c>
      <c r="H927" s="12">
        <v>14</v>
      </c>
      <c r="I927" s="12">
        <v>56</v>
      </c>
      <c r="J927" s="12">
        <v>30670.139999999996</v>
      </c>
      <c r="K927">
        <f t="shared" si="42"/>
        <v>3</v>
      </c>
      <c r="L927">
        <f t="shared" si="43"/>
        <v>1</v>
      </c>
      <c r="M927">
        <f t="shared" si="44"/>
        <v>1</v>
      </c>
    </row>
    <row r="928" spans="1:13" x14ac:dyDescent="0.25">
      <c r="A928" s="2" t="s">
        <v>664</v>
      </c>
      <c r="B928" s="11" t="s">
        <v>654</v>
      </c>
      <c r="C928" s="11" t="s">
        <v>4</v>
      </c>
      <c r="D928" s="11" t="s">
        <v>940</v>
      </c>
      <c r="E928" s="11" t="s">
        <v>899</v>
      </c>
      <c r="F928" s="11" t="s">
        <v>900</v>
      </c>
      <c r="G928" s="12">
        <v>8</v>
      </c>
      <c r="H928" s="12">
        <v>14</v>
      </c>
      <c r="I928" s="12">
        <v>112</v>
      </c>
      <c r="J928" s="12">
        <v>30782.139999999996</v>
      </c>
      <c r="K928">
        <f t="shared" si="42"/>
        <v>2</v>
      </c>
      <c r="L928">
        <f t="shared" si="43"/>
        <v>1</v>
      </c>
      <c r="M928">
        <f t="shared" si="44"/>
        <v>1</v>
      </c>
    </row>
    <row r="929" spans="1:13" x14ac:dyDescent="0.25">
      <c r="A929" s="2" t="s">
        <v>664</v>
      </c>
      <c r="B929" s="11" t="s">
        <v>654</v>
      </c>
      <c r="C929" s="11" t="s">
        <v>4</v>
      </c>
      <c r="D929" s="11" t="s">
        <v>940</v>
      </c>
      <c r="E929" s="11" t="s">
        <v>62</v>
      </c>
      <c r="F929" s="11" t="s">
        <v>63</v>
      </c>
      <c r="G929" s="12">
        <v>5</v>
      </c>
      <c r="H929" s="12">
        <v>13.57</v>
      </c>
      <c r="I929" s="12">
        <v>67.849999999999994</v>
      </c>
      <c r="J929" s="12">
        <v>30849.989999999994</v>
      </c>
      <c r="K929">
        <f t="shared" si="42"/>
        <v>8</v>
      </c>
      <c r="L929">
        <f t="shared" si="43"/>
        <v>1</v>
      </c>
      <c r="M929">
        <f t="shared" si="44"/>
        <v>1</v>
      </c>
    </row>
    <row r="930" spans="1:13" x14ac:dyDescent="0.25">
      <c r="A930" s="2" t="s">
        <v>664</v>
      </c>
      <c r="B930" s="11" t="s">
        <v>654</v>
      </c>
      <c r="C930" s="11" t="s">
        <v>4</v>
      </c>
      <c r="D930" s="11" t="s">
        <v>940</v>
      </c>
      <c r="E930" s="11" t="s">
        <v>56</v>
      </c>
      <c r="F930" s="11" t="s">
        <v>57</v>
      </c>
      <c r="G930" s="12">
        <v>4</v>
      </c>
      <c r="H930" s="12">
        <v>51.1</v>
      </c>
      <c r="I930" s="12">
        <v>204.4</v>
      </c>
      <c r="J930" s="12">
        <v>31054.389999999996</v>
      </c>
      <c r="K930">
        <f t="shared" si="42"/>
        <v>9</v>
      </c>
      <c r="L930">
        <f t="shared" si="43"/>
        <v>1</v>
      </c>
      <c r="M930">
        <f t="shared" si="44"/>
        <v>1</v>
      </c>
    </row>
    <row r="931" spans="1:13" x14ac:dyDescent="0.25">
      <c r="A931" s="2" t="s">
        <v>664</v>
      </c>
      <c r="B931" s="11" t="s">
        <v>654</v>
      </c>
      <c r="C931" s="11" t="s">
        <v>4</v>
      </c>
      <c r="D931" s="11" t="s">
        <v>940</v>
      </c>
      <c r="E931" s="11" t="s">
        <v>58</v>
      </c>
      <c r="F931" s="11" t="s">
        <v>59</v>
      </c>
      <c r="G931" s="12">
        <v>5</v>
      </c>
      <c r="H931" s="12">
        <v>57.39</v>
      </c>
      <c r="I931" s="12">
        <v>286.95</v>
      </c>
      <c r="J931" s="12">
        <v>31341.339999999997</v>
      </c>
      <c r="K931">
        <f t="shared" si="42"/>
        <v>9</v>
      </c>
      <c r="L931">
        <f t="shared" si="43"/>
        <v>1</v>
      </c>
      <c r="M931">
        <f t="shared" si="44"/>
        <v>1</v>
      </c>
    </row>
    <row r="932" spans="1:13" x14ac:dyDescent="0.25">
      <c r="A932" s="2" t="s">
        <v>664</v>
      </c>
      <c r="B932" s="11" t="s">
        <v>654</v>
      </c>
      <c r="C932" s="11" t="s">
        <v>4</v>
      </c>
      <c r="D932" s="11" t="s">
        <v>940</v>
      </c>
      <c r="E932" s="11" t="s">
        <v>64</v>
      </c>
      <c r="F932" s="11" t="s">
        <v>65</v>
      </c>
      <c r="G932" s="12">
        <v>6</v>
      </c>
      <c r="H932" s="12">
        <v>50.9</v>
      </c>
      <c r="I932" s="12">
        <v>305.39999999999998</v>
      </c>
      <c r="J932" s="12">
        <v>31646.739999999998</v>
      </c>
      <c r="K932">
        <f t="shared" si="42"/>
        <v>6</v>
      </c>
      <c r="L932">
        <f t="shared" si="43"/>
        <v>1</v>
      </c>
      <c r="M932">
        <f t="shared" si="44"/>
        <v>1</v>
      </c>
    </row>
    <row r="933" spans="1:13" x14ac:dyDescent="0.25">
      <c r="A933" s="2" t="s">
        <v>664</v>
      </c>
      <c r="B933" s="11" t="s">
        <v>654</v>
      </c>
      <c r="C933" s="11" t="s">
        <v>4</v>
      </c>
      <c r="D933" s="11" t="s">
        <v>940</v>
      </c>
      <c r="E933" s="11" t="s">
        <v>348</v>
      </c>
      <c r="F933" s="11" t="s">
        <v>433</v>
      </c>
      <c r="G933" s="12">
        <v>6</v>
      </c>
      <c r="H933" s="12">
        <v>18.32</v>
      </c>
      <c r="I933" s="12">
        <v>109.92</v>
      </c>
      <c r="J933" s="12">
        <v>31756.659999999996</v>
      </c>
      <c r="K933">
        <f t="shared" si="42"/>
        <v>7</v>
      </c>
      <c r="L933">
        <f t="shared" si="43"/>
        <v>1</v>
      </c>
      <c r="M933">
        <f t="shared" si="44"/>
        <v>1</v>
      </c>
    </row>
    <row r="934" spans="1:13" x14ac:dyDescent="0.25">
      <c r="A934" s="2" t="s">
        <v>664</v>
      </c>
      <c r="B934" s="11" t="s">
        <v>654</v>
      </c>
      <c r="C934" s="11" t="s">
        <v>4</v>
      </c>
      <c r="D934" s="11" t="s">
        <v>940</v>
      </c>
      <c r="E934" s="11" t="s">
        <v>743</v>
      </c>
      <c r="F934" s="11" t="s">
        <v>973</v>
      </c>
      <c r="G934" s="12">
        <v>12</v>
      </c>
      <c r="H934" s="12">
        <v>64.2</v>
      </c>
      <c r="I934" s="12">
        <v>770.4</v>
      </c>
      <c r="J934" s="12">
        <v>32527.059999999998</v>
      </c>
      <c r="K934">
        <f t="shared" si="42"/>
        <v>5</v>
      </c>
      <c r="L934">
        <f t="shared" si="43"/>
        <v>1</v>
      </c>
      <c r="M934">
        <f t="shared" si="44"/>
        <v>1</v>
      </c>
    </row>
    <row r="935" spans="1:13" x14ac:dyDescent="0.25">
      <c r="A935" s="2" t="s">
        <v>664</v>
      </c>
      <c r="B935" s="11" t="s">
        <v>654</v>
      </c>
      <c r="C935" s="11" t="s">
        <v>4</v>
      </c>
      <c r="D935" s="11" t="s">
        <v>940</v>
      </c>
      <c r="E935" s="11" t="s">
        <v>745</v>
      </c>
      <c r="F935" s="11" t="s">
        <v>974</v>
      </c>
      <c r="G935" s="12">
        <v>4</v>
      </c>
      <c r="H935" s="12">
        <v>64.2</v>
      </c>
      <c r="I935" s="12">
        <v>256.8</v>
      </c>
      <c r="J935" s="12">
        <v>32783.86</v>
      </c>
      <c r="K935">
        <f t="shared" si="42"/>
        <v>5</v>
      </c>
      <c r="L935">
        <f t="shared" si="43"/>
        <v>1</v>
      </c>
      <c r="M935">
        <f t="shared" si="44"/>
        <v>1</v>
      </c>
    </row>
    <row r="936" spans="1:13" x14ac:dyDescent="0.25">
      <c r="A936" s="2" t="s">
        <v>664</v>
      </c>
      <c r="B936" s="11" t="s">
        <v>654</v>
      </c>
      <c r="C936" s="11" t="s">
        <v>4</v>
      </c>
      <c r="D936" s="11" t="s">
        <v>940</v>
      </c>
      <c r="E936" s="11" t="s">
        <v>908</v>
      </c>
      <c r="F936" s="11" t="s">
        <v>975</v>
      </c>
      <c r="G936" s="12">
        <v>2</v>
      </c>
      <c r="H936" s="12">
        <v>37.11</v>
      </c>
      <c r="I936" s="12">
        <v>74.22</v>
      </c>
      <c r="J936" s="12">
        <v>32858.080000000002</v>
      </c>
      <c r="K936">
        <f t="shared" si="42"/>
        <v>2</v>
      </c>
      <c r="L936">
        <f t="shared" si="43"/>
        <v>1</v>
      </c>
      <c r="M936">
        <f t="shared" si="44"/>
        <v>1</v>
      </c>
    </row>
    <row r="937" spans="1:13" x14ac:dyDescent="0.25">
      <c r="A937" s="2" t="s">
        <v>664</v>
      </c>
      <c r="B937" s="11" t="s">
        <v>654</v>
      </c>
      <c r="C937" s="11" t="s">
        <v>4</v>
      </c>
      <c r="D937" s="11" t="s">
        <v>940</v>
      </c>
      <c r="E937" s="11" t="s">
        <v>910</v>
      </c>
      <c r="F937" s="11" t="s">
        <v>976</v>
      </c>
      <c r="G937" s="12">
        <v>2</v>
      </c>
      <c r="H937" s="12">
        <v>42.24</v>
      </c>
      <c r="I937" s="12">
        <v>84.48</v>
      </c>
      <c r="J937" s="12">
        <v>32942.560000000005</v>
      </c>
      <c r="K937">
        <f t="shared" si="42"/>
        <v>6</v>
      </c>
      <c r="L937">
        <f t="shared" si="43"/>
        <v>1</v>
      </c>
      <c r="M937">
        <f t="shared" si="44"/>
        <v>1</v>
      </c>
    </row>
    <row r="938" spans="1:13" x14ac:dyDescent="0.25">
      <c r="A938" s="2" t="s">
        <v>664</v>
      </c>
      <c r="B938" s="11" t="s">
        <v>654</v>
      </c>
      <c r="C938" s="11" t="s">
        <v>4</v>
      </c>
      <c r="D938" s="11" t="s">
        <v>940</v>
      </c>
      <c r="E938" s="11" t="s">
        <v>914</v>
      </c>
      <c r="F938" s="11" t="s">
        <v>977</v>
      </c>
      <c r="G938" s="12">
        <v>2</v>
      </c>
      <c r="H938" s="12">
        <v>49.95</v>
      </c>
      <c r="I938" s="12">
        <v>99.9</v>
      </c>
      <c r="J938" s="12">
        <v>33042.460000000006</v>
      </c>
      <c r="K938">
        <f t="shared" si="42"/>
        <v>5</v>
      </c>
      <c r="L938">
        <f t="shared" si="43"/>
        <v>1</v>
      </c>
      <c r="M938">
        <f t="shared" si="44"/>
        <v>1</v>
      </c>
    </row>
    <row r="939" spans="1:13" x14ac:dyDescent="0.25">
      <c r="A939" s="2" t="s">
        <v>664</v>
      </c>
      <c r="B939" s="11" t="s">
        <v>654</v>
      </c>
      <c r="C939" s="11" t="s">
        <v>4</v>
      </c>
      <c r="D939" s="11" t="s">
        <v>940</v>
      </c>
      <c r="E939" s="11" t="s">
        <v>752</v>
      </c>
      <c r="F939" s="11" t="s">
        <v>978</v>
      </c>
      <c r="G939" s="12">
        <v>2</v>
      </c>
      <c r="H939" s="12">
        <v>37.450000000000003</v>
      </c>
      <c r="I939" s="12">
        <v>74.900000000000006</v>
      </c>
      <c r="J939" s="12">
        <v>33117.360000000008</v>
      </c>
      <c r="K939">
        <f t="shared" si="42"/>
        <v>6</v>
      </c>
      <c r="L939">
        <f t="shared" si="43"/>
        <v>1</v>
      </c>
      <c r="M939">
        <f t="shared" si="44"/>
        <v>1</v>
      </c>
    </row>
    <row r="940" spans="1:13" x14ac:dyDescent="0.25">
      <c r="A940" s="2" t="s">
        <v>664</v>
      </c>
      <c r="B940" s="11" t="s">
        <v>654</v>
      </c>
      <c r="C940" s="11" t="s">
        <v>4</v>
      </c>
      <c r="D940" s="11" t="s">
        <v>940</v>
      </c>
      <c r="E940" s="11" t="s">
        <v>760</v>
      </c>
      <c r="F940" s="11" t="s">
        <v>979</v>
      </c>
      <c r="G940" s="12">
        <v>8</v>
      </c>
      <c r="H940" s="12">
        <v>53.5</v>
      </c>
      <c r="I940" s="12">
        <v>428</v>
      </c>
      <c r="J940" s="12">
        <v>33545.360000000008</v>
      </c>
      <c r="K940">
        <f t="shared" si="42"/>
        <v>6</v>
      </c>
      <c r="L940">
        <f t="shared" si="43"/>
        <v>1</v>
      </c>
      <c r="M940">
        <f t="shared" si="44"/>
        <v>1</v>
      </c>
    </row>
    <row r="941" spans="1:13" x14ac:dyDescent="0.25">
      <c r="A941" s="2" t="s">
        <v>664</v>
      </c>
      <c r="B941" s="11" t="s">
        <v>654</v>
      </c>
      <c r="C941" s="11" t="s">
        <v>4</v>
      </c>
      <c r="D941" s="11" t="s">
        <v>940</v>
      </c>
      <c r="E941" s="11" t="s">
        <v>762</v>
      </c>
      <c r="F941" s="11" t="s">
        <v>763</v>
      </c>
      <c r="G941" s="12">
        <v>14</v>
      </c>
      <c r="H941" s="12">
        <v>38.520000000000003</v>
      </c>
      <c r="I941" s="12">
        <v>539.28</v>
      </c>
      <c r="J941" s="12">
        <v>34084.640000000007</v>
      </c>
      <c r="K941">
        <f t="shared" si="42"/>
        <v>7</v>
      </c>
      <c r="L941">
        <f t="shared" si="43"/>
        <v>1</v>
      </c>
      <c r="M941">
        <f t="shared" si="44"/>
        <v>1</v>
      </c>
    </row>
    <row r="942" spans="1:13" x14ac:dyDescent="0.25">
      <c r="A942" s="2" t="s">
        <v>664</v>
      </c>
      <c r="B942" s="11" t="s">
        <v>654</v>
      </c>
      <c r="C942" s="11" t="s">
        <v>4</v>
      </c>
      <c r="D942" s="11" t="s">
        <v>940</v>
      </c>
      <c r="E942" s="11" t="s">
        <v>768</v>
      </c>
      <c r="F942" s="11" t="s">
        <v>980</v>
      </c>
      <c r="G942" s="12">
        <v>6</v>
      </c>
      <c r="H942" s="12">
        <v>51.15</v>
      </c>
      <c r="I942" s="12">
        <v>306.89999999999998</v>
      </c>
      <c r="J942" s="12">
        <v>34391.540000000008</v>
      </c>
      <c r="K942">
        <f t="shared" si="42"/>
        <v>5</v>
      </c>
      <c r="L942">
        <f t="shared" si="43"/>
        <v>1</v>
      </c>
      <c r="M942">
        <f t="shared" si="44"/>
        <v>1</v>
      </c>
    </row>
    <row r="943" spans="1:13" x14ac:dyDescent="0.25">
      <c r="A943" s="2" t="s">
        <v>664</v>
      </c>
      <c r="B943" s="11" t="s">
        <v>654</v>
      </c>
      <c r="C943" s="11" t="s">
        <v>4</v>
      </c>
      <c r="D943" s="11" t="s">
        <v>940</v>
      </c>
      <c r="E943" s="11" t="s">
        <v>774</v>
      </c>
      <c r="F943" s="11" t="s">
        <v>981</v>
      </c>
      <c r="G943" s="12">
        <v>5</v>
      </c>
      <c r="H943" s="12">
        <v>26.84</v>
      </c>
      <c r="I943" s="12">
        <v>134.19999999999999</v>
      </c>
      <c r="J943" s="12">
        <v>34525.740000000005</v>
      </c>
      <c r="K943">
        <f t="shared" si="42"/>
        <v>6</v>
      </c>
      <c r="L943">
        <f t="shared" si="43"/>
        <v>1</v>
      </c>
      <c r="M943">
        <f t="shared" si="44"/>
        <v>1</v>
      </c>
    </row>
    <row r="944" spans="1:13" x14ac:dyDescent="0.25">
      <c r="A944" s="2" t="s">
        <v>664</v>
      </c>
      <c r="B944" s="11" t="s">
        <v>654</v>
      </c>
      <c r="C944" s="11" t="s">
        <v>4</v>
      </c>
      <c r="D944" s="11" t="s">
        <v>940</v>
      </c>
      <c r="E944" s="11" t="s">
        <v>982</v>
      </c>
      <c r="F944" s="11" t="s">
        <v>983</v>
      </c>
      <c r="G944" s="12">
        <v>3</v>
      </c>
      <c r="H944" s="12">
        <v>28.68</v>
      </c>
      <c r="I944" s="12">
        <v>86.04</v>
      </c>
      <c r="J944" s="12">
        <v>34611.780000000006</v>
      </c>
      <c r="K944">
        <f t="shared" si="42"/>
        <v>3</v>
      </c>
      <c r="L944">
        <f t="shared" si="43"/>
        <v>1</v>
      </c>
      <c r="M944">
        <f t="shared" si="44"/>
        <v>1</v>
      </c>
    </row>
    <row r="945" spans="1:13" x14ac:dyDescent="0.25">
      <c r="A945" s="2" t="s">
        <v>664</v>
      </c>
      <c r="B945" s="11" t="s">
        <v>158</v>
      </c>
      <c r="C945" s="11" t="s">
        <v>4</v>
      </c>
      <c r="D945" s="11" t="s">
        <v>984</v>
      </c>
      <c r="E945" s="11" t="s">
        <v>667</v>
      </c>
      <c r="F945" s="11" t="s">
        <v>985</v>
      </c>
      <c r="G945" s="12">
        <v>3</v>
      </c>
      <c r="H945" s="12">
        <v>30.82</v>
      </c>
      <c r="I945" s="12">
        <v>92.46</v>
      </c>
      <c r="J945" s="12">
        <v>34704.240000000005</v>
      </c>
      <c r="K945">
        <f t="shared" si="42"/>
        <v>7</v>
      </c>
      <c r="L945">
        <f t="shared" si="43"/>
        <v>1</v>
      </c>
      <c r="M945">
        <f t="shared" si="44"/>
        <v>1</v>
      </c>
    </row>
    <row r="946" spans="1:13" x14ac:dyDescent="0.25">
      <c r="A946" s="2" t="s">
        <v>664</v>
      </c>
      <c r="B946" s="11" t="s">
        <v>158</v>
      </c>
      <c r="C946" s="11" t="s">
        <v>4</v>
      </c>
      <c r="D946" s="11" t="s">
        <v>984</v>
      </c>
      <c r="E946" s="11" t="s">
        <v>825</v>
      </c>
      <c r="F946" s="11" t="s">
        <v>986</v>
      </c>
      <c r="G946" s="12">
        <v>2</v>
      </c>
      <c r="H946" s="12">
        <v>30</v>
      </c>
      <c r="I946" s="12">
        <v>60</v>
      </c>
      <c r="J946" s="12">
        <v>34764.240000000005</v>
      </c>
      <c r="K946">
        <f t="shared" si="42"/>
        <v>6</v>
      </c>
      <c r="L946">
        <f t="shared" si="43"/>
        <v>1</v>
      </c>
      <c r="M946">
        <f t="shared" si="44"/>
        <v>1</v>
      </c>
    </row>
    <row r="947" spans="1:13" x14ac:dyDescent="0.25">
      <c r="A947" s="2" t="s">
        <v>664</v>
      </c>
      <c r="B947" s="11" t="s">
        <v>158</v>
      </c>
      <c r="C947" s="11" t="s">
        <v>4</v>
      </c>
      <c r="D947" s="11" t="s">
        <v>984</v>
      </c>
      <c r="E947" s="11" t="s">
        <v>685</v>
      </c>
      <c r="F947" s="11" t="s">
        <v>685</v>
      </c>
      <c r="G947" s="12">
        <v>10</v>
      </c>
      <c r="H947" s="12">
        <v>25.54</v>
      </c>
      <c r="I947" s="12">
        <v>255.4</v>
      </c>
      <c r="J947" s="12">
        <v>35019.640000000007</v>
      </c>
      <c r="K947">
        <f t="shared" si="42"/>
        <v>5</v>
      </c>
      <c r="L947">
        <f t="shared" si="43"/>
        <v>1</v>
      </c>
      <c r="M947">
        <f t="shared" si="44"/>
        <v>1</v>
      </c>
    </row>
    <row r="948" spans="1:13" x14ac:dyDescent="0.25">
      <c r="A948" s="2" t="s">
        <v>664</v>
      </c>
      <c r="B948" s="11" t="s">
        <v>158</v>
      </c>
      <c r="C948" s="11" t="s">
        <v>4</v>
      </c>
      <c r="D948" s="11" t="s">
        <v>984</v>
      </c>
      <c r="E948" s="11" t="s">
        <v>828</v>
      </c>
      <c r="F948" s="11" t="s">
        <v>987</v>
      </c>
      <c r="G948" s="12">
        <v>3</v>
      </c>
      <c r="H948" s="12">
        <v>28.89</v>
      </c>
      <c r="I948" s="12">
        <v>86.67</v>
      </c>
      <c r="J948" s="12">
        <v>35106.310000000005</v>
      </c>
      <c r="K948">
        <f t="shared" si="42"/>
        <v>5</v>
      </c>
      <c r="L948">
        <f t="shared" si="43"/>
        <v>1</v>
      </c>
      <c r="M948">
        <f t="shared" si="44"/>
        <v>1</v>
      </c>
    </row>
    <row r="949" spans="1:13" x14ac:dyDescent="0.25">
      <c r="A949" s="2" t="s">
        <v>664</v>
      </c>
      <c r="B949" s="11" t="s">
        <v>158</v>
      </c>
      <c r="C949" s="11" t="s">
        <v>4</v>
      </c>
      <c r="D949" s="11" t="s">
        <v>984</v>
      </c>
      <c r="E949" s="11" t="s">
        <v>692</v>
      </c>
      <c r="F949" s="11" t="s">
        <v>944</v>
      </c>
      <c r="G949" s="12">
        <v>15</v>
      </c>
      <c r="H949" s="12">
        <v>39.68</v>
      </c>
      <c r="I949" s="12">
        <v>595.20000000000005</v>
      </c>
      <c r="J949" s="12">
        <v>35701.51</v>
      </c>
      <c r="K949">
        <f t="shared" si="42"/>
        <v>8</v>
      </c>
      <c r="L949">
        <f t="shared" si="43"/>
        <v>1</v>
      </c>
      <c r="M949">
        <f t="shared" si="44"/>
        <v>1</v>
      </c>
    </row>
    <row r="950" spans="1:13" x14ac:dyDescent="0.25">
      <c r="A950" s="2" t="s">
        <v>664</v>
      </c>
      <c r="B950" s="11" t="s">
        <v>158</v>
      </c>
      <c r="C950" s="11" t="s">
        <v>4</v>
      </c>
      <c r="D950" s="11" t="s">
        <v>984</v>
      </c>
      <c r="E950" s="11" t="s">
        <v>832</v>
      </c>
      <c r="F950" s="11" t="s">
        <v>988</v>
      </c>
      <c r="G950" s="12">
        <v>2</v>
      </c>
      <c r="H950" s="12">
        <v>39.68</v>
      </c>
      <c r="I950" s="12">
        <v>79.36</v>
      </c>
      <c r="J950" s="12">
        <v>35780.870000000003</v>
      </c>
      <c r="K950">
        <f t="shared" si="42"/>
        <v>4</v>
      </c>
      <c r="L950">
        <f t="shared" si="43"/>
        <v>1</v>
      </c>
      <c r="M950">
        <f t="shared" si="44"/>
        <v>1</v>
      </c>
    </row>
    <row r="951" spans="1:13" x14ac:dyDescent="0.25">
      <c r="A951" s="2" t="s">
        <v>664</v>
      </c>
      <c r="B951" s="11" t="s">
        <v>158</v>
      </c>
      <c r="C951" s="11" t="s">
        <v>4</v>
      </c>
      <c r="D951" s="11" t="s">
        <v>984</v>
      </c>
      <c r="E951" s="11" t="s">
        <v>989</v>
      </c>
      <c r="F951" s="11" t="s">
        <v>990</v>
      </c>
      <c r="G951" s="12">
        <v>2</v>
      </c>
      <c r="H951" s="12">
        <v>32</v>
      </c>
      <c r="I951" s="12">
        <v>64</v>
      </c>
      <c r="J951" s="12">
        <v>35844.870000000003</v>
      </c>
      <c r="K951">
        <f t="shared" si="42"/>
        <v>2</v>
      </c>
      <c r="L951">
        <f t="shared" si="43"/>
        <v>1</v>
      </c>
      <c r="M951">
        <f t="shared" si="44"/>
        <v>1</v>
      </c>
    </row>
    <row r="952" spans="1:13" x14ac:dyDescent="0.25">
      <c r="A952" s="2" t="s">
        <v>664</v>
      </c>
      <c r="B952" s="11" t="s">
        <v>158</v>
      </c>
      <c r="C952" s="11" t="s">
        <v>4</v>
      </c>
      <c r="D952" s="11" t="s">
        <v>984</v>
      </c>
      <c r="E952" s="11" t="s">
        <v>698</v>
      </c>
      <c r="F952" s="11" t="s">
        <v>991</v>
      </c>
      <c r="G952" s="12">
        <v>50</v>
      </c>
      <c r="H952" s="12">
        <v>23.96</v>
      </c>
      <c r="I952" s="12">
        <v>1198</v>
      </c>
      <c r="J952" s="12">
        <v>37042.870000000003</v>
      </c>
      <c r="K952">
        <f t="shared" si="42"/>
        <v>5</v>
      </c>
      <c r="L952">
        <f t="shared" si="43"/>
        <v>1</v>
      </c>
      <c r="M952">
        <f t="shared" si="44"/>
        <v>1</v>
      </c>
    </row>
    <row r="953" spans="1:13" x14ac:dyDescent="0.25">
      <c r="A953" s="2" t="s">
        <v>664</v>
      </c>
      <c r="B953" s="11" t="s">
        <v>158</v>
      </c>
      <c r="C953" s="11" t="s">
        <v>4</v>
      </c>
      <c r="D953" s="11" t="s">
        <v>984</v>
      </c>
      <c r="E953" s="11" t="s">
        <v>702</v>
      </c>
      <c r="F953" s="11" t="s">
        <v>992</v>
      </c>
      <c r="G953" s="12">
        <v>8</v>
      </c>
      <c r="H953" s="12">
        <v>45.96</v>
      </c>
      <c r="I953" s="12">
        <v>367.68</v>
      </c>
      <c r="J953" s="12">
        <v>37410.550000000003</v>
      </c>
      <c r="K953">
        <f t="shared" si="42"/>
        <v>10</v>
      </c>
      <c r="L953">
        <f t="shared" si="43"/>
        <v>1</v>
      </c>
      <c r="M953">
        <f t="shared" si="44"/>
        <v>1</v>
      </c>
    </row>
    <row r="954" spans="1:13" x14ac:dyDescent="0.25">
      <c r="A954" s="2" t="s">
        <v>664</v>
      </c>
      <c r="B954" s="11" t="s">
        <v>158</v>
      </c>
      <c r="C954" s="11" t="s">
        <v>4</v>
      </c>
      <c r="D954" s="11" t="s">
        <v>984</v>
      </c>
      <c r="E954" s="11" t="s">
        <v>835</v>
      </c>
      <c r="F954" s="11" t="s">
        <v>993</v>
      </c>
      <c r="G954" s="12">
        <v>3</v>
      </c>
      <c r="H954" s="12">
        <v>30.82</v>
      </c>
      <c r="I954" s="12">
        <v>92.46</v>
      </c>
      <c r="J954" s="12">
        <v>37503.01</v>
      </c>
      <c r="K954">
        <f t="shared" si="42"/>
        <v>4</v>
      </c>
      <c r="L954">
        <f t="shared" si="43"/>
        <v>1</v>
      </c>
      <c r="M954">
        <f t="shared" si="44"/>
        <v>1</v>
      </c>
    </row>
    <row r="955" spans="1:13" x14ac:dyDescent="0.25">
      <c r="A955" s="2" t="s">
        <v>664</v>
      </c>
      <c r="B955" s="11" t="s">
        <v>158</v>
      </c>
      <c r="C955" s="11" t="s">
        <v>4</v>
      </c>
      <c r="D955" s="11" t="s">
        <v>984</v>
      </c>
      <c r="E955" s="11" t="s">
        <v>778</v>
      </c>
      <c r="F955" s="11" t="s">
        <v>994</v>
      </c>
      <c r="G955" s="12">
        <v>3</v>
      </c>
      <c r="H955" s="12">
        <v>30.82</v>
      </c>
      <c r="I955" s="12">
        <v>92.46</v>
      </c>
      <c r="J955" s="12">
        <v>37595.47</v>
      </c>
      <c r="K955">
        <f t="shared" si="42"/>
        <v>6</v>
      </c>
      <c r="L955">
        <f t="shared" si="43"/>
        <v>1</v>
      </c>
      <c r="M955">
        <f t="shared" si="44"/>
        <v>1</v>
      </c>
    </row>
    <row r="956" spans="1:13" x14ac:dyDescent="0.25">
      <c r="A956" s="2" t="s">
        <v>664</v>
      </c>
      <c r="B956" s="11" t="s">
        <v>158</v>
      </c>
      <c r="C956" s="11" t="s">
        <v>4</v>
      </c>
      <c r="D956" s="11" t="s">
        <v>984</v>
      </c>
      <c r="E956" s="11" t="s">
        <v>720</v>
      </c>
      <c r="F956" s="11" t="s">
        <v>721</v>
      </c>
      <c r="G956" s="12">
        <v>2</v>
      </c>
      <c r="H956" s="12">
        <v>23.96</v>
      </c>
      <c r="I956" s="12">
        <v>47.92</v>
      </c>
      <c r="J956" s="12">
        <v>37643.39</v>
      </c>
      <c r="K956">
        <f t="shared" si="42"/>
        <v>8</v>
      </c>
      <c r="L956">
        <f t="shared" si="43"/>
        <v>1</v>
      </c>
      <c r="M956">
        <f t="shared" si="44"/>
        <v>1</v>
      </c>
    </row>
    <row r="957" spans="1:13" x14ac:dyDescent="0.25">
      <c r="A957" s="2" t="s">
        <v>664</v>
      </c>
      <c r="B957" s="11" t="s">
        <v>158</v>
      </c>
      <c r="C957" s="11" t="s">
        <v>4</v>
      </c>
      <c r="D957" s="11" t="s">
        <v>984</v>
      </c>
      <c r="E957" s="11" t="s">
        <v>995</v>
      </c>
      <c r="F957" s="11" t="s">
        <v>996</v>
      </c>
      <c r="G957" s="12">
        <v>2</v>
      </c>
      <c r="H957" s="12">
        <v>36</v>
      </c>
      <c r="I957" s="12">
        <v>72</v>
      </c>
      <c r="J957" s="12">
        <v>37715.39</v>
      </c>
      <c r="K957">
        <f t="shared" si="42"/>
        <v>2</v>
      </c>
      <c r="L957">
        <f t="shared" si="43"/>
        <v>1</v>
      </c>
      <c r="M957">
        <f t="shared" si="44"/>
        <v>1</v>
      </c>
    </row>
    <row r="958" spans="1:13" x14ac:dyDescent="0.25">
      <c r="A958" s="2" t="s">
        <v>664</v>
      </c>
      <c r="B958" s="11" t="s">
        <v>158</v>
      </c>
      <c r="C958" s="11" t="s">
        <v>4</v>
      </c>
      <c r="D958" s="11" t="s">
        <v>984</v>
      </c>
      <c r="E958" s="11" t="s">
        <v>997</v>
      </c>
      <c r="F958" s="11" t="s">
        <v>998</v>
      </c>
      <c r="G958" s="12">
        <v>2</v>
      </c>
      <c r="H958" s="12">
        <v>35</v>
      </c>
      <c r="I958" s="12">
        <v>70</v>
      </c>
      <c r="J958" s="12">
        <v>37785.39</v>
      </c>
      <c r="K958">
        <f t="shared" si="42"/>
        <v>2</v>
      </c>
      <c r="L958">
        <f t="shared" si="43"/>
        <v>1</v>
      </c>
      <c r="M958">
        <f t="shared" si="44"/>
        <v>1</v>
      </c>
    </row>
    <row r="959" spans="1:13" x14ac:dyDescent="0.25">
      <c r="A959" s="2" t="s">
        <v>664</v>
      </c>
      <c r="B959" s="11" t="s">
        <v>158</v>
      </c>
      <c r="C959" s="11" t="s">
        <v>4</v>
      </c>
      <c r="D959" s="11" t="s">
        <v>984</v>
      </c>
      <c r="E959" s="11" t="s">
        <v>999</v>
      </c>
      <c r="F959" s="11" t="s">
        <v>999</v>
      </c>
      <c r="G959" s="12">
        <v>3</v>
      </c>
      <c r="H959" s="12">
        <v>9.99</v>
      </c>
      <c r="I959" s="12">
        <v>29.97</v>
      </c>
      <c r="J959" s="12">
        <v>37815.360000000001</v>
      </c>
      <c r="K959">
        <f t="shared" si="42"/>
        <v>5</v>
      </c>
      <c r="L959">
        <f t="shared" si="43"/>
        <v>1</v>
      </c>
      <c r="M959">
        <f t="shared" si="44"/>
        <v>1</v>
      </c>
    </row>
    <row r="960" spans="1:13" x14ac:dyDescent="0.25">
      <c r="A960" s="2" t="s">
        <v>664</v>
      </c>
      <c r="B960" s="11" t="s">
        <v>158</v>
      </c>
      <c r="C960" s="11" t="s">
        <v>4</v>
      </c>
      <c r="D960" s="11" t="s">
        <v>984</v>
      </c>
      <c r="E960" s="11" t="s">
        <v>1000</v>
      </c>
      <c r="F960" s="11" t="s">
        <v>1000</v>
      </c>
      <c r="G960" s="12">
        <v>2</v>
      </c>
      <c r="H960" s="12">
        <v>78.959999999999994</v>
      </c>
      <c r="I960" s="12">
        <v>157.91999999999999</v>
      </c>
      <c r="J960" s="12">
        <v>37973.279999999999</v>
      </c>
      <c r="K960">
        <f t="shared" si="42"/>
        <v>5</v>
      </c>
      <c r="L960">
        <f t="shared" si="43"/>
        <v>1</v>
      </c>
      <c r="M960">
        <f t="shared" si="44"/>
        <v>1</v>
      </c>
    </row>
    <row r="961" spans="1:13" x14ac:dyDescent="0.25">
      <c r="A961" s="2" t="s">
        <v>664</v>
      </c>
      <c r="B961" s="11" t="s">
        <v>158</v>
      </c>
      <c r="C961" s="11" t="s">
        <v>4</v>
      </c>
      <c r="D961" s="11" t="s">
        <v>984</v>
      </c>
      <c r="E961" s="11" t="s">
        <v>845</v>
      </c>
      <c r="F961" s="11" t="s">
        <v>1001</v>
      </c>
      <c r="G961" s="12">
        <v>6</v>
      </c>
      <c r="H961" s="12">
        <v>19.899999999999999</v>
      </c>
      <c r="I961" s="12">
        <v>119.4</v>
      </c>
      <c r="J961" s="12">
        <v>38092.68</v>
      </c>
      <c r="K961">
        <f t="shared" si="42"/>
        <v>2</v>
      </c>
      <c r="L961">
        <f t="shared" si="43"/>
        <v>1</v>
      </c>
      <c r="M961">
        <f t="shared" si="44"/>
        <v>1</v>
      </c>
    </row>
    <row r="962" spans="1:13" x14ac:dyDescent="0.25">
      <c r="A962" s="2" t="s">
        <v>664</v>
      </c>
      <c r="B962" s="11" t="s">
        <v>158</v>
      </c>
      <c r="C962" s="11" t="s">
        <v>4</v>
      </c>
      <c r="D962" s="11" t="s">
        <v>984</v>
      </c>
      <c r="E962" s="11" t="s">
        <v>847</v>
      </c>
      <c r="F962" s="11" t="s">
        <v>949</v>
      </c>
      <c r="G962" s="12">
        <v>5</v>
      </c>
      <c r="H962" s="12">
        <v>14</v>
      </c>
      <c r="I962" s="12">
        <v>70</v>
      </c>
      <c r="J962" s="12">
        <v>38162.68</v>
      </c>
      <c r="K962">
        <f t="shared" si="42"/>
        <v>3</v>
      </c>
      <c r="L962">
        <f t="shared" si="43"/>
        <v>1</v>
      </c>
      <c r="M962">
        <f t="shared" si="44"/>
        <v>1</v>
      </c>
    </row>
    <row r="963" spans="1:13" x14ac:dyDescent="0.25">
      <c r="A963" s="2" t="s">
        <v>664</v>
      </c>
      <c r="B963" s="11" t="s">
        <v>158</v>
      </c>
      <c r="C963" s="11" t="s">
        <v>4</v>
      </c>
      <c r="D963" s="11" t="s">
        <v>984</v>
      </c>
      <c r="E963" s="11" t="s">
        <v>37</v>
      </c>
      <c r="F963" s="11" t="s">
        <v>38</v>
      </c>
      <c r="G963" s="12">
        <v>5</v>
      </c>
      <c r="H963" s="12">
        <v>73.8</v>
      </c>
      <c r="I963" s="12">
        <v>369</v>
      </c>
      <c r="J963" s="12">
        <v>38531.68</v>
      </c>
      <c r="K963">
        <f t="shared" ref="K963:K1026" si="45">COUNTIF($E$2:$E$1466,E963)</f>
        <v>7</v>
      </c>
      <c r="L963">
        <f t="shared" ref="L963:L1026" si="46">IF(G963&gt;0,1,0)</f>
        <v>1</v>
      </c>
      <c r="M963">
        <f t="shared" ref="M963:M1026" si="47">IF(H963&gt;0,1,0)</f>
        <v>1</v>
      </c>
    </row>
    <row r="964" spans="1:13" x14ac:dyDescent="0.25">
      <c r="A964" s="2" t="s">
        <v>664</v>
      </c>
      <c r="B964" s="11" t="s">
        <v>158</v>
      </c>
      <c r="C964" s="11" t="s">
        <v>4</v>
      </c>
      <c r="D964" s="11" t="s">
        <v>984</v>
      </c>
      <c r="E964" s="11" t="s">
        <v>42</v>
      </c>
      <c r="F964" s="11" t="s">
        <v>43</v>
      </c>
      <c r="G964" s="12">
        <v>1</v>
      </c>
      <c r="H964" s="12">
        <v>85</v>
      </c>
      <c r="I964" s="12">
        <v>85</v>
      </c>
      <c r="J964" s="12">
        <v>38616.68</v>
      </c>
      <c r="K964">
        <f t="shared" si="45"/>
        <v>5</v>
      </c>
      <c r="L964">
        <f t="shared" si="46"/>
        <v>1</v>
      </c>
      <c r="M964">
        <f t="shared" si="47"/>
        <v>1</v>
      </c>
    </row>
    <row r="965" spans="1:13" x14ac:dyDescent="0.25">
      <c r="A965" s="2" t="s">
        <v>664</v>
      </c>
      <c r="B965" s="11" t="s">
        <v>158</v>
      </c>
      <c r="C965" s="11" t="s">
        <v>4</v>
      </c>
      <c r="D965" s="11" t="s">
        <v>984</v>
      </c>
      <c r="E965" s="11" t="s">
        <v>851</v>
      </c>
      <c r="F965" s="11" t="s">
        <v>951</v>
      </c>
      <c r="G965" s="12">
        <v>1</v>
      </c>
      <c r="H965" s="12">
        <v>75.97</v>
      </c>
      <c r="I965" s="12">
        <v>75.97</v>
      </c>
      <c r="J965" s="12">
        <v>38692.65</v>
      </c>
      <c r="K965">
        <f t="shared" si="45"/>
        <v>5</v>
      </c>
      <c r="L965">
        <f t="shared" si="46"/>
        <v>1</v>
      </c>
      <c r="M965">
        <f t="shared" si="47"/>
        <v>1</v>
      </c>
    </row>
    <row r="966" spans="1:13" x14ac:dyDescent="0.25">
      <c r="A966" s="2" t="s">
        <v>664</v>
      </c>
      <c r="B966" s="11" t="s">
        <v>158</v>
      </c>
      <c r="C966" s="11" t="s">
        <v>4</v>
      </c>
      <c r="D966" s="11" t="s">
        <v>984</v>
      </c>
      <c r="E966" s="11" t="s">
        <v>754</v>
      </c>
      <c r="F966" s="11" t="s">
        <v>952</v>
      </c>
      <c r="G966" s="12">
        <v>5</v>
      </c>
      <c r="H966" s="12">
        <v>38.39</v>
      </c>
      <c r="I966" s="12">
        <v>191.95</v>
      </c>
      <c r="J966" s="12">
        <v>38884.6</v>
      </c>
      <c r="K966">
        <f t="shared" si="45"/>
        <v>8</v>
      </c>
      <c r="L966">
        <f t="shared" si="46"/>
        <v>1</v>
      </c>
      <c r="M966">
        <f t="shared" si="47"/>
        <v>1</v>
      </c>
    </row>
    <row r="967" spans="1:13" x14ac:dyDescent="0.25">
      <c r="A967" s="2" t="s">
        <v>664</v>
      </c>
      <c r="B967" s="11" t="s">
        <v>158</v>
      </c>
      <c r="C967" s="11" t="s">
        <v>4</v>
      </c>
      <c r="D967" s="11" t="s">
        <v>984</v>
      </c>
      <c r="E967" s="11" t="s">
        <v>1002</v>
      </c>
      <c r="F967" s="11" t="s">
        <v>1002</v>
      </c>
      <c r="G967" s="12">
        <v>4</v>
      </c>
      <c r="H967" s="12">
        <v>12.6</v>
      </c>
      <c r="I967" s="12">
        <v>50.4</v>
      </c>
      <c r="J967" s="12">
        <v>38935</v>
      </c>
      <c r="K967">
        <f t="shared" si="45"/>
        <v>2</v>
      </c>
      <c r="L967">
        <f t="shared" si="46"/>
        <v>1</v>
      </c>
      <c r="M967">
        <f t="shared" si="47"/>
        <v>1</v>
      </c>
    </row>
    <row r="968" spans="1:13" x14ac:dyDescent="0.25">
      <c r="A968" s="2" t="s">
        <v>664</v>
      </c>
      <c r="B968" s="11" t="s">
        <v>158</v>
      </c>
      <c r="C968" s="11" t="s">
        <v>4</v>
      </c>
      <c r="D968" s="11" t="s">
        <v>984</v>
      </c>
      <c r="E968" s="11" t="s">
        <v>756</v>
      </c>
      <c r="F968" s="11" t="s">
        <v>1003</v>
      </c>
      <c r="G968" s="12">
        <v>1</v>
      </c>
      <c r="H968" s="12">
        <v>13.2</v>
      </c>
      <c r="I968" s="12">
        <v>13.2</v>
      </c>
      <c r="J968" s="12">
        <v>38948.199999999997</v>
      </c>
      <c r="K968">
        <f t="shared" si="45"/>
        <v>8</v>
      </c>
      <c r="L968">
        <f t="shared" si="46"/>
        <v>1</v>
      </c>
      <c r="M968">
        <f t="shared" si="47"/>
        <v>1</v>
      </c>
    </row>
    <row r="969" spans="1:13" x14ac:dyDescent="0.25">
      <c r="A969" s="2" t="s">
        <v>664</v>
      </c>
      <c r="B969" s="11" t="s">
        <v>158</v>
      </c>
      <c r="C969" s="11" t="s">
        <v>4</v>
      </c>
      <c r="D969" s="11" t="s">
        <v>984</v>
      </c>
      <c r="E969" s="11" t="s">
        <v>953</v>
      </c>
      <c r="F969" s="11" t="s">
        <v>1004</v>
      </c>
      <c r="G969" s="12">
        <v>7</v>
      </c>
      <c r="H969" s="12">
        <v>13.2</v>
      </c>
      <c r="I969" s="12">
        <v>92.4</v>
      </c>
      <c r="J969" s="12">
        <v>39040.6</v>
      </c>
      <c r="K969">
        <f t="shared" si="45"/>
        <v>3</v>
      </c>
      <c r="L969">
        <f t="shared" si="46"/>
        <v>1</v>
      </c>
      <c r="M969">
        <f t="shared" si="47"/>
        <v>1</v>
      </c>
    </row>
    <row r="970" spans="1:13" x14ac:dyDescent="0.25">
      <c r="A970" s="2" t="s">
        <v>664</v>
      </c>
      <c r="B970" s="11" t="s">
        <v>158</v>
      </c>
      <c r="C970" s="11" t="s">
        <v>4</v>
      </c>
      <c r="D970" s="11" t="s">
        <v>984</v>
      </c>
      <c r="E970" s="11" t="s">
        <v>859</v>
      </c>
      <c r="F970" s="11" t="s">
        <v>1005</v>
      </c>
      <c r="G970" s="12">
        <v>6</v>
      </c>
      <c r="H970" s="12">
        <v>45</v>
      </c>
      <c r="I970" s="12">
        <v>270</v>
      </c>
      <c r="J970" s="12">
        <v>39310.6</v>
      </c>
      <c r="K970">
        <f t="shared" si="45"/>
        <v>4</v>
      </c>
      <c r="L970">
        <f t="shared" si="46"/>
        <v>1</v>
      </c>
      <c r="M970">
        <f t="shared" si="47"/>
        <v>1</v>
      </c>
    </row>
    <row r="971" spans="1:13" x14ac:dyDescent="0.25">
      <c r="A971" s="2" t="s">
        <v>664</v>
      </c>
      <c r="B971" s="11" t="s">
        <v>158</v>
      </c>
      <c r="C971" s="11" t="s">
        <v>4</v>
      </c>
      <c r="D971" s="11" t="s">
        <v>984</v>
      </c>
      <c r="E971" s="11" t="s">
        <v>861</v>
      </c>
      <c r="F971" s="11" t="s">
        <v>1006</v>
      </c>
      <c r="G971" s="12">
        <v>6</v>
      </c>
      <c r="H971" s="12">
        <v>45</v>
      </c>
      <c r="I971" s="12">
        <v>270</v>
      </c>
      <c r="J971" s="12">
        <v>39580.6</v>
      </c>
      <c r="K971">
        <f t="shared" si="45"/>
        <v>4</v>
      </c>
      <c r="L971">
        <f t="shared" si="46"/>
        <v>1</v>
      </c>
      <c r="M971">
        <f t="shared" si="47"/>
        <v>1</v>
      </c>
    </row>
    <row r="972" spans="1:13" x14ac:dyDescent="0.25">
      <c r="A972" s="2" t="s">
        <v>664</v>
      </c>
      <c r="B972" s="11" t="s">
        <v>158</v>
      </c>
      <c r="C972" s="11" t="s">
        <v>4</v>
      </c>
      <c r="D972" s="11" t="s">
        <v>984</v>
      </c>
      <c r="E972" s="11" t="s">
        <v>863</v>
      </c>
      <c r="F972" s="11" t="s">
        <v>960</v>
      </c>
      <c r="G972" s="12">
        <v>5</v>
      </c>
      <c r="H972" s="12">
        <v>52.52</v>
      </c>
      <c r="I972" s="12">
        <v>262.60000000000002</v>
      </c>
      <c r="J972" s="12">
        <v>39843.199999999997</v>
      </c>
      <c r="K972">
        <f t="shared" si="45"/>
        <v>7</v>
      </c>
      <c r="L972">
        <f t="shared" si="46"/>
        <v>1</v>
      </c>
      <c r="M972">
        <f t="shared" si="47"/>
        <v>1</v>
      </c>
    </row>
    <row r="973" spans="1:13" x14ac:dyDescent="0.25">
      <c r="A973" s="2" t="s">
        <v>664</v>
      </c>
      <c r="B973" s="11" t="s">
        <v>158</v>
      </c>
      <c r="C973" s="11" t="s">
        <v>4</v>
      </c>
      <c r="D973" s="11" t="s">
        <v>984</v>
      </c>
      <c r="E973" s="11" t="s">
        <v>865</v>
      </c>
      <c r="F973" s="11" t="s">
        <v>961</v>
      </c>
      <c r="G973" s="12">
        <v>5</v>
      </c>
      <c r="H973" s="12">
        <v>52.52</v>
      </c>
      <c r="I973" s="12">
        <v>262.60000000000002</v>
      </c>
      <c r="J973" s="12">
        <v>40105.799999999996</v>
      </c>
      <c r="K973">
        <f t="shared" si="45"/>
        <v>7</v>
      </c>
      <c r="L973">
        <f t="shared" si="46"/>
        <v>1</v>
      </c>
      <c r="M973">
        <f t="shared" si="47"/>
        <v>1</v>
      </c>
    </row>
    <row r="974" spans="1:13" x14ac:dyDescent="0.25">
      <c r="A974" s="2" t="s">
        <v>664</v>
      </c>
      <c r="B974" s="11" t="s">
        <v>158</v>
      </c>
      <c r="C974" s="11" t="s">
        <v>4</v>
      </c>
      <c r="D974" s="11" t="s">
        <v>984</v>
      </c>
      <c r="E974" s="11" t="s">
        <v>962</v>
      </c>
      <c r="F974" s="11" t="s">
        <v>963</v>
      </c>
      <c r="G974" s="12">
        <v>1</v>
      </c>
      <c r="H974" s="12">
        <v>27.29</v>
      </c>
      <c r="I974" s="12">
        <v>27.29</v>
      </c>
      <c r="J974" s="12">
        <v>40133.089999999997</v>
      </c>
      <c r="K974">
        <f t="shared" si="45"/>
        <v>6</v>
      </c>
      <c r="L974">
        <f t="shared" si="46"/>
        <v>1</v>
      </c>
      <c r="M974">
        <f t="shared" si="47"/>
        <v>1</v>
      </c>
    </row>
    <row r="975" spans="1:13" x14ac:dyDescent="0.25">
      <c r="A975" s="2" t="s">
        <v>664</v>
      </c>
      <c r="B975" s="11" t="s">
        <v>158</v>
      </c>
      <c r="C975" s="11" t="s">
        <v>4</v>
      </c>
      <c r="D975" s="11" t="s">
        <v>984</v>
      </c>
      <c r="E975" s="11" t="s">
        <v>868</v>
      </c>
      <c r="F975" s="11" t="s">
        <v>1007</v>
      </c>
      <c r="G975" s="12">
        <v>7</v>
      </c>
      <c r="H975" s="12">
        <v>27.29</v>
      </c>
      <c r="I975" s="12">
        <v>191.03</v>
      </c>
      <c r="J975" s="12">
        <v>40324.119999999995</v>
      </c>
      <c r="K975">
        <f t="shared" si="45"/>
        <v>5</v>
      </c>
      <c r="L975">
        <f t="shared" si="46"/>
        <v>1</v>
      </c>
      <c r="M975">
        <f t="shared" si="47"/>
        <v>1</v>
      </c>
    </row>
    <row r="976" spans="1:13" x14ac:dyDescent="0.25">
      <c r="A976" s="2" t="s">
        <v>664</v>
      </c>
      <c r="B976" s="11" t="s">
        <v>158</v>
      </c>
      <c r="C976" s="11" t="s">
        <v>4</v>
      </c>
      <c r="D976" s="11" t="s">
        <v>984</v>
      </c>
      <c r="E976" s="11" t="s">
        <v>870</v>
      </c>
      <c r="F976" s="11" t="s">
        <v>1008</v>
      </c>
      <c r="G976" s="12">
        <v>1</v>
      </c>
      <c r="H976" s="12">
        <v>27.29</v>
      </c>
      <c r="I976" s="12">
        <v>27.29</v>
      </c>
      <c r="J976" s="12">
        <v>40351.409999999996</v>
      </c>
      <c r="K976">
        <f t="shared" si="45"/>
        <v>5</v>
      </c>
      <c r="L976">
        <f t="shared" si="46"/>
        <v>1</v>
      </c>
      <c r="M976">
        <f t="shared" si="47"/>
        <v>1</v>
      </c>
    </row>
    <row r="977" spans="1:13" x14ac:dyDescent="0.25">
      <c r="A977" s="2" t="s">
        <v>664</v>
      </c>
      <c r="B977" s="11" t="s">
        <v>158</v>
      </c>
      <c r="C977" s="11" t="s">
        <v>4</v>
      </c>
      <c r="D977" s="11" t="s">
        <v>984</v>
      </c>
      <c r="E977" s="11" t="s">
        <v>872</v>
      </c>
      <c r="F977" s="11" t="s">
        <v>1009</v>
      </c>
      <c r="G977" s="12">
        <v>1</v>
      </c>
      <c r="H977" s="12">
        <v>27.29</v>
      </c>
      <c r="I977" s="12">
        <v>27.29</v>
      </c>
      <c r="J977" s="12">
        <v>40378.699999999997</v>
      </c>
      <c r="K977">
        <f t="shared" si="45"/>
        <v>6</v>
      </c>
      <c r="L977">
        <f t="shared" si="46"/>
        <v>1</v>
      </c>
      <c r="M977">
        <f t="shared" si="47"/>
        <v>1</v>
      </c>
    </row>
    <row r="978" spans="1:13" x14ac:dyDescent="0.25">
      <c r="A978" s="2" t="s">
        <v>664</v>
      </c>
      <c r="B978" s="11" t="s">
        <v>158</v>
      </c>
      <c r="C978" s="11" t="s">
        <v>4</v>
      </c>
      <c r="D978" s="11" t="s">
        <v>984</v>
      </c>
      <c r="E978" s="11" t="s">
        <v>786</v>
      </c>
      <c r="F978" s="11" t="s">
        <v>967</v>
      </c>
      <c r="G978" s="12">
        <v>2</v>
      </c>
      <c r="H978" s="12">
        <v>22.86</v>
      </c>
      <c r="I978" s="12">
        <v>45.72</v>
      </c>
      <c r="J978" s="12">
        <v>40424.42</v>
      </c>
      <c r="K978">
        <f t="shared" si="45"/>
        <v>8</v>
      </c>
      <c r="L978">
        <f t="shared" si="46"/>
        <v>1</v>
      </c>
      <c r="M978">
        <f t="shared" si="47"/>
        <v>1</v>
      </c>
    </row>
    <row r="979" spans="1:13" x14ac:dyDescent="0.25">
      <c r="A979" s="2" t="s">
        <v>664</v>
      </c>
      <c r="B979" s="11" t="s">
        <v>158</v>
      </c>
      <c r="C979" s="11" t="s">
        <v>4</v>
      </c>
      <c r="D979" s="11" t="s">
        <v>984</v>
      </c>
      <c r="E979" s="11" t="s">
        <v>1010</v>
      </c>
      <c r="F979" s="11" t="s">
        <v>1011</v>
      </c>
      <c r="G979" s="12">
        <v>2</v>
      </c>
      <c r="H979" s="12">
        <v>14</v>
      </c>
      <c r="I979" s="12">
        <v>28</v>
      </c>
      <c r="J979" s="12">
        <v>40452.42</v>
      </c>
      <c r="K979">
        <f t="shared" si="45"/>
        <v>4</v>
      </c>
      <c r="L979">
        <f t="shared" si="46"/>
        <v>1</v>
      </c>
      <c r="M979">
        <f t="shared" si="47"/>
        <v>1</v>
      </c>
    </row>
    <row r="980" spans="1:13" x14ac:dyDescent="0.25">
      <c r="A980" s="2" t="s">
        <v>664</v>
      </c>
      <c r="B980" s="11" t="s">
        <v>158</v>
      </c>
      <c r="C980" s="11" t="s">
        <v>4</v>
      </c>
      <c r="D980" s="11" t="s">
        <v>984</v>
      </c>
      <c r="E980" s="11" t="s">
        <v>885</v>
      </c>
      <c r="F980" s="11" t="s">
        <v>1012</v>
      </c>
      <c r="G980" s="12">
        <v>3</v>
      </c>
      <c r="H980" s="12">
        <v>9</v>
      </c>
      <c r="I980" s="12">
        <v>27</v>
      </c>
      <c r="J980" s="12">
        <v>40479.42</v>
      </c>
      <c r="K980">
        <f t="shared" si="45"/>
        <v>4</v>
      </c>
      <c r="L980">
        <f t="shared" si="46"/>
        <v>1</v>
      </c>
      <c r="M980">
        <f t="shared" si="47"/>
        <v>1</v>
      </c>
    </row>
    <row r="981" spans="1:13" x14ac:dyDescent="0.25">
      <c r="A981" s="2" t="s">
        <v>664</v>
      </c>
      <c r="B981" s="11" t="s">
        <v>158</v>
      </c>
      <c r="C981" s="11" t="s">
        <v>4</v>
      </c>
      <c r="D981" s="11" t="s">
        <v>984</v>
      </c>
      <c r="E981" s="11" t="s">
        <v>893</v>
      </c>
      <c r="F981" s="11" t="s">
        <v>1013</v>
      </c>
      <c r="G981" s="12">
        <v>1</v>
      </c>
      <c r="H981" s="12">
        <v>12.84</v>
      </c>
      <c r="I981" s="12">
        <v>12.84</v>
      </c>
      <c r="J981" s="12">
        <v>40492.259999999995</v>
      </c>
      <c r="K981">
        <f t="shared" si="45"/>
        <v>5</v>
      </c>
      <c r="L981">
        <f t="shared" si="46"/>
        <v>1</v>
      </c>
      <c r="M981">
        <f t="shared" si="47"/>
        <v>1</v>
      </c>
    </row>
    <row r="982" spans="1:13" x14ac:dyDescent="0.25">
      <c r="A982" s="2" t="s">
        <v>664</v>
      </c>
      <c r="B982" s="11" t="s">
        <v>158</v>
      </c>
      <c r="C982" s="11" t="s">
        <v>4</v>
      </c>
      <c r="D982" s="11" t="s">
        <v>984</v>
      </c>
      <c r="E982" s="11" t="s">
        <v>895</v>
      </c>
      <c r="F982" s="11" t="s">
        <v>1014</v>
      </c>
      <c r="G982" s="12">
        <v>1</v>
      </c>
      <c r="H982" s="12">
        <v>12.84</v>
      </c>
      <c r="I982" s="12">
        <v>12.84</v>
      </c>
      <c r="J982" s="12">
        <v>40505.099999999991</v>
      </c>
      <c r="K982">
        <f t="shared" si="45"/>
        <v>4</v>
      </c>
      <c r="L982">
        <f t="shared" si="46"/>
        <v>1</v>
      </c>
      <c r="M982">
        <f t="shared" si="47"/>
        <v>1</v>
      </c>
    </row>
    <row r="983" spans="1:13" x14ac:dyDescent="0.25">
      <c r="A983" s="2" t="s">
        <v>664</v>
      </c>
      <c r="B983" s="11" t="s">
        <v>158</v>
      </c>
      <c r="C983" s="11" t="s">
        <v>4</v>
      </c>
      <c r="D983" s="11" t="s">
        <v>984</v>
      </c>
      <c r="E983" s="11" t="s">
        <v>561</v>
      </c>
      <c r="F983" s="11" t="s">
        <v>562</v>
      </c>
      <c r="G983" s="12">
        <v>5</v>
      </c>
      <c r="H983" s="12">
        <v>36</v>
      </c>
      <c r="I983" s="12">
        <v>180</v>
      </c>
      <c r="J983" s="12">
        <v>40685.099999999991</v>
      </c>
      <c r="K983">
        <f t="shared" si="45"/>
        <v>8</v>
      </c>
      <c r="L983">
        <f t="shared" si="46"/>
        <v>1</v>
      </c>
      <c r="M983">
        <f t="shared" si="47"/>
        <v>1</v>
      </c>
    </row>
    <row r="984" spans="1:13" x14ac:dyDescent="0.25">
      <c r="A984" s="2" t="s">
        <v>664</v>
      </c>
      <c r="B984" s="11" t="s">
        <v>158</v>
      </c>
      <c r="C984" s="11" t="s">
        <v>4</v>
      </c>
      <c r="D984" s="11" t="s">
        <v>984</v>
      </c>
      <c r="E984" s="11" t="s">
        <v>797</v>
      </c>
      <c r="F984" s="11" t="s">
        <v>1015</v>
      </c>
      <c r="G984" s="12">
        <v>5</v>
      </c>
      <c r="H984" s="12">
        <v>21.4</v>
      </c>
      <c r="I984" s="12">
        <v>107</v>
      </c>
      <c r="J984" s="12">
        <v>40792.099999999991</v>
      </c>
      <c r="K984">
        <f t="shared" si="45"/>
        <v>3</v>
      </c>
      <c r="L984">
        <f t="shared" si="46"/>
        <v>1</v>
      </c>
      <c r="M984">
        <f t="shared" si="47"/>
        <v>1</v>
      </c>
    </row>
    <row r="985" spans="1:13" x14ac:dyDescent="0.25">
      <c r="A985" s="2" t="s">
        <v>664</v>
      </c>
      <c r="B985" s="11" t="s">
        <v>158</v>
      </c>
      <c r="C985" s="11" t="s">
        <v>4</v>
      </c>
      <c r="D985" s="11" t="s">
        <v>984</v>
      </c>
      <c r="E985" s="11" t="s">
        <v>803</v>
      </c>
      <c r="F985" s="11" t="s">
        <v>1016</v>
      </c>
      <c r="G985" s="12">
        <v>6</v>
      </c>
      <c r="H985" s="12">
        <v>21.4</v>
      </c>
      <c r="I985" s="12">
        <v>128.4</v>
      </c>
      <c r="J985" s="12">
        <v>40920.499999999993</v>
      </c>
      <c r="K985">
        <f t="shared" si="45"/>
        <v>8</v>
      </c>
      <c r="L985">
        <f t="shared" si="46"/>
        <v>1</v>
      </c>
      <c r="M985">
        <f t="shared" si="47"/>
        <v>1</v>
      </c>
    </row>
    <row r="986" spans="1:13" x14ac:dyDescent="0.25">
      <c r="A986" s="2" t="s">
        <v>664</v>
      </c>
      <c r="B986" s="11" t="s">
        <v>158</v>
      </c>
      <c r="C986" s="11" t="s">
        <v>4</v>
      </c>
      <c r="D986" s="11" t="s">
        <v>984</v>
      </c>
      <c r="E986" s="11" t="s">
        <v>902</v>
      </c>
      <c r="F986" s="11" t="s">
        <v>1017</v>
      </c>
      <c r="G986" s="12">
        <v>3</v>
      </c>
      <c r="H986" s="12">
        <v>72.72</v>
      </c>
      <c r="I986" s="12">
        <v>218.16</v>
      </c>
      <c r="J986" s="12">
        <v>41138.659999999996</v>
      </c>
      <c r="K986">
        <f t="shared" si="45"/>
        <v>4</v>
      </c>
      <c r="L986">
        <f t="shared" si="46"/>
        <v>1</v>
      </c>
      <c r="M986">
        <f t="shared" si="47"/>
        <v>1</v>
      </c>
    </row>
    <row r="987" spans="1:13" x14ac:dyDescent="0.25">
      <c r="A987" s="2" t="s">
        <v>664</v>
      </c>
      <c r="B987" s="11" t="s">
        <v>158</v>
      </c>
      <c r="C987" s="11" t="s">
        <v>4</v>
      </c>
      <c r="D987" s="11" t="s">
        <v>984</v>
      </c>
      <c r="E987" s="11" t="s">
        <v>1018</v>
      </c>
      <c r="F987" s="11" t="s">
        <v>1019</v>
      </c>
      <c r="G987" s="12">
        <v>4</v>
      </c>
      <c r="H987" s="12">
        <v>19.2</v>
      </c>
      <c r="I987" s="12">
        <v>76.8</v>
      </c>
      <c r="J987" s="12">
        <v>41215.46</v>
      </c>
      <c r="K987">
        <f t="shared" si="45"/>
        <v>4</v>
      </c>
      <c r="L987">
        <f t="shared" si="46"/>
        <v>1</v>
      </c>
      <c r="M987">
        <f t="shared" si="47"/>
        <v>1</v>
      </c>
    </row>
    <row r="988" spans="1:13" x14ac:dyDescent="0.25">
      <c r="A988" s="2" t="s">
        <v>664</v>
      </c>
      <c r="B988" s="11" t="s">
        <v>158</v>
      </c>
      <c r="C988" s="11" t="s">
        <v>4</v>
      </c>
      <c r="D988" s="11" t="s">
        <v>984</v>
      </c>
      <c r="E988" s="11" t="s">
        <v>1020</v>
      </c>
      <c r="F988" s="11" t="s">
        <v>1021</v>
      </c>
      <c r="G988" s="12">
        <v>4</v>
      </c>
      <c r="H988" s="12">
        <v>20.399999999999999</v>
      </c>
      <c r="I988" s="12">
        <v>81.599999999999994</v>
      </c>
      <c r="J988" s="12">
        <v>41297.06</v>
      </c>
      <c r="K988">
        <f t="shared" si="45"/>
        <v>2</v>
      </c>
      <c r="L988">
        <f t="shared" si="46"/>
        <v>1</v>
      </c>
      <c r="M988">
        <f t="shared" si="47"/>
        <v>1</v>
      </c>
    </row>
    <row r="989" spans="1:13" x14ac:dyDescent="0.25">
      <c r="A989" s="2" t="s">
        <v>664</v>
      </c>
      <c r="B989" s="11" t="s">
        <v>158</v>
      </c>
      <c r="C989" s="11" t="s">
        <v>4</v>
      </c>
      <c r="D989" s="11" t="s">
        <v>984</v>
      </c>
      <c r="E989" s="11" t="s">
        <v>1022</v>
      </c>
      <c r="F989" s="11" t="s">
        <v>1023</v>
      </c>
      <c r="G989" s="12">
        <v>3</v>
      </c>
      <c r="H989" s="12">
        <v>25.9</v>
      </c>
      <c r="I989" s="12">
        <v>77.7</v>
      </c>
      <c r="J989" s="12">
        <v>41374.759999999995</v>
      </c>
      <c r="K989">
        <f t="shared" si="45"/>
        <v>2</v>
      </c>
      <c r="L989">
        <f t="shared" si="46"/>
        <v>1</v>
      </c>
      <c r="M989">
        <f t="shared" si="47"/>
        <v>1</v>
      </c>
    </row>
    <row r="990" spans="1:13" x14ac:dyDescent="0.25">
      <c r="A990" s="2" t="s">
        <v>664</v>
      </c>
      <c r="B990" s="11" t="s">
        <v>158</v>
      </c>
      <c r="C990" s="11" t="s">
        <v>4</v>
      </c>
      <c r="D990" s="11" t="s">
        <v>984</v>
      </c>
      <c r="E990" s="11" t="s">
        <v>809</v>
      </c>
      <c r="F990" s="11" t="s">
        <v>810</v>
      </c>
      <c r="G990" s="12">
        <v>1</v>
      </c>
      <c r="H990" s="12">
        <v>32.74</v>
      </c>
      <c r="I990" s="12">
        <v>32.74</v>
      </c>
      <c r="J990" s="12">
        <v>41407.499999999993</v>
      </c>
      <c r="K990">
        <f t="shared" si="45"/>
        <v>7</v>
      </c>
      <c r="L990">
        <f t="shared" si="46"/>
        <v>1</v>
      </c>
      <c r="M990">
        <f t="shared" si="47"/>
        <v>1</v>
      </c>
    </row>
    <row r="991" spans="1:13" x14ac:dyDescent="0.25">
      <c r="A991" s="2" t="s">
        <v>664</v>
      </c>
      <c r="B991" s="11" t="s">
        <v>158</v>
      </c>
      <c r="C991" s="11" t="s">
        <v>4</v>
      </c>
      <c r="D991" s="11" t="s">
        <v>984</v>
      </c>
      <c r="E991" s="11" t="s">
        <v>760</v>
      </c>
      <c r="F991" s="11" t="s">
        <v>979</v>
      </c>
      <c r="G991" s="12">
        <v>10</v>
      </c>
      <c r="H991" s="12">
        <v>53.5</v>
      </c>
      <c r="I991" s="12">
        <v>535</v>
      </c>
      <c r="J991" s="12">
        <v>41942.499999999993</v>
      </c>
      <c r="K991">
        <f t="shared" si="45"/>
        <v>6</v>
      </c>
      <c r="L991">
        <f t="shared" si="46"/>
        <v>1</v>
      </c>
      <c r="M991">
        <f t="shared" si="47"/>
        <v>1</v>
      </c>
    </row>
    <row r="992" spans="1:13" x14ac:dyDescent="0.25">
      <c r="A992" s="2" t="s">
        <v>664</v>
      </c>
      <c r="B992" s="11" t="s">
        <v>158</v>
      </c>
      <c r="C992" s="11" t="s">
        <v>4</v>
      </c>
      <c r="D992" s="11" t="s">
        <v>984</v>
      </c>
      <c r="E992" s="11" t="s">
        <v>762</v>
      </c>
      <c r="F992" s="11" t="s">
        <v>763</v>
      </c>
      <c r="G992" s="12">
        <v>16</v>
      </c>
      <c r="H992" s="12">
        <v>38.520000000000003</v>
      </c>
      <c r="I992" s="12">
        <v>616.32000000000005</v>
      </c>
      <c r="J992" s="12">
        <v>42558.819999999992</v>
      </c>
      <c r="K992">
        <f t="shared" si="45"/>
        <v>7</v>
      </c>
      <c r="L992">
        <f t="shared" si="46"/>
        <v>1</v>
      </c>
      <c r="M992">
        <f t="shared" si="47"/>
        <v>1</v>
      </c>
    </row>
    <row r="993" spans="1:13" x14ac:dyDescent="0.25">
      <c r="A993" s="2" t="s">
        <v>664</v>
      </c>
      <c r="B993" s="11" t="s">
        <v>158</v>
      </c>
      <c r="C993" s="11" t="s">
        <v>4</v>
      </c>
      <c r="D993" s="11" t="s">
        <v>984</v>
      </c>
      <c r="E993" s="11" t="s">
        <v>813</v>
      </c>
      <c r="F993" s="11" t="s">
        <v>1024</v>
      </c>
      <c r="G993" s="12">
        <v>8</v>
      </c>
      <c r="H993" s="12">
        <v>54.57</v>
      </c>
      <c r="I993" s="12">
        <v>436.56</v>
      </c>
      <c r="J993" s="12">
        <v>42995.37999999999</v>
      </c>
      <c r="K993">
        <f t="shared" si="45"/>
        <v>7</v>
      </c>
      <c r="L993">
        <f t="shared" si="46"/>
        <v>1</v>
      </c>
      <c r="M993">
        <f t="shared" si="47"/>
        <v>1</v>
      </c>
    </row>
    <row r="994" spans="1:13" x14ac:dyDescent="0.25">
      <c r="A994" s="2" t="s">
        <v>664</v>
      </c>
      <c r="B994" s="11" t="s">
        <v>158</v>
      </c>
      <c r="C994" s="11" t="s">
        <v>4</v>
      </c>
      <c r="D994" s="11" t="s">
        <v>984</v>
      </c>
      <c r="E994" s="11" t="s">
        <v>817</v>
      </c>
      <c r="F994" s="11" t="s">
        <v>1025</v>
      </c>
      <c r="G994" s="12">
        <v>2</v>
      </c>
      <c r="H994" s="12">
        <v>46.22</v>
      </c>
      <c r="I994" s="12">
        <v>92.44</v>
      </c>
      <c r="J994" s="12">
        <v>43087.819999999992</v>
      </c>
      <c r="K994">
        <f t="shared" si="45"/>
        <v>6</v>
      </c>
      <c r="L994">
        <f t="shared" si="46"/>
        <v>1</v>
      </c>
      <c r="M994">
        <f t="shared" si="47"/>
        <v>1</v>
      </c>
    </row>
    <row r="995" spans="1:13" x14ac:dyDescent="0.25">
      <c r="A995" s="2" t="s">
        <v>664</v>
      </c>
      <c r="B995" s="11" t="s">
        <v>158</v>
      </c>
      <c r="C995" s="11" t="s">
        <v>4</v>
      </c>
      <c r="D995" s="11" t="s">
        <v>984</v>
      </c>
      <c r="E995" s="11" t="s">
        <v>764</v>
      </c>
      <c r="F995" s="11" t="s">
        <v>1026</v>
      </c>
      <c r="G995" s="12">
        <v>4</v>
      </c>
      <c r="H995" s="12">
        <v>34.659999999999997</v>
      </c>
      <c r="I995" s="12">
        <v>138.63999999999999</v>
      </c>
      <c r="J995" s="12">
        <v>43226.459999999992</v>
      </c>
      <c r="K995">
        <f t="shared" si="45"/>
        <v>5</v>
      </c>
      <c r="L995">
        <f t="shared" si="46"/>
        <v>1</v>
      </c>
      <c r="M995">
        <f t="shared" si="47"/>
        <v>1</v>
      </c>
    </row>
    <row r="996" spans="1:13" x14ac:dyDescent="0.25">
      <c r="A996" s="2" t="s">
        <v>664</v>
      </c>
      <c r="B996" s="11" t="s">
        <v>158</v>
      </c>
      <c r="C996" s="11" t="s">
        <v>4</v>
      </c>
      <c r="D996" s="11" t="s">
        <v>984</v>
      </c>
      <c r="E996" s="11" t="s">
        <v>770</v>
      </c>
      <c r="F996" s="11" t="s">
        <v>1027</v>
      </c>
      <c r="G996" s="12">
        <v>4</v>
      </c>
      <c r="H996" s="12">
        <v>37.450000000000003</v>
      </c>
      <c r="I996" s="12">
        <v>149.80000000000001</v>
      </c>
      <c r="J996" s="12">
        <v>43376.259999999995</v>
      </c>
      <c r="K996">
        <f t="shared" si="45"/>
        <v>6</v>
      </c>
      <c r="L996">
        <f t="shared" si="46"/>
        <v>1</v>
      </c>
      <c r="M996">
        <f t="shared" si="47"/>
        <v>1</v>
      </c>
    </row>
    <row r="997" spans="1:13" x14ac:dyDescent="0.25">
      <c r="A997" s="2" t="s">
        <v>664</v>
      </c>
      <c r="B997" s="11" t="s">
        <v>158</v>
      </c>
      <c r="C997" s="11" t="s">
        <v>4</v>
      </c>
      <c r="D997" s="11" t="s">
        <v>984</v>
      </c>
      <c r="E997" s="11" t="s">
        <v>774</v>
      </c>
      <c r="F997" s="11" t="s">
        <v>981</v>
      </c>
      <c r="G997" s="12">
        <v>10</v>
      </c>
      <c r="H997" s="12">
        <v>26.84</v>
      </c>
      <c r="I997" s="12">
        <v>268.39999999999998</v>
      </c>
      <c r="J997" s="12">
        <v>43644.659999999996</v>
      </c>
      <c r="K997">
        <f t="shared" si="45"/>
        <v>6</v>
      </c>
      <c r="L997">
        <f t="shared" si="46"/>
        <v>1</v>
      </c>
      <c r="M997">
        <f t="shared" si="47"/>
        <v>1</v>
      </c>
    </row>
    <row r="998" spans="1:13" x14ac:dyDescent="0.25">
      <c r="A998" s="2" t="s">
        <v>664</v>
      </c>
      <c r="B998" s="11" t="s">
        <v>158</v>
      </c>
      <c r="C998" s="11" t="s">
        <v>4</v>
      </c>
      <c r="D998" s="11" t="s">
        <v>984</v>
      </c>
      <c r="E998" s="11" t="s">
        <v>819</v>
      </c>
      <c r="F998" s="11" t="s">
        <v>1028</v>
      </c>
      <c r="G998" s="12">
        <v>2</v>
      </c>
      <c r="H998" s="12">
        <v>29.4</v>
      </c>
      <c r="I998" s="12">
        <v>58.8</v>
      </c>
      <c r="J998" s="12">
        <v>43703.46</v>
      </c>
      <c r="K998">
        <f t="shared" si="45"/>
        <v>6</v>
      </c>
      <c r="L998">
        <f t="shared" si="46"/>
        <v>1</v>
      </c>
      <c r="M998">
        <f t="shared" si="47"/>
        <v>1</v>
      </c>
    </row>
    <row r="999" spans="1:13" x14ac:dyDescent="0.25">
      <c r="A999" s="2" t="s">
        <v>664</v>
      </c>
      <c r="B999" s="11" t="s">
        <v>1029</v>
      </c>
      <c r="C999" s="11" t="s">
        <v>4</v>
      </c>
      <c r="D999" s="11" t="s">
        <v>1030</v>
      </c>
      <c r="E999" s="11" t="s">
        <v>561</v>
      </c>
      <c r="F999" s="11" t="s">
        <v>562</v>
      </c>
      <c r="G999" s="12">
        <v>10</v>
      </c>
      <c r="H999" s="12">
        <v>35.94</v>
      </c>
      <c r="I999" s="12">
        <v>359.4</v>
      </c>
      <c r="J999" s="12">
        <v>44062.86</v>
      </c>
      <c r="K999">
        <f t="shared" si="45"/>
        <v>8</v>
      </c>
      <c r="L999">
        <f t="shared" si="46"/>
        <v>1</v>
      </c>
      <c r="M999">
        <f t="shared" si="47"/>
        <v>1</v>
      </c>
    </row>
    <row r="1000" spans="1:13" x14ac:dyDescent="0.25">
      <c r="A1000" s="2" t="s">
        <v>664</v>
      </c>
      <c r="B1000" s="11" t="s">
        <v>1029</v>
      </c>
      <c r="C1000" s="11" t="s">
        <v>4</v>
      </c>
      <c r="D1000" s="11" t="s">
        <v>1030</v>
      </c>
      <c r="E1000" s="11" t="s">
        <v>999</v>
      </c>
      <c r="F1000" s="11" t="s">
        <v>1031</v>
      </c>
      <c r="G1000" s="12">
        <v>3</v>
      </c>
      <c r="H1000" s="12">
        <v>9.99</v>
      </c>
      <c r="I1000" s="12">
        <v>29.97</v>
      </c>
      <c r="J1000" s="12">
        <v>44092.83</v>
      </c>
      <c r="K1000">
        <f t="shared" si="45"/>
        <v>5</v>
      </c>
      <c r="L1000">
        <f t="shared" si="46"/>
        <v>1</v>
      </c>
      <c r="M1000">
        <f t="shared" si="47"/>
        <v>1</v>
      </c>
    </row>
    <row r="1001" spans="1:13" x14ac:dyDescent="0.25">
      <c r="A1001" s="2" t="s">
        <v>664</v>
      </c>
      <c r="B1001" s="11" t="s">
        <v>1029</v>
      </c>
      <c r="C1001" s="11" t="s">
        <v>4</v>
      </c>
      <c r="D1001" s="11" t="s">
        <v>1030</v>
      </c>
      <c r="E1001" s="11" t="s">
        <v>1018</v>
      </c>
      <c r="F1001" s="11" t="s">
        <v>1032</v>
      </c>
      <c r="G1001" s="12">
        <v>1</v>
      </c>
      <c r="H1001" s="12">
        <v>19.2</v>
      </c>
      <c r="I1001" s="12">
        <v>19.2</v>
      </c>
      <c r="J1001" s="12">
        <v>44112.03</v>
      </c>
      <c r="K1001">
        <f t="shared" si="45"/>
        <v>4</v>
      </c>
      <c r="L1001">
        <f t="shared" si="46"/>
        <v>1</v>
      </c>
      <c r="M1001">
        <f t="shared" si="47"/>
        <v>1</v>
      </c>
    </row>
    <row r="1002" spans="1:13" x14ac:dyDescent="0.25">
      <c r="A1002" s="2" t="s">
        <v>664</v>
      </c>
      <c r="B1002" s="11" t="s">
        <v>1029</v>
      </c>
      <c r="C1002" s="11" t="s">
        <v>4</v>
      </c>
      <c r="D1002" s="11" t="s">
        <v>1030</v>
      </c>
      <c r="E1002" s="11" t="s">
        <v>859</v>
      </c>
      <c r="F1002" s="11" t="s">
        <v>1005</v>
      </c>
      <c r="G1002" s="12">
        <v>8</v>
      </c>
      <c r="H1002" s="12">
        <v>45</v>
      </c>
      <c r="I1002" s="12">
        <v>360</v>
      </c>
      <c r="J1002" s="12">
        <v>44472.03</v>
      </c>
      <c r="K1002">
        <f t="shared" si="45"/>
        <v>4</v>
      </c>
      <c r="L1002">
        <f t="shared" si="46"/>
        <v>1</v>
      </c>
      <c r="M1002">
        <f t="shared" si="47"/>
        <v>1</v>
      </c>
    </row>
    <row r="1003" spans="1:13" x14ac:dyDescent="0.25">
      <c r="A1003" s="2" t="s">
        <v>664</v>
      </c>
      <c r="B1003" s="11" t="s">
        <v>1029</v>
      </c>
      <c r="C1003" s="11" t="s">
        <v>4</v>
      </c>
      <c r="D1003" s="11" t="s">
        <v>1030</v>
      </c>
      <c r="E1003" s="11" t="s">
        <v>861</v>
      </c>
      <c r="F1003" s="11" t="s">
        <v>1006</v>
      </c>
      <c r="G1003" s="12">
        <v>8</v>
      </c>
      <c r="H1003" s="12">
        <v>45</v>
      </c>
      <c r="I1003" s="12">
        <v>360</v>
      </c>
      <c r="J1003" s="12">
        <v>44832.03</v>
      </c>
      <c r="K1003">
        <f t="shared" si="45"/>
        <v>4</v>
      </c>
      <c r="L1003">
        <f t="shared" si="46"/>
        <v>1</v>
      </c>
      <c r="M1003">
        <f t="shared" si="47"/>
        <v>1</v>
      </c>
    </row>
    <row r="1004" spans="1:13" x14ac:dyDescent="0.25">
      <c r="A1004" s="2" t="s">
        <v>664</v>
      </c>
      <c r="B1004" s="11" t="s">
        <v>1029</v>
      </c>
      <c r="C1004" s="11" t="s">
        <v>4</v>
      </c>
      <c r="D1004" s="11" t="s">
        <v>1030</v>
      </c>
      <c r="E1004" s="11" t="s">
        <v>863</v>
      </c>
      <c r="F1004" s="11" t="s">
        <v>960</v>
      </c>
      <c r="G1004" s="12">
        <v>5</v>
      </c>
      <c r="H1004" s="12">
        <v>52.52</v>
      </c>
      <c r="I1004" s="12">
        <v>262.60000000000002</v>
      </c>
      <c r="J1004" s="12">
        <v>45094.63</v>
      </c>
      <c r="K1004">
        <f t="shared" si="45"/>
        <v>7</v>
      </c>
      <c r="L1004">
        <f t="shared" si="46"/>
        <v>1</v>
      </c>
      <c r="M1004">
        <f t="shared" si="47"/>
        <v>1</v>
      </c>
    </row>
    <row r="1005" spans="1:13" x14ac:dyDescent="0.25">
      <c r="A1005" s="2" t="s">
        <v>664</v>
      </c>
      <c r="B1005" s="11" t="s">
        <v>1029</v>
      </c>
      <c r="C1005" s="11" t="s">
        <v>4</v>
      </c>
      <c r="D1005" s="11" t="s">
        <v>1030</v>
      </c>
      <c r="E1005" s="11" t="s">
        <v>865</v>
      </c>
      <c r="F1005" s="11" t="s">
        <v>961</v>
      </c>
      <c r="G1005" s="12">
        <v>5</v>
      </c>
      <c r="H1005" s="12">
        <v>52.52</v>
      </c>
      <c r="I1005" s="12">
        <v>262.60000000000002</v>
      </c>
      <c r="J1005" s="12">
        <v>45357.229999999996</v>
      </c>
      <c r="K1005">
        <f t="shared" si="45"/>
        <v>7</v>
      </c>
      <c r="L1005">
        <f t="shared" si="46"/>
        <v>1</v>
      </c>
      <c r="M1005">
        <f t="shared" si="47"/>
        <v>1</v>
      </c>
    </row>
    <row r="1006" spans="1:13" x14ac:dyDescent="0.25">
      <c r="A1006" s="2" t="s">
        <v>664</v>
      </c>
      <c r="B1006" s="11" t="s">
        <v>1029</v>
      </c>
      <c r="C1006" s="11" t="s">
        <v>4</v>
      </c>
      <c r="D1006" s="11" t="s">
        <v>1030</v>
      </c>
      <c r="E1006" s="11" t="s">
        <v>756</v>
      </c>
      <c r="F1006" s="11" t="s">
        <v>1003</v>
      </c>
      <c r="G1006" s="12">
        <v>4</v>
      </c>
      <c r="H1006" s="12">
        <v>13.2</v>
      </c>
      <c r="I1006" s="12">
        <v>52.8</v>
      </c>
      <c r="J1006" s="12">
        <v>45410.03</v>
      </c>
      <c r="K1006">
        <f t="shared" si="45"/>
        <v>8</v>
      </c>
      <c r="L1006">
        <f t="shared" si="46"/>
        <v>1</v>
      </c>
      <c r="M1006">
        <f t="shared" si="47"/>
        <v>1</v>
      </c>
    </row>
    <row r="1007" spans="1:13" x14ac:dyDescent="0.25">
      <c r="A1007" s="2" t="s">
        <v>664</v>
      </c>
      <c r="B1007" s="11" t="s">
        <v>1029</v>
      </c>
      <c r="C1007" s="11" t="s">
        <v>4</v>
      </c>
      <c r="D1007" s="11" t="s">
        <v>1030</v>
      </c>
      <c r="E1007" s="11" t="s">
        <v>895</v>
      </c>
      <c r="F1007" s="11" t="s">
        <v>1014</v>
      </c>
      <c r="G1007" s="12">
        <v>3</v>
      </c>
      <c r="H1007" s="12">
        <v>12.84</v>
      </c>
      <c r="I1007" s="12">
        <v>38.520000000000003</v>
      </c>
      <c r="J1007" s="12">
        <v>45448.549999999996</v>
      </c>
      <c r="K1007">
        <f t="shared" si="45"/>
        <v>4</v>
      </c>
      <c r="L1007">
        <f t="shared" si="46"/>
        <v>1</v>
      </c>
      <c r="M1007">
        <f t="shared" si="47"/>
        <v>1</v>
      </c>
    </row>
    <row r="1008" spans="1:13" x14ac:dyDescent="0.25">
      <c r="A1008" s="2" t="s">
        <v>664</v>
      </c>
      <c r="B1008" s="11" t="s">
        <v>1029</v>
      </c>
      <c r="C1008" s="11" t="s">
        <v>4</v>
      </c>
      <c r="D1008" s="11" t="s">
        <v>1030</v>
      </c>
      <c r="E1008" s="11" t="s">
        <v>893</v>
      </c>
      <c r="F1008" s="11" t="s">
        <v>1013</v>
      </c>
      <c r="G1008" s="12">
        <v>3</v>
      </c>
      <c r="H1008" s="12">
        <v>12.84</v>
      </c>
      <c r="I1008" s="12">
        <v>38.520000000000003</v>
      </c>
      <c r="J1008" s="12">
        <v>45487.069999999992</v>
      </c>
      <c r="K1008">
        <f t="shared" si="45"/>
        <v>5</v>
      </c>
      <c r="L1008">
        <f t="shared" si="46"/>
        <v>1</v>
      </c>
      <c r="M1008">
        <f t="shared" si="47"/>
        <v>1</v>
      </c>
    </row>
    <row r="1009" spans="1:13" x14ac:dyDescent="0.25">
      <c r="A1009" s="2" t="s">
        <v>664</v>
      </c>
      <c r="B1009" s="11" t="s">
        <v>1029</v>
      </c>
      <c r="C1009" s="11" t="s">
        <v>4</v>
      </c>
      <c r="D1009" s="11" t="s">
        <v>1030</v>
      </c>
      <c r="E1009" s="11" t="s">
        <v>702</v>
      </c>
      <c r="F1009" s="11" t="s">
        <v>992</v>
      </c>
      <c r="G1009" s="12">
        <v>3</v>
      </c>
      <c r="H1009" s="12">
        <v>45.96</v>
      </c>
      <c r="I1009" s="12">
        <v>137.88</v>
      </c>
      <c r="J1009" s="12">
        <v>45624.94999999999</v>
      </c>
      <c r="K1009">
        <f t="shared" si="45"/>
        <v>10</v>
      </c>
      <c r="L1009">
        <f t="shared" si="46"/>
        <v>1</v>
      </c>
      <c r="M1009">
        <f t="shared" si="47"/>
        <v>1</v>
      </c>
    </row>
    <row r="1010" spans="1:13" x14ac:dyDescent="0.25">
      <c r="A1010" s="2" t="s">
        <v>664</v>
      </c>
      <c r="B1010" s="11" t="s">
        <v>1029</v>
      </c>
      <c r="C1010" s="11" t="s">
        <v>4</v>
      </c>
      <c r="D1010" s="11" t="s">
        <v>1030</v>
      </c>
      <c r="E1010" s="11" t="s">
        <v>832</v>
      </c>
      <c r="F1010" s="11" t="s">
        <v>988</v>
      </c>
      <c r="G1010" s="12">
        <v>2</v>
      </c>
      <c r="H1010" s="12">
        <v>39.68</v>
      </c>
      <c r="I1010" s="12">
        <v>79.36</v>
      </c>
      <c r="J1010" s="12">
        <v>45704.30999999999</v>
      </c>
      <c r="K1010">
        <f t="shared" si="45"/>
        <v>4</v>
      </c>
      <c r="L1010">
        <f t="shared" si="46"/>
        <v>1</v>
      </c>
      <c r="M1010">
        <f t="shared" si="47"/>
        <v>1</v>
      </c>
    </row>
    <row r="1011" spans="1:13" x14ac:dyDescent="0.25">
      <c r="A1011" s="2" t="s">
        <v>664</v>
      </c>
      <c r="B1011" s="11" t="s">
        <v>1033</v>
      </c>
      <c r="C1011" s="11" t="s">
        <v>4</v>
      </c>
      <c r="D1011" s="11" t="s">
        <v>1034</v>
      </c>
      <c r="E1011" s="11" t="s">
        <v>667</v>
      </c>
      <c r="F1011" s="11" t="s">
        <v>985</v>
      </c>
      <c r="G1011" s="12">
        <v>8</v>
      </c>
      <c r="H1011" s="12">
        <v>30.82</v>
      </c>
      <c r="I1011" s="12">
        <v>246.56</v>
      </c>
      <c r="J1011" s="12">
        <v>45950.869999999988</v>
      </c>
      <c r="K1011">
        <f t="shared" si="45"/>
        <v>7</v>
      </c>
      <c r="L1011">
        <f t="shared" si="46"/>
        <v>1</v>
      </c>
      <c r="M1011">
        <f t="shared" si="47"/>
        <v>1</v>
      </c>
    </row>
    <row r="1012" spans="1:13" x14ac:dyDescent="0.25">
      <c r="A1012" s="2" t="s">
        <v>664</v>
      </c>
      <c r="B1012" s="11" t="s">
        <v>1033</v>
      </c>
      <c r="C1012" s="11" t="s">
        <v>4</v>
      </c>
      <c r="D1012" s="11" t="s">
        <v>1034</v>
      </c>
      <c r="E1012" s="11" t="s">
        <v>669</v>
      </c>
      <c r="F1012" s="11" t="s">
        <v>941</v>
      </c>
      <c r="G1012" s="12">
        <v>5</v>
      </c>
      <c r="H1012" s="12">
        <v>30.82</v>
      </c>
      <c r="I1012" s="12">
        <v>154.1</v>
      </c>
      <c r="J1012" s="12">
        <v>46104.969999999987</v>
      </c>
      <c r="K1012">
        <f t="shared" si="45"/>
        <v>8</v>
      </c>
      <c r="L1012">
        <f t="shared" si="46"/>
        <v>1</v>
      </c>
      <c r="M1012">
        <f t="shared" si="47"/>
        <v>1</v>
      </c>
    </row>
    <row r="1013" spans="1:13" x14ac:dyDescent="0.25">
      <c r="A1013" s="2" t="s">
        <v>664</v>
      </c>
      <c r="B1013" s="11" t="s">
        <v>1033</v>
      </c>
      <c r="C1013" s="11" t="s">
        <v>4</v>
      </c>
      <c r="D1013" s="11" t="s">
        <v>1034</v>
      </c>
      <c r="E1013" s="11" t="s">
        <v>671</v>
      </c>
      <c r="F1013" s="11" t="s">
        <v>1035</v>
      </c>
      <c r="G1013" s="12">
        <v>2</v>
      </c>
      <c r="H1013" s="12">
        <v>33.119999999999997</v>
      </c>
      <c r="I1013" s="12">
        <v>66.239999999999995</v>
      </c>
      <c r="J1013" s="12">
        <v>46171.209999999985</v>
      </c>
      <c r="K1013">
        <f t="shared" si="45"/>
        <v>7</v>
      </c>
      <c r="L1013">
        <f t="shared" si="46"/>
        <v>1</v>
      </c>
      <c r="M1013">
        <f t="shared" si="47"/>
        <v>1</v>
      </c>
    </row>
    <row r="1014" spans="1:13" x14ac:dyDescent="0.25">
      <c r="A1014" s="2" t="s">
        <v>664</v>
      </c>
      <c r="B1014" s="11" t="s">
        <v>1033</v>
      </c>
      <c r="C1014" s="11" t="s">
        <v>4</v>
      </c>
      <c r="D1014" s="11" t="s">
        <v>1034</v>
      </c>
      <c r="E1014" s="11" t="s">
        <v>823</v>
      </c>
      <c r="F1014" s="11" t="s">
        <v>1036</v>
      </c>
      <c r="G1014" s="12">
        <v>2</v>
      </c>
      <c r="H1014" s="12">
        <v>40.82</v>
      </c>
      <c r="I1014" s="12">
        <v>81.64</v>
      </c>
      <c r="J1014" s="12">
        <v>46252.849999999984</v>
      </c>
      <c r="K1014">
        <f t="shared" si="45"/>
        <v>6</v>
      </c>
      <c r="L1014">
        <f t="shared" si="46"/>
        <v>1</v>
      </c>
      <c r="M1014">
        <f t="shared" si="47"/>
        <v>1</v>
      </c>
    </row>
    <row r="1015" spans="1:13" x14ac:dyDescent="0.25">
      <c r="A1015" s="2" t="s">
        <v>664</v>
      </c>
      <c r="B1015" s="11" t="s">
        <v>1033</v>
      </c>
      <c r="C1015" s="11" t="s">
        <v>4</v>
      </c>
      <c r="D1015" s="11" t="s">
        <v>1034</v>
      </c>
      <c r="E1015" s="11" t="s">
        <v>673</v>
      </c>
      <c r="F1015" s="11" t="s">
        <v>1037</v>
      </c>
      <c r="G1015" s="12">
        <v>3</v>
      </c>
      <c r="H1015" s="12">
        <v>33.380000000000003</v>
      </c>
      <c r="I1015" s="12">
        <v>100.14</v>
      </c>
      <c r="J1015" s="12">
        <v>46352.989999999983</v>
      </c>
      <c r="K1015">
        <f t="shared" si="45"/>
        <v>7</v>
      </c>
      <c r="L1015">
        <f t="shared" si="46"/>
        <v>1</v>
      </c>
      <c r="M1015">
        <f t="shared" si="47"/>
        <v>1</v>
      </c>
    </row>
    <row r="1016" spans="1:13" x14ac:dyDescent="0.25">
      <c r="A1016" s="2" t="s">
        <v>664</v>
      </c>
      <c r="B1016" s="11" t="s">
        <v>1033</v>
      </c>
      <c r="C1016" s="11" t="s">
        <v>4</v>
      </c>
      <c r="D1016" s="11" t="s">
        <v>1034</v>
      </c>
      <c r="E1016" s="11" t="s">
        <v>825</v>
      </c>
      <c r="F1016" s="11" t="s">
        <v>986</v>
      </c>
      <c r="G1016" s="12">
        <v>2</v>
      </c>
      <c r="H1016" s="12">
        <v>32.1</v>
      </c>
      <c r="I1016" s="12">
        <v>64.2</v>
      </c>
      <c r="J1016" s="12">
        <v>46417.189999999981</v>
      </c>
      <c r="K1016">
        <f t="shared" si="45"/>
        <v>6</v>
      </c>
      <c r="L1016">
        <f t="shared" si="46"/>
        <v>1</v>
      </c>
      <c r="M1016">
        <f t="shared" si="47"/>
        <v>1</v>
      </c>
    </row>
    <row r="1017" spans="1:13" x14ac:dyDescent="0.25">
      <c r="A1017" s="2" t="s">
        <v>664</v>
      </c>
      <c r="B1017" s="11" t="s">
        <v>1033</v>
      </c>
      <c r="C1017" s="11" t="s">
        <v>4</v>
      </c>
      <c r="D1017" s="11" t="s">
        <v>1034</v>
      </c>
      <c r="E1017" s="11" t="s">
        <v>1038</v>
      </c>
      <c r="F1017" s="11" t="s">
        <v>1039</v>
      </c>
      <c r="G1017" s="12">
        <v>2</v>
      </c>
      <c r="H1017" s="12">
        <v>32.1</v>
      </c>
      <c r="I1017" s="12">
        <v>64.2</v>
      </c>
      <c r="J1017" s="12">
        <v>46481.389999999978</v>
      </c>
      <c r="K1017">
        <f t="shared" si="45"/>
        <v>3</v>
      </c>
      <c r="L1017">
        <f t="shared" si="46"/>
        <v>1</v>
      </c>
      <c r="M1017">
        <f t="shared" si="47"/>
        <v>1</v>
      </c>
    </row>
    <row r="1018" spans="1:13" x14ac:dyDescent="0.25">
      <c r="A1018" s="2" t="s">
        <v>664</v>
      </c>
      <c r="B1018" s="11" t="s">
        <v>1033</v>
      </c>
      <c r="C1018" s="11" t="s">
        <v>4</v>
      </c>
      <c r="D1018" s="11" t="s">
        <v>1034</v>
      </c>
      <c r="E1018" s="11" t="s">
        <v>685</v>
      </c>
      <c r="F1018" s="11" t="s">
        <v>685</v>
      </c>
      <c r="G1018" s="12">
        <v>2</v>
      </c>
      <c r="H1018" s="12">
        <v>25.54</v>
      </c>
      <c r="I1018" s="12">
        <v>51.08</v>
      </c>
      <c r="J1018" s="12">
        <v>46532.469999999979</v>
      </c>
      <c r="K1018">
        <f t="shared" si="45"/>
        <v>5</v>
      </c>
      <c r="L1018">
        <f t="shared" si="46"/>
        <v>1</v>
      </c>
      <c r="M1018">
        <f t="shared" si="47"/>
        <v>1</v>
      </c>
    </row>
    <row r="1019" spans="1:13" x14ac:dyDescent="0.25">
      <c r="A1019" s="2" t="s">
        <v>664</v>
      </c>
      <c r="B1019" s="11" t="s">
        <v>1033</v>
      </c>
      <c r="C1019" s="11" t="s">
        <v>4</v>
      </c>
      <c r="D1019" s="11" t="s">
        <v>1034</v>
      </c>
      <c r="E1019" s="11" t="s">
        <v>688</v>
      </c>
      <c r="F1019" s="11" t="s">
        <v>689</v>
      </c>
      <c r="G1019" s="12">
        <v>3</v>
      </c>
      <c r="H1019" s="12">
        <v>29.4</v>
      </c>
      <c r="I1019" s="12">
        <v>88.2</v>
      </c>
      <c r="J1019" s="12">
        <v>46620.669999999976</v>
      </c>
      <c r="K1019">
        <f t="shared" si="45"/>
        <v>4</v>
      </c>
      <c r="L1019">
        <f t="shared" si="46"/>
        <v>1</v>
      </c>
      <c r="M1019">
        <f t="shared" si="47"/>
        <v>1</v>
      </c>
    </row>
    <row r="1020" spans="1:13" x14ac:dyDescent="0.25">
      <c r="A1020" s="2" t="s">
        <v>664</v>
      </c>
      <c r="B1020" s="11" t="s">
        <v>1033</v>
      </c>
      <c r="C1020" s="11" t="s">
        <v>4</v>
      </c>
      <c r="D1020" s="11" t="s">
        <v>1034</v>
      </c>
      <c r="E1020" s="11" t="s">
        <v>828</v>
      </c>
      <c r="F1020" s="11" t="s">
        <v>987</v>
      </c>
      <c r="G1020" s="12">
        <v>2</v>
      </c>
      <c r="H1020" s="12">
        <v>28.88</v>
      </c>
      <c r="I1020" s="12">
        <v>57.76</v>
      </c>
      <c r="J1020" s="12">
        <v>46678.429999999978</v>
      </c>
      <c r="K1020">
        <f t="shared" si="45"/>
        <v>5</v>
      </c>
      <c r="L1020">
        <f t="shared" si="46"/>
        <v>1</v>
      </c>
      <c r="M1020">
        <f t="shared" si="47"/>
        <v>1</v>
      </c>
    </row>
    <row r="1021" spans="1:13" x14ac:dyDescent="0.25">
      <c r="A1021" s="2" t="s">
        <v>664</v>
      </c>
      <c r="B1021" s="11" t="s">
        <v>1033</v>
      </c>
      <c r="C1021" s="11" t="s">
        <v>4</v>
      </c>
      <c r="D1021" s="11" t="s">
        <v>1034</v>
      </c>
      <c r="E1021" s="11" t="s">
        <v>830</v>
      </c>
      <c r="F1021" s="11" t="s">
        <v>943</v>
      </c>
      <c r="G1021" s="12">
        <v>4</v>
      </c>
      <c r="H1021" s="12">
        <v>28.88</v>
      </c>
      <c r="I1021" s="12">
        <v>115.52</v>
      </c>
      <c r="J1021" s="12">
        <v>46793.949999999975</v>
      </c>
      <c r="K1021">
        <f t="shared" si="45"/>
        <v>4</v>
      </c>
      <c r="L1021">
        <f t="shared" si="46"/>
        <v>1</v>
      </c>
      <c r="M1021">
        <f t="shared" si="47"/>
        <v>1</v>
      </c>
    </row>
    <row r="1022" spans="1:13" x14ac:dyDescent="0.25">
      <c r="A1022" s="2" t="s">
        <v>664</v>
      </c>
      <c r="B1022" s="11" t="s">
        <v>1033</v>
      </c>
      <c r="C1022" s="11" t="s">
        <v>4</v>
      </c>
      <c r="D1022" s="11" t="s">
        <v>1034</v>
      </c>
      <c r="E1022" s="11" t="s">
        <v>692</v>
      </c>
      <c r="F1022" s="11" t="s">
        <v>944</v>
      </c>
      <c r="G1022" s="12">
        <v>20</v>
      </c>
      <c r="H1022" s="12">
        <v>39.68</v>
      </c>
      <c r="I1022" s="12">
        <v>793.6</v>
      </c>
      <c r="J1022" s="12">
        <v>47587.549999999974</v>
      </c>
      <c r="K1022">
        <f t="shared" si="45"/>
        <v>8</v>
      </c>
      <c r="L1022">
        <f t="shared" si="46"/>
        <v>1</v>
      </c>
      <c r="M1022">
        <f t="shared" si="47"/>
        <v>1</v>
      </c>
    </row>
    <row r="1023" spans="1:13" x14ac:dyDescent="0.25">
      <c r="A1023" s="2" t="s">
        <v>664</v>
      </c>
      <c r="B1023" s="11" t="s">
        <v>1033</v>
      </c>
      <c r="C1023" s="11" t="s">
        <v>4</v>
      </c>
      <c r="D1023" s="11" t="s">
        <v>1034</v>
      </c>
      <c r="E1023" s="11" t="s">
        <v>989</v>
      </c>
      <c r="F1023" s="11" t="s">
        <v>1040</v>
      </c>
      <c r="G1023" s="12">
        <v>5</v>
      </c>
      <c r="H1023" s="12">
        <v>32</v>
      </c>
      <c r="I1023" s="12">
        <v>160</v>
      </c>
      <c r="J1023" s="12">
        <v>47747.549999999974</v>
      </c>
      <c r="K1023">
        <f t="shared" si="45"/>
        <v>2</v>
      </c>
      <c r="L1023">
        <f t="shared" si="46"/>
        <v>1</v>
      </c>
      <c r="M1023">
        <f t="shared" si="47"/>
        <v>1</v>
      </c>
    </row>
    <row r="1024" spans="1:13" x14ac:dyDescent="0.25">
      <c r="A1024" s="2" t="s">
        <v>664</v>
      </c>
      <c r="B1024" s="11" t="s">
        <v>1033</v>
      </c>
      <c r="C1024" s="11" t="s">
        <v>4</v>
      </c>
      <c r="D1024" s="11" t="s">
        <v>1034</v>
      </c>
      <c r="E1024" s="11" t="s">
        <v>694</v>
      </c>
      <c r="F1024" s="11" t="s">
        <v>1041</v>
      </c>
      <c r="G1024" s="12">
        <v>7</v>
      </c>
      <c r="H1024" s="12">
        <v>38.159999999999997</v>
      </c>
      <c r="I1024" s="12">
        <v>267.12</v>
      </c>
      <c r="J1024" s="12">
        <v>48014.669999999976</v>
      </c>
      <c r="K1024">
        <f t="shared" si="45"/>
        <v>3</v>
      </c>
      <c r="L1024">
        <f t="shared" si="46"/>
        <v>1</v>
      </c>
      <c r="M1024">
        <f t="shared" si="47"/>
        <v>1</v>
      </c>
    </row>
    <row r="1025" spans="1:13" x14ac:dyDescent="0.25">
      <c r="A1025" s="2" t="s">
        <v>664</v>
      </c>
      <c r="B1025" s="11" t="s">
        <v>1033</v>
      </c>
      <c r="C1025" s="11" t="s">
        <v>4</v>
      </c>
      <c r="D1025" s="11" t="s">
        <v>1034</v>
      </c>
      <c r="E1025" s="11" t="s">
        <v>1042</v>
      </c>
      <c r="F1025" s="11" t="s">
        <v>1043</v>
      </c>
      <c r="G1025" s="12">
        <v>2</v>
      </c>
      <c r="H1025" s="12">
        <v>51.1</v>
      </c>
      <c r="I1025" s="12">
        <v>102.2</v>
      </c>
      <c r="J1025" s="12">
        <v>48116.869999999974</v>
      </c>
      <c r="K1025">
        <f t="shared" si="45"/>
        <v>2</v>
      </c>
      <c r="L1025">
        <f t="shared" si="46"/>
        <v>1</v>
      </c>
      <c r="M1025">
        <f t="shared" si="47"/>
        <v>1</v>
      </c>
    </row>
    <row r="1026" spans="1:13" x14ac:dyDescent="0.25">
      <c r="A1026" s="2" t="s">
        <v>664</v>
      </c>
      <c r="B1026" s="11" t="s">
        <v>1033</v>
      </c>
      <c r="C1026" s="11" t="s">
        <v>4</v>
      </c>
      <c r="D1026" s="11" t="s">
        <v>1034</v>
      </c>
      <c r="E1026" s="11" t="s">
        <v>947</v>
      </c>
      <c r="F1026" s="11" t="s">
        <v>948</v>
      </c>
      <c r="G1026" s="12">
        <v>3</v>
      </c>
      <c r="H1026" s="12">
        <v>51.1</v>
      </c>
      <c r="I1026" s="12">
        <v>153.30000000000001</v>
      </c>
      <c r="J1026" s="12">
        <v>48270.169999999976</v>
      </c>
      <c r="K1026">
        <f t="shared" si="45"/>
        <v>3</v>
      </c>
      <c r="L1026">
        <f t="shared" si="46"/>
        <v>1</v>
      </c>
      <c r="M1026">
        <f t="shared" si="47"/>
        <v>1</v>
      </c>
    </row>
    <row r="1027" spans="1:13" x14ac:dyDescent="0.25">
      <c r="A1027" s="2" t="s">
        <v>664</v>
      </c>
      <c r="B1027" s="11" t="s">
        <v>1033</v>
      </c>
      <c r="C1027" s="11" t="s">
        <v>4</v>
      </c>
      <c r="D1027" s="11" t="s">
        <v>1034</v>
      </c>
      <c r="E1027" s="11" t="s">
        <v>702</v>
      </c>
      <c r="F1027" s="11" t="s">
        <v>992</v>
      </c>
      <c r="G1027" s="12">
        <v>8</v>
      </c>
      <c r="H1027" s="12">
        <v>45.96</v>
      </c>
      <c r="I1027" s="12">
        <v>367.68</v>
      </c>
      <c r="J1027" s="12">
        <v>48637.849999999977</v>
      </c>
      <c r="K1027">
        <f t="shared" ref="K1027:K1090" si="48">COUNTIF($E$2:$E$1466,E1027)</f>
        <v>10</v>
      </c>
      <c r="L1027">
        <f t="shared" ref="L1027:L1090" si="49">IF(G1027&gt;0,1,0)</f>
        <v>1</v>
      </c>
      <c r="M1027">
        <f t="shared" ref="M1027:M1090" si="50">IF(H1027&gt;0,1,0)</f>
        <v>1</v>
      </c>
    </row>
    <row r="1028" spans="1:13" x14ac:dyDescent="0.25">
      <c r="A1028" s="2" t="s">
        <v>664</v>
      </c>
      <c r="B1028" s="11" t="s">
        <v>1033</v>
      </c>
      <c r="C1028" s="11" t="s">
        <v>4</v>
      </c>
      <c r="D1028" s="11" t="s">
        <v>1034</v>
      </c>
      <c r="E1028" s="11" t="s">
        <v>704</v>
      </c>
      <c r="F1028" s="11" t="s">
        <v>1044</v>
      </c>
      <c r="G1028" s="12">
        <v>2</v>
      </c>
      <c r="H1028" s="12">
        <v>45.96</v>
      </c>
      <c r="I1028" s="12">
        <v>91.92</v>
      </c>
      <c r="J1028" s="12">
        <v>48729.769999999975</v>
      </c>
      <c r="K1028">
        <f t="shared" si="48"/>
        <v>6</v>
      </c>
      <c r="L1028">
        <f t="shared" si="49"/>
        <v>1</v>
      </c>
      <c r="M1028">
        <f t="shared" si="50"/>
        <v>1</v>
      </c>
    </row>
    <row r="1029" spans="1:13" x14ac:dyDescent="0.25">
      <c r="A1029" s="2" t="s">
        <v>664</v>
      </c>
      <c r="B1029" s="11" t="s">
        <v>1033</v>
      </c>
      <c r="C1029" s="11" t="s">
        <v>4</v>
      </c>
      <c r="D1029" s="11" t="s">
        <v>1034</v>
      </c>
      <c r="E1029" s="11" t="s">
        <v>834</v>
      </c>
      <c r="F1029" s="11" t="s">
        <v>1045</v>
      </c>
      <c r="G1029" s="12">
        <v>3</v>
      </c>
      <c r="H1029" s="12">
        <v>33.380000000000003</v>
      </c>
      <c r="I1029" s="12">
        <v>100.14</v>
      </c>
      <c r="J1029" s="12">
        <v>48829.909999999974</v>
      </c>
      <c r="K1029">
        <f t="shared" si="48"/>
        <v>3</v>
      </c>
      <c r="L1029">
        <f t="shared" si="49"/>
        <v>1</v>
      </c>
      <c r="M1029">
        <f t="shared" si="50"/>
        <v>1</v>
      </c>
    </row>
    <row r="1030" spans="1:13" x14ac:dyDescent="0.25">
      <c r="A1030" s="2" t="s">
        <v>664</v>
      </c>
      <c r="B1030" s="11" t="s">
        <v>1033</v>
      </c>
      <c r="C1030" s="11" t="s">
        <v>4</v>
      </c>
      <c r="D1030" s="11" t="s">
        <v>1034</v>
      </c>
      <c r="E1030" s="11" t="s">
        <v>716</v>
      </c>
      <c r="F1030" s="11" t="s">
        <v>777</v>
      </c>
      <c r="G1030" s="12">
        <v>2</v>
      </c>
      <c r="H1030" s="12">
        <v>32.1</v>
      </c>
      <c r="I1030" s="12">
        <v>64.2</v>
      </c>
      <c r="J1030" s="12">
        <v>48894.109999999971</v>
      </c>
      <c r="K1030">
        <f t="shared" si="48"/>
        <v>7</v>
      </c>
      <c r="L1030">
        <f t="shared" si="49"/>
        <v>1</v>
      </c>
      <c r="M1030">
        <f t="shared" si="50"/>
        <v>1</v>
      </c>
    </row>
    <row r="1031" spans="1:13" x14ac:dyDescent="0.25">
      <c r="A1031" s="2" t="s">
        <v>664</v>
      </c>
      <c r="B1031" s="11" t="s">
        <v>1033</v>
      </c>
      <c r="C1031" s="11" t="s">
        <v>4</v>
      </c>
      <c r="D1031" s="11" t="s">
        <v>1034</v>
      </c>
      <c r="E1031" s="11" t="s">
        <v>712</v>
      </c>
      <c r="F1031" s="11" t="s">
        <v>1046</v>
      </c>
      <c r="G1031" s="12">
        <v>2</v>
      </c>
      <c r="H1031" s="12">
        <v>21.18</v>
      </c>
      <c r="I1031" s="12">
        <v>42.36</v>
      </c>
      <c r="J1031" s="12">
        <v>48936.469999999972</v>
      </c>
      <c r="K1031">
        <f t="shared" si="48"/>
        <v>6</v>
      </c>
      <c r="L1031">
        <f t="shared" si="49"/>
        <v>1</v>
      </c>
      <c r="M1031">
        <f t="shared" si="50"/>
        <v>1</v>
      </c>
    </row>
    <row r="1032" spans="1:13" x14ac:dyDescent="0.25">
      <c r="A1032" s="2" t="s">
        <v>664</v>
      </c>
      <c r="B1032" s="11" t="s">
        <v>1033</v>
      </c>
      <c r="C1032" s="11" t="s">
        <v>4</v>
      </c>
      <c r="D1032" s="11" t="s">
        <v>1034</v>
      </c>
      <c r="E1032" s="11" t="s">
        <v>718</v>
      </c>
      <c r="F1032" s="11" t="s">
        <v>1047</v>
      </c>
      <c r="G1032" s="12">
        <v>10</v>
      </c>
      <c r="H1032" s="12">
        <v>21.18</v>
      </c>
      <c r="I1032" s="12">
        <v>211.8</v>
      </c>
      <c r="J1032" s="12">
        <v>49148.269999999975</v>
      </c>
      <c r="K1032">
        <f t="shared" si="48"/>
        <v>6</v>
      </c>
      <c r="L1032">
        <f t="shared" si="49"/>
        <v>1</v>
      </c>
      <c r="M1032">
        <f t="shared" si="50"/>
        <v>1</v>
      </c>
    </row>
    <row r="1033" spans="1:13" x14ac:dyDescent="0.25">
      <c r="A1033" s="2" t="s">
        <v>664</v>
      </c>
      <c r="B1033" s="11" t="s">
        <v>1033</v>
      </c>
      <c r="C1033" s="11" t="s">
        <v>4</v>
      </c>
      <c r="D1033" s="11" t="s">
        <v>1034</v>
      </c>
      <c r="E1033" s="11" t="s">
        <v>720</v>
      </c>
      <c r="F1033" s="11" t="s">
        <v>721</v>
      </c>
      <c r="G1033" s="12">
        <v>4</v>
      </c>
      <c r="H1033" s="12">
        <v>23.96</v>
      </c>
      <c r="I1033" s="12">
        <v>95.84</v>
      </c>
      <c r="J1033" s="12">
        <v>49244.109999999971</v>
      </c>
      <c r="K1033">
        <f t="shared" si="48"/>
        <v>8</v>
      </c>
      <c r="L1033">
        <f t="shared" si="49"/>
        <v>1</v>
      </c>
      <c r="M1033">
        <f t="shared" si="50"/>
        <v>1</v>
      </c>
    </row>
    <row r="1034" spans="1:13" x14ac:dyDescent="0.25">
      <c r="A1034" s="2" t="s">
        <v>664</v>
      </c>
      <c r="B1034" s="11" t="s">
        <v>1033</v>
      </c>
      <c r="C1034" s="11" t="s">
        <v>4</v>
      </c>
      <c r="D1034" s="11" t="s">
        <v>1034</v>
      </c>
      <c r="E1034" s="11" t="s">
        <v>995</v>
      </c>
      <c r="F1034" s="11" t="s">
        <v>1048</v>
      </c>
      <c r="G1034" s="12">
        <v>6</v>
      </c>
      <c r="H1034" s="12">
        <v>36</v>
      </c>
      <c r="I1034" s="12">
        <v>216</v>
      </c>
      <c r="J1034" s="12">
        <v>49460.109999999971</v>
      </c>
      <c r="K1034">
        <f t="shared" si="48"/>
        <v>2</v>
      </c>
      <c r="L1034">
        <f t="shared" si="49"/>
        <v>1</v>
      </c>
      <c r="M1034">
        <f t="shared" si="50"/>
        <v>1</v>
      </c>
    </row>
    <row r="1035" spans="1:13" x14ac:dyDescent="0.25">
      <c r="A1035" s="2" t="s">
        <v>664</v>
      </c>
      <c r="B1035" s="11" t="s">
        <v>1033</v>
      </c>
      <c r="C1035" s="11" t="s">
        <v>4</v>
      </c>
      <c r="D1035" s="11" t="s">
        <v>1034</v>
      </c>
      <c r="E1035" s="11" t="s">
        <v>999</v>
      </c>
      <c r="F1035" s="11" t="s">
        <v>1031</v>
      </c>
      <c r="G1035" s="12">
        <v>12</v>
      </c>
      <c r="H1035" s="12">
        <v>9.99</v>
      </c>
      <c r="I1035" s="12">
        <v>119.88</v>
      </c>
      <c r="J1035" s="12">
        <v>49579.989999999969</v>
      </c>
      <c r="K1035">
        <f t="shared" si="48"/>
        <v>5</v>
      </c>
      <c r="L1035">
        <f t="shared" si="49"/>
        <v>1</v>
      </c>
      <c r="M1035">
        <f t="shared" si="50"/>
        <v>1</v>
      </c>
    </row>
    <row r="1036" spans="1:13" x14ac:dyDescent="0.25">
      <c r="A1036" s="2" t="s">
        <v>664</v>
      </c>
      <c r="B1036" s="11" t="s">
        <v>1033</v>
      </c>
      <c r="C1036" s="11" t="s">
        <v>4</v>
      </c>
      <c r="D1036" s="11" t="s">
        <v>1034</v>
      </c>
      <c r="E1036" s="11" t="s">
        <v>839</v>
      </c>
      <c r="F1036" s="11" t="s">
        <v>1049</v>
      </c>
      <c r="G1036" s="12">
        <v>2</v>
      </c>
      <c r="H1036" s="12">
        <v>30.64</v>
      </c>
      <c r="I1036" s="12">
        <v>61.28</v>
      </c>
      <c r="J1036" s="12">
        <v>49641.269999999968</v>
      </c>
      <c r="K1036">
        <f t="shared" si="48"/>
        <v>4</v>
      </c>
      <c r="L1036">
        <f t="shared" si="49"/>
        <v>1</v>
      </c>
      <c r="M1036">
        <f t="shared" si="50"/>
        <v>1</v>
      </c>
    </row>
    <row r="1037" spans="1:13" x14ac:dyDescent="0.25">
      <c r="A1037" s="2" t="s">
        <v>664</v>
      </c>
      <c r="B1037" s="11" t="s">
        <v>1033</v>
      </c>
      <c r="C1037" s="11" t="s">
        <v>4</v>
      </c>
      <c r="D1037" s="11" t="s">
        <v>1034</v>
      </c>
      <c r="E1037" s="11" t="s">
        <v>843</v>
      </c>
      <c r="F1037" s="11" t="s">
        <v>1050</v>
      </c>
      <c r="G1037" s="12">
        <v>2</v>
      </c>
      <c r="H1037" s="12">
        <v>53.68</v>
      </c>
      <c r="I1037" s="12">
        <v>107.36</v>
      </c>
      <c r="J1037" s="12">
        <v>49748.629999999968</v>
      </c>
      <c r="K1037">
        <f t="shared" si="48"/>
        <v>5</v>
      </c>
      <c r="L1037">
        <f t="shared" si="49"/>
        <v>1</v>
      </c>
      <c r="M1037">
        <f t="shared" si="50"/>
        <v>1</v>
      </c>
    </row>
    <row r="1038" spans="1:13" x14ac:dyDescent="0.25">
      <c r="A1038" s="2" t="s">
        <v>664</v>
      </c>
      <c r="B1038" s="11" t="s">
        <v>1033</v>
      </c>
      <c r="C1038" s="11" t="s">
        <v>4</v>
      </c>
      <c r="D1038" s="11" t="s">
        <v>1034</v>
      </c>
      <c r="E1038" s="11" t="s">
        <v>374</v>
      </c>
      <c r="F1038" s="11" t="s">
        <v>422</v>
      </c>
      <c r="G1038" s="12">
        <v>15</v>
      </c>
      <c r="H1038" s="12">
        <v>31.8</v>
      </c>
      <c r="I1038" s="12">
        <v>477</v>
      </c>
      <c r="J1038" s="12">
        <v>50225.629999999968</v>
      </c>
      <c r="K1038">
        <f t="shared" si="48"/>
        <v>8</v>
      </c>
      <c r="L1038">
        <f t="shared" si="49"/>
        <v>1</v>
      </c>
      <c r="M1038">
        <f t="shared" si="50"/>
        <v>1</v>
      </c>
    </row>
    <row r="1039" spans="1:13" x14ac:dyDescent="0.25">
      <c r="A1039" s="2" t="s">
        <v>664</v>
      </c>
      <c r="B1039" s="11" t="s">
        <v>1033</v>
      </c>
      <c r="C1039" s="11" t="s">
        <v>4</v>
      </c>
      <c r="D1039" s="11" t="s">
        <v>1034</v>
      </c>
      <c r="E1039" s="11" t="s">
        <v>42</v>
      </c>
      <c r="F1039" s="11" t="s">
        <v>43</v>
      </c>
      <c r="G1039" s="12">
        <v>2</v>
      </c>
      <c r="H1039" s="12">
        <v>85</v>
      </c>
      <c r="I1039" s="12">
        <v>170</v>
      </c>
      <c r="J1039" s="12">
        <v>50395.629999999968</v>
      </c>
      <c r="K1039">
        <f t="shared" si="48"/>
        <v>5</v>
      </c>
      <c r="L1039">
        <f t="shared" si="49"/>
        <v>1</v>
      </c>
      <c r="M1039">
        <f t="shared" si="50"/>
        <v>1</v>
      </c>
    </row>
    <row r="1040" spans="1:13" x14ac:dyDescent="0.25">
      <c r="A1040" s="2" t="s">
        <v>664</v>
      </c>
      <c r="B1040" s="11" t="s">
        <v>1033</v>
      </c>
      <c r="C1040" s="11" t="s">
        <v>4</v>
      </c>
      <c r="D1040" s="11" t="s">
        <v>1034</v>
      </c>
      <c r="E1040" s="11" t="s">
        <v>851</v>
      </c>
      <c r="F1040" s="11" t="s">
        <v>951</v>
      </c>
      <c r="G1040" s="12">
        <v>4</v>
      </c>
      <c r="H1040" s="12">
        <v>75.97</v>
      </c>
      <c r="I1040" s="12">
        <v>303.88</v>
      </c>
      <c r="J1040" s="12">
        <v>50699.509999999966</v>
      </c>
      <c r="K1040">
        <f t="shared" si="48"/>
        <v>5</v>
      </c>
      <c r="L1040">
        <f t="shared" si="49"/>
        <v>1</v>
      </c>
      <c r="M1040">
        <f t="shared" si="50"/>
        <v>1</v>
      </c>
    </row>
    <row r="1041" spans="1:13" x14ac:dyDescent="0.25">
      <c r="A1041" s="2" t="s">
        <v>664</v>
      </c>
      <c r="B1041" s="11" t="s">
        <v>1033</v>
      </c>
      <c r="C1041" s="11" t="s">
        <v>4</v>
      </c>
      <c r="D1041" s="11" t="s">
        <v>1034</v>
      </c>
      <c r="E1041" s="11" t="s">
        <v>754</v>
      </c>
      <c r="F1041" s="11" t="s">
        <v>952</v>
      </c>
      <c r="G1041" s="12">
        <v>5</v>
      </c>
      <c r="H1041" s="12">
        <v>38.39</v>
      </c>
      <c r="I1041" s="12">
        <v>191.95</v>
      </c>
      <c r="J1041" s="12">
        <v>50891.459999999963</v>
      </c>
      <c r="K1041">
        <f t="shared" si="48"/>
        <v>8</v>
      </c>
      <c r="L1041">
        <f t="shared" si="49"/>
        <v>1</v>
      </c>
      <c r="M1041">
        <f t="shared" si="50"/>
        <v>1</v>
      </c>
    </row>
    <row r="1042" spans="1:13" x14ac:dyDescent="0.25">
      <c r="A1042" s="2" t="s">
        <v>664</v>
      </c>
      <c r="B1042" s="11" t="s">
        <v>1033</v>
      </c>
      <c r="C1042" s="11" t="s">
        <v>4</v>
      </c>
      <c r="D1042" s="11" t="s">
        <v>1034</v>
      </c>
      <c r="E1042" s="11" t="s">
        <v>1051</v>
      </c>
      <c r="F1042" s="11" t="s">
        <v>1051</v>
      </c>
      <c r="G1042" s="12">
        <v>2</v>
      </c>
      <c r="H1042" s="12">
        <v>16.68</v>
      </c>
      <c r="I1042" s="12">
        <v>33.36</v>
      </c>
      <c r="J1042" s="12">
        <v>50924.819999999963</v>
      </c>
      <c r="K1042">
        <f t="shared" si="48"/>
        <v>3</v>
      </c>
      <c r="L1042">
        <f t="shared" si="49"/>
        <v>1</v>
      </c>
      <c r="M1042">
        <f t="shared" si="50"/>
        <v>1</v>
      </c>
    </row>
    <row r="1043" spans="1:13" x14ac:dyDescent="0.25">
      <c r="A1043" s="2" t="s">
        <v>664</v>
      </c>
      <c r="B1043" s="11" t="s">
        <v>1033</v>
      </c>
      <c r="C1043" s="11" t="s">
        <v>4</v>
      </c>
      <c r="D1043" s="11" t="s">
        <v>1034</v>
      </c>
      <c r="E1043" s="11" t="s">
        <v>853</v>
      </c>
      <c r="F1043" s="11" t="s">
        <v>1052</v>
      </c>
      <c r="G1043" s="12">
        <v>6</v>
      </c>
      <c r="H1043" s="12">
        <v>13.2</v>
      </c>
      <c r="I1043" s="12">
        <v>79.2</v>
      </c>
      <c r="J1043" s="12">
        <v>51004.01999999996</v>
      </c>
      <c r="K1043">
        <f t="shared" si="48"/>
        <v>4</v>
      </c>
      <c r="L1043">
        <f t="shared" si="49"/>
        <v>1</v>
      </c>
      <c r="M1043">
        <f t="shared" si="50"/>
        <v>1</v>
      </c>
    </row>
    <row r="1044" spans="1:13" x14ac:dyDescent="0.25">
      <c r="A1044" s="2" t="s">
        <v>664</v>
      </c>
      <c r="B1044" s="11" t="s">
        <v>1033</v>
      </c>
      <c r="C1044" s="11" t="s">
        <v>4</v>
      </c>
      <c r="D1044" s="11" t="s">
        <v>1034</v>
      </c>
      <c r="E1044" s="11" t="s">
        <v>855</v>
      </c>
      <c r="F1044" s="11" t="s">
        <v>1053</v>
      </c>
      <c r="G1044" s="12">
        <v>5</v>
      </c>
      <c r="H1044" s="12">
        <v>13.2</v>
      </c>
      <c r="I1044" s="12">
        <v>66</v>
      </c>
      <c r="J1044" s="12">
        <v>51070.01999999996</v>
      </c>
      <c r="K1044">
        <f t="shared" si="48"/>
        <v>4</v>
      </c>
      <c r="L1044">
        <f t="shared" si="49"/>
        <v>1</v>
      </c>
      <c r="M1044">
        <f t="shared" si="50"/>
        <v>1</v>
      </c>
    </row>
    <row r="1045" spans="1:13" x14ac:dyDescent="0.25">
      <c r="A1045" s="2" t="s">
        <v>664</v>
      </c>
      <c r="B1045" s="11" t="s">
        <v>1033</v>
      </c>
      <c r="C1045" s="11" t="s">
        <v>4</v>
      </c>
      <c r="D1045" s="11" t="s">
        <v>1034</v>
      </c>
      <c r="E1045" s="11" t="s">
        <v>857</v>
      </c>
      <c r="F1045" s="11" t="s">
        <v>1054</v>
      </c>
      <c r="G1045" s="12">
        <v>4</v>
      </c>
      <c r="H1045" s="12">
        <v>13.2</v>
      </c>
      <c r="I1045" s="12">
        <v>52.8</v>
      </c>
      <c r="J1045" s="12">
        <v>51122.819999999963</v>
      </c>
      <c r="K1045">
        <f t="shared" si="48"/>
        <v>3</v>
      </c>
      <c r="L1045">
        <f t="shared" si="49"/>
        <v>1</v>
      </c>
      <c r="M1045">
        <f t="shared" si="50"/>
        <v>1</v>
      </c>
    </row>
    <row r="1046" spans="1:13" x14ac:dyDescent="0.25">
      <c r="A1046" s="2" t="s">
        <v>664</v>
      </c>
      <c r="B1046" s="11" t="s">
        <v>1033</v>
      </c>
      <c r="C1046" s="11" t="s">
        <v>4</v>
      </c>
      <c r="D1046" s="11" t="s">
        <v>1034</v>
      </c>
      <c r="E1046" s="11" t="s">
        <v>784</v>
      </c>
      <c r="F1046" s="11" t="s">
        <v>1055</v>
      </c>
      <c r="G1046" s="12">
        <v>6</v>
      </c>
      <c r="H1046" s="12">
        <v>13.2</v>
      </c>
      <c r="I1046" s="12">
        <v>79.2</v>
      </c>
      <c r="J1046" s="12">
        <v>51202.01999999996</v>
      </c>
      <c r="K1046">
        <f t="shared" si="48"/>
        <v>5</v>
      </c>
      <c r="L1046">
        <f t="shared" si="49"/>
        <v>1</v>
      </c>
      <c r="M1046">
        <f t="shared" si="50"/>
        <v>1</v>
      </c>
    </row>
    <row r="1047" spans="1:13" x14ac:dyDescent="0.25">
      <c r="A1047" s="2" t="s">
        <v>664</v>
      </c>
      <c r="B1047" s="11" t="s">
        <v>1033</v>
      </c>
      <c r="C1047" s="11" t="s">
        <v>4</v>
      </c>
      <c r="D1047" s="11" t="s">
        <v>1034</v>
      </c>
      <c r="E1047" s="11" t="s">
        <v>1056</v>
      </c>
      <c r="F1047" s="11" t="s">
        <v>1057</v>
      </c>
      <c r="G1047" s="12">
        <v>2</v>
      </c>
      <c r="H1047" s="12">
        <v>13.2</v>
      </c>
      <c r="I1047" s="12">
        <v>26.4</v>
      </c>
      <c r="J1047" s="12">
        <v>51228.419999999962</v>
      </c>
      <c r="K1047">
        <f t="shared" si="48"/>
        <v>2</v>
      </c>
      <c r="L1047">
        <f t="shared" si="49"/>
        <v>1</v>
      </c>
      <c r="M1047">
        <f t="shared" si="50"/>
        <v>1</v>
      </c>
    </row>
    <row r="1048" spans="1:13" x14ac:dyDescent="0.25">
      <c r="A1048" s="2" t="s">
        <v>664</v>
      </c>
      <c r="B1048" s="11" t="s">
        <v>1033</v>
      </c>
      <c r="C1048" s="11" t="s">
        <v>4</v>
      </c>
      <c r="D1048" s="11" t="s">
        <v>1034</v>
      </c>
      <c r="E1048" s="11" t="s">
        <v>953</v>
      </c>
      <c r="F1048" s="11" t="s">
        <v>1004</v>
      </c>
      <c r="G1048" s="12">
        <v>18</v>
      </c>
      <c r="H1048" s="12">
        <v>13.2</v>
      </c>
      <c r="I1048" s="12">
        <v>237.6</v>
      </c>
      <c r="J1048" s="12">
        <v>51466.01999999996</v>
      </c>
      <c r="K1048">
        <f t="shared" si="48"/>
        <v>3</v>
      </c>
      <c r="L1048">
        <f t="shared" si="49"/>
        <v>1</v>
      </c>
      <c r="M1048">
        <f t="shared" si="50"/>
        <v>1</v>
      </c>
    </row>
    <row r="1049" spans="1:13" x14ac:dyDescent="0.25">
      <c r="A1049" s="2" t="s">
        <v>664</v>
      </c>
      <c r="B1049" s="11" t="s">
        <v>1033</v>
      </c>
      <c r="C1049" s="11" t="s">
        <v>4</v>
      </c>
      <c r="D1049" s="11" t="s">
        <v>1034</v>
      </c>
      <c r="E1049" s="11" t="s">
        <v>1058</v>
      </c>
      <c r="F1049" s="11" t="s">
        <v>1059</v>
      </c>
      <c r="G1049" s="12">
        <v>5</v>
      </c>
      <c r="H1049" s="12">
        <v>39</v>
      </c>
      <c r="I1049" s="12">
        <v>195</v>
      </c>
      <c r="J1049" s="12">
        <v>51661.01999999996</v>
      </c>
      <c r="K1049">
        <f t="shared" si="48"/>
        <v>2</v>
      </c>
      <c r="L1049">
        <f t="shared" si="49"/>
        <v>1</v>
      </c>
      <c r="M1049">
        <f t="shared" si="50"/>
        <v>1</v>
      </c>
    </row>
    <row r="1050" spans="1:13" x14ac:dyDescent="0.25">
      <c r="A1050" s="2" t="s">
        <v>664</v>
      </c>
      <c r="B1050" s="11" t="s">
        <v>1033</v>
      </c>
      <c r="C1050" s="11" t="s">
        <v>4</v>
      </c>
      <c r="D1050" s="11" t="s">
        <v>1034</v>
      </c>
      <c r="E1050" s="11" t="s">
        <v>732</v>
      </c>
      <c r="F1050" s="11" t="s">
        <v>1060</v>
      </c>
      <c r="G1050" s="12">
        <v>5</v>
      </c>
      <c r="H1050" s="12">
        <v>12.7</v>
      </c>
      <c r="I1050" s="12">
        <v>63.5</v>
      </c>
      <c r="J1050" s="12">
        <v>51724.51999999996</v>
      </c>
      <c r="K1050">
        <f t="shared" si="48"/>
        <v>4</v>
      </c>
      <c r="L1050">
        <f t="shared" si="49"/>
        <v>1</v>
      </c>
      <c r="M1050">
        <f t="shared" si="50"/>
        <v>1</v>
      </c>
    </row>
    <row r="1051" spans="1:13" x14ac:dyDescent="0.25">
      <c r="A1051" s="2" t="s">
        <v>664</v>
      </c>
      <c r="B1051" s="11" t="s">
        <v>1033</v>
      </c>
      <c r="C1051" s="11" t="s">
        <v>4</v>
      </c>
      <c r="D1051" s="11" t="s">
        <v>1034</v>
      </c>
      <c r="E1051" s="11" t="s">
        <v>736</v>
      </c>
      <c r="F1051" s="11" t="s">
        <v>959</v>
      </c>
      <c r="G1051" s="12">
        <v>6</v>
      </c>
      <c r="H1051" s="12">
        <v>9.07</v>
      </c>
      <c r="I1051" s="12">
        <v>54.42</v>
      </c>
      <c r="J1051" s="12">
        <v>51778.939999999959</v>
      </c>
      <c r="K1051">
        <f t="shared" si="48"/>
        <v>5</v>
      </c>
      <c r="L1051">
        <f t="shared" si="49"/>
        <v>1</v>
      </c>
      <c r="M1051">
        <f t="shared" si="50"/>
        <v>1</v>
      </c>
    </row>
    <row r="1052" spans="1:13" x14ac:dyDescent="0.25">
      <c r="A1052" s="2" t="s">
        <v>664</v>
      </c>
      <c r="B1052" s="11" t="s">
        <v>1033</v>
      </c>
      <c r="C1052" s="11" t="s">
        <v>4</v>
      </c>
      <c r="D1052" s="11" t="s">
        <v>1034</v>
      </c>
      <c r="E1052" s="11" t="s">
        <v>738</v>
      </c>
      <c r="F1052" s="11" t="s">
        <v>738</v>
      </c>
      <c r="G1052" s="12">
        <v>6</v>
      </c>
      <c r="H1052" s="12">
        <v>9.07</v>
      </c>
      <c r="I1052" s="12">
        <v>54.42</v>
      </c>
      <c r="J1052" s="12">
        <v>51833.359999999957</v>
      </c>
      <c r="K1052">
        <f t="shared" si="48"/>
        <v>7</v>
      </c>
      <c r="L1052">
        <f t="shared" si="49"/>
        <v>1</v>
      </c>
      <c r="M1052">
        <f t="shared" si="50"/>
        <v>1</v>
      </c>
    </row>
    <row r="1053" spans="1:13" x14ac:dyDescent="0.25">
      <c r="A1053" s="2" t="s">
        <v>664</v>
      </c>
      <c r="B1053" s="11" t="s">
        <v>1033</v>
      </c>
      <c r="C1053" s="11" t="s">
        <v>4</v>
      </c>
      <c r="D1053" s="11" t="s">
        <v>1034</v>
      </c>
      <c r="E1053" s="11" t="s">
        <v>863</v>
      </c>
      <c r="F1053" s="11" t="s">
        <v>960</v>
      </c>
      <c r="G1053" s="12">
        <v>12</v>
      </c>
      <c r="H1053" s="12">
        <v>52.52</v>
      </c>
      <c r="I1053" s="12">
        <v>630.24</v>
      </c>
      <c r="J1053" s="12">
        <v>52463.599999999955</v>
      </c>
      <c r="K1053">
        <f t="shared" si="48"/>
        <v>7</v>
      </c>
      <c r="L1053">
        <f t="shared" si="49"/>
        <v>1</v>
      </c>
      <c r="M1053">
        <f t="shared" si="50"/>
        <v>1</v>
      </c>
    </row>
    <row r="1054" spans="1:13" x14ac:dyDescent="0.25">
      <c r="A1054" s="2" t="s">
        <v>664</v>
      </c>
      <c r="B1054" s="11" t="s">
        <v>1033</v>
      </c>
      <c r="C1054" s="11" t="s">
        <v>4</v>
      </c>
      <c r="D1054" s="11" t="s">
        <v>1034</v>
      </c>
      <c r="E1054" s="11" t="s">
        <v>865</v>
      </c>
      <c r="F1054" s="11" t="s">
        <v>961</v>
      </c>
      <c r="G1054" s="12">
        <v>12</v>
      </c>
      <c r="H1054" s="12">
        <v>52.52</v>
      </c>
      <c r="I1054" s="12">
        <v>630.24</v>
      </c>
      <c r="J1054" s="12">
        <v>53093.839999999953</v>
      </c>
      <c r="K1054">
        <f t="shared" si="48"/>
        <v>7</v>
      </c>
      <c r="L1054">
        <f t="shared" si="49"/>
        <v>1</v>
      </c>
      <c r="M1054">
        <f t="shared" si="50"/>
        <v>1</v>
      </c>
    </row>
    <row r="1055" spans="1:13" x14ac:dyDescent="0.25">
      <c r="A1055" s="2" t="s">
        <v>664</v>
      </c>
      <c r="B1055" s="11" t="s">
        <v>1033</v>
      </c>
      <c r="C1055" s="11" t="s">
        <v>4</v>
      </c>
      <c r="D1055" s="11" t="s">
        <v>1034</v>
      </c>
      <c r="E1055" s="11" t="s">
        <v>866</v>
      </c>
      <c r="F1055" s="11" t="s">
        <v>1061</v>
      </c>
      <c r="G1055" s="12">
        <v>10</v>
      </c>
      <c r="H1055" s="12">
        <v>52.52</v>
      </c>
      <c r="I1055" s="12">
        <v>525.20000000000005</v>
      </c>
      <c r="J1055" s="12">
        <v>53619.03999999995</v>
      </c>
      <c r="K1055">
        <f t="shared" si="48"/>
        <v>2</v>
      </c>
      <c r="L1055">
        <f t="shared" si="49"/>
        <v>1</v>
      </c>
      <c r="M1055">
        <f t="shared" si="50"/>
        <v>1</v>
      </c>
    </row>
    <row r="1056" spans="1:13" x14ac:dyDescent="0.25">
      <c r="A1056" s="2" t="s">
        <v>664</v>
      </c>
      <c r="B1056" s="11" t="s">
        <v>1033</v>
      </c>
      <c r="C1056" s="11" t="s">
        <v>4</v>
      </c>
      <c r="D1056" s="11" t="s">
        <v>1034</v>
      </c>
      <c r="E1056" s="11" t="s">
        <v>962</v>
      </c>
      <c r="F1056" s="11" t="s">
        <v>963</v>
      </c>
      <c r="G1056" s="12">
        <v>1</v>
      </c>
      <c r="H1056" s="12">
        <v>27.29</v>
      </c>
      <c r="I1056" s="12">
        <v>27.29</v>
      </c>
      <c r="J1056" s="12">
        <v>53646.329999999951</v>
      </c>
      <c r="K1056">
        <f t="shared" si="48"/>
        <v>6</v>
      </c>
      <c r="L1056">
        <f t="shared" si="49"/>
        <v>1</v>
      </c>
      <c r="M1056">
        <f t="shared" si="50"/>
        <v>1</v>
      </c>
    </row>
    <row r="1057" spans="1:13" x14ac:dyDescent="0.25">
      <c r="A1057" s="2" t="s">
        <v>664</v>
      </c>
      <c r="B1057" s="11" t="s">
        <v>1033</v>
      </c>
      <c r="C1057" s="11" t="s">
        <v>4</v>
      </c>
      <c r="D1057" s="11" t="s">
        <v>1034</v>
      </c>
      <c r="E1057" s="11" t="s">
        <v>872</v>
      </c>
      <c r="F1057" s="11" t="s">
        <v>1009</v>
      </c>
      <c r="G1057" s="12">
        <v>1</v>
      </c>
      <c r="H1057" s="12">
        <v>27.29</v>
      </c>
      <c r="I1057" s="12">
        <v>27.29</v>
      </c>
      <c r="J1057" s="12">
        <v>53673.619999999952</v>
      </c>
      <c r="K1057">
        <f t="shared" si="48"/>
        <v>6</v>
      </c>
      <c r="L1057">
        <f t="shared" si="49"/>
        <v>1</v>
      </c>
      <c r="M1057">
        <f t="shared" si="50"/>
        <v>1</v>
      </c>
    </row>
    <row r="1058" spans="1:13" x14ac:dyDescent="0.25">
      <c r="A1058" s="2" t="s">
        <v>664</v>
      </c>
      <c r="B1058" s="11" t="s">
        <v>1033</v>
      </c>
      <c r="C1058" s="11" t="s">
        <v>4</v>
      </c>
      <c r="D1058" s="11" t="s">
        <v>1034</v>
      </c>
      <c r="E1058" s="11" t="s">
        <v>1062</v>
      </c>
      <c r="F1058" s="11" t="s">
        <v>1063</v>
      </c>
      <c r="G1058" s="12">
        <v>1</v>
      </c>
      <c r="H1058" s="12">
        <v>39.46</v>
      </c>
      <c r="I1058" s="12">
        <v>39.46</v>
      </c>
      <c r="J1058" s="12">
        <v>53713.079999999951</v>
      </c>
      <c r="K1058">
        <f t="shared" si="48"/>
        <v>4</v>
      </c>
      <c r="L1058">
        <f t="shared" si="49"/>
        <v>1</v>
      </c>
      <c r="M1058">
        <f t="shared" si="50"/>
        <v>1</v>
      </c>
    </row>
    <row r="1059" spans="1:13" x14ac:dyDescent="0.25">
      <c r="A1059" s="2" t="s">
        <v>664</v>
      </c>
      <c r="B1059" s="11" t="s">
        <v>1033</v>
      </c>
      <c r="C1059" s="11" t="s">
        <v>4</v>
      </c>
      <c r="D1059" s="11" t="s">
        <v>1034</v>
      </c>
      <c r="E1059" s="11" t="s">
        <v>874</v>
      </c>
      <c r="F1059" s="11" t="s">
        <v>1064</v>
      </c>
      <c r="G1059" s="12">
        <v>2</v>
      </c>
      <c r="H1059" s="12">
        <v>39.46</v>
      </c>
      <c r="I1059" s="12">
        <v>78.92</v>
      </c>
      <c r="J1059" s="12">
        <v>53791.999999999949</v>
      </c>
      <c r="K1059">
        <f t="shared" si="48"/>
        <v>4</v>
      </c>
      <c r="L1059">
        <f t="shared" si="49"/>
        <v>1</v>
      </c>
      <c r="M1059">
        <f t="shared" si="50"/>
        <v>1</v>
      </c>
    </row>
    <row r="1060" spans="1:13" x14ac:dyDescent="0.25">
      <c r="A1060" s="2" t="s">
        <v>664</v>
      </c>
      <c r="B1060" s="11" t="s">
        <v>1033</v>
      </c>
      <c r="C1060" s="11" t="s">
        <v>4</v>
      </c>
      <c r="D1060" s="11" t="s">
        <v>1034</v>
      </c>
      <c r="E1060" s="11" t="s">
        <v>739</v>
      </c>
      <c r="F1060" s="11" t="s">
        <v>964</v>
      </c>
      <c r="G1060" s="12">
        <v>6</v>
      </c>
      <c r="H1060" s="12">
        <v>14</v>
      </c>
      <c r="I1060" s="12">
        <v>84</v>
      </c>
      <c r="J1060" s="12">
        <v>53875.999999999949</v>
      </c>
      <c r="K1060">
        <f t="shared" si="48"/>
        <v>7</v>
      </c>
      <c r="L1060">
        <f t="shared" si="49"/>
        <v>1</v>
      </c>
      <c r="M1060">
        <f t="shared" si="50"/>
        <v>1</v>
      </c>
    </row>
    <row r="1061" spans="1:13" x14ac:dyDescent="0.25">
      <c r="A1061" s="2" t="s">
        <v>664</v>
      </c>
      <c r="B1061" s="11" t="s">
        <v>1033</v>
      </c>
      <c r="C1061" s="11" t="s">
        <v>4</v>
      </c>
      <c r="D1061" s="11" t="s">
        <v>1034</v>
      </c>
      <c r="E1061" s="11" t="s">
        <v>741</v>
      </c>
      <c r="F1061" s="11" t="s">
        <v>1065</v>
      </c>
      <c r="G1061" s="12">
        <v>7</v>
      </c>
      <c r="H1061" s="12">
        <v>14</v>
      </c>
      <c r="I1061" s="12">
        <v>98</v>
      </c>
      <c r="J1061" s="12">
        <v>53973.999999999949</v>
      </c>
      <c r="K1061">
        <f t="shared" si="48"/>
        <v>7</v>
      </c>
      <c r="L1061">
        <f t="shared" si="49"/>
        <v>1</v>
      </c>
      <c r="M1061">
        <f t="shared" si="50"/>
        <v>1</v>
      </c>
    </row>
    <row r="1062" spans="1:13" x14ac:dyDescent="0.25">
      <c r="A1062" s="2" t="s">
        <v>664</v>
      </c>
      <c r="B1062" s="11" t="s">
        <v>1033</v>
      </c>
      <c r="C1062" s="11" t="s">
        <v>4</v>
      </c>
      <c r="D1062" s="11" t="s">
        <v>1034</v>
      </c>
      <c r="E1062" s="11" t="s">
        <v>878</v>
      </c>
      <c r="F1062" s="11" t="s">
        <v>965</v>
      </c>
      <c r="G1062" s="12">
        <v>12</v>
      </c>
      <c r="H1062" s="12">
        <v>14</v>
      </c>
      <c r="I1062" s="12">
        <v>168</v>
      </c>
      <c r="J1062" s="12">
        <v>54141.999999999949</v>
      </c>
      <c r="K1062">
        <f t="shared" si="48"/>
        <v>5</v>
      </c>
      <c r="L1062">
        <f t="shared" si="49"/>
        <v>1</v>
      </c>
      <c r="M1062">
        <f t="shared" si="50"/>
        <v>1</v>
      </c>
    </row>
    <row r="1063" spans="1:13" x14ac:dyDescent="0.25">
      <c r="A1063" s="2" t="s">
        <v>664</v>
      </c>
      <c r="B1063" s="11" t="s">
        <v>1033</v>
      </c>
      <c r="C1063" s="11" t="s">
        <v>4</v>
      </c>
      <c r="D1063" s="11" t="s">
        <v>1034</v>
      </c>
      <c r="E1063" s="11" t="s">
        <v>1066</v>
      </c>
      <c r="F1063" s="11" t="s">
        <v>1067</v>
      </c>
      <c r="G1063" s="12">
        <v>3</v>
      </c>
      <c r="H1063" s="12">
        <v>14</v>
      </c>
      <c r="I1063" s="12">
        <v>42</v>
      </c>
      <c r="J1063" s="12">
        <v>54183.999999999949</v>
      </c>
      <c r="K1063">
        <f t="shared" si="48"/>
        <v>4</v>
      </c>
      <c r="L1063">
        <f t="shared" si="49"/>
        <v>1</v>
      </c>
      <c r="M1063">
        <f t="shared" si="50"/>
        <v>1</v>
      </c>
    </row>
    <row r="1064" spans="1:13" x14ac:dyDescent="0.25">
      <c r="A1064" s="2" t="s">
        <v>664</v>
      </c>
      <c r="B1064" s="11" t="s">
        <v>1033</v>
      </c>
      <c r="C1064" s="11" t="s">
        <v>4</v>
      </c>
      <c r="D1064" s="11" t="s">
        <v>1034</v>
      </c>
      <c r="E1064" s="11" t="s">
        <v>1068</v>
      </c>
      <c r="F1064" s="11" t="s">
        <v>1069</v>
      </c>
      <c r="G1064" s="12">
        <v>3</v>
      </c>
      <c r="H1064" s="12">
        <v>14</v>
      </c>
      <c r="I1064" s="12">
        <v>42</v>
      </c>
      <c r="J1064" s="12">
        <v>54225.999999999949</v>
      </c>
      <c r="K1064">
        <f t="shared" si="48"/>
        <v>5</v>
      </c>
      <c r="L1064">
        <f t="shared" si="49"/>
        <v>1</v>
      </c>
      <c r="M1064">
        <f t="shared" si="50"/>
        <v>1</v>
      </c>
    </row>
    <row r="1065" spans="1:13" x14ac:dyDescent="0.25">
      <c r="A1065" s="2" t="s">
        <v>664</v>
      </c>
      <c r="B1065" s="11" t="s">
        <v>1033</v>
      </c>
      <c r="C1065" s="11" t="s">
        <v>4</v>
      </c>
      <c r="D1065" s="11" t="s">
        <v>1034</v>
      </c>
      <c r="E1065" s="11" t="s">
        <v>880</v>
      </c>
      <c r="F1065" s="11" t="s">
        <v>935</v>
      </c>
      <c r="G1065" s="12">
        <v>12</v>
      </c>
      <c r="H1065" s="12">
        <v>14</v>
      </c>
      <c r="I1065" s="12">
        <v>168</v>
      </c>
      <c r="J1065" s="12">
        <v>54393.999999999949</v>
      </c>
      <c r="K1065">
        <f t="shared" si="48"/>
        <v>6</v>
      </c>
      <c r="L1065">
        <f t="shared" si="49"/>
        <v>1</v>
      </c>
      <c r="M1065">
        <f t="shared" si="50"/>
        <v>1</v>
      </c>
    </row>
    <row r="1066" spans="1:13" x14ac:dyDescent="0.25">
      <c r="A1066" s="2" t="s">
        <v>664</v>
      </c>
      <c r="B1066" s="11" t="s">
        <v>1033</v>
      </c>
      <c r="C1066" s="11" t="s">
        <v>4</v>
      </c>
      <c r="D1066" s="11" t="s">
        <v>1034</v>
      </c>
      <c r="E1066" s="11" t="s">
        <v>882</v>
      </c>
      <c r="F1066" s="11" t="s">
        <v>966</v>
      </c>
      <c r="G1066" s="12">
        <v>6</v>
      </c>
      <c r="H1066" s="12">
        <v>14</v>
      </c>
      <c r="I1066" s="12">
        <v>84</v>
      </c>
      <c r="J1066" s="12">
        <v>54477.999999999949</v>
      </c>
      <c r="K1066">
        <f t="shared" si="48"/>
        <v>5</v>
      </c>
      <c r="L1066">
        <f t="shared" si="49"/>
        <v>1</v>
      </c>
      <c r="M1066">
        <f t="shared" si="50"/>
        <v>1</v>
      </c>
    </row>
    <row r="1067" spans="1:13" x14ac:dyDescent="0.25">
      <c r="A1067" s="2" t="s">
        <v>664</v>
      </c>
      <c r="B1067" s="11" t="s">
        <v>1033</v>
      </c>
      <c r="C1067" s="11" t="s">
        <v>4</v>
      </c>
      <c r="D1067" s="11" t="s">
        <v>1034</v>
      </c>
      <c r="E1067" s="11" t="s">
        <v>786</v>
      </c>
      <c r="F1067" s="11" t="s">
        <v>967</v>
      </c>
      <c r="G1067" s="12">
        <v>3</v>
      </c>
      <c r="H1067" s="12">
        <v>22.86</v>
      </c>
      <c r="I1067" s="12">
        <v>68.58</v>
      </c>
      <c r="J1067" s="12">
        <v>54546.579999999951</v>
      </c>
      <c r="K1067">
        <f t="shared" si="48"/>
        <v>8</v>
      </c>
      <c r="L1067">
        <f t="shared" si="49"/>
        <v>1</v>
      </c>
      <c r="M1067">
        <f t="shared" si="50"/>
        <v>1</v>
      </c>
    </row>
    <row r="1068" spans="1:13" x14ac:dyDescent="0.25">
      <c r="A1068" s="2" t="s">
        <v>664</v>
      </c>
      <c r="B1068" s="11" t="s">
        <v>1033</v>
      </c>
      <c r="C1068" s="11" t="s">
        <v>4</v>
      </c>
      <c r="D1068" s="11" t="s">
        <v>1034</v>
      </c>
      <c r="E1068" s="11" t="s">
        <v>788</v>
      </c>
      <c r="F1068" s="11" t="s">
        <v>968</v>
      </c>
      <c r="G1068" s="12">
        <v>15</v>
      </c>
      <c r="H1068" s="12">
        <v>12.84</v>
      </c>
      <c r="I1068" s="12">
        <v>192.6</v>
      </c>
      <c r="J1068" s="12">
        <v>54739.179999999949</v>
      </c>
      <c r="K1068">
        <f t="shared" si="48"/>
        <v>6</v>
      </c>
      <c r="L1068">
        <f t="shared" si="49"/>
        <v>1</v>
      </c>
      <c r="M1068">
        <f t="shared" si="50"/>
        <v>1</v>
      </c>
    </row>
    <row r="1069" spans="1:13" x14ac:dyDescent="0.25">
      <c r="A1069" s="2" t="s">
        <v>664</v>
      </c>
      <c r="B1069" s="11" t="s">
        <v>1033</v>
      </c>
      <c r="C1069" s="11" t="s">
        <v>4</v>
      </c>
      <c r="D1069" s="11" t="s">
        <v>1034</v>
      </c>
      <c r="E1069" s="11" t="s">
        <v>1010</v>
      </c>
      <c r="F1069" s="11" t="s">
        <v>1070</v>
      </c>
      <c r="G1069" s="12">
        <v>4</v>
      </c>
      <c r="H1069" s="12">
        <v>14</v>
      </c>
      <c r="I1069" s="12">
        <v>56</v>
      </c>
      <c r="J1069" s="12">
        <v>54795.179999999949</v>
      </c>
      <c r="K1069">
        <f t="shared" si="48"/>
        <v>4</v>
      </c>
      <c r="L1069">
        <f t="shared" si="49"/>
        <v>1</v>
      </c>
      <c r="M1069">
        <f t="shared" si="50"/>
        <v>1</v>
      </c>
    </row>
    <row r="1070" spans="1:13" x14ac:dyDescent="0.25">
      <c r="A1070" s="2" t="s">
        <v>664</v>
      </c>
      <c r="B1070" s="11" t="s">
        <v>1033</v>
      </c>
      <c r="C1070" s="11" t="s">
        <v>4</v>
      </c>
      <c r="D1070" s="11" t="s">
        <v>1034</v>
      </c>
      <c r="E1070" s="11" t="s">
        <v>885</v>
      </c>
      <c r="F1070" s="11" t="s">
        <v>1012</v>
      </c>
      <c r="G1070" s="12">
        <v>6</v>
      </c>
      <c r="H1070" s="12">
        <v>9</v>
      </c>
      <c r="I1070" s="12">
        <v>54</v>
      </c>
      <c r="J1070" s="12">
        <v>54849.179999999949</v>
      </c>
      <c r="K1070">
        <f t="shared" si="48"/>
        <v>4</v>
      </c>
      <c r="L1070">
        <f t="shared" si="49"/>
        <v>1</v>
      </c>
      <c r="M1070">
        <f t="shared" si="50"/>
        <v>1</v>
      </c>
    </row>
    <row r="1071" spans="1:13" x14ac:dyDescent="0.25">
      <c r="A1071" s="2" t="s">
        <v>664</v>
      </c>
      <c r="B1071" s="11" t="s">
        <v>1033</v>
      </c>
      <c r="C1071" s="11" t="s">
        <v>4</v>
      </c>
      <c r="D1071" s="11" t="s">
        <v>1034</v>
      </c>
      <c r="E1071" s="11" t="s">
        <v>887</v>
      </c>
      <c r="F1071" s="11" t="s">
        <v>969</v>
      </c>
      <c r="G1071" s="12">
        <v>9</v>
      </c>
      <c r="H1071" s="12">
        <v>12.84</v>
      </c>
      <c r="I1071" s="12">
        <v>115.56</v>
      </c>
      <c r="J1071" s="12">
        <v>54964.739999999947</v>
      </c>
      <c r="K1071">
        <f t="shared" si="48"/>
        <v>3</v>
      </c>
      <c r="L1071">
        <f t="shared" si="49"/>
        <v>1</v>
      </c>
      <c r="M1071">
        <f t="shared" si="50"/>
        <v>1</v>
      </c>
    </row>
    <row r="1072" spans="1:13" x14ac:dyDescent="0.25">
      <c r="A1072" s="2" t="s">
        <v>664</v>
      </c>
      <c r="B1072" s="11" t="s">
        <v>1033</v>
      </c>
      <c r="C1072" s="11" t="s">
        <v>4</v>
      </c>
      <c r="D1072" s="11" t="s">
        <v>1034</v>
      </c>
      <c r="E1072" s="11" t="s">
        <v>889</v>
      </c>
      <c r="F1072" s="11" t="s">
        <v>970</v>
      </c>
      <c r="G1072" s="12">
        <v>9</v>
      </c>
      <c r="H1072" s="12">
        <v>12.84</v>
      </c>
      <c r="I1072" s="12">
        <v>115.56</v>
      </c>
      <c r="J1072" s="12">
        <v>55080.299999999945</v>
      </c>
      <c r="K1072">
        <f t="shared" si="48"/>
        <v>3</v>
      </c>
      <c r="L1072">
        <f t="shared" si="49"/>
        <v>1</v>
      </c>
      <c r="M1072">
        <f t="shared" si="50"/>
        <v>1</v>
      </c>
    </row>
    <row r="1073" spans="1:13" x14ac:dyDescent="0.25">
      <c r="A1073" s="2" t="s">
        <v>664</v>
      </c>
      <c r="B1073" s="11" t="s">
        <v>1033</v>
      </c>
      <c r="C1073" s="11" t="s">
        <v>4</v>
      </c>
      <c r="D1073" s="11" t="s">
        <v>1034</v>
      </c>
      <c r="E1073" s="11" t="s">
        <v>891</v>
      </c>
      <c r="F1073" s="11" t="s">
        <v>971</v>
      </c>
      <c r="G1073" s="12">
        <v>5</v>
      </c>
      <c r="H1073" s="12">
        <v>14</v>
      </c>
      <c r="I1073" s="12">
        <v>70</v>
      </c>
      <c r="J1073" s="12">
        <v>55150.299999999945</v>
      </c>
      <c r="K1073">
        <f t="shared" si="48"/>
        <v>4</v>
      </c>
      <c r="L1073">
        <f t="shared" si="49"/>
        <v>1</v>
      </c>
      <c r="M1073">
        <f t="shared" si="50"/>
        <v>1</v>
      </c>
    </row>
    <row r="1074" spans="1:13" x14ac:dyDescent="0.25">
      <c r="A1074" s="2" t="s">
        <v>664</v>
      </c>
      <c r="B1074" s="11" t="s">
        <v>1033</v>
      </c>
      <c r="C1074" s="11" t="s">
        <v>4</v>
      </c>
      <c r="D1074" s="11" t="s">
        <v>1034</v>
      </c>
      <c r="E1074" s="11" t="s">
        <v>893</v>
      </c>
      <c r="F1074" s="11" t="s">
        <v>1013</v>
      </c>
      <c r="G1074" s="12">
        <v>2</v>
      </c>
      <c r="H1074" s="12">
        <v>12.84</v>
      </c>
      <c r="I1074" s="12">
        <v>25.68</v>
      </c>
      <c r="J1074" s="12">
        <v>55175.979999999945</v>
      </c>
      <c r="K1074">
        <f t="shared" si="48"/>
        <v>5</v>
      </c>
      <c r="L1074">
        <f t="shared" si="49"/>
        <v>1</v>
      </c>
      <c r="M1074">
        <f t="shared" si="50"/>
        <v>1</v>
      </c>
    </row>
    <row r="1075" spans="1:13" x14ac:dyDescent="0.25">
      <c r="A1075" s="2" t="s">
        <v>664</v>
      </c>
      <c r="B1075" s="11" t="s">
        <v>1033</v>
      </c>
      <c r="C1075" s="11" t="s">
        <v>4</v>
      </c>
      <c r="D1075" s="11" t="s">
        <v>1034</v>
      </c>
      <c r="E1075" s="11" t="s">
        <v>895</v>
      </c>
      <c r="F1075" s="11" t="s">
        <v>1014</v>
      </c>
      <c r="G1075" s="12">
        <v>2</v>
      </c>
      <c r="H1075" s="12">
        <v>12.84</v>
      </c>
      <c r="I1075" s="12">
        <v>25.68</v>
      </c>
      <c r="J1075" s="12">
        <v>55201.659999999945</v>
      </c>
      <c r="K1075">
        <f t="shared" si="48"/>
        <v>4</v>
      </c>
      <c r="L1075">
        <f t="shared" si="49"/>
        <v>1</v>
      </c>
      <c r="M1075">
        <f t="shared" si="50"/>
        <v>1</v>
      </c>
    </row>
    <row r="1076" spans="1:13" x14ac:dyDescent="0.25">
      <c r="A1076" s="2" t="s">
        <v>664</v>
      </c>
      <c r="B1076" s="11" t="s">
        <v>1033</v>
      </c>
      <c r="C1076" s="11" t="s">
        <v>4</v>
      </c>
      <c r="D1076" s="11" t="s">
        <v>1034</v>
      </c>
      <c r="E1076" s="11" t="s">
        <v>803</v>
      </c>
      <c r="F1076" s="11" t="s">
        <v>1016</v>
      </c>
      <c r="G1076" s="12">
        <v>4</v>
      </c>
      <c r="H1076" s="12">
        <v>21.4</v>
      </c>
      <c r="I1076" s="12">
        <v>85.6</v>
      </c>
      <c r="J1076" s="12">
        <v>55287.259999999944</v>
      </c>
      <c r="K1076">
        <f t="shared" si="48"/>
        <v>8</v>
      </c>
      <c r="L1076">
        <f t="shared" si="49"/>
        <v>1</v>
      </c>
      <c r="M1076">
        <f t="shared" si="50"/>
        <v>1</v>
      </c>
    </row>
    <row r="1077" spans="1:13" x14ac:dyDescent="0.25">
      <c r="A1077" s="2" t="s">
        <v>664</v>
      </c>
      <c r="B1077" s="11" t="s">
        <v>1033</v>
      </c>
      <c r="C1077" s="11" t="s">
        <v>4</v>
      </c>
      <c r="D1077" s="11" t="s">
        <v>1034</v>
      </c>
      <c r="E1077" s="11" t="s">
        <v>745</v>
      </c>
      <c r="F1077" s="11" t="s">
        <v>974</v>
      </c>
      <c r="G1077" s="12">
        <v>6</v>
      </c>
      <c r="H1077" s="12">
        <v>64.2</v>
      </c>
      <c r="I1077" s="12">
        <v>385.2</v>
      </c>
      <c r="J1077" s="12">
        <v>55672.459999999941</v>
      </c>
      <c r="K1077">
        <f t="shared" si="48"/>
        <v>5</v>
      </c>
      <c r="L1077">
        <f t="shared" si="49"/>
        <v>1</v>
      </c>
      <c r="M1077">
        <f t="shared" si="50"/>
        <v>1</v>
      </c>
    </row>
    <row r="1078" spans="1:13" x14ac:dyDescent="0.25">
      <c r="A1078" s="2" t="s">
        <v>664</v>
      </c>
      <c r="B1078" s="11" t="s">
        <v>1033</v>
      </c>
      <c r="C1078" s="11" t="s">
        <v>4</v>
      </c>
      <c r="D1078" s="11" t="s">
        <v>1034</v>
      </c>
      <c r="E1078" s="11" t="s">
        <v>746</v>
      </c>
      <c r="F1078" s="11" t="s">
        <v>1071</v>
      </c>
      <c r="G1078" s="12">
        <v>1</v>
      </c>
      <c r="H1078" s="12">
        <v>85.6</v>
      </c>
      <c r="I1078" s="12">
        <v>85.6</v>
      </c>
      <c r="J1078" s="12">
        <v>55758.059999999939</v>
      </c>
      <c r="K1078">
        <f t="shared" si="48"/>
        <v>3</v>
      </c>
      <c r="L1078">
        <f t="shared" si="49"/>
        <v>1</v>
      </c>
      <c r="M1078">
        <f t="shared" si="50"/>
        <v>1</v>
      </c>
    </row>
    <row r="1079" spans="1:13" x14ac:dyDescent="0.25">
      <c r="A1079" s="2" t="s">
        <v>664</v>
      </c>
      <c r="B1079" s="11" t="s">
        <v>1033</v>
      </c>
      <c r="C1079" s="11" t="s">
        <v>4</v>
      </c>
      <c r="D1079" s="11" t="s">
        <v>1034</v>
      </c>
      <c r="E1079" s="11" t="s">
        <v>748</v>
      </c>
      <c r="F1079" s="11" t="s">
        <v>749</v>
      </c>
      <c r="G1079" s="12">
        <v>4</v>
      </c>
      <c r="H1079" s="12">
        <v>78</v>
      </c>
      <c r="I1079" s="12">
        <v>312</v>
      </c>
      <c r="J1079" s="12">
        <v>56070.059999999939</v>
      </c>
      <c r="K1079">
        <f t="shared" si="48"/>
        <v>4</v>
      </c>
      <c r="L1079">
        <f t="shared" si="49"/>
        <v>1</v>
      </c>
      <c r="M1079">
        <f t="shared" si="50"/>
        <v>1</v>
      </c>
    </row>
    <row r="1080" spans="1:13" x14ac:dyDescent="0.25">
      <c r="A1080" s="2" t="s">
        <v>664</v>
      </c>
      <c r="B1080" s="11" t="s">
        <v>1033</v>
      </c>
      <c r="C1080" s="11" t="s">
        <v>4</v>
      </c>
      <c r="D1080" s="11" t="s">
        <v>1034</v>
      </c>
      <c r="E1080" s="11" t="s">
        <v>750</v>
      </c>
      <c r="F1080" s="11" t="s">
        <v>1072</v>
      </c>
      <c r="G1080" s="12">
        <v>4</v>
      </c>
      <c r="H1080" s="12">
        <v>13.91</v>
      </c>
      <c r="I1080" s="12">
        <v>55.64</v>
      </c>
      <c r="J1080" s="12">
        <v>56125.699999999939</v>
      </c>
      <c r="K1080">
        <f t="shared" si="48"/>
        <v>4</v>
      </c>
      <c r="L1080">
        <f t="shared" si="49"/>
        <v>1</v>
      </c>
      <c r="M1080">
        <f t="shared" si="50"/>
        <v>1</v>
      </c>
    </row>
    <row r="1081" spans="1:13" x14ac:dyDescent="0.25">
      <c r="A1081" s="2" t="s">
        <v>664</v>
      </c>
      <c r="B1081" s="11" t="s">
        <v>1033</v>
      </c>
      <c r="C1081" s="11" t="s">
        <v>4</v>
      </c>
      <c r="D1081" s="11" t="s">
        <v>1034</v>
      </c>
      <c r="E1081" s="11" t="s">
        <v>904</v>
      </c>
      <c r="F1081" s="11" t="s">
        <v>1073</v>
      </c>
      <c r="G1081" s="12">
        <v>3</v>
      </c>
      <c r="H1081" s="12">
        <v>28.88</v>
      </c>
      <c r="I1081" s="12">
        <v>86.64</v>
      </c>
      <c r="J1081" s="12">
        <v>56212.339999999938</v>
      </c>
      <c r="K1081">
        <f t="shared" si="48"/>
        <v>5</v>
      </c>
      <c r="L1081">
        <f t="shared" si="49"/>
        <v>1</v>
      </c>
      <c r="M1081">
        <f t="shared" si="50"/>
        <v>1</v>
      </c>
    </row>
    <row r="1082" spans="1:13" x14ac:dyDescent="0.25">
      <c r="A1082" s="2" t="s">
        <v>664</v>
      </c>
      <c r="B1082" s="11" t="s">
        <v>1033</v>
      </c>
      <c r="C1082" s="11" t="s">
        <v>4</v>
      </c>
      <c r="D1082" s="11" t="s">
        <v>1034</v>
      </c>
      <c r="E1082" s="11" t="s">
        <v>910</v>
      </c>
      <c r="F1082" s="11" t="s">
        <v>976</v>
      </c>
      <c r="G1082" s="12">
        <v>4</v>
      </c>
      <c r="H1082" s="12">
        <v>42.24</v>
      </c>
      <c r="I1082" s="12">
        <v>168.96</v>
      </c>
      <c r="J1082" s="12">
        <v>56381.299999999937</v>
      </c>
      <c r="K1082">
        <f t="shared" si="48"/>
        <v>6</v>
      </c>
      <c r="L1082">
        <f t="shared" si="49"/>
        <v>1</v>
      </c>
      <c r="M1082">
        <f t="shared" si="50"/>
        <v>1</v>
      </c>
    </row>
    <row r="1083" spans="1:13" x14ac:dyDescent="0.25">
      <c r="A1083" s="2" t="s">
        <v>664</v>
      </c>
      <c r="B1083" s="11" t="s">
        <v>1033</v>
      </c>
      <c r="C1083" s="11" t="s">
        <v>4</v>
      </c>
      <c r="D1083" s="11" t="s">
        <v>1034</v>
      </c>
      <c r="E1083" s="11" t="s">
        <v>916</v>
      </c>
      <c r="F1083" s="11" t="s">
        <v>1074</v>
      </c>
      <c r="G1083" s="12">
        <v>5</v>
      </c>
      <c r="H1083" s="12">
        <v>45.96</v>
      </c>
      <c r="I1083" s="12">
        <v>229.8</v>
      </c>
      <c r="J1083" s="12">
        <v>56611.09999999994</v>
      </c>
      <c r="K1083">
        <f t="shared" si="48"/>
        <v>2</v>
      </c>
      <c r="L1083">
        <f t="shared" si="49"/>
        <v>1</v>
      </c>
      <c r="M1083">
        <f t="shared" si="50"/>
        <v>1</v>
      </c>
    </row>
    <row r="1084" spans="1:13" x14ac:dyDescent="0.25">
      <c r="A1084" s="2" t="s">
        <v>664</v>
      </c>
      <c r="B1084" s="11" t="s">
        <v>1033</v>
      </c>
      <c r="C1084" s="11" t="s">
        <v>4</v>
      </c>
      <c r="D1084" s="11" t="s">
        <v>1034</v>
      </c>
      <c r="E1084" s="11" t="s">
        <v>918</v>
      </c>
      <c r="F1084" s="11" t="s">
        <v>1075</v>
      </c>
      <c r="G1084" s="12">
        <v>5</v>
      </c>
      <c r="H1084" s="12">
        <v>33.479999999999997</v>
      </c>
      <c r="I1084" s="12">
        <v>167.4</v>
      </c>
      <c r="J1084" s="12">
        <v>56778.499999999942</v>
      </c>
      <c r="K1084">
        <f t="shared" si="48"/>
        <v>2</v>
      </c>
      <c r="L1084">
        <f t="shared" si="49"/>
        <v>1</v>
      </c>
      <c r="M1084">
        <f t="shared" si="50"/>
        <v>1</v>
      </c>
    </row>
    <row r="1085" spans="1:13" x14ac:dyDescent="0.25">
      <c r="A1085" s="2" t="s">
        <v>664</v>
      </c>
      <c r="B1085" s="11" t="s">
        <v>1033</v>
      </c>
      <c r="C1085" s="11" t="s">
        <v>4</v>
      </c>
      <c r="D1085" s="11" t="s">
        <v>1034</v>
      </c>
      <c r="E1085" s="11" t="s">
        <v>920</v>
      </c>
      <c r="F1085" s="11" t="s">
        <v>1076</v>
      </c>
      <c r="G1085" s="12">
        <v>5</v>
      </c>
      <c r="H1085" s="12">
        <v>32.15</v>
      </c>
      <c r="I1085" s="12">
        <v>160.75</v>
      </c>
      <c r="J1085" s="12">
        <v>56939.249999999942</v>
      </c>
      <c r="K1085">
        <f t="shared" si="48"/>
        <v>3</v>
      </c>
      <c r="L1085">
        <f t="shared" si="49"/>
        <v>1</v>
      </c>
      <c r="M1085">
        <f t="shared" si="50"/>
        <v>1</v>
      </c>
    </row>
    <row r="1086" spans="1:13" x14ac:dyDescent="0.25">
      <c r="A1086" s="2" t="s">
        <v>664</v>
      </c>
      <c r="B1086" s="11" t="s">
        <v>1033</v>
      </c>
      <c r="C1086" s="11" t="s">
        <v>4</v>
      </c>
      <c r="D1086" s="11" t="s">
        <v>1034</v>
      </c>
      <c r="E1086" s="11" t="s">
        <v>922</v>
      </c>
      <c r="F1086" s="11" t="s">
        <v>1077</v>
      </c>
      <c r="G1086" s="12">
        <v>5</v>
      </c>
      <c r="H1086" s="12">
        <v>32.15</v>
      </c>
      <c r="I1086" s="12">
        <v>160.75</v>
      </c>
      <c r="J1086" s="12">
        <v>57099.999999999942</v>
      </c>
      <c r="K1086">
        <f t="shared" si="48"/>
        <v>3</v>
      </c>
      <c r="L1086">
        <f t="shared" si="49"/>
        <v>1</v>
      </c>
      <c r="M1086">
        <f t="shared" si="50"/>
        <v>1</v>
      </c>
    </row>
    <row r="1087" spans="1:13" x14ac:dyDescent="0.25">
      <c r="A1087" s="2" t="s">
        <v>664</v>
      </c>
      <c r="B1087" s="11" t="s">
        <v>1033</v>
      </c>
      <c r="C1087" s="11" t="s">
        <v>4</v>
      </c>
      <c r="D1087" s="11" t="s">
        <v>1034</v>
      </c>
      <c r="E1087" s="11" t="s">
        <v>924</v>
      </c>
      <c r="F1087" s="11" t="s">
        <v>1078</v>
      </c>
      <c r="G1087" s="12">
        <v>5</v>
      </c>
      <c r="H1087" s="12">
        <v>32.15</v>
      </c>
      <c r="I1087" s="12">
        <v>160.75</v>
      </c>
      <c r="J1087" s="12">
        <v>57260.749999999942</v>
      </c>
      <c r="K1087">
        <f t="shared" si="48"/>
        <v>4</v>
      </c>
      <c r="L1087">
        <f t="shared" si="49"/>
        <v>1</v>
      </c>
      <c r="M1087">
        <f t="shared" si="50"/>
        <v>1</v>
      </c>
    </row>
    <row r="1088" spans="1:13" x14ac:dyDescent="0.25">
      <c r="A1088" s="2" t="s">
        <v>664</v>
      </c>
      <c r="B1088" s="11" t="s">
        <v>1033</v>
      </c>
      <c r="C1088" s="11" t="s">
        <v>4</v>
      </c>
      <c r="D1088" s="11" t="s">
        <v>1034</v>
      </c>
      <c r="E1088" s="11" t="s">
        <v>926</v>
      </c>
      <c r="F1088" s="11" t="s">
        <v>1079</v>
      </c>
      <c r="G1088" s="12">
        <v>5</v>
      </c>
      <c r="H1088" s="12">
        <v>32.15</v>
      </c>
      <c r="I1088" s="12">
        <v>160.75</v>
      </c>
      <c r="J1088" s="12">
        <v>57421.499999999942</v>
      </c>
      <c r="K1088">
        <f t="shared" si="48"/>
        <v>4</v>
      </c>
      <c r="L1088">
        <f t="shared" si="49"/>
        <v>1</v>
      </c>
      <c r="M1088">
        <f t="shared" si="50"/>
        <v>1</v>
      </c>
    </row>
    <row r="1089" spans="1:13" x14ac:dyDescent="0.25">
      <c r="A1089" s="2" t="s">
        <v>664</v>
      </c>
      <c r="B1089" s="11" t="s">
        <v>1033</v>
      </c>
      <c r="C1089" s="11" t="s">
        <v>4</v>
      </c>
      <c r="D1089" s="11" t="s">
        <v>1034</v>
      </c>
      <c r="E1089" s="11" t="s">
        <v>752</v>
      </c>
      <c r="F1089" s="11" t="s">
        <v>978</v>
      </c>
      <c r="G1089" s="12">
        <v>5</v>
      </c>
      <c r="H1089" s="12">
        <v>37.450000000000003</v>
      </c>
      <c r="I1089" s="12">
        <v>187.25</v>
      </c>
      <c r="J1089" s="12">
        <v>57608.749999999942</v>
      </c>
      <c r="K1089">
        <f t="shared" si="48"/>
        <v>6</v>
      </c>
      <c r="L1089">
        <f t="shared" si="49"/>
        <v>1</v>
      </c>
      <c r="M1089">
        <f t="shared" si="50"/>
        <v>1</v>
      </c>
    </row>
    <row r="1090" spans="1:13" x14ac:dyDescent="0.25">
      <c r="A1090" s="2" t="s">
        <v>664</v>
      </c>
      <c r="B1090" s="11" t="s">
        <v>1033</v>
      </c>
      <c r="C1090" s="11" t="s">
        <v>4</v>
      </c>
      <c r="D1090" s="11" t="s">
        <v>1034</v>
      </c>
      <c r="E1090" s="11" t="s">
        <v>928</v>
      </c>
      <c r="F1090" s="11" t="s">
        <v>1080</v>
      </c>
      <c r="G1090" s="12">
        <v>1</v>
      </c>
      <c r="H1090" s="12">
        <v>66.34</v>
      </c>
      <c r="I1090" s="12">
        <v>66.34</v>
      </c>
      <c r="J1090" s="12">
        <v>57675.089999999938</v>
      </c>
      <c r="K1090">
        <f t="shared" si="48"/>
        <v>3</v>
      </c>
      <c r="L1090">
        <f t="shared" si="49"/>
        <v>1</v>
      </c>
      <c r="M1090">
        <f t="shared" si="50"/>
        <v>1</v>
      </c>
    </row>
    <row r="1091" spans="1:13" x14ac:dyDescent="0.25">
      <c r="A1091" s="2" t="s">
        <v>664</v>
      </c>
      <c r="B1091" s="11" t="s">
        <v>1033</v>
      </c>
      <c r="C1091" s="11" t="s">
        <v>4</v>
      </c>
      <c r="D1091" s="11" t="s">
        <v>1034</v>
      </c>
      <c r="E1091" s="11" t="s">
        <v>1081</v>
      </c>
      <c r="F1091" s="11" t="s">
        <v>1082</v>
      </c>
      <c r="G1091" s="12">
        <v>5</v>
      </c>
      <c r="H1091" s="12">
        <v>23.22</v>
      </c>
      <c r="I1091" s="12">
        <v>116.1</v>
      </c>
      <c r="J1091" s="12">
        <v>57791.189999999937</v>
      </c>
      <c r="K1091">
        <f t="shared" ref="K1091:K1154" si="51">COUNTIF($E$2:$E$1466,E1091)</f>
        <v>2</v>
      </c>
      <c r="L1091">
        <f t="shared" ref="L1091:L1154" si="52">IF(G1091&gt;0,1,0)</f>
        <v>1</v>
      </c>
      <c r="M1091">
        <f t="shared" ref="M1091:M1154" si="53">IF(H1091&gt;0,1,0)</f>
        <v>1</v>
      </c>
    </row>
    <row r="1092" spans="1:13" x14ac:dyDescent="0.25">
      <c r="A1092" s="2" t="s">
        <v>664</v>
      </c>
      <c r="B1092" s="11" t="s">
        <v>1033</v>
      </c>
      <c r="C1092" s="11" t="s">
        <v>4</v>
      </c>
      <c r="D1092" s="11" t="s">
        <v>1034</v>
      </c>
      <c r="E1092" s="11" t="s">
        <v>1083</v>
      </c>
      <c r="F1092" s="11" t="s">
        <v>1084</v>
      </c>
      <c r="G1092" s="12">
        <v>3</v>
      </c>
      <c r="H1092" s="12">
        <v>22.24</v>
      </c>
      <c r="I1092" s="12">
        <v>66.72</v>
      </c>
      <c r="J1092" s="12">
        <v>57857.909999999938</v>
      </c>
      <c r="K1092">
        <f t="shared" si="51"/>
        <v>3</v>
      </c>
      <c r="L1092">
        <f t="shared" si="52"/>
        <v>1</v>
      </c>
      <c r="M1092">
        <f t="shared" si="53"/>
        <v>1</v>
      </c>
    </row>
    <row r="1093" spans="1:13" x14ac:dyDescent="0.25">
      <c r="A1093" s="2" t="s">
        <v>664</v>
      </c>
      <c r="B1093" s="11" t="s">
        <v>1033</v>
      </c>
      <c r="C1093" s="11" t="s">
        <v>4</v>
      </c>
      <c r="D1093" s="11" t="s">
        <v>1034</v>
      </c>
      <c r="E1093" s="11" t="s">
        <v>1085</v>
      </c>
      <c r="F1093" s="11" t="s">
        <v>1086</v>
      </c>
      <c r="G1093" s="12">
        <v>6</v>
      </c>
      <c r="H1093" s="12">
        <v>30.42</v>
      </c>
      <c r="I1093" s="12">
        <v>182.52</v>
      </c>
      <c r="J1093" s="12">
        <v>58040.429999999935</v>
      </c>
      <c r="K1093">
        <f t="shared" si="51"/>
        <v>1</v>
      </c>
      <c r="L1093">
        <f t="shared" si="52"/>
        <v>1</v>
      </c>
      <c r="M1093">
        <f t="shared" si="53"/>
        <v>1</v>
      </c>
    </row>
    <row r="1094" spans="1:13" x14ac:dyDescent="0.25">
      <c r="A1094" s="2" t="s">
        <v>664</v>
      </c>
      <c r="B1094" s="11" t="s">
        <v>1033</v>
      </c>
      <c r="C1094" s="11" t="s">
        <v>4</v>
      </c>
      <c r="D1094" s="11" t="s">
        <v>1034</v>
      </c>
      <c r="E1094" s="11" t="s">
        <v>1087</v>
      </c>
      <c r="F1094" s="11" t="s">
        <v>1088</v>
      </c>
      <c r="G1094" s="12">
        <v>3</v>
      </c>
      <c r="H1094" s="12">
        <v>22.24</v>
      </c>
      <c r="I1094" s="12">
        <v>66.72</v>
      </c>
      <c r="J1094" s="12">
        <v>58107.149999999936</v>
      </c>
      <c r="K1094">
        <f t="shared" si="51"/>
        <v>2</v>
      </c>
      <c r="L1094">
        <f t="shared" si="52"/>
        <v>1</v>
      </c>
      <c r="M1094">
        <f t="shared" si="53"/>
        <v>1</v>
      </c>
    </row>
    <row r="1095" spans="1:13" x14ac:dyDescent="0.25">
      <c r="A1095" s="2" t="s">
        <v>664</v>
      </c>
      <c r="B1095" s="11" t="s">
        <v>1033</v>
      </c>
      <c r="C1095" s="11" t="s">
        <v>4</v>
      </c>
      <c r="D1095" s="11" t="s">
        <v>1034</v>
      </c>
      <c r="E1095" s="11" t="s">
        <v>1018</v>
      </c>
      <c r="F1095" s="11" t="s">
        <v>1032</v>
      </c>
      <c r="G1095" s="12">
        <v>6</v>
      </c>
      <c r="H1095" s="12">
        <v>19.2</v>
      </c>
      <c r="I1095" s="12">
        <v>115.2</v>
      </c>
      <c r="J1095" s="12">
        <v>58222.349999999933</v>
      </c>
      <c r="K1095">
        <f t="shared" si="51"/>
        <v>4</v>
      </c>
      <c r="L1095">
        <f t="shared" si="52"/>
        <v>1</v>
      </c>
      <c r="M1095">
        <f t="shared" si="53"/>
        <v>1</v>
      </c>
    </row>
    <row r="1096" spans="1:13" x14ac:dyDescent="0.25">
      <c r="A1096" s="2" t="s">
        <v>664</v>
      </c>
      <c r="B1096" s="11" t="s">
        <v>1033</v>
      </c>
      <c r="C1096" s="11" t="s">
        <v>4</v>
      </c>
      <c r="D1096" s="11" t="s">
        <v>1034</v>
      </c>
      <c r="E1096" s="11" t="s">
        <v>1020</v>
      </c>
      <c r="F1096" s="11" t="s">
        <v>1089</v>
      </c>
      <c r="G1096" s="12">
        <v>6</v>
      </c>
      <c r="H1096" s="12">
        <v>20.399999999999999</v>
      </c>
      <c r="I1096" s="12">
        <v>122.4</v>
      </c>
      <c r="J1096" s="12">
        <v>58344.749999999935</v>
      </c>
      <c r="K1096">
        <f t="shared" si="51"/>
        <v>2</v>
      </c>
      <c r="L1096">
        <f t="shared" si="52"/>
        <v>1</v>
      </c>
      <c r="M1096">
        <f t="shared" si="53"/>
        <v>1</v>
      </c>
    </row>
    <row r="1097" spans="1:13" x14ac:dyDescent="0.25">
      <c r="A1097" s="2" t="s">
        <v>664</v>
      </c>
      <c r="B1097" s="11" t="s">
        <v>1033</v>
      </c>
      <c r="C1097" s="11" t="s">
        <v>4</v>
      </c>
      <c r="D1097" s="11" t="s">
        <v>1034</v>
      </c>
      <c r="E1097" s="11" t="s">
        <v>1022</v>
      </c>
      <c r="F1097" s="11" t="s">
        <v>1090</v>
      </c>
      <c r="G1097" s="12">
        <v>4</v>
      </c>
      <c r="H1097" s="12">
        <v>25.9</v>
      </c>
      <c r="I1097" s="12">
        <v>103.6</v>
      </c>
      <c r="J1097" s="12">
        <v>58448.349999999933</v>
      </c>
      <c r="K1097">
        <f t="shared" si="51"/>
        <v>2</v>
      </c>
      <c r="L1097">
        <f t="shared" si="52"/>
        <v>1</v>
      </c>
      <c r="M1097">
        <f t="shared" si="53"/>
        <v>1</v>
      </c>
    </row>
    <row r="1098" spans="1:13" x14ac:dyDescent="0.25">
      <c r="A1098" s="2" t="s">
        <v>664</v>
      </c>
      <c r="B1098" s="11" t="s">
        <v>224</v>
      </c>
      <c r="C1098" s="11" t="s">
        <v>4</v>
      </c>
      <c r="D1098" s="11" t="s">
        <v>1091</v>
      </c>
      <c r="E1098" s="11" t="s">
        <v>561</v>
      </c>
      <c r="F1098" s="11" t="s">
        <v>562</v>
      </c>
      <c r="G1098" s="12">
        <v>100</v>
      </c>
      <c r="H1098" s="12">
        <v>30</v>
      </c>
      <c r="I1098" s="12">
        <v>3000</v>
      </c>
      <c r="J1098" s="12">
        <v>61448.349999999933</v>
      </c>
      <c r="K1098">
        <f t="shared" si="51"/>
        <v>8</v>
      </c>
      <c r="L1098">
        <f t="shared" si="52"/>
        <v>1</v>
      </c>
      <c r="M1098">
        <f t="shared" si="53"/>
        <v>1</v>
      </c>
    </row>
    <row r="1099" spans="1:13" hidden="1" x14ac:dyDescent="0.25">
      <c r="A1099" s="16" t="s">
        <v>664</v>
      </c>
      <c r="B1099" s="17" t="s">
        <v>224</v>
      </c>
      <c r="C1099" s="17" t="s">
        <v>4</v>
      </c>
      <c r="D1099" s="17" t="s">
        <v>1091</v>
      </c>
      <c r="E1099" s="17" t="s">
        <v>561</v>
      </c>
      <c r="F1099" s="17" t="s">
        <v>562</v>
      </c>
      <c r="G1099" s="18">
        <v>30</v>
      </c>
      <c r="H1099" s="18">
        <v>0</v>
      </c>
      <c r="I1099" s="18">
        <v>0</v>
      </c>
      <c r="J1099" s="18">
        <v>61448.349999999933</v>
      </c>
      <c r="K1099">
        <f t="shared" si="51"/>
        <v>8</v>
      </c>
      <c r="L1099">
        <f t="shared" si="52"/>
        <v>1</v>
      </c>
      <c r="M1099">
        <f t="shared" si="53"/>
        <v>0</v>
      </c>
    </row>
    <row r="1100" spans="1:13" hidden="1" x14ac:dyDescent="0.25">
      <c r="A1100" s="16" t="s">
        <v>664</v>
      </c>
      <c r="B1100" s="17" t="s">
        <v>224</v>
      </c>
      <c r="C1100" s="17" t="s">
        <v>4</v>
      </c>
      <c r="D1100" s="17" t="s">
        <v>1091</v>
      </c>
      <c r="E1100" s="17" t="s">
        <v>669</v>
      </c>
      <c r="F1100" s="17" t="s">
        <v>941</v>
      </c>
      <c r="G1100" s="18">
        <v>2</v>
      </c>
      <c r="H1100" s="18">
        <v>0</v>
      </c>
      <c r="I1100" s="18">
        <v>0</v>
      </c>
      <c r="J1100" s="18">
        <v>61448.349999999933</v>
      </c>
      <c r="K1100">
        <f t="shared" si="51"/>
        <v>8</v>
      </c>
      <c r="L1100">
        <f t="shared" si="52"/>
        <v>1</v>
      </c>
      <c r="M1100">
        <f t="shared" si="53"/>
        <v>0</v>
      </c>
    </row>
    <row r="1101" spans="1:13" x14ac:dyDescent="0.25">
      <c r="A1101" s="2" t="s">
        <v>664</v>
      </c>
      <c r="B1101" s="11" t="s">
        <v>1092</v>
      </c>
      <c r="C1101" s="11" t="s">
        <v>4</v>
      </c>
      <c r="D1101" s="11" t="s">
        <v>1093</v>
      </c>
      <c r="E1101" s="11" t="s">
        <v>720</v>
      </c>
      <c r="F1101" s="11" t="s">
        <v>721</v>
      </c>
      <c r="G1101" s="12">
        <v>8</v>
      </c>
      <c r="H1101" s="12">
        <v>23.96</v>
      </c>
      <c r="I1101" s="12">
        <v>191.68</v>
      </c>
      <c r="J1101" s="12">
        <v>61640.029999999933</v>
      </c>
      <c r="K1101">
        <f t="shared" si="51"/>
        <v>8</v>
      </c>
      <c r="L1101">
        <f t="shared" si="52"/>
        <v>1</v>
      </c>
      <c r="M1101">
        <f t="shared" si="53"/>
        <v>1</v>
      </c>
    </row>
    <row r="1102" spans="1:13" x14ac:dyDescent="0.25">
      <c r="A1102" s="2" t="s">
        <v>664</v>
      </c>
      <c r="B1102" s="11" t="s">
        <v>1092</v>
      </c>
      <c r="C1102" s="11" t="s">
        <v>4</v>
      </c>
      <c r="D1102" s="11" t="s">
        <v>1093</v>
      </c>
      <c r="E1102" s="11" t="s">
        <v>1094</v>
      </c>
      <c r="F1102" s="11" t="s">
        <v>1095</v>
      </c>
      <c r="G1102" s="12">
        <v>2</v>
      </c>
      <c r="H1102" s="12">
        <v>31.08</v>
      </c>
      <c r="I1102" s="12">
        <v>62.16</v>
      </c>
      <c r="J1102" s="12">
        <v>61702.189999999937</v>
      </c>
      <c r="K1102">
        <f t="shared" si="51"/>
        <v>1</v>
      </c>
      <c r="L1102">
        <f t="shared" si="52"/>
        <v>1</v>
      </c>
      <c r="M1102">
        <f t="shared" si="53"/>
        <v>1</v>
      </c>
    </row>
    <row r="1103" spans="1:13" x14ac:dyDescent="0.25">
      <c r="A1103" s="2" t="s">
        <v>664</v>
      </c>
      <c r="B1103" s="11" t="s">
        <v>1092</v>
      </c>
      <c r="C1103" s="11" t="s">
        <v>4</v>
      </c>
      <c r="D1103" s="11" t="s">
        <v>1093</v>
      </c>
      <c r="E1103" s="11" t="s">
        <v>843</v>
      </c>
      <c r="F1103" s="11" t="s">
        <v>1050</v>
      </c>
      <c r="G1103" s="12">
        <v>2</v>
      </c>
      <c r="H1103" s="12">
        <v>53.68</v>
      </c>
      <c r="I1103" s="12">
        <v>107.36</v>
      </c>
      <c r="J1103" s="12">
        <v>61809.549999999937</v>
      </c>
      <c r="K1103">
        <f t="shared" si="51"/>
        <v>5</v>
      </c>
      <c r="L1103">
        <f t="shared" si="52"/>
        <v>1</v>
      </c>
      <c r="M1103">
        <f t="shared" si="53"/>
        <v>1</v>
      </c>
    </row>
    <row r="1104" spans="1:13" x14ac:dyDescent="0.25">
      <c r="A1104" s="2" t="s">
        <v>664</v>
      </c>
      <c r="B1104" s="11" t="s">
        <v>1092</v>
      </c>
      <c r="C1104" s="11" t="s">
        <v>4</v>
      </c>
      <c r="D1104" s="11" t="s">
        <v>1093</v>
      </c>
      <c r="E1104" s="11" t="s">
        <v>1096</v>
      </c>
      <c r="F1104" s="11" t="s">
        <v>1096</v>
      </c>
      <c r="G1104" s="12">
        <v>3</v>
      </c>
      <c r="H1104" s="12">
        <v>12.6</v>
      </c>
      <c r="I1104" s="12">
        <v>37.799999999999997</v>
      </c>
      <c r="J1104" s="12">
        <v>61847.34999999994</v>
      </c>
      <c r="K1104">
        <f t="shared" si="51"/>
        <v>3</v>
      </c>
      <c r="L1104">
        <f t="shared" si="52"/>
        <v>1</v>
      </c>
      <c r="M1104">
        <f t="shared" si="53"/>
        <v>1</v>
      </c>
    </row>
    <row r="1105" spans="1:13" x14ac:dyDescent="0.25">
      <c r="A1105" s="2" t="s">
        <v>664</v>
      </c>
      <c r="B1105" s="11" t="s">
        <v>1092</v>
      </c>
      <c r="C1105" s="11" t="s">
        <v>4</v>
      </c>
      <c r="D1105" s="11" t="s">
        <v>1093</v>
      </c>
      <c r="E1105" s="11" t="s">
        <v>1051</v>
      </c>
      <c r="F1105" s="11" t="s">
        <v>1051</v>
      </c>
      <c r="G1105" s="12">
        <v>3</v>
      </c>
      <c r="H1105" s="12">
        <v>16.68</v>
      </c>
      <c r="I1105" s="12">
        <v>50.04</v>
      </c>
      <c r="J1105" s="12">
        <v>61897.389999999941</v>
      </c>
      <c r="K1105">
        <f t="shared" si="51"/>
        <v>3</v>
      </c>
      <c r="L1105">
        <f t="shared" si="52"/>
        <v>1</v>
      </c>
      <c r="M1105">
        <f t="shared" si="53"/>
        <v>1</v>
      </c>
    </row>
    <row r="1106" spans="1:13" x14ac:dyDescent="0.25">
      <c r="A1106" s="2" t="s">
        <v>664</v>
      </c>
      <c r="B1106" s="11" t="s">
        <v>1092</v>
      </c>
      <c r="C1106" s="11" t="s">
        <v>4</v>
      </c>
      <c r="D1106" s="11" t="s">
        <v>1093</v>
      </c>
      <c r="E1106" s="11" t="s">
        <v>1097</v>
      </c>
      <c r="F1106" s="11" t="s">
        <v>1098</v>
      </c>
      <c r="G1106" s="12">
        <v>3</v>
      </c>
      <c r="H1106" s="12">
        <v>12.6</v>
      </c>
      <c r="I1106" s="12">
        <v>37.799999999999997</v>
      </c>
      <c r="J1106" s="12">
        <v>61935.189999999944</v>
      </c>
      <c r="K1106">
        <f t="shared" si="51"/>
        <v>2</v>
      </c>
      <c r="L1106">
        <f t="shared" si="52"/>
        <v>1</v>
      </c>
      <c r="M1106">
        <f t="shared" si="53"/>
        <v>1</v>
      </c>
    </row>
    <row r="1107" spans="1:13" x14ac:dyDescent="0.25">
      <c r="A1107" s="2" t="s">
        <v>664</v>
      </c>
      <c r="B1107" s="11" t="s">
        <v>1092</v>
      </c>
      <c r="C1107" s="11" t="s">
        <v>4</v>
      </c>
      <c r="D1107" s="11" t="s">
        <v>1093</v>
      </c>
      <c r="E1107" s="11" t="s">
        <v>1099</v>
      </c>
      <c r="F1107" s="11" t="s">
        <v>1099</v>
      </c>
      <c r="G1107" s="12">
        <v>3</v>
      </c>
      <c r="H1107" s="12">
        <v>12.6</v>
      </c>
      <c r="I1107" s="12">
        <v>37.799999999999997</v>
      </c>
      <c r="J1107" s="12">
        <v>61972.989999999947</v>
      </c>
      <c r="K1107">
        <f t="shared" si="51"/>
        <v>3</v>
      </c>
      <c r="L1107">
        <f t="shared" si="52"/>
        <v>1</v>
      </c>
      <c r="M1107">
        <f t="shared" si="53"/>
        <v>1</v>
      </c>
    </row>
    <row r="1108" spans="1:13" x14ac:dyDescent="0.25">
      <c r="A1108" s="2" t="s">
        <v>664</v>
      </c>
      <c r="B1108" s="11" t="s">
        <v>1092</v>
      </c>
      <c r="C1108" s="11" t="s">
        <v>4</v>
      </c>
      <c r="D1108" s="11" t="s">
        <v>1093</v>
      </c>
      <c r="E1108" s="11" t="s">
        <v>1100</v>
      </c>
      <c r="F1108" s="11" t="s">
        <v>1100</v>
      </c>
      <c r="G1108" s="12">
        <v>3</v>
      </c>
      <c r="H1108" s="12">
        <v>12.6</v>
      </c>
      <c r="I1108" s="12">
        <v>37.799999999999997</v>
      </c>
      <c r="J1108" s="12">
        <v>62010.78999999995</v>
      </c>
      <c r="K1108">
        <f t="shared" si="51"/>
        <v>2</v>
      </c>
      <c r="L1108">
        <f t="shared" si="52"/>
        <v>1</v>
      </c>
      <c r="M1108">
        <f t="shared" si="53"/>
        <v>1</v>
      </c>
    </row>
    <row r="1109" spans="1:13" x14ac:dyDescent="0.25">
      <c r="A1109" s="2" t="s">
        <v>664</v>
      </c>
      <c r="B1109" s="11" t="s">
        <v>1092</v>
      </c>
      <c r="C1109" s="11" t="s">
        <v>4</v>
      </c>
      <c r="D1109" s="11" t="s">
        <v>1093</v>
      </c>
      <c r="E1109" s="11" t="s">
        <v>853</v>
      </c>
      <c r="F1109" s="11" t="s">
        <v>1052</v>
      </c>
      <c r="G1109" s="12">
        <v>2</v>
      </c>
      <c r="H1109" s="12">
        <v>13.2</v>
      </c>
      <c r="I1109" s="12">
        <v>26.4</v>
      </c>
      <c r="J1109" s="12">
        <v>62037.189999999951</v>
      </c>
      <c r="K1109">
        <f t="shared" si="51"/>
        <v>4</v>
      </c>
      <c r="L1109">
        <f t="shared" si="52"/>
        <v>1</v>
      </c>
      <c r="M1109">
        <f t="shared" si="53"/>
        <v>1</v>
      </c>
    </row>
    <row r="1110" spans="1:13" x14ac:dyDescent="0.25">
      <c r="A1110" s="2" t="s">
        <v>664</v>
      </c>
      <c r="B1110" s="11" t="s">
        <v>1092</v>
      </c>
      <c r="C1110" s="11" t="s">
        <v>4</v>
      </c>
      <c r="D1110" s="11" t="s">
        <v>1093</v>
      </c>
      <c r="E1110" s="11" t="s">
        <v>962</v>
      </c>
      <c r="F1110" s="11" t="s">
        <v>963</v>
      </c>
      <c r="G1110" s="12">
        <v>1</v>
      </c>
      <c r="H1110" s="12">
        <v>27.29</v>
      </c>
      <c r="I1110" s="12">
        <v>27.29</v>
      </c>
      <c r="J1110" s="12">
        <v>62064.479999999952</v>
      </c>
      <c r="K1110">
        <f t="shared" si="51"/>
        <v>6</v>
      </c>
      <c r="L1110">
        <f t="shared" si="52"/>
        <v>1</v>
      </c>
      <c r="M1110">
        <f t="shared" si="53"/>
        <v>1</v>
      </c>
    </row>
    <row r="1111" spans="1:13" x14ac:dyDescent="0.25">
      <c r="A1111" s="2" t="s">
        <v>664</v>
      </c>
      <c r="B1111" s="11" t="s">
        <v>1092</v>
      </c>
      <c r="C1111" s="11" t="s">
        <v>4</v>
      </c>
      <c r="D1111" s="11" t="s">
        <v>1093</v>
      </c>
      <c r="E1111" s="11" t="s">
        <v>868</v>
      </c>
      <c r="F1111" s="11" t="s">
        <v>1007</v>
      </c>
      <c r="G1111" s="12">
        <v>2</v>
      </c>
      <c r="H1111" s="12">
        <v>27.29</v>
      </c>
      <c r="I1111" s="12">
        <v>54.58</v>
      </c>
      <c r="J1111" s="12">
        <v>62119.059999999954</v>
      </c>
      <c r="K1111">
        <f t="shared" si="51"/>
        <v>5</v>
      </c>
      <c r="L1111">
        <f t="shared" si="52"/>
        <v>1</v>
      </c>
      <c r="M1111">
        <f t="shared" si="53"/>
        <v>1</v>
      </c>
    </row>
    <row r="1112" spans="1:13" x14ac:dyDescent="0.25">
      <c r="A1112" s="2" t="s">
        <v>664</v>
      </c>
      <c r="B1112" s="11" t="s">
        <v>1092</v>
      </c>
      <c r="C1112" s="11" t="s">
        <v>4</v>
      </c>
      <c r="D1112" s="11" t="s">
        <v>1093</v>
      </c>
      <c r="E1112" s="11" t="s">
        <v>870</v>
      </c>
      <c r="F1112" s="11" t="s">
        <v>1008</v>
      </c>
      <c r="G1112" s="12">
        <v>1</v>
      </c>
      <c r="H1112" s="12">
        <v>27.29</v>
      </c>
      <c r="I1112" s="12">
        <v>27.29</v>
      </c>
      <c r="J1112" s="12">
        <v>62146.349999999955</v>
      </c>
      <c r="K1112">
        <f t="shared" si="51"/>
        <v>5</v>
      </c>
      <c r="L1112">
        <f t="shared" si="52"/>
        <v>1</v>
      </c>
      <c r="M1112">
        <f t="shared" si="53"/>
        <v>1</v>
      </c>
    </row>
    <row r="1113" spans="1:13" x14ac:dyDescent="0.25">
      <c r="A1113" s="2" t="s">
        <v>664</v>
      </c>
      <c r="B1113" s="11" t="s">
        <v>1092</v>
      </c>
      <c r="C1113" s="11" t="s">
        <v>4</v>
      </c>
      <c r="D1113" s="11" t="s">
        <v>1093</v>
      </c>
      <c r="E1113" s="11" t="s">
        <v>872</v>
      </c>
      <c r="F1113" s="11" t="s">
        <v>1009</v>
      </c>
      <c r="G1113" s="12">
        <v>1</v>
      </c>
      <c r="H1113" s="12">
        <v>27.29</v>
      </c>
      <c r="I1113" s="12">
        <v>27.29</v>
      </c>
      <c r="J1113" s="12">
        <v>62173.639999999956</v>
      </c>
      <c r="K1113">
        <f t="shared" si="51"/>
        <v>6</v>
      </c>
      <c r="L1113">
        <f t="shared" si="52"/>
        <v>1</v>
      </c>
      <c r="M1113">
        <f t="shared" si="53"/>
        <v>1</v>
      </c>
    </row>
    <row r="1114" spans="1:13" x14ac:dyDescent="0.25">
      <c r="A1114" s="2" t="s">
        <v>664</v>
      </c>
      <c r="B1114" s="11" t="s">
        <v>1092</v>
      </c>
      <c r="C1114" s="11" t="s">
        <v>4</v>
      </c>
      <c r="D1114" s="11" t="s">
        <v>1093</v>
      </c>
      <c r="E1114" s="11" t="s">
        <v>1062</v>
      </c>
      <c r="F1114" s="11" t="s">
        <v>1063</v>
      </c>
      <c r="G1114" s="12">
        <v>2</v>
      </c>
      <c r="H1114" s="12">
        <v>39.46</v>
      </c>
      <c r="I1114" s="12">
        <v>78.92</v>
      </c>
      <c r="J1114" s="12">
        <v>62252.559999999954</v>
      </c>
      <c r="K1114">
        <f t="shared" si="51"/>
        <v>4</v>
      </c>
      <c r="L1114">
        <f t="shared" si="52"/>
        <v>1</v>
      </c>
      <c r="M1114">
        <f t="shared" si="53"/>
        <v>1</v>
      </c>
    </row>
    <row r="1115" spans="1:13" x14ac:dyDescent="0.25">
      <c r="A1115" s="2" t="s">
        <v>664</v>
      </c>
      <c r="B1115" s="11" t="s">
        <v>1092</v>
      </c>
      <c r="C1115" s="11" t="s">
        <v>4</v>
      </c>
      <c r="D1115" s="11" t="s">
        <v>1093</v>
      </c>
      <c r="E1115" s="11" t="s">
        <v>876</v>
      </c>
      <c r="F1115" s="11" t="s">
        <v>1101</v>
      </c>
      <c r="G1115" s="12">
        <v>1</v>
      </c>
      <c r="H1115" s="12">
        <v>39.46</v>
      </c>
      <c r="I1115" s="12">
        <v>39.46</v>
      </c>
      <c r="J1115" s="12">
        <v>62292.019999999953</v>
      </c>
      <c r="K1115">
        <f t="shared" si="51"/>
        <v>3</v>
      </c>
      <c r="L1115">
        <f t="shared" si="52"/>
        <v>1</v>
      </c>
      <c r="M1115">
        <f t="shared" si="53"/>
        <v>1</v>
      </c>
    </row>
    <row r="1116" spans="1:13" x14ac:dyDescent="0.25">
      <c r="A1116" s="2" t="s">
        <v>664</v>
      </c>
      <c r="B1116" s="11" t="s">
        <v>1092</v>
      </c>
      <c r="C1116" s="11" t="s">
        <v>4</v>
      </c>
      <c r="D1116" s="11" t="s">
        <v>1093</v>
      </c>
      <c r="E1116" s="11" t="s">
        <v>1066</v>
      </c>
      <c r="F1116" s="11" t="s">
        <v>1067</v>
      </c>
      <c r="G1116" s="12">
        <v>4</v>
      </c>
      <c r="H1116" s="12">
        <v>14</v>
      </c>
      <c r="I1116" s="12">
        <v>56</v>
      </c>
      <c r="J1116" s="12">
        <v>62348.019999999953</v>
      </c>
      <c r="K1116">
        <f t="shared" si="51"/>
        <v>4</v>
      </c>
      <c r="L1116">
        <f t="shared" si="52"/>
        <v>1</v>
      </c>
      <c r="M1116">
        <f t="shared" si="53"/>
        <v>1</v>
      </c>
    </row>
    <row r="1117" spans="1:13" x14ac:dyDescent="0.25">
      <c r="A1117" s="2" t="s">
        <v>664</v>
      </c>
      <c r="B1117" s="11" t="s">
        <v>1092</v>
      </c>
      <c r="C1117" s="11" t="s">
        <v>4</v>
      </c>
      <c r="D1117" s="11" t="s">
        <v>1093</v>
      </c>
      <c r="E1117" s="11" t="s">
        <v>1068</v>
      </c>
      <c r="F1117" s="11" t="s">
        <v>1069</v>
      </c>
      <c r="G1117" s="12">
        <v>4</v>
      </c>
      <c r="H1117" s="12">
        <v>14</v>
      </c>
      <c r="I1117" s="12">
        <v>56</v>
      </c>
      <c r="J1117" s="12">
        <v>62404.019999999953</v>
      </c>
      <c r="K1117">
        <f t="shared" si="51"/>
        <v>5</v>
      </c>
      <c r="L1117">
        <f t="shared" si="52"/>
        <v>1</v>
      </c>
      <c r="M1117">
        <f t="shared" si="53"/>
        <v>1</v>
      </c>
    </row>
    <row r="1118" spans="1:13" x14ac:dyDescent="0.25">
      <c r="A1118" s="2" t="s">
        <v>664</v>
      </c>
      <c r="B1118" s="11" t="s">
        <v>1092</v>
      </c>
      <c r="C1118" s="11" t="s">
        <v>4</v>
      </c>
      <c r="D1118" s="11" t="s">
        <v>1093</v>
      </c>
      <c r="E1118" s="11" t="s">
        <v>750</v>
      </c>
      <c r="F1118" s="11" t="s">
        <v>1102</v>
      </c>
      <c r="G1118" s="12">
        <v>4</v>
      </c>
      <c r="H1118" s="12">
        <v>13.91</v>
      </c>
      <c r="I1118" s="12">
        <v>55.64</v>
      </c>
      <c r="J1118" s="12">
        <v>62459.659999999953</v>
      </c>
      <c r="K1118">
        <f t="shared" si="51"/>
        <v>4</v>
      </c>
      <c r="L1118">
        <f t="shared" si="52"/>
        <v>1</v>
      </c>
      <c r="M1118">
        <f t="shared" si="53"/>
        <v>1</v>
      </c>
    </row>
    <row r="1119" spans="1:13" x14ac:dyDescent="0.25">
      <c r="A1119" s="2" t="s">
        <v>664</v>
      </c>
      <c r="B1119" s="11" t="s">
        <v>1092</v>
      </c>
      <c r="C1119" s="11" t="s">
        <v>4</v>
      </c>
      <c r="D1119" s="11" t="s">
        <v>1093</v>
      </c>
      <c r="E1119" s="11" t="s">
        <v>928</v>
      </c>
      <c r="F1119" s="11" t="s">
        <v>1080</v>
      </c>
      <c r="G1119" s="12">
        <v>4</v>
      </c>
      <c r="H1119" s="12">
        <v>66.34</v>
      </c>
      <c r="I1119" s="12">
        <v>265.36</v>
      </c>
      <c r="J1119" s="12">
        <v>62725.019999999953</v>
      </c>
      <c r="K1119">
        <f t="shared" si="51"/>
        <v>3</v>
      </c>
      <c r="L1119">
        <f t="shared" si="52"/>
        <v>1</v>
      </c>
      <c r="M1119">
        <f t="shared" si="53"/>
        <v>1</v>
      </c>
    </row>
    <row r="1120" spans="1:13" x14ac:dyDescent="0.25">
      <c r="A1120" s="2" t="s">
        <v>664</v>
      </c>
      <c r="B1120" s="11" t="s">
        <v>1092</v>
      </c>
      <c r="C1120" s="11" t="s">
        <v>4</v>
      </c>
      <c r="D1120" s="11" t="s">
        <v>1093</v>
      </c>
      <c r="E1120" s="11" t="s">
        <v>930</v>
      </c>
      <c r="F1120" s="11" t="s">
        <v>1103</v>
      </c>
      <c r="G1120" s="12">
        <v>2</v>
      </c>
      <c r="H1120" s="12">
        <v>26.4</v>
      </c>
      <c r="I1120" s="12">
        <v>52.8</v>
      </c>
      <c r="J1120" s="12">
        <v>62777.819999999956</v>
      </c>
      <c r="K1120">
        <f t="shared" si="51"/>
        <v>2</v>
      </c>
      <c r="L1120">
        <f t="shared" si="52"/>
        <v>1</v>
      </c>
      <c r="M1120">
        <f t="shared" si="53"/>
        <v>1</v>
      </c>
    </row>
    <row r="1121" spans="1:13" x14ac:dyDescent="0.25">
      <c r="A1121" s="2" t="s">
        <v>664</v>
      </c>
      <c r="B1121" s="11" t="s">
        <v>1092</v>
      </c>
      <c r="C1121" s="11" t="s">
        <v>4</v>
      </c>
      <c r="D1121" s="11" t="s">
        <v>1093</v>
      </c>
      <c r="E1121" s="11" t="s">
        <v>1104</v>
      </c>
      <c r="F1121" s="11" t="s">
        <v>1105</v>
      </c>
      <c r="G1121" s="12">
        <v>2</v>
      </c>
      <c r="H1121" s="12">
        <v>39.5</v>
      </c>
      <c r="I1121" s="12">
        <v>79</v>
      </c>
      <c r="J1121" s="12">
        <v>62856.819999999956</v>
      </c>
      <c r="K1121">
        <f t="shared" si="51"/>
        <v>1</v>
      </c>
      <c r="L1121">
        <f t="shared" si="52"/>
        <v>1</v>
      </c>
      <c r="M1121">
        <f t="shared" si="53"/>
        <v>1</v>
      </c>
    </row>
    <row r="1122" spans="1:13" x14ac:dyDescent="0.25">
      <c r="A1122" s="2" t="s">
        <v>664</v>
      </c>
      <c r="B1122" s="11" t="s">
        <v>1092</v>
      </c>
      <c r="C1122" s="11" t="s">
        <v>4</v>
      </c>
      <c r="D1122" s="11" t="s">
        <v>1093</v>
      </c>
      <c r="E1122" s="11" t="s">
        <v>1106</v>
      </c>
      <c r="F1122" s="11" t="s">
        <v>1107</v>
      </c>
      <c r="G1122" s="12">
        <v>3</v>
      </c>
      <c r="H1122" s="12">
        <v>22.24</v>
      </c>
      <c r="I1122" s="12">
        <v>66.72</v>
      </c>
      <c r="J1122" s="12">
        <v>62923.539999999957</v>
      </c>
      <c r="K1122">
        <f t="shared" si="51"/>
        <v>2</v>
      </c>
      <c r="L1122">
        <f t="shared" si="52"/>
        <v>1</v>
      </c>
      <c r="M1122">
        <f t="shared" si="53"/>
        <v>1</v>
      </c>
    </row>
    <row r="1123" spans="1:13" x14ac:dyDescent="0.25">
      <c r="A1123" s="2" t="s">
        <v>664</v>
      </c>
      <c r="B1123" s="11" t="s">
        <v>1092</v>
      </c>
      <c r="C1123" s="11" t="s">
        <v>4</v>
      </c>
      <c r="D1123" s="11" t="s">
        <v>1093</v>
      </c>
      <c r="E1123" s="11" t="s">
        <v>1108</v>
      </c>
      <c r="F1123" s="11" t="s">
        <v>1109</v>
      </c>
      <c r="G1123" s="12">
        <v>1</v>
      </c>
      <c r="H1123" s="12">
        <v>22.24</v>
      </c>
      <c r="I1123" s="12">
        <v>22.24</v>
      </c>
      <c r="J1123" s="12">
        <v>62945.779999999955</v>
      </c>
      <c r="K1123">
        <f t="shared" si="51"/>
        <v>3</v>
      </c>
      <c r="L1123">
        <f t="shared" si="52"/>
        <v>1</v>
      </c>
      <c r="M1123">
        <f t="shared" si="53"/>
        <v>1</v>
      </c>
    </row>
    <row r="1124" spans="1:13" x14ac:dyDescent="0.25">
      <c r="A1124" s="2" t="s">
        <v>664</v>
      </c>
      <c r="B1124" s="11" t="s">
        <v>1092</v>
      </c>
      <c r="C1124" s="11" t="s">
        <v>4</v>
      </c>
      <c r="D1124" s="11" t="s">
        <v>1093</v>
      </c>
      <c r="E1124" s="11" t="s">
        <v>1110</v>
      </c>
      <c r="F1124" s="11" t="s">
        <v>1111</v>
      </c>
      <c r="G1124" s="12">
        <v>3</v>
      </c>
      <c r="H1124" s="12">
        <v>23.76</v>
      </c>
      <c r="I1124" s="12">
        <v>71.28</v>
      </c>
      <c r="J1124" s="12">
        <v>63017.059999999954</v>
      </c>
      <c r="K1124">
        <f t="shared" si="51"/>
        <v>2</v>
      </c>
      <c r="L1124">
        <f t="shared" si="52"/>
        <v>1</v>
      </c>
      <c r="M1124">
        <f t="shared" si="53"/>
        <v>1</v>
      </c>
    </row>
    <row r="1125" spans="1:13" x14ac:dyDescent="0.25">
      <c r="A1125" s="2" t="s">
        <v>664</v>
      </c>
      <c r="B1125" s="11" t="s">
        <v>1092</v>
      </c>
      <c r="C1125" s="11" t="s">
        <v>4</v>
      </c>
      <c r="D1125" s="11" t="s">
        <v>1093</v>
      </c>
      <c r="E1125" s="11" t="s">
        <v>1112</v>
      </c>
      <c r="F1125" s="11" t="s">
        <v>1112</v>
      </c>
      <c r="G1125" s="12">
        <v>3</v>
      </c>
      <c r="H1125" s="12">
        <v>23.76</v>
      </c>
      <c r="I1125" s="12">
        <v>71.28</v>
      </c>
      <c r="J1125" s="12">
        <v>63088.339999999953</v>
      </c>
      <c r="K1125">
        <f t="shared" si="51"/>
        <v>1</v>
      </c>
      <c r="L1125">
        <f t="shared" si="52"/>
        <v>1</v>
      </c>
      <c r="M1125">
        <f t="shared" si="53"/>
        <v>1</v>
      </c>
    </row>
    <row r="1126" spans="1:13" x14ac:dyDescent="0.25">
      <c r="A1126" s="2" t="s">
        <v>664</v>
      </c>
      <c r="B1126" s="11" t="s">
        <v>1092</v>
      </c>
      <c r="C1126" s="11" t="s">
        <v>4</v>
      </c>
      <c r="D1126" s="11" t="s">
        <v>1093</v>
      </c>
      <c r="E1126" s="11" t="s">
        <v>1113</v>
      </c>
      <c r="F1126" s="11" t="s">
        <v>1113</v>
      </c>
      <c r="G1126" s="12">
        <v>3</v>
      </c>
      <c r="H1126" s="12">
        <v>23.76</v>
      </c>
      <c r="I1126" s="12">
        <v>71.28</v>
      </c>
      <c r="J1126" s="12">
        <v>63159.619999999952</v>
      </c>
      <c r="K1126">
        <f t="shared" si="51"/>
        <v>1</v>
      </c>
      <c r="L1126">
        <f t="shared" si="52"/>
        <v>1</v>
      </c>
      <c r="M1126">
        <f t="shared" si="53"/>
        <v>1</v>
      </c>
    </row>
    <row r="1127" spans="1:13" x14ac:dyDescent="0.25">
      <c r="A1127" s="2" t="s">
        <v>664</v>
      </c>
      <c r="B1127" s="11" t="s">
        <v>1092</v>
      </c>
      <c r="C1127" s="11" t="s">
        <v>4</v>
      </c>
      <c r="D1127" s="11" t="s">
        <v>1093</v>
      </c>
      <c r="E1127" s="11" t="s">
        <v>1114</v>
      </c>
      <c r="F1127" s="11" t="s">
        <v>1114</v>
      </c>
      <c r="G1127" s="12">
        <v>3</v>
      </c>
      <c r="H1127" s="12">
        <v>23.76</v>
      </c>
      <c r="I1127" s="12">
        <v>71.28</v>
      </c>
      <c r="J1127" s="12">
        <v>63230.899999999951</v>
      </c>
      <c r="K1127">
        <f t="shared" si="51"/>
        <v>1</v>
      </c>
      <c r="L1127">
        <f t="shared" si="52"/>
        <v>1</v>
      </c>
      <c r="M1127">
        <f t="shared" si="53"/>
        <v>1</v>
      </c>
    </row>
    <row r="1128" spans="1:13" x14ac:dyDescent="0.25">
      <c r="A1128" s="2" t="s">
        <v>664</v>
      </c>
      <c r="B1128" s="11" t="s">
        <v>1092</v>
      </c>
      <c r="C1128" s="11" t="s">
        <v>4</v>
      </c>
      <c r="D1128" s="11" t="s">
        <v>1093</v>
      </c>
      <c r="E1128" s="11" t="s">
        <v>1115</v>
      </c>
      <c r="F1128" s="11" t="s">
        <v>1116</v>
      </c>
      <c r="G1128" s="12">
        <v>2</v>
      </c>
      <c r="H1128" s="12">
        <v>30</v>
      </c>
      <c r="I1128" s="12">
        <v>60</v>
      </c>
      <c r="J1128" s="12">
        <v>63290.899999999951</v>
      </c>
      <c r="K1128">
        <f t="shared" si="51"/>
        <v>3</v>
      </c>
      <c r="L1128">
        <f t="shared" si="52"/>
        <v>1</v>
      </c>
      <c r="M1128">
        <f t="shared" si="53"/>
        <v>1</v>
      </c>
    </row>
    <row r="1129" spans="1:13" x14ac:dyDescent="0.25">
      <c r="A1129" s="2" t="s">
        <v>664</v>
      </c>
      <c r="B1129" s="11" t="s">
        <v>1092</v>
      </c>
      <c r="C1129" s="11" t="s">
        <v>4</v>
      </c>
      <c r="D1129" s="11" t="s">
        <v>1093</v>
      </c>
      <c r="E1129" s="11" t="s">
        <v>1117</v>
      </c>
      <c r="F1129" s="11" t="s">
        <v>1118</v>
      </c>
      <c r="G1129" s="12">
        <v>1</v>
      </c>
      <c r="H1129" s="12">
        <v>28.56</v>
      </c>
      <c r="I1129" s="12">
        <v>28.56</v>
      </c>
      <c r="J1129" s="12">
        <v>63319.459999999948</v>
      </c>
      <c r="K1129">
        <f t="shared" si="51"/>
        <v>2</v>
      </c>
      <c r="L1129">
        <f t="shared" si="52"/>
        <v>1</v>
      </c>
      <c r="M1129">
        <f t="shared" si="53"/>
        <v>1</v>
      </c>
    </row>
    <row r="1130" spans="1:13" x14ac:dyDescent="0.25">
      <c r="A1130" s="2" t="s">
        <v>664</v>
      </c>
      <c r="B1130" s="11" t="s">
        <v>1092</v>
      </c>
      <c r="C1130" s="11" t="s">
        <v>4</v>
      </c>
      <c r="D1130" s="11" t="s">
        <v>1093</v>
      </c>
      <c r="E1130" s="11" t="s">
        <v>1119</v>
      </c>
      <c r="F1130" s="11" t="s">
        <v>1120</v>
      </c>
      <c r="G1130" s="12">
        <v>1</v>
      </c>
      <c r="H1130" s="12">
        <v>25.02</v>
      </c>
      <c r="I1130" s="12">
        <v>25.02</v>
      </c>
      <c r="J1130" s="12">
        <v>63344.479999999945</v>
      </c>
      <c r="K1130">
        <f t="shared" si="51"/>
        <v>3</v>
      </c>
      <c r="L1130">
        <f t="shared" si="52"/>
        <v>1</v>
      </c>
      <c r="M1130">
        <f t="shared" si="53"/>
        <v>1</v>
      </c>
    </row>
    <row r="1131" spans="1:13" x14ac:dyDescent="0.25">
      <c r="A1131" s="2" t="s">
        <v>664</v>
      </c>
      <c r="B1131" s="11" t="s">
        <v>1092</v>
      </c>
      <c r="C1131" s="11" t="s">
        <v>4</v>
      </c>
      <c r="D1131" s="11" t="s">
        <v>1093</v>
      </c>
      <c r="E1131" s="11" t="s">
        <v>1121</v>
      </c>
      <c r="F1131" s="11" t="s">
        <v>1122</v>
      </c>
      <c r="G1131" s="12">
        <v>3</v>
      </c>
      <c r="H1131" s="12">
        <v>22.24</v>
      </c>
      <c r="I1131" s="12">
        <v>66.72</v>
      </c>
      <c r="J1131" s="12">
        <v>63411.199999999946</v>
      </c>
      <c r="K1131">
        <f t="shared" si="51"/>
        <v>1</v>
      </c>
      <c r="L1131">
        <f t="shared" si="52"/>
        <v>1</v>
      </c>
      <c r="M1131">
        <f t="shared" si="53"/>
        <v>1</v>
      </c>
    </row>
    <row r="1132" spans="1:13" x14ac:dyDescent="0.25">
      <c r="A1132" s="2" t="s">
        <v>664</v>
      </c>
      <c r="B1132" s="11" t="s">
        <v>1092</v>
      </c>
      <c r="C1132" s="11" t="s">
        <v>4</v>
      </c>
      <c r="D1132" s="11" t="s">
        <v>1093</v>
      </c>
      <c r="E1132" s="11" t="s">
        <v>1123</v>
      </c>
      <c r="F1132" s="11" t="s">
        <v>1124</v>
      </c>
      <c r="G1132" s="12">
        <v>2</v>
      </c>
      <c r="H1132" s="12">
        <v>55.8</v>
      </c>
      <c r="I1132" s="12">
        <v>111.6</v>
      </c>
      <c r="J1132" s="12">
        <v>63522.799999999945</v>
      </c>
      <c r="K1132">
        <f t="shared" si="51"/>
        <v>3</v>
      </c>
      <c r="L1132">
        <f t="shared" si="52"/>
        <v>1</v>
      </c>
      <c r="M1132">
        <f t="shared" si="53"/>
        <v>1</v>
      </c>
    </row>
    <row r="1133" spans="1:13" x14ac:dyDescent="0.25">
      <c r="A1133" s="2" t="s">
        <v>664</v>
      </c>
      <c r="B1133" s="11" t="s">
        <v>1092</v>
      </c>
      <c r="C1133" s="11" t="s">
        <v>4</v>
      </c>
      <c r="D1133" s="11" t="s">
        <v>1093</v>
      </c>
      <c r="E1133" s="11" t="s">
        <v>809</v>
      </c>
      <c r="F1133" s="11" t="s">
        <v>810</v>
      </c>
      <c r="G1133" s="12">
        <v>2</v>
      </c>
      <c r="H1133" s="12">
        <v>32.74</v>
      </c>
      <c r="I1133" s="12">
        <v>65.48</v>
      </c>
      <c r="J1133" s="12">
        <v>63588.279999999948</v>
      </c>
      <c r="K1133">
        <f t="shared" si="51"/>
        <v>7</v>
      </c>
      <c r="L1133">
        <f t="shared" si="52"/>
        <v>1</v>
      </c>
      <c r="M1133">
        <f t="shared" si="53"/>
        <v>1</v>
      </c>
    </row>
    <row r="1134" spans="1:13" x14ac:dyDescent="0.25">
      <c r="A1134" s="2" t="s">
        <v>664</v>
      </c>
      <c r="B1134" s="11" t="s">
        <v>1092</v>
      </c>
      <c r="C1134" s="11" t="s">
        <v>4</v>
      </c>
      <c r="D1134" s="11" t="s">
        <v>1093</v>
      </c>
      <c r="E1134" s="11" t="s">
        <v>817</v>
      </c>
      <c r="F1134" s="11" t="s">
        <v>1025</v>
      </c>
      <c r="G1134" s="12">
        <v>3</v>
      </c>
      <c r="H1134" s="12">
        <v>46.22</v>
      </c>
      <c r="I1134" s="12">
        <v>138.66</v>
      </c>
      <c r="J1134" s="12">
        <v>63726.939999999951</v>
      </c>
      <c r="K1134">
        <f t="shared" si="51"/>
        <v>6</v>
      </c>
      <c r="L1134">
        <f t="shared" si="52"/>
        <v>1</v>
      </c>
      <c r="M1134">
        <f t="shared" si="53"/>
        <v>1</v>
      </c>
    </row>
    <row r="1135" spans="1:13" x14ac:dyDescent="0.25">
      <c r="A1135" s="2" t="s">
        <v>664</v>
      </c>
      <c r="B1135" s="11" t="s">
        <v>1092</v>
      </c>
      <c r="C1135" s="11" t="s">
        <v>4</v>
      </c>
      <c r="D1135" s="11" t="s">
        <v>1093</v>
      </c>
      <c r="E1135" s="11" t="s">
        <v>819</v>
      </c>
      <c r="F1135" s="11" t="s">
        <v>1028</v>
      </c>
      <c r="G1135" s="12">
        <v>2</v>
      </c>
      <c r="H1135" s="12">
        <v>29.4</v>
      </c>
      <c r="I1135" s="12">
        <v>58.8</v>
      </c>
      <c r="J1135" s="12">
        <v>63785.739999999954</v>
      </c>
      <c r="K1135">
        <f t="shared" si="51"/>
        <v>6</v>
      </c>
      <c r="L1135">
        <f t="shared" si="52"/>
        <v>1</v>
      </c>
      <c r="M1135">
        <f t="shared" si="53"/>
        <v>1</v>
      </c>
    </row>
    <row r="1136" spans="1:13" x14ac:dyDescent="0.25">
      <c r="A1136" s="2" t="s">
        <v>664</v>
      </c>
      <c r="B1136" s="11" t="s">
        <v>1092</v>
      </c>
      <c r="C1136" s="11" t="s">
        <v>4</v>
      </c>
      <c r="D1136" s="11" t="s">
        <v>1093</v>
      </c>
      <c r="E1136" s="11" t="s">
        <v>762</v>
      </c>
      <c r="F1136" s="11" t="s">
        <v>763</v>
      </c>
      <c r="G1136" s="12">
        <v>40</v>
      </c>
      <c r="H1136" s="12">
        <v>38.520000000000003</v>
      </c>
      <c r="I1136" s="12">
        <v>1540.8</v>
      </c>
      <c r="J1136" s="12">
        <v>65326.539999999957</v>
      </c>
      <c r="K1136">
        <f t="shared" si="51"/>
        <v>7</v>
      </c>
      <c r="L1136">
        <f t="shared" si="52"/>
        <v>1</v>
      </c>
      <c r="M1136">
        <f t="shared" si="53"/>
        <v>1</v>
      </c>
    </row>
    <row r="1137" spans="1:13" x14ac:dyDescent="0.25">
      <c r="A1137" s="2" t="s">
        <v>664</v>
      </c>
      <c r="B1137" s="11" t="s">
        <v>1092</v>
      </c>
      <c r="C1137" s="11" t="s">
        <v>4</v>
      </c>
      <c r="D1137" s="11" t="s">
        <v>1093</v>
      </c>
      <c r="E1137" s="11" t="s">
        <v>813</v>
      </c>
      <c r="F1137" s="11" t="s">
        <v>1024</v>
      </c>
      <c r="G1137" s="12">
        <v>8</v>
      </c>
      <c r="H1137" s="12">
        <v>54.57</v>
      </c>
      <c r="I1137" s="12">
        <v>436.56</v>
      </c>
      <c r="J1137" s="12">
        <v>65763.099999999962</v>
      </c>
      <c r="K1137">
        <f t="shared" si="51"/>
        <v>7</v>
      </c>
      <c r="L1137">
        <f t="shared" si="52"/>
        <v>1</v>
      </c>
      <c r="M1137">
        <f t="shared" si="53"/>
        <v>1</v>
      </c>
    </row>
    <row r="1138" spans="1:13" x14ac:dyDescent="0.25">
      <c r="A1138" s="2" t="s">
        <v>664</v>
      </c>
      <c r="B1138" s="11" t="s">
        <v>1092</v>
      </c>
      <c r="C1138" s="11" t="s">
        <v>4</v>
      </c>
      <c r="D1138" s="11" t="s">
        <v>1093</v>
      </c>
      <c r="E1138" s="11" t="s">
        <v>770</v>
      </c>
      <c r="F1138" s="11" t="s">
        <v>1027</v>
      </c>
      <c r="G1138" s="12">
        <v>8</v>
      </c>
      <c r="H1138" s="12">
        <v>37.450000000000003</v>
      </c>
      <c r="I1138" s="12">
        <v>299.60000000000002</v>
      </c>
      <c r="J1138" s="12">
        <v>66062.699999999968</v>
      </c>
      <c r="K1138">
        <f t="shared" si="51"/>
        <v>6</v>
      </c>
      <c r="L1138">
        <f t="shared" si="52"/>
        <v>1</v>
      </c>
      <c r="M1138">
        <f t="shared" si="53"/>
        <v>1</v>
      </c>
    </row>
    <row r="1139" spans="1:13" x14ac:dyDescent="0.25">
      <c r="A1139" s="2" t="s">
        <v>664</v>
      </c>
      <c r="B1139" s="11" t="s">
        <v>1092</v>
      </c>
      <c r="C1139" s="11" t="s">
        <v>4</v>
      </c>
      <c r="D1139" s="11" t="s">
        <v>1093</v>
      </c>
      <c r="E1139" s="11" t="s">
        <v>809</v>
      </c>
      <c r="F1139" s="11" t="s">
        <v>810</v>
      </c>
      <c r="G1139" s="12">
        <v>4</v>
      </c>
      <c r="H1139" s="12">
        <v>32.74</v>
      </c>
      <c r="I1139" s="12">
        <v>130.96</v>
      </c>
      <c r="J1139" s="12">
        <v>66193.659999999974</v>
      </c>
      <c r="K1139">
        <f t="shared" si="51"/>
        <v>7</v>
      </c>
      <c r="L1139">
        <f t="shared" si="52"/>
        <v>1</v>
      </c>
      <c r="M1139">
        <f t="shared" si="53"/>
        <v>1</v>
      </c>
    </row>
    <row r="1140" spans="1:13" x14ac:dyDescent="0.25">
      <c r="A1140" s="2" t="s">
        <v>664</v>
      </c>
      <c r="B1140" s="11" t="s">
        <v>1092</v>
      </c>
      <c r="C1140" s="11" t="s">
        <v>4</v>
      </c>
      <c r="D1140" s="11" t="s">
        <v>1093</v>
      </c>
      <c r="E1140" s="11" t="s">
        <v>817</v>
      </c>
      <c r="F1140" s="11" t="s">
        <v>1025</v>
      </c>
      <c r="G1140" s="12">
        <v>4</v>
      </c>
      <c r="H1140" s="12">
        <v>46.22</v>
      </c>
      <c r="I1140" s="12">
        <v>184.88</v>
      </c>
      <c r="J1140" s="12">
        <v>66378.539999999979</v>
      </c>
      <c r="K1140">
        <f t="shared" si="51"/>
        <v>6</v>
      </c>
      <c r="L1140">
        <f t="shared" si="52"/>
        <v>1</v>
      </c>
      <c r="M1140">
        <f t="shared" si="53"/>
        <v>1</v>
      </c>
    </row>
    <row r="1141" spans="1:13" x14ac:dyDescent="0.25">
      <c r="A1141" s="2" t="s">
        <v>664</v>
      </c>
      <c r="B1141" s="11" t="s">
        <v>1092</v>
      </c>
      <c r="C1141" s="11" t="s">
        <v>4</v>
      </c>
      <c r="D1141" s="11" t="s">
        <v>1093</v>
      </c>
      <c r="E1141" s="11" t="s">
        <v>656</v>
      </c>
      <c r="F1141" s="11" t="s">
        <v>657</v>
      </c>
      <c r="G1141" s="12">
        <v>12</v>
      </c>
      <c r="H1141" s="12">
        <v>36</v>
      </c>
      <c r="I1141" s="12">
        <v>432</v>
      </c>
      <c r="J1141" s="12">
        <v>66810.539999999979</v>
      </c>
      <c r="K1141">
        <f t="shared" si="51"/>
        <v>8</v>
      </c>
      <c r="L1141">
        <f t="shared" si="52"/>
        <v>1</v>
      </c>
      <c r="M1141">
        <f t="shared" si="53"/>
        <v>1</v>
      </c>
    </row>
    <row r="1142" spans="1:13" x14ac:dyDescent="0.25">
      <c r="A1142" s="2" t="s">
        <v>664</v>
      </c>
      <c r="B1142" s="11" t="s">
        <v>1092</v>
      </c>
      <c r="C1142" s="11" t="s">
        <v>4</v>
      </c>
      <c r="D1142" s="11" t="s">
        <v>1093</v>
      </c>
      <c r="E1142" s="11" t="s">
        <v>768</v>
      </c>
      <c r="F1142" s="11" t="s">
        <v>980</v>
      </c>
      <c r="G1142" s="12">
        <v>5</v>
      </c>
      <c r="H1142" s="12">
        <v>45.8</v>
      </c>
      <c r="I1142" s="12">
        <v>229</v>
      </c>
      <c r="J1142" s="12">
        <v>67039.539999999979</v>
      </c>
      <c r="K1142">
        <f t="shared" si="51"/>
        <v>5</v>
      </c>
      <c r="L1142">
        <f t="shared" si="52"/>
        <v>1</v>
      </c>
      <c r="M1142">
        <f t="shared" si="53"/>
        <v>1</v>
      </c>
    </row>
    <row r="1143" spans="1:13" x14ac:dyDescent="0.25">
      <c r="A1143" s="2" t="s">
        <v>664</v>
      </c>
      <c r="B1143" s="11" t="s">
        <v>1125</v>
      </c>
      <c r="C1143" s="11" t="s">
        <v>4</v>
      </c>
      <c r="D1143" s="11" t="s">
        <v>1126</v>
      </c>
      <c r="E1143" s="11" t="s">
        <v>671</v>
      </c>
      <c r="F1143" s="11" t="s">
        <v>1035</v>
      </c>
      <c r="G1143" s="12">
        <v>2</v>
      </c>
      <c r="H1143" s="12">
        <v>33.119999999999997</v>
      </c>
      <c r="I1143" s="12">
        <v>66.239999999999995</v>
      </c>
      <c r="J1143" s="12">
        <v>67105.779999999984</v>
      </c>
      <c r="K1143">
        <f t="shared" si="51"/>
        <v>7</v>
      </c>
      <c r="L1143">
        <f t="shared" si="52"/>
        <v>1</v>
      </c>
      <c r="M1143">
        <f t="shared" si="53"/>
        <v>1</v>
      </c>
    </row>
    <row r="1144" spans="1:13" x14ac:dyDescent="0.25">
      <c r="A1144" s="2" t="s">
        <v>664</v>
      </c>
      <c r="B1144" s="11" t="s">
        <v>1125</v>
      </c>
      <c r="C1144" s="11" t="s">
        <v>4</v>
      </c>
      <c r="D1144" s="11" t="s">
        <v>1126</v>
      </c>
      <c r="E1144" s="11" t="s">
        <v>823</v>
      </c>
      <c r="F1144" s="11" t="s">
        <v>1036</v>
      </c>
      <c r="G1144" s="12">
        <v>1</v>
      </c>
      <c r="H1144" s="12">
        <v>40.82</v>
      </c>
      <c r="I1144" s="12">
        <v>40.82</v>
      </c>
      <c r="J1144" s="12">
        <v>67146.599999999991</v>
      </c>
      <c r="K1144">
        <f t="shared" si="51"/>
        <v>6</v>
      </c>
      <c r="L1144">
        <f t="shared" si="52"/>
        <v>1</v>
      </c>
      <c r="M1144">
        <f t="shared" si="53"/>
        <v>1</v>
      </c>
    </row>
    <row r="1145" spans="1:13" x14ac:dyDescent="0.25">
      <c r="A1145" s="2" t="s">
        <v>664</v>
      </c>
      <c r="B1145" s="11" t="s">
        <v>1125</v>
      </c>
      <c r="C1145" s="11" t="s">
        <v>4</v>
      </c>
      <c r="D1145" s="11" t="s">
        <v>1126</v>
      </c>
      <c r="E1145" s="11" t="s">
        <v>673</v>
      </c>
      <c r="F1145" s="11" t="s">
        <v>1037</v>
      </c>
      <c r="G1145" s="12">
        <v>1</v>
      </c>
      <c r="H1145" s="12">
        <v>33.380000000000003</v>
      </c>
      <c r="I1145" s="12">
        <v>33.380000000000003</v>
      </c>
      <c r="J1145" s="12">
        <v>67179.98</v>
      </c>
      <c r="K1145">
        <f t="shared" si="51"/>
        <v>7</v>
      </c>
      <c r="L1145">
        <f t="shared" si="52"/>
        <v>1</v>
      </c>
      <c r="M1145">
        <f t="shared" si="53"/>
        <v>1</v>
      </c>
    </row>
    <row r="1146" spans="1:13" x14ac:dyDescent="0.25">
      <c r="A1146" s="2" t="s">
        <v>664</v>
      </c>
      <c r="B1146" s="11" t="s">
        <v>1125</v>
      </c>
      <c r="C1146" s="11" t="s">
        <v>4</v>
      </c>
      <c r="D1146" s="11" t="s">
        <v>1126</v>
      </c>
      <c r="E1146" s="11" t="s">
        <v>825</v>
      </c>
      <c r="F1146" s="11" t="s">
        <v>986</v>
      </c>
      <c r="G1146" s="12">
        <v>3</v>
      </c>
      <c r="H1146" s="12">
        <v>32.1</v>
      </c>
      <c r="I1146" s="12">
        <v>96.3</v>
      </c>
      <c r="J1146" s="12">
        <v>67276.28</v>
      </c>
      <c r="K1146">
        <f t="shared" si="51"/>
        <v>6</v>
      </c>
      <c r="L1146">
        <f t="shared" si="52"/>
        <v>1</v>
      </c>
      <c r="M1146">
        <f t="shared" si="53"/>
        <v>1</v>
      </c>
    </row>
    <row r="1147" spans="1:13" x14ac:dyDescent="0.25">
      <c r="A1147" s="2" t="s">
        <v>664</v>
      </c>
      <c r="B1147" s="11" t="s">
        <v>1125</v>
      </c>
      <c r="C1147" s="11" t="s">
        <v>4</v>
      </c>
      <c r="D1147" s="11" t="s">
        <v>1126</v>
      </c>
      <c r="E1147" s="11" t="s">
        <v>825</v>
      </c>
      <c r="F1147" s="11" t="s">
        <v>986</v>
      </c>
      <c r="G1147" s="12">
        <v>2</v>
      </c>
      <c r="H1147" s="12">
        <v>32.1</v>
      </c>
      <c r="I1147" s="12">
        <v>64.2</v>
      </c>
      <c r="J1147" s="12">
        <v>67340.479999999996</v>
      </c>
      <c r="K1147">
        <f t="shared" si="51"/>
        <v>6</v>
      </c>
      <c r="L1147">
        <f t="shared" si="52"/>
        <v>1</v>
      </c>
      <c r="M1147">
        <f t="shared" si="53"/>
        <v>1</v>
      </c>
    </row>
    <row r="1148" spans="1:13" x14ac:dyDescent="0.25">
      <c r="A1148" s="2" t="s">
        <v>664</v>
      </c>
      <c r="B1148" s="11" t="s">
        <v>1125</v>
      </c>
      <c r="C1148" s="11" t="s">
        <v>4</v>
      </c>
      <c r="D1148" s="11" t="s">
        <v>1126</v>
      </c>
      <c r="E1148" s="11" t="s">
        <v>1038</v>
      </c>
      <c r="F1148" s="11" t="s">
        <v>1039</v>
      </c>
      <c r="G1148" s="12">
        <v>1</v>
      </c>
      <c r="H1148" s="12">
        <v>32.1</v>
      </c>
      <c r="I1148" s="12">
        <v>32.1</v>
      </c>
      <c r="J1148" s="12">
        <v>67372.58</v>
      </c>
      <c r="K1148">
        <f t="shared" si="51"/>
        <v>3</v>
      </c>
      <c r="L1148">
        <f t="shared" si="52"/>
        <v>1</v>
      </c>
      <c r="M1148">
        <f t="shared" si="53"/>
        <v>1</v>
      </c>
    </row>
    <row r="1149" spans="1:13" x14ac:dyDescent="0.25">
      <c r="A1149" s="2" t="s">
        <v>664</v>
      </c>
      <c r="B1149" s="11" t="s">
        <v>1125</v>
      </c>
      <c r="C1149" s="11" t="s">
        <v>4</v>
      </c>
      <c r="D1149" s="11" t="s">
        <v>1126</v>
      </c>
      <c r="E1149" s="11" t="s">
        <v>675</v>
      </c>
      <c r="F1149" s="11" t="s">
        <v>1127</v>
      </c>
      <c r="G1149" s="12">
        <v>8</v>
      </c>
      <c r="H1149" s="12">
        <v>31.2</v>
      </c>
      <c r="I1149" s="12">
        <v>249.6</v>
      </c>
      <c r="J1149" s="12">
        <v>67622.180000000008</v>
      </c>
      <c r="K1149">
        <f t="shared" si="51"/>
        <v>6</v>
      </c>
      <c r="L1149">
        <f t="shared" si="52"/>
        <v>1</v>
      </c>
      <c r="M1149">
        <f t="shared" si="53"/>
        <v>1</v>
      </c>
    </row>
    <row r="1150" spans="1:13" x14ac:dyDescent="0.25">
      <c r="A1150" s="2" t="s">
        <v>664</v>
      </c>
      <c r="B1150" s="11" t="s">
        <v>1125</v>
      </c>
      <c r="C1150" s="11" t="s">
        <v>4</v>
      </c>
      <c r="D1150" s="11" t="s">
        <v>1126</v>
      </c>
      <c r="E1150" s="11" t="s">
        <v>1115</v>
      </c>
      <c r="F1150" s="11" t="s">
        <v>1116</v>
      </c>
      <c r="G1150" s="12">
        <v>2</v>
      </c>
      <c r="H1150" s="12">
        <v>30</v>
      </c>
      <c r="I1150" s="12">
        <v>60</v>
      </c>
      <c r="J1150" s="12">
        <v>67682.180000000008</v>
      </c>
      <c r="K1150">
        <f t="shared" si="51"/>
        <v>3</v>
      </c>
      <c r="L1150">
        <f t="shared" si="52"/>
        <v>1</v>
      </c>
      <c r="M1150">
        <f t="shared" si="53"/>
        <v>1</v>
      </c>
    </row>
    <row r="1151" spans="1:13" x14ac:dyDescent="0.25">
      <c r="A1151" s="2" t="s">
        <v>664</v>
      </c>
      <c r="B1151" s="11" t="s">
        <v>1125</v>
      </c>
      <c r="C1151" s="11" t="s">
        <v>4</v>
      </c>
      <c r="D1151" s="11" t="s">
        <v>1126</v>
      </c>
      <c r="E1151" s="11" t="s">
        <v>685</v>
      </c>
      <c r="F1151" s="11" t="s">
        <v>685</v>
      </c>
      <c r="G1151" s="12">
        <v>2</v>
      </c>
      <c r="H1151" s="12">
        <v>25.54</v>
      </c>
      <c r="I1151" s="12">
        <v>51.08</v>
      </c>
      <c r="J1151" s="12">
        <v>67733.260000000009</v>
      </c>
      <c r="K1151">
        <f t="shared" si="51"/>
        <v>5</v>
      </c>
      <c r="L1151">
        <f t="shared" si="52"/>
        <v>1</v>
      </c>
      <c r="M1151">
        <f t="shared" si="53"/>
        <v>1</v>
      </c>
    </row>
    <row r="1152" spans="1:13" x14ac:dyDescent="0.25">
      <c r="A1152" s="2" t="s">
        <v>664</v>
      </c>
      <c r="B1152" s="11" t="s">
        <v>1125</v>
      </c>
      <c r="C1152" s="11" t="s">
        <v>4</v>
      </c>
      <c r="D1152" s="11" t="s">
        <v>1126</v>
      </c>
      <c r="E1152" s="11" t="s">
        <v>686</v>
      </c>
      <c r="F1152" s="11" t="s">
        <v>942</v>
      </c>
      <c r="G1152" s="12">
        <v>8</v>
      </c>
      <c r="H1152" s="12">
        <v>25.54</v>
      </c>
      <c r="I1152" s="12">
        <v>204.32</v>
      </c>
      <c r="J1152" s="12">
        <v>67937.580000000016</v>
      </c>
      <c r="K1152">
        <f t="shared" si="51"/>
        <v>7</v>
      </c>
      <c r="L1152">
        <f t="shared" si="52"/>
        <v>1</v>
      </c>
      <c r="M1152">
        <f t="shared" si="53"/>
        <v>1</v>
      </c>
    </row>
    <row r="1153" spans="1:13" x14ac:dyDescent="0.25">
      <c r="A1153" s="2" t="s">
        <v>664</v>
      </c>
      <c r="B1153" s="11" t="s">
        <v>1125</v>
      </c>
      <c r="C1153" s="11" t="s">
        <v>4</v>
      </c>
      <c r="D1153" s="11" t="s">
        <v>1126</v>
      </c>
      <c r="E1153" s="11" t="s">
        <v>688</v>
      </c>
      <c r="F1153" s="11" t="s">
        <v>689</v>
      </c>
      <c r="G1153" s="12">
        <v>1</v>
      </c>
      <c r="H1153" s="12">
        <v>29.4</v>
      </c>
      <c r="I1153" s="12">
        <v>29.4</v>
      </c>
      <c r="J1153" s="12">
        <v>67966.98000000001</v>
      </c>
      <c r="K1153">
        <f t="shared" si="51"/>
        <v>4</v>
      </c>
      <c r="L1153">
        <f t="shared" si="52"/>
        <v>1</v>
      </c>
      <c r="M1153">
        <f t="shared" si="53"/>
        <v>1</v>
      </c>
    </row>
    <row r="1154" spans="1:13" x14ac:dyDescent="0.25">
      <c r="A1154" s="2" t="s">
        <v>664</v>
      </c>
      <c r="B1154" s="11" t="s">
        <v>1125</v>
      </c>
      <c r="C1154" s="11" t="s">
        <v>4</v>
      </c>
      <c r="D1154" s="11" t="s">
        <v>1126</v>
      </c>
      <c r="E1154" s="11" t="s">
        <v>827</v>
      </c>
      <c r="F1154" s="11" t="s">
        <v>1128</v>
      </c>
      <c r="G1154" s="12">
        <v>2</v>
      </c>
      <c r="H1154" s="12">
        <v>35.880000000000003</v>
      </c>
      <c r="I1154" s="12">
        <v>71.760000000000005</v>
      </c>
      <c r="J1154" s="12">
        <v>68038.740000000005</v>
      </c>
      <c r="K1154">
        <f t="shared" si="51"/>
        <v>2</v>
      </c>
      <c r="L1154">
        <f t="shared" si="52"/>
        <v>1</v>
      </c>
      <c r="M1154">
        <f t="shared" si="53"/>
        <v>1</v>
      </c>
    </row>
    <row r="1155" spans="1:13" x14ac:dyDescent="0.25">
      <c r="A1155" s="2" t="s">
        <v>664</v>
      </c>
      <c r="B1155" s="11" t="s">
        <v>1125</v>
      </c>
      <c r="C1155" s="11" t="s">
        <v>4</v>
      </c>
      <c r="D1155" s="11" t="s">
        <v>1126</v>
      </c>
      <c r="E1155" s="11" t="s">
        <v>828</v>
      </c>
      <c r="F1155" s="11" t="s">
        <v>987</v>
      </c>
      <c r="G1155" s="12">
        <v>2</v>
      </c>
      <c r="H1155" s="12">
        <v>28.89</v>
      </c>
      <c r="I1155" s="12">
        <v>57.78</v>
      </c>
      <c r="J1155" s="12">
        <v>68096.52</v>
      </c>
      <c r="K1155">
        <f t="shared" ref="K1155:K1218" si="54">COUNTIF($E$2:$E$1466,E1155)</f>
        <v>5</v>
      </c>
      <c r="L1155">
        <f t="shared" ref="L1155:L1218" si="55">IF(G1155&gt;0,1,0)</f>
        <v>1</v>
      </c>
      <c r="M1155">
        <f t="shared" ref="M1155:M1218" si="56">IF(H1155&gt;0,1,0)</f>
        <v>1</v>
      </c>
    </row>
    <row r="1156" spans="1:13" x14ac:dyDescent="0.25">
      <c r="A1156" s="2" t="s">
        <v>664</v>
      </c>
      <c r="B1156" s="11" t="s">
        <v>1125</v>
      </c>
      <c r="C1156" s="11" t="s">
        <v>4</v>
      </c>
      <c r="D1156" s="11" t="s">
        <v>1126</v>
      </c>
      <c r="E1156" s="11" t="s">
        <v>692</v>
      </c>
      <c r="F1156" s="11" t="s">
        <v>944</v>
      </c>
      <c r="G1156" s="12">
        <v>8</v>
      </c>
      <c r="H1156" s="12">
        <v>39.68</v>
      </c>
      <c r="I1156" s="12">
        <v>317.44</v>
      </c>
      <c r="J1156" s="12">
        <v>68413.960000000006</v>
      </c>
      <c r="K1156">
        <f t="shared" si="54"/>
        <v>8</v>
      </c>
      <c r="L1156">
        <f t="shared" si="55"/>
        <v>1</v>
      </c>
      <c r="M1156">
        <f t="shared" si="56"/>
        <v>1</v>
      </c>
    </row>
    <row r="1157" spans="1:13" x14ac:dyDescent="0.25">
      <c r="A1157" s="2" t="s">
        <v>664</v>
      </c>
      <c r="B1157" s="11" t="s">
        <v>1125</v>
      </c>
      <c r="C1157" s="11" t="s">
        <v>4</v>
      </c>
      <c r="D1157" s="11" t="s">
        <v>1126</v>
      </c>
      <c r="E1157" s="11" t="s">
        <v>1042</v>
      </c>
      <c r="F1157" s="11" t="s">
        <v>1043</v>
      </c>
      <c r="G1157" s="12">
        <v>1</v>
      </c>
      <c r="H1157" s="12">
        <v>51.1</v>
      </c>
      <c r="I1157" s="12">
        <v>51.1</v>
      </c>
      <c r="J1157" s="12">
        <v>68465.060000000012</v>
      </c>
      <c r="K1157">
        <f t="shared" si="54"/>
        <v>2</v>
      </c>
      <c r="L1157">
        <f t="shared" si="55"/>
        <v>1</v>
      </c>
      <c r="M1157">
        <f t="shared" si="56"/>
        <v>1</v>
      </c>
    </row>
    <row r="1158" spans="1:13" x14ac:dyDescent="0.25">
      <c r="A1158" s="2" t="s">
        <v>664</v>
      </c>
      <c r="B1158" s="11" t="s">
        <v>1125</v>
      </c>
      <c r="C1158" s="11" t="s">
        <v>4</v>
      </c>
      <c r="D1158" s="11" t="s">
        <v>1126</v>
      </c>
      <c r="E1158" s="11" t="s">
        <v>700</v>
      </c>
      <c r="F1158" s="11" t="s">
        <v>1129</v>
      </c>
      <c r="G1158" s="12">
        <v>2</v>
      </c>
      <c r="H1158" s="12">
        <v>30.24</v>
      </c>
      <c r="I1158" s="12">
        <v>60.48</v>
      </c>
      <c r="J1158" s="12">
        <v>68525.540000000008</v>
      </c>
      <c r="K1158">
        <f t="shared" si="54"/>
        <v>4</v>
      </c>
      <c r="L1158">
        <f t="shared" si="55"/>
        <v>1</v>
      </c>
      <c r="M1158">
        <f t="shared" si="56"/>
        <v>1</v>
      </c>
    </row>
    <row r="1159" spans="1:13" x14ac:dyDescent="0.25">
      <c r="A1159" s="2" t="s">
        <v>664</v>
      </c>
      <c r="B1159" s="11" t="s">
        <v>1125</v>
      </c>
      <c r="C1159" s="11" t="s">
        <v>4</v>
      </c>
      <c r="D1159" s="11" t="s">
        <v>1126</v>
      </c>
      <c r="E1159" s="11" t="s">
        <v>704</v>
      </c>
      <c r="F1159" s="11" t="s">
        <v>1044</v>
      </c>
      <c r="G1159" s="12">
        <v>2</v>
      </c>
      <c r="H1159" s="12">
        <v>45.96</v>
      </c>
      <c r="I1159" s="12">
        <v>91.92</v>
      </c>
      <c r="J1159" s="12">
        <v>68617.460000000006</v>
      </c>
      <c r="K1159">
        <f t="shared" si="54"/>
        <v>6</v>
      </c>
      <c r="L1159">
        <f t="shared" si="55"/>
        <v>1</v>
      </c>
      <c r="M1159">
        <f t="shared" si="56"/>
        <v>1</v>
      </c>
    </row>
    <row r="1160" spans="1:13" x14ac:dyDescent="0.25">
      <c r="A1160" s="2" t="s">
        <v>664</v>
      </c>
      <c r="B1160" s="11" t="s">
        <v>1125</v>
      </c>
      <c r="C1160" s="11" t="s">
        <v>4</v>
      </c>
      <c r="D1160" s="11" t="s">
        <v>1126</v>
      </c>
      <c r="E1160" s="11" t="s">
        <v>716</v>
      </c>
      <c r="F1160" s="11" t="s">
        <v>777</v>
      </c>
      <c r="G1160" s="12">
        <v>1</v>
      </c>
      <c r="H1160" s="12">
        <v>32.1</v>
      </c>
      <c r="I1160" s="12">
        <v>32.1</v>
      </c>
      <c r="J1160" s="12">
        <v>68649.560000000012</v>
      </c>
      <c r="K1160">
        <f t="shared" si="54"/>
        <v>7</v>
      </c>
      <c r="L1160">
        <f t="shared" si="55"/>
        <v>1</v>
      </c>
      <c r="M1160">
        <f t="shared" si="56"/>
        <v>1</v>
      </c>
    </row>
    <row r="1161" spans="1:13" x14ac:dyDescent="0.25">
      <c r="A1161" s="2" t="s">
        <v>664</v>
      </c>
      <c r="B1161" s="11" t="s">
        <v>1125</v>
      </c>
      <c r="C1161" s="11" t="s">
        <v>4</v>
      </c>
      <c r="D1161" s="11" t="s">
        <v>1126</v>
      </c>
      <c r="E1161" s="11" t="s">
        <v>708</v>
      </c>
      <c r="F1161" s="11" t="s">
        <v>709</v>
      </c>
      <c r="G1161" s="12">
        <v>5</v>
      </c>
      <c r="H1161" s="12">
        <v>40.56</v>
      </c>
      <c r="I1161" s="12">
        <v>202.8</v>
      </c>
      <c r="J1161" s="12">
        <v>68852.360000000015</v>
      </c>
      <c r="K1161">
        <f t="shared" si="54"/>
        <v>5</v>
      </c>
      <c r="L1161">
        <f t="shared" si="55"/>
        <v>1</v>
      </c>
      <c r="M1161">
        <f t="shared" si="56"/>
        <v>1</v>
      </c>
    </row>
    <row r="1162" spans="1:13" x14ac:dyDescent="0.25">
      <c r="A1162" s="2" t="s">
        <v>664</v>
      </c>
      <c r="B1162" s="11" t="s">
        <v>1125</v>
      </c>
      <c r="C1162" s="11" t="s">
        <v>4</v>
      </c>
      <c r="D1162" s="11" t="s">
        <v>1126</v>
      </c>
      <c r="E1162" s="11" t="s">
        <v>710</v>
      </c>
      <c r="F1162" s="11" t="s">
        <v>1130</v>
      </c>
      <c r="G1162" s="12">
        <v>2</v>
      </c>
      <c r="H1162" s="12">
        <v>40.159999999999997</v>
      </c>
      <c r="I1162" s="12">
        <v>80.319999999999993</v>
      </c>
      <c r="J1162" s="12">
        <v>68932.680000000022</v>
      </c>
      <c r="K1162">
        <f t="shared" si="54"/>
        <v>4</v>
      </c>
      <c r="L1162">
        <f t="shared" si="55"/>
        <v>1</v>
      </c>
      <c r="M1162">
        <f t="shared" si="56"/>
        <v>1</v>
      </c>
    </row>
    <row r="1163" spans="1:13" x14ac:dyDescent="0.25">
      <c r="A1163" s="2" t="s">
        <v>664</v>
      </c>
      <c r="B1163" s="11" t="s">
        <v>1125</v>
      </c>
      <c r="C1163" s="11" t="s">
        <v>4</v>
      </c>
      <c r="D1163" s="11" t="s">
        <v>1126</v>
      </c>
      <c r="E1163" s="11" t="s">
        <v>835</v>
      </c>
      <c r="F1163" s="11" t="s">
        <v>993</v>
      </c>
      <c r="G1163" s="12">
        <v>4</v>
      </c>
      <c r="H1163" s="12">
        <v>30.82</v>
      </c>
      <c r="I1163" s="12">
        <v>123.28</v>
      </c>
      <c r="J1163" s="12">
        <v>69055.960000000021</v>
      </c>
      <c r="K1163">
        <f t="shared" si="54"/>
        <v>4</v>
      </c>
      <c r="L1163">
        <f t="shared" si="55"/>
        <v>1</v>
      </c>
      <c r="M1163">
        <f t="shared" si="56"/>
        <v>1</v>
      </c>
    </row>
    <row r="1164" spans="1:13" x14ac:dyDescent="0.25">
      <c r="A1164" s="2" t="s">
        <v>664</v>
      </c>
      <c r="B1164" s="11" t="s">
        <v>1125</v>
      </c>
      <c r="C1164" s="11" t="s">
        <v>4</v>
      </c>
      <c r="D1164" s="11" t="s">
        <v>1126</v>
      </c>
      <c r="E1164" s="11" t="s">
        <v>1117</v>
      </c>
      <c r="F1164" s="11" t="s">
        <v>1118</v>
      </c>
      <c r="G1164" s="12">
        <v>1</v>
      </c>
      <c r="H1164" s="12">
        <v>28.56</v>
      </c>
      <c r="I1164" s="12">
        <v>28.56</v>
      </c>
      <c r="J1164" s="12">
        <v>69084.520000000019</v>
      </c>
      <c r="K1164">
        <f t="shared" si="54"/>
        <v>2</v>
      </c>
      <c r="L1164">
        <f t="shared" si="55"/>
        <v>1</v>
      </c>
      <c r="M1164">
        <f t="shared" si="56"/>
        <v>1</v>
      </c>
    </row>
    <row r="1165" spans="1:13" x14ac:dyDescent="0.25">
      <c r="A1165" s="2" t="s">
        <v>664</v>
      </c>
      <c r="B1165" s="11" t="s">
        <v>1125</v>
      </c>
      <c r="C1165" s="11" t="s">
        <v>4</v>
      </c>
      <c r="D1165" s="11" t="s">
        <v>1126</v>
      </c>
      <c r="E1165" s="11" t="s">
        <v>1131</v>
      </c>
      <c r="F1165" s="11" t="s">
        <v>1132</v>
      </c>
      <c r="G1165" s="12">
        <v>2</v>
      </c>
      <c r="H1165" s="12">
        <v>28.56</v>
      </c>
      <c r="I1165" s="12">
        <v>57.12</v>
      </c>
      <c r="J1165" s="12">
        <v>69141.640000000014</v>
      </c>
      <c r="K1165">
        <f t="shared" si="54"/>
        <v>1</v>
      </c>
      <c r="L1165">
        <f t="shared" si="55"/>
        <v>1</v>
      </c>
      <c r="M1165">
        <f t="shared" si="56"/>
        <v>1</v>
      </c>
    </row>
    <row r="1166" spans="1:13" x14ac:dyDescent="0.25">
      <c r="A1166" s="2" t="s">
        <v>664</v>
      </c>
      <c r="B1166" s="11" t="s">
        <v>1125</v>
      </c>
      <c r="C1166" s="11" t="s">
        <v>4</v>
      </c>
      <c r="D1166" s="11" t="s">
        <v>1126</v>
      </c>
      <c r="E1166" s="11" t="s">
        <v>778</v>
      </c>
      <c r="F1166" s="11" t="s">
        <v>994</v>
      </c>
      <c r="G1166" s="12">
        <v>6</v>
      </c>
      <c r="H1166" s="12">
        <v>30.82</v>
      </c>
      <c r="I1166" s="12">
        <v>184.92</v>
      </c>
      <c r="J1166" s="12">
        <v>69326.560000000012</v>
      </c>
      <c r="K1166">
        <f t="shared" si="54"/>
        <v>6</v>
      </c>
      <c r="L1166">
        <f t="shared" si="55"/>
        <v>1</v>
      </c>
      <c r="M1166">
        <f t="shared" si="56"/>
        <v>1</v>
      </c>
    </row>
    <row r="1167" spans="1:13" x14ac:dyDescent="0.25">
      <c r="A1167" s="2" t="s">
        <v>664</v>
      </c>
      <c r="B1167" s="11" t="s">
        <v>1125</v>
      </c>
      <c r="C1167" s="11" t="s">
        <v>4</v>
      </c>
      <c r="D1167" s="11" t="s">
        <v>1126</v>
      </c>
      <c r="E1167" s="11" t="s">
        <v>720</v>
      </c>
      <c r="F1167" s="11" t="s">
        <v>721</v>
      </c>
      <c r="G1167" s="12">
        <v>4</v>
      </c>
      <c r="H1167" s="12">
        <v>23.96</v>
      </c>
      <c r="I1167" s="12">
        <v>95.84</v>
      </c>
      <c r="J1167" s="12">
        <v>69422.400000000009</v>
      </c>
      <c r="K1167">
        <f t="shared" si="54"/>
        <v>8</v>
      </c>
      <c r="L1167">
        <f t="shared" si="55"/>
        <v>1</v>
      </c>
      <c r="M1167">
        <f t="shared" si="56"/>
        <v>1</v>
      </c>
    </row>
    <row r="1168" spans="1:13" x14ac:dyDescent="0.25">
      <c r="A1168" s="2" t="s">
        <v>664</v>
      </c>
      <c r="B1168" s="11" t="s">
        <v>1125</v>
      </c>
      <c r="C1168" s="11" t="s">
        <v>4</v>
      </c>
      <c r="D1168" s="11" t="s">
        <v>1126</v>
      </c>
      <c r="E1168" s="11" t="s">
        <v>1133</v>
      </c>
      <c r="F1168" s="11" t="s">
        <v>1134</v>
      </c>
      <c r="G1168" s="12">
        <v>2</v>
      </c>
      <c r="H1168" s="12">
        <v>36</v>
      </c>
      <c r="I1168" s="12">
        <v>72</v>
      </c>
      <c r="J1168" s="12">
        <v>69494.400000000009</v>
      </c>
      <c r="K1168">
        <f t="shared" si="54"/>
        <v>1</v>
      </c>
      <c r="L1168">
        <f t="shared" si="55"/>
        <v>1</v>
      </c>
      <c r="M1168">
        <f t="shared" si="56"/>
        <v>1</v>
      </c>
    </row>
    <row r="1169" spans="1:13" x14ac:dyDescent="0.25">
      <c r="A1169" s="2" t="s">
        <v>664</v>
      </c>
      <c r="B1169" s="11" t="s">
        <v>1125</v>
      </c>
      <c r="C1169" s="11" t="s">
        <v>4</v>
      </c>
      <c r="D1169" s="11" t="s">
        <v>1126</v>
      </c>
      <c r="E1169" s="11" t="s">
        <v>730</v>
      </c>
      <c r="F1169" s="11" t="s">
        <v>1135</v>
      </c>
      <c r="G1169" s="12">
        <v>2</v>
      </c>
      <c r="H1169" s="12">
        <v>30.24</v>
      </c>
      <c r="I1169" s="12">
        <v>60.48</v>
      </c>
      <c r="J1169" s="12">
        <v>69554.880000000005</v>
      </c>
      <c r="K1169">
        <f t="shared" si="54"/>
        <v>5</v>
      </c>
      <c r="L1169">
        <f t="shared" si="55"/>
        <v>1</v>
      </c>
      <c r="M1169">
        <f t="shared" si="56"/>
        <v>1</v>
      </c>
    </row>
    <row r="1170" spans="1:13" x14ac:dyDescent="0.25">
      <c r="A1170" s="2" t="s">
        <v>664</v>
      </c>
      <c r="B1170" s="11" t="s">
        <v>1125</v>
      </c>
      <c r="C1170" s="11" t="s">
        <v>4</v>
      </c>
      <c r="D1170" s="11" t="s">
        <v>1126</v>
      </c>
      <c r="E1170" s="11" t="s">
        <v>780</v>
      </c>
      <c r="F1170" s="11" t="s">
        <v>1136</v>
      </c>
      <c r="G1170" s="12">
        <v>2</v>
      </c>
      <c r="H1170" s="12">
        <v>22.68</v>
      </c>
      <c r="I1170" s="12">
        <v>45.36</v>
      </c>
      <c r="J1170" s="12">
        <v>69600.240000000005</v>
      </c>
      <c r="K1170">
        <f t="shared" si="54"/>
        <v>3</v>
      </c>
      <c r="L1170">
        <f t="shared" si="55"/>
        <v>1</v>
      </c>
      <c r="M1170">
        <f t="shared" si="56"/>
        <v>1</v>
      </c>
    </row>
    <row r="1171" spans="1:13" x14ac:dyDescent="0.25">
      <c r="A1171" s="2" t="s">
        <v>664</v>
      </c>
      <c r="B1171" s="11" t="s">
        <v>1125</v>
      </c>
      <c r="C1171" s="11" t="s">
        <v>4</v>
      </c>
      <c r="D1171" s="11" t="s">
        <v>1126</v>
      </c>
      <c r="E1171" s="11" t="s">
        <v>841</v>
      </c>
      <c r="F1171" s="11" t="s">
        <v>1137</v>
      </c>
      <c r="G1171" s="12">
        <v>1</v>
      </c>
      <c r="H1171" s="12">
        <v>39.6</v>
      </c>
      <c r="I1171" s="12">
        <v>39.6</v>
      </c>
      <c r="J1171" s="12">
        <v>69639.840000000011</v>
      </c>
      <c r="K1171">
        <f t="shared" si="54"/>
        <v>2</v>
      </c>
      <c r="L1171">
        <f t="shared" si="55"/>
        <v>1</v>
      </c>
      <c r="M1171">
        <f t="shared" si="56"/>
        <v>1</v>
      </c>
    </row>
    <row r="1172" spans="1:13" x14ac:dyDescent="0.25">
      <c r="A1172" s="2" t="s">
        <v>664</v>
      </c>
      <c r="B1172" s="11" t="s">
        <v>1125</v>
      </c>
      <c r="C1172" s="11" t="s">
        <v>4</v>
      </c>
      <c r="D1172" s="11" t="s">
        <v>1126</v>
      </c>
      <c r="E1172" s="11" t="s">
        <v>1000</v>
      </c>
      <c r="F1172" s="11" t="s">
        <v>1138</v>
      </c>
      <c r="G1172" s="12">
        <v>1</v>
      </c>
      <c r="H1172" s="12">
        <v>78.959999999999994</v>
      </c>
      <c r="I1172" s="12">
        <v>78.959999999999994</v>
      </c>
      <c r="J1172" s="12">
        <v>69718.800000000017</v>
      </c>
      <c r="K1172">
        <f t="shared" si="54"/>
        <v>5</v>
      </c>
      <c r="L1172">
        <f t="shared" si="55"/>
        <v>1</v>
      </c>
      <c r="M1172">
        <f t="shared" si="56"/>
        <v>1</v>
      </c>
    </row>
    <row r="1173" spans="1:13" x14ac:dyDescent="0.25">
      <c r="A1173" s="2" t="s">
        <v>664</v>
      </c>
      <c r="B1173" s="11" t="s">
        <v>1125</v>
      </c>
      <c r="C1173" s="11" t="s">
        <v>4</v>
      </c>
      <c r="D1173" s="11" t="s">
        <v>1126</v>
      </c>
      <c r="E1173" s="11" t="s">
        <v>35</v>
      </c>
      <c r="F1173" s="11" t="s">
        <v>36</v>
      </c>
      <c r="G1173" s="12">
        <v>2</v>
      </c>
      <c r="H1173" s="12">
        <v>28.8</v>
      </c>
      <c r="I1173" s="12">
        <v>57.6</v>
      </c>
      <c r="J1173" s="12">
        <v>69776.400000000023</v>
      </c>
      <c r="K1173">
        <f t="shared" si="54"/>
        <v>5</v>
      </c>
      <c r="L1173">
        <f t="shared" si="55"/>
        <v>1</v>
      </c>
      <c r="M1173">
        <f t="shared" si="56"/>
        <v>1</v>
      </c>
    </row>
    <row r="1174" spans="1:13" x14ac:dyDescent="0.25">
      <c r="A1174" s="2" t="s">
        <v>664</v>
      </c>
      <c r="B1174" s="11" t="s">
        <v>1125</v>
      </c>
      <c r="C1174" s="11" t="s">
        <v>4</v>
      </c>
      <c r="D1174" s="11" t="s">
        <v>1126</v>
      </c>
      <c r="E1174" s="11" t="s">
        <v>754</v>
      </c>
      <c r="F1174" s="11" t="s">
        <v>952</v>
      </c>
      <c r="G1174" s="12">
        <v>3</v>
      </c>
      <c r="H1174" s="12">
        <v>38.39</v>
      </c>
      <c r="I1174" s="12">
        <v>115.17</v>
      </c>
      <c r="J1174" s="12">
        <v>69891.570000000022</v>
      </c>
      <c r="K1174">
        <f t="shared" si="54"/>
        <v>8</v>
      </c>
      <c r="L1174">
        <f t="shared" si="55"/>
        <v>1</v>
      </c>
      <c r="M1174">
        <f t="shared" si="56"/>
        <v>1</v>
      </c>
    </row>
    <row r="1175" spans="1:13" x14ac:dyDescent="0.25">
      <c r="A1175" s="2" t="s">
        <v>664</v>
      </c>
      <c r="B1175" s="11" t="s">
        <v>1125</v>
      </c>
      <c r="C1175" s="11" t="s">
        <v>4</v>
      </c>
      <c r="D1175" s="11" t="s">
        <v>1126</v>
      </c>
      <c r="E1175" s="11" t="s">
        <v>1096</v>
      </c>
      <c r="F1175" s="11" t="s">
        <v>1096</v>
      </c>
      <c r="G1175" s="12">
        <v>3</v>
      </c>
      <c r="H1175" s="12">
        <v>12.6</v>
      </c>
      <c r="I1175" s="12">
        <v>37.799999999999997</v>
      </c>
      <c r="J1175" s="12">
        <v>69929.370000000024</v>
      </c>
      <c r="K1175">
        <f t="shared" si="54"/>
        <v>3</v>
      </c>
      <c r="L1175">
        <f t="shared" si="55"/>
        <v>1</v>
      </c>
      <c r="M1175">
        <f t="shared" si="56"/>
        <v>1</v>
      </c>
    </row>
    <row r="1176" spans="1:13" x14ac:dyDescent="0.25">
      <c r="A1176" s="2" t="s">
        <v>664</v>
      </c>
      <c r="B1176" s="11" t="s">
        <v>1125</v>
      </c>
      <c r="C1176" s="11" t="s">
        <v>4</v>
      </c>
      <c r="D1176" s="11" t="s">
        <v>1126</v>
      </c>
      <c r="E1176" s="11" t="s">
        <v>1099</v>
      </c>
      <c r="F1176" s="11" t="s">
        <v>1099</v>
      </c>
      <c r="G1176" s="12">
        <v>2</v>
      </c>
      <c r="H1176" s="12">
        <v>12.6</v>
      </c>
      <c r="I1176" s="12">
        <v>25.2</v>
      </c>
      <c r="J1176" s="12">
        <v>69954.570000000022</v>
      </c>
      <c r="K1176">
        <f t="shared" si="54"/>
        <v>3</v>
      </c>
      <c r="L1176">
        <f t="shared" si="55"/>
        <v>1</v>
      </c>
      <c r="M1176">
        <f t="shared" si="56"/>
        <v>1</v>
      </c>
    </row>
    <row r="1177" spans="1:13" x14ac:dyDescent="0.25">
      <c r="A1177" s="2" t="s">
        <v>664</v>
      </c>
      <c r="B1177" s="11" t="s">
        <v>1125</v>
      </c>
      <c r="C1177" s="11" t="s">
        <v>4</v>
      </c>
      <c r="D1177" s="11" t="s">
        <v>1126</v>
      </c>
      <c r="E1177" s="11" t="s">
        <v>855</v>
      </c>
      <c r="F1177" s="11" t="s">
        <v>1053</v>
      </c>
      <c r="G1177" s="12">
        <v>2</v>
      </c>
      <c r="H1177" s="12">
        <v>13.2</v>
      </c>
      <c r="I1177" s="12">
        <v>26.4</v>
      </c>
      <c r="J1177" s="12">
        <v>69980.970000000016</v>
      </c>
      <c r="K1177">
        <f t="shared" si="54"/>
        <v>4</v>
      </c>
      <c r="L1177">
        <f t="shared" si="55"/>
        <v>1</v>
      </c>
      <c r="M1177">
        <f t="shared" si="56"/>
        <v>1</v>
      </c>
    </row>
    <row r="1178" spans="1:13" x14ac:dyDescent="0.25">
      <c r="A1178" s="2" t="s">
        <v>664</v>
      </c>
      <c r="B1178" s="11" t="s">
        <v>1125</v>
      </c>
      <c r="C1178" s="11" t="s">
        <v>4</v>
      </c>
      <c r="D1178" s="11" t="s">
        <v>1126</v>
      </c>
      <c r="E1178" s="11" t="s">
        <v>756</v>
      </c>
      <c r="F1178" s="11" t="s">
        <v>1003</v>
      </c>
      <c r="G1178" s="12">
        <v>4</v>
      </c>
      <c r="H1178" s="12">
        <v>13.2</v>
      </c>
      <c r="I1178" s="12">
        <v>52.8</v>
      </c>
      <c r="J1178" s="12">
        <v>70033.770000000019</v>
      </c>
      <c r="K1178">
        <f t="shared" si="54"/>
        <v>8</v>
      </c>
      <c r="L1178">
        <f t="shared" si="55"/>
        <v>1</v>
      </c>
      <c r="M1178">
        <f t="shared" si="56"/>
        <v>1</v>
      </c>
    </row>
    <row r="1179" spans="1:13" x14ac:dyDescent="0.25">
      <c r="A1179" s="2" t="s">
        <v>664</v>
      </c>
      <c r="B1179" s="11" t="s">
        <v>1125</v>
      </c>
      <c r="C1179" s="11" t="s">
        <v>4</v>
      </c>
      <c r="D1179" s="11" t="s">
        <v>1126</v>
      </c>
      <c r="E1179" s="11" t="s">
        <v>857</v>
      </c>
      <c r="F1179" s="11" t="s">
        <v>1054</v>
      </c>
      <c r="G1179" s="12">
        <v>2</v>
      </c>
      <c r="H1179" s="12">
        <v>13.2</v>
      </c>
      <c r="I1179" s="12">
        <v>26.4</v>
      </c>
      <c r="J1179" s="12">
        <v>70060.170000000013</v>
      </c>
      <c r="K1179">
        <f t="shared" si="54"/>
        <v>3</v>
      </c>
      <c r="L1179">
        <f t="shared" si="55"/>
        <v>1</v>
      </c>
      <c r="M1179">
        <f t="shared" si="56"/>
        <v>1</v>
      </c>
    </row>
    <row r="1180" spans="1:13" x14ac:dyDescent="0.25">
      <c r="A1180" s="2" t="s">
        <v>664</v>
      </c>
      <c r="B1180" s="11" t="s">
        <v>1125</v>
      </c>
      <c r="C1180" s="11" t="s">
        <v>4</v>
      </c>
      <c r="D1180" s="11" t="s">
        <v>1126</v>
      </c>
      <c r="E1180" s="11" t="s">
        <v>1056</v>
      </c>
      <c r="F1180" s="11" t="s">
        <v>1057</v>
      </c>
      <c r="G1180" s="12">
        <v>5</v>
      </c>
      <c r="H1180" s="12">
        <v>13.2</v>
      </c>
      <c r="I1180" s="12">
        <v>66</v>
      </c>
      <c r="J1180" s="12">
        <v>70126.170000000013</v>
      </c>
      <c r="K1180">
        <f t="shared" si="54"/>
        <v>2</v>
      </c>
      <c r="L1180">
        <f t="shared" si="55"/>
        <v>1</v>
      </c>
      <c r="M1180">
        <f t="shared" si="56"/>
        <v>1</v>
      </c>
    </row>
    <row r="1181" spans="1:13" x14ac:dyDescent="0.25">
      <c r="A1181" s="2" t="s">
        <v>664</v>
      </c>
      <c r="B1181" s="11" t="s">
        <v>1125</v>
      </c>
      <c r="C1181" s="11" t="s">
        <v>4</v>
      </c>
      <c r="D1181" s="11" t="s">
        <v>1126</v>
      </c>
      <c r="E1181" s="11" t="s">
        <v>738</v>
      </c>
      <c r="F1181" s="11" t="s">
        <v>738</v>
      </c>
      <c r="G1181" s="12">
        <v>8</v>
      </c>
      <c r="H1181" s="12">
        <v>9.07</v>
      </c>
      <c r="I1181" s="12">
        <v>72.56</v>
      </c>
      <c r="J1181" s="12">
        <v>70198.73000000001</v>
      </c>
      <c r="K1181">
        <f t="shared" si="54"/>
        <v>7</v>
      </c>
      <c r="L1181">
        <f t="shared" si="55"/>
        <v>1</v>
      </c>
      <c r="M1181">
        <f t="shared" si="56"/>
        <v>1</v>
      </c>
    </row>
    <row r="1182" spans="1:13" x14ac:dyDescent="0.25">
      <c r="A1182" s="2" t="s">
        <v>664</v>
      </c>
      <c r="B1182" s="11" t="s">
        <v>1125</v>
      </c>
      <c r="C1182" s="11" t="s">
        <v>4</v>
      </c>
      <c r="D1182" s="11" t="s">
        <v>1126</v>
      </c>
      <c r="E1182" s="11" t="s">
        <v>863</v>
      </c>
      <c r="F1182" s="11" t="s">
        <v>960</v>
      </c>
      <c r="G1182" s="12">
        <v>4</v>
      </c>
      <c r="H1182" s="12">
        <v>52.52</v>
      </c>
      <c r="I1182" s="12">
        <v>210.08</v>
      </c>
      <c r="J1182" s="12">
        <v>70408.810000000012</v>
      </c>
      <c r="K1182">
        <f t="shared" si="54"/>
        <v>7</v>
      </c>
      <c r="L1182">
        <f t="shared" si="55"/>
        <v>1</v>
      </c>
      <c r="M1182">
        <f t="shared" si="56"/>
        <v>1</v>
      </c>
    </row>
    <row r="1183" spans="1:13" x14ac:dyDescent="0.25">
      <c r="A1183" s="2" t="s">
        <v>664</v>
      </c>
      <c r="B1183" s="11" t="s">
        <v>1125</v>
      </c>
      <c r="C1183" s="11" t="s">
        <v>4</v>
      </c>
      <c r="D1183" s="11" t="s">
        <v>1126</v>
      </c>
      <c r="E1183" s="11" t="s">
        <v>739</v>
      </c>
      <c r="F1183" s="11" t="s">
        <v>964</v>
      </c>
      <c r="G1183" s="12">
        <v>18</v>
      </c>
      <c r="H1183" s="12">
        <v>14</v>
      </c>
      <c r="I1183" s="12">
        <v>252</v>
      </c>
      <c r="J1183" s="12">
        <v>70660.810000000012</v>
      </c>
      <c r="K1183">
        <f t="shared" si="54"/>
        <v>7</v>
      </c>
      <c r="L1183">
        <f t="shared" si="55"/>
        <v>1</v>
      </c>
      <c r="M1183">
        <f t="shared" si="56"/>
        <v>1</v>
      </c>
    </row>
    <row r="1184" spans="1:13" x14ac:dyDescent="0.25">
      <c r="A1184" s="2" t="s">
        <v>664</v>
      </c>
      <c r="B1184" s="11" t="s">
        <v>1125</v>
      </c>
      <c r="C1184" s="11" t="s">
        <v>4</v>
      </c>
      <c r="D1184" s="11" t="s">
        <v>1126</v>
      </c>
      <c r="E1184" s="11" t="s">
        <v>741</v>
      </c>
      <c r="F1184" s="11" t="s">
        <v>1065</v>
      </c>
      <c r="G1184" s="12">
        <v>3</v>
      </c>
      <c r="H1184" s="12">
        <v>14</v>
      </c>
      <c r="I1184" s="12">
        <v>42</v>
      </c>
      <c r="J1184" s="12">
        <v>70702.810000000012</v>
      </c>
      <c r="K1184">
        <f t="shared" si="54"/>
        <v>7</v>
      </c>
      <c r="L1184">
        <f t="shared" si="55"/>
        <v>1</v>
      </c>
      <c r="M1184">
        <f t="shared" si="56"/>
        <v>1</v>
      </c>
    </row>
    <row r="1185" spans="1:13" x14ac:dyDescent="0.25">
      <c r="A1185" s="2" t="s">
        <v>664</v>
      </c>
      <c r="B1185" s="11" t="s">
        <v>1125</v>
      </c>
      <c r="C1185" s="11" t="s">
        <v>4</v>
      </c>
      <c r="D1185" s="11" t="s">
        <v>1126</v>
      </c>
      <c r="E1185" s="11" t="s">
        <v>1068</v>
      </c>
      <c r="F1185" s="11" t="s">
        <v>1069</v>
      </c>
      <c r="G1185" s="12">
        <v>3</v>
      </c>
      <c r="H1185" s="12">
        <v>14</v>
      </c>
      <c r="I1185" s="12">
        <v>42</v>
      </c>
      <c r="J1185" s="12">
        <v>70744.810000000012</v>
      </c>
      <c r="K1185">
        <f t="shared" si="54"/>
        <v>5</v>
      </c>
      <c r="L1185">
        <f t="shared" si="55"/>
        <v>1</v>
      </c>
      <c r="M1185">
        <f t="shared" si="56"/>
        <v>1</v>
      </c>
    </row>
    <row r="1186" spans="1:13" x14ac:dyDescent="0.25">
      <c r="A1186" s="2" t="s">
        <v>664</v>
      </c>
      <c r="B1186" s="11" t="s">
        <v>1125</v>
      </c>
      <c r="C1186" s="11" t="s">
        <v>4</v>
      </c>
      <c r="D1186" s="11" t="s">
        <v>1126</v>
      </c>
      <c r="E1186" s="11" t="s">
        <v>788</v>
      </c>
      <c r="F1186" s="11" t="s">
        <v>968</v>
      </c>
      <c r="G1186" s="12">
        <v>3</v>
      </c>
      <c r="H1186" s="12">
        <v>12.84</v>
      </c>
      <c r="I1186" s="12">
        <v>38.520000000000003</v>
      </c>
      <c r="J1186" s="12">
        <v>70783.330000000016</v>
      </c>
      <c r="K1186">
        <f t="shared" si="54"/>
        <v>6</v>
      </c>
      <c r="L1186">
        <f t="shared" si="55"/>
        <v>1</v>
      </c>
      <c r="M1186">
        <f t="shared" si="56"/>
        <v>1</v>
      </c>
    </row>
    <row r="1187" spans="1:13" x14ac:dyDescent="0.25">
      <c r="A1187" s="2" t="s">
        <v>664</v>
      </c>
      <c r="B1187" s="11" t="s">
        <v>1125</v>
      </c>
      <c r="C1187" s="11" t="s">
        <v>4</v>
      </c>
      <c r="D1187" s="11" t="s">
        <v>1126</v>
      </c>
      <c r="E1187" s="11" t="s">
        <v>1010</v>
      </c>
      <c r="F1187" s="11" t="s">
        <v>1070</v>
      </c>
      <c r="G1187" s="12">
        <v>3</v>
      </c>
      <c r="H1187" s="12">
        <v>14</v>
      </c>
      <c r="I1187" s="12">
        <v>42</v>
      </c>
      <c r="J1187" s="12">
        <v>70825.330000000016</v>
      </c>
      <c r="K1187">
        <f t="shared" si="54"/>
        <v>4</v>
      </c>
      <c r="L1187">
        <f t="shared" si="55"/>
        <v>1</v>
      </c>
      <c r="M1187">
        <f t="shared" si="56"/>
        <v>1</v>
      </c>
    </row>
    <row r="1188" spans="1:13" x14ac:dyDescent="0.25">
      <c r="A1188" s="2" t="s">
        <v>664</v>
      </c>
      <c r="B1188" s="11" t="s">
        <v>1125</v>
      </c>
      <c r="C1188" s="11" t="s">
        <v>4</v>
      </c>
      <c r="D1188" s="11" t="s">
        <v>1126</v>
      </c>
      <c r="E1188" s="11" t="s">
        <v>1139</v>
      </c>
      <c r="F1188" s="11" t="s">
        <v>1140</v>
      </c>
      <c r="G1188" s="12">
        <v>3</v>
      </c>
      <c r="H1188" s="12">
        <v>9</v>
      </c>
      <c r="I1188" s="12">
        <v>27</v>
      </c>
      <c r="J1188" s="12">
        <v>70852.330000000016</v>
      </c>
      <c r="K1188">
        <f t="shared" si="54"/>
        <v>1</v>
      </c>
      <c r="L1188">
        <f t="shared" si="55"/>
        <v>1</v>
      </c>
      <c r="M1188">
        <f t="shared" si="56"/>
        <v>1</v>
      </c>
    </row>
    <row r="1189" spans="1:13" x14ac:dyDescent="0.25">
      <c r="A1189" s="2" t="s">
        <v>664</v>
      </c>
      <c r="B1189" s="11" t="s">
        <v>1125</v>
      </c>
      <c r="C1189" s="11" t="s">
        <v>4</v>
      </c>
      <c r="D1189" s="11" t="s">
        <v>1126</v>
      </c>
      <c r="E1189" s="11" t="s">
        <v>62</v>
      </c>
      <c r="F1189" s="11" t="s">
        <v>63</v>
      </c>
      <c r="G1189" s="12">
        <v>10</v>
      </c>
      <c r="H1189" s="12">
        <v>13.57</v>
      </c>
      <c r="I1189" s="12">
        <v>135.69999999999999</v>
      </c>
      <c r="J1189" s="12">
        <v>70988.030000000013</v>
      </c>
      <c r="K1189">
        <f t="shared" si="54"/>
        <v>8</v>
      </c>
      <c r="L1189">
        <f t="shared" si="55"/>
        <v>1</v>
      </c>
      <c r="M1189">
        <f t="shared" si="56"/>
        <v>1</v>
      </c>
    </row>
    <row r="1190" spans="1:13" x14ac:dyDescent="0.25">
      <c r="A1190" s="2" t="s">
        <v>664</v>
      </c>
      <c r="B1190" s="11" t="s">
        <v>1125</v>
      </c>
      <c r="C1190" s="11" t="s">
        <v>4</v>
      </c>
      <c r="D1190" s="11" t="s">
        <v>1126</v>
      </c>
      <c r="E1190" s="11" t="s">
        <v>56</v>
      </c>
      <c r="F1190" s="11" t="s">
        <v>57</v>
      </c>
      <c r="G1190" s="12">
        <v>2</v>
      </c>
      <c r="H1190" s="12">
        <v>51.1</v>
      </c>
      <c r="I1190" s="12">
        <v>102.2</v>
      </c>
      <c r="J1190" s="12">
        <v>71090.23000000001</v>
      </c>
      <c r="K1190">
        <f t="shared" si="54"/>
        <v>9</v>
      </c>
      <c r="L1190">
        <f t="shared" si="55"/>
        <v>1</v>
      </c>
      <c r="M1190">
        <f t="shared" si="56"/>
        <v>1</v>
      </c>
    </row>
    <row r="1191" spans="1:13" x14ac:dyDescent="0.25">
      <c r="A1191" s="2" t="s">
        <v>664</v>
      </c>
      <c r="B1191" s="11" t="s">
        <v>1125</v>
      </c>
      <c r="C1191" s="11" t="s">
        <v>4</v>
      </c>
      <c r="D1191" s="11" t="s">
        <v>1126</v>
      </c>
      <c r="E1191" s="11" t="s">
        <v>58</v>
      </c>
      <c r="F1191" s="11" t="s">
        <v>59</v>
      </c>
      <c r="G1191" s="12">
        <v>2</v>
      </c>
      <c r="H1191" s="12">
        <v>57.39</v>
      </c>
      <c r="I1191" s="12">
        <v>114.78</v>
      </c>
      <c r="J1191" s="12">
        <v>71205.010000000009</v>
      </c>
      <c r="K1191">
        <f t="shared" si="54"/>
        <v>9</v>
      </c>
      <c r="L1191">
        <f t="shared" si="55"/>
        <v>1</v>
      </c>
      <c r="M1191">
        <f t="shared" si="56"/>
        <v>1</v>
      </c>
    </row>
    <row r="1192" spans="1:13" x14ac:dyDescent="0.25">
      <c r="A1192" s="2" t="s">
        <v>664</v>
      </c>
      <c r="B1192" s="11" t="s">
        <v>1125</v>
      </c>
      <c r="C1192" s="11" t="s">
        <v>4</v>
      </c>
      <c r="D1192" s="11" t="s">
        <v>1126</v>
      </c>
      <c r="E1192" s="11" t="s">
        <v>348</v>
      </c>
      <c r="F1192" s="11" t="s">
        <v>433</v>
      </c>
      <c r="G1192" s="12">
        <v>8</v>
      </c>
      <c r="H1192" s="12">
        <v>18.32</v>
      </c>
      <c r="I1192" s="12">
        <v>146.56</v>
      </c>
      <c r="J1192" s="12">
        <v>71351.570000000007</v>
      </c>
      <c r="K1192">
        <f t="shared" si="54"/>
        <v>7</v>
      </c>
      <c r="L1192">
        <f t="shared" si="55"/>
        <v>1</v>
      </c>
      <c r="M1192">
        <f t="shared" si="56"/>
        <v>1</v>
      </c>
    </row>
    <row r="1193" spans="1:13" x14ac:dyDescent="0.25">
      <c r="A1193" s="2" t="s">
        <v>664</v>
      </c>
      <c r="B1193" s="11" t="s">
        <v>1125</v>
      </c>
      <c r="C1193" s="11" t="s">
        <v>4</v>
      </c>
      <c r="D1193" s="11" t="s">
        <v>1126</v>
      </c>
      <c r="E1193" s="11" t="s">
        <v>799</v>
      </c>
      <c r="F1193" s="11" t="s">
        <v>1141</v>
      </c>
      <c r="G1193" s="12">
        <v>5</v>
      </c>
      <c r="H1193" s="12">
        <v>26.4</v>
      </c>
      <c r="I1193" s="12">
        <v>132</v>
      </c>
      <c r="J1193" s="12">
        <v>71483.570000000007</v>
      </c>
      <c r="K1193">
        <f t="shared" si="54"/>
        <v>3</v>
      </c>
      <c r="L1193">
        <f t="shared" si="55"/>
        <v>1</v>
      </c>
      <c r="M1193">
        <f t="shared" si="56"/>
        <v>1</v>
      </c>
    </row>
    <row r="1194" spans="1:13" x14ac:dyDescent="0.25">
      <c r="A1194" s="2" t="s">
        <v>664</v>
      </c>
      <c r="B1194" s="11" t="s">
        <v>1125</v>
      </c>
      <c r="C1194" s="11" t="s">
        <v>4</v>
      </c>
      <c r="D1194" s="11" t="s">
        <v>1126</v>
      </c>
      <c r="E1194" s="11" t="s">
        <v>803</v>
      </c>
      <c r="F1194" s="11" t="s">
        <v>1016</v>
      </c>
      <c r="G1194" s="12">
        <v>3</v>
      </c>
      <c r="H1194" s="12">
        <v>22</v>
      </c>
      <c r="I1194" s="12">
        <v>66</v>
      </c>
      <c r="J1194" s="12">
        <v>71549.570000000007</v>
      </c>
      <c r="K1194">
        <f t="shared" si="54"/>
        <v>8</v>
      </c>
      <c r="L1194">
        <f t="shared" si="55"/>
        <v>1</v>
      </c>
      <c r="M1194">
        <f t="shared" si="56"/>
        <v>1</v>
      </c>
    </row>
    <row r="1195" spans="1:13" x14ac:dyDescent="0.25">
      <c r="A1195" s="2" t="s">
        <v>664</v>
      </c>
      <c r="B1195" s="11" t="s">
        <v>1125</v>
      </c>
      <c r="C1195" s="11" t="s">
        <v>4</v>
      </c>
      <c r="D1195" s="11" t="s">
        <v>1126</v>
      </c>
      <c r="E1195" s="11" t="s">
        <v>902</v>
      </c>
      <c r="F1195" s="11" t="s">
        <v>1017</v>
      </c>
      <c r="G1195" s="12">
        <v>2</v>
      </c>
      <c r="H1195" s="12">
        <v>72.72</v>
      </c>
      <c r="I1195" s="12">
        <v>145.44</v>
      </c>
      <c r="J1195" s="12">
        <v>71695.010000000009</v>
      </c>
      <c r="K1195">
        <f t="shared" si="54"/>
        <v>4</v>
      </c>
      <c r="L1195">
        <f t="shared" si="55"/>
        <v>1</v>
      </c>
      <c r="M1195">
        <f t="shared" si="56"/>
        <v>1</v>
      </c>
    </row>
    <row r="1196" spans="1:13" x14ac:dyDescent="0.25">
      <c r="A1196" s="2" t="s">
        <v>664</v>
      </c>
      <c r="B1196" s="11" t="s">
        <v>1125</v>
      </c>
      <c r="C1196" s="11" t="s">
        <v>4</v>
      </c>
      <c r="D1196" s="11" t="s">
        <v>1126</v>
      </c>
      <c r="E1196" s="11" t="s">
        <v>748</v>
      </c>
      <c r="F1196" s="11" t="s">
        <v>1142</v>
      </c>
      <c r="G1196" s="12">
        <v>1</v>
      </c>
      <c r="H1196" s="12">
        <v>78</v>
      </c>
      <c r="I1196" s="12">
        <v>78</v>
      </c>
      <c r="J1196" s="12">
        <v>71773.010000000009</v>
      </c>
      <c r="K1196">
        <f t="shared" si="54"/>
        <v>4</v>
      </c>
      <c r="L1196">
        <f t="shared" si="55"/>
        <v>1</v>
      </c>
      <c r="M1196">
        <f t="shared" si="56"/>
        <v>1</v>
      </c>
    </row>
    <row r="1197" spans="1:13" x14ac:dyDescent="0.25">
      <c r="A1197" s="2" t="s">
        <v>664</v>
      </c>
      <c r="B1197" s="11" t="s">
        <v>1125</v>
      </c>
      <c r="C1197" s="11" t="s">
        <v>4</v>
      </c>
      <c r="D1197" s="11" t="s">
        <v>1126</v>
      </c>
      <c r="E1197" s="11" t="s">
        <v>904</v>
      </c>
      <c r="F1197" s="11" t="s">
        <v>1073</v>
      </c>
      <c r="G1197" s="12">
        <v>1</v>
      </c>
      <c r="H1197" s="12">
        <v>27</v>
      </c>
      <c r="I1197" s="12">
        <v>27</v>
      </c>
      <c r="J1197" s="12">
        <v>71800.010000000009</v>
      </c>
      <c r="K1197">
        <f t="shared" si="54"/>
        <v>5</v>
      </c>
      <c r="L1197">
        <f t="shared" si="55"/>
        <v>1</v>
      </c>
      <c r="M1197">
        <f t="shared" si="56"/>
        <v>1</v>
      </c>
    </row>
    <row r="1198" spans="1:13" x14ac:dyDescent="0.25">
      <c r="A1198" s="2" t="s">
        <v>664</v>
      </c>
      <c r="B1198" s="11" t="s">
        <v>1125</v>
      </c>
      <c r="C1198" s="11" t="s">
        <v>4</v>
      </c>
      <c r="D1198" s="11" t="s">
        <v>1126</v>
      </c>
      <c r="E1198" s="11" t="s">
        <v>910</v>
      </c>
      <c r="F1198" s="11" t="s">
        <v>976</v>
      </c>
      <c r="G1198" s="12">
        <v>2</v>
      </c>
      <c r="H1198" s="12">
        <v>42.24</v>
      </c>
      <c r="I1198" s="12">
        <v>84.48</v>
      </c>
      <c r="J1198" s="12">
        <v>71884.490000000005</v>
      </c>
      <c r="K1198">
        <f t="shared" si="54"/>
        <v>6</v>
      </c>
      <c r="L1198">
        <f t="shared" si="55"/>
        <v>1</v>
      </c>
      <c r="M1198">
        <f t="shared" si="56"/>
        <v>1</v>
      </c>
    </row>
    <row r="1199" spans="1:13" x14ac:dyDescent="0.25">
      <c r="A1199" s="2" t="s">
        <v>664</v>
      </c>
      <c r="B1199" s="11" t="s">
        <v>1125</v>
      </c>
      <c r="C1199" s="11" t="s">
        <v>4</v>
      </c>
      <c r="D1199" s="11" t="s">
        <v>1126</v>
      </c>
      <c r="E1199" s="11" t="s">
        <v>914</v>
      </c>
      <c r="F1199" s="11" t="s">
        <v>977</v>
      </c>
      <c r="G1199" s="12">
        <v>1</v>
      </c>
      <c r="H1199" s="12">
        <v>49.95</v>
      </c>
      <c r="I1199" s="12">
        <v>49.95</v>
      </c>
      <c r="J1199" s="12">
        <v>71934.44</v>
      </c>
      <c r="K1199">
        <f t="shared" si="54"/>
        <v>5</v>
      </c>
      <c r="L1199">
        <f t="shared" si="55"/>
        <v>1</v>
      </c>
      <c r="M1199">
        <f t="shared" si="56"/>
        <v>1</v>
      </c>
    </row>
    <row r="1200" spans="1:13" x14ac:dyDescent="0.25">
      <c r="A1200" s="2" t="s">
        <v>664</v>
      </c>
      <c r="B1200" s="11" t="s">
        <v>1125</v>
      </c>
      <c r="C1200" s="11" t="s">
        <v>4</v>
      </c>
      <c r="D1200" s="11" t="s">
        <v>1126</v>
      </c>
      <c r="E1200" s="11" t="s">
        <v>1119</v>
      </c>
      <c r="F1200" s="11" t="s">
        <v>1120</v>
      </c>
      <c r="G1200" s="12">
        <v>2</v>
      </c>
      <c r="H1200" s="12">
        <v>25.02</v>
      </c>
      <c r="I1200" s="12">
        <v>50.04</v>
      </c>
      <c r="J1200" s="12">
        <v>71984.479999999996</v>
      </c>
      <c r="K1200">
        <f t="shared" si="54"/>
        <v>3</v>
      </c>
      <c r="L1200">
        <f t="shared" si="55"/>
        <v>1</v>
      </c>
      <c r="M1200">
        <f t="shared" si="56"/>
        <v>1</v>
      </c>
    </row>
    <row r="1201" spans="1:13" x14ac:dyDescent="0.25">
      <c r="A1201" s="2" t="s">
        <v>664</v>
      </c>
      <c r="B1201" s="11" t="s">
        <v>1125</v>
      </c>
      <c r="C1201" s="11" t="s">
        <v>4</v>
      </c>
      <c r="D1201" s="11" t="s">
        <v>1126</v>
      </c>
      <c r="E1201" s="11" t="s">
        <v>1110</v>
      </c>
      <c r="F1201" s="11" t="s">
        <v>1111</v>
      </c>
      <c r="G1201" s="12">
        <v>2</v>
      </c>
      <c r="H1201" s="12">
        <v>23.76</v>
      </c>
      <c r="I1201" s="12">
        <v>47.52</v>
      </c>
      <c r="J1201" s="12">
        <v>72032</v>
      </c>
      <c r="K1201">
        <f t="shared" si="54"/>
        <v>2</v>
      </c>
      <c r="L1201">
        <f t="shared" si="55"/>
        <v>1</v>
      </c>
      <c r="M1201">
        <f t="shared" si="56"/>
        <v>1</v>
      </c>
    </row>
    <row r="1202" spans="1:13" x14ac:dyDescent="0.25">
      <c r="A1202" s="2" t="s">
        <v>664</v>
      </c>
      <c r="B1202" s="11" t="s">
        <v>1125</v>
      </c>
      <c r="C1202" s="11" t="s">
        <v>4</v>
      </c>
      <c r="D1202" s="11" t="s">
        <v>1126</v>
      </c>
      <c r="E1202" s="11" t="s">
        <v>1123</v>
      </c>
      <c r="F1202" s="11" t="s">
        <v>1143</v>
      </c>
      <c r="G1202" s="12">
        <v>2</v>
      </c>
      <c r="H1202" s="12">
        <v>55.8</v>
      </c>
      <c r="I1202" s="12">
        <v>111.6</v>
      </c>
      <c r="J1202" s="12">
        <v>72143.600000000006</v>
      </c>
      <c r="K1202">
        <f t="shared" si="54"/>
        <v>3</v>
      </c>
      <c r="L1202">
        <f t="shared" si="55"/>
        <v>1</v>
      </c>
      <c r="M1202">
        <f t="shared" si="56"/>
        <v>1</v>
      </c>
    </row>
    <row r="1203" spans="1:13" x14ac:dyDescent="0.25">
      <c r="A1203" s="2" t="s">
        <v>664</v>
      </c>
      <c r="B1203" s="11" t="s">
        <v>1125</v>
      </c>
      <c r="C1203" s="11" t="s">
        <v>4</v>
      </c>
      <c r="D1203" s="11" t="s">
        <v>1126</v>
      </c>
      <c r="E1203" s="11" t="s">
        <v>809</v>
      </c>
      <c r="F1203" s="11" t="s">
        <v>1144</v>
      </c>
      <c r="G1203" s="12">
        <v>6</v>
      </c>
      <c r="H1203" s="12">
        <v>32.74</v>
      </c>
      <c r="I1203" s="12">
        <v>196.44</v>
      </c>
      <c r="J1203" s="12">
        <v>72340.040000000008</v>
      </c>
      <c r="K1203">
        <f t="shared" si="54"/>
        <v>7</v>
      </c>
      <c r="L1203">
        <f t="shared" si="55"/>
        <v>1</v>
      </c>
      <c r="M1203">
        <f t="shared" si="56"/>
        <v>1</v>
      </c>
    </row>
    <row r="1204" spans="1:13" x14ac:dyDescent="0.25">
      <c r="A1204" s="2" t="s">
        <v>664</v>
      </c>
      <c r="B1204" s="11" t="s">
        <v>1125</v>
      </c>
      <c r="C1204" s="11" t="s">
        <v>4</v>
      </c>
      <c r="D1204" s="11" t="s">
        <v>1126</v>
      </c>
      <c r="E1204" s="11" t="s">
        <v>1145</v>
      </c>
      <c r="F1204" s="11" t="s">
        <v>1146</v>
      </c>
      <c r="G1204" s="12">
        <v>1</v>
      </c>
      <c r="H1204" s="12">
        <v>58.5</v>
      </c>
      <c r="I1204" s="12">
        <v>58.5</v>
      </c>
      <c r="J1204" s="12">
        <v>72398.540000000008</v>
      </c>
      <c r="K1204">
        <f t="shared" si="54"/>
        <v>1</v>
      </c>
      <c r="L1204">
        <f t="shared" si="55"/>
        <v>1</v>
      </c>
      <c r="M1204">
        <f t="shared" si="56"/>
        <v>1</v>
      </c>
    </row>
    <row r="1205" spans="1:13" x14ac:dyDescent="0.25">
      <c r="A1205" s="2" t="s">
        <v>664</v>
      </c>
      <c r="B1205" s="11" t="s">
        <v>1125</v>
      </c>
      <c r="C1205" s="11" t="s">
        <v>4</v>
      </c>
      <c r="D1205" s="11" t="s">
        <v>1126</v>
      </c>
      <c r="E1205" s="11" t="s">
        <v>811</v>
      </c>
      <c r="F1205" s="11" t="s">
        <v>1147</v>
      </c>
      <c r="G1205" s="12">
        <v>2</v>
      </c>
      <c r="H1205" s="12">
        <v>49.8</v>
      </c>
      <c r="I1205" s="12">
        <v>99.6</v>
      </c>
      <c r="J1205" s="12">
        <v>72498.140000000014</v>
      </c>
      <c r="K1205">
        <f t="shared" si="54"/>
        <v>5</v>
      </c>
      <c r="L1205">
        <f t="shared" si="55"/>
        <v>1</v>
      </c>
      <c r="M1205">
        <f t="shared" si="56"/>
        <v>1</v>
      </c>
    </row>
    <row r="1206" spans="1:13" x14ac:dyDescent="0.25">
      <c r="A1206" s="2" t="s">
        <v>664</v>
      </c>
      <c r="B1206" s="11" t="s">
        <v>1125</v>
      </c>
      <c r="C1206" s="11" t="s">
        <v>4</v>
      </c>
      <c r="D1206" s="11" t="s">
        <v>1126</v>
      </c>
      <c r="E1206" s="11" t="s">
        <v>813</v>
      </c>
      <c r="F1206" s="11" t="s">
        <v>1024</v>
      </c>
      <c r="G1206" s="12">
        <v>6</v>
      </c>
      <c r="H1206" s="12">
        <v>54.57</v>
      </c>
      <c r="I1206" s="12">
        <v>327.42</v>
      </c>
      <c r="J1206" s="12">
        <v>72825.560000000012</v>
      </c>
      <c r="K1206">
        <f t="shared" si="54"/>
        <v>7</v>
      </c>
      <c r="L1206">
        <f t="shared" si="55"/>
        <v>1</v>
      </c>
      <c r="M1206">
        <f t="shared" si="56"/>
        <v>1</v>
      </c>
    </row>
    <row r="1207" spans="1:13" x14ac:dyDescent="0.25">
      <c r="A1207" s="2" t="s">
        <v>664</v>
      </c>
      <c r="B1207" s="11" t="s">
        <v>1125</v>
      </c>
      <c r="C1207" s="11" t="s">
        <v>4</v>
      </c>
      <c r="D1207" s="11" t="s">
        <v>1126</v>
      </c>
      <c r="E1207" s="11" t="s">
        <v>815</v>
      </c>
      <c r="F1207" s="11" t="s">
        <v>1148</v>
      </c>
      <c r="G1207" s="12">
        <v>2</v>
      </c>
      <c r="H1207" s="12">
        <v>45</v>
      </c>
      <c r="I1207" s="12">
        <v>90</v>
      </c>
      <c r="J1207" s="12">
        <v>72915.560000000012</v>
      </c>
      <c r="K1207">
        <f t="shared" si="54"/>
        <v>5</v>
      </c>
      <c r="L1207">
        <f t="shared" si="55"/>
        <v>1</v>
      </c>
      <c r="M1207">
        <f t="shared" si="56"/>
        <v>1</v>
      </c>
    </row>
    <row r="1208" spans="1:13" x14ac:dyDescent="0.25">
      <c r="A1208" s="2" t="s">
        <v>664</v>
      </c>
      <c r="B1208" s="11" t="s">
        <v>1125</v>
      </c>
      <c r="C1208" s="11" t="s">
        <v>4</v>
      </c>
      <c r="D1208" s="11" t="s">
        <v>1126</v>
      </c>
      <c r="E1208" s="11" t="s">
        <v>774</v>
      </c>
      <c r="F1208" s="11" t="s">
        <v>981</v>
      </c>
      <c r="G1208" s="12">
        <v>5</v>
      </c>
      <c r="H1208" s="12">
        <v>26.4</v>
      </c>
      <c r="I1208" s="12">
        <v>132</v>
      </c>
      <c r="J1208" s="12">
        <v>73047.560000000012</v>
      </c>
      <c r="K1208">
        <f t="shared" si="54"/>
        <v>6</v>
      </c>
      <c r="L1208">
        <f t="shared" si="55"/>
        <v>1</v>
      </c>
      <c r="M1208">
        <f t="shared" si="56"/>
        <v>1</v>
      </c>
    </row>
    <row r="1209" spans="1:13" x14ac:dyDescent="0.25">
      <c r="A1209" s="2" t="s">
        <v>664</v>
      </c>
      <c r="B1209" s="11" t="s">
        <v>1125</v>
      </c>
      <c r="C1209" s="11" t="s">
        <v>4</v>
      </c>
      <c r="D1209" s="11" t="s">
        <v>1126</v>
      </c>
      <c r="E1209" s="11" t="s">
        <v>1149</v>
      </c>
      <c r="F1209" s="11" t="s">
        <v>1150</v>
      </c>
      <c r="G1209" s="12">
        <v>16</v>
      </c>
      <c r="H1209" s="12">
        <v>18</v>
      </c>
      <c r="I1209" s="12">
        <v>288</v>
      </c>
      <c r="J1209" s="12">
        <v>73335.560000000012</v>
      </c>
      <c r="K1209">
        <f t="shared" si="54"/>
        <v>1</v>
      </c>
      <c r="L1209">
        <f t="shared" si="55"/>
        <v>1</v>
      </c>
      <c r="M1209">
        <f t="shared" si="56"/>
        <v>1</v>
      </c>
    </row>
    <row r="1210" spans="1:13" x14ac:dyDescent="0.25">
      <c r="A1210" s="2" t="s">
        <v>664</v>
      </c>
      <c r="B1210" s="11" t="s">
        <v>1125</v>
      </c>
      <c r="C1210" s="11" t="s">
        <v>4</v>
      </c>
      <c r="D1210" s="11" t="s">
        <v>1126</v>
      </c>
      <c r="E1210" s="11" t="s">
        <v>656</v>
      </c>
      <c r="F1210" s="11" t="s">
        <v>657</v>
      </c>
      <c r="G1210" s="12">
        <v>20</v>
      </c>
      <c r="H1210" s="12">
        <v>36</v>
      </c>
      <c r="I1210" s="12">
        <v>720</v>
      </c>
      <c r="J1210" s="12">
        <v>74055.560000000012</v>
      </c>
      <c r="K1210">
        <f t="shared" si="54"/>
        <v>8</v>
      </c>
      <c r="L1210">
        <f t="shared" si="55"/>
        <v>1</v>
      </c>
      <c r="M1210">
        <f t="shared" si="56"/>
        <v>1</v>
      </c>
    </row>
    <row r="1211" spans="1:13" x14ac:dyDescent="0.25">
      <c r="A1211" s="2" t="s">
        <v>664</v>
      </c>
      <c r="B1211" s="11" t="s">
        <v>1125</v>
      </c>
      <c r="C1211" s="11" t="s">
        <v>4</v>
      </c>
      <c r="D1211" s="11" t="s">
        <v>1126</v>
      </c>
      <c r="E1211" s="11" t="s">
        <v>1018</v>
      </c>
      <c r="F1211" s="11" t="s">
        <v>1032</v>
      </c>
      <c r="G1211" s="12">
        <v>5</v>
      </c>
      <c r="H1211" s="12">
        <v>19.2</v>
      </c>
      <c r="I1211" s="12">
        <v>96</v>
      </c>
      <c r="J1211" s="12">
        <v>74151.560000000012</v>
      </c>
      <c r="K1211">
        <f t="shared" si="54"/>
        <v>4</v>
      </c>
      <c r="L1211">
        <f t="shared" si="55"/>
        <v>1</v>
      </c>
      <c r="M1211">
        <f t="shared" si="56"/>
        <v>1</v>
      </c>
    </row>
    <row r="1212" spans="1:13" x14ac:dyDescent="0.25">
      <c r="A1212" s="2" t="s">
        <v>664</v>
      </c>
      <c r="B1212" s="11" t="s">
        <v>1125</v>
      </c>
      <c r="C1212" s="11" t="s">
        <v>4</v>
      </c>
      <c r="D1212" s="11" t="s">
        <v>1126</v>
      </c>
      <c r="E1212" s="11" t="s">
        <v>1151</v>
      </c>
      <c r="F1212" s="11" t="s">
        <v>1152</v>
      </c>
      <c r="G1212" s="12">
        <v>6</v>
      </c>
      <c r="H1212" s="12">
        <v>26.84</v>
      </c>
      <c r="I1212" s="12">
        <v>161.04</v>
      </c>
      <c r="J1212" s="12">
        <v>74312.600000000006</v>
      </c>
      <c r="K1212">
        <f t="shared" si="54"/>
        <v>3</v>
      </c>
      <c r="L1212">
        <f t="shared" si="55"/>
        <v>1</v>
      </c>
      <c r="M1212">
        <f t="shared" si="56"/>
        <v>1</v>
      </c>
    </row>
    <row r="1213" spans="1:13" x14ac:dyDescent="0.25">
      <c r="A1213" s="2" t="s">
        <v>664</v>
      </c>
      <c r="B1213" s="11" t="s">
        <v>1153</v>
      </c>
      <c r="C1213" s="11" t="s">
        <v>4</v>
      </c>
      <c r="D1213" s="11" t="s">
        <v>1154</v>
      </c>
      <c r="E1213" s="11" t="s">
        <v>667</v>
      </c>
      <c r="F1213" s="11" t="s">
        <v>985</v>
      </c>
      <c r="G1213" s="12">
        <v>6</v>
      </c>
      <c r="H1213" s="12">
        <v>30.82</v>
      </c>
      <c r="I1213" s="12">
        <v>184.92</v>
      </c>
      <c r="J1213" s="12">
        <v>74497.52</v>
      </c>
      <c r="K1213">
        <f t="shared" si="54"/>
        <v>7</v>
      </c>
      <c r="L1213">
        <f t="shared" si="55"/>
        <v>1</v>
      </c>
      <c r="M1213">
        <f t="shared" si="56"/>
        <v>1</v>
      </c>
    </row>
    <row r="1214" spans="1:13" x14ac:dyDescent="0.25">
      <c r="A1214" s="2" t="s">
        <v>664</v>
      </c>
      <c r="B1214" s="11" t="s">
        <v>1153</v>
      </c>
      <c r="C1214" s="11" t="s">
        <v>4</v>
      </c>
      <c r="D1214" s="11" t="s">
        <v>1154</v>
      </c>
      <c r="E1214" s="11" t="s">
        <v>669</v>
      </c>
      <c r="F1214" s="11" t="s">
        <v>941</v>
      </c>
      <c r="G1214" s="12">
        <v>8</v>
      </c>
      <c r="H1214" s="12">
        <v>30.82</v>
      </c>
      <c r="I1214" s="12">
        <v>246.56</v>
      </c>
      <c r="J1214" s="12">
        <v>74744.08</v>
      </c>
      <c r="K1214">
        <f t="shared" si="54"/>
        <v>8</v>
      </c>
      <c r="L1214">
        <f t="shared" si="55"/>
        <v>1</v>
      </c>
      <c r="M1214">
        <f t="shared" si="56"/>
        <v>1</v>
      </c>
    </row>
    <row r="1215" spans="1:13" x14ac:dyDescent="0.25">
      <c r="A1215" s="2" t="s">
        <v>664</v>
      </c>
      <c r="B1215" s="11" t="s">
        <v>1153</v>
      </c>
      <c r="C1215" s="11" t="s">
        <v>4</v>
      </c>
      <c r="D1215" s="11" t="s">
        <v>1154</v>
      </c>
      <c r="E1215" s="11" t="s">
        <v>671</v>
      </c>
      <c r="F1215" s="11" t="s">
        <v>1035</v>
      </c>
      <c r="G1215" s="12">
        <v>4</v>
      </c>
      <c r="H1215" s="12">
        <v>33.119999999999997</v>
      </c>
      <c r="I1215" s="12">
        <v>132.47999999999999</v>
      </c>
      <c r="J1215" s="12">
        <v>74876.56</v>
      </c>
      <c r="K1215">
        <f t="shared" si="54"/>
        <v>7</v>
      </c>
      <c r="L1215">
        <f t="shared" si="55"/>
        <v>1</v>
      </c>
      <c r="M1215">
        <f t="shared" si="56"/>
        <v>1</v>
      </c>
    </row>
    <row r="1216" spans="1:13" x14ac:dyDescent="0.25">
      <c r="A1216" s="2" t="s">
        <v>664</v>
      </c>
      <c r="B1216" s="11" t="s">
        <v>1153</v>
      </c>
      <c r="C1216" s="11" t="s">
        <v>4</v>
      </c>
      <c r="D1216" s="11" t="s">
        <v>1154</v>
      </c>
      <c r="E1216" s="11" t="s">
        <v>823</v>
      </c>
      <c r="F1216" s="11" t="s">
        <v>1036</v>
      </c>
      <c r="G1216" s="12">
        <v>2</v>
      </c>
      <c r="H1216" s="12">
        <v>40.82</v>
      </c>
      <c r="I1216" s="12">
        <v>81.64</v>
      </c>
      <c r="J1216" s="12">
        <v>74958.2</v>
      </c>
      <c r="K1216">
        <f t="shared" si="54"/>
        <v>6</v>
      </c>
      <c r="L1216">
        <f t="shared" si="55"/>
        <v>1</v>
      </c>
      <c r="M1216">
        <f t="shared" si="56"/>
        <v>1</v>
      </c>
    </row>
    <row r="1217" spans="1:13" x14ac:dyDescent="0.25">
      <c r="A1217" s="2" t="s">
        <v>664</v>
      </c>
      <c r="B1217" s="11" t="s">
        <v>1153</v>
      </c>
      <c r="C1217" s="11" t="s">
        <v>4</v>
      </c>
      <c r="D1217" s="11" t="s">
        <v>1154</v>
      </c>
      <c r="E1217" s="11" t="s">
        <v>673</v>
      </c>
      <c r="F1217" s="11" t="s">
        <v>1037</v>
      </c>
      <c r="G1217" s="12">
        <v>2</v>
      </c>
      <c r="H1217" s="12">
        <v>33.380000000000003</v>
      </c>
      <c r="I1217" s="12">
        <v>66.760000000000005</v>
      </c>
      <c r="J1217" s="12">
        <v>75024.959999999992</v>
      </c>
      <c r="K1217">
        <f t="shared" si="54"/>
        <v>7</v>
      </c>
      <c r="L1217">
        <f t="shared" si="55"/>
        <v>1</v>
      </c>
      <c r="M1217">
        <f t="shared" si="56"/>
        <v>1</v>
      </c>
    </row>
    <row r="1218" spans="1:13" x14ac:dyDescent="0.25">
      <c r="A1218" s="2" t="s">
        <v>664</v>
      </c>
      <c r="B1218" s="11" t="s">
        <v>1153</v>
      </c>
      <c r="C1218" s="11" t="s">
        <v>4</v>
      </c>
      <c r="D1218" s="11" t="s">
        <v>1154</v>
      </c>
      <c r="E1218" s="11" t="s">
        <v>1155</v>
      </c>
      <c r="F1218" s="11" t="s">
        <v>1156</v>
      </c>
      <c r="G1218" s="12">
        <v>3</v>
      </c>
      <c r="H1218" s="12">
        <v>32.1</v>
      </c>
      <c r="I1218" s="12">
        <v>96.3</v>
      </c>
      <c r="J1218" s="12">
        <v>75121.259999999995</v>
      </c>
      <c r="K1218">
        <f t="shared" si="54"/>
        <v>4</v>
      </c>
      <c r="L1218">
        <f t="shared" si="55"/>
        <v>1</v>
      </c>
      <c r="M1218">
        <f t="shared" si="56"/>
        <v>1</v>
      </c>
    </row>
    <row r="1219" spans="1:13" x14ac:dyDescent="0.25">
      <c r="A1219" s="2" t="s">
        <v>664</v>
      </c>
      <c r="B1219" s="11" t="s">
        <v>1153</v>
      </c>
      <c r="C1219" s="11" t="s">
        <v>4</v>
      </c>
      <c r="D1219" s="11" t="s">
        <v>1154</v>
      </c>
      <c r="E1219" s="11" t="s">
        <v>1038</v>
      </c>
      <c r="F1219" s="11" t="s">
        <v>1039</v>
      </c>
      <c r="G1219" s="12">
        <v>4</v>
      </c>
      <c r="H1219" s="12">
        <v>32.1</v>
      </c>
      <c r="I1219" s="12">
        <v>128.4</v>
      </c>
      <c r="J1219" s="12">
        <v>75249.659999999989</v>
      </c>
      <c r="K1219">
        <f t="shared" ref="K1219:K1282" si="57">COUNTIF($E$2:$E$1466,E1219)</f>
        <v>3</v>
      </c>
      <c r="L1219">
        <f t="shared" ref="L1219:L1282" si="58">IF(G1219&gt;0,1,0)</f>
        <v>1</v>
      </c>
      <c r="M1219">
        <f t="shared" ref="M1219:M1282" si="59">IF(H1219&gt;0,1,0)</f>
        <v>1</v>
      </c>
    </row>
    <row r="1220" spans="1:13" x14ac:dyDescent="0.25">
      <c r="A1220" s="2" t="s">
        <v>664</v>
      </c>
      <c r="B1220" s="11" t="s">
        <v>1153</v>
      </c>
      <c r="C1220" s="11" t="s">
        <v>4</v>
      </c>
      <c r="D1220" s="11" t="s">
        <v>1154</v>
      </c>
      <c r="E1220" s="11" t="s">
        <v>675</v>
      </c>
      <c r="F1220" s="11" t="s">
        <v>1127</v>
      </c>
      <c r="G1220" s="12">
        <v>6</v>
      </c>
      <c r="H1220" s="12">
        <v>31.2</v>
      </c>
      <c r="I1220" s="12">
        <v>187.2</v>
      </c>
      <c r="J1220" s="12">
        <v>75436.859999999986</v>
      </c>
      <c r="K1220">
        <f t="shared" si="57"/>
        <v>6</v>
      </c>
      <c r="L1220">
        <f t="shared" si="58"/>
        <v>1</v>
      </c>
      <c r="M1220">
        <f t="shared" si="59"/>
        <v>1</v>
      </c>
    </row>
    <row r="1221" spans="1:13" x14ac:dyDescent="0.25">
      <c r="A1221" s="2" t="s">
        <v>664</v>
      </c>
      <c r="B1221" s="11" t="s">
        <v>1153</v>
      </c>
      <c r="C1221" s="11" t="s">
        <v>4</v>
      </c>
      <c r="D1221" s="11" t="s">
        <v>1154</v>
      </c>
      <c r="E1221" s="11" t="s">
        <v>1115</v>
      </c>
      <c r="F1221" s="11" t="s">
        <v>1116</v>
      </c>
      <c r="G1221" s="12">
        <v>2</v>
      </c>
      <c r="H1221" s="12">
        <v>30</v>
      </c>
      <c r="I1221" s="12">
        <v>60</v>
      </c>
      <c r="J1221" s="12">
        <v>75496.859999999986</v>
      </c>
      <c r="K1221">
        <f t="shared" si="57"/>
        <v>3</v>
      </c>
      <c r="L1221">
        <f t="shared" si="58"/>
        <v>1</v>
      </c>
      <c r="M1221">
        <f t="shared" si="59"/>
        <v>1</v>
      </c>
    </row>
    <row r="1222" spans="1:13" x14ac:dyDescent="0.25">
      <c r="A1222" s="2" t="s">
        <v>664</v>
      </c>
      <c r="B1222" s="11" t="s">
        <v>1153</v>
      </c>
      <c r="C1222" s="11" t="s">
        <v>4</v>
      </c>
      <c r="D1222" s="11" t="s">
        <v>1154</v>
      </c>
      <c r="E1222" s="11" t="s">
        <v>685</v>
      </c>
      <c r="F1222" s="11" t="s">
        <v>685</v>
      </c>
      <c r="G1222" s="12">
        <v>6</v>
      </c>
      <c r="H1222" s="12">
        <v>25.54</v>
      </c>
      <c r="I1222" s="12">
        <v>153.24</v>
      </c>
      <c r="J1222" s="12">
        <v>75650.099999999991</v>
      </c>
      <c r="K1222">
        <f t="shared" si="57"/>
        <v>5</v>
      </c>
      <c r="L1222">
        <f t="shared" si="58"/>
        <v>1</v>
      </c>
      <c r="M1222">
        <f t="shared" si="59"/>
        <v>1</v>
      </c>
    </row>
    <row r="1223" spans="1:13" x14ac:dyDescent="0.25">
      <c r="A1223" s="2" t="s">
        <v>664</v>
      </c>
      <c r="B1223" s="11" t="s">
        <v>1153</v>
      </c>
      <c r="C1223" s="11" t="s">
        <v>4</v>
      </c>
      <c r="D1223" s="11" t="s">
        <v>1154</v>
      </c>
      <c r="E1223" s="11" t="s">
        <v>828</v>
      </c>
      <c r="F1223" s="11" t="s">
        <v>987</v>
      </c>
      <c r="G1223" s="12">
        <v>2</v>
      </c>
      <c r="H1223" s="12">
        <v>28.88</v>
      </c>
      <c r="I1223" s="12">
        <v>57.76</v>
      </c>
      <c r="J1223" s="12">
        <v>75707.859999999986</v>
      </c>
      <c r="K1223">
        <f t="shared" si="57"/>
        <v>5</v>
      </c>
      <c r="L1223">
        <f t="shared" si="58"/>
        <v>1</v>
      </c>
      <c r="M1223">
        <f t="shared" si="59"/>
        <v>1</v>
      </c>
    </row>
    <row r="1224" spans="1:13" x14ac:dyDescent="0.25">
      <c r="A1224" s="2" t="s">
        <v>664</v>
      </c>
      <c r="B1224" s="11" t="s">
        <v>1153</v>
      </c>
      <c r="C1224" s="11" t="s">
        <v>4</v>
      </c>
      <c r="D1224" s="11" t="s">
        <v>1154</v>
      </c>
      <c r="E1224" s="11" t="s">
        <v>830</v>
      </c>
      <c r="F1224" s="11" t="s">
        <v>943</v>
      </c>
      <c r="G1224" s="12">
        <v>1</v>
      </c>
      <c r="H1224" s="12">
        <v>28.88</v>
      </c>
      <c r="I1224" s="12">
        <v>28.88</v>
      </c>
      <c r="J1224" s="12">
        <v>75736.739999999991</v>
      </c>
      <c r="K1224">
        <f t="shared" si="57"/>
        <v>4</v>
      </c>
      <c r="L1224">
        <f t="shared" si="58"/>
        <v>1</v>
      </c>
      <c r="M1224">
        <f t="shared" si="59"/>
        <v>1</v>
      </c>
    </row>
    <row r="1225" spans="1:13" x14ac:dyDescent="0.25">
      <c r="A1225" s="2" t="s">
        <v>664</v>
      </c>
      <c r="B1225" s="11" t="s">
        <v>1153</v>
      </c>
      <c r="C1225" s="11" t="s">
        <v>4</v>
      </c>
      <c r="D1225" s="11" t="s">
        <v>1154</v>
      </c>
      <c r="E1225" s="11" t="s">
        <v>692</v>
      </c>
      <c r="F1225" s="11" t="s">
        <v>944</v>
      </c>
      <c r="G1225" s="12">
        <v>25</v>
      </c>
      <c r="H1225" s="12">
        <v>39.68</v>
      </c>
      <c r="I1225" s="12">
        <v>992</v>
      </c>
      <c r="J1225" s="12">
        <v>76728.739999999991</v>
      </c>
      <c r="K1225">
        <f t="shared" si="57"/>
        <v>8</v>
      </c>
      <c r="L1225">
        <f t="shared" si="58"/>
        <v>1</v>
      </c>
      <c r="M1225">
        <f t="shared" si="59"/>
        <v>1</v>
      </c>
    </row>
    <row r="1226" spans="1:13" x14ac:dyDescent="0.25">
      <c r="A1226" s="2" t="s">
        <v>664</v>
      </c>
      <c r="B1226" s="11" t="s">
        <v>1153</v>
      </c>
      <c r="C1226" s="11" t="s">
        <v>4</v>
      </c>
      <c r="D1226" s="11" t="s">
        <v>1154</v>
      </c>
      <c r="E1226" s="11" t="s">
        <v>694</v>
      </c>
      <c r="F1226" s="11" t="s">
        <v>1041</v>
      </c>
      <c r="G1226" s="12">
        <v>3</v>
      </c>
      <c r="H1226" s="12">
        <v>38.159999999999997</v>
      </c>
      <c r="I1226" s="12">
        <v>114.48</v>
      </c>
      <c r="J1226" s="12">
        <v>76843.219999999987</v>
      </c>
      <c r="K1226">
        <f t="shared" si="57"/>
        <v>3</v>
      </c>
      <c r="L1226">
        <f t="shared" si="58"/>
        <v>1</v>
      </c>
      <c r="M1226">
        <f t="shared" si="59"/>
        <v>1</v>
      </c>
    </row>
    <row r="1227" spans="1:13" x14ac:dyDescent="0.25">
      <c r="A1227" s="2" t="s">
        <v>664</v>
      </c>
      <c r="B1227" s="11" t="s">
        <v>1153</v>
      </c>
      <c r="C1227" s="11" t="s">
        <v>4</v>
      </c>
      <c r="D1227" s="11" t="s">
        <v>1154</v>
      </c>
      <c r="E1227" s="11" t="s">
        <v>698</v>
      </c>
      <c r="F1227" s="11" t="s">
        <v>991</v>
      </c>
      <c r="G1227" s="12">
        <v>50</v>
      </c>
      <c r="H1227" s="12">
        <v>23.96</v>
      </c>
      <c r="I1227" s="12">
        <v>1198</v>
      </c>
      <c r="J1227" s="12">
        <v>78041.219999999987</v>
      </c>
      <c r="K1227">
        <f t="shared" si="57"/>
        <v>5</v>
      </c>
      <c r="L1227">
        <f t="shared" si="58"/>
        <v>1</v>
      </c>
      <c r="M1227">
        <f t="shared" si="59"/>
        <v>1</v>
      </c>
    </row>
    <row r="1228" spans="1:13" x14ac:dyDescent="0.25">
      <c r="A1228" s="2" t="s">
        <v>664</v>
      </c>
      <c r="B1228" s="11" t="s">
        <v>1153</v>
      </c>
      <c r="C1228" s="11" t="s">
        <v>4</v>
      </c>
      <c r="D1228" s="11" t="s">
        <v>1154</v>
      </c>
      <c r="E1228" s="11" t="s">
        <v>702</v>
      </c>
      <c r="F1228" s="11" t="s">
        <v>992</v>
      </c>
      <c r="G1228" s="12">
        <v>10</v>
      </c>
      <c r="H1228" s="12">
        <v>45.96</v>
      </c>
      <c r="I1228" s="12">
        <v>459.6</v>
      </c>
      <c r="J1228" s="12">
        <v>78500.819999999992</v>
      </c>
      <c r="K1228">
        <f t="shared" si="57"/>
        <v>10</v>
      </c>
      <c r="L1228">
        <f t="shared" si="58"/>
        <v>1</v>
      </c>
      <c r="M1228">
        <f t="shared" si="59"/>
        <v>1</v>
      </c>
    </row>
    <row r="1229" spans="1:13" x14ac:dyDescent="0.25">
      <c r="A1229" s="2" t="s">
        <v>664</v>
      </c>
      <c r="B1229" s="11" t="s">
        <v>1153</v>
      </c>
      <c r="C1229" s="11" t="s">
        <v>4</v>
      </c>
      <c r="D1229" s="11" t="s">
        <v>1154</v>
      </c>
      <c r="E1229" s="11" t="s">
        <v>716</v>
      </c>
      <c r="F1229" s="11" t="s">
        <v>777</v>
      </c>
      <c r="G1229" s="12">
        <v>4</v>
      </c>
      <c r="H1229" s="12">
        <v>32.1</v>
      </c>
      <c r="I1229" s="12">
        <v>128.4</v>
      </c>
      <c r="J1229" s="12">
        <v>78629.219999999987</v>
      </c>
      <c r="K1229">
        <f t="shared" si="57"/>
        <v>7</v>
      </c>
      <c r="L1229">
        <f t="shared" si="58"/>
        <v>1</v>
      </c>
      <c r="M1229">
        <f t="shared" si="59"/>
        <v>1</v>
      </c>
    </row>
    <row r="1230" spans="1:13" x14ac:dyDescent="0.25">
      <c r="A1230" s="2" t="s">
        <v>664</v>
      </c>
      <c r="B1230" s="11" t="s">
        <v>1153</v>
      </c>
      <c r="C1230" s="11" t="s">
        <v>4</v>
      </c>
      <c r="D1230" s="11" t="s">
        <v>1154</v>
      </c>
      <c r="E1230" s="11" t="s">
        <v>708</v>
      </c>
      <c r="F1230" s="11" t="s">
        <v>709</v>
      </c>
      <c r="G1230" s="12">
        <v>3</v>
      </c>
      <c r="H1230" s="12">
        <v>40.56</v>
      </c>
      <c r="I1230" s="12">
        <v>121.68</v>
      </c>
      <c r="J1230" s="12">
        <v>78750.89999999998</v>
      </c>
      <c r="K1230">
        <f t="shared" si="57"/>
        <v>5</v>
      </c>
      <c r="L1230">
        <f t="shared" si="58"/>
        <v>1</v>
      </c>
      <c r="M1230">
        <f t="shared" si="59"/>
        <v>1</v>
      </c>
    </row>
    <row r="1231" spans="1:13" x14ac:dyDescent="0.25">
      <c r="A1231" s="2" t="s">
        <v>664</v>
      </c>
      <c r="B1231" s="11" t="s">
        <v>1153</v>
      </c>
      <c r="C1231" s="11" t="s">
        <v>4</v>
      </c>
      <c r="D1231" s="11" t="s">
        <v>1154</v>
      </c>
      <c r="E1231" s="11" t="s">
        <v>710</v>
      </c>
      <c r="F1231" s="11" t="s">
        <v>1130</v>
      </c>
      <c r="G1231" s="12">
        <v>2</v>
      </c>
      <c r="H1231" s="12">
        <v>40.159999999999997</v>
      </c>
      <c r="I1231" s="12">
        <v>80.319999999999993</v>
      </c>
      <c r="J1231" s="12">
        <v>78831.219999999987</v>
      </c>
      <c r="K1231">
        <f t="shared" si="57"/>
        <v>4</v>
      </c>
      <c r="L1231">
        <f t="shared" si="58"/>
        <v>1</v>
      </c>
      <c r="M1231">
        <f t="shared" si="59"/>
        <v>1</v>
      </c>
    </row>
    <row r="1232" spans="1:13" x14ac:dyDescent="0.25">
      <c r="A1232" s="2" t="s">
        <v>664</v>
      </c>
      <c r="B1232" s="11" t="s">
        <v>1153</v>
      </c>
      <c r="C1232" s="11" t="s">
        <v>4</v>
      </c>
      <c r="D1232" s="11" t="s">
        <v>1154</v>
      </c>
      <c r="E1232" s="11" t="s">
        <v>712</v>
      </c>
      <c r="F1232" s="11" t="s">
        <v>1046</v>
      </c>
      <c r="G1232" s="12">
        <v>5</v>
      </c>
      <c r="H1232" s="12">
        <v>21.18</v>
      </c>
      <c r="I1232" s="12">
        <v>105.9</v>
      </c>
      <c r="J1232" s="12">
        <v>78937.119999999981</v>
      </c>
      <c r="K1232">
        <f t="shared" si="57"/>
        <v>6</v>
      </c>
      <c r="L1232">
        <f t="shared" si="58"/>
        <v>1</v>
      </c>
      <c r="M1232">
        <f t="shared" si="59"/>
        <v>1</v>
      </c>
    </row>
    <row r="1233" spans="1:13" x14ac:dyDescent="0.25">
      <c r="A1233" s="2" t="s">
        <v>664</v>
      </c>
      <c r="B1233" s="11" t="s">
        <v>1153</v>
      </c>
      <c r="C1233" s="11" t="s">
        <v>4</v>
      </c>
      <c r="D1233" s="11" t="s">
        <v>1154</v>
      </c>
      <c r="E1233" s="11" t="s">
        <v>1157</v>
      </c>
      <c r="F1233" s="11" t="s">
        <v>1158</v>
      </c>
      <c r="G1233" s="12">
        <v>2</v>
      </c>
      <c r="H1233" s="12">
        <v>31.2</v>
      </c>
      <c r="I1233" s="12">
        <v>62.4</v>
      </c>
      <c r="J1233" s="12">
        <v>78999.519999999975</v>
      </c>
      <c r="K1233">
        <f t="shared" si="57"/>
        <v>1</v>
      </c>
      <c r="L1233">
        <f t="shared" si="58"/>
        <v>1</v>
      </c>
      <c r="M1233">
        <f t="shared" si="59"/>
        <v>1</v>
      </c>
    </row>
    <row r="1234" spans="1:13" x14ac:dyDescent="0.25">
      <c r="A1234" s="2" t="s">
        <v>664</v>
      </c>
      <c r="B1234" s="11" t="s">
        <v>1153</v>
      </c>
      <c r="C1234" s="11" t="s">
        <v>4</v>
      </c>
      <c r="D1234" s="11" t="s">
        <v>1154</v>
      </c>
      <c r="E1234" s="11" t="s">
        <v>714</v>
      </c>
      <c r="F1234" s="11" t="s">
        <v>1159</v>
      </c>
      <c r="G1234" s="12">
        <v>6</v>
      </c>
      <c r="H1234" s="12">
        <v>51.8</v>
      </c>
      <c r="I1234" s="12">
        <v>310.8</v>
      </c>
      <c r="J1234" s="12">
        <v>79310.319999999978</v>
      </c>
      <c r="K1234">
        <f t="shared" si="57"/>
        <v>5</v>
      </c>
      <c r="L1234">
        <f t="shared" si="58"/>
        <v>1</v>
      </c>
      <c r="M1234">
        <f t="shared" si="59"/>
        <v>1</v>
      </c>
    </row>
    <row r="1235" spans="1:13" x14ac:dyDescent="0.25">
      <c r="A1235" s="2" t="s">
        <v>664</v>
      </c>
      <c r="B1235" s="11" t="s">
        <v>1153</v>
      </c>
      <c r="C1235" s="11" t="s">
        <v>4</v>
      </c>
      <c r="D1235" s="11" t="s">
        <v>1154</v>
      </c>
      <c r="E1235" s="11" t="s">
        <v>778</v>
      </c>
      <c r="F1235" s="11" t="s">
        <v>994</v>
      </c>
      <c r="G1235" s="12">
        <v>8</v>
      </c>
      <c r="H1235" s="12">
        <v>30.82</v>
      </c>
      <c r="I1235" s="12">
        <v>246.56</v>
      </c>
      <c r="J1235" s="12">
        <v>79556.879999999976</v>
      </c>
      <c r="K1235">
        <f t="shared" si="57"/>
        <v>6</v>
      </c>
      <c r="L1235">
        <f t="shared" si="58"/>
        <v>1</v>
      </c>
      <c r="M1235">
        <f t="shared" si="59"/>
        <v>1</v>
      </c>
    </row>
    <row r="1236" spans="1:13" x14ac:dyDescent="0.25">
      <c r="A1236" s="2" t="s">
        <v>664</v>
      </c>
      <c r="B1236" s="11" t="s">
        <v>1153</v>
      </c>
      <c r="C1236" s="11" t="s">
        <v>4</v>
      </c>
      <c r="D1236" s="11" t="s">
        <v>1154</v>
      </c>
      <c r="E1236" s="11" t="s">
        <v>718</v>
      </c>
      <c r="F1236" s="11" t="s">
        <v>1047</v>
      </c>
      <c r="G1236" s="12">
        <v>3</v>
      </c>
      <c r="H1236" s="12">
        <v>21.18</v>
      </c>
      <c r="I1236" s="12">
        <v>63.54</v>
      </c>
      <c r="J1236" s="12">
        <v>79620.419999999969</v>
      </c>
      <c r="K1236">
        <f t="shared" si="57"/>
        <v>6</v>
      </c>
      <c r="L1236">
        <f t="shared" si="58"/>
        <v>1</v>
      </c>
      <c r="M1236">
        <f t="shared" si="59"/>
        <v>1</v>
      </c>
    </row>
    <row r="1237" spans="1:13" x14ac:dyDescent="0.25">
      <c r="A1237" s="2" t="s">
        <v>664</v>
      </c>
      <c r="B1237" s="11" t="s">
        <v>1153</v>
      </c>
      <c r="C1237" s="11" t="s">
        <v>4</v>
      </c>
      <c r="D1237" s="11" t="s">
        <v>1154</v>
      </c>
      <c r="E1237" s="11" t="s">
        <v>730</v>
      </c>
      <c r="F1237" s="11" t="s">
        <v>1135</v>
      </c>
      <c r="G1237" s="12">
        <v>2</v>
      </c>
      <c r="H1237" s="12">
        <v>30.24</v>
      </c>
      <c r="I1237" s="12">
        <v>60.48</v>
      </c>
      <c r="J1237" s="12">
        <v>79680.899999999965</v>
      </c>
      <c r="K1237">
        <f t="shared" si="57"/>
        <v>5</v>
      </c>
      <c r="L1237">
        <f t="shared" si="58"/>
        <v>1</v>
      </c>
      <c r="M1237">
        <f t="shared" si="59"/>
        <v>1</v>
      </c>
    </row>
    <row r="1238" spans="1:13" x14ac:dyDescent="0.25">
      <c r="A1238" s="2" t="s">
        <v>664</v>
      </c>
      <c r="B1238" s="11" t="s">
        <v>1153</v>
      </c>
      <c r="C1238" s="11" t="s">
        <v>4</v>
      </c>
      <c r="D1238" s="11" t="s">
        <v>1154</v>
      </c>
      <c r="E1238" s="11" t="s">
        <v>837</v>
      </c>
      <c r="F1238" s="11" t="s">
        <v>934</v>
      </c>
      <c r="G1238" s="12">
        <v>1</v>
      </c>
      <c r="H1238" s="12">
        <v>30.64</v>
      </c>
      <c r="I1238" s="12">
        <v>30.64</v>
      </c>
      <c r="J1238" s="12">
        <v>79711.539999999964</v>
      </c>
      <c r="K1238">
        <f t="shared" si="57"/>
        <v>4</v>
      </c>
      <c r="L1238">
        <f t="shared" si="58"/>
        <v>1</v>
      </c>
      <c r="M1238">
        <f t="shared" si="59"/>
        <v>1</v>
      </c>
    </row>
    <row r="1239" spans="1:13" x14ac:dyDescent="0.25">
      <c r="A1239" s="2" t="s">
        <v>664</v>
      </c>
      <c r="B1239" s="11" t="s">
        <v>1153</v>
      </c>
      <c r="C1239" s="11" t="s">
        <v>4</v>
      </c>
      <c r="D1239" s="11" t="s">
        <v>1154</v>
      </c>
      <c r="E1239" s="11" t="s">
        <v>839</v>
      </c>
      <c r="F1239" s="11" t="s">
        <v>1049</v>
      </c>
      <c r="G1239" s="12">
        <v>1</v>
      </c>
      <c r="H1239" s="12">
        <v>30.64</v>
      </c>
      <c r="I1239" s="12">
        <v>30.64</v>
      </c>
      <c r="J1239" s="12">
        <v>79742.179999999964</v>
      </c>
      <c r="K1239">
        <f t="shared" si="57"/>
        <v>4</v>
      </c>
      <c r="L1239">
        <f t="shared" si="58"/>
        <v>1</v>
      </c>
      <c r="M1239">
        <f t="shared" si="59"/>
        <v>1</v>
      </c>
    </row>
    <row r="1240" spans="1:13" x14ac:dyDescent="0.25">
      <c r="A1240" s="2" t="s">
        <v>664</v>
      </c>
      <c r="B1240" s="11" t="s">
        <v>1153</v>
      </c>
      <c r="C1240" s="11" t="s">
        <v>4</v>
      </c>
      <c r="D1240" s="11" t="s">
        <v>1154</v>
      </c>
      <c r="E1240" s="11" t="s">
        <v>1000</v>
      </c>
      <c r="F1240" s="11" t="s">
        <v>1138</v>
      </c>
      <c r="G1240" s="12">
        <v>1</v>
      </c>
      <c r="H1240" s="12">
        <v>78.959999999999994</v>
      </c>
      <c r="I1240" s="12">
        <v>78.959999999999994</v>
      </c>
      <c r="J1240" s="12">
        <v>79821.13999999997</v>
      </c>
      <c r="K1240">
        <f t="shared" si="57"/>
        <v>5</v>
      </c>
      <c r="L1240">
        <f t="shared" si="58"/>
        <v>1</v>
      </c>
      <c r="M1240">
        <f t="shared" si="59"/>
        <v>1</v>
      </c>
    </row>
    <row r="1241" spans="1:13" x14ac:dyDescent="0.25">
      <c r="A1241" s="2" t="s">
        <v>664</v>
      </c>
      <c r="B1241" s="11" t="s">
        <v>1153</v>
      </c>
      <c r="C1241" s="11" t="s">
        <v>4</v>
      </c>
      <c r="D1241" s="11" t="s">
        <v>1154</v>
      </c>
      <c r="E1241" s="11" t="s">
        <v>374</v>
      </c>
      <c r="F1241" s="11" t="s">
        <v>422</v>
      </c>
      <c r="G1241" s="12">
        <v>18</v>
      </c>
      <c r="H1241" s="12">
        <v>31.8</v>
      </c>
      <c r="I1241" s="12">
        <v>572.4</v>
      </c>
      <c r="J1241" s="12">
        <v>80393.539999999964</v>
      </c>
      <c r="K1241">
        <f t="shared" si="57"/>
        <v>8</v>
      </c>
      <c r="L1241">
        <f t="shared" si="58"/>
        <v>1</v>
      </c>
      <c r="M1241">
        <f t="shared" si="59"/>
        <v>1</v>
      </c>
    </row>
    <row r="1242" spans="1:13" x14ac:dyDescent="0.25">
      <c r="A1242" s="2" t="s">
        <v>664</v>
      </c>
      <c r="B1242" s="11" t="s">
        <v>1153</v>
      </c>
      <c r="C1242" s="11" t="s">
        <v>4</v>
      </c>
      <c r="D1242" s="11" t="s">
        <v>1154</v>
      </c>
      <c r="E1242" s="11" t="s">
        <v>37</v>
      </c>
      <c r="F1242" s="11" t="s">
        <v>38</v>
      </c>
      <c r="G1242" s="12">
        <v>3</v>
      </c>
      <c r="H1242" s="12">
        <v>73.8</v>
      </c>
      <c r="I1242" s="12">
        <v>221.4</v>
      </c>
      <c r="J1242" s="12">
        <v>80614.939999999959</v>
      </c>
      <c r="K1242">
        <f t="shared" si="57"/>
        <v>7</v>
      </c>
      <c r="L1242">
        <f t="shared" si="58"/>
        <v>1</v>
      </c>
      <c r="M1242">
        <f t="shared" si="59"/>
        <v>1</v>
      </c>
    </row>
    <row r="1243" spans="1:13" x14ac:dyDescent="0.25">
      <c r="A1243" s="2" t="s">
        <v>664</v>
      </c>
      <c r="B1243" s="11" t="s">
        <v>1153</v>
      </c>
      <c r="C1243" s="11" t="s">
        <v>4</v>
      </c>
      <c r="D1243" s="11" t="s">
        <v>1154</v>
      </c>
      <c r="E1243" s="11" t="s">
        <v>42</v>
      </c>
      <c r="F1243" s="11" t="s">
        <v>43</v>
      </c>
      <c r="G1243" s="12">
        <v>1</v>
      </c>
      <c r="H1243" s="12">
        <v>85</v>
      </c>
      <c r="I1243" s="12">
        <v>85</v>
      </c>
      <c r="J1243" s="12">
        <v>80699.939999999959</v>
      </c>
      <c r="K1243">
        <f t="shared" si="57"/>
        <v>5</v>
      </c>
      <c r="L1243">
        <f t="shared" si="58"/>
        <v>1</v>
      </c>
      <c r="M1243">
        <f t="shared" si="59"/>
        <v>1</v>
      </c>
    </row>
    <row r="1244" spans="1:13" x14ac:dyDescent="0.25">
      <c r="A1244" s="2" t="s">
        <v>664</v>
      </c>
      <c r="B1244" s="11" t="s">
        <v>1153</v>
      </c>
      <c r="C1244" s="11" t="s">
        <v>4</v>
      </c>
      <c r="D1244" s="11" t="s">
        <v>1154</v>
      </c>
      <c r="E1244" s="11" t="s">
        <v>851</v>
      </c>
      <c r="F1244" s="11" t="s">
        <v>951</v>
      </c>
      <c r="G1244" s="12">
        <v>3</v>
      </c>
      <c r="H1244" s="12">
        <v>75.97</v>
      </c>
      <c r="I1244" s="12">
        <v>227.91</v>
      </c>
      <c r="J1244" s="12">
        <v>80927.849999999962</v>
      </c>
      <c r="K1244">
        <f t="shared" si="57"/>
        <v>5</v>
      </c>
      <c r="L1244">
        <f t="shared" si="58"/>
        <v>1</v>
      </c>
      <c r="M1244">
        <f t="shared" si="59"/>
        <v>1</v>
      </c>
    </row>
    <row r="1245" spans="1:13" x14ac:dyDescent="0.25">
      <c r="A1245" s="2" t="s">
        <v>664</v>
      </c>
      <c r="B1245" s="11" t="s">
        <v>1153</v>
      </c>
      <c r="C1245" s="11" t="s">
        <v>4</v>
      </c>
      <c r="D1245" s="11" t="s">
        <v>1154</v>
      </c>
      <c r="E1245" s="11" t="s">
        <v>35</v>
      </c>
      <c r="F1245" s="11" t="s">
        <v>36</v>
      </c>
      <c r="G1245" s="12">
        <v>5</v>
      </c>
      <c r="H1245" s="12">
        <v>28.8</v>
      </c>
      <c r="I1245" s="12">
        <v>144</v>
      </c>
      <c r="J1245" s="12">
        <v>81071.849999999962</v>
      </c>
      <c r="K1245">
        <f t="shared" si="57"/>
        <v>5</v>
      </c>
      <c r="L1245">
        <f t="shared" si="58"/>
        <v>1</v>
      </c>
      <c r="M1245">
        <f t="shared" si="59"/>
        <v>1</v>
      </c>
    </row>
    <row r="1246" spans="1:13" x14ac:dyDescent="0.25">
      <c r="A1246" s="2" t="s">
        <v>664</v>
      </c>
      <c r="B1246" s="11" t="s">
        <v>1153</v>
      </c>
      <c r="C1246" s="11" t="s">
        <v>4</v>
      </c>
      <c r="D1246" s="11" t="s">
        <v>1154</v>
      </c>
      <c r="E1246" s="11" t="s">
        <v>754</v>
      </c>
      <c r="F1246" s="11" t="s">
        <v>952</v>
      </c>
      <c r="G1246" s="12">
        <v>3</v>
      </c>
      <c r="H1246" s="12">
        <v>38.380000000000003</v>
      </c>
      <c r="I1246" s="12">
        <v>115.14</v>
      </c>
      <c r="J1246" s="12">
        <v>81186.989999999962</v>
      </c>
      <c r="K1246">
        <f t="shared" si="57"/>
        <v>8</v>
      </c>
      <c r="L1246">
        <f t="shared" si="58"/>
        <v>1</v>
      </c>
      <c r="M1246">
        <f t="shared" si="59"/>
        <v>1</v>
      </c>
    </row>
    <row r="1247" spans="1:13" x14ac:dyDescent="0.25">
      <c r="A1247" s="2" t="s">
        <v>664</v>
      </c>
      <c r="B1247" s="11" t="s">
        <v>1153</v>
      </c>
      <c r="C1247" s="11" t="s">
        <v>4</v>
      </c>
      <c r="D1247" s="11" t="s">
        <v>1154</v>
      </c>
      <c r="E1247" s="11" t="s">
        <v>1002</v>
      </c>
      <c r="F1247" s="11" t="s">
        <v>1160</v>
      </c>
      <c r="G1247" s="12">
        <v>10</v>
      </c>
      <c r="H1247" s="12">
        <v>12.6</v>
      </c>
      <c r="I1247" s="12">
        <v>126</v>
      </c>
      <c r="J1247" s="12">
        <v>81312.989999999962</v>
      </c>
      <c r="K1247">
        <f t="shared" si="57"/>
        <v>2</v>
      </c>
      <c r="L1247">
        <f t="shared" si="58"/>
        <v>1</v>
      </c>
      <c r="M1247">
        <f t="shared" si="59"/>
        <v>1</v>
      </c>
    </row>
    <row r="1248" spans="1:13" x14ac:dyDescent="0.25">
      <c r="A1248" s="2" t="s">
        <v>664</v>
      </c>
      <c r="B1248" s="11" t="s">
        <v>1153</v>
      </c>
      <c r="C1248" s="11" t="s">
        <v>4</v>
      </c>
      <c r="D1248" s="11" t="s">
        <v>1154</v>
      </c>
      <c r="E1248" s="11" t="s">
        <v>1096</v>
      </c>
      <c r="F1248" s="11" t="s">
        <v>1096</v>
      </c>
      <c r="G1248" s="12">
        <v>6</v>
      </c>
      <c r="H1248" s="12">
        <v>12.6</v>
      </c>
      <c r="I1248" s="12">
        <v>75.599999999999994</v>
      </c>
      <c r="J1248" s="12">
        <v>81388.589999999967</v>
      </c>
      <c r="K1248">
        <f t="shared" si="57"/>
        <v>3</v>
      </c>
      <c r="L1248">
        <f t="shared" si="58"/>
        <v>1</v>
      </c>
      <c r="M1248">
        <f t="shared" si="59"/>
        <v>1</v>
      </c>
    </row>
    <row r="1249" spans="1:13" x14ac:dyDescent="0.25">
      <c r="A1249" s="2" t="s">
        <v>664</v>
      </c>
      <c r="B1249" s="11" t="s">
        <v>1153</v>
      </c>
      <c r="C1249" s="11" t="s">
        <v>4</v>
      </c>
      <c r="D1249" s="11" t="s">
        <v>1154</v>
      </c>
      <c r="E1249" s="11" t="s">
        <v>1051</v>
      </c>
      <c r="F1249" s="11" t="s">
        <v>1051</v>
      </c>
      <c r="G1249" s="12">
        <v>8</v>
      </c>
      <c r="H1249" s="12">
        <v>16.68</v>
      </c>
      <c r="I1249" s="12">
        <v>133.44</v>
      </c>
      <c r="J1249" s="12">
        <v>81522.02999999997</v>
      </c>
      <c r="K1249">
        <f t="shared" si="57"/>
        <v>3</v>
      </c>
      <c r="L1249">
        <f t="shared" si="58"/>
        <v>1</v>
      </c>
      <c r="M1249">
        <f t="shared" si="59"/>
        <v>1</v>
      </c>
    </row>
    <row r="1250" spans="1:13" x14ac:dyDescent="0.25">
      <c r="A1250" s="2" t="s">
        <v>664</v>
      </c>
      <c r="B1250" s="11" t="s">
        <v>1153</v>
      </c>
      <c r="C1250" s="11" t="s">
        <v>4</v>
      </c>
      <c r="D1250" s="11" t="s">
        <v>1154</v>
      </c>
      <c r="E1250" s="11" t="s">
        <v>1097</v>
      </c>
      <c r="F1250" s="11" t="s">
        <v>1098</v>
      </c>
      <c r="G1250" s="12">
        <v>6</v>
      </c>
      <c r="H1250" s="12">
        <v>12.6</v>
      </c>
      <c r="I1250" s="12">
        <v>75.599999999999994</v>
      </c>
      <c r="J1250" s="12">
        <v>81597.629999999976</v>
      </c>
      <c r="K1250">
        <f t="shared" si="57"/>
        <v>2</v>
      </c>
      <c r="L1250">
        <f t="shared" si="58"/>
        <v>1</v>
      </c>
      <c r="M1250">
        <f t="shared" si="59"/>
        <v>1</v>
      </c>
    </row>
    <row r="1251" spans="1:13" x14ac:dyDescent="0.25">
      <c r="A1251" s="2" t="s">
        <v>664</v>
      </c>
      <c r="B1251" s="11" t="s">
        <v>1153</v>
      </c>
      <c r="C1251" s="11" t="s">
        <v>4</v>
      </c>
      <c r="D1251" s="11" t="s">
        <v>1154</v>
      </c>
      <c r="E1251" s="11" t="s">
        <v>1099</v>
      </c>
      <c r="F1251" s="11" t="s">
        <v>1099</v>
      </c>
      <c r="G1251" s="12">
        <v>2</v>
      </c>
      <c r="H1251" s="12">
        <v>12.6</v>
      </c>
      <c r="I1251" s="12">
        <v>25.2</v>
      </c>
      <c r="J1251" s="12">
        <v>81622.829999999973</v>
      </c>
      <c r="K1251">
        <f t="shared" si="57"/>
        <v>3</v>
      </c>
      <c r="L1251">
        <f t="shared" si="58"/>
        <v>1</v>
      </c>
      <c r="M1251">
        <f t="shared" si="59"/>
        <v>1</v>
      </c>
    </row>
    <row r="1252" spans="1:13" x14ac:dyDescent="0.25">
      <c r="A1252" s="2" t="s">
        <v>664</v>
      </c>
      <c r="B1252" s="11" t="s">
        <v>1153</v>
      </c>
      <c r="C1252" s="11" t="s">
        <v>4</v>
      </c>
      <c r="D1252" s="11" t="s">
        <v>1154</v>
      </c>
      <c r="E1252" s="11" t="s">
        <v>1100</v>
      </c>
      <c r="F1252" s="11" t="s">
        <v>1100</v>
      </c>
      <c r="G1252" s="12">
        <v>2</v>
      </c>
      <c r="H1252" s="12">
        <v>12.6</v>
      </c>
      <c r="I1252" s="12">
        <v>25.2</v>
      </c>
      <c r="J1252" s="12">
        <v>81648.02999999997</v>
      </c>
      <c r="K1252">
        <f t="shared" si="57"/>
        <v>2</v>
      </c>
      <c r="L1252">
        <f t="shared" si="58"/>
        <v>1</v>
      </c>
      <c r="M1252">
        <f t="shared" si="59"/>
        <v>1</v>
      </c>
    </row>
    <row r="1253" spans="1:13" x14ac:dyDescent="0.25">
      <c r="A1253" s="2" t="s">
        <v>664</v>
      </c>
      <c r="B1253" s="11" t="s">
        <v>1153</v>
      </c>
      <c r="C1253" s="11" t="s">
        <v>4</v>
      </c>
      <c r="D1253" s="11" t="s">
        <v>1154</v>
      </c>
      <c r="E1253" s="11" t="s">
        <v>1161</v>
      </c>
      <c r="F1253" s="11" t="s">
        <v>1162</v>
      </c>
      <c r="G1253" s="12">
        <v>12</v>
      </c>
      <c r="H1253" s="12">
        <v>18.600000000000001</v>
      </c>
      <c r="I1253" s="12">
        <v>223.2</v>
      </c>
      <c r="J1253" s="12">
        <v>81871.229999999967</v>
      </c>
      <c r="K1253">
        <f t="shared" si="57"/>
        <v>1</v>
      </c>
      <c r="L1253">
        <f t="shared" si="58"/>
        <v>1</v>
      </c>
      <c r="M1253">
        <f t="shared" si="59"/>
        <v>1</v>
      </c>
    </row>
    <row r="1254" spans="1:13" x14ac:dyDescent="0.25">
      <c r="A1254" s="2" t="s">
        <v>664</v>
      </c>
      <c r="B1254" s="11" t="s">
        <v>1153</v>
      </c>
      <c r="C1254" s="11" t="s">
        <v>4</v>
      </c>
      <c r="D1254" s="11" t="s">
        <v>1154</v>
      </c>
      <c r="E1254" s="11" t="s">
        <v>756</v>
      </c>
      <c r="F1254" s="11" t="s">
        <v>1003</v>
      </c>
      <c r="G1254" s="12">
        <v>10</v>
      </c>
      <c r="H1254" s="12">
        <v>13.2</v>
      </c>
      <c r="I1254" s="12">
        <v>132</v>
      </c>
      <c r="J1254" s="12">
        <v>82003.229999999967</v>
      </c>
      <c r="K1254">
        <f t="shared" si="57"/>
        <v>8</v>
      </c>
      <c r="L1254">
        <f t="shared" si="58"/>
        <v>1</v>
      </c>
      <c r="M1254">
        <f t="shared" si="59"/>
        <v>1</v>
      </c>
    </row>
    <row r="1255" spans="1:13" x14ac:dyDescent="0.25">
      <c r="A1255" s="2" t="s">
        <v>664</v>
      </c>
      <c r="B1255" s="11" t="s">
        <v>1153</v>
      </c>
      <c r="C1255" s="11" t="s">
        <v>4</v>
      </c>
      <c r="D1255" s="11" t="s">
        <v>1154</v>
      </c>
      <c r="E1255" s="11" t="s">
        <v>784</v>
      </c>
      <c r="F1255" s="11" t="s">
        <v>1055</v>
      </c>
      <c r="G1255" s="12">
        <v>5</v>
      </c>
      <c r="H1255" s="12">
        <v>13.2</v>
      </c>
      <c r="I1255" s="12">
        <v>66</v>
      </c>
      <c r="J1255" s="12">
        <v>82069.229999999967</v>
      </c>
      <c r="K1255">
        <f t="shared" si="57"/>
        <v>5</v>
      </c>
      <c r="L1255">
        <f t="shared" si="58"/>
        <v>1</v>
      </c>
      <c r="M1255">
        <f t="shared" si="59"/>
        <v>1</v>
      </c>
    </row>
    <row r="1256" spans="1:13" x14ac:dyDescent="0.25">
      <c r="A1256" s="2" t="s">
        <v>664</v>
      </c>
      <c r="B1256" s="11" t="s">
        <v>1153</v>
      </c>
      <c r="C1256" s="11" t="s">
        <v>4</v>
      </c>
      <c r="D1256" s="11" t="s">
        <v>1154</v>
      </c>
      <c r="E1256" s="11" t="s">
        <v>865</v>
      </c>
      <c r="F1256" s="11" t="s">
        <v>961</v>
      </c>
      <c r="G1256" s="12">
        <v>18</v>
      </c>
      <c r="H1256" s="12">
        <v>52.52</v>
      </c>
      <c r="I1256" s="12">
        <v>945.36</v>
      </c>
      <c r="J1256" s="12">
        <v>83014.589999999967</v>
      </c>
      <c r="K1256">
        <f t="shared" si="57"/>
        <v>7</v>
      </c>
      <c r="L1256">
        <f t="shared" si="58"/>
        <v>1</v>
      </c>
      <c r="M1256">
        <f t="shared" si="59"/>
        <v>1</v>
      </c>
    </row>
    <row r="1257" spans="1:13" x14ac:dyDescent="0.25">
      <c r="A1257" s="2" t="s">
        <v>664</v>
      </c>
      <c r="B1257" s="11" t="s">
        <v>1153</v>
      </c>
      <c r="C1257" s="11" t="s">
        <v>4</v>
      </c>
      <c r="D1257" s="11" t="s">
        <v>1154</v>
      </c>
      <c r="E1257" s="11" t="s">
        <v>962</v>
      </c>
      <c r="F1257" s="11" t="s">
        <v>963</v>
      </c>
      <c r="G1257" s="12">
        <v>3</v>
      </c>
      <c r="H1257" s="12">
        <v>27.29</v>
      </c>
      <c r="I1257" s="12">
        <v>81.87</v>
      </c>
      <c r="J1257" s="12">
        <v>83096.459999999963</v>
      </c>
      <c r="K1257">
        <f t="shared" si="57"/>
        <v>6</v>
      </c>
      <c r="L1257">
        <f t="shared" si="58"/>
        <v>1</v>
      </c>
      <c r="M1257">
        <f t="shared" si="59"/>
        <v>1</v>
      </c>
    </row>
    <row r="1258" spans="1:13" x14ac:dyDescent="0.25">
      <c r="A1258" s="2" t="s">
        <v>664</v>
      </c>
      <c r="B1258" s="11" t="s">
        <v>1153</v>
      </c>
      <c r="C1258" s="11" t="s">
        <v>4</v>
      </c>
      <c r="D1258" s="11" t="s">
        <v>1154</v>
      </c>
      <c r="E1258" s="11" t="s">
        <v>868</v>
      </c>
      <c r="F1258" s="11" t="s">
        <v>1007</v>
      </c>
      <c r="G1258" s="12">
        <v>2</v>
      </c>
      <c r="H1258" s="12">
        <v>27.29</v>
      </c>
      <c r="I1258" s="12">
        <v>54.58</v>
      </c>
      <c r="J1258" s="12">
        <v>83151.039999999964</v>
      </c>
      <c r="K1258">
        <f t="shared" si="57"/>
        <v>5</v>
      </c>
      <c r="L1258">
        <f t="shared" si="58"/>
        <v>1</v>
      </c>
      <c r="M1258">
        <f t="shared" si="59"/>
        <v>1</v>
      </c>
    </row>
    <row r="1259" spans="1:13" x14ac:dyDescent="0.25">
      <c r="A1259" s="2" t="s">
        <v>664</v>
      </c>
      <c r="B1259" s="11" t="s">
        <v>1153</v>
      </c>
      <c r="C1259" s="11" t="s">
        <v>4</v>
      </c>
      <c r="D1259" s="11" t="s">
        <v>1154</v>
      </c>
      <c r="E1259" s="11" t="s">
        <v>870</v>
      </c>
      <c r="F1259" s="11" t="s">
        <v>1008</v>
      </c>
      <c r="G1259" s="12">
        <v>4</v>
      </c>
      <c r="H1259" s="12">
        <v>27.29</v>
      </c>
      <c r="I1259" s="12">
        <v>109.16</v>
      </c>
      <c r="J1259" s="12">
        <v>83260.199999999968</v>
      </c>
      <c r="K1259">
        <f t="shared" si="57"/>
        <v>5</v>
      </c>
      <c r="L1259">
        <f t="shared" si="58"/>
        <v>1</v>
      </c>
      <c r="M1259">
        <f t="shared" si="59"/>
        <v>1</v>
      </c>
    </row>
    <row r="1260" spans="1:13" x14ac:dyDescent="0.25">
      <c r="A1260" s="2" t="s">
        <v>664</v>
      </c>
      <c r="B1260" s="11" t="s">
        <v>1153</v>
      </c>
      <c r="C1260" s="11" t="s">
        <v>4</v>
      </c>
      <c r="D1260" s="11" t="s">
        <v>1154</v>
      </c>
      <c r="E1260" s="11" t="s">
        <v>872</v>
      </c>
      <c r="F1260" s="11" t="s">
        <v>1009</v>
      </c>
      <c r="G1260" s="12">
        <v>3</v>
      </c>
      <c r="H1260" s="12">
        <v>27.29</v>
      </c>
      <c r="I1260" s="12">
        <v>81.87</v>
      </c>
      <c r="J1260" s="12">
        <v>83342.069999999963</v>
      </c>
      <c r="K1260">
        <f t="shared" si="57"/>
        <v>6</v>
      </c>
      <c r="L1260">
        <f t="shared" si="58"/>
        <v>1</v>
      </c>
      <c r="M1260">
        <f t="shared" si="59"/>
        <v>1</v>
      </c>
    </row>
    <row r="1261" spans="1:13" x14ac:dyDescent="0.25">
      <c r="A1261" s="2" t="s">
        <v>664</v>
      </c>
      <c r="B1261" s="11" t="s">
        <v>1153</v>
      </c>
      <c r="C1261" s="11" t="s">
        <v>4</v>
      </c>
      <c r="D1261" s="11" t="s">
        <v>1154</v>
      </c>
      <c r="E1261" s="11" t="s">
        <v>1062</v>
      </c>
      <c r="F1261" s="11" t="s">
        <v>1063</v>
      </c>
      <c r="G1261" s="12">
        <v>4</v>
      </c>
      <c r="H1261" s="12">
        <v>39.46</v>
      </c>
      <c r="I1261" s="12">
        <v>157.84</v>
      </c>
      <c r="J1261" s="12">
        <v>83499.90999999996</v>
      </c>
      <c r="K1261">
        <f t="shared" si="57"/>
        <v>4</v>
      </c>
      <c r="L1261">
        <f t="shared" si="58"/>
        <v>1</v>
      </c>
      <c r="M1261">
        <f t="shared" si="59"/>
        <v>1</v>
      </c>
    </row>
    <row r="1262" spans="1:13" x14ac:dyDescent="0.25">
      <c r="A1262" s="2" t="s">
        <v>664</v>
      </c>
      <c r="B1262" s="11" t="s">
        <v>1153</v>
      </c>
      <c r="C1262" s="11" t="s">
        <v>4</v>
      </c>
      <c r="D1262" s="11" t="s">
        <v>1154</v>
      </c>
      <c r="E1262" s="11" t="s">
        <v>874</v>
      </c>
      <c r="F1262" s="11" t="s">
        <v>1064</v>
      </c>
      <c r="G1262" s="12">
        <v>4</v>
      </c>
      <c r="H1262" s="12">
        <v>39.46</v>
      </c>
      <c r="I1262" s="12">
        <v>157.84</v>
      </c>
      <c r="J1262" s="12">
        <v>83657.749999999956</v>
      </c>
      <c r="K1262">
        <f t="shared" si="57"/>
        <v>4</v>
      </c>
      <c r="L1262">
        <f t="shared" si="58"/>
        <v>1</v>
      </c>
      <c r="M1262">
        <f t="shared" si="59"/>
        <v>1</v>
      </c>
    </row>
    <row r="1263" spans="1:13" x14ac:dyDescent="0.25">
      <c r="A1263" s="2" t="s">
        <v>664</v>
      </c>
      <c r="B1263" s="11" t="s">
        <v>1153</v>
      </c>
      <c r="C1263" s="11" t="s">
        <v>4</v>
      </c>
      <c r="D1263" s="11" t="s">
        <v>1154</v>
      </c>
      <c r="E1263" s="11" t="s">
        <v>876</v>
      </c>
      <c r="F1263" s="11" t="s">
        <v>1101</v>
      </c>
      <c r="G1263" s="12">
        <v>4</v>
      </c>
      <c r="H1263" s="12">
        <v>39.46</v>
      </c>
      <c r="I1263" s="12">
        <v>157.84</v>
      </c>
      <c r="J1263" s="12">
        <v>83815.589999999953</v>
      </c>
      <c r="K1263">
        <f t="shared" si="57"/>
        <v>3</v>
      </c>
      <c r="L1263">
        <f t="shared" si="58"/>
        <v>1</v>
      </c>
      <c r="M1263">
        <f t="shared" si="59"/>
        <v>1</v>
      </c>
    </row>
    <row r="1264" spans="1:13" x14ac:dyDescent="0.25">
      <c r="A1264" s="2" t="s">
        <v>664</v>
      </c>
      <c r="B1264" s="11" t="s">
        <v>1153</v>
      </c>
      <c r="C1264" s="11" t="s">
        <v>4</v>
      </c>
      <c r="D1264" s="11" t="s">
        <v>1154</v>
      </c>
      <c r="E1264" s="11" t="s">
        <v>882</v>
      </c>
      <c r="F1264" s="11" t="s">
        <v>966</v>
      </c>
      <c r="G1264" s="12">
        <v>9</v>
      </c>
      <c r="H1264" s="12">
        <v>14</v>
      </c>
      <c r="I1264" s="12">
        <v>126</v>
      </c>
      <c r="J1264" s="12">
        <v>83941.589999999953</v>
      </c>
      <c r="K1264">
        <f t="shared" si="57"/>
        <v>5</v>
      </c>
      <c r="L1264">
        <f t="shared" si="58"/>
        <v>1</v>
      </c>
      <c r="M1264">
        <f t="shared" si="59"/>
        <v>1</v>
      </c>
    </row>
    <row r="1265" spans="1:13" x14ac:dyDescent="0.25">
      <c r="A1265" s="2" t="s">
        <v>664</v>
      </c>
      <c r="B1265" s="11" t="s">
        <v>1153</v>
      </c>
      <c r="C1265" s="11" t="s">
        <v>4</v>
      </c>
      <c r="D1265" s="11" t="s">
        <v>1154</v>
      </c>
      <c r="E1265" s="11" t="s">
        <v>786</v>
      </c>
      <c r="F1265" s="11" t="s">
        <v>967</v>
      </c>
      <c r="G1265" s="12">
        <v>8</v>
      </c>
      <c r="H1265" s="12">
        <v>22.86</v>
      </c>
      <c r="I1265" s="12">
        <v>182.88</v>
      </c>
      <c r="J1265" s="12">
        <v>84124.469999999958</v>
      </c>
      <c r="K1265">
        <f t="shared" si="57"/>
        <v>8</v>
      </c>
      <c r="L1265">
        <f t="shared" si="58"/>
        <v>1</v>
      </c>
      <c r="M1265">
        <f t="shared" si="59"/>
        <v>1</v>
      </c>
    </row>
    <row r="1266" spans="1:13" x14ac:dyDescent="0.25">
      <c r="A1266" s="2" t="s">
        <v>664</v>
      </c>
      <c r="B1266" s="11" t="s">
        <v>1153</v>
      </c>
      <c r="C1266" s="11" t="s">
        <v>4</v>
      </c>
      <c r="D1266" s="11" t="s">
        <v>1154</v>
      </c>
      <c r="E1266" s="11" t="s">
        <v>62</v>
      </c>
      <c r="F1266" s="11" t="s">
        <v>63</v>
      </c>
      <c r="G1266" s="12">
        <v>3</v>
      </c>
      <c r="H1266" s="12">
        <v>13.57</v>
      </c>
      <c r="I1266" s="12">
        <v>40.71</v>
      </c>
      <c r="J1266" s="12">
        <v>84165.179999999964</v>
      </c>
      <c r="K1266">
        <f t="shared" si="57"/>
        <v>8</v>
      </c>
      <c r="L1266">
        <f t="shared" si="58"/>
        <v>1</v>
      </c>
      <c r="M1266">
        <f t="shared" si="59"/>
        <v>1</v>
      </c>
    </row>
    <row r="1267" spans="1:13" x14ac:dyDescent="0.25">
      <c r="A1267" s="2" t="s">
        <v>664</v>
      </c>
      <c r="B1267" s="11" t="s">
        <v>1153</v>
      </c>
      <c r="C1267" s="11" t="s">
        <v>4</v>
      </c>
      <c r="D1267" s="11" t="s">
        <v>1154</v>
      </c>
      <c r="E1267" s="11" t="s">
        <v>56</v>
      </c>
      <c r="F1267" s="11" t="s">
        <v>57</v>
      </c>
      <c r="G1267" s="12">
        <v>3</v>
      </c>
      <c r="H1267" s="12">
        <v>51.1</v>
      </c>
      <c r="I1267" s="12">
        <v>153.30000000000001</v>
      </c>
      <c r="J1267" s="12">
        <v>84318.479999999967</v>
      </c>
      <c r="K1267">
        <f t="shared" si="57"/>
        <v>9</v>
      </c>
      <c r="L1267">
        <f t="shared" si="58"/>
        <v>1</v>
      </c>
      <c r="M1267">
        <f t="shared" si="59"/>
        <v>1</v>
      </c>
    </row>
    <row r="1268" spans="1:13" x14ac:dyDescent="0.25">
      <c r="A1268" s="2" t="s">
        <v>664</v>
      </c>
      <c r="B1268" s="11" t="s">
        <v>1153</v>
      </c>
      <c r="C1268" s="11" t="s">
        <v>4</v>
      </c>
      <c r="D1268" s="11" t="s">
        <v>1154</v>
      </c>
      <c r="E1268" s="11" t="s">
        <v>58</v>
      </c>
      <c r="F1268" s="11" t="s">
        <v>59</v>
      </c>
      <c r="G1268" s="12">
        <v>3</v>
      </c>
      <c r="H1268" s="12">
        <v>57.39</v>
      </c>
      <c r="I1268" s="12">
        <v>172.17</v>
      </c>
      <c r="J1268" s="12">
        <v>84490.649999999965</v>
      </c>
      <c r="K1268">
        <f t="shared" si="57"/>
        <v>9</v>
      </c>
      <c r="L1268">
        <f t="shared" si="58"/>
        <v>1</v>
      </c>
      <c r="M1268">
        <f t="shared" si="59"/>
        <v>1</v>
      </c>
    </row>
    <row r="1269" spans="1:13" x14ac:dyDescent="0.25">
      <c r="A1269" s="2" t="s">
        <v>664</v>
      </c>
      <c r="B1269" s="11" t="s">
        <v>1153</v>
      </c>
      <c r="C1269" s="11" t="s">
        <v>4</v>
      </c>
      <c r="D1269" s="11" t="s">
        <v>1154</v>
      </c>
      <c r="E1269" s="11" t="s">
        <v>72</v>
      </c>
      <c r="F1269" s="11" t="s">
        <v>73</v>
      </c>
      <c r="G1269" s="12">
        <v>1</v>
      </c>
      <c r="H1269" s="12">
        <v>66.88</v>
      </c>
      <c r="I1269" s="12">
        <v>66.88</v>
      </c>
      <c r="J1269" s="12">
        <v>84557.52999999997</v>
      </c>
      <c r="K1269">
        <f t="shared" si="57"/>
        <v>6</v>
      </c>
      <c r="L1269">
        <f t="shared" si="58"/>
        <v>1</v>
      </c>
      <c r="M1269">
        <f t="shared" si="59"/>
        <v>1</v>
      </c>
    </row>
    <row r="1270" spans="1:13" x14ac:dyDescent="0.25">
      <c r="A1270" s="2" t="s">
        <v>664</v>
      </c>
      <c r="B1270" s="11" t="s">
        <v>1153</v>
      </c>
      <c r="C1270" s="11" t="s">
        <v>4</v>
      </c>
      <c r="D1270" s="11" t="s">
        <v>1154</v>
      </c>
      <c r="E1270" s="11" t="s">
        <v>936</v>
      </c>
      <c r="F1270" s="11" t="s">
        <v>1163</v>
      </c>
      <c r="G1270" s="12">
        <v>3</v>
      </c>
      <c r="H1270" s="12">
        <v>21.4</v>
      </c>
      <c r="I1270" s="12">
        <v>64.2</v>
      </c>
      <c r="J1270" s="12">
        <v>84621.729999999967</v>
      </c>
      <c r="K1270">
        <f t="shared" si="57"/>
        <v>3</v>
      </c>
      <c r="L1270">
        <f t="shared" si="58"/>
        <v>1</v>
      </c>
      <c r="M1270">
        <f t="shared" si="59"/>
        <v>1</v>
      </c>
    </row>
    <row r="1271" spans="1:13" x14ac:dyDescent="0.25">
      <c r="A1271" s="2" t="s">
        <v>664</v>
      </c>
      <c r="B1271" s="11" t="s">
        <v>1153</v>
      </c>
      <c r="C1271" s="11" t="s">
        <v>4</v>
      </c>
      <c r="D1271" s="11" t="s">
        <v>1154</v>
      </c>
      <c r="E1271" s="11" t="s">
        <v>801</v>
      </c>
      <c r="F1271" s="11" t="s">
        <v>1164</v>
      </c>
      <c r="G1271" s="12">
        <v>5</v>
      </c>
      <c r="H1271" s="12">
        <v>25.68</v>
      </c>
      <c r="I1271" s="12">
        <v>128.4</v>
      </c>
      <c r="J1271" s="12">
        <v>84750.129999999961</v>
      </c>
      <c r="K1271">
        <f t="shared" si="57"/>
        <v>4</v>
      </c>
      <c r="L1271">
        <f t="shared" si="58"/>
        <v>1</v>
      </c>
      <c r="M1271">
        <f t="shared" si="59"/>
        <v>1</v>
      </c>
    </row>
    <row r="1272" spans="1:13" x14ac:dyDescent="0.25">
      <c r="A1272" s="2" t="s">
        <v>664</v>
      </c>
      <c r="B1272" s="11" t="s">
        <v>1153</v>
      </c>
      <c r="C1272" s="11" t="s">
        <v>4</v>
      </c>
      <c r="D1272" s="11" t="s">
        <v>1154</v>
      </c>
      <c r="E1272" s="11" t="s">
        <v>803</v>
      </c>
      <c r="F1272" s="11" t="s">
        <v>1016</v>
      </c>
      <c r="G1272" s="12">
        <v>6</v>
      </c>
      <c r="H1272" s="12">
        <v>22</v>
      </c>
      <c r="I1272" s="12">
        <v>132</v>
      </c>
      <c r="J1272" s="12">
        <v>84882.129999999961</v>
      </c>
      <c r="K1272">
        <f t="shared" si="57"/>
        <v>8</v>
      </c>
      <c r="L1272">
        <f t="shared" si="58"/>
        <v>1</v>
      </c>
      <c r="M1272">
        <f t="shared" si="59"/>
        <v>1</v>
      </c>
    </row>
    <row r="1273" spans="1:13" x14ac:dyDescent="0.25">
      <c r="A1273" s="2" t="s">
        <v>664</v>
      </c>
      <c r="B1273" s="11" t="s">
        <v>1153</v>
      </c>
      <c r="C1273" s="11" t="s">
        <v>4</v>
      </c>
      <c r="D1273" s="11" t="s">
        <v>1154</v>
      </c>
      <c r="E1273" s="11" t="s">
        <v>743</v>
      </c>
      <c r="F1273" s="11" t="s">
        <v>973</v>
      </c>
      <c r="G1273" s="12">
        <v>5</v>
      </c>
      <c r="H1273" s="12">
        <v>64.2</v>
      </c>
      <c r="I1273" s="12">
        <v>321</v>
      </c>
      <c r="J1273" s="12">
        <v>85203.129999999961</v>
      </c>
      <c r="K1273">
        <f t="shared" si="57"/>
        <v>5</v>
      </c>
      <c r="L1273">
        <f t="shared" si="58"/>
        <v>1</v>
      </c>
      <c r="M1273">
        <f t="shared" si="59"/>
        <v>1</v>
      </c>
    </row>
    <row r="1274" spans="1:13" x14ac:dyDescent="0.25">
      <c r="A1274" s="2" t="s">
        <v>664</v>
      </c>
      <c r="B1274" s="11" t="s">
        <v>1153</v>
      </c>
      <c r="C1274" s="11" t="s">
        <v>4</v>
      </c>
      <c r="D1274" s="11" t="s">
        <v>1154</v>
      </c>
      <c r="E1274" s="11" t="s">
        <v>904</v>
      </c>
      <c r="F1274" s="11" t="s">
        <v>1073</v>
      </c>
      <c r="G1274" s="12">
        <v>3</v>
      </c>
      <c r="H1274" s="12">
        <v>27</v>
      </c>
      <c r="I1274" s="12">
        <v>81</v>
      </c>
      <c r="J1274" s="12">
        <v>85284.129999999961</v>
      </c>
      <c r="K1274">
        <f t="shared" si="57"/>
        <v>5</v>
      </c>
      <c r="L1274">
        <f t="shared" si="58"/>
        <v>1</v>
      </c>
      <c r="M1274">
        <f t="shared" si="59"/>
        <v>1</v>
      </c>
    </row>
    <row r="1275" spans="1:13" x14ac:dyDescent="0.25">
      <c r="A1275" s="2" t="s">
        <v>664</v>
      </c>
      <c r="B1275" s="11" t="s">
        <v>1153</v>
      </c>
      <c r="C1275" s="11" t="s">
        <v>4</v>
      </c>
      <c r="D1275" s="11" t="s">
        <v>1154</v>
      </c>
      <c r="E1275" s="11" t="s">
        <v>1165</v>
      </c>
      <c r="F1275" s="11" t="s">
        <v>1166</v>
      </c>
      <c r="G1275" s="12">
        <v>3</v>
      </c>
      <c r="H1275" s="12">
        <v>28</v>
      </c>
      <c r="I1275" s="12">
        <v>84</v>
      </c>
      <c r="J1275" s="12">
        <v>85368.129999999961</v>
      </c>
      <c r="K1275">
        <f t="shared" si="57"/>
        <v>1</v>
      </c>
      <c r="L1275">
        <f t="shared" si="58"/>
        <v>1</v>
      </c>
      <c r="M1275">
        <f t="shared" si="59"/>
        <v>1</v>
      </c>
    </row>
    <row r="1276" spans="1:13" x14ac:dyDescent="0.25">
      <c r="A1276" s="2" t="s">
        <v>664</v>
      </c>
      <c r="B1276" s="11" t="s">
        <v>1153</v>
      </c>
      <c r="C1276" s="11" t="s">
        <v>4</v>
      </c>
      <c r="D1276" s="11" t="s">
        <v>1154</v>
      </c>
      <c r="E1276" s="11" t="s">
        <v>910</v>
      </c>
      <c r="F1276" s="11" t="s">
        <v>976</v>
      </c>
      <c r="G1276" s="12">
        <v>2</v>
      </c>
      <c r="H1276" s="12">
        <v>42.24</v>
      </c>
      <c r="I1276" s="12">
        <v>84.48</v>
      </c>
      <c r="J1276" s="12">
        <v>85452.609999999957</v>
      </c>
      <c r="K1276">
        <f t="shared" si="57"/>
        <v>6</v>
      </c>
      <c r="L1276">
        <f t="shared" si="58"/>
        <v>1</v>
      </c>
      <c r="M1276">
        <f t="shared" si="59"/>
        <v>1</v>
      </c>
    </row>
    <row r="1277" spans="1:13" x14ac:dyDescent="0.25">
      <c r="A1277" s="2" t="s">
        <v>664</v>
      </c>
      <c r="B1277" s="11" t="s">
        <v>1153</v>
      </c>
      <c r="C1277" s="11" t="s">
        <v>4</v>
      </c>
      <c r="D1277" s="11" t="s">
        <v>1154</v>
      </c>
      <c r="E1277" s="11" t="s">
        <v>914</v>
      </c>
      <c r="F1277" s="11" t="s">
        <v>977</v>
      </c>
      <c r="G1277" s="12">
        <v>1</v>
      </c>
      <c r="H1277" s="12">
        <v>49.95</v>
      </c>
      <c r="I1277" s="12">
        <v>49.95</v>
      </c>
      <c r="J1277" s="12">
        <v>85502.559999999954</v>
      </c>
      <c r="K1277">
        <f t="shared" si="57"/>
        <v>5</v>
      </c>
      <c r="L1277">
        <f t="shared" si="58"/>
        <v>1</v>
      </c>
      <c r="M1277">
        <f t="shared" si="59"/>
        <v>1</v>
      </c>
    </row>
    <row r="1278" spans="1:13" x14ac:dyDescent="0.25">
      <c r="A1278" s="2" t="s">
        <v>664</v>
      </c>
      <c r="B1278" s="11" t="s">
        <v>1153</v>
      </c>
      <c r="C1278" s="11" t="s">
        <v>4</v>
      </c>
      <c r="D1278" s="11" t="s">
        <v>1154</v>
      </c>
      <c r="E1278" s="11" t="s">
        <v>920</v>
      </c>
      <c r="F1278" s="11" t="s">
        <v>1076</v>
      </c>
      <c r="G1278" s="12">
        <v>3</v>
      </c>
      <c r="H1278" s="12">
        <v>32.15</v>
      </c>
      <c r="I1278" s="12">
        <v>96.45</v>
      </c>
      <c r="J1278" s="12">
        <v>85599.009999999951</v>
      </c>
      <c r="K1278">
        <f t="shared" si="57"/>
        <v>3</v>
      </c>
      <c r="L1278">
        <f t="shared" si="58"/>
        <v>1</v>
      </c>
      <c r="M1278">
        <f t="shared" si="59"/>
        <v>1</v>
      </c>
    </row>
    <row r="1279" spans="1:13" x14ac:dyDescent="0.25">
      <c r="A1279" s="2" t="s">
        <v>664</v>
      </c>
      <c r="B1279" s="11" t="s">
        <v>1153</v>
      </c>
      <c r="C1279" s="11" t="s">
        <v>4</v>
      </c>
      <c r="D1279" s="11" t="s">
        <v>1154</v>
      </c>
      <c r="E1279" s="11" t="s">
        <v>922</v>
      </c>
      <c r="F1279" s="11" t="s">
        <v>1077</v>
      </c>
      <c r="G1279" s="12">
        <v>3</v>
      </c>
      <c r="H1279" s="12">
        <v>32.15</v>
      </c>
      <c r="I1279" s="12">
        <v>96.45</v>
      </c>
      <c r="J1279" s="12">
        <v>85695.459999999948</v>
      </c>
      <c r="K1279">
        <f t="shared" si="57"/>
        <v>3</v>
      </c>
      <c r="L1279">
        <f t="shared" si="58"/>
        <v>1</v>
      </c>
      <c r="M1279">
        <f t="shared" si="59"/>
        <v>1</v>
      </c>
    </row>
    <row r="1280" spans="1:13" x14ac:dyDescent="0.25">
      <c r="A1280" s="2" t="s">
        <v>664</v>
      </c>
      <c r="B1280" s="11" t="s">
        <v>1153</v>
      </c>
      <c r="C1280" s="11" t="s">
        <v>4</v>
      </c>
      <c r="D1280" s="11" t="s">
        <v>1154</v>
      </c>
      <c r="E1280" s="11" t="s">
        <v>924</v>
      </c>
      <c r="F1280" s="11" t="s">
        <v>1078</v>
      </c>
      <c r="G1280" s="12">
        <v>3</v>
      </c>
      <c r="H1280" s="12">
        <v>32.15</v>
      </c>
      <c r="I1280" s="12">
        <v>96.45</v>
      </c>
      <c r="J1280" s="12">
        <v>85791.909999999945</v>
      </c>
      <c r="K1280">
        <f t="shared" si="57"/>
        <v>4</v>
      </c>
      <c r="L1280">
        <f t="shared" si="58"/>
        <v>1</v>
      </c>
      <c r="M1280">
        <f t="shared" si="59"/>
        <v>1</v>
      </c>
    </row>
    <row r="1281" spans="1:13" x14ac:dyDescent="0.25">
      <c r="A1281" s="2" t="s">
        <v>664</v>
      </c>
      <c r="B1281" s="11" t="s">
        <v>1153</v>
      </c>
      <c r="C1281" s="11" t="s">
        <v>4</v>
      </c>
      <c r="D1281" s="11" t="s">
        <v>1154</v>
      </c>
      <c r="E1281" s="11" t="s">
        <v>752</v>
      </c>
      <c r="F1281" s="11" t="s">
        <v>978</v>
      </c>
      <c r="G1281" s="12">
        <v>3</v>
      </c>
      <c r="H1281" s="12">
        <v>37.450000000000003</v>
      </c>
      <c r="I1281" s="12">
        <v>112.35</v>
      </c>
      <c r="J1281" s="12">
        <v>85904.259999999951</v>
      </c>
      <c r="K1281">
        <f t="shared" si="57"/>
        <v>6</v>
      </c>
      <c r="L1281">
        <f t="shared" si="58"/>
        <v>1</v>
      </c>
      <c r="M1281">
        <f t="shared" si="59"/>
        <v>1</v>
      </c>
    </row>
    <row r="1282" spans="1:13" x14ac:dyDescent="0.25">
      <c r="A1282" s="2" t="s">
        <v>664</v>
      </c>
      <c r="B1282" s="11" t="s">
        <v>1153</v>
      </c>
      <c r="C1282" s="11" t="s">
        <v>4</v>
      </c>
      <c r="D1282" s="11" t="s">
        <v>1154</v>
      </c>
      <c r="E1282" s="11" t="s">
        <v>1106</v>
      </c>
      <c r="F1282" s="11" t="s">
        <v>1107</v>
      </c>
      <c r="G1282" s="12">
        <v>5</v>
      </c>
      <c r="H1282" s="12">
        <v>22.24</v>
      </c>
      <c r="I1282" s="12">
        <v>111.2</v>
      </c>
      <c r="J1282" s="12">
        <v>86015.459999999948</v>
      </c>
      <c r="K1282">
        <f t="shared" si="57"/>
        <v>2</v>
      </c>
      <c r="L1282">
        <f t="shared" si="58"/>
        <v>1</v>
      </c>
      <c r="M1282">
        <f t="shared" si="59"/>
        <v>1</v>
      </c>
    </row>
    <row r="1283" spans="1:13" x14ac:dyDescent="0.25">
      <c r="A1283" s="2" t="s">
        <v>664</v>
      </c>
      <c r="B1283" s="11" t="s">
        <v>1153</v>
      </c>
      <c r="C1283" s="11" t="s">
        <v>4</v>
      </c>
      <c r="D1283" s="11" t="s">
        <v>1154</v>
      </c>
      <c r="E1283" s="11" t="s">
        <v>1119</v>
      </c>
      <c r="F1283" s="11" t="s">
        <v>1120</v>
      </c>
      <c r="G1283" s="12">
        <v>2</v>
      </c>
      <c r="H1283" s="12">
        <v>25.02</v>
      </c>
      <c r="I1283" s="12">
        <v>50.04</v>
      </c>
      <c r="J1283" s="12">
        <v>86065.499999999942</v>
      </c>
      <c r="K1283">
        <f t="shared" ref="K1283:K1346" si="60">COUNTIF($E$2:$E$1466,E1283)</f>
        <v>3</v>
      </c>
      <c r="L1283">
        <f t="shared" ref="L1283:L1346" si="61">IF(G1283&gt;0,1,0)</f>
        <v>1</v>
      </c>
      <c r="M1283">
        <f t="shared" ref="M1283:M1346" si="62">IF(H1283&gt;0,1,0)</f>
        <v>1</v>
      </c>
    </row>
    <row r="1284" spans="1:13" x14ac:dyDescent="0.25">
      <c r="A1284" s="2" t="s">
        <v>664</v>
      </c>
      <c r="B1284" s="11" t="s">
        <v>1153</v>
      </c>
      <c r="C1284" s="11" t="s">
        <v>4</v>
      </c>
      <c r="D1284" s="11" t="s">
        <v>1154</v>
      </c>
      <c r="E1284" s="11" t="s">
        <v>1083</v>
      </c>
      <c r="F1284" s="11" t="s">
        <v>1167</v>
      </c>
      <c r="G1284" s="12">
        <v>2</v>
      </c>
      <c r="H1284" s="12">
        <v>22.24</v>
      </c>
      <c r="I1284" s="12">
        <v>44.48</v>
      </c>
      <c r="J1284" s="12">
        <v>86109.979999999938</v>
      </c>
      <c r="K1284">
        <f t="shared" si="60"/>
        <v>3</v>
      </c>
      <c r="L1284">
        <f t="shared" si="61"/>
        <v>1</v>
      </c>
      <c r="M1284">
        <f t="shared" si="62"/>
        <v>1</v>
      </c>
    </row>
    <row r="1285" spans="1:13" x14ac:dyDescent="0.25">
      <c r="A1285" s="2" t="s">
        <v>664</v>
      </c>
      <c r="B1285" s="11" t="s">
        <v>1153</v>
      </c>
      <c r="C1285" s="11" t="s">
        <v>4</v>
      </c>
      <c r="D1285" s="11" t="s">
        <v>1154</v>
      </c>
      <c r="E1285" s="11" t="s">
        <v>1168</v>
      </c>
      <c r="F1285" s="11" t="s">
        <v>1169</v>
      </c>
      <c r="G1285" s="12">
        <v>2</v>
      </c>
      <c r="H1285" s="12">
        <v>30.42</v>
      </c>
      <c r="I1285" s="12">
        <v>60.84</v>
      </c>
      <c r="J1285" s="12">
        <v>86170.819999999934</v>
      </c>
      <c r="K1285">
        <f t="shared" si="60"/>
        <v>3</v>
      </c>
      <c r="L1285">
        <f t="shared" si="61"/>
        <v>1</v>
      </c>
      <c r="M1285">
        <f t="shared" si="62"/>
        <v>1</v>
      </c>
    </row>
    <row r="1286" spans="1:13" x14ac:dyDescent="0.25">
      <c r="A1286" s="2" t="s">
        <v>664</v>
      </c>
      <c r="B1286" s="11" t="s">
        <v>1153</v>
      </c>
      <c r="C1286" s="11" t="s">
        <v>4</v>
      </c>
      <c r="D1286" s="11" t="s">
        <v>1154</v>
      </c>
      <c r="E1286" s="11" t="s">
        <v>1087</v>
      </c>
      <c r="F1286" s="11" t="s">
        <v>1170</v>
      </c>
      <c r="G1286" s="12">
        <v>3</v>
      </c>
      <c r="H1286" s="12">
        <v>22.24</v>
      </c>
      <c r="I1286" s="12">
        <v>66.72</v>
      </c>
      <c r="J1286" s="12">
        <v>86237.539999999935</v>
      </c>
      <c r="K1286">
        <f t="shared" si="60"/>
        <v>2</v>
      </c>
      <c r="L1286">
        <f t="shared" si="61"/>
        <v>1</v>
      </c>
      <c r="M1286">
        <f t="shared" si="62"/>
        <v>1</v>
      </c>
    </row>
    <row r="1287" spans="1:13" x14ac:dyDescent="0.25">
      <c r="A1287" s="2" t="s">
        <v>664</v>
      </c>
      <c r="B1287" s="11" t="s">
        <v>1153</v>
      </c>
      <c r="C1287" s="11" t="s">
        <v>4</v>
      </c>
      <c r="D1287" s="11" t="s">
        <v>1154</v>
      </c>
      <c r="E1287" s="11" t="s">
        <v>1171</v>
      </c>
      <c r="F1287" s="11" t="s">
        <v>1172</v>
      </c>
      <c r="G1287" s="12">
        <v>3</v>
      </c>
      <c r="H1287" s="12">
        <v>23.76</v>
      </c>
      <c r="I1287" s="12">
        <v>71.28</v>
      </c>
      <c r="J1287" s="12">
        <v>86308.819999999934</v>
      </c>
      <c r="K1287">
        <f t="shared" si="60"/>
        <v>2</v>
      </c>
      <c r="L1287">
        <f t="shared" si="61"/>
        <v>1</v>
      </c>
      <c r="M1287">
        <f t="shared" si="62"/>
        <v>1</v>
      </c>
    </row>
    <row r="1288" spans="1:13" x14ac:dyDescent="0.25">
      <c r="A1288" s="2" t="s">
        <v>664</v>
      </c>
      <c r="B1288" s="11" t="s">
        <v>1153</v>
      </c>
      <c r="C1288" s="11" t="s">
        <v>4</v>
      </c>
      <c r="D1288" s="11" t="s">
        <v>1154</v>
      </c>
      <c r="E1288" s="11" t="s">
        <v>760</v>
      </c>
      <c r="F1288" s="11" t="s">
        <v>979</v>
      </c>
      <c r="G1288" s="12">
        <v>10</v>
      </c>
      <c r="H1288" s="12">
        <v>53.5</v>
      </c>
      <c r="I1288" s="12">
        <v>535</v>
      </c>
      <c r="J1288" s="12">
        <v>86843.819999999934</v>
      </c>
      <c r="K1288">
        <f t="shared" si="60"/>
        <v>6</v>
      </c>
      <c r="L1288">
        <f t="shared" si="61"/>
        <v>1</v>
      </c>
      <c r="M1288">
        <f t="shared" si="62"/>
        <v>1</v>
      </c>
    </row>
    <row r="1289" spans="1:13" x14ac:dyDescent="0.25">
      <c r="A1289" s="2" t="s">
        <v>664</v>
      </c>
      <c r="B1289" s="11" t="s">
        <v>1153</v>
      </c>
      <c r="C1289" s="11" t="s">
        <v>4</v>
      </c>
      <c r="D1289" s="11" t="s">
        <v>1154</v>
      </c>
      <c r="E1289" s="11" t="s">
        <v>811</v>
      </c>
      <c r="F1289" s="11" t="s">
        <v>1147</v>
      </c>
      <c r="G1289" s="12">
        <v>2</v>
      </c>
      <c r="H1289" s="12">
        <v>49.8</v>
      </c>
      <c r="I1289" s="12">
        <v>99.6</v>
      </c>
      <c r="J1289" s="12">
        <v>86943.41999999994</v>
      </c>
      <c r="K1289">
        <f t="shared" si="60"/>
        <v>5</v>
      </c>
      <c r="L1289">
        <f t="shared" si="61"/>
        <v>1</v>
      </c>
      <c r="M1289">
        <f t="shared" si="62"/>
        <v>1</v>
      </c>
    </row>
    <row r="1290" spans="1:13" x14ac:dyDescent="0.25">
      <c r="A1290" s="2" t="s">
        <v>664</v>
      </c>
      <c r="B1290" s="11" t="s">
        <v>1153</v>
      </c>
      <c r="C1290" s="11" t="s">
        <v>4</v>
      </c>
      <c r="D1290" s="11" t="s">
        <v>1154</v>
      </c>
      <c r="E1290" s="11" t="s">
        <v>762</v>
      </c>
      <c r="F1290" s="11" t="s">
        <v>763</v>
      </c>
      <c r="G1290" s="12">
        <v>40</v>
      </c>
      <c r="H1290" s="12">
        <v>36</v>
      </c>
      <c r="I1290" s="12">
        <v>1440</v>
      </c>
      <c r="J1290" s="12">
        <v>88383.41999999994</v>
      </c>
      <c r="K1290">
        <f t="shared" si="60"/>
        <v>7</v>
      </c>
      <c r="L1290">
        <f t="shared" si="61"/>
        <v>1</v>
      </c>
      <c r="M1290">
        <f t="shared" si="62"/>
        <v>1</v>
      </c>
    </row>
    <row r="1291" spans="1:13" x14ac:dyDescent="0.25">
      <c r="A1291" s="2" t="s">
        <v>664</v>
      </c>
      <c r="B1291" s="11" t="s">
        <v>1153</v>
      </c>
      <c r="C1291" s="11" t="s">
        <v>4</v>
      </c>
      <c r="D1291" s="11" t="s">
        <v>1154</v>
      </c>
      <c r="E1291" s="11" t="s">
        <v>813</v>
      </c>
      <c r="F1291" s="11" t="s">
        <v>1024</v>
      </c>
      <c r="G1291" s="12">
        <v>2</v>
      </c>
      <c r="H1291" s="12">
        <v>54.57</v>
      </c>
      <c r="I1291" s="12">
        <v>109.14</v>
      </c>
      <c r="J1291" s="12">
        <v>88492.559999999939</v>
      </c>
      <c r="K1291">
        <f t="shared" si="60"/>
        <v>7</v>
      </c>
      <c r="L1291">
        <f t="shared" si="61"/>
        <v>1</v>
      </c>
      <c r="M1291">
        <f t="shared" si="62"/>
        <v>1</v>
      </c>
    </row>
    <row r="1292" spans="1:13" x14ac:dyDescent="0.25">
      <c r="A1292" s="2" t="s">
        <v>664</v>
      </c>
      <c r="B1292" s="11" t="s">
        <v>1153</v>
      </c>
      <c r="C1292" s="11" t="s">
        <v>4</v>
      </c>
      <c r="D1292" s="11" t="s">
        <v>1154</v>
      </c>
      <c r="E1292" s="11" t="s">
        <v>815</v>
      </c>
      <c r="F1292" s="11" t="s">
        <v>1148</v>
      </c>
      <c r="G1292" s="12">
        <v>2</v>
      </c>
      <c r="H1292" s="12">
        <v>45</v>
      </c>
      <c r="I1292" s="12">
        <v>90</v>
      </c>
      <c r="J1292" s="12">
        <v>88582.559999999939</v>
      </c>
      <c r="K1292">
        <f t="shared" si="60"/>
        <v>5</v>
      </c>
      <c r="L1292">
        <f t="shared" si="61"/>
        <v>1</v>
      </c>
      <c r="M1292">
        <f t="shared" si="62"/>
        <v>1</v>
      </c>
    </row>
    <row r="1293" spans="1:13" x14ac:dyDescent="0.25">
      <c r="A1293" s="2" t="s">
        <v>664</v>
      </c>
      <c r="B1293" s="11" t="s">
        <v>1153</v>
      </c>
      <c r="C1293" s="11" t="s">
        <v>4</v>
      </c>
      <c r="D1293" s="11" t="s">
        <v>1154</v>
      </c>
      <c r="E1293" s="11" t="s">
        <v>764</v>
      </c>
      <c r="F1293" s="11" t="s">
        <v>1026</v>
      </c>
      <c r="G1293" s="12">
        <v>8</v>
      </c>
      <c r="H1293" s="12">
        <v>34.659999999999997</v>
      </c>
      <c r="I1293" s="12">
        <v>277.27999999999997</v>
      </c>
      <c r="J1293" s="12">
        <v>88859.839999999938</v>
      </c>
      <c r="K1293">
        <f t="shared" si="60"/>
        <v>5</v>
      </c>
      <c r="L1293">
        <f t="shared" si="61"/>
        <v>1</v>
      </c>
      <c r="M1293">
        <f t="shared" si="62"/>
        <v>1</v>
      </c>
    </row>
    <row r="1294" spans="1:13" x14ac:dyDescent="0.25">
      <c r="A1294" s="2" t="s">
        <v>664</v>
      </c>
      <c r="B1294" s="11" t="s">
        <v>1153</v>
      </c>
      <c r="C1294" s="11" t="s">
        <v>4</v>
      </c>
      <c r="D1294" s="11" t="s">
        <v>1154</v>
      </c>
      <c r="E1294" s="11" t="s">
        <v>766</v>
      </c>
      <c r="F1294" s="11" t="s">
        <v>767</v>
      </c>
      <c r="G1294" s="12">
        <v>6</v>
      </c>
      <c r="H1294" s="12">
        <v>64.2</v>
      </c>
      <c r="I1294" s="12">
        <v>385.2</v>
      </c>
      <c r="J1294" s="12">
        <v>89245.039999999935</v>
      </c>
      <c r="K1294">
        <f t="shared" si="60"/>
        <v>2</v>
      </c>
      <c r="L1294">
        <f t="shared" si="61"/>
        <v>1</v>
      </c>
      <c r="M1294">
        <f t="shared" si="62"/>
        <v>1</v>
      </c>
    </row>
    <row r="1295" spans="1:13" x14ac:dyDescent="0.25">
      <c r="A1295" s="2" t="s">
        <v>664</v>
      </c>
      <c r="B1295" s="11" t="s">
        <v>1153</v>
      </c>
      <c r="C1295" s="11" t="s">
        <v>4</v>
      </c>
      <c r="D1295" s="11" t="s">
        <v>1154</v>
      </c>
      <c r="E1295" s="11" t="s">
        <v>770</v>
      </c>
      <c r="F1295" s="11" t="s">
        <v>1173</v>
      </c>
      <c r="G1295" s="12">
        <v>3</v>
      </c>
      <c r="H1295" s="12">
        <v>37.450000000000003</v>
      </c>
      <c r="I1295" s="12">
        <v>112.35</v>
      </c>
      <c r="J1295" s="12">
        <v>89357.389999999941</v>
      </c>
      <c r="K1295">
        <f t="shared" si="60"/>
        <v>6</v>
      </c>
      <c r="L1295">
        <f t="shared" si="61"/>
        <v>1</v>
      </c>
      <c r="M1295">
        <f t="shared" si="62"/>
        <v>1</v>
      </c>
    </row>
    <row r="1296" spans="1:13" x14ac:dyDescent="0.25">
      <c r="A1296" s="2" t="s">
        <v>664</v>
      </c>
      <c r="B1296" s="11" t="s">
        <v>1153</v>
      </c>
      <c r="C1296" s="11" t="s">
        <v>4</v>
      </c>
      <c r="D1296" s="11" t="s">
        <v>1154</v>
      </c>
      <c r="E1296" s="11" t="s">
        <v>1151</v>
      </c>
      <c r="F1296" s="11" t="s">
        <v>1174</v>
      </c>
      <c r="G1296" s="12">
        <v>10</v>
      </c>
      <c r="H1296" s="12">
        <v>26.84</v>
      </c>
      <c r="I1296" s="12">
        <v>268.39999999999998</v>
      </c>
      <c r="J1296" s="12">
        <v>89625.789999999935</v>
      </c>
      <c r="K1296">
        <f t="shared" si="60"/>
        <v>3</v>
      </c>
      <c r="L1296">
        <f t="shared" si="61"/>
        <v>1</v>
      </c>
      <c r="M1296">
        <f t="shared" si="62"/>
        <v>1</v>
      </c>
    </row>
    <row r="1297" spans="1:13" x14ac:dyDescent="0.25">
      <c r="A1297" s="2" t="s">
        <v>664</v>
      </c>
      <c r="B1297" s="11" t="s">
        <v>1153</v>
      </c>
      <c r="C1297" s="11" t="s">
        <v>4</v>
      </c>
      <c r="D1297" s="11" t="s">
        <v>1154</v>
      </c>
      <c r="E1297" s="11" t="s">
        <v>982</v>
      </c>
      <c r="F1297" s="11" t="s">
        <v>983</v>
      </c>
      <c r="G1297" s="12">
        <v>2</v>
      </c>
      <c r="H1297" s="12">
        <v>28.68</v>
      </c>
      <c r="I1297" s="12">
        <v>57.36</v>
      </c>
      <c r="J1297" s="12">
        <v>89683.149999999936</v>
      </c>
      <c r="K1297">
        <f t="shared" si="60"/>
        <v>3</v>
      </c>
      <c r="L1297">
        <f t="shared" si="61"/>
        <v>1</v>
      </c>
      <c r="M1297">
        <f t="shared" si="62"/>
        <v>1</v>
      </c>
    </row>
    <row r="1298" spans="1:13" x14ac:dyDescent="0.25">
      <c r="A1298" s="2" t="s">
        <v>664</v>
      </c>
      <c r="B1298" s="11" t="s">
        <v>1153</v>
      </c>
      <c r="C1298" s="11" t="s">
        <v>4</v>
      </c>
      <c r="D1298" s="11" t="s">
        <v>1154</v>
      </c>
      <c r="E1298" s="11" t="s">
        <v>819</v>
      </c>
      <c r="F1298" s="11" t="s">
        <v>1028</v>
      </c>
      <c r="G1298" s="12">
        <v>1</v>
      </c>
      <c r="H1298" s="12">
        <v>29.4</v>
      </c>
      <c r="I1298" s="12">
        <v>29.4</v>
      </c>
      <c r="J1298" s="12">
        <v>89712.54999999993</v>
      </c>
      <c r="K1298">
        <f t="shared" si="60"/>
        <v>6</v>
      </c>
      <c r="L1298">
        <f t="shared" si="61"/>
        <v>1</v>
      </c>
      <c r="M1298">
        <f t="shared" si="62"/>
        <v>1</v>
      </c>
    </row>
    <row r="1299" spans="1:13" x14ac:dyDescent="0.25">
      <c r="A1299" s="2" t="s">
        <v>664</v>
      </c>
      <c r="B1299" s="11" t="s">
        <v>1175</v>
      </c>
      <c r="C1299" s="11" t="s">
        <v>4</v>
      </c>
      <c r="D1299" s="11" t="s">
        <v>1176</v>
      </c>
      <c r="E1299" s="11" t="s">
        <v>1177</v>
      </c>
      <c r="F1299" s="11" t="s">
        <v>1178</v>
      </c>
      <c r="G1299" s="12">
        <v>2</v>
      </c>
      <c r="H1299" s="12">
        <v>27.04</v>
      </c>
      <c r="I1299" s="12">
        <v>54.08</v>
      </c>
      <c r="J1299" s="12">
        <v>89766.629999999932</v>
      </c>
      <c r="K1299">
        <f t="shared" si="60"/>
        <v>1</v>
      </c>
      <c r="L1299">
        <f t="shared" si="61"/>
        <v>1</v>
      </c>
      <c r="M1299">
        <f t="shared" si="62"/>
        <v>1</v>
      </c>
    </row>
    <row r="1300" spans="1:13" x14ac:dyDescent="0.25">
      <c r="A1300" s="2" t="s">
        <v>664</v>
      </c>
      <c r="B1300" s="11" t="s">
        <v>1175</v>
      </c>
      <c r="C1300" s="11" t="s">
        <v>4</v>
      </c>
      <c r="D1300" s="11" t="s">
        <v>1176</v>
      </c>
      <c r="E1300" s="11" t="s">
        <v>561</v>
      </c>
      <c r="F1300" s="11" t="s">
        <v>1179</v>
      </c>
      <c r="G1300" s="12">
        <v>100</v>
      </c>
      <c r="H1300" s="12">
        <v>34</v>
      </c>
      <c r="I1300" s="12">
        <v>3400</v>
      </c>
      <c r="J1300" s="12">
        <v>93166.629999999932</v>
      </c>
      <c r="K1300">
        <f t="shared" si="60"/>
        <v>8</v>
      </c>
      <c r="L1300">
        <f t="shared" si="61"/>
        <v>1</v>
      </c>
      <c r="M1300">
        <f t="shared" si="62"/>
        <v>1</v>
      </c>
    </row>
    <row r="1301" spans="1:13" x14ac:dyDescent="0.25">
      <c r="A1301" s="2" t="s">
        <v>664</v>
      </c>
      <c r="B1301" s="11" t="s">
        <v>1180</v>
      </c>
      <c r="C1301" s="11" t="s">
        <v>4</v>
      </c>
      <c r="D1301" s="11" t="s">
        <v>1181</v>
      </c>
      <c r="E1301" s="11" t="s">
        <v>823</v>
      </c>
      <c r="F1301" s="11" t="s">
        <v>1036</v>
      </c>
      <c r="G1301" s="12">
        <v>1</v>
      </c>
      <c r="H1301" s="12">
        <v>40.82</v>
      </c>
      <c r="I1301" s="12">
        <v>40.82</v>
      </c>
      <c r="J1301" s="12">
        <v>93207.449999999939</v>
      </c>
      <c r="K1301">
        <f t="shared" si="60"/>
        <v>6</v>
      </c>
      <c r="L1301">
        <f t="shared" si="61"/>
        <v>1</v>
      </c>
      <c r="M1301">
        <f t="shared" si="62"/>
        <v>1</v>
      </c>
    </row>
    <row r="1302" spans="1:13" x14ac:dyDescent="0.25">
      <c r="A1302" s="2" t="s">
        <v>664</v>
      </c>
      <c r="B1302" s="11" t="s">
        <v>1180</v>
      </c>
      <c r="C1302" s="11" t="s">
        <v>4</v>
      </c>
      <c r="D1302" s="11" t="s">
        <v>1181</v>
      </c>
      <c r="E1302" s="11" t="s">
        <v>1155</v>
      </c>
      <c r="F1302" s="11" t="s">
        <v>1156</v>
      </c>
      <c r="G1302" s="12">
        <v>1</v>
      </c>
      <c r="H1302" s="12">
        <v>32.1</v>
      </c>
      <c r="I1302" s="12">
        <v>32.1</v>
      </c>
      <c r="J1302" s="12">
        <v>93239.549999999945</v>
      </c>
      <c r="K1302">
        <f t="shared" si="60"/>
        <v>4</v>
      </c>
      <c r="L1302">
        <f t="shared" si="61"/>
        <v>1</v>
      </c>
      <c r="M1302">
        <f t="shared" si="62"/>
        <v>1</v>
      </c>
    </row>
    <row r="1303" spans="1:13" x14ac:dyDescent="0.25">
      <c r="A1303" s="2" t="s">
        <v>664</v>
      </c>
      <c r="B1303" s="11" t="s">
        <v>1180</v>
      </c>
      <c r="C1303" s="11" t="s">
        <v>4</v>
      </c>
      <c r="D1303" s="11" t="s">
        <v>1181</v>
      </c>
      <c r="E1303" s="11" t="s">
        <v>837</v>
      </c>
      <c r="F1303" s="11" t="s">
        <v>934</v>
      </c>
      <c r="G1303" s="12">
        <v>2</v>
      </c>
      <c r="H1303" s="12">
        <v>30.64</v>
      </c>
      <c r="I1303" s="12">
        <v>61.28</v>
      </c>
      <c r="J1303" s="12">
        <v>93300.829999999944</v>
      </c>
      <c r="K1303">
        <f t="shared" si="60"/>
        <v>4</v>
      </c>
      <c r="L1303">
        <f t="shared" si="61"/>
        <v>1</v>
      </c>
      <c r="M1303">
        <f t="shared" si="62"/>
        <v>1</v>
      </c>
    </row>
    <row r="1304" spans="1:13" x14ac:dyDescent="0.25">
      <c r="A1304" s="2" t="s">
        <v>664</v>
      </c>
      <c r="B1304" s="11" t="s">
        <v>1180</v>
      </c>
      <c r="C1304" s="11" t="s">
        <v>4</v>
      </c>
      <c r="D1304" s="11" t="s">
        <v>1181</v>
      </c>
      <c r="E1304" s="11" t="s">
        <v>843</v>
      </c>
      <c r="F1304" s="11" t="s">
        <v>1050</v>
      </c>
      <c r="G1304" s="12">
        <v>2</v>
      </c>
      <c r="H1304" s="12">
        <v>53.68</v>
      </c>
      <c r="I1304" s="12">
        <v>107.36</v>
      </c>
      <c r="J1304" s="12">
        <v>93408.189999999944</v>
      </c>
      <c r="K1304">
        <f t="shared" si="60"/>
        <v>5</v>
      </c>
      <c r="L1304">
        <f t="shared" si="61"/>
        <v>1</v>
      </c>
      <c r="M1304">
        <f t="shared" si="62"/>
        <v>1</v>
      </c>
    </row>
    <row r="1305" spans="1:13" x14ac:dyDescent="0.25">
      <c r="A1305" s="2" t="s">
        <v>664</v>
      </c>
      <c r="B1305" s="11" t="s">
        <v>1180</v>
      </c>
      <c r="C1305" s="11" t="s">
        <v>4</v>
      </c>
      <c r="D1305" s="11" t="s">
        <v>1181</v>
      </c>
      <c r="E1305" s="11" t="s">
        <v>64</v>
      </c>
      <c r="F1305" s="11" t="s">
        <v>65</v>
      </c>
      <c r="G1305" s="12">
        <v>3</v>
      </c>
      <c r="H1305" s="12">
        <v>50.9</v>
      </c>
      <c r="I1305" s="12">
        <v>152.69999999999999</v>
      </c>
      <c r="J1305" s="12">
        <v>93560.889999999941</v>
      </c>
      <c r="K1305">
        <f t="shared" si="60"/>
        <v>6</v>
      </c>
      <c r="L1305">
        <f t="shared" si="61"/>
        <v>1</v>
      </c>
      <c r="M1305">
        <f t="shared" si="62"/>
        <v>1</v>
      </c>
    </row>
    <row r="1306" spans="1:13" x14ac:dyDescent="0.25">
      <c r="A1306" s="2" t="s">
        <v>664</v>
      </c>
      <c r="B1306" s="11" t="s">
        <v>1180</v>
      </c>
      <c r="C1306" s="11" t="s">
        <v>4</v>
      </c>
      <c r="D1306" s="11" t="s">
        <v>1181</v>
      </c>
      <c r="E1306" s="11" t="s">
        <v>561</v>
      </c>
      <c r="F1306" s="11" t="s">
        <v>1179</v>
      </c>
      <c r="G1306" s="12">
        <v>50</v>
      </c>
      <c r="H1306" s="12">
        <v>34</v>
      </c>
      <c r="I1306" s="12">
        <v>1700</v>
      </c>
      <c r="J1306" s="12">
        <v>95260.889999999941</v>
      </c>
      <c r="K1306">
        <f t="shared" si="60"/>
        <v>8</v>
      </c>
      <c r="L1306">
        <f t="shared" si="61"/>
        <v>1</v>
      </c>
      <c r="M1306">
        <f t="shared" si="62"/>
        <v>1</v>
      </c>
    </row>
    <row r="1307" spans="1:13" x14ac:dyDescent="0.25">
      <c r="A1307" s="2" t="s">
        <v>664</v>
      </c>
      <c r="B1307" s="11" t="s">
        <v>1180</v>
      </c>
      <c r="C1307" s="11" t="s">
        <v>4</v>
      </c>
      <c r="D1307" s="11" t="s">
        <v>1181</v>
      </c>
      <c r="E1307" s="11" t="s">
        <v>1182</v>
      </c>
      <c r="F1307" s="11" t="s">
        <v>1183</v>
      </c>
      <c r="G1307" s="12">
        <v>2</v>
      </c>
      <c r="H1307" s="12">
        <v>38.93</v>
      </c>
      <c r="I1307" s="12">
        <v>77.86</v>
      </c>
      <c r="J1307" s="12">
        <v>95338.749999999942</v>
      </c>
      <c r="K1307">
        <f t="shared" si="60"/>
        <v>2</v>
      </c>
      <c r="L1307">
        <f t="shared" si="61"/>
        <v>1</v>
      </c>
      <c r="M1307">
        <f t="shared" si="62"/>
        <v>1</v>
      </c>
    </row>
    <row r="1308" spans="1:13" x14ac:dyDescent="0.25">
      <c r="A1308" s="2" t="s">
        <v>664</v>
      </c>
      <c r="B1308" s="11" t="s">
        <v>1184</v>
      </c>
      <c r="C1308" s="11" t="s">
        <v>4</v>
      </c>
      <c r="D1308" s="11" t="s">
        <v>1185</v>
      </c>
      <c r="E1308" s="11" t="s">
        <v>1108</v>
      </c>
      <c r="F1308" s="11" t="s">
        <v>1109</v>
      </c>
      <c r="G1308" s="12">
        <v>5</v>
      </c>
      <c r="H1308" s="12">
        <v>22.24</v>
      </c>
      <c r="I1308" s="12">
        <v>111.2</v>
      </c>
      <c r="J1308" s="12">
        <v>95449.949999999939</v>
      </c>
      <c r="K1308">
        <f t="shared" si="60"/>
        <v>3</v>
      </c>
      <c r="L1308">
        <f t="shared" si="61"/>
        <v>1</v>
      </c>
      <c r="M1308">
        <f t="shared" si="62"/>
        <v>1</v>
      </c>
    </row>
    <row r="1309" spans="1:13" x14ac:dyDescent="0.25">
      <c r="A1309" s="2" t="s">
        <v>664</v>
      </c>
      <c r="B1309" s="11" t="s">
        <v>1184</v>
      </c>
      <c r="C1309" s="11" t="s">
        <v>4</v>
      </c>
      <c r="D1309" s="11" t="s">
        <v>1185</v>
      </c>
      <c r="E1309" s="11" t="s">
        <v>1186</v>
      </c>
      <c r="F1309" s="11" t="s">
        <v>1187</v>
      </c>
      <c r="G1309" s="12">
        <v>1</v>
      </c>
      <c r="H1309" s="12">
        <v>22.24</v>
      </c>
      <c r="I1309" s="12">
        <v>22.24</v>
      </c>
      <c r="J1309" s="12">
        <v>95472.189999999944</v>
      </c>
      <c r="K1309">
        <f t="shared" si="60"/>
        <v>3</v>
      </c>
      <c r="L1309">
        <f t="shared" si="61"/>
        <v>1</v>
      </c>
      <c r="M1309">
        <f t="shared" si="62"/>
        <v>1</v>
      </c>
    </row>
    <row r="1310" spans="1:13" x14ac:dyDescent="0.25">
      <c r="A1310" s="2" t="s">
        <v>664</v>
      </c>
      <c r="B1310" s="11" t="s">
        <v>1188</v>
      </c>
      <c r="C1310" s="11" t="s">
        <v>4</v>
      </c>
      <c r="D1310" s="11" t="s">
        <v>1189</v>
      </c>
      <c r="E1310" s="11" t="s">
        <v>1190</v>
      </c>
      <c r="F1310" s="11" t="s">
        <v>1191</v>
      </c>
      <c r="G1310" s="12">
        <v>6</v>
      </c>
      <c r="H1310" s="12">
        <v>10.68</v>
      </c>
      <c r="I1310" s="12">
        <v>64.08</v>
      </c>
      <c r="J1310" s="12">
        <v>95536.269999999946</v>
      </c>
      <c r="K1310">
        <f t="shared" si="60"/>
        <v>3</v>
      </c>
      <c r="L1310">
        <f t="shared" si="61"/>
        <v>1</v>
      </c>
      <c r="M1310">
        <f t="shared" si="62"/>
        <v>1</v>
      </c>
    </row>
    <row r="1311" spans="1:13" x14ac:dyDescent="0.25">
      <c r="A1311" s="16" t="s">
        <v>664</v>
      </c>
      <c r="B1311" s="17" t="s">
        <v>1192</v>
      </c>
      <c r="C1311" s="17" t="s">
        <v>214</v>
      </c>
      <c r="D1311" s="17" t="s">
        <v>5</v>
      </c>
      <c r="E1311" s="17" t="s">
        <v>72</v>
      </c>
      <c r="F1311" s="17" t="s">
        <v>73</v>
      </c>
      <c r="G1311" s="18">
        <v>-1</v>
      </c>
      <c r="H1311" s="18">
        <v>66.88</v>
      </c>
      <c r="I1311" s="18">
        <v>-66.88</v>
      </c>
      <c r="J1311" s="18">
        <v>95469.389999999941</v>
      </c>
      <c r="K1311" s="19">
        <f t="shared" si="60"/>
        <v>6</v>
      </c>
      <c r="L1311" s="19">
        <f t="shared" si="61"/>
        <v>0</v>
      </c>
      <c r="M1311">
        <f t="shared" si="62"/>
        <v>1</v>
      </c>
    </row>
    <row r="1312" spans="1:13" x14ac:dyDescent="0.25">
      <c r="A1312" s="2" t="s">
        <v>664</v>
      </c>
      <c r="B1312" s="11" t="s">
        <v>1193</v>
      </c>
      <c r="C1312" s="11" t="s">
        <v>4</v>
      </c>
      <c r="D1312" s="11" t="s">
        <v>1194</v>
      </c>
      <c r="E1312" s="11" t="s">
        <v>720</v>
      </c>
      <c r="F1312" s="11" t="s">
        <v>721</v>
      </c>
      <c r="G1312" s="12">
        <v>8</v>
      </c>
      <c r="H1312" s="12">
        <v>23.96</v>
      </c>
      <c r="I1312" s="12">
        <v>191.68</v>
      </c>
      <c r="J1312" s="12">
        <v>95661.069999999934</v>
      </c>
      <c r="K1312">
        <f t="shared" si="60"/>
        <v>8</v>
      </c>
      <c r="L1312">
        <f t="shared" si="61"/>
        <v>1</v>
      </c>
      <c r="M1312">
        <f t="shared" si="62"/>
        <v>1</v>
      </c>
    </row>
    <row r="1313" spans="1:13" x14ac:dyDescent="0.25">
      <c r="A1313" s="2" t="s">
        <v>664</v>
      </c>
      <c r="B1313" s="11" t="s">
        <v>1193</v>
      </c>
      <c r="C1313" s="11" t="s">
        <v>4</v>
      </c>
      <c r="D1313" s="11" t="s">
        <v>1194</v>
      </c>
      <c r="E1313" s="11" t="s">
        <v>724</v>
      </c>
      <c r="F1313" s="11" t="s">
        <v>1195</v>
      </c>
      <c r="G1313" s="12">
        <v>5</v>
      </c>
      <c r="H1313" s="12">
        <v>35</v>
      </c>
      <c r="I1313" s="12">
        <v>175</v>
      </c>
      <c r="J1313" s="12">
        <v>95836.069999999934</v>
      </c>
      <c r="K1313">
        <f t="shared" si="60"/>
        <v>2</v>
      </c>
      <c r="L1313">
        <f t="shared" si="61"/>
        <v>1</v>
      </c>
      <c r="M1313">
        <f t="shared" si="62"/>
        <v>1</v>
      </c>
    </row>
    <row r="1314" spans="1:13" x14ac:dyDescent="0.25">
      <c r="A1314" s="2" t="s">
        <v>664</v>
      </c>
      <c r="B1314" s="11" t="s">
        <v>1193</v>
      </c>
      <c r="C1314" s="11" t="s">
        <v>4</v>
      </c>
      <c r="D1314" s="11" t="s">
        <v>1194</v>
      </c>
      <c r="E1314" s="11" t="s">
        <v>957</v>
      </c>
      <c r="F1314" s="11" t="s">
        <v>1196</v>
      </c>
      <c r="G1314" s="12">
        <v>6</v>
      </c>
      <c r="H1314" s="12">
        <v>39</v>
      </c>
      <c r="I1314" s="12">
        <v>234</v>
      </c>
      <c r="J1314" s="12">
        <v>96070.069999999934</v>
      </c>
      <c r="K1314">
        <f t="shared" si="60"/>
        <v>3</v>
      </c>
      <c r="L1314">
        <f t="shared" si="61"/>
        <v>1</v>
      </c>
      <c r="M1314">
        <f t="shared" si="62"/>
        <v>1</v>
      </c>
    </row>
    <row r="1315" spans="1:13" x14ac:dyDescent="0.25">
      <c r="A1315" s="2" t="s">
        <v>664</v>
      </c>
      <c r="B1315" s="11" t="s">
        <v>1193</v>
      </c>
      <c r="C1315" s="11" t="s">
        <v>4</v>
      </c>
      <c r="D1315" s="11" t="s">
        <v>1194</v>
      </c>
      <c r="E1315" s="11" t="s">
        <v>955</v>
      </c>
      <c r="F1315" s="11" t="s">
        <v>1197</v>
      </c>
      <c r="G1315" s="12">
        <v>6</v>
      </c>
      <c r="H1315" s="12">
        <v>39</v>
      </c>
      <c r="I1315" s="12">
        <v>234</v>
      </c>
      <c r="J1315" s="12">
        <v>96304.069999999934</v>
      </c>
      <c r="K1315">
        <f t="shared" si="60"/>
        <v>3</v>
      </c>
      <c r="L1315">
        <f t="shared" si="61"/>
        <v>1</v>
      </c>
      <c r="M1315">
        <f t="shared" si="62"/>
        <v>1</v>
      </c>
    </row>
    <row r="1316" spans="1:13" x14ac:dyDescent="0.25">
      <c r="A1316" s="2" t="s">
        <v>664</v>
      </c>
      <c r="B1316" s="11" t="s">
        <v>1193</v>
      </c>
      <c r="C1316" s="11" t="s">
        <v>4</v>
      </c>
      <c r="D1316" s="11" t="s">
        <v>1194</v>
      </c>
      <c r="E1316" s="11" t="s">
        <v>734</v>
      </c>
      <c r="F1316" s="11" t="s">
        <v>1198</v>
      </c>
      <c r="G1316" s="12">
        <v>6</v>
      </c>
      <c r="H1316" s="12">
        <v>11.88</v>
      </c>
      <c r="I1316" s="12">
        <v>71.28</v>
      </c>
      <c r="J1316" s="12">
        <v>96375.349999999933</v>
      </c>
      <c r="K1316">
        <f t="shared" si="60"/>
        <v>5</v>
      </c>
      <c r="L1316">
        <f t="shared" si="61"/>
        <v>1</v>
      </c>
      <c r="M1316">
        <f t="shared" si="62"/>
        <v>1</v>
      </c>
    </row>
    <row r="1317" spans="1:13" x14ac:dyDescent="0.25">
      <c r="A1317" s="2" t="s">
        <v>664</v>
      </c>
      <c r="B1317" s="11" t="s">
        <v>1193</v>
      </c>
      <c r="C1317" s="11" t="s">
        <v>4</v>
      </c>
      <c r="D1317" s="11" t="s">
        <v>1194</v>
      </c>
      <c r="E1317" s="11" t="s">
        <v>863</v>
      </c>
      <c r="F1317" s="11" t="s">
        <v>960</v>
      </c>
      <c r="G1317" s="12">
        <v>18</v>
      </c>
      <c r="H1317" s="12">
        <v>49.52</v>
      </c>
      <c r="I1317" s="12">
        <v>891.36</v>
      </c>
      <c r="J1317" s="12">
        <v>97266.709999999934</v>
      </c>
      <c r="K1317">
        <f t="shared" si="60"/>
        <v>7</v>
      </c>
      <c r="L1317">
        <f t="shared" si="61"/>
        <v>1</v>
      </c>
      <c r="M1317">
        <f t="shared" si="62"/>
        <v>1</v>
      </c>
    </row>
    <row r="1318" spans="1:13" x14ac:dyDescent="0.25">
      <c r="A1318" s="2" t="s">
        <v>664</v>
      </c>
      <c r="B1318" s="11" t="s">
        <v>1193</v>
      </c>
      <c r="C1318" s="11" t="s">
        <v>4</v>
      </c>
      <c r="D1318" s="11" t="s">
        <v>1194</v>
      </c>
      <c r="E1318" s="11" t="s">
        <v>865</v>
      </c>
      <c r="F1318" s="11" t="s">
        <v>961</v>
      </c>
      <c r="G1318" s="12">
        <v>22</v>
      </c>
      <c r="H1318" s="12">
        <v>49.52</v>
      </c>
      <c r="I1318" s="12">
        <v>1089.44</v>
      </c>
      <c r="J1318" s="12">
        <v>98356.149999999936</v>
      </c>
      <c r="K1318">
        <f t="shared" si="60"/>
        <v>7</v>
      </c>
      <c r="L1318">
        <f t="shared" si="61"/>
        <v>1</v>
      </c>
      <c r="M1318">
        <f t="shared" si="62"/>
        <v>1</v>
      </c>
    </row>
    <row r="1319" spans="1:13" x14ac:dyDescent="0.25">
      <c r="A1319" s="2" t="s">
        <v>664</v>
      </c>
      <c r="B1319" s="11" t="s">
        <v>1193</v>
      </c>
      <c r="C1319" s="11" t="s">
        <v>4</v>
      </c>
      <c r="D1319" s="11" t="s">
        <v>1194</v>
      </c>
      <c r="E1319" s="11" t="s">
        <v>739</v>
      </c>
      <c r="F1319" s="11" t="s">
        <v>964</v>
      </c>
      <c r="G1319" s="12">
        <v>20</v>
      </c>
      <c r="H1319" s="12">
        <v>14</v>
      </c>
      <c r="I1319" s="12">
        <v>280</v>
      </c>
      <c r="J1319" s="12">
        <v>98636.149999999936</v>
      </c>
      <c r="K1319">
        <f t="shared" si="60"/>
        <v>7</v>
      </c>
      <c r="L1319">
        <f t="shared" si="61"/>
        <v>1</v>
      </c>
      <c r="M1319">
        <f t="shared" si="62"/>
        <v>1</v>
      </c>
    </row>
    <row r="1320" spans="1:13" x14ac:dyDescent="0.25">
      <c r="A1320" s="2" t="s">
        <v>664</v>
      </c>
      <c r="B1320" s="11" t="s">
        <v>1193</v>
      </c>
      <c r="C1320" s="11" t="s">
        <v>4</v>
      </c>
      <c r="D1320" s="11" t="s">
        <v>1194</v>
      </c>
      <c r="E1320" s="11" t="s">
        <v>741</v>
      </c>
      <c r="F1320" s="11" t="s">
        <v>1065</v>
      </c>
      <c r="G1320" s="12">
        <v>6</v>
      </c>
      <c r="H1320" s="12">
        <v>14</v>
      </c>
      <c r="I1320" s="12">
        <v>84</v>
      </c>
      <c r="J1320" s="12">
        <v>98720.149999999936</v>
      </c>
      <c r="K1320">
        <f t="shared" si="60"/>
        <v>7</v>
      </c>
      <c r="L1320">
        <f t="shared" si="61"/>
        <v>1</v>
      </c>
      <c r="M1320">
        <f t="shared" si="62"/>
        <v>1</v>
      </c>
    </row>
    <row r="1321" spans="1:13" x14ac:dyDescent="0.25">
      <c r="A1321" s="2" t="s">
        <v>664</v>
      </c>
      <c r="B1321" s="11" t="s">
        <v>1193</v>
      </c>
      <c r="C1321" s="11" t="s">
        <v>4</v>
      </c>
      <c r="D1321" s="11" t="s">
        <v>1194</v>
      </c>
      <c r="E1321" s="11" t="s">
        <v>878</v>
      </c>
      <c r="F1321" s="11" t="s">
        <v>965</v>
      </c>
      <c r="G1321" s="12">
        <v>6</v>
      </c>
      <c r="H1321" s="12">
        <v>14</v>
      </c>
      <c r="I1321" s="12">
        <v>84</v>
      </c>
      <c r="J1321" s="12">
        <v>98804.149999999936</v>
      </c>
      <c r="K1321">
        <f t="shared" si="60"/>
        <v>5</v>
      </c>
      <c r="L1321">
        <f t="shared" si="61"/>
        <v>1</v>
      </c>
      <c r="M1321">
        <f t="shared" si="62"/>
        <v>1</v>
      </c>
    </row>
    <row r="1322" spans="1:13" x14ac:dyDescent="0.25">
      <c r="A1322" s="2" t="s">
        <v>664</v>
      </c>
      <c r="B1322" s="11" t="s">
        <v>1193</v>
      </c>
      <c r="C1322" s="11" t="s">
        <v>4</v>
      </c>
      <c r="D1322" s="11" t="s">
        <v>1194</v>
      </c>
      <c r="E1322" s="11" t="s">
        <v>1066</v>
      </c>
      <c r="F1322" s="11" t="s">
        <v>1067</v>
      </c>
      <c r="G1322" s="12">
        <v>6</v>
      </c>
      <c r="H1322" s="12">
        <v>14</v>
      </c>
      <c r="I1322" s="12">
        <v>84</v>
      </c>
      <c r="J1322" s="12">
        <v>98888.149999999936</v>
      </c>
      <c r="K1322">
        <f t="shared" si="60"/>
        <v>4</v>
      </c>
      <c r="L1322">
        <f t="shared" si="61"/>
        <v>1</v>
      </c>
      <c r="M1322">
        <f t="shared" si="62"/>
        <v>1</v>
      </c>
    </row>
    <row r="1323" spans="1:13" x14ac:dyDescent="0.25">
      <c r="A1323" s="2" t="s">
        <v>664</v>
      </c>
      <c r="B1323" s="11" t="s">
        <v>1193</v>
      </c>
      <c r="C1323" s="11" t="s">
        <v>4</v>
      </c>
      <c r="D1323" s="11" t="s">
        <v>1194</v>
      </c>
      <c r="E1323" s="11" t="s">
        <v>1068</v>
      </c>
      <c r="F1323" s="11" t="s">
        <v>1069</v>
      </c>
      <c r="G1323" s="12">
        <v>6</v>
      </c>
      <c r="H1323" s="12">
        <v>14</v>
      </c>
      <c r="I1323" s="12">
        <v>84</v>
      </c>
      <c r="J1323" s="12">
        <v>98972.149999999936</v>
      </c>
      <c r="K1323">
        <f t="shared" si="60"/>
        <v>5</v>
      </c>
      <c r="L1323">
        <f t="shared" si="61"/>
        <v>1</v>
      </c>
      <c r="M1323">
        <f t="shared" si="62"/>
        <v>1</v>
      </c>
    </row>
    <row r="1324" spans="1:13" x14ac:dyDescent="0.25">
      <c r="A1324" s="2" t="s">
        <v>664</v>
      </c>
      <c r="B1324" s="11" t="s">
        <v>1193</v>
      </c>
      <c r="C1324" s="11" t="s">
        <v>4</v>
      </c>
      <c r="D1324" s="11" t="s">
        <v>1194</v>
      </c>
      <c r="E1324" s="11" t="s">
        <v>880</v>
      </c>
      <c r="F1324" s="11" t="s">
        <v>935</v>
      </c>
      <c r="G1324" s="12">
        <v>18</v>
      </c>
      <c r="H1324" s="12">
        <v>14</v>
      </c>
      <c r="I1324" s="12">
        <v>252</v>
      </c>
      <c r="J1324" s="12">
        <v>99224.149999999936</v>
      </c>
      <c r="K1324">
        <f t="shared" si="60"/>
        <v>6</v>
      </c>
      <c r="L1324">
        <f t="shared" si="61"/>
        <v>1</v>
      </c>
      <c r="M1324">
        <f t="shared" si="62"/>
        <v>1</v>
      </c>
    </row>
    <row r="1325" spans="1:13" x14ac:dyDescent="0.25">
      <c r="A1325" s="2" t="s">
        <v>664</v>
      </c>
      <c r="B1325" s="11" t="s">
        <v>1193</v>
      </c>
      <c r="C1325" s="11" t="s">
        <v>4</v>
      </c>
      <c r="D1325" s="11" t="s">
        <v>1194</v>
      </c>
      <c r="E1325" s="11" t="s">
        <v>882</v>
      </c>
      <c r="F1325" s="11" t="s">
        <v>966</v>
      </c>
      <c r="G1325" s="12">
        <v>32</v>
      </c>
      <c r="H1325" s="12">
        <v>14</v>
      </c>
      <c r="I1325" s="12">
        <v>448</v>
      </c>
      <c r="J1325" s="12">
        <v>99672.149999999936</v>
      </c>
      <c r="K1325">
        <f t="shared" si="60"/>
        <v>5</v>
      </c>
      <c r="L1325">
        <f t="shared" si="61"/>
        <v>1</v>
      </c>
      <c r="M1325">
        <f t="shared" si="62"/>
        <v>1</v>
      </c>
    </row>
    <row r="1326" spans="1:13" x14ac:dyDescent="0.25">
      <c r="A1326" s="2" t="s">
        <v>664</v>
      </c>
      <c r="B1326" s="11" t="s">
        <v>1193</v>
      </c>
      <c r="C1326" s="11" t="s">
        <v>4</v>
      </c>
      <c r="D1326" s="11" t="s">
        <v>1194</v>
      </c>
      <c r="E1326" s="11" t="s">
        <v>786</v>
      </c>
      <c r="F1326" s="11" t="s">
        <v>967</v>
      </c>
      <c r="G1326" s="12">
        <v>2</v>
      </c>
      <c r="H1326" s="12">
        <v>22.86</v>
      </c>
      <c r="I1326" s="12">
        <v>45.72</v>
      </c>
      <c r="J1326" s="12">
        <v>99717.869999999937</v>
      </c>
      <c r="K1326">
        <f t="shared" si="60"/>
        <v>8</v>
      </c>
      <c r="L1326">
        <f t="shared" si="61"/>
        <v>1</v>
      </c>
      <c r="M1326">
        <f t="shared" si="62"/>
        <v>1</v>
      </c>
    </row>
    <row r="1327" spans="1:13" x14ac:dyDescent="0.25">
      <c r="A1327" s="2" t="s">
        <v>664</v>
      </c>
      <c r="B1327" s="11" t="s">
        <v>1193</v>
      </c>
      <c r="C1327" s="11" t="s">
        <v>4</v>
      </c>
      <c r="D1327" s="11" t="s">
        <v>1194</v>
      </c>
      <c r="E1327" s="11" t="s">
        <v>1010</v>
      </c>
      <c r="F1327" s="11" t="s">
        <v>1070</v>
      </c>
      <c r="G1327" s="12">
        <v>8</v>
      </c>
      <c r="H1327" s="12">
        <v>14</v>
      </c>
      <c r="I1327" s="12">
        <v>112</v>
      </c>
      <c r="J1327" s="12">
        <v>99829.869999999937</v>
      </c>
      <c r="K1327">
        <f t="shared" si="60"/>
        <v>4</v>
      </c>
      <c r="L1327">
        <f t="shared" si="61"/>
        <v>1</v>
      </c>
      <c r="M1327">
        <f t="shared" si="62"/>
        <v>1</v>
      </c>
    </row>
    <row r="1328" spans="1:13" x14ac:dyDescent="0.25">
      <c r="A1328" s="2" t="s">
        <v>664</v>
      </c>
      <c r="B1328" s="11" t="s">
        <v>1193</v>
      </c>
      <c r="C1328" s="11" t="s">
        <v>4</v>
      </c>
      <c r="D1328" s="11" t="s">
        <v>1194</v>
      </c>
      <c r="E1328" s="11" t="s">
        <v>891</v>
      </c>
      <c r="F1328" s="11" t="s">
        <v>971</v>
      </c>
      <c r="G1328" s="12">
        <v>8</v>
      </c>
      <c r="H1328" s="12">
        <v>14</v>
      </c>
      <c r="I1328" s="12">
        <v>112</v>
      </c>
      <c r="J1328" s="12">
        <v>99941.869999999937</v>
      </c>
      <c r="K1328">
        <f t="shared" si="60"/>
        <v>4</v>
      </c>
      <c r="L1328">
        <f t="shared" si="61"/>
        <v>1</v>
      </c>
      <c r="M1328">
        <f t="shared" si="62"/>
        <v>1</v>
      </c>
    </row>
    <row r="1329" spans="1:13" x14ac:dyDescent="0.25">
      <c r="A1329" s="2" t="s">
        <v>664</v>
      </c>
      <c r="B1329" s="11" t="s">
        <v>1193</v>
      </c>
      <c r="C1329" s="11" t="s">
        <v>4</v>
      </c>
      <c r="D1329" s="11" t="s">
        <v>1194</v>
      </c>
      <c r="E1329" s="11" t="s">
        <v>904</v>
      </c>
      <c r="F1329" s="11" t="s">
        <v>1073</v>
      </c>
      <c r="G1329" s="12">
        <v>4</v>
      </c>
      <c r="H1329" s="12">
        <v>27</v>
      </c>
      <c r="I1329" s="12">
        <v>108</v>
      </c>
      <c r="J1329" s="12">
        <v>100049.86999999994</v>
      </c>
      <c r="K1329">
        <f t="shared" si="60"/>
        <v>5</v>
      </c>
      <c r="L1329">
        <f t="shared" si="61"/>
        <v>1</v>
      </c>
      <c r="M1329">
        <f t="shared" si="62"/>
        <v>1</v>
      </c>
    </row>
    <row r="1330" spans="1:13" x14ac:dyDescent="0.25">
      <c r="A1330" s="2" t="s">
        <v>664</v>
      </c>
      <c r="B1330" s="11" t="s">
        <v>1193</v>
      </c>
      <c r="C1330" s="11" t="s">
        <v>4</v>
      </c>
      <c r="D1330" s="11" t="s">
        <v>1194</v>
      </c>
      <c r="E1330" s="11" t="s">
        <v>910</v>
      </c>
      <c r="F1330" s="11" t="s">
        <v>976</v>
      </c>
      <c r="G1330" s="12">
        <v>4</v>
      </c>
      <c r="H1330" s="12">
        <v>42.24</v>
      </c>
      <c r="I1330" s="12">
        <v>168.96</v>
      </c>
      <c r="J1330" s="12">
        <v>100218.82999999994</v>
      </c>
      <c r="K1330">
        <f t="shared" si="60"/>
        <v>6</v>
      </c>
      <c r="L1330">
        <f t="shared" si="61"/>
        <v>1</v>
      </c>
      <c r="M1330">
        <f t="shared" si="62"/>
        <v>1</v>
      </c>
    </row>
    <row r="1331" spans="1:13" x14ac:dyDescent="0.25">
      <c r="A1331" s="2" t="s">
        <v>664</v>
      </c>
      <c r="B1331" s="11" t="s">
        <v>1193</v>
      </c>
      <c r="C1331" s="11" t="s">
        <v>4</v>
      </c>
      <c r="D1331" s="11" t="s">
        <v>1194</v>
      </c>
      <c r="E1331" s="11" t="s">
        <v>1199</v>
      </c>
      <c r="F1331" s="11" t="s">
        <v>1200</v>
      </c>
      <c r="G1331" s="12">
        <v>2</v>
      </c>
      <c r="H1331" s="12">
        <v>18</v>
      </c>
      <c r="I1331" s="12">
        <v>36</v>
      </c>
      <c r="J1331" s="12">
        <v>100254.82999999994</v>
      </c>
      <c r="K1331">
        <f t="shared" si="60"/>
        <v>2</v>
      </c>
      <c r="L1331">
        <f t="shared" si="61"/>
        <v>1</v>
      </c>
      <c r="M1331">
        <f t="shared" si="62"/>
        <v>1</v>
      </c>
    </row>
    <row r="1332" spans="1:13" x14ac:dyDescent="0.25">
      <c r="A1332" s="2" t="s">
        <v>664</v>
      </c>
      <c r="B1332" s="11" t="s">
        <v>1201</v>
      </c>
      <c r="C1332" s="11" t="s">
        <v>4</v>
      </c>
      <c r="D1332" s="11" t="s">
        <v>1202</v>
      </c>
      <c r="E1332" s="11" t="s">
        <v>673</v>
      </c>
      <c r="F1332" s="11" t="s">
        <v>1037</v>
      </c>
      <c r="G1332" s="12">
        <v>2</v>
      </c>
      <c r="H1332" s="12">
        <v>33.380000000000003</v>
      </c>
      <c r="I1332" s="12">
        <v>66.760000000000005</v>
      </c>
      <c r="J1332" s="12">
        <v>100321.58999999994</v>
      </c>
      <c r="K1332">
        <f t="shared" si="60"/>
        <v>7</v>
      </c>
      <c r="L1332">
        <f t="shared" si="61"/>
        <v>1</v>
      </c>
      <c r="M1332">
        <f t="shared" si="62"/>
        <v>1</v>
      </c>
    </row>
    <row r="1333" spans="1:13" x14ac:dyDescent="0.25">
      <c r="A1333" s="2" t="s">
        <v>664</v>
      </c>
      <c r="B1333" s="11" t="s">
        <v>1201</v>
      </c>
      <c r="C1333" s="11" t="s">
        <v>4</v>
      </c>
      <c r="D1333" s="11" t="s">
        <v>1202</v>
      </c>
      <c r="E1333" s="11" t="s">
        <v>1155</v>
      </c>
      <c r="F1333" s="11" t="s">
        <v>1156</v>
      </c>
      <c r="G1333" s="12">
        <v>4</v>
      </c>
      <c r="H1333" s="12">
        <v>32.1</v>
      </c>
      <c r="I1333" s="12">
        <v>128.4</v>
      </c>
      <c r="J1333" s="12">
        <v>100449.98999999993</v>
      </c>
      <c r="K1333">
        <f t="shared" si="60"/>
        <v>4</v>
      </c>
      <c r="L1333">
        <f t="shared" si="61"/>
        <v>1</v>
      </c>
      <c r="M1333">
        <f t="shared" si="62"/>
        <v>1</v>
      </c>
    </row>
    <row r="1334" spans="1:13" x14ac:dyDescent="0.25">
      <c r="A1334" s="2" t="s">
        <v>664</v>
      </c>
      <c r="B1334" s="11" t="s">
        <v>1201</v>
      </c>
      <c r="C1334" s="11" t="s">
        <v>4</v>
      </c>
      <c r="D1334" s="11" t="s">
        <v>1202</v>
      </c>
      <c r="E1334" s="11" t="s">
        <v>686</v>
      </c>
      <c r="F1334" s="11" t="s">
        <v>942</v>
      </c>
      <c r="G1334" s="12">
        <v>2</v>
      </c>
      <c r="H1334" s="12">
        <v>25.54</v>
      </c>
      <c r="I1334" s="12">
        <v>51.08</v>
      </c>
      <c r="J1334" s="12">
        <v>100501.06999999993</v>
      </c>
      <c r="K1334">
        <f t="shared" si="60"/>
        <v>7</v>
      </c>
      <c r="L1334">
        <f t="shared" si="61"/>
        <v>1</v>
      </c>
      <c r="M1334">
        <f t="shared" si="62"/>
        <v>1</v>
      </c>
    </row>
    <row r="1335" spans="1:13" x14ac:dyDescent="0.25">
      <c r="A1335" s="2" t="s">
        <v>664</v>
      </c>
      <c r="B1335" s="11" t="s">
        <v>1201</v>
      </c>
      <c r="C1335" s="11" t="s">
        <v>4</v>
      </c>
      <c r="D1335" s="11" t="s">
        <v>1202</v>
      </c>
      <c r="E1335" s="11" t="s">
        <v>702</v>
      </c>
      <c r="F1335" s="11" t="s">
        <v>992</v>
      </c>
      <c r="G1335" s="12">
        <v>5</v>
      </c>
      <c r="H1335" s="12">
        <v>45.96</v>
      </c>
      <c r="I1335" s="12">
        <v>229.8</v>
      </c>
      <c r="J1335" s="12">
        <v>100730.86999999994</v>
      </c>
      <c r="K1335">
        <f t="shared" si="60"/>
        <v>10</v>
      </c>
      <c r="L1335">
        <f t="shared" si="61"/>
        <v>1</v>
      </c>
      <c r="M1335">
        <f t="shared" si="62"/>
        <v>1</v>
      </c>
    </row>
    <row r="1336" spans="1:13" x14ac:dyDescent="0.25">
      <c r="A1336" s="2" t="s">
        <v>664</v>
      </c>
      <c r="B1336" s="11" t="s">
        <v>1201</v>
      </c>
      <c r="C1336" s="11" t="s">
        <v>4</v>
      </c>
      <c r="D1336" s="11" t="s">
        <v>1202</v>
      </c>
      <c r="E1336" s="11" t="s">
        <v>704</v>
      </c>
      <c r="F1336" s="11" t="s">
        <v>1044</v>
      </c>
      <c r="G1336" s="12">
        <v>2</v>
      </c>
      <c r="H1336" s="12">
        <v>45.96</v>
      </c>
      <c r="I1336" s="12">
        <v>91.92</v>
      </c>
      <c r="J1336" s="12">
        <v>100822.78999999994</v>
      </c>
      <c r="K1336">
        <f t="shared" si="60"/>
        <v>6</v>
      </c>
      <c r="L1336">
        <f t="shared" si="61"/>
        <v>1</v>
      </c>
      <c r="M1336">
        <f t="shared" si="62"/>
        <v>1</v>
      </c>
    </row>
    <row r="1337" spans="1:13" x14ac:dyDescent="0.25">
      <c r="A1337" s="2" t="s">
        <v>664</v>
      </c>
      <c r="B1337" s="11" t="s">
        <v>1201</v>
      </c>
      <c r="C1337" s="11" t="s">
        <v>4</v>
      </c>
      <c r="D1337" s="11" t="s">
        <v>1202</v>
      </c>
      <c r="E1337" s="11" t="s">
        <v>834</v>
      </c>
      <c r="F1337" s="11" t="s">
        <v>1045</v>
      </c>
      <c r="G1337" s="12">
        <v>2</v>
      </c>
      <c r="H1337" s="12">
        <v>33.380000000000003</v>
      </c>
      <c r="I1337" s="12">
        <v>66.760000000000005</v>
      </c>
      <c r="J1337" s="12">
        <v>100889.54999999993</v>
      </c>
      <c r="K1337">
        <f t="shared" si="60"/>
        <v>3</v>
      </c>
      <c r="L1337">
        <f t="shared" si="61"/>
        <v>1</v>
      </c>
      <c r="M1337">
        <f t="shared" si="62"/>
        <v>1</v>
      </c>
    </row>
    <row r="1338" spans="1:13" x14ac:dyDescent="0.25">
      <c r="A1338" s="2" t="s">
        <v>664</v>
      </c>
      <c r="B1338" s="11" t="s">
        <v>1201</v>
      </c>
      <c r="C1338" s="11" t="s">
        <v>4</v>
      </c>
      <c r="D1338" s="11" t="s">
        <v>1202</v>
      </c>
      <c r="E1338" s="11" t="s">
        <v>716</v>
      </c>
      <c r="F1338" s="11" t="s">
        <v>777</v>
      </c>
      <c r="G1338" s="12">
        <v>6</v>
      </c>
      <c r="H1338" s="12">
        <v>32.1</v>
      </c>
      <c r="I1338" s="12">
        <v>192.6</v>
      </c>
      <c r="J1338" s="12">
        <v>101082.14999999994</v>
      </c>
      <c r="K1338">
        <f t="shared" si="60"/>
        <v>7</v>
      </c>
      <c r="L1338">
        <f t="shared" si="61"/>
        <v>1</v>
      </c>
      <c r="M1338">
        <f t="shared" si="62"/>
        <v>1</v>
      </c>
    </row>
    <row r="1339" spans="1:13" x14ac:dyDescent="0.25">
      <c r="A1339" s="2" t="s">
        <v>664</v>
      </c>
      <c r="B1339" s="11" t="s">
        <v>1201</v>
      </c>
      <c r="C1339" s="11" t="s">
        <v>4</v>
      </c>
      <c r="D1339" s="11" t="s">
        <v>1202</v>
      </c>
      <c r="E1339" s="11" t="s">
        <v>708</v>
      </c>
      <c r="F1339" s="11" t="s">
        <v>1203</v>
      </c>
      <c r="G1339" s="12">
        <v>8</v>
      </c>
      <c r="H1339" s="12">
        <v>40.56</v>
      </c>
      <c r="I1339" s="12">
        <v>324.48</v>
      </c>
      <c r="J1339" s="12">
        <v>101406.62999999993</v>
      </c>
      <c r="K1339">
        <f t="shared" si="60"/>
        <v>5</v>
      </c>
      <c r="L1339">
        <f t="shared" si="61"/>
        <v>1</v>
      </c>
      <c r="M1339">
        <f t="shared" si="62"/>
        <v>1</v>
      </c>
    </row>
    <row r="1340" spans="1:13" x14ac:dyDescent="0.25">
      <c r="A1340" s="2" t="s">
        <v>664</v>
      </c>
      <c r="B1340" s="11" t="s">
        <v>1201</v>
      </c>
      <c r="C1340" s="11" t="s">
        <v>4</v>
      </c>
      <c r="D1340" s="11" t="s">
        <v>1202</v>
      </c>
      <c r="E1340" s="11" t="s">
        <v>835</v>
      </c>
      <c r="F1340" s="11" t="s">
        <v>993</v>
      </c>
      <c r="G1340" s="12">
        <v>4</v>
      </c>
      <c r="H1340" s="12">
        <v>30.82</v>
      </c>
      <c r="I1340" s="12">
        <v>123.28</v>
      </c>
      <c r="J1340" s="12">
        <v>101529.90999999993</v>
      </c>
      <c r="K1340">
        <f t="shared" si="60"/>
        <v>4</v>
      </c>
      <c r="L1340">
        <f t="shared" si="61"/>
        <v>1</v>
      </c>
      <c r="M1340">
        <f t="shared" si="62"/>
        <v>1</v>
      </c>
    </row>
    <row r="1341" spans="1:13" x14ac:dyDescent="0.25">
      <c r="A1341" s="2" t="s">
        <v>664</v>
      </c>
      <c r="B1341" s="11" t="s">
        <v>1201</v>
      </c>
      <c r="C1341" s="11" t="s">
        <v>4</v>
      </c>
      <c r="D1341" s="11" t="s">
        <v>1202</v>
      </c>
      <c r="E1341" s="11" t="s">
        <v>712</v>
      </c>
      <c r="F1341" s="11" t="s">
        <v>1046</v>
      </c>
      <c r="G1341" s="12">
        <v>4</v>
      </c>
      <c r="H1341" s="12">
        <v>21.18</v>
      </c>
      <c r="I1341" s="12">
        <v>84.72</v>
      </c>
      <c r="J1341" s="12">
        <v>101614.62999999993</v>
      </c>
      <c r="K1341">
        <f t="shared" si="60"/>
        <v>6</v>
      </c>
      <c r="L1341">
        <f t="shared" si="61"/>
        <v>1</v>
      </c>
      <c r="M1341">
        <f t="shared" si="62"/>
        <v>1</v>
      </c>
    </row>
    <row r="1342" spans="1:13" x14ac:dyDescent="0.25">
      <c r="A1342" s="2" t="s">
        <v>664</v>
      </c>
      <c r="B1342" s="11" t="s">
        <v>1201</v>
      </c>
      <c r="C1342" s="11" t="s">
        <v>4</v>
      </c>
      <c r="D1342" s="11" t="s">
        <v>1202</v>
      </c>
      <c r="E1342" s="11" t="s">
        <v>778</v>
      </c>
      <c r="F1342" s="11" t="s">
        <v>994</v>
      </c>
      <c r="G1342" s="12">
        <v>2</v>
      </c>
      <c r="H1342" s="12">
        <v>30.82</v>
      </c>
      <c r="I1342" s="12">
        <v>61.64</v>
      </c>
      <c r="J1342" s="12">
        <v>101676.26999999993</v>
      </c>
      <c r="K1342">
        <f t="shared" si="60"/>
        <v>6</v>
      </c>
      <c r="L1342">
        <f t="shared" si="61"/>
        <v>1</v>
      </c>
      <c r="M1342">
        <f t="shared" si="62"/>
        <v>1</v>
      </c>
    </row>
    <row r="1343" spans="1:13" x14ac:dyDescent="0.25">
      <c r="A1343" s="2" t="s">
        <v>664</v>
      </c>
      <c r="B1343" s="11" t="s">
        <v>1201</v>
      </c>
      <c r="C1343" s="11" t="s">
        <v>4</v>
      </c>
      <c r="D1343" s="11" t="s">
        <v>1202</v>
      </c>
      <c r="E1343" s="11" t="s">
        <v>718</v>
      </c>
      <c r="F1343" s="11" t="s">
        <v>1047</v>
      </c>
      <c r="G1343" s="12">
        <v>4</v>
      </c>
      <c r="H1343" s="12">
        <v>21.18</v>
      </c>
      <c r="I1343" s="12">
        <v>84.72</v>
      </c>
      <c r="J1343" s="12">
        <v>101760.98999999993</v>
      </c>
      <c r="K1343">
        <f t="shared" si="60"/>
        <v>6</v>
      </c>
      <c r="L1343">
        <f t="shared" si="61"/>
        <v>1</v>
      </c>
      <c r="M1343">
        <f t="shared" si="62"/>
        <v>1</v>
      </c>
    </row>
    <row r="1344" spans="1:13" x14ac:dyDescent="0.25">
      <c r="A1344" s="2" t="s">
        <v>664</v>
      </c>
      <c r="B1344" s="11" t="s">
        <v>1201</v>
      </c>
      <c r="C1344" s="11" t="s">
        <v>4</v>
      </c>
      <c r="D1344" s="11" t="s">
        <v>1202</v>
      </c>
      <c r="E1344" s="11" t="s">
        <v>997</v>
      </c>
      <c r="F1344" s="11" t="s">
        <v>1204</v>
      </c>
      <c r="G1344" s="12">
        <v>1</v>
      </c>
      <c r="H1344" s="12">
        <v>35</v>
      </c>
      <c r="I1344" s="12">
        <v>35</v>
      </c>
      <c r="J1344" s="12">
        <v>101795.98999999993</v>
      </c>
      <c r="K1344">
        <f t="shared" si="60"/>
        <v>2</v>
      </c>
      <c r="L1344">
        <f t="shared" si="61"/>
        <v>1</v>
      </c>
      <c r="M1344">
        <f t="shared" si="62"/>
        <v>1</v>
      </c>
    </row>
    <row r="1345" spans="1:13" x14ac:dyDescent="0.25">
      <c r="A1345" s="2" t="s">
        <v>664</v>
      </c>
      <c r="B1345" s="11" t="s">
        <v>1201</v>
      </c>
      <c r="C1345" s="11" t="s">
        <v>4</v>
      </c>
      <c r="D1345" s="11" t="s">
        <v>1202</v>
      </c>
      <c r="E1345" s="11" t="s">
        <v>999</v>
      </c>
      <c r="F1345" s="11" t="s">
        <v>1031</v>
      </c>
      <c r="G1345" s="12">
        <v>2</v>
      </c>
      <c r="H1345" s="12">
        <v>9.99</v>
      </c>
      <c r="I1345" s="12">
        <v>19.98</v>
      </c>
      <c r="J1345" s="12">
        <v>101815.96999999993</v>
      </c>
      <c r="K1345">
        <f t="shared" si="60"/>
        <v>5</v>
      </c>
      <c r="L1345">
        <f t="shared" si="61"/>
        <v>1</v>
      </c>
      <c r="M1345">
        <f t="shared" si="62"/>
        <v>1</v>
      </c>
    </row>
    <row r="1346" spans="1:13" x14ac:dyDescent="0.25">
      <c r="A1346" s="2" t="s">
        <v>664</v>
      </c>
      <c r="B1346" s="11" t="s">
        <v>1201</v>
      </c>
      <c r="C1346" s="11" t="s">
        <v>4</v>
      </c>
      <c r="D1346" s="11" t="s">
        <v>1202</v>
      </c>
      <c r="E1346" s="11" t="s">
        <v>839</v>
      </c>
      <c r="F1346" s="11" t="s">
        <v>1049</v>
      </c>
      <c r="G1346" s="12">
        <v>2</v>
      </c>
      <c r="H1346" s="12">
        <v>30.64</v>
      </c>
      <c r="I1346" s="12">
        <v>61.28</v>
      </c>
      <c r="J1346" s="12">
        <v>101877.24999999993</v>
      </c>
      <c r="K1346">
        <f t="shared" si="60"/>
        <v>4</v>
      </c>
      <c r="L1346">
        <f t="shared" si="61"/>
        <v>1</v>
      </c>
      <c r="M1346">
        <f t="shared" si="62"/>
        <v>1</v>
      </c>
    </row>
    <row r="1347" spans="1:13" x14ac:dyDescent="0.25">
      <c r="A1347" s="2" t="s">
        <v>664</v>
      </c>
      <c r="B1347" s="11" t="s">
        <v>1201</v>
      </c>
      <c r="C1347" s="11" t="s">
        <v>4</v>
      </c>
      <c r="D1347" s="11" t="s">
        <v>1202</v>
      </c>
      <c r="E1347" s="11" t="s">
        <v>843</v>
      </c>
      <c r="F1347" s="11" t="s">
        <v>1050</v>
      </c>
      <c r="G1347" s="12">
        <v>2</v>
      </c>
      <c r="H1347" s="12">
        <v>53.68</v>
      </c>
      <c r="I1347" s="12">
        <v>107.36</v>
      </c>
      <c r="J1347" s="12">
        <v>101984.60999999993</v>
      </c>
      <c r="K1347">
        <f t="shared" ref="K1347:K1410" si="63">COUNTIF($E$2:$E$1466,E1347)</f>
        <v>5</v>
      </c>
      <c r="L1347">
        <f t="shared" ref="L1347:L1410" si="64">IF(G1347&gt;0,1,0)</f>
        <v>1</v>
      </c>
      <c r="M1347">
        <f t="shared" ref="M1347:M1410" si="65">IF(H1347&gt;0,1,0)</f>
        <v>1</v>
      </c>
    </row>
    <row r="1348" spans="1:13" x14ac:dyDescent="0.25">
      <c r="A1348" s="2" t="s">
        <v>664</v>
      </c>
      <c r="B1348" s="11" t="s">
        <v>1201</v>
      </c>
      <c r="C1348" s="11" t="s">
        <v>4</v>
      </c>
      <c r="D1348" s="11" t="s">
        <v>1202</v>
      </c>
      <c r="E1348" s="11" t="s">
        <v>754</v>
      </c>
      <c r="F1348" s="11" t="s">
        <v>952</v>
      </c>
      <c r="G1348" s="12">
        <v>3</v>
      </c>
      <c r="H1348" s="12">
        <v>38.380000000000003</v>
      </c>
      <c r="I1348" s="12">
        <v>115.14</v>
      </c>
      <c r="J1348" s="12">
        <v>102099.74999999993</v>
      </c>
      <c r="K1348">
        <f t="shared" si="63"/>
        <v>8</v>
      </c>
      <c r="L1348">
        <f t="shared" si="64"/>
        <v>1</v>
      </c>
      <c r="M1348">
        <f t="shared" si="65"/>
        <v>1</v>
      </c>
    </row>
    <row r="1349" spans="1:13" x14ac:dyDescent="0.25">
      <c r="A1349" s="2" t="s">
        <v>664</v>
      </c>
      <c r="B1349" s="11" t="s">
        <v>1201</v>
      </c>
      <c r="C1349" s="11" t="s">
        <v>4</v>
      </c>
      <c r="D1349" s="11" t="s">
        <v>1202</v>
      </c>
      <c r="E1349" s="11" t="s">
        <v>957</v>
      </c>
      <c r="F1349" s="11" t="s">
        <v>1196</v>
      </c>
      <c r="G1349" s="12">
        <v>3</v>
      </c>
      <c r="H1349" s="12">
        <v>39</v>
      </c>
      <c r="I1349" s="12">
        <v>117</v>
      </c>
      <c r="J1349" s="12">
        <v>102216.74999999993</v>
      </c>
      <c r="K1349">
        <f t="shared" si="63"/>
        <v>3</v>
      </c>
      <c r="L1349">
        <f t="shared" si="64"/>
        <v>1</v>
      </c>
      <c r="M1349">
        <f t="shared" si="65"/>
        <v>1</v>
      </c>
    </row>
    <row r="1350" spans="1:13" x14ac:dyDescent="0.25">
      <c r="A1350" s="2" t="s">
        <v>664</v>
      </c>
      <c r="B1350" s="11" t="s">
        <v>1201</v>
      </c>
      <c r="C1350" s="11" t="s">
        <v>4</v>
      </c>
      <c r="D1350" s="11" t="s">
        <v>1202</v>
      </c>
      <c r="E1350" s="11" t="s">
        <v>955</v>
      </c>
      <c r="F1350" s="11" t="s">
        <v>1197</v>
      </c>
      <c r="G1350" s="12">
        <v>6</v>
      </c>
      <c r="H1350" s="12">
        <v>39</v>
      </c>
      <c r="I1350" s="12">
        <v>234</v>
      </c>
      <c r="J1350" s="12">
        <v>102450.74999999993</v>
      </c>
      <c r="K1350">
        <f t="shared" si="63"/>
        <v>3</v>
      </c>
      <c r="L1350">
        <f t="shared" si="64"/>
        <v>1</v>
      </c>
      <c r="M1350">
        <f t="shared" si="65"/>
        <v>1</v>
      </c>
    </row>
    <row r="1351" spans="1:13" x14ac:dyDescent="0.25">
      <c r="A1351" s="2" t="s">
        <v>664</v>
      </c>
      <c r="B1351" s="11" t="s">
        <v>1201</v>
      </c>
      <c r="C1351" s="11" t="s">
        <v>4</v>
      </c>
      <c r="D1351" s="11" t="s">
        <v>1202</v>
      </c>
      <c r="E1351" s="11" t="s">
        <v>738</v>
      </c>
      <c r="F1351" s="11" t="s">
        <v>738</v>
      </c>
      <c r="G1351" s="12">
        <v>2</v>
      </c>
      <c r="H1351" s="12">
        <v>9.07</v>
      </c>
      <c r="I1351" s="12">
        <v>18.14</v>
      </c>
      <c r="J1351" s="12">
        <v>102468.88999999993</v>
      </c>
      <c r="K1351">
        <f t="shared" si="63"/>
        <v>7</v>
      </c>
      <c r="L1351">
        <f t="shared" si="64"/>
        <v>1</v>
      </c>
      <c r="M1351">
        <f t="shared" si="65"/>
        <v>1</v>
      </c>
    </row>
    <row r="1352" spans="1:13" x14ac:dyDescent="0.25">
      <c r="A1352" s="2" t="s">
        <v>664</v>
      </c>
      <c r="B1352" s="11" t="s">
        <v>1201</v>
      </c>
      <c r="C1352" s="11" t="s">
        <v>4</v>
      </c>
      <c r="D1352" s="11" t="s">
        <v>1202</v>
      </c>
      <c r="E1352" s="11" t="s">
        <v>786</v>
      </c>
      <c r="F1352" s="11" t="s">
        <v>967</v>
      </c>
      <c r="G1352" s="12">
        <v>1</v>
      </c>
      <c r="H1352" s="12">
        <v>22.86</v>
      </c>
      <c r="I1352" s="12">
        <v>22.86</v>
      </c>
      <c r="J1352" s="12">
        <v>102491.74999999993</v>
      </c>
      <c r="K1352">
        <f t="shared" si="63"/>
        <v>8</v>
      </c>
      <c r="L1352">
        <f t="shared" si="64"/>
        <v>1</v>
      </c>
      <c r="M1352">
        <f t="shared" si="65"/>
        <v>1</v>
      </c>
    </row>
    <row r="1353" spans="1:13" x14ac:dyDescent="0.25">
      <c r="A1353" s="2" t="s">
        <v>664</v>
      </c>
      <c r="B1353" s="11" t="s">
        <v>1201</v>
      </c>
      <c r="C1353" s="11" t="s">
        <v>4</v>
      </c>
      <c r="D1353" s="11" t="s">
        <v>1202</v>
      </c>
      <c r="E1353" s="11" t="s">
        <v>62</v>
      </c>
      <c r="F1353" s="11" t="s">
        <v>63</v>
      </c>
      <c r="G1353" s="12">
        <v>16</v>
      </c>
      <c r="H1353" s="12">
        <v>13.57</v>
      </c>
      <c r="I1353" s="12">
        <v>217.12</v>
      </c>
      <c r="J1353" s="12">
        <v>102708.86999999992</v>
      </c>
      <c r="K1353">
        <f t="shared" si="63"/>
        <v>8</v>
      </c>
      <c r="L1353">
        <f t="shared" si="64"/>
        <v>1</v>
      </c>
      <c r="M1353">
        <f t="shared" si="65"/>
        <v>1</v>
      </c>
    </row>
    <row r="1354" spans="1:13" x14ac:dyDescent="0.25">
      <c r="A1354" s="2" t="s">
        <v>664</v>
      </c>
      <c r="B1354" s="11" t="s">
        <v>1201</v>
      </c>
      <c r="C1354" s="11" t="s">
        <v>4</v>
      </c>
      <c r="D1354" s="11" t="s">
        <v>1202</v>
      </c>
      <c r="E1354" s="11" t="s">
        <v>795</v>
      </c>
      <c r="F1354" s="11" t="s">
        <v>1205</v>
      </c>
      <c r="G1354" s="12">
        <v>5</v>
      </c>
      <c r="H1354" s="12">
        <v>21.4</v>
      </c>
      <c r="I1354" s="12">
        <v>107</v>
      </c>
      <c r="J1354" s="12">
        <v>102815.86999999992</v>
      </c>
      <c r="K1354">
        <f t="shared" si="63"/>
        <v>2</v>
      </c>
      <c r="L1354">
        <f t="shared" si="64"/>
        <v>1</v>
      </c>
      <c r="M1354">
        <f t="shared" si="65"/>
        <v>1</v>
      </c>
    </row>
    <row r="1355" spans="1:13" x14ac:dyDescent="0.25">
      <c r="A1355" s="2" t="s">
        <v>664</v>
      </c>
      <c r="B1355" s="11" t="s">
        <v>1201</v>
      </c>
      <c r="C1355" s="11" t="s">
        <v>4</v>
      </c>
      <c r="D1355" s="11" t="s">
        <v>1202</v>
      </c>
      <c r="E1355" s="11" t="s">
        <v>797</v>
      </c>
      <c r="F1355" s="11" t="s">
        <v>1015</v>
      </c>
      <c r="G1355" s="12">
        <v>5</v>
      </c>
      <c r="H1355" s="12">
        <v>21.4</v>
      </c>
      <c r="I1355" s="12">
        <v>107</v>
      </c>
      <c r="J1355" s="12">
        <v>102922.86999999992</v>
      </c>
      <c r="K1355">
        <f t="shared" si="63"/>
        <v>3</v>
      </c>
      <c r="L1355">
        <f t="shared" si="64"/>
        <v>1</v>
      </c>
      <c r="M1355">
        <f t="shared" si="65"/>
        <v>1</v>
      </c>
    </row>
    <row r="1356" spans="1:13" x14ac:dyDescent="0.25">
      <c r="A1356" s="2" t="s">
        <v>664</v>
      </c>
      <c r="B1356" s="11" t="s">
        <v>1201</v>
      </c>
      <c r="C1356" s="11" t="s">
        <v>4</v>
      </c>
      <c r="D1356" s="11" t="s">
        <v>1202</v>
      </c>
      <c r="E1356" s="11" t="s">
        <v>801</v>
      </c>
      <c r="F1356" s="11" t="s">
        <v>1164</v>
      </c>
      <c r="G1356" s="12">
        <v>3</v>
      </c>
      <c r="H1356" s="12">
        <v>25.68</v>
      </c>
      <c r="I1356" s="12">
        <v>77.040000000000006</v>
      </c>
      <c r="J1356" s="12">
        <v>102999.90999999992</v>
      </c>
      <c r="K1356">
        <f t="shared" si="63"/>
        <v>4</v>
      </c>
      <c r="L1356">
        <f t="shared" si="64"/>
        <v>1</v>
      </c>
      <c r="M1356">
        <f t="shared" si="65"/>
        <v>1</v>
      </c>
    </row>
    <row r="1357" spans="1:13" x14ac:dyDescent="0.25">
      <c r="A1357" s="2" t="s">
        <v>664</v>
      </c>
      <c r="B1357" s="11" t="s">
        <v>1201</v>
      </c>
      <c r="C1357" s="11" t="s">
        <v>4</v>
      </c>
      <c r="D1357" s="11" t="s">
        <v>1202</v>
      </c>
      <c r="E1357" s="11" t="s">
        <v>803</v>
      </c>
      <c r="F1357" s="11" t="s">
        <v>1016</v>
      </c>
      <c r="G1357" s="12">
        <v>5</v>
      </c>
      <c r="H1357" s="12">
        <v>22</v>
      </c>
      <c r="I1357" s="12">
        <v>110</v>
      </c>
      <c r="J1357" s="12">
        <v>103109.90999999992</v>
      </c>
      <c r="K1357">
        <f t="shared" si="63"/>
        <v>8</v>
      </c>
      <c r="L1357">
        <f t="shared" si="64"/>
        <v>1</v>
      </c>
      <c r="M1357">
        <f t="shared" si="65"/>
        <v>1</v>
      </c>
    </row>
    <row r="1358" spans="1:13" x14ac:dyDescent="0.25">
      <c r="A1358" s="2" t="s">
        <v>664</v>
      </c>
      <c r="B1358" s="11" t="s">
        <v>1201</v>
      </c>
      <c r="C1358" s="11" t="s">
        <v>4</v>
      </c>
      <c r="D1358" s="11" t="s">
        <v>1202</v>
      </c>
      <c r="E1358" s="11" t="s">
        <v>743</v>
      </c>
      <c r="F1358" s="11" t="s">
        <v>973</v>
      </c>
      <c r="G1358" s="12">
        <v>4</v>
      </c>
      <c r="H1358" s="12">
        <v>64.2</v>
      </c>
      <c r="I1358" s="12">
        <v>256.8</v>
      </c>
      <c r="J1358" s="12">
        <v>103366.70999999992</v>
      </c>
      <c r="K1358">
        <f t="shared" si="63"/>
        <v>5</v>
      </c>
      <c r="L1358">
        <f t="shared" si="64"/>
        <v>1</v>
      </c>
      <c r="M1358">
        <f t="shared" si="65"/>
        <v>1</v>
      </c>
    </row>
    <row r="1359" spans="1:13" x14ac:dyDescent="0.25">
      <c r="A1359" s="2" t="s">
        <v>664</v>
      </c>
      <c r="B1359" s="11" t="s">
        <v>1201</v>
      </c>
      <c r="C1359" s="11" t="s">
        <v>4</v>
      </c>
      <c r="D1359" s="11" t="s">
        <v>1202</v>
      </c>
      <c r="E1359" s="11" t="s">
        <v>745</v>
      </c>
      <c r="F1359" s="11" t="s">
        <v>974</v>
      </c>
      <c r="G1359" s="12">
        <v>6</v>
      </c>
      <c r="H1359" s="12">
        <v>64.2</v>
      </c>
      <c r="I1359" s="12">
        <v>385.2</v>
      </c>
      <c r="J1359" s="12">
        <v>103751.90999999992</v>
      </c>
      <c r="K1359">
        <f t="shared" si="63"/>
        <v>5</v>
      </c>
      <c r="L1359">
        <f t="shared" si="64"/>
        <v>1</v>
      </c>
      <c r="M1359">
        <f t="shared" si="65"/>
        <v>1</v>
      </c>
    </row>
    <row r="1360" spans="1:13" x14ac:dyDescent="0.25">
      <c r="A1360" s="2" t="s">
        <v>664</v>
      </c>
      <c r="B1360" s="11" t="s">
        <v>1201</v>
      </c>
      <c r="C1360" s="11" t="s">
        <v>4</v>
      </c>
      <c r="D1360" s="11" t="s">
        <v>1202</v>
      </c>
      <c r="E1360" s="11" t="s">
        <v>748</v>
      </c>
      <c r="F1360" s="11" t="s">
        <v>1142</v>
      </c>
      <c r="G1360" s="12">
        <v>1</v>
      </c>
      <c r="H1360" s="12">
        <v>78</v>
      </c>
      <c r="I1360" s="12">
        <v>78</v>
      </c>
      <c r="J1360" s="12">
        <v>103829.90999999992</v>
      </c>
      <c r="K1360">
        <f t="shared" si="63"/>
        <v>4</v>
      </c>
      <c r="L1360">
        <f t="shared" si="64"/>
        <v>1</v>
      </c>
      <c r="M1360">
        <f t="shared" si="65"/>
        <v>1</v>
      </c>
    </row>
    <row r="1361" spans="1:13" x14ac:dyDescent="0.25">
      <c r="A1361" s="2" t="s">
        <v>664</v>
      </c>
      <c r="B1361" s="11" t="s">
        <v>1201</v>
      </c>
      <c r="C1361" s="11" t="s">
        <v>4</v>
      </c>
      <c r="D1361" s="11" t="s">
        <v>1202</v>
      </c>
      <c r="E1361" s="11" t="s">
        <v>746</v>
      </c>
      <c r="F1361" s="11" t="s">
        <v>1071</v>
      </c>
      <c r="G1361" s="12">
        <v>2</v>
      </c>
      <c r="H1361" s="12">
        <v>85.6</v>
      </c>
      <c r="I1361" s="12">
        <v>171.2</v>
      </c>
      <c r="J1361" s="12">
        <v>104001.10999999991</v>
      </c>
      <c r="K1361">
        <f t="shared" si="63"/>
        <v>3</v>
      </c>
      <c r="L1361">
        <f t="shared" si="64"/>
        <v>1</v>
      </c>
      <c r="M1361">
        <f t="shared" si="65"/>
        <v>1</v>
      </c>
    </row>
    <row r="1362" spans="1:13" x14ac:dyDescent="0.25">
      <c r="A1362" s="2" t="s">
        <v>664</v>
      </c>
      <c r="B1362" s="11" t="s">
        <v>1201</v>
      </c>
      <c r="C1362" s="11" t="s">
        <v>4</v>
      </c>
      <c r="D1362" s="11" t="s">
        <v>1202</v>
      </c>
      <c r="E1362" s="11" t="s">
        <v>914</v>
      </c>
      <c r="F1362" s="11" t="s">
        <v>977</v>
      </c>
      <c r="G1362" s="12">
        <v>3</v>
      </c>
      <c r="H1362" s="12">
        <v>49.95</v>
      </c>
      <c r="I1362" s="12">
        <v>149.85</v>
      </c>
      <c r="J1362" s="12">
        <v>104150.95999999992</v>
      </c>
      <c r="K1362">
        <f t="shared" si="63"/>
        <v>5</v>
      </c>
      <c r="L1362">
        <f t="shared" si="64"/>
        <v>1</v>
      </c>
      <c r="M1362">
        <f t="shared" si="65"/>
        <v>1</v>
      </c>
    </row>
    <row r="1363" spans="1:13" x14ac:dyDescent="0.25">
      <c r="A1363" s="2" t="s">
        <v>664</v>
      </c>
      <c r="B1363" s="11" t="s">
        <v>1201</v>
      </c>
      <c r="C1363" s="11" t="s">
        <v>4</v>
      </c>
      <c r="D1363" s="11" t="s">
        <v>1202</v>
      </c>
      <c r="E1363" s="11" t="s">
        <v>926</v>
      </c>
      <c r="F1363" s="11" t="s">
        <v>1079</v>
      </c>
      <c r="G1363" s="12">
        <v>4</v>
      </c>
      <c r="H1363" s="12">
        <v>32.15</v>
      </c>
      <c r="I1363" s="12">
        <v>128.6</v>
      </c>
      <c r="J1363" s="12">
        <v>104279.55999999992</v>
      </c>
      <c r="K1363">
        <f t="shared" si="63"/>
        <v>4</v>
      </c>
      <c r="L1363">
        <f t="shared" si="64"/>
        <v>1</v>
      </c>
      <c r="M1363">
        <f t="shared" si="65"/>
        <v>1</v>
      </c>
    </row>
    <row r="1364" spans="1:13" x14ac:dyDescent="0.25">
      <c r="A1364" s="2" t="s">
        <v>664</v>
      </c>
      <c r="B1364" s="11" t="s">
        <v>1201</v>
      </c>
      <c r="C1364" s="11" t="s">
        <v>4</v>
      </c>
      <c r="D1364" s="11" t="s">
        <v>1202</v>
      </c>
      <c r="E1364" s="11" t="s">
        <v>1108</v>
      </c>
      <c r="F1364" s="11" t="s">
        <v>1109</v>
      </c>
      <c r="G1364" s="12">
        <v>6</v>
      </c>
      <c r="H1364" s="12">
        <v>22.24</v>
      </c>
      <c r="I1364" s="12">
        <v>133.44</v>
      </c>
      <c r="J1364" s="12">
        <v>104412.99999999993</v>
      </c>
      <c r="K1364">
        <f t="shared" si="63"/>
        <v>3</v>
      </c>
      <c r="L1364">
        <f t="shared" si="64"/>
        <v>1</v>
      </c>
      <c r="M1364">
        <f t="shared" si="65"/>
        <v>1</v>
      </c>
    </row>
    <row r="1365" spans="1:13" x14ac:dyDescent="0.25">
      <c r="A1365" s="2" t="s">
        <v>664</v>
      </c>
      <c r="B1365" s="11" t="s">
        <v>1201</v>
      </c>
      <c r="C1365" s="11" t="s">
        <v>4</v>
      </c>
      <c r="D1365" s="11" t="s">
        <v>1202</v>
      </c>
      <c r="E1365" s="11" t="s">
        <v>1083</v>
      </c>
      <c r="F1365" s="11" t="s">
        <v>1167</v>
      </c>
      <c r="G1365" s="12">
        <v>1</v>
      </c>
      <c r="H1365" s="12">
        <v>22.24</v>
      </c>
      <c r="I1365" s="12">
        <v>22.24</v>
      </c>
      <c r="J1365" s="12">
        <v>104435.23999999993</v>
      </c>
      <c r="K1365">
        <f t="shared" si="63"/>
        <v>3</v>
      </c>
      <c r="L1365">
        <f t="shared" si="64"/>
        <v>1</v>
      </c>
      <c r="M1365">
        <f t="shared" si="65"/>
        <v>1</v>
      </c>
    </row>
    <row r="1366" spans="1:13" x14ac:dyDescent="0.25">
      <c r="A1366" s="2" t="s">
        <v>664</v>
      </c>
      <c r="B1366" s="11" t="s">
        <v>1201</v>
      </c>
      <c r="C1366" s="11" t="s">
        <v>4</v>
      </c>
      <c r="D1366" s="11" t="s">
        <v>1202</v>
      </c>
      <c r="E1366" s="11" t="s">
        <v>1186</v>
      </c>
      <c r="F1366" s="11" t="s">
        <v>1187</v>
      </c>
      <c r="G1366" s="12">
        <v>3</v>
      </c>
      <c r="H1366" s="12">
        <v>22.24</v>
      </c>
      <c r="I1366" s="12">
        <v>66.72</v>
      </c>
      <c r="J1366" s="12">
        <v>104501.95999999993</v>
      </c>
      <c r="K1366">
        <f t="shared" si="63"/>
        <v>3</v>
      </c>
      <c r="L1366">
        <f t="shared" si="64"/>
        <v>1</v>
      </c>
      <c r="M1366">
        <f t="shared" si="65"/>
        <v>1</v>
      </c>
    </row>
    <row r="1367" spans="1:13" x14ac:dyDescent="0.25">
      <c r="A1367" s="2" t="s">
        <v>664</v>
      </c>
      <c r="B1367" s="11" t="s">
        <v>1201</v>
      </c>
      <c r="C1367" s="11" t="s">
        <v>4</v>
      </c>
      <c r="D1367" s="11" t="s">
        <v>1202</v>
      </c>
      <c r="E1367" s="11" t="s">
        <v>1168</v>
      </c>
      <c r="F1367" s="11" t="s">
        <v>1206</v>
      </c>
      <c r="G1367" s="12">
        <v>2</v>
      </c>
      <c r="H1367" s="12">
        <v>30.42</v>
      </c>
      <c r="I1367" s="12">
        <v>60.84</v>
      </c>
      <c r="J1367" s="12">
        <v>104562.79999999993</v>
      </c>
      <c r="K1367">
        <f t="shared" si="63"/>
        <v>3</v>
      </c>
      <c r="L1367">
        <f t="shared" si="64"/>
        <v>1</v>
      </c>
      <c r="M1367">
        <f t="shared" si="65"/>
        <v>1</v>
      </c>
    </row>
    <row r="1368" spans="1:13" x14ac:dyDescent="0.25">
      <c r="A1368" s="2" t="s">
        <v>664</v>
      </c>
      <c r="B1368" s="11" t="s">
        <v>1201</v>
      </c>
      <c r="C1368" s="11" t="s">
        <v>4</v>
      </c>
      <c r="D1368" s="11" t="s">
        <v>1202</v>
      </c>
      <c r="E1368" s="11" t="s">
        <v>1199</v>
      </c>
      <c r="F1368" s="11" t="s">
        <v>1200</v>
      </c>
      <c r="G1368" s="12">
        <v>1</v>
      </c>
      <c r="H1368" s="12">
        <v>18</v>
      </c>
      <c r="I1368" s="12">
        <v>18</v>
      </c>
      <c r="J1368" s="12">
        <v>104580.79999999993</v>
      </c>
      <c r="K1368">
        <f t="shared" si="63"/>
        <v>2</v>
      </c>
      <c r="L1368">
        <f t="shared" si="64"/>
        <v>1</v>
      </c>
      <c r="M1368">
        <f t="shared" si="65"/>
        <v>1</v>
      </c>
    </row>
    <row r="1369" spans="1:13" x14ac:dyDescent="0.25">
      <c r="A1369" s="2" t="s">
        <v>664</v>
      </c>
      <c r="B1369" s="11" t="s">
        <v>1201</v>
      </c>
      <c r="C1369" s="11" t="s">
        <v>4</v>
      </c>
      <c r="D1369" s="11" t="s">
        <v>1202</v>
      </c>
      <c r="E1369" s="11" t="s">
        <v>1171</v>
      </c>
      <c r="F1369" s="11" t="s">
        <v>1172</v>
      </c>
      <c r="G1369" s="12">
        <v>1</v>
      </c>
      <c r="H1369" s="12">
        <v>23.76</v>
      </c>
      <c r="I1369" s="12">
        <v>23.76</v>
      </c>
      <c r="J1369" s="12">
        <v>104604.55999999992</v>
      </c>
      <c r="K1369">
        <f t="shared" si="63"/>
        <v>2</v>
      </c>
      <c r="L1369">
        <f t="shared" si="64"/>
        <v>1</v>
      </c>
      <c r="M1369">
        <f t="shared" si="65"/>
        <v>1</v>
      </c>
    </row>
    <row r="1370" spans="1:13" x14ac:dyDescent="0.25">
      <c r="A1370" s="2" t="s">
        <v>664</v>
      </c>
      <c r="B1370" s="11" t="s">
        <v>1201</v>
      </c>
      <c r="C1370" s="11" t="s">
        <v>4</v>
      </c>
      <c r="D1370" s="11" t="s">
        <v>1202</v>
      </c>
      <c r="E1370" s="11" t="s">
        <v>56</v>
      </c>
      <c r="F1370" s="11" t="s">
        <v>57</v>
      </c>
      <c r="G1370" s="12">
        <v>4</v>
      </c>
      <c r="H1370" s="12">
        <v>54.96</v>
      </c>
      <c r="I1370" s="12">
        <v>219.84</v>
      </c>
      <c r="J1370" s="12">
        <v>104824.39999999992</v>
      </c>
      <c r="K1370">
        <f t="shared" si="63"/>
        <v>9</v>
      </c>
      <c r="L1370">
        <f t="shared" si="64"/>
        <v>1</v>
      </c>
      <c r="M1370">
        <f t="shared" si="65"/>
        <v>1</v>
      </c>
    </row>
    <row r="1371" spans="1:13" x14ac:dyDescent="0.25">
      <c r="A1371" s="2" t="s">
        <v>664</v>
      </c>
      <c r="B1371" s="11" t="s">
        <v>1201</v>
      </c>
      <c r="C1371" s="11" t="s">
        <v>4</v>
      </c>
      <c r="D1371" s="11" t="s">
        <v>1202</v>
      </c>
      <c r="E1371" s="11" t="s">
        <v>58</v>
      </c>
      <c r="F1371" s="11" t="s">
        <v>59</v>
      </c>
      <c r="G1371" s="12">
        <v>4</v>
      </c>
      <c r="H1371" s="12">
        <v>60.84</v>
      </c>
      <c r="I1371" s="12">
        <v>243.36</v>
      </c>
      <c r="J1371" s="12">
        <v>105067.75999999992</v>
      </c>
      <c r="K1371">
        <f t="shared" si="63"/>
        <v>9</v>
      </c>
      <c r="L1371">
        <f t="shared" si="64"/>
        <v>1</v>
      </c>
      <c r="M1371">
        <f t="shared" si="65"/>
        <v>1</v>
      </c>
    </row>
    <row r="1372" spans="1:13" x14ac:dyDescent="0.25">
      <c r="A1372" s="2" t="s">
        <v>664</v>
      </c>
      <c r="B1372" s="11" t="s">
        <v>1201</v>
      </c>
      <c r="C1372" s="11" t="s">
        <v>4</v>
      </c>
      <c r="D1372" s="11" t="s">
        <v>1202</v>
      </c>
      <c r="E1372" s="11" t="s">
        <v>84</v>
      </c>
      <c r="F1372" s="11" t="s">
        <v>85</v>
      </c>
      <c r="G1372" s="12">
        <v>2</v>
      </c>
      <c r="H1372" s="12">
        <v>46.44</v>
      </c>
      <c r="I1372" s="12">
        <v>92.88</v>
      </c>
      <c r="J1372" s="12">
        <v>105160.63999999993</v>
      </c>
      <c r="K1372">
        <f t="shared" si="63"/>
        <v>5</v>
      </c>
      <c r="L1372">
        <f t="shared" si="64"/>
        <v>1</v>
      </c>
      <c r="M1372">
        <f t="shared" si="65"/>
        <v>1</v>
      </c>
    </row>
    <row r="1373" spans="1:13" x14ac:dyDescent="0.25">
      <c r="A1373" s="2" t="s">
        <v>664</v>
      </c>
      <c r="B1373" s="11" t="s">
        <v>1207</v>
      </c>
      <c r="C1373" s="11" t="s">
        <v>4</v>
      </c>
      <c r="D1373" s="11" t="s">
        <v>1208</v>
      </c>
      <c r="E1373" s="11" t="s">
        <v>667</v>
      </c>
      <c r="F1373" s="11" t="s">
        <v>985</v>
      </c>
      <c r="G1373" s="12">
        <v>3</v>
      </c>
      <c r="H1373" s="12">
        <v>30.82</v>
      </c>
      <c r="I1373" s="12">
        <v>92.46</v>
      </c>
      <c r="J1373" s="12">
        <v>105253.09999999993</v>
      </c>
      <c r="K1373">
        <f t="shared" si="63"/>
        <v>7</v>
      </c>
      <c r="L1373">
        <f t="shared" si="64"/>
        <v>1</v>
      </c>
      <c r="M1373">
        <f t="shared" si="65"/>
        <v>1</v>
      </c>
    </row>
    <row r="1374" spans="1:13" x14ac:dyDescent="0.25">
      <c r="A1374" s="2" t="s">
        <v>664</v>
      </c>
      <c r="B1374" s="11" t="s">
        <v>1207</v>
      </c>
      <c r="C1374" s="11" t="s">
        <v>4</v>
      </c>
      <c r="D1374" s="11" t="s">
        <v>1208</v>
      </c>
      <c r="E1374" s="11" t="s">
        <v>669</v>
      </c>
      <c r="F1374" s="11" t="s">
        <v>941</v>
      </c>
      <c r="G1374" s="12">
        <v>2</v>
      </c>
      <c r="H1374" s="12">
        <v>30.82</v>
      </c>
      <c r="I1374" s="12">
        <v>61.64</v>
      </c>
      <c r="J1374" s="12">
        <v>105314.73999999993</v>
      </c>
      <c r="K1374">
        <f t="shared" si="63"/>
        <v>8</v>
      </c>
      <c r="L1374">
        <f t="shared" si="64"/>
        <v>1</v>
      </c>
      <c r="M1374">
        <f t="shared" si="65"/>
        <v>1</v>
      </c>
    </row>
    <row r="1375" spans="1:13" x14ac:dyDescent="0.25">
      <c r="A1375" s="2" t="s">
        <v>664</v>
      </c>
      <c r="B1375" s="11" t="s">
        <v>1207</v>
      </c>
      <c r="C1375" s="11" t="s">
        <v>4</v>
      </c>
      <c r="D1375" s="11" t="s">
        <v>1208</v>
      </c>
      <c r="E1375" s="11" t="s">
        <v>671</v>
      </c>
      <c r="F1375" s="11" t="s">
        <v>1035</v>
      </c>
      <c r="G1375" s="12">
        <v>3</v>
      </c>
      <c r="H1375" s="12">
        <v>33.119999999999997</v>
      </c>
      <c r="I1375" s="12">
        <v>99.36</v>
      </c>
      <c r="J1375" s="12">
        <v>105414.09999999993</v>
      </c>
      <c r="K1375">
        <f t="shared" si="63"/>
        <v>7</v>
      </c>
      <c r="L1375">
        <f t="shared" si="64"/>
        <v>1</v>
      </c>
      <c r="M1375">
        <f t="shared" si="65"/>
        <v>1</v>
      </c>
    </row>
    <row r="1376" spans="1:13" x14ac:dyDescent="0.25">
      <c r="A1376" s="2" t="s">
        <v>664</v>
      </c>
      <c r="B1376" s="11" t="s">
        <v>1207</v>
      </c>
      <c r="C1376" s="11" t="s">
        <v>4</v>
      </c>
      <c r="D1376" s="11" t="s">
        <v>1208</v>
      </c>
      <c r="E1376" s="11" t="s">
        <v>823</v>
      </c>
      <c r="F1376" s="11" t="s">
        <v>1036</v>
      </c>
      <c r="G1376" s="12">
        <v>1</v>
      </c>
      <c r="H1376" s="12">
        <v>40.82</v>
      </c>
      <c r="I1376" s="12">
        <v>40.82</v>
      </c>
      <c r="J1376" s="12">
        <v>105454.91999999994</v>
      </c>
      <c r="K1376">
        <f t="shared" si="63"/>
        <v>6</v>
      </c>
      <c r="L1376">
        <f t="shared" si="64"/>
        <v>1</v>
      </c>
      <c r="M1376">
        <f t="shared" si="65"/>
        <v>1</v>
      </c>
    </row>
    <row r="1377" spans="1:13" x14ac:dyDescent="0.25">
      <c r="A1377" s="2" t="s">
        <v>664</v>
      </c>
      <c r="B1377" s="11" t="s">
        <v>1207</v>
      </c>
      <c r="C1377" s="11" t="s">
        <v>4</v>
      </c>
      <c r="D1377" s="11" t="s">
        <v>1208</v>
      </c>
      <c r="E1377" s="11" t="s">
        <v>825</v>
      </c>
      <c r="F1377" s="11" t="s">
        <v>986</v>
      </c>
      <c r="G1377" s="12">
        <v>1</v>
      </c>
      <c r="H1377" s="12">
        <v>32.1</v>
      </c>
      <c r="I1377" s="12">
        <v>32.1</v>
      </c>
      <c r="J1377" s="12">
        <v>105487.01999999995</v>
      </c>
      <c r="K1377">
        <f t="shared" si="63"/>
        <v>6</v>
      </c>
      <c r="L1377">
        <f t="shared" si="64"/>
        <v>1</v>
      </c>
      <c r="M1377">
        <f t="shared" si="65"/>
        <v>1</v>
      </c>
    </row>
    <row r="1378" spans="1:13" x14ac:dyDescent="0.25">
      <c r="A1378" s="2" t="s">
        <v>664</v>
      </c>
      <c r="B1378" s="11" t="s">
        <v>1207</v>
      </c>
      <c r="C1378" s="11" t="s">
        <v>4</v>
      </c>
      <c r="D1378" s="11" t="s">
        <v>1208</v>
      </c>
      <c r="E1378" s="11" t="s">
        <v>1155</v>
      </c>
      <c r="F1378" s="11" t="s">
        <v>1156</v>
      </c>
      <c r="G1378" s="12">
        <v>1</v>
      </c>
      <c r="H1378" s="12">
        <v>32.1</v>
      </c>
      <c r="I1378" s="12">
        <v>32.1</v>
      </c>
      <c r="J1378" s="12">
        <v>105519.11999999995</v>
      </c>
      <c r="K1378">
        <f t="shared" si="63"/>
        <v>4</v>
      </c>
      <c r="L1378">
        <f t="shared" si="64"/>
        <v>1</v>
      </c>
      <c r="M1378">
        <f t="shared" si="65"/>
        <v>1</v>
      </c>
    </row>
    <row r="1379" spans="1:13" x14ac:dyDescent="0.25">
      <c r="A1379" s="2" t="s">
        <v>664</v>
      </c>
      <c r="B1379" s="11" t="s">
        <v>1207</v>
      </c>
      <c r="C1379" s="11" t="s">
        <v>4</v>
      </c>
      <c r="D1379" s="11" t="s">
        <v>1208</v>
      </c>
      <c r="E1379" s="11" t="s">
        <v>675</v>
      </c>
      <c r="F1379" s="11" t="s">
        <v>1127</v>
      </c>
      <c r="G1379" s="12">
        <v>2</v>
      </c>
      <c r="H1379" s="12">
        <v>31.2</v>
      </c>
      <c r="I1379" s="12">
        <v>62.4</v>
      </c>
      <c r="J1379" s="12">
        <v>105581.51999999995</v>
      </c>
      <c r="K1379">
        <f t="shared" si="63"/>
        <v>6</v>
      </c>
      <c r="L1379">
        <f t="shared" si="64"/>
        <v>1</v>
      </c>
      <c r="M1379">
        <f t="shared" si="65"/>
        <v>1</v>
      </c>
    </row>
    <row r="1380" spans="1:13" x14ac:dyDescent="0.25">
      <c r="A1380" s="2" t="s">
        <v>664</v>
      </c>
      <c r="B1380" s="11" t="s">
        <v>1207</v>
      </c>
      <c r="C1380" s="11" t="s">
        <v>4</v>
      </c>
      <c r="D1380" s="11" t="s">
        <v>1208</v>
      </c>
      <c r="E1380" s="11" t="s">
        <v>686</v>
      </c>
      <c r="F1380" s="11" t="s">
        <v>942</v>
      </c>
      <c r="G1380" s="12">
        <v>2</v>
      </c>
      <c r="H1380" s="12">
        <v>25.54</v>
      </c>
      <c r="I1380" s="12">
        <v>51.08</v>
      </c>
      <c r="J1380" s="12">
        <v>105632.59999999995</v>
      </c>
      <c r="K1380">
        <f t="shared" si="63"/>
        <v>7</v>
      </c>
      <c r="L1380">
        <f t="shared" si="64"/>
        <v>1</v>
      </c>
      <c r="M1380">
        <f t="shared" si="65"/>
        <v>1</v>
      </c>
    </row>
    <row r="1381" spans="1:13" x14ac:dyDescent="0.25">
      <c r="A1381" s="2" t="s">
        <v>664</v>
      </c>
      <c r="B1381" s="11" t="s">
        <v>1207</v>
      </c>
      <c r="C1381" s="11" t="s">
        <v>4</v>
      </c>
      <c r="D1381" s="11" t="s">
        <v>1208</v>
      </c>
      <c r="E1381" s="11" t="s">
        <v>690</v>
      </c>
      <c r="F1381" s="11" t="s">
        <v>691</v>
      </c>
      <c r="G1381" s="12">
        <v>2</v>
      </c>
      <c r="H1381" s="12">
        <v>26.84</v>
      </c>
      <c r="I1381" s="12">
        <v>53.68</v>
      </c>
      <c r="J1381" s="12">
        <v>105686.27999999994</v>
      </c>
      <c r="K1381">
        <f t="shared" si="63"/>
        <v>4</v>
      </c>
      <c r="L1381">
        <f t="shared" si="64"/>
        <v>1</v>
      </c>
      <c r="M1381">
        <f t="shared" si="65"/>
        <v>1</v>
      </c>
    </row>
    <row r="1382" spans="1:13" x14ac:dyDescent="0.25">
      <c r="A1382" s="2" t="s">
        <v>664</v>
      </c>
      <c r="B1382" s="11" t="s">
        <v>1207</v>
      </c>
      <c r="C1382" s="11" t="s">
        <v>4</v>
      </c>
      <c r="D1382" s="11" t="s">
        <v>1208</v>
      </c>
      <c r="E1382" s="11" t="s">
        <v>832</v>
      </c>
      <c r="F1382" s="11" t="s">
        <v>988</v>
      </c>
      <c r="G1382" s="12">
        <v>5</v>
      </c>
      <c r="H1382" s="12">
        <v>39.68</v>
      </c>
      <c r="I1382" s="12">
        <v>198.4</v>
      </c>
      <c r="J1382" s="12">
        <v>105884.67999999993</v>
      </c>
      <c r="K1382">
        <f t="shared" si="63"/>
        <v>4</v>
      </c>
      <c r="L1382">
        <f t="shared" si="64"/>
        <v>1</v>
      </c>
      <c r="M1382">
        <f t="shared" si="65"/>
        <v>1</v>
      </c>
    </row>
    <row r="1383" spans="1:13" x14ac:dyDescent="0.25">
      <c r="A1383" s="2" t="s">
        <v>664</v>
      </c>
      <c r="B1383" s="11" t="s">
        <v>1207</v>
      </c>
      <c r="C1383" s="11" t="s">
        <v>4</v>
      </c>
      <c r="D1383" s="11" t="s">
        <v>1208</v>
      </c>
      <c r="E1383" s="11" t="s">
        <v>702</v>
      </c>
      <c r="F1383" s="11" t="s">
        <v>992</v>
      </c>
      <c r="G1383" s="12">
        <v>6</v>
      </c>
      <c r="H1383" s="12">
        <v>45.96</v>
      </c>
      <c r="I1383" s="12">
        <v>275.76</v>
      </c>
      <c r="J1383" s="12">
        <v>106160.43999999993</v>
      </c>
      <c r="K1383">
        <f t="shared" si="63"/>
        <v>10</v>
      </c>
      <c r="L1383">
        <f t="shared" si="64"/>
        <v>1</v>
      </c>
      <c r="M1383">
        <f t="shared" si="65"/>
        <v>1</v>
      </c>
    </row>
    <row r="1384" spans="1:13" x14ac:dyDescent="0.25">
      <c r="A1384" s="2" t="s">
        <v>664</v>
      </c>
      <c r="B1384" s="11" t="s">
        <v>1207</v>
      </c>
      <c r="C1384" s="11" t="s">
        <v>4</v>
      </c>
      <c r="D1384" s="11" t="s">
        <v>1208</v>
      </c>
      <c r="E1384" s="11" t="s">
        <v>714</v>
      </c>
      <c r="F1384" s="11" t="s">
        <v>1159</v>
      </c>
      <c r="G1384" s="12">
        <v>3</v>
      </c>
      <c r="H1384" s="12">
        <v>51.8</v>
      </c>
      <c r="I1384" s="12">
        <v>155.4</v>
      </c>
      <c r="J1384" s="12">
        <v>106315.83999999992</v>
      </c>
      <c r="K1384">
        <f t="shared" si="63"/>
        <v>5</v>
      </c>
      <c r="L1384">
        <f t="shared" si="64"/>
        <v>1</v>
      </c>
      <c r="M1384">
        <f t="shared" si="65"/>
        <v>1</v>
      </c>
    </row>
    <row r="1385" spans="1:13" x14ac:dyDescent="0.25">
      <c r="A1385" s="2" t="s">
        <v>664</v>
      </c>
      <c r="B1385" s="11" t="s">
        <v>1207</v>
      </c>
      <c r="C1385" s="11" t="s">
        <v>4</v>
      </c>
      <c r="D1385" s="11" t="s">
        <v>1208</v>
      </c>
      <c r="E1385" s="11" t="s">
        <v>720</v>
      </c>
      <c r="F1385" s="11" t="s">
        <v>721</v>
      </c>
      <c r="G1385" s="12">
        <v>5</v>
      </c>
      <c r="H1385" s="12">
        <v>23.96</v>
      </c>
      <c r="I1385" s="12">
        <v>119.8</v>
      </c>
      <c r="J1385" s="12">
        <v>106435.63999999993</v>
      </c>
      <c r="K1385">
        <f t="shared" si="63"/>
        <v>8</v>
      </c>
      <c r="L1385">
        <f t="shared" si="64"/>
        <v>1</v>
      </c>
      <c r="M1385">
        <f t="shared" si="65"/>
        <v>1</v>
      </c>
    </row>
    <row r="1386" spans="1:13" x14ac:dyDescent="0.25">
      <c r="A1386" s="2" t="s">
        <v>664</v>
      </c>
      <c r="B1386" s="11" t="s">
        <v>1207</v>
      </c>
      <c r="C1386" s="11" t="s">
        <v>4</v>
      </c>
      <c r="D1386" s="11" t="s">
        <v>1208</v>
      </c>
      <c r="E1386" s="11" t="s">
        <v>1182</v>
      </c>
      <c r="F1386" s="11" t="s">
        <v>1183</v>
      </c>
      <c r="G1386" s="12">
        <v>1</v>
      </c>
      <c r="H1386" s="12">
        <v>38.93</v>
      </c>
      <c r="I1386" s="12">
        <v>38.93</v>
      </c>
      <c r="J1386" s="12">
        <v>106474.56999999992</v>
      </c>
      <c r="K1386">
        <f t="shared" si="63"/>
        <v>2</v>
      </c>
      <c r="L1386">
        <f t="shared" si="64"/>
        <v>1</v>
      </c>
      <c r="M1386">
        <f t="shared" si="65"/>
        <v>1</v>
      </c>
    </row>
    <row r="1387" spans="1:13" x14ac:dyDescent="0.25">
      <c r="A1387" s="2" t="s">
        <v>664</v>
      </c>
      <c r="B1387" s="11" t="s">
        <v>1207</v>
      </c>
      <c r="C1387" s="11" t="s">
        <v>4</v>
      </c>
      <c r="D1387" s="11" t="s">
        <v>1208</v>
      </c>
      <c r="E1387" s="11" t="s">
        <v>1000</v>
      </c>
      <c r="F1387" s="11" t="s">
        <v>1138</v>
      </c>
      <c r="G1387" s="12">
        <v>1</v>
      </c>
      <c r="H1387" s="12">
        <v>78.959999999999994</v>
      </c>
      <c r="I1387" s="12">
        <v>78.959999999999994</v>
      </c>
      <c r="J1387" s="12">
        <v>106553.52999999993</v>
      </c>
      <c r="K1387">
        <f t="shared" si="63"/>
        <v>5</v>
      </c>
      <c r="L1387">
        <f t="shared" si="64"/>
        <v>1</v>
      </c>
      <c r="M1387">
        <f t="shared" si="65"/>
        <v>1</v>
      </c>
    </row>
    <row r="1388" spans="1:13" x14ac:dyDescent="0.25">
      <c r="A1388" s="2" t="s">
        <v>664</v>
      </c>
      <c r="B1388" s="11" t="s">
        <v>1207</v>
      </c>
      <c r="C1388" s="11" t="s">
        <v>4</v>
      </c>
      <c r="D1388" s="11" t="s">
        <v>1208</v>
      </c>
      <c r="E1388" s="11" t="s">
        <v>374</v>
      </c>
      <c r="F1388" s="11" t="s">
        <v>1209</v>
      </c>
      <c r="G1388" s="12">
        <v>13</v>
      </c>
      <c r="H1388" s="12">
        <v>31.8</v>
      </c>
      <c r="I1388" s="12">
        <v>413.4</v>
      </c>
      <c r="J1388" s="12">
        <v>106966.92999999992</v>
      </c>
      <c r="K1388">
        <f t="shared" si="63"/>
        <v>8</v>
      </c>
      <c r="L1388">
        <f t="shared" si="64"/>
        <v>1</v>
      </c>
      <c r="M1388">
        <f t="shared" si="65"/>
        <v>1</v>
      </c>
    </row>
    <row r="1389" spans="1:13" x14ac:dyDescent="0.25">
      <c r="A1389" s="2" t="s">
        <v>664</v>
      </c>
      <c r="B1389" s="11" t="s">
        <v>1207</v>
      </c>
      <c r="C1389" s="11" t="s">
        <v>4</v>
      </c>
      <c r="D1389" s="11" t="s">
        <v>1208</v>
      </c>
      <c r="E1389" s="11" t="s">
        <v>37</v>
      </c>
      <c r="F1389" s="11" t="s">
        <v>38</v>
      </c>
      <c r="G1389" s="12">
        <v>4</v>
      </c>
      <c r="H1389" s="12">
        <v>73.8</v>
      </c>
      <c r="I1389" s="12">
        <v>295.2</v>
      </c>
      <c r="J1389" s="12">
        <v>107262.12999999992</v>
      </c>
      <c r="K1389">
        <f t="shared" si="63"/>
        <v>7</v>
      </c>
      <c r="L1389">
        <f t="shared" si="64"/>
        <v>1</v>
      </c>
      <c r="M1389">
        <f t="shared" si="65"/>
        <v>1</v>
      </c>
    </row>
    <row r="1390" spans="1:13" x14ac:dyDescent="0.25">
      <c r="A1390" s="2" t="s">
        <v>664</v>
      </c>
      <c r="B1390" s="11" t="s">
        <v>1207</v>
      </c>
      <c r="C1390" s="11" t="s">
        <v>4</v>
      </c>
      <c r="D1390" s="11" t="s">
        <v>1208</v>
      </c>
      <c r="E1390" s="11" t="s">
        <v>42</v>
      </c>
      <c r="F1390" s="11" t="s">
        <v>43</v>
      </c>
      <c r="G1390" s="12">
        <v>2</v>
      </c>
      <c r="H1390" s="12">
        <v>85</v>
      </c>
      <c r="I1390" s="12">
        <v>170</v>
      </c>
      <c r="J1390" s="12">
        <v>107432.12999999992</v>
      </c>
      <c r="K1390">
        <f t="shared" si="63"/>
        <v>5</v>
      </c>
      <c r="L1390">
        <f t="shared" si="64"/>
        <v>1</v>
      </c>
      <c r="M1390">
        <f t="shared" si="65"/>
        <v>1</v>
      </c>
    </row>
    <row r="1391" spans="1:13" x14ac:dyDescent="0.25">
      <c r="A1391" s="2" t="s">
        <v>664</v>
      </c>
      <c r="B1391" s="11" t="s">
        <v>1207</v>
      </c>
      <c r="C1391" s="11" t="s">
        <v>4</v>
      </c>
      <c r="D1391" s="11" t="s">
        <v>1208</v>
      </c>
      <c r="E1391" s="11" t="s">
        <v>35</v>
      </c>
      <c r="F1391" s="11" t="s">
        <v>36</v>
      </c>
      <c r="G1391" s="12">
        <v>3</v>
      </c>
      <c r="H1391" s="12">
        <v>28.8</v>
      </c>
      <c r="I1391" s="12">
        <v>86.4</v>
      </c>
      <c r="J1391" s="12">
        <v>107518.52999999991</v>
      </c>
      <c r="K1391">
        <f t="shared" si="63"/>
        <v>5</v>
      </c>
      <c r="L1391">
        <f t="shared" si="64"/>
        <v>1</v>
      </c>
      <c r="M1391">
        <f t="shared" si="65"/>
        <v>1</v>
      </c>
    </row>
    <row r="1392" spans="1:13" x14ac:dyDescent="0.25">
      <c r="A1392" s="2" t="s">
        <v>664</v>
      </c>
      <c r="B1392" s="11" t="s">
        <v>1207</v>
      </c>
      <c r="C1392" s="11" t="s">
        <v>4</v>
      </c>
      <c r="D1392" s="11" t="s">
        <v>1208</v>
      </c>
      <c r="E1392" s="11" t="s">
        <v>754</v>
      </c>
      <c r="F1392" s="11" t="s">
        <v>952</v>
      </c>
      <c r="G1392" s="12">
        <v>12</v>
      </c>
      <c r="H1392" s="12">
        <v>38.380000000000003</v>
      </c>
      <c r="I1392" s="12">
        <v>460.56</v>
      </c>
      <c r="J1392" s="12">
        <v>107979.08999999991</v>
      </c>
      <c r="K1392">
        <f t="shared" si="63"/>
        <v>8</v>
      </c>
      <c r="L1392">
        <f t="shared" si="64"/>
        <v>1</v>
      </c>
      <c r="M1392">
        <f t="shared" si="65"/>
        <v>1</v>
      </c>
    </row>
    <row r="1393" spans="1:13" x14ac:dyDescent="0.25">
      <c r="A1393" s="2" t="s">
        <v>664</v>
      </c>
      <c r="B1393" s="11" t="s">
        <v>1207</v>
      </c>
      <c r="C1393" s="11" t="s">
        <v>4</v>
      </c>
      <c r="D1393" s="11" t="s">
        <v>1208</v>
      </c>
      <c r="E1393" s="11" t="s">
        <v>853</v>
      </c>
      <c r="F1393" s="11" t="s">
        <v>1052</v>
      </c>
      <c r="G1393" s="12">
        <v>8</v>
      </c>
      <c r="H1393" s="12">
        <v>13.2</v>
      </c>
      <c r="I1393" s="12">
        <v>105.6</v>
      </c>
      <c r="J1393" s="12">
        <v>108084.68999999992</v>
      </c>
      <c r="K1393">
        <f t="shared" si="63"/>
        <v>4</v>
      </c>
      <c r="L1393">
        <f t="shared" si="64"/>
        <v>1</v>
      </c>
      <c r="M1393">
        <f t="shared" si="65"/>
        <v>1</v>
      </c>
    </row>
    <row r="1394" spans="1:13" x14ac:dyDescent="0.25">
      <c r="A1394" s="2" t="s">
        <v>664</v>
      </c>
      <c r="B1394" s="11" t="s">
        <v>1207</v>
      </c>
      <c r="C1394" s="11" t="s">
        <v>4</v>
      </c>
      <c r="D1394" s="11" t="s">
        <v>1208</v>
      </c>
      <c r="E1394" s="11" t="s">
        <v>855</v>
      </c>
      <c r="F1394" s="11" t="s">
        <v>1053</v>
      </c>
      <c r="G1394" s="12">
        <v>7</v>
      </c>
      <c r="H1394" s="12">
        <v>13.2</v>
      </c>
      <c r="I1394" s="12">
        <v>92.4</v>
      </c>
      <c r="J1394" s="12">
        <v>108177.08999999991</v>
      </c>
      <c r="K1394">
        <f t="shared" si="63"/>
        <v>4</v>
      </c>
      <c r="L1394">
        <f t="shared" si="64"/>
        <v>1</v>
      </c>
      <c r="M1394">
        <f t="shared" si="65"/>
        <v>1</v>
      </c>
    </row>
    <row r="1395" spans="1:13" x14ac:dyDescent="0.25">
      <c r="A1395" s="2" t="s">
        <v>664</v>
      </c>
      <c r="B1395" s="11" t="s">
        <v>1207</v>
      </c>
      <c r="C1395" s="11" t="s">
        <v>4</v>
      </c>
      <c r="D1395" s="11" t="s">
        <v>1208</v>
      </c>
      <c r="E1395" s="11" t="s">
        <v>784</v>
      </c>
      <c r="F1395" s="11" t="s">
        <v>1055</v>
      </c>
      <c r="G1395" s="12">
        <v>3</v>
      </c>
      <c r="H1395" s="12">
        <v>13.2</v>
      </c>
      <c r="I1395" s="12">
        <v>39.6</v>
      </c>
      <c r="J1395" s="12">
        <v>108216.68999999992</v>
      </c>
      <c r="K1395">
        <f t="shared" si="63"/>
        <v>5</v>
      </c>
      <c r="L1395">
        <f t="shared" si="64"/>
        <v>1</v>
      </c>
      <c r="M1395">
        <f t="shared" si="65"/>
        <v>1</v>
      </c>
    </row>
    <row r="1396" spans="1:13" x14ac:dyDescent="0.25">
      <c r="A1396" s="2" t="s">
        <v>664</v>
      </c>
      <c r="B1396" s="11" t="s">
        <v>1207</v>
      </c>
      <c r="C1396" s="11" t="s">
        <v>4</v>
      </c>
      <c r="D1396" s="11" t="s">
        <v>1208</v>
      </c>
      <c r="E1396" s="11" t="s">
        <v>859</v>
      </c>
      <c r="F1396" s="11" t="s">
        <v>1005</v>
      </c>
      <c r="G1396" s="12">
        <v>1</v>
      </c>
      <c r="H1396" s="12">
        <v>45</v>
      </c>
      <c r="I1396" s="12">
        <v>45</v>
      </c>
      <c r="J1396" s="12">
        <v>108261.68999999992</v>
      </c>
      <c r="K1396">
        <f t="shared" si="63"/>
        <v>4</v>
      </c>
      <c r="L1396">
        <f t="shared" si="64"/>
        <v>1</v>
      </c>
      <c r="M1396">
        <f t="shared" si="65"/>
        <v>1</v>
      </c>
    </row>
    <row r="1397" spans="1:13" x14ac:dyDescent="0.25">
      <c r="A1397" s="2" t="s">
        <v>664</v>
      </c>
      <c r="B1397" s="11" t="s">
        <v>1207</v>
      </c>
      <c r="C1397" s="11" t="s">
        <v>4</v>
      </c>
      <c r="D1397" s="11" t="s">
        <v>1208</v>
      </c>
      <c r="E1397" s="11" t="s">
        <v>861</v>
      </c>
      <c r="F1397" s="11" t="s">
        <v>1006</v>
      </c>
      <c r="G1397" s="12">
        <v>3</v>
      </c>
      <c r="H1397" s="12">
        <v>45</v>
      </c>
      <c r="I1397" s="12">
        <v>135</v>
      </c>
      <c r="J1397" s="12">
        <v>108396.68999999992</v>
      </c>
      <c r="K1397">
        <f t="shared" si="63"/>
        <v>4</v>
      </c>
      <c r="L1397">
        <f t="shared" si="64"/>
        <v>1</v>
      </c>
      <c r="M1397">
        <f t="shared" si="65"/>
        <v>1</v>
      </c>
    </row>
    <row r="1398" spans="1:13" x14ac:dyDescent="0.25">
      <c r="A1398" s="2" t="s">
        <v>664</v>
      </c>
      <c r="B1398" s="11" t="s">
        <v>1207</v>
      </c>
      <c r="C1398" s="11" t="s">
        <v>4</v>
      </c>
      <c r="D1398" s="11" t="s">
        <v>1208</v>
      </c>
      <c r="E1398" s="11" t="s">
        <v>1058</v>
      </c>
      <c r="F1398" s="11" t="s">
        <v>1210</v>
      </c>
      <c r="G1398" s="12">
        <v>1</v>
      </c>
      <c r="H1398" s="12">
        <v>39</v>
      </c>
      <c r="I1398" s="12">
        <v>39</v>
      </c>
      <c r="J1398" s="12">
        <v>108435.68999999992</v>
      </c>
      <c r="K1398">
        <f t="shared" si="63"/>
        <v>2</v>
      </c>
      <c r="L1398">
        <f t="shared" si="64"/>
        <v>1</v>
      </c>
      <c r="M1398">
        <f t="shared" si="65"/>
        <v>1</v>
      </c>
    </row>
    <row r="1399" spans="1:13" x14ac:dyDescent="0.25">
      <c r="A1399" s="2" t="s">
        <v>664</v>
      </c>
      <c r="B1399" s="11" t="s">
        <v>1207</v>
      </c>
      <c r="C1399" s="11" t="s">
        <v>4</v>
      </c>
      <c r="D1399" s="11" t="s">
        <v>1208</v>
      </c>
      <c r="E1399" s="11" t="s">
        <v>734</v>
      </c>
      <c r="F1399" s="11" t="s">
        <v>1198</v>
      </c>
      <c r="G1399" s="12">
        <v>3</v>
      </c>
      <c r="H1399" s="12">
        <v>11.88</v>
      </c>
      <c r="I1399" s="12">
        <v>35.64</v>
      </c>
      <c r="J1399" s="12">
        <v>108471.32999999991</v>
      </c>
      <c r="K1399">
        <f t="shared" si="63"/>
        <v>5</v>
      </c>
      <c r="L1399">
        <f t="shared" si="64"/>
        <v>1</v>
      </c>
      <c r="M1399">
        <f t="shared" si="65"/>
        <v>1</v>
      </c>
    </row>
    <row r="1400" spans="1:13" x14ac:dyDescent="0.25">
      <c r="A1400" s="2" t="s">
        <v>664</v>
      </c>
      <c r="B1400" s="11" t="s">
        <v>1207</v>
      </c>
      <c r="C1400" s="11" t="s">
        <v>4</v>
      </c>
      <c r="D1400" s="11" t="s">
        <v>1208</v>
      </c>
      <c r="E1400" s="11" t="s">
        <v>962</v>
      </c>
      <c r="F1400" s="11" t="s">
        <v>963</v>
      </c>
      <c r="G1400" s="12">
        <v>5</v>
      </c>
      <c r="H1400" s="12">
        <v>27.29</v>
      </c>
      <c r="I1400" s="12">
        <v>136.44999999999999</v>
      </c>
      <c r="J1400" s="12">
        <v>108607.77999999991</v>
      </c>
      <c r="K1400">
        <f t="shared" si="63"/>
        <v>6</v>
      </c>
      <c r="L1400">
        <f t="shared" si="64"/>
        <v>1</v>
      </c>
      <c r="M1400">
        <f t="shared" si="65"/>
        <v>1</v>
      </c>
    </row>
    <row r="1401" spans="1:13" x14ac:dyDescent="0.25">
      <c r="A1401" s="2" t="s">
        <v>664</v>
      </c>
      <c r="B1401" s="11" t="s">
        <v>1207</v>
      </c>
      <c r="C1401" s="11" t="s">
        <v>4</v>
      </c>
      <c r="D1401" s="11" t="s">
        <v>1208</v>
      </c>
      <c r="E1401" s="11" t="s">
        <v>868</v>
      </c>
      <c r="F1401" s="11" t="s">
        <v>1007</v>
      </c>
      <c r="G1401" s="12">
        <v>5</v>
      </c>
      <c r="H1401" s="12">
        <v>27.29</v>
      </c>
      <c r="I1401" s="12">
        <v>136.44999999999999</v>
      </c>
      <c r="J1401" s="12">
        <v>108744.22999999991</v>
      </c>
      <c r="K1401">
        <f t="shared" si="63"/>
        <v>5</v>
      </c>
      <c r="L1401">
        <f t="shared" si="64"/>
        <v>1</v>
      </c>
      <c r="M1401">
        <f t="shared" si="65"/>
        <v>1</v>
      </c>
    </row>
    <row r="1402" spans="1:13" x14ac:dyDescent="0.25">
      <c r="A1402" s="2" t="s">
        <v>664</v>
      </c>
      <c r="B1402" s="11" t="s">
        <v>1207</v>
      </c>
      <c r="C1402" s="11" t="s">
        <v>4</v>
      </c>
      <c r="D1402" s="11" t="s">
        <v>1208</v>
      </c>
      <c r="E1402" s="11" t="s">
        <v>870</v>
      </c>
      <c r="F1402" s="11" t="s">
        <v>1008</v>
      </c>
      <c r="G1402" s="12">
        <v>5</v>
      </c>
      <c r="H1402" s="12">
        <v>27.29</v>
      </c>
      <c r="I1402" s="12">
        <v>136.44999999999999</v>
      </c>
      <c r="J1402" s="12">
        <v>108880.67999999991</v>
      </c>
      <c r="K1402">
        <f t="shared" si="63"/>
        <v>5</v>
      </c>
      <c r="L1402">
        <f t="shared" si="64"/>
        <v>1</v>
      </c>
      <c r="M1402">
        <f t="shared" si="65"/>
        <v>1</v>
      </c>
    </row>
    <row r="1403" spans="1:13" x14ac:dyDescent="0.25">
      <c r="A1403" s="2" t="s">
        <v>664</v>
      </c>
      <c r="B1403" s="11" t="s">
        <v>1207</v>
      </c>
      <c r="C1403" s="11" t="s">
        <v>4</v>
      </c>
      <c r="D1403" s="11" t="s">
        <v>1208</v>
      </c>
      <c r="E1403" s="11" t="s">
        <v>872</v>
      </c>
      <c r="F1403" s="11" t="s">
        <v>1009</v>
      </c>
      <c r="G1403" s="12">
        <v>4</v>
      </c>
      <c r="H1403" s="12">
        <v>27.29</v>
      </c>
      <c r="I1403" s="12">
        <v>109.16</v>
      </c>
      <c r="J1403" s="12">
        <v>108989.83999999991</v>
      </c>
      <c r="K1403">
        <f t="shared" si="63"/>
        <v>6</v>
      </c>
      <c r="L1403">
        <f t="shared" si="64"/>
        <v>1</v>
      </c>
      <c r="M1403">
        <f t="shared" si="65"/>
        <v>1</v>
      </c>
    </row>
    <row r="1404" spans="1:13" x14ac:dyDescent="0.25">
      <c r="A1404" s="2" t="s">
        <v>664</v>
      </c>
      <c r="B1404" s="11" t="s">
        <v>1207</v>
      </c>
      <c r="C1404" s="11" t="s">
        <v>4</v>
      </c>
      <c r="D1404" s="11" t="s">
        <v>1208</v>
      </c>
      <c r="E1404" s="11" t="s">
        <v>1062</v>
      </c>
      <c r="F1404" s="11" t="s">
        <v>1063</v>
      </c>
      <c r="G1404" s="12">
        <v>2</v>
      </c>
      <c r="H1404" s="12">
        <v>39.46</v>
      </c>
      <c r="I1404" s="12">
        <v>78.92</v>
      </c>
      <c r="J1404" s="12">
        <v>109068.75999999991</v>
      </c>
      <c r="K1404">
        <f t="shared" si="63"/>
        <v>4</v>
      </c>
      <c r="L1404">
        <f t="shared" si="64"/>
        <v>1</v>
      </c>
      <c r="M1404">
        <f t="shared" si="65"/>
        <v>1</v>
      </c>
    </row>
    <row r="1405" spans="1:13" x14ac:dyDescent="0.25">
      <c r="A1405" s="2" t="s">
        <v>664</v>
      </c>
      <c r="B1405" s="11" t="s">
        <v>1207</v>
      </c>
      <c r="C1405" s="11" t="s">
        <v>4</v>
      </c>
      <c r="D1405" s="11" t="s">
        <v>1208</v>
      </c>
      <c r="E1405" s="11" t="s">
        <v>874</v>
      </c>
      <c r="F1405" s="11" t="s">
        <v>1064</v>
      </c>
      <c r="G1405" s="12">
        <v>2</v>
      </c>
      <c r="H1405" s="12">
        <v>39.46</v>
      </c>
      <c r="I1405" s="12">
        <v>78.92</v>
      </c>
      <c r="J1405" s="12">
        <v>109147.67999999991</v>
      </c>
      <c r="K1405">
        <f t="shared" si="63"/>
        <v>4</v>
      </c>
      <c r="L1405">
        <f t="shared" si="64"/>
        <v>1</v>
      </c>
      <c r="M1405">
        <f t="shared" si="65"/>
        <v>1</v>
      </c>
    </row>
    <row r="1406" spans="1:13" x14ac:dyDescent="0.25">
      <c r="A1406" s="2" t="s">
        <v>664</v>
      </c>
      <c r="B1406" s="11" t="s">
        <v>1207</v>
      </c>
      <c r="C1406" s="11" t="s">
        <v>4</v>
      </c>
      <c r="D1406" s="11" t="s">
        <v>1208</v>
      </c>
      <c r="E1406" s="11" t="s">
        <v>739</v>
      </c>
      <c r="F1406" s="11" t="s">
        <v>964</v>
      </c>
      <c r="G1406" s="12">
        <v>8</v>
      </c>
      <c r="H1406" s="12">
        <v>14</v>
      </c>
      <c r="I1406" s="12">
        <v>112</v>
      </c>
      <c r="J1406" s="12">
        <v>109259.67999999991</v>
      </c>
      <c r="K1406">
        <f t="shared" si="63"/>
        <v>7</v>
      </c>
      <c r="L1406">
        <f t="shared" si="64"/>
        <v>1</v>
      </c>
      <c r="M1406">
        <f t="shared" si="65"/>
        <v>1</v>
      </c>
    </row>
    <row r="1407" spans="1:13" x14ac:dyDescent="0.25">
      <c r="A1407" s="2" t="s">
        <v>664</v>
      </c>
      <c r="B1407" s="11" t="s">
        <v>1207</v>
      </c>
      <c r="C1407" s="11" t="s">
        <v>4</v>
      </c>
      <c r="D1407" s="11" t="s">
        <v>1208</v>
      </c>
      <c r="E1407" s="11" t="s">
        <v>741</v>
      </c>
      <c r="F1407" s="11" t="s">
        <v>1065</v>
      </c>
      <c r="G1407" s="12">
        <v>8</v>
      </c>
      <c r="H1407" s="12">
        <v>14</v>
      </c>
      <c r="I1407" s="12">
        <v>112</v>
      </c>
      <c r="J1407" s="12">
        <v>109371.67999999991</v>
      </c>
      <c r="K1407">
        <f t="shared" si="63"/>
        <v>7</v>
      </c>
      <c r="L1407">
        <f t="shared" si="64"/>
        <v>1</v>
      </c>
      <c r="M1407">
        <f t="shared" si="65"/>
        <v>1</v>
      </c>
    </row>
    <row r="1408" spans="1:13" x14ac:dyDescent="0.25">
      <c r="A1408" s="2" t="s">
        <v>664</v>
      </c>
      <c r="B1408" s="11" t="s">
        <v>1207</v>
      </c>
      <c r="C1408" s="11" t="s">
        <v>4</v>
      </c>
      <c r="D1408" s="11" t="s">
        <v>1208</v>
      </c>
      <c r="E1408" s="11" t="s">
        <v>878</v>
      </c>
      <c r="F1408" s="11" t="s">
        <v>965</v>
      </c>
      <c r="G1408" s="12">
        <v>4</v>
      </c>
      <c r="H1408" s="12">
        <v>14</v>
      </c>
      <c r="I1408" s="12">
        <v>56</v>
      </c>
      <c r="J1408" s="12">
        <v>109427.67999999991</v>
      </c>
      <c r="K1408">
        <f t="shared" si="63"/>
        <v>5</v>
      </c>
      <c r="L1408">
        <f t="shared" si="64"/>
        <v>1</v>
      </c>
      <c r="M1408">
        <f t="shared" si="65"/>
        <v>1</v>
      </c>
    </row>
    <row r="1409" spans="1:13" x14ac:dyDescent="0.25">
      <c r="A1409" s="2" t="s">
        <v>664</v>
      </c>
      <c r="B1409" s="11" t="s">
        <v>1207</v>
      </c>
      <c r="C1409" s="11" t="s">
        <v>4</v>
      </c>
      <c r="D1409" s="11" t="s">
        <v>1208</v>
      </c>
      <c r="E1409" s="11" t="s">
        <v>1066</v>
      </c>
      <c r="F1409" s="11" t="s">
        <v>1067</v>
      </c>
      <c r="G1409" s="12">
        <v>2</v>
      </c>
      <c r="H1409" s="12">
        <v>14</v>
      </c>
      <c r="I1409" s="12">
        <v>28</v>
      </c>
      <c r="J1409" s="12">
        <v>109455.67999999991</v>
      </c>
      <c r="K1409">
        <f t="shared" si="63"/>
        <v>4</v>
      </c>
      <c r="L1409">
        <f t="shared" si="64"/>
        <v>1</v>
      </c>
      <c r="M1409">
        <f t="shared" si="65"/>
        <v>1</v>
      </c>
    </row>
    <row r="1410" spans="1:13" x14ac:dyDescent="0.25">
      <c r="A1410" s="2" t="s">
        <v>664</v>
      </c>
      <c r="B1410" s="11" t="s">
        <v>1207</v>
      </c>
      <c r="C1410" s="11" t="s">
        <v>4</v>
      </c>
      <c r="D1410" s="11" t="s">
        <v>1208</v>
      </c>
      <c r="E1410" s="11" t="s">
        <v>1068</v>
      </c>
      <c r="F1410" s="11" t="s">
        <v>1069</v>
      </c>
      <c r="G1410" s="12">
        <v>4</v>
      </c>
      <c r="H1410" s="12">
        <v>14</v>
      </c>
      <c r="I1410" s="12">
        <v>56</v>
      </c>
      <c r="J1410" s="12">
        <v>109511.67999999991</v>
      </c>
      <c r="K1410">
        <f t="shared" si="63"/>
        <v>5</v>
      </c>
      <c r="L1410">
        <f t="shared" si="64"/>
        <v>1</v>
      </c>
      <c r="M1410">
        <f t="shared" si="65"/>
        <v>1</v>
      </c>
    </row>
    <row r="1411" spans="1:13" x14ac:dyDescent="0.25">
      <c r="A1411" s="2" t="s">
        <v>664</v>
      </c>
      <c r="B1411" s="11" t="s">
        <v>1207</v>
      </c>
      <c r="C1411" s="11" t="s">
        <v>4</v>
      </c>
      <c r="D1411" s="11" t="s">
        <v>1208</v>
      </c>
      <c r="E1411" s="11" t="s">
        <v>880</v>
      </c>
      <c r="F1411" s="11" t="s">
        <v>935</v>
      </c>
      <c r="G1411" s="12">
        <v>32</v>
      </c>
      <c r="H1411" s="12">
        <v>14</v>
      </c>
      <c r="I1411" s="12">
        <v>448</v>
      </c>
      <c r="J1411" s="12">
        <v>109959.67999999991</v>
      </c>
      <c r="K1411">
        <f t="shared" ref="K1411:K1466" si="66">COUNTIF($E$2:$E$1466,E1411)</f>
        <v>6</v>
      </c>
      <c r="L1411">
        <f t="shared" ref="L1411:L1466" si="67">IF(G1411&gt;0,1,0)</f>
        <v>1</v>
      </c>
      <c r="M1411">
        <f t="shared" ref="M1411:M1466" si="68">IF(H1411&gt;0,1,0)</f>
        <v>1</v>
      </c>
    </row>
    <row r="1412" spans="1:13" x14ac:dyDescent="0.25">
      <c r="A1412" s="2" t="s">
        <v>664</v>
      </c>
      <c r="B1412" s="11" t="s">
        <v>1207</v>
      </c>
      <c r="C1412" s="11" t="s">
        <v>4</v>
      </c>
      <c r="D1412" s="11" t="s">
        <v>1208</v>
      </c>
      <c r="E1412" s="11" t="s">
        <v>885</v>
      </c>
      <c r="F1412" s="11" t="s">
        <v>1012</v>
      </c>
      <c r="G1412" s="12">
        <v>3</v>
      </c>
      <c r="H1412" s="12">
        <v>9</v>
      </c>
      <c r="I1412" s="12">
        <v>27</v>
      </c>
      <c r="J1412" s="12">
        <v>109986.67999999991</v>
      </c>
      <c r="K1412">
        <f t="shared" si="66"/>
        <v>4</v>
      </c>
      <c r="L1412">
        <f t="shared" si="67"/>
        <v>1</v>
      </c>
      <c r="M1412">
        <f t="shared" si="68"/>
        <v>1</v>
      </c>
    </row>
    <row r="1413" spans="1:13" x14ac:dyDescent="0.25">
      <c r="A1413" s="2" t="s">
        <v>664</v>
      </c>
      <c r="B1413" s="11" t="s">
        <v>1207</v>
      </c>
      <c r="C1413" s="11" t="s">
        <v>4</v>
      </c>
      <c r="D1413" s="11" t="s">
        <v>1208</v>
      </c>
      <c r="E1413" s="11" t="s">
        <v>893</v>
      </c>
      <c r="F1413" s="11" t="s">
        <v>1013</v>
      </c>
      <c r="G1413" s="12">
        <v>6</v>
      </c>
      <c r="H1413" s="12">
        <v>12.84</v>
      </c>
      <c r="I1413" s="12">
        <v>77.040000000000006</v>
      </c>
      <c r="J1413" s="12">
        <v>110063.7199999999</v>
      </c>
      <c r="K1413">
        <f t="shared" si="66"/>
        <v>5</v>
      </c>
      <c r="L1413">
        <f t="shared" si="67"/>
        <v>1</v>
      </c>
      <c r="M1413">
        <f t="shared" si="68"/>
        <v>1</v>
      </c>
    </row>
    <row r="1414" spans="1:13" x14ac:dyDescent="0.25">
      <c r="A1414" s="2" t="s">
        <v>664</v>
      </c>
      <c r="B1414" s="11" t="s">
        <v>1207</v>
      </c>
      <c r="C1414" s="11" t="s">
        <v>4</v>
      </c>
      <c r="D1414" s="11" t="s">
        <v>1208</v>
      </c>
      <c r="E1414" s="11" t="s">
        <v>897</v>
      </c>
      <c r="F1414" s="11" t="s">
        <v>972</v>
      </c>
      <c r="G1414" s="12">
        <v>2</v>
      </c>
      <c r="H1414" s="12">
        <v>14</v>
      </c>
      <c r="I1414" s="12">
        <v>28</v>
      </c>
      <c r="J1414" s="12">
        <v>110091.7199999999</v>
      </c>
      <c r="K1414">
        <f t="shared" si="66"/>
        <v>3</v>
      </c>
      <c r="L1414">
        <f t="shared" si="67"/>
        <v>1</v>
      </c>
      <c r="M1414">
        <f t="shared" si="68"/>
        <v>1</v>
      </c>
    </row>
    <row r="1415" spans="1:13" x14ac:dyDescent="0.25">
      <c r="A1415" s="2" t="s">
        <v>664</v>
      </c>
      <c r="B1415" s="11" t="s">
        <v>1207</v>
      </c>
      <c r="C1415" s="11" t="s">
        <v>4</v>
      </c>
      <c r="D1415" s="11" t="s">
        <v>1208</v>
      </c>
      <c r="E1415" s="11" t="s">
        <v>56</v>
      </c>
      <c r="F1415" s="11" t="s">
        <v>57</v>
      </c>
      <c r="G1415" s="12">
        <v>10</v>
      </c>
      <c r="H1415" s="12">
        <v>54.96</v>
      </c>
      <c r="I1415" s="12">
        <v>549.6</v>
      </c>
      <c r="J1415" s="12">
        <v>110641.31999999991</v>
      </c>
      <c r="K1415">
        <f t="shared" si="66"/>
        <v>9</v>
      </c>
      <c r="L1415">
        <f t="shared" si="67"/>
        <v>1</v>
      </c>
      <c r="M1415">
        <f t="shared" si="68"/>
        <v>1</v>
      </c>
    </row>
    <row r="1416" spans="1:13" x14ac:dyDescent="0.25">
      <c r="A1416" s="2" t="s">
        <v>664</v>
      </c>
      <c r="B1416" s="11" t="s">
        <v>1207</v>
      </c>
      <c r="C1416" s="11" t="s">
        <v>4</v>
      </c>
      <c r="D1416" s="11" t="s">
        <v>1208</v>
      </c>
      <c r="E1416" s="11" t="s">
        <v>58</v>
      </c>
      <c r="F1416" s="11" t="s">
        <v>59</v>
      </c>
      <c r="G1416" s="12">
        <v>10</v>
      </c>
      <c r="H1416" s="12">
        <v>60.84</v>
      </c>
      <c r="I1416" s="12">
        <v>608.4</v>
      </c>
      <c r="J1416" s="12">
        <v>111249.7199999999</v>
      </c>
      <c r="K1416">
        <f t="shared" si="66"/>
        <v>9</v>
      </c>
      <c r="L1416">
        <f t="shared" si="67"/>
        <v>1</v>
      </c>
      <c r="M1416">
        <f t="shared" si="68"/>
        <v>1</v>
      </c>
    </row>
    <row r="1417" spans="1:13" x14ac:dyDescent="0.25">
      <c r="A1417" s="2" t="s">
        <v>664</v>
      </c>
      <c r="B1417" s="11" t="s">
        <v>1207</v>
      </c>
      <c r="C1417" s="11" t="s">
        <v>4</v>
      </c>
      <c r="D1417" s="11" t="s">
        <v>1208</v>
      </c>
      <c r="E1417" s="11" t="s">
        <v>84</v>
      </c>
      <c r="F1417" s="11" t="s">
        <v>85</v>
      </c>
      <c r="G1417" s="12">
        <v>10</v>
      </c>
      <c r="H1417" s="12">
        <v>46.44</v>
      </c>
      <c r="I1417" s="12">
        <v>464.4</v>
      </c>
      <c r="J1417" s="12">
        <v>111714.11999999989</v>
      </c>
      <c r="K1417">
        <f t="shared" si="66"/>
        <v>5</v>
      </c>
      <c r="L1417">
        <f t="shared" si="67"/>
        <v>1</v>
      </c>
      <c r="M1417">
        <f t="shared" si="68"/>
        <v>1</v>
      </c>
    </row>
    <row r="1418" spans="1:13" x14ac:dyDescent="0.25">
      <c r="A1418" s="2" t="s">
        <v>664</v>
      </c>
      <c r="B1418" s="11" t="s">
        <v>1207</v>
      </c>
      <c r="C1418" s="11" t="s">
        <v>4</v>
      </c>
      <c r="D1418" s="11" t="s">
        <v>1208</v>
      </c>
      <c r="E1418" s="11" t="s">
        <v>64</v>
      </c>
      <c r="F1418" s="11" t="s">
        <v>65</v>
      </c>
      <c r="G1418" s="12">
        <v>3</v>
      </c>
      <c r="H1418" s="12">
        <v>50.9</v>
      </c>
      <c r="I1418" s="12">
        <v>152.69999999999999</v>
      </c>
      <c r="J1418" s="12">
        <v>111866.81999999989</v>
      </c>
      <c r="K1418">
        <f t="shared" si="66"/>
        <v>6</v>
      </c>
      <c r="L1418">
        <f t="shared" si="67"/>
        <v>1</v>
      </c>
      <c r="M1418">
        <f t="shared" si="68"/>
        <v>1</v>
      </c>
    </row>
    <row r="1419" spans="1:13" x14ac:dyDescent="0.25">
      <c r="A1419" s="2" t="s">
        <v>664</v>
      </c>
      <c r="B1419" s="11" t="s">
        <v>1207</v>
      </c>
      <c r="C1419" s="11" t="s">
        <v>4</v>
      </c>
      <c r="D1419" s="11" t="s">
        <v>1208</v>
      </c>
      <c r="E1419" s="11" t="s">
        <v>88</v>
      </c>
      <c r="F1419" s="11" t="s">
        <v>89</v>
      </c>
      <c r="G1419" s="12">
        <v>10</v>
      </c>
      <c r="H1419" s="12">
        <v>18.32</v>
      </c>
      <c r="I1419" s="12">
        <v>183.2</v>
      </c>
      <c r="J1419" s="12">
        <v>112050.01999999989</v>
      </c>
      <c r="K1419">
        <f t="shared" si="66"/>
        <v>5</v>
      </c>
      <c r="L1419">
        <f t="shared" si="67"/>
        <v>1</v>
      </c>
      <c r="M1419">
        <f t="shared" si="68"/>
        <v>1</v>
      </c>
    </row>
    <row r="1420" spans="1:13" x14ac:dyDescent="0.25">
      <c r="A1420" s="2" t="s">
        <v>664</v>
      </c>
      <c r="B1420" s="11" t="s">
        <v>1207</v>
      </c>
      <c r="C1420" s="11" t="s">
        <v>4</v>
      </c>
      <c r="D1420" s="11" t="s">
        <v>1208</v>
      </c>
      <c r="E1420" s="11" t="s">
        <v>348</v>
      </c>
      <c r="F1420" s="11" t="s">
        <v>433</v>
      </c>
      <c r="G1420" s="12">
        <v>20</v>
      </c>
      <c r="H1420" s="12">
        <v>18.32</v>
      </c>
      <c r="I1420" s="12">
        <v>366.4</v>
      </c>
      <c r="J1420" s="12">
        <v>112416.41999999988</v>
      </c>
      <c r="K1420">
        <f t="shared" si="66"/>
        <v>7</v>
      </c>
      <c r="L1420">
        <f t="shared" si="67"/>
        <v>1</v>
      </c>
      <c r="M1420">
        <f t="shared" si="68"/>
        <v>1</v>
      </c>
    </row>
    <row r="1421" spans="1:13" x14ac:dyDescent="0.25">
      <c r="A1421" s="2" t="s">
        <v>664</v>
      </c>
      <c r="B1421" s="11" t="s">
        <v>1207</v>
      </c>
      <c r="C1421" s="11" t="s">
        <v>4</v>
      </c>
      <c r="D1421" s="11" t="s">
        <v>1208</v>
      </c>
      <c r="E1421" s="11" t="s">
        <v>72</v>
      </c>
      <c r="F1421" s="11" t="s">
        <v>73</v>
      </c>
      <c r="G1421" s="12">
        <v>2</v>
      </c>
      <c r="H1421" s="12">
        <v>66.88</v>
      </c>
      <c r="I1421" s="12">
        <v>133.76</v>
      </c>
      <c r="J1421" s="12">
        <v>112550.17999999988</v>
      </c>
      <c r="K1421">
        <f t="shared" si="66"/>
        <v>6</v>
      </c>
      <c r="L1421">
        <f t="shared" si="67"/>
        <v>1</v>
      </c>
      <c r="M1421">
        <f t="shared" si="68"/>
        <v>1</v>
      </c>
    </row>
    <row r="1422" spans="1:13" x14ac:dyDescent="0.25">
      <c r="A1422" s="2" t="s">
        <v>664</v>
      </c>
      <c r="B1422" s="11" t="s">
        <v>1207</v>
      </c>
      <c r="C1422" s="11" t="s">
        <v>4</v>
      </c>
      <c r="D1422" s="11" t="s">
        <v>1208</v>
      </c>
      <c r="E1422" s="11" t="s">
        <v>1211</v>
      </c>
      <c r="F1422" s="11" t="s">
        <v>1212</v>
      </c>
      <c r="G1422" s="12">
        <v>2</v>
      </c>
      <c r="H1422" s="12">
        <v>22</v>
      </c>
      <c r="I1422" s="12">
        <v>44</v>
      </c>
      <c r="J1422" s="12">
        <v>112594.17999999988</v>
      </c>
      <c r="K1422">
        <f t="shared" si="66"/>
        <v>1</v>
      </c>
      <c r="L1422">
        <f t="shared" si="67"/>
        <v>1</v>
      </c>
      <c r="M1422">
        <f t="shared" si="68"/>
        <v>1</v>
      </c>
    </row>
    <row r="1423" spans="1:13" x14ac:dyDescent="0.25">
      <c r="A1423" s="2" t="s">
        <v>664</v>
      </c>
      <c r="B1423" s="11" t="s">
        <v>1207</v>
      </c>
      <c r="C1423" s="11" t="s">
        <v>4</v>
      </c>
      <c r="D1423" s="11" t="s">
        <v>1208</v>
      </c>
      <c r="E1423" s="11" t="s">
        <v>803</v>
      </c>
      <c r="F1423" s="11" t="s">
        <v>1016</v>
      </c>
      <c r="G1423" s="12">
        <v>5</v>
      </c>
      <c r="H1423" s="12">
        <v>22</v>
      </c>
      <c r="I1423" s="12">
        <v>110</v>
      </c>
      <c r="J1423" s="12">
        <v>112704.17999999988</v>
      </c>
      <c r="K1423">
        <f t="shared" si="66"/>
        <v>8</v>
      </c>
      <c r="L1423">
        <f t="shared" si="67"/>
        <v>1</v>
      </c>
      <c r="M1423">
        <f t="shared" si="68"/>
        <v>1</v>
      </c>
    </row>
    <row r="1424" spans="1:13" x14ac:dyDescent="0.25">
      <c r="A1424" s="2" t="s">
        <v>664</v>
      </c>
      <c r="B1424" s="11" t="s">
        <v>1207</v>
      </c>
      <c r="C1424" s="11" t="s">
        <v>4</v>
      </c>
      <c r="D1424" s="11" t="s">
        <v>1208</v>
      </c>
      <c r="E1424" s="11" t="s">
        <v>902</v>
      </c>
      <c r="F1424" s="11" t="s">
        <v>1017</v>
      </c>
      <c r="G1424" s="12">
        <v>5</v>
      </c>
      <c r="H1424" s="12">
        <v>72.72</v>
      </c>
      <c r="I1424" s="12">
        <v>363.6</v>
      </c>
      <c r="J1424" s="12">
        <v>113067.77999999988</v>
      </c>
      <c r="K1424">
        <f t="shared" si="66"/>
        <v>4</v>
      </c>
      <c r="L1424">
        <f t="shared" si="67"/>
        <v>1</v>
      </c>
      <c r="M1424">
        <f t="shared" si="68"/>
        <v>1</v>
      </c>
    </row>
    <row r="1425" spans="1:13" x14ac:dyDescent="0.25">
      <c r="A1425" s="2" t="s">
        <v>664</v>
      </c>
      <c r="B1425" s="11" t="s">
        <v>1207</v>
      </c>
      <c r="C1425" s="11" t="s">
        <v>4</v>
      </c>
      <c r="D1425" s="11" t="s">
        <v>1208</v>
      </c>
      <c r="E1425" s="11" t="s">
        <v>750</v>
      </c>
      <c r="F1425" s="11" t="s">
        <v>1102</v>
      </c>
      <c r="G1425" s="12">
        <v>4</v>
      </c>
      <c r="H1425" s="12">
        <v>13.91</v>
      </c>
      <c r="I1425" s="12">
        <v>55.64</v>
      </c>
      <c r="J1425" s="12">
        <v>113123.41999999988</v>
      </c>
      <c r="K1425">
        <f t="shared" si="66"/>
        <v>4</v>
      </c>
      <c r="L1425">
        <f t="shared" si="67"/>
        <v>1</v>
      </c>
      <c r="M1425">
        <f t="shared" si="68"/>
        <v>1</v>
      </c>
    </row>
    <row r="1426" spans="1:13" x14ac:dyDescent="0.25">
      <c r="A1426" s="2" t="s">
        <v>664</v>
      </c>
      <c r="B1426" s="11" t="s">
        <v>1207</v>
      </c>
      <c r="C1426" s="11" t="s">
        <v>4</v>
      </c>
      <c r="D1426" s="11" t="s">
        <v>1208</v>
      </c>
      <c r="E1426" s="11" t="s">
        <v>924</v>
      </c>
      <c r="F1426" s="11" t="s">
        <v>1078</v>
      </c>
      <c r="G1426" s="12">
        <v>2</v>
      </c>
      <c r="H1426" s="12">
        <v>32.15</v>
      </c>
      <c r="I1426" s="12">
        <v>64.3</v>
      </c>
      <c r="J1426" s="12">
        <v>113187.71999999988</v>
      </c>
      <c r="K1426">
        <f t="shared" si="66"/>
        <v>4</v>
      </c>
      <c r="L1426">
        <f t="shared" si="67"/>
        <v>1</v>
      </c>
      <c r="M1426">
        <f t="shared" si="68"/>
        <v>1</v>
      </c>
    </row>
    <row r="1427" spans="1:13" x14ac:dyDescent="0.25">
      <c r="A1427" s="2" t="s">
        <v>664</v>
      </c>
      <c r="B1427" s="11" t="s">
        <v>1207</v>
      </c>
      <c r="C1427" s="11" t="s">
        <v>4</v>
      </c>
      <c r="D1427" s="11" t="s">
        <v>1208</v>
      </c>
      <c r="E1427" s="11" t="s">
        <v>926</v>
      </c>
      <c r="F1427" s="11" t="s">
        <v>1079</v>
      </c>
      <c r="G1427" s="12">
        <v>2</v>
      </c>
      <c r="H1427" s="12">
        <v>32.15</v>
      </c>
      <c r="I1427" s="12">
        <v>64.3</v>
      </c>
      <c r="J1427" s="12">
        <v>113252.01999999989</v>
      </c>
      <c r="K1427">
        <f t="shared" si="66"/>
        <v>4</v>
      </c>
      <c r="L1427">
        <f t="shared" si="67"/>
        <v>1</v>
      </c>
      <c r="M1427">
        <f t="shared" si="68"/>
        <v>1</v>
      </c>
    </row>
    <row r="1428" spans="1:13" x14ac:dyDescent="0.25">
      <c r="A1428" s="2" t="s">
        <v>664</v>
      </c>
      <c r="B1428" s="11" t="s">
        <v>1207</v>
      </c>
      <c r="C1428" s="11" t="s">
        <v>4</v>
      </c>
      <c r="D1428" s="11" t="s">
        <v>1208</v>
      </c>
      <c r="E1428" s="11" t="s">
        <v>752</v>
      </c>
      <c r="F1428" s="11" t="s">
        <v>978</v>
      </c>
      <c r="G1428" s="12">
        <v>2</v>
      </c>
      <c r="H1428" s="12">
        <v>37.450000000000003</v>
      </c>
      <c r="I1428" s="12">
        <v>74.900000000000006</v>
      </c>
      <c r="J1428" s="12">
        <v>113326.91999999988</v>
      </c>
      <c r="K1428">
        <f t="shared" si="66"/>
        <v>6</v>
      </c>
      <c r="L1428">
        <f t="shared" si="67"/>
        <v>1</v>
      </c>
      <c r="M1428">
        <f t="shared" si="68"/>
        <v>1</v>
      </c>
    </row>
    <row r="1429" spans="1:13" x14ac:dyDescent="0.25">
      <c r="A1429" s="2" t="s">
        <v>664</v>
      </c>
      <c r="B1429" s="11" t="s">
        <v>1207</v>
      </c>
      <c r="C1429" s="11" t="s">
        <v>4</v>
      </c>
      <c r="D1429" s="11" t="s">
        <v>1208</v>
      </c>
      <c r="E1429" s="11" t="s">
        <v>1081</v>
      </c>
      <c r="F1429" s="11" t="s">
        <v>1082</v>
      </c>
      <c r="G1429" s="12">
        <v>4</v>
      </c>
      <c r="H1429" s="12">
        <v>23.22</v>
      </c>
      <c r="I1429" s="12">
        <v>92.88</v>
      </c>
      <c r="J1429" s="12">
        <v>113419.79999999989</v>
      </c>
      <c r="K1429">
        <f t="shared" si="66"/>
        <v>2</v>
      </c>
      <c r="L1429">
        <f t="shared" si="67"/>
        <v>1</v>
      </c>
      <c r="M1429">
        <f t="shared" si="68"/>
        <v>1</v>
      </c>
    </row>
    <row r="1430" spans="1:13" x14ac:dyDescent="0.25">
      <c r="A1430" s="2" t="s">
        <v>664</v>
      </c>
      <c r="B1430" s="11" t="s">
        <v>1207</v>
      </c>
      <c r="C1430" s="11" t="s">
        <v>4</v>
      </c>
      <c r="D1430" s="11" t="s">
        <v>1208</v>
      </c>
      <c r="E1430" s="11" t="s">
        <v>1186</v>
      </c>
      <c r="F1430" s="11" t="s">
        <v>1187</v>
      </c>
      <c r="G1430" s="12">
        <v>2</v>
      </c>
      <c r="H1430" s="12">
        <v>22.24</v>
      </c>
      <c r="I1430" s="12">
        <v>44.48</v>
      </c>
      <c r="J1430" s="12">
        <v>113464.27999999988</v>
      </c>
      <c r="K1430">
        <f t="shared" si="66"/>
        <v>3</v>
      </c>
      <c r="L1430">
        <f t="shared" si="67"/>
        <v>1</v>
      </c>
      <c r="M1430">
        <f t="shared" si="68"/>
        <v>1</v>
      </c>
    </row>
    <row r="1431" spans="1:13" x14ac:dyDescent="0.25">
      <c r="A1431" s="2" t="s">
        <v>664</v>
      </c>
      <c r="B1431" s="11" t="s">
        <v>1207</v>
      </c>
      <c r="C1431" s="11" t="s">
        <v>4</v>
      </c>
      <c r="D1431" s="11" t="s">
        <v>1208</v>
      </c>
      <c r="E1431" s="11" t="s">
        <v>1168</v>
      </c>
      <c r="F1431" s="11" t="s">
        <v>1206</v>
      </c>
      <c r="G1431" s="12">
        <v>2</v>
      </c>
      <c r="H1431" s="12">
        <v>30.42</v>
      </c>
      <c r="I1431" s="12">
        <v>60.84</v>
      </c>
      <c r="J1431" s="12">
        <v>113525.11999999988</v>
      </c>
      <c r="K1431">
        <f t="shared" si="66"/>
        <v>3</v>
      </c>
      <c r="L1431">
        <f t="shared" si="67"/>
        <v>1</v>
      </c>
      <c r="M1431">
        <f t="shared" si="68"/>
        <v>1</v>
      </c>
    </row>
    <row r="1432" spans="1:13" x14ac:dyDescent="0.25">
      <c r="A1432" s="2" t="s">
        <v>664</v>
      </c>
      <c r="B1432" s="11" t="s">
        <v>1207</v>
      </c>
      <c r="C1432" s="11" t="s">
        <v>4</v>
      </c>
      <c r="D1432" s="11" t="s">
        <v>1208</v>
      </c>
      <c r="E1432" s="11" t="s">
        <v>1190</v>
      </c>
      <c r="F1432" s="11" t="s">
        <v>1191</v>
      </c>
      <c r="G1432" s="12">
        <v>2</v>
      </c>
      <c r="H1432" s="12">
        <v>10.68</v>
      </c>
      <c r="I1432" s="12">
        <v>21.36</v>
      </c>
      <c r="J1432" s="12">
        <v>113546.47999999988</v>
      </c>
      <c r="K1432">
        <f t="shared" si="66"/>
        <v>3</v>
      </c>
      <c r="L1432">
        <f t="shared" si="67"/>
        <v>1</v>
      </c>
      <c r="M1432">
        <f t="shared" si="68"/>
        <v>1</v>
      </c>
    </row>
    <row r="1433" spans="1:13" x14ac:dyDescent="0.25">
      <c r="A1433" s="2" t="s">
        <v>664</v>
      </c>
      <c r="B1433" s="11" t="s">
        <v>1207</v>
      </c>
      <c r="C1433" s="11" t="s">
        <v>4</v>
      </c>
      <c r="D1433" s="11" t="s">
        <v>1208</v>
      </c>
      <c r="E1433" s="11" t="s">
        <v>1123</v>
      </c>
      <c r="F1433" s="11" t="s">
        <v>1143</v>
      </c>
      <c r="G1433" s="12">
        <v>5</v>
      </c>
      <c r="H1433" s="12">
        <v>55.8</v>
      </c>
      <c r="I1433" s="12">
        <v>279</v>
      </c>
      <c r="J1433" s="12">
        <v>113825.47999999988</v>
      </c>
      <c r="K1433">
        <f t="shared" si="66"/>
        <v>3</v>
      </c>
      <c r="L1433">
        <f t="shared" si="67"/>
        <v>1</v>
      </c>
      <c r="M1433">
        <f t="shared" si="68"/>
        <v>1</v>
      </c>
    </row>
    <row r="1434" spans="1:13" x14ac:dyDescent="0.25">
      <c r="A1434" s="2" t="s">
        <v>664</v>
      </c>
      <c r="B1434" s="11" t="s">
        <v>1207</v>
      </c>
      <c r="C1434" s="11" t="s">
        <v>4</v>
      </c>
      <c r="D1434" s="11" t="s">
        <v>1208</v>
      </c>
      <c r="E1434" s="11" t="s">
        <v>809</v>
      </c>
      <c r="F1434" s="11" t="s">
        <v>1144</v>
      </c>
      <c r="G1434" s="12">
        <v>2</v>
      </c>
      <c r="H1434" s="12">
        <v>32.74</v>
      </c>
      <c r="I1434" s="12">
        <v>65.48</v>
      </c>
      <c r="J1434" s="12">
        <v>113890.95999999988</v>
      </c>
      <c r="K1434">
        <f t="shared" si="66"/>
        <v>7</v>
      </c>
      <c r="L1434">
        <f t="shared" si="67"/>
        <v>1</v>
      </c>
      <c r="M1434">
        <f t="shared" si="68"/>
        <v>1</v>
      </c>
    </row>
    <row r="1435" spans="1:13" x14ac:dyDescent="0.25">
      <c r="A1435" s="2" t="s">
        <v>664</v>
      </c>
      <c r="B1435" s="11" t="s">
        <v>1207</v>
      </c>
      <c r="C1435" s="11" t="s">
        <v>4</v>
      </c>
      <c r="D1435" s="11" t="s">
        <v>1208</v>
      </c>
      <c r="E1435" s="11" t="s">
        <v>760</v>
      </c>
      <c r="F1435" s="11" t="s">
        <v>979</v>
      </c>
      <c r="G1435" s="12">
        <v>10</v>
      </c>
      <c r="H1435" s="12">
        <v>53.5</v>
      </c>
      <c r="I1435" s="12">
        <v>535</v>
      </c>
      <c r="J1435" s="12">
        <v>114425.95999999988</v>
      </c>
      <c r="K1435">
        <f t="shared" si="66"/>
        <v>6</v>
      </c>
      <c r="L1435">
        <f t="shared" si="67"/>
        <v>1</v>
      </c>
      <c r="M1435">
        <f t="shared" si="68"/>
        <v>1</v>
      </c>
    </row>
    <row r="1436" spans="1:13" x14ac:dyDescent="0.25">
      <c r="A1436" s="2" t="s">
        <v>664</v>
      </c>
      <c r="B1436" s="11" t="s">
        <v>1207</v>
      </c>
      <c r="C1436" s="11" t="s">
        <v>4</v>
      </c>
      <c r="D1436" s="11" t="s">
        <v>1208</v>
      </c>
      <c r="E1436" s="11" t="s">
        <v>811</v>
      </c>
      <c r="F1436" s="11" t="s">
        <v>1147</v>
      </c>
      <c r="G1436" s="12">
        <v>5</v>
      </c>
      <c r="H1436" s="12">
        <v>49.8</v>
      </c>
      <c r="I1436" s="12">
        <v>249</v>
      </c>
      <c r="J1436" s="12">
        <v>114674.95999999988</v>
      </c>
      <c r="K1436">
        <f t="shared" si="66"/>
        <v>5</v>
      </c>
      <c r="L1436">
        <f t="shared" si="67"/>
        <v>1</v>
      </c>
      <c r="M1436">
        <f t="shared" si="68"/>
        <v>1</v>
      </c>
    </row>
    <row r="1437" spans="1:13" x14ac:dyDescent="0.25">
      <c r="A1437" s="2" t="s">
        <v>664</v>
      </c>
      <c r="B1437" s="11" t="s">
        <v>1207</v>
      </c>
      <c r="C1437" s="11" t="s">
        <v>4</v>
      </c>
      <c r="D1437" s="11" t="s">
        <v>1208</v>
      </c>
      <c r="E1437" s="11" t="s">
        <v>813</v>
      </c>
      <c r="F1437" s="11" t="s">
        <v>1024</v>
      </c>
      <c r="G1437" s="12">
        <v>6</v>
      </c>
      <c r="H1437" s="12">
        <v>54.57</v>
      </c>
      <c r="I1437" s="12">
        <v>327.42</v>
      </c>
      <c r="J1437" s="12">
        <v>115002.37999999987</v>
      </c>
      <c r="K1437">
        <f t="shared" si="66"/>
        <v>7</v>
      </c>
      <c r="L1437">
        <f t="shared" si="67"/>
        <v>1</v>
      </c>
      <c r="M1437">
        <f t="shared" si="68"/>
        <v>1</v>
      </c>
    </row>
    <row r="1438" spans="1:13" x14ac:dyDescent="0.25">
      <c r="A1438" s="2" t="s">
        <v>664</v>
      </c>
      <c r="B1438" s="11" t="s">
        <v>1207</v>
      </c>
      <c r="C1438" s="11" t="s">
        <v>4</v>
      </c>
      <c r="D1438" s="11" t="s">
        <v>1208</v>
      </c>
      <c r="E1438" s="11" t="s">
        <v>815</v>
      </c>
      <c r="F1438" s="11" t="s">
        <v>1148</v>
      </c>
      <c r="G1438" s="12">
        <v>5</v>
      </c>
      <c r="H1438" s="12">
        <v>45</v>
      </c>
      <c r="I1438" s="12">
        <v>225</v>
      </c>
      <c r="J1438" s="12">
        <v>115227.37999999987</v>
      </c>
      <c r="K1438">
        <f t="shared" si="66"/>
        <v>5</v>
      </c>
      <c r="L1438">
        <f t="shared" si="67"/>
        <v>1</v>
      </c>
      <c r="M1438">
        <f t="shared" si="68"/>
        <v>1</v>
      </c>
    </row>
    <row r="1439" spans="1:13" x14ac:dyDescent="0.25">
      <c r="A1439" s="2" t="s">
        <v>664</v>
      </c>
      <c r="B1439" s="11" t="s">
        <v>1207</v>
      </c>
      <c r="C1439" s="11" t="s">
        <v>4</v>
      </c>
      <c r="D1439" s="11" t="s">
        <v>1208</v>
      </c>
      <c r="E1439" s="11" t="s">
        <v>817</v>
      </c>
      <c r="F1439" s="11" t="s">
        <v>1025</v>
      </c>
      <c r="G1439" s="12">
        <v>3</v>
      </c>
      <c r="H1439" s="12">
        <v>46.22</v>
      </c>
      <c r="I1439" s="12">
        <v>138.66</v>
      </c>
      <c r="J1439" s="12">
        <v>115366.03999999988</v>
      </c>
      <c r="K1439">
        <f t="shared" si="66"/>
        <v>6</v>
      </c>
      <c r="L1439">
        <f t="shared" si="67"/>
        <v>1</v>
      </c>
      <c r="M1439">
        <f t="shared" si="68"/>
        <v>1</v>
      </c>
    </row>
    <row r="1440" spans="1:13" x14ac:dyDescent="0.25">
      <c r="A1440" s="2" t="s">
        <v>664</v>
      </c>
      <c r="B1440" s="11" t="s">
        <v>1207</v>
      </c>
      <c r="C1440" s="11" t="s">
        <v>4</v>
      </c>
      <c r="D1440" s="11" t="s">
        <v>1208</v>
      </c>
      <c r="E1440" s="11" t="s">
        <v>770</v>
      </c>
      <c r="F1440" s="11" t="s">
        <v>1173</v>
      </c>
      <c r="G1440" s="12">
        <v>10</v>
      </c>
      <c r="H1440" s="12">
        <v>37.450000000000003</v>
      </c>
      <c r="I1440" s="12">
        <v>374.5</v>
      </c>
      <c r="J1440" s="12">
        <v>115740.53999999988</v>
      </c>
      <c r="K1440">
        <f t="shared" si="66"/>
        <v>6</v>
      </c>
      <c r="L1440">
        <f t="shared" si="67"/>
        <v>1</v>
      </c>
      <c r="M1440">
        <f t="shared" si="68"/>
        <v>1</v>
      </c>
    </row>
    <row r="1441" spans="1:13" x14ac:dyDescent="0.25">
      <c r="A1441" s="2" t="s">
        <v>664</v>
      </c>
      <c r="B1441" s="11" t="s">
        <v>1207</v>
      </c>
      <c r="C1441" s="11" t="s">
        <v>4</v>
      </c>
      <c r="D1441" s="11" t="s">
        <v>1208</v>
      </c>
      <c r="E1441" s="11" t="s">
        <v>774</v>
      </c>
      <c r="F1441" s="11" t="s">
        <v>981</v>
      </c>
      <c r="G1441" s="12">
        <v>5</v>
      </c>
      <c r="H1441" s="12">
        <v>26.84</v>
      </c>
      <c r="I1441" s="12">
        <v>134.19999999999999</v>
      </c>
      <c r="J1441" s="12">
        <v>115874.73999999987</v>
      </c>
      <c r="K1441">
        <f t="shared" si="66"/>
        <v>6</v>
      </c>
      <c r="L1441">
        <f t="shared" si="67"/>
        <v>1</v>
      </c>
      <c r="M1441">
        <f t="shared" si="68"/>
        <v>1</v>
      </c>
    </row>
    <row r="1442" spans="1:13" x14ac:dyDescent="0.25">
      <c r="A1442" s="2" t="s">
        <v>664</v>
      </c>
      <c r="B1442" s="11" t="s">
        <v>1207</v>
      </c>
      <c r="C1442" s="11" t="s">
        <v>4</v>
      </c>
      <c r="D1442" s="11" t="s">
        <v>1208</v>
      </c>
      <c r="E1442" s="11" t="s">
        <v>1213</v>
      </c>
      <c r="F1442" s="11" t="s">
        <v>1214</v>
      </c>
      <c r="G1442" s="12">
        <v>2</v>
      </c>
      <c r="H1442" s="12">
        <v>35</v>
      </c>
      <c r="I1442" s="12">
        <v>70</v>
      </c>
      <c r="J1442" s="12">
        <v>115944.73999999987</v>
      </c>
      <c r="K1442">
        <f t="shared" si="66"/>
        <v>1</v>
      </c>
      <c r="L1442">
        <f t="shared" si="67"/>
        <v>1</v>
      </c>
      <c r="M1442">
        <f t="shared" si="68"/>
        <v>1</v>
      </c>
    </row>
    <row r="1443" spans="1:13" x14ac:dyDescent="0.25">
      <c r="A1443" s="2" t="s">
        <v>664</v>
      </c>
      <c r="B1443" s="11" t="s">
        <v>1207</v>
      </c>
      <c r="C1443" s="11" t="s">
        <v>4</v>
      </c>
      <c r="D1443" s="11" t="s">
        <v>1208</v>
      </c>
      <c r="E1443" s="11" t="s">
        <v>1151</v>
      </c>
      <c r="F1443" s="11" t="s">
        <v>1174</v>
      </c>
      <c r="G1443" s="12">
        <v>12</v>
      </c>
      <c r="H1443" s="12">
        <v>26.84</v>
      </c>
      <c r="I1443" s="12">
        <v>322.08</v>
      </c>
      <c r="J1443" s="12">
        <v>116266.81999999988</v>
      </c>
      <c r="K1443">
        <f t="shared" si="66"/>
        <v>3</v>
      </c>
      <c r="L1443">
        <f t="shared" si="67"/>
        <v>1</v>
      </c>
      <c r="M1443">
        <f t="shared" si="68"/>
        <v>1</v>
      </c>
    </row>
    <row r="1444" spans="1:13" x14ac:dyDescent="0.25">
      <c r="A1444" s="2" t="s">
        <v>664</v>
      </c>
      <c r="B1444" s="11" t="s">
        <v>1207</v>
      </c>
      <c r="C1444" s="11" t="s">
        <v>4</v>
      </c>
      <c r="D1444" s="11" t="s">
        <v>1208</v>
      </c>
      <c r="E1444" s="11" t="s">
        <v>982</v>
      </c>
      <c r="F1444" s="11" t="s">
        <v>1215</v>
      </c>
      <c r="G1444" s="12">
        <v>2</v>
      </c>
      <c r="H1444" s="12">
        <v>28.68</v>
      </c>
      <c r="I1444" s="12">
        <v>57.36</v>
      </c>
      <c r="J1444" s="12">
        <v>116324.17999999988</v>
      </c>
      <c r="K1444">
        <f t="shared" si="66"/>
        <v>3</v>
      </c>
      <c r="L1444">
        <f t="shared" si="67"/>
        <v>1</v>
      </c>
      <c r="M1444">
        <f t="shared" si="68"/>
        <v>1</v>
      </c>
    </row>
    <row r="1445" spans="1:13" x14ac:dyDescent="0.25">
      <c r="A1445" s="2" t="s">
        <v>664</v>
      </c>
      <c r="B1445" s="11" t="s">
        <v>1207</v>
      </c>
      <c r="C1445" s="11" t="s">
        <v>4</v>
      </c>
      <c r="D1445" s="11" t="s">
        <v>1208</v>
      </c>
      <c r="E1445" s="11" t="s">
        <v>819</v>
      </c>
      <c r="F1445" s="11" t="s">
        <v>1028</v>
      </c>
      <c r="G1445" s="12">
        <v>2</v>
      </c>
      <c r="H1445" s="12">
        <v>29.4</v>
      </c>
      <c r="I1445" s="12">
        <v>58.8</v>
      </c>
      <c r="J1445" s="12">
        <v>116382.97999999988</v>
      </c>
      <c r="K1445">
        <f t="shared" si="66"/>
        <v>6</v>
      </c>
      <c r="L1445">
        <f t="shared" si="67"/>
        <v>1</v>
      </c>
      <c r="M1445">
        <f t="shared" si="68"/>
        <v>1</v>
      </c>
    </row>
    <row r="1446" spans="1:13" x14ac:dyDescent="0.25">
      <c r="A1446" s="2" t="s">
        <v>664</v>
      </c>
      <c r="B1446" s="11" t="s">
        <v>1207</v>
      </c>
      <c r="C1446" s="11" t="s">
        <v>4</v>
      </c>
      <c r="D1446" s="11" t="s">
        <v>1208</v>
      </c>
      <c r="E1446" s="11" t="s">
        <v>1216</v>
      </c>
      <c r="F1446" s="11" t="s">
        <v>1217</v>
      </c>
      <c r="G1446" s="12">
        <v>2</v>
      </c>
      <c r="H1446" s="12">
        <v>45</v>
      </c>
      <c r="I1446" s="12">
        <v>90</v>
      </c>
      <c r="J1446" s="12">
        <v>116472.97999999988</v>
      </c>
      <c r="K1446">
        <f t="shared" si="66"/>
        <v>1</v>
      </c>
      <c r="L1446">
        <f t="shared" si="67"/>
        <v>1</v>
      </c>
      <c r="M1446">
        <f t="shared" si="68"/>
        <v>1</v>
      </c>
    </row>
    <row r="1447" spans="1:13" x14ac:dyDescent="0.25">
      <c r="A1447" s="2" t="s">
        <v>664</v>
      </c>
      <c r="B1447" s="11" t="s">
        <v>1207</v>
      </c>
      <c r="C1447" s="11" t="s">
        <v>4</v>
      </c>
      <c r="D1447" s="11" t="s">
        <v>1208</v>
      </c>
      <c r="E1447" s="11" t="s">
        <v>1218</v>
      </c>
      <c r="F1447" s="11" t="s">
        <v>1219</v>
      </c>
      <c r="G1447" s="12">
        <v>2</v>
      </c>
      <c r="H1447" s="12">
        <v>27.5</v>
      </c>
      <c r="I1447" s="12">
        <v>55</v>
      </c>
      <c r="J1447" s="12">
        <v>116527.97999999988</v>
      </c>
      <c r="K1447">
        <f t="shared" si="66"/>
        <v>1</v>
      </c>
      <c r="L1447">
        <f t="shared" si="67"/>
        <v>1</v>
      </c>
      <c r="M1447">
        <f t="shared" si="68"/>
        <v>1</v>
      </c>
    </row>
    <row r="1448" spans="1:13" x14ac:dyDescent="0.25">
      <c r="A1448" s="2" t="s">
        <v>664</v>
      </c>
      <c r="B1448" s="11" t="s">
        <v>1207</v>
      </c>
      <c r="C1448" s="11" t="s">
        <v>4</v>
      </c>
      <c r="D1448" s="11" t="s">
        <v>1208</v>
      </c>
      <c r="E1448" s="11" t="s">
        <v>1220</v>
      </c>
      <c r="F1448" s="11" t="s">
        <v>1221</v>
      </c>
      <c r="G1448" s="12">
        <v>2</v>
      </c>
      <c r="H1448" s="12">
        <v>37.5</v>
      </c>
      <c r="I1448" s="12">
        <v>75</v>
      </c>
      <c r="J1448" s="12">
        <v>116602.97999999988</v>
      </c>
      <c r="K1448">
        <f t="shared" si="66"/>
        <v>1</v>
      </c>
      <c r="L1448">
        <f t="shared" si="67"/>
        <v>1</v>
      </c>
      <c r="M1448">
        <f t="shared" si="68"/>
        <v>1</v>
      </c>
    </row>
    <row r="1449" spans="1:13" x14ac:dyDescent="0.25">
      <c r="A1449" s="2" t="s">
        <v>664</v>
      </c>
      <c r="B1449" s="11" t="s">
        <v>1207</v>
      </c>
      <c r="C1449" s="11" t="s">
        <v>4</v>
      </c>
      <c r="D1449" s="11" t="s">
        <v>1208</v>
      </c>
      <c r="E1449" s="11" t="s">
        <v>1222</v>
      </c>
      <c r="F1449" s="11" t="s">
        <v>1223</v>
      </c>
      <c r="G1449" s="12">
        <v>1</v>
      </c>
      <c r="H1449" s="12">
        <v>40.56</v>
      </c>
      <c r="I1449" s="12">
        <v>40.56</v>
      </c>
      <c r="J1449" s="12">
        <v>116643.53999999988</v>
      </c>
      <c r="K1449">
        <f t="shared" si="66"/>
        <v>1</v>
      </c>
      <c r="L1449">
        <f t="shared" si="67"/>
        <v>1</v>
      </c>
      <c r="M1449">
        <f t="shared" si="68"/>
        <v>1</v>
      </c>
    </row>
    <row r="1450" spans="1:13" x14ac:dyDescent="0.25">
      <c r="A1450" s="2" t="s">
        <v>664</v>
      </c>
      <c r="B1450" s="11" t="s">
        <v>1224</v>
      </c>
      <c r="C1450" s="11" t="s">
        <v>4</v>
      </c>
      <c r="D1450" s="11" t="s">
        <v>1225</v>
      </c>
      <c r="E1450" s="11" t="s">
        <v>692</v>
      </c>
      <c r="F1450" s="11" t="s">
        <v>944</v>
      </c>
      <c r="G1450" s="12">
        <v>10</v>
      </c>
      <c r="H1450" s="12">
        <v>39.68</v>
      </c>
      <c r="I1450" s="12">
        <v>396.8</v>
      </c>
      <c r="J1450" s="12">
        <v>117040.33999999988</v>
      </c>
      <c r="K1450">
        <f t="shared" si="66"/>
        <v>8</v>
      </c>
      <c r="L1450">
        <f t="shared" si="67"/>
        <v>1</v>
      </c>
      <c r="M1450">
        <f t="shared" si="68"/>
        <v>1</v>
      </c>
    </row>
    <row r="1451" spans="1:13" x14ac:dyDescent="0.25">
      <c r="A1451" s="2" t="s">
        <v>664</v>
      </c>
      <c r="B1451" s="11" t="s">
        <v>1224</v>
      </c>
      <c r="C1451" s="11" t="s">
        <v>4</v>
      </c>
      <c r="D1451" s="11" t="s">
        <v>1225</v>
      </c>
      <c r="E1451" s="11" t="s">
        <v>1226</v>
      </c>
      <c r="F1451" s="11" t="s">
        <v>1227</v>
      </c>
      <c r="G1451" s="12">
        <v>2</v>
      </c>
      <c r="H1451" s="12">
        <v>51.1</v>
      </c>
      <c r="I1451" s="12">
        <v>102.2</v>
      </c>
      <c r="J1451" s="12">
        <v>117142.53999999988</v>
      </c>
      <c r="K1451">
        <f t="shared" si="66"/>
        <v>1</v>
      </c>
      <c r="L1451">
        <f t="shared" si="67"/>
        <v>1</v>
      </c>
      <c r="M1451">
        <f t="shared" si="68"/>
        <v>1</v>
      </c>
    </row>
    <row r="1452" spans="1:13" x14ac:dyDescent="0.25">
      <c r="A1452" s="2" t="s">
        <v>664</v>
      </c>
      <c r="B1452" s="11" t="s">
        <v>1224</v>
      </c>
      <c r="C1452" s="11" t="s">
        <v>4</v>
      </c>
      <c r="D1452" s="11" t="s">
        <v>1225</v>
      </c>
      <c r="E1452" s="11" t="s">
        <v>947</v>
      </c>
      <c r="F1452" s="11" t="s">
        <v>948</v>
      </c>
      <c r="G1452" s="12">
        <v>1</v>
      </c>
      <c r="H1452" s="12">
        <v>51.1</v>
      </c>
      <c r="I1452" s="12">
        <v>51.1</v>
      </c>
      <c r="J1452" s="12">
        <v>117193.63999999988</v>
      </c>
      <c r="K1452">
        <f t="shared" si="66"/>
        <v>3</v>
      </c>
      <c r="L1452">
        <f t="shared" si="67"/>
        <v>1</v>
      </c>
      <c r="M1452">
        <f t="shared" si="68"/>
        <v>1</v>
      </c>
    </row>
    <row r="1453" spans="1:13" x14ac:dyDescent="0.25">
      <c r="A1453" s="2" t="s">
        <v>664</v>
      </c>
      <c r="B1453" s="11" t="s">
        <v>1224</v>
      </c>
      <c r="C1453" s="11" t="s">
        <v>4</v>
      </c>
      <c r="D1453" s="11" t="s">
        <v>1225</v>
      </c>
      <c r="E1453" s="11" t="s">
        <v>702</v>
      </c>
      <c r="F1453" s="11" t="s">
        <v>992</v>
      </c>
      <c r="G1453" s="12">
        <v>10</v>
      </c>
      <c r="H1453" s="12">
        <v>45.96</v>
      </c>
      <c r="I1453" s="12">
        <v>459.6</v>
      </c>
      <c r="J1453" s="12">
        <v>117653.23999999989</v>
      </c>
      <c r="K1453">
        <f t="shared" si="66"/>
        <v>10</v>
      </c>
      <c r="L1453">
        <f t="shared" si="67"/>
        <v>1</v>
      </c>
      <c r="M1453">
        <f t="shared" si="68"/>
        <v>1</v>
      </c>
    </row>
    <row r="1454" spans="1:13" x14ac:dyDescent="0.25">
      <c r="A1454" s="2" t="s">
        <v>664</v>
      </c>
      <c r="B1454" s="11" t="s">
        <v>1224</v>
      </c>
      <c r="C1454" s="11" t="s">
        <v>4</v>
      </c>
      <c r="D1454" s="11" t="s">
        <v>1225</v>
      </c>
      <c r="E1454" s="11" t="s">
        <v>720</v>
      </c>
      <c r="F1454" s="11" t="s">
        <v>721</v>
      </c>
      <c r="G1454" s="12">
        <v>5</v>
      </c>
      <c r="H1454" s="12">
        <v>23.96</v>
      </c>
      <c r="I1454" s="12">
        <v>119.8</v>
      </c>
      <c r="J1454" s="12">
        <v>117773.03999999989</v>
      </c>
      <c r="K1454">
        <f t="shared" si="66"/>
        <v>8</v>
      </c>
      <c r="L1454">
        <f t="shared" si="67"/>
        <v>1</v>
      </c>
      <c r="M1454">
        <f t="shared" si="68"/>
        <v>1</v>
      </c>
    </row>
    <row r="1455" spans="1:13" x14ac:dyDescent="0.25">
      <c r="A1455" s="2" t="s">
        <v>664</v>
      </c>
      <c r="B1455" s="11" t="s">
        <v>1224</v>
      </c>
      <c r="C1455" s="11" t="s">
        <v>4</v>
      </c>
      <c r="D1455" s="11" t="s">
        <v>1225</v>
      </c>
      <c r="E1455" s="11" t="s">
        <v>999</v>
      </c>
      <c r="F1455" s="11" t="s">
        <v>1031</v>
      </c>
      <c r="G1455" s="12">
        <v>4</v>
      </c>
      <c r="H1455" s="12">
        <v>9.99</v>
      </c>
      <c r="I1455" s="12">
        <v>39.96</v>
      </c>
      <c r="J1455" s="12">
        <v>117812.9999999999</v>
      </c>
      <c r="K1455">
        <f t="shared" si="66"/>
        <v>5</v>
      </c>
      <c r="L1455">
        <f t="shared" si="67"/>
        <v>1</v>
      </c>
      <c r="M1455">
        <f t="shared" si="68"/>
        <v>1</v>
      </c>
    </row>
    <row r="1456" spans="1:13" x14ac:dyDescent="0.25">
      <c r="A1456" s="2" t="s">
        <v>664</v>
      </c>
      <c r="B1456" s="11" t="s">
        <v>1224</v>
      </c>
      <c r="C1456" s="11" t="s">
        <v>4</v>
      </c>
      <c r="D1456" s="11" t="s">
        <v>1225</v>
      </c>
      <c r="E1456" s="11" t="s">
        <v>1228</v>
      </c>
      <c r="F1456" s="11" t="s">
        <v>1229</v>
      </c>
      <c r="G1456" s="12">
        <v>1</v>
      </c>
      <c r="H1456" s="12">
        <v>98.16</v>
      </c>
      <c r="I1456" s="12">
        <v>98.16</v>
      </c>
      <c r="J1456" s="12">
        <v>117911.1599999999</v>
      </c>
      <c r="K1456">
        <f t="shared" si="66"/>
        <v>1</v>
      </c>
      <c r="L1456">
        <f t="shared" si="67"/>
        <v>1</v>
      </c>
      <c r="M1456">
        <f t="shared" si="68"/>
        <v>1</v>
      </c>
    </row>
    <row r="1457" spans="1:13" x14ac:dyDescent="0.25">
      <c r="A1457" s="2" t="s">
        <v>664</v>
      </c>
      <c r="B1457" s="11" t="s">
        <v>1224</v>
      </c>
      <c r="C1457" s="11" t="s">
        <v>4</v>
      </c>
      <c r="D1457" s="11" t="s">
        <v>1225</v>
      </c>
      <c r="E1457" s="11" t="s">
        <v>1000</v>
      </c>
      <c r="F1457" s="11" t="s">
        <v>1138</v>
      </c>
      <c r="G1457" s="12">
        <v>1</v>
      </c>
      <c r="H1457" s="12">
        <v>78.959999999999994</v>
      </c>
      <c r="I1457" s="12">
        <v>78.959999999999994</v>
      </c>
      <c r="J1457" s="12">
        <v>117990.11999999991</v>
      </c>
      <c r="K1457">
        <f t="shared" si="66"/>
        <v>5</v>
      </c>
      <c r="L1457">
        <f t="shared" si="67"/>
        <v>1</v>
      </c>
      <c r="M1457">
        <f t="shared" si="68"/>
        <v>1</v>
      </c>
    </row>
    <row r="1458" spans="1:13" x14ac:dyDescent="0.25">
      <c r="A1458" s="2" t="s">
        <v>664</v>
      </c>
      <c r="B1458" s="11" t="s">
        <v>1224</v>
      </c>
      <c r="C1458" s="11" t="s">
        <v>4</v>
      </c>
      <c r="D1458" s="11" t="s">
        <v>1225</v>
      </c>
      <c r="E1458" s="11" t="s">
        <v>756</v>
      </c>
      <c r="F1458" s="11" t="s">
        <v>1003</v>
      </c>
      <c r="G1458" s="12">
        <v>6</v>
      </c>
      <c r="H1458" s="12">
        <v>13.2</v>
      </c>
      <c r="I1458" s="12">
        <v>79.2</v>
      </c>
      <c r="J1458" s="12">
        <v>118069.31999999991</v>
      </c>
      <c r="K1458">
        <f t="shared" si="66"/>
        <v>8</v>
      </c>
      <c r="L1458">
        <f t="shared" si="67"/>
        <v>1</v>
      </c>
      <c r="M1458">
        <f t="shared" si="68"/>
        <v>1</v>
      </c>
    </row>
    <row r="1459" spans="1:13" x14ac:dyDescent="0.25">
      <c r="A1459" s="2" t="s">
        <v>664</v>
      </c>
      <c r="B1459" s="11" t="s">
        <v>1224</v>
      </c>
      <c r="C1459" s="11" t="s">
        <v>4</v>
      </c>
      <c r="D1459" s="11" t="s">
        <v>1225</v>
      </c>
      <c r="E1459" s="11" t="s">
        <v>739</v>
      </c>
      <c r="F1459" s="11" t="s">
        <v>964</v>
      </c>
      <c r="G1459" s="12">
        <v>12</v>
      </c>
      <c r="H1459" s="12">
        <v>14</v>
      </c>
      <c r="I1459" s="12">
        <v>168</v>
      </c>
      <c r="J1459" s="12">
        <v>118237.31999999991</v>
      </c>
      <c r="K1459">
        <f t="shared" si="66"/>
        <v>7</v>
      </c>
      <c r="L1459">
        <f t="shared" si="67"/>
        <v>1</v>
      </c>
      <c r="M1459">
        <f t="shared" si="68"/>
        <v>1</v>
      </c>
    </row>
    <row r="1460" spans="1:13" x14ac:dyDescent="0.25">
      <c r="A1460" s="2" t="s">
        <v>664</v>
      </c>
      <c r="B1460" s="11" t="s">
        <v>1224</v>
      </c>
      <c r="C1460" s="11" t="s">
        <v>4</v>
      </c>
      <c r="D1460" s="11" t="s">
        <v>1225</v>
      </c>
      <c r="E1460" s="11" t="s">
        <v>788</v>
      </c>
      <c r="F1460" s="11" t="s">
        <v>968</v>
      </c>
      <c r="G1460" s="12">
        <v>2</v>
      </c>
      <c r="H1460" s="12">
        <v>12.4</v>
      </c>
      <c r="I1460" s="12">
        <v>24.8</v>
      </c>
      <c r="J1460" s="12">
        <v>118262.11999999991</v>
      </c>
      <c r="K1460">
        <f t="shared" si="66"/>
        <v>6</v>
      </c>
      <c r="L1460">
        <f t="shared" si="67"/>
        <v>1</v>
      </c>
      <c r="M1460">
        <f t="shared" si="68"/>
        <v>1</v>
      </c>
    </row>
    <row r="1461" spans="1:13" x14ac:dyDescent="0.25">
      <c r="A1461" s="2" t="s">
        <v>664</v>
      </c>
      <c r="B1461" s="11" t="s">
        <v>1224</v>
      </c>
      <c r="C1461" s="11" t="s">
        <v>4</v>
      </c>
      <c r="D1461" s="11" t="s">
        <v>1225</v>
      </c>
      <c r="E1461" s="11" t="s">
        <v>936</v>
      </c>
      <c r="F1461" s="11" t="s">
        <v>1163</v>
      </c>
      <c r="G1461" s="12">
        <v>2</v>
      </c>
      <c r="H1461" s="12">
        <v>21.4</v>
      </c>
      <c r="I1461" s="12">
        <v>42.8</v>
      </c>
      <c r="J1461" s="12">
        <v>118304.91999999991</v>
      </c>
      <c r="K1461">
        <f t="shared" si="66"/>
        <v>3</v>
      </c>
      <c r="L1461">
        <f t="shared" si="67"/>
        <v>1</v>
      </c>
      <c r="M1461">
        <f t="shared" si="68"/>
        <v>1</v>
      </c>
    </row>
    <row r="1462" spans="1:13" x14ac:dyDescent="0.25">
      <c r="A1462" s="2" t="s">
        <v>664</v>
      </c>
      <c r="B1462" s="11" t="s">
        <v>1224</v>
      </c>
      <c r="C1462" s="11" t="s">
        <v>4</v>
      </c>
      <c r="D1462" s="11" t="s">
        <v>1225</v>
      </c>
      <c r="E1462" s="11" t="s">
        <v>799</v>
      </c>
      <c r="F1462" s="11" t="s">
        <v>1141</v>
      </c>
      <c r="G1462" s="12">
        <v>2</v>
      </c>
      <c r="H1462" s="12">
        <v>26.4</v>
      </c>
      <c r="I1462" s="12">
        <v>52.8</v>
      </c>
      <c r="J1462" s="12">
        <v>118357.71999999991</v>
      </c>
      <c r="K1462">
        <f t="shared" si="66"/>
        <v>3</v>
      </c>
      <c r="L1462">
        <f t="shared" si="67"/>
        <v>1</v>
      </c>
      <c r="M1462">
        <f t="shared" si="68"/>
        <v>1</v>
      </c>
    </row>
    <row r="1463" spans="1:13" x14ac:dyDescent="0.25">
      <c r="A1463" s="2" t="s">
        <v>664</v>
      </c>
      <c r="B1463" s="11" t="s">
        <v>1224</v>
      </c>
      <c r="C1463" s="11" t="s">
        <v>4</v>
      </c>
      <c r="D1463" s="11" t="s">
        <v>1225</v>
      </c>
      <c r="E1463" s="11" t="s">
        <v>805</v>
      </c>
      <c r="F1463" s="11" t="s">
        <v>1230</v>
      </c>
      <c r="G1463" s="12">
        <v>2</v>
      </c>
      <c r="H1463" s="12">
        <v>26.4</v>
      </c>
      <c r="I1463" s="12">
        <v>52.8</v>
      </c>
      <c r="J1463" s="12">
        <v>118410.51999999992</v>
      </c>
      <c r="K1463">
        <f t="shared" si="66"/>
        <v>3</v>
      </c>
      <c r="L1463">
        <f t="shared" si="67"/>
        <v>1</v>
      </c>
      <c r="M1463">
        <f t="shared" si="68"/>
        <v>1</v>
      </c>
    </row>
    <row r="1464" spans="1:13" x14ac:dyDescent="0.25">
      <c r="A1464" s="2" t="s">
        <v>664</v>
      </c>
      <c r="B1464" s="11" t="s">
        <v>1224</v>
      </c>
      <c r="C1464" s="11" t="s">
        <v>4</v>
      </c>
      <c r="D1464" s="11" t="s">
        <v>1225</v>
      </c>
      <c r="E1464" s="11" t="s">
        <v>807</v>
      </c>
      <c r="F1464" s="11" t="s">
        <v>1231</v>
      </c>
      <c r="G1464" s="12">
        <v>2</v>
      </c>
      <c r="H1464" s="12">
        <v>21.4</v>
      </c>
      <c r="I1464" s="12">
        <v>42.8</v>
      </c>
      <c r="J1464" s="12">
        <v>118453.31999999992</v>
      </c>
      <c r="K1464">
        <f t="shared" si="66"/>
        <v>2</v>
      </c>
      <c r="L1464">
        <f t="shared" si="67"/>
        <v>1</v>
      </c>
      <c r="M1464">
        <f t="shared" si="68"/>
        <v>1</v>
      </c>
    </row>
    <row r="1465" spans="1:13" x14ac:dyDescent="0.25">
      <c r="A1465" s="2" t="s">
        <v>664</v>
      </c>
      <c r="B1465" s="11" t="s">
        <v>1224</v>
      </c>
      <c r="C1465" s="11" t="s">
        <v>4</v>
      </c>
      <c r="D1465" s="11" t="s">
        <v>1225</v>
      </c>
      <c r="E1465" s="11" t="s">
        <v>1190</v>
      </c>
      <c r="F1465" s="11" t="s">
        <v>1191</v>
      </c>
      <c r="G1465" s="12">
        <v>6</v>
      </c>
      <c r="H1465" s="12">
        <v>10.68</v>
      </c>
      <c r="I1465" s="12">
        <v>64.08</v>
      </c>
      <c r="J1465" s="12">
        <v>118517.39999999992</v>
      </c>
      <c r="K1465">
        <f t="shared" si="66"/>
        <v>3</v>
      </c>
      <c r="L1465">
        <f t="shared" si="67"/>
        <v>1</v>
      </c>
      <c r="M1465">
        <f t="shared" si="68"/>
        <v>1</v>
      </c>
    </row>
    <row r="1466" spans="1:13" x14ac:dyDescent="0.25">
      <c r="A1466" s="2" t="s">
        <v>664</v>
      </c>
      <c r="B1466" s="11" t="s">
        <v>1224</v>
      </c>
      <c r="C1466" s="11" t="s">
        <v>4</v>
      </c>
      <c r="D1466" s="11" t="s">
        <v>1225</v>
      </c>
      <c r="E1466" s="11" t="s">
        <v>1232</v>
      </c>
      <c r="F1466" s="11" t="s">
        <v>1232</v>
      </c>
      <c r="G1466" s="12">
        <v>6</v>
      </c>
      <c r="H1466" s="12">
        <v>10.68</v>
      </c>
      <c r="I1466" s="12">
        <v>64.08</v>
      </c>
      <c r="J1466" s="12">
        <v>118581.47999999992</v>
      </c>
      <c r="K1466">
        <f t="shared" si="66"/>
        <v>1</v>
      </c>
      <c r="L1466">
        <f t="shared" si="67"/>
        <v>1</v>
      </c>
      <c r="M1466">
        <f t="shared" si="68"/>
        <v>1</v>
      </c>
    </row>
  </sheetData>
  <autoFilter ref="A1:M1466" xr:uid="{924E91DF-AD8B-496F-9ED4-6C1E31DB47D0}">
    <filterColumn colId="12">
      <filters>
        <filter val="1"/>
      </filters>
    </filterColumn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B8624A-0D0E-4159-99BB-5F573821E771}">
  <sheetPr filterMode="1">
    <tabColor rgb="FFFFC000"/>
  </sheetPr>
  <dimension ref="A1:AA1438"/>
  <sheetViews>
    <sheetView tabSelected="1" workbookViewId="0">
      <selection activeCell="B1" sqref="B1"/>
    </sheetView>
  </sheetViews>
  <sheetFormatPr baseColWidth="10" defaultRowHeight="15.75" x14ac:dyDescent="0.25"/>
  <cols>
    <col min="2" max="2" width="7.875" customWidth="1"/>
    <col min="3" max="3" width="8.875" customWidth="1"/>
    <col min="4" max="4" width="8.375" customWidth="1"/>
    <col min="5" max="5" width="26" customWidth="1"/>
    <col min="6" max="6" width="11" customWidth="1"/>
    <col min="7" max="7" width="6.75" customWidth="1"/>
    <col min="8" max="8" width="5" bestFit="1" customWidth="1"/>
    <col min="9" max="9" width="6.875" hidden="1" customWidth="1"/>
    <col min="10" max="10" width="7.625" hidden="1" customWidth="1"/>
    <col min="11" max="11" width="2.375" hidden="1" customWidth="1"/>
    <col min="12" max="12" width="11.5" hidden="1" customWidth="1"/>
    <col min="13" max="13" width="4.875" hidden="1" customWidth="1"/>
    <col min="14" max="14" width="2.375" hidden="1" customWidth="1"/>
    <col min="15" max="15" width="22.25" hidden="1" customWidth="1"/>
    <col min="16" max="16" width="4.75" hidden="1" customWidth="1"/>
    <col min="17" max="17" width="1.625" hidden="1" customWidth="1"/>
    <col min="18" max="18" width="21.75" hidden="1" customWidth="1"/>
    <col min="19" max="19" width="101.125" hidden="1" customWidth="1"/>
    <col min="20" max="22" width="11" hidden="1" customWidth="1"/>
  </cols>
  <sheetData>
    <row r="1" spans="1:26" ht="24" x14ac:dyDescent="0.25">
      <c r="A1" s="21" t="s">
        <v>2313</v>
      </c>
      <c r="B1" s="21" t="s">
        <v>2303</v>
      </c>
      <c r="C1" s="21" t="s">
        <v>2304</v>
      </c>
      <c r="D1" s="21" t="s">
        <v>2305</v>
      </c>
      <c r="E1" s="21" t="s">
        <v>2306</v>
      </c>
      <c r="F1" s="21" t="s">
        <v>2307</v>
      </c>
      <c r="G1" s="21" t="s">
        <v>2308</v>
      </c>
      <c r="H1" s="21" t="s">
        <v>2309</v>
      </c>
      <c r="I1" s="21" t="s">
        <v>2310</v>
      </c>
      <c r="J1" s="21" t="s">
        <v>2311</v>
      </c>
      <c r="K1" s="21" t="s">
        <v>2328</v>
      </c>
      <c r="L1" s="21" t="s">
        <v>2326</v>
      </c>
      <c r="M1" s="21" t="s">
        <v>2328</v>
      </c>
      <c r="N1" s="21" t="s">
        <v>2328</v>
      </c>
      <c r="O1" s="21" t="s">
        <v>2325</v>
      </c>
      <c r="P1" s="21" t="s">
        <v>2328</v>
      </c>
      <c r="Q1" s="21" t="s">
        <v>2328</v>
      </c>
      <c r="R1" s="21" t="s">
        <v>2327</v>
      </c>
      <c r="S1" s="21" t="s">
        <v>2329</v>
      </c>
      <c r="W1" t="s">
        <v>2321</v>
      </c>
      <c r="X1" t="s">
        <v>3345</v>
      </c>
      <c r="Z1" t="s">
        <v>2323</v>
      </c>
    </row>
    <row r="2" spans="1:26" hidden="1" x14ac:dyDescent="0.25">
      <c r="A2" s="2" t="s">
        <v>648</v>
      </c>
      <c r="B2" s="11" t="s">
        <v>649</v>
      </c>
      <c r="C2" s="11" t="s">
        <v>4</v>
      </c>
      <c r="D2" s="11" t="s">
        <v>5</v>
      </c>
      <c r="E2" s="11" t="s">
        <v>3147</v>
      </c>
      <c r="F2" s="11" t="s">
        <v>651</v>
      </c>
      <c r="G2" s="12">
        <v>5</v>
      </c>
      <c r="H2" s="12">
        <v>7.98</v>
      </c>
      <c r="I2" s="12">
        <v>39.9</v>
      </c>
      <c r="J2" s="12">
        <v>39.9</v>
      </c>
      <c r="K2" s="20">
        <f>COUNTIF($E$2:$E$1438,E2)</f>
        <v>1</v>
      </c>
      <c r="L2" s="20" t="str">
        <f>IF(K2&gt;1,_xlfn.CONCAT("Se repite ",K2," veces"),"No se repite")</f>
        <v>No se repite</v>
      </c>
      <c r="M2" s="20" t="str">
        <f>_xlfn.CONCAT(A2,"-",E2)</f>
        <v>Sam's Club-Agua Ozarka Texas 8 fl oz Paquete de 48 Botellas de Plástico</v>
      </c>
      <c r="N2" s="20">
        <f>COUNTIF($M$2:$M$1438,M2)</f>
        <v>1</v>
      </c>
      <c r="O2" s="20" t="str">
        <f>IF(N2&gt;1,_xlfn.CONCAT("Se repite ",N2," veces en ",A2),"No se repite en proveedor")</f>
        <v>No se repite en proveedor</v>
      </c>
      <c r="P2" s="20" t="str">
        <f>_xlfn.CONCAT(A2,"-",E2,"-",H2)</f>
        <v>Sam's Club-Agua Ozarka Texas 8 fl oz Paquete de 48 Botellas de Plástico-7.98</v>
      </c>
      <c r="Q2" s="20">
        <f>COUNTIF($P$2:$P$1438,P2)</f>
        <v>1</v>
      </c>
      <c r="R2" s="20" t="str">
        <f>IF(Q2&gt;1,_xlfn.CONCAT("Se repite ",Q2," veces el precio de ",H2),"No se repite")</f>
        <v>No se repite</v>
      </c>
      <c r="S2" s="20" t="str">
        <f>_xlfn.CONCAT("El producto ",E2," ",O2,IF(R2="No se repite",_xlfn.CONCAT(" Una vez con el precio ",H2),_xlfn.CONCAT(", ",R2)))</f>
        <v>El producto Agua Ozarka Texas 8 fl oz Paquete de 48 Botellas de Plástico No se repite en proveedor Una vez con el precio 7.98</v>
      </c>
      <c r="T2" s="20" t="str">
        <f>+A2</f>
        <v>Sam's Club</v>
      </c>
      <c r="U2" s="20" t="str">
        <f>+E2</f>
        <v>Agua Ozarka Texas 8 fl oz Paquete de 48 Botellas de Plástico</v>
      </c>
      <c r="V2" s="22">
        <f>+H2</f>
        <v>7.98</v>
      </c>
      <c r="W2" t="str">
        <f>_xlfn.CONCAT(A2," ",B2)</f>
        <v>Sam's Club 12/14/2025</v>
      </c>
      <c r="Z2">
        <f>G2*H2</f>
        <v>39.900000000000006</v>
      </c>
    </row>
    <row r="3" spans="1:26" hidden="1" x14ac:dyDescent="0.25">
      <c r="A3" s="2" t="s">
        <v>272</v>
      </c>
      <c r="B3" s="11" t="s">
        <v>563</v>
      </c>
      <c r="C3" s="11" t="s">
        <v>4</v>
      </c>
      <c r="D3" s="11" t="s">
        <v>564</v>
      </c>
      <c r="E3" s="11" t="s">
        <v>569</v>
      </c>
      <c r="F3" s="11" t="s">
        <v>570</v>
      </c>
      <c r="G3" s="12">
        <v>1</v>
      </c>
      <c r="H3" s="12">
        <v>180</v>
      </c>
      <c r="I3" s="12">
        <v>180</v>
      </c>
      <c r="J3" s="12">
        <v>25252</v>
      </c>
      <c r="K3" s="20">
        <f t="shared" ref="K3:K66" si="0">COUNTIF($E$2:$E$1438,E3)</f>
        <v>2</v>
      </c>
      <c r="L3" s="20" t="str">
        <f t="shared" ref="L3:L66" si="1">IF(K3&gt;1,_xlfn.CONCAT("Se repite ",K3," veces"),"No se repite")</f>
        <v>Se repite 2 veces</v>
      </c>
      <c r="M3" s="20" t="str">
        <f t="shared" ref="M3:M66" si="2">_xlfn.CONCAT(A3,"-",E3)</f>
        <v>Peru Chef-Aji Panca Seco sin pepa 2.04kg</v>
      </c>
      <c r="N3" s="20">
        <f t="shared" ref="N3:N66" si="3">COUNTIF($M$2:$M$1438,M3)</f>
        <v>2</v>
      </c>
      <c r="O3" s="20" t="str">
        <f t="shared" ref="O3:O66" si="4">IF(N3&gt;1,_xlfn.CONCAT("Se repite ",N3," veces en ",A3),"No se repite en proveedor")</f>
        <v>Se repite 2 veces en Peru Chef</v>
      </c>
      <c r="P3" s="20" t="str">
        <f t="shared" ref="P3:P66" si="5">_xlfn.CONCAT(A3,"-",E3,"-",H3)</f>
        <v>Peru Chef-Aji Panca Seco sin pepa 2.04kg-180</v>
      </c>
      <c r="Q3" s="20">
        <f t="shared" ref="Q3:Q66" si="6">COUNTIF($P$2:$P$1438,P3)</f>
        <v>1</v>
      </c>
      <c r="R3" s="20" t="str">
        <f t="shared" ref="R3:R66" si="7">IF(Q3&gt;1,_xlfn.CONCAT("Se repite ",Q3," veces el precio de ",H3),"No se repite")</f>
        <v>No se repite</v>
      </c>
      <c r="S3" s="20" t="str">
        <f t="shared" ref="S3:S66" si="8">_xlfn.CONCAT("El producto ",E3," ",O3,IF(R3="No se repite",_xlfn.CONCAT(" Una vez con el precio ",H3),_xlfn.CONCAT(", ",R3)))</f>
        <v>El producto Aji Panca Seco sin pepa 2.04kg Se repite 2 veces en Peru Chef Una vez con el precio 180</v>
      </c>
      <c r="T3" s="20" t="str">
        <f t="shared" ref="T3:T66" si="9">+A3</f>
        <v>Peru Chef</v>
      </c>
      <c r="U3" s="20" t="str">
        <f t="shared" ref="U3:U66" si="10">+E3</f>
        <v>Aji Panca Seco sin pepa 2.04kg</v>
      </c>
      <c r="V3" s="22">
        <f t="shared" ref="V3:V66" si="11">+H3</f>
        <v>180</v>
      </c>
      <c r="W3" t="str">
        <f t="shared" ref="W3:W66" si="12">_xlfn.CONCAT(A3," ",B3)</f>
        <v>Peru Chef 09/11/2025</v>
      </c>
      <c r="Z3">
        <f t="shared" ref="Z3:Z66" si="13">G3*H3</f>
        <v>180</v>
      </c>
    </row>
    <row r="4" spans="1:26" hidden="1" x14ac:dyDescent="0.25">
      <c r="A4" s="2" t="s">
        <v>272</v>
      </c>
      <c r="B4" s="11" t="s">
        <v>572</v>
      </c>
      <c r="C4" s="11" t="s">
        <v>4</v>
      </c>
      <c r="D4" s="11" t="s">
        <v>573</v>
      </c>
      <c r="E4" s="11" t="s">
        <v>569</v>
      </c>
      <c r="F4" s="11" t="s">
        <v>570</v>
      </c>
      <c r="G4" s="12">
        <v>5</v>
      </c>
      <c r="H4" s="12">
        <v>40</v>
      </c>
      <c r="I4" s="12">
        <v>200</v>
      </c>
      <c r="J4" s="12">
        <v>28751.5</v>
      </c>
      <c r="K4" s="20">
        <f t="shared" si="0"/>
        <v>2</v>
      </c>
      <c r="L4" s="20" t="str">
        <f t="shared" si="1"/>
        <v>Se repite 2 veces</v>
      </c>
      <c r="M4" s="20" t="str">
        <f t="shared" si="2"/>
        <v>Peru Chef-Aji Panca Seco sin pepa 2.04kg</v>
      </c>
      <c r="N4" s="20">
        <f t="shared" si="3"/>
        <v>2</v>
      </c>
      <c r="O4" s="20" t="str">
        <f t="shared" si="4"/>
        <v>Se repite 2 veces en Peru Chef</v>
      </c>
      <c r="P4" s="20" t="str">
        <f t="shared" si="5"/>
        <v>Peru Chef-Aji Panca Seco sin pepa 2.04kg-40</v>
      </c>
      <c r="Q4" s="20">
        <f t="shared" si="6"/>
        <v>1</v>
      </c>
      <c r="R4" s="20" t="str">
        <f t="shared" si="7"/>
        <v>No se repite</v>
      </c>
      <c r="S4" s="20" t="str">
        <f t="shared" si="8"/>
        <v>El producto Aji Panca Seco sin pepa 2.04kg Se repite 2 veces en Peru Chef Una vez con el precio 40</v>
      </c>
      <c r="T4" s="20" t="str">
        <f t="shared" si="9"/>
        <v>Peru Chef</v>
      </c>
      <c r="U4" s="20" t="str">
        <f t="shared" si="10"/>
        <v>Aji Panca Seco sin pepa 2.04kg</v>
      </c>
      <c r="V4" s="22">
        <f t="shared" si="11"/>
        <v>40</v>
      </c>
      <c r="W4" t="str">
        <f t="shared" si="12"/>
        <v>Peru Chef 10/09/2025</v>
      </c>
      <c r="Z4">
        <f t="shared" si="13"/>
        <v>200</v>
      </c>
    </row>
    <row r="5" spans="1:26" hidden="1" x14ac:dyDescent="0.25">
      <c r="A5" s="2" t="s">
        <v>18</v>
      </c>
      <c r="B5" s="11" t="s">
        <v>19</v>
      </c>
      <c r="C5" s="11" t="s">
        <v>4</v>
      </c>
      <c r="D5" s="11" t="s">
        <v>20</v>
      </c>
      <c r="E5" s="11" t="s">
        <v>42</v>
      </c>
      <c r="F5" s="11" t="s">
        <v>43</v>
      </c>
      <c r="G5" s="12">
        <v>1</v>
      </c>
      <c r="H5" s="12">
        <v>109</v>
      </c>
      <c r="I5" s="12">
        <v>109</v>
      </c>
      <c r="J5" s="12">
        <v>1254.8</v>
      </c>
      <c r="K5" s="20">
        <f t="shared" si="0"/>
        <v>5</v>
      </c>
      <c r="L5" s="20" t="str">
        <f t="shared" si="1"/>
        <v>Se repite 5 veces</v>
      </c>
      <c r="M5" s="20" t="str">
        <f t="shared" si="2"/>
        <v>Belmont International Trading Corp-AjiNomoto Bolsa 1Kg x 18</v>
      </c>
      <c r="N5" s="20">
        <f t="shared" si="3"/>
        <v>1</v>
      </c>
      <c r="O5" s="20" t="str">
        <f t="shared" si="4"/>
        <v>No se repite en proveedor</v>
      </c>
      <c r="P5" s="20" t="str">
        <f t="shared" si="5"/>
        <v>Belmont International Trading Corp-AjiNomoto Bolsa 1Kg x 18-109</v>
      </c>
      <c r="Q5" s="20">
        <f t="shared" si="6"/>
        <v>1</v>
      </c>
      <c r="R5" s="20" t="str">
        <f t="shared" si="7"/>
        <v>No se repite</v>
      </c>
      <c r="S5" s="20" t="str">
        <f t="shared" si="8"/>
        <v>El producto AjiNomoto Bolsa 1Kg x 18 No se repite en proveedor Una vez con el precio 109</v>
      </c>
      <c r="T5" s="20" t="str">
        <f t="shared" si="9"/>
        <v>Belmont International Trading Corp</v>
      </c>
      <c r="U5" s="20" t="str">
        <f t="shared" si="10"/>
        <v>AjiNomoto Bolsa 1Kg x 18</v>
      </c>
      <c r="V5" s="22">
        <f t="shared" si="11"/>
        <v>109</v>
      </c>
      <c r="W5" t="str">
        <f t="shared" si="12"/>
        <v>Belmont International Trading Corp 04/28/2025</v>
      </c>
      <c r="Z5">
        <f t="shared" si="13"/>
        <v>109</v>
      </c>
    </row>
    <row r="6" spans="1:26" hidden="1" x14ac:dyDescent="0.25">
      <c r="A6" s="2" t="s">
        <v>664</v>
      </c>
      <c r="B6" s="11" t="s">
        <v>158</v>
      </c>
      <c r="C6" s="11" t="s">
        <v>4</v>
      </c>
      <c r="D6" s="11" t="s">
        <v>984</v>
      </c>
      <c r="E6" s="11" t="s">
        <v>42</v>
      </c>
      <c r="F6" s="11" t="s">
        <v>43</v>
      </c>
      <c r="G6" s="12">
        <v>1</v>
      </c>
      <c r="H6" s="12">
        <v>85</v>
      </c>
      <c r="I6" s="12">
        <v>85</v>
      </c>
      <c r="J6" s="12">
        <v>38616.68</v>
      </c>
      <c r="K6" s="20">
        <f t="shared" si="0"/>
        <v>5</v>
      </c>
      <c r="L6" s="20" t="str">
        <f t="shared" si="1"/>
        <v>Se repite 5 veces</v>
      </c>
      <c r="M6" s="20" t="str">
        <f t="shared" si="2"/>
        <v>Tradiciones Andinas-AjiNomoto Bolsa 1Kg x 18</v>
      </c>
      <c r="N6" s="20">
        <f t="shared" si="3"/>
        <v>4</v>
      </c>
      <c r="O6" s="20" t="str">
        <f t="shared" si="4"/>
        <v>Se repite 4 veces en Tradiciones Andinas</v>
      </c>
      <c r="P6" s="20" t="str">
        <f t="shared" si="5"/>
        <v>Tradiciones Andinas-AjiNomoto Bolsa 1Kg x 18-85</v>
      </c>
      <c r="Q6" s="20">
        <f t="shared" si="6"/>
        <v>4</v>
      </c>
      <c r="R6" s="20" t="str">
        <f t="shared" si="7"/>
        <v>Se repite 4 veces el precio de 85</v>
      </c>
      <c r="S6" s="20" t="str">
        <f t="shared" si="8"/>
        <v>El producto AjiNomoto Bolsa 1Kg x 18 Se repite 4 veces en Tradiciones Andinas, Se repite 4 veces el precio de 85</v>
      </c>
      <c r="T6" s="20" t="str">
        <f t="shared" si="9"/>
        <v>Tradiciones Andinas</v>
      </c>
      <c r="U6" s="20" t="str">
        <f t="shared" si="10"/>
        <v>AjiNomoto Bolsa 1Kg x 18</v>
      </c>
      <c r="V6" s="22">
        <f t="shared" si="11"/>
        <v>85</v>
      </c>
      <c r="W6">
        <v>1</v>
      </c>
      <c r="Z6">
        <f t="shared" si="13"/>
        <v>85</v>
      </c>
    </row>
    <row r="7" spans="1:26" hidden="1" x14ac:dyDescent="0.25">
      <c r="A7" s="2" t="s">
        <v>664</v>
      </c>
      <c r="B7" s="11" t="s">
        <v>1033</v>
      </c>
      <c r="C7" s="11" t="s">
        <v>4</v>
      </c>
      <c r="D7" s="11" t="s">
        <v>1034</v>
      </c>
      <c r="E7" s="11" t="s">
        <v>42</v>
      </c>
      <c r="F7" s="11" t="s">
        <v>43</v>
      </c>
      <c r="G7" s="12">
        <v>2</v>
      </c>
      <c r="H7" s="12">
        <v>85</v>
      </c>
      <c r="I7" s="12">
        <v>170</v>
      </c>
      <c r="J7" s="12">
        <v>50395.629999999968</v>
      </c>
      <c r="K7" s="20">
        <f t="shared" si="0"/>
        <v>5</v>
      </c>
      <c r="L7" s="20" t="str">
        <f t="shared" si="1"/>
        <v>Se repite 5 veces</v>
      </c>
      <c r="M7" s="20" t="str">
        <f t="shared" si="2"/>
        <v>Tradiciones Andinas-AjiNomoto Bolsa 1Kg x 18</v>
      </c>
      <c r="N7" s="20">
        <f t="shared" si="3"/>
        <v>4</v>
      </c>
      <c r="O7" s="20" t="str">
        <f t="shared" si="4"/>
        <v>Se repite 4 veces en Tradiciones Andinas</v>
      </c>
      <c r="P7" s="20" t="str">
        <f t="shared" si="5"/>
        <v>Tradiciones Andinas-AjiNomoto Bolsa 1Kg x 18-85</v>
      </c>
      <c r="Q7" s="20">
        <f t="shared" si="6"/>
        <v>4</v>
      </c>
      <c r="R7" s="20" t="str">
        <f t="shared" si="7"/>
        <v>Se repite 4 veces el precio de 85</v>
      </c>
      <c r="S7" s="20" t="str">
        <f t="shared" si="8"/>
        <v>El producto AjiNomoto Bolsa 1Kg x 18 Se repite 4 veces en Tradiciones Andinas, Se repite 4 veces el precio de 85</v>
      </c>
      <c r="T7" s="20" t="str">
        <f t="shared" si="9"/>
        <v>Tradiciones Andinas</v>
      </c>
      <c r="U7" s="20" t="str">
        <f t="shared" si="10"/>
        <v>AjiNomoto Bolsa 1Kg x 18</v>
      </c>
      <c r="V7" s="22">
        <f t="shared" si="11"/>
        <v>85</v>
      </c>
      <c r="W7" t="str">
        <f t="shared" si="12"/>
        <v>Tradiciones Andinas 07/03/2025</v>
      </c>
      <c r="Z7">
        <f t="shared" si="13"/>
        <v>170</v>
      </c>
    </row>
    <row r="8" spans="1:26" hidden="1" x14ac:dyDescent="0.25">
      <c r="A8" s="2" t="s">
        <v>664</v>
      </c>
      <c r="B8" s="11" t="s">
        <v>1153</v>
      </c>
      <c r="C8" s="11" t="s">
        <v>4</v>
      </c>
      <c r="D8" s="11" t="s">
        <v>1154</v>
      </c>
      <c r="E8" s="11" t="s">
        <v>42</v>
      </c>
      <c r="F8" s="11" t="s">
        <v>43</v>
      </c>
      <c r="G8" s="12">
        <v>1</v>
      </c>
      <c r="H8" s="12">
        <v>85</v>
      </c>
      <c r="I8" s="12">
        <v>85</v>
      </c>
      <c r="J8" s="12">
        <v>80699.939999999959</v>
      </c>
      <c r="K8" s="20">
        <f t="shared" si="0"/>
        <v>5</v>
      </c>
      <c r="L8" s="20" t="str">
        <f t="shared" si="1"/>
        <v>Se repite 5 veces</v>
      </c>
      <c r="M8" s="20" t="str">
        <f t="shared" si="2"/>
        <v>Tradiciones Andinas-AjiNomoto Bolsa 1Kg x 18</v>
      </c>
      <c r="N8" s="20">
        <f t="shared" si="3"/>
        <v>4</v>
      </c>
      <c r="O8" s="20" t="str">
        <f t="shared" si="4"/>
        <v>Se repite 4 veces en Tradiciones Andinas</v>
      </c>
      <c r="P8" s="20" t="str">
        <f t="shared" si="5"/>
        <v>Tradiciones Andinas-AjiNomoto Bolsa 1Kg x 18-85</v>
      </c>
      <c r="Q8" s="20">
        <f t="shared" si="6"/>
        <v>4</v>
      </c>
      <c r="R8" s="20" t="str">
        <f t="shared" si="7"/>
        <v>Se repite 4 veces el precio de 85</v>
      </c>
      <c r="S8" s="20" t="str">
        <f t="shared" si="8"/>
        <v>El producto AjiNomoto Bolsa 1Kg x 18 Se repite 4 veces en Tradiciones Andinas, Se repite 4 veces el precio de 85</v>
      </c>
      <c r="T8" s="20" t="str">
        <f t="shared" si="9"/>
        <v>Tradiciones Andinas</v>
      </c>
      <c r="U8" s="20" t="str">
        <f t="shared" si="10"/>
        <v>AjiNomoto Bolsa 1Kg x 18</v>
      </c>
      <c r="V8" s="22">
        <f t="shared" si="11"/>
        <v>85</v>
      </c>
      <c r="W8" t="str">
        <f t="shared" si="12"/>
        <v>Tradiciones Andinas 09/24/2025</v>
      </c>
      <c r="Z8">
        <f t="shared" si="13"/>
        <v>85</v>
      </c>
    </row>
    <row r="9" spans="1:26" hidden="1" x14ac:dyDescent="0.25">
      <c r="A9" s="2" t="s">
        <v>664</v>
      </c>
      <c r="B9" s="11" t="s">
        <v>1207</v>
      </c>
      <c r="C9" s="11" t="s">
        <v>4</v>
      </c>
      <c r="D9" s="11" t="s">
        <v>1208</v>
      </c>
      <c r="E9" s="11" t="s">
        <v>42</v>
      </c>
      <c r="F9" s="11" t="s">
        <v>43</v>
      </c>
      <c r="G9" s="12">
        <v>2</v>
      </c>
      <c r="H9" s="12">
        <v>85</v>
      </c>
      <c r="I9" s="12">
        <v>170</v>
      </c>
      <c r="J9" s="12">
        <v>107432.12999999992</v>
      </c>
      <c r="K9" s="20">
        <f t="shared" si="0"/>
        <v>5</v>
      </c>
      <c r="L9" s="20" t="str">
        <f t="shared" si="1"/>
        <v>Se repite 5 veces</v>
      </c>
      <c r="M9" s="20" t="str">
        <f t="shared" si="2"/>
        <v>Tradiciones Andinas-AjiNomoto Bolsa 1Kg x 18</v>
      </c>
      <c r="N9" s="20">
        <f t="shared" si="3"/>
        <v>4</v>
      </c>
      <c r="O9" s="20" t="str">
        <f t="shared" si="4"/>
        <v>Se repite 4 veces en Tradiciones Andinas</v>
      </c>
      <c r="P9" s="20" t="str">
        <f t="shared" si="5"/>
        <v>Tradiciones Andinas-AjiNomoto Bolsa 1Kg x 18-85</v>
      </c>
      <c r="Q9" s="20">
        <f t="shared" si="6"/>
        <v>4</v>
      </c>
      <c r="R9" s="20" t="str">
        <f t="shared" si="7"/>
        <v>Se repite 4 veces el precio de 85</v>
      </c>
      <c r="S9" s="20" t="str">
        <f t="shared" si="8"/>
        <v>El producto AjiNomoto Bolsa 1Kg x 18 Se repite 4 veces en Tradiciones Andinas, Se repite 4 veces el precio de 85</v>
      </c>
      <c r="T9" s="20" t="str">
        <f t="shared" si="9"/>
        <v>Tradiciones Andinas</v>
      </c>
      <c r="U9" s="20" t="str">
        <f t="shared" si="10"/>
        <v>AjiNomoto Bolsa 1Kg x 18</v>
      </c>
      <c r="V9" s="22">
        <f t="shared" si="11"/>
        <v>85</v>
      </c>
      <c r="W9" t="str">
        <f t="shared" si="12"/>
        <v>Tradiciones Andinas 11/28/2025</v>
      </c>
      <c r="Z9">
        <f t="shared" si="13"/>
        <v>170</v>
      </c>
    </row>
    <row r="10" spans="1:26" hidden="1" x14ac:dyDescent="0.25">
      <c r="A10" s="2" t="s">
        <v>18</v>
      </c>
      <c r="B10" s="11" t="s">
        <v>19</v>
      </c>
      <c r="C10" s="11" t="s">
        <v>4</v>
      </c>
      <c r="D10" s="11" t="s">
        <v>20</v>
      </c>
      <c r="E10" s="11" t="s">
        <v>37</v>
      </c>
      <c r="F10" s="11" t="s">
        <v>38</v>
      </c>
      <c r="G10" s="12">
        <v>1</v>
      </c>
      <c r="H10" s="12">
        <v>90</v>
      </c>
      <c r="I10" s="12">
        <v>90</v>
      </c>
      <c r="J10" s="12">
        <v>1085.8</v>
      </c>
      <c r="K10" s="20">
        <f t="shared" si="0"/>
        <v>7</v>
      </c>
      <c r="L10" s="20" t="str">
        <f t="shared" si="1"/>
        <v>Se repite 7 veces</v>
      </c>
      <c r="M10" s="20" t="str">
        <f t="shared" si="2"/>
        <v>Belmont International Trading Corp-Ajinomoto Bolsa 250gr x 60</v>
      </c>
      <c r="N10" s="20">
        <f t="shared" si="3"/>
        <v>1</v>
      </c>
      <c r="O10" s="20" t="str">
        <f t="shared" si="4"/>
        <v>No se repite en proveedor</v>
      </c>
      <c r="P10" s="20" t="str">
        <f t="shared" si="5"/>
        <v>Belmont International Trading Corp-Ajinomoto Bolsa 250gr x 60-90</v>
      </c>
      <c r="Q10" s="20">
        <f t="shared" si="6"/>
        <v>1</v>
      </c>
      <c r="R10" s="20" t="str">
        <f t="shared" si="7"/>
        <v>No se repite</v>
      </c>
      <c r="S10" s="20" t="str">
        <f t="shared" si="8"/>
        <v>El producto Ajinomoto Bolsa 250gr x 60 No se repite en proveedor Una vez con el precio 90</v>
      </c>
      <c r="T10" s="20" t="str">
        <f t="shared" si="9"/>
        <v>Belmont International Trading Corp</v>
      </c>
      <c r="U10" s="20" t="str">
        <f t="shared" si="10"/>
        <v>Ajinomoto Bolsa 250gr x 60</v>
      </c>
      <c r="V10" s="22">
        <f t="shared" si="11"/>
        <v>90</v>
      </c>
      <c r="W10" t="str">
        <f t="shared" si="12"/>
        <v>Belmont International Trading Corp 04/28/2025</v>
      </c>
      <c r="Z10">
        <f t="shared" si="13"/>
        <v>90</v>
      </c>
    </row>
    <row r="11" spans="1:26" hidden="1" x14ac:dyDescent="0.25">
      <c r="A11" s="2" t="s">
        <v>272</v>
      </c>
      <c r="B11" s="11" t="s">
        <v>273</v>
      </c>
      <c r="C11" s="11" t="s">
        <v>4</v>
      </c>
      <c r="D11" s="11" t="s">
        <v>5</v>
      </c>
      <c r="E11" s="11" t="s">
        <v>37</v>
      </c>
      <c r="F11" s="11" t="s">
        <v>330</v>
      </c>
      <c r="G11" s="12">
        <v>1</v>
      </c>
      <c r="H11" s="12">
        <v>99</v>
      </c>
      <c r="I11" s="12">
        <v>99</v>
      </c>
      <c r="J11" s="12">
        <v>984.8</v>
      </c>
      <c r="K11" s="20">
        <f t="shared" si="0"/>
        <v>7</v>
      </c>
      <c r="L11" s="20" t="str">
        <f t="shared" si="1"/>
        <v>Se repite 7 veces</v>
      </c>
      <c r="M11" s="20" t="str">
        <f t="shared" si="2"/>
        <v>Peru Chef-Ajinomoto Bolsa 250gr x 60</v>
      </c>
      <c r="N11" s="20">
        <f t="shared" si="3"/>
        <v>2</v>
      </c>
      <c r="O11" s="20" t="str">
        <f t="shared" si="4"/>
        <v>Se repite 2 veces en Peru Chef</v>
      </c>
      <c r="P11" s="20" t="str">
        <f t="shared" si="5"/>
        <v>Peru Chef-Ajinomoto Bolsa 250gr x 60-99</v>
      </c>
      <c r="Q11" s="20">
        <f t="shared" si="6"/>
        <v>2</v>
      </c>
      <c r="R11" s="20" t="str">
        <f t="shared" si="7"/>
        <v>Se repite 2 veces el precio de 99</v>
      </c>
      <c r="S11" s="20" t="str">
        <f t="shared" si="8"/>
        <v>El producto Ajinomoto Bolsa 250gr x 60 Se repite 2 veces en Peru Chef, Se repite 2 veces el precio de 99</v>
      </c>
      <c r="T11" s="20" t="str">
        <f t="shared" si="9"/>
        <v>Peru Chef</v>
      </c>
      <c r="U11" s="20" t="str">
        <f t="shared" si="10"/>
        <v>Ajinomoto Bolsa 250gr x 60</v>
      </c>
      <c r="V11" s="22">
        <f t="shared" si="11"/>
        <v>99</v>
      </c>
      <c r="W11" t="str">
        <f t="shared" si="12"/>
        <v>Peru Chef 03/26/2025</v>
      </c>
      <c r="Z11">
        <f t="shared" si="13"/>
        <v>99</v>
      </c>
    </row>
    <row r="12" spans="1:26" hidden="1" x14ac:dyDescent="0.25">
      <c r="A12" s="2" t="s">
        <v>272</v>
      </c>
      <c r="B12" s="11" t="s">
        <v>398</v>
      </c>
      <c r="C12" s="11" t="s">
        <v>4</v>
      </c>
      <c r="D12" s="11" t="s">
        <v>399</v>
      </c>
      <c r="E12" s="11" t="s">
        <v>37</v>
      </c>
      <c r="F12" s="11" t="s">
        <v>330</v>
      </c>
      <c r="G12" s="12">
        <v>1</v>
      </c>
      <c r="H12" s="12">
        <v>99</v>
      </c>
      <c r="I12" s="12">
        <v>99</v>
      </c>
      <c r="J12" s="12">
        <v>3231</v>
      </c>
      <c r="K12" s="20">
        <f t="shared" si="0"/>
        <v>7</v>
      </c>
      <c r="L12" s="20" t="str">
        <f t="shared" si="1"/>
        <v>Se repite 7 veces</v>
      </c>
      <c r="M12" s="20" t="str">
        <f t="shared" si="2"/>
        <v>Peru Chef-Ajinomoto Bolsa 250gr x 60</v>
      </c>
      <c r="N12" s="20">
        <f t="shared" si="3"/>
        <v>2</v>
      </c>
      <c r="O12" s="20" t="str">
        <f t="shared" si="4"/>
        <v>Se repite 2 veces en Peru Chef</v>
      </c>
      <c r="P12" s="20" t="str">
        <f t="shared" si="5"/>
        <v>Peru Chef-Ajinomoto Bolsa 250gr x 60-99</v>
      </c>
      <c r="Q12" s="20">
        <f t="shared" si="6"/>
        <v>2</v>
      </c>
      <c r="R12" s="20" t="str">
        <f t="shared" si="7"/>
        <v>Se repite 2 veces el precio de 99</v>
      </c>
      <c r="S12" s="20" t="str">
        <f t="shared" si="8"/>
        <v>El producto Ajinomoto Bolsa 250gr x 60 Se repite 2 veces en Peru Chef, Se repite 2 veces el precio de 99</v>
      </c>
      <c r="T12" s="20" t="str">
        <f t="shared" si="9"/>
        <v>Peru Chef</v>
      </c>
      <c r="U12" s="20" t="str">
        <f t="shared" si="10"/>
        <v>Ajinomoto Bolsa 250gr x 60</v>
      </c>
      <c r="V12" s="22">
        <f t="shared" si="11"/>
        <v>99</v>
      </c>
      <c r="W12" t="str">
        <f t="shared" si="12"/>
        <v>Peru Chef 04/10/2025</v>
      </c>
      <c r="Z12">
        <f t="shared" si="13"/>
        <v>99</v>
      </c>
    </row>
    <row r="13" spans="1:26" hidden="1" x14ac:dyDescent="0.25">
      <c r="A13" s="2" t="s">
        <v>664</v>
      </c>
      <c r="B13" s="11" t="s">
        <v>821</v>
      </c>
      <c r="C13" s="11" t="s">
        <v>4</v>
      </c>
      <c r="D13" s="11" t="s">
        <v>822</v>
      </c>
      <c r="E13" s="11" t="s">
        <v>37</v>
      </c>
      <c r="F13" s="11" t="s">
        <v>330</v>
      </c>
      <c r="G13" s="12">
        <v>3</v>
      </c>
      <c r="H13" s="12">
        <v>69</v>
      </c>
      <c r="I13" s="12">
        <v>207</v>
      </c>
      <c r="J13" s="12">
        <v>14449.279999999999</v>
      </c>
      <c r="K13" s="20">
        <f t="shared" si="0"/>
        <v>7</v>
      </c>
      <c r="L13" s="20" t="str">
        <f t="shared" si="1"/>
        <v>Se repite 7 veces</v>
      </c>
      <c r="M13" s="20" t="str">
        <f t="shared" si="2"/>
        <v>Tradiciones Andinas-Ajinomoto Bolsa 250gr x 60</v>
      </c>
      <c r="N13" s="20">
        <f t="shared" si="3"/>
        <v>4</v>
      </c>
      <c r="O13" s="20" t="str">
        <f t="shared" si="4"/>
        <v>Se repite 4 veces en Tradiciones Andinas</v>
      </c>
      <c r="P13" s="20" t="str">
        <f t="shared" si="5"/>
        <v>Tradiciones Andinas-Ajinomoto Bolsa 250gr x 60-69</v>
      </c>
      <c r="Q13" s="20">
        <f t="shared" si="6"/>
        <v>1</v>
      </c>
      <c r="R13" s="20" t="str">
        <f t="shared" si="7"/>
        <v>No se repite</v>
      </c>
      <c r="S13" s="20" t="str">
        <f t="shared" si="8"/>
        <v>El producto Ajinomoto Bolsa 250gr x 60 Se repite 4 veces en Tradiciones Andinas Una vez con el precio 69</v>
      </c>
      <c r="T13" s="20" t="str">
        <f t="shared" si="9"/>
        <v>Tradiciones Andinas</v>
      </c>
      <c r="U13" s="20" t="str">
        <f t="shared" si="10"/>
        <v>Ajinomoto Bolsa 250gr x 60</v>
      </c>
      <c r="V13" s="22">
        <f t="shared" si="11"/>
        <v>69</v>
      </c>
      <c r="W13" t="str">
        <f t="shared" si="12"/>
        <v>Tradiciones Andinas 04/25/2025</v>
      </c>
      <c r="Z13">
        <f t="shared" si="13"/>
        <v>207</v>
      </c>
    </row>
    <row r="14" spans="1:26" hidden="1" x14ac:dyDescent="0.25">
      <c r="A14" s="2" t="s">
        <v>664</v>
      </c>
      <c r="B14" s="11" t="s">
        <v>158</v>
      </c>
      <c r="C14" s="11" t="s">
        <v>4</v>
      </c>
      <c r="D14" s="11" t="s">
        <v>984</v>
      </c>
      <c r="E14" s="11" t="s">
        <v>37</v>
      </c>
      <c r="F14" s="11" t="s">
        <v>38</v>
      </c>
      <c r="G14" s="12">
        <v>5</v>
      </c>
      <c r="H14" s="12">
        <v>73.8</v>
      </c>
      <c r="I14" s="12">
        <v>369</v>
      </c>
      <c r="J14" s="12">
        <v>38531.68</v>
      </c>
      <c r="K14" s="20">
        <f t="shared" si="0"/>
        <v>7</v>
      </c>
      <c r="L14" s="20" t="str">
        <f t="shared" si="1"/>
        <v>Se repite 7 veces</v>
      </c>
      <c r="M14" s="20" t="str">
        <f t="shared" si="2"/>
        <v>Tradiciones Andinas-Ajinomoto Bolsa 250gr x 60</v>
      </c>
      <c r="N14" s="20">
        <f t="shared" si="3"/>
        <v>4</v>
      </c>
      <c r="O14" s="20" t="str">
        <f t="shared" si="4"/>
        <v>Se repite 4 veces en Tradiciones Andinas</v>
      </c>
      <c r="P14" s="20" t="str">
        <f t="shared" si="5"/>
        <v>Tradiciones Andinas-Ajinomoto Bolsa 250gr x 60-73.8</v>
      </c>
      <c r="Q14" s="20">
        <f t="shared" si="6"/>
        <v>3</v>
      </c>
      <c r="R14" s="20" t="str">
        <f t="shared" si="7"/>
        <v>Se repite 3 veces el precio de 73.8</v>
      </c>
      <c r="S14" s="20" t="str">
        <f t="shared" si="8"/>
        <v>El producto Ajinomoto Bolsa 250gr x 60 Se repite 4 veces en Tradiciones Andinas, Se repite 3 veces el precio de 73.8</v>
      </c>
      <c r="T14" s="20" t="str">
        <f t="shared" si="9"/>
        <v>Tradiciones Andinas</v>
      </c>
      <c r="U14" s="20" t="str">
        <f t="shared" si="10"/>
        <v>Ajinomoto Bolsa 250gr x 60</v>
      </c>
      <c r="V14" s="22">
        <f t="shared" si="11"/>
        <v>73.8</v>
      </c>
      <c r="W14" t="str">
        <f t="shared" si="12"/>
        <v>Tradiciones Andinas 06/12/2025</v>
      </c>
      <c r="Z14">
        <f t="shared" si="13"/>
        <v>369</v>
      </c>
    </row>
    <row r="15" spans="1:26" hidden="1" x14ac:dyDescent="0.25">
      <c r="A15" s="2" t="s">
        <v>664</v>
      </c>
      <c r="B15" s="11" t="s">
        <v>1153</v>
      </c>
      <c r="C15" s="11" t="s">
        <v>4</v>
      </c>
      <c r="D15" s="11" t="s">
        <v>1154</v>
      </c>
      <c r="E15" s="11" t="s">
        <v>37</v>
      </c>
      <c r="F15" s="11" t="s">
        <v>38</v>
      </c>
      <c r="G15" s="12">
        <v>3</v>
      </c>
      <c r="H15" s="12">
        <v>73.8</v>
      </c>
      <c r="I15" s="12">
        <v>221.4</v>
      </c>
      <c r="J15" s="12">
        <v>80614.939999999959</v>
      </c>
      <c r="K15" s="20">
        <f t="shared" si="0"/>
        <v>7</v>
      </c>
      <c r="L15" s="20" t="str">
        <f t="shared" si="1"/>
        <v>Se repite 7 veces</v>
      </c>
      <c r="M15" s="20" t="str">
        <f t="shared" si="2"/>
        <v>Tradiciones Andinas-Ajinomoto Bolsa 250gr x 60</v>
      </c>
      <c r="N15" s="20">
        <f t="shared" si="3"/>
        <v>4</v>
      </c>
      <c r="O15" s="20" t="str">
        <f t="shared" si="4"/>
        <v>Se repite 4 veces en Tradiciones Andinas</v>
      </c>
      <c r="P15" s="20" t="str">
        <f t="shared" si="5"/>
        <v>Tradiciones Andinas-Ajinomoto Bolsa 250gr x 60-73.8</v>
      </c>
      <c r="Q15" s="20">
        <f t="shared" si="6"/>
        <v>3</v>
      </c>
      <c r="R15" s="20" t="str">
        <f t="shared" si="7"/>
        <v>Se repite 3 veces el precio de 73.8</v>
      </c>
      <c r="S15" s="20" t="str">
        <f t="shared" si="8"/>
        <v>El producto Ajinomoto Bolsa 250gr x 60 Se repite 4 veces en Tradiciones Andinas, Se repite 3 veces el precio de 73.8</v>
      </c>
      <c r="T15" s="20" t="str">
        <f t="shared" si="9"/>
        <v>Tradiciones Andinas</v>
      </c>
      <c r="U15" s="20" t="str">
        <f t="shared" si="10"/>
        <v>Ajinomoto Bolsa 250gr x 60</v>
      </c>
      <c r="V15" s="22">
        <f t="shared" si="11"/>
        <v>73.8</v>
      </c>
      <c r="W15" t="str">
        <f t="shared" si="12"/>
        <v>Tradiciones Andinas 09/24/2025</v>
      </c>
      <c r="Z15">
        <f t="shared" si="13"/>
        <v>221.39999999999998</v>
      </c>
    </row>
    <row r="16" spans="1:26" hidden="1" x14ac:dyDescent="0.25">
      <c r="A16" s="2" t="s">
        <v>664</v>
      </c>
      <c r="B16" s="11" t="s">
        <v>1207</v>
      </c>
      <c r="C16" s="11" t="s">
        <v>4</v>
      </c>
      <c r="D16" s="11" t="s">
        <v>1208</v>
      </c>
      <c r="E16" s="11" t="s">
        <v>37</v>
      </c>
      <c r="F16" s="11" t="s">
        <v>38</v>
      </c>
      <c r="G16" s="12">
        <v>4</v>
      </c>
      <c r="H16" s="12">
        <v>73.8</v>
      </c>
      <c r="I16" s="12">
        <v>295.2</v>
      </c>
      <c r="J16" s="12">
        <v>107262.12999999992</v>
      </c>
      <c r="K16" s="20">
        <f t="shared" si="0"/>
        <v>7</v>
      </c>
      <c r="L16" s="20" t="str">
        <f t="shared" si="1"/>
        <v>Se repite 7 veces</v>
      </c>
      <c r="M16" s="20" t="str">
        <f t="shared" si="2"/>
        <v>Tradiciones Andinas-Ajinomoto Bolsa 250gr x 60</v>
      </c>
      <c r="N16" s="20">
        <f t="shared" si="3"/>
        <v>4</v>
      </c>
      <c r="O16" s="20" t="str">
        <f t="shared" si="4"/>
        <v>Se repite 4 veces en Tradiciones Andinas</v>
      </c>
      <c r="P16" s="20" t="str">
        <f t="shared" si="5"/>
        <v>Tradiciones Andinas-Ajinomoto Bolsa 250gr x 60-73.8</v>
      </c>
      <c r="Q16" s="20">
        <f t="shared" si="6"/>
        <v>3</v>
      </c>
      <c r="R16" s="20" t="str">
        <f t="shared" si="7"/>
        <v>Se repite 3 veces el precio de 73.8</v>
      </c>
      <c r="S16" s="20" t="str">
        <f t="shared" si="8"/>
        <v>El producto Ajinomoto Bolsa 250gr x 60 Se repite 4 veces en Tradiciones Andinas, Se repite 3 veces el precio de 73.8</v>
      </c>
      <c r="T16" s="20" t="str">
        <f t="shared" si="9"/>
        <v>Tradiciones Andinas</v>
      </c>
      <c r="U16" s="20" t="str">
        <f t="shared" si="10"/>
        <v>Ajinomoto Bolsa 250gr x 60</v>
      </c>
      <c r="V16" s="22">
        <f t="shared" si="11"/>
        <v>73.8</v>
      </c>
      <c r="W16" t="str">
        <f t="shared" si="12"/>
        <v>Tradiciones Andinas 11/28/2025</v>
      </c>
      <c r="Z16">
        <f t="shared" si="13"/>
        <v>295.2</v>
      </c>
    </row>
    <row r="17" spans="1:26" hidden="1" x14ac:dyDescent="0.25">
      <c r="A17" s="2" t="s">
        <v>664</v>
      </c>
      <c r="B17" s="11" t="s">
        <v>821</v>
      </c>
      <c r="C17" s="11" t="s">
        <v>4</v>
      </c>
      <c r="D17" s="11" t="s">
        <v>822</v>
      </c>
      <c r="E17" s="11" t="s">
        <v>851</v>
      </c>
      <c r="F17" s="11" t="s">
        <v>852</v>
      </c>
      <c r="G17" s="12">
        <v>6</v>
      </c>
      <c r="H17" s="12">
        <v>71</v>
      </c>
      <c r="I17" s="12">
        <v>426</v>
      </c>
      <c r="J17" s="12">
        <v>14875.279999999999</v>
      </c>
      <c r="K17" s="20">
        <f t="shared" si="0"/>
        <v>5</v>
      </c>
      <c r="L17" s="20" t="str">
        <f t="shared" si="1"/>
        <v>Se repite 5 veces</v>
      </c>
      <c r="M17" s="20" t="str">
        <f t="shared" si="2"/>
        <v>Tradiciones Andinas-AjiNomoto Bolsa 500g x 30</v>
      </c>
      <c r="N17" s="20">
        <f t="shared" si="3"/>
        <v>5</v>
      </c>
      <c r="O17" s="20" t="str">
        <f t="shared" si="4"/>
        <v>Se repite 5 veces en Tradiciones Andinas</v>
      </c>
      <c r="P17" s="20" t="str">
        <f t="shared" si="5"/>
        <v>Tradiciones Andinas-AjiNomoto Bolsa 500g x 30-71</v>
      </c>
      <c r="Q17" s="20">
        <f t="shared" si="6"/>
        <v>1</v>
      </c>
      <c r="R17" s="20" t="str">
        <f t="shared" si="7"/>
        <v>No se repite</v>
      </c>
      <c r="S17" s="20" t="str">
        <f t="shared" si="8"/>
        <v>El producto AjiNomoto Bolsa 500g x 30 Se repite 5 veces en Tradiciones Andinas Una vez con el precio 71</v>
      </c>
      <c r="T17" s="20" t="str">
        <f t="shared" si="9"/>
        <v>Tradiciones Andinas</v>
      </c>
      <c r="U17" s="20" t="str">
        <f t="shared" si="10"/>
        <v>AjiNomoto Bolsa 500g x 30</v>
      </c>
      <c r="V17" s="22">
        <f t="shared" si="11"/>
        <v>71</v>
      </c>
      <c r="W17" t="str">
        <f t="shared" si="12"/>
        <v>Tradiciones Andinas 04/25/2025</v>
      </c>
      <c r="Z17">
        <f t="shared" si="13"/>
        <v>426</v>
      </c>
    </row>
    <row r="18" spans="1:26" hidden="1" x14ac:dyDescent="0.25">
      <c r="A18" s="2" t="s">
        <v>664</v>
      </c>
      <c r="B18" s="11" t="s">
        <v>654</v>
      </c>
      <c r="C18" s="11" t="s">
        <v>4</v>
      </c>
      <c r="D18" s="11" t="s">
        <v>940</v>
      </c>
      <c r="E18" s="11" t="s">
        <v>851</v>
      </c>
      <c r="F18" s="11" t="s">
        <v>951</v>
      </c>
      <c r="G18" s="12">
        <v>2</v>
      </c>
      <c r="H18" s="12">
        <v>75.97</v>
      </c>
      <c r="I18" s="12">
        <v>151.94</v>
      </c>
      <c r="J18" s="12">
        <v>25794.279999999995</v>
      </c>
      <c r="K18" s="20">
        <f t="shared" si="0"/>
        <v>5</v>
      </c>
      <c r="L18" s="20" t="str">
        <f t="shared" si="1"/>
        <v>Se repite 5 veces</v>
      </c>
      <c r="M18" s="20" t="str">
        <f t="shared" si="2"/>
        <v>Tradiciones Andinas-AjiNomoto Bolsa 500g x 30</v>
      </c>
      <c r="N18" s="20">
        <f t="shared" si="3"/>
        <v>5</v>
      </c>
      <c r="O18" s="20" t="str">
        <f t="shared" si="4"/>
        <v>Se repite 5 veces en Tradiciones Andinas</v>
      </c>
      <c r="P18" s="20" t="str">
        <f t="shared" si="5"/>
        <v>Tradiciones Andinas-AjiNomoto Bolsa 500g x 30-75.97</v>
      </c>
      <c r="Q18" s="20">
        <f t="shared" si="6"/>
        <v>4</v>
      </c>
      <c r="R18" s="20" t="str">
        <f t="shared" si="7"/>
        <v>Se repite 4 veces el precio de 75.97</v>
      </c>
      <c r="S18" s="20" t="str">
        <f t="shared" si="8"/>
        <v>El producto AjiNomoto Bolsa 500g x 30 Se repite 5 veces en Tradiciones Andinas, Se repite 4 veces el precio de 75.97</v>
      </c>
      <c r="T18" s="20" t="str">
        <f t="shared" si="9"/>
        <v>Tradiciones Andinas</v>
      </c>
      <c r="U18" s="20" t="str">
        <f t="shared" si="10"/>
        <v>AjiNomoto Bolsa 500g x 30</v>
      </c>
      <c r="V18" s="22">
        <f t="shared" si="11"/>
        <v>75.97</v>
      </c>
      <c r="W18" t="str">
        <f t="shared" si="12"/>
        <v>Tradiciones Andinas 05/19/2025</v>
      </c>
      <c r="Z18">
        <f t="shared" si="13"/>
        <v>151.94</v>
      </c>
    </row>
    <row r="19" spans="1:26" hidden="1" x14ac:dyDescent="0.25">
      <c r="A19" s="2" t="s">
        <v>664</v>
      </c>
      <c r="B19" s="11" t="s">
        <v>158</v>
      </c>
      <c r="C19" s="11" t="s">
        <v>4</v>
      </c>
      <c r="D19" s="11" t="s">
        <v>984</v>
      </c>
      <c r="E19" s="11" t="s">
        <v>851</v>
      </c>
      <c r="F19" s="11" t="s">
        <v>951</v>
      </c>
      <c r="G19" s="12">
        <v>1</v>
      </c>
      <c r="H19" s="12">
        <v>75.97</v>
      </c>
      <c r="I19" s="12">
        <v>75.97</v>
      </c>
      <c r="J19" s="12">
        <v>38692.65</v>
      </c>
      <c r="K19" s="20">
        <f t="shared" si="0"/>
        <v>5</v>
      </c>
      <c r="L19" s="20" t="str">
        <f t="shared" si="1"/>
        <v>Se repite 5 veces</v>
      </c>
      <c r="M19" s="20" t="str">
        <f t="shared" si="2"/>
        <v>Tradiciones Andinas-AjiNomoto Bolsa 500g x 30</v>
      </c>
      <c r="N19" s="20">
        <f t="shared" si="3"/>
        <v>5</v>
      </c>
      <c r="O19" s="20" t="str">
        <f t="shared" si="4"/>
        <v>Se repite 5 veces en Tradiciones Andinas</v>
      </c>
      <c r="P19" s="20" t="str">
        <f t="shared" si="5"/>
        <v>Tradiciones Andinas-AjiNomoto Bolsa 500g x 30-75.97</v>
      </c>
      <c r="Q19" s="20">
        <f t="shared" si="6"/>
        <v>4</v>
      </c>
      <c r="R19" s="20" t="str">
        <f t="shared" si="7"/>
        <v>Se repite 4 veces el precio de 75.97</v>
      </c>
      <c r="S19" s="20" t="str">
        <f t="shared" si="8"/>
        <v>El producto AjiNomoto Bolsa 500g x 30 Se repite 5 veces en Tradiciones Andinas, Se repite 4 veces el precio de 75.97</v>
      </c>
      <c r="T19" s="20" t="str">
        <f t="shared" si="9"/>
        <v>Tradiciones Andinas</v>
      </c>
      <c r="U19" s="20" t="str">
        <f t="shared" si="10"/>
        <v>AjiNomoto Bolsa 500g x 30</v>
      </c>
      <c r="V19" s="22">
        <f t="shared" si="11"/>
        <v>75.97</v>
      </c>
      <c r="W19" t="str">
        <f t="shared" si="12"/>
        <v>Tradiciones Andinas 06/12/2025</v>
      </c>
      <c r="Z19">
        <f t="shared" si="13"/>
        <v>75.97</v>
      </c>
    </row>
    <row r="20" spans="1:26" hidden="1" x14ac:dyDescent="0.25">
      <c r="A20" s="2" t="s">
        <v>664</v>
      </c>
      <c r="B20" s="11" t="s">
        <v>1033</v>
      </c>
      <c r="C20" s="11" t="s">
        <v>4</v>
      </c>
      <c r="D20" s="11" t="s">
        <v>1034</v>
      </c>
      <c r="E20" s="11" t="s">
        <v>851</v>
      </c>
      <c r="F20" s="11" t="s">
        <v>951</v>
      </c>
      <c r="G20" s="12">
        <v>4</v>
      </c>
      <c r="H20" s="12">
        <v>75.97</v>
      </c>
      <c r="I20" s="12">
        <v>303.88</v>
      </c>
      <c r="J20" s="12">
        <v>50699.509999999966</v>
      </c>
      <c r="K20" s="20">
        <f t="shared" si="0"/>
        <v>5</v>
      </c>
      <c r="L20" s="20" t="str">
        <f t="shared" si="1"/>
        <v>Se repite 5 veces</v>
      </c>
      <c r="M20" s="20" t="str">
        <f t="shared" si="2"/>
        <v>Tradiciones Andinas-AjiNomoto Bolsa 500g x 30</v>
      </c>
      <c r="N20" s="20">
        <f t="shared" si="3"/>
        <v>5</v>
      </c>
      <c r="O20" s="20" t="str">
        <f t="shared" si="4"/>
        <v>Se repite 5 veces en Tradiciones Andinas</v>
      </c>
      <c r="P20" s="20" t="str">
        <f t="shared" si="5"/>
        <v>Tradiciones Andinas-AjiNomoto Bolsa 500g x 30-75.97</v>
      </c>
      <c r="Q20" s="20">
        <f t="shared" si="6"/>
        <v>4</v>
      </c>
      <c r="R20" s="20" t="str">
        <f t="shared" si="7"/>
        <v>Se repite 4 veces el precio de 75.97</v>
      </c>
      <c r="S20" s="20" t="str">
        <f t="shared" si="8"/>
        <v>El producto AjiNomoto Bolsa 500g x 30 Se repite 5 veces en Tradiciones Andinas, Se repite 4 veces el precio de 75.97</v>
      </c>
      <c r="T20" s="20" t="str">
        <f t="shared" si="9"/>
        <v>Tradiciones Andinas</v>
      </c>
      <c r="U20" s="20" t="str">
        <f t="shared" si="10"/>
        <v>AjiNomoto Bolsa 500g x 30</v>
      </c>
      <c r="V20" s="22">
        <f t="shared" si="11"/>
        <v>75.97</v>
      </c>
      <c r="W20" t="str">
        <f t="shared" si="12"/>
        <v>Tradiciones Andinas 07/03/2025</v>
      </c>
      <c r="Z20">
        <f t="shared" si="13"/>
        <v>303.88</v>
      </c>
    </row>
    <row r="21" spans="1:26" hidden="1" x14ac:dyDescent="0.25">
      <c r="A21" s="2" t="s">
        <v>664</v>
      </c>
      <c r="B21" s="11" t="s">
        <v>1153</v>
      </c>
      <c r="C21" s="11" t="s">
        <v>4</v>
      </c>
      <c r="D21" s="11" t="s">
        <v>1154</v>
      </c>
      <c r="E21" s="11" t="s">
        <v>851</v>
      </c>
      <c r="F21" s="11" t="s">
        <v>951</v>
      </c>
      <c r="G21" s="12">
        <v>3</v>
      </c>
      <c r="H21" s="12">
        <v>75.97</v>
      </c>
      <c r="I21" s="12">
        <v>227.91</v>
      </c>
      <c r="J21" s="12">
        <v>80927.849999999962</v>
      </c>
      <c r="K21" s="20">
        <f t="shared" si="0"/>
        <v>5</v>
      </c>
      <c r="L21" s="20" t="str">
        <f t="shared" si="1"/>
        <v>Se repite 5 veces</v>
      </c>
      <c r="M21" s="20" t="str">
        <f t="shared" si="2"/>
        <v>Tradiciones Andinas-AjiNomoto Bolsa 500g x 30</v>
      </c>
      <c r="N21" s="20">
        <f t="shared" si="3"/>
        <v>5</v>
      </c>
      <c r="O21" s="20" t="str">
        <f t="shared" si="4"/>
        <v>Se repite 5 veces en Tradiciones Andinas</v>
      </c>
      <c r="P21" s="20" t="str">
        <f t="shared" si="5"/>
        <v>Tradiciones Andinas-AjiNomoto Bolsa 500g x 30-75.97</v>
      </c>
      <c r="Q21" s="20">
        <f t="shared" si="6"/>
        <v>4</v>
      </c>
      <c r="R21" s="20" t="str">
        <f t="shared" si="7"/>
        <v>Se repite 4 veces el precio de 75.97</v>
      </c>
      <c r="S21" s="20" t="str">
        <f t="shared" si="8"/>
        <v>El producto AjiNomoto Bolsa 500g x 30 Se repite 5 veces en Tradiciones Andinas, Se repite 4 veces el precio de 75.97</v>
      </c>
      <c r="T21" s="20" t="str">
        <f t="shared" si="9"/>
        <v>Tradiciones Andinas</v>
      </c>
      <c r="U21" s="20" t="str">
        <f t="shared" si="10"/>
        <v>AjiNomoto Bolsa 500g x 30</v>
      </c>
      <c r="V21" s="22">
        <f t="shared" si="11"/>
        <v>75.97</v>
      </c>
      <c r="W21" t="str">
        <f t="shared" si="12"/>
        <v>Tradiciones Andinas 09/24/2025</v>
      </c>
      <c r="Z21">
        <f t="shared" si="13"/>
        <v>227.91</v>
      </c>
    </row>
    <row r="22" spans="1:26" hidden="1" x14ac:dyDescent="0.25">
      <c r="A22" s="2" t="s">
        <v>18</v>
      </c>
      <c r="B22" s="11" t="s">
        <v>19</v>
      </c>
      <c r="C22" s="11" t="s">
        <v>4</v>
      </c>
      <c r="D22" s="11" t="s">
        <v>20</v>
      </c>
      <c r="E22" s="11" t="s">
        <v>35</v>
      </c>
      <c r="F22" s="11" t="s">
        <v>36</v>
      </c>
      <c r="G22" s="12">
        <v>1</v>
      </c>
      <c r="H22" s="12">
        <v>50.4</v>
      </c>
      <c r="I22" s="12">
        <v>50.4</v>
      </c>
      <c r="J22" s="12">
        <v>995.8</v>
      </c>
      <c r="K22" s="20">
        <f t="shared" si="0"/>
        <v>5</v>
      </c>
      <c r="L22" s="20" t="str">
        <f t="shared" si="1"/>
        <v>Se repite 5 veces</v>
      </c>
      <c r="M22" s="20" t="str">
        <f t="shared" si="2"/>
        <v>Belmont International Trading Corp-AJINOSIYAO 500ml x 24</v>
      </c>
      <c r="N22" s="20">
        <f t="shared" si="3"/>
        <v>1</v>
      </c>
      <c r="O22" s="20" t="str">
        <f t="shared" si="4"/>
        <v>No se repite en proveedor</v>
      </c>
      <c r="P22" s="20" t="str">
        <f t="shared" si="5"/>
        <v>Belmont International Trading Corp-AJINOSIYAO 500ml x 24-50.4</v>
      </c>
      <c r="Q22" s="20">
        <f t="shared" si="6"/>
        <v>1</v>
      </c>
      <c r="R22" s="20" t="str">
        <f t="shared" si="7"/>
        <v>No se repite</v>
      </c>
      <c r="S22" s="20" t="str">
        <f t="shared" si="8"/>
        <v>El producto AJINOSIYAO 500ml x 24 No se repite en proveedor Una vez con el precio 50.4</v>
      </c>
      <c r="T22" s="20" t="str">
        <f t="shared" si="9"/>
        <v>Belmont International Trading Corp</v>
      </c>
      <c r="U22" s="20" t="str">
        <f t="shared" si="10"/>
        <v>AJINOSIYAO 500ml x 24</v>
      </c>
      <c r="V22" s="22">
        <f t="shared" si="11"/>
        <v>50.4</v>
      </c>
      <c r="W22" t="str">
        <f t="shared" si="12"/>
        <v>Belmont International Trading Corp 04/28/2025</v>
      </c>
      <c r="Z22">
        <f t="shared" si="13"/>
        <v>50.4</v>
      </c>
    </row>
    <row r="23" spans="1:26" hidden="1" x14ac:dyDescent="0.25">
      <c r="A23" s="2" t="s">
        <v>272</v>
      </c>
      <c r="B23" s="11" t="s">
        <v>471</v>
      </c>
      <c r="C23" s="11" t="s">
        <v>4</v>
      </c>
      <c r="D23" s="11" t="s">
        <v>472</v>
      </c>
      <c r="E23" s="11" t="s">
        <v>35</v>
      </c>
      <c r="F23" s="11" t="s">
        <v>36</v>
      </c>
      <c r="G23" s="12">
        <v>1</v>
      </c>
      <c r="H23" s="12">
        <v>45</v>
      </c>
      <c r="I23" s="12">
        <v>45</v>
      </c>
      <c r="J23" s="12">
        <v>14643.5</v>
      </c>
      <c r="K23" s="20">
        <f t="shared" si="0"/>
        <v>5</v>
      </c>
      <c r="L23" s="20" t="str">
        <f t="shared" si="1"/>
        <v>Se repite 5 veces</v>
      </c>
      <c r="M23" s="20" t="str">
        <f t="shared" si="2"/>
        <v>Peru Chef-AJINOSIYAO 500ml x 24</v>
      </c>
      <c r="N23" s="20">
        <f t="shared" si="3"/>
        <v>1</v>
      </c>
      <c r="O23" s="20" t="str">
        <f t="shared" si="4"/>
        <v>No se repite en proveedor</v>
      </c>
      <c r="P23" s="20" t="str">
        <f t="shared" si="5"/>
        <v>Peru Chef-AJINOSIYAO 500ml x 24-45</v>
      </c>
      <c r="Q23" s="20">
        <f t="shared" si="6"/>
        <v>1</v>
      </c>
      <c r="R23" s="20" t="str">
        <f t="shared" si="7"/>
        <v>No se repite</v>
      </c>
      <c r="S23" s="20" t="str">
        <f t="shared" si="8"/>
        <v>El producto AJINOSIYAO 500ml x 24 No se repite en proveedor Una vez con el precio 45</v>
      </c>
      <c r="T23" s="20" t="str">
        <f t="shared" si="9"/>
        <v>Peru Chef</v>
      </c>
      <c r="U23" s="20" t="str">
        <f t="shared" si="10"/>
        <v>AJINOSIYAO 500ml x 24</v>
      </c>
      <c r="V23" s="22">
        <f t="shared" si="11"/>
        <v>45</v>
      </c>
      <c r="W23" t="str">
        <f t="shared" si="12"/>
        <v>Peru Chef 08/11/2025</v>
      </c>
      <c r="Z23">
        <f t="shared" si="13"/>
        <v>45</v>
      </c>
    </row>
    <row r="24" spans="1:26" hidden="1" x14ac:dyDescent="0.25">
      <c r="A24" s="2" t="s">
        <v>664</v>
      </c>
      <c r="B24" s="11" t="s">
        <v>1125</v>
      </c>
      <c r="C24" s="11" t="s">
        <v>4</v>
      </c>
      <c r="D24" s="11" t="s">
        <v>1126</v>
      </c>
      <c r="E24" s="11" t="s">
        <v>35</v>
      </c>
      <c r="F24" s="11" t="s">
        <v>36</v>
      </c>
      <c r="G24" s="12">
        <v>2</v>
      </c>
      <c r="H24" s="12">
        <v>28.8</v>
      </c>
      <c r="I24" s="12">
        <v>57.6</v>
      </c>
      <c r="J24" s="12">
        <v>69776.400000000023</v>
      </c>
      <c r="K24" s="20">
        <f t="shared" si="0"/>
        <v>5</v>
      </c>
      <c r="L24" s="20" t="str">
        <f t="shared" si="1"/>
        <v>Se repite 5 veces</v>
      </c>
      <c r="M24" s="20" t="str">
        <f t="shared" si="2"/>
        <v>Tradiciones Andinas-AJINOSIYAO 500ml x 24</v>
      </c>
      <c r="N24" s="20">
        <f t="shared" si="3"/>
        <v>3</v>
      </c>
      <c r="O24" s="20" t="str">
        <f t="shared" si="4"/>
        <v>Se repite 3 veces en Tradiciones Andinas</v>
      </c>
      <c r="P24" s="20" t="str">
        <f t="shared" si="5"/>
        <v>Tradiciones Andinas-AJINOSIYAO 500ml x 24-28.8</v>
      </c>
      <c r="Q24" s="20">
        <f t="shared" si="6"/>
        <v>3</v>
      </c>
      <c r="R24" s="20" t="str">
        <f t="shared" si="7"/>
        <v>Se repite 3 veces el precio de 28.8</v>
      </c>
      <c r="S24" s="20" t="str">
        <f t="shared" si="8"/>
        <v>El producto AJINOSIYAO 500ml x 24 Se repite 3 veces en Tradiciones Andinas, Se repite 3 veces el precio de 28.8</v>
      </c>
      <c r="T24" s="20" t="str">
        <f t="shared" si="9"/>
        <v>Tradiciones Andinas</v>
      </c>
      <c r="U24" s="20" t="str">
        <f t="shared" si="10"/>
        <v>AJINOSIYAO 500ml x 24</v>
      </c>
      <c r="V24" s="22">
        <f t="shared" si="11"/>
        <v>28.8</v>
      </c>
      <c r="W24" t="str">
        <f t="shared" si="12"/>
        <v>Tradiciones Andinas 08/18/2025</v>
      </c>
      <c r="Z24">
        <f t="shared" si="13"/>
        <v>57.6</v>
      </c>
    </row>
    <row r="25" spans="1:26" hidden="1" x14ac:dyDescent="0.25">
      <c r="A25" s="2" t="s">
        <v>664</v>
      </c>
      <c r="B25" s="11" t="s">
        <v>1153</v>
      </c>
      <c r="C25" s="11" t="s">
        <v>4</v>
      </c>
      <c r="D25" s="11" t="s">
        <v>1154</v>
      </c>
      <c r="E25" s="11" t="s">
        <v>35</v>
      </c>
      <c r="F25" s="11" t="s">
        <v>36</v>
      </c>
      <c r="G25" s="12">
        <v>5</v>
      </c>
      <c r="H25" s="12">
        <v>28.8</v>
      </c>
      <c r="I25" s="12">
        <v>144</v>
      </c>
      <c r="J25" s="12">
        <v>81071.849999999962</v>
      </c>
      <c r="K25" s="20">
        <f t="shared" si="0"/>
        <v>5</v>
      </c>
      <c r="L25" s="20" t="str">
        <f t="shared" si="1"/>
        <v>Se repite 5 veces</v>
      </c>
      <c r="M25" s="20" t="str">
        <f t="shared" si="2"/>
        <v>Tradiciones Andinas-AJINOSIYAO 500ml x 24</v>
      </c>
      <c r="N25" s="20">
        <f t="shared" si="3"/>
        <v>3</v>
      </c>
      <c r="O25" s="20" t="str">
        <f t="shared" si="4"/>
        <v>Se repite 3 veces en Tradiciones Andinas</v>
      </c>
      <c r="P25" s="20" t="str">
        <f t="shared" si="5"/>
        <v>Tradiciones Andinas-AJINOSIYAO 500ml x 24-28.8</v>
      </c>
      <c r="Q25" s="20">
        <f t="shared" si="6"/>
        <v>3</v>
      </c>
      <c r="R25" s="20" t="str">
        <f t="shared" si="7"/>
        <v>Se repite 3 veces el precio de 28.8</v>
      </c>
      <c r="S25" s="20" t="str">
        <f t="shared" si="8"/>
        <v>El producto AJINOSIYAO 500ml x 24 Se repite 3 veces en Tradiciones Andinas, Se repite 3 veces el precio de 28.8</v>
      </c>
      <c r="T25" s="20" t="str">
        <f t="shared" si="9"/>
        <v>Tradiciones Andinas</v>
      </c>
      <c r="U25" s="20" t="str">
        <f t="shared" si="10"/>
        <v>AJINOSIYAO 500ml x 24</v>
      </c>
      <c r="V25" s="22">
        <f t="shared" si="11"/>
        <v>28.8</v>
      </c>
      <c r="W25" t="str">
        <f t="shared" si="12"/>
        <v>Tradiciones Andinas 09/24/2025</v>
      </c>
      <c r="Z25">
        <f t="shared" si="13"/>
        <v>144</v>
      </c>
    </row>
    <row r="26" spans="1:26" hidden="1" x14ac:dyDescent="0.25">
      <c r="A26" s="2" t="s">
        <v>664</v>
      </c>
      <c r="B26" s="11" t="s">
        <v>1207</v>
      </c>
      <c r="C26" s="11" t="s">
        <v>4</v>
      </c>
      <c r="D26" s="11" t="s">
        <v>1208</v>
      </c>
      <c r="E26" s="11" t="s">
        <v>35</v>
      </c>
      <c r="F26" s="11" t="s">
        <v>36</v>
      </c>
      <c r="G26" s="12">
        <v>3</v>
      </c>
      <c r="H26" s="12">
        <v>28.8</v>
      </c>
      <c r="I26" s="12">
        <v>86.4</v>
      </c>
      <c r="J26" s="12">
        <v>107518.52999999991</v>
      </c>
      <c r="K26" s="20">
        <f t="shared" si="0"/>
        <v>5</v>
      </c>
      <c r="L26" s="20" t="str">
        <f t="shared" si="1"/>
        <v>Se repite 5 veces</v>
      </c>
      <c r="M26" s="20" t="str">
        <f t="shared" si="2"/>
        <v>Tradiciones Andinas-AJINOSIYAO 500ml x 24</v>
      </c>
      <c r="N26" s="20">
        <f t="shared" si="3"/>
        <v>3</v>
      </c>
      <c r="O26" s="20" t="str">
        <f t="shared" si="4"/>
        <v>Se repite 3 veces en Tradiciones Andinas</v>
      </c>
      <c r="P26" s="20" t="str">
        <f t="shared" si="5"/>
        <v>Tradiciones Andinas-AJINOSIYAO 500ml x 24-28.8</v>
      </c>
      <c r="Q26" s="20">
        <f t="shared" si="6"/>
        <v>3</v>
      </c>
      <c r="R26" s="20" t="str">
        <f t="shared" si="7"/>
        <v>Se repite 3 veces el precio de 28.8</v>
      </c>
      <c r="S26" s="20" t="str">
        <f t="shared" si="8"/>
        <v>El producto AJINOSIYAO 500ml x 24 Se repite 3 veces en Tradiciones Andinas, Se repite 3 veces el precio de 28.8</v>
      </c>
      <c r="T26" s="20" t="str">
        <f t="shared" si="9"/>
        <v>Tradiciones Andinas</v>
      </c>
      <c r="U26" s="20" t="str">
        <f t="shared" si="10"/>
        <v>AJINOSIYAO 500ml x 24</v>
      </c>
      <c r="V26" s="22">
        <f t="shared" si="11"/>
        <v>28.8</v>
      </c>
      <c r="W26" t="str">
        <f t="shared" si="12"/>
        <v>Tradiciones Andinas 11/28/2025</v>
      </c>
      <c r="Z26">
        <f t="shared" si="13"/>
        <v>86.4</v>
      </c>
    </row>
    <row r="27" spans="1:26" hidden="1" x14ac:dyDescent="0.25">
      <c r="A27" s="2" t="s">
        <v>664</v>
      </c>
      <c r="B27" s="11" t="s">
        <v>398</v>
      </c>
      <c r="C27" s="11" t="s">
        <v>4</v>
      </c>
      <c r="D27" s="11" t="s">
        <v>5</v>
      </c>
      <c r="E27" s="11" t="s">
        <v>807</v>
      </c>
      <c r="F27" s="11" t="s">
        <v>808</v>
      </c>
      <c r="G27" s="12">
        <v>2</v>
      </c>
      <c r="H27" s="12">
        <v>20</v>
      </c>
      <c r="I27" s="12">
        <v>40</v>
      </c>
      <c r="J27" s="12">
        <v>6965.6399999999994</v>
      </c>
      <c r="K27" s="20">
        <f t="shared" si="0"/>
        <v>2</v>
      </c>
      <c r="L27" s="20" t="str">
        <f t="shared" si="1"/>
        <v>Se repite 2 veces</v>
      </c>
      <c r="M27" s="20" t="str">
        <f t="shared" si="2"/>
        <v>Tradiciones Andinas-Arrocito Atomico 150gr x 20 (5.3oz)  x 20</v>
      </c>
      <c r="N27" s="20">
        <f t="shared" si="3"/>
        <v>2</v>
      </c>
      <c r="O27" s="20" t="str">
        <f t="shared" si="4"/>
        <v>Se repite 2 veces en Tradiciones Andinas</v>
      </c>
      <c r="P27" s="20" t="str">
        <f t="shared" si="5"/>
        <v>Tradiciones Andinas-Arrocito Atomico 150gr x 20 (5.3oz)  x 20-20</v>
      </c>
      <c r="Q27" s="20">
        <f t="shared" si="6"/>
        <v>1</v>
      </c>
      <c r="R27" s="20" t="str">
        <f t="shared" si="7"/>
        <v>No se repite</v>
      </c>
      <c r="S27" s="20" t="str">
        <f t="shared" si="8"/>
        <v>El producto Arrocito Atomico 150gr x 20 (5.3oz)  x 20 Se repite 2 veces en Tradiciones Andinas Una vez con el precio 20</v>
      </c>
      <c r="T27" s="20" t="str">
        <f t="shared" si="9"/>
        <v>Tradiciones Andinas</v>
      </c>
      <c r="U27" s="20" t="str">
        <f t="shared" si="10"/>
        <v>Arrocito Atomico 150gr x 20 (5.3oz)  x 20</v>
      </c>
      <c r="V27" s="22">
        <f t="shared" si="11"/>
        <v>20</v>
      </c>
      <c r="W27" t="str">
        <f t="shared" si="12"/>
        <v>Tradiciones Andinas 04/10/2025</v>
      </c>
      <c r="Z27">
        <f t="shared" si="13"/>
        <v>40</v>
      </c>
    </row>
    <row r="28" spans="1:26" hidden="1" x14ac:dyDescent="0.25">
      <c r="A28" s="2" t="s">
        <v>664</v>
      </c>
      <c r="B28" s="11" t="s">
        <v>1224</v>
      </c>
      <c r="C28" s="11" t="s">
        <v>4</v>
      </c>
      <c r="D28" s="11" t="s">
        <v>1225</v>
      </c>
      <c r="E28" s="11" t="s">
        <v>807</v>
      </c>
      <c r="F28" s="11" t="s">
        <v>1231</v>
      </c>
      <c r="G28" s="12">
        <v>2</v>
      </c>
      <c r="H28" s="12">
        <v>21.4</v>
      </c>
      <c r="I28" s="12">
        <v>42.8</v>
      </c>
      <c r="J28" s="12">
        <v>118453.31999999992</v>
      </c>
      <c r="K28" s="20">
        <f t="shared" si="0"/>
        <v>2</v>
      </c>
      <c r="L28" s="20" t="str">
        <f t="shared" si="1"/>
        <v>Se repite 2 veces</v>
      </c>
      <c r="M28" s="20" t="str">
        <f t="shared" si="2"/>
        <v>Tradiciones Andinas-Arrocito Atomico 150gr x 20 (5.3oz)  x 20</v>
      </c>
      <c r="N28" s="20">
        <f t="shared" si="3"/>
        <v>2</v>
      </c>
      <c r="O28" s="20" t="str">
        <f t="shared" si="4"/>
        <v>Se repite 2 veces en Tradiciones Andinas</v>
      </c>
      <c r="P28" s="20" t="str">
        <f t="shared" si="5"/>
        <v>Tradiciones Andinas-Arrocito Atomico 150gr x 20 (5.3oz)  x 20-21.4</v>
      </c>
      <c r="Q28" s="20">
        <f t="shared" si="6"/>
        <v>1</v>
      </c>
      <c r="R28" s="20" t="str">
        <f t="shared" si="7"/>
        <v>No se repite</v>
      </c>
      <c r="S28" s="20" t="str">
        <f t="shared" si="8"/>
        <v>El producto Arrocito Atomico 150gr x 20 (5.3oz)  x 20 Se repite 2 veces en Tradiciones Andinas Una vez con el precio 21.4</v>
      </c>
      <c r="T28" s="20" t="str">
        <f t="shared" si="9"/>
        <v>Tradiciones Andinas</v>
      </c>
      <c r="U28" s="20" t="str">
        <f t="shared" si="10"/>
        <v>Arrocito Atomico 150gr x 20 (5.3oz)  x 20</v>
      </c>
      <c r="V28" s="22">
        <f t="shared" si="11"/>
        <v>21.4</v>
      </c>
      <c r="W28" t="str">
        <f t="shared" si="12"/>
        <v>Tradiciones Andinas 12/03/2025</v>
      </c>
      <c r="Z28">
        <f t="shared" si="13"/>
        <v>42.8</v>
      </c>
    </row>
    <row r="29" spans="1:26" hidden="1" x14ac:dyDescent="0.25">
      <c r="A29" s="2" t="s">
        <v>272</v>
      </c>
      <c r="B29" s="11" t="s">
        <v>273</v>
      </c>
      <c r="C29" s="11" t="s">
        <v>4</v>
      </c>
      <c r="D29" s="11" t="s">
        <v>5</v>
      </c>
      <c r="E29" s="11" t="s">
        <v>328</v>
      </c>
      <c r="F29" s="11" t="s">
        <v>329</v>
      </c>
      <c r="G29" s="12">
        <v>1</v>
      </c>
      <c r="H29" s="12">
        <v>82.5</v>
      </c>
      <c r="I29" s="12">
        <v>82.5</v>
      </c>
      <c r="J29" s="12">
        <v>885.8</v>
      </c>
      <c r="K29" s="20">
        <f t="shared" si="0"/>
        <v>6</v>
      </c>
      <c r="L29" s="20" t="str">
        <f t="shared" si="1"/>
        <v>Se repite 6 veces</v>
      </c>
      <c r="M29" s="20" t="str">
        <f t="shared" si="2"/>
        <v>Peru Chef-Atun Florida Solido en aceite 6 oz X 48</v>
      </c>
      <c r="N29" s="20">
        <f t="shared" si="3"/>
        <v>6</v>
      </c>
      <c r="O29" s="20" t="str">
        <f t="shared" si="4"/>
        <v>Se repite 6 veces en Peru Chef</v>
      </c>
      <c r="P29" s="20" t="str">
        <f t="shared" si="5"/>
        <v>Peru Chef-Atun Florida Solido en aceite 6 oz X 48-82.5</v>
      </c>
      <c r="Q29" s="20">
        <f t="shared" si="6"/>
        <v>2</v>
      </c>
      <c r="R29" s="20" t="str">
        <f t="shared" si="7"/>
        <v>Se repite 2 veces el precio de 82.5</v>
      </c>
      <c r="S29" s="20" t="str">
        <f t="shared" si="8"/>
        <v>El producto Atun Florida Solido en aceite 6 oz X 48 Se repite 6 veces en Peru Chef, Se repite 2 veces el precio de 82.5</v>
      </c>
      <c r="T29" s="20" t="str">
        <f t="shared" si="9"/>
        <v>Peru Chef</v>
      </c>
      <c r="U29" s="20" t="str">
        <f t="shared" si="10"/>
        <v>Atun Florida Solido en aceite 6 oz X 48</v>
      </c>
      <c r="V29" s="22">
        <f t="shared" si="11"/>
        <v>82.5</v>
      </c>
      <c r="W29" t="str">
        <f t="shared" si="12"/>
        <v>Peru Chef 03/26/2025</v>
      </c>
      <c r="Z29">
        <f t="shared" si="13"/>
        <v>82.5</v>
      </c>
    </row>
    <row r="30" spans="1:26" hidden="1" x14ac:dyDescent="0.25">
      <c r="A30" s="2" t="s">
        <v>272</v>
      </c>
      <c r="B30" s="11" t="s">
        <v>398</v>
      </c>
      <c r="C30" s="11" t="s">
        <v>4</v>
      </c>
      <c r="D30" s="11" t="s">
        <v>399</v>
      </c>
      <c r="E30" s="11" t="s">
        <v>328</v>
      </c>
      <c r="F30" s="11" t="s">
        <v>400</v>
      </c>
      <c r="G30" s="12">
        <v>1</v>
      </c>
      <c r="H30" s="12">
        <v>82.5</v>
      </c>
      <c r="I30" s="12">
        <v>82.5</v>
      </c>
      <c r="J30" s="12">
        <v>3132</v>
      </c>
      <c r="K30" s="20">
        <f t="shared" si="0"/>
        <v>6</v>
      </c>
      <c r="L30" s="20" t="str">
        <f t="shared" si="1"/>
        <v>Se repite 6 veces</v>
      </c>
      <c r="M30" s="20" t="str">
        <f t="shared" si="2"/>
        <v>Peru Chef-Atun Florida Solido en aceite 6 oz X 48</v>
      </c>
      <c r="N30" s="20">
        <f t="shared" si="3"/>
        <v>6</v>
      </c>
      <c r="O30" s="20" t="str">
        <f t="shared" si="4"/>
        <v>Se repite 6 veces en Peru Chef</v>
      </c>
      <c r="P30" s="20" t="str">
        <f t="shared" si="5"/>
        <v>Peru Chef-Atun Florida Solido en aceite 6 oz X 48-82.5</v>
      </c>
      <c r="Q30" s="20">
        <f t="shared" si="6"/>
        <v>2</v>
      </c>
      <c r="R30" s="20" t="str">
        <f t="shared" si="7"/>
        <v>Se repite 2 veces el precio de 82.5</v>
      </c>
      <c r="S30" s="20" t="str">
        <f t="shared" si="8"/>
        <v>El producto Atun Florida Solido en aceite 6 oz X 48 Se repite 6 veces en Peru Chef, Se repite 2 veces el precio de 82.5</v>
      </c>
      <c r="T30" s="20" t="str">
        <f t="shared" si="9"/>
        <v>Peru Chef</v>
      </c>
      <c r="U30" s="20" t="str">
        <f t="shared" si="10"/>
        <v>Atun Florida Solido en aceite 6 oz X 48</v>
      </c>
      <c r="V30" s="22">
        <f t="shared" si="11"/>
        <v>82.5</v>
      </c>
      <c r="W30" t="str">
        <f t="shared" si="12"/>
        <v>Peru Chef 04/10/2025</v>
      </c>
      <c r="Z30">
        <f t="shared" si="13"/>
        <v>82.5</v>
      </c>
    </row>
    <row r="31" spans="1:26" hidden="1" x14ac:dyDescent="0.25">
      <c r="A31" s="2" t="s">
        <v>272</v>
      </c>
      <c r="B31" s="11" t="s">
        <v>444</v>
      </c>
      <c r="C31" s="11" t="s">
        <v>4</v>
      </c>
      <c r="D31" s="11" t="s">
        <v>445</v>
      </c>
      <c r="E31" s="11" t="s">
        <v>328</v>
      </c>
      <c r="F31" s="11" t="s">
        <v>461</v>
      </c>
      <c r="G31" s="12">
        <v>2</v>
      </c>
      <c r="H31" s="12">
        <v>82</v>
      </c>
      <c r="I31" s="12">
        <v>164</v>
      </c>
      <c r="J31" s="12">
        <v>9496.7000000000007</v>
      </c>
      <c r="K31" s="20">
        <f t="shared" si="0"/>
        <v>6</v>
      </c>
      <c r="L31" s="20" t="str">
        <f t="shared" si="1"/>
        <v>Se repite 6 veces</v>
      </c>
      <c r="M31" s="20" t="str">
        <f t="shared" si="2"/>
        <v>Peru Chef-Atun Florida Solido en aceite 6 oz X 48</v>
      </c>
      <c r="N31" s="20">
        <f t="shared" si="3"/>
        <v>6</v>
      </c>
      <c r="O31" s="20" t="str">
        <f t="shared" si="4"/>
        <v>Se repite 6 veces en Peru Chef</v>
      </c>
      <c r="P31" s="20" t="str">
        <f t="shared" si="5"/>
        <v>Peru Chef-Atun Florida Solido en aceite 6 oz X 48-82</v>
      </c>
      <c r="Q31" s="20">
        <f t="shared" si="6"/>
        <v>1</v>
      </c>
      <c r="R31" s="20" t="str">
        <f t="shared" si="7"/>
        <v>No se repite</v>
      </c>
      <c r="S31" s="20" t="str">
        <f t="shared" si="8"/>
        <v>El producto Atun Florida Solido en aceite 6 oz X 48 Se repite 6 veces en Peru Chef Una vez con el precio 82</v>
      </c>
      <c r="T31" s="20" t="str">
        <f t="shared" si="9"/>
        <v>Peru Chef</v>
      </c>
      <c r="U31" s="20" t="str">
        <f t="shared" si="10"/>
        <v>Atun Florida Solido en aceite 6 oz X 48</v>
      </c>
      <c r="V31" s="22">
        <f t="shared" si="11"/>
        <v>82</v>
      </c>
      <c r="W31" t="str">
        <f t="shared" si="12"/>
        <v>Peru Chef 04/24/2025</v>
      </c>
      <c r="Z31">
        <f t="shared" si="13"/>
        <v>164</v>
      </c>
    </row>
    <row r="32" spans="1:26" hidden="1" x14ac:dyDescent="0.25">
      <c r="A32" s="2" t="s">
        <v>272</v>
      </c>
      <c r="B32" s="11" t="s">
        <v>590</v>
      </c>
      <c r="C32" s="11" t="s">
        <v>4</v>
      </c>
      <c r="D32" s="11" t="s">
        <v>591</v>
      </c>
      <c r="E32" s="11" t="s">
        <v>328</v>
      </c>
      <c r="F32" s="11" t="s">
        <v>461</v>
      </c>
      <c r="G32" s="12">
        <v>2</v>
      </c>
      <c r="H32" s="12">
        <v>81</v>
      </c>
      <c r="I32" s="12">
        <v>162</v>
      </c>
      <c r="J32" s="12">
        <v>29879.5</v>
      </c>
      <c r="K32" s="20">
        <f t="shared" si="0"/>
        <v>6</v>
      </c>
      <c r="L32" s="20" t="str">
        <f t="shared" si="1"/>
        <v>Se repite 6 veces</v>
      </c>
      <c r="M32" s="20" t="str">
        <f t="shared" si="2"/>
        <v>Peru Chef-Atun Florida Solido en aceite 6 oz X 48</v>
      </c>
      <c r="N32" s="20">
        <f t="shared" si="3"/>
        <v>6</v>
      </c>
      <c r="O32" s="20" t="str">
        <f t="shared" si="4"/>
        <v>Se repite 6 veces en Peru Chef</v>
      </c>
      <c r="P32" s="20" t="str">
        <f t="shared" si="5"/>
        <v>Peru Chef-Atun Florida Solido en aceite 6 oz X 48-81</v>
      </c>
      <c r="Q32" s="20">
        <f t="shared" si="6"/>
        <v>3</v>
      </c>
      <c r="R32" s="20" t="str">
        <f t="shared" si="7"/>
        <v>Se repite 3 veces el precio de 81</v>
      </c>
      <c r="S32" s="20" t="str">
        <f t="shared" si="8"/>
        <v>El producto Atun Florida Solido en aceite 6 oz X 48 Se repite 6 veces en Peru Chef, Se repite 3 veces el precio de 81</v>
      </c>
      <c r="T32" s="20" t="str">
        <f t="shared" si="9"/>
        <v>Peru Chef</v>
      </c>
      <c r="U32" s="20" t="str">
        <f t="shared" si="10"/>
        <v>Atun Florida Solido en aceite 6 oz X 48</v>
      </c>
      <c r="V32" s="22">
        <f t="shared" si="11"/>
        <v>81</v>
      </c>
      <c r="W32" t="str">
        <f t="shared" si="12"/>
        <v>Peru Chef 10/28/2025</v>
      </c>
      <c r="Z32">
        <f t="shared" si="13"/>
        <v>162</v>
      </c>
    </row>
    <row r="33" spans="1:26" hidden="1" x14ac:dyDescent="0.25">
      <c r="A33" s="2" t="s">
        <v>272</v>
      </c>
      <c r="B33" s="11" t="s">
        <v>600</v>
      </c>
      <c r="C33" s="11" t="s">
        <v>4</v>
      </c>
      <c r="D33" s="11" t="s">
        <v>601</v>
      </c>
      <c r="E33" s="11" t="s">
        <v>328</v>
      </c>
      <c r="F33" s="11" t="s">
        <v>461</v>
      </c>
      <c r="G33" s="12">
        <v>2</v>
      </c>
      <c r="H33" s="12">
        <v>81</v>
      </c>
      <c r="I33" s="12">
        <v>162</v>
      </c>
      <c r="J33" s="12">
        <v>35454.55000000001</v>
      </c>
      <c r="K33" s="20">
        <f t="shared" si="0"/>
        <v>6</v>
      </c>
      <c r="L33" s="20" t="str">
        <f t="shared" si="1"/>
        <v>Se repite 6 veces</v>
      </c>
      <c r="M33" s="20" t="str">
        <f t="shared" si="2"/>
        <v>Peru Chef-Atun Florida Solido en aceite 6 oz X 48</v>
      </c>
      <c r="N33" s="20">
        <f t="shared" si="3"/>
        <v>6</v>
      </c>
      <c r="O33" s="20" t="str">
        <f t="shared" si="4"/>
        <v>Se repite 6 veces en Peru Chef</v>
      </c>
      <c r="P33" s="20" t="str">
        <f t="shared" si="5"/>
        <v>Peru Chef-Atun Florida Solido en aceite 6 oz X 48-81</v>
      </c>
      <c r="Q33" s="20">
        <f t="shared" si="6"/>
        <v>3</v>
      </c>
      <c r="R33" s="20" t="str">
        <f t="shared" si="7"/>
        <v>Se repite 3 veces el precio de 81</v>
      </c>
      <c r="S33" s="20" t="str">
        <f t="shared" si="8"/>
        <v>El producto Atun Florida Solido en aceite 6 oz X 48 Se repite 6 veces en Peru Chef, Se repite 3 veces el precio de 81</v>
      </c>
      <c r="T33" s="20" t="str">
        <f t="shared" si="9"/>
        <v>Peru Chef</v>
      </c>
      <c r="U33" s="20" t="str">
        <f t="shared" si="10"/>
        <v>Atun Florida Solido en aceite 6 oz X 48</v>
      </c>
      <c r="V33" s="22">
        <f t="shared" si="11"/>
        <v>81</v>
      </c>
      <c r="W33" t="str">
        <f t="shared" si="12"/>
        <v>Peru Chef 11/14/2025</v>
      </c>
      <c r="Z33">
        <f t="shared" si="13"/>
        <v>162</v>
      </c>
    </row>
    <row r="34" spans="1:26" hidden="1" x14ac:dyDescent="0.25">
      <c r="A34" s="2" t="s">
        <v>272</v>
      </c>
      <c r="B34" s="11" t="s">
        <v>619</v>
      </c>
      <c r="C34" s="11" t="s">
        <v>4</v>
      </c>
      <c r="D34" s="11" t="s">
        <v>621</v>
      </c>
      <c r="E34" s="11" t="s">
        <v>328</v>
      </c>
      <c r="F34" s="11" t="s">
        <v>461</v>
      </c>
      <c r="G34" s="12">
        <v>2</v>
      </c>
      <c r="H34" s="12">
        <v>81</v>
      </c>
      <c r="I34" s="12">
        <v>162</v>
      </c>
      <c r="J34" s="12">
        <v>38934.850000000006</v>
      </c>
      <c r="K34" s="20">
        <f t="shared" si="0"/>
        <v>6</v>
      </c>
      <c r="L34" s="20" t="str">
        <f t="shared" si="1"/>
        <v>Se repite 6 veces</v>
      </c>
      <c r="M34" s="20" t="str">
        <f t="shared" si="2"/>
        <v>Peru Chef-Atun Florida Solido en aceite 6 oz X 48</v>
      </c>
      <c r="N34" s="20">
        <f t="shared" si="3"/>
        <v>6</v>
      </c>
      <c r="O34" s="20" t="str">
        <f t="shared" si="4"/>
        <v>Se repite 6 veces en Peru Chef</v>
      </c>
      <c r="P34" s="20" t="str">
        <f t="shared" si="5"/>
        <v>Peru Chef-Atun Florida Solido en aceite 6 oz X 48-81</v>
      </c>
      <c r="Q34" s="20">
        <f t="shared" si="6"/>
        <v>3</v>
      </c>
      <c r="R34" s="20" t="str">
        <f t="shared" si="7"/>
        <v>Se repite 3 veces el precio de 81</v>
      </c>
      <c r="S34" s="20" t="str">
        <f t="shared" si="8"/>
        <v>El producto Atun Florida Solido en aceite 6 oz X 48 Se repite 6 veces en Peru Chef, Se repite 3 veces el precio de 81</v>
      </c>
      <c r="T34" s="20" t="str">
        <f t="shared" si="9"/>
        <v>Peru Chef</v>
      </c>
      <c r="U34" s="20" t="str">
        <f t="shared" si="10"/>
        <v>Atun Florida Solido en aceite 6 oz X 48</v>
      </c>
      <c r="V34" s="22">
        <f t="shared" si="11"/>
        <v>81</v>
      </c>
      <c r="W34" t="str">
        <f t="shared" si="12"/>
        <v>Peru Chef 12/09/2025</v>
      </c>
      <c r="Z34">
        <f t="shared" si="13"/>
        <v>162</v>
      </c>
    </row>
    <row r="35" spans="1:26" hidden="1" x14ac:dyDescent="0.25">
      <c r="A35" s="2" t="s">
        <v>18</v>
      </c>
      <c r="B35" s="11" t="s">
        <v>19</v>
      </c>
      <c r="C35" s="11" t="s">
        <v>4</v>
      </c>
      <c r="D35" s="11" t="s">
        <v>20</v>
      </c>
      <c r="E35" s="11" t="s">
        <v>146</v>
      </c>
      <c r="F35" s="11" t="s">
        <v>147</v>
      </c>
      <c r="G35" s="12">
        <v>1</v>
      </c>
      <c r="H35" s="12">
        <v>106</v>
      </c>
      <c r="I35" s="12">
        <v>106</v>
      </c>
      <c r="J35" s="12">
        <v>5468.44</v>
      </c>
      <c r="K35" s="20">
        <f t="shared" si="0"/>
        <v>2</v>
      </c>
      <c r="L35" s="20" t="str">
        <f t="shared" si="1"/>
        <v>Se repite 2 veces</v>
      </c>
      <c r="M35" s="20" t="str">
        <f t="shared" si="2"/>
        <v>Belmont International Trading Corp-Belmont Aceituna Bidon 104oz x 6</v>
      </c>
      <c r="N35" s="20">
        <f t="shared" si="3"/>
        <v>2</v>
      </c>
      <c r="O35" s="20" t="str">
        <f t="shared" si="4"/>
        <v>Se repite 2 veces en Belmont International Trading Corp</v>
      </c>
      <c r="P35" s="20" t="str">
        <f t="shared" si="5"/>
        <v>Belmont International Trading Corp-Belmont Aceituna Bidon 104oz x 6-106</v>
      </c>
      <c r="Q35" s="20">
        <f t="shared" si="6"/>
        <v>2</v>
      </c>
      <c r="R35" s="20" t="str">
        <f t="shared" si="7"/>
        <v>Se repite 2 veces el precio de 106</v>
      </c>
      <c r="S35" s="20" t="str">
        <f t="shared" si="8"/>
        <v>El producto Belmont Aceituna Bidon 104oz x 6 Se repite 2 veces en Belmont International Trading Corp, Se repite 2 veces el precio de 106</v>
      </c>
      <c r="T35" s="20" t="str">
        <f t="shared" si="9"/>
        <v>Belmont International Trading Corp</v>
      </c>
      <c r="U35" s="20" t="str">
        <f t="shared" si="10"/>
        <v>Belmont Aceituna Bidon 104oz x 6</v>
      </c>
      <c r="V35" s="22">
        <f t="shared" si="11"/>
        <v>106</v>
      </c>
      <c r="W35" t="str">
        <f t="shared" si="12"/>
        <v>Belmont International Trading Corp 04/28/2025</v>
      </c>
      <c r="Z35">
        <f t="shared" si="13"/>
        <v>106</v>
      </c>
    </row>
    <row r="36" spans="1:26" hidden="1" x14ac:dyDescent="0.25">
      <c r="A36" s="2" t="s">
        <v>18</v>
      </c>
      <c r="B36" s="11" t="s">
        <v>148</v>
      </c>
      <c r="C36" s="11" t="s">
        <v>4</v>
      </c>
      <c r="D36" s="11" t="s">
        <v>149</v>
      </c>
      <c r="E36" s="11" t="s">
        <v>146</v>
      </c>
      <c r="F36" s="11" t="s">
        <v>147</v>
      </c>
      <c r="G36" s="12">
        <v>4</v>
      </c>
      <c r="H36" s="12">
        <v>106</v>
      </c>
      <c r="I36" s="12">
        <v>424</v>
      </c>
      <c r="J36" s="12">
        <v>6973.74</v>
      </c>
      <c r="K36" s="20">
        <f t="shared" si="0"/>
        <v>2</v>
      </c>
      <c r="L36" s="20" t="str">
        <f t="shared" si="1"/>
        <v>Se repite 2 veces</v>
      </c>
      <c r="M36" s="20" t="str">
        <f t="shared" si="2"/>
        <v>Belmont International Trading Corp-Belmont Aceituna Bidon 104oz x 6</v>
      </c>
      <c r="N36" s="20">
        <f t="shared" si="3"/>
        <v>2</v>
      </c>
      <c r="O36" s="20" t="str">
        <f t="shared" si="4"/>
        <v>Se repite 2 veces en Belmont International Trading Corp</v>
      </c>
      <c r="P36" s="20" t="str">
        <f t="shared" si="5"/>
        <v>Belmont International Trading Corp-Belmont Aceituna Bidon 104oz x 6-106</v>
      </c>
      <c r="Q36" s="20">
        <f t="shared" si="6"/>
        <v>2</v>
      </c>
      <c r="R36" s="20" t="str">
        <f t="shared" si="7"/>
        <v>Se repite 2 veces el precio de 106</v>
      </c>
      <c r="S36" s="20" t="str">
        <f t="shared" si="8"/>
        <v>El producto Belmont Aceituna Bidon 104oz x 6 Se repite 2 veces en Belmont International Trading Corp, Se repite 2 veces el precio de 106</v>
      </c>
      <c r="T36" s="20" t="str">
        <f t="shared" si="9"/>
        <v>Belmont International Trading Corp</v>
      </c>
      <c r="U36" s="20" t="str">
        <f t="shared" si="10"/>
        <v>Belmont Aceituna Bidon 104oz x 6</v>
      </c>
      <c r="V36" s="22">
        <f t="shared" si="11"/>
        <v>106</v>
      </c>
      <c r="W36" t="str">
        <f t="shared" si="12"/>
        <v>Belmont International Trading Corp 05/16/2025</v>
      </c>
      <c r="Z36">
        <f t="shared" si="13"/>
        <v>424</v>
      </c>
    </row>
    <row r="37" spans="1:26" hidden="1" x14ac:dyDescent="0.25">
      <c r="A37" s="2" t="s">
        <v>18</v>
      </c>
      <c r="B37" s="11" t="s">
        <v>19</v>
      </c>
      <c r="C37" s="11" t="s">
        <v>4</v>
      </c>
      <c r="D37" s="11" t="s">
        <v>20</v>
      </c>
      <c r="E37" s="11" t="s">
        <v>110</v>
      </c>
      <c r="F37" s="11" t="s">
        <v>111</v>
      </c>
      <c r="G37" s="12">
        <v>2</v>
      </c>
      <c r="H37" s="12">
        <v>39</v>
      </c>
      <c r="I37" s="12">
        <v>78</v>
      </c>
      <c r="J37" s="12">
        <v>4746.8</v>
      </c>
      <c r="K37" s="20">
        <f t="shared" si="0"/>
        <v>2</v>
      </c>
      <c r="L37" s="20" t="str">
        <f t="shared" si="1"/>
        <v>Se repite 2 veces</v>
      </c>
      <c r="M37" s="20" t="str">
        <f t="shared" si="2"/>
        <v>Belmont International Trading Corp-Belmont Aceituna Botija 20oz x 12</v>
      </c>
      <c r="N37" s="20">
        <f t="shared" si="3"/>
        <v>2</v>
      </c>
      <c r="O37" s="20" t="str">
        <f t="shared" si="4"/>
        <v>Se repite 2 veces en Belmont International Trading Corp</v>
      </c>
      <c r="P37" s="20" t="str">
        <f t="shared" si="5"/>
        <v>Belmont International Trading Corp-Belmont Aceituna Botija 20oz x 12-39</v>
      </c>
      <c r="Q37" s="20">
        <f t="shared" si="6"/>
        <v>2</v>
      </c>
      <c r="R37" s="20" t="str">
        <f t="shared" si="7"/>
        <v>Se repite 2 veces el precio de 39</v>
      </c>
      <c r="S37" s="20" t="str">
        <f t="shared" si="8"/>
        <v>El producto Belmont Aceituna Botija 20oz x 12 Se repite 2 veces en Belmont International Trading Corp, Se repite 2 veces el precio de 39</v>
      </c>
      <c r="T37" s="20" t="str">
        <f t="shared" si="9"/>
        <v>Belmont International Trading Corp</v>
      </c>
      <c r="U37" s="20" t="str">
        <f t="shared" si="10"/>
        <v>Belmont Aceituna Botija 20oz x 12</v>
      </c>
      <c r="V37" s="22">
        <f t="shared" si="11"/>
        <v>39</v>
      </c>
      <c r="W37" t="str">
        <f t="shared" si="12"/>
        <v>Belmont International Trading Corp 04/28/2025</v>
      </c>
      <c r="Z37">
        <f t="shared" si="13"/>
        <v>78</v>
      </c>
    </row>
    <row r="38" spans="1:26" hidden="1" x14ac:dyDescent="0.25">
      <c r="A38" s="2" t="s">
        <v>18</v>
      </c>
      <c r="B38" s="11" t="s">
        <v>177</v>
      </c>
      <c r="C38" s="11" t="s">
        <v>4</v>
      </c>
      <c r="D38" s="11" t="s">
        <v>178</v>
      </c>
      <c r="E38" s="11" t="s">
        <v>110</v>
      </c>
      <c r="F38" s="11" t="s">
        <v>189</v>
      </c>
      <c r="G38" s="12">
        <v>2</v>
      </c>
      <c r="H38" s="12">
        <v>39</v>
      </c>
      <c r="I38" s="12">
        <v>78</v>
      </c>
      <c r="J38" s="12">
        <v>20440.04</v>
      </c>
      <c r="K38" s="20">
        <f t="shared" si="0"/>
        <v>2</v>
      </c>
      <c r="L38" s="20" t="str">
        <f t="shared" si="1"/>
        <v>Se repite 2 veces</v>
      </c>
      <c r="M38" s="20" t="str">
        <f t="shared" si="2"/>
        <v>Belmont International Trading Corp-Belmont Aceituna Botija 20oz x 12</v>
      </c>
      <c r="N38" s="20">
        <f t="shared" si="3"/>
        <v>2</v>
      </c>
      <c r="O38" s="20" t="str">
        <f t="shared" si="4"/>
        <v>Se repite 2 veces en Belmont International Trading Corp</v>
      </c>
      <c r="P38" s="20" t="str">
        <f t="shared" si="5"/>
        <v>Belmont International Trading Corp-Belmont Aceituna Botija 20oz x 12-39</v>
      </c>
      <c r="Q38" s="20">
        <f t="shared" si="6"/>
        <v>2</v>
      </c>
      <c r="R38" s="20" t="str">
        <f t="shared" si="7"/>
        <v>Se repite 2 veces el precio de 39</v>
      </c>
      <c r="S38" s="20" t="str">
        <f t="shared" si="8"/>
        <v>El producto Belmont Aceituna Botija 20oz x 12 Se repite 2 veces en Belmont International Trading Corp, Se repite 2 veces el precio de 39</v>
      </c>
      <c r="T38" s="20" t="str">
        <f t="shared" si="9"/>
        <v>Belmont International Trading Corp</v>
      </c>
      <c r="U38" s="20" t="str">
        <f t="shared" si="10"/>
        <v>Belmont Aceituna Botija 20oz x 12</v>
      </c>
      <c r="V38" s="22">
        <f t="shared" si="11"/>
        <v>39</v>
      </c>
      <c r="W38" t="str">
        <f t="shared" si="12"/>
        <v>Belmont International Trading Corp 10/20/2025</v>
      </c>
      <c r="Z38">
        <f t="shared" si="13"/>
        <v>78</v>
      </c>
    </row>
    <row r="39" spans="1:26" hidden="1" x14ac:dyDescent="0.25">
      <c r="A39" s="2" t="s">
        <v>18</v>
      </c>
      <c r="B39" s="11" t="s">
        <v>19</v>
      </c>
      <c r="C39" s="11" t="s">
        <v>4</v>
      </c>
      <c r="D39" s="11" t="s">
        <v>20</v>
      </c>
      <c r="E39" s="11" t="s">
        <v>114</v>
      </c>
      <c r="F39" s="11" t="s">
        <v>115</v>
      </c>
      <c r="G39" s="12">
        <v>1</v>
      </c>
      <c r="H39" s="12">
        <v>41</v>
      </c>
      <c r="I39" s="12">
        <v>41</v>
      </c>
      <c r="J39" s="12">
        <v>4811.3</v>
      </c>
      <c r="K39" s="20">
        <f t="shared" si="0"/>
        <v>2</v>
      </c>
      <c r="L39" s="20" t="str">
        <f t="shared" si="1"/>
        <v>Se repite 2 veces</v>
      </c>
      <c r="M39" s="20" t="str">
        <f t="shared" si="2"/>
        <v>Belmont International Trading Corp-Belmont Aderezo de Anticucho 16oz x 12</v>
      </c>
      <c r="N39" s="20">
        <f t="shared" si="3"/>
        <v>2</v>
      </c>
      <c r="O39" s="20" t="str">
        <f t="shared" si="4"/>
        <v>Se repite 2 veces en Belmont International Trading Corp</v>
      </c>
      <c r="P39" s="20" t="str">
        <f t="shared" si="5"/>
        <v>Belmont International Trading Corp-Belmont Aderezo de Anticucho 16oz x 12-41</v>
      </c>
      <c r="Q39" s="20">
        <f t="shared" si="6"/>
        <v>1</v>
      </c>
      <c r="R39" s="20" t="str">
        <f t="shared" si="7"/>
        <v>No se repite</v>
      </c>
      <c r="S39" s="20" t="str">
        <f t="shared" si="8"/>
        <v>El producto Belmont Aderezo de Anticucho 16oz x 12 Se repite 2 veces en Belmont International Trading Corp Una vez con el precio 41</v>
      </c>
      <c r="T39" s="20" t="str">
        <f t="shared" si="9"/>
        <v>Belmont International Trading Corp</v>
      </c>
      <c r="U39" s="20" t="str">
        <f t="shared" si="10"/>
        <v>Belmont Aderezo de Anticucho 16oz x 12</v>
      </c>
      <c r="V39" s="22">
        <f t="shared" si="11"/>
        <v>41</v>
      </c>
      <c r="W39" t="str">
        <f t="shared" si="12"/>
        <v>Belmont International Trading Corp 04/28/2025</v>
      </c>
      <c r="Z39">
        <f t="shared" si="13"/>
        <v>41</v>
      </c>
    </row>
    <row r="40" spans="1:26" hidden="1" x14ac:dyDescent="0.25">
      <c r="A40" s="2" t="s">
        <v>18</v>
      </c>
      <c r="B40" s="11" t="s">
        <v>177</v>
      </c>
      <c r="C40" s="11" t="s">
        <v>4</v>
      </c>
      <c r="D40" s="11" t="s">
        <v>178</v>
      </c>
      <c r="E40" s="11" t="s">
        <v>114</v>
      </c>
      <c r="F40" s="11" t="s">
        <v>115</v>
      </c>
      <c r="G40" s="12">
        <v>2</v>
      </c>
      <c r="H40" s="12">
        <v>45</v>
      </c>
      <c r="I40" s="12">
        <v>90</v>
      </c>
      <c r="J40" s="12">
        <v>20362.04</v>
      </c>
      <c r="K40" s="20">
        <f t="shared" si="0"/>
        <v>2</v>
      </c>
      <c r="L40" s="20" t="str">
        <f t="shared" si="1"/>
        <v>Se repite 2 veces</v>
      </c>
      <c r="M40" s="20" t="str">
        <f t="shared" si="2"/>
        <v>Belmont International Trading Corp-Belmont Aderezo de Anticucho 16oz x 12</v>
      </c>
      <c r="N40" s="20">
        <f t="shared" si="3"/>
        <v>2</v>
      </c>
      <c r="O40" s="20" t="str">
        <f t="shared" si="4"/>
        <v>Se repite 2 veces en Belmont International Trading Corp</v>
      </c>
      <c r="P40" s="20" t="str">
        <f t="shared" si="5"/>
        <v>Belmont International Trading Corp-Belmont Aderezo de Anticucho 16oz x 12-45</v>
      </c>
      <c r="Q40" s="20">
        <f t="shared" si="6"/>
        <v>1</v>
      </c>
      <c r="R40" s="20" t="str">
        <f t="shared" si="7"/>
        <v>No se repite</v>
      </c>
      <c r="S40" s="20" t="str">
        <f t="shared" si="8"/>
        <v>El producto Belmont Aderezo de Anticucho 16oz x 12 Se repite 2 veces en Belmont International Trading Corp Una vez con el precio 45</v>
      </c>
      <c r="T40" s="20" t="str">
        <f t="shared" si="9"/>
        <v>Belmont International Trading Corp</v>
      </c>
      <c r="U40" s="20" t="str">
        <f t="shared" si="10"/>
        <v>Belmont Aderezo de Anticucho 16oz x 12</v>
      </c>
      <c r="V40" s="22">
        <f t="shared" si="11"/>
        <v>45</v>
      </c>
      <c r="W40" t="str">
        <f t="shared" si="12"/>
        <v>Belmont International Trading Corp 10/20/2025</v>
      </c>
      <c r="Z40">
        <f t="shared" si="13"/>
        <v>90</v>
      </c>
    </row>
    <row r="41" spans="1:26" hidden="1" x14ac:dyDescent="0.25">
      <c r="A41" s="2" t="s">
        <v>18</v>
      </c>
      <c r="B41" s="11" t="s">
        <v>177</v>
      </c>
      <c r="C41" s="11" t="s">
        <v>4</v>
      </c>
      <c r="D41" s="11" t="s">
        <v>178</v>
      </c>
      <c r="E41" s="11" t="s">
        <v>181</v>
      </c>
      <c r="F41" s="11" t="s">
        <v>182</v>
      </c>
      <c r="G41" s="12">
        <v>3</v>
      </c>
      <c r="H41" s="12">
        <v>30.9</v>
      </c>
      <c r="I41" s="12">
        <v>92.7</v>
      </c>
      <c r="J41" s="12">
        <v>18168.14</v>
      </c>
      <c r="K41" s="20">
        <f t="shared" si="0"/>
        <v>1</v>
      </c>
      <c r="L41" s="20" t="str">
        <f t="shared" si="1"/>
        <v>No se repite</v>
      </c>
      <c r="M41" s="20" t="str">
        <f t="shared" si="2"/>
        <v>Belmont International Trading Corp-Belmont Aji Amarillo desvenado FROZEN  12oz  x 10</v>
      </c>
      <c r="N41" s="20">
        <f t="shared" si="3"/>
        <v>1</v>
      </c>
      <c r="O41" s="20" t="str">
        <f t="shared" si="4"/>
        <v>No se repite en proveedor</v>
      </c>
      <c r="P41" s="20" t="str">
        <f t="shared" si="5"/>
        <v>Belmont International Trading Corp-Belmont Aji Amarillo desvenado FROZEN  12oz  x 10-30.9</v>
      </c>
      <c r="Q41" s="20">
        <f t="shared" si="6"/>
        <v>1</v>
      </c>
      <c r="R41" s="20" t="str">
        <f t="shared" si="7"/>
        <v>No se repite</v>
      </c>
      <c r="S41" s="20" t="str">
        <f t="shared" si="8"/>
        <v>El producto Belmont Aji Amarillo desvenado FROZEN  12oz  x 10 No se repite en proveedor Una vez con el precio 30.9</v>
      </c>
      <c r="T41" s="20" t="str">
        <f t="shared" si="9"/>
        <v>Belmont International Trading Corp</v>
      </c>
      <c r="U41" s="20" t="str">
        <f t="shared" si="10"/>
        <v>Belmont Aji Amarillo desvenado FROZEN  12oz  x 10</v>
      </c>
      <c r="V41" s="22">
        <f t="shared" si="11"/>
        <v>30.9</v>
      </c>
      <c r="W41" t="str">
        <f t="shared" si="12"/>
        <v>Belmont International Trading Corp 10/20/2025</v>
      </c>
      <c r="Z41">
        <f t="shared" si="13"/>
        <v>92.699999999999989</v>
      </c>
    </row>
    <row r="42" spans="1:26" hidden="1" x14ac:dyDescent="0.25">
      <c r="A42" s="2" t="s">
        <v>18</v>
      </c>
      <c r="B42" s="11" t="s">
        <v>177</v>
      </c>
      <c r="C42" s="11" t="s">
        <v>4</v>
      </c>
      <c r="D42" s="11" t="s">
        <v>178</v>
      </c>
      <c r="E42" s="11" t="s">
        <v>179</v>
      </c>
      <c r="F42" s="11" t="s">
        <v>180</v>
      </c>
      <c r="G42" s="12">
        <v>5</v>
      </c>
      <c r="H42" s="12">
        <v>56</v>
      </c>
      <c r="I42" s="12">
        <v>280</v>
      </c>
      <c r="J42" s="12">
        <v>18075.439999999999</v>
      </c>
      <c r="K42" s="20">
        <f t="shared" si="0"/>
        <v>1</v>
      </c>
      <c r="L42" s="20" t="str">
        <f t="shared" si="1"/>
        <v>No se repite</v>
      </c>
      <c r="M42" s="20" t="str">
        <f t="shared" si="2"/>
        <v>Belmont International Trading Corp-Belmont Aji Amarillo desvenado FROZEN  2Lb x 8</v>
      </c>
      <c r="N42" s="20">
        <f t="shared" si="3"/>
        <v>1</v>
      </c>
      <c r="O42" s="20" t="str">
        <f t="shared" si="4"/>
        <v>No se repite en proveedor</v>
      </c>
      <c r="P42" s="20" t="str">
        <f t="shared" si="5"/>
        <v>Belmont International Trading Corp-Belmont Aji Amarillo desvenado FROZEN  2Lb x 8-56</v>
      </c>
      <c r="Q42" s="20">
        <f t="shared" si="6"/>
        <v>1</v>
      </c>
      <c r="R42" s="20" t="str">
        <f t="shared" si="7"/>
        <v>No se repite</v>
      </c>
      <c r="S42" s="20" t="str">
        <f t="shared" si="8"/>
        <v>El producto Belmont Aji Amarillo desvenado FROZEN  2Lb x 8 No se repite en proveedor Una vez con el precio 56</v>
      </c>
      <c r="T42" s="20" t="str">
        <f t="shared" si="9"/>
        <v>Belmont International Trading Corp</v>
      </c>
      <c r="U42" s="20" t="str">
        <f t="shared" si="10"/>
        <v>Belmont Aji Amarillo desvenado FROZEN  2Lb x 8</v>
      </c>
      <c r="V42" s="22">
        <f t="shared" si="11"/>
        <v>56</v>
      </c>
      <c r="W42" t="str">
        <f t="shared" si="12"/>
        <v>Belmont International Trading Corp 10/20/2025</v>
      </c>
      <c r="Z42">
        <f t="shared" si="13"/>
        <v>280</v>
      </c>
    </row>
    <row r="43" spans="1:26" hidden="1" x14ac:dyDescent="0.25">
      <c r="A43" s="2" t="s">
        <v>18</v>
      </c>
      <c r="B43" s="11" t="s">
        <v>19</v>
      </c>
      <c r="C43" s="11" t="s">
        <v>4</v>
      </c>
      <c r="D43" s="11" t="s">
        <v>20</v>
      </c>
      <c r="E43" s="11" t="s">
        <v>144</v>
      </c>
      <c r="F43" s="11" t="s">
        <v>145</v>
      </c>
      <c r="G43" s="12">
        <v>1</v>
      </c>
      <c r="H43" s="12">
        <v>36.75</v>
      </c>
      <c r="I43" s="12">
        <v>36.75</v>
      </c>
      <c r="J43" s="12">
        <v>5396.44</v>
      </c>
      <c r="K43" s="20">
        <f t="shared" si="0"/>
        <v>1</v>
      </c>
      <c r="L43" s="20" t="str">
        <f t="shared" si="1"/>
        <v>No se repite</v>
      </c>
      <c r="M43" s="20" t="str">
        <f t="shared" si="2"/>
        <v>Belmont International Trading Corp-Belmont Aji Amarillo en Salmuera 20oz x 12</v>
      </c>
      <c r="N43" s="20">
        <f t="shared" si="3"/>
        <v>1</v>
      </c>
      <c r="O43" s="20" t="str">
        <f t="shared" si="4"/>
        <v>No se repite en proveedor</v>
      </c>
      <c r="P43" s="20" t="str">
        <f t="shared" si="5"/>
        <v>Belmont International Trading Corp-Belmont Aji Amarillo en Salmuera 20oz x 12-36.75</v>
      </c>
      <c r="Q43" s="20">
        <f t="shared" si="6"/>
        <v>1</v>
      </c>
      <c r="R43" s="20" t="str">
        <f t="shared" si="7"/>
        <v>No se repite</v>
      </c>
      <c r="S43" s="20" t="str">
        <f t="shared" si="8"/>
        <v>El producto Belmont Aji Amarillo en Salmuera 20oz x 12 No se repite en proveedor Una vez con el precio 36.75</v>
      </c>
      <c r="T43" s="20" t="str">
        <f t="shared" si="9"/>
        <v>Belmont International Trading Corp</v>
      </c>
      <c r="U43" s="20" t="str">
        <f t="shared" si="10"/>
        <v>Belmont Aji Amarillo en Salmuera 20oz x 12</v>
      </c>
      <c r="V43" s="22">
        <f t="shared" si="11"/>
        <v>36.75</v>
      </c>
      <c r="W43" t="str">
        <f t="shared" si="12"/>
        <v>Belmont International Trading Corp 04/28/2025</v>
      </c>
      <c r="Z43">
        <f t="shared" si="13"/>
        <v>36.75</v>
      </c>
    </row>
    <row r="44" spans="1:26" hidden="1" x14ac:dyDescent="0.25">
      <c r="A44" s="2" t="s">
        <v>18</v>
      </c>
      <c r="B44" s="11" t="s">
        <v>19</v>
      </c>
      <c r="C44" s="11" t="s">
        <v>4</v>
      </c>
      <c r="D44" s="11" t="s">
        <v>20</v>
      </c>
      <c r="E44" s="11" t="s">
        <v>25</v>
      </c>
      <c r="F44" s="11" t="s">
        <v>26</v>
      </c>
      <c r="G44" s="12">
        <v>6</v>
      </c>
      <c r="H44" s="12">
        <v>45</v>
      </c>
      <c r="I44" s="12">
        <v>270</v>
      </c>
      <c r="J44" s="12">
        <v>372</v>
      </c>
      <c r="K44" s="20">
        <f t="shared" si="0"/>
        <v>2</v>
      </c>
      <c r="L44" s="20" t="str">
        <f t="shared" si="1"/>
        <v>Se repite 2 veces</v>
      </c>
      <c r="M44" s="20" t="str">
        <f t="shared" si="2"/>
        <v>Belmont International Trading Corp-Belmont Aji Amarillo entero 1Lb x 18 FROZEN</v>
      </c>
      <c r="N44" s="20">
        <f t="shared" si="3"/>
        <v>2</v>
      </c>
      <c r="O44" s="20" t="str">
        <f t="shared" si="4"/>
        <v>Se repite 2 veces en Belmont International Trading Corp</v>
      </c>
      <c r="P44" s="20" t="str">
        <f t="shared" si="5"/>
        <v>Belmont International Trading Corp-Belmont Aji Amarillo entero 1Lb x 18 FROZEN-45</v>
      </c>
      <c r="Q44" s="20">
        <f t="shared" si="6"/>
        <v>2</v>
      </c>
      <c r="R44" s="20" t="str">
        <f t="shared" si="7"/>
        <v>Se repite 2 veces el precio de 45</v>
      </c>
      <c r="S44" s="20" t="str">
        <f t="shared" si="8"/>
        <v>El producto Belmont Aji Amarillo entero 1Lb x 18 FROZEN Se repite 2 veces en Belmont International Trading Corp, Se repite 2 veces el precio de 45</v>
      </c>
      <c r="T44" s="20" t="str">
        <f t="shared" si="9"/>
        <v>Belmont International Trading Corp</v>
      </c>
      <c r="U44" s="20" t="str">
        <f t="shared" si="10"/>
        <v>Belmont Aji Amarillo entero 1Lb x 18 FROZEN</v>
      </c>
      <c r="V44" s="22">
        <f t="shared" si="11"/>
        <v>45</v>
      </c>
      <c r="W44" t="str">
        <f t="shared" si="12"/>
        <v>Belmont International Trading Corp 04/28/2025</v>
      </c>
      <c r="Z44">
        <f t="shared" si="13"/>
        <v>270</v>
      </c>
    </row>
    <row r="45" spans="1:26" hidden="1" x14ac:dyDescent="0.25">
      <c r="A45" s="2" t="s">
        <v>18</v>
      </c>
      <c r="B45" s="11" t="s">
        <v>158</v>
      </c>
      <c r="C45" s="11" t="s">
        <v>4</v>
      </c>
      <c r="D45" s="11" t="s">
        <v>159</v>
      </c>
      <c r="E45" s="11" t="s">
        <v>25</v>
      </c>
      <c r="F45" s="11" t="s">
        <v>26</v>
      </c>
      <c r="G45" s="12">
        <v>1</v>
      </c>
      <c r="H45" s="12">
        <v>45</v>
      </c>
      <c r="I45" s="12">
        <v>45</v>
      </c>
      <c r="J45" s="12">
        <v>11899.64</v>
      </c>
      <c r="K45" s="20">
        <f t="shared" si="0"/>
        <v>2</v>
      </c>
      <c r="L45" s="20" t="str">
        <f t="shared" si="1"/>
        <v>Se repite 2 veces</v>
      </c>
      <c r="M45" s="20" t="str">
        <f t="shared" si="2"/>
        <v>Belmont International Trading Corp-Belmont Aji Amarillo entero 1Lb x 18 FROZEN</v>
      </c>
      <c r="N45" s="20">
        <f t="shared" si="3"/>
        <v>2</v>
      </c>
      <c r="O45" s="20" t="str">
        <f t="shared" si="4"/>
        <v>Se repite 2 veces en Belmont International Trading Corp</v>
      </c>
      <c r="P45" s="20" t="str">
        <f t="shared" si="5"/>
        <v>Belmont International Trading Corp-Belmont Aji Amarillo entero 1Lb x 18 FROZEN-45</v>
      </c>
      <c r="Q45" s="20">
        <f t="shared" si="6"/>
        <v>2</v>
      </c>
      <c r="R45" s="20" t="str">
        <f t="shared" si="7"/>
        <v>Se repite 2 veces el precio de 45</v>
      </c>
      <c r="S45" s="20" t="str">
        <f t="shared" si="8"/>
        <v>El producto Belmont Aji Amarillo entero 1Lb x 18 FROZEN Se repite 2 veces en Belmont International Trading Corp, Se repite 2 veces el precio de 45</v>
      </c>
      <c r="T45" s="20" t="str">
        <f t="shared" si="9"/>
        <v>Belmont International Trading Corp</v>
      </c>
      <c r="U45" s="20" t="str">
        <f t="shared" si="10"/>
        <v>Belmont Aji Amarillo entero 1Lb x 18 FROZEN</v>
      </c>
      <c r="V45" s="22">
        <f t="shared" si="11"/>
        <v>45</v>
      </c>
      <c r="W45" t="str">
        <f t="shared" si="12"/>
        <v>Belmont International Trading Corp 06/12/2025</v>
      </c>
      <c r="Y45" s="27"/>
      <c r="Z45">
        <f t="shared" si="13"/>
        <v>45</v>
      </c>
    </row>
    <row r="46" spans="1:26" hidden="1" x14ac:dyDescent="0.25">
      <c r="A46" s="2" t="s">
        <v>18</v>
      </c>
      <c r="B46" s="11" t="s">
        <v>177</v>
      </c>
      <c r="C46" s="11" t="s">
        <v>4</v>
      </c>
      <c r="D46" s="11" t="s">
        <v>178</v>
      </c>
      <c r="E46" s="11" t="s">
        <v>185</v>
      </c>
      <c r="F46" s="11" t="s">
        <v>186</v>
      </c>
      <c r="G46" s="12">
        <v>1</v>
      </c>
      <c r="H46" s="12">
        <v>44</v>
      </c>
      <c r="I46" s="12">
        <v>44</v>
      </c>
      <c r="J46" s="12">
        <v>20228.04</v>
      </c>
      <c r="K46" s="20">
        <f t="shared" si="0"/>
        <v>1</v>
      </c>
      <c r="L46" s="20" t="str">
        <f t="shared" si="1"/>
        <v>No se repite</v>
      </c>
      <c r="M46" s="20" t="str">
        <f t="shared" si="2"/>
        <v>Belmont International Trading Corp-Belmont Aji Amarillo pasta 16oz x 12</v>
      </c>
      <c r="N46" s="20">
        <f t="shared" si="3"/>
        <v>1</v>
      </c>
      <c r="O46" s="20" t="str">
        <f t="shared" si="4"/>
        <v>No se repite en proveedor</v>
      </c>
      <c r="P46" s="20" t="str">
        <f t="shared" si="5"/>
        <v>Belmont International Trading Corp-Belmont Aji Amarillo pasta 16oz x 12-44</v>
      </c>
      <c r="Q46" s="20">
        <f t="shared" si="6"/>
        <v>1</v>
      </c>
      <c r="R46" s="20" t="str">
        <f t="shared" si="7"/>
        <v>No se repite</v>
      </c>
      <c r="S46" s="20" t="str">
        <f t="shared" si="8"/>
        <v>El producto Belmont Aji Amarillo pasta 16oz x 12 No se repite en proveedor Una vez con el precio 44</v>
      </c>
      <c r="T46" s="20" t="str">
        <f t="shared" si="9"/>
        <v>Belmont International Trading Corp</v>
      </c>
      <c r="U46" s="20" t="str">
        <f t="shared" si="10"/>
        <v>Belmont Aji Amarillo pasta 16oz x 12</v>
      </c>
      <c r="V46" s="22">
        <f t="shared" si="11"/>
        <v>44</v>
      </c>
      <c r="W46" t="str">
        <f t="shared" si="12"/>
        <v>Belmont International Trading Corp 10/20/2025</v>
      </c>
      <c r="Z46">
        <f t="shared" si="13"/>
        <v>44</v>
      </c>
    </row>
    <row r="47" spans="1:26" hidden="1" x14ac:dyDescent="0.25">
      <c r="A47" s="2" t="s">
        <v>18</v>
      </c>
      <c r="B47" s="11" t="s">
        <v>19</v>
      </c>
      <c r="C47" s="11" t="s">
        <v>4</v>
      </c>
      <c r="D47" s="11" t="s">
        <v>20</v>
      </c>
      <c r="E47" s="11" t="s">
        <v>31</v>
      </c>
      <c r="F47" s="11" t="s">
        <v>32</v>
      </c>
      <c r="G47" s="12">
        <v>3</v>
      </c>
      <c r="H47" s="12">
        <v>23.5</v>
      </c>
      <c r="I47" s="12">
        <v>70.5</v>
      </c>
      <c r="J47" s="12">
        <v>898.4</v>
      </c>
      <c r="K47" s="20">
        <f t="shared" si="0"/>
        <v>1</v>
      </c>
      <c r="L47" s="20" t="str">
        <f t="shared" si="1"/>
        <v>No se repite</v>
      </c>
      <c r="M47" s="20" t="str">
        <f t="shared" si="2"/>
        <v>Belmont International Trading Corp-Belmont Aji Amarillo pasta 8oz x 12</v>
      </c>
      <c r="N47" s="20">
        <f t="shared" si="3"/>
        <v>1</v>
      </c>
      <c r="O47" s="20" t="str">
        <f t="shared" si="4"/>
        <v>No se repite en proveedor</v>
      </c>
      <c r="P47" s="20" t="str">
        <f t="shared" si="5"/>
        <v>Belmont International Trading Corp-Belmont Aji Amarillo pasta 8oz x 12-23.5</v>
      </c>
      <c r="Q47" s="20">
        <f t="shared" si="6"/>
        <v>1</v>
      </c>
      <c r="R47" s="20" t="str">
        <f t="shared" si="7"/>
        <v>No se repite</v>
      </c>
      <c r="S47" s="20" t="str">
        <f t="shared" si="8"/>
        <v>El producto Belmont Aji Amarillo pasta 8oz x 12 No se repite en proveedor Una vez con el precio 23.5</v>
      </c>
      <c r="T47" s="20" t="str">
        <f t="shared" si="9"/>
        <v>Belmont International Trading Corp</v>
      </c>
      <c r="U47" s="20" t="str">
        <f t="shared" si="10"/>
        <v>Belmont Aji Amarillo pasta 8oz x 12</v>
      </c>
      <c r="V47" s="22">
        <f t="shared" si="11"/>
        <v>23.5</v>
      </c>
      <c r="W47" t="str">
        <f t="shared" si="12"/>
        <v>Belmont International Trading Corp 04/28/2025</v>
      </c>
      <c r="Z47">
        <f t="shared" si="13"/>
        <v>70.5</v>
      </c>
    </row>
    <row r="48" spans="1:26" hidden="1" x14ac:dyDescent="0.25">
      <c r="A48" s="2" t="s">
        <v>18</v>
      </c>
      <c r="B48" s="11" t="s">
        <v>19</v>
      </c>
      <c r="C48" s="11" t="s">
        <v>4</v>
      </c>
      <c r="D48" s="11" t="s">
        <v>20</v>
      </c>
      <c r="E48" s="11" t="s">
        <v>29</v>
      </c>
      <c r="F48" s="11" t="s">
        <v>30</v>
      </c>
      <c r="G48" s="12">
        <v>1</v>
      </c>
      <c r="H48" s="12">
        <v>20.9</v>
      </c>
      <c r="I48" s="12">
        <v>20.9</v>
      </c>
      <c r="J48" s="12">
        <v>827.9</v>
      </c>
      <c r="K48" s="20">
        <f t="shared" si="0"/>
        <v>2</v>
      </c>
      <c r="L48" s="20" t="str">
        <f t="shared" si="1"/>
        <v>Se repite 2 veces</v>
      </c>
      <c r="M48" s="20" t="str">
        <f t="shared" si="2"/>
        <v>Belmont International Trading Corp-Belmont Aji Limo 14oz x 9 FROZEN</v>
      </c>
      <c r="N48" s="20">
        <f t="shared" si="3"/>
        <v>2</v>
      </c>
      <c r="O48" s="20" t="str">
        <f t="shared" si="4"/>
        <v>Se repite 2 veces en Belmont International Trading Corp</v>
      </c>
      <c r="P48" s="20" t="str">
        <f t="shared" si="5"/>
        <v>Belmont International Trading Corp-Belmont Aji Limo 14oz x 9 FROZEN-20.9</v>
      </c>
      <c r="Q48" s="20">
        <f t="shared" si="6"/>
        <v>2</v>
      </c>
      <c r="R48" s="20" t="str">
        <f t="shared" si="7"/>
        <v>Se repite 2 veces el precio de 20.9</v>
      </c>
      <c r="S48" s="20" t="str">
        <f t="shared" si="8"/>
        <v>El producto Belmont Aji Limo 14oz x 9 FROZEN Se repite 2 veces en Belmont International Trading Corp, Se repite 2 veces el precio de 20.9</v>
      </c>
      <c r="T48" s="20" t="str">
        <f t="shared" si="9"/>
        <v>Belmont International Trading Corp</v>
      </c>
      <c r="U48" s="20" t="str">
        <f t="shared" si="10"/>
        <v>Belmont Aji Limo 14oz x 9 FROZEN</v>
      </c>
      <c r="V48" s="22">
        <f t="shared" si="11"/>
        <v>20.9</v>
      </c>
      <c r="W48" t="str">
        <f t="shared" si="12"/>
        <v>Belmont International Trading Corp 04/28/2025</v>
      </c>
      <c r="Z48">
        <f t="shared" si="13"/>
        <v>20.9</v>
      </c>
    </row>
    <row r="49" spans="1:26" hidden="1" x14ac:dyDescent="0.25">
      <c r="A49" s="2" t="s">
        <v>18</v>
      </c>
      <c r="B49" s="11" t="s">
        <v>148</v>
      </c>
      <c r="C49" s="11" t="s">
        <v>4</v>
      </c>
      <c r="D49" s="11" t="s">
        <v>149</v>
      </c>
      <c r="E49" s="11" t="s">
        <v>29</v>
      </c>
      <c r="F49" s="11" t="s">
        <v>30</v>
      </c>
      <c r="G49" s="12">
        <v>6</v>
      </c>
      <c r="H49" s="12">
        <v>20.9</v>
      </c>
      <c r="I49" s="12">
        <v>125.4</v>
      </c>
      <c r="J49" s="12">
        <v>6243.74</v>
      </c>
      <c r="K49" s="20">
        <f t="shared" si="0"/>
        <v>2</v>
      </c>
      <c r="L49" s="20" t="str">
        <f t="shared" si="1"/>
        <v>Se repite 2 veces</v>
      </c>
      <c r="M49" s="20" t="str">
        <f t="shared" si="2"/>
        <v>Belmont International Trading Corp-Belmont Aji Limo 14oz x 9 FROZEN</v>
      </c>
      <c r="N49" s="20">
        <f t="shared" si="3"/>
        <v>2</v>
      </c>
      <c r="O49" s="20" t="str">
        <f t="shared" si="4"/>
        <v>Se repite 2 veces en Belmont International Trading Corp</v>
      </c>
      <c r="P49" s="20" t="str">
        <f t="shared" si="5"/>
        <v>Belmont International Trading Corp-Belmont Aji Limo 14oz x 9 FROZEN-20.9</v>
      </c>
      <c r="Q49" s="20">
        <f t="shared" si="6"/>
        <v>2</v>
      </c>
      <c r="R49" s="20" t="str">
        <f t="shared" si="7"/>
        <v>Se repite 2 veces el precio de 20.9</v>
      </c>
      <c r="S49" s="20" t="str">
        <f t="shared" si="8"/>
        <v>El producto Belmont Aji Limo 14oz x 9 FROZEN Se repite 2 veces en Belmont International Trading Corp, Se repite 2 veces el precio de 20.9</v>
      </c>
      <c r="T49" s="20" t="str">
        <f t="shared" si="9"/>
        <v>Belmont International Trading Corp</v>
      </c>
      <c r="U49" s="20" t="str">
        <f t="shared" si="10"/>
        <v>Belmont Aji Limo 14oz x 9 FROZEN</v>
      </c>
      <c r="V49" s="22">
        <f t="shared" si="11"/>
        <v>20.9</v>
      </c>
      <c r="W49" t="str">
        <f t="shared" si="12"/>
        <v>Belmont International Trading Corp 05/16/2025</v>
      </c>
      <c r="Z49">
        <f t="shared" si="13"/>
        <v>125.39999999999999</v>
      </c>
    </row>
    <row r="50" spans="1:26" hidden="1" x14ac:dyDescent="0.25">
      <c r="A50" s="2" t="s">
        <v>18</v>
      </c>
      <c r="B50" s="11" t="s">
        <v>177</v>
      </c>
      <c r="C50" s="11" t="s">
        <v>4</v>
      </c>
      <c r="D50" s="11" t="s">
        <v>178</v>
      </c>
      <c r="E50" s="11" t="s">
        <v>187</v>
      </c>
      <c r="F50" s="11" t="s">
        <v>188</v>
      </c>
      <c r="G50" s="12">
        <v>1</v>
      </c>
      <c r="H50" s="12">
        <v>44</v>
      </c>
      <c r="I50" s="12">
        <v>44</v>
      </c>
      <c r="J50" s="12">
        <v>20272.04</v>
      </c>
      <c r="K50" s="20">
        <f t="shared" si="0"/>
        <v>1</v>
      </c>
      <c r="L50" s="20" t="str">
        <f t="shared" si="1"/>
        <v>No se repite</v>
      </c>
      <c r="M50" s="20" t="str">
        <f t="shared" si="2"/>
        <v>Belmont International Trading Corp-Belmont Aji Panca pasta 16Oz x 12</v>
      </c>
      <c r="N50" s="20">
        <f t="shared" si="3"/>
        <v>1</v>
      </c>
      <c r="O50" s="20" t="str">
        <f t="shared" si="4"/>
        <v>No se repite en proveedor</v>
      </c>
      <c r="P50" s="20" t="str">
        <f t="shared" si="5"/>
        <v>Belmont International Trading Corp-Belmont Aji Panca pasta 16Oz x 12-44</v>
      </c>
      <c r="Q50" s="20">
        <f t="shared" si="6"/>
        <v>1</v>
      </c>
      <c r="R50" s="20" t="str">
        <f t="shared" si="7"/>
        <v>No se repite</v>
      </c>
      <c r="S50" s="20" t="str">
        <f t="shared" si="8"/>
        <v>El producto Belmont Aji Panca pasta 16Oz x 12 No se repite en proveedor Una vez con el precio 44</v>
      </c>
      <c r="T50" s="20" t="str">
        <f t="shared" si="9"/>
        <v>Belmont International Trading Corp</v>
      </c>
      <c r="U50" s="20" t="str">
        <f t="shared" si="10"/>
        <v>Belmont Aji Panca pasta 16Oz x 12</v>
      </c>
      <c r="V50" s="22">
        <f t="shared" si="11"/>
        <v>44</v>
      </c>
      <c r="W50" t="str">
        <f t="shared" si="12"/>
        <v>Belmont International Trading Corp 10/20/2025</v>
      </c>
      <c r="Z50">
        <f t="shared" si="13"/>
        <v>44</v>
      </c>
    </row>
    <row r="51" spans="1:26" hidden="1" x14ac:dyDescent="0.25">
      <c r="A51" s="2" t="s">
        <v>18</v>
      </c>
      <c r="B51" s="11" t="s">
        <v>19</v>
      </c>
      <c r="C51" s="11" t="s">
        <v>4</v>
      </c>
      <c r="D51" s="11" t="s">
        <v>20</v>
      </c>
      <c r="E51" s="11" t="s">
        <v>33</v>
      </c>
      <c r="F51" s="11" t="s">
        <v>34</v>
      </c>
      <c r="G51" s="12">
        <v>2</v>
      </c>
      <c r="H51" s="12">
        <v>23.5</v>
      </c>
      <c r="I51" s="12">
        <v>47</v>
      </c>
      <c r="J51" s="12">
        <v>945.4</v>
      </c>
      <c r="K51" s="20">
        <f t="shared" si="0"/>
        <v>1</v>
      </c>
      <c r="L51" s="20" t="str">
        <f t="shared" si="1"/>
        <v>No se repite</v>
      </c>
      <c r="M51" s="20" t="str">
        <f t="shared" si="2"/>
        <v>Belmont International Trading Corp-Belmont Aji Panca pasta 8oz x 12</v>
      </c>
      <c r="N51" s="20">
        <f t="shared" si="3"/>
        <v>1</v>
      </c>
      <c r="O51" s="20" t="str">
        <f t="shared" si="4"/>
        <v>No se repite en proveedor</v>
      </c>
      <c r="P51" s="20" t="str">
        <f t="shared" si="5"/>
        <v>Belmont International Trading Corp-Belmont Aji Panca pasta 8oz x 12-23.5</v>
      </c>
      <c r="Q51" s="20">
        <f t="shared" si="6"/>
        <v>1</v>
      </c>
      <c r="R51" s="20" t="str">
        <f t="shared" si="7"/>
        <v>No se repite</v>
      </c>
      <c r="S51" s="20" t="str">
        <f t="shared" si="8"/>
        <v>El producto Belmont Aji Panca pasta 8oz x 12 No se repite en proveedor Una vez con el precio 23.5</v>
      </c>
      <c r="T51" s="20" t="str">
        <f t="shared" si="9"/>
        <v>Belmont International Trading Corp</v>
      </c>
      <c r="U51" s="20" t="str">
        <f t="shared" si="10"/>
        <v>Belmont Aji Panca pasta 8oz x 12</v>
      </c>
      <c r="V51" s="22">
        <f t="shared" si="11"/>
        <v>23.5</v>
      </c>
      <c r="W51" t="str">
        <f t="shared" si="12"/>
        <v>Belmont International Trading Corp 04/28/2025</v>
      </c>
      <c r="Z51">
        <f t="shared" si="13"/>
        <v>47</v>
      </c>
    </row>
    <row r="52" spans="1:26" hidden="1" x14ac:dyDescent="0.25">
      <c r="A52" s="2" t="s">
        <v>18</v>
      </c>
      <c r="B52" s="11" t="s">
        <v>158</v>
      </c>
      <c r="C52" s="11" t="s">
        <v>4</v>
      </c>
      <c r="D52" s="11" t="s">
        <v>159</v>
      </c>
      <c r="E52" s="11" t="s">
        <v>166</v>
      </c>
      <c r="F52" s="11" t="s">
        <v>167</v>
      </c>
      <c r="G52" s="12">
        <v>6</v>
      </c>
      <c r="H52" s="12">
        <v>20.166599999999999</v>
      </c>
      <c r="I52" s="12">
        <v>121</v>
      </c>
      <c r="J52" s="12">
        <v>12925.74</v>
      </c>
      <c r="K52" s="20">
        <f t="shared" si="0"/>
        <v>1</v>
      </c>
      <c r="L52" s="20" t="str">
        <f t="shared" si="1"/>
        <v>No se repite</v>
      </c>
      <c r="M52" s="20" t="str">
        <f t="shared" si="2"/>
        <v>Belmont International Trading Corp-Belmont Aji Panca pasta Bidon 7Lb</v>
      </c>
      <c r="N52" s="20">
        <f t="shared" si="3"/>
        <v>1</v>
      </c>
      <c r="O52" s="20" t="str">
        <f t="shared" si="4"/>
        <v>No se repite en proveedor</v>
      </c>
      <c r="P52" s="20" t="str">
        <f t="shared" si="5"/>
        <v>Belmont International Trading Corp-Belmont Aji Panca pasta Bidon 7Lb-20.1666</v>
      </c>
      <c r="Q52" s="20">
        <f t="shared" si="6"/>
        <v>1</v>
      </c>
      <c r="R52" s="20" t="str">
        <f t="shared" si="7"/>
        <v>No se repite</v>
      </c>
      <c r="S52" s="20" t="str">
        <f t="shared" si="8"/>
        <v>El producto Belmont Aji Panca pasta Bidon 7Lb No se repite en proveedor Una vez con el precio 20.1666</v>
      </c>
      <c r="T52" s="20" t="str">
        <f t="shared" si="9"/>
        <v>Belmont International Trading Corp</v>
      </c>
      <c r="U52" s="20" t="str">
        <f t="shared" si="10"/>
        <v>Belmont Aji Panca pasta Bidon 7Lb</v>
      </c>
      <c r="V52" s="22">
        <f t="shared" si="11"/>
        <v>20.166599999999999</v>
      </c>
      <c r="W52" t="str">
        <f t="shared" si="12"/>
        <v>Belmont International Trading Corp 06/12/2025</v>
      </c>
      <c r="Y52" s="27"/>
      <c r="Z52">
        <f t="shared" si="13"/>
        <v>120.99959999999999</v>
      </c>
    </row>
    <row r="53" spans="1:26" hidden="1" x14ac:dyDescent="0.25">
      <c r="A53" s="2" t="s">
        <v>18</v>
      </c>
      <c r="B53" s="11" t="s">
        <v>148</v>
      </c>
      <c r="C53" s="11" t="s">
        <v>4</v>
      </c>
      <c r="D53" s="11" t="s">
        <v>149</v>
      </c>
      <c r="E53" s="11" t="s">
        <v>154</v>
      </c>
      <c r="F53" s="11" t="s">
        <v>155</v>
      </c>
      <c r="G53" s="12">
        <v>1</v>
      </c>
      <c r="H53" s="12">
        <v>35.9</v>
      </c>
      <c r="I53" s="12">
        <v>35.9</v>
      </c>
      <c r="J53" s="12">
        <v>11296.64</v>
      </c>
      <c r="K53" s="20">
        <f t="shared" si="0"/>
        <v>1</v>
      </c>
      <c r="L53" s="20" t="str">
        <f t="shared" si="1"/>
        <v>No se repite</v>
      </c>
      <c r="M53" s="20" t="str">
        <f t="shared" si="2"/>
        <v>Belmont International Trading Corp-Belmont Chicha de Jora</v>
      </c>
      <c r="N53" s="20">
        <f t="shared" si="3"/>
        <v>1</v>
      </c>
      <c r="O53" s="20" t="str">
        <f t="shared" si="4"/>
        <v>No se repite en proveedor</v>
      </c>
      <c r="P53" s="20" t="str">
        <f t="shared" si="5"/>
        <v>Belmont International Trading Corp-Belmont Chicha de Jora-35.9</v>
      </c>
      <c r="Q53" s="20">
        <f t="shared" si="6"/>
        <v>1</v>
      </c>
      <c r="R53" s="20" t="str">
        <f t="shared" si="7"/>
        <v>No se repite</v>
      </c>
      <c r="S53" s="20" t="str">
        <f t="shared" si="8"/>
        <v>El producto Belmont Chicha de Jora No se repite en proveedor Una vez con el precio 35.9</v>
      </c>
      <c r="T53" s="20" t="str">
        <f t="shared" si="9"/>
        <v>Belmont International Trading Corp</v>
      </c>
      <c r="U53" s="20" t="str">
        <f t="shared" si="10"/>
        <v>Belmont Chicha de Jora</v>
      </c>
      <c r="V53" s="22">
        <f t="shared" si="11"/>
        <v>35.9</v>
      </c>
      <c r="W53" t="str">
        <f t="shared" si="12"/>
        <v>Belmont International Trading Corp 05/16/2025</v>
      </c>
      <c r="Z53">
        <f t="shared" si="13"/>
        <v>35.9</v>
      </c>
    </row>
    <row r="54" spans="1:26" hidden="1" x14ac:dyDescent="0.25">
      <c r="A54" s="2" t="s">
        <v>18</v>
      </c>
      <c r="B54" s="11" t="s">
        <v>19</v>
      </c>
      <c r="C54" s="11" t="s">
        <v>4</v>
      </c>
      <c r="D54" s="11" t="s">
        <v>20</v>
      </c>
      <c r="E54" s="11" t="s">
        <v>98</v>
      </c>
      <c r="F54" s="11" t="s">
        <v>99</v>
      </c>
      <c r="G54" s="12">
        <v>1</v>
      </c>
      <c r="H54" s="12">
        <v>12.5</v>
      </c>
      <c r="I54" s="12">
        <v>12.5</v>
      </c>
      <c r="J54" s="12">
        <v>4572.3</v>
      </c>
      <c r="K54" s="20">
        <f t="shared" si="0"/>
        <v>4</v>
      </c>
      <c r="L54" s="20" t="str">
        <f t="shared" si="1"/>
        <v>Se repite 4 veces</v>
      </c>
      <c r="M54" s="20" t="str">
        <f t="shared" si="2"/>
        <v>Belmont International Trading Corp-Belmont Chicha Morada 16oz x 12</v>
      </c>
      <c r="N54" s="20">
        <f t="shared" si="3"/>
        <v>4</v>
      </c>
      <c r="O54" s="20" t="str">
        <f t="shared" si="4"/>
        <v>Se repite 4 veces en Belmont International Trading Corp</v>
      </c>
      <c r="P54" s="20" t="str">
        <f t="shared" si="5"/>
        <v>Belmont International Trading Corp-Belmont Chicha Morada 16oz x 12-12.5</v>
      </c>
      <c r="Q54" s="20">
        <f t="shared" si="6"/>
        <v>4</v>
      </c>
      <c r="R54" s="20" t="str">
        <f t="shared" si="7"/>
        <v>Se repite 4 veces el precio de 12.5</v>
      </c>
      <c r="S54" s="20" t="str">
        <f t="shared" si="8"/>
        <v>El producto Belmont Chicha Morada 16oz x 12 Se repite 4 veces en Belmont International Trading Corp, Se repite 4 veces el precio de 12.5</v>
      </c>
      <c r="T54" s="20" t="str">
        <f t="shared" si="9"/>
        <v>Belmont International Trading Corp</v>
      </c>
      <c r="U54" s="20" t="str">
        <f t="shared" si="10"/>
        <v>Belmont Chicha Morada 16oz x 12</v>
      </c>
      <c r="V54" s="22">
        <f t="shared" si="11"/>
        <v>12.5</v>
      </c>
      <c r="W54" t="str">
        <f t="shared" si="12"/>
        <v>Belmont International Trading Corp 04/28/2025</v>
      </c>
      <c r="Z54">
        <f t="shared" si="13"/>
        <v>12.5</v>
      </c>
    </row>
    <row r="55" spans="1:26" hidden="1" x14ac:dyDescent="0.25">
      <c r="A55" s="2" t="s">
        <v>18</v>
      </c>
      <c r="B55" s="11" t="s">
        <v>168</v>
      </c>
      <c r="C55" s="11" t="s">
        <v>4</v>
      </c>
      <c r="D55" s="11" t="s">
        <v>169</v>
      </c>
      <c r="E55" s="11" t="s">
        <v>98</v>
      </c>
      <c r="F55" s="11" t="s">
        <v>99</v>
      </c>
      <c r="G55" s="12">
        <v>10</v>
      </c>
      <c r="H55" s="12">
        <v>12.5</v>
      </c>
      <c r="I55" s="12">
        <v>125</v>
      </c>
      <c r="J55" s="12">
        <v>16684.84</v>
      </c>
      <c r="K55" s="20">
        <f t="shared" si="0"/>
        <v>4</v>
      </c>
      <c r="L55" s="20" t="str">
        <f t="shared" si="1"/>
        <v>Se repite 4 veces</v>
      </c>
      <c r="M55" s="20" t="str">
        <f t="shared" si="2"/>
        <v>Belmont International Trading Corp-Belmont Chicha Morada 16oz x 12</v>
      </c>
      <c r="N55" s="20">
        <f t="shared" si="3"/>
        <v>4</v>
      </c>
      <c r="O55" s="20" t="str">
        <f t="shared" si="4"/>
        <v>Se repite 4 veces en Belmont International Trading Corp</v>
      </c>
      <c r="P55" s="20" t="str">
        <f t="shared" si="5"/>
        <v>Belmont International Trading Corp-Belmont Chicha Morada 16oz x 12-12.5</v>
      </c>
      <c r="Q55" s="20">
        <f t="shared" si="6"/>
        <v>4</v>
      </c>
      <c r="R55" s="20" t="str">
        <f t="shared" si="7"/>
        <v>Se repite 4 veces el precio de 12.5</v>
      </c>
      <c r="S55" s="20" t="str">
        <f t="shared" si="8"/>
        <v>El producto Belmont Chicha Morada 16oz x 12 Se repite 4 veces en Belmont International Trading Corp, Se repite 4 veces el precio de 12.5</v>
      </c>
      <c r="T55" s="20" t="str">
        <f t="shared" si="9"/>
        <v>Belmont International Trading Corp</v>
      </c>
      <c r="U55" s="20" t="str">
        <f t="shared" si="10"/>
        <v>Belmont Chicha Morada 16oz x 12</v>
      </c>
      <c r="V55" s="22">
        <f t="shared" si="11"/>
        <v>12.5</v>
      </c>
      <c r="W55" t="str">
        <f t="shared" si="12"/>
        <v>Belmont International Trading Corp 07/31/2025</v>
      </c>
      <c r="Z55">
        <f t="shared" si="13"/>
        <v>125</v>
      </c>
    </row>
    <row r="56" spans="1:26" hidden="1" x14ac:dyDescent="0.25">
      <c r="A56" s="2" t="s">
        <v>18</v>
      </c>
      <c r="B56" s="11" t="s">
        <v>177</v>
      </c>
      <c r="C56" s="11" t="s">
        <v>4</v>
      </c>
      <c r="D56" s="11" t="s">
        <v>178</v>
      </c>
      <c r="E56" s="11" t="s">
        <v>98</v>
      </c>
      <c r="F56" s="11" t="s">
        <v>99</v>
      </c>
      <c r="G56" s="12">
        <v>17</v>
      </c>
      <c r="H56" s="12">
        <v>12.5</v>
      </c>
      <c r="I56" s="12">
        <v>212.5</v>
      </c>
      <c r="J56" s="12">
        <v>19909.04</v>
      </c>
      <c r="K56" s="20">
        <f t="shared" si="0"/>
        <v>4</v>
      </c>
      <c r="L56" s="20" t="str">
        <f t="shared" si="1"/>
        <v>Se repite 4 veces</v>
      </c>
      <c r="M56" s="20" t="str">
        <f t="shared" si="2"/>
        <v>Belmont International Trading Corp-Belmont Chicha Morada 16oz x 12</v>
      </c>
      <c r="N56" s="20">
        <f t="shared" si="3"/>
        <v>4</v>
      </c>
      <c r="O56" s="20" t="str">
        <f t="shared" si="4"/>
        <v>Se repite 4 veces en Belmont International Trading Corp</v>
      </c>
      <c r="P56" s="20" t="str">
        <f t="shared" si="5"/>
        <v>Belmont International Trading Corp-Belmont Chicha Morada 16oz x 12-12.5</v>
      </c>
      <c r="Q56" s="20">
        <f t="shared" si="6"/>
        <v>4</v>
      </c>
      <c r="R56" s="20" t="str">
        <f t="shared" si="7"/>
        <v>Se repite 4 veces el precio de 12.5</v>
      </c>
      <c r="S56" s="20" t="str">
        <f t="shared" si="8"/>
        <v>El producto Belmont Chicha Morada 16oz x 12 Se repite 4 veces en Belmont International Trading Corp, Se repite 4 veces el precio de 12.5</v>
      </c>
      <c r="T56" s="20" t="str">
        <f t="shared" si="9"/>
        <v>Belmont International Trading Corp</v>
      </c>
      <c r="U56" s="20" t="str">
        <f t="shared" si="10"/>
        <v>Belmont Chicha Morada 16oz x 12</v>
      </c>
      <c r="V56" s="22">
        <f t="shared" si="11"/>
        <v>12.5</v>
      </c>
      <c r="W56" t="str">
        <f t="shared" si="12"/>
        <v>Belmont International Trading Corp 10/20/2025</v>
      </c>
      <c r="Z56">
        <f t="shared" si="13"/>
        <v>212.5</v>
      </c>
    </row>
    <row r="57" spans="1:26" hidden="1" x14ac:dyDescent="0.25">
      <c r="A57" s="2" t="s">
        <v>18</v>
      </c>
      <c r="B57" s="11" t="s">
        <v>198</v>
      </c>
      <c r="C57" s="11" t="s">
        <v>4</v>
      </c>
      <c r="D57" s="11" t="s">
        <v>199</v>
      </c>
      <c r="E57" s="11" t="s">
        <v>98</v>
      </c>
      <c r="F57" s="11" t="s">
        <v>99</v>
      </c>
      <c r="G57" s="12">
        <v>3</v>
      </c>
      <c r="H57" s="12">
        <v>12.5</v>
      </c>
      <c r="I57" s="12">
        <v>37.5</v>
      </c>
      <c r="J57" s="12">
        <v>21465.64</v>
      </c>
      <c r="K57" s="20">
        <f t="shared" si="0"/>
        <v>4</v>
      </c>
      <c r="L57" s="20" t="str">
        <f t="shared" si="1"/>
        <v>Se repite 4 veces</v>
      </c>
      <c r="M57" s="20" t="str">
        <f t="shared" si="2"/>
        <v>Belmont International Trading Corp-Belmont Chicha Morada 16oz x 12</v>
      </c>
      <c r="N57" s="20">
        <f t="shared" si="3"/>
        <v>4</v>
      </c>
      <c r="O57" s="20" t="str">
        <f t="shared" si="4"/>
        <v>Se repite 4 veces en Belmont International Trading Corp</v>
      </c>
      <c r="P57" s="20" t="str">
        <f t="shared" si="5"/>
        <v>Belmont International Trading Corp-Belmont Chicha Morada 16oz x 12-12.5</v>
      </c>
      <c r="Q57" s="20">
        <f t="shared" si="6"/>
        <v>4</v>
      </c>
      <c r="R57" s="20" t="str">
        <f t="shared" si="7"/>
        <v>Se repite 4 veces el precio de 12.5</v>
      </c>
      <c r="S57" s="20" t="str">
        <f t="shared" si="8"/>
        <v>El producto Belmont Chicha Morada 16oz x 12 Se repite 4 veces en Belmont International Trading Corp, Se repite 4 veces el precio de 12.5</v>
      </c>
      <c r="T57" s="20" t="str">
        <f t="shared" si="9"/>
        <v>Belmont International Trading Corp</v>
      </c>
      <c r="U57" s="20" t="str">
        <f t="shared" si="10"/>
        <v>Belmont Chicha Morada 16oz x 12</v>
      </c>
      <c r="V57" s="22">
        <f t="shared" si="11"/>
        <v>12.5</v>
      </c>
      <c r="W57" t="str">
        <f t="shared" si="12"/>
        <v>Belmont International Trading Corp 12/11/2025</v>
      </c>
      <c r="Z57">
        <f t="shared" si="13"/>
        <v>37.5</v>
      </c>
    </row>
    <row r="58" spans="1:26" hidden="1" x14ac:dyDescent="0.25">
      <c r="A58" s="2" t="s">
        <v>18</v>
      </c>
      <c r="B58" s="11" t="s">
        <v>19</v>
      </c>
      <c r="C58" s="11" t="s">
        <v>4</v>
      </c>
      <c r="D58" s="11" t="s">
        <v>20</v>
      </c>
      <c r="E58" s="11" t="s">
        <v>104</v>
      </c>
      <c r="F58" s="11" t="s">
        <v>105</v>
      </c>
      <c r="G58" s="12">
        <v>2</v>
      </c>
      <c r="H58" s="12">
        <v>12</v>
      </c>
      <c r="I58" s="12">
        <v>24</v>
      </c>
      <c r="J58" s="12">
        <v>4621.3</v>
      </c>
      <c r="K58" s="20">
        <f t="shared" si="0"/>
        <v>3</v>
      </c>
      <c r="L58" s="20" t="str">
        <f t="shared" si="1"/>
        <v>Se repite 3 veces</v>
      </c>
      <c r="M58" s="20" t="str">
        <f t="shared" si="2"/>
        <v>Belmont International Trading Corp-Belmont Chicha Morada 1Lt x 6</v>
      </c>
      <c r="N58" s="20">
        <f t="shared" si="3"/>
        <v>3</v>
      </c>
      <c r="O58" s="20" t="str">
        <f t="shared" si="4"/>
        <v>Se repite 3 veces en Belmont International Trading Corp</v>
      </c>
      <c r="P58" s="20" t="str">
        <f t="shared" si="5"/>
        <v>Belmont International Trading Corp-Belmont Chicha Morada 1Lt x 6-12</v>
      </c>
      <c r="Q58" s="20">
        <f t="shared" si="6"/>
        <v>3</v>
      </c>
      <c r="R58" s="20" t="str">
        <f t="shared" si="7"/>
        <v>Se repite 3 veces el precio de 12</v>
      </c>
      <c r="S58" s="20" t="str">
        <f t="shared" si="8"/>
        <v>El producto Belmont Chicha Morada 1Lt x 6 Se repite 3 veces en Belmont International Trading Corp, Se repite 3 veces el precio de 12</v>
      </c>
      <c r="T58" s="20" t="str">
        <f t="shared" si="9"/>
        <v>Belmont International Trading Corp</v>
      </c>
      <c r="U58" s="20" t="str">
        <f t="shared" si="10"/>
        <v>Belmont Chicha Morada 1Lt x 6</v>
      </c>
      <c r="V58" s="22">
        <f t="shared" si="11"/>
        <v>12</v>
      </c>
      <c r="W58" t="str">
        <f t="shared" si="12"/>
        <v>Belmont International Trading Corp 04/28/2025</v>
      </c>
      <c r="Z58">
        <f t="shared" si="13"/>
        <v>24</v>
      </c>
    </row>
    <row r="59" spans="1:26" hidden="1" x14ac:dyDescent="0.25">
      <c r="A59" s="2" t="s">
        <v>18</v>
      </c>
      <c r="B59" s="11" t="s">
        <v>168</v>
      </c>
      <c r="C59" s="11" t="s">
        <v>4</v>
      </c>
      <c r="D59" s="11" t="s">
        <v>169</v>
      </c>
      <c r="E59" s="11" t="s">
        <v>104</v>
      </c>
      <c r="F59" s="11" t="s">
        <v>105</v>
      </c>
      <c r="G59" s="12">
        <v>40</v>
      </c>
      <c r="H59" s="12">
        <v>12</v>
      </c>
      <c r="I59" s="12">
        <v>480</v>
      </c>
      <c r="J59" s="12">
        <v>17352.34</v>
      </c>
      <c r="K59" s="20">
        <f t="shared" si="0"/>
        <v>3</v>
      </c>
      <c r="L59" s="20" t="str">
        <f t="shared" si="1"/>
        <v>Se repite 3 veces</v>
      </c>
      <c r="M59" s="20" t="str">
        <f t="shared" si="2"/>
        <v>Belmont International Trading Corp-Belmont Chicha Morada 1Lt x 6</v>
      </c>
      <c r="N59" s="20">
        <f t="shared" si="3"/>
        <v>3</v>
      </c>
      <c r="O59" s="20" t="str">
        <f t="shared" si="4"/>
        <v>Se repite 3 veces en Belmont International Trading Corp</v>
      </c>
      <c r="P59" s="20" t="str">
        <f t="shared" si="5"/>
        <v>Belmont International Trading Corp-Belmont Chicha Morada 1Lt x 6-12</v>
      </c>
      <c r="Q59" s="20">
        <f t="shared" si="6"/>
        <v>3</v>
      </c>
      <c r="R59" s="20" t="str">
        <f t="shared" si="7"/>
        <v>Se repite 3 veces el precio de 12</v>
      </c>
      <c r="S59" s="20" t="str">
        <f t="shared" si="8"/>
        <v>El producto Belmont Chicha Morada 1Lt x 6 Se repite 3 veces en Belmont International Trading Corp, Se repite 3 veces el precio de 12</v>
      </c>
      <c r="T59" s="20" t="str">
        <f t="shared" si="9"/>
        <v>Belmont International Trading Corp</v>
      </c>
      <c r="U59" s="20" t="str">
        <f t="shared" si="10"/>
        <v>Belmont Chicha Morada 1Lt x 6</v>
      </c>
      <c r="V59" s="22">
        <f t="shared" si="11"/>
        <v>12</v>
      </c>
      <c r="W59" t="str">
        <f t="shared" si="12"/>
        <v>Belmont International Trading Corp 07/31/2025</v>
      </c>
      <c r="Z59">
        <f t="shared" si="13"/>
        <v>480</v>
      </c>
    </row>
    <row r="60" spans="1:26" hidden="1" x14ac:dyDescent="0.25">
      <c r="A60" s="2" t="s">
        <v>18</v>
      </c>
      <c r="B60" s="11" t="s">
        <v>177</v>
      </c>
      <c r="C60" s="11" t="s">
        <v>4</v>
      </c>
      <c r="D60" s="11" t="s">
        <v>178</v>
      </c>
      <c r="E60" s="11" t="s">
        <v>104</v>
      </c>
      <c r="F60" s="11" t="s">
        <v>105</v>
      </c>
      <c r="G60" s="12">
        <v>25</v>
      </c>
      <c r="H60" s="12">
        <v>12</v>
      </c>
      <c r="I60" s="12">
        <v>300</v>
      </c>
      <c r="J60" s="12">
        <v>19396.54</v>
      </c>
      <c r="K60" s="20">
        <f t="shared" si="0"/>
        <v>3</v>
      </c>
      <c r="L60" s="20" t="str">
        <f t="shared" si="1"/>
        <v>Se repite 3 veces</v>
      </c>
      <c r="M60" s="20" t="str">
        <f t="shared" si="2"/>
        <v>Belmont International Trading Corp-Belmont Chicha Morada 1Lt x 6</v>
      </c>
      <c r="N60" s="20">
        <f t="shared" si="3"/>
        <v>3</v>
      </c>
      <c r="O60" s="20" t="str">
        <f t="shared" si="4"/>
        <v>Se repite 3 veces en Belmont International Trading Corp</v>
      </c>
      <c r="P60" s="20" t="str">
        <f t="shared" si="5"/>
        <v>Belmont International Trading Corp-Belmont Chicha Morada 1Lt x 6-12</v>
      </c>
      <c r="Q60" s="20">
        <f t="shared" si="6"/>
        <v>3</v>
      </c>
      <c r="R60" s="20" t="str">
        <f t="shared" si="7"/>
        <v>Se repite 3 veces el precio de 12</v>
      </c>
      <c r="S60" s="20" t="str">
        <f t="shared" si="8"/>
        <v>El producto Belmont Chicha Morada 1Lt x 6 Se repite 3 veces en Belmont International Trading Corp, Se repite 3 veces el precio de 12</v>
      </c>
      <c r="T60" s="20" t="str">
        <f t="shared" si="9"/>
        <v>Belmont International Trading Corp</v>
      </c>
      <c r="U60" s="20" t="str">
        <f t="shared" si="10"/>
        <v>Belmont Chicha Morada 1Lt x 6</v>
      </c>
      <c r="V60" s="22">
        <f t="shared" si="11"/>
        <v>12</v>
      </c>
      <c r="W60" t="str">
        <f t="shared" si="12"/>
        <v>Belmont International Trading Corp 10/20/2025</v>
      </c>
      <c r="Z60">
        <f t="shared" si="13"/>
        <v>300</v>
      </c>
    </row>
    <row r="61" spans="1:26" hidden="1" x14ac:dyDescent="0.25">
      <c r="A61" s="2" t="s">
        <v>18</v>
      </c>
      <c r="B61" s="11" t="s">
        <v>19</v>
      </c>
      <c r="C61" s="11" t="s">
        <v>4</v>
      </c>
      <c r="D61" s="11" t="s">
        <v>20</v>
      </c>
      <c r="E61" s="11" t="s">
        <v>138</v>
      </c>
      <c r="F61" s="11" t="s">
        <v>139</v>
      </c>
      <c r="G61" s="12">
        <v>2</v>
      </c>
      <c r="H61" s="12">
        <v>37.5</v>
      </c>
      <c r="I61" s="12">
        <v>75</v>
      </c>
      <c r="J61" s="12">
        <v>5199.6899999999996</v>
      </c>
      <c r="K61" s="20">
        <f t="shared" si="0"/>
        <v>1</v>
      </c>
      <c r="L61" s="20" t="str">
        <f t="shared" si="1"/>
        <v>No se repite</v>
      </c>
      <c r="M61" s="20" t="str">
        <f t="shared" si="2"/>
        <v>Belmont International Trading Corp-Belmont Chifles Piuranos 125gr x 20</v>
      </c>
      <c r="N61" s="20">
        <f t="shared" si="3"/>
        <v>1</v>
      </c>
      <c r="O61" s="20" t="str">
        <f t="shared" si="4"/>
        <v>No se repite en proveedor</v>
      </c>
      <c r="P61" s="20" t="str">
        <f t="shared" si="5"/>
        <v>Belmont International Trading Corp-Belmont Chifles Piuranos 125gr x 20-37.5</v>
      </c>
      <c r="Q61" s="20">
        <f t="shared" si="6"/>
        <v>1</v>
      </c>
      <c r="R61" s="20" t="str">
        <f t="shared" si="7"/>
        <v>No se repite</v>
      </c>
      <c r="S61" s="20" t="str">
        <f t="shared" si="8"/>
        <v>El producto Belmont Chifles Piuranos 125gr x 20 No se repite en proveedor Una vez con el precio 37.5</v>
      </c>
      <c r="T61" s="20" t="str">
        <f t="shared" si="9"/>
        <v>Belmont International Trading Corp</v>
      </c>
      <c r="U61" s="20" t="str">
        <f t="shared" si="10"/>
        <v>Belmont Chifles Piuranos 125gr x 20</v>
      </c>
      <c r="V61" s="22">
        <f t="shared" si="11"/>
        <v>37.5</v>
      </c>
      <c r="W61" t="str">
        <f t="shared" si="12"/>
        <v>Belmont International Trading Corp 04/28/2025</v>
      </c>
      <c r="Z61">
        <f t="shared" si="13"/>
        <v>75</v>
      </c>
    </row>
    <row r="62" spans="1:26" hidden="1" x14ac:dyDescent="0.25">
      <c r="A62" s="2" t="s">
        <v>18</v>
      </c>
      <c r="B62" s="11" t="s">
        <v>19</v>
      </c>
      <c r="C62" s="11" t="s">
        <v>4</v>
      </c>
      <c r="D62" s="11" t="s">
        <v>20</v>
      </c>
      <c r="E62" s="11" t="s">
        <v>136</v>
      </c>
      <c r="F62" s="11" t="s">
        <v>137</v>
      </c>
      <c r="G62" s="12">
        <v>2</v>
      </c>
      <c r="H62" s="12">
        <v>36.5</v>
      </c>
      <c r="I62" s="12">
        <v>73</v>
      </c>
      <c r="J62" s="12">
        <v>5124.6899999999996</v>
      </c>
      <c r="K62" s="20">
        <f t="shared" si="0"/>
        <v>1</v>
      </c>
      <c r="L62" s="20" t="str">
        <f t="shared" si="1"/>
        <v>No se repite</v>
      </c>
      <c r="M62" s="20" t="str">
        <f t="shared" si="2"/>
        <v>Belmont International Trading Corp-Belmont Chifles Piuranos 250gr x 10</v>
      </c>
      <c r="N62" s="20">
        <f t="shared" si="3"/>
        <v>1</v>
      </c>
      <c r="O62" s="20" t="str">
        <f t="shared" si="4"/>
        <v>No se repite en proveedor</v>
      </c>
      <c r="P62" s="20" t="str">
        <f t="shared" si="5"/>
        <v>Belmont International Trading Corp-Belmont Chifles Piuranos 250gr x 10-36.5</v>
      </c>
      <c r="Q62" s="20">
        <f t="shared" si="6"/>
        <v>1</v>
      </c>
      <c r="R62" s="20" t="str">
        <f t="shared" si="7"/>
        <v>No se repite</v>
      </c>
      <c r="S62" s="20" t="str">
        <f t="shared" si="8"/>
        <v>El producto Belmont Chifles Piuranos 250gr x 10 No se repite en proveedor Una vez con el precio 36.5</v>
      </c>
      <c r="T62" s="20" t="str">
        <f t="shared" si="9"/>
        <v>Belmont International Trading Corp</v>
      </c>
      <c r="U62" s="20" t="str">
        <f t="shared" si="10"/>
        <v>Belmont Chifles Piuranos 250gr x 10</v>
      </c>
      <c r="V62" s="22">
        <f t="shared" si="11"/>
        <v>36.5</v>
      </c>
      <c r="W62" t="str">
        <f t="shared" si="12"/>
        <v>Belmont International Trading Corp 04/28/2025</v>
      </c>
      <c r="Z62">
        <f t="shared" si="13"/>
        <v>73</v>
      </c>
    </row>
    <row r="63" spans="1:26" hidden="1" x14ac:dyDescent="0.25">
      <c r="A63" s="2" t="s">
        <v>18</v>
      </c>
      <c r="B63" s="11" t="s">
        <v>19</v>
      </c>
      <c r="C63" s="11" t="s">
        <v>4</v>
      </c>
      <c r="D63" s="11" t="s">
        <v>20</v>
      </c>
      <c r="E63" s="11" t="s">
        <v>23</v>
      </c>
      <c r="F63" s="11" t="s">
        <v>24</v>
      </c>
      <c r="G63" s="12">
        <v>1</v>
      </c>
      <c r="H63" s="12">
        <v>48</v>
      </c>
      <c r="I63" s="12">
        <v>48</v>
      </c>
      <c r="J63" s="12">
        <v>102</v>
      </c>
      <c r="K63" s="20">
        <f t="shared" si="0"/>
        <v>2</v>
      </c>
      <c r="L63" s="20" t="str">
        <f t="shared" si="1"/>
        <v>Se repite 2 veces</v>
      </c>
      <c r="M63" s="20" t="str">
        <f t="shared" si="2"/>
        <v>Belmont International Trading Corp-Belmont Chirimoya pulpa 14oz x 20</v>
      </c>
      <c r="N63" s="20">
        <f t="shared" si="3"/>
        <v>2</v>
      </c>
      <c r="O63" s="20" t="str">
        <f t="shared" si="4"/>
        <v>Se repite 2 veces en Belmont International Trading Corp</v>
      </c>
      <c r="P63" s="20" t="str">
        <f t="shared" si="5"/>
        <v>Belmont International Trading Corp-Belmont Chirimoya pulpa 14oz x 20-48</v>
      </c>
      <c r="Q63" s="20">
        <f t="shared" si="6"/>
        <v>1</v>
      </c>
      <c r="R63" s="20" t="str">
        <f t="shared" si="7"/>
        <v>No se repite</v>
      </c>
      <c r="S63" s="20" t="str">
        <f t="shared" si="8"/>
        <v>El producto Belmont Chirimoya pulpa 14oz x 20 Se repite 2 veces en Belmont International Trading Corp Una vez con el precio 48</v>
      </c>
      <c r="T63" s="20" t="str">
        <f t="shared" si="9"/>
        <v>Belmont International Trading Corp</v>
      </c>
      <c r="U63" s="20" t="str">
        <f t="shared" si="10"/>
        <v>Belmont Chirimoya pulpa 14oz x 20</v>
      </c>
      <c r="V63" s="22">
        <f t="shared" si="11"/>
        <v>48</v>
      </c>
      <c r="W63" t="str">
        <f t="shared" si="12"/>
        <v>Belmont International Trading Corp 04/28/2025</v>
      </c>
      <c r="Z63">
        <f t="shared" si="13"/>
        <v>48</v>
      </c>
    </row>
    <row r="64" spans="1:26" hidden="1" x14ac:dyDescent="0.25">
      <c r="A64" s="2" t="s">
        <v>18</v>
      </c>
      <c r="B64" s="11" t="s">
        <v>148</v>
      </c>
      <c r="C64" s="11" t="s">
        <v>4</v>
      </c>
      <c r="D64" s="11" t="s">
        <v>149</v>
      </c>
      <c r="E64" s="11" t="s">
        <v>23</v>
      </c>
      <c r="F64" s="11" t="s">
        <v>24</v>
      </c>
      <c r="G64" s="12">
        <v>3</v>
      </c>
      <c r="H64" s="12">
        <v>52.9</v>
      </c>
      <c r="I64" s="12">
        <v>158.69999999999999</v>
      </c>
      <c r="J64" s="12">
        <v>6118.34</v>
      </c>
      <c r="K64" s="20">
        <f t="shared" si="0"/>
        <v>2</v>
      </c>
      <c r="L64" s="20" t="str">
        <f t="shared" si="1"/>
        <v>Se repite 2 veces</v>
      </c>
      <c r="M64" s="20" t="str">
        <f t="shared" si="2"/>
        <v>Belmont International Trading Corp-Belmont Chirimoya pulpa 14oz x 20</v>
      </c>
      <c r="N64" s="20">
        <f t="shared" si="3"/>
        <v>2</v>
      </c>
      <c r="O64" s="20" t="str">
        <f t="shared" si="4"/>
        <v>Se repite 2 veces en Belmont International Trading Corp</v>
      </c>
      <c r="P64" s="20" t="str">
        <f t="shared" si="5"/>
        <v>Belmont International Trading Corp-Belmont Chirimoya pulpa 14oz x 20-52.9</v>
      </c>
      <c r="Q64" s="20">
        <f t="shared" si="6"/>
        <v>1</v>
      </c>
      <c r="R64" s="20" t="str">
        <f t="shared" si="7"/>
        <v>No se repite</v>
      </c>
      <c r="S64" s="20" t="str">
        <f t="shared" si="8"/>
        <v>El producto Belmont Chirimoya pulpa 14oz x 20 Se repite 2 veces en Belmont International Trading Corp Una vez con el precio 52.9</v>
      </c>
      <c r="T64" s="20" t="str">
        <f t="shared" si="9"/>
        <v>Belmont International Trading Corp</v>
      </c>
      <c r="U64" s="20" t="str">
        <f t="shared" si="10"/>
        <v>Belmont Chirimoya pulpa 14oz x 20</v>
      </c>
      <c r="V64" s="22">
        <f t="shared" si="11"/>
        <v>52.9</v>
      </c>
      <c r="W64" t="str">
        <f t="shared" si="12"/>
        <v>Belmont International Trading Corp 05/16/2025</v>
      </c>
      <c r="Z64">
        <f t="shared" si="13"/>
        <v>158.69999999999999</v>
      </c>
    </row>
    <row r="65" spans="1:26" hidden="1" x14ac:dyDescent="0.25">
      <c r="A65" s="2" t="s">
        <v>18</v>
      </c>
      <c r="B65" s="11" t="s">
        <v>19</v>
      </c>
      <c r="C65" s="11" t="s">
        <v>4</v>
      </c>
      <c r="D65" s="11" t="s">
        <v>20</v>
      </c>
      <c r="E65" s="11" t="s">
        <v>27</v>
      </c>
      <c r="F65" s="11" t="s">
        <v>28</v>
      </c>
      <c r="G65" s="12">
        <v>6</v>
      </c>
      <c r="H65" s="12">
        <v>72.5</v>
      </c>
      <c r="I65" s="12">
        <v>435</v>
      </c>
      <c r="J65" s="12">
        <v>807</v>
      </c>
      <c r="K65" s="20">
        <f t="shared" si="0"/>
        <v>3</v>
      </c>
      <c r="L65" s="20" t="str">
        <f t="shared" si="1"/>
        <v>Se repite 3 veces</v>
      </c>
      <c r="M65" s="20" t="str">
        <f t="shared" si="2"/>
        <v>Belmont International Trading Corp-Belmont Choclo desgranado 1Lb x 30 FROZEN</v>
      </c>
      <c r="N65" s="20">
        <f t="shared" si="3"/>
        <v>3</v>
      </c>
      <c r="O65" s="20" t="str">
        <f t="shared" si="4"/>
        <v>Se repite 3 veces en Belmont International Trading Corp</v>
      </c>
      <c r="P65" s="20" t="str">
        <f t="shared" si="5"/>
        <v>Belmont International Trading Corp-Belmont Choclo desgranado 1Lb x 30 FROZEN-72.5</v>
      </c>
      <c r="Q65" s="20">
        <f t="shared" si="6"/>
        <v>3</v>
      </c>
      <c r="R65" s="20" t="str">
        <f t="shared" si="7"/>
        <v>Se repite 3 veces el precio de 72.5</v>
      </c>
      <c r="S65" s="20" t="str">
        <f t="shared" si="8"/>
        <v>El producto Belmont Choclo desgranado 1Lb x 30 FROZEN Se repite 3 veces en Belmont International Trading Corp, Se repite 3 veces el precio de 72.5</v>
      </c>
      <c r="T65" s="20" t="str">
        <f t="shared" si="9"/>
        <v>Belmont International Trading Corp</v>
      </c>
      <c r="U65" s="20" t="str">
        <f t="shared" si="10"/>
        <v>Belmont Choclo desgranado 1Lb x 30 FROZEN</v>
      </c>
      <c r="V65" s="22">
        <f t="shared" si="11"/>
        <v>72.5</v>
      </c>
      <c r="W65" t="str">
        <f t="shared" si="12"/>
        <v>Belmont International Trading Corp 04/28/2025</v>
      </c>
      <c r="Z65">
        <f t="shared" si="13"/>
        <v>435</v>
      </c>
    </row>
    <row r="66" spans="1:26" hidden="1" x14ac:dyDescent="0.25">
      <c r="A66" s="2" t="s">
        <v>18</v>
      </c>
      <c r="B66" s="11" t="s">
        <v>158</v>
      </c>
      <c r="C66" s="11" t="s">
        <v>4</v>
      </c>
      <c r="D66" s="11" t="s">
        <v>159</v>
      </c>
      <c r="E66" s="11" t="s">
        <v>27</v>
      </c>
      <c r="F66" s="11" t="s">
        <v>28</v>
      </c>
      <c r="G66" s="12">
        <v>2</v>
      </c>
      <c r="H66" s="12">
        <v>72.5</v>
      </c>
      <c r="I66" s="12">
        <v>145</v>
      </c>
      <c r="J66" s="12">
        <v>12044.64</v>
      </c>
      <c r="K66" s="20">
        <f t="shared" si="0"/>
        <v>3</v>
      </c>
      <c r="L66" s="20" t="str">
        <f t="shared" si="1"/>
        <v>Se repite 3 veces</v>
      </c>
      <c r="M66" s="20" t="str">
        <f t="shared" si="2"/>
        <v>Belmont International Trading Corp-Belmont Choclo desgranado 1Lb x 30 FROZEN</v>
      </c>
      <c r="N66" s="20">
        <f t="shared" si="3"/>
        <v>3</v>
      </c>
      <c r="O66" s="20" t="str">
        <f t="shared" si="4"/>
        <v>Se repite 3 veces en Belmont International Trading Corp</v>
      </c>
      <c r="P66" s="20" t="str">
        <f t="shared" si="5"/>
        <v>Belmont International Trading Corp-Belmont Choclo desgranado 1Lb x 30 FROZEN-72.5</v>
      </c>
      <c r="Q66" s="20">
        <f t="shared" si="6"/>
        <v>3</v>
      </c>
      <c r="R66" s="20" t="str">
        <f t="shared" si="7"/>
        <v>Se repite 3 veces el precio de 72.5</v>
      </c>
      <c r="S66" s="20" t="str">
        <f t="shared" si="8"/>
        <v>El producto Belmont Choclo desgranado 1Lb x 30 FROZEN Se repite 3 veces en Belmont International Trading Corp, Se repite 3 veces el precio de 72.5</v>
      </c>
      <c r="T66" s="20" t="str">
        <f t="shared" si="9"/>
        <v>Belmont International Trading Corp</v>
      </c>
      <c r="U66" s="20" t="str">
        <f t="shared" si="10"/>
        <v>Belmont Choclo desgranado 1Lb x 30 FROZEN</v>
      </c>
      <c r="V66" s="22">
        <f t="shared" si="11"/>
        <v>72.5</v>
      </c>
      <c r="W66" t="str">
        <f t="shared" si="12"/>
        <v>Belmont International Trading Corp 06/12/2025</v>
      </c>
      <c r="Y66" s="27"/>
      <c r="Z66">
        <f t="shared" si="13"/>
        <v>145</v>
      </c>
    </row>
    <row r="67" spans="1:26" hidden="1" x14ac:dyDescent="0.25">
      <c r="A67" s="2" t="s">
        <v>18</v>
      </c>
      <c r="B67" s="11" t="s">
        <v>177</v>
      </c>
      <c r="C67" s="11" t="s">
        <v>4</v>
      </c>
      <c r="D67" s="11" t="s">
        <v>178</v>
      </c>
      <c r="E67" s="11" t="s">
        <v>27</v>
      </c>
      <c r="F67" s="11" t="s">
        <v>28</v>
      </c>
      <c r="G67" s="12">
        <v>1</v>
      </c>
      <c r="H67" s="12">
        <v>72.5</v>
      </c>
      <c r="I67" s="12">
        <v>72.5</v>
      </c>
      <c r="J67" s="12">
        <v>18240.64</v>
      </c>
      <c r="K67" s="20">
        <f t="shared" ref="K67:K130" si="14">COUNTIF($E$2:$E$1438,E67)</f>
        <v>3</v>
      </c>
      <c r="L67" s="20" t="str">
        <f t="shared" ref="L67:L130" si="15">IF(K67&gt;1,_xlfn.CONCAT("Se repite ",K67," veces"),"No se repite")</f>
        <v>Se repite 3 veces</v>
      </c>
      <c r="M67" s="20" t="str">
        <f t="shared" ref="M67:M130" si="16">_xlfn.CONCAT(A67,"-",E67)</f>
        <v>Belmont International Trading Corp-Belmont Choclo desgranado 1Lb x 30 FROZEN</v>
      </c>
      <c r="N67" s="20">
        <f t="shared" ref="N67:N130" si="17">COUNTIF($M$2:$M$1438,M67)</f>
        <v>3</v>
      </c>
      <c r="O67" s="20" t="str">
        <f t="shared" ref="O67:O130" si="18">IF(N67&gt;1,_xlfn.CONCAT("Se repite ",N67," veces en ",A67),"No se repite en proveedor")</f>
        <v>Se repite 3 veces en Belmont International Trading Corp</v>
      </c>
      <c r="P67" s="20" t="str">
        <f t="shared" ref="P67:P130" si="19">_xlfn.CONCAT(A67,"-",E67,"-",H67)</f>
        <v>Belmont International Trading Corp-Belmont Choclo desgranado 1Lb x 30 FROZEN-72.5</v>
      </c>
      <c r="Q67" s="20">
        <f t="shared" ref="Q67:Q130" si="20">COUNTIF($P$2:$P$1438,P67)</f>
        <v>3</v>
      </c>
      <c r="R67" s="20" t="str">
        <f t="shared" ref="R67:R130" si="21">IF(Q67&gt;1,_xlfn.CONCAT("Se repite ",Q67," veces el precio de ",H67),"No se repite")</f>
        <v>Se repite 3 veces el precio de 72.5</v>
      </c>
      <c r="S67" s="20" t="str">
        <f t="shared" ref="S67:S130" si="22">_xlfn.CONCAT("El producto ",E67," ",O67,IF(R67="No se repite",_xlfn.CONCAT(" Una vez con el precio ",H67),_xlfn.CONCAT(", ",R67)))</f>
        <v>El producto Belmont Choclo desgranado 1Lb x 30 FROZEN Se repite 3 veces en Belmont International Trading Corp, Se repite 3 veces el precio de 72.5</v>
      </c>
      <c r="T67" s="20" t="str">
        <f t="shared" ref="T67:T130" si="23">+A67</f>
        <v>Belmont International Trading Corp</v>
      </c>
      <c r="U67" s="20" t="str">
        <f t="shared" ref="U67:U130" si="24">+E67</f>
        <v>Belmont Choclo desgranado 1Lb x 30 FROZEN</v>
      </c>
      <c r="V67" s="22">
        <f t="shared" ref="V67:V130" si="25">+H67</f>
        <v>72.5</v>
      </c>
      <c r="W67" t="str">
        <f t="shared" ref="W67:W130" si="26">_xlfn.CONCAT(A67," ",B67)</f>
        <v>Belmont International Trading Corp 10/20/2025</v>
      </c>
      <c r="Z67">
        <f t="shared" ref="Z67:Z130" si="27">G67*H67</f>
        <v>72.5</v>
      </c>
    </row>
    <row r="68" spans="1:26" hidden="1" x14ac:dyDescent="0.25">
      <c r="A68" s="2" t="s">
        <v>18</v>
      </c>
      <c r="B68" s="11" t="s">
        <v>158</v>
      </c>
      <c r="C68" s="11" t="s">
        <v>4</v>
      </c>
      <c r="D68" s="11" t="s">
        <v>159</v>
      </c>
      <c r="E68" s="11" t="s">
        <v>160</v>
      </c>
      <c r="F68" s="11" t="s">
        <v>161</v>
      </c>
      <c r="G68" s="12">
        <v>2</v>
      </c>
      <c r="H68" s="12">
        <v>72.5</v>
      </c>
      <c r="I68" s="12">
        <v>145</v>
      </c>
      <c r="J68" s="12">
        <v>12189.64</v>
      </c>
      <c r="K68" s="20">
        <f t="shared" si="14"/>
        <v>2</v>
      </c>
      <c r="L68" s="20" t="str">
        <f t="shared" si="15"/>
        <v>Se repite 2 veces</v>
      </c>
      <c r="M68" s="20" t="str">
        <f t="shared" si="16"/>
        <v>Belmont International Trading Corp-Belmont Choclo Desgranado 3Lb x 10</v>
      </c>
      <c r="N68" s="20">
        <f t="shared" si="17"/>
        <v>2</v>
      </c>
      <c r="O68" s="20" t="str">
        <f t="shared" si="18"/>
        <v>Se repite 2 veces en Belmont International Trading Corp</v>
      </c>
      <c r="P68" s="20" t="str">
        <f t="shared" si="19"/>
        <v>Belmont International Trading Corp-Belmont Choclo Desgranado 3Lb x 10-72.5</v>
      </c>
      <c r="Q68" s="20">
        <f t="shared" si="20"/>
        <v>2</v>
      </c>
      <c r="R68" s="20" t="str">
        <f t="shared" si="21"/>
        <v>Se repite 2 veces el precio de 72.5</v>
      </c>
      <c r="S68" s="20" t="str">
        <f t="shared" si="22"/>
        <v>El producto Belmont Choclo Desgranado 3Lb x 10 Se repite 2 veces en Belmont International Trading Corp, Se repite 2 veces el precio de 72.5</v>
      </c>
      <c r="T68" s="20" t="str">
        <f t="shared" si="23"/>
        <v>Belmont International Trading Corp</v>
      </c>
      <c r="U68" s="20" t="str">
        <f t="shared" si="24"/>
        <v>Belmont Choclo Desgranado 3Lb x 10</v>
      </c>
      <c r="V68" s="22">
        <f t="shared" si="25"/>
        <v>72.5</v>
      </c>
      <c r="W68" t="str">
        <f t="shared" si="26"/>
        <v>Belmont International Trading Corp 06/12/2025</v>
      </c>
      <c r="Y68" s="27"/>
      <c r="Z68">
        <f t="shared" si="27"/>
        <v>145</v>
      </c>
    </row>
    <row r="69" spans="1:26" hidden="1" x14ac:dyDescent="0.25">
      <c r="A69" s="2" t="s">
        <v>18</v>
      </c>
      <c r="B69" s="11" t="s">
        <v>177</v>
      </c>
      <c r="C69" s="11" t="s">
        <v>4</v>
      </c>
      <c r="D69" s="11" t="s">
        <v>178</v>
      </c>
      <c r="E69" s="11" t="s">
        <v>160</v>
      </c>
      <c r="F69" s="11" t="s">
        <v>161</v>
      </c>
      <c r="G69" s="12">
        <v>1</v>
      </c>
      <c r="H69" s="12">
        <v>72.5</v>
      </c>
      <c r="I69" s="12">
        <v>72.5</v>
      </c>
      <c r="J69" s="12">
        <v>18313.14</v>
      </c>
      <c r="K69" s="20">
        <f t="shared" si="14"/>
        <v>2</v>
      </c>
      <c r="L69" s="20" t="str">
        <f t="shared" si="15"/>
        <v>Se repite 2 veces</v>
      </c>
      <c r="M69" s="20" t="str">
        <f t="shared" si="16"/>
        <v>Belmont International Trading Corp-Belmont Choclo Desgranado 3Lb x 10</v>
      </c>
      <c r="N69" s="20">
        <f t="shared" si="17"/>
        <v>2</v>
      </c>
      <c r="O69" s="20" t="str">
        <f t="shared" si="18"/>
        <v>Se repite 2 veces en Belmont International Trading Corp</v>
      </c>
      <c r="P69" s="20" t="str">
        <f t="shared" si="19"/>
        <v>Belmont International Trading Corp-Belmont Choclo Desgranado 3Lb x 10-72.5</v>
      </c>
      <c r="Q69" s="20">
        <f t="shared" si="20"/>
        <v>2</v>
      </c>
      <c r="R69" s="20" t="str">
        <f t="shared" si="21"/>
        <v>Se repite 2 veces el precio de 72.5</v>
      </c>
      <c r="S69" s="20" t="str">
        <f t="shared" si="22"/>
        <v>El producto Belmont Choclo Desgranado 3Lb x 10 Se repite 2 veces en Belmont International Trading Corp, Se repite 2 veces el precio de 72.5</v>
      </c>
      <c r="T69" s="20" t="str">
        <f t="shared" si="23"/>
        <v>Belmont International Trading Corp</v>
      </c>
      <c r="U69" s="20" t="str">
        <f t="shared" si="24"/>
        <v>Belmont Choclo Desgranado 3Lb x 10</v>
      </c>
      <c r="V69" s="22">
        <f t="shared" si="25"/>
        <v>72.5</v>
      </c>
      <c r="W69" t="str">
        <f t="shared" si="26"/>
        <v>Belmont International Trading Corp 10/20/2025</v>
      </c>
      <c r="Z69">
        <f t="shared" si="27"/>
        <v>72.5</v>
      </c>
    </row>
    <row r="70" spans="1:26" hidden="1" x14ac:dyDescent="0.25">
      <c r="A70" s="2" t="s">
        <v>18</v>
      </c>
      <c r="B70" s="11" t="s">
        <v>19</v>
      </c>
      <c r="C70" s="11" t="s">
        <v>4</v>
      </c>
      <c r="D70" s="11" t="s">
        <v>20</v>
      </c>
      <c r="E70" s="11" t="s">
        <v>108</v>
      </c>
      <c r="F70" s="11" t="s">
        <v>109</v>
      </c>
      <c r="G70" s="12">
        <v>1</v>
      </c>
      <c r="H70" s="12">
        <v>35.5</v>
      </c>
      <c r="I70" s="12">
        <v>35.5</v>
      </c>
      <c r="J70" s="12">
        <v>4668.8</v>
      </c>
      <c r="K70" s="20">
        <f t="shared" si="14"/>
        <v>2</v>
      </c>
      <c r="L70" s="20" t="str">
        <f t="shared" si="15"/>
        <v>Se repite 2 veces</v>
      </c>
      <c r="M70" s="20" t="str">
        <f t="shared" si="16"/>
        <v>Belmont International Trading Corp-Belmont Concentrado Chicha Morada  64oz x 6</v>
      </c>
      <c r="N70" s="20">
        <f t="shared" si="17"/>
        <v>2</v>
      </c>
      <c r="O70" s="20" t="str">
        <f t="shared" si="18"/>
        <v>Se repite 2 veces en Belmont International Trading Corp</v>
      </c>
      <c r="P70" s="20" t="str">
        <f t="shared" si="19"/>
        <v>Belmont International Trading Corp-Belmont Concentrado Chicha Morada  64oz x 6-35.5</v>
      </c>
      <c r="Q70" s="20">
        <f t="shared" si="20"/>
        <v>1</v>
      </c>
      <c r="R70" s="20" t="str">
        <f t="shared" si="21"/>
        <v>No se repite</v>
      </c>
      <c r="S70" s="20" t="str">
        <f t="shared" si="22"/>
        <v>El producto Belmont Concentrado Chicha Morada  64oz x 6 Se repite 2 veces en Belmont International Trading Corp Una vez con el precio 35.5</v>
      </c>
      <c r="T70" s="20" t="str">
        <f t="shared" si="23"/>
        <v>Belmont International Trading Corp</v>
      </c>
      <c r="U70" s="20" t="str">
        <f t="shared" si="24"/>
        <v>Belmont Concentrado Chicha Morada  64oz x 6</v>
      </c>
      <c r="V70" s="22">
        <f t="shared" si="25"/>
        <v>35.5</v>
      </c>
      <c r="W70" t="str">
        <f t="shared" si="26"/>
        <v>Belmont International Trading Corp 04/28/2025</v>
      </c>
      <c r="Z70">
        <f t="shared" si="27"/>
        <v>35.5</v>
      </c>
    </row>
    <row r="71" spans="1:26" hidden="1" x14ac:dyDescent="0.25">
      <c r="A71" s="2" t="s">
        <v>18</v>
      </c>
      <c r="B71" s="11" t="s">
        <v>198</v>
      </c>
      <c r="C71" s="11" t="s">
        <v>4</v>
      </c>
      <c r="D71" s="11" t="s">
        <v>199</v>
      </c>
      <c r="E71" s="11" t="s">
        <v>108</v>
      </c>
      <c r="F71" s="11" t="s">
        <v>109</v>
      </c>
      <c r="G71" s="12">
        <v>4</v>
      </c>
      <c r="H71" s="12">
        <v>41.9</v>
      </c>
      <c r="I71" s="12">
        <v>167.6</v>
      </c>
      <c r="J71" s="12">
        <v>21633.239999999998</v>
      </c>
      <c r="K71" s="20">
        <f t="shared" si="14"/>
        <v>2</v>
      </c>
      <c r="L71" s="20" t="str">
        <f t="shared" si="15"/>
        <v>Se repite 2 veces</v>
      </c>
      <c r="M71" s="20" t="str">
        <f t="shared" si="16"/>
        <v>Belmont International Trading Corp-Belmont Concentrado Chicha Morada  64oz x 6</v>
      </c>
      <c r="N71" s="20">
        <f t="shared" si="17"/>
        <v>2</v>
      </c>
      <c r="O71" s="20" t="str">
        <f t="shared" si="18"/>
        <v>Se repite 2 veces en Belmont International Trading Corp</v>
      </c>
      <c r="P71" s="20" t="str">
        <f t="shared" si="19"/>
        <v>Belmont International Trading Corp-Belmont Concentrado Chicha Morada  64oz x 6-41.9</v>
      </c>
      <c r="Q71" s="20">
        <f t="shared" si="20"/>
        <v>1</v>
      </c>
      <c r="R71" s="20" t="str">
        <f t="shared" si="21"/>
        <v>No se repite</v>
      </c>
      <c r="S71" s="20" t="str">
        <f t="shared" si="22"/>
        <v>El producto Belmont Concentrado Chicha Morada  64oz x 6 Se repite 2 veces en Belmont International Trading Corp Una vez con el precio 41.9</v>
      </c>
      <c r="T71" s="20" t="str">
        <f t="shared" si="23"/>
        <v>Belmont International Trading Corp</v>
      </c>
      <c r="U71" s="20" t="str">
        <f t="shared" si="24"/>
        <v>Belmont Concentrado Chicha Morada  64oz x 6</v>
      </c>
      <c r="V71" s="22">
        <f t="shared" si="25"/>
        <v>41.9</v>
      </c>
      <c r="W71" t="str">
        <f t="shared" si="26"/>
        <v>Belmont International Trading Corp 12/11/2025</v>
      </c>
      <c r="Z71">
        <f t="shared" si="27"/>
        <v>167.6</v>
      </c>
    </row>
    <row r="72" spans="1:26" hidden="1" x14ac:dyDescent="0.25">
      <c r="A72" s="2" t="s">
        <v>18</v>
      </c>
      <c r="B72" s="11" t="s">
        <v>19</v>
      </c>
      <c r="C72" s="11" t="s">
        <v>4</v>
      </c>
      <c r="D72" s="11" t="s">
        <v>20</v>
      </c>
      <c r="E72" s="11" t="s">
        <v>112</v>
      </c>
      <c r="F72" s="11" t="s">
        <v>113</v>
      </c>
      <c r="G72" s="12">
        <v>1</v>
      </c>
      <c r="H72" s="12">
        <v>23.5</v>
      </c>
      <c r="I72" s="12">
        <v>23.5</v>
      </c>
      <c r="J72" s="12">
        <v>4770.3</v>
      </c>
      <c r="K72" s="20">
        <f t="shared" si="14"/>
        <v>1</v>
      </c>
      <c r="L72" s="20" t="str">
        <f t="shared" si="15"/>
        <v>No se repite</v>
      </c>
      <c r="M72" s="20" t="str">
        <f t="shared" si="16"/>
        <v>Belmont International Trading Corp-Belmont Culantro pasta 8oz x 12</v>
      </c>
      <c r="N72" s="20">
        <f t="shared" si="17"/>
        <v>1</v>
      </c>
      <c r="O72" s="20" t="str">
        <f t="shared" si="18"/>
        <v>No se repite en proveedor</v>
      </c>
      <c r="P72" s="20" t="str">
        <f t="shared" si="19"/>
        <v>Belmont International Trading Corp-Belmont Culantro pasta 8oz x 12-23.5</v>
      </c>
      <c r="Q72" s="20">
        <f t="shared" si="20"/>
        <v>1</v>
      </c>
      <c r="R72" s="20" t="str">
        <f t="shared" si="21"/>
        <v>No se repite</v>
      </c>
      <c r="S72" s="20" t="str">
        <f t="shared" si="22"/>
        <v>El producto Belmont Culantro pasta 8oz x 12 No se repite en proveedor Una vez con el precio 23.5</v>
      </c>
      <c r="T72" s="20" t="str">
        <f t="shared" si="23"/>
        <v>Belmont International Trading Corp</v>
      </c>
      <c r="U72" s="20" t="str">
        <f t="shared" si="24"/>
        <v>Belmont Culantro pasta 8oz x 12</v>
      </c>
      <c r="V72" s="22">
        <f t="shared" si="25"/>
        <v>23.5</v>
      </c>
      <c r="W72" t="str">
        <f t="shared" si="26"/>
        <v>Belmont International Trading Corp 04/28/2025</v>
      </c>
      <c r="Z72">
        <f t="shared" si="27"/>
        <v>23.5</v>
      </c>
    </row>
    <row r="73" spans="1:26" hidden="1" x14ac:dyDescent="0.25">
      <c r="A73" s="2" t="s">
        <v>18</v>
      </c>
      <c r="B73" s="11" t="s">
        <v>19</v>
      </c>
      <c r="C73" s="11" t="s">
        <v>4</v>
      </c>
      <c r="D73" s="11" t="s">
        <v>20</v>
      </c>
      <c r="E73" s="11" t="s">
        <v>102</v>
      </c>
      <c r="F73" s="11" t="s">
        <v>103</v>
      </c>
      <c r="G73" s="12">
        <v>1</v>
      </c>
      <c r="H73" s="12">
        <v>12.5</v>
      </c>
      <c r="I73" s="12">
        <v>12.5</v>
      </c>
      <c r="J73" s="12">
        <v>4597.3</v>
      </c>
      <c r="K73" s="20">
        <f t="shared" si="14"/>
        <v>2</v>
      </c>
      <c r="L73" s="20" t="str">
        <f t="shared" si="15"/>
        <v>Se repite 2 veces</v>
      </c>
      <c r="M73" s="20" t="str">
        <f t="shared" si="16"/>
        <v>Belmont International Trading Corp-Belmont Emoliente bebida 16oz x 12</v>
      </c>
      <c r="N73" s="20">
        <f t="shared" si="17"/>
        <v>2</v>
      </c>
      <c r="O73" s="20" t="str">
        <f t="shared" si="18"/>
        <v>Se repite 2 veces en Belmont International Trading Corp</v>
      </c>
      <c r="P73" s="20" t="str">
        <f t="shared" si="19"/>
        <v>Belmont International Trading Corp-Belmont Emoliente bebida 16oz x 12-12.5</v>
      </c>
      <c r="Q73" s="20">
        <f t="shared" si="20"/>
        <v>2</v>
      </c>
      <c r="R73" s="20" t="str">
        <f t="shared" si="21"/>
        <v>Se repite 2 veces el precio de 12.5</v>
      </c>
      <c r="S73" s="20" t="str">
        <f t="shared" si="22"/>
        <v>El producto Belmont Emoliente bebida 16oz x 12 Se repite 2 veces en Belmont International Trading Corp, Se repite 2 veces el precio de 12.5</v>
      </c>
      <c r="T73" s="20" t="str">
        <f t="shared" si="23"/>
        <v>Belmont International Trading Corp</v>
      </c>
      <c r="U73" s="20" t="str">
        <f t="shared" si="24"/>
        <v>Belmont Emoliente bebida 16oz x 12</v>
      </c>
      <c r="V73" s="22">
        <f t="shared" si="25"/>
        <v>12.5</v>
      </c>
      <c r="W73" t="str">
        <f t="shared" si="26"/>
        <v>Belmont International Trading Corp 04/28/2025</v>
      </c>
      <c r="Z73">
        <f t="shared" si="27"/>
        <v>12.5</v>
      </c>
    </row>
    <row r="74" spans="1:26" hidden="1" x14ac:dyDescent="0.25">
      <c r="A74" s="2" t="s">
        <v>18</v>
      </c>
      <c r="B74" s="11" t="s">
        <v>177</v>
      </c>
      <c r="C74" s="11" t="s">
        <v>4</v>
      </c>
      <c r="D74" s="11" t="s">
        <v>178</v>
      </c>
      <c r="E74" s="11" t="s">
        <v>102</v>
      </c>
      <c r="F74" s="11" t="s">
        <v>103</v>
      </c>
      <c r="G74" s="12">
        <v>5</v>
      </c>
      <c r="H74" s="12">
        <v>12.5</v>
      </c>
      <c r="I74" s="12">
        <v>62.5</v>
      </c>
      <c r="J74" s="12">
        <v>20184.04</v>
      </c>
      <c r="K74" s="20">
        <f t="shared" si="14"/>
        <v>2</v>
      </c>
      <c r="L74" s="20" t="str">
        <f t="shared" si="15"/>
        <v>Se repite 2 veces</v>
      </c>
      <c r="M74" s="20" t="str">
        <f t="shared" si="16"/>
        <v>Belmont International Trading Corp-Belmont Emoliente bebida 16oz x 12</v>
      </c>
      <c r="N74" s="20">
        <f t="shared" si="17"/>
        <v>2</v>
      </c>
      <c r="O74" s="20" t="str">
        <f t="shared" si="18"/>
        <v>Se repite 2 veces en Belmont International Trading Corp</v>
      </c>
      <c r="P74" s="20" t="str">
        <f t="shared" si="19"/>
        <v>Belmont International Trading Corp-Belmont Emoliente bebida 16oz x 12-12.5</v>
      </c>
      <c r="Q74" s="20">
        <f t="shared" si="20"/>
        <v>2</v>
      </c>
      <c r="R74" s="20" t="str">
        <f t="shared" si="21"/>
        <v>Se repite 2 veces el precio de 12.5</v>
      </c>
      <c r="S74" s="20" t="str">
        <f t="shared" si="22"/>
        <v>El producto Belmont Emoliente bebida 16oz x 12 Se repite 2 veces en Belmont International Trading Corp, Se repite 2 veces el precio de 12.5</v>
      </c>
      <c r="T74" s="20" t="str">
        <f t="shared" si="23"/>
        <v>Belmont International Trading Corp</v>
      </c>
      <c r="U74" s="20" t="str">
        <f t="shared" si="24"/>
        <v>Belmont Emoliente bebida 16oz x 12</v>
      </c>
      <c r="V74" s="22">
        <f t="shared" si="25"/>
        <v>12.5</v>
      </c>
      <c r="W74" t="str">
        <f t="shared" si="26"/>
        <v>Belmont International Trading Corp 10/20/2025</v>
      </c>
      <c r="Z74">
        <f t="shared" si="27"/>
        <v>62.5</v>
      </c>
    </row>
    <row r="75" spans="1:26" hidden="1" x14ac:dyDescent="0.25">
      <c r="A75" s="2" t="s">
        <v>18</v>
      </c>
      <c r="B75" s="11" t="s">
        <v>19</v>
      </c>
      <c r="C75" s="11" t="s">
        <v>4</v>
      </c>
      <c r="D75" s="11" t="s">
        <v>20</v>
      </c>
      <c r="E75" s="11" t="s">
        <v>66</v>
      </c>
      <c r="F75" s="11" t="s">
        <v>67</v>
      </c>
      <c r="G75" s="12">
        <v>1</v>
      </c>
      <c r="H75" s="12">
        <v>48</v>
      </c>
      <c r="I75" s="12">
        <v>48</v>
      </c>
      <c r="J75" s="12">
        <v>3559.3</v>
      </c>
      <c r="K75" s="20">
        <f t="shared" si="14"/>
        <v>1</v>
      </c>
      <c r="L75" s="20" t="str">
        <f t="shared" si="15"/>
        <v>No se repite</v>
      </c>
      <c r="M75" s="20" t="str">
        <f t="shared" si="16"/>
        <v>Belmont International Trading Corp-Belmont Galleta Cream Crackers 258gr x 24</v>
      </c>
      <c r="N75" s="20">
        <f t="shared" si="17"/>
        <v>1</v>
      </c>
      <c r="O75" s="20" t="str">
        <f t="shared" si="18"/>
        <v>No se repite en proveedor</v>
      </c>
      <c r="P75" s="20" t="str">
        <f t="shared" si="19"/>
        <v>Belmont International Trading Corp-Belmont Galleta Cream Crackers 258gr x 24-48</v>
      </c>
      <c r="Q75" s="20">
        <f t="shared" si="20"/>
        <v>1</v>
      </c>
      <c r="R75" s="20" t="str">
        <f t="shared" si="21"/>
        <v>No se repite</v>
      </c>
      <c r="S75" s="20" t="str">
        <f t="shared" si="22"/>
        <v>El producto Belmont Galleta Cream Crackers 258gr x 24 No se repite en proveedor Una vez con el precio 48</v>
      </c>
      <c r="T75" s="20" t="str">
        <f t="shared" si="23"/>
        <v>Belmont International Trading Corp</v>
      </c>
      <c r="U75" s="20" t="str">
        <f t="shared" si="24"/>
        <v>Belmont Galleta Cream Crackers 258gr x 24</v>
      </c>
      <c r="V75" s="22">
        <f t="shared" si="25"/>
        <v>48</v>
      </c>
      <c r="W75" t="str">
        <f t="shared" si="26"/>
        <v>Belmont International Trading Corp 04/28/2025</v>
      </c>
      <c r="Z75">
        <f t="shared" si="27"/>
        <v>48</v>
      </c>
    </row>
    <row r="76" spans="1:26" hidden="1" x14ac:dyDescent="0.25">
      <c r="A76" s="2" t="s">
        <v>18</v>
      </c>
      <c r="B76" s="11" t="s">
        <v>177</v>
      </c>
      <c r="C76" s="11" t="s">
        <v>4</v>
      </c>
      <c r="D76" s="11" t="s">
        <v>178</v>
      </c>
      <c r="E76" s="11" t="s">
        <v>192</v>
      </c>
      <c r="F76" s="11" t="s">
        <v>193</v>
      </c>
      <c r="G76" s="12">
        <v>1</v>
      </c>
      <c r="H76" s="12">
        <v>25</v>
      </c>
      <c r="I76" s="12">
        <v>25</v>
      </c>
      <c r="J76" s="12">
        <v>20544.84</v>
      </c>
      <c r="K76" s="20">
        <f t="shared" si="14"/>
        <v>1</v>
      </c>
      <c r="L76" s="20" t="str">
        <f t="shared" si="15"/>
        <v>No se repite</v>
      </c>
      <c r="M76" s="20" t="str">
        <f t="shared" si="16"/>
        <v>Belmont International Trading Corp-Belmont Habas Secas Peladas 15oz x 12</v>
      </c>
      <c r="N76" s="20">
        <f t="shared" si="17"/>
        <v>1</v>
      </c>
      <c r="O76" s="20" t="str">
        <f t="shared" si="18"/>
        <v>No se repite en proveedor</v>
      </c>
      <c r="P76" s="20" t="str">
        <f t="shared" si="19"/>
        <v>Belmont International Trading Corp-Belmont Habas Secas Peladas 15oz x 12-25</v>
      </c>
      <c r="Q76" s="20">
        <f t="shared" si="20"/>
        <v>1</v>
      </c>
      <c r="R76" s="20" t="str">
        <f t="shared" si="21"/>
        <v>No se repite</v>
      </c>
      <c r="S76" s="20" t="str">
        <f t="shared" si="22"/>
        <v>El producto Belmont Habas Secas Peladas 15oz x 12 No se repite en proveedor Una vez con el precio 25</v>
      </c>
      <c r="T76" s="20" t="str">
        <f t="shared" si="23"/>
        <v>Belmont International Trading Corp</v>
      </c>
      <c r="U76" s="20" t="str">
        <f t="shared" si="24"/>
        <v>Belmont Habas Secas Peladas 15oz x 12</v>
      </c>
      <c r="V76" s="22">
        <f t="shared" si="25"/>
        <v>25</v>
      </c>
      <c r="W76" t="str">
        <f t="shared" si="26"/>
        <v>Belmont International Trading Corp 10/20/2025</v>
      </c>
      <c r="Z76">
        <f t="shared" si="27"/>
        <v>25</v>
      </c>
    </row>
    <row r="77" spans="1:26" hidden="1" x14ac:dyDescent="0.25">
      <c r="A77" s="2" t="s">
        <v>18</v>
      </c>
      <c r="B77" s="11" t="s">
        <v>168</v>
      </c>
      <c r="C77" s="11" t="s">
        <v>4</v>
      </c>
      <c r="D77" s="11" t="s">
        <v>169</v>
      </c>
      <c r="E77" s="11" t="s">
        <v>174</v>
      </c>
      <c r="F77" s="11" t="s">
        <v>174</v>
      </c>
      <c r="G77" s="12">
        <v>2</v>
      </c>
      <c r="H77" s="12">
        <v>22</v>
      </c>
      <c r="I77" s="12">
        <v>44</v>
      </c>
      <c r="J77" s="12">
        <v>17756.34</v>
      </c>
      <c r="K77" s="20">
        <f t="shared" si="14"/>
        <v>1</v>
      </c>
      <c r="L77" s="20" t="str">
        <f t="shared" si="15"/>
        <v>No se repite</v>
      </c>
      <c r="M77" s="20" t="str">
        <f t="shared" si="16"/>
        <v>Belmont International Trading Corp-Belmont Harina de Camote 15oz x 12</v>
      </c>
      <c r="N77" s="20">
        <f t="shared" si="17"/>
        <v>1</v>
      </c>
      <c r="O77" s="20" t="str">
        <f t="shared" si="18"/>
        <v>No se repite en proveedor</v>
      </c>
      <c r="P77" s="20" t="str">
        <f t="shared" si="19"/>
        <v>Belmont International Trading Corp-Belmont Harina de Camote 15oz x 12-22</v>
      </c>
      <c r="Q77" s="20">
        <f t="shared" si="20"/>
        <v>1</v>
      </c>
      <c r="R77" s="20" t="str">
        <f t="shared" si="21"/>
        <v>No se repite</v>
      </c>
      <c r="S77" s="20" t="str">
        <f t="shared" si="22"/>
        <v>El producto Belmont Harina de Camote 15oz x 12 No se repite en proveedor Una vez con el precio 22</v>
      </c>
      <c r="T77" s="20" t="str">
        <f t="shared" si="23"/>
        <v>Belmont International Trading Corp</v>
      </c>
      <c r="U77" s="20" t="str">
        <f t="shared" si="24"/>
        <v>Belmont Harina de Camote 15oz x 12</v>
      </c>
      <c r="V77" s="22">
        <f t="shared" si="25"/>
        <v>22</v>
      </c>
      <c r="W77" t="str">
        <f t="shared" si="26"/>
        <v>Belmont International Trading Corp 07/31/2025</v>
      </c>
      <c r="Z77">
        <f t="shared" si="27"/>
        <v>44</v>
      </c>
    </row>
    <row r="78" spans="1:26" hidden="1" x14ac:dyDescent="0.25">
      <c r="A78" s="2" t="s">
        <v>18</v>
      </c>
      <c r="B78" s="11" t="s">
        <v>19</v>
      </c>
      <c r="C78" s="11" t="s">
        <v>4</v>
      </c>
      <c r="D78" s="11" t="s">
        <v>20</v>
      </c>
      <c r="E78" s="11" t="s">
        <v>100</v>
      </c>
      <c r="F78" s="11" t="s">
        <v>101</v>
      </c>
      <c r="G78" s="12">
        <v>1</v>
      </c>
      <c r="H78" s="12">
        <v>12.5</v>
      </c>
      <c r="I78" s="12">
        <v>12.5</v>
      </c>
      <c r="J78" s="12">
        <v>4584.8</v>
      </c>
      <c r="K78" s="20">
        <f t="shared" si="14"/>
        <v>3</v>
      </c>
      <c r="L78" s="20" t="str">
        <f t="shared" si="15"/>
        <v>Se repite 3 veces</v>
      </c>
      <c r="M78" s="20" t="str">
        <f t="shared" si="16"/>
        <v>Belmont International Trading Corp-Belmont jugo de Maracuya 16oz x 12</v>
      </c>
      <c r="N78" s="20">
        <f t="shared" si="17"/>
        <v>3</v>
      </c>
      <c r="O78" s="20" t="str">
        <f t="shared" si="18"/>
        <v>Se repite 3 veces en Belmont International Trading Corp</v>
      </c>
      <c r="P78" s="20" t="str">
        <f t="shared" si="19"/>
        <v>Belmont International Trading Corp-Belmont jugo de Maracuya 16oz x 12-12.5</v>
      </c>
      <c r="Q78" s="20">
        <f t="shared" si="20"/>
        <v>3</v>
      </c>
      <c r="R78" s="20" t="str">
        <f t="shared" si="21"/>
        <v>Se repite 3 veces el precio de 12.5</v>
      </c>
      <c r="S78" s="20" t="str">
        <f t="shared" si="22"/>
        <v>El producto Belmont jugo de Maracuya 16oz x 12 Se repite 3 veces en Belmont International Trading Corp, Se repite 3 veces el precio de 12.5</v>
      </c>
      <c r="T78" s="20" t="str">
        <f t="shared" si="23"/>
        <v>Belmont International Trading Corp</v>
      </c>
      <c r="U78" s="20" t="str">
        <f t="shared" si="24"/>
        <v>Belmont jugo de Maracuya 16oz x 12</v>
      </c>
      <c r="V78" s="22">
        <f t="shared" si="25"/>
        <v>12.5</v>
      </c>
      <c r="W78" t="str">
        <f t="shared" si="26"/>
        <v>Belmont International Trading Corp 04/28/2025</v>
      </c>
      <c r="Z78">
        <f t="shared" si="27"/>
        <v>12.5</v>
      </c>
    </row>
    <row r="79" spans="1:26" hidden="1" x14ac:dyDescent="0.25">
      <c r="A79" s="2" t="s">
        <v>18</v>
      </c>
      <c r="B79" s="11" t="s">
        <v>168</v>
      </c>
      <c r="C79" s="11" t="s">
        <v>4</v>
      </c>
      <c r="D79" s="11" t="s">
        <v>169</v>
      </c>
      <c r="E79" s="28" t="s">
        <v>100</v>
      </c>
      <c r="F79" s="11" t="s">
        <v>101</v>
      </c>
      <c r="G79" s="12">
        <v>10</v>
      </c>
      <c r="H79" s="12">
        <v>12.5</v>
      </c>
      <c r="I79" s="12">
        <v>125</v>
      </c>
      <c r="J79" s="12">
        <v>16872.34</v>
      </c>
      <c r="K79" s="20">
        <f t="shared" si="14"/>
        <v>3</v>
      </c>
      <c r="L79" s="20" t="str">
        <f t="shared" si="15"/>
        <v>Se repite 3 veces</v>
      </c>
      <c r="M79" s="20" t="str">
        <f t="shared" si="16"/>
        <v>Belmont International Trading Corp-Belmont jugo de Maracuya 16oz x 12</v>
      </c>
      <c r="N79" s="20">
        <f t="shared" si="17"/>
        <v>3</v>
      </c>
      <c r="O79" s="20" t="str">
        <f t="shared" si="18"/>
        <v>Se repite 3 veces en Belmont International Trading Corp</v>
      </c>
      <c r="P79" s="20" t="str">
        <f t="shared" si="19"/>
        <v>Belmont International Trading Corp-Belmont jugo de Maracuya 16oz x 12-12.5</v>
      </c>
      <c r="Q79" s="20">
        <f t="shared" si="20"/>
        <v>3</v>
      </c>
      <c r="R79" s="20" t="str">
        <f t="shared" si="21"/>
        <v>Se repite 3 veces el precio de 12.5</v>
      </c>
      <c r="S79" s="20" t="str">
        <f t="shared" si="22"/>
        <v>El producto Belmont jugo de Maracuya 16oz x 12 Se repite 3 veces en Belmont International Trading Corp, Se repite 3 veces el precio de 12.5</v>
      </c>
      <c r="T79" s="20" t="str">
        <f t="shared" si="23"/>
        <v>Belmont International Trading Corp</v>
      </c>
      <c r="U79" s="20" t="str">
        <f t="shared" si="24"/>
        <v>Belmont jugo de Maracuya 16oz x 12</v>
      </c>
      <c r="V79" s="22">
        <f t="shared" si="25"/>
        <v>12.5</v>
      </c>
      <c r="W79" t="str">
        <f t="shared" si="26"/>
        <v>Belmont International Trading Corp 07/31/2025</v>
      </c>
      <c r="Z79">
        <f t="shared" si="27"/>
        <v>125</v>
      </c>
    </row>
    <row r="80" spans="1:26" hidden="1" x14ac:dyDescent="0.25">
      <c r="A80" s="2" t="s">
        <v>18</v>
      </c>
      <c r="B80" s="11" t="s">
        <v>177</v>
      </c>
      <c r="C80" s="11" t="s">
        <v>4</v>
      </c>
      <c r="D80" s="11" t="s">
        <v>178</v>
      </c>
      <c r="E80" s="11" t="s">
        <v>100</v>
      </c>
      <c r="F80" s="11" t="s">
        <v>101</v>
      </c>
      <c r="G80" s="12">
        <v>17</v>
      </c>
      <c r="H80" s="12">
        <v>12.5</v>
      </c>
      <c r="I80" s="12">
        <v>212.5</v>
      </c>
      <c r="J80" s="12">
        <v>20121.54</v>
      </c>
      <c r="K80" s="20">
        <f t="shared" si="14"/>
        <v>3</v>
      </c>
      <c r="L80" s="20" t="str">
        <f t="shared" si="15"/>
        <v>Se repite 3 veces</v>
      </c>
      <c r="M80" s="20" t="str">
        <f t="shared" si="16"/>
        <v>Belmont International Trading Corp-Belmont jugo de Maracuya 16oz x 12</v>
      </c>
      <c r="N80" s="20">
        <f t="shared" si="17"/>
        <v>3</v>
      </c>
      <c r="O80" s="20" t="str">
        <f t="shared" si="18"/>
        <v>Se repite 3 veces en Belmont International Trading Corp</v>
      </c>
      <c r="P80" s="20" t="str">
        <f t="shared" si="19"/>
        <v>Belmont International Trading Corp-Belmont jugo de Maracuya 16oz x 12-12.5</v>
      </c>
      <c r="Q80" s="20">
        <f t="shared" si="20"/>
        <v>3</v>
      </c>
      <c r="R80" s="20" t="str">
        <f t="shared" si="21"/>
        <v>Se repite 3 veces el precio de 12.5</v>
      </c>
      <c r="S80" s="20" t="str">
        <f t="shared" si="22"/>
        <v>El producto Belmont jugo de Maracuya 16oz x 12 Se repite 3 veces en Belmont International Trading Corp, Se repite 3 veces el precio de 12.5</v>
      </c>
      <c r="T80" s="20" t="str">
        <f t="shared" si="23"/>
        <v>Belmont International Trading Corp</v>
      </c>
      <c r="U80" s="20" t="str">
        <f t="shared" si="24"/>
        <v>Belmont jugo de Maracuya 16oz x 12</v>
      </c>
      <c r="V80" s="22">
        <f t="shared" si="25"/>
        <v>12.5</v>
      </c>
      <c r="W80" t="str">
        <f t="shared" si="26"/>
        <v>Belmont International Trading Corp 10/20/2025</v>
      </c>
      <c r="Z80">
        <f t="shared" si="27"/>
        <v>212.5</v>
      </c>
    </row>
    <row r="81" spans="1:26" hidden="1" x14ac:dyDescent="0.25">
      <c r="A81" s="2" t="s">
        <v>18</v>
      </c>
      <c r="B81" s="11" t="s">
        <v>168</v>
      </c>
      <c r="C81" s="11" t="s">
        <v>4</v>
      </c>
      <c r="D81" s="11" t="s">
        <v>169</v>
      </c>
      <c r="E81" s="11" t="s">
        <v>172</v>
      </c>
      <c r="F81" s="11" t="s">
        <v>173</v>
      </c>
      <c r="G81" s="12">
        <v>20</v>
      </c>
      <c r="H81" s="12">
        <v>12</v>
      </c>
      <c r="I81" s="12">
        <v>240</v>
      </c>
      <c r="J81" s="12">
        <v>17592.34</v>
      </c>
      <c r="K81" s="20">
        <f t="shared" si="14"/>
        <v>2</v>
      </c>
      <c r="L81" s="20" t="str">
        <f t="shared" si="15"/>
        <v>Se repite 2 veces</v>
      </c>
      <c r="M81" s="20" t="str">
        <f t="shared" si="16"/>
        <v>Belmont International Trading Corp-Belmont jugo de Maracuya 1Lt x 6</v>
      </c>
      <c r="N81" s="20">
        <f t="shared" si="17"/>
        <v>2</v>
      </c>
      <c r="O81" s="20" t="str">
        <f t="shared" si="18"/>
        <v>Se repite 2 veces en Belmont International Trading Corp</v>
      </c>
      <c r="P81" s="20" t="str">
        <f t="shared" si="19"/>
        <v>Belmont International Trading Corp-Belmont jugo de Maracuya 1Lt x 6-12</v>
      </c>
      <c r="Q81" s="20">
        <f t="shared" si="20"/>
        <v>2</v>
      </c>
      <c r="R81" s="20" t="str">
        <f t="shared" si="21"/>
        <v>Se repite 2 veces el precio de 12</v>
      </c>
      <c r="S81" s="20" t="str">
        <f t="shared" si="22"/>
        <v>El producto Belmont jugo de Maracuya 1Lt x 6 Se repite 2 veces en Belmont International Trading Corp, Se repite 2 veces el precio de 12</v>
      </c>
      <c r="T81" s="20" t="str">
        <f t="shared" si="23"/>
        <v>Belmont International Trading Corp</v>
      </c>
      <c r="U81" s="20" t="str">
        <f t="shared" si="24"/>
        <v>Belmont jugo de Maracuya 1Lt x 6</v>
      </c>
      <c r="V81" s="22">
        <f t="shared" si="25"/>
        <v>12</v>
      </c>
      <c r="W81" t="str">
        <f t="shared" si="26"/>
        <v>Belmont International Trading Corp 07/31/2025</v>
      </c>
      <c r="Z81">
        <f t="shared" si="27"/>
        <v>240</v>
      </c>
    </row>
    <row r="82" spans="1:26" hidden="1" x14ac:dyDescent="0.25">
      <c r="A82" s="2" t="s">
        <v>18</v>
      </c>
      <c r="B82" s="11" t="s">
        <v>177</v>
      </c>
      <c r="C82" s="11" t="s">
        <v>4</v>
      </c>
      <c r="D82" s="11" t="s">
        <v>178</v>
      </c>
      <c r="E82" s="11" t="s">
        <v>172</v>
      </c>
      <c r="F82" s="11" t="s">
        <v>173</v>
      </c>
      <c r="G82" s="12">
        <v>25</v>
      </c>
      <c r="H82" s="12">
        <v>12</v>
      </c>
      <c r="I82" s="12">
        <v>300</v>
      </c>
      <c r="J82" s="12">
        <v>19696.54</v>
      </c>
      <c r="K82" s="20">
        <f t="shared" si="14"/>
        <v>2</v>
      </c>
      <c r="L82" s="20" t="str">
        <f t="shared" si="15"/>
        <v>Se repite 2 veces</v>
      </c>
      <c r="M82" s="20" t="str">
        <f t="shared" si="16"/>
        <v>Belmont International Trading Corp-Belmont jugo de Maracuya 1Lt x 6</v>
      </c>
      <c r="N82" s="20">
        <f t="shared" si="17"/>
        <v>2</v>
      </c>
      <c r="O82" s="20" t="str">
        <f t="shared" si="18"/>
        <v>Se repite 2 veces en Belmont International Trading Corp</v>
      </c>
      <c r="P82" s="20" t="str">
        <f t="shared" si="19"/>
        <v>Belmont International Trading Corp-Belmont jugo de Maracuya 1Lt x 6-12</v>
      </c>
      <c r="Q82" s="20">
        <f t="shared" si="20"/>
        <v>2</v>
      </c>
      <c r="R82" s="20" t="str">
        <f t="shared" si="21"/>
        <v>Se repite 2 veces el precio de 12</v>
      </c>
      <c r="S82" s="20" t="str">
        <f t="shared" si="22"/>
        <v>El producto Belmont jugo de Maracuya 1Lt x 6 Se repite 2 veces en Belmont International Trading Corp, Se repite 2 veces el precio de 12</v>
      </c>
      <c r="T82" s="20" t="str">
        <f t="shared" si="23"/>
        <v>Belmont International Trading Corp</v>
      </c>
      <c r="U82" s="20" t="str">
        <f t="shared" si="24"/>
        <v>Belmont jugo de Maracuya 1Lt x 6</v>
      </c>
      <c r="V82" s="22">
        <f t="shared" si="25"/>
        <v>12</v>
      </c>
      <c r="W82" t="str">
        <f t="shared" si="26"/>
        <v>Belmont International Trading Corp 10/20/2025</v>
      </c>
      <c r="Z82">
        <f t="shared" si="27"/>
        <v>300</v>
      </c>
    </row>
    <row r="83" spans="1:26" hidden="1" x14ac:dyDescent="0.25">
      <c r="A83" s="2" t="s">
        <v>18</v>
      </c>
      <c r="B83" s="11" t="s">
        <v>19</v>
      </c>
      <c r="C83" s="11" t="s">
        <v>4</v>
      </c>
      <c r="D83" s="11" t="s">
        <v>20</v>
      </c>
      <c r="E83" s="11" t="s">
        <v>140</v>
      </c>
      <c r="F83" s="11" t="s">
        <v>141</v>
      </c>
      <c r="G83" s="12">
        <v>2</v>
      </c>
      <c r="H83" s="12">
        <v>22</v>
      </c>
      <c r="I83" s="12">
        <v>44</v>
      </c>
      <c r="J83" s="12">
        <v>5243.69</v>
      </c>
      <c r="K83" s="20">
        <f t="shared" si="14"/>
        <v>1</v>
      </c>
      <c r="L83" s="20" t="str">
        <f t="shared" si="15"/>
        <v>No se repite</v>
      </c>
      <c r="M83" s="20" t="str">
        <f t="shared" si="16"/>
        <v>Belmont International Trading Corp-Belmont Maiz Cancha 15oz x 12</v>
      </c>
      <c r="N83" s="20">
        <f t="shared" si="17"/>
        <v>1</v>
      </c>
      <c r="O83" s="20" t="str">
        <f t="shared" si="18"/>
        <v>No se repite en proveedor</v>
      </c>
      <c r="P83" s="20" t="str">
        <f t="shared" si="19"/>
        <v>Belmont International Trading Corp-Belmont Maiz Cancha 15oz x 12-22</v>
      </c>
      <c r="Q83" s="20">
        <f t="shared" si="20"/>
        <v>1</v>
      </c>
      <c r="R83" s="20" t="str">
        <f t="shared" si="21"/>
        <v>No se repite</v>
      </c>
      <c r="S83" s="20" t="str">
        <f t="shared" si="22"/>
        <v>El producto Belmont Maiz Cancha 15oz x 12 No se repite en proveedor Una vez con el precio 22</v>
      </c>
      <c r="T83" s="20" t="str">
        <f t="shared" si="23"/>
        <v>Belmont International Trading Corp</v>
      </c>
      <c r="U83" s="20" t="str">
        <f t="shared" si="24"/>
        <v>Belmont Maiz Cancha 15oz x 12</v>
      </c>
      <c r="V83" s="22">
        <f t="shared" si="25"/>
        <v>22</v>
      </c>
      <c r="W83" t="str">
        <f t="shared" si="26"/>
        <v>Belmont International Trading Corp 04/28/2025</v>
      </c>
      <c r="Z83">
        <f t="shared" si="27"/>
        <v>44</v>
      </c>
    </row>
    <row r="84" spans="1:26" hidden="1" x14ac:dyDescent="0.25">
      <c r="A84" s="2" t="s">
        <v>18</v>
      </c>
      <c r="B84" s="11" t="s">
        <v>19</v>
      </c>
      <c r="C84" s="11" t="s">
        <v>4</v>
      </c>
      <c r="D84" s="11" t="s">
        <v>20</v>
      </c>
      <c r="E84" s="11" t="s">
        <v>142</v>
      </c>
      <c r="F84" s="11" t="s">
        <v>143</v>
      </c>
      <c r="G84" s="12">
        <v>4</v>
      </c>
      <c r="H84" s="12">
        <v>29</v>
      </c>
      <c r="I84" s="12">
        <v>116</v>
      </c>
      <c r="J84" s="12">
        <v>5359.69</v>
      </c>
      <c r="K84" s="20">
        <f t="shared" si="14"/>
        <v>1</v>
      </c>
      <c r="L84" s="20" t="str">
        <f t="shared" si="15"/>
        <v>No se repite</v>
      </c>
      <c r="M84" s="20" t="str">
        <f t="shared" si="16"/>
        <v>Belmont International Trading Corp-Belmont Maiz Chulpe 15oz x 12</v>
      </c>
      <c r="N84" s="20">
        <f t="shared" si="17"/>
        <v>1</v>
      </c>
      <c r="O84" s="20" t="str">
        <f t="shared" si="18"/>
        <v>No se repite en proveedor</v>
      </c>
      <c r="P84" s="20" t="str">
        <f t="shared" si="19"/>
        <v>Belmont International Trading Corp-Belmont Maiz Chulpe 15oz x 12-29</v>
      </c>
      <c r="Q84" s="20">
        <f t="shared" si="20"/>
        <v>1</v>
      </c>
      <c r="R84" s="20" t="str">
        <f t="shared" si="21"/>
        <v>No se repite</v>
      </c>
      <c r="S84" s="20" t="str">
        <f t="shared" si="22"/>
        <v>El producto Belmont Maiz Chulpe 15oz x 12 No se repite en proveedor Una vez con el precio 29</v>
      </c>
      <c r="T84" s="20" t="str">
        <f t="shared" si="23"/>
        <v>Belmont International Trading Corp</v>
      </c>
      <c r="U84" s="20" t="str">
        <f t="shared" si="24"/>
        <v>Belmont Maiz Chulpe 15oz x 12</v>
      </c>
      <c r="V84" s="22">
        <f t="shared" si="25"/>
        <v>29</v>
      </c>
      <c r="W84" t="str">
        <f t="shared" si="26"/>
        <v>Belmont International Trading Corp 04/28/2025</v>
      </c>
      <c r="Z84">
        <f t="shared" si="27"/>
        <v>116</v>
      </c>
    </row>
    <row r="85" spans="1:26" hidden="1" x14ac:dyDescent="0.25">
      <c r="A85" s="2" t="s">
        <v>18</v>
      </c>
      <c r="B85" s="11" t="s">
        <v>148</v>
      </c>
      <c r="C85" s="11" t="s">
        <v>4</v>
      </c>
      <c r="D85" s="11" t="s">
        <v>149</v>
      </c>
      <c r="E85" s="11" t="s">
        <v>156</v>
      </c>
      <c r="F85" s="11" t="s">
        <v>157</v>
      </c>
      <c r="G85" s="12">
        <v>20</v>
      </c>
      <c r="H85" s="12">
        <v>27.9</v>
      </c>
      <c r="I85" s="12">
        <v>558</v>
      </c>
      <c r="J85" s="12">
        <v>11854.64</v>
      </c>
      <c r="K85" s="20">
        <f t="shared" si="14"/>
        <v>1</v>
      </c>
      <c r="L85" s="20" t="str">
        <f t="shared" si="15"/>
        <v>No se repite</v>
      </c>
      <c r="M85" s="20" t="str">
        <f t="shared" si="16"/>
        <v>Belmont International Trading Corp-Belmont Maiz Morado x 15oz</v>
      </c>
      <c r="N85" s="20">
        <f t="shared" si="17"/>
        <v>1</v>
      </c>
      <c r="O85" s="20" t="str">
        <f t="shared" si="18"/>
        <v>No se repite en proveedor</v>
      </c>
      <c r="P85" s="20" t="str">
        <f t="shared" si="19"/>
        <v>Belmont International Trading Corp-Belmont Maiz Morado x 15oz-27.9</v>
      </c>
      <c r="Q85" s="20">
        <f t="shared" si="20"/>
        <v>1</v>
      </c>
      <c r="R85" s="20" t="str">
        <f t="shared" si="21"/>
        <v>No se repite</v>
      </c>
      <c r="S85" s="20" t="str">
        <f t="shared" si="22"/>
        <v>El producto Belmont Maiz Morado x 15oz No se repite en proveedor Una vez con el precio 27.9</v>
      </c>
      <c r="T85" s="20" t="str">
        <f t="shared" si="23"/>
        <v>Belmont International Trading Corp</v>
      </c>
      <c r="U85" s="20" t="str">
        <f t="shared" si="24"/>
        <v>Belmont Maiz Morado x 15oz</v>
      </c>
      <c r="V85" s="22">
        <f t="shared" si="25"/>
        <v>27.9</v>
      </c>
      <c r="W85" t="str">
        <f t="shared" si="26"/>
        <v>Belmont International Trading Corp 05/16/2025</v>
      </c>
      <c r="Z85">
        <f t="shared" si="27"/>
        <v>558</v>
      </c>
    </row>
    <row r="86" spans="1:26" hidden="1" x14ac:dyDescent="0.25">
      <c r="A86" s="2" t="s">
        <v>18</v>
      </c>
      <c r="B86" s="11" t="s">
        <v>168</v>
      </c>
      <c r="C86" s="11" t="s">
        <v>4</v>
      </c>
      <c r="D86" s="11" t="s">
        <v>169</v>
      </c>
      <c r="E86" s="11" t="s">
        <v>170</v>
      </c>
      <c r="F86" s="11" t="s">
        <v>171</v>
      </c>
      <c r="G86" s="12">
        <v>5</v>
      </c>
      <c r="H86" s="12">
        <v>12.5</v>
      </c>
      <c r="I86" s="12">
        <v>62.5</v>
      </c>
      <c r="J86" s="12">
        <v>16747.34</v>
      </c>
      <c r="K86" s="20">
        <f t="shared" si="14"/>
        <v>1</v>
      </c>
      <c r="L86" s="20" t="str">
        <f t="shared" si="15"/>
        <v>No se repite</v>
      </c>
      <c r="M86" s="20" t="str">
        <f t="shared" si="16"/>
        <v>Belmont International Trading Corp-Belmont Mango Nectar</v>
      </c>
      <c r="N86" s="20">
        <f t="shared" si="17"/>
        <v>1</v>
      </c>
      <c r="O86" s="20" t="str">
        <f t="shared" si="18"/>
        <v>No se repite en proveedor</v>
      </c>
      <c r="P86" s="20" t="str">
        <f t="shared" si="19"/>
        <v>Belmont International Trading Corp-Belmont Mango Nectar-12.5</v>
      </c>
      <c r="Q86" s="20">
        <f t="shared" si="20"/>
        <v>1</v>
      </c>
      <c r="R86" s="20" t="str">
        <f t="shared" si="21"/>
        <v>No se repite</v>
      </c>
      <c r="S86" s="20" t="str">
        <f t="shared" si="22"/>
        <v>El producto Belmont Mango Nectar No se repite en proveedor Una vez con el precio 12.5</v>
      </c>
      <c r="T86" s="20" t="str">
        <f t="shared" si="23"/>
        <v>Belmont International Trading Corp</v>
      </c>
      <c r="U86" s="20" t="str">
        <f t="shared" si="24"/>
        <v>Belmont Mango Nectar</v>
      </c>
      <c r="V86" s="22">
        <f t="shared" si="25"/>
        <v>12.5</v>
      </c>
      <c r="W86" t="str">
        <f t="shared" si="26"/>
        <v>Belmont International Trading Corp 07/31/2025</v>
      </c>
      <c r="Z86">
        <f t="shared" si="27"/>
        <v>62.5</v>
      </c>
    </row>
    <row r="87" spans="1:26" hidden="1" x14ac:dyDescent="0.25">
      <c r="A87" s="2" t="s">
        <v>18</v>
      </c>
      <c r="B87" s="11" t="s">
        <v>19</v>
      </c>
      <c r="C87" s="11" t="s">
        <v>4</v>
      </c>
      <c r="D87" s="11" t="s">
        <v>20</v>
      </c>
      <c r="E87" s="11" t="s">
        <v>106</v>
      </c>
      <c r="F87" s="11" t="s">
        <v>107</v>
      </c>
      <c r="G87" s="12">
        <v>1</v>
      </c>
      <c r="H87" s="12">
        <v>12</v>
      </c>
      <c r="I87" s="12">
        <v>12</v>
      </c>
      <c r="J87" s="12">
        <v>4633.3</v>
      </c>
      <c r="K87" s="20">
        <f t="shared" si="14"/>
        <v>2</v>
      </c>
      <c r="L87" s="20" t="str">
        <f t="shared" si="15"/>
        <v>Se repite 2 veces</v>
      </c>
      <c r="M87" s="20" t="str">
        <f t="shared" si="16"/>
        <v>Belmont International Trading Corp-Belmont Mango nectar 1Lt x 6</v>
      </c>
      <c r="N87" s="20">
        <f t="shared" si="17"/>
        <v>2</v>
      </c>
      <c r="O87" s="20" t="str">
        <f t="shared" si="18"/>
        <v>Se repite 2 veces en Belmont International Trading Corp</v>
      </c>
      <c r="P87" s="20" t="str">
        <f t="shared" si="19"/>
        <v>Belmont International Trading Corp-Belmont Mango nectar 1Lt x 6-12</v>
      </c>
      <c r="Q87" s="20">
        <f t="shared" si="20"/>
        <v>2</v>
      </c>
      <c r="R87" s="20" t="str">
        <f t="shared" si="21"/>
        <v>Se repite 2 veces el precio de 12</v>
      </c>
      <c r="S87" s="20" t="str">
        <f t="shared" si="22"/>
        <v>El producto Belmont Mango nectar 1Lt x 6 Se repite 2 veces en Belmont International Trading Corp, Se repite 2 veces el precio de 12</v>
      </c>
      <c r="T87" s="20" t="str">
        <f t="shared" si="23"/>
        <v>Belmont International Trading Corp</v>
      </c>
      <c r="U87" s="20" t="str">
        <f t="shared" si="24"/>
        <v>Belmont Mango nectar 1Lt x 6</v>
      </c>
      <c r="V87" s="22">
        <f t="shared" si="25"/>
        <v>12</v>
      </c>
      <c r="W87" t="str">
        <f t="shared" si="26"/>
        <v>Belmont International Trading Corp 04/28/2025</v>
      </c>
      <c r="Z87">
        <f t="shared" si="27"/>
        <v>12</v>
      </c>
    </row>
    <row r="88" spans="1:26" hidden="1" x14ac:dyDescent="0.25">
      <c r="A88" s="23" t="s">
        <v>18</v>
      </c>
      <c r="B88" s="11" t="s">
        <v>168</v>
      </c>
      <c r="C88" s="11" t="s">
        <v>4</v>
      </c>
      <c r="D88" s="11" t="s">
        <v>169</v>
      </c>
      <c r="E88" s="11" t="s">
        <v>106</v>
      </c>
      <c r="F88" s="11" t="s">
        <v>107</v>
      </c>
      <c r="G88" s="12">
        <v>10</v>
      </c>
      <c r="H88" s="12">
        <v>12</v>
      </c>
      <c r="I88" s="12">
        <v>120</v>
      </c>
      <c r="J88" s="12">
        <v>17712.34</v>
      </c>
      <c r="K88" s="20">
        <f t="shared" si="14"/>
        <v>2</v>
      </c>
      <c r="L88" s="20" t="str">
        <f t="shared" si="15"/>
        <v>Se repite 2 veces</v>
      </c>
      <c r="M88" s="20" t="str">
        <f t="shared" si="16"/>
        <v>Belmont International Trading Corp-Belmont Mango nectar 1Lt x 6</v>
      </c>
      <c r="N88" s="20">
        <f t="shared" si="17"/>
        <v>2</v>
      </c>
      <c r="O88" s="20" t="str">
        <f t="shared" si="18"/>
        <v>Se repite 2 veces en Belmont International Trading Corp</v>
      </c>
      <c r="P88" s="20" t="str">
        <f t="shared" si="19"/>
        <v>Belmont International Trading Corp-Belmont Mango nectar 1Lt x 6-12</v>
      </c>
      <c r="Q88" s="20">
        <f t="shared" si="20"/>
        <v>2</v>
      </c>
      <c r="R88" s="20" t="str">
        <f t="shared" si="21"/>
        <v>Se repite 2 veces el precio de 12</v>
      </c>
      <c r="S88" s="20" t="str">
        <f t="shared" si="22"/>
        <v>El producto Belmont Mango nectar 1Lt x 6 Se repite 2 veces en Belmont International Trading Corp, Se repite 2 veces el precio de 12</v>
      </c>
      <c r="T88" s="20" t="str">
        <f t="shared" si="23"/>
        <v>Belmont International Trading Corp</v>
      </c>
      <c r="U88" s="20" t="str">
        <f t="shared" si="24"/>
        <v>Belmont Mango nectar 1Lt x 6</v>
      </c>
      <c r="V88" s="22">
        <f t="shared" si="25"/>
        <v>12</v>
      </c>
      <c r="W88" t="str">
        <f t="shared" si="26"/>
        <v>Belmont International Trading Corp 07/31/2025</v>
      </c>
      <c r="X88" t="s">
        <v>3346</v>
      </c>
      <c r="Z88">
        <f t="shared" si="27"/>
        <v>120</v>
      </c>
    </row>
    <row r="89" spans="1:26" hidden="1" x14ac:dyDescent="0.25">
      <c r="A89" s="2" t="s">
        <v>18</v>
      </c>
      <c r="B89" s="11" t="s">
        <v>177</v>
      </c>
      <c r="C89" s="11" t="s">
        <v>4</v>
      </c>
      <c r="D89" s="11" t="s">
        <v>178</v>
      </c>
      <c r="E89" s="11" t="s">
        <v>183</v>
      </c>
      <c r="F89" s="11" t="s">
        <v>184</v>
      </c>
      <c r="G89" s="12">
        <v>3</v>
      </c>
      <c r="H89" s="12">
        <v>79.5</v>
      </c>
      <c r="I89" s="12">
        <v>238.5</v>
      </c>
      <c r="J89" s="12">
        <v>19036.64</v>
      </c>
      <c r="K89" s="20">
        <f t="shared" si="14"/>
        <v>1</v>
      </c>
      <c r="L89" s="20" t="str">
        <f t="shared" si="15"/>
        <v>No se repite</v>
      </c>
      <c r="M89" s="20" t="str">
        <f t="shared" si="16"/>
        <v>Belmont International Trading Corp-Belmont Maracuya con pepas FROZEN 1Kg x 16</v>
      </c>
      <c r="N89" s="20">
        <f t="shared" si="17"/>
        <v>1</v>
      </c>
      <c r="O89" s="20" t="str">
        <f t="shared" si="18"/>
        <v>No se repite en proveedor</v>
      </c>
      <c r="P89" s="20" t="str">
        <f t="shared" si="19"/>
        <v>Belmont International Trading Corp-Belmont Maracuya con pepas FROZEN 1Kg x 16-79.5</v>
      </c>
      <c r="Q89" s="20">
        <f t="shared" si="20"/>
        <v>1</v>
      </c>
      <c r="R89" s="20" t="str">
        <f t="shared" si="21"/>
        <v>No se repite</v>
      </c>
      <c r="S89" s="20" t="str">
        <f t="shared" si="22"/>
        <v>El producto Belmont Maracuya con pepas FROZEN 1Kg x 16 No se repite en proveedor Una vez con el precio 79.5</v>
      </c>
      <c r="T89" s="20" t="str">
        <f t="shared" si="23"/>
        <v>Belmont International Trading Corp</v>
      </c>
      <c r="U89" s="20" t="str">
        <f t="shared" si="24"/>
        <v>Belmont Maracuya con pepas FROZEN 1Kg x 16</v>
      </c>
      <c r="V89" s="22">
        <f t="shared" si="25"/>
        <v>79.5</v>
      </c>
      <c r="W89" t="str">
        <f t="shared" si="26"/>
        <v>Belmont International Trading Corp 10/20/2025</v>
      </c>
      <c r="Z89">
        <f t="shared" si="27"/>
        <v>238.5</v>
      </c>
    </row>
    <row r="90" spans="1:26" hidden="1" x14ac:dyDescent="0.25">
      <c r="A90" s="2" t="s">
        <v>18</v>
      </c>
      <c r="B90" s="11" t="s">
        <v>177</v>
      </c>
      <c r="C90" s="11" t="s">
        <v>4</v>
      </c>
      <c r="D90" s="11" t="s">
        <v>178</v>
      </c>
      <c r="E90" s="11" t="s">
        <v>194</v>
      </c>
      <c r="F90" s="11" t="s">
        <v>195</v>
      </c>
      <c r="G90" s="12">
        <v>1</v>
      </c>
      <c r="H90" s="12">
        <v>29.9</v>
      </c>
      <c r="I90" s="12">
        <v>29.9</v>
      </c>
      <c r="J90" s="12">
        <v>20574.740000000002</v>
      </c>
      <c r="K90" s="20">
        <f t="shared" si="14"/>
        <v>1</v>
      </c>
      <c r="L90" s="20" t="str">
        <f t="shared" si="15"/>
        <v>No se repite</v>
      </c>
      <c r="M90" s="20" t="str">
        <f t="shared" si="16"/>
        <v>Belmont International Trading Corp-Belmont Pallares 15oz x 14</v>
      </c>
      <c r="N90" s="20">
        <f t="shared" si="17"/>
        <v>1</v>
      </c>
      <c r="O90" s="20" t="str">
        <f t="shared" si="18"/>
        <v>No se repite en proveedor</v>
      </c>
      <c r="P90" s="20" t="str">
        <f t="shared" si="19"/>
        <v>Belmont International Trading Corp-Belmont Pallares 15oz x 14-29.9</v>
      </c>
      <c r="Q90" s="20">
        <f t="shared" si="20"/>
        <v>1</v>
      </c>
      <c r="R90" s="20" t="str">
        <f t="shared" si="21"/>
        <v>No se repite</v>
      </c>
      <c r="S90" s="20" t="str">
        <f t="shared" si="22"/>
        <v>El producto Belmont Pallares 15oz x 14 No se repite en proveedor Una vez con el precio 29.9</v>
      </c>
      <c r="T90" s="20" t="str">
        <f t="shared" si="23"/>
        <v>Belmont International Trading Corp</v>
      </c>
      <c r="U90" s="20" t="str">
        <f t="shared" si="24"/>
        <v>Belmont Pallares 15oz x 14</v>
      </c>
      <c r="V90" s="22">
        <f t="shared" si="25"/>
        <v>29.9</v>
      </c>
      <c r="W90" t="str">
        <f t="shared" si="26"/>
        <v>Belmont International Trading Corp 10/20/2025</v>
      </c>
      <c r="Z90">
        <f t="shared" si="27"/>
        <v>29.9</v>
      </c>
    </row>
    <row r="91" spans="1:26" hidden="1" x14ac:dyDescent="0.25">
      <c r="A91" s="2" t="s">
        <v>18</v>
      </c>
      <c r="B91" s="11" t="s">
        <v>148</v>
      </c>
      <c r="C91" s="11" t="s">
        <v>4</v>
      </c>
      <c r="D91" s="11" t="s">
        <v>149</v>
      </c>
      <c r="E91" s="11" t="s">
        <v>150</v>
      </c>
      <c r="F91" s="11" t="s">
        <v>151</v>
      </c>
      <c r="G91" s="12">
        <v>4</v>
      </c>
      <c r="H91" s="12">
        <v>62.9</v>
      </c>
      <c r="I91" s="12">
        <v>251.6</v>
      </c>
      <c r="J91" s="12">
        <v>5959.64</v>
      </c>
      <c r="K91" s="20">
        <f t="shared" si="14"/>
        <v>1</v>
      </c>
      <c r="L91" s="20" t="str">
        <f t="shared" si="15"/>
        <v>No se repite</v>
      </c>
      <c r="M91" s="20" t="str">
        <f t="shared" si="16"/>
        <v>Belmont International Trading Corp-Belmont Pulpa de Lucuma</v>
      </c>
      <c r="N91" s="20">
        <f t="shared" si="17"/>
        <v>1</v>
      </c>
      <c r="O91" s="20" t="str">
        <f t="shared" si="18"/>
        <v>No se repite en proveedor</v>
      </c>
      <c r="P91" s="20" t="str">
        <f t="shared" si="19"/>
        <v>Belmont International Trading Corp-Belmont Pulpa de Lucuma-62.9</v>
      </c>
      <c r="Q91" s="20">
        <f t="shared" si="20"/>
        <v>1</v>
      </c>
      <c r="R91" s="20" t="str">
        <f t="shared" si="21"/>
        <v>No se repite</v>
      </c>
      <c r="S91" s="20" t="str">
        <f t="shared" si="22"/>
        <v>El producto Belmont Pulpa de Lucuma No se repite en proveedor Una vez con el precio 62.9</v>
      </c>
      <c r="T91" s="20" t="str">
        <f t="shared" si="23"/>
        <v>Belmont International Trading Corp</v>
      </c>
      <c r="U91" s="20" t="str">
        <f t="shared" si="24"/>
        <v>Belmont Pulpa de Lucuma</v>
      </c>
      <c r="V91" s="22">
        <f t="shared" si="25"/>
        <v>62.9</v>
      </c>
      <c r="W91" t="str">
        <f t="shared" si="26"/>
        <v>Belmont International Trading Corp 05/16/2025</v>
      </c>
      <c r="Z91">
        <f t="shared" si="27"/>
        <v>251.6</v>
      </c>
    </row>
    <row r="92" spans="1:26" hidden="1" x14ac:dyDescent="0.25">
      <c r="A92" s="2" t="s">
        <v>18</v>
      </c>
      <c r="B92" s="11" t="s">
        <v>158</v>
      </c>
      <c r="C92" s="11" t="s">
        <v>4</v>
      </c>
      <c r="D92" s="11" t="s">
        <v>159</v>
      </c>
      <c r="E92" s="11" t="s">
        <v>162</v>
      </c>
      <c r="F92" s="11" t="s">
        <v>163</v>
      </c>
      <c r="G92" s="12">
        <v>5</v>
      </c>
      <c r="H92" s="12">
        <v>48.5</v>
      </c>
      <c r="I92" s="12">
        <v>242.5</v>
      </c>
      <c r="J92" s="12">
        <v>12432.14</v>
      </c>
      <c r="K92" s="20">
        <f t="shared" si="14"/>
        <v>3</v>
      </c>
      <c r="L92" s="20" t="str">
        <f t="shared" si="15"/>
        <v>Se repite 3 veces</v>
      </c>
      <c r="M92" s="20" t="str">
        <f t="shared" si="16"/>
        <v>Belmont International Trading Corp-Belmont Pulpa de Maracuya 14oz x 20</v>
      </c>
      <c r="N92" s="20">
        <f t="shared" si="17"/>
        <v>3</v>
      </c>
      <c r="O92" s="20" t="str">
        <f t="shared" si="18"/>
        <v>Se repite 3 veces en Belmont International Trading Corp</v>
      </c>
      <c r="P92" s="20" t="str">
        <f t="shared" si="19"/>
        <v>Belmont International Trading Corp-Belmont Pulpa de Maracuya 14oz x 20-48.5</v>
      </c>
      <c r="Q92" s="20">
        <f t="shared" si="20"/>
        <v>3</v>
      </c>
      <c r="R92" s="20" t="str">
        <f t="shared" si="21"/>
        <v>Se repite 3 veces el precio de 48.5</v>
      </c>
      <c r="S92" s="20" t="str">
        <f t="shared" si="22"/>
        <v>El producto Belmont Pulpa de Maracuya 14oz x 20 Se repite 3 veces en Belmont International Trading Corp, Se repite 3 veces el precio de 48.5</v>
      </c>
      <c r="T92" s="20" t="str">
        <f t="shared" si="23"/>
        <v>Belmont International Trading Corp</v>
      </c>
      <c r="U92" s="20" t="str">
        <f t="shared" si="24"/>
        <v>Belmont Pulpa de Maracuya 14oz x 20</v>
      </c>
      <c r="V92" s="22">
        <f t="shared" si="25"/>
        <v>48.5</v>
      </c>
      <c r="W92" t="str">
        <f t="shared" si="26"/>
        <v>Belmont International Trading Corp 06/12/2025</v>
      </c>
      <c r="Y92" s="27"/>
      <c r="Z92">
        <f t="shared" si="27"/>
        <v>242.5</v>
      </c>
    </row>
    <row r="93" spans="1:26" hidden="1" x14ac:dyDescent="0.25">
      <c r="A93" s="2" t="s">
        <v>18</v>
      </c>
      <c r="B93" s="11" t="s">
        <v>168</v>
      </c>
      <c r="C93" s="11" t="s">
        <v>4</v>
      </c>
      <c r="D93" s="11" t="s">
        <v>169</v>
      </c>
      <c r="E93" s="11" t="s">
        <v>162</v>
      </c>
      <c r="F93" s="11" t="s">
        <v>163</v>
      </c>
      <c r="G93" s="12">
        <v>12</v>
      </c>
      <c r="H93" s="12">
        <v>48.5</v>
      </c>
      <c r="I93" s="12">
        <v>582</v>
      </c>
      <c r="J93" s="12">
        <v>15124.64</v>
      </c>
      <c r="K93" s="20">
        <f t="shared" si="14"/>
        <v>3</v>
      </c>
      <c r="L93" s="20" t="str">
        <f t="shared" si="15"/>
        <v>Se repite 3 veces</v>
      </c>
      <c r="M93" s="20" t="str">
        <f t="shared" si="16"/>
        <v>Belmont International Trading Corp-Belmont Pulpa de Maracuya 14oz x 20</v>
      </c>
      <c r="N93" s="20">
        <f t="shared" si="17"/>
        <v>3</v>
      </c>
      <c r="O93" s="20" t="str">
        <f t="shared" si="18"/>
        <v>Se repite 3 veces en Belmont International Trading Corp</v>
      </c>
      <c r="P93" s="20" t="str">
        <f t="shared" si="19"/>
        <v>Belmont International Trading Corp-Belmont Pulpa de Maracuya 14oz x 20-48.5</v>
      </c>
      <c r="Q93" s="20">
        <f t="shared" si="20"/>
        <v>3</v>
      </c>
      <c r="R93" s="20" t="str">
        <f t="shared" si="21"/>
        <v>Se repite 3 veces el precio de 48.5</v>
      </c>
      <c r="S93" s="20" t="str">
        <f t="shared" si="22"/>
        <v>El producto Belmont Pulpa de Maracuya 14oz x 20 Se repite 3 veces en Belmont International Trading Corp, Se repite 3 veces el precio de 48.5</v>
      </c>
      <c r="T93" s="20" t="str">
        <f t="shared" si="23"/>
        <v>Belmont International Trading Corp</v>
      </c>
      <c r="U93" s="20" t="str">
        <f t="shared" si="24"/>
        <v>Belmont Pulpa de Maracuya 14oz x 20</v>
      </c>
      <c r="V93" s="22">
        <f t="shared" si="25"/>
        <v>48.5</v>
      </c>
      <c r="W93" t="str">
        <f t="shared" si="26"/>
        <v>Belmont International Trading Corp 07/31/2025</v>
      </c>
      <c r="Z93">
        <f t="shared" si="27"/>
        <v>582</v>
      </c>
    </row>
    <row r="94" spans="1:26" hidden="1" x14ac:dyDescent="0.25">
      <c r="A94" s="2" t="s">
        <v>18</v>
      </c>
      <c r="B94" s="11" t="s">
        <v>177</v>
      </c>
      <c r="C94" s="11" t="s">
        <v>4</v>
      </c>
      <c r="D94" s="11" t="s">
        <v>178</v>
      </c>
      <c r="E94" s="11" t="s">
        <v>162</v>
      </c>
      <c r="F94" s="11" t="s">
        <v>163</v>
      </c>
      <c r="G94" s="12">
        <v>10</v>
      </c>
      <c r="H94" s="12">
        <v>48.5</v>
      </c>
      <c r="I94" s="12">
        <v>485</v>
      </c>
      <c r="J94" s="12">
        <v>18798.14</v>
      </c>
      <c r="K94" s="20">
        <f t="shared" si="14"/>
        <v>3</v>
      </c>
      <c r="L94" s="20" t="str">
        <f t="shared" si="15"/>
        <v>Se repite 3 veces</v>
      </c>
      <c r="M94" s="20" t="str">
        <f t="shared" si="16"/>
        <v>Belmont International Trading Corp-Belmont Pulpa de Maracuya 14oz x 20</v>
      </c>
      <c r="N94" s="20">
        <f t="shared" si="17"/>
        <v>3</v>
      </c>
      <c r="O94" s="20" t="str">
        <f t="shared" si="18"/>
        <v>Se repite 3 veces en Belmont International Trading Corp</v>
      </c>
      <c r="P94" s="20" t="str">
        <f t="shared" si="19"/>
        <v>Belmont International Trading Corp-Belmont Pulpa de Maracuya 14oz x 20-48.5</v>
      </c>
      <c r="Q94" s="20">
        <f t="shared" si="20"/>
        <v>3</v>
      </c>
      <c r="R94" s="20" t="str">
        <f t="shared" si="21"/>
        <v>Se repite 3 veces el precio de 48.5</v>
      </c>
      <c r="S94" s="20" t="str">
        <f t="shared" si="22"/>
        <v>El producto Belmont Pulpa de Maracuya 14oz x 20 Se repite 3 veces en Belmont International Trading Corp, Se repite 3 veces el precio de 48.5</v>
      </c>
      <c r="T94" s="20" t="str">
        <f t="shared" si="23"/>
        <v>Belmont International Trading Corp</v>
      </c>
      <c r="U94" s="20" t="str">
        <f t="shared" si="24"/>
        <v>Belmont Pulpa de Maracuya 14oz x 20</v>
      </c>
      <c r="V94" s="22">
        <f t="shared" si="25"/>
        <v>48.5</v>
      </c>
      <c r="W94" t="str">
        <f t="shared" si="26"/>
        <v>Belmont International Trading Corp 10/20/2025</v>
      </c>
      <c r="Z94">
        <f t="shared" si="27"/>
        <v>485</v>
      </c>
    </row>
    <row r="95" spans="1:26" hidden="1" x14ac:dyDescent="0.25">
      <c r="A95" s="2" t="s">
        <v>18</v>
      </c>
      <c r="B95" s="11" t="s">
        <v>158</v>
      </c>
      <c r="C95" s="11" t="s">
        <v>4</v>
      </c>
      <c r="D95" s="11" t="s">
        <v>159</v>
      </c>
      <c r="E95" s="11" t="s">
        <v>164</v>
      </c>
      <c r="F95" s="11" t="s">
        <v>165</v>
      </c>
      <c r="G95" s="12">
        <v>2</v>
      </c>
      <c r="H95" s="12">
        <v>66.5</v>
      </c>
      <c r="I95" s="12">
        <v>133</v>
      </c>
      <c r="J95" s="12">
        <v>12565.14</v>
      </c>
      <c r="K95" s="20">
        <f t="shared" si="14"/>
        <v>1</v>
      </c>
      <c r="L95" s="20" t="str">
        <f t="shared" si="15"/>
        <v>No se repite</v>
      </c>
      <c r="M95" s="20" t="str">
        <f t="shared" si="16"/>
        <v>Belmont International Trading Corp-Belmont Rocoto Desvenado limpio FROZEN 2lb x 10</v>
      </c>
      <c r="N95" s="20">
        <f t="shared" si="17"/>
        <v>1</v>
      </c>
      <c r="O95" s="20" t="str">
        <f t="shared" si="18"/>
        <v>No se repite en proveedor</v>
      </c>
      <c r="P95" s="20" t="str">
        <f t="shared" si="19"/>
        <v>Belmont International Trading Corp-Belmont Rocoto Desvenado limpio FROZEN 2lb x 10-66.5</v>
      </c>
      <c r="Q95" s="20">
        <f t="shared" si="20"/>
        <v>1</v>
      </c>
      <c r="R95" s="20" t="str">
        <f t="shared" si="21"/>
        <v>No se repite</v>
      </c>
      <c r="S95" s="20" t="str">
        <f t="shared" si="22"/>
        <v>El producto Belmont Rocoto Desvenado limpio FROZEN 2lb x 10 No se repite en proveedor Una vez con el precio 66.5</v>
      </c>
      <c r="T95" s="20" t="str">
        <f t="shared" si="23"/>
        <v>Belmont International Trading Corp</v>
      </c>
      <c r="U95" s="20" t="str">
        <f t="shared" si="24"/>
        <v>Belmont Rocoto Desvenado limpio FROZEN 2lb x 10</v>
      </c>
      <c r="V95" s="22">
        <f t="shared" si="25"/>
        <v>66.5</v>
      </c>
      <c r="W95" t="str">
        <f t="shared" si="26"/>
        <v>Belmont International Trading Corp 06/12/2025</v>
      </c>
      <c r="Y95" s="27"/>
      <c r="Z95">
        <f t="shared" si="27"/>
        <v>133</v>
      </c>
    </row>
    <row r="96" spans="1:26" hidden="1" x14ac:dyDescent="0.25">
      <c r="A96" s="2" t="s">
        <v>18</v>
      </c>
      <c r="B96" s="11" t="s">
        <v>177</v>
      </c>
      <c r="C96" s="11" t="s">
        <v>4</v>
      </c>
      <c r="D96" s="11" t="s">
        <v>178</v>
      </c>
      <c r="E96" s="11" t="s">
        <v>190</v>
      </c>
      <c r="F96" s="11" t="s">
        <v>191</v>
      </c>
      <c r="G96" s="12">
        <v>2</v>
      </c>
      <c r="H96" s="12">
        <v>39.9</v>
      </c>
      <c r="I96" s="12">
        <v>79.8</v>
      </c>
      <c r="J96" s="12">
        <v>20519.84</v>
      </c>
      <c r="K96" s="20">
        <f t="shared" si="14"/>
        <v>1</v>
      </c>
      <c r="L96" s="20" t="str">
        <f t="shared" si="15"/>
        <v>No se repite</v>
      </c>
      <c r="M96" s="20" t="str">
        <f t="shared" si="16"/>
        <v>Belmont International Trading Corp-Belmont Rocoto en salmuera 20oz x 12</v>
      </c>
      <c r="N96" s="20">
        <f t="shared" si="17"/>
        <v>1</v>
      </c>
      <c r="O96" s="20" t="str">
        <f t="shared" si="18"/>
        <v>No se repite en proveedor</v>
      </c>
      <c r="P96" s="20" t="str">
        <f t="shared" si="19"/>
        <v>Belmont International Trading Corp-Belmont Rocoto en salmuera 20oz x 12-39.9</v>
      </c>
      <c r="Q96" s="20">
        <f t="shared" si="20"/>
        <v>1</v>
      </c>
      <c r="R96" s="20" t="str">
        <f t="shared" si="21"/>
        <v>No se repite</v>
      </c>
      <c r="S96" s="20" t="str">
        <f t="shared" si="22"/>
        <v>El producto Belmont Rocoto en salmuera 20oz x 12 No se repite en proveedor Una vez con el precio 39.9</v>
      </c>
      <c r="T96" s="20" t="str">
        <f t="shared" si="23"/>
        <v>Belmont International Trading Corp</v>
      </c>
      <c r="U96" s="20" t="str">
        <f t="shared" si="24"/>
        <v>Belmont Rocoto en salmuera 20oz x 12</v>
      </c>
      <c r="V96" s="22">
        <f t="shared" si="25"/>
        <v>39.9</v>
      </c>
      <c r="W96" t="str">
        <f t="shared" si="26"/>
        <v>Belmont International Trading Corp 10/20/2025</v>
      </c>
      <c r="Z96">
        <f t="shared" si="27"/>
        <v>79.8</v>
      </c>
    </row>
    <row r="97" spans="1:26" hidden="1" x14ac:dyDescent="0.25">
      <c r="A97" s="2" t="s">
        <v>18</v>
      </c>
      <c r="B97" s="11" t="s">
        <v>148</v>
      </c>
      <c r="C97" s="11" t="s">
        <v>4</v>
      </c>
      <c r="D97" s="11" t="s">
        <v>149</v>
      </c>
      <c r="E97" s="11" t="s">
        <v>152</v>
      </c>
      <c r="F97" s="11" t="s">
        <v>153</v>
      </c>
      <c r="G97" s="12">
        <v>6</v>
      </c>
      <c r="H97" s="12">
        <v>51</v>
      </c>
      <c r="I97" s="12">
        <v>306</v>
      </c>
      <c r="J97" s="12">
        <v>6549.74</v>
      </c>
      <c r="K97" s="20">
        <f t="shared" si="14"/>
        <v>1</v>
      </c>
      <c r="L97" s="20" t="str">
        <f t="shared" si="15"/>
        <v>No se repite</v>
      </c>
      <c r="M97" s="20" t="str">
        <f t="shared" si="16"/>
        <v>Belmont International Trading Corp-Belmont Rocoto entero FROZEN</v>
      </c>
      <c r="N97" s="20">
        <f t="shared" si="17"/>
        <v>1</v>
      </c>
      <c r="O97" s="20" t="str">
        <f t="shared" si="18"/>
        <v>No se repite en proveedor</v>
      </c>
      <c r="P97" s="20" t="str">
        <f t="shared" si="19"/>
        <v>Belmont International Trading Corp-Belmont Rocoto entero FROZEN-51</v>
      </c>
      <c r="Q97" s="20">
        <f t="shared" si="20"/>
        <v>1</v>
      </c>
      <c r="R97" s="20" t="str">
        <f t="shared" si="21"/>
        <v>No se repite</v>
      </c>
      <c r="S97" s="20" t="str">
        <f t="shared" si="22"/>
        <v>El producto Belmont Rocoto entero FROZEN No se repite en proveedor Una vez con el precio 51</v>
      </c>
      <c r="T97" s="20" t="str">
        <f t="shared" si="23"/>
        <v>Belmont International Trading Corp</v>
      </c>
      <c r="U97" s="20" t="str">
        <f t="shared" si="24"/>
        <v>Belmont Rocoto entero FROZEN</v>
      </c>
      <c r="V97" s="22">
        <f t="shared" si="25"/>
        <v>51</v>
      </c>
      <c r="W97" t="str">
        <f t="shared" si="26"/>
        <v>Belmont International Trading Corp 05/16/2025</v>
      </c>
      <c r="Z97">
        <f t="shared" si="27"/>
        <v>306</v>
      </c>
    </row>
    <row r="98" spans="1:26" hidden="1" x14ac:dyDescent="0.25">
      <c r="A98" s="2" t="s">
        <v>18</v>
      </c>
      <c r="B98" s="11" t="s">
        <v>19</v>
      </c>
      <c r="C98" s="11" t="s">
        <v>4</v>
      </c>
      <c r="D98" s="11" t="s">
        <v>20</v>
      </c>
      <c r="E98" s="11" t="s">
        <v>21</v>
      </c>
      <c r="F98" s="11" t="s">
        <v>22</v>
      </c>
      <c r="G98" s="12">
        <v>1</v>
      </c>
      <c r="H98" s="12">
        <v>54</v>
      </c>
      <c r="I98" s="12">
        <v>54</v>
      </c>
      <c r="J98" s="12">
        <v>54</v>
      </c>
      <c r="K98" s="20">
        <f t="shared" si="14"/>
        <v>5</v>
      </c>
      <c r="L98" s="20" t="str">
        <f t="shared" si="15"/>
        <v>Se repite 5 veces</v>
      </c>
      <c r="M98" s="20" t="str">
        <f t="shared" si="16"/>
        <v>Belmont International Trading Corp-Belmont Yuyo Marino FROZEN 2.2lb x 8</v>
      </c>
      <c r="N98" s="20">
        <f t="shared" si="17"/>
        <v>5</v>
      </c>
      <c r="O98" s="20" t="str">
        <f t="shared" si="18"/>
        <v>Se repite 5 veces en Belmont International Trading Corp</v>
      </c>
      <c r="P98" s="20" t="str">
        <f t="shared" si="19"/>
        <v>Belmont International Trading Corp-Belmont Yuyo Marino FROZEN 2.2lb x 8-54</v>
      </c>
      <c r="Q98" s="20">
        <f t="shared" si="20"/>
        <v>1</v>
      </c>
      <c r="R98" s="20" t="str">
        <f t="shared" si="21"/>
        <v>No se repite</v>
      </c>
      <c r="S98" s="20" t="str">
        <f t="shared" si="22"/>
        <v>El producto Belmont Yuyo Marino FROZEN 2.2lb x 8 Se repite 5 veces en Belmont International Trading Corp Una vez con el precio 54</v>
      </c>
      <c r="T98" s="20" t="str">
        <f t="shared" si="23"/>
        <v>Belmont International Trading Corp</v>
      </c>
      <c r="U98" s="20" t="str">
        <f t="shared" si="24"/>
        <v>Belmont Yuyo Marino FROZEN 2.2lb x 8</v>
      </c>
      <c r="V98" s="22">
        <f t="shared" si="25"/>
        <v>54</v>
      </c>
      <c r="W98" t="str">
        <f t="shared" si="26"/>
        <v>Belmont International Trading Corp 04/28/2025</v>
      </c>
      <c r="Z98">
        <f t="shared" si="27"/>
        <v>54</v>
      </c>
    </row>
    <row r="99" spans="1:26" hidden="1" x14ac:dyDescent="0.25">
      <c r="A99" s="2" t="s">
        <v>18</v>
      </c>
      <c r="B99" s="11" t="s">
        <v>148</v>
      </c>
      <c r="C99" s="11" t="s">
        <v>4</v>
      </c>
      <c r="D99" s="11" t="s">
        <v>149</v>
      </c>
      <c r="E99" s="11" t="s">
        <v>21</v>
      </c>
      <c r="F99" s="11" t="s">
        <v>22</v>
      </c>
      <c r="G99" s="12">
        <v>4</v>
      </c>
      <c r="H99" s="12">
        <v>59.9</v>
      </c>
      <c r="I99" s="12">
        <v>239.6</v>
      </c>
      <c r="J99" s="12">
        <v>5708.04</v>
      </c>
      <c r="K99" s="20">
        <f t="shared" si="14"/>
        <v>5</v>
      </c>
      <c r="L99" s="20" t="str">
        <f t="shared" si="15"/>
        <v>Se repite 5 veces</v>
      </c>
      <c r="M99" s="20" t="str">
        <f t="shared" si="16"/>
        <v>Belmont International Trading Corp-Belmont Yuyo Marino FROZEN 2.2lb x 8</v>
      </c>
      <c r="N99" s="20">
        <f t="shared" si="17"/>
        <v>5</v>
      </c>
      <c r="O99" s="20" t="str">
        <f t="shared" si="18"/>
        <v>Se repite 5 veces en Belmont International Trading Corp</v>
      </c>
      <c r="P99" s="20" t="str">
        <f t="shared" si="19"/>
        <v>Belmont International Trading Corp-Belmont Yuyo Marino FROZEN 2.2lb x 8-59.9</v>
      </c>
      <c r="Q99" s="20">
        <f t="shared" si="20"/>
        <v>4</v>
      </c>
      <c r="R99" s="20" t="str">
        <f t="shared" si="21"/>
        <v>Se repite 4 veces el precio de 59.9</v>
      </c>
      <c r="S99" s="20" t="str">
        <f t="shared" si="22"/>
        <v>El producto Belmont Yuyo Marino FROZEN 2.2lb x 8 Se repite 5 veces en Belmont International Trading Corp, Se repite 4 veces el precio de 59.9</v>
      </c>
      <c r="T99" s="20" t="str">
        <f t="shared" si="23"/>
        <v>Belmont International Trading Corp</v>
      </c>
      <c r="U99" s="20" t="str">
        <f t="shared" si="24"/>
        <v>Belmont Yuyo Marino FROZEN 2.2lb x 8</v>
      </c>
      <c r="V99" s="22">
        <f t="shared" si="25"/>
        <v>59.9</v>
      </c>
      <c r="W99" t="str">
        <f t="shared" si="26"/>
        <v>Belmont International Trading Corp 05/16/2025</v>
      </c>
      <c r="Z99">
        <f t="shared" si="27"/>
        <v>239.6</v>
      </c>
    </row>
    <row r="100" spans="1:26" hidden="1" x14ac:dyDescent="0.25">
      <c r="A100" s="2" t="s">
        <v>18</v>
      </c>
      <c r="B100" s="11" t="s">
        <v>158</v>
      </c>
      <c r="C100" s="11" t="s">
        <v>4</v>
      </c>
      <c r="D100" s="11" t="s">
        <v>159</v>
      </c>
      <c r="E100" s="11" t="s">
        <v>21</v>
      </c>
      <c r="F100" s="11" t="s">
        <v>22</v>
      </c>
      <c r="G100" s="12">
        <v>4</v>
      </c>
      <c r="H100" s="12">
        <v>59.9</v>
      </c>
      <c r="I100" s="12">
        <v>239.6</v>
      </c>
      <c r="J100" s="12">
        <v>12804.74</v>
      </c>
      <c r="K100" s="20">
        <f t="shared" si="14"/>
        <v>5</v>
      </c>
      <c r="L100" s="20" t="str">
        <f t="shared" si="15"/>
        <v>Se repite 5 veces</v>
      </c>
      <c r="M100" s="20" t="str">
        <f t="shared" si="16"/>
        <v>Belmont International Trading Corp-Belmont Yuyo Marino FROZEN 2.2lb x 8</v>
      </c>
      <c r="N100" s="20">
        <f t="shared" si="17"/>
        <v>5</v>
      </c>
      <c r="O100" s="20" t="str">
        <f t="shared" si="18"/>
        <v>Se repite 5 veces en Belmont International Trading Corp</v>
      </c>
      <c r="P100" s="20" t="str">
        <f t="shared" si="19"/>
        <v>Belmont International Trading Corp-Belmont Yuyo Marino FROZEN 2.2lb x 8-59.9</v>
      </c>
      <c r="Q100" s="20">
        <f t="shared" si="20"/>
        <v>4</v>
      </c>
      <c r="R100" s="20" t="str">
        <f t="shared" si="21"/>
        <v>Se repite 4 veces el precio de 59.9</v>
      </c>
      <c r="S100" s="20" t="str">
        <f t="shared" si="22"/>
        <v>El producto Belmont Yuyo Marino FROZEN 2.2lb x 8 Se repite 5 veces en Belmont International Trading Corp, Se repite 4 veces el precio de 59.9</v>
      </c>
      <c r="T100" s="20" t="str">
        <f t="shared" si="23"/>
        <v>Belmont International Trading Corp</v>
      </c>
      <c r="U100" s="20" t="str">
        <f t="shared" si="24"/>
        <v>Belmont Yuyo Marino FROZEN 2.2lb x 8</v>
      </c>
      <c r="V100" s="22">
        <f t="shared" si="25"/>
        <v>59.9</v>
      </c>
      <c r="W100" t="str">
        <f t="shared" si="26"/>
        <v>Belmont International Trading Corp 06/12/2025</v>
      </c>
      <c r="Y100" s="27"/>
      <c r="Z100">
        <f t="shared" si="27"/>
        <v>239.6</v>
      </c>
    </row>
    <row r="101" spans="1:26" hidden="1" x14ac:dyDescent="0.25">
      <c r="A101" s="2" t="s">
        <v>18</v>
      </c>
      <c r="B101" s="11" t="s">
        <v>177</v>
      </c>
      <c r="C101" s="11" t="s">
        <v>4</v>
      </c>
      <c r="D101" s="11" t="s">
        <v>178</v>
      </c>
      <c r="E101" s="11" t="s">
        <v>21</v>
      </c>
      <c r="F101" s="11" t="s">
        <v>22</v>
      </c>
      <c r="G101" s="12">
        <v>1</v>
      </c>
      <c r="H101" s="12">
        <v>59.9</v>
      </c>
      <c r="I101" s="12">
        <v>59.9</v>
      </c>
      <c r="J101" s="12">
        <v>19096.54</v>
      </c>
      <c r="K101" s="20">
        <f t="shared" si="14"/>
        <v>5</v>
      </c>
      <c r="L101" s="20" t="str">
        <f t="shared" si="15"/>
        <v>Se repite 5 veces</v>
      </c>
      <c r="M101" s="20" t="str">
        <f t="shared" si="16"/>
        <v>Belmont International Trading Corp-Belmont Yuyo Marino FROZEN 2.2lb x 8</v>
      </c>
      <c r="N101" s="20">
        <f t="shared" si="17"/>
        <v>5</v>
      </c>
      <c r="O101" s="20" t="str">
        <f t="shared" si="18"/>
        <v>Se repite 5 veces en Belmont International Trading Corp</v>
      </c>
      <c r="P101" s="20" t="str">
        <f t="shared" si="19"/>
        <v>Belmont International Trading Corp-Belmont Yuyo Marino FROZEN 2.2lb x 8-59.9</v>
      </c>
      <c r="Q101" s="20">
        <f t="shared" si="20"/>
        <v>4</v>
      </c>
      <c r="R101" s="20" t="str">
        <f t="shared" si="21"/>
        <v>Se repite 4 veces el precio de 59.9</v>
      </c>
      <c r="S101" s="20" t="str">
        <f t="shared" si="22"/>
        <v>El producto Belmont Yuyo Marino FROZEN 2.2lb x 8 Se repite 5 veces en Belmont International Trading Corp, Se repite 4 veces el precio de 59.9</v>
      </c>
      <c r="T101" s="20" t="str">
        <f t="shared" si="23"/>
        <v>Belmont International Trading Corp</v>
      </c>
      <c r="U101" s="20" t="str">
        <f t="shared" si="24"/>
        <v>Belmont Yuyo Marino FROZEN 2.2lb x 8</v>
      </c>
      <c r="V101" s="22">
        <f t="shared" si="25"/>
        <v>59.9</v>
      </c>
      <c r="W101" t="str">
        <f t="shared" si="26"/>
        <v>Belmont International Trading Corp 10/20/2025</v>
      </c>
      <c r="Z101">
        <f t="shared" si="27"/>
        <v>59.9</v>
      </c>
    </row>
    <row r="102" spans="1:26" hidden="1" x14ac:dyDescent="0.25">
      <c r="A102" s="2" t="s">
        <v>18</v>
      </c>
      <c r="B102" s="11" t="s">
        <v>198</v>
      </c>
      <c r="C102" s="11" t="s">
        <v>4</v>
      </c>
      <c r="D102" s="11" t="s">
        <v>199</v>
      </c>
      <c r="E102" s="11" t="s">
        <v>21</v>
      </c>
      <c r="F102" s="11" t="s">
        <v>22</v>
      </c>
      <c r="G102" s="12">
        <v>2</v>
      </c>
      <c r="H102" s="12">
        <v>59.9</v>
      </c>
      <c r="I102" s="12">
        <v>119.8</v>
      </c>
      <c r="J102" s="12">
        <v>21428.14</v>
      </c>
      <c r="K102" s="20">
        <f t="shared" si="14"/>
        <v>5</v>
      </c>
      <c r="L102" s="20" t="str">
        <f t="shared" si="15"/>
        <v>Se repite 5 veces</v>
      </c>
      <c r="M102" s="20" t="str">
        <f t="shared" si="16"/>
        <v>Belmont International Trading Corp-Belmont Yuyo Marino FROZEN 2.2lb x 8</v>
      </c>
      <c r="N102" s="20">
        <f t="shared" si="17"/>
        <v>5</v>
      </c>
      <c r="O102" s="20" t="str">
        <f t="shared" si="18"/>
        <v>Se repite 5 veces en Belmont International Trading Corp</v>
      </c>
      <c r="P102" s="20" t="str">
        <f t="shared" si="19"/>
        <v>Belmont International Trading Corp-Belmont Yuyo Marino FROZEN 2.2lb x 8-59.9</v>
      </c>
      <c r="Q102" s="20">
        <f t="shared" si="20"/>
        <v>4</v>
      </c>
      <c r="R102" s="20" t="str">
        <f t="shared" si="21"/>
        <v>Se repite 4 veces el precio de 59.9</v>
      </c>
      <c r="S102" s="20" t="str">
        <f t="shared" si="22"/>
        <v>El producto Belmont Yuyo Marino FROZEN 2.2lb x 8 Se repite 5 veces en Belmont International Trading Corp, Se repite 4 veces el precio de 59.9</v>
      </c>
      <c r="T102" s="20" t="str">
        <f t="shared" si="23"/>
        <v>Belmont International Trading Corp</v>
      </c>
      <c r="U102" s="20" t="str">
        <f t="shared" si="24"/>
        <v>Belmont Yuyo Marino FROZEN 2.2lb x 8</v>
      </c>
      <c r="V102" s="22">
        <f t="shared" si="25"/>
        <v>59.9</v>
      </c>
      <c r="W102" t="str">
        <f t="shared" si="26"/>
        <v>Belmont International Trading Corp 12/11/2025</v>
      </c>
      <c r="Z102">
        <f t="shared" si="27"/>
        <v>119.8</v>
      </c>
    </row>
    <row r="103" spans="1:26" hidden="1" x14ac:dyDescent="0.25">
      <c r="A103" s="2" t="s">
        <v>18</v>
      </c>
      <c r="B103" s="11" t="s">
        <v>19</v>
      </c>
      <c r="C103" s="11" t="s">
        <v>4</v>
      </c>
      <c r="D103" s="11" t="s">
        <v>20</v>
      </c>
      <c r="E103" s="11" t="s">
        <v>90</v>
      </c>
      <c r="F103" s="11" t="s">
        <v>91</v>
      </c>
      <c r="G103" s="12">
        <v>1</v>
      </c>
      <c r="H103" s="12">
        <v>16</v>
      </c>
      <c r="I103" s="12">
        <v>16</v>
      </c>
      <c r="J103" s="12">
        <v>4258.8</v>
      </c>
      <c r="K103" s="20">
        <f t="shared" si="14"/>
        <v>5</v>
      </c>
      <c r="L103" s="20" t="str">
        <f t="shared" si="15"/>
        <v>Se repite 5 veces</v>
      </c>
      <c r="M103" s="20" t="str">
        <f t="shared" si="16"/>
        <v>Belmont International Trading Corp-CASINO Galleta Chocolate 51gr x 6 x 8</v>
      </c>
      <c r="N103" s="20">
        <f t="shared" si="17"/>
        <v>2</v>
      </c>
      <c r="O103" s="20" t="str">
        <f t="shared" si="18"/>
        <v>Se repite 2 veces en Belmont International Trading Corp</v>
      </c>
      <c r="P103" s="20" t="str">
        <f t="shared" si="19"/>
        <v>Belmont International Trading Corp-CASINO Galleta Chocolate 51gr x 6 x 8-16</v>
      </c>
      <c r="Q103" s="20">
        <f t="shared" si="20"/>
        <v>1</v>
      </c>
      <c r="R103" s="20" t="str">
        <f t="shared" si="21"/>
        <v>No se repite</v>
      </c>
      <c r="S103" s="20" t="str">
        <f t="shared" si="22"/>
        <v>El producto CASINO Galleta Chocolate 51gr x 6 x 8 Se repite 2 veces en Belmont International Trading Corp Una vez con el precio 16</v>
      </c>
      <c r="T103" s="20" t="str">
        <f t="shared" si="23"/>
        <v>Belmont International Trading Corp</v>
      </c>
      <c r="U103" s="20" t="str">
        <f t="shared" si="24"/>
        <v>CASINO Galleta Chocolate 51gr x 6 x 8</v>
      </c>
      <c r="V103" s="22">
        <f t="shared" si="25"/>
        <v>16</v>
      </c>
      <c r="W103" t="str">
        <f t="shared" si="26"/>
        <v>Belmont International Trading Corp 04/28/2025</v>
      </c>
      <c r="Z103">
        <f t="shared" si="27"/>
        <v>16</v>
      </c>
    </row>
    <row r="104" spans="1:26" hidden="1" x14ac:dyDescent="0.25">
      <c r="A104" s="2" t="s">
        <v>18</v>
      </c>
      <c r="B104" s="11" t="s">
        <v>148</v>
      </c>
      <c r="C104" s="11" t="s">
        <v>4</v>
      </c>
      <c r="D104" s="11" t="s">
        <v>149</v>
      </c>
      <c r="E104" s="11" t="s">
        <v>90</v>
      </c>
      <c r="F104" s="11" t="s">
        <v>91</v>
      </c>
      <c r="G104" s="12">
        <v>10</v>
      </c>
      <c r="H104" s="12">
        <v>17.600000000000001</v>
      </c>
      <c r="I104" s="12">
        <v>176</v>
      </c>
      <c r="J104" s="12">
        <v>10609.74</v>
      </c>
      <c r="K104" s="20">
        <f t="shared" si="14"/>
        <v>5</v>
      </c>
      <c r="L104" s="20" t="str">
        <f t="shared" si="15"/>
        <v>Se repite 5 veces</v>
      </c>
      <c r="M104" s="20" t="str">
        <f t="shared" si="16"/>
        <v>Belmont International Trading Corp-CASINO Galleta Chocolate 51gr x 6 x 8</v>
      </c>
      <c r="N104" s="20">
        <f t="shared" si="17"/>
        <v>2</v>
      </c>
      <c r="O104" s="20" t="str">
        <f t="shared" si="18"/>
        <v>Se repite 2 veces en Belmont International Trading Corp</v>
      </c>
      <c r="P104" s="20" t="str">
        <f t="shared" si="19"/>
        <v>Belmont International Trading Corp-CASINO Galleta Chocolate 51gr x 6 x 8-17.6</v>
      </c>
      <c r="Q104" s="20">
        <f t="shared" si="20"/>
        <v>1</v>
      </c>
      <c r="R104" s="20" t="str">
        <f t="shared" si="21"/>
        <v>No se repite</v>
      </c>
      <c r="S104" s="20" t="str">
        <f t="shared" si="22"/>
        <v>El producto CASINO Galleta Chocolate 51gr x 6 x 8 Se repite 2 veces en Belmont International Trading Corp Una vez con el precio 17.6</v>
      </c>
      <c r="T104" s="20" t="str">
        <f t="shared" si="23"/>
        <v>Belmont International Trading Corp</v>
      </c>
      <c r="U104" s="20" t="str">
        <f t="shared" si="24"/>
        <v>CASINO Galleta Chocolate 51gr x 6 x 8</v>
      </c>
      <c r="V104" s="22">
        <f t="shared" si="25"/>
        <v>17.600000000000001</v>
      </c>
      <c r="W104" t="str">
        <f t="shared" si="26"/>
        <v>Belmont International Trading Corp 05/16/2025</v>
      </c>
      <c r="Z104">
        <f t="shared" si="27"/>
        <v>176</v>
      </c>
    </row>
    <row r="105" spans="1:26" hidden="1" x14ac:dyDescent="0.25">
      <c r="A105" s="2" t="s">
        <v>272</v>
      </c>
      <c r="B105" s="11" t="s">
        <v>273</v>
      </c>
      <c r="C105" s="11" t="s">
        <v>4</v>
      </c>
      <c r="D105" s="11" t="s">
        <v>5</v>
      </c>
      <c r="E105" s="11" t="s">
        <v>90</v>
      </c>
      <c r="F105" s="11" t="s">
        <v>353</v>
      </c>
      <c r="G105" s="12">
        <v>1</v>
      </c>
      <c r="H105" s="12">
        <v>15.5</v>
      </c>
      <c r="I105" s="12">
        <v>15.5</v>
      </c>
      <c r="J105" s="12">
        <v>1395.1999999999998</v>
      </c>
      <c r="K105" s="20">
        <f t="shared" si="14"/>
        <v>5</v>
      </c>
      <c r="L105" s="20" t="str">
        <f t="shared" si="15"/>
        <v>Se repite 5 veces</v>
      </c>
      <c r="M105" s="20" t="str">
        <f t="shared" si="16"/>
        <v>Peru Chef-CASINO Galleta Chocolate 51gr x 6 x 8</v>
      </c>
      <c r="N105" s="20">
        <f t="shared" si="17"/>
        <v>3</v>
      </c>
      <c r="O105" s="20" t="str">
        <f t="shared" si="18"/>
        <v>Se repite 3 veces en Peru Chef</v>
      </c>
      <c r="P105" s="20" t="str">
        <f t="shared" si="19"/>
        <v>Peru Chef-CASINO Galleta Chocolate 51gr x 6 x 8-15.5</v>
      </c>
      <c r="Q105" s="20">
        <f t="shared" si="20"/>
        <v>1</v>
      </c>
      <c r="R105" s="20" t="str">
        <f t="shared" si="21"/>
        <v>No se repite</v>
      </c>
      <c r="S105" s="20" t="str">
        <f t="shared" si="22"/>
        <v>El producto CASINO Galleta Chocolate 51gr x 6 x 8 Se repite 3 veces en Peru Chef Una vez con el precio 15.5</v>
      </c>
      <c r="T105" s="20" t="str">
        <f t="shared" si="23"/>
        <v>Peru Chef</v>
      </c>
      <c r="U105" s="20" t="str">
        <f t="shared" si="24"/>
        <v>CASINO Galleta Chocolate 51gr x 6 x 8</v>
      </c>
      <c r="V105" s="22">
        <f t="shared" si="25"/>
        <v>15.5</v>
      </c>
      <c r="W105" t="str">
        <f t="shared" si="26"/>
        <v>Peru Chef 03/26/2025</v>
      </c>
      <c r="Z105">
        <f t="shared" si="27"/>
        <v>15.5</v>
      </c>
    </row>
    <row r="106" spans="1:26" hidden="1" x14ac:dyDescent="0.25">
      <c r="A106" s="2" t="s">
        <v>272</v>
      </c>
      <c r="B106" s="11" t="s">
        <v>512</v>
      </c>
      <c r="C106" s="11" t="s">
        <v>4</v>
      </c>
      <c r="D106" s="11" t="s">
        <v>513</v>
      </c>
      <c r="E106" s="11" t="s">
        <v>90</v>
      </c>
      <c r="F106" s="11" t="s">
        <v>91</v>
      </c>
      <c r="G106" s="12">
        <v>6</v>
      </c>
      <c r="H106" s="12">
        <v>17</v>
      </c>
      <c r="I106" s="12">
        <v>102</v>
      </c>
      <c r="J106" s="12">
        <v>15140.5</v>
      </c>
      <c r="K106" s="20">
        <f t="shared" si="14"/>
        <v>5</v>
      </c>
      <c r="L106" s="20" t="str">
        <f t="shared" si="15"/>
        <v>Se repite 5 veces</v>
      </c>
      <c r="M106" s="20" t="str">
        <f t="shared" si="16"/>
        <v>Peru Chef-CASINO Galleta Chocolate 51gr x 6 x 8</v>
      </c>
      <c r="N106" s="20">
        <f t="shared" si="17"/>
        <v>3</v>
      </c>
      <c r="O106" s="20" t="str">
        <f t="shared" si="18"/>
        <v>Se repite 3 veces en Peru Chef</v>
      </c>
      <c r="P106" s="20" t="str">
        <f t="shared" si="19"/>
        <v>Peru Chef-CASINO Galleta Chocolate 51gr x 6 x 8-17</v>
      </c>
      <c r="Q106" s="20">
        <f t="shared" si="20"/>
        <v>1</v>
      </c>
      <c r="R106" s="20" t="str">
        <f t="shared" si="21"/>
        <v>No se repite</v>
      </c>
      <c r="S106" s="20" t="str">
        <f t="shared" si="22"/>
        <v>El producto CASINO Galleta Chocolate 51gr x 6 x 8 Se repite 3 veces en Peru Chef Una vez con el precio 17</v>
      </c>
      <c r="T106" s="20" t="str">
        <f t="shared" si="23"/>
        <v>Peru Chef</v>
      </c>
      <c r="U106" s="20" t="str">
        <f t="shared" si="24"/>
        <v>CASINO Galleta Chocolate 51gr x 6 x 8</v>
      </c>
      <c r="V106" s="22">
        <f t="shared" si="25"/>
        <v>17</v>
      </c>
      <c r="W106" t="str">
        <f t="shared" si="26"/>
        <v>Peru Chef 08/28/2025</v>
      </c>
      <c r="Z106">
        <f t="shared" si="27"/>
        <v>102</v>
      </c>
    </row>
    <row r="107" spans="1:26" hidden="1" x14ac:dyDescent="0.25">
      <c r="A107" s="2" t="s">
        <v>272</v>
      </c>
      <c r="B107" s="11" t="s">
        <v>600</v>
      </c>
      <c r="C107" s="11" t="s">
        <v>4</v>
      </c>
      <c r="D107" s="11" t="s">
        <v>601</v>
      </c>
      <c r="E107" s="11" t="s">
        <v>90</v>
      </c>
      <c r="F107" s="11" t="s">
        <v>91</v>
      </c>
      <c r="G107" s="12">
        <v>10</v>
      </c>
      <c r="H107" s="12">
        <v>15.3</v>
      </c>
      <c r="I107" s="12">
        <v>153</v>
      </c>
      <c r="J107" s="12">
        <v>37103.350000000006</v>
      </c>
      <c r="K107" s="20">
        <f t="shared" si="14"/>
        <v>5</v>
      </c>
      <c r="L107" s="20" t="str">
        <f t="shared" si="15"/>
        <v>Se repite 5 veces</v>
      </c>
      <c r="M107" s="20" t="str">
        <f t="shared" si="16"/>
        <v>Peru Chef-CASINO Galleta Chocolate 51gr x 6 x 8</v>
      </c>
      <c r="N107" s="20">
        <f t="shared" si="17"/>
        <v>3</v>
      </c>
      <c r="O107" s="20" t="str">
        <f t="shared" si="18"/>
        <v>Se repite 3 veces en Peru Chef</v>
      </c>
      <c r="P107" s="20" t="str">
        <f t="shared" si="19"/>
        <v>Peru Chef-CASINO Galleta Chocolate 51gr x 6 x 8-15.3</v>
      </c>
      <c r="Q107" s="20">
        <f t="shared" si="20"/>
        <v>1</v>
      </c>
      <c r="R107" s="20" t="str">
        <f t="shared" si="21"/>
        <v>No se repite</v>
      </c>
      <c r="S107" s="20" t="str">
        <f t="shared" si="22"/>
        <v>El producto CASINO Galleta Chocolate 51gr x 6 x 8 Se repite 3 veces en Peru Chef Una vez con el precio 15.3</v>
      </c>
      <c r="T107" s="20" t="str">
        <f t="shared" si="23"/>
        <v>Peru Chef</v>
      </c>
      <c r="U107" s="20" t="str">
        <f t="shared" si="24"/>
        <v>CASINO Galleta Chocolate 51gr x 6 x 8</v>
      </c>
      <c r="V107" s="22">
        <f t="shared" si="25"/>
        <v>15.3</v>
      </c>
      <c r="W107" t="str">
        <f t="shared" si="26"/>
        <v>Peru Chef 11/14/2025</v>
      </c>
      <c r="Z107">
        <f t="shared" si="27"/>
        <v>153</v>
      </c>
    </row>
    <row r="108" spans="1:26" hidden="1" x14ac:dyDescent="0.25">
      <c r="A108" s="2" t="s">
        <v>18</v>
      </c>
      <c r="B108" s="11" t="s">
        <v>19</v>
      </c>
      <c r="C108" s="11" t="s">
        <v>4</v>
      </c>
      <c r="D108" s="11" t="s">
        <v>20</v>
      </c>
      <c r="E108" s="11" t="s">
        <v>88</v>
      </c>
      <c r="F108" s="11" t="s">
        <v>89</v>
      </c>
      <c r="G108" s="12">
        <v>1</v>
      </c>
      <c r="H108" s="12">
        <v>16</v>
      </c>
      <c r="I108" s="12">
        <v>16</v>
      </c>
      <c r="J108" s="12">
        <v>4242.8</v>
      </c>
      <c r="K108" s="20">
        <f t="shared" si="14"/>
        <v>5</v>
      </c>
      <c r="L108" s="20" t="str">
        <f t="shared" si="15"/>
        <v>Se repite 5 veces</v>
      </c>
      <c r="M108" s="20" t="str">
        <f t="shared" si="16"/>
        <v>Belmont International Trading Corp-CASINO Galleta Fresa  51gr x 6 x 8</v>
      </c>
      <c r="N108" s="20">
        <f t="shared" si="17"/>
        <v>2</v>
      </c>
      <c r="O108" s="20" t="str">
        <f t="shared" si="18"/>
        <v>Se repite 2 veces en Belmont International Trading Corp</v>
      </c>
      <c r="P108" s="20" t="str">
        <f t="shared" si="19"/>
        <v>Belmont International Trading Corp-CASINO Galleta Fresa  51gr x 6 x 8-16</v>
      </c>
      <c r="Q108" s="20">
        <f t="shared" si="20"/>
        <v>1</v>
      </c>
      <c r="R108" s="20" t="str">
        <f t="shared" si="21"/>
        <v>No se repite</v>
      </c>
      <c r="S108" s="20" t="str">
        <f t="shared" si="22"/>
        <v>El producto CASINO Galleta Fresa  51gr x 6 x 8 Se repite 2 veces en Belmont International Trading Corp Una vez con el precio 16</v>
      </c>
      <c r="T108" s="20" t="str">
        <f t="shared" si="23"/>
        <v>Belmont International Trading Corp</v>
      </c>
      <c r="U108" s="20" t="str">
        <f t="shared" si="24"/>
        <v>CASINO Galleta Fresa  51gr x 6 x 8</v>
      </c>
      <c r="V108" s="22">
        <f t="shared" si="25"/>
        <v>16</v>
      </c>
      <c r="W108" t="str">
        <f t="shared" si="26"/>
        <v>Belmont International Trading Corp 04/28/2025</v>
      </c>
      <c r="Z108">
        <f t="shared" si="27"/>
        <v>16</v>
      </c>
    </row>
    <row r="109" spans="1:26" hidden="1" x14ac:dyDescent="0.25">
      <c r="A109" s="2" t="s">
        <v>18</v>
      </c>
      <c r="B109" s="11" t="s">
        <v>148</v>
      </c>
      <c r="C109" s="11" t="s">
        <v>4</v>
      </c>
      <c r="D109" s="11" t="s">
        <v>149</v>
      </c>
      <c r="E109" s="11" t="s">
        <v>88</v>
      </c>
      <c r="F109" s="11" t="s">
        <v>89</v>
      </c>
      <c r="G109" s="12">
        <v>10</v>
      </c>
      <c r="H109" s="12">
        <v>17.600000000000001</v>
      </c>
      <c r="I109" s="12">
        <v>176</v>
      </c>
      <c r="J109" s="12">
        <v>10961.74</v>
      </c>
      <c r="K109" s="20">
        <f t="shared" si="14"/>
        <v>5</v>
      </c>
      <c r="L109" s="20" t="str">
        <f t="shared" si="15"/>
        <v>Se repite 5 veces</v>
      </c>
      <c r="M109" s="20" t="str">
        <f t="shared" si="16"/>
        <v>Belmont International Trading Corp-CASINO Galleta Fresa  51gr x 6 x 8</v>
      </c>
      <c r="N109" s="20">
        <f t="shared" si="17"/>
        <v>2</v>
      </c>
      <c r="O109" s="20" t="str">
        <f t="shared" si="18"/>
        <v>Se repite 2 veces en Belmont International Trading Corp</v>
      </c>
      <c r="P109" s="20" t="str">
        <f t="shared" si="19"/>
        <v>Belmont International Trading Corp-CASINO Galleta Fresa  51gr x 6 x 8-17.6</v>
      </c>
      <c r="Q109" s="20">
        <f t="shared" si="20"/>
        <v>1</v>
      </c>
      <c r="R109" s="20" t="str">
        <f t="shared" si="21"/>
        <v>No se repite</v>
      </c>
      <c r="S109" s="20" t="str">
        <f t="shared" si="22"/>
        <v>El producto CASINO Galleta Fresa  51gr x 6 x 8 Se repite 2 veces en Belmont International Trading Corp Una vez con el precio 17.6</v>
      </c>
      <c r="T109" s="20" t="str">
        <f t="shared" si="23"/>
        <v>Belmont International Trading Corp</v>
      </c>
      <c r="U109" s="20" t="str">
        <f t="shared" si="24"/>
        <v>CASINO Galleta Fresa  51gr x 6 x 8</v>
      </c>
      <c r="V109" s="22">
        <f t="shared" si="25"/>
        <v>17.600000000000001</v>
      </c>
      <c r="W109" t="str">
        <f t="shared" si="26"/>
        <v>Belmont International Trading Corp 05/16/2025</v>
      </c>
      <c r="Z109">
        <f t="shared" si="27"/>
        <v>176</v>
      </c>
    </row>
    <row r="110" spans="1:26" hidden="1" x14ac:dyDescent="0.25">
      <c r="A110" s="2" t="s">
        <v>272</v>
      </c>
      <c r="B110" s="11" t="s">
        <v>512</v>
      </c>
      <c r="C110" s="11" t="s">
        <v>4</v>
      </c>
      <c r="D110" s="11" t="s">
        <v>513</v>
      </c>
      <c r="E110" s="11" t="s">
        <v>88</v>
      </c>
      <c r="F110" s="11" t="s">
        <v>89</v>
      </c>
      <c r="G110" s="12">
        <v>4</v>
      </c>
      <c r="H110" s="12">
        <v>17</v>
      </c>
      <c r="I110" s="12">
        <v>68</v>
      </c>
      <c r="J110" s="12">
        <v>15038.5</v>
      </c>
      <c r="K110" s="20">
        <f t="shared" si="14"/>
        <v>5</v>
      </c>
      <c r="L110" s="20" t="str">
        <f t="shared" si="15"/>
        <v>Se repite 5 veces</v>
      </c>
      <c r="M110" s="20" t="str">
        <f t="shared" si="16"/>
        <v>Peru Chef-CASINO Galleta Fresa  51gr x 6 x 8</v>
      </c>
      <c r="N110" s="20">
        <f t="shared" si="17"/>
        <v>2</v>
      </c>
      <c r="O110" s="20" t="str">
        <f t="shared" si="18"/>
        <v>Se repite 2 veces en Peru Chef</v>
      </c>
      <c r="P110" s="20" t="str">
        <f t="shared" si="19"/>
        <v>Peru Chef-CASINO Galleta Fresa  51gr x 6 x 8-17</v>
      </c>
      <c r="Q110" s="20">
        <f t="shared" si="20"/>
        <v>2</v>
      </c>
      <c r="R110" s="20" t="str">
        <f t="shared" si="21"/>
        <v>Se repite 2 veces el precio de 17</v>
      </c>
      <c r="S110" s="20" t="str">
        <f t="shared" si="22"/>
        <v>El producto CASINO Galleta Fresa  51gr x 6 x 8 Se repite 2 veces en Peru Chef, Se repite 2 veces el precio de 17</v>
      </c>
      <c r="T110" s="20" t="str">
        <f t="shared" si="23"/>
        <v>Peru Chef</v>
      </c>
      <c r="U110" s="20" t="str">
        <f t="shared" si="24"/>
        <v>CASINO Galleta Fresa  51gr x 6 x 8</v>
      </c>
      <c r="V110" s="22">
        <f t="shared" si="25"/>
        <v>17</v>
      </c>
      <c r="W110" t="str">
        <f t="shared" si="26"/>
        <v>Peru Chef 08/28/2025</v>
      </c>
      <c r="Z110">
        <f t="shared" si="27"/>
        <v>68</v>
      </c>
    </row>
    <row r="111" spans="1:26" hidden="1" x14ac:dyDescent="0.25">
      <c r="A111" s="2" t="s">
        <v>272</v>
      </c>
      <c r="B111" s="11" t="s">
        <v>563</v>
      </c>
      <c r="C111" s="11" t="s">
        <v>4</v>
      </c>
      <c r="D111" s="11" t="s">
        <v>564</v>
      </c>
      <c r="E111" s="11" t="s">
        <v>88</v>
      </c>
      <c r="F111" s="11" t="s">
        <v>89</v>
      </c>
      <c r="G111" s="12">
        <v>4</v>
      </c>
      <c r="H111" s="12">
        <v>17</v>
      </c>
      <c r="I111" s="12">
        <v>68</v>
      </c>
      <c r="J111" s="12">
        <v>19732</v>
      </c>
      <c r="K111" s="20">
        <f t="shared" si="14"/>
        <v>5</v>
      </c>
      <c r="L111" s="20" t="str">
        <f t="shared" si="15"/>
        <v>Se repite 5 veces</v>
      </c>
      <c r="M111" s="20" t="str">
        <f t="shared" si="16"/>
        <v>Peru Chef-CASINO Galleta Fresa  51gr x 6 x 8</v>
      </c>
      <c r="N111" s="20">
        <f t="shared" si="17"/>
        <v>2</v>
      </c>
      <c r="O111" s="20" t="str">
        <f t="shared" si="18"/>
        <v>Se repite 2 veces en Peru Chef</v>
      </c>
      <c r="P111" s="20" t="str">
        <f t="shared" si="19"/>
        <v>Peru Chef-CASINO Galleta Fresa  51gr x 6 x 8-17</v>
      </c>
      <c r="Q111" s="20">
        <f t="shared" si="20"/>
        <v>2</v>
      </c>
      <c r="R111" s="20" t="str">
        <f t="shared" si="21"/>
        <v>Se repite 2 veces el precio de 17</v>
      </c>
      <c r="S111" s="20" t="str">
        <f t="shared" si="22"/>
        <v>El producto CASINO Galleta Fresa  51gr x 6 x 8 Se repite 2 veces en Peru Chef, Se repite 2 veces el precio de 17</v>
      </c>
      <c r="T111" s="20" t="str">
        <f t="shared" si="23"/>
        <v>Peru Chef</v>
      </c>
      <c r="U111" s="20" t="str">
        <f t="shared" si="24"/>
        <v>CASINO Galleta Fresa  51gr x 6 x 8</v>
      </c>
      <c r="V111" s="22">
        <f t="shared" si="25"/>
        <v>17</v>
      </c>
      <c r="W111" t="str">
        <f t="shared" si="26"/>
        <v>Peru Chef 09/11/2025</v>
      </c>
      <c r="Z111">
        <f t="shared" si="27"/>
        <v>68</v>
      </c>
    </row>
    <row r="112" spans="1:26" hidden="1" x14ac:dyDescent="0.25">
      <c r="A112" s="2" t="s">
        <v>664</v>
      </c>
      <c r="B112" s="11" t="s">
        <v>1207</v>
      </c>
      <c r="C112" s="11" t="s">
        <v>4</v>
      </c>
      <c r="D112" s="11" t="s">
        <v>1208</v>
      </c>
      <c r="E112" s="11" t="s">
        <v>88</v>
      </c>
      <c r="F112" s="11" t="s">
        <v>89</v>
      </c>
      <c r="G112" s="12">
        <v>10</v>
      </c>
      <c r="H112" s="12">
        <v>18.32</v>
      </c>
      <c r="I112" s="12">
        <v>183.2</v>
      </c>
      <c r="J112" s="12">
        <v>112050.01999999989</v>
      </c>
      <c r="K112" s="20">
        <f t="shared" si="14"/>
        <v>5</v>
      </c>
      <c r="L112" s="20" t="str">
        <f t="shared" si="15"/>
        <v>Se repite 5 veces</v>
      </c>
      <c r="M112" s="20" t="str">
        <f t="shared" si="16"/>
        <v>Tradiciones Andinas-CASINO Galleta Fresa  51gr x 6 x 8</v>
      </c>
      <c r="N112" s="20">
        <f t="shared" si="17"/>
        <v>1</v>
      </c>
      <c r="O112" s="20" t="str">
        <f t="shared" si="18"/>
        <v>No se repite en proveedor</v>
      </c>
      <c r="P112" s="20" t="str">
        <f t="shared" si="19"/>
        <v>Tradiciones Andinas-CASINO Galleta Fresa  51gr x 6 x 8-18.32</v>
      </c>
      <c r="Q112" s="20">
        <f t="shared" si="20"/>
        <v>1</v>
      </c>
      <c r="R112" s="20" t="str">
        <f t="shared" si="21"/>
        <v>No se repite</v>
      </c>
      <c r="S112" s="20" t="str">
        <f t="shared" si="22"/>
        <v>El producto CASINO Galleta Fresa  51gr x 6 x 8 No se repite en proveedor Una vez con el precio 18.32</v>
      </c>
      <c r="T112" s="20" t="str">
        <f t="shared" si="23"/>
        <v>Tradiciones Andinas</v>
      </c>
      <c r="U112" s="20" t="str">
        <f t="shared" si="24"/>
        <v>CASINO Galleta Fresa  51gr x 6 x 8</v>
      </c>
      <c r="V112" s="22">
        <f t="shared" si="25"/>
        <v>18.32</v>
      </c>
      <c r="W112" t="str">
        <f t="shared" si="26"/>
        <v>Tradiciones Andinas 11/28/2025</v>
      </c>
      <c r="Z112">
        <f t="shared" si="27"/>
        <v>183.2</v>
      </c>
    </row>
    <row r="113" spans="1:26" hidden="1" x14ac:dyDescent="0.25">
      <c r="A113" s="2" t="s">
        <v>18</v>
      </c>
      <c r="B113" s="11" t="s">
        <v>19</v>
      </c>
      <c r="C113" s="11" t="s">
        <v>4</v>
      </c>
      <c r="D113" s="11" t="s">
        <v>20</v>
      </c>
      <c r="E113" s="11" t="s">
        <v>92</v>
      </c>
      <c r="F113" s="11" t="s">
        <v>93</v>
      </c>
      <c r="G113" s="12">
        <v>1</v>
      </c>
      <c r="H113" s="12">
        <v>16</v>
      </c>
      <c r="I113" s="12">
        <v>16</v>
      </c>
      <c r="J113" s="12">
        <v>4274.8</v>
      </c>
      <c r="K113" s="20">
        <f t="shared" si="14"/>
        <v>3</v>
      </c>
      <c r="L113" s="20" t="str">
        <f t="shared" si="15"/>
        <v>Se repite 3 veces</v>
      </c>
      <c r="M113" s="20" t="str">
        <f t="shared" si="16"/>
        <v>Belmont International Trading Corp-CASINO Galleta Lucuma 51gr x 6 x 8</v>
      </c>
      <c r="N113" s="20">
        <f t="shared" si="17"/>
        <v>1</v>
      </c>
      <c r="O113" s="20" t="str">
        <f t="shared" si="18"/>
        <v>No se repite en proveedor</v>
      </c>
      <c r="P113" s="20" t="str">
        <f t="shared" si="19"/>
        <v>Belmont International Trading Corp-CASINO Galleta Lucuma 51gr x 6 x 8-16</v>
      </c>
      <c r="Q113" s="20">
        <f t="shared" si="20"/>
        <v>1</v>
      </c>
      <c r="R113" s="20" t="str">
        <f t="shared" si="21"/>
        <v>No se repite</v>
      </c>
      <c r="S113" s="20" t="str">
        <f t="shared" si="22"/>
        <v>El producto CASINO Galleta Lucuma 51gr x 6 x 8 No se repite en proveedor Una vez con el precio 16</v>
      </c>
      <c r="T113" s="20" t="str">
        <f t="shared" si="23"/>
        <v>Belmont International Trading Corp</v>
      </c>
      <c r="U113" s="20" t="str">
        <f t="shared" si="24"/>
        <v>CASINO Galleta Lucuma 51gr x 6 x 8</v>
      </c>
      <c r="V113" s="22">
        <f t="shared" si="25"/>
        <v>16</v>
      </c>
      <c r="W113" t="str">
        <f t="shared" si="26"/>
        <v>Belmont International Trading Corp 04/28/2025</v>
      </c>
      <c r="Z113">
        <f t="shared" si="27"/>
        <v>16</v>
      </c>
    </row>
    <row r="114" spans="1:26" hidden="1" x14ac:dyDescent="0.25">
      <c r="A114" s="2" t="s">
        <v>272</v>
      </c>
      <c r="B114" s="11" t="s">
        <v>512</v>
      </c>
      <c r="C114" s="11" t="s">
        <v>4</v>
      </c>
      <c r="D114" s="11" t="s">
        <v>513</v>
      </c>
      <c r="E114" s="11" t="s">
        <v>92</v>
      </c>
      <c r="F114" s="11" t="s">
        <v>93</v>
      </c>
      <c r="G114" s="12">
        <v>2</v>
      </c>
      <c r="H114" s="12">
        <v>17</v>
      </c>
      <c r="I114" s="12">
        <v>34</v>
      </c>
      <c r="J114" s="12">
        <v>19179.5</v>
      </c>
      <c r="K114" s="20">
        <f t="shared" si="14"/>
        <v>3</v>
      </c>
      <c r="L114" s="20" t="str">
        <f t="shared" si="15"/>
        <v>Se repite 3 veces</v>
      </c>
      <c r="M114" s="20" t="str">
        <f t="shared" si="16"/>
        <v>Peru Chef-CASINO Galleta Lucuma 51gr x 6 x 8</v>
      </c>
      <c r="N114" s="20">
        <f t="shared" si="17"/>
        <v>2</v>
      </c>
      <c r="O114" s="20" t="str">
        <f t="shared" si="18"/>
        <v>Se repite 2 veces en Peru Chef</v>
      </c>
      <c r="P114" s="20" t="str">
        <f t="shared" si="19"/>
        <v>Peru Chef-CASINO Galleta Lucuma 51gr x 6 x 8-17</v>
      </c>
      <c r="Q114" s="20">
        <f t="shared" si="20"/>
        <v>1</v>
      </c>
      <c r="R114" s="20" t="str">
        <f t="shared" si="21"/>
        <v>No se repite</v>
      </c>
      <c r="S114" s="20" t="str">
        <f t="shared" si="22"/>
        <v>El producto CASINO Galleta Lucuma 51gr x 6 x 8 Se repite 2 veces en Peru Chef Una vez con el precio 17</v>
      </c>
      <c r="T114" s="20" t="str">
        <f t="shared" si="23"/>
        <v>Peru Chef</v>
      </c>
      <c r="U114" s="20" t="str">
        <f t="shared" si="24"/>
        <v>CASINO Galleta Lucuma 51gr x 6 x 8</v>
      </c>
      <c r="V114" s="22">
        <f t="shared" si="25"/>
        <v>17</v>
      </c>
      <c r="W114" t="str">
        <f t="shared" si="26"/>
        <v>Peru Chef 08/28/2025</v>
      </c>
      <c r="Z114">
        <f t="shared" si="27"/>
        <v>34</v>
      </c>
    </row>
    <row r="115" spans="1:26" hidden="1" x14ac:dyDescent="0.25">
      <c r="A115" s="2" t="s">
        <v>272</v>
      </c>
      <c r="B115" s="11" t="s">
        <v>600</v>
      </c>
      <c r="C115" s="11" t="s">
        <v>4</v>
      </c>
      <c r="D115" s="11" t="s">
        <v>601</v>
      </c>
      <c r="E115" s="11" t="s">
        <v>92</v>
      </c>
      <c r="F115" s="11" t="s">
        <v>93</v>
      </c>
      <c r="G115" s="12">
        <v>10</v>
      </c>
      <c r="H115" s="12">
        <v>15.3</v>
      </c>
      <c r="I115" s="12">
        <v>153</v>
      </c>
      <c r="J115" s="12">
        <v>37256.350000000006</v>
      </c>
      <c r="K115" s="20">
        <f t="shared" si="14"/>
        <v>3</v>
      </c>
      <c r="L115" s="20" t="str">
        <f t="shared" si="15"/>
        <v>Se repite 3 veces</v>
      </c>
      <c r="M115" s="20" t="str">
        <f t="shared" si="16"/>
        <v>Peru Chef-CASINO Galleta Lucuma 51gr x 6 x 8</v>
      </c>
      <c r="N115" s="20">
        <f t="shared" si="17"/>
        <v>2</v>
      </c>
      <c r="O115" s="20" t="str">
        <f t="shared" si="18"/>
        <v>Se repite 2 veces en Peru Chef</v>
      </c>
      <c r="P115" s="20" t="str">
        <f t="shared" si="19"/>
        <v>Peru Chef-CASINO Galleta Lucuma 51gr x 6 x 8-15.3</v>
      </c>
      <c r="Q115" s="20">
        <f t="shared" si="20"/>
        <v>1</v>
      </c>
      <c r="R115" s="20" t="str">
        <f t="shared" si="21"/>
        <v>No se repite</v>
      </c>
      <c r="S115" s="20" t="str">
        <f t="shared" si="22"/>
        <v>El producto CASINO Galleta Lucuma 51gr x 6 x 8 Se repite 2 veces en Peru Chef Una vez con el precio 15.3</v>
      </c>
      <c r="T115" s="20" t="str">
        <f t="shared" si="23"/>
        <v>Peru Chef</v>
      </c>
      <c r="U115" s="20" t="str">
        <f t="shared" si="24"/>
        <v>CASINO Galleta Lucuma 51gr x 6 x 8</v>
      </c>
      <c r="V115" s="22">
        <f t="shared" si="25"/>
        <v>15.3</v>
      </c>
      <c r="W115" t="str">
        <f t="shared" si="26"/>
        <v>Peru Chef 11/14/2025</v>
      </c>
      <c r="Z115">
        <f t="shared" si="27"/>
        <v>153</v>
      </c>
    </row>
    <row r="116" spans="1:26" hidden="1" x14ac:dyDescent="0.25">
      <c r="A116" s="2" t="s">
        <v>18</v>
      </c>
      <c r="B116" s="11" t="s">
        <v>19</v>
      </c>
      <c r="C116" s="11" t="s">
        <v>4</v>
      </c>
      <c r="D116" s="11" t="s">
        <v>20</v>
      </c>
      <c r="E116" s="11" t="s">
        <v>86</v>
      </c>
      <c r="F116" s="11" t="s">
        <v>87</v>
      </c>
      <c r="G116" s="12">
        <v>1</v>
      </c>
      <c r="H116" s="12">
        <v>16</v>
      </c>
      <c r="I116" s="12">
        <v>16</v>
      </c>
      <c r="J116" s="12">
        <v>4226.8</v>
      </c>
      <c r="K116" s="20">
        <f t="shared" si="14"/>
        <v>7</v>
      </c>
      <c r="L116" s="20" t="str">
        <f t="shared" si="15"/>
        <v>Se repite 7 veces</v>
      </c>
      <c r="M116" s="20" t="str">
        <f t="shared" si="16"/>
        <v>Belmont International Trading Corp-CASINO Galleta Menta 51gr x 6 x 8</v>
      </c>
      <c r="N116" s="20">
        <f t="shared" si="17"/>
        <v>3</v>
      </c>
      <c r="O116" s="20" t="str">
        <f t="shared" si="18"/>
        <v>Se repite 3 veces en Belmont International Trading Corp</v>
      </c>
      <c r="P116" s="20" t="str">
        <f t="shared" si="19"/>
        <v>Belmont International Trading Corp-CASINO Galleta Menta 51gr x 6 x 8-16</v>
      </c>
      <c r="Q116" s="20">
        <f t="shared" si="20"/>
        <v>1</v>
      </c>
      <c r="R116" s="20" t="str">
        <f t="shared" si="21"/>
        <v>No se repite</v>
      </c>
      <c r="S116" s="20" t="str">
        <f t="shared" si="22"/>
        <v>El producto CASINO Galleta Menta 51gr x 6 x 8 Se repite 3 veces en Belmont International Trading Corp Una vez con el precio 16</v>
      </c>
      <c r="T116" s="20" t="str">
        <f t="shared" si="23"/>
        <v>Belmont International Trading Corp</v>
      </c>
      <c r="U116" s="20" t="str">
        <f t="shared" si="24"/>
        <v>CASINO Galleta Menta 51gr x 6 x 8</v>
      </c>
      <c r="V116" s="22">
        <f t="shared" si="25"/>
        <v>16</v>
      </c>
      <c r="W116" t="str">
        <f t="shared" si="26"/>
        <v>Belmont International Trading Corp 04/28/2025</v>
      </c>
      <c r="Z116">
        <f t="shared" si="27"/>
        <v>16</v>
      </c>
    </row>
    <row r="117" spans="1:26" hidden="1" x14ac:dyDescent="0.25">
      <c r="A117" s="2" t="s">
        <v>18</v>
      </c>
      <c r="B117" s="11" t="s">
        <v>148</v>
      </c>
      <c r="C117" s="11" t="s">
        <v>4</v>
      </c>
      <c r="D117" s="11" t="s">
        <v>149</v>
      </c>
      <c r="E117" s="11" t="s">
        <v>86</v>
      </c>
      <c r="F117" s="11" t="s">
        <v>87</v>
      </c>
      <c r="G117" s="12">
        <v>10</v>
      </c>
      <c r="H117" s="12">
        <v>17.600000000000001</v>
      </c>
      <c r="I117" s="12">
        <v>176</v>
      </c>
      <c r="J117" s="12">
        <v>10785.74</v>
      </c>
      <c r="K117" s="20">
        <f t="shared" si="14"/>
        <v>7</v>
      </c>
      <c r="L117" s="20" t="str">
        <f t="shared" si="15"/>
        <v>Se repite 7 veces</v>
      </c>
      <c r="M117" s="20" t="str">
        <f t="shared" si="16"/>
        <v>Belmont International Trading Corp-CASINO Galleta Menta 51gr x 6 x 8</v>
      </c>
      <c r="N117" s="20">
        <f t="shared" si="17"/>
        <v>3</v>
      </c>
      <c r="O117" s="20" t="str">
        <f t="shared" si="18"/>
        <v>Se repite 3 veces en Belmont International Trading Corp</v>
      </c>
      <c r="P117" s="20" t="str">
        <f t="shared" si="19"/>
        <v>Belmont International Trading Corp-CASINO Galleta Menta 51gr x 6 x 8-17.6</v>
      </c>
      <c r="Q117" s="20">
        <f t="shared" si="20"/>
        <v>2</v>
      </c>
      <c r="R117" s="20" t="str">
        <f t="shared" si="21"/>
        <v>Se repite 2 veces el precio de 17.6</v>
      </c>
      <c r="S117" s="20" t="str">
        <f t="shared" si="22"/>
        <v>El producto CASINO Galleta Menta 51gr x 6 x 8 Se repite 3 veces en Belmont International Trading Corp, Se repite 2 veces el precio de 17.6</v>
      </c>
      <c r="T117" s="20" t="str">
        <f t="shared" si="23"/>
        <v>Belmont International Trading Corp</v>
      </c>
      <c r="U117" s="20" t="str">
        <f t="shared" si="24"/>
        <v>CASINO Galleta Menta 51gr x 6 x 8</v>
      </c>
      <c r="V117" s="22">
        <f t="shared" si="25"/>
        <v>17.600000000000001</v>
      </c>
      <c r="W117" t="str">
        <f t="shared" si="26"/>
        <v>Belmont International Trading Corp 05/16/2025</v>
      </c>
      <c r="Z117">
        <f t="shared" si="27"/>
        <v>176</v>
      </c>
    </row>
    <row r="118" spans="1:26" hidden="1" x14ac:dyDescent="0.25">
      <c r="A118" s="2" t="s">
        <v>18</v>
      </c>
      <c r="B118" s="11" t="s">
        <v>168</v>
      </c>
      <c r="C118" s="11" t="s">
        <v>4</v>
      </c>
      <c r="D118" s="11" t="s">
        <v>169</v>
      </c>
      <c r="E118" s="11" t="s">
        <v>86</v>
      </c>
      <c r="F118" s="11" t="s">
        <v>87</v>
      </c>
      <c r="G118" s="12">
        <v>1</v>
      </c>
      <c r="H118" s="12">
        <v>17.600000000000001</v>
      </c>
      <c r="I118" s="12">
        <v>17.600000000000001</v>
      </c>
      <c r="J118" s="12">
        <v>17795.439999999999</v>
      </c>
      <c r="K118" s="20">
        <f t="shared" si="14"/>
        <v>7</v>
      </c>
      <c r="L118" s="20" t="str">
        <f t="shared" si="15"/>
        <v>Se repite 7 veces</v>
      </c>
      <c r="M118" s="20" t="str">
        <f t="shared" si="16"/>
        <v>Belmont International Trading Corp-CASINO Galleta Menta 51gr x 6 x 8</v>
      </c>
      <c r="N118" s="20">
        <f t="shared" si="17"/>
        <v>3</v>
      </c>
      <c r="O118" s="20" t="str">
        <f t="shared" si="18"/>
        <v>Se repite 3 veces en Belmont International Trading Corp</v>
      </c>
      <c r="P118" s="20" t="str">
        <f t="shared" si="19"/>
        <v>Belmont International Trading Corp-CASINO Galleta Menta 51gr x 6 x 8-17.6</v>
      </c>
      <c r="Q118" s="20">
        <f t="shared" si="20"/>
        <v>2</v>
      </c>
      <c r="R118" s="20" t="str">
        <f t="shared" si="21"/>
        <v>Se repite 2 veces el precio de 17.6</v>
      </c>
      <c r="S118" s="20" t="str">
        <f t="shared" si="22"/>
        <v>El producto CASINO Galleta Menta 51gr x 6 x 8 Se repite 3 veces en Belmont International Trading Corp, Se repite 2 veces el precio de 17.6</v>
      </c>
      <c r="T118" s="20" t="str">
        <f t="shared" si="23"/>
        <v>Belmont International Trading Corp</v>
      </c>
      <c r="U118" s="20" t="str">
        <f t="shared" si="24"/>
        <v>CASINO Galleta Menta 51gr x 6 x 8</v>
      </c>
      <c r="V118" s="22">
        <f t="shared" si="25"/>
        <v>17.600000000000001</v>
      </c>
      <c r="W118" t="str">
        <f t="shared" si="26"/>
        <v>Belmont International Trading Corp 07/31/2025</v>
      </c>
      <c r="Z118">
        <f t="shared" si="27"/>
        <v>17.600000000000001</v>
      </c>
    </row>
    <row r="119" spans="1:26" hidden="1" x14ac:dyDescent="0.25">
      <c r="A119" s="2" t="s">
        <v>272</v>
      </c>
      <c r="B119" s="11" t="s">
        <v>273</v>
      </c>
      <c r="C119" s="11" t="s">
        <v>4</v>
      </c>
      <c r="D119" s="11" t="s">
        <v>5</v>
      </c>
      <c r="E119" s="11" t="s">
        <v>86</v>
      </c>
      <c r="F119" s="11" t="s">
        <v>352</v>
      </c>
      <c r="G119" s="12">
        <v>1</v>
      </c>
      <c r="H119" s="12">
        <v>15.5</v>
      </c>
      <c r="I119" s="12">
        <v>15.5</v>
      </c>
      <c r="J119" s="12">
        <v>1379.6999999999998</v>
      </c>
      <c r="K119" s="20">
        <f t="shared" si="14"/>
        <v>7</v>
      </c>
      <c r="L119" s="20" t="str">
        <f t="shared" si="15"/>
        <v>Se repite 7 veces</v>
      </c>
      <c r="M119" s="20" t="str">
        <f t="shared" si="16"/>
        <v>Peru Chef-CASINO Galleta Menta 51gr x 6 x 8</v>
      </c>
      <c r="N119" s="20">
        <f t="shared" si="17"/>
        <v>4</v>
      </c>
      <c r="O119" s="20" t="str">
        <f t="shared" si="18"/>
        <v>Se repite 4 veces en Peru Chef</v>
      </c>
      <c r="P119" s="20" t="str">
        <f t="shared" si="19"/>
        <v>Peru Chef-CASINO Galleta Menta 51gr x 6 x 8-15.5</v>
      </c>
      <c r="Q119" s="20">
        <f t="shared" si="20"/>
        <v>1</v>
      </c>
      <c r="R119" s="20" t="str">
        <f t="shared" si="21"/>
        <v>No se repite</v>
      </c>
      <c r="S119" s="20" t="str">
        <f t="shared" si="22"/>
        <v>El producto CASINO Galleta Menta 51gr x 6 x 8 Se repite 4 veces en Peru Chef Una vez con el precio 15.5</v>
      </c>
      <c r="T119" s="20" t="str">
        <f t="shared" si="23"/>
        <v>Peru Chef</v>
      </c>
      <c r="U119" s="20" t="str">
        <f t="shared" si="24"/>
        <v>CASINO Galleta Menta 51gr x 6 x 8</v>
      </c>
      <c r="V119" s="22">
        <f t="shared" si="25"/>
        <v>15.5</v>
      </c>
      <c r="W119" t="str">
        <f t="shared" si="26"/>
        <v>Peru Chef 03/26/2025</v>
      </c>
      <c r="Z119">
        <f t="shared" si="27"/>
        <v>15.5</v>
      </c>
    </row>
    <row r="120" spans="1:26" hidden="1" x14ac:dyDescent="0.25">
      <c r="A120" s="2" t="s">
        <v>272</v>
      </c>
      <c r="B120" s="11" t="s">
        <v>512</v>
      </c>
      <c r="C120" s="11" t="s">
        <v>4</v>
      </c>
      <c r="D120" s="11" t="s">
        <v>513</v>
      </c>
      <c r="E120" s="11" t="s">
        <v>86</v>
      </c>
      <c r="F120" s="11" t="s">
        <v>87</v>
      </c>
      <c r="G120" s="12">
        <v>9</v>
      </c>
      <c r="H120" s="12">
        <v>17</v>
      </c>
      <c r="I120" s="12">
        <v>153</v>
      </c>
      <c r="J120" s="12">
        <v>14970.5</v>
      </c>
      <c r="K120" s="20">
        <f t="shared" si="14"/>
        <v>7</v>
      </c>
      <c r="L120" s="20" t="str">
        <f t="shared" si="15"/>
        <v>Se repite 7 veces</v>
      </c>
      <c r="M120" s="20" t="str">
        <f t="shared" si="16"/>
        <v>Peru Chef-CASINO Galleta Menta 51gr x 6 x 8</v>
      </c>
      <c r="N120" s="20">
        <f t="shared" si="17"/>
        <v>4</v>
      </c>
      <c r="O120" s="20" t="str">
        <f t="shared" si="18"/>
        <v>Se repite 4 veces en Peru Chef</v>
      </c>
      <c r="P120" s="20" t="str">
        <f t="shared" si="19"/>
        <v>Peru Chef-CASINO Galleta Menta 51gr x 6 x 8-17</v>
      </c>
      <c r="Q120" s="20">
        <f t="shared" si="20"/>
        <v>2</v>
      </c>
      <c r="R120" s="20" t="str">
        <f t="shared" si="21"/>
        <v>Se repite 2 veces el precio de 17</v>
      </c>
      <c r="S120" s="20" t="str">
        <f t="shared" si="22"/>
        <v>El producto CASINO Galleta Menta 51gr x 6 x 8 Se repite 4 veces en Peru Chef, Se repite 2 veces el precio de 17</v>
      </c>
      <c r="T120" s="20" t="str">
        <f t="shared" si="23"/>
        <v>Peru Chef</v>
      </c>
      <c r="U120" s="20" t="str">
        <f t="shared" si="24"/>
        <v>CASINO Galleta Menta 51gr x 6 x 8</v>
      </c>
      <c r="V120" s="22">
        <f t="shared" si="25"/>
        <v>17</v>
      </c>
      <c r="W120" t="str">
        <f t="shared" si="26"/>
        <v>Peru Chef 08/28/2025</v>
      </c>
      <c r="Z120">
        <f t="shared" si="27"/>
        <v>153</v>
      </c>
    </row>
    <row r="121" spans="1:26" hidden="1" x14ac:dyDescent="0.25">
      <c r="A121" s="2" t="s">
        <v>272</v>
      </c>
      <c r="B121" s="11" t="s">
        <v>563</v>
      </c>
      <c r="C121" s="11" t="s">
        <v>4</v>
      </c>
      <c r="D121" s="11" t="s">
        <v>564</v>
      </c>
      <c r="E121" s="11" t="s">
        <v>86</v>
      </c>
      <c r="F121" s="11" t="s">
        <v>87</v>
      </c>
      <c r="G121" s="12">
        <v>4</v>
      </c>
      <c r="H121" s="12">
        <v>17</v>
      </c>
      <c r="I121" s="12">
        <v>68</v>
      </c>
      <c r="J121" s="12">
        <v>19664</v>
      </c>
      <c r="K121" s="20">
        <f t="shared" si="14"/>
        <v>7</v>
      </c>
      <c r="L121" s="20" t="str">
        <f t="shared" si="15"/>
        <v>Se repite 7 veces</v>
      </c>
      <c r="M121" s="20" t="str">
        <f t="shared" si="16"/>
        <v>Peru Chef-CASINO Galleta Menta 51gr x 6 x 8</v>
      </c>
      <c r="N121" s="20">
        <f t="shared" si="17"/>
        <v>4</v>
      </c>
      <c r="O121" s="20" t="str">
        <f t="shared" si="18"/>
        <v>Se repite 4 veces en Peru Chef</v>
      </c>
      <c r="P121" s="20" t="str">
        <f t="shared" si="19"/>
        <v>Peru Chef-CASINO Galleta Menta 51gr x 6 x 8-17</v>
      </c>
      <c r="Q121" s="20">
        <f t="shared" si="20"/>
        <v>2</v>
      </c>
      <c r="R121" s="20" t="str">
        <f t="shared" si="21"/>
        <v>Se repite 2 veces el precio de 17</v>
      </c>
      <c r="S121" s="20" t="str">
        <f t="shared" si="22"/>
        <v>El producto CASINO Galleta Menta 51gr x 6 x 8 Se repite 4 veces en Peru Chef, Se repite 2 veces el precio de 17</v>
      </c>
      <c r="T121" s="20" t="str">
        <f t="shared" si="23"/>
        <v>Peru Chef</v>
      </c>
      <c r="U121" s="20" t="str">
        <f t="shared" si="24"/>
        <v>CASINO Galleta Menta 51gr x 6 x 8</v>
      </c>
      <c r="V121" s="22">
        <f t="shared" si="25"/>
        <v>17</v>
      </c>
      <c r="W121" t="str">
        <f t="shared" si="26"/>
        <v>Peru Chef 09/11/2025</v>
      </c>
      <c r="Z121">
        <f t="shared" si="27"/>
        <v>68</v>
      </c>
    </row>
    <row r="122" spans="1:26" hidden="1" x14ac:dyDescent="0.25">
      <c r="A122" s="2" t="s">
        <v>272</v>
      </c>
      <c r="B122" s="11" t="s">
        <v>600</v>
      </c>
      <c r="C122" s="11" t="s">
        <v>4</v>
      </c>
      <c r="D122" s="11" t="s">
        <v>601</v>
      </c>
      <c r="E122" s="11" t="s">
        <v>86</v>
      </c>
      <c r="F122" s="11" t="s">
        <v>87</v>
      </c>
      <c r="G122" s="12">
        <v>12</v>
      </c>
      <c r="H122" s="12">
        <v>15.3</v>
      </c>
      <c r="I122" s="12">
        <v>183.6</v>
      </c>
      <c r="J122" s="12">
        <v>36950.350000000006</v>
      </c>
      <c r="K122" s="20">
        <f t="shared" si="14"/>
        <v>7</v>
      </c>
      <c r="L122" s="20" t="str">
        <f t="shared" si="15"/>
        <v>Se repite 7 veces</v>
      </c>
      <c r="M122" s="20" t="str">
        <f t="shared" si="16"/>
        <v>Peru Chef-CASINO Galleta Menta 51gr x 6 x 8</v>
      </c>
      <c r="N122" s="20">
        <f t="shared" si="17"/>
        <v>4</v>
      </c>
      <c r="O122" s="20" t="str">
        <f t="shared" si="18"/>
        <v>Se repite 4 veces en Peru Chef</v>
      </c>
      <c r="P122" s="20" t="str">
        <f t="shared" si="19"/>
        <v>Peru Chef-CASINO Galleta Menta 51gr x 6 x 8-15.3</v>
      </c>
      <c r="Q122" s="20">
        <f t="shared" si="20"/>
        <v>1</v>
      </c>
      <c r="R122" s="20" t="str">
        <f t="shared" si="21"/>
        <v>No se repite</v>
      </c>
      <c r="S122" s="20" t="str">
        <f t="shared" si="22"/>
        <v>El producto CASINO Galleta Menta 51gr x 6 x 8 Se repite 4 veces en Peru Chef Una vez con el precio 15.3</v>
      </c>
      <c r="T122" s="20" t="str">
        <f t="shared" si="23"/>
        <v>Peru Chef</v>
      </c>
      <c r="U122" s="20" t="str">
        <f t="shared" si="24"/>
        <v>CASINO Galleta Menta 51gr x 6 x 8</v>
      </c>
      <c r="V122" s="22">
        <f t="shared" si="25"/>
        <v>15.3</v>
      </c>
      <c r="W122" t="str">
        <f t="shared" si="26"/>
        <v>Peru Chef 11/14/2025</v>
      </c>
      <c r="Z122">
        <f t="shared" si="27"/>
        <v>183.60000000000002</v>
      </c>
    </row>
    <row r="123" spans="1:26" hidden="1" x14ac:dyDescent="0.25">
      <c r="A123" s="2" t="s">
        <v>18</v>
      </c>
      <c r="B123" s="11" t="s">
        <v>168</v>
      </c>
      <c r="C123" s="11" t="s">
        <v>4</v>
      </c>
      <c r="D123" s="11" t="s">
        <v>169</v>
      </c>
      <c r="E123" s="11" t="s">
        <v>175</v>
      </c>
      <c r="F123" s="11" t="s">
        <v>176</v>
      </c>
      <c r="G123" s="12">
        <v>1</v>
      </c>
      <c r="H123" s="12">
        <v>21.5</v>
      </c>
      <c r="I123" s="12">
        <v>21.5</v>
      </c>
      <c r="J123" s="12">
        <v>17777.84</v>
      </c>
      <c r="K123" s="20">
        <f t="shared" si="14"/>
        <v>3</v>
      </c>
      <c r="L123" s="20" t="str">
        <f t="shared" si="15"/>
        <v>Se repite 3 veces</v>
      </c>
      <c r="M123" s="20" t="str">
        <f t="shared" si="16"/>
        <v>Belmont International Trading Corp-Chocman 30G 6 x 14</v>
      </c>
      <c r="N123" s="20">
        <f t="shared" si="17"/>
        <v>1</v>
      </c>
      <c r="O123" s="20" t="str">
        <f t="shared" si="18"/>
        <v>No se repite en proveedor</v>
      </c>
      <c r="P123" s="20" t="str">
        <f t="shared" si="19"/>
        <v>Belmont International Trading Corp-Chocman 30G 6 x 14-21.5</v>
      </c>
      <c r="Q123" s="20">
        <f t="shared" si="20"/>
        <v>1</v>
      </c>
      <c r="R123" s="20" t="str">
        <f t="shared" si="21"/>
        <v>No se repite</v>
      </c>
      <c r="S123" s="20" t="str">
        <f t="shared" si="22"/>
        <v>El producto Chocman 30G 6 x 14 No se repite en proveedor Una vez con el precio 21.5</v>
      </c>
      <c r="T123" s="20" t="str">
        <f t="shared" si="23"/>
        <v>Belmont International Trading Corp</v>
      </c>
      <c r="U123" s="20" t="str">
        <f t="shared" si="24"/>
        <v>Chocman 30G 6 x 14</v>
      </c>
      <c r="V123" s="22">
        <f t="shared" si="25"/>
        <v>21.5</v>
      </c>
      <c r="W123" t="str">
        <f t="shared" si="26"/>
        <v>Belmont International Trading Corp 07/31/2025</v>
      </c>
      <c r="Z123">
        <f t="shared" si="27"/>
        <v>21.5</v>
      </c>
    </row>
    <row r="124" spans="1:26" hidden="1" x14ac:dyDescent="0.25">
      <c r="A124" s="2" t="s">
        <v>272</v>
      </c>
      <c r="B124" s="11" t="s">
        <v>398</v>
      </c>
      <c r="C124" s="11" t="s">
        <v>4</v>
      </c>
      <c r="D124" s="11" t="s">
        <v>399</v>
      </c>
      <c r="E124" s="11" t="s">
        <v>175</v>
      </c>
      <c r="F124" s="11" t="s">
        <v>176</v>
      </c>
      <c r="G124" s="12">
        <v>1</v>
      </c>
      <c r="H124" s="12">
        <v>27</v>
      </c>
      <c r="I124" s="12">
        <v>27</v>
      </c>
      <c r="J124" s="12">
        <v>4441</v>
      </c>
      <c r="K124" s="20">
        <f t="shared" si="14"/>
        <v>3</v>
      </c>
      <c r="L124" s="20" t="str">
        <f t="shared" si="15"/>
        <v>Se repite 3 veces</v>
      </c>
      <c r="M124" s="20" t="str">
        <f t="shared" si="16"/>
        <v>Peru Chef-Chocman 30G 6 x 14</v>
      </c>
      <c r="N124" s="20">
        <f t="shared" si="17"/>
        <v>2</v>
      </c>
      <c r="O124" s="20" t="str">
        <f t="shared" si="18"/>
        <v>Se repite 2 veces en Peru Chef</v>
      </c>
      <c r="P124" s="20" t="str">
        <f t="shared" si="19"/>
        <v>Peru Chef-Chocman 30G 6 x 14-27</v>
      </c>
      <c r="Q124" s="20">
        <f t="shared" si="20"/>
        <v>2</v>
      </c>
      <c r="R124" s="20" t="str">
        <f t="shared" si="21"/>
        <v>Se repite 2 veces el precio de 27</v>
      </c>
      <c r="S124" s="20" t="str">
        <f t="shared" si="22"/>
        <v>El producto Chocman 30G 6 x 14 Se repite 2 veces en Peru Chef, Se repite 2 veces el precio de 27</v>
      </c>
      <c r="T124" s="20" t="str">
        <f t="shared" si="23"/>
        <v>Peru Chef</v>
      </c>
      <c r="U124" s="20" t="str">
        <f t="shared" si="24"/>
        <v>Chocman 30G 6 x 14</v>
      </c>
      <c r="V124" s="22">
        <f t="shared" si="25"/>
        <v>27</v>
      </c>
      <c r="W124" t="str">
        <f t="shared" si="26"/>
        <v>Peru Chef 04/10/2025</v>
      </c>
      <c r="Z124">
        <f t="shared" si="27"/>
        <v>27</v>
      </c>
    </row>
    <row r="125" spans="1:26" hidden="1" x14ac:dyDescent="0.25">
      <c r="A125" s="2" t="s">
        <v>272</v>
      </c>
      <c r="B125" s="11" t="s">
        <v>408</v>
      </c>
      <c r="C125" s="11" t="s">
        <v>4</v>
      </c>
      <c r="D125" s="11" t="s">
        <v>409</v>
      </c>
      <c r="E125" s="11" t="s">
        <v>175</v>
      </c>
      <c r="F125" s="11" t="s">
        <v>176</v>
      </c>
      <c r="G125" s="12">
        <v>3</v>
      </c>
      <c r="H125" s="12">
        <v>27</v>
      </c>
      <c r="I125" s="12">
        <v>81</v>
      </c>
      <c r="J125" s="12">
        <v>5498.6</v>
      </c>
      <c r="K125" s="20">
        <f t="shared" si="14"/>
        <v>3</v>
      </c>
      <c r="L125" s="20" t="str">
        <f t="shared" si="15"/>
        <v>Se repite 3 veces</v>
      </c>
      <c r="M125" s="20" t="str">
        <f t="shared" si="16"/>
        <v>Peru Chef-Chocman 30G 6 x 14</v>
      </c>
      <c r="N125" s="20">
        <f t="shared" si="17"/>
        <v>2</v>
      </c>
      <c r="O125" s="20" t="str">
        <f t="shared" si="18"/>
        <v>Se repite 2 veces en Peru Chef</v>
      </c>
      <c r="P125" s="20" t="str">
        <f t="shared" si="19"/>
        <v>Peru Chef-Chocman 30G 6 x 14-27</v>
      </c>
      <c r="Q125" s="20">
        <f t="shared" si="20"/>
        <v>2</v>
      </c>
      <c r="R125" s="20" t="str">
        <f t="shared" si="21"/>
        <v>Se repite 2 veces el precio de 27</v>
      </c>
      <c r="S125" s="20" t="str">
        <f t="shared" si="22"/>
        <v>El producto Chocman 30G 6 x 14 Se repite 2 veces en Peru Chef, Se repite 2 veces el precio de 27</v>
      </c>
      <c r="T125" s="20" t="str">
        <f t="shared" si="23"/>
        <v>Peru Chef</v>
      </c>
      <c r="U125" s="20" t="str">
        <f t="shared" si="24"/>
        <v>Chocman 30G 6 x 14</v>
      </c>
      <c r="V125" s="22">
        <f t="shared" si="25"/>
        <v>27</v>
      </c>
      <c r="W125" t="str">
        <f t="shared" si="26"/>
        <v>Peru Chef 04/13/2025</v>
      </c>
      <c r="Z125">
        <f t="shared" si="27"/>
        <v>81</v>
      </c>
    </row>
    <row r="126" spans="1:26" hidden="1" x14ac:dyDescent="0.25">
      <c r="A126" s="2" t="s">
        <v>272</v>
      </c>
      <c r="B126" s="11" t="s">
        <v>471</v>
      </c>
      <c r="C126" s="11" t="s">
        <v>4</v>
      </c>
      <c r="D126" s="11" t="s">
        <v>472</v>
      </c>
      <c r="E126" s="11" t="s">
        <v>496</v>
      </c>
      <c r="F126" s="11" t="s">
        <v>497</v>
      </c>
      <c r="G126" s="12">
        <v>7</v>
      </c>
      <c r="H126" s="12">
        <v>22</v>
      </c>
      <c r="I126" s="12">
        <v>154</v>
      </c>
      <c r="J126" s="12">
        <v>13301.5</v>
      </c>
      <c r="K126" s="20">
        <f t="shared" si="14"/>
        <v>5</v>
      </c>
      <c r="L126" s="20" t="str">
        <f t="shared" si="15"/>
        <v>Se repite 5 veces</v>
      </c>
      <c r="M126" s="20" t="str">
        <f t="shared" si="16"/>
        <v>Peru Chef-Chocman Doble Manjar 53gr x 8 x 6</v>
      </c>
      <c r="N126" s="20">
        <f t="shared" si="17"/>
        <v>5</v>
      </c>
      <c r="O126" s="20" t="str">
        <f t="shared" si="18"/>
        <v>Se repite 5 veces en Peru Chef</v>
      </c>
      <c r="P126" s="20" t="str">
        <f t="shared" si="19"/>
        <v>Peru Chef-Chocman Doble Manjar 53gr x 8 x 6-22</v>
      </c>
      <c r="Q126" s="20">
        <f t="shared" si="20"/>
        <v>3</v>
      </c>
      <c r="R126" s="20" t="str">
        <f t="shared" si="21"/>
        <v>Se repite 3 veces el precio de 22</v>
      </c>
      <c r="S126" s="20" t="str">
        <f t="shared" si="22"/>
        <v>El producto Chocman Doble Manjar 53gr x 8 x 6 Se repite 5 veces en Peru Chef, Se repite 3 veces el precio de 22</v>
      </c>
      <c r="T126" s="20" t="str">
        <f t="shared" si="23"/>
        <v>Peru Chef</v>
      </c>
      <c r="U126" s="20" t="str">
        <f t="shared" si="24"/>
        <v>Chocman Doble Manjar 53gr x 8 x 6</v>
      </c>
      <c r="V126" s="22">
        <f t="shared" si="25"/>
        <v>22</v>
      </c>
      <c r="W126" t="str">
        <f t="shared" si="26"/>
        <v>Peru Chef 08/11/2025</v>
      </c>
      <c r="Z126">
        <f t="shared" si="27"/>
        <v>154</v>
      </c>
    </row>
    <row r="127" spans="1:26" hidden="1" x14ac:dyDescent="0.25">
      <c r="A127" s="2" t="s">
        <v>272</v>
      </c>
      <c r="B127" s="11" t="s">
        <v>512</v>
      </c>
      <c r="C127" s="11" t="s">
        <v>4</v>
      </c>
      <c r="D127" s="11" t="s">
        <v>513</v>
      </c>
      <c r="E127" s="11" t="s">
        <v>496</v>
      </c>
      <c r="F127" s="11" t="s">
        <v>515</v>
      </c>
      <c r="G127" s="12">
        <v>5</v>
      </c>
      <c r="H127" s="12">
        <v>22</v>
      </c>
      <c r="I127" s="12">
        <v>110</v>
      </c>
      <c r="J127" s="12">
        <v>15250.5</v>
      </c>
      <c r="K127" s="20">
        <f t="shared" si="14"/>
        <v>5</v>
      </c>
      <c r="L127" s="20" t="str">
        <f t="shared" si="15"/>
        <v>Se repite 5 veces</v>
      </c>
      <c r="M127" s="20" t="str">
        <f t="shared" si="16"/>
        <v>Peru Chef-Chocman Doble Manjar 53gr x 8 x 6</v>
      </c>
      <c r="N127" s="20">
        <f t="shared" si="17"/>
        <v>5</v>
      </c>
      <c r="O127" s="20" t="str">
        <f t="shared" si="18"/>
        <v>Se repite 5 veces en Peru Chef</v>
      </c>
      <c r="P127" s="20" t="str">
        <f t="shared" si="19"/>
        <v>Peru Chef-Chocman Doble Manjar 53gr x 8 x 6-22</v>
      </c>
      <c r="Q127" s="20">
        <f t="shared" si="20"/>
        <v>3</v>
      </c>
      <c r="R127" s="20" t="str">
        <f t="shared" si="21"/>
        <v>Se repite 3 veces el precio de 22</v>
      </c>
      <c r="S127" s="20" t="str">
        <f t="shared" si="22"/>
        <v>El producto Chocman Doble Manjar 53gr x 8 x 6 Se repite 5 veces en Peru Chef, Se repite 3 veces el precio de 22</v>
      </c>
      <c r="T127" s="20" t="str">
        <f t="shared" si="23"/>
        <v>Peru Chef</v>
      </c>
      <c r="U127" s="20" t="str">
        <f t="shared" si="24"/>
        <v>Chocman Doble Manjar 53gr x 8 x 6</v>
      </c>
      <c r="V127" s="22">
        <f t="shared" si="25"/>
        <v>22</v>
      </c>
      <c r="W127" t="str">
        <f t="shared" si="26"/>
        <v>Peru Chef 08/28/2025</v>
      </c>
      <c r="Z127">
        <f t="shared" si="27"/>
        <v>110</v>
      </c>
    </row>
    <row r="128" spans="1:26" hidden="1" x14ac:dyDescent="0.25">
      <c r="A128" s="2" t="s">
        <v>272</v>
      </c>
      <c r="B128" s="11" t="s">
        <v>572</v>
      </c>
      <c r="C128" s="11" t="s">
        <v>4</v>
      </c>
      <c r="D128" s="11" t="s">
        <v>573</v>
      </c>
      <c r="E128" s="11" t="s">
        <v>496</v>
      </c>
      <c r="F128" s="11" t="s">
        <v>515</v>
      </c>
      <c r="G128" s="12">
        <v>15</v>
      </c>
      <c r="H128" s="12">
        <v>22</v>
      </c>
      <c r="I128" s="12">
        <v>330</v>
      </c>
      <c r="J128" s="12">
        <v>28041.5</v>
      </c>
      <c r="K128" s="20">
        <f t="shared" si="14"/>
        <v>5</v>
      </c>
      <c r="L128" s="20" t="str">
        <f t="shared" si="15"/>
        <v>Se repite 5 veces</v>
      </c>
      <c r="M128" s="20" t="str">
        <f t="shared" si="16"/>
        <v>Peru Chef-Chocman Doble Manjar 53gr x 8 x 6</v>
      </c>
      <c r="N128" s="20">
        <f t="shared" si="17"/>
        <v>5</v>
      </c>
      <c r="O128" s="20" t="str">
        <f t="shared" si="18"/>
        <v>Se repite 5 veces en Peru Chef</v>
      </c>
      <c r="P128" s="20" t="str">
        <f t="shared" si="19"/>
        <v>Peru Chef-Chocman Doble Manjar 53gr x 8 x 6-22</v>
      </c>
      <c r="Q128" s="20">
        <f t="shared" si="20"/>
        <v>3</v>
      </c>
      <c r="R128" s="20" t="str">
        <f t="shared" si="21"/>
        <v>Se repite 3 veces el precio de 22</v>
      </c>
      <c r="S128" s="20" t="str">
        <f t="shared" si="22"/>
        <v>El producto Chocman Doble Manjar 53gr x 8 x 6 Se repite 5 veces en Peru Chef, Se repite 3 veces el precio de 22</v>
      </c>
      <c r="T128" s="20" t="str">
        <f t="shared" si="23"/>
        <v>Peru Chef</v>
      </c>
      <c r="U128" s="20" t="str">
        <f t="shared" si="24"/>
        <v>Chocman Doble Manjar 53gr x 8 x 6</v>
      </c>
      <c r="V128" s="22">
        <f t="shared" si="25"/>
        <v>22</v>
      </c>
      <c r="W128" t="str">
        <f t="shared" si="26"/>
        <v>Peru Chef 10/09/2025</v>
      </c>
      <c r="Z128">
        <f t="shared" si="27"/>
        <v>330</v>
      </c>
    </row>
    <row r="129" spans="1:26" hidden="1" x14ac:dyDescent="0.25">
      <c r="A129" s="2" t="s">
        <v>272</v>
      </c>
      <c r="B129" s="11" t="s">
        <v>590</v>
      </c>
      <c r="C129" s="11" t="s">
        <v>4</v>
      </c>
      <c r="D129" s="11" t="s">
        <v>591</v>
      </c>
      <c r="E129" s="11" t="s">
        <v>496</v>
      </c>
      <c r="F129" s="11" t="s">
        <v>515</v>
      </c>
      <c r="G129" s="12">
        <v>3</v>
      </c>
      <c r="H129" s="12">
        <v>19.8</v>
      </c>
      <c r="I129" s="12">
        <v>59.4</v>
      </c>
      <c r="J129" s="12">
        <v>30357.4</v>
      </c>
      <c r="K129" s="20">
        <f t="shared" si="14"/>
        <v>5</v>
      </c>
      <c r="L129" s="20" t="str">
        <f t="shared" si="15"/>
        <v>Se repite 5 veces</v>
      </c>
      <c r="M129" s="20" t="str">
        <f t="shared" si="16"/>
        <v>Peru Chef-Chocman Doble Manjar 53gr x 8 x 6</v>
      </c>
      <c r="N129" s="20">
        <f t="shared" si="17"/>
        <v>5</v>
      </c>
      <c r="O129" s="20" t="str">
        <f t="shared" si="18"/>
        <v>Se repite 5 veces en Peru Chef</v>
      </c>
      <c r="P129" s="20" t="str">
        <f t="shared" si="19"/>
        <v>Peru Chef-Chocman Doble Manjar 53gr x 8 x 6-19.8</v>
      </c>
      <c r="Q129" s="20">
        <f t="shared" si="20"/>
        <v>2</v>
      </c>
      <c r="R129" s="20" t="str">
        <f t="shared" si="21"/>
        <v>Se repite 2 veces el precio de 19.8</v>
      </c>
      <c r="S129" s="20" t="str">
        <f t="shared" si="22"/>
        <v>El producto Chocman Doble Manjar 53gr x 8 x 6 Se repite 5 veces en Peru Chef, Se repite 2 veces el precio de 19.8</v>
      </c>
      <c r="T129" s="20" t="str">
        <f t="shared" si="23"/>
        <v>Peru Chef</v>
      </c>
      <c r="U129" s="20" t="str">
        <f t="shared" si="24"/>
        <v>Chocman Doble Manjar 53gr x 8 x 6</v>
      </c>
      <c r="V129" s="22">
        <f t="shared" si="25"/>
        <v>19.8</v>
      </c>
      <c r="W129" t="str">
        <f t="shared" si="26"/>
        <v>Peru Chef 10/28/2025</v>
      </c>
      <c r="Z129">
        <f t="shared" si="27"/>
        <v>59.400000000000006</v>
      </c>
    </row>
    <row r="130" spans="1:26" hidden="1" x14ac:dyDescent="0.25">
      <c r="A130" s="2" t="s">
        <v>272</v>
      </c>
      <c r="B130" s="11" t="s">
        <v>619</v>
      </c>
      <c r="C130" s="11" t="s">
        <v>4</v>
      </c>
      <c r="D130" s="11" t="s">
        <v>621</v>
      </c>
      <c r="E130" s="11" t="s">
        <v>496</v>
      </c>
      <c r="F130" s="11" t="s">
        <v>515</v>
      </c>
      <c r="G130" s="12">
        <v>6</v>
      </c>
      <c r="H130" s="12">
        <v>19.8</v>
      </c>
      <c r="I130" s="12">
        <v>118.8</v>
      </c>
      <c r="J130" s="12">
        <v>39698.050000000003</v>
      </c>
      <c r="K130" s="20">
        <f t="shared" si="14"/>
        <v>5</v>
      </c>
      <c r="L130" s="20" t="str">
        <f t="shared" si="15"/>
        <v>Se repite 5 veces</v>
      </c>
      <c r="M130" s="20" t="str">
        <f t="shared" si="16"/>
        <v>Peru Chef-Chocman Doble Manjar 53gr x 8 x 6</v>
      </c>
      <c r="N130" s="20">
        <f t="shared" si="17"/>
        <v>5</v>
      </c>
      <c r="O130" s="20" t="str">
        <f t="shared" si="18"/>
        <v>Se repite 5 veces en Peru Chef</v>
      </c>
      <c r="P130" s="20" t="str">
        <f t="shared" si="19"/>
        <v>Peru Chef-Chocman Doble Manjar 53gr x 8 x 6-19.8</v>
      </c>
      <c r="Q130" s="20">
        <f t="shared" si="20"/>
        <v>2</v>
      </c>
      <c r="R130" s="20" t="str">
        <f t="shared" si="21"/>
        <v>Se repite 2 veces el precio de 19.8</v>
      </c>
      <c r="S130" s="20" t="str">
        <f t="shared" si="22"/>
        <v>El producto Chocman Doble Manjar 53gr x 8 x 6 Se repite 5 veces en Peru Chef, Se repite 2 veces el precio de 19.8</v>
      </c>
      <c r="T130" s="20" t="str">
        <f t="shared" si="23"/>
        <v>Peru Chef</v>
      </c>
      <c r="U130" s="20" t="str">
        <f t="shared" si="24"/>
        <v>Chocman Doble Manjar 53gr x 8 x 6</v>
      </c>
      <c r="V130" s="22">
        <f t="shared" si="25"/>
        <v>19.8</v>
      </c>
      <c r="W130" t="str">
        <f t="shared" si="26"/>
        <v>Peru Chef 12/09/2025</v>
      </c>
      <c r="Z130">
        <f t="shared" si="27"/>
        <v>118.80000000000001</v>
      </c>
    </row>
    <row r="131" spans="1:26" hidden="1" x14ac:dyDescent="0.25">
      <c r="A131" s="2" t="s">
        <v>18</v>
      </c>
      <c r="B131" s="11" t="s">
        <v>19</v>
      </c>
      <c r="C131" s="11" t="s">
        <v>4</v>
      </c>
      <c r="D131" s="11" t="s">
        <v>20</v>
      </c>
      <c r="E131" s="11" t="s">
        <v>39</v>
      </c>
      <c r="F131" s="11" t="s">
        <v>39</v>
      </c>
      <c r="G131" s="12">
        <v>1</v>
      </c>
      <c r="H131" s="12">
        <v>30</v>
      </c>
      <c r="I131" s="12">
        <v>30</v>
      </c>
      <c r="J131" s="12">
        <v>1115.8</v>
      </c>
      <c r="K131" s="20">
        <f t="shared" ref="K131:K194" si="28">COUNTIF($E$2:$E$1438,E131)</f>
        <v>1</v>
      </c>
      <c r="L131" s="20" t="str">
        <f t="shared" ref="L131:L194" si="29">IF(K131&gt;1,_xlfn.CONCAT("Se repite ",K131," veces"),"No se repite")</f>
        <v>No se repite</v>
      </c>
      <c r="M131" s="20" t="str">
        <f t="shared" ref="M131:M194" si="30">_xlfn.CONCAT(A131,"-",E131)</f>
        <v>Belmont International Trading Corp-Chocolate Cuzco con canela y clavo  4 x 12</v>
      </c>
      <c r="N131" s="20">
        <f t="shared" ref="N131:N194" si="31">COUNTIF($M$2:$M$1438,M131)</f>
        <v>1</v>
      </c>
      <c r="O131" s="20" t="str">
        <f t="shared" ref="O131:O194" si="32">IF(N131&gt;1,_xlfn.CONCAT("Se repite ",N131," veces en ",A131),"No se repite en proveedor")</f>
        <v>No se repite en proveedor</v>
      </c>
      <c r="P131" s="20" t="str">
        <f t="shared" ref="P131:P194" si="33">_xlfn.CONCAT(A131,"-",E131,"-",H131)</f>
        <v>Belmont International Trading Corp-Chocolate Cuzco con canela y clavo  4 x 12-30</v>
      </c>
      <c r="Q131" s="20">
        <f t="shared" ref="Q131:Q194" si="34">COUNTIF($P$2:$P$1438,P131)</f>
        <v>1</v>
      </c>
      <c r="R131" s="20" t="str">
        <f t="shared" ref="R131:R194" si="35">IF(Q131&gt;1,_xlfn.CONCAT("Se repite ",Q131," veces el precio de ",H131),"No se repite")</f>
        <v>No se repite</v>
      </c>
      <c r="S131" s="20" t="str">
        <f t="shared" ref="S131:S194" si="36">_xlfn.CONCAT("El producto ",E131," ",O131,IF(R131="No se repite",_xlfn.CONCAT(" Una vez con el precio ",H131),_xlfn.CONCAT(", ",R131)))</f>
        <v>El producto Chocolate Cuzco con canela y clavo  4 x 12 No se repite en proveedor Una vez con el precio 30</v>
      </c>
      <c r="T131" s="20" t="str">
        <f t="shared" ref="T131:T194" si="37">+A131</f>
        <v>Belmont International Trading Corp</v>
      </c>
      <c r="U131" s="20" t="str">
        <f t="shared" ref="U131:U194" si="38">+E131</f>
        <v>Chocolate Cuzco con canela y clavo  4 x 12</v>
      </c>
      <c r="V131" s="22">
        <f t="shared" ref="V131:V194" si="39">+H131</f>
        <v>30</v>
      </c>
      <c r="W131" t="str">
        <f t="shared" ref="W131:W194" si="40">_xlfn.CONCAT(A131," ",B131)</f>
        <v>Belmont International Trading Corp 04/28/2025</v>
      </c>
      <c r="Z131">
        <f t="shared" ref="Z131:Z194" si="41">G131*H131</f>
        <v>30</v>
      </c>
    </row>
    <row r="132" spans="1:26" hidden="1" x14ac:dyDescent="0.25">
      <c r="A132" s="2" t="s">
        <v>18</v>
      </c>
      <c r="B132" s="11" t="s">
        <v>19</v>
      </c>
      <c r="C132" s="11" t="s">
        <v>4</v>
      </c>
      <c r="D132" s="11" t="s">
        <v>20</v>
      </c>
      <c r="E132" s="11" t="s">
        <v>40</v>
      </c>
      <c r="F132" s="11" t="s">
        <v>41</v>
      </c>
      <c r="G132" s="12">
        <v>1</v>
      </c>
      <c r="H132" s="12">
        <v>30</v>
      </c>
      <c r="I132" s="12">
        <v>30</v>
      </c>
      <c r="J132" s="12">
        <v>1145.8</v>
      </c>
      <c r="K132" s="20">
        <f t="shared" si="28"/>
        <v>2</v>
      </c>
      <c r="L132" s="20" t="str">
        <f t="shared" si="29"/>
        <v>Se repite 2 veces</v>
      </c>
      <c r="M132" s="20" t="str">
        <f t="shared" si="30"/>
        <v>Belmont International Trading Corp-Chocolate Cuzco regular  4 x 12</v>
      </c>
      <c r="N132" s="20">
        <f t="shared" si="31"/>
        <v>2</v>
      </c>
      <c r="O132" s="20" t="str">
        <f t="shared" si="32"/>
        <v>Se repite 2 veces en Belmont International Trading Corp</v>
      </c>
      <c r="P132" s="20" t="str">
        <f t="shared" si="33"/>
        <v>Belmont International Trading Corp-Chocolate Cuzco regular  4 x 12-30</v>
      </c>
      <c r="Q132" s="20">
        <f t="shared" si="34"/>
        <v>1</v>
      </c>
      <c r="R132" s="20" t="str">
        <f t="shared" si="35"/>
        <v>No se repite</v>
      </c>
      <c r="S132" s="20" t="str">
        <f t="shared" si="36"/>
        <v>El producto Chocolate Cuzco regular  4 x 12 Se repite 2 veces en Belmont International Trading Corp Una vez con el precio 30</v>
      </c>
      <c r="T132" s="20" t="str">
        <f t="shared" si="37"/>
        <v>Belmont International Trading Corp</v>
      </c>
      <c r="U132" s="20" t="str">
        <f t="shared" si="38"/>
        <v>Chocolate Cuzco regular  4 x 12</v>
      </c>
      <c r="V132" s="22">
        <f t="shared" si="39"/>
        <v>30</v>
      </c>
      <c r="W132" t="str">
        <f t="shared" si="40"/>
        <v>Belmont International Trading Corp 04/28/2025</v>
      </c>
      <c r="Z132">
        <f t="shared" si="41"/>
        <v>30</v>
      </c>
    </row>
    <row r="133" spans="1:26" hidden="1" x14ac:dyDescent="0.25">
      <c r="A133" s="23" t="s">
        <v>18</v>
      </c>
      <c r="B133" s="11" t="s">
        <v>19</v>
      </c>
      <c r="C133" s="11" t="s">
        <v>4</v>
      </c>
      <c r="D133" s="11" t="s">
        <v>20</v>
      </c>
      <c r="E133" s="11" t="s">
        <v>40</v>
      </c>
      <c r="F133" s="11" t="s">
        <v>41</v>
      </c>
      <c r="G133" s="12">
        <v>1</v>
      </c>
      <c r="H133" s="12">
        <v>4</v>
      </c>
      <c r="I133" s="12">
        <v>4</v>
      </c>
      <c r="J133" s="12">
        <v>5472.44</v>
      </c>
      <c r="K133" s="20">
        <f t="shared" si="28"/>
        <v>2</v>
      </c>
      <c r="L133" s="20" t="str">
        <f t="shared" si="29"/>
        <v>Se repite 2 veces</v>
      </c>
      <c r="M133" s="20" t="str">
        <f t="shared" si="30"/>
        <v>Belmont International Trading Corp-Chocolate Cuzco regular  4 x 12</v>
      </c>
      <c r="N133" s="20">
        <f t="shared" si="31"/>
        <v>2</v>
      </c>
      <c r="O133" s="20" t="str">
        <f t="shared" si="32"/>
        <v>Se repite 2 veces en Belmont International Trading Corp</v>
      </c>
      <c r="P133" s="20" t="str">
        <f t="shared" si="33"/>
        <v>Belmont International Trading Corp-Chocolate Cuzco regular  4 x 12-4</v>
      </c>
      <c r="Q133" s="20">
        <f t="shared" si="34"/>
        <v>1</v>
      </c>
      <c r="R133" s="20" t="str">
        <f t="shared" si="35"/>
        <v>No se repite</v>
      </c>
      <c r="S133" s="20" t="str">
        <f t="shared" si="36"/>
        <v>El producto Chocolate Cuzco regular  4 x 12 Se repite 2 veces en Belmont International Trading Corp Una vez con el precio 4</v>
      </c>
      <c r="T133" s="20" t="str">
        <f t="shared" si="37"/>
        <v>Belmont International Trading Corp</v>
      </c>
      <c r="U133" s="20" t="str">
        <f t="shared" si="38"/>
        <v>Chocolate Cuzco regular  4 x 12</v>
      </c>
      <c r="V133" s="22">
        <f t="shared" si="39"/>
        <v>4</v>
      </c>
      <c r="W133" t="str">
        <f t="shared" si="40"/>
        <v>Belmont International Trading Corp 04/28/2025</v>
      </c>
      <c r="X133" t="s">
        <v>3344</v>
      </c>
      <c r="Y133" t="s">
        <v>3351</v>
      </c>
      <c r="Z133">
        <f t="shared" si="41"/>
        <v>4</v>
      </c>
    </row>
    <row r="134" spans="1:26" hidden="1" x14ac:dyDescent="0.25">
      <c r="A134" s="2" t="s">
        <v>272</v>
      </c>
      <c r="B134" s="11" t="s">
        <v>408</v>
      </c>
      <c r="C134" s="11" t="s">
        <v>4</v>
      </c>
      <c r="D134" s="11" t="s">
        <v>409</v>
      </c>
      <c r="E134" s="11" t="s">
        <v>424</v>
      </c>
      <c r="F134" s="11" t="s">
        <v>425</v>
      </c>
      <c r="G134" s="12">
        <v>5</v>
      </c>
      <c r="H134" s="12">
        <v>15.5</v>
      </c>
      <c r="I134" s="12">
        <v>77.5</v>
      </c>
      <c r="J134" s="12">
        <v>5201.6000000000004</v>
      </c>
      <c r="K134" s="20">
        <f t="shared" si="28"/>
        <v>6</v>
      </c>
      <c r="L134" s="20" t="str">
        <f t="shared" si="29"/>
        <v>Se repite 6 veces</v>
      </c>
      <c r="M134" s="20" t="str">
        <f t="shared" si="30"/>
        <v>Peru Chef-Chocolate Triangulo x 22</v>
      </c>
      <c r="N134" s="20">
        <f t="shared" si="31"/>
        <v>6</v>
      </c>
      <c r="O134" s="20" t="str">
        <f t="shared" si="32"/>
        <v>Se repite 6 veces en Peru Chef</v>
      </c>
      <c r="P134" s="20" t="str">
        <f t="shared" si="33"/>
        <v>Peru Chef-Chocolate Triangulo x 22-15.5</v>
      </c>
      <c r="Q134" s="20">
        <f t="shared" si="34"/>
        <v>4</v>
      </c>
      <c r="R134" s="20" t="str">
        <f t="shared" si="35"/>
        <v>Se repite 4 veces el precio de 15.5</v>
      </c>
      <c r="S134" s="20" t="str">
        <f t="shared" si="36"/>
        <v>El producto Chocolate Triangulo x 22 Se repite 6 veces en Peru Chef, Se repite 4 veces el precio de 15.5</v>
      </c>
      <c r="T134" s="20" t="str">
        <f t="shared" si="37"/>
        <v>Peru Chef</v>
      </c>
      <c r="U134" s="20" t="str">
        <f t="shared" si="38"/>
        <v>Chocolate Triangulo x 22</v>
      </c>
      <c r="V134" s="22">
        <f t="shared" si="39"/>
        <v>15.5</v>
      </c>
      <c r="W134" t="str">
        <f t="shared" si="40"/>
        <v>Peru Chef 04/13/2025</v>
      </c>
      <c r="Z134">
        <f t="shared" si="41"/>
        <v>77.5</v>
      </c>
    </row>
    <row r="135" spans="1:26" hidden="1" x14ac:dyDescent="0.25">
      <c r="A135" s="2" t="s">
        <v>272</v>
      </c>
      <c r="B135" s="11" t="s">
        <v>444</v>
      </c>
      <c r="C135" s="11" t="s">
        <v>4</v>
      </c>
      <c r="D135" s="11" t="s">
        <v>445</v>
      </c>
      <c r="E135" s="11" t="s">
        <v>424</v>
      </c>
      <c r="F135" s="11" t="s">
        <v>425</v>
      </c>
      <c r="G135" s="12">
        <v>25</v>
      </c>
      <c r="H135" s="12">
        <v>15.5</v>
      </c>
      <c r="I135" s="12">
        <v>387.5</v>
      </c>
      <c r="J135" s="12">
        <v>8716.7000000000007</v>
      </c>
      <c r="K135" s="20">
        <f t="shared" si="28"/>
        <v>6</v>
      </c>
      <c r="L135" s="20" t="str">
        <f t="shared" si="29"/>
        <v>Se repite 6 veces</v>
      </c>
      <c r="M135" s="20" t="str">
        <f t="shared" si="30"/>
        <v>Peru Chef-Chocolate Triangulo x 22</v>
      </c>
      <c r="N135" s="20">
        <f t="shared" si="31"/>
        <v>6</v>
      </c>
      <c r="O135" s="20" t="str">
        <f t="shared" si="32"/>
        <v>Se repite 6 veces en Peru Chef</v>
      </c>
      <c r="P135" s="20" t="str">
        <f t="shared" si="33"/>
        <v>Peru Chef-Chocolate Triangulo x 22-15.5</v>
      </c>
      <c r="Q135" s="20">
        <f t="shared" si="34"/>
        <v>4</v>
      </c>
      <c r="R135" s="20" t="str">
        <f t="shared" si="35"/>
        <v>Se repite 4 veces el precio de 15.5</v>
      </c>
      <c r="S135" s="20" t="str">
        <f t="shared" si="36"/>
        <v>El producto Chocolate Triangulo x 22 Se repite 6 veces en Peru Chef, Se repite 4 veces el precio de 15.5</v>
      </c>
      <c r="T135" s="20" t="str">
        <f t="shared" si="37"/>
        <v>Peru Chef</v>
      </c>
      <c r="U135" s="20" t="str">
        <f t="shared" si="38"/>
        <v>Chocolate Triangulo x 22</v>
      </c>
      <c r="V135" s="22">
        <f t="shared" si="39"/>
        <v>15.5</v>
      </c>
      <c r="W135" t="str">
        <f t="shared" si="40"/>
        <v>Peru Chef 04/24/2025</v>
      </c>
      <c r="Z135">
        <f t="shared" si="41"/>
        <v>387.5</v>
      </c>
    </row>
    <row r="136" spans="1:26" hidden="1" x14ac:dyDescent="0.25">
      <c r="A136" s="2" t="s">
        <v>272</v>
      </c>
      <c r="B136" s="11" t="s">
        <v>563</v>
      </c>
      <c r="C136" s="11" t="s">
        <v>4</v>
      </c>
      <c r="D136" s="11" t="s">
        <v>564</v>
      </c>
      <c r="E136" s="11" t="s">
        <v>424</v>
      </c>
      <c r="F136" s="11" t="s">
        <v>425</v>
      </c>
      <c r="G136" s="12">
        <v>5</v>
      </c>
      <c r="H136" s="12">
        <v>15.5</v>
      </c>
      <c r="I136" s="12">
        <v>77.5</v>
      </c>
      <c r="J136" s="12">
        <v>19447</v>
      </c>
      <c r="K136" s="20">
        <f t="shared" si="28"/>
        <v>6</v>
      </c>
      <c r="L136" s="20" t="str">
        <f t="shared" si="29"/>
        <v>Se repite 6 veces</v>
      </c>
      <c r="M136" s="20" t="str">
        <f t="shared" si="30"/>
        <v>Peru Chef-Chocolate Triangulo x 22</v>
      </c>
      <c r="N136" s="20">
        <f t="shared" si="31"/>
        <v>6</v>
      </c>
      <c r="O136" s="20" t="str">
        <f t="shared" si="32"/>
        <v>Se repite 6 veces en Peru Chef</v>
      </c>
      <c r="P136" s="20" t="str">
        <f t="shared" si="33"/>
        <v>Peru Chef-Chocolate Triangulo x 22-15.5</v>
      </c>
      <c r="Q136" s="20">
        <f t="shared" si="34"/>
        <v>4</v>
      </c>
      <c r="R136" s="20" t="str">
        <f t="shared" si="35"/>
        <v>Se repite 4 veces el precio de 15.5</v>
      </c>
      <c r="S136" s="20" t="str">
        <f t="shared" si="36"/>
        <v>El producto Chocolate Triangulo x 22 Se repite 6 veces en Peru Chef, Se repite 4 veces el precio de 15.5</v>
      </c>
      <c r="T136" s="20" t="str">
        <f t="shared" si="37"/>
        <v>Peru Chef</v>
      </c>
      <c r="U136" s="20" t="str">
        <f t="shared" si="38"/>
        <v>Chocolate Triangulo x 22</v>
      </c>
      <c r="V136" s="22">
        <f t="shared" si="39"/>
        <v>15.5</v>
      </c>
      <c r="W136" t="str">
        <f t="shared" si="40"/>
        <v>Peru Chef 09/11/2025</v>
      </c>
      <c r="Z136">
        <f t="shared" si="41"/>
        <v>77.5</v>
      </c>
    </row>
    <row r="137" spans="1:26" hidden="1" x14ac:dyDescent="0.25">
      <c r="A137" s="2" t="s">
        <v>272</v>
      </c>
      <c r="B137" s="11" t="s">
        <v>572</v>
      </c>
      <c r="C137" s="11" t="s">
        <v>4</v>
      </c>
      <c r="D137" s="11" t="s">
        <v>573</v>
      </c>
      <c r="E137" s="11" t="s">
        <v>424</v>
      </c>
      <c r="F137" s="11" t="s">
        <v>425</v>
      </c>
      <c r="G137" s="12">
        <v>10</v>
      </c>
      <c r="H137" s="12">
        <v>15.5</v>
      </c>
      <c r="I137" s="12">
        <v>155</v>
      </c>
      <c r="J137" s="12">
        <v>26719</v>
      </c>
      <c r="K137" s="20">
        <f t="shared" si="28"/>
        <v>6</v>
      </c>
      <c r="L137" s="20" t="str">
        <f t="shared" si="29"/>
        <v>Se repite 6 veces</v>
      </c>
      <c r="M137" s="20" t="str">
        <f t="shared" si="30"/>
        <v>Peru Chef-Chocolate Triangulo x 22</v>
      </c>
      <c r="N137" s="20">
        <f t="shared" si="31"/>
        <v>6</v>
      </c>
      <c r="O137" s="20" t="str">
        <f t="shared" si="32"/>
        <v>Se repite 6 veces en Peru Chef</v>
      </c>
      <c r="P137" s="20" t="str">
        <f t="shared" si="33"/>
        <v>Peru Chef-Chocolate Triangulo x 22-15.5</v>
      </c>
      <c r="Q137" s="20">
        <f t="shared" si="34"/>
        <v>4</v>
      </c>
      <c r="R137" s="20" t="str">
        <f t="shared" si="35"/>
        <v>Se repite 4 veces el precio de 15.5</v>
      </c>
      <c r="S137" s="20" t="str">
        <f t="shared" si="36"/>
        <v>El producto Chocolate Triangulo x 22 Se repite 6 veces en Peru Chef, Se repite 4 veces el precio de 15.5</v>
      </c>
      <c r="T137" s="20" t="str">
        <f t="shared" si="37"/>
        <v>Peru Chef</v>
      </c>
      <c r="U137" s="20" t="str">
        <f t="shared" si="38"/>
        <v>Chocolate Triangulo x 22</v>
      </c>
      <c r="V137" s="22">
        <f t="shared" si="39"/>
        <v>15.5</v>
      </c>
      <c r="W137" t="str">
        <f t="shared" si="40"/>
        <v>Peru Chef 10/09/2025</v>
      </c>
      <c r="Z137">
        <f t="shared" si="41"/>
        <v>155</v>
      </c>
    </row>
    <row r="138" spans="1:26" hidden="1" x14ac:dyDescent="0.25">
      <c r="A138" s="2" t="s">
        <v>272</v>
      </c>
      <c r="B138" s="11" t="s">
        <v>590</v>
      </c>
      <c r="C138" s="11" t="s">
        <v>4</v>
      </c>
      <c r="D138" s="11" t="s">
        <v>591</v>
      </c>
      <c r="E138" s="11" t="s">
        <v>424</v>
      </c>
      <c r="F138" s="11" t="s">
        <v>425</v>
      </c>
      <c r="G138" s="12">
        <v>6</v>
      </c>
      <c r="H138" s="12">
        <v>13.95</v>
      </c>
      <c r="I138" s="12">
        <v>83.7</v>
      </c>
      <c r="J138" s="12">
        <v>29963.200000000001</v>
      </c>
      <c r="K138" s="20">
        <f t="shared" si="28"/>
        <v>6</v>
      </c>
      <c r="L138" s="20" t="str">
        <f t="shared" si="29"/>
        <v>Se repite 6 veces</v>
      </c>
      <c r="M138" s="20" t="str">
        <f t="shared" si="30"/>
        <v>Peru Chef-Chocolate Triangulo x 22</v>
      </c>
      <c r="N138" s="20">
        <f t="shared" si="31"/>
        <v>6</v>
      </c>
      <c r="O138" s="20" t="str">
        <f t="shared" si="32"/>
        <v>Se repite 6 veces en Peru Chef</v>
      </c>
      <c r="P138" s="20" t="str">
        <f t="shared" si="33"/>
        <v>Peru Chef-Chocolate Triangulo x 22-13.95</v>
      </c>
      <c r="Q138" s="20">
        <f t="shared" si="34"/>
        <v>2</v>
      </c>
      <c r="R138" s="20" t="str">
        <f t="shared" si="35"/>
        <v>Se repite 2 veces el precio de 13.95</v>
      </c>
      <c r="S138" s="20" t="str">
        <f t="shared" si="36"/>
        <v>El producto Chocolate Triangulo x 22 Se repite 6 veces en Peru Chef, Se repite 2 veces el precio de 13.95</v>
      </c>
      <c r="T138" s="20" t="str">
        <f t="shared" si="37"/>
        <v>Peru Chef</v>
      </c>
      <c r="U138" s="20" t="str">
        <f t="shared" si="38"/>
        <v>Chocolate Triangulo x 22</v>
      </c>
      <c r="V138" s="22">
        <f t="shared" si="39"/>
        <v>13.95</v>
      </c>
      <c r="W138" t="str">
        <f t="shared" si="40"/>
        <v>Peru Chef 10/28/2025</v>
      </c>
      <c r="Z138">
        <f t="shared" si="41"/>
        <v>83.699999999999989</v>
      </c>
    </row>
    <row r="139" spans="1:26" hidden="1" x14ac:dyDescent="0.25">
      <c r="A139" s="2" t="s">
        <v>272</v>
      </c>
      <c r="B139" s="11" t="s">
        <v>600</v>
      </c>
      <c r="C139" s="11" t="s">
        <v>4</v>
      </c>
      <c r="D139" s="11" t="s">
        <v>601</v>
      </c>
      <c r="E139" s="11" t="s">
        <v>424</v>
      </c>
      <c r="F139" s="11" t="s">
        <v>607</v>
      </c>
      <c r="G139" s="12">
        <v>20</v>
      </c>
      <c r="H139" s="12">
        <v>13.95</v>
      </c>
      <c r="I139" s="12">
        <v>279</v>
      </c>
      <c r="J139" s="12">
        <v>36151.150000000016</v>
      </c>
      <c r="K139" s="20">
        <f t="shared" si="28"/>
        <v>6</v>
      </c>
      <c r="L139" s="20" t="str">
        <f t="shared" si="29"/>
        <v>Se repite 6 veces</v>
      </c>
      <c r="M139" s="20" t="str">
        <f t="shared" si="30"/>
        <v>Peru Chef-Chocolate Triangulo x 22</v>
      </c>
      <c r="N139" s="20">
        <f t="shared" si="31"/>
        <v>6</v>
      </c>
      <c r="O139" s="20" t="str">
        <f t="shared" si="32"/>
        <v>Se repite 6 veces en Peru Chef</v>
      </c>
      <c r="P139" s="20" t="str">
        <f t="shared" si="33"/>
        <v>Peru Chef-Chocolate Triangulo x 22-13.95</v>
      </c>
      <c r="Q139" s="20">
        <f t="shared" si="34"/>
        <v>2</v>
      </c>
      <c r="R139" s="20" t="str">
        <f t="shared" si="35"/>
        <v>Se repite 2 veces el precio de 13.95</v>
      </c>
      <c r="S139" s="20" t="str">
        <f t="shared" si="36"/>
        <v>El producto Chocolate Triangulo x 22 Se repite 6 veces en Peru Chef, Se repite 2 veces el precio de 13.95</v>
      </c>
      <c r="T139" s="20" t="str">
        <f t="shared" si="37"/>
        <v>Peru Chef</v>
      </c>
      <c r="U139" s="20" t="str">
        <f t="shared" si="38"/>
        <v>Chocolate Triangulo x 22</v>
      </c>
      <c r="V139" s="22">
        <f t="shared" si="39"/>
        <v>13.95</v>
      </c>
      <c r="W139" t="str">
        <f t="shared" si="40"/>
        <v>Peru Chef 11/14/2025</v>
      </c>
      <c r="Z139">
        <f t="shared" si="41"/>
        <v>279</v>
      </c>
    </row>
    <row r="140" spans="1:26" hidden="1" x14ac:dyDescent="0.25">
      <c r="A140" s="2" t="s">
        <v>664</v>
      </c>
      <c r="B140" s="11" t="s">
        <v>1092</v>
      </c>
      <c r="C140" s="11" t="s">
        <v>4</v>
      </c>
      <c r="D140" s="11" t="s">
        <v>1093</v>
      </c>
      <c r="E140" s="11" t="s">
        <v>1114</v>
      </c>
      <c r="F140" s="11" t="s">
        <v>1114</v>
      </c>
      <c r="G140" s="12">
        <v>3</v>
      </c>
      <c r="H140" s="12">
        <v>23.76</v>
      </c>
      <c r="I140" s="12">
        <v>71.28</v>
      </c>
      <c r="J140" s="12">
        <v>63230.899999999951</v>
      </c>
      <c r="K140" s="20">
        <f t="shared" si="28"/>
        <v>1</v>
      </c>
      <c r="L140" s="20" t="str">
        <f t="shared" si="29"/>
        <v>No se repite</v>
      </c>
      <c r="M140" s="20" t="str">
        <f t="shared" si="30"/>
        <v>Tradiciones Andinas-Coco Milk Drink with Nata de Coco MANGO</v>
      </c>
      <c r="N140" s="20">
        <f t="shared" si="31"/>
        <v>1</v>
      </c>
      <c r="O140" s="20" t="str">
        <f t="shared" si="32"/>
        <v>No se repite en proveedor</v>
      </c>
      <c r="P140" s="20" t="str">
        <f t="shared" si="33"/>
        <v>Tradiciones Andinas-Coco Milk Drink with Nata de Coco MANGO-23.76</v>
      </c>
      <c r="Q140" s="20">
        <f t="shared" si="34"/>
        <v>1</v>
      </c>
      <c r="R140" s="20" t="str">
        <f t="shared" si="35"/>
        <v>No se repite</v>
      </c>
      <c r="S140" s="20" t="str">
        <f t="shared" si="36"/>
        <v>El producto Coco Milk Drink with Nata de Coco MANGO No se repite en proveedor Una vez con el precio 23.76</v>
      </c>
      <c r="T140" s="20" t="str">
        <f t="shared" si="37"/>
        <v>Tradiciones Andinas</v>
      </c>
      <c r="U140" s="20" t="str">
        <f t="shared" si="38"/>
        <v>Coco Milk Drink with Nata de Coco MANGO</v>
      </c>
      <c r="V140" s="22">
        <f t="shared" si="39"/>
        <v>23.76</v>
      </c>
      <c r="W140" t="str">
        <f t="shared" si="40"/>
        <v>Tradiciones Andinas 07/21/2025</v>
      </c>
      <c r="Z140">
        <f t="shared" si="41"/>
        <v>71.28</v>
      </c>
    </row>
    <row r="141" spans="1:26" hidden="1" x14ac:dyDescent="0.25">
      <c r="A141" s="2" t="s">
        <v>664</v>
      </c>
      <c r="B141" s="11" t="s">
        <v>1092</v>
      </c>
      <c r="C141" s="11" t="s">
        <v>4</v>
      </c>
      <c r="D141" s="11" t="s">
        <v>1093</v>
      </c>
      <c r="E141" s="11" t="s">
        <v>1112</v>
      </c>
      <c r="F141" s="11" t="s">
        <v>1112</v>
      </c>
      <c r="G141" s="12">
        <v>3</v>
      </c>
      <c r="H141" s="12">
        <v>23.76</v>
      </c>
      <c r="I141" s="12">
        <v>71.28</v>
      </c>
      <c r="J141" s="12">
        <v>63088.339999999953</v>
      </c>
      <c r="K141" s="20">
        <f t="shared" si="28"/>
        <v>1</v>
      </c>
      <c r="L141" s="20" t="str">
        <f t="shared" si="29"/>
        <v>No se repite</v>
      </c>
      <c r="M141" s="20" t="str">
        <f t="shared" si="30"/>
        <v>Tradiciones Andinas-Coco Milk Drink with Nata de Coco ORIGINAL</v>
      </c>
      <c r="N141" s="20">
        <f t="shared" si="31"/>
        <v>1</v>
      </c>
      <c r="O141" s="20" t="str">
        <f t="shared" si="32"/>
        <v>No se repite en proveedor</v>
      </c>
      <c r="P141" s="20" t="str">
        <f t="shared" si="33"/>
        <v>Tradiciones Andinas-Coco Milk Drink with Nata de Coco ORIGINAL-23.76</v>
      </c>
      <c r="Q141" s="20">
        <f t="shared" si="34"/>
        <v>1</v>
      </c>
      <c r="R141" s="20" t="str">
        <f t="shared" si="35"/>
        <v>No se repite</v>
      </c>
      <c r="S141" s="20" t="str">
        <f t="shared" si="36"/>
        <v>El producto Coco Milk Drink with Nata de Coco ORIGINAL No se repite en proveedor Una vez con el precio 23.76</v>
      </c>
      <c r="T141" s="20" t="str">
        <f t="shared" si="37"/>
        <v>Tradiciones Andinas</v>
      </c>
      <c r="U141" s="20" t="str">
        <f t="shared" si="38"/>
        <v>Coco Milk Drink with Nata de Coco ORIGINAL</v>
      </c>
      <c r="V141" s="22">
        <f t="shared" si="39"/>
        <v>23.76</v>
      </c>
      <c r="W141" t="str">
        <f t="shared" si="40"/>
        <v>Tradiciones Andinas 07/21/2025</v>
      </c>
      <c r="Z141">
        <f t="shared" si="41"/>
        <v>71.28</v>
      </c>
    </row>
    <row r="142" spans="1:26" hidden="1" x14ac:dyDescent="0.25">
      <c r="A142" s="2" t="s">
        <v>664</v>
      </c>
      <c r="B142" s="11" t="s">
        <v>1092</v>
      </c>
      <c r="C142" s="11" t="s">
        <v>4</v>
      </c>
      <c r="D142" s="11" t="s">
        <v>1093</v>
      </c>
      <c r="E142" s="11" t="s">
        <v>1113</v>
      </c>
      <c r="F142" s="11" t="s">
        <v>1113</v>
      </c>
      <c r="G142" s="12">
        <v>3</v>
      </c>
      <c r="H142" s="12">
        <v>23.76</v>
      </c>
      <c r="I142" s="12">
        <v>71.28</v>
      </c>
      <c r="J142" s="12">
        <v>63159.619999999952</v>
      </c>
      <c r="K142" s="20">
        <f t="shared" si="28"/>
        <v>1</v>
      </c>
      <c r="L142" s="20" t="str">
        <f t="shared" si="29"/>
        <v>No se repite</v>
      </c>
      <c r="M142" s="20" t="str">
        <f t="shared" si="30"/>
        <v>Tradiciones Andinas-Coco Milk Drink with Nata de Coco STRAWBERRY</v>
      </c>
      <c r="N142" s="20">
        <f t="shared" si="31"/>
        <v>1</v>
      </c>
      <c r="O142" s="20" t="str">
        <f t="shared" si="32"/>
        <v>No se repite en proveedor</v>
      </c>
      <c r="P142" s="20" t="str">
        <f t="shared" si="33"/>
        <v>Tradiciones Andinas-Coco Milk Drink with Nata de Coco STRAWBERRY-23.76</v>
      </c>
      <c r="Q142" s="20">
        <f t="shared" si="34"/>
        <v>1</v>
      </c>
      <c r="R142" s="20" t="str">
        <f t="shared" si="35"/>
        <v>No se repite</v>
      </c>
      <c r="S142" s="20" t="str">
        <f t="shared" si="36"/>
        <v>El producto Coco Milk Drink with Nata de Coco STRAWBERRY No se repite en proveedor Una vez con el precio 23.76</v>
      </c>
      <c r="T142" s="20" t="str">
        <f t="shared" si="37"/>
        <v>Tradiciones Andinas</v>
      </c>
      <c r="U142" s="20" t="str">
        <f t="shared" si="38"/>
        <v>Coco Milk Drink with Nata de Coco STRAWBERRY</v>
      </c>
      <c r="V142" s="22">
        <f t="shared" si="39"/>
        <v>23.76</v>
      </c>
      <c r="W142" t="str">
        <f t="shared" si="40"/>
        <v>Tradiciones Andinas 07/21/2025</v>
      </c>
      <c r="Z142">
        <f t="shared" si="41"/>
        <v>71.28</v>
      </c>
    </row>
    <row r="143" spans="1:26" hidden="1" x14ac:dyDescent="0.25">
      <c r="A143" s="2" t="s">
        <v>266</v>
      </c>
      <c r="B143" s="11" t="s">
        <v>267</v>
      </c>
      <c r="C143" s="11" t="s">
        <v>4</v>
      </c>
      <c r="D143" s="11" t="s">
        <v>5</v>
      </c>
      <c r="E143" s="11" t="s">
        <v>270</v>
      </c>
      <c r="F143" s="11" t="s">
        <v>270</v>
      </c>
      <c r="G143" s="12">
        <v>1</v>
      </c>
      <c r="H143" s="12">
        <v>148</v>
      </c>
      <c r="I143" s="12">
        <v>148</v>
      </c>
      <c r="J143" s="12">
        <v>223</v>
      </c>
      <c r="K143" s="20">
        <f t="shared" si="28"/>
        <v>1</v>
      </c>
      <c r="L143" s="20" t="str">
        <f t="shared" si="29"/>
        <v>No se repite</v>
      </c>
      <c r="M143" s="20" t="str">
        <f t="shared" si="30"/>
        <v>La Sorpresa Store-Conaprole - Dulce de Leche - Milk Caramel Spread</v>
      </c>
      <c r="N143" s="20">
        <f t="shared" si="31"/>
        <v>1</v>
      </c>
      <c r="O143" s="20" t="str">
        <f t="shared" si="32"/>
        <v>No se repite en proveedor</v>
      </c>
      <c r="P143" s="20" t="str">
        <f t="shared" si="33"/>
        <v>La Sorpresa Store-Conaprole - Dulce de Leche - Milk Caramel Spread-148</v>
      </c>
      <c r="Q143" s="20">
        <f t="shared" si="34"/>
        <v>1</v>
      </c>
      <c r="R143" s="20" t="str">
        <f t="shared" si="35"/>
        <v>No se repite</v>
      </c>
      <c r="S143" s="20" t="str">
        <f t="shared" si="36"/>
        <v>El producto Conaprole - Dulce de Leche - Milk Caramel Spread No se repite en proveedor Una vez con el precio 148</v>
      </c>
      <c r="T143" s="20" t="str">
        <f t="shared" si="37"/>
        <v>La Sorpresa Store</v>
      </c>
      <c r="U143" s="20" t="str">
        <f t="shared" si="38"/>
        <v>Conaprole - Dulce de Leche - Milk Caramel Spread</v>
      </c>
      <c r="V143" s="22">
        <f t="shared" si="39"/>
        <v>148</v>
      </c>
      <c r="W143" t="str">
        <f t="shared" si="40"/>
        <v>La Sorpresa Store 08/26/2025</v>
      </c>
      <c r="Z143">
        <f t="shared" si="41"/>
        <v>148</v>
      </c>
    </row>
    <row r="144" spans="1:26" hidden="1" x14ac:dyDescent="0.25">
      <c r="A144" s="2" t="s">
        <v>18</v>
      </c>
      <c r="B144" s="11" t="s">
        <v>19</v>
      </c>
      <c r="C144" s="11" t="s">
        <v>4</v>
      </c>
      <c r="D144" s="11" t="s">
        <v>20</v>
      </c>
      <c r="E144" s="11" t="s">
        <v>60</v>
      </c>
      <c r="F144" s="11" t="s">
        <v>61</v>
      </c>
      <c r="G144" s="12">
        <v>1</v>
      </c>
      <c r="H144" s="12">
        <v>56</v>
      </c>
      <c r="I144" s="12">
        <v>56</v>
      </c>
      <c r="J144" s="12">
        <v>3414.3</v>
      </c>
      <c r="K144" s="20">
        <f t="shared" si="28"/>
        <v>2</v>
      </c>
      <c r="L144" s="20" t="str">
        <f t="shared" si="29"/>
        <v>Se repite 2 veces</v>
      </c>
      <c r="M144" s="20" t="str">
        <f t="shared" si="30"/>
        <v>Belmont International Trading Corp-CORONITA - Galleta de Chocolate x 6 x 28</v>
      </c>
      <c r="N144" s="20">
        <f t="shared" si="31"/>
        <v>2</v>
      </c>
      <c r="O144" s="20" t="str">
        <f t="shared" si="32"/>
        <v>Se repite 2 veces en Belmont International Trading Corp</v>
      </c>
      <c r="P144" s="20" t="str">
        <f t="shared" si="33"/>
        <v>Belmont International Trading Corp-CORONITA - Galleta de Chocolate x 6 x 28-56</v>
      </c>
      <c r="Q144" s="20">
        <f t="shared" si="34"/>
        <v>1</v>
      </c>
      <c r="R144" s="20" t="str">
        <f t="shared" si="35"/>
        <v>No se repite</v>
      </c>
      <c r="S144" s="20" t="str">
        <f t="shared" si="36"/>
        <v>El producto CORONITA - Galleta de Chocolate x 6 x 28 Se repite 2 veces en Belmont International Trading Corp Una vez con el precio 56</v>
      </c>
      <c r="T144" s="20" t="str">
        <f t="shared" si="37"/>
        <v>Belmont International Trading Corp</v>
      </c>
      <c r="U144" s="20" t="str">
        <f t="shared" si="38"/>
        <v>CORONITA - Galleta de Chocolate x 6 x 28</v>
      </c>
      <c r="V144" s="22">
        <f t="shared" si="39"/>
        <v>56</v>
      </c>
      <c r="W144" t="str">
        <f t="shared" si="40"/>
        <v>Belmont International Trading Corp 04/28/2025</v>
      </c>
      <c r="Z144">
        <f t="shared" si="41"/>
        <v>56</v>
      </c>
    </row>
    <row r="145" spans="1:26" hidden="1" x14ac:dyDescent="0.25">
      <c r="A145" s="2" t="s">
        <v>18</v>
      </c>
      <c r="B145" s="11" t="s">
        <v>148</v>
      </c>
      <c r="C145" s="11" t="s">
        <v>4</v>
      </c>
      <c r="D145" s="11" t="s">
        <v>149</v>
      </c>
      <c r="E145" s="11" t="s">
        <v>60</v>
      </c>
      <c r="F145" s="11" t="s">
        <v>61</v>
      </c>
      <c r="G145" s="12">
        <v>10</v>
      </c>
      <c r="H145" s="12">
        <v>61.6</v>
      </c>
      <c r="I145" s="12">
        <v>616</v>
      </c>
      <c r="J145" s="12">
        <v>10433.74</v>
      </c>
      <c r="K145" s="20">
        <f t="shared" si="28"/>
        <v>2</v>
      </c>
      <c r="L145" s="20" t="str">
        <f t="shared" si="29"/>
        <v>Se repite 2 veces</v>
      </c>
      <c r="M145" s="20" t="str">
        <f t="shared" si="30"/>
        <v>Belmont International Trading Corp-CORONITA - Galleta de Chocolate x 6 x 28</v>
      </c>
      <c r="N145" s="20">
        <f t="shared" si="31"/>
        <v>2</v>
      </c>
      <c r="O145" s="20" t="str">
        <f t="shared" si="32"/>
        <v>Se repite 2 veces en Belmont International Trading Corp</v>
      </c>
      <c r="P145" s="20" t="str">
        <f t="shared" si="33"/>
        <v>Belmont International Trading Corp-CORONITA - Galleta de Chocolate x 6 x 28-61.6</v>
      </c>
      <c r="Q145" s="20">
        <f t="shared" si="34"/>
        <v>1</v>
      </c>
      <c r="R145" s="20" t="str">
        <f t="shared" si="35"/>
        <v>No se repite</v>
      </c>
      <c r="S145" s="20" t="str">
        <f t="shared" si="36"/>
        <v>El producto CORONITA - Galleta de Chocolate x 6 x 28 Se repite 2 veces en Belmont International Trading Corp Una vez con el precio 61.6</v>
      </c>
      <c r="T145" s="20" t="str">
        <f t="shared" si="37"/>
        <v>Belmont International Trading Corp</v>
      </c>
      <c r="U145" s="20" t="str">
        <f t="shared" si="38"/>
        <v>CORONITA - Galleta de Chocolate x 6 x 28</v>
      </c>
      <c r="V145" s="22">
        <f t="shared" si="39"/>
        <v>61.6</v>
      </c>
      <c r="W145" t="str">
        <f t="shared" si="40"/>
        <v>Belmont International Trading Corp 05/16/2025</v>
      </c>
      <c r="Z145">
        <f t="shared" si="41"/>
        <v>616</v>
      </c>
    </row>
    <row r="146" spans="1:26" hidden="1" x14ac:dyDescent="0.25">
      <c r="A146" s="2" t="s">
        <v>18</v>
      </c>
      <c r="B146" s="11" t="s">
        <v>19</v>
      </c>
      <c r="C146" s="11" t="s">
        <v>4</v>
      </c>
      <c r="D146" s="11" t="s">
        <v>20</v>
      </c>
      <c r="E146" s="11" t="s">
        <v>56</v>
      </c>
      <c r="F146" s="11" t="s">
        <v>57</v>
      </c>
      <c r="G146" s="12">
        <v>2</v>
      </c>
      <c r="H146" s="12">
        <v>63</v>
      </c>
      <c r="I146" s="12">
        <v>126</v>
      </c>
      <c r="J146" s="12">
        <v>3218.3</v>
      </c>
      <c r="K146" s="20">
        <f t="shared" si="28"/>
        <v>9</v>
      </c>
      <c r="L146" s="20" t="str">
        <f t="shared" si="29"/>
        <v>Se repite 9 veces</v>
      </c>
      <c r="M146" s="20" t="str">
        <f t="shared" si="30"/>
        <v>Belmont International Trading Corp-Cua Cua 9 x 24</v>
      </c>
      <c r="N146" s="20">
        <f t="shared" si="31"/>
        <v>1</v>
      </c>
      <c r="O146" s="20" t="str">
        <f t="shared" si="32"/>
        <v>No se repite en proveedor</v>
      </c>
      <c r="P146" s="20" t="str">
        <f t="shared" si="33"/>
        <v>Belmont International Trading Corp-Cua Cua 9 x 24-63</v>
      </c>
      <c r="Q146" s="20">
        <f t="shared" si="34"/>
        <v>1</v>
      </c>
      <c r="R146" s="20" t="str">
        <f t="shared" si="35"/>
        <v>No se repite</v>
      </c>
      <c r="S146" s="20" t="str">
        <f t="shared" si="36"/>
        <v>El producto Cua Cua 9 x 24 No se repite en proveedor Una vez con el precio 63</v>
      </c>
      <c r="T146" s="20" t="str">
        <f t="shared" si="37"/>
        <v>Belmont International Trading Corp</v>
      </c>
      <c r="U146" s="20" t="str">
        <f t="shared" si="38"/>
        <v>Cua Cua 9 x 24</v>
      </c>
      <c r="V146" s="22">
        <f t="shared" si="39"/>
        <v>63</v>
      </c>
      <c r="W146" t="str">
        <f t="shared" si="40"/>
        <v>Belmont International Trading Corp 04/28/2025</v>
      </c>
      <c r="Z146">
        <f t="shared" si="41"/>
        <v>126</v>
      </c>
    </row>
    <row r="147" spans="1:26" hidden="1" x14ac:dyDescent="0.25">
      <c r="A147" s="2" t="s">
        <v>272</v>
      </c>
      <c r="B147" s="11" t="s">
        <v>408</v>
      </c>
      <c r="C147" s="11" t="s">
        <v>4</v>
      </c>
      <c r="D147" s="11" t="s">
        <v>409</v>
      </c>
      <c r="E147" s="11" t="s">
        <v>56</v>
      </c>
      <c r="F147" s="11" t="s">
        <v>57</v>
      </c>
      <c r="G147" s="12">
        <v>1</v>
      </c>
      <c r="H147" s="12">
        <v>68</v>
      </c>
      <c r="I147" s="12">
        <v>68</v>
      </c>
      <c r="J147" s="12">
        <v>5417.6</v>
      </c>
      <c r="K147" s="20">
        <f t="shared" si="28"/>
        <v>9</v>
      </c>
      <c r="L147" s="20" t="str">
        <f t="shared" si="29"/>
        <v>Se repite 9 veces</v>
      </c>
      <c r="M147" s="20" t="str">
        <f t="shared" si="30"/>
        <v>Peru Chef-Cua Cua 9 x 24</v>
      </c>
      <c r="N147" s="20">
        <f t="shared" si="31"/>
        <v>1</v>
      </c>
      <c r="O147" s="20" t="str">
        <f t="shared" si="32"/>
        <v>No se repite en proveedor</v>
      </c>
      <c r="P147" s="20" t="str">
        <f t="shared" si="33"/>
        <v>Peru Chef-Cua Cua 9 x 24-68</v>
      </c>
      <c r="Q147" s="20">
        <f t="shared" si="34"/>
        <v>1</v>
      </c>
      <c r="R147" s="20" t="str">
        <f t="shared" si="35"/>
        <v>No se repite</v>
      </c>
      <c r="S147" s="20" t="str">
        <f t="shared" si="36"/>
        <v>El producto Cua Cua 9 x 24 No se repite en proveedor Una vez con el precio 68</v>
      </c>
      <c r="T147" s="20" t="str">
        <f t="shared" si="37"/>
        <v>Peru Chef</v>
      </c>
      <c r="U147" s="20" t="str">
        <f t="shared" si="38"/>
        <v>Cua Cua 9 x 24</v>
      </c>
      <c r="V147" s="22">
        <f t="shared" si="39"/>
        <v>68</v>
      </c>
      <c r="W147" t="str">
        <f t="shared" si="40"/>
        <v>Peru Chef 04/13/2025</v>
      </c>
      <c r="Z147">
        <f t="shared" si="41"/>
        <v>68</v>
      </c>
    </row>
    <row r="148" spans="1:26" hidden="1" x14ac:dyDescent="0.25">
      <c r="A148" s="2" t="s">
        <v>664</v>
      </c>
      <c r="B148" s="11" t="s">
        <v>398</v>
      </c>
      <c r="C148" s="11" t="s">
        <v>4</v>
      </c>
      <c r="D148" s="11" t="s">
        <v>5</v>
      </c>
      <c r="E148" s="11" t="s">
        <v>56</v>
      </c>
      <c r="F148" s="11" t="s">
        <v>791</v>
      </c>
      <c r="G148" s="12">
        <v>5</v>
      </c>
      <c r="H148" s="12">
        <v>47.76</v>
      </c>
      <c r="I148" s="12">
        <v>238.8</v>
      </c>
      <c r="J148" s="12">
        <v>5767.44</v>
      </c>
      <c r="K148" s="20">
        <f t="shared" si="28"/>
        <v>9</v>
      </c>
      <c r="L148" s="20" t="str">
        <f t="shared" si="29"/>
        <v>Se repite 9 veces</v>
      </c>
      <c r="M148" s="20" t="str">
        <f t="shared" si="30"/>
        <v>Tradiciones Andinas-Cua Cua 9 x 24</v>
      </c>
      <c r="N148" s="20">
        <f t="shared" si="31"/>
        <v>7</v>
      </c>
      <c r="O148" s="20" t="str">
        <f t="shared" si="32"/>
        <v>Se repite 7 veces en Tradiciones Andinas</v>
      </c>
      <c r="P148" s="20" t="str">
        <f t="shared" si="33"/>
        <v>Tradiciones Andinas-Cua Cua 9 x 24-47.76</v>
      </c>
      <c r="Q148" s="20">
        <f t="shared" si="34"/>
        <v>2</v>
      </c>
      <c r="R148" s="20" t="str">
        <f t="shared" si="35"/>
        <v>Se repite 2 veces el precio de 47.76</v>
      </c>
      <c r="S148" s="20" t="str">
        <f t="shared" si="36"/>
        <v>El producto Cua Cua 9 x 24 Se repite 7 veces en Tradiciones Andinas, Se repite 2 veces el precio de 47.76</v>
      </c>
      <c r="T148" s="20" t="str">
        <f t="shared" si="37"/>
        <v>Tradiciones Andinas</v>
      </c>
      <c r="U148" s="20" t="str">
        <f t="shared" si="38"/>
        <v>Cua Cua 9 x 24</v>
      </c>
      <c r="V148" s="22">
        <f t="shared" si="39"/>
        <v>47.76</v>
      </c>
      <c r="W148" t="str">
        <f t="shared" si="40"/>
        <v>Tradiciones Andinas 04/10/2025</v>
      </c>
      <c r="Z148">
        <f t="shared" si="41"/>
        <v>238.79999999999998</v>
      </c>
    </row>
    <row r="149" spans="1:26" hidden="1" x14ac:dyDescent="0.25">
      <c r="A149" s="2" t="s">
        <v>664</v>
      </c>
      <c r="B149" s="11" t="s">
        <v>821</v>
      </c>
      <c r="C149" s="11" t="s">
        <v>4</v>
      </c>
      <c r="D149" s="11" t="s">
        <v>822</v>
      </c>
      <c r="E149" s="11" t="s">
        <v>56</v>
      </c>
      <c r="F149" s="11" t="s">
        <v>791</v>
      </c>
      <c r="G149" s="12">
        <v>12</v>
      </c>
      <c r="H149" s="12">
        <v>47.76</v>
      </c>
      <c r="I149" s="12">
        <v>573.12</v>
      </c>
      <c r="J149" s="12">
        <v>19237.199999999997</v>
      </c>
      <c r="K149" s="20">
        <f t="shared" si="28"/>
        <v>9</v>
      </c>
      <c r="L149" s="20" t="str">
        <f t="shared" si="29"/>
        <v>Se repite 9 veces</v>
      </c>
      <c r="M149" s="20" t="str">
        <f t="shared" si="30"/>
        <v>Tradiciones Andinas-Cua Cua 9 x 24</v>
      </c>
      <c r="N149" s="20">
        <f t="shared" si="31"/>
        <v>7</v>
      </c>
      <c r="O149" s="20" t="str">
        <f t="shared" si="32"/>
        <v>Se repite 7 veces en Tradiciones Andinas</v>
      </c>
      <c r="P149" s="20" t="str">
        <f t="shared" si="33"/>
        <v>Tradiciones Andinas-Cua Cua 9 x 24-47.76</v>
      </c>
      <c r="Q149" s="20">
        <f t="shared" si="34"/>
        <v>2</v>
      </c>
      <c r="R149" s="20" t="str">
        <f t="shared" si="35"/>
        <v>Se repite 2 veces el precio de 47.76</v>
      </c>
      <c r="S149" s="20" t="str">
        <f t="shared" si="36"/>
        <v>El producto Cua Cua 9 x 24 Se repite 7 veces en Tradiciones Andinas, Se repite 2 veces el precio de 47.76</v>
      </c>
      <c r="T149" s="20" t="str">
        <f t="shared" si="37"/>
        <v>Tradiciones Andinas</v>
      </c>
      <c r="U149" s="20" t="str">
        <f t="shared" si="38"/>
        <v>Cua Cua 9 x 24</v>
      </c>
      <c r="V149" s="22">
        <f t="shared" si="39"/>
        <v>47.76</v>
      </c>
      <c r="W149" t="str">
        <f t="shared" si="40"/>
        <v>Tradiciones Andinas 04/25/2025</v>
      </c>
      <c r="Z149">
        <f t="shared" si="41"/>
        <v>573.12</v>
      </c>
    </row>
    <row r="150" spans="1:26" hidden="1" x14ac:dyDescent="0.25">
      <c r="A150" s="2" t="s">
        <v>664</v>
      </c>
      <c r="B150" s="11" t="s">
        <v>654</v>
      </c>
      <c r="C150" s="11" t="s">
        <v>4</v>
      </c>
      <c r="D150" s="11" t="s">
        <v>940</v>
      </c>
      <c r="E150" s="11" t="s">
        <v>56</v>
      </c>
      <c r="F150" s="11" t="s">
        <v>57</v>
      </c>
      <c r="G150" s="12">
        <v>4</v>
      </c>
      <c r="H150" s="12">
        <v>51.1</v>
      </c>
      <c r="I150" s="12">
        <v>204.4</v>
      </c>
      <c r="J150" s="12">
        <v>31054.389999999996</v>
      </c>
      <c r="K150" s="20">
        <f t="shared" si="28"/>
        <v>9</v>
      </c>
      <c r="L150" s="20" t="str">
        <f t="shared" si="29"/>
        <v>Se repite 9 veces</v>
      </c>
      <c r="M150" s="20" t="str">
        <f t="shared" si="30"/>
        <v>Tradiciones Andinas-Cua Cua 9 x 24</v>
      </c>
      <c r="N150" s="20">
        <f t="shared" si="31"/>
        <v>7</v>
      </c>
      <c r="O150" s="20" t="str">
        <f t="shared" si="32"/>
        <v>Se repite 7 veces en Tradiciones Andinas</v>
      </c>
      <c r="P150" s="20" t="str">
        <f t="shared" si="33"/>
        <v>Tradiciones Andinas-Cua Cua 9 x 24-51.1</v>
      </c>
      <c r="Q150" s="20">
        <f t="shared" si="34"/>
        <v>3</v>
      </c>
      <c r="R150" s="20" t="str">
        <f t="shared" si="35"/>
        <v>Se repite 3 veces el precio de 51.1</v>
      </c>
      <c r="S150" s="20" t="str">
        <f t="shared" si="36"/>
        <v>El producto Cua Cua 9 x 24 Se repite 7 veces en Tradiciones Andinas, Se repite 3 veces el precio de 51.1</v>
      </c>
      <c r="T150" s="20" t="str">
        <f t="shared" si="37"/>
        <v>Tradiciones Andinas</v>
      </c>
      <c r="U150" s="20" t="str">
        <f t="shared" si="38"/>
        <v>Cua Cua 9 x 24</v>
      </c>
      <c r="V150" s="22">
        <f t="shared" si="39"/>
        <v>51.1</v>
      </c>
      <c r="W150" t="str">
        <f t="shared" si="40"/>
        <v>Tradiciones Andinas 05/19/2025</v>
      </c>
      <c r="Z150">
        <f t="shared" si="41"/>
        <v>204.4</v>
      </c>
    </row>
    <row r="151" spans="1:26" hidden="1" x14ac:dyDescent="0.25">
      <c r="A151" s="2" t="s">
        <v>664</v>
      </c>
      <c r="B151" s="11" t="s">
        <v>1125</v>
      </c>
      <c r="C151" s="11" t="s">
        <v>4</v>
      </c>
      <c r="D151" s="11" t="s">
        <v>1126</v>
      </c>
      <c r="E151" s="11" t="s">
        <v>56</v>
      </c>
      <c r="F151" s="11" t="s">
        <v>57</v>
      </c>
      <c r="G151" s="12">
        <v>2</v>
      </c>
      <c r="H151" s="12">
        <v>51.1</v>
      </c>
      <c r="I151" s="12">
        <v>102.2</v>
      </c>
      <c r="J151" s="12">
        <v>71090.23000000001</v>
      </c>
      <c r="K151" s="20">
        <f t="shared" si="28"/>
        <v>9</v>
      </c>
      <c r="L151" s="20" t="str">
        <f t="shared" si="29"/>
        <v>Se repite 9 veces</v>
      </c>
      <c r="M151" s="20" t="str">
        <f t="shared" si="30"/>
        <v>Tradiciones Andinas-Cua Cua 9 x 24</v>
      </c>
      <c r="N151" s="20">
        <f t="shared" si="31"/>
        <v>7</v>
      </c>
      <c r="O151" s="20" t="str">
        <f t="shared" si="32"/>
        <v>Se repite 7 veces en Tradiciones Andinas</v>
      </c>
      <c r="P151" s="20" t="str">
        <f t="shared" si="33"/>
        <v>Tradiciones Andinas-Cua Cua 9 x 24-51.1</v>
      </c>
      <c r="Q151" s="20">
        <f t="shared" si="34"/>
        <v>3</v>
      </c>
      <c r="R151" s="20" t="str">
        <f t="shared" si="35"/>
        <v>Se repite 3 veces el precio de 51.1</v>
      </c>
      <c r="S151" s="20" t="str">
        <f t="shared" si="36"/>
        <v>El producto Cua Cua 9 x 24 Se repite 7 veces en Tradiciones Andinas, Se repite 3 veces el precio de 51.1</v>
      </c>
      <c r="T151" s="20" t="str">
        <f t="shared" si="37"/>
        <v>Tradiciones Andinas</v>
      </c>
      <c r="U151" s="20" t="str">
        <f t="shared" si="38"/>
        <v>Cua Cua 9 x 24</v>
      </c>
      <c r="V151" s="22">
        <f t="shared" si="39"/>
        <v>51.1</v>
      </c>
      <c r="W151" t="str">
        <f t="shared" si="40"/>
        <v>Tradiciones Andinas 08/18/2025</v>
      </c>
      <c r="Z151">
        <f t="shared" si="41"/>
        <v>102.2</v>
      </c>
    </row>
    <row r="152" spans="1:26" hidden="1" x14ac:dyDescent="0.25">
      <c r="A152" s="2" t="s">
        <v>664</v>
      </c>
      <c r="B152" s="11" t="s">
        <v>1153</v>
      </c>
      <c r="C152" s="11" t="s">
        <v>4</v>
      </c>
      <c r="D152" s="11" t="s">
        <v>1154</v>
      </c>
      <c r="E152" s="11" t="s">
        <v>56</v>
      </c>
      <c r="F152" s="11" t="s">
        <v>57</v>
      </c>
      <c r="G152" s="12">
        <v>3</v>
      </c>
      <c r="H152" s="12">
        <v>51.1</v>
      </c>
      <c r="I152" s="12">
        <v>153.30000000000001</v>
      </c>
      <c r="J152" s="12">
        <v>84318.479999999967</v>
      </c>
      <c r="K152" s="20">
        <f t="shared" si="28"/>
        <v>9</v>
      </c>
      <c r="L152" s="20" t="str">
        <f t="shared" si="29"/>
        <v>Se repite 9 veces</v>
      </c>
      <c r="M152" s="20" t="str">
        <f t="shared" si="30"/>
        <v>Tradiciones Andinas-Cua Cua 9 x 24</v>
      </c>
      <c r="N152" s="20">
        <f t="shared" si="31"/>
        <v>7</v>
      </c>
      <c r="O152" s="20" t="str">
        <f t="shared" si="32"/>
        <v>Se repite 7 veces en Tradiciones Andinas</v>
      </c>
      <c r="P152" s="20" t="str">
        <f t="shared" si="33"/>
        <v>Tradiciones Andinas-Cua Cua 9 x 24-51.1</v>
      </c>
      <c r="Q152" s="20">
        <f t="shared" si="34"/>
        <v>3</v>
      </c>
      <c r="R152" s="20" t="str">
        <f t="shared" si="35"/>
        <v>Se repite 3 veces el precio de 51.1</v>
      </c>
      <c r="S152" s="20" t="str">
        <f t="shared" si="36"/>
        <v>El producto Cua Cua 9 x 24 Se repite 7 veces en Tradiciones Andinas, Se repite 3 veces el precio de 51.1</v>
      </c>
      <c r="T152" s="20" t="str">
        <f t="shared" si="37"/>
        <v>Tradiciones Andinas</v>
      </c>
      <c r="U152" s="20" t="str">
        <f t="shared" si="38"/>
        <v>Cua Cua 9 x 24</v>
      </c>
      <c r="V152" s="22">
        <f t="shared" si="39"/>
        <v>51.1</v>
      </c>
      <c r="W152" t="str">
        <f t="shared" si="40"/>
        <v>Tradiciones Andinas 09/24/2025</v>
      </c>
      <c r="Z152">
        <f t="shared" si="41"/>
        <v>153.30000000000001</v>
      </c>
    </row>
    <row r="153" spans="1:26" hidden="1" x14ac:dyDescent="0.25">
      <c r="A153" s="2" t="s">
        <v>664</v>
      </c>
      <c r="B153" s="11" t="s">
        <v>1201</v>
      </c>
      <c r="C153" s="11" t="s">
        <v>4</v>
      </c>
      <c r="D153" s="11" t="s">
        <v>1202</v>
      </c>
      <c r="E153" s="11" t="s">
        <v>56</v>
      </c>
      <c r="F153" s="11" t="s">
        <v>57</v>
      </c>
      <c r="G153" s="12">
        <v>4</v>
      </c>
      <c r="H153" s="12">
        <v>54.96</v>
      </c>
      <c r="I153" s="12">
        <v>219.84</v>
      </c>
      <c r="J153" s="12">
        <v>104824.39999999992</v>
      </c>
      <c r="K153" s="20">
        <f t="shared" si="28"/>
        <v>9</v>
      </c>
      <c r="L153" s="20" t="str">
        <f t="shared" si="29"/>
        <v>Se repite 9 veces</v>
      </c>
      <c r="M153" s="20" t="str">
        <f t="shared" si="30"/>
        <v>Tradiciones Andinas-Cua Cua 9 x 24</v>
      </c>
      <c r="N153" s="20">
        <f t="shared" si="31"/>
        <v>7</v>
      </c>
      <c r="O153" s="20" t="str">
        <f t="shared" si="32"/>
        <v>Se repite 7 veces en Tradiciones Andinas</v>
      </c>
      <c r="P153" s="20" t="str">
        <f t="shared" si="33"/>
        <v>Tradiciones Andinas-Cua Cua 9 x 24-54.96</v>
      </c>
      <c r="Q153" s="20">
        <f t="shared" si="34"/>
        <v>2</v>
      </c>
      <c r="R153" s="20" t="str">
        <f t="shared" si="35"/>
        <v>Se repite 2 veces el precio de 54.96</v>
      </c>
      <c r="S153" s="20" t="str">
        <f t="shared" si="36"/>
        <v>El producto Cua Cua 9 x 24 Se repite 7 veces en Tradiciones Andinas, Se repite 2 veces el precio de 54.96</v>
      </c>
      <c r="T153" s="20" t="str">
        <f t="shared" si="37"/>
        <v>Tradiciones Andinas</v>
      </c>
      <c r="U153" s="20" t="str">
        <f t="shared" si="38"/>
        <v>Cua Cua 9 x 24</v>
      </c>
      <c r="V153" s="22">
        <f t="shared" si="39"/>
        <v>54.96</v>
      </c>
      <c r="W153" t="str">
        <f t="shared" si="40"/>
        <v>Tradiciones Andinas 11/07/2025</v>
      </c>
      <c r="Z153">
        <f t="shared" si="41"/>
        <v>219.84</v>
      </c>
    </row>
    <row r="154" spans="1:26" hidden="1" x14ac:dyDescent="0.25">
      <c r="A154" s="2" t="s">
        <v>664</v>
      </c>
      <c r="B154" s="11" t="s">
        <v>1207</v>
      </c>
      <c r="C154" s="11" t="s">
        <v>4</v>
      </c>
      <c r="D154" s="11" t="s">
        <v>1208</v>
      </c>
      <c r="E154" s="11" t="s">
        <v>56</v>
      </c>
      <c r="F154" s="11" t="s">
        <v>57</v>
      </c>
      <c r="G154" s="12">
        <v>10</v>
      </c>
      <c r="H154" s="12">
        <v>54.96</v>
      </c>
      <c r="I154" s="12">
        <v>549.6</v>
      </c>
      <c r="J154" s="12">
        <v>110641.31999999991</v>
      </c>
      <c r="K154" s="20">
        <f t="shared" si="28"/>
        <v>9</v>
      </c>
      <c r="L154" s="20" t="str">
        <f t="shared" si="29"/>
        <v>Se repite 9 veces</v>
      </c>
      <c r="M154" s="20" t="str">
        <f t="shared" si="30"/>
        <v>Tradiciones Andinas-Cua Cua 9 x 24</v>
      </c>
      <c r="N154" s="20">
        <f t="shared" si="31"/>
        <v>7</v>
      </c>
      <c r="O154" s="20" t="str">
        <f t="shared" si="32"/>
        <v>Se repite 7 veces en Tradiciones Andinas</v>
      </c>
      <c r="P154" s="20" t="str">
        <f t="shared" si="33"/>
        <v>Tradiciones Andinas-Cua Cua 9 x 24-54.96</v>
      </c>
      <c r="Q154" s="20">
        <f t="shared" si="34"/>
        <v>2</v>
      </c>
      <c r="R154" s="20" t="str">
        <f t="shared" si="35"/>
        <v>Se repite 2 veces el precio de 54.96</v>
      </c>
      <c r="S154" s="20" t="str">
        <f t="shared" si="36"/>
        <v>El producto Cua Cua 9 x 24 Se repite 7 veces en Tradiciones Andinas, Se repite 2 veces el precio de 54.96</v>
      </c>
      <c r="T154" s="20" t="str">
        <f t="shared" si="37"/>
        <v>Tradiciones Andinas</v>
      </c>
      <c r="U154" s="20" t="str">
        <f t="shared" si="38"/>
        <v>Cua Cua 9 x 24</v>
      </c>
      <c r="V154" s="22">
        <f t="shared" si="39"/>
        <v>54.96</v>
      </c>
      <c r="W154" t="str">
        <f t="shared" si="40"/>
        <v>Tradiciones Andinas 11/28/2025</v>
      </c>
      <c r="Z154">
        <f t="shared" si="41"/>
        <v>549.6</v>
      </c>
    </row>
    <row r="155" spans="1:26" hidden="1" x14ac:dyDescent="0.25">
      <c r="A155" s="2" t="s">
        <v>664</v>
      </c>
      <c r="B155" s="11" t="s">
        <v>1033</v>
      </c>
      <c r="C155" s="11" t="s">
        <v>4</v>
      </c>
      <c r="D155" s="11" t="s">
        <v>1034</v>
      </c>
      <c r="E155" s="11" t="s">
        <v>1062</v>
      </c>
      <c r="F155" s="11" t="s">
        <v>1063</v>
      </c>
      <c r="G155" s="12">
        <v>1</v>
      </c>
      <c r="H155" s="12">
        <v>39.46</v>
      </c>
      <c r="I155" s="12">
        <v>39.46</v>
      </c>
      <c r="J155" s="12">
        <v>53713.079999999951</v>
      </c>
      <c r="K155" s="20">
        <f t="shared" si="28"/>
        <v>4</v>
      </c>
      <c r="L155" s="20" t="str">
        <f t="shared" si="29"/>
        <v>Se repite 4 veces</v>
      </c>
      <c r="M155" s="20" t="str">
        <f t="shared" si="30"/>
        <v>Tradiciones Andinas-DEL VALLE - Boldo Filtrante 25gr x 25 x 32</v>
      </c>
      <c r="N155" s="20">
        <f t="shared" si="31"/>
        <v>4</v>
      </c>
      <c r="O155" s="20" t="str">
        <f t="shared" si="32"/>
        <v>Se repite 4 veces en Tradiciones Andinas</v>
      </c>
      <c r="P155" s="20" t="str">
        <f t="shared" si="33"/>
        <v>Tradiciones Andinas-DEL VALLE - Boldo Filtrante 25gr x 25 x 32-39.46</v>
      </c>
      <c r="Q155" s="20">
        <f t="shared" si="34"/>
        <v>4</v>
      </c>
      <c r="R155" s="20" t="str">
        <f t="shared" si="35"/>
        <v>Se repite 4 veces el precio de 39.46</v>
      </c>
      <c r="S155" s="20" t="str">
        <f t="shared" si="36"/>
        <v>El producto DEL VALLE - Boldo Filtrante 25gr x 25 x 32 Se repite 4 veces en Tradiciones Andinas, Se repite 4 veces el precio de 39.46</v>
      </c>
      <c r="T155" s="20" t="str">
        <f t="shared" si="37"/>
        <v>Tradiciones Andinas</v>
      </c>
      <c r="U155" s="20" t="str">
        <f t="shared" si="38"/>
        <v>DEL VALLE - Boldo Filtrante 25gr x 25 x 32</v>
      </c>
      <c r="V155" s="22">
        <f t="shared" si="39"/>
        <v>39.46</v>
      </c>
      <c r="W155" t="str">
        <f t="shared" si="40"/>
        <v>Tradiciones Andinas 07/03/2025</v>
      </c>
      <c r="Z155">
        <f t="shared" si="41"/>
        <v>39.46</v>
      </c>
    </row>
    <row r="156" spans="1:26" hidden="1" x14ac:dyDescent="0.25">
      <c r="A156" s="2" t="s">
        <v>664</v>
      </c>
      <c r="B156" s="11" t="s">
        <v>1092</v>
      </c>
      <c r="C156" s="11" t="s">
        <v>4</v>
      </c>
      <c r="D156" s="11" t="s">
        <v>1093</v>
      </c>
      <c r="E156" s="11" t="s">
        <v>1062</v>
      </c>
      <c r="F156" s="11" t="s">
        <v>1063</v>
      </c>
      <c r="G156" s="12">
        <v>2</v>
      </c>
      <c r="H156" s="12">
        <v>39.46</v>
      </c>
      <c r="I156" s="12">
        <v>78.92</v>
      </c>
      <c r="J156" s="12">
        <v>62252.559999999954</v>
      </c>
      <c r="K156" s="20">
        <f t="shared" si="28"/>
        <v>4</v>
      </c>
      <c r="L156" s="20" t="str">
        <f t="shared" si="29"/>
        <v>Se repite 4 veces</v>
      </c>
      <c r="M156" s="20" t="str">
        <f t="shared" si="30"/>
        <v>Tradiciones Andinas-DEL VALLE - Boldo Filtrante 25gr x 25 x 32</v>
      </c>
      <c r="N156" s="20">
        <f t="shared" si="31"/>
        <v>4</v>
      </c>
      <c r="O156" s="20" t="str">
        <f t="shared" si="32"/>
        <v>Se repite 4 veces en Tradiciones Andinas</v>
      </c>
      <c r="P156" s="20" t="str">
        <f t="shared" si="33"/>
        <v>Tradiciones Andinas-DEL VALLE - Boldo Filtrante 25gr x 25 x 32-39.46</v>
      </c>
      <c r="Q156" s="20">
        <f t="shared" si="34"/>
        <v>4</v>
      </c>
      <c r="R156" s="20" t="str">
        <f t="shared" si="35"/>
        <v>Se repite 4 veces el precio de 39.46</v>
      </c>
      <c r="S156" s="20" t="str">
        <f t="shared" si="36"/>
        <v>El producto DEL VALLE - Boldo Filtrante 25gr x 25 x 32 Se repite 4 veces en Tradiciones Andinas, Se repite 4 veces el precio de 39.46</v>
      </c>
      <c r="T156" s="20" t="str">
        <f t="shared" si="37"/>
        <v>Tradiciones Andinas</v>
      </c>
      <c r="U156" s="20" t="str">
        <f t="shared" si="38"/>
        <v>DEL VALLE - Boldo Filtrante 25gr x 25 x 32</v>
      </c>
      <c r="V156" s="22">
        <f t="shared" si="39"/>
        <v>39.46</v>
      </c>
      <c r="W156" t="str">
        <f t="shared" si="40"/>
        <v>Tradiciones Andinas 07/21/2025</v>
      </c>
      <c r="Z156">
        <f t="shared" si="41"/>
        <v>78.92</v>
      </c>
    </row>
    <row r="157" spans="1:26" hidden="1" x14ac:dyDescent="0.25">
      <c r="A157" s="2" t="s">
        <v>664</v>
      </c>
      <c r="B157" s="11" t="s">
        <v>1153</v>
      </c>
      <c r="C157" s="11" t="s">
        <v>4</v>
      </c>
      <c r="D157" s="11" t="s">
        <v>1154</v>
      </c>
      <c r="E157" s="11" t="s">
        <v>1062</v>
      </c>
      <c r="F157" s="11" t="s">
        <v>1063</v>
      </c>
      <c r="G157" s="12">
        <v>4</v>
      </c>
      <c r="H157" s="12">
        <v>39.46</v>
      </c>
      <c r="I157" s="12">
        <v>157.84</v>
      </c>
      <c r="J157" s="12">
        <v>83499.90999999996</v>
      </c>
      <c r="K157" s="20">
        <f t="shared" si="28"/>
        <v>4</v>
      </c>
      <c r="L157" s="20" t="str">
        <f t="shared" si="29"/>
        <v>Se repite 4 veces</v>
      </c>
      <c r="M157" s="20" t="str">
        <f t="shared" si="30"/>
        <v>Tradiciones Andinas-DEL VALLE - Boldo Filtrante 25gr x 25 x 32</v>
      </c>
      <c r="N157" s="20">
        <f t="shared" si="31"/>
        <v>4</v>
      </c>
      <c r="O157" s="20" t="str">
        <f t="shared" si="32"/>
        <v>Se repite 4 veces en Tradiciones Andinas</v>
      </c>
      <c r="P157" s="20" t="str">
        <f t="shared" si="33"/>
        <v>Tradiciones Andinas-DEL VALLE - Boldo Filtrante 25gr x 25 x 32-39.46</v>
      </c>
      <c r="Q157" s="20">
        <f t="shared" si="34"/>
        <v>4</v>
      </c>
      <c r="R157" s="20" t="str">
        <f t="shared" si="35"/>
        <v>Se repite 4 veces el precio de 39.46</v>
      </c>
      <c r="S157" s="20" t="str">
        <f t="shared" si="36"/>
        <v>El producto DEL VALLE - Boldo Filtrante 25gr x 25 x 32 Se repite 4 veces en Tradiciones Andinas, Se repite 4 veces el precio de 39.46</v>
      </c>
      <c r="T157" s="20" t="str">
        <f t="shared" si="37"/>
        <v>Tradiciones Andinas</v>
      </c>
      <c r="U157" s="20" t="str">
        <f t="shared" si="38"/>
        <v>DEL VALLE - Boldo Filtrante 25gr x 25 x 32</v>
      </c>
      <c r="V157" s="22">
        <f t="shared" si="39"/>
        <v>39.46</v>
      </c>
      <c r="W157" t="str">
        <f t="shared" si="40"/>
        <v>Tradiciones Andinas 09/24/2025</v>
      </c>
      <c r="Z157">
        <f t="shared" si="41"/>
        <v>157.84</v>
      </c>
    </row>
    <row r="158" spans="1:26" hidden="1" x14ac:dyDescent="0.25">
      <c r="A158" s="2" t="s">
        <v>664</v>
      </c>
      <c r="B158" s="11" t="s">
        <v>1207</v>
      </c>
      <c r="C158" s="11" t="s">
        <v>4</v>
      </c>
      <c r="D158" s="11" t="s">
        <v>1208</v>
      </c>
      <c r="E158" s="11" t="s">
        <v>1062</v>
      </c>
      <c r="F158" s="11" t="s">
        <v>1063</v>
      </c>
      <c r="G158" s="12">
        <v>2</v>
      </c>
      <c r="H158" s="12">
        <v>39.46</v>
      </c>
      <c r="I158" s="12">
        <v>78.92</v>
      </c>
      <c r="J158" s="12">
        <v>109068.75999999991</v>
      </c>
      <c r="K158" s="20">
        <f t="shared" si="28"/>
        <v>4</v>
      </c>
      <c r="L158" s="20" t="str">
        <f t="shared" si="29"/>
        <v>Se repite 4 veces</v>
      </c>
      <c r="M158" s="20" t="str">
        <f t="shared" si="30"/>
        <v>Tradiciones Andinas-DEL VALLE - Boldo Filtrante 25gr x 25 x 32</v>
      </c>
      <c r="N158" s="20">
        <f t="shared" si="31"/>
        <v>4</v>
      </c>
      <c r="O158" s="20" t="str">
        <f t="shared" si="32"/>
        <v>Se repite 4 veces en Tradiciones Andinas</v>
      </c>
      <c r="P158" s="20" t="str">
        <f t="shared" si="33"/>
        <v>Tradiciones Andinas-DEL VALLE - Boldo Filtrante 25gr x 25 x 32-39.46</v>
      </c>
      <c r="Q158" s="20">
        <f t="shared" si="34"/>
        <v>4</v>
      </c>
      <c r="R158" s="20" t="str">
        <f t="shared" si="35"/>
        <v>Se repite 4 veces el precio de 39.46</v>
      </c>
      <c r="S158" s="20" t="str">
        <f t="shared" si="36"/>
        <v>El producto DEL VALLE - Boldo Filtrante 25gr x 25 x 32 Se repite 4 veces en Tradiciones Andinas, Se repite 4 veces el precio de 39.46</v>
      </c>
      <c r="T158" s="20" t="str">
        <f t="shared" si="37"/>
        <v>Tradiciones Andinas</v>
      </c>
      <c r="U158" s="20" t="str">
        <f t="shared" si="38"/>
        <v>DEL VALLE - Boldo Filtrante 25gr x 25 x 32</v>
      </c>
      <c r="V158" s="22">
        <f t="shared" si="39"/>
        <v>39.46</v>
      </c>
      <c r="W158" t="str">
        <f t="shared" si="40"/>
        <v>Tradiciones Andinas 11/28/2025</v>
      </c>
      <c r="Z158">
        <f t="shared" si="41"/>
        <v>78.92</v>
      </c>
    </row>
    <row r="159" spans="1:26" hidden="1" x14ac:dyDescent="0.25">
      <c r="A159" s="2" t="s">
        <v>664</v>
      </c>
      <c r="B159" s="11" t="s">
        <v>821</v>
      </c>
      <c r="C159" s="11" t="s">
        <v>4</v>
      </c>
      <c r="D159" s="11" t="s">
        <v>822</v>
      </c>
      <c r="E159" s="11" t="s">
        <v>876</v>
      </c>
      <c r="F159" s="11" t="s">
        <v>877</v>
      </c>
      <c r="G159" s="12">
        <v>2</v>
      </c>
      <c r="H159" s="12">
        <v>36.880000000000003</v>
      </c>
      <c r="I159" s="12">
        <v>73.760000000000005</v>
      </c>
      <c r="J159" s="12">
        <v>17516.419999999995</v>
      </c>
      <c r="K159" s="20">
        <f t="shared" si="28"/>
        <v>3</v>
      </c>
      <c r="L159" s="20" t="str">
        <f t="shared" si="29"/>
        <v>Se repite 3 veces</v>
      </c>
      <c r="M159" s="20" t="str">
        <f t="shared" si="30"/>
        <v>Tradiciones Andinas-DEL VALLE - Chancapiedra filtrante 25 x 32</v>
      </c>
      <c r="N159" s="20">
        <f t="shared" si="31"/>
        <v>3</v>
      </c>
      <c r="O159" s="20" t="str">
        <f t="shared" si="32"/>
        <v>Se repite 3 veces en Tradiciones Andinas</v>
      </c>
      <c r="P159" s="20" t="str">
        <f t="shared" si="33"/>
        <v>Tradiciones Andinas-DEL VALLE - Chancapiedra filtrante 25 x 32-36.88</v>
      </c>
      <c r="Q159" s="20">
        <f t="shared" si="34"/>
        <v>1</v>
      </c>
      <c r="R159" s="20" t="str">
        <f t="shared" si="35"/>
        <v>No se repite</v>
      </c>
      <c r="S159" s="20" t="str">
        <f t="shared" si="36"/>
        <v>El producto DEL VALLE - Chancapiedra filtrante 25 x 32 Se repite 3 veces en Tradiciones Andinas Una vez con el precio 36.88</v>
      </c>
      <c r="T159" s="20" t="str">
        <f t="shared" si="37"/>
        <v>Tradiciones Andinas</v>
      </c>
      <c r="U159" s="20" t="str">
        <f t="shared" si="38"/>
        <v>DEL VALLE - Chancapiedra filtrante 25 x 32</v>
      </c>
      <c r="V159" s="22">
        <f t="shared" si="39"/>
        <v>36.880000000000003</v>
      </c>
      <c r="W159" t="str">
        <f t="shared" si="40"/>
        <v>Tradiciones Andinas 04/25/2025</v>
      </c>
      <c r="Z159">
        <f t="shared" si="41"/>
        <v>73.760000000000005</v>
      </c>
    </row>
    <row r="160" spans="1:26" hidden="1" x14ac:dyDescent="0.25">
      <c r="A160" s="2" t="s">
        <v>664</v>
      </c>
      <c r="B160" s="11" t="s">
        <v>1092</v>
      </c>
      <c r="C160" s="11" t="s">
        <v>4</v>
      </c>
      <c r="D160" s="11" t="s">
        <v>1093</v>
      </c>
      <c r="E160" s="11" t="s">
        <v>876</v>
      </c>
      <c r="F160" s="11" t="s">
        <v>1101</v>
      </c>
      <c r="G160" s="12">
        <v>1</v>
      </c>
      <c r="H160" s="12">
        <v>39.46</v>
      </c>
      <c r="I160" s="12">
        <v>39.46</v>
      </c>
      <c r="J160" s="12">
        <v>62292.019999999953</v>
      </c>
      <c r="K160" s="20">
        <f t="shared" si="28"/>
        <v>3</v>
      </c>
      <c r="L160" s="20" t="str">
        <f t="shared" si="29"/>
        <v>Se repite 3 veces</v>
      </c>
      <c r="M160" s="20" t="str">
        <f t="shared" si="30"/>
        <v>Tradiciones Andinas-DEL VALLE - Chancapiedra filtrante 25 x 32</v>
      </c>
      <c r="N160" s="20">
        <f t="shared" si="31"/>
        <v>3</v>
      </c>
      <c r="O160" s="20" t="str">
        <f t="shared" si="32"/>
        <v>Se repite 3 veces en Tradiciones Andinas</v>
      </c>
      <c r="P160" s="20" t="str">
        <f t="shared" si="33"/>
        <v>Tradiciones Andinas-DEL VALLE - Chancapiedra filtrante 25 x 32-39.46</v>
      </c>
      <c r="Q160" s="20">
        <f t="shared" si="34"/>
        <v>2</v>
      </c>
      <c r="R160" s="20" t="str">
        <f t="shared" si="35"/>
        <v>Se repite 2 veces el precio de 39.46</v>
      </c>
      <c r="S160" s="20" t="str">
        <f t="shared" si="36"/>
        <v>El producto DEL VALLE - Chancapiedra filtrante 25 x 32 Se repite 3 veces en Tradiciones Andinas, Se repite 2 veces el precio de 39.46</v>
      </c>
      <c r="T160" s="20" t="str">
        <f t="shared" si="37"/>
        <v>Tradiciones Andinas</v>
      </c>
      <c r="U160" s="20" t="str">
        <f t="shared" si="38"/>
        <v>DEL VALLE - Chancapiedra filtrante 25 x 32</v>
      </c>
      <c r="V160" s="22">
        <f t="shared" si="39"/>
        <v>39.46</v>
      </c>
      <c r="W160" t="str">
        <f t="shared" si="40"/>
        <v>Tradiciones Andinas 07/21/2025</v>
      </c>
      <c r="Z160">
        <f t="shared" si="41"/>
        <v>39.46</v>
      </c>
    </row>
    <row r="161" spans="1:26" hidden="1" x14ac:dyDescent="0.25">
      <c r="A161" s="2" t="s">
        <v>664</v>
      </c>
      <c r="B161" s="11" t="s">
        <v>1153</v>
      </c>
      <c r="C161" s="11" t="s">
        <v>4</v>
      </c>
      <c r="D161" s="11" t="s">
        <v>1154</v>
      </c>
      <c r="E161" s="11" t="s">
        <v>876</v>
      </c>
      <c r="F161" s="11" t="s">
        <v>1101</v>
      </c>
      <c r="G161" s="12">
        <v>4</v>
      </c>
      <c r="H161" s="12">
        <v>39.46</v>
      </c>
      <c r="I161" s="12">
        <v>157.84</v>
      </c>
      <c r="J161" s="12">
        <v>83815.589999999953</v>
      </c>
      <c r="K161" s="20">
        <f t="shared" si="28"/>
        <v>3</v>
      </c>
      <c r="L161" s="20" t="str">
        <f t="shared" si="29"/>
        <v>Se repite 3 veces</v>
      </c>
      <c r="M161" s="20" t="str">
        <f t="shared" si="30"/>
        <v>Tradiciones Andinas-DEL VALLE - Chancapiedra filtrante 25 x 32</v>
      </c>
      <c r="N161" s="20">
        <f t="shared" si="31"/>
        <v>3</v>
      </c>
      <c r="O161" s="20" t="str">
        <f t="shared" si="32"/>
        <v>Se repite 3 veces en Tradiciones Andinas</v>
      </c>
      <c r="P161" s="20" t="str">
        <f t="shared" si="33"/>
        <v>Tradiciones Andinas-DEL VALLE - Chancapiedra filtrante 25 x 32-39.46</v>
      </c>
      <c r="Q161" s="20">
        <f t="shared" si="34"/>
        <v>2</v>
      </c>
      <c r="R161" s="20" t="str">
        <f t="shared" si="35"/>
        <v>Se repite 2 veces el precio de 39.46</v>
      </c>
      <c r="S161" s="20" t="str">
        <f t="shared" si="36"/>
        <v>El producto DEL VALLE - Chancapiedra filtrante 25 x 32 Se repite 3 veces en Tradiciones Andinas, Se repite 2 veces el precio de 39.46</v>
      </c>
      <c r="T161" s="20" t="str">
        <f t="shared" si="37"/>
        <v>Tradiciones Andinas</v>
      </c>
      <c r="U161" s="20" t="str">
        <f t="shared" si="38"/>
        <v>DEL VALLE - Chancapiedra filtrante 25 x 32</v>
      </c>
      <c r="V161" s="22">
        <f t="shared" si="39"/>
        <v>39.46</v>
      </c>
      <c r="W161" t="str">
        <f t="shared" si="40"/>
        <v>Tradiciones Andinas 09/24/2025</v>
      </c>
      <c r="Z161">
        <f t="shared" si="41"/>
        <v>157.84</v>
      </c>
    </row>
    <row r="162" spans="1:26" hidden="1" x14ac:dyDescent="0.25">
      <c r="A162" s="2" t="s">
        <v>664</v>
      </c>
      <c r="B162" s="11" t="s">
        <v>821</v>
      </c>
      <c r="C162" s="11" t="s">
        <v>4</v>
      </c>
      <c r="D162" s="11" t="s">
        <v>822</v>
      </c>
      <c r="E162" s="11" t="s">
        <v>874</v>
      </c>
      <c r="F162" s="11" t="s">
        <v>875</v>
      </c>
      <c r="G162" s="12">
        <v>2</v>
      </c>
      <c r="H162" s="12">
        <v>36.880000000000003</v>
      </c>
      <c r="I162" s="12">
        <v>73.760000000000005</v>
      </c>
      <c r="J162" s="12">
        <v>17442.659999999996</v>
      </c>
      <c r="K162" s="20">
        <f t="shared" si="28"/>
        <v>4</v>
      </c>
      <c r="L162" s="20" t="str">
        <f t="shared" si="29"/>
        <v>Se repite 4 veces</v>
      </c>
      <c r="M162" s="20" t="str">
        <f t="shared" si="30"/>
        <v>Tradiciones Andinas-DEL VALLE  Una de Gato filtrante 25 x 32</v>
      </c>
      <c r="N162" s="20">
        <f t="shared" si="31"/>
        <v>4</v>
      </c>
      <c r="O162" s="20" t="str">
        <f t="shared" si="32"/>
        <v>Se repite 4 veces en Tradiciones Andinas</v>
      </c>
      <c r="P162" s="20" t="str">
        <f t="shared" si="33"/>
        <v>Tradiciones Andinas-DEL VALLE  Una de Gato filtrante 25 x 32-36.88</v>
      </c>
      <c r="Q162" s="20">
        <f t="shared" si="34"/>
        <v>1</v>
      </c>
      <c r="R162" s="20" t="str">
        <f t="shared" si="35"/>
        <v>No se repite</v>
      </c>
      <c r="S162" s="20" t="str">
        <f t="shared" si="36"/>
        <v>El producto DEL VALLE  Una de Gato filtrante 25 x 32 Se repite 4 veces en Tradiciones Andinas Una vez con el precio 36.88</v>
      </c>
      <c r="T162" s="20" t="str">
        <f t="shared" si="37"/>
        <v>Tradiciones Andinas</v>
      </c>
      <c r="U162" s="20" t="str">
        <f t="shared" si="38"/>
        <v>DEL VALLE  Una de Gato filtrante 25 x 32</v>
      </c>
      <c r="V162" s="22">
        <f t="shared" si="39"/>
        <v>36.880000000000003</v>
      </c>
      <c r="W162" t="str">
        <f t="shared" si="40"/>
        <v>Tradiciones Andinas 04/25/2025</v>
      </c>
      <c r="Z162">
        <f t="shared" si="41"/>
        <v>73.760000000000005</v>
      </c>
    </row>
    <row r="163" spans="1:26" hidden="1" x14ac:dyDescent="0.25">
      <c r="A163" s="2" t="s">
        <v>664</v>
      </c>
      <c r="B163" s="11" t="s">
        <v>1033</v>
      </c>
      <c r="C163" s="11" t="s">
        <v>4</v>
      </c>
      <c r="D163" s="11" t="s">
        <v>1034</v>
      </c>
      <c r="E163" s="11" t="s">
        <v>874</v>
      </c>
      <c r="F163" s="11" t="s">
        <v>1064</v>
      </c>
      <c r="G163" s="12">
        <v>2</v>
      </c>
      <c r="H163" s="12">
        <v>39.46</v>
      </c>
      <c r="I163" s="12">
        <v>78.92</v>
      </c>
      <c r="J163" s="12">
        <v>53791.999999999949</v>
      </c>
      <c r="K163" s="20">
        <f t="shared" si="28"/>
        <v>4</v>
      </c>
      <c r="L163" s="20" t="str">
        <f t="shared" si="29"/>
        <v>Se repite 4 veces</v>
      </c>
      <c r="M163" s="20" t="str">
        <f t="shared" si="30"/>
        <v>Tradiciones Andinas-DEL VALLE  Una de Gato filtrante 25 x 32</v>
      </c>
      <c r="N163" s="20">
        <f t="shared" si="31"/>
        <v>4</v>
      </c>
      <c r="O163" s="20" t="str">
        <f t="shared" si="32"/>
        <v>Se repite 4 veces en Tradiciones Andinas</v>
      </c>
      <c r="P163" s="20" t="str">
        <f t="shared" si="33"/>
        <v>Tradiciones Andinas-DEL VALLE  Una de Gato filtrante 25 x 32-39.46</v>
      </c>
      <c r="Q163" s="20">
        <f t="shared" si="34"/>
        <v>3</v>
      </c>
      <c r="R163" s="20" t="str">
        <f t="shared" si="35"/>
        <v>Se repite 3 veces el precio de 39.46</v>
      </c>
      <c r="S163" s="20" t="str">
        <f t="shared" si="36"/>
        <v>El producto DEL VALLE  Una de Gato filtrante 25 x 32 Se repite 4 veces en Tradiciones Andinas, Se repite 3 veces el precio de 39.46</v>
      </c>
      <c r="T163" s="20" t="str">
        <f t="shared" si="37"/>
        <v>Tradiciones Andinas</v>
      </c>
      <c r="U163" s="20" t="str">
        <f t="shared" si="38"/>
        <v>DEL VALLE  Una de Gato filtrante 25 x 32</v>
      </c>
      <c r="V163" s="22">
        <f t="shared" si="39"/>
        <v>39.46</v>
      </c>
      <c r="W163" t="str">
        <f t="shared" si="40"/>
        <v>Tradiciones Andinas 07/03/2025</v>
      </c>
      <c r="Z163">
        <f t="shared" si="41"/>
        <v>78.92</v>
      </c>
    </row>
    <row r="164" spans="1:26" hidden="1" x14ac:dyDescent="0.25">
      <c r="A164" s="2" t="s">
        <v>664</v>
      </c>
      <c r="B164" s="11" t="s">
        <v>1153</v>
      </c>
      <c r="C164" s="11" t="s">
        <v>4</v>
      </c>
      <c r="D164" s="11" t="s">
        <v>1154</v>
      </c>
      <c r="E164" s="11" t="s">
        <v>874</v>
      </c>
      <c r="F164" s="11" t="s">
        <v>1064</v>
      </c>
      <c r="G164" s="12">
        <v>4</v>
      </c>
      <c r="H164" s="12">
        <v>39.46</v>
      </c>
      <c r="I164" s="12">
        <v>157.84</v>
      </c>
      <c r="J164" s="12">
        <v>83657.749999999956</v>
      </c>
      <c r="K164" s="20">
        <f t="shared" si="28"/>
        <v>4</v>
      </c>
      <c r="L164" s="20" t="str">
        <f t="shared" si="29"/>
        <v>Se repite 4 veces</v>
      </c>
      <c r="M164" s="20" t="str">
        <f t="shared" si="30"/>
        <v>Tradiciones Andinas-DEL VALLE  Una de Gato filtrante 25 x 32</v>
      </c>
      <c r="N164" s="20">
        <f t="shared" si="31"/>
        <v>4</v>
      </c>
      <c r="O164" s="20" t="str">
        <f t="shared" si="32"/>
        <v>Se repite 4 veces en Tradiciones Andinas</v>
      </c>
      <c r="P164" s="20" t="str">
        <f t="shared" si="33"/>
        <v>Tradiciones Andinas-DEL VALLE  Una de Gato filtrante 25 x 32-39.46</v>
      </c>
      <c r="Q164" s="20">
        <f t="shared" si="34"/>
        <v>3</v>
      </c>
      <c r="R164" s="20" t="str">
        <f t="shared" si="35"/>
        <v>Se repite 3 veces el precio de 39.46</v>
      </c>
      <c r="S164" s="20" t="str">
        <f t="shared" si="36"/>
        <v>El producto DEL VALLE  Una de Gato filtrante 25 x 32 Se repite 4 veces en Tradiciones Andinas, Se repite 3 veces el precio de 39.46</v>
      </c>
      <c r="T164" s="20" t="str">
        <f t="shared" si="37"/>
        <v>Tradiciones Andinas</v>
      </c>
      <c r="U164" s="20" t="str">
        <f t="shared" si="38"/>
        <v>DEL VALLE  Una de Gato filtrante 25 x 32</v>
      </c>
      <c r="V164" s="22">
        <f t="shared" si="39"/>
        <v>39.46</v>
      </c>
      <c r="W164" t="str">
        <f t="shared" si="40"/>
        <v>Tradiciones Andinas 09/24/2025</v>
      </c>
      <c r="Z164">
        <f t="shared" si="41"/>
        <v>157.84</v>
      </c>
    </row>
    <row r="165" spans="1:26" hidden="1" x14ac:dyDescent="0.25">
      <c r="A165" s="2" t="s">
        <v>664</v>
      </c>
      <c r="B165" s="11" t="s">
        <v>1207</v>
      </c>
      <c r="C165" s="11" t="s">
        <v>4</v>
      </c>
      <c r="D165" s="11" t="s">
        <v>1208</v>
      </c>
      <c r="E165" s="11" t="s">
        <v>874</v>
      </c>
      <c r="F165" s="11" t="s">
        <v>1064</v>
      </c>
      <c r="G165" s="12">
        <v>2</v>
      </c>
      <c r="H165" s="12">
        <v>39.46</v>
      </c>
      <c r="I165" s="12">
        <v>78.92</v>
      </c>
      <c r="J165" s="12">
        <v>109147.67999999991</v>
      </c>
      <c r="K165" s="20">
        <f t="shared" si="28"/>
        <v>4</v>
      </c>
      <c r="L165" s="20" t="str">
        <f t="shared" si="29"/>
        <v>Se repite 4 veces</v>
      </c>
      <c r="M165" s="20" t="str">
        <f t="shared" si="30"/>
        <v>Tradiciones Andinas-DEL VALLE  Una de Gato filtrante 25 x 32</v>
      </c>
      <c r="N165" s="20">
        <f t="shared" si="31"/>
        <v>4</v>
      </c>
      <c r="O165" s="20" t="str">
        <f t="shared" si="32"/>
        <v>Se repite 4 veces en Tradiciones Andinas</v>
      </c>
      <c r="P165" s="20" t="str">
        <f t="shared" si="33"/>
        <v>Tradiciones Andinas-DEL VALLE  Una de Gato filtrante 25 x 32-39.46</v>
      </c>
      <c r="Q165" s="20">
        <f t="shared" si="34"/>
        <v>3</v>
      </c>
      <c r="R165" s="20" t="str">
        <f t="shared" si="35"/>
        <v>Se repite 3 veces el precio de 39.46</v>
      </c>
      <c r="S165" s="20" t="str">
        <f t="shared" si="36"/>
        <v>El producto DEL VALLE  Una de Gato filtrante 25 x 32 Se repite 4 veces en Tradiciones Andinas, Se repite 3 veces el precio de 39.46</v>
      </c>
      <c r="T165" s="20" t="str">
        <f t="shared" si="37"/>
        <v>Tradiciones Andinas</v>
      </c>
      <c r="U165" s="20" t="str">
        <f t="shared" si="38"/>
        <v>DEL VALLE  Una de Gato filtrante 25 x 32</v>
      </c>
      <c r="V165" s="22">
        <f t="shared" si="39"/>
        <v>39.46</v>
      </c>
      <c r="W165" t="str">
        <f t="shared" si="40"/>
        <v>Tradiciones Andinas 11/28/2025</v>
      </c>
      <c r="Z165">
        <f t="shared" si="41"/>
        <v>78.92</v>
      </c>
    </row>
    <row r="166" spans="1:26" hidden="1" x14ac:dyDescent="0.25">
      <c r="A166" s="2" t="s">
        <v>2</v>
      </c>
      <c r="B166" s="11" t="s">
        <v>3</v>
      </c>
      <c r="C166" s="11" t="s">
        <v>4</v>
      </c>
      <c r="D166" s="11" t="s">
        <v>5</v>
      </c>
      <c r="E166" s="11" t="s">
        <v>6</v>
      </c>
      <c r="F166" s="11" t="s">
        <v>7</v>
      </c>
      <c r="G166" s="12">
        <v>8</v>
      </c>
      <c r="H166" s="12">
        <v>5.41</v>
      </c>
      <c r="I166" s="12">
        <v>43.28</v>
      </c>
      <c r="J166" s="12">
        <v>43.28</v>
      </c>
      <c r="K166" s="20">
        <f t="shared" si="28"/>
        <v>2</v>
      </c>
      <c r="L166" s="20" t="str">
        <f t="shared" si="29"/>
        <v>Se repite 2 veces</v>
      </c>
      <c r="M166" s="20" t="str">
        <f t="shared" si="30"/>
        <v>Amazon-Display Strip</v>
      </c>
      <c r="N166" s="20">
        <f t="shared" si="31"/>
        <v>2</v>
      </c>
      <c r="O166" s="20" t="str">
        <f t="shared" si="32"/>
        <v>Se repite 2 veces en Amazon</v>
      </c>
      <c r="P166" s="20" t="str">
        <f t="shared" si="33"/>
        <v>Amazon-Display Strip-5.41</v>
      </c>
      <c r="Q166" s="20">
        <f t="shared" si="34"/>
        <v>2</v>
      </c>
      <c r="R166" s="20" t="str">
        <f t="shared" si="35"/>
        <v>Se repite 2 veces el precio de 5.41</v>
      </c>
      <c r="S166" s="20" t="str">
        <f t="shared" si="36"/>
        <v>El producto Display Strip Se repite 2 veces en Amazon, Se repite 2 veces el precio de 5.41</v>
      </c>
      <c r="T166" s="20" t="str">
        <f t="shared" si="37"/>
        <v>Amazon</v>
      </c>
      <c r="U166" s="20" t="str">
        <f t="shared" si="38"/>
        <v>Display Strip</v>
      </c>
      <c r="V166" s="22">
        <f t="shared" si="39"/>
        <v>5.41</v>
      </c>
      <c r="W166" t="str">
        <f t="shared" si="40"/>
        <v>Amazon 06/02/2025</v>
      </c>
      <c r="Z166">
        <f t="shared" si="41"/>
        <v>43.28</v>
      </c>
    </row>
    <row r="167" spans="1:26" hidden="1" x14ac:dyDescent="0.25">
      <c r="A167" s="2" t="s">
        <v>2</v>
      </c>
      <c r="B167" s="11" t="s">
        <v>8</v>
      </c>
      <c r="C167" s="11" t="s">
        <v>9</v>
      </c>
      <c r="D167" s="11" t="s">
        <v>5</v>
      </c>
      <c r="E167" s="11" t="s">
        <v>6</v>
      </c>
      <c r="F167" s="11" t="s">
        <v>10</v>
      </c>
      <c r="G167" s="12">
        <v>8</v>
      </c>
      <c r="H167" s="12">
        <v>5.41</v>
      </c>
      <c r="I167" s="12">
        <v>43.28</v>
      </c>
      <c r="J167" s="12">
        <v>86.56</v>
      </c>
      <c r="K167" s="20">
        <f t="shared" si="28"/>
        <v>2</v>
      </c>
      <c r="L167" s="20" t="str">
        <f t="shared" si="29"/>
        <v>Se repite 2 veces</v>
      </c>
      <c r="M167" s="20" t="str">
        <f t="shared" si="30"/>
        <v>Amazon-Display Strip</v>
      </c>
      <c r="N167" s="20">
        <f t="shared" si="31"/>
        <v>2</v>
      </c>
      <c r="O167" s="20" t="str">
        <f t="shared" si="32"/>
        <v>Se repite 2 veces en Amazon</v>
      </c>
      <c r="P167" s="20" t="str">
        <f t="shared" si="33"/>
        <v>Amazon-Display Strip-5.41</v>
      </c>
      <c r="Q167" s="20">
        <f t="shared" si="34"/>
        <v>2</v>
      </c>
      <c r="R167" s="20" t="str">
        <f t="shared" si="35"/>
        <v>Se repite 2 veces el precio de 5.41</v>
      </c>
      <c r="S167" s="20" t="str">
        <f t="shared" si="36"/>
        <v>El producto Display Strip Se repite 2 veces en Amazon, Se repite 2 veces el precio de 5.41</v>
      </c>
      <c r="T167" s="20" t="str">
        <f t="shared" si="37"/>
        <v>Amazon</v>
      </c>
      <c r="U167" s="20" t="str">
        <f t="shared" si="38"/>
        <v>Display Strip</v>
      </c>
      <c r="V167" s="22">
        <f t="shared" si="39"/>
        <v>5.41</v>
      </c>
      <c r="W167" t="str">
        <f t="shared" si="40"/>
        <v>Amazon 06/04/2025</v>
      </c>
      <c r="Z167">
        <f t="shared" si="41"/>
        <v>43.28</v>
      </c>
    </row>
    <row r="168" spans="1:26" hidden="1" x14ac:dyDescent="0.25">
      <c r="A168" s="2" t="s">
        <v>18</v>
      </c>
      <c r="B168" s="11" t="s">
        <v>19</v>
      </c>
      <c r="C168" s="11" t="s">
        <v>4</v>
      </c>
      <c r="D168" s="11" t="s">
        <v>20</v>
      </c>
      <c r="E168" s="11" t="s">
        <v>58</v>
      </c>
      <c r="F168" s="11" t="s">
        <v>59</v>
      </c>
      <c r="G168" s="12">
        <v>2</v>
      </c>
      <c r="H168" s="12">
        <v>70</v>
      </c>
      <c r="I168" s="12">
        <v>140</v>
      </c>
      <c r="J168" s="12">
        <v>3358.3</v>
      </c>
      <c r="K168" s="20">
        <f t="shared" si="28"/>
        <v>9</v>
      </c>
      <c r="L168" s="20" t="str">
        <f t="shared" si="29"/>
        <v>Se repite 9 veces</v>
      </c>
      <c r="M168" s="20" t="str">
        <f t="shared" si="30"/>
        <v>Belmont International Trading Corp-Doña Pepa 23gr 6 x 36</v>
      </c>
      <c r="N168" s="20">
        <f t="shared" si="31"/>
        <v>1</v>
      </c>
      <c r="O168" s="20" t="str">
        <f t="shared" si="32"/>
        <v>No se repite en proveedor</v>
      </c>
      <c r="P168" s="20" t="str">
        <f t="shared" si="33"/>
        <v>Belmont International Trading Corp-Doña Pepa 23gr 6 x 36-70</v>
      </c>
      <c r="Q168" s="20">
        <f t="shared" si="34"/>
        <v>1</v>
      </c>
      <c r="R168" s="20" t="str">
        <f t="shared" si="35"/>
        <v>No se repite</v>
      </c>
      <c r="S168" s="20" t="str">
        <f t="shared" si="36"/>
        <v>El producto Doña Pepa 23gr 6 x 36 No se repite en proveedor Una vez con el precio 70</v>
      </c>
      <c r="T168" s="20" t="str">
        <f t="shared" si="37"/>
        <v>Belmont International Trading Corp</v>
      </c>
      <c r="U168" s="20" t="str">
        <f t="shared" si="38"/>
        <v>Doña Pepa 23gr 6 x 36</v>
      </c>
      <c r="V168" s="22">
        <f t="shared" si="39"/>
        <v>70</v>
      </c>
      <c r="W168" t="str">
        <f t="shared" si="40"/>
        <v>Belmont International Trading Corp 04/28/2025</v>
      </c>
      <c r="Z168">
        <f t="shared" si="41"/>
        <v>140</v>
      </c>
    </row>
    <row r="169" spans="1:26" hidden="1" x14ac:dyDescent="0.25">
      <c r="A169" s="2" t="s">
        <v>272</v>
      </c>
      <c r="B169" s="11" t="s">
        <v>408</v>
      </c>
      <c r="C169" s="11" t="s">
        <v>4</v>
      </c>
      <c r="D169" s="11" t="s">
        <v>409</v>
      </c>
      <c r="E169" s="11" t="s">
        <v>58</v>
      </c>
      <c r="F169" s="11" t="s">
        <v>59</v>
      </c>
      <c r="G169" s="12">
        <v>1</v>
      </c>
      <c r="H169" s="12">
        <v>70</v>
      </c>
      <c r="I169" s="12">
        <v>70</v>
      </c>
      <c r="J169" s="12">
        <v>5349.6</v>
      </c>
      <c r="K169" s="20">
        <f t="shared" si="28"/>
        <v>9</v>
      </c>
      <c r="L169" s="20" t="str">
        <f t="shared" si="29"/>
        <v>Se repite 9 veces</v>
      </c>
      <c r="M169" s="20" t="str">
        <f t="shared" si="30"/>
        <v>Peru Chef-Doña Pepa 23gr 6 x 36</v>
      </c>
      <c r="N169" s="20">
        <f t="shared" si="31"/>
        <v>1</v>
      </c>
      <c r="O169" s="20" t="str">
        <f t="shared" si="32"/>
        <v>No se repite en proveedor</v>
      </c>
      <c r="P169" s="20" t="str">
        <f t="shared" si="33"/>
        <v>Peru Chef-Doña Pepa 23gr 6 x 36-70</v>
      </c>
      <c r="Q169" s="20">
        <f t="shared" si="34"/>
        <v>1</v>
      </c>
      <c r="R169" s="20" t="str">
        <f t="shared" si="35"/>
        <v>No se repite</v>
      </c>
      <c r="S169" s="20" t="str">
        <f t="shared" si="36"/>
        <v>El producto Doña Pepa 23gr 6 x 36 No se repite en proveedor Una vez con el precio 70</v>
      </c>
      <c r="T169" s="20" t="str">
        <f t="shared" si="37"/>
        <v>Peru Chef</v>
      </c>
      <c r="U169" s="20" t="str">
        <f t="shared" si="38"/>
        <v>Doña Pepa 23gr 6 x 36</v>
      </c>
      <c r="V169" s="22">
        <f t="shared" si="39"/>
        <v>70</v>
      </c>
      <c r="W169" t="str">
        <f t="shared" si="40"/>
        <v>Peru Chef 04/13/2025</v>
      </c>
      <c r="Z169">
        <f t="shared" si="41"/>
        <v>70</v>
      </c>
    </row>
    <row r="170" spans="1:26" hidden="1" x14ac:dyDescent="0.25">
      <c r="A170" s="2" t="s">
        <v>664</v>
      </c>
      <c r="B170" s="11" t="s">
        <v>398</v>
      </c>
      <c r="C170" s="11" t="s">
        <v>4</v>
      </c>
      <c r="D170" s="11" t="s">
        <v>5</v>
      </c>
      <c r="E170" s="11" t="s">
        <v>58</v>
      </c>
      <c r="F170" s="11" t="s">
        <v>792</v>
      </c>
      <c r="G170" s="12">
        <v>5</v>
      </c>
      <c r="H170" s="12">
        <v>53.64</v>
      </c>
      <c r="I170" s="12">
        <v>268.2</v>
      </c>
      <c r="J170" s="12">
        <v>6035.6399999999994</v>
      </c>
      <c r="K170" s="20">
        <f t="shared" si="28"/>
        <v>9</v>
      </c>
      <c r="L170" s="20" t="str">
        <f t="shared" si="29"/>
        <v>Se repite 9 veces</v>
      </c>
      <c r="M170" s="20" t="str">
        <f t="shared" si="30"/>
        <v>Tradiciones Andinas-Doña Pepa 23gr 6 x 36</v>
      </c>
      <c r="N170" s="20">
        <f t="shared" si="31"/>
        <v>7</v>
      </c>
      <c r="O170" s="20" t="str">
        <f t="shared" si="32"/>
        <v>Se repite 7 veces en Tradiciones Andinas</v>
      </c>
      <c r="P170" s="20" t="str">
        <f t="shared" si="33"/>
        <v>Tradiciones Andinas-Doña Pepa 23gr 6 x 36-53.64</v>
      </c>
      <c r="Q170" s="20">
        <f t="shared" si="34"/>
        <v>2</v>
      </c>
      <c r="R170" s="20" t="str">
        <f t="shared" si="35"/>
        <v>Se repite 2 veces el precio de 53.64</v>
      </c>
      <c r="S170" s="20" t="str">
        <f t="shared" si="36"/>
        <v>El producto Doña Pepa 23gr 6 x 36 Se repite 7 veces en Tradiciones Andinas, Se repite 2 veces el precio de 53.64</v>
      </c>
      <c r="T170" s="20" t="str">
        <f t="shared" si="37"/>
        <v>Tradiciones Andinas</v>
      </c>
      <c r="U170" s="20" t="str">
        <f t="shared" si="38"/>
        <v>Doña Pepa 23gr 6 x 36</v>
      </c>
      <c r="V170" s="22">
        <f t="shared" si="39"/>
        <v>53.64</v>
      </c>
      <c r="W170" t="str">
        <f t="shared" si="40"/>
        <v>Tradiciones Andinas 04/10/2025</v>
      </c>
      <c r="Z170">
        <f t="shared" si="41"/>
        <v>268.2</v>
      </c>
    </row>
    <row r="171" spans="1:26" hidden="1" x14ac:dyDescent="0.25">
      <c r="A171" s="2" t="s">
        <v>664</v>
      </c>
      <c r="B171" s="11" t="s">
        <v>821</v>
      </c>
      <c r="C171" s="11" t="s">
        <v>4</v>
      </c>
      <c r="D171" s="11" t="s">
        <v>822</v>
      </c>
      <c r="E171" s="11" t="s">
        <v>58</v>
      </c>
      <c r="F171" s="11" t="s">
        <v>792</v>
      </c>
      <c r="G171" s="12">
        <v>8</v>
      </c>
      <c r="H171" s="12">
        <v>53.64</v>
      </c>
      <c r="I171" s="12">
        <v>429.12</v>
      </c>
      <c r="J171" s="12">
        <v>19666.319999999996</v>
      </c>
      <c r="K171" s="20">
        <f t="shared" si="28"/>
        <v>9</v>
      </c>
      <c r="L171" s="20" t="str">
        <f t="shared" si="29"/>
        <v>Se repite 9 veces</v>
      </c>
      <c r="M171" s="20" t="str">
        <f t="shared" si="30"/>
        <v>Tradiciones Andinas-Doña Pepa 23gr 6 x 36</v>
      </c>
      <c r="N171" s="20">
        <f t="shared" si="31"/>
        <v>7</v>
      </c>
      <c r="O171" s="20" t="str">
        <f t="shared" si="32"/>
        <v>Se repite 7 veces en Tradiciones Andinas</v>
      </c>
      <c r="P171" s="20" t="str">
        <f t="shared" si="33"/>
        <v>Tradiciones Andinas-Doña Pepa 23gr 6 x 36-53.64</v>
      </c>
      <c r="Q171" s="20">
        <f t="shared" si="34"/>
        <v>2</v>
      </c>
      <c r="R171" s="20" t="str">
        <f t="shared" si="35"/>
        <v>Se repite 2 veces el precio de 53.64</v>
      </c>
      <c r="S171" s="20" t="str">
        <f t="shared" si="36"/>
        <v>El producto Doña Pepa 23gr 6 x 36 Se repite 7 veces en Tradiciones Andinas, Se repite 2 veces el precio de 53.64</v>
      </c>
      <c r="T171" s="20" t="str">
        <f t="shared" si="37"/>
        <v>Tradiciones Andinas</v>
      </c>
      <c r="U171" s="20" t="str">
        <f t="shared" si="38"/>
        <v>Doña Pepa 23gr 6 x 36</v>
      </c>
      <c r="V171" s="22">
        <f t="shared" si="39"/>
        <v>53.64</v>
      </c>
      <c r="W171" t="str">
        <f t="shared" si="40"/>
        <v>Tradiciones Andinas 04/25/2025</v>
      </c>
      <c r="Z171">
        <f t="shared" si="41"/>
        <v>429.12</v>
      </c>
    </row>
    <row r="172" spans="1:26" hidden="1" x14ac:dyDescent="0.25">
      <c r="A172" s="2" t="s">
        <v>664</v>
      </c>
      <c r="B172" s="11" t="s">
        <v>654</v>
      </c>
      <c r="C172" s="11" t="s">
        <v>4</v>
      </c>
      <c r="D172" s="11" t="s">
        <v>940</v>
      </c>
      <c r="E172" s="11" t="s">
        <v>58</v>
      </c>
      <c r="F172" s="11" t="s">
        <v>59</v>
      </c>
      <c r="G172" s="12">
        <v>5</v>
      </c>
      <c r="H172" s="12">
        <v>57.39</v>
      </c>
      <c r="I172" s="12">
        <v>286.95</v>
      </c>
      <c r="J172" s="12">
        <v>31341.339999999997</v>
      </c>
      <c r="K172" s="20">
        <f t="shared" si="28"/>
        <v>9</v>
      </c>
      <c r="L172" s="20" t="str">
        <f t="shared" si="29"/>
        <v>Se repite 9 veces</v>
      </c>
      <c r="M172" s="20" t="str">
        <f t="shared" si="30"/>
        <v>Tradiciones Andinas-Doña Pepa 23gr 6 x 36</v>
      </c>
      <c r="N172" s="20">
        <f t="shared" si="31"/>
        <v>7</v>
      </c>
      <c r="O172" s="20" t="str">
        <f t="shared" si="32"/>
        <v>Se repite 7 veces en Tradiciones Andinas</v>
      </c>
      <c r="P172" s="20" t="str">
        <f t="shared" si="33"/>
        <v>Tradiciones Andinas-Doña Pepa 23gr 6 x 36-57.39</v>
      </c>
      <c r="Q172" s="20">
        <f t="shared" si="34"/>
        <v>3</v>
      </c>
      <c r="R172" s="20" t="str">
        <f t="shared" si="35"/>
        <v>Se repite 3 veces el precio de 57.39</v>
      </c>
      <c r="S172" s="20" t="str">
        <f t="shared" si="36"/>
        <v>El producto Doña Pepa 23gr 6 x 36 Se repite 7 veces en Tradiciones Andinas, Se repite 3 veces el precio de 57.39</v>
      </c>
      <c r="T172" s="20" t="str">
        <f t="shared" si="37"/>
        <v>Tradiciones Andinas</v>
      </c>
      <c r="U172" s="20" t="str">
        <f t="shared" si="38"/>
        <v>Doña Pepa 23gr 6 x 36</v>
      </c>
      <c r="V172" s="22">
        <f t="shared" si="39"/>
        <v>57.39</v>
      </c>
      <c r="W172" t="str">
        <f t="shared" si="40"/>
        <v>Tradiciones Andinas 05/19/2025</v>
      </c>
      <c r="Z172">
        <f t="shared" si="41"/>
        <v>286.95</v>
      </c>
    </row>
    <row r="173" spans="1:26" hidden="1" x14ac:dyDescent="0.25">
      <c r="A173" s="2" t="s">
        <v>664</v>
      </c>
      <c r="B173" s="11" t="s">
        <v>1125</v>
      </c>
      <c r="C173" s="11" t="s">
        <v>4</v>
      </c>
      <c r="D173" s="11" t="s">
        <v>1126</v>
      </c>
      <c r="E173" s="11" t="s">
        <v>58</v>
      </c>
      <c r="F173" s="11" t="s">
        <v>59</v>
      </c>
      <c r="G173" s="12">
        <v>2</v>
      </c>
      <c r="H173" s="12">
        <v>57.39</v>
      </c>
      <c r="I173" s="12">
        <v>114.78</v>
      </c>
      <c r="J173" s="12">
        <v>71205.010000000009</v>
      </c>
      <c r="K173" s="20">
        <f t="shared" si="28"/>
        <v>9</v>
      </c>
      <c r="L173" s="20" t="str">
        <f t="shared" si="29"/>
        <v>Se repite 9 veces</v>
      </c>
      <c r="M173" s="20" t="str">
        <f t="shared" si="30"/>
        <v>Tradiciones Andinas-Doña Pepa 23gr 6 x 36</v>
      </c>
      <c r="N173" s="20">
        <f t="shared" si="31"/>
        <v>7</v>
      </c>
      <c r="O173" s="20" t="str">
        <f t="shared" si="32"/>
        <v>Se repite 7 veces en Tradiciones Andinas</v>
      </c>
      <c r="P173" s="20" t="str">
        <f t="shared" si="33"/>
        <v>Tradiciones Andinas-Doña Pepa 23gr 6 x 36-57.39</v>
      </c>
      <c r="Q173" s="20">
        <f t="shared" si="34"/>
        <v>3</v>
      </c>
      <c r="R173" s="20" t="str">
        <f t="shared" si="35"/>
        <v>Se repite 3 veces el precio de 57.39</v>
      </c>
      <c r="S173" s="20" t="str">
        <f t="shared" si="36"/>
        <v>El producto Doña Pepa 23gr 6 x 36 Se repite 7 veces en Tradiciones Andinas, Se repite 3 veces el precio de 57.39</v>
      </c>
      <c r="T173" s="20" t="str">
        <f t="shared" si="37"/>
        <v>Tradiciones Andinas</v>
      </c>
      <c r="U173" s="20" t="str">
        <f t="shared" si="38"/>
        <v>Doña Pepa 23gr 6 x 36</v>
      </c>
      <c r="V173" s="22">
        <f t="shared" si="39"/>
        <v>57.39</v>
      </c>
      <c r="W173" t="str">
        <f t="shared" si="40"/>
        <v>Tradiciones Andinas 08/18/2025</v>
      </c>
      <c r="Z173">
        <f t="shared" si="41"/>
        <v>114.78</v>
      </c>
    </row>
    <row r="174" spans="1:26" hidden="1" x14ac:dyDescent="0.25">
      <c r="A174" s="2" t="s">
        <v>664</v>
      </c>
      <c r="B174" s="11" t="s">
        <v>1153</v>
      </c>
      <c r="C174" s="11" t="s">
        <v>4</v>
      </c>
      <c r="D174" s="11" t="s">
        <v>1154</v>
      </c>
      <c r="E174" s="11" t="s">
        <v>58</v>
      </c>
      <c r="F174" s="11" t="s">
        <v>59</v>
      </c>
      <c r="G174" s="12">
        <v>3</v>
      </c>
      <c r="H174" s="12">
        <v>57.39</v>
      </c>
      <c r="I174" s="12">
        <v>172.17</v>
      </c>
      <c r="J174" s="12">
        <v>84490.649999999965</v>
      </c>
      <c r="K174" s="20">
        <f t="shared" si="28"/>
        <v>9</v>
      </c>
      <c r="L174" s="20" t="str">
        <f t="shared" si="29"/>
        <v>Se repite 9 veces</v>
      </c>
      <c r="M174" s="20" t="str">
        <f t="shared" si="30"/>
        <v>Tradiciones Andinas-Doña Pepa 23gr 6 x 36</v>
      </c>
      <c r="N174" s="20">
        <f t="shared" si="31"/>
        <v>7</v>
      </c>
      <c r="O174" s="20" t="str">
        <f t="shared" si="32"/>
        <v>Se repite 7 veces en Tradiciones Andinas</v>
      </c>
      <c r="P174" s="20" t="str">
        <f t="shared" si="33"/>
        <v>Tradiciones Andinas-Doña Pepa 23gr 6 x 36-57.39</v>
      </c>
      <c r="Q174" s="20">
        <f t="shared" si="34"/>
        <v>3</v>
      </c>
      <c r="R174" s="20" t="str">
        <f t="shared" si="35"/>
        <v>Se repite 3 veces el precio de 57.39</v>
      </c>
      <c r="S174" s="20" t="str">
        <f t="shared" si="36"/>
        <v>El producto Doña Pepa 23gr 6 x 36 Se repite 7 veces en Tradiciones Andinas, Se repite 3 veces el precio de 57.39</v>
      </c>
      <c r="T174" s="20" t="str">
        <f t="shared" si="37"/>
        <v>Tradiciones Andinas</v>
      </c>
      <c r="U174" s="20" t="str">
        <f t="shared" si="38"/>
        <v>Doña Pepa 23gr 6 x 36</v>
      </c>
      <c r="V174" s="22">
        <f t="shared" si="39"/>
        <v>57.39</v>
      </c>
      <c r="W174" t="str">
        <f t="shared" si="40"/>
        <v>Tradiciones Andinas 09/24/2025</v>
      </c>
      <c r="Z174">
        <f t="shared" si="41"/>
        <v>172.17000000000002</v>
      </c>
    </row>
    <row r="175" spans="1:26" hidden="1" x14ac:dyDescent="0.25">
      <c r="A175" s="2" t="s">
        <v>664</v>
      </c>
      <c r="B175" s="11" t="s">
        <v>1201</v>
      </c>
      <c r="C175" s="11" t="s">
        <v>4</v>
      </c>
      <c r="D175" s="11" t="s">
        <v>1202</v>
      </c>
      <c r="E175" s="11" t="s">
        <v>58</v>
      </c>
      <c r="F175" s="11" t="s">
        <v>59</v>
      </c>
      <c r="G175" s="12">
        <v>4</v>
      </c>
      <c r="H175" s="12">
        <v>60.84</v>
      </c>
      <c r="I175" s="12">
        <v>243.36</v>
      </c>
      <c r="J175" s="12">
        <v>105067.75999999992</v>
      </c>
      <c r="K175" s="20">
        <f t="shared" si="28"/>
        <v>9</v>
      </c>
      <c r="L175" s="20" t="str">
        <f t="shared" si="29"/>
        <v>Se repite 9 veces</v>
      </c>
      <c r="M175" s="20" t="str">
        <f t="shared" si="30"/>
        <v>Tradiciones Andinas-Doña Pepa 23gr 6 x 36</v>
      </c>
      <c r="N175" s="20">
        <f t="shared" si="31"/>
        <v>7</v>
      </c>
      <c r="O175" s="20" t="str">
        <f t="shared" si="32"/>
        <v>Se repite 7 veces en Tradiciones Andinas</v>
      </c>
      <c r="P175" s="20" t="str">
        <f t="shared" si="33"/>
        <v>Tradiciones Andinas-Doña Pepa 23gr 6 x 36-60.84</v>
      </c>
      <c r="Q175" s="20">
        <f t="shared" si="34"/>
        <v>2</v>
      </c>
      <c r="R175" s="20" t="str">
        <f t="shared" si="35"/>
        <v>Se repite 2 veces el precio de 60.84</v>
      </c>
      <c r="S175" s="20" t="str">
        <f t="shared" si="36"/>
        <v>El producto Doña Pepa 23gr 6 x 36 Se repite 7 veces en Tradiciones Andinas, Se repite 2 veces el precio de 60.84</v>
      </c>
      <c r="T175" s="20" t="str">
        <f t="shared" si="37"/>
        <v>Tradiciones Andinas</v>
      </c>
      <c r="U175" s="20" t="str">
        <f t="shared" si="38"/>
        <v>Doña Pepa 23gr 6 x 36</v>
      </c>
      <c r="V175" s="22">
        <f t="shared" si="39"/>
        <v>60.84</v>
      </c>
      <c r="W175" t="str">
        <f t="shared" si="40"/>
        <v>Tradiciones Andinas 11/07/2025</v>
      </c>
      <c r="Z175">
        <f t="shared" si="41"/>
        <v>243.36</v>
      </c>
    </row>
    <row r="176" spans="1:26" hidden="1" x14ac:dyDescent="0.25">
      <c r="A176" s="2" t="s">
        <v>664</v>
      </c>
      <c r="B176" s="11" t="s">
        <v>1207</v>
      </c>
      <c r="C176" s="11" t="s">
        <v>4</v>
      </c>
      <c r="D176" s="11" t="s">
        <v>1208</v>
      </c>
      <c r="E176" s="11" t="s">
        <v>58</v>
      </c>
      <c r="F176" s="11" t="s">
        <v>59</v>
      </c>
      <c r="G176" s="12">
        <v>10</v>
      </c>
      <c r="H176" s="12">
        <v>60.84</v>
      </c>
      <c r="I176" s="12">
        <v>608.4</v>
      </c>
      <c r="J176" s="12">
        <v>111249.7199999999</v>
      </c>
      <c r="K176" s="20">
        <f t="shared" si="28"/>
        <v>9</v>
      </c>
      <c r="L176" s="20" t="str">
        <f t="shared" si="29"/>
        <v>Se repite 9 veces</v>
      </c>
      <c r="M176" s="20" t="str">
        <f t="shared" si="30"/>
        <v>Tradiciones Andinas-Doña Pepa 23gr 6 x 36</v>
      </c>
      <c r="N176" s="20">
        <f t="shared" si="31"/>
        <v>7</v>
      </c>
      <c r="O176" s="20" t="str">
        <f t="shared" si="32"/>
        <v>Se repite 7 veces en Tradiciones Andinas</v>
      </c>
      <c r="P176" s="20" t="str">
        <f t="shared" si="33"/>
        <v>Tradiciones Andinas-Doña Pepa 23gr 6 x 36-60.84</v>
      </c>
      <c r="Q176" s="20">
        <f t="shared" si="34"/>
        <v>2</v>
      </c>
      <c r="R176" s="20" t="str">
        <f t="shared" si="35"/>
        <v>Se repite 2 veces el precio de 60.84</v>
      </c>
      <c r="S176" s="20" t="str">
        <f t="shared" si="36"/>
        <v>El producto Doña Pepa 23gr 6 x 36 Se repite 7 veces en Tradiciones Andinas, Se repite 2 veces el precio de 60.84</v>
      </c>
      <c r="T176" s="20" t="str">
        <f t="shared" si="37"/>
        <v>Tradiciones Andinas</v>
      </c>
      <c r="U176" s="20" t="str">
        <f t="shared" si="38"/>
        <v>Doña Pepa 23gr 6 x 36</v>
      </c>
      <c r="V176" s="22">
        <f t="shared" si="39"/>
        <v>60.84</v>
      </c>
      <c r="W176" t="str">
        <f t="shared" si="40"/>
        <v>Tradiciones Andinas 11/28/2025</v>
      </c>
      <c r="Z176">
        <f t="shared" si="41"/>
        <v>608.40000000000009</v>
      </c>
    </row>
    <row r="177" spans="1:26" hidden="1" x14ac:dyDescent="0.25">
      <c r="A177" s="2" t="s">
        <v>18</v>
      </c>
      <c r="B177" s="11" t="s">
        <v>19</v>
      </c>
      <c r="C177" s="11" t="s">
        <v>4</v>
      </c>
      <c r="D177" s="11" t="s">
        <v>20</v>
      </c>
      <c r="E177" s="11" t="s">
        <v>80</v>
      </c>
      <c r="F177" s="11" t="s">
        <v>81</v>
      </c>
      <c r="G177" s="12">
        <v>18</v>
      </c>
      <c r="H177" s="12">
        <v>12.25</v>
      </c>
      <c r="I177" s="12">
        <v>220.5</v>
      </c>
      <c r="J177" s="12">
        <v>4052.0000000000005</v>
      </c>
      <c r="K177" s="20">
        <f t="shared" si="28"/>
        <v>8</v>
      </c>
      <c r="L177" s="20" t="str">
        <f t="shared" si="29"/>
        <v>Se repite 8 veces</v>
      </c>
      <c r="M177" s="20" t="str">
        <f t="shared" si="30"/>
        <v>Belmont International Trading Corp-D'Onofrio Chocolate Sublime 26 G x 24</v>
      </c>
      <c r="N177" s="20">
        <f t="shared" si="31"/>
        <v>2</v>
      </c>
      <c r="O177" s="20" t="str">
        <f t="shared" si="32"/>
        <v>Se repite 2 veces en Belmont International Trading Corp</v>
      </c>
      <c r="P177" s="20" t="str">
        <f t="shared" si="33"/>
        <v>Belmont International Trading Corp-D'Onofrio Chocolate Sublime 26 G x 24-12.25</v>
      </c>
      <c r="Q177" s="20">
        <f t="shared" si="34"/>
        <v>1</v>
      </c>
      <c r="R177" s="20" t="str">
        <f t="shared" si="35"/>
        <v>No se repite</v>
      </c>
      <c r="S177" s="20" t="str">
        <f t="shared" si="36"/>
        <v>El producto D'Onofrio Chocolate Sublime 26 G x 24 Se repite 2 veces en Belmont International Trading Corp Una vez con el precio 12.25</v>
      </c>
      <c r="T177" s="20" t="str">
        <f t="shared" si="37"/>
        <v>Belmont International Trading Corp</v>
      </c>
      <c r="U177" s="20" t="str">
        <f t="shared" si="38"/>
        <v>D'Onofrio Chocolate Sublime 26 G x 24</v>
      </c>
      <c r="V177" s="22">
        <f t="shared" si="39"/>
        <v>12.25</v>
      </c>
      <c r="W177" t="str">
        <f t="shared" si="40"/>
        <v>Belmont International Trading Corp 04/28/2025</v>
      </c>
      <c r="Z177">
        <f t="shared" si="41"/>
        <v>220.5</v>
      </c>
    </row>
    <row r="178" spans="1:26" hidden="1" x14ac:dyDescent="0.25">
      <c r="A178" s="2" t="s">
        <v>18</v>
      </c>
      <c r="B178" s="11" t="s">
        <v>177</v>
      </c>
      <c r="C178" s="11" t="s">
        <v>4</v>
      </c>
      <c r="D178" s="11" t="s">
        <v>178</v>
      </c>
      <c r="E178" s="11" t="s">
        <v>80</v>
      </c>
      <c r="F178" s="11" t="s">
        <v>81</v>
      </c>
      <c r="G178" s="12">
        <v>10</v>
      </c>
      <c r="H178" s="12">
        <v>13.5</v>
      </c>
      <c r="I178" s="12">
        <v>135</v>
      </c>
      <c r="J178" s="12">
        <v>20988.84</v>
      </c>
      <c r="K178" s="20">
        <f t="shared" si="28"/>
        <v>8</v>
      </c>
      <c r="L178" s="20" t="str">
        <f t="shared" si="29"/>
        <v>Se repite 8 veces</v>
      </c>
      <c r="M178" s="20" t="str">
        <f t="shared" si="30"/>
        <v>Belmont International Trading Corp-D'Onofrio Chocolate Sublime 26 G x 24</v>
      </c>
      <c r="N178" s="20">
        <f t="shared" si="31"/>
        <v>2</v>
      </c>
      <c r="O178" s="20" t="str">
        <f t="shared" si="32"/>
        <v>Se repite 2 veces en Belmont International Trading Corp</v>
      </c>
      <c r="P178" s="20" t="str">
        <f t="shared" si="33"/>
        <v>Belmont International Trading Corp-D'Onofrio Chocolate Sublime 26 G x 24-13.5</v>
      </c>
      <c r="Q178" s="20">
        <f t="shared" si="34"/>
        <v>1</v>
      </c>
      <c r="R178" s="20" t="str">
        <f t="shared" si="35"/>
        <v>No se repite</v>
      </c>
      <c r="S178" s="20" t="str">
        <f t="shared" si="36"/>
        <v>El producto D'Onofrio Chocolate Sublime 26 G x 24 Se repite 2 veces en Belmont International Trading Corp Una vez con el precio 13.5</v>
      </c>
      <c r="T178" s="20" t="str">
        <f t="shared" si="37"/>
        <v>Belmont International Trading Corp</v>
      </c>
      <c r="U178" s="20" t="str">
        <f t="shared" si="38"/>
        <v>D'Onofrio Chocolate Sublime 26 G x 24</v>
      </c>
      <c r="V178" s="22">
        <f t="shared" si="39"/>
        <v>13.5</v>
      </c>
      <c r="W178" t="str">
        <f t="shared" si="40"/>
        <v>Belmont International Trading Corp 10/20/2025</v>
      </c>
      <c r="Z178">
        <f t="shared" si="41"/>
        <v>135</v>
      </c>
    </row>
    <row r="179" spans="1:26" hidden="1" x14ac:dyDescent="0.25">
      <c r="A179" s="2" t="s">
        <v>272</v>
      </c>
      <c r="B179" s="11" t="s">
        <v>408</v>
      </c>
      <c r="C179" s="11" t="s">
        <v>4</v>
      </c>
      <c r="D179" s="11" t="s">
        <v>409</v>
      </c>
      <c r="E179" s="11" t="s">
        <v>80</v>
      </c>
      <c r="F179" s="11" t="s">
        <v>81</v>
      </c>
      <c r="G179" s="12">
        <v>5</v>
      </c>
      <c r="H179" s="12">
        <v>15</v>
      </c>
      <c r="I179" s="12">
        <v>75</v>
      </c>
      <c r="J179" s="12">
        <v>5124.1000000000004</v>
      </c>
      <c r="K179" s="20">
        <f t="shared" si="28"/>
        <v>8</v>
      </c>
      <c r="L179" s="20" t="str">
        <f t="shared" si="29"/>
        <v>Se repite 8 veces</v>
      </c>
      <c r="M179" s="20" t="str">
        <f t="shared" si="30"/>
        <v>Peru Chef-D'Onofrio Chocolate Sublime 26 G x 24</v>
      </c>
      <c r="N179" s="20">
        <f t="shared" si="31"/>
        <v>6</v>
      </c>
      <c r="O179" s="20" t="str">
        <f t="shared" si="32"/>
        <v>Se repite 6 veces en Peru Chef</v>
      </c>
      <c r="P179" s="20" t="str">
        <f t="shared" si="33"/>
        <v>Peru Chef-D'Onofrio Chocolate Sublime 26 G x 24-15</v>
      </c>
      <c r="Q179" s="20">
        <f t="shared" si="34"/>
        <v>4</v>
      </c>
      <c r="R179" s="20" t="str">
        <f t="shared" si="35"/>
        <v>Se repite 4 veces el precio de 15</v>
      </c>
      <c r="S179" s="20" t="str">
        <f t="shared" si="36"/>
        <v>El producto D'Onofrio Chocolate Sublime 26 G x 24 Se repite 6 veces en Peru Chef, Se repite 4 veces el precio de 15</v>
      </c>
      <c r="T179" s="20" t="str">
        <f t="shared" si="37"/>
        <v>Peru Chef</v>
      </c>
      <c r="U179" s="20" t="str">
        <f t="shared" si="38"/>
        <v>D'Onofrio Chocolate Sublime 26 G x 24</v>
      </c>
      <c r="V179" s="22">
        <f t="shared" si="39"/>
        <v>15</v>
      </c>
      <c r="W179" t="str">
        <f t="shared" si="40"/>
        <v>Peru Chef 04/13/2025</v>
      </c>
      <c r="Z179">
        <f t="shared" si="41"/>
        <v>75</v>
      </c>
    </row>
    <row r="180" spans="1:26" hidden="1" x14ac:dyDescent="0.25">
      <c r="A180" s="2" t="s">
        <v>272</v>
      </c>
      <c r="B180" s="11" t="s">
        <v>444</v>
      </c>
      <c r="C180" s="11" t="s">
        <v>4</v>
      </c>
      <c r="D180" s="11" t="s">
        <v>445</v>
      </c>
      <c r="E180" s="11" t="s">
        <v>80</v>
      </c>
      <c r="F180" s="11" t="s">
        <v>81</v>
      </c>
      <c r="G180" s="12">
        <v>15</v>
      </c>
      <c r="H180" s="12">
        <v>15</v>
      </c>
      <c r="I180" s="12">
        <v>225</v>
      </c>
      <c r="J180" s="12">
        <v>8329.2000000000007</v>
      </c>
      <c r="K180" s="20">
        <f t="shared" si="28"/>
        <v>8</v>
      </c>
      <c r="L180" s="20" t="str">
        <f t="shared" si="29"/>
        <v>Se repite 8 veces</v>
      </c>
      <c r="M180" s="20" t="str">
        <f t="shared" si="30"/>
        <v>Peru Chef-D'Onofrio Chocolate Sublime 26 G x 24</v>
      </c>
      <c r="N180" s="20">
        <f t="shared" si="31"/>
        <v>6</v>
      </c>
      <c r="O180" s="20" t="str">
        <f t="shared" si="32"/>
        <v>Se repite 6 veces en Peru Chef</v>
      </c>
      <c r="P180" s="20" t="str">
        <f t="shared" si="33"/>
        <v>Peru Chef-D'Onofrio Chocolate Sublime 26 G x 24-15</v>
      </c>
      <c r="Q180" s="20">
        <f t="shared" si="34"/>
        <v>4</v>
      </c>
      <c r="R180" s="20" t="str">
        <f t="shared" si="35"/>
        <v>Se repite 4 veces el precio de 15</v>
      </c>
      <c r="S180" s="20" t="str">
        <f t="shared" si="36"/>
        <v>El producto D'Onofrio Chocolate Sublime 26 G x 24 Se repite 6 veces en Peru Chef, Se repite 4 veces el precio de 15</v>
      </c>
      <c r="T180" s="20" t="str">
        <f t="shared" si="37"/>
        <v>Peru Chef</v>
      </c>
      <c r="U180" s="20" t="str">
        <f t="shared" si="38"/>
        <v>D'Onofrio Chocolate Sublime 26 G x 24</v>
      </c>
      <c r="V180" s="22">
        <f t="shared" si="39"/>
        <v>15</v>
      </c>
      <c r="W180" t="str">
        <f t="shared" si="40"/>
        <v>Peru Chef 04/24/2025</v>
      </c>
      <c r="Z180">
        <f t="shared" si="41"/>
        <v>225</v>
      </c>
    </row>
    <row r="181" spans="1:26" hidden="1" x14ac:dyDescent="0.25">
      <c r="A181" s="2" t="s">
        <v>272</v>
      </c>
      <c r="B181" s="11" t="s">
        <v>563</v>
      </c>
      <c r="C181" s="11" t="s">
        <v>4</v>
      </c>
      <c r="D181" s="11" t="s">
        <v>564</v>
      </c>
      <c r="E181" s="11" t="s">
        <v>80</v>
      </c>
      <c r="F181" s="11" t="s">
        <v>81</v>
      </c>
      <c r="G181" s="12">
        <v>5</v>
      </c>
      <c r="H181" s="12">
        <v>15</v>
      </c>
      <c r="I181" s="12">
        <v>75</v>
      </c>
      <c r="J181" s="12">
        <v>19522</v>
      </c>
      <c r="K181" s="20">
        <f t="shared" si="28"/>
        <v>8</v>
      </c>
      <c r="L181" s="20" t="str">
        <f t="shared" si="29"/>
        <v>Se repite 8 veces</v>
      </c>
      <c r="M181" s="20" t="str">
        <f t="shared" si="30"/>
        <v>Peru Chef-D'Onofrio Chocolate Sublime 26 G x 24</v>
      </c>
      <c r="N181" s="20">
        <f t="shared" si="31"/>
        <v>6</v>
      </c>
      <c r="O181" s="20" t="str">
        <f t="shared" si="32"/>
        <v>Se repite 6 veces en Peru Chef</v>
      </c>
      <c r="P181" s="20" t="str">
        <f t="shared" si="33"/>
        <v>Peru Chef-D'Onofrio Chocolate Sublime 26 G x 24-15</v>
      </c>
      <c r="Q181" s="20">
        <f t="shared" si="34"/>
        <v>4</v>
      </c>
      <c r="R181" s="20" t="str">
        <f t="shared" si="35"/>
        <v>Se repite 4 veces el precio de 15</v>
      </c>
      <c r="S181" s="20" t="str">
        <f t="shared" si="36"/>
        <v>El producto D'Onofrio Chocolate Sublime 26 G x 24 Se repite 6 veces en Peru Chef, Se repite 4 veces el precio de 15</v>
      </c>
      <c r="T181" s="20" t="str">
        <f t="shared" si="37"/>
        <v>Peru Chef</v>
      </c>
      <c r="U181" s="20" t="str">
        <f t="shared" si="38"/>
        <v>D'Onofrio Chocolate Sublime 26 G x 24</v>
      </c>
      <c r="V181" s="22">
        <f t="shared" si="39"/>
        <v>15</v>
      </c>
      <c r="W181" t="str">
        <f t="shared" si="40"/>
        <v>Peru Chef 09/11/2025</v>
      </c>
      <c r="Z181">
        <f t="shared" si="41"/>
        <v>75</v>
      </c>
    </row>
    <row r="182" spans="1:26" hidden="1" x14ac:dyDescent="0.25">
      <c r="A182" s="2" t="s">
        <v>272</v>
      </c>
      <c r="B182" s="11" t="s">
        <v>572</v>
      </c>
      <c r="C182" s="11" t="s">
        <v>4</v>
      </c>
      <c r="D182" s="11" t="s">
        <v>573</v>
      </c>
      <c r="E182" s="11" t="s">
        <v>80</v>
      </c>
      <c r="F182" s="11" t="s">
        <v>81</v>
      </c>
      <c r="G182" s="12">
        <v>15</v>
      </c>
      <c r="H182" s="12">
        <v>15</v>
      </c>
      <c r="I182" s="12">
        <v>225</v>
      </c>
      <c r="J182" s="12">
        <v>27100</v>
      </c>
      <c r="K182" s="20">
        <f t="shared" si="28"/>
        <v>8</v>
      </c>
      <c r="L182" s="20" t="str">
        <f t="shared" si="29"/>
        <v>Se repite 8 veces</v>
      </c>
      <c r="M182" s="20" t="str">
        <f t="shared" si="30"/>
        <v>Peru Chef-D'Onofrio Chocolate Sublime 26 G x 24</v>
      </c>
      <c r="N182" s="20">
        <f t="shared" si="31"/>
        <v>6</v>
      </c>
      <c r="O182" s="20" t="str">
        <f t="shared" si="32"/>
        <v>Se repite 6 veces en Peru Chef</v>
      </c>
      <c r="P182" s="20" t="str">
        <f t="shared" si="33"/>
        <v>Peru Chef-D'Onofrio Chocolate Sublime 26 G x 24-15</v>
      </c>
      <c r="Q182" s="20">
        <f t="shared" si="34"/>
        <v>4</v>
      </c>
      <c r="R182" s="20" t="str">
        <f t="shared" si="35"/>
        <v>Se repite 4 veces el precio de 15</v>
      </c>
      <c r="S182" s="20" t="str">
        <f t="shared" si="36"/>
        <v>El producto D'Onofrio Chocolate Sublime 26 G x 24 Se repite 6 veces en Peru Chef, Se repite 4 veces el precio de 15</v>
      </c>
      <c r="T182" s="20" t="str">
        <f t="shared" si="37"/>
        <v>Peru Chef</v>
      </c>
      <c r="U182" s="20" t="str">
        <f t="shared" si="38"/>
        <v>D'Onofrio Chocolate Sublime 26 G x 24</v>
      </c>
      <c r="V182" s="22">
        <f t="shared" si="39"/>
        <v>15</v>
      </c>
      <c r="W182" t="str">
        <f t="shared" si="40"/>
        <v>Peru Chef 10/09/2025</v>
      </c>
      <c r="Z182">
        <f t="shared" si="41"/>
        <v>225</v>
      </c>
    </row>
    <row r="183" spans="1:26" hidden="1" x14ac:dyDescent="0.25">
      <c r="A183" s="2" t="s">
        <v>272</v>
      </c>
      <c r="B183" s="11" t="s">
        <v>590</v>
      </c>
      <c r="C183" s="11" t="s">
        <v>4</v>
      </c>
      <c r="D183" s="11" t="s">
        <v>591</v>
      </c>
      <c r="E183" s="11" t="s">
        <v>80</v>
      </c>
      <c r="F183" s="11" t="s">
        <v>81</v>
      </c>
      <c r="G183" s="12">
        <v>4</v>
      </c>
      <c r="H183" s="12">
        <v>13.5</v>
      </c>
      <c r="I183" s="12">
        <v>54</v>
      </c>
      <c r="J183" s="12">
        <v>30017.200000000001</v>
      </c>
      <c r="K183" s="20">
        <f t="shared" si="28"/>
        <v>8</v>
      </c>
      <c r="L183" s="20" t="str">
        <f t="shared" si="29"/>
        <v>Se repite 8 veces</v>
      </c>
      <c r="M183" s="20" t="str">
        <f t="shared" si="30"/>
        <v>Peru Chef-D'Onofrio Chocolate Sublime 26 G x 24</v>
      </c>
      <c r="N183" s="20">
        <f t="shared" si="31"/>
        <v>6</v>
      </c>
      <c r="O183" s="20" t="str">
        <f t="shared" si="32"/>
        <v>Se repite 6 veces en Peru Chef</v>
      </c>
      <c r="P183" s="20" t="str">
        <f t="shared" si="33"/>
        <v>Peru Chef-D'Onofrio Chocolate Sublime 26 G x 24-13.5</v>
      </c>
      <c r="Q183" s="20">
        <f t="shared" si="34"/>
        <v>2</v>
      </c>
      <c r="R183" s="20" t="str">
        <f t="shared" si="35"/>
        <v>Se repite 2 veces el precio de 13.5</v>
      </c>
      <c r="S183" s="20" t="str">
        <f t="shared" si="36"/>
        <v>El producto D'Onofrio Chocolate Sublime 26 G x 24 Se repite 6 veces en Peru Chef, Se repite 2 veces el precio de 13.5</v>
      </c>
      <c r="T183" s="20" t="str">
        <f t="shared" si="37"/>
        <v>Peru Chef</v>
      </c>
      <c r="U183" s="20" t="str">
        <f t="shared" si="38"/>
        <v>D'Onofrio Chocolate Sublime 26 G x 24</v>
      </c>
      <c r="V183" s="22">
        <f t="shared" si="39"/>
        <v>13.5</v>
      </c>
      <c r="W183" t="str">
        <f t="shared" si="40"/>
        <v>Peru Chef 10/28/2025</v>
      </c>
      <c r="Z183">
        <f t="shared" si="41"/>
        <v>54</v>
      </c>
    </row>
    <row r="184" spans="1:26" hidden="1" x14ac:dyDescent="0.25">
      <c r="A184" s="2" t="s">
        <v>272</v>
      </c>
      <c r="B184" s="11" t="s">
        <v>619</v>
      </c>
      <c r="C184" s="11" t="s">
        <v>4</v>
      </c>
      <c r="D184" s="11" t="s">
        <v>621</v>
      </c>
      <c r="E184" s="11" t="s">
        <v>80</v>
      </c>
      <c r="F184" s="11" t="s">
        <v>622</v>
      </c>
      <c r="G184" s="12">
        <v>24</v>
      </c>
      <c r="H184" s="12">
        <v>13.5</v>
      </c>
      <c r="I184" s="12">
        <v>324</v>
      </c>
      <c r="J184" s="12">
        <v>39258.850000000006</v>
      </c>
      <c r="K184" s="20">
        <f t="shared" si="28"/>
        <v>8</v>
      </c>
      <c r="L184" s="20" t="str">
        <f t="shared" si="29"/>
        <v>Se repite 8 veces</v>
      </c>
      <c r="M184" s="20" t="str">
        <f t="shared" si="30"/>
        <v>Peru Chef-D'Onofrio Chocolate Sublime 26 G x 24</v>
      </c>
      <c r="N184" s="20">
        <f t="shared" si="31"/>
        <v>6</v>
      </c>
      <c r="O184" s="20" t="str">
        <f t="shared" si="32"/>
        <v>Se repite 6 veces en Peru Chef</v>
      </c>
      <c r="P184" s="20" t="str">
        <f t="shared" si="33"/>
        <v>Peru Chef-D'Onofrio Chocolate Sublime 26 G x 24-13.5</v>
      </c>
      <c r="Q184" s="20">
        <f t="shared" si="34"/>
        <v>2</v>
      </c>
      <c r="R184" s="20" t="str">
        <f t="shared" si="35"/>
        <v>Se repite 2 veces el precio de 13.5</v>
      </c>
      <c r="S184" s="20" t="str">
        <f t="shared" si="36"/>
        <v>El producto D'Onofrio Chocolate Sublime 26 G x 24 Se repite 6 veces en Peru Chef, Se repite 2 veces el precio de 13.5</v>
      </c>
      <c r="T184" s="20" t="str">
        <f t="shared" si="37"/>
        <v>Peru Chef</v>
      </c>
      <c r="U184" s="20" t="str">
        <f t="shared" si="38"/>
        <v>D'Onofrio Chocolate Sublime 26 G x 24</v>
      </c>
      <c r="V184" s="22">
        <f t="shared" si="39"/>
        <v>13.5</v>
      </c>
      <c r="W184" t="str">
        <f t="shared" si="40"/>
        <v>Peru Chef 12/09/2025</v>
      </c>
      <c r="Z184">
        <f t="shared" si="41"/>
        <v>324</v>
      </c>
    </row>
    <row r="185" spans="1:26" hidden="1" x14ac:dyDescent="0.25">
      <c r="A185" s="2" t="s">
        <v>272</v>
      </c>
      <c r="B185" s="11" t="s">
        <v>273</v>
      </c>
      <c r="C185" s="11" t="s">
        <v>4</v>
      </c>
      <c r="D185" s="11" t="s">
        <v>5</v>
      </c>
      <c r="E185" s="11" t="s">
        <v>380</v>
      </c>
      <c r="F185" s="11" t="s">
        <v>380</v>
      </c>
      <c r="G185" s="12">
        <v>1</v>
      </c>
      <c r="H185" s="12">
        <v>54</v>
      </c>
      <c r="I185" s="12">
        <v>54</v>
      </c>
      <c r="J185" s="12">
        <v>1736.6999999999998</v>
      </c>
      <c r="K185" s="20">
        <f t="shared" si="28"/>
        <v>5</v>
      </c>
      <c r="L185" s="20" t="str">
        <f t="shared" si="29"/>
        <v>Se repite 5 veces</v>
      </c>
      <c r="M185" s="20" t="str">
        <f t="shared" si="30"/>
        <v>Peru Chef-ECCO - Café instantaneo de Cebada -Barley Instant Coffee</v>
      </c>
      <c r="N185" s="20">
        <f t="shared" si="31"/>
        <v>5</v>
      </c>
      <c r="O185" s="20" t="str">
        <f t="shared" si="32"/>
        <v>Se repite 5 veces en Peru Chef</v>
      </c>
      <c r="P185" s="20" t="str">
        <f t="shared" si="33"/>
        <v>Peru Chef-ECCO - Café instantaneo de Cebada -Barley Instant Coffee-54</v>
      </c>
      <c r="Q185" s="20">
        <f t="shared" si="34"/>
        <v>2</v>
      </c>
      <c r="R185" s="20" t="str">
        <f t="shared" si="35"/>
        <v>Se repite 2 veces el precio de 54</v>
      </c>
      <c r="S185" s="20" t="str">
        <f t="shared" si="36"/>
        <v>El producto ECCO - Café instantaneo de Cebada -Barley Instant Coffee Se repite 5 veces en Peru Chef, Se repite 2 veces el precio de 54</v>
      </c>
      <c r="T185" s="20" t="str">
        <f t="shared" si="37"/>
        <v>Peru Chef</v>
      </c>
      <c r="U185" s="20" t="str">
        <f t="shared" si="38"/>
        <v>ECCO - Café instantaneo de Cebada -Barley Instant Coffee</v>
      </c>
      <c r="V185" s="22">
        <f t="shared" si="39"/>
        <v>54</v>
      </c>
      <c r="W185" t="str">
        <f t="shared" si="40"/>
        <v>Peru Chef 03/26/2025</v>
      </c>
      <c r="Z185">
        <f t="shared" si="41"/>
        <v>54</v>
      </c>
    </row>
    <row r="186" spans="1:26" hidden="1" x14ac:dyDescent="0.25">
      <c r="A186" s="2" t="s">
        <v>272</v>
      </c>
      <c r="B186" s="11" t="s">
        <v>398</v>
      </c>
      <c r="C186" s="11" t="s">
        <v>4</v>
      </c>
      <c r="D186" s="11" t="s">
        <v>399</v>
      </c>
      <c r="E186" s="11" t="s">
        <v>380</v>
      </c>
      <c r="F186" s="11" t="s">
        <v>380</v>
      </c>
      <c r="G186" s="12">
        <v>1</v>
      </c>
      <c r="H186" s="12">
        <v>54</v>
      </c>
      <c r="I186" s="12">
        <v>54</v>
      </c>
      <c r="J186" s="12">
        <v>3762.5</v>
      </c>
      <c r="K186" s="20">
        <f t="shared" si="28"/>
        <v>5</v>
      </c>
      <c r="L186" s="20" t="str">
        <f t="shared" si="29"/>
        <v>Se repite 5 veces</v>
      </c>
      <c r="M186" s="20" t="str">
        <f t="shared" si="30"/>
        <v>Peru Chef-ECCO - Café instantaneo de Cebada -Barley Instant Coffee</v>
      </c>
      <c r="N186" s="20">
        <f t="shared" si="31"/>
        <v>5</v>
      </c>
      <c r="O186" s="20" t="str">
        <f t="shared" si="32"/>
        <v>Se repite 5 veces en Peru Chef</v>
      </c>
      <c r="P186" s="20" t="str">
        <f t="shared" si="33"/>
        <v>Peru Chef-ECCO - Café instantaneo de Cebada -Barley Instant Coffee-54</v>
      </c>
      <c r="Q186" s="20">
        <f t="shared" si="34"/>
        <v>2</v>
      </c>
      <c r="R186" s="20" t="str">
        <f t="shared" si="35"/>
        <v>Se repite 2 veces el precio de 54</v>
      </c>
      <c r="S186" s="20" t="str">
        <f t="shared" si="36"/>
        <v>El producto ECCO - Café instantaneo de Cebada -Barley Instant Coffee Se repite 5 veces en Peru Chef, Se repite 2 veces el precio de 54</v>
      </c>
      <c r="T186" s="20" t="str">
        <f t="shared" si="37"/>
        <v>Peru Chef</v>
      </c>
      <c r="U186" s="20" t="str">
        <f t="shared" si="38"/>
        <v>ECCO - Café instantaneo de Cebada -Barley Instant Coffee</v>
      </c>
      <c r="V186" s="22">
        <f t="shared" si="39"/>
        <v>54</v>
      </c>
      <c r="W186" t="str">
        <f t="shared" si="40"/>
        <v>Peru Chef 04/10/2025</v>
      </c>
      <c r="Z186">
        <f t="shared" si="41"/>
        <v>54</v>
      </c>
    </row>
    <row r="187" spans="1:26" hidden="1" x14ac:dyDescent="0.25">
      <c r="A187" s="2" t="s">
        <v>272</v>
      </c>
      <c r="B187" s="11" t="s">
        <v>471</v>
      </c>
      <c r="C187" s="11" t="s">
        <v>4</v>
      </c>
      <c r="D187" s="11" t="s">
        <v>472</v>
      </c>
      <c r="E187" s="11" t="s">
        <v>380</v>
      </c>
      <c r="F187" s="11" t="s">
        <v>380</v>
      </c>
      <c r="G187" s="12">
        <v>3</v>
      </c>
      <c r="H187" s="12">
        <v>61</v>
      </c>
      <c r="I187" s="12">
        <v>183</v>
      </c>
      <c r="J187" s="12">
        <v>13815.5</v>
      </c>
      <c r="K187" s="20">
        <f t="shared" si="28"/>
        <v>5</v>
      </c>
      <c r="L187" s="20" t="str">
        <f t="shared" si="29"/>
        <v>Se repite 5 veces</v>
      </c>
      <c r="M187" s="20" t="str">
        <f t="shared" si="30"/>
        <v>Peru Chef-ECCO - Café instantaneo de Cebada -Barley Instant Coffee</v>
      </c>
      <c r="N187" s="20">
        <f t="shared" si="31"/>
        <v>5</v>
      </c>
      <c r="O187" s="20" t="str">
        <f t="shared" si="32"/>
        <v>Se repite 5 veces en Peru Chef</v>
      </c>
      <c r="P187" s="20" t="str">
        <f t="shared" si="33"/>
        <v>Peru Chef-ECCO - Café instantaneo de Cebada -Barley Instant Coffee-61</v>
      </c>
      <c r="Q187" s="20">
        <f t="shared" si="34"/>
        <v>3</v>
      </c>
      <c r="R187" s="20" t="str">
        <f t="shared" si="35"/>
        <v>Se repite 3 veces el precio de 61</v>
      </c>
      <c r="S187" s="20" t="str">
        <f t="shared" si="36"/>
        <v>El producto ECCO - Café instantaneo de Cebada -Barley Instant Coffee Se repite 5 veces en Peru Chef, Se repite 3 veces el precio de 61</v>
      </c>
      <c r="T187" s="20" t="str">
        <f t="shared" si="37"/>
        <v>Peru Chef</v>
      </c>
      <c r="U187" s="20" t="str">
        <f t="shared" si="38"/>
        <v>ECCO - Café instantaneo de Cebada -Barley Instant Coffee</v>
      </c>
      <c r="V187" s="22">
        <f t="shared" si="39"/>
        <v>61</v>
      </c>
      <c r="W187" t="str">
        <f t="shared" si="40"/>
        <v>Peru Chef 08/11/2025</v>
      </c>
      <c r="Z187">
        <f t="shared" si="41"/>
        <v>183</v>
      </c>
    </row>
    <row r="188" spans="1:26" hidden="1" x14ac:dyDescent="0.25">
      <c r="A188" s="2" t="s">
        <v>272</v>
      </c>
      <c r="B188" s="11" t="s">
        <v>512</v>
      </c>
      <c r="C188" s="11" t="s">
        <v>4</v>
      </c>
      <c r="D188" s="11" t="s">
        <v>513</v>
      </c>
      <c r="E188" s="11" t="s">
        <v>380</v>
      </c>
      <c r="F188" s="11" t="s">
        <v>516</v>
      </c>
      <c r="G188" s="12">
        <v>2</v>
      </c>
      <c r="H188" s="12">
        <v>61</v>
      </c>
      <c r="I188" s="12">
        <v>122</v>
      </c>
      <c r="J188" s="12">
        <v>15405.5</v>
      </c>
      <c r="K188" s="20">
        <f t="shared" si="28"/>
        <v>5</v>
      </c>
      <c r="L188" s="20" t="str">
        <f t="shared" si="29"/>
        <v>Se repite 5 veces</v>
      </c>
      <c r="M188" s="20" t="str">
        <f t="shared" si="30"/>
        <v>Peru Chef-ECCO - Café instantaneo de Cebada -Barley Instant Coffee</v>
      </c>
      <c r="N188" s="20">
        <f t="shared" si="31"/>
        <v>5</v>
      </c>
      <c r="O188" s="20" t="str">
        <f t="shared" si="32"/>
        <v>Se repite 5 veces en Peru Chef</v>
      </c>
      <c r="P188" s="20" t="str">
        <f t="shared" si="33"/>
        <v>Peru Chef-ECCO - Café instantaneo de Cebada -Barley Instant Coffee-61</v>
      </c>
      <c r="Q188" s="20">
        <f t="shared" si="34"/>
        <v>3</v>
      </c>
      <c r="R188" s="20" t="str">
        <f t="shared" si="35"/>
        <v>Se repite 3 veces el precio de 61</v>
      </c>
      <c r="S188" s="20" t="str">
        <f t="shared" si="36"/>
        <v>El producto ECCO - Café instantaneo de Cebada -Barley Instant Coffee Se repite 5 veces en Peru Chef, Se repite 3 veces el precio de 61</v>
      </c>
      <c r="T188" s="20" t="str">
        <f t="shared" si="37"/>
        <v>Peru Chef</v>
      </c>
      <c r="U188" s="20" t="str">
        <f t="shared" si="38"/>
        <v>ECCO - Café instantaneo de Cebada -Barley Instant Coffee</v>
      </c>
      <c r="V188" s="22">
        <f t="shared" si="39"/>
        <v>61</v>
      </c>
      <c r="W188" t="str">
        <f t="shared" si="40"/>
        <v>Peru Chef 08/28/2025</v>
      </c>
      <c r="Z188">
        <f t="shared" si="41"/>
        <v>122</v>
      </c>
    </row>
    <row r="189" spans="1:26" hidden="1" x14ac:dyDescent="0.25">
      <c r="A189" s="2" t="s">
        <v>272</v>
      </c>
      <c r="B189" s="11" t="s">
        <v>563</v>
      </c>
      <c r="C189" s="11" t="s">
        <v>4</v>
      </c>
      <c r="D189" s="11" t="s">
        <v>564</v>
      </c>
      <c r="E189" s="11" t="s">
        <v>380</v>
      </c>
      <c r="F189" s="11" t="s">
        <v>571</v>
      </c>
      <c r="G189" s="12">
        <v>2</v>
      </c>
      <c r="H189" s="12">
        <v>61</v>
      </c>
      <c r="I189" s="12">
        <v>122</v>
      </c>
      <c r="J189" s="12">
        <v>25374</v>
      </c>
      <c r="K189" s="20">
        <f t="shared" si="28"/>
        <v>5</v>
      </c>
      <c r="L189" s="20" t="str">
        <f t="shared" si="29"/>
        <v>Se repite 5 veces</v>
      </c>
      <c r="M189" s="20" t="str">
        <f t="shared" si="30"/>
        <v>Peru Chef-ECCO - Café instantaneo de Cebada -Barley Instant Coffee</v>
      </c>
      <c r="N189" s="20">
        <f t="shared" si="31"/>
        <v>5</v>
      </c>
      <c r="O189" s="20" t="str">
        <f t="shared" si="32"/>
        <v>Se repite 5 veces en Peru Chef</v>
      </c>
      <c r="P189" s="20" t="str">
        <f t="shared" si="33"/>
        <v>Peru Chef-ECCO - Café instantaneo de Cebada -Barley Instant Coffee-61</v>
      </c>
      <c r="Q189" s="20">
        <f t="shared" si="34"/>
        <v>3</v>
      </c>
      <c r="R189" s="20" t="str">
        <f t="shared" si="35"/>
        <v>Se repite 3 veces el precio de 61</v>
      </c>
      <c r="S189" s="20" t="str">
        <f t="shared" si="36"/>
        <v>El producto ECCO - Café instantaneo de Cebada -Barley Instant Coffee Se repite 5 veces en Peru Chef, Se repite 3 veces el precio de 61</v>
      </c>
      <c r="T189" s="20" t="str">
        <f t="shared" si="37"/>
        <v>Peru Chef</v>
      </c>
      <c r="U189" s="20" t="str">
        <f t="shared" si="38"/>
        <v>ECCO - Café instantaneo de Cebada -Barley Instant Coffee</v>
      </c>
      <c r="V189" s="22">
        <f t="shared" si="39"/>
        <v>61</v>
      </c>
      <c r="W189" t="str">
        <f t="shared" si="40"/>
        <v>Peru Chef 09/11/2025</v>
      </c>
      <c r="Z189">
        <f t="shared" si="41"/>
        <v>122</v>
      </c>
    </row>
    <row r="190" spans="1:26" hidden="1" x14ac:dyDescent="0.25">
      <c r="A190" s="2" t="s">
        <v>272</v>
      </c>
      <c r="B190" s="11" t="s">
        <v>273</v>
      </c>
      <c r="C190" s="11" t="s">
        <v>4</v>
      </c>
      <c r="D190" s="11" t="s">
        <v>5</v>
      </c>
      <c r="E190" s="11" t="s">
        <v>372</v>
      </c>
      <c r="F190" s="11" t="s">
        <v>373</v>
      </c>
      <c r="G190" s="12">
        <v>1</v>
      </c>
      <c r="H190" s="12">
        <v>36</v>
      </c>
      <c r="I190" s="12">
        <v>36</v>
      </c>
      <c r="J190" s="12">
        <v>1612.1999999999998</v>
      </c>
      <c r="K190" s="20">
        <f t="shared" si="28"/>
        <v>7</v>
      </c>
      <c r="L190" s="20" t="str">
        <f t="shared" si="29"/>
        <v>Se repite 7 veces</v>
      </c>
      <c r="M190" s="20" t="str">
        <f t="shared" si="30"/>
        <v>Peru Chef-EL TRIUNFO Fideo Chino - Chinese Noodles 250gr x 30</v>
      </c>
      <c r="N190" s="20">
        <f t="shared" si="31"/>
        <v>4</v>
      </c>
      <c r="O190" s="20" t="str">
        <f t="shared" si="32"/>
        <v>Se repite 4 veces en Peru Chef</v>
      </c>
      <c r="P190" s="20" t="str">
        <f t="shared" si="33"/>
        <v>Peru Chef-EL TRIUNFO Fideo Chino - Chinese Noodles 250gr x 30-36</v>
      </c>
      <c r="Q190" s="20">
        <f t="shared" si="34"/>
        <v>2</v>
      </c>
      <c r="R190" s="20" t="str">
        <f t="shared" si="35"/>
        <v>Se repite 2 veces el precio de 36</v>
      </c>
      <c r="S190" s="20" t="str">
        <f t="shared" si="36"/>
        <v>El producto EL TRIUNFO Fideo Chino - Chinese Noodles 250gr x 30 Se repite 4 veces en Peru Chef, Se repite 2 veces el precio de 36</v>
      </c>
      <c r="T190" s="20" t="str">
        <f t="shared" si="37"/>
        <v>Peru Chef</v>
      </c>
      <c r="U190" s="20" t="str">
        <f t="shared" si="38"/>
        <v>EL TRIUNFO Fideo Chino - Chinese Noodles 250gr x 30</v>
      </c>
      <c r="V190" s="22">
        <f t="shared" si="39"/>
        <v>36</v>
      </c>
      <c r="W190" t="str">
        <f t="shared" si="40"/>
        <v>Peru Chef 03/26/2025</v>
      </c>
      <c r="Z190">
        <f t="shared" si="41"/>
        <v>36</v>
      </c>
    </row>
    <row r="191" spans="1:26" hidden="1" x14ac:dyDescent="0.25">
      <c r="A191" s="2" t="s">
        <v>272</v>
      </c>
      <c r="B191" s="11" t="s">
        <v>398</v>
      </c>
      <c r="C191" s="11" t="s">
        <v>4</v>
      </c>
      <c r="D191" s="11" t="s">
        <v>399</v>
      </c>
      <c r="E191" s="11" t="s">
        <v>372</v>
      </c>
      <c r="F191" s="11" t="s">
        <v>373</v>
      </c>
      <c r="G191" s="12">
        <v>1</v>
      </c>
      <c r="H191" s="12">
        <v>36</v>
      </c>
      <c r="I191" s="12">
        <v>36</v>
      </c>
      <c r="J191" s="12">
        <v>3677</v>
      </c>
      <c r="K191" s="20">
        <f t="shared" si="28"/>
        <v>7</v>
      </c>
      <c r="L191" s="20" t="str">
        <f t="shared" si="29"/>
        <v>Se repite 7 veces</v>
      </c>
      <c r="M191" s="20" t="str">
        <f t="shared" si="30"/>
        <v>Peru Chef-EL TRIUNFO Fideo Chino - Chinese Noodles 250gr x 30</v>
      </c>
      <c r="N191" s="20">
        <f t="shared" si="31"/>
        <v>4</v>
      </c>
      <c r="O191" s="20" t="str">
        <f t="shared" si="32"/>
        <v>Se repite 4 veces en Peru Chef</v>
      </c>
      <c r="P191" s="20" t="str">
        <f t="shared" si="33"/>
        <v>Peru Chef-EL TRIUNFO Fideo Chino - Chinese Noodles 250gr x 30-36</v>
      </c>
      <c r="Q191" s="20">
        <f t="shared" si="34"/>
        <v>2</v>
      </c>
      <c r="R191" s="20" t="str">
        <f t="shared" si="35"/>
        <v>Se repite 2 veces el precio de 36</v>
      </c>
      <c r="S191" s="20" t="str">
        <f t="shared" si="36"/>
        <v>El producto EL TRIUNFO Fideo Chino - Chinese Noodles 250gr x 30 Se repite 4 veces en Peru Chef, Se repite 2 veces el precio de 36</v>
      </c>
      <c r="T191" s="20" t="str">
        <f t="shared" si="37"/>
        <v>Peru Chef</v>
      </c>
      <c r="U191" s="20" t="str">
        <f t="shared" si="38"/>
        <v>EL TRIUNFO Fideo Chino - Chinese Noodles 250gr x 30</v>
      </c>
      <c r="V191" s="22">
        <f t="shared" si="39"/>
        <v>36</v>
      </c>
      <c r="W191" t="str">
        <f t="shared" si="40"/>
        <v>Peru Chef 04/10/2025</v>
      </c>
      <c r="Z191">
        <f t="shared" si="41"/>
        <v>36</v>
      </c>
    </row>
    <row r="192" spans="1:26" hidden="1" x14ac:dyDescent="0.25">
      <c r="A192" s="2" t="s">
        <v>272</v>
      </c>
      <c r="B192" s="11" t="s">
        <v>408</v>
      </c>
      <c r="C192" s="11" t="s">
        <v>4</v>
      </c>
      <c r="D192" s="11" t="s">
        <v>409</v>
      </c>
      <c r="E192" s="11" t="s">
        <v>372</v>
      </c>
      <c r="F192" s="11" t="s">
        <v>423</v>
      </c>
      <c r="G192" s="12">
        <v>1</v>
      </c>
      <c r="H192" s="12">
        <v>39</v>
      </c>
      <c r="I192" s="12">
        <v>39</v>
      </c>
      <c r="J192" s="12">
        <v>4934.1000000000004</v>
      </c>
      <c r="K192" s="20">
        <f t="shared" si="28"/>
        <v>7</v>
      </c>
      <c r="L192" s="20" t="str">
        <f t="shared" si="29"/>
        <v>Se repite 7 veces</v>
      </c>
      <c r="M192" s="20" t="str">
        <f t="shared" si="30"/>
        <v>Peru Chef-EL TRIUNFO Fideo Chino - Chinese Noodles 250gr x 30</v>
      </c>
      <c r="N192" s="20">
        <f t="shared" si="31"/>
        <v>4</v>
      </c>
      <c r="O192" s="20" t="str">
        <f t="shared" si="32"/>
        <v>Se repite 4 veces en Peru Chef</v>
      </c>
      <c r="P192" s="20" t="str">
        <f t="shared" si="33"/>
        <v>Peru Chef-EL TRIUNFO Fideo Chino - Chinese Noodles 250gr x 30-39</v>
      </c>
      <c r="Q192" s="20">
        <f t="shared" si="34"/>
        <v>1</v>
      </c>
      <c r="R192" s="20" t="str">
        <f t="shared" si="35"/>
        <v>No se repite</v>
      </c>
      <c r="S192" s="20" t="str">
        <f t="shared" si="36"/>
        <v>El producto EL TRIUNFO Fideo Chino - Chinese Noodles 250gr x 30 Se repite 4 veces en Peru Chef Una vez con el precio 39</v>
      </c>
      <c r="T192" s="20" t="str">
        <f t="shared" si="37"/>
        <v>Peru Chef</v>
      </c>
      <c r="U192" s="20" t="str">
        <f t="shared" si="38"/>
        <v>EL TRIUNFO Fideo Chino - Chinese Noodles 250gr x 30</v>
      </c>
      <c r="V192" s="22">
        <f t="shared" si="39"/>
        <v>39</v>
      </c>
      <c r="W192" t="str">
        <f t="shared" si="40"/>
        <v>Peru Chef 04/13/2025</v>
      </c>
      <c r="Z192">
        <f t="shared" si="41"/>
        <v>39</v>
      </c>
    </row>
    <row r="193" spans="1:26" hidden="1" x14ac:dyDescent="0.25">
      <c r="A193" s="2" t="s">
        <v>272</v>
      </c>
      <c r="B193" s="11" t="s">
        <v>510</v>
      </c>
      <c r="C193" s="11" t="s">
        <v>214</v>
      </c>
      <c r="D193" s="11" t="s">
        <v>5</v>
      </c>
      <c r="E193" s="11" t="s">
        <v>372</v>
      </c>
      <c r="F193" s="11" t="s">
        <v>423</v>
      </c>
      <c r="G193" s="12">
        <v>1</v>
      </c>
      <c r="H193" s="12">
        <v>9</v>
      </c>
      <c r="I193" s="12">
        <v>9</v>
      </c>
      <c r="J193" s="12">
        <v>14641.5</v>
      </c>
      <c r="K193" s="20">
        <f t="shared" si="28"/>
        <v>7</v>
      </c>
      <c r="L193" s="20" t="str">
        <f t="shared" si="29"/>
        <v>Se repite 7 veces</v>
      </c>
      <c r="M193" s="20" t="str">
        <f t="shared" si="30"/>
        <v>Peru Chef-EL TRIUNFO Fideo Chino - Chinese Noodles 250gr x 30</v>
      </c>
      <c r="N193" s="20">
        <f t="shared" si="31"/>
        <v>4</v>
      </c>
      <c r="O193" s="20" t="str">
        <f t="shared" si="32"/>
        <v>Se repite 4 veces en Peru Chef</v>
      </c>
      <c r="P193" s="20" t="str">
        <f t="shared" si="33"/>
        <v>Peru Chef-EL TRIUNFO Fideo Chino - Chinese Noodles 250gr x 30-9</v>
      </c>
      <c r="Q193" s="20">
        <f t="shared" si="34"/>
        <v>1</v>
      </c>
      <c r="R193" s="20" t="str">
        <f t="shared" si="35"/>
        <v>No se repite</v>
      </c>
      <c r="S193" s="20" t="str">
        <f t="shared" si="36"/>
        <v>El producto EL TRIUNFO Fideo Chino - Chinese Noodles 250gr x 30 Se repite 4 veces en Peru Chef Una vez con el precio 9</v>
      </c>
      <c r="T193" s="20" t="str">
        <f t="shared" si="37"/>
        <v>Peru Chef</v>
      </c>
      <c r="U193" s="20" t="str">
        <f t="shared" si="38"/>
        <v>EL TRIUNFO Fideo Chino - Chinese Noodles 250gr x 30</v>
      </c>
      <c r="V193" s="22">
        <f t="shared" si="39"/>
        <v>9</v>
      </c>
      <c r="W193" t="str">
        <f t="shared" si="40"/>
        <v>Peru Chef 08/27/2025</v>
      </c>
      <c r="Z193">
        <f t="shared" si="41"/>
        <v>9</v>
      </c>
    </row>
    <row r="194" spans="1:26" hidden="1" x14ac:dyDescent="0.25">
      <c r="A194" s="2" t="s">
        <v>664</v>
      </c>
      <c r="B194" s="11" t="s">
        <v>398</v>
      </c>
      <c r="C194" s="11" t="s">
        <v>4</v>
      </c>
      <c r="D194" s="11" t="s">
        <v>5</v>
      </c>
      <c r="E194" s="11" t="s">
        <v>372</v>
      </c>
      <c r="F194" s="11" t="s">
        <v>373</v>
      </c>
      <c r="G194" s="12">
        <v>3</v>
      </c>
      <c r="H194" s="12">
        <v>30</v>
      </c>
      <c r="I194" s="12">
        <v>90</v>
      </c>
      <c r="J194" s="12">
        <v>5154.2199999999993</v>
      </c>
      <c r="K194" s="20">
        <f t="shared" si="28"/>
        <v>7</v>
      </c>
      <c r="L194" s="20" t="str">
        <f t="shared" si="29"/>
        <v>Se repite 7 veces</v>
      </c>
      <c r="M194" s="20" t="str">
        <f t="shared" si="30"/>
        <v>Tradiciones Andinas-EL TRIUNFO Fideo Chino - Chinese Noodles 250gr x 30</v>
      </c>
      <c r="N194" s="20">
        <f t="shared" si="31"/>
        <v>3</v>
      </c>
      <c r="O194" s="20" t="str">
        <f t="shared" si="32"/>
        <v>Se repite 3 veces en Tradiciones Andinas</v>
      </c>
      <c r="P194" s="20" t="str">
        <f t="shared" si="33"/>
        <v>Tradiciones Andinas-EL TRIUNFO Fideo Chino - Chinese Noodles 250gr x 30-30</v>
      </c>
      <c r="Q194" s="20">
        <f t="shared" si="34"/>
        <v>3</v>
      </c>
      <c r="R194" s="20" t="str">
        <f t="shared" si="35"/>
        <v>Se repite 3 veces el precio de 30</v>
      </c>
      <c r="S194" s="20" t="str">
        <f t="shared" si="36"/>
        <v>El producto EL TRIUNFO Fideo Chino - Chinese Noodles 250gr x 30 Se repite 3 veces en Tradiciones Andinas, Se repite 3 veces el precio de 30</v>
      </c>
      <c r="T194" s="20" t="str">
        <f t="shared" si="37"/>
        <v>Tradiciones Andinas</v>
      </c>
      <c r="U194" s="20" t="str">
        <f t="shared" si="38"/>
        <v>EL TRIUNFO Fideo Chino - Chinese Noodles 250gr x 30</v>
      </c>
      <c r="V194" s="22">
        <f t="shared" si="39"/>
        <v>30</v>
      </c>
      <c r="W194" t="str">
        <f t="shared" si="40"/>
        <v>Tradiciones Andinas 04/10/2025</v>
      </c>
      <c r="Z194">
        <f t="shared" si="41"/>
        <v>90</v>
      </c>
    </row>
    <row r="195" spans="1:26" hidden="1" x14ac:dyDescent="0.25">
      <c r="A195" s="2" t="s">
        <v>664</v>
      </c>
      <c r="B195" s="11" t="s">
        <v>821</v>
      </c>
      <c r="C195" s="11" t="s">
        <v>4</v>
      </c>
      <c r="D195" s="11" t="s">
        <v>822</v>
      </c>
      <c r="E195" s="11" t="s">
        <v>372</v>
      </c>
      <c r="F195" s="11" t="s">
        <v>373</v>
      </c>
      <c r="G195" s="12">
        <v>20</v>
      </c>
      <c r="H195" s="12">
        <v>30</v>
      </c>
      <c r="I195" s="12">
        <v>600</v>
      </c>
      <c r="J195" s="12">
        <v>13805.24</v>
      </c>
      <c r="K195" s="20">
        <f t="shared" ref="K195:K258" si="42">COUNTIF($E$2:$E$1438,E195)</f>
        <v>7</v>
      </c>
      <c r="L195" s="20" t="str">
        <f t="shared" ref="L195:L258" si="43">IF(K195&gt;1,_xlfn.CONCAT("Se repite ",K195," veces"),"No se repite")</f>
        <v>Se repite 7 veces</v>
      </c>
      <c r="M195" s="20" t="str">
        <f t="shared" ref="M195:M258" si="44">_xlfn.CONCAT(A195,"-",E195)</f>
        <v>Tradiciones Andinas-EL TRIUNFO Fideo Chino - Chinese Noodles 250gr x 30</v>
      </c>
      <c r="N195" s="20">
        <f t="shared" ref="N195:N258" si="45">COUNTIF($M$2:$M$1438,M195)</f>
        <v>3</v>
      </c>
      <c r="O195" s="20" t="str">
        <f t="shared" ref="O195:O258" si="46">IF(N195&gt;1,_xlfn.CONCAT("Se repite ",N195," veces en ",A195),"No se repite en proveedor")</f>
        <v>Se repite 3 veces en Tradiciones Andinas</v>
      </c>
      <c r="P195" s="20" t="str">
        <f t="shared" ref="P195:P258" si="47">_xlfn.CONCAT(A195,"-",E195,"-",H195)</f>
        <v>Tradiciones Andinas-EL TRIUNFO Fideo Chino - Chinese Noodles 250gr x 30-30</v>
      </c>
      <c r="Q195" s="20">
        <f t="shared" ref="Q195:Q258" si="48">COUNTIF($P$2:$P$1438,P195)</f>
        <v>3</v>
      </c>
      <c r="R195" s="20" t="str">
        <f t="shared" ref="R195:R258" si="49">IF(Q195&gt;1,_xlfn.CONCAT("Se repite ",Q195," veces el precio de ",H195),"No se repite")</f>
        <v>Se repite 3 veces el precio de 30</v>
      </c>
      <c r="S195" s="20" t="str">
        <f t="shared" ref="S195:S258" si="50">_xlfn.CONCAT("El producto ",E195," ",O195,IF(R195="No se repite",_xlfn.CONCAT(" Una vez con el precio ",H195),_xlfn.CONCAT(", ",R195)))</f>
        <v>El producto EL TRIUNFO Fideo Chino - Chinese Noodles 250gr x 30 Se repite 3 veces en Tradiciones Andinas, Se repite 3 veces el precio de 30</v>
      </c>
      <c r="T195" s="20" t="str">
        <f t="shared" ref="T195:T258" si="51">+A195</f>
        <v>Tradiciones Andinas</v>
      </c>
      <c r="U195" s="20" t="str">
        <f t="shared" ref="U195:U258" si="52">+E195</f>
        <v>EL TRIUNFO Fideo Chino - Chinese Noodles 250gr x 30</v>
      </c>
      <c r="V195" s="22">
        <f t="shared" ref="V195:V258" si="53">+H195</f>
        <v>30</v>
      </c>
      <c r="W195" t="str">
        <f t="shared" ref="W195:W258" si="54">_xlfn.CONCAT(A195," ",B195)</f>
        <v>Tradiciones Andinas 04/25/2025</v>
      </c>
      <c r="Z195">
        <f t="shared" ref="Z195:Z258" si="55">G195*H195</f>
        <v>600</v>
      </c>
    </row>
    <row r="196" spans="1:26" hidden="1" x14ac:dyDescent="0.25">
      <c r="A196" s="2" t="s">
        <v>664</v>
      </c>
      <c r="B196" s="11" t="s">
        <v>932</v>
      </c>
      <c r="C196" s="11" t="s">
        <v>4</v>
      </c>
      <c r="D196" s="11" t="s">
        <v>933</v>
      </c>
      <c r="E196" s="11" t="s">
        <v>372</v>
      </c>
      <c r="F196" s="11" t="s">
        <v>423</v>
      </c>
      <c r="G196" s="12">
        <v>10</v>
      </c>
      <c r="H196" s="12">
        <v>30</v>
      </c>
      <c r="I196" s="12">
        <v>300</v>
      </c>
      <c r="J196" s="12">
        <v>24411.42</v>
      </c>
      <c r="K196" s="20">
        <f t="shared" si="42"/>
        <v>7</v>
      </c>
      <c r="L196" s="20" t="str">
        <f t="shared" si="43"/>
        <v>Se repite 7 veces</v>
      </c>
      <c r="M196" s="20" t="str">
        <f t="shared" si="44"/>
        <v>Tradiciones Andinas-EL TRIUNFO Fideo Chino - Chinese Noodles 250gr x 30</v>
      </c>
      <c r="N196" s="20">
        <f t="shared" si="45"/>
        <v>3</v>
      </c>
      <c r="O196" s="20" t="str">
        <f t="shared" si="46"/>
        <v>Se repite 3 veces en Tradiciones Andinas</v>
      </c>
      <c r="P196" s="20" t="str">
        <f t="shared" si="47"/>
        <v>Tradiciones Andinas-EL TRIUNFO Fideo Chino - Chinese Noodles 250gr x 30-30</v>
      </c>
      <c r="Q196" s="20">
        <f t="shared" si="48"/>
        <v>3</v>
      </c>
      <c r="R196" s="20" t="str">
        <f t="shared" si="49"/>
        <v>Se repite 3 veces el precio de 30</v>
      </c>
      <c r="S196" s="20" t="str">
        <f t="shared" si="50"/>
        <v>El producto EL TRIUNFO Fideo Chino - Chinese Noodles 250gr x 30 Se repite 3 veces en Tradiciones Andinas, Se repite 3 veces el precio de 30</v>
      </c>
      <c r="T196" s="20" t="str">
        <f t="shared" si="51"/>
        <v>Tradiciones Andinas</v>
      </c>
      <c r="U196" s="20" t="str">
        <f t="shared" si="52"/>
        <v>EL TRIUNFO Fideo Chino - Chinese Noodles 250gr x 30</v>
      </c>
      <c r="V196" s="22">
        <f t="shared" si="53"/>
        <v>30</v>
      </c>
      <c r="W196" t="str">
        <f t="shared" si="54"/>
        <v>Tradiciones Andinas 04/29/2025</v>
      </c>
      <c r="Z196">
        <f t="shared" si="55"/>
        <v>300</v>
      </c>
    </row>
    <row r="197" spans="1:26" hidden="1" x14ac:dyDescent="0.25">
      <c r="A197" s="2" t="s">
        <v>272</v>
      </c>
      <c r="B197" s="11" t="s">
        <v>471</v>
      </c>
      <c r="C197" s="11" t="s">
        <v>4</v>
      </c>
      <c r="D197" s="11" t="s">
        <v>472</v>
      </c>
      <c r="E197" s="11" t="s">
        <v>506</v>
      </c>
      <c r="F197" s="11" t="s">
        <v>507</v>
      </c>
      <c r="G197" s="12">
        <v>2</v>
      </c>
      <c r="H197" s="12">
        <v>22</v>
      </c>
      <c r="I197" s="12">
        <v>44</v>
      </c>
      <c r="J197" s="12">
        <v>13632.5</v>
      </c>
      <c r="K197" s="20">
        <f t="shared" si="42"/>
        <v>2</v>
      </c>
      <c r="L197" s="20" t="str">
        <f t="shared" si="43"/>
        <v>Se repite 2 veces</v>
      </c>
      <c r="M197" s="20" t="str">
        <f t="shared" si="44"/>
        <v>Peru Chef-Fideos San Jorge Cabello De Angel 250gr x 40</v>
      </c>
      <c r="N197" s="20">
        <f t="shared" si="45"/>
        <v>2</v>
      </c>
      <c r="O197" s="20" t="str">
        <f t="shared" si="46"/>
        <v>Se repite 2 veces en Peru Chef</v>
      </c>
      <c r="P197" s="20" t="str">
        <f t="shared" si="47"/>
        <v>Peru Chef-Fideos San Jorge Cabello De Angel 250gr x 40-22</v>
      </c>
      <c r="Q197" s="20">
        <f t="shared" si="48"/>
        <v>2</v>
      </c>
      <c r="R197" s="20" t="str">
        <f t="shared" si="49"/>
        <v>Se repite 2 veces el precio de 22</v>
      </c>
      <c r="S197" s="20" t="str">
        <f t="shared" si="50"/>
        <v>El producto Fideos San Jorge Cabello De Angel 250gr x 40 Se repite 2 veces en Peru Chef, Se repite 2 veces el precio de 22</v>
      </c>
      <c r="T197" s="20" t="str">
        <f t="shared" si="51"/>
        <v>Peru Chef</v>
      </c>
      <c r="U197" s="20" t="str">
        <f t="shared" si="52"/>
        <v>Fideos San Jorge Cabello De Angel 250gr x 40</v>
      </c>
      <c r="V197" s="22">
        <f t="shared" si="53"/>
        <v>22</v>
      </c>
      <c r="W197" t="str">
        <f t="shared" si="54"/>
        <v>Peru Chef 08/11/2025</v>
      </c>
      <c r="Z197">
        <f t="shared" si="55"/>
        <v>44</v>
      </c>
    </row>
    <row r="198" spans="1:26" hidden="1" x14ac:dyDescent="0.25">
      <c r="A198" s="2" t="s">
        <v>272</v>
      </c>
      <c r="B198" s="11" t="s">
        <v>512</v>
      </c>
      <c r="C198" s="11" t="s">
        <v>4</v>
      </c>
      <c r="D198" s="11" t="s">
        <v>513</v>
      </c>
      <c r="E198" s="11" t="s">
        <v>506</v>
      </c>
      <c r="F198" s="11" t="s">
        <v>550</v>
      </c>
      <c r="G198" s="12">
        <v>3</v>
      </c>
      <c r="H198" s="12">
        <v>22</v>
      </c>
      <c r="I198" s="12">
        <v>66</v>
      </c>
      <c r="J198" s="12">
        <v>19013.5</v>
      </c>
      <c r="K198" s="20">
        <f t="shared" si="42"/>
        <v>2</v>
      </c>
      <c r="L198" s="20" t="str">
        <f t="shared" si="43"/>
        <v>Se repite 2 veces</v>
      </c>
      <c r="M198" s="20" t="str">
        <f t="shared" si="44"/>
        <v>Peru Chef-Fideos San Jorge Cabello De Angel 250gr x 40</v>
      </c>
      <c r="N198" s="20">
        <f t="shared" si="45"/>
        <v>2</v>
      </c>
      <c r="O198" s="20" t="str">
        <f t="shared" si="46"/>
        <v>Se repite 2 veces en Peru Chef</v>
      </c>
      <c r="P198" s="20" t="str">
        <f t="shared" si="47"/>
        <v>Peru Chef-Fideos San Jorge Cabello De Angel 250gr x 40-22</v>
      </c>
      <c r="Q198" s="20">
        <f t="shared" si="48"/>
        <v>2</v>
      </c>
      <c r="R198" s="20" t="str">
        <f t="shared" si="49"/>
        <v>Se repite 2 veces el precio de 22</v>
      </c>
      <c r="S198" s="20" t="str">
        <f t="shared" si="50"/>
        <v>El producto Fideos San Jorge Cabello De Angel 250gr x 40 Se repite 2 veces en Peru Chef, Se repite 2 veces el precio de 22</v>
      </c>
      <c r="T198" s="20" t="str">
        <f t="shared" si="51"/>
        <v>Peru Chef</v>
      </c>
      <c r="U198" s="20" t="str">
        <f t="shared" si="52"/>
        <v>Fideos San Jorge Cabello De Angel 250gr x 40</v>
      </c>
      <c r="V198" s="22">
        <f t="shared" si="53"/>
        <v>22</v>
      </c>
      <c r="W198" t="str">
        <f t="shared" si="54"/>
        <v>Peru Chef 08/28/2025</v>
      </c>
      <c r="Z198">
        <f t="shared" si="55"/>
        <v>66</v>
      </c>
    </row>
    <row r="199" spans="1:26" hidden="1" x14ac:dyDescent="0.25">
      <c r="A199" s="2" t="s">
        <v>272</v>
      </c>
      <c r="B199" s="11" t="s">
        <v>471</v>
      </c>
      <c r="C199" s="11" t="s">
        <v>4</v>
      </c>
      <c r="D199" s="11" t="s">
        <v>472</v>
      </c>
      <c r="E199" s="11" t="s">
        <v>498</v>
      </c>
      <c r="F199" s="11" t="s">
        <v>499</v>
      </c>
      <c r="G199" s="12">
        <v>2</v>
      </c>
      <c r="H199" s="12">
        <v>13</v>
      </c>
      <c r="I199" s="12">
        <v>26</v>
      </c>
      <c r="J199" s="12">
        <v>13474.5</v>
      </c>
      <c r="K199" s="20">
        <f t="shared" si="42"/>
        <v>2</v>
      </c>
      <c r="L199" s="20" t="str">
        <f t="shared" si="43"/>
        <v>Se repite 2 veces</v>
      </c>
      <c r="M199" s="20" t="str">
        <f t="shared" si="44"/>
        <v>Peru Chef-Fideos San Jorge Caracol 250gr x 20</v>
      </c>
      <c r="N199" s="20">
        <f t="shared" si="45"/>
        <v>2</v>
      </c>
      <c r="O199" s="20" t="str">
        <f t="shared" si="46"/>
        <v>Se repite 2 veces en Peru Chef</v>
      </c>
      <c r="P199" s="20" t="str">
        <f t="shared" si="47"/>
        <v>Peru Chef-Fideos San Jorge Caracol 250gr x 20-13</v>
      </c>
      <c r="Q199" s="20">
        <f t="shared" si="48"/>
        <v>2</v>
      </c>
      <c r="R199" s="20" t="str">
        <f t="shared" si="49"/>
        <v>Se repite 2 veces el precio de 13</v>
      </c>
      <c r="S199" s="20" t="str">
        <f t="shared" si="50"/>
        <v>El producto Fideos San Jorge Caracol 250gr x 20 Se repite 2 veces en Peru Chef, Se repite 2 veces el precio de 13</v>
      </c>
      <c r="T199" s="20" t="str">
        <f t="shared" si="51"/>
        <v>Peru Chef</v>
      </c>
      <c r="U199" s="20" t="str">
        <f t="shared" si="52"/>
        <v>Fideos San Jorge Caracol 250gr x 20</v>
      </c>
      <c r="V199" s="22">
        <f t="shared" si="53"/>
        <v>13</v>
      </c>
      <c r="W199" t="str">
        <f t="shared" si="54"/>
        <v>Peru Chef 08/11/2025</v>
      </c>
      <c r="Z199">
        <f t="shared" si="55"/>
        <v>26</v>
      </c>
    </row>
    <row r="200" spans="1:26" hidden="1" x14ac:dyDescent="0.25">
      <c r="A200" s="2" t="s">
        <v>272</v>
      </c>
      <c r="B200" s="11" t="s">
        <v>512</v>
      </c>
      <c r="C200" s="11" t="s">
        <v>4</v>
      </c>
      <c r="D200" s="11" t="s">
        <v>513</v>
      </c>
      <c r="E200" s="11" t="s">
        <v>498</v>
      </c>
      <c r="F200" s="11" t="s">
        <v>546</v>
      </c>
      <c r="G200" s="12">
        <v>3</v>
      </c>
      <c r="H200" s="12">
        <v>13</v>
      </c>
      <c r="I200" s="12">
        <v>39</v>
      </c>
      <c r="J200" s="12">
        <v>18776.5</v>
      </c>
      <c r="K200" s="20">
        <f t="shared" si="42"/>
        <v>2</v>
      </c>
      <c r="L200" s="20" t="str">
        <f t="shared" si="43"/>
        <v>Se repite 2 veces</v>
      </c>
      <c r="M200" s="20" t="str">
        <f t="shared" si="44"/>
        <v>Peru Chef-Fideos San Jorge Caracol 250gr x 20</v>
      </c>
      <c r="N200" s="20">
        <f t="shared" si="45"/>
        <v>2</v>
      </c>
      <c r="O200" s="20" t="str">
        <f t="shared" si="46"/>
        <v>Se repite 2 veces en Peru Chef</v>
      </c>
      <c r="P200" s="20" t="str">
        <f t="shared" si="47"/>
        <v>Peru Chef-Fideos San Jorge Caracol 250gr x 20-13</v>
      </c>
      <c r="Q200" s="20">
        <f t="shared" si="48"/>
        <v>2</v>
      </c>
      <c r="R200" s="20" t="str">
        <f t="shared" si="49"/>
        <v>Se repite 2 veces el precio de 13</v>
      </c>
      <c r="S200" s="20" t="str">
        <f t="shared" si="50"/>
        <v>El producto Fideos San Jorge Caracol 250gr x 20 Se repite 2 veces en Peru Chef, Se repite 2 veces el precio de 13</v>
      </c>
      <c r="T200" s="20" t="str">
        <f t="shared" si="51"/>
        <v>Peru Chef</v>
      </c>
      <c r="U200" s="20" t="str">
        <f t="shared" si="52"/>
        <v>Fideos San Jorge Caracol 250gr x 20</v>
      </c>
      <c r="V200" s="22">
        <f t="shared" si="53"/>
        <v>13</v>
      </c>
      <c r="W200" t="str">
        <f t="shared" si="54"/>
        <v>Peru Chef 08/28/2025</v>
      </c>
      <c r="Z200">
        <f t="shared" si="55"/>
        <v>39</v>
      </c>
    </row>
    <row r="201" spans="1:26" hidden="1" x14ac:dyDescent="0.25">
      <c r="A201" s="2" t="s">
        <v>272</v>
      </c>
      <c r="B201" s="11" t="s">
        <v>471</v>
      </c>
      <c r="C201" s="11" t="s">
        <v>4</v>
      </c>
      <c r="D201" s="11" t="s">
        <v>472</v>
      </c>
      <c r="E201" s="11" t="s">
        <v>500</v>
      </c>
      <c r="F201" s="11" t="s">
        <v>501</v>
      </c>
      <c r="G201" s="12">
        <v>2</v>
      </c>
      <c r="H201" s="12">
        <v>13</v>
      </c>
      <c r="I201" s="12">
        <v>26</v>
      </c>
      <c r="J201" s="12">
        <v>13500.5</v>
      </c>
      <c r="K201" s="20">
        <f t="shared" si="42"/>
        <v>2</v>
      </c>
      <c r="L201" s="20" t="str">
        <f t="shared" si="43"/>
        <v>Se repite 2 veces</v>
      </c>
      <c r="M201" s="20" t="str">
        <f t="shared" si="44"/>
        <v>Peru Chef-Fideos San Jorge Letras y Numeros 250gr x 20</v>
      </c>
      <c r="N201" s="20">
        <f t="shared" si="45"/>
        <v>2</v>
      </c>
      <c r="O201" s="20" t="str">
        <f t="shared" si="46"/>
        <v>Se repite 2 veces en Peru Chef</v>
      </c>
      <c r="P201" s="20" t="str">
        <f t="shared" si="47"/>
        <v>Peru Chef-Fideos San Jorge Letras y Numeros 250gr x 20-13</v>
      </c>
      <c r="Q201" s="20">
        <f t="shared" si="48"/>
        <v>2</v>
      </c>
      <c r="R201" s="20" t="str">
        <f t="shared" si="49"/>
        <v>Se repite 2 veces el precio de 13</v>
      </c>
      <c r="S201" s="20" t="str">
        <f t="shared" si="50"/>
        <v>El producto Fideos San Jorge Letras y Numeros 250gr x 20 Se repite 2 veces en Peru Chef, Se repite 2 veces el precio de 13</v>
      </c>
      <c r="T201" s="20" t="str">
        <f t="shared" si="51"/>
        <v>Peru Chef</v>
      </c>
      <c r="U201" s="20" t="str">
        <f t="shared" si="52"/>
        <v>Fideos San Jorge Letras y Numeros 250gr x 20</v>
      </c>
      <c r="V201" s="22">
        <f t="shared" si="53"/>
        <v>13</v>
      </c>
      <c r="W201" t="str">
        <f t="shared" si="54"/>
        <v>Peru Chef 08/11/2025</v>
      </c>
      <c r="Z201">
        <f t="shared" si="55"/>
        <v>26</v>
      </c>
    </row>
    <row r="202" spans="1:26" hidden="1" x14ac:dyDescent="0.25">
      <c r="A202" s="2" t="s">
        <v>272</v>
      </c>
      <c r="B202" s="11" t="s">
        <v>512</v>
      </c>
      <c r="C202" s="11" t="s">
        <v>4</v>
      </c>
      <c r="D202" s="11" t="s">
        <v>513</v>
      </c>
      <c r="E202" s="11" t="s">
        <v>500</v>
      </c>
      <c r="F202" s="11" t="s">
        <v>547</v>
      </c>
      <c r="G202" s="12">
        <v>3</v>
      </c>
      <c r="H202" s="12">
        <v>13</v>
      </c>
      <c r="I202" s="12">
        <v>39</v>
      </c>
      <c r="J202" s="12">
        <v>18815.5</v>
      </c>
      <c r="K202" s="20">
        <f t="shared" si="42"/>
        <v>2</v>
      </c>
      <c r="L202" s="20" t="str">
        <f t="shared" si="43"/>
        <v>Se repite 2 veces</v>
      </c>
      <c r="M202" s="20" t="str">
        <f t="shared" si="44"/>
        <v>Peru Chef-Fideos San Jorge Letras y Numeros 250gr x 20</v>
      </c>
      <c r="N202" s="20">
        <f t="shared" si="45"/>
        <v>2</v>
      </c>
      <c r="O202" s="20" t="str">
        <f t="shared" si="46"/>
        <v>Se repite 2 veces en Peru Chef</v>
      </c>
      <c r="P202" s="20" t="str">
        <f t="shared" si="47"/>
        <v>Peru Chef-Fideos San Jorge Letras y Numeros 250gr x 20-13</v>
      </c>
      <c r="Q202" s="20">
        <f t="shared" si="48"/>
        <v>2</v>
      </c>
      <c r="R202" s="20" t="str">
        <f t="shared" si="49"/>
        <v>Se repite 2 veces el precio de 13</v>
      </c>
      <c r="S202" s="20" t="str">
        <f t="shared" si="50"/>
        <v>El producto Fideos San Jorge Letras y Numeros 250gr x 20 Se repite 2 veces en Peru Chef, Se repite 2 veces el precio de 13</v>
      </c>
      <c r="T202" s="20" t="str">
        <f t="shared" si="51"/>
        <v>Peru Chef</v>
      </c>
      <c r="U202" s="20" t="str">
        <f t="shared" si="52"/>
        <v>Fideos San Jorge Letras y Numeros 250gr x 20</v>
      </c>
      <c r="V202" s="22">
        <f t="shared" si="53"/>
        <v>13</v>
      </c>
      <c r="W202" t="str">
        <f t="shared" si="54"/>
        <v>Peru Chef 08/28/2025</v>
      </c>
      <c r="Z202">
        <f t="shared" si="55"/>
        <v>39</v>
      </c>
    </row>
    <row r="203" spans="1:26" hidden="1" x14ac:dyDescent="0.25">
      <c r="A203" s="2" t="s">
        <v>272</v>
      </c>
      <c r="B203" s="11" t="s">
        <v>471</v>
      </c>
      <c r="C203" s="11" t="s">
        <v>4</v>
      </c>
      <c r="D203" s="11" t="s">
        <v>472</v>
      </c>
      <c r="E203" s="11" t="s">
        <v>502</v>
      </c>
      <c r="F203" s="11" t="s">
        <v>503</v>
      </c>
      <c r="G203" s="12">
        <v>2</v>
      </c>
      <c r="H203" s="12">
        <v>22</v>
      </c>
      <c r="I203" s="12">
        <v>44</v>
      </c>
      <c r="J203" s="12">
        <v>13544.5</v>
      </c>
      <c r="K203" s="20">
        <f t="shared" si="42"/>
        <v>5</v>
      </c>
      <c r="L203" s="20" t="str">
        <f t="shared" si="43"/>
        <v>Se repite 5 veces</v>
      </c>
      <c r="M203" s="20" t="str">
        <f t="shared" si="44"/>
        <v>Peru Chef-Fideos San Jorge Spaguetti 500 G X 20</v>
      </c>
      <c r="N203" s="20">
        <f t="shared" si="45"/>
        <v>5</v>
      </c>
      <c r="O203" s="20" t="str">
        <f t="shared" si="46"/>
        <v>Se repite 5 veces en Peru Chef</v>
      </c>
      <c r="P203" s="20" t="str">
        <f t="shared" si="47"/>
        <v>Peru Chef-Fideos San Jorge Spaguetti 500 G X 20-22</v>
      </c>
      <c r="Q203" s="20">
        <f t="shared" si="48"/>
        <v>2</v>
      </c>
      <c r="R203" s="20" t="str">
        <f t="shared" si="49"/>
        <v>Se repite 2 veces el precio de 22</v>
      </c>
      <c r="S203" s="20" t="str">
        <f t="shared" si="50"/>
        <v>El producto Fideos San Jorge Spaguetti 500 G X 20 Se repite 5 veces en Peru Chef, Se repite 2 veces el precio de 22</v>
      </c>
      <c r="T203" s="20" t="str">
        <f t="shared" si="51"/>
        <v>Peru Chef</v>
      </c>
      <c r="U203" s="20" t="str">
        <f t="shared" si="52"/>
        <v>Fideos San Jorge Spaguetti 500 G X 20</v>
      </c>
      <c r="V203" s="22">
        <f t="shared" si="53"/>
        <v>22</v>
      </c>
      <c r="W203" t="str">
        <f t="shared" si="54"/>
        <v>Peru Chef 08/11/2025</v>
      </c>
      <c r="Z203">
        <f t="shared" si="55"/>
        <v>44</v>
      </c>
    </row>
    <row r="204" spans="1:26" hidden="1" x14ac:dyDescent="0.25">
      <c r="A204" s="2" t="s">
        <v>272</v>
      </c>
      <c r="B204" s="11" t="s">
        <v>512</v>
      </c>
      <c r="C204" s="11" t="s">
        <v>4</v>
      </c>
      <c r="D204" s="11" t="s">
        <v>513</v>
      </c>
      <c r="E204" s="11" t="s">
        <v>502</v>
      </c>
      <c r="F204" s="11" t="s">
        <v>548</v>
      </c>
      <c r="G204" s="12">
        <v>3</v>
      </c>
      <c r="H204" s="12">
        <v>22</v>
      </c>
      <c r="I204" s="12">
        <v>66</v>
      </c>
      <c r="J204" s="12">
        <v>18881.5</v>
      </c>
      <c r="K204" s="20">
        <f t="shared" si="42"/>
        <v>5</v>
      </c>
      <c r="L204" s="20" t="str">
        <f t="shared" si="43"/>
        <v>Se repite 5 veces</v>
      </c>
      <c r="M204" s="20" t="str">
        <f t="shared" si="44"/>
        <v>Peru Chef-Fideos San Jorge Spaguetti 500 G X 20</v>
      </c>
      <c r="N204" s="20">
        <f t="shared" si="45"/>
        <v>5</v>
      </c>
      <c r="O204" s="20" t="str">
        <f t="shared" si="46"/>
        <v>Se repite 5 veces en Peru Chef</v>
      </c>
      <c r="P204" s="20" t="str">
        <f t="shared" si="47"/>
        <v>Peru Chef-Fideos San Jorge Spaguetti 500 G X 20-22</v>
      </c>
      <c r="Q204" s="20">
        <f t="shared" si="48"/>
        <v>2</v>
      </c>
      <c r="R204" s="20" t="str">
        <f t="shared" si="49"/>
        <v>Se repite 2 veces el precio de 22</v>
      </c>
      <c r="S204" s="20" t="str">
        <f t="shared" si="50"/>
        <v>El producto Fideos San Jorge Spaguetti 500 G X 20 Se repite 5 veces en Peru Chef, Se repite 2 veces el precio de 22</v>
      </c>
      <c r="T204" s="20" t="str">
        <f t="shared" si="51"/>
        <v>Peru Chef</v>
      </c>
      <c r="U204" s="20" t="str">
        <f t="shared" si="52"/>
        <v>Fideos San Jorge Spaguetti 500 G X 20</v>
      </c>
      <c r="V204" s="22">
        <f t="shared" si="53"/>
        <v>22</v>
      </c>
      <c r="W204" t="str">
        <f t="shared" si="54"/>
        <v>Peru Chef 08/28/2025</v>
      </c>
      <c r="Z204">
        <f t="shared" si="55"/>
        <v>66</v>
      </c>
    </row>
    <row r="205" spans="1:26" hidden="1" x14ac:dyDescent="0.25">
      <c r="A205" s="2" t="s">
        <v>272</v>
      </c>
      <c r="B205" s="11" t="s">
        <v>590</v>
      </c>
      <c r="C205" s="11" t="s">
        <v>4</v>
      </c>
      <c r="D205" s="11" t="s">
        <v>591</v>
      </c>
      <c r="E205" s="11" t="s">
        <v>502</v>
      </c>
      <c r="F205" s="11" t="s">
        <v>548</v>
      </c>
      <c r="G205" s="12">
        <v>2</v>
      </c>
      <c r="H205" s="12">
        <v>19.8</v>
      </c>
      <c r="I205" s="12">
        <v>39.6</v>
      </c>
      <c r="J205" s="12">
        <v>31966.6</v>
      </c>
      <c r="K205" s="20">
        <f t="shared" si="42"/>
        <v>5</v>
      </c>
      <c r="L205" s="20" t="str">
        <f t="shared" si="43"/>
        <v>Se repite 5 veces</v>
      </c>
      <c r="M205" s="20" t="str">
        <f t="shared" si="44"/>
        <v>Peru Chef-Fideos San Jorge Spaguetti 500 G X 20</v>
      </c>
      <c r="N205" s="20">
        <f t="shared" si="45"/>
        <v>5</v>
      </c>
      <c r="O205" s="20" t="str">
        <f t="shared" si="46"/>
        <v>Se repite 5 veces en Peru Chef</v>
      </c>
      <c r="P205" s="20" t="str">
        <f t="shared" si="47"/>
        <v>Peru Chef-Fideos San Jorge Spaguetti 500 G X 20-19.8</v>
      </c>
      <c r="Q205" s="20">
        <f t="shared" si="48"/>
        <v>3</v>
      </c>
      <c r="R205" s="20" t="str">
        <f t="shared" si="49"/>
        <v>Se repite 3 veces el precio de 19.8</v>
      </c>
      <c r="S205" s="20" t="str">
        <f t="shared" si="50"/>
        <v>El producto Fideos San Jorge Spaguetti 500 G X 20 Se repite 5 veces en Peru Chef, Se repite 3 veces el precio de 19.8</v>
      </c>
      <c r="T205" s="20" t="str">
        <f t="shared" si="51"/>
        <v>Peru Chef</v>
      </c>
      <c r="U205" s="20" t="str">
        <f t="shared" si="52"/>
        <v>Fideos San Jorge Spaguetti 500 G X 20</v>
      </c>
      <c r="V205" s="22">
        <f t="shared" si="53"/>
        <v>19.8</v>
      </c>
      <c r="W205" t="str">
        <f t="shared" si="54"/>
        <v>Peru Chef 10/28/2025</v>
      </c>
      <c r="Z205">
        <f t="shared" si="55"/>
        <v>39.6</v>
      </c>
    </row>
    <row r="206" spans="1:26" hidden="1" x14ac:dyDescent="0.25">
      <c r="A206" s="2" t="s">
        <v>272</v>
      </c>
      <c r="B206" s="11" t="s">
        <v>600</v>
      </c>
      <c r="C206" s="11" t="s">
        <v>4</v>
      </c>
      <c r="D206" s="11" t="s">
        <v>601</v>
      </c>
      <c r="E206" s="11" t="s">
        <v>502</v>
      </c>
      <c r="F206" s="11" t="s">
        <v>548</v>
      </c>
      <c r="G206" s="12">
        <v>1</v>
      </c>
      <c r="H206" s="12">
        <v>19.8</v>
      </c>
      <c r="I206" s="12">
        <v>19.8</v>
      </c>
      <c r="J206" s="12">
        <v>35825.350000000013</v>
      </c>
      <c r="K206" s="20">
        <f t="shared" si="42"/>
        <v>5</v>
      </c>
      <c r="L206" s="20" t="str">
        <f t="shared" si="43"/>
        <v>Se repite 5 veces</v>
      </c>
      <c r="M206" s="20" t="str">
        <f t="shared" si="44"/>
        <v>Peru Chef-Fideos San Jorge Spaguetti 500 G X 20</v>
      </c>
      <c r="N206" s="20">
        <f t="shared" si="45"/>
        <v>5</v>
      </c>
      <c r="O206" s="20" t="str">
        <f t="shared" si="46"/>
        <v>Se repite 5 veces en Peru Chef</v>
      </c>
      <c r="P206" s="20" t="str">
        <f t="shared" si="47"/>
        <v>Peru Chef-Fideos San Jorge Spaguetti 500 G X 20-19.8</v>
      </c>
      <c r="Q206" s="20">
        <f t="shared" si="48"/>
        <v>3</v>
      </c>
      <c r="R206" s="20" t="str">
        <f t="shared" si="49"/>
        <v>Se repite 3 veces el precio de 19.8</v>
      </c>
      <c r="S206" s="20" t="str">
        <f t="shared" si="50"/>
        <v>El producto Fideos San Jorge Spaguetti 500 G X 20 Se repite 5 veces en Peru Chef, Se repite 3 veces el precio de 19.8</v>
      </c>
      <c r="T206" s="20" t="str">
        <f t="shared" si="51"/>
        <v>Peru Chef</v>
      </c>
      <c r="U206" s="20" t="str">
        <f t="shared" si="52"/>
        <v>Fideos San Jorge Spaguetti 500 G X 20</v>
      </c>
      <c r="V206" s="22">
        <f t="shared" si="53"/>
        <v>19.8</v>
      </c>
      <c r="W206" t="str">
        <f t="shared" si="54"/>
        <v>Peru Chef 11/14/2025</v>
      </c>
      <c r="Z206">
        <f t="shared" si="55"/>
        <v>19.8</v>
      </c>
    </row>
    <row r="207" spans="1:26" hidden="1" x14ac:dyDescent="0.25">
      <c r="A207" s="2" t="s">
        <v>272</v>
      </c>
      <c r="B207" s="11" t="s">
        <v>619</v>
      </c>
      <c r="C207" s="11" t="s">
        <v>4</v>
      </c>
      <c r="D207" s="11" t="s">
        <v>621</v>
      </c>
      <c r="E207" s="11" t="s">
        <v>502</v>
      </c>
      <c r="F207" s="11" t="s">
        <v>548</v>
      </c>
      <c r="G207" s="12">
        <v>1</v>
      </c>
      <c r="H207" s="12">
        <v>19.8</v>
      </c>
      <c r="I207" s="12">
        <v>19.8</v>
      </c>
      <c r="J207" s="12">
        <v>42276.549999999988</v>
      </c>
      <c r="K207" s="20">
        <f t="shared" si="42"/>
        <v>5</v>
      </c>
      <c r="L207" s="20" t="str">
        <f t="shared" si="43"/>
        <v>Se repite 5 veces</v>
      </c>
      <c r="M207" s="20" t="str">
        <f t="shared" si="44"/>
        <v>Peru Chef-Fideos San Jorge Spaguetti 500 G X 20</v>
      </c>
      <c r="N207" s="20">
        <f t="shared" si="45"/>
        <v>5</v>
      </c>
      <c r="O207" s="20" t="str">
        <f t="shared" si="46"/>
        <v>Se repite 5 veces en Peru Chef</v>
      </c>
      <c r="P207" s="20" t="str">
        <f t="shared" si="47"/>
        <v>Peru Chef-Fideos San Jorge Spaguetti 500 G X 20-19.8</v>
      </c>
      <c r="Q207" s="20">
        <f t="shared" si="48"/>
        <v>3</v>
      </c>
      <c r="R207" s="20" t="str">
        <f t="shared" si="49"/>
        <v>Se repite 3 veces el precio de 19.8</v>
      </c>
      <c r="S207" s="20" t="str">
        <f t="shared" si="50"/>
        <v>El producto Fideos San Jorge Spaguetti 500 G X 20 Se repite 5 veces en Peru Chef, Se repite 3 veces el precio de 19.8</v>
      </c>
      <c r="T207" s="20" t="str">
        <f t="shared" si="51"/>
        <v>Peru Chef</v>
      </c>
      <c r="U207" s="20" t="str">
        <f t="shared" si="52"/>
        <v>Fideos San Jorge Spaguetti 500 G X 20</v>
      </c>
      <c r="V207" s="22">
        <f t="shared" si="53"/>
        <v>19.8</v>
      </c>
      <c r="W207" t="str">
        <f t="shared" si="54"/>
        <v>Peru Chef 12/09/2025</v>
      </c>
      <c r="Z207">
        <f t="shared" si="55"/>
        <v>19.8</v>
      </c>
    </row>
    <row r="208" spans="1:26" hidden="1" x14ac:dyDescent="0.25">
      <c r="A208" s="2" t="s">
        <v>272</v>
      </c>
      <c r="B208" s="11" t="s">
        <v>471</v>
      </c>
      <c r="C208" s="11" t="s">
        <v>4</v>
      </c>
      <c r="D208" s="11" t="s">
        <v>472</v>
      </c>
      <c r="E208" s="11" t="s">
        <v>504</v>
      </c>
      <c r="F208" s="11" t="s">
        <v>505</v>
      </c>
      <c r="G208" s="12">
        <v>2</v>
      </c>
      <c r="H208" s="12">
        <v>22</v>
      </c>
      <c r="I208" s="12">
        <v>44</v>
      </c>
      <c r="J208" s="12">
        <v>13588.5</v>
      </c>
      <c r="K208" s="20">
        <f t="shared" si="42"/>
        <v>3</v>
      </c>
      <c r="L208" s="20" t="str">
        <f t="shared" si="43"/>
        <v>Se repite 3 veces</v>
      </c>
      <c r="M208" s="20" t="str">
        <f t="shared" si="44"/>
        <v>Peru Chef-Fideos San Jorge Tallarin 500gr x  20</v>
      </c>
      <c r="N208" s="20">
        <f t="shared" si="45"/>
        <v>3</v>
      </c>
      <c r="O208" s="20" t="str">
        <f t="shared" si="46"/>
        <v>Se repite 3 veces en Peru Chef</v>
      </c>
      <c r="P208" s="20" t="str">
        <f t="shared" si="47"/>
        <v>Peru Chef-Fideos San Jorge Tallarin 500gr x  20-22</v>
      </c>
      <c r="Q208" s="20">
        <f t="shared" si="48"/>
        <v>2</v>
      </c>
      <c r="R208" s="20" t="str">
        <f t="shared" si="49"/>
        <v>Se repite 2 veces el precio de 22</v>
      </c>
      <c r="S208" s="20" t="str">
        <f t="shared" si="50"/>
        <v>El producto Fideos San Jorge Tallarin 500gr x  20 Se repite 3 veces en Peru Chef, Se repite 2 veces el precio de 22</v>
      </c>
      <c r="T208" s="20" t="str">
        <f t="shared" si="51"/>
        <v>Peru Chef</v>
      </c>
      <c r="U208" s="20" t="str">
        <f t="shared" si="52"/>
        <v>Fideos San Jorge Tallarin 500gr x  20</v>
      </c>
      <c r="V208" s="22">
        <f t="shared" si="53"/>
        <v>22</v>
      </c>
      <c r="W208" t="str">
        <f t="shared" si="54"/>
        <v>Peru Chef 08/11/2025</v>
      </c>
      <c r="Z208">
        <f t="shared" si="55"/>
        <v>44</v>
      </c>
    </row>
    <row r="209" spans="1:26" hidden="1" x14ac:dyDescent="0.25">
      <c r="A209" s="2" t="s">
        <v>272</v>
      </c>
      <c r="B209" s="11" t="s">
        <v>512</v>
      </c>
      <c r="C209" s="11" t="s">
        <v>4</v>
      </c>
      <c r="D209" s="11" t="s">
        <v>513</v>
      </c>
      <c r="E209" s="11" t="s">
        <v>504</v>
      </c>
      <c r="F209" s="11" t="s">
        <v>549</v>
      </c>
      <c r="G209" s="12">
        <v>3</v>
      </c>
      <c r="H209" s="12">
        <v>22</v>
      </c>
      <c r="I209" s="12">
        <v>66</v>
      </c>
      <c r="J209" s="12">
        <v>18947.5</v>
      </c>
      <c r="K209" s="20">
        <f t="shared" si="42"/>
        <v>3</v>
      </c>
      <c r="L209" s="20" t="str">
        <f t="shared" si="43"/>
        <v>Se repite 3 veces</v>
      </c>
      <c r="M209" s="20" t="str">
        <f t="shared" si="44"/>
        <v>Peru Chef-Fideos San Jorge Tallarin 500gr x  20</v>
      </c>
      <c r="N209" s="20">
        <f t="shared" si="45"/>
        <v>3</v>
      </c>
      <c r="O209" s="20" t="str">
        <f t="shared" si="46"/>
        <v>Se repite 3 veces en Peru Chef</v>
      </c>
      <c r="P209" s="20" t="str">
        <f t="shared" si="47"/>
        <v>Peru Chef-Fideos San Jorge Tallarin 500gr x  20-22</v>
      </c>
      <c r="Q209" s="20">
        <f t="shared" si="48"/>
        <v>2</v>
      </c>
      <c r="R209" s="20" t="str">
        <f t="shared" si="49"/>
        <v>Se repite 2 veces el precio de 22</v>
      </c>
      <c r="S209" s="20" t="str">
        <f t="shared" si="50"/>
        <v>El producto Fideos San Jorge Tallarin 500gr x  20 Se repite 3 veces en Peru Chef, Se repite 2 veces el precio de 22</v>
      </c>
      <c r="T209" s="20" t="str">
        <f t="shared" si="51"/>
        <v>Peru Chef</v>
      </c>
      <c r="U209" s="20" t="str">
        <f t="shared" si="52"/>
        <v>Fideos San Jorge Tallarin 500gr x  20</v>
      </c>
      <c r="V209" s="22">
        <f t="shared" si="53"/>
        <v>22</v>
      </c>
      <c r="W209" t="str">
        <f t="shared" si="54"/>
        <v>Peru Chef 08/28/2025</v>
      </c>
      <c r="Z209">
        <f t="shared" si="55"/>
        <v>66</v>
      </c>
    </row>
    <row r="210" spans="1:26" hidden="1" x14ac:dyDescent="0.25">
      <c r="A210" s="2" t="s">
        <v>272</v>
      </c>
      <c r="B210" s="11" t="s">
        <v>590</v>
      </c>
      <c r="C210" s="11" t="s">
        <v>4</v>
      </c>
      <c r="D210" s="11" t="s">
        <v>591</v>
      </c>
      <c r="E210" s="11" t="s">
        <v>504</v>
      </c>
      <c r="F210" s="11" t="s">
        <v>549</v>
      </c>
      <c r="G210" s="12">
        <v>3</v>
      </c>
      <c r="H210" s="12">
        <v>19.8</v>
      </c>
      <c r="I210" s="12">
        <v>59.4</v>
      </c>
      <c r="J210" s="12">
        <v>32026</v>
      </c>
      <c r="K210" s="20">
        <f t="shared" si="42"/>
        <v>3</v>
      </c>
      <c r="L210" s="20" t="str">
        <f t="shared" si="43"/>
        <v>Se repite 3 veces</v>
      </c>
      <c r="M210" s="20" t="str">
        <f t="shared" si="44"/>
        <v>Peru Chef-Fideos San Jorge Tallarin 500gr x  20</v>
      </c>
      <c r="N210" s="20">
        <f t="shared" si="45"/>
        <v>3</v>
      </c>
      <c r="O210" s="20" t="str">
        <f t="shared" si="46"/>
        <v>Se repite 3 veces en Peru Chef</v>
      </c>
      <c r="P210" s="20" t="str">
        <f t="shared" si="47"/>
        <v>Peru Chef-Fideos San Jorge Tallarin 500gr x  20-19.8</v>
      </c>
      <c r="Q210" s="20">
        <f t="shared" si="48"/>
        <v>1</v>
      </c>
      <c r="R210" s="20" t="str">
        <f t="shared" si="49"/>
        <v>No se repite</v>
      </c>
      <c r="S210" s="20" t="str">
        <f t="shared" si="50"/>
        <v>El producto Fideos San Jorge Tallarin 500gr x  20 Se repite 3 veces en Peru Chef Una vez con el precio 19.8</v>
      </c>
      <c r="T210" s="20" t="str">
        <f t="shared" si="51"/>
        <v>Peru Chef</v>
      </c>
      <c r="U210" s="20" t="str">
        <f t="shared" si="52"/>
        <v>Fideos San Jorge Tallarin 500gr x  20</v>
      </c>
      <c r="V210" s="22">
        <f t="shared" si="53"/>
        <v>19.8</v>
      </c>
      <c r="W210" t="str">
        <f t="shared" si="54"/>
        <v>Peru Chef 10/28/2025</v>
      </c>
      <c r="Z210">
        <f t="shared" si="55"/>
        <v>59.400000000000006</v>
      </c>
    </row>
    <row r="211" spans="1:26" hidden="1" x14ac:dyDescent="0.25">
      <c r="A211" s="2" t="s">
        <v>18</v>
      </c>
      <c r="B211" s="11" t="s">
        <v>19</v>
      </c>
      <c r="C211" s="11" t="s">
        <v>4</v>
      </c>
      <c r="D211" s="11" t="s">
        <v>20</v>
      </c>
      <c r="E211" s="11" t="s">
        <v>72</v>
      </c>
      <c r="F211" s="11" t="s">
        <v>73</v>
      </c>
      <c r="G211" s="12">
        <v>1</v>
      </c>
      <c r="H211" s="12">
        <v>77</v>
      </c>
      <c r="I211" s="12">
        <v>77</v>
      </c>
      <c r="J211" s="12">
        <v>3675.7000000000003</v>
      </c>
      <c r="K211" s="20">
        <f t="shared" si="42"/>
        <v>5</v>
      </c>
      <c r="L211" s="20" t="str">
        <f t="shared" si="43"/>
        <v>Se repite 5 veces</v>
      </c>
      <c r="M211" s="20" t="str">
        <f t="shared" si="44"/>
        <v>Belmont International Trading Corp-FIELD - Chocosoda Galletas 6 x 32</v>
      </c>
      <c r="N211" s="20">
        <f t="shared" si="45"/>
        <v>2</v>
      </c>
      <c r="O211" s="20" t="str">
        <f t="shared" si="46"/>
        <v>Se repite 2 veces en Belmont International Trading Corp</v>
      </c>
      <c r="P211" s="20" t="str">
        <f t="shared" si="47"/>
        <v>Belmont International Trading Corp-FIELD - Chocosoda Galletas 6 x 32-77</v>
      </c>
      <c r="Q211" s="20">
        <f t="shared" si="48"/>
        <v>1</v>
      </c>
      <c r="R211" s="20" t="str">
        <f t="shared" si="49"/>
        <v>No se repite</v>
      </c>
      <c r="S211" s="20" t="str">
        <f t="shared" si="50"/>
        <v>El producto FIELD - Chocosoda Galletas 6 x 32 Se repite 2 veces en Belmont International Trading Corp Una vez con el precio 77</v>
      </c>
      <c r="T211" s="20" t="str">
        <f t="shared" si="51"/>
        <v>Belmont International Trading Corp</v>
      </c>
      <c r="U211" s="20" t="str">
        <f t="shared" si="52"/>
        <v>FIELD - Chocosoda Galletas 6 x 32</v>
      </c>
      <c r="V211" s="22">
        <f t="shared" si="53"/>
        <v>77</v>
      </c>
      <c r="W211" t="str">
        <f t="shared" si="54"/>
        <v>Belmont International Trading Corp 04/28/2025</v>
      </c>
      <c r="Z211">
        <f t="shared" si="55"/>
        <v>77</v>
      </c>
    </row>
    <row r="212" spans="1:26" hidden="1" x14ac:dyDescent="0.25">
      <c r="A212" s="2" t="s">
        <v>18</v>
      </c>
      <c r="B212" s="11" t="s">
        <v>158</v>
      </c>
      <c r="C212" s="11" t="s">
        <v>4</v>
      </c>
      <c r="D212" s="11" t="s">
        <v>159</v>
      </c>
      <c r="E212" s="11" t="s">
        <v>72</v>
      </c>
      <c r="F212" s="11" t="s">
        <v>73</v>
      </c>
      <c r="G212" s="12">
        <v>6</v>
      </c>
      <c r="H212" s="12">
        <v>84.9</v>
      </c>
      <c r="I212" s="12">
        <v>509.4</v>
      </c>
      <c r="J212" s="12">
        <v>14218.14</v>
      </c>
      <c r="K212" s="20">
        <f t="shared" si="42"/>
        <v>5</v>
      </c>
      <c r="L212" s="20" t="str">
        <f t="shared" si="43"/>
        <v>Se repite 5 veces</v>
      </c>
      <c r="M212" s="20" t="str">
        <f t="shared" si="44"/>
        <v>Belmont International Trading Corp-FIELD - Chocosoda Galletas 6 x 32</v>
      </c>
      <c r="N212" s="20">
        <f t="shared" si="45"/>
        <v>2</v>
      </c>
      <c r="O212" s="20" t="str">
        <f t="shared" si="46"/>
        <v>Se repite 2 veces en Belmont International Trading Corp</v>
      </c>
      <c r="P212" s="20" t="str">
        <f t="shared" si="47"/>
        <v>Belmont International Trading Corp-FIELD - Chocosoda Galletas 6 x 32-84.9</v>
      </c>
      <c r="Q212" s="20">
        <f t="shared" si="48"/>
        <v>1</v>
      </c>
      <c r="R212" s="20" t="str">
        <f t="shared" si="49"/>
        <v>No se repite</v>
      </c>
      <c r="S212" s="20" t="str">
        <f t="shared" si="50"/>
        <v>El producto FIELD - Chocosoda Galletas 6 x 32 Se repite 2 veces en Belmont International Trading Corp Una vez con el precio 84.9</v>
      </c>
      <c r="T212" s="20" t="str">
        <f t="shared" si="51"/>
        <v>Belmont International Trading Corp</v>
      </c>
      <c r="U212" s="20" t="str">
        <f t="shared" si="52"/>
        <v>FIELD - Chocosoda Galletas 6 x 32</v>
      </c>
      <c r="V212" s="22">
        <f t="shared" si="53"/>
        <v>84.9</v>
      </c>
      <c r="W212" t="str">
        <f t="shared" si="54"/>
        <v>Belmont International Trading Corp 06/12/2025</v>
      </c>
      <c r="Y212" s="27"/>
      <c r="Z212">
        <f t="shared" si="55"/>
        <v>509.40000000000003</v>
      </c>
    </row>
    <row r="213" spans="1:26" hidden="1" x14ac:dyDescent="0.25">
      <c r="A213" s="2" t="s">
        <v>272</v>
      </c>
      <c r="B213" s="11" t="s">
        <v>398</v>
      </c>
      <c r="C213" s="11" t="s">
        <v>4</v>
      </c>
      <c r="D213" s="11" t="s">
        <v>399</v>
      </c>
      <c r="E213" s="11" t="s">
        <v>72</v>
      </c>
      <c r="F213" s="11" t="s">
        <v>401</v>
      </c>
      <c r="G213" s="12">
        <v>1</v>
      </c>
      <c r="H213" s="12">
        <v>79.5</v>
      </c>
      <c r="I213" s="12">
        <v>79.5</v>
      </c>
      <c r="J213" s="12">
        <v>4414</v>
      </c>
      <c r="K213" s="20">
        <f t="shared" si="42"/>
        <v>5</v>
      </c>
      <c r="L213" s="20" t="str">
        <f t="shared" si="43"/>
        <v>Se repite 5 veces</v>
      </c>
      <c r="M213" s="20" t="str">
        <f t="shared" si="44"/>
        <v>Peru Chef-FIELD - Chocosoda Galletas 6 x 32</v>
      </c>
      <c r="N213" s="20">
        <f t="shared" si="45"/>
        <v>1</v>
      </c>
      <c r="O213" s="20" t="str">
        <f t="shared" si="46"/>
        <v>No se repite en proveedor</v>
      </c>
      <c r="P213" s="20" t="str">
        <f t="shared" si="47"/>
        <v>Peru Chef-FIELD - Chocosoda Galletas 6 x 32-79.5</v>
      </c>
      <c r="Q213" s="20">
        <f t="shared" si="48"/>
        <v>1</v>
      </c>
      <c r="R213" s="20" t="str">
        <f t="shared" si="49"/>
        <v>No se repite</v>
      </c>
      <c r="S213" s="20" t="str">
        <f t="shared" si="50"/>
        <v>El producto FIELD - Chocosoda Galletas 6 x 32 No se repite en proveedor Una vez con el precio 79.5</v>
      </c>
      <c r="T213" s="20" t="str">
        <f t="shared" si="51"/>
        <v>Peru Chef</v>
      </c>
      <c r="U213" s="20" t="str">
        <f t="shared" si="52"/>
        <v>FIELD - Chocosoda Galletas 6 x 32</v>
      </c>
      <c r="V213" s="22">
        <f t="shared" si="53"/>
        <v>79.5</v>
      </c>
      <c r="W213" t="str">
        <f t="shared" si="54"/>
        <v>Peru Chef 04/10/2025</v>
      </c>
      <c r="Z213">
        <f t="shared" si="55"/>
        <v>79.5</v>
      </c>
    </row>
    <row r="214" spans="1:26" hidden="1" x14ac:dyDescent="0.25">
      <c r="A214" s="2" t="s">
        <v>664</v>
      </c>
      <c r="B214" s="11" t="s">
        <v>1153</v>
      </c>
      <c r="C214" s="11" t="s">
        <v>4</v>
      </c>
      <c r="D214" s="11" t="s">
        <v>1154</v>
      </c>
      <c r="E214" s="11" t="s">
        <v>72</v>
      </c>
      <c r="F214" s="11" t="s">
        <v>73</v>
      </c>
      <c r="G214" s="12">
        <v>1</v>
      </c>
      <c r="H214" s="12">
        <v>66.88</v>
      </c>
      <c r="I214" s="12">
        <v>66.88</v>
      </c>
      <c r="J214" s="12">
        <v>84557.52999999997</v>
      </c>
      <c r="K214" s="20">
        <f t="shared" si="42"/>
        <v>5</v>
      </c>
      <c r="L214" s="20" t="str">
        <f t="shared" si="43"/>
        <v>Se repite 5 veces</v>
      </c>
      <c r="M214" s="20" t="str">
        <f t="shared" si="44"/>
        <v>Tradiciones Andinas-FIELD - Chocosoda Galletas 6 x 32</v>
      </c>
      <c r="N214" s="20">
        <f t="shared" si="45"/>
        <v>2</v>
      </c>
      <c r="O214" s="20" t="str">
        <f t="shared" si="46"/>
        <v>Se repite 2 veces en Tradiciones Andinas</v>
      </c>
      <c r="P214" s="20" t="str">
        <f t="shared" si="47"/>
        <v>Tradiciones Andinas-FIELD - Chocosoda Galletas 6 x 32-66.88</v>
      </c>
      <c r="Q214" s="20">
        <f t="shared" si="48"/>
        <v>2</v>
      </c>
      <c r="R214" s="20" t="str">
        <f t="shared" si="49"/>
        <v>Se repite 2 veces el precio de 66.88</v>
      </c>
      <c r="S214" s="20" t="str">
        <f t="shared" si="50"/>
        <v>El producto FIELD - Chocosoda Galletas 6 x 32 Se repite 2 veces en Tradiciones Andinas, Se repite 2 veces el precio de 66.88</v>
      </c>
      <c r="T214" s="20" t="str">
        <f t="shared" si="51"/>
        <v>Tradiciones Andinas</v>
      </c>
      <c r="U214" s="20" t="str">
        <f t="shared" si="52"/>
        <v>FIELD - Chocosoda Galletas 6 x 32</v>
      </c>
      <c r="V214" s="22">
        <f t="shared" si="53"/>
        <v>66.88</v>
      </c>
      <c r="W214" t="str">
        <f t="shared" si="54"/>
        <v>Tradiciones Andinas 09/24/2025</v>
      </c>
      <c r="Z214">
        <f t="shared" si="55"/>
        <v>66.88</v>
      </c>
    </row>
    <row r="215" spans="1:26" hidden="1" x14ac:dyDescent="0.25">
      <c r="A215" s="2" t="s">
        <v>664</v>
      </c>
      <c r="B215" s="11" t="s">
        <v>1207</v>
      </c>
      <c r="C215" s="11" t="s">
        <v>4</v>
      </c>
      <c r="D215" s="11" t="s">
        <v>1208</v>
      </c>
      <c r="E215" s="11" t="s">
        <v>72</v>
      </c>
      <c r="F215" s="11" t="s">
        <v>73</v>
      </c>
      <c r="G215" s="12">
        <v>2</v>
      </c>
      <c r="H215" s="12">
        <v>66.88</v>
      </c>
      <c r="I215" s="12">
        <v>133.76</v>
      </c>
      <c r="J215" s="12">
        <v>112550.17999999988</v>
      </c>
      <c r="K215" s="20">
        <f t="shared" si="42"/>
        <v>5</v>
      </c>
      <c r="L215" s="20" t="str">
        <f t="shared" si="43"/>
        <v>Se repite 5 veces</v>
      </c>
      <c r="M215" s="20" t="str">
        <f t="shared" si="44"/>
        <v>Tradiciones Andinas-FIELD - Chocosoda Galletas 6 x 32</v>
      </c>
      <c r="N215" s="20">
        <f t="shared" si="45"/>
        <v>2</v>
      </c>
      <c r="O215" s="20" t="str">
        <f t="shared" si="46"/>
        <v>Se repite 2 veces en Tradiciones Andinas</v>
      </c>
      <c r="P215" s="20" t="str">
        <f t="shared" si="47"/>
        <v>Tradiciones Andinas-FIELD - Chocosoda Galletas 6 x 32-66.88</v>
      </c>
      <c r="Q215" s="20">
        <f t="shared" si="48"/>
        <v>2</v>
      </c>
      <c r="R215" s="20" t="str">
        <f t="shared" si="49"/>
        <v>Se repite 2 veces el precio de 66.88</v>
      </c>
      <c r="S215" s="20" t="str">
        <f t="shared" si="50"/>
        <v>El producto FIELD - Chocosoda Galletas 6 x 32 Se repite 2 veces en Tradiciones Andinas, Se repite 2 veces el precio de 66.88</v>
      </c>
      <c r="T215" s="20" t="str">
        <f t="shared" si="51"/>
        <v>Tradiciones Andinas</v>
      </c>
      <c r="U215" s="20" t="str">
        <f t="shared" si="52"/>
        <v>FIELD - Chocosoda Galletas 6 x 32</v>
      </c>
      <c r="V215" s="22">
        <f t="shared" si="53"/>
        <v>66.88</v>
      </c>
      <c r="W215" t="str">
        <f t="shared" si="54"/>
        <v>Tradiciones Andinas 11/28/2025</v>
      </c>
      <c r="Z215">
        <f t="shared" si="55"/>
        <v>133.76</v>
      </c>
    </row>
    <row r="216" spans="1:26" hidden="1" x14ac:dyDescent="0.25">
      <c r="A216" s="2" t="s">
        <v>18</v>
      </c>
      <c r="B216" s="11" t="s">
        <v>19</v>
      </c>
      <c r="C216" s="11" t="s">
        <v>4</v>
      </c>
      <c r="D216" s="11" t="s">
        <v>20</v>
      </c>
      <c r="E216" s="11" t="s">
        <v>84</v>
      </c>
      <c r="F216" s="11" t="s">
        <v>85</v>
      </c>
      <c r="G216" s="12">
        <v>2</v>
      </c>
      <c r="H216" s="12">
        <v>50.4</v>
      </c>
      <c r="I216" s="12">
        <v>100.8</v>
      </c>
      <c r="J216" s="12">
        <v>4210.8</v>
      </c>
      <c r="K216" s="20">
        <f t="shared" si="42"/>
        <v>5</v>
      </c>
      <c r="L216" s="20" t="str">
        <f t="shared" si="43"/>
        <v>Se repite 5 veces</v>
      </c>
      <c r="M216" s="20" t="str">
        <f t="shared" si="44"/>
        <v>Belmont International Trading Corp-FIELD - Galletas de Soda 34gr x 6 x 36</v>
      </c>
      <c r="N216" s="20">
        <f t="shared" si="45"/>
        <v>1</v>
      </c>
      <c r="O216" s="20" t="str">
        <f t="shared" si="46"/>
        <v>No se repite en proveedor</v>
      </c>
      <c r="P216" s="20" t="str">
        <f t="shared" si="47"/>
        <v>Belmont International Trading Corp-FIELD - Galletas de Soda 34gr x 6 x 36-50.4</v>
      </c>
      <c r="Q216" s="20">
        <f t="shared" si="48"/>
        <v>1</v>
      </c>
      <c r="R216" s="20" t="str">
        <f t="shared" si="49"/>
        <v>No se repite</v>
      </c>
      <c r="S216" s="20" t="str">
        <f t="shared" si="50"/>
        <v>El producto FIELD - Galletas de Soda 34gr x 6 x 36 No se repite en proveedor Una vez con el precio 50.4</v>
      </c>
      <c r="T216" s="20" t="str">
        <f t="shared" si="51"/>
        <v>Belmont International Trading Corp</v>
      </c>
      <c r="U216" s="20" t="str">
        <f t="shared" si="52"/>
        <v>FIELD - Galletas de Soda 34gr x 6 x 36</v>
      </c>
      <c r="V216" s="22">
        <f t="shared" si="53"/>
        <v>50.4</v>
      </c>
      <c r="W216" t="str">
        <f t="shared" si="54"/>
        <v>Belmont International Trading Corp 04/28/2025</v>
      </c>
      <c r="Z216">
        <f t="shared" si="55"/>
        <v>100.8</v>
      </c>
    </row>
    <row r="217" spans="1:26" hidden="1" x14ac:dyDescent="0.25">
      <c r="A217" s="2" t="s">
        <v>664</v>
      </c>
      <c r="B217" s="11" t="s">
        <v>398</v>
      </c>
      <c r="C217" s="11" t="s">
        <v>4</v>
      </c>
      <c r="D217" s="11" t="s">
        <v>5</v>
      </c>
      <c r="E217" s="11" t="s">
        <v>84</v>
      </c>
      <c r="F217" s="11" t="s">
        <v>793</v>
      </c>
      <c r="G217" s="12">
        <v>5</v>
      </c>
      <c r="H217" s="12">
        <v>46.44</v>
      </c>
      <c r="I217" s="12">
        <v>232.2</v>
      </c>
      <c r="J217" s="12">
        <v>6267.8399999999992</v>
      </c>
      <c r="K217" s="20">
        <f t="shared" si="42"/>
        <v>5</v>
      </c>
      <c r="L217" s="20" t="str">
        <f t="shared" si="43"/>
        <v>Se repite 5 veces</v>
      </c>
      <c r="M217" s="20" t="str">
        <f t="shared" si="44"/>
        <v>Tradiciones Andinas-FIELD - Galletas de Soda 34gr x 6 x 36</v>
      </c>
      <c r="N217" s="20">
        <f t="shared" si="45"/>
        <v>4</v>
      </c>
      <c r="O217" s="20" t="str">
        <f t="shared" si="46"/>
        <v>Se repite 4 veces en Tradiciones Andinas</v>
      </c>
      <c r="P217" s="20" t="str">
        <f t="shared" si="47"/>
        <v>Tradiciones Andinas-FIELD - Galletas de Soda 34gr x 6 x 36-46.44</v>
      </c>
      <c r="Q217" s="20">
        <f t="shared" si="48"/>
        <v>4</v>
      </c>
      <c r="R217" s="20" t="str">
        <f t="shared" si="49"/>
        <v>Se repite 4 veces el precio de 46.44</v>
      </c>
      <c r="S217" s="20" t="str">
        <f t="shared" si="50"/>
        <v>El producto FIELD - Galletas de Soda 34gr x 6 x 36 Se repite 4 veces en Tradiciones Andinas, Se repite 4 veces el precio de 46.44</v>
      </c>
      <c r="T217" s="20" t="str">
        <f t="shared" si="51"/>
        <v>Tradiciones Andinas</v>
      </c>
      <c r="U217" s="20" t="str">
        <f t="shared" si="52"/>
        <v>FIELD - Galletas de Soda 34gr x 6 x 36</v>
      </c>
      <c r="V217" s="22">
        <f t="shared" si="53"/>
        <v>46.44</v>
      </c>
      <c r="W217" t="str">
        <f t="shared" si="54"/>
        <v>Tradiciones Andinas 04/10/2025</v>
      </c>
      <c r="Z217">
        <f t="shared" si="55"/>
        <v>232.2</v>
      </c>
    </row>
    <row r="218" spans="1:26" hidden="1" x14ac:dyDescent="0.25">
      <c r="A218" s="2" t="s">
        <v>664</v>
      </c>
      <c r="B218" s="11" t="s">
        <v>821</v>
      </c>
      <c r="C218" s="11" t="s">
        <v>4</v>
      </c>
      <c r="D218" s="11" t="s">
        <v>822</v>
      </c>
      <c r="E218" s="11" t="s">
        <v>84</v>
      </c>
      <c r="F218" s="11" t="s">
        <v>793</v>
      </c>
      <c r="G218" s="12">
        <v>12</v>
      </c>
      <c r="H218" s="12">
        <v>46.44</v>
      </c>
      <c r="I218" s="12">
        <v>557.28</v>
      </c>
      <c r="J218" s="12">
        <v>20223.599999999995</v>
      </c>
      <c r="K218" s="20">
        <f t="shared" si="42"/>
        <v>5</v>
      </c>
      <c r="L218" s="20" t="str">
        <f t="shared" si="43"/>
        <v>Se repite 5 veces</v>
      </c>
      <c r="M218" s="20" t="str">
        <f t="shared" si="44"/>
        <v>Tradiciones Andinas-FIELD - Galletas de Soda 34gr x 6 x 36</v>
      </c>
      <c r="N218" s="20">
        <f t="shared" si="45"/>
        <v>4</v>
      </c>
      <c r="O218" s="20" t="str">
        <f t="shared" si="46"/>
        <v>Se repite 4 veces en Tradiciones Andinas</v>
      </c>
      <c r="P218" s="20" t="str">
        <f t="shared" si="47"/>
        <v>Tradiciones Andinas-FIELD - Galletas de Soda 34gr x 6 x 36-46.44</v>
      </c>
      <c r="Q218" s="20">
        <f t="shared" si="48"/>
        <v>4</v>
      </c>
      <c r="R218" s="20" t="str">
        <f t="shared" si="49"/>
        <v>Se repite 4 veces el precio de 46.44</v>
      </c>
      <c r="S218" s="20" t="str">
        <f t="shared" si="50"/>
        <v>El producto FIELD - Galletas de Soda 34gr x 6 x 36 Se repite 4 veces en Tradiciones Andinas, Se repite 4 veces el precio de 46.44</v>
      </c>
      <c r="T218" s="20" t="str">
        <f t="shared" si="51"/>
        <v>Tradiciones Andinas</v>
      </c>
      <c r="U218" s="20" t="str">
        <f t="shared" si="52"/>
        <v>FIELD - Galletas de Soda 34gr x 6 x 36</v>
      </c>
      <c r="V218" s="22">
        <f t="shared" si="53"/>
        <v>46.44</v>
      </c>
      <c r="W218" t="str">
        <f t="shared" si="54"/>
        <v>Tradiciones Andinas 04/25/2025</v>
      </c>
      <c r="Z218">
        <f t="shared" si="55"/>
        <v>557.28</v>
      </c>
    </row>
    <row r="219" spans="1:26" hidden="1" x14ac:dyDescent="0.25">
      <c r="A219" s="2" t="s">
        <v>664</v>
      </c>
      <c r="B219" s="11" t="s">
        <v>1201</v>
      </c>
      <c r="C219" s="11" t="s">
        <v>4</v>
      </c>
      <c r="D219" s="11" t="s">
        <v>1202</v>
      </c>
      <c r="E219" s="11" t="s">
        <v>84</v>
      </c>
      <c r="F219" s="11" t="s">
        <v>85</v>
      </c>
      <c r="G219" s="12">
        <v>2</v>
      </c>
      <c r="H219" s="12">
        <v>46.44</v>
      </c>
      <c r="I219" s="12">
        <v>92.88</v>
      </c>
      <c r="J219" s="12">
        <v>105160.63999999993</v>
      </c>
      <c r="K219" s="20">
        <f t="shared" si="42"/>
        <v>5</v>
      </c>
      <c r="L219" s="20" t="str">
        <f t="shared" si="43"/>
        <v>Se repite 5 veces</v>
      </c>
      <c r="M219" s="20" t="str">
        <f t="shared" si="44"/>
        <v>Tradiciones Andinas-FIELD - Galletas de Soda 34gr x 6 x 36</v>
      </c>
      <c r="N219" s="20">
        <f t="shared" si="45"/>
        <v>4</v>
      </c>
      <c r="O219" s="20" t="str">
        <f t="shared" si="46"/>
        <v>Se repite 4 veces en Tradiciones Andinas</v>
      </c>
      <c r="P219" s="20" t="str">
        <f t="shared" si="47"/>
        <v>Tradiciones Andinas-FIELD - Galletas de Soda 34gr x 6 x 36-46.44</v>
      </c>
      <c r="Q219" s="20">
        <f t="shared" si="48"/>
        <v>4</v>
      </c>
      <c r="R219" s="20" t="str">
        <f t="shared" si="49"/>
        <v>Se repite 4 veces el precio de 46.44</v>
      </c>
      <c r="S219" s="20" t="str">
        <f t="shared" si="50"/>
        <v>El producto FIELD - Galletas de Soda 34gr x 6 x 36 Se repite 4 veces en Tradiciones Andinas, Se repite 4 veces el precio de 46.44</v>
      </c>
      <c r="T219" s="20" t="str">
        <f t="shared" si="51"/>
        <v>Tradiciones Andinas</v>
      </c>
      <c r="U219" s="20" t="str">
        <f t="shared" si="52"/>
        <v>FIELD - Galletas de Soda 34gr x 6 x 36</v>
      </c>
      <c r="V219" s="22">
        <f t="shared" si="53"/>
        <v>46.44</v>
      </c>
      <c r="W219" t="str">
        <f t="shared" si="54"/>
        <v>Tradiciones Andinas 11/07/2025</v>
      </c>
      <c r="Z219">
        <f t="shared" si="55"/>
        <v>92.88</v>
      </c>
    </row>
    <row r="220" spans="1:26" hidden="1" x14ac:dyDescent="0.25">
      <c r="A220" s="2" t="s">
        <v>664</v>
      </c>
      <c r="B220" s="11" t="s">
        <v>1207</v>
      </c>
      <c r="C220" s="11" t="s">
        <v>4</v>
      </c>
      <c r="D220" s="11" t="s">
        <v>1208</v>
      </c>
      <c r="E220" s="11" t="s">
        <v>84</v>
      </c>
      <c r="F220" s="11" t="s">
        <v>85</v>
      </c>
      <c r="G220" s="12">
        <v>10</v>
      </c>
      <c r="H220" s="12">
        <v>46.44</v>
      </c>
      <c r="I220" s="12">
        <v>464.4</v>
      </c>
      <c r="J220" s="12">
        <v>111714.11999999989</v>
      </c>
      <c r="K220" s="20">
        <f t="shared" si="42"/>
        <v>5</v>
      </c>
      <c r="L220" s="20" t="str">
        <f t="shared" si="43"/>
        <v>Se repite 5 veces</v>
      </c>
      <c r="M220" s="20" t="str">
        <f t="shared" si="44"/>
        <v>Tradiciones Andinas-FIELD - Galletas de Soda 34gr x 6 x 36</v>
      </c>
      <c r="N220" s="20">
        <f t="shared" si="45"/>
        <v>4</v>
      </c>
      <c r="O220" s="20" t="str">
        <f t="shared" si="46"/>
        <v>Se repite 4 veces en Tradiciones Andinas</v>
      </c>
      <c r="P220" s="20" t="str">
        <f t="shared" si="47"/>
        <v>Tradiciones Andinas-FIELD - Galletas de Soda 34gr x 6 x 36-46.44</v>
      </c>
      <c r="Q220" s="20">
        <f t="shared" si="48"/>
        <v>4</v>
      </c>
      <c r="R220" s="20" t="str">
        <f t="shared" si="49"/>
        <v>Se repite 4 veces el precio de 46.44</v>
      </c>
      <c r="S220" s="20" t="str">
        <f t="shared" si="50"/>
        <v>El producto FIELD - Galletas de Soda 34gr x 6 x 36 Se repite 4 veces en Tradiciones Andinas, Se repite 4 veces el precio de 46.44</v>
      </c>
      <c r="T220" s="20" t="str">
        <f t="shared" si="51"/>
        <v>Tradiciones Andinas</v>
      </c>
      <c r="U220" s="20" t="str">
        <f t="shared" si="52"/>
        <v>FIELD - Galletas de Soda 34gr x 6 x 36</v>
      </c>
      <c r="V220" s="22">
        <f t="shared" si="53"/>
        <v>46.44</v>
      </c>
      <c r="W220" t="str">
        <f t="shared" si="54"/>
        <v>Tradiciones Andinas 11/28/2025</v>
      </c>
      <c r="Z220">
        <f t="shared" si="55"/>
        <v>464.4</v>
      </c>
    </row>
    <row r="221" spans="1:26" hidden="1" x14ac:dyDescent="0.25">
      <c r="A221" s="2" t="s">
        <v>18</v>
      </c>
      <c r="B221" s="11" t="s">
        <v>19</v>
      </c>
      <c r="C221" s="11" t="s">
        <v>4</v>
      </c>
      <c r="D221" s="11" t="s">
        <v>20</v>
      </c>
      <c r="E221" s="11" t="s">
        <v>64</v>
      </c>
      <c r="F221" s="11" t="s">
        <v>65</v>
      </c>
      <c r="G221" s="12">
        <v>1</v>
      </c>
      <c r="H221" s="12">
        <v>49</v>
      </c>
      <c r="I221" s="12">
        <v>49</v>
      </c>
      <c r="J221" s="12">
        <v>3511.3</v>
      </c>
      <c r="K221" s="20">
        <f t="shared" si="42"/>
        <v>6</v>
      </c>
      <c r="L221" s="20" t="str">
        <f t="shared" si="43"/>
        <v>Se repite 6 veces</v>
      </c>
      <c r="M221" s="20" t="str">
        <f t="shared" si="44"/>
        <v>Belmont International Trading Corp-FIELD - Galletas de Vainilla 37 gr x 6 x 24</v>
      </c>
      <c r="N221" s="20">
        <f t="shared" si="45"/>
        <v>1</v>
      </c>
      <c r="O221" s="20" t="str">
        <f t="shared" si="46"/>
        <v>No se repite en proveedor</v>
      </c>
      <c r="P221" s="20" t="str">
        <f t="shared" si="47"/>
        <v>Belmont International Trading Corp-FIELD - Galletas de Vainilla 37 gr x 6 x 24-49</v>
      </c>
      <c r="Q221" s="20">
        <f t="shared" si="48"/>
        <v>1</v>
      </c>
      <c r="R221" s="20" t="str">
        <f t="shared" si="49"/>
        <v>No se repite</v>
      </c>
      <c r="S221" s="20" t="str">
        <f t="shared" si="50"/>
        <v>El producto FIELD - Galletas de Vainilla 37 gr x 6 x 24 No se repite en proveedor Una vez con el precio 49</v>
      </c>
      <c r="T221" s="20" t="str">
        <f t="shared" si="51"/>
        <v>Belmont International Trading Corp</v>
      </c>
      <c r="U221" s="20" t="str">
        <f t="shared" si="52"/>
        <v>FIELD - Galletas de Vainilla 37 gr x 6 x 24</v>
      </c>
      <c r="V221" s="22">
        <f t="shared" si="53"/>
        <v>49</v>
      </c>
      <c r="W221" t="str">
        <f t="shared" si="54"/>
        <v>Belmont International Trading Corp 04/28/2025</v>
      </c>
      <c r="Z221">
        <f t="shared" si="55"/>
        <v>49</v>
      </c>
    </row>
    <row r="222" spans="1:26" hidden="1" x14ac:dyDescent="0.25">
      <c r="A222" s="2" t="s">
        <v>664</v>
      </c>
      <c r="B222" s="11" t="s">
        <v>398</v>
      </c>
      <c r="C222" s="11" t="s">
        <v>4</v>
      </c>
      <c r="D222" s="11" t="s">
        <v>5</v>
      </c>
      <c r="E222" s="11" t="s">
        <v>64</v>
      </c>
      <c r="F222" s="11" t="s">
        <v>794</v>
      </c>
      <c r="G222" s="12">
        <v>5</v>
      </c>
      <c r="H222" s="12">
        <v>47.56</v>
      </c>
      <c r="I222" s="12">
        <v>237.8</v>
      </c>
      <c r="J222" s="12">
        <v>6505.6399999999994</v>
      </c>
      <c r="K222" s="20">
        <f t="shared" si="42"/>
        <v>6</v>
      </c>
      <c r="L222" s="20" t="str">
        <f t="shared" si="43"/>
        <v>Se repite 6 veces</v>
      </c>
      <c r="M222" s="20" t="str">
        <f t="shared" si="44"/>
        <v>Tradiciones Andinas-FIELD - Galletas de Vainilla 37 gr x 6 x 24</v>
      </c>
      <c r="N222" s="20">
        <f t="shared" si="45"/>
        <v>5</v>
      </c>
      <c r="O222" s="20" t="str">
        <f t="shared" si="46"/>
        <v>Se repite 5 veces en Tradiciones Andinas</v>
      </c>
      <c r="P222" s="20" t="str">
        <f t="shared" si="47"/>
        <v>Tradiciones Andinas-FIELD - Galletas de Vainilla 37 gr x 6 x 24-47.56</v>
      </c>
      <c r="Q222" s="20">
        <f t="shared" si="48"/>
        <v>2</v>
      </c>
      <c r="R222" s="20" t="str">
        <f t="shared" si="49"/>
        <v>Se repite 2 veces el precio de 47.56</v>
      </c>
      <c r="S222" s="20" t="str">
        <f t="shared" si="50"/>
        <v>El producto FIELD - Galletas de Vainilla 37 gr x 6 x 24 Se repite 5 veces en Tradiciones Andinas, Se repite 2 veces el precio de 47.56</v>
      </c>
      <c r="T222" s="20" t="str">
        <f t="shared" si="51"/>
        <v>Tradiciones Andinas</v>
      </c>
      <c r="U222" s="20" t="str">
        <f t="shared" si="52"/>
        <v>FIELD - Galletas de Vainilla 37 gr x 6 x 24</v>
      </c>
      <c r="V222" s="22">
        <f t="shared" si="53"/>
        <v>47.56</v>
      </c>
      <c r="W222" t="str">
        <f t="shared" si="54"/>
        <v>Tradiciones Andinas 04/10/2025</v>
      </c>
      <c r="Z222">
        <f t="shared" si="55"/>
        <v>237.8</v>
      </c>
    </row>
    <row r="223" spans="1:26" hidden="1" x14ac:dyDescent="0.25">
      <c r="A223" s="2" t="s">
        <v>664</v>
      </c>
      <c r="B223" s="11" t="s">
        <v>821</v>
      </c>
      <c r="C223" s="11" t="s">
        <v>4</v>
      </c>
      <c r="D223" s="11" t="s">
        <v>822</v>
      </c>
      <c r="E223" s="11" t="s">
        <v>64</v>
      </c>
      <c r="F223" s="11" t="s">
        <v>794</v>
      </c>
      <c r="G223" s="12">
        <v>5</v>
      </c>
      <c r="H223" s="12">
        <v>47.56</v>
      </c>
      <c r="I223" s="12">
        <v>237.8</v>
      </c>
      <c r="J223" s="12">
        <v>20461.399999999994</v>
      </c>
      <c r="K223" s="20">
        <f t="shared" si="42"/>
        <v>6</v>
      </c>
      <c r="L223" s="20" t="str">
        <f t="shared" si="43"/>
        <v>Se repite 6 veces</v>
      </c>
      <c r="M223" s="20" t="str">
        <f t="shared" si="44"/>
        <v>Tradiciones Andinas-FIELD - Galletas de Vainilla 37 gr x 6 x 24</v>
      </c>
      <c r="N223" s="20">
        <f t="shared" si="45"/>
        <v>5</v>
      </c>
      <c r="O223" s="20" t="str">
        <f t="shared" si="46"/>
        <v>Se repite 5 veces en Tradiciones Andinas</v>
      </c>
      <c r="P223" s="20" t="str">
        <f t="shared" si="47"/>
        <v>Tradiciones Andinas-FIELD - Galletas de Vainilla 37 gr x 6 x 24-47.56</v>
      </c>
      <c r="Q223" s="20">
        <f t="shared" si="48"/>
        <v>2</v>
      </c>
      <c r="R223" s="20" t="str">
        <f t="shared" si="49"/>
        <v>Se repite 2 veces el precio de 47.56</v>
      </c>
      <c r="S223" s="20" t="str">
        <f t="shared" si="50"/>
        <v>El producto FIELD - Galletas de Vainilla 37 gr x 6 x 24 Se repite 5 veces en Tradiciones Andinas, Se repite 2 veces el precio de 47.56</v>
      </c>
      <c r="T223" s="20" t="str">
        <f t="shared" si="51"/>
        <v>Tradiciones Andinas</v>
      </c>
      <c r="U223" s="20" t="str">
        <f t="shared" si="52"/>
        <v>FIELD - Galletas de Vainilla 37 gr x 6 x 24</v>
      </c>
      <c r="V223" s="22">
        <f t="shared" si="53"/>
        <v>47.56</v>
      </c>
      <c r="W223" t="str">
        <f t="shared" si="54"/>
        <v>Tradiciones Andinas 04/25/2025</v>
      </c>
      <c r="Z223">
        <f t="shared" si="55"/>
        <v>237.8</v>
      </c>
    </row>
    <row r="224" spans="1:26" hidden="1" x14ac:dyDescent="0.25">
      <c r="A224" s="2" t="s">
        <v>664</v>
      </c>
      <c r="B224" s="11" t="s">
        <v>654</v>
      </c>
      <c r="C224" s="11" t="s">
        <v>4</v>
      </c>
      <c r="D224" s="11" t="s">
        <v>940</v>
      </c>
      <c r="E224" s="11" t="s">
        <v>64</v>
      </c>
      <c r="F224" s="11" t="s">
        <v>65</v>
      </c>
      <c r="G224" s="12">
        <v>6</v>
      </c>
      <c r="H224" s="12">
        <v>50.9</v>
      </c>
      <c r="I224" s="12">
        <v>305.39999999999998</v>
      </c>
      <c r="J224" s="12">
        <v>31646.739999999998</v>
      </c>
      <c r="K224" s="20">
        <f t="shared" si="42"/>
        <v>6</v>
      </c>
      <c r="L224" s="20" t="str">
        <f t="shared" si="43"/>
        <v>Se repite 6 veces</v>
      </c>
      <c r="M224" s="20" t="str">
        <f t="shared" si="44"/>
        <v>Tradiciones Andinas-FIELD - Galletas de Vainilla 37 gr x 6 x 24</v>
      </c>
      <c r="N224" s="20">
        <f t="shared" si="45"/>
        <v>5</v>
      </c>
      <c r="O224" s="20" t="str">
        <f t="shared" si="46"/>
        <v>Se repite 5 veces en Tradiciones Andinas</v>
      </c>
      <c r="P224" s="20" t="str">
        <f t="shared" si="47"/>
        <v>Tradiciones Andinas-FIELD - Galletas de Vainilla 37 gr x 6 x 24-50.9</v>
      </c>
      <c r="Q224" s="20">
        <f t="shared" si="48"/>
        <v>3</v>
      </c>
      <c r="R224" s="20" t="str">
        <f t="shared" si="49"/>
        <v>Se repite 3 veces el precio de 50.9</v>
      </c>
      <c r="S224" s="20" t="str">
        <f t="shared" si="50"/>
        <v>El producto FIELD - Galletas de Vainilla 37 gr x 6 x 24 Se repite 5 veces en Tradiciones Andinas, Se repite 3 veces el precio de 50.9</v>
      </c>
      <c r="T224" s="20" t="str">
        <f t="shared" si="51"/>
        <v>Tradiciones Andinas</v>
      </c>
      <c r="U224" s="20" t="str">
        <f t="shared" si="52"/>
        <v>FIELD - Galletas de Vainilla 37 gr x 6 x 24</v>
      </c>
      <c r="V224" s="22">
        <f t="shared" si="53"/>
        <v>50.9</v>
      </c>
      <c r="W224" t="str">
        <f t="shared" si="54"/>
        <v>Tradiciones Andinas 05/19/2025</v>
      </c>
      <c r="Z224">
        <f t="shared" si="55"/>
        <v>305.39999999999998</v>
      </c>
    </row>
    <row r="225" spans="1:26" hidden="1" x14ac:dyDescent="0.25">
      <c r="A225" s="2" t="s">
        <v>664</v>
      </c>
      <c r="B225" s="11" t="s">
        <v>1180</v>
      </c>
      <c r="C225" s="11" t="s">
        <v>4</v>
      </c>
      <c r="D225" s="11" t="s">
        <v>1181</v>
      </c>
      <c r="E225" s="11" t="s">
        <v>64</v>
      </c>
      <c r="F225" s="11" t="s">
        <v>65</v>
      </c>
      <c r="G225" s="12">
        <v>3</v>
      </c>
      <c r="H225" s="12">
        <v>50.9</v>
      </c>
      <c r="I225" s="12">
        <v>152.69999999999999</v>
      </c>
      <c r="J225" s="12">
        <v>93560.889999999941</v>
      </c>
      <c r="K225" s="20">
        <f t="shared" si="42"/>
        <v>6</v>
      </c>
      <c r="L225" s="20" t="str">
        <f t="shared" si="43"/>
        <v>Se repite 6 veces</v>
      </c>
      <c r="M225" s="20" t="str">
        <f t="shared" si="44"/>
        <v>Tradiciones Andinas-FIELD - Galletas de Vainilla 37 gr x 6 x 24</v>
      </c>
      <c r="N225" s="20">
        <f t="shared" si="45"/>
        <v>5</v>
      </c>
      <c r="O225" s="20" t="str">
        <f t="shared" si="46"/>
        <v>Se repite 5 veces en Tradiciones Andinas</v>
      </c>
      <c r="P225" s="20" t="str">
        <f t="shared" si="47"/>
        <v>Tradiciones Andinas-FIELD - Galletas de Vainilla 37 gr x 6 x 24-50.9</v>
      </c>
      <c r="Q225" s="20">
        <f t="shared" si="48"/>
        <v>3</v>
      </c>
      <c r="R225" s="20" t="str">
        <f t="shared" si="49"/>
        <v>Se repite 3 veces el precio de 50.9</v>
      </c>
      <c r="S225" s="20" t="str">
        <f t="shared" si="50"/>
        <v>El producto FIELD - Galletas de Vainilla 37 gr x 6 x 24 Se repite 5 veces en Tradiciones Andinas, Se repite 3 veces el precio de 50.9</v>
      </c>
      <c r="T225" s="20" t="str">
        <f t="shared" si="51"/>
        <v>Tradiciones Andinas</v>
      </c>
      <c r="U225" s="20" t="str">
        <f t="shared" si="52"/>
        <v>FIELD - Galletas de Vainilla 37 gr x 6 x 24</v>
      </c>
      <c r="V225" s="22">
        <f t="shared" si="53"/>
        <v>50.9</v>
      </c>
      <c r="W225" t="str">
        <f t="shared" si="54"/>
        <v>Tradiciones Andinas 10/07/2025</v>
      </c>
      <c r="Z225">
        <f t="shared" si="55"/>
        <v>152.69999999999999</v>
      </c>
    </row>
    <row r="226" spans="1:26" hidden="1" x14ac:dyDescent="0.25">
      <c r="A226" s="2" t="s">
        <v>664</v>
      </c>
      <c r="B226" s="11" t="s">
        <v>1207</v>
      </c>
      <c r="C226" s="11" t="s">
        <v>4</v>
      </c>
      <c r="D226" s="11" t="s">
        <v>1208</v>
      </c>
      <c r="E226" s="11" t="s">
        <v>64</v>
      </c>
      <c r="F226" s="11" t="s">
        <v>65</v>
      </c>
      <c r="G226" s="12">
        <v>3</v>
      </c>
      <c r="H226" s="12">
        <v>50.9</v>
      </c>
      <c r="I226" s="12">
        <v>152.69999999999999</v>
      </c>
      <c r="J226" s="12">
        <v>111866.81999999989</v>
      </c>
      <c r="K226" s="20">
        <f t="shared" si="42"/>
        <v>6</v>
      </c>
      <c r="L226" s="20" t="str">
        <f t="shared" si="43"/>
        <v>Se repite 6 veces</v>
      </c>
      <c r="M226" s="20" t="str">
        <f t="shared" si="44"/>
        <v>Tradiciones Andinas-FIELD - Galletas de Vainilla 37 gr x 6 x 24</v>
      </c>
      <c r="N226" s="20">
        <f t="shared" si="45"/>
        <v>5</v>
      </c>
      <c r="O226" s="20" t="str">
        <f t="shared" si="46"/>
        <v>Se repite 5 veces en Tradiciones Andinas</v>
      </c>
      <c r="P226" s="20" t="str">
        <f t="shared" si="47"/>
        <v>Tradiciones Andinas-FIELD - Galletas de Vainilla 37 gr x 6 x 24-50.9</v>
      </c>
      <c r="Q226" s="20">
        <f t="shared" si="48"/>
        <v>3</v>
      </c>
      <c r="R226" s="20" t="str">
        <f t="shared" si="49"/>
        <v>Se repite 3 veces el precio de 50.9</v>
      </c>
      <c r="S226" s="20" t="str">
        <f t="shared" si="50"/>
        <v>El producto FIELD - Galletas de Vainilla 37 gr x 6 x 24 Se repite 5 veces en Tradiciones Andinas, Se repite 3 veces el precio de 50.9</v>
      </c>
      <c r="T226" s="20" t="str">
        <f t="shared" si="51"/>
        <v>Tradiciones Andinas</v>
      </c>
      <c r="U226" s="20" t="str">
        <f t="shared" si="52"/>
        <v>FIELD - Galletas de Vainilla 37 gr x 6 x 24</v>
      </c>
      <c r="V226" s="22">
        <f t="shared" si="53"/>
        <v>50.9</v>
      </c>
      <c r="W226" t="str">
        <f t="shared" si="54"/>
        <v>Tradiciones Andinas 11/28/2025</v>
      </c>
      <c r="Z226">
        <f t="shared" si="55"/>
        <v>152.69999999999999</v>
      </c>
    </row>
    <row r="227" spans="1:26" hidden="1" x14ac:dyDescent="0.25">
      <c r="A227" s="2" t="s">
        <v>272</v>
      </c>
      <c r="B227" s="11" t="s">
        <v>408</v>
      </c>
      <c r="C227" s="11" t="s">
        <v>4</v>
      </c>
      <c r="D227" s="11" t="s">
        <v>409</v>
      </c>
      <c r="E227" s="11" t="s">
        <v>438</v>
      </c>
      <c r="F227" s="11" t="s">
        <v>439</v>
      </c>
      <c r="G227" s="12">
        <v>5</v>
      </c>
      <c r="H227" s="12">
        <v>58</v>
      </c>
      <c r="I227" s="12">
        <v>290</v>
      </c>
      <c r="J227" s="12">
        <v>6790.6</v>
      </c>
      <c r="K227" s="20">
        <f t="shared" si="42"/>
        <v>1</v>
      </c>
      <c r="L227" s="20" t="str">
        <f t="shared" si="43"/>
        <v>No se repite</v>
      </c>
      <c r="M227" s="20" t="str">
        <f t="shared" si="44"/>
        <v>Peru Chef-Galleta Charada Field 40gr x 6 x 28</v>
      </c>
      <c r="N227" s="20">
        <f t="shared" si="45"/>
        <v>1</v>
      </c>
      <c r="O227" s="20" t="str">
        <f t="shared" si="46"/>
        <v>No se repite en proveedor</v>
      </c>
      <c r="P227" s="20" t="str">
        <f t="shared" si="47"/>
        <v>Peru Chef-Galleta Charada Field 40gr x 6 x 28-58</v>
      </c>
      <c r="Q227" s="20">
        <f t="shared" si="48"/>
        <v>1</v>
      </c>
      <c r="R227" s="20" t="str">
        <f t="shared" si="49"/>
        <v>No se repite</v>
      </c>
      <c r="S227" s="20" t="str">
        <f t="shared" si="50"/>
        <v>El producto Galleta Charada Field 40gr x 6 x 28 No se repite en proveedor Una vez con el precio 58</v>
      </c>
      <c r="T227" s="20" t="str">
        <f t="shared" si="51"/>
        <v>Peru Chef</v>
      </c>
      <c r="U227" s="20" t="str">
        <f t="shared" si="52"/>
        <v>Galleta Charada Field 40gr x 6 x 28</v>
      </c>
      <c r="V227" s="22">
        <f t="shared" si="53"/>
        <v>58</v>
      </c>
      <c r="W227" t="str">
        <f t="shared" si="54"/>
        <v>Peru Chef 04/13/2025</v>
      </c>
      <c r="Z227">
        <f t="shared" si="55"/>
        <v>290</v>
      </c>
    </row>
    <row r="228" spans="1:26" hidden="1" x14ac:dyDescent="0.25">
      <c r="A228" s="2" t="s">
        <v>272</v>
      </c>
      <c r="B228" s="11" t="s">
        <v>273</v>
      </c>
      <c r="C228" s="11" t="s">
        <v>4</v>
      </c>
      <c r="D228" s="11" t="s">
        <v>5</v>
      </c>
      <c r="E228" s="11" t="s">
        <v>348</v>
      </c>
      <c r="F228" s="11" t="s">
        <v>349</v>
      </c>
      <c r="G228" s="12">
        <v>1</v>
      </c>
      <c r="H228" s="12">
        <v>16</v>
      </c>
      <c r="I228" s="12">
        <v>16</v>
      </c>
      <c r="J228" s="12">
        <v>1348.1999999999998</v>
      </c>
      <c r="K228" s="20">
        <f t="shared" si="42"/>
        <v>7</v>
      </c>
      <c r="L228" s="20" t="str">
        <f t="shared" si="43"/>
        <v>Se repite 7 veces</v>
      </c>
      <c r="M228" s="20" t="str">
        <f t="shared" si="44"/>
        <v>Peru Chef-Galleta Chomp Naranja Victoria 42gr x 6 x 8</v>
      </c>
      <c r="N228" s="20">
        <f t="shared" si="45"/>
        <v>4</v>
      </c>
      <c r="O228" s="20" t="str">
        <f t="shared" si="46"/>
        <v>Se repite 4 veces en Peru Chef</v>
      </c>
      <c r="P228" s="20" t="str">
        <f t="shared" si="47"/>
        <v>Peru Chef-Galleta Chomp Naranja Victoria 42gr x 6 x 8-16</v>
      </c>
      <c r="Q228" s="20">
        <f t="shared" si="48"/>
        <v>2</v>
      </c>
      <c r="R228" s="20" t="str">
        <f t="shared" si="49"/>
        <v>Se repite 2 veces el precio de 16</v>
      </c>
      <c r="S228" s="20" t="str">
        <f t="shared" si="50"/>
        <v>El producto Galleta Chomp Naranja Victoria 42gr x 6 x 8 Se repite 4 veces en Peru Chef, Se repite 2 veces el precio de 16</v>
      </c>
      <c r="T228" s="20" t="str">
        <f t="shared" si="51"/>
        <v>Peru Chef</v>
      </c>
      <c r="U228" s="20" t="str">
        <f t="shared" si="52"/>
        <v>Galleta Chomp Naranja Victoria 42gr x 6 x 8</v>
      </c>
      <c r="V228" s="22">
        <f t="shared" si="53"/>
        <v>16</v>
      </c>
      <c r="W228" t="str">
        <f t="shared" si="54"/>
        <v>Peru Chef 03/26/2025</v>
      </c>
      <c r="Z228">
        <f t="shared" si="55"/>
        <v>16</v>
      </c>
    </row>
    <row r="229" spans="1:26" hidden="1" x14ac:dyDescent="0.25">
      <c r="A229" s="2" t="s">
        <v>272</v>
      </c>
      <c r="B229" s="11" t="s">
        <v>398</v>
      </c>
      <c r="C229" s="11" t="s">
        <v>4</v>
      </c>
      <c r="D229" s="11" t="s">
        <v>399</v>
      </c>
      <c r="E229" s="11" t="s">
        <v>348</v>
      </c>
      <c r="F229" s="11" t="s">
        <v>349</v>
      </c>
      <c r="G229" s="12">
        <v>1</v>
      </c>
      <c r="H229" s="12">
        <v>16</v>
      </c>
      <c r="I229" s="12">
        <v>16</v>
      </c>
      <c r="J229" s="12">
        <v>3499</v>
      </c>
      <c r="K229" s="20">
        <f t="shared" si="42"/>
        <v>7</v>
      </c>
      <c r="L229" s="20" t="str">
        <f t="shared" si="43"/>
        <v>Se repite 7 veces</v>
      </c>
      <c r="M229" s="20" t="str">
        <f t="shared" si="44"/>
        <v>Peru Chef-Galleta Chomp Naranja Victoria 42gr x 6 x 8</v>
      </c>
      <c r="N229" s="20">
        <f t="shared" si="45"/>
        <v>4</v>
      </c>
      <c r="O229" s="20" t="str">
        <f t="shared" si="46"/>
        <v>Se repite 4 veces en Peru Chef</v>
      </c>
      <c r="P229" s="20" t="str">
        <f t="shared" si="47"/>
        <v>Peru Chef-Galleta Chomp Naranja Victoria 42gr x 6 x 8-16</v>
      </c>
      <c r="Q229" s="20">
        <f t="shared" si="48"/>
        <v>2</v>
      </c>
      <c r="R229" s="20" t="str">
        <f t="shared" si="49"/>
        <v>Se repite 2 veces el precio de 16</v>
      </c>
      <c r="S229" s="20" t="str">
        <f t="shared" si="50"/>
        <v>El producto Galleta Chomp Naranja Victoria 42gr x 6 x 8 Se repite 4 veces en Peru Chef, Se repite 2 veces el precio de 16</v>
      </c>
      <c r="T229" s="20" t="str">
        <f t="shared" si="51"/>
        <v>Peru Chef</v>
      </c>
      <c r="U229" s="20" t="str">
        <f t="shared" si="52"/>
        <v>Galleta Chomp Naranja Victoria 42gr x 6 x 8</v>
      </c>
      <c r="V229" s="22">
        <f t="shared" si="53"/>
        <v>16</v>
      </c>
      <c r="W229" t="str">
        <f t="shared" si="54"/>
        <v>Peru Chef 04/10/2025</v>
      </c>
      <c r="Z229">
        <f t="shared" si="55"/>
        <v>16</v>
      </c>
    </row>
    <row r="230" spans="1:26" hidden="1" x14ac:dyDescent="0.25">
      <c r="A230" s="2" t="s">
        <v>272</v>
      </c>
      <c r="B230" s="11" t="s">
        <v>408</v>
      </c>
      <c r="C230" s="11" t="s">
        <v>4</v>
      </c>
      <c r="D230" s="11" t="s">
        <v>409</v>
      </c>
      <c r="E230" s="11" t="s">
        <v>348</v>
      </c>
      <c r="F230" s="11" t="s">
        <v>433</v>
      </c>
      <c r="G230" s="12">
        <v>5</v>
      </c>
      <c r="H230" s="12">
        <v>17</v>
      </c>
      <c r="I230" s="12">
        <v>85</v>
      </c>
      <c r="J230" s="12">
        <v>6036.6</v>
      </c>
      <c r="K230" s="20">
        <f t="shared" si="42"/>
        <v>7</v>
      </c>
      <c r="L230" s="20" t="str">
        <f t="shared" si="43"/>
        <v>Se repite 7 veces</v>
      </c>
      <c r="M230" s="20" t="str">
        <f t="shared" si="44"/>
        <v>Peru Chef-Galleta Chomp Naranja Victoria 42gr x 6 x 8</v>
      </c>
      <c r="N230" s="20">
        <f t="shared" si="45"/>
        <v>4</v>
      </c>
      <c r="O230" s="20" t="str">
        <f t="shared" si="46"/>
        <v>Se repite 4 veces en Peru Chef</v>
      </c>
      <c r="P230" s="20" t="str">
        <f t="shared" si="47"/>
        <v>Peru Chef-Galleta Chomp Naranja Victoria 42gr x 6 x 8-17</v>
      </c>
      <c r="Q230" s="20">
        <f t="shared" si="48"/>
        <v>2</v>
      </c>
      <c r="R230" s="20" t="str">
        <f t="shared" si="49"/>
        <v>Se repite 2 veces el precio de 17</v>
      </c>
      <c r="S230" s="20" t="str">
        <f t="shared" si="50"/>
        <v>El producto Galleta Chomp Naranja Victoria 42gr x 6 x 8 Se repite 4 veces en Peru Chef, Se repite 2 veces el precio de 17</v>
      </c>
      <c r="T230" s="20" t="str">
        <f t="shared" si="51"/>
        <v>Peru Chef</v>
      </c>
      <c r="U230" s="20" t="str">
        <f t="shared" si="52"/>
        <v>Galleta Chomp Naranja Victoria 42gr x 6 x 8</v>
      </c>
      <c r="V230" s="22">
        <f t="shared" si="53"/>
        <v>17</v>
      </c>
      <c r="W230" t="str">
        <f t="shared" si="54"/>
        <v>Peru Chef 04/13/2025</v>
      </c>
      <c r="Z230">
        <f t="shared" si="55"/>
        <v>85</v>
      </c>
    </row>
    <row r="231" spans="1:26" hidden="1" x14ac:dyDescent="0.25">
      <c r="A231" s="2" t="s">
        <v>272</v>
      </c>
      <c r="B231" s="11" t="s">
        <v>444</v>
      </c>
      <c r="C231" s="11" t="s">
        <v>4</v>
      </c>
      <c r="D231" s="11" t="s">
        <v>445</v>
      </c>
      <c r="E231" s="11" t="s">
        <v>348</v>
      </c>
      <c r="F231" s="11" t="s">
        <v>433</v>
      </c>
      <c r="G231" s="12">
        <v>8</v>
      </c>
      <c r="H231" s="12">
        <v>17</v>
      </c>
      <c r="I231" s="12">
        <v>136</v>
      </c>
      <c r="J231" s="12">
        <v>8852.7000000000007</v>
      </c>
      <c r="K231" s="20">
        <f t="shared" si="42"/>
        <v>7</v>
      </c>
      <c r="L231" s="20" t="str">
        <f t="shared" si="43"/>
        <v>Se repite 7 veces</v>
      </c>
      <c r="M231" s="20" t="str">
        <f t="shared" si="44"/>
        <v>Peru Chef-Galleta Chomp Naranja Victoria 42gr x 6 x 8</v>
      </c>
      <c r="N231" s="20">
        <f t="shared" si="45"/>
        <v>4</v>
      </c>
      <c r="O231" s="20" t="str">
        <f t="shared" si="46"/>
        <v>Se repite 4 veces en Peru Chef</v>
      </c>
      <c r="P231" s="20" t="str">
        <f t="shared" si="47"/>
        <v>Peru Chef-Galleta Chomp Naranja Victoria 42gr x 6 x 8-17</v>
      </c>
      <c r="Q231" s="20">
        <f t="shared" si="48"/>
        <v>2</v>
      </c>
      <c r="R231" s="20" t="str">
        <f t="shared" si="49"/>
        <v>Se repite 2 veces el precio de 17</v>
      </c>
      <c r="S231" s="20" t="str">
        <f t="shared" si="50"/>
        <v>El producto Galleta Chomp Naranja Victoria 42gr x 6 x 8 Se repite 4 veces en Peru Chef, Se repite 2 veces el precio de 17</v>
      </c>
      <c r="T231" s="20" t="str">
        <f t="shared" si="51"/>
        <v>Peru Chef</v>
      </c>
      <c r="U231" s="20" t="str">
        <f t="shared" si="52"/>
        <v>Galleta Chomp Naranja Victoria 42gr x 6 x 8</v>
      </c>
      <c r="V231" s="22">
        <f t="shared" si="53"/>
        <v>17</v>
      </c>
      <c r="W231" t="str">
        <f t="shared" si="54"/>
        <v>Peru Chef 04/24/2025</v>
      </c>
      <c r="Z231">
        <f t="shared" si="55"/>
        <v>136</v>
      </c>
    </row>
    <row r="232" spans="1:26" hidden="1" x14ac:dyDescent="0.25">
      <c r="A232" s="2" t="s">
        <v>664</v>
      </c>
      <c r="B232" s="11" t="s">
        <v>654</v>
      </c>
      <c r="C232" s="11" t="s">
        <v>4</v>
      </c>
      <c r="D232" s="11" t="s">
        <v>940</v>
      </c>
      <c r="E232" s="11" t="s">
        <v>348</v>
      </c>
      <c r="F232" s="11" t="s">
        <v>433</v>
      </c>
      <c r="G232" s="12">
        <v>6</v>
      </c>
      <c r="H232" s="12">
        <v>18.32</v>
      </c>
      <c r="I232" s="12">
        <v>109.92</v>
      </c>
      <c r="J232" s="12">
        <v>31756.659999999996</v>
      </c>
      <c r="K232" s="20">
        <f t="shared" si="42"/>
        <v>7</v>
      </c>
      <c r="L232" s="20" t="str">
        <f t="shared" si="43"/>
        <v>Se repite 7 veces</v>
      </c>
      <c r="M232" s="20" t="str">
        <f t="shared" si="44"/>
        <v>Tradiciones Andinas-Galleta Chomp Naranja Victoria 42gr x 6 x 8</v>
      </c>
      <c r="N232" s="20">
        <f t="shared" si="45"/>
        <v>3</v>
      </c>
      <c r="O232" s="20" t="str">
        <f t="shared" si="46"/>
        <v>Se repite 3 veces en Tradiciones Andinas</v>
      </c>
      <c r="P232" s="20" t="str">
        <f t="shared" si="47"/>
        <v>Tradiciones Andinas-Galleta Chomp Naranja Victoria 42gr x 6 x 8-18.32</v>
      </c>
      <c r="Q232" s="20">
        <f t="shared" si="48"/>
        <v>3</v>
      </c>
      <c r="R232" s="20" t="str">
        <f t="shared" si="49"/>
        <v>Se repite 3 veces el precio de 18.32</v>
      </c>
      <c r="S232" s="20" t="str">
        <f t="shared" si="50"/>
        <v>El producto Galleta Chomp Naranja Victoria 42gr x 6 x 8 Se repite 3 veces en Tradiciones Andinas, Se repite 3 veces el precio de 18.32</v>
      </c>
      <c r="T232" s="20" t="str">
        <f t="shared" si="51"/>
        <v>Tradiciones Andinas</v>
      </c>
      <c r="U232" s="20" t="str">
        <f t="shared" si="52"/>
        <v>Galleta Chomp Naranja Victoria 42gr x 6 x 8</v>
      </c>
      <c r="V232" s="22">
        <f t="shared" si="53"/>
        <v>18.32</v>
      </c>
      <c r="W232" t="str">
        <f t="shared" si="54"/>
        <v>Tradiciones Andinas 05/19/2025</v>
      </c>
      <c r="Z232">
        <f t="shared" si="55"/>
        <v>109.92</v>
      </c>
    </row>
    <row r="233" spans="1:26" hidden="1" x14ac:dyDescent="0.25">
      <c r="A233" s="2" t="s">
        <v>664</v>
      </c>
      <c r="B233" s="11" t="s">
        <v>1125</v>
      </c>
      <c r="C233" s="11" t="s">
        <v>4</v>
      </c>
      <c r="D233" s="11" t="s">
        <v>1126</v>
      </c>
      <c r="E233" s="11" t="s">
        <v>348</v>
      </c>
      <c r="F233" s="11" t="s">
        <v>433</v>
      </c>
      <c r="G233" s="12">
        <v>8</v>
      </c>
      <c r="H233" s="12">
        <v>18.32</v>
      </c>
      <c r="I233" s="12">
        <v>146.56</v>
      </c>
      <c r="J233" s="12">
        <v>71351.570000000007</v>
      </c>
      <c r="K233" s="20">
        <f t="shared" si="42"/>
        <v>7</v>
      </c>
      <c r="L233" s="20" t="str">
        <f t="shared" si="43"/>
        <v>Se repite 7 veces</v>
      </c>
      <c r="M233" s="20" t="str">
        <f t="shared" si="44"/>
        <v>Tradiciones Andinas-Galleta Chomp Naranja Victoria 42gr x 6 x 8</v>
      </c>
      <c r="N233" s="20">
        <f t="shared" si="45"/>
        <v>3</v>
      </c>
      <c r="O233" s="20" t="str">
        <f t="shared" si="46"/>
        <v>Se repite 3 veces en Tradiciones Andinas</v>
      </c>
      <c r="P233" s="20" t="str">
        <f t="shared" si="47"/>
        <v>Tradiciones Andinas-Galleta Chomp Naranja Victoria 42gr x 6 x 8-18.32</v>
      </c>
      <c r="Q233" s="20">
        <f t="shared" si="48"/>
        <v>3</v>
      </c>
      <c r="R233" s="20" t="str">
        <f t="shared" si="49"/>
        <v>Se repite 3 veces el precio de 18.32</v>
      </c>
      <c r="S233" s="20" t="str">
        <f t="shared" si="50"/>
        <v>El producto Galleta Chomp Naranja Victoria 42gr x 6 x 8 Se repite 3 veces en Tradiciones Andinas, Se repite 3 veces el precio de 18.32</v>
      </c>
      <c r="T233" s="20" t="str">
        <f t="shared" si="51"/>
        <v>Tradiciones Andinas</v>
      </c>
      <c r="U233" s="20" t="str">
        <f t="shared" si="52"/>
        <v>Galleta Chomp Naranja Victoria 42gr x 6 x 8</v>
      </c>
      <c r="V233" s="22">
        <f t="shared" si="53"/>
        <v>18.32</v>
      </c>
      <c r="W233" t="str">
        <f t="shared" si="54"/>
        <v>Tradiciones Andinas 08/18/2025</v>
      </c>
      <c r="Z233">
        <f t="shared" si="55"/>
        <v>146.56</v>
      </c>
    </row>
    <row r="234" spans="1:26" hidden="1" x14ac:dyDescent="0.25">
      <c r="A234" s="2" t="s">
        <v>664</v>
      </c>
      <c r="B234" s="11" t="s">
        <v>1207</v>
      </c>
      <c r="C234" s="11" t="s">
        <v>4</v>
      </c>
      <c r="D234" s="11" t="s">
        <v>1208</v>
      </c>
      <c r="E234" s="11" t="s">
        <v>348</v>
      </c>
      <c r="F234" s="11" t="s">
        <v>433</v>
      </c>
      <c r="G234" s="12">
        <v>20</v>
      </c>
      <c r="H234" s="12">
        <v>18.32</v>
      </c>
      <c r="I234" s="12">
        <v>366.4</v>
      </c>
      <c r="J234" s="12">
        <v>112416.41999999988</v>
      </c>
      <c r="K234" s="20">
        <f t="shared" si="42"/>
        <v>7</v>
      </c>
      <c r="L234" s="20" t="str">
        <f t="shared" si="43"/>
        <v>Se repite 7 veces</v>
      </c>
      <c r="M234" s="20" t="str">
        <f t="shared" si="44"/>
        <v>Tradiciones Andinas-Galleta Chomp Naranja Victoria 42gr x 6 x 8</v>
      </c>
      <c r="N234" s="20">
        <f t="shared" si="45"/>
        <v>3</v>
      </c>
      <c r="O234" s="20" t="str">
        <f t="shared" si="46"/>
        <v>Se repite 3 veces en Tradiciones Andinas</v>
      </c>
      <c r="P234" s="20" t="str">
        <f t="shared" si="47"/>
        <v>Tradiciones Andinas-Galleta Chomp Naranja Victoria 42gr x 6 x 8-18.32</v>
      </c>
      <c r="Q234" s="20">
        <f t="shared" si="48"/>
        <v>3</v>
      </c>
      <c r="R234" s="20" t="str">
        <f t="shared" si="49"/>
        <v>Se repite 3 veces el precio de 18.32</v>
      </c>
      <c r="S234" s="20" t="str">
        <f t="shared" si="50"/>
        <v>El producto Galleta Chomp Naranja Victoria 42gr x 6 x 8 Se repite 3 veces en Tradiciones Andinas, Se repite 3 veces el precio de 18.32</v>
      </c>
      <c r="T234" s="20" t="str">
        <f t="shared" si="51"/>
        <v>Tradiciones Andinas</v>
      </c>
      <c r="U234" s="20" t="str">
        <f t="shared" si="52"/>
        <v>Galleta Chomp Naranja Victoria 42gr x 6 x 8</v>
      </c>
      <c r="V234" s="22">
        <f t="shared" si="53"/>
        <v>18.32</v>
      </c>
      <c r="W234" t="str">
        <f t="shared" si="54"/>
        <v>Tradiciones Andinas 11/28/2025</v>
      </c>
      <c r="Z234">
        <f t="shared" si="55"/>
        <v>366.4</v>
      </c>
    </row>
    <row r="235" spans="1:26" hidden="1" x14ac:dyDescent="0.25">
      <c r="A235" s="2" t="s">
        <v>18</v>
      </c>
      <c r="B235" s="11" t="s">
        <v>19</v>
      </c>
      <c r="C235" s="11" t="s">
        <v>4</v>
      </c>
      <c r="D235" s="11" t="s">
        <v>20</v>
      </c>
      <c r="E235" s="11" t="s">
        <v>74</v>
      </c>
      <c r="F235" s="11" t="s">
        <v>75</v>
      </c>
      <c r="G235" s="12">
        <v>1</v>
      </c>
      <c r="H235" s="12">
        <v>55</v>
      </c>
      <c r="I235" s="12">
        <v>55</v>
      </c>
      <c r="J235" s="12">
        <v>3730.7000000000003</v>
      </c>
      <c r="K235" s="20">
        <f t="shared" si="42"/>
        <v>2</v>
      </c>
      <c r="L235" s="20" t="str">
        <f t="shared" si="43"/>
        <v>Se repite 2 veces</v>
      </c>
      <c r="M235" s="20" t="str">
        <f t="shared" si="44"/>
        <v>Belmont International Trading Corp-Galleta Club Social 6 x 32</v>
      </c>
      <c r="N235" s="20">
        <f t="shared" si="45"/>
        <v>2</v>
      </c>
      <c r="O235" s="20" t="str">
        <f t="shared" si="46"/>
        <v>Se repite 2 veces en Belmont International Trading Corp</v>
      </c>
      <c r="P235" s="20" t="str">
        <f t="shared" si="47"/>
        <v>Belmont International Trading Corp-Galleta Club Social 6 x 32-55</v>
      </c>
      <c r="Q235" s="20">
        <f t="shared" si="48"/>
        <v>1</v>
      </c>
      <c r="R235" s="20" t="str">
        <f t="shared" si="49"/>
        <v>No se repite</v>
      </c>
      <c r="S235" s="20" t="str">
        <f t="shared" si="50"/>
        <v>El producto Galleta Club Social 6 x 32 Se repite 2 veces en Belmont International Trading Corp Una vez con el precio 55</v>
      </c>
      <c r="T235" s="20" t="str">
        <f t="shared" si="51"/>
        <v>Belmont International Trading Corp</v>
      </c>
      <c r="U235" s="20" t="str">
        <f t="shared" si="52"/>
        <v>Galleta Club Social 6 x 32</v>
      </c>
      <c r="V235" s="22">
        <f t="shared" si="53"/>
        <v>55</v>
      </c>
      <c r="W235" t="str">
        <f t="shared" si="54"/>
        <v>Belmont International Trading Corp 04/28/2025</v>
      </c>
      <c r="Z235">
        <f t="shared" si="55"/>
        <v>55</v>
      </c>
    </row>
    <row r="236" spans="1:26" hidden="1" x14ac:dyDescent="0.25">
      <c r="A236" s="2" t="s">
        <v>18</v>
      </c>
      <c r="B236" s="11" t="s">
        <v>158</v>
      </c>
      <c r="C236" s="11" t="s">
        <v>4</v>
      </c>
      <c r="D236" s="11" t="s">
        <v>159</v>
      </c>
      <c r="E236" s="11" t="s">
        <v>74</v>
      </c>
      <c r="F236" s="11" t="s">
        <v>75</v>
      </c>
      <c r="G236" s="12">
        <v>1</v>
      </c>
      <c r="H236" s="12">
        <v>60.5</v>
      </c>
      <c r="I236" s="12">
        <v>60.5</v>
      </c>
      <c r="J236" s="12">
        <v>14278.64</v>
      </c>
      <c r="K236" s="20">
        <f t="shared" si="42"/>
        <v>2</v>
      </c>
      <c r="L236" s="20" t="str">
        <f t="shared" si="43"/>
        <v>Se repite 2 veces</v>
      </c>
      <c r="M236" s="20" t="str">
        <f t="shared" si="44"/>
        <v>Belmont International Trading Corp-Galleta Club Social 6 x 32</v>
      </c>
      <c r="N236" s="20">
        <f t="shared" si="45"/>
        <v>2</v>
      </c>
      <c r="O236" s="20" t="str">
        <f t="shared" si="46"/>
        <v>Se repite 2 veces en Belmont International Trading Corp</v>
      </c>
      <c r="P236" s="20" t="str">
        <f t="shared" si="47"/>
        <v>Belmont International Trading Corp-Galleta Club Social 6 x 32-60.5</v>
      </c>
      <c r="Q236" s="20">
        <f t="shared" si="48"/>
        <v>1</v>
      </c>
      <c r="R236" s="20" t="str">
        <f t="shared" si="49"/>
        <v>No se repite</v>
      </c>
      <c r="S236" s="20" t="str">
        <f t="shared" si="50"/>
        <v>El producto Galleta Club Social 6 x 32 Se repite 2 veces en Belmont International Trading Corp Una vez con el precio 60.5</v>
      </c>
      <c r="T236" s="20" t="str">
        <f t="shared" si="51"/>
        <v>Belmont International Trading Corp</v>
      </c>
      <c r="U236" s="20" t="str">
        <f t="shared" si="52"/>
        <v>Galleta Club Social 6 x 32</v>
      </c>
      <c r="V236" s="22">
        <f t="shared" si="53"/>
        <v>60.5</v>
      </c>
      <c r="W236" t="str">
        <f t="shared" si="54"/>
        <v>Belmont International Trading Corp 06/12/2025</v>
      </c>
      <c r="Y236" s="27"/>
      <c r="Z236">
        <f t="shared" si="55"/>
        <v>60.5</v>
      </c>
    </row>
    <row r="237" spans="1:26" hidden="1" x14ac:dyDescent="0.25">
      <c r="A237" s="2" t="s">
        <v>18</v>
      </c>
      <c r="B237" s="11" t="s">
        <v>19</v>
      </c>
      <c r="C237" s="11" t="s">
        <v>4</v>
      </c>
      <c r="D237" s="11" t="s">
        <v>20</v>
      </c>
      <c r="E237" s="11" t="s">
        <v>68</v>
      </c>
      <c r="F237" s="11" t="s">
        <v>69</v>
      </c>
      <c r="G237" s="12">
        <v>1</v>
      </c>
      <c r="H237" s="12">
        <v>9.5</v>
      </c>
      <c r="I237" s="12">
        <v>9.5</v>
      </c>
      <c r="J237" s="12">
        <v>3568.8</v>
      </c>
      <c r="K237" s="20">
        <f t="shared" si="42"/>
        <v>1</v>
      </c>
      <c r="L237" s="20" t="str">
        <f t="shared" si="43"/>
        <v>No se repite</v>
      </c>
      <c r="M237" s="20" t="str">
        <f t="shared" si="44"/>
        <v>Belmont International Trading Corp-Galleta Municion San Jorge 1.94oz (55gr) x 25</v>
      </c>
      <c r="N237" s="20">
        <f t="shared" si="45"/>
        <v>1</v>
      </c>
      <c r="O237" s="20" t="str">
        <f t="shared" si="46"/>
        <v>No se repite en proveedor</v>
      </c>
      <c r="P237" s="20" t="str">
        <f t="shared" si="47"/>
        <v>Belmont International Trading Corp-Galleta Municion San Jorge 1.94oz (55gr) x 25-9.5</v>
      </c>
      <c r="Q237" s="20">
        <f t="shared" si="48"/>
        <v>1</v>
      </c>
      <c r="R237" s="20" t="str">
        <f t="shared" si="49"/>
        <v>No se repite</v>
      </c>
      <c r="S237" s="20" t="str">
        <f t="shared" si="50"/>
        <v>El producto Galleta Municion San Jorge 1.94oz (55gr) x 25 No se repite en proveedor Una vez con el precio 9.5</v>
      </c>
      <c r="T237" s="20" t="str">
        <f t="shared" si="51"/>
        <v>Belmont International Trading Corp</v>
      </c>
      <c r="U237" s="20" t="str">
        <f t="shared" si="52"/>
        <v>Galleta Municion San Jorge 1.94oz (55gr) x 25</v>
      </c>
      <c r="V237" s="22">
        <f t="shared" si="53"/>
        <v>9.5</v>
      </c>
      <c r="W237" t="str">
        <f t="shared" si="54"/>
        <v>Belmont International Trading Corp 04/28/2025</v>
      </c>
      <c r="Z237">
        <f t="shared" si="55"/>
        <v>9.5</v>
      </c>
    </row>
    <row r="238" spans="1:26" hidden="1" x14ac:dyDescent="0.25">
      <c r="A238" s="2" t="s">
        <v>272</v>
      </c>
      <c r="B238" s="11" t="s">
        <v>273</v>
      </c>
      <c r="C238" s="11" t="s">
        <v>4</v>
      </c>
      <c r="D238" s="11" t="s">
        <v>5</v>
      </c>
      <c r="E238" s="11" t="s">
        <v>350</v>
      </c>
      <c r="F238" s="11" t="s">
        <v>351</v>
      </c>
      <c r="G238" s="12">
        <v>1</v>
      </c>
      <c r="H238" s="12">
        <v>16</v>
      </c>
      <c r="I238" s="12">
        <v>16</v>
      </c>
      <c r="J238" s="12">
        <v>1364.1999999999998</v>
      </c>
      <c r="K238" s="20">
        <f t="shared" si="42"/>
        <v>5</v>
      </c>
      <c r="L238" s="20" t="str">
        <f t="shared" si="43"/>
        <v>Se repite 5 veces</v>
      </c>
      <c r="M238" s="20" t="str">
        <f t="shared" si="44"/>
        <v>Peru Chef-Galletas Chomp Chocolate 42gr x 6 x 8</v>
      </c>
      <c r="N238" s="20">
        <f t="shared" si="45"/>
        <v>5</v>
      </c>
      <c r="O238" s="20" t="str">
        <f t="shared" si="46"/>
        <v>Se repite 5 veces en Peru Chef</v>
      </c>
      <c r="P238" s="20" t="str">
        <f t="shared" si="47"/>
        <v>Peru Chef-Galletas Chomp Chocolate 42gr x 6 x 8-16</v>
      </c>
      <c r="Q238" s="20">
        <f t="shared" si="48"/>
        <v>2</v>
      </c>
      <c r="R238" s="20" t="str">
        <f t="shared" si="49"/>
        <v>Se repite 2 veces el precio de 16</v>
      </c>
      <c r="S238" s="20" t="str">
        <f t="shared" si="50"/>
        <v>El producto Galletas Chomp Chocolate 42gr x 6 x 8 Se repite 5 veces en Peru Chef, Se repite 2 veces el precio de 16</v>
      </c>
      <c r="T238" s="20" t="str">
        <f t="shared" si="51"/>
        <v>Peru Chef</v>
      </c>
      <c r="U238" s="20" t="str">
        <f t="shared" si="52"/>
        <v>Galletas Chomp Chocolate 42gr x 6 x 8</v>
      </c>
      <c r="V238" s="22">
        <f t="shared" si="53"/>
        <v>16</v>
      </c>
      <c r="W238" t="str">
        <f t="shared" si="54"/>
        <v>Peru Chef 03/26/2025</v>
      </c>
      <c r="Z238">
        <f t="shared" si="55"/>
        <v>16</v>
      </c>
    </row>
    <row r="239" spans="1:26" hidden="1" x14ac:dyDescent="0.25">
      <c r="A239" s="2" t="s">
        <v>272</v>
      </c>
      <c r="B239" s="11" t="s">
        <v>398</v>
      </c>
      <c r="C239" s="11" t="s">
        <v>4</v>
      </c>
      <c r="D239" s="11" t="s">
        <v>399</v>
      </c>
      <c r="E239" s="11" t="s">
        <v>350</v>
      </c>
      <c r="F239" s="11" t="s">
        <v>351</v>
      </c>
      <c r="G239" s="12">
        <v>1</v>
      </c>
      <c r="H239" s="12">
        <v>16</v>
      </c>
      <c r="I239" s="12">
        <v>16</v>
      </c>
      <c r="J239" s="12">
        <v>3515</v>
      </c>
      <c r="K239" s="20">
        <f t="shared" si="42"/>
        <v>5</v>
      </c>
      <c r="L239" s="20" t="str">
        <f t="shared" si="43"/>
        <v>Se repite 5 veces</v>
      </c>
      <c r="M239" s="20" t="str">
        <f t="shared" si="44"/>
        <v>Peru Chef-Galletas Chomp Chocolate 42gr x 6 x 8</v>
      </c>
      <c r="N239" s="20">
        <f t="shared" si="45"/>
        <v>5</v>
      </c>
      <c r="O239" s="20" t="str">
        <f t="shared" si="46"/>
        <v>Se repite 5 veces en Peru Chef</v>
      </c>
      <c r="P239" s="20" t="str">
        <f t="shared" si="47"/>
        <v>Peru Chef-Galletas Chomp Chocolate 42gr x 6 x 8-16</v>
      </c>
      <c r="Q239" s="20">
        <f t="shared" si="48"/>
        <v>2</v>
      </c>
      <c r="R239" s="20" t="str">
        <f t="shared" si="49"/>
        <v>Se repite 2 veces el precio de 16</v>
      </c>
      <c r="S239" s="20" t="str">
        <f t="shared" si="50"/>
        <v>El producto Galletas Chomp Chocolate 42gr x 6 x 8 Se repite 5 veces en Peru Chef, Se repite 2 veces el precio de 16</v>
      </c>
      <c r="T239" s="20" t="str">
        <f t="shared" si="51"/>
        <v>Peru Chef</v>
      </c>
      <c r="U239" s="20" t="str">
        <f t="shared" si="52"/>
        <v>Galletas Chomp Chocolate 42gr x 6 x 8</v>
      </c>
      <c r="V239" s="22">
        <f t="shared" si="53"/>
        <v>16</v>
      </c>
      <c r="W239" t="str">
        <f t="shared" si="54"/>
        <v>Peru Chef 04/10/2025</v>
      </c>
      <c r="Z239">
        <f t="shared" si="55"/>
        <v>16</v>
      </c>
    </row>
    <row r="240" spans="1:26" hidden="1" x14ac:dyDescent="0.25">
      <c r="A240" s="2" t="s">
        <v>272</v>
      </c>
      <c r="B240" s="11" t="s">
        <v>408</v>
      </c>
      <c r="C240" s="11" t="s">
        <v>4</v>
      </c>
      <c r="D240" s="11" t="s">
        <v>409</v>
      </c>
      <c r="E240" s="11" t="s">
        <v>350</v>
      </c>
      <c r="F240" s="11" t="s">
        <v>351</v>
      </c>
      <c r="G240" s="12">
        <v>5</v>
      </c>
      <c r="H240" s="12">
        <v>17</v>
      </c>
      <c r="I240" s="12">
        <v>85</v>
      </c>
      <c r="J240" s="12">
        <v>5951.6</v>
      </c>
      <c r="K240" s="20">
        <f t="shared" si="42"/>
        <v>5</v>
      </c>
      <c r="L240" s="20" t="str">
        <f t="shared" si="43"/>
        <v>Se repite 5 veces</v>
      </c>
      <c r="M240" s="20" t="str">
        <f t="shared" si="44"/>
        <v>Peru Chef-Galletas Chomp Chocolate 42gr x 6 x 8</v>
      </c>
      <c r="N240" s="20">
        <f t="shared" si="45"/>
        <v>5</v>
      </c>
      <c r="O240" s="20" t="str">
        <f t="shared" si="46"/>
        <v>Se repite 5 veces en Peru Chef</v>
      </c>
      <c r="P240" s="20" t="str">
        <f t="shared" si="47"/>
        <v>Peru Chef-Galletas Chomp Chocolate 42gr x 6 x 8-17</v>
      </c>
      <c r="Q240" s="20">
        <f t="shared" si="48"/>
        <v>1</v>
      </c>
      <c r="R240" s="20" t="str">
        <f t="shared" si="49"/>
        <v>No se repite</v>
      </c>
      <c r="S240" s="20" t="str">
        <f t="shared" si="50"/>
        <v>El producto Galletas Chomp Chocolate 42gr x 6 x 8 Se repite 5 veces en Peru Chef Una vez con el precio 17</v>
      </c>
      <c r="T240" s="20" t="str">
        <f t="shared" si="51"/>
        <v>Peru Chef</v>
      </c>
      <c r="U240" s="20" t="str">
        <f t="shared" si="52"/>
        <v>Galletas Chomp Chocolate 42gr x 6 x 8</v>
      </c>
      <c r="V240" s="22">
        <f t="shared" si="53"/>
        <v>17</v>
      </c>
      <c r="W240" t="str">
        <f t="shared" si="54"/>
        <v>Peru Chef 04/13/2025</v>
      </c>
      <c r="Z240">
        <f t="shared" si="55"/>
        <v>85</v>
      </c>
    </row>
    <row r="241" spans="1:26" hidden="1" x14ac:dyDescent="0.25">
      <c r="A241" s="2" t="s">
        <v>272</v>
      </c>
      <c r="B241" s="11" t="s">
        <v>590</v>
      </c>
      <c r="C241" s="11" t="s">
        <v>4</v>
      </c>
      <c r="D241" s="11" t="s">
        <v>591</v>
      </c>
      <c r="E241" s="11" t="s">
        <v>350</v>
      </c>
      <c r="F241" s="11" t="s">
        <v>592</v>
      </c>
      <c r="G241" s="12">
        <v>10</v>
      </c>
      <c r="H241" s="12">
        <v>15.3</v>
      </c>
      <c r="I241" s="12">
        <v>153</v>
      </c>
      <c r="J241" s="12">
        <v>30170.2</v>
      </c>
      <c r="K241" s="20">
        <f t="shared" si="42"/>
        <v>5</v>
      </c>
      <c r="L241" s="20" t="str">
        <f t="shared" si="43"/>
        <v>Se repite 5 veces</v>
      </c>
      <c r="M241" s="20" t="str">
        <f t="shared" si="44"/>
        <v>Peru Chef-Galletas Chomp Chocolate 42gr x 6 x 8</v>
      </c>
      <c r="N241" s="20">
        <f t="shared" si="45"/>
        <v>5</v>
      </c>
      <c r="O241" s="20" t="str">
        <f t="shared" si="46"/>
        <v>Se repite 5 veces en Peru Chef</v>
      </c>
      <c r="P241" s="20" t="str">
        <f t="shared" si="47"/>
        <v>Peru Chef-Galletas Chomp Chocolate 42gr x 6 x 8-15.3</v>
      </c>
      <c r="Q241" s="20">
        <f t="shared" si="48"/>
        <v>2</v>
      </c>
      <c r="R241" s="20" t="str">
        <f t="shared" si="49"/>
        <v>Se repite 2 veces el precio de 15.3</v>
      </c>
      <c r="S241" s="20" t="str">
        <f t="shared" si="50"/>
        <v>El producto Galletas Chomp Chocolate 42gr x 6 x 8 Se repite 5 veces en Peru Chef, Se repite 2 veces el precio de 15.3</v>
      </c>
      <c r="T241" s="20" t="str">
        <f t="shared" si="51"/>
        <v>Peru Chef</v>
      </c>
      <c r="U241" s="20" t="str">
        <f t="shared" si="52"/>
        <v>Galletas Chomp Chocolate 42gr x 6 x 8</v>
      </c>
      <c r="V241" s="22">
        <f t="shared" si="53"/>
        <v>15.3</v>
      </c>
      <c r="W241" t="str">
        <f t="shared" si="54"/>
        <v>Peru Chef 10/28/2025</v>
      </c>
      <c r="Z241">
        <f t="shared" si="55"/>
        <v>153</v>
      </c>
    </row>
    <row r="242" spans="1:26" hidden="1" x14ac:dyDescent="0.25">
      <c r="A242" s="2" t="s">
        <v>272</v>
      </c>
      <c r="B242" s="11" t="s">
        <v>600</v>
      </c>
      <c r="C242" s="11" t="s">
        <v>4</v>
      </c>
      <c r="D242" s="11" t="s">
        <v>601</v>
      </c>
      <c r="E242" s="11" t="s">
        <v>350</v>
      </c>
      <c r="F242" s="11" t="s">
        <v>592</v>
      </c>
      <c r="G242" s="12">
        <v>4</v>
      </c>
      <c r="H242" s="12">
        <v>15.3</v>
      </c>
      <c r="I242" s="12">
        <v>61.2</v>
      </c>
      <c r="J242" s="12">
        <v>36766.750000000007</v>
      </c>
      <c r="K242" s="20">
        <f t="shared" si="42"/>
        <v>5</v>
      </c>
      <c r="L242" s="20" t="str">
        <f t="shared" si="43"/>
        <v>Se repite 5 veces</v>
      </c>
      <c r="M242" s="20" t="str">
        <f t="shared" si="44"/>
        <v>Peru Chef-Galletas Chomp Chocolate 42gr x 6 x 8</v>
      </c>
      <c r="N242" s="20">
        <f t="shared" si="45"/>
        <v>5</v>
      </c>
      <c r="O242" s="20" t="str">
        <f t="shared" si="46"/>
        <v>Se repite 5 veces en Peru Chef</v>
      </c>
      <c r="P242" s="20" t="str">
        <f t="shared" si="47"/>
        <v>Peru Chef-Galletas Chomp Chocolate 42gr x 6 x 8-15.3</v>
      </c>
      <c r="Q242" s="20">
        <f t="shared" si="48"/>
        <v>2</v>
      </c>
      <c r="R242" s="20" t="str">
        <f t="shared" si="49"/>
        <v>Se repite 2 veces el precio de 15.3</v>
      </c>
      <c r="S242" s="20" t="str">
        <f t="shared" si="50"/>
        <v>El producto Galletas Chomp Chocolate 42gr x 6 x 8 Se repite 5 veces en Peru Chef, Se repite 2 veces el precio de 15.3</v>
      </c>
      <c r="T242" s="20" t="str">
        <f t="shared" si="51"/>
        <v>Peru Chef</v>
      </c>
      <c r="U242" s="20" t="str">
        <f t="shared" si="52"/>
        <v>Galletas Chomp Chocolate 42gr x 6 x 8</v>
      </c>
      <c r="V242" s="22">
        <f t="shared" si="53"/>
        <v>15.3</v>
      </c>
      <c r="W242" t="str">
        <f t="shared" si="54"/>
        <v>Peru Chef 11/14/2025</v>
      </c>
      <c r="Z242">
        <f t="shared" si="55"/>
        <v>61.2</v>
      </c>
    </row>
    <row r="243" spans="1:26" hidden="1" x14ac:dyDescent="0.25">
      <c r="A243" s="2" t="s">
        <v>18</v>
      </c>
      <c r="B243" s="11" t="s">
        <v>19</v>
      </c>
      <c r="C243" s="11" t="s">
        <v>4</v>
      </c>
      <c r="D243" s="11" t="s">
        <v>20</v>
      </c>
      <c r="E243" s="11" t="s">
        <v>62</v>
      </c>
      <c r="F243" s="11" t="s">
        <v>63</v>
      </c>
      <c r="G243" s="12">
        <v>3</v>
      </c>
      <c r="H243" s="12">
        <v>16</v>
      </c>
      <c r="I243" s="12">
        <v>48</v>
      </c>
      <c r="J243" s="12">
        <v>3462.3</v>
      </c>
      <c r="K243" s="20">
        <f t="shared" si="42"/>
        <v>8</v>
      </c>
      <c r="L243" s="20" t="str">
        <f t="shared" si="43"/>
        <v>Se repite 8 veces</v>
      </c>
      <c r="M243" s="20" t="str">
        <f t="shared" si="44"/>
        <v>Belmont International Trading Corp-Galletas Margarita Sayon 6 x 8 pack</v>
      </c>
      <c r="N243" s="20">
        <f t="shared" si="45"/>
        <v>1</v>
      </c>
      <c r="O243" s="20" t="str">
        <f t="shared" si="46"/>
        <v>No se repite en proveedor</v>
      </c>
      <c r="P243" s="20" t="str">
        <f t="shared" si="47"/>
        <v>Belmont International Trading Corp-Galletas Margarita Sayon 6 x 8 pack-16</v>
      </c>
      <c r="Q243" s="20">
        <f t="shared" si="48"/>
        <v>1</v>
      </c>
      <c r="R243" s="20" t="str">
        <f t="shared" si="49"/>
        <v>No se repite</v>
      </c>
      <c r="S243" s="20" t="str">
        <f t="shared" si="50"/>
        <v>El producto Galletas Margarita Sayon 6 x 8 pack No se repite en proveedor Una vez con el precio 16</v>
      </c>
      <c r="T243" s="20" t="str">
        <f t="shared" si="51"/>
        <v>Belmont International Trading Corp</v>
      </c>
      <c r="U243" s="20" t="str">
        <f t="shared" si="52"/>
        <v>Galletas Margarita Sayon 6 x 8 pack</v>
      </c>
      <c r="V243" s="22">
        <f t="shared" si="53"/>
        <v>16</v>
      </c>
      <c r="W243" t="str">
        <f t="shared" si="54"/>
        <v>Belmont International Trading Corp 04/28/2025</v>
      </c>
      <c r="Z243">
        <f t="shared" si="55"/>
        <v>48</v>
      </c>
    </row>
    <row r="244" spans="1:26" hidden="1" x14ac:dyDescent="0.25">
      <c r="A244" s="2" t="s">
        <v>272</v>
      </c>
      <c r="B244" s="11" t="s">
        <v>408</v>
      </c>
      <c r="C244" s="11" t="s">
        <v>4</v>
      </c>
      <c r="D244" s="11" t="s">
        <v>409</v>
      </c>
      <c r="E244" s="11" t="s">
        <v>62</v>
      </c>
      <c r="F244" s="11" t="s">
        <v>63</v>
      </c>
      <c r="G244" s="12">
        <v>5</v>
      </c>
      <c r="H244" s="12">
        <v>17</v>
      </c>
      <c r="I244" s="12">
        <v>85</v>
      </c>
      <c r="J244" s="12">
        <v>5583.6</v>
      </c>
      <c r="K244" s="20">
        <f t="shared" si="42"/>
        <v>8</v>
      </c>
      <c r="L244" s="20" t="str">
        <f t="shared" si="43"/>
        <v>Se repite 8 veces</v>
      </c>
      <c r="M244" s="20" t="str">
        <f t="shared" si="44"/>
        <v>Peru Chef-Galletas Margarita Sayon 6 x 8 pack</v>
      </c>
      <c r="N244" s="20">
        <f t="shared" si="45"/>
        <v>1</v>
      </c>
      <c r="O244" s="20" t="str">
        <f t="shared" si="46"/>
        <v>No se repite en proveedor</v>
      </c>
      <c r="P244" s="20" t="str">
        <f t="shared" si="47"/>
        <v>Peru Chef-Galletas Margarita Sayon 6 x 8 pack-17</v>
      </c>
      <c r="Q244" s="20">
        <f t="shared" si="48"/>
        <v>1</v>
      </c>
      <c r="R244" s="20" t="str">
        <f t="shared" si="49"/>
        <v>No se repite</v>
      </c>
      <c r="S244" s="20" t="str">
        <f t="shared" si="50"/>
        <v>El producto Galletas Margarita Sayon 6 x 8 pack No se repite en proveedor Una vez con el precio 17</v>
      </c>
      <c r="T244" s="20" t="str">
        <f t="shared" si="51"/>
        <v>Peru Chef</v>
      </c>
      <c r="U244" s="20" t="str">
        <f t="shared" si="52"/>
        <v>Galletas Margarita Sayon 6 x 8 pack</v>
      </c>
      <c r="V244" s="22">
        <f t="shared" si="53"/>
        <v>17</v>
      </c>
      <c r="W244" t="str">
        <f t="shared" si="54"/>
        <v>Peru Chef 04/13/2025</v>
      </c>
      <c r="Z244">
        <f t="shared" si="55"/>
        <v>85</v>
      </c>
    </row>
    <row r="245" spans="1:26" hidden="1" x14ac:dyDescent="0.25">
      <c r="A245" s="2" t="s">
        <v>664</v>
      </c>
      <c r="B245" s="11" t="s">
        <v>398</v>
      </c>
      <c r="C245" s="11" t="s">
        <v>4</v>
      </c>
      <c r="D245" s="11" t="s">
        <v>5</v>
      </c>
      <c r="E245" s="11" t="s">
        <v>62</v>
      </c>
      <c r="F245" s="11" t="s">
        <v>790</v>
      </c>
      <c r="G245" s="12">
        <v>5</v>
      </c>
      <c r="H245" s="12">
        <v>12.8</v>
      </c>
      <c r="I245" s="12">
        <v>64</v>
      </c>
      <c r="J245" s="12">
        <v>5528.6399999999994</v>
      </c>
      <c r="K245" s="20">
        <f t="shared" si="42"/>
        <v>8</v>
      </c>
      <c r="L245" s="20" t="str">
        <f t="shared" si="43"/>
        <v>Se repite 8 veces</v>
      </c>
      <c r="M245" s="20" t="str">
        <f t="shared" si="44"/>
        <v>Tradiciones Andinas-Galletas Margarita Sayon 6 x 8 pack</v>
      </c>
      <c r="N245" s="20">
        <f t="shared" si="45"/>
        <v>6</v>
      </c>
      <c r="O245" s="20" t="str">
        <f t="shared" si="46"/>
        <v>Se repite 6 veces en Tradiciones Andinas</v>
      </c>
      <c r="P245" s="20" t="str">
        <f t="shared" si="47"/>
        <v>Tradiciones Andinas-Galletas Margarita Sayon 6 x 8 pack-12.8</v>
      </c>
      <c r="Q245" s="20">
        <f t="shared" si="48"/>
        <v>2</v>
      </c>
      <c r="R245" s="20" t="str">
        <f t="shared" si="49"/>
        <v>Se repite 2 veces el precio de 12.8</v>
      </c>
      <c r="S245" s="20" t="str">
        <f t="shared" si="50"/>
        <v>El producto Galletas Margarita Sayon 6 x 8 pack Se repite 6 veces en Tradiciones Andinas, Se repite 2 veces el precio de 12.8</v>
      </c>
      <c r="T245" s="20" t="str">
        <f t="shared" si="51"/>
        <v>Tradiciones Andinas</v>
      </c>
      <c r="U245" s="20" t="str">
        <f t="shared" si="52"/>
        <v>Galletas Margarita Sayon 6 x 8 pack</v>
      </c>
      <c r="V245" s="22">
        <f t="shared" si="53"/>
        <v>12.8</v>
      </c>
      <c r="W245" t="str">
        <f t="shared" si="54"/>
        <v>Tradiciones Andinas 04/10/2025</v>
      </c>
      <c r="Z245">
        <f t="shared" si="55"/>
        <v>64</v>
      </c>
    </row>
    <row r="246" spans="1:26" hidden="1" x14ac:dyDescent="0.25">
      <c r="A246" s="2" t="s">
        <v>664</v>
      </c>
      <c r="B246" s="11" t="s">
        <v>821</v>
      </c>
      <c r="C246" s="11" t="s">
        <v>4</v>
      </c>
      <c r="D246" s="11" t="s">
        <v>822</v>
      </c>
      <c r="E246" s="11" t="s">
        <v>62</v>
      </c>
      <c r="F246" s="11" t="s">
        <v>790</v>
      </c>
      <c r="G246" s="12">
        <v>12</v>
      </c>
      <c r="H246" s="12">
        <v>12.8</v>
      </c>
      <c r="I246" s="12">
        <v>153.6</v>
      </c>
      <c r="J246" s="12">
        <v>18664.079999999998</v>
      </c>
      <c r="K246" s="20">
        <f t="shared" si="42"/>
        <v>8</v>
      </c>
      <c r="L246" s="20" t="str">
        <f t="shared" si="43"/>
        <v>Se repite 8 veces</v>
      </c>
      <c r="M246" s="20" t="str">
        <f t="shared" si="44"/>
        <v>Tradiciones Andinas-Galletas Margarita Sayon 6 x 8 pack</v>
      </c>
      <c r="N246" s="20">
        <f t="shared" si="45"/>
        <v>6</v>
      </c>
      <c r="O246" s="20" t="str">
        <f t="shared" si="46"/>
        <v>Se repite 6 veces en Tradiciones Andinas</v>
      </c>
      <c r="P246" s="20" t="str">
        <f t="shared" si="47"/>
        <v>Tradiciones Andinas-Galletas Margarita Sayon 6 x 8 pack-12.8</v>
      </c>
      <c r="Q246" s="20">
        <f t="shared" si="48"/>
        <v>2</v>
      </c>
      <c r="R246" s="20" t="str">
        <f t="shared" si="49"/>
        <v>Se repite 2 veces el precio de 12.8</v>
      </c>
      <c r="S246" s="20" t="str">
        <f t="shared" si="50"/>
        <v>El producto Galletas Margarita Sayon 6 x 8 pack Se repite 6 veces en Tradiciones Andinas, Se repite 2 veces el precio de 12.8</v>
      </c>
      <c r="T246" s="20" t="str">
        <f t="shared" si="51"/>
        <v>Tradiciones Andinas</v>
      </c>
      <c r="U246" s="20" t="str">
        <f t="shared" si="52"/>
        <v>Galletas Margarita Sayon 6 x 8 pack</v>
      </c>
      <c r="V246" s="22">
        <f t="shared" si="53"/>
        <v>12.8</v>
      </c>
      <c r="W246" t="str">
        <f t="shared" si="54"/>
        <v>Tradiciones Andinas 04/25/2025</v>
      </c>
      <c r="Z246">
        <f t="shared" si="55"/>
        <v>153.60000000000002</v>
      </c>
    </row>
    <row r="247" spans="1:26" hidden="1" x14ac:dyDescent="0.25">
      <c r="A247" s="2" t="s">
        <v>664</v>
      </c>
      <c r="B247" s="11" t="s">
        <v>654</v>
      </c>
      <c r="C247" s="11" t="s">
        <v>4</v>
      </c>
      <c r="D247" s="11" t="s">
        <v>940</v>
      </c>
      <c r="E247" s="11" t="s">
        <v>62</v>
      </c>
      <c r="F247" s="11" t="s">
        <v>63</v>
      </c>
      <c r="G247" s="12">
        <v>5</v>
      </c>
      <c r="H247" s="12">
        <v>13.57</v>
      </c>
      <c r="I247" s="12">
        <v>67.849999999999994</v>
      </c>
      <c r="J247" s="12">
        <v>30849.989999999994</v>
      </c>
      <c r="K247" s="20">
        <f t="shared" si="42"/>
        <v>8</v>
      </c>
      <c r="L247" s="20" t="str">
        <f t="shared" si="43"/>
        <v>Se repite 8 veces</v>
      </c>
      <c r="M247" s="20" t="str">
        <f t="shared" si="44"/>
        <v>Tradiciones Andinas-Galletas Margarita Sayon 6 x 8 pack</v>
      </c>
      <c r="N247" s="20">
        <f t="shared" si="45"/>
        <v>6</v>
      </c>
      <c r="O247" s="20" t="str">
        <f t="shared" si="46"/>
        <v>Se repite 6 veces en Tradiciones Andinas</v>
      </c>
      <c r="P247" s="20" t="str">
        <f t="shared" si="47"/>
        <v>Tradiciones Andinas-Galletas Margarita Sayon 6 x 8 pack-13.57</v>
      </c>
      <c r="Q247" s="20">
        <f t="shared" si="48"/>
        <v>4</v>
      </c>
      <c r="R247" s="20" t="str">
        <f t="shared" si="49"/>
        <v>Se repite 4 veces el precio de 13.57</v>
      </c>
      <c r="S247" s="20" t="str">
        <f t="shared" si="50"/>
        <v>El producto Galletas Margarita Sayon 6 x 8 pack Se repite 6 veces en Tradiciones Andinas, Se repite 4 veces el precio de 13.57</v>
      </c>
      <c r="T247" s="20" t="str">
        <f t="shared" si="51"/>
        <v>Tradiciones Andinas</v>
      </c>
      <c r="U247" s="20" t="str">
        <f t="shared" si="52"/>
        <v>Galletas Margarita Sayon 6 x 8 pack</v>
      </c>
      <c r="V247" s="22">
        <f t="shared" si="53"/>
        <v>13.57</v>
      </c>
      <c r="W247" t="str">
        <f t="shared" si="54"/>
        <v>Tradiciones Andinas 05/19/2025</v>
      </c>
      <c r="Z247">
        <f t="shared" si="55"/>
        <v>67.849999999999994</v>
      </c>
    </row>
    <row r="248" spans="1:26" hidden="1" x14ac:dyDescent="0.25">
      <c r="A248" s="2" t="s">
        <v>664</v>
      </c>
      <c r="B248" s="11" t="s">
        <v>1125</v>
      </c>
      <c r="C248" s="11" t="s">
        <v>4</v>
      </c>
      <c r="D248" s="11" t="s">
        <v>1126</v>
      </c>
      <c r="E248" s="11" t="s">
        <v>62</v>
      </c>
      <c r="F248" s="11" t="s">
        <v>63</v>
      </c>
      <c r="G248" s="12">
        <v>10</v>
      </c>
      <c r="H248" s="12">
        <v>13.57</v>
      </c>
      <c r="I248" s="12">
        <v>135.69999999999999</v>
      </c>
      <c r="J248" s="12">
        <v>70988.030000000013</v>
      </c>
      <c r="K248" s="20">
        <f t="shared" si="42"/>
        <v>8</v>
      </c>
      <c r="L248" s="20" t="str">
        <f t="shared" si="43"/>
        <v>Se repite 8 veces</v>
      </c>
      <c r="M248" s="20" t="str">
        <f t="shared" si="44"/>
        <v>Tradiciones Andinas-Galletas Margarita Sayon 6 x 8 pack</v>
      </c>
      <c r="N248" s="20">
        <f t="shared" si="45"/>
        <v>6</v>
      </c>
      <c r="O248" s="20" t="str">
        <f t="shared" si="46"/>
        <v>Se repite 6 veces en Tradiciones Andinas</v>
      </c>
      <c r="P248" s="20" t="str">
        <f t="shared" si="47"/>
        <v>Tradiciones Andinas-Galletas Margarita Sayon 6 x 8 pack-13.57</v>
      </c>
      <c r="Q248" s="20">
        <f t="shared" si="48"/>
        <v>4</v>
      </c>
      <c r="R248" s="20" t="str">
        <f t="shared" si="49"/>
        <v>Se repite 4 veces el precio de 13.57</v>
      </c>
      <c r="S248" s="20" t="str">
        <f t="shared" si="50"/>
        <v>El producto Galletas Margarita Sayon 6 x 8 pack Se repite 6 veces en Tradiciones Andinas, Se repite 4 veces el precio de 13.57</v>
      </c>
      <c r="T248" s="20" t="str">
        <f t="shared" si="51"/>
        <v>Tradiciones Andinas</v>
      </c>
      <c r="U248" s="20" t="str">
        <f t="shared" si="52"/>
        <v>Galletas Margarita Sayon 6 x 8 pack</v>
      </c>
      <c r="V248" s="22">
        <f t="shared" si="53"/>
        <v>13.57</v>
      </c>
      <c r="W248" t="str">
        <f t="shared" si="54"/>
        <v>Tradiciones Andinas 08/18/2025</v>
      </c>
      <c r="Z248">
        <f t="shared" si="55"/>
        <v>135.69999999999999</v>
      </c>
    </row>
    <row r="249" spans="1:26" hidden="1" x14ac:dyDescent="0.25">
      <c r="A249" s="2" t="s">
        <v>664</v>
      </c>
      <c r="B249" s="11" t="s">
        <v>1153</v>
      </c>
      <c r="C249" s="11" t="s">
        <v>4</v>
      </c>
      <c r="D249" s="11" t="s">
        <v>1154</v>
      </c>
      <c r="E249" s="11" t="s">
        <v>62</v>
      </c>
      <c r="F249" s="11" t="s">
        <v>63</v>
      </c>
      <c r="G249" s="12">
        <v>3</v>
      </c>
      <c r="H249" s="12">
        <v>13.57</v>
      </c>
      <c r="I249" s="12">
        <v>40.71</v>
      </c>
      <c r="J249" s="12">
        <v>84165.179999999964</v>
      </c>
      <c r="K249" s="20">
        <f t="shared" si="42"/>
        <v>8</v>
      </c>
      <c r="L249" s="20" t="str">
        <f t="shared" si="43"/>
        <v>Se repite 8 veces</v>
      </c>
      <c r="M249" s="20" t="str">
        <f t="shared" si="44"/>
        <v>Tradiciones Andinas-Galletas Margarita Sayon 6 x 8 pack</v>
      </c>
      <c r="N249" s="20">
        <f t="shared" si="45"/>
        <v>6</v>
      </c>
      <c r="O249" s="20" t="str">
        <f t="shared" si="46"/>
        <v>Se repite 6 veces en Tradiciones Andinas</v>
      </c>
      <c r="P249" s="20" t="str">
        <f t="shared" si="47"/>
        <v>Tradiciones Andinas-Galletas Margarita Sayon 6 x 8 pack-13.57</v>
      </c>
      <c r="Q249" s="20">
        <f t="shared" si="48"/>
        <v>4</v>
      </c>
      <c r="R249" s="20" t="str">
        <f t="shared" si="49"/>
        <v>Se repite 4 veces el precio de 13.57</v>
      </c>
      <c r="S249" s="20" t="str">
        <f t="shared" si="50"/>
        <v>El producto Galletas Margarita Sayon 6 x 8 pack Se repite 6 veces en Tradiciones Andinas, Se repite 4 veces el precio de 13.57</v>
      </c>
      <c r="T249" s="20" t="str">
        <f t="shared" si="51"/>
        <v>Tradiciones Andinas</v>
      </c>
      <c r="U249" s="20" t="str">
        <f t="shared" si="52"/>
        <v>Galletas Margarita Sayon 6 x 8 pack</v>
      </c>
      <c r="V249" s="22">
        <f t="shared" si="53"/>
        <v>13.57</v>
      </c>
      <c r="W249" t="str">
        <f t="shared" si="54"/>
        <v>Tradiciones Andinas 09/24/2025</v>
      </c>
      <c r="Z249">
        <f t="shared" si="55"/>
        <v>40.71</v>
      </c>
    </row>
    <row r="250" spans="1:26" hidden="1" x14ac:dyDescent="0.25">
      <c r="A250" s="2" t="s">
        <v>664</v>
      </c>
      <c r="B250" s="11" t="s">
        <v>1201</v>
      </c>
      <c r="C250" s="11" t="s">
        <v>4</v>
      </c>
      <c r="D250" s="11" t="s">
        <v>1202</v>
      </c>
      <c r="E250" s="11" t="s">
        <v>62</v>
      </c>
      <c r="F250" s="11" t="s">
        <v>63</v>
      </c>
      <c r="G250" s="12">
        <v>16</v>
      </c>
      <c r="H250" s="12">
        <v>13.57</v>
      </c>
      <c r="I250" s="12">
        <v>217.12</v>
      </c>
      <c r="J250" s="12">
        <v>102708.86999999992</v>
      </c>
      <c r="K250" s="20">
        <f t="shared" si="42"/>
        <v>8</v>
      </c>
      <c r="L250" s="20" t="str">
        <f t="shared" si="43"/>
        <v>Se repite 8 veces</v>
      </c>
      <c r="M250" s="20" t="str">
        <f t="shared" si="44"/>
        <v>Tradiciones Andinas-Galletas Margarita Sayon 6 x 8 pack</v>
      </c>
      <c r="N250" s="20">
        <f t="shared" si="45"/>
        <v>6</v>
      </c>
      <c r="O250" s="20" t="str">
        <f t="shared" si="46"/>
        <v>Se repite 6 veces en Tradiciones Andinas</v>
      </c>
      <c r="P250" s="20" t="str">
        <f t="shared" si="47"/>
        <v>Tradiciones Andinas-Galletas Margarita Sayon 6 x 8 pack-13.57</v>
      </c>
      <c r="Q250" s="20">
        <f t="shared" si="48"/>
        <v>4</v>
      </c>
      <c r="R250" s="20" t="str">
        <f t="shared" si="49"/>
        <v>Se repite 4 veces el precio de 13.57</v>
      </c>
      <c r="S250" s="20" t="str">
        <f t="shared" si="50"/>
        <v>El producto Galletas Margarita Sayon 6 x 8 pack Se repite 6 veces en Tradiciones Andinas, Se repite 4 veces el precio de 13.57</v>
      </c>
      <c r="T250" s="20" t="str">
        <f t="shared" si="51"/>
        <v>Tradiciones Andinas</v>
      </c>
      <c r="U250" s="20" t="str">
        <f t="shared" si="52"/>
        <v>Galletas Margarita Sayon 6 x 8 pack</v>
      </c>
      <c r="V250" s="22">
        <f t="shared" si="53"/>
        <v>13.57</v>
      </c>
      <c r="W250" t="str">
        <f t="shared" si="54"/>
        <v>Tradiciones Andinas 11/07/2025</v>
      </c>
      <c r="Z250">
        <f t="shared" si="55"/>
        <v>217.12</v>
      </c>
    </row>
    <row r="251" spans="1:26" hidden="1" x14ac:dyDescent="0.25">
      <c r="A251" s="2" t="s">
        <v>664</v>
      </c>
      <c r="B251" s="11" t="s">
        <v>821</v>
      </c>
      <c r="C251" s="11" t="s">
        <v>4</v>
      </c>
      <c r="D251" s="11" t="s">
        <v>822</v>
      </c>
      <c r="E251" s="11" t="s">
        <v>902</v>
      </c>
      <c r="F251" s="11" t="s">
        <v>903</v>
      </c>
      <c r="G251" s="12">
        <v>5</v>
      </c>
      <c r="H251" s="12">
        <v>67.98</v>
      </c>
      <c r="I251" s="12">
        <v>339.9</v>
      </c>
      <c r="J251" s="12">
        <v>20801.299999999996</v>
      </c>
      <c r="K251" s="20">
        <f t="shared" si="42"/>
        <v>4</v>
      </c>
      <c r="L251" s="20" t="str">
        <f t="shared" si="43"/>
        <v>Se repite 4 veces</v>
      </c>
      <c r="M251" s="20" t="str">
        <f t="shared" si="44"/>
        <v>Tradiciones Andinas-Galletas Morochas 30gr 12 x 22</v>
      </c>
      <c r="N251" s="20">
        <f t="shared" si="45"/>
        <v>4</v>
      </c>
      <c r="O251" s="20" t="str">
        <f t="shared" si="46"/>
        <v>Se repite 4 veces en Tradiciones Andinas</v>
      </c>
      <c r="P251" s="20" t="str">
        <f t="shared" si="47"/>
        <v>Tradiciones Andinas-Galletas Morochas 30gr 12 x 22-67.98</v>
      </c>
      <c r="Q251" s="20">
        <f t="shared" si="48"/>
        <v>1</v>
      </c>
      <c r="R251" s="20" t="str">
        <f t="shared" si="49"/>
        <v>No se repite</v>
      </c>
      <c r="S251" s="20" t="str">
        <f t="shared" si="50"/>
        <v>El producto Galletas Morochas 30gr 12 x 22 Se repite 4 veces en Tradiciones Andinas Una vez con el precio 67.98</v>
      </c>
      <c r="T251" s="20" t="str">
        <f t="shared" si="51"/>
        <v>Tradiciones Andinas</v>
      </c>
      <c r="U251" s="20" t="str">
        <f t="shared" si="52"/>
        <v>Galletas Morochas 30gr 12 x 22</v>
      </c>
      <c r="V251" s="22">
        <f t="shared" si="53"/>
        <v>67.98</v>
      </c>
      <c r="W251" t="str">
        <f t="shared" si="54"/>
        <v>Tradiciones Andinas 04/25/2025</v>
      </c>
      <c r="Z251">
        <f t="shared" si="55"/>
        <v>339.90000000000003</v>
      </c>
    </row>
    <row r="252" spans="1:26" hidden="1" x14ac:dyDescent="0.25">
      <c r="A252" s="2" t="s">
        <v>664</v>
      </c>
      <c r="B252" s="11" t="s">
        <v>158</v>
      </c>
      <c r="C252" s="11" t="s">
        <v>4</v>
      </c>
      <c r="D252" s="11" t="s">
        <v>984</v>
      </c>
      <c r="E252" s="11" t="s">
        <v>902</v>
      </c>
      <c r="F252" s="11" t="s">
        <v>1017</v>
      </c>
      <c r="G252" s="12">
        <v>3</v>
      </c>
      <c r="H252" s="12">
        <v>72.72</v>
      </c>
      <c r="I252" s="12">
        <v>218.16</v>
      </c>
      <c r="J252" s="12">
        <v>41138.659999999996</v>
      </c>
      <c r="K252" s="20">
        <f t="shared" si="42"/>
        <v>4</v>
      </c>
      <c r="L252" s="20" t="str">
        <f t="shared" si="43"/>
        <v>Se repite 4 veces</v>
      </c>
      <c r="M252" s="20" t="str">
        <f t="shared" si="44"/>
        <v>Tradiciones Andinas-Galletas Morochas 30gr 12 x 22</v>
      </c>
      <c r="N252" s="20">
        <f t="shared" si="45"/>
        <v>4</v>
      </c>
      <c r="O252" s="20" t="str">
        <f t="shared" si="46"/>
        <v>Se repite 4 veces en Tradiciones Andinas</v>
      </c>
      <c r="P252" s="20" t="str">
        <f t="shared" si="47"/>
        <v>Tradiciones Andinas-Galletas Morochas 30gr 12 x 22-72.72</v>
      </c>
      <c r="Q252" s="20">
        <f t="shared" si="48"/>
        <v>3</v>
      </c>
      <c r="R252" s="20" t="str">
        <f t="shared" si="49"/>
        <v>Se repite 3 veces el precio de 72.72</v>
      </c>
      <c r="S252" s="20" t="str">
        <f t="shared" si="50"/>
        <v>El producto Galletas Morochas 30gr 12 x 22 Se repite 4 veces en Tradiciones Andinas, Se repite 3 veces el precio de 72.72</v>
      </c>
      <c r="T252" s="20" t="str">
        <f t="shared" si="51"/>
        <v>Tradiciones Andinas</v>
      </c>
      <c r="U252" s="20" t="str">
        <f t="shared" si="52"/>
        <v>Galletas Morochas 30gr 12 x 22</v>
      </c>
      <c r="V252" s="22">
        <f t="shared" si="53"/>
        <v>72.72</v>
      </c>
      <c r="W252" t="str">
        <f t="shared" si="54"/>
        <v>Tradiciones Andinas 06/12/2025</v>
      </c>
      <c r="Z252">
        <f t="shared" si="55"/>
        <v>218.16</v>
      </c>
    </row>
    <row r="253" spans="1:26" hidden="1" x14ac:dyDescent="0.25">
      <c r="A253" s="2" t="s">
        <v>664</v>
      </c>
      <c r="B253" s="11" t="s">
        <v>1125</v>
      </c>
      <c r="C253" s="11" t="s">
        <v>4</v>
      </c>
      <c r="D253" s="11" t="s">
        <v>1126</v>
      </c>
      <c r="E253" s="11" t="s">
        <v>902</v>
      </c>
      <c r="F253" s="11" t="s">
        <v>1017</v>
      </c>
      <c r="G253" s="12">
        <v>2</v>
      </c>
      <c r="H253" s="12">
        <v>72.72</v>
      </c>
      <c r="I253" s="12">
        <v>145.44</v>
      </c>
      <c r="J253" s="12">
        <v>71695.010000000009</v>
      </c>
      <c r="K253" s="20">
        <f t="shared" si="42"/>
        <v>4</v>
      </c>
      <c r="L253" s="20" t="str">
        <f t="shared" si="43"/>
        <v>Se repite 4 veces</v>
      </c>
      <c r="M253" s="20" t="str">
        <f t="shared" si="44"/>
        <v>Tradiciones Andinas-Galletas Morochas 30gr 12 x 22</v>
      </c>
      <c r="N253" s="20">
        <f t="shared" si="45"/>
        <v>4</v>
      </c>
      <c r="O253" s="20" t="str">
        <f t="shared" si="46"/>
        <v>Se repite 4 veces en Tradiciones Andinas</v>
      </c>
      <c r="P253" s="20" t="str">
        <f t="shared" si="47"/>
        <v>Tradiciones Andinas-Galletas Morochas 30gr 12 x 22-72.72</v>
      </c>
      <c r="Q253" s="20">
        <f t="shared" si="48"/>
        <v>3</v>
      </c>
      <c r="R253" s="20" t="str">
        <f t="shared" si="49"/>
        <v>Se repite 3 veces el precio de 72.72</v>
      </c>
      <c r="S253" s="20" t="str">
        <f t="shared" si="50"/>
        <v>El producto Galletas Morochas 30gr 12 x 22 Se repite 4 veces en Tradiciones Andinas, Se repite 3 veces el precio de 72.72</v>
      </c>
      <c r="T253" s="20" t="str">
        <f t="shared" si="51"/>
        <v>Tradiciones Andinas</v>
      </c>
      <c r="U253" s="20" t="str">
        <f t="shared" si="52"/>
        <v>Galletas Morochas 30gr 12 x 22</v>
      </c>
      <c r="V253" s="22">
        <f t="shared" si="53"/>
        <v>72.72</v>
      </c>
      <c r="W253" t="str">
        <f t="shared" si="54"/>
        <v>Tradiciones Andinas 08/18/2025</v>
      </c>
      <c r="Z253">
        <f t="shared" si="55"/>
        <v>145.44</v>
      </c>
    </row>
    <row r="254" spans="1:26" hidden="1" x14ac:dyDescent="0.25">
      <c r="A254" s="2" t="s">
        <v>664</v>
      </c>
      <c r="B254" s="11" t="s">
        <v>1207</v>
      </c>
      <c r="C254" s="11" t="s">
        <v>4</v>
      </c>
      <c r="D254" s="11" t="s">
        <v>1208</v>
      </c>
      <c r="E254" s="11" t="s">
        <v>902</v>
      </c>
      <c r="F254" s="11" t="s">
        <v>1017</v>
      </c>
      <c r="G254" s="12">
        <v>5</v>
      </c>
      <c r="H254" s="12">
        <v>72.72</v>
      </c>
      <c r="I254" s="12">
        <v>363.6</v>
      </c>
      <c r="J254" s="12">
        <v>113067.77999999988</v>
      </c>
      <c r="K254" s="20">
        <f t="shared" si="42"/>
        <v>4</v>
      </c>
      <c r="L254" s="20" t="str">
        <f t="shared" si="43"/>
        <v>Se repite 4 veces</v>
      </c>
      <c r="M254" s="20" t="str">
        <f t="shared" si="44"/>
        <v>Tradiciones Andinas-Galletas Morochas 30gr 12 x 22</v>
      </c>
      <c r="N254" s="20">
        <f t="shared" si="45"/>
        <v>4</v>
      </c>
      <c r="O254" s="20" t="str">
        <f t="shared" si="46"/>
        <v>Se repite 4 veces en Tradiciones Andinas</v>
      </c>
      <c r="P254" s="20" t="str">
        <f t="shared" si="47"/>
        <v>Tradiciones Andinas-Galletas Morochas 30gr 12 x 22-72.72</v>
      </c>
      <c r="Q254" s="20">
        <f t="shared" si="48"/>
        <v>3</v>
      </c>
      <c r="R254" s="20" t="str">
        <f t="shared" si="49"/>
        <v>Se repite 3 veces el precio de 72.72</v>
      </c>
      <c r="S254" s="20" t="str">
        <f t="shared" si="50"/>
        <v>El producto Galletas Morochas 30gr 12 x 22 Se repite 4 veces en Tradiciones Andinas, Se repite 3 veces el precio de 72.72</v>
      </c>
      <c r="T254" s="20" t="str">
        <f t="shared" si="51"/>
        <v>Tradiciones Andinas</v>
      </c>
      <c r="U254" s="20" t="str">
        <f t="shared" si="52"/>
        <v>Galletas Morochas 30gr 12 x 22</v>
      </c>
      <c r="V254" s="22">
        <f t="shared" si="53"/>
        <v>72.72</v>
      </c>
      <c r="W254" t="str">
        <f t="shared" si="54"/>
        <v>Tradiciones Andinas 11/28/2025</v>
      </c>
      <c r="Z254">
        <f t="shared" si="55"/>
        <v>363.6</v>
      </c>
    </row>
    <row r="255" spans="1:26" hidden="1" x14ac:dyDescent="0.25">
      <c r="A255" s="2" t="s">
        <v>18</v>
      </c>
      <c r="B255" s="11" t="s">
        <v>19</v>
      </c>
      <c r="C255" s="11" t="s">
        <v>4</v>
      </c>
      <c r="D255" s="11" t="s">
        <v>20</v>
      </c>
      <c r="E255" s="11" t="s">
        <v>82</v>
      </c>
      <c r="F255" s="11" t="s">
        <v>83</v>
      </c>
      <c r="G255" s="12">
        <v>1</v>
      </c>
      <c r="H255" s="12">
        <v>58</v>
      </c>
      <c r="I255" s="12">
        <v>58</v>
      </c>
      <c r="J255" s="12">
        <v>4110</v>
      </c>
      <c r="K255" s="20">
        <f t="shared" si="42"/>
        <v>6</v>
      </c>
      <c r="L255" s="20" t="str">
        <f t="shared" si="43"/>
        <v>Se repite 6 veces</v>
      </c>
      <c r="M255" s="20" t="str">
        <f t="shared" si="44"/>
        <v>Belmont International Trading Corp-Galletas Morochas 30gr 6x 30</v>
      </c>
      <c r="N255" s="20">
        <f t="shared" si="45"/>
        <v>3</v>
      </c>
      <c r="O255" s="20" t="str">
        <f t="shared" si="46"/>
        <v>Se repite 3 veces en Belmont International Trading Corp</v>
      </c>
      <c r="P255" s="20" t="str">
        <f t="shared" si="47"/>
        <v>Belmont International Trading Corp-Galletas Morochas 30gr 6x 30-58</v>
      </c>
      <c r="Q255" s="20">
        <f t="shared" si="48"/>
        <v>1</v>
      </c>
      <c r="R255" s="20" t="str">
        <f t="shared" si="49"/>
        <v>No se repite</v>
      </c>
      <c r="S255" s="20" t="str">
        <f t="shared" si="50"/>
        <v>El producto Galletas Morochas 30gr 6x 30 Se repite 3 veces en Belmont International Trading Corp Una vez con el precio 58</v>
      </c>
      <c r="T255" s="20" t="str">
        <f t="shared" si="51"/>
        <v>Belmont International Trading Corp</v>
      </c>
      <c r="U255" s="20" t="str">
        <f t="shared" si="52"/>
        <v>Galletas Morochas 30gr 6x 30</v>
      </c>
      <c r="V255" s="22">
        <f t="shared" si="53"/>
        <v>58</v>
      </c>
      <c r="W255" t="str">
        <f t="shared" si="54"/>
        <v>Belmont International Trading Corp 04/28/2025</v>
      </c>
      <c r="Z255">
        <f t="shared" si="55"/>
        <v>58</v>
      </c>
    </row>
    <row r="256" spans="1:26" hidden="1" x14ac:dyDescent="0.25">
      <c r="A256" s="2" t="s">
        <v>18</v>
      </c>
      <c r="B256" s="11" t="s">
        <v>177</v>
      </c>
      <c r="C256" s="11" t="s">
        <v>4</v>
      </c>
      <c r="D256" s="11" t="s">
        <v>178</v>
      </c>
      <c r="E256" s="11" t="s">
        <v>82</v>
      </c>
      <c r="F256" s="11" t="s">
        <v>197</v>
      </c>
      <c r="G256" s="12">
        <v>5</v>
      </c>
      <c r="H256" s="12">
        <v>63.9</v>
      </c>
      <c r="I256" s="12">
        <v>319.5</v>
      </c>
      <c r="J256" s="12">
        <v>21308.34</v>
      </c>
      <c r="K256" s="20">
        <f t="shared" si="42"/>
        <v>6</v>
      </c>
      <c r="L256" s="20" t="str">
        <f t="shared" si="43"/>
        <v>Se repite 6 veces</v>
      </c>
      <c r="M256" s="20" t="str">
        <f t="shared" si="44"/>
        <v>Belmont International Trading Corp-Galletas Morochas 30gr 6x 30</v>
      </c>
      <c r="N256" s="20">
        <f t="shared" si="45"/>
        <v>3</v>
      </c>
      <c r="O256" s="20" t="str">
        <f t="shared" si="46"/>
        <v>Se repite 3 veces en Belmont International Trading Corp</v>
      </c>
      <c r="P256" s="20" t="str">
        <f t="shared" si="47"/>
        <v>Belmont International Trading Corp-Galletas Morochas 30gr 6x 30-63.9</v>
      </c>
      <c r="Q256" s="20">
        <f t="shared" si="48"/>
        <v>2</v>
      </c>
      <c r="R256" s="20" t="str">
        <f t="shared" si="49"/>
        <v>Se repite 2 veces el precio de 63.9</v>
      </c>
      <c r="S256" s="20" t="str">
        <f t="shared" si="50"/>
        <v>El producto Galletas Morochas 30gr 6x 30 Se repite 3 veces en Belmont International Trading Corp, Se repite 2 veces el precio de 63.9</v>
      </c>
      <c r="T256" s="20" t="str">
        <f t="shared" si="51"/>
        <v>Belmont International Trading Corp</v>
      </c>
      <c r="U256" s="20" t="str">
        <f t="shared" si="52"/>
        <v>Galletas Morochas 30gr 6x 30</v>
      </c>
      <c r="V256" s="22">
        <f t="shared" si="53"/>
        <v>63.9</v>
      </c>
      <c r="W256" t="str">
        <f t="shared" si="54"/>
        <v>Belmont International Trading Corp 10/20/2025</v>
      </c>
      <c r="Z256">
        <f t="shared" si="55"/>
        <v>319.5</v>
      </c>
    </row>
    <row r="257" spans="1:26" hidden="1" x14ac:dyDescent="0.25">
      <c r="A257" s="2" t="s">
        <v>18</v>
      </c>
      <c r="B257" s="11" t="s">
        <v>198</v>
      </c>
      <c r="C257" s="11" t="s">
        <v>4</v>
      </c>
      <c r="D257" s="11" t="s">
        <v>199</v>
      </c>
      <c r="E257" s="11" t="s">
        <v>82</v>
      </c>
      <c r="F257" s="11" t="s">
        <v>197</v>
      </c>
      <c r="G257" s="12">
        <v>4</v>
      </c>
      <c r="H257" s="12">
        <v>63.9</v>
      </c>
      <c r="I257" s="12">
        <v>255.6</v>
      </c>
      <c r="J257" s="12">
        <v>24582.439999999995</v>
      </c>
      <c r="K257" s="20">
        <f t="shared" si="42"/>
        <v>6</v>
      </c>
      <c r="L257" s="20" t="str">
        <f t="shared" si="43"/>
        <v>Se repite 6 veces</v>
      </c>
      <c r="M257" s="20" t="str">
        <f t="shared" si="44"/>
        <v>Belmont International Trading Corp-Galletas Morochas 30gr 6x 30</v>
      </c>
      <c r="N257" s="20">
        <f t="shared" si="45"/>
        <v>3</v>
      </c>
      <c r="O257" s="20" t="str">
        <f t="shared" si="46"/>
        <v>Se repite 3 veces en Belmont International Trading Corp</v>
      </c>
      <c r="P257" s="20" t="str">
        <f t="shared" si="47"/>
        <v>Belmont International Trading Corp-Galletas Morochas 30gr 6x 30-63.9</v>
      </c>
      <c r="Q257" s="20">
        <f t="shared" si="48"/>
        <v>2</v>
      </c>
      <c r="R257" s="20" t="str">
        <f t="shared" si="49"/>
        <v>Se repite 2 veces el precio de 63.9</v>
      </c>
      <c r="S257" s="20" t="str">
        <f t="shared" si="50"/>
        <v>El producto Galletas Morochas 30gr 6x 30 Se repite 3 veces en Belmont International Trading Corp, Se repite 2 veces el precio de 63.9</v>
      </c>
      <c r="T257" s="20" t="str">
        <f t="shared" si="51"/>
        <v>Belmont International Trading Corp</v>
      </c>
      <c r="U257" s="20" t="str">
        <f t="shared" si="52"/>
        <v>Galletas Morochas 30gr 6x 30</v>
      </c>
      <c r="V257" s="22">
        <f t="shared" si="53"/>
        <v>63.9</v>
      </c>
      <c r="W257" t="str">
        <f t="shared" si="54"/>
        <v>Belmont International Trading Corp 12/11/2025</v>
      </c>
      <c r="Z257">
        <f t="shared" si="55"/>
        <v>255.6</v>
      </c>
    </row>
    <row r="258" spans="1:26" hidden="1" x14ac:dyDescent="0.25">
      <c r="A258" s="2" t="s">
        <v>272</v>
      </c>
      <c r="B258" s="11" t="s">
        <v>408</v>
      </c>
      <c r="C258" s="11" t="s">
        <v>4</v>
      </c>
      <c r="D258" s="11" t="s">
        <v>409</v>
      </c>
      <c r="E258" s="11" t="s">
        <v>82</v>
      </c>
      <c r="F258" s="11" t="s">
        <v>83</v>
      </c>
      <c r="G258" s="12">
        <v>1</v>
      </c>
      <c r="H258" s="12">
        <v>78</v>
      </c>
      <c r="I258" s="12">
        <v>78</v>
      </c>
      <c r="J258" s="12">
        <v>5279.6</v>
      </c>
      <c r="K258" s="20">
        <f t="shared" si="42"/>
        <v>6</v>
      </c>
      <c r="L258" s="20" t="str">
        <f t="shared" si="43"/>
        <v>Se repite 6 veces</v>
      </c>
      <c r="M258" s="20" t="str">
        <f t="shared" si="44"/>
        <v>Peru Chef-Galletas Morochas 30gr 6x 30</v>
      </c>
      <c r="N258" s="20">
        <f t="shared" si="45"/>
        <v>3</v>
      </c>
      <c r="O258" s="20" t="str">
        <f t="shared" si="46"/>
        <v>Se repite 3 veces en Peru Chef</v>
      </c>
      <c r="P258" s="20" t="str">
        <f t="shared" si="47"/>
        <v>Peru Chef-Galletas Morochas 30gr 6x 30-78</v>
      </c>
      <c r="Q258" s="20">
        <f t="shared" si="48"/>
        <v>3</v>
      </c>
      <c r="R258" s="20" t="str">
        <f t="shared" si="49"/>
        <v>Se repite 3 veces el precio de 78</v>
      </c>
      <c r="S258" s="20" t="str">
        <f t="shared" si="50"/>
        <v>El producto Galletas Morochas 30gr 6x 30 Se repite 3 veces en Peru Chef, Se repite 3 veces el precio de 78</v>
      </c>
      <c r="T258" s="20" t="str">
        <f t="shared" si="51"/>
        <v>Peru Chef</v>
      </c>
      <c r="U258" s="20" t="str">
        <f t="shared" si="52"/>
        <v>Galletas Morochas 30gr 6x 30</v>
      </c>
      <c r="V258" s="22">
        <f t="shared" si="53"/>
        <v>78</v>
      </c>
      <c r="W258" t="str">
        <f t="shared" si="54"/>
        <v>Peru Chef 04/13/2025</v>
      </c>
      <c r="Z258">
        <f t="shared" si="55"/>
        <v>78</v>
      </c>
    </row>
    <row r="259" spans="1:26" hidden="1" x14ac:dyDescent="0.25">
      <c r="A259" s="2" t="s">
        <v>272</v>
      </c>
      <c r="B259" s="11" t="s">
        <v>444</v>
      </c>
      <c r="C259" s="11" t="s">
        <v>4</v>
      </c>
      <c r="D259" s="11" t="s">
        <v>445</v>
      </c>
      <c r="E259" s="11" t="s">
        <v>82</v>
      </c>
      <c r="F259" s="11" t="s">
        <v>83</v>
      </c>
      <c r="G259" s="12">
        <v>2</v>
      </c>
      <c r="H259" s="12">
        <v>78</v>
      </c>
      <c r="I259" s="12">
        <v>156</v>
      </c>
      <c r="J259" s="12">
        <v>8104.2000000000007</v>
      </c>
      <c r="K259" s="20">
        <f t="shared" ref="K259:K322" si="56">COUNTIF($E$2:$E$1438,E259)</f>
        <v>6</v>
      </c>
      <c r="L259" s="20" t="str">
        <f t="shared" ref="L259:L322" si="57">IF(K259&gt;1,_xlfn.CONCAT("Se repite ",K259," veces"),"No se repite")</f>
        <v>Se repite 6 veces</v>
      </c>
      <c r="M259" s="20" t="str">
        <f t="shared" ref="M259:M322" si="58">_xlfn.CONCAT(A259,"-",E259)</f>
        <v>Peru Chef-Galletas Morochas 30gr 6x 30</v>
      </c>
      <c r="N259" s="20">
        <f t="shared" ref="N259:N322" si="59">COUNTIF($M$2:$M$1438,M259)</f>
        <v>3</v>
      </c>
      <c r="O259" s="20" t="str">
        <f t="shared" ref="O259:O322" si="60">IF(N259&gt;1,_xlfn.CONCAT("Se repite ",N259," veces en ",A259),"No se repite en proveedor")</f>
        <v>Se repite 3 veces en Peru Chef</v>
      </c>
      <c r="P259" s="20" t="str">
        <f t="shared" ref="P259:P322" si="61">_xlfn.CONCAT(A259,"-",E259,"-",H259)</f>
        <v>Peru Chef-Galletas Morochas 30gr 6x 30-78</v>
      </c>
      <c r="Q259" s="20">
        <f t="shared" ref="Q259:Q322" si="62">COUNTIF($P$2:$P$1438,P259)</f>
        <v>3</v>
      </c>
      <c r="R259" s="20" t="str">
        <f t="shared" ref="R259:R322" si="63">IF(Q259&gt;1,_xlfn.CONCAT("Se repite ",Q259," veces el precio de ",H259),"No se repite")</f>
        <v>Se repite 3 veces el precio de 78</v>
      </c>
      <c r="S259" s="20" t="str">
        <f t="shared" ref="S259:S322" si="64">_xlfn.CONCAT("El producto ",E259," ",O259,IF(R259="No se repite",_xlfn.CONCAT(" Una vez con el precio ",H259),_xlfn.CONCAT(", ",R259)))</f>
        <v>El producto Galletas Morochas 30gr 6x 30 Se repite 3 veces en Peru Chef, Se repite 3 veces el precio de 78</v>
      </c>
      <c r="T259" s="20" t="str">
        <f t="shared" ref="T259:T322" si="65">+A259</f>
        <v>Peru Chef</v>
      </c>
      <c r="U259" s="20" t="str">
        <f t="shared" ref="U259:U322" si="66">+E259</f>
        <v>Galletas Morochas 30gr 6x 30</v>
      </c>
      <c r="V259" s="22">
        <f t="shared" ref="V259:V322" si="67">+H259</f>
        <v>78</v>
      </c>
      <c r="W259" t="str">
        <f t="shared" ref="W259:W322" si="68">_xlfn.CONCAT(A259," ",B259)</f>
        <v>Peru Chef 04/24/2025</v>
      </c>
      <c r="Z259">
        <f t="shared" ref="Z259:Z322" si="69">G259*H259</f>
        <v>156</v>
      </c>
    </row>
    <row r="260" spans="1:26" hidden="1" x14ac:dyDescent="0.25">
      <c r="A260" s="2" t="s">
        <v>272</v>
      </c>
      <c r="B260" s="11" t="s">
        <v>572</v>
      </c>
      <c r="C260" s="11" t="s">
        <v>4</v>
      </c>
      <c r="D260" s="11" t="s">
        <v>573</v>
      </c>
      <c r="E260" s="11" t="s">
        <v>82</v>
      </c>
      <c r="F260" s="11" t="s">
        <v>197</v>
      </c>
      <c r="G260" s="12">
        <v>2</v>
      </c>
      <c r="H260" s="12">
        <v>78</v>
      </c>
      <c r="I260" s="12">
        <v>156</v>
      </c>
      <c r="J260" s="12">
        <v>26875</v>
      </c>
      <c r="K260" s="20">
        <f t="shared" si="56"/>
        <v>6</v>
      </c>
      <c r="L260" s="20" t="str">
        <f t="shared" si="57"/>
        <v>Se repite 6 veces</v>
      </c>
      <c r="M260" s="20" t="str">
        <f t="shared" si="58"/>
        <v>Peru Chef-Galletas Morochas 30gr 6x 30</v>
      </c>
      <c r="N260" s="20">
        <f t="shared" si="59"/>
        <v>3</v>
      </c>
      <c r="O260" s="20" t="str">
        <f t="shared" si="60"/>
        <v>Se repite 3 veces en Peru Chef</v>
      </c>
      <c r="P260" s="20" t="str">
        <f t="shared" si="61"/>
        <v>Peru Chef-Galletas Morochas 30gr 6x 30-78</v>
      </c>
      <c r="Q260" s="20">
        <f t="shared" si="62"/>
        <v>3</v>
      </c>
      <c r="R260" s="20" t="str">
        <f t="shared" si="63"/>
        <v>Se repite 3 veces el precio de 78</v>
      </c>
      <c r="S260" s="20" t="str">
        <f t="shared" si="64"/>
        <v>El producto Galletas Morochas 30gr 6x 30 Se repite 3 veces en Peru Chef, Se repite 3 veces el precio de 78</v>
      </c>
      <c r="T260" s="20" t="str">
        <f t="shared" si="65"/>
        <v>Peru Chef</v>
      </c>
      <c r="U260" s="20" t="str">
        <f t="shared" si="66"/>
        <v>Galletas Morochas 30gr 6x 30</v>
      </c>
      <c r="V260" s="22">
        <f t="shared" si="67"/>
        <v>78</v>
      </c>
      <c r="W260" t="str">
        <f t="shared" si="68"/>
        <v>Peru Chef 10/09/2025</v>
      </c>
      <c r="Z260">
        <f t="shared" si="69"/>
        <v>156</v>
      </c>
    </row>
    <row r="261" spans="1:26" hidden="1" x14ac:dyDescent="0.25">
      <c r="A261" s="2" t="s">
        <v>664</v>
      </c>
      <c r="B261" s="11" t="s">
        <v>821</v>
      </c>
      <c r="C261" s="11" t="s">
        <v>4</v>
      </c>
      <c r="D261" s="11" t="s">
        <v>822</v>
      </c>
      <c r="E261" s="11" t="s">
        <v>897</v>
      </c>
      <c r="F261" s="11" t="s">
        <v>898</v>
      </c>
      <c r="G261" s="12">
        <v>3</v>
      </c>
      <c r="H261" s="12">
        <v>13.08</v>
      </c>
      <c r="I261" s="12">
        <v>39.24</v>
      </c>
      <c r="J261" s="12">
        <v>18363.419999999998</v>
      </c>
      <c r="K261" s="20">
        <f t="shared" si="56"/>
        <v>3</v>
      </c>
      <c r="L261" s="20" t="str">
        <f t="shared" si="57"/>
        <v>Se repite 3 veces</v>
      </c>
      <c r="M261" s="20" t="str">
        <f t="shared" si="58"/>
        <v>Tradiciones Andinas-Gelatina Universal Durazno / Peach Gelatin 150gr x 12</v>
      </c>
      <c r="N261" s="20">
        <f t="shared" si="59"/>
        <v>3</v>
      </c>
      <c r="O261" s="20" t="str">
        <f t="shared" si="60"/>
        <v>Se repite 3 veces en Tradiciones Andinas</v>
      </c>
      <c r="P261" s="20" t="str">
        <f t="shared" si="61"/>
        <v>Tradiciones Andinas-Gelatina Universal Durazno / Peach Gelatin 150gr x 12-13.08</v>
      </c>
      <c r="Q261" s="20">
        <f t="shared" si="62"/>
        <v>1</v>
      </c>
      <c r="R261" s="20" t="str">
        <f t="shared" si="63"/>
        <v>No se repite</v>
      </c>
      <c r="S261" s="20" t="str">
        <f t="shared" si="64"/>
        <v>El producto Gelatina Universal Durazno / Peach Gelatin 150gr x 12 Se repite 3 veces en Tradiciones Andinas Una vez con el precio 13.08</v>
      </c>
      <c r="T261" s="20" t="str">
        <f t="shared" si="65"/>
        <v>Tradiciones Andinas</v>
      </c>
      <c r="U261" s="20" t="str">
        <f t="shared" si="66"/>
        <v>Gelatina Universal Durazno / Peach Gelatin 150gr x 12</v>
      </c>
      <c r="V261" s="22">
        <f t="shared" si="67"/>
        <v>13.08</v>
      </c>
      <c r="W261" t="str">
        <f t="shared" si="68"/>
        <v>Tradiciones Andinas 04/25/2025</v>
      </c>
      <c r="Z261">
        <f t="shared" si="69"/>
        <v>39.24</v>
      </c>
    </row>
    <row r="262" spans="1:26" hidden="1" x14ac:dyDescent="0.25">
      <c r="A262" s="2" t="s">
        <v>664</v>
      </c>
      <c r="B262" s="11" t="s">
        <v>654</v>
      </c>
      <c r="C262" s="11" t="s">
        <v>4</v>
      </c>
      <c r="D262" s="11" t="s">
        <v>940</v>
      </c>
      <c r="E262" s="11" t="s">
        <v>897</v>
      </c>
      <c r="F262" s="11" t="s">
        <v>972</v>
      </c>
      <c r="G262" s="12">
        <v>4</v>
      </c>
      <c r="H262" s="12">
        <v>14</v>
      </c>
      <c r="I262" s="12">
        <v>56</v>
      </c>
      <c r="J262" s="12">
        <v>30670.139999999996</v>
      </c>
      <c r="K262" s="20">
        <f t="shared" si="56"/>
        <v>3</v>
      </c>
      <c r="L262" s="20" t="str">
        <f t="shared" si="57"/>
        <v>Se repite 3 veces</v>
      </c>
      <c r="M262" s="20" t="str">
        <f t="shared" si="58"/>
        <v>Tradiciones Andinas-Gelatina Universal Durazno / Peach Gelatin 150gr x 12</v>
      </c>
      <c r="N262" s="20">
        <f t="shared" si="59"/>
        <v>3</v>
      </c>
      <c r="O262" s="20" t="str">
        <f t="shared" si="60"/>
        <v>Se repite 3 veces en Tradiciones Andinas</v>
      </c>
      <c r="P262" s="20" t="str">
        <f t="shared" si="61"/>
        <v>Tradiciones Andinas-Gelatina Universal Durazno / Peach Gelatin 150gr x 12-14</v>
      </c>
      <c r="Q262" s="20">
        <f t="shared" si="62"/>
        <v>2</v>
      </c>
      <c r="R262" s="20" t="str">
        <f t="shared" si="63"/>
        <v>Se repite 2 veces el precio de 14</v>
      </c>
      <c r="S262" s="20" t="str">
        <f t="shared" si="64"/>
        <v>El producto Gelatina Universal Durazno / Peach Gelatin 150gr x 12 Se repite 3 veces en Tradiciones Andinas, Se repite 2 veces el precio de 14</v>
      </c>
      <c r="T262" s="20" t="str">
        <f t="shared" si="65"/>
        <v>Tradiciones Andinas</v>
      </c>
      <c r="U262" s="20" t="str">
        <f t="shared" si="66"/>
        <v>Gelatina Universal Durazno / Peach Gelatin 150gr x 12</v>
      </c>
      <c r="V262" s="22">
        <f t="shared" si="67"/>
        <v>14</v>
      </c>
      <c r="W262" t="str">
        <f t="shared" si="68"/>
        <v>Tradiciones Andinas 05/19/2025</v>
      </c>
      <c r="Z262">
        <f t="shared" si="69"/>
        <v>56</v>
      </c>
    </row>
    <row r="263" spans="1:26" hidden="1" x14ac:dyDescent="0.25">
      <c r="A263" s="2" t="s">
        <v>664</v>
      </c>
      <c r="B263" s="11" t="s">
        <v>1207</v>
      </c>
      <c r="C263" s="11" t="s">
        <v>4</v>
      </c>
      <c r="D263" s="11" t="s">
        <v>1208</v>
      </c>
      <c r="E263" s="11" t="s">
        <v>897</v>
      </c>
      <c r="F263" s="11" t="s">
        <v>972</v>
      </c>
      <c r="G263" s="12">
        <v>2</v>
      </c>
      <c r="H263" s="12">
        <v>14</v>
      </c>
      <c r="I263" s="12">
        <v>28</v>
      </c>
      <c r="J263" s="12">
        <v>110091.7199999999</v>
      </c>
      <c r="K263" s="20">
        <f t="shared" si="56"/>
        <v>3</v>
      </c>
      <c r="L263" s="20" t="str">
        <f t="shared" si="57"/>
        <v>Se repite 3 veces</v>
      </c>
      <c r="M263" s="20" t="str">
        <f t="shared" si="58"/>
        <v>Tradiciones Andinas-Gelatina Universal Durazno / Peach Gelatin 150gr x 12</v>
      </c>
      <c r="N263" s="20">
        <f t="shared" si="59"/>
        <v>3</v>
      </c>
      <c r="O263" s="20" t="str">
        <f t="shared" si="60"/>
        <v>Se repite 3 veces en Tradiciones Andinas</v>
      </c>
      <c r="P263" s="20" t="str">
        <f t="shared" si="61"/>
        <v>Tradiciones Andinas-Gelatina Universal Durazno / Peach Gelatin 150gr x 12-14</v>
      </c>
      <c r="Q263" s="20">
        <f t="shared" si="62"/>
        <v>2</v>
      </c>
      <c r="R263" s="20" t="str">
        <f t="shared" si="63"/>
        <v>Se repite 2 veces el precio de 14</v>
      </c>
      <c r="S263" s="20" t="str">
        <f t="shared" si="64"/>
        <v>El producto Gelatina Universal Durazno / Peach Gelatin 150gr x 12 Se repite 3 veces en Tradiciones Andinas, Se repite 2 veces el precio de 14</v>
      </c>
      <c r="T263" s="20" t="str">
        <f t="shared" si="65"/>
        <v>Tradiciones Andinas</v>
      </c>
      <c r="U263" s="20" t="str">
        <f t="shared" si="66"/>
        <v>Gelatina Universal Durazno / Peach Gelatin 150gr x 12</v>
      </c>
      <c r="V263" s="22">
        <f t="shared" si="67"/>
        <v>14</v>
      </c>
      <c r="W263" t="str">
        <f t="shared" si="68"/>
        <v>Tradiciones Andinas 11/28/2025</v>
      </c>
      <c r="Z263">
        <f t="shared" si="69"/>
        <v>28</v>
      </c>
    </row>
    <row r="264" spans="1:26" hidden="1" x14ac:dyDescent="0.25">
      <c r="A264" s="2" t="s">
        <v>664</v>
      </c>
      <c r="B264" s="11" t="s">
        <v>665</v>
      </c>
      <c r="C264" s="11" t="s">
        <v>4</v>
      </c>
      <c r="D264" s="11" t="s">
        <v>666</v>
      </c>
      <c r="E264" s="11" t="s">
        <v>739</v>
      </c>
      <c r="F264" s="11" t="s">
        <v>740</v>
      </c>
      <c r="G264" s="12">
        <v>2</v>
      </c>
      <c r="H264" s="12">
        <v>13.08</v>
      </c>
      <c r="I264" s="12">
        <v>26.16</v>
      </c>
      <c r="J264" s="12">
        <v>2143.2799999999997</v>
      </c>
      <c r="K264" s="20">
        <f t="shared" si="56"/>
        <v>7</v>
      </c>
      <c r="L264" s="20" t="str">
        <f t="shared" si="57"/>
        <v>Se repite 7 veces</v>
      </c>
      <c r="M264" s="20" t="str">
        <f t="shared" si="58"/>
        <v>Tradiciones Andinas-Gelatina Universal Fresa / Strawberry Gelatin 150gr x 12</v>
      </c>
      <c r="N264" s="20">
        <f t="shared" si="59"/>
        <v>7</v>
      </c>
      <c r="O264" s="20" t="str">
        <f t="shared" si="60"/>
        <v>Se repite 7 veces en Tradiciones Andinas</v>
      </c>
      <c r="P264" s="20" t="str">
        <f t="shared" si="61"/>
        <v>Tradiciones Andinas-Gelatina Universal Fresa / Strawberry Gelatin 150gr x 12-13.08</v>
      </c>
      <c r="Q264" s="20">
        <f t="shared" si="62"/>
        <v>1</v>
      </c>
      <c r="R264" s="20" t="str">
        <f t="shared" si="63"/>
        <v>No se repite</v>
      </c>
      <c r="S264" s="20" t="str">
        <f t="shared" si="64"/>
        <v>El producto Gelatina Universal Fresa / Strawberry Gelatin 150gr x 12 Se repite 7 veces en Tradiciones Andinas Una vez con el precio 13.08</v>
      </c>
      <c r="T264" s="20" t="str">
        <f t="shared" si="65"/>
        <v>Tradiciones Andinas</v>
      </c>
      <c r="U264" s="20" t="str">
        <f t="shared" si="66"/>
        <v>Gelatina Universal Fresa / Strawberry Gelatin 150gr x 12</v>
      </c>
      <c r="V264" s="22">
        <f t="shared" si="67"/>
        <v>13.08</v>
      </c>
      <c r="W264" t="str">
        <f t="shared" si="68"/>
        <v>Tradiciones Andinas 03/31/2025</v>
      </c>
      <c r="Z264">
        <f t="shared" si="69"/>
        <v>26.16</v>
      </c>
    </row>
    <row r="265" spans="1:26" hidden="1" x14ac:dyDescent="0.25">
      <c r="A265" s="2" t="s">
        <v>664</v>
      </c>
      <c r="B265" s="11" t="s">
        <v>654</v>
      </c>
      <c r="C265" s="11" t="s">
        <v>4</v>
      </c>
      <c r="D265" s="11" t="s">
        <v>940</v>
      </c>
      <c r="E265" s="11" t="s">
        <v>739</v>
      </c>
      <c r="F265" s="11" t="s">
        <v>964</v>
      </c>
      <c r="G265" s="12">
        <v>24</v>
      </c>
      <c r="H265" s="12">
        <v>14</v>
      </c>
      <c r="I265" s="12">
        <v>336</v>
      </c>
      <c r="J265" s="12">
        <v>29945.499999999996</v>
      </c>
      <c r="K265" s="20">
        <f t="shared" si="56"/>
        <v>7</v>
      </c>
      <c r="L265" s="20" t="str">
        <f t="shared" si="57"/>
        <v>Se repite 7 veces</v>
      </c>
      <c r="M265" s="20" t="str">
        <f t="shared" si="58"/>
        <v>Tradiciones Andinas-Gelatina Universal Fresa / Strawberry Gelatin 150gr x 12</v>
      </c>
      <c r="N265" s="20">
        <f t="shared" si="59"/>
        <v>7</v>
      </c>
      <c r="O265" s="20" t="str">
        <f t="shared" si="60"/>
        <v>Se repite 7 veces en Tradiciones Andinas</v>
      </c>
      <c r="P265" s="20" t="str">
        <f t="shared" si="61"/>
        <v>Tradiciones Andinas-Gelatina Universal Fresa / Strawberry Gelatin 150gr x 12-14</v>
      </c>
      <c r="Q265" s="20">
        <f t="shared" si="62"/>
        <v>6</v>
      </c>
      <c r="R265" s="20" t="str">
        <f t="shared" si="63"/>
        <v>Se repite 6 veces el precio de 14</v>
      </c>
      <c r="S265" s="20" t="str">
        <f t="shared" si="64"/>
        <v>El producto Gelatina Universal Fresa / Strawberry Gelatin 150gr x 12 Se repite 7 veces en Tradiciones Andinas, Se repite 6 veces el precio de 14</v>
      </c>
      <c r="T265" s="20" t="str">
        <f t="shared" si="65"/>
        <v>Tradiciones Andinas</v>
      </c>
      <c r="U265" s="20" t="str">
        <f t="shared" si="66"/>
        <v>Gelatina Universal Fresa / Strawberry Gelatin 150gr x 12</v>
      </c>
      <c r="V265" s="22">
        <f t="shared" si="67"/>
        <v>14</v>
      </c>
      <c r="W265" t="str">
        <f t="shared" si="68"/>
        <v>Tradiciones Andinas 05/19/2025</v>
      </c>
      <c r="Z265">
        <f t="shared" si="69"/>
        <v>336</v>
      </c>
    </row>
    <row r="266" spans="1:26" hidden="1" x14ac:dyDescent="0.25">
      <c r="A266" s="2" t="s">
        <v>664</v>
      </c>
      <c r="B266" s="11" t="s">
        <v>1033</v>
      </c>
      <c r="C266" s="11" t="s">
        <v>4</v>
      </c>
      <c r="D266" s="11" t="s">
        <v>1034</v>
      </c>
      <c r="E266" s="11" t="s">
        <v>739</v>
      </c>
      <c r="F266" s="11" t="s">
        <v>964</v>
      </c>
      <c r="G266" s="12">
        <v>6</v>
      </c>
      <c r="H266" s="12">
        <v>14</v>
      </c>
      <c r="I266" s="12">
        <v>84</v>
      </c>
      <c r="J266" s="12">
        <v>53875.999999999949</v>
      </c>
      <c r="K266" s="20">
        <f t="shared" si="56"/>
        <v>7</v>
      </c>
      <c r="L266" s="20" t="str">
        <f t="shared" si="57"/>
        <v>Se repite 7 veces</v>
      </c>
      <c r="M266" s="20" t="str">
        <f t="shared" si="58"/>
        <v>Tradiciones Andinas-Gelatina Universal Fresa / Strawberry Gelatin 150gr x 12</v>
      </c>
      <c r="N266" s="20">
        <f t="shared" si="59"/>
        <v>7</v>
      </c>
      <c r="O266" s="20" t="str">
        <f t="shared" si="60"/>
        <v>Se repite 7 veces en Tradiciones Andinas</v>
      </c>
      <c r="P266" s="20" t="str">
        <f t="shared" si="61"/>
        <v>Tradiciones Andinas-Gelatina Universal Fresa / Strawberry Gelatin 150gr x 12-14</v>
      </c>
      <c r="Q266" s="20">
        <f t="shared" si="62"/>
        <v>6</v>
      </c>
      <c r="R266" s="20" t="str">
        <f t="shared" si="63"/>
        <v>Se repite 6 veces el precio de 14</v>
      </c>
      <c r="S266" s="20" t="str">
        <f t="shared" si="64"/>
        <v>El producto Gelatina Universal Fresa / Strawberry Gelatin 150gr x 12 Se repite 7 veces en Tradiciones Andinas, Se repite 6 veces el precio de 14</v>
      </c>
      <c r="T266" s="20" t="str">
        <f t="shared" si="65"/>
        <v>Tradiciones Andinas</v>
      </c>
      <c r="U266" s="20" t="str">
        <f t="shared" si="66"/>
        <v>Gelatina Universal Fresa / Strawberry Gelatin 150gr x 12</v>
      </c>
      <c r="V266" s="22">
        <f t="shared" si="67"/>
        <v>14</v>
      </c>
      <c r="W266" t="str">
        <f t="shared" si="68"/>
        <v>Tradiciones Andinas 07/03/2025</v>
      </c>
      <c r="Z266">
        <f t="shared" si="69"/>
        <v>84</v>
      </c>
    </row>
    <row r="267" spans="1:26" hidden="1" x14ac:dyDescent="0.25">
      <c r="A267" s="2" t="s">
        <v>664</v>
      </c>
      <c r="B267" s="11" t="s">
        <v>1125</v>
      </c>
      <c r="C267" s="11" t="s">
        <v>4</v>
      </c>
      <c r="D267" s="11" t="s">
        <v>1126</v>
      </c>
      <c r="E267" s="11" t="s">
        <v>739</v>
      </c>
      <c r="F267" s="11" t="s">
        <v>964</v>
      </c>
      <c r="G267" s="12">
        <v>18</v>
      </c>
      <c r="H267" s="12">
        <v>14</v>
      </c>
      <c r="I267" s="12">
        <v>252</v>
      </c>
      <c r="J267" s="12">
        <v>70660.810000000012</v>
      </c>
      <c r="K267" s="20">
        <f t="shared" si="56"/>
        <v>7</v>
      </c>
      <c r="L267" s="20" t="str">
        <f t="shared" si="57"/>
        <v>Se repite 7 veces</v>
      </c>
      <c r="M267" s="20" t="str">
        <f t="shared" si="58"/>
        <v>Tradiciones Andinas-Gelatina Universal Fresa / Strawberry Gelatin 150gr x 12</v>
      </c>
      <c r="N267" s="20">
        <f t="shared" si="59"/>
        <v>7</v>
      </c>
      <c r="O267" s="20" t="str">
        <f t="shared" si="60"/>
        <v>Se repite 7 veces en Tradiciones Andinas</v>
      </c>
      <c r="P267" s="20" t="str">
        <f t="shared" si="61"/>
        <v>Tradiciones Andinas-Gelatina Universal Fresa / Strawberry Gelatin 150gr x 12-14</v>
      </c>
      <c r="Q267" s="20">
        <f t="shared" si="62"/>
        <v>6</v>
      </c>
      <c r="R267" s="20" t="str">
        <f t="shared" si="63"/>
        <v>Se repite 6 veces el precio de 14</v>
      </c>
      <c r="S267" s="20" t="str">
        <f t="shared" si="64"/>
        <v>El producto Gelatina Universal Fresa / Strawberry Gelatin 150gr x 12 Se repite 7 veces en Tradiciones Andinas, Se repite 6 veces el precio de 14</v>
      </c>
      <c r="T267" s="20" t="str">
        <f t="shared" si="65"/>
        <v>Tradiciones Andinas</v>
      </c>
      <c r="U267" s="20" t="str">
        <f t="shared" si="66"/>
        <v>Gelatina Universal Fresa / Strawberry Gelatin 150gr x 12</v>
      </c>
      <c r="V267" s="22">
        <f t="shared" si="67"/>
        <v>14</v>
      </c>
      <c r="W267" t="str">
        <f t="shared" si="68"/>
        <v>Tradiciones Andinas 08/18/2025</v>
      </c>
      <c r="Z267">
        <f t="shared" si="69"/>
        <v>252</v>
      </c>
    </row>
    <row r="268" spans="1:26" hidden="1" x14ac:dyDescent="0.25">
      <c r="A268" s="2" t="s">
        <v>664</v>
      </c>
      <c r="B268" s="11" t="s">
        <v>1193</v>
      </c>
      <c r="C268" s="11" t="s">
        <v>4</v>
      </c>
      <c r="D268" s="11" t="s">
        <v>1194</v>
      </c>
      <c r="E268" s="11" t="s">
        <v>739</v>
      </c>
      <c r="F268" s="11" t="s">
        <v>964</v>
      </c>
      <c r="G268" s="12">
        <v>20</v>
      </c>
      <c r="H268" s="12">
        <v>14</v>
      </c>
      <c r="I268" s="12">
        <v>280</v>
      </c>
      <c r="J268" s="12">
        <v>98636.149999999936</v>
      </c>
      <c r="K268" s="20">
        <f t="shared" si="56"/>
        <v>7</v>
      </c>
      <c r="L268" s="20" t="str">
        <f t="shared" si="57"/>
        <v>Se repite 7 veces</v>
      </c>
      <c r="M268" s="20" t="str">
        <f t="shared" si="58"/>
        <v>Tradiciones Andinas-Gelatina Universal Fresa / Strawberry Gelatin 150gr x 12</v>
      </c>
      <c r="N268" s="20">
        <f t="shared" si="59"/>
        <v>7</v>
      </c>
      <c r="O268" s="20" t="str">
        <f t="shared" si="60"/>
        <v>Se repite 7 veces en Tradiciones Andinas</v>
      </c>
      <c r="P268" s="20" t="str">
        <f t="shared" si="61"/>
        <v>Tradiciones Andinas-Gelatina Universal Fresa / Strawberry Gelatin 150gr x 12-14</v>
      </c>
      <c r="Q268" s="20">
        <f t="shared" si="62"/>
        <v>6</v>
      </c>
      <c r="R268" s="20" t="str">
        <f t="shared" si="63"/>
        <v>Se repite 6 veces el precio de 14</v>
      </c>
      <c r="S268" s="20" t="str">
        <f t="shared" si="64"/>
        <v>El producto Gelatina Universal Fresa / Strawberry Gelatin 150gr x 12 Se repite 7 veces en Tradiciones Andinas, Se repite 6 veces el precio de 14</v>
      </c>
      <c r="T268" s="20" t="str">
        <f t="shared" si="65"/>
        <v>Tradiciones Andinas</v>
      </c>
      <c r="U268" s="20" t="str">
        <f t="shared" si="66"/>
        <v>Gelatina Universal Fresa / Strawberry Gelatin 150gr x 12</v>
      </c>
      <c r="V268" s="22">
        <f t="shared" si="67"/>
        <v>14</v>
      </c>
      <c r="W268" t="str">
        <f t="shared" si="68"/>
        <v>Tradiciones Andinas 10/30/2025</v>
      </c>
      <c r="Z268">
        <f t="shared" si="69"/>
        <v>280</v>
      </c>
    </row>
    <row r="269" spans="1:26" hidden="1" x14ac:dyDescent="0.25">
      <c r="A269" s="2" t="s">
        <v>664</v>
      </c>
      <c r="B269" s="11" t="s">
        <v>1207</v>
      </c>
      <c r="C269" s="11" t="s">
        <v>4</v>
      </c>
      <c r="D269" s="11" t="s">
        <v>1208</v>
      </c>
      <c r="E269" s="11" t="s">
        <v>739</v>
      </c>
      <c r="F269" s="11" t="s">
        <v>964</v>
      </c>
      <c r="G269" s="12">
        <v>8</v>
      </c>
      <c r="H269" s="12">
        <v>14</v>
      </c>
      <c r="I269" s="12">
        <v>112</v>
      </c>
      <c r="J269" s="12">
        <v>109259.67999999991</v>
      </c>
      <c r="K269" s="20">
        <f t="shared" si="56"/>
        <v>7</v>
      </c>
      <c r="L269" s="20" t="str">
        <f t="shared" si="57"/>
        <v>Se repite 7 veces</v>
      </c>
      <c r="M269" s="20" t="str">
        <f t="shared" si="58"/>
        <v>Tradiciones Andinas-Gelatina Universal Fresa / Strawberry Gelatin 150gr x 12</v>
      </c>
      <c r="N269" s="20">
        <f t="shared" si="59"/>
        <v>7</v>
      </c>
      <c r="O269" s="20" t="str">
        <f t="shared" si="60"/>
        <v>Se repite 7 veces en Tradiciones Andinas</v>
      </c>
      <c r="P269" s="20" t="str">
        <f t="shared" si="61"/>
        <v>Tradiciones Andinas-Gelatina Universal Fresa / Strawberry Gelatin 150gr x 12-14</v>
      </c>
      <c r="Q269" s="20">
        <f t="shared" si="62"/>
        <v>6</v>
      </c>
      <c r="R269" s="20" t="str">
        <f t="shared" si="63"/>
        <v>Se repite 6 veces el precio de 14</v>
      </c>
      <c r="S269" s="20" t="str">
        <f t="shared" si="64"/>
        <v>El producto Gelatina Universal Fresa / Strawberry Gelatin 150gr x 12 Se repite 7 veces en Tradiciones Andinas, Se repite 6 veces el precio de 14</v>
      </c>
      <c r="T269" s="20" t="str">
        <f t="shared" si="65"/>
        <v>Tradiciones Andinas</v>
      </c>
      <c r="U269" s="20" t="str">
        <f t="shared" si="66"/>
        <v>Gelatina Universal Fresa / Strawberry Gelatin 150gr x 12</v>
      </c>
      <c r="V269" s="22">
        <f t="shared" si="67"/>
        <v>14</v>
      </c>
      <c r="W269" t="str">
        <f t="shared" si="68"/>
        <v>Tradiciones Andinas 11/28/2025</v>
      </c>
      <c r="Z269">
        <f t="shared" si="69"/>
        <v>112</v>
      </c>
    </row>
    <row r="270" spans="1:26" hidden="1" x14ac:dyDescent="0.25">
      <c r="A270" s="2" t="s">
        <v>664</v>
      </c>
      <c r="B270" s="11" t="s">
        <v>1224</v>
      </c>
      <c r="C270" s="11" t="s">
        <v>4</v>
      </c>
      <c r="D270" s="11" t="s">
        <v>1225</v>
      </c>
      <c r="E270" s="11" t="s">
        <v>739</v>
      </c>
      <c r="F270" s="11" t="s">
        <v>964</v>
      </c>
      <c r="G270" s="12">
        <v>12</v>
      </c>
      <c r="H270" s="12">
        <v>14</v>
      </c>
      <c r="I270" s="12">
        <v>168</v>
      </c>
      <c r="J270" s="12">
        <v>118237.31999999991</v>
      </c>
      <c r="K270" s="20">
        <f t="shared" si="56"/>
        <v>7</v>
      </c>
      <c r="L270" s="20" t="str">
        <f t="shared" si="57"/>
        <v>Se repite 7 veces</v>
      </c>
      <c r="M270" s="20" t="str">
        <f t="shared" si="58"/>
        <v>Tradiciones Andinas-Gelatina Universal Fresa / Strawberry Gelatin 150gr x 12</v>
      </c>
      <c r="N270" s="20">
        <f t="shared" si="59"/>
        <v>7</v>
      </c>
      <c r="O270" s="20" t="str">
        <f t="shared" si="60"/>
        <v>Se repite 7 veces en Tradiciones Andinas</v>
      </c>
      <c r="P270" s="20" t="str">
        <f t="shared" si="61"/>
        <v>Tradiciones Andinas-Gelatina Universal Fresa / Strawberry Gelatin 150gr x 12-14</v>
      </c>
      <c r="Q270" s="20">
        <f t="shared" si="62"/>
        <v>6</v>
      </c>
      <c r="R270" s="20" t="str">
        <f t="shared" si="63"/>
        <v>Se repite 6 veces el precio de 14</v>
      </c>
      <c r="S270" s="20" t="str">
        <f t="shared" si="64"/>
        <v>El producto Gelatina Universal Fresa / Strawberry Gelatin 150gr x 12 Se repite 7 veces en Tradiciones Andinas, Se repite 6 veces el precio de 14</v>
      </c>
      <c r="T270" s="20" t="str">
        <f t="shared" si="65"/>
        <v>Tradiciones Andinas</v>
      </c>
      <c r="U270" s="20" t="str">
        <f t="shared" si="66"/>
        <v>Gelatina Universal Fresa / Strawberry Gelatin 150gr x 12</v>
      </c>
      <c r="V270" s="22">
        <f t="shared" si="67"/>
        <v>14</v>
      </c>
      <c r="W270" t="str">
        <f t="shared" si="68"/>
        <v>Tradiciones Andinas 12/03/2025</v>
      </c>
      <c r="Z270">
        <f t="shared" si="69"/>
        <v>168</v>
      </c>
    </row>
    <row r="271" spans="1:26" hidden="1" x14ac:dyDescent="0.25">
      <c r="A271" s="2" t="s">
        <v>664</v>
      </c>
      <c r="B271" s="11" t="s">
        <v>665</v>
      </c>
      <c r="C271" s="11" t="s">
        <v>4</v>
      </c>
      <c r="D271" s="11" t="s">
        <v>666</v>
      </c>
      <c r="E271" s="11" t="s">
        <v>741</v>
      </c>
      <c r="F271" s="11" t="s">
        <v>742</v>
      </c>
      <c r="G271" s="12">
        <v>1</v>
      </c>
      <c r="H271" s="12">
        <v>13.08</v>
      </c>
      <c r="I271" s="12">
        <v>13.08</v>
      </c>
      <c r="J271" s="12">
        <v>2156.3599999999997</v>
      </c>
      <c r="K271" s="20">
        <f t="shared" si="56"/>
        <v>7</v>
      </c>
      <c r="L271" s="20" t="str">
        <f t="shared" si="57"/>
        <v>Se repite 7 veces</v>
      </c>
      <c r="M271" s="20" t="str">
        <f t="shared" si="58"/>
        <v>Tradiciones Andinas-Gelatina Universal Naranja / Orange Gelatin 150gr x 12</v>
      </c>
      <c r="N271" s="20">
        <f t="shared" si="59"/>
        <v>7</v>
      </c>
      <c r="O271" s="20" t="str">
        <f t="shared" si="60"/>
        <v>Se repite 7 veces en Tradiciones Andinas</v>
      </c>
      <c r="P271" s="20" t="str">
        <f t="shared" si="61"/>
        <v>Tradiciones Andinas-Gelatina Universal Naranja / Orange Gelatin 150gr x 12-13.08</v>
      </c>
      <c r="Q271" s="20">
        <f t="shared" si="62"/>
        <v>3</v>
      </c>
      <c r="R271" s="20" t="str">
        <f t="shared" si="63"/>
        <v>Se repite 3 veces el precio de 13.08</v>
      </c>
      <c r="S271" s="20" t="str">
        <f t="shared" si="64"/>
        <v>El producto Gelatina Universal Naranja / Orange Gelatin 150gr x 12 Se repite 7 veces en Tradiciones Andinas, Se repite 3 veces el precio de 13.08</v>
      </c>
      <c r="T271" s="20" t="str">
        <f t="shared" si="65"/>
        <v>Tradiciones Andinas</v>
      </c>
      <c r="U271" s="20" t="str">
        <f t="shared" si="66"/>
        <v>Gelatina Universal Naranja / Orange Gelatin 150gr x 12</v>
      </c>
      <c r="V271" s="22">
        <f t="shared" si="67"/>
        <v>13.08</v>
      </c>
      <c r="W271" t="str">
        <f t="shared" si="68"/>
        <v>Tradiciones Andinas 03/31/2025</v>
      </c>
      <c r="Z271">
        <f t="shared" si="69"/>
        <v>13.08</v>
      </c>
    </row>
    <row r="272" spans="1:26" hidden="1" x14ac:dyDescent="0.25">
      <c r="A272" s="2" t="s">
        <v>664</v>
      </c>
      <c r="B272" s="11" t="s">
        <v>398</v>
      </c>
      <c r="C272" s="11" t="s">
        <v>4</v>
      </c>
      <c r="D272" s="11" t="s">
        <v>5</v>
      </c>
      <c r="E272" s="11" t="s">
        <v>741</v>
      </c>
      <c r="F272" s="11" t="s">
        <v>742</v>
      </c>
      <c r="G272" s="12">
        <v>2</v>
      </c>
      <c r="H272" s="12">
        <v>13.08</v>
      </c>
      <c r="I272" s="12">
        <v>26.16</v>
      </c>
      <c r="J272" s="12">
        <v>5419.28</v>
      </c>
      <c r="K272" s="20">
        <f t="shared" si="56"/>
        <v>7</v>
      </c>
      <c r="L272" s="20" t="str">
        <f t="shared" si="57"/>
        <v>Se repite 7 veces</v>
      </c>
      <c r="M272" s="20" t="str">
        <f t="shared" si="58"/>
        <v>Tradiciones Andinas-Gelatina Universal Naranja / Orange Gelatin 150gr x 12</v>
      </c>
      <c r="N272" s="20">
        <f t="shared" si="59"/>
        <v>7</v>
      </c>
      <c r="O272" s="20" t="str">
        <f t="shared" si="60"/>
        <v>Se repite 7 veces en Tradiciones Andinas</v>
      </c>
      <c r="P272" s="20" t="str">
        <f t="shared" si="61"/>
        <v>Tradiciones Andinas-Gelatina Universal Naranja / Orange Gelatin 150gr x 12-13.08</v>
      </c>
      <c r="Q272" s="20">
        <f t="shared" si="62"/>
        <v>3</v>
      </c>
      <c r="R272" s="20" t="str">
        <f t="shared" si="63"/>
        <v>Se repite 3 veces el precio de 13.08</v>
      </c>
      <c r="S272" s="20" t="str">
        <f t="shared" si="64"/>
        <v>El producto Gelatina Universal Naranja / Orange Gelatin 150gr x 12 Se repite 7 veces en Tradiciones Andinas, Se repite 3 veces el precio de 13.08</v>
      </c>
      <c r="T272" s="20" t="str">
        <f t="shared" si="65"/>
        <v>Tradiciones Andinas</v>
      </c>
      <c r="U272" s="20" t="str">
        <f t="shared" si="66"/>
        <v>Gelatina Universal Naranja / Orange Gelatin 150gr x 12</v>
      </c>
      <c r="V272" s="22">
        <f t="shared" si="67"/>
        <v>13.08</v>
      </c>
      <c r="W272" t="str">
        <f t="shared" si="68"/>
        <v>Tradiciones Andinas 04/10/2025</v>
      </c>
      <c r="Z272">
        <f t="shared" si="69"/>
        <v>26.16</v>
      </c>
    </row>
    <row r="273" spans="1:26" hidden="1" x14ac:dyDescent="0.25">
      <c r="A273" s="2" t="s">
        <v>664</v>
      </c>
      <c r="B273" s="11" t="s">
        <v>821</v>
      </c>
      <c r="C273" s="11" t="s">
        <v>4</v>
      </c>
      <c r="D273" s="11" t="s">
        <v>822</v>
      </c>
      <c r="E273" s="11" t="s">
        <v>741</v>
      </c>
      <c r="F273" s="11" t="s">
        <v>742</v>
      </c>
      <c r="G273" s="12">
        <v>6</v>
      </c>
      <c r="H273" s="12">
        <v>13.08</v>
      </c>
      <c r="I273" s="12">
        <v>78.48</v>
      </c>
      <c r="J273" s="12">
        <v>17594.899999999994</v>
      </c>
      <c r="K273" s="20">
        <f t="shared" si="56"/>
        <v>7</v>
      </c>
      <c r="L273" s="20" t="str">
        <f t="shared" si="57"/>
        <v>Se repite 7 veces</v>
      </c>
      <c r="M273" s="20" t="str">
        <f t="shared" si="58"/>
        <v>Tradiciones Andinas-Gelatina Universal Naranja / Orange Gelatin 150gr x 12</v>
      </c>
      <c r="N273" s="20">
        <f t="shared" si="59"/>
        <v>7</v>
      </c>
      <c r="O273" s="20" t="str">
        <f t="shared" si="60"/>
        <v>Se repite 7 veces en Tradiciones Andinas</v>
      </c>
      <c r="P273" s="20" t="str">
        <f t="shared" si="61"/>
        <v>Tradiciones Andinas-Gelatina Universal Naranja / Orange Gelatin 150gr x 12-13.08</v>
      </c>
      <c r="Q273" s="20">
        <f t="shared" si="62"/>
        <v>3</v>
      </c>
      <c r="R273" s="20" t="str">
        <f t="shared" si="63"/>
        <v>Se repite 3 veces el precio de 13.08</v>
      </c>
      <c r="S273" s="20" t="str">
        <f t="shared" si="64"/>
        <v>El producto Gelatina Universal Naranja / Orange Gelatin 150gr x 12 Se repite 7 veces en Tradiciones Andinas, Se repite 3 veces el precio de 13.08</v>
      </c>
      <c r="T273" s="20" t="str">
        <f t="shared" si="65"/>
        <v>Tradiciones Andinas</v>
      </c>
      <c r="U273" s="20" t="str">
        <f t="shared" si="66"/>
        <v>Gelatina Universal Naranja / Orange Gelatin 150gr x 12</v>
      </c>
      <c r="V273" s="22">
        <f t="shared" si="67"/>
        <v>13.08</v>
      </c>
      <c r="W273" t="str">
        <f t="shared" si="68"/>
        <v>Tradiciones Andinas 04/25/2025</v>
      </c>
      <c r="Z273">
        <f t="shared" si="69"/>
        <v>78.48</v>
      </c>
    </row>
    <row r="274" spans="1:26" hidden="1" x14ac:dyDescent="0.25">
      <c r="A274" s="2" t="s">
        <v>664</v>
      </c>
      <c r="B274" s="11" t="s">
        <v>1033</v>
      </c>
      <c r="C274" s="11" t="s">
        <v>4</v>
      </c>
      <c r="D274" s="11" t="s">
        <v>1034</v>
      </c>
      <c r="E274" s="11" t="s">
        <v>741</v>
      </c>
      <c r="F274" s="11" t="s">
        <v>1065</v>
      </c>
      <c r="G274" s="12">
        <v>7</v>
      </c>
      <c r="H274" s="12">
        <v>14</v>
      </c>
      <c r="I274" s="12">
        <v>98</v>
      </c>
      <c r="J274" s="12">
        <v>53973.999999999949</v>
      </c>
      <c r="K274" s="20">
        <f t="shared" si="56"/>
        <v>7</v>
      </c>
      <c r="L274" s="20" t="str">
        <f t="shared" si="57"/>
        <v>Se repite 7 veces</v>
      </c>
      <c r="M274" s="20" t="str">
        <f t="shared" si="58"/>
        <v>Tradiciones Andinas-Gelatina Universal Naranja / Orange Gelatin 150gr x 12</v>
      </c>
      <c r="N274" s="20">
        <f t="shared" si="59"/>
        <v>7</v>
      </c>
      <c r="O274" s="20" t="str">
        <f t="shared" si="60"/>
        <v>Se repite 7 veces en Tradiciones Andinas</v>
      </c>
      <c r="P274" s="20" t="str">
        <f t="shared" si="61"/>
        <v>Tradiciones Andinas-Gelatina Universal Naranja / Orange Gelatin 150gr x 12-14</v>
      </c>
      <c r="Q274" s="20">
        <f t="shared" si="62"/>
        <v>4</v>
      </c>
      <c r="R274" s="20" t="str">
        <f t="shared" si="63"/>
        <v>Se repite 4 veces el precio de 14</v>
      </c>
      <c r="S274" s="20" t="str">
        <f t="shared" si="64"/>
        <v>El producto Gelatina Universal Naranja / Orange Gelatin 150gr x 12 Se repite 7 veces en Tradiciones Andinas, Se repite 4 veces el precio de 14</v>
      </c>
      <c r="T274" s="20" t="str">
        <f t="shared" si="65"/>
        <v>Tradiciones Andinas</v>
      </c>
      <c r="U274" s="20" t="str">
        <f t="shared" si="66"/>
        <v>Gelatina Universal Naranja / Orange Gelatin 150gr x 12</v>
      </c>
      <c r="V274" s="22">
        <f t="shared" si="67"/>
        <v>14</v>
      </c>
      <c r="W274" t="str">
        <f t="shared" si="68"/>
        <v>Tradiciones Andinas 07/03/2025</v>
      </c>
      <c r="Z274">
        <f t="shared" si="69"/>
        <v>98</v>
      </c>
    </row>
    <row r="275" spans="1:26" hidden="1" x14ac:dyDescent="0.25">
      <c r="A275" s="2" t="s">
        <v>664</v>
      </c>
      <c r="B275" s="11" t="s">
        <v>1125</v>
      </c>
      <c r="C275" s="11" t="s">
        <v>4</v>
      </c>
      <c r="D275" s="11" t="s">
        <v>1126</v>
      </c>
      <c r="E275" s="11" t="s">
        <v>741</v>
      </c>
      <c r="F275" s="11" t="s">
        <v>1065</v>
      </c>
      <c r="G275" s="12">
        <v>3</v>
      </c>
      <c r="H275" s="12">
        <v>14</v>
      </c>
      <c r="I275" s="12">
        <v>42</v>
      </c>
      <c r="J275" s="12">
        <v>70702.810000000012</v>
      </c>
      <c r="K275" s="20">
        <f t="shared" si="56"/>
        <v>7</v>
      </c>
      <c r="L275" s="20" t="str">
        <f t="shared" si="57"/>
        <v>Se repite 7 veces</v>
      </c>
      <c r="M275" s="20" t="str">
        <f t="shared" si="58"/>
        <v>Tradiciones Andinas-Gelatina Universal Naranja / Orange Gelatin 150gr x 12</v>
      </c>
      <c r="N275" s="20">
        <f t="shared" si="59"/>
        <v>7</v>
      </c>
      <c r="O275" s="20" t="str">
        <f t="shared" si="60"/>
        <v>Se repite 7 veces en Tradiciones Andinas</v>
      </c>
      <c r="P275" s="20" t="str">
        <f t="shared" si="61"/>
        <v>Tradiciones Andinas-Gelatina Universal Naranja / Orange Gelatin 150gr x 12-14</v>
      </c>
      <c r="Q275" s="20">
        <f t="shared" si="62"/>
        <v>4</v>
      </c>
      <c r="R275" s="20" t="str">
        <f t="shared" si="63"/>
        <v>Se repite 4 veces el precio de 14</v>
      </c>
      <c r="S275" s="20" t="str">
        <f t="shared" si="64"/>
        <v>El producto Gelatina Universal Naranja / Orange Gelatin 150gr x 12 Se repite 7 veces en Tradiciones Andinas, Se repite 4 veces el precio de 14</v>
      </c>
      <c r="T275" s="20" t="str">
        <f t="shared" si="65"/>
        <v>Tradiciones Andinas</v>
      </c>
      <c r="U275" s="20" t="str">
        <f t="shared" si="66"/>
        <v>Gelatina Universal Naranja / Orange Gelatin 150gr x 12</v>
      </c>
      <c r="V275" s="22">
        <f t="shared" si="67"/>
        <v>14</v>
      </c>
      <c r="W275" t="str">
        <f t="shared" si="68"/>
        <v>Tradiciones Andinas 08/18/2025</v>
      </c>
      <c r="Z275">
        <f t="shared" si="69"/>
        <v>42</v>
      </c>
    </row>
    <row r="276" spans="1:26" hidden="1" x14ac:dyDescent="0.25">
      <c r="A276" s="2" t="s">
        <v>664</v>
      </c>
      <c r="B276" s="11" t="s">
        <v>1193</v>
      </c>
      <c r="C276" s="11" t="s">
        <v>4</v>
      </c>
      <c r="D276" s="11" t="s">
        <v>1194</v>
      </c>
      <c r="E276" s="11" t="s">
        <v>741</v>
      </c>
      <c r="F276" s="11" t="s">
        <v>1065</v>
      </c>
      <c r="G276" s="12">
        <v>6</v>
      </c>
      <c r="H276" s="12">
        <v>14</v>
      </c>
      <c r="I276" s="12">
        <v>84</v>
      </c>
      <c r="J276" s="12">
        <v>98720.149999999936</v>
      </c>
      <c r="K276" s="20">
        <f t="shared" si="56"/>
        <v>7</v>
      </c>
      <c r="L276" s="20" t="str">
        <f t="shared" si="57"/>
        <v>Se repite 7 veces</v>
      </c>
      <c r="M276" s="20" t="str">
        <f t="shared" si="58"/>
        <v>Tradiciones Andinas-Gelatina Universal Naranja / Orange Gelatin 150gr x 12</v>
      </c>
      <c r="N276" s="20">
        <f t="shared" si="59"/>
        <v>7</v>
      </c>
      <c r="O276" s="20" t="str">
        <f t="shared" si="60"/>
        <v>Se repite 7 veces en Tradiciones Andinas</v>
      </c>
      <c r="P276" s="20" t="str">
        <f t="shared" si="61"/>
        <v>Tradiciones Andinas-Gelatina Universal Naranja / Orange Gelatin 150gr x 12-14</v>
      </c>
      <c r="Q276" s="20">
        <f t="shared" si="62"/>
        <v>4</v>
      </c>
      <c r="R276" s="20" t="str">
        <f t="shared" si="63"/>
        <v>Se repite 4 veces el precio de 14</v>
      </c>
      <c r="S276" s="20" t="str">
        <f t="shared" si="64"/>
        <v>El producto Gelatina Universal Naranja / Orange Gelatin 150gr x 12 Se repite 7 veces en Tradiciones Andinas, Se repite 4 veces el precio de 14</v>
      </c>
      <c r="T276" s="20" t="str">
        <f t="shared" si="65"/>
        <v>Tradiciones Andinas</v>
      </c>
      <c r="U276" s="20" t="str">
        <f t="shared" si="66"/>
        <v>Gelatina Universal Naranja / Orange Gelatin 150gr x 12</v>
      </c>
      <c r="V276" s="22">
        <f t="shared" si="67"/>
        <v>14</v>
      </c>
      <c r="W276" t="str">
        <f t="shared" si="68"/>
        <v>Tradiciones Andinas 10/30/2025</v>
      </c>
      <c r="Z276">
        <f t="shared" si="69"/>
        <v>84</v>
      </c>
    </row>
    <row r="277" spans="1:26" hidden="1" x14ac:dyDescent="0.25">
      <c r="A277" s="2" t="s">
        <v>664</v>
      </c>
      <c r="B277" s="11" t="s">
        <v>1207</v>
      </c>
      <c r="C277" s="11" t="s">
        <v>4</v>
      </c>
      <c r="D277" s="11" t="s">
        <v>1208</v>
      </c>
      <c r="E277" s="11" t="s">
        <v>741</v>
      </c>
      <c r="F277" s="11" t="s">
        <v>1065</v>
      </c>
      <c r="G277" s="12">
        <v>8</v>
      </c>
      <c r="H277" s="12">
        <v>14</v>
      </c>
      <c r="I277" s="12">
        <v>112</v>
      </c>
      <c r="J277" s="12">
        <v>109371.67999999991</v>
      </c>
      <c r="K277" s="20">
        <f t="shared" si="56"/>
        <v>7</v>
      </c>
      <c r="L277" s="20" t="str">
        <f t="shared" si="57"/>
        <v>Se repite 7 veces</v>
      </c>
      <c r="M277" s="20" t="str">
        <f t="shared" si="58"/>
        <v>Tradiciones Andinas-Gelatina Universal Naranja / Orange Gelatin 150gr x 12</v>
      </c>
      <c r="N277" s="20">
        <f t="shared" si="59"/>
        <v>7</v>
      </c>
      <c r="O277" s="20" t="str">
        <f t="shared" si="60"/>
        <v>Se repite 7 veces en Tradiciones Andinas</v>
      </c>
      <c r="P277" s="20" t="str">
        <f t="shared" si="61"/>
        <v>Tradiciones Andinas-Gelatina Universal Naranja / Orange Gelatin 150gr x 12-14</v>
      </c>
      <c r="Q277" s="20">
        <f t="shared" si="62"/>
        <v>4</v>
      </c>
      <c r="R277" s="20" t="str">
        <f t="shared" si="63"/>
        <v>Se repite 4 veces el precio de 14</v>
      </c>
      <c r="S277" s="20" t="str">
        <f t="shared" si="64"/>
        <v>El producto Gelatina Universal Naranja / Orange Gelatin 150gr x 12 Se repite 7 veces en Tradiciones Andinas, Se repite 4 veces el precio de 14</v>
      </c>
      <c r="T277" s="20" t="str">
        <f t="shared" si="65"/>
        <v>Tradiciones Andinas</v>
      </c>
      <c r="U277" s="20" t="str">
        <f t="shared" si="66"/>
        <v>Gelatina Universal Naranja / Orange Gelatin 150gr x 12</v>
      </c>
      <c r="V277" s="22">
        <f t="shared" si="67"/>
        <v>14</v>
      </c>
      <c r="W277" t="str">
        <f t="shared" si="68"/>
        <v>Tradiciones Andinas 11/28/2025</v>
      </c>
      <c r="Z277">
        <f t="shared" si="69"/>
        <v>112</v>
      </c>
    </row>
    <row r="278" spans="1:26" hidden="1" x14ac:dyDescent="0.25">
      <c r="A278" s="2" t="s">
        <v>664</v>
      </c>
      <c r="B278" s="11" t="s">
        <v>821</v>
      </c>
      <c r="C278" s="11" t="s">
        <v>4</v>
      </c>
      <c r="D278" s="11" t="s">
        <v>822</v>
      </c>
      <c r="E278" s="11" t="s">
        <v>878</v>
      </c>
      <c r="F278" s="11" t="s">
        <v>879</v>
      </c>
      <c r="G278" s="12">
        <v>3</v>
      </c>
      <c r="H278" s="12">
        <v>13.08</v>
      </c>
      <c r="I278" s="12">
        <v>39.24</v>
      </c>
      <c r="J278" s="12">
        <v>17634.139999999996</v>
      </c>
      <c r="K278" s="20">
        <f t="shared" si="56"/>
        <v>5</v>
      </c>
      <c r="L278" s="20" t="str">
        <f t="shared" si="57"/>
        <v>Se repite 5 veces</v>
      </c>
      <c r="M278" s="20" t="str">
        <f t="shared" si="58"/>
        <v>Tradiciones Andinas-Gelatina Universal Piña / Pineapple Gelatin 150gr x 12</v>
      </c>
      <c r="N278" s="20">
        <f t="shared" si="59"/>
        <v>5</v>
      </c>
      <c r="O278" s="20" t="str">
        <f t="shared" si="60"/>
        <v>Se repite 5 veces en Tradiciones Andinas</v>
      </c>
      <c r="P278" s="20" t="str">
        <f t="shared" si="61"/>
        <v>Tradiciones Andinas-Gelatina Universal Piña / Pineapple Gelatin 150gr x 12-13.08</v>
      </c>
      <c r="Q278" s="20">
        <f t="shared" si="62"/>
        <v>1</v>
      </c>
      <c r="R278" s="20" t="str">
        <f t="shared" si="63"/>
        <v>No se repite</v>
      </c>
      <c r="S278" s="20" t="str">
        <f t="shared" si="64"/>
        <v>El producto Gelatina Universal Piña / Pineapple Gelatin 150gr x 12 Se repite 5 veces en Tradiciones Andinas Una vez con el precio 13.08</v>
      </c>
      <c r="T278" s="20" t="str">
        <f t="shared" si="65"/>
        <v>Tradiciones Andinas</v>
      </c>
      <c r="U278" s="20" t="str">
        <f t="shared" si="66"/>
        <v>Gelatina Universal Piña / Pineapple Gelatin 150gr x 12</v>
      </c>
      <c r="V278" s="22">
        <f t="shared" si="67"/>
        <v>13.08</v>
      </c>
      <c r="W278" t="str">
        <f t="shared" si="68"/>
        <v>Tradiciones Andinas 04/25/2025</v>
      </c>
      <c r="Z278">
        <f t="shared" si="69"/>
        <v>39.24</v>
      </c>
    </row>
    <row r="279" spans="1:26" hidden="1" x14ac:dyDescent="0.25">
      <c r="A279" s="2" t="s">
        <v>664</v>
      </c>
      <c r="B279" s="11" t="s">
        <v>654</v>
      </c>
      <c r="C279" s="11" t="s">
        <v>4</v>
      </c>
      <c r="D279" s="11" t="s">
        <v>940</v>
      </c>
      <c r="E279" s="11" t="s">
        <v>878</v>
      </c>
      <c r="F279" s="11" t="s">
        <v>965</v>
      </c>
      <c r="G279" s="12">
        <v>3</v>
      </c>
      <c r="H279" s="12">
        <v>14</v>
      </c>
      <c r="I279" s="12">
        <v>42</v>
      </c>
      <c r="J279" s="12">
        <v>29987.499999999996</v>
      </c>
      <c r="K279" s="20">
        <f t="shared" si="56"/>
        <v>5</v>
      </c>
      <c r="L279" s="20" t="str">
        <f t="shared" si="57"/>
        <v>Se repite 5 veces</v>
      </c>
      <c r="M279" s="20" t="str">
        <f t="shared" si="58"/>
        <v>Tradiciones Andinas-Gelatina Universal Piña / Pineapple Gelatin 150gr x 12</v>
      </c>
      <c r="N279" s="20">
        <f t="shared" si="59"/>
        <v>5</v>
      </c>
      <c r="O279" s="20" t="str">
        <f t="shared" si="60"/>
        <v>Se repite 5 veces en Tradiciones Andinas</v>
      </c>
      <c r="P279" s="20" t="str">
        <f t="shared" si="61"/>
        <v>Tradiciones Andinas-Gelatina Universal Piña / Pineapple Gelatin 150gr x 12-14</v>
      </c>
      <c r="Q279" s="20">
        <f t="shared" si="62"/>
        <v>4</v>
      </c>
      <c r="R279" s="20" t="str">
        <f t="shared" si="63"/>
        <v>Se repite 4 veces el precio de 14</v>
      </c>
      <c r="S279" s="20" t="str">
        <f t="shared" si="64"/>
        <v>El producto Gelatina Universal Piña / Pineapple Gelatin 150gr x 12 Se repite 5 veces en Tradiciones Andinas, Se repite 4 veces el precio de 14</v>
      </c>
      <c r="T279" s="20" t="str">
        <f t="shared" si="65"/>
        <v>Tradiciones Andinas</v>
      </c>
      <c r="U279" s="20" t="str">
        <f t="shared" si="66"/>
        <v>Gelatina Universal Piña / Pineapple Gelatin 150gr x 12</v>
      </c>
      <c r="V279" s="22">
        <f t="shared" si="67"/>
        <v>14</v>
      </c>
      <c r="W279" t="str">
        <f t="shared" si="68"/>
        <v>Tradiciones Andinas 05/19/2025</v>
      </c>
      <c r="Z279">
        <f t="shared" si="69"/>
        <v>42</v>
      </c>
    </row>
    <row r="280" spans="1:26" hidden="1" x14ac:dyDescent="0.25">
      <c r="A280" s="2" t="s">
        <v>664</v>
      </c>
      <c r="B280" s="11" t="s">
        <v>1033</v>
      </c>
      <c r="C280" s="11" t="s">
        <v>4</v>
      </c>
      <c r="D280" s="11" t="s">
        <v>1034</v>
      </c>
      <c r="E280" s="11" t="s">
        <v>878</v>
      </c>
      <c r="F280" s="11" t="s">
        <v>965</v>
      </c>
      <c r="G280" s="12">
        <v>12</v>
      </c>
      <c r="H280" s="12">
        <v>14</v>
      </c>
      <c r="I280" s="12">
        <v>168</v>
      </c>
      <c r="J280" s="12">
        <v>54141.999999999949</v>
      </c>
      <c r="K280" s="20">
        <f t="shared" si="56"/>
        <v>5</v>
      </c>
      <c r="L280" s="20" t="str">
        <f t="shared" si="57"/>
        <v>Se repite 5 veces</v>
      </c>
      <c r="M280" s="20" t="str">
        <f t="shared" si="58"/>
        <v>Tradiciones Andinas-Gelatina Universal Piña / Pineapple Gelatin 150gr x 12</v>
      </c>
      <c r="N280" s="20">
        <f t="shared" si="59"/>
        <v>5</v>
      </c>
      <c r="O280" s="20" t="str">
        <f t="shared" si="60"/>
        <v>Se repite 5 veces en Tradiciones Andinas</v>
      </c>
      <c r="P280" s="20" t="str">
        <f t="shared" si="61"/>
        <v>Tradiciones Andinas-Gelatina Universal Piña / Pineapple Gelatin 150gr x 12-14</v>
      </c>
      <c r="Q280" s="20">
        <f t="shared" si="62"/>
        <v>4</v>
      </c>
      <c r="R280" s="20" t="str">
        <f t="shared" si="63"/>
        <v>Se repite 4 veces el precio de 14</v>
      </c>
      <c r="S280" s="20" t="str">
        <f t="shared" si="64"/>
        <v>El producto Gelatina Universal Piña / Pineapple Gelatin 150gr x 12 Se repite 5 veces en Tradiciones Andinas, Se repite 4 veces el precio de 14</v>
      </c>
      <c r="T280" s="20" t="str">
        <f t="shared" si="65"/>
        <v>Tradiciones Andinas</v>
      </c>
      <c r="U280" s="20" t="str">
        <f t="shared" si="66"/>
        <v>Gelatina Universal Piña / Pineapple Gelatin 150gr x 12</v>
      </c>
      <c r="V280" s="22">
        <f t="shared" si="67"/>
        <v>14</v>
      </c>
      <c r="W280" t="str">
        <f t="shared" si="68"/>
        <v>Tradiciones Andinas 07/03/2025</v>
      </c>
      <c r="Z280">
        <f t="shared" si="69"/>
        <v>168</v>
      </c>
    </row>
    <row r="281" spans="1:26" hidden="1" x14ac:dyDescent="0.25">
      <c r="A281" s="2" t="s">
        <v>664</v>
      </c>
      <c r="B281" s="11" t="s">
        <v>1193</v>
      </c>
      <c r="C281" s="11" t="s">
        <v>4</v>
      </c>
      <c r="D281" s="11" t="s">
        <v>1194</v>
      </c>
      <c r="E281" s="11" t="s">
        <v>878</v>
      </c>
      <c r="F281" s="11" t="s">
        <v>965</v>
      </c>
      <c r="G281" s="12">
        <v>6</v>
      </c>
      <c r="H281" s="12">
        <v>14</v>
      </c>
      <c r="I281" s="12">
        <v>84</v>
      </c>
      <c r="J281" s="12">
        <v>98804.149999999936</v>
      </c>
      <c r="K281" s="20">
        <f t="shared" si="56"/>
        <v>5</v>
      </c>
      <c r="L281" s="20" t="str">
        <f t="shared" si="57"/>
        <v>Se repite 5 veces</v>
      </c>
      <c r="M281" s="20" t="str">
        <f t="shared" si="58"/>
        <v>Tradiciones Andinas-Gelatina Universal Piña / Pineapple Gelatin 150gr x 12</v>
      </c>
      <c r="N281" s="20">
        <f t="shared" si="59"/>
        <v>5</v>
      </c>
      <c r="O281" s="20" t="str">
        <f t="shared" si="60"/>
        <v>Se repite 5 veces en Tradiciones Andinas</v>
      </c>
      <c r="P281" s="20" t="str">
        <f t="shared" si="61"/>
        <v>Tradiciones Andinas-Gelatina Universal Piña / Pineapple Gelatin 150gr x 12-14</v>
      </c>
      <c r="Q281" s="20">
        <f t="shared" si="62"/>
        <v>4</v>
      </c>
      <c r="R281" s="20" t="str">
        <f t="shared" si="63"/>
        <v>Se repite 4 veces el precio de 14</v>
      </c>
      <c r="S281" s="20" t="str">
        <f t="shared" si="64"/>
        <v>El producto Gelatina Universal Piña / Pineapple Gelatin 150gr x 12 Se repite 5 veces en Tradiciones Andinas, Se repite 4 veces el precio de 14</v>
      </c>
      <c r="T281" s="20" t="str">
        <f t="shared" si="65"/>
        <v>Tradiciones Andinas</v>
      </c>
      <c r="U281" s="20" t="str">
        <f t="shared" si="66"/>
        <v>Gelatina Universal Piña / Pineapple Gelatin 150gr x 12</v>
      </c>
      <c r="V281" s="22">
        <f t="shared" si="67"/>
        <v>14</v>
      </c>
      <c r="W281" t="str">
        <f t="shared" si="68"/>
        <v>Tradiciones Andinas 10/30/2025</v>
      </c>
      <c r="Z281">
        <f t="shared" si="69"/>
        <v>84</v>
      </c>
    </row>
    <row r="282" spans="1:26" hidden="1" x14ac:dyDescent="0.25">
      <c r="A282" s="2" t="s">
        <v>664</v>
      </c>
      <c r="B282" s="11" t="s">
        <v>1207</v>
      </c>
      <c r="C282" s="11" t="s">
        <v>4</v>
      </c>
      <c r="D282" s="11" t="s">
        <v>1208</v>
      </c>
      <c r="E282" s="11" t="s">
        <v>878</v>
      </c>
      <c r="F282" s="11" t="s">
        <v>965</v>
      </c>
      <c r="G282" s="12">
        <v>4</v>
      </c>
      <c r="H282" s="12">
        <v>14</v>
      </c>
      <c r="I282" s="12">
        <v>56</v>
      </c>
      <c r="J282" s="12">
        <v>109427.67999999991</v>
      </c>
      <c r="K282" s="20">
        <f t="shared" si="56"/>
        <v>5</v>
      </c>
      <c r="L282" s="20" t="str">
        <f t="shared" si="57"/>
        <v>Se repite 5 veces</v>
      </c>
      <c r="M282" s="20" t="str">
        <f t="shared" si="58"/>
        <v>Tradiciones Andinas-Gelatina Universal Piña / Pineapple Gelatin 150gr x 12</v>
      </c>
      <c r="N282" s="20">
        <f t="shared" si="59"/>
        <v>5</v>
      </c>
      <c r="O282" s="20" t="str">
        <f t="shared" si="60"/>
        <v>Se repite 5 veces en Tradiciones Andinas</v>
      </c>
      <c r="P282" s="20" t="str">
        <f t="shared" si="61"/>
        <v>Tradiciones Andinas-Gelatina Universal Piña / Pineapple Gelatin 150gr x 12-14</v>
      </c>
      <c r="Q282" s="20">
        <f t="shared" si="62"/>
        <v>4</v>
      </c>
      <c r="R282" s="20" t="str">
        <f t="shared" si="63"/>
        <v>Se repite 4 veces el precio de 14</v>
      </c>
      <c r="S282" s="20" t="str">
        <f t="shared" si="64"/>
        <v>El producto Gelatina Universal Piña / Pineapple Gelatin 150gr x 12 Se repite 5 veces en Tradiciones Andinas, Se repite 4 veces el precio de 14</v>
      </c>
      <c r="T282" s="20" t="str">
        <f t="shared" si="65"/>
        <v>Tradiciones Andinas</v>
      </c>
      <c r="U282" s="20" t="str">
        <f t="shared" si="66"/>
        <v>Gelatina Universal Piña / Pineapple Gelatin 150gr x 12</v>
      </c>
      <c r="V282" s="22">
        <f t="shared" si="67"/>
        <v>14</v>
      </c>
      <c r="W282" t="str">
        <f t="shared" si="68"/>
        <v>Tradiciones Andinas 11/28/2025</v>
      </c>
      <c r="Z282">
        <f t="shared" si="69"/>
        <v>56</v>
      </c>
    </row>
    <row r="283" spans="1:26" hidden="1" x14ac:dyDescent="0.25">
      <c r="A283" s="2" t="s">
        <v>272</v>
      </c>
      <c r="B283" s="11" t="s">
        <v>273</v>
      </c>
      <c r="C283" s="11" t="s">
        <v>4</v>
      </c>
      <c r="D283" s="11" t="s">
        <v>5</v>
      </c>
      <c r="E283" s="11" t="s">
        <v>364</v>
      </c>
      <c r="F283" s="11" t="s">
        <v>365</v>
      </c>
      <c r="G283" s="12">
        <v>1</v>
      </c>
      <c r="H283" s="12">
        <v>17</v>
      </c>
      <c r="I283" s="12">
        <v>17</v>
      </c>
      <c r="J283" s="12">
        <v>1495.1999999999998</v>
      </c>
      <c r="K283" s="20">
        <f t="shared" si="56"/>
        <v>3</v>
      </c>
      <c r="L283" s="20" t="str">
        <f t="shared" si="57"/>
        <v>Se repite 3 veces</v>
      </c>
      <c r="M283" s="20" t="str">
        <f t="shared" si="58"/>
        <v>Peru Chef-Glacitas Chocolate 32gr 6 x 8</v>
      </c>
      <c r="N283" s="20">
        <f t="shared" si="59"/>
        <v>3</v>
      </c>
      <c r="O283" s="20" t="str">
        <f t="shared" si="60"/>
        <v>Se repite 3 veces en Peru Chef</v>
      </c>
      <c r="P283" s="20" t="str">
        <f t="shared" si="61"/>
        <v>Peru Chef-Glacitas Chocolate 32gr 6 x 8-17</v>
      </c>
      <c r="Q283" s="20">
        <f t="shared" si="62"/>
        <v>3</v>
      </c>
      <c r="R283" s="20" t="str">
        <f t="shared" si="63"/>
        <v>Se repite 3 veces el precio de 17</v>
      </c>
      <c r="S283" s="20" t="str">
        <f t="shared" si="64"/>
        <v>El producto Glacitas Chocolate 32gr 6 x 8 Se repite 3 veces en Peru Chef, Se repite 3 veces el precio de 17</v>
      </c>
      <c r="T283" s="20" t="str">
        <f t="shared" si="65"/>
        <v>Peru Chef</v>
      </c>
      <c r="U283" s="20" t="str">
        <f t="shared" si="66"/>
        <v>Glacitas Chocolate 32gr 6 x 8</v>
      </c>
      <c r="V283" s="22">
        <f t="shared" si="67"/>
        <v>17</v>
      </c>
      <c r="W283" t="str">
        <f t="shared" si="68"/>
        <v>Peru Chef 03/26/2025</v>
      </c>
      <c r="Z283">
        <f t="shared" si="69"/>
        <v>17</v>
      </c>
    </row>
    <row r="284" spans="1:26" hidden="1" x14ac:dyDescent="0.25">
      <c r="A284" s="2" t="s">
        <v>272</v>
      </c>
      <c r="B284" s="11" t="s">
        <v>398</v>
      </c>
      <c r="C284" s="11" t="s">
        <v>4</v>
      </c>
      <c r="D284" s="11" t="s">
        <v>399</v>
      </c>
      <c r="E284" s="11" t="s">
        <v>364</v>
      </c>
      <c r="F284" s="11" t="s">
        <v>365</v>
      </c>
      <c r="G284" s="12">
        <v>1</v>
      </c>
      <c r="H284" s="12">
        <v>17</v>
      </c>
      <c r="I284" s="12">
        <v>17</v>
      </c>
      <c r="J284" s="12">
        <v>3598</v>
      </c>
      <c r="K284" s="20">
        <f t="shared" si="56"/>
        <v>3</v>
      </c>
      <c r="L284" s="20" t="str">
        <f t="shared" si="57"/>
        <v>Se repite 3 veces</v>
      </c>
      <c r="M284" s="20" t="str">
        <f t="shared" si="58"/>
        <v>Peru Chef-Glacitas Chocolate 32gr 6 x 8</v>
      </c>
      <c r="N284" s="20">
        <f t="shared" si="59"/>
        <v>3</v>
      </c>
      <c r="O284" s="20" t="str">
        <f t="shared" si="60"/>
        <v>Se repite 3 veces en Peru Chef</v>
      </c>
      <c r="P284" s="20" t="str">
        <f t="shared" si="61"/>
        <v>Peru Chef-Glacitas Chocolate 32gr 6 x 8-17</v>
      </c>
      <c r="Q284" s="20">
        <f t="shared" si="62"/>
        <v>3</v>
      </c>
      <c r="R284" s="20" t="str">
        <f t="shared" si="63"/>
        <v>Se repite 3 veces el precio de 17</v>
      </c>
      <c r="S284" s="20" t="str">
        <f t="shared" si="64"/>
        <v>El producto Glacitas Chocolate 32gr 6 x 8 Se repite 3 veces en Peru Chef, Se repite 3 veces el precio de 17</v>
      </c>
      <c r="T284" s="20" t="str">
        <f t="shared" si="65"/>
        <v>Peru Chef</v>
      </c>
      <c r="U284" s="20" t="str">
        <f t="shared" si="66"/>
        <v>Glacitas Chocolate 32gr 6 x 8</v>
      </c>
      <c r="V284" s="22">
        <f t="shared" si="67"/>
        <v>17</v>
      </c>
      <c r="W284" t="str">
        <f t="shared" si="68"/>
        <v>Peru Chef 04/10/2025</v>
      </c>
      <c r="Z284">
        <f t="shared" si="69"/>
        <v>17</v>
      </c>
    </row>
    <row r="285" spans="1:26" hidden="1" x14ac:dyDescent="0.25">
      <c r="A285" s="2" t="s">
        <v>272</v>
      </c>
      <c r="B285" s="11" t="s">
        <v>408</v>
      </c>
      <c r="C285" s="11" t="s">
        <v>4</v>
      </c>
      <c r="D285" s="11" t="s">
        <v>409</v>
      </c>
      <c r="E285" s="11" t="s">
        <v>364</v>
      </c>
      <c r="F285" s="11" t="s">
        <v>365</v>
      </c>
      <c r="G285" s="12">
        <v>5</v>
      </c>
      <c r="H285" s="12">
        <v>17</v>
      </c>
      <c r="I285" s="12">
        <v>85</v>
      </c>
      <c r="J285" s="12">
        <v>6376.6</v>
      </c>
      <c r="K285" s="20">
        <f t="shared" si="56"/>
        <v>3</v>
      </c>
      <c r="L285" s="20" t="str">
        <f t="shared" si="57"/>
        <v>Se repite 3 veces</v>
      </c>
      <c r="M285" s="20" t="str">
        <f t="shared" si="58"/>
        <v>Peru Chef-Glacitas Chocolate 32gr 6 x 8</v>
      </c>
      <c r="N285" s="20">
        <f t="shared" si="59"/>
        <v>3</v>
      </c>
      <c r="O285" s="20" t="str">
        <f t="shared" si="60"/>
        <v>Se repite 3 veces en Peru Chef</v>
      </c>
      <c r="P285" s="20" t="str">
        <f t="shared" si="61"/>
        <v>Peru Chef-Glacitas Chocolate 32gr 6 x 8-17</v>
      </c>
      <c r="Q285" s="20">
        <f t="shared" si="62"/>
        <v>3</v>
      </c>
      <c r="R285" s="20" t="str">
        <f t="shared" si="63"/>
        <v>Se repite 3 veces el precio de 17</v>
      </c>
      <c r="S285" s="20" t="str">
        <f t="shared" si="64"/>
        <v>El producto Glacitas Chocolate 32gr 6 x 8 Se repite 3 veces en Peru Chef, Se repite 3 veces el precio de 17</v>
      </c>
      <c r="T285" s="20" t="str">
        <f t="shared" si="65"/>
        <v>Peru Chef</v>
      </c>
      <c r="U285" s="20" t="str">
        <f t="shared" si="66"/>
        <v>Glacitas Chocolate 32gr 6 x 8</v>
      </c>
      <c r="V285" s="22">
        <f t="shared" si="67"/>
        <v>17</v>
      </c>
      <c r="W285" t="str">
        <f t="shared" si="68"/>
        <v>Peru Chef 04/13/2025</v>
      </c>
      <c r="Z285">
        <f t="shared" si="69"/>
        <v>85</v>
      </c>
    </row>
    <row r="286" spans="1:26" hidden="1" x14ac:dyDescent="0.25">
      <c r="A286" s="2" t="s">
        <v>272</v>
      </c>
      <c r="B286" s="11" t="s">
        <v>273</v>
      </c>
      <c r="C286" s="11" t="s">
        <v>4</v>
      </c>
      <c r="D286" s="11" t="s">
        <v>5</v>
      </c>
      <c r="E286" s="11" t="s">
        <v>360</v>
      </c>
      <c r="F286" s="11" t="s">
        <v>361</v>
      </c>
      <c r="G286" s="12">
        <v>1</v>
      </c>
      <c r="H286" s="12">
        <v>17</v>
      </c>
      <c r="I286" s="12">
        <v>17</v>
      </c>
      <c r="J286" s="12">
        <v>1461.1999999999998</v>
      </c>
      <c r="K286" s="20">
        <f t="shared" si="56"/>
        <v>5</v>
      </c>
      <c r="L286" s="20" t="str">
        <f t="shared" si="57"/>
        <v>Se repite 5 veces</v>
      </c>
      <c r="M286" s="20" t="str">
        <f t="shared" si="58"/>
        <v>Peru Chef-Glacitas Choconieve 32gr 6 x 8</v>
      </c>
      <c r="N286" s="20">
        <f t="shared" si="59"/>
        <v>5</v>
      </c>
      <c r="O286" s="20" t="str">
        <f t="shared" si="60"/>
        <v>Se repite 5 veces en Peru Chef</v>
      </c>
      <c r="P286" s="20" t="str">
        <f t="shared" si="61"/>
        <v>Peru Chef-Glacitas Choconieve 32gr 6 x 8-17</v>
      </c>
      <c r="Q286" s="20">
        <f t="shared" si="62"/>
        <v>3</v>
      </c>
      <c r="R286" s="20" t="str">
        <f t="shared" si="63"/>
        <v>Se repite 3 veces el precio de 17</v>
      </c>
      <c r="S286" s="20" t="str">
        <f t="shared" si="64"/>
        <v>El producto Glacitas Choconieve 32gr 6 x 8 Se repite 5 veces en Peru Chef, Se repite 3 veces el precio de 17</v>
      </c>
      <c r="T286" s="20" t="str">
        <f t="shared" si="65"/>
        <v>Peru Chef</v>
      </c>
      <c r="U286" s="20" t="str">
        <f t="shared" si="66"/>
        <v>Glacitas Choconieve 32gr 6 x 8</v>
      </c>
      <c r="V286" s="22">
        <f t="shared" si="67"/>
        <v>17</v>
      </c>
      <c r="W286" t="str">
        <f t="shared" si="68"/>
        <v>Peru Chef 03/26/2025</v>
      </c>
      <c r="Z286">
        <f t="shared" si="69"/>
        <v>17</v>
      </c>
    </row>
    <row r="287" spans="1:26" hidden="1" x14ac:dyDescent="0.25">
      <c r="A287" s="2" t="s">
        <v>272</v>
      </c>
      <c r="B287" s="11" t="s">
        <v>398</v>
      </c>
      <c r="C287" s="11" t="s">
        <v>4</v>
      </c>
      <c r="D287" s="11" t="s">
        <v>399</v>
      </c>
      <c r="E287" s="11" t="s">
        <v>360</v>
      </c>
      <c r="F287" s="11" t="s">
        <v>361</v>
      </c>
      <c r="G287" s="12">
        <v>1</v>
      </c>
      <c r="H287" s="12">
        <v>17</v>
      </c>
      <c r="I287" s="12">
        <v>17</v>
      </c>
      <c r="J287" s="12">
        <v>3581</v>
      </c>
      <c r="K287" s="20">
        <f t="shared" si="56"/>
        <v>5</v>
      </c>
      <c r="L287" s="20" t="str">
        <f t="shared" si="57"/>
        <v>Se repite 5 veces</v>
      </c>
      <c r="M287" s="20" t="str">
        <f t="shared" si="58"/>
        <v>Peru Chef-Glacitas Choconieve 32gr 6 x 8</v>
      </c>
      <c r="N287" s="20">
        <f t="shared" si="59"/>
        <v>5</v>
      </c>
      <c r="O287" s="20" t="str">
        <f t="shared" si="60"/>
        <v>Se repite 5 veces en Peru Chef</v>
      </c>
      <c r="P287" s="20" t="str">
        <f t="shared" si="61"/>
        <v>Peru Chef-Glacitas Choconieve 32gr 6 x 8-17</v>
      </c>
      <c r="Q287" s="20">
        <f t="shared" si="62"/>
        <v>3</v>
      </c>
      <c r="R287" s="20" t="str">
        <f t="shared" si="63"/>
        <v>Se repite 3 veces el precio de 17</v>
      </c>
      <c r="S287" s="20" t="str">
        <f t="shared" si="64"/>
        <v>El producto Glacitas Choconieve 32gr 6 x 8 Se repite 5 veces en Peru Chef, Se repite 3 veces el precio de 17</v>
      </c>
      <c r="T287" s="20" t="str">
        <f t="shared" si="65"/>
        <v>Peru Chef</v>
      </c>
      <c r="U287" s="20" t="str">
        <f t="shared" si="66"/>
        <v>Glacitas Choconieve 32gr 6 x 8</v>
      </c>
      <c r="V287" s="22">
        <f t="shared" si="67"/>
        <v>17</v>
      </c>
      <c r="W287" t="str">
        <f t="shared" si="68"/>
        <v>Peru Chef 04/10/2025</v>
      </c>
      <c r="Z287">
        <f t="shared" si="69"/>
        <v>17</v>
      </c>
    </row>
    <row r="288" spans="1:26" hidden="1" x14ac:dyDescent="0.25">
      <c r="A288" s="2" t="s">
        <v>272</v>
      </c>
      <c r="B288" s="11" t="s">
        <v>408</v>
      </c>
      <c r="C288" s="11" t="s">
        <v>4</v>
      </c>
      <c r="D288" s="11" t="s">
        <v>409</v>
      </c>
      <c r="E288" s="11" t="s">
        <v>360</v>
      </c>
      <c r="F288" s="11" t="s">
        <v>361</v>
      </c>
      <c r="G288" s="12">
        <v>5</v>
      </c>
      <c r="H288" s="12">
        <v>17</v>
      </c>
      <c r="I288" s="12">
        <v>85</v>
      </c>
      <c r="J288" s="12">
        <v>6461.6</v>
      </c>
      <c r="K288" s="20">
        <f t="shared" si="56"/>
        <v>5</v>
      </c>
      <c r="L288" s="20" t="str">
        <f t="shared" si="57"/>
        <v>Se repite 5 veces</v>
      </c>
      <c r="M288" s="20" t="str">
        <f t="shared" si="58"/>
        <v>Peru Chef-Glacitas Choconieve 32gr 6 x 8</v>
      </c>
      <c r="N288" s="20">
        <f t="shared" si="59"/>
        <v>5</v>
      </c>
      <c r="O288" s="20" t="str">
        <f t="shared" si="60"/>
        <v>Se repite 5 veces en Peru Chef</v>
      </c>
      <c r="P288" s="20" t="str">
        <f t="shared" si="61"/>
        <v>Peru Chef-Glacitas Choconieve 32gr 6 x 8-17</v>
      </c>
      <c r="Q288" s="20">
        <f t="shared" si="62"/>
        <v>3</v>
      </c>
      <c r="R288" s="20" t="str">
        <f t="shared" si="63"/>
        <v>Se repite 3 veces el precio de 17</v>
      </c>
      <c r="S288" s="20" t="str">
        <f t="shared" si="64"/>
        <v>El producto Glacitas Choconieve 32gr 6 x 8 Se repite 5 veces en Peru Chef, Se repite 3 veces el precio de 17</v>
      </c>
      <c r="T288" s="20" t="str">
        <f t="shared" si="65"/>
        <v>Peru Chef</v>
      </c>
      <c r="U288" s="20" t="str">
        <f t="shared" si="66"/>
        <v>Glacitas Choconieve 32gr 6 x 8</v>
      </c>
      <c r="V288" s="22">
        <f t="shared" si="67"/>
        <v>17</v>
      </c>
      <c r="W288" t="str">
        <f t="shared" si="68"/>
        <v>Peru Chef 04/13/2025</v>
      </c>
      <c r="Z288">
        <f t="shared" si="69"/>
        <v>85</v>
      </c>
    </row>
    <row r="289" spans="1:26" hidden="1" x14ac:dyDescent="0.25">
      <c r="A289" s="2" t="s">
        <v>272</v>
      </c>
      <c r="B289" s="11" t="s">
        <v>590</v>
      </c>
      <c r="C289" s="11" t="s">
        <v>4</v>
      </c>
      <c r="D289" s="11" t="s">
        <v>591</v>
      </c>
      <c r="E289" s="11" t="s">
        <v>360</v>
      </c>
      <c r="F289" s="11" t="s">
        <v>361</v>
      </c>
      <c r="G289" s="12">
        <v>6</v>
      </c>
      <c r="H289" s="12">
        <v>15.3</v>
      </c>
      <c r="I289" s="12">
        <v>91.8</v>
      </c>
      <c r="J289" s="12">
        <v>32340.999999999996</v>
      </c>
      <c r="K289" s="20">
        <f t="shared" si="56"/>
        <v>5</v>
      </c>
      <c r="L289" s="20" t="str">
        <f t="shared" si="57"/>
        <v>Se repite 5 veces</v>
      </c>
      <c r="M289" s="20" t="str">
        <f t="shared" si="58"/>
        <v>Peru Chef-Glacitas Choconieve 32gr 6 x 8</v>
      </c>
      <c r="N289" s="20">
        <f t="shared" si="59"/>
        <v>5</v>
      </c>
      <c r="O289" s="20" t="str">
        <f t="shared" si="60"/>
        <v>Se repite 5 veces en Peru Chef</v>
      </c>
      <c r="P289" s="20" t="str">
        <f t="shared" si="61"/>
        <v>Peru Chef-Glacitas Choconieve 32gr 6 x 8-15.3</v>
      </c>
      <c r="Q289" s="20">
        <f t="shared" si="62"/>
        <v>2</v>
      </c>
      <c r="R289" s="20" t="str">
        <f t="shared" si="63"/>
        <v>Se repite 2 veces el precio de 15.3</v>
      </c>
      <c r="S289" s="20" t="str">
        <f t="shared" si="64"/>
        <v>El producto Glacitas Choconieve 32gr 6 x 8 Se repite 5 veces en Peru Chef, Se repite 2 veces el precio de 15.3</v>
      </c>
      <c r="T289" s="20" t="str">
        <f t="shared" si="65"/>
        <v>Peru Chef</v>
      </c>
      <c r="U289" s="20" t="str">
        <f t="shared" si="66"/>
        <v>Glacitas Choconieve 32gr 6 x 8</v>
      </c>
      <c r="V289" s="22">
        <f t="shared" si="67"/>
        <v>15.3</v>
      </c>
      <c r="W289" t="str">
        <f t="shared" si="68"/>
        <v>Peru Chef 10/28/2025</v>
      </c>
      <c r="Z289">
        <f t="shared" si="69"/>
        <v>91.800000000000011</v>
      </c>
    </row>
    <row r="290" spans="1:26" hidden="1" x14ac:dyDescent="0.25">
      <c r="A290" s="2" t="s">
        <v>272</v>
      </c>
      <c r="B290" s="11" t="s">
        <v>600</v>
      </c>
      <c r="C290" s="11" t="s">
        <v>4</v>
      </c>
      <c r="D290" s="11" t="s">
        <v>601</v>
      </c>
      <c r="E290" s="11" t="s">
        <v>360</v>
      </c>
      <c r="F290" s="11" t="s">
        <v>617</v>
      </c>
      <c r="G290" s="12">
        <v>12</v>
      </c>
      <c r="H290" s="12">
        <v>15.3</v>
      </c>
      <c r="I290" s="12">
        <v>183.6</v>
      </c>
      <c r="J290" s="12">
        <v>37809.850000000006</v>
      </c>
      <c r="K290" s="20">
        <f t="shared" si="56"/>
        <v>5</v>
      </c>
      <c r="L290" s="20" t="str">
        <f t="shared" si="57"/>
        <v>Se repite 5 veces</v>
      </c>
      <c r="M290" s="20" t="str">
        <f t="shared" si="58"/>
        <v>Peru Chef-Glacitas Choconieve 32gr 6 x 8</v>
      </c>
      <c r="N290" s="20">
        <f t="shared" si="59"/>
        <v>5</v>
      </c>
      <c r="O290" s="20" t="str">
        <f t="shared" si="60"/>
        <v>Se repite 5 veces en Peru Chef</v>
      </c>
      <c r="P290" s="20" t="str">
        <f t="shared" si="61"/>
        <v>Peru Chef-Glacitas Choconieve 32gr 6 x 8-15.3</v>
      </c>
      <c r="Q290" s="20">
        <f t="shared" si="62"/>
        <v>2</v>
      </c>
      <c r="R290" s="20" t="str">
        <f t="shared" si="63"/>
        <v>Se repite 2 veces el precio de 15.3</v>
      </c>
      <c r="S290" s="20" t="str">
        <f t="shared" si="64"/>
        <v>El producto Glacitas Choconieve 32gr 6 x 8 Se repite 5 veces en Peru Chef, Se repite 2 veces el precio de 15.3</v>
      </c>
      <c r="T290" s="20" t="str">
        <f t="shared" si="65"/>
        <v>Peru Chef</v>
      </c>
      <c r="U290" s="20" t="str">
        <f t="shared" si="66"/>
        <v>Glacitas Choconieve 32gr 6 x 8</v>
      </c>
      <c r="V290" s="22">
        <f t="shared" si="67"/>
        <v>15.3</v>
      </c>
      <c r="W290" t="str">
        <f t="shared" si="68"/>
        <v>Peru Chef 11/14/2025</v>
      </c>
      <c r="Z290">
        <f t="shared" si="69"/>
        <v>183.60000000000002</v>
      </c>
    </row>
    <row r="291" spans="1:26" hidden="1" x14ac:dyDescent="0.25">
      <c r="A291" s="2" t="s">
        <v>272</v>
      </c>
      <c r="B291" s="11" t="s">
        <v>273</v>
      </c>
      <c r="C291" s="11" t="s">
        <v>4</v>
      </c>
      <c r="D291" s="11" t="s">
        <v>5</v>
      </c>
      <c r="E291" s="11" t="s">
        <v>358</v>
      </c>
      <c r="F291" s="11" t="s">
        <v>359</v>
      </c>
      <c r="G291" s="12">
        <v>1</v>
      </c>
      <c r="H291" s="12">
        <v>17</v>
      </c>
      <c r="I291" s="12">
        <v>17</v>
      </c>
      <c r="J291" s="12">
        <v>1444.1999999999998</v>
      </c>
      <c r="K291" s="20">
        <f t="shared" si="56"/>
        <v>5</v>
      </c>
      <c r="L291" s="20" t="str">
        <f t="shared" si="57"/>
        <v>Se repite 5 veces</v>
      </c>
      <c r="M291" s="20" t="str">
        <f t="shared" si="58"/>
        <v>Peru Chef-Glacitas Fresa 32gr 6 x 8</v>
      </c>
      <c r="N291" s="20">
        <f t="shared" si="59"/>
        <v>5</v>
      </c>
      <c r="O291" s="20" t="str">
        <f t="shared" si="60"/>
        <v>Se repite 5 veces en Peru Chef</v>
      </c>
      <c r="P291" s="20" t="str">
        <f t="shared" si="61"/>
        <v>Peru Chef-Glacitas Fresa 32gr 6 x 8-17</v>
      </c>
      <c r="Q291" s="20">
        <f t="shared" si="62"/>
        <v>3</v>
      </c>
      <c r="R291" s="20" t="str">
        <f t="shared" si="63"/>
        <v>Se repite 3 veces el precio de 17</v>
      </c>
      <c r="S291" s="20" t="str">
        <f t="shared" si="64"/>
        <v>El producto Glacitas Fresa 32gr 6 x 8 Se repite 5 veces en Peru Chef, Se repite 3 veces el precio de 17</v>
      </c>
      <c r="T291" s="20" t="str">
        <f t="shared" si="65"/>
        <v>Peru Chef</v>
      </c>
      <c r="U291" s="20" t="str">
        <f t="shared" si="66"/>
        <v>Glacitas Fresa 32gr 6 x 8</v>
      </c>
      <c r="V291" s="22">
        <f t="shared" si="67"/>
        <v>17</v>
      </c>
      <c r="W291" t="str">
        <f t="shared" si="68"/>
        <v>Peru Chef 03/26/2025</v>
      </c>
      <c r="Z291">
        <f t="shared" si="69"/>
        <v>17</v>
      </c>
    </row>
    <row r="292" spans="1:26" hidden="1" x14ac:dyDescent="0.25">
      <c r="A292" s="2" t="s">
        <v>272</v>
      </c>
      <c r="B292" s="11" t="s">
        <v>398</v>
      </c>
      <c r="C292" s="11" t="s">
        <v>4</v>
      </c>
      <c r="D292" s="11" t="s">
        <v>399</v>
      </c>
      <c r="E292" s="11" t="s">
        <v>358</v>
      </c>
      <c r="F292" s="11" t="s">
        <v>359</v>
      </c>
      <c r="G292" s="12">
        <v>1</v>
      </c>
      <c r="H292" s="12">
        <v>17</v>
      </c>
      <c r="I292" s="12">
        <v>17</v>
      </c>
      <c r="J292" s="12">
        <v>3564</v>
      </c>
      <c r="K292" s="20">
        <f t="shared" si="56"/>
        <v>5</v>
      </c>
      <c r="L292" s="20" t="str">
        <f t="shared" si="57"/>
        <v>Se repite 5 veces</v>
      </c>
      <c r="M292" s="20" t="str">
        <f t="shared" si="58"/>
        <v>Peru Chef-Glacitas Fresa 32gr 6 x 8</v>
      </c>
      <c r="N292" s="20">
        <f t="shared" si="59"/>
        <v>5</v>
      </c>
      <c r="O292" s="20" t="str">
        <f t="shared" si="60"/>
        <v>Se repite 5 veces en Peru Chef</v>
      </c>
      <c r="P292" s="20" t="str">
        <f t="shared" si="61"/>
        <v>Peru Chef-Glacitas Fresa 32gr 6 x 8-17</v>
      </c>
      <c r="Q292" s="20">
        <f t="shared" si="62"/>
        <v>3</v>
      </c>
      <c r="R292" s="20" t="str">
        <f t="shared" si="63"/>
        <v>Se repite 3 veces el precio de 17</v>
      </c>
      <c r="S292" s="20" t="str">
        <f t="shared" si="64"/>
        <v>El producto Glacitas Fresa 32gr 6 x 8 Se repite 5 veces en Peru Chef, Se repite 3 veces el precio de 17</v>
      </c>
      <c r="T292" s="20" t="str">
        <f t="shared" si="65"/>
        <v>Peru Chef</v>
      </c>
      <c r="U292" s="20" t="str">
        <f t="shared" si="66"/>
        <v>Glacitas Fresa 32gr 6 x 8</v>
      </c>
      <c r="V292" s="22">
        <f t="shared" si="67"/>
        <v>17</v>
      </c>
      <c r="W292" t="str">
        <f t="shared" si="68"/>
        <v>Peru Chef 04/10/2025</v>
      </c>
      <c r="Z292">
        <f t="shared" si="69"/>
        <v>17</v>
      </c>
    </row>
    <row r="293" spans="1:26" hidden="1" x14ac:dyDescent="0.25">
      <c r="A293" s="2" t="s">
        <v>272</v>
      </c>
      <c r="B293" s="11" t="s">
        <v>408</v>
      </c>
      <c r="C293" s="11" t="s">
        <v>4</v>
      </c>
      <c r="D293" s="11" t="s">
        <v>409</v>
      </c>
      <c r="E293" s="11" t="s">
        <v>358</v>
      </c>
      <c r="F293" s="11" t="s">
        <v>359</v>
      </c>
      <c r="G293" s="12">
        <v>5</v>
      </c>
      <c r="H293" s="12">
        <v>17</v>
      </c>
      <c r="I293" s="12">
        <v>85</v>
      </c>
      <c r="J293" s="12">
        <v>6291.6</v>
      </c>
      <c r="K293" s="20">
        <f t="shared" si="56"/>
        <v>5</v>
      </c>
      <c r="L293" s="20" t="str">
        <f t="shared" si="57"/>
        <v>Se repite 5 veces</v>
      </c>
      <c r="M293" s="20" t="str">
        <f t="shared" si="58"/>
        <v>Peru Chef-Glacitas Fresa 32gr 6 x 8</v>
      </c>
      <c r="N293" s="20">
        <f t="shared" si="59"/>
        <v>5</v>
      </c>
      <c r="O293" s="20" t="str">
        <f t="shared" si="60"/>
        <v>Se repite 5 veces en Peru Chef</v>
      </c>
      <c r="P293" s="20" t="str">
        <f t="shared" si="61"/>
        <v>Peru Chef-Glacitas Fresa 32gr 6 x 8-17</v>
      </c>
      <c r="Q293" s="20">
        <f t="shared" si="62"/>
        <v>3</v>
      </c>
      <c r="R293" s="20" t="str">
        <f t="shared" si="63"/>
        <v>Se repite 3 veces el precio de 17</v>
      </c>
      <c r="S293" s="20" t="str">
        <f t="shared" si="64"/>
        <v>El producto Glacitas Fresa 32gr 6 x 8 Se repite 5 veces en Peru Chef, Se repite 3 veces el precio de 17</v>
      </c>
      <c r="T293" s="20" t="str">
        <f t="shared" si="65"/>
        <v>Peru Chef</v>
      </c>
      <c r="U293" s="20" t="str">
        <f t="shared" si="66"/>
        <v>Glacitas Fresa 32gr 6 x 8</v>
      </c>
      <c r="V293" s="22">
        <f t="shared" si="67"/>
        <v>17</v>
      </c>
      <c r="W293" t="str">
        <f t="shared" si="68"/>
        <v>Peru Chef 04/13/2025</v>
      </c>
      <c r="Z293">
        <f t="shared" si="69"/>
        <v>85</v>
      </c>
    </row>
    <row r="294" spans="1:26" hidden="1" x14ac:dyDescent="0.25">
      <c r="A294" s="2" t="s">
        <v>272</v>
      </c>
      <c r="B294" s="11" t="s">
        <v>590</v>
      </c>
      <c r="C294" s="11" t="s">
        <v>4</v>
      </c>
      <c r="D294" s="11" t="s">
        <v>591</v>
      </c>
      <c r="E294" s="11" t="s">
        <v>358</v>
      </c>
      <c r="F294" s="11" t="s">
        <v>359</v>
      </c>
      <c r="G294" s="12">
        <v>6</v>
      </c>
      <c r="H294" s="12">
        <v>15.3</v>
      </c>
      <c r="I294" s="12">
        <v>91.8</v>
      </c>
      <c r="J294" s="12">
        <v>32157.399999999998</v>
      </c>
      <c r="K294" s="20">
        <f t="shared" si="56"/>
        <v>5</v>
      </c>
      <c r="L294" s="20" t="str">
        <f t="shared" si="57"/>
        <v>Se repite 5 veces</v>
      </c>
      <c r="M294" s="20" t="str">
        <f t="shared" si="58"/>
        <v>Peru Chef-Glacitas Fresa 32gr 6 x 8</v>
      </c>
      <c r="N294" s="20">
        <f t="shared" si="59"/>
        <v>5</v>
      </c>
      <c r="O294" s="20" t="str">
        <f t="shared" si="60"/>
        <v>Se repite 5 veces en Peru Chef</v>
      </c>
      <c r="P294" s="20" t="str">
        <f t="shared" si="61"/>
        <v>Peru Chef-Glacitas Fresa 32gr 6 x 8-15.3</v>
      </c>
      <c r="Q294" s="20">
        <f t="shared" si="62"/>
        <v>2</v>
      </c>
      <c r="R294" s="20" t="str">
        <f t="shared" si="63"/>
        <v>Se repite 2 veces el precio de 15.3</v>
      </c>
      <c r="S294" s="20" t="str">
        <f t="shared" si="64"/>
        <v>El producto Glacitas Fresa 32gr 6 x 8 Se repite 5 veces en Peru Chef, Se repite 2 veces el precio de 15.3</v>
      </c>
      <c r="T294" s="20" t="str">
        <f t="shared" si="65"/>
        <v>Peru Chef</v>
      </c>
      <c r="U294" s="20" t="str">
        <f t="shared" si="66"/>
        <v>Glacitas Fresa 32gr 6 x 8</v>
      </c>
      <c r="V294" s="22">
        <f t="shared" si="67"/>
        <v>15.3</v>
      </c>
      <c r="W294" t="str">
        <f t="shared" si="68"/>
        <v>Peru Chef 10/28/2025</v>
      </c>
      <c r="Z294">
        <f t="shared" si="69"/>
        <v>91.800000000000011</v>
      </c>
    </row>
    <row r="295" spans="1:26" hidden="1" x14ac:dyDescent="0.25">
      <c r="A295" s="2" t="s">
        <v>272</v>
      </c>
      <c r="B295" s="11" t="s">
        <v>600</v>
      </c>
      <c r="C295" s="11" t="s">
        <v>4</v>
      </c>
      <c r="D295" s="11" t="s">
        <v>601</v>
      </c>
      <c r="E295" s="11" t="s">
        <v>358</v>
      </c>
      <c r="F295" s="11" t="s">
        <v>616</v>
      </c>
      <c r="G295" s="12">
        <v>12</v>
      </c>
      <c r="H295" s="12">
        <v>15.3</v>
      </c>
      <c r="I295" s="12">
        <v>183.6</v>
      </c>
      <c r="J295" s="12">
        <v>37626.250000000007</v>
      </c>
      <c r="K295" s="20">
        <f t="shared" si="56"/>
        <v>5</v>
      </c>
      <c r="L295" s="20" t="str">
        <f t="shared" si="57"/>
        <v>Se repite 5 veces</v>
      </c>
      <c r="M295" s="20" t="str">
        <f t="shared" si="58"/>
        <v>Peru Chef-Glacitas Fresa 32gr 6 x 8</v>
      </c>
      <c r="N295" s="20">
        <f t="shared" si="59"/>
        <v>5</v>
      </c>
      <c r="O295" s="20" t="str">
        <f t="shared" si="60"/>
        <v>Se repite 5 veces en Peru Chef</v>
      </c>
      <c r="P295" s="20" t="str">
        <f t="shared" si="61"/>
        <v>Peru Chef-Glacitas Fresa 32gr 6 x 8-15.3</v>
      </c>
      <c r="Q295" s="20">
        <f t="shared" si="62"/>
        <v>2</v>
      </c>
      <c r="R295" s="20" t="str">
        <f t="shared" si="63"/>
        <v>Se repite 2 veces el precio de 15.3</v>
      </c>
      <c r="S295" s="20" t="str">
        <f t="shared" si="64"/>
        <v>El producto Glacitas Fresa 32gr 6 x 8 Se repite 5 veces en Peru Chef, Se repite 2 veces el precio de 15.3</v>
      </c>
      <c r="T295" s="20" t="str">
        <f t="shared" si="65"/>
        <v>Peru Chef</v>
      </c>
      <c r="U295" s="20" t="str">
        <f t="shared" si="66"/>
        <v>Glacitas Fresa 32gr 6 x 8</v>
      </c>
      <c r="V295" s="22">
        <f t="shared" si="67"/>
        <v>15.3</v>
      </c>
      <c r="W295" t="str">
        <f t="shared" si="68"/>
        <v>Peru Chef 11/14/2025</v>
      </c>
      <c r="Z295">
        <f t="shared" si="69"/>
        <v>183.60000000000002</v>
      </c>
    </row>
    <row r="296" spans="1:26" hidden="1" x14ac:dyDescent="0.25">
      <c r="A296" s="2" t="s">
        <v>272</v>
      </c>
      <c r="B296" s="11" t="s">
        <v>273</v>
      </c>
      <c r="C296" s="11" t="s">
        <v>4</v>
      </c>
      <c r="D296" s="11" t="s">
        <v>5</v>
      </c>
      <c r="E296" s="11" t="s">
        <v>362</v>
      </c>
      <c r="F296" s="11" t="s">
        <v>363</v>
      </c>
      <c r="G296" s="12">
        <v>1</v>
      </c>
      <c r="H296" s="12">
        <v>17</v>
      </c>
      <c r="I296" s="12">
        <v>17</v>
      </c>
      <c r="J296" s="12">
        <v>1478.1999999999998</v>
      </c>
      <c r="K296" s="20">
        <f t="shared" si="56"/>
        <v>2</v>
      </c>
      <c r="L296" s="20" t="str">
        <f t="shared" si="57"/>
        <v>Se repite 2 veces</v>
      </c>
      <c r="M296" s="20" t="str">
        <f t="shared" si="58"/>
        <v>Peru Chef-Glacitas Toffee 32gr 6 x 8</v>
      </c>
      <c r="N296" s="20">
        <f t="shared" si="59"/>
        <v>2</v>
      </c>
      <c r="O296" s="20" t="str">
        <f t="shared" si="60"/>
        <v>Se repite 2 veces en Peru Chef</v>
      </c>
      <c r="P296" s="20" t="str">
        <f t="shared" si="61"/>
        <v>Peru Chef-Glacitas Toffee 32gr 6 x 8-17</v>
      </c>
      <c r="Q296" s="20">
        <f t="shared" si="62"/>
        <v>1</v>
      </c>
      <c r="R296" s="20" t="str">
        <f t="shared" si="63"/>
        <v>No se repite</v>
      </c>
      <c r="S296" s="20" t="str">
        <f t="shared" si="64"/>
        <v>El producto Glacitas Toffee 32gr 6 x 8 Se repite 2 veces en Peru Chef Una vez con el precio 17</v>
      </c>
      <c r="T296" s="20" t="str">
        <f t="shared" si="65"/>
        <v>Peru Chef</v>
      </c>
      <c r="U296" s="20" t="str">
        <f t="shared" si="66"/>
        <v>Glacitas Toffee 32gr 6 x 8</v>
      </c>
      <c r="V296" s="22">
        <f t="shared" si="67"/>
        <v>17</v>
      </c>
      <c r="W296" t="str">
        <f t="shared" si="68"/>
        <v>Peru Chef 03/26/2025</v>
      </c>
      <c r="Z296">
        <f t="shared" si="69"/>
        <v>17</v>
      </c>
    </row>
    <row r="297" spans="1:26" hidden="1" x14ac:dyDescent="0.25">
      <c r="A297" s="2" t="s">
        <v>272</v>
      </c>
      <c r="B297" s="11" t="s">
        <v>590</v>
      </c>
      <c r="C297" s="11" t="s">
        <v>4</v>
      </c>
      <c r="D297" s="11" t="s">
        <v>591</v>
      </c>
      <c r="E297" s="11" t="s">
        <v>362</v>
      </c>
      <c r="F297" s="11" t="s">
        <v>363</v>
      </c>
      <c r="G297" s="12">
        <v>6</v>
      </c>
      <c r="H297" s="12">
        <v>15.3</v>
      </c>
      <c r="I297" s="12">
        <v>91.8</v>
      </c>
      <c r="J297" s="12">
        <v>32249.199999999997</v>
      </c>
      <c r="K297" s="20">
        <f t="shared" si="56"/>
        <v>2</v>
      </c>
      <c r="L297" s="20" t="str">
        <f t="shared" si="57"/>
        <v>Se repite 2 veces</v>
      </c>
      <c r="M297" s="20" t="str">
        <f t="shared" si="58"/>
        <v>Peru Chef-Glacitas Toffee 32gr 6 x 8</v>
      </c>
      <c r="N297" s="20">
        <f t="shared" si="59"/>
        <v>2</v>
      </c>
      <c r="O297" s="20" t="str">
        <f t="shared" si="60"/>
        <v>Se repite 2 veces en Peru Chef</v>
      </c>
      <c r="P297" s="20" t="str">
        <f t="shared" si="61"/>
        <v>Peru Chef-Glacitas Toffee 32gr 6 x 8-15.3</v>
      </c>
      <c r="Q297" s="20">
        <f t="shared" si="62"/>
        <v>1</v>
      </c>
      <c r="R297" s="20" t="str">
        <f t="shared" si="63"/>
        <v>No se repite</v>
      </c>
      <c r="S297" s="20" t="str">
        <f t="shared" si="64"/>
        <v>El producto Glacitas Toffee 32gr 6 x 8 Se repite 2 veces en Peru Chef Una vez con el precio 15.3</v>
      </c>
      <c r="T297" s="20" t="str">
        <f t="shared" si="65"/>
        <v>Peru Chef</v>
      </c>
      <c r="U297" s="20" t="str">
        <f t="shared" si="66"/>
        <v>Glacitas Toffee 32gr 6 x 8</v>
      </c>
      <c r="V297" s="22">
        <f t="shared" si="67"/>
        <v>15.3</v>
      </c>
      <c r="W297" t="str">
        <f t="shared" si="68"/>
        <v>Peru Chef 10/28/2025</v>
      </c>
      <c r="Z297">
        <f t="shared" si="69"/>
        <v>91.800000000000011</v>
      </c>
    </row>
    <row r="298" spans="1:26" hidden="1" x14ac:dyDescent="0.25">
      <c r="A298" s="2" t="s">
        <v>18</v>
      </c>
      <c r="B298" s="11" t="s">
        <v>19</v>
      </c>
      <c r="C298" s="11" t="s">
        <v>4</v>
      </c>
      <c r="D298" s="11" t="s">
        <v>20</v>
      </c>
      <c r="E298" s="11" t="s">
        <v>94</v>
      </c>
      <c r="F298" s="11" t="s">
        <v>95</v>
      </c>
      <c r="G298" s="12">
        <v>1</v>
      </c>
      <c r="H298" s="12">
        <v>15.9</v>
      </c>
      <c r="I298" s="12">
        <v>15.9</v>
      </c>
      <c r="J298" s="12">
        <v>4290.7</v>
      </c>
      <c r="K298" s="20">
        <f t="shared" si="56"/>
        <v>1</v>
      </c>
      <c r="L298" s="20" t="str">
        <f t="shared" si="57"/>
        <v>No se repite</v>
      </c>
      <c r="M298" s="20" t="str">
        <f t="shared" si="58"/>
        <v>Belmont International Trading Corp-Gloria Chicha Morada 1Lt x 12 TETRAPACK</v>
      </c>
      <c r="N298" s="20">
        <f t="shared" si="59"/>
        <v>1</v>
      </c>
      <c r="O298" s="20" t="str">
        <f t="shared" si="60"/>
        <v>No se repite en proveedor</v>
      </c>
      <c r="P298" s="20" t="str">
        <f t="shared" si="61"/>
        <v>Belmont International Trading Corp-Gloria Chicha Morada 1Lt x 12 TETRAPACK-15.9</v>
      </c>
      <c r="Q298" s="20">
        <f t="shared" si="62"/>
        <v>1</v>
      </c>
      <c r="R298" s="20" t="str">
        <f t="shared" si="63"/>
        <v>No se repite</v>
      </c>
      <c r="S298" s="20" t="str">
        <f t="shared" si="64"/>
        <v>El producto Gloria Chicha Morada 1Lt x 12 TETRAPACK No se repite en proveedor Una vez con el precio 15.9</v>
      </c>
      <c r="T298" s="20" t="str">
        <f t="shared" si="65"/>
        <v>Belmont International Trading Corp</v>
      </c>
      <c r="U298" s="20" t="str">
        <f t="shared" si="66"/>
        <v>Gloria Chicha Morada 1Lt x 12 TETRAPACK</v>
      </c>
      <c r="V298" s="22">
        <f t="shared" si="67"/>
        <v>15.9</v>
      </c>
      <c r="W298" t="str">
        <f t="shared" si="68"/>
        <v>Belmont International Trading Corp 04/28/2025</v>
      </c>
      <c r="Z298">
        <f t="shared" si="69"/>
        <v>15.9</v>
      </c>
    </row>
    <row r="299" spans="1:26" hidden="1" x14ac:dyDescent="0.25">
      <c r="A299" s="2" t="s">
        <v>272</v>
      </c>
      <c r="B299" s="11" t="s">
        <v>600</v>
      </c>
      <c r="C299" s="11" t="s">
        <v>4</v>
      </c>
      <c r="D299" s="11" t="s">
        <v>601</v>
      </c>
      <c r="E299" s="11" t="s">
        <v>612</v>
      </c>
      <c r="F299" s="11" t="s">
        <v>613</v>
      </c>
      <c r="G299" s="12">
        <v>2</v>
      </c>
      <c r="H299" s="12">
        <v>8.1</v>
      </c>
      <c r="I299" s="12">
        <v>16.2</v>
      </c>
      <c r="J299" s="12">
        <v>36581.350000000013</v>
      </c>
      <c r="K299" s="20">
        <f t="shared" si="56"/>
        <v>1</v>
      </c>
      <c r="L299" s="20" t="str">
        <f t="shared" si="57"/>
        <v>No se repite</v>
      </c>
      <c r="M299" s="20" t="str">
        <f t="shared" si="58"/>
        <v>Peru Chef-Gn Rellenitas Choco y Fresa x 8 x 5</v>
      </c>
      <c r="N299" s="20">
        <f t="shared" si="59"/>
        <v>1</v>
      </c>
      <c r="O299" s="20" t="str">
        <f t="shared" si="60"/>
        <v>No se repite en proveedor</v>
      </c>
      <c r="P299" s="20" t="str">
        <f t="shared" si="61"/>
        <v>Peru Chef-Gn Rellenitas Choco y Fresa x 8 x 5-8.1</v>
      </c>
      <c r="Q299" s="20">
        <f t="shared" si="62"/>
        <v>1</v>
      </c>
      <c r="R299" s="20" t="str">
        <f t="shared" si="63"/>
        <v>No se repite</v>
      </c>
      <c r="S299" s="20" t="str">
        <f t="shared" si="64"/>
        <v>El producto Gn Rellenitas Choco y Fresa x 8 x 5 No se repite en proveedor Una vez con el precio 8.1</v>
      </c>
      <c r="T299" s="20" t="str">
        <f t="shared" si="65"/>
        <v>Peru Chef</v>
      </c>
      <c r="U299" s="20" t="str">
        <f t="shared" si="66"/>
        <v>Gn Rellenitas Choco y Fresa x 8 x 5</v>
      </c>
      <c r="V299" s="22">
        <f t="shared" si="67"/>
        <v>8.1</v>
      </c>
      <c r="W299" t="str">
        <f t="shared" si="68"/>
        <v>Peru Chef 11/14/2025</v>
      </c>
      <c r="Z299">
        <f t="shared" si="69"/>
        <v>16.2</v>
      </c>
    </row>
    <row r="300" spans="1:26" hidden="1" x14ac:dyDescent="0.25">
      <c r="A300" s="2" t="s">
        <v>272</v>
      </c>
      <c r="B300" s="11" t="s">
        <v>600</v>
      </c>
      <c r="C300" s="11" t="s">
        <v>4</v>
      </c>
      <c r="D300" s="11" t="s">
        <v>601</v>
      </c>
      <c r="E300" s="11" t="s">
        <v>610</v>
      </c>
      <c r="F300" s="11" t="s">
        <v>611</v>
      </c>
      <c r="G300" s="12">
        <v>2</v>
      </c>
      <c r="H300" s="12">
        <v>8.1</v>
      </c>
      <c r="I300" s="12">
        <v>16.2</v>
      </c>
      <c r="J300" s="12">
        <v>36565.150000000016</v>
      </c>
      <c r="K300" s="20">
        <f t="shared" si="56"/>
        <v>1</v>
      </c>
      <c r="L300" s="20" t="str">
        <f t="shared" si="57"/>
        <v>No se repite</v>
      </c>
      <c r="M300" s="20" t="str">
        <f t="shared" si="58"/>
        <v>Peru Chef-Gn Rellenitas Choco y Menta x 8 x 5</v>
      </c>
      <c r="N300" s="20">
        <f t="shared" si="59"/>
        <v>1</v>
      </c>
      <c r="O300" s="20" t="str">
        <f t="shared" si="60"/>
        <v>No se repite en proveedor</v>
      </c>
      <c r="P300" s="20" t="str">
        <f t="shared" si="61"/>
        <v>Peru Chef-Gn Rellenitas Choco y Menta x 8 x 5-8.1</v>
      </c>
      <c r="Q300" s="20">
        <f t="shared" si="62"/>
        <v>1</v>
      </c>
      <c r="R300" s="20" t="str">
        <f t="shared" si="63"/>
        <v>No se repite</v>
      </c>
      <c r="S300" s="20" t="str">
        <f t="shared" si="64"/>
        <v>El producto Gn Rellenitas Choco y Menta x 8 x 5 No se repite en proveedor Una vez con el precio 8.1</v>
      </c>
      <c r="T300" s="20" t="str">
        <f t="shared" si="65"/>
        <v>Peru Chef</v>
      </c>
      <c r="U300" s="20" t="str">
        <f t="shared" si="66"/>
        <v>Gn Rellenitas Choco y Menta x 8 x 5</v>
      </c>
      <c r="V300" s="22">
        <f t="shared" si="67"/>
        <v>8.1</v>
      </c>
      <c r="W300" t="str">
        <f t="shared" si="68"/>
        <v>Peru Chef 11/14/2025</v>
      </c>
      <c r="Z300">
        <f t="shared" si="69"/>
        <v>16.2</v>
      </c>
    </row>
    <row r="301" spans="1:26" hidden="1" x14ac:dyDescent="0.25">
      <c r="A301" s="2" t="s">
        <v>272</v>
      </c>
      <c r="B301" s="11" t="s">
        <v>408</v>
      </c>
      <c r="C301" s="11" t="s">
        <v>4</v>
      </c>
      <c r="D301" s="11" t="s">
        <v>409</v>
      </c>
      <c r="E301" s="11" t="s">
        <v>442</v>
      </c>
      <c r="F301" s="11" t="s">
        <v>443</v>
      </c>
      <c r="G301" s="12">
        <v>5</v>
      </c>
      <c r="H301" s="12">
        <v>9</v>
      </c>
      <c r="I301" s="12">
        <v>45</v>
      </c>
      <c r="J301" s="12">
        <v>7018.6</v>
      </c>
      <c r="K301" s="20">
        <f t="shared" si="56"/>
        <v>3</v>
      </c>
      <c r="L301" s="20" t="str">
        <f t="shared" si="57"/>
        <v>Se repite 3 veces</v>
      </c>
      <c r="M301" s="20" t="str">
        <f t="shared" si="58"/>
        <v>Peru Chef-Gn Rellenitas Coco x 8 x 5</v>
      </c>
      <c r="N301" s="20">
        <f t="shared" si="59"/>
        <v>3</v>
      </c>
      <c r="O301" s="20" t="str">
        <f t="shared" si="60"/>
        <v>Se repite 3 veces en Peru Chef</v>
      </c>
      <c r="P301" s="20" t="str">
        <f t="shared" si="61"/>
        <v>Peru Chef-Gn Rellenitas Coco x 8 x 5-9</v>
      </c>
      <c r="Q301" s="20">
        <f t="shared" si="62"/>
        <v>3</v>
      </c>
      <c r="R301" s="20" t="str">
        <f t="shared" si="63"/>
        <v>Se repite 3 veces el precio de 9</v>
      </c>
      <c r="S301" s="20" t="str">
        <f t="shared" si="64"/>
        <v>El producto Gn Rellenitas Coco x 8 x 5 Se repite 3 veces en Peru Chef, Se repite 3 veces el precio de 9</v>
      </c>
      <c r="T301" s="20" t="str">
        <f t="shared" si="65"/>
        <v>Peru Chef</v>
      </c>
      <c r="U301" s="20" t="str">
        <f t="shared" si="66"/>
        <v>Gn Rellenitas Coco x 8 x 5</v>
      </c>
      <c r="V301" s="22">
        <f t="shared" si="67"/>
        <v>9</v>
      </c>
      <c r="W301" t="str">
        <f t="shared" si="68"/>
        <v>Peru Chef 04/13/2025</v>
      </c>
      <c r="Z301">
        <f t="shared" si="69"/>
        <v>45</v>
      </c>
    </row>
    <row r="302" spans="1:26" hidden="1" x14ac:dyDescent="0.25">
      <c r="A302" s="2" t="s">
        <v>272</v>
      </c>
      <c r="B302" s="11" t="s">
        <v>471</v>
      </c>
      <c r="C302" s="11" t="s">
        <v>4</v>
      </c>
      <c r="D302" s="11" t="s">
        <v>472</v>
      </c>
      <c r="E302" s="11" t="s">
        <v>442</v>
      </c>
      <c r="F302" s="11" t="s">
        <v>443</v>
      </c>
      <c r="G302" s="12">
        <v>8</v>
      </c>
      <c r="H302" s="12">
        <v>9</v>
      </c>
      <c r="I302" s="12">
        <v>72</v>
      </c>
      <c r="J302" s="12">
        <v>13403.5</v>
      </c>
      <c r="K302" s="20">
        <f t="shared" si="56"/>
        <v>3</v>
      </c>
      <c r="L302" s="20" t="str">
        <f t="shared" si="57"/>
        <v>Se repite 3 veces</v>
      </c>
      <c r="M302" s="20" t="str">
        <f t="shared" si="58"/>
        <v>Peru Chef-Gn Rellenitas Coco x 8 x 5</v>
      </c>
      <c r="N302" s="20">
        <f t="shared" si="59"/>
        <v>3</v>
      </c>
      <c r="O302" s="20" t="str">
        <f t="shared" si="60"/>
        <v>Se repite 3 veces en Peru Chef</v>
      </c>
      <c r="P302" s="20" t="str">
        <f t="shared" si="61"/>
        <v>Peru Chef-Gn Rellenitas Coco x 8 x 5-9</v>
      </c>
      <c r="Q302" s="20">
        <f t="shared" si="62"/>
        <v>3</v>
      </c>
      <c r="R302" s="20" t="str">
        <f t="shared" si="63"/>
        <v>Se repite 3 veces el precio de 9</v>
      </c>
      <c r="S302" s="20" t="str">
        <f t="shared" si="64"/>
        <v>El producto Gn Rellenitas Coco x 8 x 5 Se repite 3 veces en Peru Chef, Se repite 3 veces el precio de 9</v>
      </c>
      <c r="T302" s="20" t="str">
        <f t="shared" si="65"/>
        <v>Peru Chef</v>
      </c>
      <c r="U302" s="20" t="str">
        <f t="shared" si="66"/>
        <v>Gn Rellenitas Coco x 8 x 5</v>
      </c>
      <c r="V302" s="22">
        <f t="shared" si="67"/>
        <v>9</v>
      </c>
      <c r="W302" t="str">
        <f t="shared" si="68"/>
        <v>Peru Chef 08/11/2025</v>
      </c>
      <c r="Z302">
        <f t="shared" si="69"/>
        <v>72</v>
      </c>
    </row>
    <row r="303" spans="1:26" hidden="1" x14ac:dyDescent="0.25">
      <c r="A303" s="2" t="s">
        <v>272</v>
      </c>
      <c r="B303" s="11" t="s">
        <v>563</v>
      </c>
      <c r="C303" s="11" t="s">
        <v>4</v>
      </c>
      <c r="D303" s="11" t="s">
        <v>564</v>
      </c>
      <c r="E303" s="11" t="s">
        <v>442</v>
      </c>
      <c r="F303" s="11" t="s">
        <v>565</v>
      </c>
      <c r="G303" s="12">
        <v>12</v>
      </c>
      <c r="H303" s="12">
        <v>9</v>
      </c>
      <c r="I303" s="12">
        <v>108</v>
      </c>
      <c r="J303" s="12">
        <v>22013</v>
      </c>
      <c r="K303" s="20">
        <f t="shared" si="56"/>
        <v>3</v>
      </c>
      <c r="L303" s="20" t="str">
        <f t="shared" si="57"/>
        <v>Se repite 3 veces</v>
      </c>
      <c r="M303" s="20" t="str">
        <f t="shared" si="58"/>
        <v>Peru Chef-Gn Rellenitas Coco x 8 x 5</v>
      </c>
      <c r="N303" s="20">
        <f t="shared" si="59"/>
        <v>3</v>
      </c>
      <c r="O303" s="20" t="str">
        <f t="shared" si="60"/>
        <v>Se repite 3 veces en Peru Chef</v>
      </c>
      <c r="P303" s="20" t="str">
        <f t="shared" si="61"/>
        <v>Peru Chef-Gn Rellenitas Coco x 8 x 5-9</v>
      </c>
      <c r="Q303" s="20">
        <f t="shared" si="62"/>
        <v>3</v>
      </c>
      <c r="R303" s="20" t="str">
        <f t="shared" si="63"/>
        <v>Se repite 3 veces el precio de 9</v>
      </c>
      <c r="S303" s="20" t="str">
        <f t="shared" si="64"/>
        <v>El producto Gn Rellenitas Coco x 8 x 5 Se repite 3 veces en Peru Chef, Se repite 3 veces el precio de 9</v>
      </c>
      <c r="T303" s="20" t="str">
        <f t="shared" si="65"/>
        <v>Peru Chef</v>
      </c>
      <c r="U303" s="20" t="str">
        <f t="shared" si="66"/>
        <v>Gn Rellenitas Coco x 8 x 5</v>
      </c>
      <c r="V303" s="22">
        <f t="shared" si="67"/>
        <v>9</v>
      </c>
      <c r="W303" t="str">
        <f t="shared" si="68"/>
        <v>Peru Chef 09/11/2025</v>
      </c>
      <c r="Z303">
        <f t="shared" si="69"/>
        <v>108</v>
      </c>
    </row>
    <row r="304" spans="1:26" hidden="1" x14ac:dyDescent="0.25">
      <c r="A304" s="2" t="s">
        <v>272</v>
      </c>
      <c r="B304" s="11" t="s">
        <v>408</v>
      </c>
      <c r="C304" s="11" t="s">
        <v>4</v>
      </c>
      <c r="D304" s="11" t="s">
        <v>409</v>
      </c>
      <c r="E304" s="11" t="s">
        <v>440</v>
      </c>
      <c r="F304" s="11" t="s">
        <v>441</v>
      </c>
      <c r="G304" s="12">
        <v>5</v>
      </c>
      <c r="H304" s="12">
        <v>9</v>
      </c>
      <c r="I304" s="12">
        <v>45</v>
      </c>
      <c r="J304" s="12">
        <v>6973.6</v>
      </c>
      <c r="K304" s="20">
        <f t="shared" si="56"/>
        <v>4</v>
      </c>
      <c r="L304" s="20" t="str">
        <f t="shared" si="57"/>
        <v>Se repite 4 veces</v>
      </c>
      <c r="M304" s="20" t="str">
        <f t="shared" si="58"/>
        <v>Peru Chef-Gn Rellenitas Fresa x 8 x 5 pack</v>
      </c>
      <c r="N304" s="20">
        <f t="shared" si="59"/>
        <v>4</v>
      </c>
      <c r="O304" s="20" t="str">
        <f t="shared" si="60"/>
        <v>Se repite 4 veces en Peru Chef</v>
      </c>
      <c r="P304" s="20" t="str">
        <f t="shared" si="61"/>
        <v>Peru Chef-Gn Rellenitas Fresa x 8 x 5 pack-9</v>
      </c>
      <c r="Q304" s="20">
        <f t="shared" si="62"/>
        <v>3</v>
      </c>
      <c r="R304" s="20" t="str">
        <f t="shared" si="63"/>
        <v>Se repite 3 veces el precio de 9</v>
      </c>
      <c r="S304" s="20" t="str">
        <f t="shared" si="64"/>
        <v>El producto Gn Rellenitas Fresa x 8 x 5 pack Se repite 4 veces en Peru Chef, Se repite 3 veces el precio de 9</v>
      </c>
      <c r="T304" s="20" t="str">
        <f t="shared" si="65"/>
        <v>Peru Chef</v>
      </c>
      <c r="U304" s="20" t="str">
        <f t="shared" si="66"/>
        <v>Gn Rellenitas Fresa x 8 x 5 pack</v>
      </c>
      <c r="V304" s="22">
        <f t="shared" si="67"/>
        <v>9</v>
      </c>
      <c r="W304" t="str">
        <f t="shared" si="68"/>
        <v>Peru Chef 04/13/2025</v>
      </c>
      <c r="Z304">
        <f t="shared" si="69"/>
        <v>45</v>
      </c>
    </row>
    <row r="305" spans="1:26" hidden="1" x14ac:dyDescent="0.25">
      <c r="A305" s="2" t="s">
        <v>272</v>
      </c>
      <c r="B305" s="11" t="s">
        <v>471</v>
      </c>
      <c r="C305" s="11" t="s">
        <v>4</v>
      </c>
      <c r="D305" s="11" t="s">
        <v>472</v>
      </c>
      <c r="E305" s="11" t="s">
        <v>440</v>
      </c>
      <c r="F305" s="11" t="s">
        <v>441</v>
      </c>
      <c r="G305" s="12">
        <v>5</v>
      </c>
      <c r="H305" s="12">
        <v>9</v>
      </c>
      <c r="I305" s="12">
        <v>45</v>
      </c>
      <c r="J305" s="12">
        <v>13448.5</v>
      </c>
      <c r="K305" s="20">
        <f t="shared" si="56"/>
        <v>4</v>
      </c>
      <c r="L305" s="20" t="str">
        <f t="shared" si="57"/>
        <v>Se repite 4 veces</v>
      </c>
      <c r="M305" s="20" t="str">
        <f t="shared" si="58"/>
        <v>Peru Chef-Gn Rellenitas Fresa x 8 x 5 pack</v>
      </c>
      <c r="N305" s="20">
        <f t="shared" si="59"/>
        <v>4</v>
      </c>
      <c r="O305" s="20" t="str">
        <f t="shared" si="60"/>
        <v>Se repite 4 veces en Peru Chef</v>
      </c>
      <c r="P305" s="20" t="str">
        <f t="shared" si="61"/>
        <v>Peru Chef-Gn Rellenitas Fresa x 8 x 5 pack-9</v>
      </c>
      <c r="Q305" s="20">
        <f t="shared" si="62"/>
        <v>3</v>
      </c>
      <c r="R305" s="20" t="str">
        <f t="shared" si="63"/>
        <v>Se repite 3 veces el precio de 9</v>
      </c>
      <c r="S305" s="20" t="str">
        <f t="shared" si="64"/>
        <v>El producto Gn Rellenitas Fresa x 8 x 5 pack Se repite 4 veces en Peru Chef, Se repite 3 veces el precio de 9</v>
      </c>
      <c r="T305" s="20" t="str">
        <f t="shared" si="65"/>
        <v>Peru Chef</v>
      </c>
      <c r="U305" s="20" t="str">
        <f t="shared" si="66"/>
        <v>Gn Rellenitas Fresa x 8 x 5 pack</v>
      </c>
      <c r="V305" s="22">
        <f t="shared" si="67"/>
        <v>9</v>
      </c>
      <c r="W305" t="str">
        <f t="shared" si="68"/>
        <v>Peru Chef 08/11/2025</v>
      </c>
      <c r="Z305">
        <f t="shared" si="69"/>
        <v>45</v>
      </c>
    </row>
    <row r="306" spans="1:26" hidden="1" x14ac:dyDescent="0.25">
      <c r="A306" s="2" t="s">
        <v>272</v>
      </c>
      <c r="B306" s="11" t="s">
        <v>512</v>
      </c>
      <c r="C306" s="11" t="s">
        <v>4</v>
      </c>
      <c r="D306" s="11" t="s">
        <v>513</v>
      </c>
      <c r="E306" s="11" t="s">
        <v>440</v>
      </c>
      <c r="F306" s="11" t="s">
        <v>545</v>
      </c>
      <c r="G306" s="12">
        <v>10</v>
      </c>
      <c r="H306" s="12">
        <v>9</v>
      </c>
      <c r="I306" s="12">
        <v>90</v>
      </c>
      <c r="J306" s="12">
        <v>18577.5</v>
      </c>
      <c r="K306" s="20">
        <f t="shared" si="56"/>
        <v>4</v>
      </c>
      <c r="L306" s="20" t="str">
        <f t="shared" si="57"/>
        <v>Se repite 4 veces</v>
      </c>
      <c r="M306" s="20" t="str">
        <f t="shared" si="58"/>
        <v>Peru Chef-Gn Rellenitas Fresa x 8 x 5 pack</v>
      </c>
      <c r="N306" s="20">
        <f t="shared" si="59"/>
        <v>4</v>
      </c>
      <c r="O306" s="20" t="str">
        <f t="shared" si="60"/>
        <v>Se repite 4 veces en Peru Chef</v>
      </c>
      <c r="P306" s="20" t="str">
        <f t="shared" si="61"/>
        <v>Peru Chef-Gn Rellenitas Fresa x 8 x 5 pack-9</v>
      </c>
      <c r="Q306" s="20">
        <f t="shared" si="62"/>
        <v>3</v>
      </c>
      <c r="R306" s="20" t="str">
        <f t="shared" si="63"/>
        <v>Se repite 3 veces el precio de 9</v>
      </c>
      <c r="S306" s="20" t="str">
        <f t="shared" si="64"/>
        <v>El producto Gn Rellenitas Fresa x 8 x 5 pack Se repite 4 veces en Peru Chef, Se repite 3 veces el precio de 9</v>
      </c>
      <c r="T306" s="20" t="str">
        <f t="shared" si="65"/>
        <v>Peru Chef</v>
      </c>
      <c r="U306" s="20" t="str">
        <f t="shared" si="66"/>
        <v>Gn Rellenitas Fresa x 8 x 5 pack</v>
      </c>
      <c r="V306" s="22">
        <f t="shared" si="67"/>
        <v>9</v>
      </c>
      <c r="W306" t="str">
        <f t="shared" si="68"/>
        <v>Peru Chef 08/28/2025</v>
      </c>
      <c r="Z306">
        <f t="shared" si="69"/>
        <v>90</v>
      </c>
    </row>
    <row r="307" spans="1:26" hidden="1" x14ac:dyDescent="0.25">
      <c r="A307" s="2" t="s">
        <v>272</v>
      </c>
      <c r="B307" s="11" t="s">
        <v>600</v>
      </c>
      <c r="C307" s="11" t="s">
        <v>4</v>
      </c>
      <c r="D307" s="11" t="s">
        <v>601</v>
      </c>
      <c r="E307" s="11" t="s">
        <v>440</v>
      </c>
      <c r="F307" s="11" t="s">
        <v>545</v>
      </c>
      <c r="G307" s="12">
        <v>14</v>
      </c>
      <c r="H307" s="12">
        <v>8.1</v>
      </c>
      <c r="I307" s="12">
        <v>113.4</v>
      </c>
      <c r="J307" s="12">
        <v>36548.950000000019</v>
      </c>
      <c r="K307" s="20">
        <f t="shared" si="56"/>
        <v>4</v>
      </c>
      <c r="L307" s="20" t="str">
        <f t="shared" si="57"/>
        <v>Se repite 4 veces</v>
      </c>
      <c r="M307" s="20" t="str">
        <f t="shared" si="58"/>
        <v>Peru Chef-Gn Rellenitas Fresa x 8 x 5 pack</v>
      </c>
      <c r="N307" s="20">
        <f t="shared" si="59"/>
        <v>4</v>
      </c>
      <c r="O307" s="20" t="str">
        <f t="shared" si="60"/>
        <v>Se repite 4 veces en Peru Chef</v>
      </c>
      <c r="P307" s="20" t="str">
        <f t="shared" si="61"/>
        <v>Peru Chef-Gn Rellenitas Fresa x 8 x 5 pack-8.1</v>
      </c>
      <c r="Q307" s="20">
        <f t="shared" si="62"/>
        <v>1</v>
      </c>
      <c r="R307" s="20" t="str">
        <f t="shared" si="63"/>
        <v>No se repite</v>
      </c>
      <c r="S307" s="20" t="str">
        <f t="shared" si="64"/>
        <v>El producto Gn Rellenitas Fresa x 8 x 5 pack Se repite 4 veces en Peru Chef Una vez con el precio 8.1</v>
      </c>
      <c r="T307" s="20" t="str">
        <f t="shared" si="65"/>
        <v>Peru Chef</v>
      </c>
      <c r="U307" s="20" t="str">
        <f t="shared" si="66"/>
        <v>Gn Rellenitas Fresa x 8 x 5 pack</v>
      </c>
      <c r="V307" s="22">
        <f t="shared" si="67"/>
        <v>8.1</v>
      </c>
      <c r="W307" t="str">
        <f t="shared" si="68"/>
        <v>Peru Chef 11/14/2025</v>
      </c>
      <c r="Z307">
        <f t="shared" si="69"/>
        <v>113.39999999999999</v>
      </c>
    </row>
    <row r="308" spans="1:26" hidden="1" x14ac:dyDescent="0.25">
      <c r="A308" s="2" t="s">
        <v>272</v>
      </c>
      <c r="B308" s="11" t="s">
        <v>600</v>
      </c>
      <c r="C308" s="11" t="s">
        <v>4</v>
      </c>
      <c r="D308" s="11" t="s">
        <v>601</v>
      </c>
      <c r="E308" s="11" t="s">
        <v>614</v>
      </c>
      <c r="F308" s="11" t="s">
        <v>615</v>
      </c>
      <c r="G308" s="12">
        <v>2</v>
      </c>
      <c r="H308" s="12">
        <v>8.1</v>
      </c>
      <c r="I308" s="12">
        <v>16.2</v>
      </c>
      <c r="J308" s="12">
        <v>36597.55000000001</v>
      </c>
      <c r="K308" s="20">
        <f t="shared" si="56"/>
        <v>1</v>
      </c>
      <c r="L308" s="20" t="str">
        <f t="shared" si="57"/>
        <v>No se repite</v>
      </c>
      <c r="M308" s="20" t="str">
        <f t="shared" si="58"/>
        <v>Peru Chef-Gn Rellenitas Limon x 8 x 5 pack</v>
      </c>
      <c r="N308" s="20">
        <f t="shared" si="59"/>
        <v>1</v>
      </c>
      <c r="O308" s="20" t="str">
        <f t="shared" si="60"/>
        <v>No se repite en proveedor</v>
      </c>
      <c r="P308" s="20" t="str">
        <f t="shared" si="61"/>
        <v>Peru Chef-Gn Rellenitas Limon x 8 x 5 pack-8.1</v>
      </c>
      <c r="Q308" s="20">
        <f t="shared" si="62"/>
        <v>1</v>
      </c>
      <c r="R308" s="20" t="str">
        <f t="shared" si="63"/>
        <v>No se repite</v>
      </c>
      <c r="S308" s="20" t="str">
        <f t="shared" si="64"/>
        <v>El producto Gn Rellenitas Limon x 8 x 5 pack No se repite en proveedor Una vez con el precio 8.1</v>
      </c>
      <c r="T308" s="20" t="str">
        <f t="shared" si="65"/>
        <v>Peru Chef</v>
      </c>
      <c r="U308" s="20" t="str">
        <f t="shared" si="66"/>
        <v>Gn Rellenitas Limon x 8 x 5 pack</v>
      </c>
      <c r="V308" s="22">
        <f t="shared" si="67"/>
        <v>8.1</v>
      </c>
      <c r="W308" t="str">
        <f t="shared" si="68"/>
        <v>Peru Chef 11/14/2025</v>
      </c>
      <c r="Z308">
        <f t="shared" si="69"/>
        <v>16.2</v>
      </c>
    </row>
    <row r="309" spans="1:26" hidden="1" x14ac:dyDescent="0.25">
      <c r="A309" s="2" t="s">
        <v>272</v>
      </c>
      <c r="B309" s="11" t="s">
        <v>600</v>
      </c>
      <c r="C309" s="11" t="s">
        <v>4</v>
      </c>
      <c r="D309" s="11" t="s">
        <v>601</v>
      </c>
      <c r="E309" s="11" t="s">
        <v>608</v>
      </c>
      <c r="F309" s="11" t="s">
        <v>609</v>
      </c>
      <c r="G309" s="12">
        <v>4</v>
      </c>
      <c r="H309" s="12">
        <v>8.1</v>
      </c>
      <c r="I309" s="12">
        <v>32.4</v>
      </c>
      <c r="J309" s="12">
        <v>36435.550000000017</v>
      </c>
      <c r="K309" s="20">
        <f t="shared" si="56"/>
        <v>1</v>
      </c>
      <c r="L309" s="20" t="str">
        <f t="shared" si="57"/>
        <v>No se repite</v>
      </c>
      <c r="M309" s="20" t="str">
        <f t="shared" si="58"/>
        <v>Peru Chef-Gn Rellenitas Lucuma x 8 x 5</v>
      </c>
      <c r="N309" s="20">
        <f t="shared" si="59"/>
        <v>1</v>
      </c>
      <c r="O309" s="20" t="str">
        <f t="shared" si="60"/>
        <v>No se repite en proveedor</v>
      </c>
      <c r="P309" s="20" t="str">
        <f t="shared" si="61"/>
        <v>Peru Chef-Gn Rellenitas Lucuma x 8 x 5-8.1</v>
      </c>
      <c r="Q309" s="20">
        <f t="shared" si="62"/>
        <v>1</v>
      </c>
      <c r="R309" s="20" t="str">
        <f t="shared" si="63"/>
        <v>No se repite</v>
      </c>
      <c r="S309" s="20" t="str">
        <f t="shared" si="64"/>
        <v>El producto Gn Rellenitas Lucuma x 8 x 5 No se repite en proveedor Una vez con el precio 8.1</v>
      </c>
      <c r="T309" s="20" t="str">
        <f t="shared" si="65"/>
        <v>Peru Chef</v>
      </c>
      <c r="U309" s="20" t="str">
        <f t="shared" si="66"/>
        <v>Gn Rellenitas Lucuma x 8 x 5</v>
      </c>
      <c r="V309" s="22">
        <f t="shared" si="67"/>
        <v>8.1</v>
      </c>
      <c r="W309" t="str">
        <f t="shared" si="68"/>
        <v>Peru Chef 11/14/2025</v>
      </c>
      <c r="Z309">
        <f t="shared" si="69"/>
        <v>32.4</v>
      </c>
    </row>
    <row r="310" spans="1:26" hidden="1" x14ac:dyDescent="0.25">
      <c r="A310" s="2" t="s">
        <v>18</v>
      </c>
      <c r="B310" s="11" t="s">
        <v>19</v>
      </c>
      <c r="C310" s="11" t="s">
        <v>4</v>
      </c>
      <c r="D310" s="11" t="s">
        <v>20</v>
      </c>
      <c r="E310" s="11" t="s">
        <v>48</v>
      </c>
      <c r="F310" s="11" t="s">
        <v>49</v>
      </c>
      <c r="G310" s="12">
        <v>2</v>
      </c>
      <c r="H310" s="12">
        <v>39.5</v>
      </c>
      <c r="I310" s="12">
        <v>79</v>
      </c>
      <c r="J310" s="12">
        <v>2518.8000000000002</v>
      </c>
      <c r="K310" s="20">
        <f t="shared" si="56"/>
        <v>5</v>
      </c>
      <c r="L310" s="20" t="str">
        <f t="shared" si="57"/>
        <v>Se repite 5 veces</v>
      </c>
      <c r="M310" s="20" t="str">
        <f t="shared" si="58"/>
        <v>Belmont International Trading Corp-Huancaina A la Cena 17.06oz (400gr) x 12</v>
      </c>
      <c r="N310" s="20">
        <f t="shared" si="59"/>
        <v>2</v>
      </c>
      <c r="O310" s="20" t="str">
        <f t="shared" si="60"/>
        <v>Se repite 2 veces en Belmont International Trading Corp</v>
      </c>
      <c r="P310" s="20" t="str">
        <f t="shared" si="61"/>
        <v>Belmont International Trading Corp-Huancaina A la Cena 17.06oz (400gr) x 12-39.5</v>
      </c>
      <c r="Q310" s="20">
        <f t="shared" si="62"/>
        <v>1</v>
      </c>
      <c r="R310" s="20" t="str">
        <f t="shared" si="63"/>
        <v>No se repite</v>
      </c>
      <c r="S310" s="20" t="str">
        <f t="shared" si="64"/>
        <v>El producto Huancaina A la Cena 17.06oz (400gr) x 12 Se repite 2 veces en Belmont International Trading Corp Una vez con el precio 39.5</v>
      </c>
      <c r="T310" s="20" t="str">
        <f t="shared" si="65"/>
        <v>Belmont International Trading Corp</v>
      </c>
      <c r="U310" s="20" t="str">
        <f t="shared" si="66"/>
        <v>Huancaina A la Cena 17.06oz (400gr) x 12</v>
      </c>
      <c r="V310" s="22">
        <f t="shared" si="67"/>
        <v>39.5</v>
      </c>
      <c r="W310" t="str">
        <f t="shared" si="68"/>
        <v>Belmont International Trading Corp 04/28/2025</v>
      </c>
      <c r="Z310">
        <f t="shared" si="69"/>
        <v>79</v>
      </c>
    </row>
    <row r="311" spans="1:26" hidden="1" x14ac:dyDescent="0.25">
      <c r="A311" s="2" t="s">
        <v>18</v>
      </c>
      <c r="B311" s="11" t="s">
        <v>148</v>
      </c>
      <c r="C311" s="11" t="s">
        <v>4</v>
      </c>
      <c r="D311" s="11" t="s">
        <v>149</v>
      </c>
      <c r="E311" s="11" t="s">
        <v>48</v>
      </c>
      <c r="F311" s="11" t="s">
        <v>49</v>
      </c>
      <c r="G311" s="12">
        <v>18</v>
      </c>
      <c r="H311" s="12">
        <v>43.5</v>
      </c>
      <c r="I311" s="12">
        <v>783</v>
      </c>
      <c r="J311" s="12">
        <v>8626.74</v>
      </c>
      <c r="K311" s="20">
        <f t="shared" si="56"/>
        <v>5</v>
      </c>
      <c r="L311" s="20" t="str">
        <f t="shared" si="57"/>
        <v>Se repite 5 veces</v>
      </c>
      <c r="M311" s="20" t="str">
        <f t="shared" si="58"/>
        <v>Belmont International Trading Corp-Huancaina A la Cena 17.06oz (400gr) x 12</v>
      </c>
      <c r="N311" s="20">
        <f t="shared" si="59"/>
        <v>2</v>
      </c>
      <c r="O311" s="20" t="str">
        <f t="shared" si="60"/>
        <v>Se repite 2 veces en Belmont International Trading Corp</v>
      </c>
      <c r="P311" s="20" t="str">
        <f t="shared" si="61"/>
        <v>Belmont International Trading Corp-Huancaina A la Cena 17.06oz (400gr) x 12-43.5</v>
      </c>
      <c r="Q311" s="20">
        <f t="shared" si="62"/>
        <v>1</v>
      </c>
      <c r="R311" s="20" t="str">
        <f t="shared" si="63"/>
        <v>No se repite</v>
      </c>
      <c r="S311" s="20" t="str">
        <f t="shared" si="64"/>
        <v>El producto Huancaina A la Cena 17.06oz (400gr) x 12 Se repite 2 veces en Belmont International Trading Corp Una vez con el precio 43.5</v>
      </c>
      <c r="T311" s="20" t="str">
        <f t="shared" si="65"/>
        <v>Belmont International Trading Corp</v>
      </c>
      <c r="U311" s="20" t="str">
        <f t="shared" si="66"/>
        <v>Huancaina A la Cena 17.06oz (400gr) x 12</v>
      </c>
      <c r="V311" s="22">
        <f t="shared" si="67"/>
        <v>43.5</v>
      </c>
      <c r="W311" t="str">
        <f t="shared" si="68"/>
        <v>Belmont International Trading Corp 05/16/2025</v>
      </c>
      <c r="Z311">
        <f t="shared" si="69"/>
        <v>783</v>
      </c>
    </row>
    <row r="312" spans="1:26" hidden="1" x14ac:dyDescent="0.25">
      <c r="A312" s="2" t="s">
        <v>272</v>
      </c>
      <c r="B312" s="11" t="s">
        <v>563</v>
      </c>
      <c r="C312" s="11" t="s">
        <v>4</v>
      </c>
      <c r="D312" s="11" t="s">
        <v>564</v>
      </c>
      <c r="E312" s="11" t="s">
        <v>48</v>
      </c>
      <c r="F312" s="11" t="s">
        <v>49</v>
      </c>
      <c r="G312" s="12">
        <v>3</v>
      </c>
      <c r="H312" s="12">
        <v>35</v>
      </c>
      <c r="I312" s="12">
        <v>105</v>
      </c>
      <c r="J312" s="12">
        <v>22552</v>
      </c>
      <c r="K312" s="20">
        <f t="shared" si="56"/>
        <v>5</v>
      </c>
      <c r="L312" s="20" t="str">
        <f t="shared" si="57"/>
        <v>Se repite 5 veces</v>
      </c>
      <c r="M312" s="20" t="str">
        <f t="shared" si="58"/>
        <v>Peru Chef-Huancaina A la Cena 17.06oz (400gr) x 12</v>
      </c>
      <c r="N312" s="20">
        <f t="shared" si="59"/>
        <v>3</v>
      </c>
      <c r="O312" s="20" t="str">
        <f t="shared" si="60"/>
        <v>Se repite 3 veces en Peru Chef</v>
      </c>
      <c r="P312" s="20" t="str">
        <f t="shared" si="61"/>
        <v>Peru Chef-Huancaina A la Cena 17.06oz (400gr) x 12-35</v>
      </c>
      <c r="Q312" s="20">
        <f t="shared" si="62"/>
        <v>3</v>
      </c>
      <c r="R312" s="20" t="str">
        <f t="shared" si="63"/>
        <v>Se repite 3 veces el precio de 35</v>
      </c>
      <c r="S312" s="20" t="str">
        <f t="shared" si="64"/>
        <v>El producto Huancaina A la Cena 17.06oz (400gr) x 12 Se repite 3 veces en Peru Chef, Se repite 3 veces el precio de 35</v>
      </c>
      <c r="T312" s="20" t="str">
        <f t="shared" si="65"/>
        <v>Peru Chef</v>
      </c>
      <c r="U312" s="20" t="str">
        <f t="shared" si="66"/>
        <v>Huancaina A la Cena 17.06oz (400gr) x 12</v>
      </c>
      <c r="V312" s="22">
        <f t="shared" si="67"/>
        <v>35</v>
      </c>
      <c r="W312" t="str">
        <f t="shared" si="68"/>
        <v>Peru Chef 09/11/2025</v>
      </c>
      <c r="Z312">
        <f t="shared" si="69"/>
        <v>105</v>
      </c>
    </row>
    <row r="313" spans="1:26" hidden="1" x14ac:dyDescent="0.25">
      <c r="A313" s="2" t="s">
        <v>272</v>
      </c>
      <c r="B313" s="11" t="s">
        <v>572</v>
      </c>
      <c r="C313" s="11" t="s">
        <v>4</v>
      </c>
      <c r="D313" s="11" t="s">
        <v>573</v>
      </c>
      <c r="E313" s="11" t="s">
        <v>48</v>
      </c>
      <c r="F313" s="11" t="s">
        <v>49</v>
      </c>
      <c r="G313" s="12">
        <v>2</v>
      </c>
      <c r="H313" s="12">
        <v>35</v>
      </c>
      <c r="I313" s="12">
        <v>70</v>
      </c>
      <c r="J313" s="12">
        <v>25444</v>
      </c>
      <c r="K313" s="20">
        <f t="shared" si="56"/>
        <v>5</v>
      </c>
      <c r="L313" s="20" t="str">
        <f t="shared" si="57"/>
        <v>Se repite 5 veces</v>
      </c>
      <c r="M313" s="20" t="str">
        <f t="shared" si="58"/>
        <v>Peru Chef-Huancaina A la Cena 17.06oz (400gr) x 12</v>
      </c>
      <c r="N313" s="20">
        <f t="shared" si="59"/>
        <v>3</v>
      </c>
      <c r="O313" s="20" t="str">
        <f t="shared" si="60"/>
        <v>Se repite 3 veces en Peru Chef</v>
      </c>
      <c r="P313" s="20" t="str">
        <f t="shared" si="61"/>
        <v>Peru Chef-Huancaina A la Cena 17.06oz (400gr) x 12-35</v>
      </c>
      <c r="Q313" s="20">
        <f t="shared" si="62"/>
        <v>3</v>
      </c>
      <c r="R313" s="20" t="str">
        <f t="shared" si="63"/>
        <v>Se repite 3 veces el precio de 35</v>
      </c>
      <c r="S313" s="20" t="str">
        <f t="shared" si="64"/>
        <v>El producto Huancaina A la Cena 17.06oz (400gr) x 12 Se repite 3 veces en Peru Chef, Se repite 3 veces el precio de 35</v>
      </c>
      <c r="T313" s="20" t="str">
        <f t="shared" si="65"/>
        <v>Peru Chef</v>
      </c>
      <c r="U313" s="20" t="str">
        <f t="shared" si="66"/>
        <v>Huancaina A la Cena 17.06oz (400gr) x 12</v>
      </c>
      <c r="V313" s="22">
        <f t="shared" si="67"/>
        <v>35</v>
      </c>
      <c r="W313" t="str">
        <f t="shared" si="68"/>
        <v>Peru Chef 10/09/2025</v>
      </c>
      <c r="Z313">
        <f t="shared" si="69"/>
        <v>70</v>
      </c>
    </row>
    <row r="314" spans="1:26" hidden="1" x14ac:dyDescent="0.25">
      <c r="A314" s="2" t="s">
        <v>272</v>
      </c>
      <c r="B314" s="11" t="s">
        <v>619</v>
      </c>
      <c r="C314" s="11" t="s">
        <v>4</v>
      </c>
      <c r="D314" s="11" t="s">
        <v>620</v>
      </c>
      <c r="E314" s="11" t="s">
        <v>48</v>
      </c>
      <c r="F314" s="11" t="s">
        <v>49</v>
      </c>
      <c r="G314" s="12">
        <v>4</v>
      </c>
      <c r="H314" s="12">
        <v>35</v>
      </c>
      <c r="I314" s="12">
        <v>140</v>
      </c>
      <c r="J314" s="12">
        <v>38102.850000000006</v>
      </c>
      <c r="K314" s="20">
        <f t="shared" si="56"/>
        <v>5</v>
      </c>
      <c r="L314" s="20" t="str">
        <f t="shared" si="57"/>
        <v>Se repite 5 veces</v>
      </c>
      <c r="M314" s="20" t="str">
        <f t="shared" si="58"/>
        <v>Peru Chef-Huancaina A la Cena 17.06oz (400gr) x 12</v>
      </c>
      <c r="N314" s="20">
        <f t="shared" si="59"/>
        <v>3</v>
      </c>
      <c r="O314" s="20" t="str">
        <f t="shared" si="60"/>
        <v>Se repite 3 veces en Peru Chef</v>
      </c>
      <c r="P314" s="20" t="str">
        <f t="shared" si="61"/>
        <v>Peru Chef-Huancaina A la Cena 17.06oz (400gr) x 12-35</v>
      </c>
      <c r="Q314" s="20">
        <f t="shared" si="62"/>
        <v>3</v>
      </c>
      <c r="R314" s="20" t="str">
        <f t="shared" si="63"/>
        <v>Se repite 3 veces el precio de 35</v>
      </c>
      <c r="S314" s="20" t="str">
        <f t="shared" si="64"/>
        <v>El producto Huancaina A la Cena 17.06oz (400gr) x 12 Se repite 3 veces en Peru Chef, Se repite 3 veces el precio de 35</v>
      </c>
      <c r="T314" s="20" t="str">
        <f t="shared" si="65"/>
        <v>Peru Chef</v>
      </c>
      <c r="U314" s="20" t="str">
        <f t="shared" si="66"/>
        <v>Huancaina A la Cena 17.06oz (400gr) x 12</v>
      </c>
      <c r="V314" s="22">
        <f t="shared" si="67"/>
        <v>35</v>
      </c>
      <c r="W314" t="str">
        <f t="shared" si="68"/>
        <v>Peru Chef 12/09/2025</v>
      </c>
      <c r="Z314">
        <f t="shared" si="69"/>
        <v>140</v>
      </c>
    </row>
    <row r="315" spans="1:26" hidden="1" x14ac:dyDescent="0.25">
      <c r="A315" s="2" t="s">
        <v>201</v>
      </c>
      <c r="B315" s="11" t="s">
        <v>202</v>
      </c>
      <c r="C315" s="11" t="s">
        <v>4</v>
      </c>
      <c r="D315" s="11" t="s">
        <v>5</v>
      </c>
      <c r="E315" s="11" t="s">
        <v>211</v>
      </c>
      <c r="F315" s="11" t="s">
        <v>212</v>
      </c>
      <c r="G315" s="12">
        <v>104</v>
      </c>
      <c r="H315" s="12">
        <v>11.94</v>
      </c>
      <c r="I315" s="12">
        <v>1241.76</v>
      </c>
      <c r="J315" s="12">
        <v>16629.96</v>
      </c>
      <c r="K315" s="20">
        <f t="shared" si="56"/>
        <v>3</v>
      </c>
      <c r="L315" s="20" t="str">
        <f t="shared" si="57"/>
        <v>Se repite 3 veces</v>
      </c>
      <c r="M315" s="20" t="str">
        <f t="shared" si="58"/>
        <v>Continental Food and Beverage, inc-Inca Kola Diet Lata 12oz x 24</v>
      </c>
      <c r="N315" s="20">
        <f t="shared" si="59"/>
        <v>3</v>
      </c>
      <c r="O315" s="20" t="str">
        <f t="shared" si="60"/>
        <v>Se repite 3 veces en Continental Food and Beverage, inc</v>
      </c>
      <c r="P315" s="20" t="str">
        <f t="shared" si="61"/>
        <v>Continental Food and Beverage, inc-Inca Kola Diet Lata 12oz x 24-11.94</v>
      </c>
      <c r="Q315" s="20">
        <f t="shared" si="62"/>
        <v>1</v>
      </c>
      <c r="R315" s="20" t="str">
        <f t="shared" si="63"/>
        <v>No se repite</v>
      </c>
      <c r="S315" s="20" t="str">
        <f t="shared" si="64"/>
        <v>El producto Inca Kola Diet Lata 12oz x 24 Se repite 3 veces en Continental Food and Beverage, inc Una vez con el precio 11.94</v>
      </c>
      <c r="T315" s="20" t="str">
        <f t="shared" si="65"/>
        <v>Continental Food and Beverage, inc</v>
      </c>
      <c r="U315" s="20" t="str">
        <f t="shared" si="66"/>
        <v>Inca Kola Diet Lata 12oz x 24</v>
      </c>
      <c r="V315" s="22">
        <f t="shared" si="67"/>
        <v>11.94</v>
      </c>
      <c r="W315" t="str">
        <f t="shared" si="68"/>
        <v>Continental Food and Beverage, inc 03/03/2025</v>
      </c>
      <c r="Z315">
        <f t="shared" si="69"/>
        <v>1241.76</v>
      </c>
    </row>
    <row r="316" spans="1:26" hidden="1" x14ac:dyDescent="0.25">
      <c r="A316" s="2" t="s">
        <v>201</v>
      </c>
      <c r="B316" s="11" t="s">
        <v>19</v>
      </c>
      <c r="C316" s="11" t="s">
        <v>4</v>
      </c>
      <c r="D316" s="11" t="s">
        <v>5</v>
      </c>
      <c r="E316" s="11" t="s">
        <v>211</v>
      </c>
      <c r="F316" s="11" t="s">
        <v>220</v>
      </c>
      <c r="G316" s="12">
        <v>208</v>
      </c>
      <c r="H316" s="12">
        <v>12.44</v>
      </c>
      <c r="I316" s="12">
        <v>2587.52</v>
      </c>
      <c r="J316" s="12">
        <v>30176.76</v>
      </c>
      <c r="K316" s="20">
        <f t="shared" si="56"/>
        <v>3</v>
      </c>
      <c r="L316" s="20" t="str">
        <f t="shared" si="57"/>
        <v>Se repite 3 veces</v>
      </c>
      <c r="M316" s="20" t="str">
        <f t="shared" si="58"/>
        <v>Continental Food and Beverage, inc-Inca Kola Diet Lata 12oz x 24</v>
      </c>
      <c r="N316" s="20">
        <f t="shared" si="59"/>
        <v>3</v>
      </c>
      <c r="O316" s="20" t="str">
        <f t="shared" si="60"/>
        <v>Se repite 3 veces en Continental Food and Beverage, inc</v>
      </c>
      <c r="P316" s="20" t="str">
        <f t="shared" si="61"/>
        <v>Continental Food and Beverage, inc-Inca Kola Diet Lata 12oz x 24-12.44</v>
      </c>
      <c r="Q316" s="20">
        <f t="shared" si="62"/>
        <v>2</v>
      </c>
      <c r="R316" s="20" t="str">
        <f t="shared" si="63"/>
        <v>Se repite 2 veces el precio de 12.44</v>
      </c>
      <c r="S316" s="20" t="str">
        <f t="shared" si="64"/>
        <v>El producto Inca Kola Diet Lata 12oz x 24 Se repite 3 veces en Continental Food and Beverage, inc, Se repite 2 veces el precio de 12.44</v>
      </c>
      <c r="T316" s="20" t="str">
        <f t="shared" si="65"/>
        <v>Continental Food and Beverage, inc</v>
      </c>
      <c r="U316" s="20" t="str">
        <f t="shared" si="66"/>
        <v>Inca Kola Diet Lata 12oz x 24</v>
      </c>
      <c r="V316" s="22">
        <f t="shared" si="67"/>
        <v>12.44</v>
      </c>
      <c r="W316" t="str">
        <f t="shared" si="68"/>
        <v>Continental Food and Beverage, inc 04/28/2025</v>
      </c>
      <c r="Z316">
        <f t="shared" si="69"/>
        <v>2587.52</v>
      </c>
    </row>
    <row r="317" spans="1:26" hidden="1" x14ac:dyDescent="0.25">
      <c r="A317" s="2" t="s">
        <v>201</v>
      </c>
      <c r="B317" s="11" t="s">
        <v>227</v>
      </c>
      <c r="C317" s="11" t="s">
        <v>4</v>
      </c>
      <c r="D317" s="11" t="s">
        <v>228</v>
      </c>
      <c r="E317" s="11" t="s">
        <v>211</v>
      </c>
      <c r="F317" s="11" t="s">
        <v>220</v>
      </c>
      <c r="G317" s="12">
        <v>100</v>
      </c>
      <c r="H317" s="12">
        <v>12.44</v>
      </c>
      <c r="I317" s="12">
        <v>1244</v>
      </c>
      <c r="J317" s="12">
        <v>50459.51999999999</v>
      </c>
      <c r="K317" s="20">
        <f t="shared" si="56"/>
        <v>3</v>
      </c>
      <c r="L317" s="20" t="str">
        <f t="shared" si="57"/>
        <v>Se repite 3 veces</v>
      </c>
      <c r="M317" s="20" t="str">
        <f t="shared" si="58"/>
        <v>Continental Food and Beverage, inc-Inca Kola Diet Lata 12oz x 24</v>
      </c>
      <c r="N317" s="20">
        <f t="shared" si="59"/>
        <v>3</v>
      </c>
      <c r="O317" s="20" t="str">
        <f t="shared" si="60"/>
        <v>Se repite 3 veces en Continental Food and Beverage, inc</v>
      </c>
      <c r="P317" s="20" t="str">
        <f t="shared" si="61"/>
        <v>Continental Food and Beverage, inc-Inca Kola Diet Lata 12oz x 24-12.44</v>
      </c>
      <c r="Q317" s="20">
        <f t="shared" si="62"/>
        <v>2</v>
      </c>
      <c r="R317" s="20" t="str">
        <f t="shared" si="63"/>
        <v>Se repite 2 veces el precio de 12.44</v>
      </c>
      <c r="S317" s="20" t="str">
        <f t="shared" si="64"/>
        <v>El producto Inca Kola Diet Lata 12oz x 24 Se repite 3 veces en Continental Food and Beverage, inc, Se repite 2 veces el precio de 12.44</v>
      </c>
      <c r="T317" s="20" t="str">
        <f t="shared" si="65"/>
        <v>Continental Food and Beverage, inc</v>
      </c>
      <c r="U317" s="20" t="str">
        <f t="shared" si="66"/>
        <v>Inca Kola Diet Lata 12oz x 24</v>
      </c>
      <c r="V317" s="22">
        <f t="shared" si="67"/>
        <v>12.44</v>
      </c>
      <c r="W317" t="str">
        <f t="shared" si="68"/>
        <v>Continental Food and Beverage, inc 08/21/2025</v>
      </c>
      <c r="Z317">
        <f t="shared" si="69"/>
        <v>1244</v>
      </c>
    </row>
    <row r="318" spans="1:26" hidden="1" x14ac:dyDescent="0.25">
      <c r="A318" s="2" t="s">
        <v>201</v>
      </c>
      <c r="B318" s="11" t="s">
        <v>202</v>
      </c>
      <c r="C318" s="11" t="s">
        <v>4</v>
      </c>
      <c r="D318" s="11" t="s">
        <v>5</v>
      </c>
      <c r="E318" s="11" t="s">
        <v>203</v>
      </c>
      <c r="F318" s="11" t="s">
        <v>204</v>
      </c>
      <c r="G318" s="12">
        <v>840</v>
      </c>
      <c r="H318" s="12">
        <v>12.73</v>
      </c>
      <c r="I318" s="12">
        <v>10693.2</v>
      </c>
      <c r="J318" s="12">
        <v>10693.2</v>
      </c>
      <c r="K318" s="20">
        <f t="shared" si="56"/>
        <v>5</v>
      </c>
      <c r="L318" s="20" t="str">
        <f t="shared" si="57"/>
        <v>Se repite 5 veces</v>
      </c>
      <c r="M318" s="20" t="str">
        <f t="shared" si="58"/>
        <v>Continental Food and Beverage, inc-Inca Kola Plastico 2Lt x 8</v>
      </c>
      <c r="N318" s="20">
        <f t="shared" si="59"/>
        <v>5</v>
      </c>
      <c r="O318" s="20" t="str">
        <f t="shared" si="60"/>
        <v>Se repite 5 veces en Continental Food and Beverage, inc</v>
      </c>
      <c r="P318" s="20" t="str">
        <f t="shared" si="61"/>
        <v>Continental Food and Beverage, inc-Inca Kola Plastico 2Lt x 8-12.73</v>
      </c>
      <c r="Q318" s="20">
        <f t="shared" si="62"/>
        <v>1</v>
      </c>
      <c r="R318" s="20" t="str">
        <f t="shared" si="63"/>
        <v>No se repite</v>
      </c>
      <c r="S318" s="20" t="str">
        <f t="shared" si="64"/>
        <v>El producto Inca Kola Plastico 2Lt x 8 Se repite 5 veces en Continental Food and Beverage, inc Una vez con el precio 12.73</v>
      </c>
      <c r="T318" s="20" t="str">
        <f t="shared" si="65"/>
        <v>Continental Food and Beverage, inc</v>
      </c>
      <c r="U318" s="20" t="str">
        <f t="shared" si="66"/>
        <v>Inca Kola Plastico 2Lt x 8</v>
      </c>
      <c r="V318" s="22">
        <f t="shared" si="67"/>
        <v>12.73</v>
      </c>
      <c r="W318" t="str">
        <f t="shared" si="68"/>
        <v>Continental Food and Beverage, inc 03/03/2025</v>
      </c>
      <c r="Z318">
        <f t="shared" si="69"/>
        <v>10693.2</v>
      </c>
    </row>
    <row r="319" spans="1:26" x14ac:dyDescent="0.25">
      <c r="A319" s="2" t="s">
        <v>201</v>
      </c>
      <c r="B319" s="11" t="s">
        <v>224</v>
      </c>
      <c r="C319" s="11" t="s">
        <v>4</v>
      </c>
      <c r="D319" s="11" t="s">
        <v>225</v>
      </c>
      <c r="E319" s="11" t="s">
        <v>203</v>
      </c>
      <c r="F319" s="11" t="s">
        <v>226</v>
      </c>
      <c r="G319" s="12">
        <v>240</v>
      </c>
      <c r="H319" s="12">
        <v>13.28</v>
      </c>
      <c r="I319" s="12">
        <v>3187.2</v>
      </c>
      <c r="J319" s="12">
        <v>34064.439999999995</v>
      </c>
      <c r="K319" s="20">
        <f t="shared" si="56"/>
        <v>5</v>
      </c>
      <c r="L319" s="20" t="str">
        <f t="shared" si="57"/>
        <v>Se repite 5 veces</v>
      </c>
      <c r="M319" s="20" t="str">
        <f t="shared" si="58"/>
        <v>Continental Food and Beverage, inc-Inca Kola Plastico 2Lt x 8</v>
      </c>
      <c r="N319" s="20">
        <f t="shared" si="59"/>
        <v>5</v>
      </c>
      <c r="O319" s="20" t="str">
        <f t="shared" si="60"/>
        <v>Se repite 5 veces en Continental Food and Beverage, inc</v>
      </c>
      <c r="P319" s="20" t="str">
        <f t="shared" si="61"/>
        <v>Continental Food and Beverage, inc-Inca Kola Plastico 2Lt x 8-13.28</v>
      </c>
      <c r="Q319" s="20">
        <f t="shared" si="62"/>
        <v>4</v>
      </c>
      <c r="R319" s="20" t="str">
        <f t="shared" si="63"/>
        <v>Se repite 4 veces el precio de 13.28</v>
      </c>
      <c r="S319" s="20" t="str">
        <f t="shared" si="64"/>
        <v>El producto Inca Kola Plastico 2Lt x 8 Se repite 5 veces en Continental Food and Beverage, inc, Se repite 4 veces el precio de 13.28</v>
      </c>
      <c r="T319" s="20" t="str">
        <f t="shared" si="65"/>
        <v>Continental Food and Beverage, inc</v>
      </c>
      <c r="U319" s="20" t="str">
        <f t="shared" si="66"/>
        <v>Inca Kola Plastico 2Lt x 8</v>
      </c>
      <c r="V319" s="22">
        <f t="shared" si="67"/>
        <v>13.28</v>
      </c>
      <c r="W319" t="str">
        <f t="shared" si="68"/>
        <v>Continental Food and Beverage, inc 07/08/2025</v>
      </c>
      <c r="Z319">
        <f t="shared" si="69"/>
        <v>3187.2</v>
      </c>
    </row>
    <row r="320" spans="1:26" hidden="1" x14ac:dyDescent="0.25">
      <c r="A320" s="2" t="s">
        <v>201</v>
      </c>
      <c r="B320" s="11" t="s">
        <v>227</v>
      </c>
      <c r="C320" s="11" t="s">
        <v>4</v>
      </c>
      <c r="D320" s="11" t="s">
        <v>228</v>
      </c>
      <c r="E320" s="11" t="s">
        <v>203</v>
      </c>
      <c r="F320" s="11" t="s">
        <v>226</v>
      </c>
      <c r="G320" s="12">
        <v>240</v>
      </c>
      <c r="H320" s="12">
        <v>13.28</v>
      </c>
      <c r="I320" s="12">
        <v>3187.2</v>
      </c>
      <c r="J320" s="12">
        <v>44859.999999999993</v>
      </c>
      <c r="K320" s="20">
        <f t="shared" si="56"/>
        <v>5</v>
      </c>
      <c r="L320" s="20" t="str">
        <f t="shared" si="57"/>
        <v>Se repite 5 veces</v>
      </c>
      <c r="M320" s="20" t="str">
        <f t="shared" si="58"/>
        <v>Continental Food and Beverage, inc-Inca Kola Plastico 2Lt x 8</v>
      </c>
      <c r="N320" s="20">
        <f t="shared" si="59"/>
        <v>5</v>
      </c>
      <c r="O320" s="20" t="str">
        <f t="shared" si="60"/>
        <v>Se repite 5 veces en Continental Food and Beverage, inc</v>
      </c>
      <c r="P320" s="20" t="str">
        <f t="shared" si="61"/>
        <v>Continental Food and Beverage, inc-Inca Kola Plastico 2Lt x 8-13.28</v>
      </c>
      <c r="Q320" s="20">
        <f t="shared" si="62"/>
        <v>4</v>
      </c>
      <c r="R320" s="20" t="str">
        <f t="shared" si="63"/>
        <v>Se repite 4 veces el precio de 13.28</v>
      </c>
      <c r="S320" s="20" t="str">
        <f t="shared" si="64"/>
        <v>El producto Inca Kola Plastico 2Lt x 8 Se repite 5 veces en Continental Food and Beverage, inc, Se repite 4 veces el precio de 13.28</v>
      </c>
      <c r="T320" s="20" t="str">
        <f t="shared" si="65"/>
        <v>Continental Food and Beverage, inc</v>
      </c>
      <c r="U320" s="20" t="str">
        <f t="shared" si="66"/>
        <v>Inca Kola Plastico 2Lt x 8</v>
      </c>
      <c r="V320" s="22">
        <f t="shared" si="67"/>
        <v>13.28</v>
      </c>
      <c r="W320" t="str">
        <f t="shared" si="68"/>
        <v>Continental Food and Beverage, inc 08/21/2025</v>
      </c>
      <c r="Z320">
        <f t="shared" si="69"/>
        <v>3187.2</v>
      </c>
    </row>
    <row r="321" spans="1:26" hidden="1" x14ac:dyDescent="0.25">
      <c r="A321" s="2" t="s">
        <v>201</v>
      </c>
      <c r="B321" s="11" t="s">
        <v>232</v>
      </c>
      <c r="C321" s="11" t="s">
        <v>4</v>
      </c>
      <c r="D321" s="11" t="s">
        <v>233</v>
      </c>
      <c r="E321" s="11" t="s">
        <v>203</v>
      </c>
      <c r="F321" s="11" t="s">
        <v>226</v>
      </c>
      <c r="G321" s="12">
        <v>160</v>
      </c>
      <c r="H321" s="12">
        <v>13.28</v>
      </c>
      <c r="I321" s="12">
        <v>2124.8000000000002</v>
      </c>
      <c r="J321" s="12">
        <v>45356.659999999989</v>
      </c>
      <c r="K321" s="20">
        <f t="shared" si="56"/>
        <v>5</v>
      </c>
      <c r="L321" s="20" t="str">
        <f t="shared" si="57"/>
        <v>Se repite 5 veces</v>
      </c>
      <c r="M321" s="20" t="str">
        <f t="shared" si="58"/>
        <v>Continental Food and Beverage, inc-Inca Kola Plastico 2Lt x 8</v>
      </c>
      <c r="N321" s="20">
        <f t="shared" si="59"/>
        <v>5</v>
      </c>
      <c r="O321" s="20" t="str">
        <f t="shared" si="60"/>
        <v>Se repite 5 veces en Continental Food and Beverage, inc</v>
      </c>
      <c r="P321" s="20" t="str">
        <f t="shared" si="61"/>
        <v>Continental Food and Beverage, inc-Inca Kola Plastico 2Lt x 8-13.28</v>
      </c>
      <c r="Q321" s="20">
        <f t="shared" si="62"/>
        <v>4</v>
      </c>
      <c r="R321" s="20" t="str">
        <f t="shared" si="63"/>
        <v>Se repite 4 veces el precio de 13.28</v>
      </c>
      <c r="S321" s="20" t="str">
        <f t="shared" si="64"/>
        <v>El producto Inca Kola Plastico 2Lt x 8 Se repite 5 veces en Continental Food and Beverage, inc, Se repite 4 veces el precio de 13.28</v>
      </c>
      <c r="T321" s="20" t="str">
        <f t="shared" si="65"/>
        <v>Continental Food and Beverage, inc</v>
      </c>
      <c r="U321" s="20" t="str">
        <f t="shared" si="66"/>
        <v>Inca Kola Plastico 2Lt x 8</v>
      </c>
      <c r="V321" s="22">
        <f t="shared" si="67"/>
        <v>13.28</v>
      </c>
      <c r="W321" t="str">
        <f t="shared" si="68"/>
        <v>Continental Food and Beverage, inc 10/01/2025</v>
      </c>
      <c r="Z321">
        <f t="shared" si="69"/>
        <v>2124.7999999999997</v>
      </c>
    </row>
    <row r="322" spans="1:26" hidden="1" x14ac:dyDescent="0.25">
      <c r="A322" s="2" t="s">
        <v>201</v>
      </c>
      <c r="B322" s="11" t="s">
        <v>237</v>
      </c>
      <c r="C322" s="11" t="s">
        <v>4</v>
      </c>
      <c r="D322" s="11" t="s">
        <v>238</v>
      </c>
      <c r="E322" s="11" t="s">
        <v>203</v>
      </c>
      <c r="F322" s="11" t="s">
        <v>226</v>
      </c>
      <c r="G322" s="12">
        <v>240</v>
      </c>
      <c r="H322" s="12">
        <v>13.28</v>
      </c>
      <c r="I322" s="12">
        <v>3187.2</v>
      </c>
      <c r="J322" s="12">
        <v>55610.499999999993</v>
      </c>
      <c r="K322" s="20">
        <f t="shared" si="56"/>
        <v>5</v>
      </c>
      <c r="L322" s="20" t="str">
        <f t="shared" si="57"/>
        <v>Se repite 5 veces</v>
      </c>
      <c r="M322" s="20" t="str">
        <f t="shared" si="58"/>
        <v>Continental Food and Beverage, inc-Inca Kola Plastico 2Lt x 8</v>
      </c>
      <c r="N322" s="20">
        <f t="shared" si="59"/>
        <v>5</v>
      </c>
      <c r="O322" s="20" t="str">
        <f t="shared" si="60"/>
        <v>Se repite 5 veces en Continental Food and Beverage, inc</v>
      </c>
      <c r="P322" s="20" t="str">
        <f t="shared" si="61"/>
        <v>Continental Food and Beverage, inc-Inca Kola Plastico 2Lt x 8-13.28</v>
      </c>
      <c r="Q322" s="20">
        <f t="shared" si="62"/>
        <v>4</v>
      </c>
      <c r="R322" s="20" t="str">
        <f t="shared" si="63"/>
        <v>Se repite 4 veces el precio de 13.28</v>
      </c>
      <c r="S322" s="20" t="str">
        <f t="shared" si="64"/>
        <v>El producto Inca Kola Plastico 2Lt x 8 Se repite 5 veces en Continental Food and Beverage, inc, Se repite 4 veces el precio de 13.28</v>
      </c>
      <c r="T322" s="20" t="str">
        <f t="shared" si="65"/>
        <v>Continental Food and Beverage, inc</v>
      </c>
      <c r="U322" s="20" t="str">
        <f t="shared" si="66"/>
        <v>Inca Kola Plastico 2Lt x 8</v>
      </c>
      <c r="V322" s="22">
        <f t="shared" si="67"/>
        <v>13.28</v>
      </c>
      <c r="W322" t="str">
        <f t="shared" si="68"/>
        <v>Continental Food and Beverage, inc 11/04/2025</v>
      </c>
      <c r="Z322">
        <f t="shared" si="69"/>
        <v>3187.2</v>
      </c>
    </row>
    <row r="323" spans="1:26" hidden="1" x14ac:dyDescent="0.25">
      <c r="A323" s="2" t="s">
        <v>201</v>
      </c>
      <c r="B323" s="11" t="s">
        <v>202</v>
      </c>
      <c r="C323" s="11" t="s">
        <v>4</v>
      </c>
      <c r="D323" s="11" t="s">
        <v>5</v>
      </c>
      <c r="E323" s="11" t="s">
        <v>205</v>
      </c>
      <c r="F323" s="11" t="s">
        <v>206</v>
      </c>
      <c r="G323" s="12">
        <v>104</v>
      </c>
      <c r="H323" s="12">
        <v>10.06</v>
      </c>
      <c r="I323" s="12">
        <v>1046.24</v>
      </c>
      <c r="J323" s="12">
        <v>11739.44</v>
      </c>
      <c r="K323" s="20">
        <f t="shared" ref="K323:K386" si="70">COUNTIF($E$2:$E$1438,E323)</f>
        <v>4</v>
      </c>
      <c r="L323" s="20" t="str">
        <f t="shared" ref="L323:L386" si="71">IF(K323&gt;1,_xlfn.CONCAT("Se repite ",K323," veces"),"No se repite")</f>
        <v>Se repite 4 veces</v>
      </c>
      <c r="M323" s="20" t="str">
        <f t="shared" ref="M323:M386" si="72">_xlfn.CONCAT(A323,"-",E323)</f>
        <v>Continental Food and Beverage, inc-Inca Kola Regular  x 24 Latas</v>
      </c>
      <c r="N323" s="20">
        <f t="shared" ref="N323:N386" si="73">COUNTIF($M$2:$M$1438,M323)</f>
        <v>4</v>
      </c>
      <c r="O323" s="20" t="str">
        <f t="shared" ref="O323:O386" si="74">IF(N323&gt;1,_xlfn.CONCAT("Se repite ",N323," veces en ",A323),"No se repite en proveedor")</f>
        <v>Se repite 4 veces en Continental Food and Beverage, inc</v>
      </c>
      <c r="P323" s="20" t="str">
        <f t="shared" ref="P323:P386" si="75">_xlfn.CONCAT(A323,"-",E323,"-",H323)</f>
        <v>Continental Food and Beverage, inc-Inca Kola Regular  x 24 Latas-10.06</v>
      </c>
      <c r="Q323" s="20">
        <f t="shared" ref="Q323:Q386" si="76">COUNTIF($P$2:$P$1438,P323)</f>
        <v>1</v>
      </c>
      <c r="R323" s="20" t="str">
        <f t="shared" ref="R323:R386" si="77">IF(Q323&gt;1,_xlfn.CONCAT("Se repite ",Q323," veces el precio de ",H323),"No se repite")</f>
        <v>No se repite</v>
      </c>
      <c r="S323" s="20" t="str">
        <f t="shared" ref="S323:S386" si="78">_xlfn.CONCAT("El producto ",E323," ",O323,IF(R323="No se repite",_xlfn.CONCAT(" Una vez con el precio ",H323),_xlfn.CONCAT(", ",R323)))</f>
        <v>El producto Inca Kola Regular  x 24 Latas Se repite 4 veces en Continental Food and Beverage, inc Una vez con el precio 10.06</v>
      </c>
      <c r="T323" s="20" t="str">
        <f t="shared" ref="T323:T386" si="79">+A323</f>
        <v>Continental Food and Beverage, inc</v>
      </c>
      <c r="U323" s="20" t="str">
        <f t="shared" ref="U323:U386" si="80">+E323</f>
        <v>Inca Kola Regular  x 24 Latas</v>
      </c>
      <c r="V323" s="22">
        <f t="shared" ref="V323:V386" si="81">+H323</f>
        <v>10.06</v>
      </c>
      <c r="W323" t="str">
        <f t="shared" ref="W323:W386" si="82">_xlfn.CONCAT(A323," ",B323)</f>
        <v>Continental Food and Beverage, inc 03/03/2025</v>
      </c>
      <c r="Z323">
        <f t="shared" ref="Z323:Z386" si="83">G323*H323</f>
        <v>1046.24</v>
      </c>
    </row>
    <row r="324" spans="1:26" hidden="1" x14ac:dyDescent="0.25">
      <c r="A324" s="2" t="s">
        <v>201</v>
      </c>
      <c r="B324" s="11" t="s">
        <v>217</v>
      </c>
      <c r="C324" s="11" t="s">
        <v>4</v>
      </c>
      <c r="D324" s="11" t="s">
        <v>5</v>
      </c>
      <c r="E324" s="11" t="s">
        <v>205</v>
      </c>
      <c r="F324" s="11" t="s">
        <v>219</v>
      </c>
      <c r="G324" s="12">
        <v>104</v>
      </c>
      <c r="H324" s="12">
        <v>12.44</v>
      </c>
      <c r="I324" s="12">
        <v>1293.76</v>
      </c>
      <c r="J324" s="12">
        <v>25411.48</v>
      </c>
      <c r="K324" s="20">
        <f t="shared" si="70"/>
        <v>4</v>
      </c>
      <c r="L324" s="20" t="str">
        <f t="shared" si="71"/>
        <v>Se repite 4 veces</v>
      </c>
      <c r="M324" s="20" t="str">
        <f t="shared" si="72"/>
        <v>Continental Food and Beverage, inc-Inca Kola Regular  x 24 Latas</v>
      </c>
      <c r="N324" s="20">
        <f t="shared" si="73"/>
        <v>4</v>
      </c>
      <c r="O324" s="20" t="str">
        <f t="shared" si="74"/>
        <v>Se repite 4 veces en Continental Food and Beverage, inc</v>
      </c>
      <c r="P324" s="20" t="str">
        <f t="shared" si="75"/>
        <v>Continental Food and Beverage, inc-Inca Kola Regular  x 24 Latas-12.44</v>
      </c>
      <c r="Q324" s="20">
        <f t="shared" si="76"/>
        <v>1</v>
      </c>
      <c r="R324" s="20" t="str">
        <f t="shared" si="77"/>
        <v>No se repite</v>
      </c>
      <c r="S324" s="20" t="str">
        <f t="shared" si="78"/>
        <v>El producto Inca Kola Regular  x 24 Latas Se repite 4 veces en Continental Food and Beverage, inc Una vez con el precio 12.44</v>
      </c>
      <c r="T324" s="20" t="str">
        <f t="shared" si="79"/>
        <v>Continental Food and Beverage, inc</v>
      </c>
      <c r="U324" s="20" t="str">
        <f t="shared" si="80"/>
        <v>Inca Kola Regular  x 24 Latas</v>
      </c>
      <c r="V324" s="22">
        <f t="shared" si="81"/>
        <v>12.44</v>
      </c>
      <c r="W324" t="str">
        <f t="shared" si="82"/>
        <v>Continental Food and Beverage, inc 04/09/2025</v>
      </c>
      <c r="Z324">
        <f t="shared" si="83"/>
        <v>1293.76</v>
      </c>
    </row>
    <row r="325" spans="1:26" x14ac:dyDescent="0.25">
      <c r="A325" s="2" t="s">
        <v>201</v>
      </c>
      <c r="B325" s="11" t="s">
        <v>224</v>
      </c>
      <c r="C325" s="11" t="s">
        <v>4</v>
      </c>
      <c r="D325" s="11" t="s">
        <v>225</v>
      </c>
      <c r="E325" s="11" t="s">
        <v>205</v>
      </c>
      <c r="F325" s="11" t="s">
        <v>219</v>
      </c>
      <c r="G325" s="12">
        <v>312</v>
      </c>
      <c r="H325" s="12">
        <v>10.56</v>
      </c>
      <c r="I325" s="12">
        <v>3294.72</v>
      </c>
      <c r="J325" s="12">
        <v>41672.799999999996</v>
      </c>
      <c r="K325" s="20">
        <f t="shared" si="70"/>
        <v>4</v>
      </c>
      <c r="L325" s="20" t="str">
        <f t="shared" si="71"/>
        <v>Se repite 4 veces</v>
      </c>
      <c r="M325" s="20" t="str">
        <f t="shared" si="72"/>
        <v>Continental Food and Beverage, inc-Inca Kola Regular  x 24 Latas</v>
      </c>
      <c r="N325" s="20">
        <f t="shared" si="73"/>
        <v>4</v>
      </c>
      <c r="O325" s="20" t="str">
        <f t="shared" si="74"/>
        <v>Se repite 4 veces en Continental Food and Beverage, inc</v>
      </c>
      <c r="P325" s="20" t="str">
        <f t="shared" si="75"/>
        <v>Continental Food and Beverage, inc-Inca Kola Regular  x 24 Latas-10.56</v>
      </c>
      <c r="Q325" s="20">
        <f t="shared" si="76"/>
        <v>2</v>
      </c>
      <c r="R325" s="20" t="str">
        <f t="shared" si="77"/>
        <v>Se repite 2 veces el precio de 10.56</v>
      </c>
      <c r="S325" s="20" t="str">
        <f t="shared" si="78"/>
        <v>El producto Inca Kola Regular  x 24 Latas Se repite 4 veces en Continental Food and Beverage, inc, Se repite 2 veces el precio de 10.56</v>
      </c>
      <c r="T325" s="20" t="str">
        <f t="shared" si="79"/>
        <v>Continental Food and Beverage, inc</v>
      </c>
      <c r="U325" s="20" t="str">
        <f t="shared" si="80"/>
        <v>Inca Kola Regular  x 24 Latas</v>
      </c>
      <c r="V325" s="22">
        <f t="shared" si="81"/>
        <v>10.56</v>
      </c>
      <c r="W325" t="str">
        <f t="shared" si="82"/>
        <v>Continental Food and Beverage, inc 07/08/2025</v>
      </c>
      <c r="Z325">
        <f t="shared" si="83"/>
        <v>3294.7200000000003</v>
      </c>
    </row>
    <row r="326" spans="1:26" hidden="1" x14ac:dyDescent="0.25">
      <c r="A326" s="2" t="s">
        <v>201</v>
      </c>
      <c r="B326" s="11" t="s">
        <v>237</v>
      </c>
      <c r="C326" s="11" t="s">
        <v>4</v>
      </c>
      <c r="D326" s="11" t="s">
        <v>238</v>
      </c>
      <c r="E326" s="11" t="s">
        <v>205</v>
      </c>
      <c r="F326" s="11" t="s">
        <v>219</v>
      </c>
      <c r="G326" s="12">
        <v>104</v>
      </c>
      <c r="H326" s="12">
        <v>10.56</v>
      </c>
      <c r="I326" s="12">
        <v>1098.24</v>
      </c>
      <c r="J326" s="12">
        <v>58608.739999999991</v>
      </c>
      <c r="K326" s="20">
        <f t="shared" si="70"/>
        <v>4</v>
      </c>
      <c r="L326" s="20" t="str">
        <f t="shared" si="71"/>
        <v>Se repite 4 veces</v>
      </c>
      <c r="M326" s="20" t="str">
        <f t="shared" si="72"/>
        <v>Continental Food and Beverage, inc-Inca Kola Regular  x 24 Latas</v>
      </c>
      <c r="N326" s="20">
        <f t="shared" si="73"/>
        <v>4</v>
      </c>
      <c r="O326" s="20" t="str">
        <f t="shared" si="74"/>
        <v>Se repite 4 veces en Continental Food and Beverage, inc</v>
      </c>
      <c r="P326" s="20" t="str">
        <f t="shared" si="75"/>
        <v>Continental Food and Beverage, inc-Inca Kola Regular  x 24 Latas-10.56</v>
      </c>
      <c r="Q326" s="20">
        <f t="shared" si="76"/>
        <v>2</v>
      </c>
      <c r="R326" s="20" t="str">
        <f t="shared" si="77"/>
        <v>Se repite 2 veces el precio de 10.56</v>
      </c>
      <c r="S326" s="20" t="str">
        <f t="shared" si="78"/>
        <v>El producto Inca Kola Regular  x 24 Latas Se repite 4 veces en Continental Food and Beverage, inc, Se repite 2 veces el precio de 10.56</v>
      </c>
      <c r="T326" s="20" t="str">
        <f t="shared" si="79"/>
        <v>Continental Food and Beverage, inc</v>
      </c>
      <c r="U326" s="20" t="str">
        <f t="shared" si="80"/>
        <v>Inca Kola Regular  x 24 Latas</v>
      </c>
      <c r="V326" s="22">
        <f t="shared" si="81"/>
        <v>10.56</v>
      </c>
      <c r="W326" t="str">
        <f t="shared" si="82"/>
        <v>Continental Food and Beverage, inc 11/04/2025</v>
      </c>
      <c r="Z326">
        <f t="shared" si="83"/>
        <v>1098.24</v>
      </c>
    </row>
    <row r="327" spans="1:26" hidden="1" x14ac:dyDescent="0.25">
      <c r="A327" s="2" t="s">
        <v>201</v>
      </c>
      <c r="B327" s="11" t="s">
        <v>202</v>
      </c>
      <c r="C327" s="11" t="s">
        <v>4</v>
      </c>
      <c r="D327" s="11" t="s">
        <v>5</v>
      </c>
      <c r="E327" s="11" t="s">
        <v>209</v>
      </c>
      <c r="F327" s="11" t="s">
        <v>210</v>
      </c>
      <c r="G327" s="12">
        <v>416</v>
      </c>
      <c r="H327" s="12">
        <v>4.99</v>
      </c>
      <c r="I327" s="12">
        <v>2073.7600000000002</v>
      </c>
      <c r="J327" s="12">
        <v>15388.2</v>
      </c>
      <c r="K327" s="20">
        <f t="shared" si="70"/>
        <v>7</v>
      </c>
      <c r="L327" s="20" t="str">
        <f t="shared" si="71"/>
        <v>Se repite 7 veces</v>
      </c>
      <c r="M327" s="20" t="str">
        <f t="shared" si="72"/>
        <v>Continental Food and Beverage, inc-Inca Kola Regular x 12 latas</v>
      </c>
      <c r="N327" s="20">
        <f t="shared" si="73"/>
        <v>7</v>
      </c>
      <c r="O327" s="20" t="str">
        <f t="shared" si="74"/>
        <v>Se repite 7 veces en Continental Food and Beverage, inc</v>
      </c>
      <c r="P327" s="20" t="str">
        <f t="shared" si="75"/>
        <v>Continental Food and Beverage, inc-Inca Kola Regular x 12 latas-4.99</v>
      </c>
      <c r="Q327" s="20">
        <f t="shared" si="76"/>
        <v>1</v>
      </c>
      <c r="R327" s="20" t="str">
        <f t="shared" si="77"/>
        <v>No se repite</v>
      </c>
      <c r="S327" s="20" t="str">
        <f t="shared" si="78"/>
        <v>El producto Inca Kola Regular x 12 latas Se repite 7 veces en Continental Food and Beverage, inc Una vez con el precio 4.99</v>
      </c>
      <c r="T327" s="20" t="str">
        <f t="shared" si="79"/>
        <v>Continental Food and Beverage, inc</v>
      </c>
      <c r="U327" s="20" t="str">
        <f t="shared" si="80"/>
        <v>Inca Kola Regular x 12 latas</v>
      </c>
      <c r="V327" s="22">
        <f t="shared" si="81"/>
        <v>4.99</v>
      </c>
      <c r="W327" t="str">
        <f t="shared" si="82"/>
        <v>Continental Food and Beverage, inc 03/03/2025</v>
      </c>
      <c r="Z327">
        <f t="shared" si="83"/>
        <v>2075.84</v>
      </c>
    </row>
    <row r="328" spans="1:26" hidden="1" x14ac:dyDescent="0.25">
      <c r="A328" s="2" t="s">
        <v>201</v>
      </c>
      <c r="B328" s="11" t="s">
        <v>217</v>
      </c>
      <c r="C328" s="11" t="s">
        <v>4</v>
      </c>
      <c r="D328" s="11" t="s">
        <v>5</v>
      </c>
      <c r="E328" s="11" t="s">
        <v>209</v>
      </c>
      <c r="F328" s="11" t="s">
        <v>218</v>
      </c>
      <c r="G328" s="12">
        <v>1664</v>
      </c>
      <c r="H328" s="12">
        <v>5.2350000000000003</v>
      </c>
      <c r="I328" s="12">
        <v>8711.0400000000009</v>
      </c>
      <c r="J328" s="12">
        <v>24117.72</v>
      </c>
      <c r="K328" s="20">
        <f t="shared" si="70"/>
        <v>7</v>
      </c>
      <c r="L328" s="20" t="str">
        <f t="shared" si="71"/>
        <v>Se repite 7 veces</v>
      </c>
      <c r="M328" s="20" t="str">
        <f t="shared" si="72"/>
        <v>Continental Food and Beverage, inc-Inca Kola Regular x 12 latas</v>
      </c>
      <c r="N328" s="20">
        <f t="shared" si="73"/>
        <v>7</v>
      </c>
      <c r="O328" s="20" t="str">
        <f t="shared" si="74"/>
        <v>Se repite 7 veces en Continental Food and Beverage, inc</v>
      </c>
      <c r="P328" s="20" t="str">
        <f t="shared" si="75"/>
        <v>Continental Food and Beverage, inc-Inca Kola Regular x 12 latas-5.235</v>
      </c>
      <c r="Q328" s="20">
        <f t="shared" si="76"/>
        <v>6</v>
      </c>
      <c r="R328" s="20" t="str">
        <f t="shared" si="77"/>
        <v>Se repite 6 veces el precio de 5.235</v>
      </c>
      <c r="S328" s="20" t="str">
        <f t="shared" si="78"/>
        <v>El producto Inca Kola Regular x 12 latas Se repite 7 veces en Continental Food and Beverage, inc, Se repite 6 veces el precio de 5.235</v>
      </c>
      <c r="T328" s="20" t="str">
        <f t="shared" si="79"/>
        <v>Continental Food and Beverage, inc</v>
      </c>
      <c r="U328" s="20" t="str">
        <f t="shared" si="80"/>
        <v>Inca Kola Regular x 12 latas</v>
      </c>
      <c r="V328" s="22">
        <f t="shared" si="81"/>
        <v>5.2350000000000003</v>
      </c>
      <c r="W328" t="str">
        <f t="shared" si="82"/>
        <v>Continental Food and Beverage, inc 04/09/2025</v>
      </c>
      <c r="Z328">
        <f t="shared" si="83"/>
        <v>8711.0400000000009</v>
      </c>
    </row>
    <row r="329" spans="1:26" hidden="1" x14ac:dyDescent="0.25">
      <c r="A329" s="2" t="s">
        <v>201</v>
      </c>
      <c r="B329" s="11" t="s">
        <v>19</v>
      </c>
      <c r="C329" s="11" t="s">
        <v>4</v>
      </c>
      <c r="D329" s="11" t="s">
        <v>5</v>
      </c>
      <c r="E329" s="11" t="s">
        <v>209</v>
      </c>
      <c r="F329" s="11" t="s">
        <v>218</v>
      </c>
      <c r="G329" s="12">
        <v>416</v>
      </c>
      <c r="H329" s="12">
        <v>5.2350000000000003</v>
      </c>
      <c r="I329" s="12">
        <v>2177.7600000000002</v>
      </c>
      <c r="J329" s="12">
        <v>27589.239999999998</v>
      </c>
      <c r="K329" s="20">
        <f t="shared" si="70"/>
        <v>7</v>
      </c>
      <c r="L329" s="20" t="str">
        <f t="shared" si="71"/>
        <v>Se repite 7 veces</v>
      </c>
      <c r="M329" s="20" t="str">
        <f t="shared" si="72"/>
        <v>Continental Food and Beverage, inc-Inca Kola Regular x 12 latas</v>
      </c>
      <c r="N329" s="20">
        <f t="shared" si="73"/>
        <v>7</v>
      </c>
      <c r="O329" s="20" t="str">
        <f t="shared" si="74"/>
        <v>Se repite 7 veces en Continental Food and Beverage, inc</v>
      </c>
      <c r="P329" s="20" t="str">
        <f t="shared" si="75"/>
        <v>Continental Food and Beverage, inc-Inca Kola Regular x 12 latas-5.235</v>
      </c>
      <c r="Q329" s="20">
        <f t="shared" si="76"/>
        <v>6</v>
      </c>
      <c r="R329" s="20" t="str">
        <f t="shared" si="77"/>
        <v>Se repite 6 veces el precio de 5.235</v>
      </c>
      <c r="S329" s="20" t="str">
        <f t="shared" si="78"/>
        <v>El producto Inca Kola Regular x 12 latas Se repite 7 veces en Continental Food and Beverage, inc, Se repite 6 veces el precio de 5.235</v>
      </c>
      <c r="T329" s="20" t="str">
        <f t="shared" si="79"/>
        <v>Continental Food and Beverage, inc</v>
      </c>
      <c r="U329" s="20" t="str">
        <f t="shared" si="80"/>
        <v>Inca Kola Regular x 12 latas</v>
      </c>
      <c r="V329" s="22">
        <f t="shared" si="81"/>
        <v>5.2350000000000003</v>
      </c>
      <c r="W329" t="str">
        <f t="shared" si="82"/>
        <v>Continental Food and Beverage, inc 04/28/2025</v>
      </c>
      <c r="Z329">
        <f t="shared" si="83"/>
        <v>2177.7600000000002</v>
      </c>
    </row>
    <row r="330" spans="1:26" x14ac:dyDescent="0.25">
      <c r="A330" s="2" t="s">
        <v>201</v>
      </c>
      <c r="B330" s="11" t="s">
        <v>224</v>
      </c>
      <c r="C330" s="11" t="s">
        <v>4</v>
      </c>
      <c r="D330" s="11" t="s">
        <v>225</v>
      </c>
      <c r="E330" s="11" t="s">
        <v>209</v>
      </c>
      <c r="F330" s="11" t="s">
        <v>218</v>
      </c>
      <c r="G330" s="12">
        <v>824</v>
      </c>
      <c r="H330" s="12">
        <v>5.2350000000000003</v>
      </c>
      <c r="I330" s="12">
        <v>4313.6400000000003</v>
      </c>
      <c r="J330" s="12">
        <v>38378.079999999994</v>
      </c>
      <c r="K330" s="20">
        <f t="shared" si="70"/>
        <v>7</v>
      </c>
      <c r="L330" s="20" t="str">
        <f t="shared" si="71"/>
        <v>Se repite 7 veces</v>
      </c>
      <c r="M330" s="20" t="str">
        <f t="shared" si="72"/>
        <v>Continental Food and Beverage, inc-Inca Kola Regular x 12 latas</v>
      </c>
      <c r="N330" s="20">
        <f t="shared" si="73"/>
        <v>7</v>
      </c>
      <c r="O330" s="20" t="str">
        <f t="shared" si="74"/>
        <v>Se repite 7 veces en Continental Food and Beverage, inc</v>
      </c>
      <c r="P330" s="20" t="str">
        <f t="shared" si="75"/>
        <v>Continental Food and Beverage, inc-Inca Kola Regular x 12 latas-5.235</v>
      </c>
      <c r="Q330" s="20">
        <f t="shared" si="76"/>
        <v>6</v>
      </c>
      <c r="R330" s="20" t="str">
        <f t="shared" si="77"/>
        <v>Se repite 6 veces el precio de 5.235</v>
      </c>
      <c r="S330" s="20" t="str">
        <f t="shared" si="78"/>
        <v>El producto Inca Kola Regular x 12 latas Se repite 7 veces en Continental Food and Beverage, inc, Se repite 6 veces el precio de 5.235</v>
      </c>
      <c r="T330" s="20" t="str">
        <f t="shared" si="79"/>
        <v>Continental Food and Beverage, inc</v>
      </c>
      <c r="U330" s="20" t="str">
        <f t="shared" si="80"/>
        <v>Inca Kola Regular x 12 latas</v>
      </c>
      <c r="V330" s="22">
        <f t="shared" si="81"/>
        <v>5.2350000000000003</v>
      </c>
      <c r="W330" t="str">
        <f t="shared" si="82"/>
        <v>Continental Food and Beverage, inc 07/08/2025</v>
      </c>
      <c r="Z330">
        <f t="shared" si="83"/>
        <v>4313.6400000000003</v>
      </c>
    </row>
    <row r="331" spans="1:26" hidden="1" x14ac:dyDescent="0.25">
      <c r="A331" s="2" t="s">
        <v>201</v>
      </c>
      <c r="B331" s="11" t="s">
        <v>227</v>
      </c>
      <c r="C331" s="11" t="s">
        <v>4</v>
      </c>
      <c r="D331" s="11" t="s">
        <v>228</v>
      </c>
      <c r="E331" s="11" t="s">
        <v>209</v>
      </c>
      <c r="F331" s="11" t="s">
        <v>218</v>
      </c>
      <c r="G331" s="12">
        <v>832</v>
      </c>
      <c r="H331" s="12">
        <v>5.2350000000000003</v>
      </c>
      <c r="I331" s="12">
        <v>4355.5200000000004</v>
      </c>
      <c r="J331" s="12">
        <v>49215.51999999999</v>
      </c>
      <c r="K331" s="20">
        <f t="shared" si="70"/>
        <v>7</v>
      </c>
      <c r="L331" s="20" t="str">
        <f t="shared" si="71"/>
        <v>Se repite 7 veces</v>
      </c>
      <c r="M331" s="20" t="str">
        <f t="shared" si="72"/>
        <v>Continental Food and Beverage, inc-Inca Kola Regular x 12 latas</v>
      </c>
      <c r="N331" s="20">
        <f t="shared" si="73"/>
        <v>7</v>
      </c>
      <c r="O331" s="20" t="str">
        <f t="shared" si="74"/>
        <v>Se repite 7 veces en Continental Food and Beverage, inc</v>
      </c>
      <c r="P331" s="20" t="str">
        <f t="shared" si="75"/>
        <v>Continental Food and Beverage, inc-Inca Kola Regular x 12 latas-5.235</v>
      </c>
      <c r="Q331" s="20">
        <f t="shared" si="76"/>
        <v>6</v>
      </c>
      <c r="R331" s="20" t="str">
        <f t="shared" si="77"/>
        <v>Se repite 6 veces el precio de 5.235</v>
      </c>
      <c r="S331" s="20" t="str">
        <f t="shared" si="78"/>
        <v>El producto Inca Kola Regular x 12 latas Se repite 7 veces en Continental Food and Beverage, inc, Se repite 6 veces el precio de 5.235</v>
      </c>
      <c r="T331" s="20" t="str">
        <f t="shared" si="79"/>
        <v>Continental Food and Beverage, inc</v>
      </c>
      <c r="U331" s="20" t="str">
        <f t="shared" si="80"/>
        <v>Inca Kola Regular x 12 latas</v>
      </c>
      <c r="V331" s="22">
        <f t="shared" si="81"/>
        <v>5.2350000000000003</v>
      </c>
      <c r="W331" t="str">
        <f t="shared" si="82"/>
        <v>Continental Food and Beverage, inc 08/21/2025</v>
      </c>
      <c r="Z331">
        <f t="shared" si="83"/>
        <v>4355.5200000000004</v>
      </c>
    </row>
    <row r="332" spans="1:26" hidden="1" x14ac:dyDescent="0.25">
      <c r="A332" s="2" t="s">
        <v>201</v>
      </c>
      <c r="B332" s="11" t="s">
        <v>232</v>
      </c>
      <c r="C332" s="11" t="s">
        <v>4</v>
      </c>
      <c r="D332" s="11" t="s">
        <v>233</v>
      </c>
      <c r="E332" s="11" t="s">
        <v>209</v>
      </c>
      <c r="F332" s="11" t="s">
        <v>218</v>
      </c>
      <c r="G332" s="12">
        <v>832</v>
      </c>
      <c r="H332" s="12">
        <v>5.2350000000000003</v>
      </c>
      <c r="I332" s="12">
        <v>4355.5200000000004</v>
      </c>
      <c r="J332" s="12">
        <v>49712.179999999993</v>
      </c>
      <c r="K332" s="20">
        <f t="shared" si="70"/>
        <v>7</v>
      </c>
      <c r="L332" s="20" t="str">
        <f t="shared" si="71"/>
        <v>Se repite 7 veces</v>
      </c>
      <c r="M332" s="20" t="str">
        <f t="shared" si="72"/>
        <v>Continental Food and Beverage, inc-Inca Kola Regular x 12 latas</v>
      </c>
      <c r="N332" s="20">
        <f t="shared" si="73"/>
        <v>7</v>
      </c>
      <c r="O332" s="20" t="str">
        <f t="shared" si="74"/>
        <v>Se repite 7 veces en Continental Food and Beverage, inc</v>
      </c>
      <c r="P332" s="20" t="str">
        <f t="shared" si="75"/>
        <v>Continental Food and Beverage, inc-Inca Kola Regular x 12 latas-5.235</v>
      </c>
      <c r="Q332" s="20">
        <f t="shared" si="76"/>
        <v>6</v>
      </c>
      <c r="R332" s="20" t="str">
        <f t="shared" si="77"/>
        <v>Se repite 6 veces el precio de 5.235</v>
      </c>
      <c r="S332" s="20" t="str">
        <f t="shared" si="78"/>
        <v>El producto Inca Kola Regular x 12 latas Se repite 7 veces en Continental Food and Beverage, inc, Se repite 6 veces el precio de 5.235</v>
      </c>
      <c r="T332" s="20" t="str">
        <f t="shared" si="79"/>
        <v>Continental Food and Beverage, inc</v>
      </c>
      <c r="U332" s="20" t="str">
        <f t="shared" si="80"/>
        <v>Inca Kola Regular x 12 latas</v>
      </c>
      <c r="V332" s="22">
        <f t="shared" si="81"/>
        <v>5.2350000000000003</v>
      </c>
      <c r="W332" t="str">
        <f t="shared" si="82"/>
        <v>Continental Food and Beverage, inc 10/01/2025</v>
      </c>
      <c r="Z332">
        <f t="shared" si="83"/>
        <v>4355.5200000000004</v>
      </c>
    </row>
    <row r="333" spans="1:26" hidden="1" x14ac:dyDescent="0.25">
      <c r="A333" s="16" t="s">
        <v>201</v>
      </c>
      <c r="B333" s="17" t="s">
        <v>237</v>
      </c>
      <c r="C333" s="17" t="s">
        <v>4</v>
      </c>
      <c r="D333" s="17" t="s">
        <v>238</v>
      </c>
      <c r="E333" s="17" t="s">
        <v>209</v>
      </c>
      <c r="F333" s="17" t="s">
        <v>218</v>
      </c>
      <c r="G333" s="18">
        <v>208</v>
      </c>
      <c r="H333" s="18">
        <v>5.2350000000000003</v>
      </c>
      <c r="I333" s="18">
        <v>1088.8800000000001</v>
      </c>
      <c r="J333" s="18">
        <v>61395.119999999988</v>
      </c>
      <c r="K333" s="20">
        <f t="shared" si="70"/>
        <v>7</v>
      </c>
      <c r="L333" s="20" t="str">
        <f t="shared" si="71"/>
        <v>Se repite 7 veces</v>
      </c>
      <c r="M333" s="20" t="str">
        <f t="shared" si="72"/>
        <v>Continental Food and Beverage, inc-Inca Kola Regular x 12 latas</v>
      </c>
      <c r="N333" s="20">
        <f t="shared" si="73"/>
        <v>7</v>
      </c>
      <c r="O333" s="20" t="str">
        <f t="shared" si="74"/>
        <v>Se repite 7 veces en Continental Food and Beverage, inc</v>
      </c>
      <c r="P333" s="20" t="str">
        <f t="shared" si="75"/>
        <v>Continental Food and Beverage, inc-Inca Kola Regular x 12 latas-5.235</v>
      </c>
      <c r="Q333" s="20">
        <f t="shared" si="76"/>
        <v>6</v>
      </c>
      <c r="R333" s="20" t="str">
        <f t="shared" si="77"/>
        <v>Se repite 6 veces el precio de 5.235</v>
      </c>
      <c r="S333" s="20" t="str">
        <f t="shared" si="78"/>
        <v>El producto Inca Kola Regular x 12 latas Se repite 7 veces en Continental Food and Beverage, inc, Se repite 6 veces el precio de 5.235</v>
      </c>
      <c r="T333" s="20" t="str">
        <f t="shared" si="79"/>
        <v>Continental Food and Beverage, inc</v>
      </c>
      <c r="U333" s="20" t="str">
        <f t="shared" si="80"/>
        <v>Inca Kola Regular x 12 latas</v>
      </c>
      <c r="V333" s="22">
        <f t="shared" si="81"/>
        <v>5.2350000000000003</v>
      </c>
      <c r="W333" t="str">
        <f t="shared" si="82"/>
        <v>Continental Food and Beverage, inc 11/04/2025</v>
      </c>
      <c r="Z333">
        <f t="shared" si="83"/>
        <v>1088.8800000000001</v>
      </c>
    </row>
    <row r="334" spans="1:26" hidden="1" x14ac:dyDescent="0.25">
      <c r="A334" s="2" t="s">
        <v>201</v>
      </c>
      <c r="B334" s="11" t="s">
        <v>202</v>
      </c>
      <c r="C334" s="11" t="s">
        <v>4</v>
      </c>
      <c r="D334" s="11" t="s">
        <v>5</v>
      </c>
      <c r="E334" s="11" t="s">
        <v>207</v>
      </c>
      <c r="F334" s="11" t="s">
        <v>208</v>
      </c>
      <c r="G334" s="12">
        <v>70</v>
      </c>
      <c r="H334" s="12">
        <v>22.5</v>
      </c>
      <c r="I334" s="12">
        <v>1575</v>
      </c>
      <c r="J334" s="12">
        <v>13314.44</v>
      </c>
      <c r="K334" s="20">
        <f t="shared" si="70"/>
        <v>3</v>
      </c>
      <c r="L334" s="20" t="str">
        <f t="shared" si="71"/>
        <v>Se repite 3 veces</v>
      </c>
      <c r="M334" s="20" t="str">
        <f t="shared" si="72"/>
        <v>Continental Food and Beverage, inc-Inca Kola Vidrio x 24</v>
      </c>
      <c r="N334" s="20">
        <f t="shared" si="73"/>
        <v>3</v>
      </c>
      <c r="O334" s="20" t="str">
        <f t="shared" si="74"/>
        <v>Se repite 3 veces en Continental Food and Beverage, inc</v>
      </c>
      <c r="P334" s="20" t="str">
        <f t="shared" si="75"/>
        <v>Continental Food and Beverage, inc-Inca Kola Vidrio x 24-22.5</v>
      </c>
      <c r="Q334" s="20">
        <f t="shared" si="76"/>
        <v>1</v>
      </c>
      <c r="R334" s="20" t="str">
        <f t="shared" si="77"/>
        <v>No se repite</v>
      </c>
      <c r="S334" s="20" t="str">
        <f t="shared" si="78"/>
        <v>El producto Inca Kola Vidrio x 24 Se repite 3 veces en Continental Food and Beverage, inc Una vez con el precio 22.5</v>
      </c>
      <c r="T334" s="20" t="str">
        <f t="shared" si="79"/>
        <v>Continental Food and Beverage, inc</v>
      </c>
      <c r="U334" s="20" t="str">
        <f t="shared" si="80"/>
        <v>Inca Kola Vidrio x 24</v>
      </c>
      <c r="V334" s="22">
        <f t="shared" si="81"/>
        <v>22.5</v>
      </c>
      <c r="W334" t="str">
        <f t="shared" si="82"/>
        <v>Continental Food and Beverage, inc 03/03/2025</v>
      </c>
      <c r="Z334">
        <f t="shared" si="83"/>
        <v>1575</v>
      </c>
    </row>
    <row r="335" spans="1:26" hidden="1" x14ac:dyDescent="0.25">
      <c r="A335" s="2" t="s">
        <v>201</v>
      </c>
      <c r="B335" s="11" t="s">
        <v>227</v>
      </c>
      <c r="C335" s="11" t="s">
        <v>4</v>
      </c>
      <c r="D335" s="11" t="s">
        <v>228</v>
      </c>
      <c r="E335" s="11" t="s">
        <v>207</v>
      </c>
      <c r="F335" s="11" t="s">
        <v>229</v>
      </c>
      <c r="G335" s="12">
        <v>70</v>
      </c>
      <c r="H335" s="12">
        <v>24.25</v>
      </c>
      <c r="I335" s="12">
        <v>1697.5</v>
      </c>
      <c r="J335" s="12">
        <v>52157.01999999999</v>
      </c>
      <c r="K335" s="20">
        <f t="shared" si="70"/>
        <v>3</v>
      </c>
      <c r="L335" s="20" t="str">
        <f t="shared" si="71"/>
        <v>Se repite 3 veces</v>
      </c>
      <c r="M335" s="20" t="str">
        <f t="shared" si="72"/>
        <v>Continental Food and Beverage, inc-Inca Kola Vidrio x 24</v>
      </c>
      <c r="N335" s="20">
        <f t="shared" si="73"/>
        <v>3</v>
      </c>
      <c r="O335" s="20" t="str">
        <f t="shared" si="74"/>
        <v>Se repite 3 veces en Continental Food and Beverage, inc</v>
      </c>
      <c r="P335" s="20" t="str">
        <f t="shared" si="75"/>
        <v>Continental Food and Beverage, inc-Inca Kola Vidrio x 24-24.25</v>
      </c>
      <c r="Q335" s="20">
        <f t="shared" si="76"/>
        <v>2</v>
      </c>
      <c r="R335" s="20" t="str">
        <f t="shared" si="77"/>
        <v>Se repite 2 veces el precio de 24.25</v>
      </c>
      <c r="S335" s="20" t="str">
        <f t="shared" si="78"/>
        <v>El producto Inca Kola Vidrio x 24 Se repite 3 veces en Continental Food and Beverage, inc, Se repite 2 veces el precio de 24.25</v>
      </c>
      <c r="T335" s="20" t="str">
        <f t="shared" si="79"/>
        <v>Continental Food and Beverage, inc</v>
      </c>
      <c r="U335" s="20" t="str">
        <f t="shared" si="80"/>
        <v>Inca Kola Vidrio x 24</v>
      </c>
      <c r="V335" s="22">
        <f t="shared" si="81"/>
        <v>24.25</v>
      </c>
      <c r="W335" t="str">
        <f t="shared" si="82"/>
        <v>Continental Food and Beverage, inc 08/21/2025</v>
      </c>
      <c r="Z335">
        <f t="shared" si="83"/>
        <v>1697.5</v>
      </c>
    </row>
    <row r="336" spans="1:26" hidden="1" x14ac:dyDescent="0.25">
      <c r="A336" s="2" t="s">
        <v>201</v>
      </c>
      <c r="B336" s="11" t="s">
        <v>237</v>
      </c>
      <c r="C336" s="11" t="s">
        <v>4</v>
      </c>
      <c r="D336" s="11" t="s">
        <v>238</v>
      </c>
      <c r="E336" s="11" t="s">
        <v>207</v>
      </c>
      <c r="F336" s="11" t="s">
        <v>229</v>
      </c>
      <c r="G336" s="12">
        <v>70</v>
      </c>
      <c r="H336" s="12">
        <v>24.25</v>
      </c>
      <c r="I336" s="12">
        <v>1697.5</v>
      </c>
      <c r="J336" s="12">
        <v>60306.239999999991</v>
      </c>
      <c r="K336" s="20">
        <f t="shared" si="70"/>
        <v>3</v>
      </c>
      <c r="L336" s="20" t="str">
        <f t="shared" si="71"/>
        <v>Se repite 3 veces</v>
      </c>
      <c r="M336" s="20" t="str">
        <f t="shared" si="72"/>
        <v>Continental Food and Beverage, inc-Inca Kola Vidrio x 24</v>
      </c>
      <c r="N336" s="20">
        <f t="shared" si="73"/>
        <v>3</v>
      </c>
      <c r="O336" s="20" t="str">
        <f t="shared" si="74"/>
        <v>Se repite 3 veces en Continental Food and Beverage, inc</v>
      </c>
      <c r="P336" s="20" t="str">
        <f t="shared" si="75"/>
        <v>Continental Food and Beverage, inc-Inca Kola Vidrio x 24-24.25</v>
      </c>
      <c r="Q336" s="20">
        <f t="shared" si="76"/>
        <v>2</v>
      </c>
      <c r="R336" s="20" t="str">
        <f t="shared" si="77"/>
        <v>Se repite 2 veces el precio de 24.25</v>
      </c>
      <c r="S336" s="20" t="str">
        <f t="shared" si="78"/>
        <v>El producto Inca Kola Vidrio x 24 Se repite 3 veces en Continental Food and Beverage, inc, Se repite 2 veces el precio de 24.25</v>
      </c>
      <c r="T336" s="20" t="str">
        <f t="shared" si="79"/>
        <v>Continental Food and Beverage, inc</v>
      </c>
      <c r="U336" s="20" t="str">
        <f t="shared" si="80"/>
        <v>Inca Kola Vidrio x 24</v>
      </c>
      <c r="V336" s="22">
        <f t="shared" si="81"/>
        <v>24.25</v>
      </c>
      <c r="W336" t="str">
        <f t="shared" si="82"/>
        <v>Continental Food and Beverage, inc 11/04/2025</v>
      </c>
      <c r="Z336">
        <f t="shared" si="83"/>
        <v>1697.5</v>
      </c>
    </row>
    <row r="337" spans="1:26" hidden="1" x14ac:dyDescent="0.25">
      <c r="A337" s="2" t="s">
        <v>272</v>
      </c>
      <c r="B337" s="11" t="s">
        <v>273</v>
      </c>
      <c r="C337" s="11" t="s">
        <v>4</v>
      </c>
      <c r="D337" s="11" t="s">
        <v>5</v>
      </c>
      <c r="E337" s="11" t="s">
        <v>374</v>
      </c>
      <c r="F337" s="11" t="s">
        <v>375</v>
      </c>
      <c r="G337" s="12">
        <v>1</v>
      </c>
      <c r="H337" s="12">
        <v>39</v>
      </c>
      <c r="I337" s="12">
        <v>39</v>
      </c>
      <c r="J337" s="12">
        <v>1651.1999999999998</v>
      </c>
      <c r="K337" s="20">
        <f t="shared" si="70"/>
        <v>8</v>
      </c>
      <c r="L337" s="20" t="str">
        <f t="shared" si="71"/>
        <v>Se repite 8 veces</v>
      </c>
      <c r="M337" s="20" t="str">
        <f t="shared" si="72"/>
        <v>Peru Chef-Kikko Siyau 500ml x 30</v>
      </c>
      <c r="N337" s="20">
        <f t="shared" si="73"/>
        <v>2</v>
      </c>
      <c r="O337" s="20" t="str">
        <f t="shared" si="74"/>
        <v>Se repite 2 veces en Peru Chef</v>
      </c>
      <c r="P337" s="20" t="str">
        <f t="shared" si="75"/>
        <v>Peru Chef-Kikko Siyau 500ml x 30-39</v>
      </c>
      <c r="Q337" s="20">
        <f t="shared" si="76"/>
        <v>2</v>
      </c>
      <c r="R337" s="20" t="str">
        <f t="shared" si="77"/>
        <v>Se repite 2 veces el precio de 39</v>
      </c>
      <c r="S337" s="20" t="str">
        <f t="shared" si="78"/>
        <v>El producto Kikko Siyau 500ml x 30 Se repite 2 veces en Peru Chef, Se repite 2 veces el precio de 39</v>
      </c>
      <c r="T337" s="20" t="str">
        <f t="shared" si="79"/>
        <v>Peru Chef</v>
      </c>
      <c r="U337" s="20" t="str">
        <f t="shared" si="80"/>
        <v>Kikko Siyau 500ml x 30</v>
      </c>
      <c r="V337" s="22">
        <f t="shared" si="81"/>
        <v>39</v>
      </c>
      <c r="W337" t="str">
        <f t="shared" si="82"/>
        <v>Peru Chef 03/26/2025</v>
      </c>
      <c r="Z337">
        <f t="shared" si="83"/>
        <v>39</v>
      </c>
    </row>
    <row r="338" spans="1:26" hidden="1" x14ac:dyDescent="0.25">
      <c r="A338" s="2" t="s">
        <v>272</v>
      </c>
      <c r="B338" s="11" t="s">
        <v>408</v>
      </c>
      <c r="C338" s="11" t="s">
        <v>4</v>
      </c>
      <c r="D338" s="11" t="s">
        <v>409</v>
      </c>
      <c r="E338" s="11" t="s">
        <v>374</v>
      </c>
      <c r="F338" s="11" t="s">
        <v>422</v>
      </c>
      <c r="G338" s="12">
        <v>1</v>
      </c>
      <c r="H338" s="12">
        <v>39</v>
      </c>
      <c r="I338" s="12">
        <v>39</v>
      </c>
      <c r="J338" s="12">
        <v>4895.1000000000004</v>
      </c>
      <c r="K338" s="20">
        <f t="shared" si="70"/>
        <v>8</v>
      </c>
      <c r="L338" s="20" t="str">
        <f t="shared" si="71"/>
        <v>Se repite 8 veces</v>
      </c>
      <c r="M338" s="20" t="str">
        <f t="shared" si="72"/>
        <v>Peru Chef-Kikko Siyau 500ml x 30</v>
      </c>
      <c r="N338" s="20">
        <f t="shared" si="73"/>
        <v>2</v>
      </c>
      <c r="O338" s="20" t="str">
        <f t="shared" si="74"/>
        <v>Se repite 2 veces en Peru Chef</v>
      </c>
      <c r="P338" s="20" t="str">
        <f t="shared" si="75"/>
        <v>Peru Chef-Kikko Siyau 500ml x 30-39</v>
      </c>
      <c r="Q338" s="20">
        <f t="shared" si="76"/>
        <v>2</v>
      </c>
      <c r="R338" s="20" t="str">
        <f t="shared" si="77"/>
        <v>Se repite 2 veces el precio de 39</v>
      </c>
      <c r="S338" s="20" t="str">
        <f t="shared" si="78"/>
        <v>El producto Kikko Siyau 500ml x 30 Se repite 2 veces en Peru Chef, Se repite 2 veces el precio de 39</v>
      </c>
      <c r="T338" s="20" t="str">
        <f t="shared" si="79"/>
        <v>Peru Chef</v>
      </c>
      <c r="U338" s="20" t="str">
        <f t="shared" si="80"/>
        <v>Kikko Siyau 500ml x 30</v>
      </c>
      <c r="V338" s="22">
        <f t="shared" si="81"/>
        <v>39</v>
      </c>
      <c r="W338" t="str">
        <f t="shared" si="82"/>
        <v>Peru Chef 04/13/2025</v>
      </c>
      <c r="Z338">
        <f t="shared" si="83"/>
        <v>39</v>
      </c>
    </row>
    <row r="339" spans="1:26" hidden="1" x14ac:dyDescent="0.25">
      <c r="A339" s="2" t="s">
        <v>664</v>
      </c>
      <c r="B339" s="11" t="s">
        <v>665</v>
      </c>
      <c r="C339" s="11" t="s">
        <v>4</v>
      </c>
      <c r="D339" s="11" t="s">
        <v>666</v>
      </c>
      <c r="E339" s="11" t="s">
        <v>374</v>
      </c>
      <c r="F339" s="11" t="s">
        <v>375</v>
      </c>
      <c r="G339" s="12">
        <v>2</v>
      </c>
      <c r="H339" s="12">
        <v>29.7</v>
      </c>
      <c r="I339" s="12">
        <v>59.4</v>
      </c>
      <c r="J339" s="12">
        <v>2031.6799999999996</v>
      </c>
      <c r="K339" s="20">
        <f t="shared" si="70"/>
        <v>8</v>
      </c>
      <c r="L339" s="20" t="str">
        <f t="shared" si="71"/>
        <v>Se repite 8 veces</v>
      </c>
      <c r="M339" s="20" t="str">
        <f t="shared" si="72"/>
        <v>Tradiciones Andinas-Kikko Siyau 500ml x 30</v>
      </c>
      <c r="N339" s="20">
        <f t="shared" si="73"/>
        <v>6</v>
      </c>
      <c r="O339" s="20" t="str">
        <f t="shared" si="74"/>
        <v>Se repite 6 veces en Tradiciones Andinas</v>
      </c>
      <c r="P339" s="20" t="str">
        <f t="shared" si="75"/>
        <v>Tradiciones Andinas-Kikko Siyau 500ml x 30-29.7</v>
      </c>
      <c r="Q339" s="20">
        <f t="shared" si="76"/>
        <v>3</v>
      </c>
      <c r="R339" s="20" t="str">
        <f t="shared" si="77"/>
        <v>Se repite 3 veces el precio de 29.7</v>
      </c>
      <c r="S339" s="20" t="str">
        <f t="shared" si="78"/>
        <v>El producto Kikko Siyau 500ml x 30 Se repite 6 veces en Tradiciones Andinas, Se repite 3 veces el precio de 29.7</v>
      </c>
      <c r="T339" s="20" t="str">
        <f t="shared" si="79"/>
        <v>Tradiciones Andinas</v>
      </c>
      <c r="U339" s="20" t="str">
        <f t="shared" si="80"/>
        <v>Kikko Siyau 500ml x 30</v>
      </c>
      <c r="V339" s="22">
        <f t="shared" si="81"/>
        <v>29.7</v>
      </c>
      <c r="W339" t="str">
        <f t="shared" si="82"/>
        <v>Tradiciones Andinas 03/31/2025</v>
      </c>
      <c r="Z339">
        <f t="shared" si="83"/>
        <v>59.4</v>
      </c>
    </row>
    <row r="340" spans="1:26" hidden="1" x14ac:dyDescent="0.25">
      <c r="A340" s="2" t="s">
        <v>664</v>
      </c>
      <c r="B340" s="11" t="s">
        <v>398</v>
      </c>
      <c r="C340" s="11" t="s">
        <v>4</v>
      </c>
      <c r="D340" s="11" t="s">
        <v>5</v>
      </c>
      <c r="E340" s="11" t="s">
        <v>374</v>
      </c>
      <c r="F340" s="11" t="s">
        <v>375</v>
      </c>
      <c r="G340" s="12">
        <v>3</v>
      </c>
      <c r="H340" s="12">
        <v>29.7</v>
      </c>
      <c r="I340" s="12">
        <v>89.1</v>
      </c>
      <c r="J340" s="12">
        <v>5243.32</v>
      </c>
      <c r="K340" s="20">
        <f t="shared" si="70"/>
        <v>8</v>
      </c>
      <c r="L340" s="20" t="str">
        <f t="shared" si="71"/>
        <v>Se repite 8 veces</v>
      </c>
      <c r="M340" s="20" t="str">
        <f t="shared" si="72"/>
        <v>Tradiciones Andinas-Kikko Siyau 500ml x 30</v>
      </c>
      <c r="N340" s="20">
        <f t="shared" si="73"/>
        <v>6</v>
      </c>
      <c r="O340" s="20" t="str">
        <f t="shared" si="74"/>
        <v>Se repite 6 veces en Tradiciones Andinas</v>
      </c>
      <c r="P340" s="20" t="str">
        <f t="shared" si="75"/>
        <v>Tradiciones Andinas-Kikko Siyau 500ml x 30-29.7</v>
      </c>
      <c r="Q340" s="20">
        <f t="shared" si="76"/>
        <v>3</v>
      </c>
      <c r="R340" s="20" t="str">
        <f t="shared" si="77"/>
        <v>Se repite 3 veces el precio de 29.7</v>
      </c>
      <c r="S340" s="20" t="str">
        <f t="shared" si="78"/>
        <v>El producto Kikko Siyau 500ml x 30 Se repite 6 veces en Tradiciones Andinas, Se repite 3 veces el precio de 29.7</v>
      </c>
      <c r="T340" s="20" t="str">
        <f t="shared" si="79"/>
        <v>Tradiciones Andinas</v>
      </c>
      <c r="U340" s="20" t="str">
        <f t="shared" si="80"/>
        <v>Kikko Siyau 500ml x 30</v>
      </c>
      <c r="V340" s="22">
        <f t="shared" si="81"/>
        <v>29.7</v>
      </c>
      <c r="W340" t="str">
        <f t="shared" si="82"/>
        <v>Tradiciones Andinas 04/10/2025</v>
      </c>
      <c r="Z340">
        <f t="shared" si="83"/>
        <v>89.1</v>
      </c>
    </row>
    <row r="341" spans="1:26" hidden="1" x14ac:dyDescent="0.25">
      <c r="A341" s="2" t="s">
        <v>664</v>
      </c>
      <c r="B341" s="11" t="s">
        <v>821</v>
      </c>
      <c r="C341" s="11" t="s">
        <v>4</v>
      </c>
      <c r="D341" s="11" t="s">
        <v>822</v>
      </c>
      <c r="E341" s="11" t="s">
        <v>374</v>
      </c>
      <c r="F341" s="11" t="s">
        <v>375</v>
      </c>
      <c r="G341" s="12">
        <v>10</v>
      </c>
      <c r="H341" s="12">
        <v>29.7</v>
      </c>
      <c r="I341" s="12">
        <v>297</v>
      </c>
      <c r="J341" s="12">
        <v>14242.279999999999</v>
      </c>
      <c r="K341" s="20">
        <f t="shared" si="70"/>
        <v>8</v>
      </c>
      <c r="L341" s="20" t="str">
        <f t="shared" si="71"/>
        <v>Se repite 8 veces</v>
      </c>
      <c r="M341" s="20" t="str">
        <f t="shared" si="72"/>
        <v>Tradiciones Andinas-Kikko Siyau 500ml x 30</v>
      </c>
      <c r="N341" s="20">
        <f t="shared" si="73"/>
        <v>6</v>
      </c>
      <c r="O341" s="20" t="str">
        <f t="shared" si="74"/>
        <v>Se repite 6 veces en Tradiciones Andinas</v>
      </c>
      <c r="P341" s="20" t="str">
        <f t="shared" si="75"/>
        <v>Tradiciones Andinas-Kikko Siyau 500ml x 30-29.7</v>
      </c>
      <c r="Q341" s="20">
        <f t="shared" si="76"/>
        <v>3</v>
      </c>
      <c r="R341" s="20" t="str">
        <f t="shared" si="77"/>
        <v>Se repite 3 veces el precio de 29.7</v>
      </c>
      <c r="S341" s="20" t="str">
        <f t="shared" si="78"/>
        <v>El producto Kikko Siyau 500ml x 30 Se repite 6 veces en Tradiciones Andinas, Se repite 3 veces el precio de 29.7</v>
      </c>
      <c r="T341" s="20" t="str">
        <f t="shared" si="79"/>
        <v>Tradiciones Andinas</v>
      </c>
      <c r="U341" s="20" t="str">
        <f t="shared" si="80"/>
        <v>Kikko Siyau 500ml x 30</v>
      </c>
      <c r="V341" s="22">
        <f t="shared" si="81"/>
        <v>29.7</v>
      </c>
      <c r="W341" t="str">
        <f t="shared" si="82"/>
        <v>Tradiciones Andinas 04/25/2025</v>
      </c>
      <c r="Z341">
        <f t="shared" si="83"/>
        <v>297</v>
      </c>
    </row>
    <row r="342" spans="1:26" hidden="1" x14ac:dyDescent="0.25">
      <c r="A342" s="2" t="s">
        <v>664</v>
      </c>
      <c r="B342" s="11" t="s">
        <v>1033</v>
      </c>
      <c r="C342" s="11" t="s">
        <v>4</v>
      </c>
      <c r="D342" s="11" t="s">
        <v>1034</v>
      </c>
      <c r="E342" s="11" t="s">
        <v>374</v>
      </c>
      <c r="F342" s="11" t="s">
        <v>422</v>
      </c>
      <c r="G342" s="12">
        <v>15</v>
      </c>
      <c r="H342" s="12">
        <v>31.8</v>
      </c>
      <c r="I342" s="12">
        <v>477</v>
      </c>
      <c r="J342" s="12">
        <v>50225.629999999968</v>
      </c>
      <c r="K342" s="20">
        <f t="shared" si="70"/>
        <v>8</v>
      </c>
      <c r="L342" s="20" t="str">
        <f t="shared" si="71"/>
        <v>Se repite 8 veces</v>
      </c>
      <c r="M342" s="20" t="str">
        <f t="shared" si="72"/>
        <v>Tradiciones Andinas-Kikko Siyau 500ml x 30</v>
      </c>
      <c r="N342" s="20">
        <f t="shared" si="73"/>
        <v>6</v>
      </c>
      <c r="O342" s="20" t="str">
        <f t="shared" si="74"/>
        <v>Se repite 6 veces en Tradiciones Andinas</v>
      </c>
      <c r="P342" s="20" t="str">
        <f t="shared" si="75"/>
        <v>Tradiciones Andinas-Kikko Siyau 500ml x 30-31.8</v>
      </c>
      <c r="Q342" s="20">
        <f t="shared" si="76"/>
        <v>3</v>
      </c>
      <c r="R342" s="20" t="str">
        <f t="shared" si="77"/>
        <v>Se repite 3 veces el precio de 31.8</v>
      </c>
      <c r="S342" s="20" t="str">
        <f t="shared" si="78"/>
        <v>El producto Kikko Siyau 500ml x 30 Se repite 6 veces en Tradiciones Andinas, Se repite 3 veces el precio de 31.8</v>
      </c>
      <c r="T342" s="20" t="str">
        <f t="shared" si="79"/>
        <v>Tradiciones Andinas</v>
      </c>
      <c r="U342" s="20" t="str">
        <f t="shared" si="80"/>
        <v>Kikko Siyau 500ml x 30</v>
      </c>
      <c r="V342" s="22">
        <f t="shared" si="81"/>
        <v>31.8</v>
      </c>
      <c r="W342" t="str">
        <f t="shared" si="82"/>
        <v>Tradiciones Andinas 07/03/2025</v>
      </c>
      <c r="Z342">
        <f t="shared" si="83"/>
        <v>477</v>
      </c>
    </row>
    <row r="343" spans="1:26" hidden="1" x14ac:dyDescent="0.25">
      <c r="A343" s="2" t="s">
        <v>664</v>
      </c>
      <c r="B343" s="11" t="s">
        <v>1153</v>
      </c>
      <c r="C343" s="11" t="s">
        <v>4</v>
      </c>
      <c r="D343" s="11" t="s">
        <v>1154</v>
      </c>
      <c r="E343" s="11" t="s">
        <v>374</v>
      </c>
      <c r="F343" s="11" t="s">
        <v>422</v>
      </c>
      <c r="G343" s="12">
        <v>18</v>
      </c>
      <c r="H343" s="12">
        <v>31.8</v>
      </c>
      <c r="I343" s="12">
        <v>572.4</v>
      </c>
      <c r="J343" s="12">
        <v>80393.539999999964</v>
      </c>
      <c r="K343" s="20">
        <f t="shared" si="70"/>
        <v>8</v>
      </c>
      <c r="L343" s="20" t="str">
        <f t="shared" si="71"/>
        <v>Se repite 8 veces</v>
      </c>
      <c r="M343" s="20" t="str">
        <f t="shared" si="72"/>
        <v>Tradiciones Andinas-Kikko Siyau 500ml x 30</v>
      </c>
      <c r="N343" s="20">
        <f t="shared" si="73"/>
        <v>6</v>
      </c>
      <c r="O343" s="20" t="str">
        <f t="shared" si="74"/>
        <v>Se repite 6 veces en Tradiciones Andinas</v>
      </c>
      <c r="P343" s="20" t="str">
        <f t="shared" si="75"/>
        <v>Tradiciones Andinas-Kikko Siyau 500ml x 30-31.8</v>
      </c>
      <c r="Q343" s="20">
        <f t="shared" si="76"/>
        <v>3</v>
      </c>
      <c r="R343" s="20" t="str">
        <f t="shared" si="77"/>
        <v>Se repite 3 veces el precio de 31.8</v>
      </c>
      <c r="S343" s="20" t="str">
        <f t="shared" si="78"/>
        <v>El producto Kikko Siyau 500ml x 30 Se repite 6 veces en Tradiciones Andinas, Se repite 3 veces el precio de 31.8</v>
      </c>
      <c r="T343" s="20" t="str">
        <f t="shared" si="79"/>
        <v>Tradiciones Andinas</v>
      </c>
      <c r="U343" s="20" t="str">
        <f t="shared" si="80"/>
        <v>Kikko Siyau 500ml x 30</v>
      </c>
      <c r="V343" s="22">
        <f t="shared" si="81"/>
        <v>31.8</v>
      </c>
      <c r="W343" t="str">
        <f t="shared" si="82"/>
        <v>Tradiciones Andinas 09/24/2025</v>
      </c>
      <c r="Z343">
        <f t="shared" si="83"/>
        <v>572.4</v>
      </c>
    </row>
    <row r="344" spans="1:26" hidden="1" x14ac:dyDescent="0.25">
      <c r="A344" s="2" t="s">
        <v>664</v>
      </c>
      <c r="B344" s="11" t="s">
        <v>1207</v>
      </c>
      <c r="C344" s="11" t="s">
        <v>4</v>
      </c>
      <c r="D344" s="11" t="s">
        <v>1208</v>
      </c>
      <c r="E344" s="11" t="s">
        <v>374</v>
      </c>
      <c r="F344" s="11" t="s">
        <v>1209</v>
      </c>
      <c r="G344" s="12">
        <v>13</v>
      </c>
      <c r="H344" s="12">
        <v>31.8</v>
      </c>
      <c r="I344" s="12">
        <v>413.4</v>
      </c>
      <c r="J344" s="12">
        <v>106966.92999999992</v>
      </c>
      <c r="K344" s="20">
        <f t="shared" si="70"/>
        <v>8</v>
      </c>
      <c r="L344" s="20" t="str">
        <f t="shared" si="71"/>
        <v>Se repite 8 veces</v>
      </c>
      <c r="M344" s="20" t="str">
        <f t="shared" si="72"/>
        <v>Tradiciones Andinas-Kikko Siyau 500ml x 30</v>
      </c>
      <c r="N344" s="20">
        <f t="shared" si="73"/>
        <v>6</v>
      </c>
      <c r="O344" s="20" t="str">
        <f t="shared" si="74"/>
        <v>Se repite 6 veces en Tradiciones Andinas</v>
      </c>
      <c r="P344" s="20" t="str">
        <f t="shared" si="75"/>
        <v>Tradiciones Andinas-Kikko Siyau 500ml x 30-31.8</v>
      </c>
      <c r="Q344" s="20">
        <f t="shared" si="76"/>
        <v>3</v>
      </c>
      <c r="R344" s="20" t="str">
        <f t="shared" si="77"/>
        <v>Se repite 3 veces el precio de 31.8</v>
      </c>
      <c r="S344" s="20" t="str">
        <f t="shared" si="78"/>
        <v>El producto Kikko Siyau 500ml x 30 Se repite 6 veces en Tradiciones Andinas, Se repite 3 veces el precio de 31.8</v>
      </c>
      <c r="T344" s="20" t="str">
        <f t="shared" si="79"/>
        <v>Tradiciones Andinas</v>
      </c>
      <c r="U344" s="20" t="str">
        <f t="shared" si="80"/>
        <v>Kikko Siyau 500ml x 30</v>
      </c>
      <c r="V344" s="22">
        <f t="shared" si="81"/>
        <v>31.8</v>
      </c>
      <c r="W344" t="str">
        <f t="shared" si="82"/>
        <v>Tradiciones Andinas 11/28/2025</v>
      </c>
      <c r="Z344">
        <f t="shared" si="83"/>
        <v>413.40000000000003</v>
      </c>
    </row>
    <row r="345" spans="1:26" hidden="1" x14ac:dyDescent="0.25">
      <c r="A345" s="2" t="s">
        <v>272</v>
      </c>
      <c r="B345" s="11" t="s">
        <v>572</v>
      </c>
      <c r="C345" s="11" t="s">
        <v>4</v>
      </c>
      <c r="D345" s="11" t="s">
        <v>573</v>
      </c>
      <c r="E345" s="11" t="s">
        <v>587</v>
      </c>
      <c r="F345" s="11" t="s">
        <v>588</v>
      </c>
      <c r="G345" s="12">
        <v>4</v>
      </c>
      <c r="H345" s="12">
        <v>11.25</v>
      </c>
      <c r="I345" s="12">
        <v>45</v>
      </c>
      <c r="J345" s="12">
        <v>28414.5</v>
      </c>
      <c r="K345" s="20">
        <f t="shared" si="70"/>
        <v>2</v>
      </c>
      <c r="L345" s="20" t="str">
        <f t="shared" si="71"/>
        <v>Se repite 2 veces</v>
      </c>
      <c r="M345" s="20" t="str">
        <f t="shared" si="72"/>
        <v>Peru Chef-Kikko Siyau 5L</v>
      </c>
      <c r="N345" s="20">
        <f t="shared" si="73"/>
        <v>2</v>
      </c>
      <c r="O345" s="20" t="str">
        <f t="shared" si="74"/>
        <v>Se repite 2 veces en Peru Chef</v>
      </c>
      <c r="P345" s="20" t="str">
        <f t="shared" si="75"/>
        <v>Peru Chef-Kikko Siyau 5L-11.25</v>
      </c>
      <c r="Q345" s="20">
        <f t="shared" si="76"/>
        <v>1</v>
      </c>
      <c r="R345" s="20" t="str">
        <f t="shared" si="77"/>
        <v>No se repite</v>
      </c>
      <c r="S345" s="20" t="str">
        <f t="shared" si="78"/>
        <v>El producto Kikko Siyau 5L Se repite 2 veces en Peru Chef Una vez con el precio 11.25</v>
      </c>
      <c r="T345" s="20" t="str">
        <f t="shared" si="79"/>
        <v>Peru Chef</v>
      </c>
      <c r="U345" s="20" t="str">
        <f t="shared" si="80"/>
        <v>Kikko Siyau 5L</v>
      </c>
      <c r="V345" s="22">
        <f t="shared" si="81"/>
        <v>11.25</v>
      </c>
      <c r="W345" t="str">
        <f t="shared" si="82"/>
        <v>Peru Chef 10/09/2025</v>
      </c>
      <c r="Z345">
        <f t="shared" si="83"/>
        <v>45</v>
      </c>
    </row>
    <row r="346" spans="1:26" hidden="1" x14ac:dyDescent="0.25">
      <c r="A346" s="2" t="s">
        <v>272</v>
      </c>
      <c r="B346" s="11" t="s">
        <v>590</v>
      </c>
      <c r="C346" s="11" t="s">
        <v>4</v>
      </c>
      <c r="D346" s="11" t="s">
        <v>591</v>
      </c>
      <c r="E346" s="11" t="s">
        <v>587</v>
      </c>
      <c r="F346" s="11" t="s">
        <v>588</v>
      </c>
      <c r="G346" s="12">
        <v>4</v>
      </c>
      <c r="H346" s="12">
        <v>10.125</v>
      </c>
      <c r="I346" s="12">
        <v>40.5</v>
      </c>
      <c r="J346" s="12">
        <v>30757.9</v>
      </c>
      <c r="K346" s="20">
        <f t="shared" si="70"/>
        <v>2</v>
      </c>
      <c r="L346" s="20" t="str">
        <f t="shared" si="71"/>
        <v>Se repite 2 veces</v>
      </c>
      <c r="M346" s="20" t="str">
        <f t="shared" si="72"/>
        <v>Peru Chef-Kikko Siyau 5L</v>
      </c>
      <c r="N346" s="20">
        <f t="shared" si="73"/>
        <v>2</v>
      </c>
      <c r="O346" s="20" t="str">
        <f t="shared" si="74"/>
        <v>Se repite 2 veces en Peru Chef</v>
      </c>
      <c r="P346" s="20" t="str">
        <f t="shared" si="75"/>
        <v>Peru Chef-Kikko Siyau 5L-10.125</v>
      </c>
      <c r="Q346" s="20">
        <f t="shared" si="76"/>
        <v>1</v>
      </c>
      <c r="R346" s="20" t="str">
        <f t="shared" si="77"/>
        <v>No se repite</v>
      </c>
      <c r="S346" s="20" t="str">
        <f t="shared" si="78"/>
        <v>El producto Kikko Siyau 5L Se repite 2 veces en Peru Chef Una vez con el precio 10.125</v>
      </c>
      <c r="T346" s="20" t="str">
        <f t="shared" si="79"/>
        <v>Peru Chef</v>
      </c>
      <c r="U346" s="20" t="str">
        <f t="shared" si="80"/>
        <v>Kikko Siyau 5L</v>
      </c>
      <c r="V346" s="22">
        <f t="shared" si="81"/>
        <v>10.125</v>
      </c>
      <c r="W346" t="str">
        <f t="shared" si="82"/>
        <v>Peru Chef 10/28/2025</v>
      </c>
      <c r="Z346">
        <f t="shared" si="83"/>
        <v>40.5</v>
      </c>
    </row>
    <row r="347" spans="1:26" hidden="1" x14ac:dyDescent="0.25">
      <c r="A347" s="2" t="s">
        <v>272</v>
      </c>
      <c r="B347" s="11" t="s">
        <v>273</v>
      </c>
      <c r="C347" s="11" t="s">
        <v>4</v>
      </c>
      <c r="D347" s="11" t="s">
        <v>5</v>
      </c>
      <c r="E347" s="11" t="s">
        <v>381</v>
      </c>
      <c r="F347" s="11" t="s">
        <v>381</v>
      </c>
      <c r="G347" s="12">
        <v>1</v>
      </c>
      <c r="H347" s="12">
        <v>115</v>
      </c>
      <c r="I347" s="12">
        <v>115</v>
      </c>
      <c r="J347" s="12">
        <v>1851.6999999999998</v>
      </c>
      <c r="K347" s="20">
        <f t="shared" si="70"/>
        <v>4</v>
      </c>
      <c r="L347" s="20" t="str">
        <f t="shared" si="71"/>
        <v>Se repite 4 veces</v>
      </c>
      <c r="M347" s="20" t="str">
        <f t="shared" si="72"/>
        <v>Peru Chef-KIRMA - Café Instantaneo - Instant Coffee</v>
      </c>
      <c r="N347" s="20">
        <f t="shared" si="73"/>
        <v>4</v>
      </c>
      <c r="O347" s="20" t="str">
        <f t="shared" si="74"/>
        <v>Se repite 4 veces en Peru Chef</v>
      </c>
      <c r="P347" s="20" t="str">
        <f t="shared" si="75"/>
        <v>Peru Chef-KIRMA - Café Instantaneo - Instant Coffee-115</v>
      </c>
      <c r="Q347" s="20">
        <f t="shared" si="76"/>
        <v>3</v>
      </c>
      <c r="R347" s="20" t="str">
        <f t="shared" si="77"/>
        <v>Se repite 3 veces el precio de 115</v>
      </c>
      <c r="S347" s="20" t="str">
        <f t="shared" si="78"/>
        <v>El producto KIRMA - Café Instantaneo - Instant Coffee Se repite 4 veces en Peru Chef, Se repite 3 veces el precio de 115</v>
      </c>
      <c r="T347" s="20" t="str">
        <f t="shared" si="79"/>
        <v>Peru Chef</v>
      </c>
      <c r="U347" s="20" t="str">
        <f t="shared" si="80"/>
        <v>KIRMA - Café Instantaneo - Instant Coffee</v>
      </c>
      <c r="V347" s="22">
        <f t="shared" si="81"/>
        <v>115</v>
      </c>
      <c r="W347" t="str">
        <f t="shared" si="82"/>
        <v>Peru Chef 03/26/2025</v>
      </c>
      <c r="Z347">
        <f t="shared" si="83"/>
        <v>115</v>
      </c>
    </row>
    <row r="348" spans="1:26" hidden="1" x14ac:dyDescent="0.25">
      <c r="A348" s="2" t="s">
        <v>272</v>
      </c>
      <c r="B348" s="11" t="s">
        <v>398</v>
      </c>
      <c r="C348" s="11" t="s">
        <v>4</v>
      </c>
      <c r="D348" s="11" t="s">
        <v>399</v>
      </c>
      <c r="E348" s="11" t="s">
        <v>381</v>
      </c>
      <c r="F348" s="11" t="s">
        <v>381</v>
      </c>
      <c r="G348" s="12">
        <v>1</v>
      </c>
      <c r="H348" s="12">
        <v>115</v>
      </c>
      <c r="I348" s="12">
        <v>115</v>
      </c>
      <c r="J348" s="12">
        <v>3877.5</v>
      </c>
      <c r="K348" s="20">
        <f t="shared" si="70"/>
        <v>4</v>
      </c>
      <c r="L348" s="20" t="str">
        <f t="shared" si="71"/>
        <v>Se repite 4 veces</v>
      </c>
      <c r="M348" s="20" t="str">
        <f t="shared" si="72"/>
        <v>Peru Chef-KIRMA - Café Instantaneo - Instant Coffee</v>
      </c>
      <c r="N348" s="20">
        <f t="shared" si="73"/>
        <v>4</v>
      </c>
      <c r="O348" s="20" t="str">
        <f t="shared" si="74"/>
        <v>Se repite 4 veces en Peru Chef</v>
      </c>
      <c r="P348" s="20" t="str">
        <f t="shared" si="75"/>
        <v>Peru Chef-KIRMA - Café Instantaneo - Instant Coffee-115</v>
      </c>
      <c r="Q348" s="20">
        <f t="shared" si="76"/>
        <v>3</v>
      </c>
      <c r="R348" s="20" t="str">
        <f t="shared" si="77"/>
        <v>Se repite 3 veces el precio de 115</v>
      </c>
      <c r="S348" s="20" t="str">
        <f t="shared" si="78"/>
        <v>El producto KIRMA - Café Instantaneo - Instant Coffee Se repite 4 veces en Peru Chef, Se repite 3 veces el precio de 115</v>
      </c>
      <c r="T348" s="20" t="str">
        <f t="shared" si="79"/>
        <v>Peru Chef</v>
      </c>
      <c r="U348" s="20" t="str">
        <f t="shared" si="80"/>
        <v>KIRMA - Café Instantaneo - Instant Coffee</v>
      </c>
      <c r="V348" s="22">
        <f t="shared" si="81"/>
        <v>115</v>
      </c>
      <c r="W348" t="str">
        <f t="shared" si="82"/>
        <v>Peru Chef 04/10/2025</v>
      </c>
      <c r="Z348">
        <f t="shared" si="83"/>
        <v>115</v>
      </c>
    </row>
    <row r="349" spans="1:26" hidden="1" x14ac:dyDescent="0.25">
      <c r="A349" s="2" t="s">
        <v>272</v>
      </c>
      <c r="B349" s="11" t="s">
        <v>408</v>
      </c>
      <c r="C349" s="11" t="s">
        <v>4</v>
      </c>
      <c r="D349" s="11" t="s">
        <v>409</v>
      </c>
      <c r="E349" s="11" t="s">
        <v>381</v>
      </c>
      <c r="F349" s="11" t="s">
        <v>381</v>
      </c>
      <c r="G349" s="12">
        <v>1</v>
      </c>
      <c r="H349" s="12">
        <v>115</v>
      </c>
      <c r="I349" s="12">
        <v>115</v>
      </c>
      <c r="J349" s="12">
        <v>5049.1000000000004</v>
      </c>
      <c r="K349" s="20">
        <f t="shared" si="70"/>
        <v>4</v>
      </c>
      <c r="L349" s="20" t="str">
        <f t="shared" si="71"/>
        <v>Se repite 4 veces</v>
      </c>
      <c r="M349" s="20" t="str">
        <f t="shared" si="72"/>
        <v>Peru Chef-KIRMA - Café Instantaneo - Instant Coffee</v>
      </c>
      <c r="N349" s="20">
        <f t="shared" si="73"/>
        <v>4</v>
      </c>
      <c r="O349" s="20" t="str">
        <f t="shared" si="74"/>
        <v>Se repite 4 veces en Peru Chef</v>
      </c>
      <c r="P349" s="20" t="str">
        <f t="shared" si="75"/>
        <v>Peru Chef-KIRMA - Café Instantaneo - Instant Coffee-115</v>
      </c>
      <c r="Q349" s="20">
        <f t="shared" si="76"/>
        <v>3</v>
      </c>
      <c r="R349" s="20" t="str">
        <f t="shared" si="77"/>
        <v>Se repite 3 veces el precio de 115</v>
      </c>
      <c r="S349" s="20" t="str">
        <f t="shared" si="78"/>
        <v>El producto KIRMA - Café Instantaneo - Instant Coffee Se repite 4 veces en Peru Chef, Se repite 3 veces el precio de 115</v>
      </c>
      <c r="T349" s="20" t="str">
        <f t="shared" si="79"/>
        <v>Peru Chef</v>
      </c>
      <c r="U349" s="20" t="str">
        <f t="shared" si="80"/>
        <v>KIRMA - Café Instantaneo - Instant Coffee</v>
      </c>
      <c r="V349" s="22">
        <f t="shared" si="81"/>
        <v>115</v>
      </c>
      <c r="W349" t="str">
        <f t="shared" si="82"/>
        <v>Peru Chef 04/13/2025</v>
      </c>
      <c r="Z349">
        <f t="shared" si="83"/>
        <v>115</v>
      </c>
    </row>
    <row r="350" spans="1:26" hidden="1" x14ac:dyDescent="0.25">
      <c r="A350" s="2" t="s">
        <v>272</v>
      </c>
      <c r="B350" s="11" t="s">
        <v>471</v>
      </c>
      <c r="C350" s="11" t="s">
        <v>4</v>
      </c>
      <c r="D350" s="11" t="s">
        <v>472</v>
      </c>
      <c r="E350" s="11" t="s">
        <v>381</v>
      </c>
      <c r="F350" s="11" t="s">
        <v>381</v>
      </c>
      <c r="G350" s="12">
        <v>3</v>
      </c>
      <c r="H350" s="12">
        <v>125</v>
      </c>
      <c r="I350" s="12">
        <v>375</v>
      </c>
      <c r="J350" s="12">
        <v>14190.5</v>
      </c>
      <c r="K350" s="20">
        <f t="shared" si="70"/>
        <v>4</v>
      </c>
      <c r="L350" s="20" t="str">
        <f t="shared" si="71"/>
        <v>Se repite 4 veces</v>
      </c>
      <c r="M350" s="20" t="str">
        <f t="shared" si="72"/>
        <v>Peru Chef-KIRMA - Café Instantaneo - Instant Coffee</v>
      </c>
      <c r="N350" s="20">
        <f t="shared" si="73"/>
        <v>4</v>
      </c>
      <c r="O350" s="20" t="str">
        <f t="shared" si="74"/>
        <v>Se repite 4 veces en Peru Chef</v>
      </c>
      <c r="P350" s="20" t="str">
        <f t="shared" si="75"/>
        <v>Peru Chef-KIRMA - Café Instantaneo - Instant Coffee-125</v>
      </c>
      <c r="Q350" s="20">
        <f t="shared" si="76"/>
        <v>1</v>
      </c>
      <c r="R350" s="20" t="str">
        <f t="shared" si="77"/>
        <v>No se repite</v>
      </c>
      <c r="S350" s="20" t="str">
        <f t="shared" si="78"/>
        <v>El producto KIRMA - Café Instantaneo - Instant Coffee Se repite 4 veces en Peru Chef Una vez con el precio 125</v>
      </c>
      <c r="T350" s="20" t="str">
        <f t="shared" si="79"/>
        <v>Peru Chef</v>
      </c>
      <c r="U350" s="20" t="str">
        <f t="shared" si="80"/>
        <v>KIRMA - Café Instantaneo - Instant Coffee</v>
      </c>
      <c r="V350" s="22">
        <f t="shared" si="81"/>
        <v>125</v>
      </c>
      <c r="W350" t="str">
        <f t="shared" si="82"/>
        <v>Peru Chef 08/11/2025</v>
      </c>
      <c r="Z350">
        <f t="shared" si="83"/>
        <v>375</v>
      </c>
    </row>
    <row r="351" spans="1:26" hidden="1" x14ac:dyDescent="0.25">
      <c r="A351" s="2" t="s">
        <v>201</v>
      </c>
      <c r="B351" s="11" t="s">
        <v>19</v>
      </c>
      <c r="C351" s="11" t="s">
        <v>4</v>
      </c>
      <c r="D351" s="11" t="s">
        <v>5</v>
      </c>
      <c r="E351" s="11" t="s">
        <v>221</v>
      </c>
      <c r="F351" s="11" t="s">
        <v>222</v>
      </c>
      <c r="G351" s="12">
        <v>50</v>
      </c>
      <c r="H351" s="12">
        <v>16</v>
      </c>
      <c r="I351" s="12">
        <v>800</v>
      </c>
      <c r="J351" s="12">
        <v>30976.76</v>
      </c>
      <c r="K351" s="20">
        <f t="shared" si="70"/>
        <v>2</v>
      </c>
      <c r="L351" s="20" t="str">
        <f t="shared" si="71"/>
        <v>Se repite 2 veces</v>
      </c>
      <c r="M351" s="20" t="str">
        <f t="shared" si="72"/>
        <v>Continental Food and Beverage, inc-Kola Inglesa 12oz x 24</v>
      </c>
      <c r="N351" s="20">
        <f t="shared" si="73"/>
        <v>2</v>
      </c>
      <c r="O351" s="20" t="str">
        <f t="shared" si="74"/>
        <v>Se repite 2 veces en Continental Food and Beverage, inc</v>
      </c>
      <c r="P351" s="20" t="str">
        <f t="shared" si="75"/>
        <v>Continental Food and Beverage, inc-Kola Inglesa 12oz x 24-16</v>
      </c>
      <c r="Q351" s="20">
        <f t="shared" si="76"/>
        <v>2</v>
      </c>
      <c r="R351" s="20" t="str">
        <f t="shared" si="77"/>
        <v>Se repite 2 veces el precio de 16</v>
      </c>
      <c r="S351" s="20" t="str">
        <f t="shared" si="78"/>
        <v>El producto Kola Inglesa 12oz x 24 Se repite 2 veces en Continental Food and Beverage, inc, Se repite 2 veces el precio de 16</v>
      </c>
      <c r="T351" s="20" t="str">
        <f t="shared" si="79"/>
        <v>Continental Food and Beverage, inc</v>
      </c>
      <c r="U351" s="20" t="str">
        <f t="shared" si="80"/>
        <v>Kola Inglesa 12oz x 24</v>
      </c>
      <c r="V351" s="22">
        <f t="shared" si="81"/>
        <v>16</v>
      </c>
      <c r="W351" t="str">
        <f t="shared" si="82"/>
        <v>Continental Food and Beverage, inc 04/28/2025</v>
      </c>
      <c r="Z351">
        <f t="shared" si="83"/>
        <v>800</v>
      </c>
    </row>
    <row r="352" spans="1:26" hidden="1" x14ac:dyDescent="0.25">
      <c r="A352" s="2" t="s">
        <v>201</v>
      </c>
      <c r="B352" s="11" t="s">
        <v>227</v>
      </c>
      <c r="C352" s="11" t="s">
        <v>4</v>
      </c>
      <c r="D352" s="11" t="s">
        <v>228</v>
      </c>
      <c r="E352" s="11" t="s">
        <v>221</v>
      </c>
      <c r="F352" s="11" t="s">
        <v>222</v>
      </c>
      <c r="G352" s="12">
        <v>50</v>
      </c>
      <c r="H352" s="12">
        <v>16</v>
      </c>
      <c r="I352" s="12">
        <v>800</v>
      </c>
      <c r="J352" s="12">
        <v>52957.01999999999</v>
      </c>
      <c r="K352" s="20">
        <f t="shared" si="70"/>
        <v>2</v>
      </c>
      <c r="L352" s="20" t="str">
        <f t="shared" si="71"/>
        <v>Se repite 2 veces</v>
      </c>
      <c r="M352" s="20" t="str">
        <f t="shared" si="72"/>
        <v>Continental Food and Beverage, inc-Kola Inglesa 12oz x 24</v>
      </c>
      <c r="N352" s="20">
        <f t="shared" si="73"/>
        <v>2</v>
      </c>
      <c r="O352" s="20" t="str">
        <f t="shared" si="74"/>
        <v>Se repite 2 veces en Continental Food and Beverage, inc</v>
      </c>
      <c r="P352" s="20" t="str">
        <f t="shared" si="75"/>
        <v>Continental Food and Beverage, inc-Kola Inglesa 12oz x 24-16</v>
      </c>
      <c r="Q352" s="20">
        <f t="shared" si="76"/>
        <v>2</v>
      </c>
      <c r="R352" s="20" t="str">
        <f t="shared" si="77"/>
        <v>Se repite 2 veces el precio de 16</v>
      </c>
      <c r="S352" s="20" t="str">
        <f t="shared" si="78"/>
        <v>El producto Kola Inglesa 12oz x 24 Se repite 2 veces en Continental Food and Beverage, inc, Se repite 2 veces el precio de 16</v>
      </c>
      <c r="T352" s="20" t="str">
        <f t="shared" si="79"/>
        <v>Continental Food and Beverage, inc</v>
      </c>
      <c r="U352" s="20" t="str">
        <f t="shared" si="80"/>
        <v>Kola Inglesa 12oz x 24</v>
      </c>
      <c r="V352" s="22">
        <f t="shared" si="81"/>
        <v>16</v>
      </c>
      <c r="W352" t="str">
        <f t="shared" si="82"/>
        <v>Continental Food and Beverage, inc 08/21/2025</v>
      </c>
      <c r="Z352">
        <f t="shared" si="83"/>
        <v>800</v>
      </c>
    </row>
    <row r="353" spans="1:26" hidden="1" x14ac:dyDescent="0.25">
      <c r="A353" s="2" t="s">
        <v>257</v>
      </c>
      <c r="B353" s="11" t="s">
        <v>258</v>
      </c>
      <c r="C353" s="11" t="s">
        <v>4</v>
      </c>
      <c r="D353" s="11" t="s">
        <v>259</v>
      </c>
      <c r="E353" s="11" t="s">
        <v>261</v>
      </c>
      <c r="F353" s="11" t="s">
        <v>261</v>
      </c>
      <c r="G353" s="12">
        <v>12</v>
      </c>
      <c r="H353" s="12">
        <v>30</v>
      </c>
      <c r="I353" s="12">
        <v>360</v>
      </c>
      <c r="J353" s="12">
        <v>1800</v>
      </c>
      <c r="K353" s="20">
        <f t="shared" si="70"/>
        <v>1</v>
      </c>
      <c r="L353" s="20" t="str">
        <f t="shared" si="71"/>
        <v>No se repite</v>
      </c>
      <c r="M353" s="20" t="str">
        <f t="shared" si="72"/>
        <v>Lam's Foods Inc.-Lam's Chifles dulce en tiras 2.1oz x 24</v>
      </c>
      <c r="N353" s="20">
        <f t="shared" si="73"/>
        <v>1</v>
      </c>
      <c r="O353" s="20" t="str">
        <f t="shared" si="74"/>
        <v>No se repite en proveedor</v>
      </c>
      <c r="P353" s="20" t="str">
        <f t="shared" si="75"/>
        <v>Lam's Foods Inc.-Lam's Chifles dulce en tiras 2.1oz x 24-30</v>
      </c>
      <c r="Q353" s="20">
        <f t="shared" si="76"/>
        <v>1</v>
      </c>
      <c r="R353" s="20" t="str">
        <f t="shared" si="77"/>
        <v>No se repite</v>
      </c>
      <c r="S353" s="20" t="str">
        <f t="shared" si="78"/>
        <v>El producto Lam's Chifles dulce en tiras 2.1oz x 24 No se repite en proveedor Una vez con el precio 30</v>
      </c>
      <c r="T353" s="20" t="str">
        <f t="shared" si="79"/>
        <v>Lam's Foods Inc.</v>
      </c>
      <c r="U353" s="20" t="str">
        <f t="shared" si="80"/>
        <v>Lam's Chifles dulce en tiras 2.1oz x 24</v>
      </c>
      <c r="V353" s="22">
        <f t="shared" si="81"/>
        <v>30</v>
      </c>
      <c r="W353" t="str">
        <f t="shared" si="82"/>
        <v>Lam's Foods Inc. 10/03/2025</v>
      </c>
      <c r="Z353">
        <f t="shared" si="83"/>
        <v>360</v>
      </c>
    </row>
    <row r="354" spans="1:26" hidden="1" x14ac:dyDescent="0.25">
      <c r="A354" s="2" t="s">
        <v>257</v>
      </c>
      <c r="B354" s="11" t="s">
        <v>258</v>
      </c>
      <c r="C354" s="11" t="s">
        <v>4</v>
      </c>
      <c r="D354" s="11" t="s">
        <v>259</v>
      </c>
      <c r="E354" s="11" t="s">
        <v>260</v>
      </c>
      <c r="F354" s="11" t="s">
        <v>260</v>
      </c>
      <c r="G354" s="12">
        <v>48</v>
      </c>
      <c r="H354" s="12">
        <v>30</v>
      </c>
      <c r="I354" s="12">
        <v>1440</v>
      </c>
      <c r="J354" s="12">
        <v>1440</v>
      </c>
      <c r="K354" s="20">
        <f t="shared" si="70"/>
        <v>1</v>
      </c>
      <c r="L354" s="20" t="str">
        <f t="shared" si="71"/>
        <v>No se repite</v>
      </c>
      <c r="M354" s="20" t="str">
        <f t="shared" si="72"/>
        <v>Lam's Foods Inc.-Lam's Chifles salado en tiras 2.5oz x 24</v>
      </c>
      <c r="N354" s="20">
        <f t="shared" si="73"/>
        <v>1</v>
      </c>
      <c r="O354" s="20" t="str">
        <f t="shared" si="74"/>
        <v>No se repite en proveedor</v>
      </c>
      <c r="P354" s="20" t="str">
        <f t="shared" si="75"/>
        <v>Lam's Foods Inc.-Lam's Chifles salado en tiras 2.5oz x 24-30</v>
      </c>
      <c r="Q354" s="20">
        <f t="shared" si="76"/>
        <v>1</v>
      </c>
      <c r="R354" s="20" t="str">
        <f t="shared" si="77"/>
        <v>No se repite</v>
      </c>
      <c r="S354" s="20" t="str">
        <f t="shared" si="78"/>
        <v>El producto Lam's Chifles salado en tiras 2.5oz x 24 No se repite en proveedor Una vez con el precio 30</v>
      </c>
      <c r="T354" s="20" t="str">
        <f t="shared" si="79"/>
        <v>Lam's Foods Inc.</v>
      </c>
      <c r="U354" s="20" t="str">
        <f t="shared" si="80"/>
        <v>Lam's Chifles salado en tiras 2.5oz x 24</v>
      </c>
      <c r="V354" s="22">
        <f t="shared" si="81"/>
        <v>30</v>
      </c>
      <c r="W354" t="str">
        <f t="shared" si="82"/>
        <v>Lam's Foods Inc. 10/03/2025</v>
      </c>
      <c r="Z354">
        <f t="shared" si="83"/>
        <v>1440</v>
      </c>
    </row>
    <row r="355" spans="1:26" hidden="1" x14ac:dyDescent="0.25">
      <c r="A355" s="2" t="s">
        <v>257</v>
      </c>
      <c r="B355" s="11" t="s">
        <v>258</v>
      </c>
      <c r="C355" s="11" t="s">
        <v>4</v>
      </c>
      <c r="D355" s="11" t="s">
        <v>259</v>
      </c>
      <c r="E355" s="11" t="s">
        <v>264</v>
      </c>
      <c r="F355" s="11" t="s">
        <v>264</v>
      </c>
      <c r="G355" s="12">
        <v>4</v>
      </c>
      <c r="H355" s="12">
        <v>36</v>
      </c>
      <c r="I355" s="12">
        <v>144</v>
      </c>
      <c r="J355" s="12">
        <v>2232</v>
      </c>
      <c r="K355" s="20">
        <f t="shared" si="70"/>
        <v>1</v>
      </c>
      <c r="L355" s="20" t="str">
        <f t="shared" si="71"/>
        <v>No se repite</v>
      </c>
      <c r="M355" s="20" t="str">
        <f t="shared" si="72"/>
        <v>Lam's Foods Inc.-Lam's Patacones / Tostones Dulce 4oz x 24</v>
      </c>
      <c r="N355" s="20">
        <f t="shared" si="73"/>
        <v>1</v>
      </c>
      <c r="O355" s="20" t="str">
        <f t="shared" si="74"/>
        <v>No se repite en proveedor</v>
      </c>
      <c r="P355" s="20" t="str">
        <f t="shared" si="75"/>
        <v>Lam's Foods Inc.-Lam's Patacones / Tostones Dulce 4oz x 24-36</v>
      </c>
      <c r="Q355" s="20">
        <f t="shared" si="76"/>
        <v>1</v>
      </c>
      <c r="R355" s="20" t="str">
        <f t="shared" si="77"/>
        <v>No se repite</v>
      </c>
      <c r="S355" s="20" t="str">
        <f t="shared" si="78"/>
        <v>El producto Lam's Patacones / Tostones Dulce 4oz x 24 No se repite en proveedor Una vez con el precio 36</v>
      </c>
      <c r="T355" s="20" t="str">
        <f t="shared" si="79"/>
        <v>Lam's Foods Inc.</v>
      </c>
      <c r="U355" s="20" t="str">
        <f t="shared" si="80"/>
        <v>Lam's Patacones / Tostones Dulce 4oz x 24</v>
      </c>
      <c r="V355" s="22">
        <f t="shared" si="81"/>
        <v>36</v>
      </c>
      <c r="W355" t="str">
        <f t="shared" si="82"/>
        <v>Lam's Foods Inc. 10/03/2025</v>
      </c>
      <c r="Z355">
        <f t="shared" si="83"/>
        <v>144</v>
      </c>
    </row>
    <row r="356" spans="1:26" hidden="1" x14ac:dyDescent="0.25">
      <c r="A356" s="2" t="s">
        <v>257</v>
      </c>
      <c r="B356" s="11" t="s">
        <v>258</v>
      </c>
      <c r="C356" s="11" t="s">
        <v>4</v>
      </c>
      <c r="D356" s="11" t="s">
        <v>259</v>
      </c>
      <c r="E356" s="11" t="s">
        <v>262</v>
      </c>
      <c r="F356" s="11" t="s">
        <v>262</v>
      </c>
      <c r="G356" s="12">
        <v>4</v>
      </c>
      <c r="H356" s="12">
        <v>36</v>
      </c>
      <c r="I356" s="12">
        <v>144</v>
      </c>
      <c r="J356" s="12">
        <v>1944</v>
      </c>
      <c r="K356" s="20">
        <f t="shared" si="70"/>
        <v>1</v>
      </c>
      <c r="L356" s="20" t="str">
        <f t="shared" si="71"/>
        <v>No se repite</v>
      </c>
      <c r="M356" s="20" t="str">
        <f t="shared" si="72"/>
        <v>Lam's Foods Inc.-Lam's Patacones / Tostones picante 4oz x 24</v>
      </c>
      <c r="N356" s="20">
        <f t="shared" si="73"/>
        <v>1</v>
      </c>
      <c r="O356" s="20" t="str">
        <f t="shared" si="74"/>
        <v>No se repite en proveedor</v>
      </c>
      <c r="P356" s="20" t="str">
        <f t="shared" si="75"/>
        <v>Lam's Foods Inc.-Lam's Patacones / Tostones picante 4oz x 24-36</v>
      </c>
      <c r="Q356" s="20">
        <f t="shared" si="76"/>
        <v>1</v>
      </c>
      <c r="R356" s="20" t="str">
        <f t="shared" si="77"/>
        <v>No se repite</v>
      </c>
      <c r="S356" s="20" t="str">
        <f t="shared" si="78"/>
        <v>El producto Lam's Patacones / Tostones picante 4oz x 24 No se repite en proveedor Una vez con el precio 36</v>
      </c>
      <c r="T356" s="20" t="str">
        <f t="shared" si="79"/>
        <v>Lam's Foods Inc.</v>
      </c>
      <c r="U356" s="20" t="str">
        <f t="shared" si="80"/>
        <v>Lam's Patacones / Tostones picante 4oz x 24</v>
      </c>
      <c r="V356" s="22">
        <f t="shared" si="81"/>
        <v>36</v>
      </c>
      <c r="W356" t="str">
        <f t="shared" si="82"/>
        <v>Lam's Foods Inc. 10/03/2025</v>
      </c>
      <c r="Z356">
        <f t="shared" si="83"/>
        <v>144</v>
      </c>
    </row>
    <row r="357" spans="1:26" hidden="1" x14ac:dyDescent="0.25">
      <c r="A357" s="2" t="s">
        <v>257</v>
      </c>
      <c r="B357" s="11" t="s">
        <v>258</v>
      </c>
      <c r="C357" s="11" t="s">
        <v>4</v>
      </c>
      <c r="D357" s="11" t="s">
        <v>259</v>
      </c>
      <c r="E357" s="11" t="s">
        <v>263</v>
      </c>
      <c r="F357" s="11" t="s">
        <v>263</v>
      </c>
      <c r="G357" s="12">
        <v>4</v>
      </c>
      <c r="H357" s="12">
        <v>36</v>
      </c>
      <c r="I357" s="12">
        <v>144</v>
      </c>
      <c r="J357" s="12">
        <v>2088</v>
      </c>
      <c r="K357" s="20">
        <f t="shared" si="70"/>
        <v>1</v>
      </c>
      <c r="L357" s="20" t="str">
        <f t="shared" si="71"/>
        <v>No se repite</v>
      </c>
      <c r="M357" s="20" t="str">
        <f t="shared" si="72"/>
        <v>Lam's Foods Inc.-Lam's Patacones / Tostones Regular 4oz x 24</v>
      </c>
      <c r="N357" s="20">
        <f t="shared" si="73"/>
        <v>1</v>
      </c>
      <c r="O357" s="20" t="str">
        <f t="shared" si="74"/>
        <v>No se repite en proveedor</v>
      </c>
      <c r="P357" s="20" t="str">
        <f t="shared" si="75"/>
        <v>Lam's Foods Inc.-Lam's Patacones / Tostones Regular 4oz x 24-36</v>
      </c>
      <c r="Q357" s="20">
        <f t="shared" si="76"/>
        <v>1</v>
      </c>
      <c r="R357" s="20" t="str">
        <f t="shared" si="77"/>
        <v>No se repite</v>
      </c>
      <c r="S357" s="20" t="str">
        <f t="shared" si="78"/>
        <v>El producto Lam's Patacones / Tostones Regular 4oz x 24 No se repite en proveedor Una vez con el precio 36</v>
      </c>
      <c r="T357" s="20" t="str">
        <f t="shared" si="79"/>
        <v>Lam's Foods Inc.</v>
      </c>
      <c r="U357" s="20" t="str">
        <f t="shared" si="80"/>
        <v>Lam's Patacones / Tostones Regular 4oz x 24</v>
      </c>
      <c r="V357" s="22">
        <f t="shared" si="81"/>
        <v>36</v>
      </c>
      <c r="W357" t="str">
        <f t="shared" si="82"/>
        <v>Lam's Foods Inc. 10/03/2025</v>
      </c>
      <c r="Z357">
        <f t="shared" si="83"/>
        <v>144</v>
      </c>
    </row>
    <row r="358" spans="1:26" hidden="1" x14ac:dyDescent="0.25">
      <c r="A358" s="2" t="s">
        <v>18</v>
      </c>
      <c r="B358" s="11" t="s">
        <v>19</v>
      </c>
      <c r="C358" s="11" t="s">
        <v>4</v>
      </c>
      <c r="D358" s="11" t="s">
        <v>20</v>
      </c>
      <c r="E358" s="11" t="s">
        <v>54</v>
      </c>
      <c r="F358" s="11" t="s">
        <v>55</v>
      </c>
      <c r="G358" s="12">
        <v>2</v>
      </c>
      <c r="H358" s="12">
        <v>25.5</v>
      </c>
      <c r="I358" s="12">
        <v>51</v>
      </c>
      <c r="J358" s="12">
        <v>3092.3</v>
      </c>
      <c r="K358" s="20">
        <f t="shared" si="70"/>
        <v>1</v>
      </c>
      <c r="L358" s="20" t="str">
        <f t="shared" si="71"/>
        <v>No se repite</v>
      </c>
      <c r="M358" s="20" t="str">
        <f t="shared" si="72"/>
        <v>Belmont International Trading Corp-Leche condensada BONLE lata 14oz x 24</v>
      </c>
      <c r="N358" s="20">
        <f t="shared" si="73"/>
        <v>1</v>
      </c>
      <c r="O358" s="20" t="str">
        <f t="shared" si="74"/>
        <v>No se repite en proveedor</v>
      </c>
      <c r="P358" s="20" t="str">
        <f t="shared" si="75"/>
        <v>Belmont International Trading Corp-Leche condensada BONLE lata 14oz x 24-25.5</v>
      </c>
      <c r="Q358" s="20">
        <f t="shared" si="76"/>
        <v>1</v>
      </c>
      <c r="R358" s="20" t="str">
        <f t="shared" si="77"/>
        <v>No se repite</v>
      </c>
      <c r="S358" s="20" t="str">
        <f t="shared" si="78"/>
        <v>El producto Leche condensada BONLE lata 14oz x 24 No se repite en proveedor Una vez con el precio 25.5</v>
      </c>
      <c r="T358" s="20" t="str">
        <f t="shared" si="79"/>
        <v>Belmont International Trading Corp</v>
      </c>
      <c r="U358" s="20" t="str">
        <f t="shared" si="80"/>
        <v>Leche condensada BONLE lata 14oz x 24</v>
      </c>
      <c r="V358" s="22">
        <f t="shared" si="81"/>
        <v>25.5</v>
      </c>
      <c r="W358" t="str">
        <f t="shared" si="82"/>
        <v>Belmont International Trading Corp 04/28/2025</v>
      </c>
      <c r="Z358">
        <f t="shared" si="83"/>
        <v>51</v>
      </c>
    </row>
    <row r="359" spans="1:26" hidden="1" x14ac:dyDescent="0.25">
      <c r="A359" s="2" t="s">
        <v>18</v>
      </c>
      <c r="B359" s="11" t="s">
        <v>19</v>
      </c>
      <c r="C359" s="11" t="s">
        <v>4</v>
      </c>
      <c r="D359" s="11" t="s">
        <v>20</v>
      </c>
      <c r="E359" s="11" t="s">
        <v>52</v>
      </c>
      <c r="F359" s="11" t="s">
        <v>53</v>
      </c>
      <c r="G359" s="12">
        <v>5</v>
      </c>
      <c r="H359" s="12">
        <v>25.5</v>
      </c>
      <c r="I359" s="12">
        <v>127.5</v>
      </c>
      <c r="J359" s="12">
        <v>3041.3</v>
      </c>
      <c r="K359" s="20">
        <f t="shared" si="70"/>
        <v>1</v>
      </c>
      <c r="L359" s="20" t="str">
        <f t="shared" si="71"/>
        <v>No se repite</v>
      </c>
      <c r="M359" s="20" t="str">
        <f t="shared" si="72"/>
        <v>Belmont International Trading Corp-Leche evaporada BONLE 12oz x 24</v>
      </c>
      <c r="N359" s="20">
        <f t="shared" si="73"/>
        <v>1</v>
      </c>
      <c r="O359" s="20" t="str">
        <f t="shared" si="74"/>
        <v>No se repite en proveedor</v>
      </c>
      <c r="P359" s="20" t="str">
        <f t="shared" si="75"/>
        <v>Belmont International Trading Corp-Leche evaporada BONLE 12oz x 24-25.5</v>
      </c>
      <c r="Q359" s="20">
        <f t="shared" si="76"/>
        <v>1</v>
      </c>
      <c r="R359" s="20" t="str">
        <f t="shared" si="77"/>
        <v>No se repite</v>
      </c>
      <c r="S359" s="20" t="str">
        <f t="shared" si="78"/>
        <v>El producto Leche evaporada BONLE 12oz x 24 No se repite en proveedor Una vez con el precio 25.5</v>
      </c>
      <c r="T359" s="20" t="str">
        <f t="shared" si="79"/>
        <v>Belmont International Trading Corp</v>
      </c>
      <c r="U359" s="20" t="str">
        <f t="shared" si="80"/>
        <v>Leche evaporada BONLE 12oz x 24</v>
      </c>
      <c r="V359" s="22">
        <f t="shared" si="81"/>
        <v>25.5</v>
      </c>
      <c r="W359" t="str">
        <f t="shared" si="82"/>
        <v>Belmont International Trading Corp 04/28/2025</v>
      </c>
      <c r="Z359">
        <f t="shared" si="83"/>
        <v>127.5</v>
      </c>
    </row>
    <row r="360" spans="1:26" hidden="1" x14ac:dyDescent="0.25">
      <c r="A360" s="2" t="s">
        <v>18</v>
      </c>
      <c r="B360" s="11" t="s">
        <v>19</v>
      </c>
      <c r="C360" s="11" t="s">
        <v>4</v>
      </c>
      <c r="D360" s="11" t="s">
        <v>20</v>
      </c>
      <c r="E360" s="11" t="s">
        <v>96</v>
      </c>
      <c r="F360" s="11" t="s">
        <v>97</v>
      </c>
      <c r="G360" s="12">
        <v>9</v>
      </c>
      <c r="H360" s="12">
        <v>29.9</v>
      </c>
      <c r="I360" s="12">
        <v>269.10000000000002</v>
      </c>
      <c r="J360" s="12">
        <v>4559.8</v>
      </c>
      <c r="K360" s="20">
        <f t="shared" si="70"/>
        <v>4</v>
      </c>
      <c r="L360" s="20" t="str">
        <f t="shared" si="71"/>
        <v>Se repite 4 veces</v>
      </c>
      <c r="M360" s="20" t="str">
        <f t="shared" si="72"/>
        <v>Belmont International Trading Corp-Leche evaporada Gloria 13oz Lata x 24</v>
      </c>
      <c r="N360" s="20">
        <f t="shared" si="73"/>
        <v>4</v>
      </c>
      <c r="O360" s="20" t="str">
        <f t="shared" si="74"/>
        <v>Se repite 4 veces en Belmont International Trading Corp</v>
      </c>
      <c r="P360" s="20" t="str">
        <f t="shared" si="75"/>
        <v>Belmont International Trading Corp-Leche evaporada Gloria 13oz Lata x 24-29.9</v>
      </c>
      <c r="Q360" s="20">
        <f t="shared" si="76"/>
        <v>3</v>
      </c>
      <c r="R360" s="20" t="str">
        <f t="shared" si="77"/>
        <v>Se repite 3 veces el precio de 29.9</v>
      </c>
      <c r="S360" s="20" t="str">
        <f t="shared" si="78"/>
        <v>El producto Leche evaporada Gloria 13oz Lata x 24 Se repite 4 veces en Belmont International Trading Corp, Se repite 3 veces el precio de 29.9</v>
      </c>
      <c r="T360" s="20" t="str">
        <f t="shared" si="79"/>
        <v>Belmont International Trading Corp</v>
      </c>
      <c r="U360" s="20" t="str">
        <f t="shared" si="80"/>
        <v>Leche evaporada Gloria 13oz Lata x 24</v>
      </c>
      <c r="V360" s="22">
        <f t="shared" si="81"/>
        <v>29.9</v>
      </c>
      <c r="W360" t="str">
        <f t="shared" si="82"/>
        <v>Belmont International Trading Corp 04/28/2025</v>
      </c>
      <c r="Z360">
        <f t="shared" si="83"/>
        <v>269.09999999999997</v>
      </c>
    </row>
    <row r="361" spans="1:26" hidden="1" x14ac:dyDescent="0.25">
      <c r="A361" s="2" t="s">
        <v>18</v>
      </c>
      <c r="B361" s="11" t="s">
        <v>148</v>
      </c>
      <c r="C361" s="11" t="s">
        <v>4</v>
      </c>
      <c r="D361" s="11" t="s">
        <v>149</v>
      </c>
      <c r="E361" s="11" t="s">
        <v>96</v>
      </c>
      <c r="F361" s="11" t="s">
        <v>97</v>
      </c>
      <c r="G361" s="12">
        <v>10</v>
      </c>
      <c r="H361" s="12">
        <v>29.9</v>
      </c>
      <c r="I361" s="12">
        <v>299</v>
      </c>
      <c r="J361" s="12">
        <v>11260.74</v>
      </c>
      <c r="K361" s="20">
        <f t="shared" si="70"/>
        <v>4</v>
      </c>
      <c r="L361" s="20" t="str">
        <f t="shared" si="71"/>
        <v>Se repite 4 veces</v>
      </c>
      <c r="M361" s="20" t="str">
        <f t="shared" si="72"/>
        <v>Belmont International Trading Corp-Leche evaporada Gloria 13oz Lata x 24</v>
      </c>
      <c r="N361" s="20">
        <f t="shared" si="73"/>
        <v>4</v>
      </c>
      <c r="O361" s="20" t="str">
        <f t="shared" si="74"/>
        <v>Se repite 4 veces en Belmont International Trading Corp</v>
      </c>
      <c r="P361" s="20" t="str">
        <f t="shared" si="75"/>
        <v>Belmont International Trading Corp-Leche evaporada Gloria 13oz Lata x 24-29.9</v>
      </c>
      <c r="Q361" s="20">
        <f t="shared" si="76"/>
        <v>3</v>
      </c>
      <c r="R361" s="20" t="str">
        <f t="shared" si="77"/>
        <v>Se repite 3 veces el precio de 29.9</v>
      </c>
      <c r="S361" s="20" t="str">
        <f t="shared" si="78"/>
        <v>El producto Leche evaporada Gloria 13oz Lata x 24 Se repite 4 veces en Belmont International Trading Corp, Se repite 3 veces el precio de 29.9</v>
      </c>
      <c r="T361" s="20" t="str">
        <f t="shared" si="79"/>
        <v>Belmont International Trading Corp</v>
      </c>
      <c r="U361" s="20" t="str">
        <f t="shared" si="80"/>
        <v>Leche evaporada Gloria 13oz Lata x 24</v>
      </c>
      <c r="V361" s="22">
        <f t="shared" si="81"/>
        <v>29.9</v>
      </c>
      <c r="W361" t="str">
        <f t="shared" si="82"/>
        <v>Belmont International Trading Corp 05/16/2025</v>
      </c>
      <c r="Z361">
        <f t="shared" si="83"/>
        <v>299</v>
      </c>
    </row>
    <row r="362" spans="1:26" hidden="1" x14ac:dyDescent="0.25">
      <c r="A362" s="2" t="s">
        <v>18</v>
      </c>
      <c r="B362" s="11" t="s">
        <v>168</v>
      </c>
      <c r="C362" s="11" t="s">
        <v>4</v>
      </c>
      <c r="D362" s="11" t="s">
        <v>169</v>
      </c>
      <c r="E362" s="11" t="s">
        <v>96</v>
      </c>
      <c r="F362" s="11" t="s">
        <v>97</v>
      </c>
      <c r="G362" s="12">
        <v>48</v>
      </c>
      <c r="H362" s="12">
        <v>29.9</v>
      </c>
      <c r="I362" s="12">
        <v>1435.2</v>
      </c>
      <c r="J362" s="12">
        <v>16559.84</v>
      </c>
      <c r="K362" s="20">
        <f t="shared" si="70"/>
        <v>4</v>
      </c>
      <c r="L362" s="20" t="str">
        <f t="shared" si="71"/>
        <v>Se repite 4 veces</v>
      </c>
      <c r="M362" s="20" t="str">
        <f t="shared" si="72"/>
        <v>Belmont International Trading Corp-Leche evaporada Gloria 13oz Lata x 24</v>
      </c>
      <c r="N362" s="20">
        <f t="shared" si="73"/>
        <v>4</v>
      </c>
      <c r="O362" s="20" t="str">
        <f t="shared" si="74"/>
        <v>Se repite 4 veces en Belmont International Trading Corp</v>
      </c>
      <c r="P362" s="20" t="str">
        <f t="shared" si="75"/>
        <v>Belmont International Trading Corp-Leche evaporada Gloria 13oz Lata x 24-29.9</v>
      </c>
      <c r="Q362" s="20">
        <f t="shared" si="76"/>
        <v>3</v>
      </c>
      <c r="R362" s="20" t="str">
        <f t="shared" si="77"/>
        <v>Se repite 3 veces el precio de 29.9</v>
      </c>
      <c r="S362" s="20" t="str">
        <f t="shared" si="78"/>
        <v>El producto Leche evaporada Gloria 13oz Lata x 24 Se repite 4 veces en Belmont International Trading Corp, Se repite 3 veces el precio de 29.9</v>
      </c>
      <c r="T362" s="20" t="str">
        <f t="shared" si="79"/>
        <v>Belmont International Trading Corp</v>
      </c>
      <c r="U362" s="20" t="str">
        <f t="shared" si="80"/>
        <v>Leche evaporada Gloria 13oz Lata x 24</v>
      </c>
      <c r="V362" s="22">
        <f t="shared" si="81"/>
        <v>29.9</v>
      </c>
      <c r="W362" t="str">
        <f t="shared" si="82"/>
        <v>Belmont International Trading Corp 07/31/2025</v>
      </c>
      <c r="Z362">
        <f t="shared" si="83"/>
        <v>1435.1999999999998</v>
      </c>
    </row>
    <row r="363" spans="1:26" hidden="1" x14ac:dyDescent="0.25">
      <c r="A363" s="2" t="s">
        <v>18</v>
      </c>
      <c r="B363" s="11" t="s">
        <v>198</v>
      </c>
      <c r="C363" s="11" t="s">
        <v>4</v>
      </c>
      <c r="D363" s="11" t="s">
        <v>199</v>
      </c>
      <c r="E363" s="11" t="s">
        <v>96</v>
      </c>
      <c r="F363" s="11" t="s">
        <v>97</v>
      </c>
      <c r="G363" s="12">
        <v>104</v>
      </c>
      <c r="H363" s="12">
        <v>25.9</v>
      </c>
      <c r="I363" s="12">
        <v>2693.6</v>
      </c>
      <c r="J363" s="12">
        <v>24326.839999999997</v>
      </c>
      <c r="K363" s="20">
        <f t="shared" si="70"/>
        <v>4</v>
      </c>
      <c r="L363" s="20" t="str">
        <f t="shared" si="71"/>
        <v>Se repite 4 veces</v>
      </c>
      <c r="M363" s="20" t="str">
        <f t="shared" si="72"/>
        <v>Belmont International Trading Corp-Leche evaporada Gloria 13oz Lata x 24</v>
      </c>
      <c r="N363" s="20">
        <f t="shared" si="73"/>
        <v>4</v>
      </c>
      <c r="O363" s="20" t="str">
        <f t="shared" si="74"/>
        <v>Se repite 4 veces en Belmont International Trading Corp</v>
      </c>
      <c r="P363" s="20" t="str">
        <f t="shared" si="75"/>
        <v>Belmont International Trading Corp-Leche evaporada Gloria 13oz Lata x 24-25.9</v>
      </c>
      <c r="Q363" s="20">
        <f t="shared" si="76"/>
        <v>1</v>
      </c>
      <c r="R363" s="20" t="str">
        <f t="shared" si="77"/>
        <v>No se repite</v>
      </c>
      <c r="S363" s="20" t="str">
        <f t="shared" si="78"/>
        <v>El producto Leche evaporada Gloria 13oz Lata x 24 Se repite 4 veces en Belmont International Trading Corp Una vez con el precio 25.9</v>
      </c>
      <c r="T363" s="20" t="str">
        <f t="shared" si="79"/>
        <v>Belmont International Trading Corp</v>
      </c>
      <c r="U363" s="20" t="str">
        <f t="shared" si="80"/>
        <v>Leche evaporada Gloria 13oz Lata x 24</v>
      </c>
      <c r="V363" s="22">
        <f t="shared" si="81"/>
        <v>25.9</v>
      </c>
      <c r="W363" t="str">
        <f t="shared" si="82"/>
        <v>Belmont International Trading Corp 12/11/2025</v>
      </c>
      <c r="Z363">
        <f t="shared" si="83"/>
        <v>2693.6</v>
      </c>
    </row>
    <row r="364" spans="1:26" hidden="1" x14ac:dyDescent="0.25">
      <c r="A364" s="2" t="s">
        <v>266</v>
      </c>
      <c r="B364" s="11" t="s">
        <v>267</v>
      </c>
      <c r="C364" s="11" t="s">
        <v>4</v>
      </c>
      <c r="D364" s="11" t="s">
        <v>5</v>
      </c>
      <c r="E364" s="11" t="s">
        <v>268</v>
      </c>
      <c r="F364" s="11" t="s">
        <v>269</v>
      </c>
      <c r="G364" s="12">
        <v>1</v>
      </c>
      <c r="H364" s="12">
        <v>75</v>
      </c>
      <c r="I364" s="12">
        <v>75</v>
      </c>
      <c r="J364" s="12">
        <v>75</v>
      </c>
      <c r="K364" s="20">
        <f t="shared" si="70"/>
        <v>1</v>
      </c>
      <c r="L364" s="20" t="str">
        <f t="shared" si="71"/>
        <v>No se repite</v>
      </c>
      <c r="M364" s="20" t="str">
        <f t="shared" si="72"/>
        <v>La Sorpresa Store-Los Nietitos - Dulce de Leche</v>
      </c>
      <c r="N364" s="20">
        <f t="shared" si="73"/>
        <v>1</v>
      </c>
      <c r="O364" s="20" t="str">
        <f t="shared" si="74"/>
        <v>No se repite en proveedor</v>
      </c>
      <c r="P364" s="20" t="str">
        <f t="shared" si="75"/>
        <v>La Sorpresa Store-Los Nietitos - Dulce de Leche-75</v>
      </c>
      <c r="Q364" s="20">
        <f t="shared" si="76"/>
        <v>1</v>
      </c>
      <c r="R364" s="20" t="str">
        <f t="shared" si="77"/>
        <v>No se repite</v>
      </c>
      <c r="S364" s="20" t="str">
        <f t="shared" si="78"/>
        <v>El producto Los Nietitos - Dulce de Leche No se repite en proveedor Una vez con el precio 75</v>
      </c>
      <c r="T364" s="20" t="str">
        <f t="shared" si="79"/>
        <v>La Sorpresa Store</v>
      </c>
      <c r="U364" s="20" t="str">
        <f t="shared" si="80"/>
        <v>Los Nietitos - Dulce de Leche</v>
      </c>
      <c r="V364" s="22">
        <f t="shared" si="81"/>
        <v>75</v>
      </c>
      <c r="W364" t="str">
        <f t="shared" si="82"/>
        <v>La Sorpresa Store 08/26/2025</v>
      </c>
      <c r="Z364">
        <f t="shared" si="83"/>
        <v>75</v>
      </c>
    </row>
    <row r="365" spans="1:26" hidden="1" x14ac:dyDescent="0.25">
      <c r="A365" s="2" t="s">
        <v>664</v>
      </c>
      <c r="B365" s="11" t="s">
        <v>932</v>
      </c>
      <c r="C365" s="11" t="s">
        <v>4</v>
      </c>
      <c r="D365" s="11" t="s">
        <v>933</v>
      </c>
      <c r="E365" s="11" t="s">
        <v>936</v>
      </c>
      <c r="F365" s="11" t="s">
        <v>937</v>
      </c>
      <c r="G365" s="12">
        <v>2</v>
      </c>
      <c r="H365" s="12">
        <v>20</v>
      </c>
      <c r="I365" s="12">
        <v>40</v>
      </c>
      <c r="J365" s="12">
        <v>24516.82</v>
      </c>
      <c r="K365" s="20">
        <f t="shared" si="70"/>
        <v>3</v>
      </c>
      <c r="L365" s="20" t="str">
        <f t="shared" si="71"/>
        <v>Se repite 3 veces</v>
      </c>
      <c r="M365" s="20" t="str">
        <f t="shared" si="72"/>
        <v>Tradiciones Andinas-Maiz Atomico con Maca 125gr x 20 bolsas</v>
      </c>
      <c r="N365" s="20">
        <f t="shared" si="73"/>
        <v>3</v>
      </c>
      <c r="O365" s="20" t="str">
        <f t="shared" si="74"/>
        <v>Se repite 3 veces en Tradiciones Andinas</v>
      </c>
      <c r="P365" s="20" t="str">
        <f t="shared" si="75"/>
        <v>Tradiciones Andinas-Maiz Atomico con Maca 125gr x 20 bolsas-20</v>
      </c>
      <c r="Q365" s="20">
        <f t="shared" si="76"/>
        <v>1</v>
      </c>
      <c r="R365" s="20" t="str">
        <f t="shared" si="77"/>
        <v>No se repite</v>
      </c>
      <c r="S365" s="20" t="str">
        <f t="shared" si="78"/>
        <v>El producto Maiz Atomico con Maca 125gr x 20 bolsas Se repite 3 veces en Tradiciones Andinas Una vez con el precio 20</v>
      </c>
      <c r="T365" s="20" t="str">
        <f t="shared" si="79"/>
        <v>Tradiciones Andinas</v>
      </c>
      <c r="U365" s="20" t="str">
        <f t="shared" si="80"/>
        <v>Maiz Atomico con Maca 125gr x 20 bolsas</v>
      </c>
      <c r="V365" s="22">
        <f t="shared" si="81"/>
        <v>20</v>
      </c>
      <c r="W365" t="str">
        <f t="shared" si="82"/>
        <v>Tradiciones Andinas 04/29/2025</v>
      </c>
      <c r="Z365">
        <f t="shared" si="83"/>
        <v>40</v>
      </c>
    </row>
    <row r="366" spans="1:26" hidden="1" x14ac:dyDescent="0.25">
      <c r="A366" s="2" t="s">
        <v>664</v>
      </c>
      <c r="B366" s="11" t="s">
        <v>1153</v>
      </c>
      <c r="C366" s="11" t="s">
        <v>4</v>
      </c>
      <c r="D366" s="11" t="s">
        <v>1154</v>
      </c>
      <c r="E366" s="11" t="s">
        <v>936</v>
      </c>
      <c r="F366" s="11" t="s">
        <v>1163</v>
      </c>
      <c r="G366" s="12">
        <v>3</v>
      </c>
      <c r="H366" s="12">
        <v>21.4</v>
      </c>
      <c r="I366" s="12">
        <v>64.2</v>
      </c>
      <c r="J366" s="12">
        <v>84621.729999999967</v>
      </c>
      <c r="K366" s="20">
        <f t="shared" si="70"/>
        <v>3</v>
      </c>
      <c r="L366" s="20" t="str">
        <f t="shared" si="71"/>
        <v>Se repite 3 veces</v>
      </c>
      <c r="M366" s="20" t="str">
        <f t="shared" si="72"/>
        <v>Tradiciones Andinas-Maiz Atomico con Maca 125gr x 20 bolsas</v>
      </c>
      <c r="N366" s="20">
        <f t="shared" si="73"/>
        <v>3</v>
      </c>
      <c r="O366" s="20" t="str">
        <f t="shared" si="74"/>
        <v>Se repite 3 veces en Tradiciones Andinas</v>
      </c>
      <c r="P366" s="20" t="str">
        <f t="shared" si="75"/>
        <v>Tradiciones Andinas-Maiz Atomico con Maca 125gr x 20 bolsas-21.4</v>
      </c>
      <c r="Q366" s="20">
        <f t="shared" si="76"/>
        <v>2</v>
      </c>
      <c r="R366" s="20" t="str">
        <f t="shared" si="77"/>
        <v>Se repite 2 veces el precio de 21.4</v>
      </c>
      <c r="S366" s="20" t="str">
        <f t="shared" si="78"/>
        <v>El producto Maiz Atomico con Maca 125gr x 20 bolsas Se repite 3 veces en Tradiciones Andinas, Se repite 2 veces el precio de 21.4</v>
      </c>
      <c r="T366" s="20" t="str">
        <f t="shared" si="79"/>
        <v>Tradiciones Andinas</v>
      </c>
      <c r="U366" s="20" t="str">
        <f t="shared" si="80"/>
        <v>Maiz Atomico con Maca 125gr x 20 bolsas</v>
      </c>
      <c r="V366" s="22">
        <f t="shared" si="81"/>
        <v>21.4</v>
      </c>
      <c r="W366" t="str">
        <f t="shared" si="82"/>
        <v>Tradiciones Andinas 09/24/2025</v>
      </c>
      <c r="Z366">
        <f t="shared" si="83"/>
        <v>64.199999999999989</v>
      </c>
    </row>
    <row r="367" spans="1:26" hidden="1" x14ac:dyDescent="0.25">
      <c r="A367" s="2" t="s">
        <v>664</v>
      </c>
      <c r="B367" s="11" t="s">
        <v>1224</v>
      </c>
      <c r="C367" s="11" t="s">
        <v>4</v>
      </c>
      <c r="D367" s="11" t="s">
        <v>1225</v>
      </c>
      <c r="E367" s="11" t="s">
        <v>936</v>
      </c>
      <c r="F367" s="11" t="s">
        <v>1163</v>
      </c>
      <c r="G367" s="12">
        <v>2</v>
      </c>
      <c r="H367" s="12">
        <v>21.4</v>
      </c>
      <c r="I367" s="12">
        <v>42.8</v>
      </c>
      <c r="J367" s="12">
        <v>118304.91999999991</v>
      </c>
      <c r="K367" s="20">
        <f t="shared" si="70"/>
        <v>3</v>
      </c>
      <c r="L367" s="20" t="str">
        <f t="shared" si="71"/>
        <v>Se repite 3 veces</v>
      </c>
      <c r="M367" s="20" t="str">
        <f t="shared" si="72"/>
        <v>Tradiciones Andinas-Maiz Atomico con Maca 125gr x 20 bolsas</v>
      </c>
      <c r="N367" s="20">
        <f t="shared" si="73"/>
        <v>3</v>
      </c>
      <c r="O367" s="20" t="str">
        <f t="shared" si="74"/>
        <v>Se repite 3 veces en Tradiciones Andinas</v>
      </c>
      <c r="P367" s="20" t="str">
        <f t="shared" si="75"/>
        <v>Tradiciones Andinas-Maiz Atomico con Maca 125gr x 20 bolsas-21.4</v>
      </c>
      <c r="Q367" s="20">
        <f t="shared" si="76"/>
        <v>2</v>
      </c>
      <c r="R367" s="20" t="str">
        <f t="shared" si="77"/>
        <v>Se repite 2 veces el precio de 21.4</v>
      </c>
      <c r="S367" s="20" t="str">
        <f t="shared" si="78"/>
        <v>El producto Maiz Atomico con Maca 125gr x 20 bolsas Se repite 3 veces en Tradiciones Andinas, Se repite 2 veces el precio de 21.4</v>
      </c>
      <c r="T367" s="20" t="str">
        <f t="shared" si="79"/>
        <v>Tradiciones Andinas</v>
      </c>
      <c r="U367" s="20" t="str">
        <f t="shared" si="80"/>
        <v>Maiz Atomico con Maca 125gr x 20 bolsas</v>
      </c>
      <c r="V367" s="22">
        <f t="shared" si="81"/>
        <v>21.4</v>
      </c>
      <c r="W367" t="str">
        <f t="shared" si="82"/>
        <v>Tradiciones Andinas 12/03/2025</v>
      </c>
      <c r="Z367">
        <f t="shared" si="83"/>
        <v>42.8</v>
      </c>
    </row>
    <row r="368" spans="1:26" hidden="1" x14ac:dyDescent="0.25">
      <c r="A368" s="2" t="s">
        <v>664</v>
      </c>
      <c r="B368" s="11" t="s">
        <v>398</v>
      </c>
      <c r="C368" s="11" t="s">
        <v>4</v>
      </c>
      <c r="D368" s="11" t="s">
        <v>5</v>
      </c>
      <c r="E368" s="11" t="s">
        <v>795</v>
      </c>
      <c r="F368" s="11" t="s">
        <v>796</v>
      </c>
      <c r="G368" s="12">
        <v>5</v>
      </c>
      <c r="H368" s="12">
        <v>20</v>
      </c>
      <c r="I368" s="12">
        <v>100</v>
      </c>
      <c r="J368" s="12">
        <v>6605.6399999999994</v>
      </c>
      <c r="K368" s="20">
        <f t="shared" si="70"/>
        <v>2</v>
      </c>
      <c r="L368" s="20" t="str">
        <f t="shared" si="71"/>
        <v>Se repite 2 veces</v>
      </c>
      <c r="M368" s="20" t="str">
        <f t="shared" si="72"/>
        <v>Tradiciones Andinas-Maiz Atomico Imperial con Miel 125gr x 20 bolsas</v>
      </c>
      <c r="N368" s="20">
        <f t="shared" si="73"/>
        <v>2</v>
      </c>
      <c r="O368" s="20" t="str">
        <f t="shared" si="74"/>
        <v>Se repite 2 veces en Tradiciones Andinas</v>
      </c>
      <c r="P368" s="20" t="str">
        <f t="shared" si="75"/>
        <v>Tradiciones Andinas-Maiz Atomico Imperial con Miel 125gr x 20 bolsas-20</v>
      </c>
      <c r="Q368" s="20">
        <f t="shared" si="76"/>
        <v>1</v>
      </c>
      <c r="R368" s="20" t="str">
        <f t="shared" si="77"/>
        <v>No se repite</v>
      </c>
      <c r="S368" s="20" t="str">
        <f t="shared" si="78"/>
        <v>El producto Maiz Atomico Imperial con Miel 125gr x 20 bolsas Se repite 2 veces en Tradiciones Andinas Una vez con el precio 20</v>
      </c>
      <c r="T368" s="20" t="str">
        <f t="shared" si="79"/>
        <v>Tradiciones Andinas</v>
      </c>
      <c r="U368" s="20" t="str">
        <f t="shared" si="80"/>
        <v>Maiz Atomico Imperial con Miel 125gr x 20 bolsas</v>
      </c>
      <c r="V368" s="22">
        <f t="shared" si="81"/>
        <v>20</v>
      </c>
      <c r="W368" t="str">
        <f t="shared" si="82"/>
        <v>Tradiciones Andinas 04/10/2025</v>
      </c>
      <c r="Z368">
        <f t="shared" si="83"/>
        <v>100</v>
      </c>
    </row>
    <row r="369" spans="1:26" hidden="1" x14ac:dyDescent="0.25">
      <c r="A369" s="2" t="s">
        <v>664</v>
      </c>
      <c r="B369" s="11" t="s">
        <v>1201</v>
      </c>
      <c r="C369" s="11" t="s">
        <v>4</v>
      </c>
      <c r="D369" s="11" t="s">
        <v>1202</v>
      </c>
      <c r="E369" s="11" t="s">
        <v>795</v>
      </c>
      <c r="F369" s="11" t="s">
        <v>1205</v>
      </c>
      <c r="G369" s="12">
        <v>5</v>
      </c>
      <c r="H369" s="12">
        <v>21.4</v>
      </c>
      <c r="I369" s="12">
        <v>107</v>
      </c>
      <c r="J369" s="12">
        <v>102815.86999999992</v>
      </c>
      <c r="K369" s="20">
        <f t="shared" si="70"/>
        <v>2</v>
      </c>
      <c r="L369" s="20" t="str">
        <f t="shared" si="71"/>
        <v>Se repite 2 veces</v>
      </c>
      <c r="M369" s="20" t="str">
        <f t="shared" si="72"/>
        <v>Tradiciones Andinas-Maiz Atomico Imperial con Miel 125gr x 20 bolsas</v>
      </c>
      <c r="N369" s="20">
        <f t="shared" si="73"/>
        <v>2</v>
      </c>
      <c r="O369" s="20" t="str">
        <f t="shared" si="74"/>
        <v>Se repite 2 veces en Tradiciones Andinas</v>
      </c>
      <c r="P369" s="20" t="str">
        <f t="shared" si="75"/>
        <v>Tradiciones Andinas-Maiz Atomico Imperial con Miel 125gr x 20 bolsas-21.4</v>
      </c>
      <c r="Q369" s="20">
        <f t="shared" si="76"/>
        <v>1</v>
      </c>
      <c r="R369" s="20" t="str">
        <f t="shared" si="77"/>
        <v>No se repite</v>
      </c>
      <c r="S369" s="20" t="str">
        <f t="shared" si="78"/>
        <v>El producto Maiz Atomico Imperial con Miel 125gr x 20 bolsas Se repite 2 veces en Tradiciones Andinas Una vez con el precio 21.4</v>
      </c>
      <c r="T369" s="20" t="str">
        <f t="shared" si="79"/>
        <v>Tradiciones Andinas</v>
      </c>
      <c r="U369" s="20" t="str">
        <f t="shared" si="80"/>
        <v>Maiz Atomico Imperial con Miel 125gr x 20 bolsas</v>
      </c>
      <c r="V369" s="22">
        <f t="shared" si="81"/>
        <v>21.4</v>
      </c>
      <c r="W369" t="str">
        <f t="shared" si="82"/>
        <v>Tradiciones Andinas 11/07/2025</v>
      </c>
      <c r="Z369">
        <f t="shared" si="83"/>
        <v>107</v>
      </c>
    </row>
    <row r="370" spans="1:26" hidden="1" x14ac:dyDescent="0.25">
      <c r="A370" s="2" t="s">
        <v>18</v>
      </c>
      <c r="B370" s="11" t="s">
        <v>19</v>
      </c>
      <c r="C370" s="11" t="s">
        <v>4</v>
      </c>
      <c r="D370" s="11" t="s">
        <v>20</v>
      </c>
      <c r="E370" s="11" t="s">
        <v>70</v>
      </c>
      <c r="F370" s="11" t="s">
        <v>71</v>
      </c>
      <c r="G370" s="12">
        <v>1</v>
      </c>
      <c r="H370" s="12">
        <v>29.9</v>
      </c>
      <c r="I370" s="12">
        <v>29.9</v>
      </c>
      <c r="J370" s="12">
        <v>3598.7000000000003</v>
      </c>
      <c r="K370" s="20">
        <f t="shared" si="70"/>
        <v>1</v>
      </c>
      <c r="L370" s="20" t="str">
        <f t="shared" si="71"/>
        <v>No se repite</v>
      </c>
      <c r="M370" s="20" t="str">
        <f t="shared" si="72"/>
        <v>Belmont International Trading Corp-Mani Confitado Belmont x 25</v>
      </c>
      <c r="N370" s="20">
        <f t="shared" si="73"/>
        <v>1</v>
      </c>
      <c r="O370" s="20" t="str">
        <f t="shared" si="74"/>
        <v>No se repite en proveedor</v>
      </c>
      <c r="P370" s="20" t="str">
        <f t="shared" si="75"/>
        <v>Belmont International Trading Corp-Mani Confitado Belmont x 25-29.9</v>
      </c>
      <c r="Q370" s="20">
        <f t="shared" si="76"/>
        <v>1</v>
      </c>
      <c r="R370" s="20" t="str">
        <f t="shared" si="77"/>
        <v>No se repite</v>
      </c>
      <c r="S370" s="20" t="str">
        <f t="shared" si="78"/>
        <v>El producto Mani Confitado Belmont x 25 No se repite en proveedor Una vez con el precio 29.9</v>
      </c>
      <c r="T370" s="20" t="str">
        <f t="shared" si="79"/>
        <v>Belmont International Trading Corp</v>
      </c>
      <c r="U370" s="20" t="str">
        <f t="shared" si="80"/>
        <v>Mani Confitado Belmont x 25</v>
      </c>
      <c r="V370" s="22">
        <f t="shared" si="81"/>
        <v>29.9</v>
      </c>
      <c r="W370" t="str">
        <f t="shared" si="82"/>
        <v>Belmont International Trading Corp 04/28/2025</v>
      </c>
      <c r="Z370">
        <f t="shared" si="83"/>
        <v>29.9</v>
      </c>
    </row>
    <row r="371" spans="1:26" hidden="1" x14ac:dyDescent="0.25">
      <c r="A371" s="2" t="s">
        <v>18</v>
      </c>
      <c r="B371" s="11" t="s">
        <v>19</v>
      </c>
      <c r="C371" s="11" t="s">
        <v>4</v>
      </c>
      <c r="D371" s="11" t="s">
        <v>20</v>
      </c>
      <c r="E371" s="11" t="s">
        <v>44</v>
      </c>
      <c r="F371" s="11" t="s">
        <v>45</v>
      </c>
      <c r="G371" s="12">
        <v>20</v>
      </c>
      <c r="H371" s="12">
        <v>39.5</v>
      </c>
      <c r="I371" s="12">
        <v>790</v>
      </c>
      <c r="J371" s="12">
        <v>2044.8</v>
      </c>
      <c r="K371" s="20">
        <f t="shared" si="70"/>
        <v>5</v>
      </c>
      <c r="L371" s="20" t="str">
        <f t="shared" si="71"/>
        <v>Se repite 5 veces</v>
      </c>
      <c r="M371" s="20" t="str">
        <f t="shared" si="72"/>
        <v>Belmont International Trading Corp-Mayonesa a la Cena 17.06oz (400gr) x 12</v>
      </c>
      <c r="N371" s="20">
        <f t="shared" si="73"/>
        <v>3</v>
      </c>
      <c r="O371" s="20" t="str">
        <f t="shared" si="74"/>
        <v>Se repite 3 veces en Belmont International Trading Corp</v>
      </c>
      <c r="P371" s="20" t="str">
        <f t="shared" si="75"/>
        <v>Belmont International Trading Corp-Mayonesa a la Cena 17.06oz (400gr) x 12-39.5</v>
      </c>
      <c r="Q371" s="20">
        <f t="shared" si="76"/>
        <v>1</v>
      </c>
      <c r="R371" s="20" t="str">
        <f t="shared" si="77"/>
        <v>No se repite</v>
      </c>
      <c r="S371" s="20" t="str">
        <f t="shared" si="78"/>
        <v>El producto Mayonesa a la Cena 17.06oz (400gr) x 12 Se repite 3 veces en Belmont International Trading Corp Una vez con el precio 39.5</v>
      </c>
      <c r="T371" s="20" t="str">
        <f t="shared" si="79"/>
        <v>Belmont International Trading Corp</v>
      </c>
      <c r="U371" s="20" t="str">
        <f t="shared" si="80"/>
        <v>Mayonesa a la Cena 17.06oz (400gr) x 12</v>
      </c>
      <c r="V371" s="22">
        <f t="shared" si="81"/>
        <v>39.5</v>
      </c>
      <c r="W371" t="str">
        <f t="shared" si="82"/>
        <v>Belmont International Trading Corp 04/28/2025</v>
      </c>
      <c r="Z371">
        <f t="shared" si="83"/>
        <v>790</v>
      </c>
    </row>
    <row r="372" spans="1:26" hidden="1" x14ac:dyDescent="0.25">
      <c r="A372" s="2" t="s">
        <v>18</v>
      </c>
      <c r="B372" s="11" t="s">
        <v>148</v>
      </c>
      <c r="C372" s="11" t="s">
        <v>4</v>
      </c>
      <c r="D372" s="11" t="s">
        <v>149</v>
      </c>
      <c r="E372" s="11" t="s">
        <v>44</v>
      </c>
      <c r="F372" s="11" t="s">
        <v>45</v>
      </c>
      <c r="G372" s="12">
        <v>10</v>
      </c>
      <c r="H372" s="12">
        <v>43.5</v>
      </c>
      <c r="I372" s="12">
        <v>435</v>
      </c>
      <c r="J372" s="12">
        <v>7408.74</v>
      </c>
      <c r="K372" s="20">
        <f t="shared" si="70"/>
        <v>5</v>
      </c>
      <c r="L372" s="20" t="str">
        <f t="shared" si="71"/>
        <v>Se repite 5 veces</v>
      </c>
      <c r="M372" s="20" t="str">
        <f t="shared" si="72"/>
        <v>Belmont International Trading Corp-Mayonesa a la Cena 17.06oz (400gr) x 12</v>
      </c>
      <c r="N372" s="20">
        <f t="shared" si="73"/>
        <v>3</v>
      </c>
      <c r="O372" s="20" t="str">
        <f t="shared" si="74"/>
        <v>Se repite 3 veces en Belmont International Trading Corp</v>
      </c>
      <c r="P372" s="20" t="str">
        <f t="shared" si="75"/>
        <v>Belmont International Trading Corp-Mayonesa a la Cena 17.06oz (400gr) x 12-43.5</v>
      </c>
      <c r="Q372" s="20">
        <f t="shared" si="76"/>
        <v>2</v>
      </c>
      <c r="R372" s="20" t="str">
        <f t="shared" si="77"/>
        <v>Se repite 2 veces el precio de 43.5</v>
      </c>
      <c r="S372" s="20" t="str">
        <f t="shared" si="78"/>
        <v>El producto Mayonesa a la Cena 17.06oz (400gr) x 12 Se repite 3 veces en Belmont International Trading Corp, Se repite 2 veces el precio de 43.5</v>
      </c>
      <c r="T372" s="20" t="str">
        <f t="shared" si="79"/>
        <v>Belmont International Trading Corp</v>
      </c>
      <c r="U372" s="20" t="str">
        <f t="shared" si="80"/>
        <v>Mayonesa a la Cena 17.06oz (400gr) x 12</v>
      </c>
      <c r="V372" s="22">
        <f t="shared" si="81"/>
        <v>43.5</v>
      </c>
      <c r="W372" t="str">
        <f t="shared" si="82"/>
        <v>Belmont International Trading Corp 05/16/2025</v>
      </c>
      <c r="Z372">
        <f t="shared" si="83"/>
        <v>435</v>
      </c>
    </row>
    <row r="373" spans="1:26" hidden="1" x14ac:dyDescent="0.25">
      <c r="A373" s="2" t="s">
        <v>18</v>
      </c>
      <c r="B373" s="11" t="s">
        <v>158</v>
      </c>
      <c r="C373" s="11" t="s">
        <v>4</v>
      </c>
      <c r="D373" s="11" t="s">
        <v>159</v>
      </c>
      <c r="E373" s="11" t="s">
        <v>44</v>
      </c>
      <c r="F373" s="11" t="s">
        <v>45</v>
      </c>
      <c r="G373" s="12">
        <v>8</v>
      </c>
      <c r="H373" s="12">
        <v>43.5</v>
      </c>
      <c r="I373" s="12">
        <v>348</v>
      </c>
      <c r="J373" s="12">
        <v>13273.74</v>
      </c>
      <c r="K373" s="20">
        <f t="shared" si="70"/>
        <v>5</v>
      </c>
      <c r="L373" s="20" t="str">
        <f t="shared" si="71"/>
        <v>Se repite 5 veces</v>
      </c>
      <c r="M373" s="20" t="str">
        <f t="shared" si="72"/>
        <v>Belmont International Trading Corp-Mayonesa a la Cena 17.06oz (400gr) x 12</v>
      </c>
      <c r="N373" s="20">
        <f t="shared" si="73"/>
        <v>3</v>
      </c>
      <c r="O373" s="20" t="str">
        <f t="shared" si="74"/>
        <v>Se repite 3 veces en Belmont International Trading Corp</v>
      </c>
      <c r="P373" s="20" t="str">
        <f t="shared" si="75"/>
        <v>Belmont International Trading Corp-Mayonesa a la Cena 17.06oz (400gr) x 12-43.5</v>
      </c>
      <c r="Q373" s="20">
        <f t="shared" si="76"/>
        <v>2</v>
      </c>
      <c r="R373" s="20" t="str">
        <f t="shared" si="77"/>
        <v>Se repite 2 veces el precio de 43.5</v>
      </c>
      <c r="S373" s="20" t="str">
        <f t="shared" si="78"/>
        <v>El producto Mayonesa a la Cena 17.06oz (400gr) x 12 Se repite 3 veces en Belmont International Trading Corp, Se repite 2 veces el precio de 43.5</v>
      </c>
      <c r="T373" s="20" t="str">
        <f t="shared" si="79"/>
        <v>Belmont International Trading Corp</v>
      </c>
      <c r="U373" s="20" t="str">
        <f t="shared" si="80"/>
        <v>Mayonesa a la Cena 17.06oz (400gr) x 12</v>
      </c>
      <c r="V373" s="22">
        <f t="shared" si="81"/>
        <v>43.5</v>
      </c>
      <c r="W373" t="str">
        <f t="shared" si="82"/>
        <v>Belmont International Trading Corp 06/12/2025</v>
      </c>
      <c r="Y373" s="27"/>
      <c r="Z373">
        <f t="shared" si="83"/>
        <v>348</v>
      </c>
    </row>
    <row r="374" spans="1:26" hidden="1" x14ac:dyDescent="0.25">
      <c r="A374" s="2" t="s">
        <v>272</v>
      </c>
      <c r="B374" s="11" t="s">
        <v>572</v>
      </c>
      <c r="C374" s="11" t="s">
        <v>4</v>
      </c>
      <c r="D374" s="11" t="s">
        <v>573</v>
      </c>
      <c r="E374" s="11" t="s">
        <v>44</v>
      </c>
      <c r="F374" s="11" t="s">
        <v>45</v>
      </c>
      <c r="G374" s="12">
        <v>12</v>
      </c>
      <c r="H374" s="12">
        <v>35</v>
      </c>
      <c r="I374" s="12">
        <v>420</v>
      </c>
      <c r="J374" s="12">
        <v>25864</v>
      </c>
      <c r="K374" s="20">
        <f t="shared" si="70"/>
        <v>5</v>
      </c>
      <c r="L374" s="20" t="str">
        <f t="shared" si="71"/>
        <v>Se repite 5 veces</v>
      </c>
      <c r="M374" s="20" t="str">
        <f t="shared" si="72"/>
        <v>Peru Chef-Mayonesa a la Cena 17.06oz (400gr) x 12</v>
      </c>
      <c r="N374" s="20">
        <f t="shared" si="73"/>
        <v>2</v>
      </c>
      <c r="O374" s="20" t="str">
        <f t="shared" si="74"/>
        <v>Se repite 2 veces en Peru Chef</v>
      </c>
      <c r="P374" s="20" t="str">
        <f t="shared" si="75"/>
        <v>Peru Chef-Mayonesa a la Cena 17.06oz (400gr) x 12-35</v>
      </c>
      <c r="Q374" s="20">
        <f t="shared" si="76"/>
        <v>2</v>
      </c>
      <c r="R374" s="20" t="str">
        <f t="shared" si="77"/>
        <v>Se repite 2 veces el precio de 35</v>
      </c>
      <c r="S374" s="20" t="str">
        <f t="shared" si="78"/>
        <v>El producto Mayonesa a la Cena 17.06oz (400gr) x 12 Se repite 2 veces en Peru Chef, Se repite 2 veces el precio de 35</v>
      </c>
      <c r="T374" s="20" t="str">
        <f t="shared" si="79"/>
        <v>Peru Chef</v>
      </c>
      <c r="U374" s="20" t="str">
        <f t="shared" si="80"/>
        <v>Mayonesa a la Cena 17.06oz (400gr) x 12</v>
      </c>
      <c r="V374" s="22">
        <f t="shared" si="81"/>
        <v>35</v>
      </c>
      <c r="W374" t="str">
        <f t="shared" si="82"/>
        <v>Peru Chef 10/09/2025</v>
      </c>
      <c r="Z374">
        <f t="shared" si="83"/>
        <v>420</v>
      </c>
    </row>
    <row r="375" spans="1:26" hidden="1" x14ac:dyDescent="0.25">
      <c r="A375" s="2" t="s">
        <v>272</v>
      </c>
      <c r="B375" s="11" t="s">
        <v>590</v>
      </c>
      <c r="C375" s="11" t="s">
        <v>4</v>
      </c>
      <c r="D375" s="11" t="s">
        <v>5</v>
      </c>
      <c r="E375" s="11" t="s">
        <v>44</v>
      </c>
      <c r="F375" s="11" t="s">
        <v>45</v>
      </c>
      <c r="G375" s="12">
        <v>20</v>
      </c>
      <c r="H375" s="12">
        <v>35</v>
      </c>
      <c r="I375" s="12">
        <v>700</v>
      </c>
      <c r="J375" s="12">
        <v>33813.199999999997</v>
      </c>
      <c r="K375" s="20">
        <f t="shared" si="70"/>
        <v>5</v>
      </c>
      <c r="L375" s="20" t="str">
        <f t="shared" si="71"/>
        <v>Se repite 5 veces</v>
      </c>
      <c r="M375" s="20" t="str">
        <f t="shared" si="72"/>
        <v>Peru Chef-Mayonesa a la Cena 17.06oz (400gr) x 12</v>
      </c>
      <c r="N375" s="20">
        <f t="shared" si="73"/>
        <v>2</v>
      </c>
      <c r="O375" s="20" t="str">
        <f t="shared" si="74"/>
        <v>Se repite 2 veces en Peru Chef</v>
      </c>
      <c r="P375" s="20" t="str">
        <f t="shared" si="75"/>
        <v>Peru Chef-Mayonesa a la Cena 17.06oz (400gr) x 12-35</v>
      </c>
      <c r="Q375" s="20">
        <f t="shared" si="76"/>
        <v>2</v>
      </c>
      <c r="R375" s="20" t="str">
        <f t="shared" si="77"/>
        <v>Se repite 2 veces el precio de 35</v>
      </c>
      <c r="S375" s="20" t="str">
        <f t="shared" si="78"/>
        <v>El producto Mayonesa a la Cena 17.06oz (400gr) x 12 Se repite 2 veces en Peru Chef, Se repite 2 veces el precio de 35</v>
      </c>
      <c r="T375" s="20" t="str">
        <f t="shared" si="79"/>
        <v>Peru Chef</v>
      </c>
      <c r="U375" s="20" t="str">
        <f t="shared" si="80"/>
        <v>Mayonesa a la Cena 17.06oz (400gr) x 12</v>
      </c>
      <c r="V375" s="22">
        <f t="shared" si="81"/>
        <v>35</v>
      </c>
      <c r="W375" t="str">
        <f t="shared" si="82"/>
        <v>Peru Chef 10/28/2025</v>
      </c>
      <c r="Z375">
        <f t="shared" si="83"/>
        <v>700</v>
      </c>
    </row>
    <row r="376" spans="1:26" hidden="1" x14ac:dyDescent="0.25">
      <c r="A376" s="2" t="s">
        <v>664</v>
      </c>
      <c r="B376" s="11" t="s">
        <v>1153</v>
      </c>
      <c r="C376" s="11" t="s">
        <v>4</v>
      </c>
      <c r="D376" s="11" t="s">
        <v>1154</v>
      </c>
      <c r="E376" s="11" t="s">
        <v>1171</v>
      </c>
      <c r="F376" s="11" t="s">
        <v>1172</v>
      </c>
      <c r="G376" s="12">
        <v>3</v>
      </c>
      <c r="H376" s="12">
        <v>23.76</v>
      </c>
      <c r="I376" s="12">
        <v>71.28</v>
      </c>
      <c r="J376" s="12">
        <v>86308.819999999934</v>
      </c>
      <c r="K376" s="20">
        <f t="shared" si="70"/>
        <v>2</v>
      </c>
      <c r="L376" s="20" t="str">
        <f t="shared" si="71"/>
        <v>Se repite 2 veces</v>
      </c>
      <c r="M376" s="20" t="str">
        <f t="shared" si="72"/>
        <v>Tradiciones Andinas-Morocho Partido / Granulated White Corn</v>
      </c>
      <c r="N376" s="20">
        <f t="shared" si="73"/>
        <v>2</v>
      </c>
      <c r="O376" s="20" t="str">
        <f t="shared" si="74"/>
        <v>Se repite 2 veces en Tradiciones Andinas</v>
      </c>
      <c r="P376" s="20" t="str">
        <f t="shared" si="75"/>
        <v>Tradiciones Andinas-Morocho Partido / Granulated White Corn-23.76</v>
      </c>
      <c r="Q376" s="20">
        <f t="shared" si="76"/>
        <v>2</v>
      </c>
      <c r="R376" s="20" t="str">
        <f t="shared" si="77"/>
        <v>Se repite 2 veces el precio de 23.76</v>
      </c>
      <c r="S376" s="20" t="str">
        <f t="shared" si="78"/>
        <v>El producto Morocho Partido / Granulated White Corn Se repite 2 veces en Tradiciones Andinas, Se repite 2 veces el precio de 23.76</v>
      </c>
      <c r="T376" s="20" t="str">
        <f t="shared" si="79"/>
        <v>Tradiciones Andinas</v>
      </c>
      <c r="U376" s="20" t="str">
        <f t="shared" si="80"/>
        <v>Morocho Partido / Granulated White Corn</v>
      </c>
      <c r="V376" s="22">
        <f t="shared" si="81"/>
        <v>23.76</v>
      </c>
      <c r="W376" t="str">
        <f t="shared" si="82"/>
        <v>Tradiciones Andinas 09/24/2025</v>
      </c>
      <c r="Z376">
        <f t="shared" si="83"/>
        <v>71.28</v>
      </c>
    </row>
    <row r="377" spans="1:26" hidden="1" x14ac:dyDescent="0.25">
      <c r="A377" s="2" t="s">
        <v>664</v>
      </c>
      <c r="B377" s="11" t="s">
        <v>1201</v>
      </c>
      <c r="C377" s="11" t="s">
        <v>4</v>
      </c>
      <c r="D377" s="11" t="s">
        <v>1202</v>
      </c>
      <c r="E377" s="11" t="s">
        <v>1171</v>
      </c>
      <c r="F377" s="11" t="s">
        <v>1172</v>
      </c>
      <c r="G377" s="12">
        <v>1</v>
      </c>
      <c r="H377" s="12">
        <v>23.76</v>
      </c>
      <c r="I377" s="12">
        <v>23.76</v>
      </c>
      <c r="J377" s="12">
        <v>104604.55999999992</v>
      </c>
      <c r="K377" s="20">
        <f t="shared" si="70"/>
        <v>2</v>
      </c>
      <c r="L377" s="20" t="str">
        <f t="shared" si="71"/>
        <v>Se repite 2 veces</v>
      </c>
      <c r="M377" s="20" t="str">
        <f t="shared" si="72"/>
        <v>Tradiciones Andinas-Morocho Partido / Granulated White Corn</v>
      </c>
      <c r="N377" s="20">
        <f t="shared" si="73"/>
        <v>2</v>
      </c>
      <c r="O377" s="20" t="str">
        <f t="shared" si="74"/>
        <v>Se repite 2 veces en Tradiciones Andinas</v>
      </c>
      <c r="P377" s="20" t="str">
        <f t="shared" si="75"/>
        <v>Tradiciones Andinas-Morocho Partido / Granulated White Corn-23.76</v>
      </c>
      <c r="Q377" s="20">
        <f t="shared" si="76"/>
        <v>2</v>
      </c>
      <c r="R377" s="20" t="str">
        <f t="shared" si="77"/>
        <v>Se repite 2 veces el precio de 23.76</v>
      </c>
      <c r="S377" s="20" t="str">
        <f t="shared" si="78"/>
        <v>El producto Morocho Partido / Granulated White Corn Se repite 2 veces en Tradiciones Andinas, Se repite 2 veces el precio de 23.76</v>
      </c>
      <c r="T377" s="20" t="str">
        <f t="shared" si="79"/>
        <v>Tradiciones Andinas</v>
      </c>
      <c r="U377" s="20" t="str">
        <f t="shared" si="80"/>
        <v>Morocho Partido / Granulated White Corn</v>
      </c>
      <c r="V377" s="22">
        <f t="shared" si="81"/>
        <v>23.76</v>
      </c>
      <c r="W377" t="str">
        <f t="shared" si="82"/>
        <v>Tradiciones Andinas 11/07/2025</v>
      </c>
      <c r="Z377">
        <f t="shared" si="83"/>
        <v>23.76</v>
      </c>
    </row>
    <row r="378" spans="1:26" hidden="1" x14ac:dyDescent="0.25">
      <c r="A378" s="2" t="s">
        <v>664</v>
      </c>
      <c r="B378" s="11" t="s">
        <v>1153</v>
      </c>
      <c r="C378" s="11" t="s">
        <v>4</v>
      </c>
      <c r="D378" s="11" t="s">
        <v>1154</v>
      </c>
      <c r="E378" s="11" t="s">
        <v>1165</v>
      </c>
      <c r="F378" s="11" t="s">
        <v>1166</v>
      </c>
      <c r="G378" s="12">
        <v>3</v>
      </c>
      <c r="H378" s="12">
        <v>28</v>
      </c>
      <c r="I378" s="12">
        <v>84</v>
      </c>
      <c r="J378" s="12">
        <v>85368.129999999961</v>
      </c>
      <c r="K378" s="20">
        <f t="shared" si="70"/>
        <v>1</v>
      </c>
      <c r="L378" s="20" t="str">
        <f t="shared" si="71"/>
        <v>No se repite</v>
      </c>
      <c r="M378" s="20" t="str">
        <f t="shared" si="72"/>
        <v>Tradiciones Andinas-Panela Redonda</v>
      </c>
      <c r="N378" s="20">
        <f t="shared" si="73"/>
        <v>1</v>
      </c>
      <c r="O378" s="20" t="str">
        <f t="shared" si="74"/>
        <v>No se repite en proveedor</v>
      </c>
      <c r="P378" s="20" t="str">
        <f t="shared" si="75"/>
        <v>Tradiciones Andinas-Panela Redonda-28</v>
      </c>
      <c r="Q378" s="20">
        <f t="shared" si="76"/>
        <v>1</v>
      </c>
      <c r="R378" s="20" t="str">
        <f t="shared" si="77"/>
        <v>No se repite</v>
      </c>
      <c r="S378" s="20" t="str">
        <f t="shared" si="78"/>
        <v>El producto Panela Redonda No se repite en proveedor Una vez con el precio 28</v>
      </c>
      <c r="T378" s="20" t="str">
        <f t="shared" si="79"/>
        <v>Tradiciones Andinas</v>
      </c>
      <c r="U378" s="20" t="str">
        <f t="shared" si="80"/>
        <v>Panela Redonda</v>
      </c>
      <c r="V378" s="22">
        <f t="shared" si="81"/>
        <v>28</v>
      </c>
      <c r="W378" t="str">
        <f t="shared" si="82"/>
        <v>Tradiciones Andinas 09/24/2025</v>
      </c>
      <c r="Z378">
        <f t="shared" si="83"/>
        <v>84</v>
      </c>
    </row>
    <row r="379" spans="1:26" hidden="1" x14ac:dyDescent="0.25">
      <c r="A379" s="2" t="s">
        <v>247</v>
      </c>
      <c r="B379" s="11" t="s">
        <v>248</v>
      </c>
      <c r="C379" s="11" t="s">
        <v>4</v>
      </c>
      <c r="D379" s="11" t="s">
        <v>249</v>
      </c>
      <c r="E379" s="11" t="s">
        <v>250</v>
      </c>
      <c r="F379" s="11" t="s">
        <v>250</v>
      </c>
      <c r="G379" s="12">
        <v>15</v>
      </c>
      <c r="H379" s="12">
        <v>65.94</v>
      </c>
      <c r="I379" s="12">
        <v>989.1</v>
      </c>
      <c r="J379" s="12">
        <v>989.1</v>
      </c>
      <c r="K379" s="20">
        <f t="shared" si="70"/>
        <v>3</v>
      </c>
      <c r="L379" s="20" t="str">
        <f t="shared" si="71"/>
        <v>Se repite 3 veces</v>
      </c>
      <c r="M379" s="20" t="str">
        <f t="shared" si="72"/>
        <v>Fiesta Mart #60-Paneton Donofrio 6/31.04 oz</v>
      </c>
      <c r="N379" s="20">
        <f t="shared" si="73"/>
        <v>2</v>
      </c>
      <c r="O379" s="20" t="str">
        <f t="shared" si="74"/>
        <v>Se repite 2 veces en Fiesta Mart #60</v>
      </c>
      <c r="P379" s="20" t="str">
        <f t="shared" si="75"/>
        <v>Fiesta Mart #60-Paneton Donofrio 6/31.04 oz-65.94</v>
      </c>
      <c r="Q379" s="20">
        <f t="shared" si="76"/>
        <v>1</v>
      </c>
      <c r="R379" s="20" t="str">
        <f t="shared" si="77"/>
        <v>No se repite</v>
      </c>
      <c r="S379" s="20" t="str">
        <f t="shared" si="78"/>
        <v>El producto Paneton Donofrio 6/31.04 oz Se repite 2 veces en Fiesta Mart #60 Una vez con el precio 65.94</v>
      </c>
      <c r="T379" s="20" t="str">
        <f t="shared" si="79"/>
        <v>Fiesta Mart #60</v>
      </c>
      <c r="U379" s="20" t="str">
        <f t="shared" si="80"/>
        <v>Paneton Donofrio 6/31.04 oz</v>
      </c>
      <c r="V379" s="22">
        <f t="shared" si="81"/>
        <v>65.94</v>
      </c>
      <c r="W379" t="str">
        <f t="shared" si="82"/>
        <v>Fiesta Mart #60 11/13/2025</v>
      </c>
      <c r="Z379">
        <f t="shared" si="83"/>
        <v>989.09999999999991</v>
      </c>
    </row>
    <row r="380" spans="1:26" hidden="1" x14ac:dyDescent="0.25">
      <c r="A380" s="2" t="s">
        <v>247</v>
      </c>
      <c r="B380" s="11" t="s">
        <v>251</v>
      </c>
      <c r="C380" s="11" t="s">
        <v>4</v>
      </c>
      <c r="D380" s="11" t="s">
        <v>5</v>
      </c>
      <c r="E380" s="11" t="s">
        <v>250</v>
      </c>
      <c r="F380" s="11" t="s">
        <v>250</v>
      </c>
      <c r="G380" s="12">
        <v>12</v>
      </c>
      <c r="H380" s="12">
        <v>47.94</v>
      </c>
      <c r="I380" s="12">
        <v>575.28</v>
      </c>
      <c r="J380" s="12">
        <v>1564.38</v>
      </c>
      <c r="K380" s="20">
        <f t="shared" si="70"/>
        <v>3</v>
      </c>
      <c r="L380" s="20" t="str">
        <f t="shared" si="71"/>
        <v>Se repite 3 veces</v>
      </c>
      <c r="M380" s="20" t="str">
        <f t="shared" si="72"/>
        <v>Fiesta Mart #60-Paneton Donofrio 6/31.04 oz</v>
      </c>
      <c r="N380" s="20">
        <f t="shared" si="73"/>
        <v>2</v>
      </c>
      <c r="O380" s="20" t="str">
        <f t="shared" si="74"/>
        <v>Se repite 2 veces en Fiesta Mart #60</v>
      </c>
      <c r="P380" s="20" t="str">
        <f t="shared" si="75"/>
        <v>Fiesta Mart #60-Paneton Donofrio 6/31.04 oz-47.94</v>
      </c>
      <c r="Q380" s="20">
        <f t="shared" si="76"/>
        <v>1</v>
      </c>
      <c r="R380" s="20" t="str">
        <f t="shared" si="77"/>
        <v>No se repite</v>
      </c>
      <c r="S380" s="20" t="str">
        <f t="shared" si="78"/>
        <v>El producto Paneton Donofrio 6/31.04 oz Se repite 2 veces en Fiesta Mart #60 Una vez con el precio 47.94</v>
      </c>
      <c r="T380" s="20" t="str">
        <f t="shared" si="79"/>
        <v>Fiesta Mart #60</v>
      </c>
      <c r="U380" s="20" t="str">
        <f t="shared" si="80"/>
        <v>Paneton Donofrio 6/31.04 oz</v>
      </c>
      <c r="V380" s="22">
        <f t="shared" si="81"/>
        <v>47.94</v>
      </c>
      <c r="W380" t="str">
        <f t="shared" si="82"/>
        <v>Fiesta Mart #60 12/18/2025</v>
      </c>
      <c r="Z380">
        <f t="shared" si="83"/>
        <v>575.28</v>
      </c>
    </row>
    <row r="381" spans="1:26" hidden="1" x14ac:dyDescent="0.25">
      <c r="A381" s="2" t="s">
        <v>253</v>
      </c>
      <c r="B381" s="11" t="s">
        <v>254</v>
      </c>
      <c r="C381" s="11" t="s">
        <v>4</v>
      </c>
      <c r="D381" s="11" t="s">
        <v>255</v>
      </c>
      <c r="E381" s="11" t="s">
        <v>250</v>
      </c>
      <c r="F381" s="11" t="s">
        <v>250</v>
      </c>
      <c r="G381" s="12">
        <v>40</v>
      </c>
      <c r="H381" s="12">
        <v>50.153500000000001</v>
      </c>
      <c r="I381" s="12">
        <v>2006.14</v>
      </c>
      <c r="J381" s="12">
        <v>2006.14</v>
      </c>
      <c r="K381" s="20">
        <f t="shared" si="70"/>
        <v>3</v>
      </c>
      <c r="L381" s="20" t="str">
        <f t="shared" si="71"/>
        <v>Se repite 3 veces</v>
      </c>
      <c r="M381" s="20" t="str">
        <f t="shared" si="72"/>
        <v>GUIXENS FOOD GROUP, INC.-Paneton Donofrio 6/31.04 oz</v>
      </c>
      <c r="N381" s="20">
        <f t="shared" si="73"/>
        <v>1</v>
      </c>
      <c r="O381" s="20" t="str">
        <f t="shared" si="74"/>
        <v>No se repite en proveedor</v>
      </c>
      <c r="P381" s="20" t="str">
        <f t="shared" si="75"/>
        <v>GUIXENS FOOD GROUP, INC.-Paneton Donofrio 6/31.04 oz-50.1535</v>
      </c>
      <c r="Q381" s="20">
        <f t="shared" si="76"/>
        <v>1</v>
      </c>
      <c r="R381" s="20" t="str">
        <f t="shared" si="77"/>
        <v>No se repite</v>
      </c>
      <c r="S381" s="20" t="str">
        <f t="shared" si="78"/>
        <v>El producto Paneton Donofrio 6/31.04 oz No se repite en proveedor Una vez con el precio 50.1535</v>
      </c>
      <c r="T381" s="20" t="str">
        <f t="shared" si="79"/>
        <v>GUIXENS FOOD GROUP, INC.</v>
      </c>
      <c r="U381" s="20" t="str">
        <f t="shared" si="80"/>
        <v>Paneton Donofrio 6/31.04 oz</v>
      </c>
      <c r="V381" s="22">
        <f t="shared" si="81"/>
        <v>50.153500000000001</v>
      </c>
      <c r="W381" t="str">
        <f t="shared" si="82"/>
        <v>GUIXENS FOOD GROUP, INC. 10/29/2025</v>
      </c>
      <c r="Z381">
        <f t="shared" si="83"/>
        <v>2006.14</v>
      </c>
    </row>
    <row r="382" spans="1:26" hidden="1" x14ac:dyDescent="0.25">
      <c r="A382" s="2" t="s">
        <v>201</v>
      </c>
      <c r="B382" s="11" t="s">
        <v>232</v>
      </c>
      <c r="C382" s="11" t="s">
        <v>4</v>
      </c>
      <c r="D382" s="11" t="s">
        <v>233</v>
      </c>
      <c r="E382" s="11" t="s">
        <v>234</v>
      </c>
      <c r="F382" s="11" t="s">
        <v>235</v>
      </c>
      <c r="G382" s="12">
        <v>100</v>
      </c>
      <c r="H382" s="12">
        <v>38</v>
      </c>
      <c r="I382" s="12">
        <v>3800</v>
      </c>
      <c r="J382" s="12">
        <v>53512.179999999993</v>
      </c>
      <c r="K382" s="20">
        <f t="shared" si="70"/>
        <v>2</v>
      </c>
      <c r="L382" s="20" t="str">
        <f t="shared" si="71"/>
        <v>Se repite 2 veces</v>
      </c>
      <c r="M382" s="20" t="str">
        <f t="shared" si="72"/>
        <v>Continental Food and Beverage, inc-Paneton TODINNO 900gr x 6</v>
      </c>
      <c r="N382" s="20">
        <f t="shared" si="73"/>
        <v>2</v>
      </c>
      <c r="O382" s="20" t="str">
        <f t="shared" si="74"/>
        <v>Se repite 2 veces en Continental Food and Beverage, inc</v>
      </c>
      <c r="P382" s="20" t="str">
        <f t="shared" si="75"/>
        <v>Continental Food and Beverage, inc-Paneton TODINNO 900gr x 6-38</v>
      </c>
      <c r="Q382" s="20">
        <f t="shared" si="76"/>
        <v>2</v>
      </c>
      <c r="R382" s="20" t="str">
        <f t="shared" si="77"/>
        <v>Se repite 2 veces el precio de 38</v>
      </c>
      <c r="S382" s="20" t="str">
        <f t="shared" si="78"/>
        <v>El producto Paneton TODINNO 900gr x 6 Se repite 2 veces en Continental Food and Beverage, inc, Se repite 2 veces el precio de 38</v>
      </c>
      <c r="T382" s="20" t="str">
        <f t="shared" si="79"/>
        <v>Continental Food and Beverage, inc</v>
      </c>
      <c r="U382" s="20" t="str">
        <f t="shared" si="80"/>
        <v>Paneton TODINNO 900gr x 6</v>
      </c>
      <c r="V382" s="22">
        <f t="shared" si="81"/>
        <v>38</v>
      </c>
      <c r="W382" t="str">
        <f t="shared" si="82"/>
        <v>Continental Food and Beverage, inc 10/01/2025</v>
      </c>
      <c r="Z382">
        <f t="shared" si="83"/>
        <v>3800</v>
      </c>
    </row>
    <row r="383" spans="1:26" hidden="1" x14ac:dyDescent="0.25">
      <c r="A383" s="2" t="s">
        <v>201</v>
      </c>
      <c r="B383" s="11" t="s">
        <v>237</v>
      </c>
      <c r="C383" s="11" t="s">
        <v>4</v>
      </c>
      <c r="D383" s="11" t="s">
        <v>238</v>
      </c>
      <c r="E383" s="11" t="s">
        <v>234</v>
      </c>
      <c r="F383" s="11" t="s">
        <v>235</v>
      </c>
      <c r="G383" s="12">
        <v>50</v>
      </c>
      <c r="H383" s="12">
        <v>38</v>
      </c>
      <c r="I383" s="12">
        <v>1900</v>
      </c>
      <c r="J383" s="12">
        <v>57510.499999999993</v>
      </c>
      <c r="K383" s="20">
        <f t="shared" si="70"/>
        <v>2</v>
      </c>
      <c r="L383" s="20" t="str">
        <f t="shared" si="71"/>
        <v>Se repite 2 veces</v>
      </c>
      <c r="M383" s="20" t="str">
        <f t="shared" si="72"/>
        <v>Continental Food and Beverage, inc-Paneton TODINNO 900gr x 6</v>
      </c>
      <c r="N383" s="20">
        <f t="shared" si="73"/>
        <v>2</v>
      </c>
      <c r="O383" s="20" t="str">
        <f t="shared" si="74"/>
        <v>Se repite 2 veces en Continental Food and Beverage, inc</v>
      </c>
      <c r="P383" s="20" t="str">
        <f t="shared" si="75"/>
        <v>Continental Food and Beverage, inc-Paneton TODINNO 900gr x 6-38</v>
      </c>
      <c r="Q383" s="20">
        <f t="shared" si="76"/>
        <v>2</v>
      </c>
      <c r="R383" s="20" t="str">
        <f t="shared" si="77"/>
        <v>Se repite 2 veces el precio de 38</v>
      </c>
      <c r="S383" s="20" t="str">
        <f t="shared" si="78"/>
        <v>El producto Paneton TODINNO 900gr x 6 Se repite 2 veces en Continental Food and Beverage, inc, Se repite 2 veces el precio de 38</v>
      </c>
      <c r="T383" s="20" t="str">
        <f t="shared" si="79"/>
        <v>Continental Food and Beverage, inc</v>
      </c>
      <c r="U383" s="20" t="str">
        <f t="shared" si="80"/>
        <v>Paneton TODINNO 900gr x 6</v>
      </c>
      <c r="V383" s="22">
        <f t="shared" si="81"/>
        <v>38</v>
      </c>
      <c r="W383" t="str">
        <f t="shared" si="82"/>
        <v>Continental Food and Beverage, inc 11/04/2025</v>
      </c>
      <c r="Z383">
        <f t="shared" si="83"/>
        <v>1900</v>
      </c>
    </row>
    <row r="384" spans="1:26" hidden="1" x14ac:dyDescent="0.25">
      <c r="A384" s="2" t="s">
        <v>272</v>
      </c>
      <c r="B384" s="11" t="s">
        <v>471</v>
      </c>
      <c r="C384" s="11" t="s">
        <v>4</v>
      </c>
      <c r="D384" s="11" t="s">
        <v>472</v>
      </c>
      <c r="E384" s="11" t="s">
        <v>508</v>
      </c>
      <c r="F384" s="11" t="s">
        <v>509</v>
      </c>
      <c r="G384" s="12">
        <v>3</v>
      </c>
      <c r="H384" s="12">
        <v>27</v>
      </c>
      <c r="I384" s="12">
        <v>81</v>
      </c>
      <c r="J384" s="12">
        <v>14388.5</v>
      </c>
      <c r="K384" s="20">
        <f t="shared" si="70"/>
        <v>1</v>
      </c>
      <c r="L384" s="20" t="str">
        <f t="shared" si="71"/>
        <v>No se repite</v>
      </c>
      <c r="M384" s="20" t="str">
        <f t="shared" si="72"/>
        <v>Peru Chef-Peru Chef Aceituna Verde Despepitada 11.83 Oz</v>
      </c>
      <c r="N384" s="20">
        <f t="shared" si="73"/>
        <v>1</v>
      </c>
      <c r="O384" s="20" t="str">
        <f t="shared" si="74"/>
        <v>No se repite en proveedor</v>
      </c>
      <c r="P384" s="20" t="str">
        <f t="shared" si="75"/>
        <v>Peru Chef-Peru Chef Aceituna Verde Despepitada 11.83 Oz-27</v>
      </c>
      <c r="Q384" s="20">
        <f t="shared" si="76"/>
        <v>1</v>
      </c>
      <c r="R384" s="20" t="str">
        <f t="shared" si="77"/>
        <v>No se repite</v>
      </c>
      <c r="S384" s="20" t="str">
        <f t="shared" si="78"/>
        <v>El producto Peru Chef Aceituna Verde Despepitada 11.83 Oz No se repite en proveedor Una vez con el precio 27</v>
      </c>
      <c r="T384" s="20" t="str">
        <f t="shared" si="79"/>
        <v>Peru Chef</v>
      </c>
      <c r="U384" s="20" t="str">
        <f t="shared" si="80"/>
        <v>Peru Chef Aceituna Verde Despepitada 11.83 Oz</v>
      </c>
      <c r="V384" s="22">
        <f t="shared" si="81"/>
        <v>27</v>
      </c>
      <c r="W384" t="str">
        <f t="shared" si="82"/>
        <v>Peru Chef 08/11/2025</v>
      </c>
      <c r="Z384">
        <f t="shared" si="83"/>
        <v>81</v>
      </c>
    </row>
    <row r="385" spans="1:26" hidden="1" x14ac:dyDescent="0.25">
      <c r="A385" s="2" t="s">
        <v>272</v>
      </c>
      <c r="B385" s="11" t="s">
        <v>273</v>
      </c>
      <c r="C385" s="11" t="s">
        <v>4</v>
      </c>
      <c r="D385" s="11" t="s">
        <v>5</v>
      </c>
      <c r="E385" s="11" t="s">
        <v>339</v>
      </c>
      <c r="F385" s="11" t="s">
        <v>340</v>
      </c>
      <c r="G385" s="12">
        <v>1</v>
      </c>
      <c r="H385" s="12">
        <v>42</v>
      </c>
      <c r="I385" s="12">
        <v>42</v>
      </c>
      <c r="J385" s="12">
        <v>1161.1999999999998</v>
      </c>
      <c r="K385" s="20">
        <f t="shared" si="70"/>
        <v>2</v>
      </c>
      <c r="L385" s="20" t="str">
        <f t="shared" si="71"/>
        <v>Se repite 2 veces</v>
      </c>
      <c r="M385" s="20" t="str">
        <f t="shared" si="72"/>
        <v>Peru Chef-Peru Chef Aceitunas Botija Sin Pepa 20 Oz X 12</v>
      </c>
      <c r="N385" s="20">
        <f t="shared" si="73"/>
        <v>2</v>
      </c>
      <c r="O385" s="20" t="str">
        <f t="shared" si="74"/>
        <v>Se repite 2 veces en Peru Chef</v>
      </c>
      <c r="P385" s="20" t="str">
        <f t="shared" si="75"/>
        <v>Peru Chef-Peru Chef Aceitunas Botija Sin Pepa 20 Oz X 12-42</v>
      </c>
      <c r="Q385" s="20">
        <f t="shared" si="76"/>
        <v>2</v>
      </c>
      <c r="R385" s="20" t="str">
        <f t="shared" si="77"/>
        <v>Se repite 2 veces el precio de 42</v>
      </c>
      <c r="S385" s="20" t="str">
        <f t="shared" si="78"/>
        <v>El producto Peru Chef Aceitunas Botija Sin Pepa 20 Oz X 12 Se repite 2 veces en Peru Chef, Se repite 2 veces el precio de 42</v>
      </c>
      <c r="T385" s="20" t="str">
        <f t="shared" si="79"/>
        <v>Peru Chef</v>
      </c>
      <c r="U385" s="20" t="str">
        <f t="shared" si="80"/>
        <v>Peru Chef Aceitunas Botija Sin Pepa 20 Oz X 12</v>
      </c>
      <c r="V385" s="22">
        <f t="shared" si="81"/>
        <v>42</v>
      </c>
      <c r="W385" t="str">
        <f t="shared" si="82"/>
        <v>Peru Chef 03/26/2025</v>
      </c>
      <c r="Z385">
        <f t="shared" si="83"/>
        <v>42</v>
      </c>
    </row>
    <row r="386" spans="1:26" hidden="1" x14ac:dyDescent="0.25">
      <c r="A386" s="2" t="s">
        <v>272</v>
      </c>
      <c r="B386" s="11" t="s">
        <v>398</v>
      </c>
      <c r="C386" s="11" t="s">
        <v>4</v>
      </c>
      <c r="D386" s="11" t="s">
        <v>399</v>
      </c>
      <c r="E386" s="11" t="s">
        <v>339</v>
      </c>
      <c r="F386" s="11" t="s">
        <v>340</v>
      </c>
      <c r="G386" s="12">
        <v>1</v>
      </c>
      <c r="H386" s="12">
        <v>42</v>
      </c>
      <c r="I386" s="12">
        <v>42</v>
      </c>
      <c r="J386" s="12">
        <v>3312</v>
      </c>
      <c r="K386" s="20">
        <f t="shared" si="70"/>
        <v>2</v>
      </c>
      <c r="L386" s="20" t="str">
        <f t="shared" si="71"/>
        <v>Se repite 2 veces</v>
      </c>
      <c r="M386" s="20" t="str">
        <f t="shared" si="72"/>
        <v>Peru Chef-Peru Chef Aceitunas Botija Sin Pepa 20 Oz X 12</v>
      </c>
      <c r="N386" s="20">
        <f t="shared" si="73"/>
        <v>2</v>
      </c>
      <c r="O386" s="20" t="str">
        <f t="shared" si="74"/>
        <v>Se repite 2 veces en Peru Chef</v>
      </c>
      <c r="P386" s="20" t="str">
        <f t="shared" si="75"/>
        <v>Peru Chef-Peru Chef Aceitunas Botija Sin Pepa 20 Oz X 12-42</v>
      </c>
      <c r="Q386" s="20">
        <f t="shared" si="76"/>
        <v>2</v>
      </c>
      <c r="R386" s="20" t="str">
        <f t="shared" si="77"/>
        <v>Se repite 2 veces el precio de 42</v>
      </c>
      <c r="S386" s="20" t="str">
        <f t="shared" si="78"/>
        <v>El producto Peru Chef Aceitunas Botija Sin Pepa 20 Oz X 12 Se repite 2 veces en Peru Chef, Se repite 2 veces el precio de 42</v>
      </c>
      <c r="T386" s="20" t="str">
        <f t="shared" si="79"/>
        <v>Peru Chef</v>
      </c>
      <c r="U386" s="20" t="str">
        <f t="shared" si="80"/>
        <v>Peru Chef Aceitunas Botija Sin Pepa 20 Oz X 12</v>
      </c>
      <c r="V386" s="22">
        <f t="shared" si="81"/>
        <v>42</v>
      </c>
      <c r="W386" t="str">
        <f t="shared" si="82"/>
        <v>Peru Chef 04/10/2025</v>
      </c>
      <c r="Z386">
        <f t="shared" si="83"/>
        <v>42</v>
      </c>
    </row>
    <row r="387" spans="1:26" hidden="1" x14ac:dyDescent="0.25">
      <c r="A387" s="2" t="s">
        <v>272</v>
      </c>
      <c r="B387" s="11" t="s">
        <v>273</v>
      </c>
      <c r="C387" s="11" t="s">
        <v>4</v>
      </c>
      <c r="D387" s="11" t="s">
        <v>5</v>
      </c>
      <c r="E387" s="11" t="s">
        <v>337</v>
      </c>
      <c r="F387" s="11" t="s">
        <v>338</v>
      </c>
      <c r="G387" s="12">
        <v>1</v>
      </c>
      <c r="H387" s="12">
        <v>39</v>
      </c>
      <c r="I387" s="12">
        <v>39</v>
      </c>
      <c r="J387" s="12">
        <v>1119.1999999999998</v>
      </c>
      <c r="K387" s="20">
        <f t="shared" ref="K387:K450" si="84">COUNTIF($E$2:$E$1438,E387)</f>
        <v>2</v>
      </c>
      <c r="L387" s="20" t="str">
        <f t="shared" ref="L387:L450" si="85">IF(K387&gt;1,_xlfn.CONCAT("Se repite ",K387," veces"),"No se repite")</f>
        <v>Se repite 2 veces</v>
      </c>
      <c r="M387" s="20" t="str">
        <f t="shared" ref="M387:M450" si="86">_xlfn.CONCAT(A387,"-",E387)</f>
        <v>Peru Chef-Peru Chef Aceitunas Negras 20 Oz X 12</v>
      </c>
      <c r="N387" s="20">
        <f t="shared" ref="N387:N450" si="87">COUNTIF($M$2:$M$1438,M387)</f>
        <v>2</v>
      </c>
      <c r="O387" s="20" t="str">
        <f t="shared" ref="O387:O450" si="88">IF(N387&gt;1,_xlfn.CONCAT("Se repite ",N387," veces en ",A387),"No se repite en proveedor")</f>
        <v>Se repite 2 veces en Peru Chef</v>
      </c>
      <c r="P387" s="20" t="str">
        <f t="shared" ref="P387:P450" si="89">_xlfn.CONCAT(A387,"-",E387,"-",H387)</f>
        <v>Peru Chef-Peru Chef Aceitunas Negras 20 Oz X 12-39</v>
      </c>
      <c r="Q387" s="20">
        <f t="shared" ref="Q387:Q450" si="90">COUNTIF($P$2:$P$1438,P387)</f>
        <v>2</v>
      </c>
      <c r="R387" s="20" t="str">
        <f t="shared" ref="R387:R450" si="91">IF(Q387&gt;1,_xlfn.CONCAT("Se repite ",Q387," veces el precio de ",H387),"No se repite")</f>
        <v>Se repite 2 veces el precio de 39</v>
      </c>
      <c r="S387" s="20" t="str">
        <f t="shared" ref="S387:S450" si="92">_xlfn.CONCAT("El producto ",E387," ",O387,IF(R387="No se repite",_xlfn.CONCAT(" Una vez con el precio ",H387),_xlfn.CONCAT(", ",R387)))</f>
        <v>El producto Peru Chef Aceitunas Negras 20 Oz X 12 Se repite 2 veces en Peru Chef, Se repite 2 veces el precio de 39</v>
      </c>
      <c r="T387" s="20" t="str">
        <f t="shared" ref="T387:T450" si="93">+A387</f>
        <v>Peru Chef</v>
      </c>
      <c r="U387" s="20" t="str">
        <f t="shared" ref="U387:U450" si="94">+E387</f>
        <v>Peru Chef Aceitunas Negras 20 Oz X 12</v>
      </c>
      <c r="V387" s="22">
        <f t="shared" ref="V387:V450" si="95">+H387</f>
        <v>39</v>
      </c>
      <c r="W387" t="str">
        <f t="shared" ref="W387:W450" si="96">_xlfn.CONCAT(A387," ",B387)</f>
        <v>Peru Chef 03/26/2025</v>
      </c>
      <c r="Z387">
        <f t="shared" ref="Z387:Z450" si="97">G387*H387</f>
        <v>39</v>
      </c>
    </row>
    <row r="388" spans="1:26" hidden="1" x14ac:dyDescent="0.25">
      <c r="A388" s="2" t="s">
        <v>272</v>
      </c>
      <c r="B388" s="11" t="s">
        <v>398</v>
      </c>
      <c r="C388" s="11" t="s">
        <v>4</v>
      </c>
      <c r="D388" s="11" t="s">
        <v>399</v>
      </c>
      <c r="E388" s="11" t="s">
        <v>337</v>
      </c>
      <c r="F388" s="11" t="s">
        <v>338</v>
      </c>
      <c r="G388" s="12">
        <v>1</v>
      </c>
      <c r="H388" s="12">
        <v>39</v>
      </c>
      <c r="I388" s="12">
        <v>39</v>
      </c>
      <c r="J388" s="12">
        <v>3270</v>
      </c>
      <c r="K388" s="20">
        <f t="shared" si="84"/>
        <v>2</v>
      </c>
      <c r="L388" s="20" t="str">
        <f t="shared" si="85"/>
        <v>Se repite 2 veces</v>
      </c>
      <c r="M388" s="20" t="str">
        <f t="shared" si="86"/>
        <v>Peru Chef-Peru Chef Aceitunas Negras 20 Oz X 12</v>
      </c>
      <c r="N388" s="20">
        <f t="shared" si="87"/>
        <v>2</v>
      </c>
      <c r="O388" s="20" t="str">
        <f t="shared" si="88"/>
        <v>Se repite 2 veces en Peru Chef</v>
      </c>
      <c r="P388" s="20" t="str">
        <f t="shared" si="89"/>
        <v>Peru Chef-Peru Chef Aceitunas Negras 20 Oz X 12-39</v>
      </c>
      <c r="Q388" s="20">
        <f t="shared" si="90"/>
        <v>2</v>
      </c>
      <c r="R388" s="20" t="str">
        <f t="shared" si="91"/>
        <v>Se repite 2 veces el precio de 39</v>
      </c>
      <c r="S388" s="20" t="str">
        <f t="shared" si="92"/>
        <v>El producto Peru Chef Aceitunas Negras 20 Oz X 12 Se repite 2 veces en Peru Chef, Se repite 2 veces el precio de 39</v>
      </c>
      <c r="T388" s="20" t="str">
        <f t="shared" si="93"/>
        <v>Peru Chef</v>
      </c>
      <c r="U388" s="20" t="str">
        <f t="shared" si="94"/>
        <v>Peru Chef Aceitunas Negras 20 Oz X 12</v>
      </c>
      <c r="V388" s="22">
        <f t="shared" si="95"/>
        <v>39</v>
      </c>
      <c r="W388" t="str">
        <f t="shared" si="96"/>
        <v>Peru Chef 04/10/2025</v>
      </c>
      <c r="Z388">
        <f t="shared" si="97"/>
        <v>39</v>
      </c>
    </row>
    <row r="389" spans="1:26" hidden="1" x14ac:dyDescent="0.25">
      <c r="A389" s="2" t="s">
        <v>272</v>
      </c>
      <c r="B389" s="11" t="s">
        <v>512</v>
      </c>
      <c r="C389" s="11" t="s">
        <v>4</v>
      </c>
      <c r="D389" s="11" t="s">
        <v>513</v>
      </c>
      <c r="E389" s="11" t="s">
        <v>537</v>
      </c>
      <c r="F389" s="11" t="s">
        <v>538</v>
      </c>
      <c r="G389" s="12">
        <v>2</v>
      </c>
      <c r="H389" s="12">
        <v>42</v>
      </c>
      <c r="I389" s="12">
        <v>84</v>
      </c>
      <c r="J389" s="12">
        <v>17945.5</v>
      </c>
      <c r="K389" s="20">
        <f t="shared" si="84"/>
        <v>1</v>
      </c>
      <c r="L389" s="20" t="str">
        <f t="shared" si="85"/>
        <v>No se repite</v>
      </c>
      <c r="M389" s="20" t="str">
        <f t="shared" si="86"/>
        <v>Peru Chef-Peru Chef Aderezo Papa Pollada 10.5 Oz X12</v>
      </c>
      <c r="N389" s="20">
        <f t="shared" si="87"/>
        <v>1</v>
      </c>
      <c r="O389" s="20" t="str">
        <f t="shared" si="88"/>
        <v>No se repite en proveedor</v>
      </c>
      <c r="P389" s="20" t="str">
        <f t="shared" si="89"/>
        <v>Peru Chef-Peru Chef Aderezo Papa Pollada 10.5 Oz X12-42</v>
      </c>
      <c r="Q389" s="20">
        <f t="shared" si="90"/>
        <v>1</v>
      </c>
      <c r="R389" s="20" t="str">
        <f t="shared" si="91"/>
        <v>No se repite</v>
      </c>
      <c r="S389" s="20" t="str">
        <f t="shared" si="92"/>
        <v>El producto Peru Chef Aderezo Papa Pollada 10.5 Oz X12 No se repite en proveedor Una vez con el precio 42</v>
      </c>
      <c r="T389" s="20" t="str">
        <f t="shared" si="93"/>
        <v>Peru Chef</v>
      </c>
      <c r="U389" s="20" t="str">
        <f t="shared" si="94"/>
        <v>Peru Chef Aderezo Papa Pollada 10.5 Oz X12</v>
      </c>
      <c r="V389" s="22">
        <f t="shared" si="95"/>
        <v>42</v>
      </c>
      <c r="W389" t="str">
        <f t="shared" si="96"/>
        <v>Peru Chef 08/28/2025</v>
      </c>
      <c r="Z389">
        <f t="shared" si="97"/>
        <v>84</v>
      </c>
    </row>
    <row r="390" spans="1:26" hidden="1" x14ac:dyDescent="0.25">
      <c r="A390" s="2" t="s">
        <v>272</v>
      </c>
      <c r="B390" s="11" t="s">
        <v>408</v>
      </c>
      <c r="C390" s="11" t="s">
        <v>4</v>
      </c>
      <c r="D390" s="11" t="s">
        <v>409</v>
      </c>
      <c r="E390" s="11" t="s">
        <v>412</v>
      </c>
      <c r="F390" s="11" t="s">
        <v>413</v>
      </c>
      <c r="G390" s="12">
        <v>1</v>
      </c>
      <c r="H390" s="12">
        <v>36</v>
      </c>
      <c r="I390" s="12">
        <v>36</v>
      </c>
      <c r="J390" s="12">
        <v>4582.6000000000004</v>
      </c>
      <c r="K390" s="20">
        <f t="shared" si="84"/>
        <v>2</v>
      </c>
      <c r="L390" s="20" t="str">
        <f t="shared" si="85"/>
        <v>Se repite 2 veces</v>
      </c>
      <c r="M390" s="20" t="str">
        <f t="shared" si="86"/>
        <v>Peru Chef-Peru Chef Aderezo Para Pachamanca 10 5 Oz x 12 frascos</v>
      </c>
      <c r="N390" s="20">
        <f t="shared" si="87"/>
        <v>2</v>
      </c>
      <c r="O390" s="20" t="str">
        <f t="shared" si="88"/>
        <v>Se repite 2 veces en Peru Chef</v>
      </c>
      <c r="P390" s="20" t="str">
        <f t="shared" si="89"/>
        <v>Peru Chef-Peru Chef Aderezo Para Pachamanca 10 5 Oz x 12 frascos-36</v>
      </c>
      <c r="Q390" s="20">
        <f t="shared" si="90"/>
        <v>1</v>
      </c>
      <c r="R390" s="20" t="str">
        <f t="shared" si="91"/>
        <v>No se repite</v>
      </c>
      <c r="S390" s="20" t="str">
        <f t="shared" si="92"/>
        <v>El producto Peru Chef Aderezo Para Pachamanca 10 5 Oz x 12 frascos Se repite 2 veces en Peru Chef Una vez con el precio 36</v>
      </c>
      <c r="T390" s="20" t="str">
        <f t="shared" si="93"/>
        <v>Peru Chef</v>
      </c>
      <c r="U390" s="20" t="str">
        <f t="shared" si="94"/>
        <v>Peru Chef Aderezo Para Pachamanca 10 5 Oz x 12 frascos</v>
      </c>
      <c r="V390" s="22">
        <f t="shared" si="95"/>
        <v>36</v>
      </c>
      <c r="W390" t="str">
        <f t="shared" si="96"/>
        <v>Peru Chef 04/13/2025</v>
      </c>
      <c r="Z390">
        <f t="shared" si="97"/>
        <v>36</v>
      </c>
    </row>
    <row r="391" spans="1:26" hidden="1" x14ac:dyDescent="0.25">
      <c r="A391" s="2" t="s">
        <v>272</v>
      </c>
      <c r="B391" s="11" t="s">
        <v>512</v>
      </c>
      <c r="C391" s="11" t="s">
        <v>4</v>
      </c>
      <c r="D391" s="11" t="s">
        <v>513</v>
      </c>
      <c r="E391" s="11" t="s">
        <v>412</v>
      </c>
      <c r="F391" s="11" t="s">
        <v>413</v>
      </c>
      <c r="G391" s="12">
        <v>2</v>
      </c>
      <c r="H391" s="12">
        <v>39</v>
      </c>
      <c r="I391" s="12">
        <v>78</v>
      </c>
      <c r="J391" s="12">
        <v>18023.5</v>
      </c>
      <c r="K391" s="20">
        <f t="shared" si="84"/>
        <v>2</v>
      </c>
      <c r="L391" s="20" t="str">
        <f t="shared" si="85"/>
        <v>Se repite 2 veces</v>
      </c>
      <c r="M391" s="20" t="str">
        <f t="shared" si="86"/>
        <v>Peru Chef-Peru Chef Aderezo Para Pachamanca 10 5 Oz x 12 frascos</v>
      </c>
      <c r="N391" s="20">
        <f t="shared" si="87"/>
        <v>2</v>
      </c>
      <c r="O391" s="20" t="str">
        <f t="shared" si="88"/>
        <v>Se repite 2 veces en Peru Chef</v>
      </c>
      <c r="P391" s="20" t="str">
        <f t="shared" si="89"/>
        <v>Peru Chef-Peru Chef Aderezo Para Pachamanca 10 5 Oz x 12 frascos-39</v>
      </c>
      <c r="Q391" s="20">
        <f t="shared" si="90"/>
        <v>1</v>
      </c>
      <c r="R391" s="20" t="str">
        <f t="shared" si="91"/>
        <v>No se repite</v>
      </c>
      <c r="S391" s="20" t="str">
        <f t="shared" si="92"/>
        <v>El producto Peru Chef Aderezo Para Pachamanca 10 5 Oz x 12 frascos Se repite 2 veces en Peru Chef Una vez con el precio 39</v>
      </c>
      <c r="T391" s="20" t="str">
        <f t="shared" si="93"/>
        <v>Peru Chef</v>
      </c>
      <c r="U391" s="20" t="str">
        <f t="shared" si="94"/>
        <v>Peru Chef Aderezo Para Pachamanca 10 5 Oz x 12 frascos</v>
      </c>
      <c r="V391" s="22">
        <f t="shared" si="95"/>
        <v>39</v>
      </c>
      <c r="W391" t="str">
        <f t="shared" si="96"/>
        <v>Peru Chef 08/28/2025</v>
      </c>
      <c r="Z391">
        <f t="shared" si="97"/>
        <v>78</v>
      </c>
    </row>
    <row r="392" spans="1:26" hidden="1" x14ac:dyDescent="0.25">
      <c r="A392" s="2" t="s">
        <v>272</v>
      </c>
      <c r="B392" s="11" t="s">
        <v>512</v>
      </c>
      <c r="C392" s="11" t="s">
        <v>4</v>
      </c>
      <c r="D392" s="11" t="s">
        <v>513</v>
      </c>
      <c r="E392" s="11" t="s">
        <v>541</v>
      </c>
      <c r="F392" s="11" t="s">
        <v>542</v>
      </c>
      <c r="G392" s="12">
        <v>2</v>
      </c>
      <c r="H392" s="12">
        <v>46</v>
      </c>
      <c r="I392" s="12">
        <v>92</v>
      </c>
      <c r="J392" s="12">
        <v>18193.5</v>
      </c>
      <c r="K392" s="20">
        <f t="shared" si="84"/>
        <v>1</v>
      </c>
      <c r="L392" s="20" t="str">
        <f t="shared" si="85"/>
        <v>No se repite</v>
      </c>
      <c r="M392" s="20" t="str">
        <f t="shared" si="86"/>
        <v>Peru Chef-Peru Chef Aderezo Para Pavo 10.5 Oz X 12</v>
      </c>
      <c r="N392" s="20">
        <f t="shared" si="87"/>
        <v>1</v>
      </c>
      <c r="O392" s="20" t="str">
        <f t="shared" si="88"/>
        <v>No se repite en proveedor</v>
      </c>
      <c r="P392" s="20" t="str">
        <f t="shared" si="89"/>
        <v>Peru Chef-Peru Chef Aderezo Para Pavo 10.5 Oz X 12-46</v>
      </c>
      <c r="Q392" s="20">
        <f t="shared" si="90"/>
        <v>1</v>
      </c>
      <c r="R392" s="20" t="str">
        <f t="shared" si="91"/>
        <v>No se repite</v>
      </c>
      <c r="S392" s="20" t="str">
        <f t="shared" si="92"/>
        <v>El producto Peru Chef Aderezo Para Pavo 10.5 Oz X 12 No se repite en proveedor Una vez con el precio 46</v>
      </c>
      <c r="T392" s="20" t="str">
        <f t="shared" si="93"/>
        <v>Peru Chef</v>
      </c>
      <c r="U392" s="20" t="str">
        <f t="shared" si="94"/>
        <v>Peru Chef Aderezo Para Pavo 10.5 Oz X 12</v>
      </c>
      <c r="V392" s="22">
        <f t="shared" si="95"/>
        <v>46</v>
      </c>
      <c r="W392" t="str">
        <f t="shared" si="96"/>
        <v>Peru Chef 08/28/2025</v>
      </c>
      <c r="Z392">
        <f t="shared" si="97"/>
        <v>92</v>
      </c>
    </row>
    <row r="393" spans="1:26" hidden="1" x14ac:dyDescent="0.25">
      <c r="A393" s="2" t="s">
        <v>272</v>
      </c>
      <c r="B393" s="11" t="s">
        <v>512</v>
      </c>
      <c r="C393" s="11" t="s">
        <v>4</v>
      </c>
      <c r="D393" s="11" t="s">
        <v>513</v>
      </c>
      <c r="E393" s="11" t="s">
        <v>539</v>
      </c>
      <c r="F393" s="11" t="s">
        <v>540</v>
      </c>
      <c r="G393" s="12">
        <v>2</v>
      </c>
      <c r="H393" s="12">
        <v>39</v>
      </c>
      <c r="I393" s="12">
        <v>78</v>
      </c>
      <c r="J393" s="12">
        <v>18101.5</v>
      </c>
      <c r="K393" s="20">
        <f t="shared" si="84"/>
        <v>1</v>
      </c>
      <c r="L393" s="20" t="str">
        <f t="shared" si="85"/>
        <v>No se repite</v>
      </c>
      <c r="M393" s="20" t="str">
        <f t="shared" si="86"/>
        <v>Peru Chef-Peru Chef Adobo De Cerdo 10.5 Oz x 12 frascos</v>
      </c>
      <c r="N393" s="20">
        <f t="shared" si="87"/>
        <v>1</v>
      </c>
      <c r="O393" s="20" t="str">
        <f t="shared" si="88"/>
        <v>No se repite en proveedor</v>
      </c>
      <c r="P393" s="20" t="str">
        <f t="shared" si="89"/>
        <v>Peru Chef-Peru Chef Adobo De Cerdo 10.5 Oz x 12 frascos-39</v>
      </c>
      <c r="Q393" s="20">
        <f t="shared" si="90"/>
        <v>1</v>
      </c>
      <c r="R393" s="20" t="str">
        <f t="shared" si="91"/>
        <v>No se repite</v>
      </c>
      <c r="S393" s="20" t="str">
        <f t="shared" si="92"/>
        <v>El producto Peru Chef Adobo De Cerdo 10.5 Oz x 12 frascos No se repite en proveedor Una vez con el precio 39</v>
      </c>
      <c r="T393" s="20" t="str">
        <f t="shared" si="93"/>
        <v>Peru Chef</v>
      </c>
      <c r="U393" s="20" t="str">
        <f t="shared" si="94"/>
        <v>Peru Chef Adobo De Cerdo 10.5 Oz x 12 frascos</v>
      </c>
      <c r="V393" s="22">
        <f t="shared" si="95"/>
        <v>39</v>
      </c>
      <c r="W393" t="str">
        <f t="shared" si="96"/>
        <v>Peru Chef 08/28/2025</v>
      </c>
      <c r="Z393">
        <f t="shared" si="97"/>
        <v>78</v>
      </c>
    </row>
    <row r="394" spans="1:26" hidden="1" x14ac:dyDescent="0.25">
      <c r="A394" s="2" t="s">
        <v>272</v>
      </c>
      <c r="B394" s="11" t="s">
        <v>273</v>
      </c>
      <c r="C394" s="11" t="s">
        <v>4</v>
      </c>
      <c r="D394" s="11" t="s">
        <v>5</v>
      </c>
      <c r="E394" s="11" t="s">
        <v>386</v>
      </c>
      <c r="F394" s="11" t="s">
        <v>387</v>
      </c>
      <c r="G394" s="12">
        <v>1</v>
      </c>
      <c r="H394" s="12">
        <v>46</v>
      </c>
      <c r="I394" s="12">
        <v>46</v>
      </c>
      <c r="J394" s="12">
        <v>1984.6999999999998</v>
      </c>
      <c r="K394" s="20">
        <f t="shared" si="84"/>
        <v>2</v>
      </c>
      <c r="L394" s="20" t="str">
        <f t="shared" si="85"/>
        <v>Se repite 2 veces</v>
      </c>
      <c r="M394" s="20" t="str">
        <f t="shared" si="86"/>
        <v>Peru Chef-Peru Chef Aji Amarillo 1 Lb X 18</v>
      </c>
      <c r="N394" s="20">
        <f t="shared" si="87"/>
        <v>2</v>
      </c>
      <c r="O394" s="20" t="str">
        <f t="shared" si="88"/>
        <v>Se repite 2 veces en Peru Chef</v>
      </c>
      <c r="P394" s="20" t="str">
        <f t="shared" si="89"/>
        <v>Peru Chef-Peru Chef Aji Amarillo 1 Lb X 18-46</v>
      </c>
      <c r="Q394" s="20">
        <f t="shared" si="90"/>
        <v>2</v>
      </c>
      <c r="R394" s="20" t="str">
        <f t="shared" si="91"/>
        <v>Se repite 2 veces el precio de 46</v>
      </c>
      <c r="S394" s="20" t="str">
        <f t="shared" si="92"/>
        <v>El producto Peru Chef Aji Amarillo 1 Lb X 18 Se repite 2 veces en Peru Chef, Se repite 2 veces el precio de 46</v>
      </c>
      <c r="T394" s="20" t="str">
        <f t="shared" si="93"/>
        <v>Peru Chef</v>
      </c>
      <c r="U394" s="20" t="str">
        <f t="shared" si="94"/>
        <v>Peru Chef Aji Amarillo 1 Lb X 18</v>
      </c>
      <c r="V394" s="22">
        <f t="shared" si="95"/>
        <v>46</v>
      </c>
      <c r="W394" t="str">
        <f t="shared" si="96"/>
        <v>Peru Chef 03/26/2025</v>
      </c>
      <c r="Z394">
        <f t="shared" si="97"/>
        <v>46</v>
      </c>
    </row>
    <row r="395" spans="1:26" hidden="1" x14ac:dyDescent="0.25">
      <c r="A395" s="2" t="s">
        <v>272</v>
      </c>
      <c r="B395" s="11" t="s">
        <v>398</v>
      </c>
      <c r="C395" s="11" t="s">
        <v>4</v>
      </c>
      <c r="D395" s="11" t="s">
        <v>399</v>
      </c>
      <c r="E395" s="11" t="s">
        <v>386</v>
      </c>
      <c r="F395" s="11" t="s">
        <v>387</v>
      </c>
      <c r="G395" s="12">
        <v>1</v>
      </c>
      <c r="H395" s="12">
        <v>46</v>
      </c>
      <c r="I395" s="12">
        <v>46</v>
      </c>
      <c r="J395" s="12">
        <v>4010.5</v>
      </c>
      <c r="K395" s="20">
        <f t="shared" si="84"/>
        <v>2</v>
      </c>
      <c r="L395" s="20" t="str">
        <f t="shared" si="85"/>
        <v>Se repite 2 veces</v>
      </c>
      <c r="M395" s="20" t="str">
        <f t="shared" si="86"/>
        <v>Peru Chef-Peru Chef Aji Amarillo 1 Lb X 18</v>
      </c>
      <c r="N395" s="20">
        <f t="shared" si="87"/>
        <v>2</v>
      </c>
      <c r="O395" s="20" t="str">
        <f t="shared" si="88"/>
        <v>Se repite 2 veces en Peru Chef</v>
      </c>
      <c r="P395" s="20" t="str">
        <f t="shared" si="89"/>
        <v>Peru Chef-Peru Chef Aji Amarillo 1 Lb X 18-46</v>
      </c>
      <c r="Q395" s="20">
        <f t="shared" si="90"/>
        <v>2</v>
      </c>
      <c r="R395" s="20" t="str">
        <f t="shared" si="91"/>
        <v>Se repite 2 veces el precio de 46</v>
      </c>
      <c r="S395" s="20" t="str">
        <f t="shared" si="92"/>
        <v>El producto Peru Chef Aji Amarillo 1 Lb X 18 Se repite 2 veces en Peru Chef, Se repite 2 veces el precio de 46</v>
      </c>
      <c r="T395" s="20" t="str">
        <f t="shared" si="93"/>
        <v>Peru Chef</v>
      </c>
      <c r="U395" s="20" t="str">
        <f t="shared" si="94"/>
        <v>Peru Chef Aji Amarillo 1 Lb X 18</v>
      </c>
      <c r="V395" s="22">
        <f t="shared" si="95"/>
        <v>46</v>
      </c>
      <c r="W395" t="str">
        <f t="shared" si="96"/>
        <v>Peru Chef 04/10/2025</v>
      </c>
      <c r="Z395">
        <f t="shared" si="97"/>
        <v>46</v>
      </c>
    </row>
    <row r="396" spans="1:26" hidden="1" x14ac:dyDescent="0.25">
      <c r="A396" s="2" t="s">
        <v>272</v>
      </c>
      <c r="B396" s="11" t="s">
        <v>273</v>
      </c>
      <c r="C396" s="11" t="s">
        <v>4</v>
      </c>
      <c r="D396" s="11" t="s">
        <v>5</v>
      </c>
      <c r="E396" s="11" t="s">
        <v>390</v>
      </c>
      <c r="F396" s="11" t="s">
        <v>391</v>
      </c>
      <c r="G396" s="12">
        <v>1</v>
      </c>
      <c r="H396" s="12">
        <v>39</v>
      </c>
      <c r="I396" s="12">
        <v>39</v>
      </c>
      <c r="J396" s="12">
        <v>2078.6999999999998</v>
      </c>
      <c r="K396" s="20">
        <f t="shared" si="84"/>
        <v>5</v>
      </c>
      <c r="L396" s="20" t="str">
        <f t="shared" si="85"/>
        <v>Se repite 5 veces</v>
      </c>
      <c r="M396" s="20" t="str">
        <f t="shared" si="86"/>
        <v>Peru Chef-Peru Chef Aji Limo 1 Lb X 15 FROZEN</v>
      </c>
      <c r="N396" s="20">
        <f t="shared" si="87"/>
        <v>5</v>
      </c>
      <c r="O396" s="20" t="str">
        <f t="shared" si="88"/>
        <v>Se repite 5 veces en Peru Chef</v>
      </c>
      <c r="P396" s="20" t="str">
        <f t="shared" si="89"/>
        <v>Peru Chef-Peru Chef Aji Limo 1 Lb X 15 FROZEN-39</v>
      </c>
      <c r="Q396" s="20">
        <f t="shared" si="90"/>
        <v>2</v>
      </c>
      <c r="R396" s="20" t="str">
        <f t="shared" si="91"/>
        <v>Se repite 2 veces el precio de 39</v>
      </c>
      <c r="S396" s="20" t="str">
        <f t="shared" si="92"/>
        <v>El producto Peru Chef Aji Limo 1 Lb X 15 FROZEN Se repite 5 veces en Peru Chef, Se repite 2 veces el precio de 39</v>
      </c>
      <c r="T396" s="20" t="str">
        <f t="shared" si="93"/>
        <v>Peru Chef</v>
      </c>
      <c r="U396" s="20" t="str">
        <f t="shared" si="94"/>
        <v>Peru Chef Aji Limo 1 Lb X 15 FROZEN</v>
      </c>
      <c r="V396" s="22">
        <f t="shared" si="95"/>
        <v>39</v>
      </c>
      <c r="W396" t="str">
        <f t="shared" si="96"/>
        <v>Peru Chef 03/26/2025</v>
      </c>
      <c r="Z396">
        <f t="shared" si="97"/>
        <v>39</v>
      </c>
    </row>
    <row r="397" spans="1:26" hidden="1" x14ac:dyDescent="0.25">
      <c r="A397" s="2" t="s">
        <v>272</v>
      </c>
      <c r="B397" s="11" t="s">
        <v>398</v>
      </c>
      <c r="C397" s="11" t="s">
        <v>4</v>
      </c>
      <c r="D397" s="11" t="s">
        <v>399</v>
      </c>
      <c r="E397" s="11" t="s">
        <v>390</v>
      </c>
      <c r="F397" s="11" t="s">
        <v>391</v>
      </c>
      <c r="G397" s="12">
        <v>1</v>
      </c>
      <c r="H397" s="12">
        <v>39</v>
      </c>
      <c r="I397" s="12">
        <v>39</v>
      </c>
      <c r="J397" s="12">
        <v>4104.5</v>
      </c>
      <c r="K397" s="20">
        <f t="shared" si="84"/>
        <v>5</v>
      </c>
      <c r="L397" s="20" t="str">
        <f t="shared" si="85"/>
        <v>Se repite 5 veces</v>
      </c>
      <c r="M397" s="20" t="str">
        <f t="shared" si="86"/>
        <v>Peru Chef-Peru Chef Aji Limo 1 Lb X 15 FROZEN</v>
      </c>
      <c r="N397" s="20">
        <f t="shared" si="87"/>
        <v>5</v>
      </c>
      <c r="O397" s="20" t="str">
        <f t="shared" si="88"/>
        <v>Se repite 5 veces en Peru Chef</v>
      </c>
      <c r="P397" s="20" t="str">
        <f t="shared" si="89"/>
        <v>Peru Chef-Peru Chef Aji Limo 1 Lb X 15 FROZEN-39</v>
      </c>
      <c r="Q397" s="20">
        <f t="shared" si="90"/>
        <v>2</v>
      </c>
      <c r="R397" s="20" t="str">
        <f t="shared" si="91"/>
        <v>Se repite 2 veces el precio de 39</v>
      </c>
      <c r="S397" s="20" t="str">
        <f t="shared" si="92"/>
        <v>El producto Peru Chef Aji Limo 1 Lb X 15 FROZEN Se repite 5 veces en Peru Chef, Se repite 2 veces el precio de 39</v>
      </c>
      <c r="T397" s="20" t="str">
        <f t="shared" si="93"/>
        <v>Peru Chef</v>
      </c>
      <c r="U397" s="20" t="str">
        <f t="shared" si="94"/>
        <v>Peru Chef Aji Limo 1 Lb X 15 FROZEN</v>
      </c>
      <c r="V397" s="22">
        <f t="shared" si="95"/>
        <v>39</v>
      </c>
      <c r="W397" t="str">
        <f t="shared" si="96"/>
        <v>Peru Chef 04/10/2025</v>
      </c>
      <c r="Z397">
        <f t="shared" si="97"/>
        <v>39</v>
      </c>
    </row>
    <row r="398" spans="1:26" hidden="1" x14ac:dyDescent="0.25">
      <c r="A398" s="2" t="s">
        <v>272</v>
      </c>
      <c r="B398" s="11" t="s">
        <v>471</v>
      </c>
      <c r="C398" s="11" t="s">
        <v>4</v>
      </c>
      <c r="D398" s="11" t="s">
        <v>472</v>
      </c>
      <c r="E398" s="11" t="s">
        <v>390</v>
      </c>
      <c r="F398" s="11" t="s">
        <v>391</v>
      </c>
      <c r="G398" s="12">
        <v>4</v>
      </c>
      <c r="H398" s="12">
        <v>43</v>
      </c>
      <c r="I398" s="12">
        <v>172</v>
      </c>
      <c r="J398" s="12">
        <v>11060.5</v>
      </c>
      <c r="K398" s="20">
        <f t="shared" si="84"/>
        <v>5</v>
      </c>
      <c r="L398" s="20" t="str">
        <f t="shared" si="85"/>
        <v>Se repite 5 veces</v>
      </c>
      <c r="M398" s="20" t="str">
        <f t="shared" si="86"/>
        <v>Peru Chef-Peru Chef Aji Limo 1 Lb X 15 FROZEN</v>
      </c>
      <c r="N398" s="20">
        <f t="shared" si="87"/>
        <v>5</v>
      </c>
      <c r="O398" s="20" t="str">
        <f t="shared" si="88"/>
        <v>Se repite 5 veces en Peru Chef</v>
      </c>
      <c r="P398" s="20" t="str">
        <f t="shared" si="89"/>
        <v>Peru Chef-Peru Chef Aji Limo 1 Lb X 15 FROZEN-43</v>
      </c>
      <c r="Q398" s="20">
        <f t="shared" si="90"/>
        <v>3</v>
      </c>
      <c r="R398" s="20" t="str">
        <f t="shared" si="91"/>
        <v>Se repite 3 veces el precio de 43</v>
      </c>
      <c r="S398" s="20" t="str">
        <f t="shared" si="92"/>
        <v>El producto Peru Chef Aji Limo 1 Lb X 15 FROZEN Se repite 5 veces en Peru Chef, Se repite 3 veces el precio de 43</v>
      </c>
      <c r="T398" s="20" t="str">
        <f t="shared" si="93"/>
        <v>Peru Chef</v>
      </c>
      <c r="U398" s="20" t="str">
        <f t="shared" si="94"/>
        <v>Peru Chef Aji Limo 1 Lb X 15 FROZEN</v>
      </c>
      <c r="V398" s="22">
        <f t="shared" si="95"/>
        <v>43</v>
      </c>
      <c r="W398" t="str">
        <f t="shared" si="96"/>
        <v>Peru Chef 08/11/2025</v>
      </c>
      <c r="Z398">
        <f t="shared" si="97"/>
        <v>172</v>
      </c>
    </row>
    <row r="399" spans="1:26" hidden="1" x14ac:dyDescent="0.25">
      <c r="A399" s="2" t="s">
        <v>272</v>
      </c>
      <c r="B399" s="11" t="s">
        <v>512</v>
      </c>
      <c r="C399" s="11" t="s">
        <v>4</v>
      </c>
      <c r="D399" s="11" t="s">
        <v>513</v>
      </c>
      <c r="E399" s="11" t="s">
        <v>390</v>
      </c>
      <c r="F399" s="11" t="s">
        <v>518</v>
      </c>
      <c r="G399" s="12">
        <v>10</v>
      </c>
      <c r="H399" s="12">
        <v>43</v>
      </c>
      <c r="I399" s="12">
        <v>430</v>
      </c>
      <c r="J399" s="12">
        <v>16513.5</v>
      </c>
      <c r="K399" s="20">
        <f t="shared" si="84"/>
        <v>5</v>
      </c>
      <c r="L399" s="20" t="str">
        <f t="shared" si="85"/>
        <v>Se repite 5 veces</v>
      </c>
      <c r="M399" s="20" t="str">
        <f t="shared" si="86"/>
        <v>Peru Chef-Peru Chef Aji Limo 1 Lb X 15 FROZEN</v>
      </c>
      <c r="N399" s="20">
        <f t="shared" si="87"/>
        <v>5</v>
      </c>
      <c r="O399" s="20" t="str">
        <f t="shared" si="88"/>
        <v>Se repite 5 veces en Peru Chef</v>
      </c>
      <c r="P399" s="20" t="str">
        <f t="shared" si="89"/>
        <v>Peru Chef-Peru Chef Aji Limo 1 Lb X 15 FROZEN-43</v>
      </c>
      <c r="Q399" s="20">
        <f t="shared" si="90"/>
        <v>3</v>
      </c>
      <c r="R399" s="20" t="str">
        <f t="shared" si="91"/>
        <v>Se repite 3 veces el precio de 43</v>
      </c>
      <c r="S399" s="20" t="str">
        <f t="shared" si="92"/>
        <v>El producto Peru Chef Aji Limo 1 Lb X 15 FROZEN Se repite 5 veces en Peru Chef, Se repite 3 veces el precio de 43</v>
      </c>
      <c r="T399" s="20" t="str">
        <f t="shared" si="93"/>
        <v>Peru Chef</v>
      </c>
      <c r="U399" s="20" t="str">
        <f t="shared" si="94"/>
        <v>Peru Chef Aji Limo 1 Lb X 15 FROZEN</v>
      </c>
      <c r="V399" s="22">
        <f t="shared" si="95"/>
        <v>43</v>
      </c>
      <c r="W399" t="str">
        <f t="shared" si="96"/>
        <v>Peru Chef 08/28/2025</v>
      </c>
      <c r="Z399">
        <f t="shared" si="97"/>
        <v>430</v>
      </c>
    </row>
    <row r="400" spans="1:26" hidden="1" x14ac:dyDescent="0.25">
      <c r="A400" s="2" t="s">
        <v>272</v>
      </c>
      <c r="B400" s="11" t="s">
        <v>563</v>
      </c>
      <c r="C400" s="11" t="s">
        <v>4</v>
      </c>
      <c r="D400" s="11" t="s">
        <v>564</v>
      </c>
      <c r="E400" s="11" t="s">
        <v>390</v>
      </c>
      <c r="F400" s="11" t="s">
        <v>518</v>
      </c>
      <c r="G400" s="12">
        <v>20</v>
      </c>
      <c r="H400" s="12">
        <v>43</v>
      </c>
      <c r="I400" s="12">
        <v>860</v>
      </c>
      <c r="J400" s="12">
        <v>20982</v>
      </c>
      <c r="K400" s="20">
        <f t="shared" si="84"/>
        <v>5</v>
      </c>
      <c r="L400" s="20" t="str">
        <f t="shared" si="85"/>
        <v>Se repite 5 veces</v>
      </c>
      <c r="M400" s="20" t="str">
        <f t="shared" si="86"/>
        <v>Peru Chef-Peru Chef Aji Limo 1 Lb X 15 FROZEN</v>
      </c>
      <c r="N400" s="20">
        <f t="shared" si="87"/>
        <v>5</v>
      </c>
      <c r="O400" s="20" t="str">
        <f t="shared" si="88"/>
        <v>Se repite 5 veces en Peru Chef</v>
      </c>
      <c r="P400" s="20" t="str">
        <f t="shared" si="89"/>
        <v>Peru Chef-Peru Chef Aji Limo 1 Lb X 15 FROZEN-43</v>
      </c>
      <c r="Q400" s="20">
        <f t="shared" si="90"/>
        <v>3</v>
      </c>
      <c r="R400" s="20" t="str">
        <f t="shared" si="91"/>
        <v>Se repite 3 veces el precio de 43</v>
      </c>
      <c r="S400" s="20" t="str">
        <f t="shared" si="92"/>
        <v>El producto Peru Chef Aji Limo 1 Lb X 15 FROZEN Se repite 5 veces en Peru Chef, Se repite 3 veces el precio de 43</v>
      </c>
      <c r="T400" s="20" t="str">
        <f t="shared" si="93"/>
        <v>Peru Chef</v>
      </c>
      <c r="U400" s="20" t="str">
        <f t="shared" si="94"/>
        <v>Peru Chef Aji Limo 1 Lb X 15 FROZEN</v>
      </c>
      <c r="V400" s="22">
        <f t="shared" si="95"/>
        <v>43</v>
      </c>
      <c r="W400" t="str">
        <f t="shared" si="96"/>
        <v>Peru Chef 09/11/2025</v>
      </c>
      <c r="Z400">
        <f t="shared" si="97"/>
        <v>860</v>
      </c>
    </row>
    <row r="401" spans="1:26" hidden="1" x14ac:dyDescent="0.25">
      <c r="A401" s="2" t="s">
        <v>272</v>
      </c>
      <c r="B401" s="11" t="s">
        <v>619</v>
      </c>
      <c r="C401" s="11" t="s">
        <v>4</v>
      </c>
      <c r="D401" s="11" t="s">
        <v>621</v>
      </c>
      <c r="E401" s="11" t="s">
        <v>635</v>
      </c>
      <c r="F401" s="11" t="s">
        <v>636</v>
      </c>
      <c r="G401" s="12">
        <v>1</v>
      </c>
      <c r="H401" s="12">
        <v>12.6</v>
      </c>
      <c r="I401" s="12">
        <v>12.6</v>
      </c>
      <c r="J401" s="12">
        <v>41462.949999999997</v>
      </c>
      <c r="K401" s="20">
        <f t="shared" si="84"/>
        <v>1</v>
      </c>
      <c r="L401" s="20" t="str">
        <f t="shared" si="85"/>
        <v>No se repite</v>
      </c>
      <c r="M401" s="20" t="str">
        <f t="shared" si="86"/>
        <v>Peru Chef-Peru Chef Aji Mirasol 3 oz x 12</v>
      </c>
      <c r="N401" s="20">
        <f t="shared" si="87"/>
        <v>1</v>
      </c>
      <c r="O401" s="20" t="str">
        <f t="shared" si="88"/>
        <v>No se repite en proveedor</v>
      </c>
      <c r="P401" s="20" t="str">
        <f t="shared" si="89"/>
        <v>Peru Chef-Peru Chef Aji Mirasol 3 oz x 12-12.6</v>
      </c>
      <c r="Q401" s="20">
        <f t="shared" si="90"/>
        <v>1</v>
      </c>
      <c r="R401" s="20" t="str">
        <f t="shared" si="91"/>
        <v>No se repite</v>
      </c>
      <c r="S401" s="20" t="str">
        <f t="shared" si="92"/>
        <v>El producto Peru Chef Aji Mirasol 3 oz x 12 No se repite en proveedor Una vez con el precio 12.6</v>
      </c>
      <c r="T401" s="20" t="str">
        <f t="shared" si="93"/>
        <v>Peru Chef</v>
      </c>
      <c r="U401" s="20" t="str">
        <f t="shared" si="94"/>
        <v>Peru Chef Aji Mirasol 3 oz x 12</v>
      </c>
      <c r="V401" s="22">
        <f t="shared" si="95"/>
        <v>12.6</v>
      </c>
      <c r="W401" t="str">
        <f t="shared" si="96"/>
        <v>Peru Chef 12/09/2025</v>
      </c>
      <c r="Z401">
        <f t="shared" si="97"/>
        <v>12.6</v>
      </c>
    </row>
    <row r="402" spans="1:26" hidden="1" x14ac:dyDescent="0.25">
      <c r="A402" s="2" t="s">
        <v>272</v>
      </c>
      <c r="B402" s="11" t="s">
        <v>273</v>
      </c>
      <c r="C402" s="11" t="s">
        <v>4</v>
      </c>
      <c r="D402" s="11" t="s">
        <v>5</v>
      </c>
      <c r="E402" s="11" t="s">
        <v>324</v>
      </c>
      <c r="F402" s="11" t="s">
        <v>325</v>
      </c>
      <c r="G402" s="12">
        <v>1</v>
      </c>
      <c r="H402" s="12">
        <v>26</v>
      </c>
      <c r="I402" s="12">
        <v>26</v>
      </c>
      <c r="J402" s="12">
        <v>775.3</v>
      </c>
      <c r="K402" s="20">
        <f t="shared" si="84"/>
        <v>3</v>
      </c>
      <c r="L402" s="20" t="str">
        <f t="shared" si="85"/>
        <v>Se repite 3 veces</v>
      </c>
      <c r="M402" s="20" t="str">
        <f t="shared" si="86"/>
        <v>Peru Chef-Peru Chef Aji Panca Molido 70 G X 12</v>
      </c>
      <c r="N402" s="20">
        <f t="shared" si="87"/>
        <v>3</v>
      </c>
      <c r="O402" s="20" t="str">
        <f t="shared" si="88"/>
        <v>Se repite 3 veces en Peru Chef</v>
      </c>
      <c r="P402" s="20" t="str">
        <f t="shared" si="89"/>
        <v>Peru Chef-Peru Chef Aji Panca Molido 70 G X 12-26</v>
      </c>
      <c r="Q402" s="20">
        <f t="shared" si="90"/>
        <v>3</v>
      </c>
      <c r="R402" s="20" t="str">
        <f t="shared" si="91"/>
        <v>Se repite 3 veces el precio de 26</v>
      </c>
      <c r="S402" s="20" t="str">
        <f t="shared" si="92"/>
        <v>El producto Peru Chef Aji Panca Molido 70 G X 12 Se repite 3 veces en Peru Chef, Se repite 3 veces el precio de 26</v>
      </c>
      <c r="T402" s="20" t="str">
        <f t="shared" si="93"/>
        <v>Peru Chef</v>
      </c>
      <c r="U402" s="20" t="str">
        <f t="shared" si="94"/>
        <v>Peru Chef Aji Panca Molido 70 G X 12</v>
      </c>
      <c r="V402" s="22">
        <f t="shared" si="95"/>
        <v>26</v>
      </c>
      <c r="W402" t="str">
        <f t="shared" si="96"/>
        <v>Peru Chef 03/26/2025</v>
      </c>
      <c r="Z402">
        <f t="shared" si="97"/>
        <v>26</v>
      </c>
    </row>
    <row r="403" spans="1:26" hidden="1" x14ac:dyDescent="0.25">
      <c r="A403" s="2" t="s">
        <v>272</v>
      </c>
      <c r="B403" s="11" t="s">
        <v>398</v>
      </c>
      <c r="C403" s="11" t="s">
        <v>4</v>
      </c>
      <c r="D403" s="11" t="s">
        <v>399</v>
      </c>
      <c r="E403" s="11" t="s">
        <v>324</v>
      </c>
      <c r="F403" s="11" t="s">
        <v>325</v>
      </c>
      <c r="G403" s="12">
        <v>1</v>
      </c>
      <c r="H403" s="12">
        <v>26</v>
      </c>
      <c r="I403" s="12">
        <v>26</v>
      </c>
      <c r="J403" s="12">
        <v>3021.5</v>
      </c>
      <c r="K403" s="20">
        <f t="shared" si="84"/>
        <v>3</v>
      </c>
      <c r="L403" s="20" t="str">
        <f t="shared" si="85"/>
        <v>Se repite 3 veces</v>
      </c>
      <c r="M403" s="20" t="str">
        <f t="shared" si="86"/>
        <v>Peru Chef-Peru Chef Aji Panca Molido 70 G X 12</v>
      </c>
      <c r="N403" s="20">
        <f t="shared" si="87"/>
        <v>3</v>
      </c>
      <c r="O403" s="20" t="str">
        <f t="shared" si="88"/>
        <v>Se repite 3 veces en Peru Chef</v>
      </c>
      <c r="P403" s="20" t="str">
        <f t="shared" si="89"/>
        <v>Peru Chef-Peru Chef Aji Panca Molido 70 G X 12-26</v>
      </c>
      <c r="Q403" s="20">
        <f t="shared" si="90"/>
        <v>3</v>
      </c>
      <c r="R403" s="20" t="str">
        <f t="shared" si="91"/>
        <v>Se repite 3 veces el precio de 26</v>
      </c>
      <c r="S403" s="20" t="str">
        <f t="shared" si="92"/>
        <v>El producto Peru Chef Aji Panca Molido 70 G X 12 Se repite 3 veces en Peru Chef, Se repite 3 veces el precio de 26</v>
      </c>
      <c r="T403" s="20" t="str">
        <f t="shared" si="93"/>
        <v>Peru Chef</v>
      </c>
      <c r="U403" s="20" t="str">
        <f t="shared" si="94"/>
        <v>Peru Chef Aji Panca Molido 70 G X 12</v>
      </c>
      <c r="V403" s="22">
        <f t="shared" si="95"/>
        <v>26</v>
      </c>
      <c r="W403" t="str">
        <f t="shared" si="96"/>
        <v>Peru Chef 04/10/2025</v>
      </c>
      <c r="Z403">
        <f t="shared" si="97"/>
        <v>26</v>
      </c>
    </row>
    <row r="404" spans="1:26" hidden="1" x14ac:dyDescent="0.25">
      <c r="A404" s="2" t="s">
        <v>272</v>
      </c>
      <c r="B404" s="11" t="s">
        <v>444</v>
      </c>
      <c r="C404" s="11" t="s">
        <v>4</v>
      </c>
      <c r="D404" s="11" t="s">
        <v>445</v>
      </c>
      <c r="E404" s="11" t="s">
        <v>324</v>
      </c>
      <c r="F404" s="11" t="s">
        <v>460</v>
      </c>
      <c r="G404" s="12">
        <v>2</v>
      </c>
      <c r="H404" s="12">
        <v>26</v>
      </c>
      <c r="I404" s="12">
        <v>52</v>
      </c>
      <c r="J404" s="12">
        <v>7948.2000000000007</v>
      </c>
      <c r="K404" s="20">
        <f t="shared" si="84"/>
        <v>3</v>
      </c>
      <c r="L404" s="20" t="str">
        <f t="shared" si="85"/>
        <v>Se repite 3 veces</v>
      </c>
      <c r="M404" s="20" t="str">
        <f t="shared" si="86"/>
        <v>Peru Chef-Peru Chef Aji Panca Molido 70 G X 12</v>
      </c>
      <c r="N404" s="20">
        <f t="shared" si="87"/>
        <v>3</v>
      </c>
      <c r="O404" s="20" t="str">
        <f t="shared" si="88"/>
        <v>Se repite 3 veces en Peru Chef</v>
      </c>
      <c r="P404" s="20" t="str">
        <f t="shared" si="89"/>
        <v>Peru Chef-Peru Chef Aji Panca Molido 70 G X 12-26</v>
      </c>
      <c r="Q404" s="20">
        <f t="shared" si="90"/>
        <v>3</v>
      </c>
      <c r="R404" s="20" t="str">
        <f t="shared" si="91"/>
        <v>Se repite 3 veces el precio de 26</v>
      </c>
      <c r="S404" s="20" t="str">
        <f t="shared" si="92"/>
        <v>El producto Peru Chef Aji Panca Molido 70 G X 12 Se repite 3 veces en Peru Chef, Se repite 3 veces el precio de 26</v>
      </c>
      <c r="T404" s="20" t="str">
        <f t="shared" si="93"/>
        <v>Peru Chef</v>
      </c>
      <c r="U404" s="20" t="str">
        <f t="shared" si="94"/>
        <v>Peru Chef Aji Panca Molido 70 G X 12</v>
      </c>
      <c r="V404" s="22">
        <f t="shared" si="95"/>
        <v>26</v>
      </c>
      <c r="W404" t="str">
        <f t="shared" si="96"/>
        <v>Peru Chef 04/24/2025</v>
      </c>
      <c r="Z404">
        <f t="shared" si="97"/>
        <v>52</v>
      </c>
    </row>
    <row r="405" spans="1:26" hidden="1" x14ac:dyDescent="0.25">
      <c r="A405" s="2" t="s">
        <v>272</v>
      </c>
      <c r="B405" s="11" t="s">
        <v>471</v>
      </c>
      <c r="C405" s="11" t="s">
        <v>4</v>
      </c>
      <c r="D405" s="11" t="s">
        <v>472</v>
      </c>
      <c r="E405" s="11" t="s">
        <v>481</v>
      </c>
      <c r="F405" s="11" t="s">
        <v>482</v>
      </c>
      <c r="G405" s="12">
        <v>2</v>
      </c>
      <c r="H405" s="12">
        <v>39</v>
      </c>
      <c r="I405" s="12">
        <v>78</v>
      </c>
      <c r="J405" s="12">
        <v>11625.5</v>
      </c>
      <c r="K405" s="20">
        <f t="shared" si="84"/>
        <v>2</v>
      </c>
      <c r="L405" s="20" t="str">
        <f t="shared" si="85"/>
        <v>Se repite 2 veces</v>
      </c>
      <c r="M405" s="20" t="str">
        <f t="shared" si="86"/>
        <v>Peru Chef-Peru Chef Aji Parrillero 11oz x 12</v>
      </c>
      <c r="N405" s="20">
        <f t="shared" si="87"/>
        <v>2</v>
      </c>
      <c r="O405" s="20" t="str">
        <f t="shared" si="88"/>
        <v>Se repite 2 veces en Peru Chef</v>
      </c>
      <c r="P405" s="20" t="str">
        <f t="shared" si="89"/>
        <v>Peru Chef-Peru Chef Aji Parrillero 11oz x 12-39</v>
      </c>
      <c r="Q405" s="20">
        <f t="shared" si="90"/>
        <v>2</v>
      </c>
      <c r="R405" s="20" t="str">
        <f t="shared" si="91"/>
        <v>Se repite 2 veces el precio de 39</v>
      </c>
      <c r="S405" s="20" t="str">
        <f t="shared" si="92"/>
        <v>El producto Peru Chef Aji Parrillero 11oz x 12 Se repite 2 veces en Peru Chef, Se repite 2 veces el precio de 39</v>
      </c>
      <c r="T405" s="20" t="str">
        <f t="shared" si="93"/>
        <v>Peru Chef</v>
      </c>
      <c r="U405" s="20" t="str">
        <f t="shared" si="94"/>
        <v>Peru Chef Aji Parrillero 11oz x 12</v>
      </c>
      <c r="V405" s="22">
        <f t="shared" si="95"/>
        <v>39</v>
      </c>
      <c r="W405" t="str">
        <f t="shared" si="96"/>
        <v>Peru Chef 08/11/2025</v>
      </c>
      <c r="Z405">
        <f t="shared" si="97"/>
        <v>78</v>
      </c>
    </row>
    <row r="406" spans="1:26" hidden="1" x14ac:dyDescent="0.25">
      <c r="A406" s="2" t="s">
        <v>272</v>
      </c>
      <c r="B406" s="11" t="s">
        <v>512</v>
      </c>
      <c r="C406" s="11" t="s">
        <v>4</v>
      </c>
      <c r="D406" s="11" t="s">
        <v>513</v>
      </c>
      <c r="E406" s="11" t="s">
        <v>481</v>
      </c>
      <c r="F406" s="11" t="s">
        <v>535</v>
      </c>
      <c r="G406" s="12">
        <v>2</v>
      </c>
      <c r="H406" s="12">
        <v>39</v>
      </c>
      <c r="I406" s="12">
        <v>78</v>
      </c>
      <c r="J406" s="12">
        <v>17741.5</v>
      </c>
      <c r="K406" s="20">
        <f t="shared" si="84"/>
        <v>2</v>
      </c>
      <c r="L406" s="20" t="str">
        <f t="shared" si="85"/>
        <v>Se repite 2 veces</v>
      </c>
      <c r="M406" s="20" t="str">
        <f t="shared" si="86"/>
        <v>Peru Chef-Peru Chef Aji Parrillero 11oz x 12</v>
      </c>
      <c r="N406" s="20">
        <f t="shared" si="87"/>
        <v>2</v>
      </c>
      <c r="O406" s="20" t="str">
        <f t="shared" si="88"/>
        <v>Se repite 2 veces en Peru Chef</v>
      </c>
      <c r="P406" s="20" t="str">
        <f t="shared" si="89"/>
        <v>Peru Chef-Peru Chef Aji Parrillero 11oz x 12-39</v>
      </c>
      <c r="Q406" s="20">
        <f t="shared" si="90"/>
        <v>2</v>
      </c>
      <c r="R406" s="20" t="str">
        <f t="shared" si="91"/>
        <v>Se repite 2 veces el precio de 39</v>
      </c>
      <c r="S406" s="20" t="str">
        <f t="shared" si="92"/>
        <v>El producto Peru Chef Aji Parrillero 11oz x 12 Se repite 2 veces en Peru Chef, Se repite 2 veces el precio de 39</v>
      </c>
      <c r="T406" s="20" t="str">
        <f t="shared" si="93"/>
        <v>Peru Chef</v>
      </c>
      <c r="U406" s="20" t="str">
        <f t="shared" si="94"/>
        <v>Peru Chef Aji Parrillero 11oz x 12</v>
      </c>
      <c r="V406" s="22">
        <f t="shared" si="95"/>
        <v>39</v>
      </c>
      <c r="W406" t="str">
        <f t="shared" si="96"/>
        <v>Peru Chef 08/28/2025</v>
      </c>
      <c r="Z406">
        <f t="shared" si="97"/>
        <v>78</v>
      </c>
    </row>
    <row r="407" spans="1:26" hidden="1" x14ac:dyDescent="0.25">
      <c r="A407" s="2" t="s">
        <v>272</v>
      </c>
      <c r="B407" s="11" t="s">
        <v>408</v>
      </c>
      <c r="C407" s="11" t="s">
        <v>4</v>
      </c>
      <c r="D407" s="11" t="s">
        <v>409</v>
      </c>
      <c r="E407" s="11" t="s">
        <v>414</v>
      </c>
      <c r="F407" s="11" t="s">
        <v>415</v>
      </c>
      <c r="G407" s="12">
        <v>1</v>
      </c>
      <c r="H407" s="12">
        <v>72</v>
      </c>
      <c r="I407" s="12">
        <v>72</v>
      </c>
      <c r="J407" s="12">
        <v>4693.6000000000004</v>
      </c>
      <c r="K407" s="20">
        <f t="shared" si="84"/>
        <v>1</v>
      </c>
      <c r="L407" s="20" t="str">
        <f t="shared" si="85"/>
        <v>No se repite</v>
      </c>
      <c r="M407" s="20" t="str">
        <f t="shared" si="86"/>
        <v>Peru Chef-Peru Chef Algarrobina17oz x 12</v>
      </c>
      <c r="N407" s="20">
        <f t="shared" si="87"/>
        <v>1</v>
      </c>
      <c r="O407" s="20" t="str">
        <f t="shared" si="88"/>
        <v>No se repite en proveedor</v>
      </c>
      <c r="P407" s="20" t="str">
        <f t="shared" si="89"/>
        <v>Peru Chef-Peru Chef Algarrobina17oz x 12-72</v>
      </c>
      <c r="Q407" s="20">
        <f t="shared" si="90"/>
        <v>1</v>
      </c>
      <c r="R407" s="20" t="str">
        <f t="shared" si="91"/>
        <v>No se repite</v>
      </c>
      <c r="S407" s="20" t="str">
        <f t="shared" si="92"/>
        <v>El producto Peru Chef Algarrobina17oz x 12 No se repite en proveedor Una vez con el precio 72</v>
      </c>
      <c r="T407" s="20" t="str">
        <f t="shared" si="93"/>
        <v>Peru Chef</v>
      </c>
      <c r="U407" s="20" t="str">
        <f t="shared" si="94"/>
        <v>Peru Chef Algarrobina17oz x 12</v>
      </c>
      <c r="V407" s="22">
        <f t="shared" si="95"/>
        <v>72</v>
      </c>
      <c r="W407" t="str">
        <f t="shared" si="96"/>
        <v>Peru Chef 04/13/2025</v>
      </c>
      <c r="Z407">
        <f t="shared" si="97"/>
        <v>72</v>
      </c>
    </row>
    <row r="408" spans="1:26" hidden="1" x14ac:dyDescent="0.25">
      <c r="A408" s="2" t="s">
        <v>272</v>
      </c>
      <c r="B408" s="11" t="s">
        <v>512</v>
      </c>
      <c r="C408" s="11" t="s">
        <v>4</v>
      </c>
      <c r="D408" s="11" t="s">
        <v>513</v>
      </c>
      <c r="E408" s="11" t="s">
        <v>532</v>
      </c>
      <c r="F408" s="11" t="s">
        <v>533</v>
      </c>
      <c r="G408" s="12">
        <v>2</v>
      </c>
      <c r="H408" s="12">
        <v>39</v>
      </c>
      <c r="I408" s="12">
        <v>78</v>
      </c>
      <c r="J408" s="12">
        <v>17564.5</v>
      </c>
      <c r="K408" s="20">
        <f t="shared" si="84"/>
        <v>1</v>
      </c>
      <c r="L408" s="20" t="str">
        <f t="shared" si="85"/>
        <v>No se repite</v>
      </c>
      <c r="M408" s="20" t="str">
        <f t="shared" si="86"/>
        <v>Peru Chef-Peru Chef Base Para Arroz C/ Mariscos 11 Oz X 12</v>
      </c>
      <c r="N408" s="20">
        <f t="shared" si="87"/>
        <v>1</v>
      </c>
      <c r="O408" s="20" t="str">
        <f t="shared" si="88"/>
        <v>No se repite en proveedor</v>
      </c>
      <c r="P408" s="20" t="str">
        <f t="shared" si="89"/>
        <v>Peru Chef-Peru Chef Base Para Arroz C/ Mariscos 11 Oz X 12-39</v>
      </c>
      <c r="Q408" s="20">
        <f t="shared" si="90"/>
        <v>1</v>
      </c>
      <c r="R408" s="20" t="str">
        <f t="shared" si="91"/>
        <v>No se repite</v>
      </c>
      <c r="S408" s="20" t="str">
        <f t="shared" si="92"/>
        <v>El producto Peru Chef Base Para Arroz C/ Mariscos 11 Oz X 12 No se repite en proveedor Una vez con el precio 39</v>
      </c>
      <c r="T408" s="20" t="str">
        <f t="shared" si="93"/>
        <v>Peru Chef</v>
      </c>
      <c r="U408" s="20" t="str">
        <f t="shared" si="94"/>
        <v>Peru Chef Base Para Arroz C/ Mariscos 11 Oz X 12</v>
      </c>
      <c r="V408" s="22">
        <f t="shared" si="95"/>
        <v>39</v>
      </c>
      <c r="W408" t="str">
        <f t="shared" si="96"/>
        <v>Peru Chef 08/28/2025</v>
      </c>
      <c r="Z408">
        <f t="shared" si="97"/>
        <v>78</v>
      </c>
    </row>
    <row r="409" spans="1:26" hidden="1" x14ac:dyDescent="0.25">
      <c r="A409" s="2" t="s">
        <v>272</v>
      </c>
      <c r="B409" s="11" t="s">
        <v>273</v>
      </c>
      <c r="C409" s="11" t="s">
        <v>4</v>
      </c>
      <c r="D409" s="11" t="s">
        <v>5</v>
      </c>
      <c r="E409" s="11" t="s">
        <v>304</v>
      </c>
      <c r="F409" s="11" t="s">
        <v>305</v>
      </c>
      <c r="G409" s="12">
        <v>1</v>
      </c>
      <c r="H409" s="12">
        <v>13</v>
      </c>
      <c r="I409" s="12">
        <v>13</v>
      </c>
      <c r="J409" s="12">
        <v>510.3</v>
      </c>
      <c r="K409" s="20">
        <f t="shared" si="84"/>
        <v>4</v>
      </c>
      <c r="L409" s="20" t="str">
        <f t="shared" si="85"/>
        <v>Se repite 4 veces</v>
      </c>
      <c r="M409" s="20" t="str">
        <f t="shared" si="86"/>
        <v>Peru Chef-Peru Chef Cebada Tostada 15oz x 10</v>
      </c>
      <c r="N409" s="20">
        <f t="shared" si="87"/>
        <v>4</v>
      </c>
      <c r="O409" s="20" t="str">
        <f t="shared" si="88"/>
        <v>Se repite 4 veces en Peru Chef</v>
      </c>
      <c r="P409" s="20" t="str">
        <f t="shared" si="89"/>
        <v>Peru Chef-Peru Chef Cebada Tostada 15oz x 10-13</v>
      </c>
      <c r="Q409" s="20">
        <f t="shared" si="90"/>
        <v>2</v>
      </c>
      <c r="R409" s="20" t="str">
        <f t="shared" si="91"/>
        <v>Se repite 2 veces el precio de 13</v>
      </c>
      <c r="S409" s="20" t="str">
        <f t="shared" si="92"/>
        <v>El producto Peru Chef Cebada Tostada 15oz x 10 Se repite 4 veces en Peru Chef, Se repite 2 veces el precio de 13</v>
      </c>
      <c r="T409" s="20" t="str">
        <f t="shared" si="93"/>
        <v>Peru Chef</v>
      </c>
      <c r="U409" s="20" t="str">
        <f t="shared" si="94"/>
        <v>Peru Chef Cebada Tostada 15oz x 10</v>
      </c>
      <c r="V409" s="22">
        <f t="shared" si="95"/>
        <v>13</v>
      </c>
      <c r="W409" t="str">
        <f t="shared" si="96"/>
        <v>Peru Chef 03/26/2025</v>
      </c>
      <c r="Z409">
        <f t="shared" si="97"/>
        <v>13</v>
      </c>
    </row>
    <row r="410" spans="1:26" hidden="1" x14ac:dyDescent="0.25">
      <c r="A410" s="2" t="s">
        <v>272</v>
      </c>
      <c r="B410" s="11" t="s">
        <v>398</v>
      </c>
      <c r="C410" s="11" t="s">
        <v>4</v>
      </c>
      <c r="D410" s="11" t="s">
        <v>399</v>
      </c>
      <c r="E410" s="11" t="s">
        <v>304</v>
      </c>
      <c r="F410" s="11" t="s">
        <v>305</v>
      </c>
      <c r="G410" s="12">
        <v>1</v>
      </c>
      <c r="H410" s="12">
        <v>13</v>
      </c>
      <c r="I410" s="12">
        <v>13</v>
      </c>
      <c r="J410" s="12">
        <v>2756.5</v>
      </c>
      <c r="K410" s="20">
        <f t="shared" si="84"/>
        <v>4</v>
      </c>
      <c r="L410" s="20" t="str">
        <f t="shared" si="85"/>
        <v>Se repite 4 veces</v>
      </c>
      <c r="M410" s="20" t="str">
        <f t="shared" si="86"/>
        <v>Peru Chef-Peru Chef Cebada Tostada 15oz x 10</v>
      </c>
      <c r="N410" s="20">
        <f t="shared" si="87"/>
        <v>4</v>
      </c>
      <c r="O410" s="20" t="str">
        <f t="shared" si="88"/>
        <v>Se repite 4 veces en Peru Chef</v>
      </c>
      <c r="P410" s="20" t="str">
        <f t="shared" si="89"/>
        <v>Peru Chef-Peru Chef Cebada Tostada 15oz x 10-13</v>
      </c>
      <c r="Q410" s="20">
        <f t="shared" si="90"/>
        <v>2</v>
      </c>
      <c r="R410" s="20" t="str">
        <f t="shared" si="91"/>
        <v>Se repite 2 veces el precio de 13</v>
      </c>
      <c r="S410" s="20" t="str">
        <f t="shared" si="92"/>
        <v>El producto Peru Chef Cebada Tostada 15oz x 10 Se repite 4 veces en Peru Chef, Se repite 2 veces el precio de 13</v>
      </c>
      <c r="T410" s="20" t="str">
        <f t="shared" si="93"/>
        <v>Peru Chef</v>
      </c>
      <c r="U410" s="20" t="str">
        <f t="shared" si="94"/>
        <v>Peru Chef Cebada Tostada 15oz x 10</v>
      </c>
      <c r="V410" s="22">
        <f t="shared" si="95"/>
        <v>13</v>
      </c>
      <c r="W410" t="str">
        <f t="shared" si="96"/>
        <v>Peru Chef 04/10/2025</v>
      </c>
      <c r="Z410">
        <f t="shared" si="97"/>
        <v>13</v>
      </c>
    </row>
    <row r="411" spans="1:26" hidden="1" x14ac:dyDescent="0.25">
      <c r="A411" s="2" t="s">
        <v>272</v>
      </c>
      <c r="B411" s="11" t="s">
        <v>471</v>
      </c>
      <c r="C411" s="11" t="s">
        <v>4</v>
      </c>
      <c r="D411" s="11" t="s">
        <v>472</v>
      </c>
      <c r="E411" s="11" t="s">
        <v>304</v>
      </c>
      <c r="F411" s="11" t="s">
        <v>486</v>
      </c>
      <c r="G411" s="12">
        <v>2</v>
      </c>
      <c r="H411" s="12">
        <v>14</v>
      </c>
      <c r="I411" s="12">
        <v>28</v>
      </c>
      <c r="J411" s="12">
        <v>12277.5</v>
      </c>
      <c r="K411" s="20">
        <f t="shared" si="84"/>
        <v>4</v>
      </c>
      <c r="L411" s="20" t="str">
        <f t="shared" si="85"/>
        <v>Se repite 4 veces</v>
      </c>
      <c r="M411" s="20" t="str">
        <f t="shared" si="86"/>
        <v>Peru Chef-Peru Chef Cebada Tostada 15oz x 10</v>
      </c>
      <c r="N411" s="20">
        <f t="shared" si="87"/>
        <v>4</v>
      </c>
      <c r="O411" s="20" t="str">
        <f t="shared" si="88"/>
        <v>Se repite 4 veces en Peru Chef</v>
      </c>
      <c r="P411" s="20" t="str">
        <f t="shared" si="89"/>
        <v>Peru Chef-Peru Chef Cebada Tostada 15oz x 10-14</v>
      </c>
      <c r="Q411" s="20">
        <f t="shared" si="90"/>
        <v>2</v>
      </c>
      <c r="R411" s="20" t="str">
        <f t="shared" si="91"/>
        <v>Se repite 2 veces el precio de 14</v>
      </c>
      <c r="S411" s="20" t="str">
        <f t="shared" si="92"/>
        <v>El producto Peru Chef Cebada Tostada 15oz x 10 Se repite 4 veces en Peru Chef, Se repite 2 veces el precio de 14</v>
      </c>
      <c r="T411" s="20" t="str">
        <f t="shared" si="93"/>
        <v>Peru Chef</v>
      </c>
      <c r="U411" s="20" t="str">
        <f t="shared" si="94"/>
        <v>Peru Chef Cebada Tostada 15oz x 10</v>
      </c>
      <c r="V411" s="22">
        <f t="shared" si="95"/>
        <v>14</v>
      </c>
      <c r="W411" t="str">
        <f t="shared" si="96"/>
        <v>Peru Chef 08/11/2025</v>
      </c>
      <c r="Z411">
        <f t="shared" si="97"/>
        <v>28</v>
      </c>
    </row>
    <row r="412" spans="1:26" hidden="1" x14ac:dyDescent="0.25">
      <c r="A412" s="2" t="s">
        <v>272</v>
      </c>
      <c r="B412" s="11" t="s">
        <v>512</v>
      </c>
      <c r="C412" s="11" t="s">
        <v>4</v>
      </c>
      <c r="D412" s="11" t="s">
        <v>513</v>
      </c>
      <c r="E412" s="11" t="s">
        <v>304</v>
      </c>
      <c r="F412" s="11" t="s">
        <v>486</v>
      </c>
      <c r="G412" s="12">
        <v>1</v>
      </c>
      <c r="H412" s="12">
        <v>14</v>
      </c>
      <c r="I412" s="12">
        <v>14</v>
      </c>
      <c r="J412" s="12">
        <v>16783.5</v>
      </c>
      <c r="K412" s="20">
        <f t="shared" si="84"/>
        <v>4</v>
      </c>
      <c r="L412" s="20" t="str">
        <f t="shared" si="85"/>
        <v>Se repite 4 veces</v>
      </c>
      <c r="M412" s="20" t="str">
        <f t="shared" si="86"/>
        <v>Peru Chef-Peru Chef Cebada Tostada 15oz x 10</v>
      </c>
      <c r="N412" s="20">
        <f t="shared" si="87"/>
        <v>4</v>
      </c>
      <c r="O412" s="20" t="str">
        <f t="shared" si="88"/>
        <v>Se repite 4 veces en Peru Chef</v>
      </c>
      <c r="P412" s="20" t="str">
        <f t="shared" si="89"/>
        <v>Peru Chef-Peru Chef Cebada Tostada 15oz x 10-14</v>
      </c>
      <c r="Q412" s="20">
        <f t="shared" si="90"/>
        <v>2</v>
      </c>
      <c r="R412" s="20" t="str">
        <f t="shared" si="91"/>
        <v>Se repite 2 veces el precio de 14</v>
      </c>
      <c r="S412" s="20" t="str">
        <f t="shared" si="92"/>
        <v>El producto Peru Chef Cebada Tostada 15oz x 10 Se repite 4 veces en Peru Chef, Se repite 2 veces el precio de 14</v>
      </c>
      <c r="T412" s="20" t="str">
        <f t="shared" si="93"/>
        <v>Peru Chef</v>
      </c>
      <c r="U412" s="20" t="str">
        <f t="shared" si="94"/>
        <v>Peru Chef Cebada Tostada 15oz x 10</v>
      </c>
      <c r="V412" s="22">
        <f t="shared" si="95"/>
        <v>14</v>
      </c>
      <c r="W412" t="str">
        <f t="shared" si="96"/>
        <v>Peru Chef 08/28/2025</v>
      </c>
      <c r="Z412">
        <f t="shared" si="97"/>
        <v>14</v>
      </c>
    </row>
    <row r="413" spans="1:26" hidden="1" x14ac:dyDescent="0.25">
      <c r="A413" s="2" t="s">
        <v>272</v>
      </c>
      <c r="B413" s="11" t="s">
        <v>572</v>
      </c>
      <c r="C413" s="11" t="s">
        <v>4</v>
      </c>
      <c r="D413" s="11" t="s">
        <v>573</v>
      </c>
      <c r="E413" s="11" t="s">
        <v>574</v>
      </c>
      <c r="F413" s="11" t="s">
        <v>575</v>
      </c>
      <c r="G413" s="12">
        <v>2</v>
      </c>
      <c r="H413" s="12">
        <v>21.5</v>
      </c>
      <c r="I413" s="12">
        <v>43</v>
      </c>
      <c r="J413" s="12">
        <v>27143</v>
      </c>
      <c r="K413" s="20">
        <f t="shared" si="84"/>
        <v>1</v>
      </c>
      <c r="L413" s="20" t="str">
        <f t="shared" si="85"/>
        <v>No se repite</v>
      </c>
      <c r="M413" s="20" t="str">
        <f t="shared" si="86"/>
        <v>Peru Chef-Peru Chef Cedron filtrante X 20</v>
      </c>
      <c r="N413" s="20">
        <f t="shared" si="87"/>
        <v>1</v>
      </c>
      <c r="O413" s="20" t="str">
        <f t="shared" si="88"/>
        <v>No se repite en proveedor</v>
      </c>
      <c r="P413" s="20" t="str">
        <f t="shared" si="89"/>
        <v>Peru Chef-Peru Chef Cedron filtrante X 20-21.5</v>
      </c>
      <c r="Q413" s="20">
        <f t="shared" si="90"/>
        <v>1</v>
      </c>
      <c r="R413" s="20" t="str">
        <f t="shared" si="91"/>
        <v>No se repite</v>
      </c>
      <c r="S413" s="20" t="str">
        <f t="shared" si="92"/>
        <v>El producto Peru Chef Cedron filtrante X 20 No se repite en proveedor Una vez con el precio 21.5</v>
      </c>
      <c r="T413" s="20" t="str">
        <f t="shared" si="93"/>
        <v>Peru Chef</v>
      </c>
      <c r="U413" s="20" t="str">
        <f t="shared" si="94"/>
        <v>Peru Chef Cedron filtrante X 20</v>
      </c>
      <c r="V413" s="22">
        <f t="shared" si="95"/>
        <v>21.5</v>
      </c>
      <c r="W413" t="str">
        <f t="shared" si="96"/>
        <v>Peru Chef 10/09/2025</v>
      </c>
      <c r="Z413">
        <f t="shared" si="97"/>
        <v>43</v>
      </c>
    </row>
    <row r="414" spans="1:26" hidden="1" x14ac:dyDescent="0.25">
      <c r="A414" s="2" t="s">
        <v>272</v>
      </c>
      <c r="B414" s="11" t="s">
        <v>600</v>
      </c>
      <c r="C414" s="11" t="s">
        <v>4</v>
      </c>
      <c r="D414" s="11" t="s">
        <v>601</v>
      </c>
      <c r="E414" s="11" t="s">
        <v>605</v>
      </c>
      <c r="F414" s="11" t="s">
        <v>606</v>
      </c>
      <c r="G414" s="12">
        <v>2</v>
      </c>
      <c r="H414" s="12">
        <v>23.4</v>
      </c>
      <c r="I414" s="12">
        <v>46.8</v>
      </c>
      <c r="J414" s="12">
        <v>35872.150000000016</v>
      </c>
      <c r="K414" s="20">
        <f t="shared" si="84"/>
        <v>1</v>
      </c>
      <c r="L414" s="20" t="str">
        <f t="shared" si="85"/>
        <v>No se repite</v>
      </c>
      <c r="M414" s="20" t="str">
        <f t="shared" si="86"/>
        <v>Peru Chef-Peru Chef Chancapiedra 1.41 Oz X 12</v>
      </c>
      <c r="N414" s="20">
        <f t="shared" si="87"/>
        <v>1</v>
      </c>
      <c r="O414" s="20" t="str">
        <f t="shared" si="88"/>
        <v>No se repite en proveedor</v>
      </c>
      <c r="P414" s="20" t="str">
        <f t="shared" si="89"/>
        <v>Peru Chef-Peru Chef Chancapiedra 1.41 Oz X 12-23.4</v>
      </c>
      <c r="Q414" s="20">
        <f t="shared" si="90"/>
        <v>1</v>
      </c>
      <c r="R414" s="20" t="str">
        <f t="shared" si="91"/>
        <v>No se repite</v>
      </c>
      <c r="S414" s="20" t="str">
        <f t="shared" si="92"/>
        <v>El producto Peru Chef Chancapiedra 1.41 Oz X 12 No se repite en proveedor Una vez con el precio 23.4</v>
      </c>
      <c r="T414" s="20" t="str">
        <f t="shared" si="93"/>
        <v>Peru Chef</v>
      </c>
      <c r="U414" s="20" t="str">
        <f t="shared" si="94"/>
        <v>Peru Chef Chancapiedra 1.41 Oz X 12</v>
      </c>
      <c r="V414" s="22">
        <f t="shared" si="95"/>
        <v>23.4</v>
      </c>
      <c r="W414" t="str">
        <f t="shared" si="96"/>
        <v>Peru Chef 11/14/2025</v>
      </c>
      <c r="Z414">
        <f t="shared" si="97"/>
        <v>46.8</v>
      </c>
    </row>
    <row r="415" spans="1:26" hidden="1" x14ac:dyDescent="0.25">
      <c r="A415" s="2" t="s">
        <v>272</v>
      </c>
      <c r="B415" s="11" t="s">
        <v>273</v>
      </c>
      <c r="C415" s="11" t="s">
        <v>4</v>
      </c>
      <c r="D415" s="11" t="s">
        <v>5</v>
      </c>
      <c r="E415" s="11" t="s">
        <v>341</v>
      </c>
      <c r="F415" s="11" t="s">
        <v>342</v>
      </c>
      <c r="G415" s="12">
        <v>1</v>
      </c>
      <c r="H415" s="12">
        <v>39</v>
      </c>
      <c r="I415" s="12">
        <v>39</v>
      </c>
      <c r="J415" s="12">
        <v>1200.1999999999998</v>
      </c>
      <c r="K415" s="20">
        <f t="shared" si="84"/>
        <v>3</v>
      </c>
      <c r="L415" s="20" t="str">
        <f t="shared" si="85"/>
        <v>Se repite 3 veces</v>
      </c>
      <c r="M415" s="20" t="str">
        <f t="shared" si="86"/>
        <v>Peru Chef-Peru Chef Chicha De Jora 1 L X 12</v>
      </c>
      <c r="N415" s="20">
        <f t="shared" si="87"/>
        <v>3</v>
      </c>
      <c r="O415" s="20" t="str">
        <f t="shared" si="88"/>
        <v>Se repite 3 veces en Peru Chef</v>
      </c>
      <c r="P415" s="20" t="str">
        <f t="shared" si="89"/>
        <v>Peru Chef-Peru Chef Chicha De Jora 1 L X 12-39</v>
      </c>
      <c r="Q415" s="20">
        <f t="shared" si="90"/>
        <v>3</v>
      </c>
      <c r="R415" s="20" t="str">
        <f t="shared" si="91"/>
        <v>Se repite 3 veces el precio de 39</v>
      </c>
      <c r="S415" s="20" t="str">
        <f t="shared" si="92"/>
        <v>El producto Peru Chef Chicha De Jora 1 L X 12 Se repite 3 veces en Peru Chef, Se repite 3 veces el precio de 39</v>
      </c>
      <c r="T415" s="20" t="str">
        <f t="shared" si="93"/>
        <v>Peru Chef</v>
      </c>
      <c r="U415" s="20" t="str">
        <f t="shared" si="94"/>
        <v>Peru Chef Chicha De Jora 1 L X 12</v>
      </c>
      <c r="V415" s="22">
        <f t="shared" si="95"/>
        <v>39</v>
      </c>
      <c r="W415" t="str">
        <f t="shared" si="96"/>
        <v>Peru Chef 03/26/2025</v>
      </c>
      <c r="Z415">
        <f t="shared" si="97"/>
        <v>39</v>
      </c>
    </row>
    <row r="416" spans="1:26" hidden="1" x14ac:dyDescent="0.25">
      <c r="A416" s="2" t="s">
        <v>272</v>
      </c>
      <c r="B416" s="11" t="s">
        <v>398</v>
      </c>
      <c r="C416" s="11" t="s">
        <v>4</v>
      </c>
      <c r="D416" s="11" t="s">
        <v>399</v>
      </c>
      <c r="E416" s="11" t="s">
        <v>341</v>
      </c>
      <c r="F416" s="11" t="s">
        <v>342</v>
      </c>
      <c r="G416" s="12">
        <v>1</v>
      </c>
      <c r="H416" s="12">
        <v>39</v>
      </c>
      <c r="I416" s="12">
        <v>39</v>
      </c>
      <c r="J416" s="12">
        <v>3351</v>
      </c>
      <c r="K416" s="20">
        <f t="shared" si="84"/>
        <v>3</v>
      </c>
      <c r="L416" s="20" t="str">
        <f t="shared" si="85"/>
        <v>Se repite 3 veces</v>
      </c>
      <c r="M416" s="20" t="str">
        <f t="shared" si="86"/>
        <v>Peru Chef-Peru Chef Chicha De Jora 1 L X 12</v>
      </c>
      <c r="N416" s="20">
        <f t="shared" si="87"/>
        <v>3</v>
      </c>
      <c r="O416" s="20" t="str">
        <f t="shared" si="88"/>
        <v>Se repite 3 veces en Peru Chef</v>
      </c>
      <c r="P416" s="20" t="str">
        <f t="shared" si="89"/>
        <v>Peru Chef-Peru Chef Chicha De Jora 1 L X 12-39</v>
      </c>
      <c r="Q416" s="20">
        <f t="shared" si="90"/>
        <v>3</v>
      </c>
      <c r="R416" s="20" t="str">
        <f t="shared" si="91"/>
        <v>Se repite 3 veces el precio de 39</v>
      </c>
      <c r="S416" s="20" t="str">
        <f t="shared" si="92"/>
        <v>El producto Peru Chef Chicha De Jora 1 L X 12 Se repite 3 veces en Peru Chef, Se repite 3 veces el precio de 39</v>
      </c>
      <c r="T416" s="20" t="str">
        <f t="shared" si="93"/>
        <v>Peru Chef</v>
      </c>
      <c r="U416" s="20" t="str">
        <f t="shared" si="94"/>
        <v>Peru Chef Chicha De Jora 1 L X 12</v>
      </c>
      <c r="V416" s="22">
        <f t="shared" si="95"/>
        <v>39</v>
      </c>
      <c r="W416" t="str">
        <f t="shared" si="96"/>
        <v>Peru Chef 04/10/2025</v>
      </c>
      <c r="Z416">
        <f t="shared" si="97"/>
        <v>39</v>
      </c>
    </row>
    <row r="417" spans="1:26" hidden="1" x14ac:dyDescent="0.25">
      <c r="A417" s="2" t="s">
        <v>272</v>
      </c>
      <c r="B417" s="11" t="s">
        <v>408</v>
      </c>
      <c r="C417" s="11" t="s">
        <v>4</v>
      </c>
      <c r="D417" s="11" t="s">
        <v>409</v>
      </c>
      <c r="E417" s="11" t="s">
        <v>341</v>
      </c>
      <c r="F417" s="11" t="s">
        <v>342</v>
      </c>
      <c r="G417" s="12">
        <v>1</v>
      </c>
      <c r="H417" s="12">
        <v>39</v>
      </c>
      <c r="I417" s="12">
        <v>39</v>
      </c>
      <c r="J417" s="12">
        <v>4621.6000000000004</v>
      </c>
      <c r="K417" s="20">
        <f t="shared" si="84"/>
        <v>3</v>
      </c>
      <c r="L417" s="20" t="str">
        <f t="shared" si="85"/>
        <v>Se repite 3 veces</v>
      </c>
      <c r="M417" s="20" t="str">
        <f t="shared" si="86"/>
        <v>Peru Chef-Peru Chef Chicha De Jora 1 L X 12</v>
      </c>
      <c r="N417" s="20">
        <f t="shared" si="87"/>
        <v>3</v>
      </c>
      <c r="O417" s="20" t="str">
        <f t="shared" si="88"/>
        <v>Se repite 3 veces en Peru Chef</v>
      </c>
      <c r="P417" s="20" t="str">
        <f t="shared" si="89"/>
        <v>Peru Chef-Peru Chef Chicha De Jora 1 L X 12-39</v>
      </c>
      <c r="Q417" s="20">
        <f t="shared" si="90"/>
        <v>3</v>
      </c>
      <c r="R417" s="20" t="str">
        <f t="shared" si="91"/>
        <v>Se repite 3 veces el precio de 39</v>
      </c>
      <c r="S417" s="20" t="str">
        <f t="shared" si="92"/>
        <v>El producto Peru Chef Chicha De Jora 1 L X 12 Se repite 3 veces en Peru Chef, Se repite 3 veces el precio de 39</v>
      </c>
      <c r="T417" s="20" t="str">
        <f t="shared" si="93"/>
        <v>Peru Chef</v>
      </c>
      <c r="U417" s="20" t="str">
        <f t="shared" si="94"/>
        <v>Peru Chef Chicha De Jora 1 L X 12</v>
      </c>
      <c r="V417" s="22">
        <f t="shared" si="95"/>
        <v>39</v>
      </c>
      <c r="W417" t="str">
        <f t="shared" si="96"/>
        <v>Peru Chef 04/13/2025</v>
      </c>
      <c r="Z417">
        <f t="shared" si="97"/>
        <v>39</v>
      </c>
    </row>
    <row r="418" spans="1:26" hidden="1" x14ac:dyDescent="0.25">
      <c r="A418" s="2" t="s">
        <v>272</v>
      </c>
      <c r="B418" s="11" t="s">
        <v>273</v>
      </c>
      <c r="C418" s="11" t="s">
        <v>4</v>
      </c>
      <c r="D418" s="11" t="s">
        <v>5</v>
      </c>
      <c r="E418" s="11" t="s">
        <v>378</v>
      </c>
      <c r="F418" s="11" t="s">
        <v>379</v>
      </c>
      <c r="G418" s="12">
        <v>1</v>
      </c>
      <c r="H418" s="12">
        <v>12.5</v>
      </c>
      <c r="I418" s="12">
        <v>12.5</v>
      </c>
      <c r="J418" s="12">
        <v>1682.6999999999998</v>
      </c>
      <c r="K418" s="20">
        <f t="shared" si="84"/>
        <v>4</v>
      </c>
      <c r="L418" s="20" t="str">
        <f t="shared" si="85"/>
        <v>Se repite 4 veces</v>
      </c>
      <c r="M418" s="20" t="str">
        <f t="shared" si="86"/>
        <v>Peru Chef-Peru Chef Chicha Morada display 20gr x 12 sobres</v>
      </c>
      <c r="N418" s="20">
        <f t="shared" si="87"/>
        <v>4</v>
      </c>
      <c r="O418" s="20" t="str">
        <f t="shared" si="88"/>
        <v>Se repite 4 veces en Peru Chef</v>
      </c>
      <c r="P418" s="20" t="str">
        <f t="shared" si="89"/>
        <v>Peru Chef-Peru Chef Chicha Morada display 20gr x 12 sobres-12.5</v>
      </c>
      <c r="Q418" s="20">
        <f t="shared" si="90"/>
        <v>4</v>
      </c>
      <c r="R418" s="20" t="str">
        <f t="shared" si="91"/>
        <v>Se repite 4 veces el precio de 12.5</v>
      </c>
      <c r="S418" s="20" t="str">
        <f t="shared" si="92"/>
        <v>El producto Peru Chef Chicha Morada display 20gr x 12 sobres Se repite 4 veces en Peru Chef, Se repite 4 veces el precio de 12.5</v>
      </c>
      <c r="T418" s="20" t="str">
        <f t="shared" si="93"/>
        <v>Peru Chef</v>
      </c>
      <c r="U418" s="20" t="str">
        <f t="shared" si="94"/>
        <v>Peru Chef Chicha Morada display 20gr x 12 sobres</v>
      </c>
      <c r="V418" s="22">
        <f t="shared" si="95"/>
        <v>12.5</v>
      </c>
      <c r="W418" t="str">
        <f t="shared" si="96"/>
        <v>Peru Chef 03/26/2025</v>
      </c>
      <c r="Z418">
        <f t="shared" si="97"/>
        <v>12.5</v>
      </c>
    </row>
    <row r="419" spans="1:26" hidden="1" x14ac:dyDescent="0.25">
      <c r="A419" s="2" t="s">
        <v>272</v>
      </c>
      <c r="B419" s="11" t="s">
        <v>398</v>
      </c>
      <c r="C419" s="11" t="s">
        <v>4</v>
      </c>
      <c r="D419" s="11" t="s">
        <v>399</v>
      </c>
      <c r="E419" s="11" t="s">
        <v>378</v>
      </c>
      <c r="F419" s="11" t="s">
        <v>379</v>
      </c>
      <c r="G419" s="12">
        <v>1</v>
      </c>
      <c r="H419" s="12">
        <v>12.5</v>
      </c>
      <c r="I419" s="12">
        <v>12.5</v>
      </c>
      <c r="J419" s="12">
        <v>3708.5</v>
      </c>
      <c r="K419" s="20">
        <f t="shared" si="84"/>
        <v>4</v>
      </c>
      <c r="L419" s="20" t="str">
        <f t="shared" si="85"/>
        <v>Se repite 4 veces</v>
      </c>
      <c r="M419" s="20" t="str">
        <f t="shared" si="86"/>
        <v>Peru Chef-Peru Chef Chicha Morada display 20gr x 12 sobres</v>
      </c>
      <c r="N419" s="20">
        <f t="shared" si="87"/>
        <v>4</v>
      </c>
      <c r="O419" s="20" t="str">
        <f t="shared" si="88"/>
        <v>Se repite 4 veces en Peru Chef</v>
      </c>
      <c r="P419" s="20" t="str">
        <f t="shared" si="89"/>
        <v>Peru Chef-Peru Chef Chicha Morada display 20gr x 12 sobres-12.5</v>
      </c>
      <c r="Q419" s="20">
        <f t="shared" si="90"/>
        <v>4</v>
      </c>
      <c r="R419" s="20" t="str">
        <f t="shared" si="91"/>
        <v>Se repite 4 veces el precio de 12.5</v>
      </c>
      <c r="S419" s="20" t="str">
        <f t="shared" si="92"/>
        <v>El producto Peru Chef Chicha Morada display 20gr x 12 sobres Se repite 4 veces en Peru Chef, Se repite 4 veces el precio de 12.5</v>
      </c>
      <c r="T419" s="20" t="str">
        <f t="shared" si="93"/>
        <v>Peru Chef</v>
      </c>
      <c r="U419" s="20" t="str">
        <f t="shared" si="94"/>
        <v>Peru Chef Chicha Morada display 20gr x 12 sobres</v>
      </c>
      <c r="V419" s="22">
        <f t="shared" si="95"/>
        <v>12.5</v>
      </c>
      <c r="W419" t="str">
        <f t="shared" si="96"/>
        <v>Peru Chef 04/10/2025</v>
      </c>
      <c r="Z419">
        <f t="shared" si="97"/>
        <v>12.5</v>
      </c>
    </row>
    <row r="420" spans="1:26" hidden="1" x14ac:dyDescent="0.25">
      <c r="A420" s="2" t="s">
        <v>272</v>
      </c>
      <c r="B420" s="11" t="s">
        <v>408</v>
      </c>
      <c r="C420" s="11" t="s">
        <v>4</v>
      </c>
      <c r="D420" s="11" t="s">
        <v>409</v>
      </c>
      <c r="E420" s="11" t="s">
        <v>378</v>
      </c>
      <c r="F420" s="11" t="s">
        <v>418</v>
      </c>
      <c r="G420" s="12">
        <v>1</v>
      </c>
      <c r="H420" s="12">
        <v>12.5</v>
      </c>
      <c r="I420" s="12">
        <v>12.5</v>
      </c>
      <c r="J420" s="12">
        <v>4761.1000000000004</v>
      </c>
      <c r="K420" s="20">
        <f t="shared" si="84"/>
        <v>4</v>
      </c>
      <c r="L420" s="20" t="str">
        <f t="shared" si="85"/>
        <v>Se repite 4 veces</v>
      </c>
      <c r="M420" s="20" t="str">
        <f t="shared" si="86"/>
        <v>Peru Chef-Peru Chef Chicha Morada display 20gr x 12 sobres</v>
      </c>
      <c r="N420" s="20">
        <f t="shared" si="87"/>
        <v>4</v>
      </c>
      <c r="O420" s="20" t="str">
        <f t="shared" si="88"/>
        <v>Se repite 4 veces en Peru Chef</v>
      </c>
      <c r="P420" s="20" t="str">
        <f t="shared" si="89"/>
        <v>Peru Chef-Peru Chef Chicha Morada display 20gr x 12 sobres-12.5</v>
      </c>
      <c r="Q420" s="20">
        <f t="shared" si="90"/>
        <v>4</v>
      </c>
      <c r="R420" s="20" t="str">
        <f t="shared" si="91"/>
        <v>Se repite 4 veces el precio de 12.5</v>
      </c>
      <c r="S420" s="20" t="str">
        <f t="shared" si="92"/>
        <v>El producto Peru Chef Chicha Morada display 20gr x 12 sobres Se repite 4 veces en Peru Chef, Se repite 4 veces el precio de 12.5</v>
      </c>
      <c r="T420" s="20" t="str">
        <f t="shared" si="93"/>
        <v>Peru Chef</v>
      </c>
      <c r="U420" s="20" t="str">
        <f t="shared" si="94"/>
        <v>Peru Chef Chicha Morada display 20gr x 12 sobres</v>
      </c>
      <c r="V420" s="22">
        <f t="shared" si="95"/>
        <v>12.5</v>
      </c>
      <c r="W420" t="str">
        <f t="shared" si="96"/>
        <v>Peru Chef 04/13/2025</v>
      </c>
      <c r="Z420">
        <f t="shared" si="97"/>
        <v>12.5</v>
      </c>
    </row>
    <row r="421" spans="1:26" hidden="1" x14ac:dyDescent="0.25">
      <c r="A421" s="2" t="s">
        <v>272</v>
      </c>
      <c r="B421" s="11" t="s">
        <v>444</v>
      </c>
      <c r="C421" s="11" t="s">
        <v>4</v>
      </c>
      <c r="D421" s="11" t="s">
        <v>445</v>
      </c>
      <c r="E421" s="11" t="s">
        <v>378</v>
      </c>
      <c r="F421" s="11" t="s">
        <v>418</v>
      </c>
      <c r="G421" s="12">
        <v>8</v>
      </c>
      <c r="H421" s="12">
        <v>12.5</v>
      </c>
      <c r="I421" s="12">
        <v>100</v>
      </c>
      <c r="J421" s="12">
        <v>9242.7000000000007</v>
      </c>
      <c r="K421" s="20">
        <f t="shared" si="84"/>
        <v>4</v>
      </c>
      <c r="L421" s="20" t="str">
        <f t="shared" si="85"/>
        <v>Se repite 4 veces</v>
      </c>
      <c r="M421" s="20" t="str">
        <f t="shared" si="86"/>
        <v>Peru Chef-Peru Chef Chicha Morada display 20gr x 12 sobres</v>
      </c>
      <c r="N421" s="20">
        <f t="shared" si="87"/>
        <v>4</v>
      </c>
      <c r="O421" s="20" t="str">
        <f t="shared" si="88"/>
        <v>Se repite 4 veces en Peru Chef</v>
      </c>
      <c r="P421" s="20" t="str">
        <f t="shared" si="89"/>
        <v>Peru Chef-Peru Chef Chicha Morada display 20gr x 12 sobres-12.5</v>
      </c>
      <c r="Q421" s="20">
        <f t="shared" si="90"/>
        <v>4</v>
      </c>
      <c r="R421" s="20" t="str">
        <f t="shared" si="91"/>
        <v>Se repite 4 veces el precio de 12.5</v>
      </c>
      <c r="S421" s="20" t="str">
        <f t="shared" si="92"/>
        <v>El producto Peru Chef Chicha Morada display 20gr x 12 sobres Se repite 4 veces en Peru Chef, Se repite 4 veces el precio de 12.5</v>
      </c>
      <c r="T421" s="20" t="str">
        <f t="shared" si="93"/>
        <v>Peru Chef</v>
      </c>
      <c r="U421" s="20" t="str">
        <f t="shared" si="94"/>
        <v>Peru Chef Chicha Morada display 20gr x 12 sobres</v>
      </c>
      <c r="V421" s="22">
        <f t="shared" si="95"/>
        <v>12.5</v>
      </c>
      <c r="W421" t="str">
        <f t="shared" si="96"/>
        <v>Peru Chef 04/24/2025</v>
      </c>
      <c r="Z421">
        <f t="shared" si="97"/>
        <v>100</v>
      </c>
    </row>
    <row r="422" spans="1:26" hidden="1" x14ac:dyDescent="0.25">
      <c r="A422" s="2" t="s">
        <v>272</v>
      </c>
      <c r="B422" s="11" t="s">
        <v>273</v>
      </c>
      <c r="C422" s="11" t="s">
        <v>4</v>
      </c>
      <c r="D422" s="11" t="s">
        <v>5</v>
      </c>
      <c r="E422" s="11" t="s">
        <v>384</v>
      </c>
      <c r="F422" s="11" t="s">
        <v>385</v>
      </c>
      <c r="G422" s="12">
        <v>1</v>
      </c>
      <c r="H422" s="12">
        <v>66</v>
      </c>
      <c r="I422" s="12">
        <v>66</v>
      </c>
      <c r="J422" s="12">
        <v>1938.6999999999998</v>
      </c>
      <c r="K422" s="20">
        <f t="shared" si="84"/>
        <v>3</v>
      </c>
      <c r="L422" s="20" t="str">
        <f t="shared" si="85"/>
        <v>Se repite 3 veces</v>
      </c>
      <c r="M422" s="20" t="str">
        <f t="shared" si="86"/>
        <v>Peru Chef-Peru Chef Choclo Desgranado 1 Lb X 30 FROZEN</v>
      </c>
      <c r="N422" s="20">
        <f t="shared" si="87"/>
        <v>3</v>
      </c>
      <c r="O422" s="20" t="str">
        <f t="shared" si="88"/>
        <v>Se repite 3 veces en Peru Chef</v>
      </c>
      <c r="P422" s="20" t="str">
        <f t="shared" si="89"/>
        <v>Peru Chef-Peru Chef Choclo Desgranado 1 Lb X 30 FROZEN-66</v>
      </c>
      <c r="Q422" s="20">
        <f t="shared" si="90"/>
        <v>2</v>
      </c>
      <c r="R422" s="20" t="str">
        <f t="shared" si="91"/>
        <v>Se repite 2 veces el precio de 66</v>
      </c>
      <c r="S422" s="20" t="str">
        <f t="shared" si="92"/>
        <v>El producto Peru Chef Choclo Desgranado 1 Lb X 30 FROZEN Se repite 3 veces en Peru Chef, Se repite 2 veces el precio de 66</v>
      </c>
      <c r="T422" s="20" t="str">
        <f t="shared" si="93"/>
        <v>Peru Chef</v>
      </c>
      <c r="U422" s="20" t="str">
        <f t="shared" si="94"/>
        <v>Peru Chef Choclo Desgranado 1 Lb X 30 FROZEN</v>
      </c>
      <c r="V422" s="22">
        <f t="shared" si="95"/>
        <v>66</v>
      </c>
      <c r="W422" t="str">
        <f t="shared" si="96"/>
        <v>Peru Chef 03/26/2025</v>
      </c>
      <c r="Z422">
        <f t="shared" si="97"/>
        <v>66</v>
      </c>
    </row>
    <row r="423" spans="1:26" hidden="1" x14ac:dyDescent="0.25">
      <c r="A423" s="2" t="s">
        <v>272</v>
      </c>
      <c r="B423" s="11" t="s">
        <v>398</v>
      </c>
      <c r="C423" s="11" t="s">
        <v>4</v>
      </c>
      <c r="D423" s="11" t="s">
        <v>399</v>
      </c>
      <c r="E423" s="11" t="s">
        <v>384</v>
      </c>
      <c r="F423" s="11" t="s">
        <v>385</v>
      </c>
      <c r="G423" s="12">
        <v>1</v>
      </c>
      <c r="H423" s="12">
        <v>66</v>
      </c>
      <c r="I423" s="12">
        <v>66</v>
      </c>
      <c r="J423" s="12">
        <v>3964.5</v>
      </c>
      <c r="K423" s="20">
        <f t="shared" si="84"/>
        <v>3</v>
      </c>
      <c r="L423" s="20" t="str">
        <f t="shared" si="85"/>
        <v>Se repite 3 veces</v>
      </c>
      <c r="M423" s="20" t="str">
        <f t="shared" si="86"/>
        <v>Peru Chef-Peru Chef Choclo Desgranado 1 Lb X 30 FROZEN</v>
      </c>
      <c r="N423" s="20">
        <f t="shared" si="87"/>
        <v>3</v>
      </c>
      <c r="O423" s="20" t="str">
        <f t="shared" si="88"/>
        <v>Se repite 3 veces en Peru Chef</v>
      </c>
      <c r="P423" s="20" t="str">
        <f t="shared" si="89"/>
        <v>Peru Chef-Peru Chef Choclo Desgranado 1 Lb X 30 FROZEN-66</v>
      </c>
      <c r="Q423" s="20">
        <f t="shared" si="90"/>
        <v>2</v>
      </c>
      <c r="R423" s="20" t="str">
        <f t="shared" si="91"/>
        <v>Se repite 2 veces el precio de 66</v>
      </c>
      <c r="S423" s="20" t="str">
        <f t="shared" si="92"/>
        <v>El producto Peru Chef Choclo Desgranado 1 Lb X 30 FROZEN Se repite 3 veces en Peru Chef, Se repite 2 veces el precio de 66</v>
      </c>
      <c r="T423" s="20" t="str">
        <f t="shared" si="93"/>
        <v>Peru Chef</v>
      </c>
      <c r="U423" s="20" t="str">
        <f t="shared" si="94"/>
        <v>Peru Chef Choclo Desgranado 1 Lb X 30 FROZEN</v>
      </c>
      <c r="V423" s="22">
        <f t="shared" si="95"/>
        <v>66</v>
      </c>
      <c r="W423" t="str">
        <f t="shared" si="96"/>
        <v>Peru Chef 04/10/2025</v>
      </c>
      <c r="Z423">
        <f t="shared" si="97"/>
        <v>66</v>
      </c>
    </row>
    <row r="424" spans="1:26" hidden="1" x14ac:dyDescent="0.25">
      <c r="A424" s="2" t="s">
        <v>272</v>
      </c>
      <c r="B424" s="11" t="s">
        <v>600</v>
      </c>
      <c r="C424" s="11" t="s">
        <v>4</v>
      </c>
      <c r="D424" s="11" t="s">
        <v>601</v>
      </c>
      <c r="E424" s="11" t="s">
        <v>384</v>
      </c>
      <c r="F424" s="11" t="s">
        <v>385</v>
      </c>
      <c r="G424" s="12">
        <v>3</v>
      </c>
      <c r="H424" s="12">
        <v>64.349999999999994</v>
      </c>
      <c r="I424" s="12">
        <v>193.05</v>
      </c>
      <c r="J424" s="12">
        <v>34251.25</v>
      </c>
      <c r="K424" s="20">
        <f t="shared" si="84"/>
        <v>3</v>
      </c>
      <c r="L424" s="20" t="str">
        <f t="shared" si="85"/>
        <v>Se repite 3 veces</v>
      </c>
      <c r="M424" s="20" t="str">
        <f t="shared" si="86"/>
        <v>Peru Chef-Peru Chef Choclo Desgranado 1 Lb X 30 FROZEN</v>
      </c>
      <c r="N424" s="20">
        <f t="shared" si="87"/>
        <v>3</v>
      </c>
      <c r="O424" s="20" t="str">
        <f t="shared" si="88"/>
        <v>Se repite 3 veces en Peru Chef</v>
      </c>
      <c r="P424" s="20" t="str">
        <f t="shared" si="89"/>
        <v>Peru Chef-Peru Chef Choclo Desgranado 1 Lb X 30 FROZEN-64.35</v>
      </c>
      <c r="Q424" s="20">
        <f t="shared" si="90"/>
        <v>1</v>
      </c>
      <c r="R424" s="20" t="str">
        <f t="shared" si="91"/>
        <v>No se repite</v>
      </c>
      <c r="S424" s="20" t="str">
        <f t="shared" si="92"/>
        <v>El producto Peru Chef Choclo Desgranado 1 Lb X 30 FROZEN Se repite 3 veces en Peru Chef Una vez con el precio 64.35</v>
      </c>
      <c r="T424" s="20" t="str">
        <f t="shared" si="93"/>
        <v>Peru Chef</v>
      </c>
      <c r="U424" s="20" t="str">
        <f t="shared" si="94"/>
        <v>Peru Chef Choclo Desgranado 1 Lb X 30 FROZEN</v>
      </c>
      <c r="V424" s="22">
        <f t="shared" si="95"/>
        <v>64.349999999999994</v>
      </c>
      <c r="W424" t="str">
        <f t="shared" si="96"/>
        <v>Peru Chef 11/14/2025</v>
      </c>
      <c r="Z424">
        <f t="shared" si="97"/>
        <v>193.04999999999998</v>
      </c>
    </row>
    <row r="425" spans="1:26" hidden="1" x14ac:dyDescent="0.25">
      <c r="A425" s="2" t="s">
        <v>272</v>
      </c>
      <c r="B425" s="11" t="s">
        <v>471</v>
      </c>
      <c r="C425" s="11" t="s">
        <v>4</v>
      </c>
      <c r="D425" s="11" t="s">
        <v>472</v>
      </c>
      <c r="E425" s="11" t="s">
        <v>473</v>
      </c>
      <c r="F425" s="11" t="s">
        <v>474</v>
      </c>
      <c r="G425" s="12">
        <v>4</v>
      </c>
      <c r="H425" s="12">
        <v>70.5</v>
      </c>
      <c r="I425" s="12">
        <v>282</v>
      </c>
      <c r="J425" s="12">
        <v>10888.5</v>
      </c>
      <c r="K425" s="20">
        <f t="shared" si="84"/>
        <v>4</v>
      </c>
      <c r="L425" s="20" t="str">
        <f t="shared" si="85"/>
        <v>Se repite 4 veces</v>
      </c>
      <c r="M425" s="20" t="str">
        <f t="shared" si="86"/>
        <v>Peru Chef-Peru Chef Choclo Desgranado 3 Lb X 10 FROZEN</v>
      </c>
      <c r="N425" s="20">
        <f t="shared" si="87"/>
        <v>4</v>
      </c>
      <c r="O425" s="20" t="str">
        <f t="shared" si="88"/>
        <v>Se repite 4 veces en Peru Chef</v>
      </c>
      <c r="P425" s="20" t="str">
        <f t="shared" si="89"/>
        <v>Peru Chef-Peru Chef Choclo Desgranado 3 Lb X 10 FROZEN-70.5</v>
      </c>
      <c r="Q425" s="20">
        <f t="shared" si="90"/>
        <v>3</v>
      </c>
      <c r="R425" s="20" t="str">
        <f t="shared" si="91"/>
        <v>Se repite 3 veces el precio de 70.5</v>
      </c>
      <c r="S425" s="20" t="str">
        <f t="shared" si="92"/>
        <v>El producto Peru Chef Choclo Desgranado 3 Lb X 10 FROZEN Se repite 4 veces en Peru Chef, Se repite 3 veces el precio de 70.5</v>
      </c>
      <c r="T425" s="20" t="str">
        <f t="shared" si="93"/>
        <v>Peru Chef</v>
      </c>
      <c r="U425" s="20" t="str">
        <f t="shared" si="94"/>
        <v>Peru Chef Choclo Desgranado 3 Lb X 10 FROZEN</v>
      </c>
      <c r="V425" s="22">
        <f t="shared" si="95"/>
        <v>70.5</v>
      </c>
      <c r="W425" t="str">
        <f t="shared" si="96"/>
        <v>Peru Chef 08/11/2025</v>
      </c>
      <c r="Z425">
        <f t="shared" si="97"/>
        <v>282</v>
      </c>
    </row>
    <row r="426" spans="1:26" hidden="1" x14ac:dyDescent="0.25">
      <c r="A426" s="2" t="s">
        <v>272</v>
      </c>
      <c r="B426" s="11" t="s">
        <v>512</v>
      </c>
      <c r="C426" s="11" t="s">
        <v>4</v>
      </c>
      <c r="D426" s="11" t="s">
        <v>513</v>
      </c>
      <c r="E426" s="11" t="s">
        <v>473</v>
      </c>
      <c r="F426" s="11" t="s">
        <v>474</v>
      </c>
      <c r="G426" s="12">
        <v>4</v>
      </c>
      <c r="H426" s="12">
        <v>70.5</v>
      </c>
      <c r="I426" s="12">
        <v>282</v>
      </c>
      <c r="J426" s="12">
        <v>16083.5</v>
      </c>
      <c r="K426" s="20">
        <f t="shared" si="84"/>
        <v>4</v>
      </c>
      <c r="L426" s="20" t="str">
        <f t="shared" si="85"/>
        <v>Se repite 4 veces</v>
      </c>
      <c r="M426" s="20" t="str">
        <f t="shared" si="86"/>
        <v>Peru Chef-Peru Chef Choclo Desgranado 3 Lb X 10 FROZEN</v>
      </c>
      <c r="N426" s="20">
        <f t="shared" si="87"/>
        <v>4</v>
      </c>
      <c r="O426" s="20" t="str">
        <f t="shared" si="88"/>
        <v>Se repite 4 veces en Peru Chef</v>
      </c>
      <c r="P426" s="20" t="str">
        <f t="shared" si="89"/>
        <v>Peru Chef-Peru Chef Choclo Desgranado 3 Lb X 10 FROZEN-70.5</v>
      </c>
      <c r="Q426" s="20">
        <f t="shared" si="90"/>
        <v>3</v>
      </c>
      <c r="R426" s="20" t="str">
        <f t="shared" si="91"/>
        <v>Se repite 3 veces el precio de 70.5</v>
      </c>
      <c r="S426" s="20" t="str">
        <f t="shared" si="92"/>
        <v>El producto Peru Chef Choclo Desgranado 3 Lb X 10 FROZEN Se repite 4 veces en Peru Chef, Se repite 3 veces el precio de 70.5</v>
      </c>
      <c r="T426" s="20" t="str">
        <f t="shared" si="93"/>
        <v>Peru Chef</v>
      </c>
      <c r="U426" s="20" t="str">
        <f t="shared" si="94"/>
        <v>Peru Chef Choclo Desgranado 3 Lb X 10 FROZEN</v>
      </c>
      <c r="V426" s="22">
        <f t="shared" si="95"/>
        <v>70.5</v>
      </c>
      <c r="W426" t="str">
        <f t="shared" si="96"/>
        <v>Peru Chef 08/28/2025</v>
      </c>
      <c r="Z426">
        <f t="shared" si="97"/>
        <v>282</v>
      </c>
    </row>
    <row r="427" spans="1:26" hidden="1" x14ac:dyDescent="0.25">
      <c r="A427" s="2" t="s">
        <v>272</v>
      </c>
      <c r="B427" s="11" t="s">
        <v>563</v>
      </c>
      <c r="C427" s="11" t="s">
        <v>4</v>
      </c>
      <c r="D427" s="11" t="s">
        <v>564</v>
      </c>
      <c r="E427" s="11" t="s">
        <v>473</v>
      </c>
      <c r="F427" s="11" t="s">
        <v>474</v>
      </c>
      <c r="G427" s="12">
        <v>3</v>
      </c>
      <c r="H427" s="12">
        <v>70.5</v>
      </c>
      <c r="I427" s="12">
        <v>211.5</v>
      </c>
      <c r="J427" s="12">
        <v>19943.5</v>
      </c>
      <c r="K427" s="20">
        <f t="shared" si="84"/>
        <v>4</v>
      </c>
      <c r="L427" s="20" t="str">
        <f t="shared" si="85"/>
        <v>Se repite 4 veces</v>
      </c>
      <c r="M427" s="20" t="str">
        <f t="shared" si="86"/>
        <v>Peru Chef-Peru Chef Choclo Desgranado 3 Lb X 10 FROZEN</v>
      </c>
      <c r="N427" s="20">
        <f t="shared" si="87"/>
        <v>4</v>
      </c>
      <c r="O427" s="20" t="str">
        <f t="shared" si="88"/>
        <v>Se repite 4 veces en Peru Chef</v>
      </c>
      <c r="P427" s="20" t="str">
        <f t="shared" si="89"/>
        <v>Peru Chef-Peru Chef Choclo Desgranado 3 Lb X 10 FROZEN-70.5</v>
      </c>
      <c r="Q427" s="20">
        <f t="shared" si="90"/>
        <v>3</v>
      </c>
      <c r="R427" s="20" t="str">
        <f t="shared" si="91"/>
        <v>Se repite 3 veces el precio de 70.5</v>
      </c>
      <c r="S427" s="20" t="str">
        <f t="shared" si="92"/>
        <v>El producto Peru Chef Choclo Desgranado 3 Lb X 10 FROZEN Se repite 4 veces en Peru Chef, Se repite 3 veces el precio de 70.5</v>
      </c>
      <c r="T427" s="20" t="str">
        <f t="shared" si="93"/>
        <v>Peru Chef</v>
      </c>
      <c r="U427" s="20" t="str">
        <f t="shared" si="94"/>
        <v>Peru Chef Choclo Desgranado 3 Lb X 10 FROZEN</v>
      </c>
      <c r="V427" s="22">
        <f t="shared" si="95"/>
        <v>70.5</v>
      </c>
      <c r="W427" t="str">
        <f t="shared" si="96"/>
        <v>Peru Chef 09/11/2025</v>
      </c>
      <c r="Z427">
        <f t="shared" si="97"/>
        <v>211.5</v>
      </c>
    </row>
    <row r="428" spans="1:26" hidden="1" x14ac:dyDescent="0.25">
      <c r="A428" s="2" t="s">
        <v>272</v>
      </c>
      <c r="B428" s="11" t="s">
        <v>600</v>
      </c>
      <c r="C428" s="11" t="s">
        <v>4</v>
      </c>
      <c r="D428" s="11" t="s">
        <v>601</v>
      </c>
      <c r="E428" s="11" t="s">
        <v>473</v>
      </c>
      <c r="F428" s="11" t="s">
        <v>474</v>
      </c>
      <c r="G428" s="12">
        <v>3</v>
      </c>
      <c r="H428" s="12">
        <v>63.45</v>
      </c>
      <c r="I428" s="12">
        <v>190.35</v>
      </c>
      <c r="J428" s="12">
        <v>34441.599999999999</v>
      </c>
      <c r="K428" s="20">
        <f t="shared" si="84"/>
        <v>4</v>
      </c>
      <c r="L428" s="20" t="str">
        <f t="shared" si="85"/>
        <v>Se repite 4 veces</v>
      </c>
      <c r="M428" s="20" t="str">
        <f t="shared" si="86"/>
        <v>Peru Chef-Peru Chef Choclo Desgranado 3 Lb X 10 FROZEN</v>
      </c>
      <c r="N428" s="20">
        <f t="shared" si="87"/>
        <v>4</v>
      </c>
      <c r="O428" s="20" t="str">
        <f t="shared" si="88"/>
        <v>Se repite 4 veces en Peru Chef</v>
      </c>
      <c r="P428" s="20" t="str">
        <f t="shared" si="89"/>
        <v>Peru Chef-Peru Chef Choclo Desgranado 3 Lb X 10 FROZEN-63.45</v>
      </c>
      <c r="Q428" s="20">
        <f t="shared" si="90"/>
        <v>1</v>
      </c>
      <c r="R428" s="20" t="str">
        <f t="shared" si="91"/>
        <v>No se repite</v>
      </c>
      <c r="S428" s="20" t="str">
        <f t="shared" si="92"/>
        <v>El producto Peru Chef Choclo Desgranado 3 Lb X 10 FROZEN Se repite 4 veces en Peru Chef Una vez con el precio 63.45</v>
      </c>
      <c r="T428" s="20" t="str">
        <f t="shared" si="93"/>
        <v>Peru Chef</v>
      </c>
      <c r="U428" s="20" t="str">
        <f t="shared" si="94"/>
        <v>Peru Chef Choclo Desgranado 3 Lb X 10 FROZEN</v>
      </c>
      <c r="V428" s="22">
        <f t="shared" si="95"/>
        <v>63.45</v>
      </c>
      <c r="W428" t="str">
        <f t="shared" si="96"/>
        <v>Peru Chef 11/14/2025</v>
      </c>
      <c r="Z428">
        <f t="shared" si="97"/>
        <v>190.35000000000002</v>
      </c>
    </row>
    <row r="429" spans="1:26" hidden="1" x14ac:dyDescent="0.25">
      <c r="A429" s="2" t="s">
        <v>272</v>
      </c>
      <c r="B429" s="11" t="s">
        <v>273</v>
      </c>
      <c r="C429" s="11" t="s">
        <v>4</v>
      </c>
      <c r="D429" s="11" t="s">
        <v>5</v>
      </c>
      <c r="E429" s="11" t="s">
        <v>310</v>
      </c>
      <c r="F429" s="11" t="s">
        <v>311</v>
      </c>
      <c r="G429" s="12">
        <v>1</v>
      </c>
      <c r="H429" s="12">
        <v>22</v>
      </c>
      <c r="I429" s="12">
        <v>22</v>
      </c>
      <c r="J429" s="12">
        <v>587.29999999999995</v>
      </c>
      <c r="K429" s="20">
        <f t="shared" si="84"/>
        <v>4</v>
      </c>
      <c r="L429" s="20" t="str">
        <f t="shared" si="85"/>
        <v>Se repite 4 veces</v>
      </c>
      <c r="M429" s="20" t="str">
        <f t="shared" si="86"/>
        <v>Peru Chef-Peru Chef Chuño Blanco Entero 15 Oz X 8</v>
      </c>
      <c r="N429" s="20">
        <f t="shared" si="87"/>
        <v>4</v>
      </c>
      <c r="O429" s="20" t="str">
        <f t="shared" si="88"/>
        <v>Se repite 4 veces en Peru Chef</v>
      </c>
      <c r="P429" s="20" t="str">
        <f t="shared" si="89"/>
        <v>Peru Chef-Peru Chef Chuño Blanco Entero 15 Oz X 8-22</v>
      </c>
      <c r="Q429" s="20">
        <f t="shared" si="90"/>
        <v>2</v>
      </c>
      <c r="R429" s="20" t="str">
        <f t="shared" si="91"/>
        <v>Se repite 2 veces el precio de 22</v>
      </c>
      <c r="S429" s="20" t="str">
        <f t="shared" si="92"/>
        <v>El producto Peru Chef Chuño Blanco Entero 15 Oz X 8 Se repite 4 veces en Peru Chef, Se repite 2 veces el precio de 22</v>
      </c>
      <c r="T429" s="20" t="str">
        <f t="shared" si="93"/>
        <v>Peru Chef</v>
      </c>
      <c r="U429" s="20" t="str">
        <f t="shared" si="94"/>
        <v>Peru Chef Chuño Blanco Entero 15 Oz X 8</v>
      </c>
      <c r="V429" s="22">
        <f t="shared" si="95"/>
        <v>22</v>
      </c>
      <c r="W429" t="str">
        <f t="shared" si="96"/>
        <v>Peru Chef 03/26/2025</v>
      </c>
      <c r="Z429">
        <f t="shared" si="97"/>
        <v>22</v>
      </c>
    </row>
    <row r="430" spans="1:26" hidden="1" x14ac:dyDescent="0.25">
      <c r="A430" s="2" t="s">
        <v>272</v>
      </c>
      <c r="B430" s="11" t="s">
        <v>398</v>
      </c>
      <c r="C430" s="11" t="s">
        <v>4</v>
      </c>
      <c r="D430" s="11" t="s">
        <v>399</v>
      </c>
      <c r="E430" s="11" t="s">
        <v>310</v>
      </c>
      <c r="F430" s="11" t="s">
        <v>311</v>
      </c>
      <c r="G430" s="12">
        <v>1</v>
      </c>
      <c r="H430" s="12">
        <v>22</v>
      </c>
      <c r="I430" s="12">
        <v>22</v>
      </c>
      <c r="J430" s="12">
        <v>2833.5</v>
      </c>
      <c r="K430" s="20">
        <f t="shared" si="84"/>
        <v>4</v>
      </c>
      <c r="L430" s="20" t="str">
        <f t="shared" si="85"/>
        <v>Se repite 4 veces</v>
      </c>
      <c r="M430" s="20" t="str">
        <f t="shared" si="86"/>
        <v>Peru Chef-Peru Chef Chuño Blanco Entero 15 Oz X 8</v>
      </c>
      <c r="N430" s="20">
        <f t="shared" si="87"/>
        <v>4</v>
      </c>
      <c r="O430" s="20" t="str">
        <f t="shared" si="88"/>
        <v>Se repite 4 veces en Peru Chef</v>
      </c>
      <c r="P430" s="20" t="str">
        <f t="shared" si="89"/>
        <v>Peru Chef-Peru Chef Chuño Blanco Entero 15 Oz X 8-22</v>
      </c>
      <c r="Q430" s="20">
        <f t="shared" si="90"/>
        <v>2</v>
      </c>
      <c r="R430" s="20" t="str">
        <f t="shared" si="91"/>
        <v>Se repite 2 veces el precio de 22</v>
      </c>
      <c r="S430" s="20" t="str">
        <f t="shared" si="92"/>
        <v>El producto Peru Chef Chuño Blanco Entero 15 Oz X 8 Se repite 4 veces en Peru Chef, Se repite 2 veces el precio de 22</v>
      </c>
      <c r="T430" s="20" t="str">
        <f t="shared" si="93"/>
        <v>Peru Chef</v>
      </c>
      <c r="U430" s="20" t="str">
        <f t="shared" si="94"/>
        <v>Peru Chef Chuño Blanco Entero 15 Oz X 8</v>
      </c>
      <c r="V430" s="22">
        <f t="shared" si="95"/>
        <v>22</v>
      </c>
      <c r="W430" t="str">
        <f t="shared" si="96"/>
        <v>Peru Chef 04/10/2025</v>
      </c>
      <c r="Z430">
        <f t="shared" si="97"/>
        <v>22</v>
      </c>
    </row>
    <row r="431" spans="1:26" hidden="1" x14ac:dyDescent="0.25">
      <c r="A431" s="2" t="s">
        <v>272</v>
      </c>
      <c r="B431" s="11" t="s">
        <v>512</v>
      </c>
      <c r="C431" s="11" t="s">
        <v>4</v>
      </c>
      <c r="D431" s="11" t="s">
        <v>513</v>
      </c>
      <c r="E431" s="11" t="s">
        <v>310</v>
      </c>
      <c r="F431" s="11" t="s">
        <v>520</v>
      </c>
      <c r="G431" s="12">
        <v>2</v>
      </c>
      <c r="H431" s="12">
        <v>24</v>
      </c>
      <c r="I431" s="12">
        <v>48</v>
      </c>
      <c r="J431" s="12">
        <v>16831.5</v>
      </c>
      <c r="K431" s="20">
        <f t="shared" si="84"/>
        <v>4</v>
      </c>
      <c r="L431" s="20" t="str">
        <f t="shared" si="85"/>
        <v>Se repite 4 veces</v>
      </c>
      <c r="M431" s="20" t="str">
        <f t="shared" si="86"/>
        <v>Peru Chef-Peru Chef Chuño Blanco Entero 15 Oz X 8</v>
      </c>
      <c r="N431" s="20">
        <f t="shared" si="87"/>
        <v>4</v>
      </c>
      <c r="O431" s="20" t="str">
        <f t="shared" si="88"/>
        <v>Se repite 4 veces en Peru Chef</v>
      </c>
      <c r="P431" s="20" t="str">
        <f t="shared" si="89"/>
        <v>Peru Chef-Peru Chef Chuño Blanco Entero 15 Oz X 8-24</v>
      </c>
      <c r="Q431" s="20">
        <f t="shared" si="90"/>
        <v>1</v>
      </c>
      <c r="R431" s="20" t="str">
        <f t="shared" si="91"/>
        <v>No se repite</v>
      </c>
      <c r="S431" s="20" t="str">
        <f t="shared" si="92"/>
        <v>El producto Peru Chef Chuño Blanco Entero 15 Oz X 8 Se repite 4 veces en Peru Chef Una vez con el precio 24</v>
      </c>
      <c r="T431" s="20" t="str">
        <f t="shared" si="93"/>
        <v>Peru Chef</v>
      </c>
      <c r="U431" s="20" t="str">
        <f t="shared" si="94"/>
        <v>Peru Chef Chuño Blanco Entero 15 Oz X 8</v>
      </c>
      <c r="V431" s="22">
        <f t="shared" si="95"/>
        <v>24</v>
      </c>
      <c r="W431" t="str">
        <f t="shared" si="96"/>
        <v>Peru Chef 08/28/2025</v>
      </c>
      <c r="Z431">
        <f t="shared" si="97"/>
        <v>48</v>
      </c>
    </row>
    <row r="432" spans="1:26" hidden="1" x14ac:dyDescent="0.25">
      <c r="A432" s="2" t="s">
        <v>272</v>
      </c>
      <c r="B432" s="11" t="s">
        <v>600</v>
      </c>
      <c r="C432" s="11" t="s">
        <v>4</v>
      </c>
      <c r="D432" s="11" t="s">
        <v>601</v>
      </c>
      <c r="E432" s="11" t="s">
        <v>310</v>
      </c>
      <c r="F432" s="11" t="s">
        <v>520</v>
      </c>
      <c r="G432" s="12">
        <v>4</v>
      </c>
      <c r="H432" s="12">
        <v>21.6</v>
      </c>
      <c r="I432" s="12">
        <v>86.4</v>
      </c>
      <c r="J432" s="12">
        <v>35231.350000000006</v>
      </c>
      <c r="K432" s="20">
        <f t="shared" si="84"/>
        <v>4</v>
      </c>
      <c r="L432" s="20" t="str">
        <f t="shared" si="85"/>
        <v>Se repite 4 veces</v>
      </c>
      <c r="M432" s="20" t="str">
        <f t="shared" si="86"/>
        <v>Peru Chef-Peru Chef Chuño Blanco Entero 15 Oz X 8</v>
      </c>
      <c r="N432" s="20">
        <f t="shared" si="87"/>
        <v>4</v>
      </c>
      <c r="O432" s="20" t="str">
        <f t="shared" si="88"/>
        <v>Se repite 4 veces en Peru Chef</v>
      </c>
      <c r="P432" s="20" t="str">
        <f t="shared" si="89"/>
        <v>Peru Chef-Peru Chef Chuño Blanco Entero 15 Oz X 8-21.6</v>
      </c>
      <c r="Q432" s="20">
        <f t="shared" si="90"/>
        <v>1</v>
      </c>
      <c r="R432" s="20" t="str">
        <f t="shared" si="91"/>
        <v>No se repite</v>
      </c>
      <c r="S432" s="20" t="str">
        <f t="shared" si="92"/>
        <v>El producto Peru Chef Chuño Blanco Entero 15 Oz X 8 Se repite 4 veces en Peru Chef Una vez con el precio 21.6</v>
      </c>
      <c r="T432" s="20" t="str">
        <f t="shared" si="93"/>
        <v>Peru Chef</v>
      </c>
      <c r="U432" s="20" t="str">
        <f t="shared" si="94"/>
        <v>Peru Chef Chuño Blanco Entero 15 Oz X 8</v>
      </c>
      <c r="V432" s="22">
        <f t="shared" si="95"/>
        <v>21.6</v>
      </c>
      <c r="W432" t="str">
        <f t="shared" si="96"/>
        <v>Peru Chef 11/14/2025</v>
      </c>
      <c r="Z432">
        <f t="shared" si="97"/>
        <v>86.4</v>
      </c>
    </row>
    <row r="433" spans="1:26" hidden="1" x14ac:dyDescent="0.25">
      <c r="A433" s="2" t="s">
        <v>272</v>
      </c>
      <c r="B433" s="11" t="s">
        <v>273</v>
      </c>
      <c r="C433" s="11" t="s">
        <v>4</v>
      </c>
      <c r="D433" s="11" t="s">
        <v>5</v>
      </c>
      <c r="E433" s="11" t="s">
        <v>284</v>
      </c>
      <c r="F433" s="11" t="s">
        <v>285</v>
      </c>
      <c r="G433" s="12">
        <v>1</v>
      </c>
      <c r="H433" s="12">
        <v>36</v>
      </c>
      <c r="I433" s="12">
        <v>36</v>
      </c>
      <c r="J433" s="12">
        <v>234.5</v>
      </c>
      <c r="K433" s="20">
        <f t="shared" si="84"/>
        <v>4</v>
      </c>
      <c r="L433" s="20" t="str">
        <f t="shared" si="85"/>
        <v>Se repite 4 veces</v>
      </c>
      <c r="M433" s="20" t="str">
        <f t="shared" si="86"/>
        <v>Peru Chef-Peru Chef Crema De Aji P/Ceviche 10.5 oz x 12</v>
      </c>
      <c r="N433" s="20">
        <f t="shared" si="87"/>
        <v>4</v>
      </c>
      <c r="O433" s="20" t="str">
        <f t="shared" si="88"/>
        <v>Se repite 4 veces en Peru Chef</v>
      </c>
      <c r="P433" s="20" t="str">
        <f t="shared" si="89"/>
        <v>Peru Chef-Peru Chef Crema De Aji P/Ceviche 10.5 oz x 12-36</v>
      </c>
      <c r="Q433" s="20">
        <f t="shared" si="90"/>
        <v>2</v>
      </c>
      <c r="R433" s="20" t="str">
        <f t="shared" si="91"/>
        <v>Se repite 2 veces el precio de 36</v>
      </c>
      <c r="S433" s="20" t="str">
        <f t="shared" si="92"/>
        <v>El producto Peru Chef Crema De Aji P/Ceviche 10.5 oz x 12 Se repite 4 veces en Peru Chef, Se repite 2 veces el precio de 36</v>
      </c>
      <c r="T433" s="20" t="str">
        <f t="shared" si="93"/>
        <v>Peru Chef</v>
      </c>
      <c r="U433" s="20" t="str">
        <f t="shared" si="94"/>
        <v>Peru Chef Crema De Aji P/Ceviche 10.5 oz x 12</v>
      </c>
      <c r="V433" s="22">
        <f t="shared" si="95"/>
        <v>36</v>
      </c>
      <c r="W433" t="str">
        <f t="shared" si="96"/>
        <v>Peru Chef 03/26/2025</v>
      </c>
      <c r="Z433">
        <f t="shared" si="97"/>
        <v>36</v>
      </c>
    </row>
    <row r="434" spans="1:26" hidden="1" x14ac:dyDescent="0.25">
      <c r="A434" s="2" t="s">
        <v>272</v>
      </c>
      <c r="B434" s="11" t="s">
        <v>398</v>
      </c>
      <c r="C434" s="11" t="s">
        <v>4</v>
      </c>
      <c r="D434" s="11" t="s">
        <v>399</v>
      </c>
      <c r="E434" s="11" t="s">
        <v>284</v>
      </c>
      <c r="F434" s="11" t="s">
        <v>285</v>
      </c>
      <c r="G434" s="12">
        <v>1</v>
      </c>
      <c r="H434" s="12">
        <v>36</v>
      </c>
      <c r="I434" s="12">
        <v>36</v>
      </c>
      <c r="J434" s="12">
        <v>2480.6999999999998</v>
      </c>
      <c r="K434" s="20">
        <f t="shared" si="84"/>
        <v>4</v>
      </c>
      <c r="L434" s="20" t="str">
        <f t="shared" si="85"/>
        <v>Se repite 4 veces</v>
      </c>
      <c r="M434" s="20" t="str">
        <f t="shared" si="86"/>
        <v>Peru Chef-Peru Chef Crema De Aji P/Ceviche 10.5 oz x 12</v>
      </c>
      <c r="N434" s="20">
        <f t="shared" si="87"/>
        <v>4</v>
      </c>
      <c r="O434" s="20" t="str">
        <f t="shared" si="88"/>
        <v>Se repite 4 veces en Peru Chef</v>
      </c>
      <c r="P434" s="20" t="str">
        <f t="shared" si="89"/>
        <v>Peru Chef-Peru Chef Crema De Aji P/Ceviche 10.5 oz x 12-36</v>
      </c>
      <c r="Q434" s="20">
        <f t="shared" si="90"/>
        <v>2</v>
      </c>
      <c r="R434" s="20" t="str">
        <f t="shared" si="91"/>
        <v>Se repite 2 veces el precio de 36</v>
      </c>
      <c r="S434" s="20" t="str">
        <f t="shared" si="92"/>
        <v>El producto Peru Chef Crema De Aji P/Ceviche 10.5 oz x 12 Se repite 4 veces en Peru Chef, Se repite 2 veces el precio de 36</v>
      </c>
      <c r="T434" s="20" t="str">
        <f t="shared" si="93"/>
        <v>Peru Chef</v>
      </c>
      <c r="U434" s="20" t="str">
        <f t="shared" si="94"/>
        <v>Peru Chef Crema De Aji P/Ceviche 10.5 oz x 12</v>
      </c>
      <c r="V434" s="22">
        <f t="shared" si="95"/>
        <v>36</v>
      </c>
      <c r="W434" t="str">
        <f t="shared" si="96"/>
        <v>Peru Chef 04/10/2025</v>
      </c>
      <c r="Z434">
        <f t="shared" si="97"/>
        <v>36</v>
      </c>
    </row>
    <row r="435" spans="1:26" hidden="1" x14ac:dyDescent="0.25">
      <c r="A435" s="2" t="s">
        <v>272</v>
      </c>
      <c r="B435" s="11" t="s">
        <v>471</v>
      </c>
      <c r="C435" s="11" t="s">
        <v>4</v>
      </c>
      <c r="D435" s="11" t="s">
        <v>472</v>
      </c>
      <c r="E435" s="11" t="s">
        <v>284</v>
      </c>
      <c r="F435" s="11" t="s">
        <v>285</v>
      </c>
      <c r="G435" s="12">
        <v>3</v>
      </c>
      <c r="H435" s="12">
        <v>39</v>
      </c>
      <c r="I435" s="12">
        <v>117</v>
      </c>
      <c r="J435" s="12">
        <v>11448.5</v>
      </c>
      <c r="K435" s="20">
        <f t="shared" si="84"/>
        <v>4</v>
      </c>
      <c r="L435" s="20" t="str">
        <f t="shared" si="85"/>
        <v>Se repite 4 veces</v>
      </c>
      <c r="M435" s="20" t="str">
        <f t="shared" si="86"/>
        <v>Peru Chef-Peru Chef Crema De Aji P/Ceviche 10.5 oz x 12</v>
      </c>
      <c r="N435" s="20">
        <f t="shared" si="87"/>
        <v>4</v>
      </c>
      <c r="O435" s="20" t="str">
        <f t="shared" si="88"/>
        <v>Se repite 4 veces en Peru Chef</v>
      </c>
      <c r="P435" s="20" t="str">
        <f t="shared" si="89"/>
        <v>Peru Chef-Peru Chef Crema De Aji P/Ceviche 10.5 oz x 12-39</v>
      </c>
      <c r="Q435" s="20">
        <f t="shared" si="90"/>
        <v>2</v>
      </c>
      <c r="R435" s="20" t="str">
        <f t="shared" si="91"/>
        <v>Se repite 2 veces el precio de 39</v>
      </c>
      <c r="S435" s="20" t="str">
        <f t="shared" si="92"/>
        <v>El producto Peru Chef Crema De Aji P/Ceviche 10.5 oz x 12 Se repite 4 veces en Peru Chef, Se repite 2 veces el precio de 39</v>
      </c>
      <c r="T435" s="20" t="str">
        <f t="shared" si="93"/>
        <v>Peru Chef</v>
      </c>
      <c r="U435" s="20" t="str">
        <f t="shared" si="94"/>
        <v>Peru Chef Crema De Aji P/Ceviche 10.5 oz x 12</v>
      </c>
      <c r="V435" s="22">
        <f t="shared" si="95"/>
        <v>39</v>
      </c>
      <c r="W435" t="str">
        <f t="shared" si="96"/>
        <v>Peru Chef 08/11/2025</v>
      </c>
      <c r="Z435">
        <f t="shared" si="97"/>
        <v>117</v>
      </c>
    </row>
    <row r="436" spans="1:26" hidden="1" x14ac:dyDescent="0.25">
      <c r="A436" s="2" t="s">
        <v>272</v>
      </c>
      <c r="B436" s="11" t="s">
        <v>512</v>
      </c>
      <c r="C436" s="11" t="s">
        <v>4</v>
      </c>
      <c r="D436" s="11" t="s">
        <v>513</v>
      </c>
      <c r="E436" s="11" t="s">
        <v>284</v>
      </c>
      <c r="F436" s="11" t="s">
        <v>543</v>
      </c>
      <c r="G436" s="12">
        <v>2</v>
      </c>
      <c r="H436" s="12">
        <v>39</v>
      </c>
      <c r="I436" s="12">
        <v>78</v>
      </c>
      <c r="J436" s="12">
        <v>18271.5</v>
      </c>
      <c r="K436" s="20">
        <f t="shared" si="84"/>
        <v>4</v>
      </c>
      <c r="L436" s="20" t="str">
        <f t="shared" si="85"/>
        <v>Se repite 4 veces</v>
      </c>
      <c r="M436" s="20" t="str">
        <f t="shared" si="86"/>
        <v>Peru Chef-Peru Chef Crema De Aji P/Ceviche 10.5 oz x 12</v>
      </c>
      <c r="N436" s="20">
        <f t="shared" si="87"/>
        <v>4</v>
      </c>
      <c r="O436" s="20" t="str">
        <f t="shared" si="88"/>
        <v>Se repite 4 veces en Peru Chef</v>
      </c>
      <c r="P436" s="20" t="str">
        <f t="shared" si="89"/>
        <v>Peru Chef-Peru Chef Crema De Aji P/Ceviche 10.5 oz x 12-39</v>
      </c>
      <c r="Q436" s="20">
        <f t="shared" si="90"/>
        <v>2</v>
      </c>
      <c r="R436" s="20" t="str">
        <f t="shared" si="91"/>
        <v>Se repite 2 veces el precio de 39</v>
      </c>
      <c r="S436" s="20" t="str">
        <f t="shared" si="92"/>
        <v>El producto Peru Chef Crema De Aji P/Ceviche 10.5 oz x 12 Se repite 4 veces en Peru Chef, Se repite 2 veces el precio de 39</v>
      </c>
      <c r="T436" s="20" t="str">
        <f t="shared" si="93"/>
        <v>Peru Chef</v>
      </c>
      <c r="U436" s="20" t="str">
        <f t="shared" si="94"/>
        <v>Peru Chef Crema De Aji P/Ceviche 10.5 oz x 12</v>
      </c>
      <c r="V436" s="22">
        <f t="shared" si="95"/>
        <v>39</v>
      </c>
      <c r="W436" t="str">
        <f t="shared" si="96"/>
        <v>Peru Chef 08/28/2025</v>
      </c>
      <c r="Z436">
        <f t="shared" si="97"/>
        <v>78</v>
      </c>
    </row>
    <row r="437" spans="1:26" hidden="1" x14ac:dyDescent="0.25">
      <c r="A437" s="2" t="s">
        <v>272</v>
      </c>
      <c r="B437" s="11" t="s">
        <v>619</v>
      </c>
      <c r="C437" s="11" t="s">
        <v>4</v>
      </c>
      <c r="D437" s="11" t="s">
        <v>621</v>
      </c>
      <c r="E437" s="11" t="s">
        <v>624</v>
      </c>
      <c r="F437" s="11" t="s">
        <v>625</v>
      </c>
      <c r="G437" s="12">
        <v>2</v>
      </c>
      <c r="H437" s="12">
        <v>19.350000000000001</v>
      </c>
      <c r="I437" s="12">
        <v>38.700000000000003</v>
      </c>
      <c r="J437" s="12">
        <v>39340.75</v>
      </c>
      <c r="K437" s="20">
        <f t="shared" si="84"/>
        <v>1</v>
      </c>
      <c r="L437" s="20" t="str">
        <f t="shared" si="85"/>
        <v>No se repite</v>
      </c>
      <c r="M437" s="20" t="str">
        <f t="shared" si="86"/>
        <v>Peru Chef-Peru Chef Digestivo x 20 filtrante</v>
      </c>
      <c r="N437" s="20">
        <f t="shared" si="87"/>
        <v>1</v>
      </c>
      <c r="O437" s="20" t="str">
        <f t="shared" si="88"/>
        <v>No se repite en proveedor</v>
      </c>
      <c r="P437" s="20" t="str">
        <f t="shared" si="89"/>
        <v>Peru Chef-Peru Chef Digestivo x 20 filtrante-19.35</v>
      </c>
      <c r="Q437" s="20">
        <f t="shared" si="90"/>
        <v>1</v>
      </c>
      <c r="R437" s="20" t="str">
        <f t="shared" si="91"/>
        <v>No se repite</v>
      </c>
      <c r="S437" s="20" t="str">
        <f t="shared" si="92"/>
        <v>El producto Peru Chef Digestivo x 20 filtrante No se repite en proveedor Una vez con el precio 19.35</v>
      </c>
      <c r="T437" s="20" t="str">
        <f t="shared" si="93"/>
        <v>Peru Chef</v>
      </c>
      <c r="U437" s="20" t="str">
        <f t="shared" si="94"/>
        <v>Peru Chef Digestivo x 20 filtrante</v>
      </c>
      <c r="V437" s="22">
        <f t="shared" si="95"/>
        <v>19.350000000000001</v>
      </c>
      <c r="W437" t="str">
        <f t="shared" si="96"/>
        <v>Peru Chef 12/09/2025</v>
      </c>
      <c r="Z437">
        <f t="shared" si="97"/>
        <v>38.700000000000003</v>
      </c>
    </row>
    <row r="438" spans="1:26" hidden="1" x14ac:dyDescent="0.25">
      <c r="A438" s="2" t="s">
        <v>272</v>
      </c>
      <c r="B438" s="11" t="s">
        <v>273</v>
      </c>
      <c r="C438" s="11" t="s">
        <v>4</v>
      </c>
      <c r="D438" s="11" t="s">
        <v>5</v>
      </c>
      <c r="E438" s="11" t="s">
        <v>376</v>
      </c>
      <c r="F438" s="11" t="s">
        <v>377</v>
      </c>
      <c r="G438" s="12">
        <v>1</v>
      </c>
      <c r="H438" s="12">
        <v>19</v>
      </c>
      <c r="I438" s="12">
        <v>19</v>
      </c>
      <c r="J438" s="12">
        <v>1670.1999999999998</v>
      </c>
      <c r="K438" s="20">
        <f t="shared" si="84"/>
        <v>4</v>
      </c>
      <c r="L438" s="20" t="str">
        <f t="shared" si="85"/>
        <v>Se repite 4 veces</v>
      </c>
      <c r="M438" s="20" t="str">
        <f t="shared" si="86"/>
        <v>Peru Chef-Peru Chef display Mazamorra Morada 150 G x 12</v>
      </c>
      <c r="N438" s="20">
        <f t="shared" si="87"/>
        <v>4</v>
      </c>
      <c r="O438" s="20" t="str">
        <f t="shared" si="88"/>
        <v>Se repite 4 veces en Peru Chef</v>
      </c>
      <c r="P438" s="20" t="str">
        <f t="shared" si="89"/>
        <v>Peru Chef-Peru Chef display Mazamorra Morada 150 G x 12-19</v>
      </c>
      <c r="Q438" s="20">
        <f t="shared" si="90"/>
        <v>4</v>
      </c>
      <c r="R438" s="20" t="str">
        <f t="shared" si="91"/>
        <v>Se repite 4 veces el precio de 19</v>
      </c>
      <c r="S438" s="20" t="str">
        <f t="shared" si="92"/>
        <v>El producto Peru Chef display Mazamorra Morada 150 G x 12 Se repite 4 veces en Peru Chef, Se repite 4 veces el precio de 19</v>
      </c>
      <c r="T438" s="20" t="str">
        <f t="shared" si="93"/>
        <v>Peru Chef</v>
      </c>
      <c r="U438" s="20" t="str">
        <f t="shared" si="94"/>
        <v>Peru Chef display Mazamorra Morada 150 G x 12</v>
      </c>
      <c r="V438" s="22">
        <f t="shared" si="95"/>
        <v>19</v>
      </c>
      <c r="W438" t="str">
        <f t="shared" si="96"/>
        <v>Peru Chef 03/26/2025</v>
      </c>
      <c r="Z438">
        <f t="shared" si="97"/>
        <v>19</v>
      </c>
    </row>
    <row r="439" spans="1:26" hidden="1" x14ac:dyDescent="0.25">
      <c r="A439" s="2" t="s">
        <v>272</v>
      </c>
      <c r="B439" s="11" t="s">
        <v>398</v>
      </c>
      <c r="C439" s="11" t="s">
        <v>4</v>
      </c>
      <c r="D439" s="11" t="s">
        <v>399</v>
      </c>
      <c r="E439" s="11" t="s">
        <v>376</v>
      </c>
      <c r="F439" s="11" t="s">
        <v>377</v>
      </c>
      <c r="G439" s="12">
        <v>1</v>
      </c>
      <c r="H439" s="12">
        <v>19</v>
      </c>
      <c r="I439" s="12">
        <v>19</v>
      </c>
      <c r="J439" s="12">
        <v>3696</v>
      </c>
      <c r="K439" s="20">
        <f t="shared" si="84"/>
        <v>4</v>
      </c>
      <c r="L439" s="20" t="str">
        <f t="shared" si="85"/>
        <v>Se repite 4 veces</v>
      </c>
      <c r="M439" s="20" t="str">
        <f t="shared" si="86"/>
        <v>Peru Chef-Peru Chef display Mazamorra Morada 150 G x 12</v>
      </c>
      <c r="N439" s="20">
        <f t="shared" si="87"/>
        <v>4</v>
      </c>
      <c r="O439" s="20" t="str">
        <f t="shared" si="88"/>
        <v>Se repite 4 veces en Peru Chef</v>
      </c>
      <c r="P439" s="20" t="str">
        <f t="shared" si="89"/>
        <v>Peru Chef-Peru Chef display Mazamorra Morada 150 G x 12-19</v>
      </c>
      <c r="Q439" s="20">
        <f t="shared" si="90"/>
        <v>4</v>
      </c>
      <c r="R439" s="20" t="str">
        <f t="shared" si="91"/>
        <v>Se repite 4 veces el precio de 19</v>
      </c>
      <c r="S439" s="20" t="str">
        <f t="shared" si="92"/>
        <v>El producto Peru Chef display Mazamorra Morada 150 G x 12 Se repite 4 veces en Peru Chef, Se repite 4 veces el precio de 19</v>
      </c>
      <c r="T439" s="20" t="str">
        <f t="shared" si="93"/>
        <v>Peru Chef</v>
      </c>
      <c r="U439" s="20" t="str">
        <f t="shared" si="94"/>
        <v>Peru Chef display Mazamorra Morada 150 G x 12</v>
      </c>
      <c r="V439" s="22">
        <f t="shared" si="95"/>
        <v>19</v>
      </c>
      <c r="W439" t="str">
        <f t="shared" si="96"/>
        <v>Peru Chef 04/10/2025</v>
      </c>
      <c r="Z439">
        <f t="shared" si="97"/>
        <v>19</v>
      </c>
    </row>
    <row r="440" spans="1:26" hidden="1" x14ac:dyDescent="0.25">
      <c r="A440" s="2" t="s">
        <v>272</v>
      </c>
      <c r="B440" s="11" t="s">
        <v>408</v>
      </c>
      <c r="C440" s="11" t="s">
        <v>4</v>
      </c>
      <c r="D440" s="11" t="s">
        <v>409</v>
      </c>
      <c r="E440" s="11" t="s">
        <v>376</v>
      </c>
      <c r="F440" s="11" t="s">
        <v>419</v>
      </c>
      <c r="G440" s="12">
        <v>1</v>
      </c>
      <c r="H440" s="12">
        <v>19</v>
      </c>
      <c r="I440" s="12">
        <v>19</v>
      </c>
      <c r="J440" s="12">
        <v>4780.1000000000004</v>
      </c>
      <c r="K440" s="20">
        <f t="shared" si="84"/>
        <v>4</v>
      </c>
      <c r="L440" s="20" t="str">
        <f t="shared" si="85"/>
        <v>Se repite 4 veces</v>
      </c>
      <c r="M440" s="20" t="str">
        <f t="shared" si="86"/>
        <v>Peru Chef-Peru Chef display Mazamorra Morada 150 G x 12</v>
      </c>
      <c r="N440" s="20">
        <f t="shared" si="87"/>
        <v>4</v>
      </c>
      <c r="O440" s="20" t="str">
        <f t="shared" si="88"/>
        <v>Se repite 4 veces en Peru Chef</v>
      </c>
      <c r="P440" s="20" t="str">
        <f t="shared" si="89"/>
        <v>Peru Chef-Peru Chef display Mazamorra Morada 150 G x 12-19</v>
      </c>
      <c r="Q440" s="20">
        <f t="shared" si="90"/>
        <v>4</v>
      </c>
      <c r="R440" s="20" t="str">
        <f t="shared" si="91"/>
        <v>Se repite 4 veces el precio de 19</v>
      </c>
      <c r="S440" s="20" t="str">
        <f t="shared" si="92"/>
        <v>El producto Peru Chef display Mazamorra Morada 150 G x 12 Se repite 4 veces en Peru Chef, Se repite 4 veces el precio de 19</v>
      </c>
      <c r="T440" s="20" t="str">
        <f t="shared" si="93"/>
        <v>Peru Chef</v>
      </c>
      <c r="U440" s="20" t="str">
        <f t="shared" si="94"/>
        <v>Peru Chef display Mazamorra Morada 150 G x 12</v>
      </c>
      <c r="V440" s="22">
        <f t="shared" si="95"/>
        <v>19</v>
      </c>
      <c r="W440" t="str">
        <f t="shared" si="96"/>
        <v>Peru Chef 04/13/2025</v>
      </c>
      <c r="Z440">
        <f t="shared" si="97"/>
        <v>19</v>
      </c>
    </row>
    <row r="441" spans="1:26" hidden="1" x14ac:dyDescent="0.25">
      <c r="A441" s="2" t="s">
        <v>272</v>
      </c>
      <c r="B441" s="11" t="s">
        <v>444</v>
      </c>
      <c r="C441" s="11" t="s">
        <v>4</v>
      </c>
      <c r="D441" s="11" t="s">
        <v>445</v>
      </c>
      <c r="E441" s="11" t="s">
        <v>376</v>
      </c>
      <c r="F441" s="11" t="s">
        <v>419</v>
      </c>
      <c r="G441" s="12">
        <v>5</v>
      </c>
      <c r="H441" s="12">
        <v>19</v>
      </c>
      <c r="I441" s="12">
        <v>95</v>
      </c>
      <c r="J441" s="12">
        <v>9142.7000000000007</v>
      </c>
      <c r="K441" s="20">
        <f t="shared" si="84"/>
        <v>4</v>
      </c>
      <c r="L441" s="20" t="str">
        <f t="shared" si="85"/>
        <v>Se repite 4 veces</v>
      </c>
      <c r="M441" s="20" t="str">
        <f t="shared" si="86"/>
        <v>Peru Chef-Peru Chef display Mazamorra Morada 150 G x 12</v>
      </c>
      <c r="N441" s="20">
        <f t="shared" si="87"/>
        <v>4</v>
      </c>
      <c r="O441" s="20" t="str">
        <f t="shared" si="88"/>
        <v>Se repite 4 veces en Peru Chef</v>
      </c>
      <c r="P441" s="20" t="str">
        <f t="shared" si="89"/>
        <v>Peru Chef-Peru Chef display Mazamorra Morada 150 G x 12-19</v>
      </c>
      <c r="Q441" s="20">
        <f t="shared" si="90"/>
        <v>4</v>
      </c>
      <c r="R441" s="20" t="str">
        <f t="shared" si="91"/>
        <v>Se repite 4 veces el precio de 19</v>
      </c>
      <c r="S441" s="20" t="str">
        <f t="shared" si="92"/>
        <v>El producto Peru Chef display Mazamorra Morada 150 G x 12 Se repite 4 veces en Peru Chef, Se repite 4 veces el precio de 19</v>
      </c>
      <c r="T441" s="20" t="str">
        <f t="shared" si="93"/>
        <v>Peru Chef</v>
      </c>
      <c r="U441" s="20" t="str">
        <f t="shared" si="94"/>
        <v>Peru Chef display Mazamorra Morada 150 G x 12</v>
      </c>
      <c r="V441" s="22">
        <f t="shared" si="95"/>
        <v>19</v>
      </c>
      <c r="W441" t="str">
        <f t="shared" si="96"/>
        <v>Peru Chef 04/24/2025</v>
      </c>
      <c r="Z441">
        <f t="shared" si="97"/>
        <v>95</v>
      </c>
    </row>
    <row r="442" spans="1:26" hidden="1" x14ac:dyDescent="0.25">
      <c r="A442" s="2" t="s">
        <v>272</v>
      </c>
      <c r="B442" s="11" t="s">
        <v>273</v>
      </c>
      <c r="C442" s="11" t="s">
        <v>4</v>
      </c>
      <c r="D442" s="11" t="s">
        <v>5</v>
      </c>
      <c r="E442" s="11" t="s">
        <v>306</v>
      </c>
      <c r="F442" s="11" t="s">
        <v>307</v>
      </c>
      <c r="G442" s="12">
        <v>1</v>
      </c>
      <c r="H442" s="12">
        <v>30</v>
      </c>
      <c r="I442" s="12">
        <v>30</v>
      </c>
      <c r="J442" s="12">
        <v>540.29999999999995</v>
      </c>
      <c r="K442" s="20">
        <f t="shared" si="84"/>
        <v>4</v>
      </c>
      <c r="L442" s="20" t="str">
        <f t="shared" si="85"/>
        <v>Se repite 4 veces</v>
      </c>
      <c r="M442" s="20" t="str">
        <f t="shared" si="86"/>
        <v>Peru Chef-Peru Chef Emoliente 5.3 Oz X 12</v>
      </c>
      <c r="N442" s="20">
        <f t="shared" si="87"/>
        <v>4</v>
      </c>
      <c r="O442" s="20" t="str">
        <f t="shared" si="88"/>
        <v>Se repite 4 veces en Peru Chef</v>
      </c>
      <c r="P442" s="20" t="str">
        <f t="shared" si="89"/>
        <v>Peru Chef-Peru Chef Emoliente 5.3 Oz X 12-30</v>
      </c>
      <c r="Q442" s="20">
        <f t="shared" si="90"/>
        <v>3</v>
      </c>
      <c r="R442" s="20" t="str">
        <f t="shared" si="91"/>
        <v>Se repite 3 veces el precio de 30</v>
      </c>
      <c r="S442" s="20" t="str">
        <f t="shared" si="92"/>
        <v>El producto Peru Chef Emoliente 5.3 Oz X 12 Se repite 4 veces en Peru Chef, Se repite 3 veces el precio de 30</v>
      </c>
      <c r="T442" s="20" t="str">
        <f t="shared" si="93"/>
        <v>Peru Chef</v>
      </c>
      <c r="U442" s="20" t="str">
        <f t="shared" si="94"/>
        <v>Peru Chef Emoliente 5.3 Oz X 12</v>
      </c>
      <c r="V442" s="22">
        <f t="shared" si="95"/>
        <v>30</v>
      </c>
      <c r="W442" t="str">
        <f t="shared" si="96"/>
        <v>Peru Chef 03/26/2025</v>
      </c>
      <c r="Z442">
        <f t="shared" si="97"/>
        <v>30</v>
      </c>
    </row>
    <row r="443" spans="1:26" hidden="1" x14ac:dyDescent="0.25">
      <c r="A443" s="2" t="s">
        <v>272</v>
      </c>
      <c r="B443" s="11" t="s">
        <v>398</v>
      </c>
      <c r="C443" s="11" t="s">
        <v>4</v>
      </c>
      <c r="D443" s="11" t="s">
        <v>399</v>
      </c>
      <c r="E443" s="11" t="s">
        <v>306</v>
      </c>
      <c r="F443" s="11" t="s">
        <v>307</v>
      </c>
      <c r="G443" s="12">
        <v>1</v>
      </c>
      <c r="H443" s="12">
        <v>30</v>
      </c>
      <c r="I443" s="12">
        <v>30</v>
      </c>
      <c r="J443" s="12">
        <v>2786.5</v>
      </c>
      <c r="K443" s="20">
        <f t="shared" si="84"/>
        <v>4</v>
      </c>
      <c r="L443" s="20" t="str">
        <f t="shared" si="85"/>
        <v>Se repite 4 veces</v>
      </c>
      <c r="M443" s="20" t="str">
        <f t="shared" si="86"/>
        <v>Peru Chef-Peru Chef Emoliente 5.3 Oz X 12</v>
      </c>
      <c r="N443" s="20">
        <f t="shared" si="87"/>
        <v>4</v>
      </c>
      <c r="O443" s="20" t="str">
        <f t="shared" si="88"/>
        <v>Se repite 4 veces en Peru Chef</v>
      </c>
      <c r="P443" s="20" t="str">
        <f t="shared" si="89"/>
        <v>Peru Chef-Peru Chef Emoliente 5.3 Oz X 12-30</v>
      </c>
      <c r="Q443" s="20">
        <f t="shared" si="90"/>
        <v>3</v>
      </c>
      <c r="R443" s="20" t="str">
        <f t="shared" si="91"/>
        <v>Se repite 3 veces el precio de 30</v>
      </c>
      <c r="S443" s="20" t="str">
        <f t="shared" si="92"/>
        <v>El producto Peru Chef Emoliente 5.3 Oz X 12 Se repite 4 veces en Peru Chef, Se repite 3 veces el precio de 30</v>
      </c>
      <c r="T443" s="20" t="str">
        <f t="shared" si="93"/>
        <v>Peru Chef</v>
      </c>
      <c r="U443" s="20" t="str">
        <f t="shared" si="94"/>
        <v>Peru Chef Emoliente 5.3 Oz X 12</v>
      </c>
      <c r="V443" s="22">
        <f t="shared" si="95"/>
        <v>30</v>
      </c>
      <c r="W443" t="str">
        <f t="shared" si="96"/>
        <v>Peru Chef 04/10/2025</v>
      </c>
      <c r="Z443">
        <f t="shared" si="97"/>
        <v>30</v>
      </c>
    </row>
    <row r="444" spans="1:26" hidden="1" x14ac:dyDescent="0.25">
      <c r="A444" s="2" t="s">
        <v>272</v>
      </c>
      <c r="B444" s="11" t="s">
        <v>444</v>
      </c>
      <c r="C444" s="11" t="s">
        <v>4</v>
      </c>
      <c r="D444" s="11" t="s">
        <v>445</v>
      </c>
      <c r="E444" s="11" t="s">
        <v>306</v>
      </c>
      <c r="F444" s="11" t="s">
        <v>458</v>
      </c>
      <c r="G444" s="12">
        <v>2</v>
      </c>
      <c r="H444" s="12">
        <v>30</v>
      </c>
      <c r="I444" s="12">
        <v>60</v>
      </c>
      <c r="J444" s="12">
        <v>7824.2000000000007</v>
      </c>
      <c r="K444" s="20">
        <f t="shared" si="84"/>
        <v>4</v>
      </c>
      <c r="L444" s="20" t="str">
        <f t="shared" si="85"/>
        <v>Se repite 4 veces</v>
      </c>
      <c r="M444" s="20" t="str">
        <f t="shared" si="86"/>
        <v>Peru Chef-Peru Chef Emoliente 5.3 Oz X 12</v>
      </c>
      <c r="N444" s="20">
        <f t="shared" si="87"/>
        <v>4</v>
      </c>
      <c r="O444" s="20" t="str">
        <f t="shared" si="88"/>
        <v>Se repite 4 veces en Peru Chef</v>
      </c>
      <c r="P444" s="20" t="str">
        <f t="shared" si="89"/>
        <v>Peru Chef-Peru Chef Emoliente 5.3 Oz X 12-30</v>
      </c>
      <c r="Q444" s="20">
        <f t="shared" si="90"/>
        <v>3</v>
      </c>
      <c r="R444" s="20" t="str">
        <f t="shared" si="91"/>
        <v>Se repite 3 veces el precio de 30</v>
      </c>
      <c r="S444" s="20" t="str">
        <f t="shared" si="92"/>
        <v>El producto Peru Chef Emoliente 5.3 Oz X 12 Se repite 4 veces en Peru Chef, Se repite 3 veces el precio de 30</v>
      </c>
      <c r="T444" s="20" t="str">
        <f t="shared" si="93"/>
        <v>Peru Chef</v>
      </c>
      <c r="U444" s="20" t="str">
        <f t="shared" si="94"/>
        <v>Peru Chef Emoliente 5.3 Oz X 12</v>
      </c>
      <c r="V444" s="22">
        <f t="shared" si="95"/>
        <v>30</v>
      </c>
      <c r="W444" t="str">
        <f t="shared" si="96"/>
        <v>Peru Chef 04/24/2025</v>
      </c>
      <c r="Z444">
        <f t="shared" si="97"/>
        <v>60</v>
      </c>
    </row>
    <row r="445" spans="1:26" hidden="1" x14ac:dyDescent="0.25">
      <c r="A445" s="2" t="s">
        <v>272</v>
      </c>
      <c r="B445" s="11" t="s">
        <v>619</v>
      </c>
      <c r="C445" s="11" t="s">
        <v>4</v>
      </c>
      <c r="D445" s="11" t="s">
        <v>621</v>
      </c>
      <c r="E445" s="11" t="s">
        <v>306</v>
      </c>
      <c r="F445" s="11" t="s">
        <v>458</v>
      </c>
      <c r="G445" s="12">
        <v>2</v>
      </c>
      <c r="H445" s="12">
        <v>29.7</v>
      </c>
      <c r="I445" s="12">
        <v>59.4</v>
      </c>
      <c r="J445" s="12">
        <v>41545.75</v>
      </c>
      <c r="K445" s="20">
        <f t="shared" si="84"/>
        <v>4</v>
      </c>
      <c r="L445" s="20" t="str">
        <f t="shared" si="85"/>
        <v>Se repite 4 veces</v>
      </c>
      <c r="M445" s="20" t="str">
        <f t="shared" si="86"/>
        <v>Peru Chef-Peru Chef Emoliente 5.3 Oz X 12</v>
      </c>
      <c r="N445" s="20">
        <f t="shared" si="87"/>
        <v>4</v>
      </c>
      <c r="O445" s="20" t="str">
        <f t="shared" si="88"/>
        <v>Se repite 4 veces en Peru Chef</v>
      </c>
      <c r="P445" s="20" t="str">
        <f t="shared" si="89"/>
        <v>Peru Chef-Peru Chef Emoliente 5.3 Oz X 12-29.7</v>
      </c>
      <c r="Q445" s="20">
        <f t="shared" si="90"/>
        <v>1</v>
      </c>
      <c r="R445" s="20" t="str">
        <f t="shared" si="91"/>
        <v>No se repite</v>
      </c>
      <c r="S445" s="20" t="str">
        <f t="shared" si="92"/>
        <v>El producto Peru Chef Emoliente 5.3 Oz X 12 Se repite 4 veces en Peru Chef Una vez con el precio 29.7</v>
      </c>
      <c r="T445" s="20" t="str">
        <f t="shared" si="93"/>
        <v>Peru Chef</v>
      </c>
      <c r="U445" s="20" t="str">
        <f t="shared" si="94"/>
        <v>Peru Chef Emoliente 5.3 Oz X 12</v>
      </c>
      <c r="V445" s="22">
        <f t="shared" si="95"/>
        <v>29.7</v>
      </c>
      <c r="W445" t="str">
        <f t="shared" si="96"/>
        <v>Peru Chef 12/09/2025</v>
      </c>
      <c r="Z445">
        <f t="shared" si="97"/>
        <v>59.4</v>
      </c>
    </row>
    <row r="446" spans="1:26" hidden="1" x14ac:dyDescent="0.25">
      <c r="A446" s="2" t="s">
        <v>272</v>
      </c>
      <c r="B446" s="11" t="s">
        <v>273</v>
      </c>
      <c r="C446" s="11" t="s">
        <v>4</v>
      </c>
      <c r="D446" s="11" t="s">
        <v>5</v>
      </c>
      <c r="E446" s="11" t="s">
        <v>276</v>
      </c>
      <c r="F446" s="11" t="s">
        <v>277</v>
      </c>
      <c r="G446" s="12">
        <v>1</v>
      </c>
      <c r="H446" s="12">
        <v>30</v>
      </c>
      <c r="I446" s="12">
        <v>30</v>
      </c>
      <c r="J446" s="12">
        <v>62.5</v>
      </c>
      <c r="K446" s="20">
        <f t="shared" si="84"/>
        <v>3</v>
      </c>
      <c r="L446" s="20" t="str">
        <f t="shared" si="85"/>
        <v>Se repite 3 veces</v>
      </c>
      <c r="M446" s="20" t="str">
        <f t="shared" si="86"/>
        <v>Peru Chef-Peru Chef Emoliente bebida 1Lt x 12</v>
      </c>
      <c r="N446" s="20">
        <f t="shared" si="87"/>
        <v>3</v>
      </c>
      <c r="O446" s="20" t="str">
        <f t="shared" si="88"/>
        <v>Se repite 3 veces en Peru Chef</v>
      </c>
      <c r="P446" s="20" t="str">
        <f t="shared" si="89"/>
        <v>Peru Chef-Peru Chef Emoliente bebida 1Lt x 12-30</v>
      </c>
      <c r="Q446" s="20">
        <f t="shared" si="90"/>
        <v>1</v>
      </c>
      <c r="R446" s="20" t="str">
        <f t="shared" si="91"/>
        <v>No se repite</v>
      </c>
      <c r="S446" s="20" t="str">
        <f t="shared" si="92"/>
        <v>El producto Peru Chef Emoliente bebida 1Lt x 12 Se repite 3 veces en Peru Chef Una vez con el precio 30</v>
      </c>
      <c r="T446" s="20" t="str">
        <f t="shared" si="93"/>
        <v>Peru Chef</v>
      </c>
      <c r="U446" s="20" t="str">
        <f t="shared" si="94"/>
        <v>Peru Chef Emoliente bebida 1Lt x 12</v>
      </c>
      <c r="V446" s="22">
        <f t="shared" si="95"/>
        <v>30</v>
      </c>
      <c r="W446" t="str">
        <f t="shared" si="96"/>
        <v>Peru Chef 03/26/2025</v>
      </c>
      <c r="Z446">
        <f t="shared" si="97"/>
        <v>30</v>
      </c>
    </row>
    <row r="447" spans="1:26" hidden="1" x14ac:dyDescent="0.25">
      <c r="A447" s="2" t="s">
        <v>272</v>
      </c>
      <c r="B447" s="11" t="s">
        <v>471</v>
      </c>
      <c r="C447" s="11" t="s">
        <v>4</v>
      </c>
      <c r="D447" s="11" t="s">
        <v>472</v>
      </c>
      <c r="E447" s="11" t="s">
        <v>276</v>
      </c>
      <c r="F447" s="11" t="s">
        <v>277</v>
      </c>
      <c r="G447" s="12">
        <v>2</v>
      </c>
      <c r="H447" s="12">
        <v>33</v>
      </c>
      <c r="I447" s="12">
        <v>66</v>
      </c>
      <c r="J447" s="12">
        <v>14709.5</v>
      </c>
      <c r="K447" s="20">
        <f t="shared" si="84"/>
        <v>3</v>
      </c>
      <c r="L447" s="20" t="str">
        <f t="shared" si="85"/>
        <v>Se repite 3 veces</v>
      </c>
      <c r="M447" s="20" t="str">
        <f t="shared" si="86"/>
        <v>Peru Chef-Peru Chef Emoliente bebida 1Lt x 12</v>
      </c>
      <c r="N447" s="20">
        <f t="shared" si="87"/>
        <v>3</v>
      </c>
      <c r="O447" s="20" t="str">
        <f t="shared" si="88"/>
        <v>Se repite 3 veces en Peru Chef</v>
      </c>
      <c r="P447" s="20" t="str">
        <f t="shared" si="89"/>
        <v>Peru Chef-Peru Chef Emoliente bebida 1Lt x 12-33</v>
      </c>
      <c r="Q447" s="20">
        <f t="shared" si="90"/>
        <v>2</v>
      </c>
      <c r="R447" s="20" t="str">
        <f t="shared" si="91"/>
        <v>Se repite 2 veces el precio de 33</v>
      </c>
      <c r="S447" s="20" t="str">
        <f t="shared" si="92"/>
        <v>El producto Peru Chef Emoliente bebida 1Lt x 12 Se repite 3 veces en Peru Chef, Se repite 2 veces el precio de 33</v>
      </c>
      <c r="T447" s="20" t="str">
        <f t="shared" si="93"/>
        <v>Peru Chef</v>
      </c>
      <c r="U447" s="20" t="str">
        <f t="shared" si="94"/>
        <v>Peru Chef Emoliente bebida 1Lt x 12</v>
      </c>
      <c r="V447" s="22">
        <f t="shared" si="95"/>
        <v>33</v>
      </c>
      <c r="W447" t="str">
        <f t="shared" si="96"/>
        <v>Peru Chef 08/11/2025</v>
      </c>
      <c r="Z447">
        <f t="shared" si="97"/>
        <v>66</v>
      </c>
    </row>
    <row r="448" spans="1:26" hidden="1" x14ac:dyDescent="0.25">
      <c r="A448" s="2" t="s">
        <v>272</v>
      </c>
      <c r="B448" s="11" t="s">
        <v>512</v>
      </c>
      <c r="C448" s="11" t="s">
        <v>4</v>
      </c>
      <c r="D448" s="11" t="s">
        <v>513</v>
      </c>
      <c r="E448" s="11" t="s">
        <v>276</v>
      </c>
      <c r="F448" s="11" t="s">
        <v>277</v>
      </c>
      <c r="G448" s="12">
        <v>1</v>
      </c>
      <c r="H448" s="12">
        <v>33</v>
      </c>
      <c r="I448" s="12">
        <v>33</v>
      </c>
      <c r="J448" s="12">
        <v>15283.5</v>
      </c>
      <c r="K448" s="20">
        <f t="shared" si="84"/>
        <v>3</v>
      </c>
      <c r="L448" s="20" t="str">
        <f t="shared" si="85"/>
        <v>Se repite 3 veces</v>
      </c>
      <c r="M448" s="20" t="str">
        <f t="shared" si="86"/>
        <v>Peru Chef-Peru Chef Emoliente bebida 1Lt x 12</v>
      </c>
      <c r="N448" s="20">
        <f t="shared" si="87"/>
        <v>3</v>
      </c>
      <c r="O448" s="20" t="str">
        <f t="shared" si="88"/>
        <v>Se repite 3 veces en Peru Chef</v>
      </c>
      <c r="P448" s="20" t="str">
        <f t="shared" si="89"/>
        <v>Peru Chef-Peru Chef Emoliente bebida 1Lt x 12-33</v>
      </c>
      <c r="Q448" s="20">
        <f t="shared" si="90"/>
        <v>2</v>
      </c>
      <c r="R448" s="20" t="str">
        <f t="shared" si="91"/>
        <v>Se repite 2 veces el precio de 33</v>
      </c>
      <c r="S448" s="20" t="str">
        <f t="shared" si="92"/>
        <v>El producto Peru Chef Emoliente bebida 1Lt x 12 Se repite 3 veces en Peru Chef, Se repite 2 veces el precio de 33</v>
      </c>
      <c r="T448" s="20" t="str">
        <f t="shared" si="93"/>
        <v>Peru Chef</v>
      </c>
      <c r="U448" s="20" t="str">
        <f t="shared" si="94"/>
        <v>Peru Chef Emoliente bebida 1Lt x 12</v>
      </c>
      <c r="V448" s="22">
        <f t="shared" si="95"/>
        <v>33</v>
      </c>
      <c r="W448" t="str">
        <f t="shared" si="96"/>
        <v>Peru Chef 08/28/2025</v>
      </c>
      <c r="Z448">
        <f t="shared" si="97"/>
        <v>33</v>
      </c>
    </row>
    <row r="449" spans="1:26" hidden="1" x14ac:dyDescent="0.25">
      <c r="A449" s="2" t="s">
        <v>272</v>
      </c>
      <c r="B449" s="11" t="s">
        <v>273</v>
      </c>
      <c r="C449" s="11" t="s">
        <v>4</v>
      </c>
      <c r="D449" s="11" t="s">
        <v>5</v>
      </c>
      <c r="E449" s="11" t="s">
        <v>382</v>
      </c>
      <c r="F449" s="11" t="s">
        <v>383</v>
      </c>
      <c r="G449" s="12">
        <v>1</v>
      </c>
      <c r="H449" s="12">
        <v>21</v>
      </c>
      <c r="I449" s="12">
        <v>21</v>
      </c>
      <c r="J449" s="12">
        <v>1872.6999999999998</v>
      </c>
      <c r="K449" s="20">
        <f t="shared" si="84"/>
        <v>2</v>
      </c>
      <c r="L449" s="20" t="str">
        <f t="shared" si="85"/>
        <v>Se repite 2 veces</v>
      </c>
      <c r="M449" s="20" t="str">
        <f t="shared" si="86"/>
        <v>Peru Chef-Peru Chef Esencia De Vainilla 100ml x 24</v>
      </c>
      <c r="N449" s="20">
        <f t="shared" si="87"/>
        <v>2</v>
      </c>
      <c r="O449" s="20" t="str">
        <f t="shared" si="88"/>
        <v>Se repite 2 veces en Peru Chef</v>
      </c>
      <c r="P449" s="20" t="str">
        <f t="shared" si="89"/>
        <v>Peru Chef-Peru Chef Esencia De Vainilla 100ml x 24-21</v>
      </c>
      <c r="Q449" s="20">
        <f t="shared" si="90"/>
        <v>2</v>
      </c>
      <c r="R449" s="20" t="str">
        <f t="shared" si="91"/>
        <v>Se repite 2 veces el precio de 21</v>
      </c>
      <c r="S449" s="20" t="str">
        <f t="shared" si="92"/>
        <v>El producto Peru Chef Esencia De Vainilla 100ml x 24 Se repite 2 veces en Peru Chef, Se repite 2 veces el precio de 21</v>
      </c>
      <c r="T449" s="20" t="str">
        <f t="shared" si="93"/>
        <v>Peru Chef</v>
      </c>
      <c r="U449" s="20" t="str">
        <f t="shared" si="94"/>
        <v>Peru Chef Esencia De Vainilla 100ml x 24</v>
      </c>
      <c r="V449" s="22">
        <f t="shared" si="95"/>
        <v>21</v>
      </c>
      <c r="W449" t="str">
        <f t="shared" si="96"/>
        <v>Peru Chef 03/26/2025</v>
      </c>
      <c r="Z449">
        <f t="shared" si="97"/>
        <v>21</v>
      </c>
    </row>
    <row r="450" spans="1:26" hidden="1" x14ac:dyDescent="0.25">
      <c r="A450" s="2" t="s">
        <v>272</v>
      </c>
      <c r="B450" s="11" t="s">
        <v>398</v>
      </c>
      <c r="C450" s="11" t="s">
        <v>4</v>
      </c>
      <c r="D450" s="11" t="s">
        <v>399</v>
      </c>
      <c r="E450" s="11" t="s">
        <v>382</v>
      </c>
      <c r="F450" s="11" t="s">
        <v>383</v>
      </c>
      <c r="G450" s="12">
        <v>1</v>
      </c>
      <c r="H450" s="12">
        <v>21</v>
      </c>
      <c r="I450" s="12">
        <v>21</v>
      </c>
      <c r="J450" s="12">
        <v>3898.5</v>
      </c>
      <c r="K450" s="20">
        <f t="shared" si="84"/>
        <v>2</v>
      </c>
      <c r="L450" s="20" t="str">
        <f t="shared" si="85"/>
        <v>Se repite 2 veces</v>
      </c>
      <c r="M450" s="20" t="str">
        <f t="shared" si="86"/>
        <v>Peru Chef-Peru Chef Esencia De Vainilla 100ml x 24</v>
      </c>
      <c r="N450" s="20">
        <f t="shared" si="87"/>
        <v>2</v>
      </c>
      <c r="O450" s="20" t="str">
        <f t="shared" si="88"/>
        <v>Se repite 2 veces en Peru Chef</v>
      </c>
      <c r="P450" s="20" t="str">
        <f t="shared" si="89"/>
        <v>Peru Chef-Peru Chef Esencia De Vainilla 100ml x 24-21</v>
      </c>
      <c r="Q450" s="20">
        <f t="shared" si="90"/>
        <v>2</v>
      </c>
      <c r="R450" s="20" t="str">
        <f t="shared" si="91"/>
        <v>Se repite 2 veces el precio de 21</v>
      </c>
      <c r="S450" s="20" t="str">
        <f t="shared" si="92"/>
        <v>El producto Peru Chef Esencia De Vainilla 100ml x 24 Se repite 2 veces en Peru Chef, Se repite 2 veces el precio de 21</v>
      </c>
      <c r="T450" s="20" t="str">
        <f t="shared" si="93"/>
        <v>Peru Chef</v>
      </c>
      <c r="U450" s="20" t="str">
        <f t="shared" si="94"/>
        <v>Peru Chef Esencia De Vainilla 100ml x 24</v>
      </c>
      <c r="V450" s="22">
        <f t="shared" si="95"/>
        <v>21</v>
      </c>
      <c r="W450" t="str">
        <f t="shared" si="96"/>
        <v>Peru Chef 04/10/2025</v>
      </c>
      <c r="Z450">
        <f t="shared" si="97"/>
        <v>21</v>
      </c>
    </row>
    <row r="451" spans="1:26" hidden="1" x14ac:dyDescent="0.25">
      <c r="A451" s="2" t="s">
        <v>272</v>
      </c>
      <c r="B451" s="11" t="s">
        <v>619</v>
      </c>
      <c r="C451" s="11" t="s">
        <v>4</v>
      </c>
      <c r="D451" s="11" t="s">
        <v>621</v>
      </c>
      <c r="E451" s="11" t="s">
        <v>626</v>
      </c>
      <c r="F451" s="11" t="s">
        <v>627</v>
      </c>
      <c r="G451" s="12">
        <v>2</v>
      </c>
      <c r="H451" s="12">
        <v>19.350000000000001</v>
      </c>
      <c r="I451" s="12">
        <v>38.700000000000003</v>
      </c>
      <c r="J451" s="12">
        <v>39379.449999999997</v>
      </c>
      <c r="K451" s="20">
        <f t="shared" ref="K451:K514" si="98">COUNTIF($E$2:$E$1438,E451)</f>
        <v>1</v>
      </c>
      <c r="L451" s="20" t="str">
        <f t="shared" ref="L451:L514" si="99">IF(K451&gt;1,_xlfn.CONCAT("Se repite ",K451," veces"),"No se repite")</f>
        <v>No se repite</v>
      </c>
      <c r="M451" s="20" t="str">
        <f t="shared" ref="M451:M514" si="100">_xlfn.CONCAT(A451,"-",E451)</f>
        <v>Peru Chef-Peru Chef Eucalipto filtrante x 20</v>
      </c>
      <c r="N451" s="20">
        <f t="shared" ref="N451:N514" si="101">COUNTIF($M$2:$M$1438,M451)</f>
        <v>1</v>
      </c>
      <c r="O451" s="20" t="str">
        <f t="shared" ref="O451:O514" si="102">IF(N451&gt;1,_xlfn.CONCAT("Se repite ",N451," veces en ",A451),"No se repite en proveedor")</f>
        <v>No se repite en proveedor</v>
      </c>
      <c r="P451" s="20" t="str">
        <f t="shared" ref="P451:P514" si="103">_xlfn.CONCAT(A451,"-",E451,"-",H451)</f>
        <v>Peru Chef-Peru Chef Eucalipto filtrante x 20-19.35</v>
      </c>
      <c r="Q451" s="20">
        <f t="shared" ref="Q451:Q514" si="104">COUNTIF($P$2:$P$1438,P451)</f>
        <v>1</v>
      </c>
      <c r="R451" s="20" t="str">
        <f t="shared" ref="R451:R514" si="105">IF(Q451&gt;1,_xlfn.CONCAT("Se repite ",Q451," veces el precio de ",H451),"No se repite")</f>
        <v>No se repite</v>
      </c>
      <c r="S451" s="20" t="str">
        <f t="shared" ref="S451:S514" si="106">_xlfn.CONCAT("El producto ",E451," ",O451,IF(R451="No se repite",_xlfn.CONCAT(" Una vez con el precio ",H451),_xlfn.CONCAT(", ",R451)))</f>
        <v>El producto Peru Chef Eucalipto filtrante x 20 No se repite en proveedor Una vez con el precio 19.35</v>
      </c>
      <c r="T451" s="20" t="str">
        <f t="shared" ref="T451:T514" si="107">+A451</f>
        <v>Peru Chef</v>
      </c>
      <c r="U451" s="20" t="str">
        <f t="shared" ref="U451:U514" si="108">+E451</f>
        <v>Peru Chef Eucalipto filtrante x 20</v>
      </c>
      <c r="V451" s="22">
        <f t="shared" ref="V451:V514" si="109">+H451</f>
        <v>19.350000000000001</v>
      </c>
      <c r="W451" t="str">
        <f t="shared" ref="W451:W514" si="110">_xlfn.CONCAT(A451," ",B451)</f>
        <v>Peru Chef 12/09/2025</v>
      </c>
      <c r="Z451">
        <f t="shared" ref="Z451:Z514" si="111">G451*H451</f>
        <v>38.700000000000003</v>
      </c>
    </row>
    <row r="452" spans="1:26" hidden="1" x14ac:dyDescent="0.25">
      <c r="A452" s="2" t="s">
        <v>272</v>
      </c>
      <c r="B452" s="11" t="s">
        <v>408</v>
      </c>
      <c r="C452" s="11" t="s">
        <v>4</v>
      </c>
      <c r="D452" s="11" t="s">
        <v>409</v>
      </c>
      <c r="E452" s="11" t="s">
        <v>434</v>
      </c>
      <c r="F452" s="11" t="s">
        <v>435</v>
      </c>
      <c r="G452" s="12">
        <v>1</v>
      </c>
      <c r="H452" s="12">
        <v>19.5</v>
      </c>
      <c r="I452" s="12">
        <v>19.5</v>
      </c>
      <c r="J452" s="12">
        <v>6481.1</v>
      </c>
      <c r="K452" s="20">
        <f t="shared" si="98"/>
        <v>1</v>
      </c>
      <c r="L452" s="20" t="str">
        <f t="shared" si="99"/>
        <v>No se repite</v>
      </c>
      <c r="M452" s="20" t="str">
        <f t="shared" si="100"/>
        <v>Peru Chef-Peru Chef filtrante Manzanilla x 20</v>
      </c>
      <c r="N452" s="20">
        <f t="shared" si="101"/>
        <v>1</v>
      </c>
      <c r="O452" s="20" t="str">
        <f t="shared" si="102"/>
        <v>No se repite en proveedor</v>
      </c>
      <c r="P452" s="20" t="str">
        <f t="shared" si="103"/>
        <v>Peru Chef-Peru Chef filtrante Manzanilla x 20-19.5</v>
      </c>
      <c r="Q452" s="20">
        <f t="shared" si="104"/>
        <v>1</v>
      </c>
      <c r="R452" s="20" t="str">
        <f t="shared" si="105"/>
        <v>No se repite</v>
      </c>
      <c r="S452" s="20" t="str">
        <f t="shared" si="106"/>
        <v>El producto Peru Chef filtrante Manzanilla x 20 No se repite en proveedor Una vez con el precio 19.5</v>
      </c>
      <c r="T452" s="20" t="str">
        <f t="shared" si="107"/>
        <v>Peru Chef</v>
      </c>
      <c r="U452" s="20" t="str">
        <f t="shared" si="108"/>
        <v>Peru Chef filtrante Manzanilla x 20</v>
      </c>
      <c r="V452" s="22">
        <f t="shared" si="109"/>
        <v>19.5</v>
      </c>
      <c r="W452" t="str">
        <f t="shared" si="110"/>
        <v>Peru Chef 04/13/2025</v>
      </c>
      <c r="Z452">
        <f t="shared" si="111"/>
        <v>19.5</v>
      </c>
    </row>
    <row r="453" spans="1:26" hidden="1" x14ac:dyDescent="0.25">
      <c r="A453" s="2" t="s">
        <v>272</v>
      </c>
      <c r="B453" s="11" t="s">
        <v>572</v>
      </c>
      <c r="C453" s="11" t="s">
        <v>4</v>
      </c>
      <c r="D453" s="11" t="s">
        <v>573</v>
      </c>
      <c r="E453" s="11" t="s">
        <v>582</v>
      </c>
      <c r="F453" s="11" t="s">
        <v>583</v>
      </c>
      <c r="G453" s="12">
        <v>2</v>
      </c>
      <c r="H453" s="12">
        <v>21.5</v>
      </c>
      <c r="I453" s="12">
        <v>43</v>
      </c>
      <c r="J453" s="12">
        <v>27298.5</v>
      </c>
      <c r="K453" s="20">
        <f t="shared" si="98"/>
        <v>1</v>
      </c>
      <c r="L453" s="20" t="str">
        <f t="shared" si="99"/>
        <v>No se repite</v>
      </c>
      <c r="M453" s="20" t="str">
        <f t="shared" si="100"/>
        <v>Peru Chef-Peru Chef filtrante Sen x 20</v>
      </c>
      <c r="N453" s="20">
        <f t="shared" si="101"/>
        <v>1</v>
      </c>
      <c r="O453" s="20" t="str">
        <f t="shared" si="102"/>
        <v>No se repite en proveedor</v>
      </c>
      <c r="P453" s="20" t="str">
        <f t="shared" si="103"/>
        <v>Peru Chef-Peru Chef filtrante Sen x 20-21.5</v>
      </c>
      <c r="Q453" s="20">
        <f t="shared" si="104"/>
        <v>1</v>
      </c>
      <c r="R453" s="20" t="str">
        <f t="shared" si="105"/>
        <v>No se repite</v>
      </c>
      <c r="S453" s="20" t="str">
        <f t="shared" si="106"/>
        <v>El producto Peru Chef filtrante Sen x 20 No se repite en proveedor Una vez con el precio 21.5</v>
      </c>
      <c r="T453" s="20" t="str">
        <f t="shared" si="107"/>
        <v>Peru Chef</v>
      </c>
      <c r="U453" s="20" t="str">
        <f t="shared" si="108"/>
        <v>Peru Chef filtrante Sen x 20</v>
      </c>
      <c r="V453" s="22">
        <f t="shared" si="109"/>
        <v>21.5</v>
      </c>
      <c r="W453" t="str">
        <f t="shared" si="110"/>
        <v>Peru Chef 10/09/2025</v>
      </c>
      <c r="Z453">
        <f t="shared" si="111"/>
        <v>43</v>
      </c>
    </row>
    <row r="454" spans="1:26" hidden="1" x14ac:dyDescent="0.25">
      <c r="A454" s="2" t="s">
        <v>272</v>
      </c>
      <c r="B454" s="11" t="s">
        <v>572</v>
      </c>
      <c r="C454" s="11" t="s">
        <v>4</v>
      </c>
      <c r="D454" s="11" t="s">
        <v>573</v>
      </c>
      <c r="E454" s="11" t="s">
        <v>578</v>
      </c>
      <c r="F454" s="11" t="s">
        <v>579</v>
      </c>
      <c r="G454" s="12">
        <v>2</v>
      </c>
      <c r="H454" s="12">
        <v>21.5</v>
      </c>
      <c r="I454" s="12">
        <v>43</v>
      </c>
      <c r="J454" s="12">
        <v>27229</v>
      </c>
      <c r="K454" s="20">
        <f t="shared" si="98"/>
        <v>2</v>
      </c>
      <c r="L454" s="20" t="str">
        <f t="shared" si="99"/>
        <v>Se repite 2 veces</v>
      </c>
      <c r="M454" s="20" t="str">
        <f t="shared" si="100"/>
        <v>Peru Chef-Peru Chef filtrante Sueño Profundo x 20</v>
      </c>
      <c r="N454" s="20">
        <f t="shared" si="101"/>
        <v>2</v>
      </c>
      <c r="O454" s="20" t="str">
        <f t="shared" si="102"/>
        <v>Se repite 2 veces en Peru Chef</v>
      </c>
      <c r="P454" s="20" t="str">
        <f t="shared" si="103"/>
        <v>Peru Chef-Peru Chef filtrante Sueño Profundo x 20-21.5</v>
      </c>
      <c r="Q454" s="20">
        <f t="shared" si="104"/>
        <v>1</v>
      </c>
      <c r="R454" s="20" t="str">
        <f t="shared" si="105"/>
        <v>No se repite</v>
      </c>
      <c r="S454" s="20" t="str">
        <f t="shared" si="106"/>
        <v>El producto Peru Chef filtrante Sueño Profundo x 20 Se repite 2 veces en Peru Chef Una vez con el precio 21.5</v>
      </c>
      <c r="T454" s="20" t="str">
        <f t="shared" si="107"/>
        <v>Peru Chef</v>
      </c>
      <c r="U454" s="20" t="str">
        <f t="shared" si="108"/>
        <v>Peru Chef filtrante Sueño Profundo x 20</v>
      </c>
      <c r="V454" s="22">
        <f t="shared" si="109"/>
        <v>21.5</v>
      </c>
      <c r="W454" t="str">
        <f t="shared" si="110"/>
        <v>Peru Chef 10/09/2025</v>
      </c>
      <c r="Z454">
        <f t="shared" si="111"/>
        <v>43</v>
      </c>
    </row>
    <row r="455" spans="1:26" hidden="1" x14ac:dyDescent="0.25">
      <c r="A455" s="2" t="s">
        <v>272</v>
      </c>
      <c r="B455" s="11" t="s">
        <v>619</v>
      </c>
      <c r="C455" s="11" t="s">
        <v>4</v>
      </c>
      <c r="D455" s="11" t="s">
        <v>621</v>
      </c>
      <c r="E455" s="11" t="s">
        <v>578</v>
      </c>
      <c r="F455" s="11" t="s">
        <v>579</v>
      </c>
      <c r="G455" s="12">
        <v>1</v>
      </c>
      <c r="H455" s="12">
        <v>19.350000000000001</v>
      </c>
      <c r="I455" s="12">
        <v>19.350000000000001</v>
      </c>
      <c r="J455" s="12">
        <v>39278.200000000004</v>
      </c>
      <c r="K455" s="20">
        <f t="shared" si="98"/>
        <v>2</v>
      </c>
      <c r="L455" s="20" t="str">
        <f t="shared" si="99"/>
        <v>Se repite 2 veces</v>
      </c>
      <c r="M455" s="20" t="str">
        <f t="shared" si="100"/>
        <v>Peru Chef-Peru Chef filtrante Sueño Profundo x 20</v>
      </c>
      <c r="N455" s="20">
        <f t="shared" si="101"/>
        <v>2</v>
      </c>
      <c r="O455" s="20" t="str">
        <f t="shared" si="102"/>
        <v>Se repite 2 veces en Peru Chef</v>
      </c>
      <c r="P455" s="20" t="str">
        <f t="shared" si="103"/>
        <v>Peru Chef-Peru Chef filtrante Sueño Profundo x 20-19.35</v>
      </c>
      <c r="Q455" s="20">
        <f t="shared" si="104"/>
        <v>1</v>
      </c>
      <c r="R455" s="20" t="str">
        <f t="shared" si="105"/>
        <v>No se repite</v>
      </c>
      <c r="S455" s="20" t="str">
        <f t="shared" si="106"/>
        <v>El producto Peru Chef filtrante Sueño Profundo x 20 Se repite 2 veces en Peru Chef Una vez con el precio 19.35</v>
      </c>
      <c r="T455" s="20" t="str">
        <f t="shared" si="107"/>
        <v>Peru Chef</v>
      </c>
      <c r="U455" s="20" t="str">
        <f t="shared" si="108"/>
        <v>Peru Chef filtrante Sueño Profundo x 20</v>
      </c>
      <c r="V455" s="22">
        <f t="shared" si="109"/>
        <v>19.350000000000001</v>
      </c>
      <c r="W455" t="str">
        <f t="shared" si="110"/>
        <v>Peru Chef 12/09/2025</v>
      </c>
      <c r="Z455">
        <f t="shared" si="111"/>
        <v>19.350000000000001</v>
      </c>
    </row>
    <row r="456" spans="1:26" hidden="1" x14ac:dyDescent="0.25">
      <c r="A456" s="2" t="s">
        <v>272</v>
      </c>
      <c r="B456" s="11" t="s">
        <v>572</v>
      </c>
      <c r="C456" s="11" t="s">
        <v>4</v>
      </c>
      <c r="D456" s="11" t="s">
        <v>573</v>
      </c>
      <c r="E456" s="11" t="s">
        <v>580</v>
      </c>
      <c r="F456" s="11" t="s">
        <v>581</v>
      </c>
      <c r="G456" s="12">
        <v>1</v>
      </c>
      <c r="H456" s="12">
        <v>26.5</v>
      </c>
      <c r="I456" s="12">
        <v>26.5</v>
      </c>
      <c r="J456" s="12">
        <v>27255.5</v>
      </c>
      <c r="K456" s="20">
        <f t="shared" si="98"/>
        <v>2</v>
      </c>
      <c r="L456" s="20" t="str">
        <f t="shared" si="99"/>
        <v>Se repite 2 veces</v>
      </c>
      <c r="M456" s="20" t="str">
        <f t="shared" si="100"/>
        <v>Peru Chef-Peru Chef filtrante Te Verde Con Piña x 20</v>
      </c>
      <c r="N456" s="20">
        <f t="shared" si="101"/>
        <v>2</v>
      </c>
      <c r="O456" s="20" t="str">
        <f t="shared" si="102"/>
        <v>Se repite 2 veces en Peru Chef</v>
      </c>
      <c r="P456" s="20" t="str">
        <f t="shared" si="103"/>
        <v>Peru Chef-Peru Chef filtrante Te Verde Con Piña x 20-26.5</v>
      </c>
      <c r="Q456" s="20">
        <f t="shared" si="104"/>
        <v>1</v>
      </c>
      <c r="R456" s="20" t="str">
        <f t="shared" si="105"/>
        <v>No se repite</v>
      </c>
      <c r="S456" s="20" t="str">
        <f t="shared" si="106"/>
        <v>El producto Peru Chef filtrante Te Verde Con Piña x 20 Se repite 2 veces en Peru Chef Una vez con el precio 26.5</v>
      </c>
      <c r="T456" s="20" t="str">
        <f t="shared" si="107"/>
        <v>Peru Chef</v>
      </c>
      <c r="U456" s="20" t="str">
        <f t="shared" si="108"/>
        <v>Peru Chef filtrante Te Verde Con Piña x 20</v>
      </c>
      <c r="V456" s="22">
        <f t="shared" si="109"/>
        <v>26.5</v>
      </c>
      <c r="W456" t="str">
        <f t="shared" si="110"/>
        <v>Peru Chef 10/09/2025</v>
      </c>
      <c r="Z456">
        <f t="shared" si="111"/>
        <v>26.5</v>
      </c>
    </row>
    <row r="457" spans="1:26" hidden="1" x14ac:dyDescent="0.25">
      <c r="A457" s="2" t="s">
        <v>272</v>
      </c>
      <c r="B457" s="11" t="s">
        <v>619</v>
      </c>
      <c r="C457" s="11" t="s">
        <v>4</v>
      </c>
      <c r="D457" s="11" t="s">
        <v>621</v>
      </c>
      <c r="E457" s="11" t="s">
        <v>580</v>
      </c>
      <c r="F457" s="11" t="s">
        <v>623</v>
      </c>
      <c r="G457" s="12">
        <v>1</v>
      </c>
      <c r="H457" s="12">
        <v>23.85</v>
      </c>
      <c r="I457" s="12">
        <v>23.85</v>
      </c>
      <c r="J457" s="12">
        <v>39302.050000000003</v>
      </c>
      <c r="K457" s="20">
        <f t="shared" si="98"/>
        <v>2</v>
      </c>
      <c r="L457" s="20" t="str">
        <f t="shared" si="99"/>
        <v>Se repite 2 veces</v>
      </c>
      <c r="M457" s="20" t="str">
        <f t="shared" si="100"/>
        <v>Peru Chef-Peru Chef filtrante Te Verde Con Piña x 20</v>
      </c>
      <c r="N457" s="20">
        <f t="shared" si="101"/>
        <v>2</v>
      </c>
      <c r="O457" s="20" t="str">
        <f t="shared" si="102"/>
        <v>Se repite 2 veces en Peru Chef</v>
      </c>
      <c r="P457" s="20" t="str">
        <f t="shared" si="103"/>
        <v>Peru Chef-Peru Chef filtrante Te Verde Con Piña x 20-23.85</v>
      </c>
      <c r="Q457" s="20">
        <f t="shared" si="104"/>
        <v>1</v>
      </c>
      <c r="R457" s="20" t="str">
        <f t="shared" si="105"/>
        <v>No se repite</v>
      </c>
      <c r="S457" s="20" t="str">
        <f t="shared" si="106"/>
        <v>El producto Peru Chef filtrante Te Verde Con Piña x 20 Se repite 2 veces en Peru Chef Una vez con el precio 23.85</v>
      </c>
      <c r="T457" s="20" t="str">
        <f t="shared" si="107"/>
        <v>Peru Chef</v>
      </c>
      <c r="U457" s="20" t="str">
        <f t="shared" si="108"/>
        <v>Peru Chef filtrante Te Verde Con Piña x 20</v>
      </c>
      <c r="V457" s="22">
        <f t="shared" si="109"/>
        <v>23.85</v>
      </c>
      <c r="W457" t="str">
        <f t="shared" si="110"/>
        <v>Peru Chef 12/09/2025</v>
      </c>
      <c r="Z457">
        <f t="shared" si="111"/>
        <v>23.85</v>
      </c>
    </row>
    <row r="458" spans="1:26" hidden="1" x14ac:dyDescent="0.25">
      <c r="A458" s="2" t="s">
        <v>272</v>
      </c>
      <c r="B458" s="11" t="s">
        <v>572</v>
      </c>
      <c r="C458" s="11" t="s">
        <v>4</v>
      </c>
      <c r="D458" s="11" t="s">
        <v>573</v>
      </c>
      <c r="E458" s="11" t="s">
        <v>584</v>
      </c>
      <c r="F458" s="11" t="s">
        <v>585</v>
      </c>
      <c r="G458" s="12">
        <v>2</v>
      </c>
      <c r="H458" s="12">
        <v>21.5</v>
      </c>
      <c r="I458" s="12">
        <v>43</v>
      </c>
      <c r="J458" s="12">
        <v>27341.5</v>
      </c>
      <c r="K458" s="20">
        <f t="shared" si="98"/>
        <v>1</v>
      </c>
      <c r="L458" s="20" t="str">
        <f t="shared" si="99"/>
        <v>No se repite</v>
      </c>
      <c r="M458" s="20" t="str">
        <f t="shared" si="100"/>
        <v>Peru Chef-Peru Chef filtrante Toronjil x 20</v>
      </c>
      <c r="N458" s="20">
        <f t="shared" si="101"/>
        <v>1</v>
      </c>
      <c r="O458" s="20" t="str">
        <f t="shared" si="102"/>
        <v>No se repite en proveedor</v>
      </c>
      <c r="P458" s="20" t="str">
        <f t="shared" si="103"/>
        <v>Peru Chef-Peru Chef filtrante Toronjil x 20-21.5</v>
      </c>
      <c r="Q458" s="20">
        <f t="shared" si="104"/>
        <v>1</v>
      </c>
      <c r="R458" s="20" t="str">
        <f t="shared" si="105"/>
        <v>No se repite</v>
      </c>
      <c r="S458" s="20" t="str">
        <f t="shared" si="106"/>
        <v>El producto Peru Chef filtrante Toronjil x 20 No se repite en proveedor Una vez con el precio 21.5</v>
      </c>
      <c r="T458" s="20" t="str">
        <f t="shared" si="107"/>
        <v>Peru Chef</v>
      </c>
      <c r="U458" s="20" t="str">
        <f t="shared" si="108"/>
        <v>Peru Chef filtrante Toronjil x 20</v>
      </c>
      <c r="V458" s="22">
        <f t="shared" si="109"/>
        <v>21.5</v>
      </c>
      <c r="W458" t="str">
        <f t="shared" si="110"/>
        <v>Peru Chef 10/09/2025</v>
      </c>
      <c r="Z458">
        <f t="shared" si="111"/>
        <v>43</v>
      </c>
    </row>
    <row r="459" spans="1:26" hidden="1" x14ac:dyDescent="0.25">
      <c r="A459" s="2" t="s">
        <v>272</v>
      </c>
      <c r="B459" s="11" t="s">
        <v>471</v>
      </c>
      <c r="C459" s="11" t="s">
        <v>4</v>
      </c>
      <c r="D459" s="11" t="s">
        <v>472</v>
      </c>
      <c r="E459" s="11" t="s">
        <v>487</v>
      </c>
      <c r="F459" s="11" t="s">
        <v>488</v>
      </c>
      <c r="G459" s="12">
        <v>2</v>
      </c>
      <c r="H459" s="12">
        <v>22</v>
      </c>
      <c r="I459" s="12">
        <v>44</v>
      </c>
      <c r="J459" s="12">
        <v>12321.5</v>
      </c>
      <c r="K459" s="20">
        <f t="shared" si="98"/>
        <v>2</v>
      </c>
      <c r="L459" s="20" t="str">
        <f t="shared" si="99"/>
        <v>Se repite 2 veces</v>
      </c>
      <c r="M459" s="20" t="str">
        <f t="shared" si="100"/>
        <v>Peru Chef-Peru Chef Frijol Castilla 15oz x 12</v>
      </c>
      <c r="N459" s="20">
        <f t="shared" si="101"/>
        <v>2</v>
      </c>
      <c r="O459" s="20" t="str">
        <f t="shared" si="102"/>
        <v>Se repite 2 veces en Peru Chef</v>
      </c>
      <c r="P459" s="20" t="str">
        <f t="shared" si="103"/>
        <v>Peru Chef-Peru Chef Frijol Castilla 15oz x 12-22</v>
      </c>
      <c r="Q459" s="20">
        <f t="shared" si="104"/>
        <v>2</v>
      </c>
      <c r="R459" s="20" t="str">
        <f t="shared" si="105"/>
        <v>Se repite 2 veces el precio de 22</v>
      </c>
      <c r="S459" s="20" t="str">
        <f t="shared" si="106"/>
        <v>El producto Peru Chef Frijol Castilla 15oz x 12 Se repite 2 veces en Peru Chef, Se repite 2 veces el precio de 22</v>
      </c>
      <c r="T459" s="20" t="str">
        <f t="shared" si="107"/>
        <v>Peru Chef</v>
      </c>
      <c r="U459" s="20" t="str">
        <f t="shared" si="108"/>
        <v>Peru Chef Frijol Castilla 15oz x 12</v>
      </c>
      <c r="V459" s="22">
        <f t="shared" si="109"/>
        <v>22</v>
      </c>
      <c r="W459" t="str">
        <f t="shared" si="110"/>
        <v>Peru Chef 08/11/2025</v>
      </c>
      <c r="Z459">
        <f t="shared" si="111"/>
        <v>44</v>
      </c>
    </row>
    <row r="460" spans="1:26" hidden="1" x14ac:dyDescent="0.25">
      <c r="A460" s="2" t="s">
        <v>272</v>
      </c>
      <c r="B460" s="11" t="s">
        <v>512</v>
      </c>
      <c r="C460" s="11" t="s">
        <v>4</v>
      </c>
      <c r="D460" s="11" t="s">
        <v>513</v>
      </c>
      <c r="E460" s="11" t="s">
        <v>487</v>
      </c>
      <c r="F460" s="11" t="s">
        <v>519</v>
      </c>
      <c r="G460" s="12">
        <v>2</v>
      </c>
      <c r="H460" s="12">
        <v>22</v>
      </c>
      <c r="I460" s="12">
        <v>44</v>
      </c>
      <c r="J460" s="12">
        <v>16667.5</v>
      </c>
      <c r="K460" s="20">
        <f t="shared" si="98"/>
        <v>2</v>
      </c>
      <c r="L460" s="20" t="str">
        <f t="shared" si="99"/>
        <v>Se repite 2 veces</v>
      </c>
      <c r="M460" s="20" t="str">
        <f t="shared" si="100"/>
        <v>Peru Chef-Peru Chef Frijol Castilla 15oz x 12</v>
      </c>
      <c r="N460" s="20">
        <f t="shared" si="101"/>
        <v>2</v>
      </c>
      <c r="O460" s="20" t="str">
        <f t="shared" si="102"/>
        <v>Se repite 2 veces en Peru Chef</v>
      </c>
      <c r="P460" s="20" t="str">
        <f t="shared" si="103"/>
        <v>Peru Chef-Peru Chef Frijol Castilla 15oz x 12-22</v>
      </c>
      <c r="Q460" s="20">
        <f t="shared" si="104"/>
        <v>2</v>
      </c>
      <c r="R460" s="20" t="str">
        <f t="shared" si="105"/>
        <v>Se repite 2 veces el precio de 22</v>
      </c>
      <c r="S460" s="20" t="str">
        <f t="shared" si="106"/>
        <v>El producto Peru Chef Frijol Castilla 15oz x 12 Se repite 2 veces en Peru Chef, Se repite 2 veces el precio de 22</v>
      </c>
      <c r="T460" s="20" t="str">
        <f t="shared" si="107"/>
        <v>Peru Chef</v>
      </c>
      <c r="U460" s="20" t="str">
        <f t="shared" si="108"/>
        <v>Peru Chef Frijol Castilla 15oz x 12</v>
      </c>
      <c r="V460" s="22">
        <f t="shared" si="109"/>
        <v>22</v>
      </c>
      <c r="W460" t="str">
        <f t="shared" si="110"/>
        <v>Peru Chef 08/28/2025</v>
      </c>
      <c r="Z460">
        <f t="shared" si="111"/>
        <v>44</v>
      </c>
    </row>
    <row r="461" spans="1:26" hidden="1" x14ac:dyDescent="0.25">
      <c r="A461" s="2" t="s">
        <v>272</v>
      </c>
      <c r="B461" s="11" t="s">
        <v>619</v>
      </c>
      <c r="C461" s="11" t="s">
        <v>4</v>
      </c>
      <c r="D461" s="11" t="s">
        <v>621</v>
      </c>
      <c r="E461" s="11" t="s">
        <v>633</v>
      </c>
      <c r="F461" s="11" t="s">
        <v>634</v>
      </c>
      <c r="G461" s="12">
        <v>2</v>
      </c>
      <c r="H461" s="12">
        <v>19.8</v>
      </c>
      <c r="I461" s="12">
        <v>39.6</v>
      </c>
      <c r="J461" s="12">
        <v>41450.35</v>
      </c>
      <c r="K461" s="20">
        <f t="shared" si="98"/>
        <v>1</v>
      </c>
      <c r="L461" s="20" t="str">
        <f t="shared" si="99"/>
        <v>No se repite</v>
      </c>
      <c r="M461" s="20" t="str">
        <f t="shared" si="100"/>
        <v>Peru Chef-Peru Chef Frijol Panamito 15oz x 12</v>
      </c>
      <c r="N461" s="20">
        <f t="shared" si="101"/>
        <v>1</v>
      </c>
      <c r="O461" s="20" t="str">
        <f t="shared" si="102"/>
        <v>No se repite en proveedor</v>
      </c>
      <c r="P461" s="20" t="str">
        <f t="shared" si="103"/>
        <v>Peru Chef-Peru Chef Frijol Panamito 15oz x 12-19.8</v>
      </c>
      <c r="Q461" s="20">
        <f t="shared" si="104"/>
        <v>1</v>
      </c>
      <c r="R461" s="20" t="str">
        <f t="shared" si="105"/>
        <v>No se repite</v>
      </c>
      <c r="S461" s="20" t="str">
        <f t="shared" si="106"/>
        <v>El producto Peru Chef Frijol Panamito 15oz x 12 No se repite en proveedor Una vez con el precio 19.8</v>
      </c>
      <c r="T461" s="20" t="str">
        <f t="shared" si="107"/>
        <v>Peru Chef</v>
      </c>
      <c r="U461" s="20" t="str">
        <f t="shared" si="108"/>
        <v>Peru Chef Frijol Panamito 15oz x 12</v>
      </c>
      <c r="V461" s="22">
        <f t="shared" si="109"/>
        <v>19.8</v>
      </c>
      <c r="W461" t="str">
        <f t="shared" si="110"/>
        <v>Peru Chef 12/09/2025</v>
      </c>
      <c r="Z461">
        <f t="shared" si="111"/>
        <v>39.6</v>
      </c>
    </row>
    <row r="462" spans="1:26" hidden="1" x14ac:dyDescent="0.25">
      <c r="A462" s="2" t="s">
        <v>272</v>
      </c>
      <c r="B462" s="11" t="s">
        <v>273</v>
      </c>
      <c r="C462" s="11" t="s">
        <v>4</v>
      </c>
      <c r="D462" s="11" t="s">
        <v>5</v>
      </c>
      <c r="E462" s="11" t="s">
        <v>316</v>
      </c>
      <c r="F462" s="11" t="s">
        <v>317</v>
      </c>
      <c r="G462" s="12">
        <v>1</v>
      </c>
      <c r="H462" s="12">
        <v>24</v>
      </c>
      <c r="I462" s="12">
        <v>24</v>
      </c>
      <c r="J462" s="12">
        <v>671.3</v>
      </c>
      <c r="K462" s="20">
        <f t="shared" si="98"/>
        <v>2</v>
      </c>
      <c r="L462" s="20" t="str">
        <f t="shared" si="99"/>
        <v>Se repite 2 veces</v>
      </c>
      <c r="M462" s="20" t="str">
        <f t="shared" si="100"/>
        <v>Peru Chef-Peru Chef Habas Peladas 15 Oz X 12 bolsas</v>
      </c>
      <c r="N462" s="20">
        <f t="shared" si="101"/>
        <v>2</v>
      </c>
      <c r="O462" s="20" t="str">
        <f t="shared" si="102"/>
        <v>Se repite 2 veces en Peru Chef</v>
      </c>
      <c r="P462" s="20" t="str">
        <f t="shared" si="103"/>
        <v>Peru Chef-Peru Chef Habas Peladas 15 Oz X 12 bolsas-24</v>
      </c>
      <c r="Q462" s="20">
        <f t="shared" si="104"/>
        <v>2</v>
      </c>
      <c r="R462" s="20" t="str">
        <f t="shared" si="105"/>
        <v>Se repite 2 veces el precio de 24</v>
      </c>
      <c r="S462" s="20" t="str">
        <f t="shared" si="106"/>
        <v>El producto Peru Chef Habas Peladas 15 Oz X 12 bolsas Se repite 2 veces en Peru Chef, Se repite 2 veces el precio de 24</v>
      </c>
      <c r="T462" s="20" t="str">
        <f t="shared" si="107"/>
        <v>Peru Chef</v>
      </c>
      <c r="U462" s="20" t="str">
        <f t="shared" si="108"/>
        <v>Peru Chef Habas Peladas 15 Oz X 12 bolsas</v>
      </c>
      <c r="V462" s="22">
        <f t="shared" si="109"/>
        <v>24</v>
      </c>
      <c r="W462" t="str">
        <f t="shared" si="110"/>
        <v>Peru Chef 03/26/2025</v>
      </c>
      <c r="Z462">
        <f t="shared" si="111"/>
        <v>24</v>
      </c>
    </row>
    <row r="463" spans="1:26" hidden="1" x14ac:dyDescent="0.25">
      <c r="A463" s="2" t="s">
        <v>272</v>
      </c>
      <c r="B463" s="11" t="s">
        <v>398</v>
      </c>
      <c r="C463" s="11" t="s">
        <v>4</v>
      </c>
      <c r="D463" s="11" t="s">
        <v>399</v>
      </c>
      <c r="E463" s="11" t="s">
        <v>316</v>
      </c>
      <c r="F463" s="11" t="s">
        <v>317</v>
      </c>
      <c r="G463" s="12">
        <v>1</v>
      </c>
      <c r="H463" s="12">
        <v>24</v>
      </c>
      <c r="I463" s="12">
        <v>24</v>
      </c>
      <c r="J463" s="12">
        <v>2917.5</v>
      </c>
      <c r="K463" s="20">
        <f t="shared" si="98"/>
        <v>2</v>
      </c>
      <c r="L463" s="20" t="str">
        <f t="shared" si="99"/>
        <v>Se repite 2 veces</v>
      </c>
      <c r="M463" s="20" t="str">
        <f t="shared" si="100"/>
        <v>Peru Chef-Peru Chef Habas Peladas 15 Oz X 12 bolsas</v>
      </c>
      <c r="N463" s="20">
        <f t="shared" si="101"/>
        <v>2</v>
      </c>
      <c r="O463" s="20" t="str">
        <f t="shared" si="102"/>
        <v>Se repite 2 veces en Peru Chef</v>
      </c>
      <c r="P463" s="20" t="str">
        <f t="shared" si="103"/>
        <v>Peru Chef-Peru Chef Habas Peladas 15 Oz X 12 bolsas-24</v>
      </c>
      <c r="Q463" s="20">
        <f t="shared" si="104"/>
        <v>2</v>
      </c>
      <c r="R463" s="20" t="str">
        <f t="shared" si="105"/>
        <v>Se repite 2 veces el precio de 24</v>
      </c>
      <c r="S463" s="20" t="str">
        <f t="shared" si="106"/>
        <v>El producto Peru Chef Habas Peladas 15 Oz X 12 bolsas Se repite 2 veces en Peru Chef, Se repite 2 veces el precio de 24</v>
      </c>
      <c r="T463" s="20" t="str">
        <f t="shared" si="107"/>
        <v>Peru Chef</v>
      </c>
      <c r="U463" s="20" t="str">
        <f t="shared" si="108"/>
        <v>Peru Chef Habas Peladas 15 Oz X 12 bolsas</v>
      </c>
      <c r="V463" s="22">
        <f t="shared" si="109"/>
        <v>24</v>
      </c>
      <c r="W463" t="str">
        <f t="shared" si="110"/>
        <v>Peru Chef 04/10/2025</v>
      </c>
      <c r="Z463">
        <f t="shared" si="111"/>
        <v>24</v>
      </c>
    </row>
    <row r="464" spans="1:26" hidden="1" x14ac:dyDescent="0.25">
      <c r="A464" s="2" t="s">
        <v>272</v>
      </c>
      <c r="B464" s="11" t="s">
        <v>408</v>
      </c>
      <c r="C464" s="11" t="s">
        <v>4</v>
      </c>
      <c r="D464" s="11" t="s">
        <v>409</v>
      </c>
      <c r="E464" s="11" t="s">
        <v>410</v>
      </c>
      <c r="F464" s="11" t="s">
        <v>411</v>
      </c>
      <c r="G464" s="12">
        <v>1</v>
      </c>
      <c r="H464" s="12">
        <v>15.6</v>
      </c>
      <c r="I464" s="12">
        <v>15.6</v>
      </c>
      <c r="J464" s="12">
        <v>4546.6000000000004</v>
      </c>
      <c r="K464" s="20">
        <f t="shared" si="98"/>
        <v>1</v>
      </c>
      <c r="L464" s="20" t="str">
        <f t="shared" si="99"/>
        <v>No se repite</v>
      </c>
      <c r="M464" s="20" t="str">
        <f t="shared" si="100"/>
        <v>Peru Chef-Peru Chef Harina De Arverja 15 Oz X 12</v>
      </c>
      <c r="N464" s="20">
        <f t="shared" si="101"/>
        <v>1</v>
      </c>
      <c r="O464" s="20" t="str">
        <f t="shared" si="102"/>
        <v>No se repite en proveedor</v>
      </c>
      <c r="P464" s="20" t="str">
        <f t="shared" si="103"/>
        <v>Peru Chef-Peru Chef Harina De Arverja 15 Oz X 12-15.6</v>
      </c>
      <c r="Q464" s="20">
        <f t="shared" si="104"/>
        <v>1</v>
      </c>
      <c r="R464" s="20" t="str">
        <f t="shared" si="105"/>
        <v>No se repite</v>
      </c>
      <c r="S464" s="20" t="str">
        <f t="shared" si="106"/>
        <v>El producto Peru Chef Harina De Arverja 15 Oz X 12 No se repite en proveedor Una vez con el precio 15.6</v>
      </c>
      <c r="T464" s="20" t="str">
        <f t="shared" si="107"/>
        <v>Peru Chef</v>
      </c>
      <c r="U464" s="20" t="str">
        <f t="shared" si="108"/>
        <v>Peru Chef Harina De Arverja 15 Oz X 12</v>
      </c>
      <c r="V464" s="22">
        <f t="shared" si="109"/>
        <v>15.6</v>
      </c>
      <c r="W464" t="str">
        <f t="shared" si="110"/>
        <v>Peru Chef 04/13/2025</v>
      </c>
      <c r="Z464">
        <f t="shared" si="111"/>
        <v>15.6</v>
      </c>
    </row>
    <row r="465" spans="1:26" hidden="1" x14ac:dyDescent="0.25">
      <c r="A465" s="2" t="s">
        <v>272</v>
      </c>
      <c r="B465" s="11" t="s">
        <v>273</v>
      </c>
      <c r="C465" s="11" t="s">
        <v>4</v>
      </c>
      <c r="D465" s="11" t="s">
        <v>5</v>
      </c>
      <c r="E465" s="11" t="s">
        <v>308</v>
      </c>
      <c r="F465" s="11" t="s">
        <v>309</v>
      </c>
      <c r="G465" s="12">
        <v>1</v>
      </c>
      <c r="H465" s="12">
        <v>25</v>
      </c>
      <c r="I465" s="12">
        <v>25</v>
      </c>
      <c r="J465" s="12">
        <v>565.29999999999995</v>
      </c>
      <c r="K465" s="20">
        <f t="shared" si="98"/>
        <v>4</v>
      </c>
      <c r="L465" s="20" t="str">
        <f t="shared" si="99"/>
        <v>Se repite 4 veces</v>
      </c>
      <c r="M465" s="20" t="str">
        <f t="shared" si="100"/>
        <v>Peru Chef-Peru Chef Harina de Chuño 15 Oz X 12</v>
      </c>
      <c r="N465" s="20">
        <f t="shared" si="101"/>
        <v>4</v>
      </c>
      <c r="O465" s="20" t="str">
        <f t="shared" si="102"/>
        <v>Se repite 4 veces en Peru Chef</v>
      </c>
      <c r="P465" s="20" t="str">
        <f t="shared" si="103"/>
        <v>Peru Chef-Peru Chef Harina de Chuño 15 Oz X 12-25</v>
      </c>
      <c r="Q465" s="20">
        <f t="shared" si="104"/>
        <v>3</v>
      </c>
      <c r="R465" s="20" t="str">
        <f t="shared" si="105"/>
        <v>Se repite 3 veces el precio de 25</v>
      </c>
      <c r="S465" s="20" t="str">
        <f t="shared" si="106"/>
        <v>El producto Peru Chef Harina de Chuño 15 Oz X 12 Se repite 4 veces en Peru Chef, Se repite 3 veces el precio de 25</v>
      </c>
      <c r="T465" s="20" t="str">
        <f t="shared" si="107"/>
        <v>Peru Chef</v>
      </c>
      <c r="U465" s="20" t="str">
        <f t="shared" si="108"/>
        <v>Peru Chef Harina de Chuño 15 Oz X 12</v>
      </c>
      <c r="V465" s="22">
        <f t="shared" si="109"/>
        <v>25</v>
      </c>
      <c r="W465" t="str">
        <f t="shared" si="110"/>
        <v>Peru Chef 03/26/2025</v>
      </c>
      <c r="Z465">
        <f t="shared" si="111"/>
        <v>25</v>
      </c>
    </row>
    <row r="466" spans="1:26" hidden="1" x14ac:dyDescent="0.25">
      <c r="A466" s="2" t="s">
        <v>272</v>
      </c>
      <c r="B466" s="11" t="s">
        <v>398</v>
      </c>
      <c r="C466" s="11" t="s">
        <v>4</v>
      </c>
      <c r="D466" s="11" t="s">
        <v>399</v>
      </c>
      <c r="E466" s="11" t="s">
        <v>308</v>
      </c>
      <c r="F466" s="11" t="s">
        <v>309</v>
      </c>
      <c r="G466" s="12">
        <v>1</v>
      </c>
      <c r="H466" s="12">
        <v>25</v>
      </c>
      <c r="I466" s="12">
        <v>25</v>
      </c>
      <c r="J466" s="12">
        <v>2811.5</v>
      </c>
      <c r="K466" s="20">
        <f t="shared" si="98"/>
        <v>4</v>
      </c>
      <c r="L466" s="20" t="str">
        <f t="shared" si="99"/>
        <v>Se repite 4 veces</v>
      </c>
      <c r="M466" s="20" t="str">
        <f t="shared" si="100"/>
        <v>Peru Chef-Peru Chef Harina de Chuño 15 Oz X 12</v>
      </c>
      <c r="N466" s="20">
        <f t="shared" si="101"/>
        <v>4</v>
      </c>
      <c r="O466" s="20" t="str">
        <f t="shared" si="102"/>
        <v>Se repite 4 veces en Peru Chef</v>
      </c>
      <c r="P466" s="20" t="str">
        <f t="shared" si="103"/>
        <v>Peru Chef-Peru Chef Harina de Chuño 15 Oz X 12-25</v>
      </c>
      <c r="Q466" s="20">
        <f t="shared" si="104"/>
        <v>3</v>
      </c>
      <c r="R466" s="20" t="str">
        <f t="shared" si="105"/>
        <v>Se repite 3 veces el precio de 25</v>
      </c>
      <c r="S466" s="20" t="str">
        <f t="shared" si="106"/>
        <v>El producto Peru Chef Harina de Chuño 15 Oz X 12 Se repite 4 veces en Peru Chef, Se repite 3 veces el precio de 25</v>
      </c>
      <c r="T466" s="20" t="str">
        <f t="shared" si="107"/>
        <v>Peru Chef</v>
      </c>
      <c r="U466" s="20" t="str">
        <f t="shared" si="108"/>
        <v>Peru Chef Harina de Chuño 15 Oz X 12</v>
      </c>
      <c r="V466" s="22">
        <f t="shared" si="109"/>
        <v>25</v>
      </c>
      <c r="W466" t="str">
        <f t="shared" si="110"/>
        <v>Peru Chef 04/10/2025</v>
      </c>
      <c r="Z466">
        <f t="shared" si="111"/>
        <v>25</v>
      </c>
    </row>
    <row r="467" spans="1:26" hidden="1" x14ac:dyDescent="0.25">
      <c r="A467" s="2" t="s">
        <v>272</v>
      </c>
      <c r="B467" s="11" t="s">
        <v>444</v>
      </c>
      <c r="C467" s="11" t="s">
        <v>4</v>
      </c>
      <c r="D467" s="11" t="s">
        <v>445</v>
      </c>
      <c r="E467" s="11" t="s">
        <v>308</v>
      </c>
      <c r="F467" s="11" t="s">
        <v>457</v>
      </c>
      <c r="G467" s="12">
        <v>4</v>
      </c>
      <c r="H467" s="12">
        <v>25</v>
      </c>
      <c r="I467" s="12">
        <v>100</v>
      </c>
      <c r="J467" s="12">
        <v>7764.2000000000007</v>
      </c>
      <c r="K467" s="20">
        <f t="shared" si="98"/>
        <v>4</v>
      </c>
      <c r="L467" s="20" t="str">
        <f t="shared" si="99"/>
        <v>Se repite 4 veces</v>
      </c>
      <c r="M467" s="20" t="str">
        <f t="shared" si="100"/>
        <v>Peru Chef-Peru Chef Harina de Chuño 15 Oz X 12</v>
      </c>
      <c r="N467" s="20">
        <f t="shared" si="101"/>
        <v>4</v>
      </c>
      <c r="O467" s="20" t="str">
        <f t="shared" si="102"/>
        <v>Se repite 4 veces en Peru Chef</v>
      </c>
      <c r="P467" s="20" t="str">
        <f t="shared" si="103"/>
        <v>Peru Chef-Peru Chef Harina de Chuño 15 Oz X 12-25</v>
      </c>
      <c r="Q467" s="20">
        <f t="shared" si="104"/>
        <v>3</v>
      </c>
      <c r="R467" s="20" t="str">
        <f t="shared" si="105"/>
        <v>Se repite 3 veces el precio de 25</v>
      </c>
      <c r="S467" s="20" t="str">
        <f t="shared" si="106"/>
        <v>El producto Peru Chef Harina de Chuño 15 Oz X 12 Se repite 4 veces en Peru Chef, Se repite 3 veces el precio de 25</v>
      </c>
      <c r="T467" s="20" t="str">
        <f t="shared" si="107"/>
        <v>Peru Chef</v>
      </c>
      <c r="U467" s="20" t="str">
        <f t="shared" si="108"/>
        <v>Peru Chef Harina de Chuño 15 Oz X 12</v>
      </c>
      <c r="V467" s="22">
        <f t="shared" si="109"/>
        <v>25</v>
      </c>
      <c r="W467" t="str">
        <f t="shared" si="110"/>
        <v>Peru Chef 04/24/2025</v>
      </c>
      <c r="Z467">
        <f t="shared" si="111"/>
        <v>100</v>
      </c>
    </row>
    <row r="468" spans="1:26" hidden="1" x14ac:dyDescent="0.25">
      <c r="A468" s="2" t="s">
        <v>272</v>
      </c>
      <c r="B468" s="11" t="s">
        <v>600</v>
      </c>
      <c r="C468" s="11" t="s">
        <v>4</v>
      </c>
      <c r="D468" s="11" t="s">
        <v>601</v>
      </c>
      <c r="E468" s="11" t="s">
        <v>308</v>
      </c>
      <c r="F468" s="11" t="s">
        <v>457</v>
      </c>
      <c r="G468" s="12">
        <v>4</v>
      </c>
      <c r="H468" s="12">
        <v>24.75</v>
      </c>
      <c r="I468" s="12">
        <v>99</v>
      </c>
      <c r="J468" s="12">
        <v>35144.950000000004</v>
      </c>
      <c r="K468" s="20">
        <f t="shared" si="98"/>
        <v>4</v>
      </c>
      <c r="L468" s="20" t="str">
        <f t="shared" si="99"/>
        <v>Se repite 4 veces</v>
      </c>
      <c r="M468" s="20" t="str">
        <f t="shared" si="100"/>
        <v>Peru Chef-Peru Chef Harina de Chuño 15 Oz X 12</v>
      </c>
      <c r="N468" s="20">
        <f t="shared" si="101"/>
        <v>4</v>
      </c>
      <c r="O468" s="20" t="str">
        <f t="shared" si="102"/>
        <v>Se repite 4 veces en Peru Chef</v>
      </c>
      <c r="P468" s="20" t="str">
        <f t="shared" si="103"/>
        <v>Peru Chef-Peru Chef Harina de Chuño 15 Oz X 12-24.75</v>
      </c>
      <c r="Q468" s="20">
        <f t="shared" si="104"/>
        <v>1</v>
      </c>
      <c r="R468" s="20" t="str">
        <f t="shared" si="105"/>
        <v>No se repite</v>
      </c>
      <c r="S468" s="20" t="str">
        <f t="shared" si="106"/>
        <v>El producto Peru Chef Harina de Chuño 15 Oz X 12 Se repite 4 veces en Peru Chef Una vez con el precio 24.75</v>
      </c>
      <c r="T468" s="20" t="str">
        <f t="shared" si="107"/>
        <v>Peru Chef</v>
      </c>
      <c r="U468" s="20" t="str">
        <f t="shared" si="108"/>
        <v>Peru Chef Harina de Chuño 15 Oz X 12</v>
      </c>
      <c r="V468" s="22">
        <f t="shared" si="109"/>
        <v>24.75</v>
      </c>
      <c r="W468" t="str">
        <f t="shared" si="110"/>
        <v>Peru Chef 11/14/2025</v>
      </c>
      <c r="Z468">
        <f t="shared" si="111"/>
        <v>99</v>
      </c>
    </row>
    <row r="469" spans="1:26" hidden="1" x14ac:dyDescent="0.25">
      <c r="A469" s="2" t="s">
        <v>272</v>
      </c>
      <c r="B469" s="11" t="s">
        <v>408</v>
      </c>
      <c r="C469" s="11" t="s">
        <v>4</v>
      </c>
      <c r="D469" s="11" t="s">
        <v>409</v>
      </c>
      <c r="E469" s="11" t="s">
        <v>436</v>
      </c>
      <c r="F469" s="11" t="s">
        <v>437</v>
      </c>
      <c r="G469" s="12">
        <v>1</v>
      </c>
      <c r="H469" s="12">
        <v>19.5</v>
      </c>
      <c r="I469" s="12">
        <v>19.5</v>
      </c>
      <c r="J469" s="12">
        <v>6500.6</v>
      </c>
      <c r="K469" s="20">
        <f t="shared" si="98"/>
        <v>1</v>
      </c>
      <c r="L469" s="20" t="str">
        <f t="shared" si="99"/>
        <v>No se repite</v>
      </c>
      <c r="M469" s="20" t="str">
        <f t="shared" si="100"/>
        <v>Peru Chef-Peru Chef Hierba Luisa x 20 filtrante x 12 cajas</v>
      </c>
      <c r="N469" s="20">
        <f t="shared" si="101"/>
        <v>1</v>
      </c>
      <c r="O469" s="20" t="str">
        <f t="shared" si="102"/>
        <v>No se repite en proveedor</v>
      </c>
      <c r="P469" s="20" t="str">
        <f t="shared" si="103"/>
        <v>Peru Chef-Peru Chef Hierba Luisa x 20 filtrante x 12 cajas-19.5</v>
      </c>
      <c r="Q469" s="20">
        <f t="shared" si="104"/>
        <v>1</v>
      </c>
      <c r="R469" s="20" t="str">
        <f t="shared" si="105"/>
        <v>No se repite</v>
      </c>
      <c r="S469" s="20" t="str">
        <f t="shared" si="106"/>
        <v>El producto Peru Chef Hierba Luisa x 20 filtrante x 12 cajas No se repite en proveedor Una vez con el precio 19.5</v>
      </c>
      <c r="T469" s="20" t="str">
        <f t="shared" si="107"/>
        <v>Peru Chef</v>
      </c>
      <c r="U469" s="20" t="str">
        <f t="shared" si="108"/>
        <v>Peru Chef Hierba Luisa x 20 filtrante x 12 cajas</v>
      </c>
      <c r="V469" s="22">
        <f t="shared" si="109"/>
        <v>19.5</v>
      </c>
      <c r="W469" t="str">
        <f t="shared" si="110"/>
        <v>Peru Chef 04/13/2025</v>
      </c>
      <c r="Z469">
        <f t="shared" si="111"/>
        <v>19.5</v>
      </c>
    </row>
    <row r="470" spans="1:26" hidden="1" x14ac:dyDescent="0.25">
      <c r="A470" s="2" t="s">
        <v>272</v>
      </c>
      <c r="B470" s="11" t="s">
        <v>273</v>
      </c>
      <c r="C470" s="11" t="s">
        <v>4</v>
      </c>
      <c r="D470" s="11" t="s">
        <v>5</v>
      </c>
      <c r="E470" s="11" t="s">
        <v>314</v>
      </c>
      <c r="F470" s="11" t="s">
        <v>315</v>
      </c>
      <c r="G470" s="12">
        <v>1</v>
      </c>
      <c r="H470" s="12">
        <v>36</v>
      </c>
      <c r="I470" s="12">
        <v>36</v>
      </c>
      <c r="J470" s="12">
        <v>647.29999999999995</v>
      </c>
      <c r="K470" s="20">
        <f t="shared" si="98"/>
        <v>5</v>
      </c>
      <c r="L470" s="20" t="str">
        <f t="shared" si="99"/>
        <v>Se repite 5 veces</v>
      </c>
      <c r="M470" s="20" t="str">
        <f t="shared" si="100"/>
        <v>Peru Chef-Peru Chef Hongos Y Laurel 1.57oz x 12</v>
      </c>
      <c r="N470" s="20">
        <f t="shared" si="101"/>
        <v>5</v>
      </c>
      <c r="O470" s="20" t="str">
        <f t="shared" si="102"/>
        <v>Se repite 5 veces en Peru Chef</v>
      </c>
      <c r="P470" s="20" t="str">
        <f t="shared" si="103"/>
        <v>Peru Chef-Peru Chef Hongos Y Laurel 1.57oz x 12-36</v>
      </c>
      <c r="Q470" s="20">
        <f t="shared" si="104"/>
        <v>3</v>
      </c>
      <c r="R470" s="20" t="str">
        <f t="shared" si="105"/>
        <v>Se repite 3 veces el precio de 36</v>
      </c>
      <c r="S470" s="20" t="str">
        <f t="shared" si="106"/>
        <v>El producto Peru Chef Hongos Y Laurel 1.57oz x 12 Se repite 5 veces en Peru Chef, Se repite 3 veces el precio de 36</v>
      </c>
      <c r="T470" s="20" t="str">
        <f t="shared" si="107"/>
        <v>Peru Chef</v>
      </c>
      <c r="U470" s="20" t="str">
        <f t="shared" si="108"/>
        <v>Peru Chef Hongos Y Laurel 1.57oz x 12</v>
      </c>
      <c r="V470" s="22">
        <f t="shared" si="109"/>
        <v>36</v>
      </c>
      <c r="W470" t="str">
        <f t="shared" si="110"/>
        <v>Peru Chef 03/26/2025</v>
      </c>
      <c r="Z470">
        <f t="shared" si="111"/>
        <v>36</v>
      </c>
    </row>
    <row r="471" spans="1:26" hidden="1" x14ac:dyDescent="0.25">
      <c r="A471" s="2" t="s">
        <v>272</v>
      </c>
      <c r="B471" s="11" t="s">
        <v>398</v>
      </c>
      <c r="C471" s="11" t="s">
        <v>4</v>
      </c>
      <c r="D471" s="11" t="s">
        <v>399</v>
      </c>
      <c r="E471" s="11" t="s">
        <v>314</v>
      </c>
      <c r="F471" s="11" t="s">
        <v>315</v>
      </c>
      <c r="G471" s="12">
        <v>1</v>
      </c>
      <c r="H471" s="12">
        <v>36</v>
      </c>
      <c r="I471" s="12">
        <v>36</v>
      </c>
      <c r="J471" s="12">
        <v>2893.5</v>
      </c>
      <c r="K471" s="20">
        <f t="shared" si="98"/>
        <v>5</v>
      </c>
      <c r="L471" s="20" t="str">
        <f t="shared" si="99"/>
        <v>Se repite 5 veces</v>
      </c>
      <c r="M471" s="20" t="str">
        <f t="shared" si="100"/>
        <v>Peru Chef-Peru Chef Hongos Y Laurel 1.57oz x 12</v>
      </c>
      <c r="N471" s="20">
        <f t="shared" si="101"/>
        <v>5</v>
      </c>
      <c r="O471" s="20" t="str">
        <f t="shared" si="102"/>
        <v>Se repite 5 veces en Peru Chef</v>
      </c>
      <c r="P471" s="20" t="str">
        <f t="shared" si="103"/>
        <v>Peru Chef-Peru Chef Hongos Y Laurel 1.57oz x 12-36</v>
      </c>
      <c r="Q471" s="20">
        <f t="shared" si="104"/>
        <v>3</v>
      </c>
      <c r="R471" s="20" t="str">
        <f t="shared" si="105"/>
        <v>Se repite 3 veces el precio de 36</v>
      </c>
      <c r="S471" s="20" t="str">
        <f t="shared" si="106"/>
        <v>El producto Peru Chef Hongos Y Laurel 1.57oz x 12 Se repite 5 veces en Peru Chef, Se repite 3 veces el precio de 36</v>
      </c>
      <c r="T471" s="20" t="str">
        <f t="shared" si="107"/>
        <v>Peru Chef</v>
      </c>
      <c r="U471" s="20" t="str">
        <f t="shared" si="108"/>
        <v>Peru Chef Hongos Y Laurel 1.57oz x 12</v>
      </c>
      <c r="V471" s="22">
        <f t="shared" si="109"/>
        <v>36</v>
      </c>
      <c r="W471" t="str">
        <f t="shared" si="110"/>
        <v>Peru Chef 04/10/2025</v>
      </c>
      <c r="Z471">
        <f t="shared" si="111"/>
        <v>36</v>
      </c>
    </row>
    <row r="472" spans="1:26" hidden="1" x14ac:dyDescent="0.25">
      <c r="A472" s="2" t="s">
        <v>272</v>
      </c>
      <c r="B472" s="11" t="s">
        <v>444</v>
      </c>
      <c r="C472" s="11" t="s">
        <v>4</v>
      </c>
      <c r="D472" s="11" t="s">
        <v>445</v>
      </c>
      <c r="E472" s="11" t="s">
        <v>314</v>
      </c>
      <c r="F472" s="11" t="s">
        <v>459</v>
      </c>
      <c r="G472" s="12">
        <v>2</v>
      </c>
      <c r="H472" s="12">
        <v>36</v>
      </c>
      <c r="I472" s="12">
        <v>72</v>
      </c>
      <c r="J472" s="12">
        <v>7896.2000000000007</v>
      </c>
      <c r="K472" s="20">
        <f t="shared" si="98"/>
        <v>5</v>
      </c>
      <c r="L472" s="20" t="str">
        <f t="shared" si="99"/>
        <v>Se repite 5 veces</v>
      </c>
      <c r="M472" s="20" t="str">
        <f t="shared" si="100"/>
        <v>Peru Chef-Peru Chef Hongos Y Laurel 1.57oz x 12</v>
      </c>
      <c r="N472" s="20">
        <f t="shared" si="101"/>
        <v>5</v>
      </c>
      <c r="O472" s="20" t="str">
        <f t="shared" si="102"/>
        <v>Se repite 5 veces en Peru Chef</v>
      </c>
      <c r="P472" s="20" t="str">
        <f t="shared" si="103"/>
        <v>Peru Chef-Peru Chef Hongos Y Laurel 1.57oz x 12-36</v>
      </c>
      <c r="Q472" s="20">
        <f t="shared" si="104"/>
        <v>3</v>
      </c>
      <c r="R472" s="20" t="str">
        <f t="shared" si="105"/>
        <v>Se repite 3 veces el precio de 36</v>
      </c>
      <c r="S472" s="20" t="str">
        <f t="shared" si="106"/>
        <v>El producto Peru Chef Hongos Y Laurel 1.57oz x 12 Se repite 5 veces en Peru Chef, Se repite 3 veces el precio de 36</v>
      </c>
      <c r="T472" s="20" t="str">
        <f t="shared" si="107"/>
        <v>Peru Chef</v>
      </c>
      <c r="U472" s="20" t="str">
        <f t="shared" si="108"/>
        <v>Peru Chef Hongos Y Laurel 1.57oz x 12</v>
      </c>
      <c r="V472" s="22">
        <f t="shared" si="109"/>
        <v>36</v>
      </c>
      <c r="W472" t="str">
        <f t="shared" si="110"/>
        <v>Peru Chef 04/24/2025</v>
      </c>
      <c r="Z472">
        <f t="shared" si="111"/>
        <v>72</v>
      </c>
    </row>
    <row r="473" spans="1:26" hidden="1" x14ac:dyDescent="0.25">
      <c r="A473" s="2" t="s">
        <v>272</v>
      </c>
      <c r="B473" s="11" t="s">
        <v>471</v>
      </c>
      <c r="C473" s="11" t="s">
        <v>4</v>
      </c>
      <c r="D473" s="11" t="s">
        <v>472</v>
      </c>
      <c r="E473" s="11" t="s">
        <v>314</v>
      </c>
      <c r="F473" s="11" t="s">
        <v>459</v>
      </c>
      <c r="G473" s="12">
        <v>12</v>
      </c>
      <c r="H473" s="12">
        <v>39</v>
      </c>
      <c r="I473" s="12">
        <v>468</v>
      </c>
      <c r="J473" s="12">
        <v>12941.5</v>
      </c>
      <c r="K473" s="20">
        <f t="shared" si="98"/>
        <v>5</v>
      </c>
      <c r="L473" s="20" t="str">
        <f t="shared" si="99"/>
        <v>Se repite 5 veces</v>
      </c>
      <c r="M473" s="20" t="str">
        <f t="shared" si="100"/>
        <v>Peru Chef-Peru Chef Hongos Y Laurel 1.57oz x 12</v>
      </c>
      <c r="N473" s="20">
        <f t="shared" si="101"/>
        <v>5</v>
      </c>
      <c r="O473" s="20" t="str">
        <f t="shared" si="102"/>
        <v>Se repite 5 veces en Peru Chef</v>
      </c>
      <c r="P473" s="20" t="str">
        <f t="shared" si="103"/>
        <v>Peru Chef-Peru Chef Hongos Y Laurel 1.57oz x 12-39</v>
      </c>
      <c r="Q473" s="20">
        <f t="shared" si="104"/>
        <v>1</v>
      </c>
      <c r="R473" s="20" t="str">
        <f t="shared" si="105"/>
        <v>No se repite</v>
      </c>
      <c r="S473" s="20" t="str">
        <f t="shared" si="106"/>
        <v>El producto Peru Chef Hongos Y Laurel 1.57oz x 12 Se repite 5 veces en Peru Chef Una vez con el precio 39</v>
      </c>
      <c r="T473" s="20" t="str">
        <f t="shared" si="107"/>
        <v>Peru Chef</v>
      </c>
      <c r="U473" s="20" t="str">
        <f t="shared" si="108"/>
        <v>Peru Chef Hongos Y Laurel 1.57oz x 12</v>
      </c>
      <c r="V473" s="22">
        <f t="shared" si="109"/>
        <v>39</v>
      </c>
      <c r="W473" t="str">
        <f t="shared" si="110"/>
        <v>Peru Chef 08/11/2025</v>
      </c>
      <c r="Z473">
        <f t="shared" si="111"/>
        <v>468</v>
      </c>
    </row>
    <row r="474" spans="1:26" hidden="1" x14ac:dyDescent="0.25">
      <c r="A474" s="2" t="s">
        <v>272</v>
      </c>
      <c r="B474" s="11" t="s">
        <v>619</v>
      </c>
      <c r="C474" s="11" t="s">
        <v>4</v>
      </c>
      <c r="D474" s="11" t="s">
        <v>621</v>
      </c>
      <c r="E474" s="11" t="s">
        <v>314</v>
      </c>
      <c r="F474" s="11" t="s">
        <v>459</v>
      </c>
      <c r="G474" s="12">
        <v>2</v>
      </c>
      <c r="H474" s="12">
        <v>35.1</v>
      </c>
      <c r="I474" s="12">
        <v>70.2</v>
      </c>
      <c r="J474" s="12">
        <v>41615.949999999997</v>
      </c>
      <c r="K474" s="20">
        <f t="shared" si="98"/>
        <v>5</v>
      </c>
      <c r="L474" s="20" t="str">
        <f t="shared" si="99"/>
        <v>Se repite 5 veces</v>
      </c>
      <c r="M474" s="20" t="str">
        <f t="shared" si="100"/>
        <v>Peru Chef-Peru Chef Hongos Y Laurel 1.57oz x 12</v>
      </c>
      <c r="N474" s="20">
        <f t="shared" si="101"/>
        <v>5</v>
      </c>
      <c r="O474" s="20" t="str">
        <f t="shared" si="102"/>
        <v>Se repite 5 veces en Peru Chef</v>
      </c>
      <c r="P474" s="20" t="str">
        <f t="shared" si="103"/>
        <v>Peru Chef-Peru Chef Hongos Y Laurel 1.57oz x 12-35.1</v>
      </c>
      <c r="Q474" s="20">
        <f t="shared" si="104"/>
        <v>1</v>
      </c>
      <c r="R474" s="20" t="str">
        <f t="shared" si="105"/>
        <v>No se repite</v>
      </c>
      <c r="S474" s="20" t="str">
        <f t="shared" si="106"/>
        <v>El producto Peru Chef Hongos Y Laurel 1.57oz x 12 Se repite 5 veces en Peru Chef Una vez con el precio 35.1</v>
      </c>
      <c r="T474" s="20" t="str">
        <f t="shared" si="107"/>
        <v>Peru Chef</v>
      </c>
      <c r="U474" s="20" t="str">
        <f t="shared" si="108"/>
        <v>Peru Chef Hongos Y Laurel 1.57oz x 12</v>
      </c>
      <c r="V474" s="22">
        <f t="shared" si="109"/>
        <v>35.1</v>
      </c>
      <c r="W474" t="str">
        <f t="shared" si="110"/>
        <v>Peru Chef 12/09/2025</v>
      </c>
      <c r="Z474">
        <f t="shared" si="111"/>
        <v>70.2</v>
      </c>
    </row>
    <row r="475" spans="1:26" hidden="1" x14ac:dyDescent="0.25">
      <c r="A475" s="2" t="s">
        <v>272</v>
      </c>
      <c r="B475" s="11" t="s">
        <v>408</v>
      </c>
      <c r="C475" s="11" t="s">
        <v>4</v>
      </c>
      <c r="D475" s="11" t="s">
        <v>409</v>
      </c>
      <c r="E475" s="11" t="s">
        <v>416</v>
      </c>
      <c r="F475" s="11" t="s">
        <v>417</v>
      </c>
      <c r="G475" s="12">
        <v>1</v>
      </c>
      <c r="H475" s="12">
        <v>55</v>
      </c>
      <c r="I475" s="12">
        <v>55</v>
      </c>
      <c r="J475" s="12">
        <v>4748.6000000000004</v>
      </c>
      <c r="K475" s="20">
        <f t="shared" si="98"/>
        <v>4</v>
      </c>
      <c r="L475" s="20" t="str">
        <f t="shared" si="99"/>
        <v>Se repite 4 veces</v>
      </c>
      <c r="M475" s="20" t="str">
        <f t="shared" si="100"/>
        <v>Peru Chef-Peru Chef Jarabe De Goma 17oz x 12</v>
      </c>
      <c r="N475" s="20">
        <f t="shared" si="101"/>
        <v>4</v>
      </c>
      <c r="O475" s="20" t="str">
        <f t="shared" si="102"/>
        <v>Se repite 4 veces en Peru Chef</v>
      </c>
      <c r="P475" s="20" t="str">
        <f t="shared" si="103"/>
        <v>Peru Chef-Peru Chef Jarabe De Goma 17oz x 12-55</v>
      </c>
      <c r="Q475" s="20">
        <f t="shared" si="104"/>
        <v>4</v>
      </c>
      <c r="R475" s="20" t="str">
        <f t="shared" si="105"/>
        <v>Se repite 4 veces el precio de 55</v>
      </c>
      <c r="S475" s="20" t="str">
        <f t="shared" si="106"/>
        <v>El producto Peru Chef Jarabe De Goma 17oz x 12 Se repite 4 veces en Peru Chef, Se repite 4 veces el precio de 55</v>
      </c>
      <c r="T475" s="20" t="str">
        <f t="shared" si="107"/>
        <v>Peru Chef</v>
      </c>
      <c r="U475" s="20" t="str">
        <f t="shared" si="108"/>
        <v>Peru Chef Jarabe De Goma 17oz x 12</v>
      </c>
      <c r="V475" s="22">
        <f t="shared" si="109"/>
        <v>55</v>
      </c>
      <c r="W475" t="str">
        <f t="shared" si="110"/>
        <v>Peru Chef 04/13/2025</v>
      </c>
      <c r="Z475">
        <f t="shared" si="111"/>
        <v>55</v>
      </c>
    </row>
    <row r="476" spans="1:26" hidden="1" x14ac:dyDescent="0.25">
      <c r="A476" s="2" t="s">
        <v>272</v>
      </c>
      <c r="B476" s="11" t="s">
        <v>471</v>
      </c>
      <c r="C476" s="11" t="s">
        <v>4</v>
      </c>
      <c r="D476" s="11" t="s">
        <v>472</v>
      </c>
      <c r="E476" s="11" t="s">
        <v>416</v>
      </c>
      <c r="F476" s="11" t="s">
        <v>485</v>
      </c>
      <c r="G476" s="12">
        <v>3</v>
      </c>
      <c r="H476" s="12">
        <v>55</v>
      </c>
      <c r="I476" s="12">
        <v>165</v>
      </c>
      <c r="J476" s="12">
        <v>11910.5</v>
      </c>
      <c r="K476" s="20">
        <f t="shared" si="98"/>
        <v>4</v>
      </c>
      <c r="L476" s="20" t="str">
        <f t="shared" si="99"/>
        <v>Se repite 4 veces</v>
      </c>
      <c r="M476" s="20" t="str">
        <f t="shared" si="100"/>
        <v>Peru Chef-Peru Chef Jarabe De Goma 17oz x 12</v>
      </c>
      <c r="N476" s="20">
        <f t="shared" si="101"/>
        <v>4</v>
      </c>
      <c r="O476" s="20" t="str">
        <f t="shared" si="102"/>
        <v>Se repite 4 veces en Peru Chef</v>
      </c>
      <c r="P476" s="20" t="str">
        <f t="shared" si="103"/>
        <v>Peru Chef-Peru Chef Jarabe De Goma 17oz x 12-55</v>
      </c>
      <c r="Q476" s="20">
        <f t="shared" si="104"/>
        <v>4</v>
      </c>
      <c r="R476" s="20" t="str">
        <f t="shared" si="105"/>
        <v>Se repite 4 veces el precio de 55</v>
      </c>
      <c r="S476" s="20" t="str">
        <f t="shared" si="106"/>
        <v>El producto Peru Chef Jarabe De Goma 17oz x 12 Se repite 4 veces en Peru Chef, Se repite 4 veces el precio de 55</v>
      </c>
      <c r="T476" s="20" t="str">
        <f t="shared" si="107"/>
        <v>Peru Chef</v>
      </c>
      <c r="U476" s="20" t="str">
        <f t="shared" si="108"/>
        <v>Peru Chef Jarabe De Goma 17oz x 12</v>
      </c>
      <c r="V476" s="22">
        <f t="shared" si="109"/>
        <v>55</v>
      </c>
      <c r="W476" t="str">
        <f t="shared" si="110"/>
        <v>Peru Chef 08/11/2025</v>
      </c>
      <c r="Z476">
        <f t="shared" si="111"/>
        <v>165</v>
      </c>
    </row>
    <row r="477" spans="1:26" hidden="1" x14ac:dyDescent="0.25">
      <c r="A477" s="2" t="s">
        <v>272</v>
      </c>
      <c r="B477" s="11" t="s">
        <v>512</v>
      </c>
      <c r="C477" s="11" t="s">
        <v>4</v>
      </c>
      <c r="D477" s="11" t="s">
        <v>513</v>
      </c>
      <c r="E477" s="11" t="s">
        <v>416</v>
      </c>
      <c r="F477" s="11" t="s">
        <v>485</v>
      </c>
      <c r="G477" s="12">
        <v>1</v>
      </c>
      <c r="H477" s="12">
        <v>55</v>
      </c>
      <c r="I477" s="12">
        <v>55</v>
      </c>
      <c r="J477" s="12">
        <v>18326.5</v>
      </c>
      <c r="K477" s="20">
        <f t="shared" si="98"/>
        <v>4</v>
      </c>
      <c r="L477" s="20" t="str">
        <f t="shared" si="99"/>
        <v>Se repite 4 veces</v>
      </c>
      <c r="M477" s="20" t="str">
        <f t="shared" si="100"/>
        <v>Peru Chef-Peru Chef Jarabe De Goma 17oz x 12</v>
      </c>
      <c r="N477" s="20">
        <f t="shared" si="101"/>
        <v>4</v>
      </c>
      <c r="O477" s="20" t="str">
        <f t="shared" si="102"/>
        <v>Se repite 4 veces en Peru Chef</v>
      </c>
      <c r="P477" s="20" t="str">
        <f t="shared" si="103"/>
        <v>Peru Chef-Peru Chef Jarabe De Goma 17oz x 12-55</v>
      </c>
      <c r="Q477" s="20">
        <f t="shared" si="104"/>
        <v>4</v>
      </c>
      <c r="R477" s="20" t="str">
        <f t="shared" si="105"/>
        <v>Se repite 4 veces el precio de 55</v>
      </c>
      <c r="S477" s="20" t="str">
        <f t="shared" si="106"/>
        <v>El producto Peru Chef Jarabe De Goma 17oz x 12 Se repite 4 veces en Peru Chef, Se repite 4 veces el precio de 55</v>
      </c>
      <c r="T477" s="20" t="str">
        <f t="shared" si="107"/>
        <v>Peru Chef</v>
      </c>
      <c r="U477" s="20" t="str">
        <f t="shared" si="108"/>
        <v>Peru Chef Jarabe De Goma 17oz x 12</v>
      </c>
      <c r="V477" s="22">
        <f t="shared" si="109"/>
        <v>55</v>
      </c>
      <c r="W477" t="str">
        <f t="shared" si="110"/>
        <v>Peru Chef 08/28/2025</v>
      </c>
      <c r="Z477">
        <f t="shared" si="111"/>
        <v>55</v>
      </c>
    </row>
    <row r="478" spans="1:26" hidden="1" x14ac:dyDescent="0.25">
      <c r="A478" s="2" t="s">
        <v>272</v>
      </c>
      <c r="B478" s="11" t="s">
        <v>563</v>
      </c>
      <c r="C478" s="11" t="s">
        <v>4</v>
      </c>
      <c r="D478" s="11" t="s">
        <v>564</v>
      </c>
      <c r="E478" s="11" t="s">
        <v>416</v>
      </c>
      <c r="F478" s="11" t="s">
        <v>485</v>
      </c>
      <c r="G478" s="12">
        <v>3</v>
      </c>
      <c r="H478" s="12">
        <v>55</v>
      </c>
      <c r="I478" s="12">
        <v>165</v>
      </c>
      <c r="J478" s="12">
        <v>21291</v>
      </c>
      <c r="K478" s="20">
        <f t="shared" si="98"/>
        <v>4</v>
      </c>
      <c r="L478" s="20" t="str">
        <f t="shared" si="99"/>
        <v>Se repite 4 veces</v>
      </c>
      <c r="M478" s="20" t="str">
        <f t="shared" si="100"/>
        <v>Peru Chef-Peru Chef Jarabe De Goma 17oz x 12</v>
      </c>
      <c r="N478" s="20">
        <f t="shared" si="101"/>
        <v>4</v>
      </c>
      <c r="O478" s="20" t="str">
        <f t="shared" si="102"/>
        <v>Se repite 4 veces en Peru Chef</v>
      </c>
      <c r="P478" s="20" t="str">
        <f t="shared" si="103"/>
        <v>Peru Chef-Peru Chef Jarabe De Goma 17oz x 12-55</v>
      </c>
      <c r="Q478" s="20">
        <f t="shared" si="104"/>
        <v>4</v>
      </c>
      <c r="R478" s="20" t="str">
        <f t="shared" si="105"/>
        <v>Se repite 4 veces el precio de 55</v>
      </c>
      <c r="S478" s="20" t="str">
        <f t="shared" si="106"/>
        <v>El producto Peru Chef Jarabe De Goma 17oz x 12 Se repite 4 veces en Peru Chef, Se repite 4 veces el precio de 55</v>
      </c>
      <c r="T478" s="20" t="str">
        <f t="shared" si="107"/>
        <v>Peru Chef</v>
      </c>
      <c r="U478" s="20" t="str">
        <f t="shared" si="108"/>
        <v>Peru Chef Jarabe De Goma 17oz x 12</v>
      </c>
      <c r="V478" s="22">
        <f t="shared" si="109"/>
        <v>55</v>
      </c>
      <c r="W478" t="str">
        <f t="shared" si="110"/>
        <v>Peru Chef 09/11/2025</v>
      </c>
      <c r="Z478">
        <f t="shared" si="111"/>
        <v>165</v>
      </c>
    </row>
    <row r="479" spans="1:26" hidden="1" x14ac:dyDescent="0.25">
      <c r="A479" s="2" t="s">
        <v>272</v>
      </c>
      <c r="B479" s="11" t="s">
        <v>273</v>
      </c>
      <c r="C479" s="11" t="s">
        <v>4</v>
      </c>
      <c r="D479" s="11" t="s">
        <v>5</v>
      </c>
      <c r="E479" s="11" t="s">
        <v>326</v>
      </c>
      <c r="F479" s="11" t="s">
        <v>327</v>
      </c>
      <c r="G479" s="12">
        <v>1</v>
      </c>
      <c r="H479" s="12">
        <v>28</v>
      </c>
      <c r="I479" s="12">
        <v>28</v>
      </c>
      <c r="J479" s="12">
        <v>803.3</v>
      </c>
      <c r="K479" s="20">
        <f t="shared" si="98"/>
        <v>2</v>
      </c>
      <c r="L479" s="20" t="str">
        <f t="shared" si="99"/>
        <v>Se repite 2 veces</v>
      </c>
      <c r="M479" s="20" t="str">
        <f t="shared" si="100"/>
        <v>Peru Chef-Peru chef Kion Molido 60 G X 12</v>
      </c>
      <c r="N479" s="20">
        <f t="shared" si="101"/>
        <v>2</v>
      </c>
      <c r="O479" s="20" t="str">
        <f t="shared" si="102"/>
        <v>Se repite 2 veces en Peru Chef</v>
      </c>
      <c r="P479" s="20" t="str">
        <f t="shared" si="103"/>
        <v>Peru Chef-Peru chef Kion Molido 60 G X 12-28</v>
      </c>
      <c r="Q479" s="20">
        <f t="shared" si="104"/>
        <v>2</v>
      </c>
      <c r="R479" s="20" t="str">
        <f t="shared" si="105"/>
        <v>Se repite 2 veces el precio de 28</v>
      </c>
      <c r="S479" s="20" t="str">
        <f t="shared" si="106"/>
        <v>El producto Peru chef Kion Molido 60 G X 12 Se repite 2 veces en Peru Chef, Se repite 2 veces el precio de 28</v>
      </c>
      <c r="T479" s="20" t="str">
        <f t="shared" si="107"/>
        <v>Peru Chef</v>
      </c>
      <c r="U479" s="20" t="str">
        <f t="shared" si="108"/>
        <v>Peru chef Kion Molido 60 G X 12</v>
      </c>
      <c r="V479" s="22">
        <f t="shared" si="109"/>
        <v>28</v>
      </c>
      <c r="W479" t="str">
        <f t="shared" si="110"/>
        <v>Peru Chef 03/26/2025</v>
      </c>
      <c r="Z479">
        <f t="shared" si="111"/>
        <v>28</v>
      </c>
    </row>
    <row r="480" spans="1:26" hidden="1" x14ac:dyDescent="0.25">
      <c r="A480" s="2" t="s">
        <v>272</v>
      </c>
      <c r="B480" s="11" t="s">
        <v>398</v>
      </c>
      <c r="C480" s="11" t="s">
        <v>4</v>
      </c>
      <c r="D480" s="11" t="s">
        <v>399</v>
      </c>
      <c r="E480" s="11" t="s">
        <v>326</v>
      </c>
      <c r="F480" s="11" t="s">
        <v>327</v>
      </c>
      <c r="G480" s="12">
        <v>1</v>
      </c>
      <c r="H480" s="12">
        <v>28</v>
      </c>
      <c r="I480" s="12">
        <v>28</v>
      </c>
      <c r="J480" s="12">
        <v>3049.5</v>
      </c>
      <c r="K480" s="20">
        <f t="shared" si="98"/>
        <v>2</v>
      </c>
      <c r="L480" s="20" t="str">
        <f t="shared" si="99"/>
        <v>Se repite 2 veces</v>
      </c>
      <c r="M480" s="20" t="str">
        <f t="shared" si="100"/>
        <v>Peru Chef-Peru chef Kion Molido 60 G X 12</v>
      </c>
      <c r="N480" s="20">
        <f t="shared" si="101"/>
        <v>2</v>
      </c>
      <c r="O480" s="20" t="str">
        <f t="shared" si="102"/>
        <v>Se repite 2 veces en Peru Chef</v>
      </c>
      <c r="P480" s="20" t="str">
        <f t="shared" si="103"/>
        <v>Peru Chef-Peru chef Kion Molido 60 G X 12-28</v>
      </c>
      <c r="Q480" s="20">
        <f t="shared" si="104"/>
        <v>2</v>
      </c>
      <c r="R480" s="20" t="str">
        <f t="shared" si="105"/>
        <v>Se repite 2 veces el precio de 28</v>
      </c>
      <c r="S480" s="20" t="str">
        <f t="shared" si="106"/>
        <v>El producto Peru chef Kion Molido 60 G X 12 Se repite 2 veces en Peru Chef, Se repite 2 veces el precio de 28</v>
      </c>
      <c r="T480" s="20" t="str">
        <f t="shared" si="107"/>
        <v>Peru Chef</v>
      </c>
      <c r="U480" s="20" t="str">
        <f t="shared" si="108"/>
        <v>Peru chef Kion Molido 60 G X 12</v>
      </c>
      <c r="V480" s="22">
        <f t="shared" si="109"/>
        <v>28</v>
      </c>
      <c r="W480" t="str">
        <f t="shared" si="110"/>
        <v>Peru Chef 04/10/2025</v>
      </c>
      <c r="Z480">
        <f t="shared" si="111"/>
        <v>28</v>
      </c>
    </row>
    <row r="481" spans="1:26" hidden="1" x14ac:dyDescent="0.25">
      <c r="A481" s="2" t="s">
        <v>272</v>
      </c>
      <c r="B481" s="11" t="s">
        <v>471</v>
      </c>
      <c r="C481" s="11" t="s">
        <v>4</v>
      </c>
      <c r="D481" s="11" t="s">
        <v>472</v>
      </c>
      <c r="E481" s="11" t="s">
        <v>492</v>
      </c>
      <c r="F481" s="11" t="s">
        <v>493</v>
      </c>
      <c r="G481" s="12">
        <v>2</v>
      </c>
      <c r="H481" s="12">
        <v>32</v>
      </c>
      <c r="I481" s="12">
        <v>64</v>
      </c>
      <c r="J481" s="12">
        <v>12473.5</v>
      </c>
      <c r="K481" s="20">
        <f t="shared" si="98"/>
        <v>3</v>
      </c>
      <c r="L481" s="20" t="str">
        <f t="shared" si="99"/>
        <v>Se repite 3 veces</v>
      </c>
      <c r="M481" s="20" t="str">
        <f t="shared" si="100"/>
        <v>Peru Chef-Peru Chef Kiwicha 15oz x 12</v>
      </c>
      <c r="N481" s="20">
        <f t="shared" si="101"/>
        <v>3</v>
      </c>
      <c r="O481" s="20" t="str">
        <f t="shared" si="102"/>
        <v>Se repite 3 veces en Peru Chef</v>
      </c>
      <c r="P481" s="20" t="str">
        <f t="shared" si="103"/>
        <v>Peru Chef-Peru Chef Kiwicha 15oz x 12-32</v>
      </c>
      <c r="Q481" s="20">
        <f t="shared" si="104"/>
        <v>1</v>
      </c>
      <c r="R481" s="20" t="str">
        <f t="shared" si="105"/>
        <v>No se repite</v>
      </c>
      <c r="S481" s="20" t="str">
        <f t="shared" si="106"/>
        <v>El producto Peru Chef Kiwicha 15oz x 12 Se repite 3 veces en Peru Chef Una vez con el precio 32</v>
      </c>
      <c r="T481" s="20" t="str">
        <f t="shared" si="107"/>
        <v>Peru Chef</v>
      </c>
      <c r="U481" s="20" t="str">
        <f t="shared" si="108"/>
        <v>Peru Chef Kiwicha 15oz x 12</v>
      </c>
      <c r="V481" s="22">
        <f t="shared" si="109"/>
        <v>32</v>
      </c>
      <c r="W481" t="str">
        <f t="shared" si="110"/>
        <v>Peru Chef 08/11/2025</v>
      </c>
      <c r="Z481">
        <f t="shared" si="111"/>
        <v>64</v>
      </c>
    </row>
    <row r="482" spans="1:26" hidden="1" x14ac:dyDescent="0.25">
      <c r="A482" s="2" t="s">
        <v>272</v>
      </c>
      <c r="B482" s="11" t="s">
        <v>590</v>
      </c>
      <c r="C482" s="11" t="s">
        <v>4</v>
      </c>
      <c r="D482" s="11" t="s">
        <v>591</v>
      </c>
      <c r="E482" s="11" t="s">
        <v>492</v>
      </c>
      <c r="F482" s="11" t="s">
        <v>493</v>
      </c>
      <c r="G482" s="12">
        <v>2</v>
      </c>
      <c r="H482" s="12">
        <v>28.8</v>
      </c>
      <c r="I482" s="12">
        <v>57.6</v>
      </c>
      <c r="J482" s="12">
        <v>31292.5</v>
      </c>
      <c r="K482" s="20">
        <f t="shared" si="98"/>
        <v>3</v>
      </c>
      <c r="L482" s="20" t="str">
        <f t="shared" si="99"/>
        <v>Se repite 3 veces</v>
      </c>
      <c r="M482" s="20" t="str">
        <f t="shared" si="100"/>
        <v>Peru Chef-Peru Chef Kiwicha 15oz x 12</v>
      </c>
      <c r="N482" s="20">
        <f t="shared" si="101"/>
        <v>3</v>
      </c>
      <c r="O482" s="20" t="str">
        <f t="shared" si="102"/>
        <v>Se repite 3 veces en Peru Chef</v>
      </c>
      <c r="P482" s="20" t="str">
        <f t="shared" si="103"/>
        <v>Peru Chef-Peru Chef Kiwicha 15oz x 12-28.8</v>
      </c>
      <c r="Q482" s="20">
        <f t="shared" si="104"/>
        <v>2</v>
      </c>
      <c r="R482" s="20" t="str">
        <f t="shared" si="105"/>
        <v>Se repite 2 veces el precio de 28.8</v>
      </c>
      <c r="S482" s="20" t="str">
        <f t="shared" si="106"/>
        <v>El producto Peru Chef Kiwicha 15oz x 12 Se repite 3 veces en Peru Chef, Se repite 2 veces el precio de 28.8</v>
      </c>
      <c r="T482" s="20" t="str">
        <f t="shared" si="107"/>
        <v>Peru Chef</v>
      </c>
      <c r="U482" s="20" t="str">
        <f t="shared" si="108"/>
        <v>Peru Chef Kiwicha 15oz x 12</v>
      </c>
      <c r="V482" s="22">
        <f t="shared" si="109"/>
        <v>28.8</v>
      </c>
      <c r="W482" t="str">
        <f t="shared" si="110"/>
        <v>Peru Chef 10/28/2025</v>
      </c>
      <c r="Z482">
        <f t="shared" si="111"/>
        <v>57.6</v>
      </c>
    </row>
    <row r="483" spans="1:26" hidden="1" x14ac:dyDescent="0.25">
      <c r="A483" s="2" t="s">
        <v>272</v>
      </c>
      <c r="B483" s="11" t="s">
        <v>600</v>
      </c>
      <c r="C483" s="11" t="s">
        <v>4</v>
      </c>
      <c r="D483" s="11" t="s">
        <v>601</v>
      </c>
      <c r="E483" s="11" t="s">
        <v>492</v>
      </c>
      <c r="F483" s="11" t="s">
        <v>493</v>
      </c>
      <c r="G483" s="12">
        <v>1</v>
      </c>
      <c r="H483" s="12">
        <v>28.8</v>
      </c>
      <c r="I483" s="12">
        <v>28.8</v>
      </c>
      <c r="J483" s="12">
        <v>35292.55000000001</v>
      </c>
      <c r="K483" s="20">
        <f t="shared" si="98"/>
        <v>3</v>
      </c>
      <c r="L483" s="20" t="str">
        <f t="shared" si="99"/>
        <v>Se repite 3 veces</v>
      </c>
      <c r="M483" s="20" t="str">
        <f t="shared" si="100"/>
        <v>Peru Chef-Peru Chef Kiwicha 15oz x 12</v>
      </c>
      <c r="N483" s="20">
        <f t="shared" si="101"/>
        <v>3</v>
      </c>
      <c r="O483" s="20" t="str">
        <f t="shared" si="102"/>
        <v>Se repite 3 veces en Peru Chef</v>
      </c>
      <c r="P483" s="20" t="str">
        <f t="shared" si="103"/>
        <v>Peru Chef-Peru Chef Kiwicha 15oz x 12-28.8</v>
      </c>
      <c r="Q483" s="20">
        <f t="shared" si="104"/>
        <v>2</v>
      </c>
      <c r="R483" s="20" t="str">
        <f t="shared" si="105"/>
        <v>Se repite 2 veces el precio de 28.8</v>
      </c>
      <c r="S483" s="20" t="str">
        <f t="shared" si="106"/>
        <v>El producto Peru Chef Kiwicha 15oz x 12 Se repite 3 veces en Peru Chef, Se repite 2 veces el precio de 28.8</v>
      </c>
      <c r="T483" s="20" t="str">
        <f t="shared" si="107"/>
        <v>Peru Chef</v>
      </c>
      <c r="U483" s="20" t="str">
        <f t="shared" si="108"/>
        <v>Peru Chef Kiwicha 15oz x 12</v>
      </c>
      <c r="V483" s="22">
        <f t="shared" si="109"/>
        <v>28.8</v>
      </c>
      <c r="W483" t="str">
        <f t="shared" si="110"/>
        <v>Peru Chef 11/14/2025</v>
      </c>
      <c r="Z483">
        <f t="shared" si="111"/>
        <v>28.8</v>
      </c>
    </row>
    <row r="484" spans="1:26" hidden="1" x14ac:dyDescent="0.25">
      <c r="A484" s="2" t="s">
        <v>272</v>
      </c>
      <c r="B484" s="11" t="s">
        <v>273</v>
      </c>
      <c r="C484" s="11" t="s">
        <v>4</v>
      </c>
      <c r="D484" s="11" t="s">
        <v>5</v>
      </c>
      <c r="E484" s="11" t="s">
        <v>292</v>
      </c>
      <c r="F484" s="11" t="s">
        <v>293</v>
      </c>
      <c r="G484" s="12">
        <v>1</v>
      </c>
      <c r="H484" s="12">
        <v>28</v>
      </c>
      <c r="I484" s="12">
        <v>28</v>
      </c>
      <c r="J484" s="12">
        <v>383.5</v>
      </c>
      <c r="K484" s="20">
        <f t="shared" si="98"/>
        <v>5</v>
      </c>
      <c r="L484" s="20" t="str">
        <f t="shared" si="99"/>
        <v>Se repite 5 veces</v>
      </c>
      <c r="M484" s="20" t="str">
        <f t="shared" si="100"/>
        <v>Peru Chef-Peru Chef Maiz Cancha Montaña15 Oz X 10</v>
      </c>
      <c r="N484" s="20">
        <f t="shared" si="101"/>
        <v>5</v>
      </c>
      <c r="O484" s="20" t="str">
        <f t="shared" si="102"/>
        <v>Se repite 5 veces en Peru Chef</v>
      </c>
      <c r="P484" s="20" t="str">
        <f t="shared" si="103"/>
        <v>Peru Chef-Peru Chef Maiz Cancha Montaña15 Oz X 10-28</v>
      </c>
      <c r="Q484" s="20">
        <f t="shared" si="104"/>
        <v>3</v>
      </c>
      <c r="R484" s="20" t="str">
        <f t="shared" si="105"/>
        <v>Se repite 3 veces el precio de 28</v>
      </c>
      <c r="S484" s="20" t="str">
        <f t="shared" si="106"/>
        <v>El producto Peru Chef Maiz Cancha Montaña15 Oz X 10 Se repite 5 veces en Peru Chef, Se repite 3 veces el precio de 28</v>
      </c>
      <c r="T484" s="20" t="str">
        <f t="shared" si="107"/>
        <v>Peru Chef</v>
      </c>
      <c r="U484" s="20" t="str">
        <f t="shared" si="108"/>
        <v>Peru Chef Maiz Cancha Montaña15 Oz X 10</v>
      </c>
      <c r="V484" s="22">
        <f t="shared" si="109"/>
        <v>28</v>
      </c>
      <c r="W484" t="str">
        <f t="shared" si="110"/>
        <v>Peru Chef 03/26/2025</v>
      </c>
      <c r="Z484">
        <f t="shared" si="111"/>
        <v>28</v>
      </c>
    </row>
    <row r="485" spans="1:26" hidden="1" x14ac:dyDescent="0.25">
      <c r="A485" s="2" t="s">
        <v>272</v>
      </c>
      <c r="B485" s="11" t="s">
        <v>398</v>
      </c>
      <c r="C485" s="11" t="s">
        <v>4</v>
      </c>
      <c r="D485" s="11" t="s">
        <v>399</v>
      </c>
      <c r="E485" s="11" t="s">
        <v>292</v>
      </c>
      <c r="F485" s="11" t="s">
        <v>293</v>
      </c>
      <c r="G485" s="12">
        <v>1</v>
      </c>
      <c r="H485" s="12">
        <v>28</v>
      </c>
      <c r="I485" s="12">
        <v>28</v>
      </c>
      <c r="J485" s="12">
        <v>2629.7</v>
      </c>
      <c r="K485" s="20">
        <f t="shared" si="98"/>
        <v>5</v>
      </c>
      <c r="L485" s="20" t="str">
        <f t="shared" si="99"/>
        <v>Se repite 5 veces</v>
      </c>
      <c r="M485" s="20" t="str">
        <f t="shared" si="100"/>
        <v>Peru Chef-Peru Chef Maiz Cancha Montaña15 Oz X 10</v>
      </c>
      <c r="N485" s="20">
        <f t="shared" si="101"/>
        <v>5</v>
      </c>
      <c r="O485" s="20" t="str">
        <f t="shared" si="102"/>
        <v>Se repite 5 veces en Peru Chef</v>
      </c>
      <c r="P485" s="20" t="str">
        <f t="shared" si="103"/>
        <v>Peru Chef-Peru Chef Maiz Cancha Montaña15 Oz X 10-28</v>
      </c>
      <c r="Q485" s="20">
        <f t="shared" si="104"/>
        <v>3</v>
      </c>
      <c r="R485" s="20" t="str">
        <f t="shared" si="105"/>
        <v>Se repite 3 veces el precio de 28</v>
      </c>
      <c r="S485" s="20" t="str">
        <f t="shared" si="106"/>
        <v>El producto Peru Chef Maiz Cancha Montaña15 Oz X 10 Se repite 5 veces en Peru Chef, Se repite 3 veces el precio de 28</v>
      </c>
      <c r="T485" s="20" t="str">
        <f t="shared" si="107"/>
        <v>Peru Chef</v>
      </c>
      <c r="U485" s="20" t="str">
        <f t="shared" si="108"/>
        <v>Peru Chef Maiz Cancha Montaña15 Oz X 10</v>
      </c>
      <c r="V485" s="22">
        <f t="shared" si="109"/>
        <v>28</v>
      </c>
      <c r="W485" t="str">
        <f t="shared" si="110"/>
        <v>Peru Chef 04/10/2025</v>
      </c>
      <c r="Z485">
        <f t="shared" si="111"/>
        <v>28</v>
      </c>
    </row>
    <row r="486" spans="1:26" hidden="1" x14ac:dyDescent="0.25">
      <c r="A486" s="2" t="s">
        <v>272</v>
      </c>
      <c r="B486" s="11" t="s">
        <v>444</v>
      </c>
      <c r="C486" s="11" t="s">
        <v>4</v>
      </c>
      <c r="D486" s="11" t="s">
        <v>445</v>
      </c>
      <c r="E486" s="11" t="s">
        <v>292</v>
      </c>
      <c r="F486" s="11" t="s">
        <v>452</v>
      </c>
      <c r="G486" s="12">
        <v>2</v>
      </c>
      <c r="H486" s="12">
        <v>28</v>
      </c>
      <c r="I486" s="12">
        <v>56</v>
      </c>
      <c r="J486" s="12">
        <v>7492.6</v>
      </c>
      <c r="K486" s="20">
        <f t="shared" si="98"/>
        <v>5</v>
      </c>
      <c r="L486" s="20" t="str">
        <f t="shared" si="99"/>
        <v>Se repite 5 veces</v>
      </c>
      <c r="M486" s="20" t="str">
        <f t="shared" si="100"/>
        <v>Peru Chef-Peru Chef Maiz Cancha Montaña15 Oz X 10</v>
      </c>
      <c r="N486" s="20">
        <f t="shared" si="101"/>
        <v>5</v>
      </c>
      <c r="O486" s="20" t="str">
        <f t="shared" si="102"/>
        <v>Se repite 5 veces en Peru Chef</v>
      </c>
      <c r="P486" s="20" t="str">
        <f t="shared" si="103"/>
        <v>Peru Chef-Peru Chef Maiz Cancha Montaña15 Oz X 10-28</v>
      </c>
      <c r="Q486" s="20">
        <f t="shared" si="104"/>
        <v>3</v>
      </c>
      <c r="R486" s="20" t="str">
        <f t="shared" si="105"/>
        <v>Se repite 3 veces el precio de 28</v>
      </c>
      <c r="S486" s="20" t="str">
        <f t="shared" si="106"/>
        <v>El producto Peru Chef Maiz Cancha Montaña15 Oz X 10 Se repite 5 veces en Peru Chef, Se repite 3 veces el precio de 28</v>
      </c>
      <c r="T486" s="20" t="str">
        <f t="shared" si="107"/>
        <v>Peru Chef</v>
      </c>
      <c r="U486" s="20" t="str">
        <f t="shared" si="108"/>
        <v>Peru Chef Maiz Cancha Montaña15 Oz X 10</v>
      </c>
      <c r="V486" s="22">
        <f t="shared" si="109"/>
        <v>28</v>
      </c>
      <c r="W486" t="str">
        <f t="shared" si="110"/>
        <v>Peru Chef 04/24/2025</v>
      </c>
      <c r="Z486">
        <f t="shared" si="111"/>
        <v>56</v>
      </c>
    </row>
    <row r="487" spans="1:26" hidden="1" x14ac:dyDescent="0.25">
      <c r="A487" s="2" t="s">
        <v>272</v>
      </c>
      <c r="B487" s="11" t="s">
        <v>590</v>
      </c>
      <c r="C487" s="11" t="s">
        <v>4</v>
      </c>
      <c r="D487" s="11" t="s">
        <v>591</v>
      </c>
      <c r="E487" s="11" t="s">
        <v>292</v>
      </c>
      <c r="F487" s="11" t="s">
        <v>452</v>
      </c>
      <c r="G487" s="12">
        <v>5</v>
      </c>
      <c r="H487" s="12">
        <v>27</v>
      </c>
      <c r="I487" s="12">
        <v>135</v>
      </c>
      <c r="J487" s="12">
        <v>31027.9</v>
      </c>
      <c r="K487" s="20">
        <f t="shared" si="98"/>
        <v>5</v>
      </c>
      <c r="L487" s="20" t="str">
        <f t="shared" si="99"/>
        <v>Se repite 5 veces</v>
      </c>
      <c r="M487" s="20" t="str">
        <f t="shared" si="100"/>
        <v>Peru Chef-Peru Chef Maiz Cancha Montaña15 Oz X 10</v>
      </c>
      <c r="N487" s="20">
        <f t="shared" si="101"/>
        <v>5</v>
      </c>
      <c r="O487" s="20" t="str">
        <f t="shared" si="102"/>
        <v>Se repite 5 veces en Peru Chef</v>
      </c>
      <c r="P487" s="20" t="str">
        <f t="shared" si="103"/>
        <v>Peru Chef-Peru Chef Maiz Cancha Montaña15 Oz X 10-27</v>
      </c>
      <c r="Q487" s="20">
        <f t="shared" si="104"/>
        <v>2</v>
      </c>
      <c r="R487" s="20" t="str">
        <f t="shared" si="105"/>
        <v>Se repite 2 veces el precio de 27</v>
      </c>
      <c r="S487" s="20" t="str">
        <f t="shared" si="106"/>
        <v>El producto Peru Chef Maiz Cancha Montaña15 Oz X 10 Se repite 5 veces en Peru Chef, Se repite 2 veces el precio de 27</v>
      </c>
      <c r="T487" s="20" t="str">
        <f t="shared" si="107"/>
        <v>Peru Chef</v>
      </c>
      <c r="U487" s="20" t="str">
        <f t="shared" si="108"/>
        <v>Peru Chef Maiz Cancha Montaña15 Oz X 10</v>
      </c>
      <c r="V487" s="22">
        <f t="shared" si="109"/>
        <v>27</v>
      </c>
      <c r="W487" t="str">
        <f t="shared" si="110"/>
        <v>Peru Chef 10/28/2025</v>
      </c>
      <c r="Z487">
        <f t="shared" si="111"/>
        <v>135</v>
      </c>
    </row>
    <row r="488" spans="1:26" hidden="1" x14ac:dyDescent="0.25">
      <c r="A488" s="2" t="s">
        <v>272</v>
      </c>
      <c r="B488" s="11" t="s">
        <v>600</v>
      </c>
      <c r="C488" s="11" t="s">
        <v>4</v>
      </c>
      <c r="D488" s="11" t="s">
        <v>601</v>
      </c>
      <c r="E488" s="11" t="s">
        <v>292</v>
      </c>
      <c r="F488" s="11" t="s">
        <v>452</v>
      </c>
      <c r="G488" s="12">
        <v>1</v>
      </c>
      <c r="H488" s="12">
        <v>27</v>
      </c>
      <c r="I488" s="12">
        <v>27</v>
      </c>
      <c r="J488" s="12">
        <v>34956.85</v>
      </c>
      <c r="K488" s="20">
        <f t="shared" si="98"/>
        <v>5</v>
      </c>
      <c r="L488" s="20" t="str">
        <f t="shared" si="99"/>
        <v>Se repite 5 veces</v>
      </c>
      <c r="M488" s="20" t="str">
        <f t="shared" si="100"/>
        <v>Peru Chef-Peru Chef Maiz Cancha Montaña15 Oz X 10</v>
      </c>
      <c r="N488" s="20">
        <f t="shared" si="101"/>
        <v>5</v>
      </c>
      <c r="O488" s="20" t="str">
        <f t="shared" si="102"/>
        <v>Se repite 5 veces en Peru Chef</v>
      </c>
      <c r="P488" s="20" t="str">
        <f t="shared" si="103"/>
        <v>Peru Chef-Peru Chef Maiz Cancha Montaña15 Oz X 10-27</v>
      </c>
      <c r="Q488" s="20">
        <f t="shared" si="104"/>
        <v>2</v>
      </c>
      <c r="R488" s="20" t="str">
        <f t="shared" si="105"/>
        <v>Se repite 2 veces el precio de 27</v>
      </c>
      <c r="S488" s="20" t="str">
        <f t="shared" si="106"/>
        <v>El producto Peru Chef Maiz Cancha Montaña15 Oz X 10 Se repite 5 veces en Peru Chef, Se repite 2 veces el precio de 27</v>
      </c>
      <c r="T488" s="20" t="str">
        <f t="shared" si="107"/>
        <v>Peru Chef</v>
      </c>
      <c r="U488" s="20" t="str">
        <f t="shared" si="108"/>
        <v>Peru Chef Maiz Cancha Montaña15 Oz X 10</v>
      </c>
      <c r="V488" s="22">
        <f t="shared" si="109"/>
        <v>27</v>
      </c>
      <c r="W488" t="str">
        <f t="shared" si="110"/>
        <v>Peru Chef 11/14/2025</v>
      </c>
      <c r="Z488">
        <f t="shared" si="111"/>
        <v>27</v>
      </c>
    </row>
    <row r="489" spans="1:26" hidden="1" x14ac:dyDescent="0.25">
      <c r="A489" s="2" t="s">
        <v>272</v>
      </c>
      <c r="B489" s="11" t="s">
        <v>273</v>
      </c>
      <c r="C489" s="11" t="s">
        <v>4</v>
      </c>
      <c r="D489" s="11" t="s">
        <v>5</v>
      </c>
      <c r="E489" s="11" t="s">
        <v>290</v>
      </c>
      <c r="F489" s="11" t="s">
        <v>291</v>
      </c>
      <c r="G489" s="12">
        <v>1</v>
      </c>
      <c r="H489" s="12">
        <v>28</v>
      </c>
      <c r="I489" s="12">
        <v>28</v>
      </c>
      <c r="J489" s="12">
        <v>355.5</v>
      </c>
      <c r="K489" s="20">
        <f t="shared" si="98"/>
        <v>5</v>
      </c>
      <c r="L489" s="20" t="str">
        <f t="shared" si="99"/>
        <v>Se repite 5 veces</v>
      </c>
      <c r="M489" s="20" t="str">
        <f t="shared" si="100"/>
        <v>Peru Chef-PERU CHEF Maiz Chulpe 15oz x 12</v>
      </c>
      <c r="N489" s="20">
        <f t="shared" si="101"/>
        <v>5</v>
      </c>
      <c r="O489" s="20" t="str">
        <f t="shared" si="102"/>
        <v>Se repite 5 veces en Peru Chef</v>
      </c>
      <c r="P489" s="20" t="str">
        <f t="shared" si="103"/>
        <v>Peru Chef-PERU CHEF Maiz Chulpe 15oz x 12-28</v>
      </c>
      <c r="Q489" s="20">
        <f t="shared" si="104"/>
        <v>3</v>
      </c>
      <c r="R489" s="20" t="str">
        <f t="shared" si="105"/>
        <v>Se repite 3 veces el precio de 28</v>
      </c>
      <c r="S489" s="20" t="str">
        <f t="shared" si="106"/>
        <v>El producto PERU CHEF Maiz Chulpe 15oz x 12 Se repite 5 veces en Peru Chef, Se repite 3 veces el precio de 28</v>
      </c>
      <c r="T489" s="20" t="str">
        <f t="shared" si="107"/>
        <v>Peru Chef</v>
      </c>
      <c r="U489" s="20" t="str">
        <f t="shared" si="108"/>
        <v>PERU CHEF Maiz Chulpe 15oz x 12</v>
      </c>
      <c r="V489" s="22">
        <f t="shared" si="109"/>
        <v>28</v>
      </c>
      <c r="W489" t="str">
        <f t="shared" si="110"/>
        <v>Peru Chef 03/26/2025</v>
      </c>
      <c r="Z489">
        <f t="shared" si="111"/>
        <v>28</v>
      </c>
    </row>
    <row r="490" spans="1:26" hidden="1" x14ac:dyDescent="0.25">
      <c r="A490" s="2" t="s">
        <v>272</v>
      </c>
      <c r="B490" s="11" t="s">
        <v>398</v>
      </c>
      <c r="C490" s="11" t="s">
        <v>4</v>
      </c>
      <c r="D490" s="11" t="s">
        <v>399</v>
      </c>
      <c r="E490" s="11" t="s">
        <v>290</v>
      </c>
      <c r="F490" s="11" t="s">
        <v>291</v>
      </c>
      <c r="G490" s="12">
        <v>1</v>
      </c>
      <c r="H490" s="12">
        <v>28</v>
      </c>
      <c r="I490" s="12">
        <v>28</v>
      </c>
      <c r="J490" s="12">
        <v>2601.6999999999998</v>
      </c>
      <c r="K490" s="20">
        <f t="shared" si="98"/>
        <v>5</v>
      </c>
      <c r="L490" s="20" t="str">
        <f t="shared" si="99"/>
        <v>Se repite 5 veces</v>
      </c>
      <c r="M490" s="20" t="str">
        <f t="shared" si="100"/>
        <v>Peru Chef-PERU CHEF Maiz Chulpe 15oz x 12</v>
      </c>
      <c r="N490" s="20">
        <f t="shared" si="101"/>
        <v>5</v>
      </c>
      <c r="O490" s="20" t="str">
        <f t="shared" si="102"/>
        <v>Se repite 5 veces en Peru Chef</v>
      </c>
      <c r="P490" s="20" t="str">
        <f t="shared" si="103"/>
        <v>Peru Chef-PERU CHEF Maiz Chulpe 15oz x 12-28</v>
      </c>
      <c r="Q490" s="20">
        <f t="shared" si="104"/>
        <v>3</v>
      </c>
      <c r="R490" s="20" t="str">
        <f t="shared" si="105"/>
        <v>Se repite 3 veces el precio de 28</v>
      </c>
      <c r="S490" s="20" t="str">
        <f t="shared" si="106"/>
        <v>El producto PERU CHEF Maiz Chulpe 15oz x 12 Se repite 5 veces en Peru Chef, Se repite 3 veces el precio de 28</v>
      </c>
      <c r="T490" s="20" t="str">
        <f t="shared" si="107"/>
        <v>Peru Chef</v>
      </c>
      <c r="U490" s="20" t="str">
        <f t="shared" si="108"/>
        <v>PERU CHEF Maiz Chulpe 15oz x 12</v>
      </c>
      <c r="V490" s="22">
        <f t="shared" si="109"/>
        <v>28</v>
      </c>
      <c r="W490" t="str">
        <f t="shared" si="110"/>
        <v>Peru Chef 04/10/2025</v>
      </c>
      <c r="Z490">
        <f t="shared" si="111"/>
        <v>28</v>
      </c>
    </row>
    <row r="491" spans="1:26" hidden="1" x14ac:dyDescent="0.25">
      <c r="A491" s="2" t="s">
        <v>272</v>
      </c>
      <c r="B491" s="11" t="s">
        <v>444</v>
      </c>
      <c r="C491" s="11" t="s">
        <v>4</v>
      </c>
      <c r="D491" s="11" t="s">
        <v>445</v>
      </c>
      <c r="E491" s="11" t="s">
        <v>290</v>
      </c>
      <c r="F491" s="11" t="s">
        <v>451</v>
      </c>
      <c r="G491" s="12">
        <v>2</v>
      </c>
      <c r="H491" s="12">
        <v>28</v>
      </c>
      <c r="I491" s="12">
        <v>56</v>
      </c>
      <c r="J491" s="12">
        <v>7436.6</v>
      </c>
      <c r="K491" s="20">
        <f t="shared" si="98"/>
        <v>5</v>
      </c>
      <c r="L491" s="20" t="str">
        <f t="shared" si="99"/>
        <v>Se repite 5 veces</v>
      </c>
      <c r="M491" s="20" t="str">
        <f t="shared" si="100"/>
        <v>Peru Chef-PERU CHEF Maiz Chulpe 15oz x 12</v>
      </c>
      <c r="N491" s="20">
        <f t="shared" si="101"/>
        <v>5</v>
      </c>
      <c r="O491" s="20" t="str">
        <f t="shared" si="102"/>
        <v>Se repite 5 veces en Peru Chef</v>
      </c>
      <c r="P491" s="20" t="str">
        <f t="shared" si="103"/>
        <v>Peru Chef-PERU CHEF Maiz Chulpe 15oz x 12-28</v>
      </c>
      <c r="Q491" s="20">
        <f t="shared" si="104"/>
        <v>3</v>
      </c>
      <c r="R491" s="20" t="str">
        <f t="shared" si="105"/>
        <v>Se repite 3 veces el precio de 28</v>
      </c>
      <c r="S491" s="20" t="str">
        <f t="shared" si="106"/>
        <v>El producto PERU CHEF Maiz Chulpe 15oz x 12 Se repite 5 veces en Peru Chef, Se repite 3 veces el precio de 28</v>
      </c>
      <c r="T491" s="20" t="str">
        <f t="shared" si="107"/>
        <v>Peru Chef</v>
      </c>
      <c r="U491" s="20" t="str">
        <f t="shared" si="108"/>
        <v>PERU CHEF Maiz Chulpe 15oz x 12</v>
      </c>
      <c r="V491" s="22">
        <f t="shared" si="109"/>
        <v>28</v>
      </c>
      <c r="W491" t="str">
        <f t="shared" si="110"/>
        <v>Peru Chef 04/24/2025</v>
      </c>
      <c r="Z491">
        <f t="shared" si="111"/>
        <v>56</v>
      </c>
    </row>
    <row r="492" spans="1:26" hidden="1" x14ac:dyDescent="0.25">
      <c r="A492" s="2" t="s">
        <v>272</v>
      </c>
      <c r="B492" s="11" t="s">
        <v>471</v>
      </c>
      <c r="C492" s="11" t="s">
        <v>4</v>
      </c>
      <c r="D492" s="11" t="s">
        <v>472</v>
      </c>
      <c r="E492" s="11" t="s">
        <v>290</v>
      </c>
      <c r="F492" s="11" t="s">
        <v>451</v>
      </c>
      <c r="G492" s="12">
        <v>5</v>
      </c>
      <c r="H492" s="12">
        <v>30</v>
      </c>
      <c r="I492" s="12">
        <v>150</v>
      </c>
      <c r="J492" s="12">
        <v>12060.5</v>
      </c>
      <c r="K492" s="20">
        <f t="shared" si="98"/>
        <v>5</v>
      </c>
      <c r="L492" s="20" t="str">
        <f t="shared" si="99"/>
        <v>Se repite 5 veces</v>
      </c>
      <c r="M492" s="20" t="str">
        <f t="shared" si="100"/>
        <v>Peru Chef-PERU CHEF Maiz Chulpe 15oz x 12</v>
      </c>
      <c r="N492" s="20">
        <f t="shared" si="101"/>
        <v>5</v>
      </c>
      <c r="O492" s="20" t="str">
        <f t="shared" si="102"/>
        <v>Se repite 5 veces en Peru Chef</v>
      </c>
      <c r="P492" s="20" t="str">
        <f t="shared" si="103"/>
        <v>Peru Chef-PERU CHEF Maiz Chulpe 15oz x 12-30</v>
      </c>
      <c r="Q492" s="20">
        <f t="shared" si="104"/>
        <v>1</v>
      </c>
      <c r="R492" s="20" t="str">
        <f t="shared" si="105"/>
        <v>No se repite</v>
      </c>
      <c r="S492" s="20" t="str">
        <f t="shared" si="106"/>
        <v>El producto PERU CHEF Maiz Chulpe 15oz x 12 Se repite 5 veces en Peru Chef Una vez con el precio 30</v>
      </c>
      <c r="T492" s="20" t="str">
        <f t="shared" si="107"/>
        <v>Peru Chef</v>
      </c>
      <c r="U492" s="20" t="str">
        <f t="shared" si="108"/>
        <v>PERU CHEF Maiz Chulpe 15oz x 12</v>
      </c>
      <c r="V492" s="22">
        <f t="shared" si="109"/>
        <v>30</v>
      </c>
      <c r="W492" t="str">
        <f t="shared" si="110"/>
        <v>Peru Chef 08/11/2025</v>
      </c>
      <c r="Z492">
        <f t="shared" si="111"/>
        <v>150</v>
      </c>
    </row>
    <row r="493" spans="1:26" hidden="1" x14ac:dyDescent="0.25">
      <c r="A493" s="2" t="s">
        <v>272</v>
      </c>
      <c r="B493" s="11" t="s">
        <v>590</v>
      </c>
      <c r="C493" s="11" t="s">
        <v>4</v>
      </c>
      <c r="D493" s="11" t="s">
        <v>591</v>
      </c>
      <c r="E493" s="11" t="s">
        <v>290</v>
      </c>
      <c r="F493" s="11" t="s">
        <v>451</v>
      </c>
      <c r="G493" s="12">
        <v>5</v>
      </c>
      <c r="H493" s="12">
        <v>27</v>
      </c>
      <c r="I493" s="12">
        <v>135</v>
      </c>
      <c r="J493" s="12">
        <v>30892.9</v>
      </c>
      <c r="K493" s="20">
        <f t="shared" si="98"/>
        <v>5</v>
      </c>
      <c r="L493" s="20" t="str">
        <f t="shared" si="99"/>
        <v>Se repite 5 veces</v>
      </c>
      <c r="M493" s="20" t="str">
        <f t="shared" si="100"/>
        <v>Peru Chef-PERU CHEF Maiz Chulpe 15oz x 12</v>
      </c>
      <c r="N493" s="20">
        <f t="shared" si="101"/>
        <v>5</v>
      </c>
      <c r="O493" s="20" t="str">
        <f t="shared" si="102"/>
        <v>Se repite 5 veces en Peru Chef</v>
      </c>
      <c r="P493" s="20" t="str">
        <f t="shared" si="103"/>
        <v>Peru Chef-PERU CHEF Maiz Chulpe 15oz x 12-27</v>
      </c>
      <c r="Q493" s="20">
        <f t="shared" si="104"/>
        <v>1</v>
      </c>
      <c r="R493" s="20" t="str">
        <f t="shared" si="105"/>
        <v>No se repite</v>
      </c>
      <c r="S493" s="20" t="str">
        <f t="shared" si="106"/>
        <v>El producto PERU CHEF Maiz Chulpe 15oz x 12 Se repite 5 veces en Peru Chef Una vez con el precio 27</v>
      </c>
      <c r="T493" s="20" t="str">
        <f t="shared" si="107"/>
        <v>Peru Chef</v>
      </c>
      <c r="U493" s="20" t="str">
        <f t="shared" si="108"/>
        <v>PERU CHEF Maiz Chulpe 15oz x 12</v>
      </c>
      <c r="V493" s="22">
        <f t="shared" si="109"/>
        <v>27</v>
      </c>
      <c r="W493" t="str">
        <f t="shared" si="110"/>
        <v>Peru Chef 10/28/2025</v>
      </c>
      <c r="Z493">
        <f t="shared" si="111"/>
        <v>135</v>
      </c>
    </row>
    <row r="494" spans="1:26" hidden="1" x14ac:dyDescent="0.25">
      <c r="A494" s="2" t="s">
        <v>272</v>
      </c>
      <c r="B494" s="11" t="s">
        <v>273</v>
      </c>
      <c r="C494" s="11" t="s">
        <v>4</v>
      </c>
      <c r="D494" s="11" t="s">
        <v>5</v>
      </c>
      <c r="E494" s="11" t="s">
        <v>288</v>
      </c>
      <c r="F494" s="11" t="s">
        <v>289</v>
      </c>
      <c r="G494" s="12">
        <v>1</v>
      </c>
      <c r="H494" s="12">
        <v>48</v>
      </c>
      <c r="I494" s="12">
        <v>48</v>
      </c>
      <c r="J494" s="12">
        <v>327.5</v>
      </c>
      <c r="K494" s="20">
        <f t="shared" si="98"/>
        <v>3</v>
      </c>
      <c r="L494" s="20" t="str">
        <f t="shared" si="99"/>
        <v>Se repite 3 veces</v>
      </c>
      <c r="M494" s="20" t="str">
        <f t="shared" si="100"/>
        <v>Peru Chef-Peru Chef Maiz Morado 15 Oz X 22</v>
      </c>
      <c r="N494" s="20">
        <f t="shared" si="101"/>
        <v>3</v>
      </c>
      <c r="O494" s="20" t="str">
        <f t="shared" si="102"/>
        <v>Se repite 3 veces en Peru Chef</v>
      </c>
      <c r="P494" s="20" t="str">
        <f t="shared" si="103"/>
        <v>Peru Chef-Peru Chef Maiz Morado 15 Oz X 22-48</v>
      </c>
      <c r="Q494" s="20">
        <f t="shared" si="104"/>
        <v>3</v>
      </c>
      <c r="R494" s="20" t="str">
        <f t="shared" si="105"/>
        <v>Se repite 3 veces el precio de 48</v>
      </c>
      <c r="S494" s="20" t="str">
        <f t="shared" si="106"/>
        <v>El producto Peru Chef Maiz Morado 15 Oz X 22 Se repite 3 veces en Peru Chef, Se repite 3 veces el precio de 48</v>
      </c>
      <c r="T494" s="20" t="str">
        <f t="shared" si="107"/>
        <v>Peru Chef</v>
      </c>
      <c r="U494" s="20" t="str">
        <f t="shared" si="108"/>
        <v>Peru Chef Maiz Morado 15 Oz X 22</v>
      </c>
      <c r="V494" s="22">
        <f t="shared" si="109"/>
        <v>48</v>
      </c>
      <c r="W494" t="str">
        <f t="shared" si="110"/>
        <v>Peru Chef 03/26/2025</v>
      </c>
      <c r="Z494">
        <f t="shared" si="111"/>
        <v>48</v>
      </c>
    </row>
    <row r="495" spans="1:26" hidden="1" x14ac:dyDescent="0.25">
      <c r="A495" s="2" t="s">
        <v>272</v>
      </c>
      <c r="B495" s="11" t="s">
        <v>398</v>
      </c>
      <c r="C495" s="11" t="s">
        <v>4</v>
      </c>
      <c r="D495" s="11" t="s">
        <v>399</v>
      </c>
      <c r="E495" s="11" t="s">
        <v>288</v>
      </c>
      <c r="F495" s="11" t="s">
        <v>289</v>
      </c>
      <c r="G495" s="12">
        <v>1</v>
      </c>
      <c r="H495" s="12">
        <v>48</v>
      </c>
      <c r="I495" s="12">
        <v>48</v>
      </c>
      <c r="J495" s="12">
        <v>2573.6999999999998</v>
      </c>
      <c r="K495" s="20">
        <f t="shared" si="98"/>
        <v>3</v>
      </c>
      <c r="L495" s="20" t="str">
        <f t="shared" si="99"/>
        <v>Se repite 3 veces</v>
      </c>
      <c r="M495" s="20" t="str">
        <f t="shared" si="100"/>
        <v>Peru Chef-Peru Chef Maiz Morado 15 Oz X 22</v>
      </c>
      <c r="N495" s="20">
        <f t="shared" si="101"/>
        <v>3</v>
      </c>
      <c r="O495" s="20" t="str">
        <f t="shared" si="102"/>
        <v>Se repite 3 veces en Peru Chef</v>
      </c>
      <c r="P495" s="20" t="str">
        <f t="shared" si="103"/>
        <v>Peru Chef-Peru Chef Maiz Morado 15 Oz X 22-48</v>
      </c>
      <c r="Q495" s="20">
        <f t="shared" si="104"/>
        <v>3</v>
      </c>
      <c r="R495" s="20" t="str">
        <f t="shared" si="105"/>
        <v>Se repite 3 veces el precio de 48</v>
      </c>
      <c r="S495" s="20" t="str">
        <f t="shared" si="106"/>
        <v>El producto Peru Chef Maiz Morado 15 Oz X 22 Se repite 3 veces en Peru Chef, Se repite 3 veces el precio de 48</v>
      </c>
      <c r="T495" s="20" t="str">
        <f t="shared" si="107"/>
        <v>Peru Chef</v>
      </c>
      <c r="U495" s="20" t="str">
        <f t="shared" si="108"/>
        <v>Peru Chef Maiz Morado 15 Oz X 22</v>
      </c>
      <c r="V495" s="22">
        <f t="shared" si="109"/>
        <v>48</v>
      </c>
      <c r="W495" t="str">
        <f t="shared" si="110"/>
        <v>Peru Chef 04/10/2025</v>
      </c>
      <c r="Z495">
        <f t="shared" si="111"/>
        <v>48</v>
      </c>
    </row>
    <row r="496" spans="1:26" hidden="1" x14ac:dyDescent="0.25">
      <c r="A496" s="2" t="s">
        <v>272</v>
      </c>
      <c r="B496" s="11" t="s">
        <v>408</v>
      </c>
      <c r="C496" s="11" t="s">
        <v>4</v>
      </c>
      <c r="D496" s="11" t="s">
        <v>409</v>
      </c>
      <c r="E496" s="11" t="s">
        <v>288</v>
      </c>
      <c r="F496" s="11" t="s">
        <v>289</v>
      </c>
      <c r="G496" s="12">
        <v>1</v>
      </c>
      <c r="H496" s="12">
        <v>48</v>
      </c>
      <c r="I496" s="12">
        <v>48</v>
      </c>
      <c r="J496" s="12">
        <v>5812.6</v>
      </c>
      <c r="K496" s="20">
        <f t="shared" si="98"/>
        <v>3</v>
      </c>
      <c r="L496" s="20" t="str">
        <f t="shared" si="99"/>
        <v>Se repite 3 veces</v>
      </c>
      <c r="M496" s="20" t="str">
        <f t="shared" si="100"/>
        <v>Peru Chef-Peru Chef Maiz Morado 15 Oz X 22</v>
      </c>
      <c r="N496" s="20">
        <f t="shared" si="101"/>
        <v>3</v>
      </c>
      <c r="O496" s="20" t="str">
        <f t="shared" si="102"/>
        <v>Se repite 3 veces en Peru Chef</v>
      </c>
      <c r="P496" s="20" t="str">
        <f t="shared" si="103"/>
        <v>Peru Chef-Peru Chef Maiz Morado 15 Oz X 22-48</v>
      </c>
      <c r="Q496" s="20">
        <f t="shared" si="104"/>
        <v>3</v>
      </c>
      <c r="R496" s="20" t="str">
        <f t="shared" si="105"/>
        <v>Se repite 3 veces el precio de 48</v>
      </c>
      <c r="S496" s="20" t="str">
        <f t="shared" si="106"/>
        <v>El producto Peru Chef Maiz Morado 15 Oz X 22 Se repite 3 veces en Peru Chef, Se repite 3 veces el precio de 48</v>
      </c>
      <c r="T496" s="20" t="str">
        <f t="shared" si="107"/>
        <v>Peru Chef</v>
      </c>
      <c r="U496" s="20" t="str">
        <f t="shared" si="108"/>
        <v>Peru Chef Maiz Morado 15 Oz X 22</v>
      </c>
      <c r="V496" s="22">
        <f t="shared" si="109"/>
        <v>48</v>
      </c>
      <c r="W496" t="str">
        <f t="shared" si="110"/>
        <v>Peru Chef 04/13/2025</v>
      </c>
      <c r="Z496">
        <f t="shared" si="111"/>
        <v>48</v>
      </c>
    </row>
    <row r="497" spans="1:26" hidden="1" x14ac:dyDescent="0.25">
      <c r="A497" s="2" t="s">
        <v>272</v>
      </c>
      <c r="B497" s="11" t="s">
        <v>273</v>
      </c>
      <c r="C497" s="11" t="s">
        <v>4</v>
      </c>
      <c r="D497" s="11" t="s">
        <v>5</v>
      </c>
      <c r="E497" s="11" t="s">
        <v>294</v>
      </c>
      <c r="F497" s="11" t="s">
        <v>295</v>
      </c>
      <c r="G497" s="12">
        <v>1</v>
      </c>
      <c r="H497" s="12">
        <v>30</v>
      </c>
      <c r="I497" s="12">
        <v>30</v>
      </c>
      <c r="J497" s="12">
        <v>413.5</v>
      </c>
      <c r="K497" s="20">
        <f t="shared" si="98"/>
        <v>4</v>
      </c>
      <c r="L497" s="20" t="str">
        <f t="shared" si="99"/>
        <v>Se repite 4 veces</v>
      </c>
      <c r="M497" s="20" t="str">
        <f t="shared" si="100"/>
        <v>Peru Chef-Peru Chef Maiz Mote Pelado 15 Oz X 12</v>
      </c>
      <c r="N497" s="20">
        <f t="shared" si="101"/>
        <v>4</v>
      </c>
      <c r="O497" s="20" t="str">
        <f t="shared" si="102"/>
        <v>Se repite 4 veces en Peru Chef</v>
      </c>
      <c r="P497" s="20" t="str">
        <f t="shared" si="103"/>
        <v>Peru Chef-Peru Chef Maiz Mote Pelado 15 Oz X 12-30</v>
      </c>
      <c r="Q497" s="20">
        <f t="shared" si="104"/>
        <v>2</v>
      </c>
      <c r="R497" s="20" t="str">
        <f t="shared" si="105"/>
        <v>Se repite 2 veces el precio de 30</v>
      </c>
      <c r="S497" s="20" t="str">
        <f t="shared" si="106"/>
        <v>El producto Peru Chef Maiz Mote Pelado 15 Oz X 12 Se repite 4 veces en Peru Chef, Se repite 2 veces el precio de 30</v>
      </c>
      <c r="T497" s="20" t="str">
        <f t="shared" si="107"/>
        <v>Peru Chef</v>
      </c>
      <c r="U497" s="20" t="str">
        <f t="shared" si="108"/>
        <v>Peru Chef Maiz Mote Pelado 15 Oz X 12</v>
      </c>
      <c r="V497" s="22">
        <f t="shared" si="109"/>
        <v>30</v>
      </c>
      <c r="W497" t="str">
        <f t="shared" si="110"/>
        <v>Peru Chef 03/26/2025</v>
      </c>
      <c r="Z497">
        <f t="shared" si="111"/>
        <v>30</v>
      </c>
    </row>
    <row r="498" spans="1:26" hidden="1" x14ac:dyDescent="0.25">
      <c r="A498" s="2" t="s">
        <v>272</v>
      </c>
      <c r="B498" s="11" t="s">
        <v>398</v>
      </c>
      <c r="C498" s="11" t="s">
        <v>4</v>
      </c>
      <c r="D498" s="11" t="s">
        <v>399</v>
      </c>
      <c r="E498" s="11" t="s">
        <v>294</v>
      </c>
      <c r="F498" s="11" t="s">
        <v>295</v>
      </c>
      <c r="G498" s="12">
        <v>1</v>
      </c>
      <c r="H498" s="12">
        <v>30</v>
      </c>
      <c r="I498" s="12">
        <v>30</v>
      </c>
      <c r="J498" s="12">
        <v>2659.7</v>
      </c>
      <c r="K498" s="20">
        <f t="shared" si="98"/>
        <v>4</v>
      </c>
      <c r="L498" s="20" t="str">
        <f t="shared" si="99"/>
        <v>Se repite 4 veces</v>
      </c>
      <c r="M498" s="20" t="str">
        <f t="shared" si="100"/>
        <v>Peru Chef-Peru Chef Maiz Mote Pelado 15 Oz X 12</v>
      </c>
      <c r="N498" s="20">
        <f t="shared" si="101"/>
        <v>4</v>
      </c>
      <c r="O498" s="20" t="str">
        <f t="shared" si="102"/>
        <v>Se repite 4 veces en Peru Chef</v>
      </c>
      <c r="P498" s="20" t="str">
        <f t="shared" si="103"/>
        <v>Peru Chef-Peru Chef Maiz Mote Pelado 15 Oz X 12-30</v>
      </c>
      <c r="Q498" s="20">
        <f t="shared" si="104"/>
        <v>2</v>
      </c>
      <c r="R498" s="20" t="str">
        <f t="shared" si="105"/>
        <v>Se repite 2 veces el precio de 30</v>
      </c>
      <c r="S498" s="20" t="str">
        <f t="shared" si="106"/>
        <v>El producto Peru Chef Maiz Mote Pelado 15 Oz X 12 Se repite 4 veces en Peru Chef, Se repite 2 veces el precio de 30</v>
      </c>
      <c r="T498" s="20" t="str">
        <f t="shared" si="107"/>
        <v>Peru Chef</v>
      </c>
      <c r="U498" s="20" t="str">
        <f t="shared" si="108"/>
        <v>Peru Chef Maiz Mote Pelado 15 Oz X 12</v>
      </c>
      <c r="V498" s="22">
        <f t="shared" si="109"/>
        <v>30</v>
      </c>
      <c r="W498" t="str">
        <f t="shared" si="110"/>
        <v>Peru Chef 04/10/2025</v>
      </c>
      <c r="Z498">
        <f t="shared" si="111"/>
        <v>30</v>
      </c>
    </row>
    <row r="499" spans="1:26" hidden="1" x14ac:dyDescent="0.25">
      <c r="A499" s="2" t="s">
        <v>272</v>
      </c>
      <c r="B499" s="11" t="s">
        <v>512</v>
      </c>
      <c r="C499" s="11" t="s">
        <v>4</v>
      </c>
      <c r="D499" s="11" t="s">
        <v>513</v>
      </c>
      <c r="E499" s="11" t="s">
        <v>294</v>
      </c>
      <c r="F499" s="11" t="s">
        <v>295</v>
      </c>
      <c r="G499" s="12">
        <v>2</v>
      </c>
      <c r="H499" s="12">
        <v>36</v>
      </c>
      <c r="I499" s="12">
        <v>72</v>
      </c>
      <c r="J499" s="12">
        <v>16585.5</v>
      </c>
      <c r="K499" s="20">
        <f t="shared" si="98"/>
        <v>4</v>
      </c>
      <c r="L499" s="20" t="str">
        <f t="shared" si="99"/>
        <v>Se repite 4 veces</v>
      </c>
      <c r="M499" s="20" t="str">
        <f t="shared" si="100"/>
        <v>Peru Chef-Peru Chef Maiz Mote Pelado 15 Oz X 12</v>
      </c>
      <c r="N499" s="20">
        <f t="shared" si="101"/>
        <v>4</v>
      </c>
      <c r="O499" s="20" t="str">
        <f t="shared" si="102"/>
        <v>Se repite 4 veces en Peru Chef</v>
      </c>
      <c r="P499" s="20" t="str">
        <f t="shared" si="103"/>
        <v>Peru Chef-Peru Chef Maiz Mote Pelado 15 Oz X 12-36</v>
      </c>
      <c r="Q499" s="20">
        <f t="shared" si="104"/>
        <v>2</v>
      </c>
      <c r="R499" s="20" t="str">
        <f t="shared" si="105"/>
        <v>Se repite 2 veces el precio de 36</v>
      </c>
      <c r="S499" s="20" t="str">
        <f t="shared" si="106"/>
        <v>El producto Peru Chef Maiz Mote Pelado 15 Oz X 12 Se repite 4 veces en Peru Chef, Se repite 2 veces el precio de 36</v>
      </c>
      <c r="T499" s="20" t="str">
        <f t="shared" si="107"/>
        <v>Peru Chef</v>
      </c>
      <c r="U499" s="20" t="str">
        <f t="shared" si="108"/>
        <v>Peru Chef Maiz Mote Pelado 15 Oz X 12</v>
      </c>
      <c r="V499" s="22">
        <f t="shared" si="109"/>
        <v>36</v>
      </c>
      <c r="W499" t="str">
        <f t="shared" si="110"/>
        <v>Peru Chef 08/28/2025</v>
      </c>
      <c r="Z499">
        <f t="shared" si="111"/>
        <v>72</v>
      </c>
    </row>
    <row r="500" spans="1:26" hidden="1" x14ac:dyDescent="0.25">
      <c r="A500" s="2" t="s">
        <v>272</v>
      </c>
      <c r="B500" s="11" t="s">
        <v>563</v>
      </c>
      <c r="C500" s="11" t="s">
        <v>4</v>
      </c>
      <c r="D500" s="11" t="s">
        <v>564</v>
      </c>
      <c r="E500" s="11" t="s">
        <v>294</v>
      </c>
      <c r="F500" s="11" t="s">
        <v>295</v>
      </c>
      <c r="G500" s="12">
        <v>4</v>
      </c>
      <c r="H500" s="12">
        <v>36</v>
      </c>
      <c r="I500" s="12">
        <v>144</v>
      </c>
      <c r="J500" s="12">
        <v>21126</v>
      </c>
      <c r="K500" s="20">
        <f t="shared" si="98"/>
        <v>4</v>
      </c>
      <c r="L500" s="20" t="str">
        <f t="shared" si="99"/>
        <v>Se repite 4 veces</v>
      </c>
      <c r="M500" s="20" t="str">
        <f t="shared" si="100"/>
        <v>Peru Chef-Peru Chef Maiz Mote Pelado 15 Oz X 12</v>
      </c>
      <c r="N500" s="20">
        <f t="shared" si="101"/>
        <v>4</v>
      </c>
      <c r="O500" s="20" t="str">
        <f t="shared" si="102"/>
        <v>Se repite 4 veces en Peru Chef</v>
      </c>
      <c r="P500" s="20" t="str">
        <f t="shared" si="103"/>
        <v>Peru Chef-Peru Chef Maiz Mote Pelado 15 Oz X 12-36</v>
      </c>
      <c r="Q500" s="20">
        <f t="shared" si="104"/>
        <v>2</v>
      </c>
      <c r="R500" s="20" t="str">
        <f t="shared" si="105"/>
        <v>Se repite 2 veces el precio de 36</v>
      </c>
      <c r="S500" s="20" t="str">
        <f t="shared" si="106"/>
        <v>El producto Peru Chef Maiz Mote Pelado 15 Oz X 12 Se repite 4 veces en Peru Chef, Se repite 2 veces el precio de 36</v>
      </c>
      <c r="T500" s="20" t="str">
        <f t="shared" si="107"/>
        <v>Peru Chef</v>
      </c>
      <c r="U500" s="20" t="str">
        <f t="shared" si="108"/>
        <v>Peru Chef Maiz Mote Pelado 15 Oz X 12</v>
      </c>
      <c r="V500" s="22">
        <f t="shared" si="109"/>
        <v>36</v>
      </c>
      <c r="W500" t="str">
        <f t="shared" si="110"/>
        <v>Peru Chef 09/11/2025</v>
      </c>
      <c r="Z500">
        <f t="shared" si="111"/>
        <v>144</v>
      </c>
    </row>
    <row r="501" spans="1:26" hidden="1" x14ac:dyDescent="0.25">
      <c r="A501" s="2" t="s">
        <v>272</v>
      </c>
      <c r="B501" s="11" t="s">
        <v>273</v>
      </c>
      <c r="C501" s="11" t="s">
        <v>4</v>
      </c>
      <c r="D501" s="11" t="s">
        <v>5</v>
      </c>
      <c r="E501" s="11" t="s">
        <v>274</v>
      </c>
      <c r="F501" s="11" t="s">
        <v>275</v>
      </c>
      <c r="G501" s="12">
        <v>1</v>
      </c>
      <c r="H501" s="12">
        <v>32.5</v>
      </c>
      <c r="I501" s="12">
        <v>32.5</v>
      </c>
      <c r="J501" s="12">
        <v>32.5</v>
      </c>
      <c r="K501" s="20">
        <f t="shared" si="98"/>
        <v>1</v>
      </c>
      <c r="L501" s="20" t="str">
        <f t="shared" si="99"/>
        <v>No se repite</v>
      </c>
      <c r="M501" s="20" t="str">
        <f t="shared" si="100"/>
        <v>Peru Chef-Peru Chef Maracuya jugo / Passion friut juice 1Lt x 12</v>
      </c>
      <c r="N501" s="20">
        <f t="shared" si="101"/>
        <v>1</v>
      </c>
      <c r="O501" s="20" t="str">
        <f t="shared" si="102"/>
        <v>No se repite en proveedor</v>
      </c>
      <c r="P501" s="20" t="str">
        <f t="shared" si="103"/>
        <v>Peru Chef-Peru Chef Maracuya jugo / Passion friut juice 1Lt x 12-32.5</v>
      </c>
      <c r="Q501" s="20">
        <f t="shared" si="104"/>
        <v>1</v>
      </c>
      <c r="R501" s="20" t="str">
        <f t="shared" si="105"/>
        <v>No se repite</v>
      </c>
      <c r="S501" s="20" t="str">
        <f t="shared" si="106"/>
        <v>El producto Peru Chef Maracuya jugo / Passion friut juice 1Lt x 12 No se repite en proveedor Una vez con el precio 32.5</v>
      </c>
      <c r="T501" s="20" t="str">
        <f t="shared" si="107"/>
        <v>Peru Chef</v>
      </c>
      <c r="U501" s="20" t="str">
        <f t="shared" si="108"/>
        <v>Peru Chef Maracuya jugo / Passion friut juice 1Lt x 12</v>
      </c>
      <c r="V501" s="22">
        <f t="shared" si="109"/>
        <v>32.5</v>
      </c>
      <c r="W501" t="str">
        <f t="shared" si="110"/>
        <v>Peru Chef 03/26/2025</v>
      </c>
      <c r="Z501">
        <f t="shared" si="111"/>
        <v>32.5</v>
      </c>
    </row>
    <row r="502" spans="1:26" hidden="1" x14ac:dyDescent="0.25">
      <c r="A502" s="2" t="s">
        <v>272</v>
      </c>
      <c r="B502" s="11" t="s">
        <v>273</v>
      </c>
      <c r="C502" s="11" t="s">
        <v>4</v>
      </c>
      <c r="D502" s="11" t="s">
        <v>5</v>
      </c>
      <c r="E502" s="11" t="s">
        <v>343</v>
      </c>
      <c r="F502" s="11" t="s">
        <v>344</v>
      </c>
      <c r="G502" s="12">
        <v>1</v>
      </c>
      <c r="H502" s="12">
        <v>50</v>
      </c>
      <c r="I502" s="12">
        <v>50</v>
      </c>
      <c r="J502" s="12">
        <v>1250.1999999999998</v>
      </c>
      <c r="K502" s="20">
        <f t="shared" si="98"/>
        <v>4</v>
      </c>
      <c r="L502" s="20" t="str">
        <f t="shared" si="99"/>
        <v>Se repite 4 veces</v>
      </c>
      <c r="M502" s="20" t="str">
        <f t="shared" si="100"/>
        <v>Peru Chef-Peru Chef Miel de Chancaca 17oz x 12</v>
      </c>
      <c r="N502" s="20">
        <f t="shared" si="101"/>
        <v>4</v>
      </c>
      <c r="O502" s="20" t="str">
        <f t="shared" si="102"/>
        <v>Se repite 4 veces en Peru Chef</v>
      </c>
      <c r="P502" s="20" t="str">
        <f t="shared" si="103"/>
        <v>Peru Chef-Peru Chef Miel de Chancaca 17oz x 12-50</v>
      </c>
      <c r="Q502" s="20">
        <f t="shared" si="104"/>
        <v>2</v>
      </c>
      <c r="R502" s="20" t="str">
        <f t="shared" si="105"/>
        <v>Se repite 2 veces el precio de 50</v>
      </c>
      <c r="S502" s="20" t="str">
        <f t="shared" si="106"/>
        <v>El producto Peru Chef Miel de Chancaca 17oz x 12 Se repite 4 veces en Peru Chef, Se repite 2 veces el precio de 50</v>
      </c>
      <c r="T502" s="20" t="str">
        <f t="shared" si="107"/>
        <v>Peru Chef</v>
      </c>
      <c r="U502" s="20" t="str">
        <f t="shared" si="108"/>
        <v>Peru Chef Miel de Chancaca 17oz x 12</v>
      </c>
      <c r="V502" s="22">
        <f t="shared" si="109"/>
        <v>50</v>
      </c>
      <c r="W502" t="str">
        <f t="shared" si="110"/>
        <v>Peru Chef 03/26/2025</v>
      </c>
      <c r="Z502">
        <f t="shared" si="111"/>
        <v>50</v>
      </c>
    </row>
    <row r="503" spans="1:26" hidden="1" x14ac:dyDescent="0.25">
      <c r="A503" s="2" t="s">
        <v>272</v>
      </c>
      <c r="B503" s="11" t="s">
        <v>398</v>
      </c>
      <c r="C503" s="11" t="s">
        <v>4</v>
      </c>
      <c r="D503" s="11" t="s">
        <v>399</v>
      </c>
      <c r="E503" s="11" t="s">
        <v>343</v>
      </c>
      <c r="F503" s="11" t="s">
        <v>344</v>
      </c>
      <c r="G503" s="12">
        <v>1</v>
      </c>
      <c r="H503" s="12">
        <v>50</v>
      </c>
      <c r="I503" s="12">
        <v>50</v>
      </c>
      <c r="J503" s="12">
        <v>3401</v>
      </c>
      <c r="K503" s="20">
        <f t="shared" si="98"/>
        <v>4</v>
      </c>
      <c r="L503" s="20" t="str">
        <f t="shared" si="99"/>
        <v>Se repite 4 veces</v>
      </c>
      <c r="M503" s="20" t="str">
        <f t="shared" si="100"/>
        <v>Peru Chef-Peru Chef Miel de Chancaca 17oz x 12</v>
      </c>
      <c r="N503" s="20">
        <f t="shared" si="101"/>
        <v>4</v>
      </c>
      <c r="O503" s="20" t="str">
        <f t="shared" si="102"/>
        <v>Se repite 4 veces en Peru Chef</v>
      </c>
      <c r="P503" s="20" t="str">
        <f t="shared" si="103"/>
        <v>Peru Chef-Peru Chef Miel de Chancaca 17oz x 12-50</v>
      </c>
      <c r="Q503" s="20">
        <f t="shared" si="104"/>
        <v>2</v>
      </c>
      <c r="R503" s="20" t="str">
        <f t="shared" si="105"/>
        <v>Se repite 2 veces el precio de 50</v>
      </c>
      <c r="S503" s="20" t="str">
        <f t="shared" si="106"/>
        <v>El producto Peru Chef Miel de Chancaca 17oz x 12 Se repite 4 veces en Peru Chef, Se repite 2 veces el precio de 50</v>
      </c>
      <c r="T503" s="20" t="str">
        <f t="shared" si="107"/>
        <v>Peru Chef</v>
      </c>
      <c r="U503" s="20" t="str">
        <f t="shared" si="108"/>
        <v>Peru Chef Miel de Chancaca 17oz x 12</v>
      </c>
      <c r="V503" s="22">
        <f t="shared" si="109"/>
        <v>50</v>
      </c>
      <c r="W503" t="str">
        <f t="shared" si="110"/>
        <v>Peru Chef 04/10/2025</v>
      </c>
      <c r="Z503">
        <f t="shared" si="111"/>
        <v>50</v>
      </c>
    </row>
    <row r="504" spans="1:26" hidden="1" x14ac:dyDescent="0.25">
      <c r="A504" s="2" t="s">
        <v>272</v>
      </c>
      <c r="B504" s="11" t="s">
        <v>512</v>
      </c>
      <c r="C504" s="11" t="s">
        <v>4</v>
      </c>
      <c r="D504" s="11" t="s">
        <v>513</v>
      </c>
      <c r="E504" s="11" t="s">
        <v>343</v>
      </c>
      <c r="F504" s="11" t="s">
        <v>544</v>
      </c>
      <c r="G504" s="12">
        <v>2</v>
      </c>
      <c r="H504" s="12">
        <v>58</v>
      </c>
      <c r="I504" s="12">
        <v>116</v>
      </c>
      <c r="J504" s="12">
        <v>18442.5</v>
      </c>
      <c r="K504" s="20">
        <f t="shared" si="98"/>
        <v>4</v>
      </c>
      <c r="L504" s="20" t="str">
        <f t="shared" si="99"/>
        <v>Se repite 4 veces</v>
      </c>
      <c r="M504" s="20" t="str">
        <f t="shared" si="100"/>
        <v>Peru Chef-Peru Chef Miel de Chancaca 17oz x 12</v>
      </c>
      <c r="N504" s="20">
        <f t="shared" si="101"/>
        <v>4</v>
      </c>
      <c r="O504" s="20" t="str">
        <f t="shared" si="102"/>
        <v>Se repite 4 veces en Peru Chef</v>
      </c>
      <c r="P504" s="20" t="str">
        <f t="shared" si="103"/>
        <v>Peru Chef-Peru Chef Miel de Chancaca 17oz x 12-58</v>
      </c>
      <c r="Q504" s="20">
        <f t="shared" si="104"/>
        <v>1</v>
      </c>
      <c r="R504" s="20" t="str">
        <f t="shared" si="105"/>
        <v>No se repite</v>
      </c>
      <c r="S504" s="20" t="str">
        <f t="shared" si="106"/>
        <v>El producto Peru Chef Miel de Chancaca 17oz x 12 Se repite 4 veces en Peru Chef Una vez con el precio 58</v>
      </c>
      <c r="T504" s="20" t="str">
        <f t="shared" si="107"/>
        <v>Peru Chef</v>
      </c>
      <c r="U504" s="20" t="str">
        <f t="shared" si="108"/>
        <v>Peru Chef Miel de Chancaca 17oz x 12</v>
      </c>
      <c r="V504" s="22">
        <f t="shared" si="109"/>
        <v>58</v>
      </c>
      <c r="W504" t="str">
        <f t="shared" si="110"/>
        <v>Peru Chef 08/28/2025</v>
      </c>
      <c r="Z504">
        <f t="shared" si="111"/>
        <v>116</v>
      </c>
    </row>
    <row r="505" spans="1:26" hidden="1" x14ac:dyDescent="0.25">
      <c r="A505" s="2" t="s">
        <v>272</v>
      </c>
      <c r="B505" s="11" t="s">
        <v>619</v>
      </c>
      <c r="C505" s="11" t="s">
        <v>4</v>
      </c>
      <c r="D505" s="11" t="s">
        <v>621</v>
      </c>
      <c r="E505" s="11" t="s">
        <v>343</v>
      </c>
      <c r="F505" s="11" t="s">
        <v>544</v>
      </c>
      <c r="G505" s="12">
        <v>1</v>
      </c>
      <c r="H505" s="12">
        <v>52.2</v>
      </c>
      <c r="I505" s="12">
        <v>52.2</v>
      </c>
      <c r="J505" s="12">
        <v>41970.549999999988</v>
      </c>
      <c r="K505" s="20">
        <f t="shared" si="98"/>
        <v>4</v>
      </c>
      <c r="L505" s="20" t="str">
        <f t="shared" si="99"/>
        <v>Se repite 4 veces</v>
      </c>
      <c r="M505" s="20" t="str">
        <f t="shared" si="100"/>
        <v>Peru Chef-Peru Chef Miel de Chancaca 17oz x 12</v>
      </c>
      <c r="N505" s="20">
        <f t="shared" si="101"/>
        <v>4</v>
      </c>
      <c r="O505" s="20" t="str">
        <f t="shared" si="102"/>
        <v>Se repite 4 veces en Peru Chef</v>
      </c>
      <c r="P505" s="20" t="str">
        <f t="shared" si="103"/>
        <v>Peru Chef-Peru Chef Miel de Chancaca 17oz x 12-52.2</v>
      </c>
      <c r="Q505" s="20">
        <f t="shared" si="104"/>
        <v>1</v>
      </c>
      <c r="R505" s="20" t="str">
        <f t="shared" si="105"/>
        <v>No se repite</v>
      </c>
      <c r="S505" s="20" t="str">
        <f t="shared" si="106"/>
        <v>El producto Peru Chef Miel de Chancaca 17oz x 12 Se repite 4 veces en Peru Chef Una vez con el precio 52.2</v>
      </c>
      <c r="T505" s="20" t="str">
        <f t="shared" si="107"/>
        <v>Peru Chef</v>
      </c>
      <c r="U505" s="20" t="str">
        <f t="shared" si="108"/>
        <v>Peru Chef Miel de Chancaca 17oz x 12</v>
      </c>
      <c r="V505" s="22">
        <f t="shared" si="109"/>
        <v>52.2</v>
      </c>
      <c r="W505" t="str">
        <f t="shared" si="110"/>
        <v>Peru Chef 12/09/2025</v>
      </c>
      <c r="Z505">
        <f t="shared" si="111"/>
        <v>52.2</v>
      </c>
    </row>
    <row r="506" spans="1:26" hidden="1" x14ac:dyDescent="0.25">
      <c r="A506" s="2" t="s">
        <v>272</v>
      </c>
      <c r="B506" s="11" t="s">
        <v>572</v>
      </c>
      <c r="C506" s="11" t="s">
        <v>4</v>
      </c>
      <c r="D506" s="11" t="s">
        <v>573</v>
      </c>
      <c r="E506" s="11" t="s">
        <v>576</v>
      </c>
      <c r="F506" s="11" t="s">
        <v>577</v>
      </c>
      <c r="G506" s="12">
        <v>2</v>
      </c>
      <c r="H506" s="12">
        <v>21.5</v>
      </c>
      <c r="I506" s="12">
        <v>43</v>
      </c>
      <c r="J506" s="12">
        <v>27186</v>
      </c>
      <c r="K506" s="20">
        <f t="shared" si="98"/>
        <v>1</v>
      </c>
      <c r="L506" s="20" t="str">
        <f t="shared" si="99"/>
        <v>No se repite</v>
      </c>
      <c r="M506" s="20" t="str">
        <f t="shared" si="100"/>
        <v>Peru Chef-PERU CHEF Muña x 20 filtrante</v>
      </c>
      <c r="N506" s="20">
        <f t="shared" si="101"/>
        <v>1</v>
      </c>
      <c r="O506" s="20" t="str">
        <f t="shared" si="102"/>
        <v>No se repite en proveedor</v>
      </c>
      <c r="P506" s="20" t="str">
        <f t="shared" si="103"/>
        <v>Peru Chef-PERU CHEF Muña x 20 filtrante-21.5</v>
      </c>
      <c r="Q506" s="20">
        <f t="shared" si="104"/>
        <v>1</v>
      </c>
      <c r="R506" s="20" t="str">
        <f t="shared" si="105"/>
        <v>No se repite</v>
      </c>
      <c r="S506" s="20" t="str">
        <f t="shared" si="106"/>
        <v>El producto PERU CHEF Muña x 20 filtrante No se repite en proveedor Una vez con el precio 21.5</v>
      </c>
      <c r="T506" s="20" t="str">
        <f t="shared" si="107"/>
        <v>Peru Chef</v>
      </c>
      <c r="U506" s="20" t="str">
        <f t="shared" si="108"/>
        <v>PERU CHEF Muña x 20 filtrante</v>
      </c>
      <c r="V506" s="22">
        <f t="shared" si="109"/>
        <v>21.5</v>
      </c>
      <c r="W506" t="str">
        <f t="shared" si="110"/>
        <v>Peru Chef 10/09/2025</v>
      </c>
      <c r="Z506">
        <f t="shared" si="111"/>
        <v>43</v>
      </c>
    </row>
    <row r="507" spans="1:26" hidden="1" x14ac:dyDescent="0.25">
      <c r="A507" s="2" t="s">
        <v>272</v>
      </c>
      <c r="B507" s="11" t="s">
        <v>273</v>
      </c>
      <c r="C507" s="11" t="s">
        <v>4</v>
      </c>
      <c r="D507" s="11" t="s">
        <v>5</v>
      </c>
      <c r="E507" s="11" t="s">
        <v>392</v>
      </c>
      <c r="F507" s="11" t="s">
        <v>393</v>
      </c>
      <c r="G507" s="12">
        <v>1</v>
      </c>
      <c r="H507" s="12">
        <v>80</v>
      </c>
      <c r="I507" s="12">
        <v>80</v>
      </c>
      <c r="J507" s="12">
        <v>2158.6999999999998</v>
      </c>
      <c r="K507" s="20">
        <f t="shared" si="98"/>
        <v>2</v>
      </c>
      <c r="L507" s="20" t="str">
        <f t="shared" si="99"/>
        <v>Se repite 2 veces</v>
      </c>
      <c r="M507" s="20" t="str">
        <f t="shared" si="100"/>
        <v>Peru Chef-Peru Chef Olluco Cortado 1 Lb X 20</v>
      </c>
      <c r="N507" s="20">
        <f t="shared" si="101"/>
        <v>2</v>
      </c>
      <c r="O507" s="20" t="str">
        <f t="shared" si="102"/>
        <v>Se repite 2 veces en Peru Chef</v>
      </c>
      <c r="P507" s="20" t="str">
        <f t="shared" si="103"/>
        <v>Peru Chef-Peru Chef Olluco Cortado 1 Lb X 20-80</v>
      </c>
      <c r="Q507" s="20">
        <f t="shared" si="104"/>
        <v>2</v>
      </c>
      <c r="R507" s="20" t="str">
        <f t="shared" si="105"/>
        <v>Se repite 2 veces el precio de 80</v>
      </c>
      <c r="S507" s="20" t="str">
        <f t="shared" si="106"/>
        <v>El producto Peru Chef Olluco Cortado 1 Lb X 20 Se repite 2 veces en Peru Chef, Se repite 2 veces el precio de 80</v>
      </c>
      <c r="T507" s="20" t="str">
        <f t="shared" si="107"/>
        <v>Peru Chef</v>
      </c>
      <c r="U507" s="20" t="str">
        <f t="shared" si="108"/>
        <v>Peru Chef Olluco Cortado 1 Lb X 20</v>
      </c>
      <c r="V507" s="22">
        <f t="shared" si="109"/>
        <v>80</v>
      </c>
      <c r="W507" t="str">
        <f t="shared" si="110"/>
        <v>Peru Chef 03/26/2025</v>
      </c>
      <c r="Z507">
        <f t="shared" si="111"/>
        <v>80</v>
      </c>
    </row>
    <row r="508" spans="1:26" hidden="1" x14ac:dyDescent="0.25">
      <c r="A508" s="2" t="s">
        <v>272</v>
      </c>
      <c r="B508" s="11" t="s">
        <v>398</v>
      </c>
      <c r="C508" s="11" t="s">
        <v>4</v>
      </c>
      <c r="D508" s="11" t="s">
        <v>399</v>
      </c>
      <c r="E508" s="11" t="s">
        <v>392</v>
      </c>
      <c r="F508" s="11" t="s">
        <v>393</v>
      </c>
      <c r="G508" s="12">
        <v>1</v>
      </c>
      <c r="H508" s="12">
        <v>80</v>
      </c>
      <c r="I508" s="12">
        <v>80</v>
      </c>
      <c r="J508" s="12">
        <v>4184.5</v>
      </c>
      <c r="K508" s="20">
        <f t="shared" si="98"/>
        <v>2</v>
      </c>
      <c r="L508" s="20" t="str">
        <f t="shared" si="99"/>
        <v>Se repite 2 veces</v>
      </c>
      <c r="M508" s="20" t="str">
        <f t="shared" si="100"/>
        <v>Peru Chef-Peru Chef Olluco Cortado 1 Lb X 20</v>
      </c>
      <c r="N508" s="20">
        <f t="shared" si="101"/>
        <v>2</v>
      </c>
      <c r="O508" s="20" t="str">
        <f t="shared" si="102"/>
        <v>Se repite 2 veces en Peru Chef</v>
      </c>
      <c r="P508" s="20" t="str">
        <f t="shared" si="103"/>
        <v>Peru Chef-Peru Chef Olluco Cortado 1 Lb X 20-80</v>
      </c>
      <c r="Q508" s="20">
        <f t="shared" si="104"/>
        <v>2</v>
      </c>
      <c r="R508" s="20" t="str">
        <f t="shared" si="105"/>
        <v>Se repite 2 veces el precio de 80</v>
      </c>
      <c r="S508" s="20" t="str">
        <f t="shared" si="106"/>
        <v>El producto Peru Chef Olluco Cortado 1 Lb X 20 Se repite 2 veces en Peru Chef, Se repite 2 veces el precio de 80</v>
      </c>
      <c r="T508" s="20" t="str">
        <f t="shared" si="107"/>
        <v>Peru Chef</v>
      </c>
      <c r="U508" s="20" t="str">
        <f t="shared" si="108"/>
        <v>Peru Chef Olluco Cortado 1 Lb X 20</v>
      </c>
      <c r="V508" s="22">
        <f t="shared" si="109"/>
        <v>80</v>
      </c>
      <c r="W508" t="str">
        <f t="shared" si="110"/>
        <v>Peru Chef 04/10/2025</v>
      </c>
      <c r="Z508">
        <f t="shared" si="111"/>
        <v>80</v>
      </c>
    </row>
    <row r="509" spans="1:26" hidden="1" x14ac:dyDescent="0.25">
      <c r="A509" s="2" t="s">
        <v>272</v>
      </c>
      <c r="B509" s="11" t="s">
        <v>273</v>
      </c>
      <c r="C509" s="11" t="s">
        <v>4</v>
      </c>
      <c r="D509" s="11" t="s">
        <v>5</v>
      </c>
      <c r="E509" s="11" t="s">
        <v>318</v>
      </c>
      <c r="F509" s="11" t="s">
        <v>319</v>
      </c>
      <c r="G509" s="12">
        <v>1</v>
      </c>
      <c r="H509" s="12">
        <v>30</v>
      </c>
      <c r="I509" s="12">
        <v>30</v>
      </c>
      <c r="J509" s="12">
        <v>701.3</v>
      </c>
      <c r="K509" s="20">
        <f t="shared" si="98"/>
        <v>2</v>
      </c>
      <c r="L509" s="20" t="str">
        <f t="shared" si="99"/>
        <v>Se repite 2 veces</v>
      </c>
      <c r="M509" s="20" t="str">
        <f t="shared" si="100"/>
        <v>Peru Chef-Peru Chef Oregano Entero 30 G X 12</v>
      </c>
      <c r="N509" s="20">
        <f t="shared" si="101"/>
        <v>2</v>
      </c>
      <c r="O509" s="20" t="str">
        <f t="shared" si="102"/>
        <v>Se repite 2 veces en Peru Chef</v>
      </c>
      <c r="P509" s="20" t="str">
        <f t="shared" si="103"/>
        <v>Peru Chef-Peru Chef Oregano Entero 30 G X 12-30</v>
      </c>
      <c r="Q509" s="20">
        <f t="shared" si="104"/>
        <v>2</v>
      </c>
      <c r="R509" s="20" t="str">
        <f t="shared" si="105"/>
        <v>Se repite 2 veces el precio de 30</v>
      </c>
      <c r="S509" s="20" t="str">
        <f t="shared" si="106"/>
        <v>El producto Peru Chef Oregano Entero 30 G X 12 Se repite 2 veces en Peru Chef, Se repite 2 veces el precio de 30</v>
      </c>
      <c r="T509" s="20" t="str">
        <f t="shared" si="107"/>
        <v>Peru Chef</v>
      </c>
      <c r="U509" s="20" t="str">
        <f t="shared" si="108"/>
        <v>Peru Chef Oregano Entero 30 G X 12</v>
      </c>
      <c r="V509" s="22">
        <f t="shared" si="109"/>
        <v>30</v>
      </c>
      <c r="W509" t="str">
        <f t="shared" si="110"/>
        <v>Peru Chef 03/26/2025</v>
      </c>
      <c r="Z509">
        <f t="shared" si="111"/>
        <v>30</v>
      </c>
    </row>
    <row r="510" spans="1:26" hidden="1" x14ac:dyDescent="0.25">
      <c r="A510" s="2" t="s">
        <v>272</v>
      </c>
      <c r="B510" s="11" t="s">
        <v>398</v>
      </c>
      <c r="C510" s="11" t="s">
        <v>4</v>
      </c>
      <c r="D510" s="11" t="s">
        <v>399</v>
      </c>
      <c r="E510" s="11" t="s">
        <v>318</v>
      </c>
      <c r="F510" s="11" t="s">
        <v>319</v>
      </c>
      <c r="G510" s="12">
        <v>1</v>
      </c>
      <c r="H510" s="12">
        <v>30</v>
      </c>
      <c r="I510" s="12">
        <v>30</v>
      </c>
      <c r="J510" s="12">
        <v>2947.5</v>
      </c>
      <c r="K510" s="20">
        <f t="shared" si="98"/>
        <v>2</v>
      </c>
      <c r="L510" s="20" t="str">
        <f t="shared" si="99"/>
        <v>Se repite 2 veces</v>
      </c>
      <c r="M510" s="20" t="str">
        <f t="shared" si="100"/>
        <v>Peru Chef-Peru Chef Oregano Entero 30 G X 12</v>
      </c>
      <c r="N510" s="20">
        <f t="shared" si="101"/>
        <v>2</v>
      </c>
      <c r="O510" s="20" t="str">
        <f t="shared" si="102"/>
        <v>Se repite 2 veces en Peru Chef</v>
      </c>
      <c r="P510" s="20" t="str">
        <f t="shared" si="103"/>
        <v>Peru Chef-Peru Chef Oregano Entero 30 G X 12-30</v>
      </c>
      <c r="Q510" s="20">
        <f t="shared" si="104"/>
        <v>2</v>
      </c>
      <c r="R510" s="20" t="str">
        <f t="shared" si="105"/>
        <v>Se repite 2 veces el precio de 30</v>
      </c>
      <c r="S510" s="20" t="str">
        <f t="shared" si="106"/>
        <v>El producto Peru Chef Oregano Entero 30 G X 12 Se repite 2 veces en Peru Chef, Se repite 2 veces el precio de 30</v>
      </c>
      <c r="T510" s="20" t="str">
        <f t="shared" si="107"/>
        <v>Peru Chef</v>
      </c>
      <c r="U510" s="20" t="str">
        <f t="shared" si="108"/>
        <v>Peru Chef Oregano Entero 30 G X 12</v>
      </c>
      <c r="V510" s="22">
        <f t="shared" si="109"/>
        <v>30</v>
      </c>
      <c r="W510" t="str">
        <f t="shared" si="110"/>
        <v>Peru Chef 04/10/2025</v>
      </c>
      <c r="Z510">
        <f t="shared" si="111"/>
        <v>30</v>
      </c>
    </row>
    <row r="511" spans="1:26" hidden="1" x14ac:dyDescent="0.25">
      <c r="A511" s="2" t="s">
        <v>272</v>
      </c>
      <c r="B511" s="11" t="s">
        <v>273</v>
      </c>
      <c r="C511" s="11" t="s">
        <v>4</v>
      </c>
      <c r="D511" s="11" t="s">
        <v>5</v>
      </c>
      <c r="E511" s="11" t="s">
        <v>322</v>
      </c>
      <c r="F511" s="11" t="s">
        <v>323</v>
      </c>
      <c r="G511" s="12">
        <v>1</v>
      </c>
      <c r="H511" s="12">
        <v>24</v>
      </c>
      <c r="I511" s="12">
        <v>24</v>
      </c>
      <c r="J511" s="12">
        <v>749.3</v>
      </c>
      <c r="K511" s="20">
        <f t="shared" si="98"/>
        <v>2</v>
      </c>
      <c r="L511" s="20" t="str">
        <f t="shared" si="99"/>
        <v>Se repite 2 veces</v>
      </c>
      <c r="M511" s="20" t="str">
        <f t="shared" si="100"/>
        <v>Peru Chef-Peru Chef Palillo Molido75gr x 12</v>
      </c>
      <c r="N511" s="20">
        <f t="shared" si="101"/>
        <v>2</v>
      </c>
      <c r="O511" s="20" t="str">
        <f t="shared" si="102"/>
        <v>Se repite 2 veces en Peru Chef</v>
      </c>
      <c r="P511" s="20" t="str">
        <f t="shared" si="103"/>
        <v>Peru Chef-Peru Chef Palillo Molido75gr x 12-24</v>
      </c>
      <c r="Q511" s="20">
        <f t="shared" si="104"/>
        <v>2</v>
      </c>
      <c r="R511" s="20" t="str">
        <f t="shared" si="105"/>
        <v>Se repite 2 veces el precio de 24</v>
      </c>
      <c r="S511" s="20" t="str">
        <f t="shared" si="106"/>
        <v>El producto Peru Chef Palillo Molido75gr x 12 Se repite 2 veces en Peru Chef, Se repite 2 veces el precio de 24</v>
      </c>
      <c r="T511" s="20" t="str">
        <f t="shared" si="107"/>
        <v>Peru Chef</v>
      </c>
      <c r="U511" s="20" t="str">
        <f t="shared" si="108"/>
        <v>Peru Chef Palillo Molido75gr x 12</v>
      </c>
      <c r="V511" s="22">
        <f t="shared" si="109"/>
        <v>24</v>
      </c>
      <c r="W511" t="str">
        <f t="shared" si="110"/>
        <v>Peru Chef 03/26/2025</v>
      </c>
      <c r="Z511">
        <f t="shared" si="111"/>
        <v>24</v>
      </c>
    </row>
    <row r="512" spans="1:26" hidden="1" x14ac:dyDescent="0.25">
      <c r="A512" s="2" t="s">
        <v>272</v>
      </c>
      <c r="B512" s="11" t="s">
        <v>398</v>
      </c>
      <c r="C512" s="11" t="s">
        <v>4</v>
      </c>
      <c r="D512" s="11" t="s">
        <v>399</v>
      </c>
      <c r="E512" s="11" t="s">
        <v>322</v>
      </c>
      <c r="F512" s="11" t="s">
        <v>323</v>
      </c>
      <c r="G512" s="12">
        <v>1</v>
      </c>
      <c r="H512" s="12">
        <v>24</v>
      </c>
      <c r="I512" s="12">
        <v>24</v>
      </c>
      <c r="J512" s="12">
        <v>2995.5</v>
      </c>
      <c r="K512" s="20">
        <f t="shared" si="98"/>
        <v>2</v>
      </c>
      <c r="L512" s="20" t="str">
        <f t="shared" si="99"/>
        <v>Se repite 2 veces</v>
      </c>
      <c r="M512" s="20" t="str">
        <f t="shared" si="100"/>
        <v>Peru Chef-Peru Chef Palillo Molido75gr x 12</v>
      </c>
      <c r="N512" s="20">
        <f t="shared" si="101"/>
        <v>2</v>
      </c>
      <c r="O512" s="20" t="str">
        <f t="shared" si="102"/>
        <v>Se repite 2 veces en Peru Chef</v>
      </c>
      <c r="P512" s="20" t="str">
        <f t="shared" si="103"/>
        <v>Peru Chef-Peru Chef Palillo Molido75gr x 12-24</v>
      </c>
      <c r="Q512" s="20">
        <f t="shared" si="104"/>
        <v>2</v>
      </c>
      <c r="R512" s="20" t="str">
        <f t="shared" si="105"/>
        <v>Se repite 2 veces el precio de 24</v>
      </c>
      <c r="S512" s="20" t="str">
        <f t="shared" si="106"/>
        <v>El producto Peru Chef Palillo Molido75gr x 12 Se repite 2 veces en Peru Chef, Se repite 2 veces el precio de 24</v>
      </c>
      <c r="T512" s="20" t="str">
        <f t="shared" si="107"/>
        <v>Peru Chef</v>
      </c>
      <c r="U512" s="20" t="str">
        <f t="shared" si="108"/>
        <v>Peru Chef Palillo Molido75gr x 12</v>
      </c>
      <c r="V512" s="22">
        <f t="shared" si="109"/>
        <v>24</v>
      </c>
      <c r="W512" t="str">
        <f t="shared" si="110"/>
        <v>Peru Chef 04/10/2025</v>
      </c>
      <c r="Z512">
        <f t="shared" si="111"/>
        <v>24</v>
      </c>
    </row>
    <row r="513" spans="1:26" hidden="1" x14ac:dyDescent="0.25">
      <c r="A513" s="2" t="s">
        <v>272</v>
      </c>
      <c r="B513" s="11" t="s">
        <v>273</v>
      </c>
      <c r="C513" s="11" t="s">
        <v>4</v>
      </c>
      <c r="D513" s="11" t="s">
        <v>5</v>
      </c>
      <c r="E513" s="11" t="s">
        <v>312</v>
      </c>
      <c r="F513" s="11" t="s">
        <v>313</v>
      </c>
      <c r="G513" s="12">
        <v>1</v>
      </c>
      <c r="H513" s="12">
        <v>24</v>
      </c>
      <c r="I513" s="12">
        <v>24</v>
      </c>
      <c r="J513" s="12">
        <v>611.29999999999995</v>
      </c>
      <c r="K513" s="20">
        <f t="shared" si="98"/>
        <v>5</v>
      </c>
      <c r="L513" s="20" t="str">
        <f t="shared" si="99"/>
        <v>Se repite 5 veces</v>
      </c>
      <c r="M513" s="20" t="str">
        <f t="shared" si="100"/>
        <v>Peru Chef-Peru Chef Pallares 15oz x 12</v>
      </c>
      <c r="N513" s="20">
        <f t="shared" si="101"/>
        <v>5</v>
      </c>
      <c r="O513" s="20" t="str">
        <f t="shared" si="102"/>
        <v>Se repite 5 veces en Peru Chef</v>
      </c>
      <c r="P513" s="20" t="str">
        <f t="shared" si="103"/>
        <v>Peru Chef-Peru Chef Pallares 15oz x 12-24</v>
      </c>
      <c r="Q513" s="20">
        <f t="shared" si="104"/>
        <v>2</v>
      </c>
      <c r="R513" s="20" t="str">
        <f t="shared" si="105"/>
        <v>Se repite 2 veces el precio de 24</v>
      </c>
      <c r="S513" s="20" t="str">
        <f t="shared" si="106"/>
        <v>El producto Peru Chef Pallares 15oz x 12 Se repite 5 veces en Peru Chef, Se repite 2 veces el precio de 24</v>
      </c>
      <c r="T513" s="20" t="str">
        <f t="shared" si="107"/>
        <v>Peru Chef</v>
      </c>
      <c r="U513" s="20" t="str">
        <f t="shared" si="108"/>
        <v>Peru Chef Pallares 15oz x 12</v>
      </c>
      <c r="V513" s="22">
        <f t="shared" si="109"/>
        <v>24</v>
      </c>
      <c r="W513" t="str">
        <f t="shared" si="110"/>
        <v>Peru Chef 03/26/2025</v>
      </c>
      <c r="Z513">
        <f t="shared" si="111"/>
        <v>24</v>
      </c>
    </row>
    <row r="514" spans="1:26" hidden="1" x14ac:dyDescent="0.25">
      <c r="A514" s="2" t="s">
        <v>272</v>
      </c>
      <c r="B514" s="11" t="s">
        <v>398</v>
      </c>
      <c r="C514" s="11" t="s">
        <v>4</v>
      </c>
      <c r="D514" s="11" t="s">
        <v>399</v>
      </c>
      <c r="E514" s="11" t="s">
        <v>312</v>
      </c>
      <c r="F514" s="11" t="s">
        <v>313</v>
      </c>
      <c r="G514" s="12">
        <v>1</v>
      </c>
      <c r="H514" s="12">
        <v>24</v>
      </c>
      <c r="I514" s="12">
        <v>24</v>
      </c>
      <c r="J514" s="12">
        <v>2857.5</v>
      </c>
      <c r="K514" s="20">
        <f t="shared" si="98"/>
        <v>5</v>
      </c>
      <c r="L514" s="20" t="str">
        <f t="shared" si="99"/>
        <v>Se repite 5 veces</v>
      </c>
      <c r="M514" s="20" t="str">
        <f t="shared" si="100"/>
        <v>Peru Chef-Peru Chef Pallares 15oz x 12</v>
      </c>
      <c r="N514" s="20">
        <f t="shared" si="101"/>
        <v>5</v>
      </c>
      <c r="O514" s="20" t="str">
        <f t="shared" si="102"/>
        <v>Se repite 5 veces en Peru Chef</v>
      </c>
      <c r="P514" s="20" t="str">
        <f t="shared" si="103"/>
        <v>Peru Chef-Peru Chef Pallares 15oz x 12-24</v>
      </c>
      <c r="Q514" s="20">
        <f t="shared" si="104"/>
        <v>2</v>
      </c>
      <c r="R514" s="20" t="str">
        <f t="shared" si="105"/>
        <v>Se repite 2 veces el precio de 24</v>
      </c>
      <c r="S514" s="20" t="str">
        <f t="shared" si="106"/>
        <v>El producto Peru Chef Pallares 15oz x 12 Se repite 5 veces en Peru Chef, Se repite 2 veces el precio de 24</v>
      </c>
      <c r="T514" s="20" t="str">
        <f t="shared" si="107"/>
        <v>Peru Chef</v>
      </c>
      <c r="U514" s="20" t="str">
        <f t="shared" si="108"/>
        <v>Peru Chef Pallares 15oz x 12</v>
      </c>
      <c r="V514" s="22">
        <f t="shared" si="109"/>
        <v>24</v>
      </c>
      <c r="W514" t="str">
        <f t="shared" si="110"/>
        <v>Peru Chef 04/10/2025</v>
      </c>
      <c r="Z514">
        <f t="shared" si="111"/>
        <v>24</v>
      </c>
    </row>
    <row r="515" spans="1:26" hidden="1" x14ac:dyDescent="0.25">
      <c r="A515" s="2" t="s">
        <v>272</v>
      </c>
      <c r="B515" s="11" t="s">
        <v>471</v>
      </c>
      <c r="C515" s="11" t="s">
        <v>4</v>
      </c>
      <c r="D515" s="11" t="s">
        <v>472</v>
      </c>
      <c r="E515" s="11" t="s">
        <v>312</v>
      </c>
      <c r="F515" s="11" t="s">
        <v>489</v>
      </c>
      <c r="G515" s="12">
        <v>2</v>
      </c>
      <c r="H515" s="12">
        <v>26</v>
      </c>
      <c r="I515" s="12">
        <v>52</v>
      </c>
      <c r="J515" s="12">
        <v>12373.5</v>
      </c>
      <c r="K515" s="20">
        <f t="shared" ref="K515:K578" si="112">COUNTIF($E$2:$E$1438,E515)</f>
        <v>5</v>
      </c>
      <c r="L515" s="20" t="str">
        <f t="shared" ref="L515:L578" si="113">IF(K515&gt;1,_xlfn.CONCAT("Se repite ",K515," veces"),"No se repite")</f>
        <v>Se repite 5 veces</v>
      </c>
      <c r="M515" s="20" t="str">
        <f t="shared" ref="M515:M578" si="114">_xlfn.CONCAT(A515,"-",E515)</f>
        <v>Peru Chef-Peru Chef Pallares 15oz x 12</v>
      </c>
      <c r="N515" s="20">
        <f t="shared" ref="N515:N578" si="115">COUNTIF($M$2:$M$1438,M515)</f>
        <v>5</v>
      </c>
      <c r="O515" s="20" t="str">
        <f t="shared" ref="O515:O578" si="116">IF(N515&gt;1,_xlfn.CONCAT("Se repite ",N515," veces en ",A515),"No se repite en proveedor")</f>
        <v>Se repite 5 veces en Peru Chef</v>
      </c>
      <c r="P515" s="20" t="str">
        <f t="shared" ref="P515:P578" si="117">_xlfn.CONCAT(A515,"-",E515,"-",H515)</f>
        <v>Peru Chef-Peru Chef Pallares 15oz x 12-26</v>
      </c>
      <c r="Q515" s="20">
        <f t="shared" ref="Q515:Q578" si="118">COUNTIF($P$2:$P$1438,P515)</f>
        <v>2</v>
      </c>
      <c r="R515" s="20" t="str">
        <f t="shared" ref="R515:R578" si="119">IF(Q515&gt;1,_xlfn.CONCAT("Se repite ",Q515," veces el precio de ",H515),"No se repite")</f>
        <v>Se repite 2 veces el precio de 26</v>
      </c>
      <c r="S515" s="20" t="str">
        <f t="shared" ref="S515:S578" si="120">_xlfn.CONCAT("El producto ",E515," ",O515,IF(R515="No se repite",_xlfn.CONCAT(" Una vez con el precio ",H515),_xlfn.CONCAT(", ",R515)))</f>
        <v>El producto Peru Chef Pallares 15oz x 12 Se repite 5 veces en Peru Chef, Se repite 2 veces el precio de 26</v>
      </c>
      <c r="T515" s="20" t="str">
        <f t="shared" ref="T515:T578" si="121">+A515</f>
        <v>Peru Chef</v>
      </c>
      <c r="U515" s="20" t="str">
        <f t="shared" ref="U515:U578" si="122">+E515</f>
        <v>Peru Chef Pallares 15oz x 12</v>
      </c>
      <c r="V515" s="22">
        <f t="shared" ref="V515:V578" si="123">+H515</f>
        <v>26</v>
      </c>
      <c r="W515" t="str">
        <f t="shared" ref="W515:W578" si="124">_xlfn.CONCAT(A515," ",B515)</f>
        <v>Peru Chef 08/11/2025</v>
      </c>
      <c r="Z515">
        <f t="shared" ref="Z515:Z578" si="125">G515*H515</f>
        <v>52</v>
      </c>
    </row>
    <row r="516" spans="1:26" hidden="1" x14ac:dyDescent="0.25">
      <c r="A516" s="2" t="s">
        <v>272</v>
      </c>
      <c r="B516" s="11" t="s">
        <v>512</v>
      </c>
      <c r="C516" s="11" t="s">
        <v>4</v>
      </c>
      <c r="D516" s="11" t="s">
        <v>513</v>
      </c>
      <c r="E516" s="11" t="s">
        <v>312</v>
      </c>
      <c r="F516" s="11" t="s">
        <v>489</v>
      </c>
      <c r="G516" s="12">
        <v>2</v>
      </c>
      <c r="H516" s="12">
        <v>26</v>
      </c>
      <c r="I516" s="12">
        <v>52</v>
      </c>
      <c r="J516" s="12">
        <v>16883.5</v>
      </c>
      <c r="K516" s="20">
        <f t="shared" si="112"/>
        <v>5</v>
      </c>
      <c r="L516" s="20" t="str">
        <f t="shared" si="113"/>
        <v>Se repite 5 veces</v>
      </c>
      <c r="M516" s="20" t="str">
        <f t="shared" si="114"/>
        <v>Peru Chef-Peru Chef Pallares 15oz x 12</v>
      </c>
      <c r="N516" s="20">
        <f t="shared" si="115"/>
        <v>5</v>
      </c>
      <c r="O516" s="20" t="str">
        <f t="shared" si="116"/>
        <v>Se repite 5 veces en Peru Chef</v>
      </c>
      <c r="P516" s="20" t="str">
        <f t="shared" si="117"/>
        <v>Peru Chef-Peru Chef Pallares 15oz x 12-26</v>
      </c>
      <c r="Q516" s="20">
        <f t="shared" si="118"/>
        <v>2</v>
      </c>
      <c r="R516" s="20" t="str">
        <f t="shared" si="119"/>
        <v>Se repite 2 veces el precio de 26</v>
      </c>
      <c r="S516" s="20" t="str">
        <f t="shared" si="120"/>
        <v>El producto Peru Chef Pallares 15oz x 12 Se repite 5 veces en Peru Chef, Se repite 2 veces el precio de 26</v>
      </c>
      <c r="T516" s="20" t="str">
        <f t="shared" si="121"/>
        <v>Peru Chef</v>
      </c>
      <c r="U516" s="20" t="str">
        <f t="shared" si="122"/>
        <v>Peru Chef Pallares 15oz x 12</v>
      </c>
      <c r="V516" s="22">
        <f t="shared" si="123"/>
        <v>26</v>
      </c>
      <c r="W516" t="str">
        <f t="shared" si="124"/>
        <v>Peru Chef 08/28/2025</v>
      </c>
      <c r="Z516">
        <f t="shared" si="125"/>
        <v>52</v>
      </c>
    </row>
    <row r="517" spans="1:26" hidden="1" x14ac:dyDescent="0.25">
      <c r="A517" s="2" t="s">
        <v>272</v>
      </c>
      <c r="B517" s="11" t="s">
        <v>619</v>
      </c>
      <c r="C517" s="11" t="s">
        <v>4</v>
      </c>
      <c r="D517" s="11" t="s">
        <v>621</v>
      </c>
      <c r="E517" s="11" t="s">
        <v>312</v>
      </c>
      <c r="F517" s="11" t="s">
        <v>489</v>
      </c>
      <c r="G517" s="12">
        <v>1</v>
      </c>
      <c r="H517" s="12">
        <v>23.4</v>
      </c>
      <c r="I517" s="12">
        <v>23.4</v>
      </c>
      <c r="J517" s="12">
        <v>41486.35</v>
      </c>
      <c r="K517" s="20">
        <f t="shared" si="112"/>
        <v>5</v>
      </c>
      <c r="L517" s="20" t="str">
        <f t="shared" si="113"/>
        <v>Se repite 5 veces</v>
      </c>
      <c r="M517" s="20" t="str">
        <f t="shared" si="114"/>
        <v>Peru Chef-Peru Chef Pallares 15oz x 12</v>
      </c>
      <c r="N517" s="20">
        <f t="shared" si="115"/>
        <v>5</v>
      </c>
      <c r="O517" s="20" t="str">
        <f t="shared" si="116"/>
        <v>Se repite 5 veces en Peru Chef</v>
      </c>
      <c r="P517" s="20" t="str">
        <f t="shared" si="117"/>
        <v>Peru Chef-Peru Chef Pallares 15oz x 12-23.4</v>
      </c>
      <c r="Q517" s="20">
        <f t="shared" si="118"/>
        <v>1</v>
      </c>
      <c r="R517" s="20" t="str">
        <f t="shared" si="119"/>
        <v>No se repite</v>
      </c>
      <c r="S517" s="20" t="str">
        <f t="shared" si="120"/>
        <v>El producto Peru Chef Pallares 15oz x 12 Se repite 5 veces en Peru Chef Una vez con el precio 23.4</v>
      </c>
      <c r="T517" s="20" t="str">
        <f t="shared" si="121"/>
        <v>Peru Chef</v>
      </c>
      <c r="U517" s="20" t="str">
        <f t="shared" si="122"/>
        <v>Peru Chef Pallares 15oz x 12</v>
      </c>
      <c r="V517" s="22">
        <f t="shared" si="123"/>
        <v>23.4</v>
      </c>
      <c r="W517" t="str">
        <f t="shared" si="124"/>
        <v>Peru Chef 12/09/2025</v>
      </c>
      <c r="Z517">
        <f t="shared" si="125"/>
        <v>23.4</v>
      </c>
    </row>
    <row r="518" spans="1:26" hidden="1" x14ac:dyDescent="0.25">
      <c r="A518" s="2" t="s">
        <v>272</v>
      </c>
      <c r="B518" s="11" t="s">
        <v>444</v>
      </c>
      <c r="C518" s="11" t="s">
        <v>4</v>
      </c>
      <c r="D518" s="11" t="s">
        <v>445</v>
      </c>
      <c r="E518" s="11" t="s">
        <v>469</v>
      </c>
      <c r="F518" s="11" t="s">
        <v>470</v>
      </c>
      <c r="G518" s="12">
        <v>20</v>
      </c>
      <c r="H518" s="12">
        <v>38</v>
      </c>
      <c r="I518" s="12">
        <v>760</v>
      </c>
      <c r="J518" s="12">
        <v>10606.5</v>
      </c>
      <c r="K518" s="20">
        <f t="shared" si="112"/>
        <v>4</v>
      </c>
      <c r="L518" s="20" t="str">
        <f t="shared" si="113"/>
        <v>Se repite 4 veces</v>
      </c>
      <c r="M518" s="20" t="str">
        <f t="shared" si="114"/>
        <v>Peru Chef-Peru Chef Paneton 900 G X 6</v>
      </c>
      <c r="N518" s="20">
        <f t="shared" si="115"/>
        <v>4</v>
      </c>
      <c r="O518" s="20" t="str">
        <f t="shared" si="116"/>
        <v>Se repite 4 veces en Peru Chef</v>
      </c>
      <c r="P518" s="20" t="str">
        <f t="shared" si="117"/>
        <v>Peru Chef-Peru Chef Paneton 900 G X 6-38</v>
      </c>
      <c r="Q518" s="20">
        <f t="shared" si="118"/>
        <v>1</v>
      </c>
      <c r="R518" s="20" t="str">
        <f t="shared" si="119"/>
        <v>No se repite</v>
      </c>
      <c r="S518" s="20" t="str">
        <f t="shared" si="120"/>
        <v>El producto Peru Chef Paneton 900 G X 6 Se repite 4 veces en Peru Chef Una vez con el precio 38</v>
      </c>
      <c r="T518" s="20" t="str">
        <f t="shared" si="121"/>
        <v>Peru Chef</v>
      </c>
      <c r="U518" s="20" t="str">
        <f t="shared" si="122"/>
        <v>Peru Chef Paneton 900 G X 6</v>
      </c>
      <c r="V518" s="22">
        <f t="shared" si="123"/>
        <v>38</v>
      </c>
      <c r="W518" t="str">
        <f t="shared" si="124"/>
        <v>Peru Chef 04/24/2025</v>
      </c>
      <c r="Z518">
        <f t="shared" si="125"/>
        <v>760</v>
      </c>
    </row>
    <row r="519" spans="1:26" hidden="1" x14ac:dyDescent="0.25">
      <c r="A519" s="2" t="s">
        <v>272</v>
      </c>
      <c r="B519" s="11" t="s">
        <v>471</v>
      </c>
      <c r="C519" s="11" t="s">
        <v>4</v>
      </c>
      <c r="D519" s="11" t="s">
        <v>472</v>
      </c>
      <c r="E519" s="11" t="s">
        <v>469</v>
      </c>
      <c r="F519" s="11" t="s">
        <v>470</v>
      </c>
      <c r="G519" s="12">
        <v>5</v>
      </c>
      <c r="H519" s="12">
        <v>42</v>
      </c>
      <c r="I519" s="12">
        <v>210</v>
      </c>
      <c r="J519" s="12">
        <v>14598.5</v>
      </c>
      <c r="K519" s="20">
        <f t="shared" si="112"/>
        <v>4</v>
      </c>
      <c r="L519" s="20" t="str">
        <f t="shared" si="113"/>
        <v>Se repite 4 veces</v>
      </c>
      <c r="M519" s="20" t="str">
        <f t="shared" si="114"/>
        <v>Peru Chef-Peru Chef Paneton 900 G X 6</v>
      </c>
      <c r="N519" s="20">
        <f t="shared" si="115"/>
        <v>4</v>
      </c>
      <c r="O519" s="20" t="str">
        <f t="shared" si="116"/>
        <v>Se repite 4 veces en Peru Chef</v>
      </c>
      <c r="P519" s="20" t="str">
        <f t="shared" si="117"/>
        <v>Peru Chef-Peru Chef Paneton 900 G X 6-42</v>
      </c>
      <c r="Q519" s="20">
        <f t="shared" si="118"/>
        <v>1</v>
      </c>
      <c r="R519" s="20" t="str">
        <f t="shared" si="119"/>
        <v>No se repite</v>
      </c>
      <c r="S519" s="20" t="str">
        <f t="shared" si="120"/>
        <v>El producto Peru Chef Paneton 900 G X 6 Se repite 4 veces en Peru Chef Una vez con el precio 42</v>
      </c>
      <c r="T519" s="20" t="str">
        <f t="shared" si="121"/>
        <v>Peru Chef</v>
      </c>
      <c r="U519" s="20" t="str">
        <f t="shared" si="122"/>
        <v>Peru Chef Paneton 900 G X 6</v>
      </c>
      <c r="V519" s="22">
        <f t="shared" si="123"/>
        <v>42</v>
      </c>
      <c r="W519" t="str">
        <f t="shared" si="124"/>
        <v>Peru Chef 08/11/2025</v>
      </c>
      <c r="Z519">
        <f t="shared" si="125"/>
        <v>210</v>
      </c>
    </row>
    <row r="520" spans="1:26" hidden="1" x14ac:dyDescent="0.25">
      <c r="A520" s="2" t="s">
        <v>272</v>
      </c>
      <c r="B520" s="11" t="s">
        <v>563</v>
      </c>
      <c r="C520" s="11" t="s">
        <v>4</v>
      </c>
      <c r="D520" s="11" t="s">
        <v>564</v>
      </c>
      <c r="E520" s="11" t="s">
        <v>469</v>
      </c>
      <c r="F520" s="11" t="s">
        <v>470</v>
      </c>
      <c r="G520" s="12">
        <v>10</v>
      </c>
      <c r="H520" s="12">
        <v>36</v>
      </c>
      <c r="I520" s="12">
        <v>360</v>
      </c>
      <c r="J520" s="12">
        <v>21651</v>
      </c>
      <c r="K520" s="20">
        <f t="shared" si="112"/>
        <v>4</v>
      </c>
      <c r="L520" s="20" t="str">
        <f t="shared" si="113"/>
        <v>Se repite 4 veces</v>
      </c>
      <c r="M520" s="20" t="str">
        <f t="shared" si="114"/>
        <v>Peru Chef-Peru Chef Paneton 900 G X 6</v>
      </c>
      <c r="N520" s="20">
        <f t="shared" si="115"/>
        <v>4</v>
      </c>
      <c r="O520" s="20" t="str">
        <f t="shared" si="116"/>
        <v>Se repite 4 veces en Peru Chef</v>
      </c>
      <c r="P520" s="20" t="str">
        <f t="shared" si="117"/>
        <v>Peru Chef-Peru Chef Paneton 900 G X 6-36</v>
      </c>
      <c r="Q520" s="20">
        <f t="shared" si="118"/>
        <v>2</v>
      </c>
      <c r="R520" s="20" t="str">
        <f t="shared" si="119"/>
        <v>Se repite 2 veces el precio de 36</v>
      </c>
      <c r="S520" s="20" t="str">
        <f t="shared" si="120"/>
        <v>El producto Peru Chef Paneton 900 G X 6 Se repite 4 veces en Peru Chef, Se repite 2 veces el precio de 36</v>
      </c>
      <c r="T520" s="20" t="str">
        <f t="shared" si="121"/>
        <v>Peru Chef</v>
      </c>
      <c r="U520" s="20" t="str">
        <f t="shared" si="122"/>
        <v>Peru Chef Paneton 900 G X 6</v>
      </c>
      <c r="V520" s="22">
        <f t="shared" si="123"/>
        <v>36</v>
      </c>
      <c r="W520" t="str">
        <f t="shared" si="124"/>
        <v>Peru Chef 09/11/2025</v>
      </c>
      <c r="Z520">
        <f t="shared" si="125"/>
        <v>360</v>
      </c>
    </row>
    <row r="521" spans="1:26" hidden="1" x14ac:dyDescent="0.25">
      <c r="A521" s="2" t="s">
        <v>272</v>
      </c>
      <c r="B521" s="11" t="s">
        <v>619</v>
      </c>
      <c r="C521" s="11" t="s">
        <v>4</v>
      </c>
      <c r="D521" s="11" t="s">
        <v>620</v>
      </c>
      <c r="E521" s="11" t="s">
        <v>469</v>
      </c>
      <c r="F521" s="11" t="s">
        <v>470</v>
      </c>
      <c r="G521" s="12">
        <v>5</v>
      </c>
      <c r="H521" s="12">
        <v>36</v>
      </c>
      <c r="I521" s="12">
        <v>180</v>
      </c>
      <c r="J521" s="12">
        <v>38772.850000000006</v>
      </c>
      <c r="K521" s="20">
        <f t="shared" si="112"/>
        <v>4</v>
      </c>
      <c r="L521" s="20" t="str">
        <f t="shared" si="113"/>
        <v>Se repite 4 veces</v>
      </c>
      <c r="M521" s="20" t="str">
        <f t="shared" si="114"/>
        <v>Peru Chef-Peru Chef Paneton 900 G X 6</v>
      </c>
      <c r="N521" s="20">
        <f t="shared" si="115"/>
        <v>4</v>
      </c>
      <c r="O521" s="20" t="str">
        <f t="shared" si="116"/>
        <v>Se repite 4 veces en Peru Chef</v>
      </c>
      <c r="P521" s="20" t="str">
        <f t="shared" si="117"/>
        <v>Peru Chef-Peru Chef Paneton 900 G X 6-36</v>
      </c>
      <c r="Q521" s="20">
        <f t="shared" si="118"/>
        <v>2</v>
      </c>
      <c r="R521" s="20" t="str">
        <f t="shared" si="119"/>
        <v>Se repite 2 veces el precio de 36</v>
      </c>
      <c r="S521" s="20" t="str">
        <f t="shared" si="120"/>
        <v>El producto Peru Chef Paneton 900 G X 6 Se repite 4 veces en Peru Chef, Se repite 2 veces el precio de 36</v>
      </c>
      <c r="T521" s="20" t="str">
        <f t="shared" si="121"/>
        <v>Peru Chef</v>
      </c>
      <c r="U521" s="20" t="str">
        <f t="shared" si="122"/>
        <v>Peru Chef Paneton 900 G X 6</v>
      </c>
      <c r="V521" s="22">
        <f t="shared" si="123"/>
        <v>36</v>
      </c>
      <c r="W521" t="str">
        <f t="shared" si="124"/>
        <v>Peru Chef 12/09/2025</v>
      </c>
      <c r="Z521">
        <f t="shared" si="125"/>
        <v>180</v>
      </c>
    </row>
    <row r="522" spans="1:26" hidden="1" x14ac:dyDescent="0.25">
      <c r="A522" s="2" t="s">
        <v>272</v>
      </c>
      <c r="B522" s="11" t="s">
        <v>273</v>
      </c>
      <c r="C522" s="11" t="s">
        <v>4</v>
      </c>
      <c r="D522" s="11" t="s">
        <v>5</v>
      </c>
      <c r="E522" s="11" t="s">
        <v>394</v>
      </c>
      <c r="F522" s="11" t="s">
        <v>395</v>
      </c>
      <c r="G522" s="12">
        <v>1</v>
      </c>
      <c r="H522" s="12">
        <v>78</v>
      </c>
      <c r="I522" s="12">
        <v>78</v>
      </c>
      <c r="J522" s="12">
        <v>2236.6999999999998</v>
      </c>
      <c r="K522" s="20">
        <f t="shared" si="112"/>
        <v>2</v>
      </c>
      <c r="L522" s="20" t="str">
        <f t="shared" si="113"/>
        <v>Se repite 2 veces</v>
      </c>
      <c r="M522" s="20" t="str">
        <f t="shared" si="114"/>
        <v>Peru Chef-Peru Chef Papa Amarilla 1 Lb X 26 FROZEN</v>
      </c>
      <c r="N522" s="20">
        <f t="shared" si="115"/>
        <v>2</v>
      </c>
      <c r="O522" s="20" t="str">
        <f t="shared" si="116"/>
        <v>Se repite 2 veces en Peru Chef</v>
      </c>
      <c r="P522" s="20" t="str">
        <f t="shared" si="117"/>
        <v>Peru Chef-Peru Chef Papa Amarilla 1 Lb X 26 FROZEN-78</v>
      </c>
      <c r="Q522" s="20">
        <f t="shared" si="118"/>
        <v>2</v>
      </c>
      <c r="R522" s="20" t="str">
        <f t="shared" si="119"/>
        <v>Se repite 2 veces el precio de 78</v>
      </c>
      <c r="S522" s="20" t="str">
        <f t="shared" si="120"/>
        <v>El producto Peru Chef Papa Amarilla 1 Lb X 26 FROZEN Se repite 2 veces en Peru Chef, Se repite 2 veces el precio de 78</v>
      </c>
      <c r="T522" s="20" t="str">
        <f t="shared" si="121"/>
        <v>Peru Chef</v>
      </c>
      <c r="U522" s="20" t="str">
        <f t="shared" si="122"/>
        <v>Peru Chef Papa Amarilla 1 Lb X 26 FROZEN</v>
      </c>
      <c r="V522" s="22">
        <f t="shared" si="123"/>
        <v>78</v>
      </c>
      <c r="W522" t="str">
        <f t="shared" si="124"/>
        <v>Peru Chef 03/26/2025</v>
      </c>
      <c r="Z522">
        <f t="shared" si="125"/>
        <v>78</v>
      </c>
    </row>
    <row r="523" spans="1:26" hidden="1" x14ac:dyDescent="0.25">
      <c r="A523" s="2" t="s">
        <v>272</v>
      </c>
      <c r="B523" s="11" t="s">
        <v>398</v>
      </c>
      <c r="C523" s="11" t="s">
        <v>4</v>
      </c>
      <c r="D523" s="11" t="s">
        <v>399</v>
      </c>
      <c r="E523" s="11" t="s">
        <v>394</v>
      </c>
      <c r="F523" s="11" t="s">
        <v>395</v>
      </c>
      <c r="G523" s="12">
        <v>1</v>
      </c>
      <c r="H523" s="12">
        <v>78</v>
      </c>
      <c r="I523" s="12">
        <v>78</v>
      </c>
      <c r="J523" s="12">
        <v>4262.5</v>
      </c>
      <c r="K523" s="20">
        <f t="shared" si="112"/>
        <v>2</v>
      </c>
      <c r="L523" s="20" t="str">
        <f t="shared" si="113"/>
        <v>Se repite 2 veces</v>
      </c>
      <c r="M523" s="20" t="str">
        <f t="shared" si="114"/>
        <v>Peru Chef-Peru Chef Papa Amarilla 1 Lb X 26 FROZEN</v>
      </c>
      <c r="N523" s="20">
        <f t="shared" si="115"/>
        <v>2</v>
      </c>
      <c r="O523" s="20" t="str">
        <f t="shared" si="116"/>
        <v>Se repite 2 veces en Peru Chef</v>
      </c>
      <c r="P523" s="20" t="str">
        <f t="shared" si="117"/>
        <v>Peru Chef-Peru Chef Papa Amarilla 1 Lb X 26 FROZEN-78</v>
      </c>
      <c r="Q523" s="20">
        <f t="shared" si="118"/>
        <v>2</v>
      </c>
      <c r="R523" s="20" t="str">
        <f t="shared" si="119"/>
        <v>Se repite 2 veces el precio de 78</v>
      </c>
      <c r="S523" s="20" t="str">
        <f t="shared" si="120"/>
        <v>El producto Peru Chef Papa Amarilla 1 Lb X 26 FROZEN Se repite 2 veces en Peru Chef, Se repite 2 veces el precio de 78</v>
      </c>
      <c r="T523" s="20" t="str">
        <f t="shared" si="121"/>
        <v>Peru Chef</v>
      </c>
      <c r="U523" s="20" t="str">
        <f t="shared" si="122"/>
        <v>Peru Chef Papa Amarilla 1 Lb X 26 FROZEN</v>
      </c>
      <c r="V523" s="22">
        <f t="shared" si="123"/>
        <v>78</v>
      </c>
      <c r="W523" t="str">
        <f t="shared" si="124"/>
        <v>Peru Chef 04/10/2025</v>
      </c>
      <c r="Z523">
        <f t="shared" si="125"/>
        <v>78</v>
      </c>
    </row>
    <row r="524" spans="1:26" hidden="1" x14ac:dyDescent="0.25">
      <c r="A524" s="2" t="s">
        <v>272</v>
      </c>
      <c r="B524" s="11" t="s">
        <v>600</v>
      </c>
      <c r="C524" s="11" t="s">
        <v>4</v>
      </c>
      <c r="D524" s="11" t="s">
        <v>601</v>
      </c>
      <c r="E524" s="11" t="s">
        <v>604</v>
      </c>
      <c r="F524" s="11" t="s">
        <v>604</v>
      </c>
      <c r="G524" s="12">
        <v>24</v>
      </c>
      <c r="H524" s="12">
        <v>4.5</v>
      </c>
      <c r="I524" s="12">
        <v>108</v>
      </c>
      <c r="J524" s="12">
        <v>34929.85</v>
      </c>
      <c r="K524" s="20">
        <f t="shared" si="112"/>
        <v>1</v>
      </c>
      <c r="L524" s="20" t="str">
        <f t="shared" si="113"/>
        <v>No se repite</v>
      </c>
      <c r="M524" s="20" t="str">
        <f t="shared" si="114"/>
        <v>Peru Chef-Peru Chef Papa Huayro 2Lb</v>
      </c>
      <c r="N524" s="20">
        <f t="shared" si="115"/>
        <v>1</v>
      </c>
      <c r="O524" s="20" t="str">
        <f t="shared" si="116"/>
        <v>No se repite en proveedor</v>
      </c>
      <c r="P524" s="20" t="str">
        <f t="shared" si="117"/>
        <v>Peru Chef-Peru Chef Papa Huayro 2Lb-4.5</v>
      </c>
      <c r="Q524" s="20">
        <f t="shared" si="118"/>
        <v>1</v>
      </c>
      <c r="R524" s="20" t="str">
        <f t="shared" si="119"/>
        <v>No se repite</v>
      </c>
      <c r="S524" s="20" t="str">
        <f t="shared" si="120"/>
        <v>El producto Peru Chef Papa Huayro 2Lb No se repite en proveedor Una vez con el precio 4.5</v>
      </c>
      <c r="T524" s="20" t="str">
        <f t="shared" si="121"/>
        <v>Peru Chef</v>
      </c>
      <c r="U524" s="20" t="str">
        <f t="shared" si="122"/>
        <v>Peru Chef Papa Huayro 2Lb</v>
      </c>
      <c r="V524" s="22">
        <f t="shared" si="123"/>
        <v>4.5</v>
      </c>
      <c r="W524" t="str">
        <f t="shared" si="124"/>
        <v>Peru Chef 11/14/2025</v>
      </c>
      <c r="Z524">
        <f t="shared" si="125"/>
        <v>108</v>
      </c>
    </row>
    <row r="525" spans="1:26" hidden="1" x14ac:dyDescent="0.25">
      <c r="A525" s="2" t="s">
        <v>272</v>
      </c>
      <c r="B525" s="11" t="s">
        <v>273</v>
      </c>
      <c r="C525" s="11" t="s">
        <v>4</v>
      </c>
      <c r="D525" s="11" t="s">
        <v>5</v>
      </c>
      <c r="E525" s="11" t="s">
        <v>298</v>
      </c>
      <c r="F525" s="11" t="s">
        <v>299</v>
      </c>
      <c r="G525" s="12">
        <v>1</v>
      </c>
      <c r="H525" s="12">
        <v>17</v>
      </c>
      <c r="I525" s="12">
        <v>17</v>
      </c>
      <c r="J525" s="12">
        <v>449.5</v>
      </c>
      <c r="K525" s="20">
        <f t="shared" si="112"/>
        <v>8</v>
      </c>
      <c r="L525" s="20" t="str">
        <f t="shared" si="113"/>
        <v>Se repite 8 veces</v>
      </c>
      <c r="M525" s="20" t="str">
        <f t="shared" si="114"/>
        <v>Peru Chef-Peru Chef Papa Seca Amarilla 12oz x 8</v>
      </c>
      <c r="N525" s="20">
        <f t="shared" si="115"/>
        <v>8</v>
      </c>
      <c r="O525" s="20" t="str">
        <f t="shared" si="116"/>
        <v>Se repite 8 veces en Peru Chef</v>
      </c>
      <c r="P525" s="20" t="str">
        <f t="shared" si="117"/>
        <v>Peru Chef-Peru Chef Papa Seca Amarilla 12oz x 8-17</v>
      </c>
      <c r="Q525" s="20">
        <f t="shared" si="118"/>
        <v>3</v>
      </c>
      <c r="R525" s="20" t="str">
        <f t="shared" si="119"/>
        <v>Se repite 3 veces el precio de 17</v>
      </c>
      <c r="S525" s="20" t="str">
        <f t="shared" si="120"/>
        <v>El producto Peru Chef Papa Seca Amarilla 12oz x 8 Se repite 8 veces en Peru Chef, Se repite 3 veces el precio de 17</v>
      </c>
      <c r="T525" s="20" t="str">
        <f t="shared" si="121"/>
        <v>Peru Chef</v>
      </c>
      <c r="U525" s="20" t="str">
        <f t="shared" si="122"/>
        <v>Peru Chef Papa Seca Amarilla 12oz x 8</v>
      </c>
      <c r="V525" s="22">
        <f t="shared" si="123"/>
        <v>17</v>
      </c>
      <c r="W525" t="str">
        <f t="shared" si="124"/>
        <v>Peru Chef 03/26/2025</v>
      </c>
      <c r="Z525">
        <f t="shared" si="125"/>
        <v>17</v>
      </c>
    </row>
    <row r="526" spans="1:26" hidden="1" x14ac:dyDescent="0.25">
      <c r="A526" s="2" t="s">
        <v>272</v>
      </c>
      <c r="B526" s="11" t="s">
        <v>398</v>
      </c>
      <c r="C526" s="11" t="s">
        <v>4</v>
      </c>
      <c r="D526" s="11" t="s">
        <v>399</v>
      </c>
      <c r="E526" s="11" t="s">
        <v>298</v>
      </c>
      <c r="F526" s="11" t="s">
        <v>299</v>
      </c>
      <c r="G526" s="12">
        <v>1</v>
      </c>
      <c r="H526" s="12">
        <v>17</v>
      </c>
      <c r="I526" s="12">
        <v>17</v>
      </c>
      <c r="J526" s="12">
        <v>2695.7</v>
      </c>
      <c r="K526" s="20">
        <f t="shared" si="112"/>
        <v>8</v>
      </c>
      <c r="L526" s="20" t="str">
        <f t="shared" si="113"/>
        <v>Se repite 8 veces</v>
      </c>
      <c r="M526" s="20" t="str">
        <f t="shared" si="114"/>
        <v>Peru Chef-Peru Chef Papa Seca Amarilla 12oz x 8</v>
      </c>
      <c r="N526" s="20">
        <f t="shared" si="115"/>
        <v>8</v>
      </c>
      <c r="O526" s="20" t="str">
        <f t="shared" si="116"/>
        <v>Se repite 8 veces en Peru Chef</v>
      </c>
      <c r="P526" s="20" t="str">
        <f t="shared" si="117"/>
        <v>Peru Chef-Peru Chef Papa Seca Amarilla 12oz x 8-17</v>
      </c>
      <c r="Q526" s="20">
        <f t="shared" si="118"/>
        <v>3</v>
      </c>
      <c r="R526" s="20" t="str">
        <f t="shared" si="119"/>
        <v>Se repite 3 veces el precio de 17</v>
      </c>
      <c r="S526" s="20" t="str">
        <f t="shared" si="120"/>
        <v>El producto Peru Chef Papa Seca Amarilla 12oz x 8 Se repite 8 veces en Peru Chef, Se repite 3 veces el precio de 17</v>
      </c>
      <c r="T526" s="20" t="str">
        <f t="shared" si="121"/>
        <v>Peru Chef</v>
      </c>
      <c r="U526" s="20" t="str">
        <f t="shared" si="122"/>
        <v>Peru Chef Papa Seca Amarilla 12oz x 8</v>
      </c>
      <c r="V526" s="22">
        <f t="shared" si="123"/>
        <v>17</v>
      </c>
      <c r="W526" t="str">
        <f t="shared" si="124"/>
        <v>Peru Chef 04/10/2025</v>
      </c>
      <c r="Z526">
        <f t="shared" si="125"/>
        <v>17</v>
      </c>
    </row>
    <row r="527" spans="1:26" hidden="1" x14ac:dyDescent="0.25">
      <c r="A527" s="2" t="s">
        <v>272</v>
      </c>
      <c r="B527" s="11" t="s">
        <v>444</v>
      </c>
      <c r="C527" s="11" t="s">
        <v>4</v>
      </c>
      <c r="D527" s="11" t="s">
        <v>445</v>
      </c>
      <c r="E527" s="11" t="s">
        <v>298</v>
      </c>
      <c r="F527" s="11" t="s">
        <v>454</v>
      </c>
      <c r="G527" s="12">
        <v>2</v>
      </c>
      <c r="H527" s="12">
        <v>17</v>
      </c>
      <c r="I527" s="12">
        <v>34</v>
      </c>
      <c r="J527" s="12">
        <v>7568.6</v>
      </c>
      <c r="K527" s="20">
        <f t="shared" si="112"/>
        <v>8</v>
      </c>
      <c r="L527" s="20" t="str">
        <f t="shared" si="113"/>
        <v>Se repite 8 veces</v>
      </c>
      <c r="M527" s="20" t="str">
        <f t="shared" si="114"/>
        <v>Peru Chef-Peru Chef Papa Seca Amarilla 12oz x 8</v>
      </c>
      <c r="N527" s="20">
        <f t="shared" si="115"/>
        <v>8</v>
      </c>
      <c r="O527" s="20" t="str">
        <f t="shared" si="116"/>
        <v>Se repite 8 veces en Peru Chef</v>
      </c>
      <c r="P527" s="20" t="str">
        <f t="shared" si="117"/>
        <v>Peru Chef-Peru Chef Papa Seca Amarilla 12oz x 8-17</v>
      </c>
      <c r="Q527" s="20">
        <f t="shared" si="118"/>
        <v>3</v>
      </c>
      <c r="R527" s="20" t="str">
        <f t="shared" si="119"/>
        <v>Se repite 3 veces el precio de 17</v>
      </c>
      <c r="S527" s="20" t="str">
        <f t="shared" si="120"/>
        <v>El producto Peru Chef Papa Seca Amarilla 12oz x 8 Se repite 8 veces en Peru Chef, Se repite 3 veces el precio de 17</v>
      </c>
      <c r="T527" s="20" t="str">
        <f t="shared" si="121"/>
        <v>Peru Chef</v>
      </c>
      <c r="U527" s="20" t="str">
        <f t="shared" si="122"/>
        <v>Peru Chef Papa Seca Amarilla 12oz x 8</v>
      </c>
      <c r="V527" s="22">
        <f t="shared" si="123"/>
        <v>17</v>
      </c>
      <c r="W527" t="str">
        <f t="shared" si="124"/>
        <v>Peru Chef 04/24/2025</v>
      </c>
      <c r="Z527">
        <f t="shared" si="125"/>
        <v>34</v>
      </c>
    </row>
    <row r="528" spans="1:26" hidden="1" x14ac:dyDescent="0.25">
      <c r="A528" s="2" t="s">
        <v>272</v>
      </c>
      <c r="B528" s="11" t="s">
        <v>471</v>
      </c>
      <c r="C528" s="11" t="s">
        <v>4</v>
      </c>
      <c r="D528" s="11" t="s">
        <v>472</v>
      </c>
      <c r="E528" s="11" t="s">
        <v>298</v>
      </c>
      <c r="F528" s="11" t="s">
        <v>454</v>
      </c>
      <c r="G528" s="12">
        <v>3</v>
      </c>
      <c r="H528" s="12">
        <v>19</v>
      </c>
      <c r="I528" s="12">
        <v>57</v>
      </c>
      <c r="J528" s="12">
        <v>12117.5</v>
      </c>
      <c r="K528" s="20">
        <f t="shared" si="112"/>
        <v>8</v>
      </c>
      <c r="L528" s="20" t="str">
        <f t="shared" si="113"/>
        <v>Se repite 8 veces</v>
      </c>
      <c r="M528" s="20" t="str">
        <f t="shared" si="114"/>
        <v>Peru Chef-Peru Chef Papa Seca Amarilla 12oz x 8</v>
      </c>
      <c r="N528" s="20">
        <f t="shared" si="115"/>
        <v>8</v>
      </c>
      <c r="O528" s="20" t="str">
        <f t="shared" si="116"/>
        <v>Se repite 8 veces en Peru Chef</v>
      </c>
      <c r="P528" s="20" t="str">
        <f t="shared" si="117"/>
        <v>Peru Chef-Peru Chef Papa Seca Amarilla 12oz x 8-19</v>
      </c>
      <c r="Q528" s="20">
        <f t="shared" si="118"/>
        <v>3</v>
      </c>
      <c r="R528" s="20" t="str">
        <f t="shared" si="119"/>
        <v>Se repite 3 veces el precio de 19</v>
      </c>
      <c r="S528" s="20" t="str">
        <f t="shared" si="120"/>
        <v>El producto Peru Chef Papa Seca Amarilla 12oz x 8 Se repite 8 veces en Peru Chef, Se repite 3 veces el precio de 19</v>
      </c>
      <c r="T528" s="20" t="str">
        <f t="shared" si="121"/>
        <v>Peru Chef</v>
      </c>
      <c r="U528" s="20" t="str">
        <f t="shared" si="122"/>
        <v>Peru Chef Papa Seca Amarilla 12oz x 8</v>
      </c>
      <c r="V528" s="22">
        <f t="shared" si="123"/>
        <v>19</v>
      </c>
      <c r="W528" t="str">
        <f t="shared" si="124"/>
        <v>Peru Chef 08/11/2025</v>
      </c>
      <c r="Z528">
        <f t="shared" si="125"/>
        <v>57</v>
      </c>
    </row>
    <row r="529" spans="1:26" hidden="1" x14ac:dyDescent="0.25">
      <c r="A529" s="2" t="s">
        <v>272</v>
      </c>
      <c r="B529" s="11" t="s">
        <v>512</v>
      </c>
      <c r="C529" s="11" t="s">
        <v>4</v>
      </c>
      <c r="D529" s="11" t="s">
        <v>513</v>
      </c>
      <c r="E529" s="11" t="s">
        <v>298</v>
      </c>
      <c r="F529" s="11" t="s">
        <v>454</v>
      </c>
      <c r="G529" s="12">
        <v>2</v>
      </c>
      <c r="H529" s="12">
        <v>19</v>
      </c>
      <c r="I529" s="12">
        <v>38</v>
      </c>
      <c r="J529" s="12">
        <v>16623.5</v>
      </c>
      <c r="K529" s="20">
        <f t="shared" si="112"/>
        <v>8</v>
      </c>
      <c r="L529" s="20" t="str">
        <f t="shared" si="113"/>
        <v>Se repite 8 veces</v>
      </c>
      <c r="M529" s="20" t="str">
        <f t="shared" si="114"/>
        <v>Peru Chef-Peru Chef Papa Seca Amarilla 12oz x 8</v>
      </c>
      <c r="N529" s="20">
        <f t="shared" si="115"/>
        <v>8</v>
      </c>
      <c r="O529" s="20" t="str">
        <f t="shared" si="116"/>
        <v>Se repite 8 veces en Peru Chef</v>
      </c>
      <c r="P529" s="20" t="str">
        <f t="shared" si="117"/>
        <v>Peru Chef-Peru Chef Papa Seca Amarilla 12oz x 8-19</v>
      </c>
      <c r="Q529" s="20">
        <f t="shared" si="118"/>
        <v>3</v>
      </c>
      <c r="R529" s="20" t="str">
        <f t="shared" si="119"/>
        <v>Se repite 3 veces el precio de 19</v>
      </c>
      <c r="S529" s="20" t="str">
        <f t="shared" si="120"/>
        <v>El producto Peru Chef Papa Seca Amarilla 12oz x 8 Se repite 8 veces en Peru Chef, Se repite 3 veces el precio de 19</v>
      </c>
      <c r="T529" s="20" t="str">
        <f t="shared" si="121"/>
        <v>Peru Chef</v>
      </c>
      <c r="U529" s="20" t="str">
        <f t="shared" si="122"/>
        <v>Peru Chef Papa Seca Amarilla 12oz x 8</v>
      </c>
      <c r="V529" s="22">
        <f t="shared" si="123"/>
        <v>19</v>
      </c>
      <c r="W529" t="str">
        <f t="shared" si="124"/>
        <v>Peru Chef 08/28/2025</v>
      </c>
      <c r="Z529">
        <f t="shared" si="125"/>
        <v>38</v>
      </c>
    </row>
    <row r="530" spans="1:26" hidden="1" x14ac:dyDescent="0.25">
      <c r="A530" s="2" t="s">
        <v>272</v>
      </c>
      <c r="B530" s="11" t="s">
        <v>572</v>
      </c>
      <c r="C530" s="11" t="s">
        <v>4</v>
      </c>
      <c r="D530" s="11" t="s">
        <v>573</v>
      </c>
      <c r="E530" s="11" t="s">
        <v>298</v>
      </c>
      <c r="F530" s="11" t="s">
        <v>454</v>
      </c>
      <c r="G530" s="12">
        <v>5</v>
      </c>
      <c r="H530" s="12">
        <v>19</v>
      </c>
      <c r="I530" s="12">
        <v>95</v>
      </c>
      <c r="J530" s="12">
        <v>28551.5</v>
      </c>
      <c r="K530" s="20">
        <f t="shared" si="112"/>
        <v>8</v>
      </c>
      <c r="L530" s="20" t="str">
        <f t="shared" si="113"/>
        <v>Se repite 8 veces</v>
      </c>
      <c r="M530" s="20" t="str">
        <f t="shared" si="114"/>
        <v>Peru Chef-Peru Chef Papa Seca Amarilla 12oz x 8</v>
      </c>
      <c r="N530" s="20">
        <f t="shared" si="115"/>
        <v>8</v>
      </c>
      <c r="O530" s="20" t="str">
        <f t="shared" si="116"/>
        <v>Se repite 8 veces en Peru Chef</v>
      </c>
      <c r="P530" s="20" t="str">
        <f t="shared" si="117"/>
        <v>Peru Chef-Peru Chef Papa Seca Amarilla 12oz x 8-19</v>
      </c>
      <c r="Q530" s="20">
        <f t="shared" si="118"/>
        <v>3</v>
      </c>
      <c r="R530" s="20" t="str">
        <f t="shared" si="119"/>
        <v>Se repite 3 veces el precio de 19</v>
      </c>
      <c r="S530" s="20" t="str">
        <f t="shared" si="120"/>
        <v>El producto Peru Chef Papa Seca Amarilla 12oz x 8 Se repite 8 veces en Peru Chef, Se repite 3 veces el precio de 19</v>
      </c>
      <c r="T530" s="20" t="str">
        <f t="shared" si="121"/>
        <v>Peru Chef</v>
      </c>
      <c r="U530" s="20" t="str">
        <f t="shared" si="122"/>
        <v>Peru Chef Papa Seca Amarilla 12oz x 8</v>
      </c>
      <c r="V530" s="22">
        <f t="shared" si="123"/>
        <v>19</v>
      </c>
      <c r="W530" t="str">
        <f t="shared" si="124"/>
        <v>Peru Chef 10/09/2025</v>
      </c>
      <c r="Z530">
        <f t="shared" si="125"/>
        <v>95</v>
      </c>
    </row>
    <row r="531" spans="1:26" hidden="1" x14ac:dyDescent="0.25">
      <c r="A531" s="2" t="s">
        <v>272</v>
      </c>
      <c r="B531" s="11" t="s">
        <v>590</v>
      </c>
      <c r="C531" s="11" t="s">
        <v>4</v>
      </c>
      <c r="D531" s="11" t="s">
        <v>591</v>
      </c>
      <c r="E531" s="11" t="s">
        <v>298</v>
      </c>
      <c r="F531" s="11" t="s">
        <v>454</v>
      </c>
      <c r="G531" s="12">
        <v>2</v>
      </c>
      <c r="H531" s="12">
        <v>17.100000000000001</v>
      </c>
      <c r="I531" s="12">
        <v>34.200000000000003</v>
      </c>
      <c r="J531" s="12">
        <v>31137.7</v>
      </c>
      <c r="K531" s="20">
        <f t="shared" si="112"/>
        <v>8</v>
      </c>
      <c r="L531" s="20" t="str">
        <f t="shared" si="113"/>
        <v>Se repite 8 veces</v>
      </c>
      <c r="M531" s="20" t="str">
        <f t="shared" si="114"/>
        <v>Peru Chef-Peru Chef Papa Seca Amarilla 12oz x 8</v>
      </c>
      <c r="N531" s="20">
        <f t="shared" si="115"/>
        <v>8</v>
      </c>
      <c r="O531" s="20" t="str">
        <f t="shared" si="116"/>
        <v>Se repite 8 veces en Peru Chef</v>
      </c>
      <c r="P531" s="20" t="str">
        <f t="shared" si="117"/>
        <v>Peru Chef-Peru Chef Papa Seca Amarilla 12oz x 8-17.1</v>
      </c>
      <c r="Q531" s="20">
        <f t="shared" si="118"/>
        <v>2</v>
      </c>
      <c r="R531" s="20" t="str">
        <f t="shared" si="119"/>
        <v>Se repite 2 veces el precio de 17.1</v>
      </c>
      <c r="S531" s="20" t="str">
        <f t="shared" si="120"/>
        <v>El producto Peru Chef Papa Seca Amarilla 12oz x 8 Se repite 8 veces en Peru Chef, Se repite 2 veces el precio de 17.1</v>
      </c>
      <c r="T531" s="20" t="str">
        <f t="shared" si="121"/>
        <v>Peru Chef</v>
      </c>
      <c r="U531" s="20" t="str">
        <f t="shared" si="122"/>
        <v>Peru Chef Papa Seca Amarilla 12oz x 8</v>
      </c>
      <c r="V531" s="22">
        <f t="shared" si="123"/>
        <v>17.100000000000001</v>
      </c>
      <c r="W531" t="str">
        <f t="shared" si="124"/>
        <v>Peru Chef 10/28/2025</v>
      </c>
      <c r="Z531">
        <f t="shared" si="125"/>
        <v>34.200000000000003</v>
      </c>
    </row>
    <row r="532" spans="1:26" hidden="1" x14ac:dyDescent="0.25">
      <c r="A532" s="2" t="s">
        <v>272</v>
      </c>
      <c r="B532" s="11" t="s">
        <v>600</v>
      </c>
      <c r="C532" s="11" t="s">
        <v>4</v>
      </c>
      <c r="D532" s="11" t="s">
        <v>601</v>
      </c>
      <c r="E532" s="11" t="s">
        <v>298</v>
      </c>
      <c r="F532" s="11" t="s">
        <v>454</v>
      </c>
      <c r="G532" s="12">
        <v>3</v>
      </c>
      <c r="H532" s="12">
        <v>17.100000000000001</v>
      </c>
      <c r="I532" s="12">
        <v>51.3</v>
      </c>
      <c r="J532" s="12">
        <v>35045.950000000004</v>
      </c>
      <c r="K532" s="20">
        <f t="shared" si="112"/>
        <v>8</v>
      </c>
      <c r="L532" s="20" t="str">
        <f t="shared" si="113"/>
        <v>Se repite 8 veces</v>
      </c>
      <c r="M532" s="20" t="str">
        <f t="shared" si="114"/>
        <v>Peru Chef-Peru Chef Papa Seca Amarilla 12oz x 8</v>
      </c>
      <c r="N532" s="20">
        <f t="shared" si="115"/>
        <v>8</v>
      </c>
      <c r="O532" s="20" t="str">
        <f t="shared" si="116"/>
        <v>Se repite 8 veces en Peru Chef</v>
      </c>
      <c r="P532" s="20" t="str">
        <f t="shared" si="117"/>
        <v>Peru Chef-Peru Chef Papa Seca Amarilla 12oz x 8-17.1</v>
      </c>
      <c r="Q532" s="20">
        <f t="shared" si="118"/>
        <v>2</v>
      </c>
      <c r="R532" s="20" t="str">
        <f t="shared" si="119"/>
        <v>Se repite 2 veces el precio de 17.1</v>
      </c>
      <c r="S532" s="20" t="str">
        <f t="shared" si="120"/>
        <v>El producto Peru Chef Papa Seca Amarilla 12oz x 8 Se repite 8 veces en Peru Chef, Se repite 2 veces el precio de 17.1</v>
      </c>
      <c r="T532" s="20" t="str">
        <f t="shared" si="121"/>
        <v>Peru Chef</v>
      </c>
      <c r="U532" s="20" t="str">
        <f t="shared" si="122"/>
        <v>Peru Chef Papa Seca Amarilla 12oz x 8</v>
      </c>
      <c r="V532" s="22">
        <f t="shared" si="123"/>
        <v>17.100000000000001</v>
      </c>
      <c r="W532" t="str">
        <f t="shared" si="124"/>
        <v>Peru Chef 11/14/2025</v>
      </c>
      <c r="Z532">
        <f t="shared" si="125"/>
        <v>51.300000000000004</v>
      </c>
    </row>
    <row r="533" spans="1:26" hidden="1" x14ac:dyDescent="0.25">
      <c r="A533" s="2" t="s">
        <v>272</v>
      </c>
      <c r="B533" s="11" t="s">
        <v>273</v>
      </c>
      <c r="C533" s="11" t="s">
        <v>4</v>
      </c>
      <c r="D533" s="11" t="s">
        <v>5</v>
      </c>
      <c r="E533" s="11" t="s">
        <v>296</v>
      </c>
      <c r="F533" s="11" t="s">
        <v>297</v>
      </c>
      <c r="G533" s="12">
        <v>1</v>
      </c>
      <c r="H533" s="12">
        <v>19</v>
      </c>
      <c r="I533" s="12">
        <v>19</v>
      </c>
      <c r="J533" s="12">
        <v>432.5</v>
      </c>
      <c r="K533" s="20">
        <f t="shared" si="112"/>
        <v>6</v>
      </c>
      <c r="L533" s="20" t="str">
        <f t="shared" si="113"/>
        <v>Se repite 6 veces</v>
      </c>
      <c r="M533" s="20" t="str">
        <f t="shared" si="114"/>
        <v>Peru Chef-Peru Chef Papa Seca Serrana 15 Oz X 10</v>
      </c>
      <c r="N533" s="20">
        <f t="shared" si="115"/>
        <v>6</v>
      </c>
      <c r="O533" s="20" t="str">
        <f t="shared" si="116"/>
        <v>Se repite 6 veces en Peru Chef</v>
      </c>
      <c r="P533" s="20" t="str">
        <f t="shared" si="117"/>
        <v>Peru Chef-Peru Chef Papa Seca Serrana 15 Oz X 10-19</v>
      </c>
      <c r="Q533" s="20">
        <f t="shared" si="118"/>
        <v>2</v>
      </c>
      <c r="R533" s="20" t="str">
        <f t="shared" si="119"/>
        <v>Se repite 2 veces el precio de 19</v>
      </c>
      <c r="S533" s="20" t="str">
        <f t="shared" si="120"/>
        <v>El producto Peru Chef Papa Seca Serrana 15 Oz X 10 Se repite 6 veces en Peru Chef, Se repite 2 veces el precio de 19</v>
      </c>
      <c r="T533" s="20" t="str">
        <f t="shared" si="121"/>
        <v>Peru Chef</v>
      </c>
      <c r="U533" s="20" t="str">
        <f t="shared" si="122"/>
        <v>Peru Chef Papa Seca Serrana 15 Oz X 10</v>
      </c>
      <c r="V533" s="22">
        <f t="shared" si="123"/>
        <v>19</v>
      </c>
      <c r="W533" t="str">
        <f t="shared" si="124"/>
        <v>Peru Chef 03/26/2025</v>
      </c>
      <c r="Z533">
        <f t="shared" si="125"/>
        <v>19</v>
      </c>
    </row>
    <row r="534" spans="1:26" hidden="1" x14ac:dyDescent="0.25">
      <c r="A534" s="2" t="s">
        <v>272</v>
      </c>
      <c r="B534" s="11" t="s">
        <v>398</v>
      </c>
      <c r="C534" s="11" t="s">
        <v>4</v>
      </c>
      <c r="D534" s="11" t="s">
        <v>399</v>
      </c>
      <c r="E534" s="11" t="s">
        <v>296</v>
      </c>
      <c r="F534" s="11" t="s">
        <v>297</v>
      </c>
      <c r="G534" s="12">
        <v>1</v>
      </c>
      <c r="H534" s="12">
        <v>19</v>
      </c>
      <c r="I534" s="12">
        <v>19</v>
      </c>
      <c r="J534" s="12">
        <v>2678.7</v>
      </c>
      <c r="K534" s="20">
        <f t="shared" si="112"/>
        <v>6</v>
      </c>
      <c r="L534" s="20" t="str">
        <f t="shared" si="113"/>
        <v>Se repite 6 veces</v>
      </c>
      <c r="M534" s="20" t="str">
        <f t="shared" si="114"/>
        <v>Peru Chef-Peru Chef Papa Seca Serrana 15 Oz X 10</v>
      </c>
      <c r="N534" s="20">
        <f t="shared" si="115"/>
        <v>6</v>
      </c>
      <c r="O534" s="20" t="str">
        <f t="shared" si="116"/>
        <v>Se repite 6 veces en Peru Chef</v>
      </c>
      <c r="P534" s="20" t="str">
        <f t="shared" si="117"/>
        <v>Peru Chef-Peru Chef Papa Seca Serrana 15 Oz X 10-19</v>
      </c>
      <c r="Q534" s="20">
        <f t="shared" si="118"/>
        <v>2</v>
      </c>
      <c r="R534" s="20" t="str">
        <f t="shared" si="119"/>
        <v>Se repite 2 veces el precio de 19</v>
      </c>
      <c r="S534" s="20" t="str">
        <f t="shared" si="120"/>
        <v>El producto Peru Chef Papa Seca Serrana 15 Oz X 10 Se repite 6 veces en Peru Chef, Se repite 2 veces el precio de 19</v>
      </c>
      <c r="T534" s="20" t="str">
        <f t="shared" si="121"/>
        <v>Peru Chef</v>
      </c>
      <c r="U534" s="20" t="str">
        <f t="shared" si="122"/>
        <v>Peru Chef Papa Seca Serrana 15 Oz X 10</v>
      </c>
      <c r="V534" s="22">
        <f t="shared" si="123"/>
        <v>19</v>
      </c>
      <c r="W534" t="str">
        <f t="shared" si="124"/>
        <v>Peru Chef 04/10/2025</v>
      </c>
      <c r="Z534">
        <f t="shared" si="125"/>
        <v>19</v>
      </c>
    </row>
    <row r="535" spans="1:26" hidden="1" x14ac:dyDescent="0.25">
      <c r="A535" s="2" t="s">
        <v>272</v>
      </c>
      <c r="B535" s="11" t="s">
        <v>444</v>
      </c>
      <c r="C535" s="11" t="s">
        <v>4</v>
      </c>
      <c r="D535" s="11" t="s">
        <v>445</v>
      </c>
      <c r="E535" s="11" t="s">
        <v>296</v>
      </c>
      <c r="F535" s="11" t="s">
        <v>453</v>
      </c>
      <c r="G535" s="12">
        <v>2</v>
      </c>
      <c r="H535" s="12">
        <v>21</v>
      </c>
      <c r="I535" s="12">
        <v>42</v>
      </c>
      <c r="J535" s="12">
        <v>7534.6</v>
      </c>
      <c r="K535" s="20">
        <f t="shared" si="112"/>
        <v>6</v>
      </c>
      <c r="L535" s="20" t="str">
        <f t="shared" si="113"/>
        <v>Se repite 6 veces</v>
      </c>
      <c r="M535" s="20" t="str">
        <f t="shared" si="114"/>
        <v>Peru Chef-Peru Chef Papa Seca Serrana 15 Oz X 10</v>
      </c>
      <c r="N535" s="20">
        <f t="shared" si="115"/>
        <v>6</v>
      </c>
      <c r="O535" s="20" t="str">
        <f t="shared" si="116"/>
        <v>Se repite 6 veces en Peru Chef</v>
      </c>
      <c r="P535" s="20" t="str">
        <f t="shared" si="117"/>
        <v>Peru Chef-Peru Chef Papa Seca Serrana 15 Oz X 10-21</v>
      </c>
      <c r="Q535" s="20">
        <f t="shared" si="118"/>
        <v>2</v>
      </c>
      <c r="R535" s="20" t="str">
        <f t="shared" si="119"/>
        <v>Se repite 2 veces el precio de 21</v>
      </c>
      <c r="S535" s="20" t="str">
        <f t="shared" si="120"/>
        <v>El producto Peru Chef Papa Seca Serrana 15 Oz X 10 Se repite 6 veces en Peru Chef, Se repite 2 veces el precio de 21</v>
      </c>
      <c r="T535" s="20" t="str">
        <f t="shared" si="121"/>
        <v>Peru Chef</v>
      </c>
      <c r="U535" s="20" t="str">
        <f t="shared" si="122"/>
        <v>Peru Chef Papa Seca Serrana 15 Oz X 10</v>
      </c>
      <c r="V535" s="22">
        <f t="shared" si="123"/>
        <v>21</v>
      </c>
      <c r="W535" t="str">
        <f t="shared" si="124"/>
        <v>Peru Chef 04/24/2025</v>
      </c>
      <c r="Z535">
        <f t="shared" si="125"/>
        <v>42</v>
      </c>
    </row>
    <row r="536" spans="1:26" hidden="1" x14ac:dyDescent="0.25">
      <c r="A536" s="2" t="s">
        <v>272</v>
      </c>
      <c r="B536" s="11" t="s">
        <v>572</v>
      </c>
      <c r="C536" s="11" t="s">
        <v>4</v>
      </c>
      <c r="D536" s="11" t="s">
        <v>573</v>
      </c>
      <c r="E536" s="11" t="s">
        <v>296</v>
      </c>
      <c r="F536" s="11" t="s">
        <v>453</v>
      </c>
      <c r="G536" s="12">
        <v>2</v>
      </c>
      <c r="H536" s="12">
        <v>21</v>
      </c>
      <c r="I536" s="12">
        <v>42</v>
      </c>
      <c r="J536" s="12">
        <v>28456.5</v>
      </c>
      <c r="K536" s="20">
        <f t="shared" si="112"/>
        <v>6</v>
      </c>
      <c r="L536" s="20" t="str">
        <f t="shared" si="113"/>
        <v>Se repite 6 veces</v>
      </c>
      <c r="M536" s="20" t="str">
        <f t="shared" si="114"/>
        <v>Peru Chef-Peru Chef Papa Seca Serrana 15 Oz X 10</v>
      </c>
      <c r="N536" s="20">
        <f t="shared" si="115"/>
        <v>6</v>
      </c>
      <c r="O536" s="20" t="str">
        <f t="shared" si="116"/>
        <v>Se repite 6 veces en Peru Chef</v>
      </c>
      <c r="P536" s="20" t="str">
        <f t="shared" si="117"/>
        <v>Peru Chef-Peru Chef Papa Seca Serrana 15 Oz X 10-21</v>
      </c>
      <c r="Q536" s="20">
        <f t="shared" si="118"/>
        <v>2</v>
      </c>
      <c r="R536" s="20" t="str">
        <f t="shared" si="119"/>
        <v>Se repite 2 veces el precio de 21</v>
      </c>
      <c r="S536" s="20" t="str">
        <f t="shared" si="120"/>
        <v>El producto Peru Chef Papa Seca Serrana 15 Oz X 10 Se repite 6 veces en Peru Chef, Se repite 2 veces el precio de 21</v>
      </c>
      <c r="T536" s="20" t="str">
        <f t="shared" si="121"/>
        <v>Peru Chef</v>
      </c>
      <c r="U536" s="20" t="str">
        <f t="shared" si="122"/>
        <v>Peru Chef Papa Seca Serrana 15 Oz X 10</v>
      </c>
      <c r="V536" s="22">
        <f t="shared" si="123"/>
        <v>21</v>
      </c>
      <c r="W536" t="str">
        <f t="shared" si="124"/>
        <v>Peru Chef 10/09/2025</v>
      </c>
      <c r="Z536">
        <f t="shared" si="125"/>
        <v>42</v>
      </c>
    </row>
    <row r="537" spans="1:26" hidden="1" x14ac:dyDescent="0.25">
      <c r="A537" s="2" t="s">
        <v>272</v>
      </c>
      <c r="B537" s="11" t="s">
        <v>590</v>
      </c>
      <c r="C537" s="11" t="s">
        <v>4</v>
      </c>
      <c r="D537" s="11" t="s">
        <v>591</v>
      </c>
      <c r="E537" s="11" t="s">
        <v>296</v>
      </c>
      <c r="F537" s="11" t="s">
        <v>453</v>
      </c>
      <c r="G537" s="12">
        <v>4</v>
      </c>
      <c r="H537" s="12">
        <v>18.899999999999999</v>
      </c>
      <c r="I537" s="12">
        <v>75.599999999999994</v>
      </c>
      <c r="J537" s="12">
        <v>31103.5</v>
      </c>
      <c r="K537" s="20">
        <f t="shared" si="112"/>
        <v>6</v>
      </c>
      <c r="L537" s="20" t="str">
        <f t="shared" si="113"/>
        <v>Se repite 6 veces</v>
      </c>
      <c r="M537" s="20" t="str">
        <f t="shared" si="114"/>
        <v>Peru Chef-Peru Chef Papa Seca Serrana 15 Oz X 10</v>
      </c>
      <c r="N537" s="20">
        <f t="shared" si="115"/>
        <v>6</v>
      </c>
      <c r="O537" s="20" t="str">
        <f t="shared" si="116"/>
        <v>Se repite 6 veces en Peru Chef</v>
      </c>
      <c r="P537" s="20" t="str">
        <f t="shared" si="117"/>
        <v>Peru Chef-Peru Chef Papa Seca Serrana 15 Oz X 10-18.9</v>
      </c>
      <c r="Q537" s="20">
        <f t="shared" si="118"/>
        <v>2</v>
      </c>
      <c r="R537" s="20" t="str">
        <f t="shared" si="119"/>
        <v>Se repite 2 veces el precio de 18.9</v>
      </c>
      <c r="S537" s="20" t="str">
        <f t="shared" si="120"/>
        <v>El producto Peru Chef Papa Seca Serrana 15 Oz X 10 Se repite 6 veces en Peru Chef, Se repite 2 veces el precio de 18.9</v>
      </c>
      <c r="T537" s="20" t="str">
        <f t="shared" si="121"/>
        <v>Peru Chef</v>
      </c>
      <c r="U537" s="20" t="str">
        <f t="shared" si="122"/>
        <v>Peru Chef Papa Seca Serrana 15 Oz X 10</v>
      </c>
      <c r="V537" s="22">
        <f t="shared" si="123"/>
        <v>18.899999999999999</v>
      </c>
      <c r="W537" t="str">
        <f t="shared" si="124"/>
        <v>Peru Chef 10/28/2025</v>
      </c>
      <c r="Z537">
        <f t="shared" si="125"/>
        <v>75.599999999999994</v>
      </c>
    </row>
    <row r="538" spans="1:26" hidden="1" x14ac:dyDescent="0.25">
      <c r="A538" s="2" t="s">
        <v>272</v>
      </c>
      <c r="B538" s="11" t="s">
        <v>600</v>
      </c>
      <c r="C538" s="11" t="s">
        <v>4</v>
      </c>
      <c r="D538" s="11" t="s">
        <v>601</v>
      </c>
      <c r="E538" s="11" t="s">
        <v>296</v>
      </c>
      <c r="F538" s="11" t="s">
        <v>453</v>
      </c>
      <c r="G538" s="12">
        <v>2</v>
      </c>
      <c r="H538" s="12">
        <v>18.899999999999999</v>
      </c>
      <c r="I538" s="12">
        <v>37.799999999999997</v>
      </c>
      <c r="J538" s="12">
        <v>34994.65</v>
      </c>
      <c r="K538" s="20">
        <f t="shared" si="112"/>
        <v>6</v>
      </c>
      <c r="L538" s="20" t="str">
        <f t="shared" si="113"/>
        <v>Se repite 6 veces</v>
      </c>
      <c r="M538" s="20" t="str">
        <f t="shared" si="114"/>
        <v>Peru Chef-Peru Chef Papa Seca Serrana 15 Oz X 10</v>
      </c>
      <c r="N538" s="20">
        <f t="shared" si="115"/>
        <v>6</v>
      </c>
      <c r="O538" s="20" t="str">
        <f t="shared" si="116"/>
        <v>Se repite 6 veces en Peru Chef</v>
      </c>
      <c r="P538" s="20" t="str">
        <f t="shared" si="117"/>
        <v>Peru Chef-Peru Chef Papa Seca Serrana 15 Oz X 10-18.9</v>
      </c>
      <c r="Q538" s="20">
        <f t="shared" si="118"/>
        <v>2</v>
      </c>
      <c r="R538" s="20" t="str">
        <f t="shared" si="119"/>
        <v>Se repite 2 veces el precio de 18.9</v>
      </c>
      <c r="S538" s="20" t="str">
        <f t="shared" si="120"/>
        <v>El producto Peru Chef Papa Seca Serrana 15 Oz X 10 Se repite 6 veces en Peru Chef, Se repite 2 veces el precio de 18.9</v>
      </c>
      <c r="T538" s="20" t="str">
        <f t="shared" si="121"/>
        <v>Peru Chef</v>
      </c>
      <c r="U538" s="20" t="str">
        <f t="shared" si="122"/>
        <v>Peru Chef Papa Seca Serrana 15 Oz X 10</v>
      </c>
      <c r="V538" s="22">
        <f t="shared" si="123"/>
        <v>18.899999999999999</v>
      </c>
      <c r="W538" t="str">
        <f t="shared" si="124"/>
        <v>Peru Chef 11/14/2025</v>
      </c>
      <c r="Z538">
        <f t="shared" si="125"/>
        <v>37.799999999999997</v>
      </c>
    </row>
    <row r="539" spans="1:26" hidden="1" x14ac:dyDescent="0.25">
      <c r="A539" s="2" t="s">
        <v>272</v>
      </c>
      <c r="B539" s="11" t="s">
        <v>619</v>
      </c>
      <c r="C539" s="11" t="s">
        <v>4</v>
      </c>
      <c r="D539" s="11" t="s">
        <v>621</v>
      </c>
      <c r="E539" s="11" t="s">
        <v>629</v>
      </c>
      <c r="F539" s="11" t="s">
        <v>630</v>
      </c>
      <c r="G539" s="12">
        <v>8</v>
      </c>
      <c r="H539" s="12">
        <v>18</v>
      </c>
      <c r="I539" s="12">
        <v>144</v>
      </c>
      <c r="J539" s="12">
        <v>40529.65</v>
      </c>
      <c r="K539" s="20">
        <f t="shared" si="112"/>
        <v>1</v>
      </c>
      <c r="L539" s="20" t="str">
        <f t="shared" si="113"/>
        <v>No se repite</v>
      </c>
      <c r="M539" s="20" t="str">
        <f t="shared" si="114"/>
        <v>Peru Chef-Peru Chef Pasta Aji Amarillo 116 oz</v>
      </c>
      <c r="N539" s="20">
        <f t="shared" si="115"/>
        <v>1</v>
      </c>
      <c r="O539" s="20" t="str">
        <f t="shared" si="116"/>
        <v>No se repite en proveedor</v>
      </c>
      <c r="P539" s="20" t="str">
        <f t="shared" si="117"/>
        <v>Peru Chef-Peru Chef Pasta Aji Amarillo 116 oz-18</v>
      </c>
      <c r="Q539" s="20">
        <f t="shared" si="118"/>
        <v>1</v>
      </c>
      <c r="R539" s="20" t="str">
        <f t="shared" si="119"/>
        <v>No se repite</v>
      </c>
      <c r="S539" s="20" t="str">
        <f t="shared" si="120"/>
        <v>El producto Peru Chef Pasta Aji Amarillo 116 oz No se repite en proveedor Una vez con el precio 18</v>
      </c>
      <c r="T539" s="20" t="str">
        <f t="shared" si="121"/>
        <v>Peru Chef</v>
      </c>
      <c r="U539" s="20" t="str">
        <f t="shared" si="122"/>
        <v>Peru Chef Pasta Aji Amarillo 116 oz</v>
      </c>
      <c r="V539" s="22">
        <f t="shared" si="123"/>
        <v>18</v>
      </c>
      <c r="W539" t="str">
        <f t="shared" si="124"/>
        <v>Peru Chef 12/09/2025</v>
      </c>
      <c r="Z539">
        <f t="shared" si="125"/>
        <v>144</v>
      </c>
    </row>
    <row r="540" spans="1:26" hidden="1" x14ac:dyDescent="0.25">
      <c r="A540" s="2" t="s">
        <v>272</v>
      </c>
      <c r="B540" s="11" t="s">
        <v>273</v>
      </c>
      <c r="C540" s="11" t="s">
        <v>4</v>
      </c>
      <c r="D540" s="11" t="s">
        <v>5</v>
      </c>
      <c r="E540" s="11" t="s">
        <v>278</v>
      </c>
      <c r="F540" s="11" t="s">
        <v>279</v>
      </c>
      <c r="G540" s="12">
        <v>1</v>
      </c>
      <c r="H540" s="12">
        <v>36</v>
      </c>
      <c r="I540" s="12">
        <v>36</v>
      </c>
      <c r="J540" s="12">
        <v>98.5</v>
      </c>
      <c r="K540" s="20">
        <f t="shared" si="112"/>
        <v>6</v>
      </c>
      <c r="L540" s="20" t="str">
        <f t="shared" si="113"/>
        <v>Se repite 6 veces</v>
      </c>
      <c r="M540" s="20" t="str">
        <f t="shared" si="114"/>
        <v>Peru Chef-Peru Chef Pasta Aji Amarillo 16 oz x 12</v>
      </c>
      <c r="N540" s="20">
        <f t="shared" si="115"/>
        <v>6</v>
      </c>
      <c r="O540" s="20" t="str">
        <f t="shared" si="116"/>
        <v>Se repite 6 veces en Peru Chef</v>
      </c>
      <c r="P540" s="20" t="str">
        <f t="shared" si="117"/>
        <v>Peru Chef-Peru Chef Pasta Aji Amarillo 16 oz x 12-36</v>
      </c>
      <c r="Q540" s="20">
        <f t="shared" si="118"/>
        <v>4</v>
      </c>
      <c r="R540" s="20" t="str">
        <f t="shared" si="119"/>
        <v>Se repite 4 veces el precio de 36</v>
      </c>
      <c r="S540" s="20" t="str">
        <f t="shared" si="120"/>
        <v>El producto Peru Chef Pasta Aji Amarillo 16 oz x 12 Se repite 6 veces en Peru Chef, Se repite 4 veces el precio de 36</v>
      </c>
      <c r="T540" s="20" t="str">
        <f t="shared" si="121"/>
        <v>Peru Chef</v>
      </c>
      <c r="U540" s="20" t="str">
        <f t="shared" si="122"/>
        <v>Peru Chef Pasta Aji Amarillo 16 oz x 12</v>
      </c>
      <c r="V540" s="22">
        <f t="shared" si="123"/>
        <v>36</v>
      </c>
      <c r="W540" t="str">
        <f t="shared" si="124"/>
        <v>Peru Chef 03/26/2025</v>
      </c>
      <c r="Z540">
        <f t="shared" si="125"/>
        <v>36</v>
      </c>
    </row>
    <row r="541" spans="1:26" hidden="1" x14ac:dyDescent="0.25">
      <c r="A541" s="2" t="s">
        <v>272</v>
      </c>
      <c r="B541" s="11" t="s">
        <v>398</v>
      </c>
      <c r="C541" s="11" t="s">
        <v>4</v>
      </c>
      <c r="D541" s="11" t="s">
        <v>399</v>
      </c>
      <c r="E541" s="11" t="s">
        <v>278</v>
      </c>
      <c r="F541" s="11" t="s">
        <v>279</v>
      </c>
      <c r="G541" s="12">
        <v>1</v>
      </c>
      <c r="H541" s="12">
        <v>36</v>
      </c>
      <c r="I541" s="12">
        <v>36</v>
      </c>
      <c r="J541" s="12">
        <v>2344.6999999999998</v>
      </c>
      <c r="K541" s="20">
        <f t="shared" si="112"/>
        <v>6</v>
      </c>
      <c r="L541" s="20" t="str">
        <f t="shared" si="113"/>
        <v>Se repite 6 veces</v>
      </c>
      <c r="M541" s="20" t="str">
        <f t="shared" si="114"/>
        <v>Peru Chef-Peru Chef Pasta Aji Amarillo 16 oz x 12</v>
      </c>
      <c r="N541" s="20">
        <f t="shared" si="115"/>
        <v>6</v>
      </c>
      <c r="O541" s="20" t="str">
        <f t="shared" si="116"/>
        <v>Se repite 6 veces en Peru Chef</v>
      </c>
      <c r="P541" s="20" t="str">
        <f t="shared" si="117"/>
        <v>Peru Chef-Peru Chef Pasta Aji Amarillo 16 oz x 12-36</v>
      </c>
      <c r="Q541" s="20">
        <f t="shared" si="118"/>
        <v>4</v>
      </c>
      <c r="R541" s="20" t="str">
        <f t="shared" si="119"/>
        <v>Se repite 4 veces el precio de 36</v>
      </c>
      <c r="S541" s="20" t="str">
        <f t="shared" si="120"/>
        <v>El producto Peru Chef Pasta Aji Amarillo 16 oz x 12 Se repite 6 veces en Peru Chef, Se repite 4 veces el precio de 36</v>
      </c>
      <c r="T541" s="20" t="str">
        <f t="shared" si="121"/>
        <v>Peru Chef</v>
      </c>
      <c r="U541" s="20" t="str">
        <f t="shared" si="122"/>
        <v>Peru Chef Pasta Aji Amarillo 16 oz x 12</v>
      </c>
      <c r="V541" s="22">
        <f t="shared" si="123"/>
        <v>36</v>
      </c>
      <c r="W541" t="str">
        <f t="shared" si="124"/>
        <v>Peru Chef 04/10/2025</v>
      </c>
      <c r="Z541">
        <f t="shared" si="125"/>
        <v>36</v>
      </c>
    </row>
    <row r="542" spans="1:26" hidden="1" x14ac:dyDescent="0.25">
      <c r="A542" s="2" t="s">
        <v>272</v>
      </c>
      <c r="B542" s="11" t="s">
        <v>408</v>
      </c>
      <c r="C542" s="11" t="s">
        <v>4</v>
      </c>
      <c r="D542" s="11" t="s">
        <v>409</v>
      </c>
      <c r="E542" s="11" t="s">
        <v>278</v>
      </c>
      <c r="F542" s="11" t="s">
        <v>279</v>
      </c>
      <c r="G542" s="12">
        <v>1</v>
      </c>
      <c r="H542" s="12">
        <v>36</v>
      </c>
      <c r="I542" s="12">
        <v>36</v>
      </c>
      <c r="J542" s="12">
        <v>5764.6</v>
      </c>
      <c r="K542" s="20">
        <f t="shared" si="112"/>
        <v>6</v>
      </c>
      <c r="L542" s="20" t="str">
        <f t="shared" si="113"/>
        <v>Se repite 6 veces</v>
      </c>
      <c r="M542" s="20" t="str">
        <f t="shared" si="114"/>
        <v>Peru Chef-Peru Chef Pasta Aji Amarillo 16 oz x 12</v>
      </c>
      <c r="N542" s="20">
        <f t="shared" si="115"/>
        <v>6</v>
      </c>
      <c r="O542" s="20" t="str">
        <f t="shared" si="116"/>
        <v>Se repite 6 veces en Peru Chef</v>
      </c>
      <c r="P542" s="20" t="str">
        <f t="shared" si="117"/>
        <v>Peru Chef-Peru Chef Pasta Aji Amarillo 16 oz x 12-36</v>
      </c>
      <c r="Q542" s="20">
        <f t="shared" si="118"/>
        <v>4</v>
      </c>
      <c r="R542" s="20" t="str">
        <f t="shared" si="119"/>
        <v>Se repite 4 veces el precio de 36</v>
      </c>
      <c r="S542" s="20" t="str">
        <f t="shared" si="120"/>
        <v>El producto Peru Chef Pasta Aji Amarillo 16 oz x 12 Se repite 6 veces en Peru Chef, Se repite 4 veces el precio de 36</v>
      </c>
      <c r="T542" s="20" t="str">
        <f t="shared" si="121"/>
        <v>Peru Chef</v>
      </c>
      <c r="U542" s="20" t="str">
        <f t="shared" si="122"/>
        <v>Peru Chef Pasta Aji Amarillo 16 oz x 12</v>
      </c>
      <c r="V542" s="22">
        <f t="shared" si="123"/>
        <v>36</v>
      </c>
      <c r="W542" t="str">
        <f t="shared" si="124"/>
        <v>Peru Chef 04/13/2025</v>
      </c>
      <c r="Z542">
        <f t="shared" si="125"/>
        <v>36</v>
      </c>
    </row>
    <row r="543" spans="1:26" hidden="1" x14ac:dyDescent="0.25">
      <c r="A543" s="2" t="s">
        <v>272</v>
      </c>
      <c r="B543" s="11" t="s">
        <v>444</v>
      </c>
      <c r="C543" s="11" t="s">
        <v>4</v>
      </c>
      <c r="D543" s="11" t="s">
        <v>445</v>
      </c>
      <c r="E543" s="11" t="s">
        <v>278</v>
      </c>
      <c r="F543" s="11" t="s">
        <v>279</v>
      </c>
      <c r="G543" s="12">
        <v>2</v>
      </c>
      <c r="H543" s="12">
        <v>40</v>
      </c>
      <c r="I543" s="12">
        <v>80</v>
      </c>
      <c r="J543" s="12">
        <v>7186.6</v>
      </c>
      <c r="K543" s="20">
        <f t="shared" si="112"/>
        <v>6</v>
      </c>
      <c r="L543" s="20" t="str">
        <f t="shared" si="113"/>
        <v>Se repite 6 veces</v>
      </c>
      <c r="M543" s="20" t="str">
        <f t="shared" si="114"/>
        <v>Peru Chef-Peru Chef Pasta Aji Amarillo 16 oz x 12</v>
      </c>
      <c r="N543" s="20">
        <f t="shared" si="115"/>
        <v>6</v>
      </c>
      <c r="O543" s="20" t="str">
        <f t="shared" si="116"/>
        <v>Se repite 6 veces en Peru Chef</v>
      </c>
      <c r="P543" s="20" t="str">
        <f t="shared" si="117"/>
        <v>Peru Chef-Peru Chef Pasta Aji Amarillo 16 oz x 12-40</v>
      </c>
      <c r="Q543" s="20">
        <f t="shared" si="118"/>
        <v>2</v>
      </c>
      <c r="R543" s="20" t="str">
        <f t="shared" si="119"/>
        <v>Se repite 2 veces el precio de 40</v>
      </c>
      <c r="S543" s="20" t="str">
        <f t="shared" si="120"/>
        <v>El producto Peru Chef Pasta Aji Amarillo 16 oz x 12 Se repite 6 veces en Peru Chef, Se repite 2 veces el precio de 40</v>
      </c>
      <c r="T543" s="20" t="str">
        <f t="shared" si="121"/>
        <v>Peru Chef</v>
      </c>
      <c r="U543" s="20" t="str">
        <f t="shared" si="122"/>
        <v>Peru Chef Pasta Aji Amarillo 16 oz x 12</v>
      </c>
      <c r="V543" s="22">
        <f t="shared" si="123"/>
        <v>40</v>
      </c>
      <c r="W543" t="str">
        <f t="shared" si="124"/>
        <v>Peru Chef 04/24/2025</v>
      </c>
      <c r="Z543">
        <f t="shared" si="125"/>
        <v>80</v>
      </c>
    </row>
    <row r="544" spans="1:26" hidden="1" x14ac:dyDescent="0.25">
      <c r="A544" s="2" t="s">
        <v>272</v>
      </c>
      <c r="B544" s="11" t="s">
        <v>471</v>
      </c>
      <c r="C544" s="11" t="s">
        <v>4</v>
      </c>
      <c r="D544" s="11" t="s">
        <v>472</v>
      </c>
      <c r="E544" s="11" t="s">
        <v>278</v>
      </c>
      <c r="F544" s="11" t="s">
        <v>279</v>
      </c>
      <c r="G544" s="12">
        <v>1</v>
      </c>
      <c r="H544" s="12">
        <v>40</v>
      </c>
      <c r="I544" s="12">
        <v>40</v>
      </c>
      <c r="J544" s="12">
        <v>11144.5</v>
      </c>
      <c r="K544" s="20">
        <f t="shared" si="112"/>
        <v>6</v>
      </c>
      <c r="L544" s="20" t="str">
        <f t="shared" si="113"/>
        <v>Se repite 6 veces</v>
      </c>
      <c r="M544" s="20" t="str">
        <f t="shared" si="114"/>
        <v>Peru Chef-Peru Chef Pasta Aji Amarillo 16 oz x 12</v>
      </c>
      <c r="N544" s="20">
        <f t="shared" si="115"/>
        <v>6</v>
      </c>
      <c r="O544" s="20" t="str">
        <f t="shared" si="116"/>
        <v>Se repite 6 veces en Peru Chef</v>
      </c>
      <c r="P544" s="20" t="str">
        <f t="shared" si="117"/>
        <v>Peru Chef-Peru Chef Pasta Aji Amarillo 16 oz x 12-40</v>
      </c>
      <c r="Q544" s="20">
        <f t="shared" si="118"/>
        <v>2</v>
      </c>
      <c r="R544" s="20" t="str">
        <f t="shared" si="119"/>
        <v>Se repite 2 veces el precio de 40</v>
      </c>
      <c r="S544" s="20" t="str">
        <f t="shared" si="120"/>
        <v>El producto Peru Chef Pasta Aji Amarillo 16 oz x 12 Se repite 6 veces en Peru Chef, Se repite 2 veces el precio de 40</v>
      </c>
      <c r="T544" s="20" t="str">
        <f t="shared" si="121"/>
        <v>Peru Chef</v>
      </c>
      <c r="U544" s="20" t="str">
        <f t="shared" si="122"/>
        <v>Peru Chef Pasta Aji Amarillo 16 oz x 12</v>
      </c>
      <c r="V544" s="22">
        <f t="shared" si="123"/>
        <v>40</v>
      </c>
      <c r="W544" t="str">
        <f t="shared" si="124"/>
        <v>Peru Chef 08/11/2025</v>
      </c>
      <c r="Z544">
        <f t="shared" si="125"/>
        <v>40</v>
      </c>
    </row>
    <row r="545" spans="1:26" hidden="1" x14ac:dyDescent="0.25">
      <c r="A545" s="2" t="s">
        <v>272</v>
      </c>
      <c r="B545" s="11" t="s">
        <v>619</v>
      </c>
      <c r="C545" s="11" t="s">
        <v>4</v>
      </c>
      <c r="D545" s="11" t="s">
        <v>621</v>
      </c>
      <c r="E545" s="11" t="s">
        <v>278</v>
      </c>
      <c r="F545" s="11" t="s">
        <v>638</v>
      </c>
      <c r="G545" s="12">
        <v>2</v>
      </c>
      <c r="H545" s="12">
        <v>36</v>
      </c>
      <c r="I545" s="12">
        <v>72</v>
      </c>
      <c r="J545" s="12">
        <v>41767.149999999994</v>
      </c>
      <c r="K545" s="20">
        <f t="shared" si="112"/>
        <v>6</v>
      </c>
      <c r="L545" s="20" t="str">
        <f t="shared" si="113"/>
        <v>Se repite 6 veces</v>
      </c>
      <c r="M545" s="20" t="str">
        <f t="shared" si="114"/>
        <v>Peru Chef-Peru Chef Pasta Aji Amarillo 16 oz x 12</v>
      </c>
      <c r="N545" s="20">
        <f t="shared" si="115"/>
        <v>6</v>
      </c>
      <c r="O545" s="20" t="str">
        <f t="shared" si="116"/>
        <v>Se repite 6 veces en Peru Chef</v>
      </c>
      <c r="P545" s="20" t="str">
        <f t="shared" si="117"/>
        <v>Peru Chef-Peru Chef Pasta Aji Amarillo 16 oz x 12-36</v>
      </c>
      <c r="Q545" s="20">
        <f t="shared" si="118"/>
        <v>4</v>
      </c>
      <c r="R545" s="20" t="str">
        <f t="shared" si="119"/>
        <v>Se repite 4 veces el precio de 36</v>
      </c>
      <c r="S545" s="20" t="str">
        <f t="shared" si="120"/>
        <v>El producto Peru Chef Pasta Aji Amarillo 16 oz x 12 Se repite 6 veces en Peru Chef, Se repite 4 veces el precio de 36</v>
      </c>
      <c r="T545" s="20" t="str">
        <f t="shared" si="121"/>
        <v>Peru Chef</v>
      </c>
      <c r="U545" s="20" t="str">
        <f t="shared" si="122"/>
        <v>Peru Chef Pasta Aji Amarillo 16 oz x 12</v>
      </c>
      <c r="V545" s="22">
        <f t="shared" si="123"/>
        <v>36</v>
      </c>
      <c r="W545" t="str">
        <f t="shared" si="124"/>
        <v>Peru Chef 12/09/2025</v>
      </c>
      <c r="Z545">
        <f t="shared" si="125"/>
        <v>72</v>
      </c>
    </row>
    <row r="546" spans="1:26" hidden="1" x14ac:dyDescent="0.25">
      <c r="A546" s="2" t="s">
        <v>272</v>
      </c>
      <c r="B546" s="11" t="s">
        <v>444</v>
      </c>
      <c r="C546" s="11" t="s">
        <v>4</v>
      </c>
      <c r="D546" s="11" t="s">
        <v>445</v>
      </c>
      <c r="E546" s="11" t="s">
        <v>447</v>
      </c>
      <c r="F546" s="11" t="s">
        <v>448</v>
      </c>
      <c r="G546" s="12">
        <v>2</v>
      </c>
      <c r="H546" s="12">
        <v>40</v>
      </c>
      <c r="I546" s="12">
        <v>80</v>
      </c>
      <c r="J546" s="12">
        <v>7332.6</v>
      </c>
      <c r="K546" s="20">
        <f t="shared" si="112"/>
        <v>2</v>
      </c>
      <c r="L546" s="20" t="str">
        <f t="shared" si="113"/>
        <v>Se repite 2 veces</v>
      </c>
      <c r="M546" s="20" t="str">
        <f t="shared" si="114"/>
        <v>Peru Chef-Peru Chef Pasta Aji Amarillo Poco Pic 16oz X 12</v>
      </c>
      <c r="N546" s="20">
        <f t="shared" si="115"/>
        <v>2</v>
      </c>
      <c r="O546" s="20" t="str">
        <f t="shared" si="116"/>
        <v>Se repite 2 veces en Peru Chef</v>
      </c>
      <c r="P546" s="20" t="str">
        <f t="shared" si="117"/>
        <v>Peru Chef-Peru Chef Pasta Aji Amarillo Poco Pic 16oz X 12-40</v>
      </c>
      <c r="Q546" s="20">
        <f t="shared" si="118"/>
        <v>2</v>
      </c>
      <c r="R546" s="20" t="str">
        <f t="shared" si="119"/>
        <v>Se repite 2 veces el precio de 40</v>
      </c>
      <c r="S546" s="20" t="str">
        <f t="shared" si="120"/>
        <v>El producto Peru Chef Pasta Aji Amarillo Poco Pic 16oz X 12 Se repite 2 veces en Peru Chef, Se repite 2 veces el precio de 40</v>
      </c>
      <c r="T546" s="20" t="str">
        <f t="shared" si="121"/>
        <v>Peru Chef</v>
      </c>
      <c r="U546" s="20" t="str">
        <f t="shared" si="122"/>
        <v>Peru Chef Pasta Aji Amarillo Poco Pic 16oz X 12</v>
      </c>
      <c r="V546" s="22">
        <f t="shared" si="123"/>
        <v>40</v>
      </c>
      <c r="W546" t="str">
        <f t="shared" si="124"/>
        <v>Peru Chef 04/24/2025</v>
      </c>
      <c r="Z546">
        <f t="shared" si="125"/>
        <v>80</v>
      </c>
    </row>
    <row r="547" spans="1:26" hidden="1" x14ac:dyDescent="0.25">
      <c r="A547" s="2" t="s">
        <v>272</v>
      </c>
      <c r="B547" s="11" t="s">
        <v>471</v>
      </c>
      <c r="C547" s="11" t="s">
        <v>4</v>
      </c>
      <c r="D547" s="11" t="s">
        <v>472</v>
      </c>
      <c r="E547" s="11" t="s">
        <v>447</v>
      </c>
      <c r="F547" s="11" t="s">
        <v>448</v>
      </c>
      <c r="G547" s="12">
        <v>1</v>
      </c>
      <c r="H547" s="12">
        <v>40</v>
      </c>
      <c r="I547" s="12">
        <v>40</v>
      </c>
      <c r="J547" s="12">
        <v>11250.5</v>
      </c>
      <c r="K547" s="20">
        <f t="shared" si="112"/>
        <v>2</v>
      </c>
      <c r="L547" s="20" t="str">
        <f t="shared" si="113"/>
        <v>Se repite 2 veces</v>
      </c>
      <c r="M547" s="20" t="str">
        <f t="shared" si="114"/>
        <v>Peru Chef-Peru Chef Pasta Aji Amarillo Poco Pic 16oz X 12</v>
      </c>
      <c r="N547" s="20">
        <f t="shared" si="115"/>
        <v>2</v>
      </c>
      <c r="O547" s="20" t="str">
        <f t="shared" si="116"/>
        <v>Se repite 2 veces en Peru Chef</v>
      </c>
      <c r="P547" s="20" t="str">
        <f t="shared" si="117"/>
        <v>Peru Chef-Peru Chef Pasta Aji Amarillo Poco Pic 16oz X 12-40</v>
      </c>
      <c r="Q547" s="20">
        <f t="shared" si="118"/>
        <v>2</v>
      </c>
      <c r="R547" s="20" t="str">
        <f t="shared" si="119"/>
        <v>Se repite 2 veces el precio de 40</v>
      </c>
      <c r="S547" s="20" t="str">
        <f t="shared" si="120"/>
        <v>El producto Peru Chef Pasta Aji Amarillo Poco Pic 16oz X 12 Se repite 2 veces en Peru Chef, Se repite 2 veces el precio de 40</v>
      </c>
      <c r="T547" s="20" t="str">
        <f t="shared" si="121"/>
        <v>Peru Chef</v>
      </c>
      <c r="U547" s="20" t="str">
        <f t="shared" si="122"/>
        <v>Peru Chef Pasta Aji Amarillo Poco Pic 16oz X 12</v>
      </c>
      <c r="V547" s="22">
        <f t="shared" si="123"/>
        <v>40</v>
      </c>
      <c r="W547" t="str">
        <f t="shared" si="124"/>
        <v>Peru Chef 08/11/2025</v>
      </c>
      <c r="Z547">
        <f t="shared" si="125"/>
        <v>40</v>
      </c>
    </row>
    <row r="548" spans="1:26" hidden="1" x14ac:dyDescent="0.25">
      <c r="A548" s="2" t="s">
        <v>272</v>
      </c>
      <c r="B548" s="11" t="s">
        <v>590</v>
      </c>
      <c r="C548" s="11" t="s">
        <v>4</v>
      </c>
      <c r="D548" s="11" t="s">
        <v>591</v>
      </c>
      <c r="E548" s="11" t="s">
        <v>595</v>
      </c>
      <c r="F548" s="11" t="s">
        <v>596</v>
      </c>
      <c r="G548" s="12">
        <v>8</v>
      </c>
      <c r="H548" s="12">
        <v>18</v>
      </c>
      <c r="I548" s="12">
        <v>144</v>
      </c>
      <c r="J548" s="12">
        <v>30645.4</v>
      </c>
      <c r="K548" s="20">
        <f t="shared" si="112"/>
        <v>1</v>
      </c>
      <c r="L548" s="20" t="str">
        <f t="shared" si="113"/>
        <v>No se repite</v>
      </c>
      <c r="M548" s="20" t="str">
        <f t="shared" si="114"/>
        <v>Peru Chef-Peru Chef Pasta Aji Amarillo Poco Picante 116oz</v>
      </c>
      <c r="N548" s="20">
        <f t="shared" si="115"/>
        <v>1</v>
      </c>
      <c r="O548" s="20" t="str">
        <f t="shared" si="116"/>
        <v>No se repite en proveedor</v>
      </c>
      <c r="P548" s="20" t="str">
        <f t="shared" si="117"/>
        <v>Peru Chef-Peru Chef Pasta Aji Amarillo Poco Picante 116oz-18</v>
      </c>
      <c r="Q548" s="20">
        <f t="shared" si="118"/>
        <v>1</v>
      </c>
      <c r="R548" s="20" t="str">
        <f t="shared" si="119"/>
        <v>No se repite</v>
      </c>
      <c r="S548" s="20" t="str">
        <f t="shared" si="120"/>
        <v>El producto Peru Chef Pasta Aji Amarillo Poco Picante 116oz No se repite en proveedor Una vez con el precio 18</v>
      </c>
      <c r="T548" s="20" t="str">
        <f t="shared" si="121"/>
        <v>Peru Chef</v>
      </c>
      <c r="U548" s="20" t="str">
        <f t="shared" si="122"/>
        <v>Peru Chef Pasta Aji Amarillo Poco Picante 116oz</v>
      </c>
      <c r="V548" s="22">
        <f t="shared" si="123"/>
        <v>18</v>
      </c>
      <c r="W548" t="str">
        <f t="shared" si="124"/>
        <v>Peru Chef 10/28/2025</v>
      </c>
      <c r="Z548">
        <f t="shared" si="125"/>
        <v>144</v>
      </c>
    </row>
    <row r="549" spans="1:26" hidden="1" x14ac:dyDescent="0.25">
      <c r="A549" s="2" t="s">
        <v>272</v>
      </c>
      <c r="B549" s="11" t="s">
        <v>619</v>
      </c>
      <c r="C549" s="11" t="s">
        <v>4</v>
      </c>
      <c r="D549" s="11" t="s">
        <v>621</v>
      </c>
      <c r="E549" s="11" t="s">
        <v>639</v>
      </c>
      <c r="F549" s="11" t="s">
        <v>640</v>
      </c>
      <c r="G549" s="12">
        <v>1</v>
      </c>
      <c r="H549" s="12">
        <v>29.7</v>
      </c>
      <c r="I549" s="12">
        <v>29.7</v>
      </c>
      <c r="J549" s="12">
        <v>41796.849999999991</v>
      </c>
      <c r="K549" s="20">
        <f t="shared" si="112"/>
        <v>1</v>
      </c>
      <c r="L549" s="20" t="str">
        <f t="shared" si="113"/>
        <v>No se repite</v>
      </c>
      <c r="M549" s="20" t="str">
        <f t="shared" si="114"/>
        <v>Peru Chef-Peru Chef Pasta Aji Amarillo Poco Picante11oz x 12</v>
      </c>
      <c r="N549" s="20">
        <f t="shared" si="115"/>
        <v>1</v>
      </c>
      <c r="O549" s="20" t="str">
        <f t="shared" si="116"/>
        <v>No se repite en proveedor</v>
      </c>
      <c r="P549" s="20" t="str">
        <f t="shared" si="117"/>
        <v>Peru Chef-Peru Chef Pasta Aji Amarillo Poco Picante11oz x 12-29.7</v>
      </c>
      <c r="Q549" s="20">
        <f t="shared" si="118"/>
        <v>1</v>
      </c>
      <c r="R549" s="20" t="str">
        <f t="shared" si="119"/>
        <v>No se repite</v>
      </c>
      <c r="S549" s="20" t="str">
        <f t="shared" si="120"/>
        <v>El producto Peru Chef Pasta Aji Amarillo Poco Picante11oz x 12 No se repite en proveedor Una vez con el precio 29.7</v>
      </c>
      <c r="T549" s="20" t="str">
        <f t="shared" si="121"/>
        <v>Peru Chef</v>
      </c>
      <c r="U549" s="20" t="str">
        <f t="shared" si="122"/>
        <v>Peru Chef Pasta Aji Amarillo Poco Picante11oz x 12</v>
      </c>
      <c r="V549" s="22">
        <f t="shared" si="123"/>
        <v>29.7</v>
      </c>
      <c r="W549" t="str">
        <f t="shared" si="124"/>
        <v>Peru Chef 12/09/2025</v>
      </c>
      <c r="Z549">
        <f t="shared" si="125"/>
        <v>29.7</v>
      </c>
    </row>
    <row r="550" spans="1:26" hidden="1" x14ac:dyDescent="0.25">
      <c r="A550" s="2" t="s">
        <v>272</v>
      </c>
      <c r="B550" s="11" t="s">
        <v>273</v>
      </c>
      <c r="C550" s="11" t="s">
        <v>4</v>
      </c>
      <c r="D550" s="11" t="s">
        <v>5</v>
      </c>
      <c r="E550" s="11" t="s">
        <v>280</v>
      </c>
      <c r="F550" s="11" t="s">
        <v>281</v>
      </c>
      <c r="G550" s="12">
        <v>1</v>
      </c>
      <c r="H550" s="12">
        <v>40</v>
      </c>
      <c r="I550" s="12">
        <v>40</v>
      </c>
      <c r="J550" s="12">
        <v>138.5</v>
      </c>
      <c r="K550" s="20">
        <f t="shared" si="112"/>
        <v>5</v>
      </c>
      <c r="L550" s="20" t="str">
        <f t="shared" si="113"/>
        <v>Se repite 5 veces</v>
      </c>
      <c r="M550" s="20" t="str">
        <f t="shared" si="114"/>
        <v>Peru Chef-Peru Chef Pasta Aji Panca 16 oz x 12</v>
      </c>
      <c r="N550" s="20">
        <f t="shared" si="115"/>
        <v>5</v>
      </c>
      <c r="O550" s="20" t="str">
        <f t="shared" si="116"/>
        <v>Se repite 5 veces en Peru Chef</v>
      </c>
      <c r="P550" s="20" t="str">
        <f t="shared" si="117"/>
        <v>Peru Chef-Peru Chef Pasta Aji Panca 16 oz x 12-40</v>
      </c>
      <c r="Q550" s="20">
        <f t="shared" si="118"/>
        <v>2</v>
      </c>
      <c r="R550" s="20" t="str">
        <f t="shared" si="119"/>
        <v>Se repite 2 veces el precio de 40</v>
      </c>
      <c r="S550" s="20" t="str">
        <f t="shared" si="120"/>
        <v>El producto Peru Chef Pasta Aji Panca 16 oz x 12 Se repite 5 veces en Peru Chef, Se repite 2 veces el precio de 40</v>
      </c>
      <c r="T550" s="20" t="str">
        <f t="shared" si="121"/>
        <v>Peru Chef</v>
      </c>
      <c r="U550" s="20" t="str">
        <f t="shared" si="122"/>
        <v>Peru Chef Pasta Aji Panca 16 oz x 12</v>
      </c>
      <c r="V550" s="22">
        <f t="shared" si="123"/>
        <v>40</v>
      </c>
      <c r="W550" t="str">
        <f t="shared" si="124"/>
        <v>Peru Chef 03/26/2025</v>
      </c>
      <c r="Z550">
        <f t="shared" si="125"/>
        <v>40</v>
      </c>
    </row>
    <row r="551" spans="1:26" hidden="1" x14ac:dyDescent="0.25">
      <c r="A551" s="2" t="s">
        <v>272</v>
      </c>
      <c r="B551" s="11" t="s">
        <v>398</v>
      </c>
      <c r="C551" s="11" t="s">
        <v>4</v>
      </c>
      <c r="D551" s="11" t="s">
        <v>399</v>
      </c>
      <c r="E551" s="11" t="s">
        <v>280</v>
      </c>
      <c r="F551" s="11" t="s">
        <v>281</v>
      </c>
      <c r="G551" s="12">
        <v>1</v>
      </c>
      <c r="H551" s="12">
        <v>40</v>
      </c>
      <c r="I551" s="12">
        <v>40</v>
      </c>
      <c r="J551" s="12">
        <v>2384.6999999999998</v>
      </c>
      <c r="K551" s="20">
        <f t="shared" si="112"/>
        <v>5</v>
      </c>
      <c r="L551" s="20" t="str">
        <f t="shared" si="113"/>
        <v>Se repite 5 veces</v>
      </c>
      <c r="M551" s="20" t="str">
        <f t="shared" si="114"/>
        <v>Peru Chef-Peru Chef Pasta Aji Panca 16 oz x 12</v>
      </c>
      <c r="N551" s="20">
        <f t="shared" si="115"/>
        <v>5</v>
      </c>
      <c r="O551" s="20" t="str">
        <f t="shared" si="116"/>
        <v>Se repite 5 veces en Peru Chef</v>
      </c>
      <c r="P551" s="20" t="str">
        <f t="shared" si="117"/>
        <v>Peru Chef-Peru Chef Pasta Aji Panca 16 oz x 12-40</v>
      </c>
      <c r="Q551" s="20">
        <f t="shared" si="118"/>
        <v>2</v>
      </c>
      <c r="R551" s="20" t="str">
        <f t="shared" si="119"/>
        <v>Se repite 2 veces el precio de 40</v>
      </c>
      <c r="S551" s="20" t="str">
        <f t="shared" si="120"/>
        <v>El producto Peru Chef Pasta Aji Panca 16 oz x 12 Se repite 5 veces en Peru Chef, Se repite 2 veces el precio de 40</v>
      </c>
      <c r="T551" s="20" t="str">
        <f t="shared" si="121"/>
        <v>Peru Chef</v>
      </c>
      <c r="U551" s="20" t="str">
        <f t="shared" si="122"/>
        <v>Peru Chef Pasta Aji Panca 16 oz x 12</v>
      </c>
      <c r="V551" s="22">
        <f t="shared" si="123"/>
        <v>40</v>
      </c>
      <c r="W551" t="str">
        <f t="shared" si="124"/>
        <v>Peru Chef 04/10/2025</v>
      </c>
      <c r="Z551">
        <f t="shared" si="125"/>
        <v>40</v>
      </c>
    </row>
    <row r="552" spans="1:26" hidden="1" x14ac:dyDescent="0.25">
      <c r="A552" s="2" t="s">
        <v>272</v>
      </c>
      <c r="B552" s="11" t="s">
        <v>444</v>
      </c>
      <c r="C552" s="11" t="s">
        <v>4</v>
      </c>
      <c r="D552" s="11" t="s">
        <v>445</v>
      </c>
      <c r="E552" s="11" t="s">
        <v>280</v>
      </c>
      <c r="F552" s="11" t="s">
        <v>281</v>
      </c>
      <c r="G552" s="12">
        <v>2</v>
      </c>
      <c r="H552" s="12">
        <v>44</v>
      </c>
      <c r="I552" s="12">
        <v>88</v>
      </c>
      <c r="J552" s="12">
        <v>7106.6</v>
      </c>
      <c r="K552" s="20">
        <f t="shared" si="112"/>
        <v>5</v>
      </c>
      <c r="L552" s="20" t="str">
        <f t="shared" si="113"/>
        <v>Se repite 5 veces</v>
      </c>
      <c r="M552" s="20" t="str">
        <f t="shared" si="114"/>
        <v>Peru Chef-Peru Chef Pasta Aji Panca 16 oz x 12</v>
      </c>
      <c r="N552" s="20">
        <f t="shared" si="115"/>
        <v>5</v>
      </c>
      <c r="O552" s="20" t="str">
        <f t="shared" si="116"/>
        <v>Se repite 5 veces en Peru Chef</v>
      </c>
      <c r="P552" s="20" t="str">
        <f t="shared" si="117"/>
        <v>Peru Chef-Peru Chef Pasta Aji Panca 16 oz x 12-44</v>
      </c>
      <c r="Q552" s="20">
        <f t="shared" si="118"/>
        <v>2</v>
      </c>
      <c r="R552" s="20" t="str">
        <f t="shared" si="119"/>
        <v>Se repite 2 veces el precio de 44</v>
      </c>
      <c r="S552" s="20" t="str">
        <f t="shared" si="120"/>
        <v>El producto Peru Chef Pasta Aji Panca 16 oz x 12 Se repite 5 veces en Peru Chef, Se repite 2 veces el precio de 44</v>
      </c>
      <c r="T552" s="20" t="str">
        <f t="shared" si="121"/>
        <v>Peru Chef</v>
      </c>
      <c r="U552" s="20" t="str">
        <f t="shared" si="122"/>
        <v>Peru Chef Pasta Aji Panca 16 oz x 12</v>
      </c>
      <c r="V552" s="22">
        <f t="shared" si="123"/>
        <v>44</v>
      </c>
      <c r="W552" t="str">
        <f t="shared" si="124"/>
        <v>Peru Chef 04/24/2025</v>
      </c>
      <c r="Z552">
        <f t="shared" si="125"/>
        <v>88</v>
      </c>
    </row>
    <row r="553" spans="1:26" hidden="1" x14ac:dyDescent="0.25">
      <c r="A553" s="2" t="s">
        <v>272</v>
      </c>
      <c r="B553" s="11" t="s">
        <v>471</v>
      </c>
      <c r="C553" s="11" t="s">
        <v>4</v>
      </c>
      <c r="D553" s="11" t="s">
        <v>472</v>
      </c>
      <c r="E553" s="11" t="s">
        <v>280</v>
      </c>
      <c r="F553" s="11" t="s">
        <v>281</v>
      </c>
      <c r="G553" s="12">
        <v>1</v>
      </c>
      <c r="H553" s="12">
        <v>44</v>
      </c>
      <c r="I553" s="12">
        <v>44</v>
      </c>
      <c r="J553" s="12">
        <v>11104.5</v>
      </c>
      <c r="K553" s="20">
        <f t="shared" si="112"/>
        <v>5</v>
      </c>
      <c r="L553" s="20" t="str">
        <f t="shared" si="113"/>
        <v>Se repite 5 veces</v>
      </c>
      <c r="M553" s="20" t="str">
        <f t="shared" si="114"/>
        <v>Peru Chef-Peru Chef Pasta Aji Panca 16 oz x 12</v>
      </c>
      <c r="N553" s="20">
        <f t="shared" si="115"/>
        <v>5</v>
      </c>
      <c r="O553" s="20" t="str">
        <f t="shared" si="116"/>
        <v>Se repite 5 veces en Peru Chef</v>
      </c>
      <c r="P553" s="20" t="str">
        <f t="shared" si="117"/>
        <v>Peru Chef-Peru Chef Pasta Aji Panca 16 oz x 12-44</v>
      </c>
      <c r="Q553" s="20">
        <f t="shared" si="118"/>
        <v>2</v>
      </c>
      <c r="R553" s="20" t="str">
        <f t="shared" si="119"/>
        <v>Se repite 2 veces el precio de 44</v>
      </c>
      <c r="S553" s="20" t="str">
        <f t="shared" si="120"/>
        <v>El producto Peru Chef Pasta Aji Panca 16 oz x 12 Se repite 5 veces en Peru Chef, Se repite 2 veces el precio de 44</v>
      </c>
      <c r="T553" s="20" t="str">
        <f t="shared" si="121"/>
        <v>Peru Chef</v>
      </c>
      <c r="U553" s="20" t="str">
        <f t="shared" si="122"/>
        <v>Peru Chef Pasta Aji Panca 16 oz x 12</v>
      </c>
      <c r="V553" s="22">
        <f t="shared" si="123"/>
        <v>44</v>
      </c>
      <c r="W553" t="str">
        <f t="shared" si="124"/>
        <v>Peru Chef 08/11/2025</v>
      </c>
      <c r="Z553">
        <f t="shared" si="125"/>
        <v>44</v>
      </c>
    </row>
    <row r="554" spans="1:26" hidden="1" x14ac:dyDescent="0.25">
      <c r="A554" s="2" t="s">
        <v>272</v>
      </c>
      <c r="B554" s="11" t="s">
        <v>619</v>
      </c>
      <c r="C554" s="11" t="s">
        <v>4</v>
      </c>
      <c r="D554" s="11" t="s">
        <v>621</v>
      </c>
      <c r="E554" s="11" t="s">
        <v>280</v>
      </c>
      <c r="F554" s="11" t="s">
        <v>637</v>
      </c>
      <c r="G554" s="12">
        <v>2</v>
      </c>
      <c r="H554" s="12">
        <v>39.6</v>
      </c>
      <c r="I554" s="12">
        <v>79.2</v>
      </c>
      <c r="J554" s="12">
        <v>41695.149999999994</v>
      </c>
      <c r="K554" s="20">
        <f t="shared" si="112"/>
        <v>5</v>
      </c>
      <c r="L554" s="20" t="str">
        <f t="shared" si="113"/>
        <v>Se repite 5 veces</v>
      </c>
      <c r="M554" s="20" t="str">
        <f t="shared" si="114"/>
        <v>Peru Chef-Peru Chef Pasta Aji Panca 16 oz x 12</v>
      </c>
      <c r="N554" s="20">
        <f t="shared" si="115"/>
        <v>5</v>
      </c>
      <c r="O554" s="20" t="str">
        <f t="shared" si="116"/>
        <v>Se repite 5 veces en Peru Chef</v>
      </c>
      <c r="P554" s="20" t="str">
        <f t="shared" si="117"/>
        <v>Peru Chef-Peru Chef Pasta Aji Panca 16 oz x 12-39.6</v>
      </c>
      <c r="Q554" s="20">
        <f t="shared" si="118"/>
        <v>1</v>
      </c>
      <c r="R554" s="20" t="str">
        <f t="shared" si="119"/>
        <v>No se repite</v>
      </c>
      <c r="S554" s="20" t="str">
        <f t="shared" si="120"/>
        <v>El producto Peru Chef Pasta Aji Panca 16 oz x 12 Se repite 5 veces en Peru Chef Una vez con el precio 39.6</v>
      </c>
      <c r="T554" s="20" t="str">
        <f t="shared" si="121"/>
        <v>Peru Chef</v>
      </c>
      <c r="U554" s="20" t="str">
        <f t="shared" si="122"/>
        <v>Peru Chef Pasta Aji Panca 16 oz x 12</v>
      </c>
      <c r="V554" s="22">
        <f t="shared" si="123"/>
        <v>39.6</v>
      </c>
      <c r="W554" t="str">
        <f t="shared" si="124"/>
        <v>Peru Chef 12/09/2025</v>
      </c>
      <c r="Z554">
        <f t="shared" si="125"/>
        <v>79.2</v>
      </c>
    </row>
    <row r="555" spans="1:26" hidden="1" x14ac:dyDescent="0.25">
      <c r="A555" s="2" t="s">
        <v>272</v>
      </c>
      <c r="B555" s="11" t="s">
        <v>408</v>
      </c>
      <c r="C555" s="11" t="s">
        <v>4</v>
      </c>
      <c r="D555" s="11" t="s">
        <v>409</v>
      </c>
      <c r="E555" s="11" t="s">
        <v>431</v>
      </c>
      <c r="F555" s="11" t="s">
        <v>432</v>
      </c>
      <c r="G555" s="12">
        <v>1</v>
      </c>
      <c r="H555" s="12">
        <v>24</v>
      </c>
      <c r="I555" s="12">
        <v>24</v>
      </c>
      <c r="J555" s="12">
        <v>5866.6</v>
      </c>
      <c r="K555" s="20">
        <f t="shared" si="112"/>
        <v>1</v>
      </c>
      <c r="L555" s="20" t="str">
        <f t="shared" si="113"/>
        <v>No se repite</v>
      </c>
      <c r="M555" s="20" t="str">
        <f t="shared" si="114"/>
        <v>Peru Chef-Peru Chef Pasta Aji Panca 8 Oz X 12</v>
      </c>
      <c r="N555" s="20">
        <f t="shared" si="115"/>
        <v>1</v>
      </c>
      <c r="O555" s="20" t="str">
        <f t="shared" si="116"/>
        <v>No se repite en proveedor</v>
      </c>
      <c r="P555" s="20" t="str">
        <f t="shared" si="117"/>
        <v>Peru Chef-Peru Chef Pasta Aji Panca 8 Oz X 12-24</v>
      </c>
      <c r="Q555" s="20">
        <f t="shared" si="118"/>
        <v>1</v>
      </c>
      <c r="R555" s="20" t="str">
        <f t="shared" si="119"/>
        <v>No se repite</v>
      </c>
      <c r="S555" s="20" t="str">
        <f t="shared" si="120"/>
        <v>El producto Peru Chef Pasta Aji Panca 8 Oz X 12 No se repite en proveedor Una vez con el precio 24</v>
      </c>
      <c r="T555" s="20" t="str">
        <f t="shared" si="121"/>
        <v>Peru Chef</v>
      </c>
      <c r="U555" s="20" t="str">
        <f t="shared" si="122"/>
        <v>Peru Chef Pasta Aji Panca 8 Oz X 12</v>
      </c>
      <c r="V555" s="22">
        <f t="shared" si="123"/>
        <v>24</v>
      </c>
      <c r="W555" t="str">
        <f t="shared" si="124"/>
        <v>Peru Chef 04/13/2025</v>
      </c>
      <c r="Z555">
        <f t="shared" si="125"/>
        <v>24</v>
      </c>
    </row>
    <row r="556" spans="1:26" hidden="1" x14ac:dyDescent="0.25">
      <c r="A556" s="2" t="s">
        <v>272</v>
      </c>
      <c r="B556" s="11" t="s">
        <v>444</v>
      </c>
      <c r="C556" s="11" t="s">
        <v>4</v>
      </c>
      <c r="D556" s="11" t="s">
        <v>445</v>
      </c>
      <c r="E556" s="11" t="s">
        <v>449</v>
      </c>
      <c r="F556" s="11" t="s">
        <v>450</v>
      </c>
      <c r="G556" s="12">
        <v>1</v>
      </c>
      <c r="H556" s="12">
        <v>48</v>
      </c>
      <c r="I556" s="12">
        <v>48</v>
      </c>
      <c r="J556" s="12">
        <v>7380.6</v>
      </c>
      <c r="K556" s="20">
        <f t="shared" si="112"/>
        <v>1</v>
      </c>
      <c r="L556" s="20" t="str">
        <f t="shared" si="113"/>
        <v>No se repite</v>
      </c>
      <c r="M556" s="20" t="str">
        <f t="shared" si="114"/>
        <v>Peru Chef-Peru Chef Pasta Aji Panca Poco Pic 16 Oz X 12</v>
      </c>
      <c r="N556" s="20">
        <f t="shared" si="115"/>
        <v>1</v>
      </c>
      <c r="O556" s="20" t="str">
        <f t="shared" si="116"/>
        <v>No se repite en proveedor</v>
      </c>
      <c r="P556" s="20" t="str">
        <f t="shared" si="117"/>
        <v>Peru Chef-Peru Chef Pasta Aji Panca Poco Pic 16 Oz X 12-48</v>
      </c>
      <c r="Q556" s="20">
        <f t="shared" si="118"/>
        <v>1</v>
      </c>
      <c r="R556" s="20" t="str">
        <f t="shared" si="119"/>
        <v>No se repite</v>
      </c>
      <c r="S556" s="20" t="str">
        <f t="shared" si="120"/>
        <v>El producto Peru Chef Pasta Aji Panca Poco Pic 16 Oz X 12 No se repite en proveedor Una vez con el precio 48</v>
      </c>
      <c r="T556" s="20" t="str">
        <f t="shared" si="121"/>
        <v>Peru Chef</v>
      </c>
      <c r="U556" s="20" t="str">
        <f t="shared" si="122"/>
        <v>Peru Chef Pasta Aji Panca Poco Pic 16 Oz X 12</v>
      </c>
      <c r="V556" s="22">
        <f t="shared" si="123"/>
        <v>48</v>
      </c>
      <c r="W556" t="str">
        <f t="shared" si="124"/>
        <v>Peru Chef 04/24/2025</v>
      </c>
      <c r="Z556">
        <f t="shared" si="125"/>
        <v>48</v>
      </c>
    </row>
    <row r="557" spans="1:26" hidden="1" x14ac:dyDescent="0.25">
      <c r="A557" s="2" t="s">
        <v>272</v>
      </c>
      <c r="B557" s="11" t="s">
        <v>619</v>
      </c>
      <c r="C557" s="11" t="s">
        <v>4</v>
      </c>
      <c r="D557" s="11" t="s">
        <v>621</v>
      </c>
      <c r="E557" s="11" t="s">
        <v>641</v>
      </c>
      <c r="F557" s="11" t="s">
        <v>642</v>
      </c>
      <c r="G557" s="12">
        <v>1</v>
      </c>
      <c r="H557" s="12">
        <v>32.4</v>
      </c>
      <c r="I557" s="12">
        <v>32.4</v>
      </c>
      <c r="J557" s="12">
        <v>41829.249999999993</v>
      </c>
      <c r="K557" s="20">
        <f t="shared" si="112"/>
        <v>1</v>
      </c>
      <c r="L557" s="20" t="str">
        <f t="shared" si="113"/>
        <v>No se repite</v>
      </c>
      <c r="M557" s="20" t="str">
        <f t="shared" si="114"/>
        <v>Peru Chef-Peru Chef Pasta Aji Panca Poco Picante 11 oz x 12</v>
      </c>
      <c r="N557" s="20">
        <f t="shared" si="115"/>
        <v>1</v>
      </c>
      <c r="O557" s="20" t="str">
        <f t="shared" si="116"/>
        <v>No se repite en proveedor</v>
      </c>
      <c r="P557" s="20" t="str">
        <f t="shared" si="117"/>
        <v>Peru Chef-Peru Chef Pasta Aji Panca Poco Picante 11 oz x 12-32.4</v>
      </c>
      <c r="Q557" s="20">
        <f t="shared" si="118"/>
        <v>1</v>
      </c>
      <c r="R557" s="20" t="str">
        <f t="shared" si="119"/>
        <v>No se repite</v>
      </c>
      <c r="S557" s="20" t="str">
        <f t="shared" si="120"/>
        <v>El producto Peru Chef Pasta Aji Panca Poco Picante 11 oz x 12 No se repite en proveedor Una vez con el precio 32.4</v>
      </c>
      <c r="T557" s="20" t="str">
        <f t="shared" si="121"/>
        <v>Peru Chef</v>
      </c>
      <c r="U557" s="20" t="str">
        <f t="shared" si="122"/>
        <v>Peru Chef Pasta Aji Panca Poco Picante 11 oz x 12</v>
      </c>
      <c r="V557" s="22">
        <f t="shared" si="123"/>
        <v>32.4</v>
      </c>
      <c r="W557" t="str">
        <f t="shared" si="124"/>
        <v>Peru Chef 12/09/2025</v>
      </c>
      <c r="Z557">
        <f t="shared" si="125"/>
        <v>32.4</v>
      </c>
    </row>
    <row r="558" spans="1:26" hidden="1" x14ac:dyDescent="0.25">
      <c r="A558" s="2" t="s">
        <v>272</v>
      </c>
      <c r="B558" s="11" t="s">
        <v>590</v>
      </c>
      <c r="C558" s="11" t="s">
        <v>4</v>
      </c>
      <c r="D558" s="11" t="s">
        <v>591</v>
      </c>
      <c r="E558" s="11" t="s">
        <v>593</v>
      </c>
      <c r="F558" s="11" t="s">
        <v>594</v>
      </c>
      <c r="G558" s="12">
        <v>8</v>
      </c>
      <c r="H558" s="12">
        <v>18</v>
      </c>
      <c r="I558" s="12">
        <v>144</v>
      </c>
      <c r="J558" s="12">
        <v>30501.4</v>
      </c>
      <c r="K558" s="20">
        <f t="shared" si="112"/>
        <v>2</v>
      </c>
      <c r="L558" s="20" t="str">
        <f t="shared" si="113"/>
        <v>Se repite 2 veces</v>
      </c>
      <c r="M558" s="20" t="str">
        <f t="shared" si="114"/>
        <v>Peru Chef-Peru Chef Pasta Aji Panca Poco Picante 116 oz</v>
      </c>
      <c r="N558" s="20">
        <f t="shared" si="115"/>
        <v>2</v>
      </c>
      <c r="O558" s="20" t="str">
        <f t="shared" si="116"/>
        <v>Se repite 2 veces en Peru Chef</v>
      </c>
      <c r="P558" s="20" t="str">
        <f t="shared" si="117"/>
        <v>Peru Chef-Peru Chef Pasta Aji Panca Poco Picante 116 oz-18</v>
      </c>
      <c r="Q558" s="20">
        <f t="shared" si="118"/>
        <v>2</v>
      </c>
      <c r="R558" s="20" t="str">
        <f t="shared" si="119"/>
        <v>Se repite 2 veces el precio de 18</v>
      </c>
      <c r="S558" s="20" t="str">
        <f t="shared" si="120"/>
        <v>El producto Peru Chef Pasta Aji Panca Poco Picante 116 oz Se repite 2 veces en Peru Chef, Se repite 2 veces el precio de 18</v>
      </c>
      <c r="T558" s="20" t="str">
        <f t="shared" si="121"/>
        <v>Peru Chef</v>
      </c>
      <c r="U558" s="20" t="str">
        <f t="shared" si="122"/>
        <v>Peru Chef Pasta Aji Panca Poco Picante 116 oz</v>
      </c>
      <c r="V558" s="22">
        <f t="shared" si="123"/>
        <v>18</v>
      </c>
      <c r="W558" t="str">
        <f t="shared" si="124"/>
        <v>Peru Chef 10/28/2025</v>
      </c>
      <c r="Z558">
        <f t="shared" si="125"/>
        <v>144</v>
      </c>
    </row>
    <row r="559" spans="1:26" hidden="1" x14ac:dyDescent="0.25">
      <c r="A559" s="2" t="s">
        <v>272</v>
      </c>
      <c r="B559" s="11" t="s">
        <v>619</v>
      </c>
      <c r="C559" s="11" t="s">
        <v>4</v>
      </c>
      <c r="D559" s="11" t="s">
        <v>621</v>
      </c>
      <c r="E559" s="11" t="s">
        <v>593</v>
      </c>
      <c r="F559" s="11" t="s">
        <v>628</v>
      </c>
      <c r="G559" s="12">
        <v>8</v>
      </c>
      <c r="H559" s="12">
        <v>18</v>
      </c>
      <c r="I559" s="12">
        <v>144</v>
      </c>
      <c r="J559" s="12">
        <v>40385.65</v>
      </c>
      <c r="K559" s="20">
        <f t="shared" si="112"/>
        <v>2</v>
      </c>
      <c r="L559" s="20" t="str">
        <f t="shared" si="113"/>
        <v>Se repite 2 veces</v>
      </c>
      <c r="M559" s="20" t="str">
        <f t="shared" si="114"/>
        <v>Peru Chef-Peru Chef Pasta Aji Panca Poco Picante 116 oz</v>
      </c>
      <c r="N559" s="20">
        <f t="shared" si="115"/>
        <v>2</v>
      </c>
      <c r="O559" s="20" t="str">
        <f t="shared" si="116"/>
        <v>Se repite 2 veces en Peru Chef</v>
      </c>
      <c r="P559" s="20" t="str">
        <f t="shared" si="117"/>
        <v>Peru Chef-Peru Chef Pasta Aji Panca Poco Picante 116 oz-18</v>
      </c>
      <c r="Q559" s="20">
        <f t="shared" si="118"/>
        <v>2</v>
      </c>
      <c r="R559" s="20" t="str">
        <f t="shared" si="119"/>
        <v>Se repite 2 veces el precio de 18</v>
      </c>
      <c r="S559" s="20" t="str">
        <f t="shared" si="120"/>
        <v>El producto Peru Chef Pasta Aji Panca Poco Picante 116 oz Se repite 2 veces en Peru Chef, Se repite 2 veces el precio de 18</v>
      </c>
      <c r="T559" s="20" t="str">
        <f t="shared" si="121"/>
        <v>Peru Chef</v>
      </c>
      <c r="U559" s="20" t="str">
        <f t="shared" si="122"/>
        <v>Peru Chef Pasta Aji Panca Poco Picante 116 oz</v>
      </c>
      <c r="V559" s="22">
        <f t="shared" si="123"/>
        <v>18</v>
      </c>
      <c r="W559" t="str">
        <f t="shared" si="124"/>
        <v>Peru Chef 12/09/2025</v>
      </c>
      <c r="Z559">
        <f t="shared" si="125"/>
        <v>144</v>
      </c>
    </row>
    <row r="560" spans="1:26" hidden="1" x14ac:dyDescent="0.25">
      <c r="A560" s="2" t="s">
        <v>272</v>
      </c>
      <c r="B560" s="11" t="s">
        <v>273</v>
      </c>
      <c r="C560" s="11" t="s">
        <v>4</v>
      </c>
      <c r="D560" s="11" t="s">
        <v>5</v>
      </c>
      <c r="E560" s="11" t="s">
        <v>282</v>
      </c>
      <c r="F560" s="11" t="s">
        <v>283</v>
      </c>
      <c r="G560" s="12">
        <v>1</v>
      </c>
      <c r="H560" s="12">
        <v>60</v>
      </c>
      <c r="I560" s="12">
        <v>60</v>
      </c>
      <c r="J560" s="12">
        <v>198.5</v>
      </c>
      <c r="K560" s="20">
        <f t="shared" si="112"/>
        <v>5</v>
      </c>
      <c r="L560" s="20" t="str">
        <f t="shared" si="113"/>
        <v>Se repite 5 veces</v>
      </c>
      <c r="M560" s="20" t="str">
        <f t="shared" si="114"/>
        <v>Peru Chef-Peru Chef Pasta Ajos 16oz x 12</v>
      </c>
      <c r="N560" s="20">
        <f t="shared" si="115"/>
        <v>5</v>
      </c>
      <c r="O560" s="20" t="str">
        <f t="shared" si="116"/>
        <v>Se repite 5 veces en Peru Chef</v>
      </c>
      <c r="P560" s="20" t="str">
        <f t="shared" si="117"/>
        <v>Peru Chef-Peru Chef Pasta Ajos 16oz x 12-60</v>
      </c>
      <c r="Q560" s="20">
        <f t="shared" si="118"/>
        <v>2</v>
      </c>
      <c r="R560" s="20" t="str">
        <f t="shared" si="119"/>
        <v>Se repite 2 veces el precio de 60</v>
      </c>
      <c r="S560" s="20" t="str">
        <f t="shared" si="120"/>
        <v>El producto Peru Chef Pasta Ajos 16oz x 12 Se repite 5 veces en Peru Chef, Se repite 2 veces el precio de 60</v>
      </c>
      <c r="T560" s="20" t="str">
        <f t="shared" si="121"/>
        <v>Peru Chef</v>
      </c>
      <c r="U560" s="20" t="str">
        <f t="shared" si="122"/>
        <v>Peru Chef Pasta Ajos 16oz x 12</v>
      </c>
      <c r="V560" s="22">
        <f t="shared" si="123"/>
        <v>60</v>
      </c>
      <c r="W560" t="str">
        <f t="shared" si="124"/>
        <v>Peru Chef 03/26/2025</v>
      </c>
      <c r="Z560">
        <f t="shared" si="125"/>
        <v>60</v>
      </c>
    </row>
    <row r="561" spans="1:26" hidden="1" x14ac:dyDescent="0.25">
      <c r="A561" s="2" t="s">
        <v>272</v>
      </c>
      <c r="B561" s="11" t="s">
        <v>398</v>
      </c>
      <c r="C561" s="11" t="s">
        <v>4</v>
      </c>
      <c r="D561" s="11" t="s">
        <v>399</v>
      </c>
      <c r="E561" s="11" t="s">
        <v>282</v>
      </c>
      <c r="F561" s="11" t="s">
        <v>283</v>
      </c>
      <c r="G561" s="12">
        <v>1</v>
      </c>
      <c r="H561" s="12">
        <v>60</v>
      </c>
      <c r="I561" s="12">
        <v>60</v>
      </c>
      <c r="J561" s="12">
        <v>2444.6999999999998</v>
      </c>
      <c r="K561" s="20">
        <f t="shared" si="112"/>
        <v>5</v>
      </c>
      <c r="L561" s="20" t="str">
        <f t="shared" si="113"/>
        <v>Se repite 5 veces</v>
      </c>
      <c r="M561" s="20" t="str">
        <f t="shared" si="114"/>
        <v>Peru Chef-Peru Chef Pasta Ajos 16oz x 12</v>
      </c>
      <c r="N561" s="20">
        <f t="shared" si="115"/>
        <v>5</v>
      </c>
      <c r="O561" s="20" t="str">
        <f t="shared" si="116"/>
        <v>Se repite 5 veces en Peru Chef</v>
      </c>
      <c r="P561" s="20" t="str">
        <f t="shared" si="117"/>
        <v>Peru Chef-Peru Chef Pasta Ajos 16oz x 12-60</v>
      </c>
      <c r="Q561" s="20">
        <f t="shared" si="118"/>
        <v>2</v>
      </c>
      <c r="R561" s="20" t="str">
        <f t="shared" si="119"/>
        <v>Se repite 2 veces el precio de 60</v>
      </c>
      <c r="S561" s="20" t="str">
        <f t="shared" si="120"/>
        <v>El producto Peru Chef Pasta Ajos 16oz x 12 Se repite 5 veces en Peru Chef, Se repite 2 veces el precio de 60</v>
      </c>
      <c r="T561" s="20" t="str">
        <f t="shared" si="121"/>
        <v>Peru Chef</v>
      </c>
      <c r="U561" s="20" t="str">
        <f t="shared" si="122"/>
        <v>Peru Chef Pasta Ajos 16oz x 12</v>
      </c>
      <c r="V561" s="22">
        <f t="shared" si="123"/>
        <v>60</v>
      </c>
      <c r="W561" t="str">
        <f t="shared" si="124"/>
        <v>Peru Chef 04/10/2025</v>
      </c>
      <c r="Z561">
        <f t="shared" si="125"/>
        <v>60</v>
      </c>
    </row>
    <row r="562" spans="1:26" hidden="1" x14ac:dyDescent="0.25">
      <c r="A562" s="2" t="s">
        <v>272</v>
      </c>
      <c r="B562" s="11" t="s">
        <v>444</v>
      </c>
      <c r="C562" s="11" t="s">
        <v>4</v>
      </c>
      <c r="D562" s="11" t="s">
        <v>445</v>
      </c>
      <c r="E562" s="11" t="s">
        <v>282</v>
      </c>
      <c r="F562" s="11" t="s">
        <v>446</v>
      </c>
      <c r="G562" s="12">
        <v>1</v>
      </c>
      <c r="H562" s="12">
        <v>66</v>
      </c>
      <c r="I562" s="12">
        <v>66</v>
      </c>
      <c r="J562" s="12">
        <v>7252.6</v>
      </c>
      <c r="K562" s="20">
        <f t="shared" si="112"/>
        <v>5</v>
      </c>
      <c r="L562" s="20" t="str">
        <f t="shared" si="113"/>
        <v>Se repite 5 veces</v>
      </c>
      <c r="M562" s="20" t="str">
        <f t="shared" si="114"/>
        <v>Peru Chef-Peru Chef Pasta Ajos 16oz x 12</v>
      </c>
      <c r="N562" s="20">
        <f t="shared" si="115"/>
        <v>5</v>
      </c>
      <c r="O562" s="20" t="str">
        <f t="shared" si="116"/>
        <v>Se repite 5 veces en Peru Chef</v>
      </c>
      <c r="P562" s="20" t="str">
        <f t="shared" si="117"/>
        <v>Peru Chef-Peru Chef Pasta Ajos 16oz x 12-66</v>
      </c>
      <c r="Q562" s="20">
        <f t="shared" si="118"/>
        <v>3</v>
      </c>
      <c r="R562" s="20" t="str">
        <f t="shared" si="119"/>
        <v>Se repite 3 veces el precio de 66</v>
      </c>
      <c r="S562" s="20" t="str">
        <f t="shared" si="120"/>
        <v>El producto Peru Chef Pasta Ajos 16oz x 12 Se repite 5 veces en Peru Chef, Se repite 3 veces el precio de 66</v>
      </c>
      <c r="T562" s="20" t="str">
        <f t="shared" si="121"/>
        <v>Peru Chef</v>
      </c>
      <c r="U562" s="20" t="str">
        <f t="shared" si="122"/>
        <v>Peru Chef Pasta Ajos 16oz x 12</v>
      </c>
      <c r="V562" s="22">
        <f t="shared" si="123"/>
        <v>66</v>
      </c>
      <c r="W562" t="str">
        <f t="shared" si="124"/>
        <v>Peru Chef 04/24/2025</v>
      </c>
      <c r="Z562">
        <f t="shared" si="125"/>
        <v>66</v>
      </c>
    </row>
    <row r="563" spans="1:26" hidden="1" x14ac:dyDescent="0.25">
      <c r="A563" s="2" t="s">
        <v>272</v>
      </c>
      <c r="B563" s="11" t="s">
        <v>471</v>
      </c>
      <c r="C563" s="11" t="s">
        <v>4</v>
      </c>
      <c r="D563" s="11" t="s">
        <v>472</v>
      </c>
      <c r="E563" s="11" t="s">
        <v>282</v>
      </c>
      <c r="F563" s="11" t="s">
        <v>446</v>
      </c>
      <c r="G563" s="12">
        <v>1</v>
      </c>
      <c r="H563" s="12">
        <v>66</v>
      </c>
      <c r="I563" s="12">
        <v>66</v>
      </c>
      <c r="J563" s="12">
        <v>11210.5</v>
      </c>
      <c r="K563" s="20">
        <f t="shared" si="112"/>
        <v>5</v>
      </c>
      <c r="L563" s="20" t="str">
        <f t="shared" si="113"/>
        <v>Se repite 5 veces</v>
      </c>
      <c r="M563" s="20" t="str">
        <f t="shared" si="114"/>
        <v>Peru Chef-Peru Chef Pasta Ajos 16oz x 12</v>
      </c>
      <c r="N563" s="20">
        <f t="shared" si="115"/>
        <v>5</v>
      </c>
      <c r="O563" s="20" t="str">
        <f t="shared" si="116"/>
        <v>Se repite 5 veces en Peru Chef</v>
      </c>
      <c r="P563" s="20" t="str">
        <f t="shared" si="117"/>
        <v>Peru Chef-Peru Chef Pasta Ajos 16oz x 12-66</v>
      </c>
      <c r="Q563" s="20">
        <f t="shared" si="118"/>
        <v>3</v>
      </c>
      <c r="R563" s="20" t="str">
        <f t="shared" si="119"/>
        <v>Se repite 3 veces el precio de 66</v>
      </c>
      <c r="S563" s="20" t="str">
        <f t="shared" si="120"/>
        <v>El producto Peru Chef Pasta Ajos 16oz x 12 Se repite 5 veces en Peru Chef, Se repite 3 veces el precio de 66</v>
      </c>
      <c r="T563" s="20" t="str">
        <f t="shared" si="121"/>
        <v>Peru Chef</v>
      </c>
      <c r="U563" s="20" t="str">
        <f t="shared" si="122"/>
        <v>Peru Chef Pasta Ajos 16oz x 12</v>
      </c>
      <c r="V563" s="22">
        <f t="shared" si="123"/>
        <v>66</v>
      </c>
      <c r="W563" t="str">
        <f t="shared" si="124"/>
        <v>Peru Chef 08/11/2025</v>
      </c>
      <c r="Z563">
        <f t="shared" si="125"/>
        <v>66</v>
      </c>
    </row>
    <row r="564" spans="1:26" hidden="1" x14ac:dyDescent="0.25">
      <c r="A564" s="2" t="s">
        <v>272</v>
      </c>
      <c r="B564" s="11" t="s">
        <v>512</v>
      </c>
      <c r="C564" s="11" t="s">
        <v>4</v>
      </c>
      <c r="D564" s="11" t="s">
        <v>513</v>
      </c>
      <c r="E564" s="11" t="s">
        <v>282</v>
      </c>
      <c r="F564" s="11" t="s">
        <v>524</v>
      </c>
      <c r="G564" s="12">
        <v>1</v>
      </c>
      <c r="H564" s="12">
        <v>66</v>
      </c>
      <c r="I564" s="12">
        <v>66</v>
      </c>
      <c r="J564" s="12">
        <v>17033.5</v>
      </c>
      <c r="K564" s="20">
        <f t="shared" si="112"/>
        <v>5</v>
      </c>
      <c r="L564" s="20" t="str">
        <f t="shared" si="113"/>
        <v>Se repite 5 veces</v>
      </c>
      <c r="M564" s="20" t="str">
        <f t="shared" si="114"/>
        <v>Peru Chef-Peru Chef Pasta Ajos 16oz x 12</v>
      </c>
      <c r="N564" s="20">
        <f t="shared" si="115"/>
        <v>5</v>
      </c>
      <c r="O564" s="20" t="str">
        <f t="shared" si="116"/>
        <v>Se repite 5 veces en Peru Chef</v>
      </c>
      <c r="P564" s="20" t="str">
        <f t="shared" si="117"/>
        <v>Peru Chef-Peru Chef Pasta Ajos 16oz x 12-66</v>
      </c>
      <c r="Q564" s="20">
        <f t="shared" si="118"/>
        <v>3</v>
      </c>
      <c r="R564" s="20" t="str">
        <f t="shared" si="119"/>
        <v>Se repite 3 veces el precio de 66</v>
      </c>
      <c r="S564" s="20" t="str">
        <f t="shared" si="120"/>
        <v>El producto Peru Chef Pasta Ajos 16oz x 12 Se repite 5 veces en Peru Chef, Se repite 3 veces el precio de 66</v>
      </c>
      <c r="T564" s="20" t="str">
        <f t="shared" si="121"/>
        <v>Peru Chef</v>
      </c>
      <c r="U564" s="20" t="str">
        <f t="shared" si="122"/>
        <v>Peru Chef Pasta Ajos 16oz x 12</v>
      </c>
      <c r="V564" s="22">
        <f t="shared" si="123"/>
        <v>66</v>
      </c>
      <c r="W564" t="str">
        <f t="shared" si="124"/>
        <v>Peru Chef 08/28/2025</v>
      </c>
      <c r="Z564">
        <f t="shared" si="125"/>
        <v>66</v>
      </c>
    </row>
    <row r="565" spans="1:26" hidden="1" x14ac:dyDescent="0.25">
      <c r="A565" s="2" t="s">
        <v>272</v>
      </c>
      <c r="B565" s="11" t="s">
        <v>590</v>
      </c>
      <c r="C565" s="11" t="s">
        <v>4</v>
      </c>
      <c r="D565" s="11" t="s">
        <v>591</v>
      </c>
      <c r="E565" s="11" t="s">
        <v>597</v>
      </c>
      <c r="F565" s="11" t="s">
        <v>598</v>
      </c>
      <c r="G565" s="12">
        <v>4</v>
      </c>
      <c r="H565" s="12">
        <v>18</v>
      </c>
      <c r="I565" s="12">
        <v>72</v>
      </c>
      <c r="J565" s="12">
        <v>30717.4</v>
      </c>
      <c r="K565" s="20">
        <f t="shared" si="112"/>
        <v>1</v>
      </c>
      <c r="L565" s="20" t="str">
        <f t="shared" si="113"/>
        <v>No se repite</v>
      </c>
      <c r="M565" s="20" t="str">
        <f t="shared" si="114"/>
        <v>Peru Chef-Peru Chef Pasta Rocoto 116 oz</v>
      </c>
      <c r="N565" s="20">
        <f t="shared" si="115"/>
        <v>1</v>
      </c>
      <c r="O565" s="20" t="str">
        <f t="shared" si="116"/>
        <v>No se repite en proveedor</v>
      </c>
      <c r="P565" s="20" t="str">
        <f t="shared" si="117"/>
        <v>Peru Chef-Peru Chef Pasta Rocoto 116 oz-18</v>
      </c>
      <c r="Q565" s="20">
        <f t="shared" si="118"/>
        <v>1</v>
      </c>
      <c r="R565" s="20" t="str">
        <f t="shared" si="119"/>
        <v>No se repite</v>
      </c>
      <c r="S565" s="20" t="str">
        <f t="shared" si="120"/>
        <v>El producto Peru Chef Pasta Rocoto 116 oz No se repite en proveedor Una vez con el precio 18</v>
      </c>
      <c r="T565" s="20" t="str">
        <f t="shared" si="121"/>
        <v>Peru Chef</v>
      </c>
      <c r="U565" s="20" t="str">
        <f t="shared" si="122"/>
        <v>Peru Chef Pasta Rocoto 116 oz</v>
      </c>
      <c r="V565" s="22">
        <f t="shared" si="123"/>
        <v>18</v>
      </c>
      <c r="W565" t="str">
        <f t="shared" si="124"/>
        <v>Peru Chef 10/28/2025</v>
      </c>
      <c r="Z565">
        <f t="shared" si="125"/>
        <v>72</v>
      </c>
    </row>
    <row r="566" spans="1:26" hidden="1" x14ac:dyDescent="0.25">
      <c r="A566" s="2" t="s">
        <v>272</v>
      </c>
      <c r="B566" s="11" t="s">
        <v>512</v>
      </c>
      <c r="C566" s="11" t="s">
        <v>4</v>
      </c>
      <c r="D566" s="11" t="s">
        <v>513</v>
      </c>
      <c r="E566" s="11" t="s">
        <v>522</v>
      </c>
      <c r="F566" s="11" t="s">
        <v>523</v>
      </c>
      <c r="G566" s="12">
        <v>1</v>
      </c>
      <c r="H566" s="12">
        <v>48</v>
      </c>
      <c r="I566" s="12">
        <v>48</v>
      </c>
      <c r="J566" s="12">
        <v>16967.5</v>
      </c>
      <c r="K566" s="20">
        <f t="shared" si="112"/>
        <v>1</v>
      </c>
      <c r="L566" s="20" t="str">
        <f t="shared" si="113"/>
        <v>No se repite</v>
      </c>
      <c r="M566" s="20" t="str">
        <f t="shared" si="114"/>
        <v>Peru Chef-Peru Chef Pasta Rocoto 16 Oz X 12</v>
      </c>
      <c r="N566" s="20">
        <f t="shared" si="115"/>
        <v>1</v>
      </c>
      <c r="O566" s="20" t="str">
        <f t="shared" si="116"/>
        <v>No se repite en proveedor</v>
      </c>
      <c r="P566" s="20" t="str">
        <f t="shared" si="117"/>
        <v>Peru Chef-Peru Chef Pasta Rocoto 16 Oz X 12-48</v>
      </c>
      <c r="Q566" s="20">
        <f t="shared" si="118"/>
        <v>1</v>
      </c>
      <c r="R566" s="20" t="str">
        <f t="shared" si="119"/>
        <v>No se repite</v>
      </c>
      <c r="S566" s="20" t="str">
        <f t="shared" si="120"/>
        <v>El producto Peru Chef Pasta Rocoto 16 Oz X 12 No se repite en proveedor Una vez con el precio 48</v>
      </c>
      <c r="T566" s="20" t="str">
        <f t="shared" si="121"/>
        <v>Peru Chef</v>
      </c>
      <c r="U566" s="20" t="str">
        <f t="shared" si="122"/>
        <v>Peru Chef Pasta Rocoto 16 Oz X 12</v>
      </c>
      <c r="V566" s="22">
        <f t="shared" si="123"/>
        <v>48</v>
      </c>
      <c r="W566" t="str">
        <f t="shared" si="124"/>
        <v>Peru Chef 08/28/2025</v>
      </c>
      <c r="Z566">
        <f t="shared" si="125"/>
        <v>48</v>
      </c>
    </row>
    <row r="567" spans="1:26" hidden="1" x14ac:dyDescent="0.25">
      <c r="A567" s="2" t="s">
        <v>272</v>
      </c>
      <c r="B567" s="11" t="s">
        <v>408</v>
      </c>
      <c r="C567" s="11" t="s">
        <v>4</v>
      </c>
      <c r="D567" s="11" t="s">
        <v>409</v>
      </c>
      <c r="E567" s="11" t="s">
        <v>429</v>
      </c>
      <c r="F567" s="11" t="s">
        <v>430</v>
      </c>
      <c r="G567" s="12">
        <v>1</v>
      </c>
      <c r="H567" s="12">
        <v>30</v>
      </c>
      <c r="I567" s="12">
        <v>30</v>
      </c>
      <c r="J567" s="12">
        <v>5842.6</v>
      </c>
      <c r="K567" s="20">
        <f t="shared" si="112"/>
        <v>1</v>
      </c>
      <c r="L567" s="20" t="str">
        <f t="shared" si="113"/>
        <v>No se repite</v>
      </c>
      <c r="M567" s="20" t="str">
        <f t="shared" si="114"/>
        <v>Peru Chef-Peru Chef Pasta Rocoto 8 Oz X 12</v>
      </c>
      <c r="N567" s="20">
        <f t="shared" si="115"/>
        <v>1</v>
      </c>
      <c r="O567" s="20" t="str">
        <f t="shared" si="116"/>
        <v>No se repite en proveedor</v>
      </c>
      <c r="P567" s="20" t="str">
        <f t="shared" si="117"/>
        <v>Peru Chef-Peru Chef Pasta Rocoto 8 Oz X 12-30</v>
      </c>
      <c r="Q567" s="20">
        <f t="shared" si="118"/>
        <v>1</v>
      </c>
      <c r="R567" s="20" t="str">
        <f t="shared" si="119"/>
        <v>No se repite</v>
      </c>
      <c r="S567" s="20" t="str">
        <f t="shared" si="120"/>
        <v>El producto Peru Chef Pasta Rocoto 8 Oz X 12 No se repite en proveedor Una vez con el precio 30</v>
      </c>
      <c r="T567" s="20" t="str">
        <f t="shared" si="121"/>
        <v>Peru Chef</v>
      </c>
      <c r="U567" s="20" t="str">
        <f t="shared" si="122"/>
        <v>Peru Chef Pasta Rocoto 8 Oz X 12</v>
      </c>
      <c r="V567" s="22">
        <f t="shared" si="123"/>
        <v>30</v>
      </c>
      <c r="W567" t="str">
        <f t="shared" si="124"/>
        <v>Peru Chef 04/13/2025</v>
      </c>
      <c r="Z567">
        <f t="shared" si="125"/>
        <v>30</v>
      </c>
    </row>
    <row r="568" spans="1:26" hidden="1" x14ac:dyDescent="0.25">
      <c r="A568" s="2" t="s">
        <v>272</v>
      </c>
      <c r="B568" s="11" t="s">
        <v>273</v>
      </c>
      <c r="C568" s="11" t="s">
        <v>4</v>
      </c>
      <c r="D568" s="11" t="s">
        <v>5</v>
      </c>
      <c r="E568" s="11" t="s">
        <v>302</v>
      </c>
      <c r="F568" s="11" t="s">
        <v>303</v>
      </c>
      <c r="G568" s="12">
        <v>1</v>
      </c>
      <c r="H568" s="12">
        <v>28</v>
      </c>
      <c r="I568" s="12">
        <v>28</v>
      </c>
      <c r="J568" s="12">
        <v>497.3</v>
      </c>
      <c r="K568" s="20">
        <f t="shared" si="112"/>
        <v>6</v>
      </c>
      <c r="L568" s="20" t="str">
        <f t="shared" si="113"/>
        <v>Se repite 6 veces</v>
      </c>
      <c r="M568" s="20" t="str">
        <f t="shared" si="114"/>
        <v>Peru Chef-Peru Chef Quinua Real 15oz x 12</v>
      </c>
      <c r="N568" s="20">
        <f t="shared" si="115"/>
        <v>6</v>
      </c>
      <c r="O568" s="20" t="str">
        <f t="shared" si="116"/>
        <v>Se repite 6 veces en Peru Chef</v>
      </c>
      <c r="P568" s="20" t="str">
        <f t="shared" si="117"/>
        <v>Peru Chef-Peru Chef Quinua Real 15oz x 12-28</v>
      </c>
      <c r="Q568" s="20">
        <f t="shared" si="118"/>
        <v>3</v>
      </c>
      <c r="R568" s="20" t="str">
        <f t="shared" si="119"/>
        <v>Se repite 3 veces el precio de 28</v>
      </c>
      <c r="S568" s="20" t="str">
        <f t="shared" si="120"/>
        <v>El producto Peru Chef Quinua Real 15oz x 12 Se repite 6 veces en Peru Chef, Se repite 3 veces el precio de 28</v>
      </c>
      <c r="T568" s="20" t="str">
        <f t="shared" si="121"/>
        <v>Peru Chef</v>
      </c>
      <c r="U568" s="20" t="str">
        <f t="shared" si="122"/>
        <v>Peru Chef Quinua Real 15oz x 12</v>
      </c>
      <c r="V568" s="22">
        <f t="shared" si="123"/>
        <v>28</v>
      </c>
      <c r="W568" t="str">
        <f t="shared" si="124"/>
        <v>Peru Chef 03/26/2025</v>
      </c>
      <c r="Z568">
        <f t="shared" si="125"/>
        <v>28</v>
      </c>
    </row>
    <row r="569" spans="1:26" hidden="1" x14ac:dyDescent="0.25">
      <c r="A569" s="2" t="s">
        <v>272</v>
      </c>
      <c r="B569" s="11" t="s">
        <v>398</v>
      </c>
      <c r="C569" s="11" t="s">
        <v>4</v>
      </c>
      <c r="D569" s="11" t="s">
        <v>399</v>
      </c>
      <c r="E569" s="11" t="s">
        <v>302</v>
      </c>
      <c r="F569" s="11" t="s">
        <v>303</v>
      </c>
      <c r="G569" s="12">
        <v>1</v>
      </c>
      <c r="H569" s="12">
        <v>28</v>
      </c>
      <c r="I569" s="12">
        <v>28</v>
      </c>
      <c r="J569" s="12">
        <v>2743.5</v>
      </c>
      <c r="K569" s="20">
        <f t="shared" si="112"/>
        <v>6</v>
      </c>
      <c r="L569" s="20" t="str">
        <f t="shared" si="113"/>
        <v>Se repite 6 veces</v>
      </c>
      <c r="M569" s="20" t="str">
        <f t="shared" si="114"/>
        <v>Peru Chef-Peru Chef Quinua Real 15oz x 12</v>
      </c>
      <c r="N569" s="20">
        <f t="shared" si="115"/>
        <v>6</v>
      </c>
      <c r="O569" s="20" t="str">
        <f t="shared" si="116"/>
        <v>Se repite 6 veces en Peru Chef</v>
      </c>
      <c r="P569" s="20" t="str">
        <f t="shared" si="117"/>
        <v>Peru Chef-Peru Chef Quinua Real 15oz x 12-28</v>
      </c>
      <c r="Q569" s="20">
        <f t="shared" si="118"/>
        <v>3</v>
      </c>
      <c r="R569" s="20" t="str">
        <f t="shared" si="119"/>
        <v>Se repite 3 veces el precio de 28</v>
      </c>
      <c r="S569" s="20" t="str">
        <f t="shared" si="120"/>
        <v>El producto Peru Chef Quinua Real 15oz x 12 Se repite 6 veces en Peru Chef, Se repite 3 veces el precio de 28</v>
      </c>
      <c r="T569" s="20" t="str">
        <f t="shared" si="121"/>
        <v>Peru Chef</v>
      </c>
      <c r="U569" s="20" t="str">
        <f t="shared" si="122"/>
        <v>Peru Chef Quinua Real 15oz x 12</v>
      </c>
      <c r="V569" s="22">
        <f t="shared" si="123"/>
        <v>28</v>
      </c>
      <c r="W569" t="str">
        <f t="shared" si="124"/>
        <v>Peru Chef 04/10/2025</v>
      </c>
      <c r="Z569">
        <f t="shared" si="125"/>
        <v>28</v>
      </c>
    </row>
    <row r="570" spans="1:26" hidden="1" x14ac:dyDescent="0.25">
      <c r="A570" s="2" t="s">
        <v>272</v>
      </c>
      <c r="B570" s="11" t="s">
        <v>444</v>
      </c>
      <c r="C570" s="11" t="s">
        <v>4</v>
      </c>
      <c r="D570" s="11" t="s">
        <v>445</v>
      </c>
      <c r="E570" s="11" t="s">
        <v>302</v>
      </c>
      <c r="F570" s="11" t="s">
        <v>456</v>
      </c>
      <c r="G570" s="12">
        <v>2</v>
      </c>
      <c r="H570" s="12">
        <v>28</v>
      </c>
      <c r="I570" s="12">
        <v>56</v>
      </c>
      <c r="J570" s="12">
        <v>7664.2000000000007</v>
      </c>
      <c r="K570" s="20">
        <f t="shared" si="112"/>
        <v>6</v>
      </c>
      <c r="L570" s="20" t="str">
        <f t="shared" si="113"/>
        <v>Se repite 6 veces</v>
      </c>
      <c r="M570" s="20" t="str">
        <f t="shared" si="114"/>
        <v>Peru Chef-Peru Chef Quinua Real 15oz x 12</v>
      </c>
      <c r="N570" s="20">
        <f t="shared" si="115"/>
        <v>6</v>
      </c>
      <c r="O570" s="20" t="str">
        <f t="shared" si="116"/>
        <v>Se repite 6 veces en Peru Chef</v>
      </c>
      <c r="P570" s="20" t="str">
        <f t="shared" si="117"/>
        <v>Peru Chef-Peru Chef Quinua Real 15oz x 12-28</v>
      </c>
      <c r="Q570" s="20">
        <f t="shared" si="118"/>
        <v>3</v>
      </c>
      <c r="R570" s="20" t="str">
        <f t="shared" si="119"/>
        <v>Se repite 3 veces el precio de 28</v>
      </c>
      <c r="S570" s="20" t="str">
        <f t="shared" si="120"/>
        <v>El producto Peru Chef Quinua Real 15oz x 12 Se repite 6 veces en Peru Chef, Se repite 3 veces el precio de 28</v>
      </c>
      <c r="T570" s="20" t="str">
        <f t="shared" si="121"/>
        <v>Peru Chef</v>
      </c>
      <c r="U570" s="20" t="str">
        <f t="shared" si="122"/>
        <v>Peru Chef Quinua Real 15oz x 12</v>
      </c>
      <c r="V570" s="22">
        <f t="shared" si="123"/>
        <v>28</v>
      </c>
      <c r="W570" t="str">
        <f t="shared" si="124"/>
        <v>Peru Chef 04/24/2025</v>
      </c>
      <c r="Z570">
        <f t="shared" si="125"/>
        <v>56</v>
      </c>
    </row>
    <row r="571" spans="1:26" hidden="1" x14ac:dyDescent="0.25">
      <c r="A571" s="2" t="s">
        <v>272</v>
      </c>
      <c r="B571" s="11" t="s">
        <v>471</v>
      </c>
      <c r="C571" s="11" t="s">
        <v>4</v>
      </c>
      <c r="D571" s="11" t="s">
        <v>472</v>
      </c>
      <c r="E571" s="11" t="s">
        <v>302</v>
      </c>
      <c r="F571" s="11" t="s">
        <v>456</v>
      </c>
      <c r="G571" s="12">
        <v>3</v>
      </c>
      <c r="H571" s="12">
        <v>30</v>
      </c>
      <c r="I571" s="12">
        <v>90</v>
      </c>
      <c r="J571" s="12">
        <v>12249.5</v>
      </c>
      <c r="K571" s="20">
        <f t="shared" si="112"/>
        <v>6</v>
      </c>
      <c r="L571" s="20" t="str">
        <f t="shared" si="113"/>
        <v>Se repite 6 veces</v>
      </c>
      <c r="M571" s="20" t="str">
        <f t="shared" si="114"/>
        <v>Peru Chef-Peru Chef Quinua Real 15oz x 12</v>
      </c>
      <c r="N571" s="20">
        <f t="shared" si="115"/>
        <v>6</v>
      </c>
      <c r="O571" s="20" t="str">
        <f t="shared" si="116"/>
        <v>Se repite 6 veces en Peru Chef</v>
      </c>
      <c r="P571" s="20" t="str">
        <f t="shared" si="117"/>
        <v>Peru Chef-Peru Chef Quinua Real 15oz x 12-30</v>
      </c>
      <c r="Q571" s="20">
        <f t="shared" si="118"/>
        <v>2</v>
      </c>
      <c r="R571" s="20" t="str">
        <f t="shared" si="119"/>
        <v>Se repite 2 veces el precio de 30</v>
      </c>
      <c r="S571" s="20" t="str">
        <f t="shared" si="120"/>
        <v>El producto Peru Chef Quinua Real 15oz x 12 Se repite 6 veces en Peru Chef, Se repite 2 veces el precio de 30</v>
      </c>
      <c r="T571" s="20" t="str">
        <f t="shared" si="121"/>
        <v>Peru Chef</v>
      </c>
      <c r="U571" s="20" t="str">
        <f t="shared" si="122"/>
        <v>Peru Chef Quinua Real 15oz x 12</v>
      </c>
      <c r="V571" s="22">
        <f t="shared" si="123"/>
        <v>30</v>
      </c>
      <c r="W571" t="str">
        <f t="shared" si="124"/>
        <v>Peru Chef 08/11/2025</v>
      </c>
      <c r="Z571">
        <f t="shared" si="125"/>
        <v>90</v>
      </c>
    </row>
    <row r="572" spans="1:26" hidden="1" x14ac:dyDescent="0.25">
      <c r="A572" s="2" t="s">
        <v>272</v>
      </c>
      <c r="B572" s="11" t="s">
        <v>512</v>
      </c>
      <c r="C572" s="11" t="s">
        <v>4</v>
      </c>
      <c r="D572" s="11" t="s">
        <v>513</v>
      </c>
      <c r="E572" s="11" t="s">
        <v>302</v>
      </c>
      <c r="F572" s="11" t="s">
        <v>456</v>
      </c>
      <c r="G572" s="12">
        <v>2</v>
      </c>
      <c r="H572" s="12">
        <v>30</v>
      </c>
      <c r="I572" s="12">
        <v>60</v>
      </c>
      <c r="J572" s="12">
        <v>16769.5</v>
      </c>
      <c r="K572" s="20">
        <f t="shared" si="112"/>
        <v>6</v>
      </c>
      <c r="L572" s="20" t="str">
        <f t="shared" si="113"/>
        <v>Se repite 6 veces</v>
      </c>
      <c r="M572" s="20" t="str">
        <f t="shared" si="114"/>
        <v>Peru Chef-Peru Chef Quinua Real 15oz x 12</v>
      </c>
      <c r="N572" s="20">
        <f t="shared" si="115"/>
        <v>6</v>
      </c>
      <c r="O572" s="20" t="str">
        <f t="shared" si="116"/>
        <v>Se repite 6 veces en Peru Chef</v>
      </c>
      <c r="P572" s="20" t="str">
        <f t="shared" si="117"/>
        <v>Peru Chef-Peru Chef Quinua Real 15oz x 12-30</v>
      </c>
      <c r="Q572" s="20">
        <f t="shared" si="118"/>
        <v>2</v>
      </c>
      <c r="R572" s="20" t="str">
        <f t="shared" si="119"/>
        <v>Se repite 2 veces el precio de 30</v>
      </c>
      <c r="S572" s="20" t="str">
        <f t="shared" si="120"/>
        <v>El producto Peru Chef Quinua Real 15oz x 12 Se repite 6 veces en Peru Chef, Se repite 2 veces el precio de 30</v>
      </c>
      <c r="T572" s="20" t="str">
        <f t="shared" si="121"/>
        <v>Peru Chef</v>
      </c>
      <c r="U572" s="20" t="str">
        <f t="shared" si="122"/>
        <v>Peru Chef Quinua Real 15oz x 12</v>
      </c>
      <c r="V572" s="22">
        <f t="shared" si="123"/>
        <v>30</v>
      </c>
      <c r="W572" t="str">
        <f t="shared" si="124"/>
        <v>Peru Chef 08/28/2025</v>
      </c>
      <c r="Z572">
        <f t="shared" si="125"/>
        <v>60</v>
      </c>
    </row>
    <row r="573" spans="1:26" hidden="1" x14ac:dyDescent="0.25">
      <c r="A573" s="2" t="s">
        <v>272</v>
      </c>
      <c r="B573" s="11" t="s">
        <v>590</v>
      </c>
      <c r="C573" s="11" t="s">
        <v>4</v>
      </c>
      <c r="D573" s="11" t="s">
        <v>591</v>
      </c>
      <c r="E573" s="11" t="s">
        <v>302</v>
      </c>
      <c r="F573" s="11" t="s">
        <v>456</v>
      </c>
      <c r="G573" s="12">
        <v>3</v>
      </c>
      <c r="H573" s="12">
        <v>27</v>
      </c>
      <c r="I573" s="12">
        <v>81</v>
      </c>
      <c r="J573" s="12">
        <v>31218.7</v>
      </c>
      <c r="K573" s="20">
        <f t="shared" si="112"/>
        <v>6</v>
      </c>
      <c r="L573" s="20" t="str">
        <f t="shared" si="113"/>
        <v>Se repite 6 veces</v>
      </c>
      <c r="M573" s="20" t="str">
        <f t="shared" si="114"/>
        <v>Peru Chef-Peru Chef Quinua Real 15oz x 12</v>
      </c>
      <c r="N573" s="20">
        <f t="shared" si="115"/>
        <v>6</v>
      </c>
      <c r="O573" s="20" t="str">
        <f t="shared" si="116"/>
        <v>Se repite 6 veces en Peru Chef</v>
      </c>
      <c r="P573" s="20" t="str">
        <f t="shared" si="117"/>
        <v>Peru Chef-Peru Chef Quinua Real 15oz x 12-27</v>
      </c>
      <c r="Q573" s="20">
        <f t="shared" si="118"/>
        <v>1</v>
      </c>
      <c r="R573" s="20" t="str">
        <f t="shared" si="119"/>
        <v>No se repite</v>
      </c>
      <c r="S573" s="20" t="str">
        <f t="shared" si="120"/>
        <v>El producto Peru Chef Quinua Real 15oz x 12 Se repite 6 veces en Peru Chef Una vez con el precio 27</v>
      </c>
      <c r="T573" s="20" t="str">
        <f t="shared" si="121"/>
        <v>Peru Chef</v>
      </c>
      <c r="U573" s="20" t="str">
        <f t="shared" si="122"/>
        <v>Peru Chef Quinua Real 15oz x 12</v>
      </c>
      <c r="V573" s="22">
        <f t="shared" si="123"/>
        <v>27</v>
      </c>
      <c r="W573" t="str">
        <f t="shared" si="124"/>
        <v>Peru Chef 10/28/2025</v>
      </c>
      <c r="Z573">
        <f t="shared" si="125"/>
        <v>81</v>
      </c>
    </row>
    <row r="574" spans="1:26" hidden="1" x14ac:dyDescent="0.25">
      <c r="A574" s="2" t="s">
        <v>272</v>
      </c>
      <c r="B574" s="11" t="s">
        <v>408</v>
      </c>
      <c r="C574" s="11" t="s">
        <v>4</v>
      </c>
      <c r="D574" s="11" t="s">
        <v>409</v>
      </c>
      <c r="E574" s="11" t="s">
        <v>420</v>
      </c>
      <c r="F574" s="11" t="s">
        <v>421</v>
      </c>
      <c r="G574" s="12">
        <v>1</v>
      </c>
      <c r="H574" s="12">
        <v>36</v>
      </c>
      <c r="I574" s="12">
        <v>36</v>
      </c>
      <c r="J574" s="12">
        <v>4816.1000000000004</v>
      </c>
      <c r="K574" s="20">
        <f t="shared" si="112"/>
        <v>1</v>
      </c>
      <c r="L574" s="20" t="str">
        <f t="shared" si="113"/>
        <v>No se repite</v>
      </c>
      <c r="M574" s="20" t="str">
        <f t="shared" si="114"/>
        <v>Peru Chef-Peru Chef Rocoto En Mitades lata 20oz x12</v>
      </c>
      <c r="N574" s="20">
        <f t="shared" si="115"/>
        <v>1</v>
      </c>
      <c r="O574" s="20" t="str">
        <f t="shared" si="116"/>
        <v>No se repite en proveedor</v>
      </c>
      <c r="P574" s="20" t="str">
        <f t="shared" si="117"/>
        <v>Peru Chef-Peru Chef Rocoto En Mitades lata 20oz x12-36</v>
      </c>
      <c r="Q574" s="20">
        <f t="shared" si="118"/>
        <v>1</v>
      </c>
      <c r="R574" s="20" t="str">
        <f t="shared" si="119"/>
        <v>No se repite</v>
      </c>
      <c r="S574" s="20" t="str">
        <f t="shared" si="120"/>
        <v>El producto Peru Chef Rocoto En Mitades lata 20oz x12 No se repite en proveedor Una vez con el precio 36</v>
      </c>
      <c r="T574" s="20" t="str">
        <f t="shared" si="121"/>
        <v>Peru Chef</v>
      </c>
      <c r="U574" s="20" t="str">
        <f t="shared" si="122"/>
        <v>Peru Chef Rocoto En Mitades lata 20oz x12</v>
      </c>
      <c r="V574" s="22">
        <f t="shared" si="123"/>
        <v>36</v>
      </c>
      <c r="W574" t="str">
        <f t="shared" si="124"/>
        <v>Peru Chef 04/13/2025</v>
      </c>
      <c r="Z574">
        <f t="shared" si="125"/>
        <v>36</v>
      </c>
    </row>
    <row r="575" spans="1:26" hidden="1" x14ac:dyDescent="0.25">
      <c r="A575" s="2" t="s">
        <v>272</v>
      </c>
      <c r="B575" s="11" t="s">
        <v>619</v>
      </c>
      <c r="C575" s="11" t="s">
        <v>4</v>
      </c>
      <c r="D575" s="11" t="s">
        <v>621</v>
      </c>
      <c r="E575" s="11" t="s">
        <v>631</v>
      </c>
      <c r="F575" s="11" t="s">
        <v>632</v>
      </c>
      <c r="G575" s="12">
        <v>2</v>
      </c>
      <c r="H575" s="12">
        <v>46.8</v>
      </c>
      <c r="I575" s="12">
        <v>93.6</v>
      </c>
      <c r="J575" s="12">
        <v>40623.25</v>
      </c>
      <c r="K575" s="20">
        <f t="shared" si="112"/>
        <v>1</v>
      </c>
      <c r="L575" s="20" t="str">
        <f t="shared" si="113"/>
        <v>No se repite</v>
      </c>
      <c r="M575" s="20" t="str">
        <f t="shared" si="114"/>
        <v>Peru Chef-Peru Chef Rocoto En Salmuera 20oz x 12</v>
      </c>
      <c r="N575" s="20">
        <f t="shared" si="115"/>
        <v>1</v>
      </c>
      <c r="O575" s="20" t="str">
        <f t="shared" si="116"/>
        <v>No se repite en proveedor</v>
      </c>
      <c r="P575" s="20" t="str">
        <f t="shared" si="117"/>
        <v>Peru Chef-Peru Chef Rocoto En Salmuera 20oz x 12-46.8</v>
      </c>
      <c r="Q575" s="20">
        <f t="shared" si="118"/>
        <v>1</v>
      </c>
      <c r="R575" s="20" t="str">
        <f t="shared" si="119"/>
        <v>No se repite</v>
      </c>
      <c r="S575" s="20" t="str">
        <f t="shared" si="120"/>
        <v>El producto Peru Chef Rocoto En Salmuera 20oz x 12 No se repite en proveedor Una vez con el precio 46.8</v>
      </c>
      <c r="T575" s="20" t="str">
        <f t="shared" si="121"/>
        <v>Peru Chef</v>
      </c>
      <c r="U575" s="20" t="str">
        <f t="shared" si="122"/>
        <v>Peru Chef Rocoto En Salmuera 20oz x 12</v>
      </c>
      <c r="V575" s="22">
        <f t="shared" si="123"/>
        <v>46.8</v>
      </c>
      <c r="W575" t="str">
        <f t="shared" si="124"/>
        <v>Peru Chef 12/09/2025</v>
      </c>
      <c r="Z575">
        <f t="shared" si="125"/>
        <v>93.6</v>
      </c>
    </row>
    <row r="576" spans="1:26" hidden="1" x14ac:dyDescent="0.25">
      <c r="A576" s="2" t="s">
        <v>272</v>
      </c>
      <c r="B576" s="11" t="s">
        <v>273</v>
      </c>
      <c r="C576" s="11" t="s">
        <v>4</v>
      </c>
      <c r="D576" s="11" t="s">
        <v>5</v>
      </c>
      <c r="E576" s="11" t="s">
        <v>388</v>
      </c>
      <c r="F576" s="11" t="s">
        <v>389</v>
      </c>
      <c r="G576" s="12">
        <v>1</v>
      </c>
      <c r="H576" s="12">
        <v>55</v>
      </c>
      <c r="I576" s="12">
        <v>55</v>
      </c>
      <c r="J576" s="12">
        <v>2039.6999999999998</v>
      </c>
      <c r="K576" s="20">
        <f t="shared" si="112"/>
        <v>4</v>
      </c>
      <c r="L576" s="20" t="str">
        <f t="shared" si="113"/>
        <v>Se repite 4 veces</v>
      </c>
      <c r="M576" s="20" t="str">
        <f t="shared" si="114"/>
        <v>Peru Chef-Peru Chef Rocoto FROZEN 1 Lb X 18</v>
      </c>
      <c r="N576" s="20">
        <f t="shared" si="115"/>
        <v>4</v>
      </c>
      <c r="O576" s="20" t="str">
        <f t="shared" si="116"/>
        <v>Se repite 4 veces en Peru Chef</v>
      </c>
      <c r="P576" s="20" t="str">
        <f t="shared" si="117"/>
        <v>Peru Chef-Peru Chef Rocoto FROZEN 1 Lb X 18-55</v>
      </c>
      <c r="Q576" s="20">
        <f t="shared" si="118"/>
        <v>2</v>
      </c>
      <c r="R576" s="20" t="str">
        <f t="shared" si="119"/>
        <v>Se repite 2 veces el precio de 55</v>
      </c>
      <c r="S576" s="20" t="str">
        <f t="shared" si="120"/>
        <v>El producto Peru Chef Rocoto FROZEN 1 Lb X 18 Se repite 4 veces en Peru Chef, Se repite 2 veces el precio de 55</v>
      </c>
      <c r="T576" s="20" t="str">
        <f t="shared" si="121"/>
        <v>Peru Chef</v>
      </c>
      <c r="U576" s="20" t="str">
        <f t="shared" si="122"/>
        <v>Peru Chef Rocoto FROZEN 1 Lb X 18</v>
      </c>
      <c r="V576" s="22">
        <f t="shared" si="123"/>
        <v>55</v>
      </c>
      <c r="W576" t="str">
        <f t="shared" si="124"/>
        <v>Peru Chef 03/26/2025</v>
      </c>
      <c r="Z576">
        <f t="shared" si="125"/>
        <v>55</v>
      </c>
    </row>
    <row r="577" spans="1:26" hidden="1" x14ac:dyDescent="0.25">
      <c r="A577" s="2" t="s">
        <v>272</v>
      </c>
      <c r="B577" s="11" t="s">
        <v>398</v>
      </c>
      <c r="C577" s="11" t="s">
        <v>4</v>
      </c>
      <c r="D577" s="11" t="s">
        <v>399</v>
      </c>
      <c r="E577" s="11" t="s">
        <v>388</v>
      </c>
      <c r="F577" s="11" t="s">
        <v>389</v>
      </c>
      <c r="G577" s="12">
        <v>1</v>
      </c>
      <c r="H577" s="12">
        <v>55</v>
      </c>
      <c r="I577" s="12">
        <v>55</v>
      </c>
      <c r="J577" s="12">
        <v>4065.5</v>
      </c>
      <c r="K577" s="20">
        <f t="shared" si="112"/>
        <v>4</v>
      </c>
      <c r="L577" s="20" t="str">
        <f t="shared" si="113"/>
        <v>Se repite 4 veces</v>
      </c>
      <c r="M577" s="20" t="str">
        <f t="shared" si="114"/>
        <v>Peru Chef-Peru Chef Rocoto FROZEN 1 Lb X 18</v>
      </c>
      <c r="N577" s="20">
        <f t="shared" si="115"/>
        <v>4</v>
      </c>
      <c r="O577" s="20" t="str">
        <f t="shared" si="116"/>
        <v>Se repite 4 veces en Peru Chef</v>
      </c>
      <c r="P577" s="20" t="str">
        <f t="shared" si="117"/>
        <v>Peru Chef-Peru Chef Rocoto FROZEN 1 Lb X 18-55</v>
      </c>
      <c r="Q577" s="20">
        <f t="shared" si="118"/>
        <v>2</v>
      </c>
      <c r="R577" s="20" t="str">
        <f t="shared" si="119"/>
        <v>Se repite 2 veces el precio de 55</v>
      </c>
      <c r="S577" s="20" t="str">
        <f t="shared" si="120"/>
        <v>El producto Peru Chef Rocoto FROZEN 1 Lb X 18 Se repite 4 veces en Peru Chef, Se repite 2 veces el precio de 55</v>
      </c>
      <c r="T577" s="20" t="str">
        <f t="shared" si="121"/>
        <v>Peru Chef</v>
      </c>
      <c r="U577" s="20" t="str">
        <f t="shared" si="122"/>
        <v>Peru Chef Rocoto FROZEN 1 Lb X 18</v>
      </c>
      <c r="V577" s="22">
        <f t="shared" si="123"/>
        <v>55</v>
      </c>
      <c r="W577" t="str">
        <f t="shared" si="124"/>
        <v>Peru Chef 04/10/2025</v>
      </c>
      <c r="Z577">
        <f t="shared" si="125"/>
        <v>55</v>
      </c>
    </row>
    <row r="578" spans="1:26" hidden="1" x14ac:dyDescent="0.25">
      <c r="A578" s="2" t="s">
        <v>272</v>
      </c>
      <c r="B578" s="11" t="s">
        <v>563</v>
      </c>
      <c r="C578" s="11" t="s">
        <v>4</v>
      </c>
      <c r="D578" s="11" t="s">
        <v>564</v>
      </c>
      <c r="E578" s="11" t="s">
        <v>388</v>
      </c>
      <c r="F578" s="11" t="s">
        <v>389</v>
      </c>
      <c r="G578" s="12">
        <v>3</v>
      </c>
      <c r="H578" s="12">
        <v>59.5</v>
      </c>
      <c r="I578" s="12">
        <v>178.5</v>
      </c>
      <c r="J578" s="12">
        <v>20122</v>
      </c>
      <c r="K578" s="20">
        <f t="shared" si="112"/>
        <v>4</v>
      </c>
      <c r="L578" s="20" t="str">
        <f t="shared" si="113"/>
        <v>Se repite 4 veces</v>
      </c>
      <c r="M578" s="20" t="str">
        <f t="shared" si="114"/>
        <v>Peru Chef-Peru Chef Rocoto FROZEN 1 Lb X 18</v>
      </c>
      <c r="N578" s="20">
        <f t="shared" si="115"/>
        <v>4</v>
      </c>
      <c r="O578" s="20" t="str">
        <f t="shared" si="116"/>
        <v>Se repite 4 veces en Peru Chef</v>
      </c>
      <c r="P578" s="20" t="str">
        <f t="shared" si="117"/>
        <v>Peru Chef-Peru Chef Rocoto FROZEN 1 Lb X 18-59.5</v>
      </c>
      <c r="Q578" s="20">
        <f t="shared" si="118"/>
        <v>1</v>
      </c>
      <c r="R578" s="20" t="str">
        <f t="shared" si="119"/>
        <v>No se repite</v>
      </c>
      <c r="S578" s="20" t="str">
        <f t="shared" si="120"/>
        <v>El producto Peru Chef Rocoto FROZEN 1 Lb X 18 Se repite 4 veces en Peru Chef Una vez con el precio 59.5</v>
      </c>
      <c r="T578" s="20" t="str">
        <f t="shared" si="121"/>
        <v>Peru Chef</v>
      </c>
      <c r="U578" s="20" t="str">
        <f t="shared" si="122"/>
        <v>Peru Chef Rocoto FROZEN 1 Lb X 18</v>
      </c>
      <c r="V578" s="22">
        <f t="shared" si="123"/>
        <v>59.5</v>
      </c>
      <c r="W578" t="str">
        <f t="shared" si="124"/>
        <v>Peru Chef 09/11/2025</v>
      </c>
      <c r="Z578">
        <f t="shared" si="125"/>
        <v>178.5</v>
      </c>
    </row>
    <row r="579" spans="1:26" hidden="1" x14ac:dyDescent="0.25">
      <c r="A579" s="2" t="s">
        <v>272</v>
      </c>
      <c r="B579" s="11" t="s">
        <v>600</v>
      </c>
      <c r="C579" s="11" t="s">
        <v>4</v>
      </c>
      <c r="D579" s="11" t="s">
        <v>601</v>
      </c>
      <c r="E579" s="11" t="s">
        <v>388</v>
      </c>
      <c r="F579" s="11" t="s">
        <v>602</v>
      </c>
      <c r="G579" s="12">
        <v>5</v>
      </c>
      <c r="H579" s="12">
        <v>53.55</v>
      </c>
      <c r="I579" s="12">
        <v>267.75</v>
      </c>
      <c r="J579" s="12">
        <v>34709.35</v>
      </c>
      <c r="K579" s="20">
        <f t="shared" ref="K579:K642" si="126">COUNTIF($E$2:$E$1438,E579)</f>
        <v>4</v>
      </c>
      <c r="L579" s="20" t="str">
        <f t="shared" ref="L579:L642" si="127">IF(K579&gt;1,_xlfn.CONCAT("Se repite ",K579," veces"),"No se repite")</f>
        <v>Se repite 4 veces</v>
      </c>
      <c r="M579" s="20" t="str">
        <f t="shared" ref="M579:M642" si="128">_xlfn.CONCAT(A579,"-",E579)</f>
        <v>Peru Chef-Peru Chef Rocoto FROZEN 1 Lb X 18</v>
      </c>
      <c r="N579" s="20">
        <f t="shared" ref="N579:N642" si="129">COUNTIF($M$2:$M$1438,M579)</f>
        <v>4</v>
      </c>
      <c r="O579" s="20" t="str">
        <f t="shared" ref="O579:O642" si="130">IF(N579&gt;1,_xlfn.CONCAT("Se repite ",N579," veces en ",A579),"No se repite en proveedor")</f>
        <v>Se repite 4 veces en Peru Chef</v>
      </c>
      <c r="P579" s="20" t="str">
        <f t="shared" ref="P579:P642" si="131">_xlfn.CONCAT(A579,"-",E579,"-",H579)</f>
        <v>Peru Chef-Peru Chef Rocoto FROZEN 1 Lb X 18-53.55</v>
      </c>
      <c r="Q579" s="20">
        <f t="shared" ref="Q579:Q642" si="132">COUNTIF($P$2:$P$1438,P579)</f>
        <v>1</v>
      </c>
      <c r="R579" s="20" t="str">
        <f t="shared" ref="R579:R642" si="133">IF(Q579&gt;1,_xlfn.CONCAT("Se repite ",Q579," veces el precio de ",H579),"No se repite")</f>
        <v>No se repite</v>
      </c>
      <c r="S579" s="20" t="str">
        <f t="shared" ref="S579:S642" si="134">_xlfn.CONCAT("El producto ",E579," ",O579,IF(R579="No se repite",_xlfn.CONCAT(" Una vez con el precio ",H579),_xlfn.CONCAT(", ",R579)))</f>
        <v>El producto Peru Chef Rocoto FROZEN 1 Lb X 18 Se repite 4 veces en Peru Chef Una vez con el precio 53.55</v>
      </c>
      <c r="T579" s="20" t="str">
        <f t="shared" ref="T579:T642" si="135">+A579</f>
        <v>Peru Chef</v>
      </c>
      <c r="U579" s="20" t="str">
        <f t="shared" ref="U579:U642" si="136">+E579</f>
        <v>Peru Chef Rocoto FROZEN 1 Lb X 18</v>
      </c>
      <c r="V579" s="22">
        <f t="shared" ref="V579:V642" si="137">+H579</f>
        <v>53.55</v>
      </c>
      <c r="W579" t="str">
        <f t="shared" ref="W579:W642" si="138">_xlfn.CONCAT(A579," ",B579)</f>
        <v>Peru Chef 11/14/2025</v>
      </c>
      <c r="Z579">
        <f t="shared" ref="Z579:Z642" si="139">G579*H579</f>
        <v>267.75</v>
      </c>
    </row>
    <row r="580" spans="1:26" hidden="1" x14ac:dyDescent="0.25">
      <c r="A580" s="2" t="s">
        <v>272</v>
      </c>
      <c r="B580" s="11" t="s">
        <v>471</v>
      </c>
      <c r="C580" s="11" t="s">
        <v>4</v>
      </c>
      <c r="D580" s="11" t="s">
        <v>472</v>
      </c>
      <c r="E580" s="11" t="s">
        <v>475</v>
      </c>
      <c r="F580" s="11" t="s">
        <v>476</v>
      </c>
      <c r="G580" s="12">
        <v>1</v>
      </c>
      <c r="H580" s="12">
        <v>42</v>
      </c>
      <c r="I580" s="12">
        <v>42</v>
      </c>
      <c r="J580" s="12">
        <v>11292.5</v>
      </c>
      <c r="K580" s="20">
        <f t="shared" si="126"/>
        <v>2</v>
      </c>
      <c r="L580" s="20" t="str">
        <f t="shared" si="127"/>
        <v>Se repite 2 veces</v>
      </c>
      <c r="M580" s="20" t="str">
        <f t="shared" si="128"/>
        <v>Peru Chef-Peru Chef Salsa Aji Amarillo 10.5oz x 12</v>
      </c>
      <c r="N580" s="20">
        <f t="shared" si="129"/>
        <v>2</v>
      </c>
      <c r="O580" s="20" t="str">
        <f t="shared" si="130"/>
        <v>Se repite 2 veces en Peru Chef</v>
      </c>
      <c r="P580" s="20" t="str">
        <f t="shared" si="131"/>
        <v>Peru Chef-Peru Chef Salsa Aji Amarillo 10.5oz x 12-42</v>
      </c>
      <c r="Q580" s="20">
        <f t="shared" si="132"/>
        <v>2</v>
      </c>
      <c r="R580" s="20" t="str">
        <f t="shared" si="133"/>
        <v>Se repite 2 veces el precio de 42</v>
      </c>
      <c r="S580" s="20" t="str">
        <f t="shared" si="134"/>
        <v>El producto Peru Chef Salsa Aji Amarillo 10.5oz x 12 Se repite 2 veces en Peru Chef, Se repite 2 veces el precio de 42</v>
      </c>
      <c r="T580" s="20" t="str">
        <f t="shared" si="135"/>
        <v>Peru Chef</v>
      </c>
      <c r="U580" s="20" t="str">
        <f t="shared" si="136"/>
        <v>Peru Chef Salsa Aji Amarillo 10.5oz x 12</v>
      </c>
      <c r="V580" s="22">
        <f t="shared" si="137"/>
        <v>42</v>
      </c>
      <c r="W580" t="str">
        <f t="shared" si="138"/>
        <v>Peru Chef 08/11/2025</v>
      </c>
      <c r="Z580">
        <f t="shared" si="139"/>
        <v>42</v>
      </c>
    </row>
    <row r="581" spans="1:26" hidden="1" x14ac:dyDescent="0.25">
      <c r="A581" s="2" t="s">
        <v>272</v>
      </c>
      <c r="B581" s="11" t="s">
        <v>512</v>
      </c>
      <c r="C581" s="11" t="s">
        <v>4</v>
      </c>
      <c r="D581" s="11" t="s">
        <v>513</v>
      </c>
      <c r="E581" s="11" t="s">
        <v>475</v>
      </c>
      <c r="F581" s="11" t="s">
        <v>525</v>
      </c>
      <c r="G581" s="12">
        <v>2</v>
      </c>
      <c r="H581" s="12">
        <v>42</v>
      </c>
      <c r="I581" s="12">
        <v>84</v>
      </c>
      <c r="J581" s="12">
        <v>17117.5</v>
      </c>
      <c r="K581" s="20">
        <f t="shared" si="126"/>
        <v>2</v>
      </c>
      <c r="L581" s="20" t="str">
        <f t="shared" si="127"/>
        <v>Se repite 2 veces</v>
      </c>
      <c r="M581" s="20" t="str">
        <f t="shared" si="128"/>
        <v>Peru Chef-Peru Chef Salsa Aji Amarillo 10.5oz x 12</v>
      </c>
      <c r="N581" s="20">
        <f t="shared" si="129"/>
        <v>2</v>
      </c>
      <c r="O581" s="20" t="str">
        <f t="shared" si="130"/>
        <v>Se repite 2 veces en Peru Chef</v>
      </c>
      <c r="P581" s="20" t="str">
        <f t="shared" si="131"/>
        <v>Peru Chef-Peru Chef Salsa Aji Amarillo 10.5oz x 12-42</v>
      </c>
      <c r="Q581" s="20">
        <f t="shared" si="132"/>
        <v>2</v>
      </c>
      <c r="R581" s="20" t="str">
        <f t="shared" si="133"/>
        <v>Se repite 2 veces el precio de 42</v>
      </c>
      <c r="S581" s="20" t="str">
        <f t="shared" si="134"/>
        <v>El producto Peru Chef Salsa Aji Amarillo 10.5oz x 12 Se repite 2 veces en Peru Chef, Se repite 2 veces el precio de 42</v>
      </c>
      <c r="T581" s="20" t="str">
        <f t="shared" si="135"/>
        <v>Peru Chef</v>
      </c>
      <c r="U581" s="20" t="str">
        <f t="shared" si="136"/>
        <v>Peru Chef Salsa Aji Amarillo 10.5oz x 12</v>
      </c>
      <c r="V581" s="22">
        <f t="shared" si="137"/>
        <v>42</v>
      </c>
      <c r="W581" t="str">
        <f t="shared" si="138"/>
        <v>Peru Chef 08/28/2025</v>
      </c>
      <c r="Z581">
        <f t="shared" si="139"/>
        <v>84</v>
      </c>
    </row>
    <row r="582" spans="1:26" hidden="1" x14ac:dyDescent="0.25">
      <c r="A582" s="2" t="s">
        <v>272</v>
      </c>
      <c r="B582" s="11" t="s">
        <v>512</v>
      </c>
      <c r="C582" s="11" t="s">
        <v>4</v>
      </c>
      <c r="D582" s="11" t="s">
        <v>513</v>
      </c>
      <c r="E582" s="11" t="s">
        <v>526</v>
      </c>
      <c r="F582" s="11" t="s">
        <v>527</v>
      </c>
      <c r="G582" s="12">
        <v>2</v>
      </c>
      <c r="H582" s="12">
        <v>39</v>
      </c>
      <c r="I582" s="12">
        <v>78</v>
      </c>
      <c r="J582" s="12">
        <v>17195.5</v>
      </c>
      <c r="K582" s="20">
        <f t="shared" si="126"/>
        <v>1</v>
      </c>
      <c r="L582" s="20" t="str">
        <f t="shared" si="127"/>
        <v>No se repite</v>
      </c>
      <c r="M582" s="20" t="str">
        <f t="shared" si="128"/>
        <v>Peru Chef-Peru Chef Salsa Aji Amarillo C/Huacatay 10.5 Oz X 12</v>
      </c>
      <c r="N582" s="20">
        <f t="shared" si="129"/>
        <v>1</v>
      </c>
      <c r="O582" s="20" t="str">
        <f t="shared" si="130"/>
        <v>No se repite en proveedor</v>
      </c>
      <c r="P582" s="20" t="str">
        <f t="shared" si="131"/>
        <v>Peru Chef-Peru Chef Salsa Aji Amarillo C/Huacatay 10.5 Oz X 12-39</v>
      </c>
      <c r="Q582" s="20">
        <f t="shared" si="132"/>
        <v>1</v>
      </c>
      <c r="R582" s="20" t="str">
        <f t="shared" si="133"/>
        <v>No se repite</v>
      </c>
      <c r="S582" s="20" t="str">
        <f t="shared" si="134"/>
        <v>El producto Peru Chef Salsa Aji Amarillo C/Huacatay 10.5 Oz X 12 No se repite en proveedor Una vez con el precio 39</v>
      </c>
      <c r="T582" s="20" t="str">
        <f t="shared" si="135"/>
        <v>Peru Chef</v>
      </c>
      <c r="U582" s="20" t="str">
        <f t="shared" si="136"/>
        <v>Peru Chef Salsa Aji Amarillo C/Huacatay 10.5 Oz X 12</v>
      </c>
      <c r="V582" s="22">
        <f t="shared" si="137"/>
        <v>39</v>
      </c>
      <c r="W582" t="str">
        <f t="shared" si="138"/>
        <v>Peru Chef 08/28/2025</v>
      </c>
      <c r="Z582">
        <f t="shared" si="139"/>
        <v>78</v>
      </c>
    </row>
    <row r="583" spans="1:26" hidden="1" x14ac:dyDescent="0.25">
      <c r="A583" s="2" t="s">
        <v>272</v>
      </c>
      <c r="B583" s="11" t="s">
        <v>471</v>
      </c>
      <c r="C583" s="11" t="s">
        <v>4</v>
      </c>
      <c r="D583" s="11" t="s">
        <v>472</v>
      </c>
      <c r="E583" s="11" t="s">
        <v>477</v>
      </c>
      <c r="F583" s="11" t="s">
        <v>478</v>
      </c>
      <c r="G583" s="12">
        <v>1</v>
      </c>
      <c r="H583" s="12">
        <v>39</v>
      </c>
      <c r="I583" s="12">
        <v>39</v>
      </c>
      <c r="J583" s="12">
        <v>11331.5</v>
      </c>
      <c r="K583" s="20">
        <f t="shared" si="126"/>
        <v>2</v>
      </c>
      <c r="L583" s="20" t="str">
        <f t="shared" si="127"/>
        <v>Se repite 2 veces</v>
      </c>
      <c r="M583" s="20" t="str">
        <f t="shared" si="128"/>
        <v>Peru Chef-Peru Chef Salsa Aji Criollo 10.5 oz x 12</v>
      </c>
      <c r="N583" s="20">
        <f t="shared" si="129"/>
        <v>2</v>
      </c>
      <c r="O583" s="20" t="str">
        <f t="shared" si="130"/>
        <v>Se repite 2 veces en Peru Chef</v>
      </c>
      <c r="P583" s="20" t="str">
        <f t="shared" si="131"/>
        <v>Peru Chef-Peru Chef Salsa Aji Criollo 10.5 oz x 12-39</v>
      </c>
      <c r="Q583" s="20">
        <f t="shared" si="132"/>
        <v>2</v>
      </c>
      <c r="R583" s="20" t="str">
        <f t="shared" si="133"/>
        <v>Se repite 2 veces el precio de 39</v>
      </c>
      <c r="S583" s="20" t="str">
        <f t="shared" si="134"/>
        <v>El producto Peru Chef Salsa Aji Criollo 10.5 oz x 12 Se repite 2 veces en Peru Chef, Se repite 2 veces el precio de 39</v>
      </c>
      <c r="T583" s="20" t="str">
        <f t="shared" si="135"/>
        <v>Peru Chef</v>
      </c>
      <c r="U583" s="20" t="str">
        <f t="shared" si="136"/>
        <v>Peru Chef Salsa Aji Criollo 10.5 oz x 12</v>
      </c>
      <c r="V583" s="22">
        <f t="shared" si="137"/>
        <v>39</v>
      </c>
      <c r="W583" t="str">
        <f t="shared" si="138"/>
        <v>Peru Chef 08/11/2025</v>
      </c>
      <c r="Z583">
        <f t="shared" si="139"/>
        <v>39</v>
      </c>
    </row>
    <row r="584" spans="1:26" hidden="1" x14ac:dyDescent="0.25">
      <c r="A584" s="2" t="s">
        <v>272</v>
      </c>
      <c r="B584" s="11" t="s">
        <v>512</v>
      </c>
      <c r="C584" s="11" t="s">
        <v>4</v>
      </c>
      <c r="D584" s="11" t="s">
        <v>513</v>
      </c>
      <c r="E584" s="11" t="s">
        <v>477</v>
      </c>
      <c r="F584" s="11" t="s">
        <v>529</v>
      </c>
      <c r="G584" s="12">
        <v>2</v>
      </c>
      <c r="H584" s="12">
        <v>39</v>
      </c>
      <c r="I584" s="12">
        <v>78</v>
      </c>
      <c r="J584" s="12">
        <v>17372.5</v>
      </c>
      <c r="K584" s="20">
        <f t="shared" si="126"/>
        <v>2</v>
      </c>
      <c r="L584" s="20" t="str">
        <f t="shared" si="127"/>
        <v>Se repite 2 veces</v>
      </c>
      <c r="M584" s="20" t="str">
        <f t="shared" si="128"/>
        <v>Peru Chef-Peru Chef Salsa Aji Criollo 10.5 oz x 12</v>
      </c>
      <c r="N584" s="20">
        <f t="shared" si="129"/>
        <v>2</v>
      </c>
      <c r="O584" s="20" t="str">
        <f t="shared" si="130"/>
        <v>Se repite 2 veces en Peru Chef</v>
      </c>
      <c r="P584" s="20" t="str">
        <f t="shared" si="131"/>
        <v>Peru Chef-Peru Chef Salsa Aji Criollo 10.5 oz x 12-39</v>
      </c>
      <c r="Q584" s="20">
        <f t="shared" si="132"/>
        <v>2</v>
      </c>
      <c r="R584" s="20" t="str">
        <f t="shared" si="133"/>
        <v>Se repite 2 veces el precio de 39</v>
      </c>
      <c r="S584" s="20" t="str">
        <f t="shared" si="134"/>
        <v>El producto Peru Chef Salsa Aji Criollo 10.5 oz x 12 Se repite 2 veces en Peru Chef, Se repite 2 veces el precio de 39</v>
      </c>
      <c r="T584" s="20" t="str">
        <f t="shared" si="135"/>
        <v>Peru Chef</v>
      </c>
      <c r="U584" s="20" t="str">
        <f t="shared" si="136"/>
        <v>Peru Chef Salsa Aji Criollo 10.5 oz x 12</v>
      </c>
      <c r="V584" s="22">
        <f t="shared" si="137"/>
        <v>39</v>
      </c>
      <c r="W584" t="str">
        <f t="shared" si="138"/>
        <v>Peru Chef 08/28/2025</v>
      </c>
      <c r="Z584">
        <f t="shared" si="139"/>
        <v>78</v>
      </c>
    </row>
    <row r="585" spans="1:26" hidden="1" x14ac:dyDescent="0.25">
      <c r="A585" s="2" t="s">
        <v>272</v>
      </c>
      <c r="B585" s="11" t="s">
        <v>471</v>
      </c>
      <c r="C585" s="11" t="s">
        <v>4</v>
      </c>
      <c r="D585" s="11" t="s">
        <v>472</v>
      </c>
      <c r="E585" s="11" t="s">
        <v>483</v>
      </c>
      <c r="F585" s="11" t="s">
        <v>484</v>
      </c>
      <c r="G585" s="12">
        <v>2</v>
      </c>
      <c r="H585" s="12">
        <v>60</v>
      </c>
      <c r="I585" s="12">
        <v>120</v>
      </c>
      <c r="J585" s="12">
        <v>11745.5</v>
      </c>
      <c r="K585" s="20">
        <f t="shared" si="126"/>
        <v>2</v>
      </c>
      <c r="L585" s="20" t="str">
        <f t="shared" si="127"/>
        <v>Se repite 2 veces</v>
      </c>
      <c r="M585" s="20" t="str">
        <f t="shared" si="128"/>
        <v>Peru Chef-Peru Chef Salsa De Aji Charapita 11oz x 12</v>
      </c>
      <c r="N585" s="20">
        <f t="shared" si="129"/>
        <v>2</v>
      </c>
      <c r="O585" s="20" t="str">
        <f t="shared" si="130"/>
        <v>Se repite 2 veces en Peru Chef</v>
      </c>
      <c r="P585" s="20" t="str">
        <f t="shared" si="131"/>
        <v>Peru Chef-Peru Chef Salsa De Aji Charapita 11oz x 12-60</v>
      </c>
      <c r="Q585" s="20">
        <f t="shared" si="132"/>
        <v>2</v>
      </c>
      <c r="R585" s="20" t="str">
        <f t="shared" si="133"/>
        <v>Se repite 2 veces el precio de 60</v>
      </c>
      <c r="S585" s="20" t="str">
        <f t="shared" si="134"/>
        <v>El producto Peru Chef Salsa De Aji Charapita 11oz x 12 Se repite 2 veces en Peru Chef, Se repite 2 veces el precio de 60</v>
      </c>
      <c r="T585" s="20" t="str">
        <f t="shared" si="135"/>
        <v>Peru Chef</v>
      </c>
      <c r="U585" s="20" t="str">
        <f t="shared" si="136"/>
        <v>Peru Chef Salsa De Aji Charapita 11oz x 12</v>
      </c>
      <c r="V585" s="22">
        <f t="shared" si="137"/>
        <v>60</v>
      </c>
      <c r="W585" t="str">
        <f t="shared" si="138"/>
        <v>Peru Chef 08/11/2025</v>
      </c>
      <c r="Z585">
        <f t="shared" si="139"/>
        <v>120</v>
      </c>
    </row>
    <row r="586" spans="1:26" hidden="1" x14ac:dyDescent="0.25">
      <c r="A586" s="2" t="s">
        <v>272</v>
      </c>
      <c r="B586" s="11" t="s">
        <v>512</v>
      </c>
      <c r="C586" s="11" t="s">
        <v>4</v>
      </c>
      <c r="D586" s="11" t="s">
        <v>513</v>
      </c>
      <c r="E586" s="11" t="s">
        <v>483</v>
      </c>
      <c r="F586" s="11" t="s">
        <v>536</v>
      </c>
      <c r="G586" s="12">
        <v>2</v>
      </c>
      <c r="H586" s="12">
        <v>60</v>
      </c>
      <c r="I586" s="12">
        <v>120</v>
      </c>
      <c r="J586" s="12">
        <v>17861.5</v>
      </c>
      <c r="K586" s="20">
        <f t="shared" si="126"/>
        <v>2</v>
      </c>
      <c r="L586" s="20" t="str">
        <f t="shared" si="127"/>
        <v>Se repite 2 veces</v>
      </c>
      <c r="M586" s="20" t="str">
        <f t="shared" si="128"/>
        <v>Peru Chef-Peru Chef Salsa De Aji Charapita 11oz x 12</v>
      </c>
      <c r="N586" s="20">
        <f t="shared" si="129"/>
        <v>2</v>
      </c>
      <c r="O586" s="20" t="str">
        <f t="shared" si="130"/>
        <v>Se repite 2 veces en Peru Chef</v>
      </c>
      <c r="P586" s="20" t="str">
        <f t="shared" si="131"/>
        <v>Peru Chef-Peru Chef Salsa De Aji Charapita 11oz x 12-60</v>
      </c>
      <c r="Q586" s="20">
        <f t="shared" si="132"/>
        <v>2</v>
      </c>
      <c r="R586" s="20" t="str">
        <f t="shared" si="133"/>
        <v>Se repite 2 veces el precio de 60</v>
      </c>
      <c r="S586" s="20" t="str">
        <f t="shared" si="134"/>
        <v>El producto Peru Chef Salsa De Aji Charapita 11oz x 12 Se repite 2 veces en Peru Chef, Se repite 2 veces el precio de 60</v>
      </c>
      <c r="T586" s="20" t="str">
        <f t="shared" si="135"/>
        <v>Peru Chef</v>
      </c>
      <c r="U586" s="20" t="str">
        <f t="shared" si="136"/>
        <v>Peru Chef Salsa De Aji Charapita 11oz x 12</v>
      </c>
      <c r="V586" s="22">
        <f t="shared" si="137"/>
        <v>60</v>
      </c>
      <c r="W586" t="str">
        <f t="shared" si="138"/>
        <v>Peru Chef 08/28/2025</v>
      </c>
      <c r="Z586">
        <f t="shared" si="139"/>
        <v>120</v>
      </c>
    </row>
    <row r="587" spans="1:26" hidden="1" x14ac:dyDescent="0.25">
      <c r="A587" s="2" t="s">
        <v>272</v>
      </c>
      <c r="B587" s="11" t="s">
        <v>471</v>
      </c>
      <c r="C587" s="11" t="s">
        <v>4</v>
      </c>
      <c r="D587" s="11" t="s">
        <v>472</v>
      </c>
      <c r="E587" s="11" t="s">
        <v>479</v>
      </c>
      <c r="F587" s="11" t="s">
        <v>480</v>
      </c>
      <c r="G587" s="12">
        <v>2</v>
      </c>
      <c r="H587" s="12">
        <v>49.5</v>
      </c>
      <c r="I587" s="12">
        <v>99</v>
      </c>
      <c r="J587" s="12">
        <v>11547.5</v>
      </c>
      <c r="K587" s="20">
        <f t="shared" si="126"/>
        <v>2</v>
      </c>
      <c r="L587" s="20" t="str">
        <f t="shared" si="127"/>
        <v>Se repite 2 veces</v>
      </c>
      <c r="M587" s="20" t="str">
        <f t="shared" si="128"/>
        <v>Peru Chef-Peru Chef Salsa De Aji Limo 11oz x 12</v>
      </c>
      <c r="N587" s="20">
        <f t="shared" si="129"/>
        <v>2</v>
      </c>
      <c r="O587" s="20" t="str">
        <f t="shared" si="130"/>
        <v>Se repite 2 veces en Peru Chef</v>
      </c>
      <c r="P587" s="20" t="str">
        <f t="shared" si="131"/>
        <v>Peru Chef-Peru Chef Salsa De Aji Limo 11oz x 12-49.5</v>
      </c>
      <c r="Q587" s="20">
        <f t="shared" si="132"/>
        <v>2</v>
      </c>
      <c r="R587" s="20" t="str">
        <f t="shared" si="133"/>
        <v>Se repite 2 veces el precio de 49.5</v>
      </c>
      <c r="S587" s="20" t="str">
        <f t="shared" si="134"/>
        <v>El producto Peru Chef Salsa De Aji Limo 11oz x 12 Se repite 2 veces en Peru Chef, Se repite 2 veces el precio de 49.5</v>
      </c>
      <c r="T587" s="20" t="str">
        <f t="shared" si="135"/>
        <v>Peru Chef</v>
      </c>
      <c r="U587" s="20" t="str">
        <f t="shared" si="136"/>
        <v>Peru Chef Salsa De Aji Limo 11oz x 12</v>
      </c>
      <c r="V587" s="22">
        <f t="shared" si="137"/>
        <v>49.5</v>
      </c>
      <c r="W587" t="str">
        <f t="shared" si="138"/>
        <v>Peru Chef 08/11/2025</v>
      </c>
      <c r="Z587">
        <f t="shared" si="139"/>
        <v>99</v>
      </c>
    </row>
    <row r="588" spans="1:26" hidden="1" x14ac:dyDescent="0.25">
      <c r="A588" s="2" t="s">
        <v>272</v>
      </c>
      <c r="B588" s="11" t="s">
        <v>512</v>
      </c>
      <c r="C588" s="11" t="s">
        <v>4</v>
      </c>
      <c r="D588" s="11" t="s">
        <v>513</v>
      </c>
      <c r="E588" s="11" t="s">
        <v>479</v>
      </c>
      <c r="F588" s="11" t="s">
        <v>534</v>
      </c>
      <c r="G588" s="12">
        <v>2</v>
      </c>
      <c r="H588" s="12">
        <v>49.5</v>
      </c>
      <c r="I588" s="12">
        <v>99</v>
      </c>
      <c r="J588" s="12">
        <v>17663.5</v>
      </c>
      <c r="K588" s="20">
        <f t="shared" si="126"/>
        <v>2</v>
      </c>
      <c r="L588" s="20" t="str">
        <f t="shared" si="127"/>
        <v>Se repite 2 veces</v>
      </c>
      <c r="M588" s="20" t="str">
        <f t="shared" si="128"/>
        <v>Peru Chef-Peru Chef Salsa De Aji Limo 11oz x 12</v>
      </c>
      <c r="N588" s="20">
        <f t="shared" si="129"/>
        <v>2</v>
      </c>
      <c r="O588" s="20" t="str">
        <f t="shared" si="130"/>
        <v>Se repite 2 veces en Peru Chef</v>
      </c>
      <c r="P588" s="20" t="str">
        <f t="shared" si="131"/>
        <v>Peru Chef-Peru Chef Salsa De Aji Limo 11oz x 12-49.5</v>
      </c>
      <c r="Q588" s="20">
        <f t="shared" si="132"/>
        <v>2</v>
      </c>
      <c r="R588" s="20" t="str">
        <f t="shared" si="133"/>
        <v>Se repite 2 veces el precio de 49.5</v>
      </c>
      <c r="S588" s="20" t="str">
        <f t="shared" si="134"/>
        <v>El producto Peru Chef Salsa De Aji Limo 11oz x 12 Se repite 2 veces en Peru Chef, Se repite 2 veces el precio de 49.5</v>
      </c>
      <c r="T588" s="20" t="str">
        <f t="shared" si="135"/>
        <v>Peru Chef</v>
      </c>
      <c r="U588" s="20" t="str">
        <f t="shared" si="136"/>
        <v>Peru Chef Salsa De Aji Limo 11oz x 12</v>
      </c>
      <c r="V588" s="22">
        <f t="shared" si="137"/>
        <v>49.5</v>
      </c>
      <c r="W588" t="str">
        <f t="shared" si="138"/>
        <v>Peru Chef 08/28/2025</v>
      </c>
      <c r="Z588">
        <f t="shared" si="139"/>
        <v>99</v>
      </c>
    </row>
    <row r="589" spans="1:26" hidden="1" x14ac:dyDescent="0.25">
      <c r="A589" s="2" t="s">
        <v>272</v>
      </c>
      <c r="B589" s="11" t="s">
        <v>273</v>
      </c>
      <c r="C589" s="11" t="s">
        <v>4</v>
      </c>
      <c r="D589" s="11" t="s">
        <v>5</v>
      </c>
      <c r="E589" s="11" t="s">
        <v>286</v>
      </c>
      <c r="F589" s="11" t="s">
        <v>287</v>
      </c>
      <c r="G589" s="12">
        <v>1</v>
      </c>
      <c r="H589" s="12">
        <v>45</v>
      </c>
      <c r="I589" s="12">
        <v>45</v>
      </c>
      <c r="J589" s="12">
        <v>279.5</v>
      </c>
      <c r="K589" s="20">
        <f t="shared" si="126"/>
        <v>4</v>
      </c>
      <c r="L589" s="20" t="str">
        <f t="shared" si="127"/>
        <v>Se repite 4 veces</v>
      </c>
      <c r="M589" s="20" t="str">
        <f t="shared" si="128"/>
        <v>Peru Chef-Peru Chef Salsa de Aji Limo con Rocoto 10.5oz x 12</v>
      </c>
      <c r="N589" s="20">
        <f t="shared" si="129"/>
        <v>4</v>
      </c>
      <c r="O589" s="20" t="str">
        <f t="shared" si="130"/>
        <v>Se repite 4 veces en Peru Chef</v>
      </c>
      <c r="P589" s="20" t="str">
        <f t="shared" si="131"/>
        <v>Peru Chef-Peru Chef Salsa de Aji Limo con Rocoto 10.5oz x 12-45</v>
      </c>
      <c r="Q589" s="20">
        <f t="shared" si="132"/>
        <v>2</v>
      </c>
      <c r="R589" s="20" t="str">
        <f t="shared" si="133"/>
        <v>Se repite 2 veces el precio de 45</v>
      </c>
      <c r="S589" s="20" t="str">
        <f t="shared" si="134"/>
        <v>El producto Peru Chef Salsa de Aji Limo con Rocoto 10.5oz x 12 Se repite 4 veces en Peru Chef, Se repite 2 veces el precio de 45</v>
      </c>
      <c r="T589" s="20" t="str">
        <f t="shared" si="135"/>
        <v>Peru Chef</v>
      </c>
      <c r="U589" s="20" t="str">
        <f t="shared" si="136"/>
        <v>Peru Chef Salsa de Aji Limo con Rocoto 10.5oz x 12</v>
      </c>
      <c r="V589" s="22">
        <f t="shared" si="137"/>
        <v>45</v>
      </c>
      <c r="W589" t="str">
        <f t="shared" si="138"/>
        <v>Peru Chef 03/26/2025</v>
      </c>
      <c r="Z589">
        <f t="shared" si="139"/>
        <v>45</v>
      </c>
    </row>
    <row r="590" spans="1:26" hidden="1" x14ac:dyDescent="0.25">
      <c r="A590" s="2" t="s">
        <v>272</v>
      </c>
      <c r="B590" s="11" t="s">
        <v>398</v>
      </c>
      <c r="C590" s="11" t="s">
        <v>4</v>
      </c>
      <c r="D590" s="11" t="s">
        <v>399</v>
      </c>
      <c r="E590" s="11" t="s">
        <v>286</v>
      </c>
      <c r="F590" s="11" t="s">
        <v>287</v>
      </c>
      <c r="G590" s="12">
        <v>1</v>
      </c>
      <c r="H590" s="12">
        <v>45</v>
      </c>
      <c r="I590" s="12">
        <v>45</v>
      </c>
      <c r="J590" s="12">
        <v>2525.6999999999998</v>
      </c>
      <c r="K590" s="20">
        <f t="shared" si="126"/>
        <v>4</v>
      </c>
      <c r="L590" s="20" t="str">
        <f t="shared" si="127"/>
        <v>Se repite 4 veces</v>
      </c>
      <c r="M590" s="20" t="str">
        <f t="shared" si="128"/>
        <v>Peru Chef-Peru Chef Salsa de Aji Limo con Rocoto 10.5oz x 12</v>
      </c>
      <c r="N590" s="20">
        <f t="shared" si="129"/>
        <v>4</v>
      </c>
      <c r="O590" s="20" t="str">
        <f t="shared" si="130"/>
        <v>Se repite 4 veces en Peru Chef</v>
      </c>
      <c r="P590" s="20" t="str">
        <f t="shared" si="131"/>
        <v>Peru Chef-Peru Chef Salsa de Aji Limo con Rocoto 10.5oz x 12-45</v>
      </c>
      <c r="Q590" s="20">
        <f t="shared" si="132"/>
        <v>2</v>
      </c>
      <c r="R590" s="20" t="str">
        <f t="shared" si="133"/>
        <v>Se repite 2 veces el precio de 45</v>
      </c>
      <c r="S590" s="20" t="str">
        <f t="shared" si="134"/>
        <v>El producto Peru Chef Salsa de Aji Limo con Rocoto 10.5oz x 12 Se repite 4 veces en Peru Chef, Se repite 2 veces el precio de 45</v>
      </c>
      <c r="T590" s="20" t="str">
        <f t="shared" si="135"/>
        <v>Peru Chef</v>
      </c>
      <c r="U590" s="20" t="str">
        <f t="shared" si="136"/>
        <v>Peru Chef Salsa de Aji Limo con Rocoto 10.5oz x 12</v>
      </c>
      <c r="V590" s="22">
        <f t="shared" si="137"/>
        <v>45</v>
      </c>
      <c r="W590" t="str">
        <f t="shared" si="138"/>
        <v>Peru Chef 04/10/2025</v>
      </c>
      <c r="Z590">
        <f t="shared" si="139"/>
        <v>45</v>
      </c>
    </row>
    <row r="591" spans="1:26" hidden="1" x14ac:dyDescent="0.25">
      <c r="A591" s="2" t="s">
        <v>272</v>
      </c>
      <c r="B591" s="11" t="s">
        <v>512</v>
      </c>
      <c r="C591" s="11" t="s">
        <v>4</v>
      </c>
      <c r="D591" s="11" t="s">
        <v>513</v>
      </c>
      <c r="E591" s="11" t="s">
        <v>286</v>
      </c>
      <c r="F591" s="11" t="s">
        <v>528</v>
      </c>
      <c r="G591" s="12">
        <v>2</v>
      </c>
      <c r="H591" s="12">
        <v>49.5</v>
      </c>
      <c r="I591" s="12">
        <v>99</v>
      </c>
      <c r="J591" s="12">
        <v>17294.5</v>
      </c>
      <c r="K591" s="20">
        <f t="shared" si="126"/>
        <v>4</v>
      </c>
      <c r="L591" s="20" t="str">
        <f t="shared" si="127"/>
        <v>Se repite 4 veces</v>
      </c>
      <c r="M591" s="20" t="str">
        <f t="shared" si="128"/>
        <v>Peru Chef-Peru Chef Salsa de Aji Limo con Rocoto 10.5oz x 12</v>
      </c>
      <c r="N591" s="20">
        <f t="shared" si="129"/>
        <v>4</v>
      </c>
      <c r="O591" s="20" t="str">
        <f t="shared" si="130"/>
        <v>Se repite 4 veces en Peru Chef</v>
      </c>
      <c r="P591" s="20" t="str">
        <f t="shared" si="131"/>
        <v>Peru Chef-Peru Chef Salsa de Aji Limo con Rocoto 10.5oz x 12-49.5</v>
      </c>
      <c r="Q591" s="20">
        <f t="shared" si="132"/>
        <v>1</v>
      </c>
      <c r="R591" s="20" t="str">
        <f t="shared" si="133"/>
        <v>No se repite</v>
      </c>
      <c r="S591" s="20" t="str">
        <f t="shared" si="134"/>
        <v>El producto Peru Chef Salsa de Aji Limo con Rocoto 10.5oz x 12 Se repite 4 veces en Peru Chef Una vez con el precio 49.5</v>
      </c>
      <c r="T591" s="20" t="str">
        <f t="shared" si="135"/>
        <v>Peru Chef</v>
      </c>
      <c r="U591" s="20" t="str">
        <f t="shared" si="136"/>
        <v>Peru Chef Salsa de Aji Limo con Rocoto 10.5oz x 12</v>
      </c>
      <c r="V591" s="22">
        <f t="shared" si="137"/>
        <v>49.5</v>
      </c>
      <c r="W591" t="str">
        <f t="shared" si="138"/>
        <v>Peru Chef 08/28/2025</v>
      </c>
      <c r="Z591">
        <f t="shared" si="139"/>
        <v>99</v>
      </c>
    </row>
    <row r="592" spans="1:26" hidden="1" x14ac:dyDescent="0.25">
      <c r="A592" s="2" t="s">
        <v>272</v>
      </c>
      <c r="B592" s="11" t="s">
        <v>619</v>
      </c>
      <c r="C592" s="11" t="s">
        <v>4</v>
      </c>
      <c r="D592" s="11" t="s">
        <v>621</v>
      </c>
      <c r="E592" s="11" t="s">
        <v>286</v>
      </c>
      <c r="F592" s="11" t="s">
        <v>528</v>
      </c>
      <c r="G592" s="12">
        <v>2</v>
      </c>
      <c r="H592" s="12">
        <v>44.55</v>
      </c>
      <c r="I592" s="12">
        <v>89.1</v>
      </c>
      <c r="J592" s="12">
        <v>41918.349999999991</v>
      </c>
      <c r="K592" s="20">
        <f t="shared" si="126"/>
        <v>4</v>
      </c>
      <c r="L592" s="20" t="str">
        <f t="shared" si="127"/>
        <v>Se repite 4 veces</v>
      </c>
      <c r="M592" s="20" t="str">
        <f t="shared" si="128"/>
        <v>Peru Chef-Peru Chef Salsa de Aji Limo con Rocoto 10.5oz x 12</v>
      </c>
      <c r="N592" s="20">
        <f t="shared" si="129"/>
        <v>4</v>
      </c>
      <c r="O592" s="20" t="str">
        <f t="shared" si="130"/>
        <v>Se repite 4 veces en Peru Chef</v>
      </c>
      <c r="P592" s="20" t="str">
        <f t="shared" si="131"/>
        <v>Peru Chef-Peru Chef Salsa de Aji Limo con Rocoto 10.5oz x 12-44.55</v>
      </c>
      <c r="Q592" s="20">
        <f t="shared" si="132"/>
        <v>1</v>
      </c>
      <c r="R592" s="20" t="str">
        <f t="shared" si="133"/>
        <v>No se repite</v>
      </c>
      <c r="S592" s="20" t="str">
        <f t="shared" si="134"/>
        <v>El producto Peru Chef Salsa de Aji Limo con Rocoto 10.5oz x 12 Se repite 4 veces en Peru Chef Una vez con el precio 44.55</v>
      </c>
      <c r="T592" s="20" t="str">
        <f t="shared" si="135"/>
        <v>Peru Chef</v>
      </c>
      <c r="U592" s="20" t="str">
        <f t="shared" si="136"/>
        <v>Peru Chef Salsa de Aji Limo con Rocoto 10.5oz x 12</v>
      </c>
      <c r="V592" s="22">
        <f t="shared" si="137"/>
        <v>44.55</v>
      </c>
      <c r="W592" t="str">
        <f t="shared" si="138"/>
        <v>Peru Chef 12/09/2025</v>
      </c>
      <c r="Z592">
        <f t="shared" si="139"/>
        <v>89.1</v>
      </c>
    </row>
    <row r="593" spans="1:26" hidden="1" x14ac:dyDescent="0.25">
      <c r="A593" s="2" t="s">
        <v>272</v>
      </c>
      <c r="B593" s="11" t="s">
        <v>512</v>
      </c>
      <c r="C593" s="11" t="s">
        <v>4</v>
      </c>
      <c r="D593" s="11" t="s">
        <v>513</v>
      </c>
      <c r="E593" s="11" t="s">
        <v>530</v>
      </c>
      <c r="F593" s="11" t="s">
        <v>531</v>
      </c>
      <c r="G593" s="12">
        <v>2</v>
      </c>
      <c r="H593" s="12">
        <v>57</v>
      </c>
      <c r="I593" s="12">
        <v>114</v>
      </c>
      <c r="J593" s="12">
        <v>17486.5</v>
      </c>
      <c r="K593" s="20">
        <f t="shared" si="126"/>
        <v>1</v>
      </c>
      <c r="L593" s="20" t="str">
        <f t="shared" si="127"/>
        <v>No se repite</v>
      </c>
      <c r="M593" s="20" t="str">
        <f t="shared" si="128"/>
        <v>Peru Chef-Peru Chef Salsa Rocoto 10.5 Oz X 12</v>
      </c>
      <c r="N593" s="20">
        <f t="shared" si="129"/>
        <v>1</v>
      </c>
      <c r="O593" s="20" t="str">
        <f t="shared" si="130"/>
        <v>No se repite en proveedor</v>
      </c>
      <c r="P593" s="20" t="str">
        <f t="shared" si="131"/>
        <v>Peru Chef-Peru Chef Salsa Rocoto 10.5 Oz X 12-57</v>
      </c>
      <c r="Q593" s="20">
        <f t="shared" si="132"/>
        <v>1</v>
      </c>
      <c r="R593" s="20" t="str">
        <f t="shared" si="133"/>
        <v>No se repite</v>
      </c>
      <c r="S593" s="20" t="str">
        <f t="shared" si="134"/>
        <v>El producto Peru Chef Salsa Rocoto 10.5 Oz X 12 No se repite en proveedor Una vez con el precio 57</v>
      </c>
      <c r="T593" s="20" t="str">
        <f t="shared" si="135"/>
        <v>Peru Chef</v>
      </c>
      <c r="U593" s="20" t="str">
        <f t="shared" si="136"/>
        <v>Peru Chef Salsa Rocoto 10.5 Oz X 12</v>
      </c>
      <c r="V593" s="22">
        <f t="shared" si="137"/>
        <v>57</v>
      </c>
      <c r="W593" t="str">
        <f t="shared" si="138"/>
        <v>Peru Chef 08/28/2025</v>
      </c>
      <c r="Z593">
        <f t="shared" si="139"/>
        <v>114</v>
      </c>
    </row>
    <row r="594" spans="1:26" hidden="1" x14ac:dyDescent="0.25">
      <c r="A594" s="2" t="s">
        <v>272</v>
      </c>
      <c r="B594" s="11" t="s">
        <v>471</v>
      </c>
      <c r="C594" s="11" t="s">
        <v>4</v>
      </c>
      <c r="D594" s="11" t="s">
        <v>472</v>
      </c>
      <c r="E594" s="11" t="s">
        <v>490</v>
      </c>
      <c r="F594" s="11" t="s">
        <v>491</v>
      </c>
      <c r="G594" s="12">
        <v>2</v>
      </c>
      <c r="H594" s="12">
        <v>18</v>
      </c>
      <c r="I594" s="12">
        <v>36</v>
      </c>
      <c r="J594" s="12">
        <v>12409.5</v>
      </c>
      <c r="K594" s="20">
        <f t="shared" si="126"/>
        <v>4</v>
      </c>
      <c r="L594" s="20" t="str">
        <f t="shared" si="127"/>
        <v>Se repite 4 veces</v>
      </c>
      <c r="M594" s="20" t="str">
        <f t="shared" si="128"/>
        <v>Peru Chef-Peru Chef Semola 15oz x 12</v>
      </c>
      <c r="N594" s="20">
        <f t="shared" si="129"/>
        <v>4</v>
      </c>
      <c r="O594" s="20" t="str">
        <f t="shared" si="130"/>
        <v>Se repite 4 veces en Peru Chef</v>
      </c>
      <c r="P594" s="20" t="str">
        <f t="shared" si="131"/>
        <v>Peru Chef-Peru Chef Semola 15oz x 12-18</v>
      </c>
      <c r="Q594" s="20">
        <f t="shared" si="132"/>
        <v>2</v>
      </c>
      <c r="R594" s="20" t="str">
        <f t="shared" si="133"/>
        <v>Se repite 2 veces el precio de 18</v>
      </c>
      <c r="S594" s="20" t="str">
        <f t="shared" si="134"/>
        <v>El producto Peru Chef Semola 15oz x 12 Se repite 4 veces en Peru Chef, Se repite 2 veces el precio de 18</v>
      </c>
      <c r="T594" s="20" t="str">
        <f t="shared" si="135"/>
        <v>Peru Chef</v>
      </c>
      <c r="U594" s="20" t="str">
        <f t="shared" si="136"/>
        <v>Peru Chef Semola 15oz x 12</v>
      </c>
      <c r="V594" s="22">
        <f t="shared" si="137"/>
        <v>18</v>
      </c>
      <c r="W594" t="str">
        <f t="shared" si="138"/>
        <v>Peru Chef 08/11/2025</v>
      </c>
      <c r="Z594">
        <f t="shared" si="139"/>
        <v>36</v>
      </c>
    </row>
    <row r="595" spans="1:26" hidden="1" x14ac:dyDescent="0.25">
      <c r="A595" s="2" t="s">
        <v>272</v>
      </c>
      <c r="B595" s="11" t="s">
        <v>512</v>
      </c>
      <c r="C595" s="11" t="s">
        <v>4</v>
      </c>
      <c r="D595" s="11" t="s">
        <v>513</v>
      </c>
      <c r="E595" s="11" t="s">
        <v>490</v>
      </c>
      <c r="F595" s="11" t="s">
        <v>521</v>
      </c>
      <c r="G595" s="12">
        <v>2</v>
      </c>
      <c r="H595" s="12">
        <v>18</v>
      </c>
      <c r="I595" s="12">
        <v>36</v>
      </c>
      <c r="J595" s="12">
        <v>16919.5</v>
      </c>
      <c r="K595" s="20">
        <f t="shared" si="126"/>
        <v>4</v>
      </c>
      <c r="L595" s="20" t="str">
        <f t="shared" si="127"/>
        <v>Se repite 4 veces</v>
      </c>
      <c r="M595" s="20" t="str">
        <f t="shared" si="128"/>
        <v>Peru Chef-Peru Chef Semola 15oz x 12</v>
      </c>
      <c r="N595" s="20">
        <f t="shared" si="129"/>
        <v>4</v>
      </c>
      <c r="O595" s="20" t="str">
        <f t="shared" si="130"/>
        <v>Se repite 4 veces en Peru Chef</v>
      </c>
      <c r="P595" s="20" t="str">
        <f t="shared" si="131"/>
        <v>Peru Chef-Peru Chef Semola 15oz x 12-18</v>
      </c>
      <c r="Q595" s="20">
        <f t="shared" si="132"/>
        <v>2</v>
      </c>
      <c r="R595" s="20" t="str">
        <f t="shared" si="133"/>
        <v>Se repite 2 veces el precio de 18</v>
      </c>
      <c r="S595" s="20" t="str">
        <f t="shared" si="134"/>
        <v>El producto Peru Chef Semola 15oz x 12 Se repite 4 veces en Peru Chef, Se repite 2 veces el precio de 18</v>
      </c>
      <c r="T595" s="20" t="str">
        <f t="shared" si="135"/>
        <v>Peru Chef</v>
      </c>
      <c r="U595" s="20" t="str">
        <f t="shared" si="136"/>
        <v>Peru Chef Semola 15oz x 12</v>
      </c>
      <c r="V595" s="22">
        <f t="shared" si="137"/>
        <v>18</v>
      </c>
      <c r="W595" t="str">
        <f t="shared" si="138"/>
        <v>Peru Chef 08/28/2025</v>
      </c>
      <c r="Z595">
        <f t="shared" si="139"/>
        <v>36</v>
      </c>
    </row>
    <row r="596" spans="1:26" hidden="1" x14ac:dyDescent="0.25">
      <c r="A596" s="2" t="s">
        <v>272</v>
      </c>
      <c r="B596" s="11" t="s">
        <v>590</v>
      </c>
      <c r="C596" s="11" t="s">
        <v>4</v>
      </c>
      <c r="D596" s="11" t="s">
        <v>591</v>
      </c>
      <c r="E596" s="11" t="s">
        <v>490</v>
      </c>
      <c r="F596" s="11" t="s">
        <v>521</v>
      </c>
      <c r="G596" s="12">
        <v>1</v>
      </c>
      <c r="H596" s="12">
        <v>16.2</v>
      </c>
      <c r="I596" s="12">
        <v>16.2</v>
      </c>
      <c r="J596" s="12">
        <v>31234.9</v>
      </c>
      <c r="K596" s="20">
        <f t="shared" si="126"/>
        <v>4</v>
      </c>
      <c r="L596" s="20" t="str">
        <f t="shared" si="127"/>
        <v>Se repite 4 veces</v>
      </c>
      <c r="M596" s="20" t="str">
        <f t="shared" si="128"/>
        <v>Peru Chef-Peru Chef Semola 15oz x 12</v>
      </c>
      <c r="N596" s="20">
        <f t="shared" si="129"/>
        <v>4</v>
      </c>
      <c r="O596" s="20" t="str">
        <f t="shared" si="130"/>
        <v>Se repite 4 veces en Peru Chef</v>
      </c>
      <c r="P596" s="20" t="str">
        <f t="shared" si="131"/>
        <v>Peru Chef-Peru Chef Semola 15oz x 12-16.2</v>
      </c>
      <c r="Q596" s="20">
        <f t="shared" si="132"/>
        <v>2</v>
      </c>
      <c r="R596" s="20" t="str">
        <f t="shared" si="133"/>
        <v>Se repite 2 veces el precio de 16.2</v>
      </c>
      <c r="S596" s="20" t="str">
        <f t="shared" si="134"/>
        <v>El producto Peru Chef Semola 15oz x 12 Se repite 4 veces en Peru Chef, Se repite 2 veces el precio de 16.2</v>
      </c>
      <c r="T596" s="20" t="str">
        <f t="shared" si="135"/>
        <v>Peru Chef</v>
      </c>
      <c r="U596" s="20" t="str">
        <f t="shared" si="136"/>
        <v>Peru Chef Semola 15oz x 12</v>
      </c>
      <c r="V596" s="22">
        <f t="shared" si="137"/>
        <v>16.2</v>
      </c>
      <c r="W596" t="str">
        <f t="shared" si="138"/>
        <v>Peru Chef 10/28/2025</v>
      </c>
      <c r="Z596">
        <f t="shared" si="139"/>
        <v>16.2</v>
      </c>
    </row>
    <row r="597" spans="1:26" hidden="1" x14ac:dyDescent="0.25">
      <c r="A597" s="2" t="s">
        <v>272</v>
      </c>
      <c r="B597" s="11" t="s">
        <v>600</v>
      </c>
      <c r="C597" s="11" t="s">
        <v>4</v>
      </c>
      <c r="D597" s="11" t="s">
        <v>601</v>
      </c>
      <c r="E597" s="11" t="s">
        <v>490</v>
      </c>
      <c r="F597" s="11" t="s">
        <v>521</v>
      </c>
      <c r="G597" s="12">
        <v>2</v>
      </c>
      <c r="H597" s="12">
        <v>16.2</v>
      </c>
      <c r="I597" s="12">
        <v>32.4</v>
      </c>
      <c r="J597" s="12">
        <v>35263.750000000007</v>
      </c>
      <c r="K597" s="20">
        <f t="shared" si="126"/>
        <v>4</v>
      </c>
      <c r="L597" s="20" t="str">
        <f t="shared" si="127"/>
        <v>Se repite 4 veces</v>
      </c>
      <c r="M597" s="20" t="str">
        <f t="shared" si="128"/>
        <v>Peru Chef-Peru Chef Semola 15oz x 12</v>
      </c>
      <c r="N597" s="20">
        <f t="shared" si="129"/>
        <v>4</v>
      </c>
      <c r="O597" s="20" t="str">
        <f t="shared" si="130"/>
        <v>Se repite 4 veces en Peru Chef</v>
      </c>
      <c r="P597" s="20" t="str">
        <f t="shared" si="131"/>
        <v>Peru Chef-Peru Chef Semola 15oz x 12-16.2</v>
      </c>
      <c r="Q597" s="20">
        <f t="shared" si="132"/>
        <v>2</v>
      </c>
      <c r="R597" s="20" t="str">
        <f t="shared" si="133"/>
        <v>Se repite 2 veces el precio de 16.2</v>
      </c>
      <c r="S597" s="20" t="str">
        <f t="shared" si="134"/>
        <v>El producto Peru Chef Semola 15oz x 12 Se repite 4 veces en Peru Chef, Se repite 2 veces el precio de 16.2</v>
      </c>
      <c r="T597" s="20" t="str">
        <f t="shared" si="135"/>
        <v>Peru Chef</v>
      </c>
      <c r="U597" s="20" t="str">
        <f t="shared" si="136"/>
        <v>Peru Chef Semola 15oz x 12</v>
      </c>
      <c r="V597" s="22">
        <f t="shared" si="137"/>
        <v>16.2</v>
      </c>
      <c r="W597" t="str">
        <f t="shared" si="138"/>
        <v>Peru Chef 11/14/2025</v>
      </c>
      <c r="Z597">
        <f t="shared" si="139"/>
        <v>32.4</v>
      </c>
    </row>
    <row r="598" spans="1:26" hidden="1" x14ac:dyDescent="0.25">
      <c r="A598" s="2" t="s">
        <v>272</v>
      </c>
      <c r="B598" s="11" t="s">
        <v>398</v>
      </c>
      <c r="C598" s="11" t="s">
        <v>4</v>
      </c>
      <c r="D598" s="11" t="s">
        <v>399</v>
      </c>
      <c r="E598" s="11" t="s">
        <v>402</v>
      </c>
      <c r="F598" s="11" t="s">
        <v>403</v>
      </c>
      <c r="G598" s="12">
        <v>1</v>
      </c>
      <c r="H598" s="12">
        <v>30</v>
      </c>
      <c r="I598" s="12">
        <v>30</v>
      </c>
      <c r="J598" s="12">
        <v>4471</v>
      </c>
      <c r="K598" s="20">
        <f t="shared" si="126"/>
        <v>3</v>
      </c>
      <c r="L598" s="20" t="str">
        <f t="shared" si="127"/>
        <v>Se repite 3 veces</v>
      </c>
      <c r="M598" s="20" t="str">
        <f t="shared" si="128"/>
        <v>Peru Chef-Peru Chef Snack Cancha Chulpi Salada 100gr x 20</v>
      </c>
      <c r="N598" s="20">
        <f t="shared" si="129"/>
        <v>3</v>
      </c>
      <c r="O598" s="20" t="str">
        <f t="shared" si="130"/>
        <v>Se repite 3 veces en Peru Chef</v>
      </c>
      <c r="P598" s="20" t="str">
        <f t="shared" si="131"/>
        <v>Peru Chef-Peru Chef Snack Cancha Chulpi Salada 100gr x 20-30</v>
      </c>
      <c r="Q598" s="20">
        <f t="shared" si="132"/>
        <v>3</v>
      </c>
      <c r="R598" s="20" t="str">
        <f t="shared" si="133"/>
        <v>Se repite 3 veces el precio de 30</v>
      </c>
      <c r="S598" s="20" t="str">
        <f t="shared" si="134"/>
        <v>El producto Peru Chef Snack Cancha Chulpi Salada 100gr x 20 Se repite 3 veces en Peru Chef, Se repite 3 veces el precio de 30</v>
      </c>
      <c r="T598" s="20" t="str">
        <f t="shared" si="135"/>
        <v>Peru Chef</v>
      </c>
      <c r="U598" s="20" t="str">
        <f t="shared" si="136"/>
        <v>Peru Chef Snack Cancha Chulpi Salada 100gr x 20</v>
      </c>
      <c r="V598" s="22">
        <f t="shared" si="137"/>
        <v>30</v>
      </c>
      <c r="W598" t="str">
        <f t="shared" si="138"/>
        <v>Peru Chef 04/10/2025</v>
      </c>
      <c r="Z598">
        <f t="shared" si="139"/>
        <v>30</v>
      </c>
    </row>
    <row r="599" spans="1:26" hidden="1" x14ac:dyDescent="0.25">
      <c r="A599" s="2" t="s">
        <v>272</v>
      </c>
      <c r="B599" s="11" t="s">
        <v>408</v>
      </c>
      <c r="C599" s="11" t="s">
        <v>4</v>
      </c>
      <c r="D599" s="11" t="s">
        <v>409</v>
      </c>
      <c r="E599" s="11" t="s">
        <v>402</v>
      </c>
      <c r="F599" s="11" t="s">
        <v>403</v>
      </c>
      <c r="G599" s="12">
        <v>1</v>
      </c>
      <c r="H599" s="12">
        <v>30</v>
      </c>
      <c r="I599" s="12">
        <v>30</v>
      </c>
      <c r="J599" s="12">
        <v>5668.6</v>
      </c>
      <c r="K599" s="20">
        <f t="shared" si="126"/>
        <v>3</v>
      </c>
      <c r="L599" s="20" t="str">
        <f t="shared" si="127"/>
        <v>Se repite 3 veces</v>
      </c>
      <c r="M599" s="20" t="str">
        <f t="shared" si="128"/>
        <v>Peru Chef-Peru Chef Snack Cancha Chulpi Salada 100gr x 20</v>
      </c>
      <c r="N599" s="20">
        <f t="shared" si="129"/>
        <v>3</v>
      </c>
      <c r="O599" s="20" t="str">
        <f t="shared" si="130"/>
        <v>Se repite 3 veces en Peru Chef</v>
      </c>
      <c r="P599" s="20" t="str">
        <f t="shared" si="131"/>
        <v>Peru Chef-Peru Chef Snack Cancha Chulpi Salada 100gr x 20-30</v>
      </c>
      <c r="Q599" s="20">
        <f t="shared" si="132"/>
        <v>3</v>
      </c>
      <c r="R599" s="20" t="str">
        <f t="shared" si="133"/>
        <v>Se repite 3 veces el precio de 30</v>
      </c>
      <c r="S599" s="20" t="str">
        <f t="shared" si="134"/>
        <v>El producto Peru Chef Snack Cancha Chulpi Salada 100gr x 20 Se repite 3 veces en Peru Chef, Se repite 3 veces el precio de 30</v>
      </c>
      <c r="T599" s="20" t="str">
        <f t="shared" si="135"/>
        <v>Peru Chef</v>
      </c>
      <c r="U599" s="20" t="str">
        <f t="shared" si="136"/>
        <v>Peru Chef Snack Cancha Chulpi Salada 100gr x 20</v>
      </c>
      <c r="V599" s="22">
        <f t="shared" si="137"/>
        <v>30</v>
      </c>
      <c r="W599" t="str">
        <f t="shared" si="138"/>
        <v>Peru Chef 04/13/2025</v>
      </c>
      <c r="Z599">
        <f t="shared" si="139"/>
        <v>30</v>
      </c>
    </row>
    <row r="600" spans="1:26" hidden="1" x14ac:dyDescent="0.25">
      <c r="A600" s="2" t="s">
        <v>272</v>
      </c>
      <c r="B600" s="11" t="s">
        <v>444</v>
      </c>
      <c r="C600" s="11" t="s">
        <v>4</v>
      </c>
      <c r="D600" s="11" t="s">
        <v>445</v>
      </c>
      <c r="E600" s="11" t="s">
        <v>402</v>
      </c>
      <c r="F600" s="11" t="s">
        <v>403</v>
      </c>
      <c r="G600" s="12">
        <v>1</v>
      </c>
      <c r="H600" s="12">
        <v>30</v>
      </c>
      <c r="I600" s="12">
        <v>30</v>
      </c>
      <c r="J600" s="12">
        <v>9272.7000000000007</v>
      </c>
      <c r="K600" s="20">
        <f t="shared" si="126"/>
        <v>3</v>
      </c>
      <c r="L600" s="20" t="str">
        <f t="shared" si="127"/>
        <v>Se repite 3 veces</v>
      </c>
      <c r="M600" s="20" t="str">
        <f t="shared" si="128"/>
        <v>Peru Chef-Peru Chef Snack Cancha Chulpi Salada 100gr x 20</v>
      </c>
      <c r="N600" s="20">
        <f t="shared" si="129"/>
        <v>3</v>
      </c>
      <c r="O600" s="20" t="str">
        <f t="shared" si="130"/>
        <v>Se repite 3 veces en Peru Chef</v>
      </c>
      <c r="P600" s="20" t="str">
        <f t="shared" si="131"/>
        <v>Peru Chef-Peru Chef Snack Cancha Chulpi Salada 100gr x 20-30</v>
      </c>
      <c r="Q600" s="20">
        <f t="shared" si="132"/>
        <v>3</v>
      </c>
      <c r="R600" s="20" t="str">
        <f t="shared" si="133"/>
        <v>Se repite 3 veces el precio de 30</v>
      </c>
      <c r="S600" s="20" t="str">
        <f t="shared" si="134"/>
        <v>El producto Peru Chef Snack Cancha Chulpi Salada 100gr x 20 Se repite 3 veces en Peru Chef, Se repite 3 veces el precio de 30</v>
      </c>
      <c r="T600" s="20" t="str">
        <f t="shared" si="135"/>
        <v>Peru Chef</v>
      </c>
      <c r="U600" s="20" t="str">
        <f t="shared" si="136"/>
        <v>Peru Chef Snack Cancha Chulpi Salada 100gr x 20</v>
      </c>
      <c r="V600" s="22">
        <f t="shared" si="137"/>
        <v>30</v>
      </c>
      <c r="W600" t="str">
        <f t="shared" si="138"/>
        <v>Peru Chef 04/24/2025</v>
      </c>
      <c r="Z600">
        <f t="shared" si="139"/>
        <v>30</v>
      </c>
    </row>
    <row r="601" spans="1:26" hidden="1" x14ac:dyDescent="0.25">
      <c r="A601" s="2" t="s">
        <v>272</v>
      </c>
      <c r="B601" s="11" t="s">
        <v>398</v>
      </c>
      <c r="C601" s="11" t="s">
        <v>4</v>
      </c>
      <c r="D601" s="11" t="s">
        <v>399</v>
      </c>
      <c r="E601" s="11" t="s">
        <v>404</v>
      </c>
      <c r="F601" s="11" t="s">
        <v>405</v>
      </c>
      <c r="G601" s="12">
        <v>1</v>
      </c>
      <c r="H601" s="12">
        <v>30</v>
      </c>
      <c r="I601" s="12">
        <v>30</v>
      </c>
      <c r="J601" s="12">
        <v>4501</v>
      </c>
      <c r="K601" s="20">
        <f t="shared" si="126"/>
        <v>3</v>
      </c>
      <c r="L601" s="20" t="str">
        <f t="shared" si="127"/>
        <v>Se repite 3 veces</v>
      </c>
      <c r="M601" s="20" t="str">
        <f t="shared" si="128"/>
        <v>Peru Chef-Peru Chef Snack Cancha Serrana Salada 100gr x 20 bolsas</v>
      </c>
      <c r="N601" s="20">
        <f t="shared" si="129"/>
        <v>3</v>
      </c>
      <c r="O601" s="20" t="str">
        <f t="shared" si="130"/>
        <v>Se repite 3 veces en Peru Chef</v>
      </c>
      <c r="P601" s="20" t="str">
        <f t="shared" si="131"/>
        <v>Peru Chef-Peru Chef Snack Cancha Serrana Salada 100gr x 20 bolsas-30</v>
      </c>
      <c r="Q601" s="20">
        <f t="shared" si="132"/>
        <v>3</v>
      </c>
      <c r="R601" s="20" t="str">
        <f t="shared" si="133"/>
        <v>Se repite 3 veces el precio de 30</v>
      </c>
      <c r="S601" s="20" t="str">
        <f t="shared" si="134"/>
        <v>El producto Peru Chef Snack Cancha Serrana Salada 100gr x 20 bolsas Se repite 3 veces en Peru Chef, Se repite 3 veces el precio de 30</v>
      </c>
      <c r="T601" s="20" t="str">
        <f t="shared" si="135"/>
        <v>Peru Chef</v>
      </c>
      <c r="U601" s="20" t="str">
        <f t="shared" si="136"/>
        <v>Peru Chef Snack Cancha Serrana Salada 100gr x 20 bolsas</v>
      </c>
      <c r="V601" s="22">
        <f t="shared" si="137"/>
        <v>30</v>
      </c>
      <c r="W601" t="str">
        <f t="shared" si="138"/>
        <v>Peru Chef 04/10/2025</v>
      </c>
      <c r="Z601">
        <f t="shared" si="139"/>
        <v>30</v>
      </c>
    </row>
    <row r="602" spans="1:26" hidden="1" x14ac:dyDescent="0.25">
      <c r="A602" s="2" t="s">
        <v>272</v>
      </c>
      <c r="B602" s="11" t="s">
        <v>408</v>
      </c>
      <c r="C602" s="11" t="s">
        <v>4</v>
      </c>
      <c r="D602" s="11" t="s">
        <v>409</v>
      </c>
      <c r="E602" s="11" t="s">
        <v>404</v>
      </c>
      <c r="F602" s="11" t="s">
        <v>405</v>
      </c>
      <c r="G602" s="12">
        <v>1</v>
      </c>
      <c r="H602" s="12">
        <v>30</v>
      </c>
      <c r="I602" s="12">
        <v>30</v>
      </c>
      <c r="J602" s="12">
        <v>5698.6</v>
      </c>
      <c r="K602" s="20">
        <f t="shared" si="126"/>
        <v>3</v>
      </c>
      <c r="L602" s="20" t="str">
        <f t="shared" si="127"/>
        <v>Se repite 3 veces</v>
      </c>
      <c r="M602" s="20" t="str">
        <f t="shared" si="128"/>
        <v>Peru Chef-Peru Chef Snack Cancha Serrana Salada 100gr x 20 bolsas</v>
      </c>
      <c r="N602" s="20">
        <f t="shared" si="129"/>
        <v>3</v>
      </c>
      <c r="O602" s="20" t="str">
        <f t="shared" si="130"/>
        <v>Se repite 3 veces en Peru Chef</v>
      </c>
      <c r="P602" s="20" t="str">
        <f t="shared" si="131"/>
        <v>Peru Chef-Peru Chef Snack Cancha Serrana Salada 100gr x 20 bolsas-30</v>
      </c>
      <c r="Q602" s="20">
        <f t="shared" si="132"/>
        <v>3</v>
      </c>
      <c r="R602" s="20" t="str">
        <f t="shared" si="133"/>
        <v>Se repite 3 veces el precio de 30</v>
      </c>
      <c r="S602" s="20" t="str">
        <f t="shared" si="134"/>
        <v>El producto Peru Chef Snack Cancha Serrana Salada 100gr x 20 bolsas Se repite 3 veces en Peru Chef, Se repite 3 veces el precio de 30</v>
      </c>
      <c r="T602" s="20" t="str">
        <f t="shared" si="135"/>
        <v>Peru Chef</v>
      </c>
      <c r="U602" s="20" t="str">
        <f t="shared" si="136"/>
        <v>Peru Chef Snack Cancha Serrana Salada 100gr x 20 bolsas</v>
      </c>
      <c r="V602" s="22">
        <f t="shared" si="137"/>
        <v>30</v>
      </c>
      <c r="W602" t="str">
        <f t="shared" si="138"/>
        <v>Peru Chef 04/13/2025</v>
      </c>
      <c r="Z602">
        <f t="shared" si="139"/>
        <v>30</v>
      </c>
    </row>
    <row r="603" spans="1:26" hidden="1" x14ac:dyDescent="0.25">
      <c r="A603" s="2" t="s">
        <v>272</v>
      </c>
      <c r="B603" s="11" t="s">
        <v>444</v>
      </c>
      <c r="C603" s="11" t="s">
        <v>4</v>
      </c>
      <c r="D603" s="11" t="s">
        <v>445</v>
      </c>
      <c r="E603" s="11" t="s">
        <v>404</v>
      </c>
      <c r="F603" s="11" t="s">
        <v>405</v>
      </c>
      <c r="G603" s="12">
        <v>1</v>
      </c>
      <c r="H603" s="12">
        <v>30</v>
      </c>
      <c r="I603" s="12">
        <v>30</v>
      </c>
      <c r="J603" s="12">
        <v>9302.7000000000007</v>
      </c>
      <c r="K603" s="20">
        <f t="shared" si="126"/>
        <v>3</v>
      </c>
      <c r="L603" s="20" t="str">
        <f t="shared" si="127"/>
        <v>Se repite 3 veces</v>
      </c>
      <c r="M603" s="20" t="str">
        <f t="shared" si="128"/>
        <v>Peru Chef-Peru Chef Snack Cancha Serrana Salada 100gr x 20 bolsas</v>
      </c>
      <c r="N603" s="20">
        <f t="shared" si="129"/>
        <v>3</v>
      </c>
      <c r="O603" s="20" t="str">
        <f t="shared" si="130"/>
        <v>Se repite 3 veces en Peru Chef</v>
      </c>
      <c r="P603" s="20" t="str">
        <f t="shared" si="131"/>
        <v>Peru Chef-Peru Chef Snack Cancha Serrana Salada 100gr x 20 bolsas-30</v>
      </c>
      <c r="Q603" s="20">
        <f t="shared" si="132"/>
        <v>3</v>
      </c>
      <c r="R603" s="20" t="str">
        <f t="shared" si="133"/>
        <v>Se repite 3 veces el precio de 30</v>
      </c>
      <c r="S603" s="20" t="str">
        <f t="shared" si="134"/>
        <v>El producto Peru Chef Snack Cancha Serrana Salada 100gr x 20 bolsas Se repite 3 veces en Peru Chef, Se repite 3 veces el precio de 30</v>
      </c>
      <c r="T603" s="20" t="str">
        <f t="shared" si="135"/>
        <v>Peru Chef</v>
      </c>
      <c r="U603" s="20" t="str">
        <f t="shared" si="136"/>
        <v>Peru Chef Snack Cancha Serrana Salada 100gr x 20 bolsas</v>
      </c>
      <c r="V603" s="22">
        <f t="shared" si="137"/>
        <v>30</v>
      </c>
      <c r="W603" t="str">
        <f t="shared" si="138"/>
        <v>Peru Chef 04/24/2025</v>
      </c>
      <c r="Z603">
        <f t="shared" si="139"/>
        <v>30</v>
      </c>
    </row>
    <row r="604" spans="1:26" hidden="1" x14ac:dyDescent="0.25">
      <c r="A604" s="2" t="s">
        <v>272</v>
      </c>
      <c r="B604" s="11" t="s">
        <v>398</v>
      </c>
      <c r="C604" s="11" t="s">
        <v>4</v>
      </c>
      <c r="D604" s="11" t="s">
        <v>399</v>
      </c>
      <c r="E604" s="11" t="s">
        <v>406</v>
      </c>
      <c r="F604" s="11" t="s">
        <v>407</v>
      </c>
      <c r="G604" s="12">
        <v>1</v>
      </c>
      <c r="H604" s="12">
        <v>30</v>
      </c>
      <c r="I604" s="12">
        <v>30</v>
      </c>
      <c r="J604" s="12">
        <v>4531</v>
      </c>
      <c r="K604" s="20">
        <f t="shared" si="126"/>
        <v>3</v>
      </c>
      <c r="L604" s="20" t="str">
        <f t="shared" si="127"/>
        <v>Se repite 3 veces</v>
      </c>
      <c r="M604" s="20" t="str">
        <f t="shared" si="128"/>
        <v>Peru Chef-Peru Chef Snack Habas Saladas 100gr x 20 bolsas</v>
      </c>
      <c r="N604" s="20">
        <f t="shared" si="129"/>
        <v>3</v>
      </c>
      <c r="O604" s="20" t="str">
        <f t="shared" si="130"/>
        <v>Se repite 3 veces en Peru Chef</v>
      </c>
      <c r="P604" s="20" t="str">
        <f t="shared" si="131"/>
        <v>Peru Chef-Peru Chef Snack Habas Saladas 100gr x 20 bolsas-30</v>
      </c>
      <c r="Q604" s="20">
        <f t="shared" si="132"/>
        <v>3</v>
      </c>
      <c r="R604" s="20" t="str">
        <f t="shared" si="133"/>
        <v>Se repite 3 veces el precio de 30</v>
      </c>
      <c r="S604" s="20" t="str">
        <f t="shared" si="134"/>
        <v>El producto Peru Chef Snack Habas Saladas 100gr x 20 bolsas Se repite 3 veces en Peru Chef, Se repite 3 veces el precio de 30</v>
      </c>
      <c r="T604" s="20" t="str">
        <f t="shared" si="135"/>
        <v>Peru Chef</v>
      </c>
      <c r="U604" s="20" t="str">
        <f t="shared" si="136"/>
        <v>Peru Chef Snack Habas Saladas 100gr x 20 bolsas</v>
      </c>
      <c r="V604" s="22">
        <f t="shared" si="137"/>
        <v>30</v>
      </c>
      <c r="W604" t="str">
        <f t="shared" si="138"/>
        <v>Peru Chef 04/10/2025</v>
      </c>
      <c r="Z604">
        <f t="shared" si="139"/>
        <v>30</v>
      </c>
    </row>
    <row r="605" spans="1:26" hidden="1" x14ac:dyDescent="0.25">
      <c r="A605" s="2" t="s">
        <v>272</v>
      </c>
      <c r="B605" s="11" t="s">
        <v>408</v>
      </c>
      <c r="C605" s="11" t="s">
        <v>4</v>
      </c>
      <c r="D605" s="11" t="s">
        <v>409</v>
      </c>
      <c r="E605" s="11" t="s">
        <v>406</v>
      </c>
      <c r="F605" s="11" t="s">
        <v>407</v>
      </c>
      <c r="G605" s="12">
        <v>1</v>
      </c>
      <c r="H605" s="12">
        <v>30</v>
      </c>
      <c r="I605" s="12">
        <v>30</v>
      </c>
      <c r="J605" s="12">
        <v>5728.6</v>
      </c>
      <c r="K605" s="20">
        <f t="shared" si="126"/>
        <v>3</v>
      </c>
      <c r="L605" s="20" t="str">
        <f t="shared" si="127"/>
        <v>Se repite 3 veces</v>
      </c>
      <c r="M605" s="20" t="str">
        <f t="shared" si="128"/>
        <v>Peru Chef-Peru Chef Snack Habas Saladas 100gr x 20 bolsas</v>
      </c>
      <c r="N605" s="20">
        <f t="shared" si="129"/>
        <v>3</v>
      </c>
      <c r="O605" s="20" t="str">
        <f t="shared" si="130"/>
        <v>Se repite 3 veces en Peru Chef</v>
      </c>
      <c r="P605" s="20" t="str">
        <f t="shared" si="131"/>
        <v>Peru Chef-Peru Chef Snack Habas Saladas 100gr x 20 bolsas-30</v>
      </c>
      <c r="Q605" s="20">
        <f t="shared" si="132"/>
        <v>3</v>
      </c>
      <c r="R605" s="20" t="str">
        <f t="shared" si="133"/>
        <v>Se repite 3 veces el precio de 30</v>
      </c>
      <c r="S605" s="20" t="str">
        <f t="shared" si="134"/>
        <v>El producto Peru Chef Snack Habas Saladas 100gr x 20 bolsas Se repite 3 veces en Peru Chef, Se repite 3 veces el precio de 30</v>
      </c>
      <c r="T605" s="20" t="str">
        <f t="shared" si="135"/>
        <v>Peru Chef</v>
      </c>
      <c r="U605" s="20" t="str">
        <f t="shared" si="136"/>
        <v>Peru Chef Snack Habas Saladas 100gr x 20 bolsas</v>
      </c>
      <c r="V605" s="22">
        <f t="shared" si="137"/>
        <v>30</v>
      </c>
      <c r="W605" t="str">
        <f t="shared" si="138"/>
        <v>Peru Chef 04/13/2025</v>
      </c>
      <c r="Z605">
        <f t="shared" si="139"/>
        <v>30</v>
      </c>
    </row>
    <row r="606" spans="1:26" hidden="1" x14ac:dyDescent="0.25">
      <c r="A606" s="2" t="s">
        <v>272</v>
      </c>
      <c r="B606" s="11" t="s">
        <v>444</v>
      </c>
      <c r="C606" s="11" t="s">
        <v>4</v>
      </c>
      <c r="D606" s="11" t="s">
        <v>445</v>
      </c>
      <c r="E606" s="11" t="s">
        <v>406</v>
      </c>
      <c r="F606" s="11" t="s">
        <v>407</v>
      </c>
      <c r="G606" s="12">
        <v>1</v>
      </c>
      <c r="H606" s="12">
        <v>30</v>
      </c>
      <c r="I606" s="12">
        <v>30</v>
      </c>
      <c r="J606" s="12">
        <v>9332.7000000000007</v>
      </c>
      <c r="K606" s="20">
        <f t="shared" si="126"/>
        <v>3</v>
      </c>
      <c r="L606" s="20" t="str">
        <f t="shared" si="127"/>
        <v>Se repite 3 veces</v>
      </c>
      <c r="M606" s="20" t="str">
        <f t="shared" si="128"/>
        <v>Peru Chef-Peru Chef Snack Habas Saladas 100gr x 20 bolsas</v>
      </c>
      <c r="N606" s="20">
        <f t="shared" si="129"/>
        <v>3</v>
      </c>
      <c r="O606" s="20" t="str">
        <f t="shared" si="130"/>
        <v>Se repite 3 veces en Peru Chef</v>
      </c>
      <c r="P606" s="20" t="str">
        <f t="shared" si="131"/>
        <v>Peru Chef-Peru Chef Snack Habas Saladas 100gr x 20 bolsas-30</v>
      </c>
      <c r="Q606" s="20">
        <f t="shared" si="132"/>
        <v>3</v>
      </c>
      <c r="R606" s="20" t="str">
        <f t="shared" si="133"/>
        <v>Se repite 3 veces el precio de 30</v>
      </c>
      <c r="S606" s="20" t="str">
        <f t="shared" si="134"/>
        <v>El producto Peru Chef Snack Habas Saladas 100gr x 20 bolsas Se repite 3 veces en Peru Chef, Se repite 3 veces el precio de 30</v>
      </c>
      <c r="T606" s="20" t="str">
        <f t="shared" si="135"/>
        <v>Peru Chef</v>
      </c>
      <c r="U606" s="20" t="str">
        <f t="shared" si="136"/>
        <v>Peru Chef Snack Habas Saladas 100gr x 20 bolsas</v>
      </c>
      <c r="V606" s="22">
        <f t="shared" si="137"/>
        <v>30</v>
      </c>
      <c r="W606" t="str">
        <f t="shared" si="138"/>
        <v>Peru Chef 04/24/2025</v>
      </c>
      <c r="Z606">
        <f t="shared" si="139"/>
        <v>30</v>
      </c>
    </row>
    <row r="607" spans="1:26" hidden="1" x14ac:dyDescent="0.25">
      <c r="A607" s="2" t="s">
        <v>272</v>
      </c>
      <c r="B607" s="11" t="s">
        <v>273</v>
      </c>
      <c r="C607" s="11" t="s">
        <v>4</v>
      </c>
      <c r="D607" s="11" t="s">
        <v>5</v>
      </c>
      <c r="E607" s="11" t="s">
        <v>300</v>
      </c>
      <c r="F607" s="11" t="s">
        <v>301</v>
      </c>
      <c r="G607" s="12">
        <v>1</v>
      </c>
      <c r="H607" s="12">
        <v>19.8</v>
      </c>
      <c r="I607" s="12">
        <v>19.8</v>
      </c>
      <c r="J607" s="12">
        <v>469.3</v>
      </c>
      <c r="K607" s="20">
        <f t="shared" si="126"/>
        <v>5</v>
      </c>
      <c r="L607" s="20" t="str">
        <f t="shared" si="127"/>
        <v>Se repite 5 veces</v>
      </c>
      <c r="M607" s="20" t="str">
        <f t="shared" si="128"/>
        <v>Peru Chef-Peru Chef Trigo Pelado 15 Oz X 12</v>
      </c>
      <c r="N607" s="20">
        <f t="shared" si="129"/>
        <v>5</v>
      </c>
      <c r="O607" s="20" t="str">
        <f t="shared" si="130"/>
        <v>Se repite 5 veces en Peru Chef</v>
      </c>
      <c r="P607" s="20" t="str">
        <f t="shared" si="131"/>
        <v>Peru Chef-Peru Chef Trigo Pelado 15 Oz X 12-19.8</v>
      </c>
      <c r="Q607" s="20">
        <f t="shared" si="132"/>
        <v>3</v>
      </c>
      <c r="R607" s="20" t="str">
        <f t="shared" si="133"/>
        <v>Se repite 3 veces el precio de 19.8</v>
      </c>
      <c r="S607" s="20" t="str">
        <f t="shared" si="134"/>
        <v>El producto Peru Chef Trigo Pelado 15 Oz X 12 Se repite 5 veces en Peru Chef, Se repite 3 veces el precio de 19.8</v>
      </c>
      <c r="T607" s="20" t="str">
        <f t="shared" si="135"/>
        <v>Peru Chef</v>
      </c>
      <c r="U607" s="20" t="str">
        <f t="shared" si="136"/>
        <v>Peru Chef Trigo Pelado 15 Oz X 12</v>
      </c>
      <c r="V607" s="22">
        <f t="shared" si="137"/>
        <v>19.8</v>
      </c>
      <c r="W607" t="str">
        <f t="shared" si="138"/>
        <v>Peru Chef 03/26/2025</v>
      </c>
      <c r="Z607">
        <f t="shared" si="139"/>
        <v>19.8</v>
      </c>
    </row>
    <row r="608" spans="1:26" hidden="1" x14ac:dyDescent="0.25">
      <c r="A608" s="2" t="s">
        <v>272</v>
      </c>
      <c r="B608" s="11" t="s">
        <v>398</v>
      </c>
      <c r="C608" s="11" t="s">
        <v>4</v>
      </c>
      <c r="D608" s="11" t="s">
        <v>399</v>
      </c>
      <c r="E608" s="11" t="s">
        <v>300</v>
      </c>
      <c r="F608" s="11" t="s">
        <v>301</v>
      </c>
      <c r="G608" s="12">
        <v>1</v>
      </c>
      <c r="H608" s="12">
        <v>19.8</v>
      </c>
      <c r="I608" s="12">
        <v>19.8</v>
      </c>
      <c r="J608" s="12">
        <v>2715.5</v>
      </c>
      <c r="K608" s="20">
        <f t="shared" si="126"/>
        <v>5</v>
      </c>
      <c r="L608" s="20" t="str">
        <f t="shared" si="127"/>
        <v>Se repite 5 veces</v>
      </c>
      <c r="M608" s="20" t="str">
        <f t="shared" si="128"/>
        <v>Peru Chef-Peru Chef Trigo Pelado 15 Oz X 12</v>
      </c>
      <c r="N608" s="20">
        <f t="shared" si="129"/>
        <v>5</v>
      </c>
      <c r="O608" s="20" t="str">
        <f t="shared" si="130"/>
        <v>Se repite 5 veces en Peru Chef</v>
      </c>
      <c r="P608" s="20" t="str">
        <f t="shared" si="131"/>
        <v>Peru Chef-Peru Chef Trigo Pelado 15 Oz X 12-19.8</v>
      </c>
      <c r="Q608" s="20">
        <f t="shared" si="132"/>
        <v>3</v>
      </c>
      <c r="R608" s="20" t="str">
        <f t="shared" si="133"/>
        <v>Se repite 3 veces el precio de 19.8</v>
      </c>
      <c r="S608" s="20" t="str">
        <f t="shared" si="134"/>
        <v>El producto Peru Chef Trigo Pelado 15 Oz X 12 Se repite 5 veces en Peru Chef, Se repite 3 veces el precio de 19.8</v>
      </c>
      <c r="T608" s="20" t="str">
        <f t="shared" si="135"/>
        <v>Peru Chef</v>
      </c>
      <c r="U608" s="20" t="str">
        <f t="shared" si="136"/>
        <v>Peru Chef Trigo Pelado 15 Oz X 12</v>
      </c>
      <c r="V608" s="22">
        <f t="shared" si="137"/>
        <v>19.8</v>
      </c>
      <c r="W608" t="str">
        <f t="shared" si="138"/>
        <v>Peru Chef 04/10/2025</v>
      </c>
      <c r="Z608">
        <f t="shared" si="139"/>
        <v>19.8</v>
      </c>
    </row>
    <row r="609" spans="1:26" hidden="1" x14ac:dyDescent="0.25">
      <c r="A609" s="2" t="s">
        <v>272</v>
      </c>
      <c r="B609" s="11" t="s">
        <v>444</v>
      </c>
      <c r="C609" s="11" t="s">
        <v>4</v>
      </c>
      <c r="D609" s="11" t="s">
        <v>445</v>
      </c>
      <c r="E609" s="11" t="s">
        <v>300</v>
      </c>
      <c r="F609" s="11" t="s">
        <v>455</v>
      </c>
      <c r="G609" s="12">
        <v>2</v>
      </c>
      <c r="H609" s="12">
        <v>19.8</v>
      </c>
      <c r="I609" s="12">
        <v>39.6</v>
      </c>
      <c r="J609" s="12">
        <v>7608.2000000000007</v>
      </c>
      <c r="K609" s="20">
        <f t="shared" si="126"/>
        <v>5</v>
      </c>
      <c r="L609" s="20" t="str">
        <f t="shared" si="127"/>
        <v>Se repite 5 veces</v>
      </c>
      <c r="M609" s="20" t="str">
        <f t="shared" si="128"/>
        <v>Peru Chef-Peru Chef Trigo Pelado 15 Oz X 12</v>
      </c>
      <c r="N609" s="20">
        <f t="shared" si="129"/>
        <v>5</v>
      </c>
      <c r="O609" s="20" t="str">
        <f t="shared" si="130"/>
        <v>Se repite 5 veces en Peru Chef</v>
      </c>
      <c r="P609" s="20" t="str">
        <f t="shared" si="131"/>
        <v>Peru Chef-Peru Chef Trigo Pelado 15 Oz X 12-19.8</v>
      </c>
      <c r="Q609" s="20">
        <f t="shared" si="132"/>
        <v>3</v>
      </c>
      <c r="R609" s="20" t="str">
        <f t="shared" si="133"/>
        <v>Se repite 3 veces el precio de 19.8</v>
      </c>
      <c r="S609" s="20" t="str">
        <f t="shared" si="134"/>
        <v>El producto Peru Chef Trigo Pelado 15 Oz X 12 Se repite 5 veces en Peru Chef, Se repite 3 veces el precio de 19.8</v>
      </c>
      <c r="T609" s="20" t="str">
        <f t="shared" si="135"/>
        <v>Peru Chef</v>
      </c>
      <c r="U609" s="20" t="str">
        <f t="shared" si="136"/>
        <v>Peru Chef Trigo Pelado 15 Oz X 12</v>
      </c>
      <c r="V609" s="22">
        <f t="shared" si="137"/>
        <v>19.8</v>
      </c>
      <c r="W609" t="str">
        <f t="shared" si="138"/>
        <v>Peru Chef 04/24/2025</v>
      </c>
      <c r="Z609">
        <f t="shared" si="139"/>
        <v>39.6</v>
      </c>
    </row>
    <row r="610" spans="1:26" hidden="1" x14ac:dyDescent="0.25">
      <c r="A610" s="2" t="s">
        <v>272</v>
      </c>
      <c r="B610" s="11" t="s">
        <v>471</v>
      </c>
      <c r="C610" s="11" t="s">
        <v>4</v>
      </c>
      <c r="D610" s="11" t="s">
        <v>472</v>
      </c>
      <c r="E610" s="11" t="s">
        <v>300</v>
      </c>
      <c r="F610" s="11" t="s">
        <v>455</v>
      </c>
      <c r="G610" s="12">
        <v>2</v>
      </c>
      <c r="H610" s="12">
        <v>21</v>
      </c>
      <c r="I610" s="12">
        <v>42</v>
      </c>
      <c r="J610" s="12">
        <v>12159.5</v>
      </c>
      <c r="K610" s="20">
        <f t="shared" si="126"/>
        <v>5</v>
      </c>
      <c r="L610" s="20" t="str">
        <f t="shared" si="127"/>
        <v>Se repite 5 veces</v>
      </c>
      <c r="M610" s="20" t="str">
        <f t="shared" si="128"/>
        <v>Peru Chef-Peru Chef Trigo Pelado 15 Oz X 12</v>
      </c>
      <c r="N610" s="20">
        <f t="shared" si="129"/>
        <v>5</v>
      </c>
      <c r="O610" s="20" t="str">
        <f t="shared" si="130"/>
        <v>Se repite 5 veces en Peru Chef</v>
      </c>
      <c r="P610" s="20" t="str">
        <f t="shared" si="131"/>
        <v>Peru Chef-Peru Chef Trigo Pelado 15 Oz X 12-21</v>
      </c>
      <c r="Q610" s="20">
        <f t="shared" si="132"/>
        <v>2</v>
      </c>
      <c r="R610" s="20" t="str">
        <f t="shared" si="133"/>
        <v>Se repite 2 veces el precio de 21</v>
      </c>
      <c r="S610" s="20" t="str">
        <f t="shared" si="134"/>
        <v>El producto Peru Chef Trigo Pelado 15 Oz X 12 Se repite 5 veces en Peru Chef, Se repite 2 veces el precio de 21</v>
      </c>
      <c r="T610" s="20" t="str">
        <f t="shared" si="135"/>
        <v>Peru Chef</v>
      </c>
      <c r="U610" s="20" t="str">
        <f t="shared" si="136"/>
        <v>Peru Chef Trigo Pelado 15 Oz X 12</v>
      </c>
      <c r="V610" s="22">
        <f t="shared" si="137"/>
        <v>21</v>
      </c>
      <c r="W610" t="str">
        <f t="shared" si="138"/>
        <v>Peru Chef 08/11/2025</v>
      </c>
      <c r="Z610">
        <f t="shared" si="139"/>
        <v>42</v>
      </c>
    </row>
    <row r="611" spans="1:26" hidden="1" x14ac:dyDescent="0.25">
      <c r="A611" s="2" t="s">
        <v>272</v>
      </c>
      <c r="B611" s="11" t="s">
        <v>512</v>
      </c>
      <c r="C611" s="11" t="s">
        <v>4</v>
      </c>
      <c r="D611" s="11" t="s">
        <v>513</v>
      </c>
      <c r="E611" s="11" t="s">
        <v>300</v>
      </c>
      <c r="F611" s="11" t="s">
        <v>455</v>
      </c>
      <c r="G611" s="12">
        <v>2</v>
      </c>
      <c r="H611" s="12">
        <v>21</v>
      </c>
      <c r="I611" s="12">
        <v>42</v>
      </c>
      <c r="J611" s="12">
        <v>16709.5</v>
      </c>
      <c r="K611" s="20">
        <f t="shared" si="126"/>
        <v>5</v>
      </c>
      <c r="L611" s="20" t="str">
        <f t="shared" si="127"/>
        <v>Se repite 5 veces</v>
      </c>
      <c r="M611" s="20" t="str">
        <f t="shared" si="128"/>
        <v>Peru Chef-Peru Chef Trigo Pelado 15 Oz X 12</v>
      </c>
      <c r="N611" s="20">
        <f t="shared" si="129"/>
        <v>5</v>
      </c>
      <c r="O611" s="20" t="str">
        <f t="shared" si="130"/>
        <v>Se repite 5 veces en Peru Chef</v>
      </c>
      <c r="P611" s="20" t="str">
        <f t="shared" si="131"/>
        <v>Peru Chef-Peru Chef Trigo Pelado 15 Oz X 12-21</v>
      </c>
      <c r="Q611" s="20">
        <f t="shared" si="132"/>
        <v>2</v>
      </c>
      <c r="R611" s="20" t="str">
        <f t="shared" si="133"/>
        <v>Se repite 2 veces el precio de 21</v>
      </c>
      <c r="S611" s="20" t="str">
        <f t="shared" si="134"/>
        <v>El producto Peru Chef Trigo Pelado 15 Oz X 12 Se repite 5 veces en Peru Chef, Se repite 2 veces el precio de 21</v>
      </c>
      <c r="T611" s="20" t="str">
        <f t="shared" si="135"/>
        <v>Peru Chef</v>
      </c>
      <c r="U611" s="20" t="str">
        <f t="shared" si="136"/>
        <v>Peru Chef Trigo Pelado 15 Oz X 12</v>
      </c>
      <c r="V611" s="22">
        <f t="shared" si="137"/>
        <v>21</v>
      </c>
      <c r="W611" t="str">
        <f t="shared" si="138"/>
        <v>Peru Chef 08/28/2025</v>
      </c>
      <c r="Z611">
        <f t="shared" si="139"/>
        <v>42</v>
      </c>
    </row>
    <row r="612" spans="1:26" hidden="1" x14ac:dyDescent="0.25">
      <c r="A612" s="2" t="s">
        <v>272</v>
      </c>
      <c r="B612" s="11" t="s">
        <v>273</v>
      </c>
      <c r="C612" s="11" t="s">
        <v>4</v>
      </c>
      <c r="D612" s="11" t="s">
        <v>5</v>
      </c>
      <c r="E612" s="11" t="s">
        <v>320</v>
      </c>
      <c r="F612" s="11" t="s">
        <v>321</v>
      </c>
      <c r="G612" s="12">
        <v>1</v>
      </c>
      <c r="H612" s="12">
        <v>24</v>
      </c>
      <c r="I612" s="12">
        <v>24</v>
      </c>
      <c r="J612" s="12">
        <v>725.3</v>
      </c>
      <c r="K612" s="20">
        <f t="shared" si="126"/>
        <v>2</v>
      </c>
      <c r="L612" s="20" t="str">
        <f t="shared" si="127"/>
        <v>Se repite 2 veces</v>
      </c>
      <c r="M612" s="20" t="str">
        <f t="shared" si="128"/>
        <v>Peru Chef-Peru Chef Tuco 70gr x 12</v>
      </c>
      <c r="N612" s="20">
        <f t="shared" si="129"/>
        <v>2</v>
      </c>
      <c r="O612" s="20" t="str">
        <f t="shared" si="130"/>
        <v>Se repite 2 veces en Peru Chef</v>
      </c>
      <c r="P612" s="20" t="str">
        <f t="shared" si="131"/>
        <v>Peru Chef-Peru Chef Tuco 70gr x 12-24</v>
      </c>
      <c r="Q612" s="20">
        <f t="shared" si="132"/>
        <v>2</v>
      </c>
      <c r="R612" s="20" t="str">
        <f t="shared" si="133"/>
        <v>Se repite 2 veces el precio de 24</v>
      </c>
      <c r="S612" s="20" t="str">
        <f t="shared" si="134"/>
        <v>El producto Peru Chef Tuco 70gr x 12 Se repite 2 veces en Peru Chef, Se repite 2 veces el precio de 24</v>
      </c>
      <c r="T612" s="20" t="str">
        <f t="shared" si="135"/>
        <v>Peru Chef</v>
      </c>
      <c r="U612" s="20" t="str">
        <f t="shared" si="136"/>
        <v>Peru Chef Tuco 70gr x 12</v>
      </c>
      <c r="V612" s="22">
        <f t="shared" si="137"/>
        <v>24</v>
      </c>
      <c r="W612" t="str">
        <f t="shared" si="138"/>
        <v>Peru Chef 03/26/2025</v>
      </c>
      <c r="Z612">
        <f t="shared" si="139"/>
        <v>24</v>
      </c>
    </row>
    <row r="613" spans="1:26" hidden="1" x14ac:dyDescent="0.25">
      <c r="A613" s="2" t="s">
        <v>272</v>
      </c>
      <c r="B613" s="11" t="s">
        <v>398</v>
      </c>
      <c r="C613" s="11" t="s">
        <v>4</v>
      </c>
      <c r="D613" s="11" t="s">
        <v>399</v>
      </c>
      <c r="E613" s="11" t="s">
        <v>320</v>
      </c>
      <c r="F613" s="11" t="s">
        <v>321</v>
      </c>
      <c r="G613" s="12">
        <v>1</v>
      </c>
      <c r="H613" s="12">
        <v>24</v>
      </c>
      <c r="I613" s="12">
        <v>24</v>
      </c>
      <c r="J613" s="12">
        <v>2971.5</v>
      </c>
      <c r="K613" s="20">
        <f t="shared" si="126"/>
        <v>2</v>
      </c>
      <c r="L613" s="20" t="str">
        <f t="shared" si="127"/>
        <v>Se repite 2 veces</v>
      </c>
      <c r="M613" s="20" t="str">
        <f t="shared" si="128"/>
        <v>Peru Chef-Peru Chef Tuco 70gr x 12</v>
      </c>
      <c r="N613" s="20">
        <f t="shared" si="129"/>
        <v>2</v>
      </c>
      <c r="O613" s="20" t="str">
        <f t="shared" si="130"/>
        <v>Se repite 2 veces en Peru Chef</v>
      </c>
      <c r="P613" s="20" t="str">
        <f t="shared" si="131"/>
        <v>Peru Chef-Peru Chef Tuco 70gr x 12-24</v>
      </c>
      <c r="Q613" s="20">
        <f t="shared" si="132"/>
        <v>2</v>
      </c>
      <c r="R613" s="20" t="str">
        <f t="shared" si="133"/>
        <v>Se repite 2 veces el precio de 24</v>
      </c>
      <c r="S613" s="20" t="str">
        <f t="shared" si="134"/>
        <v>El producto Peru Chef Tuco 70gr x 12 Se repite 2 veces en Peru Chef, Se repite 2 veces el precio de 24</v>
      </c>
      <c r="T613" s="20" t="str">
        <f t="shared" si="135"/>
        <v>Peru Chef</v>
      </c>
      <c r="U613" s="20" t="str">
        <f t="shared" si="136"/>
        <v>Peru Chef Tuco 70gr x 12</v>
      </c>
      <c r="V613" s="22">
        <f t="shared" si="137"/>
        <v>24</v>
      </c>
      <c r="W613" t="str">
        <f t="shared" si="138"/>
        <v>Peru Chef 04/10/2025</v>
      </c>
      <c r="Z613">
        <f t="shared" si="139"/>
        <v>24</v>
      </c>
    </row>
    <row r="614" spans="1:26" hidden="1" x14ac:dyDescent="0.25">
      <c r="A614" s="2" t="s">
        <v>272</v>
      </c>
      <c r="B614" s="11" t="s">
        <v>563</v>
      </c>
      <c r="C614" s="11" t="s">
        <v>4</v>
      </c>
      <c r="D614" s="11" t="s">
        <v>564</v>
      </c>
      <c r="E614" s="11" t="s">
        <v>567</v>
      </c>
      <c r="F614" s="11" t="s">
        <v>568</v>
      </c>
      <c r="G614" s="12">
        <v>60</v>
      </c>
      <c r="H614" s="12">
        <v>5.5</v>
      </c>
      <c r="I614" s="12">
        <v>330</v>
      </c>
      <c r="J614" s="12">
        <v>23092</v>
      </c>
      <c r="K614" s="20">
        <f t="shared" si="126"/>
        <v>2</v>
      </c>
      <c r="L614" s="20" t="str">
        <f t="shared" si="127"/>
        <v>Se repite 2 veces</v>
      </c>
      <c r="M614" s="20" t="str">
        <f t="shared" si="128"/>
        <v>Peru Chef-Peru Chef Turron De Doña Pepa 500gr</v>
      </c>
      <c r="N614" s="20">
        <f t="shared" si="129"/>
        <v>2</v>
      </c>
      <c r="O614" s="20" t="str">
        <f t="shared" si="130"/>
        <v>Se repite 2 veces en Peru Chef</v>
      </c>
      <c r="P614" s="20" t="str">
        <f t="shared" si="131"/>
        <v>Peru Chef-Peru Chef Turron De Doña Pepa 500gr-5.5</v>
      </c>
      <c r="Q614" s="20">
        <f t="shared" si="132"/>
        <v>1</v>
      </c>
      <c r="R614" s="20" t="str">
        <f t="shared" si="133"/>
        <v>No se repite</v>
      </c>
      <c r="S614" s="20" t="str">
        <f t="shared" si="134"/>
        <v>El producto Peru Chef Turron De Doña Pepa 500gr Se repite 2 veces en Peru Chef Una vez con el precio 5.5</v>
      </c>
      <c r="T614" s="20" t="str">
        <f t="shared" si="135"/>
        <v>Peru Chef</v>
      </c>
      <c r="U614" s="20" t="str">
        <f t="shared" si="136"/>
        <v>Peru Chef Turron De Doña Pepa 500gr</v>
      </c>
      <c r="V614" s="22">
        <f t="shared" si="137"/>
        <v>5.5</v>
      </c>
      <c r="W614" t="str">
        <f t="shared" si="138"/>
        <v>Peru Chef 09/11/2025</v>
      </c>
      <c r="Z614">
        <f t="shared" si="139"/>
        <v>330</v>
      </c>
    </row>
    <row r="615" spans="1:26" hidden="1" x14ac:dyDescent="0.25">
      <c r="A615" s="2" t="s">
        <v>272</v>
      </c>
      <c r="B615" s="11" t="s">
        <v>590</v>
      </c>
      <c r="C615" s="11" t="s">
        <v>4</v>
      </c>
      <c r="D615" s="11" t="s">
        <v>591</v>
      </c>
      <c r="E615" s="11" t="s">
        <v>567</v>
      </c>
      <c r="F615" s="11" t="s">
        <v>568</v>
      </c>
      <c r="G615" s="12">
        <v>120</v>
      </c>
      <c r="H615" s="12">
        <v>4.95</v>
      </c>
      <c r="I615" s="12">
        <v>594</v>
      </c>
      <c r="J615" s="12">
        <v>31886.5</v>
      </c>
      <c r="K615" s="20">
        <f t="shared" si="126"/>
        <v>2</v>
      </c>
      <c r="L615" s="20" t="str">
        <f t="shared" si="127"/>
        <v>Se repite 2 veces</v>
      </c>
      <c r="M615" s="20" t="str">
        <f t="shared" si="128"/>
        <v>Peru Chef-Peru Chef Turron De Doña Pepa 500gr</v>
      </c>
      <c r="N615" s="20">
        <f t="shared" si="129"/>
        <v>2</v>
      </c>
      <c r="O615" s="20" t="str">
        <f t="shared" si="130"/>
        <v>Se repite 2 veces en Peru Chef</v>
      </c>
      <c r="P615" s="20" t="str">
        <f t="shared" si="131"/>
        <v>Peru Chef-Peru Chef Turron De Doña Pepa 500gr-4.95</v>
      </c>
      <c r="Q615" s="20">
        <f t="shared" si="132"/>
        <v>1</v>
      </c>
      <c r="R615" s="20" t="str">
        <f t="shared" si="133"/>
        <v>No se repite</v>
      </c>
      <c r="S615" s="20" t="str">
        <f t="shared" si="134"/>
        <v>El producto Peru Chef Turron De Doña Pepa 500gr Se repite 2 veces en Peru Chef Una vez con el precio 4.95</v>
      </c>
      <c r="T615" s="20" t="str">
        <f t="shared" si="135"/>
        <v>Peru Chef</v>
      </c>
      <c r="U615" s="20" t="str">
        <f t="shared" si="136"/>
        <v>Peru Chef Turron De Doña Pepa 500gr</v>
      </c>
      <c r="V615" s="22">
        <f t="shared" si="137"/>
        <v>4.95</v>
      </c>
      <c r="W615" t="str">
        <f t="shared" si="138"/>
        <v>Peru Chef 10/28/2025</v>
      </c>
      <c r="Z615">
        <f t="shared" si="139"/>
        <v>594</v>
      </c>
    </row>
    <row r="616" spans="1:26" hidden="1" x14ac:dyDescent="0.25">
      <c r="A616" s="2" t="s">
        <v>272</v>
      </c>
      <c r="B616" s="11" t="s">
        <v>273</v>
      </c>
      <c r="C616" s="11" t="s">
        <v>4</v>
      </c>
      <c r="D616" s="11" t="s">
        <v>5</v>
      </c>
      <c r="E616" s="11" t="s">
        <v>396</v>
      </c>
      <c r="F616" s="11" t="s">
        <v>397</v>
      </c>
      <c r="G616" s="12">
        <v>1</v>
      </c>
      <c r="H616" s="12">
        <v>72</v>
      </c>
      <c r="I616" s="12">
        <v>72</v>
      </c>
      <c r="J616" s="12">
        <v>2308.6999999999998</v>
      </c>
      <c r="K616" s="20">
        <f t="shared" si="126"/>
        <v>2</v>
      </c>
      <c r="L616" s="20" t="str">
        <f t="shared" si="127"/>
        <v>Se repite 2 veces</v>
      </c>
      <c r="M616" s="20" t="str">
        <f t="shared" si="128"/>
        <v>Peru Chef-Peru Chef Yuca Amarilla 1.5Lb x 18 bolsas</v>
      </c>
      <c r="N616" s="20">
        <f t="shared" si="129"/>
        <v>2</v>
      </c>
      <c r="O616" s="20" t="str">
        <f t="shared" si="130"/>
        <v>Se repite 2 veces en Peru Chef</v>
      </c>
      <c r="P616" s="20" t="str">
        <f t="shared" si="131"/>
        <v>Peru Chef-Peru Chef Yuca Amarilla 1.5Lb x 18 bolsas-72</v>
      </c>
      <c r="Q616" s="20">
        <f t="shared" si="132"/>
        <v>2</v>
      </c>
      <c r="R616" s="20" t="str">
        <f t="shared" si="133"/>
        <v>Se repite 2 veces el precio de 72</v>
      </c>
      <c r="S616" s="20" t="str">
        <f t="shared" si="134"/>
        <v>El producto Peru Chef Yuca Amarilla 1.5Lb x 18 bolsas Se repite 2 veces en Peru Chef, Se repite 2 veces el precio de 72</v>
      </c>
      <c r="T616" s="20" t="str">
        <f t="shared" si="135"/>
        <v>Peru Chef</v>
      </c>
      <c r="U616" s="20" t="str">
        <f t="shared" si="136"/>
        <v>Peru Chef Yuca Amarilla 1.5Lb x 18 bolsas</v>
      </c>
      <c r="V616" s="22">
        <f t="shared" si="137"/>
        <v>72</v>
      </c>
      <c r="W616" t="str">
        <f t="shared" si="138"/>
        <v>Peru Chef 03/26/2025</v>
      </c>
      <c r="Z616">
        <f t="shared" si="139"/>
        <v>72</v>
      </c>
    </row>
    <row r="617" spans="1:26" hidden="1" x14ac:dyDescent="0.25">
      <c r="A617" s="2" t="s">
        <v>272</v>
      </c>
      <c r="B617" s="11" t="s">
        <v>398</v>
      </c>
      <c r="C617" s="11" t="s">
        <v>4</v>
      </c>
      <c r="D617" s="11" t="s">
        <v>399</v>
      </c>
      <c r="E617" s="11" t="s">
        <v>396</v>
      </c>
      <c r="F617" s="11" t="s">
        <v>397</v>
      </c>
      <c r="G617" s="12">
        <v>1</v>
      </c>
      <c r="H617" s="12">
        <v>72</v>
      </c>
      <c r="I617" s="12">
        <v>72</v>
      </c>
      <c r="J617" s="12">
        <v>4334.5</v>
      </c>
      <c r="K617" s="20">
        <f t="shared" si="126"/>
        <v>2</v>
      </c>
      <c r="L617" s="20" t="str">
        <f t="shared" si="127"/>
        <v>Se repite 2 veces</v>
      </c>
      <c r="M617" s="20" t="str">
        <f t="shared" si="128"/>
        <v>Peru Chef-Peru Chef Yuca Amarilla 1.5Lb x 18 bolsas</v>
      </c>
      <c r="N617" s="20">
        <f t="shared" si="129"/>
        <v>2</v>
      </c>
      <c r="O617" s="20" t="str">
        <f t="shared" si="130"/>
        <v>Se repite 2 veces en Peru Chef</v>
      </c>
      <c r="P617" s="20" t="str">
        <f t="shared" si="131"/>
        <v>Peru Chef-Peru Chef Yuca Amarilla 1.5Lb x 18 bolsas-72</v>
      </c>
      <c r="Q617" s="20">
        <f t="shared" si="132"/>
        <v>2</v>
      </c>
      <c r="R617" s="20" t="str">
        <f t="shared" si="133"/>
        <v>Se repite 2 veces el precio de 72</v>
      </c>
      <c r="S617" s="20" t="str">
        <f t="shared" si="134"/>
        <v>El producto Peru Chef Yuca Amarilla 1.5Lb x 18 bolsas Se repite 2 veces en Peru Chef, Se repite 2 veces el precio de 72</v>
      </c>
      <c r="T617" s="20" t="str">
        <f t="shared" si="135"/>
        <v>Peru Chef</v>
      </c>
      <c r="U617" s="20" t="str">
        <f t="shared" si="136"/>
        <v>Peru Chef Yuca Amarilla 1.5Lb x 18 bolsas</v>
      </c>
      <c r="V617" s="22">
        <f t="shared" si="137"/>
        <v>72</v>
      </c>
      <c r="W617" t="str">
        <f t="shared" si="138"/>
        <v>Peru Chef 04/10/2025</v>
      </c>
      <c r="Z617">
        <f t="shared" si="139"/>
        <v>72</v>
      </c>
    </row>
    <row r="618" spans="1:26" hidden="1" x14ac:dyDescent="0.25">
      <c r="A618" s="2" t="s">
        <v>272</v>
      </c>
      <c r="B618" s="11" t="s">
        <v>600</v>
      </c>
      <c r="C618" s="11" t="s">
        <v>4</v>
      </c>
      <c r="D618" s="11" t="s">
        <v>601</v>
      </c>
      <c r="E618" s="11" t="s">
        <v>603</v>
      </c>
      <c r="F618" s="11" t="s">
        <v>603</v>
      </c>
      <c r="G618" s="12">
        <v>20</v>
      </c>
      <c r="H618" s="12">
        <v>5.625</v>
      </c>
      <c r="I618" s="12">
        <v>112.5</v>
      </c>
      <c r="J618" s="12">
        <v>34821.85</v>
      </c>
      <c r="K618" s="20">
        <f t="shared" si="126"/>
        <v>2</v>
      </c>
      <c r="L618" s="20" t="str">
        <f t="shared" si="127"/>
        <v>Se repite 2 veces</v>
      </c>
      <c r="M618" s="20" t="str">
        <f t="shared" si="128"/>
        <v>Peru Chef-Peru Chef Zapallo Loche 1Lb</v>
      </c>
      <c r="N618" s="20">
        <f t="shared" si="129"/>
        <v>2</v>
      </c>
      <c r="O618" s="20" t="str">
        <f t="shared" si="130"/>
        <v>Se repite 2 veces en Peru Chef</v>
      </c>
      <c r="P618" s="20" t="str">
        <f t="shared" si="131"/>
        <v>Peru Chef-Peru Chef Zapallo Loche 1Lb-5.625</v>
      </c>
      <c r="Q618" s="20">
        <f t="shared" si="132"/>
        <v>2</v>
      </c>
      <c r="R618" s="20" t="str">
        <f t="shared" si="133"/>
        <v>Se repite 2 veces el precio de 5.625</v>
      </c>
      <c r="S618" s="20" t="str">
        <f t="shared" si="134"/>
        <v>El producto Peru Chef Zapallo Loche 1Lb Se repite 2 veces en Peru Chef, Se repite 2 veces el precio de 5.625</v>
      </c>
      <c r="T618" s="20" t="str">
        <f t="shared" si="135"/>
        <v>Peru Chef</v>
      </c>
      <c r="U618" s="20" t="str">
        <f t="shared" si="136"/>
        <v>Peru Chef Zapallo Loche 1Lb</v>
      </c>
      <c r="V618" s="22">
        <f t="shared" si="137"/>
        <v>5.625</v>
      </c>
      <c r="W618" t="str">
        <f t="shared" si="138"/>
        <v>Peru Chef 11/14/2025</v>
      </c>
      <c r="Z618">
        <f t="shared" si="139"/>
        <v>112.5</v>
      </c>
    </row>
    <row r="619" spans="1:26" hidden="1" x14ac:dyDescent="0.25">
      <c r="A619" s="2" t="s">
        <v>272</v>
      </c>
      <c r="B619" s="11" t="s">
        <v>619</v>
      </c>
      <c r="C619" s="11" t="s">
        <v>4</v>
      </c>
      <c r="D619" s="11" t="s">
        <v>621</v>
      </c>
      <c r="E619" s="11" t="s">
        <v>603</v>
      </c>
      <c r="F619" s="11" t="s">
        <v>603</v>
      </c>
      <c r="G619" s="12">
        <v>140</v>
      </c>
      <c r="H619" s="12">
        <v>5.625</v>
      </c>
      <c r="I619" s="12">
        <v>787.5</v>
      </c>
      <c r="J619" s="12">
        <v>41410.75</v>
      </c>
      <c r="K619" s="20">
        <f t="shared" si="126"/>
        <v>2</v>
      </c>
      <c r="L619" s="20" t="str">
        <f t="shared" si="127"/>
        <v>Se repite 2 veces</v>
      </c>
      <c r="M619" s="20" t="str">
        <f t="shared" si="128"/>
        <v>Peru Chef-Peru Chef Zapallo Loche 1Lb</v>
      </c>
      <c r="N619" s="20">
        <f t="shared" si="129"/>
        <v>2</v>
      </c>
      <c r="O619" s="20" t="str">
        <f t="shared" si="130"/>
        <v>Se repite 2 veces en Peru Chef</v>
      </c>
      <c r="P619" s="20" t="str">
        <f t="shared" si="131"/>
        <v>Peru Chef-Peru Chef Zapallo Loche 1Lb-5.625</v>
      </c>
      <c r="Q619" s="20">
        <f t="shared" si="132"/>
        <v>2</v>
      </c>
      <c r="R619" s="20" t="str">
        <f t="shared" si="133"/>
        <v>Se repite 2 veces el precio de 5.625</v>
      </c>
      <c r="S619" s="20" t="str">
        <f t="shared" si="134"/>
        <v>El producto Peru Chef Zapallo Loche 1Lb Se repite 2 veces en Peru Chef, Se repite 2 veces el precio de 5.625</v>
      </c>
      <c r="T619" s="20" t="str">
        <f t="shared" si="135"/>
        <v>Peru Chef</v>
      </c>
      <c r="U619" s="20" t="str">
        <f t="shared" si="136"/>
        <v>Peru Chef Zapallo Loche 1Lb</v>
      </c>
      <c r="V619" s="22">
        <f t="shared" si="137"/>
        <v>5.625</v>
      </c>
      <c r="W619" t="str">
        <f t="shared" si="138"/>
        <v>Peru Chef 12/09/2025</v>
      </c>
      <c r="Z619">
        <f t="shared" si="139"/>
        <v>787.5</v>
      </c>
    </row>
    <row r="620" spans="1:26" hidden="1" x14ac:dyDescent="0.25">
      <c r="A620" s="2" t="s">
        <v>18</v>
      </c>
      <c r="B620" s="11" t="s">
        <v>19</v>
      </c>
      <c r="C620" s="11" t="s">
        <v>4</v>
      </c>
      <c r="D620" s="11" t="s">
        <v>20</v>
      </c>
      <c r="E620" s="11" t="s">
        <v>116</v>
      </c>
      <c r="F620" s="11" t="s">
        <v>117</v>
      </c>
      <c r="G620" s="12">
        <v>1</v>
      </c>
      <c r="H620" s="12">
        <v>19.690000000000001</v>
      </c>
      <c r="I620" s="12">
        <v>19.690000000000001</v>
      </c>
      <c r="J620" s="12">
        <v>4830.99</v>
      </c>
      <c r="K620" s="20">
        <f t="shared" si="126"/>
        <v>2</v>
      </c>
      <c r="L620" s="20" t="str">
        <f t="shared" si="127"/>
        <v>Se repite 2 veces</v>
      </c>
      <c r="M620" s="20" t="str">
        <f t="shared" si="128"/>
        <v>Belmont International Trading Corp-Provenzal Aji De Gallina 100gr x 10</v>
      </c>
      <c r="N620" s="20">
        <f t="shared" si="129"/>
        <v>2</v>
      </c>
      <c r="O620" s="20" t="str">
        <f t="shared" si="130"/>
        <v>Se repite 2 veces en Belmont International Trading Corp</v>
      </c>
      <c r="P620" s="20" t="str">
        <f t="shared" si="131"/>
        <v>Belmont International Trading Corp-Provenzal Aji De Gallina 100gr x 10-19.69</v>
      </c>
      <c r="Q620" s="20">
        <f t="shared" si="132"/>
        <v>1</v>
      </c>
      <c r="R620" s="20" t="str">
        <f t="shared" si="133"/>
        <v>No se repite</v>
      </c>
      <c r="S620" s="20" t="str">
        <f t="shared" si="134"/>
        <v>El producto Provenzal Aji De Gallina 100gr x 10 Se repite 2 veces en Belmont International Trading Corp Una vez con el precio 19.69</v>
      </c>
      <c r="T620" s="20" t="str">
        <f t="shared" si="135"/>
        <v>Belmont International Trading Corp</v>
      </c>
      <c r="U620" s="20" t="str">
        <f t="shared" si="136"/>
        <v>Provenzal Aji De Gallina 100gr x 10</v>
      </c>
      <c r="V620" s="22">
        <f t="shared" si="137"/>
        <v>19.690000000000001</v>
      </c>
      <c r="W620" t="str">
        <f t="shared" si="138"/>
        <v>Belmont International Trading Corp 04/28/2025</v>
      </c>
      <c r="Z620">
        <f t="shared" si="139"/>
        <v>19.690000000000001</v>
      </c>
    </row>
    <row r="621" spans="1:26" hidden="1" x14ac:dyDescent="0.25">
      <c r="A621" s="2" t="s">
        <v>18</v>
      </c>
      <c r="B621" s="11" t="s">
        <v>177</v>
      </c>
      <c r="C621" s="11" t="s">
        <v>4</v>
      </c>
      <c r="D621" s="11" t="s">
        <v>178</v>
      </c>
      <c r="E621" s="11" t="s">
        <v>116</v>
      </c>
      <c r="F621" s="11" t="s">
        <v>196</v>
      </c>
      <c r="G621" s="12">
        <v>2</v>
      </c>
      <c r="H621" s="12">
        <v>21.9</v>
      </c>
      <c r="I621" s="12">
        <v>43.8</v>
      </c>
      <c r="J621" s="12">
        <v>20618.54</v>
      </c>
      <c r="K621" s="20">
        <f t="shared" si="126"/>
        <v>2</v>
      </c>
      <c r="L621" s="20" t="str">
        <f t="shared" si="127"/>
        <v>Se repite 2 veces</v>
      </c>
      <c r="M621" s="20" t="str">
        <f t="shared" si="128"/>
        <v>Belmont International Trading Corp-Provenzal Aji De Gallina 100gr x 10</v>
      </c>
      <c r="N621" s="20">
        <f t="shared" si="129"/>
        <v>2</v>
      </c>
      <c r="O621" s="20" t="str">
        <f t="shared" si="130"/>
        <v>Se repite 2 veces en Belmont International Trading Corp</v>
      </c>
      <c r="P621" s="20" t="str">
        <f t="shared" si="131"/>
        <v>Belmont International Trading Corp-Provenzal Aji De Gallina 100gr x 10-21.9</v>
      </c>
      <c r="Q621" s="20">
        <f t="shared" si="132"/>
        <v>1</v>
      </c>
      <c r="R621" s="20" t="str">
        <f t="shared" si="133"/>
        <v>No se repite</v>
      </c>
      <c r="S621" s="20" t="str">
        <f t="shared" si="134"/>
        <v>El producto Provenzal Aji De Gallina 100gr x 10 Se repite 2 veces en Belmont International Trading Corp Una vez con el precio 21.9</v>
      </c>
      <c r="T621" s="20" t="str">
        <f t="shared" si="135"/>
        <v>Belmont International Trading Corp</v>
      </c>
      <c r="U621" s="20" t="str">
        <f t="shared" si="136"/>
        <v>Provenzal Aji De Gallina 100gr x 10</v>
      </c>
      <c r="V621" s="22">
        <f t="shared" si="137"/>
        <v>21.9</v>
      </c>
      <c r="W621" t="str">
        <f t="shared" si="138"/>
        <v>Belmont International Trading Corp 10/20/2025</v>
      </c>
      <c r="Z621">
        <f t="shared" si="139"/>
        <v>43.8</v>
      </c>
    </row>
    <row r="622" spans="1:26" hidden="1" x14ac:dyDescent="0.25">
      <c r="A622" s="2" t="s">
        <v>18</v>
      </c>
      <c r="B622" s="11" t="s">
        <v>19</v>
      </c>
      <c r="C622" s="11" t="s">
        <v>4</v>
      </c>
      <c r="D622" s="11" t="s">
        <v>20</v>
      </c>
      <c r="E622" s="11" t="s">
        <v>118</v>
      </c>
      <c r="F622" s="11" t="s">
        <v>119</v>
      </c>
      <c r="G622" s="12">
        <v>1</v>
      </c>
      <c r="H622" s="12">
        <v>23.63</v>
      </c>
      <c r="I622" s="12">
        <v>23.63</v>
      </c>
      <c r="J622" s="12">
        <v>4854.62</v>
      </c>
      <c r="K622" s="20">
        <f t="shared" si="126"/>
        <v>2</v>
      </c>
      <c r="L622" s="20" t="str">
        <f t="shared" si="127"/>
        <v>Se repite 2 veces</v>
      </c>
      <c r="M622" s="20" t="str">
        <f t="shared" si="128"/>
        <v>Belmont International Trading Corp-Provenzal Arroz Con Pollo/Seco/Aguadito 58 gr x 10</v>
      </c>
      <c r="N622" s="20">
        <f t="shared" si="129"/>
        <v>2</v>
      </c>
      <c r="O622" s="20" t="str">
        <f t="shared" si="130"/>
        <v>Se repite 2 veces en Belmont International Trading Corp</v>
      </c>
      <c r="P622" s="20" t="str">
        <f t="shared" si="131"/>
        <v>Belmont International Trading Corp-Provenzal Arroz Con Pollo/Seco/Aguadito 58 gr x 10-23.63</v>
      </c>
      <c r="Q622" s="20">
        <f t="shared" si="132"/>
        <v>1</v>
      </c>
      <c r="R622" s="20" t="str">
        <f t="shared" si="133"/>
        <v>No se repite</v>
      </c>
      <c r="S622" s="20" t="str">
        <f t="shared" si="134"/>
        <v>El producto Provenzal Arroz Con Pollo/Seco/Aguadito 58 gr x 10 Se repite 2 veces en Belmont International Trading Corp Una vez con el precio 23.63</v>
      </c>
      <c r="T622" s="20" t="str">
        <f t="shared" si="135"/>
        <v>Belmont International Trading Corp</v>
      </c>
      <c r="U622" s="20" t="str">
        <f t="shared" si="136"/>
        <v>Provenzal Arroz Con Pollo/Seco/Aguadito 58 gr x 10</v>
      </c>
      <c r="V622" s="22">
        <f t="shared" si="137"/>
        <v>23.63</v>
      </c>
      <c r="W622" t="str">
        <f t="shared" si="138"/>
        <v>Belmont International Trading Corp 04/28/2025</v>
      </c>
      <c r="Z622">
        <f t="shared" si="139"/>
        <v>23.63</v>
      </c>
    </row>
    <row r="623" spans="1:26" hidden="1" x14ac:dyDescent="0.25">
      <c r="A623" s="2" t="s">
        <v>18</v>
      </c>
      <c r="B623" s="11" t="s">
        <v>177</v>
      </c>
      <c r="C623" s="11" t="s">
        <v>4</v>
      </c>
      <c r="D623" s="11" t="s">
        <v>178</v>
      </c>
      <c r="E623" s="11" t="s">
        <v>118</v>
      </c>
      <c r="F623" s="11" t="s">
        <v>119</v>
      </c>
      <c r="G623" s="12">
        <v>2</v>
      </c>
      <c r="H623" s="12">
        <v>25.9</v>
      </c>
      <c r="I623" s="12">
        <v>51.8</v>
      </c>
      <c r="J623" s="12">
        <v>20670.34</v>
      </c>
      <c r="K623" s="20">
        <f t="shared" si="126"/>
        <v>2</v>
      </c>
      <c r="L623" s="20" t="str">
        <f t="shared" si="127"/>
        <v>Se repite 2 veces</v>
      </c>
      <c r="M623" s="20" t="str">
        <f t="shared" si="128"/>
        <v>Belmont International Trading Corp-Provenzal Arroz Con Pollo/Seco/Aguadito 58 gr x 10</v>
      </c>
      <c r="N623" s="20">
        <f t="shared" si="129"/>
        <v>2</v>
      </c>
      <c r="O623" s="20" t="str">
        <f t="shared" si="130"/>
        <v>Se repite 2 veces en Belmont International Trading Corp</v>
      </c>
      <c r="P623" s="20" t="str">
        <f t="shared" si="131"/>
        <v>Belmont International Trading Corp-Provenzal Arroz Con Pollo/Seco/Aguadito 58 gr x 10-25.9</v>
      </c>
      <c r="Q623" s="20">
        <f t="shared" si="132"/>
        <v>1</v>
      </c>
      <c r="R623" s="20" t="str">
        <f t="shared" si="133"/>
        <v>No se repite</v>
      </c>
      <c r="S623" s="20" t="str">
        <f t="shared" si="134"/>
        <v>El producto Provenzal Arroz Con Pollo/Seco/Aguadito 58 gr x 10 Se repite 2 veces en Belmont International Trading Corp Una vez con el precio 25.9</v>
      </c>
      <c r="T623" s="20" t="str">
        <f t="shared" si="135"/>
        <v>Belmont International Trading Corp</v>
      </c>
      <c r="U623" s="20" t="str">
        <f t="shared" si="136"/>
        <v>Provenzal Arroz Con Pollo/Seco/Aguadito 58 gr x 10</v>
      </c>
      <c r="V623" s="22">
        <f t="shared" si="137"/>
        <v>25.9</v>
      </c>
      <c r="W623" t="str">
        <f t="shared" si="138"/>
        <v>Belmont International Trading Corp 10/20/2025</v>
      </c>
      <c r="Z623">
        <f t="shared" si="139"/>
        <v>51.8</v>
      </c>
    </row>
    <row r="624" spans="1:26" hidden="1" x14ac:dyDescent="0.25">
      <c r="A624" s="2" t="s">
        <v>18</v>
      </c>
      <c r="B624" s="11" t="s">
        <v>19</v>
      </c>
      <c r="C624" s="11" t="s">
        <v>4</v>
      </c>
      <c r="D624" s="11" t="s">
        <v>20</v>
      </c>
      <c r="E624" s="11" t="s">
        <v>120</v>
      </c>
      <c r="F624" s="11" t="s">
        <v>121</v>
      </c>
      <c r="G624" s="12">
        <v>1</v>
      </c>
      <c r="H624" s="12">
        <v>12.5</v>
      </c>
      <c r="I624" s="12">
        <v>12.5</v>
      </c>
      <c r="J624" s="12">
        <v>4867.12</v>
      </c>
      <c r="K624" s="20">
        <f t="shared" si="126"/>
        <v>3</v>
      </c>
      <c r="L624" s="20" t="str">
        <f t="shared" si="127"/>
        <v>Se repite 3 veces</v>
      </c>
      <c r="M624" s="20" t="str">
        <f t="shared" si="128"/>
        <v>Belmont International Trading Corp-Provenzal Carapulcra 150gr x 6</v>
      </c>
      <c r="N624" s="20">
        <f t="shared" si="129"/>
        <v>2</v>
      </c>
      <c r="O624" s="20" t="str">
        <f t="shared" si="130"/>
        <v>Se repite 2 veces en Belmont International Trading Corp</v>
      </c>
      <c r="P624" s="20" t="str">
        <f t="shared" si="131"/>
        <v>Belmont International Trading Corp-Provenzal Carapulcra 150gr x 6-12.5</v>
      </c>
      <c r="Q624" s="20">
        <f t="shared" si="132"/>
        <v>1</v>
      </c>
      <c r="R624" s="20" t="str">
        <f t="shared" si="133"/>
        <v>No se repite</v>
      </c>
      <c r="S624" s="20" t="str">
        <f t="shared" si="134"/>
        <v>El producto Provenzal Carapulcra 150gr x 6 Se repite 2 veces en Belmont International Trading Corp Una vez con el precio 12.5</v>
      </c>
      <c r="T624" s="20" t="str">
        <f t="shared" si="135"/>
        <v>Belmont International Trading Corp</v>
      </c>
      <c r="U624" s="20" t="str">
        <f t="shared" si="136"/>
        <v>Provenzal Carapulcra 150gr x 6</v>
      </c>
      <c r="V624" s="22">
        <f t="shared" si="137"/>
        <v>12.5</v>
      </c>
      <c r="W624" t="str">
        <f t="shared" si="138"/>
        <v>Belmont International Trading Corp 04/28/2025</v>
      </c>
      <c r="Z624">
        <f t="shared" si="139"/>
        <v>12.5</v>
      </c>
    </row>
    <row r="625" spans="1:26" hidden="1" x14ac:dyDescent="0.25">
      <c r="A625" s="2" t="s">
        <v>18</v>
      </c>
      <c r="B625" s="11" t="s">
        <v>177</v>
      </c>
      <c r="C625" s="11" t="s">
        <v>4</v>
      </c>
      <c r="D625" s="11" t="s">
        <v>178</v>
      </c>
      <c r="E625" s="11" t="s">
        <v>120</v>
      </c>
      <c r="F625" s="11" t="s">
        <v>121</v>
      </c>
      <c r="G625" s="12">
        <v>1</v>
      </c>
      <c r="H625" s="12">
        <v>13.9</v>
      </c>
      <c r="I625" s="12">
        <v>13.9</v>
      </c>
      <c r="J625" s="12">
        <v>20684.240000000002</v>
      </c>
      <c r="K625" s="20">
        <f t="shared" si="126"/>
        <v>3</v>
      </c>
      <c r="L625" s="20" t="str">
        <f t="shared" si="127"/>
        <v>Se repite 3 veces</v>
      </c>
      <c r="M625" s="20" t="str">
        <f t="shared" si="128"/>
        <v>Belmont International Trading Corp-Provenzal Carapulcra 150gr x 6</v>
      </c>
      <c r="N625" s="20">
        <f t="shared" si="129"/>
        <v>2</v>
      </c>
      <c r="O625" s="20" t="str">
        <f t="shared" si="130"/>
        <v>Se repite 2 veces en Belmont International Trading Corp</v>
      </c>
      <c r="P625" s="20" t="str">
        <f t="shared" si="131"/>
        <v>Belmont International Trading Corp-Provenzal Carapulcra 150gr x 6-13.9</v>
      </c>
      <c r="Q625" s="20">
        <f t="shared" si="132"/>
        <v>1</v>
      </c>
      <c r="R625" s="20" t="str">
        <f t="shared" si="133"/>
        <v>No se repite</v>
      </c>
      <c r="S625" s="20" t="str">
        <f t="shared" si="134"/>
        <v>El producto Provenzal Carapulcra 150gr x 6 Se repite 2 veces en Belmont International Trading Corp Una vez con el precio 13.9</v>
      </c>
      <c r="T625" s="20" t="str">
        <f t="shared" si="135"/>
        <v>Belmont International Trading Corp</v>
      </c>
      <c r="U625" s="20" t="str">
        <f t="shared" si="136"/>
        <v>Provenzal Carapulcra 150gr x 6</v>
      </c>
      <c r="V625" s="22">
        <f t="shared" si="137"/>
        <v>13.9</v>
      </c>
      <c r="W625" t="str">
        <f t="shared" si="138"/>
        <v>Belmont International Trading Corp 10/20/2025</v>
      </c>
      <c r="Z625">
        <f t="shared" si="139"/>
        <v>13.9</v>
      </c>
    </row>
    <row r="626" spans="1:26" hidden="1" x14ac:dyDescent="0.25">
      <c r="A626" s="2" t="s">
        <v>272</v>
      </c>
      <c r="B626" s="11" t="s">
        <v>563</v>
      </c>
      <c r="C626" s="11" t="s">
        <v>4</v>
      </c>
      <c r="D626" s="11" t="s">
        <v>564</v>
      </c>
      <c r="E626" s="11" t="s">
        <v>120</v>
      </c>
      <c r="F626" s="11" t="s">
        <v>121</v>
      </c>
      <c r="G626" s="12">
        <v>3</v>
      </c>
      <c r="H626" s="12">
        <v>18</v>
      </c>
      <c r="I626" s="12">
        <v>54</v>
      </c>
      <c r="J626" s="12">
        <v>21905</v>
      </c>
      <c r="K626" s="20">
        <f t="shared" si="126"/>
        <v>3</v>
      </c>
      <c r="L626" s="20" t="str">
        <f t="shared" si="127"/>
        <v>Se repite 3 veces</v>
      </c>
      <c r="M626" s="20" t="str">
        <f t="shared" si="128"/>
        <v>Peru Chef-Provenzal Carapulcra 150gr x 6</v>
      </c>
      <c r="N626" s="20">
        <f t="shared" si="129"/>
        <v>1</v>
      </c>
      <c r="O626" s="20" t="str">
        <f t="shared" si="130"/>
        <v>No se repite en proveedor</v>
      </c>
      <c r="P626" s="20" t="str">
        <f t="shared" si="131"/>
        <v>Peru Chef-Provenzal Carapulcra 150gr x 6-18</v>
      </c>
      <c r="Q626" s="20">
        <f t="shared" si="132"/>
        <v>1</v>
      </c>
      <c r="R626" s="20" t="str">
        <f t="shared" si="133"/>
        <v>No se repite</v>
      </c>
      <c r="S626" s="20" t="str">
        <f t="shared" si="134"/>
        <v>El producto Provenzal Carapulcra 150gr x 6 No se repite en proveedor Una vez con el precio 18</v>
      </c>
      <c r="T626" s="20" t="str">
        <f t="shared" si="135"/>
        <v>Peru Chef</v>
      </c>
      <c r="U626" s="20" t="str">
        <f t="shared" si="136"/>
        <v>Provenzal Carapulcra 150gr x 6</v>
      </c>
      <c r="V626" s="22">
        <f t="shared" si="137"/>
        <v>18</v>
      </c>
      <c r="W626" t="str">
        <f t="shared" si="138"/>
        <v>Peru Chef 09/11/2025</v>
      </c>
      <c r="Z626">
        <f t="shared" si="139"/>
        <v>54</v>
      </c>
    </row>
    <row r="627" spans="1:26" hidden="1" x14ac:dyDescent="0.25">
      <c r="A627" s="2" t="s">
        <v>18</v>
      </c>
      <c r="B627" s="11" t="s">
        <v>19</v>
      </c>
      <c r="C627" s="11" t="s">
        <v>4</v>
      </c>
      <c r="D627" s="11" t="s">
        <v>20</v>
      </c>
      <c r="E627" s="11" t="s">
        <v>122</v>
      </c>
      <c r="F627" s="11" t="s">
        <v>123</v>
      </c>
      <c r="G627" s="12">
        <v>1</v>
      </c>
      <c r="H627" s="12">
        <v>23.63</v>
      </c>
      <c r="I627" s="12">
        <v>23.63</v>
      </c>
      <c r="J627" s="12">
        <v>4890.75</v>
      </c>
      <c r="K627" s="20">
        <f t="shared" si="126"/>
        <v>5</v>
      </c>
      <c r="L627" s="20" t="str">
        <f t="shared" si="127"/>
        <v>Se repite 5 veces</v>
      </c>
      <c r="M627" s="20" t="str">
        <f t="shared" si="128"/>
        <v>Belmont International Trading Corp-Provenzal Cau Cau 60gr x 12</v>
      </c>
      <c r="N627" s="20">
        <f t="shared" si="129"/>
        <v>2</v>
      </c>
      <c r="O627" s="20" t="str">
        <f t="shared" si="130"/>
        <v>Se repite 2 veces en Belmont International Trading Corp</v>
      </c>
      <c r="P627" s="20" t="str">
        <f t="shared" si="131"/>
        <v>Belmont International Trading Corp-Provenzal Cau Cau 60gr x 12-23.63</v>
      </c>
      <c r="Q627" s="20">
        <f t="shared" si="132"/>
        <v>1</v>
      </c>
      <c r="R627" s="20" t="str">
        <f t="shared" si="133"/>
        <v>No se repite</v>
      </c>
      <c r="S627" s="20" t="str">
        <f t="shared" si="134"/>
        <v>El producto Provenzal Cau Cau 60gr x 12 Se repite 2 veces en Belmont International Trading Corp Una vez con el precio 23.63</v>
      </c>
      <c r="T627" s="20" t="str">
        <f t="shared" si="135"/>
        <v>Belmont International Trading Corp</v>
      </c>
      <c r="U627" s="20" t="str">
        <f t="shared" si="136"/>
        <v>Provenzal Cau Cau 60gr x 12</v>
      </c>
      <c r="V627" s="22">
        <f t="shared" si="137"/>
        <v>23.63</v>
      </c>
      <c r="W627" t="str">
        <f t="shared" si="138"/>
        <v>Belmont International Trading Corp 04/28/2025</v>
      </c>
      <c r="Z627">
        <f t="shared" si="139"/>
        <v>23.63</v>
      </c>
    </row>
    <row r="628" spans="1:26" hidden="1" x14ac:dyDescent="0.25">
      <c r="A628" s="2" t="s">
        <v>18</v>
      </c>
      <c r="B628" s="11" t="s">
        <v>177</v>
      </c>
      <c r="C628" s="11" t="s">
        <v>4</v>
      </c>
      <c r="D628" s="11" t="s">
        <v>178</v>
      </c>
      <c r="E628" s="11" t="s">
        <v>122</v>
      </c>
      <c r="F628" s="11" t="s">
        <v>123</v>
      </c>
      <c r="G628" s="12">
        <v>2</v>
      </c>
      <c r="H628" s="12">
        <v>25.9</v>
      </c>
      <c r="I628" s="12">
        <v>51.8</v>
      </c>
      <c r="J628" s="12">
        <v>20736.04</v>
      </c>
      <c r="K628" s="20">
        <f t="shared" si="126"/>
        <v>5</v>
      </c>
      <c r="L628" s="20" t="str">
        <f t="shared" si="127"/>
        <v>Se repite 5 veces</v>
      </c>
      <c r="M628" s="20" t="str">
        <f t="shared" si="128"/>
        <v>Belmont International Trading Corp-Provenzal Cau Cau 60gr x 12</v>
      </c>
      <c r="N628" s="20">
        <f t="shared" si="129"/>
        <v>2</v>
      </c>
      <c r="O628" s="20" t="str">
        <f t="shared" si="130"/>
        <v>Se repite 2 veces en Belmont International Trading Corp</v>
      </c>
      <c r="P628" s="20" t="str">
        <f t="shared" si="131"/>
        <v>Belmont International Trading Corp-Provenzal Cau Cau 60gr x 12-25.9</v>
      </c>
      <c r="Q628" s="20">
        <f t="shared" si="132"/>
        <v>1</v>
      </c>
      <c r="R628" s="20" t="str">
        <f t="shared" si="133"/>
        <v>No se repite</v>
      </c>
      <c r="S628" s="20" t="str">
        <f t="shared" si="134"/>
        <v>El producto Provenzal Cau Cau 60gr x 12 Se repite 2 veces en Belmont International Trading Corp Una vez con el precio 25.9</v>
      </c>
      <c r="T628" s="20" t="str">
        <f t="shared" si="135"/>
        <v>Belmont International Trading Corp</v>
      </c>
      <c r="U628" s="20" t="str">
        <f t="shared" si="136"/>
        <v>Provenzal Cau Cau 60gr x 12</v>
      </c>
      <c r="V628" s="22">
        <f t="shared" si="137"/>
        <v>25.9</v>
      </c>
      <c r="W628" t="str">
        <f t="shared" si="138"/>
        <v>Belmont International Trading Corp 10/20/2025</v>
      </c>
      <c r="Z628">
        <f t="shared" si="139"/>
        <v>51.8</v>
      </c>
    </row>
    <row r="629" spans="1:26" hidden="1" x14ac:dyDescent="0.25">
      <c r="A629" s="2" t="s">
        <v>272</v>
      </c>
      <c r="B629" s="11" t="s">
        <v>273</v>
      </c>
      <c r="C629" s="11" t="s">
        <v>4</v>
      </c>
      <c r="D629" s="11" t="s">
        <v>5</v>
      </c>
      <c r="E629" s="11" t="s">
        <v>122</v>
      </c>
      <c r="F629" s="11" t="s">
        <v>347</v>
      </c>
      <c r="G629" s="12">
        <v>1</v>
      </c>
      <c r="H629" s="12">
        <v>26</v>
      </c>
      <c r="I629" s="12">
        <v>26</v>
      </c>
      <c r="J629" s="12">
        <v>1332.1999999999998</v>
      </c>
      <c r="K629" s="20">
        <f t="shared" si="126"/>
        <v>5</v>
      </c>
      <c r="L629" s="20" t="str">
        <f t="shared" si="127"/>
        <v>Se repite 5 veces</v>
      </c>
      <c r="M629" s="20" t="str">
        <f t="shared" si="128"/>
        <v>Peru Chef-Provenzal Cau Cau 60gr x 12</v>
      </c>
      <c r="N629" s="20">
        <f t="shared" si="129"/>
        <v>3</v>
      </c>
      <c r="O629" s="20" t="str">
        <f t="shared" si="130"/>
        <v>Se repite 3 veces en Peru Chef</v>
      </c>
      <c r="P629" s="20" t="str">
        <f t="shared" si="131"/>
        <v>Peru Chef-Provenzal Cau Cau 60gr x 12-26</v>
      </c>
      <c r="Q629" s="20">
        <f t="shared" si="132"/>
        <v>2</v>
      </c>
      <c r="R629" s="20" t="str">
        <f t="shared" si="133"/>
        <v>Se repite 2 veces el precio de 26</v>
      </c>
      <c r="S629" s="20" t="str">
        <f t="shared" si="134"/>
        <v>El producto Provenzal Cau Cau 60gr x 12 Se repite 3 veces en Peru Chef, Se repite 2 veces el precio de 26</v>
      </c>
      <c r="T629" s="20" t="str">
        <f t="shared" si="135"/>
        <v>Peru Chef</v>
      </c>
      <c r="U629" s="20" t="str">
        <f t="shared" si="136"/>
        <v>Provenzal Cau Cau 60gr x 12</v>
      </c>
      <c r="V629" s="22">
        <f t="shared" si="137"/>
        <v>26</v>
      </c>
      <c r="W629" t="str">
        <f t="shared" si="138"/>
        <v>Peru Chef 03/26/2025</v>
      </c>
      <c r="Z629">
        <f t="shared" si="139"/>
        <v>26</v>
      </c>
    </row>
    <row r="630" spans="1:26" hidden="1" x14ac:dyDescent="0.25">
      <c r="A630" s="2" t="s">
        <v>272</v>
      </c>
      <c r="B630" s="11" t="s">
        <v>398</v>
      </c>
      <c r="C630" s="11" t="s">
        <v>4</v>
      </c>
      <c r="D630" s="11" t="s">
        <v>399</v>
      </c>
      <c r="E630" s="11" t="s">
        <v>122</v>
      </c>
      <c r="F630" s="11" t="s">
        <v>347</v>
      </c>
      <c r="G630" s="12">
        <v>1</v>
      </c>
      <c r="H630" s="12">
        <v>26</v>
      </c>
      <c r="I630" s="12">
        <v>26</v>
      </c>
      <c r="J630" s="12">
        <v>3483</v>
      </c>
      <c r="K630" s="20">
        <f t="shared" si="126"/>
        <v>5</v>
      </c>
      <c r="L630" s="20" t="str">
        <f t="shared" si="127"/>
        <v>Se repite 5 veces</v>
      </c>
      <c r="M630" s="20" t="str">
        <f t="shared" si="128"/>
        <v>Peru Chef-Provenzal Cau Cau 60gr x 12</v>
      </c>
      <c r="N630" s="20">
        <f t="shared" si="129"/>
        <v>3</v>
      </c>
      <c r="O630" s="20" t="str">
        <f t="shared" si="130"/>
        <v>Se repite 3 veces en Peru Chef</v>
      </c>
      <c r="P630" s="20" t="str">
        <f t="shared" si="131"/>
        <v>Peru Chef-Provenzal Cau Cau 60gr x 12-26</v>
      </c>
      <c r="Q630" s="20">
        <f t="shared" si="132"/>
        <v>2</v>
      </c>
      <c r="R630" s="20" t="str">
        <f t="shared" si="133"/>
        <v>Se repite 2 veces el precio de 26</v>
      </c>
      <c r="S630" s="20" t="str">
        <f t="shared" si="134"/>
        <v>El producto Provenzal Cau Cau 60gr x 12 Se repite 3 veces en Peru Chef, Se repite 2 veces el precio de 26</v>
      </c>
      <c r="T630" s="20" t="str">
        <f t="shared" si="135"/>
        <v>Peru Chef</v>
      </c>
      <c r="U630" s="20" t="str">
        <f t="shared" si="136"/>
        <v>Provenzal Cau Cau 60gr x 12</v>
      </c>
      <c r="V630" s="22">
        <f t="shared" si="137"/>
        <v>26</v>
      </c>
      <c r="W630" t="str">
        <f t="shared" si="138"/>
        <v>Peru Chef 04/10/2025</v>
      </c>
      <c r="Z630">
        <f t="shared" si="139"/>
        <v>26</v>
      </c>
    </row>
    <row r="631" spans="1:26" hidden="1" x14ac:dyDescent="0.25">
      <c r="A631" s="2" t="s">
        <v>272</v>
      </c>
      <c r="B631" s="11" t="s">
        <v>619</v>
      </c>
      <c r="C631" s="11" t="s">
        <v>4</v>
      </c>
      <c r="D631" s="11" t="s">
        <v>621</v>
      </c>
      <c r="E631" s="11" t="s">
        <v>122</v>
      </c>
      <c r="F631" s="11" t="s">
        <v>644</v>
      </c>
      <c r="G631" s="12">
        <v>1</v>
      </c>
      <c r="H631" s="12">
        <v>23.4</v>
      </c>
      <c r="I631" s="12">
        <v>23.4</v>
      </c>
      <c r="J631" s="12">
        <v>42109.149999999987</v>
      </c>
      <c r="K631" s="20">
        <f t="shared" si="126"/>
        <v>5</v>
      </c>
      <c r="L631" s="20" t="str">
        <f t="shared" si="127"/>
        <v>Se repite 5 veces</v>
      </c>
      <c r="M631" s="20" t="str">
        <f t="shared" si="128"/>
        <v>Peru Chef-Provenzal Cau Cau 60gr x 12</v>
      </c>
      <c r="N631" s="20">
        <f t="shared" si="129"/>
        <v>3</v>
      </c>
      <c r="O631" s="20" t="str">
        <f t="shared" si="130"/>
        <v>Se repite 3 veces en Peru Chef</v>
      </c>
      <c r="P631" s="20" t="str">
        <f t="shared" si="131"/>
        <v>Peru Chef-Provenzal Cau Cau 60gr x 12-23.4</v>
      </c>
      <c r="Q631" s="20">
        <f t="shared" si="132"/>
        <v>1</v>
      </c>
      <c r="R631" s="20" t="str">
        <f t="shared" si="133"/>
        <v>No se repite</v>
      </c>
      <c r="S631" s="20" t="str">
        <f t="shared" si="134"/>
        <v>El producto Provenzal Cau Cau 60gr x 12 Se repite 3 veces en Peru Chef Una vez con el precio 23.4</v>
      </c>
      <c r="T631" s="20" t="str">
        <f t="shared" si="135"/>
        <v>Peru Chef</v>
      </c>
      <c r="U631" s="20" t="str">
        <f t="shared" si="136"/>
        <v>Provenzal Cau Cau 60gr x 12</v>
      </c>
      <c r="V631" s="22">
        <f t="shared" si="137"/>
        <v>23.4</v>
      </c>
      <c r="W631" t="str">
        <f t="shared" si="138"/>
        <v>Peru Chef 12/09/2025</v>
      </c>
      <c r="Z631">
        <f t="shared" si="139"/>
        <v>23.4</v>
      </c>
    </row>
    <row r="632" spans="1:26" hidden="1" x14ac:dyDescent="0.25">
      <c r="A632" s="2" t="s">
        <v>18</v>
      </c>
      <c r="B632" s="11" t="s">
        <v>19</v>
      </c>
      <c r="C632" s="11" t="s">
        <v>4</v>
      </c>
      <c r="D632" s="11" t="s">
        <v>20</v>
      </c>
      <c r="E632" s="11" t="s">
        <v>124</v>
      </c>
      <c r="F632" s="11" t="s">
        <v>125</v>
      </c>
      <c r="G632" s="12">
        <v>1</v>
      </c>
      <c r="H632" s="12">
        <v>42.08</v>
      </c>
      <c r="I632" s="12">
        <v>42.08</v>
      </c>
      <c r="J632" s="12">
        <v>4932.83</v>
      </c>
      <c r="K632" s="20">
        <f t="shared" si="126"/>
        <v>2</v>
      </c>
      <c r="L632" s="20" t="str">
        <f t="shared" si="127"/>
        <v>Se repite 2 veces</v>
      </c>
      <c r="M632" s="20" t="str">
        <f t="shared" si="128"/>
        <v>Belmont International Trading Corp-Provenzal Ceviche Base 30gr x 20</v>
      </c>
      <c r="N632" s="20">
        <f t="shared" si="129"/>
        <v>2</v>
      </c>
      <c r="O632" s="20" t="str">
        <f t="shared" si="130"/>
        <v>Se repite 2 veces en Belmont International Trading Corp</v>
      </c>
      <c r="P632" s="20" t="str">
        <f t="shared" si="131"/>
        <v>Belmont International Trading Corp-Provenzal Ceviche Base 30gr x 20-42.08</v>
      </c>
      <c r="Q632" s="20">
        <f t="shared" si="132"/>
        <v>1</v>
      </c>
      <c r="R632" s="20" t="str">
        <f t="shared" si="133"/>
        <v>No se repite</v>
      </c>
      <c r="S632" s="20" t="str">
        <f t="shared" si="134"/>
        <v>El producto Provenzal Ceviche Base 30gr x 20 Se repite 2 veces en Belmont International Trading Corp Una vez con el precio 42.08</v>
      </c>
      <c r="T632" s="20" t="str">
        <f t="shared" si="135"/>
        <v>Belmont International Trading Corp</v>
      </c>
      <c r="U632" s="20" t="str">
        <f t="shared" si="136"/>
        <v>Provenzal Ceviche Base 30gr x 20</v>
      </c>
      <c r="V632" s="22">
        <f t="shared" si="137"/>
        <v>42.08</v>
      </c>
      <c r="W632" t="str">
        <f t="shared" si="138"/>
        <v>Belmont International Trading Corp 04/28/2025</v>
      </c>
      <c r="Z632">
        <f t="shared" si="139"/>
        <v>42.08</v>
      </c>
    </row>
    <row r="633" spans="1:26" hidden="1" x14ac:dyDescent="0.25">
      <c r="A633" s="2" t="s">
        <v>18</v>
      </c>
      <c r="B633" s="11" t="s">
        <v>177</v>
      </c>
      <c r="C633" s="11" t="s">
        <v>4</v>
      </c>
      <c r="D633" s="11" t="s">
        <v>178</v>
      </c>
      <c r="E633" s="11" t="s">
        <v>124</v>
      </c>
      <c r="F633" s="11" t="s">
        <v>125</v>
      </c>
      <c r="G633" s="12">
        <v>1</v>
      </c>
      <c r="H633" s="12">
        <v>46.5</v>
      </c>
      <c r="I633" s="12">
        <v>46.5</v>
      </c>
      <c r="J633" s="12">
        <v>20782.54</v>
      </c>
      <c r="K633" s="20">
        <f t="shared" si="126"/>
        <v>2</v>
      </c>
      <c r="L633" s="20" t="str">
        <f t="shared" si="127"/>
        <v>Se repite 2 veces</v>
      </c>
      <c r="M633" s="20" t="str">
        <f t="shared" si="128"/>
        <v>Belmont International Trading Corp-Provenzal Ceviche Base 30gr x 20</v>
      </c>
      <c r="N633" s="20">
        <f t="shared" si="129"/>
        <v>2</v>
      </c>
      <c r="O633" s="20" t="str">
        <f t="shared" si="130"/>
        <v>Se repite 2 veces en Belmont International Trading Corp</v>
      </c>
      <c r="P633" s="20" t="str">
        <f t="shared" si="131"/>
        <v>Belmont International Trading Corp-Provenzal Ceviche Base 30gr x 20-46.5</v>
      </c>
      <c r="Q633" s="20">
        <f t="shared" si="132"/>
        <v>1</v>
      </c>
      <c r="R633" s="20" t="str">
        <f t="shared" si="133"/>
        <v>No se repite</v>
      </c>
      <c r="S633" s="20" t="str">
        <f t="shared" si="134"/>
        <v>El producto Provenzal Ceviche Base 30gr x 20 Se repite 2 veces en Belmont International Trading Corp Una vez con el precio 46.5</v>
      </c>
      <c r="T633" s="20" t="str">
        <f t="shared" si="135"/>
        <v>Belmont International Trading Corp</v>
      </c>
      <c r="U633" s="20" t="str">
        <f t="shared" si="136"/>
        <v>Provenzal Ceviche Base 30gr x 20</v>
      </c>
      <c r="V633" s="22">
        <f t="shared" si="137"/>
        <v>46.5</v>
      </c>
      <c r="W633" t="str">
        <f t="shared" si="138"/>
        <v>Belmont International Trading Corp 10/20/2025</v>
      </c>
      <c r="Z633">
        <f t="shared" si="139"/>
        <v>46.5</v>
      </c>
    </row>
    <row r="634" spans="1:26" hidden="1" x14ac:dyDescent="0.25">
      <c r="A634" s="2" t="s">
        <v>18</v>
      </c>
      <c r="B634" s="11" t="s">
        <v>19</v>
      </c>
      <c r="C634" s="11" t="s">
        <v>4</v>
      </c>
      <c r="D634" s="11" t="s">
        <v>20</v>
      </c>
      <c r="E634" s="11" t="s">
        <v>126</v>
      </c>
      <c r="F634" s="11" t="s">
        <v>127</v>
      </c>
      <c r="G634" s="12">
        <v>1</v>
      </c>
      <c r="H634" s="12">
        <v>23.63</v>
      </c>
      <c r="I634" s="12">
        <v>23.63</v>
      </c>
      <c r="J634" s="12">
        <v>4956.46</v>
      </c>
      <c r="K634" s="20">
        <f t="shared" si="126"/>
        <v>5</v>
      </c>
      <c r="L634" s="20" t="str">
        <f t="shared" si="127"/>
        <v>Se repite 5 veces</v>
      </c>
      <c r="M634" s="20" t="str">
        <f t="shared" si="128"/>
        <v>Belmont International Trading Corp-Provenzal Huancaina 64gr x 12</v>
      </c>
      <c r="N634" s="20">
        <f t="shared" si="129"/>
        <v>2</v>
      </c>
      <c r="O634" s="20" t="str">
        <f t="shared" si="130"/>
        <v>Se repite 2 veces en Belmont International Trading Corp</v>
      </c>
      <c r="P634" s="20" t="str">
        <f t="shared" si="131"/>
        <v>Belmont International Trading Corp-Provenzal Huancaina 64gr x 12-23.63</v>
      </c>
      <c r="Q634" s="20">
        <f t="shared" si="132"/>
        <v>1</v>
      </c>
      <c r="R634" s="20" t="str">
        <f t="shared" si="133"/>
        <v>No se repite</v>
      </c>
      <c r="S634" s="20" t="str">
        <f t="shared" si="134"/>
        <v>El producto Provenzal Huancaina 64gr x 12 Se repite 2 veces en Belmont International Trading Corp Una vez con el precio 23.63</v>
      </c>
      <c r="T634" s="20" t="str">
        <f t="shared" si="135"/>
        <v>Belmont International Trading Corp</v>
      </c>
      <c r="U634" s="20" t="str">
        <f t="shared" si="136"/>
        <v>Provenzal Huancaina 64gr x 12</v>
      </c>
      <c r="V634" s="22">
        <f t="shared" si="137"/>
        <v>23.63</v>
      </c>
      <c r="W634" t="str">
        <f t="shared" si="138"/>
        <v>Belmont International Trading Corp 04/28/2025</v>
      </c>
      <c r="Z634">
        <f t="shared" si="139"/>
        <v>23.63</v>
      </c>
    </row>
    <row r="635" spans="1:26" hidden="1" x14ac:dyDescent="0.25">
      <c r="A635" s="2" t="s">
        <v>18</v>
      </c>
      <c r="B635" s="11" t="s">
        <v>177</v>
      </c>
      <c r="C635" s="11" t="s">
        <v>4</v>
      </c>
      <c r="D635" s="11" t="s">
        <v>178</v>
      </c>
      <c r="E635" s="11" t="s">
        <v>126</v>
      </c>
      <c r="F635" s="11" t="s">
        <v>127</v>
      </c>
      <c r="G635" s="12">
        <v>2</v>
      </c>
      <c r="H635" s="12">
        <v>25.9</v>
      </c>
      <c r="I635" s="12">
        <v>51.8</v>
      </c>
      <c r="J635" s="12">
        <v>20853.84</v>
      </c>
      <c r="K635" s="20">
        <f t="shared" si="126"/>
        <v>5</v>
      </c>
      <c r="L635" s="20" t="str">
        <f t="shared" si="127"/>
        <v>Se repite 5 veces</v>
      </c>
      <c r="M635" s="20" t="str">
        <f t="shared" si="128"/>
        <v>Belmont International Trading Corp-Provenzal Huancaina 64gr x 12</v>
      </c>
      <c r="N635" s="20">
        <f t="shared" si="129"/>
        <v>2</v>
      </c>
      <c r="O635" s="20" t="str">
        <f t="shared" si="130"/>
        <v>Se repite 2 veces en Belmont International Trading Corp</v>
      </c>
      <c r="P635" s="20" t="str">
        <f t="shared" si="131"/>
        <v>Belmont International Trading Corp-Provenzal Huancaina 64gr x 12-25.9</v>
      </c>
      <c r="Q635" s="20">
        <f t="shared" si="132"/>
        <v>1</v>
      </c>
      <c r="R635" s="20" t="str">
        <f t="shared" si="133"/>
        <v>No se repite</v>
      </c>
      <c r="S635" s="20" t="str">
        <f t="shared" si="134"/>
        <v>El producto Provenzal Huancaina 64gr x 12 Se repite 2 veces en Belmont International Trading Corp Una vez con el precio 25.9</v>
      </c>
      <c r="T635" s="20" t="str">
        <f t="shared" si="135"/>
        <v>Belmont International Trading Corp</v>
      </c>
      <c r="U635" s="20" t="str">
        <f t="shared" si="136"/>
        <v>Provenzal Huancaina 64gr x 12</v>
      </c>
      <c r="V635" s="22">
        <f t="shared" si="137"/>
        <v>25.9</v>
      </c>
      <c r="W635" t="str">
        <f t="shared" si="138"/>
        <v>Belmont International Trading Corp 10/20/2025</v>
      </c>
      <c r="Z635">
        <f t="shared" si="139"/>
        <v>51.8</v>
      </c>
    </row>
    <row r="636" spans="1:26" hidden="1" x14ac:dyDescent="0.25">
      <c r="A636" s="2" t="s">
        <v>272</v>
      </c>
      <c r="B636" s="11" t="s">
        <v>273</v>
      </c>
      <c r="C636" s="11" t="s">
        <v>4</v>
      </c>
      <c r="D636" s="11" t="s">
        <v>5</v>
      </c>
      <c r="E636" s="11" t="s">
        <v>126</v>
      </c>
      <c r="F636" s="11" t="s">
        <v>346</v>
      </c>
      <c r="G636" s="12">
        <v>1</v>
      </c>
      <c r="H636" s="12">
        <v>28</v>
      </c>
      <c r="I636" s="12">
        <v>28</v>
      </c>
      <c r="J636" s="12">
        <v>1306.1999999999998</v>
      </c>
      <c r="K636" s="20">
        <f t="shared" si="126"/>
        <v>5</v>
      </c>
      <c r="L636" s="20" t="str">
        <f t="shared" si="127"/>
        <v>Se repite 5 veces</v>
      </c>
      <c r="M636" s="20" t="str">
        <f t="shared" si="128"/>
        <v>Peru Chef-Provenzal Huancaina 64gr x 12</v>
      </c>
      <c r="N636" s="20">
        <f t="shared" si="129"/>
        <v>3</v>
      </c>
      <c r="O636" s="20" t="str">
        <f t="shared" si="130"/>
        <v>Se repite 3 veces en Peru Chef</v>
      </c>
      <c r="P636" s="20" t="str">
        <f t="shared" si="131"/>
        <v>Peru Chef-Provenzal Huancaina 64gr x 12-28</v>
      </c>
      <c r="Q636" s="20">
        <f t="shared" si="132"/>
        <v>2</v>
      </c>
      <c r="R636" s="20" t="str">
        <f t="shared" si="133"/>
        <v>Se repite 2 veces el precio de 28</v>
      </c>
      <c r="S636" s="20" t="str">
        <f t="shared" si="134"/>
        <v>El producto Provenzal Huancaina 64gr x 12 Se repite 3 veces en Peru Chef, Se repite 2 veces el precio de 28</v>
      </c>
      <c r="T636" s="20" t="str">
        <f t="shared" si="135"/>
        <v>Peru Chef</v>
      </c>
      <c r="U636" s="20" t="str">
        <f t="shared" si="136"/>
        <v>Provenzal Huancaina 64gr x 12</v>
      </c>
      <c r="V636" s="22">
        <f t="shared" si="137"/>
        <v>28</v>
      </c>
      <c r="W636" t="str">
        <f t="shared" si="138"/>
        <v>Peru Chef 03/26/2025</v>
      </c>
      <c r="Z636">
        <f t="shared" si="139"/>
        <v>28</v>
      </c>
    </row>
    <row r="637" spans="1:26" hidden="1" x14ac:dyDescent="0.25">
      <c r="A637" s="2" t="s">
        <v>272</v>
      </c>
      <c r="B637" s="11" t="s">
        <v>398</v>
      </c>
      <c r="C637" s="11" t="s">
        <v>4</v>
      </c>
      <c r="D637" s="11" t="s">
        <v>399</v>
      </c>
      <c r="E637" s="11" t="s">
        <v>126</v>
      </c>
      <c r="F637" s="11" t="s">
        <v>346</v>
      </c>
      <c r="G637" s="12">
        <v>1</v>
      </c>
      <c r="H637" s="12">
        <v>28</v>
      </c>
      <c r="I637" s="12">
        <v>28</v>
      </c>
      <c r="J637" s="12">
        <v>3457</v>
      </c>
      <c r="K637" s="20">
        <f t="shared" si="126"/>
        <v>5</v>
      </c>
      <c r="L637" s="20" t="str">
        <f t="shared" si="127"/>
        <v>Se repite 5 veces</v>
      </c>
      <c r="M637" s="20" t="str">
        <f t="shared" si="128"/>
        <v>Peru Chef-Provenzal Huancaina 64gr x 12</v>
      </c>
      <c r="N637" s="20">
        <f t="shared" si="129"/>
        <v>3</v>
      </c>
      <c r="O637" s="20" t="str">
        <f t="shared" si="130"/>
        <v>Se repite 3 veces en Peru Chef</v>
      </c>
      <c r="P637" s="20" t="str">
        <f t="shared" si="131"/>
        <v>Peru Chef-Provenzal Huancaina 64gr x 12-28</v>
      </c>
      <c r="Q637" s="20">
        <f t="shared" si="132"/>
        <v>2</v>
      </c>
      <c r="R637" s="20" t="str">
        <f t="shared" si="133"/>
        <v>Se repite 2 veces el precio de 28</v>
      </c>
      <c r="S637" s="20" t="str">
        <f t="shared" si="134"/>
        <v>El producto Provenzal Huancaina 64gr x 12 Se repite 3 veces en Peru Chef, Se repite 2 veces el precio de 28</v>
      </c>
      <c r="T637" s="20" t="str">
        <f t="shared" si="135"/>
        <v>Peru Chef</v>
      </c>
      <c r="U637" s="20" t="str">
        <f t="shared" si="136"/>
        <v>Provenzal Huancaina 64gr x 12</v>
      </c>
      <c r="V637" s="22">
        <f t="shared" si="137"/>
        <v>28</v>
      </c>
      <c r="W637" t="str">
        <f t="shared" si="138"/>
        <v>Peru Chef 04/10/2025</v>
      </c>
      <c r="Z637">
        <f t="shared" si="139"/>
        <v>28</v>
      </c>
    </row>
    <row r="638" spans="1:26" hidden="1" x14ac:dyDescent="0.25">
      <c r="A638" s="2" t="s">
        <v>272</v>
      </c>
      <c r="B638" s="11" t="s">
        <v>619</v>
      </c>
      <c r="C638" s="11" t="s">
        <v>4</v>
      </c>
      <c r="D638" s="11" t="s">
        <v>621</v>
      </c>
      <c r="E638" s="11" t="s">
        <v>126</v>
      </c>
      <c r="F638" s="11" t="s">
        <v>127</v>
      </c>
      <c r="G638" s="12">
        <v>1</v>
      </c>
      <c r="H638" s="12">
        <v>25.2</v>
      </c>
      <c r="I638" s="12">
        <v>25.2</v>
      </c>
      <c r="J638" s="12">
        <v>42046.149999999987</v>
      </c>
      <c r="K638" s="20">
        <f t="shared" si="126"/>
        <v>5</v>
      </c>
      <c r="L638" s="20" t="str">
        <f t="shared" si="127"/>
        <v>Se repite 5 veces</v>
      </c>
      <c r="M638" s="20" t="str">
        <f t="shared" si="128"/>
        <v>Peru Chef-Provenzal Huancaina 64gr x 12</v>
      </c>
      <c r="N638" s="20">
        <f t="shared" si="129"/>
        <v>3</v>
      </c>
      <c r="O638" s="20" t="str">
        <f t="shared" si="130"/>
        <v>Se repite 3 veces en Peru Chef</v>
      </c>
      <c r="P638" s="20" t="str">
        <f t="shared" si="131"/>
        <v>Peru Chef-Provenzal Huancaina 64gr x 12-25.2</v>
      </c>
      <c r="Q638" s="20">
        <f t="shared" si="132"/>
        <v>1</v>
      </c>
      <c r="R638" s="20" t="str">
        <f t="shared" si="133"/>
        <v>No se repite</v>
      </c>
      <c r="S638" s="20" t="str">
        <f t="shared" si="134"/>
        <v>El producto Provenzal Huancaina 64gr x 12 Se repite 3 veces en Peru Chef Una vez con el precio 25.2</v>
      </c>
      <c r="T638" s="20" t="str">
        <f t="shared" si="135"/>
        <v>Peru Chef</v>
      </c>
      <c r="U638" s="20" t="str">
        <f t="shared" si="136"/>
        <v>Provenzal Huancaina 64gr x 12</v>
      </c>
      <c r="V638" s="22">
        <f t="shared" si="137"/>
        <v>25.2</v>
      </c>
      <c r="W638" t="str">
        <f t="shared" si="138"/>
        <v>Peru Chef 12/09/2025</v>
      </c>
      <c r="Z638">
        <f t="shared" si="139"/>
        <v>25.2</v>
      </c>
    </row>
    <row r="639" spans="1:26" hidden="1" x14ac:dyDescent="0.25">
      <c r="A639" s="2" t="s">
        <v>18</v>
      </c>
      <c r="B639" s="11" t="s">
        <v>19</v>
      </c>
      <c r="C639" s="11" t="s">
        <v>4</v>
      </c>
      <c r="D639" s="11" t="s">
        <v>20</v>
      </c>
      <c r="E639" s="11" t="s">
        <v>128</v>
      </c>
      <c r="F639" s="11" t="s">
        <v>129</v>
      </c>
      <c r="G639" s="12">
        <v>1</v>
      </c>
      <c r="H639" s="12">
        <v>23.63</v>
      </c>
      <c r="I639" s="12">
        <v>23.63</v>
      </c>
      <c r="J639" s="12">
        <v>4980.09</v>
      </c>
      <c r="K639" s="20">
        <f t="shared" si="126"/>
        <v>4</v>
      </c>
      <c r="L639" s="20" t="str">
        <f t="shared" si="127"/>
        <v>Se repite 4 veces</v>
      </c>
      <c r="M639" s="20" t="str">
        <f t="shared" si="128"/>
        <v>Belmont International Trading Corp-Provenzal Ocopa 70gr x 12</v>
      </c>
      <c r="N639" s="20">
        <f t="shared" si="129"/>
        <v>1</v>
      </c>
      <c r="O639" s="20" t="str">
        <f t="shared" si="130"/>
        <v>No se repite en proveedor</v>
      </c>
      <c r="P639" s="20" t="str">
        <f t="shared" si="131"/>
        <v>Belmont International Trading Corp-Provenzal Ocopa 70gr x 12-23.63</v>
      </c>
      <c r="Q639" s="20">
        <f t="shared" si="132"/>
        <v>1</v>
      </c>
      <c r="R639" s="20" t="str">
        <f t="shared" si="133"/>
        <v>No se repite</v>
      </c>
      <c r="S639" s="20" t="str">
        <f t="shared" si="134"/>
        <v>El producto Provenzal Ocopa 70gr x 12 No se repite en proveedor Una vez con el precio 23.63</v>
      </c>
      <c r="T639" s="20" t="str">
        <f t="shared" si="135"/>
        <v>Belmont International Trading Corp</v>
      </c>
      <c r="U639" s="20" t="str">
        <f t="shared" si="136"/>
        <v>Provenzal Ocopa 70gr x 12</v>
      </c>
      <c r="V639" s="22">
        <f t="shared" si="137"/>
        <v>23.63</v>
      </c>
      <c r="W639" t="str">
        <f t="shared" si="138"/>
        <v>Belmont International Trading Corp 04/28/2025</v>
      </c>
      <c r="Z639">
        <f t="shared" si="139"/>
        <v>23.63</v>
      </c>
    </row>
    <row r="640" spans="1:26" hidden="1" x14ac:dyDescent="0.25">
      <c r="A640" s="2" t="s">
        <v>272</v>
      </c>
      <c r="B640" s="11" t="s">
        <v>273</v>
      </c>
      <c r="C640" s="11" t="s">
        <v>4</v>
      </c>
      <c r="D640" s="11" t="s">
        <v>5</v>
      </c>
      <c r="E640" s="11" t="s">
        <v>128</v>
      </c>
      <c r="F640" s="11" t="s">
        <v>345</v>
      </c>
      <c r="G640" s="12">
        <v>1</v>
      </c>
      <c r="H640" s="12">
        <v>28</v>
      </c>
      <c r="I640" s="12">
        <v>28</v>
      </c>
      <c r="J640" s="12">
        <v>1278.1999999999998</v>
      </c>
      <c r="K640" s="20">
        <f t="shared" si="126"/>
        <v>4</v>
      </c>
      <c r="L640" s="20" t="str">
        <f t="shared" si="127"/>
        <v>Se repite 4 veces</v>
      </c>
      <c r="M640" s="20" t="str">
        <f t="shared" si="128"/>
        <v>Peru Chef-Provenzal Ocopa 70gr x 12</v>
      </c>
      <c r="N640" s="20">
        <f t="shared" si="129"/>
        <v>3</v>
      </c>
      <c r="O640" s="20" t="str">
        <f t="shared" si="130"/>
        <v>Se repite 3 veces en Peru Chef</v>
      </c>
      <c r="P640" s="20" t="str">
        <f t="shared" si="131"/>
        <v>Peru Chef-Provenzal Ocopa 70gr x 12-28</v>
      </c>
      <c r="Q640" s="20">
        <f t="shared" si="132"/>
        <v>2</v>
      </c>
      <c r="R640" s="20" t="str">
        <f t="shared" si="133"/>
        <v>Se repite 2 veces el precio de 28</v>
      </c>
      <c r="S640" s="20" t="str">
        <f t="shared" si="134"/>
        <v>El producto Provenzal Ocopa 70gr x 12 Se repite 3 veces en Peru Chef, Se repite 2 veces el precio de 28</v>
      </c>
      <c r="T640" s="20" t="str">
        <f t="shared" si="135"/>
        <v>Peru Chef</v>
      </c>
      <c r="U640" s="20" t="str">
        <f t="shared" si="136"/>
        <v>Provenzal Ocopa 70gr x 12</v>
      </c>
      <c r="V640" s="22">
        <f t="shared" si="137"/>
        <v>28</v>
      </c>
      <c r="W640" t="str">
        <f t="shared" si="138"/>
        <v>Peru Chef 03/26/2025</v>
      </c>
      <c r="Z640">
        <f t="shared" si="139"/>
        <v>28</v>
      </c>
    </row>
    <row r="641" spans="1:26" hidden="1" x14ac:dyDescent="0.25">
      <c r="A641" s="2" t="s">
        <v>272</v>
      </c>
      <c r="B641" s="11" t="s">
        <v>398</v>
      </c>
      <c r="C641" s="11" t="s">
        <v>4</v>
      </c>
      <c r="D641" s="11" t="s">
        <v>399</v>
      </c>
      <c r="E641" s="11" t="s">
        <v>128</v>
      </c>
      <c r="F641" s="11" t="s">
        <v>345</v>
      </c>
      <c r="G641" s="12">
        <v>1</v>
      </c>
      <c r="H641" s="12">
        <v>28</v>
      </c>
      <c r="I641" s="12">
        <v>28</v>
      </c>
      <c r="J641" s="12">
        <v>3429</v>
      </c>
      <c r="K641" s="20">
        <f t="shared" si="126"/>
        <v>4</v>
      </c>
      <c r="L641" s="20" t="str">
        <f t="shared" si="127"/>
        <v>Se repite 4 veces</v>
      </c>
      <c r="M641" s="20" t="str">
        <f t="shared" si="128"/>
        <v>Peru Chef-Provenzal Ocopa 70gr x 12</v>
      </c>
      <c r="N641" s="20">
        <f t="shared" si="129"/>
        <v>3</v>
      </c>
      <c r="O641" s="20" t="str">
        <f t="shared" si="130"/>
        <v>Se repite 3 veces en Peru Chef</v>
      </c>
      <c r="P641" s="20" t="str">
        <f t="shared" si="131"/>
        <v>Peru Chef-Provenzal Ocopa 70gr x 12-28</v>
      </c>
      <c r="Q641" s="20">
        <f t="shared" si="132"/>
        <v>2</v>
      </c>
      <c r="R641" s="20" t="str">
        <f t="shared" si="133"/>
        <v>Se repite 2 veces el precio de 28</v>
      </c>
      <c r="S641" s="20" t="str">
        <f t="shared" si="134"/>
        <v>El producto Provenzal Ocopa 70gr x 12 Se repite 3 veces en Peru Chef, Se repite 2 veces el precio de 28</v>
      </c>
      <c r="T641" s="20" t="str">
        <f t="shared" si="135"/>
        <v>Peru Chef</v>
      </c>
      <c r="U641" s="20" t="str">
        <f t="shared" si="136"/>
        <v>Provenzal Ocopa 70gr x 12</v>
      </c>
      <c r="V641" s="22">
        <f t="shared" si="137"/>
        <v>28</v>
      </c>
      <c r="W641" t="str">
        <f t="shared" si="138"/>
        <v>Peru Chef 04/10/2025</v>
      </c>
      <c r="Z641">
        <f t="shared" si="139"/>
        <v>28</v>
      </c>
    </row>
    <row r="642" spans="1:26" hidden="1" x14ac:dyDescent="0.25">
      <c r="A642" s="2" t="s">
        <v>272</v>
      </c>
      <c r="B642" s="11" t="s">
        <v>619</v>
      </c>
      <c r="C642" s="11" t="s">
        <v>4</v>
      </c>
      <c r="D642" s="11" t="s">
        <v>621</v>
      </c>
      <c r="E642" s="11" t="s">
        <v>128</v>
      </c>
      <c r="F642" s="11" t="s">
        <v>129</v>
      </c>
      <c r="G642" s="12">
        <v>2</v>
      </c>
      <c r="H642" s="12">
        <v>25.2</v>
      </c>
      <c r="I642" s="12">
        <v>50.4</v>
      </c>
      <c r="J642" s="12">
        <v>42020.94999999999</v>
      </c>
      <c r="K642" s="20">
        <f t="shared" si="126"/>
        <v>4</v>
      </c>
      <c r="L642" s="20" t="str">
        <f t="shared" si="127"/>
        <v>Se repite 4 veces</v>
      </c>
      <c r="M642" s="20" t="str">
        <f t="shared" si="128"/>
        <v>Peru Chef-Provenzal Ocopa 70gr x 12</v>
      </c>
      <c r="N642" s="20">
        <f t="shared" si="129"/>
        <v>3</v>
      </c>
      <c r="O642" s="20" t="str">
        <f t="shared" si="130"/>
        <v>Se repite 3 veces en Peru Chef</v>
      </c>
      <c r="P642" s="20" t="str">
        <f t="shared" si="131"/>
        <v>Peru Chef-Provenzal Ocopa 70gr x 12-25.2</v>
      </c>
      <c r="Q642" s="20">
        <f t="shared" si="132"/>
        <v>1</v>
      </c>
      <c r="R642" s="20" t="str">
        <f t="shared" si="133"/>
        <v>No se repite</v>
      </c>
      <c r="S642" s="20" t="str">
        <f t="shared" si="134"/>
        <v>El producto Provenzal Ocopa 70gr x 12 Se repite 3 veces en Peru Chef Una vez con el precio 25.2</v>
      </c>
      <c r="T642" s="20" t="str">
        <f t="shared" si="135"/>
        <v>Peru Chef</v>
      </c>
      <c r="U642" s="20" t="str">
        <f t="shared" si="136"/>
        <v>Provenzal Ocopa 70gr x 12</v>
      </c>
      <c r="V642" s="22">
        <f t="shared" si="137"/>
        <v>25.2</v>
      </c>
      <c r="W642" t="str">
        <f t="shared" si="138"/>
        <v>Peru Chef 12/09/2025</v>
      </c>
      <c r="Z642">
        <f t="shared" si="139"/>
        <v>50.4</v>
      </c>
    </row>
    <row r="643" spans="1:26" hidden="1" x14ac:dyDescent="0.25">
      <c r="A643" s="2" t="s">
        <v>18</v>
      </c>
      <c r="B643" s="11" t="s">
        <v>19</v>
      </c>
      <c r="C643" s="11" t="s">
        <v>4</v>
      </c>
      <c r="D643" s="11" t="s">
        <v>20</v>
      </c>
      <c r="E643" s="11" t="s">
        <v>130</v>
      </c>
      <c r="F643" s="11" t="s">
        <v>131</v>
      </c>
      <c r="G643" s="12">
        <v>1</v>
      </c>
      <c r="H643" s="12">
        <v>17.5</v>
      </c>
      <c r="I643" s="12">
        <v>17.5</v>
      </c>
      <c r="J643" s="12">
        <v>4997.59</v>
      </c>
      <c r="K643" s="20">
        <f t="shared" ref="K643:K706" si="140">COUNTIF($E$2:$E$1438,E643)</f>
        <v>4</v>
      </c>
      <c r="L643" s="20" t="str">
        <f t="shared" ref="L643:L706" si="141">IF(K643&gt;1,_xlfn.CONCAT("Se repite ",K643," veces"),"No se repite")</f>
        <v>Se repite 4 veces</v>
      </c>
      <c r="M643" s="20" t="str">
        <f t="shared" ref="M643:M706" si="142">_xlfn.CONCAT(A643,"-",E643)</f>
        <v>Belmont International Trading Corp-Provenzal Olluquito 78gr x 6</v>
      </c>
      <c r="N643" s="20">
        <f t="shared" ref="N643:N706" si="143">COUNTIF($M$2:$M$1438,M643)</f>
        <v>2</v>
      </c>
      <c r="O643" s="20" t="str">
        <f t="shared" ref="O643:O706" si="144">IF(N643&gt;1,_xlfn.CONCAT("Se repite ",N643," veces en ",A643),"No se repite en proveedor")</f>
        <v>Se repite 2 veces en Belmont International Trading Corp</v>
      </c>
      <c r="P643" s="20" t="str">
        <f t="shared" ref="P643:P706" si="145">_xlfn.CONCAT(A643,"-",E643,"-",H643)</f>
        <v>Belmont International Trading Corp-Provenzal Olluquito 78gr x 6-17.5</v>
      </c>
      <c r="Q643" s="20">
        <f t="shared" ref="Q643:Q706" si="146">COUNTIF($P$2:$P$1438,P643)</f>
        <v>1</v>
      </c>
      <c r="R643" s="20" t="str">
        <f t="shared" ref="R643:R706" si="147">IF(Q643&gt;1,_xlfn.CONCAT("Se repite ",Q643," veces el precio de ",H643),"No se repite")</f>
        <v>No se repite</v>
      </c>
      <c r="S643" s="20" t="str">
        <f t="shared" ref="S643:S706" si="148">_xlfn.CONCAT("El producto ",E643," ",O643,IF(R643="No se repite",_xlfn.CONCAT(" Una vez con el precio ",H643),_xlfn.CONCAT(", ",R643)))</f>
        <v>El producto Provenzal Olluquito 78gr x 6 Se repite 2 veces en Belmont International Trading Corp Una vez con el precio 17.5</v>
      </c>
      <c r="T643" s="20" t="str">
        <f t="shared" ref="T643:T706" si="149">+A643</f>
        <v>Belmont International Trading Corp</v>
      </c>
      <c r="U643" s="20" t="str">
        <f t="shared" ref="U643:U706" si="150">+E643</f>
        <v>Provenzal Olluquito 78gr x 6</v>
      </c>
      <c r="V643" s="22">
        <f t="shared" ref="V643:V706" si="151">+H643</f>
        <v>17.5</v>
      </c>
      <c r="W643" t="str">
        <f t="shared" ref="W643:W706" si="152">_xlfn.CONCAT(A643," ",B643)</f>
        <v>Belmont International Trading Corp 04/28/2025</v>
      </c>
      <c r="Z643">
        <f t="shared" ref="Z643:Z706" si="153">G643*H643</f>
        <v>17.5</v>
      </c>
    </row>
    <row r="644" spans="1:26" hidden="1" x14ac:dyDescent="0.25">
      <c r="A644" s="2" t="s">
        <v>18</v>
      </c>
      <c r="B644" s="11" t="s">
        <v>177</v>
      </c>
      <c r="C644" s="11" t="s">
        <v>4</v>
      </c>
      <c r="D644" s="11" t="s">
        <v>178</v>
      </c>
      <c r="E644" s="11" t="s">
        <v>130</v>
      </c>
      <c r="F644" s="11" t="s">
        <v>131</v>
      </c>
      <c r="G644" s="12">
        <v>1</v>
      </c>
      <c r="H644" s="12">
        <v>19.5</v>
      </c>
      <c r="I644" s="12">
        <v>19.5</v>
      </c>
      <c r="J644" s="12">
        <v>20802.04</v>
      </c>
      <c r="K644" s="20">
        <f t="shared" si="140"/>
        <v>4</v>
      </c>
      <c r="L644" s="20" t="str">
        <f t="shared" si="141"/>
        <v>Se repite 4 veces</v>
      </c>
      <c r="M644" s="20" t="str">
        <f t="shared" si="142"/>
        <v>Belmont International Trading Corp-Provenzal Olluquito 78gr x 6</v>
      </c>
      <c r="N644" s="20">
        <f t="shared" si="143"/>
        <v>2</v>
      </c>
      <c r="O644" s="20" t="str">
        <f t="shared" si="144"/>
        <v>Se repite 2 veces en Belmont International Trading Corp</v>
      </c>
      <c r="P644" s="20" t="str">
        <f t="shared" si="145"/>
        <v>Belmont International Trading Corp-Provenzal Olluquito 78gr x 6-19.5</v>
      </c>
      <c r="Q644" s="20">
        <f t="shared" si="146"/>
        <v>1</v>
      </c>
      <c r="R644" s="20" t="str">
        <f t="shared" si="147"/>
        <v>No se repite</v>
      </c>
      <c r="S644" s="20" t="str">
        <f t="shared" si="148"/>
        <v>El producto Provenzal Olluquito 78gr x 6 Se repite 2 veces en Belmont International Trading Corp Una vez con el precio 19.5</v>
      </c>
      <c r="T644" s="20" t="str">
        <f t="shared" si="149"/>
        <v>Belmont International Trading Corp</v>
      </c>
      <c r="U644" s="20" t="str">
        <f t="shared" si="150"/>
        <v>Provenzal Olluquito 78gr x 6</v>
      </c>
      <c r="V644" s="22">
        <f t="shared" si="151"/>
        <v>19.5</v>
      </c>
      <c r="W644" t="str">
        <f t="shared" si="152"/>
        <v>Belmont International Trading Corp 10/20/2025</v>
      </c>
      <c r="Z644">
        <f t="shared" si="153"/>
        <v>19.5</v>
      </c>
    </row>
    <row r="645" spans="1:26" hidden="1" x14ac:dyDescent="0.25">
      <c r="A645" s="2" t="s">
        <v>272</v>
      </c>
      <c r="B645" s="11" t="s">
        <v>572</v>
      </c>
      <c r="C645" s="11" t="s">
        <v>4</v>
      </c>
      <c r="D645" s="11" t="s">
        <v>573</v>
      </c>
      <c r="E645" s="11" t="s">
        <v>130</v>
      </c>
      <c r="F645" s="11" t="s">
        <v>131</v>
      </c>
      <c r="G645" s="12">
        <v>2</v>
      </c>
      <c r="H645" s="12">
        <v>22</v>
      </c>
      <c r="I645" s="12">
        <v>44</v>
      </c>
      <c r="J645" s="12">
        <v>28955.5</v>
      </c>
      <c r="K645" s="20">
        <f t="shared" si="140"/>
        <v>4</v>
      </c>
      <c r="L645" s="20" t="str">
        <f t="shared" si="141"/>
        <v>Se repite 4 veces</v>
      </c>
      <c r="M645" s="20" t="str">
        <f t="shared" si="142"/>
        <v>Peru Chef-Provenzal Olluquito 78gr x 6</v>
      </c>
      <c r="N645" s="20">
        <f t="shared" si="143"/>
        <v>2</v>
      </c>
      <c r="O645" s="20" t="str">
        <f t="shared" si="144"/>
        <v>Se repite 2 veces en Peru Chef</v>
      </c>
      <c r="P645" s="20" t="str">
        <f t="shared" si="145"/>
        <v>Peru Chef-Provenzal Olluquito 78gr x 6-22</v>
      </c>
      <c r="Q645" s="20">
        <f t="shared" si="146"/>
        <v>1</v>
      </c>
      <c r="R645" s="20" t="str">
        <f t="shared" si="147"/>
        <v>No se repite</v>
      </c>
      <c r="S645" s="20" t="str">
        <f t="shared" si="148"/>
        <v>El producto Provenzal Olluquito 78gr x 6 Se repite 2 veces en Peru Chef Una vez con el precio 22</v>
      </c>
      <c r="T645" s="20" t="str">
        <f t="shared" si="149"/>
        <v>Peru Chef</v>
      </c>
      <c r="U645" s="20" t="str">
        <f t="shared" si="150"/>
        <v>Provenzal Olluquito 78gr x 6</v>
      </c>
      <c r="V645" s="22">
        <f t="shared" si="151"/>
        <v>22</v>
      </c>
      <c r="W645" t="str">
        <f t="shared" si="152"/>
        <v>Peru Chef 10/09/2025</v>
      </c>
      <c r="Z645">
        <f t="shared" si="153"/>
        <v>44</v>
      </c>
    </row>
    <row r="646" spans="1:26" hidden="1" x14ac:dyDescent="0.25">
      <c r="A646" s="2" t="s">
        <v>272</v>
      </c>
      <c r="B646" s="11" t="s">
        <v>619</v>
      </c>
      <c r="C646" s="11" t="s">
        <v>4</v>
      </c>
      <c r="D646" s="11" t="s">
        <v>621</v>
      </c>
      <c r="E646" s="11" t="s">
        <v>130</v>
      </c>
      <c r="F646" s="11" t="s">
        <v>643</v>
      </c>
      <c r="G646" s="12">
        <v>2</v>
      </c>
      <c r="H646" s="12">
        <v>19.8</v>
      </c>
      <c r="I646" s="12">
        <v>39.6</v>
      </c>
      <c r="J646" s="12">
        <v>42085.749999999985</v>
      </c>
      <c r="K646" s="20">
        <f t="shared" si="140"/>
        <v>4</v>
      </c>
      <c r="L646" s="20" t="str">
        <f t="shared" si="141"/>
        <v>Se repite 4 veces</v>
      </c>
      <c r="M646" s="20" t="str">
        <f t="shared" si="142"/>
        <v>Peru Chef-Provenzal Olluquito 78gr x 6</v>
      </c>
      <c r="N646" s="20">
        <f t="shared" si="143"/>
        <v>2</v>
      </c>
      <c r="O646" s="20" t="str">
        <f t="shared" si="144"/>
        <v>Se repite 2 veces en Peru Chef</v>
      </c>
      <c r="P646" s="20" t="str">
        <f t="shared" si="145"/>
        <v>Peru Chef-Provenzal Olluquito 78gr x 6-19.8</v>
      </c>
      <c r="Q646" s="20">
        <f t="shared" si="146"/>
        <v>1</v>
      </c>
      <c r="R646" s="20" t="str">
        <f t="shared" si="147"/>
        <v>No se repite</v>
      </c>
      <c r="S646" s="20" t="str">
        <f t="shared" si="148"/>
        <v>El producto Provenzal Olluquito 78gr x 6 Se repite 2 veces en Peru Chef Una vez con el precio 19.8</v>
      </c>
      <c r="T646" s="20" t="str">
        <f t="shared" si="149"/>
        <v>Peru Chef</v>
      </c>
      <c r="U646" s="20" t="str">
        <f t="shared" si="150"/>
        <v>Provenzal Olluquito 78gr x 6</v>
      </c>
      <c r="V646" s="22">
        <f t="shared" si="151"/>
        <v>19.8</v>
      </c>
      <c r="W646" t="str">
        <f t="shared" si="152"/>
        <v>Peru Chef 12/09/2025</v>
      </c>
      <c r="Z646">
        <f t="shared" si="153"/>
        <v>39.6</v>
      </c>
    </row>
    <row r="647" spans="1:26" hidden="1" x14ac:dyDescent="0.25">
      <c r="A647" s="2" t="s">
        <v>18</v>
      </c>
      <c r="B647" s="11" t="s">
        <v>19</v>
      </c>
      <c r="C647" s="11" t="s">
        <v>4</v>
      </c>
      <c r="D647" s="11" t="s">
        <v>20</v>
      </c>
      <c r="E647" s="11" t="s">
        <v>132</v>
      </c>
      <c r="F647" s="11" t="s">
        <v>133</v>
      </c>
      <c r="G647" s="12">
        <v>1</v>
      </c>
      <c r="H647" s="12">
        <v>34.4</v>
      </c>
      <c r="I647" s="12">
        <v>34.4</v>
      </c>
      <c r="J647" s="12">
        <v>5031.99</v>
      </c>
      <c r="K647" s="20">
        <f t="shared" si="140"/>
        <v>4</v>
      </c>
      <c r="L647" s="20" t="str">
        <f t="shared" si="141"/>
        <v>Se repite 4 veces</v>
      </c>
      <c r="M647" s="20" t="str">
        <f t="shared" si="142"/>
        <v>Belmont International Trading Corp-Provenzal Picarones Con Miel 165gr x 12</v>
      </c>
      <c r="N647" s="20">
        <f t="shared" si="143"/>
        <v>1</v>
      </c>
      <c r="O647" s="20" t="str">
        <f t="shared" si="144"/>
        <v>No se repite en proveedor</v>
      </c>
      <c r="P647" s="20" t="str">
        <f t="shared" si="145"/>
        <v>Belmont International Trading Corp-Provenzal Picarones Con Miel 165gr x 12-34.4</v>
      </c>
      <c r="Q647" s="20">
        <f t="shared" si="146"/>
        <v>1</v>
      </c>
      <c r="R647" s="20" t="str">
        <f t="shared" si="147"/>
        <v>No se repite</v>
      </c>
      <c r="S647" s="20" t="str">
        <f t="shared" si="148"/>
        <v>El producto Provenzal Picarones Con Miel 165gr x 12 No se repite en proveedor Una vez con el precio 34.4</v>
      </c>
      <c r="T647" s="20" t="str">
        <f t="shared" si="149"/>
        <v>Belmont International Trading Corp</v>
      </c>
      <c r="U647" s="20" t="str">
        <f t="shared" si="150"/>
        <v>Provenzal Picarones Con Miel 165gr x 12</v>
      </c>
      <c r="V647" s="22">
        <f t="shared" si="151"/>
        <v>34.4</v>
      </c>
      <c r="W647" t="str">
        <f t="shared" si="152"/>
        <v>Belmont International Trading Corp 04/28/2025</v>
      </c>
      <c r="Z647">
        <f t="shared" si="153"/>
        <v>34.4</v>
      </c>
    </row>
    <row r="648" spans="1:26" hidden="1" x14ac:dyDescent="0.25">
      <c r="A648" s="2" t="s">
        <v>272</v>
      </c>
      <c r="B648" s="11" t="s">
        <v>408</v>
      </c>
      <c r="C648" s="11" t="s">
        <v>4</v>
      </c>
      <c r="D648" s="11" t="s">
        <v>409</v>
      </c>
      <c r="E648" s="11" t="s">
        <v>132</v>
      </c>
      <c r="F648" s="11" t="s">
        <v>133</v>
      </c>
      <c r="G648" s="12">
        <v>1</v>
      </c>
      <c r="H648" s="12">
        <v>40</v>
      </c>
      <c r="I648" s="12">
        <v>40</v>
      </c>
      <c r="J648" s="12">
        <v>4856.1000000000004</v>
      </c>
      <c r="K648" s="20">
        <f t="shared" si="140"/>
        <v>4</v>
      </c>
      <c r="L648" s="20" t="str">
        <f t="shared" si="141"/>
        <v>Se repite 4 veces</v>
      </c>
      <c r="M648" s="20" t="str">
        <f t="shared" si="142"/>
        <v>Peru Chef-Provenzal Picarones Con Miel 165gr x 12</v>
      </c>
      <c r="N648" s="20">
        <f t="shared" si="143"/>
        <v>3</v>
      </c>
      <c r="O648" s="20" t="str">
        <f t="shared" si="144"/>
        <v>Se repite 3 veces en Peru Chef</v>
      </c>
      <c r="P648" s="20" t="str">
        <f t="shared" si="145"/>
        <v>Peru Chef-Provenzal Picarones Con Miel 165gr x 12-40</v>
      </c>
      <c r="Q648" s="20">
        <f t="shared" si="146"/>
        <v>3</v>
      </c>
      <c r="R648" s="20" t="str">
        <f t="shared" si="147"/>
        <v>Se repite 3 veces el precio de 40</v>
      </c>
      <c r="S648" s="20" t="str">
        <f t="shared" si="148"/>
        <v>El producto Provenzal Picarones Con Miel 165gr x 12 Se repite 3 veces en Peru Chef, Se repite 3 veces el precio de 40</v>
      </c>
      <c r="T648" s="20" t="str">
        <f t="shared" si="149"/>
        <v>Peru Chef</v>
      </c>
      <c r="U648" s="20" t="str">
        <f t="shared" si="150"/>
        <v>Provenzal Picarones Con Miel 165gr x 12</v>
      </c>
      <c r="V648" s="22">
        <f t="shared" si="151"/>
        <v>40</v>
      </c>
      <c r="W648" t="str">
        <f t="shared" si="152"/>
        <v>Peru Chef 04/13/2025</v>
      </c>
      <c r="Z648">
        <f t="shared" si="153"/>
        <v>40</v>
      </c>
    </row>
    <row r="649" spans="1:26" hidden="1" x14ac:dyDescent="0.25">
      <c r="A649" s="2" t="s">
        <v>272</v>
      </c>
      <c r="B649" s="11" t="s">
        <v>563</v>
      </c>
      <c r="C649" s="11" t="s">
        <v>4</v>
      </c>
      <c r="D649" s="11" t="s">
        <v>564</v>
      </c>
      <c r="E649" s="11" t="s">
        <v>132</v>
      </c>
      <c r="F649" s="11" t="s">
        <v>133</v>
      </c>
      <c r="G649" s="12">
        <v>5</v>
      </c>
      <c r="H649" s="12">
        <v>40</v>
      </c>
      <c r="I649" s="12">
        <v>200</v>
      </c>
      <c r="J649" s="12">
        <v>21851</v>
      </c>
      <c r="K649" s="20">
        <f t="shared" si="140"/>
        <v>4</v>
      </c>
      <c r="L649" s="20" t="str">
        <f t="shared" si="141"/>
        <v>Se repite 4 veces</v>
      </c>
      <c r="M649" s="20" t="str">
        <f t="shared" si="142"/>
        <v>Peru Chef-Provenzal Picarones Con Miel 165gr x 12</v>
      </c>
      <c r="N649" s="20">
        <f t="shared" si="143"/>
        <v>3</v>
      </c>
      <c r="O649" s="20" t="str">
        <f t="shared" si="144"/>
        <v>Se repite 3 veces en Peru Chef</v>
      </c>
      <c r="P649" s="20" t="str">
        <f t="shared" si="145"/>
        <v>Peru Chef-Provenzal Picarones Con Miel 165gr x 12-40</v>
      </c>
      <c r="Q649" s="20">
        <f t="shared" si="146"/>
        <v>3</v>
      </c>
      <c r="R649" s="20" t="str">
        <f t="shared" si="147"/>
        <v>Se repite 3 veces el precio de 40</v>
      </c>
      <c r="S649" s="20" t="str">
        <f t="shared" si="148"/>
        <v>El producto Provenzal Picarones Con Miel 165gr x 12 Se repite 3 veces en Peru Chef, Se repite 3 veces el precio de 40</v>
      </c>
      <c r="T649" s="20" t="str">
        <f t="shared" si="149"/>
        <v>Peru Chef</v>
      </c>
      <c r="U649" s="20" t="str">
        <f t="shared" si="150"/>
        <v>Provenzal Picarones Con Miel 165gr x 12</v>
      </c>
      <c r="V649" s="22">
        <f t="shared" si="151"/>
        <v>40</v>
      </c>
      <c r="W649" t="str">
        <f t="shared" si="152"/>
        <v>Peru Chef 09/11/2025</v>
      </c>
      <c r="Z649">
        <f t="shared" si="153"/>
        <v>200</v>
      </c>
    </row>
    <row r="650" spans="1:26" hidden="1" x14ac:dyDescent="0.25">
      <c r="A650" s="2" t="s">
        <v>272</v>
      </c>
      <c r="B650" s="11" t="s">
        <v>572</v>
      </c>
      <c r="C650" s="11" t="s">
        <v>4</v>
      </c>
      <c r="D650" s="11" t="s">
        <v>573</v>
      </c>
      <c r="E650" s="11" t="s">
        <v>132</v>
      </c>
      <c r="F650" s="11" t="s">
        <v>133</v>
      </c>
      <c r="G650" s="12">
        <v>4</v>
      </c>
      <c r="H650" s="12">
        <v>40</v>
      </c>
      <c r="I650" s="12">
        <v>160</v>
      </c>
      <c r="J650" s="12">
        <v>28911.5</v>
      </c>
      <c r="K650" s="20">
        <f t="shared" si="140"/>
        <v>4</v>
      </c>
      <c r="L650" s="20" t="str">
        <f t="shared" si="141"/>
        <v>Se repite 4 veces</v>
      </c>
      <c r="M650" s="20" t="str">
        <f t="shared" si="142"/>
        <v>Peru Chef-Provenzal Picarones Con Miel 165gr x 12</v>
      </c>
      <c r="N650" s="20">
        <f t="shared" si="143"/>
        <v>3</v>
      </c>
      <c r="O650" s="20" t="str">
        <f t="shared" si="144"/>
        <v>Se repite 3 veces en Peru Chef</v>
      </c>
      <c r="P650" s="20" t="str">
        <f t="shared" si="145"/>
        <v>Peru Chef-Provenzal Picarones Con Miel 165gr x 12-40</v>
      </c>
      <c r="Q650" s="20">
        <f t="shared" si="146"/>
        <v>3</v>
      </c>
      <c r="R650" s="20" t="str">
        <f t="shared" si="147"/>
        <v>Se repite 3 veces el precio de 40</v>
      </c>
      <c r="S650" s="20" t="str">
        <f t="shared" si="148"/>
        <v>El producto Provenzal Picarones Con Miel 165gr x 12 Se repite 3 veces en Peru Chef, Se repite 3 veces el precio de 40</v>
      </c>
      <c r="T650" s="20" t="str">
        <f t="shared" si="149"/>
        <v>Peru Chef</v>
      </c>
      <c r="U650" s="20" t="str">
        <f t="shared" si="150"/>
        <v>Provenzal Picarones Con Miel 165gr x 12</v>
      </c>
      <c r="V650" s="22">
        <f t="shared" si="151"/>
        <v>40</v>
      </c>
      <c r="W650" t="str">
        <f t="shared" si="152"/>
        <v>Peru Chef 10/09/2025</v>
      </c>
      <c r="Z650">
        <f t="shared" si="153"/>
        <v>160</v>
      </c>
    </row>
    <row r="651" spans="1:26" hidden="1" x14ac:dyDescent="0.25">
      <c r="A651" s="2" t="s">
        <v>18</v>
      </c>
      <c r="B651" s="11" t="s">
        <v>19</v>
      </c>
      <c r="C651" s="11" t="s">
        <v>4</v>
      </c>
      <c r="D651" s="11" t="s">
        <v>20</v>
      </c>
      <c r="E651" s="11" t="s">
        <v>134</v>
      </c>
      <c r="F651" s="11" t="s">
        <v>135</v>
      </c>
      <c r="G651" s="12">
        <v>1</v>
      </c>
      <c r="H651" s="12">
        <v>19.7</v>
      </c>
      <c r="I651" s="12">
        <v>19.7</v>
      </c>
      <c r="J651" s="12">
        <v>5051.6899999999996</v>
      </c>
      <c r="K651" s="20">
        <f t="shared" si="140"/>
        <v>1</v>
      </c>
      <c r="L651" s="20" t="str">
        <f t="shared" si="141"/>
        <v>No se repite</v>
      </c>
      <c r="M651" s="20" t="str">
        <f t="shared" si="142"/>
        <v>Belmont International Trading Corp-Provenzal Sopa A La Minuta 78gr x 10</v>
      </c>
      <c r="N651" s="20">
        <f t="shared" si="143"/>
        <v>1</v>
      </c>
      <c r="O651" s="20" t="str">
        <f t="shared" si="144"/>
        <v>No se repite en proveedor</v>
      </c>
      <c r="P651" s="20" t="str">
        <f t="shared" si="145"/>
        <v>Belmont International Trading Corp-Provenzal Sopa A La Minuta 78gr x 10-19.7</v>
      </c>
      <c r="Q651" s="20">
        <f t="shared" si="146"/>
        <v>1</v>
      </c>
      <c r="R651" s="20" t="str">
        <f t="shared" si="147"/>
        <v>No se repite</v>
      </c>
      <c r="S651" s="20" t="str">
        <f t="shared" si="148"/>
        <v>El producto Provenzal Sopa A La Minuta 78gr x 10 No se repite en proveedor Una vez con el precio 19.7</v>
      </c>
      <c r="T651" s="20" t="str">
        <f t="shared" si="149"/>
        <v>Belmont International Trading Corp</v>
      </c>
      <c r="U651" s="20" t="str">
        <f t="shared" si="150"/>
        <v>Provenzal Sopa A La Minuta 78gr x 10</v>
      </c>
      <c r="V651" s="22">
        <f t="shared" si="151"/>
        <v>19.7</v>
      </c>
      <c r="W651" t="str">
        <f t="shared" si="152"/>
        <v>Belmont International Trading Corp 04/28/2025</v>
      </c>
      <c r="Z651">
        <f t="shared" si="153"/>
        <v>19.7</v>
      </c>
    </row>
    <row r="652" spans="1:26" hidden="1" x14ac:dyDescent="0.25">
      <c r="A652" s="2" t="s">
        <v>664</v>
      </c>
      <c r="B652" s="11" t="s">
        <v>158</v>
      </c>
      <c r="C652" s="11" t="s">
        <v>4</v>
      </c>
      <c r="D652" s="11" t="s">
        <v>984</v>
      </c>
      <c r="E652" s="11" t="s">
        <v>999</v>
      </c>
      <c r="F652" s="11" t="s">
        <v>999</v>
      </c>
      <c r="G652" s="12">
        <v>3</v>
      </c>
      <c r="H652" s="12">
        <v>9.99</v>
      </c>
      <c r="I652" s="12">
        <v>29.97</v>
      </c>
      <c r="J652" s="12">
        <v>37815.360000000001</v>
      </c>
      <c r="K652" s="20">
        <f t="shared" si="140"/>
        <v>5</v>
      </c>
      <c r="L652" s="20" t="str">
        <f t="shared" si="141"/>
        <v>Se repite 5 veces</v>
      </c>
      <c r="M652" s="20" t="str">
        <f t="shared" si="142"/>
        <v>Tradiciones Andinas-Quick Oats / Avena</v>
      </c>
      <c r="N652" s="20">
        <f t="shared" si="143"/>
        <v>5</v>
      </c>
      <c r="O652" s="20" t="str">
        <f t="shared" si="144"/>
        <v>Se repite 5 veces en Tradiciones Andinas</v>
      </c>
      <c r="P652" s="20" t="str">
        <f t="shared" si="145"/>
        <v>Tradiciones Andinas-Quick Oats / Avena-9.99</v>
      </c>
      <c r="Q652" s="20">
        <f t="shared" si="146"/>
        <v>5</v>
      </c>
      <c r="R652" s="20" t="str">
        <f t="shared" si="147"/>
        <v>Se repite 5 veces el precio de 9.99</v>
      </c>
      <c r="S652" s="20" t="str">
        <f t="shared" si="148"/>
        <v>El producto Quick Oats / Avena Se repite 5 veces en Tradiciones Andinas, Se repite 5 veces el precio de 9.99</v>
      </c>
      <c r="T652" s="20" t="str">
        <f t="shared" si="149"/>
        <v>Tradiciones Andinas</v>
      </c>
      <c r="U652" s="20" t="str">
        <f t="shared" si="150"/>
        <v>Quick Oats / Avena</v>
      </c>
      <c r="V652" s="22">
        <f t="shared" si="151"/>
        <v>9.99</v>
      </c>
      <c r="W652" t="str">
        <f t="shared" si="152"/>
        <v>Tradiciones Andinas 06/12/2025</v>
      </c>
      <c r="Z652">
        <f t="shared" si="153"/>
        <v>29.97</v>
      </c>
    </row>
    <row r="653" spans="1:26" hidden="1" x14ac:dyDescent="0.25">
      <c r="A653" s="2" t="s">
        <v>664</v>
      </c>
      <c r="B653" s="11" t="s">
        <v>1029</v>
      </c>
      <c r="C653" s="11" t="s">
        <v>4</v>
      </c>
      <c r="D653" s="11" t="s">
        <v>1030</v>
      </c>
      <c r="E653" s="11" t="s">
        <v>999</v>
      </c>
      <c r="F653" s="11" t="s">
        <v>1031</v>
      </c>
      <c r="G653" s="12">
        <v>3</v>
      </c>
      <c r="H653" s="12">
        <v>9.99</v>
      </c>
      <c r="I653" s="12">
        <v>29.97</v>
      </c>
      <c r="J653" s="12">
        <v>44092.83</v>
      </c>
      <c r="K653" s="20">
        <f t="shared" si="140"/>
        <v>5</v>
      </c>
      <c r="L653" s="20" t="str">
        <f t="shared" si="141"/>
        <v>Se repite 5 veces</v>
      </c>
      <c r="M653" s="20" t="str">
        <f t="shared" si="142"/>
        <v>Tradiciones Andinas-Quick Oats / Avena</v>
      </c>
      <c r="N653" s="20">
        <f t="shared" si="143"/>
        <v>5</v>
      </c>
      <c r="O653" s="20" t="str">
        <f t="shared" si="144"/>
        <v>Se repite 5 veces en Tradiciones Andinas</v>
      </c>
      <c r="P653" s="20" t="str">
        <f t="shared" si="145"/>
        <v>Tradiciones Andinas-Quick Oats / Avena-9.99</v>
      </c>
      <c r="Q653" s="20">
        <f t="shared" si="146"/>
        <v>5</v>
      </c>
      <c r="R653" s="20" t="str">
        <f t="shared" si="147"/>
        <v>Se repite 5 veces el precio de 9.99</v>
      </c>
      <c r="S653" s="20" t="str">
        <f t="shared" si="148"/>
        <v>El producto Quick Oats / Avena Se repite 5 veces en Tradiciones Andinas, Se repite 5 veces el precio de 9.99</v>
      </c>
      <c r="T653" s="20" t="str">
        <f t="shared" si="149"/>
        <v>Tradiciones Andinas</v>
      </c>
      <c r="U653" s="20" t="str">
        <f t="shared" si="150"/>
        <v>Quick Oats / Avena</v>
      </c>
      <c r="V653" s="22">
        <f t="shared" si="151"/>
        <v>9.99</v>
      </c>
      <c r="W653" t="str">
        <f t="shared" si="152"/>
        <v>Tradiciones Andinas 06/17/2025</v>
      </c>
      <c r="Z653">
        <f t="shared" si="153"/>
        <v>29.97</v>
      </c>
    </row>
    <row r="654" spans="1:26" hidden="1" x14ac:dyDescent="0.25">
      <c r="A654" s="2" t="s">
        <v>664</v>
      </c>
      <c r="B654" s="11" t="s">
        <v>1033</v>
      </c>
      <c r="C654" s="11" t="s">
        <v>4</v>
      </c>
      <c r="D654" s="11" t="s">
        <v>1034</v>
      </c>
      <c r="E654" s="11" t="s">
        <v>999</v>
      </c>
      <c r="F654" s="11" t="s">
        <v>1031</v>
      </c>
      <c r="G654" s="12">
        <v>12</v>
      </c>
      <c r="H654" s="12">
        <v>9.99</v>
      </c>
      <c r="I654" s="12">
        <v>119.88</v>
      </c>
      <c r="J654" s="12">
        <v>49579.989999999969</v>
      </c>
      <c r="K654" s="20">
        <f t="shared" si="140"/>
        <v>5</v>
      </c>
      <c r="L654" s="20" t="str">
        <f t="shared" si="141"/>
        <v>Se repite 5 veces</v>
      </c>
      <c r="M654" s="20" t="str">
        <f t="shared" si="142"/>
        <v>Tradiciones Andinas-Quick Oats / Avena</v>
      </c>
      <c r="N654" s="20">
        <f t="shared" si="143"/>
        <v>5</v>
      </c>
      <c r="O654" s="20" t="str">
        <f t="shared" si="144"/>
        <v>Se repite 5 veces en Tradiciones Andinas</v>
      </c>
      <c r="P654" s="20" t="str">
        <f t="shared" si="145"/>
        <v>Tradiciones Andinas-Quick Oats / Avena-9.99</v>
      </c>
      <c r="Q654" s="20">
        <f t="shared" si="146"/>
        <v>5</v>
      </c>
      <c r="R654" s="20" t="str">
        <f t="shared" si="147"/>
        <v>Se repite 5 veces el precio de 9.99</v>
      </c>
      <c r="S654" s="20" t="str">
        <f t="shared" si="148"/>
        <v>El producto Quick Oats / Avena Se repite 5 veces en Tradiciones Andinas, Se repite 5 veces el precio de 9.99</v>
      </c>
      <c r="T654" s="20" t="str">
        <f t="shared" si="149"/>
        <v>Tradiciones Andinas</v>
      </c>
      <c r="U654" s="20" t="str">
        <f t="shared" si="150"/>
        <v>Quick Oats / Avena</v>
      </c>
      <c r="V654" s="22">
        <f t="shared" si="151"/>
        <v>9.99</v>
      </c>
      <c r="W654" t="str">
        <f t="shared" si="152"/>
        <v>Tradiciones Andinas 07/03/2025</v>
      </c>
      <c r="Z654">
        <f t="shared" si="153"/>
        <v>119.88</v>
      </c>
    </row>
    <row r="655" spans="1:26" hidden="1" x14ac:dyDescent="0.25">
      <c r="A655" s="2" t="s">
        <v>664</v>
      </c>
      <c r="B655" s="11" t="s">
        <v>1201</v>
      </c>
      <c r="C655" s="11" t="s">
        <v>4</v>
      </c>
      <c r="D655" s="11" t="s">
        <v>1202</v>
      </c>
      <c r="E655" s="11" t="s">
        <v>999</v>
      </c>
      <c r="F655" s="11" t="s">
        <v>1031</v>
      </c>
      <c r="G655" s="12">
        <v>2</v>
      </c>
      <c r="H655" s="12">
        <v>9.99</v>
      </c>
      <c r="I655" s="12">
        <v>19.98</v>
      </c>
      <c r="J655" s="12">
        <v>101815.96999999993</v>
      </c>
      <c r="K655" s="20">
        <f t="shared" si="140"/>
        <v>5</v>
      </c>
      <c r="L655" s="20" t="str">
        <f t="shared" si="141"/>
        <v>Se repite 5 veces</v>
      </c>
      <c r="M655" s="20" t="str">
        <f t="shared" si="142"/>
        <v>Tradiciones Andinas-Quick Oats / Avena</v>
      </c>
      <c r="N655" s="20">
        <f t="shared" si="143"/>
        <v>5</v>
      </c>
      <c r="O655" s="20" t="str">
        <f t="shared" si="144"/>
        <v>Se repite 5 veces en Tradiciones Andinas</v>
      </c>
      <c r="P655" s="20" t="str">
        <f t="shared" si="145"/>
        <v>Tradiciones Andinas-Quick Oats / Avena-9.99</v>
      </c>
      <c r="Q655" s="20">
        <f t="shared" si="146"/>
        <v>5</v>
      </c>
      <c r="R655" s="20" t="str">
        <f t="shared" si="147"/>
        <v>Se repite 5 veces el precio de 9.99</v>
      </c>
      <c r="S655" s="20" t="str">
        <f t="shared" si="148"/>
        <v>El producto Quick Oats / Avena Se repite 5 veces en Tradiciones Andinas, Se repite 5 veces el precio de 9.99</v>
      </c>
      <c r="T655" s="20" t="str">
        <f t="shared" si="149"/>
        <v>Tradiciones Andinas</v>
      </c>
      <c r="U655" s="20" t="str">
        <f t="shared" si="150"/>
        <v>Quick Oats / Avena</v>
      </c>
      <c r="V655" s="22">
        <f t="shared" si="151"/>
        <v>9.99</v>
      </c>
      <c r="W655" t="str">
        <f t="shared" si="152"/>
        <v>Tradiciones Andinas 11/07/2025</v>
      </c>
      <c r="Z655">
        <f t="shared" si="153"/>
        <v>19.98</v>
      </c>
    </row>
    <row r="656" spans="1:26" hidden="1" x14ac:dyDescent="0.25">
      <c r="A656" s="2" t="s">
        <v>664</v>
      </c>
      <c r="B656" s="11" t="s">
        <v>1224</v>
      </c>
      <c r="C656" s="11" t="s">
        <v>4</v>
      </c>
      <c r="D656" s="11" t="s">
        <v>1225</v>
      </c>
      <c r="E656" s="11" t="s">
        <v>999</v>
      </c>
      <c r="F656" s="11" t="s">
        <v>1031</v>
      </c>
      <c r="G656" s="12">
        <v>4</v>
      </c>
      <c r="H656" s="12">
        <v>9.99</v>
      </c>
      <c r="I656" s="12">
        <v>39.96</v>
      </c>
      <c r="J656" s="12">
        <v>117812.9999999999</v>
      </c>
      <c r="K656" s="20">
        <f t="shared" si="140"/>
        <v>5</v>
      </c>
      <c r="L656" s="20" t="str">
        <f t="shared" si="141"/>
        <v>Se repite 5 veces</v>
      </c>
      <c r="M656" s="20" t="str">
        <f t="shared" si="142"/>
        <v>Tradiciones Andinas-Quick Oats / Avena</v>
      </c>
      <c r="N656" s="20">
        <f t="shared" si="143"/>
        <v>5</v>
      </c>
      <c r="O656" s="20" t="str">
        <f t="shared" si="144"/>
        <v>Se repite 5 veces en Tradiciones Andinas</v>
      </c>
      <c r="P656" s="20" t="str">
        <f t="shared" si="145"/>
        <v>Tradiciones Andinas-Quick Oats / Avena-9.99</v>
      </c>
      <c r="Q656" s="20">
        <f t="shared" si="146"/>
        <v>5</v>
      </c>
      <c r="R656" s="20" t="str">
        <f t="shared" si="147"/>
        <v>Se repite 5 veces el precio de 9.99</v>
      </c>
      <c r="S656" s="20" t="str">
        <f t="shared" si="148"/>
        <v>El producto Quick Oats / Avena Se repite 5 veces en Tradiciones Andinas, Se repite 5 veces el precio de 9.99</v>
      </c>
      <c r="T656" s="20" t="str">
        <f t="shared" si="149"/>
        <v>Tradiciones Andinas</v>
      </c>
      <c r="U656" s="20" t="str">
        <f t="shared" si="150"/>
        <v>Quick Oats / Avena</v>
      </c>
      <c r="V656" s="22">
        <f t="shared" si="151"/>
        <v>9.99</v>
      </c>
      <c r="W656" t="str">
        <f t="shared" si="152"/>
        <v>Tradiciones Andinas 12/03/2025</v>
      </c>
      <c r="Z656">
        <f t="shared" si="153"/>
        <v>39.96</v>
      </c>
    </row>
    <row r="657" spans="1:26" hidden="1" x14ac:dyDescent="0.25">
      <c r="A657" s="2" t="s">
        <v>272</v>
      </c>
      <c r="B657" s="11" t="s">
        <v>273</v>
      </c>
      <c r="C657" s="11" t="s">
        <v>4</v>
      </c>
      <c r="D657" s="11" t="s">
        <v>5</v>
      </c>
      <c r="E657" s="11" t="s">
        <v>370</v>
      </c>
      <c r="F657" s="11" t="s">
        <v>371</v>
      </c>
      <c r="G657" s="12">
        <v>1</v>
      </c>
      <c r="H657" s="12">
        <v>8</v>
      </c>
      <c r="I657" s="12">
        <v>8</v>
      </c>
      <c r="J657" s="12">
        <v>1576.1999999999998</v>
      </c>
      <c r="K657" s="20">
        <f t="shared" si="140"/>
        <v>7</v>
      </c>
      <c r="L657" s="20" t="str">
        <f t="shared" si="141"/>
        <v>Se repite 7 veces</v>
      </c>
      <c r="M657" s="20" t="str">
        <f t="shared" si="142"/>
        <v>Peru Chef-San Jorge Galleta Soda  40gr  x 7 x 4</v>
      </c>
      <c r="N657" s="20">
        <f t="shared" si="143"/>
        <v>7</v>
      </c>
      <c r="O657" s="20" t="str">
        <f t="shared" si="144"/>
        <v>Se repite 7 veces en Peru Chef</v>
      </c>
      <c r="P657" s="20" t="str">
        <f t="shared" si="145"/>
        <v>Peru Chef-San Jorge Galleta Soda  40gr  x 7 x 4-8</v>
      </c>
      <c r="Q657" s="20">
        <f t="shared" si="146"/>
        <v>5</v>
      </c>
      <c r="R657" s="20" t="str">
        <f t="shared" si="147"/>
        <v>Se repite 5 veces el precio de 8</v>
      </c>
      <c r="S657" s="20" t="str">
        <f t="shared" si="148"/>
        <v>El producto San Jorge Galleta Soda  40gr  x 7 x 4 Se repite 7 veces en Peru Chef, Se repite 5 veces el precio de 8</v>
      </c>
      <c r="T657" s="20" t="str">
        <f t="shared" si="149"/>
        <v>Peru Chef</v>
      </c>
      <c r="U657" s="20" t="str">
        <f t="shared" si="150"/>
        <v>San Jorge Galleta Soda  40gr  x 7 x 4</v>
      </c>
      <c r="V657" s="22">
        <f t="shared" si="151"/>
        <v>8</v>
      </c>
      <c r="W657" t="str">
        <f t="shared" si="152"/>
        <v>Peru Chef 03/26/2025</v>
      </c>
      <c r="Z657">
        <f t="shared" si="153"/>
        <v>8</v>
      </c>
    </row>
    <row r="658" spans="1:26" hidden="1" x14ac:dyDescent="0.25">
      <c r="A658" s="2" t="s">
        <v>272</v>
      </c>
      <c r="B658" s="11" t="s">
        <v>398</v>
      </c>
      <c r="C658" s="11" t="s">
        <v>4</v>
      </c>
      <c r="D658" s="11" t="s">
        <v>399</v>
      </c>
      <c r="E658" s="11" t="s">
        <v>370</v>
      </c>
      <c r="F658" s="11" t="s">
        <v>371</v>
      </c>
      <c r="G658" s="12">
        <v>1</v>
      </c>
      <c r="H658" s="12">
        <v>8</v>
      </c>
      <c r="I658" s="12">
        <v>8</v>
      </c>
      <c r="J658" s="12">
        <v>3641</v>
      </c>
      <c r="K658" s="20">
        <f t="shared" si="140"/>
        <v>7</v>
      </c>
      <c r="L658" s="20" t="str">
        <f t="shared" si="141"/>
        <v>Se repite 7 veces</v>
      </c>
      <c r="M658" s="20" t="str">
        <f t="shared" si="142"/>
        <v>Peru Chef-San Jorge Galleta Soda  40gr  x 7 x 4</v>
      </c>
      <c r="N658" s="20">
        <f t="shared" si="143"/>
        <v>7</v>
      </c>
      <c r="O658" s="20" t="str">
        <f t="shared" si="144"/>
        <v>Se repite 7 veces en Peru Chef</v>
      </c>
      <c r="P658" s="20" t="str">
        <f t="shared" si="145"/>
        <v>Peru Chef-San Jorge Galleta Soda  40gr  x 7 x 4-8</v>
      </c>
      <c r="Q658" s="20">
        <f t="shared" si="146"/>
        <v>5</v>
      </c>
      <c r="R658" s="20" t="str">
        <f t="shared" si="147"/>
        <v>Se repite 5 veces el precio de 8</v>
      </c>
      <c r="S658" s="20" t="str">
        <f t="shared" si="148"/>
        <v>El producto San Jorge Galleta Soda  40gr  x 7 x 4 Se repite 7 veces en Peru Chef, Se repite 5 veces el precio de 8</v>
      </c>
      <c r="T658" s="20" t="str">
        <f t="shared" si="149"/>
        <v>Peru Chef</v>
      </c>
      <c r="U658" s="20" t="str">
        <f t="shared" si="150"/>
        <v>San Jorge Galleta Soda  40gr  x 7 x 4</v>
      </c>
      <c r="V658" s="22">
        <f t="shared" si="151"/>
        <v>8</v>
      </c>
      <c r="W658" t="str">
        <f t="shared" si="152"/>
        <v>Peru Chef 04/10/2025</v>
      </c>
      <c r="Z658">
        <f t="shared" si="153"/>
        <v>8</v>
      </c>
    </row>
    <row r="659" spans="1:26" hidden="1" x14ac:dyDescent="0.25">
      <c r="A659" s="2" t="s">
        <v>272</v>
      </c>
      <c r="B659" s="11" t="s">
        <v>408</v>
      </c>
      <c r="C659" s="11" t="s">
        <v>4</v>
      </c>
      <c r="D659" s="11" t="s">
        <v>409</v>
      </c>
      <c r="E659" s="11" t="s">
        <v>370</v>
      </c>
      <c r="F659" s="11" t="s">
        <v>428</v>
      </c>
      <c r="G659" s="12">
        <v>5</v>
      </c>
      <c r="H659" s="12">
        <v>8</v>
      </c>
      <c r="I659" s="12">
        <v>40</v>
      </c>
      <c r="J659" s="12">
        <v>5638.6</v>
      </c>
      <c r="K659" s="20">
        <f t="shared" si="140"/>
        <v>7</v>
      </c>
      <c r="L659" s="20" t="str">
        <f t="shared" si="141"/>
        <v>Se repite 7 veces</v>
      </c>
      <c r="M659" s="20" t="str">
        <f t="shared" si="142"/>
        <v>Peru Chef-San Jorge Galleta Soda  40gr  x 7 x 4</v>
      </c>
      <c r="N659" s="20">
        <f t="shared" si="143"/>
        <v>7</v>
      </c>
      <c r="O659" s="20" t="str">
        <f t="shared" si="144"/>
        <v>Se repite 7 veces en Peru Chef</v>
      </c>
      <c r="P659" s="20" t="str">
        <f t="shared" si="145"/>
        <v>Peru Chef-San Jorge Galleta Soda  40gr  x 7 x 4-8</v>
      </c>
      <c r="Q659" s="20">
        <f t="shared" si="146"/>
        <v>5</v>
      </c>
      <c r="R659" s="20" t="str">
        <f t="shared" si="147"/>
        <v>Se repite 5 veces el precio de 8</v>
      </c>
      <c r="S659" s="20" t="str">
        <f t="shared" si="148"/>
        <v>El producto San Jorge Galleta Soda  40gr  x 7 x 4 Se repite 7 veces en Peru Chef, Se repite 5 veces el precio de 8</v>
      </c>
      <c r="T659" s="20" t="str">
        <f t="shared" si="149"/>
        <v>Peru Chef</v>
      </c>
      <c r="U659" s="20" t="str">
        <f t="shared" si="150"/>
        <v>San Jorge Galleta Soda  40gr  x 7 x 4</v>
      </c>
      <c r="V659" s="22">
        <f t="shared" si="151"/>
        <v>8</v>
      </c>
      <c r="W659" t="str">
        <f t="shared" si="152"/>
        <v>Peru Chef 04/13/2025</v>
      </c>
      <c r="Z659">
        <f t="shared" si="153"/>
        <v>40</v>
      </c>
    </row>
    <row r="660" spans="1:26" hidden="1" x14ac:dyDescent="0.25">
      <c r="A660" s="2" t="s">
        <v>272</v>
      </c>
      <c r="B660" s="11" t="s">
        <v>444</v>
      </c>
      <c r="C660" s="11" t="s">
        <v>4</v>
      </c>
      <c r="D660" s="11" t="s">
        <v>445</v>
      </c>
      <c r="E660" s="11" t="s">
        <v>370</v>
      </c>
      <c r="F660" s="11" t="s">
        <v>428</v>
      </c>
      <c r="G660" s="12">
        <v>15</v>
      </c>
      <c r="H660" s="12">
        <v>8</v>
      </c>
      <c r="I660" s="12">
        <v>120</v>
      </c>
      <c r="J660" s="12">
        <v>9047.7000000000007</v>
      </c>
      <c r="K660" s="20">
        <f t="shared" si="140"/>
        <v>7</v>
      </c>
      <c r="L660" s="20" t="str">
        <f t="shared" si="141"/>
        <v>Se repite 7 veces</v>
      </c>
      <c r="M660" s="20" t="str">
        <f t="shared" si="142"/>
        <v>Peru Chef-San Jorge Galleta Soda  40gr  x 7 x 4</v>
      </c>
      <c r="N660" s="20">
        <f t="shared" si="143"/>
        <v>7</v>
      </c>
      <c r="O660" s="20" t="str">
        <f t="shared" si="144"/>
        <v>Se repite 7 veces en Peru Chef</v>
      </c>
      <c r="P660" s="20" t="str">
        <f t="shared" si="145"/>
        <v>Peru Chef-San Jorge Galleta Soda  40gr  x 7 x 4-8</v>
      </c>
      <c r="Q660" s="20">
        <f t="shared" si="146"/>
        <v>5</v>
      </c>
      <c r="R660" s="20" t="str">
        <f t="shared" si="147"/>
        <v>Se repite 5 veces el precio de 8</v>
      </c>
      <c r="S660" s="20" t="str">
        <f t="shared" si="148"/>
        <v>El producto San Jorge Galleta Soda  40gr  x 7 x 4 Se repite 7 veces en Peru Chef, Se repite 5 veces el precio de 8</v>
      </c>
      <c r="T660" s="20" t="str">
        <f t="shared" si="149"/>
        <v>Peru Chef</v>
      </c>
      <c r="U660" s="20" t="str">
        <f t="shared" si="150"/>
        <v>San Jorge Galleta Soda  40gr  x 7 x 4</v>
      </c>
      <c r="V660" s="22">
        <f t="shared" si="151"/>
        <v>8</v>
      </c>
      <c r="W660" t="str">
        <f t="shared" si="152"/>
        <v>Peru Chef 04/24/2025</v>
      </c>
      <c r="Z660">
        <f t="shared" si="153"/>
        <v>120</v>
      </c>
    </row>
    <row r="661" spans="1:26" hidden="1" x14ac:dyDescent="0.25">
      <c r="A661" s="2" t="s">
        <v>272</v>
      </c>
      <c r="B661" s="11" t="s">
        <v>512</v>
      </c>
      <c r="C661" s="11" t="s">
        <v>4</v>
      </c>
      <c r="D661" s="11" t="s">
        <v>513</v>
      </c>
      <c r="E661" s="11" t="s">
        <v>370</v>
      </c>
      <c r="F661" s="11" t="s">
        <v>428</v>
      </c>
      <c r="G661" s="12">
        <v>20</v>
      </c>
      <c r="H661" s="12">
        <v>8</v>
      </c>
      <c r="I661" s="12">
        <v>160</v>
      </c>
      <c r="J661" s="12">
        <v>18737.5</v>
      </c>
      <c r="K661" s="20">
        <f t="shared" si="140"/>
        <v>7</v>
      </c>
      <c r="L661" s="20" t="str">
        <f t="shared" si="141"/>
        <v>Se repite 7 veces</v>
      </c>
      <c r="M661" s="20" t="str">
        <f t="shared" si="142"/>
        <v>Peru Chef-San Jorge Galleta Soda  40gr  x 7 x 4</v>
      </c>
      <c r="N661" s="20">
        <f t="shared" si="143"/>
        <v>7</v>
      </c>
      <c r="O661" s="20" t="str">
        <f t="shared" si="144"/>
        <v>Se repite 7 veces en Peru Chef</v>
      </c>
      <c r="P661" s="20" t="str">
        <f t="shared" si="145"/>
        <v>Peru Chef-San Jorge Galleta Soda  40gr  x 7 x 4-8</v>
      </c>
      <c r="Q661" s="20">
        <f t="shared" si="146"/>
        <v>5</v>
      </c>
      <c r="R661" s="20" t="str">
        <f t="shared" si="147"/>
        <v>Se repite 5 veces el precio de 8</v>
      </c>
      <c r="S661" s="20" t="str">
        <f t="shared" si="148"/>
        <v>El producto San Jorge Galleta Soda  40gr  x 7 x 4 Se repite 7 veces en Peru Chef, Se repite 5 veces el precio de 8</v>
      </c>
      <c r="T661" s="20" t="str">
        <f t="shared" si="149"/>
        <v>Peru Chef</v>
      </c>
      <c r="U661" s="20" t="str">
        <f t="shared" si="150"/>
        <v>San Jorge Galleta Soda  40gr  x 7 x 4</v>
      </c>
      <c r="V661" s="22">
        <f t="shared" si="151"/>
        <v>8</v>
      </c>
      <c r="W661" t="str">
        <f t="shared" si="152"/>
        <v>Peru Chef 08/28/2025</v>
      </c>
      <c r="Z661">
        <f t="shared" si="153"/>
        <v>160</v>
      </c>
    </row>
    <row r="662" spans="1:26" hidden="1" x14ac:dyDescent="0.25">
      <c r="A662" s="2" t="s">
        <v>272</v>
      </c>
      <c r="B662" s="11" t="s">
        <v>600</v>
      </c>
      <c r="C662" s="11" t="s">
        <v>4</v>
      </c>
      <c r="D662" s="11" t="s">
        <v>601</v>
      </c>
      <c r="E662" s="11" t="s">
        <v>370</v>
      </c>
      <c r="F662" s="11" t="s">
        <v>428</v>
      </c>
      <c r="G662" s="12">
        <v>35</v>
      </c>
      <c r="H662" s="12">
        <v>7.2</v>
      </c>
      <c r="I662" s="12">
        <v>252</v>
      </c>
      <c r="J662" s="12">
        <v>36403.150000000016</v>
      </c>
      <c r="K662" s="20">
        <f t="shared" si="140"/>
        <v>7</v>
      </c>
      <c r="L662" s="20" t="str">
        <f t="shared" si="141"/>
        <v>Se repite 7 veces</v>
      </c>
      <c r="M662" s="20" t="str">
        <f t="shared" si="142"/>
        <v>Peru Chef-San Jorge Galleta Soda  40gr  x 7 x 4</v>
      </c>
      <c r="N662" s="20">
        <f t="shared" si="143"/>
        <v>7</v>
      </c>
      <c r="O662" s="20" t="str">
        <f t="shared" si="144"/>
        <v>Se repite 7 veces en Peru Chef</v>
      </c>
      <c r="P662" s="20" t="str">
        <f t="shared" si="145"/>
        <v>Peru Chef-San Jorge Galleta Soda  40gr  x 7 x 4-7.2</v>
      </c>
      <c r="Q662" s="20">
        <f t="shared" si="146"/>
        <v>2</v>
      </c>
      <c r="R662" s="20" t="str">
        <f t="shared" si="147"/>
        <v>Se repite 2 veces el precio de 7.2</v>
      </c>
      <c r="S662" s="20" t="str">
        <f t="shared" si="148"/>
        <v>El producto San Jorge Galleta Soda  40gr  x 7 x 4 Se repite 7 veces en Peru Chef, Se repite 2 veces el precio de 7.2</v>
      </c>
      <c r="T662" s="20" t="str">
        <f t="shared" si="149"/>
        <v>Peru Chef</v>
      </c>
      <c r="U662" s="20" t="str">
        <f t="shared" si="150"/>
        <v>San Jorge Galleta Soda  40gr  x 7 x 4</v>
      </c>
      <c r="V662" s="22">
        <f t="shared" si="151"/>
        <v>7.2</v>
      </c>
      <c r="W662" t="str">
        <f t="shared" si="152"/>
        <v>Peru Chef 11/14/2025</v>
      </c>
      <c r="Z662">
        <f t="shared" si="153"/>
        <v>252</v>
      </c>
    </row>
    <row r="663" spans="1:26" hidden="1" x14ac:dyDescent="0.25">
      <c r="A663" s="2" t="s">
        <v>272</v>
      </c>
      <c r="B663" s="11" t="s">
        <v>619</v>
      </c>
      <c r="C663" s="11" t="s">
        <v>4</v>
      </c>
      <c r="D663" s="11" t="s">
        <v>621</v>
      </c>
      <c r="E663" s="11" t="s">
        <v>370</v>
      </c>
      <c r="F663" s="11" t="s">
        <v>428</v>
      </c>
      <c r="G663" s="12">
        <v>10</v>
      </c>
      <c r="H663" s="12">
        <v>7.2</v>
      </c>
      <c r="I663" s="12">
        <v>72</v>
      </c>
      <c r="J663" s="12">
        <v>42256.749999999985</v>
      </c>
      <c r="K663" s="20">
        <f t="shared" si="140"/>
        <v>7</v>
      </c>
      <c r="L663" s="20" t="str">
        <f t="shared" si="141"/>
        <v>Se repite 7 veces</v>
      </c>
      <c r="M663" s="20" t="str">
        <f t="shared" si="142"/>
        <v>Peru Chef-San Jorge Galleta Soda  40gr  x 7 x 4</v>
      </c>
      <c r="N663" s="20">
        <f t="shared" si="143"/>
        <v>7</v>
      </c>
      <c r="O663" s="20" t="str">
        <f t="shared" si="144"/>
        <v>Se repite 7 veces en Peru Chef</v>
      </c>
      <c r="P663" s="20" t="str">
        <f t="shared" si="145"/>
        <v>Peru Chef-San Jorge Galleta Soda  40gr  x 7 x 4-7.2</v>
      </c>
      <c r="Q663" s="20">
        <f t="shared" si="146"/>
        <v>2</v>
      </c>
      <c r="R663" s="20" t="str">
        <f t="shared" si="147"/>
        <v>Se repite 2 veces el precio de 7.2</v>
      </c>
      <c r="S663" s="20" t="str">
        <f t="shared" si="148"/>
        <v>El producto San Jorge Galleta Soda  40gr  x 7 x 4 Se repite 7 veces en Peru Chef, Se repite 2 veces el precio de 7.2</v>
      </c>
      <c r="T663" s="20" t="str">
        <f t="shared" si="149"/>
        <v>Peru Chef</v>
      </c>
      <c r="U663" s="20" t="str">
        <f t="shared" si="150"/>
        <v>San Jorge Galleta Soda  40gr  x 7 x 4</v>
      </c>
      <c r="V663" s="22">
        <f t="shared" si="151"/>
        <v>7.2</v>
      </c>
      <c r="W663" t="str">
        <f t="shared" si="152"/>
        <v>Peru Chef 12/09/2025</v>
      </c>
      <c r="Z663">
        <f t="shared" si="153"/>
        <v>72</v>
      </c>
    </row>
    <row r="664" spans="1:26" hidden="1" x14ac:dyDescent="0.25">
      <c r="A664" s="2" t="s">
        <v>272</v>
      </c>
      <c r="B664" s="11" t="s">
        <v>408</v>
      </c>
      <c r="C664" s="11" t="s">
        <v>4</v>
      </c>
      <c r="D664" s="11" t="s">
        <v>409</v>
      </c>
      <c r="E664" s="11" t="s">
        <v>426</v>
      </c>
      <c r="F664" s="11" t="s">
        <v>427</v>
      </c>
      <c r="G664" s="12">
        <v>1</v>
      </c>
      <c r="H664" s="12">
        <v>15</v>
      </c>
      <c r="I664" s="12">
        <v>15</v>
      </c>
      <c r="J664" s="12">
        <v>5598.6</v>
      </c>
      <c r="K664" s="20">
        <f t="shared" si="140"/>
        <v>6</v>
      </c>
      <c r="L664" s="20" t="str">
        <f t="shared" si="141"/>
        <v>Se repite 6 veces</v>
      </c>
      <c r="M664" s="20" t="str">
        <f t="shared" si="142"/>
        <v>Peru Chef-San Jorge Municion 450gr x 6</v>
      </c>
      <c r="N664" s="20">
        <f t="shared" si="143"/>
        <v>6</v>
      </c>
      <c r="O664" s="20" t="str">
        <f t="shared" si="144"/>
        <v>Se repite 6 veces en Peru Chef</v>
      </c>
      <c r="P664" s="20" t="str">
        <f t="shared" si="145"/>
        <v>Peru Chef-San Jorge Municion 450gr x 6-15</v>
      </c>
      <c r="Q664" s="20">
        <f t="shared" si="146"/>
        <v>4</v>
      </c>
      <c r="R664" s="20" t="str">
        <f t="shared" si="147"/>
        <v>Se repite 4 veces el precio de 15</v>
      </c>
      <c r="S664" s="20" t="str">
        <f t="shared" si="148"/>
        <v>El producto San Jorge Municion 450gr x 6 Se repite 6 veces en Peru Chef, Se repite 4 veces el precio de 15</v>
      </c>
      <c r="T664" s="20" t="str">
        <f t="shared" si="149"/>
        <v>Peru Chef</v>
      </c>
      <c r="U664" s="20" t="str">
        <f t="shared" si="150"/>
        <v>San Jorge Municion 450gr x 6</v>
      </c>
      <c r="V664" s="22">
        <f t="shared" si="151"/>
        <v>15</v>
      </c>
      <c r="W664" t="str">
        <f t="shared" si="152"/>
        <v>Peru Chef 04/13/2025</v>
      </c>
      <c r="Z664">
        <f t="shared" si="153"/>
        <v>15</v>
      </c>
    </row>
    <row r="665" spans="1:26" hidden="1" x14ac:dyDescent="0.25">
      <c r="A665" s="2" t="s">
        <v>272</v>
      </c>
      <c r="B665" s="11" t="s">
        <v>444</v>
      </c>
      <c r="C665" s="11" t="s">
        <v>4</v>
      </c>
      <c r="D665" s="11" t="s">
        <v>445</v>
      </c>
      <c r="E665" s="11" t="s">
        <v>426</v>
      </c>
      <c r="F665" s="11" t="s">
        <v>427</v>
      </c>
      <c r="G665" s="12">
        <v>5</v>
      </c>
      <c r="H665" s="12">
        <v>15</v>
      </c>
      <c r="I665" s="12">
        <v>75</v>
      </c>
      <c r="J665" s="12">
        <v>8927.7000000000007</v>
      </c>
      <c r="K665" s="20">
        <f t="shared" si="140"/>
        <v>6</v>
      </c>
      <c r="L665" s="20" t="str">
        <f t="shared" si="141"/>
        <v>Se repite 6 veces</v>
      </c>
      <c r="M665" s="20" t="str">
        <f t="shared" si="142"/>
        <v>Peru Chef-San Jorge Municion 450gr x 6</v>
      </c>
      <c r="N665" s="20">
        <f t="shared" si="143"/>
        <v>6</v>
      </c>
      <c r="O665" s="20" t="str">
        <f t="shared" si="144"/>
        <v>Se repite 6 veces en Peru Chef</v>
      </c>
      <c r="P665" s="20" t="str">
        <f t="shared" si="145"/>
        <v>Peru Chef-San Jorge Municion 450gr x 6-15</v>
      </c>
      <c r="Q665" s="20">
        <f t="shared" si="146"/>
        <v>4</v>
      </c>
      <c r="R665" s="20" t="str">
        <f t="shared" si="147"/>
        <v>Se repite 4 veces el precio de 15</v>
      </c>
      <c r="S665" s="20" t="str">
        <f t="shared" si="148"/>
        <v>El producto San Jorge Municion 450gr x 6 Se repite 6 veces en Peru Chef, Se repite 4 veces el precio de 15</v>
      </c>
      <c r="T665" s="20" t="str">
        <f t="shared" si="149"/>
        <v>Peru Chef</v>
      </c>
      <c r="U665" s="20" t="str">
        <f t="shared" si="150"/>
        <v>San Jorge Municion 450gr x 6</v>
      </c>
      <c r="V665" s="22">
        <f t="shared" si="151"/>
        <v>15</v>
      </c>
      <c r="W665" t="str">
        <f t="shared" si="152"/>
        <v>Peru Chef 04/24/2025</v>
      </c>
      <c r="Z665">
        <f t="shared" si="153"/>
        <v>75</v>
      </c>
    </row>
    <row r="666" spans="1:26" hidden="1" x14ac:dyDescent="0.25">
      <c r="A666" s="2" t="s">
        <v>272</v>
      </c>
      <c r="B666" s="11" t="s">
        <v>471</v>
      </c>
      <c r="C666" s="11" t="s">
        <v>4</v>
      </c>
      <c r="D666" s="11" t="s">
        <v>472</v>
      </c>
      <c r="E666" s="11" t="s">
        <v>426</v>
      </c>
      <c r="F666" s="11" t="s">
        <v>427</v>
      </c>
      <c r="G666" s="12">
        <v>2</v>
      </c>
      <c r="H666" s="12">
        <v>15</v>
      </c>
      <c r="I666" s="12">
        <v>30</v>
      </c>
      <c r="J666" s="12">
        <v>13331.5</v>
      </c>
      <c r="K666" s="20">
        <f t="shared" si="140"/>
        <v>6</v>
      </c>
      <c r="L666" s="20" t="str">
        <f t="shared" si="141"/>
        <v>Se repite 6 veces</v>
      </c>
      <c r="M666" s="20" t="str">
        <f t="shared" si="142"/>
        <v>Peru Chef-San Jorge Municion 450gr x 6</v>
      </c>
      <c r="N666" s="20">
        <f t="shared" si="143"/>
        <v>6</v>
      </c>
      <c r="O666" s="20" t="str">
        <f t="shared" si="144"/>
        <v>Se repite 6 veces en Peru Chef</v>
      </c>
      <c r="P666" s="20" t="str">
        <f t="shared" si="145"/>
        <v>Peru Chef-San Jorge Municion 450gr x 6-15</v>
      </c>
      <c r="Q666" s="20">
        <f t="shared" si="146"/>
        <v>4</v>
      </c>
      <c r="R666" s="20" t="str">
        <f t="shared" si="147"/>
        <v>Se repite 4 veces el precio de 15</v>
      </c>
      <c r="S666" s="20" t="str">
        <f t="shared" si="148"/>
        <v>El producto San Jorge Municion 450gr x 6 Se repite 6 veces en Peru Chef, Se repite 4 veces el precio de 15</v>
      </c>
      <c r="T666" s="20" t="str">
        <f t="shared" si="149"/>
        <v>Peru Chef</v>
      </c>
      <c r="U666" s="20" t="str">
        <f t="shared" si="150"/>
        <v>San Jorge Municion 450gr x 6</v>
      </c>
      <c r="V666" s="22">
        <f t="shared" si="151"/>
        <v>15</v>
      </c>
      <c r="W666" t="str">
        <f t="shared" si="152"/>
        <v>Peru Chef 08/11/2025</v>
      </c>
      <c r="Z666">
        <f t="shared" si="153"/>
        <v>30</v>
      </c>
    </row>
    <row r="667" spans="1:26" hidden="1" x14ac:dyDescent="0.25">
      <c r="A667" s="2" t="s">
        <v>272</v>
      </c>
      <c r="B667" s="11" t="s">
        <v>512</v>
      </c>
      <c r="C667" s="11" t="s">
        <v>4</v>
      </c>
      <c r="D667" s="11" t="s">
        <v>513</v>
      </c>
      <c r="E667" s="11" t="s">
        <v>426</v>
      </c>
      <c r="F667" s="11" t="s">
        <v>427</v>
      </c>
      <c r="G667" s="12">
        <v>3</v>
      </c>
      <c r="H667" s="12">
        <v>15</v>
      </c>
      <c r="I667" s="12">
        <v>45</v>
      </c>
      <c r="J667" s="12">
        <v>18487.5</v>
      </c>
      <c r="K667" s="20">
        <f t="shared" si="140"/>
        <v>6</v>
      </c>
      <c r="L667" s="20" t="str">
        <f t="shared" si="141"/>
        <v>Se repite 6 veces</v>
      </c>
      <c r="M667" s="20" t="str">
        <f t="shared" si="142"/>
        <v>Peru Chef-San Jorge Municion 450gr x 6</v>
      </c>
      <c r="N667" s="20">
        <f t="shared" si="143"/>
        <v>6</v>
      </c>
      <c r="O667" s="20" t="str">
        <f t="shared" si="144"/>
        <v>Se repite 6 veces en Peru Chef</v>
      </c>
      <c r="P667" s="20" t="str">
        <f t="shared" si="145"/>
        <v>Peru Chef-San Jorge Municion 450gr x 6-15</v>
      </c>
      <c r="Q667" s="20">
        <f t="shared" si="146"/>
        <v>4</v>
      </c>
      <c r="R667" s="20" t="str">
        <f t="shared" si="147"/>
        <v>Se repite 4 veces el precio de 15</v>
      </c>
      <c r="S667" s="20" t="str">
        <f t="shared" si="148"/>
        <v>El producto San Jorge Municion 450gr x 6 Se repite 6 veces en Peru Chef, Se repite 4 veces el precio de 15</v>
      </c>
      <c r="T667" s="20" t="str">
        <f t="shared" si="149"/>
        <v>Peru Chef</v>
      </c>
      <c r="U667" s="20" t="str">
        <f t="shared" si="150"/>
        <v>San Jorge Municion 450gr x 6</v>
      </c>
      <c r="V667" s="22">
        <f t="shared" si="151"/>
        <v>15</v>
      </c>
      <c r="W667" t="str">
        <f t="shared" si="152"/>
        <v>Peru Chef 08/28/2025</v>
      </c>
      <c r="Z667">
        <f t="shared" si="153"/>
        <v>45</v>
      </c>
    </row>
    <row r="668" spans="1:26" hidden="1" x14ac:dyDescent="0.25">
      <c r="A668" s="2" t="s">
        <v>272</v>
      </c>
      <c r="B668" s="11" t="s">
        <v>590</v>
      </c>
      <c r="C668" s="11" t="s">
        <v>4</v>
      </c>
      <c r="D668" s="11" t="s">
        <v>591</v>
      </c>
      <c r="E668" s="11" t="s">
        <v>426</v>
      </c>
      <c r="F668" s="11" t="s">
        <v>427</v>
      </c>
      <c r="G668" s="12">
        <v>3</v>
      </c>
      <c r="H668" s="12">
        <v>13.5</v>
      </c>
      <c r="I668" s="12">
        <v>40.5</v>
      </c>
      <c r="J668" s="12">
        <v>31927</v>
      </c>
      <c r="K668" s="20">
        <f t="shared" si="140"/>
        <v>6</v>
      </c>
      <c r="L668" s="20" t="str">
        <f t="shared" si="141"/>
        <v>Se repite 6 veces</v>
      </c>
      <c r="M668" s="20" t="str">
        <f t="shared" si="142"/>
        <v>Peru Chef-San Jorge Municion 450gr x 6</v>
      </c>
      <c r="N668" s="20">
        <f t="shared" si="143"/>
        <v>6</v>
      </c>
      <c r="O668" s="20" t="str">
        <f t="shared" si="144"/>
        <v>Se repite 6 veces en Peru Chef</v>
      </c>
      <c r="P668" s="20" t="str">
        <f t="shared" si="145"/>
        <v>Peru Chef-San Jorge Municion 450gr x 6-13.5</v>
      </c>
      <c r="Q668" s="20">
        <f t="shared" si="146"/>
        <v>2</v>
      </c>
      <c r="R668" s="20" t="str">
        <f t="shared" si="147"/>
        <v>Se repite 2 veces el precio de 13.5</v>
      </c>
      <c r="S668" s="20" t="str">
        <f t="shared" si="148"/>
        <v>El producto San Jorge Municion 450gr x 6 Se repite 6 veces en Peru Chef, Se repite 2 veces el precio de 13.5</v>
      </c>
      <c r="T668" s="20" t="str">
        <f t="shared" si="149"/>
        <v>Peru Chef</v>
      </c>
      <c r="U668" s="20" t="str">
        <f t="shared" si="150"/>
        <v>San Jorge Municion 450gr x 6</v>
      </c>
      <c r="V668" s="22">
        <f t="shared" si="151"/>
        <v>13.5</v>
      </c>
      <c r="W668" t="str">
        <f t="shared" si="152"/>
        <v>Peru Chef 10/28/2025</v>
      </c>
      <c r="Z668">
        <f t="shared" si="153"/>
        <v>40.5</v>
      </c>
    </row>
    <row r="669" spans="1:26" hidden="1" x14ac:dyDescent="0.25">
      <c r="A669" s="2" t="s">
        <v>272</v>
      </c>
      <c r="B669" s="11" t="s">
        <v>600</v>
      </c>
      <c r="C669" s="11" t="s">
        <v>4</v>
      </c>
      <c r="D669" s="11" t="s">
        <v>601</v>
      </c>
      <c r="E669" s="11" t="s">
        <v>426</v>
      </c>
      <c r="F669" s="11" t="s">
        <v>427</v>
      </c>
      <c r="G669" s="12">
        <v>8</v>
      </c>
      <c r="H669" s="12">
        <v>13.5</v>
      </c>
      <c r="I669" s="12">
        <v>108</v>
      </c>
      <c r="J669" s="12">
        <v>36705.55000000001</v>
      </c>
      <c r="K669" s="20">
        <f t="shared" si="140"/>
        <v>6</v>
      </c>
      <c r="L669" s="20" t="str">
        <f t="shared" si="141"/>
        <v>Se repite 6 veces</v>
      </c>
      <c r="M669" s="20" t="str">
        <f t="shared" si="142"/>
        <v>Peru Chef-San Jorge Municion 450gr x 6</v>
      </c>
      <c r="N669" s="20">
        <f t="shared" si="143"/>
        <v>6</v>
      </c>
      <c r="O669" s="20" t="str">
        <f t="shared" si="144"/>
        <v>Se repite 6 veces en Peru Chef</v>
      </c>
      <c r="P669" s="20" t="str">
        <f t="shared" si="145"/>
        <v>Peru Chef-San Jorge Municion 450gr x 6-13.5</v>
      </c>
      <c r="Q669" s="20">
        <f t="shared" si="146"/>
        <v>2</v>
      </c>
      <c r="R669" s="20" t="str">
        <f t="shared" si="147"/>
        <v>Se repite 2 veces el precio de 13.5</v>
      </c>
      <c r="S669" s="20" t="str">
        <f t="shared" si="148"/>
        <v>El producto San Jorge Municion 450gr x 6 Se repite 6 veces en Peru Chef, Se repite 2 veces el precio de 13.5</v>
      </c>
      <c r="T669" s="20" t="str">
        <f t="shared" si="149"/>
        <v>Peru Chef</v>
      </c>
      <c r="U669" s="20" t="str">
        <f t="shared" si="150"/>
        <v>San Jorge Municion 450gr x 6</v>
      </c>
      <c r="V669" s="22">
        <f t="shared" si="151"/>
        <v>13.5</v>
      </c>
      <c r="W669" t="str">
        <f t="shared" si="152"/>
        <v>Peru Chef 11/14/2025</v>
      </c>
      <c r="Z669">
        <f t="shared" si="153"/>
        <v>108</v>
      </c>
    </row>
    <row r="670" spans="1:26" hidden="1" x14ac:dyDescent="0.25">
      <c r="A670" s="2" t="s">
        <v>272</v>
      </c>
      <c r="B670" s="11" t="s">
        <v>471</v>
      </c>
      <c r="C670" s="11" t="s">
        <v>4</v>
      </c>
      <c r="D670" s="11" t="s">
        <v>472</v>
      </c>
      <c r="E670" s="11" t="s">
        <v>494</v>
      </c>
      <c r="F670" s="11" t="s">
        <v>495</v>
      </c>
      <c r="G670" s="12">
        <v>24</v>
      </c>
      <c r="H670" s="12">
        <v>5.5</v>
      </c>
      <c r="I670" s="12">
        <v>132</v>
      </c>
      <c r="J670" s="12">
        <v>13073.5</v>
      </c>
      <c r="K670" s="20">
        <f t="shared" si="140"/>
        <v>3</v>
      </c>
      <c r="L670" s="20" t="str">
        <f t="shared" si="141"/>
        <v>Se repite 3 veces</v>
      </c>
      <c r="M670" s="20" t="str">
        <f t="shared" si="142"/>
        <v>Peru Chef-San Jose Turron De Doña Pepa x 500gr</v>
      </c>
      <c r="N670" s="20">
        <f t="shared" si="143"/>
        <v>3</v>
      </c>
      <c r="O670" s="20" t="str">
        <f t="shared" si="144"/>
        <v>Se repite 3 veces en Peru Chef</v>
      </c>
      <c r="P670" s="20" t="str">
        <f t="shared" si="145"/>
        <v>Peru Chef-San Jose Turron De Doña Pepa x 500gr-5.5</v>
      </c>
      <c r="Q670" s="20">
        <f t="shared" si="146"/>
        <v>3</v>
      </c>
      <c r="R670" s="20" t="str">
        <f t="shared" si="147"/>
        <v>Se repite 3 veces el precio de 5.5</v>
      </c>
      <c r="S670" s="20" t="str">
        <f t="shared" si="148"/>
        <v>El producto San Jose Turron De Doña Pepa x 500gr Se repite 3 veces en Peru Chef, Se repite 3 veces el precio de 5.5</v>
      </c>
      <c r="T670" s="20" t="str">
        <f t="shared" si="149"/>
        <v>Peru Chef</v>
      </c>
      <c r="U670" s="20" t="str">
        <f t="shared" si="150"/>
        <v>San Jose Turron De Doña Pepa x 500gr</v>
      </c>
      <c r="V670" s="22">
        <f t="shared" si="151"/>
        <v>5.5</v>
      </c>
      <c r="W670" t="str">
        <f t="shared" si="152"/>
        <v>Peru Chef 08/11/2025</v>
      </c>
      <c r="Z670">
        <f t="shared" si="153"/>
        <v>132</v>
      </c>
    </row>
    <row r="671" spans="1:26" hidden="1" x14ac:dyDescent="0.25">
      <c r="A671" s="2" t="s">
        <v>272</v>
      </c>
      <c r="B671" s="11" t="s">
        <v>512</v>
      </c>
      <c r="C671" s="11" t="s">
        <v>4</v>
      </c>
      <c r="D671" s="11" t="s">
        <v>513</v>
      </c>
      <c r="E671" s="11" t="s">
        <v>494</v>
      </c>
      <c r="F671" s="11" t="s">
        <v>517</v>
      </c>
      <c r="G671" s="12">
        <v>72</v>
      </c>
      <c r="H671" s="12">
        <v>5.5</v>
      </c>
      <c r="I671" s="12">
        <v>396</v>
      </c>
      <c r="J671" s="12">
        <v>15801.5</v>
      </c>
      <c r="K671" s="20">
        <f t="shared" si="140"/>
        <v>3</v>
      </c>
      <c r="L671" s="20" t="str">
        <f t="shared" si="141"/>
        <v>Se repite 3 veces</v>
      </c>
      <c r="M671" s="20" t="str">
        <f t="shared" si="142"/>
        <v>Peru Chef-San Jose Turron De Doña Pepa x 500gr</v>
      </c>
      <c r="N671" s="20">
        <f t="shared" si="143"/>
        <v>3</v>
      </c>
      <c r="O671" s="20" t="str">
        <f t="shared" si="144"/>
        <v>Se repite 3 veces en Peru Chef</v>
      </c>
      <c r="P671" s="20" t="str">
        <f t="shared" si="145"/>
        <v>Peru Chef-San Jose Turron De Doña Pepa x 500gr-5.5</v>
      </c>
      <c r="Q671" s="20">
        <f t="shared" si="146"/>
        <v>3</v>
      </c>
      <c r="R671" s="20" t="str">
        <f t="shared" si="147"/>
        <v>Se repite 3 veces el precio de 5.5</v>
      </c>
      <c r="S671" s="20" t="str">
        <f t="shared" si="148"/>
        <v>El producto San Jose Turron De Doña Pepa x 500gr Se repite 3 veces en Peru Chef, Se repite 3 veces el precio de 5.5</v>
      </c>
      <c r="T671" s="20" t="str">
        <f t="shared" si="149"/>
        <v>Peru Chef</v>
      </c>
      <c r="U671" s="20" t="str">
        <f t="shared" si="150"/>
        <v>San Jose Turron De Doña Pepa x 500gr</v>
      </c>
      <c r="V671" s="22">
        <f t="shared" si="151"/>
        <v>5.5</v>
      </c>
      <c r="W671" t="str">
        <f t="shared" si="152"/>
        <v>Peru Chef 08/28/2025</v>
      </c>
      <c r="Z671">
        <f t="shared" si="153"/>
        <v>396</v>
      </c>
    </row>
    <row r="672" spans="1:26" hidden="1" x14ac:dyDescent="0.25">
      <c r="A672" s="2" t="s">
        <v>272</v>
      </c>
      <c r="B672" s="11" t="s">
        <v>563</v>
      </c>
      <c r="C672" s="11" t="s">
        <v>4</v>
      </c>
      <c r="D672" s="11" t="s">
        <v>564</v>
      </c>
      <c r="E672" s="11" t="s">
        <v>494</v>
      </c>
      <c r="F672" s="11" t="s">
        <v>517</v>
      </c>
      <c r="G672" s="12">
        <v>360</v>
      </c>
      <c r="H672" s="12">
        <v>5.5</v>
      </c>
      <c r="I672" s="12">
        <v>1980</v>
      </c>
      <c r="J672" s="12">
        <v>25072</v>
      </c>
      <c r="K672" s="20">
        <f t="shared" si="140"/>
        <v>3</v>
      </c>
      <c r="L672" s="20" t="str">
        <f t="shared" si="141"/>
        <v>Se repite 3 veces</v>
      </c>
      <c r="M672" s="20" t="str">
        <f t="shared" si="142"/>
        <v>Peru Chef-San Jose Turron De Doña Pepa x 500gr</v>
      </c>
      <c r="N672" s="20">
        <f t="shared" si="143"/>
        <v>3</v>
      </c>
      <c r="O672" s="20" t="str">
        <f t="shared" si="144"/>
        <v>Se repite 3 veces en Peru Chef</v>
      </c>
      <c r="P672" s="20" t="str">
        <f t="shared" si="145"/>
        <v>Peru Chef-San Jose Turron De Doña Pepa x 500gr-5.5</v>
      </c>
      <c r="Q672" s="20">
        <f t="shared" si="146"/>
        <v>3</v>
      </c>
      <c r="R672" s="20" t="str">
        <f t="shared" si="147"/>
        <v>Se repite 3 veces el precio de 5.5</v>
      </c>
      <c r="S672" s="20" t="str">
        <f t="shared" si="148"/>
        <v>El producto San Jose Turron De Doña Pepa x 500gr Se repite 3 veces en Peru Chef, Se repite 3 veces el precio de 5.5</v>
      </c>
      <c r="T672" s="20" t="str">
        <f t="shared" si="149"/>
        <v>Peru Chef</v>
      </c>
      <c r="U672" s="20" t="str">
        <f t="shared" si="150"/>
        <v>San Jose Turron De Doña Pepa x 500gr</v>
      </c>
      <c r="V672" s="22">
        <f t="shared" si="151"/>
        <v>5.5</v>
      </c>
      <c r="W672" t="str">
        <f t="shared" si="152"/>
        <v>Peru Chef 09/11/2025</v>
      </c>
      <c r="Z672">
        <f t="shared" si="153"/>
        <v>1980</v>
      </c>
    </row>
    <row r="673" spans="1:26" hidden="1" x14ac:dyDescent="0.25">
      <c r="A673" s="2" t="s">
        <v>664</v>
      </c>
      <c r="B673" s="11" t="s">
        <v>1207</v>
      </c>
      <c r="C673" s="11" t="s">
        <v>4</v>
      </c>
      <c r="D673" s="11" t="s">
        <v>1208</v>
      </c>
      <c r="E673" s="11" t="s">
        <v>1218</v>
      </c>
      <c r="F673" s="11" t="s">
        <v>1219</v>
      </c>
      <c r="G673" s="12">
        <v>2</v>
      </c>
      <c r="H673" s="12">
        <v>27.5</v>
      </c>
      <c r="I673" s="12">
        <v>55</v>
      </c>
      <c r="J673" s="12">
        <v>116527.97999999988</v>
      </c>
      <c r="K673" s="20">
        <f t="shared" si="140"/>
        <v>1</v>
      </c>
      <c r="L673" s="20" t="str">
        <f t="shared" si="141"/>
        <v>No se repite</v>
      </c>
      <c r="M673" s="20" t="str">
        <f t="shared" si="142"/>
        <v>Tradiciones Andinas-Sancocho Colombiano / Vegetables Mix 2Lb x 6</v>
      </c>
      <c r="N673" s="20">
        <f t="shared" si="143"/>
        <v>1</v>
      </c>
      <c r="O673" s="20" t="str">
        <f t="shared" si="144"/>
        <v>No se repite en proveedor</v>
      </c>
      <c r="P673" s="20" t="str">
        <f t="shared" si="145"/>
        <v>Tradiciones Andinas-Sancocho Colombiano / Vegetables Mix 2Lb x 6-27.5</v>
      </c>
      <c r="Q673" s="20">
        <f t="shared" si="146"/>
        <v>1</v>
      </c>
      <c r="R673" s="20" t="str">
        <f t="shared" si="147"/>
        <v>No se repite</v>
      </c>
      <c r="S673" s="20" t="str">
        <f t="shared" si="148"/>
        <v>El producto Sancocho Colombiano / Vegetables Mix 2Lb x 6 No se repite en proveedor Una vez con el precio 27.5</v>
      </c>
      <c r="T673" s="20" t="str">
        <f t="shared" si="149"/>
        <v>Tradiciones Andinas</v>
      </c>
      <c r="U673" s="20" t="str">
        <f t="shared" si="150"/>
        <v>Sancocho Colombiano / Vegetables Mix 2Lb x 6</v>
      </c>
      <c r="V673" s="22">
        <f t="shared" si="151"/>
        <v>27.5</v>
      </c>
      <c r="W673" t="str">
        <f t="shared" si="152"/>
        <v>Tradiciones Andinas 11/28/2025</v>
      </c>
      <c r="Z673">
        <f t="shared" si="153"/>
        <v>55</v>
      </c>
    </row>
    <row r="674" spans="1:26" hidden="1" x14ac:dyDescent="0.25">
      <c r="A674" s="2" t="s">
        <v>272</v>
      </c>
      <c r="B674" s="11" t="s">
        <v>273</v>
      </c>
      <c r="C674" s="11" t="s">
        <v>4</v>
      </c>
      <c r="D674" s="11" t="s">
        <v>5</v>
      </c>
      <c r="E674" s="11" t="s">
        <v>366</v>
      </c>
      <c r="F674" s="11" t="s">
        <v>367</v>
      </c>
      <c r="G674" s="12">
        <v>1</v>
      </c>
      <c r="H674" s="12">
        <v>35</v>
      </c>
      <c r="I674" s="12">
        <v>35</v>
      </c>
      <c r="J674" s="12">
        <v>1530.1999999999998</v>
      </c>
      <c r="K674" s="20">
        <f t="shared" si="140"/>
        <v>8</v>
      </c>
      <c r="L674" s="20" t="str">
        <f t="shared" si="141"/>
        <v>Se repite 8 veces</v>
      </c>
      <c r="M674" s="20" t="str">
        <f t="shared" si="142"/>
        <v>Peru Chef-Sayon Galletas Tejanas 480gr x 8</v>
      </c>
      <c r="N674" s="20">
        <f t="shared" si="143"/>
        <v>8</v>
      </c>
      <c r="O674" s="20" t="str">
        <f t="shared" si="144"/>
        <v>Se repite 8 veces en Peru Chef</v>
      </c>
      <c r="P674" s="20" t="str">
        <f t="shared" si="145"/>
        <v>Peru Chef-Sayon Galletas Tejanas 480gr x 8-35</v>
      </c>
      <c r="Q674" s="20">
        <f t="shared" si="146"/>
        <v>2</v>
      </c>
      <c r="R674" s="20" t="str">
        <f t="shared" si="147"/>
        <v>Se repite 2 veces el precio de 35</v>
      </c>
      <c r="S674" s="20" t="str">
        <f t="shared" si="148"/>
        <v>El producto Sayon Galletas Tejanas 480gr x 8 Se repite 8 veces en Peru Chef, Se repite 2 veces el precio de 35</v>
      </c>
      <c r="T674" s="20" t="str">
        <f t="shared" si="149"/>
        <v>Peru Chef</v>
      </c>
      <c r="U674" s="20" t="str">
        <f t="shared" si="150"/>
        <v>Sayon Galletas Tejanas 480gr x 8</v>
      </c>
      <c r="V674" s="22">
        <f t="shared" si="151"/>
        <v>35</v>
      </c>
      <c r="W674" t="str">
        <f t="shared" si="152"/>
        <v>Peru Chef 03/26/2025</v>
      </c>
      <c r="Z674">
        <f t="shared" si="153"/>
        <v>35</v>
      </c>
    </row>
    <row r="675" spans="1:26" hidden="1" x14ac:dyDescent="0.25">
      <c r="A675" s="2" t="s">
        <v>272</v>
      </c>
      <c r="B675" s="11" t="s">
        <v>398</v>
      </c>
      <c r="C675" s="11" t="s">
        <v>4</v>
      </c>
      <c r="D675" s="11" t="s">
        <v>399</v>
      </c>
      <c r="E675" s="11" t="s">
        <v>366</v>
      </c>
      <c r="F675" s="11" t="s">
        <v>367</v>
      </c>
      <c r="G675" s="12">
        <v>1</v>
      </c>
      <c r="H675" s="12">
        <v>35</v>
      </c>
      <c r="I675" s="12">
        <v>35</v>
      </c>
      <c r="J675" s="12">
        <v>3633</v>
      </c>
      <c r="K675" s="20">
        <f t="shared" si="140"/>
        <v>8</v>
      </c>
      <c r="L675" s="20" t="str">
        <f t="shared" si="141"/>
        <v>Se repite 8 veces</v>
      </c>
      <c r="M675" s="20" t="str">
        <f t="shared" si="142"/>
        <v>Peru Chef-Sayon Galletas Tejanas 480gr x 8</v>
      </c>
      <c r="N675" s="20">
        <f t="shared" si="143"/>
        <v>8</v>
      </c>
      <c r="O675" s="20" t="str">
        <f t="shared" si="144"/>
        <v>Se repite 8 veces en Peru Chef</v>
      </c>
      <c r="P675" s="20" t="str">
        <f t="shared" si="145"/>
        <v>Peru Chef-Sayon Galletas Tejanas 480gr x 8-35</v>
      </c>
      <c r="Q675" s="20">
        <f t="shared" si="146"/>
        <v>2</v>
      </c>
      <c r="R675" s="20" t="str">
        <f t="shared" si="147"/>
        <v>Se repite 2 veces el precio de 35</v>
      </c>
      <c r="S675" s="20" t="str">
        <f t="shared" si="148"/>
        <v>El producto Sayon Galletas Tejanas 480gr x 8 Se repite 8 veces en Peru Chef, Se repite 2 veces el precio de 35</v>
      </c>
      <c r="T675" s="20" t="str">
        <f t="shared" si="149"/>
        <v>Peru Chef</v>
      </c>
      <c r="U675" s="20" t="str">
        <f t="shared" si="150"/>
        <v>Sayon Galletas Tejanas 480gr x 8</v>
      </c>
      <c r="V675" s="22">
        <f t="shared" si="151"/>
        <v>35</v>
      </c>
      <c r="W675" t="str">
        <f t="shared" si="152"/>
        <v>Peru Chef 04/10/2025</v>
      </c>
      <c r="Z675">
        <f t="shared" si="153"/>
        <v>35</v>
      </c>
    </row>
    <row r="676" spans="1:26" hidden="1" x14ac:dyDescent="0.25">
      <c r="A676" s="2" t="s">
        <v>272</v>
      </c>
      <c r="B676" s="11" t="s">
        <v>471</v>
      </c>
      <c r="C676" s="11" t="s">
        <v>4</v>
      </c>
      <c r="D676" s="11" t="s">
        <v>472</v>
      </c>
      <c r="E676" s="11" t="s">
        <v>366</v>
      </c>
      <c r="F676" s="11" t="s">
        <v>367</v>
      </c>
      <c r="G676" s="12">
        <v>2</v>
      </c>
      <c r="H676" s="12">
        <v>37</v>
      </c>
      <c r="I676" s="12">
        <v>74</v>
      </c>
      <c r="J676" s="12">
        <v>13147.5</v>
      </c>
      <c r="K676" s="20">
        <f t="shared" si="140"/>
        <v>8</v>
      </c>
      <c r="L676" s="20" t="str">
        <f t="shared" si="141"/>
        <v>Se repite 8 veces</v>
      </c>
      <c r="M676" s="20" t="str">
        <f t="shared" si="142"/>
        <v>Peru Chef-Sayon Galletas Tejanas 480gr x 8</v>
      </c>
      <c r="N676" s="20">
        <f t="shared" si="143"/>
        <v>8</v>
      </c>
      <c r="O676" s="20" t="str">
        <f t="shared" si="144"/>
        <v>Se repite 8 veces en Peru Chef</v>
      </c>
      <c r="P676" s="20" t="str">
        <f t="shared" si="145"/>
        <v>Peru Chef-Sayon Galletas Tejanas 480gr x 8-37</v>
      </c>
      <c r="Q676" s="20">
        <f t="shared" si="146"/>
        <v>4</v>
      </c>
      <c r="R676" s="20" t="str">
        <f t="shared" si="147"/>
        <v>Se repite 4 veces el precio de 37</v>
      </c>
      <c r="S676" s="20" t="str">
        <f t="shared" si="148"/>
        <v>El producto Sayon Galletas Tejanas 480gr x 8 Se repite 8 veces en Peru Chef, Se repite 4 veces el precio de 37</v>
      </c>
      <c r="T676" s="20" t="str">
        <f t="shared" si="149"/>
        <v>Peru Chef</v>
      </c>
      <c r="U676" s="20" t="str">
        <f t="shared" si="150"/>
        <v>Sayon Galletas Tejanas 480gr x 8</v>
      </c>
      <c r="V676" s="22">
        <f t="shared" si="151"/>
        <v>37</v>
      </c>
      <c r="W676" t="str">
        <f t="shared" si="152"/>
        <v>Peru Chef 08/11/2025</v>
      </c>
      <c r="Z676">
        <f t="shared" si="153"/>
        <v>74</v>
      </c>
    </row>
    <row r="677" spans="1:26" hidden="1" x14ac:dyDescent="0.25">
      <c r="A677" s="2" t="s">
        <v>272</v>
      </c>
      <c r="B677" s="11" t="s">
        <v>512</v>
      </c>
      <c r="C677" s="11" t="s">
        <v>4</v>
      </c>
      <c r="D677" s="11" t="s">
        <v>513</v>
      </c>
      <c r="E677" s="11" t="s">
        <v>366</v>
      </c>
      <c r="F677" s="11" t="s">
        <v>514</v>
      </c>
      <c r="G677" s="12">
        <v>5</v>
      </c>
      <c r="H677" s="12">
        <v>37</v>
      </c>
      <c r="I677" s="12">
        <v>185</v>
      </c>
      <c r="J677" s="12">
        <v>14817.5</v>
      </c>
      <c r="K677" s="20">
        <f t="shared" si="140"/>
        <v>8</v>
      </c>
      <c r="L677" s="20" t="str">
        <f t="shared" si="141"/>
        <v>Se repite 8 veces</v>
      </c>
      <c r="M677" s="20" t="str">
        <f t="shared" si="142"/>
        <v>Peru Chef-Sayon Galletas Tejanas 480gr x 8</v>
      </c>
      <c r="N677" s="20">
        <f t="shared" si="143"/>
        <v>8</v>
      </c>
      <c r="O677" s="20" t="str">
        <f t="shared" si="144"/>
        <v>Se repite 8 veces en Peru Chef</v>
      </c>
      <c r="P677" s="20" t="str">
        <f t="shared" si="145"/>
        <v>Peru Chef-Sayon Galletas Tejanas 480gr x 8-37</v>
      </c>
      <c r="Q677" s="20">
        <f t="shared" si="146"/>
        <v>4</v>
      </c>
      <c r="R677" s="20" t="str">
        <f t="shared" si="147"/>
        <v>Se repite 4 veces el precio de 37</v>
      </c>
      <c r="S677" s="20" t="str">
        <f t="shared" si="148"/>
        <v>El producto Sayon Galletas Tejanas 480gr x 8 Se repite 8 veces en Peru Chef, Se repite 4 veces el precio de 37</v>
      </c>
      <c r="T677" s="20" t="str">
        <f t="shared" si="149"/>
        <v>Peru Chef</v>
      </c>
      <c r="U677" s="20" t="str">
        <f t="shared" si="150"/>
        <v>Sayon Galletas Tejanas 480gr x 8</v>
      </c>
      <c r="V677" s="22">
        <f t="shared" si="151"/>
        <v>37</v>
      </c>
      <c r="W677" t="str">
        <f t="shared" si="152"/>
        <v>Peru Chef 08/28/2025</v>
      </c>
      <c r="Z677">
        <f t="shared" si="153"/>
        <v>185</v>
      </c>
    </row>
    <row r="678" spans="1:26" hidden="1" x14ac:dyDescent="0.25">
      <c r="A678" s="2" t="s">
        <v>272</v>
      </c>
      <c r="B678" s="11" t="s">
        <v>563</v>
      </c>
      <c r="C678" s="11" t="s">
        <v>4</v>
      </c>
      <c r="D678" s="11" t="s">
        <v>564</v>
      </c>
      <c r="E678" s="11" t="s">
        <v>366</v>
      </c>
      <c r="F678" s="11" t="s">
        <v>514</v>
      </c>
      <c r="G678" s="12">
        <v>2</v>
      </c>
      <c r="H678" s="12">
        <v>37</v>
      </c>
      <c r="I678" s="12">
        <v>74</v>
      </c>
      <c r="J678" s="12">
        <v>19596</v>
      </c>
      <c r="K678" s="20">
        <f t="shared" si="140"/>
        <v>8</v>
      </c>
      <c r="L678" s="20" t="str">
        <f t="shared" si="141"/>
        <v>Se repite 8 veces</v>
      </c>
      <c r="M678" s="20" t="str">
        <f t="shared" si="142"/>
        <v>Peru Chef-Sayon Galletas Tejanas 480gr x 8</v>
      </c>
      <c r="N678" s="20">
        <f t="shared" si="143"/>
        <v>8</v>
      </c>
      <c r="O678" s="20" t="str">
        <f t="shared" si="144"/>
        <v>Se repite 8 veces en Peru Chef</v>
      </c>
      <c r="P678" s="20" t="str">
        <f t="shared" si="145"/>
        <v>Peru Chef-Sayon Galletas Tejanas 480gr x 8-37</v>
      </c>
      <c r="Q678" s="20">
        <f t="shared" si="146"/>
        <v>4</v>
      </c>
      <c r="R678" s="20" t="str">
        <f t="shared" si="147"/>
        <v>Se repite 4 veces el precio de 37</v>
      </c>
      <c r="S678" s="20" t="str">
        <f t="shared" si="148"/>
        <v>El producto Sayon Galletas Tejanas 480gr x 8 Se repite 8 veces en Peru Chef, Se repite 4 veces el precio de 37</v>
      </c>
      <c r="T678" s="20" t="str">
        <f t="shared" si="149"/>
        <v>Peru Chef</v>
      </c>
      <c r="U678" s="20" t="str">
        <f t="shared" si="150"/>
        <v>Sayon Galletas Tejanas 480gr x 8</v>
      </c>
      <c r="V678" s="22">
        <f t="shared" si="151"/>
        <v>37</v>
      </c>
      <c r="W678" t="str">
        <f t="shared" si="152"/>
        <v>Peru Chef 09/11/2025</v>
      </c>
      <c r="Z678">
        <f t="shared" si="153"/>
        <v>74</v>
      </c>
    </row>
    <row r="679" spans="1:26" hidden="1" x14ac:dyDescent="0.25">
      <c r="A679" s="2" t="s">
        <v>272</v>
      </c>
      <c r="B679" s="11" t="s">
        <v>572</v>
      </c>
      <c r="C679" s="11" t="s">
        <v>4</v>
      </c>
      <c r="D679" s="11" t="s">
        <v>573</v>
      </c>
      <c r="E679" s="11" t="s">
        <v>366</v>
      </c>
      <c r="F679" s="11" t="s">
        <v>514</v>
      </c>
      <c r="G679" s="12">
        <v>10</v>
      </c>
      <c r="H679" s="12">
        <v>37</v>
      </c>
      <c r="I679" s="12">
        <v>370</v>
      </c>
      <c r="J679" s="12">
        <v>27711.5</v>
      </c>
      <c r="K679" s="20">
        <f t="shared" si="140"/>
        <v>8</v>
      </c>
      <c r="L679" s="20" t="str">
        <f t="shared" si="141"/>
        <v>Se repite 8 veces</v>
      </c>
      <c r="M679" s="20" t="str">
        <f t="shared" si="142"/>
        <v>Peru Chef-Sayon Galletas Tejanas 480gr x 8</v>
      </c>
      <c r="N679" s="20">
        <f t="shared" si="143"/>
        <v>8</v>
      </c>
      <c r="O679" s="20" t="str">
        <f t="shared" si="144"/>
        <v>Se repite 8 veces en Peru Chef</v>
      </c>
      <c r="P679" s="20" t="str">
        <f t="shared" si="145"/>
        <v>Peru Chef-Sayon Galletas Tejanas 480gr x 8-37</v>
      </c>
      <c r="Q679" s="20">
        <f t="shared" si="146"/>
        <v>4</v>
      </c>
      <c r="R679" s="20" t="str">
        <f t="shared" si="147"/>
        <v>Se repite 4 veces el precio de 37</v>
      </c>
      <c r="S679" s="20" t="str">
        <f t="shared" si="148"/>
        <v>El producto Sayon Galletas Tejanas 480gr x 8 Se repite 8 veces en Peru Chef, Se repite 4 veces el precio de 37</v>
      </c>
      <c r="T679" s="20" t="str">
        <f t="shared" si="149"/>
        <v>Peru Chef</v>
      </c>
      <c r="U679" s="20" t="str">
        <f t="shared" si="150"/>
        <v>Sayon Galletas Tejanas 480gr x 8</v>
      </c>
      <c r="V679" s="22">
        <f t="shared" si="151"/>
        <v>37</v>
      </c>
      <c r="W679" t="str">
        <f t="shared" si="152"/>
        <v>Peru Chef 10/09/2025</v>
      </c>
      <c r="Z679">
        <f t="shared" si="153"/>
        <v>370</v>
      </c>
    </row>
    <row r="680" spans="1:26" hidden="1" x14ac:dyDescent="0.25">
      <c r="A680" s="2" t="s">
        <v>272</v>
      </c>
      <c r="B680" s="11" t="s">
        <v>590</v>
      </c>
      <c r="C680" s="11" t="s">
        <v>4</v>
      </c>
      <c r="D680" s="11" t="s">
        <v>591</v>
      </c>
      <c r="E680" s="11" t="s">
        <v>366</v>
      </c>
      <c r="F680" s="11" t="s">
        <v>514</v>
      </c>
      <c r="G680" s="12">
        <v>2</v>
      </c>
      <c r="H680" s="12">
        <v>33.299999999999997</v>
      </c>
      <c r="I680" s="12">
        <v>66.599999999999994</v>
      </c>
      <c r="J680" s="12">
        <v>30236.799999999999</v>
      </c>
      <c r="K680" s="20">
        <f t="shared" si="140"/>
        <v>8</v>
      </c>
      <c r="L680" s="20" t="str">
        <f t="shared" si="141"/>
        <v>Se repite 8 veces</v>
      </c>
      <c r="M680" s="20" t="str">
        <f t="shared" si="142"/>
        <v>Peru Chef-Sayon Galletas Tejanas 480gr x 8</v>
      </c>
      <c r="N680" s="20">
        <f t="shared" si="143"/>
        <v>8</v>
      </c>
      <c r="O680" s="20" t="str">
        <f t="shared" si="144"/>
        <v>Se repite 8 veces en Peru Chef</v>
      </c>
      <c r="P680" s="20" t="str">
        <f t="shared" si="145"/>
        <v>Peru Chef-Sayon Galletas Tejanas 480gr x 8-33.3</v>
      </c>
      <c r="Q680" s="20">
        <f t="shared" si="146"/>
        <v>2</v>
      </c>
      <c r="R680" s="20" t="str">
        <f t="shared" si="147"/>
        <v>Se repite 2 veces el precio de 33.3</v>
      </c>
      <c r="S680" s="20" t="str">
        <f t="shared" si="148"/>
        <v>El producto Sayon Galletas Tejanas 480gr x 8 Se repite 8 veces en Peru Chef, Se repite 2 veces el precio de 33.3</v>
      </c>
      <c r="T680" s="20" t="str">
        <f t="shared" si="149"/>
        <v>Peru Chef</v>
      </c>
      <c r="U680" s="20" t="str">
        <f t="shared" si="150"/>
        <v>Sayon Galletas Tejanas 480gr x 8</v>
      </c>
      <c r="V680" s="22">
        <f t="shared" si="151"/>
        <v>33.299999999999997</v>
      </c>
      <c r="W680" t="str">
        <f t="shared" si="152"/>
        <v>Peru Chef 10/28/2025</v>
      </c>
      <c r="Z680">
        <f t="shared" si="153"/>
        <v>66.599999999999994</v>
      </c>
    </row>
    <row r="681" spans="1:26" hidden="1" x14ac:dyDescent="0.25">
      <c r="A681" s="2" t="s">
        <v>272</v>
      </c>
      <c r="B681" s="11" t="s">
        <v>619</v>
      </c>
      <c r="C681" s="11" t="s">
        <v>4</v>
      </c>
      <c r="D681" s="11" t="s">
        <v>621</v>
      </c>
      <c r="E681" s="11" t="s">
        <v>366</v>
      </c>
      <c r="F681" s="11" t="s">
        <v>514</v>
      </c>
      <c r="G681" s="12">
        <v>6</v>
      </c>
      <c r="H681" s="12">
        <v>33.299999999999997</v>
      </c>
      <c r="I681" s="12">
        <v>199.8</v>
      </c>
      <c r="J681" s="12">
        <v>39579.25</v>
      </c>
      <c r="K681" s="20">
        <f t="shared" si="140"/>
        <v>8</v>
      </c>
      <c r="L681" s="20" t="str">
        <f t="shared" si="141"/>
        <v>Se repite 8 veces</v>
      </c>
      <c r="M681" s="20" t="str">
        <f t="shared" si="142"/>
        <v>Peru Chef-Sayon Galletas Tejanas 480gr x 8</v>
      </c>
      <c r="N681" s="20">
        <f t="shared" si="143"/>
        <v>8</v>
      </c>
      <c r="O681" s="20" t="str">
        <f t="shared" si="144"/>
        <v>Se repite 8 veces en Peru Chef</v>
      </c>
      <c r="P681" s="20" t="str">
        <f t="shared" si="145"/>
        <v>Peru Chef-Sayon Galletas Tejanas 480gr x 8-33.3</v>
      </c>
      <c r="Q681" s="20">
        <f t="shared" si="146"/>
        <v>2</v>
      </c>
      <c r="R681" s="20" t="str">
        <f t="shared" si="147"/>
        <v>Se repite 2 veces el precio de 33.3</v>
      </c>
      <c r="S681" s="20" t="str">
        <f t="shared" si="148"/>
        <v>El producto Sayon Galletas Tejanas 480gr x 8 Se repite 8 veces en Peru Chef, Se repite 2 veces el precio de 33.3</v>
      </c>
      <c r="T681" s="20" t="str">
        <f t="shared" si="149"/>
        <v>Peru Chef</v>
      </c>
      <c r="U681" s="20" t="str">
        <f t="shared" si="150"/>
        <v>Sayon Galletas Tejanas 480gr x 8</v>
      </c>
      <c r="V681" s="22">
        <f t="shared" si="151"/>
        <v>33.299999999999997</v>
      </c>
      <c r="W681" t="str">
        <f t="shared" si="152"/>
        <v>Peru Chef 12/09/2025</v>
      </c>
      <c r="Z681">
        <f t="shared" si="153"/>
        <v>199.79999999999998</v>
      </c>
    </row>
    <row r="682" spans="1:26" hidden="1" x14ac:dyDescent="0.25">
      <c r="A682" s="2" t="s">
        <v>664</v>
      </c>
      <c r="B682" s="11" t="s">
        <v>821</v>
      </c>
      <c r="C682" s="11" t="s">
        <v>4</v>
      </c>
      <c r="D682" s="11" t="s">
        <v>822</v>
      </c>
      <c r="E682" s="11" t="s">
        <v>924</v>
      </c>
      <c r="F682" s="11" t="s">
        <v>925</v>
      </c>
      <c r="G682" s="12">
        <v>1</v>
      </c>
      <c r="H682" s="12">
        <v>32.15</v>
      </c>
      <c r="I682" s="12">
        <v>32.15</v>
      </c>
      <c r="J682" s="12">
        <v>22367.39</v>
      </c>
      <c r="K682" s="20">
        <f t="shared" si="140"/>
        <v>4</v>
      </c>
      <c r="L682" s="20" t="str">
        <f t="shared" si="141"/>
        <v>Se repite 4 veces</v>
      </c>
      <c r="M682" s="20" t="str">
        <f t="shared" si="142"/>
        <v>Tradiciones Andinas-Sazon Completo - Complete Seasoning 500gr x 15</v>
      </c>
      <c r="N682" s="20">
        <f t="shared" si="143"/>
        <v>4</v>
      </c>
      <c r="O682" s="20" t="str">
        <f t="shared" si="144"/>
        <v>Se repite 4 veces en Tradiciones Andinas</v>
      </c>
      <c r="P682" s="20" t="str">
        <f t="shared" si="145"/>
        <v>Tradiciones Andinas-Sazon Completo - Complete Seasoning 500gr x 15-32.15</v>
      </c>
      <c r="Q682" s="20">
        <f t="shared" si="146"/>
        <v>4</v>
      </c>
      <c r="R682" s="20" t="str">
        <f t="shared" si="147"/>
        <v>Se repite 4 veces el precio de 32.15</v>
      </c>
      <c r="S682" s="20" t="str">
        <f t="shared" si="148"/>
        <v>El producto Sazon Completo - Complete Seasoning 500gr x 15 Se repite 4 veces en Tradiciones Andinas, Se repite 4 veces el precio de 32.15</v>
      </c>
      <c r="T682" s="20" t="str">
        <f t="shared" si="149"/>
        <v>Tradiciones Andinas</v>
      </c>
      <c r="U682" s="20" t="str">
        <f t="shared" si="150"/>
        <v>Sazon Completo - Complete Seasoning 500gr x 15</v>
      </c>
      <c r="V682" s="22">
        <f t="shared" si="151"/>
        <v>32.15</v>
      </c>
      <c r="W682" t="str">
        <f t="shared" si="152"/>
        <v>Tradiciones Andinas 04/25/2025</v>
      </c>
      <c r="Z682">
        <f t="shared" si="153"/>
        <v>32.15</v>
      </c>
    </row>
    <row r="683" spans="1:26" hidden="1" x14ac:dyDescent="0.25">
      <c r="A683" s="2" t="s">
        <v>664</v>
      </c>
      <c r="B683" s="11" t="s">
        <v>1033</v>
      </c>
      <c r="C683" s="11" t="s">
        <v>4</v>
      </c>
      <c r="D683" s="11" t="s">
        <v>1034</v>
      </c>
      <c r="E683" s="11" t="s">
        <v>924</v>
      </c>
      <c r="F683" s="11" t="s">
        <v>1078</v>
      </c>
      <c r="G683" s="12">
        <v>5</v>
      </c>
      <c r="H683" s="12">
        <v>32.15</v>
      </c>
      <c r="I683" s="12">
        <v>160.75</v>
      </c>
      <c r="J683" s="12">
        <v>57260.749999999942</v>
      </c>
      <c r="K683" s="20">
        <f t="shared" si="140"/>
        <v>4</v>
      </c>
      <c r="L683" s="20" t="str">
        <f t="shared" si="141"/>
        <v>Se repite 4 veces</v>
      </c>
      <c r="M683" s="20" t="str">
        <f t="shared" si="142"/>
        <v>Tradiciones Andinas-Sazon Completo - Complete Seasoning 500gr x 15</v>
      </c>
      <c r="N683" s="20">
        <f t="shared" si="143"/>
        <v>4</v>
      </c>
      <c r="O683" s="20" t="str">
        <f t="shared" si="144"/>
        <v>Se repite 4 veces en Tradiciones Andinas</v>
      </c>
      <c r="P683" s="20" t="str">
        <f t="shared" si="145"/>
        <v>Tradiciones Andinas-Sazon Completo - Complete Seasoning 500gr x 15-32.15</v>
      </c>
      <c r="Q683" s="20">
        <f t="shared" si="146"/>
        <v>4</v>
      </c>
      <c r="R683" s="20" t="str">
        <f t="shared" si="147"/>
        <v>Se repite 4 veces el precio de 32.15</v>
      </c>
      <c r="S683" s="20" t="str">
        <f t="shared" si="148"/>
        <v>El producto Sazon Completo - Complete Seasoning 500gr x 15 Se repite 4 veces en Tradiciones Andinas, Se repite 4 veces el precio de 32.15</v>
      </c>
      <c r="T683" s="20" t="str">
        <f t="shared" si="149"/>
        <v>Tradiciones Andinas</v>
      </c>
      <c r="U683" s="20" t="str">
        <f t="shared" si="150"/>
        <v>Sazon Completo - Complete Seasoning 500gr x 15</v>
      </c>
      <c r="V683" s="22">
        <f t="shared" si="151"/>
        <v>32.15</v>
      </c>
      <c r="W683" t="str">
        <f t="shared" si="152"/>
        <v>Tradiciones Andinas 07/03/2025</v>
      </c>
      <c r="Z683">
        <f t="shared" si="153"/>
        <v>160.75</v>
      </c>
    </row>
    <row r="684" spans="1:26" hidden="1" x14ac:dyDescent="0.25">
      <c r="A684" s="2" t="s">
        <v>664</v>
      </c>
      <c r="B684" s="11" t="s">
        <v>1153</v>
      </c>
      <c r="C684" s="11" t="s">
        <v>4</v>
      </c>
      <c r="D684" s="11" t="s">
        <v>1154</v>
      </c>
      <c r="E684" s="11" t="s">
        <v>924</v>
      </c>
      <c r="F684" s="11" t="s">
        <v>1078</v>
      </c>
      <c r="G684" s="12">
        <v>3</v>
      </c>
      <c r="H684" s="12">
        <v>32.15</v>
      </c>
      <c r="I684" s="12">
        <v>96.45</v>
      </c>
      <c r="J684" s="12">
        <v>85791.909999999945</v>
      </c>
      <c r="K684" s="20">
        <f t="shared" si="140"/>
        <v>4</v>
      </c>
      <c r="L684" s="20" t="str">
        <f t="shared" si="141"/>
        <v>Se repite 4 veces</v>
      </c>
      <c r="M684" s="20" t="str">
        <f t="shared" si="142"/>
        <v>Tradiciones Andinas-Sazon Completo - Complete Seasoning 500gr x 15</v>
      </c>
      <c r="N684" s="20">
        <f t="shared" si="143"/>
        <v>4</v>
      </c>
      <c r="O684" s="20" t="str">
        <f t="shared" si="144"/>
        <v>Se repite 4 veces en Tradiciones Andinas</v>
      </c>
      <c r="P684" s="20" t="str">
        <f t="shared" si="145"/>
        <v>Tradiciones Andinas-Sazon Completo - Complete Seasoning 500gr x 15-32.15</v>
      </c>
      <c r="Q684" s="20">
        <f t="shared" si="146"/>
        <v>4</v>
      </c>
      <c r="R684" s="20" t="str">
        <f t="shared" si="147"/>
        <v>Se repite 4 veces el precio de 32.15</v>
      </c>
      <c r="S684" s="20" t="str">
        <f t="shared" si="148"/>
        <v>El producto Sazon Completo - Complete Seasoning 500gr x 15 Se repite 4 veces en Tradiciones Andinas, Se repite 4 veces el precio de 32.15</v>
      </c>
      <c r="T684" s="20" t="str">
        <f t="shared" si="149"/>
        <v>Tradiciones Andinas</v>
      </c>
      <c r="U684" s="20" t="str">
        <f t="shared" si="150"/>
        <v>Sazon Completo - Complete Seasoning 500gr x 15</v>
      </c>
      <c r="V684" s="22">
        <f t="shared" si="151"/>
        <v>32.15</v>
      </c>
      <c r="W684" t="str">
        <f t="shared" si="152"/>
        <v>Tradiciones Andinas 09/24/2025</v>
      </c>
      <c r="Z684">
        <f t="shared" si="153"/>
        <v>96.449999999999989</v>
      </c>
    </row>
    <row r="685" spans="1:26" hidden="1" x14ac:dyDescent="0.25">
      <c r="A685" s="2" t="s">
        <v>664</v>
      </c>
      <c r="B685" s="11" t="s">
        <v>1207</v>
      </c>
      <c r="C685" s="11" t="s">
        <v>4</v>
      </c>
      <c r="D685" s="11" t="s">
        <v>1208</v>
      </c>
      <c r="E685" s="11" t="s">
        <v>924</v>
      </c>
      <c r="F685" s="11" t="s">
        <v>1078</v>
      </c>
      <c r="G685" s="12">
        <v>2</v>
      </c>
      <c r="H685" s="12">
        <v>32.15</v>
      </c>
      <c r="I685" s="12">
        <v>64.3</v>
      </c>
      <c r="J685" s="12">
        <v>113187.71999999988</v>
      </c>
      <c r="K685" s="20">
        <f t="shared" si="140"/>
        <v>4</v>
      </c>
      <c r="L685" s="20" t="str">
        <f t="shared" si="141"/>
        <v>Se repite 4 veces</v>
      </c>
      <c r="M685" s="20" t="str">
        <f t="shared" si="142"/>
        <v>Tradiciones Andinas-Sazon Completo - Complete Seasoning 500gr x 15</v>
      </c>
      <c r="N685" s="20">
        <f t="shared" si="143"/>
        <v>4</v>
      </c>
      <c r="O685" s="20" t="str">
        <f t="shared" si="144"/>
        <v>Se repite 4 veces en Tradiciones Andinas</v>
      </c>
      <c r="P685" s="20" t="str">
        <f t="shared" si="145"/>
        <v>Tradiciones Andinas-Sazon Completo - Complete Seasoning 500gr x 15-32.15</v>
      </c>
      <c r="Q685" s="20">
        <f t="shared" si="146"/>
        <v>4</v>
      </c>
      <c r="R685" s="20" t="str">
        <f t="shared" si="147"/>
        <v>Se repite 4 veces el precio de 32.15</v>
      </c>
      <c r="S685" s="20" t="str">
        <f t="shared" si="148"/>
        <v>El producto Sazon Completo - Complete Seasoning 500gr x 15 Se repite 4 veces en Tradiciones Andinas, Se repite 4 veces el precio de 32.15</v>
      </c>
      <c r="T685" s="20" t="str">
        <f t="shared" si="149"/>
        <v>Tradiciones Andinas</v>
      </c>
      <c r="U685" s="20" t="str">
        <f t="shared" si="150"/>
        <v>Sazon Completo - Complete Seasoning 500gr x 15</v>
      </c>
      <c r="V685" s="22">
        <f t="shared" si="151"/>
        <v>32.15</v>
      </c>
      <c r="W685" t="str">
        <f t="shared" si="152"/>
        <v>Tradiciones Andinas 11/28/2025</v>
      </c>
      <c r="Z685">
        <f t="shared" si="153"/>
        <v>64.3</v>
      </c>
    </row>
    <row r="686" spans="1:26" hidden="1" x14ac:dyDescent="0.25">
      <c r="A686" s="2" t="s">
        <v>664</v>
      </c>
      <c r="B686" s="11" t="s">
        <v>821</v>
      </c>
      <c r="C686" s="11" t="s">
        <v>4</v>
      </c>
      <c r="D686" s="11" t="s">
        <v>822</v>
      </c>
      <c r="E686" s="11" t="s">
        <v>861</v>
      </c>
      <c r="F686" s="11" t="s">
        <v>862</v>
      </c>
      <c r="G686" s="12">
        <v>5</v>
      </c>
      <c r="H686" s="12">
        <v>42.5</v>
      </c>
      <c r="I686" s="12">
        <v>212.5</v>
      </c>
      <c r="J686" s="12">
        <v>15678.779999999999</v>
      </c>
      <c r="K686" s="20">
        <f t="shared" si="140"/>
        <v>4</v>
      </c>
      <c r="L686" s="20" t="str">
        <f t="shared" si="141"/>
        <v>Se repite 4 veces</v>
      </c>
      <c r="M686" s="20" t="str">
        <f t="shared" si="142"/>
        <v>Tradiciones Andinas-SIBARITA - Aji Panca Sazonador sin picante  6 sobres x 50</v>
      </c>
      <c r="N686" s="20">
        <f t="shared" si="143"/>
        <v>4</v>
      </c>
      <c r="O686" s="20" t="str">
        <f t="shared" si="144"/>
        <v>Se repite 4 veces en Tradiciones Andinas</v>
      </c>
      <c r="P686" s="20" t="str">
        <f t="shared" si="145"/>
        <v>Tradiciones Andinas-SIBARITA - Aji Panca Sazonador sin picante  6 sobres x 50-42.5</v>
      </c>
      <c r="Q686" s="20">
        <f t="shared" si="146"/>
        <v>1</v>
      </c>
      <c r="R686" s="20" t="str">
        <f t="shared" si="147"/>
        <v>No se repite</v>
      </c>
      <c r="S686" s="20" t="str">
        <f t="shared" si="148"/>
        <v>El producto SIBARITA - Aji Panca Sazonador sin picante  6 sobres x 50 Se repite 4 veces en Tradiciones Andinas Una vez con el precio 42.5</v>
      </c>
      <c r="T686" s="20" t="str">
        <f t="shared" si="149"/>
        <v>Tradiciones Andinas</v>
      </c>
      <c r="U686" s="20" t="str">
        <f t="shared" si="150"/>
        <v>SIBARITA - Aji Panca Sazonador sin picante  6 sobres x 50</v>
      </c>
      <c r="V686" s="22">
        <f t="shared" si="151"/>
        <v>42.5</v>
      </c>
      <c r="W686" t="str">
        <f t="shared" si="152"/>
        <v>Tradiciones Andinas 04/25/2025</v>
      </c>
      <c r="Z686">
        <f t="shared" si="153"/>
        <v>212.5</v>
      </c>
    </row>
    <row r="687" spans="1:26" hidden="1" x14ac:dyDescent="0.25">
      <c r="A687" s="2" t="s">
        <v>664</v>
      </c>
      <c r="B687" s="11" t="s">
        <v>158</v>
      </c>
      <c r="C687" s="11" t="s">
        <v>4</v>
      </c>
      <c r="D687" s="11" t="s">
        <v>984</v>
      </c>
      <c r="E687" s="11" t="s">
        <v>861</v>
      </c>
      <c r="F687" s="11" t="s">
        <v>1006</v>
      </c>
      <c r="G687" s="12">
        <v>6</v>
      </c>
      <c r="H687" s="12">
        <v>45</v>
      </c>
      <c r="I687" s="12">
        <v>270</v>
      </c>
      <c r="J687" s="12">
        <v>39580.6</v>
      </c>
      <c r="K687" s="20">
        <f t="shared" si="140"/>
        <v>4</v>
      </c>
      <c r="L687" s="20" t="str">
        <f t="shared" si="141"/>
        <v>Se repite 4 veces</v>
      </c>
      <c r="M687" s="20" t="str">
        <f t="shared" si="142"/>
        <v>Tradiciones Andinas-SIBARITA - Aji Panca Sazonador sin picante  6 sobres x 50</v>
      </c>
      <c r="N687" s="20">
        <f t="shared" si="143"/>
        <v>4</v>
      </c>
      <c r="O687" s="20" t="str">
        <f t="shared" si="144"/>
        <v>Se repite 4 veces en Tradiciones Andinas</v>
      </c>
      <c r="P687" s="20" t="str">
        <f t="shared" si="145"/>
        <v>Tradiciones Andinas-SIBARITA - Aji Panca Sazonador sin picante  6 sobres x 50-45</v>
      </c>
      <c r="Q687" s="20">
        <f t="shared" si="146"/>
        <v>3</v>
      </c>
      <c r="R687" s="20" t="str">
        <f t="shared" si="147"/>
        <v>Se repite 3 veces el precio de 45</v>
      </c>
      <c r="S687" s="20" t="str">
        <f t="shared" si="148"/>
        <v>El producto SIBARITA - Aji Panca Sazonador sin picante  6 sobres x 50 Se repite 4 veces en Tradiciones Andinas, Se repite 3 veces el precio de 45</v>
      </c>
      <c r="T687" s="20" t="str">
        <f t="shared" si="149"/>
        <v>Tradiciones Andinas</v>
      </c>
      <c r="U687" s="20" t="str">
        <f t="shared" si="150"/>
        <v>SIBARITA - Aji Panca Sazonador sin picante  6 sobres x 50</v>
      </c>
      <c r="V687" s="22">
        <f t="shared" si="151"/>
        <v>45</v>
      </c>
      <c r="W687" t="str">
        <f t="shared" si="152"/>
        <v>Tradiciones Andinas 06/12/2025</v>
      </c>
      <c r="Z687">
        <f t="shared" si="153"/>
        <v>270</v>
      </c>
    </row>
    <row r="688" spans="1:26" hidden="1" x14ac:dyDescent="0.25">
      <c r="A688" s="2" t="s">
        <v>664</v>
      </c>
      <c r="B688" s="11" t="s">
        <v>1029</v>
      </c>
      <c r="C688" s="11" t="s">
        <v>4</v>
      </c>
      <c r="D688" s="11" t="s">
        <v>1030</v>
      </c>
      <c r="E688" s="11" t="s">
        <v>861</v>
      </c>
      <c r="F688" s="11" t="s">
        <v>1006</v>
      </c>
      <c r="G688" s="12">
        <v>8</v>
      </c>
      <c r="H688" s="12">
        <v>45</v>
      </c>
      <c r="I688" s="12">
        <v>360</v>
      </c>
      <c r="J688" s="12">
        <v>44832.03</v>
      </c>
      <c r="K688" s="20">
        <f t="shared" si="140"/>
        <v>4</v>
      </c>
      <c r="L688" s="20" t="str">
        <f t="shared" si="141"/>
        <v>Se repite 4 veces</v>
      </c>
      <c r="M688" s="20" t="str">
        <f t="shared" si="142"/>
        <v>Tradiciones Andinas-SIBARITA - Aji Panca Sazonador sin picante  6 sobres x 50</v>
      </c>
      <c r="N688" s="20">
        <f t="shared" si="143"/>
        <v>4</v>
      </c>
      <c r="O688" s="20" t="str">
        <f t="shared" si="144"/>
        <v>Se repite 4 veces en Tradiciones Andinas</v>
      </c>
      <c r="P688" s="20" t="str">
        <f t="shared" si="145"/>
        <v>Tradiciones Andinas-SIBARITA - Aji Panca Sazonador sin picante  6 sobres x 50-45</v>
      </c>
      <c r="Q688" s="20">
        <f t="shared" si="146"/>
        <v>3</v>
      </c>
      <c r="R688" s="20" t="str">
        <f t="shared" si="147"/>
        <v>Se repite 3 veces el precio de 45</v>
      </c>
      <c r="S688" s="20" t="str">
        <f t="shared" si="148"/>
        <v>El producto SIBARITA - Aji Panca Sazonador sin picante  6 sobres x 50 Se repite 4 veces en Tradiciones Andinas, Se repite 3 veces el precio de 45</v>
      </c>
      <c r="T688" s="20" t="str">
        <f t="shared" si="149"/>
        <v>Tradiciones Andinas</v>
      </c>
      <c r="U688" s="20" t="str">
        <f t="shared" si="150"/>
        <v>SIBARITA - Aji Panca Sazonador sin picante  6 sobres x 50</v>
      </c>
      <c r="V688" s="22">
        <f t="shared" si="151"/>
        <v>45</v>
      </c>
      <c r="W688" t="str">
        <f t="shared" si="152"/>
        <v>Tradiciones Andinas 06/17/2025</v>
      </c>
      <c r="Z688">
        <f t="shared" si="153"/>
        <v>360</v>
      </c>
    </row>
    <row r="689" spans="1:26" hidden="1" x14ac:dyDescent="0.25">
      <c r="A689" s="2" t="s">
        <v>664</v>
      </c>
      <c r="B689" s="11" t="s">
        <v>1207</v>
      </c>
      <c r="C689" s="11" t="s">
        <v>4</v>
      </c>
      <c r="D689" s="11" t="s">
        <v>1208</v>
      </c>
      <c r="E689" s="11" t="s">
        <v>861</v>
      </c>
      <c r="F689" s="11" t="s">
        <v>1006</v>
      </c>
      <c r="G689" s="12">
        <v>3</v>
      </c>
      <c r="H689" s="12">
        <v>45</v>
      </c>
      <c r="I689" s="12">
        <v>135</v>
      </c>
      <c r="J689" s="12">
        <v>108396.68999999992</v>
      </c>
      <c r="K689" s="20">
        <f t="shared" si="140"/>
        <v>4</v>
      </c>
      <c r="L689" s="20" t="str">
        <f t="shared" si="141"/>
        <v>Se repite 4 veces</v>
      </c>
      <c r="M689" s="20" t="str">
        <f t="shared" si="142"/>
        <v>Tradiciones Andinas-SIBARITA - Aji Panca Sazonador sin picante  6 sobres x 50</v>
      </c>
      <c r="N689" s="20">
        <f t="shared" si="143"/>
        <v>4</v>
      </c>
      <c r="O689" s="20" t="str">
        <f t="shared" si="144"/>
        <v>Se repite 4 veces en Tradiciones Andinas</v>
      </c>
      <c r="P689" s="20" t="str">
        <f t="shared" si="145"/>
        <v>Tradiciones Andinas-SIBARITA - Aji Panca Sazonador sin picante  6 sobres x 50-45</v>
      </c>
      <c r="Q689" s="20">
        <f t="shared" si="146"/>
        <v>3</v>
      </c>
      <c r="R689" s="20" t="str">
        <f t="shared" si="147"/>
        <v>Se repite 3 veces el precio de 45</v>
      </c>
      <c r="S689" s="20" t="str">
        <f t="shared" si="148"/>
        <v>El producto SIBARITA - Aji Panca Sazonador sin picante  6 sobres x 50 Se repite 4 veces en Tradiciones Andinas, Se repite 3 veces el precio de 45</v>
      </c>
      <c r="T689" s="20" t="str">
        <f t="shared" si="149"/>
        <v>Tradiciones Andinas</v>
      </c>
      <c r="U689" s="20" t="str">
        <f t="shared" si="150"/>
        <v>SIBARITA - Aji Panca Sazonador sin picante  6 sobres x 50</v>
      </c>
      <c r="V689" s="22">
        <f t="shared" si="151"/>
        <v>45</v>
      </c>
      <c r="W689" t="str">
        <f t="shared" si="152"/>
        <v>Tradiciones Andinas 11/28/2025</v>
      </c>
      <c r="Z689">
        <f t="shared" si="153"/>
        <v>135</v>
      </c>
    </row>
    <row r="690" spans="1:26" hidden="1" x14ac:dyDescent="0.25">
      <c r="A690" s="2" t="s">
        <v>664</v>
      </c>
      <c r="B690" s="11" t="s">
        <v>1033</v>
      </c>
      <c r="C690" s="11" t="s">
        <v>4</v>
      </c>
      <c r="D690" s="11" t="s">
        <v>1034</v>
      </c>
      <c r="E690" s="11" t="s">
        <v>1058</v>
      </c>
      <c r="F690" s="11" t="s">
        <v>1059</v>
      </c>
      <c r="G690" s="12">
        <v>5</v>
      </c>
      <c r="H690" s="12">
        <v>39</v>
      </c>
      <c r="I690" s="12">
        <v>195</v>
      </c>
      <c r="J690" s="12">
        <v>51661.01999999996</v>
      </c>
      <c r="K690" s="20">
        <f t="shared" si="140"/>
        <v>2</v>
      </c>
      <c r="L690" s="20" t="str">
        <f t="shared" si="141"/>
        <v>Se repite 2 veces</v>
      </c>
      <c r="M690" s="20" t="str">
        <f t="shared" si="142"/>
        <v>Tradiciones Andinas-SIBARITA - Ajo / Garlic 8.8oz x 12</v>
      </c>
      <c r="N690" s="20">
        <f t="shared" si="143"/>
        <v>2</v>
      </c>
      <c r="O690" s="20" t="str">
        <f t="shared" si="144"/>
        <v>Se repite 2 veces en Tradiciones Andinas</v>
      </c>
      <c r="P690" s="20" t="str">
        <f t="shared" si="145"/>
        <v>Tradiciones Andinas-SIBARITA - Ajo / Garlic 8.8oz x 12-39</v>
      </c>
      <c r="Q690" s="20">
        <f t="shared" si="146"/>
        <v>2</v>
      </c>
      <c r="R690" s="20" t="str">
        <f t="shared" si="147"/>
        <v>Se repite 2 veces el precio de 39</v>
      </c>
      <c r="S690" s="20" t="str">
        <f t="shared" si="148"/>
        <v>El producto SIBARITA - Ajo / Garlic 8.8oz x 12 Se repite 2 veces en Tradiciones Andinas, Se repite 2 veces el precio de 39</v>
      </c>
      <c r="T690" s="20" t="str">
        <f t="shared" si="149"/>
        <v>Tradiciones Andinas</v>
      </c>
      <c r="U690" s="20" t="str">
        <f t="shared" si="150"/>
        <v>SIBARITA - Ajo / Garlic 8.8oz x 12</v>
      </c>
      <c r="V690" s="22">
        <f t="shared" si="151"/>
        <v>39</v>
      </c>
      <c r="W690" t="str">
        <f t="shared" si="152"/>
        <v>Tradiciones Andinas 07/03/2025</v>
      </c>
      <c r="Z690">
        <f t="shared" si="153"/>
        <v>195</v>
      </c>
    </row>
    <row r="691" spans="1:26" hidden="1" x14ac:dyDescent="0.25">
      <c r="A691" s="2" t="s">
        <v>664</v>
      </c>
      <c r="B691" s="11" t="s">
        <v>1207</v>
      </c>
      <c r="C691" s="11" t="s">
        <v>4</v>
      </c>
      <c r="D691" s="11" t="s">
        <v>1208</v>
      </c>
      <c r="E691" s="11" t="s">
        <v>1058</v>
      </c>
      <c r="F691" s="11" t="s">
        <v>1210</v>
      </c>
      <c r="G691" s="12">
        <v>1</v>
      </c>
      <c r="H691" s="12">
        <v>39</v>
      </c>
      <c r="I691" s="12">
        <v>39</v>
      </c>
      <c r="J691" s="12">
        <v>108435.68999999992</v>
      </c>
      <c r="K691" s="20">
        <f t="shared" si="140"/>
        <v>2</v>
      </c>
      <c r="L691" s="20" t="str">
        <f t="shared" si="141"/>
        <v>Se repite 2 veces</v>
      </c>
      <c r="M691" s="20" t="str">
        <f t="shared" si="142"/>
        <v>Tradiciones Andinas-SIBARITA - Ajo / Garlic 8.8oz x 12</v>
      </c>
      <c r="N691" s="20">
        <f t="shared" si="143"/>
        <v>2</v>
      </c>
      <c r="O691" s="20" t="str">
        <f t="shared" si="144"/>
        <v>Se repite 2 veces en Tradiciones Andinas</v>
      </c>
      <c r="P691" s="20" t="str">
        <f t="shared" si="145"/>
        <v>Tradiciones Andinas-SIBARITA - Ajo / Garlic 8.8oz x 12-39</v>
      </c>
      <c r="Q691" s="20">
        <f t="shared" si="146"/>
        <v>2</v>
      </c>
      <c r="R691" s="20" t="str">
        <f t="shared" si="147"/>
        <v>Se repite 2 veces el precio de 39</v>
      </c>
      <c r="S691" s="20" t="str">
        <f t="shared" si="148"/>
        <v>El producto SIBARITA - Ajo / Garlic 8.8oz x 12 Se repite 2 veces en Tradiciones Andinas, Se repite 2 veces el precio de 39</v>
      </c>
      <c r="T691" s="20" t="str">
        <f t="shared" si="149"/>
        <v>Tradiciones Andinas</v>
      </c>
      <c r="U691" s="20" t="str">
        <f t="shared" si="150"/>
        <v>SIBARITA - Ajo / Garlic 8.8oz x 12</v>
      </c>
      <c r="V691" s="22">
        <f t="shared" si="151"/>
        <v>39</v>
      </c>
      <c r="W691" t="str">
        <f t="shared" si="152"/>
        <v>Tradiciones Andinas 11/28/2025</v>
      </c>
      <c r="Z691">
        <f t="shared" si="153"/>
        <v>39</v>
      </c>
    </row>
    <row r="692" spans="1:26" hidden="1" x14ac:dyDescent="0.25">
      <c r="A692" s="2" t="s">
        <v>664</v>
      </c>
      <c r="B692" s="11" t="s">
        <v>821</v>
      </c>
      <c r="C692" s="11" t="s">
        <v>4</v>
      </c>
      <c r="D692" s="11" t="s">
        <v>822</v>
      </c>
      <c r="E692" s="11" t="s">
        <v>866</v>
      </c>
      <c r="F692" s="11" t="s">
        <v>867</v>
      </c>
      <c r="G692" s="12">
        <v>8</v>
      </c>
      <c r="H692" s="12">
        <v>49.08</v>
      </c>
      <c r="I692" s="12">
        <v>392.64</v>
      </c>
      <c r="J692" s="12">
        <v>17215.899999999998</v>
      </c>
      <c r="K692" s="20">
        <f t="shared" si="140"/>
        <v>2</v>
      </c>
      <c r="L692" s="20" t="str">
        <f t="shared" si="141"/>
        <v>Se repite 2 veces</v>
      </c>
      <c r="M692" s="20" t="str">
        <f t="shared" si="142"/>
        <v>Tradiciones Andinas-SIBARITA - Ajo / Garlic Family Pack 19.4oz x 12</v>
      </c>
      <c r="N692" s="20">
        <f t="shared" si="143"/>
        <v>2</v>
      </c>
      <c r="O692" s="20" t="str">
        <f t="shared" si="144"/>
        <v>Se repite 2 veces en Tradiciones Andinas</v>
      </c>
      <c r="P692" s="20" t="str">
        <f t="shared" si="145"/>
        <v>Tradiciones Andinas-SIBARITA - Ajo / Garlic Family Pack 19.4oz x 12-49.08</v>
      </c>
      <c r="Q692" s="20">
        <f t="shared" si="146"/>
        <v>1</v>
      </c>
      <c r="R692" s="20" t="str">
        <f t="shared" si="147"/>
        <v>No se repite</v>
      </c>
      <c r="S692" s="20" t="str">
        <f t="shared" si="148"/>
        <v>El producto SIBARITA - Ajo / Garlic Family Pack 19.4oz x 12 Se repite 2 veces en Tradiciones Andinas Una vez con el precio 49.08</v>
      </c>
      <c r="T692" s="20" t="str">
        <f t="shared" si="149"/>
        <v>Tradiciones Andinas</v>
      </c>
      <c r="U692" s="20" t="str">
        <f t="shared" si="150"/>
        <v>SIBARITA - Ajo / Garlic Family Pack 19.4oz x 12</v>
      </c>
      <c r="V692" s="22">
        <f t="shared" si="151"/>
        <v>49.08</v>
      </c>
      <c r="W692" t="str">
        <f t="shared" si="152"/>
        <v>Tradiciones Andinas 04/25/2025</v>
      </c>
      <c r="Z692">
        <f t="shared" si="153"/>
        <v>392.64</v>
      </c>
    </row>
    <row r="693" spans="1:26" hidden="1" x14ac:dyDescent="0.25">
      <c r="A693" s="2" t="s">
        <v>664</v>
      </c>
      <c r="B693" s="11" t="s">
        <v>1033</v>
      </c>
      <c r="C693" s="11" t="s">
        <v>4</v>
      </c>
      <c r="D693" s="11" t="s">
        <v>1034</v>
      </c>
      <c r="E693" s="11" t="s">
        <v>866</v>
      </c>
      <c r="F693" s="11" t="s">
        <v>1061</v>
      </c>
      <c r="G693" s="12">
        <v>10</v>
      </c>
      <c r="H693" s="12">
        <v>52.52</v>
      </c>
      <c r="I693" s="12">
        <v>525.20000000000005</v>
      </c>
      <c r="J693" s="12">
        <v>53619.03999999995</v>
      </c>
      <c r="K693" s="20">
        <f t="shared" si="140"/>
        <v>2</v>
      </c>
      <c r="L693" s="20" t="str">
        <f t="shared" si="141"/>
        <v>Se repite 2 veces</v>
      </c>
      <c r="M693" s="20" t="str">
        <f t="shared" si="142"/>
        <v>Tradiciones Andinas-SIBARITA - Ajo / Garlic Family Pack 19.4oz x 12</v>
      </c>
      <c r="N693" s="20">
        <f t="shared" si="143"/>
        <v>2</v>
      </c>
      <c r="O693" s="20" t="str">
        <f t="shared" si="144"/>
        <v>Se repite 2 veces en Tradiciones Andinas</v>
      </c>
      <c r="P693" s="20" t="str">
        <f t="shared" si="145"/>
        <v>Tradiciones Andinas-SIBARITA - Ajo / Garlic Family Pack 19.4oz x 12-52.52</v>
      </c>
      <c r="Q693" s="20">
        <f t="shared" si="146"/>
        <v>1</v>
      </c>
      <c r="R693" s="20" t="str">
        <f t="shared" si="147"/>
        <v>No se repite</v>
      </c>
      <c r="S693" s="20" t="str">
        <f t="shared" si="148"/>
        <v>El producto SIBARITA - Ajo / Garlic Family Pack 19.4oz x 12 Se repite 2 veces en Tradiciones Andinas Una vez con el precio 52.52</v>
      </c>
      <c r="T693" s="20" t="str">
        <f t="shared" si="149"/>
        <v>Tradiciones Andinas</v>
      </c>
      <c r="U693" s="20" t="str">
        <f t="shared" si="150"/>
        <v>SIBARITA - Ajo / Garlic Family Pack 19.4oz x 12</v>
      </c>
      <c r="V693" s="22">
        <f t="shared" si="151"/>
        <v>52.52</v>
      </c>
      <c r="W693" t="str">
        <f t="shared" si="152"/>
        <v>Tradiciones Andinas 07/03/2025</v>
      </c>
      <c r="Z693">
        <f t="shared" si="153"/>
        <v>525.20000000000005</v>
      </c>
    </row>
    <row r="694" spans="1:26" hidden="1" x14ac:dyDescent="0.25">
      <c r="A694" s="2" t="s">
        <v>664</v>
      </c>
      <c r="B694" s="11" t="s">
        <v>821</v>
      </c>
      <c r="C694" s="11" t="s">
        <v>4</v>
      </c>
      <c r="D694" s="11" t="s">
        <v>822</v>
      </c>
      <c r="E694" s="11" t="s">
        <v>865</v>
      </c>
      <c r="F694" s="11" t="s">
        <v>865</v>
      </c>
      <c r="G694" s="12">
        <v>10</v>
      </c>
      <c r="H694" s="12">
        <v>49.08</v>
      </c>
      <c r="I694" s="12">
        <v>490.8</v>
      </c>
      <c r="J694" s="12">
        <v>16823.259999999998</v>
      </c>
      <c r="K694" s="20">
        <f t="shared" si="140"/>
        <v>7</v>
      </c>
      <c r="L694" s="20" t="str">
        <f t="shared" si="141"/>
        <v>Se repite 7 veces</v>
      </c>
      <c r="M694" s="20" t="str">
        <f t="shared" si="142"/>
        <v>Tradiciones Andinas-SIBARITA - Amarillin Doypack  19.4oz x 12</v>
      </c>
      <c r="N694" s="20">
        <f t="shared" si="143"/>
        <v>7</v>
      </c>
      <c r="O694" s="20" t="str">
        <f t="shared" si="144"/>
        <v>Se repite 7 veces en Tradiciones Andinas</v>
      </c>
      <c r="P694" s="20" t="str">
        <f t="shared" si="145"/>
        <v>Tradiciones Andinas-SIBARITA - Amarillin Doypack  19.4oz x 12-49.08</v>
      </c>
      <c r="Q694" s="20">
        <f t="shared" si="146"/>
        <v>1</v>
      </c>
      <c r="R694" s="20" t="str">
        <f t="shared" si="147"/>
        <v>No se repite</v>
      </c>
      <c r="S694" s="20" t="str">
        <f t="shared" si="148"/>
        <v>El producto SIBARITA - Amarillin Doypack  19.4oz x 12 Se repite 7 veces en Tradiciones Andinas Una vez con el precio 49.08</v>
      </c>
      <c r="T694" s="20" t="str">
        <f t="shared" si="149"/>
        <v>Tradiciones Andinas</v>
      </c>
      <c r="U694" s="20" t="str">
        <f t="shared" si="150"/>
        <v>SIBARITA - Amarillin Doypack  19.4oz x 12</v>
      </c>
      <c r="V694" s="22">
        <f t="shared" si="151"/>
        <v>49.08</v>
      </c>
      <c r="W694" t="str">
        <f t="shared" si="152"/>
        <v>Tradiciones Andinas 04/25/2025</v>
      </c>
      <c r="Z694">
        <f t="shared" si="153"/>
        <v>490.79999999999995</v>
      </c>
    </row>
    <row r="695" spans="1:26" hidden="1" x14ac:dyDescent="0.25">
      <c r="A695" s="2" t="s">
        <v>664</v>
      </c>
      <c r="B695" s="11" t="s">
        <v>654</v>
      </c>
      <c r="C695" s="11" t="s">
        <v>4</v>
      </c>
      <c r="D695" s="11" t="s">
        <v>940</v>
      </c>
      <c r="E695" s="11" t="s">
        <v>865</v>
      </c>
      <c r="F695" s="11" t="s">
        <v>961</v>
      </c>
      <c r="G695" s="12">
        <v>15</v>
      </c>
      <c r="H695" s="12">
        <v>52.52</v>
      </c>
      <c r="I695" s="12">
        <v>787.8</v>
      </c>
      <c r="J695" s="12">
        <v>29554.919999999995</v>
      </c>
      <c r="K695" s="20">
        <f t="shared" si="140"/>
        <v>7</v>
      </c>
      <c r="L695" s="20" t="str">
        <f t="shared" si="141"/>
        <v>Se repite 7 veces</v>
      </c>
      <c r="M695" s="20" t="str">
        <f t="shared" si="142"/>
        <v>Tradiciones Andinas-SIBARITA - Amarillin Doypack  19.4oz x 12</v>
      </c>
      <c r="N695" s="20">
        <f t="shared" si="143"/>
        <v>7</v>
      </c>
      <c r="O695" s="20" t="str">
        <f t="shared" si="144"/>
        <v>Se repite 7 veces en Tradiciones Andinas</v>
      </c>
      <c r="P695" s="20" t="str">
        <f t="shared" si="145"/>
        <v>Tradiciones Andinas-SIBARITA - Amarillin Doypack  19.4oz x 12-52.52</v>
      </c>
      <c r="Q695" s="20">
        <f t="shared" si="146"/>
        <v>5</v>
      </c>
      <c r="R695" s="20" t="str">
        <f t="shared" si="147"/>
        <v>Se repite 5 veces el precio de 52.52</v>
      </c>
      <c r="S695" s="20" t="str">
        <f t="shared" si="148"/>
        <v>El producto SIBARITA - Amarillin Doypack  19.4oz x 12 Se repite 7 veces en Tradiciones Andinas, Se repite 5 veces el precio de 52.52</v>
      </c>
      <c r="T695" s="20" t="str">
        <f t="shared" si="149"/>
        <v>Tradiciones Andinas</v>
      </c>
      <c r="U695" s="20" t="str">
        <f t="shared" si="150"/>
        <v>SIBARITA - Amarillin Doypack  19.4oz x 12</v>
      </c>
      <c r="V695" s="22">
        <f t="shared" si="151"/>
        <v>52.52</v>
      </c>
      <c r="W695" t="str">
        <f t="shared" si="152"/>
        <v>Tradiciones Andinas 05/19/2025</v>
      </c>
      <c r="Z695">
        <f t="shared" si="153"/>
        <v>787.80000000000007</v>
      </c>
    </row>
    <row r="696" spans="1:26" hidden="1" x14ac:dyDescent="0.25">
      <c r="A696" s="2" t="s">
        <v>664</v>
      </c>
      <c r="B696" s="11" t="s">
        <v>158</v>
      </c>
      <c r="C696" s="11" t="s">
        <v>4</v>
      </c>
      <c r="D696" s="11" t="s">
        <v>984</v>
      </c>
      <c r="E696" s="11" t="s">
        <v>865</v>
      </c>
      <c r="F696" s="11" t="s">
        <v>961</v>
      </c>
      <c r="G696" s="12">
        <v>5</v>
      </c>
      <c r="H696" s="12">
        <v>52.52</v>
      </c>
      <c r="I696" s="12">
        <v>262.60000000000002</v>
      </c>
      <c r="J696" s="12">
        <v>40105.799999999996</v>
      </c>
      <c r="K696" s="20">
        <f t="shared" si="140"/>
        <v>7</v>
      </c>
      <c r="L696" s="20" t="str">
        <f t="shared" si="141"/>
        <v>Se repite 7 veces</v>
      </c>
      <c r="M696" s="20" t="str">
        <f t="shared" si="142"/>
        <v>Tradiciones Andinas-SIBARITA - Amarillin Doypack  19.4oz x 12</v>
      </c>
      <c r="N696" s="20">
        <f t="shared" si="143"/>
        <v>7</v>
      </c>
      <c r="O696" s="20" t="str">
        <f t="shared" si="144"/>
        <v>Se repite 7 veces en Tradiciones Andinas</v>
      </c>
      <c r="P696" s="20" t="str">
        <f t="shared" si="145"/>
        <v>Tradiciones Andinas-SIBARITA - Amarillin Doypack  19.4oz x 12-52.52</v>
      </c>
      <c r="Q696" s="20">
        <f t="shared" si="146"/>
        <v>5</v>
      </c>
      <c r="R696" s="20" t="str">
        <f t="shared" si="147"/>
        <v>Se repite 5 veces el precio de 52.52</v>
      </c>
      <c r="S696" s="20" t="str">
        <f t="shared" si="148"/>
        <v>El producto SIBARITA - Amarillin Doypack  19.4oz x 12 Se repite 7 veces en Tradiciones Andinas, Se repite 5 veces el precio de 52.52</v>
      </c>
      <c r="T696" s="20" t="str">
        <f t="shared" si="149"/>
        <v>Tradiciones Andinas</v>
      </c>
      <c r="U696" s="20" t="str">
        <f t="shared" si="150"/>
        <v>SIBARITA - Amarillin Doypack  19.4oz x 12</v>
      </c>
      <c r="V696" s="22">
        <f t="shared" si="151"/>
        <v>52.52</v>
      </c>
      <c r="W696" t="str">
        <f t="shared" si="152"/>
        <v>Tradiciones Andinas 06/12/2025</v>
      </c>
      <c r="Z696">
        <f t="shared" si="153"/>
        <v>262.60000000000002</v>
      </c>
    </row>
    <row r="697" spans="1:26" hidden="1" x14ac:dyDescent="0.25">
      <c r="A697" s="2" t="s">
        <v>664</v>
      </c>
      <c r="B697" s="11" t="s">
        <v>1029</v>
      </c>
      <c r="C697" s="11" t="s">
        <v>4</v>
      </c>
      <c r="D697" s="11" t="s">
        <v>1030</v>
      </c>
      <c r="E697" s="11" t="s">
        <v>865</v>
      </c>
      <c r="F697" s="11" t="s">
        <v>961</v>
      </c>
      <c r="G697" s="12">
        <v>5</v>
      </c>
      <c r="H697" s="12">
        <v>52.52</v>
      </c>
      <c r="I697" s="12">
        <v>262.60000000000002</v>
      </c>
      <c r="J697" s="12">
        <v>45357.229999999996</v>
      </c>
      <c r="K697" s="20">
        <f t="shared" si="140"/>
        <v>7</v>
      </c>
      <c r="L697" s="20" t="str">
        <f t="shared" si="141"/>
        <v>Se repite 7 veces</v>
      </c>
      <c r="M697" s="20" t="str">
        <f t="shared" si="142"/>
        <v>Tradiciones Andinas-SIBARITA - Amarillin Doypack  19.4oz x 12</v>
      </c>
      <c r="N697" s="20">
        <f t="shared" si="143"/>
        <v>7</v>
      </c>
      <c r="O697" s="20" t="str">
        <f t="shared" si="144"/>
        <v>Se repite 7 veces en Tradiciones Andinas</v>
      </c>
      <c r="P697" s="20" t="str">
        <f t="shared" si="145"/>
        <v>Tradiciones Andinas-SIBARITA - Amarillin Doypack  19.4oz x 12-52.52</v>
      </c>
      <c r="Q697" s="20">
        <f t="shared" si="146"/>
        <v>5</v>
      </c>
      <c r="R697" s="20" t="str">
        <f t="shared" si="147"/>
        <v>Se repite 5 veces el precio de 52.52</v>
      </c>
      <c r="S697" s="20" t="str">
        <f t="shared" si="148"/>
        <v>El producto SIBARITA - Amarillin Doypack  19.4oz x 12 Se repite 7 veces en Tradiciones Andinas, Se repite 5 veces el precio de 52.52</v>
      </c>
      <c r="T697" s="20" t="str">
        <f t="shared" si="149"/>
        <v>Tradiciones Andinas</v>
      </c>
      <c r="U697" s="20" t="str">
        <f t="shared" si="150"/>
        <v>SIBARITA - Amarillin Doypack  19.4oz x 12</v>
      </c>
      <c r="V697" s="22">
        <f t="shared" si="151"/>
        <v>52.52</v>
      </c>
      <c r="W697" t="str">
        <f t="shared" si="152"/>
        <v>Tradiciones Andinas 06/17/2025</v>
      </c>
      <c r="Z697">
        <f t="shared" si="153"/>
        <v>262.60000000000002</v>
      </c>
    </row>
    <row r="698" spans="1:26" hidden="1" x14ac:dyDescent="0.25">
      <c r="A698" s="2" t="s">
        <v>664</v>
      </c>
      <c r="B698" s="11" t="s">
        <v>1033</v>
      </c>
      <c r="C698" s="11" t="s">
        <v>4</v>
      </c>
      <c r="D698" s="11" t="s">
        <v>1034</v>
      </c>
      <c r="E698" s="11" t="s">
        <v>865</v>
      </c>
      <c r="F698" s="11" t="s">
        <v>961</v>
      </c>
      <c r="G698" s="12">
        <v>12</v>
      </c>
      <c r="H698" s="12">
        <v>52.52</v>
      </c>
      <c r="I698" s="12">
        <v>630.24</v>
      </c>
      <c r="J698" s="12">
        <v>53093.839999999953</v>
      </c>
      <c r="K698" s="20">
        <f t="shared" si="140"/>
        <v>7</v>
      </c>
      <c r="L698" s="20" t="str">
        <f t="shared" si="141"/>
        <v>Se repite 7 veces</v>
      </c>
      <c r="M698" s="20" t="str">
        <f t="shared" si="142"/>
        <v>Tradiciones Andinas-SIBARITA - Amarillin Doypack  19.4oz x 12</v>
      </c>
      <c r="N698" s="20">
        <f t="shared" si="143"/>
        <v>7</v>
      </c>
      <c r="O698" s="20" t="str">
        <f t="shared" si="144"/>
        <v>Se repite 7 veces en Tradiciones Andinas</v>
      </c>
      <c r="P698" s="20" t="str">
        <f t="shared" si="145"/>
        <v>Tradiciones Andinas-SIBARITA - Amarillin Doypack  19.4oz x 12-52.52</v>
      </c>
      <c r="Q698" s="20">
        <f t="shared" si="146"/>
        <v>5</v>
      </c>
      <c r="R698" s="20" t="str">
        <f t="shared" si="147"/>
        <v>Se repite 5 veces el precio de 52.52</v>
      </c>
      <c r="S698" s="20" t="str">
        <f t="shared" si="148"/>
        <v>El producto SIBARITA - Amarillin Doypack  19.4oz x 12 Se repite 7 veces en Tradiciones Andinas, Se repite 5 veces el precio de 52.52</v>
      </c>
      <c r="T698" s="20" t="str">
        <f t="shared" si="149"/>
        <v>Tradiciones Andinas</v>
      </c>
      <c r="U698" s="20" t="str">
        <f t="shared" si="150"/>
        <v>SIBARITA - Amarillin Doypack  19.4oz x 12</v>
      </c>
      <c r="V698" s="22">
        <f t="shared" si="151"/>
        <v>52.52</v>
      </c>
      <c r="W698" t="str">
        <f t="shared" si="152"/>
        <v>Tradiciones Andinas 07/03/2025</v>
      </c>
      <c r="Z698">
        <f t="shared" si="153"/>
        <v>630.24</v>
      </c>
    </row>
    <row r="699" spans="1:26" hidden="1" x14ac:dyDescent="0.25">
      <c r="A699" s="2" t="s">
        <v>664</v>
      </c>
      <c r="B699" s="11" t="s">
        <v>1153</v>
      </c>
      <c r="C699" s="11" t="s">
        <v>4</v>
      </c>
      <c r="D699" s="11" t="s">
        <v>1154</v>
      </c>
      <c r="E699" s="11" t="s">
        <v>865</v>
      </c>
      <c r="F699" s="11" t="s">
        <v>961</v>
      </c>
      <c r="G699" s="12">
        <v>18</v>
      </c>
      <c r="H699" s="12">
        <v>52.52</v>
      </c>
      <c r="I699" s="12">
        <v>945.36</v>
      </c>
      <c r="J699" s="12">
        <v>83014.589999999967</v>
      </c>
      <c r="K699" s="20">
        <f t="shared" si="140"/>
        <v>7</v>
      </c>
      <c r="L699" s="20" t="str">
        <f t="shared" si="141"/>
        <v>Se repite 7 veces</v>
      </c>
      <c r="M699" s="20" t="str">
        <f t="shared" si="142"/>
        <v>Tradiciones Andinas-SIBARITA - Amarillin Doypack  19.4oz x 12</v>
      </c>
      <c r="N699" s="20">
        <f t="shared" si="143"/>
        <v>7</v>
      </c>
      <c r="O699" s="20" t="str">
        <f t="shared" si="144"/>
        <v>Se repite 7 veces en Tradiciones Andinas</v>
      </c>
      <c r="P699" s="20" t="str">
        <f t="shared" si="145"/>
        <v>Tradiciones Andinas-SIBARITA - Amarillin Doypack  19.4oz x 12-52.52</v>
      </c>
      <c r="Q699" s="20">
        <f t="shared" si="146"/>
        <v>5</v>
      </c>
      <c r="R699" s="20" t="str">
        <f t="shared" si="147"/>
        <v>Se repite 5 veces el precio de 52.52</v>
      </c>
      <c r="S699" s="20" t="str">
        <f t="shared" si="148"/>
        <v>El producto SIBARITA - Amarillin Doypack  19.4oz x 12 Se repite 7 veces en Tradiciones Andinas, Se repite 5 veces el precio de 52.52</v>
      </c>
      <c r="T699" s="20" t="str">
        <f t="shared" si="149"/>
        <v>Tradiciones Andinas</v>
      </c>
      <c r="U699" s="20" t="str">
        <f t="shared" si="150"/>
        <v>SIBARITA - Amarillin Doypack  19.4oz x 12</v>
      </c>
      <c r="V699" s="22">
        <f t="shared" si="151"/>
        <v>52.52</v>
      </c>
      <c r="W699" t="str">
        <f t="shared" si="152"/>
        <v>Tradiciones Andinas 09/24/2025</v>
      </c>
      <c r="Z699">
        <f t="shared" si="153"/>
        <v>945.36</v>
      </c>
    </row>
    <row r="700" spans="1:26" hidden="1" x14ac:dyDescent="0.25">
      <c r="A700" s="2" t="s">
        <v>664</v>
      </c>
      <c r="B700" s="11" t="s">
        <v>1193</v>
      </c>
      <c r="C700" s="11" t="s">
        <v>4</v>
      </c>
      <c r="D700" s="11" t="s">
        <v>1194</v>
      </c>
      <c r="E700" s="11" t="s">
        <v>865</v>
      </c>
      <c r="F700" s="11" t="s">
        <v>961</v>
      </c>
      <c r="G700" s="12">
        <v>22</v>
      </c>
      <c r="H700" s="12">
        <v>49.52</v>
      </c>
      <c r="I700" s="12">
        <v>1089.44</v>
      </c>
      <c r="J700" s="12">
        <v>98356.149999999936</v>
      </c>
      <c r="K700" s="20">
        <f t="shared" si="140"/>
        <v>7</v>
      </c>
      <c r="L700" s="20" t="str">
        <f t="shared" si="141"/>
        <v>Se repite 7 veces</v>
      </c>
      <c r="M700" s="20" t="str">
        <f t="shared" si="142"/>
        <v>Tradiciones Andinas-SIBARITA - Amarillin Doypack  19.4oz x 12</v>
      </c>
      <c r="N700" s="20">
        <f t="shared" si="143"/>
        <v>7</v>
      </c>
      <c r="O700" s="20" t="str">
        <f t="shared" si="144"/>
        <v>Se repite 7 veces en Tradiciones Andinas</v>
      </c>
      <c r="P700" s="20" t="str">
        <f t="shared" si="145"/>
        <v>Tradiciones Andinas-SIBARITA - Amarillin Doypack  19.4oz x 12-49.52</v>
      </c>
      <c r="Q700" s="20">
        <f t="shared" si="146"/>
        <v>1</v>
      </c>
      <c r="R700" s="20" t="str">
        <f t="shared" si="147"/>
        <v>No se repite</v>
      </c>
      <c r="S700" s="20" t="str">
        <f t="shared" si="148"/>
        <v>El producto SIBARITA - Amarillin Doypack  19.4oz x 12 Se repite 7 veces en Tradiciones Andinas Una vez con el precio 49.52</v>
      </c>
      <c r="T700" s="20" t="str">
        <f t="shared" si="149"/>
        <v>Tradiciones Andinas</v>
      </c>
      <c r="U700" s="20" t="str">
        <f t="shared" si="150"/>
        <v>SIBARITA - Amarillin Doypack  19.4oz x 12</v>
      </c>
      <c r="V700" s="22">
        <f t="shared" si="151"/>
        <v>49.52</v>
      </c>
      <c r="W700" t="str">
        <f t="shared" si="152"/>
        <v>Tradiciones Andinas 10/30/2025</v>
      </c>
      <c r="Z700">
        <f t="shared" si="153"/>
        <v>1089.44</v>
      </c>
    </row>
    <row r="701" spans="1:26" hidden="1" x14ac:dyDescent="0.25">
      <c r="A701" s="2" t="s">
        <v>664</v>
      </c>
      <c r="B701" s="11" t="s">
        <v>654</v>
      </c>
      <c r="C701" s="11" t="s">
        <v>4</v>
      </c>
      <c r="D701" s="11" t="s">
        <v>940</v>
      </c>
      <c r="E701" s="11" t="s">
        <v>957</v>
      </c>
      <c r="F701" s="11" t="s">
        <v>958</v>
      </c>
      <c r="G701" s="12">
        <v>20</v>
      </c>
      <c r="H701" s="12">
        <v>42</v>
      </c>
      <c r="I701" s="12">
        <v>840</v>
      </c>
      <c r="J701" s="12">
        <v>27834.199999999993</v>
      </c>
      <c r="K701" s="20">
        <f t="shared" si="140"/>
        <v>3</v>
      </c>
      <c r="L701" s="20" t="str">
        <f t="shared" si="141"/>
        <v>Se repite 3 veces</v>
      </c>
      <c r="M701" s="20" t="str">
        <f t="shared" si="142"/>
        <v>Tradiciones Andinas-SIBARITA - Amarillin Doypack 8.8oz x 12</v>
      </c>
      <c r="N701" s="20">
        <f t="shared" si="143"/>
        <v>3</v>
      </c>
      <c r="O701" s="20" t="str">
        <f t="shared" si="144"/>
        <v>Se repite 3 veces en Tradiciones Andinas</v>
      </c>
      <c r="P701" s="20" t="str">
        <f t="shared" si="145"/>
        <v>Tradiciones Andinas-SIBARITA - Amarillin Doypack 8.8oz x 12-42</v>
      </c>
      <c r="Q701" s="20">
        <f t="shared" si="146"/>
        <v>1</v>
      </c>
      <c r="R701" s="20" t="str">
        <f t="shared" si="147"/>
        <v>No se repite</v>
      </c>
      <c r="S701" s="20" t="str">
        <f t="shared" si="148"/>
        <v>El producto SIBARITA - Amarillin Doypack 8.8oz x 12 Se repite 3 veces en Tradiciones Andinas Una vez con el precio 42</v>
      </c>
      <c r="T701" s="20" t="str">
        <f t="shared" si="149"/>
        <v>Tradiciones Andinas</v>
      </c>
      <c r="U701" s="20" t="str">
        <f t="shared" si="150"/>
        <v>SIBARITA - Amarillin Doypack 8.8oz x 12</v>
      </c>
      <c r="V701" s="22">
        <f t="shared" si="151"/>
        <v>42</v>
      </c>
      <c r="W701" t="str">
        <f t="shared" si="152"/>
        <v>Tradiciones Andinas 05/19/2025</v>
      </c>
      <c r="Z701">
        <f t="shared" si="153"/>
        <v>840</v>
      </c>
    </row>
    <row r="702" spans="1:26" hidden="1" x14ac:dyDescent="0.25">
      <c r="A702" s="2" t="s">
        <v>664</v>
      </c>
      <c r="B702" s="11" t="s">
        <v>1193</v>
      </c>
      <c r="C702" s="11" t="s">
        <v>4</v>
      </c>
      <c r="D702" s="11" t="s">
        <v>1194</v>
      </c>
      <c r="E702" s="11" t="s">
        <v>957</v>
      </c>
      <c r="F702" s="11" t="s">
        <v>1196</v>
      </c>
      <c r="G702" s="12">
        <v>6</v>
      </c>
      <c r="H702" s="12">
        <v>39</v>
      </c>
      <c r="I702" s="12">
        <v>234</v>
      </c>
      <c r="J702" s="12">
        <v>96070.069999999934</v>
      </c>
      <c r="K702" s="20">
        <f t="shared" si="140"/>
        <v>3</v>
      </c>
      <c r="L702" s="20" t="str">
        <f t="shared" si="141"/>
        <v>Se repite 3 veces</v>
      </c>
      <c r="M702" s="20" t="str">
        <f t="shared" si="142"/>
        <v>Tradiciones Andinas-SIBARITA - Amarillin Doypack 8.8oz x 12</v>
      </c>
      <c r="N702" s="20">
        <f t="shared" si="143"/>
        <v>3</v>
      </c>
      <c r="O702" s="20" t="str">
        <f t="shared" si="144"/>
        <v>Se repite 3 veces en Tradiciones Andinas</v>
      </c>
      <c r="P702" s="20" t="str">
        <f t="shared" si="145"/>
        <v>Tradiciones Andinas-SIBARITA - Amarillin Doypack 8.8oz x 12-39</v>
      </c>
      <c r="Q702" s="20">
        <f t="shared" si="146"/>
        <v>2</v>
      </c>
      <c r="R702" s="20" t="str">
        <f t="shared" si="147"/>
        <v>Se repite 2 veces el precio de 39</v>
      </c>
      <c r="S702" s="20" t="str">
        <f t="shared" si="148"/>
        <v>El producto SIBARITA - Amarillin Doypack 8.8oz x 12 Se repite 3 veces en Tradiciones Andinas, Se repite 2 veces el precio de 39</v>
      </c>
      <c r="T702" s="20" t="str">
        <f t="shared" si="149"/>
        <v>Tradiciones Andinas</v>
      </c>
      <c r="U702" s="20" t="str">
        <f t="shared" si="150"/>
        <v>SIBARITA - Amarillin Doypack 8.8oz x 12</v>
      </c>
      <c r="V702" s="22">
        <f t="shared" si="151"/>
        <v>39</v>
      </c>
      <c r="W702" t="str">
        <f t="shared" si="152"/>
        <v>Tradiciones Andinas 10/30/2025</v>
      </c>
      <c r="Z702">
        <f t="shared" si="153"/>
        <v>234</v>
      </c>
    </row>
    <row r="703" spans="1:26" hidden="1" x14ac:dyDescent="0.25">
      <c r="A703" s="2" t="s">
        <v>664</v>
      </c>
      <c r="B703" s="11" t="s">
        <v>1201</v>
      </c>
      <c r="C703" s="11" t="s">
        <v>4</v>
      </c>
      <c r="D703" s="11" t="s">
        <v>1202</v>
      </c>
      <c r="E703" s="11" t="s">
        <v>957</v>
      </c>
      <c r="F703" s="11" t="s">
        <v>1196</v>
      </c>
      <c r="G703" s="12">
        <v>3</v>
      </c>
      <c r="H703" s="12">
        <v>39</v>
      </c>
      <c r="I703" s="12">
        <v>117</v>
      </c>
      <c r="J703" s="12">
        <v>102216.74999999993</v>
      </c>
      <c r="K703" s="20">
        <f t="shared" si="140"/>
        <v>3</v>
      </c>
      <c r="L703" s="20" t="str">
        <f t="shared" si="141"/>
        <v>Se repite 3 veces</v>
      </c>
      <c r="M703" s="20" t="str">
        <f t="shared" si="142"/>
        <v>Tradiciones Andinas-SIBARITA - Amarillin Doypack 8.8oz x 12</v>
      </c>
      <c r="N703" s="20">
        <f t="shared" si="143"/>
        <v>3</v>
      </c>
      <c r="O703" s="20" t="str">
        <f t="shared" si="144"/>
        <v>Se repite 3 veces en Tradiciones Andinas</v>
      </c>
      <c r="P703" s="20" t="str">
        <f t="shared" si="145"/>
        <v>Tradiciones Andinas-SIBARITA - Amarillin Doypack 8.8oz x 12-39</v>
      </c>
      <c r="Q703" s="20">
        <f t="shared" si="146"/>
        <v>2</v>
      </c>
      <c r="R703" s="20" t="str">
        <f t="shared" si="147"/>
        <v>Se repite 2 veces el precio de 39</v>
      </c>
      <c r="S703" s="20" t="str">
        <f t="shared" si="148"/>
        <v>El producto SIBARITA - Amarillin Doypack 8.8oz x 12 Se repite 3 veces en Tradiciones Andinas, Se repite 2 veces el precio de 39</v>
      </c>
      <c r="T703" s="20" t="str">
        <f t="shared" si="149"/>
        <v>Tradiciones Andinas</v>
      </c>
      <c r="U703" s="20" t="str">
        <f t="shared" si="150"/>
        <v>SIBARITA - Amarillin Doypack 8.8oz x 12</v>
      </c>
      <c r="V703" s="22">
        <f t="shared" si="151"/>
        <v>39</v>
      </c>
      <c r="W703" t="str">
        <f t="shared" si="152"/>
        <v>Tradiciones Andinas 11/07/2025</v>
      </c>
      <c r="Z703">
        <f t="shared" si="153"/>
        <v>117</v>
      </c>
    </row>
    <row r="704" spans="1:26" hidden="1" x14ac:dyDescent="0.25">
      <c r="A704" s="2" t="s">
        <v>664</v>
      </c>
      <c r="B704" s="11" t="s">
        <v>821</v>
      </c>
      <c r="C704" s="11" t="s">
        <v>4</v>
      </c>
      <c r="D704" s="11" t="s">
        <v>822</v>
      </c>
      <c r="E704" s="11" t="s">
        <v>863</v>
      </c>
      <c r="F704" s="11" t="s">
        <v>864</v>
      </c>
      <c r="G704" s="12">
        <v>10</v>
      </c>
      <c r="H704" s="12">
        <v>49.08</v>
      </c>
      <c r="I704" s="12">
        <v>490.8</v>
      </c>
      <c r="J704" s="12">
        <v>16332.46</v>
      </c>
      <c r="K704" s="20">
        <f t="shared" si="140"/>
        <v>7</v>
      </c>
      <c r="L704" s="20" t="str">
        <f t="shared" si="141"/>
        <v>Se repite 7 veces</v>
      </c>
      <c r="M704" s="20" t="str">
        <f t="shared" si="142"/>
        <v>Tradiciones Andinas-SIBARITA - Panquita Doypack 12 x 19.4 oz</v>
      </c>
      <c r="N704" s="20">
        <f t="shared" si="143"/>
        <v>7</v>
      </c>
      <c r="O704" s="20" t="str">
        <f t="shared" si="144"/>
        <v>Se repite 7 veces en Tradiciones Andinas</v>
      </c>
      <c r="P704" s="20" t="str">
        <f t="shared" si="145"/>
        <v>Tradiciones Andinas-SIBARITA - Panquita Doypack 12 x 19.4 oz-49.08</v>
      </c>
      <c r="Q704" s="20">
        <f t="shared" si="146"/>
        <v>1</v>
      </c>
      <c r="R704" s="20" t="str">
        <f t="shared" si="147"/>
        <v>No se repite</v>
      </c>
      <c r="S704" s="20" t="str">
        <f t="shared" si="148"/>
        <v>El producto SIBARITA - Panquita Doypack 12 x 19.4 oz Se repite 7 veces en Tradiciones Andinas Una vez con el precio 49.08</v>
      </c>
      <c r="T704" s="20" t="str">
        <f t="shared" si="149"/>
        <v>Tradiciones Andinas</v>
      </c>
      <c r="U704" s="20" t="str">
        <f t="shared" si="150"/>
        <v>SIBARITA - Panquita Doypack 12 x 19.4 oz</v>
      </c>
      <c r="V704" s="22">
        <f t="shared" si="151"/>
        <v>49.08</v>
      </c>
      <c r="W704" t="str">
        <f t="shared" si="152"/>
        <v>Tradiciones Andinas 04/25/2025</v>
      </c>
      <c r="Z704">
        <f t="shared" si="153"/>
        <v>490.79999999999995</v>
      </c>
    </row>
    <row r="705" spans="1:26" hidden="1" x14ac:dyDescent="0.25">
      <c r="A705" s="2" t="s">
        <v>664</v>
      </c>
      <c r="B705" s="11" t="s">
        <v>654</v>
      </c>
      <c r="C705" s="11" t="s">
        <v>4</v>
      </c>
      <c r="D705" s="11" t="s">
        <v>940</v>
      </c>
      <c r="E705" s="11" t="s">
        <v>863</v>
      </c>
      <c r="F705" s="11" t="s">
        <v>960</v>
      </c>
      <c r="G705" s="12">
        <v>15</v>
      </c>
      <c r="H705" s="12">
        <v>52.52</v>
      </c>
      <c r="I705" s="12">
        <v>787.8</v>
      </c>
      <c r="J705" s="12">
        <v>28767.119999999995</v>
      </c>
      <c r="K705" s="20">
        <f t="shared" si="140"/>
        <v>7</v>
      </c>
      <c r="L705" s="20" t="str">
        <f t="shared" si="141"/>
        <v>Se repite 7 veces</v>
      </c>
      <c r="M705" s="20" t="str">
        <f t="shared" si="142"/>
        <v>Tradiciones Andinas-SIBARITA - Panquita Doypack 12 x 19.4 oz</v>
      </c>
      <c r="N705" s="20">
        <f t="shared" si="143"/>
        <v>7</v>
      </c>
      <c r="O705" s="20" t="str">
        <f t="shared" si="144"/>
        <v>Se repite 7 veces en Tradiciones Andinas</v>
      </c>
      <c r="P705" s="20" t="str">
        <f t="shared" si="145"/>
        <v>Tradiciones Andinas-SIBARITA - Panquita Doypack 12 x 19.4 oz-52.52</v>
      </c>
      <c r="Q705" s="20">
        <f t="shared" si="146"/>
        <v>5</v>
      </c>
      <c r="R705" s="20" t="str">
        <f t="shared" si="147"/>
        <v>Se repite 5 veces el precio de 52.52</v>
      </c>
      <c r="S705" s="20" t="str">
        <f t="shared" si="148"/>
        <v>El producto SIBARITA - Panquita Doypack 12 x 19.4 oz Se repite 7 veces en Tradiciones Andinas, Se repite 5 veces el precio de 52.52</v>
      </c>
      <c r="T705" s="20" t="str">
        <f t="shared" si="149"/>
        <v>Tradiciones Andinas</v>
      </c>
      <c r="U705" s="20" t="str">
        <f t="shared" si="150"/>
        <v>SIBARITA - Panquita Doypack 12 x 19.4 oz</v>
      </c>
      <c r="V705" s="22">
        <f t="shared" si="151"/>
        <v>52.52</v>
      </c>
      <c r="W705" t="str">
        <f t="shared" si="152"/>
        <v>Tradiciones Andinas 05/19/2025</v>
      </c>
      <c r="Z705">
        <f t="shared" si="153"/>
        <v>787.80000000000007</v>
      </c>
    </row>
    <row r="706" spans="1:26" hidden="1" x14ac:dyDescent="0.25">
      <c r="A706" s="2" t="s">
        <v>664</v>
      </c>
      <c r="B706" s="11" t="s">
        <v>158</v>
      </c>
      <c r="C706" s="11" t="s">
        <v>4</v>
      </c>
      <c r="D706" s="11" t="s">
        <v>984</v>
      </c>
      <c r="E706" s="11" t="s">
        <v>863</v>
      </c>
      <c r="F706" s="11" t="s">
        <v>960</v>
      </c>
      <c r="G706" s="12">
        <v>5</v>
      </c>
      <c r="H706" s="12">
        <v>52.52</v>
      </c>
      <c r="I706" s="12">
        <v>262.60000000000002</v>
      </c>
      <c r="J706" s="12">
        <v>39843.199999999997</v>
      </c>
      <c r="K706" s="20">
        <f t="shared" si="140"/>
        <v>7</v>
      </c>
      <c r="L706" s="20" t="str">
        <f t="shared" si="141"/>
        <v>Se repite 7 veces</v>
      </c>
      <c r="M706" s="20" t="str">
        <f t="shared" si="142"/>
        <v>Tradiciones Andinas-SIBARITA - Panquita Doypack 12 x 19.4 oz</v>
      </c>
      <c r="N706" s="20">
        <f t="shared" si="143"/>
        <v>7</v>
      </c>
      <c r="O706" s="20" t="str">
        <f t="shared" si="144"/>
        <v>Se repite 7 veces en Tradiciones Andinas</v>
      </c>
      <c r="P706" s="20" t="str">
        <f t="shared" si="145"/>
        <v>Tradiciones Andinas-SIBARITA - Panquita Doypack 12 x 19.4 oz-52.52</v>
      </c>
      <c r="Q706" s="20">
        <f t="shared" si="146"/>
        <v>5</v>
      </c>
      <c r="R706" s="20" t="str">
        <f t="shared" si="147"/>
        <v>Se repite 5 veces el precio de 52.52</v>
      </c>
      <c r="S706" s="20" t="str">
        <f t="shared" si="148"/>
        <v>El producto SIBARITA - Panquita Doypack 12 x 19.4 oz Se repite 7 veces en Tradiciones Andinas, Se repite 5 veces el precio de 52.52</v>
      </c>
      <c r="T706" s="20" t="str">
        <f t="shared" si="149"/>
        <v>Tradiciones Andinas</v>
      </c>
      <c r="U706" s="20" t="str">
        <f t="shared" si="150"/>
        <v>SIBARITA - Panquita Doypack 12 x 19.4 oz</v>
      </c>
      <c r="V706" s="22">
        <f t="shared" si="151"/>
        <v>52.52</v>
      </c>
      <c r="W706" t="str">
        <f t="shared" si="152"/>
        <v>Tradiciones Andinas 06/12/2025</v>
      </c>
      <c r="Z706">
        <f t="shared" si="153"/>
        <v>262.60000000000002</v>
      </c>
    </row>
    <row r="707" spans="1:26" hidden="1" x14ac:dyDescent="0.25">
      <c r="A707" s="2" t="s">
        <v>664</v>
      </c>
      <c r="B707" s="11" t="s">
        <v>1029</v>
      </c>
      <c r="C707" s="11" t="s">
        <v>4</v>
      </c>
      <c r="D707" s="11" t="s">
        <v>1030</v>
      </c>
      <c r="E707" s="11" t="s">
        <v>863</v>
      </c>
      <c r="F707" s="11" t="s">
        <v>960</v>
      </c>
      <c r="G707" s="12">
        <v>5</v>
      </c>
      <c r="H707" s="12">
        <v>52.52</v>
      </c>
      <c r="I707" s="12">
        <v>262.60000000000002</v>
      </c>
      <c r="J707" s="12">
        <v>45094.63</v>
      </c>
      <c r="K707" s="20">
        <f t="shared" ref="K707:K770" si="154">COUNTIF($E$2:$E$1438,E707)</f>
        <v>7</v>
      </c>
      <c r="L707" s="20" t="str">
        <f t="shared" ref="L707:L770" si="155">IF(K707&gt;1,_xlfn.CONCAT("Se repite ",K707," veces"),"No se repite")</f>
        <v>Se repite 7 veces</v>
      </c>
      <c r="M707" s="20" t="str">
        <f t="shared" ref="M707:M770" si="156">_xlfn.CONCAT(A707,"-",E707)</f>
        <v>Tradiciones Andinas-SIBARITA - Panquita Doypack 12 x 19.4 oz</v>
      </c>
      <c r="N707" s="20">
        <f t="shared" ref="N707:N770" si="157">COUNTIF($M$2:$M$1438,M707)</f>
        <v>7</v>
      </c>
      <c r="O707" s="20" t="str">
        <f t="shared" ref="O707:O770" si="158">IF(N707&gt;1,_xlfn.CONCAT("Se repite ",N707," veces en ",A707),"No se repite en proveedor")</f>
        <v>Se repite 7 veces en Tradiciones Andinas</v>
      </c>
      <c r="P707" s="20" t="str">
        <f t="shared" ref="P707:P770" si="159">_xlfn.CONCAT(A707,"-",E707,"-",H707)</f>
        <v>Tradiciones Andinas-SIBARITA - Panquita Doypack 12 x 19.4 oz-52.52</v>
      </c>
      <c r="Q707" s="20">
        <f t="shared" ref="Q707:Q770" si="160">COUNTIF($P$2:$P$1438,P707)</f>
        <v>5</v>
      </c>
      <c r="R707" s="20" t="str">
        <f t="shared" ref="R707:R770" si="161">IF(Q707&gt;1,_xlfn.CONCAT("Se repite ",Q707," veces el precio de ",H707),"No se repite")</f>
        <v>Se repite 5 veces el precio de 52.52</v>
      </c>
      <c r="S707" s="20" t="str">
        <f t="shared" ref="S707:S770" si="162">_xlfn.CONCAT("El producto ",E707," ",O707,IF(R707="No se repite",_xlfn.CONCAT(" Una vez con el precio ",H707),_xlfn.CONCAT(", ",R707)))</f>
        <v>El producto SIBARITA - Panquita Doypack 12 x 19.4 oz Se repite 7 veces en Tradiciones Andinas, Se repite 5 veces el precio de 52.52</v>
      </c>
      <c r="T707" s="20" t="str">
        <f t="shared" ref="T707:T770" si="163">+A707</f>
        <v>Tradiciones Andinas</v>
      </c>
      <c r="U707" s="20" t="str">
        <f t="shared" ref="U707:U770" si="164">+E707</f>
        <v>SIBARITA - Panquita Doypack 12 x 19.4 oz</v>
      </c>
      <c r="V707" s="22">
        <f t="shared" ref="V707:V770" si="165">+H707</f>
        <v>52.52</v>
      </c>
      <c r="W707" t="str">
        <f t="shared" ref="W707:W770" si="166">_xlfn.CONCAT(A707," ",B707)</f>
        <v>Tradiciones Andinas 06/17/2025</v>
      </c>
      <c r="Z707">
        <f t="shared" ref="Z707:Z770" si="167">G707*H707</f>
        <v>262.60000000000002</v>
      </c>
    </row>
    <row r="708" spans="1:26" hidden="1" x14ac:dyDescent="0.25">
      <c r="A708" s="2" t="s">
        <v>664</v>
      </c>
      <c r="B708" s="11" t="s">
        <v>1033</v>
      </c>
      <c r="C708" s="11" t="s">
        <v>4</v>
      </c>
      <c r="D708" s="11" t="s">
        <v>1034</v>
      </c>
      <c r="E708" s="11" t="s">
        <v>863</v>
      </c>
      <c r="F708" s="11" t="s">
        <v>960</v>
      </c>
      <c r="G708" s="12">
        <v>12</v>
      </c>
      <c r="H708" s="12">
        <v>52.52</v>
      </c>
      <c r="I708" s="12">
        <v>630.24</v>
      </c>
      <c r="J708" s="12">
        <v>52463.599999999955</v>
      </c>
      <c r="K708" s="20">
        <f t="shared" si="154"/>
        <v>7</v>
      </c>
      <c r="L708" s="20" t="str">
        <f t="shared" si="155"/>
        <v>Se repite 7 veces</v>
      </c>
      <c r="M708" s="20" t="str">
        <f t="shared" si="156"/>
        <v>Tradiciones Andinas-SIBARITA - Panquita Doypack 12 x 19.4 oz</v>
      </c>
      <c r="N708" s="20">
        <f t="shared" si="157"/>
        <v>7</v>
      </c>
      <c r="O708" s="20" t="str">
        <f t="shared" si="158"/>
        <v>Se repite 7 veces en Tradiciones Andinas</v>
      </c>
      <c r="P708" s="20" t="str">
        <f t="shared" si="159"/>
        <v>Tradiciones Andinas-SIBARITA - Panquita Doypack 12 x 19.4 oz-52.52</v>
      </c>
      <c r="Q708" s="20">
        <f t="shared" si="160"/>
        <v>5</v>
      </c>
      <c r="R708" s="20" t="str">
        <f t="shared" si="161"/>
        <v>Se repite 5 veces el precio de 52.52</v>
      </c>
      <c r="S708" s="20" t="str">
        <f t="shared" si="162"/>
        <v>El producto SIBARITA - Panquita Doypack 12 x 19.4 oz Se repite 7 veces en Tradiciones Andinas, Se repite 5 veces el precio de 52.52</v>
      </c>
      <c r="T708" s="20" t="str">
        <f t="shared" si="163"/>
        <v>Tradiciones Andinas</v>
      </c>
      <c r="U708" s="20" t="str">
        <f t="shared" si="164"/>
        <v>SIBARITA - Panquita Doypack 12 x 19.4 oz</v>
      </c>
      <c r="V708" s="22">
        <f t="shared" si="165"/>
        <v>52.52</v>
      </c>
      <c r="W708" t="str">
        <f t="shared" si="166"/>
        <v>Tradiciones Andinas 07/03/2025</v>
      </c>
      <c r="Z708">
        <f t="shared" si="167"/>
        <v>630.24</v>
      </c>
    </row>
    <row r="709" spans="1:26" hidden="1" x14ac:dyDescent="0.25">
      <c r="A709" s="2" t="s">
        <v>664</v>
      </c>
      <c r="B709" s="11" t="s">
        <v>1125</v>
      </c>
      <c r="C709" s="11" t="s">
        <v>4</v>
      </c>
      <c r="D709" s="11" t="s">
        <v>1126</v>
      </c>
      <c r="E709" s="11" t="s">
        <v>863</v>
      </c>
      <c r="F709" s="11" t="s">
        <v>960</v>
      </c>
      <c r="G709" s="12">
        <v>4</v>
      </c>
      <c r="H709" s="12">
        <v>52.52</v>
      </c>
      <c r="I709" s="12">
        <v>210.08</v>
      </c>
      <c r="J709" s="12">
        <v>70408.810000000012</v>
      </c>
      <c r="K709" s="20">
        <f t="shared" si="154"/>
        <v>7</v>
      </c>
      <c r="L709" s="20" t="str">
        <f t="shared" si="155"/>
        <v>Se repite 7 veces</v>
      </c>
      <c r="M709" s="20" t="str">
        <f t="shared" si="156"/>
        <v>Tradiciones Andinas-SIBARITA - Panquita Doypack 12 x 19.4 oz</v>
      </c>
      <c r="N709" s="20">
        <f t="shared" si="157"/>
        <v>7</v>
      </c>
      <c r="O709" s="20" t="str">
        <f t="shared" si="158"/>
        <v>Se repite 7 veces en Tradiciones Andinas</v>
      </c>
      <c r="P709" s="20" t="str">
        <f t="shared" si="159"/>
        <v>Tradiciones Andinas-SIBARITA - Panquita Doypack 12 x 19.4 oz-52.52</v>
      </c>
      <c r="Q709" s="20">
        <f t="shared" si="160"/>
        <v>5</v>
      </c>
      <c r="R709" s="20" t="str">
        <f t="shared" si="161"/>
        <v>Se repite 5 veces el precio de 52.52</v>
      </c>
      <c r="S709" s="20" t="str">
        <f t="shared" si="162"/>
        <v>El producto SIBARITA - Panquita Doypack 12 x 19.4 oz Se repite 7 veces en Tradiciones Andinas, Se repite 5 veces el precio de 52.52</v>
      </c>
      <c r="T709" s="20" t="str">
        <f t="shared" si="163"/>
        <v>Tradiciones Andinas</v>
      </c>
      <c r="U709" s="20" t="str">
        <f t="shared" si="164"/>
        <v>SIBARITA - Panquita Doypack 12 x 19.4 oz</v>
      </c>
      <c r="V709" s="22">
        <f t="shared" si="165"/>
        <v>52.52</v>
      </c>
      <c r="W709" t="str">
        <f t="shared" si="166"/>
        <v>Tradiciones Andinas 08/18/2025</v>
      </c>
      <c r="Z709">
        <f t="shared" si="167"/>
        <v>210.08</v>
      </c>
    </row>
    <row r="710" spans="1:26" hidden="1" x14ac:dyDescent="0.25">
      <c r="A710" s="2" t="s">
        <v>664</v>
      </c>
      <c r="B710" s="11" t="s">
        <v>1193</v>
      </c>
      <c r="C710" s="11" t="s">
        <v>4</v>
      </c>
      <c r="D710" s="11" t="s">
        <v>1194</v>
      </c>
      <c r="E710" s="11" t="s">
        <v>863</v>
      </c>
      <c r="F710" s="11" t="s">
        <v>960</v>
      </c>
      <c r="G710" s="12">
        <v>18</v>
      </c>
      <c r="H710" s="12">
        <v>49.52</v>
      </c>
      <c r="I710" s="12">
        <v>891.36</v>
      </c>
      <c r="J710" s="12">
        <v>97266.709999999934</v>
      </c>
      <c r="K710" s="20">
        <f t="shared" si="154"/>
        <v>7</v>
      </c>
      <c r="L710" s="20" t="str">
        <f t="shared" si="155"/>
        <v>Se repite 7 veces</v>
      </c>
      <c r="M710" s="20" t="str">
        <f t="shared" si="156"/>
        <v>Tradiciones Andinas-SIBARITA - Panquita Doypack 12 x 19.4 oz</v>
      </c>
      <c r="N710" s="20">
        <f t="shared" si="157"/>
        <v>7</v>
      </c>
      <c r="O710" s="20" t="str">
        <f t="shared" si="158"/>
        <v>Se repite 7 veces en Tradiciones Andinas</v>
      </c>
      <c r="P710" s="20" t="str">
        <f t="shared" si="159"/>
        <v>Tradiciones Andinas-SIBARITA - Panquita Doypack 12 x 19.4 oz-49.52</v>
      </c>
      <c r="Q710" s="20">
        <f t="shared" si="160"/>
        <v>1</v>
      </c>
      <c r="R710" s="20" t="str">
        <f t="shared" si="161"/>
        <v>No se repite</v>
      </c>
      <c r="S710" s="20" t="str">
        <f t="shared" si="162"/>
        <v>El producto SIBARITA - Panquita Doypack 12 x 19.4 oz Se repite 7 veces en Tradiciones Andinas Una vez con el precio 49.52</v>
      </c>
      <c r="T710" s="20" t="str">
        <f t="shared" si="163"/>
        <v>Tradiciones Andinas</v>
      </c>
      <c r="U710" s="20" t="str">
        <f t="shared" si="164"/>
        <v>SIBARITA - Panquita Doypack 12 x 19.4 oz</v>
      </c>
      <c r="V710" s="22">
        <f t="shared" si="165"/>
        <v>49.52</v>
      </c>
      <c r="W710" t="str">
        <f t="shared" si="166"/>
        <v>Tradiciones Andinas 10/30/2025</v>
      </c>
      <c r="Z710">
        <f t="shared" si="167"/>
        <v>891.36</v>
      </c>
    </row>
    <row r="711" spans="1:26" hidden="1" x14ac:dyDescent="0.25">
      <c r="A711" s="2" t="s">
        <v>664</v>
      </c>
      <c r="B711" s="11" t="s">
        <v>654</v>
      </c>
      <c r="C711" s="11" t="s">
        <v>4</v>
      </c>
      <c r="D711" s="11" t="s">
        <v>940</v>
      </c>
      <c r="E711" s="11" t="s">
        <v>955</v>
      </c>
      <c r="F711" s="11" t="s">
        <v>956</v>
      </c>
      <c r="G711" s="12">
        <v>20</v>
      </c>
      <c r="H711" s="12">
        <v>42</v>
      </c>
      <c r="I711" s="12">
        <v>840</v>
      </c>
      <c r="J711" s="12">
        <v>26994.199999999993</v>
      </c>
      <c r="K711" s="20">
        <f t="shared" si="154"/>
        <v>3</v>
      </c>
      <c r="L711" s="20" t="str">
        <f t="shared" si="155"/>
        <v>Se repite 3 veces</v>
      </c>
      <c r="M711" s="20" t="str">
        <f t="shared" si="156"/>
        <v>Tradiciones Andinas-SIBARITA - Panquita Doypack 8.8oz x 12</v>
      </c>
      <c r="N711" s="20">
        <f t="shared" si="157"/>
        <v>3</v>
      </c>
      <c r="O711" s="20" t="str">
        <f t="shared" si="158"/>
        <v>Se repite 3 veces en Tradiciones Andinas</v>
      </c>
      <c r="P711" s="20" t="str">
        <f t="shared" si="159"/>
        <v>Tradiciones Andinas-SIBARITA - Panquita Doypack 8.8oz x 12-42</v>
      </c>
      <c r="Q711" s="20">
        <f t="shared" si="160"/>
        <v>1</v>
      </c>
      <c r="R711" s="20" t="str">
        <f t="shared" si="161"/>
        <v>No se repite</v>
      </c>
      <c r="S711" s="20" t="str">
        <f t="shared" si="162"/>
        <v>El producto SIBARITA - Panquita Doypack 8.8oz x 12 Se repite 3 veces en Tradiciones Andinas Una vez con el precio 42</v>
      </c>
      <c r="T711" s="20" t="str">
        <f t="shared" si="163"/>
        <v>Tradiciones Andinas</v>
      </c>
      <c r="U711" s="20" t="str">
        <f t="shared" si="164"/>
        <v>SIBARITA - Panquita Doypack 8.8oz x 12</v>
      </c>
      <c r="V711" s="22">
        <f t="shared" si="165"/>
        <v>42</v>
      </c>
      <c r="W711" t="str">
        <f t="shared" si="166"/>
        <v>Tradiciones Andinas 05/19/2025</v>
      </c>
      <c r="Z711">
        <f t="shared" si="167"/>
        <v>840</v>
      </c>
    </row>
    <row r="712" spans="1:26" hidden="1" x14ac:dyDescent="0.25">
      <c r="A712" s="2" t="s">
        <v>664</v>
      </c>
      <c r="B712" s="11" t="s">
        <v>1193</v>
      </c>
      <c r="C712" s="11" t="s">
        <v>4</v>
      </c>
      <c r="D712" s="11" t="s">
        <v>1194</v>
      </c>
      <c r="E712" s="11" t="s">
        <v>955</v>
      </c>
      <c r="F712" s="11" t="s">
        <v>1197</v>
      </c>
      <c r="G712" s="12">
        <v>6</v>
      </c>
      <c r="H712" s="12">
        <v>39</v>
      </c>
      <c r="I712" s="12">
        <v>234</v>
      </c>
      <c r="J712" s="12">
        <v>96304.069999999934</v>
      </c>
      <c r="K712" s="20">
        <f t="shared" si="154"/>
        <v>3</v>
      </c>
      <c r="L712" s="20" t="str">
        <f t="shared" si="155"/>
        <v>Se repite 3 veces</v>
      </c>
      <c r="M712" s="20" t="str">
        <f t="shared" si="156"/>
        <v>Tradiciones Andinas-SIBARITA - Panquita Doypack 8.8oz x 12</v>
      </c>
      <c r="N712" s="20">
        <f t="shared" si="157"/>
        <v>3</v>
      </c>
      <c r="O712" s="20" t="str">
        <f t="shared" si="158"/>
        <v>Se repite 3 veces en Tradiciones Andinas</v>
      </c>
      <c r="P712" s="20" t="str">
        <f t="shared" si="159"/>
        <v>Tradiciones Andinas-SIBARITA - Panquita Doypack 8.8oz x 12-39</v>
      </c>
      <c r="Q712" s="20">
        <f t="shared" si="160"/>
        <v>2</v>
      </c>
      <c r="R712" s="20" t="str">
        <f t="shared" si="161"/>
        <v>Se repite 2 veces el precio de 39</v>
      </c>
      <c r="S712" s="20" t="str">
        <f t="shared" si="162"/>
        <v>El producto SIBARITA - Panquita Doypack 8.8oz x 12 Se repite 3 veces en Tradiciones Andinas, Se repite 2 veces el precio de 39</v>
      </c>
      <c r="T712" s="20" t="str">
        <f t="shared" si="163"/>
        <v>Tradiciones Andinas</v>
      </c>
      <c r="U712" s="20" t="str">
        <f t="shared" si="164"/>
        <v>SIBARITA - Panquita Doypack 8.8oz x 12</v>
      </c>
      <c r="V712" s="22">
        <f t="shared" si="165"/>
        <v>39</v>
      </c>
      <c r="W712" t="str">
        <f t="shared" si="166"/>
        <v>Tradiciones Andinas 10/30/2025</v>
      </c>
      <c r="Z712">
        <f t="shared" si="167"/>
        <v>234</v>
      </c>
    </row>
    <row r="713" spans="1:26" hidden="1" x14ac:dyDescent="0.25">
      <c r="A713" s="2" t="s">
        <v>664</v>
      </c>
      <c r="B713" s="11" t="s">
        <v>1201</v>
      </c>
      <c r="C713" s="11" t="s">
        <v>4</v>
      </c>
      <c r="D713" s="11" t="s">
        <v>1202</v>
      </c>
      <c r="E713" s="11" t="s">
        <v>955</v>
      </c>
      <c r="F713" s="11" t="s">
        <v>1197</v>
      </c>
      <c r="G713" s="12">
        <v>6</v>
      </c>
      <c r="H713" s="12">
        <v>39</v>
      </c>
      <c r="I713" s="12">
        <v>234</v>
      </c>
      <c r="J713" s="12">
        <v>102450.74999999993</v>
      </c>
      <c r="K713" s="20">
        <f t="shared" si="154"/>
        <v>3</v>
      </c>
      <c r="L713" s="20" t="str">
        <f t="shared" si="155"/>
        <v>Se repite 3 veces</v>
      </c>
      <c r="M713" s="20" t="str">
        <f t="shared" si="156"/>
        <v>Tradiciones Andinas-SIBARITA - Panquita Doypack 8.8oz x 12</v>
      </c>
      <c r="N713" s="20">
        <f t="shared" si="157"/>
        <v>3</v>
      </c>
      <c r="O713" s="20" t="str">
        <f t="shared" si="158"/>
        <v>Se repite 3 veces en Tradiciones Andinas</v>
      </c>
      <c r="P713" s="20" t="str">
        <f t="shared" si="159"/>
        <v>Tradiciones Andinas-SIBARITA - Panquita Doypack 8.8oz x 12-39</v>
      </c>
      <c r="Q713" s="20">
        <f t="shared" si="160"/>
        <v>2</v>
      </c>
      <c r="R713" s="20" t="str">
        <f t="shared" si="161"/>
        <v>Se repite 2 veces el precio de 39</v>
      </c>
      <c r="S713" s="20" t="str">
        <f t="shared" si="162"/>
        <v>El producto SIBARITA - Panquita Doypack 8.8oz x 12 Se repite 3 veces en Tradiciones Andinas, Se repite 2 veces el precio de 39</v>
      </c>
      <c r="T713" s="20" t="str">
        <f t="shared" si="163"/>
        <v>Tradiciones Andinas</v>
      </c>
      <c r="U713" s="20" t="str">
        <f t="shared" si="164"/>
        <v>SIBARITA - Panquita Doypack 8.8oz x 12</v>
      </c>
      <c r="V713" s="22">
        <f t="shared" si="165"/>
        <v>39</v>
      </c>
      <c r="W713" t="str">
        <f t="shared" si="166"/>
        <v>Tradiciones Andinas 11/07/2025</v>
      </c>
      <c r="Z713">
        <f t="shared" si="167"/>
        <v>234</v>
      </c>
    </row>
    <row r="714" spans="1:26" hidden="1" x14ac:dyDescent="0.25">
      <c r="A714" s="2" t="s">
        <v>664</v>
      </c>
      <c r="B714" s="11" t="s">
        <v>821</v>
      </c>
      <c r="C714" s="11" t="s">
        <v>4</v>
      </c>
      <c r="D714" s="11" t="s">
        <v>822</v>
      </c>
      <c r="E714" s="11" t="s">
        <v>859</v>
      </c>
      <c r="F714" s="11" t="s">
        <v>860</v>
      </c>
      <c r="G714" s="12">
        <v>6</v>
      </c>
      <c r="H714" s="12">
        <v>42.5</v>
      </c>
      <c r="I714" s="12">
        <v>255</v>
      </c>
      <c r="J714" s="12">
        <v>15466.279999999999</v>
      </c>
      <c r="K714" s="20">
        <f t="shared" si="154"/>
        <v>4</v>
      </c>
      <c r="L714" s="20" t="str">
        <f t="shared" si="155"/>
        <v>Se repite 4 veces</v>
      </c>
      <c r="M714" s="20" t="str">
        <f t="shared" si="156"/>
        <v>Tradiciones Andinas-SIBARITA - Tuco Tallarin 6 sobres x 50 / 1.64oz x 50</v>
      </c>
      <c r="N714" s="20">
        <f t="shared" si="157"/>
        <v>4</v>
      </c>
      <c r="O714" s="20" t="str">
        <f t="shared" si="158"/>
        <v>Se repite 4 veces en Tradiciones Andinas</v>
      </c>
      <c r="P714" s="20" t="str">
        <f t="shared" si="159"/>
        <v>Tradiciones Andinas-SIBARITA - Tuco Tallarin 6 sobres x 50 / 1.64oz x 50-42.5</v>
      </c>
      <c r="Q714" s="20">
        <f t="shared" si="160"/>
        <v>1</v>
      </c>
      <c r="R714" s="20" t="str">
        <f t="shared" si="161"/>
        <v>No se repite</v>
      </c>
      <c r="S714" s="20" t="str">
        <f t="shared" si="162"/>
        <v>El producto SIBARITA - Tuco Tallarin 6 sobres x 50 / 1.64oz x 50 Se repite 4 veces en Tradiciones Andinas Una vez con el precio 42.5</v>
      </c>
      <c r="T714" s="20" t="str">
        <f t="shared" si="163"/>
        <v>Tradiciones Andinas</v>
      </c>
      <c r="U714" s="20" t="str">
        <f t="shared" si="164"/>
        <v>SIBARITA - Tuco Tallarin 6 sobres x 50 / 1.64oz x 50</v>
      </c>
      <c r="V714" s="22">
        <f t="shared" si="165"/>
        <v>42.5</v>
      </c>
      <c r="W714" t="str">
        <f t="shared" si="166"/>
        <v>Tradiciones Andinas 04/25/2025</v>
      </c>
      <c r="Z714">
        <f t="shared" si="167"/>
        <v>255</v>
      </c>
    </row>
    <row r="715" spans="1:26" hidden="1" x14ac:dyDescent="0.25">
      <c r="A715" s="2" t="s">
        <v>664</v>
      </c>
      <c r="B715" s="11" t="s">
        <v>158</v>
      </c>
      <c r="C715" s="11" t="s">
        <v>4</v>
      </c>
      <c r="D715" s="11" t="s">
        <v>984</v>
      </c>
      <c r="E715" s="11" t="s">
        <v>859</v>
      </c>
      <c r="F715" s="11" t="s">
        <v>1005</v>
      </c>
      <c r="G715" s="12">
        <v>6</v>
      </c>
      <c r="H715" s="12">
        <v>45</v>
      </c>
      <c r="I715" s="12">
        <v>270</v>
      </c>
      <c r="J715" s="12">
        <v>39310.6</v>
      </c>
      <c r="K715" s="20">
        <f t="shared" si="154"/>
        <v>4</v>
      </c>
      <c r="L715" s="20" t="str">
        <f t="shared" si="155"/>
        <v>Se repite 4 veces</v>
      </c>
      <c r="M715" s="20" t="str">
        <f t="shared" si="156"/>
        <v>Tradiciones Andinas-SIBARITA - Tuco Tallarin 6 sobres x 50 / 1.64oz x 50</v>
      </c>
      <c r="N715" s="20">
        <f t="shared" si="157"/>
        <v>4</v>
      </c>
      <c r="O715" s="20" t="str">
        <f t="shared" si="158"/>
        <v>Se repite 4 veces en Tradiciones Andinas</v>
      </c>
      <c r="P715" s="20" t="str">
        <f t="shared" si="159"/>
        <v>Tradiciones Andinas-SIBARITA - Tuco Tallarin 6 sobres x 50 / 1.64oz x 50-45</v>
      </c>
      <c r="Q715" s="20">
        <f t="shared" si="160"/>
        <v>3</v>
      </c>
      <c r="R715" s="20" t="str">
        <f t="shared" si="161"/>
        <v>Se repite 3 veces el precio de 45</v>
      </c>
      <c r="S715" s="20" t="str">
        <f t="shared" si="162"/>
        <v>El producto SIBARITA - Tuco Tallarin 6 sobres x 50 / 1.64oz x 50 Se repite 4 veces en Tradiciones Andinas, Se repite 3 veces el precio de 45</v>
      </c>
      <c r="T715" s="20" t="str">
        <f t="shared" si="163"/>
        <v>Tradiciones Andinas</v>
      </c>
      <c r="U715" s="20" t="str">
        <f t="shared" si="164"/>
        <v>SIBARITA - Tuco Tallarin 6 sobres x 50 / 1.64oz x 50</v>
      </c>
      <c r="V715" s="22">
        <f t="shared" si="165"/>
        <v>45</v>
      </c>
      <c r="W715" t="str">
        <f t="shared" si="166"/>
        <v>Tradiciones Andinas 06/12/2025</v>
      </c>
      <c r="Z715">
        <f t="shared" si="167"/>
        <v>270</v>
      </c>
    </row>
    <row r="716" spans="1:26" hidden="1" x14ac:dyDescent="0.25">
      <c r="A716" s="2" t="s">
        <v>664</v>
      </c>
      <c r="B716" s="11" t="s">
        <v>1029</v>
      </c>
      <c r="C716" s="11" t="s">
        <v>4</v>
      </c>
      <c r="D716" s="11" t="s">
        <v>1030</v>
      </c>
      <c r="E716" s="11" t="s">
        <v>859</v>
      </c>
      <c r="F716" s="11" t="s">
        <v>1005</v>
      </c>
      <c r="G716" s="12">
        <v>8</v>
      </c>
      <c r="H716" s="12">
        <v>45</v>
      </c>
      <c r="I716" s="12">
        <v>360</v>
      </c>
      <c r="J716" s="12">
        <v>44472.03</v>
      </c>
      <c r="K716" s="20">
        <f t="shared" si="154"/>
        <v>4</v>
      </c>
      <c r="L716" s="20" t="str">
        <f t="shared" si="155"/>
        <v>Se repite 4 veces</v>
      </c>
      <c r="M716" s="20" t="str">
        <f t="shared" si="156"/>
        <v>Tradiciones Andinas-SIBARITA - Tuco Tallarin 6 sobres x 50 / 1.64oz x 50</v>
      </c>
      <c r="N716" s="20">
        <f t="shared" si="157"/>
        <v>4</v>
      </c>
      <c r="O716" s="20" t="str">
        <f t="shared" si="158"/>
        <v>Se repite 4 veces en Tradiciones Andinas</v>
      </c>
      <c r="P716" s="20" t="str">
        <f t="shared" si="159"/>
        <v>Tradiciones Andinas-SIBARITA - Tuco Tallarin 6 sobres x 50 / 1.64oz x 50-45</v>
      </c>
      <c r="Q716" s="20">
        <f t="shared" si="160"/>
        <v>3</v>
      </c>
      <c r="R716" s="20" t="str">
        <f t="shared" si="161"/>
        <v>Se repite 3 veces el precio de 45</v>
      </c>
      <c r="S716" s="20" t="str">
        <f t="shared" si="162"/>
        <v>El producto SIBARITA - Tuco Tallarin 6 sobres x 50 / 1.64oz x 50 Se repite 4 veces en Tradiciones Andinas, Se repite 3 veces el precio de 45</v>
      </c>
      <c r="T716" s="20" t="str">
        <f t="shared" si="163"/>
        <v>Tradiciones Andinas</v>
      </c>
      <c r="U716" s="20" t="str">
        <f t="shared" si="164"/>
        <v>SIBARITA - Tuco Tallarin 6 sobres x 50 / 1.64oz x 50</v>
      </c>
      <c r="V716" s="22">
        <f t="shared" si="165"/>
        <v>45</v>
      </c>
      <c r="W716" t="str">
        <f t="shared" si="166"/>
        <v>Tradiciones Andinas 06/17/2025</v>
      </c>
      <c r="Z716">
        <f t="shared" si="167"/>
        <v>360</v>
      </c>
    </row>
    <row r="717" spans="1:26" hidden="1" x14ac:dyDescent="0.25">
      <c r="A717" s="2" t="s">
        <v>664</v>
      </c>
      <c r="B717" s="11" t="s">
        <v>1207</v>
      </c>
      <c r="C717" s="11" t="s">
        <v>4</v>
      </c>
      <c r="D717" s="11" t="s">
        <v>1208</v>
      </c>
      <c r="E717" s="11" t="s">
        <v>859</v>
      </c>
      <c r="F717" s="11" t="s">
        <v>1005</v>
      </c>
      <c r="G717" s="12">
        <v>1</v>
      </c>
      <c r="H717" s="12">
        <v>45</v>
      </c>
      <c r="I717" s="12">
        <v>45</v>
      </c>
      <c r="J717" s="12">
        <v>108261.68999999992</v>
      </c>
      <c r="K717" s="20">
        <f t="shared" si="154"/>
        <v>4</v>
      </c>
      <c r="L717" s="20" t="str">
        <f t="shared" si="155"/>
        <v>Se repite 4 veces</v>
      </c>
      <c r="M717" s="20" t="str">
        <f t="shared" si="156"/>
        <v>Tradiciones Andinas-SIBARITA - Tuco Tallarin 6 sobres x 50 / 1.64oz x 50</v>
      </c>
      <c r="N717" s="20">
        <f t="shared" si="157"/>
        <v>4</v>
      </c>
      <c r="O717" s="20" t="str">
        <f t="shared" si="158"/>
        <v>Se repite 4 veces en Tradiciones Andinas</v>
      </c>
      <c r="P717" s="20" t="str">
        <f t="shared" si="159"/>
        <v>Tradiciones Andinas-SIBARITA - Tuco Tallarin 6 sobres x 50 / 1.64oz x 50-45</v>
      </c>
      <c r="Q717" s="20">
        <f t="shared" si="160"/>
        <v>3</v>
      </c>
      <c r="R717" s="20" t="str">
        <f t="shared" si="161"/>
        <v>Se repite 3 veces el precio de 45</v>
      </c>
      <c r="S717" s="20" t="str">
        <f t="shared" si="162"/>
        <v>El producto SIBARITA - Tuco Tallarin 6 sobres x 50 / 1.64oz x 50 Se repite 4 veces en Tradiciones Andinas, Se repite 3 veces el precio de 45</v>
      </c>
      <c r="T717" s="20" t="str">
        <f t="shared" si="163"/>
        <v>Tradiciones Andinas</v>
      </c>
      <c r="U717" s="20" t="str">
        <f t="shared" si="164"/>
        <v>SIBARITA - Tuco Tallarin 6 sobres x 50 / 1.64oz x 50</v>
      </c>
      <c r="V717" s="22">
        <f t="shared" si="165"/>
        <v>45</v>
      </c>
      <c r="W717" t="str">
        <f t="shared" si="166"/>
        <v>Tradiciones Andinas 11/28/2025</v>
      </c>
      <c r="Z717">
        <f t="shared" si="167"/>
        <v>45</v>
      </c>
    </row>
    <row r="718" spans="1:26" hidden="1" x14ac:dyDescent="0.25">
      <c r="A718" s="2" t="s">
        <v>664</v>
      </c>
      <c r="B718" s="11" t="s">
        <v>665</v>
      </c>
      <c r="C718" s="11" t="s">
        <v>4</v>
      </c>
      <c r="D718" s="11" t="s">
        <v>666</v>
      </c>
      <c r="E718" s="11" t="s">
        <v>736</v>
      </c>
      <c r="F718" s="11" t="s">
        <v>737</v>
      </c>
      <c r="G718" s="12">
        <v>2</v>
      </c>
      <c r="H718" s="12">
        <v>9.48</v>
      </c>
      <c r="I718" s="12">
        <v>18.96</v>
      </c>
      <c r="J718" s="12">
        <v>2098.16</v>
      </c>
      <c r="K718" s="20">
        <f t="shared" si="154"/>
        <v>5</v>
      </c>
      <c r="L718" s="20" t="str">
        <f t="shared" si="155"/>
        <v>Se repite 5 veces</v>
      </c>
      <c r="M718" s="20" t="str">
        <f t="shared" si="156"/>
        <v>Tradiciones Andinas-SIBARITA - Vinagre Blanco - White Vinegar 16.91oz x 12</v>
      </c>
      <c r="N718" s="20">
        <f t="shared" si="157"/>
        <v>5</v>
      </c>
      <c r="O718" s="20" t="str">
        <f t="shared" si="158"/>
        <v>Se repite 5 veces en Tradiciones Andinas</v>
      </c>
      <c r="P718" s="20" t="str">
        <f t="shared" si="159"/>
        <v>Tradiciones Andinas-SIBARITA - Vinagre Blanco - White Vinegar 16.91oz x 12-9.48</v>
      </c>
      <c r="Q718" s="20">
        <f t="shared" si="160"/>
        <v>1</v>
      </c>
      <c r="R718" s="20" t="str">
        <f t="shared" si="161"/>
        <v>No se repite</v>
      </c>
      <c r="S718" s="20" t="str">
        <f t="shared" si="162"/>
        <v>El producto SIBARITA - Vinagre Blanco - White Vinegar 16.91oz x 12 Se repite 5 veces en Tradiciones Andinas Una vez con el precio 9.48</v>
      </c>
      <c r="T718" s="20" t="str">
        <f t="shared" si="163"/>
        <v>Tradiciones Andinas</v>
      </c>
      <c r="U718" s="20" t="str">
        <f t="shared" si="164"/>
        <v>SIBARITA - Vinagre Blanco - White Vinegar 16.91oz x 12</v>
      </c>
      <c r="V718" s="22">
        <f t="shared" si="165"/>
        <v>9.48</v>
      </c>
      <c r="W718" t="str">
        <f t="shared" si="166"/>
        <v>Tradiciones Andinas 03/31/2025</v>
      </c>
      <c r="Z718">
        <f t="shared" si="167"/>
        <v>18.96</v>
      </c>
    </row>
    <row r="719" spans="1:26" hidden="1" x14ac:dyDescent="0.25">
      <c r="A719" s="2" t="s">
        <v>664</v>
      </c>
      <c r="B719" s="11" t="s">
        <v>398</v>
      </c>
      <c r="C719" s="11" t="s">
        <v>4</v>
      </c>
      <c r="D719" s="11" t="s">
        <v>5</v>
      </c>
      <c r="E719" s="11" t="s">
        <v>736</v>
      </c>
      <c r="F719" s="11" t="s">
        <v>737</v>
      </c>
      <c r="G719" s="12">
        <v>2</v>
      </c>
      <c r="H719" s="12">
        <v>8.48</v>
      </c>
      <c r="I719" s="12">
        <v>16.96</v>
      </c>
      <c r="J719" s="12">
        <v>5367.68</v>
      </c>
      <c r="K719" s="20">
        <f t="shared" si="154"/>
        <v>5</v>
      </c>
      <c r="L719" s="20" t="str">
        <f t="shared" si="155"/>
        <v>Se repite 5 veces</v>
      </c>
      <c r="M719" s="20" t="str">
        <f t="shared" si="156"/>
        <v>Tradiciones Andinas-SIBARITA - Vinagre Blanco - White Vinegar 16.91oz x 12</v>
      </c>
      <c r="N719" s="20">
        <f t="shared" si="157"/>
        <v>5</v>
      </c>
      <c r="O719" s="20" t="str">
        <f t="shared" si="158"/>
        <v>Se repite 5 veces en Tradiciones Andinas</v>
      </c>
      <c r="P719" s="20" t="str">
        <f t="shared" si="159"/>
        <v>Tradiciones Andinas-SIBARITA - Vinagre Blanco - White Vinegar 16.91oz x 12-8.48</v>
      </c>
      <c r="Q719" s="20">
        <f t="shared" si="160"/>
        <v>2</v>
      </c>
      <c r="R719" s="20" t="str">
        <f t="shared" si="161"/>
        <v>Se repite 2 veces el precio de 8.48</v>
      </c>
      <c r="S719" s="20" t="str">
        <f t="shared" si="162"/>
        <v>El producto SIBARITA - Vinagre Blanco - White Vinegar 16.91oz x 12 Se repite 5 veces en Tradiciones Andinas, Se repite 2 veces el precio de 8.48</v>
      </c>
      <c r="T719" s="20" t="str">
        <f t="shared" si="163"/>
        <v>Tradiciones Andinas</v>
      </c>
      <c r="U719" s="20" t="str">
        <f t="shared" si="164"/>
        <v>SIBARITA - Vinagre Blanco - White Vinegar 16.91oz x 12</v>
      </c>
      <c r="V719" s="22">
        <f t="shared" si="165"/>
        <v>8.48</v>
      </c>
      <c r="W719" t="str">
        <f t="shared" si="166"/>
        <v>Tradiciones Andinas 04/10/2025</v>
      </c>
      <c r="Z719">
        <f t="shared" si="167"/>
        <v>16.96</v>
      </c>
    </row>
    <row r="720" spans="1:26" hidden="1" x14ac:dyDescent="0.25">
      <c r="A720" s="2" t="s">
        <v>664</v>
      </c>
      <c r="B720" s="11" t="s">
        <v>821</v>
      </c>
      <c r="C720" s="11" t="s">
        <v>4</v>
      </c>
      <c r="D720" s="11" t="s">
        <v>822</v>
      </c>
      <c r="E720" s="11" t="s">
        <v>736</v>
      </c>
      <c r="F720" s="11" t="s">
        <v>737</v>
      </c>
      <c r="G720" s="12">
        <v>4</v>
      </c>
      <c r="H720" s="12">
        <v>8.48</v>
      </c>
      <c r="I720" s="12">
        <v>33.92</v>
      </c>
      <c r="J720" s="12">
        <v>15807.74</v>
      </c>
      <c r="K720" s="20">
        <f t="shared" si="154"/>
        <v>5</v>
      </c>
      <c r="L720" s="20" t="str">
        <f t="shared" si="155"/>
        <v>Se repite 5 veces</v>
      </c>
      <c r="M720" s="20" t="str">
        <f t="shared" si="156"/>
        <v>Tradiciones Andinas-SIBARITA - Vinagre Blanco - White Vinegar 16.91oz x 12</v>
      </c>
      <c r="N720" s="20">
        <f t="shared" si="157"/>
        <v>5</v>
      </c>
      <c r="O720" s="20" t="str">
        <f t="shared" si="158"/>
        <v>Se repite 5 veces en Tradiciones Andinas</v>
      </c>
      <c r="P720" s="20" t="str">
        <f t="shared" si="159"/>
        <v>Tradiciones Andinas-SIBARITA - Vinagre Blanco - White Vinegar 16.91oz x 12-8.48</v>
      </c>
      <c r="Q720" s="20">
        <f t="shared" si="160"/>
        <v>2</v>
      </c>
      <c r="R720" s="20" t="str">
        <f t="shared" si="161"/>
        <v>Se repite 2 veces el precio de 8.48</v>
      </c>
      <c r="S720" s="20" t="str">
        <f t="shared" si="162"/>
        <v>El producto SIBARITA - Vinagre Blanco - White Vinegar 16.91oz x 12 Se repite 5 veces en Tradiciones Andinas, Se repite 2 veces el precio de 8.48</v>
      </c>
      <c r="T720" s="20" t="str">
        <f t="shared" si="163"/>
        <v>Tradiciones Andinas</v>
      </c>
      <c r="U720" s="20" t="str">
        <f t="shared" si="164"/>
        <v>SIBARITA - Vinagre Blanco - White Vinegar 16.91oz x 12</v>
      </c>
      <c r="V720" s="22">
        <f t="shared" si="165"/>
        <v>8.48</v>
      </c>
      <c r="W720" t="str">
        <f t="shared" si="166"/>
        <v>Tradiciones Andinas 04/25/2025</v>
      </c>
      <c r="Z720">
        <f t="shared" si="167"/>
        <v>33.92</v>
      </c>
    </row>
    <row r="721" spans="1:26" hidden="1" x14ac:dyDescent="0.25">
      <c r="A721" s="2" t="s">
        <v>664</v>
      </c>
      <c r="B721" s="11" t="s">
        <v>654</v>
      </c>
      <c r="C721" s="11" t="s">
        <v>4</v>
      </c>
      <c r="D721" s="11" t="s">
        <v>940</v>
      </c>
      <c r="E721" s="11" t="s">
        <v>736</v>
      </c>
      <c r="F721" s="11" t="s">
        <v>959</v>
      </c>
      <c r="G721" s="12">
        <v>8</v>
      </c>
      <c r="H721" s="12">
        <v>9.07</v>
      </c>
      <c r="I721" s="12">
        <v>72.56</v>
      </c>
      <c r="J721" s="12">
        <v>27906.759999999995</v>
      </c>
      <c r="K721" s="20">
        <f t="shared" si="154"/>
        <v>5</v>
      </c>
      <c r="L721" s="20" t="str">
        <f t="shared" si="155"/>
        <v>Se repite 5 veces</v>
      </c>
      <c r="M721" s="20" t="str">
        <f t="shared" si="156"/>
        <v>Tradiciones Andinas-SIBARITA - Vinagre Blanco - White Vinegar 16.91oz x 12</v>
      </c>
      <c r="N721" s="20">
        <f t="shared" si="157"/>
        <v>5</v>
      </c>
      <c r="O721" s="20" t="str">
        <f t="shared" si="158"/>
        <v>Se repite 5 veces en Tradiciones Andinas</v>
      </c>
      <c r="P721" s="20" t="str">
        <f t="shared" si="159"/>
        <v>Tradiciones Andinas-SIBARITA - Vinagre Blanco - White Vinegar 16.91oz x 12-9.07</v>
      </c>
      <c r="Q721" s="20">
        <f t="shared" si="160"/>
        <v>2</v>
      </c>
      <c r="R721" s="20" t="str">
        <f t="shared" si="161"/>
        <v>Se repite 2 veces el precio de 9.07</v>
      </c>
      <c r="S721" s="20" t="str">
        <f t="shared" si="162"/>
        <v>El producto SIBARITA - Vinagre Blanco - White Vinegar 16.91oz x 12 Se repite 5 veces en Tradiciones Andinas, Se repite 2 veces el precio de 9.07</v>
      </c>
      <c r="T721" s="20" t="str">
        <f t="shared" si="163"/>
        <v>Tradiciones Andinas</v>
      </c>
      <c r="U721" s="20" t="str">
        <f t="shared" si="164"/>
        <v>SIBARITA - Vinagre Blanco - White Vinegar 16.91oz x 12</v>
      </c>
      <c r="V721" s="22">
        <f t="shared" si="165"/>
        <v>9.07</v>
      </c>
      <c r="W721" t="str">
        <f t="shared" si="166"/>
        <v>Tradiciones Andinas 05/19/2025</v>
      </c>
      <c r="Z721">
        <f t="shared" si="167"/>
        <v>72.56</v>
      </c>
    </row>
    <row r="722" spans="1:26" hidden="1" x14ac:dyDescent="0.25">
      <c r="A722" s="2" t="s">
        <v>664</v>
      </c>
      <c r="B722" s="11" t="s">
        <v>1033</v>
      </c>
      <c r="C722" s="11" t="s">
        <v>4</v>
      </c>
      <c r="D722" s="11" t="s">
        <v>1034</v>
      </c>
      <c r="E722" s="11" t="s">
        <v>736</v>
      </c>
      <c r="F722" s="11" t="s">
        <v>959</v>
      </c>
      <c r="G722" s="12">
        <v>6</v>
      </c>
      <c r="H722" s="12">
        <v>9.07</v>
      </c>
      <c r="I722" s="12">
        <v>54.42</v>
      </c>
      <c r="J722" s="12">
        <v>51778.939999999959</v>
      </c>
      <c r="K722" s="20">
        <f t="shared" si="154"/>
        <v>5</v>
      </c>
      <c r="L722" s="20" t="str">
        <f t="shared" si="155"/>
        <v>Se repite 5 veces</v>
      </c>
      <c r="M722" s="20" t="str">
        <f t="shared" si="156"/>
        <v>Tradiciones Andinas-SIBARITA - Vinagre Blanco - White Vinegar 16.91oz x 12</v>
      </c>
      <c r="N722" s="20">
        <f t="shared" si="157"/>
        <v>5</v>
      </c>
      <c r="O722" s="20" t="str">
        <f t="shared" si="158"/>
        <v>Se repite 5 veces en Tradiciones Andinas</v>
      </c>
      <c r="P722" s="20" t="str">
        <f t="shared" si="159"/>
        <v>Tradiciones Andinas-SIBARITA - Vinagre Blanco - White Vinegar 16.91oz x 12-9.07</v>
      </c>
      <c r="Q722" s="20">
        <f t="shared" si="160"/>
        <v>2</v>
      </c>
      <c r="R722" s="20" t="str">
        <f t="shared" si="161"/>
        <v>Se repite 2 veces el precio de 9.07</v>
      </c>
      <c r="S722" s="20" t="str">
        <f t="shared" si="162"/>
        <v>El producto SIBARITA - Vinagre Blanco - White Vinegar 16.91oz x 12 Se repite 5 veces en Tradiciones Andinas, Se repite 2 veces el precio de 9.07</v>
      </c>
      <c r="T722" s="20" t="str">
        <f t="shared" si="163"/>
        <v>Tradiciones Andinas</v>
      </c>
      <c r="U722" s="20" t="str">
        <f t="shared" si="164"/>
        <v>SIBARITA - Vinagre Blanco - White Vinegar 16.91oz x 12</v>
      </c>
      <c r="V722" s="22">
        <f t="shared" si="165"/>
        <v>9.07</v>
      </c>
      <c r="W722" t="str">
        <f t="shared" si="166"/>
        <v>Tradiciones Andinas 07/03/2025</v>
      </c>
      <c r="Z722">
        <f t="shared" si="167"/>
        <v>54.42</v>
      </c>
    </row>
    <row r="723" spans="1:26" hidden="1" x14ac:dyDescent="0.25">
      <c r="A723" s="2" t="s">
        <v>664</v>
      </c>
      <c r="B723" s="11" t="s">
        <v>665</v>
      </c>
      <c r="C723" s="11" t="s">
        <v>4</v>
      </c>
      <c r="D723" s="11" t="s">
        <v>666</v>
      </c>
      <c r="E723" s="11" t="s">
        <v>732</v>
      </c>
      <c r="F723" s="11" t="s">
        <v>733</v>
      </c>
      <c r="G723" s="12">
        <v>2</v>
      </c>
      <c r="H723" s="12">
        <v>11.88</v>
      </c>
      <c r="I723" s="12">
        <v>23.76</v>
      </c>
      <c r="J723" s="12">
        <v>2055.4399999999996</v>
      </c>
      <c r="K723" s="20">
        <f t="shared" si="154"/>
        <v>4</v>
      </c>
      <c r="L723" s="20" t="str">
        <f t="shared" si="155"/>
        <v>Se repite 4 veces</v>
      </c>
      <c r="M723" s="20" t="str">
        <f t="shared" si="156"/>
        <v>Tradiciones Andinas-SIBARITA - Vinagre Blanco - White Vinegar 1L x 12</v>
      </c>
      <c r="N723" s="20">
        <f t="shared" si="157"/>
        <v>4</v>
      </c>
      <c r="O723" s="20" t="str">
        <f t="shared" si="158"/>
        <v>Se repite 4 veces en Tradiciones Andinas</v>
      </c>
      <c r="P723" s="20" t="str">
        <f t="shared" si="159"/>
        <v>Tradiciones Andinas-SIBARITA - Vinagre Blanco - White Vinegar 1L x 12-11.88</v>
      </c>
      <c r="Q723" s="20">
        <f t="shared" si="160"/>
        <v>3</v>
      </c>
      <c r="R723" s="20" t="str">
        <f t="shared" si="161"/>
        <v>Se repite 3 veces el precio de 11.88</v>
      </c>
      <c r="S723" s="20" t="str">
        <f t="shared" si="162"/>
        <v>El producto SIBARITA - Vinagre Blanco - White Vinegar 1L x 12 Se repite 4 veces en Tradiciones Andinas, Se repite 3 veces el precio de 11.88</v>
      </c>
      <c r="T723" s="20" t="str">
        <f t="shared" si="163"/>
        <v>Tradiciones Andinas</v>
      </c>
      <c r="U723" s="20" t="str">
        <f t="shared" si="164"/>
        <v>SIBARITA - Vinagre Blanco - White Vinegar 1L x 12</v>
      </c>
      <c r="V723" s="22">
        <f t="shared" si="165"/>
        <v>11.88</v>
      </c>
      <c r="W723" t="str">
        <f t="shared" si="166"/>
        <v>Tradiciones Andinas 03/31/2025</v>
      </c>
      <c r="Z723">
        <f t="shared" si="167"/>
        <v>23.76</v>
      </c>
    </row>
    <row r="724" spans="1:26" hidden="1" x14ac:dyDescent="0.25">
      <c r="A724" s="2" t="s">
        <v>664</v>
      </c>
      <c r="B724" s="11" t="s">
        <v>398</v>
      </c>
      <c r="C724" s="11" t="s">
        <v>4</v>
      </c>
      <c r="D724" s="11" t="s">
        <v>5</v>
      </c>
      <c r="E724" s="11" t="s">
        <v>732</v>
      </c>
      <c r="F724" s="11" t="s">
        <v>733</v>
      </c>
      <c r="G724" s="12">
        <v>2</v>
      </c>
      <c r="H724" s="12">
        <v>11.88</v>
      </c>
      <c r="I724" s="12">
        <v>23.76</v>
      </c>
      <c r="J724" s="12">
        <v>5350.72</v>
      </c>
      <c r="K724" s="20">
        <f t="shared" si="154"/>
        <v>4</v>
      </c>
      <c r="L724" s="20" t="str">
        <f t="shared" si="155"/>
        <v>Se repite 4 veces</v>
      </c>
      <c r="M724" s="20" t="str">
        <f t="shared" si="156"/>
        <v>Tradiciones Andinas-SIBARITA - Vinagre Blanco - White Vinegar 1L x 12</v>
      </c>
      <c r="N724" s="20">
        <f t="shared" si="157"/>
        <v>4</v>
      </c>
      <c r="O724" s="20" t="str">
        <f t="shared" si="158"/>
        <v>Se repite 4 veces en Tradiciones Andinas</v>
      </c>
      <c r="P724" s="20" t="str">
        <f t="shared" si="159"/>
        <v>Tradiciones Andinas-SIBARITA - Vinagre Blanco - White Vinegar 1L x 12-11.88</v>
      </c>
      <c r="Q724" s="20">
        <f t="shared" si="160"/>
        <v>3</v>
      </c>
      <c r="R724" s="20" t="str">
        <f t="shared" si="161"/>
        <v>Se repite 3 veces el precio de 11.88</v>
      </c>
      <c r="S724" s="20" t="str">
        <f t="shared" si="162"/>
        <v>El producto SIBARITA - Vinagre Blanco - White Vinegar 1L x 12 Se repite 4 veces en Tradiciones Andinas, Se repite 3 veces el precio de 11.88</v>
      </c>
      <c r="T724" s="20" t="str">
        <f t="shared" si="163"/>
        <v>Tradiciones Andinas</v>
      </c>
      <c r="U724" s="20" t="str">
        <f t="shared" si="164"/>
        <v>SIBARITA - Vinagre Blanco - White Vinegar 1L x 12</v>
      </c>
      <c r="V724" s="22">
        <f t="shared" si="165"/>
        <v>11.88</v>
      </c>
      <c r="W724" t="str">
        <f t="shared" si="166"/>
        <v>Tradiciones Andinas 04/10/2025</v>
      </c>
      <c r="Z724">
        <f t="shared" si="167"/>
        <v>23.76</v>
      </c>
    </row>
    <row r="725" spans="1:26" hidden="1" x14ac:dyDescent="0.25">
      <c r="A725" s="2" t="s">
        <v>664</v>
      </c>
      <c r="B725" s="11" t="s">
        <v>821</v>
      </c>
      <c r="C725" s="11" t="s">
        <v>4</v>
      </c>
      <c r="D725" s="11" t="s">
        <v>822</v>
      </c>
      <c r="E725" s="11" t="s">
        <v>732</v>
      </c>
      <c r="F725" s="11" t="s">
        <v>733</v>
      </c>
      <c r="G725" s="12">
        <v>4</v>
      </c>
      <c r="H725" s="12">
        <v>11.88</v>
      </c>
      <c r="I725" s="12">
        <v>47.52</v>
      </c>
      <c r="J725" s="12">
        <v>15726.3</v>
      </c>
      <c r="K725" s="20">
        <f t="shared" si="154"/>
        <v>4</v>
      </c>
      <c r="L725" s="20" t="str">
        <f t="shared" si="155"/>
        <v>Se repite 4 veces</v>
      </c>
      <c r="M725" s="20" t="str">
        <f t="shared" si="156"/>
        <v>Tradiciones Andinas-SIBARITA - Vinagre Blanco - White Vinegar 1L x 12</v>
      </c>
      <c r="N725" s="20">
        <f t="shared" si="157"/>
        <v>4</v>
      </c>
      <c r="O725" s="20" t="str">
        <f t="shared" si="158"/>
        <v>Se repite 4 veces en Tradiciones Andinas</v>
      </c>
      <c r="P725" s="20" t="str">
        <f t="shared" si="159"/>
        <v>Tradiciones Andinas-SIBARITA - Vinagre Blanco - White Vinegar 1L x 12-11.88</v>
      </c>
      <c r="Q725" s="20">
        <f t="shared" si="160"/>
        <v>3</v>
      </c>
      <c r="R725" s="20" t="str">
        <f t="shared" si="161"/>
        <v>Se repite 3 veces el precio de 11.88</v>
      </c>
      <c r="S725" s="20" t="str">
        <f t="shared" si="162"/>
        <v>El producto SIBARITA - Vinagre Blanco - White Vinegar 1L x 12 Se repite 4 veces en Tradiciones Andinas, Se repite 3 veces el precio de 11.88</v>
      </c>
      <c r="T725" s="20" t="str">
        <f t="shared" si="163"/>
        <v>Tradiciones Andinas</v>
      </c>
      <c r="U725" s="20" t="str">
        <f t="shared" si="164"/>
        <v>SIBARITA - Vinagre Blanco - White Vinegar 1L x 12</v>
      </c>
      <c r="V725" s="22">
        <f t="shared" si="165"/>
        <v>11.88</v>
      </c>
      <c r="W725" t="str">
        <f t="shared" si="166"/>
        <v>Tradiciones Andinas 04/25/2025</v>
      </c>
      <c r="Z725">
        <f t="shared" si="167"/>
        <v>47.52</v>
      </c>
    </row>
    <row r="726" spans="1:26" hidden="1" x14ac:dyDescent="0.25">
      <c r="A726" s="2" t="s">
        <v>664</v>
      </c>
      <c r="B726" s="11" t="s">
        <v>1033</v>
      </c>
      <c r="C726" s="11" t="s">
        <v>4</v>
      </c>
      <c r="D726" s="11" t="s">
        <v>1034</v>
      </c>
      <c r="E726" s="11" t="s">
        <v>732</v>
      </c>
      <c r="F726" s="11" t="s">
        <v>1060</v>
      </c>
      <c r="G726" s="12">
        <v>5</v>
      </c>
      <c r="H726" s="12">
        <v>12.7</v>
      </c>
      <c r="I726" s="12">
        <v>63.5</v>
      </c>
      <c r="J726" s="12">
        <v>51724.51999999996</v>
      </c>
      <c r="K726" s="20">
        <f t="shared" si="154"/>
        <v>4</v>
      </c>
      <c r="L726" s="20" t="str">
        <f t="shared" si="155"/>
        <v>Se repite 4 veces</v>
      </c>
      <c r="M726" s="20" t="str">
        <f t="shared" si="156"/>
        <v>Tradiciones Andinas-SIBARITA - Vinagre Blanco - White Vinegar 1L x 12</v>
      </c>
      <c r="N726" s="20">
        <f t="shared" si="157"/>
        <v>4</v>
      </c>
      <c r="O726" s="20" t="str">
        <f t="shared" si="158"/>
        <v>Se repite 4 veces en Tradiciones Andinas</v>
      </c>
      <c r="P726" s="20" t="str">
        <f t="shared" si="159"/>
        <v>Tradiciones Andinas-SIBARITA - Vinagre Blanco - White Vinegar 1L x 12-12.7</v>
      </c>
      <c r="Q726" s="20">
        <f t="shared" si="160"/>
        <v>1</v>
      </c>
      <c r="R726" s="20" t="str">
        <f t="shared" si="161"/>
        <v>No se repite</v>
      </c>
      <c r="S726" s="20" t="str">
        <f t="shared" si="162"/>
        <v>El producto SIBARITA - Vinagre Blanco - White Vinegar 1L x 12 Se repite 4 veces en Tradiciones Andinas Una vez con el precio 12.7</v>
      </c>
      <c r="T726" s="20" t="str">
        <f t="shared" si="163"/>
        <v>Tradiciones Andinas</v>
      </c>
      <c r="U726" s="20" t="str">
        <f t="shared" si="164"/>
        <v>SIBARITA - Vinagre Blanco - White Vinegar 1L x 12</v>
      </c>
      <c r="V726" s="22">
        <f t="shared" si="165"/>
        <v>12.7</v>
      </c>
      <c r="W726" t="str">
        <f t="shared" si="166"/>
        <v>Tradiciones Andinas 07/03/2025</v>
      </c>
      <c r="Z726">
        <f t="shared" si="167"/>
        <v>63.5</v>
      </c>
    </row>
    <row r="727" spans="1:26" hidden="1" x14ac:dyDescent="0.25">
      <c r="A727" s="2" t="s">
        <v>664</v>
      </c>
      <c r="B727" s="11" t="s">
        <v>665</v>
      </c>
      <c r="C727" s="11" t="s">
        <v>4</v>
      </c>
      <c r="D727" s="11" t="s">
        <v>666</v>
      </c>
      <c r="E727" s="11" t="s">
        <v>734</v>
      </c>
      <c r="F727" s="11" t="s">
        <v>735</v>
      </c>
      <c r="G727" s="12">
        <v>2</v>
      </c>
      <c r="H727" s="12">
        <v>11.88</v>
      </c>
      <c r="I727" s="12">
        <v>23.76</v>
      </c>
      <c r="J727" s="12">
        <v>2079.1999999999998</v>
      </c>
      <c r="K727" s="20">
        <f t="shared" si="154"/>
        <v>5</v>
      </c>
      <c r="L727" s="20" t="str">
        <f t="shared" si="155"/>
        <v>Se repite 5 veces</v>
      </c>
      <c r="M727" s="20" t="str">
        <f t="shared" si="156"/>
        <v>Tradiciones Andinas-SIBARITA - Vinagre Tinto - Red Vinegar 1L x 12</v>
      </c>
      <c r="N727" s="20">
        <f t="shared" si="157"/>
        <v>5</v>
      </c>
      <c r="O727" s="20" t="str">
        <f t="shared" si="158"/>
        <v>Se repite 5 veces en Tradiciones Andinas</v>
      </c>
      <c r="P727" s="20" t="str">
        <f t="shared" si="159"/>
        <v>Tradiciones Andinas-SIBARITA - Vinagre Tinto - Red Vinegar 1L x 12-11.88</v>
      </c>
      <c r="Q727" s="20">
        <f t="shared" si="160"/>
        <v>5</v>
      </c>
      <c r="R727" s="20" t="str">
        <f t="shared" si="161"/>
        <v>Se repite 5 veces el precio de 11.88</v>
      </c>
      <c r="S727" s="20" t="str">
        <f t="shared" si="162"/>
        <v>El producto SIBARITA - Vinagre Tinto - Red Vinegar 1L x 12 Se repite 5 veces en Tradiciones Andinas, Se repite 5 veces el precio de 11.88</v>
      </c>
      <c r="T727" s="20" t="str">
        <f t="shared" si="163"/>
        <v>Tradiciones Andinas</v>
      </c>
      <c r="U727" s="20" t="str">
        <f t="shared" si="164"/>
        <v>SIBARITA - Vinagre Tinto - Red Vinegar 1L x 12</v>
      </c>
      <c r="V727" s="22">
        <f t="shared" si="165"/>
        <v>11.88</v>
      </c>
      <c r="W727" t="str">
        <f t="shared" si="166"/>
        <v>Tradiciones Andinas 03/31/2025</v>
      </c>
      <c r="Z727">
        <f t="shared" si="167"/>
        <v>23.76</v>
      </c>
    </row>
    <row r="728" spans="1:26" hidden="1" x14ac:dyDescent="0.25">
      <c r="A728" s="2" t="s">
        <v>664</v>
      </c>
      <c r="B728" s="11" t="s">
        <v>398</v>
      </c>
      <c r="C728" s="11" t="s">
        <v>4</v>
      </c>
      <c r="D728" s="11" t="s">
        <v>5</v>
      </c>
      <c r="E728" s="11" t="s">
        <v>734</v>
      </c>
      <c r="F728" s="11" t="s">
        <v>735</v>
      </c>
      <c r="G728" s="12">
        <v>3</v>
      </c>
      <c r="H728" s="12">
        <v>11.88</v>
      </c>
      <c r="I728" s="12">
        <v>35.64</v>
      </c>
      <c r="J728" s="12">
        <v>5326.96</v>
      </c>
      <c r="K728" s="20">
        <f t="shared" si="154"/>
        <v>5</v>
      </c>
      <c r="L728" s="20" t="str">
        <f t="shared" si="155"/>
        <v>Se repite 5 veces</v>
      </c>
      <c r="M728" s="20" t="str">
        <f t="shared" si="156"/>
        <v>Tradiciones Andinas-SIBARITA - Vinagre Tinto - Red Vinegar 1L x 12</v>
      </c>
      <c r="N728" s="20">
        <f t="shared" si="157"/>
        <v>5</v>
      </c>
      <c r="O728" s="20" t="str">
        <f t="shared" si="158"/>
        <v>Se repite 5 veces en Tradiciones Andinas</v>
      </c>
      <c r="P728" s="20" t="str">
        <f t="shared" si="159"/>
        <v>Tradiciones Andinas-SIBARITA - Vinagre Tinto - Red Vinegar 1L x 12-11.88</v>
      </c>
      <c r="Q728" s="20">
        <f t="shared" si="160"/>
        <v>5</v>
      </c>
      <c r="R728" s="20" t="str">
        <f t="shared" si="161"/>
        <v>Se repite 5 veces el precio de 11.88</v>
      </c>
      <c r="S728" s="20" t="str">
        <f t="shared" si="162"/>
        <v>El producto SIBARITA - Vinagre Tinto - Red Vinegar 1L x 12 Se repite 5 veces en Tradiciones Andinas, Se repite 5 veces el precio de 11.88</v>
      </c>
      <c r="T728" s="20" t="str">
        <f t="shared" si="163"/>
        <v>Tradiciones Andinas</v>
      </c>
      <c r="U728" s="20" t="str">
        <f t="shared" si="164"/>
        <v>SIBARITA - Vinagre Tinto - Red Vinegar 1L x 12</v>
      </c>
      <c r="V728" s="22">
        <f t="shared" si="165"/>
        <v>11.88</v>
      </c>
      <c r="W728" t="str">
        <f t="shared" si="166"/>
        <v>Tradiciones Andinas 04/10/2025</v>
      </c>
      <c r="Z728">
        <f t="shared" si="167"/>
        <v>35.64</v>
      </c>
    </row>
    <row r="729" spans="1:26" hidden="1" x14ac:dyDescent="0.25">
      <c r="A729" s="2" t="s">
        <v>664</v>
      </c>
      <c r="B729" s="11" t="s">
        <v>821</v>
      </c>
      <c r="C729" s="11" t="s">
        <v>4</v>
      </c>
      <c r="D729" s="11" t="s">
        <v>822</v>
      </c>
      <c r="E729" s="11" t="s">
        <v>734</v>
      </c>
      <c r="F729" s="11" t="s">
        <v>735</v>
      </c>
      <c r="G729" s="12">
        <v>4</v>
      </c>
      <c r="H729" s="12">
        <v>11.88</v>
      </c>
      <c r="I729" s="12">
        <v>47.52</v>
      </c>
      <c r="J729" s="12">
        <v>15773.82</v>
      </c>
      <c r="K729" s="20">
        <f t="shared" si="154"/>
        <v>5</v>
      </c>
      <c r="L729" s="20" t="str">
        <f t="shared" si="155"/>
        <v>Se repite 5 veces</v>
      </c>
      <c r="M729" s="20" t="str">
        <f t="shared" si="156"/>
        <v>Tradiciones Andinas-SIBARITA - Vinagre Tinto - Red Vinegar 1L x 12</v>
      </c>
      <c r="N729" s="20">
        <f t="shared" si="157"/>
        <v>5</v>
      </c>
      <c r="O729" s="20" t="str">
        <f t="shared" si="158"/>
        <v>Se repite 5 veces en Tradiciones Andinas</v>
      </c>
      <c r="P729" s="20" t="str">
        <f t="shared" si="159"/>
        <v>Tradiciones Andinas-SIBARITA - Vinagre Tinto - Red Vinegar 1L x 12-11.88</v>
      </c>
      <c r="Q729" s="20">
        <f t="shared" si="160"/>
        <v>5</v>
      </c>
      <c r="R729" s="20" t="str">
        <f t="shared" si="161"/>
        <v>Se repite 5 veces el precio de 11.88</v>
      </c>
      <c r="S729" s="20" t="str">
        <f t="shared" si="162"/>
        <v>El producto SIBARITA - Vinagre Tinto - Red Vinegar 1L x 12 Se repite 5 veces en Tradiciones Andinas, Se repite 5 veces el precio de 11.88</v>
      </c>
      <c r="T729" s="20" t="str">
        <f t="shared" si="163"/>
        <v>Tradiciones Andinas</v>
      </c>
      <c r="U729" s="20" t="str">
        <f t="shared" si="164"/>
        <v>SIBARITA - Vinagre Tinto - Red Vinegar 1L x 12</v>
      </c>
      <c r="V729" s="22">
        <f t="shared" si="165"/>
        <v>11.88</v>
      </c>
      <c r="W729" t="str">
        <f t="shared" si="166"/>
        <v>Tradiciones Andinas 04/25/2025</v>
      </c>
      <c r="Z729">
        <f t="shared" si="167"/>
        <v>47.52</v>
      </c>
    </row>
    <row r="730" spans="1:26" hidden="1" x14ac:dyDescent="0.25">
      <c r="A730" s="2" t="s">
        <v>664</v>
      </c>
      <c r="B730" s="11" t="s">
        <v>1193</v>
      </c>
      <c r="C730" s="11" t="s">
        <v>4</v>
      </c>
      <c r="D730" s="11" t="s">
        <v>1194</v>
      </c>
      <c r="E730" s="11" t="s">
        <v>734</v>
      </c>
      <c r="F730" s="11" t="s">
        <v>1198</v>
      </c>
      <c r="G730" s="12">
        <v>6</v>
      </c>
      <c r="H730" s="12">
        <v>11.88</v>
      </c>
      <c r="I730" s="12">
        <v>71.28</v>
      </c>
      <c r="J730" s="12">
        <v>96375.349999999933</v>
      </c>
      <c r="K730" s="20">
        <f t="shared" si="154"/>
        <v>5</v>
      </c>
      <c r="L730" s="20" t="str">
        <f t="shared" si="155"/>
        <v>Se repite 5 veces</v>
      </c>
      <c r="M730" s="20" t="str">
        <f t="shared" si="156"/>
        <v>Tradiciones Andinas-SIBARITA - Vinagre Tinto - Red Vinegar 1L x 12</v>
      </c>
      <c r="N730" s="20">
        <f t="shared" si="157"/>
        <v>5</v>
      </c>
      <c r="O730" s="20" t="str">
        <f t="shared" si="158"/>
        <v>Se repite 5 veces en Tradiciones Andinas</v>
      </c>
      <c r="P730" s="20" t="str">
        <f t="shared" si="159"/>
        <v>Tradiciones Andinas-SIBARITA - Vinagre Tinto - Red Vinegar 1L x 12-11.88</v>
      </c>
      <c r="Q730" s="20">
        <f t="shared" si="160"/>
        <v>5</v>
      </c>
      <c r="R730" s="20" t="str">
        <f t="shared" si="161"/>
        <v>Se repite 5 veces el precio de 11.88</v>
      </c>
      <c r="S730" s="20" t="str">
        <f t="shared" si="162"/>
        <v>El producto SIBARITA - Vinagre Tinto - Red Vinegar 1L x 12 Se repite 5 veces en Tradiciones Andinas, Se repite 5 veces el precio de 11.88</v>
      </c>
      <c r="T730" s="20" t="str">
        <f t="shared" si="163"/>
        <v>Tradiciones Andinas</v>
      </c>
      <c r="U730" s="20" t="str">
        <f t="shared" si="164"/>
        <v>SIBARITA - Vinagre Tinto - Red Vinegar 1L x 12</v>
      </c>
      <c r="V730" s="22">
        <f t="shared" si="165"/>
        <v>11.88</v>
      </c>
      <c r="W730" t="str">
        <f t="shared" si="166"/>
        <v>Tradiciones Andinas 10/30/2025</v>
      </c>
      <c r="Z730">
        <f t="shared" si="167"/>
        <v>71.28</v>
      </c>
    </row>
    <row r="731" spans="1:26" hidden="1" x14ac:dyDescent="0.25">
      <c r="A731" s="2" t="s">
        <v>664</v>
      </c>
      <c r="B731" s="11" t="s">
        <v>1207</v>
      </c>
      <c r="C731" s="11" t="s">
        <v>4</v>
      </c>
      <c r="D731" s="11" t="s">
        <v>1208</v>
      </c>
      <c r="E731" s="11" t="s">
        <v>734</v>
      </c>
      <c r="F731" s="11" t="s">
        <v>1198</v>
      </c>
      <c r="G731" s="12">
        <v>3</v>
      </c>
      <c r="H731" s="12">
        <v>11.88</v>
      </c>
      <c r="I731" s="12">
        <v>35.64</v>
      </c>
      <c r="J731" s="12">
        <v>108471.32999999991</v>
      </c>
      <c r="K731" s="20">
        <f t="shared" si="154"/>
        <v>5</v>
      </c>
      <c r="L731" s="20" t="str">
        <f t="shared" si="155"/>
        <v>Se repite 5 veces</v>
      </c>
      <c r="M731" s="20" t="str">
        <f t="shared" si="156"/>
        <v>Tradiciones Andinas-SIBARITA - Vinagre Tinto - Red Vinegar 1L x 12</v>
      </c>
      <c r="N731" s="20">
        <f t="shared" si="157"/>
        <v>5</v>
      </c>
      <c r="O731" s="20" t="str">
        <f t="shared" si="158"/>
        <v>Se repite 5 veces en Tradiciones Andinas</v>
      </c>
      <c r="P731" s="20" t="str">
        <f t="shared" si="159"/>
        <v>Tradiciones Andinas-SIBARITA - Vinagre Tinto - Red Vinegar 1L x 12-11.88</v>
      </c>
      <c r="Q731" s="20">
        <f t="shared" si="160"/>
        <v>5</v>
      </c>
      <c r="R731" s="20" t="str">
        <f t="shared" si="161"/>
        <v>Se repite 5 veces el precio de 11.88</v>
      </c>
      <c r="S731" s="20" t="str">
        <f t="shared" si="162"/>
        <v>El producto SIBARITA - Vinagre Tinto - Red Vinegar 1L x 12 Se repite 5 veces en Tradiciones Andinas, Se repite 5 veces el precio de 11.88</v>
      </c>
      <c r="T731" s="20" t="str">
        <f t="shared" si="163"/>
        <v>Tradiciones Andinas</v>
      </c>
      <c r="U731" s="20" t="str">
        <f t="shared" si="164"/>
        <v>SIBARITA - Vinagre Tinto - Red Vinegar 1L x 12</v>
      </c>
      <c r="V731" s="22">
        <f t="shared" si="165"/>
        <v>11.88</v>
      </c>
      <c r="W731" t="str">
        <f t="shared" si="166"/>
        <v>Tradiciones Andinas 11/28/2025</v>
      </c>
      <c r="Z731">
        <f t="shared" si="167"/>
        <v>35.64</v>
      </c>
    </row>
    <row r="732" spans="1:26" hidden="1" x14ac:dyDescent="0.25">
      <c r="A732" s="2" t="s">
        <v>664</v>
      </c>
      <c r="B732" s="11" t="s">
        <v>665</v>
      </c>
      <c r="C732" s="11" t="s">
        <v>4</v>
      </c>
      <c r="D732" s="11" t="s">
        <v>666</v>
      </c>
      <c r="E732" s="11" t="s">
        <v>738</v>
      </c>
      <c r="F732" s="11" t="s">
        <v>738</v>
      </c>
      <c r="G732" s="12">
        <v>2</v>
      </c>
      <c r="H732" s="12">
        <v>9.48</v>
      </c>
      <c r="I732" s="12">
        <v>18.96</v>
      </c>
      <c r="J732" s="12">
        <v>2117.12</v>
      </c>
      <c r="K732" s="20">
        <f t="shared" si="154"/>
        <v>7</v>
      </c>
      <c r="L732" s="20" t="str">
        <f t="shared" si="155"/>
        <v>Se repite 7 veces</v>
      </c>
      <c r="M732" s="20" t="str">
        <f t="shared" si="156"/>
        <v>Tradiciones Andinas-SIBARITA Vinagre Tinto - Red Vinegar 16.91oz  x 12 botella</v>
      </c>
      <c r="N732" s="20">
        <f t="shared" si="157"/>
        <v>7</v>
      </c>
      <c r="O732" s="20" t="str">
        <f t="shared" si="158"/>
        <v>Se repite 7 veces en Tradiciones Andinas</v>
      </c>
      <c r="P732" s="20" t="str">
        <f t="shared" si="159"/>
        <v>Tradiciones Andinas-SIBARITA Vinagre Tinto - Red Vinegar 16.91oz  x 12 botella-9.48</v>
      </c>
      <c r="Q732" s="20">
        <f t="shared" si="160"/>
        <v>1</v>
      </c>
      <c r="R732" s="20" t="str">
        <f t="shared" si="161"/>
        <v>No se repite</v>
      </c>
      <c r="S732" s="20" t="str">
        <f t="shared" si="162"/>
        <v>El producto SIBARITA Vinagre Tinto - Red Vinegar 16.91oz  x 12 botella Se repite 7 veces en Tradiciones Andinas Una vez con el precio 9.48</v>
      </c>
      <c r="T732" s="20" t="str">
        <f t="shared" si="163"/>
        <v>Tradiciones Andinas</v>
      </c>
      <c r="U732" s="20" t="str">
        <f t="shared" si="164"/>
        <v>SIBARITA Vinagre Tinto - Red Vinegar 16.91oz  x 12 botella</v>
      </c>
      <c r="V732" s="22">
        <f t="shared" si="165"/>
        <v>9.48</v>
      </c>
      <c r="W732" t="str">
        <f t="shared" si="166"/>
        <v>Tradiciones Andinas 03/31/2025</v>
      </c>
      <c r="Z732">
        <f t="shared" si="167"/>
        <v>18.96</v>
      </c>
    </row>
    <row r="733" spans="1:26" hidden="1" x14ac:dyDescent="0.25">
      <c r="A733" s="2" t="s">
        <v>664</v>
      </c>
      <c r="B733" s="11" t="s">
        <v>398</v>
      </c>
      <c r="C733" s="11" t="s">
        <v>4</v>
      </c>
      <c r="D733" s="11" t="s">
        <v>5</v>
      </c>
      <c r="E733" s="11" t="s">
        <v>738</v>
      </c>
      <c r="F733" s="11" t="s">
        <v>738</v>
      </c>
      <c r="G733" s="12">
        <v>3</v>
      </c>
      <c r="H733" s="12">
        <v>8.48</v>
      </c>
      <c r="I733" s="12">
        <v>25.44</v>
      </c>
      <c r="J733" s="12">
        <v>5393.12</v>
      </c>
      <c r="K733" s="20">
        <f t="shared" si="154"/>
        <v>7</v>
      </c>
      <c r="L733" s="20" t="str">
        <f t="shared" si="155"/>
        <v>Se repite 7 veces</v>
      </c>
      <c r="M733" s="20" t="str">
        <f t="shared" si="156"/>
        <v>Tradiciones Andinas-SIBARITA Vinagre Tinto - Red Vinegar 16.91oz  x 12 botella</v>
      </c>
      <c r="N733" s="20">
        <f t="shared" si="157"/>
        <v>7</v>
      </c>
      <c r="O733" s="20" t="str">
        <f t="shared" si="158"/>
        <v>Se repite 7 veces en Tradiciones Andinas</v>
      </c>
      <c r="P733" s="20" t="str">
        <f t="shared" si="159"/>
        <v>Tradiciones Andinas-SIBARITA Vinagre Tinto - Red Vinegar 16.91oz  x 12 botella-8.48</v>
      </c>
      <c r="Q733" s="20">
        <f t="shared" si="160"/>
        <v>2</v>
      </c>
      <c r="R733" s="20" t="str">
        <f t="shared" si="161"/>
        <v>Se repite 2 veces el precio de 8.48</v>
      </c>
      <c r="S733" s="20" t="str">
        <f t="shared" si="162"/>
        <v>El producto SIBARITA Vinagre Tinto - Red Vinegar 16.91oz  x 12 botella Se repite 7 veces en Tradiciones Andinas, Se repite 2 veces el precio de 8.48</v>
      </c>
      <c r="T733" s="20" t="str">
        <f t="shared" si="163"/>
        <v>Tradiciones Andinas</v>
      </c>
      <c r="U733" s="20" t="str">
        <f t="shared" si="164"/>
        <v>SIBARITA Vinagre Tinto - Red Vinegar 16.91oz  x 12 botella</v>
      </c>
      <c r="V733" s="22">
        <f t="shared" si="165"/>
        <v>8.48</v>
      </c>
      <c r="W733" t="str">
        <f t="shared" si="166"/>
        <v>Tradiciones Andinas 04/10/2025</v>
      </c>
      <c r="Z733">
        <f t="shared" si="167"/>
        <v>25.44</v>
      </c>
    </row>
    <row r="734" spans="1:26" hidden="1" x14ac:dyDescent="0.25">
      <c r="A734" s="2" t="s">
        <v>664</v>
      </c>
      <c r="B734" s="11" t="s">
        <v>821</v>
      </c>
      <c r="C734" s="11" t="s">
        <v>4</v>
      </c>
      <c r="D734" s="11" t="s">
        <v>822</v>
      </c>
      <c r="E734" s="11" t="s">
        <v>738</v>
      </c>
      <c r="F734" s="11" t="s">
        <v>738</v>
      </c>
      <c r="G734" s="12">
        <v>4</v>
      </c>
      <c r="H734" s="12">
        <v>8.48</v>
      </c>
      <c r="I734" s="12">
        <v>33.92</v>
      </c>
      <c r="J734" s="12">
        <v>15841.66</v>
      </c>
      <c r="K734" s="20">
        <f t="shared" si="154"/>
        <v>7</v>
      </c>
      <c r="L734" s="20" t="str">
        <f t="shared" si="155"/>
        <v>Se repite 7 veces</v>
      </c>
      <c r="M734" s="20" t="str">
        <f t="shared" si="156"/>
        <v>Tradiciones Andinas-SIBARITA Vinagre Tinto - Red Vinegar 16.91oz  x 12 botella</v>
      </c>
      <c r="N734" s="20">
        <f t="shared" si="157"/>
        <v>7</v>
      </c>
      <c r="O734" s="20" t="str">
        <f t="shared" si="158"/>
        <v>Se repite 7 veces en Tradiciones Andinas</v>
      </c>
      <c r="P734" s="20" t="str">
        <f t="shared" si="159"/>
        <v>Tradiciones Andinas-SIBARITA Vinagre Tinto - Red Vinegar 16.91oz  x 12 botella-8.48</v>
      </c>
      <c r="Q734" s="20">
        <f t="shared" si="160"/>
        <v>2</v>
      </c>
      <c r="R734" s="20" t="str">
        <f t="shared" si="161"/>
        <v>Se repite 2 veces el precio de 8.48</v>
      </c>
      <c r="S734" s="20" t="str">
        <f t="shared" si="162"/>
        <v>El producto SIBARITA Vinagre Tinto - Red Vinegar 16.91oz  x 12 botella Se repite 7 veces en Tradiciones Andinas, Se repite 2 veces el precio de 8.48</v>
      </c>
      <c r="T734" s="20" t="str">
        <f t="shared" si="163"/>
        <v>Tradiciones Andinas</v>
      </c>
      <c r="U734" s="20" t="str">
        <f t="shared" si="164"/>
        <v>SIBARITA Vinagre Tinto - Red Vinegar 16.91oz  x 12 botella</v>
      </c>
      <c r="V734" s="22">
        <f t="shared" si="165"/>
        <v>8.48</v>
      </c>
      <c r="W734" t="str">
        <f t="shared" si="166"/>
        <v>Tradiciones Andinas 04/25/2025</v>
      </c>
      <c r="Z734">
        <f t="shared" si="167"/>
        <v>33.92</v>
      </c>
    </row>
    <row r="735" spans="1:26" hidden="1" x14ac:dyDescent="0.25">
      <c r="A735" s="2" t="s">
        <v>664</v>
      </c>
      <c r="B735" s="11" t="s">
        <v>654</v>
      </c>
      <c r="C735" s="11" t="s">
        <v>4</v>
      </c>
      <c r="D735" s="11" t="s">
        <v>940</v>
      </c>
      <c r="E735" s="11" t="s">
        <v>738</v>
      </c>
      <c r="F735" s="11" t="s">
        <v>738</v>
      </c>
      <c r="G735" s="12">
        <v>8</v>
      </c>
      <c r="H735" s="12">
        <v>9.07</v>
      </c>
      <c r="I735" s="12">
        <v>72.56</v>
      </c>
      <c r="J735" s="12">
        <v>27979.319999999996</v>
      </c>
      <c r="K735" s="20">
        <f t="shared" si="154"/>
        <v>7</v>
      </c>
      <c r="L735" s="20" t="str">
        <f t="shared" si="155"/>
        <v>Se repite 7 veces</v>
      </c>
      <c r="M735" s="20" t="str">
        <f t="shared" si="156"/>
        <v>Tradiciones Andinas-SIBARITA Vinagre Tinto - Red Vinegar 16.91oz  x 12 botella</v>
      </c>
      <c r="N735" s="20">
        <f t="shared" si="157"/>
        <v>7</v>
      </c>
      <c r="O735" s="20" t="str">
        <f t="shared" si="158"/>
        <v>Se repite 7 veces en Tradiciones Andinas</v>
      </c>
      <c r="P735" s="20" t="str">
        <f t="shared" si="159"/>
        <v>Tradiciones Andinas-SIBARITA Vinagre Tinto - Red Vinegar 16.91oz  x 12 botella-9.07</v>
      </c>
      <c r="Q735" s="20">
        <f t="shared" si="160"/>
        <v>4</v>
      </c>
      <c r="R735" s="20" t="str">
        <f t="shared" si="161"/>
        <v>Se repite 4 veces el precio de 9.07</v>
      </c>
      <c r="S735" s="20" t="str">
        <f t="shared" si="162"/>
        <v>El producto SIBARITA Vinagre Tinto - Red Vinegar 16.91oz  x 12 botella Se repite 7 veces en Tradiciones Andinas, Se repite 4 veces el precio de 9.07</v>
      </c>
      <c r="T735" s="20" t="str">
        <f t="shared" si="163"/>
        <v>Tradiciones Andinas</v>
      </c>
      <c r="U735" s="20" t="str">
        <f t="shared" si="164"/>
        <v>SIBARITA Vinagre Tinto - Red Vinegar 16.91oz  x 12 botella</v>
      </c>
      <c r="V735" s="22">
        <f t="shared" si="165"/>
        <v>9.07</v>
      </c>
      <c r="W735" t="str">
        <f t="shared" si="166"/>
        <v>Tradiciones Andinas 05/19/2025</v>
      </c>
      <c r="Z735">
        <f t="shared" si="167"/>
        <v>72.56</v>
      </c>
    </row>
    <row r="736" spans="1:26" hidden="1" x14ac:dyDescent="0.25">
      <c r="A736" s="2" t="s">
        <v>664</v>
      </c>
      <c r="B736" s="11" t="s">
        <v>1033</v>
      </c>
      <c r="C736" s="11" t="s">
        <v>4</v>
      </c>
      <c r="D736" s="11" t="s">
        <v>1034</v>
      </c>
      <c r="E736" s="11" t="s">
        <v>738</v>
      </c>
      <c r="F736" s="11" t="s">
        <v>738</v>
      </c>
      <c r="G736" s="12">
        <v>6</v>
      </c>
      <c r="H736" s="12">
        <v>9.07</v>
      </c>
      <c r="I736" s="12">
        <v>54.42</v>
      </c>
      <c r="J736" s="12">
        <v>51833.359999999957</v>
      </c>
      <c r="K736" s="20">
        <f t="shared" si="154"/>
        <v>7</v>
      </c>
      <c r="L736" s="20" t="str">
        <f t="shared" si="155"/>
        <v>Se repite 7 veces</v>
      </c>
      <c r="M736" s="20" t="str">
        <f t="shared" si="156"/>
        <v>Tradiciones Andinas-SIBARITA Vinagre Tinto - Red Vinegar 16.91oz  x 12 botella</v>
      </c>
      <c r="N736" s="20">
        <f t="shared" si="157"/>
        <v>7</v>
      </c>
      <c r="O736" s="20" t="str">
        <f t="shared" si="158"/>
        <v>Se repite 7 veces en Tradiciones Andinas</v>
      </c>
      <c r="P736" s="20" t="str">
        <f t="shared" si="159"/>
        <v>Tradiciones Andinas-SIBARITA Vinagre Tinto - Red Vinegar 16.91oz  x 12 botella-9.07</v>
      </c>
      <c r="Q736" s="20">
        <f t="shared" si="160"/>
        <v>4</v>
      </c>
      <c r="R736" s="20" t="str">
        <f t="shared" si="161"/>
        <v>Se repite 4 veces el precio de 9.07</v>
      </c>
      <c r="S736" s="20" t="str">
        <f t="shared" si="162"/>
        <v>El producto SIBARITA Vinagre Tinto - Red Vinegar 16.91oz  x 12 botella Se repite 7 veces en Tradiciones Andinas, Se repite 4 veces el precio de 9.07</v>
      </c>
      <c r="T736" s="20" t="str">
        <f t="shared" si="163"/>
        <v>Tradiciones Andinas</v>
      </c>
      <c r="U736" s="20" t="str">
        <f t="shared" si="164"/>
        <v>SIBARITA Vinagre Tinto - Red Vinegar 16.91oz  x 12 botella</v>
      </c>
      <c r="V736" s="22">
        <f t="shared" si="165"/>
        <v>9.07</v>
      </c>
      <c r="W736" t="str">
        <f t="shared" si="166"/>
        <v>Tradiciones Andinas 07/03/2025</v>
      </c>
      <c r="Z736">
        <f t="shared" si="167"/>
        <v>54.42</v>
      </c>
    </row>
    <row r="737" spans="1:26" hidden="1" x14ac:dyDescent="0.25">
      <c r="A737" s="2" t="s">
        <v>664</v>
      </c>
      <c r="B737" s="11" t="s">
        <v>1125</v>
      </c>
      <c r="C737" s="11" t="s">
        <v>4</v>
      </c>
      <c r="D737" s="11" t="s">
        <v>1126</v>
      </c>
      <c r="E737" s="11" t="s">
        <v>738</v>
      </c>
      <c r="F737" s="11" t="s">
        <v>738</v>
      </c>
      <c r="G737" s="12">
        <v>8</v>
      </c>
      <c r="H737" s="12">
        <v>9.07</v>
      </c>
      <c r="I737" s="12">
        <v>72.56</v>
      </c>
      <c r="J737" s="12">
        <v>70198.73000000001</v>
      </c>
      <c r="K737" s="20">
        <f t="shared" si="154"/>
        <v>7</v>
      </c>
      <c r="L737" s="20" t="str">
        <f t="shared" si="155"/>
        <v>Se repite 7 veces</v>
      </c>
      <c r="M737" s="20" t="str">
        <f t="shared" si="156"/>
        <v>Tradiciones Andinas-SIBARITA Vinagre Tinto - Red Vinegar 16.91oz  x 12 botella</v>
      </c>
      <c r="N737" s="20">
        <f t="shared" si="157"/>
        <v>7</v>
      </c>
      <c r="O737" s="20" t="str">
        <f t="shared" si="158"/>
        <v>Se repite 7 veces en Tradiciones Andinas</v>
      </c>
      <c r="P737" s="20" t="str">
        <f t="shared" si="159"/>
        <v>Tradiciones Andinas-SIBARITA Vinagre Tinto - Red Vinegar 16.91oz  x 12 botella-9.07</v>
      </c>
      <c r="Q737" s="20">
        <f t="shared" si="160"/>
        <v>4</v>
      </c>
      <c r="R737" s="20" t="str">
        <f t="shared" si="161"/>
        <v>Se repite 4 veces el precio de 9.07</v>
      </c>
      <c r="S737" s="20" t="str">
        <f t="shared" si="162"/>
        <v>El producto SIBARITA Vinagre Tinto - Red Vinegar 16.91oz  x 12 botella Se repite 7 veces en Tradiciones Andinas, Se repite 4 veces el precio de 9.07</v>
      </c>
      <c r="T737" s="20" t="str">
        <f t="shared" si="163"/>
        <v>Tradiciones Andinas</v>
      </c>
      <c r="U737" s="20" t="str">
        <f t="shared" si="164"/>
        <v>SIBARITA Vinagre Tinto - Red Vinegar 16.91oz  x 12 botella</v>
      </c>
      <c r="V737" s="22">
        <f t="shared" si="165"/>
        <v>9.07</v>
      </c>
      <c r="W737" t="str">
        <f t="shared" si="166"/>
        <v>Tradiciones Andinas 08/18/2025</v>
      </c>
      <c r="Z737">
        <f t="shared" si="167"/>
        <v>72.56</v>
      </c>
    </row>
    <row r="738" spans="1:26" hidden="1" x14ac:dyDescent="0.25">
      <c r="A738" s="2" t="s">
        <v>664</v>
      </c>
      <c r="B738" s="11" t="s">
        <v>1201</v>
      </c>
      <c r="C738" s="11" t="s">
        <v>4</v>
      </c>
      <c r="D738" s="11" t="s">
        <v>1202</v>
      </c>
      <c r="E738" s="11" t="s">
        <v>738</v>
      </c>
      <c r="F738" s="11" t="s">
        <v>738</v>
      </c>
      <c r="G738" s="12">
        <v>2</v>
      </c>
      <c r="H738" s="12">
        <v>9.07</v>
      </c>
      <c r="I738" s="12">
        <v>18.14</v>
      </c>
      <c r="J738" s="12">
        <v>102468.88999999993</v>
      </c>
      <c r="K738" s="20">
        <f t="shared" si="154"/>
        <v>7</v>
      </c>
      <c r="L738" s="20" t="str">
        <f t="shared" si="155"/>
        <v>Se repite 7 veces</v>
      </c>
      <c r="M738" s="20" t="str">
        <f t="shared" si="156"/>
        <v>Tradiciones Andinas-SIBARITA Vinagre Tinto - Red Vinegar 16.91oz  x 12 botella</v>
      </c>
      <c r="N738" s="20">
        <f t="shared" si="157"/>
        <v>7</v>
      </c>
      <c r="O738" s="20" t="str">
        <f t="shared" si="158"/>
        <v>Se repite 7 veces en Tradiciones Andinas</v>
      </c>
      <c r="P738" s="20" t="str">
        <f t="shared" si="159"/>
        <v>Tradiciones Andinas-SIBARITA Vinagre Tinto - Red Vinegar 16.91oz  x 12 botella-9.07</v>
      </c>
      <c r="Q738" s="20">
        <f t="shared" si="160"/>
        <v>4</v>
      </c>
      <c r="R738" s="20" t="str">
        <f t="shared" si="161"/>
        <v>Se repite 4 veces el precio de 9.07</v>
      </c>
      <c r="S738" s="20" t="str">
        <f t="shared" si="162"/>
        <v>El producto SIBARITA Vinagre Tinto - Red Vinegar 16.91oz  x 12 botella Se repite 7 veces en Tradiciones Andinas, Se repite 4 veces el precio de 9.07</v>
      </c>
      <c r="T738" s="20" t="str">
        <f t="shared" si="163"/>
        <v>Tradiciones Andinas</v>
      </c>
      <c r="U738" s="20" t="str">
        <f t="shared" si="164"/>
        <v>SIBARITA Vinagre Tinto - Red Vinegar 16.91oz  x 12 botella</v>
      </c>
      <c r="V738" s="22">
        <f t="shared" si="165"/>
        <v>9.07</v>
      </c>
      <c r="W738" t="str">
        <f t="shared" si="166"/>
        <v>Tradiciones Andinas 11/07/2025</v>
      </c>
      <c r="Z738">
        <f t="shared" si="167"/>
        <v>18.14</v>
      </c>
    </row>
    <row r="739" spans="1:26" hidden="1" x14ac:dyDescent="0.25">
      <c r="A739" s="2" t="s">
        <v>664</v>
      </c>
      <c r="B739" s="11" t="s">
        <v>1224</v>
      </c>
      <c r="C739" s="11" t="s">
        <v>4</v>
      </c>
      <c r="D739" s="11" t="s">
        <v>1225</v>
      </c>
      <c r="E739" s="11" t="s">
        <v>1232</v>
      </c>
      <c r="F739" s="11" t="s">
        <v>1232</v>
      </c>
      <c r="G739" s="12">
        <v>6</v>
      </c>
      <c r="H739" s="12">
        <v>10.68</v>
      </c>
      <c r="I739" s="12">
        <v>64.08</v>
      </c>
      <c r="J739" s="12">
        <v>118581.47999999992</v>
      </c>
      <c r="K739" s="20">
        <f t="shared" si="154"/>
        <v>1</v>
      </c>
      <c r="L739" s="20" t="str">
        <f t="shared" si="155"/>
        <v>No se repite</v>
      </c>
      <c r="M739" s="20" t="str">
        <f t="shared" si="156"/>
        <v>Tradiciones Andinas-SOL DEL CUZCO Tableta sabor a chocolate con canela y clavo para taza 12 x 90gr</v>
      </c>
      <c r="N739" s="20">
        <f t="shared" si="157"/>
        <v>1</v>
      </c>
      <c r="O739" s="20" t="str">
        <f t="shared" si="158"/>
        <v>No se repite en proveedor</v>
      </c>
      <c r="P739" s="20" t="str">
        <f t="shared" si="159"/>
        <v>Tradiciones Andinas-SOL DEL CUZCO Tableta sabor a chocolate con canela y clavo para taza 12 x 90gr-10.68</v>
      </c>
      <c r="Q739" s="20">
        <f t="shared" si="160"/>
        <v>1</v>
      </c>
      <c r="R739" s="20" t="str">
        <f t="shared" si="161"/>
        <v>No se repite</v>
      </c>
      <c r="S739" s="20" t="str">
        <f t="shared" si="162"/>
        <v>El producto SOL DEL CUZCO Tableta sabor a chocolate con canela y clavo para taza 12 x 90gr No se repite en proveedor Una vez con el precio 10.68</v>
      </c>
      <c r="T739" s="20" t="str">
        <f t="shared" si="163"/>
        <v>Tradiciones Andinas</v>
      </c>
      <c r="U739" s="20" t="str">
        <f t="shared" si="164"/>
        <v>SOL DEL CUZCO Tableta sabor a chocolate con canela y clavo para taza 12 x 90gr</v>
      </c>
      <c r="V739" s="22">
        <f t="shared" si="165"/>
        <v>10.68</v>
      </c>
      <c r="W739" t="str">
        <f t="shared" si="166"/>
        <v>Tradiciones Andinas 12/03/2025</v>
      </c>
      <c r="Z739">
        <f t="shared" si="167"/>
        <v>64.08</v>
      </c>
    </row>
    <row r="740" spans="1:26" hidden="1" x14ac:dyDescent="0.25">
      <c r="A740" s="2" t="s">
        <v>664</v>
      </c>
      <c r="B740" s="11" t="s">
        <v>1188</v>
      </c>
      <c r="C740" s="11" t="s">
        <v>4</v>
      </c>
      <c r="D740" s="11" t="s">
        <v>1189</v>
      </c>
      <c r="E740" s="11" t="s">
        <v>1190</v>
      </c>
      <c r="F740" s="11" t="s">
        <v>1191</v>
      </c>
      <c r="G740" s="12">
        <v>6</v>
      </c>
      <c r="H740" s="12">
        <v>10.68</v>
      </c>
      <c r="I740" s="12">
        <v>64.08</v>
      </c>
      <c r="J740" s="12">
        <v>95536.269999999946</v>
      </c>
      <c r="K740" s="20">
        <f t="shared" si="154"/>
        <v>3</v>
      </c>
      <c r="L740" s="20" t="str">
        <f t="shared" si="155"/>
        <v>Se repite 3 veces</v>
      </c>
      <c r="M740" s="20" t="str">
        <f t="shared" si="156"/>
        <v>Tradiciones Andinas-SOL DEL CUZCO Tableta sabor a chocolate para taza 12 x 90gr</v>
      </c>
      <c r="N740" s="20">
        <f t="shared" si="157"/>
        <v>3</v>
      </c>
      <c r="O740" s="20" t="str">
        <f t="shared" si="158"/>
        <v>Se repite 3 veces en Tradiciones Andinas</v>
      </c>
      <c r="P740" s="20" t="str">
        <f t="shared" si="159"/>
        <v>Tradiciones Andinas-SOL DEL CUZCO Tableta sabor a chocolate para taza 12 x 90gr-10.68</v>
      </c>
      <c r="Q740" s="20">
        <f t="shared" si="160"/>
        <v>3</v>
      </c>
      <c r="R740" s="20" t="str">
        <f t="shared" si="161"/>
        <v>Se repite 3 veces el precio de 10.68</v>
      </c>
      <c r="S740" s="20" t="str">
        <f t="shared" si="162"/>
        <v>El producto SOL DEL CUZCO Tableta sabor a chocolate para taza 12 x 90gr Se repite 3 veces en Tradiciones Andinas, Se repite 3 veces el precio de 10.68</v>
      </c>
      <c r="T740" s="20" t="str">
        <f t="shared" si="163"/>
        <v>Tradiciones Andinas</v>
      </c>
      <c r="U740" s="20" t="str">
        <f t="shared" si="164"/>
        <v>SOL DEL CUZCO Tableta sabor a chocolate para taza 12 x 90gr</v>
      </c>
      <c r="V740" s="22">
        <f t="shared" si="165"/>
        <v>10.68</v>
      </c>
      <c r="W740" t="str">
        <f t="shared" si="166"/>
        <v>Tradiciones Andinas 10/13/2025</v>
      </c>
      <c r="Z740">
        <f t="shared" si="167"/>
        <v>64.08</v>
      </c>
    </row>
    <row r="741" spans="1:26" hidden="1" x14ac:dyDescent="0.25">
      <c r="A741" s="2" t="s">
        <v>664</v>
      </c>
      <c r="B741" s="11" t="s">
        <v>1207</v>
      </c>
      <c r="C741" s="11" t="s">
        <v>4</v>
      </c>
      <c r="D741" s="11" t="s">
        <v>1208</v>
      </c>
      <c r="E741" s="11" t="s">
        <v>1190</v>
      </c>
      <c r="F741" s="11" t="s">
        <v>1191</v>
      </c>
      <c r="G741" s="12">
        <v>2</v>
      </c>
      <c r="H741" s="12">
        <v>10.68</v>
      </c>
      <c r="I741" s="12">
        <v>21.36</v>
      </c>
      <c r="J741" s="12">
        <v>113546.47999999988</v>
      </c>
      <c r="K741" s="20">
        <f t="shared" si="154"/>
        <v>3</v>
      </c>
      <c r="L741" s="20" t="str">
        <f t="shared" si="155"/>
        <v>Se repite 3 veces</v>
      </c>
      <c r="M741" s="20" t="str">
        <f t="shared" si="156"/>
        <v>Tradiciones Andinas-SOL DEL CUZCO Tableta sabor a chocolate para taza 12 x 90gr</v>
      </c>
      <c r="N741" s="20">
        <f t="shared" si="157"/>
        <v>3</v>
      </c>
      <c r="O741" s="20" t="str">
        <f t="shared" si="158"/>
        <v>Se repite 3 veces en Tradiciones Andinas</v>
      </c>
      <c r="P741" s="20" t="str">
        <f t="shared" si="159"/>
        <v>Tradiciones Andinas-SOL DEL CUZCO Tableta sabor a chocolate para taza 12 x 90gr-10.68</v>
      </c>
      <c r="Q741" s="20">
        <f t="shared" si="160"/>
        <v>3</v>
      </c>
      <c r="R741" s="20" t="str">
        <f t="shared" si="161"/>
        <v>Se repite 3 veces el precio de 10.68</v>
      </c>
      <c r="S741" s="20" t="str">
        <f t="shared" si="162"/>
        <v>El producto SOL DEL CUZCO Tableta sabor a chocolate para taza 12 x 90gr Se repite 3 veces en Tradiciones Andinas, Se repite 3 veces el precio de 10.68</v>
      </c>
      <c r="T741" s="20" t="str">
        <f t="shared" si="163"/>
        <v>Tradiciones Andinas</v>
      </c>
      <c r="U741" s="20" t="str">
        <f t="shared" si="164"/>
        <v>SOL DEL CUZCO Tableta sabor a chocolate para taza 12 x 90gr</v>
      </c>
      <c r="V741" s="22">
        <f t="shared" si="165"/>
        <v>10.68</v>
      </c>
      <c r="W741" t="str">
        <f t="shared" si="166"/>
        <v>Tradiciones Andinas 11/28/2025</v>
      </c>
      <c r="Z741">
        <f t="shared" si="167"/>
        <v>21.36</v>
      </c>
    </row>
    <row r="742" spans="1:26" hidden="1" x14ac:dyDescent="0.25">
      <c r="A742" s="2" t="s">
        <v>664</v>
      </c>
      <c r="B742" s="11" t="s">
        <v>1224</v>
      </c>
      <c r="C742" s="11" t="s">
        <v>4</v>
      </c>
      <c r="D742" s="11" t="s">
        <v>1225</v>
      </c>
      <c r="E742" s="11" t="s">
        <v>1190</v>
      </c>
      <c r="F742" s="11" t="s">
        <v>1191</v>
      </c>
      <c r="G742" s="12">
        <v>6</v>
      </c>
      <c r="H742" s="12">
        <v>10.68</v>
      </c>
      <c r="I742" s="12">
        <v>64.08</v>
      </c>
      <c r="J742" s="12">
        <v>118517.39999999992</v>
      </c>
      <c r="K742" s="20">
        <f t="shared" si="154"/>
        <v>3</v>
      </c>
      <c r="L742" s="20" t="str">
        <f t="shared" si="155"/>
        <v>Se repite 3 veces</v>
      </c>
      <c r="M742" s="20" t="str">
        <f t="shared" si="156"/>
        <v>Tradiciones Andinas-SOL DEL CUZCO Tableta sabor a chocolate para taza 12 x 90gr</v>
      </c>
      <c r="N742" s="20">
        <f t="shared" si="157"/>
        <v>3</v>
      </c>
      <c r="O742" s="20" t="str">
        <f t="shared" si="158"/>
        <v>Se repite 3 veces en Tradiciones Andinas</v>
      </c>
      <c r="P742" s="20" t="str">
        <f t="shared" si="159"/>
        <v>Tradiciones Andinas-SOL DEL CUZCO Tableta sabor a chocolate para taza 12 x 90gr-10.68</v>
      </c>
      <c r="Q742" s="20">
        <f t="shared" si="160"/>
        <v>3</v>
      </c>
      <c r="R742" s="20" t="str">
        <f t="shared" si="161"/>
        <v>Se repite 3 veces el precio de 10.68</v>
      </c>
      <c r="S742" s="20" t="str">
        <f t="shared" si="162"/>
        <v>El producto SOL DEL CUZCO Tableta sabor a chocolate para taza 12 x 90gr Se repite 3 veces en Tradiciones Andinas, Se repite 3 veces el precio de 10.68</v>
      </c>
      <c r="T742" s="20" t="str">
        <f t="shared" si="163"/>
        <v>Tradiciones Andinas</v>
      </c>
      <c r="U742" s="20" t="str">
        <f t="shared" si="164"/>
        <v>SOL DEL CUZCO Tableta sabor a chocolate para taza 12 x 90gr</v>
      </c>
      <c r="V742" s="22">
        <f t="shared" si="165"/>
        <v>10.68</v>
      </c>
      <c r="W742" t="str">
        <f t="shared" si="166"/>
        <v>Tradiciones Andinas 12/03/2025</v>
      </c>
      <c r="Z742">
        <f t="shared" si="167"/>
        <v>64.08</v>
      </c>
    </row>
    <row r="743" spans="1:26" hidden="1" x14ac:dyDescent="0.25">
      <c r="A743" s="2" t="s">
        <v>664</v>
      </c>
      <c r="B743" s="11" t="s">
        <v>821</v>
      </c>
      <c r="C743" s="11" t="s">
        <v>4</v>
      </c>
      <c r="D743" s="11" t="s">
        <v>822</v>
      </c>
      <c r="E743" s="11" t="s">
        <v>823</v>
      </c>
      <c r="F743" s="11" t="s">
        <v>824</v>
      </c>
      <c r="G743" s="12">
        <v>6</v>
      </c>
      <c r="H743" s="25">
        <v>38.159999999999997</v>
      </c>
      <c r="I743" s="12">
        <v>228.96</v>
      </c>
      <c r="J743" s="12">
        <v>8906.8799999999974</v>
      </c>
      <c r="K743" s="20">
        <f t="shared" si="154"/>
        <v>6</v>
      </c>
      <c r="L743" s="20" t="str">
        <f t="shared" si="155"/>
        <v>Se repite 6 veces</v>
      </c>
      <c r="M743" s="20" t="str">
        <f t="shared" si="156"/>
        <v>Tradiciones Andinas-T.A  Ajo pasta 7.5oz x 24</v>
      </c>
      <c r="N743" s="20">
        <f t="shared" si="157"/>
        <v>6</v>
      </c>
      <c r="O743" s="20" t="str">
        <f t="shared" si="158"/>
        <v>Se repite 6 veces en Tradiciones Andinas</v>
      </c>
      <c r="P743" s="20" t="str">
        <f t="shared" si="159"/>
        <v>Tradiciones Andinas-T.A  Ajo pasta 7.5oz x 24-38.16</v>
      </c>
      <c r="Q743" s="20">
        <f t="shared" si="160"/>
        <v>1</v>
      </c>
      <c r="R743" s="20" t="str">
        <f t="shared" si="161"/>
        <v>No se repite</v>
      </c>
      <c r="S743" s="20" t="str">
        <f t="shared" si="162"/>
        <v>El producto T.A  Ajo pasta 7.5oz x 24 Se repite 6 veces en Tradiciones Andinas Una vez con el precio 38.16</v>
      </c>
      <c r="T743" s="20" t="str">
        <f t="shared" si="163"/>
        <v>Tradiciones Andinas</v>
      </c>
      <c r="U743" s="20" t="str">
        <f t="shared" si="164"/>
        <v>T.A  Ajo pasta 7.5oz x 24</v>
      </c>
      <c r="V743" s="22">
        <f t="shared" si="165"/>
        <v>38.159999999999997</v>
      </c>
      <c r="W743" t="str">
        <f t="shared" si="166"/>
        <v>Tradiciones Andinas 04/25/2025</v>
      </c>
      <c r="Z743">
        <f t="shared" si="167"/>
        <v>228.95999999999998</v>
      </c>
    </row>
    <row r="744" spans="1:26" hidden="1" x14ac:dyDescent="0.25">
      <c r="A744" s="2" t="s">
        <v>664</v>
      </c>
      <c r="B744" s="11" t="s">
        <v>1033</v>
      </c>
      <c r="C744" s="11" t="s">
        <v>4</v>
      </c>
      <c r="D744" s="11" t="s">
        <v>1034</v>
      </c>
      <c r="E744" s="11" t="s">
        <v>823</v>
      </c>
      <c r="F744" s="11" t="s">
        <v>1036</v>
      </c>
      <c r="G744" s="12">
        <v>2</v>
      </c>
      <c r="H744" s="12">
        <v>40.82</v>
      </c>
      <c r="I744" s="12">
        <v>81.64</v>
      </c>
      <c r="J744" s="12">
        <v>46252.849999999984</v>
      </c>
      <c r="K744" s="20">
        <f t="shared" si="154"/>
        <v>6</v>
      </c>
      <c r="L744" s="20" t="str">
        <f t="shared" si="155"/>
        <v>Se repite 6 veces</v>
      </c>
      <c r="M744" s="20" t="str">
        <f t="shared" si="156"/>
        <v>Tradiciones Andinas-T.A  Ajo pasta 7.5oz x 24</v>
      </c>
      <c r="N744" s="20">
        <f t="shared" si="157"/>
        <v>6</v>
      </c>
      <c r="O744" s="20" t="str">
        <f t="shared" si="158"/>
        <v>Se repite 6 veces en Tradiciones Andinas</v>
      </c>
      <c r="P744" s="20" t="str">
        <f t="shared" si="159"/>
        <v>Tradiciones Andinas-T.A  Ajo pasta 7.5oz x 24-40.82</v>
      </c>
      <c r="Q744" s="20">
        <f t="shared" si="160"/>
        <v>5</v>
      </c>
      <c r="R744" s="20" t="str">
        <f t="shared" si="161"/>
        <v>Se repite 5 veces el precio de 40.82</v>
      </c>
      <c r="S744" s="20" t="str">
        <f t="shared" si="162"/>
        <v>El producto T.A  Ajo pasta 7.5oz x 24 Se repite 6 veces en Tradiciones Andinas, Se repite 5 veces el precio de 40.82</v>
      </c>
      <c r="T744" s="20" t="str">
        <f t="shared" si="163"/>
        <v>Tradiciones Andinas</v>
      </c>
      <c r="U744" s="20" t="str">
        <f t="shared" si="164"/>
        <v>T.A  Ajo pasta 7.5oz x 24</v>
      </c>
      <c r="V744" s="22">
        <f t="shared" si="165"/>
        <v>40.82</v>
      </c>
      <c r="W744" t="str">
        <f t="shared" si="166"/>
        <v>Tradiciones Andinas 07/03/2025</v>
      </c>
      <c r="Z744">
        <f t="shared" si="167"/>
        <v>81.64</v>
      </c>
    </row>
    <row r="745" spans="1:26" hidden="1" x14ac:dyDescent="0.25">
      <c r="A745" s="2" t="s">
        <v>664</v>
      </c>
      <c r="B745" s="11" t="s">
        <v>1125</v>
      </c>
      <c r="C745" s="11" t="s">
        <v>4</v>
      </c>
      <c r="D745" s="11" t="s">
        <v>1126</v>
      </c>
      <c r="E745" s="11" t="s">
        <v>823</v>
      </c>
      <c r="F745" s="11" t="s">
        <v>1036</v>
      </c>
      <c r="G745" s="12">
        <v>1</v>
      </c>
      <c r="H745" s="12">
        <v>40.82</v>
      </c>
      <c r="I745" s="12">
        <v>40.82</v>
      </c>
      <c r="J745" s="12">
        <v>67146.599999999991</v>
      </c>
      <c r="K745" s="20">
        <f t="shared" si="154"/>
        <v>6</v>
      </c>
      <c r="L745" s="20" t="str">
        <f t="shared" si="155"/>
        <v>Se repite 6 veces</v>
      </c>
      <c r="M745" s="20" t="str">
        <f t="shared" si="156"/>
        <v>Tradiciones Andinas-T.A  Ajo pasta 7.5oz x 24</v>
      </c>
      <c r="N745" s="20">
        <f t="shared" si="157"/>
        <v>6</v>
      </c>
      <c r="O745" s="20" t="str">
        <f t="shared" si="158"/>
        <v>Se repite 6 veces en Tradiciones Andinas</v>
      </c>
      <c r="P745" s="20" t="str">
        <f t="shared" si="159"/>
        <v>Tradiciones Andinas-T.A  Ajo pasta 7.5oz x 24-40.82</v>
      </c>
      <c r="Q745" s="20">
        <f t="shared" si="160"/>
        <v>5</v>
      </c>
      <c r="R745" s="20" t="str">
        <f t="shared" si="161"/>
        <v>Se repite 5 veces el precio de 40.82</v>
      </c>
      <c r="S745" s="20" t="str">
        <f t="shared" si="162"/>
        <v>El producto T.A  Ajo pasta 7.5oz x 24 Se repite 6 veces en Tradiciones Andinas, Se repite 5 veces el precio de 40.82</v>
      </c>
      <c r="T745" s="20" t="str">
        <f t="shared" si="163"/>
        <v>Tradiciones Andinas</v>
      </c>
      <c r="U745" s="20" t="str">
        <f t="shared" si="164"/>
        <v>T.A  Ajo pasta 7.5oz x 24</v>
      </c>
      <c r="V745" s="22">
        <f t="shared" si="165"/>
        <v>40.82</v>
      </c>
      <c r="W745" t="str">
        <f t="shared" si="166"/>
        <v>Tradiciones Andinas 08/18/2025</v>
      </c>
      <c r="Z745">
        <f t="shared" si="167"/>
        <v>40.82</v>
      </c>
    </row>
    <row r="746" spans="1:26" hidden="1" x14ac:dyDescent="0.25">
      <c r="A746" s="2" t="s">
        <v>664</v>
      </c>
      <c r="B746" s="11" t="s">
        <v>1153</v>
      </c>
      <c r="C746" s="11" t="s">
        <v>4</v>
      </c>
      <c r="D746" s="11" t="s">
        <v>1154</v>
      </c>
      <c r="E746" s="11" t="s">
        <v>823</v>
      </c>
      <c r="F746" s="11" t="s">
        <v>1036</v>
      </c>
      <c r="G746" s="12">
        <v>2</v>
      </c>
      <c r="H746" s="12">
        <v>40.82</v>
      </c>
      <c r="I746" s="12">
        <v>81.64</v>
      </c>
      <c r="J746" s="12">
        <v>74958.2</v>
      </c>
      <c r="K746" s="20">
        <f t="shared" si="154"/>
        <v>6</v>
      </c>
      <c r="L746" s="20" t="str">
        <f t="shared" si="155"/>
        <v>Se repite 6 veces</v>
      </c>
      <c r="M746" s="20" t="str">
        <f t="shared" si="156"/>
        <v>Tradiciones Andinas-T.A  Ajo pasta 7.5oz x 24</v>
      </c>
      <c r="N746" s="20">
        <f t="shared" si="157"/>
        <v>6</v>
      </c>
      <c r="O746" s="20" t="str">
        <f t="shared" si="158"/>
        <v>Se repite 6 veces en Tradiciones Andinas</v>
      </c>
      <c r="P746" s="20" t="str">
        <f t="shared" si="159"/>
        <v>Tradiciones Andinas-T.A  Ajo pasta 7.5oz x 24-40.82</v>
      </c>
      <c r="Q746" s="20">
        <f t="shared" si="160"/>
        <v>5</v>
      </c>
      <c r="R746" s="20" t="str">
        <f t="shared" si="161"/>
        <v>Se repite 5 veces el precio de 40.82</v>
      </c>
      <c r="S746" s="20" t="str">
        <f t="shared" si="162"/>
        <v>El producto T.A  Ajo pasta 7.5oz x 24 Se repite 6 veces en Tradiciones Andinas, Se repite 5 veces el precio de 40.82</v>
      </c>
      <c r="T746" s="20" t="str">
        <f t="shared" si="163"/>
        <v>Tradiciones Andinas</v>
      </c>
      <c r="U746" s="20" t="str">
        <f t="shared" si="164"/>
        <v>T.A  Ajo pasta 7.5oz x 24</v>
      </c>
      <c r="V746" s="22">
        <f t="shared" si="165"/>
        <v>40.82</v>
      </c>
      <c r="W746" t="str">
        <f t="shared" si="166"/>
        <v>Tradiciones Andinas 09/24/2025</v>
      </c>
      <c r="Z746">
        <f t="shared" si="167"/>
        <v>81.64</v>
      </c>
    </row>
    <row r="747" spans="1:26" hidden="1" x14ac:dyDescent="0.25">
      <c r="A747" s="2" t="s">
        <v>664</v>
      </c>
      <c r="B747" s="11" t="s">
        <v>1180</v>
      </c>
      <c r="C747" s="11" t="s">
        <v>4</v>
      </c>
      <c r="D747" s="11" t="s">
        <v>1181</v>
      </c>
      <c r="E747" s="11" t="s">
        <v>823</v>
      </c>
      <c r="F747" s="11" t="s">
        <v>1036</v>
      </c>
      <c r="G747" s="12">
        <v>1</v>
      </c>
      <c r="H747" s="12">
        <v>40.82</v>
      </c>
      <c r="I747" s="12">
        <v>40.82</v>
      </c>
      <c r="J747" s="12">
        <v>93207.449999999939</v>
      </c>
      <c r="K747" s="20">
        <f t="shared" si="154"/>
        <v>6</v>
      </c>
      <c r="L747" s="20" t="str">
        <f t="shared" si="155"/>
        <v>Se repite 6 veces</v>
      </c>
      <c r="M747" s="20" t="str">
        <f t="shared" si="156"/>
        <v>Tradiciones Andinas-T.A  Ajo pasta 7.5oz x 24</v>
      </c>
      <c r="N747" s="20">
        <f t="shared" si="157"/>
        <v>6</v>
      </c>
      <c r="O747" s="20" t="str">
        <f t="shared" si="158"/>
        <v>Se repite 6 veces en Tradiciones Andinas</v>
      </c>
      <c r="P747" s="20" t="str">
        <f t="shared" si="159"/>
        <v>Tradiciones Andinas-T.A  Ajo pasta 7.5oz x 24-40.82</v>
      </c>
      <c r="Q747" s="20">
        <f t="shared" si="160"/>
        <v>5</v>
      </c>
      <c r="R747" s="20" t="str">
        <f t="shared" si="161"/>
        <v>Se repite 5 veces el precio de 40.82</v>
      </c>
      <c r="S747" s="20" t="str">
        <f t="shared" si="162"/>
        <v>El producto T.A  Ajo pasta 7.5oz x 24 Se repite 6 veces en Tradiciones Andinas, Se repite 5 veces el precio de 40.82</v>
      </c>
      <c r="T747" s="20" t="str">
        <f t="shared" si="163"/>
        <v>Tradiciones Andinas</v>
      </c>
      <c r="U747" s="20" t="str">
        <f t="shared" si="164"/>
        <v>T.A  Ajo pasta 7.5oz x 24</v>
      </c>
      <c r="V747" s="22">
        <f t="shared" si="165"/>
        <v>40.82</v>
      </c>
      <c r="W747" t="str">
        <f t="shared" si="166"/>
        <v>Tradiciones Andinas 10/07/2025</v>
      </c>
      <c r="Z747">
        <f t="shared" si="167"/>
        <v>40.82</v>
      </c>
    </row>
    <row r="748" spans="1:26" hidden="1" x14ac:dyDescent="0.25">
      <c r="A748" s="2" t="s">
        <v>664</v>
      </c>
      <c r="B748" s="11" t="s">
        <v>1207</v>
      </c>
      <c r="C748" s="11" t="s">
        <v>4</v>
      </c>
      <c r="D748" s="11" t="s">
        <v>1208</v>
      </c>
      <c r="E748" s="11" t="s">
        <v>823</v>
      </c>
      <c r="F748" s="11" t="s">
        <v>1036</v>
      </c>
      <c r="G748" s="12">
        <v>1</v>
      </c>
      <c r="H748" s="12">
        <v>40.82</v>
      </c>
      <c r="I748" s="12">
        <v>40.82</v>
      </c>
      <c r="J748" s="12">
        <v>105454.91999999994</v>
      </c>
      <c r="K748" s="20">
        <f t="shared" si="154"/>
        <v>6</v>
      </c>
      <c r="L748" s="20" t="str">
        <f t="shared" si="155"/>
        <v>Se repite 6 veces</v>
      </c>
      <c r="M748" s="20" t="str">
        <f t="shared" si="156"/>
        <v>Tradiciones Andinas-T.A  Ajo pasta 7.5oz x 24</v>
      </c>
      <c r="N748" s="20">
        <f t="shared" si="157"/>
        <v>6</v>
      </c>
      <c r="O748" s="20" t="str">
        <f t="shared" si="158"/>
        <v>Se repite 6 veces en Tradiciones Andinas</v>
      </c>
      <c r="P748" s="20" t="str">
        <f t="shared" si="159"/>
        <v>Tradiciones Andinas-T.A  Ajo pasta 7.5oz x 24-40.82</v>
      </c>
      <c r="Q748" s="20">
        <f t="shared" si="160"/>
        <v>5</v>
      </c>
      <c r="R748" s="20" t="str">
        <f t="shared" si="161"/>
        <v>Se repite 5 veces el precio de 40.82</v>
      </c>
      <c r="S748" s="20" t="str">
        <f t="shared" si="162"/>
        <v>El producto T.A  Ajo pasta 7.5oz x 24 Se repite 6 veces en Tradiciones Andinas, Se repite 5 veces el precio de 40.82</v>
      </c>
      <c r="T748" s="20" t="str">
        <f t="shared" si="163"/>
        <v>Tradiciones Andinas</v>
      </c>
      <c r="U748" s="20" t="str">
        <f t="shared" si="164"/>
        <v>T.A  Ajo pasta 7.5oz x 24</v>
      </c>
      <c r="V748" s="22">
        <f t="shared" si="165"/>
        <v>40.82</v>
      </c>
      <c r="W748" t="str">
        <f t="shared" si="166"/>
        <v>Tradiciones Andinas 11/28/2025</v>
      </c>
      <c r="Z748">
        <f t="shared" si="167"/>
        <v>40.82</v>
      </c>
    </row>
    <row r="749" spans="1:26" hidden="1" x14ac:dyDescent="0.25">
      <c r="A749" s="2" t="s">
        <v>664</v>
      </c>
      <c r="B749" s="11" t="s">
        <v>665</v>
      </c>
      <c r="C749" s="11" t="s">
        <v>4</v>
      </c>
      <c r="D749" s="11" t="s">
        <v>666</v>
      </c>
      <c r="E749" s="11" t="s">
        <v>770</v>
      </c>
      <c r="F749" s="11" t="s">
        <v>771</v>
      </c>
      <c r="G749" s="12">
        <v>2</v>
      </c>
      <c r="H749" s="12">
        <v>37</v>
      </c>
      <c r="I749" s="12">
        <v>74</v>
      </c>
      <c r="J749" s="12">
        <v>3175.2799999999997</v>
      </c>
      <c r="K749" s="20">
        <f t="shared" si="154"/>
        <v>6</v>
      </c>
      <c r="L749" s="20" t="str">
        <f t="shared" si="155"/>
        <v>Se repite 6 veces</v>
      </c>
      <c r="M749" s="20" t="str">
        <f t="shared" si="156"/>
        <v>Tradiciones Andinas-T.A  Choclo Entero / Corn on the Cob 4 x 10 FROZEN</v>
      </c>
      <c r="N749" s="20">
        <f t="shared" si="157"/>
        <v>6</v>
      </c>
      <c r="O749" s="20" t="str">
        <f t="shared" si="158"/>
        <v>Se repite 6 veces en Tradiciones Andinas</v>
      </c>
      <c r="P749" s="20" t="str">
        <f t="shared" si="159"/>
        <v>Tradiciones Andinas-T.A  Choclo Entero / Corn on the Cob 4 x 10 FROZEN-37</v>
      </c>
      <c r="Q749" s="20">
        <f t="shared" si="160"/>
        <v>1</v>
      </c>
      <c r="R749" s="20" t="str">
        <f t="shared" si="161"/>
        <v>No se repite</v>
      </c>
      <c r="S749" s="20" t="str">
        <f t="shared" si="162"/>
        <v>El producto T.A  Choclo Entero / Corn on the Cob 4 x 10 FROZEN Se repite 6 veces en Tradiciones Andinas Una vez con el precio 37</v>
      </c>
      <c r="T749" s="20" t="str">
        <f t="shared" si="163"/>
        <v>Tradiciones Andinas</v>
      </c>
      <c r="U749" s="20" t="str">
        <f t="shared" si="164"/>
        <v>T.A  Choclo Entero / Corn on the Cob 4 x 10 FROZEN</v>
      </c>
      <c r="V749" s="22">
        <f t="shared" si="165"/>
        <v>37</v>
      </c>
      <c r="W749" t="str">
        <f t="shared" si="166"/>
        <v>Tradiciones Andinas 03/31/2025</v>
      </c>
      <c r="Z749">
        <f t="shared" si="167"/>
        <v>74</v>
      </c>
    </row>
    <row r="750" spans="1:26" hidden="1" x14ac:dyDescent="0.25">
      <c r="A750" s="2" t="s">
        <v>664</v>
      </c>
      <c r="B750" s="11" t="s">
        <v>398</v>
      </c>
      <c r="C750" s="11" t="s">
        <v>4</v>
      </c>
      <c r="D750" s="11" t="s">
        <v>5</v>
      </c>
      <c r="E750" s="11" t="s">
        <v>770</v>
      </c>
      <c r="F750" s="11" t="s">
        <v>771</v>
      </c>
      <c r="G750" s="12">
        <v>3</v>
      </c>
      <c r="H750" s="12">
        <v>35</v>
      </c>
      <c r="I750" s="12">
        <v>105</v>
      </c>
      <c r="J750" s="12">
        <v>8041.44</v>
      </c>
      <c r="K750" s="20">
        <f t="shared" si="154"/>
        <v>6</v>
      </c>
      <c r="L750" s="20" t="str">
        <f t="shared" si="155"/>
        <v>Se repite 6 veces</v>
      </c>
      <c r="M750" s="20" t="str">
        <f t="shared" si="156"/>
        <v>Tradiciones Andinas-T.A  Choclo Entero / Corn on the Cob 4 x 10 FROZEN</v>
      </c>
      <c r="N750" s="20">
        <f t="shared" si="157"/>
        <v>6</v>
      </c>
      <c r="O750" s="20" t="str">
        <f t="shared" si="158"/>
        <v>Se repite 6 veces en Tradiciones Andinas</v>
      </c>
      <c r="P750" s="20" t="str">
        <f t="shared" si="159"/>
        <v>Tradiciones Andinas-T.A  Choclo Entero / Corn on the Cob 4 x 10 FROZEN-35</v>
      </c>
      <c r="Q750" s="20">
        <f t="shared" si="160"/>
        <v>1</v>
      </c>
      <c r="R750" s="20" t="str">
        <f t="shared" si="161"/>
        <v>No se repite</v>
      </c>
      <c r="S750" s="20" t="str">
        <f t="shared" si="162"/>
        <v>El producto T.A  Choclo Entero / Corn on the Cob 4 x 10 FROZEN Se repite 6 veces en Tradiciones Andinas Una vez con el precio 35</v>
      </c>
      <c r="T750" s="20" t="str">
        <f t="shared" si="163"/>
        <v>Tradiciones Andinas</v>
      </c>
      <c r="U750" s="20" t="str">
        <f t="shared" si="164"/>
        <v>T.A  Choclo Entero / Corn on the Cob 4 x 10 FROZEN</v>
      </c>
      <c r="V750" s="22">
        <f t="shared" si="165"/>
        <v>35</v>
      </c>
      <c r="W750" t="str">
        <f t="shared" si="166"/>
        <v>Tradiciones Andinas 04/10/2025</v>
      </c>
      <c r="Z750">
        <f t="shared" si="167"/>
        <v>105</v>
      </c>
    </row>
    <row r="751" spans="1:26" hidden="1" x14ac:dyDescent="0.25">
      <c r="A751" s="2" t="s">
        <v>664</v>
      </c>
      <c r="B751" s="11" t="s">
        <v>158</v>
      </c>
      <c r="C751" s="11" t="s">
        <v>4</v>
      </c>
      <c r="D751" s="11" t="s">
        <v>984</v>
      </c>
      <c r="E751" s="11" t="s">
        <v>770</v>
      </c>
      <c r="F751" s="11" t="s">
        <v>1027</v>
      </c>
      <c r="G751" s="12">
        <v>4</v>
      </c>
      <c r="H751" s="12">
        <v>37.450000000000003</v>
      </c>
      <c r="I751" s="12">
        <v>149.80000000000001</v>
      </c>
      <c r="J751" s="12">
        <v>43376.259999999995</v>
      </c>
      <c r="K751" s="20">
        <f t="shared" si="154"/>
        <v>6</v>
      </c>
      <c r="L751" s="20" t="str">
        <f t="shared" si="155"/>
        <v>Se repite 6 veces</v>
      </c>
      <c r="M751" s="20" t="str">
        <f t="shared" si="156"/>
        <v>Tradiciones Andinas-T.A  Choclo Entero / Corn on the Cob 4 x 10 FROZEN</v>
      </c>
      <c r="N751" s="20">
        <f t="shared" si="157"/>
        <v>6</v>
      </c>
      <c r="O751" s="20" t="str">
        <f t="shared" si="158"/>
        <v>Se repite 6 veces en Tradiciones Andinas</v>
      </c>
      <c r="P751" s="20" t="str">
        <f t="shared" si="159"/>
        <v>Tradiciones Andinas-T.A  Choclo Entero / Corn on the Cob 4 x 10 FROZEN-37.45</v>
      </c>
      <c r="Q751" s="20">
        <f t="shared" si="160"/>
        <v>4</v>
      </c>
      <c r="R751" s="20" t="str">
        <f t="shared" si="161"/>
        <v>Se repite 4 veces el precio de 37.45</v>
      </c>
      <c r="S751" s="20" t="str">
        <f t="shared" si="162"/>
        <v>El producto T.A  Choclo Entero / Corn on the Cob 4 x 10 FROZEN Se repite 6 veces en Tradiciones Andinas, Se repite 4 veces el precio de 37.45</v>
      </c>
      <c r="T751" s="20" t="str">
        <f t="shared" si="163"/>
        <v>Tradiciones Andinas</v>
      </c>
      <c r="U751" s="20" t="str">
        <f t="shared" si="164"/>
        <v>T.A  Choclo Entero / Corn on the Cob 4 x 10 FROZEN</v>
      </c>
      <c r="V751" s="22">
        <f t="shared" si="165"/>
        <v>37.450000000000003</v>
      </c>
      <c r="W751" t="str">
        <f t="shared" si="166"/>
        <v>Tradiciones Andinas 06/12/2025</v>
      </c>
      <c r="Z751">
        <f t="shared" si="167"/>
        <v>149.80000000000001</v>
      </c>
    </row>
    <row r="752" spans="1:26" hidden="1" x14ac:dyDescent="0.25">
      <c r="A752" s="2" t="s">
        <v>664</v>
      </c>
      <c r="B752" s="11" t="s">
        <v>1092</v>
      </c>
      <c r="C752" s="11" t="s">
        <v>4</v>
      </c>
      <c r="D752" s="11" t="s">
        <v>1093</v>
      </c>
      <c r="E752" s="11" t="s">
        <v>770</v>
      </c>
      <c r="F752" s="11" t="s">
        <v>1027</v>
      </c>
      <c r="G752" s="12">
        <v>8</v>
      </c>
      <c r="H752" s="12">
        <v>37.450000000000003</v>
      </c>
      <c r="I752" s="12">
        <v>299.60000000000002</v>
      </c>
      <c r="J752" s="12">
        <v>66062.699999999968</v>
      </c>
      <c r="K752" s="20">
        <f t="shared" si="154"/>
        <v>6</v>
      </c>
      <c r="L752" s="20" t="str">
        <f t="shared" si="155"/>
        <v>Se repite 6 veces</v>
      </c>
      <c r="M752" s="20" t="str">
        <f t="shared" si="156"/>
        <v>Tradiciones Andinas-T.A  Choclo Entero / Corn on the Cob 4 x 10 FROZEN</v>
      </c>
      <c r="N752" s="20">
        <f t="shared" si="157"/>
        <v>6</v>
      </c>
      <c r="O752" s="20" t="str">
        <f t="shared" si="158"/>
        <v>Se repite 6 veces en Tradiciones Andinas</v>
      </c>
      <c r="P752" s="20" t="str">
        <f t="shared" si="159"/>
        <v>Tradiciones Andinas-T.A  Choclo Entero / Corn on the Cob 4 x 10 FROZEN-37.45</v>
      </c>
      <c r="Q752" s="20">
        <f t="shared" si="160"/>
        <v>4</v>
      </c>
      <c r="R752" s="20" t="str">
        <f t="shared" si="161"/>
        <v>Se repite 4 veces el precio de 37.45</v>
      </c>
      <c r="S752" s="20" t="str">
        <f t="shared" si="162"/>
        <v>El producto T.A  Choclo Entero / Corn on the Cob 4 x 10 FROZEN Se repite 6 veces en Tradiciones Andinas, Se repite 4 veces el precio de 37.45</v>
      </c>
      <c r="T752" s="20" t="str">
        <f t="shared" si="163"/>
        <v>Tradiciones Andinas</v>
      </c>
      <c r="U752" s="20" t="str">
        <f t="shared" si="164"/>
        <v>T.A  Choclo Entero / Corn on the Cob 4 x 10 FROZEN</v>
      </c>
      <c r="V752" s="22">
        <f t="shared" si="165"/>
        <v>37.450000000000003</v>
      </c>
      <c r="W752" t="str">
        <f t="shared" si="166"/>
        <v>Tradiciones Andinas 07/21/2025</v>
      </c>
      <c r="Z752">
        <f t="shared" si="167"/>
        <v>299.60000000000002</v>
      </c>
    </row>
    <row r="753" spans="1:26" hidden="1" x14ac:dyDescent="0.25">
      <c r="A753" s="2" t="s">
        <v>664</v>
      </c>
      <c r="B753" s="11" t="s">
        <v>1153</v>
      </c>
      <c r="C753" s="11" t="s">
        <v>4</v>
      </c>
      <c r="D753" s="11" t="s">
        <v>1154</v>
      </c>
      <c r="E753" s="11" t="s">
        <v>770</v>
      </c>
      <c r="F753" s="11" t="s">
        <v>1173</v>
      </c>
      <c r="G753" s="12">
        <v>3</v>
      </c>
      <c r="H753" s="12">
        <v>37.450000000000003</v>
      </c>
      <c r="I753" s="12">
        <v>112.35</v>
      </c>
      <c r="J753" s="12">
        <v>89357.389999999941</v>
      </c>
      <c r="K753" s="20">
        <f t="shared" si="154"/>
        <v>6</v>
      </c>
      <c r="L753" s="20" t="str">
        <f t="shared" si="155"/>
        <v>Se repite 6 veces</v>
      </c>
      <c r="M753" s="20" t="str">
        <f t="shared" si="156"/>
        <v>Tradiciones Andinas-T.A  Choclo Entero / Corn on the Cob 4 x 10 FROZEN</v>
      </c>
      <c r="N753" s="20">
        <f t="shared" si="157"/>
        <v>6</v>
      </c>
      <c r="O753" s="20" t="str">
        <f t="shared" si="158"/>
        <v>Se repite 6 veces en Tradiciones Andinas</v>
      </c>
      <c r="P753" s="20" t="str">
        <f t="shared" si="159"/>
        <v>Tradiciones Andinas-T.A  Choclo Entero / Corn on the Cob 4 x 10 FROZEN-37.45</v>
      </c>
      <c r="Q753" s="20">
        <f t="shared" si="160"/>
        <v>4</v>
      </c>
      <c r="R753" s="20" t="str">
        <f t="shared" si="161"/>
        <v>Se repite 4 veces el precio de 37.45</v>
      </c>
      <c r="S753" s="20" t="str">
        <f t="shared" si="162"/>
        <v>El producto T.A  Choclo Entero / Corn on the Cob 4 x 10 FROZEN Se repite 6 veces en Tradiciones Andinas, Se repite 4 veces el precio de 37.45</v>
      </c>
      <c r="T753" s="20" t="str">
        <f t="shared" si="163"/>
        <v>Tradiciones Andinas</v>
      </c>
      <c r="U753" s="20" t="str">
        <f t="shared" si="164"/>
        <v>T.A  Choclo Entero / Corn on the Cob 4 x 10 FROZEN</v>
      </c>
      <c r="V753" s="22">
        <f t="shared" si="165"/>
        <v>37.450000000000003</v>
      </c>
      <c r="W753" t="str">
        <f t="shared" si="166"/>
        <v>Tradiciones Andinas 09/24/2025</v>
      </c>
      <c r="Z753">
        <f t="shared" si="167"/>
        <v>112.35000000000001</v>
      </c>
    </row>
    <row r="754" spans="1:26" hidden="1" x14ac:dyDescent="0.25">
      <c r="A754" s="2" t="s">
        <v>664</v>
      </c>
      <c r="B754" s="11" t="s">
        <v>1207</v>
      </c>
      <c r="C754" s="11" t="s">
        <v>4</v>
      </c>
      <c r="D754" s="11" t="s">
        <v>1208</v>
      </c>
      <c r="E754" s="11" t="s">
        <v>770</v>
      </c>
      <c r="F754" s="11" t="s">
        <v>1173</v>
      </c>
      <c r="G754" s="12">
        <v>10</v>
      </c>
      <c r="H754" s="12">
        <v>37.450000000000003</v>
      </c>
      <c r="I754" s="12">
        <v>374.5</v>
      </c>
      <c r="J754" s="12">
        <v>115740.53999999988</v>
      </c>
      <c r="K754" s="20">
        <f t="shared" si="154"/>
        <v>6</v>
      </c>
      <c r="L754" s="20" t="str">
        <f t="shared" si="155"/>
        <v>Se repite 6 veces</v>
      </c>
      <c r="M754" s="20" t="str">
        <f t="shared" si="156"/>
        <v>Tradiciones Andinas-T.A  Choclo Entero / Corn on the Cob 4 x 10 FROZEN</v>
      </c>
      <c r="N754" s="20">
        <f t="shared" si="157"/>
        <v>6</v>
      </c>
      <c r="O754" s="20" t="str">
        <f t="shared" si="158"/>
        <v>Se repite 6 veces en Tradiciones Andinas</v>
      </c>
      <c r="P754" s="20" t="str">
        <f t="shared" si="159"/>
        <v>Tradiciones Andinas-T.A  Choclo Entero / Corn on the Cob 4 x 10 FROZEN-37.45</v>
      </c>
      <c r="Q754" s="20">
        <f t="shared" si="160"/>
        <v>4</v>
      </c>
      <c r="R754" s="20" t="str">
        <f t="shared" si="161"/>
        <v>Se repite 4 veces el precio de 37.45</v>
      </c>
      <c r="S754" s="20" t="str">
        <f t="shared" si="162"/>
        <v>El producto T.A  Choclo Entero / Corn on the Cob 4 x 10 FROZEN Se repite 6 veces en Tradiciones Andinas, Se repite 4 veces el precio de 37.45</v>
      </c>
      <c r="T754" s="20" t="str">
        <f t="shared" si="163"/>
        <v>Tradiciones Andinas</v>
      </c>
      <c r="U754" s="20" t="str">
        <f t="shared" si="164"/>
        <v>T.A  Choclo Entero / Corn on the Cob 4 x 10 FROZEN</v>
      </c>
      <c r="V754" s="22">
        <f t="shared" si="165"/>
        <v>37.450000000000003</v>
      </c>
      <c r="W754" t="str">
        <f t="shared" si="166"/>
        <v>Tradiciones Andinas 11/28/2025</v>
      </c>
      <c r="Z754">
        <f t="shared" si="167"/>
        <v>374.5</v>
      </c>
    </row>
    <row r="755" spans="1:26" hidden="1" x14ac:dyDescent="0.25">
      <c r="A755" s="2" t="s">
        <v>664</v>
      </c>
      <c r="B755" s="11" t="s">
        <v>665</v>
      </c>
      <c r="C755" s="11" t="s">
        <v>4</v>
      </c>
      <c r="D755" s="11" t="s">
        <v>666</v>
      </c>
      <c r="E755" s="11" t="s">
        <v>692</v>
      </c>
      <c r="F755" s="11" t="s">
        <v>693</v>
      </c>
      <c r="G755" s="12">
        <v>3</v>
      </c>
      <c r="H755" s="12">
        <v>37.08</v>
      </c>
      <c r="I755" s="12">
        <v>111.24</v>
      </c>
      <c r="J755" s="12">
        <v>755.28000000000009</v>
      </c>
      <c r="K755" s="20">
        <f t="shared" si="154"/>
        <v>8</v>
      </c>
      <c r="L755" s="20" t="str">
        <f t="shared" si="155"/>
        <v>Se repite 8 veces</v>
      </c>
      <c r="M755" s="20" t="str">
        <f t="shared" si="156"/>
        <v>Tradiciones Andinas-T.A Aceituna Botija /Alfonso Olives con pepa 20oz x 12</v>
      </c>
      <c r="N755" s="20">
        <f t="shared" si="157"/>
        <v>8</v>
      </c>
      <c r="O755" s="20" t="str">
        <f t="shared" si="158"/>
        <v>Se repite 8 veces en Tradiciones Andinas</v>
      </c>
      <c r="P755" s="20" t="str">
        <f t="shared" si="159"/>
        <v>Tradiciones Andinas-T.A Aceituna Botija /Alfonso Olives con pepa 20oz x 12-37.08</v>
      </c>
      <c r="Q755" s="20">
        <f t="shared" si="160"/>
        <v>2</v>
      </c>
      <c r="R755" s="20" t="str">
        <f t="shared" si="161"/>
        <v>Se repite 2 veces el precio de 37.08</v>
      </c>
      <c r="S755" s="20" t="str">
        <f t="shared" si="162"/>
        <v>El producto T.A Aceituna Botija /Alfonso Olives con pepa 20oz x 12 Se repite 8 veces en Tradiciones Andinas, Se repite 2 veces el precio de 37.08</v>
      </c>
      <c r="T755" s="20" t="str">
        <f t="shared" si="163"/>
        <v>Tradiciones Andinas</v>
      </c>
      <c r="U755" s="20" t="str">
        <f t="shared" si="164"/>
        <v>T.A Aceituna Botija /Alfonso Olives con pepa 20oz x 12</v>
      </c>
      <c r="V755" s="22">
        <f t="shared" si="165"/>
        <v>37.08</v>
      </c>
      <c r="W755" t="str">
        <f t="shared" si="166"/>
        <v>Tradiciones Andinas 03/31/2025</v>
      </c>
      <c r="Z755">
        <f t="shared" si="167"/>
        <v>111.24</v>
      </c>
    </row>
    <row r="756" spans="1:26" hidden="1" x14ac:dyDescent="0.25">
      <c r="A756" s="2" t="s">
        <v>664</v>
      </c>
      <c r="B756" s="11" t="s">
        <v>821</v>
      </c>
      <c r="C756" s="11" t="s">
        <v>4</v>
      </c>
      <c r="D756" s="11" t="s">
        <v>822</v>
      </c>
      <c r="E756" s="11" t="s">
        <v>692</v>
      </c>
      <c r="F756" s="11" t="s">
        <v>693</v>
      </c>
      <c r="G756" s="12">
        <v>6</v>
      </c>
      <c r="H756" s="12">
        <v>37.08</v>
      </c>
      <c r="I756" s="12">
        <v>222.48</v>
      </c>
      <c r="J756" s="12">
        <v>10221.119999999997</v>
      </c>
      <c r="K756" s="20">
        <f t="shared" si="154"/>
        <v>8</v>
      </c>
      <c r="L756" s="20" t="str">
        <f t="shared" si="155"/>
        <v>Se repite 8 veces</v>
      </c>
      <c r="M756" s="20" t="str">
        <f t="shared" si="156"/>
        <v>Tradiciones Andinas-T.A Aceituna Botija /Alfonso Olives con pepa 20oz x 12</v>
      </c>
      <c r="N756" s="20">
        <f t="shared" si="157"/>
        <v>8</v>
      </c>
      <c r="O756" s="20" t="str">
        <f t="shared" si="158"/>
        <v>Se repite 8 veces en Tradiciones Andinas</v>
      </c>
      <c r="P756" s="20" t="str">
        <f t="shared" si="159"/>
        <v>Tradiciones Andinas-T.A Aceituna Botija /Alfonso Olives con pepa 20oz x 12-37.08</v>
      </c>
      <c r="Q756" s="20">
        <f t="shared" si="160"/>
        <v>2</v>
      </c>
      <c r="R756" s="20" t="str">
        <f t="shared" si="161"/>
        <v>Se repite 2 veces el precio de 37.08</v>
      </c>
      <c r="S756" s="20" t="str">
        <f t="shared" si="162"/>
        <v>El producto T.A Aceituna Botija /Alfonso Olives con pepa 20oz x 12 Se repite 8 veces en Tradiciones Andinas, Se repite 2 veces el precio de 37.08</v>
      </c>
      <c r="T756" s="20" t="str">
        <f t="shared" si="163"/>
        <v>Tradiciones Andinas</v>
      </c>
      <c r="U756" s="20" t="str">
        <f t="shared" si="164"/>
        <v>T.A Aceituna Botija /Alfonso Olives con pepa 20oz x 12</v>
      </c>
      <c r="V756" s="22">
        <f t="shared" si="165"/>
        <v>37.08</v>
      </c>
      <c r="W756" t="str">
        <f t="shared" si="166"/>
        <v>Tradiciones Andinas 04/25/2025</v>
      </c>
      <c r="Z756">
        <f t="shared" si="167"/>
        <v>222.48</v>
      </c>
    </row>
    <row r="757" spans="1:26" hidden="1" x14ac:dyDescent="0.25">
      <c r="A757" s="2" t="s">
        <v>664</v>
      </c>
      <c r="B757" s="11" t="s">
        <v>654</v>
      </c>
      <c r="C757" s="11" t="s">
        <v>4</v>
      </c>
      <c r="D757" s="11" t="s">
        <v>940</v>
      </c>
      <c r="E757" s="11" t="s">
        <v>692</v>
      </c>
      <c r="F757" s="11" t="s">
        <v>944</v>
      </c>
      <c r="G757" s="12">
        <v>10</v>
      </c>
      <c r="H757" s="12">
        <v>39.68</v>
      </c>
      <c r="I757" s="12">
        <v>396.8</v>
      </c>
      <c r="J757" s="12">
        <v>25378.669999999995</v>
      </c>
      <c r="K757" s="20">
        <f t="shared" si="154"/>
        <v>8</v>
      </c>
      <c r="L757" s="20" t="str">
        <f t="shared" si="155"/>
        <v>Se repite 8 veces</v>
      </c>
      <c r="M757" s="20" t="str">
        <f t="shared" si="156"/>
        <v>Tradiciones Andinas-T.A Aceituna Botija /Alfonso Olives con pepa 20oz x 12</v>
      </c>
      <c r="N757" s="20">
        <f t="shared" si="157"/>
        <v>8</v>
      </c>
      <c r="O757" s="20" t="str">
        <f t="shared" si="158"/>
        <v>Se repite 8 veces en Tradiciones Andinas</v>
      </c>
      <c r="P757" s="20" t="str">
        <f t="shared" si="159"/>
        <v>Tradiciones Andinas-T.A Aceituna Botija /Alfonso Olives con pepa 20oz x 12-39.68</v>
      </c>
      <c r="Q757" s="20">
        <f t="shared" si="160"/>
        <v>6</v>
      </c>
      <c r="R757" s="20" t="str">
        <f t="shared" si="161"/>
        <v>Se repite 6 veces el precio de 39.68</v>
      </c>
      <c r="S757" s="20" t="str">
        <f t="shared" si="162"/>
        <v>El producto T.A Aceituna Botija /Alfonso Olives con pepa 20oz x 12 Se repite 8 veces en Tradiciones Andinas, Se repite 6 veces el precio de 39.68</v>
      </c>
      <c r="T757" s="20" t="str">
        <f t="shared" si="163"/>
        <v>Tradiciones Andinas</v>
      </c>
      <c r="U757" s="20" t="str">
        <f t="shared" si="164"/>
        <v>T.A Aceituna Botija /Alfonso Olives con pepa 20oz x 12</v>
      </c>
      <c r="V757" s="22">
        <f t="shared" si="165"/>
        <v>39.68</v>
      </c>
      <c r="W757" t="str">
        <f t="shared" si="166"/>
        <v>Tradiciones Andinas 05/19/2025</v>
      </c>
      <c r="Z757">
        <f t="shared" si="167"/>
        <v>396.8</v>
      </c>
    </row>
    <row r="758" spans="1:26" hidden="1" x14ac:dyDescent="0.25">
      <c r="A758" s="2" t="s">
        <v>664</v>
      </c>
      <c r="B758" s="11" t="s">
        <v>158</v>
      </c>
      <c r="C758" s="11" t="s">
        <v>4</v>
      </c>
      <c r="D758" s="11" t="s">
        <v>984</v>
      </c>
      <c r="E758" s="11" t="s">
        <v>692</v>
      </c>
      <c r="F758" s="11" t="s">
        <v>944</v>
      </c>
      <c r="G758" s="12">
        <v>15</v>
      </c>
      <c r="H758" s="12">
        <v>39.68</v>
      </c>
      <c r="I758" s="12">
        <v>595.20000000000005</v>
      </c>
      <c r="J758" s="12">
        <v>35701.51</v>
      </c>
      <c r="K758" s="20">
        <f t="shared" si="154"/>
        <v>8</v>
      </c>
      <c r="L758" s="20" t="str">
        <f t="shared" si="155"/>
        <v>Se repite 8 veces</v>
      </c>
      <c r="M758" s="20" t="str">
        <f t="shared" si="156"/>
        <v>Tradiciones Andinas-T.A Aceituna Botija /Alfonso Olives con pepa 20oz x 12</v>
      </c>
      <c r="N758" s="20">
        <f t="shared" si="157"/>
        <v>8</v>
      </c>
      <c r="O758" s="20" t="str">
        <f t="shared" si="158"/>
        <v>Se repite 8 veces en Tradiciones Andinas</v>
      </c>
      <c r="P758" s="20" t="str">
        <f t="shared" si="159"/>
        <v>Tradiciones Andinas-T.A Aceituna Botija /Alfonso Olives con pepa 20oz x 12-39.68</v>
      </c>
      <c r="Q758" s="20">
        <f t="shared" si="160"/>
        <v>6</v>
      </c>
      <c r="R758" s="20" t="str">
        <f t="shared" si="161"/>
        <v>Se repite 6 veces el precio de 39.68</v>
      </c>
      <c r="S758" s="20" t="str">
        <f t="shared" si="162"/>
        <v>El producto T.A Aceituna Botija /Alfonso Olives con pepa 20oz x 12 Se repite 8 veces en Tradiciones Andinas, Se repite 6 veces el precio de 39.68</v>
      </c>
      <c r="T758" s="20" t="str">
        <f t="shared" si="163"/>
        <v>Tradiciones Andinas</v>
      </c>
      <c r="U758" s="20" t="str">
        <f t="shared" si="164"/>
        <v>T.A Aceituna Botija /Alfonso Olives con pepa 20oz x 12</v>
      </c>
      <c r="V758" s="22">
        <f t="shared" si="165"/>
        <v>39.68</v>
      </c>
      <c r="W758" t="str">
        <f t="shared" si="166"/>
        <v>Tradiciones Andinas 06/12/2025</v>
      </c>
      <c r="Z758">
        <f t="shared" si="167"/>
        <v>595.20000000000005</v>
      </c>
    </row>
    <row r="759" spans="1:26" hidden="1" x14ac:dyDescent="0.25">
      <c r="A759" s="2" t="s">
        <v>664</v>
      </c>
      <c r="B759" s="11" t="s">
        <v>1033</v>
      </c>
      <c r="C759" s="11" t="s">
        <v>4</v>
      </c>
      <c r="D759" s="11" t="s">
        <v>1034</v>
      </c>
      <c r="E759" s="11" t="s">
        <v>692</v>
      </c>
      <c r="F759" s="11" t="s">
        <v>944</v>
      </c>
      <c r="G759" s="12">
        <v>20</v>
      </c>
      <c r="H759" s="12">
        <v>39.68</v>
      </c>
      <c r="I759" s="12">
        <v>793.6</v>
      </c>
      <c r="J759" s="12">
        <v>47587.549999999974</v>
      </c>
      <c r="K759" s="20">
        <f t="shared" si="154"/>
        <v>8</v>
      </c>
      <c r="L759" s="20" t="str">
        <f t="shared" si="155"/>
        <v>Se repite 8 veces</v>
      </c>
      <c r="M759" s="20" t="str">
        <f t="shared" si="156"/>
        <v>Tradiciones Andinas-T.A Aceituna Botija /Alfonso Olives con pepa 20oz x 12</v>
      </c>
      <c r="N759" s="20">
        <f t="shared" si="157"/>
        <v>8</v>
      </c>
      <c r="O759" s="20" t="str">
        <f t="shared" si="158"/>
        <v>Se repite 8 veces en Tradiciones Andinas</v>
      </c>
      <c r="P759" s="20" t="str">
        <f t="shared" si="159"/>
        <v>Tradiciones Andinas-T.A Aceituna Botija /Alfonso Olives con pepa 20oz x 12-39.68</v>
      </c>
      <c r="Q759" s="20">
        <f t="shared" si="160"/>
        <v>6</v>
      </c>
      <c r="R759" s="20" t="str">
        <f t="shared" si="161"/>
        <v>Se repite 6 veces el precio de 39.68</v>
      </c>
      <c r="S759" s="20" t="str">
        <f t="shared" si="162"/>
        <v>El producto T.A Aceituna Botija /Alfonso Olives con pepa 20oz x 12 Se repite 8 veces en Tradiciones Andinas, Se repite 6 veces el precio de 39.68</v>
      </c>
      <c r="T759" s="20" t="str">
        <f t="shared" si="163"/>
        <v>Tradiciones Andinas</v>
      </c>
      <c r="U759" s="20" t="str">
        <f t="shared" si="164"/>
        <v>T.A Aceituna Botija /Alfonso Olives con pepa 20oz x 12</v>
      </c>
      <c r="V759" s="22">
        <f t="shared" si="165"/>
        <v>39.68</v>
      </c>
      <c r="W759" t="str">
        <f t="shared" si="166"/>
        <v>Tradiciones Andinas 07/03/2025</v>
      </c>
      <c r="Z759">
        <f t="shared" si="167"/>
        <v>793.6</v>
      </c>
    </row>
    <row r="760" spans="1:26" hidden="1" x14ac:dyDescent="0.25">
      <c r="A760" s="2" t="s">
        <v>664</v>
      </c>
      <c r="B760" s="11" t="s">
        <v>1125</v>
      </c>
      <c r="C760" s="11" t="s">
        <v>4</v>
      </c>
      <c r="D760" s="11" t="s">
        <v>1126</v>
      </c>
      <c r="E760" s="11" t="s">
        <v>692</v>
      </c>
      <c r="F760" s="11" t="s">
        <v>944</v>
      </c>
      <c r="G760" s="12">
        <v>8</v>
      </c>
      <c r="H760" s="12">
        <v>39.68</v>
      </c>
      <c r="I760" s="12">
        <v>317.44</v>
      </c>
      <c r="J760" s="12">
        <v>68413.960000000006</v>
      </c>
      <c r="K760" s="20">
        <f t="shared" si="154"/>
        <v>8</v>
      </c>
      <c r="L760" s="20" t="str">
        <f t="shared" si="155"/>
        <v>Se repite 8 veces</v>
      </c>
      <c r="M760" s="20" t="str">
        <f t="shared" si="156"/>
        <v>Tradiciones Andinas-T.A Aceituna Botija /Alfonso Olives con pepa 20oz x 12</v>
      </c>
      <c r="N760" s="20">
        <f t="shared" si="157"/>
        <v>8</v>
      </c>
      <c r="O760" s="20" t="str">
        <f t="shared" si="158"/>
        <v>Se repite 8 veces en Tradiciones Andinas</v>
      </c>
      <c r="P760" s="20" t="str">
        <f t="shared" si="159"/>
        <v>Tradiciones Andinas-T.A Aceituna Botija /Alfonso Olives con pepa 20oz x 12-39.68</v>
      </c>
      <c r="Q760" s="20">
        <f t="shared" si="160"/>
        <v>6</v>
      </c>
      <c r="R760" s="20" t="str">
        <f t="shared" si="161"/>
        <v>Se repite 6 veces el precio de 39.68</v>
      </c>
      <c r="S760" s="20" t="str">
        <f t="shared" si="162"/>
        <v>El producto T.A Aceituna Botija /Alfonso Olives con pepa 20oz x 12 Se repite 8 veces en Tradiciones Andinas, Se repite 6 veces el precio de 39.68</v>
      </c>
      <c r="T760" s="20" t="str">
        <f t="shared" si="163"/>
        <v>Tradiciones Andinas</v>
      </c>
      <c r="U760" s="20" t="str">
        <f t="shared" si="164"/>
        <v>T.A Aceituna Botija /Alfonso Olives con pepa 20oz x 12</v>
      </c>
      <c r="V760" s="22">
        <f t="shared" si="165"/>
        <v>39.68</v>
      </c>
      <c r="W760" t="str">
        <f t="shared" si="166"/>
        <v>Tradiciones Andinas 08/18/2025</v>
      </c>
      <c r="Z760">
        <f t="shared" si="167"/>
        <v>317.44</v>
      </c>
    </row>
    <row r="761" spans="1:26" hidden="1" x14ac:dyDescent="0.25">
      <c r="A761" s="2" t="s">
        <v>664</v>
      </c>
      <c r="B761" s="11" t="s">
        <v>1153</v>
      </c>
      <c r="C761" s="11" t="s">
        <v>4</v>
      </c>
      <c r="D761" s="11" t="s">
        <v>1154</v>
      </c>
      <c r="E761" s="11" t="s">
        <v>692</v>
      </c>
      <c r="F761" s="11" t="s">
        <v>944</v>
      </c>
      <c r="G761" s="12">
        <v>25</v>
      </c>
      <c r="H761" s="12">
        <v>39.68</v>
      </c>
      <c r="I761" s="12">
        <v>992</v>
      </c>
      <c r="J761" s="12">
        <v>76728.739999999991</v>
      </c>
      <c r="K761" s="20">
        <f t="shared" si="154"/>
        <v>8</v>
      </c>
      <c r="L761" s="20" t="str">
        <f t="shared" si="155"/>
        <v>Se repite 8 veces</v>
      </c>
      <c r="M761" s="20" t="str">
        <f t="shared" si="156"/>
        <v>Tradiciones Andinas-T.A Aceituna Botija /Alfonso Olives con pepa 20oz x 12</v>
      </c>
      <c r="N761" s="20">
        <f t="shared" si="157"/>
        <v>8</v>
      </c>
      <c r="O761" s="20" t="str">
        <f t="shared" si="158"/>
        <v>Se repite 8 veces en Tradiciones Andinas</v>
      </c>
      <c r="P761" s="20" t="str">
        <f t="shared" si="159"/>
        <v>Tradiciones Andinas-T.A Aceituna Botija /Alfonso Olives con pepa 20oz x 12-39.68</v>
      </c>
      <c r="Q761" s="20">
        <f t="shared" si="160"/>
        <v>6</v>
      </c>
      <c r="R761" s="20" t="str">
        <f t="shared" si="161"/>
        <v>Se repite 6 veces el precio de 39.68</v>
      </c>
      <c r="S761" s="20" t="str">
        <f t="shared" si="162"/>
        <v>El producto T.A Aceituna Botija /Alfonso Olives con pepa 20oz x 12 Se repite 8 veces en Tradiciones Andinas, Se repite 6 veces el precio de 39.68</v>
      </c>
      <c r="T761" s="20" t="str">
        <f t="shared" si="163"/>
        <v>Tradiciones Andinas</v>
      </c>
      <c r="U761" s="20" t="str">
        <f t="shared" si="164"/>
        <v>T.A Aceituna Botija /Alfonso Olives con pepa 20oz x 12</v>
      </c>
      <c r="V761" s="22">
        <f t="shared" si="165"/>
        <v>39.68</v>
      </c>
      <c r="W761" t="str">
        <f t="shared" si="166"/>
        <v>Tradiciones Andinas 09/24/2025</v>
      </c>
      <c r="Z761">
        <f t="shared" si="167"/>
        <v>992</v>
      </c>
    </row>
    <row r="762" spans="1:26" hidden="1" x14ac:dyDescent="0.25">
      <c r="A762" s="2" t="s">
        <v>664</v>
      </c>
      <c r="B762" s="11" t="s">
        <v>1224</v>
      </c>
      <c r="C762" s="11" t="s">
        <v>4</v>
      </c>
      <c r="D762" s="11" t="s">
        <v>1225</v>
      </c>
      <c r="E762" s="11" t="s">
        <v>692</v>
      </c>
      <c r="F762" s="11" t="s">
        <v>944</v>
      </c>
      <c r="G762" s="12">
        <v>10</v>
      </c>
      <c r="H762" s="12">
        <v>39.68</v>
      </c>
      <c r="I762" s="12">
        <v>396.8</v>
      </c>
      <c r="J762" s="12">
        <v>117040.33999999988</v>
      </c>
      <c r="K762" s="20">
        <f t="shared" si="154"/>
        <v>8</v>
      </c>
      <c r="L762" s="20" t="str">
        <f t="shared" si="155"/>
        <v>Se repite 8 veces</v>
      </c>
      <c r="M762" s="20" t="str">
        <f t="shared" si="156"/>
        <v>Tradiciones Andinas-T.A Aceituna Botija /Alfonso Olives con pepa 20oz x 12</v>
      </c>
      <c r="N762" s="20">
        <f t="shared" si="157"/>
        <v>8</v>
      </c>
      <c r="O762" s="20" t="str">
        <f t="shared" si="158"/>
        <v>Se repite 8 veces en Tradiciones Andinas</v>
      </c>
      <c r="P762" s="20" t="str">
        <f t="shared" si="159"/>
        <v>Tradiciones Andinas-T.A Aceituna Botija /Alfonso Olives con pepa 20oz x 12-39.68</v>
      </c>
      <c r="Q762" s="20">
        <f t="shared" si="160"/>
        <v>6</v>
      </c>
      <c r="R762" s="20" t="str">
        <f t="shared" si="161"/>
        <v>Se repite 6 veces el precio de 39.68</v>
      </c>
      <c r="S762" s="20" t="str">
        <f t="shared" si="162"/>
        <v>El producto T.A Aceituna Botija /Alfonso Olives con pepa 20oz x 12 Se repite 8 veces en Tradiciones Andinas, Se repite 6 veces el precio de 39.68</v>
      </c>
      <c r="T762" s="20" t="str">
        <f t="shared" si="163"/>
        <v>Tradiciones Andinas</v>
      </c>
      <c r="U762" s="20" t="str">
        <f t="shared" si="164"/>
        <v>T.A Aceituna Botija /Alfonso Olives con pepa 20oz x 12</v>
      </c>
      <c r="V762" s="22">
        <f t="shared" si="165"/>
        <v>39.68</v>
      </c>
      <c r="W762" t="str">
        <f t="shared" si="166"/>
        <v>Tradiciones Andinas 12/03/2025</v>
      </c>
      <c r="Z762">
        <f t="shared" si="167"/>
        <v>396.8</v>
      </c>
    </row>
    <row r="763" spans="1:26" hidden="1" x14ac:dyDescent="0.25">
      <c r="A763" s="2" t="s">
        <v>664</v>
      </c>
      <c r="B763" s="11" t="s">
        <v>821</v>
      </c>
      <c r="C763" s="11" t="s">
        <v>4</v>
      </c>
      <c r="D763" s="11" t="s">
        <v>822</v>
      </c>
      <c r="E763" s="11" t="s">
        <v>832</v>
      </c>
      <c r="F763" s="11" t="s">
        <v>833</v>
      </c>
      <c r="G763" s="12">
        <v>4</v>
      </c>
      <c r="H763" s="12">
        <v>37.08</v>
      </c>
      <c r="I763" s="12">
        <v>148.32</v>
      </c>
      <c r="J763" s="12">
        <v>10369.439999999997</v>
      </c>
      <c r="K763" s="20">
        <f t="shared" si="154"/>
        <v>4</v>
      </c>
      <c r="L763" s="20" t="str">
        <f t="shared" si="155"/>
        <v>Se repite 4 veces</v>
      </c>
      <c r="M763" s="20" t="str">
        <f t="shared" si="156"/>
        <v>Tradiciones Andinas-T.A Aceituna Botija sin Pepa /Pitted Alfonso Olives 20oz x 12</v>
      </c>
      <c r="N763" s="20">
        <f t="shared" si="157"/>
        <v>4</v>
      </c>
      <c r="O763" s="20" t="str">
        <f t="shared" si="158"/>
        <v>Se repite 4 veces en Tradiciones Andinas</v>
      </c>
      <c r="P763" s="20" t="str">
        <f t="shared" si="159"/>
        <v>Tradiciones Andinas-T.A Aceituna Botija sin Pepa /Pitted Alfonso Olives 20oz x 12-37.08</v>
      </c>
      <c r="Q763" s="20">
        <f t="shared" si="160"/>
        <v>1</v>
      </c>
      <c r="R763" s="20" t="str">
        <f t="shared" si="161"/>
        <v>No se repite</v>
      </c>
      <c r="S763" s="20" t="str">
        <f t="shared" si="162"/>
        <v>El producto T.A Aceituna Botija sin Pepa /Pitted Alfonso Olives 20oz x 12 Se repite 4 veces en Tradiciones Andinas Una vez con el precio 37.08</v>
      </c>
      <c r="T763" s="20" t="str">
        <f t="shared" si="163"/>
        <v>Tradiciones Andinas</v>
      </c>
      <c r="U763" s="20" t="str">
        <f t="shared" si="164"/>
        <v>T.A Aceituna Botija sin Pepa /Pitted Alfonso Olives 20oz x 12</v>
      </c>
      <c r="V763" s="22">
        <f t="shared" si="165"/>
        <v>37.08</v>
      </c>
      <c r="W763" t="str">
        <f t="shared" si="166"/>
        <v>Tradiciones Andinas 04/25/2025</v>
      </c>
      <c r="Z763">
        <f t="shared" si="167"/>
        <v>148.32</v>
      </c>
    </row>
    <row r="764" spans="1:26" hidden="1" x14ac:dyDescent="0.25">
      <c r="A764" s="2" t="s">
        <v>664</v>
      </c>
      <c r="B764" s="11" t="s">
        <v>158</v>
      </c>
      <c r="C764" s="11" t="s">
        <v>4</v>
      </c>
      <c r="D764" s="11" t="s">
        <v>984</v>
      </c>
      <c r="E764" s="11" t="s">
        <v>832</v>
      </c>
      <c r="F764" s="11" t="s">
        <v>988</v>
      </c>
      <c r="G764" s="12">
        <v>2</v>
      </c>
      <c r="H764" s="12">
        <v>39.68</v>
      </c>
      <c r="I764" s="12">
        <v>79.36</v>
      </c>
      <c r="J764" s="12">
        <v>35780.870000000003</v>
      </c>
      <c r="K764" s="20">
        <f t="shared" si="154"/>
        <v>4</v>
      </c>
      <c r="L764" s="20" t="str">
        <f t="shared" si="155"/>
        <v>Se repite 4 veces</v>
      </c>
      <c r="M764" s="20" t="str">
        <f t="shared" si="156"/>
        <v>Tradiciones Andinas-T.A Aceituna Botija sin Pepa /Pitted Alfonso Olives 20oz x 12</v>
      </c>
      <c r="N764" s="20">
        <f t="shared" si="157"/>
        <v>4</v>
      </c>
      <c r="O764" s="20" t="str">
        <f t="shared" si="158"/>
        <v>Se repite 4 veces en Tradiciones Andinas</v>
      </c>
      <c r="P764" s="20" t="str">
        <f t="shared" si="159"/>
        <v>Tradiciones Andinas-T.A Aceituna Botija sin Pepa /Pitted Alfonso Olives 20oz x 12-39.68</v>
      </c>
      <c r="Q764" s="20">
        <f t="shared" si="160"/>
        <v>3</v>
      </c>
      <c r="R764" s="20" t="str">
        <f t="shared" si="161"/>
        <v>Se repite 3 veces el precio de 39.68</v>
      </c>
      <c r="S764" s="20" t="str">
        <f t="shared" si="162"/>
        <v>El producto T.A Aceituna Botija sin Pepa /Pitted Alfonso Olives 20oz x 12 Se repite 4 veces en Tradiciones Andinas, Se repite 3 veces el precio de 39.68</v>
      </c>
      <c r="T764" s="20" t="str">
        <f t="shared" si="163"/>
        <v>Tradiciones Andinas</v>
      </c>
      <c r="U764" s="20" t="str">
        <f t="shared" si="164"/>
        <v>T.A Aceituna Botija sin Pepa /Pitted Alfonso Olives 20oz x 12</v>
      </c>
      <c r="V764" s="22">
        <f t="shared" si="165"/>
        <v>39.68</v>
      </c>
      <c r="W764" t="str">
        <f t="shared" si="166"/>
        <v>Tradiciones Andinas 06/12/2025</v>
      </c>
      <c r="Z764">
        <f t="shared" si="167"/>
        <v>79.36</v>
      </c>
    </row>
    <row r="765" spans="1:26" hidden="1" x14ac:dyDescent="0.25">
      <c r="A765" s="2" t="s">
        <v>664</v>
      </c>
      <c r="B765" s="11" t="s">
        <v>1029</v>
      </c>
      <c r="C765" s="11" t="s">
        <v>4</v>
      </c>
      <c r="D765" s="11" t="s">
        <v>1030</v>
      </c>
      <c r="E765" s="11" t="s">
        <v>832</v>
      </c>
      <c r="F765" s="11" t="s">
        <v>988</v>
      </c>
      <c r="G765" s="12">
        <v>2</v>
      </c>
      <c r="H765" s="12">
        <v>39.68</v>
      </c>
      <c r="I765" s="12">
        <v>79.36</v>
      </c>
      <c r="J765" s="12">
        <v>45704.30999999999</v>
      </c>
      <c r="K765" s="20">
        <f t="shared" si="154"/>
        <v>4</v>
      </c>
      <c r="L765" s="20" t="str">
        <f t="shared" si="155"/>
        <v>Se repite 4 veces</v>
      </c>
      <c r="M765" s="20" t="str">
        <f t="shared" si="156"/>
        <v>Tradiciones Andinas-T.A Aceituna Botija sin Pepa /Pitted Alfonso Olives 20oz x 12</v>
      </c>
      <c r="N765" s="20">
        <f t="shared" si="157"/>
        <v>4</v>
      </c>
      <c r="O765" s="20" t="str">
        <f t="shared" si="158"/>
        <v>Se repite 4 veces en Tradiciones Andinas</v>
      </c>
      <c r="P765" s="20" t="str">
        <f t="shared" si="159"/>
        <v>Tradiciones Andinas-T.A Aceituna Botija sin Pepa /Pitted Alfonso Olives 20oz x 12-39.68</v>
      </c>
      <c r="Q765" s="20">
        <f t="shared" si="160"/>
        <v>3</v>
      </c>
      <c r="R765" s="20" t="str">
        <f t="shared" si="161"/>
        <v>Se repite 3 veces el precio de 39.68</v>
      </c>
      <c r="S765" s="20" t="str">
        <f t="shared" si="162"/>
        <v>El producto T.A Aceituna Botija sin Pepa /Pitted Alfonso Olives 20oz x 12 Se repite 4 veces en Tradiciones Andinas, Se repite 3 veces el precio de 39.68</v>
      </c>
      <c r="T765" s="20" t="str">
        <f t="shared" si="163"/>
        <v>Tradiciones Andinas</v>
      </c>
      <c r="U765" s="20" t="str">
        <f t="shared" si="164"/>
        <v>T.A Aceituna Botija sin Pepa /Pitted Alfonso Olives 20oz x 12</v>
      </c>
      <c r="V765" s="22">
        <f t="shared" si="165"/>
        <v>39.68</v>
      </c>
      <c r="W765" t="str">
        <f t="shared" si="166"/>
        <v>Tradiciones Andinas 06/17/2025</v>
      </c>
      <c r="Z765">
        <f t="shared" si="167"/>
        <v>79.36</v>
      </c>
    </row>
    <row r="766" spans="1:26" hidden="1" x14ac:dyDescent="0.25">
      <c r="A766" s="2" t="s">
        <v>664</v>
      </c>
      <c r="B766" s="11" t="s">
        <v>1207</v>
      </c>
      <c r="C766" s="11" t="s">
        <v>4</v>
      </c>
      <c r="D766" s="11" t="s">
        <v>1208</v>
      </c>
      <c r="E766" s="11" t="s">
        <v>832</v>
      </c>
      <c r="F766" s="11" t="s">
        <v>988</v>
      </c>
      <c r="G766" s="12">
        <v>5</v>
      </c>
      <c r="H766" s="12">
        <v>39.68</v>
      </c>
      <c r="I766" s="12">
        <v>198.4</v>
      </c>
      <c r="J766" s="12">
        <v>105884.67999999993</v>
      </c>
      <c r="K766" s="20">
        <f t="shared" si="154"/>
        <v>4</v>
      </c>
      <c r="L766" s="20" t="str">
        <f t="shared" si="155"/>
        <v>Se repite 4 veces</v>
      </c>
      <c r="M766" s="20" t="str">
        <f t="shared" si="156"/>
        <v>Tradiciones Andinas-T.A Aceituna Botija sin Pepa /Pitted Alfonso Olives 20oz x 12</v>
      </c>
      <c r="N766" s="20">
        <f t="shared" si="157"/>
        <v>4</v>
      </c>
      <c r="O766" s="20" t="str">
        <f t="shared" si="158"/>
        <v>Se repite 4 veces en Tradiciones Andinas</v>
      </c>
      <c r="P766" s="20" t="str">
        <f t="shared" si="159"/>
        <v>Tradiciones Andinas-T.A Aceituna Botija sin Pepa /Pitted Alfonso Olives 20oz x 12-39.68</v>
      </c>
      <c r="Q766" s="20">
        <f t="shared" si="160"/>
        <v>3</v>
      </c>
      <c r="R766" s="20" t="str">
        <f t="shared" si="161"/>
        <v>Se repite 3 veces el precio de 39.68</v>
      </c>
      <c r="S766" s="20" t="str">
        <f t="shared" si="162"/>
        <v>El producto T.A Aceituna Botija sin Pepa /Pitted Alfonso Olives 20oz x 12 Se repite 4 veces en Tradiciones Andinas, Se repite 3 veces el precio de 39.68</v>
      </c>
      <c r="T766" s="20" t="str">
        <f t="shared" si="163"/>
        <v>Tradiciones Andinas</v>
      </c>
      <c r="U766" s="20" t="str">
        <f t="shared" si="164"/>
        <v>T.A Aceituna Botija sin Pepa /Pitted Alfonso Olives 20oz x 12</v>
      </c>
      <c r="V766" s="22">
        <f t="shared" si="165"/>
        <v>39.68</v>
      </c>
      <c r="W766" t="str">
        <f t="shared" si="166"/>
        <v>Tradiciones Andinas 11/28/2025</v>
      </c>
      <c r="Z766">
        <f t="shared" si="167"/>
        <v>198.4</v>
      </c>
    </row>
    <row r="767" spans="1:26" hidden="1" x14ac:dyDescent="0.25">
      <c r="A767" s="2" t="s">
        <v>664</v>
      </c>
      <c r="B767" s="11" t="s">
        <v>398</v>
      </c>
      <c r="C767" s="11" t="s">
        <v>4</v>
      </c>
      <c r="D767" s="11" t="s">
        <v>5</v>
      </c>
      <c r="E767" s="11" t="s">
        <v>819</v>
      </c>
      <c r="F767" s="11" t="s">
        <v>820</v>
      </c>
      <c r="G767" s="12">
        <v>2</v>
      </c>
      <c r="H767" s="12">
        <v>27.48</v>
      </c>
      <c r="I767" s="12">
        <v>54.96</v>
      </c>
      <c r="J767" s="12">
        <v>8146.5599999999995</v>
      </c>
      <c r="K767" s="20">
        <f t="shared" si="154"/>
        <v>6</v>
      </c>
      <c r="L767" s="20" t="str">
        <f t="shared" si="155"/>
        <v>Se repite 6 veces</v>
      </c>
      <c r="M767" s="20" t="str">
        <f t="shared" si="156"/>
        <v>Tradiciones Andinas-T.A Achocha / Caigua 16oz x 12 FROZEN</v>
      </c>
      <c r="N767" s="20">
        <f t="shared" si="157"/>
        <v>6</v>
      </c>
      <c r="O767" s="20" t="str">
        <f t="shared" si="158"/>
        <v>Se repite 6 veces en Tradiciones Andinas</v>
      </c>
      <c r="P767" s="20" t="str">
        <f t="shared" si="159"/>
        <v>Tradiciones Andinas-T.A Achocha / Caigua 16oz x 12 FROZEN-27.48</v>
      </c>
      <c r="Q767" s="20">
        <f t="shared" si="160"/>
        <v>2</v>
      </c>
      <c r="R767" s="20" t="str">
        <f t="shared" si="161"/>
        <v>Se repite 2 veces el precio de 27.48</v>
      </c>
      <c r="S767" s="20" t="str">
        <f t="shared" si="162"/>
        <v>El producto T.A Achocha / Caigua 16oz x 12 FROZEN Se repite 6 veces en Tradiciones Andinas, Se repite 2 veces el precio de 27.48</v>
      </c>
      <c r="T767" s="20" t="str">
        <f t="shared" si="163"/>
        <v>Tradiciones Andinas</v>
      </c>
      <c r="U767" s="20" t="str">
        <f t="shared" si="164"/>
        <v>T.A Achocha / Caigua 16oz x 12 FROZEN</v>
      </c>
      <c r="V767" s="22">
        <f t="shared" si="165"/>
        <v>27.48</v>
      </c>
      <c r="W767" t="str">
        <f t="shared" si="166"/>
        <v>Tradiciones Andinas 04/10/2025</v>
      </c>
      <c r="Z767">
        <f t="shared" si="167"/>
        <v>54.96</v>
      </c>
    </row>
    <row r="768" spans="1:26" hidden="1" x14ac:dyDescent="0.25">
      <c r="A768" s="2" t="s">
        <v>664</v>
      </c>
      <c r="B768" s="11" t="s">
        <v>821</v>
      </c>
      <c r="C768" s="11" t="s">
        <v>4</v>
      </c>
      <c r="D768" s="11" t="s">
        <v>822</v>
      </c>
      <c r="E768" s="11" t="s">
        <v>819</v>
      </c>
      <c r="F768" s="11" t="s">
        <v>820</v>
      </c>
      <c r="G768" s="12">
        <v>2</v>
      </c>
      <c r="H768" s="12">
        <v>27.48</v>
      </c>
      <c r="I768" s="12">
        <v>54.96</v>
      </c>
      <c r="J768" s="12">
        <v>23820.7</v>
      </c>
      <c r="K768" s="20">
        <f t="shared" si="154"/>
        <v>6</v>
      </c>
      <c r="L768" s="20" t="str">
        <f t="shared" si="155"/>
        <v>Se repite 6 veces</v>
      </c>
      <c r="M768" s="20" t="str">
        <f t="shared" si="156"/>
        <v>Tradiciones Andinas-T.A Achocha / Caigua 16oz x 12 FROZEN</v>
      </c>
      <c r="N768" s="20">
        <f t="shared" si="157"/>
        <v>6</v>
      </c>
      <c r="O768" s="20" t="str">
        <f t="shared" si="158"/>
        <v>Se repite 6 veces en Tradiciones Andinas</v>
      </c>
      <c r="P768" s="20" t="str">
        <f t="shared" si="159"/>
        <v>Tradiciones Andinas-T.A Achocha / Caigua 16oz x 12 FROZEN-27.48</v>
      </c>
      <c r="Q768" s="20">
        <f t="shared" si="160"/>
        <v>2</v>
      </c>
      <c r="R768" s="20" t="str">
        <f t="shared" si="161"/>
        <v>Se repite 2 veces el precio de 27.48</v>
      </c>
      <c r="S768" s="20" t="str">
        <f t="shared" si="162"/>
        <v>El producto T.A Achocha / Caigua 16oz x 12 FROZEN Se repite 6 veces en Tradiciones Andinas, Se repite 2 veces el precio de 27.48</v>
      </c>
      <c r="T768" s="20" t="str">
        <f t="shared" si="163"/>
        <v>Tradiciones Andinas</v>
      </c>
      <c r="U768" s="20" t="str">
        <f t="shared" si="164"/>
        <v>T.A Achocha / Caigua 16oz x 12 FROZEN</v>
      </c>
      <c r="V768" s="22">
        <f t="shared" si="165"/>
        <v>27.48</v>
      </c>
      <c r="W768" t="str">
        <f t="shared" si="166"/>
        <v>Tradiciones Andinas 04/25/2025</v>
      </c>
      <c r="Z768">
        <f t="shared" si="167"/>
        <v>54.96</v>
      </c>
    </row>
    <row r="769" spans="1:26" hidden="1" x14ac:dyDescent="0.25">
      <c r="A769" s="2" t="s">
        <v>664</v>
      </c>
      <c r="B769" s="11" t="s">
        <v>158</v>
      </c>
      <c r="C769" s="11" t="s">
        <v>4</v>
      </c>
      <c r="D769" s="11" t="s">
        <v>984</v>
      </c>
      <c r="E769" s="11" t="s">
        <v>819</v>
      </c>
      <c r="F769" s="11" t="s">
        <v>1028</v>
      </c>
      <c r="G769" s="12">
        <v>2</v>
      </c>
      <c r="H769" s="12">
        <v>29.4</v>
      </c>
      <c r="I769" s="12">
        <v>58.8</v>
      </c>
      <c r="J769" s="12">
        <v>43703.46</v>
      </c>
      <c r="K769" s="20">
        <f t="shared" si="154"/>
        <v>6</v>
      </c>
      <c r="L769" s="20" t="str">
        <f t="shared" si="155"/>
        <v>Se repite 6 veces</v>
      </c>
      <c r="M769" s="20" t="str">
        <f t="shared" si="156"/>
        <v>Tradiciones Andinas-T.A Achocha / Caigua 16oz x 12 FROZEN</v>
      </c>
      <c r="N769" s="20">
        <f t="shared" si="157"/>
        <v>6</v>
      </c>
      <c r="O769" s="20" t="str">
        <f t="shared" si="158"/>
        <v>Se repite 6 veces en Tradiciones Andinas</v>
      </c>
      <c r="P769" s="20" t="str">
        <f t="shared" si="159"/>
        <v>Tradiciones Andinas-T.A Achocha / Caigua 16oz x 12 FROZEN-29.4</v>
      </c>
      <c r="Q769" s="20">
        <f t="shared" si="160"/>
        <v>4</v>
      </c>
      <c r="R769" s="20" t="str">
        <f t="shared" si="161"/>
        <v>Se repite 4 veces el precio de 29.4</v>
      </c>
      <c r="S769" s="20" t="str">
        <f t="shared" si="162"/>
        <v>El producto T.A Achocha / Caigua 16oz x 12 FROZEN Se repite 6 veces en Tradiciones Andinas, Se repite 4 veces el precio de 29.4</v>
      </c>
      <c r="T769" s="20" t="str">
        <f t="shared" si="163"/>
        <v>Tradiciones Andinas</v>
      </c>
      <c r="U769" s="20" t="str">
        <f t="shared" si="164"/>
        <v>T.A Achocha / Caigua 16oz x 12 FROZEN</v>
      </c>
      <c r="V769" s="22">
        <f t="shared" si="165"/>
        <v>29.4</v>
      </c>
      <c r="W769" t="str">
        <f t="shared" si="166"/>
        <v>Tradiciones Andinas 06/12/2025</v>
      </c>
      <c r="Z769">
        <f t="shared" si="167"/>
        <v>58.8</v>
      </c>
    </row>
    <row r="770" spans="1:26" hidden="1" x14ac:dyDescent="0.25">
      <c r="A770" s="2" t="s">
        <v>664</v>
      </c>
      <c r="B770" s="11" t="s">
        <v>1092</v>
      </c>
      <c r="C770" s="11" t="s">
        <v>4</v>
      </c>
      <c r="D770" s="11" t="s">
        <v>1093</v>
      </c>
      <c r="E770" s="11" t="s">
        <v>819</v>
      </c>
      <c r="F770" s="11" t="s">
        <v>1028</v>
      </c>
      <c r="G770" s="12">
        <v>2</v>
      </c>
      <c r="H770" s="12">
        <v>29.4</v>
      </c>
      <c r="I770" s="12">
        <v>58.8</v>
      </c>
      <c r="J770" s="12">
        <v>63785.739999999954</v>
      </c>
      <c r="K770" s="20">
        <f t="shared" si="154"/>
        <v>6</v>
      </c>
      <c r="L770" s="20" t="str">
        <f t="shared" si="155"/>
        <v>Se repite 6 veces</v>
      </c>
      <c r="M770" s="20" t="str">
        <f t="shared" si="156"/>
        <v>Tradiciones Andinas-T.A Achocha / Caigua 16oz x 12 FROZEN</v>
      </c>
      <c r="N770" s="20">
        <f t="shared" si="157"/>
        <v>6</v>
      </c>
      <c r="O770" s="20" t="str">
        <f t="shared" si="158"/>
        <v>Se repite 6 veces en Tradiciones Andinas</v>
      </c>
      <c r="P770" s="20" t="str">
        <f t="shared" si="159"/>
        <v>Tradiciones Andinas-T.A Achocha / Caigua 16oz x 12 FROZEN-29.4</v>
      </c>
      <c r="Q770" s="20">
        <f t="shared" si="160"/>
        <v>4</v>
      </c>
      <c r="R770" s="20" t="str">
        <f t="shared" si="161"/>
        <v>Se repite 4 veces el precio de 29.4</v>
      </c>
      <c r="S770" s="20" t="str">
        <f t="shared" si="162"/>
        <v>El producto T.A Achocha / Caigua 16oz x 12 FROZEN Se repite 6 veces en Tradiciones Andinas, Se repite 4 veces el precio de 29.4</v>
      </c>
      <c r="T770" s="20" t="str">
        <f t="shared" si="163"/>
        <v>Tradiciones Andinas</v>
      </c>
      <c r="U770" s="20" t="str">
        <f t="shared" si="164"/>
        <v>T.A Achocha / Caigua 16oz x 12 FROZEN</v>
      </c>
      <c r="V770" s="22">
        <f t="shared" si="165"/>
        <v>29.4</v>
      </c>
      <c r="W770" t="str">
        <f t="shared" si="166"/>
        <v>Tradiciones Andinas 07/21/2025</v>
      </c>
      <c r="Z770">
        <f t="shared" si="167"/>
        <v>58.8</v>
      </c>
    </row>
    <row r="771" spans="1:26" hidden="1" x14ac:dyDescent="0.25">
      <c r="A771" s="2" t="s">
        <v>664</v>
      </c>
      <c r="B771" s="11" t="s">
        <v>1153</v>
      </c>
      <c r="C771" s="11" t="s">
        <v>4</v>
      </c>
      <c r="D771" s="11" t="s">
        <v>1154</v>
      </c>
      <c r="E771" s="11" t="s">
        <v>819</v>
      </c>
      <c r="F771" s="11" t="s">
        <v>1028</v>
      </c>
      <c r="G771" s="12">
        <v>1</v>
      </c>
      <c r="H771" s="12">
        <v>29.4</v>
      </c>
      <c r="I771" s="12">
        <v>29.4</v>
      </c>
      <c r="J771" s="12">
        <v>89712.54999999993</v>
      </c>
      <c r="K771" s="20">
        <f t="shared" ref="K771:K834" si="168">COUNTIF($E$2:$E$1438,E771)</f>
        <v>6</v>
      </c>
      <c r="L771" s="20" t="str">
        <f t="shared" ref="L771:L834" si="169">IF(K771&gt;1,_xlfn.CONCAT("Se repite ",K771," veces"),"No se repite")</f>
        <v>Se repite 6 veces</v>
      </c>
      <c r="M771" s="20" t="str">
        <f t="shared" ref="M771:M834" si="170">_xlfn.CONCAT(A771,"-",E771)</f>
        <v>Tradiciones Andinas-T.A Achocha / Caigua 16oz x 12 FROZEN</v>
      </c>
      <c r="N771" s="20">
        <f t="shared" ref="N771:N834" si="171">COUNTIF($M$2:$M$1438,M771)</f>
        <v>6</v>
      </c>
      <c r="O771" s="20" t="str">
        <f t="shared" ref="O771:O834" si="172">IF(N771&gt;1,_xlfn.CONCAT("Se repite ",N771," veces en ",A771),"No se repite en proveedor")</f>
        <v>Se repite 6 veces en Tradiciones Andinas</v>
      </c>
      <c r="P771" s="20" t="str">
        <f t="shared" ref="P771:P834" si="173">_xlfn.CONCAT(A771,"-",E771,"-",H771)</f>
        <v>Tradiciones Andinas-T.A Achocha / Caigua 16oz x 12 FROZEN-29.4</v>
      </c>
      <c r="Q771" s="20">
        <f t="shared" ref="Q771:Q834" si="174">COUNTIF($P$2:$P$1438,P771)</f>
        <v>4</v>
      </c>
      <c r="R771" s="20" t="str">
        <f t="shared" ref="R771:R834" si="175">IF(Q771&gt;1,_xlfn.CONCAT("Se repite ",Q771," veces el precio de ",H771),"No se repite")</f>
        <v>Se repite 4 veces el precio de 29.4</v>
      </c>
      <c r="S771" s="20" t="str">
        <f t="shared" ref="S771:S834" si="176">_xlfn.CONCAT("El producto ",E771," ",O771,IF(R771="No se repite",_xlfn.CONCAT(" Una vez con el precio ",H771),_xlfn.CONCAT(", ",R771)))</f>
        <v>El producto T.A Achocha / Caigua 16oz x 12 FROZEN Se repite 6 veces en Tradiciones Andinas, Se repite 4 veces el precio de 29.4</v>
      </c>
      <c r="T771" s="20" t="str">
        <f t="shared" ref="T771:T834" si="177">+A771</f>
        <v>Tradiciones Andinas</v>
      </c>
      <c r="U771" s="20" t="str">
        <f t="shared" ref="U771:U834" si="178">+E771</f>
        <v>T.A Achocha / Caigua 16oz x 12 FROZEN</v>
      </c>
      <c r="V771" s="22">
        <f t="shared" ref="V771:V834" si="179">+H771</f>
        <v>29.4</v>
      </c>
      <c r="W771" t="str">
        <f t="shared" ref="W771:W834" si="180">_xlfn.CONCAT(A771," ",B771)</f>
        <v>Tradiciones Andinas 09/24/2025</v>
      </c>
      <c r="Z771">
        <f t="shared" ref="Z771:Z834" si="181">G771*H771</f>
        <v>29.4</v>
      </c>
    </row>
    <row r="772" spans="1:26" hidden="1" x14ac:dyDescent="0.25">
      <c r="A772" s="2" t="s">
        <v>664</v>
      </c>
      <c r="B772" s="11" t="s">
        <v>1207</v>
      </c>
      <c r="C772" s="11" t="s">
        <v>4</v>
      </c>
      <c r="D772" s="11" t="s">
        <v>1208</v>
      </c>
      <c r="E772" s="11" t="s">
        <v>819</v>
      </c>
      <c r="F772" s="11" t="s">
        <v>1028</v>
      </c>
      <c r="G772" s="12">
        <v>2</v>
      </c>
      <c r="H772" s="12">
        <v>29.4</v>
      </c>
      <c r="I772" s="12">
        <v>58.8</v>
      </c>
      <c r="J772" s="12">
        <v>116382.97999999988</v>
      </c>
      <c r="K772" s="20">
        <f t="shared" si="168"/>
        <v>6</v>
      </c>
      <c r="L772" s="20" t="str">
        <f t="shared" si="169"/>
        <v>Se repite 6 veces</v>
      </c>
      <c r="M772" s="20" t="str">
        <f t="shared" si="170"/>
        <v>Tradiciones Andinas-T.A Achocha / Caigua 16oz x 12 FROZEN</v>
      </c>
      <c r="N772" s="20">
        <f t="shared" si="171"/>
        <v>6</v>
      </c>
      <c r="O772" s="20" t="str">
        <f t="shared" si="172"/>
        <v>Se repite 6 veces en Tradiciones Andinas</v>
      </c>
      <c r="P772" s="20" t="str">
        <f t="shared" si="173"/>
        <v>Tradiciones Andinas-T.A Achocha / Caigua 16oz x 12 FROZEN-29.4</v>
      </c>
      <c r="Q772" s="20">
        <f t="shared" si="174"/>
        <v>4</v>
      </c>
      <c r="R772" s="20" t="str">
        <f t="shared" si="175"/>
        <v>Se repite 4 veces el precio de 29.4</v>
      </c>
      <c r="S772" s="20" t="str">
        <f t="shared" si="176"/>
        <v>El producto T.A Achocha / Caigua 16oz x 12 FROZEN Se repite 6 veces en Tradiciones Andinas, Se repite 4 veces el precio de 29.4</v>
      </c>
      <c r="T772" s="20" t="str">
        <f t="shared" si="177"/>
        <v>Tradiciones Andinas</v>
      </c>
      <c r="U772" s="20" t="str">
        <f t="shared" si="178"/>
        <v>T.A Achocha / Caigua 16oz x 12 FROZEN</v>
      </c>
      <c r="V772" s="22">
        <f t="shared" si="179"/>
        <v>29.4</v>
      </c>
      <c r="W772" t="str">
        <f t="shared" si="180"/>
        <v>Tradiciones Andinas 11/28/2025</v>
      </c>
      <c r="Z772">
        <f t="shared" si="181"/>
        <v>58.8</v>
      </c>
    </row>
    <row r="773" spans="1:26" hidden="1" x14ac:dyDescent="0.25">
      <c r="A773" s="2" t="s">
        <v>664</v>
      </c>
      <c r="B773" s="11" t="s">
        <v>665</v>
      </c>
      <c r="C773" s="11" t="s">
        <v>4</v>
      </c>
      <c r="D773" s="11" t="s">
        <v>666</v>
      </c>
      <c r="E773" s="11" t="s">
        <v>750</v>
      </c>
      <c r="F773" s="11" t="s">
        <v>751</v>
      </c>
      <c r="G773" s="12">
        <v>1</v>
      </c>
      <c r="H773" s="12">
        <v>52</v>
      </c>
      <c r="I773" s="12">
        <v>52</v>
      </c>
      <c r="J773" s="12">
        <v>2541.3599999999997</v>
      </c>
      <c r="K773" s="20">
        <f t="shared" si="168"/>
        <v>4</v>
      </c>
      <c r="L773" s="20" t="str">
        <f t="shared" si="169"/>
        <v>Se repite 4 veces</v>
      </c>
      <c r="M773" s="20" t="str">
        <f t="shared" si="170"/>
        <v>Tradiciones Andinas-T.A Aji Amarillo Balde 7.5Lb</v>
      </c>
      <c r="N773" s="20">
        <f t="shared" si="171"/>
        <v>4</v>
      </c>
      <c r="O773" s="20" t="str">
        <f t="shared" si="172"/>
        <v>Se repite 4 veces en Tradiciones Andinas</v>
      </c>
      <c r="P773" s="20" t="str">
        <f t="shared" si="173"/>
        <v>Tradiciones Andinas-T.A Aji Amarillo Balde 7.5Lb-52</v>
      </c>
      <c r="Q773" s="20">
        <f t="shared" si="174"/>
        <v>1</v>
      </c>
      <c r="R773" s="20" t="str">
        <f t="shared" si="175"/>
        <v>No se repite</v>
      </c>
      <c r="S773" s="20" t="str">
        <f t="shared" si="176"/>
        <v>El producto T.A Aji Amarillo Balde 7.5Lb Se repite 4 veces en Tradiciones Andinas Una vez con el precio 52</v>
      </c>
      <c r="T773" s="20" t="str">
        <f t="shared" si="177"/>
        <v>Tradiciones Andinas</v>
      </c>
      <c r="U773" s="20" t="str">
        <f t="shared" si="178"/>
        <v>T.A Aji Amarillo Balde 7.5Lb</v>
      </c>
      <c r="V773" s="22">
        <f t="shared" si="179"/>
        <v>52</v>
      </c>
      <c r="W773" t="str">
        <f t="shared" si="180"/>
        <v>Tradiciones Andinas 03/31/2025</v>
      </c>
      <c r="Z773">
        <f t="shared" si="181"/>
        <v>52</v>
      </c>
    </row>
    <row r="774" spans="1:26" hidden="1" x14ac:dyDescent="0.25">
      <c r="A774" s="2" t="s">
        <v>664</v>
      </c>
      <c r="B774" s="11" t="s">
        <v>1033</v>
      </c>
      <c r="C774" s="11" t="s">
        <v>4</v>
      </c>
      <c r="D774" s="11" t="s">
        <v>1034</v>
      </c>
      <c r="E774" s="11" t="s">
        <v>750</v>
      </c>
      <c r="F774" s="11" t="s">
        <v>1072</v>
      </c>
      <c r="G774" s="12">
        <v>4</v>
      </c>
      <c r="H774" s="12">
        <v>13.91</v>
      </c>
      <c r="I774" s="12">
        <v>55.64</v>
      </c>
      <c r="J774" s="12">
        <v>56125.699999999939</v>
      </c>
      <c r="K774" s="20">
        <f t="shared" si="168"/>
        <v>4</v>
      </c>
      <c r="L774" s="20" t="str">
        <f t="shared" si="169"/>
        <v>Se repite 4 veces</v>
      </c>
      <c r="M774" s="20" t="str">
        <f t="shared" si="170"/>
        <v>Tradiciones Andinas-T.A Aji Amarillo Balde 7.5Lb</v>
      </c>
      <c r="N774" s="20">
        <f t="shared" si="171"/>
        <v>4</v>
      </c>
      <c r="O774" s="20" t="str">
        <f t="shared" si="172"/>
        <v>Se repite 4 veces en Tradiciones Andinas</v>
      </c>
      <c r="P774" s="20" t="str">
        <f t="shared" si="173"/>
        <v>Tradiciones Andinas-T.A Aji Amarillo Balde 7.5Lb-13.91</v>
      </c>
      <c r="Q774" s="20">
        <f t="shared" si="174"/>
        <v>3</v>
      </c>
      <c r="R774" s="20" t="str">
        <f t="shared" si="175"/>
        <v>Se repite 3 veces el precio de 13.91</v>
      </c>
      <c r="S774" s="20" t="str">
        <f t="shared" si="176"/>
        <v>El producto T.A Aji Amarillo Balde 7.5Lb Se repite 4 veces en Tradiciones Andinas, Se repite 3 veces el precio de 13.91</v>
      </c>
      <c r="T774" s="20" t="str">
        <f t="shared" si="177"/>
        <v>Tradiciones Andinas</v>
      </c>
      <c r="U774" s="20" t="str">
        <f t="shared" si="178"/>
        <v>T.A Aji Amarillo Balde 7.5Lb</v>
      </c>
      <c r="V774" s="22">
        <f t="shared" si="179"/>
        <v>13.91</v>
      </c>
      <c r="W774" t="str">
        <f t="shared" si="180"/>
        <v>Tradiciones Andinas 07/03/2025</v>
      </c>
      <c r="Z774">
        <f t="shared" si="181"/>
        <v>55.64</v>
      </c>
    </row>
    <row r="775" spans="1:26" hidden="1" x14ac:dyDescent="0.25">
      <c r="A775" s="2" t="s">
        <v>664</v>
      </c>
      <c r="B775" s="11" t="s">
        <v>1092</v>
      </c>
      <c r="C775" s="11" t="s">
        <v>4</v>
      </c>
      <c r="D775" s="11" t="s">
        <v>1093</v>
      </c>
      <c r="E775" s="11" t="s">
        <v>750</v>
      </c>
      <c r="F775" s="11" t="s">
        <v>1102</v>
      </c>
      <c r="G775" s="12">
        <v>4</v>
      </c>
      <c r="H775" s="12">
        <v>13.91</v>
      </c>
      <c r="I775" s="12">
        <v>55.64</v>
      </c>
      <c r="J775" s="12">
        <v>62459.659999999953</v>
      </c>
      <c r="K775" s="20">
        <f t="shared" si="168"/>
        <v>4</v>
      </c>
      <c r="L775" s="20" t="str">
        <f t="shared" si="169"/>
        <v>Se repite 4 veces</v>
      </c>
      <c r="M775" s="20" t="str">
        <f t="shared" si="170"/>
        <v>Tradiciones Andinas-T.A Aji Amarillo Balde 7.5Lb</v>
      </c>
      <c r="N775" s="20">
        <f t="shared" si="171"/>
        <v>4</v>
      </c>
      <c r="O775" s="20" t="str">
        <f t="shared" si="172"/>
        <v>Se repite 4 veces en Tradiciones Andinas</v>
      </c>
      <c r="P775" s="20" t="str">
        <f t="shared" si="173"/>
        <v>Tradiciones Andinas-T.A Aji Amarillo Balde 7.5Lb-13.91</v>
      </c>
      <c r="Q775" s="20">
        <f t="shared" si="174"/>
        <v>3</v>
      </c>
      <c r="R775" s="20" t="str">
        <f t="shared" si="175"/>
        <v>Se repite 3 veces el precio de 13.91</v>
      </c>
      <c r="S775" s="20" t="str">
        <f t="shared" si="176"/>
        <v>El producto T.A Aji Amarillo Balde 7.5Lb Se repite 4 veces en Tradiciones Andinas, Se repite 3 veces el precio de 13.91</v>
      </c>
      <c r="T775" s="20" t="str">
        <f t="shared" si="177"/>
        <v>Tradiciones Andinas</v>
      </c>
      <c r="U775" s="20" t="str">
        <f t="shared" si="178"/>
        <v>T.A Aji Amarillo Balde 7.5Lb</v>
      </c>
      <c r="V775" s="22">
        <f t="shared" si="179"/>
        <v>13.91</v>
      </c>
      <c r="W775" t="str">
        <f t="shared" si="180"/>
        <v>Tradiciones Andinas 07/21/2025</v>
      </c>
      <c r="Z775">
        <f t="shared" si="181"/>
        <v>55.64</v>
      </c>
    </row>
    <row r="776" spans="1:26" hidden="1" x14ac:dyDescent="0.25">
      <c r="A776" s="2" t="s">
        <v>664</v>
      </c>
      <c r="B776" s="11" t="s">
        <v>1207</v>
      </c>
      <c r="C776" s="11" t="s">
        <v>4</v>
      </c>
      <c r="D776" s="11" t="s">
        <v>1208</v>
      </c>
      <c r="E776" s="11" t="s">
        <v>750</v>
      </c>
      <c r="F776" s="11" t="s">
        <v>1102</v>
      </c>
      <c r="G776" s="12">
        <v>4</v>
      </c>
      <c r="H776" s="12">
        <v>13.91</v>
      </c>
      <c r="I776" s="12">
        <v>55.64</v>
      </c>
      <c r="J776" s="12">
        <v>113123.41999999988</v>
      </c>
      <c r="K776" s="20">
        <f t="shared" si="168"/>
        <v>4</v>
      </c>
      <c r="L776" s="20" t="str">
        <f t="shared" si="169"/>
        <v>Se repite 4 veces</v>
      </c>
      <c r="M776" s="20" t="str">
        <f t="shared" si="170"/>
        <v>Tradiciones Andinas-T.A Aji Amarillo Balde 7.5Lb</v>
      </c>
      <c r="N776" s="20">
        <f t="shared" si="171"/>
        <v>4</v>
      </c>
      <c r="O776" s="20" t="str">
        <f t="shared" si="172"/>
        <v>Se repite 4 veces en Tradiciones Andinas</v>
      </c>
      <c r="P776" s="20" t="str">
        <f t="shared" si="173"/>
        <v>Tradiciones Andinas-T.A Aji Amarillo Balde 7.5Lb-13.91</v>
      </c>
      <c r="Q776" s="20">
        <f t="shared" si="174"/>
        <v>3</v>
      </c>
      <c r="R776" s="20" t="str">
        <f t="shared" si="175"/>
        <v>Se repite 3 veces el precio de 13.91</v>
      </c>
      <c r="S776" s="20" t="str">
        <f t="shared" si="176"/>
        <v>El producto T.A Aji Amarillo Balde 7.5Lb Se repite 4 veces en Tradiciones Andinas, Se repite 3 veces el precio de 13.91</v>
      </c>
      <c r="T776" s="20" t="str">
        <f t="shared" si="177"/>
        <v>Tradiciones Andinas</v>
      </c>
      <c r="U776" s="20" t="str">
        <f t="shared" si="178"/>
        <v>T.A Aji Amarillo Balde 7.5Lb</v>
      </c>
      <c r="V776" s="22">
        <f t="shared" si="179"/>
        <v>13.91</v>
      </c>
      <c r="W776" t="str">
        <f t="shared" si="180"/>
        <v>Tradiciones Andinas 11/28/2025</v>
      </c>
      <c r="Z776">
        <f t="shared" si="181"/>
        <v>55.64</v>
      </c>
    </row>
    <row r="777" spans="1:26" hidden="1" x14ac:dyDescent="0.25">
      <c r="A777" s="2" t="s">
        <v>664</v>
      </c>
      <c r="B777" s="11" t="s">
        <v>1092</v>
      </c>
      <c r="C777" s="11" t="s">
        <v>4</v>
      </c>
      <c r="D777" s="11" t="s">
        <v>1093</v>
      </c>
      <c r="E777" s="11" t="s">
        <v>1115</v>
      </c>
      <c r="F777" s="11" t="s">
        <v>1116</v>
      </c>
      <c r="G777" s="12">
        <v>2</v>
      </c>
      <c r="H777" s="12">
        <v>30</v>
      </c>
      <c r="I777" s="12">
        <v>60</v>
      </c>
      <c r="J777" s="12">
        <v>63290.899999999951</v>
      </c>
      <c r="K777" s="20">
        <f t="shared" si="168"/>
        <v>3</v>
      </c>
      <c r="L777" s="20" t="str">
        <f t="shared" si="169"/>
        <v>Se repite 3 veces</v>
      </c>
      <c r="M777" s="20" t="str">
        <f t="shared" si="170"/>
        <v>Tradiciones Andinas-T.A Aji Amarillo con Huacatay 7.5oz x 24</v>
      </c>
      <c r="N777" s="20">
        <f t="shared" si="171"/>
        <v>3</v>
      </c>
      <c r="O777" s="20" t="str">
        <f t="shared" si="172"/>
        <v>Se repite 3 veces en Tradiciones Andinas</v>
      </c>
      <c r="P777" s="20" t="str">
        <f t="shared" si="173"/>
        <v>Tradiciones Andinas-T.A Aji Amarillo con Huacatay 7.5oz x 24-30</v>
      </c>
      <c r="Q777" s="20">
        <f t="shared" si="174"/>
        <v>3</v>
      </c>
      <c r="R777" s="20" t="str">
        <f t="shared" si="175"/>
        <v>Se repite 3 veces el precio de 30</v>
      </c>
      <c r="S777" s="20" t="str">
        <f t="shared" si="176"/>
        <v>El producto T.A Aji Amarillo con Huacatay 7.5oz x 24 Se repite 3 veces en Tradiciones Andinas, Se repite 3 veces el precio de 30</v>
      </c>
      <c r="T777" s="20" t="str">
        <f t="shared" si="177"/>
        <v>Tradiciones Andinas</v>
      </c>
      <c r="U777" s="20" t="str">
        <f t="shared" si="178"/>
        <v>T.A Aji Amarillo con Huacatay 7.5oz x 24</v>
      </c>
      <c r="V777" s="22">
        <f t="shared" si="179"/>
        <v>30</v>
      </c>
      <c r="W777" t="str">
        <f t="shared" si="180"/>
        <v>Tradiciones Andinas 07/21/2025</v>
      </c>
      <c r="Z777">
        <f t="shared" si="181"/>
        <v>60</v>
      </c>
    </row>
    <row r="778" spans="1:26" hidden="1" x14ac:dyDescent="0.25">
      <c r="A778" s="2" t="s">
        <v>664</v>
      </c>
      <c r="B778" s="11" t="s">
        <v>1125</v>
      </c>
      <c r="C778" s="11" t="s">
        <v>4</v>
      </c>
      <c r="D778" s="11" t="s">
        <v>1126</v>
      </c>
      <c r="E778" s="11" t="s">
        <v>1115</v>
      </c>
      <c r="F778" s="11" t="s">
        <v>1116</v>
      </c>
      <c r="G778" s="12">
        <v>2</v>
      </c>
      <c r="H778" s="12">
        <v>30</v>
      </c>
      <c r="I778" s="12">
        <v>60</v>
      </c>
      <c r="J778" s="12">
        <v>67682.180000000008</v>
      </c>
      <c r="K778" s="20">
        <f t="shared" si="168"/>
        <v>3</v>
      </c>
      <c r="L778" s="20" t="str">
        <f t="shared" si="169"/>
        <v>Se repite 3 veces</v>
      </c>
      <c r="M778" s="20" t="str">
        <f t="shared" si="170"/>
        <v>Tradiciones Andinas-T.A Aji Amarillo con Huacatay 7.5oz x 24</v>
      </c>
      <c r="N778" s="20">
        <f t="shared" si="171"/>
        <v>3</v>
      </c>
      <c r="O778" s="20" t="str">
        <f t="shared" si="172"/>
        <v>Se repite 3 veces en Tradiciones Andinas</v>
      </c>
      <c r="P778" s="20" t="str">
        <f t="shared" si="173"/>
        <v>Tradiciones Andinas-T.A Aji Amarillo con Huacatay 7.5oz x 24-30</v>
      </c>
      <c r="Q778" s="20">
        <f t="shared" si="174"/>
        <v>3</v>
      </c>
      <c r="R778" s="20" t="str">
        <f t="shared" si="175"/>
        <v>Se repite 3 veces el precio de 30</v>
      </c>
      <c r="S778" s="20" t="str">
        <f t="shared" si="176"/>
        <v>El producto T.A Aji Amarillo con Huacatay 7.5oz x 24 Se repite 3 veces en Tradiciones Andinas, Se repite 3 veces el precio de 30</v>
      </c>
      <c r="T778" s="20" t="str">
        <f t="shared" si="177"/>
        <v>Tradiciones Andinas</v>
      </c>
      <c r="U778" s="20" t="str">
        <f t="shared" si="178"/>
        <v>T.A Aji Amarillo con Huacatay 7.5oz x 24</v>
      </c>
      <c r="V778" s="22">
        <f t="shared" si="179"/>
        <v>30</v>
      </c>
      <c r="W778" t="str">
        <f t="shared" si="180"/>
        <v>Tradiciones Andinas 08/18/2025</v>
      </c>
      <c r="Z778">
        <f t="shared" si="181"/>
        <v>60</v>
      </c>
    </row>
    <row r="779" spans="1:26" hidden="1" x14ac:dyDescent="0.25">
      <c r="A779" s="2" t="s">
        <v>664</v>
      </c>
      <c r="B779" s="11" t="s">
        <v>1153</v>
      </c>
      <c r="C779" s="11" t="s">
        <v>4</v>
      </c>
      <c r="D779" s="11" t="s">
        <v>1154</v>
      </c>
      <c r="E779" s="11" t="s">
        <v>1115</v>
      </c>
      <c r="F779" s="11" t="s">
        <v>1116</v>
      </c>
      <c r="G779" s="12">
        <v>2</v>
      </c>
      <c r="H779" s="12">
        <v>30</v>
      </c>
      <c r="I779" s="12">
        <v>60</v>
      </c>
      <c r="J779" s="12">
        <v>75496.859999999986</v>
      </c>
      <c r="K779" s="20">
        <f t="shared" si="168"/>
        <v>3</v>
      </c>
      <c r="L779" s="20" t="str">
        <f t="shared" si="169"/>
        <v>Se repite 3 veces</v>
      </c>
      <c r="M779" s="20" t="str">
        <f t="shared" si="170"/>
        <v>Tradiciones Andinas-T.A Aji Amarillo con Huacatay 7.5oz x 24</v>
      </c>
      <c r="N779" s="20">
        <f t="shared" si="171"/>
        <v>3</v>
      </c>
      <c r="O779" s="20" t="str">
        <f t="shared" si="172"/>
        <v>Se repite 3 veces en Tradiciones Andinas</v>
      </c>
      <c r="P779" s="20" t="str">
        <f t="shared" si="173"/>
        <v>Tradiciones Andinas-T.A Aji Amarillo con Huacatay 7.5oz x 24-30</v>
      </c>
      <c r="Q779" s="20">
        <f t="shared" si="174"/>
        <v>3</v>
      </c>
      <c r="R779" s="20" t="str">
        <f t="shared" si="175"/>
        <v>Se repite 3 veces el precio de 30</v>
      </c>
      <c r="S779" s="20" t="str">
        <f t="shared" si="176"/>
        <v>El producto T.A Aji Amarillo con Huacatay 7.5oz x 24 Se repite 3 veces en Tradiciones Andinas, Se repite 3 veces el precio de 30</v>
      </c>
      <c r="T779" s="20" t="str">
        <f t="shared" si="177"/>
        <v>Tradiciones Andinas</v>
      </c>
      <c r="U779" s="20" t="str">
        <f t="shared" si="178"/>
        <v>T.A Aji Amarillo con Huacatay 7.5oz x 24</v>
      </c>
      <c r="V779" s="22">
        <f t="shared" si="179"/>
        <v>30</v>
      </c>
      <c r="W779" t="str">
        <f t="shared" si="180"/>
        <v>Tradiciones Andinas 09/24/2025</v>
      </c>
      <c r="Z779">
        <f t="shared" si="181"/>
        <v>60</v>
      </c>
    </row>
    <row r="780" spans="1:26" hidden="1" x14ac:dyDescent="0.25">
      <c r="A780" s="2" t="s">
        <v>664</v>
      </c>
      <c r="B780" s="11" t="s">
        <v>654</v>
      </c>
      <c r="C780" s="11" t="s">
        <v>4</v>
      </c>
      <c r="D780" s="11" t="s">
        <v>940</v>
      </c>
      <c r="E780" s="11" t="s">
        <v>947</v>
      </c>
      <c r="F780" s="11" t="s">
        <v>948</v>
      </c>
      <c r="G780" s="12">
        <v>2</v>
      </c>
      <c r="H780" s="12">
        <v>47.76</v>
      </c>
      <c r="I780" s="12">
        <v>95.52</v>
      </c>
      <c r="J780" s="12">
        <v>25538.189999999995</v>
      </c>
      <c r="K780" s="20">
        <f t="shared" si="168"/>
        <v>3</v>
      </c>
      <c r="L780" s="20" t="str">
        <f t="shared" si="169"/>
        <v>Se repite 3 veces</v>
      </c>
      <c r="M780" s="20" t="str">
        <f t="shared" si="170"/>
        <v>Tradiciones Andinas-T.A Aji Amarillo en Lata /Whole Yellow Hot Pepper</v>
      </c>
      <c r="N780" s="20">
        <f t="shared" si="171"/>
        <v>3</v>
      </c>
      <c r="O780" s="20" t="str">
        <f t="shared" si="172"/>
        <v>Se repite 3 veces en Tradiciones Andinas</v>
      </c>
      <c r="P780" s="20" t="str">
        <f t="shared" si="173"/>
        <v>Tradiciones Andinas-T.A Aji Amarillo en Lata /Whole Yellow Hot Pepper-47.76</v>
      </c>
      <c r="Q780" s="20">
        <f t="shared" si="174"/>
        <v>1</v>
      </c>
      <c r="R780" s="20" t="str">
        <f t="shared" si="175"/>
        <v>No se repite</v>
      </c>
      <c r="S780" s="20" t="str">
        <f t="shared" si="176"/>
        <v>El producto T.A Aji Amarillo en Lata /Whole Yellow Hot Pepper Se repite 3 veces en Tradiciones Andinas Una vez con el precio 47.76</v>
      </c>
      <c r="T780" s="20" t="str">
        <f t="shared" si="177"/>
        <v>Tradiciones Andinas</v>
      </c>
      <c r="U780" s="20" t="str">
        <f t="shared" si="178"/>
        <v>T.A Aji Amarillo en Lata /Whole Yellow Hot Pepper</v>
      </c>
      <c r="V780" s="22">
        <f t="shared" si="179"/>
        <v>47.76</v>
      </c>
      <c r="W780" t="str">
        <f t="shared" si="180"/>
        <v>Tradiciones Andinas 05/19/2025</v>
      </c>
      <c r="Z780">
        <f t="shared" si="181"/>
        <v>95.52</v>
      </c>
    </row>
    <row r="781" spans="1:26" hidden="1" x14ac:dyDescent="0.25">
      <c r="A781" s="2" t="s">
        <v>664</v>
      </c>
      <c r="B781" s="11" t="s">
        <v>1033</v>
      </c>
      <c r="C781" s="11" t="s">
        <v>4</v>
      </c>
      <c r="D781" s="11" t="s">
        <v>1034</v>
      </c>
      <c r="E781" s="11" t="s">
        <v>947</v>
      </c>
      <c r="F781" s="11" t="s">
        <v>948</v>
      </c>
      <c r="G781" s="12">
        <v>3</v>
      </c>
      <c r="H781" s="12">
        <v>51.1</v>
      </c>
      <c r="I781" s="12">
        <v>153.30000000000001</v>
      </c>
      <c r="J781" s="12">
        <v>48270.169999999976</v>
      </c>
      <c r="K781" s="20">
        <f t="shared" si="168"/>
        <v>3</v>
      </c>
      <c r="L781" s="20" t="str">
        <f t="shared" si="169"/>
        <v>Se repite 3 veces</v>
      </c>
      <c r="M781" s="20" t="str">
        <f t="shared" si="170"/>
        <v>Tradiciones Andinas-T.A Aji Amarillo en Lata /Whole Yellow Hot Pepper</v>
      </c>
      <c r="N781" s="20">
        <f t="shared" si="171"/>
        <v>3</v>
      </c>
      <c r="O781" s="20" t="str">
        <f t="shared" si="172"/>
        <v>Se repite 3 veces en Tradiciones Andinas</v>
      </c>
      <c r="P781" s="20" t="str">
        <f t="shared" si="173"/>
        <v>Tradiciones Andinas-T.A Aji Amarillo en Lata /Whole Yellow Hot Pepper-51.1</v>
      </c>
      <c r="Q781" s="20">
        <f t="shared" si="174"/>
        <v>2</v>
      </c>
      <c r="R781" s="20" t="str">
        <f t="shared" si="175"/>
        <v>Se repite 2 veces el precio de 51.1</v>
      </c>
      <c r="S781" s="20" t="str">
        <f t="shared" si="176"/>
        <v>El producto T.A Aji Amarillo en Lata /Whole Yellow Hot Pepper Se repite 3 veces en Tradiciones Andinas, Se repite 2 veces el precio de 51.1</v>
      </c>
      <c r="T781" s="20" t="str">
        <f t="shared" si="177"/>
        <v>Tradiciones Andinas</v>
      </c>
      <c r="U781" s="20" t="str">
        <f t="shared" si="178"/>
        <v>T.A Aji Amarillo en Lata /Whole Yellow Hot Pepper</v>
      </c>
      <c r="V781" s="22">
        <f t="shared" si="179"/>
        <v>51.1</v>
      </c>
      <c r="W781" t="str">
        <f t="shared" si="180"/>
        <v>Tradiciones Andinas 07/03/2025</v>
      </c>
      <c r="Z781">
        <f t="shared" si="181"/>
        <v>153.30000000000001</v>
      </c>
    </row>
    <row r="782" spans="1:26" hidden="1" x14ac:dyDescent="0.25">
      <c r="A782" s="2" t="s">
        <v>664</v>
      </c>
      <c r="B782" s="11" t="s">
        <v>1224</v>
      </c>
      <c r="C782" s="11" t="s">
        <v>4</v>
      </c>
      <c r="D782" s="11" t="s">
        <v>1225</v>
      </c>
      <c r="E782" s="11" t="s">
        <v>947</v>
      </c>
      <c r="F782" s="11" t="s">
        <v>948</v>
      </c>
      <c r="G782" s="12">
        <v>1</v>
      </c>
      <c r="H782" s="12">
        <v>51.1</v>
      </c>
      <c r="I782" s="12">
        <v>51.1</v>
      </c>
      <c r="J782" s="12">
        <v>117193.63999999988</v>
      </c>
      <c r="K782" s="20">
        <f t="shared" si="168"/>
        <v>3</v>
      </c>
      <c r="L782" s="20" t="str">
        <f t="shared" si="169"/>
        <v>Se repite 3 veces</v>
      </c>
      <c r="M782" s="20" t="str">
        <f t="shared" si="170"/>
        <v>Tradiciones Andinas-T.A Aji Amarillo en Lata /Whole Yellow Hot Pepper</v>
      </c>
      <c r="N782" s="20">
        <f t="shared" si="171"/>
        <v>3</v>
      </c>
      <c r="O782" s="20" t="str">
        <f t="shared" si="172"/>
        <v>Se repite 3 veces en Tradiciones Andinas</v>
      </c>
      <c r="P782" s="20" t="str">
        <f t="shared" si="173"/>
        <v>Tradiciones Andinas-T.A Aji Amarillo en Lata /Whole Yellow Hot Pepper-51.1</v>
      </c>
      <c r="Q782" s="20">
        <f t="shared" si="174"/>
        <v>2</v>
      </c>
      <c r="R782" s="20" t="str">
        <f t="shared" si="175"/>
        <v>Se repite 2 veces el precio de 51.1</v>
      </c>
      <c r="S782" s="20" t="str">
        <f t="shared" si="176"/>
        <v>El producto T.A Aji Amarillo en Lata /Whole Yellow Hot Pepper Se repite 3 veces en Tradiciones Andinas, Se repite 2 veces el precio de 51.1</v>
      </c>
      <c r="T782" s="20" t="str">
        <f t="shared" si="177"/>
        <v>Tradiciones Andinas</v>
      </c>
      <c r="U782" s="20" t="str">
        <f t="shared" si="178"/>
        <v>T.A Aji Amarillo en Lata /Whole Yellow Hot Pepper</v>
      </c>
      <c r="V782" s="22">
        <f t="shared" si="179"/>
        <v>51.1</v>
      </c>
      <c r="W782" t="str">
        <f t="shared" si="180"/>
        <v>Tradiciones Andinas 12/03/2025</v>
      </c>
      <c r="Z782">
        <f t="shared" si="181"/>
        <v>51.1</v>
      </c>
    </row>
    <row r="783" spans="1:26" hidden="1" x14ac:dyDescent="0.25">
      <c r="A783" s="2" t="s">
        <v>664</v>
      </c>
      <c r="B783" s="11" t="s">
        <v>665</v>
      </c>
      <c r="C783" s="11" t="s">
        <v>4</v>
      </c>
      <c r="D783" s="11" t="s">
        <v>666</v>
      </c>
      <c r="E783" s="11" t="s">
        <v>762</v>
      </c>
      <c r="F783" s="11" t="s">
        <v>763</v>
      </c>
      <c r="G783" s="12">
        <v>2</v>
      </c>
      <c r="H783" s="12">
        <v>36</v>
      </c>
      <c r="I783" s="12">
        <v>72</v>
      </c>
      <c r="J783" s="12">
        <v>2844.8599999999997</v>
      </c>
      <c r="K783" s="20">
        <f t="shared" si="168"/>
        <v>7</v>
      </c>
      <c r="L783" s="20" t="str">
        <f t="shared" si="169"/>
        <v>Se repite 7 veces</v>
      </c>
      <c r="M783" s="20" t="str">
        <f t="shared" si="170"/>
        <v>Tradiciones Andinas-T.A Aji Amarillo FROZEN 16oz x 20</v>
      </c>
      <c r="N783" s="20">
        <f t="shared" si="171"/>
        <v>7</v>
      </c>
      <c r="O783" s="20" t="str">
        <f t="shared" si="172"/>
        <v>Se repite 7 veces en Tradiciones Andinas</v>
      </c>
      <c r="P783" s="20" t="str">
        <f t="shared" si="173"/>
        <v>Tradiciones Andinas-T.A Aji Amarillo FROZEN 16oz x 20-36</v>
      </c>
      <c r="Q783" s="20">
        <f t="shared" si="174"/>
        <v>4</v>
      </c>
      <c r="R783" s="20" t="str">
        <f t="shared" si="175"/>
        <v>Se repite 4 veces el precio de 36</v>
      </c>
      <c r="S783" s="20" t="str">
        <f t="shared" si="176"/>
        <v>El producto T.A Aji Amarillo FROZEN 16oz x 20 Se repite 7 veces en Tradiciones Andinas, Se repite 4 veces el precio de 36</v>
      </c>
      <c r="T783" s="20" t="str">
        <f t="shared" si="177"/>
        <v>Tradiciones Andinas</v>
      </c>
      <c r="U783" s="20" t="str">
        <f t="shared" si="178"/>
        <v>T.A Aji Amarillo FROZEN 16oz x 20</v>
      </c>
      <c r="V783" s="22">
        <f t="shared" si="179"/>
        <v>36</v>
      </c>
      <c r="W783" t="str">
        <f t="shared" si="180"/>
        <v>Tradiciones Andinas 03/31/2025</v>
      </c>
      <c r="Z783">
        <f t="shared" si="181"/>
        <v>72</v>
      </c>
    </row>
    <row r="784" spans="1:26" hidden="1" x14ac:dyDescent="0.25">
      <c r="A784" s="2" t="s">
        <v>664</v>
      </c>
      <c r="B784" s="11" t="s">
        <v>398</v>
      </c>
      <c r="C784" s="11" t="s">
        <v>4</v>
      </c>
      <c r="D784" s="11" t="s">
        <v>5</v>
      </c>
      <c r="E784" s="11" t="s">
        <v>762</v>
      </c>
      <c r="F784" s="11" t="s">
        <v>763</v>
      </c>
      <c r="G784" s="12">
        <v>3</v>
      </c>
      <c r="H784" s="12">
        <v>36</v>
      </c>
      <c r="I784" s="12">
        <v>108</v>
      </c>
      <c r="J784" s="12">
        <v>7449.44</v>
      </c>
      <c r="K784" s="20">
        <f t="shared" si="168"/>
        <v>7</v>
      </c>
      <c r="L784" s="20" t="str">
        <f t="shared" si="169"/>
        <v>Se repite 7 veces</v>
      </c>
      <c r="M784" s="20" t="str">
        <f t="shared" si="170"/>
        <v>Tradiciones Andinas-T.A Aji Amarillo FROZEN 16oz x 20</v>
      </c>
      <c r="N784" s="20">
        <f t="shared" si="171"/>
        <v>7</v>
      </c>
      <c r="O784" s="20" t="str">
        <f t="shared" si="172"/>
        <v>Se repite 7 veces en Tradiciones Andinas</v>
      </c>
      <c r="P784" s="20" t="str">
        <f t="shared" si="173"/>
        <v>Tradiciones Andinas-T.A Aji Amarillo FROZEN 16oz x 20-36</v>
      </c>
      <c r="Q784" s="20">
        <f t="shared" si="174"/>
        <v>4</v>
      </c>
      <c r="R784" s="20" t="str">
        <f t="shared" si="175"/>
        <v>Se repite 4 veces el precio de 36</v>
      </c>
      <c r="S784" s="20" t="str">
        <f t="shared" si="176"/>
        <v>El producto T.A Aji Amarillo FROZEN 16oz x 20 Se repite 7 veces en Tradiciones Andinas, Se repite 4 veces el precio de 36</v>
      </c>
      <c r="T784" s="20" t="str">
        <f t="shared" si="177"/>
        <v>Tradiciones Andinas</v>
      </c>
      <c r="U784" s="20" t="str">
        <f t="shared" si="178"/>
        <v>T.A Aji Amarillo FROZEN 16oz x 20</v>
      </c>
      <c r="V784" s="22">
        <f t="shared" si="179"/>
        <v>36</v>
      </c>
      <c r="W784" t="str">
        <f t="shared" si="180"/>
        <v>Tradiciones Andinas 04/10/2025</v>
      </c>
      <c r="Z784">
        <f t="shared" si="181"/>
        <v>108</v>
      </c>
    </row>
    <row r="785" spans="1:26" hidden="1" x14ac:dyDescent="0.25">
      <c r="A785" s="2" t="s">
        <v>664</v>
      </c>
      <c r="B785" s="11" t="s">
        <v>821</v>
      </c>
      <c r="C785" s="11" t="s">
        <v>4</v>
      </c>
      <c r="D785" s="11" t="s">
        <v>822</v>
      </c>
      <c r="E785" s="11" t="s">
        <v>762</v>
      </c>
      <c r="F785" s="11" t="s">
        <v>763</v>
      </c>
      <c r="G785" s="12">
        <v>4</v>
      </c>
      <c r="H785" s="12">
        <v>36</v>
      </c>
      <c r="I785" s="12">
        <v>144</v>
      </c>
      <c r="J785" s="12">
        <v>23104.74</v>
      </c>
      <c r="K785" s="20">
        <f t="shared" si="168"/>
        <v>7</v>
      </c>
      <c r="L785" s="20" t="str">
        <f t="shared" si="169"/>
        <v>Se repite 7 veces</v>
      </c>
      <c r="M785" s="20" t="str">
        <f t="shared" si="170"/>
        <v>Tradiciones Andinas-T.A Aji Amarillo FROZEN 16oz x 20</v>
      </c>
      <c r="N785" s="20">
        <f t="shared" si="171"/>
        <v>7</v>
      </c>
      <c r="O785" s="20" t="str">
        <f t="shared" si="172"/>
        <v>Se repite 7 veces en Tradiciones Andinas</v>
      </c>
      <c r="P785" s="20" t="str">
        <f t="shared" si="173"/>
        <v>Tradiciones Andinas-T.A Aji Amarillo FROZEN 16oz x 20-36</v>
      </c>
      <c r="Q785" s="20">
        <f t="shared" si="174"/>
        <v>4</v>
      </c>
      <c r="R785" s="20" t="str">
        <f t="shared" si="175"/>
        <v>Se repite 4 veces el precio de 36</v>
      </c>
      <c r="S785" s="20" t="str">
        <f t="shared" si="176"/>
        <v>El producto T.A Aji Amarillo FROZEN 16oz x 20 Se repite 7 veces en Tradiciones Andinas, Se repite 4 veces el precio de 36</v>
      </c>
      <c r="T785" s="20" t="str">
        <f t="shared" si="177"/>
        <v>Tradiciones Andinas</v>
      </c>
      <c r="U785" s="20" t="str">
        <f t="shared" si="178"/>
        <v>T.A Aji Amarillo FROZEN 16oz x 20</v>
      </c>
      <c r="V785" s="22">
        <f t="shared" si="179"/>
        <v>36</v>
      </c>
      <c r="W785" t="str">
        <f t="shared" si="180"/>
        <v>Tradiciones Andinas 04/25/2025</v>
      </c>
      <c r="Z785">
        <f t="shared" si="181"/>
        <v>144</v>
      </c>
    </row>
    <row r="786" spans="1:26" hidden="1" x14ac:dyDescent="0.25">
      <c r="A786" s="2" t="s">
        <v>664</v>
      </c>
      <c r="B786" s="11" t="s">
        <v>654</v>
      </c>
      <c r="C786" s="11" t="s">
        <v>4</v>
      </c>
      <c r="D786" s="11" t="s">
        <v>940</v>
      </c>
      <c r="E786" s="11" t="s">
        <v>762</v>
      </c>
      <c r="F786" s="11" t="s">
        <v>763</v>
      </c>
      <c r="G786" s="12">
        <v>14</v>
      </c>
      <c r="H786" s="12">
        <v>38.520000000000003</v>
      </c>
      <c r="I786" s="12">
        <v>539.28</v>
      </c>
      <c r="J786" s="12">
        <v>34084.640000000007</v>
      </c>
      <c r="K786" s="20">
        <f t="shared" si="168"/>
        <v>7</v>
      </c>
      <c r="L786" s="20" t="str">
        <f t="shared" si="169"/>
        <v>Se repite 7 veces</v>
      </c>
      <c r="M786" s="20" t="str">
        <f t="shared" si="170"/>
        <v>Tradiciones Andinas-T.A Aji Amarillo FROZEN 16oz x 20</v>
      </c>
      <c r="N786" s="20">
        <f t="shared" si="171"/>
        <v>7</v>
      </c>
      <c r="O786" s="20" t="str">
        <f t="shared" si="172"/>
        <v>Se repite 7 veces en Tradiciones Andinas</v>
      </c>
      <c r="P786" s="20" t="str">
        <f t="shared" si="173"/>
        <v>Tradiciones Andinas-T.A Aji Amarillo FROZEN 16oz x 20-38.52</v>
      </c>
      <c r="Q786" s="20">
        <f t="shared" si="174"/>
        <v>3</v>
      </c>
      <c r="R786" s="20" t="str">
        <f t="shared" si="175"/>
        <v>Se repite 3 veces el precio de 38.52</v>
      </c>
      <c r="S786" s="20" t="str">
        <f t="shared" si="176"/>
        <v>El producto T.A Aji Amarillo FROZEN 16oz x 20 Se repite 7 veces en Tradiciones Andinas, Se repite 3 veces el precio de 38.52</v>
      </c>
      <c r="T786" s="20" t="str">
        <f t="shared" si="177"/>
        <v>Tradiciones Andinas</v>
      </c>
      <c r="U786" s="20" t="str">
        <f t="shared" si="178"/>
        <v>T.A Aji Amarillo FROZEN 16oz x 20</v>
      </c>
      <c r="V786" s="22">
        <f t="shared" si="179"/>
        <v>38.520000000000003</v>
      </c>
      <c r="W786" t="str">
        <f t="shared" si="180"/>
        <v>Tradiciones Andinas 05/19/2025</v>
      </c>
      <c r="Z786">
        <f t="shared" si="181"/>
        <v>539.28000000000009</v>
      </c>
    </row>
    <row r="787" spans="1:26" hidden="1" x14ac:dyDescent="0.25">
      <c r="A787" s="2" t="s">
        <v>664</v>
      </c>
      <c r="B787" s="11" t="s">
        <v>158</v>
      </c>
      <c r="C787" s="11" t="s">
        <v>4</v>
      </c>
      <c r="D787" s="11" t="s">
        <v>984</v>
      </c>
      <c r="E787" s="11" t="s">
        <v>762</v>
      </c>
      <c r="F787" s="11" t="s">
        <v>763</v>
      </c>
      <c r="G787" s="12">
        <v>16</v>
      </c>
      <c r="H787" s="12">
        <v>38.520000000000003</v>
      </c>
      <c r="I787" s="12">
        <v>616.32000000000005</v>
      </c>
      <c r="J787" s="12">
        <v>42558.819999999992</v>
      </c>
      <c r="K787" s="20">
        <f t="shared" si="168"/>
        <v>7</v>
      </c>
      <c r="L787" s="20" t="str">
        <f t="shared" si="169"/>
        <v>Se repite 7 veces</v>
      </c>
      <c r="M787" s="20" t="str">
        <f t="shared" si="170"/>
        <v>Tradiciones Andinas-T.A Aji Amarillo FROZEN 16oz x 20</v>
      </c>
      <c r="N787" s="20">
        <f t="shared" si="171"/>
        <v>7</v>
      </c>
      <c r="O787" s="20" t="str">
        <f t="shared" si="172"/>
        <v>Se repite 7 veces en Tradiciones Andinas</v>
      </c>
      <c r="P787" s="20" t="str">
        <f t="shared" si="173"/>
        <v>Tradiciones Andinas-T.A Aji Amarillo FROZEN 16oz x 20-38.52</v>
      </c>
      <c r="Q787" s="20">
        <f t="shared" si="174"/>
        <v>3</v>
      </c>
      <c r="R787" s="20" t="str">
        <f t="shared" si="175"/>
        <v>Se repite 3 veces el precio de 38.52</v>
      </c>
      <c r="S787" s="20" t="str">
        <f t="shared" si="176"/>
        <v>El producto T.A Aji Amarillo FROZEN 16oz x 20 Se repite 7 veces en Tradiciones Andinas, Se repite 3 veces el precio de 38.52</v>
      </c>
      <c r="T787" s="20" t="str">
        <f t="shared" si="177"/>
        <v>Tradiciones Andinas</v>
      </c>
      <c r="U787" s="20" t="str">
        <f t="shared" si="178"/>
        <v>T.A Aji Amarillo FROZEN 16oz x 20</v>
      </c>
      <c r="V787" s="22">
        <f t="shared" si="179"/>
        <v>38.520000000000003</v>
      </c>
      <c r="W787" t="str">
        <f t="shared" si="180"/>
        <v>Tradiciones Andinas 06/12/2025</v>
      </c>
      <c r="Z787">
        <f t="shared" si="181"/>
        <v>616.32000000000005</v>
      </c>
    </row>
    <row r="788" spans="1:26" hidden="1" x14ac:dyDescent="0.25">
      <c r="A788" s="2" t="s">
        <v>664</v>
      </c>
      <c r="B788" s="11" t="s">
        <v>1092</v>
      </c>
      <c r="C788" s="11" t="s">
        <v>4</v>
      </c>
      <c r="D788" s="11" t="s">
        <v>1093</v>
      </c>
      <c r="E788" s="11" t="s">
        <v>762</v>
      </c>
      <c r="F788" s="11" t="s">
        <v>763</v>
      </c>
      <c r="G788" s="12">
        <v>40</v>
      </c>
      <c r="H788" s="12">
        <v>38.520000000000003</v>
      </c>
      <c r="I788" s="12">
        <v>1540.8</v>
      </c>
      <c r="J788" s="12">
        <v>65326.539999999957</v>
      </c>
      <c r="K788" s="20">
        <f t="shared" si="168"/>
        <v>7</v>
      </c>
      <c r="L788" s="20" t="str">
        <f t="shared" si="169"/>
        <v>Se repite 7 veces</v>
      </c>
      <c r="M788" s="20" t="str">
        <f t="shared" si="170"/>
        <v>Tradiciones Andinas-T.A Aji Amarillo FROZEN 16oz x 20</v>
      </c>
      <c r="N788" s="20">
        <f t="shared" si="171"/>
        <v>7</v>
      </c>
      <c r="O788" s="20" t="str">
        <f t="shared" si="172"/>
        <v>Se repite 7 veces en Tradiciones Andinas</v>
      </c>
      <c r="P788" s="20" t="str">
        <f t="shared" si="173"/>
        <v>Tradiciones Andinas-T.A Aji Amarillo FROZEN 16oz x 20-38.52</v>
      </c>
      <c r="Q788" s="20">
        <f t="shared" si="174"/>
        <v>3</v>
      </c>
      <c r="R788" s="20" t="str">
        <f t="shared" si="175"/>
        <v>Se repite 3 veces el precio de 38.52</v>
      </c>
      <c r="S788" s="20" t="str">
        <f t="shared" si="176"/>
        <v>El producto T.A Aji Amarillo FROZEN 16oz x 20 Se repite 7 veces en Tradiciones Andinas, Se repite 3 veces el precio de 38.52</v>
      </c>
      <c r="T788" s="20" t="str">
        <f t="shared" si="177"/>
        <v>Tradiciones Andinas</v>
      </c>
      <c r="U788" s="20" t="str">
        <f t="shared" si="178"/>
        <v>T.A Aji Amarillo FROZEN 16oz x 20</v>
      </c>
      <c r="V788" s="22">
        <f t="shared" si="179"/>
        <v>38.520000000000003</v>
      </c>
      <c r="W788" t="str">
        <f t="shared" si="180"/>
        <v>Tradiciones Andinas 07/21/2025</v>
      </c>
      <c r="Z788">
        <f t="shared" si="181"/>
        <v>1540.8000000000002</v>
      </c>
    </row>
    <row r="789" spans="1:26" hidden="1" x14ac:dyDescent="0.25">
      <c r="A789" s="2" t="s">
        <v>664</v>
      </c>
      <c r="B789" s="11" t="s">
        <v>1153</v>
      </c>
      <c r="C789" s="11" t="s">
        <v>4</v>
      </c>
      <c r="D789" s="11" t="s">
        <v>1154</v>
      </c>
      <c r="E789" s="11" t="s">
        <v>762</v>
      </c>
      <c r="F789" s="11" t="s">
        <v>763</v>
      </c>
      <c r="G789" s="12">
        <v>40</v>
      </c>
      <c r="H789" s="12">
        <v>36</v>
      </c>
      <c r="I789" s="12">
        <v>1440</v>
      </c>
      <c r="J789" s="12">
        <v>88383.41999999994</v>
      </c>
      <c r="K789" s="20">
        <f t="shared" si="168"/>
        <v>7</v>
      </c>
      <c r="L789" s="20" t="str">
        <f t="shared" si="169"/>
        <v>Se repite 7 veces</v>
      </c>
      <c r="M789" s="20" t="str">
        <f t="shared" si="170"/>
        <v>Tradiciones Andinas-T.A Aji Amarillo FROZEN 16oz x 20</v>
      </c>
      <c r="N789" s="20">
        <f t="shared" si="171"/>
        <v>7</v>
      </c>
      <c r="O789" s="20" t="str">
        <f t="shared" si="172"/>
        <v>Se repite 7 veces en Tradiciones Andinas</v>
      </c>
      <c r="P789" s="20" t="str">
        <f t="shared" si="173"/>
        <v>Tradiciones Andinas-T.A Aji Amarillo FROZEN 16oz x 20-36</v>
      </c>
      <c r="Q789" s="20">
        <f t="shared" si="174"/>
        <v>4</v>
      </c>
      <c r="R789" s="20" t="str">
        <f t="shared" si="175"/>
        <v>Se repite 4 veces el precio de 36</v>
      </c>
      <c r="S789" s="20" t="str">
        <f t="shared" si="176"/>
        <v>El producto T.A Aji Amarillo FROZEN 16oz x 20 Se repite 7 veces en Tradiciones Andinas, Se repite 4 veces el precio de 36</v>
      </c>
      <c r="T789" s="20" t="str">
        <f t="shared" si="177"/>
        <v>Tradiciones Andinas</v>
      </c>
      <c r="U789" s="20" t="str">
        <f t="shared" si="178"/>
        <v>T.A Aji Amarillo FROZEN 16oz x 20</v>
      </c>
      <c r="V789" s="22">
        <f t="shared" si="179"/>
        <v>36</v>
      </c>
      <c r="W789" t="str">
        <f t="shared" si="180"/>
        <v>Tradiciones Andinas 09/24/2025</v>
      </c>
      <c r="Z789">
        <f t="shared" si="181"/>
        <v>1440</v>
      </c>
    </row>
    <row r="790" spans="1:26" hidden="1" x14ac:dyDescent="0.25">
      <c r="A790" s="2" t="s">
        <v>664</v>
      </c>
      <c r="B790" s="11" t="s">
        <v>665</v>
      </c>
      <c r="C790" s="11" t="s">
        <v>4</v>
      </c>
      <c r="D790" s="11" t="s">
        <v>666</v>
      </c>
      <c r="E790" s="11" t="s">
        <v>679</v>
      </c>
      <c r="F790" s="11" t="s">
        <v>680</v>
      </c>
      <c r="G790" s="12">
        <v>2</v>
      </c>
      <c r="H790" s="12">
        <v>19.8</v>
      </c>
      <c r="I790" s="12">
        <v>39.6</v>
      </c>
      <c r="J790" s="12">
        <v>381.12000000000006</v>
      </c>
      <c r="K790" s="20">
        <f t="shared" si="168"/>
        <v>3</v>
      </c>
      <c r="L790" s="20" t="str">
        <f t="shared" si="169"/>
        <v>Se repite 3 veces</v>
      </c>
      <c r="M790" s="20" t="str">
        <f t="shared" si="170"/>
        <v>Tradiciones Andinas-T.A Aji Amarillo Pasta 10.5oz X 12</v>
      </c>
      <c r="N790" s="20">
        <f t="shared" si="171"/>
        <v>3</v>
      </c>
      <c r="O790" s="20" t="str">
        <f t="shared" si="172"/>
        <v>Se repite 3 veces en Tradiciones Andinas</v>
      </c>
      <c r="P790" s="20" t="str">
        <f t="shared" si="173"/>
        <v>Tradiciones Andinas-T.A Aji Amarillo Pasta 10.5oz X 12-19.8</v>
      </c>
      <c r="Q790" s="20">
        <f t="shared" si="174"/>
        <v>3</v>
      </c>
      <c r="R790" s="20" t="str">
        <f t="shared" si="175"/>
        <v>Se repite 3 veces el precio de 19.8</v>
      </c>
      <c r="S790" s="20" t="str">
        <f t="shared" si="176"/>
        <v>El producto T.A Aji Amarillo Pasta 10.5oz X 12 Se repite 3 veces en Tradiciones Andinas, Se repite 3 veces el precio de 19.8</v>
      </c>
      <c r="T790" s="20" t="str">
        <f t="shared" si="177"/>
        <v>Tradiciones Andinas</v>
      </c>
      <c r="U790" s="20" t="str">
        <f t="shared" si="178"/>
        <v>T.A Aji Amarillo Pasta 10.5oz X 12</v>
      </c>
      <c r="V790" s="22">
        <f t="shared" si="179"/>
        <v>19.8</v>
      </c>
      <c r="W790" t="str">
        <f t="shared" si="180"/>
        <v>Tradiciones Andinas 03/31/2025</v>
      </c>
      <c r="Z790">
        <f t="shared" si="181"/>
        <v>39.6</v>
      </c>
    </row>
    <row r="791" spans="1:26" hidden="1" x14ac:dyDescent="0.25">
      <c r="A791" s="2" t="s">
        <v>664</v>
      </c>
      <c r="B791" s="11" t="s">
        <v>398</v>
      </c>
      <c r="C791" s="11" t="s">
        <v>4</v>
      </c>
      <c r="D791" s="11" t="s">
        <v>5</v>
      </c>
      <c r="E791" s="11" t="s">
        <v>679</v>
      </c>
      <c r="F791" s="11" t="s">
        <v>680</v>
      </c>
      <c r="G791" s="12">
        <v>2</v>
      </c>
      <c r="H791" s="12">
        <v>19.8</v>
      </c>
      <c r="I791" s="12">
        <v>39.6</v>
      </c>
      <c r="J791" s="12">
        <v>3727.6399999999994</v>
      </c>
      <c r="K791" s="20">
        <f t="shared" si="168"/>
        <v>3</v>
      </c>
      <c r="L791" s="20" t="str">
        <f t="shared" si="169"/>
        <v>Se repite 3 veces</v>
      </c>
      <c r="M791" s="20" t="str">
        <f t="shared" si="170"/>
        <v>Tradiciones Andinas-T.A Aji Amarillo Pasta 10.5oz X 12</v>
      </c>
      <c r="N791" s="20">
        <f t="shared" si="171"/>
        <v>3</v>
      </c>
      <c r="O791" s="20" t="str">
        <f t="shared" si="172"/>
        <v>Se repite 3 veces en Tradiciones Andinas</v>
      </c>
      <c r="P791" s="20" t="str">
        <f t="shared" si="173"/>
        <v>Tradiciones Andinas-T.A Aji Amarillo Pasta 10.5oz X 12-19.8</v>
      </c>
      <c r="Q791" s="20">
        <f t="shared" si="174"/>
        <v>3</v>
      </c>
      <c r="R791" s="20" t="str">
        <f t="shared" si="175"/>
        <v>Se repite 3 veces el precio de 19.8</v>
      </c>
      <c r="S791" s="20" t="str">
        <f t="shared" si="176"/>
        <v>El producto T.A Aji Amarillo Pasta 10.5oz X 12 Se repite 3 veces en Tradiciones Andinas, Se repite 3 veces el precio de 19.8</v>
      </c>
      <c r="T791" s="20" t="str">
        <f t="shared" si="177"/>
        <v>Tradiciones Andinas</v>
      </c>
      <c r="U791" s="20" t="str">
        <f t="shared" si="178"/>
        <v>T.A Aji Amarillo Pasta 10.5oz X 12</v>
      </c>
      <c r="V791" s="22">
        <f t="shared" si="179"/>
        <v>19.8</v>
      </c>
      <c r="W791" t="str">
        <f t="shared" si="180"/>
        <v>Tradiciones Andinas 04/10/2025</v>
      </c>
      <c r="Z791">
        <f t="shared" si="181"/>
        <v>39.6</v>
      </c>
    </row>
    <row r="792" spans="1:26" hidden="1" x14ac:dyDescent="0.25">
      <c r="A792" s="2" t="s">
        <v>664</v>
      </c>
      <c r="B792" s="11" t="s">
        <v>821</v>
      </c>
      <c r="C792" s="11" t="s">
        <v>4</v>
      </c>
      <c r="D792" s="11" t="s">
        <v>822</v>
      </c>
      <c r="E792" s="11" t="s">
        <v>679</v>
      </c>
      <c r="F792" s="11" t="s">
        <v>680</v>
      </c>
      <c r="G792" s="12">
        <v>6</v>
      </c>
      <c r="H792" s="12">
        <v>19.8</v>
      </c>
      <c r="I792" s="12">
        <v>118.8</v>
      </c>
      <c r="J792" s="12">
        <v>9457.6799999999967</v>
      </c>
      <c r="K792" s="20">
        <f t="shared" si="168"/>
        <v>3</v>
      </c>
      <c r="L792" s="20" t="str">
        <f t="shared" si="169"/>
        <v>Se repite 3 veces</v>
      </c>
      <c r="M792" s="20" t="str">
        <f t="shared" si="170"/>
        <v>Tradiciones Andinas-T.A Aji Amarillo Pasta 10.5oz X 12</v>
      </c>
      <c r="N792" s="20">
        <f t="shared" si="171"/>
        <v>3</v>
      </c>
      <c r="O792" s="20" t="str">
        <f t="shared" si="172"/>
        <v>Se repite 3 veces en Tradiciones Andinas</v>
      </c>
      <c r="P792" s="20" t="str">
        <f t="shared" si="173"/>
        <v>Tradiciones Andinas-T.A Aji Amarillo Pasta 10.5oz X 12-19.8</v>
      </c>
      <c r="Q792" s="20">
        <f t="shared" si="174"/>
        <v>3</v>
      </c>
      <c r="R792" s="20" t="str">
        <f t="shared" si="175"/>
        <v>Se repite 3 veces el precio de 19.8</v>
      </c>
      <c r="S792" s="20" t="str">
        <f t="shared" si="176"/>
        <v>El producto T.A Aji Amarillo Pasta 10.5oz X 12 Se repite 3 veces en Tradiciones Andinas, Se repite 3 veces el precio de 19.8</v>
      </c>
      <c r="T792" s="20" t="str">
        <f t="shared" si="177"/>
        <v>Tradiciones Andinas</v>
      </c>
      <c r="U792" s="20" t="str">
        <f t="shared" si="178"/>
        <v>T.A Aji Amarillo Pasta 10.5oz X 12</v>
      </c>
      <c r="V792" s="22">
        <f t="shared" si="179"/>
        <v>19.8</v>
      </c>
      <c r="W792" t="str">
        <f t="shared" si="180"/>
        <v>Tradiciones Andinas 04/25/2025</v>
      </c>
      <c r="Z792">
        <f t="shared" si="181"/>
        <v>118.80000000000001</v>
      </c>
    </row>
    <row r="793" spans="1:26" hidden="1" x14ac:dyDescent="0.25">
      <c r="A793" s="2" t="s">
        <v>664</v>
      </c>
      <c r="B793" s="11" t="s">
        <v>665</v>
      </c>
      <c r="C793" s="11" t="s">
        <v>4</v>
      </c>
      <c r="D793" s="11" t="s">
        <v>666</v>
      </c>
      <c r="E793" s="11" t="s">
        <v>686</v>
      </c>
      <c r="F793" s="11" t="s">
        <v>687</v>
      </c>
      <c r="G793" s="12">
        <v>2</v>
      </c>
      <c r="H793" s="12">
        <v>23.88</v>
      </c>
      <c r="I793" s="12">
        <v>47.76</v>
      </c>
      <c r="J793" s="12">
        <v>538.92000000000007</v>
      </c>
      <c r="K793" s="20">
        <f t="shared" si="168"/>
        <v>7</v>
      </c>
      <c r="L793" s="20" t="str">
        <f t="shared" si="169"/>
        <v>Se repite 7 veces</v>
      </c>
      <c r="M793" s="20" t="str">
        <f t="shared" si="170"/>
        <v>Tradiciones Andinas-T.A Aji Amarillo Pasta 15oz X 12</v>
      </c>
      <c r="N793" s="20">
        <f t="shared" si="171"/>
        <v>7</v>
      </c>
      <c r="O793" s="20" t="str">
        <f t="shared" si="172"/>
        <v>Se repite 7 veces en Tradiciones Andinas</v>
      </c>
      <c r="P793" s="20" t="str">
        <f t="shared" si="173"/>
        <v>Tradiciones Andinas-T.A Aji Amarillo Pasta 15oz X 12-23.88</v>
      </c>
      <c r="Q793" s="20">
        <f t="shared" si="174"/>
        <v>3</v>
      </c>
      <c r="R793" s="20" t="str">
        <f t="shared" si="175"/>
        <v>Se repite 3 veces el precio de 23.88</v>
      </c>
      <c r="S793" s="20" t="str">
        <f t="shared" si="176"/>
        <v>El producto T.A Aji Amarillo Pasta 15oz X 12 Se repite 7 veces en Tradiciones Andinas, Se repite 3 veces el precio de 23.88</v>
      </c>
      <c r="T793" s="20" t="str">
        <f t="shared" si="177"/>
        <v>Tradiciones Andinas</v>
      </c>
      <c r="U793" s="20" t="str">
        <f t="shared" si="178"/>
        <v>T.A Aji Amarillo Pasta 15oz X 12</v>
      </c>
      <c r="V793" s="22">
        <f t="shared" si="179"/>
        <v>23.88</v>
      </c>
      <c r="W793" t="str">
        <f t="shared" si="180"/>
        <v>Tradiciones Andinas 03/31/2025</v>
      </c>
      <c r="Z793">
        <f t="shared" si="181"/>
        <v>47.76</v>
      </c>
    </row>
    <row r="794" spans="1:26" hidden="1" x14ac:dyDescent="0.25">
      <c r="A794" s="2" t="s">
        <v>664</v>
      </c>
      <c r="B794" s="11" t="s">
        <v>398</v>
      </c>
      <c r="C794" s="11" t="s">
        <v>4</v>
      </c>
      <c r="D794" s="11" t="s">
        <v>5</v>
      </c>
      <c r="E794" s="11" t="s">
        <v>686</v>
      </c>
      <c r="F794" s="11" t="s">
        <v>687</v>
      </c>
      <c r="G794" s="12">
        <v>4</v>
      </c>
      <c r="H794" s="12">
        <v>23.88</v>
      </c>
      <c r="I794" s="12">
        <v>95.52</v>
      </c>
      <c r="J794" s="12">
        <v>3909.3199999999997</v>
      </c>
      <c r="K794" s="20">
        <f t="shared" si="168"/>
        <v>7</v>
      </c>
      <c r="L794" s="20" t="str">
        <f t="shared" si="169"/>
        <v>Se repite 7 veces</v>
      </c>
      <c r="M794" s="20" t="str">
        <f t="shared" si="170"/>
        <v>Tradiciones Andinas-T.A Aji Amarillo Pasta 15oz X 12</v>
      </c>
      <c r="N794" s="20">
        <f t="shared" si="171"/>
        <v>7</v>
      </c>
      <c r="O794" s="20" t="str">
        <f t="shared" si="172"/>
        <v>Se repite 7 veces en Tradiciones Andinas</v>
      </c>
      <c r="P794" s="20" t="str">
        <f t="shared" si="173"/>
        <v>Tradiciones Andinas-T.A Aji Amarillo Pasta 15oz X 12-23.88</v>
      </c>
      <c r="Q794" s="20">
        <f t="shared" si="174"/>
        <v>3</v>
      </c>
      <c r="R794" s="20" t="str">
        <f t="shared" si="175"/>
        <v>Se repite 3 veces el precio de 23.88</v>
      </c>
      <c r="S794" s="20" t="str">
        <f t="shared" si="176"/>
        <v>El producto T.A Aji Amarillo Pasta 15oz X 12 Se repite 7 veces en Tradiciones Andinas, Se repite 3 veces el precio de 23.88</v>
      </c>
      <c r="T794" s="20" t="str">
        <f t="shared" si="177"/>
        <v>Tradiciones Andinas</v>
      </c>
      <c r="U794" s="20" t="str">
        <f t="shared" si="178"/>
        <v>T.A Aji Amarillo Pasta 15oz X 12</v>
      </c>
      <c r="V794" s="22">
        <f t="shared" si="179"/>
        <v>23.88</v>
      </c>
      <c r="W794" t="str">
        <f t="shared" si="180"/>
        <v>Tradiciones Andinas 04/10/2025</v>
      </c>
      <c r="Z794">
        <f t="shared" si="181"/>
        <v>95.52</v>
      </c>
    </row>
    <row r="795" spans="1:26" hidden="1" x14ac:dyDescent="0.25">
      <c r="A795" s="2" t="s">
        <v>664</v>
      </c>
      <c r="B795" s="11" t="s">
        <v>821</v>
      </c>
      <c r="C795" s="11" t="s">
        <v>4</v>
      </c>
      <c r="D795" s="11" t="s">
        <v>822</v>
      </c>
      <c r="E795" s="11" t="s">
        <v>686</v>
      </c>
      <c r="F795" s="11" t="s">
        <v>687</v>
      </c>
      <c r="G795" s="12">
        <v>6</v>
      </c>
      <c r="H795" s="12">
        <v>23.88</v>
      </c>
      <c r="I795" s="12">
        <v>143.28</v>
      </c>
      <c r="J795" s="12">
        <v>24082.78</v>
      </c>
      <c r="K795" s="20">
        <f t="shared" si="168"/>
        <v>7</v>
      </c>
      <c r="L795" s="20" t="str">
        <f t="shared" si="169"/>
        <v>Se repite 7 veces</v>
      </c>
      <c r="M795" s="20" t="str">
        <f t="shared" si="170"/>
        <v>Tradiciones Andinas-T.A Aji Amarillo Pasta 15oz X 12</v>
      </c>
      <c r="N795" s="20">
        <f t="shared" si="171"/>
        <v>7</v>
      </c>
      <c r="O795" s="20" t="str">
        <f t="shared" si="172"/>
        <v>Se repite 7 veces en Tradiciones Andinas</v>
      </c>
      <c r="P795" s="20" t="str">
        <f t="shared" si="173"/>
        <v>Tradiciones Andinas-T.A Aji Amarillo Pasta 15oz X 12-23.88</v>
      </c>
      <c r="Q795" s="20">
        <f t="shared" si="174"/>
        <v>3</v>
      </c>
      <c r="R795" s="20" t="str">
        <f t="shared" si="175"/>
        <v>Se repite 3 veces el precio de 23.88</v>
      </c>
      <c r="S795" s="20" t="str">
        <f t="shared" si="176"/>
        <v>El producto T.A Aji Amarillo Pasta 15oz X 12 Se repite 7 veces en Tradiciones Andinas, Se repite 3 veces el precio de 23.88</v>
      </c>
      <c r="T795" s="20" t="str">
        <f t="shared" si="177"/>
        <v>Tradiciones Andinas</v>
      </c>
      <c r="U795" s="20" t="str">
        <f t="shared" si="178"/>
        <v>T.A Aji Amarillo Pasta 15oz X 12</v>
      </c>
      <c r="V795" s="22">
        <f t="shared" si="179"/>
        <v>23.88</v>
      </c>
      <c r="W795" t="str">
        <f t="shared" si="180"/>
        <v>Tradiciones Andinas 04/25/2025</v>
      </c>
      <c r="Z795">
        <f t="shared" si="181"/>
        <v>143.28</v>
      </c>
    </row>
    <row r="796" spans="1:26" hidden="1" x14ac:dyDescent="0.25">
      <c r="A796" s="2" t="s">
        <v>664</v>
      </c>
      <c r="B796" s="11" t="s">
        <v>654</v>
      </c>
      <c r="C796" s="11" t="s">
        <v>4</v>
      </c>
      <c r="D796" s="11" t="s">
        <v>940</v>
      </c>
      <c r="E796" s="11" t="s">
        <v>686</v>
      </c>
      <c r="F796" s="11" t="s">
        <v>942</v>
      </c>
      <c r="G796" s="12">
        <v>2</v>
      </c>
      <c r="H796" s="12">
        <v>25.55</v>
      </c>
      <c r="I796" s="12">
        <v>51.1</v>
      </c>
      <c r="J796" s="12">
        <v>24895.199999999997</v>
      </c>
      <c r="K796" s="20">
        <f t="shared" si="168"/>
        <v>7</v>
      </c>
      <c r="L796" s="20" t="str">
        <f t="shared" si="169"/>
        <v>Se repite 7 veces</v>
      </c>
      <c r="M796" s="20" t="str">
        <f t="shared" si="170"/>
        <v>Tradiciones Andinas-T.A Aji Amarillo Pasta 15oz X 12</v>
      </c>
      <c r="N796" s="20">
        <f t="shared" si="171"/>
        <v>7</v>
      </c>
      <c r="O796" s="20" t="str">
        <f t="shared" si="172"/>
        <v>Se repite 7 veces en Tradiciones Andinas</v>
      </c>
      <c r="P796" s="20" t="str">
        <f t="shared" si="173"/>
        <v>Tradiciones Andinas-T.A Aji Amarillo Pasta 15oz X 12-25.55</v>
      </c>
      <c r="Q796" s="20">
        <f t="shared" si="174"/>
        <v>1</v>
      </c>
      <c r="R796" s="20" t="str">
        <f t="shared" si="175"/>
        <v>No se repite</v>
      </c>
      <c r="S796" s="20" t="str">
        <f t="shared" si="176"/>
        <v>El producto T.A Aji Amarillo Pasta 15oz X 12 Se repite 7 veces en Tradiciones Andinas Una vez con el precio 25.55</v>
      </c>
      <c r="T796" s="20" t="str">
        <f t="shared" si="177"/>
        <v>Tradiciones Andinas</v>
      </c>
      <c r="U796" s="20" t="str">
        <f t="shared" si="178"/>
        <v>T.A Aji Amarillo Pasta 15oz X 12</v>
      </c>
      <c r="V796" s="22">
        <f t="shared" si="179"/>
        <v>25.55</v>
      </c>
      <c r="W796" t="str">
        <f t="shared" si="180"/>
        <v>Tradiciones Andinas 05/19/2025</v>
      </c>
      <c r="Z796">
        <f t="shared" si="181"/>
        <v>51.1</v>
      </c>
    </row>
    <row r="797" spans="1:26" hidden="1" x14ac:dyDescent="0.25">
      <c r="A797" s="2" t="s">
        <v>664</v>
      </c>
      <c r="B797" s="11" t="s">
        <v>1125</v>
      </c>
      <c r="C797" s="11" t="s">
        <v>4</v>
      </c>
      <c r="D797" s="11" t="s">
        <v>1126</v>
      </c>
      <c r="E797" s="11" t="s">
        <v>686</v>
      </c>
      <c r="F797" s="11" t="s">
        <v>942</v>
      </c>
      <c r="G797" s="12">
        <v>8</v>
      </c>
      <c r="H797" s="12">
        <v>25.54</v>
      </c>
      <c r="I797" s="12">
        <v>204.32</v>
      </c>
      <c r="J797" s="12">
        <v>67937.580000000016</v>
      </c>
      <c r="K797" s="20">
        <f t="shared" si="168"/>
        <v>7</v>
      </c>
      <c r="L797" s="20" t="str">
        <f t="shared" si="169"/>
        <v>Se repite 7 veces</v>
      </c>
      <c r="M797" s="20" t="str">
        <f t="shared" si="170"/>
        <v>Tradiciones Andinas-T.A Aji Amarillo Pasta 15oz X 12</v>
      </c>
      <c r="N797" s="20">
        <f t="shared" si="171"/>
        <v>7</v>
      </c>
      <c r="O797" s="20" t="str">
        <f t="shared" si="172"/>
        <v>Se repite 7 veces en Tradiciones Andinas</v>
      </c>
      <c r="P797" s="20" t="str">
        <f t="shared" si="173"/>
        <v>Tradiciones Andinas-T.A Aji Amarillo Pasta 15oz X 12-25.54</v>
      </c>
      <c r="Q797" s="20">
        <f t="shared" si="174"/>
        <v>3</v>
      </c>
      <c r="R797" s="20" t="str">
        <f t="shared" si="175"/>
        <v>Se repite 3 veces el precio de 25.54</v>
      </c>
      <c r="S797" s="20" t="str">
        <f t="shared" si="176"/>
        <v>El producto T.A Aji Amarillo Pasta 15oz X 12 Se repite 7 veces en Tradiciones Andinas, Se repite 3 veces el precio de 25.54</v>
      </c>
      <c r="T797" s="20" t="str">
        <f t="shared" si="177"/>
        <v>Tradiciones Andinas</v>
      </c>
      <c r="U797" s="20" t="str">
        <f t="shared" si="178"/>
        <v>T.A Aji Amarillo Pasta 15oz X 12</v>
      </c>
      <c r="V797" s="22">
        <f t="shared" si="179"/>
        <v>25.54</v>
      </c>
      <c r="W797" t="str">
        <f t="shared" si="180"/>
        <v>Tradiciones Andinas 08/18/2025</v>
      </c>
      <c r="Z797">
        <f t="shared" si="181"/>
        <v>204.32</v>
      </c>
    </row>
    <row r="798" spans="1:26" hidden="1" x14ac:dyDescent="0.25">
      <c r="A798" s="2" t="s">
        <v>664</v>
      </c>
      <c r="B798" s="11" t="s">
        <v>1201</v>
      </c>
      <c r="C798" s="11" t="s">
        <v>4</v>
      </c>
      <c r="D798" s="11" t="s">
        <v>1202</v>
      </c>
      <c r="E798" s="11" t="s">
        <v>686</v>
      </c>
      <c r="F798" s="11" t="s">
        <v>942</v>
      </c>
      <c r="G798" s="12">
        <v>2</v>
      </c>
      <c r="H798" s="12">
        <v>25.54</v>
      </c>
      <c r="I798" s="12">
        <v>51.08</v>
      </c>
      <c r="J798" s="12">
        <v>100501.06999999993</v>
      </c>
      <c r="K798" s="20">
        <f t="shared" si="168"/>
        <v>7</v>
      </c>
      <c r="L798" s="20" t="str">
        <f t="shared" si="169"/>
        <v>Se repite 7 veces</v>
      </c>
      <c r="M798" s="20" t="str">
        <f t="shared" si="170"/>
        <v>Tradiciones Andinas-T.A Aji Amarillo Pasta 15oz X 12</v>
      </c>
      <c r="N798" s="20">
        <f t="shared" si="171"/>
        <v>7</v>
      </c>
      <c r="O798" s="20" t="str">
        <f t="shared" si="172"/>
        <v>Se repite 7 veces en Tradiciones Andinas</v>
      </c>
      <c r="P798" s="20" t="str">
        <f t="shared" si="173"/>
        <v>Tradiciones Andinas-T.A Aji Amarillo Pasta 15oz X 12-25.54</v>
      </c>
      <c r="Q798" s="20">
        <f t="shared" si="174"/>
        <v>3</v>
      </c>
      <c r="R798" s="20" t="str">
        <f t="shared" si="175"/>
        <v>Se repite 3 veces el precio de 25.54</v>
      </c>
      <c r="S798" s="20" t="str">
        <f t="shared" si="176"/>
        <v>El producto T.A Aji Amarillo Pasta 15oz X 12 Se repite 7 veces en Tradiciones Andinas, Se repite 3 veces el precio de 25.54</v>
      </c>
      <c r="T798" s="20" t="str">
        <f t="shared" si="177"/>
        <v>Tradiciones Andinas</v>
      </c>
      <c r="U798" s="20" t="str">
        <f t="shared" si="178"/>
        <v>T.A Aji Amarillo Pasta 15oz X 12</v>
      </c>
      <c r="V798" s="22">
        <f t="shared" si="179"/>
        <v>25.54</v>
      </c>
      <c r="W798" t="str">
        <f t="shared" si="180"/>
        <v>Tradiciones Andinas 11/07/2025</v>
      </c>
      <c r="Z798">
        <f t="shared" si="181"/>
        <v>51.08</v>
      </c>
    </row>
    <row r="799" spans="1:26" hidden="1" x14ac:dyDescent="0.25">
      <c r="A799" s="2" t="s">
        <v>664</v>
      </c>
      <c r="B799" s="11" t="s">
        <v>1207</v>
      </c>
      <c r="C799" s="11" t="s">
        <v>4</v>
      </c>
      <c r="D799" s="11" t="s">
        <v>1208</v>
      </c>
      <c r="E799" s="11" t="s">
        <v>686</v>
      </c>
      <c r="F799" s="11" t="s">
        <v>942</v>
      </c>
      <c r="G799" s="12">
        <v>2</v>
      </c>
      <c r="H799" s="12">
        <v>25.54</v>
      </c>
      <c r="I799" s="12">
        <v>51.08</v>
      </c>
      <c r="J799" s="12">
        <v>105632.59999999995</v>
      </c>
      <c r="K799" s="20">
        <f t="shared" si="168"/>
        <v>7</v>
      </c>
      <c r="L799" s="20" t="str">
        <f t="shared" si="169"/>
        <v>Se repite 7 veces</v>
      </c>
      <c r="M799" s="20" t="str">
        <f t="shared" si="170"/>
        <v>Tradiciones Andinas-T.A Aji Amarillo Pasta 15oz X 12</v>
      </c>
      <c r="N799" s="20">
        <f t="shared" si="171"/>
        <v>7</v>
      </c>
      <c r="O799" s="20" t="str">
        <f t="shared" si="172"/>
        <v>Se repite 7 veces en Tradiciones Andinas</v>
      </c>
      <c r="P799" s="20" t="str">
        <f t="shared" si="173"/>
        <v>Tradiciones Andinas-T.A Aji Amarillo Pasta 15oz X 12-25.54</v>
      </c>
      <c r="Q799" s="20">
        <f t="shared" si="174"/>
        <v>3</v>
      </c>
      <c r="R799" s="20" t="str">
        <f t="shared" si="175"/>
        <v>Se repite 3 veces el precio de 25.54</v>
      </c>
      <c r="S799" s="20" t="str">
        <f t="shared" si="176"/>
        <v>El producto T.A Aji Amarillo Pasta 15oz X 12 Se repite 7 veces en Tradiciones Andinas, Se repite 3 veces el precio de 25.54</v>
      </c>
      <c r="T799" s="20" t="str">
        <f t="shared" si="177"/>
        <v>Tradiciones Andinas</v>
      </c>
      <c r="U799" s="20" t="str">
        <f t="shared" si="178"/>
        <v>T.A Aji Amarillo Pasta 15oz X 12</v>
      </c>
      <c r="V799" s="22">
        <f t="shared" si="179"/>
        <v>25.54</v>
      </c>
      <c r="W799" t="str">
        <f t="shared" si="180"/>
        <v>Tradiciones Andinas 11/28/2025</v>
      </c>
      <c r="Z799">
        <f t="shared" si="181"/>
        <v>51.08</v>
      </c>
    </row>
    <row r="800" spans="1:26" hidden="1" x14ac:dyDescent="0.25">
      <c r="A800" s="2" t="s">
        <v>664</v>
      </c>
      <c r="B800" s="11" t="s">
        <v>665</v>
      </c>
      <c r="C800" s="11" t="s">
        <v>4</v>
      </c>
      <c r="D800" s="11" t="s">
        <v>666</v>
      </c>
      <c r="E800" s="11" t="s">
        <v>669</v>
      </c>
      <c r="F800" s="11" t="s">
        <v>670</v>
      </c>
      <c r="G800" s="12">
        <v>2</v>
      </c>
      <c r="H800" s="12">
        <v>28.8</v>
      </c>
      <c r="I800" s="12">
        <v>57.6</v>
      </c>
      <c r="J800" s="12">
        <v>115.2</v>
      </c>
      <c r="K800" s="20">
        <f t="shared" si="168"/>
        <v>7</v>
      </c>
      <c r="L800" s="20" t="str">
        <f t="shared" si="169"/>
        <v>Se repite 7 veces</v>
      </c>
      <c r="M800" s="20" t="str">
        <f t="shared" si="170"/>
        <v>Tradiciones Andinas-T.A Aji Amarillo Pasta 7.5oz x 24</v>
      </c>
      <c r="N800" s="20">
        <f t="shared" si="171"/>
        <v>7</v>
      </c>
      <c r="O800" s="20" t="str">
        <f t="shared" si="172"/>
        <v>Se repite 7 veces en Tradiciones Andinas</v>
      </c>
      <c r="P800" s="20" t="str">
        <f t="shared" si="173"/>
        <v>Tradiciones Andinas-T.A Aji Amarillo Pasta 7.5oz x 24-28.8</v>
      </c>
      <c r="Q800" s="20">
        <f t="shared" si="174"/>
        <v>3</v>
      </c>
      <c r="R800" s="20" t="str">
        <f t="shared" si="175"/>
        <v>Se repite 3 veces el precio de 28.8</v>
      </c>
      <c r="S800" s="20" t="str">
        <f t="shared" si="176"/>
        <v>El producto T.A Aji Amarillo Pasta 7.5oz x 24 Se repite 7 veces en Tradiciones Andinas, Se repite 3 veces el precio de 28.8</v>
      </c>
      <c r="T800" s="20" t="str">
        <f t="shared" si="177"/>
        <v>Tradiciones Andinas</v>
      </c>
      <c r="U800" s="20" t="str">
        <f t="shared" si="178"/>
        <v>T.A Aji Amarillo Pasta 7.5oz x 24</v>
      </c>
      <c r="V800" s="22">
        <f t="shared" si="179"/>
        <v>28.8</v>
      </c>
      <c r="W800" t="str">
        <f t="shared" si="180"/>
        <v>Tradiciones Andinas 03/31/2025</v>
      </c>
      <c r="Z800">
        <f t="shared" si="181"/>
        <v>57.6</v>
      </c>
    </row>
    <row r="801" spans="1:26" hidden="1" x14ac:dyDescent="0.25">
      <c r="A801" s="2" t="s">
        <v>664</v>
      </c>
      <c r="B801" s="11" t="s">
        <v>398</v>
      </c>
      <c r="C801" s="11" t="s">
        <v>4</v>
      </c>
      <c r="D801" s="11" t="s">
        <v>5</v>
      </c>
      <c r="E801" s="11" t="s">
        <v>669</v>
      </c>
      <c r="F801" s="11" t="s">
        <v>670</v>
      </c>
      <c r="G801" s="12">
        <v>2</v>
      </c>
      <c r="H801" s="12">
        <v>28.8</v>
      </c>
      <c r="I801" s="12">
        <v>57.6</v>
      </c>
      <c r="J801" s="12">
        <v>3461.7199999999993</v>
      </c>
      <c r="K801" s="20">
        <f t="shared" si="168"/>
        <v>7</v>
      </c>
      <c r="L801" s="20" t="str">
        <f t="shared" si="169"/>
        <v>Se repite 7 veces</v>
      </c>
      <c r="M801" s="20" t="str">
        <f t="shared" si="170"/>
        <v>Tradiciones Andinas-T.A Aji Amarillo Pasta 7.5oz x 24</v>
      </c>
      <c r="N801" s="20">
        <f t="shared" si="171"/>
        <v>7</v>
      </c>
      <c r="O801" s="20" t="str">
        <f t="shared" si="172"/>
        <v>Se repite 7 veces en Tradiciones Andinas</v>
      </c>
      <c r="P801" s="20" t="str">
        <f t="shared" si="173"/>
        <v>Tradiciones Andinas-T.A Aji Amarillo Pasta 7.5oz x 24-28.8</v>
      </c>
      <c r="Q801" s="20">
        <f t="shared" si="174"/>
        <v>3</v>
      </c>
      <c r="R801" s="20" t="str">
        <f t="shared" si="175"/>
        <v>Se repite 3 veces el precio de 28.8</v>
      </c>
      <c r="S801" s="20" t="str">
        <f t="shared" si="176"/>
        <v>El producto T.A Aji Amarillo Pasta 7.5oz x 24 Se repite 7 veces en Tradiciones Andinas, Se repite 3 veces el precio de 28.8</v>
      </c>
      <c r="T801" s="20" t="str">
        <f t="shared" si="177"/>
        <v>Tradiciones Andinas</v>
      </c>
      <c r="U801" s="20" t="str">
        <f t="shared" si="178"/>
        <v>T.A Aji Amarillo Pasta 7.5oz x 24</v>
      </c>
      <c r="V801" s="22">
        <f t="shared" si="179"/>
        <v>28.8</v>
      </c>
      <c r="W801" t="str">
        <f t="shared" si="180"/>
        <v>Tradiciones Andinas 04/10/2025</v>
      </c>
      <c r="Z801">
        <f t="shared" si="181"/>
        <v>57.6</v>
      </c>
    </row>
    <row r="802" spans="1:26" hidden="1" x14ac:dyDescent="0.25">
      <c r="A802" s="2" t="s">
        <v>664</v>
      </c>
      <c r="B802" s="11" t="s">
        <v>821</v>
      </c>
      <c r="C802" s="11" t="s">
        <v>4</v>
      </c>
      <c r="D802" s="11" t="s">
        <v>822</v>
      </c>
      <c r="E802" s="11" t="s">
        <v>669</v>
      </c>
      <c r="F802" s="11" t="s">
        <v>670</v>
      </c>
      <c r="G802" s="12">
        <v>6</v>
      </c>
      <c r="H802" s="12">
        <v>28.8</v>
      </c>
      <c r="I802" s="12">
        <v>172.8</v>
      </c>
      <c r="J802" s="12">
        <v>8492.159999999998</v>
      </c>
      <c r="K802" s="20">
        <f t="shared" si="168"/>
        <v>7</v>
      </c>
      <c r="L802" s="20" t="str">
        <f t="shared" si="169"/>
        <v>Se repite 7 veces</v>
      </c>
      <c r="M802" s="20" t="str">
        <f t="shared" si="170"/>
        <v>Tradiciones Andinas-T.A Aji Amarillo Pasta 7.5oz x 24</v>
      </c>
      <c r="N802" s="20">
        <f t="shared" si="171"/>
        <v>7</v>
      </c>
      <c r="O802" s="20" t="str">
        <f t="shared" si="172"/>
        <v>Se repite 7 veces en Tradiciones Andinas</v>
      </c>
      <c r="P802" s="20" t="str">
        <f t="shared" si="173"/>
        <v>Tradiciones Andinas-T.A Aji Amarillo Pasta 7.5oz x 24-28.8</v>
      </c>
      <c r="Q802" s="20">
        <f t="shared" si="174"/>
        <v>3</v>
      </c>
      <c r="R802" s="20" t="str">
        <f t="shared" si="175"/>
        <v>Se repite 3 veces el precio de 28.8</v>
      </c>
      <c r="S802" s="20" t="str">
        <f t="shared" si="176"/>
        <v>El producto T.A Aji Amarillo Pasta 7.5oz x 24 Se repite 7 veces en Tradiciones Andinas, Se repite 3 veces el precio de 28.8</v>
      </c>
      <c r="T802" s="20" t="str">
        <f t="shared" si="177"/>
        <v>Tradiciones Andinas</v>
      </c>
      <c r="U802" s="20" t="str">
        <f t="shared" si="178"/>
        <v>T.A Aji Amarillo Pasta 7.5oz x 24</v>
      </c>
      <c r="V802" s="22">
        <f t="shared" si="179"/>
        <v>28.8</v>
      </c>
      <c r="W802" t="str">
        <f t="shared" si="180"/>
        <v>Tradiciones Andinas 04/25/2025</v>
      </c>
      <c r="Z802">
        <f t="shared" si="181"/>
        <v>172.8</v>
      </c>
    </row>
    <row r="803" spans="1:26" hidden="1" x14ac:dyDescent="0.25">
      <c r="A803" s="2" t="s">
        <v>664</v>
      </c>
      <c r="B803" s="11" t="s">
        <v>654</v>
      </c>
      <c r="C803" s="11" t="s">
        <v>4</v>
      </c>
      <c r="D803" s="11" t="s">
        <v>940</v>
      </c>
      <c r="E803" s="11" t="s">
        <v>669</v>
      </c>
      <c r="F803" s="11" t="s">
        <v>941</v>
      </c>
      <c r="G803" s="12">
        <v>4</v>
      </c>
      <c r="H803" s="12">
        <v>30.82</v>
      </c>
      <c r="I803" s="12">
        <v>123.28</v>
      </c>
      <c r="J803" s="12">
        <v>24844.1</v>
      </c>
      <c r="K803" s="20">
        <f t="shared" si="168"/>
        <v>7</v>
      </c>
      <c r="L803" s="20" t="str">
        <f t="shared" si="169"/>
        <v>Se repite 7 veces</v>
      </c>
      <c r="M803" s="20" t="str">
        <f t="shared" si="170"/>
        <v>Tradiciones Andinas-T.A Aji Amarillo Pasta 7.5oz x 24</v>
      </c>
      <c r="N803" s="20">
        <f t="shared" si="171"/>
        <v>7</v>
      </c>
      <c r="O803" s="20" t="str">
        <f t="shared" si="172"/>
        <v>Se repite 7 veces en Tradiciones Andinas</v>
      </c>
      <c r="P803" s="20" t="str">
        <f t="shared" si="173"/>
        <v>Tradiciones Andinas-T.A Aji Amarillo Pasta 7.5oz x 24-30.82</v>
      </c>
      <c r="Q803" s="20">
        <f t="shared" si="174"/>
        <v>4</v>
      </c>
      <c r="R803" s="20" t="str">
        <f t="shared" si="175"/>
        <v>Se repite 4 veces el precio de 30.82</v>
      </c>
      <c r="S803" s="20" t="str">
        <f t="shared" si="176"/>
        <v>El producto T.A Aji Amarillo Pasta 7.5oz x 24 Se repite 7 veces en Tradiciones Andinas, Se repite 4 veces el precio de 30.82</v>
      </c>
      <c r="T803" s="20" t="str">
        <f t="shared" si="177"/>
        <v>Tradiciones Andinas</v>
      </c>
      <c r="U803" s="20" t="str">
        <f t="shared" si="178"/>
        <v>T.A Aji Amarillo Pasta 7.5oz x 24</v>
      </c>
      <c r="V803" s="22">
        <f t="shared" si="179"/>
        <v>30.82</v>
      </c>
      <c r="W803" t="str">
        <f t="shared" si="180"/>
        <v>Tradiciones Andinas 05/19/2025</v>
      </c>
      <c r="Z803">
        <f t="shared" si="181"/>
        <v>123.28</v>
      </c>
    </row>
    <row r="804" spans="1:26" hidden="1" x14ac:dyDescent="0.25">
      <c r="A804" s="2" t="s">
        <v>664</v>
      </c>
      <c r="B804" s="11" t="s">
        <v>1033</v>
      </c>
      <c r="C804" s="11" t="s">
        <v>4</v>
      </c>
      <c r="D804" s="11" t="s">
        <v>1034</v>
      </c>
      <c r="E804" s="11" t="s">
        <v>669</v>
      </c>
      <c r="F804" s="11" t="s">
        <v>941</v>
      </c>
      <c r="G804" s="12">
        <v>5</v>
      </c>
      <c r="H804" s="12">
        <v>30.82</v>
      </c>
      <c r="I804" s="12">
        <v>154.1</v>
      </c>
      <c r="J804" s="12">
        <v>46104.969999999987</v>
      </c>
      <c r="K804" s="20">
        <f t="shared" si="168"/>
        <v>7</v>
      </c>
      <c r="L804" s="20" t="str">
        <f t="shared" si="169"/>
        <v>Se repite 7 veces</v>
      </c>
      <c r="M804" s="20" t="str">
        <f t="shared" si="170"/>
        <v>Tradiciones Andinas-T.A Aji Amarillo Pasta 7.5oz x 24</v>
      </c>
      <c r="N804" s="20">
        <f t="shared" si="171"/>
        <v>7</v>
      </c>
      <c r="O804" s="20" t="str">
        <f t="shared" si="172"/>
        <v>Se repite 7 veces en Tradiciones Andinas</v>
      </c>
      <c r="P804" s="20" t="str">
        <f t="shared" si="173"/>
        <v>Tradiciones Andinas-T.A Aji Amarillo Pasta 7.5oz x 24-30.82</v>
      </c>
      <c r="Q804" s="20">
        <f t="shared" si="174"/>
        <v>4</v>
      </c>
      <c r="R804" s="20" t="str">
        <f t="shared" si="175"/>
        <v>Se repite 4 veces el precio de 30.82</v>
      </c>
      <c r="S804" s="20" t="str">
        <f t="shared" si="176"/>
        <v>El producto T.A Aji Amarillo Pasta 7.5oz x 24 Se repite 7 veces en Tradiciones Andinas, Se repite 4 veces el precio de 30.82</v>
      </c>
      <c r="T804" s="20" t="str">
        <f t="shared" si="177"/>
        <v>Tradiciones Andinas</v>
      </c>
      <c r="U804" s="20" t="str">
        <f t="shared" si="178"/>
        <v>T.A Aji Amarillo Pasta 7.5oz x 24</v>
      </c>
      <c r="V804" s="22">
        <f t="shared" si="179"/>
        <v>30.82</v>
      </c>
      <c r="W804" t="str">
        <f t="shared" si="180"/>
        <v>Tradiciones Andinas 07/03/2025</v>
      </c>
      <c r="Z804">
        <f t="shared" si="181"/>
        <v>154.1</v>
      </c>
    </row>
    <row r="805" spans="1:26" hidden="1" x14ac:dyDescent="0.25">
      <c r="A805" s="2" t="s">
        <v>664</v>
      </c>
      <c r="B805" s="11" t="s">
        <v>1153</v>
      </c>
      <c r="C805" s="11" t="s">
        <v>4</v>
      </c>
      <c r="D805" s="11" t="s">
        <v>1154</v>
      </c>
      <c r="E805" s="11" t="s">
        <v>669</v>
      </c>
      <c r="F805" s="11" t="s">
        <v>941</v>
      </c>
      <c r="G805" s="12">
        <v>8</v>
      </c>
      <c r="H805" s="12">
        <v>30.82</v>
      </c>
      <c r="I805" s="12">
        <v>246.56</v>
      </c>
      <c r="J805" s="12">
        <v>74744.08</v>
      </c>
      <c r="K805" s="20">
        <f t="shared" si="168"/>
        <v>7</v>
      </c>
      <c r="L805" s="20" t="str">
        <f t="shared" si="169"/>
        <v>Se repite 7 veces</v>
      </c>
      <c r="M805" s="20" t="str">
        <f t="shared" si="170"/>
        <v>Tradiciones Andinas-T.A Aji Amarillo Pasta 7.5oz x 24</v>
      </c>
      <c r="N805" s="20">
        <f t="shared" si="171"/>
        <v>7</v>
      </c>
      <c r="O805" s="20" t="str">
        <f t="shared" si="172"/>
        <v>Se repite 7 veces en Tradiciones Andinas</v>
      </c>
      <c r="P805" s="20" t="str">
        <f t="shared" si="173"/>
        <v>Tradiciones Andinas-T.A Aji Amarillo Pasta 7.5oz x 24-30.82</v>
      </c>
      <c r="Q805" s="20">
        <f t="shared" si="174"/>
        <v>4</v>
      </c>
      <c r="R805" s="20" t="str">
        <f t="shared" si="175"/>
        <v>Se repite 4 veces el precio de 30.82</v>
      </c>
      <c r="S805" s="20" t="str">
        <f t="shared" si="176"/>
        <v>El producto T.A Aji Amarillo Pasta 7.5oz x 24 Se repite 7 veces en Tradiciones Andinas, Se repite 4 veces el precio de 30.82</v>
      </c>
      <c r="T805" s="20" t="str">
        <f t="shared" si="177"/>
        <v>Tradiciones Andinas</v>
      </c>
      <c r="U805" s="20" t="str">
        <f t="shared" si="178"/>
        <v>T.A Aji Amarillo Pasta 7.5oz x 24</v>
      </c>
      <c r="V805" s="22">
        <f t="shared" si="179"/>
        <v>30.82</v>
      </c>
      <c r="W805" t="str">
        <f t="shared" si="180"/>
        <v>Tradiciones Andinas 09/24/2025</v>
      </c>
      <c r="Z805">
        <f t="shared" si="181"/>
        <v>246.56</v>
      </c>
    </row>
    <row r="806" spans="1:26" hidden="1" x14ac:dyDescent="0.25">
      <c r="A806" s="2" t="s">
        <v>664</v>
      </c>
      <c r="B806" s="11" t="s">
        <v>1207</v>
      </c>
      <c r="C806" s="11" t="s">
        <v>4</v>
      </c>
      <c r="D806" s="11" t="s">
        <v>1208</v>
      </c>
      <c r="E806" s="11" t="s">
        <v>669</v>
      </c>
      <c r="F806" s="11" t="s">
        <v>941</v>
      </c>
      <c r="G806" s="12">
        <v>2</v>
      </c>
      <c r="H806" s="12">
        <v>30.82</v>
      </c>
      <c r="I806" s="12">
        <v>61.64</v>
      </c>
      <c r="J806" s="12">
        <v>105314.73999999993</v>
      </c>
      <c r="K806" s="20">
        <f t="shared" si="168"/>
        <v>7</v>
      </c>
      <c r="L806" s="20" t="str">
        <f t="shared" si="169"/>
        <v>Se repite 7 veces</v>
      </c>
      <c r="M806" s="20" t="str">
        <f t="shared" si="170"/>
        <v>Tradiciones Andinas-T.A Aji Amarillo Pasta 7.5oz x 24</v>
      </c>
      <c r="N806" s="20">
        <f t="shared" si="171"/>
        <v>7</v>
      </c>
      <c r="O806" s="20" t="str">
        <f t="shared" si="172"/>
        <v>Se repite 7 veces en Tradiciones Andinas</v>
      </c>
      <c r="P806" s="20" t="str">
        <f t="shared" si="173"/>
        <v>Tradiciones Andinas-T.A Aji Amarillo Pasta 7.5oz x 24-30.82</v>
      </c>
      <c r="Q806" s="20">
        <f t="shared" si="174"/>
        <v>4</v>
      </c>
      <c r="R806" s="20" t="str">
        <f t="shared" si="175"/>
        <v>Se repite 4 veces el precio de 30.82</v>
      </c>
      <c r="S806" s="20" t="str">
        <f t="shared" si="176"/>
        <v>El producto T.A Aji Amarillo Pasta 7.5oz x 24 Se repite 7 veces en Tradiciones Andinas, Se repite 4 veces el precio de 30.82</v>
      </c>
      <c r="T806" s="20" t="str">
        <f t="shared" si="177"/>
        <v>Tradiciones Andinas</v>
      </c>
      <c r="U806" s="20" t="str">
        <f t="shared" si="178"/>
        <v>T.A Aji Amarillo Pasta 7.5oz x 24</v>
      </c>
      <c r="V806" s="22">
        <f t="shared" si="179"/>
        <v>30.82</v>
      </c>
      <c r="W806" t="str">
        <f t="shared" si="180"/>
        <v>Tradiciones Andinas 11/28/2025</v>
      </c>
      <c r="Z806">
        <f t="shared" si="181"/>
        <v>61.64</v>
      </c>
    </row>
    <row r="807" spans="1:26" hidden="1" x14ac:dyDescent="0.25">
      <c r="A807" s="2" t="s">
        <v>664</v>
      </c>
      <c r="B807" s="11" t="s">
        <v>158</v>
      </c>
      <c r="C807" s="11" t="s">
        <v>4</v>
      </c>
      <c r="D807" s="11" t="s">
        <v>984</v>
      </c>
      <c r="E807" s="11" t="s">
        <v>989</v>
      </c>
      <c r="F807" s="11" t="s">
        <v>990</v>
      </c>
      <c r="G807" s="12">
        <v>2</v>
      </c>
      <c r="H807" s="12">
        <v>32</v>
      </c>
      <c r="I807" s="12">
        <v>64</v>
      </c>
      <c r="J807" s="12">
        <v>35844.870000000003</v>
      </c>
      <c r="K807" s="20">
        <f t="shared" si="168"/>
        <v>2</v>
      </c>
      <c r="L807" s="20" t="str">
        <f t="shared" si="169"/>
        <v>Se repite 2 veces</v>
      </c>
      <c r="M807" s="20" t="str">
        <f t="shared" si="170"/>
        <v>Tradiciones Andinas-T.A Aji Amarillo Salmuera /Whole Yellow Hot Pepper 12oz x 20</v>
      </c>
      <c r="N807" s="20">
        <f t="shared" si="171"/>
        <v>2</v>
      </c>
      <c r="O807" s="20" t="str">
        <f t="shared" si="172"/>
        <v>Se repite 2 veces en Tradiciones Andinas</v>
      </c>
      <c r="P807" s="20" t="str">
        <f t="shared" si="173"/>
        <v>Tradiciones Andinas-T.A Aji Amarillo Salmuera /Whole Yellow Hot Pepper 12oz x 20-32</v>
      </c>
      <c r="Q807" s="20">
        <f t="shared" si="174"/>
        <v>2</v>
      </c>
      <c r="R807" s="20" t="str">
        <f t="shared" si="175"/>
        <v>Se repite 2 veces el precio de 32</v>
      </c>
      <c r="S807" s="20" t="str">
        <f t="shared" si="176"/>
        <v>El producto T.A Aji Amarillo Salmuera /Whole Yellow Hot Pepper 12oz x 20 Se repite 2 veces en Tradiciones Andinas, Se repite 2 veces el precio de 32</v>
      </c>
      <c r="T807" s="20" t="str">
        <f t="shared" si="177"/>
        <v>Tradiciones Andinas</v>
      </c>
      <c r="U807" s="20" t="str">
        <f t="shared" si="178"/>
        <v>T.A Aji Amarillo Salmuera /Whole Yellow Hot Pepper 12oz x 20</v>
      </c>
      <c r="V807" s="22">
        <f t="shared" si="179"/>
        <v>32</v>
      </c>
      <c r="W807" t="str">
        <f t="shared" si="180"/>
        <v>Tradiciones Andinas 06/12/2025</v>
      </c>
      <c r="Z807">
        <f t="shared" si="181"/>
        <v>64</v>
      </c>
    </row>
    <row r="808" spans="1:26" hidden="1" x14ac:dyDescent="0.25">
      <c r="A808" s="2" t="s">
        <v>664</v>
      </c>
      <c r="B808" s="11" t="s">
        <v>1033</v>
      </c>
      <c r="C808" s="11" t="s">
        <v>4</v>
      </c>
      <c r="D808" s="11" t="s">
        <v>1034</v>
      </c>
      <c r="E808" s="11" t="s">
        <v>989</v>
      </c>
      <c r="F808" s="11" t="s">
        <v>1040</v>
      </c>
      <c r="G808" s="12">
        <v>5</v>
      </c>
      <c r="H808" s="12">
        <v>32</v>
      </c>
      <c r="I808" s="12">
        <v>160</v>
      </c>
      <c r="J808" s="12">
        <v>47747.549999999974</v>
      </c>
      <c r="K808" s="20">
        <f t="shared" si="168"/>
        <v>2</v>
      </c>
      <c r="L808" s="20" t="str">
        <f t="shared" si="169"/>
        <v>Se repite 2 veces</v>
      </c>
      <c r="M808" s="20" t="str">
        <f t="shared" si="170"/>
        <v>Tradiciones Andinas-T.A Aji Amarillo Salmuera /Whole Yellow Hot Pepper 12oz x 20</v>
      </c>
      <c r="N808" s="20">
        <f t="shared" si="171"/>
        <v>2</v>
      </c>
      <c r="O808" s="20" t="str">
        <f t="shared" si="172"/>
        <v>Se repite 2 veces en Tradiciones Andinas</v>
      </c>
      <c r="P808" s="20" t="str">
        <f t="shared" si="173"/>
        <v>Tradiciones Andinas-T.A Aji Amarillo Salmuera /Whole Yellow Hot Pepper 12oz x 20-32</v>
      </c>
      <c r="Q808" s="20">
        <f t="shared" si="174"/>
        <v>2</v>
      </c>
      <c r="R808" s="20" t="str">
        <f t="shared" si="175"/>
        <v>Se repite 2 veces el precio de 32</v>
      </c>
      <c r="S808" s="20" t="str">
        <f t="shared" si="176"/>
        <v>El producto T.A Aji Amarillo Salmuera /Whole Yellow Hot Pepper 12oz x 20 Se repite 2 veces en Tradiciones Andinas, Se repite 2 veces el precio de 32</v>
      </c>
      <c r="T808" s="20" t="str">
        <f t="shared" si="177"/>
        <v>Tradiciones Andinas</v>
      </c>
      <c r="U808" s="20" t="str">
        <f t="shared" si="178"/>
        <v>T.A Aji Amarillo Salmuera /Whole Yellow Hot Pepper 12oz x 20</v>
      </c>
      <c r="V808" s="22">
        <f t="shared" si="179"/>
        <v>32</v>
      </c>
      <c r="W808" t="str">
        <f t="shared" si="180"/>
        <v>Tradiciones Andinas 07/03/2025</v>
      </c>
      <c r="Z808">
        <f t="shared" si="181"/>
        <v>160</v>
      </c>
    </row>
    <row r="809" spans="1:26" hidden="1" x14ac:dyDescent="0.25">
      <c r="A809" s="2" t="s">
        <v>664</v>
      </c>
      <c r="B809" s="11" t="s">
        <v>665</v>
      </c>
      <c r="C809" s="11" t="s">
        <v>4</v>
      </c>
      <c r="D809" s="11" t="s">
        <v>666</v>
      </c>
      <c r="E809" s="11" t="s">
        <v>772</v>
      </c>
      <c r="F809" s="11" t="s">
        <v>773</v>
      </c>
      <c r="G809" s="12">
        <v>1</v>
      </c>
      <c r="H809" s="12">
        <v>42</v>
      </c>
      <c r="I809" s="12">
        <v>42</v>
      </c>
      <c r="J809" s="12">
        <v>3217.2799999999997</v>
      </c>
      <c r="K809" s="20">
        <f t="shared" si="168"/>
        <v>1</v>
      </c>
      <c r="L809" s="20" t="str">
        <f t="shared" si="169"/>
        <v>No se repite</v>
      </c>
      <c r="M809" s="20" t="str">
        <f t="shared" si="170"/>
        <v>Tradiciones Andinas-T.A Aji Amarillo sin Pepas 2Lb x 8</v>
      </c>
      <c r="N809" s="20">
        <f t="shared" si="171"/>
        <v>1</v>
      </c>
      <c r="O809" s="20" t="str">
        <f t="shared" si="172"/>
        <v>No se repite en proveedor</v>
      </c>
      <c r="P809" s="20" t="str">
        <f t="shared" si="173"/>
        <v>Tradiciones Andinas-T.A Aji Amarillo sin Pepas 2Lb x 8-42</v>
      </c>
      <c r="Q809" s="20">
        <f t="shared" si="174"/>
        <v>1</v>
      </c>
      <c r="R809" s="20" t="str">
        <f t="shared" si="175"/>
        <v>No se repite</v>
      </c>
      <c r="S809" s="20" t="str">
        <f t="shared" si="176"/>
        <v>El producto T.A Aji Amarillo sin Pepas 2Lb x 8 No se repite en proveedor Una vez con el precio 42</v>
      </c>
      <c r="T809" s="20" t="str">
        <f t="shared" si="177"/>
        <v>Tradiciones Andinas</v>
      </c>
      <c r="U809" s="20" t="str">
        <f t="shared" si="178"/>
        <v>T.A Aji Amarillo sin Pepas 2Lb x 8</v>
      </c>
      <c r="V809" s="22">
        <f t="shared" si="179"/>
        <v>42</v>
      </c>
      <c r="W809" t="str">
        <f t="shared" si="180"/>
        <v>Tradiciones Andinas 03/31/2025</v>
      </c>
      <c r="Z809">
        <f t="shared" si="181"/>
        <v>42</v>
      </c>
    </row>
    <row r="810" spans="1:26" hidden="1" x14ac:dyDescent="0.25">
      <c r="A810" s="2" t="s">
        <v>664</v>
      </c>
      <c r="B810" s="11" t="s">
        <v>665</v>
      </c>
      <c r="C810" s="11" t="s">
        <v>4</v>
      </c>
      <c r="D810" s="11" t="s">
        <v>666</v>
      </c>
      <c r="E810" s="11" t="s">
        <v>696</v>
      </c>
      <c r="F810" s="11" t="s">
        <v>697</v>
      </c>
      <c r="G810" s="12">
        <v>2</v>
      </c>
      <c r="H810" s="12">
        <v>31.08</v>
      </c>
      <c r="I810" s="12">
        <v>62.16</v>
      </c>
      <c r="J810" s="12">
        <v>893.7600000000001</v>
      </c>
      <c r="K810" s="20">
        <f t="shared" si="168"/>
        <v>3</v>
      </c>
      <c r="L810" s="20" t="str">
        <f t="shared" si="169"/>
        <v>Se repite 3 veces</v>
      </c>
      <c r="M810" s="20" t="str">
        <f t="shared" si="170"/>
        <v>Tradiciones Andinas-T.A Aji Amarillo sin Picante 15oz x 12</v>
      </c>
      <c r="N810" s="20">
        <f t="shared" si="171"/>
        <v>3</v>
      </c>
      <c r="O810" s="20" t="str">
        <f t="shared" si="172"/>
        <v>Se repite 3 veces en Tradiciones Andinas</v>
      </c>
      <c r="P810" s="20" t="str">
        <f t="shared" si="173"/>
        <v>Tradiciones Andinas-T.A Aji Amarillo sin Picante 15oz x 12-31.08</v>
      </c>
      <c r="Q810" s="20">
        <f t="shared" si="174"/>
        <v>3</v>
      </c>
      <c r="R810" s="20" t="str">
        <f t="shared" si="175"/>
        <v>Se repite 3 veces el precio de 31.08</v>
      </c>
      <c r="S810" s="20" t="str">
        <f t="shared" si="176"/>
        <v>El producto T.A Aji Amarillo sin Picante 15oz x 12 Se repite 3 veces en Tradiciones Andinas, Se repite 3 veces el precio de 31.08</v>
      </c>
      <c r="T810" s="20" t="str">
        <f t="shared" si="177"/>
        <v>Tradiciones Andinas</v>
      </c>
      <c r="U810" s="20" t="str">
        <f t="shared" si="178"/>
        <v>T.A Aji Amarillo sin Picante 15oz x 12</v>
      </c>
      <c r="V810" s="22">
        <f t="shared" si="179"/>
        <v>31.08</v>
      </c>
      <c r="W810" t="str">
        <f t="shared" si="180"/>
        <v>Tradiciones Andinas 03/31/2025</v>
      </c>
      <c r="Z810">
        <f t="shared" si="181"/>
        <v>62.16</v>
      </c>
    </row>
    <row r="811" spans="1:26" hidden="1" x14ac:dyDescent="0.25">
      <c r="A811" s="2" t="s">
        <v>664</v>
      </c>
      <c r="B811" s="11" t="s">
        <v>398</v>
      </c>
      <c r="C811" s="11" t="s">
        <v>4</v>
      </c>
      <c r="D811" s="11" t="s">
        <v>5</v>
      </c>
      <c r="E811" s="11" t="s">
        <v>696</v>
      </c>
      <c r="F811" s="11" t="s">
        <v>697</v>
      </c>
      <c r="G811" s="12">
        <v>4</v>
      </c>
      <c r="H811" s="12">
        <v>31.08</v>
      </c>
      <c r="I811" s="12">
        <v>124.32</v>
      </c>
      <c r="J811" s="12">
        <v>4161.4399999999996</v>
      </c>
      <c r="K811" s="20">
        <f t="shared" si="168"/>
        <v>3</v>
      </c>
      <c r="L811" s="20" t="str">
        <f t="shared" si="169"/>
        <v>Se repite 3 veces</v>
      </c>
      <c r="M811" s="20" t="str">
        <f t="shared" si="170"/>
        <v>Tradiciones Andinas-T.A Aji Amarillo sin Picante 15oz x 12</v>
      </c>
      <c r="N811" s="20">
        <f t="shared" si="171"/>
        <v>3</v>
      </c>
      <c r="O811" s="20" t="str">
        <f t="shared" si="172"/>
        <v>Se repite 3 veces en Tradiciones Andinas</v>
      </c>
      <c r="P811" s="20" t="str">
        <f t="shared" si="173"/>
        <v>Tradiciones Andinas-T.A Aji Amarillo sin Picante 15oz x 12-31.08</v>
      </c>
      <c r="Q811" s="20">
        <f t="shared" si="174"/>
        <v>3</v>
      </c>
      <c r="R811" s="20" t="str">
        <f t="shared" si="175"/>
        <v>Se repite 3 veces el precio de 31.08</v>
      </c>
      <c r="S811" s="20" t="str">
        <f t="shared" si="176"/>
        <v>El producto T.A Aji Amarillo sin Picante 15oz x 12 Se repite 3 veces en Tradiciones Andinas, Se repite 3 veces el precio de 31.08</v>
      </c>
      <c r="T811" s="20" t="str">
        <f t="shared" si="177"/>
        <v>Tradiciones Andinas</v>
      </c>
      <c r="U811" s="20" t="str">
        <f t="shared" si="178"/>
        <v>T.A Aji Amarillo sin Picante 15oz x 12</v>
      </c>
      <c r="V811" s="22">
        <f t="shared" si="179"/>
        <v>31.08</v>
      </c>
      <c r="W811" t="str">
        <f t="shared" si="180"/>
        <v>Tradiciones Andinas 04/10/2025</v>
      </c>
      <c r="Z811">
        <f t="shared" si="181"/>
        <v>124.32</v>
      </c>
    </row>
    <row r="812" spans="1:26" hidden="1" x14ac:dyDescent="0.25">
      <c r="A812" s="2" t="s">
        <v>664</v>
      </c>
      <c r="B812" s="11" t="s">
        <v>821</v>
      </c>
      <c r="C812" s="11" t="s">
        <v>4</v>
      </c>
      <c r="D812" s="11" t="s">
        <v>822</v>
      </c>
      <c r="E812" s="11" t="s">
        <v>696</v>
      </c>
      <c r="F812" s="11" t="s">
        <v>697</v>
      </c>
      <c r="G812" s="12">
        <v>6</v>
      </c>
      <c r="H812" s="12">
        <v>31.08</v>
      </c>
      <c r="I812" s="12">
        <v>186.48</v>
      </c>
      <c r="J812" s="12">
        <v>10555.919999999996</v>
      </c>
      <c r="K812" s="20">
        <f t="shared" si="168"/>
        <v>3</v>
      </c>
      <c r="L812" s="20" t="str">
        <f t="shared" si="169"/>
        <v>Se repite 3 veces</v>
      </c>
      <c r="M812" s="20" t="str">
        <f t="shared" si="170"/>
        <v>Tradiciones Andinas-T.A Aji Amarillo sin Picante 15oz x 12</v>
      </c>
      <c r="N812" s="20">
        <f t="shared" si="171"/>
        <v>3</v>
      </c>
      <c r="O812" s="20" t="str">
        <f t="shared" si="172"/>
        <v>Se repite 3 veces en Tradiciones Andinas</v>
      </c>
      <c r="P812" s="20" t="str">
        <f t="shared" si="173"/>
        <v>Tradiciones Andinas-T.A Aji Amarillo sin Picante 15oz x 12-31.08</v>
      </c>
      <c r="Q812" s="20">
        <f t="shared" si="174"/>
        <v>3</v>
      </c>
      <c r="R812" s="20" t="str">
        <f t="shared" si="175"/>
        <v>Se repite 3 veces el precio de 31.08</v>
      </c>
      <c r="S812" s="20" t="str">
        <f t="shared" si="176"/>
        <v>El producto T.A Aji Amarillo sin Picante 15oz x 12 Se repite 3 veces en Tradiciones Andinas, Se repite 3 veces el precio de 31.08</v>
      </c>
      <c r="T812" s="20" t="str">
        <f t="shared" si="177"/>
        <v>Tradiciones Andinas</v>
      </c>
      <c r="U812" s="20" t="str">
        <f t="shared" si="178"/>
        <v>T.A Aji Amarillo sin Picante 15oz x 12</v>
      </c>
      <c r="V812" s="22">
        <f t="shared" si="179"/>
        <v>31.08</v>
      </c>
      <c r="W812" t="str">
        <f t="shared" si="180"/>
        <v>Tradiciones Andinas 04/25/2025</v>
      </c>
      <c r="Z812">
        <f t="shared" si="181"/>
        <v>186.48</v>
      </c>
    </row>
    <row r="813" spans="1:26" hidden="1" x14ac:dyDescent="0.25">
      <c r="A813" s="2" t="s">
        <v>664</v>
      </c>
      <c r="B813" s="11" t="s">
        <v>665</v>
      </c>
      <c r="C813" s="11" t="s">
        <v>4</v>
      </c>
      <c r="D813" s="11" t="s">
        <v>666</v>
      </c>
      <c r="E813" s="11" t="s">
        <v>694</v>
      </c>
      <c r="F813" s="11" t="s">
        <v>695</v>
      </c>
      <c r="G813" s="12">
        <v>2</v>
      </c>
      <c r="H813" s="12">
        <v>38.159999999999997</v>
      </c>
      <c r="I813" s="12">
        <v>76.319999999999993</v>
      </c>
      <c r="J813" s="12">
        <v>831.60000000000014</v>
      </c>
      <c r="K813" s="20">
        <f t="shared" si="168"/>
        <v>3</v>
      </c>
      <c r="L813" s="20" t="str">
        <f t="shared" si="169"/>
        <v>Se repite 3 veces</v>
      </c>
      <c r="M813" s="20" t="str">
        <f t="shared" si="170"/>
        <v>Tradiciones Andinas-T.A Aji Amarillo sin Picante 7.5oz x 24</v>
      </c>
      <c r="N813" s="20">
        <f t="shared" si="171"/>
        <v>3</v>
      </c>
      <c r="O813" s="20" t="str">
        <f t="shared" si="172"/>
        <v>Se repite 3 veces en Tradiciones Andinas</v>
      </c>
      <c r="P813" s="20" t="str">
        <f t="shared" si="173"/>
        <v>Tradiciones Andinas-T.A Aji Amarillo sin Picante 7.5oz x 24-38.16</v>
      </c>
      <c r="Q813" s="20">
        <f t="shared" si="174"/>
        <v>3</v>
      </c>
      <c r="R813" s="20" t="str">
        <f t="shared" si="175"/>
        <v>Se repite 3 veces el precio de 38.16</v>
      </c>
      <c r="S813" s="20" t="str">
        <f t="shared" si="176"/>
        <v>El producto T.A Aji Amarillo sin Picante 7.5oz x 24 Se repite 3 veces en Tradiciones Andinas, Se repite 3 veces el precio de 38.16</v>
      </c>
      <c r="T813" s="20" t="str">
        <f t="shared" si="177"/>
        <v>Tradiciones Andinas</v>
      </c>
      <c r="U813" s="20" t="str">
        <f t="shared" si="178"/>
        <v>T.A Aji Amarillo sin Picante 7.5oz x 24</v>
      </c>
      <c r="V813" s="22">
        <f t="shared" si="179"/>
        <v>38.159999999999997</v>
      </c>
      <c r="W813" t="str">
        <f t="shared" si="180"/>
        <v>Tradiciones Andinas 03/31/2025</v>
      </c>
      <c r="Z813">
        <f t="shared" si="181"/>
        <v>76.319999999999993</v>
      </c>
    </row>
    <row r="814" spans="1:26" hidden="1" x14ac:dyDescent="0.25">
      <c r="A814" s="2" t="s">
        <v>664</v>
      </c>
      <c r="B814" s="11" t="s">
        <v>1033</v>
      </c>
      <c r="C814" s="11" t="s">
        <v>4</v>
      </c>
      <c r="D814" s="11" t="s">
        <v>1034</v>
      </c>
      <c r="E814" s="11" t="s">
        <v>694</v>
      </c>
      <c r="F814" s="11" t="s">
        <v>1041</v>
      </c>
      <c r="G814" s="12">
        <v>7</v>
      </c>
      <c r="H814" s="12">
        <v>38.159999999999997</v>
      </c>
      <c r="I814" s="12">
        <v>267.12</v>
      </c>
      <c r="J814" s="12">
        <v>48014.669999999976</v>
      </c>
      <c r="K814" s="20">
        <f t="shared" si="168"/>
        <v>3</v>
      </c>
      <c r="L814" s="20" t="str">
        <f t="shared" si="169"/>
        <v>Se repite 3 veces</v>
      </c>
      <c r="M814" s="20" t="str">
        <f t="shared" si="170"/>
        <v>Tradiciones Andinas-T.A Aji Amarillo sin Picante 7.5oz x 24</v>
      </c>
      <c r="N814" s="20">
        <f t="shared" si="171"/>
        <v>3</v>
      </c>
      <c r="O814" s="20" t="str">
        <f t="shared" si="172"/>
        <v>Se repite 3 veces en Tradiciones Andinas</v>
      </c>
      <c r="P814" s="20" t="str">
        <f t="shared" si="173"/>
        <v>Tradiciones Andinas-T.A Aji Amarillo sin Picante 7.5oz x 24-38.16</v>
      </c>
      <c r="Q814" s="20">
        <f t="shared" si="174"/>
        <v>3</v>
      </c>
      <c r="R814" s="20" t="str">
        <f t="shared" si="175"/>
        <v>Se repite 3 veces el precio de 38.16</v>
      </c>
      <c r="S814" s="20" t="str">
        <f t="shared" si="176"/>
        <v>El producto T.A Aji Amarillo sin Picante 7.5oz x 24 Se repite 3 veces en Tradiciones Andinas, Se repite 3 veces el precio de 38.16</v>
      </c>
      <c r="T814" s="20" t="str">
        <f t="shared" si="177"/>
        <v>Tradiciones Andinas</v>
      </c>
      <c r="U814" s="20" t="str">
        <f t="shared" si="178"/>
        <v>T.A Aji Amarillo sin Picante 7.5oz x 24</v>
      </c>
      <c r="V814" s="22">
        <f t="shared" si="179"/>
        <v>38.159999999999997</v>
      </c>
      <c r="W814" t="str">
        <f t="shared" si="180"/>
        <v>Tradiciones Andinas 07/03/2025</v>
      </c>
      <c r="Z814">
        <f t="shared" si="181"/>
        <v>267.12</v>
      </c>
    </row>
    <row r="815" spans="1:26" hidden="1" x14ac:dyDescent="0.25">
      <c r="A815" s="2" t="s">
        <v>664</v>
      </c>
      <c r="B815" s="11" t="s">
        <v>1153</v>
      </c>
      <c r="C815" s="11" t="s">
        <v>4</v>
      </c>
      <c r="D815" s="11" t="s">
        <v>1154</v>
      </c>
      <c r="E815" s="11" t="s">
        <v>694</v>
      </c>
      <c r="F815" s="11" t="s">
        <v>1041</v>
      </c>
      <c r="G815" s="12">
        <v>3</v>
      </c>
      <c r="H815" s="12">
        <v>38.159999999999997</v>
      </c>
      <c r="I815" s="12">
        <v>114.48</v>
      </c>
      <c r="J815" s="12">
        <v>76843.219999999987</v>
      </c>
      <c r="K815" s="20">
        <f t="shared" si="168"/>
        <v>3</v>
      </c>
      <c r="L815" s="20" t="str">
        <f t="shared" si="169"/>
        <v>Se repite 3 veces</v>
      </c>
      <c r="M815" s="20" t="str">
        <f t="shared" si="170"/>
        <v>Tradiciones Andinas-T.A Aji Amarillo sin Picante 7.5oz x 24</v>
      </c>
      <c r="N815" s="20">
        <f t="shared" si="171"/>
        <v>3</v>
      </c>
      <c r="O815" s="20" t="str">
        <f t="shared" si="172"/>
        <v>Se repite 3 veces en Tradiciones Andinas</v>
      </c>
      <c r="P815" s="20" t="str">
        <f t="shared" si="173"/>
        <v>Tradiciones Andinas-T.A Aji Amarillo sin Picante 7.5oz x 24-38.16</v>
      </c>
      <c r="Q815" s="20">
        <f t="shared" si="174"/>
        <v>3</v>
      </c>
      <c r="R815" s="20" t="str">
        <f t="shared" si="175"/>
        <v>Se repite 3 veces el precio de 38.16</v>
      </c>
      <c r="S815" s="20" t="str">
        <f t="shared" si="176"/>
        <v>El producto T.A Aji Amarillo sin Picante 7.5oz x 24 Se repite 3 veces en Tradiciones Andinas, Se repite 3 veces el precio de 38.16</v>
      </c>
      <c r="T815" s="20" t="str">
        <f t="shared" si="177"/>
        <v>Tradiciones Andinas</v>
      </c>
      <c r="U815" s="20" t="str">
        <f t="shared" si="178"/>
        <v>T.A Aji Amarillo sin Picante 7.5oz x 24</v>
      </c>
      <c r="V815" s="22">
        <f t="shared" si="179"/>
        <v>38.159999999999997</v>
      </c>
      <c r="W815" t="str">
        <f t="shared" si="180"/>
        <v>Tradiciones Andinas 09/24/2025</v>
      </c>
      <c r="Z815">
        <f t="shared" si="181"/>
        <v>114.47999999999999</v>
      </c>
    </row>
    <row r="816" spans="1:26" hidden="1" x14ac:dyDescent="0.25">
      <c r="A816" s="2" t="s">
        <v>664</v>
      </c>
      <c r="B816" s="11" t="s">
        <v>1175</v>
      </c>
      <c r="C816" s="11" t="s">
        <v>4</v>
      </c>
      <c r="D816" s="11" t="s">
        <v>1176</v>
      </c>
      <c r="E816" s="11" t="s">
        <v>1177</v>
      </c>
      <c r="F816" s="11" t="s">
        <v>1178</v>
      </c>
      <c r="G816" s="12">
        <v>2</v>
      </c>
      <c r="H816" s="12">
        <v>27.04</v>
      </c>
      <c r="I816" s="12">
        <v>54.08</v>
      </c>
      <c r="J816" s="12">
        <v>89766.629999999932</v>
      </c>
      <c r="K816" s="20">
        <f t="shared" si="168"/>
        <v>1</v>
      </c>
      <c r="L816" s="20" t="str">
        <f t="shared" si="169"/>
        <v>No se repite</v>
      </c>
      <c r="M816" s="20" t="str">
        <f t="shared" si="170"/>
        <v>Tradiciones Andinas-T.A Aji Ambateno / Whole Pepper FROZEN 10oz x 16</v>
      </c>
      <c r="N816" s="20">
        <f t="shared" si="171"/>
        <v>1</v>
      </c>
      <c r="O816" s="20" t="str">
        <f t="shared" si="172"/>
        <v>No se repite en proveedor</v>
      </c>
      <c r="P816" s="20" t="str">
        <f t="shared" si="173"/>
        <v>Tradiciones Andinas-T.A Aji Ambateno / Whole Pepper FROZEN 10oz x 16-27.04</v>
      </c>
      <c r="Q816" s="20">
        <f t="shared" si="174"/>
        <v>1</v>
      </c>
      <c r="R816" s="20" t="str">
        <f t="shared" si="175"/>
        <v>No se repite</v>
      </c>
      <c r="S816" s="20" t="str">
        <f t="shared" si="176"/>
        <v>El producto T.A Aji Ambateno / Whole Pepper FROZEN 10oz x 16 No se repite en proveedor Una vez con el precio 27.04</v>
      </c>
      <c r="T816" s="20" t="str">
        <f t="shared" si="177"/>
        <v>Tradiciones Andinas</v>
      </c>
      <c r="U816" s="20" t="str">
        <f t="shared" si="178"/>
        <v>T.A Aji Ambateno / Whole Pepper FROZEN 10oz x 16</v>
      </c>
      <c r="V816" s="22">
        <f t="shared" si="179"/>
        <v>27.04</v>
      </c>
      <c r="W816" t="str">
        <f t="shared" si="180"/>
        <v>Tradiciones Andinas 09/26/2025</v>
      </c>
      <c r="Z816">
        <f t="shared" si="181"/>
        <v>54.08</v>
      </c>
    </row>
    <row r="817" spans="1:26" hidden="1" x14ac:dyDescent="0.25">
      <c r="A817" s="2" t="s">
        <v>664</v>
      </c>
      <c r="B817" s="11" t="s">
        <v>665</v>
      </c>
      <c r="C817" s="11" t="s">
        <v>4</v>
      </c>
      <c r="D817" s="11" t="s">
        <v>666</v>
      </c>
      <c r="E817" s="11" t="s">
        <v>764</v>
      </c>
      <c r="F817" s="11" t="s">
        <v>765</v>
      </c>
      <c r="G817" s="12">
        <v>1</v>
      </c>
      <c r="H817" s="12">
        <v>44.82</v>
      </c>
      <c r="I817" s="12">
        <v>44.82</v>
      </c>
      <c r="J817" s="12">
        <v>2889.68</v>
      </c>
      <c r="K817" s="20">
        <f t="shared" si="168"/>
        <v>5</v>
      </c>
      <c r="L817" s="20" t="str">
        <f t="shared" si="169"/>
        <v>Se repite 5 veces</v>
      </c>
      <c r="M817" s="20" t="str">
        <f t="shared" si="170"/>
        <v>Tradiciones Andinas-T.A Aji Limo / Limo Pepper16oz x 18</v>
      </c>
      <c r="N817" s="20">
        <f t="shared" si="171"/>
        <v>5</v>
      </c>
      <c r="O817" s="20" t="str">
        <f t="shared" si="172"/>
        <v>Se repite 5 veces en Tradiciones Andinas</v>
      </c>
      <c r="P817" s="20" t="str">
        <f t="shared" si="173"/>
        <v>Tradiciones Andinas-T.A Aji Limo / Limo Pepper16oz x 18-44.82</v>
      </c>
      <c r="Q817" s="20">
        <f t="shared" si="174"/>
        <v>1</v>
      </c>
      <c r="R817" s="20" t="str">
        <f t="shared" si="175"/>
        <v>No se repite</v>
      </c>
      <c r="S817" s="20" t="str">
        <f t="shared" si="176"/>
        <v>El producto T.A Aji Limo / Limo Pepper16oz x 18 Se repite 5 veces en Tradiciones Andinas Una vez con el precio 44.82</v>
      </c>
      <c r="T817" s="20" t="str">
        <f t="shared" si="177"/>
        <v>Tradiciones Andinas</v>
      </c>
      <c r="U817" s="20" t="str">
        <f t="shared" si="178"/>
        <v>T.A Aji Limo / Limo Pepper16oz x 18</v>
      </c>
      <c r="V817" s="22">
        <f t="shared" si="179"/>
        <v>44.82</v>
      </c>
      <c r="W817" t="str">
        <f t="shared" si="180"/>
        <v>Tradiciones Andinas 03/31/2025</v>
      </c>
      <c r="Z817">
        <f t="shared" si="181"/>
        <v>44.82</v>
      </c>
    </row>
    <row r="818" spans="1:26" hidden="1" x14ac:dyDescent="0.25">
      <c r="A818" s="2" t="s">
        <v>664</v>
      </c>
      <c r="B818" s="11" t="s">
        <v>398</v>
      </c>
      <c r="C818" s="11" t="s">
        <v>4</v>
      </c>
      <c r="D818" s="11" t="s">
        <v>5</v>
      </c>
      <c r="E818" s="11" t="s">
        <v>764</v>
      </c>
      <c r="F818" s="11" t="s">
        <v>765</v>
      </c>
      <c r="G818" s="12">
        <v>2</v>
      </c>
      <c r="H818" s="12">
        <v>32.4</v>
      </c>
      <c r="I818" s="12">
        <v>64.8</v>
      </c>
      <c r="J818" s="12">
        <v>7888.6399999999994</v>
      </c>
      <c r="K818" s="20">
        <f t="shared" si="168"/>
        <v>5</v>
      </c>
      <c r="L818" s="20" t="str">
        <f t="shared" si="169"/>
        <v>Se repite 5 veces</v>
      </c>
      <c r="M818" s="20" t="str">
        <f t="shared" si="170"/>
        <v>Tradiciones Andinas-T.A Aji Limo / Limo Pepper16oz x 18</v>
      </c>
      <c r="N818" s="20">
        <f t="shared" si="171"/>
        <v>5</v>
      </c>
      <c r="O818" s="20" t="str">
        <f t="shared" si="172"/>
        <v>Se repite 5 veces en Tradiciones Andinas</v>
      </c>
      <c r="P818" s="20" t="str">
        <f t="shared" si="173"/>
        <v>Tradiciones Andinas-T.A Aji Limo / Limo Pepper16oz x 18-32.4</v>
      </c>
      <c r="Q818" s="20">
        <f t="shared" si="174"/>
        <v>2</v>
      </c>
      <c r="R818" s="20" t="str">
        <f t="shared" si="175"/>
        <v>Se repite 2 veces el precio de 32.4</v>
      </c>
      <c r="S818" s="20" t="str">
        <f t="shared" si="176"/>
        <v>El producto T.A Aji Limo / Limo Pepper16oz x 18 Se repite 5 veces en Tradiciones Andinas, Se repite 2 veces el precio de 32.4</v>
      </c>
      <c r="T818" s="20" t="str">
        <f t="shared" si="177"/>
        <v>Tradiciones Andinas</v>
      </c>
      <c r="U818" s="20" t="str">
        <f t="shared" si="178"/>
        <v>T.A Aji Limo / Limo Pepper16oz x 18</v>
      </c>
      <c r="V818" s="22">
        <f t="shared" si="179"/>
        <v>32.4</v>
      </c>
      <c r="W818" t="str">
        <f t="shared" si="180"/>
        <v>Tradiciones Andinas 04/10/2025</v>
      </c>
      <c r="Z818">
        <f t="shared" si="181"/>
        <v>64.8</v>
      </c>
    </row>
    <row r="819" spans="1:26" hidden="1" x14ac:dyDescent="0.25">
      <c r="A819" s="2" t="s">
        <v>664</v>
      </c>
      <c r="B819" s="11" t="s">
        <v>821</v>
      </c>
      <c r="C819" s="11" t="s">
        <v>4</v>
      </c>
      <c r="D819" s="11" t="s">
        <v>822</v>
      </c>
      <c r="E819" s="11" t="s">
        <v>764</v>
      </c>
      <c r="F819" s="11" t="s">
        <v>765</v>
      </c>
      <c r="G819" s="12">
        <v>2</v>
      </c>
      <c r="H819" s="12">
        <v>32.4</v>
      </c>
      <c r="I819" s="12">
        <v>64.8</v>
      </c>
      <c r="J819" s="12">
        <v>23717.940000000002</v>
      </c>
      <c r="K819" s="20">
        <f t="shared" si="168"/>
        <v>5</v>
      </c>
      <c r="L819" s="20" t="str">
        <f t="shared" si="169"/>
        <v>Se repite 5 veces</v>
      </c>
      <c r="M819" s="20" t="str">
        <f t="shared" si="170"/>
        <v>Tradiciones Andinas-T.A Aji Limo / Limo Pepper16oz x 18</v>
      </c>
      <c r="N819" s="20">
        <f t="shared" si="171"/>
        <v>5</v>
      </c>
      <c r="O819" s="20" t="str">
        <f t="shared" si="172"/>
        <v>Se repite 5 veces en Tradiciones Andinas</v>
      </c>
      <c r="P819" s="20" t="str">
        <f t="shared" si="173"/>
        <v>Tradiciones Andinas-T.A Aji Limo / Limo Pepper16oz x 18-32.4</v>
      </c>
      <c r="Q819" s="20">
        <f t="shared" si="174"/>
        <v>2</v>
      </c>
      <c r="R819" s="20" t="str">
        <f t="shared" si="175"/>
        <v>Se repite 2 veces el precio de 32.4</v>
      </c>
      <c r="S819" s="20" t="str">
        <f t="shared" si="176"/>
        <v>El producto T.A Aji Limo / Limo Pepper16oz x 18 Se repite 5 veces en Tradiciones Andinas, Se repite 2 veces el precio de 32.4</v>
      </c>
      <c r="T819" s="20" t="str">
        <f t="shared" si="177"/>
        <v>Tradiciones Andinas</v>
      </c>
      <c r="U819" s="20" t="str">
        <f t="shared" si="178"/>
        <v>T.A Aji Limo / Limo Pepper16oz x 18</v>
      </c>
      <c r="V819" s="22">
        <f t="shared" si="179"/>
        <v>32.4</v>
      </c>
      <c r="W819" t="str">
        <f t="shared" si="180"/>
        <v>Tradiciones Andinas 04/25/2025</v>
      </c>
      <c r="Z819">
        <f t="shared" si="181"/>
        <v>64.8</v>
      </c>
    </row>
    <row r="820" spans="1:26" hidden="1" x14ac:dyDescent="0.25">
      <c r="A820" s="2" t="s">
        <v>664</v>
      </c>
      <c r="B820" s="11" t="s">
        <v>158</v>
      </c>
      <c r="C820" s="11" t="s">
        <v>4</v>
      </c>
      <c r="D820" s="11" t="s">
        <v>984</v>
      </c>
      <c r="E820" s="11" t="s">
        <v>764</v>
      </c>
      <c r="F820" s="11" t="s">
        <v>1026</v>
      </c>
      <c r="G820" s="12">
        <v>4</v>
      </c>
      <c r="H820" s="12">
        <v>34.659999999999997</v>
      </c>
      <c r="I820" s="12">
        <v>138.63999999999999</v>
      </c>
      <c r="J820" s="12">
        <v>43226.459999999992</v>
      </c>
      <c r="K820" s="20">
        <f t="shared" si="168"/>
        <v>5</v>
      </c>
      <c r="L820" s="20" t="str">
        <f t="shared" si="169"/>
        <v>Se repite 5 veces</v>
      </c>
      <c r="M820" s="20" t="str">
        <f t="shared" si="170"/>
        <v>Tradiciones Andinas-T.A Aji Limo / Limo Pepper16oz x 18</v>
      </c>
      <c r="N820" s="20">
        <f t="shared" si="171"/>
        <v>5</v>
      </c>
      <c r="O820" s="20" t="str">
        <f t="shared" si="172"/>
        <v>Se repite 5 veces en Tradiciones Andinas</v>
      </c>
      <c r="P820" s="20" t="str">
        <f t="shared" si="173"/>
        <v>Tradiciones Andinas-T.A Aji Limo / Limo Pepper16oz x 18-34.66</v>
      </c>
      <c r="Q820" s="20">
        <f t="shared" si="174"/>
        <v>2</v>
      </c>
      <c r="R820" s="20" t="str">
        <f t="shared" si="175"/>
        <v>Se repite 2 veces el precio de 34.66</v>
      </c>
      <c r="S820" s="20" t="str">
        <f t="shared" si="176"/>
        <v>El producto T.A Aji Limo / Limo Pepper16oz x 18 Se repite 5 veces en Tradiciones Andinas, Se repite 2 veces el precio de 34.66</v>
      </c>
      <c r="T820" s="20" t="str">
        <f t="shared" si="177"/>
        <v>Tradiciones Andinas</v>
      </c>
      <c r="U820" s="20" t="str">
        <f t="shared" si="178"/>
        <v>T.A Aji Limo / Limo Pepper16oz x 18</v>
      </c>
      <c r="V820" s="22">
        <f t="shared" si="179"/>
        <v>34.659999999999997</v>
      </c>
      <c r="W820" t="str">
        <f t="shared" si="180"/>
        <v>Tradiciones Andinas 06/12/2025</v>
      </c>
      <c r="Z820">
        <f t="shared" si="181"/>
        <v>138.63999999999999</v>
      </c>
    </row>
    <row r="821" spans="1:26" hidden="1" x14ac:dyDescent="0.25">
      <c r="A821" s="2" t="s">
        <v>664</v>
      </c>
      <c r="B821" s="11" t="s">
        <v>1153</v>
      </c>
      <c r="C821" s="11" t="s">
        <v>4</v>
      </c>
      <c r="D821" s="11" t="s">
        <v>1154</v>
      </c>
      <c r="E821" s="11" t="s">
        <v>764</v>
      </c>
      <c r="F821" s="11" t="s">
        <v>1026</v>
      </c>
      <c r="G821" s="12">
        <v>8</v>
      </c>
      <c r="H821" s="12">
        <v>34.659999999999997</v>
      </c>
      <c r="I821" s="12">
        <v>277.27999999999997</v>
      </c>
      <c r="J821" s="12">
        <v>88859.839999999938</v>
      </c>
      <c r="K821" s="20">
        <f t="shared" si="168"/>
        <v>5</v>
      </c>
      <c r="L821" s="20" t="str">
        <f t="shared" si="169"/>
        <v>Se repite 5 veces</v>
      </c>
      <c r="M821" s="20" t="str">
        <f t="shared" si="170"/>
        <v>Tradiciones Andinas-T.A Aji Limo / Limo Pepper16oz x 18</v>
      </c>
      <c r="N821" s="20">
        <f t="shared" si="171"/>
        <v>5</v>
      </c>
      <c r="O821" s="20" t="str">
        <f t="shared" si="172"/>
        <v>Se repite 5 veces en Tradiciones Andinas</v>
      </c>
      <c r="P821" s="20" t="str">
        <f t="shared" si="173"/>
        <v>Tradiciones Andinas-T.A Aji Limo / Limo Pepper16oz x 18-34.66</v>
      </c>
      <c r="Q821" s="20">
        <f t="shared" si="174"/>
        <v>2</v>
      </c>
      <c r="R821" s="20" t="str">
        <f t="shared" si="175"/>
        <v>Se repite 2 veces el precio de 34.66</v>
      </c>
      <c r="S821" s="20" t="str">
        <f t="shared" si="176"/>
        <v>El producto T.A Aji Limo / Limo Pepper16oz x 18 Se repite 5 veces en Tradiciones Andinas, Se repite 2 veces el precio de 34.66</v>
      </c>
      <c r="T821" s="20" t="str">
        <f t="shared" si="177"/>
        <v>Tradiciones Andinas</v>
      </c>
      <c r="U821" s="20" t="str">
        <f t="shared" si="178"/>
        <v>T.A Aji Limo / Limo Pepper16oz x 18</v>
      </c>
      <c r="V821" s="22">
        <f t="shared" si="179"/>
        <v>34.659999999999997</v>
      </c>
      <c r="W821" t="str">
        <f t="shared" si="180"/>
        <v>Tradiciones Andinas 09/24/2025</v>
      </c>
      <c r="Z821">
        <f t="shared" si="181"/>
        <v>277.27999999999997</v>
      </c>
    </row>
    <row r="822" spans="1:26" hidden="1" x14ac:dyDescent="0.25">
      <c r="A822" s="2" t="s">
        <v>664</v>
      </c>
      <c r="B822" s="11" t="s">
        <v>665</v>
      </c>
      <c r="C822" s="11" t="s">
        <v>4</v>
      </c>
      <c r="D822" s="11" t="s">
        <v>666</v>
      </c>
      <c r="E822" s="11" t="s">
        <v>673</v>
      </c>
      <c r="F822" s="11" t="s">
        <v>674</v>
      </c>
      <c r="G822" s="12">
        <v>2</v>
      </c>
      <c r="H822" s="12">
        <v>31.2</v>
      </c>
      <c r="I822" s="12">
        <v>62.4</v>
      </c>
      <c r="J822" s="12">
        <v>239.52</v>
      </c>
      <c r="K822" s="20">
        <f t="shared" si="168"/>
        <v>7</v>
      </c>
      <c r="L822" s="20" t="str">
        <f t="shared" si="169"/>
        <v>Se repite 7 veces</v>
      </c>
      <c r="M822" s="20" t="str">
        <f t="shared" si="170"/>
        <v>Tradiciones Andinas-T.A Aji Mirasol Pasta 7.5oz x 24</v>
      </c>
      <c r="N822" s="20">
        <f t="shared" si="171"/>
        <v>7</v>
      </c>
      <c r="O822" s="20" t="str">
        <f t="shared" si="172"/>
        <v>Se repite 7 veces en Tradiciones Andinas</v>
      </c>
      <c r="P822" s="20" t="str">
        <f t="shared" si="173"/>
        <v>Tradiciones Andinas-T.A Aji Mirasol Pasta 7.5oz x 24-31.2</v>
      </c>
      <c r="Q822" s="20">
        <f t="shared" si="174"/>
        <v>3</v>
      </c>
      <c r="R822" s="20" t="str">
        <f t="shared" si="175"/>
        <v>Se repite 3 veces el precio de 31.2</v>
      </c>
      <c r="S822" s="20" t="str">
        <f t="shared" si="176"/>
        <v>El producto T.A Aji Mirasol Pasta 7.5oz x 24 Se repite 7 veces en Tradiciones Andinas, Se repite 3 veces el precio de 31.2</v>
      </c>
      <c r="T822" s="20" t="str">
        <f t="shared" si="177"/>
        <v>Tradiciones Andinas</v>
      </c>
      <c r="U822" s="20" t="str">
        <f t="shared" si="178"/>
        <v>T.A Aji Mirasol Pasta 7.5oz x 24</v>
      </c>
      <c r="V822" s="22">
        <f t="shared" si="179"/>
        <v>31.2</v>
      </c>
      <c r="W822" t="str">
        <f t="shared" si="180"/>
        <v>Tradiciones Andinas 03/31/2025</v>
      </c>
      <c r="Z822">
        <f t="shared" si="181"/>
        <v>62.4</v>
      </c>
    </row>
    <row r="823" spans="1:26" hidden="1" x14ac:dyDescent="0.25">
      <c r="A823" s="2" t="s">
        <v>664</v>
      </c>
      <c r="B823" s="11" t="s">
        <v>398</v>
      </c>
      <c r="C823" s="11" t="s">
        <v>4</v>
      </c>
      <c r="D823" s="11" t="s">
        <v>5</v>
      </c>
      <c r="E823" s="11" t="s">
        <v>673</v>
      </c>
      <c r="F823" s="11" t="s">
        <v>674</v>
      </c>
      <c r="G823" s="12">
        <v>2</v>
      </c>
      <c r="H823" s="12">
        <v>31.2</v>
      </c>
      <c r="I823" s="12">
        <v>62.4</v>
      </c>
      <c r="J823" s="12">
        <v>3586.0399999999995</v>
      </c>
      <c r="K823" s="20">
        <f t="shared" si="168"/>
        <v>7</v>
      </c>
      <c r="L823" s="20" t="str">
        <f t="shared" si="169"/>
        <v>Se repite 7 veces</v>
      </c>
      <c r="M823" s="20" t="str">
        <f t="shared" si="170"/>
        <v>Tradiciones Andinas-T.A Aji Mirasol Pasta 7.5oz x 24</v>
      </c>
      <c r="N823" s="20">
        <f t="shared" si="171"/>
        <v>7</v>
      </c>
      <c r="O823" s="20" t="str">
        <f t="shared" si="172"/>
        <v>Se repite 7 veces en Tradiciones Andinas</v>
      </c>
      <c r="P823" s="20" t="str">
        <f t="shared" si="173"/>
        <v>Tradiciones Andinas-T.A Aji Mirasol Pasta 7.5oz x 24-31.2</v>
      </c>
      <c r="Q823" s="20">
        <f t="shared" si="174"/>
        <v>3</v>
      </c>
      <c r="R823" s="20" t="str">
        <f t="shared" si="175"/>
        <v>Se repite 3 veces el precio de 31.2</v>
      </c>
      <c r="S823" s="20" t="str">
        <f t="shared" si="176"/>
        <v>El producto T.A Aji Mirasol Pasta 7.5oz x 24 Se repite 7 veces en Tradiciones Andinas, Se repite 3 veces el precio de 31.2</v>
      </c>
      <c r="T823" s="20" t="str">
        <f t="shared" si="177"/>
        <v>Tradiciones Andinas</v>
      </c>
      <c r="U823" s="20" t="str">
        <f t="shared" si="178"/>
        <v>T.A Aji Mirasol Pasta 7.5oz x 24</v>
      </c>
      <c r="V823" s="22">
        <f t="shared" si="179"/>
        <v>31.2</v>
      </c>
      <c r="W823" t="str">
        <f t="shared" si="180"/>
        <v>Tradiciones Andinas 04/10/2025</v>
      </c>
      <c r="Z823">
        <f t="shared" si="181"/>
        <v>62.4</v>
      </c>
    </row>
    <row r="824" spans="1:26" hidden="1" x14ac:dyDescent="0.25">
      <c r="A824" s="2" t="s">
        <v>664</v>
      </c>
      <c r="B824" s="11" t="s">
        <v>821</v>
      </c>
      <c r="C824" s="11" t="s">
        <v>4</v>
      </c>
      <c r="D824" s="11" t="s">
        <v>822</v>
      </c>
      <c r="E824" s="11" t="s">
        <v>673</v>
      </c>
      <c r="F824" s="11" t="s">
        <v>674</v>
      </c>
      <c r="G824" s="12">
        <v>4</v>
      </c>
      <c r="H824" s="12">
        <v>31.2</v>
      </c>
      <c r="I824" s="12">
        <v>124.8</v>
      </c>
      <c r="J824" s="12">
        <v>9031.6799999999967</v>
      </c>
      <c r="K824" s="20">
        <f t="shared" si="168"/>
        <v>7</v>
      </c>
      <c r="L824" s="20" t="str">
        <f t="shared" si="169"/>
        <v>Se repite 7 veces</v>
      </c>
      <c r="M824" s="20" t="str">
        <f t="shared" si="170"/>
        <v>Tradiciones Andinas-T.A Aji Mirasol Pasta 7.5oz x 24</v>
      </c>
      <c r="N824" s="20">
        <f t="shared" si="171"/>
        <v>7</v>
      </c>
      <c r="O824" s="20" t="str">
        <f t="shared" si="172"/>
        <v>Se repite 7 veces en Tradiciones Andinas</v>
      </c>
      <c r="P824" s="20" t="str">
        <f t="shared" si="173"/>
        <v>Tradiciones Andinas-T.A Aji Mirasol Pasta 7.5oz x 24-31.2</v>
      </c>
      <c r="Q824" s="20">
        <f t="shared" si="174"/>
        <v>3</v>
      </c>
      <c r="R824" s="20" t="str">
        <f t="shared" si="175"/>
        <v>Se repite 3 veces el precio de 31.2</v>
      </c>
      <c r="S824" s="20" t="str">
        <f t="shared" si="176"/>
        <v>El producto T.A Aji Mirasol Pasta 7.5oz x 24 Se repite 7 veces en Tradiciones Andinas, Se repite 3 veces el precio de 31.2</v>
      </c>
      <c r="T824" s="20" t="str">
        <f t="shared" si="177"/>
        <v>Tradiciones Andinas</v>
      </c>
      <c r="U824" s="20" t="str">
        <f t="shared" si="178"/>
        <v>T.A Aji Mirasol Pasta 7.5oz x 24</v>
      </c>
      <c r="V824" s="22">
        <f t="shared" si="179"/>
        <v>31.2</v>
      </c>
      <c r="W824" t="str">
        <f t="shared" si="180"/>
        <v>Tradiciones Andinas 04/25/2025</v>
      </c>
      <c r="Z824">
        <f t="shared" si="181"/>
        <v>124.8</v>
      </c>
    </row>
    <row r="825" spans="1:26" hidden="1" x14ac:dyDescent="0.25">
      <c r="A825" s="2" t="s">
        <v>664</v>
      </c>
      <c r="B825" s="11" t="s">
        <v>1033</v>
      </c>
      <c r="C825" s="11" t="s">
        <v>4</v>
      </c>
      <c r="D825" s="11" t="s">
        <v>1034</v>
      </c>
      <c r="E825" s="11" t="s">
        <v>673</v>
      </c>
      <c r="F825" s="11" t="s">
        <v>1037</v>
      </c>
      <c r="G825" s="12">
        <v>3</v>
      </c>
      <c r="H825" s="12">
        <v>33.380000000000003</v>
      </c>
      <c r="I825" s="12">
        <v>100.14</v>
      </c>
      <c r="J825" s="12">
        <v>46352.989999999983</v>
      </c>
      <c r="K825" s="20">
        <f t="shared" si="168"/>
        <v>7</v>
      </c>
      <c r="L825" s="20" t="str">
        <f t="shared" si="169"/>
        <v>Se repite 7 veces</v>
      </c>
      <c r="M825" s="20" t="str">
        <f t="shared" si="170"/>
        <v>Tradiciones Andinas-T.A Aji Mirasol Pasta 7.5oz x 24</v>
      </c>
      <c r="N825" s="20">
        <f t="shared" si="171"/>
        <v>7</v>
      </c>
      <c r="O825" s="20" t="str">
        <f t="shared" si="172"/>
        <v>Se repite 7 veces en Tradiciones Andinas</v>
      </c>
      <c r="P825" s="20" t="str">
        <f t="shared" si="173"/>
        <v>Tradiciones Andinas-T.A Aji Mirasol Pasta 7.5oz x 24-33.38</v>
      </c>
      <c r="Q825" s="20">
        <f t="shared" si="174"/>
        <v>4</v>
      </c>
      <c r="R825" s="20" t="str">
        <f t="shared" si="175"/>
        <v>Se repite 4 veces el precio de 33.38</v>
      </c>
      <c r="S825" s="20" t="str">
        <f t="shared" si="176"/>
        <v>El producto T.A Aji Mirasol Pasta 7.5oz x 24 Se repite 7 veces en Tradiciones Andinas, Se repite 4 veces el precio de 33.38</v>
      </c>
      <c r="T825" s="20" t="str">
        <f t="shared" si="177"/>
        <v>Tradiciones Andinas</v>
      </c>
      <c r="U825" s="20" t="str">
        <f t="shared" si="178"/>
        <v>T.A Aji Mirasol Pasta 7.5oz x 24</v>
      </c>
      <c r="V825" s="22">
        <f t="shared" si="179"/>
        <v>33.380000000000003</v>
      </c>
      <c r="W825" t="str">
        <f t="shared" si="180"/>
        <v>Tradiciones Andinas 07/03/2025</v>
      </c>
      <c r="Z825">
        <f t="shared" si="181"/>
        <v>100.14000000000001</v>
      </c>
    </row>
    <row r="826" spans="1:26" hidden="1" x14ac:dyDescent="0.25">
      <c r="A826" s="2" t="s">
        <v>664</v>
      </c>
      <c r="B826" s="11" t="s">
        <v>1125</v>
      </c>
      <c r="C826" s="11" t="s">
        <v>4</v>
      </c>
      <c r="D826" s="11" t="s">
        <v>1126</v>
      </c>
      <c r="E826" s="11" t="s">
        <v>673</v>
      </c>
      <c r="F826" s="11" t="s">
        <v>1037</v>
      </c>
      <c r="G826" s="12">
        <v>1</v>
      </c>
      <c r="H826" s="12">
        <v>33.380000000000003</v>
      </c>
      <c r="I826" s="12">
        <v>33.380000000000003</v>
      </c>
      <c r="J826" s="12">
        <v>67179.98</v>
      </c>
      <c r="K826" s="20">
        <f t="shared" si="168"/>
        <v>7</v>
      </c>
      <c r="L826" s="20" t="str">
        <f t="shared" si="169"/>
        <v>Se repite 7 veces</v>
      </c>
      <c r="M826" s="20" t="str">
        <f t="shared" si="170"/>
        <v>Tradiciones Andinas-T.A Aji Mirasol Pasta 7.5oz x 24</v>
      </c>
      <c r="N826" s="20">
        <f t="shared" si="171"/>
        <v>7</v>
      </c>
      <c r="O826" s="20" t="str">
        <f t="shared" si="172"/>
        <v>Se repite 7 veces en Tradiciones Andinas</v>
      </c>
      <c r="P826" s="20" t="str">
        <f t="shared" si="173"/>
        <v>Tradiciones Andinas-T.A Aji Mirasol Pasta 7.5oz x 24-33.38</v>
      </c>
      <c r="Q826" s="20">
        <f t="shared" si="174"/>
        <v>4</v>
      </c>
      <c r="R826" s="20" t="str">
        <f t="shared" si="175"/>
        <v>Se repite 4 veces el precio de 33.38</v>
      </c>
      <c r="S826" s="20" t="str">
        <f t="shared" si="176"/>
        <v>El producto T.A Aji Mirasol Pasta 7.5oz x 24 Se repite 7 veces en Tradiciones Andinas, Se repite 4 veces el precio de 33.38</v>
      </c>
      <c r="T826" s="20" t="str">
        <f t="shared" si="177"/>
        <v>Tradiciones Andinas</v>
      </c>
      <c r="U826" s="20" t="str">
        <f t="shared" si="178"/>
        <v>T.A Aji Mirasol Pasta 7.5oz x 24</v>
      </c>
      <c r="V826" s="22">
        <f t="shared" si="179"/>
        <v>33.380000000000003</v>
      </c>
      <c r="W826" t="str">
        <f t="shared" si="180"/>
        <v>Tradiciones Andinas 08/18/2025</v>
      </c>
      <c r="Z826">
        <f t="shared" si="181"/>
        <v>33.380000000000003</v>
      </c>
    </row>
    <row r="827" spans="1:26" hidden="1" x14ac:dyDescent="0.25">
      <c r="A827" s="2" t="s">
        <v>664</v>
      </c>
      <c r="B827" s="11" t="s">
        <v>1153</v>
      </c>
      <c r="C827" s="11" t="s">
        <v>4</v>
      </c>
      <c r="D827" s="11" t="s">
        <v>1154</v>
      </c>
      <c r="E827" s="11" t="s">
        <v>673</v>
      </c>
      <c r="F827" s="11" t="s">
        <v>1037</v>
      </c>
      <c r="G827" s="12">
        <v>2</v>
      </c>
      <c r="H827" s="12">
        <v>33.380000000000003</v>
      </c>
      <c r="I827" s="12">
        <v>66.760000000000005</v>
      </c>
      <c r="J827" s="12">
        <v>75024.959999999992</v>
      </c>
      <c r="K827" s="20">
        <f t="shared" si="168"/>
        <v>7</v>
      </c>
      <c r="L827" s="20" t="str">
        <f t="shared" si="169"/>
        <v>Se repite 7 veces</v>
      </c>
      <c r="M827" s="20" t="str">
        <f t="shared" si="170"/>
        <v>Tradiciones Andinas-T.A Aji Mirasol Pasta 7.5oz x 24</v>
      </c>
      <c r="N827" s="20">
        <f t="shared" si="171"/>
        <v>7</v>
      </c>
      <c r="O827" s="20" t="str">
        <f t="shared" si="172"/>
        <v>Se repite 7 veces en Tradiciones Andinas</v>
      </c>
      <c r="P827" s="20" t="str">
        <f t="shared" si="173"/>
        <v>Tradiciones Andinas-T.A Aji Mirasol Pasta 7.5oz x 24-33.38</v>
      </c>
      <c r="Q827" s="20">
        <f t="shared" si="174"/>
        <v>4</v>
      </c>
      <c r="R827" s="20" t="str">
        <f t="shared" si="175"/>
        <v>Se repite 4 veces el precio de 33.38</v>
      </c>
      <c r="S827" s="20" t="str">
        <f t="shared" si="176"/>
        <v>El producto T.A Aji Mirasol Pasta 7.5oz x 24 Se repite 7 veces en Tradiciones Andinas, Se repite 4 veces el precio de 33.38</v>
      </c>
      <c r="T827" s="20" t="str">
        <f t="shared" si="177"/>
        <v>Tradiciones Andinas</v>
      </c>
      <c r="U827" s="20" t="str">
        <f t="shared" si="178"/>
        <v>T.A Aji Mirasol Pasta 7.5oz x 24</v>
      </c>
      <c r="V827" s="22">
        <f t="shared" si="179"/>
        <v>33.380000000000003</v>
      </c>
      <c r="W827" t="str">
        <f t="shared" si="180"/>
        <v>Tradiciones Andinas 09/24/2025</v>
      </c>
      <c r="Z827">
        <f t="shared" si="181"/>
        <v>66.760000000000005</v>
      </c>
    </row>
    <row r="828" spans="1:26" hidden="1" x14ac:dyDescent="0.25">
      <c r="A828" s="2" t="s">
        <v>664</v>
      </c>
      <c r="B828" s="11" t="s">
        <v>1201</v>
      </c>
      <c r="C828" s="11" t="s">
        <v>4</v>
      </c>
      <c r="D828" s="11" t="s">
        <v>1202</v>
      </c>
      <c r="E828" s="11" t="s">
        <v>673</v>
      </c>
      <c r="F828" s="11" t="s">
        <v>1037</v>
      </c>
      <c r="G828" s="12">
        <v>2</v>
      </c>
      <c r="H828" s="12">
        <v>33.380000000000003</v>
      </c>
      <c r="I828" s="12">
        <v>66.760000000000005</v>
      </c>
      <c r="J828" s="12">
        <v>100321.58999999994</v>
      </c>
      <c r="K828" s="20">
        <f t="shared" si="168"/>
        <v>7</v>
      </c>
      <c r="L828" s="20" t="str">
        <f t="shared" si="169"/>
        <v>Se repite 7 veces</v>
      </c>
      <c r="M828" s="20" t="str">
        <f t="shared" si="170"/>
        <v>Tradiciones Andinas-T.A Aji Mirasol Pasta 7.5oz x 24</v>
      </c>
      <c r="N828" s="20">
        <f t="shared" si="171"/>
        <v>7</v>
      </c>
      <c r="O828" s="20" t="str">
        <f t="shared" si="172"/>
        <v>Se repite 7 veces en Tradiciones Andinas</v>
      </c>
      <c r="P828" s="20" t="str">
        <f t="shared" si="173"/>
        <v>Tradiciones Andinas-T.A Aji Mirasol Pasta 7.5oz x 24-33.38</v>
      </c>
      <c r="Q828" s="20">
        <f t="shared" si="174"/>
        <v>4</v>
      </c>
      <c r="R828" s="20" t="str">
        <f t="shared" si="175"/>
        <v>Se repite 4 veces el precio de 33.38</v>
      </c>
      <c r="S828" s="20" t="str">
        <f t="shared" si="176"/>
        <v>El producto T.A Aji Mirasol Pasta 7.5oz x 24 Se repite 7 veces en Tradiciones Andinas, Se repite 4 veces el precio de 33.38</v>
      </c>
      <c r="T828" s="20" t="str">
        <f t="shared" si="177"/>
        <v>Tradiciones Andinas</v>
      </c>
      <c r="U828" s="20" t="str">
        <f t="shared" si="178"/>
        <v>T.A Aji Mirasol Pasta 7.5oz x 24</v>
      </c>
      <c r="V828" s="22">
        <f t="shared" si="179"/>
        <v>33.380000000000003</v>
      </c>
      <c r="W828" t="str">
        <f t="shared" si="180"/>
        <v>Tradiciones Andinas 11/07/2025</v>
      </c>
      <c r="Z828">
        <f t="shared" si="181"/>
        <v>66.760000000000005</v>
      </c>
    </row>
    <row r="829" spans="1:26" hidden="1" x14ac:dyDescent="0.25">
      <c r="A829" s="2" t="s">
        <v>664</v>
      </c>
      <c r="B829" s="11" t="s">
        <v>1092</v>
      </c>
      <c r="C829" s="11" t="s">
        <v>4</v>
      </c>
      <c r="D829" s="11" t="s">
        <v>1093</v>
      </c>
      <c r="E829" s="11" t="s">
        <v>1117</v>
      </c>
      <c r="F829" s="11" t="s">
        <v>1118</v>
      </c>
      <c r="G829" s="12">
        <v>1</v>
      </c>
      <c r="H829" s="12">
        <v>28.56</v>
      </c>
      <c r="I829" s="12">
        <v>28.56</v>
      </c>
      <c r="J829" s="12">
        <v>63319.459999999948</v>
      </c>
      <c r="K829" s="20">
        <f t="shared" si="168"/>
        <v>2</v>
      </c>
      <c r="L829" s="20" t="str">
        <f t="shared" si="169"/>
        <v>Se repite 2 veces</v>
      </c>
      <c r="M829" s="20" t="str">
        <f t="shared" si="170"/>
        <v>Tradiciones Andinas-T.A Aji Mirasol Seco / Dried Yellow Pepper 2oz x 24</v>
      </c>
      <c r="N829" s="20">
        <f t="shared" si="171"/>
        <v>2</v>
      </c>
      <c r="O829" s="20" t="str">
        <f t="shared" si="172"/>
        <v>Se repite 2 veces en Tradiciones Andinas</v>
      </c>
      <c r="P829" s="20" t="str">
        <f t="shared" si="173"/>
        <v>Tradiciones Andinas-T.A Aji Mirasol Seco / Dried Yellow Pepper 2oz x 24-28.56</v>
      </c>
      <c r="Q829" s="20">
        <f t="shared" si="174"/>
        <v>2</v>
      </c>
      <c r="R829" s="20" t="str">
        <f t="shared" si="175"/>
        <v>Se repite 2 veces el precio de 28.56</v>
      </c>
      <c r="S829" s="20" t="str">
        <f t="shared" si="176"/>
        <v>El producto T.A Aji Mirasol Seco / Dried Yellow Pepper 2oz x 24 Se repite 2 veces en Tradiciones Andinas, Se repite 2 veces el precio de 28.56</v>
      </c>
      <c r="T829" s="20" t="str">
        <f t="shared" si="177"/>
        <v>Tradiciones Andinas</v>
      </c>
      <c r="U829" s="20" t="str">
        <f t="shared" si="178"/>
        <v>T.A Aji Mirasol Seco / Dried Yellow Pepper 2oz x 24</v>
      </c>
      <c r="V829" s="22">
        <f t="shared" si="179"/>
        <v>28.56</v>
      </c>
      <c r="W829" t="str">
        <f t="shared" si="180"/>
        <v>Tradiciones Andinas 07/21/2025</v>
      </c>
      <c r="Z829">
        <f t="shared" si="181"/>
        <v>28.56</v>
      </c>
    </row>
    <row r="830" spans="1:26" hidden="1" x14ac:dyDescent="0.25">
      <c r="A830" s="2" t="s">
        <v>664</v>
      </c>
      <c r="B830" s="11" t="s">
        <v>1125</v>
      </c>
      <c r="C830" s="11" t="s">
        <v>4</v>
      </c>
      <c r="D830" s="11" t="s">
        <v>1126</v>
      </c>
      <c r="E830" s="11" t="s">
        <v>1117</v>
      </c>
      <c r="F830" s="11" t="s">
        <v>1118</v>
      </c>
      <c r="G830" s="12">
        <v>1</v>
      </c>
      <c r="H830" s="12">
        <v>28.56</v>
      </c>
      <c r="I830" s="12">
        <v>28.56</v>
      </c>
      <c r="J830" s="12">
        <v>69084.520000000019</v>
      </c>
      <c r="K830" s="20">
        <f t="shared" si="168"/>
        <v>2</v>
      </c>
      <c r="L830" s="20" t="str">
        <f t="shared" si="169"/>
        <v>Se repite 2 veces</v>
      </c>
      <c r="M830" s="20" t="str">
        <f t="shared" si="170"/>
        <v>Tradiciones Andinas-T.A Aji Mirasol Seco / Dried Yellow Pepper 2oz x 24</v>
      </c>
      <c r="N830" s="20">
        <f t="shared" si="171"/>
        <v>2</v>
      </c>
      <c r="O830" s="20" t="str">
        <f t="shared" si="172"/>
        <v>Se repite 2 veces en Tradiciones Andinas</v>
      </c>
      <c r="P830" s="20" t="str">
        <f t="shared" si="173"/>
        <v>Tradiciones Andinas-T.A Aji Mirasol Seco / Dried Yellow Pepper 2oz x 24-28.56</v>
      </c>
      <c r="Q830" s="20">
        <f t="shared" si="174"/>
        <v>2</v>
      </c>
      <c r="R830" s="20" t="str">
        <f t="shared" si="175"/>
        <v>Se repite 2 veces el precio de 28.56</v>
      </c>
      <c r="S830" s="20" t="str">
        <f t="shared" si="176"/>
        <v>El producto T.A Aji Mirasol Seco / Dried Yellow Pepper 2oz x 24 Se repite 2 veces en Tradiciones Andinas, Se repite 2 veces el precio de 28.56</v>
      </c>
      <c r="T830" s="20" t="str">
        <f t="shared" si="177"/>
        <v>Tradiciones Andinas</v>
      </c>
      <c r="U830" s="20" t="str">
        <f t="shared" si="178"/>
        <v>T.A Aji Mirasol Seco / Dried Yellow Pepper 2oz x 24</v>
      </c>
      <c r="V830" s="22">
        <f t="shared" si="179"/>
        <v>28.56</v>
      </c>
      <c r="W830" t="str">
        <f t="shared" si="180"/>
        <v>Tradiciones Andinas 08/18/2025</v>
      </c>
      <c r="Z830">
        <f t="shared" si="181"/>
        <v>28.56</v>
      </c>
    </row>
    <row r="831" spans="1:26" hidden="1" x14ac:dyDescent="0.25">
      <c r="A831" s="2" t="s">
        <v>664</v>
      </c>
      <c r="B831" s="11" t="s">
        <v>665</v>
      </c>
      <c r="C831" s="11" t="s">
        <v>4</v>
      </c>
      <c r="D831" s="11" t="s">
        <v>666</v>
      </c>
      <c r="E831" s="11" t="s">
        <v>675</v>
      </c>
      <c r="F831" s="11" t="s">
        <v>676</v>
      </c>
      <c r="G831" s="12">
        <v>2</v>
      </c>
      <c r="H831" s="12">
        <v>31.2</v>
      </c>
      <c r="I831" s="12">
        <v>62.4</v>
      </c>
      <c r="J831" s="12">
        <v>301.92</v>
      </c>
      <c r="K831" s="20">
        <f t="shared" si="168"/>
        <v>6</v>
      </c>
      <c r="L831" s="20" t="str">
        <f t="shared" si="169"/>
        <v>Se repite 6 veces</v>
      </c>
      <c r="M831" s="20" t="str">
        <f t="shared" si="170"/>
        <v>Tradiciones Andinas-T.A Aji Panca en Pasta "Poco Picante" 7.5oz x 24</v>
      </c>
      <c r="N831" s="20">
        <f t="shared" si="171"/>
        <v>6</v>
      </c>
      <c r="O831" s="20" t="str">
        <f t="shared" si="172"/>
        <v>Se repite 6 veces en Tradiciones Andinas</v>
      </c>
      <c r="P831" s="20" t="str">
        <f t="shared" si="173"/>
        <v>Tradiciones Andinas-T.A Aji Panca en Pasta "Poco Picante" 7.5oz x 24-31.2</v>
      </c>
      <c r="Q831" s="20">
        <f t="shared" si="174"/>
        <v>6</v>
      </c>
      <c r="R831" s="20" t="str">
        <f t="shared" si="175"/>
        <v>Se repite 6 veces el precio de 31.2</v>
      </c>
      <c r="S831" s="20" t="str">
        <f t="shared" si="176"/>
        <v>El producto T.A Aji Panca en Pasta "Poco Picante" 7.5oz x 24 Se repite 6 veces en Tradiciones Andinas, Se repite 6 veces el precio de 31.2</v>
      </c>
      <c r="T831" s="20" t="str">
        <f t="shared" si="177"/>
        <v>Tradiciones Andinas</v>
      </c>
      <c r="U831" s="20" t="str">
        <f t="shared" si="178"/>
        <v>T.A Aji Panca en Pasta "Poco Picante" 7.5oz x 24</v>
      </c>
      <c r="V831" s="22">
        <f t="shared" si="179"/>
        <v>31.2</v>
      </c>
      <c r="W831" t="str">
        <f t="shared" si="180"/>
        <v>Tradiciones Andinas 03/31/2025</v>
      </c>
      <c r="Z831">
        <f t="shared" si="181"/>
        <v>62.4</v>
      </c>
    </row>
    <row r="832" spans="1:26" hidden="1" x14ac:dyDescent="0.25">
      <c r="A832" s="2" t="s">
        <v>664</v>
      </c>
      <c r="B832" s="11" t="s">
        <v>398</v>
      </c>
      <c r="C832" s="11" t="s">
        <v>4</v>
      </c>
      <c r="D832" s="11" t="s">
        <v>5</v>
      </c>
      <c r="E832" s="11" t="s">
        <v>675</v>
      </c>
      <c r="F832" s="11" t="s">
        <v>676</v>
      </c>
      <c r="G832" s="12">
        <v>2</v>
      </c>
      <c r="H832" s="12">
        <v>31.2</v>
      </c>
      <c r="I832" s="12">
        <v>62.4</v>
      </c>
      <c r="J832" s="12">
        <v>3648.4399999999996</v>
      </c>
      <c r="K832" s="20">
        <f t="shared" si="168"/>
        <v>6</v>
      </c>
      <c r="L832" s="20" t="str">
        <f t="shared" si="169"/>
        <v>Se repite 6 veces</v>
      </c>
      <c r="M832" s="20" t="str">
        <f t="shared" si="170"/>
        <v>Tradiciones Andinas-T.A Aji Panca en Pasta "Poco Picante" 7.5oz x 24</v>
      </c>
      <c r="N832" s="20">
        <f t="shared" si="171"/>
        <v>6</v>
      </c>
      <c r="O832" s="20" t="str">
        <f t="shared" si="172"/>
        <v>Se repite 6 veces en Tradiciones Andinas</v>
      </c>
      <c r="P832" s="20" t="str">
        <f t="shared" si="173"/>
        <v>Tradiciones Andinas-T.A Aji Panca en Pasta "Poco Picante" 7.5oz x 24-31.2</v>
      </c>
      <c r="Q832" s="20">
        <f t="shared" si="174"/>
        <v>6</v>
      </c>
      <c r="R832" s="20" t="str">
        <f t="shared" si="175"/>
        <v>Se repite 6 veces el precio de 31.2</v>
      </c>
      <c r="S832" s="20" t="str">
        <f t="shared" si="176"/>
        <v>El producto T.A Aji Panca en Pasta "Poco Picante" 7.5oz x 24 Se repite 6 veces en Tradiciones Andinas, Se repite 6 veces el precio de 31.2</v>
      </c>
      <c r="T832" s="20" t="str">
        <f t="shared" si="177"/>
        <v>Tradiciones Andinas</v>
      </c>
      <c r="U832" s="20" t="str">
        <f t="shared" si="178"/>
        <v>T.A Aji Panca en Pasta "Poco Picante" 7.5oz x 24</v>
      </c>
      <c r="V832" s="22">
        <f t="shared" si="179"/>
        <v>31.2</v>
      </c>
      <c r="W832" t="str">
        <f t="shared" si="180"/>
        <v>Tradiciones Andinas 04/10/2025</v>
      </c>
      <c r="Z832">
        <f t="shared" si="181"/>
        <v>62.4</v>
      </c>
    </row>
    <row r="833" spans="1:26" hidden="1" x14ac:dyDescent="0.25">
      <c r="A833" s="2" t="s">
        <v>664</v>
      </c>
      <c r="B833" s="11" t="s">
        <v>821</v>
      </c>
      <c r="C833" s="11" t="s">
        <v>4</v>
      </c>
      <c r="D833" s="11" t="s">
        <v>822</v>
      </c>
      <c r="E833" s="11" t="s">
        <v>675</v>
      </c>
      <c r="F833" s="11" t="s">
        <v>676</v>
      </c>
      <c r="G833" s="12">
        <v>6</v>
      </c>
      <c r="H833" s="12">
        <v>31.2</v>
      </c>
      <c r="I833" s="12">
        <v>187.2</v>
      </c>
      <c r="J833" s="12">
        <v>9338.8799999999974</v>
      </c>
      <c r="K833" s="20">
        <f t="shared" si="168"/>
        <v>6</v>
      </c>
      <c r="L833" s="20" t="str">
        <f t="shared" si="169"/>
        <v>Se repite 6 veces</v>
      </c>
      <c r="M833" s="20" t="str">
        <f t="shared" si="170"/>
        <v>Tradiciones Andinas-T.A Aji Panca en Pasta "Poco Picante" 7.5oz x 24</v>
      </c>
      <c r="N833" s="20">
        <f t="shared" si="171"/>
        <v>6</v>
      </c>
      <c r="O833" s="20" t="str">
        <f t="shared" si="172"/>
        <v>Se repite 6 veces en Tradiciones Andinas</v>
      </c>
      <c r="P833" s="20" t="str">
        <f t="shared" si="173"/>
        <v>Tradiciones Andinas-T.A Aji Panca en Pasta "Poco Picante" 7.5oz x 24-31.2</v>
      </c>
      <c r="Q833" s="20">
        <f t="shared" si="174"/>
        <v>6</v>
      </c>
      <c r="R833" s="20" t="str">
        <f t="shared" si="175"/>
        <v>Se repite 6 veces el precio de 31.2</v>
      </c>
      <c r="S833" s="20" t="str">
        <f t="shared" si="176"/>
        <v>El producto T.A Aji Panca en Pasta "Poco Picante" 7.5oz x 24 Se repite 6 veces en Tradiciones Andinas, Se repite 6 veces el precio de 31.2</v>
      </c>
      <c r="T833" s="20" t="str">
        <f t="shared" si="177"/>
        <v>Tradiciones Andinas</v>
      </c>
      <c r="U833" s="20" t="str">
        <f t="shared" si="178"/>
        <v>T.A Aji Panca en Pasta "Poco Picante" 7.5oz x 24</v>
      </c>
      <c r="V833" s="22">
        <f t="shared" si="179"/>
        <v>31.2</v>
      </c>
      <c r="W833" t="str">
        <f t="shared" si="180"/>
        <v>Tradiciones Andinas 04/25/2025</v>
      </c>
      <c r="Z833">
        <f t="shared" si="181"/>
        <v>187.2</v>
      </c>
    </row>
    <row r="834" spans="1:26" hidden="1" x14ac:dyDescent="0.25">
      <c r="A834" s="2" t="s">
        <v>664</v>
      </c>
      <c r="B834" s="11" t="s">
        <v>1125</v>
      </c>
      <c r="C834" s="11" t="s">
        <v>4</v>
      </c>
      <c r="D834" s="11" t="s">
        <v>1126</v>
      </c>
      <c r="E834" s="11" t="s">
        <v>675</v>
      </c>
      <c r="F834" s="11" t="s">
        <v>1127</v>
      </c>
      <c r="G834" s="12">
        <v>8</v>
      </c>
      <c r="H834" s="12">
        <v>31.2</v>
      </c>
      <c r="I834" s="12">
        <v>249.6</v>
      </c>
      <c r="J834" s="12">
        <v>67622.180000000008</v>
      </c>
      <c r="K834" s="20">
        <f t="shared" si="168"/>
        <v>6</v>
      </c>
      <c r="L834" s="20" t="str">
        <f t="shared" si="169"/>
        <v>Se repite 6 veces</v>
      </c>
      <c r="M834" s="20" t="str">
        <f t="shared" si="170"/>
        <v>Tradiciones Andinas-T.A Aji Panca en Pasta "Poco Picante" 7.5oz x 24</v>
      </c>
      <c r="N834" s="20">
        <f t="shared" si="171"/>
        <v>6</v>
      </c>
      <c r="O834" s="20" t="str">
        <f t="shared" si="172"/>
        <v>Se repite 6 veces en Tradiciones Andinas</v>
      </c>
      <c r="P834" s="20" t="str">
        <f t="shared" si="173"/>
        <v>Tradiciones Andinas-T.A Aji Panca en Pasta "Poco Picante" 7.5oz x 24-31.2</v>
      </c>
      <c r="Q834" s="20">
        <f t="shared" si="174"/>
        <v>6</v>
      </c>
      <c r="R834" s="20" t="str">
        <f t="shared" si="175"/>
        <v>Se repite 6 veces el precio de 31.2</v>
      </c>
      <c r="S834" s="20" t="str">
        <f t="shared" si="176"/>
        <v>El producto T.A Aji Panca en Pasta "Poco Picante" 7.5oz x 24 Se repite 6 veces en Tradiciones Andinas, Se repite 6 veces el precio de 31.2</v>
      </c>
      <c r="T834" s="20" t="str">
        <f t="shared" si="177"/>
        <v>Tradiciones Andinas</v>
      </c>
      <c r="U834" s="20" t="str">
        <f t="shared" si="178"/>
        <v>T.A Aji Panca en Pasta "Poco Picante" 7.5oz x 24</v>
      </c>
      <c r="V834" s="22">
        <f t="shared" si="179"/>
        <v>31.2</v>
      </c>
      <c r="W834" t="str">
        <f t="shared" si="180"/>
        <v>Tradiciones Andinas 08/18/2025</v>
      </c>
      <c r="Z834">
        <f t="shared" si="181"/>
        <v>249.6</v>
      </c>
    </row>
    <row r="835" spans="1:26" hidden="1" x14ac:dyDescent="0.25">
      <c r="A835" s="2" t="s">
        <v>664</v>
      </c>
      <c r="B835" s="11" t="s">
        <v>1153</v>
      </c>
      <c r="C835" s="11" t="s">
        <v>4</v>
      </c>
      <c r="D835" s="11" t="s">
        <v>1154</v>
      </c>
      <c r="E835" s="11" t="s">
        <v>675</v>
      </c>
      <c r="F835" s="11" t="s">
        <v>1127</v>
      </c>
      <c r="G835" s="12">
        <v>6</v>
      </c>
      <c r="H835" s="12">
        <v>31.2</v>
      </c>
      <c r="I835" s="12">
        <v>187.2</v>
      </c>
      <c r="J835" s="12">
        <v>75436.859999999986</v>
      </c>
      <c r="K835" s="20">
        <f t="shared" ref="K835:K898" si="182">COUNTIF($E$2:$E$1438,E835)</f>
        <v>6</v>
      </c>
      <c r="L835" s="20" t="str">
        <f t="shared" ref="L835:L898" si="183">IF(K835&gt;1,_xlfn.CONCAT("Se repite ",K835," veces"),"No se repite")</f>
        <v>Se repite 6 veces</v>
      </c>
      <c r="M835" s="20" t="str">
        <f t="shared" ref="M835:M898" si="184">_xlfn.CONCAT(A835,"-",E835)</f>
        <v>Tradiciones Andinas-T.A Aji Panca en Pasta "Poco Picante" 7.5oz x 24</v>
      </c>
      <c r="N835" s="20">
        <f t="shared" ref="N835:N898" si="185">COUNTIF($M$2:$M$1438,M835)</f>
        <v>6</v>
      </c>
      <c r="O835" s="20" t="str">
        <f t="shared" ref="O835:O898" si="186">IF(N835&gt;1,_xlfn.CONCAT("Se repite ",N835," veces en ",A835),"No se repite en proveedor")</f>
        <v>Se repite 6 veces en Tradiciones Andinas</v>
      </c>
      <c r="P835" s="20" t="str">
        <f t="shared" ref="P835:P898" si="187">_xlfn.CONCAT(A835,"-",E835,"-",H835)</f>
        <v>Tradiciones Andinas-T.A Aji Panca en Pasta "Poco Picante" 7.5oz x 24-31.2</v>
      </c>
      <c r="Q835" s="20">
        <f t="shared" ref="Q835:Q898" si="188">COUNTIF($P$2:$P$1438,P835)</f>
        <v>6</v>
      </c>
      <c r="R835" s="20" t="str">
        <f t="shared" ref="R835:R898" si="189">IF(Q835&gt;1,_xlfn.CONCAT("Se repite ",Q835," veces el precio de ",H835),"No se repite")</f>
        <v>Se repite 6 veces el precio de 31.2</v>
      </c>
      <c r="S835" s="20" t="str">
        <f t="shared" ref="S835:S898" si="190">_xlfn.CONCAT("El producto ",E835," ",O835,IF(R835="No se repite",_xlfn.CONCAT(" Una vez con el precio ",H835),_xlfn.CONCAT(", ",R835)))</f>
        <v>El producto T.A Aji Panca en Pasta "Poco Picante" 7.5oz x 24 Se repite 6 veces en Tradiciones Andinas, Se repite 6 veces el precio de 31.2</v>
      </c>
      <c r="T835" s="20" t="str">
        <f t="shared" ref="T835:T898" si="191">+A835</f>
        <v>Tradiciones Andinas</v>
      </c>
      <c r="U835" s="20" t="str">
        <f t="shared" ref="U835:U898" si="192">+E835</f>
        <v>T.A Aji Panca en Pasta "Poco Picante" 7.5oz x 24</v>
      </c>
      <c r="V835" s="22">
        <f t="shared" ref="V835:V898" si="193">+H835</f>
        <v>31.2</v>
      </c>
      <c r="W835" t="str">
        <f t="shared" ref="W835:W898" si="194">_xlfn.CONCAT(A835," ",B835)</f>
        <v>Tradiciones Andinas 09/24/2025</v>
      </c>
      <c r="Z835">
        <f t="shared" ref="Z835:Z898" si="195">G835*H835</f>
        <v>187.2</v>
      </c>
    </row>
    <row r="836" spans="1:26" hidden="1" x14ac:dyDescent="0.25">
      <c r="A836" s="2" t="s">
        <v>664</v>
      </c>
      <c r="B836" s="11" t="s">
        <v>1207</v>
      </c>
      <c r="C836" s="11" t="s">
        <v>4</v>
      </c>
      <c r="D836" s="11" t="s">
        <v>1208</v>
      </c>
      <c r="E836" s="11" t="s">
        <v>675</v>
      </c>
      <c r="F836" s="11" t="s">
        <v>1127</v>
      </c>
      <c r="G836" s="12">
        <v>2</v>
      </c>
      <c r="H836" s="12">
        <v>31.2</v>
      </c>
      <c r="I836" s="12">
        <v>62.4</v>
      </c>
      <c r="J836" s="12">
        <v>105581.51999999995</v>
      </c>
      <c r="K836" s="20">
        <f t="shared" si="182"/>
        <v>6</v>
      </c>
      <c r="L836" s="20" t="str">
        <f t="shared" si="183"/>
        <v>Se repite 6 veces</v>
      </c>
      <c r="M836" s="20" t="str">
        <f t="shared" si="184"/>
        <v>Tradiciones Andinas-T.A Aji Panca en Pasta "Poco Picante" 7.5oz x 24</v>
      </c>
      <c r="N836" s="20">
        <f t="shared" si="185"/>
        <v>6</v>
      </c>
      <c r="O836" s="20" t="str">
        <f t="shared" si="186"/>
        <v>Se repite 6 veces en Tradiciones Andinas</v>
      </c>
      <c r="P836" s="20" t="str">
        <f t="shared" si="187"/>
        <v>Tradiciones Andinas-T.A Aji Panca en Pasta "Poco Picante" 7.5oz x 24-31.2</v>
      </c>
      <c r="Q836" s="20">
        <f t="shared" si="188"/>
        <v>6</v>
      </c>
      <c r="R836" s="20" t="str">
        <f t="shared" si="189"/>
        <v>Se repite 6 veces el precio de 31.2</v>
      </c>
      <c r="S836" s="20" t="str">
        <f t="shared" si="190"/>
        <v>El producto T.A Aji Panca en Pasta "Poco Picante" 7.5oz x 24 Se repite 6 veces en Tradiciones Andinas, Se repite 6 veces el precio de 31.2</v>
      </c>
      <c r="T836" s="20" t="str">
        <f t="shared" si="191"/>
        <v>Tradiciones Andinas</v>
      </c>
      <c r="U836" s="20" t="str">
        <f t="shared" si="192"/>
        <v>T.A Aji Panca en Pasta "Poco Picante" 7.5oz x 24</v>
      </c>
      <c r="V836" s="22">
        <f t="shared" si="193"/>
        <v>31.2</v>
      </c>
      <c r="W836" t="str">
        <f t="shared" si="194"/>
        <v>Tradiciones Andinas 11/28/2025</v>
      </c>
      <c r="Z836">
        <f t="shared" si="195"/>
        <v>62.4</v>
      </c>
    </row>
    <row r="837" spans="1:26" hidden="1" x14ac:dyDescent="0.25">
      <c r="A837" s="2" t="s">
        <v>664</v>
      </c>
      <c r="B837" s="11" t="s">
        <v>665</v>
      </c>
      <c r="C837" s="11" t="s">
        <v>4</v>
      </c>
      <c r="D837" s="11" t="s">
        <v>666</v>
      </c>
      <c r="E837" s="11" t="s">
        <v>683</v>
      </c>
      <c r="F837" s="11" t="s">
        <v>684</v>
      </c>
      <c r="G837" s="12">
        <v>2</v>
      </c>
      <c r="H837" s="12">
        <v>19.2</v>
      </c>
      <c r="I837" s="12">
        <v>38.4</v>
      </c>
      <c r="J837" s="12">
        <v>443.40000000000003</v>
      </c>
      <c r="K837" s="20">
        <f t="shared" si="182"/>
        <v>3</v>
      </c>
      <c r="L837" s="20" t="str">
        <f t="shared" si="183"/>
        <v>Se repite 3 veces</v>
      </c>
      <c r="M837" s="20" t="str">
        <f t="shared" si="184"/>
        <v>Tradiciones Andinas-T.A Aji Panca Pasta "Poco Picante" 10.5oz x 12</v>
      </c>
      <c r="N837" s="20">
        <f t="shared" si="185"/>
        <v>3</v>
      </c>
      <c r="O837" s="20" t="str">
        <f t="shared" si="186"/>
        <v>Se repite 3 veces en Tradiciones Andinas</v>
      </c>
      <c r="P837" s="20" t="str">
        <f t="shared" si="187"/>
        <v>Tradiciones Andinas-T.A Aji Panca Pasta "Poco Picante" 10.5oz x 12-19.2</v>
      </c>
      <c r="Q837" s="20">
        <f t="shared" si="188"/>
        <v>3</v>
      </c>
      <c r="R837" s="20" t="str">
        <f t="shared" si="189"/>
        <v>Se repite 3 veces el precio de 19.2</v>
      </c>
      <c r="S837" s="20" t="str">
        <f t="shared" si="190"/>
        <v>El producto T.A Aji Panca Pasta "Poco Picante" 10.5oz x 12 Se repite 3 veces en Tradiciones Andinas, Se repite 3 veces el precio de 19.2</v>
      </c>
      <c r="T837" s="20" t="str">
        <f t="shared" si="191"/>
        <v>Tradiciones Andinas</v>
      </c>
      <c r="U837" s="20" t="str">
        <f t="shared" si="192"/>
        <v>T.A Aji Panca Pasta "Poco Picante" 10.5oz x 12</v>
      </c>
      <c r="V837" s="22">
        <f t="shared" si="193"/>
        <v>19.2</v>
      </c>
      <c r="W837" t="str">
        <f t="shared" si="194"/>
        <v>Tradiciones Andinas 03/31/2025</v>
      </c>
      <c r="Z837">
        <f t="shared" si="195"/>
        <v>38.4</v>
      </c>
    </row>
    <row r="838" spans="1:26" hidden="1" x14ac:dyDescent="0.25">
      <c r="A838" s="2" t="s">
        <v>664</v>
      </c>
      <c r="B838" s="11" t="s">
        <v>398</v>
      </c>
      <c r="C838" s="11" t="s">
        <v>4</v>
      </c>
      <c r="D838" s="11" t="s">
        <v>5</v>
      </c>
      <c r="E838" s="11" t="s">
        <v>683</v>
      </c>
      <c r="F838" s="11" t="s">
        <v>684</v>
      </c>
      <c r="G838" s="12">
        <v>2</v>
      </c>
      <c r="H838" s="12">
        <v>19.2</v>
      </c>
      <c r="I838" s="12">
        <v>38.4</v>
      </c>
      <c r="J838" s="12">
        <v>3813.7999999999997</v>
      </c>
      <c r="K838" s="20">
        <f t="shared" si="182"/>
        <v>3</v>
      </c>
      <c r="L838" s="20" t="str">
        <f t="shared" si="183"/>
        <v>Se repite 3 veces</v>
      </c>
      <c r="M838" s="20" t="str">
        <f t="shared" si="184"/>
        <v>Tradiciones Andinas-T.A Aji Panca Pasta "Poco Picante" 10.5oz x 12</v>
      </c>
      <c r="N838" s="20">
        <f t="shared" si="185"/>
        <v>3</v>
      </c>
      <c r="O838" s="20" t="str">
        <f t="shared" si="186"/>
        <v>Se repite 3 veces en Tradiciones Andinas</v>
      </c>
      <c r="P838" s="20" t="str">
        <f t="shared" si="187"/>
        <v>Tradiciones Andinas-T.A Aji Panca Pasta "Poco Picante" 10.5oz x 12-19.2</v>
      </c>
      <c r="Q838" s="20">
        <f t="shared" si="188"/>
        <v>3</v>
      </c>
      <c r="R838" s="20" t="str">
        <f t="shared" si="189"/>
        <v>Se repite 3 veces el precio de 19.2</v>
      </c>
      <c r="S838" s="20" t="str">
        <f t="shared" si="190"/>
        <v>El producto T.A Aji Panca Pasta "Poco Picante" 10.5oz x 12 Se repite 3 veces en Tradiciones Andinas, Se repite 3 veces el precio de 19.2</v>
      </c>
      <c r="T838" s="20" t="str">
        <f t="shared" si="191"/>
        <v>Tradiciones Andinas</v>
      </c>
      <c r="U838" s="20" t="str">
        <f t="shared" si="192"/>
        <v>T.A Aji Panca Pasta "Poco Picante" 10.5oz x 12</v>
      </c>
      <c r="V838" s="22">
        <f t="shared" si="193"/>
        <v>19.2</v>
      </c>
      <c r="W838" t="str">
        <f t="shared" si="194"/>
        <v>Tradiciones Andinas 04/10/2025</v>
      </c>
      <c r="Z838">
        <f t="shared" si="195"/>
        <v>38.4</v>
      </c>
    </row>
    <row r="839" spans="1:26" hidden="1" x14ac:dyDescent="0.25">
      <c r="A839" s="2" t="s">
        <v>664</v>
      </c>
      <c r="B839" s="11" t="s">
        <v>821</v>
      </c>
      <c r="C839" s="11" t="s">
        <v>4</v>
      </c>
      <c r="D839" s="11" t="s">
        <v>822</v>
      </c>
      <c r="E839" s="11" t="s">
        <v>683</v>
      </c>
      <c r="F839" s="11" t="s">
        <v>684</v>
      </c>
      <c r="G839" s="12">
        <v>6</v>
      </c>
      <c r="H839" s="12">
        <v>19.2</v>
      </c>
      <c r="I839" s="12">
        <v>115.2</v>
      </c>
      <c r="J839" s="12">
        <v>9668.3999999999978</v>
      </c>
      <c r="K839" s="20">
        <f t="shared" si="182"/>
        <v>3</v>
      </c>
      <c r="L839" s="20" t="str">
        <f t="shared" si="183"/>
        <v>Se repite 3 veces</v>
      </c>
      <c r="M839" s="20" t="str">
        <f t="shared" si="184"/>
        <v>Tradiciones Andinas-T.A Aji Panca Pasta "Poco Picante" 10.5oz x 12</v>
      </c>
      <c r="N839" s="20">
        <f t="shared" si="185"/>
        <v>3</v>
      </c>
      <c r="O839" s="20" t="str">
        <f t="shared" si="186"/>
        <v>Se repite 3 veces en Tradiciones Andinas</v>
      </c>
      <c r="P839" s="20" t="str">
        <f t="shared" si="187"/>
        <v>Tradiciones Andinas-T.A Aji Panca Pasta "Poco Picante" 10.5oz x 12-19.2</v>
      </c>
      <c r="Q839" s="20">
        <f t="shared" si="188"/>
        <v>3</v>
      </c>
      <c r="R839" s="20" t="str">
        <f t="shared" si="189"/>
        <v>Se repite 3 veces el precio de 19.2</v>
      </c>
      <c r="S839" s="20" t="str">
        <f t="shared" si="190"/>
        <v>El producto T.A Aji Panca Pasta "Poco Picante" 10.5oz x 12 Se repite 3 veces en Tradiciones Andinas, Se repite 3 veces el precio de 19.2</v>
      </c>
      <c r="T839" s="20" t="str">
        <f t="shared" si="191"/>
        <v>Tradiciones Andinas</v>
      </c>
      <c r="U839" s="20" t="str">
        <f t="shared" si="192"/>
        <v>T.A Aji Panca Pasta "Poco Picante" 10.5oz x 12</v>
      </c>
      <c r="V839" s="22">
        <f t="shared" si="193"/>
        <v>19.2</v>
      </c>
      <c r="W839" t="str">
        <f t="shared" si="194"/>
        <v>Tradiciones Andinas 04/25/2025</v>
      </c>
      <c r="Z839">
        <f t="shared" si="195"/>
        <v>115.19999999999999</v>
      </c>
    </row>
    <row r="840" spans="1:26" hidden="1" x14ac:dyDescent="0.25">
      <c r="A840" s="2" t="s">
        <v>664</v>
      </c>
      <c r="B840" s="11" t="s">
        <v>665</v>
      </c>
      <c r="C840" s="11" t="s">
        <v>4</v>
      </c>
      <c r="D840" s="11" t="s">
        <v>666</v>
      </c>
      <c r="E840" s="11" t="s">
        <v>690</v>
      </c>
      <c r="F840" s="11" t="s">
        <v>691</v>
      </c>
      <c r="G840" s="12">
        <v>2</v>
      </c>
      <c r="H840" s="12">
        <v>25.08</v>
      </c>
      <c r="I840" s="12">
        <v>50.16</v>
      </c>
      <c r="J840" s="12">
        <v>644.04000000000008</v>
      </c>
      <c r="K840" s="20">
        <f t="shared" si="182"/>
        <v>4</v>
      </c>
      <c r="L840" s="20" t="str">
        <f t="shared" si="183"/>
        <v>Se repite 4 veces</v>
      </c>
      <c r="M840" s="20" t="str">
        <f t="shared" si="184"/>
        <v>Tradiciones Andinas-T.A Aji Panca Pasta "Poco Picante" 15oz x 12</v>
      </c>
      <c r="N840" s="20">
        <f t="shared" si="185"/>
        <v>4</v>
      </c>
      <c r="O840" s="20" t="str">
        <f t="shared" si="186"/>
        <v>Se repite 4 veces en Tradiciones Andinas</v>
      </c>
      <c r="P840" s="20" t="str">
        <f t="shared" si="187"/>
        <v>Tradiciones Andinas-T.A Aji Panca Pasta "Poco Picante" 15oz x 12-25.08</v>
      </c>
      <c r="Q840" s="20">
        <f t="shared" si="188"/>
        <v>3</v>
      </c>
      <c r="R840" s="20" t="str">
        <f t="shared" si="189"/>
        <v>Se repite 3 veces el precio de 25.08</v>
      </c>
      <c r="S840" s="20" t="str">
        <f t="shared" si="190"/>
        <v>El producto T.A Aji Panca Pasta "Poco Picante" 15oz x 12 Se repite 4 veces en Tradiciones Andinas, Se repite 3 veces el precio de 25.08</v>
      </c>
      <c r="T840" s="20" t="str">
        <f t="shared" si="191"/>
        <v>Tradiciones Andinas</v>
      </c>
      <c r="U840" s="20" t="str">
        <f t="shared" si="192"/>
        <v>T.A Aji Panca Pasta "Poco Picante" 15oz x 12</v>
      </c>
      <c r="V840" s="22">
        <f t="shared" si="193"/>
        <v>25.08</v>
      </c>
      <c r="W840" t="str">
        <f t="shared" si="194"/>
        <v>Tradiciones Andinas 03/31/2025</v>
      </c>
      <c r="Z840">
        <f t="shared" si="195"/>
        <v>50.16</v>
      </c>
    </row>
    <row r="841" spans="1:26" hidden="1" x14ac:dyDescent="0.25">
      <c r="A841" s="2" t="s">
        <v>664</v>
      </c>
      <c r="B841" s="11" t="s">
        <v>398</v>
      </c>
      <c r="C841" s="11" t="s">
        <v>4</v>
      </c>
      <c r="D841" s="11" t="s">
        <v>5</v>
      </c>
      <c r="E841" s="11" t="s">
        <v>690</v>
      </c>
      <c r="F841" s="11" t="s">
        <v>691</v>
      </c>
      <c r="G841" s="12">
        <v>4</v>
      </c>
      <c r="H841" s="12">
        <v>25.08</v>
      </c>
      <c r="I841" s="12">
        <v>100.32</v>
      </c>
      <c r="J841" s="12">
        <v>4037.12</v>
      </c>
      <c r="K841" s="20">
        <f t="shared" si="182"/>
        <v>4</v>
      </c>
      <c r="L841" s="20" t="str">
        <f t="shared" si="183"/>
        <v>Se repite 4 veces</v>
      </c>
      <c r="M841" s="20" t="str">
        <f t="shared" si="184"/>
        <v>Tradiciones Andinas-T.A Aji Panca Pasta "Poco Picante" 15oz x 12</v>
      </c>
      <c r="N841" s="20">
        <f t="shared" si="185"/>
        <v>4</v>
      </c>
      <c r="O841" s="20" t="str">
        <f t="shared" si="186"/>
        <v>Se repite 4 veces en Tradiciones Andinas</v>
      </c>
      <c r="P841" s="20" t="str">
        <f t="shared" si="187"/>
        <v>Tradiciones Andinas-T.A Aji Panca Pasta "Poco Picante" 15oz x 12-25.08</v>
      </c>
      <c r="Q841" s="20">
        <f t="shared" si="188"/>
        <v>3</v>
      </c>
      <c r="R841" s="20" t="str">
        <f t="shared" si="189"/>
        <v>Se repite 3 veces el precio de 25.08</v>
      </c>
      <c r="S841" s="20" t="str">
        <f t="shared" si="190"/>
        <v>El producto T.A Aji Panca Pasta "Poco Picante" 15oz x 12 Se repite 4 veces en Tradiciones Andinas, Se repite 3 veces el precio de 25.08</v>
      </c>
      <c r="T841" s="20" t="str">
        <f t="shared" si="191"/>
        <v>Tradiciones Andinas</v>
      </c>
      <c r="U841" s="20" t="str">
        <f t="shared" si="192"/>
        <v>T.A Aji Panca Pasta "Poco Picante" 15oz x 12</v>
      </c>
      <c r="V841" s="22">
        <f t="shared" si="193"/>
        <v>25.08</v>
      </c>
      <c r="W841" t="str">
        <f t="shared" si="194"/>
        <v>Tradiciones Andinas 04/10/2025</v>
      </c>
      <c r="Z841">
        <f t="shared" si="195"/>
        <v>100.32</v>
      </c>
    </row>
    <row r="842" spans="1:26" hidden="1" x14ac:dyDescent="0.25">
      <c r="A842" s="2" t="s">
        <v>664</v>
      </c>
      <c r="B842" s="11" t="s">
        <v>821</v>
      </c>
      <c r="C842" s="11" t="s">
        <v>4</v>
      </c>
      <c r="D842" s="11" t="s">
        <v>822</v>
      </c>
      <c r="E842" s="11" t="s">
        <v>690</v>
      </c>
      <c r="F842" s="11" t="s">
        <v>691</v>
      </c>
      <c r="G842" s="12">
        <v>6</v>
      </c>
      <c r="H842" s="12">
        <v>25.08</v>
      </c>
      <c r="I842" s="12">
        <v>150.47999999999999</v>
      </c>
      <c r="J842" s="12">
        <v>9944.6399999999976</v>
      </c>
      <c r="K842" s="20">
        <f t="shared" si="182"/>
        <v>4</v>
      </c>
      <c r="L842" s="20" t="str">
        <f t="shared" si="183"/>
        <v>Se repite 4 veces</v>
      </c>
      <c r="M842" s="20" t="str">
        <f t="shared" si="184"/>
        <v>Tradiciones Andinas-T.A Aji Panca Pasta "Poco Picante" 15oz x 12</v>
      </c>
      <c r="N842" s="20">
        <f t="shared" si="185"/>
        <v>4</v>
      </c>
      <c r="O842" s="20" t="str">
        <f t="shared" si="186"/>
        <v>Se repite 4 veces en Tradiciones Andinas</v>
      </c>
      <c r="P842" s="20" t="str">
        <f t="shared" si="187"/>
        <v>Tradiciones Andinas-T.A Aji Panca Pasta "Poco Picante" 15oz x 12-25.08</v>
      </c>
      <c r="Q842" s="20">
        <f t="shared" si="188"/>
        <v>3</v>
      </c>
      <c r="R842" s="20" t="str">
        <f t="shared" si="189"/>
        <v>Se repite 3 veces el precio de 25.08</v>
      </c>
      <c r="S842" s="20" t="str">
        <f t="shared" si="190"/>
        <v>El producto T.A Aji Panca Pasta "Poco Picante" 15oz x 12 Se repite 4 veces en Tradiciones Andinas, Se repite 3 veces el precio de 25.08</v>
      </c>
      <c r="T842" s="20" t="str">
        <f t="shared" si="191"/>
        <v>Tradiciones Andinas</v>
      </c>
      <c r="U842" s="20" t="str">
        <f t="shared" si="192"/>
        <v>T.A Aji Panca Pasta "Poco Picante" 15oz x 12</v>
      </c>
      <c r="V842" s="22">
        <f t="shared" si="193"/>
        <v>25.08</v>
      </c>
      <c r="W842" t="str">
        <f t="shared" si="194"/>
        <v>Tradiciones Andinas 04/25/2025</v>
      </c>
      <c r="Z842">
        <f t="shared" si="195"/>
        <v>150.47999999999999</v>
      </c>
    </row>
    <row r="843" spans="1:26" hidden="1" x14ac:dyDescent="0.25">
      <c r="A843" s="2" t="s">
        <v>664</v>
      </c>
      <c r="B843" s="11" t="s">
        <v>1207</v>
      </c>
      <c r="C843" s="11" t="s">
        <v>4</v>
      </c>
      <c r="D843" s="11" t="s">
        <v>1208</v>
      </c>
      <c r="E843" s="11" t="s">
        <v>690</v>
      </c>
      <c r="F843" s="11" t="s">
        <v>691</v>
      </c>
      <c r="G843" s="12">
        <v>2</v>
      </c>
      <c r="H843" s="12">
        <v>26.84</v>
      </c>
      <c r="I843" s="12">
        <v>53.68</v>
      </c>
      <c r="J843" s="12">
        <v>105686.27999999994</v>
      </c>
      <c r="K843" s="20">
        <f t="shared" si="182"/>
        <v>4</v>
      </c>
      <c r="L843" s="20" t="str">
        <f t="shared" si="183"/>
        <v>Se repite 4 veces</v>
      </c>
      <c r="M843" s="20" t="str">
        <f t="shared" si="184"/>
        <v>Tradiciones Andinas-T.A Aji Panca Pasta "Poco Picante" 15oz x 12</v>
      </c>
      <c r="N843" s="20">
        <f t="shared" si="185"/>
        <v>4</v>
      </c>
      <c r="O843" s="20" t="str">
        <f t="shared" si="186"/>
        <v>Se repite 4 veces en Tradiciones Andinas</v>
      </c>
      <c r="P843" s="20" t="str">
        <f t="shared" si="187"/>
        <v>Tradiciones Andinas-T.A Aji Panca Pasta "Poco Picante" 15oz x 12-26.84</v>
      </c>
      <c r="Q843" s="20">
        <f t="shared" si="188"/>
        <v>1</v>
      </c>
      <c r="R843" s="20" t="str">
        <f t="shared" si="189"/>
        <v>No se repite</v>
      </c>
      <c r="S843" s="20" t="str">
        <f t="shared" si="190"/>
        <v>El producto T.A Aji Panca Pasta "Poco Picante" 15oz x 12 Se repite 4 veces en Tradiciones Andinas Una vez con el precio 26.84</v>
      </c>
      <c r="T843" s="20" t="str">
        <f t="shared" si="191"/>
        <v>Tradiciones Andinas</v>
      </c>
      <c r="U843" s="20" t="str">
        <f t="shared" si="192"/>
        <v>T.A Aji Panca Pasta "Poco Picante" 15oz x 12</v>
      </c>
      <c r="V843" s="22">
        <f t="shared" si="193"/>
        <v>26.84</v>
      </c>
      <c r="W843" t="str">
        <f t="shared" si="194"/>
        <v>Tradiciones Andinas 11/28/2025</v>
      </c>
      <c r="Z843">
        <f t="shared" si="195"/>
        <v>53.68</v>
      </c>
    </row>
    <row r="844" spans="1:26" hidden="1" x14ac:dyDescent="0.25">
      <c r="A844" s="2" t="s">
        <v>664</v>
      </c>
      <c r="B844" s="11" t="s">
        <v>665</v>
      </c>
      <c r="C844" s="11" t="s">
        <v>4</v>
      </c>
      <c r="D844" s="11" t="s">
        <v>666</v>
      </c>
      <c r="E844" s="11" t="s">
        <v>685</v>
      </c>
      <c r="F844" s="11" t="s">
        <v>685</v>
      </c>
      <c r="G844" s="12">
        <v>2</v>
      </c>
      <c r="H844" s="12">
        <v>23.88</v>
      </c>
      <c r="I844" s="12">
        <v>47.76</v>
      </c>
      <c r="J844" s="12">
        <v>491.16</v>
      </c>
      <c r="K844" s="20">
        <f t="shared" si="182"/>
        <v>5</v>
      </c>
      <c r="L844" s="20" t="str">
        <f t="shared" si="183"/>
        <v>Se repite 5 veces</v>
      </c>
      <c r="M844" s="20" t="str">
        <f t="shared" si="184"/>
        <v>Tradiciones Andinas-T.A Aji Panca Pasta /Panca Pepper Paste 15oz x 12</v>
      </c>
      <c r="N844" s="20">
        <f t="shared" si="185"/>
        <v>5</v>
      </c>
      <c r="O844" s="20" t="str">
        <f t="shared" si="186"/>
        <v>Se repite 5 veces en Tradiciones Andinas</v>
      </c>
      <c r="P844" s="20" t="str">
        <f t="shared" si="187"/>
        <v>Tradiciones Andinas-T.A Aji Panca Pasta /Panca Pepper Paste 15oz x 12-23.88</v>
      </c>
      <c r="Q844" s="20">
        <f t="shared" si="188"/>
        <v>1</v>
      </c>
      <c r="R844" s="20" t="str">
        <f t="shared" si="189"/>
        <v>No se repite</v>
      </c>
      <c r="S844" s="20" t="str">
        <f t="shared" si="190"/>
        <v>El producto T.A Aji Panca Pasta /Panca Pepper Paste 15oz x 12 Se repite 5 veces en Tradiciones Andinas Una vez con el precio 23.88</v>
      </c>
      <c r="T844" s="20" t="str">
        <f t="shared" si="191"/>
        <v>Tradiciones Andinas</v>
      </c>
      <c r="U844" s="20" t="str">
        <f t="shared" si="192"/>
        <v>T.A Aji Panca Pasta /Panca Pepper Paste 15oz x 12</v>
      </c>
      <c r="V844" s="22">
        <f t="shared" si="193"/>
        <v>23.88</v>
      </c>
      <c r="W844" t="str">
        <f t="shared" si="194"/>
        <v>Tradiciones Andinas 03/31/2025</v>
      </c>
      <c r="Z844">
        <f t="shared" si="195"/>
        <v>47.76</v>
      </c>
    </row>
    <row r="845" spans="1:26" hidden="1" x14ac:dyDescent="0.25">
      <c r="A845" s="2" t="s">
        <v>664</v>
      </c>
      <c r="B845" s="11" t="s">
        <v>158</v>
      </c>
      <c r="C845" s="11" t="s">
        <v>4</v>
      </c>
      <c r="D845" s="11" t="s">
        <v>984</v>
      </c>
      <c r="E845" s="11" t="s">
        <v>685</v>
      </c>
      <c r="F845" s="11" t="s">
        <v>685</v>
      </c>
      <c r="G845" s="12">
        <v>10</v>
      </c>
      <c r="H845" s="12">
        <v>25.54</v>
      </c>
      <c r="I845" s="12">
        <v>255.4</v>
      </c>
      <c r="J845" s="12">
        <v>35019.640000000007</v>
      </c>
      <c r="K845" s="20">
        <f t="shared" si="182"/>
        <v>5</v>
      </c>
      <c r="L845" s="20" t="str">
        <f t="shared" si="183"/>
        <v>Se repite 5 veces</v>
      </c>
      <c r="M845" s="20" t="str">
        <f t="shared" si="184"/>
        <v>Tradiciones Andinas-T.A Aji Panca Pasta /Panca Pepper Paste 15oz x 12</v>
      </c>
      <c r="N845" s="20">
        <f t="shared" si="185"/>
        <v>5</v>
      </c>
      <c r="O845" s="20" t="str">
        <f t="shared" si="186"/>
        <v>Se repite 5 veces en Tradiciones Andinas</v>
      </c>
      <c r="P845" s="20" t="str">
        <f t="shared" si="187"/>
        <v>Tradiciones Andinas-T.A Aji Panca Pasta /Panca Pepper Paste 15oz x 12-25.54</v>
      </c>
      <c r="Q845" s="20">
        <f t="shared" si="188"/>
        <v>4</v>
      </c>
      <c r="R845" s="20" t="str">
        <f t="shared" si="189"/>
        <v>Se repite 4 veces el precio de 25.54</v>
      </c>
      <c r="S845" s="20" t="str">
        <f t="shared" si="190"/>
        <v>El producto T.A Aji Panca Pasta /Panca Pepper Paste 15oz x 12 Se repite 5 veces en Tradiciones Andinas, Se repite 4 veces el precio de 25.54</v>
      </c>
      <c r="T845" s="20" t="str">
        <f t="shared" si="191"/>
        <v>Tradiciones Andinas</v>
      </c>
      <c r="U845" s="20" t="str">
        <f t="shared" si="192"/>
        <v>T.A Aji Panca Pasta /Panca Pepper Paste 15oz x 12</v>
      </c>
      <c r="V845" s="22">
        <f t="shared" si="193"/>
        <v>25.54</v>
      </c>
      <c r="W845" t="str">
        <f t="shared" si="194"/>
        <v>Tradiciones Andinas 06/12/2025</v>
      </c>
      <c r="Z845">
        <f t="shared" si="195"/>
        <v>255.39999999999998</v>
      </c>
    </row>
    <row r="846" spans="1:26" hidden="1" x14ac:dyDescent="0.25">
      <c r="A846" s="2" t="s">
        <v>664</v>
      </c>
      <c r="B846" s="11" t="s">
        <v>1033</v>
      </c>
      <c r="C846" s="11" t="s">
        <v>4</v>
      </c>
      <c r="D846" s="11" t="s">
        <v>1034</v>
      </c>
      <c r="E846" s="11" t="s">
        <v>685</v>
      </c>
      <c r="F846" s="11" t="s">
        <v>685</v>
      </c>
      <c r="G846" s="12">
        <v>2</v>
      </c>
      <c r="H846" s="12">
        <v>25.54</v>
      </c>
      <c r="I846" s="12">
        <v>51.08</v>
      </c>
      <c r="J846" s="12">
        <v>46532.469999999979</v>
      </c>
      <c r="K846" s="20">
        <f t="shared" si="182"/>
        <v>5</v>
      </c>
      <c r="L846" s="20" t="str">
        <f t="shared" si="183"/>
        <v>Se repite 5 veces</v>
      </c>
      <c r="M846" s="20" t="str">
        <f t="shared" si="184"/>
        <v>Tradiciones Andinas-T.A Aji Panca Pasta /Panca Pepper Paste 15oz x 12</v>
      </c>
      <c r="N846" s="20">
        <f t="shared" si="185"/>
        <v>5</v>
      </c>
      <c r="O846" s="20" t="str">
        <f t="shared" si="186"/>
        <v>Se repite 5 veces en Tradiciones Andinas</v>
      </c>
      <c r="P846" s="20" t="str">
        <f t="shared" si="187"/>
        <v>Tradiciones Andinas-T.A Aji Panca Pasta /Panca Pepper Paste 15oz x 12-25.54</v>
      </c>
      <c r="Q846" s="20">
        <f t="shared" si="188"/>
        <v>4</v>
      </c>
      <c r="R846" s="20" t="str">
        <f t="shared" si="189"/>
        <v>Se repite 4 veces el precio de 25.54</v>
      </c>
      <c r="S846" s="20" t="str">
        <f t="shared" si="190"/>
        <v>El producto T.A Aji Panca Pasta /Panca Pepper Paste 15oz x 12 Se repite 5 veces en Tradiciones Andinas, Se repite 4 veces el precio de 25.54</v>
      </c>
      <c r="T846" s="20" t="str">
        <f t="shared" si="191"/>
        <v>Tradiciones Andinas</v>
      </c>
      <c r="U846" s="20" t="str">
        <f t="shared" si="192"/>
        <v>T.A Aji Panca Pasta /Panca Pepper Paste 15oz x 12</v>
      </c>
      <c r="V846" s="22">
        <f t="shared" si="193"/>
        <v>25.54</v>
      </c>
      <c r="W846" t="str">
        <f t="shared" si="194"/>
        <v>Tradiciones Andinas 07/03/2025</v>
      </c>
      <c r="Z846">
        <f t="shared" si="195"/>
        <v>51.08</v>
      </c>
    </row>
    <row r="847" spans="1:26" hidden="1" x14ac:dyDescent="0.25">
      <c r="A847" s="2" t="s">
        <v>664</v>
      </c>
      <c r="B847" s="11" t="s">
        <v>1125</v>
      </c>
      <c r="C847" s="11" t="s">
        <v>4</v>
      </c>
      <c r="D847" s="11" t="s">
        <v>1126</v>
      </c>
      <c r="E847" s="11" t="s">
        <v>685</v>
      </c>
      <c r="F847" s="11" t="s">
        <v>685</v>
      </c>
      <c r="G847" s="12">
        <v>2</v>
      </c>
      <c r="H847" s="12">
        <v>25.54</v>
      </c>
      <c r="I847" s="12">
        <v>51.08</v>
      </c>
      <c r="J847" s="12">
        <v>67733.260000000009</v>
      </c>
      <c r="K847" s="20">
        <f t="shared" si="182"/>
        <v>5</v>
      </c>
      <c r="L847" s="20" t="str">
        <f t="shared" si="183"/>
        <v>Se repite 5 veces</v>
      </c>
      <c r="M847" s="20" t="str">
        <f t="shared" si="184"/>
        <v>Tradiciones Andinas-T.A Aji Panca Pasta /Panca Pepper Paste 15oz x 12</v>
      </c>
      <c r="N847" s="20">
        <f t="shared" si="185"/>
        <v>5</v>
      </c>
      <c r="O847" s="20" t="str">
        <f t="shared" si="186"/>
        <v>Se repite 5 veces en Tradiciones Andinas</v>
      </c>
      <c r="P847" s="20" t="str">
        <f t="shared" si="187"/>
        <v>Tradiciones Andinas-T.A Aji Panca Pasta /Panca Pepper Paste 15oz x 12-25.54</v>
      </c>
      <c r="Q847" s="20">
        <f t="shared" si="188"/>
        <v>4</v>
      </c>
      <c r="R847" s="20" t="str">
        <f t="shared" si="189"/>
        <v>Se repite 4 veces el precio de 25.54</v>
      </c>
      <c r="S847" s="20" t="str">
        <f t="shared" si="190"/>
        <v>El producto T.A Aji Panca Pasta /Panca Pepper Paste 15oz x 12 Se repite 5 veces en Tradiciones Andinas, Se repite 4 veces el precio de 25.54</v>
      </c>
      <c r="T847" s="20" t="str">
        <f t="shared" si="191"/>
        <v>Tradiciones Andinas</v>
      </c>
      <c r="U847" s="20" t="str">
        <f t="shared" si="192"/>
        <v>T.A Aji Panca Pasta /Panca Pepper Paste 15oz x 12</v>
      </c>
      <c r="V847" s="22">
        <f t="shared" si="193"/>
        <v>25.54</v>
      </c>
      <c r="W847" t="str">
        <f t="shared" si="194"/>
        <v>Tradiciones Andinas 08/18/2025</v>
      </c>
      <c r="Z847">
        <f t="shared" si="195"/>
        <v>51.08</v>
      </c>
    </row>
    <row r="848" spans="1:26" hidden="1" x14ac:dyDescent="0.25">
      <c r="A848" s="2" t="s">
        <v>664</v>
      </c>
      <c r="B848" s="11" t="s">
        <v>1153</v>
      </c>
      <c r="C848" s="11" t="s">
        <v>4</v>
      </c>
      <c r="D848" s="11" t="s">
        <v>1154</v>
      </c>
      <c r="E848" s="11" t="s">
        <v>685</v>
      </c>
      <c r="F848" s="11" t="s">
        <v>685</v>
      </c>
      <c r="G848" s="12">
        <v>6</v>
      </c>
      <c r="H848" s="12">
        <v>25.54</v>
      </c>
      <c r="I848" s="12">
        <v>153.24</v>
      </c>
      <c r="J848" s="12">
        <v>75650.099999999991</v>
      </c>
      <c r="K848" s="20">
        <f t="shared" si="182"/>
        <v>5</v>
      </c>
      <c r="L848" s="20" t="str">
        <f t="shared" si="183"/>
        <v>Se repite 5 veces</v>
      </c>
      <c r="M848" s="20" t="str">
        <f t="shared" si="184"/>
        <v>Tradiciones Andinas-T.A Aji Panca Pasta /Panca Pepper Paste 15oz x 12</v>
      </c>
      <c r="N848" s="20">
        <f t="shared" si="185"/>
        <v>5</v>
      </c>
      <c r="O848" s="20" t="str">
        <f t="shared" si="186"/>
        <v>Se repite 5 veces en Tradiciones Andinas</v>
      </c>
      <c r="P848" s="20" t="str">
        <f t="shared" si="187"/>
        <v>Tradiciones Andinas-T.A Aji Panca Pasta /Panca Pepper Paste 15oz x 12-25.54</v>
      </c>
      <c r="Q848" s="20">
        <f t="shared" si="188"/>
        <v>4</v>
      </c>
      <c r="R848" s="20" t="str">
        <f t="shared" si="189"/>
        <v>Se repite 4 veces el precio de 25.54</v>
      </c>
      <c r="S848" s="20" t="str">
        <f t="shared" si="190"/>
        <v>El producto T.A Aji Panca Pasta /Panca Pepper Paste 15oz x 12 Se repite 5 veces en Tradiciones Andinas, Se repite 4 veces el precio de 25.54</v>
      </c>
      <c r="T848" s="20" t="str">
        <f t="shared" si="191"/>
        <v>Tradiciones Andinas</v>
      </c>
      <c r="U848" s="20" t="str">
        <f t="shared" si="192"/>
        <v>T.A Aji Panca Pasta /Panca Pepper Paste 15oz x 12</v>
      </c>
      <c r="V848" s="22">
        <f t="shared" si="193"/>
        <v>25.54</v>
      </c>
      <c r="W848" t="str">
        <f t="shared" si="194"/>
        <v>Tradiciones Andinas 09/24/2025</v>
      </c>
      <c r="Z848">
        <f t="shared" si="195"/>
        <v>153.24</v>
      </c>
    </row>
    <row r="849" spans="1:26" hidden="1" x14ac:dyDescent="0.25">
      <c r="A849" s="2" t="s">
        <v>664</v>
      </c>
      <c r="B849" s="11" t="s">
        <v>665</v>
      </c>
      <c r="C849" s="11" t="s">
        <v>4</v>
      </c>
      <c r="D849" s="11" t="s">
        <v>666</v>
      </c>
      <c r="E849" s="11" t="s">
        <v>677</v>
      </c>
      <c r="F849" s="11" t="s">
        <v>678</v>
      </c>
      <c r="G849" s="12">
        <v>2</v>
      </c>
      <c r="H849" s="12">
        <v>19.8</v>
      </c>
      <c r="I849" s="12">
        <v>39.6</v>
      </c>
      <c r="J849" s="12">
        <v>341.52000000000004</v>
      </c>
      <c r="K849" s="20">
        <f t="shared" si="182"/>
        <v>3</v>
      </c>
      <c r="L849" s="20" t="str">
        <f t="shared" si="183"/>
        <v>Se repite 3 veces</v>
      </c>
      <c r="M849" s="20" t="str">
        <f t="shared" si="184"/>
        <v>Tradiciones Andinas-T.A Aji Panca Pasta 10.5oz x 12</v>
      </c>
      <c r="N849" s="20">
        <f t="shared" si="185"/>
        <v>3</v>
      </c>
      <c r="O849" s="20" t="str">
        <f t="shared" si="186"/>
        <v>Se repite 3 veces en Tradiciones Andinas</v>
      </c>
      <c r="P849" s="20" t="str">
        <f t="shared" si="187"/>
        <v>Tradiciones Andinas-T.A Aji Panca Pasta 10.5oz x 12-19.8</v>
      </c>
      <c r="Q849" s="20">
        <f t="shared" si="188"/>
        <v>3</v>
      </c>
      <c r="R849" s="20" t="str">
        <f t="shared" si="189"/>
        <v>Se repite 3 veces el precio de 19.8</v>
      </c>
      <c r="S849" s="20" t="str">
        <f t="shared" si="190"/>
        <v>El producto T.A Aji Panca Pasta 10.5oz x 12 Se repite 3 veces en Tradiciones Andinas, Se repite 3 veces el precio de 19.8</v>
      </c>
      <c r="T849" s="20" t="str">
        <f t="shared" si="191"/>
        <v>Tradiciones Andinas</v>
      </c>
      <c r="U849" s="20" t="str">
        <f t="shared" si="192"/>
        <v>T.A Aji Panca Pasta 10.5oz x 12</v>
      </c>
      <c r="V849" s="22">
        <f t="shared" si="193"/>
        <v>19.8</v>
      </c>
      <c r="W849" t="str">
        <f t="shared" si="194"/>
        <v>Tradiciones Andinas 03/31/2025</v>
      </c>
      <c r="Z849">
        <f t="shared" si="195"/>
        <v>39.6</v>
      </c>
    </row>
    <row r="850" spans="1:26" hidden="1" x14ac:dyDescent="0.25">
      <c r="A850" s="2" t="s">
        <v>664</v>
      </c>
      <c r="B850" s="11" t="s">
        <v>398</v>
      </c>
      <c r="C850" s="11" t="s">
        <v>4</v>
      </c>
      <c r="D850" s="11" t="s">
        <v>5</v>
      </c>
      <c r="E850" s="11" t="s">
        <v>677</v>
      </c>
      <c r="F850" s="11" t="s">
        <v>678</v>
      </c>
      <c r="G850" s="12">
        <v>2</v>
      </c>
      <c r="H850" s="12">
        <v>19.8</v>
      </c>
      <c r="I850" s="12">
        <v>39.6</v>
      </c>
      <c r="J850" s="12">
        <v>3688.0399999999995</v>
      </c>
      <c r="K850" s="20">
        <f t="shared" si="182"/>
        <v>3</v>
      </c>
      <c r="L850" s="20" t="str">
        <f t="shared" si="183"/>
        <v>Se repite 3 veces</v>
      </c>
      <c r="M850" s="20" t="str">
        <f t="shared" si="184"/>
        <v>Tradiciones Andinas-T.A Aji Panca Pasta 10.5oz x 12</v>
      </c>
      <c r="N850" s="20">
        <f t="shared" si="185"/>
        <v>3</v>
      </c>
      <c r="O850" s="20" t="str">
        <f t="shared" si="186"/>
        <v>Se repite 3 veces en Tradiciones Andinas</v>
      </c>
      <c r="P850" s="20" t="str">
        <f t="shared" si="187"/>
        <v>Tradiciones Andinas-T.A Aji Panca Pasta 10.5oz x 12-19.8</v>
      </c>
      <c r="Q850" s="20">
        <f t="shared" si="188"/>
        <v>3</v>
      </c>
      <c r="R850" s="20" t="str">
        <f t="shared" si="189"/>
        <v>Se repite 3 veces el precio de 19.8</v>
      </c>
      <c r="S850" s="20" t="str">
        <f t="shared" si="190"/>
        <v>El producto T.A Aji Panca Pasta 10.5oz x 12 Se repite 3 veces en Tradiciones Andinas, Se repite 3 veces el precio de 19.8</v>
      </c>
      <c r="T850" s="20" t="str">
        <f t="shared" si="191"/>
        <v>Tradiciones Andinas</v>
      </c>
      <c r="U850" s="20" t="str">
        <f t="shared" si="192"/>
        <v>T.A Aji Panca Pasta 10.5oz x 12</v>
      </c>
      <c r="V850" s="22">
        <f t="shared" si="193"/>
        <v>19.8</v>
      </c>
      <c r="W850" t="str">
        <f t="shared" si="194"/>
        <v>Tradiciones Andinas 04/10/2025</v>
      </c>
      <c r="Z850">
        <f t="shared" si="195"/>
        <v>39.6</v>
      </c>
    </row>
    <row r="851" spans="1:26" hidden="1" x14ac:dyDescent="0.25">
      <c r="A851" s="2" t="s">
        <v>664</v>
      </c>
      <c r="B851" s="11" t="s">
        <v>821</v>
      </c>
      <c r="C851" s="11" t="s">
        <v>4</v>
      </c>
      <c r="D851" s="11" t="s">
        <v>822</v>
      </c>
      <c r="E851" s="11" t="s">
        <v>677</v>
      </c>
      <c r="F851" s="11" t="s">
        <v>678</v>
      </c>
      <c r="G851" s="12">
        <v>6</v>
      </c>
      <c r="H851" s="12">
        <v>19.8</v>
      </c>
      <c r="I851" s="12">
        <v>118.8</v>
      </c>
      <c r="J851" s="12">
        <v>23939.5</v>
      </c>
      <c r="K851" s="20">
        <f t="shared" si="182"/>
        <v>3</v>
      </c>
      <c r="L851" s="20" t="str">
        <f t="shared" si="183"/>
        <v>Se repite 3 veces</v>
      </c>
      <c r="M851" s="20" t="str">
        <f t="shared" si="184"/>
        <v>Tradiciones Andinas-T.A Aji Panca Pasta 10.5oz x 12</v>
      </c>
      <c r="N851" s="20">
        <f t="shared" si="185"/>
        <v>3</v>
      </c>
      <c r="O851" s="20" t="str">
        <f t="shared" si="186"/>
        <v>Se repite 3 veces en Tradiciones Andinas</v>
      </c>
      <c r="P851" s="20" t="str">
        <f t="shared" si="187"/>
        <v>Tradiciones Andinas-T.A Aji Panca Pasta 10.5oz x 12-19.8</v>
      </c>
      <c r="Q851" s="20">
        <f t="shared" si="188"/>
        <v>3</v>
      </c>
      <c r="R851" s="20" t="str">
        <f t="shared" si="189"/>
        <v>Se repite 3 veces el precio de 19.8</v>
      </c>
      <c r="S851" s="20" t="str">
        <f t="shared" si="190"/>
        <v>El producto T.A Aji Panca Pasta 10.5oz x 12 Se repite 3 veces en Tradiciones Andinas, Se repite 3 veces el precio de 19.8</v>
      </c>
      <c r="T851" s="20" t="str">
        <f t="shared" si="191"/>
        <v>Tradiciones Andinas</v>
      </c>
      <c r="U851" s="20" t="str">
        <f t="shared" si="192"/>
        <v>T.A Aji Panca Pasta 10.5oz x 12</v>
      </c>
      <c r="V851" s="22">
        <f t="shared" si="193"/>
        <v>19.8</v>
      </c>
      <c r="W851" t="str">
        <f t="shared" si="194"/>
        <v>Tradiciones Andinas 04/25/2025</v>
      </c>
      <c r="Z851">
        <f t="shared" si="195"/>
        <v>118.80000000000001</v>
      </c>
    </row>
    <row r="852" spans="1:26" hidden="1" x14ac:dyDescent="0.25">
      <c r="A852" s="2" t="s">
        <v>664</v>
      </c>
      <c r="B852" s="11" t="s">
        <v>665</v>
      </c>
      <c r="C852" s="11" t="s">
        <v>4</v>
      </c>
      <c r="D852" s="11" t="s">
        <v>666</v>
      </c>
      <c r="E852" s="11" t="s">
        <v>667</v>
      </c>
      <c r="F852" s="11" t="s">
        <v>668</v>
      </c>
      <c r="G852" s="12">
        <v>2</v>
      </c>
      <c r="H852" s="12">
        <v>28.8</v>
      </c>
      <c r="I852" s="12">
        <v>57.6</v>
      </c>
      <c r="J852" s="12">
        <v>57.6</v>
      </c>
      <c r="K852" s="20">
        <f t="shared" si="182"/>
        <v>7</v>
      </c>
      <c r="L852" s="20" t="str">
        <f t="shared" si="183"/>
        <v>Se repite 7 veces</v>
      </c>
      <c r="M852" s="20" t="str">
        <f t="shared" si="184"/>
        <v>Tradiciones Andinas-T.A Aji Panca Pasta 7.5oz x 24</v>
      </c>
      <c r="N852" s="20">
        <f t="shared" si="185"/>
        <v>7</v>
      </c>
      <c r="O852" s="20" t="str">
        <f t="shared" si="186"/>
        <v>Se repite 7 veces en Tradiciones Andinas</v>
      </c>
      <c r="P852" s="20" t="str">
        <f t="shared" si="187"/>
        <v>Tradiciones Andinas-T.A Aji Panca Pasta 7.5oz x 24-28.8</v>
      </c>
      <c r="Q852" s="20">
        <f t="shared" si="188"/>
        <v>3</v>
      </c>
      <c r="R852" s="20" t="str">
        <f t="shared" si="189"/>
        <v>Se repite 3 veces el precio de 28.8</v>
      </c>
      <c r="S852" s="20" t="str">
        <f t="shared" si="190"/>
        <v>El producto T.A Aji Panca Pasta 7.5oz x 24 Se repite 7 veces en Tradiciones Andinas, Se repite 3 veces el precio de 28.8</v>
      </c>
      <c r="T852" s="20" t="str">
        <f t="shared" si="191"/>
        <v>Tradiciones Andinas</v>
      </c>
      <c r="U852" s="20" t="str">
        <f t="shared" si="192"/>
        <v>T.A Aji Panca Pasta 7.5oz x 24</v>
      </c>
      <c r="V852" s="22">
        <f t="shared" si="193"/>
        <v>28.8</v>
      </c>
      <c r="W852" t="str">
        <f t="shared" si="194"/>
        <v>Tradiciones Andinas 03/31/2025</v>
      </c>
      <c r="Z852">
        <f t="shared" si="195"/>
        <v>57.6</v>
      </c>
    </row>
    <row r="853" spans="1:26" hidden="1" x14ac:dyDescent="0.25">
      <c r="A853" s="2" t="s">
        <v>664</v>
      </c>
      <c r="B853" s="11" t="s">
        <v>398</v>
      </c>
      <c r="C853" s="11" t="s">
        <v>4</v>
      </c>
      <c r="D853" s="11" t="s">
        <v>5</v>
      </c>
      <c r="E853" s="11" t="s">
        <v>667</v>
      </c>
      <c r="F853" s="11" t="s">
        <v>668</v>
      </c>
      <c r="G853" s="12">
        <v>2</v>
      </c>
      <c r="H853" s="12">
        <v>28.8</v>
      </c>
      <c r="I853" s="12">
        <v>57.6</v>
      </c>
      <c r="J853" s="12">
        <v>3404.1199999999994</v>
      </c>
      <c r="K853" s="20">
        <f t="shared" si="182"/>
        <v>7</v>
      </c>
      <c r="L853" s="20" t="str">
        <f t="shared" si="183"/>
        <v>Se repite 7 veces</v>
      </c>
      <c r="M853" s="20" t="str">
        <f t="shared" si="184"/>
        <v>Tradiciones Andinas-T.A Aji Panca Pasta 7.5oz x 24</v>
      </c>
      <c r="N853" s="20">
        <f t="shared" si="185"/>
        <v>7</v>
      </c>
      <c r="O853" s="20" t="str">
        <f t="shared" si="186"/>
        <v>Se repite 7 veces en Tradiciones Andinas</v>
      </c>
      <c r="P853" s="20" t="str">
        <f t="shared" si="187"/>
        <v>Tradiciones Andinas-T.A Aji Panca Pasta 7.5oz x 24-28.8</v>
      </c>
      <c r="Q853" s="20">
        <f t="shared" si="188"/>
        <v>3</v>
      </c>
      <c r="R853" s="20" t="str">
        <f t="shared" si="189"/>
        <v>Se repite 3 veces el precio de 28.8</v>
      </c>
      <c r="S853" s="20" t="str">
        <f t="shared" si="190"/>
        <v>El producto T.A Aji Panca Pasta 7.5oz x 24 Se repite 7 veces en Tradiciones Andinas, Se repite 3 veces el precio de 28.8</v>
      </c>
      <c r="T853" s="20" t="str">
        <f t="shared" si="191"/>
        <v>Tradiciones Andinas</v>
      </c>
      <c r="U853" s="20" t="str">
        <f t="shared" si="192"/>
        <v>T.A Aji Panca Pasta 7.5oz x 24</v>
      </c>
      <c r="V853" s="22">
        <f t="shared" si="193"/>
        <v>28.8</v>
      </c>
      <c r="W853" t="str">
        <f t="shared" si="194"/>
        <v>Tradiciones Andinas 04/10/2025</v>
      </c>
      <c r="Z853">
        <f t="shared" si="195"/>
        <v>57.6</v>
      </c>
    </row>
    <row r="854" spans="1:26" hidden="1" x14ac:dyDescent="0.25">
      <c r="A854" s="2" t="s">
        <v>664</v>
      </c>
      <c r="B854" s="11" t="s">
        <v>821</v>
      </c>
      <c r="C854" s="11" t="s">
        <v>4</v>
      </c>
      <c r="D854" s="11" t="s">
        <v>822</v>
      </c>
      <c r="E854" s="11" t="s">
        <v>667</v>
      </c>
      <c r="F854" s="11" t="s">
        <v>668</v>
      </c>
      <c r="G854" s="12">
        <v>6</v>
      </c>
      <c r="H854" s="12">
        <v>28.8</v>
      </c>
      <c r="I854" s="12">
        <v>172.8</v>
      </c>
      <c r="J854" s="12">
        <v>8319.3599999999988</v>
      </c>
      <c r="K854" s="20">
        <f t="shared" si="182"/>
        <v>7</v>
      </c>
      <c r="L854" s="20" t="str">
        <f t="shared" si="183"/>
        <v>Se repite 7 veces</v>
      </c>
      <c r="M854" s="20" t="str">
        <f t="shared" si="184"/>
        <v>Tradiciones Andinas-T.A Aji Panca Pasta 7.5oz x 24</v>
      </c>
      <c r="N854" s="20">
        <f t="shared" si="185"/>
        <v>7</v>
      </c>
      <c r="O854" s="20" t="str">
        <f t="shared" si="186"/>
        <v>Se repite 7 veces en Tradiciones Andinas</v>
      </c>
      <c r="P854" s="20" t="str">
        <f t="shared" si="187"/>
        <v>Tradiciones Andinas-T.A Aji Panca Pasta 7.5oz x 24-28.8</v>
      </c>
      <c r="Q854" s="20">
        <f t="shared" si="188"/>
        <v>3</v>
      </c>
      <c r="R854" s="20" t="str">
        <f t="shared" si="189"/>
        <v>Se repite 3 veces el precio de 28.8</v>
      </c>
      <c r="S854" s="20" t="str">
        <f t="shared" si="190"/>
        <v>El producto T.A Aji Panca Pasta 7.5oz x 24 Se repite 7 veces en Tradiciones Andinas, Se repite 3 veces el precio de 28.8</v>
      </c>
      <c r="T854" s="20" t="str">
        <f t="shared" si="191"/>
        <v>Tradiciones Andinas</v>
      </c>
      <c r="U854" s="20" t="str">
        <f t="shared" si="192"/>
        <v>T.A Aji Panca Pasta 7.5oz x 24</v>
      </c>
      <c r="V854" s="22">
        <f t="shared" si="193"/>
        <v>28.8</v>
      </c>
      <c r="W854" t="str">
        <f t="shared" si="194"/>
        <v>Tradiciones Andinas 04/25/2025</v>
      </c>
      <c r="Z854">
        <f t="shared" si="195"/>
        <v>172.8</v>
      </c>
    </row>
    <row r="855" spans="1:26" hidden="1" x14ac:dyDescent="0.25">
      <c r="A855" s="2" t="s">
        <v>664</v>
      </c>
      <c r="B855" s="11" t="s">
        <v>158</v>
      </c>
      <c r="C855" s="11" t="s">
        <v>4</v>
      </c>
      <c r="D855" s="11" t="s">
        <v>984</v>
      </c>
      <c r="E855" s="11" t="s">
        <v>667</v>
      </c>
      <c r="F855" s="11" t="s">
        <v>985</v>
      </c>
      <c r="G855" s="12">
        <v>3</v>
      </c>
      <c r="H855" s="12">
        <v>30.82</v>
      </c>
      <c r="I855" s="12">
        <v>92.46</v>
      </c>
      <c r="J855" s="12">
        <v>34704.240000000005</v>
      </c>
      <c r="K855" s="20">
        <f t="shared" si="182"/>
        <v>7</v>
      </c>
      <c r="L855" s="20" t="str">
        <f t="shared" si="183"/>
        <v>Se repite 7 veces</v>
      </c>
      <c r="M855" s="20" t="str">
        <f t="shared" si="184"/>
        <v>Tradiciones Andinas-T.A Aji Panca Pasta 7.5oz x 24</v>
      </c>
      <c r="N855" s="20">
        <f t="shared" si="185"/>
        <v>7</v>
      </c>
      <c r="O855" s="20" t="str">
        <f t="shared" si="186"/>
        <v>Se repite 7 veces en Tradiciones Andinas</v>
      </c>
      <c r="P855" s="20" t="str">
        <f t="shared" si="187"/>
        <v>Tradiciones Andinas-T.A Aji Panca Pasta 7.5oz x 24-30.82</v>
      </c>
      <c r="Q855" s="20">
        <f t="shared" si="188"/>
        <v>4</v>
      </c>
      <c r="R855" s="20" t="str">
        <f t="shared" si="189"/>
        <v>Se repite 4 veces el precio de 30.82</v>
      </c>
      <c r="S855" s="20" t="str">
        <f t="shared" si="190"/>
        <v>El producto T.A Aji Panca Pasta 7.5oz x 24 Se repite 7 veces en Tradiciones Andinas, Se repite 4 veces el precio de 30.82</v>
      </c>
      <c r="T855" s="20" t="str">
        <f t="shared" si="191"/>
        <v>Tradiciones Andinas</v>
      </c>
      <c r="U855" s="20" t="str">
        <f t="shared" si="192"/>
        <v>T.A Aji Panca Pasta 7.5oz x 24</v>
      </c>
      <c r="V855" s="22">
        <f t="shared" si="193"/>
        <v>30.82</v>
      </c>
      <c r="W855" t="str">
        <f t="shared" si="194"/>
        <v>Tradiciones Andinas 06/12/2025</v>
      </c>
      <c r="Z855">
        <f t="shared" si="195"/>
        <v>92.460000000000008</v>
      </c>
    </row>
    <row r="856" spans="1:26" hidden="1" x14ac:dyDescent="0.25">
      <c r="A856" s="2" t="s">
        <v>664</v>
      </c>
      <c r="B856" s="11" t="s">
        <v>1033</v>
      </c>
      <c r="C856" s="11" t="s">
        <v>4</v>
      </c>
      <c r="D856" s="11" t="s">
        <v>1034</v>
      </c>
      <c r="E856" s="11" t="s">
        <v>667</v>
      </c>
      <c r="F856" s="11" t="s">
        <v>985</v>
      </c>
      <c r="G856" s="12">
        <v>8</v>
      </c>
      <c r="H856" s="12">
        <v>30.82</v>
      </c>
      <c r="I856" s="12">
        <v>246.56</v>
      </c>
      <c r="J856" s="12">
        <v>45950.869999999988</v>
      </c>
      <c r="K856" s="20">
        <f t="shared" si="182"/>
        <v>7</v>
      </c>
      <c r="L856" s="20" t="str">
        <f t="shared" si="183"/>
        <v>Se repite 7 veces</v>
      </c>
      <c r="M856" s="20" t="str">
        <f t="shared" si="184"/>
        <v>Tradiciones Andinas-T.A Aji Panca Pasta 7.5oz x 24</v>
      </c>
      <c r="N856" s="20">
        <f t="shared" si="185"/>
        <v>7</v>
      </c>
      <c r="O856" s="20" t="str">
        <f t="shared" si="186"/>
        <v>Se repite 7 veces en Tradiciones Andinas</v>
      </c>
      <c r="P856" s="20" t="str">
        <f t="shared" si="187"/>
        <v>Tradiciones Andinas-T.A Aji Panca Pasta 7.5oz x 24-30.82</v>
      </c>
      <c r="Q856" s="20">
        <f t="shared" si="188"/>
        <v>4</v>
      </c>
      <c r="R856" s="20" t="str">
        <f t="shared" si="189"/>
        <v>Se repite 4 veces el precio de 30.82</v>
      </c>
      <c r="S856" s="20" t="str">
        <f t="shared" si="190"/>
        <v>El producto T.A Aji Panca Pasta 7.5oz x 24 Se repite 7 veces en Tradiciones Andinas, Se repite 4 veces el precio de 30.82</v>
      </c>
      <c r="T856" s="20" t="str">
        <f t="shared" si="191"/>
        <v>Tradiciones Andinas</v>
      </c>
      <c r="U856" s="20" t="str">
        <f t="shared" si="192"/>
        <v>T.A Aji Panca Pasta 7.5oz x 24</v>
      </c>
      <c r="V856" s="22">
        <f t="shared" si="193"/>
        <v>30.82</v>
      </c>
      <c r="W856" t="str">
        <f t="shared" si="194"/>
        <v>Tradiciones Andinas 07/03/2025</v>
      </c>
      <c r="Z856">
        <f t="shared" si="195"/>
        <v>246.56</v>
      </c>
    </row>
    <row r="857" spans="1:26" hidden="1" x14ac:dyDescent="0.25">
      <c r="A857" s="2" t="s">
        <v>664</v>
      </c>
      <c r="B857" s="11" t="s">
        <v>1153</v>
      </c>
      <c r="C857" s="11" t="s">
        <v>4</v>
      </c>
      <c r="D857" s="11" t="s">
        <v>1154</v>
      </c>
      <c r="E857" s="11" t="s">
        <v>667</v>
      </c>
      <c r="F857" s="11" t="s">
        <v>985</v>
      </c>
      <c r="G857" s="12">
        <v>6</v>
      </c>
      <c r="H857" s="12">
        <v>30.82</v>
      </c>
      <c r="I857" s="12">
        <v>184.92</v>
      </c>
      <c r="J857" s="12">
        <v>74497.52</v>
      </c>
      <c r="K857" s="20">
        <f t="shared" si="182"/>
        <v>7</v>
      </c>
      <c r="L857" s="20" t="str">
        <f t="shared" si="183"/>
        <v>Se repite 7 veces</v>
      </c>
      <c r="M857" s="20" t="str">
        <f t="shared" si="184"/>
        <v>Tradiciones Andinas-T.A Aji Panca Pasta 7.5oz x 24</v>
      </c>
      <c r="N857" s="20">
        <f t="shared" si="185"/>
        <v>7</v>
      </c>
      <c r="O857" s="20" t="str">
        <f t="shared" si="186"/>
        <v>Se repite 7 veces en Tradiciones Andinas</v>
      </c>
      <c r="P857" s="20" t="str">
        <f t="shared" si="187"/>
        <v>Tradiciones Andinas-T.A Aji Panca Pasta 7.5oz x 24-30.82</v>
      </c>
      <c r="Q857" s="20">
        <f t="shared" si="188"/>
        <v>4</v>
      </c>
      <c r="R857" s="20" t="str">
        <f t="shared" si="189"/>
        <v>Se repite 4 veces el precio de 30.82</v>
      </c>
      <c r="S857" s="20" t="str">
        <f t="shared" si="190"/>
        <v>El producto T.A Aji Panca Pasta 7.5oz x 24 Se repite 7 veces en Tradiciones Andinas, Se repite 4 veces el precio de 30.82</v>
      </c>
      <c r="T857" s="20" t="str">
        <f t="shared" si="191"/>
        <v>Tradiciones Andinas</v>
      </c>
      <c r="U857" s="20" t="str">
        <f t="shared" si="192"/>
        <v>T.A Aji Panca Pasta 7.5oz x 24</v>
      </c>
      <c r="V857" s="22">
        <f t="shared" si="193"/>
        <v>30.82</v>
      </c>
      <c r="W857" t="str">
        <f t="shared" si="194"/>
        <v>Tradiciones Andinas 09/24/2025</v>
      </c>
      <c r="Z857">
        <f t="shared" si="195"/>
        <v>184.92000000000002</v>
      </c>
    </row>
    <row r="858" spans="1:26" hidden="1" x14ac:dyDescent="0.25">
      <c r="A858" s="2" t="s">
        <v>664</v>
      </c>
      <c r="B858" s="11" t="s">
        <v>1207</v>
      </c>
      <c r="C858" s="11" t="s">
        <v>4</v>
      </c>
      <c r="D858" s="11" t="s">
        <v>1208</v>
      </c>
      <c r="E858" s="11" t="s">
        <v>667</v>
      </c>
      <c r="F858" s="11" t="s">
        <v>985</v>
      </c>
      <c r="G858" s="12">
        <v>3</v>
      </c>
      <c r="H858" s="12">
        <v>30.82</v>
      </c>
      <c r="I858" s="12">
        <v>92.46</v>
      </c>
      <c r="J858" s="12">
        <v>105253.09999999993</v>
      </c>
      <c r="K858" s="20">
        <f t="shared" si="182"/>
        <v>7</v>
      </c>
      <c r="L858" s="20" t="str">
        <f t="shared" si="183"/>
        <v>Se repite 7 veces</v>
      </c>
      <c r="M858" s="20" t="str">
        <f t="shared" si="184"/>
        <v>Tradiciones Andinas-T.A Aji Panca Pasta 7.5oz x 24</v>
      </c>
      <c r="N858" s="20">
        <f t="shared" si="185"/>
        <v>7</v>
      </c>
      <c r="O858" s="20" t="str">
        <f t="shared" si="186"/>
        <v>Se repite 7 veces en Tradiciones Andinas</v>
      </c>
      <c r="P858" s="20" t="str">
        <f t="shared" si="187"/>
        <v>Tradiciones Andinas-T.A Aji Panca Pasta 7.5oz x 24-30.82</v>
      </c>
      <c r="Q858" s="20">
        <f t="shared" si="188"/>
        <v>4</v>
      </c>
      <c r="R858" s="20" t="str">
        <f t="shared" si="189"/>
        <v>Se repite 4 veces el precio de 30.82</v>
      </c>
      <c r="S858" s="20" t="str">
        <f t="shared" si="190"/>
        <v>El producto T.A Aji Panca Pasta 7.5oz x 24 Se repite 7 veces en Tradiciones Andinas, Se repite 4 veces el precio de 30.82</v>
      </c>
      <c r="T858" s="20" t="str">
        <f t="shared" si="191"/>
        <v>Tradiciones Andinas</v>
      </c>
      <c r="U858" s="20" t="str">
        <f t="shared" si="192"/>
        <v>T.A Aji Panca Pasta 7.5oz x 24</v>
      </c>
      <c r="V858" s="22">
        <f t="shared" si="193"/>
        <v>30.82</v>
      </c>
      <c r="W858" t="str">
        <f t="shared" si="194"/>
        <v>Tradiciones Andinas 11/28/2025</v>
      </c>
      <c r="Z858">
        <f t="shared" si="195"/>
        <v>92.460000000000008</v>
      </c>
    </row>
    <row r="859" spans="1:26" hidden="1" x14ac:dyDescent="0.25">
      <c r="A859" s="2" t="s">
        <v>664</v>
      </c>
      <c r="B859" s="11" t="s">
        <v>1125</v>
      </c>
      <c r="C859" s="11" t="s">
        <v>4</v>
      </c>
      <c r="D859" s="11" t="s">
        <v>1126</v>
      </c>
      <c r="E859" s="11" t="s">
        <v>1131</v>
      </c>
      <c r="F859" s="11" t="s">
        <v>1132</v>
      </c>
      <c r="G859" s="12">
        <v>2</v>
      </c>
      <c r="H859" s="12">
        <v>28.56</v>
      </c>
      <c r="I859" s="12">
        <v>57.12</v>
      </c>
      <c r="J859" s="12">
        <v>69141.640000000014</v>
      </c>
      <c r="K859" s="20">
        <f t="shared" si="182"/>
        <v>1</v>
      </c>
      <c r="L859" s="20" t="str">
        <f t="shared" si="183"/>
        <v>No se repite</v>
      </c>
      <c r="M859" s="20" t="str">
        <f t="shared" si="184"/>
        <v>Tradiciones Andinas-T.A Aji Panca Seco / Dried Panca Pepper</v>
      </c>
      <c r="N859" s="20">
        <f t="shared" si="185"/>
        <v>1</v>
      </c>
      <c r="O859" s="20" t="str">
        <f t="shared" si="186"/>
        <v>No se repite en proveedor</v>
      </c>
      <c r="P859" s="20" t="str">
        <f t="shared" si="187"/>
        <v>Tradiciones Andinas-T.A Aji Panca Seco / Dried Panca Pepper-28.56</v>
      </c>
      <c r="Q859" s="20">
        <f t="shared" si="188"/>
        <v>1</v>
      </c>
      <c r="R859" s="20" t="str">
        <f t="shared" si="189"/>
        <v>No se repite</v>
      </c>
      <c r="S859" s="20" t="str">
        <f t="shared" si="190"/>
        <v>El producto T.A Aji Panca Seco / Dried Panca Pepper No se repite en proveedor Una vez con el precio 28.56</v>
      </c>
      <c r="T859" s="20" t="str">
        <f t="shared" si="191"/>
        <v>Tradiciones Andinas</v>
      </c>
      <c r="U859" s="20" t="str">
        <f t="shared" si="192"/>
        <v>T.A Aji Panca Seco / Dried Panca Pepper</v>
      </c>
      <c r="V859" s="22">
        <f t="shared" si="193"/>
        <v>28.56</v>
      </c>
      <c r="W859" t="str">
        <f t="shared" si="194"/>
        <v>Tradiciones Andinas 08/18/2025</v>
      </c>
      <c r="Z859">
        <f t="shared" si="195"/>
        <v>57.12</v>
      </c>
    </row>
    <row r="860" spans="1:26" hidden="1" x14ac:dyDescent="0.25">
      <c r="A860" s="2" t="s">
        <v>664</v>
      </c>
      <c r="B860" s="11" t="s">
        <v>821</v>
      </c>
      <c r="C860" s="11" t="s">
        <v>4</v>
      </c>
      <c r="D860" s="11" t="s">
        <v>822</v>
      </c>
      <c r="E860" s="11" t="s">
        <v>825</v>
      </c>
      <c r="F860" s="11" t="s">
        <v>826</v>
      </c>
      <c r="G860" s="12">
        <v>4</v>
      </c>
      <c r="H860" s="12">
        <v>30</v>
      </c>
      <c r="I860" s="12">
        <v>120</v>
      </c>
      <c r="J860" s="12">
        <v>9151.6799999999967</v>
      </c>
      <c r="K860" s="20">
        <f t="shared" si="182"/>
        <v>6</v>
      </c>
      <c r="L860" s="20" t="str">
        <f t="shared" si="183"/>
        <v>Se repite 6 veces</v>
      </c>
      <c r="M860" s="20" t="str">
        <f t="shared" si="184"/>
        <v>Tradiciones Andinas-T.A Albahaca Pasta /Basil Paste 7.5oz x 24</v>
      </c>
      <c r="N860" s="20">
        <f t="shared" si="185"/>
        <v>6</v>
      </c>
      <c r="O860" s="20" t="str">
        <f t="shared" si="186"/>
        <v>Se repite 6 veces en Tradiciones Andinas</v>
      </c>
      <c r="P860" s="20" t="str">
        <f t="shared" si="187"/>
        <v>Tradiciones Andinas-T.A Albahaca Pasta /Basil Paste 7.5oz x 24-30</v>
      </c>
      <c r="Q860" s="20">
        <f t="shared" si="188"/>
        <v>2</v>
      </c>
      <c r="R860" s="20" t="str">
        <f t="shared" si="189"/>
        <v>Se repite 2 veces el precio de 30</v>
      </c>
      <c r="S860" s="20" t="str">
        <f t="shared" si="190"/>
        <v>El producto T.A Albahaca Pasta /Basil Paste 7.5oz x 24 Se repite 6 veces en Tradiciones Andinas, Se repite 2 veces el precio de 30</v>
      </c>
      <c r="T860" s="20" t="str">
        <f t="shared" si="191"/>
        <v>Tradiciones Andinas</v>
      </c>
      <c r="U860" s="20" t="str">
        <f t="shared" si="192"/>
        <v>T.A Albahaca Pasta /Basil Paste 7.5oz x 24</v>
      </c>
      <c r="V860" s="22">
        <f t="shared" si="193"/>
        <v>30</v>
      </c>
      <c r="W860" t="str">
        <f t="shared" si="194"/>
        <v>Tradiciones Andinas 04/25/2025</v>
      </c>
      <c r="Z860">
        <f t="shared" si="195"/>
        <v>120</v>
      </c>
    </row>
    <row r="861" spans="1:26" hidden="1" x14ac:dyDescent="0.25">
      <c r="A861" s="2" t="s">
        <v>664</v>
      </c>
      <c r="B861" s="11" t="s">
        <v>158</v>
      </c>
      <c r="C861" s="11" t="s">
        <v>4</v>
      </c>
      <c r="D861" s="11" t="s">
        <v>984</v>
      </c>
      <c r="E861" s="11" t="s">
        <v>825</v>
      </c>
      <c r="F861" s="11" t="s">
        <v>986</v>
      </c>
      <c r="G861" s="12">
        <v>2</v>
      </c>
      <c r="H861" s="12">
        <v>30</v>
      </c>
      <c r="I861" s="12">
        <v>60</v>
      </c>
      <c r="J861" s="12">
        <v>34764.240000000005</v>
      </c>
      <c r="K861" s="20">
        <f t="shared" si="182"/>
        <v>6</v>
      </c>
      <c r="L861" s="20" t="str">
        <f t="shared" si="183"/>
        <v>Se repite 6 veces</v>
      </c>
      <c r="M861" s="20" t="str">
        <f t="shared" si="184"/>
        <v>Tradiciones Andinas-T.A Albahaca Pasta /Basil Paste 7.5oz x 24</v>
      </c>
      <c r="N861" s="20">
        <f t="shared" si="185"/>
        <v>6</v>
      </c>
      <c r="O861" s="20" t="str">
        <f t="shared" si="186"/>
        <v>Se repite 6 veces en Tradiciones Andinas</v>
      </c>
      <c r="P861" s="20" t="str">
        <f t="shared" si="187"/>
        <v>Tradiciones Andinas-T.A Albahaca Pasta /Basil Paste 7.5oz x 24-30</v>
      </c>
      <c r="Q861" s="20">
        <f t="shared" si="188"/>
        <v>2</v>
      </c>
      <c r="R861" s="20" t="str">
        <f t="shared" si="189"/>
        <v>Se repite 2 veces el precio de 30</v>
      </c>
      <c r="S861" s="20" t="str">
        <f t="shared" si="190"/>
        <v>El producto T.A Albahaca Pasta /Basil Paste 7.5oz x 24 Se repite 6 veces en Tradiciones Andinas, Se repite 2 veces el precio de 30</v>
      </c>
      <c r="T861" s="20" t="str">
        <f t="shared" si="191"/>
        <v>Tradiciones Andinas</v>
      </c>
      <c r="U861" s="20" t="str">
        <f t="shared" si="192"/>
        <v>T.A Albahaca Pasta /Basil Paste 7.5oz x 24</v>
      </c>
      <c r="V861" s="22">
        <f t="shared" si="193"/>
        <v>30</v>
      </c>
      <c r="W861" t="str">
        <f t="shared" si="194"/>
        <v>Tradiciones Andinas 06/12/2025</v>
      </c>
      <c r="Z861">
        <f t="shared" si="195"/>
        <v>60</v>
      </c>
    </row>
    <row r="862" spans="1:26" hidden="1" x14ac:dyDescent="0.25">
      <c r="A862" s="2" t="s">
        <v>664</v>
      </c>
      <c r="B862" s="11" t="s">
        <v>1033</v>
      </c>
      <c r="C862" s="11" t="s">
        <v>4</v>
      </c>
      <c r="D862" s="11" t="s">
        <v>1034</v>
      </c>
      <c r="E862" s="11" t="s">
        <v>825</v>
      </c>
      <c r="F862" s="11" t="s">
        <v>986</v>
      </c>
      <c r="G862" s="12">
        <v>2</v>
      </c>
      <c r="H862" s="12">
        <v>32.1</v>
      </c>
      <c r="I862" s="12">
        <v>64.2</v>
      </c>
      <c r="J862" s="12">
        <v>46417.189999999981</v>
      </c>
      <c r="K862" s="20">
        <f t="shared" si="182"/>
        <v>6</v>
      </c>
      <c r="L862" s="20" t="str">
        <f t="shared" si="183"/>
        <v>Se repite 6 veces</v>
      </c>
      <c r="M862" s="20" t="str">
        <f t="shared" si="184"/>
        <v>Tradiciones Andinas-T.A Albahaca Pasta /Basil Paste 7.5oz x 24</v>
      </c>
      <c r="N862" s="20">
        <f t="shared" si="185"/>
        <v>6</v>
      </c>
      <c r="O862" s="20" t="str">
        <f t="shared" si="186"/>
        <v>Se repite 6 veces en Tradiciones Andinas</v>
      </c>
      <c r="P862" s="20" t="str">
        <f t="shared" si="187"/>
        <v>Tradiciones Andinas-T.A Albahaca Pasta /Basil Paste 7.5oz x 24-32.1</v>
      </c>
      <c r="Q862" s="20">
        <f t="shared" si="188"/>
        <v>4</v>
      </c>
      <c r="R862" s="20" t="str">
        <f t="shared" si="189"/>
        <v>Se repite 4 veces el precio de 32.1</v>
      </c>
      <c r="S862" s="20" t="str">
        <f t="shared" si="190"/>
        <v>El producto T.A Albahaca Pasta /Basil Paste 7.5oz x 24 Se repite 6 veces en Tradiciones Andinas, Se repite 4 veces el precio de 32.1</v>
      </c>
      <c r="T862" s="20" t="str">
        <f t="shared" si="191"/>
        <v>Tradiciones Andinas</v>
      </c>
      <c r="U862" s="20" t="str">
        <f t="shared" si="192"/>
        <v>T.A Albahaca Pasta /Basil Paste 7.5oz x 24</v>
      </c>
      <c r="V862" s="22">
        <f t="shared" si="193"/>
        <v>32.1</v>
      </c>
      <c r="W862" t="str">
        <f t="shared" si="194"/>
        <v>Tradiciones Andinas 07/03/2025</v>
      </c>
      <c r="Z862">
        <f t="shared" si="195"/>
        <v>64.2</v>
      </c>
    </row>
    <row r="863" spans="1:26" hidden="1" x14ac:dyDescent="0.25">
      <c r="A863" s="2" t="s">
        <v>664</v>
      </c>
      <c r="B863" s="11" t="s">
        <v>1125</v>
      </c>
      <c r="C863" s="11" t="s">
        <v>4</v>
      </c>
      <c r="D863" s="11" t="s">
        <v>1126</v>
      </c>
      <c r="E863" s="11" t="s">
        <v>825</v>
      </c>
      <c r="F863" s="11" t="s">
        <v>986</v>
      </c>
      <c r="G863" s="12">
        <v>3</v>
      </c>
      <c r="H863" s="12">
        <v>32.1</v>
      </c>
      <c r="I863" s="12">
        <v>96.3</v>
      </c>
      <c r="J863" s="12">
        <v>67276.28</v>
      </c>
      <c r="K863" s="20">
        <f t="shared" si="182"/>
        <v>6</v>
      </c>
      <c r="L863" s="20" t="str">
        <f t="shared" si="183"/>
        <v>Se repite 6 veces</v>
      </c>
      <c r="M863" s="20" t="str">
        <f t="shared" si="184"/>
        <v>Tradiciones Andinas-T.A Albahaca Pasta /Basil Paste 7.5oz x 24</v>
      </c>
      <c r="N863" s="20">
        <f t="shared" si="185"/>
        <v>6</v>
      </c>
      <c r="O863" s="20" t="str">
        <f t="shared" si="186"/>
        <v>Se repite 6 veces en Tradiciones Andinas</v>
      </c>
      <c r="P863" s="20" t="str">
        <f t="shared" si="187"/>
        <v>Tradiciones Andinas-T.A Albahaca Pasta /Basil Paste 7.5oz x 24-32.1</v>
      </c>
      <c r="Q863" s="20">
        <f t="shared" si="188"/>
        <v>4</v>
      </c>
      <c r="R863" s="20" t="str">
        <f t="shared" si="189"/>
        <v>Se repite 4 veces el precio de 32.1</v>
      </c>
      <c r="S863" s="20" t="str">
        <f t="shared" si="190"/>
        <v>El producto T.A Albahaca Pasta /Basil Paste 7.5oz x 24 Se repite 6 veces en Tradiciones Andinas, Se repite 4 veces el precio de 32.1</v>
      </c>
      <c r="T863" s="20" t="str">
        <f t="shared" si="191"/>
        <v>Tradiciones Andinas</v>
      </c>
      <c r="U863" s="20" t="str">
        <f t="shared" si="192"/>
        <v>T.A Albahaca Pasta /Basil Paste 7.5oz x 24</v>
      </c>
      <c r="V863" s="22">
        <f t="shared" si="193"/>
        <v>32.1</v>
      </c>
      <c r="W863" t="str">
        <f t="shared" si="194"/>
        <v>Tradiciones Andinas 08/18/2025</v>
      </c>
      <c r="Z863">
        <f t="shared" si="195"/>
        <v>96.300000000000011</v>
      </c>
    </row>
    <row r="864" spans="1:26" hidden="1" x14ac:dyDescent="0.25">
      <c r="A864" s="26" t="s">
        <v>664</v>
      </c>
      <c r="B864" s="11" t="s">
        <v>1125</v>
      </c>
      <c r="C864" s="11" t="s">
        <v>4</v>
      </c>
      <c r="D864" s="11" t="s">
        <v>1126</v>
      </c>
      <c r="E864" s="11" t="s">
        <v>825</v>
      </c>
      <c r="F864" s="11" t="s">
        <v>986</v>
      </c>
      <c r="G864" s="12">
        <v>2</v>
      </c>
      <c r="H864" s="12">
        <v>32.1</v>
      </c>
      <c r="I864" s="12">
        <v>64.2</v>
      </c>
      <c r="J864" s="12">
        <v>67340.479999999996</v>
      </c>
      <c r="K864" s="20">
        <f t="shared" si="182"/>
        <v>6</v>
      </c>
      <c r="L864" s="20" t="str">
        <f t="shared" si="183"/>
        <v>Se repite 6 veces</v>
      </c>
      <c r="M864" s="20" t="str">
        <f t="shared" si="184"/>
        <v>Tradiciones Andinas-T.A Albahaca Pasta /Basil Paste 7.5oz x 24</v>
      </c>
      <c r="N864" s="20">
        <f t="shared" si="185"/>
        <v>6</v>
      </c>
      <c r="O864" s="20" t="str">
        <f t="shared" si="186"/>
        <v>Se repite 6 veces en Tradiciones Andinas</v>
      </c>
      <c r="P864" s="20" t="str">
        <f t="shared" si="187"/>
        <v>Tradiciones Andinas-T.A Albahaca Pasta /Basil Paste 7.5oz x 24-32.1</v>
      </c>
      <c r="Q864" s="20">
        <f t="shared" si="188"/>
        <v>4</v>
      </c>
      <c r="R864" s="20" t="str">
        <f t="shared" si="189"/>
        <v>Se repite 4 veces el precio de 32.1</v>
      </c>
      <c r="S864" s="20" t="str">
        <f t="shared" si="190"/>
        <v>El producto T.A Albahaca Pasta /Basil Paste 7.5oz x 24 Se repite 6 veces en Tradiciones Andinas, Se repite 4 veces el precio de 32.1</v>
      </c>
      <c r="T864" s="20" t="str">
        <f t="shared" si="191"/>
        <v>Tradiciones Andinas</v>
      </c>
      <c r="U864" s="20" t="str">
        <f t="shared" si="192"/>
        <v>T.A Albahaca Pasta /Basil Paste 7.5oz x 24</v>
      </c>
      <c r="V864" s="22">
        <f t="shared" si="193"/>
        <v>32.1</v>
      </c>
      <c r="W864" t="str">
        <f t="shared" si="194"/>
        <v>Tradiciones Andinas 08/18/2025</v>
      </c>
      <c r="X864" t="s">
        <v>3350</v>
      </c>
      <c r="Z864">
        <f t="shared" si="195"/>
        <v>64.2</v>
      </c>
    </row>
    <row r="865" spans="1:26" hidden="1" x14ac:dyDescent="0.25">
      <c r="A865" s="2" t="s">
        <v>664</v>
      </c>
      <c r="B865" s="11" t="s">
        <v>1207</v>
      </c>
      <c r="C865" s="11" t="s">
        <v>4</v>
      </c>
      <c r="D865" s="11" t="s">
        <v>1208</v>
      </c>
      <c r="E865" s="11" t="s">
        <v>825</v>
      </c>
      <c r="F865" s="11" t="s">
        <v>986</v>
      </c>
      <c r="G865" s="12">
        <v>1</v>
      </c>
      <c r="H865" s="12">
        <v>32.1</v>
      </c>
      <c r="I865" s="12">
        <v>32.1</v>
      </c>
      <c r="J865" s="12">
        <v>105487.01999999995</v>
      </c>
      <c r="K865" s="20">
        <f t="shared" si="182"/>
        <v>6</v>
      </c>
      <c r="L865" s="20" t="str">
        <f t="shared" si="183"/>
        <v>Se repite 6 veces</v>
      </c>
      <c r="M865" s="20" t="str">
        <f t="shared" si="184"/>
        <v>Tradiciones Andinas-T.A Albahaca Pasta /Basil Paste 7.5oz x 24</v>
      </c>
      <c r="N865" s="20">
        <f t="shared" si="185"/>
        <v>6</v>
      </c>
      <c r="O865" s="20" t="str">
        <f t="shared" si="186"/>
        <v>Se repite 6 veces en Tradiciones Andinas</v>
      </c>
      <c r="P865" s="20" t="str">
        <f t="shared" si="187"/>
        <v>Tradiciones Andinas-T.A Albahaca Pasta /Basil Paste 7.5oz x 24-32.1</v>
      </c>
      <c r="Q865" s="20">
        <f t="shared" si="188"/>
        <v>4</v>
      </c>
      <c r="R865" s="20" t="str">
        <f t="shared" si="189"/>
        <v>Se repite 4 veces el precio de 32.1</v>
      </c>
      <c r="S865" s="20" t="str">
        <f t="shared" si="190"/>
        <v>El producto T.A Albahaca Pasta /Basil Paste 7.5oz x 24 Se repite 6 veces en Tradiciones Andinas, Se repite 4 veces el precio de 32.1</v>
      </c>
      <c r="T865" s="20" t="str">
        <f t="shared" si="191"/>
        <v>Tradiciones Andinas</v>
      </c>
      <c r="U865" s="20" t="str">
        <f t="shared" si="192"/>
        <v>T.A Albahaca Pasta /Basil Paste 7.5oz x 24</v>
      </c>
      <c r="V865" s="22">
        <f t="shared" si="193"/>
        <v>32.1</v>
      </c>
      <c r="W865" t="str">
        <f t="shared" si="194"/>
        <v>Tradiciones Andinas 11/28/2025</v>
      </c>
      <c r="Z865">
        <f t="shared" si="195"/>
        <v>32.1</v>
      </c>
    </row>
    <row r="866" spans="1:26" hidden="1" x14ac:dyDescent="0.25">
      <c r="A866" s="2" t="s">
        <v>664</v>
      </c>
      <c r="B866" s="11" t="s">
        <v>821</v>
      </c>
      <c r="C866" s="11" t="s">
        <v>4</v>
      </c>
      <c r="D866" s="11" t="s">
        <v>822</v>
      </c>
      <c r="E866" s="11" t="s">
        <v>870</v>
      </c>
      <c r="F866" s="11" t="s">
        <v>871</v>
      </c>
      <c r="G866" s="12">
        <v>2</v>
      </c>
      <c r="H866" s="12">
        <v>25.5</v>
      </c>
      <c r="I866" s="12">
        <v>51</v>
      </c>
      <c r="J866" s="12">
        <v>17317.899999999998</v>
      </c>
      <c r="K866" s="20">
        <f t="shared" si="182"/>
        <v>5</v>
      </c>
      <c r="L866" s="20" t="str">
        <f t="shared" si="183"/>
        <v>Se repite 5 veces</v>
      </c>
      <c r="M866" s="20" t="str">
        <f t="shared" si="184"/>
        <v>Tradiciones Andinas-T.A Anis FILTRANTE 20saq x 30</v>
      </c>
      <c r="N866" s="20">
        <f t="shared" si="185"/>
        <v>5</v>
      </c>
      <c r="O866" s="20" t="str">
        <f t="shared" si="186"/>
        <v>Se repite 5 veces en Tradiciones Andinas</v>
      </c>
      <c r="P866" s="20" t="str">
        <f t="shared" si="187"/>
        <v>Tradiciones Andinas-T.A Anis FILTRANTE 20saq x 30-25.5</v>
      </c>
      <c r="Q866" s="20">
        <f t="shared" si="188"/>
        <v>1</v>
      </c>
      <c r="R866" s="20" t="str">
        <f t="shared" si="189"/>
        <v>No se repite</v>
      </c>
      <c r="S866" s="20" t="str">
        <f t="shared" si="190"/>
        <v>El producto T.A Anis FILTRANTE 20saq x 30 Se repite 5 veces en Tradiciones Andinas Una vez con el precio 25.5</v>
      </c>
      <c r="T866" s="20" t="str">
        <f t="shared" si="191"/>
        <v>Tradiciones Andinas</v>
      </c>
      <c r="U866" s="20" t="str">
        <f t="shared" si="192"/>
        <v>T.A Anis FILTRANTE 20saq x 30</v>
      </c>
      <c r="V866" s="22">
        <f t="shared" si="193"/>
        <v>25.5</v>
      </c>
      <c r="W866" t="str">
        <f t="shared" si="194"/>
        <v>Tradiciones Andinas 04/25/2025</v>
      </c>
      <c r="Z866">
        <f t="shared" si="195"/>
        <v>51</v>
      </c>
    </row>
    <row r="867" spans="1:26" hidden="1" x14ac:dyDescent="0.25">
      <c r="A867" s="2" t="s">
        <v>664</v>
      </c>
      <c r="B867" s="11" t="s">
        <v>158</v>
      </c>
      <c r="C867" s="11" t="s">
        <v>4</v>
      </c>
      <c r="D867" s="11" t="s">
        <v>984</v>
      </c>
      <c r="E867" s="11" t="s">
        <v>870</v>
      </c>
      <c r="F867" s="11" t="s">
        <v>1008</v>
      </c>
      <c r="G867" s="12">
        <v>1</v>
      </c>
      <c r="H867" s="12">
        <v>27.29</v>
      </c>
      <c r="I867" s="12">
        <v>27.29</v>
      </c>
      <c r="J867" s="12">
        <v>40351.409999999996</v>
      </c>
      <c r="K867" s="20">
        <f t="shared" si="182"/>
        <v>5</v>
      </c>
      <c r="L867" s="20" t="str">
        <f t="shared" si="183"/>
        <v>Se repite 5 veces</v>
      </c>
      <c r="M867" s="20" t="str">
        <f t="shared" si="184"/>
        <v>Tradiciones Andinas-T.A Anis FILTRANTE 20saq x 30</v>
      </c>
      <c r="N867" s="20">
        <f t="shared" si="185"/>
        <v>5</v>
      </c>
      <c r="O867" s="20" t="str">
        <f t="shared" si="186"/>
        <v>Se repite 5 veces en Tradiciones Andinas</v>
      </c>
      <c r="P867" s="20" t="str">
        <f t="shared" si="187"/>
        <v>Tradiciones Andinas-T.A Anis FILTRANTE 20saq x 30-27.29</v>
      </c>
      <c r="Q867" s="20">
        <f t="shared" si="188"/>
        <v>4</v>
      </c>
      <c r="R867" s="20" t="str">
        <f t="shared" si="189"/>
        <v>Se repite 4 veces el precio de 27.29</v>
      </c>
      <c r="S867" s="20" t="str">
        <f t="shared" si="190"/>
        <v>El producto T.A Anis FILTRANTE 20saq x 30 Se repite 5 veces en Tradiciones Andinas, Se repite 4 veces el precio de 27.29</v>
      </c>
      <c r="T867" s="20" t="str">
        <f t="shared" si="191"/>
        <v>Tradiciones Andinas</v>
      </c>
      <c r="U867" s="20" t="str">
        <f t="shared" si="192"/>
        <v>T.A Anis FILTRANTE 20saq x 30</v>
      </c>
      <c r="V867" s="22">
        <f t="shared" si="193"/>
        <v>27.29</v>
      </c>
      <c r="W867" t="str">
        <f t="shared" si="194"/>
        <v>Tradiciones Andinas 06/12/2025</v>
      </c>
      <c r="Z867">
        <f t="shared" si="195"/>
        <v>27.29</v>
      </c>
    </row>
    <row r="868" spans="1:26" hidden="1" x14ac:dyDescent="0.25">
      <c r="A868" s="2" t="s">
        <v>664</v>
      </c>
      <c r="B868" s="11" t="s">
        <v>1092</v>
      </c>
      <c r="C868" s="11" t="s">
        <v>4</v>
      </c>
      <c r="D868" s="11" t="s">
        <v>1093</v>
      </c>
      <c r="E868" s="11" t="s">
        <v>870</v>
      </c>
      <c r="F868" s="11" t="s">
        <v>1008</v>
      </c>
      <c r="G868" s="12">
        <v>1</v>
      </c>
      <c r="H868" s="12">
        <v>27.29</v>
      </c>
      <c r="I868" s="12">
        <v>27.29</v>
      </c>
      <c r="J868" s="12">
        <v>62146.349999999955</v>
      </c>
      <c r="K868" s="20">
        <f t="shared" si="182"/>
        <v>5</v>
      </c>
      <c r="L868" s="20" t="str">
        <f t="shared" si="183"/>
        <v>Se repite 5 veces</v>
      </c>
      <c r="M868" s="20" t="str">
        <f t="shared" si="184"/>
        <v>Tradiciones Andinas-T.A Anis FILTRANTE 20saq x 30</v>
      </c>
      <c r="N868" s="20">
        <f t="shared" si="185"/>
        <v>5</v>
      </c>
      <c r="O868" s="20" t="str">
        <f t="shared" si="186"/>
        <v>Se repite 5 veces en Tradiciones Andinas</v>
      </c>
      <c r="P868" s="20" t="str">
        <f t="shared" si="187"/>
        <v>Tradiciones Andinas-T.A Anis FILTRANTE 20saq x 30-27.29</v>
      </c>
      <c r="Q868" s="20">
        <f t="shared" si="188"/>
        <v>4</v>
      </c>
      <c r="R868" s="20" t="str">
        <f t="shared" si="189"/>
        <v>Se repite 4 veces el precio de 27.29</v>
      </c>
      <c r="S868" s="20" t="str">
        <f t="shared" si="190"/>
        <v>El producto T.A Anis FILTRANTE 20saq x 30 Se repite 5 veces en Tradiciones Andinas, Se repite 4 veces el precio de 27.29</v>
      </c>
      <c r="T868" s="20" t="str">
        <f t="shared" si="191"/>
        <v>Tradiciones Andinas</v>
      </c>
      <c r="U868" s="20" t="str">
        <f t="shared" si="192"/>
        <v>T.A Anis FILTRANTE 20saq x 30</v>
      </c>
      <c r="V868" s="22">
        <f t="shared" si="193"/>
        <v>27.29</v>
      </c>
      <c r="W868" t="str">
        <f t="shared" si="194"/>
        <v>Tradiciones Andinas 07/21/2025</v>
      </c>
      <c r="Z868">
        <f t="shared" si="195"/>
        <v>27.29</v>
      </c>
    </row>
    <row r="869" spans="1:26" hidden="1" x14ac:dyDescent="0.25">
      <c r="A869" s="2" t="s">
        <v>664</v>
      </c>
      <c r="B869" s="11" t="s">
        <v>1153</v>
      </c>
      <c r="C869" s="11" t="s">
        <v>4</v>
      </c>
      <c r="D869" s="11" t="s">
        <v>1154</v>
      </c>
      <c r="E869" s="11" t="s">
        <v>870</v>
      </c>
      <c r="F869" s="11" t="s">
        <v>1008</v>
      </c>
      <c r="G869" s="12">
        <v>4</v>
      </c>
      <c r="H869" s="12">
        <v>27.29</v>
      </c>
      <c r="I869" s="12">
        <v>109.16</v>
      </c>
      <c r="J869" s="12">
        <v>83260.199999999968</v>
      </c>
      <c r="K869" s="20">
        <f t="shared" si="182"/>
        <v>5</v>
      </c>
      <c r="L869" s="20" t="str">
        <f t="shared" si="183"/>
        <v>Se repite 5 veces</v>
      </c>
      <c r="M869" s="20" t="str">
        <f t="shared" si="184"/>
        <v>Tradiciones Andinas-T.A Anis FILTRANTE 20saq x 30</v>
      </c>
      <c r="N869" s="20">
        <f t="shared" si="185"/>
        <v>5</v>
      </c>
      <c r="O869" s="20" t="str">
        <f t="shared" si="186"/>
        <v>Se repite 5 veces en Tradiciones Andinas</v>
      </c>
      <c r="P869" s="20" t="str">
        <f t="shared" si="187"/>
        <v>Tradiciones Andinas-T.A Anis FILTRANTE 20saq x 30-27.29</v>
      </c>
      <c r="Q869" s="20">
        <f t="shared" si="188"/>
        <v>4</v>
      </c>
      <c r="R869" s="20" t="str">
        <f t="shared" si="189"/>
        <v>Se repite 4 veces el precio de 27.29</v>
      </c>
      <c r="S869" s="20" t="str">
        <f t="shared" si="190"/>
        <v>El producto T.A Anis FILTRANTE 20saq x 30 Se repite 5 veces en Tradiciones Andinas, Se repite 4 veces el precio de 27.29</v>
      </c>
      <c r="T869" s="20" t="str">
        <f t="shared" si="191"/>
        <v>Tradiciones Andinas</v>
      </c>
      <c r="U869" s="20" t="str">
        <f t="shared" si="192"/>
        <v>T.A Anis FILTRANTE 20saq x 30</v>
      </c>
      <c r="V869" s="22">
        <f t="shared" si="193"/>
        <v>27.29</v>
      </c>
      <c r="W869" t="str">
        <f t="shared" si="194"/>
        <v>Tradiciones Andinas 09/24/2025</v>
      </c>
      <c r="Z869">
        <f t="shared" si="195"/>
        <v>109.16</v>
      </c>
    </row>
    <row r="870" spans="1:26" hidden="1" x14ac:dyDescent="0.25">
      <c r="A870" s="2" t="s">
        <v>664</v>
      </c>
      <c r="B870" s="11" t="s">
        <v>1207</v>
      </c>
      <c r="C870" s="11" t="s">
        <v>4</v>
      </c>
      <c r="D870" s="11" t="s">
        <v>1208</v>
      </c>
      <c r="E870" s="11" t="s">
        <v>870</v>
      </c>
      <c r="F870" s="11" t="s">
        <v>1008</v>
      </c>
      <c r="G870" s="12">
        <v>5</v>
      </c>
      <c r="H870" s="12">
        <v>27.29</v>
      </c>
      <c r="I870" s="12">
        <v>136.44999999999999</v>
      </c>
      <c r="J870" s="12">
        <v>108880.67999999991</v>
      </c>
      <c r="K870" s="20">
        <f t="shared" si="182"/>
        <v>5</v>
      </c>
      <c r="L870" s="20" t="str">
        <f t="shared" si="183"/>
        <v>Se repite 5 veces</v>
      </c>
      <c r="M870" s="20" t="str">
        <f t="shared" si="184"/>
        <v>Tradiciones Andinas-T.A Anis FILTRANTE 20saq x 30</v>
      </c>
      <c r="N870" s="20">
        <f t="shared" si="185"/>
        <v>5</v>
      </c>
      <c r="O870" s="20" t="str">
        <f t="shared" si="186"/>
        <v>Se repite 5 veces en Tradiciones Andinas</v>
      </c>
      <c r="P870" s="20" t="str">
        <f t="shared" si="187"/>
        <v>Tradiciones Andinas-T.A Anis FILTRANTE 20saq x 30-27.29</v>
      </c>
      <c r="Q870" s="20">
        <f t="shared" si="188"/>
        <v>4</v>
      </c>
      <c r="R870" s="20" t="str">
        <f t="shared" si="189"/>
        <v>Se repite 4 veces el precio de 27.29</v>
      </c>
      <c r="S870" s="20" t="str">
        <f t="shared" si="190"/>
        <v>El producto T.A Anis FILTRANTE 20saq x 30 Se repite 5 veces en Tradiciones Andinas, Se repite 4 veces el precio de 27.29</v>
      </c>
      <c r="T870" s="20" t="str">
        <f t="shared" si="191"/>
        <v>Tradiciones Andinas</v>
      </c>
      <c r="U870" s="20" t="str">
        <f t="shared" si="192"/>
        <v>T.A Anis FILTRANTE 20saq x 30</v>
      </c>
      <c r="V870" s="22">
        <f t="shared" si="193"/>
        <v>27.29</v>
      </c>
      <c r="W870" t="str">
        <f t="shared" si="194"/>
        <v>Tradiciones Andinas 11/28/2025</v>
      </c>
      <c r="Z870">
        <f t="shared" si="195"/>
        <v>136.44999999999999</v>
      </c>
    </row>
    <row r="871" spans="1:26" hidden="1" x14ac:dyDescent="0.25">
      <c r="A871" s="2" t="s">
        <v>664</v>
      </c>
      <c r="B871" s="11" t="s">
        <v>1207</v>
      </c>
      <c r="C871" s="11" t="s">
        <v>4</v>
      </c>
      <c r="D871" s="11" t="s">
        <v>1208</v>
      </c>
      <c r="E871" s="11" t="s">
        <v>1220</v>
      </c>
      <c r="F871" s="11" t="s">
        <v>1221</v>
      </c>
      <c r="G871" s="12">
        <v>2</v>
      </c>
      <c r="H871" s="12">
        <v>37.5</v>
      </c>
      <c r="I871" s="12">
        <v>75</v>
      </c>
      <c r="J871" s="12">
        <v>116602.97999999988</v>
      </c>
      <c r="K871" s="20">
        <f t="shared" si="182"/>
        <v>1</v>
      </c>
      <c r="L871" s="20" t="str">
        <f t="shared" si="183"/>
        <v>No se repite</v>
      </c>
      <c r="M871" s="20" t="str">
        <f t="shared" si="184"/>
        <v>Tradiciones Andinas-T.A Arracacha / Yellow Cassava FROZEN 16oz x 16</v>
      </c>
      <c r="N871" s="20">
        <f t="shared" si="185"/>
        <v>1</v>
      </c>
      <c r="O871" s="20" t="str">
        <f t="shared" si="186"/>
        <v>No se repite en proveedor</v>
      </c>
      <c r="P871" s="20" t="str">
        <f t="shared" si="187"/>
        <v>Tradiciones Andinas-T.A Arracacha / Yellow Cassava FROZEN 16oz x 16-37.5</v>
      </c>
      <c r="Q871" s="20">
        <f t="shared" si="188"/>
        <v>1</v>
      </c>
      <c r="R871" s="20" t="str">
        <f t="shared" si="189"/>
        <v>No se repite</v>
      </c>
      <c r="S871" s="20" t="str">
        <f t="shared" si="190"/>
        <v>El producto T.A Arracacha / Yellow Cassava FROZEN 16oz x 16 No se repite en proveedor Una vez con el precio 37.5</v>
      </c>
      <c r="T871" s="20" t="str">
        <f t="shared" si="191"/>
        <v>Tradiciones Andinas</v>
      </c>
      <c r="U871" s="20" t="str">
        <f t="shared" si="192"/>
        <v>T.A Arracacha / Yellow Cassava FROZEN 16oz x 16</v>
      </c>
      <c r="V871" s="22">
        <f t="shared" si="193"/>
        <v>37.5</v>
      </c>
      <c r="W871" t="str">
        <f t="shared" si="194"/>
        <v>Tradiciones Andinas 11/28/2025</v>
      </c>
      <c r="Z871">
        <f t="shared" si="195"/>
        <v>75</v>
      </c>
    </row>
    <row r="872" spans="1:26" hidden="1" x14ac:dyDescent="0.25">
      <c r="A872" s="2" t="s">
        <v>664</v>
      </c>
      <c r="B872" s="11" t="s">
        <v>1153</v>
      </c>
      <c r="C872" s="11" t="s">
        <v>4</v>
      </c>
      <c r="D872" s="11" t="s">
        <v>1154</v>
      </c>
      <c r="E872" s="11" t="s">
        <v>1157</v>
      </c>
      <c r="F872" s="11" t="s">
        <v>1158</v>
      </c>
      <c r="G872" s="12">
        <v>2</v>
      </c>
      <c r="H872" s="12">
        <v>31.2</v>
      </c>
      <c r="I872" s="12">
        <v>62.4</v>
      </c>
      <c r="J872" s="12">
        <v>78999.519999999975</v>
      </c>
      <c r="K872" s="20">
        <f t="shared" si="182"/>
        <v>1</v>
      </c>
      <c r="L872" s="20" t="str">
        <f t="shared" si="183"/>
        <v>No se repite</v>
      </c>
      <c r="M872" s="20" t="str">
        <f t="shared" si="184"/>
        <v>Tradiciones Andinas-T.A Arroz de Cebada/ Barley Rice 15oz x 24</v>
      </c>
      <c r="N872" s="20">
        <f t="shared" si="185"/>
        <v>1</v>
      </c>
      <c r="O872" s="20" t="str">
        <f t="shared" si="186"/>
        <v>No se repite en proveedor</v>
      </c>
      <c r="P872" s="20" t="str">
        <f t="shared" si="187"/>
        <v>Tradiciones Andinas-T.A Arroz de Cebada/ Barley Rice 15oz x 24-31.2</v>
      </c>
      <c r="Q872" s="20">
        <f t="shared" si="188"/>
        <v>1</v>
      </c>
      <c r="R872" s="20" t="str">
        <f t="shared" si="189"/>
        <v>No se repite</v>
      </c>
      <c r="S872" s="20" t="str">
        <f t="shared" si="190"/>
        <v>El producto T.A Arroz de Cebada/ Barley Rice 15oz x 24 No se repite en proveedor Una vez con el precio 31.2</v>
      </c>
      <c r="T872" s="20" t="str">
        <f t="shared" si="191"/>
        <v>Tradiciones Andinas</v>
      </c>
      <c r="U872" s="20" t="str">
        <f t="shared" si="192"/>
        <v>T.A Arroz de Cebada/ Barley Rice 15oz x 24</v>
      </c>
      <c r="V872" s="22">
        <f t="shared" si="193"/>
        <v>31.2</v>
      </c>
      <c r="W872" t="str">
        <f t="shared" si="194"/>
        <v>Tradiciones Andinas 09/24/2025</v>
      </c>
      <c r="Z872">
        <f t="shared" si="195"/>
        <v>62.4</v>
      </c>
    </row>
    <row r="873" spans="1:26" hidden="1" x14ac:dyDescent="0.25">
      <c r="A873" s="2" t="s">
        <v>664</v>
      </c>
      <c r="B873" s="11" t="s">
        <v>821</v>
      </c>
      <c r="C873" s="11" t="s">
        <v>4</v>
      </c>
      <c r="D873" s="11" t="s">
        <v>822</v>
      </c>
      <c r="E873" s="11" t="s">
        <v>906</v>
      </c>
      <c r="F873" s="11" t="s">
        <v>907</v>
      </c>
      <c r="G873" s="12">
        <v>2</v>
      </c>
      <c r="H873" s="12">
        <v>34.68</v>
      </c>
      <c r="I873" s="12">
        <v>69.36</v>
      </c>
      <c r="J873" s="12">
        <v>21725.659999999996</v>
      </c>
      <c r="K873" s="20">
        <f t="shared" si="182"/>
        <v>1</v>
      </c>
      <c r="L873" s="20" t="str">
        <f t="shared" si="183"/>
        <v>No se repite</v>
      </c>
      <c r="M873" s="20" t="str">
        <f t="shared" si="184"/>
        <v>Tradiciones Andinas-T.A Brevas en Almibar 28oz x 12</v>
      </c>
      <c r="N873" s="20">
        <f t="shared" si="185"/>
        <v>1</v>
      </c>
      <c r="O873" s="20" t="str">
        <f t="shared" si="186"/>
        <v>No se repite en proveedor</v>
      </c>
      <c r="P873" s="20" t="str">
        <f t="shared" si="187"/>
        <v>Tradiciones Andinas-T.A Brevas en Almibar 28oz x 12-34.68</v>
      </c>
      <c r="Q873" s="20">
        <f t="shared" si="188"/>
        <v>1</v>
      </c>
      <c r="R873" s="20" t="str">
        <f t="shared" si="189"/>
        <v>No se repite</v>
      </c>
      <c r="S873" s="20" t="str">
        <f t="shared" si="190"/>
        <v>El producto T.A Brevas en Almibar 28oz x 12 No se repite en proveedor Una vez con el precio 34.68</v>
      </c>
      <c r="T873" s="20" t="str">
        <f t="shared" si="191"/>
        <v>Tradiciones Andinas</v>
      </c>
      <c r="U873" s="20" t="str">
        <f t="shared" si="192"/>
        <v>T.A Brevas en Almibar 28oz x 12</v>
      </c>
      <c r="V873" s="22">
        <f t="shared" si="193"/>
        <v>34.68</v>
      </c>
      <c r="W873" t="str">
        <f t="shared" si="194"/>
        <v>Tradiciones Andinas 04/25/2025</v>
      </c>
      <c r="Z873">
        <f t="shared" si="195"/>
        <v>69.36</v>
      </c>
    </row>
    <row r="874" spans="1:26" hidden="1" x14ac:dyDescent="0.25">
      <c r="A874" s="2" t="s">
        <v>664</v>
      </c>
      <c r="B874" s="11" t="s">
        <v>665</v>
      </c>
      <c r="C874" s="11" t="s">
        <v>4</v>
      </c>
      <c r="D874" s="11" t="s">
        <v>666</v>
      </c>
      <c r="E874" s="11" t="s">
        <v>702</v>
      </c>
      <c r="F874" s="11" t="s">
        <v>703</v>
      </c>
      <c r="G874" s="12">
        <v>2</v>
      </c>
      <c r="H874" s="12">
        <v>42.96</v>
      </c>
      <c r="I874" s="12">
        <v>85.92</v>
      </c>
      <c r="J874" s="12">
        <v>1081.72</v>
      </c>
      <c r="K874" s="20">
        <f t="shared" si="182"/>
        <v>10</v>
      </c>
      <c r="L874" s="20" t="str">
        <f t="shared" si="183"/>
        <v>Se repite 10 veces</v>
      </c>
      <c r="M874" s="20" t="str">
        <f t="shared" si="184"/>
        <v>Tradiciones Andinas-T.A Cancha Corn / Maiz Cancha 15oz x 24</v>
      </c>
      <c r="N874" s="20">
        <f t="shared" si="185"/>
        <v>10</v>
      </c>
      <c r="O874" s="20" t="str">
        <f t="shared" si="186"/>
        <v>Se repite 10 veces en Tradiciones Andinas</v>
      </c>
      <c r="P874" s="20" t="str">
        <f t="shared" si="187"/>
        <v>Tradiciones Andinas-T.A Cancha Corn / Maiz Cancha 15oz x 24-42.96</v>
      </c>
      <c r="Q874" s="20">
        <f t="shared" si="188"/>
        <v>3</v>
      </c>
      <c r="R874" s="20" t="str">
        <f t="shared" si="189"/>
        <v>Se repite 3 veces el precio de 42.96</v>
      </c>
      <c r="S874" s="20" t="str">
        <f t="shared" si="190"/>
        <v>El producto T.A Cancha Corn / Maiz Cancha 15oz x 24 Se repite 10 veces en Tradiciones Andinas, Se repite 3 veces el precio de 42.96</v>
      </c>
      <c r="T874" s="20" t="str">
        <f t="shared" si="191"/>
        <v>Tradiciones Andinas</v>
      </c>
      <c r="U874" s="20" t="str">
        <f t="shared" si="192"/>
        <v>T.A Cancha Corn / Maiz Cancha 15oz x 24</v>
      </c>
      <c r="V874" s="22">
        <f t="shared" si="193"/>
        <v>42.96</v>
      </c>
      <c r="W874" t="str">
        <f t="shared" si="194"/>
        <v>Tradiciones Andinas 03/31/2025</v>
      </c>
      <c r="Z874">
        <f t="shared" si="195"/>
        <v>85.92</v>
      </c>
    </row>
    <row r="875" spans="1:26" hidden="1" x14ac:dyDescent="0.25">
      <c r="A875" s="2" t="s">
        <v>664</v>
      </c>
      <c r="B875" s="11" t="s">
        <v>398</v>
      </c>
      <c r="C875" s="11" t="s">
        <v>4</v>
      </c>
      <c r="D875" s="11" t="s">
        <v>5</v>
      </c>
      <c r="E875" s="11" t="s">
        <v>702</v>
      </c>
      <c r="F875" s="11" t="s">
        <v>703</v>
      </c>
      <c r="G875" s="12">
        <v>2</v>
      </c>
      <c r="H875" s="12">
        <v>42.96</v>
      </c>
      <c r="I875" s="12">
        <v>85.92</v>
      </c>
      <c r="J875" s="12">
        <v>4394.2</v>
      </c>
      <c r="K875" s="20">
        <f t="shared" si="182"/>
        <v>10</v>
      </c>
      <c r="L875" s="20" t="str">
        <f t="shared" si="183"/>
        <v>Se repite 10 veces</v>
      </c>
      <c r="M875" s="20" t="str">
        <f t="shared" si="184"/>
        <v>Tradiciones Andinas-T.A Cancha Corn / Maiz Cancha 15oz x 24</v>
      </c>
      <c r="N875" s="20">
        <f t="shared" si="185"/>
        <v>10</v>
      </c>
      <c r="O875" s="20" t="str">
        <f t="shared" si="186"/>
        <v>Se repite 10 veces en Tradiciones Andinas</v>
      </c>
      <c r="P875" s="20" t="str">
        <f t="shared" si="187"/>
        <v>Tradiciones Andinas-T.A Cancha Corn / Maiz Cancha 15oz x 24-42.96</v>
      </c>
      <c r="Q875" s="20">
        <f t="shared" si="188"/>
        <v>3</v>
      </c>
      <c r="R875" s="20" t="str">
        <f t="shared" si="189"/>
        <v>Se repite 3 veces el precio de 42.96</v>
      </c>
      <c r="S875" s="20" t="str">
        <f t="shared" si="190"/>
        <v>El producto T.A Cancha Corn / Maiz Cancha 15oz x 24 Se repite 10 veces en Tradiciones Andinas, Se repite 3 veces el precio de 42.96</v>
      </c>
      <c r="T875" s="20" t="str">
        <f t="shared" si="191"/>
        <v>Tradiciones Andinas</v>
      </c>
      <c r="U875" s="20" t="str">
        <f t="shared" si="192"/>
        <v>T.A Cancha Corn / Maiz Cancha 15oz x 24</v>
      </c>
      <c r="V875" s="22">
        <f t="shared" si="193"/>
        <v>42.96</v>
      </c>
      <c r="W875" t="str">
        <f t="shared" si="194"/>
        <v>Tradiciones Andinas 04/10/2025</v>
      </c>
      <c r="Z875">
        <f t="shared" si="195"/>
        <v>85.92</v>
      </c>
    </row>
    <row r="876" spans="1:26" hidden="1" x14ac:dyDescent="0.25">
      <c r="A876" s="2" t="s">
        <v>664</v>
      </c>
      <c r="B876" s="11" t="s">
        <v>821</v>
      </c>
      <c r="C876" s="11" t="s">
        <v>4</v>
      </c>
      <c r="D876" s="11" t="s">
        <v>822</v>
      </c>
      <c r="E876" s="11" t="s">
        <v>702</v>
      </c>
      <c r="F876" s="11" t="s">
        <v>703</v>
      </c>
      <c r="G876" s="12">
        <v>4</v>
      </c>
      <c r="H876" s="12">
        <v>42.96</v>
      </c>
      <c r="I876" s="12">
        <v>171.84</v>
      </c>
      <c r="J876" s="12">
        <v>11237.959999999997</v>
      </c>
      <c r="K876" s="20">
        <f t="shared" si="182"/>
        <v>10</v>
      </c>
      <c r="L876" s="20" t="str">
        <f t="shared" si="183"/>
        <v>Se repite 10 veces</v>
      </c>
      <c r="M876" s="20" t="str">
        <f t="shared" si="184"/>
        <v>Tradiciones Andinas-T.A Cancha Corn / Maiz Cancha 15oz x 24</v>
      </c>
      <c r="N876" s="20">
        <f t="shared" si="185"/>
        <v>10</v>
      </c>
      <c r="O876" s="20" t="str">
        <f t="shared" si="186"/>
        <v>Se repite 10 veces en Tradiciones Andinas</v>
      </c>
      <c r="P876" s="20" t="str">
        <f t="shared" si="187"/>
        <v>Tradiciones Andinas-T.A Cancha Corn / Maiz Cancha 15oz x 24-42.96</v>
      </c>
      <c r="Q876" s="20">
        <f t="shared" si="188"/>
        <v>3</v>
      </c>
      <c r="R876" s="20" t="str">
        <f t="shared" si="189"/>
        <v>Se repite 3 veces el precio de 42.96</v>
      </c>
      <c r="S876" s="20" t="str">
        <f t="shared" si="190"/>
        <v>El producto T.A Cancha Corn / Maiz Cancha 15oz x 24 Se repite 10 veces en Tradiciones Andinas, Se repite 3 veces el precio de 42.96</v>
      </c>
      <c r="T876" s="20" t="str">
        <f t="shared" si="191"/>
        <v>Tradiciones Andinas</v>
      </c>
      <c r="U876" s="20" t="str">
        <f t="shared" si="192"/>
        <v>T.A Cancha Corn / Maiz Cancha 15oz x 24</v>
      </c>
      <c r="V876" s="22">
        <f t="shared" si="193"/>
        <v>42.96</v>
      </c>
      <c r="W876" t="str">
        <f t="shared" si="194"/>
        <v>Tradiciones Andinas 04/25/2025</v>
      </c>
      <c r="Z876">
        <f t="shared" si="195"/>
        <v>171.84</v>
      </c>
    </row>
    <row r="877" spans="1:26" hidden="1" x14ac:dyDescent="0.25">
      <c r="A877" s="2" t="s">
        <v>664</v>
      </c>
      <c r="B877" s="11" t="s">
        <v>158</v>
      </c>
      <c r="C877" s="11" t="s">
        <v>4</v>
      </c>
      <c r="D877" s="11" t="s">
        <v>984</v>
      </c>
      <c r="E877" s="11" t="s">
        <v>702</v>
      </c>
      <c r="F877" s="11" t="s">
        <v>992</v>
      </c>
      <c r="G877" s="12">
        <v>8</v>
      </c>
      <c r="H877" s="12">
        <v>45.96</v>
      </c>
      <c r="I877" s="12">
        <v>367.68</v>
      </c>
      <c r="J877" s="12">
        <v>37410.550000000003</v>
      </c>
      <c r="K877" s="20">
        <f t="shared" si="182"/>
        <v>10</v>
      </c>
      <c r="L877" s="20" t="str">
        <f t="shared" si="183"/>
        <v>Se repite 10 veces</v>
      </c>
      <c r="M877" s="20" t="str">
        <f t="shared" si="184"/>
        <v>Tradiciones Andinas-T.A Cancha Corn / Maiz Cancha 15oz x 24</v>
      </c>
      <c r="N877" s="20">
        <f t="shared" si="185"/>
        <v>10</v>
      </c>
      <c r="O877" s="20" t="str">
        <f t="shared" si="186"/>
        <v>Se repite 10 veces en Tradiciones Andinas</v>
      </c>
      <c r="P877" s="20" t="str">
        <f t="shared" si="187"/>
        <v>Tradiciones Andinas-T.A Cancha Corn / Maiz Cancha 15oz x 24-45.96</v>
      </c>
      <c r="Q877" s="20">
        <f t="shared" si="188"/>
        <v>7</v>
      </c>
      <c r="R877" s="20" t="str">
        <f t="shared" si="189"/>
        <v>Se repite 7 veces el precio de 45.96</v>
      </c>
      <c r="S877" s="20" t="str">
        <f t="shared" si="190"/>
        <v>El producto T.A Cancha Corn / Maiz Cancha 15oz x 24 Se repite 10 veces en Tradiciones Andinas, Se repite 7 veces el precio de 45.96</v>
      </c>
      <c r="T877" s="20" t="str">
        <f t="shared" si="191"/>
        <v>Tradiciones Andinas</v>
      </c>
      <c r="U877" s="20" t="str">
        <f t="shared" si="192"/>
        <v>T.A Cancha Corn / Maiz Cancha 15oz x 24</v>
      </c>
      <c r="V877" s="22">
        <f t="shared" si="193"/>
        <v>45.96</v>
      </c>
      <c r="W877" t="str">
        <f t="shared" si="194"/>
        <v>Tradiciones Andinas 06/12/2025</v>
      </c>
      <c r="Z877">
        <f t="shared" si="195"/>
        <v>367.68</v>
      </c>
    </row>
    <row r="878" spans="1:26" hidden="1" x14ac:dyDescent="0.25">
      <c r="A878" s="2" t="s">
        <v>664</v>
      </c>
      <c r="B878" s="11" t="s">
        <v>1029</v>
      </c>
      <c r="C878" s="11" t="s">
        <v>4</v>
      </c>
      <c r="D878" s="11" t="s">
        <v>1030</v>
      </c>
      <c r="E878" s="11" t="s">
        <v>702</v>
      </c>
      <c r="F878" s="11" t="s">
        <v>992</v>
      </c>
      <c r="G878" s="12">
        <v>3</v>
      </c>
      <c r="H878" s="12">
        <v>45.96</v>
      </c>
      <c r="I878" s="12">
        <v>137.88</v>
      </c>
      <c r="J878" s="12">
        <v>45624.94999999999</v>
      </c>
      <c r="K878" s="20">
        <f t="shared" si="182"/>
        <v>10</v>
      </c>
      <c r="L878" s="20" t="str">
        <f t="shared" si="183"/>
        <v>Se repite 10 veces</v>
      </c>
      <c r="M878" s="20" t="str">
        <f t="shared" si="184"/>
        <v>Tradiciones Andinas-T.A Cancha Corn / Maiz Cancha 15oz x 24</v>
      </c>
      <c r="N878" s="20">
        <f t="shared" si="185"/>
        <v>10</v>
      </c>
      <c r="O878" s="20" t="str">
        <f t="shared" si="186"/>
        <v>Se repite 10 veces en Tradiciones Andinas</v>
      </c>
      <c r="P878" s="20" t="str">
        <f t="shared" si="187"/>
        <v>Tradiciones Andinas-T.A Cancha Corn / Maiz Cancha 15oz x 24-45.96</v>
      </c>
      <c r="Q878" s="20">
        <f t="shared" si="188"/>
        <v>7</v>
      </c>
      <c r="R878" s="20" t="str">
        <f t="shared" si="189"/>
        <v>Se repite 7 veces el precio de 45.96</v>
      </c>
      <c r="S878" s="20" t="str">
        <f t="shared" si="190"/>
        <v>El producto T.A Cancha Corn / Maiz Cancha 15oz x 24 Se repite 10 veces en Tradiciones Andinas, Se repite 7 veces el precio de 45.96</v>
      </c>
      <c r="T878" s="20" t="str">
        <f t="shared" si="191"/>
        <v>Tradiciones Andinas</v>
      </c>
      <c r="U878" s="20" t="str">
        <f t="shared" si="192"/>
        <v>T.A Cancha Corn / Maiz Cancha 15oz x 24</v>
      </c>
      <c r="V878" s="22">
        <f t="shared" si="193"/>
        <v>45.96</v>
      </c>
      <c r="W878" t="str">
        <f t="shared" si="194"/>
        <v>Tradiciones Andinas 06/17/2025</v>
      </c>
      <c r="Z878">
        <f t="shared" si="195"/>
        <v>137.88</v>
      </c>
    </row>
    <row r="879" spans="1:26" hidden="1" x14ac:dyDescent="0.25">
      <c r="A879" s="2" t="s">
        <v>664</v>
      </c>
      <c r="B879" s="11" t="s">
        <v>1033</v>
      </c>
      <c r="C879" s="11" t="s">
        <v>4</v>
      </c>
      <c r="D879" s="11" t="s">
        <v>1034</v>
      </c>
      <c r="E879" s="11" t="s">
        <v>702</v>
      </c>
      <c r="F879" s="11" t="s">
        <v>992</v>
      </c>
      <c r="G879" s="12">
        <v>8</v>
      </c>
      <c r="H879" s="12">
        <v>45.96</v>
      </c>
      <c r="I879" s="12">
        <v>367.68</v>
      </c>
      <c r="J879" s="12">
        <v>48637.849999999977</v>
      </c>
      <c r="K879" s="20">
        <f t="shared" si="182"/>
        <v>10</v>
      </c>
      <c r="L879" s="20" t="str">
        <f t="shared" si="183"/>
        <v>Se repite 10 veces</v>
      </c>
      <c r="M879" s="20" t="str">
        <f t="shared" si="184"/>
        <v>Tradiciones Andinas-T.A Cancha Corn / Maiz Cancha 15oz x 24</v>
      </c>
      <c r="N879" s="20">
        <f t="shared" si="185"/>
        <v>10</v>
      </c>
      <c r="O879" s="20" t="str">
        <f t="shared" si="186"/>
        <v>Se repite 10 veces en Tradiciones Andinas</v>
      </c>
      <c r="P879" s="20" t="str">
        <f t="shared" si="187"/>
        <v>Tradiciones Andinas-T.A Cancha Corn / Maiz Cancha 15oz x 24-45.96</v>
      </c>
      <c r="Q879" s="20">
        <f t="shared" si="188"/>
        <v>7</v>
      </c>
      <c r="R879" s="20" t="str">
        <f t="shared" si="189"/>
        <v>Se repite 7 veces el precio de 45.96</v>
      </c>
      <c r="S879" s="20" t="str">
        <f t="shared" si="190"/>
        <v>El producto T.A Cancha Corn / Maiz Cancha 15oz x 24 Se repite 10 veces en Tradiciones Andinas, Se repite 7 veces el precio de 45.96</v>
      </c>
      <c r="T879" s="20" t="str">
        <f t="shared" si="191"/>
        <v>Tradiciones Andinas</v>
      </c>
      <c r="U879" s="20" t="str">
        <f t="shared" si="192"/>
        <v>T.A Cancha Corn / Maiz Cancha 15oz x 24</v>
      </c>
      <c r="V879" s="22">
        <f t="shared" si="193"/>
        <v>45.96</v>
      </c>
      <c r="W879" t="str">
        <f t="shared" si="194"/>
        <v>Tradiciones Andinas 07/03/2025</v>
      </c>
      <c r="Z879">
        <f t="shared" si="195"/>
        <v>367.68</v>
      </c>
    </row>
    <row r="880" spans="1:26" hidden="1" x14ac:dyDescent="0.25">
      <c r="A880" s="2" t="s">
        <v>664</v>
      </c>
      <c r="B880" s="11" t="s">
        <v>1153</v>
      </c>
      <c r="C880" s="11" t="s">
        <v>4</v>
      </c>
      <c r="D880" s="11" t="s">
        <v>1154</v>
      </c>
      <c r="E880" s="11" t="s">
        <v>702</v>
      </c>
      <c r="F880" s="11" t="s">
        <v>992</v>
      </c>
      <c r="G880" s="12">
        <v>10</v>
      </c>
      <c r="H880" s="12">
        <v>45.96</v>
      </c>
      <c r="I880" s="12">
        <v>459.6</v>
      </c>
      <c r="J880" s="12">
        <v>78500.819999999992</v>
      </c>
      <c r="K880" s="20">
        <f t="shared" si="182"/>
        <v>10</v>
      </c>
      <c r="L880" s="20" t="str">
        <f t="shared" si="183"/>
        <v>Se repite 10 veces</v>
      </c>
      <c r="M880" s="20" t="str">
        <f t="shared" si="184"/>
        <v>Tradiciones Andinas-T.A Cancha Corn / Maiz Cancha 15oz x 24</v>
      </c>
      <c r="N880" s="20">
        <f t="shared" si="185"/>
        <v>10</v>
      </c>
      <c r="O880" s="20" t="str">
        <f t="shared" si="186"/>
        <v>Se repite 10 veces en Tradiciones Andinas</v>
      </c>
      <c r="P880" s="20" t="str">
        <f t="shared" si="187"/>
        <v>Tradiciones Andinas-T.A Cancha Corn / Maiz Cancha 15oz x 24-45.96</v>
      </c>
      <c r="Q880" s="20">
        <f t="shared" si="188"/>
        <v>7</v>
      </c>
      <c r="R880" s="20" t="str">
        <f t="shared" si="189"/>
        <v>Se repite 7 veces el precio de 45.96</v>
      </c>
      <c r="S880" s="20" t="str">
        <f t="shared" si="190"/>
        <v>El producto T.A Cancha Corn / Maiz Cancha 15oz x 24 Se repite 10 veces en Tradiciones Andinas, Se repite 7 veces el precio de 45.96</v>
      </c>
      <c r="T880" s="20" t="str">
        <f t="shared" si="191"/>
        <v>Tradiciones Andinas</v>
      </c>
      <c r="U880" s="20" t="str">
        <f t="shared" si="192"/>
        <v>T.A Cancha Corn / Maiz Cancha 15oz x 24</v>
      </c>
      <c r="V880" s="22">
        <f t="shared" si="193"/>
        <v>45.96</v>
      </c>
      <c r="W880" t="str">
        <f t="shared" si="194"/>
        <v>Tradiciones Andinas 09/24/2025</v>
      </c>
      <c r="Z880">
        <f t="shared" si="195"/>
        <v>459.6</v>
      </c>
    </row>
    <row r="881" spans="1:26" hidden="1" x14ac:dyDescent="0.25">
      <c r="A881" s="2" t="s">
        <v>664</v>
      </c>
      <c r="B881" s="11" t="s">
        <v>1201</v>
      </c>
      <c r="C881" s="11" t="s">
        <v>4</v>
      </c>
      <c r="D881" s="11" t="s">
        <v>1202</v>
      </c>
      <c r="E881" s="11" t="s">
        <v>702</v>
      </c>
      <c r="F881" s="11" t="s">
        <v>992</v>
      </c>
      <c r="G881" s="12">
        <v>5</v>
      </c>
      <c r="H881" s="12">
        <v>45.96</v>
      </c>
      <c r="I881" s="12">
        <v>229.8</v>
      </c>
      <c r="J881" s="12">
        <v>100730.86999999994</v>
      </c>
      <c r="K881" s="20">
        <f t="shared" si="182"/>
        <v>10</v>
      </c>
      <c r="L881" s="20" t="str">
        <f t="shared" si="183"/>
        <v>Se repite 10 veces</v>
      </c>
      <c r="M881" s="20" t="str">
        <f t="shared" si="184"/>
        <v>Tradiciones Andinas-T.A Cancha Corn / Maiz Cancha 15oz x 24</v>
      </c>
      <c r="N881" s="20">
        <f t="shared" si="185"/>
        <v>10</v>
      </c>
      <c r="O881" s="20" t="str">
        <f t="shared" si="186"/>
        <v>Se repite 10 veces en Tradiciones Andinas</v>
      </c>
      <c r="P881" s="20" t="str">
        <f t="shared" si="187"/>
        <v>Tradiciones Andinas-T.A Cancha Corn / Maiz Cancha 15oz x 24-45.96</v>
      </c>
      <c r="Q881" s="20">
        <f t="shared" si="188"/>
        <v>7</v>
      </c>
      <c r="R881" s="20" t="str">
        <f t="shared" si="189"/>
        <v>Se repite 7 veces el precio de 45.96</v>
      </c>
      <c r="S881" s="20" t="str">
        <f t="shared" si="190"/>
        <v>El producto T.A Cancha Corn / Maiz Cancha 15oz x 24 Se repite 10 veces en Tradiciones Andinas, Se repite 7 veces el precio de 45.96</v>
      </c>
      <c r="T881" s="20" t="str">
        <f t="shared" si="191"/>
        <v>Tradiciones Andinas</v>
      </c>
      <c r="U881" s="20" t="str">
        <f t="shared" si="192"/>
        <v>T.A Cancha Corn / Maiz Cancha 15oz x 24</v>
      </c>
      <c r="V881" s="22">
        <f t="shared" si="193"/>
        <v>45.96</v>
      </c>
      <c r="W881" t="str">
        <f t="shared" si="194"/>
        <v>Tradiciones Andinas 11/07/2025</v>
      </c>
      <c r="Z881">
        <f t="shared" si="195"/>
        <v>229.8</v>
      </c>
    </row>
    <row r="882" spans="1:26" hidden="1" x14ac:dyDescent="0.25">
      <c r="A882" s="2" t="s">
        <v>664</v>
      </c>
      <c r="B882" s="11" t="s">
        <v>1207</v>
      </c>
      <c r="C882" s="11" t="s">
        <v>4</v>
      </c>
      <c r="D882" s="11" t="s">
        <v>1208</v>
      </c>
      <c r="E882" s="11" t="s">
        <v>702</v>
      </c>
      <c r="F882" s="11" t="s">
        <v>992</v>
      </c>
      <c r="G882" s="12">
        <v>6</v>
      </c>
      <c r="H882" s="12">
        <v>45.96</v>
      </c>
      <c r="I882" s="12">
        <v>275.76</v>
      </c>
      <c r="J882" s="12">
        <v>106160.43999999993</v>
      </c>
      <c r="K882" s="20">
        <f t="shared" si="182"/>
        <v>10</v>
      </c>
      <c r="L882" s="20" t="str">
        <f t="shared" si="183"/>
        <v>Se repite 10 veces</v>
      </c>
      <c r="M882" s="20" t="str">
        <f t="shared" si="184"/>
        <v>Tradiciones Andinas-T.A Cancha Corn / Maiz Cancha 15oz x 24</v>
      </c>
      <c r="N882" s="20">
        <f t="shared" si="185"/>
        <v>10</v>
      </c>
      <c r="O882" s="20" t="str">
        <f t="shared" si="186"/>
        <v>Se repite 10 veces en Tradiciones Andinas</v>
      </c>
      <c r="P882" s="20" t="str">
        <f t="shared" si="187"/>
        <v>Tradiciones Andinas-T.A Cancha Corn / Maiz Cancha 15oz x 24-45.96</v>
      </c>
      <c r="Q882" s="20">
        <f t="shared" si="188"/>
        <v>7</v>
      </c>
      <c r="R882" s="20" t="str">
        <f t="shared" si="189"/>
        <v>Se repite 7 veces el precio de 45.96</v>
      </c>
      <c r="S882" s="20" t="str">
        <f t="shared" si="190"/>
        <v>El producto T.A Cancha Corn / Maiz Cancha 15oz x 24 Se repite 10 veces en Tradiciones Andinas, Se repite 7 veces el precio de 45.96</v>
      </c>
      <c r="T882" s="20" t="str">
        <f t="shared" si="191"/>
        <v>Tradiciones Andinas</v>
      </c>
      <c r="U882" s="20" t="str">
        <f t="shared" si="192"/>
        <v>T.A Cancha Corn / Maiz Cancha 15oz x 24</v>
      </c>
      <c r="V882" s="22">
        <f t="shared" si="193"/>
        <v>45.96</v>
      </c>
      <c r="W882" t="str">
        <f t="shared" si="194"/>
        <v>Tradiciones Andinas 11/28/2025</v>
      </c>
      <c r="Z882">
        <f t="shared" si="195"/>
        <v>275.76</v>
      </c>
    </row>
    <row r="883" spans="1:26" hidden="1" x14ac:dyDescent="0.25">
      <c r="A883" s="2" t="s">
        <v>664</v>
      </c>
      <c r="B883" s="11" t="s">
        <v>1224</v>
      </c>
      <c r="C883" s="11" t="s">
        <v>4</v>
      </c>
      <c r="D883" s="11" t="s">
        <v>1225</v>
      </c>
      <c r="E883" s="11" t="s">
        <v>702</v>
      </c>
      <c r="F883" s="11" t="s">
        <v>992</v>
      </c>
      <c r="G883" s="12">
        <v>10</v>
      </c>
      <c r="H883" s="12">
        <v>45.96</v>
      </c>
      <c r="I883" s="12">
        <v>459.6</v>
      </c>
      <c r="J883" s="12">
        <v>117653.23999999989</v>
      </c>
      <c r="K883" s="20">
        <f t="shared" si="182"/>
        <v>10</v>
      </c>
      <c r="L883" s="20" t="str">
        <f t="shared" si="183"/>
        <v>Se repite 10 veces</v>
      </c>
      <c r="M883" s="20" t="str">
        <f t="shared" si="184"/>
        <v>Tradiciones Andinas-T.A Cancha Corn / Maiz Cancha 15oz x 24</v>
      </c>
      <c r="N883" s="20">
        <f t="shared" si="185"/>
        <v>10</v>
      </c>
      <c r="O883" s="20" t="str">
        <f t="shared" si="186"/>
        <v>Se repite 10 veces en Tradiciones Andinas</v>
      </c>
      <c r="P883" s="20" t="str">
        <f t="shared" si="187"/>
        <v>Tradiciones Andinas-T.A Cancha Corn / Maiz Cancha 15oz x 24-45.96</v>
      </c>
      <c r="Q883" s="20">
        <f t="shared" si="188"/>
        <v>7</v>
      </c>
      <c r="R883" s="20" t="str">
        <f t="shared" si="189"/>
        <v>Se repite 7 veces el precio de 45.96</v>
      </c>
      <c r="S883" s="20" t="str">
        <f t="shared" si="190"/>
        <v>El producto T.A Cancha Corn / Maiz Cancha 15oz x 24 Se repite 10 veces en Tradiciones Andinas, Se repite 7 veces el precio de 45.96</v>
      </c>
      <c r="T883" s="20" t="str">
        <f t="shared" si="191"/>
        <v>Tradiciones Andinas</v>
      </c>
      <c r="U883" s="20" t="str">
        <f t="shared" si="192"/>
        <v>T.A Cancha Corn / Maiz Cancha 15oz x 24</v>
      </c>
      <c r="V883" s="22">
        <f t="shared" si="193"/>
        <v>45.96</v>
      </c>
      <c r="W883" t="str">
        <f t="shared" si="194"/>
        <v>Tradiciones Andinas 12/03/2025</v>
      </c>
      <c r="Z883">
        <f t="shared" si="195"/>
        <v>459.6</v>
      </c>
    </row>
    <row r="884" spans="1:26" hidden="1" x14ac:dyDescent="0.25">
      <c r="A884" s="2" t="s">
        <v>664</v>
      </c>
      <c r="B884" s="11" t="s">
        <v>665</v>
      </c>
      <c r="C884" s="11" t="s">
        <v>4</v>
      </c>
      <c r="D884" s="11" t="s">
        <v>666</v>
      </c>
      <c r="E884" s="11" t="s">
        <v>712</v>
      </c>
      <c r="F884" s="11" t="s">
        <v>713</v>
      </c>
      <c r="G884" s="12">
        <v>2</v>
      </c>
      <c r="H884" s="12">
        <v>19.8</v>
      </c>
      <c r="I884" s="12">
        <v>39.6</v>
      </c>
      <c r="J884" s="12">
        <v>1421.4799999999998</v>
      </c>
      <c r="K884" s="20">
        <f t="shared" si="182"/>
        <v>6</v>
      </c>
      <c r="L884" s="20" t="str">
        <f t="shared" si="183"/>
        <v>Se repite 6 veces</v>
      </c>
      <c r="M884" s="20" t="str">
        <f t="shared" si="184"/>
        <v>Tradiciones Andinas-T.A Cebada Tostada /Toasted Barley 15oz x 18</v>
      </c>
      <c r="N884" s="20">
        <f t="shared" si="185"/>
        <v>6</v>
      </c>
      <c r="O884" s="20" t="str">
        <f t="shared" si="186"/>
        <v>Se repite 6 veces en Tradiciones Andinas</v>
      </c>
      <c r="P884" s="20" t="str">
        <f t="shared" si="187"/>
        <v>Tradiciones Andinas-T.A Cebada Tostada /Toasted Barley 15oz x 18-19.8</v>
      </c>
      <c r="Q884" s="20">
        <f t="shared" si="188"/>
        <v>3</v>
      </c>
      <c r="R884" s="20" t="str">
        <f t="shared" si="189"/>
        <v>Se repite 3 veces el precio de 19.8</v>
      </c>
      <c r="S884" s="20" t="str">
        <f t="shared" si="190"/>
        <v>El producto T.A Cebada Tostada /Toasted Barley 15oz x 18 Se repite 6 veces en Tradiciones Andinas, Se repite 3 veces el precio de 19.8</v>
      </c>
      <c r="T884" s="20" t="str">
        <f t="shared" si="191"/>
        <v>Tradiciones Andinas</v>
      </c>
      <c r="U884" s="20" t="str">
        <f t="shared" si="192"/>
        <v>T.A Cebada Tostada /Toasted Barley 15oz x 18</v>
      </c>
      <c r="V884" s="22">
        <f t="shared" si="193"/>
        <v>19.8</v>
      </c>
      <c r="W884" t="str">
        <f t="shared" si="194"/>
        <v>Tradiciones Andinas 03/31/2025</v>
      </c>
      <c r="Z884">
        <f t="shared" si="195"/>
        <v>39.6</v>
      </c>
    </row>
    <row r="885" spans="1:26" hidden="1" x14ac:dyDescent="0.25">
      <c r="A885" s="2" t="s">
        <v>664</v>
      </c>
      <c r="B885" s="11" t="s">
        <v>398</v>
      </c>
      <c r="C885" s="11" t="s">
        <v>4</v>
      </c>
      <c r="D885" s="11" t="s">
        <v>5</v>
      </c>
      <c r="E885" s="11" t="s">
        <v>712</v>
      </c>
      <c r="F885" s="11" t="s">
        <v>713</v>
      </c>
      <c r="G885" s="12">
        <v>3</v>
      </c>
      <c r="H885" s="12">
        <v>19.8</v>
      </c>
      <c r="I885" s="12">
        <v>59.4</v>
      </c>
      <c r="J885" s="12">
        <v>4710.6399999999994</v>
      </c>
      <c r="K885" s="20">
        <f t="shared" si="182"/>
        <v>6</v>
      </c>
      <c r="L885" s="20" t="str">
        <f t="shared" si="183"/>
        <v>Se repite 6 veces</v>
      </c>
      <c r="M885" s="20" t="str">
        <f t="shared" si="184"/>
        <v>Tradiciones Andinas-T.A Cebada Tostada /Toasted Barley 15oz x 18</v>
      </c>
      <c r="N885" s="20">
        <f t="shared" si="185"/>
        <v>6</v>
      </c>
      <c r="O885" s="20" t="str">
        <f t="shared" si="186"/>
        <v>Se repite 6 veces en Tradiciones Andinas</v>
      </c>
      <c r="P885" s="20" t="str">
        <f t="shared" si="187"/>
        <v>Tradiciones Andinas-T.A Cebada Tostada /Toasted Barley 15oz x 18-19.8</v>
      </c>
      <c r="Q885" s="20">
        <f t="shared" si="188"/>
        <v>3</v>
      </c>
      <c r="R885" s="20" t="str">
        <f t="shared" si="189"/>
        <v>Se repite 3 veces el precio de 19.8</v>
      </c>
      <c r="S885" s="20" t="str">
        <f t="shared" si="190"/>
        <v>El producto T.A Cebada Tostada /Toasted Barley 15oz x 18 Se repite 6 veces en Tradiciones Andinas, Se repite 3 veces el precio de 19.8</v>
      </c>
      <c r="T885" s="20" t="str">
        <f t="shared" si="191"/>
        <v>Tradiciones Andinas</v>
      </c>
      <c r="U885" s="20" t="str">
        <f t="shared" si="192"/>
        <v>T.A Cebada Tostada /Toasted Barley 15oz x 18</v>
      </c>
      <c r="V885" s="22">
        <f t="shared" si="193"/>
        <v>19.8</v>
      </c>
      <c r="W885" t="str">
        <f t="shared" si="194"/>
        <v>Tradiciones Andinas 04/10/2025</v>
      </c>
      <c r="Z885">
        <f t="shared" si="195"/>
        <v>59.400000000000006</v>
      </c>
    </row>
    <row r="886" spans="1:26" hidden="1" x14ac:dyDescent="0.25">
      <c r="A886" s="2" t="s">
        <v>664</v>
      </c>
      <c r="B886" s="11" t="s">
        <v>821</v>
      </c>
      <c r="C886" s="11" t="s">
        <v>4</v>
      </c>
      <c r="D886" s="11" t="s">
        <v>822</v>
      </c>
      <c r="E886" s="11" t="s">
        <v>712</v>
      </c>
      <c r="F886" s="11" t="s">
        <v>713</v>
      </c>
      <c r="G886" s="12">
        <v>10</v>
      </c>
      <c r="H886" s="12">
        <v>19.8</v>
      </c>
      <c r="I886" s="12">
        <v>198</v>
      </c>
      <c r="J886" s="12">
        <v>12237.559999999998</v>
      </c>
      <c r="K886" s="20">
        <f t="shared" si="182"/>
        <v>6</v>
      </c>
      <c r="L886" s="20" t="str">
        <f t="shared" si="183"/>
        <v>Se repite 6 veces</v>
      </c>
      <c r="M886" s="20" t="str">
        <f t="shared" si="184"/>
        <v>Tradiciones Andinas-T.A Cebada Tostada /Toasted Barley 15oz x 18</v>
      </c>
      <c r="N886" s="20">
        <f t="shared" si="185"/>
        <v>6</v>
      </c>
      <c r="O886" s="20" t="str">
        <f t="shared" si="186"/>
        <v>Se repite 6 veces en Tradiciones Andinas</v>
      </c>
      <c r="P886" s="20" t="str">
        <f t="shared" si="187"/>
        <v>Tradiciones Andinas-T.A Cebada Tostada /Toasted Barley 15oz x 18-19.8</v>
      </c>
      <c r="Q886" s="20">
        <f t="shared" si="188"/>
        <v>3</v>
      </c>
      <c r="R886" s="20" t="str">
        <f t="shared" si="189"/>
        <v>Se repite 3 veces el precio de 19.8</v>
      </c>
      <c r="S886" s="20" t="str">
        <f t="shared" si="190"/>
        <v>El producto T.A Cebada Tostada /Toasted Barley 15oz x 18 Se repite 6 veces en Tradiciones Andinas, Se repite 3 veces el precio de 19.8</v>
      </c>
      <c r="T886" s="20" t="str">
        <f t="shared" si="191"/>
        <v>Tradiciones Andinas</v>
      </c>
      <c r="U886" s="20" t="str">
        <f t="shared" si="192"/>
        <v>T.A Cebada Tostada /Toasted Barley 15oz x 18</v>
      </c>
      <c r="V886" s="22">
        <f t="shared" si="193"/>
        <v>19.8</v>
      </c>
      <c r="W886" t="str">
        <f t="shared" si="194"/>
        <v>Tradiciones Andinas 04/25/2025</v>
      </c>
      <c r="Z886">
        <f t="shared" si="195"/>
        <v>198</v>
      </c>
    </row>
    <row r="887" spans="1:26" hidden="1" x14ac:dyDescent="0.25">
      <c r="A887" s="2" t="s">
        <v>664</v>
      </c>
      <c r="B887" s="11" t="s">
        <v>1033</v>
      </c>
      <c r="C887" s="11" t="s">
        <v>4</v>
      </c>
      <c r="D887" s="11" t="s">
        <v>1034</v>
      </c>
      <c r="E887" s="11" t="s">
        <v>712</v>
      </c>
      <c r="F887" s="11" t="s">
        <v>1046</v>
      </c>
      <c r="G887" s="12">
        <v>2</v>
      </c>
      <c r="H887" s="12">
        <v>21.18</v>
      </c>
      <c r="I887" s="12">
        <v>42.36</v>
      </c>
      <c r="J887" s="12">
        <v>48936.469999999972</v>
      </c>
      <c r="K887" s="20">
        <f t="shared" si="182"/>
        <v>6</v>
      </c>
      <c r="L887" s="20" t="str">
        <f t="shared" si="183"/>
        <v>Se repite 6 veces</v>
      </c>
      <c r="M887" s="20" t="str">
        <f t="shared" si="184"/>
        <v>Tradiciones Andinas-T.A Cebada Tostada /Toasted Barley 15oz x 18</v>
      </c>
      <c r="N887" s="20">
        <f t="shared" si="185"/>
        <v>6</v>
      </c>
      <c r="O887" s="20" t="str">
        <f t="shared" si="186"/>
        <v>Se repite 6 veces en Tradiciones Andinas</v>
      </c>
      <c r="P887" s="20" t="str">
        <f t="shared" si="187"/>
        <v>Tradiciones Andinas-T.A Cebada Tostada /Toasted Barley 15oz x 18-21.18</v>
      </c>
      <c r="Q887" s="20">
        <f t="shared" si="188"/>
        <v>3</v>
      </c>
      <c r="R887" s="20" t="str">
        <f t="shared" si="189"/>
        <v>Se repite 3 veces el precio de 21.18</v>
      </c>
      <c r="S887" s="20" t="str">
        <f t="shared" si="190"/>
        <v>El producto T.A Cebada Tostada /Toasted Barley 15oz x 18 Se repite 6 veces en Tradiciones Andinas, Se repite 3 veces el precio de 21.18</v>
      </c>
      <c r="T887" s="20" t="str">
        <f t="shared" si="191"/>
        <v>Tradiciones Andinas</v>
      </c>
      <c r="U887" s="20" t="str">
        <f t="shared" si="192"/>
        <v>T.A Cebada Tostada /Toasted Barley 15oz x 18</v>
      </c>
      <c r="V887" s="22">
        <f t="shared" si="193"/>
        <v>21.18</v>
      </c>
      <c r="W887" t="str">
        <f t="shared" si="194"/>
        <v>Tradiciones Andinas 07/03/2025</v>
      </c>
      <c r="Z887">
        <f t="shared" si="195"/>
        <v>42.36</v>
      </c>
    </row>
    <row r="888" spans="1:26" hidden="1" x14ac:dyDescent="0.25">
      <c r="A888" s="2" t="s">
        <v>664</v>
      </c>
      <c r="B888" s="11" t="s">
        <v>1153</v>
      </c>
      <c r="C888" s="11" t="s">
        <v>4</v>
      </c>
      <c r="D888" s="11" t="s">
        <v>1154</v>
      </c>
      <c r="E888" s="11" t="s">
        <v>712</v>
      </c>
      <c r="F888" s="11" t="s">
        <v>1046</v>
      </c>
      <c r="G888" s="12">
        <v>5</v>
      </c>
      <c r="H888" s="12">
        <v>21.18</v>
      </c>
      <c r="I888" s="12">
        <v>105.9</v>
      </c>
      <c r="J888" s="12">
        <v>78937.119999999981</v>
      </c>
      <c r="K888" s="20">
        <f t="shared" si="182"/>
        <v>6</v>
      </c>
      <c r="L888" s="20" t="str">
        <f t="shared" si="183"/>
        <v>Se repite 6 veces</v>
      </c>
      <c r="M888" s="20" t="str">
        <f t="shared" si="184"/>
        <v>Tradiciones Andinas-T.A Cebada Tostada /Toasted Barley 15oz x 18</v>
      </c>
      <c r="N888" s="20">
        <f t="shared" si="185"/>
        <v>6</v>
      </c>
      <c r="O888" s="20" t="str">
        <f t="shared" si="186"/>
        <v>Se repite 6 veces en Tradiciones Andinas</v>
      </c>
      <c r="P888" s="20" t="str">
        <f t="shared" si="187"/>
        <v>Tradiciones Andinas-T.A Cebada Tostada /Toasted Barley 15oz x 18-21.18</v>
      </c>
      <c r="Q888" s="20">
        <f t="shared" si="188"/>
        <v>3</v>
      </c>
      <c r="R888" s="20" t="str">
        <f t="shared" si="189"/>
        <v>Se repite 3 veces el precio de 21.18</v>
      </c>
      <c r="S888" s="20" t="str">
        <f t="shared" si="190"/>
        <v>El producto T.A Cebada Tostada /Toasted Barley 15oz x 18 Se repite 6 veces en Tradiciones Andinas, Se repite 3 veces el precio de 21.18</v>
      </c>
      <c r="T888" s="20" t="str">
        <f t="shared" si="191"/>
        <v>Tradiciones Andinas</v>
      </c>
      <c r="U888" s="20" t="str">
        <f t="shared" si="192"/>
        <v>T.A Cebada Tostada /Toasted Barley 15oz x 18</v>
      </c>
      <c r="V888" s="22">
        <f t="shared" si="193"/>
        <v>21.18</v>
      </c>
      <c r="W888" t="str">
        <f t="shared" si="194"/>
        <v>Tradiciones Andinas 09/24/2025</v>
      </c>
      <c r="Z888">
        <f t="shared" si="195"/>
        <v>105.9</v>
      </c>
    </row>
    <row r="889" spans="1:26" hidden="1" x14ac:dyDescent="0.25">
      <c r="A889" s="2" t="s">
        <v>664</v>
      </c>
      <c r="B889" s="11" t="s">
        <v>1201</v>
      </c>
      <c r="C889" s="11" t="s">
        <v>4</v>
      </c>
      <c r="D889" s="11" t="s">
        <v>1202</v>
      </c>
      <c r="E889" s="11" t="s">
        <v>712</v>
      </c>
      <c r="F889" s="11" t="s">
        <v>1046</v>
      </c>
      <c r="G889" s="12">
        <v>4</v>
      </c>
      <c r="H889" s="12">
        <v>21.18</v>
      </c>
      <c r="I889" s="12">
        <v>84.72</v>
      </c>
      <c r="J889" s="12">
        <v>101614.62999999993</v>
      </c>
      <c r="K889" s="20">
        <f t="shared" si="182"/>
        <v>6</v>
      </c>
      <c r="L889" s="20" t="str">
        <f t="shared" si="183"/>
        <v>Se repite 6 veces</v>
      </c>
      <c r="M889" s="20" t="str">
        <f t="shared" si="184"/>
        <v>Tradiciones Andinas-T.A Cebada Tostada /Toasted Barley 15oz x 18</v>
      </c>
      <c r="N889" s="20">
        <f t="shared" si="185"/>
        <v>6</v>
      </c>
      <c r="O889" s="20" t="str">
        <f t="shared" si="186"/>
        <v>Se repite 6 veces en Tradiciones Andinas</v>
      </c>
      <c r="P889" s="20" t="str">
        <f t="shared" si="187"/>
        <v>Tradiciones Andinas-T.A Cebada Tostada /Toasted Barley 15oz x 18-21.18</v>
      </c>
      <c r="Q889" s="20">
        <f t="shared" si="188"/>
        <v>3</v>
      </c>
      <c r="R889" s="20" t="str">
        <f t="shared" si="189"/>
        <v>Se repite 3 veces el precio de 21.18</v>
      </c>
      <c r="S889" s="20" t="str">
        <f t="shared" si="190"/>
        <v>El producto T.A Cebada Tostada /Toasted Barley 15oz x 18 Se repite 6 veces en Tradiciones Andinas, Se repite 3 veces el precio de 21.18</v>
      </c>
      <c r="T889" s="20" t="str">
        <f t="shared" si="191"/>
        <v>Tradiciones Andinas</v>
      </c>
      <c r="U889" s="20" t="str">
        <f t="shared" si="192"/>
        <v>T.A Cebada Tostada /Toasted Barley 15oz x 18</v>
      </c>
      <c r="V889" s="22">
        <f t="shared" si="193"/>
        <v>21.18</v>
      </c>
      <c r="W889" t="str">
        <f t="shared" si="194"/>
        <v>Tradiciones Andinas 11/07/2025</v>
      </c>
      <c r="Z889">
        <f t="shared" si="195"/>
        <v>84.72</v>
      </c>
    </row>
    <row r="890" spans="1:26" hidden="1" x14ac:dyDescent="0.25">
      <c r="A890" s="2" t="s">
        <v>664</v>
      </c>
      <c r="B890" s="11" t="s">
        <v>821</v>
      </c>
      <c r="C890" s="11" t="s">
        <v>4</v>
      </c>
      <c r="D890" s="11" t="s">
        <v>822</v>
      </c>
      <c r="E890" s="11" t="s">
        <v>837</v>
      </c>
      <c r="F890" s="11" t="s">
        <v>838</v>
      </c>
      <c r="G890" s="12">
        <v>2</v>
      </c>
      <c r="H890" s="12">
        <v>28.64</v>
      </c>
      <c r="I890" s="12">
        <v>57.28</v>
      </c>
      <c r="J890" s="12">
        <v>12996.119999999999</v>
      </c>
      <c r="K890" s="20">
        <f t="shared" si="182"/>
        <v>4</v>
      </c>
      <c r="L890" s="20" t="str">
        <f t="shared" si="183"/>
        <v>Se repite 4 veces</v>
      </c>
      <c r="M890" s="20" t="str">
        <f t="shared" si="184"/>
        <v>Tradiciones Andinas-T.A Chia /Chia Seeds 12oz x 16</v>
      </c>
      <c r="N890" s="20">
        <f t="shared" si="185"/>
        <v>4</v>
      </c>
      <c r="O890" s="20" t="str">
        <f t="shared" si="186"/>
        <v>Se repite 4 veces en Tradiciones Andinas</v>
      </c>
      <c r="P890" s="20" t="str">
        <f t="shared" si="187"/>
        <v>Tradiciones Andinas-T.A Chia /Chia Seeds 12oz x 16-28.64</v>
      </c>
      <c r="Q890" s="20">
        <f t="shared" si="188"/>
        <v>2</v>
      </c>
      <c r="R890" s="20" t="str">
        <f t="shared" si="189"/>
        <v>Se repite 2 veces el precio de 28.64</v>
      </c>
      <c r="S890" s="20" t="str">
        <f t="shared" si="190"/>
        <v>El producto T.A Chia /Chia Seeds 12oz x 16 Se repite 4 veces en Tradiciones Andinas, Se repite 2 veces el precio de 28.64</v>
      </c>
      <c r="T890" s="20" t="str">
        <f t="shared" si="191"/>
        <v>Tradiciones Andinas</v>
      </c>
      <c r="U890" s="20" t="str">
        <f t="shared" si="192"/>
        <v>T.A Chia /Chia Seeds 12oz x 16</v>
      </c>
      <c r="V890" s="22">
        <f t="shared" si="193"/>
        <v>28.64</v>
      </c>
      <c r="W890" t="str">
        <f t="shared" si="194"/>
        <v>Tradiciones Andinas 04/25/2025</v>
      </c>
      <c r="Z890">
        <f t="shared" si="195"/>
        <v>57.28</v>
      </c>
    </row>
    <row r="891" spans="1:26" hidden="1" x14ac:dyDescent="0.25">
      <c r="A891" s="2" t="s">
        <v>664</v>
      </c>
      <c r="B891" s="11" t="s">
        <v>932</v>
      </c>
      <c r="C891" s="11" t="s">
        <v>4</v>
      </c>
      <c r="D891" s="11" t="s">
        <v>933</v>
      </c>
      <c r="E891" s="11" t="s">
        <v>837</v>
      </c>
      <c r="F891" s="11" t="s">
        <v>934</v>
      </c>
      <c r="G891" s="12">
        <v>1</v>
      </c>
      <c r="H891" s="12">
        <v>28.64</v>
      </c>
      <c r="I891" s="12">
        <v>28.64</v>
      </c>
      <c r="J891" s="12">
        <v>24111.42</v>
      </c>
      <c r="K891" s="20">
        <f t="shared" si="182"/>
        <v>4</v>
      </c>
      <c r="L891" s="20" t="str">
        <f t="shared" si="183"/>
        <v>Se repite 4 veces</v>
      </c>
      <c r="M891" s="20" t="str">
        <f t="shared" si="184"/>
        <v>Tradiciones Andinas-T.A Chia /Chia Seeds 12oz x 16</v>
      </c>
      <c r="N891" s="20">
        <f t="shared" si="185"/>
        <v>4</v>
      </c>
      <c r="O891" s="20" t="str">
        <f t="shared" si="186"/>
        <v>Se repite 4 veces en Tradiciones Andinas</v>
      </c>
      <c r="P891" s="20" t="str">
        <f t="shared" si="187"/>
        <v>Tradiciones Andinas-T.A Chia /Chia Seeds 12oz x 16-28.64</v>
      </c>
      <c r="Q891" s="20">
        <f t="shared" si="188"/>
        <v>2</v>
      </c>
      <c r="R891" s="20" t="str">
        <f t="shared" si="189"/>
        <v>Se repite 2 veces el precio de 28.64</v>
      </c>
      <c r="S891" s="20" t="str">
        <f t="shared" si="190"/>
        <v>El producto T.A Chia /Chia Seeds 12oz x 16 Se repite 4 veces en Tradiciones Andinas, Se repite 2 veces el precio de 28.64</v>
      </c>
      <c r="T891" s="20" t="str">
        <f t="shared" si="191"/>
        <v>Tradiciones Andinas</v>
      </c>
      <c r="U891" s="20" t="str">
        <f t="shared" si="192"/>
        <v>T.A Chia /Chia Seeds 12oz x 16</v>
      </c>
      <c r="V891" s="22">
        <f t="shared" si="193"/>
        <v>28.64</v>
      </c>
      <c r="W891" t="str">
        <f t="shared" si="194"/>
        <v>Tradiciones Andinas 04/29/2025</v>
      </c>
      <c r="Z891">
        <f t="shared" si="195"/>
        <v>28.64</v>
      </c>
    </row>
    <row r="892" spans="1:26" hidden="1" x14ac:dyDescent="0.25">
      <c r="A892" s="2" t="s">
        <v>664</v>
      </c>
      <c r="B892" s="11" t="s">
        <v>1153</v>
      </c>
      <c r="C892" s="11" t="s">
        <v>4</v>
      </c>
      <c r="D892" s="11" t="s">
        <v>1154</v>
      </c>
      <c r="E892" s="11" t="s">
        <v>837</v>
      </c>
      <c r="F892" s="11" t="s">
        <v>934</v>
      </c>
      <c r="G892" s="12">
        <v>1</v>
      </c>
      <c r="H892" s="12">
        <v>30.64</v>
      </c>
      <c r="I892" s="12">
        <v>30.64</v>
      </c>
      <c r="J892" s="12">
        <v>79711.539999999964</v>
      </c>
      <c r="K892" s="20">
        <f t="shared" si="182"/>
        <v>4</v>
      </c>
      <c r="L892" s="20" t="str">
        <f t="shared" si="183"/>
        <v>Se repite 4 veces</v>
      </c>
      <c r="M892" s="20" t="str">
        <f t="shared" si="184"/>
        <v>Tradiciones Andinas-T.A Chia /Chia Seeds 12oz x 16</v>
      </c>
      <c r="N892" s="20">
        <f t="shared" si="185"/>
        <v>4</v>
      </c>
      <c r="O892" s="20" t="str">
        <f t="shared" si="186"/>
        <v>Se repite 4 veces en Tradiciones Andinas</v>
      </c>
      <c r="P892" s="20" t="str">
        <f t="shared" si="187"/>
        <v>Tradiciones Andinas-T.A Chia /Chia Seeds 12oz x 16-30.64</v>
      </c>
      <c r="Q892" s="20">
        <f t="shared" si="188"/>
        <v>2</v>
      </c>
      <c r="R892" s="20" t="str">
        <f t="shared" si="189"/>
        <v>Se repite 2 veces el precio de 30.64</v>
      </c>
      <c r="S892" s="20" t="str">
        <f t="shared" si="190"/>
        <v>El producto T.A Chia /Chia Seeds 12oz x 16 Se repite 4 veces en Tradiciones Andinas, Se repite 2 veces el precio de 30.64</v>
      </c>
      <c r="T892" s="20" t="str">
        <f t="shared" si="191"/>
        <v>Tradiciones Andinas</v>
      </c>
      <c r="U892" s="20" t="str">
        <f t="shared" si="192"/>
        <v>T.A Chia /Chia Seeds 12oz x 16</v>
      </c>
      <c r="V892" s="22">
        <f t="shared" si="193"/>
        <v>30.64</v>
      </c>
      <c r="W892" t="str">
        <f t="shared" si="194"/>
        <v>Tradiciones Andinas 09/24/2025</v>
      </c>
      <c r="Z892">
        <f t="shared" si="195"/>
        <v>30.64</v>
      </c>
    </row>
    <row r="893" spans="1:26" hidden="1" x14ac:dyDescent="0.25">
      <c r="A893" s="2" t="s">
        <v>664</v>
      </c>
      <c r="B893" s="11" t="s">
        <v>1180</v>
      </c>
      <c r="C893" s="11" t="s">
        <v>4</v>
      </c>
      <c r="D893" s="11" t="s">
        <v>1181</v>
      </c>
      <c r="E893" s="11" t="s">
        <v>837</v>
      </c>
      <c r="F893" s="11" t="s">
        <v>934</v>
      </c>
      <c r="G893" s="12">
        <v>2</v>
      </c>
      <c r="H893" s="12">
        <v>30.64</v>
      </c>
      <c r="I893" s="12">
        <v>61.28</v>
      </c>
      <c r="J893" s="12">
        <v>93300.829999999944</v>
      </c>
      <c r="K893" s="20">
        <f t="shared" si="182"/>
        <v>4</v>
      </c>
      <c r="L893" s="20" t="str">
        <f t="shared" si="183"/>
        <v>Se repite 4 veces</v>
      </c>
      <c r="M893" s="20" t="str">
        <f t="shared" si="184"/>
        <v>Tradiciones Andinas-T.A Chia /Chia Seeds 12oz x 16</v>
      </c>
      <c r="N893" s="20">
        <f t="shared" si="185"/>
        <v>4</v>
      </c>
      <c r="O893" s="20" t="str">
        <f t="shared" si="186"/>
        <v>Se repite 4 veces en Tradiciones Andinas</v>
      </c>
      <c r="P893" s="20" t="str">
        <f t="shared" si="187"/>
        <v>Tradiciones Andinas-T.A Chia /Chia Seeds 12oz x 16-30.64</v>
      </c>
      <c r="Q893" s="20">
        <f t="shared" si="188"/>
        <v>2</v>
      </c>
      <c r="R893" s="20" t="str">
        <f t="shared" si="189"/>
        <v>Se repite 2 veces el precio de 30.64</v>
      </c>
      <c r="S893" s="20" t="str">
        <f t="shared" si="190"/>
        <v>El producto T.A Chia /Chia Seeds 12oz x 16 Se repite 4 veces en Tradiciones Andinas, Se repite 2 veces el precio de 30.64</v>
      </c>
      <c r="T893" s="20" t="str">
        <f t="shared" si="191"/>
        <v>Tradiciones Andinas</v>
      </c>
      <c r="U893" s="20" t="str">
        <f t="shared" si="192"/>
        <v>T.A Chia /Chia Seeds 12oz x 16</v>
      </c>
      <c r="V893" s="22">
        <f t="shared" si="193"/>
        <v>30.64</v>
      </c>
      <c r="W893" t="str">
        <f t="shared" si="194"/>
        <v>Tradiciones Andinas 10/07/2025</v>
      </c>
      <c r="Z893">
        <f t="shared" si="195"/>
        <v>61.28</v>
      </c>
    </row>
    <row r="894" spans="1:26" hidden="1" x14ac:dyDescent="0.25">
      <c r="A894" s="2" t="s">
        <v>664</v>
      </c>
      <c r="B894" s="11" t="s">
        <v>665</v>
      </c>
      <c r="C894" s="11" t="s">
        <v>4</v>
      </c>
      <c r="D894" s="11" t="s">
        <v>666</v>
      </c>
      <c r="E894" s="11" t="s">
        <v>754</v>
      </c>
      <c r="F894" s="11" t="s">
        <v>755</v>
      </c>
      <c r="G894" s="12">
        <v>1</v>
      </c>
      <c r="H894" s="12">
        <v>35.880000000000003</v>
      </c>
      <c r="I894" s="12">
        <v>35.880000000000003</v>
      </c>
      <c r="J894" s="12">
        <v>2640.8599999999997</v>
      </c>
      <c r="K894" s="20">
        <f t="shared" si="182"/>
        <v>8</v>
      </c>
      <c r="L894" s="20" t="str">
        <f t="shared" si="183"/>
        <v>Se repite 8 veces</v>
      </c>
      <c r="M894" s="20" t="str">
        <f t="shared" si="184"/>
        <v>Tradiciones Andinas-T.A Chicha de Jora /Jora Seasoning</v>
      </c>
      <c r="N894" s="20">
        <f t="shared" si="185"/>
        <v>8</v>
      </c>
      <c r="O894" s="20" t="str">
        <f t="shared" si="186"/>
        <v>Se repite 8 veces en Tradiciones Andinas</v>
      </c>
      <c r="P894" s="20" t="str">
        <f t="shared" si="187"/>
        <v>Tradiciones Andinas-T.A Chicha de Jora /Jora Seasoning-35.88</v>
      </c>
      <c r="Q894" s="20">
        <f t="shared" si="188"/>
        <v>1</v>
      </c>
      <c r="R894" s="20" t="str">
        <f t="shared" si="189"/>
        <v>No se repite</v>
      </c>
      <c r="S894" s="20" t="str">
        <f t="shared" si="190"/>
        <v>El producto T.A Chicha de Jora /Jora Seasoning Se repite 8 veces en Tradiciones Andinas Una vez con el precio 35.88</v>
      </c>
      <c r="T894" s="20" t="str">
        <f t="shared" si="191"/>
        <v>Tradiciones Andinas</v>
      </c>
      <c r="U894" s="20" t="str">
        <f t="shared" si="192"/>
        <v>T.A Chicha de Jora /Jora Seasoning</v>
      </c>
      <c r="V894" s="22">
        <f t="shared" si="193"/>
        <v>35.880000000000003</v>
      </c>
      <c r="W894" t="str">
        <f t="shared" si="194"/>
        <v>Tradiciones Andinas 03/31/2025</v>
      </c>
      <c r="Z894">
        <f t="shared" si="195"/>
        <v>35.880000000000003</v>
      </c>
    </row>
    <row r="895" spans="1:26" hidden="1" x14ac:dyDescent="0.25">
      <c r="A895" s="2" t="s">
        <v>664</v>
      </c>
      <c r="B895" s="11" t="s">
        <v>654</v>
      </c>
      <c r="C895" s="11" t="s">
        <v>4</v>
      </c>
      <c r="D895" s="11" t="s">
        <v>940</v>
      </c>
      <c r="E895" s="11" t="s">
        <v>754</v>
      </c>
      <c r="F895" s="11" t="s">
        <v>952</v>
      </c>
      <c r="G895" s="12">
        <v>8</v>
      </c>
      <c r="H895" s="12">
        <v>38.39</v>
      </c>
      <c r="I895" s="12">
        <v>307.12</v>
      </c>
      <c r="J895" s="12">
        <v>26101.399999999994</v>
      </c>
      <c r="K895" s="20">
        <f t="shared" si="182"/>
        <v>8</v>
      </c>
      <c r="L895" s="20" t="str">
        <f t="shared" si="183"/>
        <v>Se repite 8 veces</v>
      </c>
      <c r="M895" s="20" t="str">
        <f t="shared" si="184"/>
        <v>Tradiciones Andinas-T.A Chicha de Jora /Jora Seasoning</v>
      </c>
      <c r="N895" s="20">
        <f t="shared" si="185"/>
        <v>8</v>
      </c>
      <c r="O895" s="20" t="str">
        <f t="shared" si="186"/>
        <v>Se repite 8 veces en Tradiciones Andinas</v>
      </c>
      <c r="P895" s="20" t="str">
        <f t="shared" si="187"/>
        <v>Tradiciones Andinas-T.A Chicha de Jora /Jora Seasoning-38.39</v>
      </c>
      <c r="Q895" s="20">
        <f t="shared" si="188"/>
        <v>4</v>
      </c>
      <c r="R895" s="20" t="str">
        <f t="shared" si="189"/>
        <v>Se repite 4 veces el precio de 38.39</v>
      </c>
      <c r="S895" s="20" t="str">
        <f t="shared" si="190"/>
        <v>El producto T.A Chicha de Jora /Jora Seasoning Se repite 8 veces en Tradiciones Andinas, Se repite 4 veces el precio de 38.39</v>
      </c>
      <c r="T895" s="20" t="str">
        <f t="shared" si="191"/>
        <v>Tradiciones Andinas</v>
      </c>
      <c r="U895" s="20" t="str">
        <f t="shared" si="192"/>
        <v>T.A Chicha de Jora /Jora Seasoning</v>
      </c>
      <c r="V895" s="22">
        <f t="shared" si="193"/>
        <v>38.39</v>
      </c>
      <c r="W895" t="str">
        <f t="shared" si="194"/>
        <v>Tradiciones Andinas 05/19/2025</v>
      </c>
      <c r="Z895">
        <f t="shared" si="195"/>
        <v>307.12</v>
      </c>
    </row>
    <row r="896" spans="1:26" hidden="1" x14ac:dyDescent="0.25">
      <c r="A896" s="2" t="s">
        <v>664</v>
      </c>
      <c r="B896" s="11" t="s">
        <v>158</v>
      </c>
      <c r="C896" s="11" t="s">
        <v>4</v>
      </c>
      <c r="D896" s="11" t="s">
        <v>984</v>
      </c>
      <c r="E896" s="11" t="s">
        <v>754</v>
      </c>
      <c r="F896" s="11" t="s">
        <v>952</v>
      </c>
      <c r="G896" s="12">
        <v>5</v>
      </c>
      <c r="H896" s="12">
        <v>38.39</v>
      </c>
      <c r="I896" s="12">
        <v>191.95</v>
      </c>
      <c r="J896" s="12">
        <v>38884.6</v>
      </c>
      <c r="K896" s="20">
        <f t="shared" si="182"/>
        <v>8</v>
      </c>
      <c r="L896" s="20" t="str">
        <f t="shared" si="183"/>
        <v>Se repite 8 veces</v>
      </c>
      <c r="M896" s="20" t="str">
        <f t="shared" si="184"/>
        <v>Tradiciones Andinas-T.A Chicha de Jora /Jora Seasoning</v>
      </c>
      <c r="N896" s="20">
        <f t="shared" si="185"/>
        <v>8</v>
      </c>
      <c r="O896" s="20" t="str">
        <f t="shared" si="186"/>
        <v>Se repite 8 veces en Tradiciones Andinas</v>
      </c>
      <c r="P896" s="20" t="str">
        <f t="shared" si="187"/>
        <v>Tradiciones Andinas-T.A Chicha de Jora /Jora Seasoning-38.39</v>
      </c>
      <c r="Q896" s="20">
        <f t="shared" si="188"/>
        <v>4</v>
      </c>
      <c r="R896" s="20" t="str">
        <f t="shared" si="189"/>
        <v>Se repite 4 veces el precio de 38.39</v>
      </c>
      <c r="S896" s="20" t="str">
        <f t="shared" si="190"/>
        <v>El producto T.A Chicha de Jora /Jora Seasoning Se repite 8 veces en Tradiciones Andinas, Se repite 4 veces el precio de 38.39</v>
      </c>
      <c r="T896" s="20" t="str">
        <f t="shared" si="191"/>
        <v>Tradiciones Andinas</v>
      </c>
      <c r="U896" s="20" t="str">
        <f t="shared" si="192"/>
        <v>T.A Chicha de Jora /Jora Seasoning</v>
      </c>
      <c r="V896" s="22">
        <f t="shared" si="193"/>
        <v>38.39</v>
      </c>
      <c r="W896" t="str">
        <f t="shared" si="194"/>
        <v>Tradiciones Andinas 06/12/2025</v>
      </c>
      <c r="Z896">
        <f t="shared" si="195"/>
        <v>191.95</v>
      </c>
    </row>
    <row r="897" spans="1:26" hidden="1" x14ac:dyDescent="0.25">
      <c r="A897" s="2" t="s">
        <v>664</v>
      </c>
      <c r="B897" s="11" t="s">
        <v>1033</v>
      </c>
      <c r="C897" s="11" t="s">
        <v>4</v>
      </c>
      <c r="D897" s="11" t="s">
        <v>1034</v>
      </c>
      <c r="E897" s="11" t="s">
        <v>754</v>
      </c>
      <c r="F897" s="11" t="s">
        <v>952</v>
      </c>
      <c r="G897" s="12">
        <v>5</v>
      </c>
      <c r="H897" s="12">
        <v>38.39</v>
      </c>
      <c r="I897" s="12">
        <v>191.95</v>
      </c>
      <c r="J897" s="12">
        <v>50891.459999999963</v>
      </c>
      <c r="K897" s="20">
        <f t="shared" si="182"/>
        <v>8</v>
      </c>
      <c r="L897" s="20" t="str">
        <f t="shared" si="183"/>
        <v>Se repite 8 veces</v>
      </c>
      <c r="M897" s="20" t="str">
        <f t="shared" si="184"/>
        <v>Tradiciones Andinas-T.A Chicha de Jora /Jora Seasoning</v>
      </c>
      <c r="N897" s="20">
        <f t="shared" si="185"/>
        <v>8</v>
      </c>
      <c r="O897" s="20" t="str">
        <f t="shared" si="186"/>
        <v>Se repite 8 veces en Tradiciones Andinas</v>
      </c>
      <c r="P897" s="20" t="str">
        <f t="shared" si="187"/>
        <v>Tradiciones Andinas-T.A Chicha de Jora /Jora Seasoning-38.39</v>
      </c>
      <c r="Q897" s="20">
        <f t="shared" si="188"/>
        <v>4</v>
      </c>
      <c r="R897" s="20" t="str">
        <f t="shared" si="189"/>
        <v>Se repite 4 veces el precio de 38.39</v>
      </c>
      <c r="S897" s="20" t="str">
        <f t="shared" si="190"/>
        <v>El producto T.A Chicha de Jora /Jora Seasoning Se repite 8 veces en Tradiciones Andinas, Se repite 4 veces el precio de 38.39</v>
      </c>
      <c r="T897" s="20" t="str">
        <f t="shared" si="191"/>
        <v>Tradiciones Andinas</v>
      </c>
      <c r="U897" s="20" t="str">
        <f t="shared" si="192"/>
        <v>T.A Chicha de Jora /Jora Seasoning</v>
      </c>
      <c r="V897" s="22">
        <f t="shared" si="193"/>
        <v>38.39</v>
      </c>
      <c r="W897" t="str">
        <f t="shared" si="194"/>
        <v>Tradiciones Andinas 07/03/2025</v>
      </c>
      <c r="Z897">
        <f t="shared" si="195"/>
        <v>191.95</v>
      </c>
    </row>
    <row r="898" spans="1:26" hidden="1" x14ac:dyDescent="0.25">
      <c r="A898" s="2" t="s">
        <v>664</v>
      </c>
      <c r="B898" s="11" t="s">
        <v>1125</v>
      </c>
      <c r="C898" s="11" t="s">
        <v>4</v>
      </c>
      <c r="D898" s="11" t="s">
        <v>1126</v>
      </c>
      <c r="E898" s="11" t="s">
        <v>754</v>
      </c>
      <c r="F898" s="11" t="s">
        <v>952</v>
      </c>
      <c r="G898" s="12">
        <v>3</v>
      </c>
      <c r="H898" s="12">
        <v>38.39</v>
      </c>
      <c r="I898" s="12">
        <v>115.17</v>
      </c>
      <c r="J898" s="12">
        <v>69891.570000000022</v>
      </c>
      <c r="K898" s="20">
        <f t="shared" si="182"/>
        <v>8</v>
      </c>
      <c r="L898" s="20" t="str">
        <f t="shared" si="183"/>
        <v>Se repite 8 veces</v>
      </c>
      <c r="M898" s="20" t="str">
        <f t="shared" si="184"/>
        <v>Tradiciones Andinas-T.A Chicha de Jora /Jora Seasoning</v>
      </c>
      <c r="N898" s="20">
        <f t="shared" si="185"/>
        <v>8</v>
      </c>
      <c r="O898" s="20" t="str">
        <f t="shared" si="186"/>
        <v>Se repite 8 veces en Tradiciones Andinas</v>
      </c>
      <c r="P898" s="20" t="str">
        <f t="shared" si="187"/>
        <v>Tradiciones Andinas-T.A Chicha de Jora /Jora Seasoning-38.39</v>
      </c>
      <c r="Q898" s="20">
        <f t="shared" si="188"/>
        <v>4</v>
      </c>
      <c r="R898" s="20" t="str">
        <f t="shared" si="189"/>
        <v>Se repite 4 veces el precio de 38.39</v>
      </c>
      <c r="S898" s="20" t="str">
        <f t="shared" si="190"/>
        <v>El producto T.A Chicha de Jora /Jora Seasoning Se repite 8 veces en Tradiciones Andinas, Se repite 4 veces el precio de 38.39</v>
      </c>
      <c r="T898" s="20" t="str">
        <f t="shared" si="191"/>
        <v>Tradiciones Andinas</v>
      </c>
      <c r="U898" s="20" t="str">
        <f t="shared" si="192"/>
        <v>T.A Chicha de Jora /Jora Seasoning</v>
      </c>
      <c r="V898" s="22">
        <f t="shared" si="193"/>
        <v>38.39</v>
      </c>
      <c r="W898" t="str">
        <f t="shared" si="194"/>
        <v>Tradiciones Andinas 08/18/2025</v>
      </c>
      <c r="Z898">
        <f t="shared" si="195"/>
        <v>115.17</v>
      </c>
    </row>
    <row r="899" spans="1:26" hidden="1" x14ac:dyDescent="0.25">
      <c r="A899" s="2" t="s">
        <v>664</v>
      </c>
      <c r="B899" s="11" t="s">
        <v>1153</v>
      </c>
      <c r="C899" s="11" t="s">
        <v>4</v>
      </c>
      <c r="D899" s="11" t="s">
        <v>1154</v>
      </c>
      <c r="E899" s="11" t="s">
        <v>754</v>
      </c>
      <c r="F899" s="11" t="s">
        <v>952</v>
      </c>
      <c r="G899" s="12">
        <v>3</v>
      </c>
      <c r="H899" s="12">
        <v>38.380000000000003</v>
      </c>
      <c r="I899" s="12">
        <v>115.14</v>
      </c>
      <c r="J899" s="12">
        <v>81186.989999999962</v>
      </c>
      <c r="K899" s="20">
        <f t="shared" ref="K899:K962" si="196">COUNTIF($E$2:$E$1438,E899)</f>
        <v>8</v>
      </c>
      <c r="L899" s="20" t="str">
        <f t="shared" ref="L899:L962" si="197">IF(K899&gt;1,_xlfn.CONCAT("Se repite ",K899," veces"),"No se repite")</f>
        <v>Se repite 8 veces</v>
      </c>
      <c r="M899" s="20" t="str">
        <f t="shared" ref="M899:M962" si="198">_xlfn.CONCAT(A899,"-",E899)</f>
        <v>Tradiciones Andinas-T.A Chicha de Jora /Jora Seasoning</v>
      </c>
      <c r="N899" s="20">
        <f t="shared" ref="N899:N962" si="199">COUNTIF($M$2:$M$1438,M899)</f>
        <v>8</v>
      </c>
      <c r="O899" s="20" t="str">
        <f t="shared" ref="O899:O962" si="200">IF(N899&gt;1,_xlfn.CONCAT("Se repite ",N899," veces en ",A899),"No se repite en proveedor")</f>
        <v>Se repite 8 veces en Tradiciones Andinas</v>
      </c>
      <c r="P899" s="20" t="str">
        <f t="shared" ref="P899:P962" si="201">_xlfn.CONCAT(A899,"-",E899,"-",H899)</f>
        <v>Tradiciones Andinas-T.A Chicha de Jora /Jora Seasoning-38.38</v>
      </c>
      <c r="Q899" s="20">
        <f t="shared" ref="Q899:Q962" si="202">COUNTIF($P$2:$P$1438,P899)</f>
        <v>3</v>
      </c>
      <c r="R899" s="20" t="str">
        <f t="shared" ref="R899:R962" si="203">IF(Q899&gt;1,_xlfn.CONCAT("Se repite ",Q899," veces el precio de ",H899),"No se repite")</f>
        <v>Se repite 3 veces el precio de 38.38</v>
      </c>
      <c r="S899" s="20" t="str">
        <f t="shared" ref="S899:S962" si="204">_xlfn.CONCAT("El producto ",E899," ",O899,IF(R899="No se repite",_xlfn.CONCAT(" Una vez con el precio ",H899),_xlfn.CONCAT(", ",R899)))</f>
        <v>El producto T.A Chicha de Jora /Jora Seasoning Se repite 8 veces en Tradiciones Andinas, Se repite 3 veces el precio de 38.38</v>
      </c>
      <c r="T899" s="20" t="str">
        <f t="shared" ref="T899:T962" si="205">+A899</f>
        <v>Tradiciones Andinas</v>
      </c>
      <c r="U899" s="20" t="str">
        <f t="shared" ref="U899:U962" si="206">+E899</f>
        <v>T.A Chicha de Jora /Jora Seasoning</v>
      </c>
      <c r="V899" s="22">
        <f t="shared" ref="V899:V962" si="207">+H899</f>
        <v>38.380000000000003</v>
      </c>
      <c r="W899" t="str">
        <f t="shared" ref="W899:W962" si="208">_xlfn.CONCAT(A899," ",B899)</f>
        <v>Tradiciones Andinas 09/24/2025</v>
      </c>
      <c r="Z899">
        <f t="shared" ref="Z899:Z962" si="209">G899*H899</f>
        <v>115.14000000000001</v>
      </c>
    </row>
    <row r="900" spans="1:26" hidden="1" x14ac:dyDescent="0.25">
      <c r="A900" s="2" t="s">
        <v>664</v>
      </c>
      <c r="B900" s="11" t="s">
        <v>1201</v>
      </c>
      <c r="C900" s="11" t="s">
        <v>4</v>
      </c>
      <c r="D900" s="11" t="s">
        <v>1202</v>
      </c>
      <c r="E900" s="11" t="s">
        <v>754</v>
      </c>
      <c r="F900" s="11" t="s">
        <v>952</v>
      </c>
      <c r="G900" s="12">
        <v>3</v>
      </c>
      <c r="H900" s="12">
        <v>38.380000000000003</v>
      </c>
      <c r="I900" s="12">
        <v>115.14</v>
      </c>
      <c r="J900" s="12">
        <v>102099.74999999993</v>
      </c>
      <c r="K900" s="20">
        <f t="shared" si="196"/>
        <v>8</v>
      </c>
      <c r="L900" s="20" t="str">
        <f t="shared" si="197"/>
        <v>Se repite 8 veces</v>
      </c>
      <c r="M900" s="20" t="str">
        <f t="shared" si="198"/>
        <v>Tradiciones Andinas-T.A Chicha de Jora /Jora Seasoning</v>
      </c>
      <c r="N900" s="20">
        <f t="shared" si="199"/>
        <v>8</v>
      </c>
      <c r="O900" s="20" t="str">
        <f t="shared" si="200"/>
        <v>Se repite 8 veces en Tradiciones Andinas</v>
      </c>
      <c r="P900" s="20" t="str">
        <f t="shared" si="201"/>
        <v>Tradiciones Andinas-T.A Chicha de Jora /Jora Seasoning-38.38</v>
      </c>
      <c r="Q900" s="20">
        <f t="shared" si="202"/>
        <v>3</v>
      </c>
      <c r="R900" s="20" t="str">
        <f t="shared" si="203"/>
        <v>Se repite 3 veces el precio de 38.38</v>
      </c>
      <c r="S900" s="20" t="str">
        <f t="shared" si="204"/>
        <v>El producto T.A Chicha de Jora /Jora Seasoning Se repite 8 veces en Tradiciones Andinas, Se repite 3 veces el precio de 38.38</v>
      </c>
      <c r="T900" s="20" t="str">
        <f t="shared" si="205"/>
        <v>Tradiciones Andinas</v>
      </c>
      <c r="U900" s="20" t="str">
        <f t="shared" si="206"/>
        <v>T.A Chicha de Jora /Jora Seasoning</v>
      </c>
      <c r="V900" s="22">
        <f t="shared" si="207"/>
        <v>38.380000000000003</v>
      </c>
      <c r="W900" t="str">
        <f t="shared" si="208"/>
        <v>Tradiciones Andinas 11/07/2025</v>
      </c>
      <c r="Z900">
        <f t="shared" si="209"/>
        <v>115.14000000000001</v>
      </c>
    </row>
    <row r="901" spans="1:26" hidden="1" x14ac:dyDescent="0.25">
      <c r="A901" s="2" t="s">
        <v>664</v>
      </c>
      <c r="B901" s="11" t="s">
        <v>1207</v>
      </c>
      <c r="C901" s="11" t="s">
        <v>4</v>
      </c>
      <c r="D901" s="11" t="s">
        <v>1208</v>
      </c>
      <c r="E901" s="11" t="s">
        <v>754</v>
      </c>
      <c r="F901" s="11" t="s">
        <v>952</v>
      </c>
      <c r="G901" s="12">
        <v>12</v>
      </c>
      <c r="H901" s="12">
        <v>38.380000000000003</v>
      </c>
      <c r="I901" s="12">
        <v>460.56</v>
      </c>
      <c r="J901" s="12">
        <v>107979.08999999991</v>
      </c>
      <c r="K901" s="20">
        <f t="shared" si="196"/>
        <v>8</v>
      </c>
      <c r="L901" s="20" t="str">
        <f t="shared" si="197"/>
        <v>Se repite 8 veces</v>
      </c>
      <c r="M901" s="20" t="str">
        <f t="shared" si="198"/>
        <v>Tradiciones Andinas-T.A Chicha de Jora /Jora Seasoning</v>
      </c>
      <c r="N901" s="20">
        <f t="shared" si="199"/>
        <v>8</v>
      </c>
      <c r="O901" s="20" t="str">
        <f t="shared" si="200"/>
        <v>Se repite 8 veces en Tradiciones Andinas</v>
      </c>
      <c r="P901" s="20" t="str">
        <f t="shared" si="201"/>
        <v>Tradiciones Andinas-T.A Chicha de Jora /Jora Seasoning-38.38</v>
      </c>
      <c r="Q901" s="20">
        <f t="shared" si="202"/>
        <v>3</v>
      </c>
      <c r="R901" s="20" t="str">
        <f t="shared" si="203"/>
        <v>Se repite 3 veces el precio de 38.38</v>
      </c>
      <c r="S901" s="20" t="str">
        <f t="shared" si="204"/>
        <v>El producto T.A Chicha de Jora /Jora Seasoning Se repite 8 veces en Tradiciones Andinas, Se repite 3 veces el precio de 38.38</v>
      </c>
      <c r="T901" s="20" t="str">
        <f t="shared" si="205"/>
        <v>Tradiciones Andinas</v>
      </c>
      <c r="U901" s="20" t="str">
        <f t="shared" si="206"/>
        <v>T.A Chicha de Jora /Jora Seasoning</v>
      </c>
      <c r="V901" s="22">
        <f t="shared" si="207"/>
        <v>38.380000000000003</v>
      </c>
      <c r="W901" t="str">
        <f t="shared" si="208"/>
        <v>Tradiciones Andinas 11/28/2025</v>
      </c>
      <c r="Z901">
        <f t="shared" si="209"/>
        <v>460.56000000000006</v>
      </c>
    </row>
    <row r="902" spans="1:26" hidden="1" x14ac:dyDescent="0.25">
      <c r="A902" s="2" t="s">
        <v>664</v>
      </c>
      <c r="B902" s="11" t="s">
        <v>821</v>
      </c>
      <c r="C902" s="11" t="s">
        <v>4</v>
      </c>
      <c r="D902" s="11" t="s">
        <v>822</v>
      </c>
      <c r="E902" s="11" t="s">
        <v>845</v>
      </c>
      <c r="F902" s="11" t="s">
        <v>846</v>
      </c>
      <c r="G902" s="12">
        <v>3</v>
      </c>
      <c r="H902" s="12">
        <v>18.600000000000001</v>
      </c>
      <c r="I902" s="12">
        <v>55.8</v>
      </c>
      <c r="J902" s="12">
        <v>13861.039999999999</v>
      </c>
      <c r="K902" s="20">
        <f t="shared" si="196"/>
        <v>2</v>
      </c>
      <c r="L902" s="20" t="str">
        <f t="shared" si="197"/>
        <v>Se repite 2 veces</v>
      </c>
      <c r="M902" s="20" t="str">
        <f t="shared" si="198"/>
        <v>Tradiciones Andinas-T.A Chicha Morada bebida / Purple Corn Drink 1L x 12</v>
      </c>
      <c r="N902" s="20">
        <f t="shared" si="199"/>
        <v>2</v>
      </c>
      <c r="O902" s="20" t="str">
        <f t="shared" si="200"/>
        <v>Se repite 2 veces en Tradiciones Andinas</v>
      </c>
      <c r="P902" s="20" t="str">
        <f t="shared" si="201"/>
        <v>Tradiciones Andinas-T.A Chicha Morada bebida / Purple Corn Drink 1L x 12-18.6</v>
      </c>
      <c r="Q902" s="20">
        <f t="shared" si="202"/>
        <v>1</v>
      </c>
      <c r="R902" s="20" t="str">
        <f t="shared" si="203"/>
        <v>No se repite</v>
      </c>
      <c r="S902" s="20" t="str">
        <f t="shared" si="204"/>
        <v>El producto T.A Chicha Morada bebida / Purple Corn Drink 1L x 12 Se repite 2 veces en Tradiciones Andinas Una vez con el precio 18.6</v>
      </c>
      <c r="T902" s="20" t="str">
        <f t="shared" si="205"/>
        <v>Tradiciones Andinas</v>
      </c>
      <c r="U902" s="20" t="str">
        <f t="shared" si="206"/>
        <v>T.A Chicha Morada bebida / Purple Corn Drink 1L x 12</v>
      </c>
      <c r="V902" s="22">
        <f t="shared" si="207"/>
        <v>18.600000000000001</v>
      </c>
      <c r="W902" t="str">
        <f t="shared" si="208"/>
        <v>Tradiciones Andinas 04/25/2025</v>
      </c>
      <c r="Z902">
        <f t="shared" si="209"/>
        <v>55.800000000000004</v>
      </c>
    </row>
    <row r="903" spans="1:26" hidden="1" x14ac:dyDescent="0.25">
      <c r="A903" s="2" t="s">
        <v>664</v>
      </c>
      <c r="B903" s="11" t="s">
        <v>158</v>
      </c>
      <c r="C903" s="11" t="s">
        <v>4</v>
      </c>
      <c r="D903" s="11" t="s">
        <v>984</v>
      </c>
      <c r="E903" s="11" t="s">
        <v>845</v>
      </c>
      <c r="F903" s="11" t="s">
        <v>1001</v>
      </c>
      <c r="G903" s="12">
        <v>6</v>
      </c>
      <c r="H903" s="12">
        <v>19.899999999999999</v>
      </c>
      <c r="I903" s="12">
        <v>119.4</v>
      </c>
      <c r="J903" s="12">
        <v>38092.68</v>
      </c>
      <c r="K903" s="20">
        <f t="shared" si="196"/>
        <v>2</v>
      </c>
      <c r="L903" s="20" t="str">
        <f t="shared" si="197"/>
        <v>Se repite 2 veces</v>
      </c>
      <c r="M903" s="20" t="str">
        <f t="shared" si="198"/>
        <v>Tradiciones Andinas-T.A Chicha Morada bebida / Purple Corn Drink 1L x 12</v>
      </c>
      <c r="N903" s="20">
        <f t="shared" si="199"/>
        <v>2</v>
      </c>
      <c r="O903" s="20" t="str">
        <f t="shared" si="200"/>
        <v>Se repite 2 veces en Tradiciones Andinas</v>
      </c>
      <c r="P903" s="20" t="str">
        <f t="shared" si="201"/>
        <v>Tradiciones Andinas-T.A Chicha Morada bebida / Purple Corn Drink 1L x 12-19.9</v>
      </c>
      <c r="Q903" s="20">
        <f t="shared" si="202"/>
        <v>1</v>
      </c>
      <c r="R903" s="20" t="str">
        <f t="shared" si="203"/>
        <v>No se repite</v>
      </c>
      <c r="S903" s="20" t="str">
        <f t="shared" si="204"/>
        <v>El producto T.A Chicha Morada bebida / Purple Corn Drink 1L x 12 Se repite 2 veces en Tradiciones Andinas Una vez con el precio 19.9</v>
      </c>
      <c r="T903" s="20" t="str">
        <f t="shared" si="205"/>
        <v>Tradiciones Andinas</v>
      </c>
      <c r="U903" s="20" t="str">
        <f t="shared" si="206"/>
        <v>T.A Chicha Morada bebida / Purple Corn Drink 1L x 12</v>
      </c>
      <c r="V903" s="22">
        <f t="shared" si="207"/>
        <v>19.899999999999999</v>
      </c>
      <c r="W903" t="str">
        <f t="shared" si="208"/>
        <v>Tradiciones Andinas 06/12/2025</v>
      </c>
      <c r="Z903">
        <f t="shared" si="209"/>
        <v>119.39999999999999</v>
      </c>
    </row>
    <row r="904" spans="1:26" hidden="1" x14ac:dyDescent="0.25">
      <c r="A904" s="2" t="s">
        <v>664</v>
      </c>
      <c r="B904" s="11" t="s">
        <v>821</v>
      </c>
      <c r="C904" s="11" t="s">
        <v>4</v>
      </c>
      <c r="D904" s="11" t="s">
        <v>822</v>
      </c>
      <c r="E904" s="11" t="s">
        <v>847</v>
      </c>
      <c r="F904" s="11" t="s">
        <v>848</v>
      </c>
      <c r="G904" s="12">
        <v>3</v>
      </c>
      <c r="H904" s="12">
        <v>13.08</v>
      </c>
      <c r="I904" s="12">
        <v>39.24</v>
      </c>
      <c r="J904" s="12">
        <v>13900.279999999999</v>
      </c>
      <c r="K904" s="20">
        <f t="shared" si="196"/>
        <v>3</v>
      </c>
      <c r="L904" s="20" t="str">
        <f t="shared" si="197"/>
        <v>Se repite 3 veces</v>
      </c>
      <c r="M904" s="20" t="str">
        <f t="shared" si="198"/>
        <v>Tradiciones Andinas-T.A Chicha Morada bebida /Purple Corn Drink botella16oz x 12</v>
      </c>
      <c r="N904" s="20">
        <f t="shared" si="199"/>
        <v>3</v>
      </c>
      <c r="O904" s="20" t="str">
        <f t="shared" si="200"/>
        <v>Se repite 3 veces en Tradiciones Andinas</v>
      </c>
      <c r="P904" s="20" t="str">
        <f t="shared" si="201"/>
        <v>Tradiciones Andinas-T.A Chicha Morada bebida /Purple Corn Drink botella16oz x 12-13.08</v>
      </c>
      <c r="Q904" s="20">
        <f t="shared" si="202"/>
        <v>1</v>
      </c>
      <c r="R904" s="20" t="str">
        <f t="shared" si="203"/>
        <v>No se repite</v>
      </c>
      <c r="S904" s="20" t="str">
        <f t="shared" si="204"/>
        <v>El producto T.A Chicha Morada bebida /Purple Corn Drink botella16oz x 12 Se repite 3 veces en Tradiciones Andinas Una vez con el precio 13.08</v>
      </c>
      <c r="T904" s="20" t="str">
        <f t="shared" si="205"/>
        <v>Tradiciones Andinas</v>
      </c>
      <c r="U904" s="20" t="str">
        <f t="shared" si="206"/>
        <v>T.A Chicha Morada bebida /Purple Corn Drink botella16oz x 12</v>
      </c>
      <c r="V904" s="22">
        <f t="shared" si="207"/>
        <v>13.08</v>
      </c>
      <c r="W904" t="str">
        <f t="shared" si="208"/>
        <v>Tradiciones Andinas 04/25/2025</v>
      </c>
      <c r="Z904">
        <f t="shared" si="209"/>
        <v>39.24</v>
      </c>
    </row>
    <row r="905" spans="1:26" hidden="1" x14ac:dyDescent="0.25">
      <c r="A905" s="2" t="s">
        <v>664</v>
      </c>
      <c r="B905" s="11" t="s">
        <v>654</v>
      </c>
      <c r="C905" s="11" t="s">
        <v>4</v>
      </c>
      <c r="D905" s="11" t="s">
        <v>940</v>
      </c>
      <c r="E905" s="11" t="s">
        <v>847</v>
      </c>
      <c r="F905" s="11" t="s">
        <v>949</v>
      </c>
      <c r="G905" s="12">
        <v>4</v>
      </c>
      <c r="H905" s="12">
        <v>14</v>
      </c>
      <c r="I905" s="12">
        <v>56</v>
      </c>
      <c r="J905" s="12">
        <v>25594.189999999995</v>
      </c>
      <c r="K905" s="20">
        <f t="shared" si="196"/>
        <v>3</v>
      </c>
      <c r="L905" s="20" t="str">
        <f t="shared" si="197"/>
        <v>Se repite 3 veces</v>
      </c>
      <c r="M905" s="20" t="str">
        <f t="shared" si="198"/>
        <v>Tradiciones Andinas-T.A Chicha Morada bebida /Purple Corn Drink botella16oz x 12</v>
      </c>
      <c r="N905" s="20">
        <f t="shared" si="199"/>
        <v>3</v>
      </c>
      <c r="O905" s="20" t="str">
        <f t="shared" si="200"/>
        <v>Se repite 3 veces en Tradiciones Andinas</v>
      </c>
      <c r="P905" s="20" t="str">
        <f t="shared" si="201"/>
        <v>Tradiciones Andinas-T.A Chicha Morada bebida /Purple Corn Drink botella16oz x 12-14</v>
      </c>
      <c r="Q905" s="20">
        <f t="shared" si="202"/>
        <v>2</v>
      </c>
      <c r="R905" s="20" t="str">
        <f t="shared" si="203"/>
        <v>Se repite 2 veces el precio de 14</v>
      </c>
      <c r="S905" s="20" t="str">
        <f t="shared" si="204"/>
        <v>El producto T.A Chicha Morada bebida /Purple Corn Drink botella16oz x 12 Se repite 3 veces en Tradiciones Andinas, Se repite 2 veces el precio de 14</v>
      </c>
      <c r="T905" s="20" t="str">
        <f t="shared" si="205"/>
        <v>Tradiciones Andinas</v>
      </c>
      <c r="U905" s="20" t="str">
        <f t="shared" si="206"/>
        <v>T.A Chicha Morada bebida /Purple Corn Drink botella16oz x 12</v>
      </c>
      <c r="V905" s="22">
        <f t="shared" si="207"/>
        <v>14</v>
      </c>
      <c r="W905" t="str">
        <f t="shared" si="208"/>
        <v>Tradiciones Andinas 05/19/2025</v>
      </c>
      <c r="Z905">
        <f t="shared" si="209"/>
        <v>56</v>
      </c>
    </row>
    <row r="906" spans="1:26" hidden="1" x14ac:dyDescent="0.25">
      <c r="A906" s="2" t="s">
        <v>664</v>
      </c>
      <c r="B906" s="11" t="s">
        <v>158</v>
      </c>
      <c r="C906" s="11" t="s">
        <v>4</v>
      </c>
      <c r="D906" s="11" t="s">
        <v>984</v>
      </c>
      <c r="E906" s="11" t="s">
        <v>847</v>
      </c>
      <c r="F906" s="11" t="s">
        <v>949</v>
      </c>
      <c r="G906" s="12">
        <v>5</v>
      </c>
      <c r="H906" s="12">
        <v>14</v>
      </c>
      <c r="I906" s="12">
        <v>70</v>
      </c>
      <c r="J906" s="12">
        <v>38162.68</v>
      </c>
      <c r="K906" s="20">
        <f t="shared" si="196"/>
        <v>3</v>
      </c>
      <c r="L906" s="20" t="str">
        <f t="shared" si="197"/>
        <v>Se repite 3 veces</v>
      </c>
      <c r="M906" s="20" t="str">
        <f t="shared" si="198"/>
        <v>Tradiciones Andinas-T.A Chicha Morada bebida /Purple Corn Drink botella16oz x 12</v>
      </c>
      <c r="N906" s="20">
        <f t="shared" si="199"/>
        <v>3</v>
      </c>
      <c r="O906" s="20" t="str">
        <f t="shared" si="200"/>
        <v>Se repite 3 veces en Tradiciones Andinas</v>
      </c>
      <c r="P906" s="20" t="str">
        <f t="shared" si="201"/>
        <v>Tradiciones Andinas-T.A Chicha Morada bebida /Purple Corn Drink botella16oz x 12-14</v>
      </c>
      <c r="Q906" s="20">
        <f t="shared" si="202"/>
        <v>2</v>
      </c>
      <c r="R906" s="20" t="str">
        <f t="shared" si="203"/>
        <v>Se repite 2 veces el precio de 14</v>
      </c>
      <c r="S906" s="20" t="str">
        <f t="shared" si="204"/>
        <v>El producto T.A Chicha Morada bebida /Purple Corn Drink botella16oz x 12 Se repite 3 veces en Tradiciones Andinas, Se repite 2 veces el precio de 14</v>
      </c>
      <c r="T906" s="20" t="str">
        <f t="shared" si="205"/>
        <v>Tradiciones Andinas</v>
      </c>
      <c r="U906" s="20" t="str">
        <f t="shared" si="206"/>
        <v>T.A Chicha Morada bebida /Purple Corn Drink botella16oz x 12</v>
      </c>
      <c r="V906" s="22">
        <f t="shared" si="207"/>
        <v>14</v>
      </c>
      <c r="W906" t="str">
        <f t="shared" si="208"/>
        <v>Tradiciones Andinas 06/12/2025</v>
      </c>
      <c r="Z906">
        <f t="shared" si="209"/>
        <v>70</v>
      </c>
    </row>
    <row r="907" spans="1:26" hidden="1" x14ac:dyDescent="0.25">
      <c r="A907" s="2" t="s">
        <v>664</v>
      </c>
      <c r="B907" s="11" t="s">
        <v>398</v>
      </c>
      <c r="C907" s="11" t="s">
        <v>4</v>
      </c>
      <c r="D907" s="11" t="s">
        <v>5</v>
      </c>
      <c r="E907" s="11" t="s">
        <v>813</v>
      </c>
      <c r="F907" s="11" t="s">
        <v>814</v>
      </c>
      <c r="G907" s="12">
        <v>3</v>
      </c>
      <c r="H907" s="12">
        <v>51</v>
      </c>
      <c r="I907" s="12">
        <v>153</v>
      </c>
      <c r="J907" s="12">
        <v>7602.44</v>
      </c>
      <c r="K907" s="20">
        <f t="shared" si="196"/>
        <v>7</v>
      </c>
      <c r="L907" s="20" t="str">
        <f t="shared" si="197"/>
        <v>Se repite 7 veces</v>
      </c>
      <c r="M907" s="20" t="str">
        <f t="shared" si="198"/>
        <v>Tradiciones Andinas-T.A Choclo desgranado / Corn in Grain 16oz x 30 FROZEN</v>
      </c>
      <c r="N907" s="20">
        <f t="shared" si="199"/>
        <v>7</v>
      </c>
      <c r="O907" s="20" t="str">
        <f t="shared" si="200"/>
        <v>Se repite 7 veces en Tradiciones Andinas</v>
      </c>
      <c r="P907" s="20" t="str">
        <f t="shared" si="201"/>
        <v>Tradiciones Andinas-T.A Choclo desgranado / Corn in Grain 16oz x 30 FROZEN-51</v>
      </c>
      <c r="Q907" s="20">
        <f t="shared" si="202"/>
        <v>2</v>
      </c>
      <c r="R907" s="20" t="str">
        <f t="shared" si="203"/>
        <v>Se repite 2 veces el precio de 51</v>
      </c>
      <c r="S907" s="20" t="str">
        <f t="shared" si="204"/>
        <v>El producto T.A Choclo desgranado / Corn in Grain 16oz x 30 FROZEN Se repite 7 veces en Tradiciones Andinas, Se repite 2 veces el precio de 51</v>
      </c>
      <c r="T907" s="20" t="str">
        <f t="shared" si="205"/>
        <v>Tradiciones Andinas</v>
      </c>
      <c r="U907" s="20" t="str">
        <f t="shared" si="206"/>
        <v>T.A Choclo desgranado / Corn in Grain 16oz x 30 FROZEN</v>
      </c>
      <c r="V907" s="22">
        <f t="shared" si="207"/>
        <v>51</v>
      </c>
      <c r="W907" t="str">
        <f t="shared" si="208"/>
        <v>Tradiciones Andinas 04/10/2025</v>
      </c>
      <c r="Z907">
        <f t="shared" si="209"/>
        <v>153</v>
      </c>
    </row>
    <row r="908" spans="1:26" hidden="1" x14ac:dyDescent="0.25">
      <c r="A908" s="2" t="s">
        <v>664</v>
      </c>
      <c r="B908" s="11" t="s">
        <v>821</v>
      </c>
      <c r="C908" s="11" t="s">
        <v>4</v>
      </c>
      <c r="D908" s="11" t="s">
        <v>822</v>
      </c>
      <c r="E908" s="11" t="s">
        <v>813</v>
      </c>
      <c r="F908" s="11" t="s">
        <v>814</v>
      </c>
      <c r="G908" s="12">
        <v>2</v>
      </c>
      <c r="H908" s="12">
        <v>51</v>
      </c>
      <c r="I908" s="12">
        <v>102</v>
      </c>
      <c r="J908" s="12">
        <v>23206.74</v>
      </c>
      <c r="K908" s="20">
        <f t="shared" si="196"/>
        <v>7</v>
      </c>
      <c r="L908" s="20" t="str">
        <f t="shared" si="197"/>
        <v>Se repite 7 veces</v>
      </c>
      <c r="M908" s="20" t="str">
        <f t="shared" si="198"/>
        <v>Tradiciones Andinas-T.A Choclo desgranado / Corn in Grain 16oz x 30 FROZEN</v>
      </c>
      <c r="N908" s="20">
        <f t="shared" si="199"/>
        <v>7</v>
      </c>
      <c r="O908" s="20" t="str">
        <f t="shared" si="200"/>
        <v>Se repite 7 veces en Tradiciones Andinas</v>
      </c>
      <c r="P908" s="20" t="str">
        <f t="shared" si="201"/>
        <v>Tradiciones Andinas-T.A Choclo desgranado / Corn in Grain 16oz x 30 FROZEN-51</v>
      </c>
      <c r="Q908" s="20">
        <f t="shared" si="202"/>
        <v>2</v>
      </c>
      <c r="R908" s="20" t="str">
        <f t="shared" si="203"/>
        <v>Se repite 2 veces el precio de 51</v>
      </c>
      <c r="S908" s="20" t="str">
        <f t="shared" si="204"/>
        <v>El producto T.A Choclo desgranado / Corn in Grain 16oz x 30 FROZEN Se repite 7 veces en Tradiciones Andinas, Se repite 2 veces el precio de 51</v>
      </c>
      <c r="T908" s="20" t="str">
        <f t="shared" si="205"/>
        <v>Tradiciones Andinas</v>
      </c>
      <c r="U908" s="20" t="str">
        <f t="shared" si="206"/>
        <v>T.A Choclo desgranado / Corn in Grain 16oz x 30 FROZEN</v>
      </c>
      <c r="V908" s="22">
        <f t="shared" si="207"/>
        <v>51</v>
      </c>
      <c r="W908" t="str">
        <f t="shared" si="208"/>
        <v>Tradiciones Andinas 04/25/2025</v>
      </c>
      <c r="Z908">
        <f t="shared" si="209"/>
        <v>102</v>
      </c>
    </row>
    <row r="909" spans="1:26" hidden="1" x14ac:dyDescent="0.25">
      <c r="A909" s="2" t="s">
        <v>664</v>
      </c>
      <c r="B909" s="11" t="s">
        <v>158</v>
      </c>
      <c r="C909" s="11" t="s">
        <v>4</v>
      </c>
      <c r="D909" s="11" t="s">
        <v>984</v>
      </c>
      <c r="E909" s="11" t="s">
        <v>813</v>
      </c>
      <c r="F909" s="11" t="s">
        <v>1024</v>
      </c>
      <c r="G909" s="12">
        <v>8</v>
      </c>
      <c r="H909" s="12">
        <v>54.57</v>
      </c>
      <c r="I909" s="12">
        <v>436.56</v>
      </c>
      <c r="J909" s="12">
        <v>42995.37999999999</v>
      </c>
      <c r="K909" s="20">
        <f t="shared" si="196"/>
        <v>7</v>
      </c>
      <c r="L909" s="20" t="str">
        <f t="shared" si="197"/>
        <v>Se repite 7 veces</v>
      </c>
      <c r="M909" s="20" t="str">
        <f t="shared" si="198"/>
        <v>Tradiciones Andinas-T.A Choclo desgranado / Corn in Grain 16oz x 30 FROZEN</v>
      </c>
      <c r="N909" s="20">
        <f t="shared" si="199"/>
        <v>7</v>
      </c>
      <c r="O909" s="20" t="str">
        <f t="shared" si="200"/>
        <v>Se repite 7 veces en Tradiciones Andinas</v>
      </c>
      <c r="P909" s="20" t="str">
        <f t="shared" si="201"/>
        <v>Tradiciones Andinas-T.A Choclo desgranado / Corn in Grain 16oz x 30 FROZEN-54.57</v>
      </c>
      <c r="Q909" s="20">
        <f t="shared" si="202"/>
        <v>5</v>
      </c>
      <c r="R909" s="20" t="str">
        <f t="shared" si="203"/>
        <v>Se repite 5 veces el precio de 54.57</v>
      </c>
      <c r="S909" s="20" t="str">
        <f t="shared" si="204"/>
        <v>El producto T.A Choclo desgranado / Corn in Grain 16oz x 30 FROZEN Se repite 7 veces en Tradiciones Andinas, Se repite 5 veces el precio de 54.57</v>
      </c>
      <c r="T909" s="20" t="str">
        <f t="shared" si="205"/>
        <v>Tradiciones Andinas</v>
      </c>
      <c r="U909" s="20" t="str">
        <f t="shared" si="206"/>
        <v>T.A Choclo desgranado / Corn in Grain 16oz x 30 FROZEN</v>
      </c>
      <c r="V909" s="22">
        <f t="shared" si="207"/>
        <v>54.57</v>
      </c>
      <c r="W909" t="str">
        <f t="shared" si="208"/>
        <v>Tradiciones Andinas 06/12/2025</v>
      </c>
      <c r="Z909">
        <f t="shared" si="209"/>
        <v>436.56</v>
      </c>
    </row>
    <row r="910" spans="1:26" hidden="1" x14ac:dyDescent="0.25">
      <c r="A910" s="2" t="s">
        <v>664</v>
      </c>
      <c r="B910" s="11" t="s">
        <v>1092</v>
      </c>
      <c r="C910" s="11" t="s">
        <v>4</v>
      </c>
      <c r="D910" s="11" t="s">
        <v>1093</v>
      </c>
      <c r="E910" s="11" t="s">
        <v>813</v>
      </c>
      <c r="F910" s="11" t="s">
        <v>1024</v>
      </c>
      <c r="G910" s="12">
        <v>8</v>
      </c>
      <c r="H910" s="12">
        <v>54.57</v>
      </c>
      <c r="I910" s="12">
        <v>436.56</v>
      </c>
      <c r="J910" s="12">
        <v>65763.099999999962</v>
      </c>
      <c r="K910" s="20">
        <f t="shared" si="196"/>
        <v>7</v>
      </c>
      <c r="L910" s="20" t="str">
        <f t="shared" si="197"/>
        <v>Se repite 7 veces</v>
      </c>
      <c r="M910" s="20" t="str">
        <f t="shared" si="198"/>
        <v>Tradiciones Andinas-T.A Choclo desgranado / Corn in Grain 16oz x 30 FROZEN</v>
      </c>
      <c r="N910" s="20">
        <f t="shared" si="199"/>
        <v>7</v>
      </c>
      <c r="O910" s="20" t="str">
        <f t="shared" si="200"/>
        <v>Se repite 7 veces en Tradiciones Andinas</v>
      </c>
      <c r="P910" s="20" t="str">
        <f t="shared" si="201"/>
        <v>Tradiciones Andinas-T.A Choclo desgranado / Corn in Grain 16oz x 30 FROZEN-54.57</v>
      </c>
      <c r="Q910" s="20">
        <f t="shared" si="202"/>
        <v>5</v>
      </c>
      <c r="R910" s="20" t="str">
        <f t="shared" si="203"/>
        <v>Se repite 5 veces el precio de 54.57</v>
      </c>
      <c r="S910" s="20" t="str">
        <f t="shared" si="204"/>
        <v>El producto T.A Choclo desgranado / Corn in Grain 16oz x 30 FROZEN Se repite 7 veces en Tradiciones Andinas, Se repite 5 veces el precio de 54.57</v>
      </c>
      <c r="T910" s="20" t="str">
        <f t="shared" si="205"/>
        <v>Tradiciones Andinas</v>
      </c>
      <c r="U910" s="20" t="str">
        <f t="shared" si="206"/>
        <v>T.A Choclo desgranado / Corn in Grain 16oz x 30 FROZEN</v>
      </c>
      <c r="V910" s="22">
        <f t="shared" si="207"/>
        <v>54.57</v>
      </c>
      <c r="W910" t="str">
        <f t="shared" si="208"/>
        <v>Tradiciones Andinas 07/21/2025</v>
      </c>
      <c r="Z910">
        <f t="shared" si="209"/>
        <v>436.56</v>
      </c>
    </row>
    <row r="911" spans="1:26" hidden="1" x14ac:dyDescent="0.25">
      <c r="A911" s="2" t="s">
        <v>664</v>
      </c>
      <c r="B911" s="11" t="s">
        <v>1125</v>
      </c>
      <c r="C911" s="11" t="s">
        <v>4</v>
      </c>
      <c r="D911" s="11" t="s">
        <v>1126</v>
      </c>
      <c r="E911" s="11" t="s">
        <v>813</v>
      </c>
      <c r="F911" s="11" t="s">
        <v>1024</v>
      </c>
      <c r="G911" s="12">
        <v>6</v>
      </c>
      <c r="H911" s="12">
        <v>54.57</v>
      </c>
      <c r="I911" s="12">
        <v>327.42</v>
      </c>
      <c r="J911" s="12">
        <v>72825.560000000012</v>
      </c>
      <c r="K911" s="20">
        <f t="shared" si="196"/>
        <v>7</v>
      </c>
      <c r="L911" s="20" t="str">
        <f t="shared" si="197"/>
        <v>Se repite 7 veces</v>
      </c>
      <c r="M911" s="20" t="str">
        <f t="shared" si="198"/>
        <v>Tradiciones Andinas-T.A Choclo desgranado / Corn in Grain 16oz x 30 FROZEN</v>
      </c>
      <c r="N911" s="20">
        <f t="shared" si="199"/>
        <v>7</v>
      </c>
      <c r="O911" s="20" t="str">
        <f t="shared" si="200"/>
        <v>Se repite 7 veces en Tradiciones Andinas</v>
      </c>
      <c r="P911" s="20" t="str">
        <f t="shared" si="201"/>
        <v>Tradiciones Andinas-T.A Choclo desgranado / Corn in Grain 16oz x 30 FROZEN-54.57</v>
      </c>
      <c r="Q911" s="20">
        <f t="shared" si="202"/>
        <v>5</v>
      </c>
      <c r="R911" s="20" t="str">
        <f t="shared" si="203"/>
        <v>Se repite 5 veces el precio de 54.57</v>
      </c>
      <c r="S911" s="20" t="str">
        <f t="shared" si="204"/>
        <v>El producto T.A Choclo desgranado / Corn in Grain 16oz x 30 FROZEN Se repite 7 veces en Tradiciones Andinas, Se repite 5 veces el precio de 54.57</v>
      </c>
      <c r="T911" s="20" t="str">
        <f t="shared" si="205"/>
        <v>Tradiciones Andinas</v>
      </c>
      <c r="U911" s="20" t="str">
        <f t="shared" si="206"/>
        <v>T.A Choclo desgranado / Corn in Grain 16oz x 30 FROZEN</v>
      </c>
      <c r="V911" s="22">
        <f t="shared" si="207"/>
        <v>54.57</v>
      </c>
      <c r="W911" t="str">
        <f t="shared" si="208"/>
        <v>Tradiciones Andinas 08/18/2025</v>
      </c>
      <c r="Z911">
        <f t="shared" si="209"/>
        <v>327.42</v>
      </c>
    </row>
    <row r="912" spans="1:26" hidden="1" x14ac:dyDescent="0.25">
      <c r="A912" s="2" t="s">
        <v>664</v>
      </c>
      <c r="B912" s="11" t="s">
        <v>1153</v>
      </c>
      <c r="C912" s="11" t="s">
        <v>4</v>
      </c>
      <c r="D912" s="11" t="s">
        <v>1154</v>
      </c>
      <c r="E912" s="11" t="s">
        <v>813</v>
      </c>
      <c r="F912" s="11" t="s">
        <v>1024</v>
      </c>
      <c r="G912" s="12">
        <v>2</v>
      </c>
      <c r="H912" s="12">
        <v>54.57</v>
      </c>
      <c r="I912" s="12">
        <v>109.14</v>
      </c>
      <c r="J912" s="12">
        <v>88492.559999999939</v>
      </c>
      <c r="K912" s="20">
        <f t="shared" si="196"/>
        <v>7</v>
      </c>
      <c r="L912" s="20" t="str">
        <f t="shared" si="197"/>
        <v>Se repite 7 veces</v>
      </c>
      <c r="M912" s="20" t="str">
        <f t="shared" si="198"/>
        <v>Tradiciones Andinas-T.A Choclo desgranado / Corn in Grain 16oz x 30 FROZEN</v>
      </c>
      <c r="N912" s="20">
        <f t="shared" si="199"/>
        <v>7</v>
      </c>
      <c r="O912" s="20" t="str">
        <f t="shared" si="200"/>
        <v>Se repite 7 veces en Tradiciones Andinas</v>
      </c>
      <c r="P912" s="20" t="str">
        <f t="shared" si="201"/>
        <v>Tradiciones Andinas-T.A Choclo desgranado / Corn in Grain 16oz x 30 FROZEN-54.57</v>
      </c>
      <c r="Q912" s="20">
        <f t="shared" si="202"/>
        <v>5</v>
      </c>
      <c r="R912" s="20" t="str">
        <f t="shared" si="203"/>
        <v>Se repite 5 veces el precio de 54.57</v>
      </c>
      <c r="S912" s="20" t="str">
        <f t="shared" si="204"/>
        <v>El producto T.A Choclo desgranado / Corn in Grain 16oz x 30 FROZEN Se repite 7 veces en Tradiciones Andinas, Se repite 5 veces el precio de 54.57</v>
      </c>
      <c r="T912" s="20" t="str">
        <f t="shared" si="205"/>
        <v>Tradiciones Andinas</v>
      </c>
      <c r="U912" s="20" t="str">
        <f t="shared" si="206"/>
        <v>T.A Choclo desgranado / Corn in Grain 16oz x 30 FROZEN</v>
      </c>
      <c r="V912" s="22">
        <f t="shared" si="207"/>
        <v>54.57</v>
      </c>
      <c r="W912" t="str">
        <f t="shared" si="208"/>
        <v>Tradiciones Andinas 09/24/2025</v>
      </c>
      <c r="Z912">
        <f t="shared" si="209"/>
        <v>109.14</v>
      </c>
    </row>
    <row r="913" spans="1:26" hidden="1" x14ac:dyDescent="0.25">
      <c r="A913" s="2" t="s">
        <v>664</v>
      </c>
      <c r="B913" s="11" t="s">
        <v>1207</v>
      </c>
      <c r="C913" s="11" t="s">
        <v>4</v>
      </c>
      <c r="D913" s="11" t="s">
        <v>1208</v>
      </c>
      <c r="E913" s="11" t="s">
        <v>813</v>
      </c>
      <c r="F913" s="11" t="s">
        <v>1024</v>
      </c>
      <c r="G913" s="12">
        <v>6</v>
      </c>
      <c r="H913" s="12">
        <v>54.57</v>
      </c>
      <c r="I913" s="12">
        <v>327.42</v>
      </c>
      <c r="J913" s="12">
        <v>115002.37999999987</v>
      </c>
      <c r="K913" s="20">
        <f t="shared" si="196"/>
        <v>7</v>
      </c>
      <c r="L913" s="20" t="str">
        <f t="shared" si="197"/>
        <v>Se repite 7 veces</v>
      </c>
      <c r="M913" s="20" t="str">
        <f t="shared" si="198"/>
        <v>Tradiciones Andinas-T.A Choclo desgranado / Corn in Grain 16oz x 30 FROZEN</v>
      </c>
      <c r="N913" s="20">
        <f t="shared" si="199"/>
        <v>7</v>
      </c>
      <c r="O913" s="20" t="str">
        <f t="shared" si="200"/>
        <v>Se repite 7 veces en Tradiciones Andinas</v>
      </c>
      <c r="P913" s="20" t="str">
        <f t="shared" si="201"/>
        <v>Tradiciones Andinas-T.A Choclo desgranado / Corn in Grain 16oz x 30 FROZEN-54.57</v>
      </c>
      <c r="Q913" s="20">
        <f t="shared" si="202"/>
        <v>5</v>
      </c>
      <c r="R913" s="20" t="str">
        <f t="shared" si="203"/>
        <v>Se repite 5 veces el precio de 54.57</v>
      </c>
      <c r="S913" s="20" t="str">
        <f t="shared" si="204"/>
        <v>El producto T.A Choclo desgranado / Corn in Grain 16oz x 30 FROZEN Se repite 7 veces en Tradiciones Andinas, Se repite 5 veces el precio de 54.57</v>
      </c>
      <c r="T913" s="20" t="str">
        <f t="shared" si="205"/>
        <v>Tradiciones Andinas</v>
      </c>
      <c r="U913" s="20" t="str">
        <f t="shared" si="206"/>
        <v>T.A Choclo desgranado / Corn in Grain 16oz x 30 FROZEN</v>
      </c>
      <c r="V913" s="22">
        <f t="shared" si="207"/>
        <v>54.57</v>
      </c>
      <c r="W913" t="str">
        <f t="shared" si="208"/>
        <v>Tradiciones Andinas 11/28/2025</v>
      </c>
      <c r="Z913">
        <f t="shared" si="209"/>
        <v>327.42</v>
      </c>
    </row>
    <row r="914" spans="1:26" hidden="1" x14ac:dyDescent="0.25">
      <c r="A914" s="2" t="s">
        <v>664</v>
      </c>
      <c r="B914" s="11" t="s">
        <v>665</v>
      </c>
      <c r="C914" s="11" t="s">
        <v>4</v>
      </c>
      <c r="D914" s="11" t="s">
        <v>666</v>
      </c>
      <c r="E914" s="11" t="s">
        <v>766</v>
      </c>
      <c r="F914" s="11" t="s">
        <v>767</v>
      </c>
      <c r="G914" s="12">
        <v>2</v>
      </c>
      <c r="H914" s="12">
        <v>60</v>
      </c>
      <c r="I914" s="12">
        <v>120</v>
      </c>
      <c r="J914" s="12">
        <v>3009.68</v>
      </c>
      <c r="K914" s="20">
        <f t="shared" si="196"/>
        <v>2</v>
      </c>
      <c r="L914" s="20" t="str">
        <f t="shared" si="197"/>
        <v>Se repite 2 veces</v>
      </c>
      <c r="M914" s="20" t="str">
        <f t="shared" si="198"/>
        <v>Tradiciones Andinas-T.A Choclo desgranado / Corn in Grain FROZEN  4Lb x 10</v>
      </c>
      <c r="N914" s="20">
        <f t="shared" si="199"/>
        <v>2</v>
      </c>
      <c r="O914" s="20" t="str">
        <f t="shared" si="200"/>
        <v>Se repite 2 veces en Tradiciones Andinas</v>
      </c>
      <c r="P914" s="20" t="str">
        <f t="shared" si="201"/>
        <v>Tradiciones Andinas-T.A Choclo desgranado / Corn in Grain FROZEN  4Lb x 10-60</v>
      </c>
      <c r="Q914" s="20">
        <f t="shared" si="202"/>
        <v>1</v>
      </c>
      <c r="R914" s="20" t="str">
        <f t="shared" si="203"/>
        <v>No se repite</v>
      </c>
      <c r="S914" s="20" t="str">
        <f t="shared" si="204"/>
        <v>El producto T.A Choclo desgranado / Corn in Grain FROZEN  4Lb x 10 Se repite 2 veces en Tradiciones Andinas Una vez con el precio 60</v>
      </c>
      <c r="T914" s="20" t="str">
        <f t="shared" si="205"/>
        <v>Tradiciones Andinas</v>
      </c>
      <c r="U914" s="20" t="str">
        <f t="shared" si="206"/>
        <v>T.A Choclo desgranado / Corn in Grain FROZEN  4Lb x 10</v>
      </c>
      <c r="V914" s="22">
        <f t="shared" si="207"/>
        <v>60</v>
      </c>
      <c r="W914" t="str">
        <f t="shared" si="208"/>
        <v>Tradiciones Andinas 03/31/2025</v>
      </c>
      <c r="Z914">
        <f t="shared" si="209"/>
        <v>120</v>
      </c>
    </row>
    <row r="915" spans="1:26" hidden="1" x14ac:dyDescent="0.25">
      <c r="A915" s="2" t="s">
        <v>664</v>
      </c>
      <c r="B915" s="11" t="s">
        <v>1153</v>
      </c>
      <c r="C915" s="11" t="s">
        <v>4</v>
      </c>
      <c r="D915" s="11" t="s">
        <v>1154</v>
      </c>
      <c r="E915" s="11" t="s">
        <v>766</v>
      </c>
      <c r="F915" s="11" t="s">
        <v>767</v>
      </c>
      <c r="G915" s="12">
        <v>6</v>
      </c>
      <c r="H915" s="12">
        <v>64.2</v>
      </c>
      <c r="I915" s="12">
        <v>385.2</v>
      </c>
      <c r="J915" s="12">
        <v>89245.039999999935</v>
      </c>
      <c r="K915" s="20">
        <f t="shared" si="196"/>
        <v>2</v>
      </c>
      <c r="L915" s="20" t="str">
        <f t="shared" si="197"/>
        <v>Se repite 2 veces</v>
      </c>
      <c r="M915" s="20" t="str">
        <f t="shared" si="198"/>
        <v>Tradiciones Andinas-T.A Choclo desgranado / Corn in Grain FROZEN  4Lb x 10</v>
      </c>
      <c r="N915" s="20">
        <f t="shared" si="199"/>
        <v>2</v>
      </c>
      <c r="O915" s="20" t="str">
        <f t="shared" si="200"/>
        <v>Se repite 2 veces en Tradiciones Andinas</v>
      </c>
      <c r="P915" s="20" t="str">
        <f t="shared" si="201"/>
        <v>Tradiciones Andinas-T.A Choclo desgranado / Corn in Grain FROZEN  4Lb x 10-64.2</v>
      </c>
      <c r="Q915" s="20">
        <f t="shared" si="202"/>
        <v>1</v>
      </c>
      <c r="R915" s="20" t="str">
        <f t="shared" si="203"/>
        <v>No se repite</v>
      </c>
      <c r="S915" s="20" t="str">
        <f t="shared" si="204"/>
        <v>El producto T.A Choclo desgranado / Corn in Grain FROZEN  4Lb x 10 Se repite 2 veces en Tradiciones Andinas Una vez con el precio 64.2</v>
      </c>
      <c r="T915" s="20" t="str">
        <f t="shared" si="205"/>
        <v>Tradiciones Andinas</v>
      </c>
      <c r="U915" s="20" t="str">
        <f t="shared" si="206"/>
        <v>T.A Choclo desgranado / Corn in Grain FROZEN  4Lb x 10</v>
      </c>
      <c r="V915" s="22">
        <f t="shared" si="207"/>
        <v>64.2</v>
      </c>
      <c r="W915" t="str">
        <f t="shared" si="208"/>
        <v>Tradiciones Andinas 09/24/2025</v>
      </c>
      <c r="Z915">
        <f t="shared" si="209"/>
        <v>385.20000000000005</v>
      </c>
    </row>
    <row r="916" spans="1:26" hidden="1" x14ac:dyDescent="0.25">
      <c r="A916" s="2" t="s">
        <v>664</v>
      </c>
      <c r="B916" s="11" t="s">
        <v>398</v>
      </c>
      <c r="C916" s="11" t="s">
        <v>4</v>
      </c>
      <c r="D916" s="11" t="s">
        <v>5</v>
      </c>
      <c r="E916" s="11" t="s">
        <v>809</v>
      </c>
      <c r="F916" s="11" t="s">
        <v>810</v>
      </c>
      <c r="G916" s="12">
        <v>3</v>
      </c>
      <c r="H916" s="12">
        <v>30.6</v>
      </c>
      <c r="I916" s="12">
        <v>91.8</v>
      </c>
      <c r="J916" s="12">
        <v>7092.44</v>
      </c>
      <c r="K916" s="20">
        <f t="shared" si="196"/>
        <v>7</v>
      </c>
      <c r="L916" s="20" t="str">
        <f t="shared" si="197"/>
        <v>Se repite 7 veces</v>
      </c>
      <c r="M916" s="20" t="str">
        <f t="shared" si="198"/>
        <v>Tradiciones Andinas-T.A Choclo Entero / Corn on the Cob 2 x 18 FROZEN</v>
      </c>
      <c r="N916" s="20">
        <f t="shared" si="199"/>
        <v>7</v>
      </c>
      <c r="O916" s="20" t="str">
        <f t="shared" si="200"/>
        <v>Se repite 7 veces en Tradiciones Andinas</v>
      </c>
      <c r="P916" s="20" t="str">
        <f t="shared" si="201"/>
        <v>Tradiciones Andinas-T.A Choclo Entero / Corn on the Cob 2 x 18 FROZEN-30.6</v>
      </c>
      <c r="Q916" s="20">
        <f t="shared" si="202"/>
        <v>2</v>
      </c>
      <c r="R916" s="20" t="str">
        <f t="shared" si="203"/>
        <v>Se repite 2 veces el precio de 30.6</v>
      </c>
      <c r="S916" s="20" t="str">
        <f t="shared" si="204"/>
        <v>El producto T.A Choclo Entero / Corn on the Cob 2 x 18 FROZEN Se repite 7 veces en Tradiciones Andinas, Se repite 2 veces el precio de 30.6</v>
      </c>
      <c r="T916" s="20" t="str">
        <f t="shared" si="205"/>
        <v>Tradiciones Andinas</v>
      </c>
      <c r="U916" s="20" t="str">
        <f t="shared" si="206"/>
        <v>T.A Choclo Entero / Corn on the Cob 2 x 18 FROZEN</v>
      </c>
      <c r="V916" s="22">
        <f t="shared" si="207"/>
        <v>30.6</v>
      </c>
      <c r="W916" t="str">
        <f t="shared" si="208"/>
        <v>Tradiciones Andinas 04/10/2025</v>
      </c>
      <c r="Z916">
        <f t="shared" si="209"/>
        <v>91.800000000000011</v>
      </c>
    </row>
    <row r="917" spans="1:26" hidden="1" x14ac:dyDescent="0.25">
      <c r="A917" s="2" t="s">
        <v>664</v>
      </c>
      <c r="B917" s="11" t="s">
        <v>821</v>
      </c>
      <c r="C917" s="11" t="s">
        <v>4</v>
      </c>
      <c r="D917" s="11" t="s">
        <v>822</v>
      </c>
      <c r="E917" s="11" t="s">
        <v>809</v>
      </c>
      <c r="F917" s="11" t="s">
        <v>810</v>
      </c>
      <c r="G917" s="12">
        <v>4</v>
      </c>
      <c r="H917" s="12">
        <v>30.6</v>
      </c>
      <c r="I917" s="12">
        <v>122.4</v>
      </c>
      <c r="J917" s="12">
        <v>22711.54</v>
      </c>
      <c r="K917" s="20">
        <f t="shared" si="196"/>
        <v>7</v>
      </c>
      <c r="L917" s="20" t="str">
        <f t="shared" si="197"/>
        <v>Se repite 7 veces</v>
      </c>
      <c r="M917" s="20" t="str">
        <f t="shared" si="198"/>
        <v>Tradiciones Andinas-T.A Choclo Entero / Corn on the Cob 2 x 18 FROZEN</v>
      </c>
      <c r="N917" s="20">
        <f t="shared" si="199"/>
        <v>7</v>
      </c>
      <c r="O917" s="20" t="str">
        <f t="shared" si="200"/>
        <v>Se repite 7 veces en Tradiciones Andinas</v>
      </c>
      <c r="P917" s="20" t="str">
        <f t="shared" si="201"/>
        <v>Tradiciones Andinas-T.A Choclo Entero / Corn on the Cob 2 x 18 FROZEN-30.6</v>
      </c>
      <c r="Q917" s="20">
        <f t="shared" si="202"/>
        <v>2</v>
      </c>
      <c r="R917" s="20" t="str">
        <f t="shared" si="203"/>
        <v>Se repite 2 veces el precio de 30.6</v>
      </c>
      <c r="S917" s="20" t="str">
        <f t="shared" si="204"/>
        <v>El producto T.A Choclo Entero / Corn on the Cob 2 x 18 FROZEN Se repite 7 veces en Tradiciones Andinas, Se repite 2 veces el precio de 30.6</v>
      </c>
      <c r="T917" s="20" t="str">
        <f t="shared" si="205"/>
        <v>Tradiciones Andinas</v>
      </c>
      <c r="U917" s="20" t="str">
        <f t="shared" si="206"/>
        <v>T.A Choclo Entero / Corn on the Cob 2 x 18 FROZEN</v>
      </c>
      <c r="V917" s="22">
        <f t="shared" si="207"/>
        <v>30.6</v>
      </c>
      <c r="W917" t="str">
        <f t="shared" si="208"/>
        <v>Tradiciones Andinas 04/25/2025</v>
      </c>
      <c r="Z917">
        <f t="shared" si="209"/>
        <v>122.4</v>
      </c>
    </row>
    <row r="918" spans="1:26" hidden="1" x14ac:dyDescent="0.25">
      <c r="A918" s="2" t="s">
        <v>664</v>
      </c>
      <c r="B918" s="11" t="s">
        <v>158</v>
      </c>
      <c r="C918" s="11" t="s">
        <v>4</v>
      </c>
      <c r="D918" s="11" t="s">
        <v>984</v>
      </c>
      <c r="E918" s="11" t="s">
        <v>809</v>
      </c>
      <c r="F918" s="11" t="s">
        <v>810</v>
      </c>
      <c r="G918" s="12">
        <v>1</v>
      </c>
      <c r="H918" s="12">
        <v>32.74</v>
      </c>
      <c r="I918" s="12">
        <v>32.74</v>
      </c>
      <c r="J918" s="12">
        <v>41407.499999999993</v>
      </c>
      <c r="K918" s="20">
        <f t="shared" si="196"/>
        <v>7</v>
      </c>
      <c r="L918" s="20" t="str">
        <f t="shared" si="197"/>
        <v>Se repite 7 veces</v>
      </c>
      <c r="M918" s="20" t="str">
        <f t="shared" si="198"/>
        <v>Tradiciones Andinas-T.A Choclo Entero / Corn on the Cob 2 x 18 FROZEN</v>
      </c>
      <c r="N918" s="20">
        <f t="shared" si="199"/>
        <v>7</v>
      </c>
      <c r="O918" s="20" t="str">
        <f t="shared" si="200"/>
        <v>Se repite 7 veces en Tradiciones Andinas</v>
      </c>
      <c r="P918" s="20" t="str">
        <f t="shared" si="201"/>
        <v>Tradiciones Andinas-T.A Choclo Entero / Corn on the Cob 2 x 18 FROZEN-32.74</v>
      </c>
      <c r="Q918" s="20">
        <f t="shared" si="202"/>
        <v>5</v>
      </c>
      <c r="R918" s="20" t="str">
        <f t="shared" si="203"/>
        <v>Se repite 5 veces el precio de 32.74</v>
      </c>
      <c r="S918" s="20" t="str">
        <f t="shared" si="204"/>
        <v>El producto T.A Choclo Entero / Corn on the Cob 2 x 18 FROZEN Se repite 7 veces en Tradiciones Andinas, Se repite 5 veces el precio de 32.74</v>
      </c>
      <c r="T918" s="20" t="str">
        <f t="shared" si="205"/>
        <v>Tradiciones Andinas</v>
      </c>
      <c r="U918" s="20" t="str">
        <f t="shared" si="206"/>
        <v>T.A Choclo Entero / Corn on the Cob 2 x 18 FROZEN</v>
      </c>
      <c r="V918" s="22">
        <f t="shared" si="207"/>
        <v>32.74</v>
      </c>
      <c r="W918" t="str">
        <f t="shared" si="208"/>
        <v>Tradiciones Andinas 06/12/2025</v>
      </c>
      <c r="Z918">
        <f t="shared" si="209"/>
        <v>32.74</v>
      </c>
    </row>
    <row r="919" spans="1:26" hidden="1" x14ac:dyDescent="0.25">
      <c r="A919" s="2" t="s">
        <v>664</v>
      </c>
      <c r="B919" s="11" t="s">
        <v>1092</v>
      </c>
      <c r="C919" s="11" t="s">
        <v>4</v>
      </c>
      <c r="D919" s="11" t="s">
        <v>1093</v>
      </c>
      <c r="E919" s="11" t="s">
        <v>809</v>
      </c>
      <c r="F919" s="11" t="s">
        <v>810</v>
      </c>
      <c r="G919" s="12">
        <v>2</v>
      </c>
      <c r="H919" s="12">
        <v>32.74</v>
      </c>
      <c r="I919" s="12">
        <v>65.48</v>
      </c>
      <c r="J919" s="12">
        <v>63588.279999999948</v>
      </c>
      <c r="K919" s="20">
        <f t="shared" si="196"/>
        <v>7</v>
      </c>
      <c r="L919" s="20" t="str">
        <f t="shared" si="197"/>
        <v>Se repite 7 veces</v>
      </c>
      <c r="M919" s="20" t="str">
        <f t="shared" si="198"/>
        <v>Tradiciones Andinas-T.A Choclo Entero / Corn on the Cob 2 x 18 FROZEN</v>
      </c>
      <c r="N919" s="20">
        <f t="shared" si="199"/>
        <v>7</v>
      </c>
      <c r="O919" s="20" t="str">
        <f t="shared" si="200"/>
        <v>Se repite 7 veces en Tradiciones Andinas</v>
      </c>
      <c r="P919" s="20" t="str">
        <f t="shared" si="201"/>
        <v>Tradiciones Andinas-T.A Choclo Entero / Corn on the Cob 2 x 18 FROZEN-32.74</v>
      </c>
      <c r="Q919" s="20">
        <f t="shared" si="202"/>
        <v>5</v>
      </c>
      <c r="R919" s="20" t="str">
        <f t="shared" si="203"/>
        <v>Se repite 5 veces el precio de 32.74</v>
      </c>
      <c r="S919" s="20" t="str">
        <f t="shared" si="204"/>
        <v>El producto T.A Choclo Entero / Corn on the Cob 2 x 18 FROZEN Se repite 7 veces en Tradiciones Andinas, Se repite 5 veces el precio de 32.74</v>
      </c>
      <c r="T919" s="20" t="str">
        <f t="shared" si="205"/>
        <v>Tradiciones Andinas</v>
      </c>
      <c r="U919" s="20" t="str">
        <f t="shared" si="206"/>
        <v>T.A Choclo Entero / Corn on the Cob 2 x 18 FROZEN</v>
      </c>
      <c r="V919" s="22">
        <f t="shared" si="207"/>
        <v>32.74</v>
      </c>
      <c r="W919" t="str">
        <f t="shared" si="208"/>
        <v>Tradiciones Andinas 07/21/2025</v>
      </c>
      <c r="Z919">
        <f t="shared" si="209"/>
        <v>65.48</v>
      </c>
    </row>
    <row r="920" spans="1:26" hidden="1" x14ac:dyDescent="0.25">
      <c r="A920" s="26" t="s">
        <v>664</v>
      </c>
      <c r="B920" s="11" t="s">
        <v>1092</v>
      </c>
      <c r="C920" s="11" t="s">
        <v>4</v>
      </c>
      <c r="D920" s="11" t="s">
        <v>1093</v>
      </c>
      <c r="E920" s="11" t="s">
        <v>809</v>
      </c>
      <c r="F920" s="11" t="s">
        <v>810</v>
      </c>
      <c r="G920" s="12">
        <v>4</v>
      </c>
      <c r="H920" s="12">
        <v>32.74</v>
      </c>
      <c r="I920" s="12">
        <v>130.96</v>
      </c>
      <c r="J920" s="12">
        <v>66193.659999999974</v>
      </c>
      <c r="K920" s="20">
        <f t="shared" si="196"/>
        <v>7</v>
      </c>
      <c r="L920" s="20" t="str">
        <f t="shared" si="197"/>
        <v>Se repite 7 veces</v>
      </c>
      <c r="M920" s="20" t="str">
        <f t="shared" si="198"/>
        <v>Tradiciones Andinas-T.A Choclo Entero / Corn on the Cob 2 x 18 FROZEN</v>
      </c>
      <c r="N920" s="20">
        <f t="shared" si="199"/>
        <v>7</v>
      </c>
      <c r="O920" s="20" t="str">
        <f t="shared" si="200"/>
        <v>Se repite 7 veces en Tradiciones Andinas</v>
      </c>
      <c r="P920" s="20" t="str">
        <f t="shared" si="201"/>
        <v>Tradiciones Andinas-T.A Choclo Entero / Corn on the Cob 2 x 18 FROZEN-32.74</v>
      </c>
      <c r="Q920" s="20">
        <f t="shared" si="202"/>
        <v>5</v>
      </c>
      <c r="R920" s="20" t="str">
        <f t="shared" si="203"/>
        <v>Se repite 5 veces el precio de 32.74</v>
      </c>
      <c r="S920" s="20" t="str">
        <f t="shared" si="204"/>
        <v>El producto T.A Choclo Entero / Corn on the Cob 2 x 18 FROZEN Se repite 7 veces en Tradiciones Andinas, Se repite 5 veces el precio de 32.74</v>
      </c>
      <c r="T920" s="20" t="str">
        <f t="shared" si="205"/>
        <v>Tradiciones Andinas</v>
      </c>
      <c r="U920" s="20" t="str">
        <f t="shared" si="206"/>
        <v>T.A Choclo Entero / Corn on the Cob 2 x 18 FROZEN</v>
      </c>
      <c r="V920" s="22">
        <f t="shared" si="207"/>
        <v>32.74</v>
      </c>
      <c r="W920" t="str">
        <f t="shared" si="208"/>
        <v>Tradiciones Andinas 07/21/2025</v>
      </c>
      <c r="X920" t="s">
        <v>3349</v>
      </c>
      <c r="Z920">
        <f t="shared" si="209"/>
        <v>130.96</v>
      </c>
    </row>
    <row r="921" spans="1:26" hidden="1" x14ac:dyDescent="0.25">
      <c r="A921" s="2" t="s">
        <v>664</v>
      </c>
      <c r="B921" s="11" t="s">
        <v>1125</v>
      </c>
      <c r="C921" s="11" t="s">
        <v>4</v>
      </c>
      <c r="D921" s="11" t="s">
        <v>1126</v>
      </c>
      <c r="E921" s="11" t="s">
        <v>809</v>
      </c>
      <c r="F921" s="11" t="s">
        <v>1144</v>
      </c>
      <c r="G921" s="12">
        <v>6</v>
      </c>
      <c r="H921" s="12">
        <v>32.74</v>
      </c>
      <c r="I921" s="12">
        <v>196.44</v>
      </c>
      <c r="J921" s="12">
        <v>72340.040000000008</v>
      </c>
      <c r="K921" s="20">
        <f t="shared" si="196"/>
        <v>7</v>
      </c>
      <c r="L921" s="20" t="str">
        <f t="shared" si="197"/>
        <v>Se repite 7 veces</v>
      </c>
      <c r="M921" s="20" t="str">
        <f t="shared" si="198"/>
        <v>Tradiciones Andinas-T.A Choclo Entero / Corn on the Cob 2 x 18 FROZEN</v>
      </c>
      <c r="N921" s="20">
        <f t="shared" si="199"/>
        <v>7</v>
      </c>
      <c r="O921" s="20" t="str">
        <f t="shared" si="200"/>
        <v>Se repite 7 veces en Tradiciones Andinas</v>
      </c>
      <c r="P921" s="20" t="str">
        <f t="shared" si="201"/>
        <v>Tradiciones Andinas-T.A Choclo Entero / Corn on the Cob 2 x 18 FROZEN-32.74</v>
      </c>
      <c r="Q921" s="20">
        <f t="shared" si="202"/>
        <v>5</v>
      </c>
      <c r="R921" s="20" t="str">
        <f t="shared" si="203"/>
        <v>Se repite 5 veces el precio de 32.74</v>
      </c>
      <c r="S921" s="20" t="str">
        <f t="shared" si="204"/>
        <v>El producto T.A Choclo Entero / Corn on the Cob 2 x 18 FROZEN Se repite 7 veces en Tradiciones Andinas, Se repite 5 veces el precio de 32.74</v>
      </c>
      <c r="T921" s="20" t="str">
        <f t="shared" si="205"/>
        <v>Tradiciones Andinas</v>
      </c>
      <c r="U921" s="20" t="str">
        <f t="shared" si="206"/>
        <v>T.A Choclo Entero / Corn on the Cob 2 x 18 FROZEN</v>
      </c>
      <c r="V921" s="22">
        <f t="shared" si="207"/>
        <v>32.74</v>
      </c>
      <c r="W921" t="str">
        <f t="shared" si="208"/>
        <v>Tradiciones Andinas 08/18/2025</v>
      </c>
      <c r="Z921">
        <f t="shared" si="209"/>
        <v>196.44</v>
      </c>
    </row>
    <row r="922" spans="1:26" hidden="1" x14ac:dyDescent="0.25">
      <c r="A922" s="2" t="s">
        <v>664</v>
      </c>
      <c r="B922" s="11" t="s">
        <v>1207</v>
      </c>
      <c r="C922" s="11" t="s">
        <v>4</v>
      </c>
      <c r="D922" s="11" t="s">
        <v>1208</v>
      </c>
      <c r="E922" s="11" t="s">
        <v>809</v>
      </c>
      <c r="F922" s="11" t="s">
        <v>1144</v>
      </c>
      <c r="G922" s="12">
        <v>2</v>
      </c>
      <c r="H922" s="12">
        <v>32.74</v>
      </c>
      <c r="I922" s="12">
        <v>65.48</v>
      </c>
      <c r="J922" s="12">
        <v>113890.95999999988</v>
      </c>
      <c r="K922" s="20">
        <f t="shared" si="196"/>
        <v>7</v>
      </c>
      <c r="L922" s="20" t="str">
        <f t="shared" si="197"/>
        <v>Se repite 7 veces</v>
      </c>
      <c r="M922" s="20" t="str">
        <f t="shared" si="198"/>
        <v>Tradiciones Andinas-T.A Choclo Entero / Corn on the Cob 2 x 18 FROZEN</v>
      </c>
      <c r="N922" s="20">
        <f t="shared" si="199"/>
        <v>7</v>
      </c>
      <c r="O922" s="20" t="str">
        <f t="shared" si="200"/>
        <v>Se repite 7 veces en Tradiciones Andinas</v>
      </c>
      <c r="P922" s="20" t="str">
        <f t="shared" si="201"/>
        <v>Tradiciones Andinas-T.A Choclo Entero / Corn on the Cob 2 x 18 FROZEN-32.74</v>
      </c>
      <c r="Q922" s="20">
        <f t="shared" si="202"/>
        <v>5</v>
      </c>
      <c r="R922" s="20" t="str">
        <f t="shared" si="203"/>
        <v>Se repite 5 veces el precio de 32.74</v>
      </c>
      <c r="S922" s="20" t="str">
        <f t="shared" si="204"/>
        <v>El producto T.A Choclo Entero / Corn on the Cob 2 x 18 FROZEN Se repite 7 veces en Tradiciones Andinas, Se repite 5 veces el precio de 32.74</v>
      </c>
      <c r="T922" s="20" t="str">
        <f t="shared" si="205"/>
        <v>Tradiciones Andinas</v>
      </c>
      <c r="U922" s="20" t="str">
        <f t="shared" si="206"/>
        <v>T.A Choclo Entero / Corn on the Cob 2 x 18 FROZEN</v>
      </c>
      <c r="V922" s="22">
        <f t="shared" si="207"/>
        <v>32.74</v>
      </c>
      <c r="W922" t="str">
        <f t="shared" si="208"/>
        <v>Tradiciones Andinas 11/28/2025</v>
      </c>
      <c r="Z922">
        <f t="shared" si="209"/>
        <v>65.48</v>
      </c>
    </row>
    <row r="923" spans="1:26" hidden="1" x14ac:dyDescent="0.25">
      <c r="A923" s="2" t="s">
        <v>664</v>
      </c>
      <c r="B923" s="11" t="s">
        <v>665</v>
      </c>
      <c r="C923" s="11" t="s">
        <v>4</v>
      </c>
      <c r="D923" s="11" t="s">
        <v>666</v>
      </c>
      <c r="E923" s="11" t="s">
        <v>758</v>
      </c>
      <c r="F923" s="11" t="s">
        <v>759</v>
      </c>
      <c r="G923" s="12">
        <v>2</v>
      </c>
      <c r="H923" s="12">
        <v>35</v>
      </c>
      <c r="I923" s="12">
        <v>70</v>
      </c>
      <c r="J923" s="12">
        <v>2722.8599999999997</v>
      </c>
      <c r="K923" s="20">
        <f t="shared" si="196"/>
        <v>2</v>
      </c>
      <c r="L923" s="20" t="str">
        <f t="shared" si="197"/>
        <v>Se repite 2 veces</v>
      </c>
      <c r="M923" s="20" t="str">
        <f t="shared" si="198"/>
        <v>Tradiciones Andinas-T.A Choclo Entero / Corn on the Cob x 6 x 7 FROZEN</v>
      </c>
      <c r="N923" s="20">
        <f t="shared" si="199"/>
        <v>2</v>
      </c>
      <c r="O923" s="20" t="str">
        <f t="shared" si="200"/>
        <v>Se repite 2 veces en Tradiciones Andinas</v>
      </c>
      <c r="P923" s="20" t="str">
        <f t="shared" si="201"/>
        <v>Tradiciones Andinas-T.A Choclo Entero / Corn on the Cob x 6 x 7 FROZEN-35</v>
      </c>
      <c r="Q923" s="20">
        <f t="shared" si="202"/>
        <v>2</v>
      </c>
      <c r="R923" s="20" t="str">
        <f t="shared" si="203"/>
        <v>Se repite 2 veces el precio de 35</v>
      </c>
      <c r="S923" s="20" t="str">
        <f t="shared" si="204"/>
        <v>El producto T.A Choclo Entero / Corn on the Cob x 6 x 7 FROZEN Se repite 2 veces en Tradiciones Andinas, Se repite 2 veces el precio de 35</v>
      </c>
      <c r="T923" s="20" t="str">
        <f t="shared" si="205"/>
        <v>Tradiciones Andinas</v>
      </c>
      <c r="U923" s="20" t="str">
        <f t="shared" si="206"/>
        <v>T.A Choclo Entero / Corn on the Cob x 6 x 7 FROZEN</v>
      </c>
      <c r="V923" s="22">
        <f t="shared" si="207"/>
        <v>35</v>
      </c>
      <c r="W923" t="str">
        <f t="shared" si="208"/>
        <v>Tradiciones Andinas 03/31/2025</v>
      </c>
      <c r="Z923">
        <f t="shared" si="209"/>
        <v>70</v>
      </c>
    </row>
    <row r="924" spans="1:26" hidden="1" x14ac:dyDescent="0.25">
      <c r="A924" s="2" t="s">
        <v>664</v>
      </c>
      <c r="B924" s="11" t="s">
        <v>398</v>
      </c>
      <c r="C924" s="11" t="s">
        <v>4</v>
      </c>
      <c r="D924" s="11" t="s">
        <v>5</v>
      </c>
      <c r="E924" s="11" t="s">
        <v>758</v>
      </c>
      <c r="F924" s="11" t="s">
        <v>759</v>
      </c>
      <c r="G924" s="12">
        <v>1</v>
      </c>
      <c r="H924" s="12">
        <v>35</v>
      </c>
      <c r="I924" s="12">
        <v>35</v>
      </c>
      <c r="J924" s="12">
        <v>7000.6399999999994</v>
      </c>
      <c r="K924" s="20">
        <f t="shared" si="196"/>
        <v>2</v>
      </c>
      <c r="L924" s="20" t="str">
        <f t="shared" si="197"/>
        <v>Se repite 2 veces</v>
      </c>
      <c r="M924" s="20" t="str">
        <f t="shared" si="198"/>
        <v>Tradiciones Andinas-T.A Choclo Entero / Corn on the Cob x 6 x 7 FROZEN</v>
      </c>
      <c r="N924" s="20">
        <f t="shared" si="199"/>
        <v>2</v>
      </c>
      <c r="O924" s="20" t="str">
        <f t="shared" si="200"/>
        <v>Se repite 2 veces en Tradiciones Andinas</v>
      </c>
      <c r="P924" s="20" t="str">
        <f t="shared" si="201"/>
        <v>Tradiciones Andinas-T.A Choclo Entero / Corn on the Cob x 6 x 7 FROZEN-35</v>
      </c>
      <c r="Q924" s="20">
        <f t="shared" si="202"/>
        <v>2</v>
      </c>
      <c r="R924" s="20" t="str">
        <f t="shared" si="203"/>
        <v>Se repite 2 veces el precio de 35</v>
      </c>
      <c r="S924" s="20" t="str">
        <f t="shared" si="204"/>
        <v>El producto T.A Choclo Entero / Corn on the Cob x 6 x 7 FROZEN Se repite 2 veces en Tradiciones Andinas, Se repite 2 veces el precio de 35</v>
      </c>
      <c r="T924" s="20" t="str">
        <f t="shared" si="205"/>
        <v>Tradiciones Andinas</v>
      </c>
      <c r="U924" s="20" t="str">
        <f t="shared" si="206"/>
        <v>T.A Choclo Entero / Corn on the Cob x 6 x 7 FROZEN</v>
      </c>
      <c r="V924" s="22">
        <f t="shared" si="207"/>
        <v>35</v>
      </c>
      <c r="W924" t="str">
        <f t="shared" si="208"/>
        <v>Tradiciones Andinas 04/10/2025</v>
      </c>
      <c r="Z924">
        <f t="shared" si="209"/>
        <v>35</v>
      </c>
    </row>
    <row r="925" spans="1:26" hidden="1" x14ac:dyDescent="0.25">
      <c r="A925" s="2" t="s">
        <v>664</v>
      </c>
      <c r="B925" s="11" t="s">
        <v>1125</v>
      </c>
      <c r="C925" s="11" t="s">
        <v>4</v>
      </c>
      <c r="D925" s="11" t="s">
        <v>1126</v>
      </c>
      <c r="E925" s="11" t="s">
        <v>1133</v>
      </c>
      <c r="F925" s="11" t="s">
        <v>1134</v>
      </c>
      <c r="G925" s="12">
        <v>2</v>
      </c>
      <c r="H925" s="12">
        <v>36</v>
      </c>
      <c r="I925" s="12">
        <v>72</v>
      </c>
      <c r="J925" s="12">
        <v>69494.400000000009</v>
      </c>
      <c r="K925" s="20">
        <f t="shared" si="196"/>
        <v>1</v>
      </c>
      <c r="L925" s="20" t="str">
        <f t="shared" si="197"/>
        <v>No se repite</v>
      </c>
      <c r="M925" s="20" t="str">
        <f t="shared" si="198"/>
        <v>Tradiciones Andinas-T.A Chulpe Corn / Maiz Chulpe (Family Pack) 54OZ X 6</v>
      </c>
      <c r="N925" s="20">
        <f t="shared" si="199"/>
        <v>1</v>
      </c>
      <c r="O925" s="20" t="str">
        <f t="shared" si="200"/>
        <v>No se repite en proveedor</v>
      </c>
      <c r="P925" s="20" t="str">
        <f t="shared" si="201"/>
        <v>Tradiciones Andinas-T.A Chulpe Corn / Maiz Chulpe (Family Pack) 54OZ X 6-36</v>
      </c>
      <c r="Q925" s="20">
        <f t="shared" si="202"/>
        <v>1</v>
      </c>
      <c r="R925" s="20" t="str">
        <f t="shared" si="203"/>
        <v>No se repite</v>
      </c>
      <c r="S925" s="20" t="str">
        <f t="shared" si="204"/>
        <v>El producto T.A Chulpe Corn / Maiz Chulpe (Family Pack) 54OZ X 6 No se repite en proveedor Una vez con el precio 36</v>
      </c>
      <c r="T925" s="20" t="str">
        <f t="shared" si="205"/>
        <v>Tradiciones Andinas</v>
      </c>
      <c r="U925" s="20" t="str">
        <f t="shared" si="206"/>
        <v>T.A Chulpe Corn / Maiz Chulpe (Family Pack) 54OZ X 6</v>
      </c>
      <c r="V925" s="22">
        <f t="shared" si="207"/>
        <v>36</v>
      </c>
      <c r="W925" t="str">
        <f t="shared" si="208"/>
        <v>Tradiciones Andinas 08/18/2025</v>
      </c>
      <c r="Z925">
        <f t="shared" si="209"/>
        <v>72</v>
      </c>
    </row>
    <row r="926" spans="1:26" hidden="1" x14ac:dyDescent="0.25">
      <c r="A926" s="2" t="s">
        <v>664</v>
      </c>
      <c r="B926" s="11" t="s">
        <v>665</v>
      </c>
      <c r="C926" s="11" t="s">
        <v>4</v>
      </c>
      <c r="D926" s="11" t="s">
        <v>666</v>
      </c>
      <c r="E926" s="11" t="s">
        <v>714</v>
      </c>
      <c r="F926" s="11" t="s">
        <v>715</v>
      </c>
      <c r="G926" s="12">
        <v>2</v>
      </c>
      <c r="H926" s="12">
        <v>48.42</v>
      </c>
      <c r="I926" s="12">
        <v>96.84</v>
      </c>
      <c r="J926" s="12">
        <v>1518.3199999999997</v>
      </c>
      <c r="K926" s="20">
        <f t="shared" si="196"/>
        <v>5</v>
      </c>
      <c r="L926" s="20" t="str">
        <f t="shared" si="197"/>
        <v>Se repite 5 veces</v>
      </c>
      <c r="M926" s="20" t="str">
        <f t="shared" si="198"/>
        <v>Tradiciones Andinas-T.A Chuño Entero Blanco / White Potato Starch 15oz x 18</v>
      </c>
      <c r="N926" s="20">
        <f t="shared" si="199"/>
        <v>5</v>
      </c>
      <c r="O926" s="20" t="str">
        <f t="shared" si="200"/>
        <v>Se repite 5 veces en Tradiciones Andinas</v>
      </c>
      <c r="P926" s="20" t="str">
        <f t="shared" si="201"/>
        <v>Tradiciones Andinas-T.A Chuño Entero Blanco / White Potato Starch 15oz x 18-48.42</v>
      </c>
      <c r="Q926" s="20">
        <f t="shared" si="202"/>
        <v>3</v>
      </c>
      <c r="R926" s="20" t="str">
        <f t="shared" si="203"/>
        <v>Se repite 3 veces el precio de 48.42</v>
      </c>
      <c r="S926" s="20" t="str">
        <f t="shared" si="204"/>
        <v>El producto T.A Chuño Entero Blanco / White Potato Starch 15oz x 18 Se repite 5 veces en Tradiciones Andinas, Se repite 3 veces el precio de 48.42</v>
      </c>
      <c r="T926" s="20" t="str">
        <f t="shared" si="205"/>
        <v>Tradiciones Andinas</v>
      </c>
      <c r="U926" s="20" t="str">
        <f t="shared" si="206"/>
        <v>T.A Chuño Entero Blanco / White Potato Starch 15oz x 18</v>
      </c>
      <c r="V926" s="22">
        <f t="shared" si="207"/>
        <v>48.42</v>
      </c>
      <c r="W926" t="str">
        <f t="shared" si="208"/>
        <v>Tradiciones Andinas 03/31/2025</v>
      </c>
      <c r="Z926">
        <f t="shared" si="209"/>
        <v>96.84</v>
      </c>
    </row>
    <row r="927" spans="1:26" hidden="1" x14ac:dyDescent="0.25">
      <c r="A927" s="2" t="s">
        <v>664</v>
      </c>
      <c r="B927" s="11" t="s">
        <v>398</v>
      </c>
      <c r="C927" s="11" t="s">
        <v>4</v>
      </c>
      <c r="D927" s="11" t="s">
        <v>5</v>
      </c>
      <c r="E927" s="11" t="s">
        <v>714</v>
      </c>
      <c r="F927" s="11" t="s">
        <v>715</v>
      </c>
      <c r="G927" s="12">
        <v>1</v>
      </c>
      <c r="H927" s="12">
        <v>48.42</v>
      </c>
      <c r="I927" s="12">
        <v>48.42</v>
      </c>
      <c r="J927" s="12">
        <v>4759.0599999999995</v>
      </c>
      <c r="K927" s="20">
        <f t="shared" si="196"/>
        <v>5</v>
      </c>
      <c r="L927" s="20" t="str">
        <f t="shared" si="197"/>
        <v>Se repite 5 veces</v>
      </c>
      <c r="M927" s="20" t="str">
        <f t="shared" si="198"/>
        <v>Tradiciones Andinas-T.A Chuño Entero Blanco / White Potato Starch 15oz x 18</v>
      </c>
      <c r="N927" s="20">
        <f t="shared" si="199"/>
        <v>5</v>
      </c>
      <c r="O927" s="20" t="str">
        <f t="shared" si="200"/>
        <v>Se repite 5 veces en Tradiciones Andinas</v>
      </c>
      <c r="P927" s="20" t="str">
        <f t="shared" si="201"/>
        <v>Tradiciones Andinas-T.A Chuño Entero Blanco / White Potato Starch 15oz x 18-48.42</v>
      </c>
      <c r="Q927" s="20">
        <f t="shared" si="202"/>
        <v>3</v>
      </c>
      <c r="R927" s="20" t="str">
        <f t="shared" si="203"/>
        <v>Se repite 3 veces el precio de 48.42</v>
      </c>
      <c r="S927" s="20" t="str">
        <f t="shared" si="204"/>
        <v>El producto T.A Chuño Entero Blanco / White Potato Starch 15oz x 18 Se repite 5 veces en Tradiciones Andinas, Se repite 3 veces el precio de 48.42</v>
      </c>
      <c r="T927" s="20" t="str">
        <f t="shared" si="205"/>
        <v>Tradiciones Andinas</v>
      </c>
      <c r="U927" s="20" t="str">
        <f t="shared" si="206"/>
        <v>T.A Chuño Entero Blanco / White Potato Starch 15oz x 18</v>
      </c>
      <c r="V927" s="22">
        <f t="shared" si="207"/>
        <v>48.42</v>
      </c>
      <c r="W927" t="str">
        <f t="shared" si="208"/>
        <v>Tradiciones Andinas 04/10/2025</v>
      </c>
      <c r="Z927">
        <f t="shared" si="209"/>
        <v>48.42</v>
      </c>
    </row>
    <row r="928" spans="1:26" hidden="1" x14ac:dyDescent="0.25">
      <c r="A928" s="2" t="s">
        <v>664</v>
      </c>
      <c r="B928" s="11" t="s">
        <v>821</v>
      </c>
      <c r="C928" s="11" t="s">
        <v>4</v>
      </c>
      <c r="D928" s="11" t="s">
        <v>822</v>
      </c>
      <c r="E928" s="11" t="s">
        <v>714</v>
      </c>
      <c r="F928" s="11" t="s">
        <v>715</v>
      </c>
      <c r="G928" s="12">
        <v>2</v>
      </c>
      <c r="H928" s="12">
        <v>48.42</v>
      </c>
      <c r="I928" s="12">
        <v>96.84</v>
      </c>
      <c r="J928" s="12">
        <v>12334.399999999998</v>
      </c>
      <c r="K928" s="20">
        <f t="shared" si="196"/>
        <v>5</v>
      </c>
      <c r="L928" s="20" t="str">
        <f t="shared" si="197"/>
        <v>Se repite 5 veces</v>
      </c>
      <c r="M928" s="20" t="str">
        <f t="shared" si="198"/>
        <v>Tradiciones Andinas-T.A Chuño Entero Blanco / White Potato Starch 15oz x 18</v>
      </c>
      <c r="N928" s="20">
        <f t="shared" si="199"/>
        <v>5</v>
      </c>
      <c r="O928" s="20" t="str">
        <f t="shared" si="200"/>
        <v>Se repite 5 veces en Tradiciones Andinas</v>
      </c>
      <c r="P928" s="20" t="str">
        <f t="shared" si="201"/>
        <v>Tradiciones Andinas-T.A Chuño Entero Blanco / White Potato Starch 15oz x 18-48.42</v>
      </c>
      <c r="Q928" s="20">
        <f t="shared" si="202"/>
        <v>3</v>
      </c>
      <c r="R928" s="20" t="str">
        <f t="shared" si="203"/>
        <v>Se repite 3 veces el precio de 48.42</v>
      </c>
      <c r="S928" s="20" t="str">
        <f t="shared" si="204"/>
        <v>El producto T.A Chuño Entero Blanco / White Potato Starch 15oz x 18 Se repite 5 veces en Tradiciones Andinas, Se repite 3 veces el precio de 48.42</v>
      </c>
      <c r="T928" s="20" t="str">
        <f t="shared" si="205"/>
        <v>Tradiciones Andinas</v>
      </c>
      <c r="U928" s="20" t="str">
        <f t="shared" si="206"/>
        <v>T.A Chuño Entero Blanco / White Potato Starch 15oz x 18</v>
      </c>
      <c r="V928" s="22">
        <f t="shared" si="207"/>
        <v>48.42</v>
      </c>
      <c r="W928" t="str">
        <f t="shared" si="208"/>
        <v>Tradiciones Andinas 04/25/2025</v>
      </c>
      <c r="Z928">
        <f t="shared" si="209"/>
        <v>96.84</v>
      </c>
    </row>
    <row r="929" spans="1:26" hidden="1" x14ac:dyDescent="0.25">
      <c r="A929" s="2" t="s">
        <v>664</v>
      </c>
      <c r="B929" s="11" t="s">
        <v>1153</v>
      </c>
      <c r="C929" s="11" t="s">
        <v>4</v>
      </c>
      <c r="D929" s="11" t="s">
        <v>1154</v>
      </c>
      <c r="E929" s="11" t="s">
        <v>714</v>
      </c>
      <c r="F929" s="11" t="s">
        <v>1159</v>
      </c>
      <c r="G929" s="12">
        <v>6</v>
      </c>
      <c r="H929" s="12">
        <v>51.8</v>
      </c>
      <c r="I929" s="12">
        <v>310.8</v>
      </c>
      <c r="J929" s="12">
        <v>79310.319999999978</v>
      </c>
      <c r="K929" s="20">
        <f t="shared" si="196"/>
        <v>5</v>
      </c>
      <c r="L929" s="20" t="str">
        <f t="shared" si="197"/>
        <v>Se repite 5 veces</v>
      </c>
      <c r="M929" s="20" t="str">
        <f t="shared" si="198"/>
        <v>Tradiciones Andinas-T.A Chuño Entero Blanco / White Potato Starch 15oz x 18</v>
      </c>
      <c r="N929" s="20">
        <f t="shared" si="199"/>
        <v>5</v>
      </c>
      <c r="O929" s="20" t="str">
        <f t="shared" si="200"/>
        <v>Se repite 5 veces en Tradiciones Andinas</v>
      </c>
      <c r="P929" s="20" t="str">
        <f t="shared" si="201"/>
        <v>Tradiciones Andinas-T.A Chuño Entero Blanco / White Potato Starch 15oz x 18-51.8</v>
      </c>
      <c r="Q929" s="20">
        <f t="shared" si="202"/>
        <v>2</v>
      </c>
      <c r="R929" s="20" t="str">
        <f t="shared" si="203"/>
        <v>Se repite 2 veces el precio de 51.8</v>
      </c>
      <c r="S929" s="20" t="str">
        <f t="shared" si="204"/>
        <v>El producto T.A Chuño Entero Blanco / White Potato Starch 15oz x 18 Se repite 5 veces en Tradiciones Andinas, Se repite 2 veces el precio de 51.8</v>
      </c>
      <c r="T929" s="20" t="str">
        <f t="shared" si="205"/>
        <v>Tradiciones Andinas</v>
      </c>
      <c r="U929" s="20" t="str">
        <f t="shared" si="206"/>
        <v>T.A Chuño Entero Blanco / White Potato Starch 15oz x 18</v>
      </c>
      <c r="V929" s="22">
        <f t="shared" si="207"/>
        <v>51.8</v>
      </c>
      <c r="W929" t="str">
        <f t="shared" si="208"/>
        <v>Tradiciones Andinas 09/24/2025</v>
      </c>
      <c r="Z929">
        <f t="shared" si="209"/>
        <v>310.79999999999995</v>
      </c>
    </row>
    <row r="930" spans="1:26" hidden="1" x14ac:dyDescent="0.25">
      <c r="A930" s="2" t="s">
        <v>664</v>
      </c>
      <c r="B930" s="11" t="s">
        <v>1207</v>
      </c>
      <c r="C930" s="11" t="s">
        <v>4</v>
      </c>
      <c r="D930" s="11" t="s">
        <v>1208</v>
      </c>
      <c r="E930" s="11" t="s">
        <v>714</v>
      </c>
      <c r="F930" s="11" t="s">
        <v>1159</v>
      </c>
      <c r="G930" s="12">
        <v>3</v>
      </c>
      <c r="H930" s="12">
        <v>51.8</v>
      </c>
      <c r="I930" s="12">
        <v>155.4</v>
      </c>
      <c r="J930" s="12">
        <v>106315.83999999992</v>
      </c>
      <c r="K930" s="20">
        <f t="shared" si="196"/>
        <v>5</v>
      </c>
      <c r="L930" s="20" t="str">
        <f t="shared" si="197"/>
        <v>Se repite 5 veces</v>
      </c>
      <c r="M930" s="20" t="str">
        <f t="shared" si="198"/>
        <v>Tradiciones Andinas-T.A Chuño Entero Blanco / White Potato Starch 15oz x 18</v>
      </c>
      <c r="N930" s="20">
        <f t="shared" si="199"/>
        <v>5</v>
      </c>
      <c r="O930" s="20" t="str">
        <f t="shared" si="200"/>
        <v>Se repite 5 veces en Tradiciones Andinas</v>
      </c>
      <c r="P930" s="20" t="str">
        <f t="shared" si="201"/>
        <v>Tradiciones Andinas-T.A Chuño Entero Blanco / White Potato Starch 15oz x 18-51.8</v>
      </c>
      <c r="Q930" s="20">
        <f t="shared" si="202"/>
        <v>2</v>
      </c>
      <c r="R930" s="20" t="str">
        <f t="shared" si="203"/>
        <v>Se repite 2 veces el precio de 51.8</v>
      </c>
      <c r="S930" s="20" t="str">
        <f t="shared" si="204"/>
        <v>El producto T.A Chuño Entero Blanco / White Potato Starch 15oz x 18 Se repite 5 veces en Tradiciones Andinas, Se repite 2 veces el precio de 51.8</v>
      </c>
      <c r="T930" s="20" t="str">
        <f t="shared" si="205"/>
        <v>Tradiciones Andinas</v>
      </c>
      <c r="U930" s="20" t="str">
        <f t="shared" si="206"/>
        <v>T.A Chuño Entero Blanco / White Potato Starch 15oz x 18</v>
      </c>
      <c r="V930" s="22">
        <f t="shared" si="207"/>
        <v>51.8</v>
      </c>
      <c r="W930" t="str">
        <f t="shared" si="208"/>
        <v>Tradiciones Andinas 11/28/2025</v>
      </c>
      <c r="Z930">
        <f t="shared" si="209"/>
        <v>155.39999999999998</v>
      </c>
    </row>
    <row r="931" spans="1:26" hidden="1" x14ac:dyDescent="0.25">
      <c r="A931" s="2" t="s">
        <v>664</v>
      </c>
      <c r="B931" s="11" t="s">
        <v>1033</v>
      </c>
      <c r="C931" s="11" t="s">
        <v>4</v>
      </c>
      <c r="D931" s="11" t="s">
        <v>1034</v>
      </c>
      <c r="E931" s="11" t="s">
        <v>1038</v>
      </c>
      <c r="F931" s="11" t="s">
        <v>1039</v>
      </c>
      <c r="G931" s="12">
        <v>2</v>
      </c>
      <c r="H931" s="12">
        <v>32.1</v>
      </c>
      <c r="I931" s="12">
        <v>64.2</v>
      </c>
      <c r="J931" s="12">
        <v>46481.389999999978</v>
      </c>
      <c r="K931" s="20">
        <f t="shared" si="196"/>
        <v>3</v>
      </c>
      <c r="L931" s="20" t="str">
        <f t="shared" si="197"/>
        <v>Se repite 3 veces</v>
      </c>
      <c r="M931" s="20" t="str">
        <f t="shared" si="198"/>
        <v>Tradiciones Andinas-T.A Culantro Pasta / Coriander Paste 7.5oz x 24</v>
      </c>
      <c r="N931" s="20">
        <f t="shared" si="199"/>
        <v>3</v>
      </c>
      <c r="O931" s="20" t="str">
        <f t="shared" si="200"/>
        <v>Se repite 3 veces en Tradiciones Andinas</v>
      </c>
      <c r="P931" s="20" t="str">
        <f t="shared" si="201"/>
        <v>Tradiciones Andinas-T.A Culantro Pasta / Coriander Paste 7.5oz x 24-32.1</v>
      </c>
      <c r="Q931" s="20">
        <f t="shared" si="202"/>
        <v>3</v>
      </c>
      <c r="R931" s="20" t="str">
        <f t="shared" si="203"/>
        <v>Se repite 3 veces el precio de 32.1</v>
      </c>
      <c r="S931" s="20" t="str">
        <f t="shared" si="204"/>
        <v>El producto T.A Culantro Pasta / Coriander Paste 7.5oz x 24 Se repite 3 veces en Tradiciones Andinas, Se repite 3 veces el precio de 32.1</v>
      </c>
      <c r="T931" s="20" t="str">
        <f t="shared" si="205"/>
        <v>Tradiciones Andinas</v>
      </c>
      <c r="U931" s="20" t="str">
        <f t="shared" si="206"/>
        <v>T.A Culantro Pasta / Coriander Paste 7.5oz x 24</v>
      </c>
      <c r="V931" s="22">
        <f t="shared" si="207"/>
        <v>32.1</v>
      </c>
      <c r="W931" t="str">
        <f t="shared" si="208"/>
        <v>Tradiciones Andinas 07/03/2025</v>
      </c>
      <c r="Z931">
        <f t="shared" si="209"/>
        <v>64.2</v>
      </c>
    </row>
    <row r="932" spans="1:26" hidden="1" x14ac:dyDescent="0.25">
      <c r="A932" s="2" t="s">
        <v>664</v>
      </c>
      <c r="B932" s="11" t="s">
        <v>1125</v>
      </c>
      <c r="C932" s="11" t="s">
        <v>4</v>
      </c>
      <c r="D932" s="11" t="s">
        <v>1126</v>
      </c>
      <c r="E932" s="11" t="s">
        <v>1038</v>
      </c>
      <c r="F932" s="11" t="s">
        <v>1039</v>
      </c>
      <c r="G932" s="12">
        <v>1</v>
      </c>
      <c r="H932" s="12">
        <v>32.1</v>
      </c>
      <c r="I932" s="12">
        <v>32.1</v>
      </c>
      <c r="J932" s="12">
        <v>67372.58</v>
      </c>
      <c r="K932" s="20">
        <f t="shared" si="196"/>
        <v>3</v>
      </c>
      <c r="L932" s="20" t="str">
        <f t="shared" si="197"/>
        <v>Se repite 3 veces</v>
      </c>
      <c r="M932" s="20" t="str">
        <f t="shared" si="198"/>
        <v>Tradiciones Andinas-T.A Culantro Pasta / Coriander Paste 7.5oz x 24</v>
      </c>
      <c r="N932" s="20">
        <f t="shared" si="199"/>
        <v>3</v>
      </c>
      <c r="O932" s="20" t="str">
        <f t="shared" si="200"/>
        <v>Se repite 3 veces en Tradiciones Andinas</v>
      </c>
      <c r="P932" s="20" t="str">
        <f t="shared" si="201"/>
        <v>Tradiciones Andinas-T.A Culantro Pasta / Coriander Paste 7.5oz x 24-32.1</v>
      </c>
      <c r="Q932" s="20">
        <f t="shared" si="202"/>
        <v>3</v>
      </c>
      <c r="R932" s="20" t="str">
        <f t="shared" si="203"/>
        <v>Se repite 3 veces el precio de 32.1</v>
      </c>
      <c r="S932" s="20" t="str">
        <f t="shared" si="204"/>
        <v>El producto T.A Culantro Pasta / Coriander Paste 7.5oz x 24 Se repite 3 veces en Tradiciones Andinas, Se repite 3 veces el precio de 32.1</v>
      </c>
      <c r="T932" s="20" t="str">
        <f t="shared" si="205"/>
        <v>Tradiciones Andinas</v>
      </c>
      <c r="U932" s="20" t="str">
        <f t="shared" si="206"/>
        <v>T.A Culantro Pasta / Coriander Paste 7.5oz x 24</v>
      </c>
      <c r="V932" s="22">
        <f t="shared" si="207"/>
        <v>32.1</v>
      </c>
      <c r="W932" t="str">
        <f t="shared" si="208"/>
        <v>Tradiciones Andinas 08/18/2025</v>
      </c>
      <c r="Z932">
        <f t="shared" si="209"/>
        <v>32.1</v>
      </c>
    </row>
    <row r="933" spans="1:26" hidden="1" x14ac:dyDescent="0.25">
      <c r="A933" s="2" t="s">
        <v>664</v>
      </c>
      <c r="B933" s="11" t="s">
        <v>1153</v>
      </c>
      <c r="C933" s="11" t="s">
        <v>4</v>
      </c>
      <c r="D933" s="11" t="s">
        <v>1154</v>
      </c>
      <c r="E933" s="11" t="s">
        <v>1038</v>
      </c>
      <c r="F933" s="11" t="s">
        <v>1039</v>
      </c>
      <c r="G933" s="12">
        <v>4</v>
      </c>
      <c r="H933" s="12">
        <v>32.1</v>
      </c>
      <c r="I933" s="12">
        <v>128.4</v>
      </c>
      <c r="J933" s="12">
        <v>75249.659999999989</v>
      </c>
      <c r="K933" s="20">
        <f t="shared" si="196"/>
        <v>3</v>
      </c>
      <c r="L933" s="20" t="str">
        <f t="shared" si="197"/>
        <v>Se repite 3 veces</v>
      </c>
      <c r="M933" s="20" t="str">
        <f t="shared" si="198"/>
        <v>Tradiciones Andinas-T.A Culantro Pasta / Coriander Paste 7.5oz x 24</v>
      </c>
      <c r="N933" s="20">
        <f t="shared" si="199"/>
        <v>3</v>
      </c>
      <c r="O933" s="20" t="str">
        <f t="shared" si="200"/>
        <v>Se repite 3 veces en Tradiciones Andinas</v>
      </c>
      <c r="P933" s="20" t="str">
        <f t="shared" si="201"/>
        <v>Tradiciones Andinas-T.A Culantro Pasta / Coriander Paste 7.5oz x 24-32.1</v>
      </c>
      <c r="Q933" s="20">
        <f t="shared" si="202"/>
        <v>3</v>
      </c>
      <c r="R933" s="20" t="str">
        <f t="shared" si="203"/>
        <v>Se repite 3 veces el precio de 32.1</v>
      </c>
      <c r="S933" s="20" t="str">
        <f t="shared" si="204"/>
        <v>El producto T.A Culantro Pasta / Coriander Paste 7.5oz x 24 Se repite 3 veces en Tradiciones Andinas, Se repite 3 veces el precio de 32.1</v>
      </c>
      <c r="T933" s="20" t="str">
        <f t="shared" si="205"/>
        <v>Tradiciones Andinas</v>
      </c>
      <c r="U933" s="20" t="str">
        <f t="shared" si="206"/>
        <v>T.A Culantro Pasta / Coriander Paste 7.5oz x 24</v>
      </c>
      <c r="V933" s="22">
        <f t="shared" si="207"/>
        <v>32.1</v>
      </c>
      <c r="W933" t="str">
        <f t="shared" si="208"/>
        <v>Tradiciones Andinas 09/24/2025</v>
      </c>
      <c r="Z933">
        <f t="shared" si="209"/>
        <v>128.4</v>
      </c>
    </row>
    <row r="934" spans="1:26" hidden="1" x14ac:dyDescent="0.25">
      <c r="A934" s="2" t="s">
        <v>664</v>
      </c>
      <c r="B934" s="11" t="s">
        <v>1207</v>
      </c>
      <c r="C934" s="11" t="s">
        <v>4</v>
      </c>
      <c r="D934" s="11" t="s">
        <v>1208</v>
      </c>
      <c r="E934" s="11" t="s">
        <v>1222</v>
      </c>
      <c r="F934" s="11" t="s">
        <v>1223</v>
      </c>
      <c r="G934" s="12">
        <v>1</v>
      </c>
      <c r="H934" s="12">
        <v>40.56</v>
      </c>
      <c r="I934" s="12">
        <v>40.56</v>
      </c>
      <c r="J934" s="12">
        <v>116643.53999999988</v>
      </c>
      <c r="K934" s="20">
        <f t="shared" si="196"/>
        <v>1</v>
      </c>
      <c r="L934" s="20" t="str">
        <f t="shared" si="197"/>
        <v>No se repite</v>
      </c>
      <c r="M934" s="20" t="str">
        <f t="shared" si="198"/>
        <v>Tradiciones Andinas-T.A Discos de Yuca / Cassava Dough 13.75oz x 24</v>
      </c>
      <c r="N934" s="20">
        <f t="shared" si="199"/>
        <v>1</v>
      </c>
      <c r="O934" s="20" t="str">
        <f t="shared" si="200"/>
        <v>No se repite en proveedor</v>
      </c>
      <c r="P934" s="20" t="str">
        <f t="shared" si="201"/>
        <v>Tradiciones Andinas-T.A Discos de Yuca / Cassava Dough 13.75oz x 24-40.56</v>
      </c>
      <c r="Q934" s="20">
        <f t="shared" si="202"/>
        <v>1</v>
      </c>
      <c r="R934" s="20" t="str">
        <f t="shared" si="203"/>
        <v>No se repite</v>
      </c>
      <c r="S934" s="20" t="str">
        <f t="shared" si="204"/>
        <v>El producto T.A Discos de Yuca / Cassava Dough 13.75oz x 24 No se repite en proveedor Una vez con el precio 40.56</v>
      </c>
      <c r="T934" s="20" t="str">
        <f t="shared" si="205"/>
        <v>Tradiciones Andinas</v>
      </c>
      <c r="U934" s="20" t="str">
        <f t="shared" si="206"/>
        <v>T.A Discos de Yuca / Cassava Dough 13.75oz x 24</v>
      </c>
      <c r="V934" s="22">
        <f t="shared" si="207"/>
        <v>40.56</v>
      </c>
      <c r="W934" t="str">
        <f t="shared" si="208"/>
        <v>Tradiciones Andinas 11/28/2025</v>
      </c>
      <c r="Z934">
        <f t="shared" si="209"/>
        <v>40.56</v>
      </c>
    </row>
    <row r="935" spans="1:26" hidden="1" x14ac:dyDescent="0.25">
      <c r="A935" s="2" t="s">
        <v>664</v>
      </c>
      <c r="B935" s="11" t="s">
        <v>821</v>
      </c>
      <c r="C935" s="11" t="s">
        <v>4</v>
      </c>
      <c r="D935" s="11" t="s">
        <v>822</v>
      </c>
      <c r="E935" s="11" t="s">
        <v>904</v>
      </c>
      <c r="F935" s="11" t="s">
        <v>905</v>
      </c>
      <c r="G935" s="12">
        <v>5</v>
      </c>
      <c r="H935" s="12">
        <v>27</v>
      </c>
      <c r="I935" s="12">
        <v>135</v>
      </c>
      <c r="J935" s="12">
        <v>21656.299999999996</v>
      </c>
      <c r="K935" s="20">
        <f t="shared" si="196"/>
        <v>5</v>
      </c>
      <c r="L935" s="20" t="str">
        <f t="shared" si="197"/>
        <v>Se repite 5 veces</v>
      </c>
      <c r="M935" s="20" t="str">
        <f t="shared" si="198"/>
        <v>Tradiciones Andinas-T.A Durazno en Almibar / Peach Halves in heavy Syrup 290z x 12</v>
      </c>
      <c r="N935" s="20">
        <f t="shared" si="199"/>
        <v>5</v>
      </c>
      <c r="O935" s="20" t="str">
        <f t="shared" si="200"/>
        <v>Se repite 5 veces en Tradiciones Andinas</v>
      </c>
      <c r="P935" s="20" t="str">
        <f t="shared" si="201"/>
        <v>Tradiciones Andinas-T.A Durazno en Almibar / Peach Halves in heavy Syrup 290z x 12-27</v>
      </c>
      <c r="Q935" s="20">
        <f t="shared" si="202"/>
        <v>4</v>
      </c>
      <c r="R935" s="20" t="str">
        <f t="shared" si="203"/>
        <v>Se repite 4 veces el precio de 27</v>
      </c>
      <c r="S935" s="20" t="str">
        <f t="shared" si="204"/>
        <v>El producto T.A Durazno en Almibar / Peach Halves in heavy Syrup 290z x 12 Se repite 5 veces en Tradiciones Andinas, Se repite 4 veces el precio de 27</v>
      </c>
      <c r="T935" s="20" t="str">
        <f t="shared" si="205"/>
        <v>Tradiciones Andinas</v>
      </c>
      <c r="U935" s="20" t="str">
        <f t="shared" si="206"/>
        <v>T.A Durazno en Almibar / Peach Halves in heavy Syrup 290z x 12</v>
      </c>
      <c r="V935" s="22">
        <f t="shared" si="207"/>
        <v>27</v>
      </c>
      <c r="W935" t="str">
        <f t="shared" si="208"/>
        <v>Tradiciones Andinas 04/25/2025</v>
      </c>
      <c r="Z935">
        <f t="shared" si="209"/>
        <v>135</v>
      </c>
    </row>
    <row r="936" spans="1:26" hidden="1" x14ac:dyDescent="0.25">
      <c r="A936" s="2" t="s">
        <v>664</v>
      </c>
      <c r="B936" s="11" t="s">
        <v>1033</v>
      </c>
      <c r="C936" s="11" t="s">
        <v>4</v>
      </c>
      <c r="D936" s="11" t="s">
        <v>1034</v>
      </c>
      <c r="E936" s="11" t="s">
        <v>904</v>
      </c>
      <c r="F936" s="11" t="s">
        <v>1073</v>
      </c>
      <c r="G936" s="12">
        <v>3</v>
      </c>
      <c r="H936" s="12">
        <v>28.88</v>
      </c>
      <c r="I936" s="12">
        <v>86.64</v>
      </c>
      <c r="J936" s="12">
        <v>56212.339999999938</v>
      </c>
      <c r="K936" s="20">
        <f t="shared" si="196"/>
        <v>5</v>
      </c>
      <c r="L936" s="20" t="str">
        <f t="shared" si="197"/>
        <v>Se repite 5 veces</v>
      </c>
      <c r="M936" s="20" t="str">
        <f t="shared" si="198"/>
        <v>Tradiciones Andinas-T.A Durazno en Almibar / Peach Halves in heavy Syrup 290z x 12</v>
      </c>
      <c r="N936" s="20">
        <f t="shared" si="199"/>
        <v>5</v>
      </c>
      <c r="O936" s="20" t="str">
        <f t="shared" si="200"/>
        <v>Se repite 5 veces en Tradiciones Andinas</v>
      </c>
      <c r="P936" s="20" t="str">
        <f t="shared" si="201"/>
        <v>Tradiciones Andinas-T.A Durazno en Almibar / Peach Halves in heavy Syrup 290z x 12-28.88</v>
      </c>
      <c r="Q936" s="20">
        <f t="shared" si="202"/>
        <v>1</v>
      </c>
      <c r="R936" s="20" t="str">
        <f t="shared" si="203"/>
        <v>No se repite</v>
      </c>
      <c r="S936" s="20" t="str">
        <f t="shared" si="204"/>
        <v>El producto T.A Durazno en Almibar / Peach Halves in heavy Syrup 290z x 12 Se repite 5 veces en Tradiciones Andinas Una vez con el precio 28.88</v>
      </c>
      <c r="T936" s="20" t="str">
        <f t="shared" si="205"/>
        <v>Tradiciones Andinas</v>
      </c>
      <c r="U936" s="20" t="str">
        <f t="shared" si="206"/>
        <v>T.A Durazno en Almibar / Peach Halves in heavy Syrup 290z x 12</v>
      </c>
      <c r="V936" s="22">
        <f t="shared" si="207"/>
        <v>28.88</v>
      </c>
      <c r="W936" t="str">
        <f t="shared" si="208"/>
        <v>Tradiciones Andinas 07/03/2025</v>
      </c>
      <c r="Z936">
        <f t="shared" si="209"/>
        <v>86.64</v>
      </c>
    </row>
    <row r="937" spans="1:26" hidden="1" x14ac:dyDescent="0.25">
      <c r="A937" s="2" t="s">
        <v>664</v>
      </c>
      <c r="B937" s="11" t="s">
        <v>1125</v>
      </c>
      <c r="C937" s="11" t="s">
        <v>4</v>
      </c>
      <c r="D937" s="11" t="s">
        <v>1126</v>
      </c>
      <c r="E937" s="11" t="s">
        <v>904</v>
      </c>
      <c r="F937" s="11" t="s">
        <v>1073</v>
      </c>
      <c r="G937" s="12">
        <v>1</v>
      </c>
      <c r="H937" s="12">
        <v>27</v>
      </c>
      <c r="I937" s="12">
        <v>27</v>
      </c>
      <c r="J937" s="12">
        <v>71800.010000000009</v>
      </c>
      <c r="K937" s="20">
        <f t="shared" si="196"/>
        <v>5</v>
      </c>
      <c r="L937" s="20" t="str">
        <f t="shared" si="197"/>
        <v>Se repite 5 veces</v>
      </c>
      <c r="M937" s="20" t="str">
        <f t="shared" si="198"/>
        <v>Tradiciones Andinas-T.A Durazno en Almibar / Peach Halves in heavy Syrup 290z x 12</v>
      </c>
      <c r="N937" s="20">
        <f t="shared" si="199"/>
        <v>5</v>
      </c>
      <c r="O937" s="20" t="str">
        <f t="shared" si="200"/>
        <v>Se repite 5 veces en Tradiciones Andinas</v>
      </c>
      <c r="P937" s="20" t="str">
        <f t="shared" si="201"/>
        <v>Tradiciones Andinas-T.A Durazno en Almibar / Peach Halves in heavy Syrup 290z x 12-27</v>
      </c>
      <c r="Q937" s="20">
        <f t="shared" si="202"/>
        <v>4</v>
      </c>
      <c r="R937" s="20" t="str">
        <f t="shared" si="203"/>
        <v>Se repite 4 veces el precio de 27</v>
      </c>
      <c r="S937" s="20" t="str">
        <f t="shared" si="204"/>
        <v>El producto T.A Durazno en Almibar / Peach Halves in heavy Syrup 290z x 12 Se repite 5 veces en Tradiciones Andinas, Se repite 4 veces el precio de 27</v>
      </c>
      <c r="T937" s="20" t="str">
        <f t="shared" si="205"/>
        <v>Tradiciones Andinas</v>
      </c>
      <c r="U937" s="20" t="str">
        <f t="shared" si="206"/>
        <v>T.A Durazno en Almibar / Peach Halves in heavy Syrup 290z x 12</v>
      </c>
      <c r="V937" s="22">
        <f t="shared" si="207"/>
        <v>27</v>
      </c>
      <c r="W937" t="str">
        <f t="shared" si="208"/>
        <v>Tradiciones Andinas 08/18/2025</v>
      </c>
      <c r="Z937">
        <f t="shared" si="209"/>
        <v>27</v>
      </c>
    </row>
    <row r="938" spans="1:26" hidden="1" x14ac:dyDescent="0.25">
      <c r="A938" s="2" t="s">
        <v>664</v>
      </c>
      <c r="B938" s="11" t="s">
        <v>1153</v>
      </c>
      <c r="C938" s="11" t="s">
        <v>4</v>
      </c>
      <c r="D938" s="11" t="s">
        <v>1154</v>
      </c>
      <c r="E938" s="11" t="s">
        <v>904</v>
      </c>
      <c r="F938" s="11" t="s">
        <v>1073</v>
      </c>
      <c r="G938" s="12">
        <v>3</v>
      </c>
      <c r="H938" s="12">
        <v>27</v>
      </c>
      <c r="I938" s="12">
        <v>81</v>
      </c>
      <c r="J938" s="12">
        <v>85284.129999999961</v>
      </c>
      <c r="K938" s="20">
        <f t="shared" si="196"/>
        <v>5</v>
      </c>
      <c r="L938" s="20" t="str">
        <f t="shared" si="197"/>
        <v>Se repite 5 veces</v>
      </c>
      <c r="M938" s="20" t="str">
        <f t="shared" si="198"/>
        <v>Tradiciones Andinas-T.A Durazno en Almibar / Peach Halves in heavy Syrup 290z x 12</v>
      </c>
      <c r="N938" s="20">
        <f t="shared" si="199"/>
        <v>5</v>
      </c>
      <c r="O938" s="20" t="str">
        <f t="shared" si="200"/>
        <v>Se repite 5 veces en Tradiciones Andinas</v>
      </c>
      <c r="P938" s="20" t="str">
        <f t="shared" si="201"/>
        <v>Tradiciones Andinas-T.A Durazno en Almibar / Peach Halves in heavy Syrup 290z x 12-27</v>
      </c>
      <c r="Q938" s="20">
        <f t="shared" si="202"/>
        <v>4</v>
      </c>
      <c r="R938" s="20" t="str">
        <f t="shared" si="203"/>
        <v>Se repite 4 veces el precio de 27</v>
      </c>
      <c r="S938" s="20" t="str">
        <f t="shared" si="204"/>
        <v>El producto T.A Durazno en Almibar / Peach Halves in heavy Syrup 290z x 12 Se repite 5 veces en Tradiciones Andinas, Se repite 4 veces el precio de 27</v>
      </c>
      <c r="T938" s="20" t="str">
        <f t="shared" si="205"/>
        <v>Tradiciones Andinas</v>
      </c>
      <c r="U938" s="20" t="str">
        <f t="shared" si="206"/>
        <v>T.A Durazno en Almibar / Peach Halves in heavy Syrup 290z x 12</v>
      </c>
      <c r="V938" s="22">
        <f t="shared" si="207"/>
        <v>27</v>
      </c>
      <c r="W938" t="str">
        <f t="shared" si="208"/>
        <v>Tradiciones Andinas 09/24/2025</v>
      </c>
      <c r="Z938">
        <f t="shared" si="209"/>
        <v>81</v>
      </c>
    </row>
    <row r="939" spans="1:26" hidden="1" x14ac:dyDescent="0.25">
      <c r="A939" s="2" t="s">
        <v>664</v>
      </c>
      <c r="B939" s="11" t="s">
        <v>1193</v>
      </c>
      <c r="C939" s="11" t="s">
        <v>4</v>
      </c>
      <c r="D939" s="11" t="s">
        <v>1194</v>
      </c>
      <c r="E939" s="11" t="s">
        <v>904</v>
      </c>
      <c r="F939" s="11" t="s">
        <v>1073</v>
      </c>
      <c r="G939" s="12">
        <v>4</v>
      </c>
      <c r="H939" s="12">
        <v>27</v>
      </c>
      <c r="I939" s="12">
        <v>108</v>
      </c>
      <c r="J939" s="12">
        <v>100049.86999999994</v>
      </c>
      <c r="K939" s="20">
        <f t="shared" si="196"/>
        <v>5</v>
      </c>
      <c r="L939" s="20" t="str">
        <f t="shared" si="197"/>
        <v>Se repite 5 veces</v>
      </c>
      <c r="M939" s="20" t="str">
        <f t="shared" si="198"/>
        <v>Tradiciones Andinas-T.A Durazno en Almibar / Peach Halves in heavy Syrup 290z x 12</v>
      </c>
      <c r="N939" s="20">
        <f t="shared" si="199"/>
        <v>5</v>
      </c>
      <c r="O939" s="20" t="str">
        <f t="shared" si="200"/>
        <v>Se repite 5 veces en Tradiciones Andinas</v>
      </c>
      <c r="P939" s="20" t="str">
        <f t="shared" si="201"/>
        <v>Tradiciones Andinas-T.A Durazno en Almibar / Peach Halves in heavy Syrup 290z x 12-27</v>
      </c>
      <c r="Q939" s="20">
        <f t="shared" si="202"/>
        <v>4</v>
      </c>
      <c r="R939" s="20" t="str">
        <f t="shared" si="203"/>
        <v>Se repite 4 veces el precio de 27</v>
      </c>
      <c r="S939" s="20" t="str">
        <f t="shared" si="204"/>
        <v>El producto T.A Durazno en Almibar / Peach Halves in heavy Syrup 290z x 12 Se repite 5 veces en Tradiciones Andinas, Se repite 4 veces el precio de 27</v>
      </c>
      <c r="T939" s="20" t="str">
        <f t="shared" si="205"/>
        <v>Tradiciones Andinas</v>
      </c>
      <c r="U939" s="20" t="str">
        <f t="shared" si="206"/>
        <v>T.A Durazno en Almibar / Peach Halves in heavy Syrup 290z x 12</v>
      </c>
      <c r="V939" s="22">
        <f t="shared" si="207"/>
        <v>27</v>
      </c>
      <c r="W939" t="str">
        <f t="shared" si="208"/>
        <v>Tradiciones Andinas 10/30/2025</v>
      </c>
      <c r="Z939">
        <f t="shared" si="209"/>
        <v>108</v>
      </c>
    </row>
    <row r="940" spans="1:26" hidden="1" x14ac:dyDescent="0.25">
      <c r="A940" s="2" t="s">
        <v>664</v>
      </c>
      <c r="B940" s="11" t="s">
        <v>665</v>
      </c>
      <c r="C940" s="11" t="s">
        <v>4</v>
      </c>
      <c r="D940" s="11" t="s">
        <v>666</v>
      </c>
      <c r="E940" s="11" t="s">
        <v>718</v>
      </c>
      <c r="F940" s="11" t="s">
        <v>719</v>
      </c>
      <c r="G940" s="12">
        <v>2</v>
      </c>
      <c r="H940" s="12">
        <v>19.8</v>
      </c>
      <c r="I940" s="12">
        <v>39.6</v>
      </c>
      <c r="J940" s="12">
        <v>1617.9199999999996</v>
      </c>
      <c r="K940" s="20">
        <f t="shared" si="196"/>
        <v>6</v>
      </c>
      <c r="L940" s="20" t="str">
        <f t="shared" si="197"/>
        <v>Se repite 6 veces</v>
      </c>
      <c r="M940" s="20" t="str">
        <f t="shared" si="198"/>
        <v>Tradiciones Andinas-T.A Emoliente / Emolient 3.5oz x 20</v>
      </c>
      <c r="N940" s="20">
        <f t="shared" si="199"/>
        <v>6</v>
      </c>
      <c r="O940" s="20" t="str">
        <f t="shared" si="200"/>
        <v>Se repite 6 veces en Tradiciones Andinas</v>
      </c>
      <c r="P940" s="20" t="str">
        <f t="shared" si="201"/>
        <v>Tradiciones Andinas-T.A Emoliente / Emolient 3.5oz x 20-19.8</v>
      </c>
      <c r="Q940" s="20">
        <f t="shared" si="202"/>
        <v>3</v>
      </c>
      <c r="R940" s="20" t="str">
        <f t="shared" si="203"/>
        <v>Se repite 3 veces el precio de 19.8</v>
      </c>
      <c r="S940" s="20" t="str">
        <f t="shared" si="204"/>
        <v>El producto T.A Emoliente / Emolient 3.5oz x 20 Se repite 6 veces en Tradiciones Andinas, Se repite 3 veces el precio de 19.8</v>
      </c>
      <c r="T940" s="20" t="str">
        <f t="shared" si="205"/>
        <v>Tradiciones Andinas</v>
      </c>
      <c r="U940" s="20" t="str">
        <f t="shared" si="206"/>
        <v>T.A Emoliente / Emolient 3.5oz x 20</v>
      </c>
      <c r="V940" s="22">
        <f t="shared" si="207"/>
        <v>19.8</v>
      </c>
      <c r="W940" t="str">
        <f t="shared" si="208"/>
        <v>Tradiciones Andinas 03/31/2025</v>
      </c>
      <c r="Z940">
        <f t="shared" si="209"/>
        <v>39.6</v>
      </c>
    </row>
    <row r="941" spans="1:26" hidden="1" x14ac:dyDescent="0.25">
      <c r="A941" s="2" t="s">
        <v>664</v>
      </c>
      <c r="B941" s="11" t="s">
        <v>398</v>
      </c>
      <c r="C941" s="11" t="s">
        <v>4</v>
      </c>
      <c r="D941" s="11" t="s">
        <v>5</v>
      </c>
      <c r="E941" s="11" t="s">
        <v>718</v>
      </c>
      <c r="F941" s="11" t="s">
        <v>719</v>
      </c>
      <c r="G941" s="12">
        <v>2</v>
      </c>
      <c r="H941" s="12">
        <v>19.8</v>
      </c>
      <c r="I941" s="12">
        <v>39.6</v>
      </c>
      <c r="J941" s="12">
        <v>4916.26</v>
      </c>
      <c r="K941" s="20">
        <f t="shared" si="196"/>
        <v>6</v>
      </c>
      <c r="L941" s="20" t="str">
        <f t="shared" si="197"/>
        <v>Se repite 6 veces</v>
      </c>
      <c r="M941" s="20" t="str">
        <f t="shared" si="198"/>
        <v>Tradiciones Andinas-T.A Emoliente / Emolient 3.5oz x 20</v>
      </c>
      <c r="N941" s="20">
        <f t="shared" si="199"/>
        <v>6</v>
      </c>
      <c r="O941" s="20" t="str">
        <f t="shared" si="200"/>
        <v>Se repite 6 veces en Tradiciones Andinas</v>
      </c>
      <c r="P941" s="20" t="str">
        <f t="shared" si="201"/>
        <v>Tradiciones Andinas-T.A Emoliente / Emolient 3.5oz x 20-19.8</v>
      </c>
      <c r="Q941" s="20">
        <f t="shared" si="202"/>
        <v>3</v>
      </c>
      <c r="R941" s="20" t="str">
        <f t="shared" si="203"/>
        <v>Se repite 3 veces el precio de 19.8</v>
      </c>
      <c r="S941" s="20" t="str">
        <f t="shared" si="204"/>
        <v>El producto T.A Emoliente / Emolient 3.5oz x 20 Se repite 6 veces en Tradiciones Andinas, Se repite 3 veces el precio de 19.8</v>
      </c>
      <c r="T941" s="20" t="str">
        <f t="shared" si="205"/>
        <v>Tradiciones Andinas</v>
      </c>
      <c r="U941" s="20" t="str">
        <f t="shared" si="206"/>
        <v>T.A Emoliente / Emolient 3.5oz x 20</v>
      </c>
      <c r="V941" s="22">
        <f t="shared" si="207"/>
        <v>19.8</v>
      </c>
      <c r="W941" t="str">
        <f t="shared" si="208"/>
        <v>Tradiciones Andinas 04/10/2025</v>
      </c>
      <c r="Z941">
        <f t="shared" si="209"/>
        <v>39.6</v>
      </c>
    </row>
    <row r="942" spans="1:26" hidden="1" x14ac:dyDescent="0.25">
      <c r="A942" s="2" t="s">
        <v>664</v>
      </c>
      <c r="B942" s="11" t="s">
        <v>821</v>
      </c>
      <c r="C942" s="11" t="s">
        <v>4</v>
      </c>
      <c r="D942" s="11" t="s">
        <v>822</v>
      </c>
      <c r="E942" s="11" t="s">
        <v>718</v>
      </c>
      <c r="F942" s="11" t="s">
        <v>719</v>
      </c>
      <c r="G942" s="12">
        <v>4</v>
      </c>
      <c r="H942" s="12">
        <v>19.8</v>
      </c>
      <c r="I942" s="12">
        <v>79.2</v>
      </c>
      <c r="J942" s="12">
        <v>12881.599999999999</v>
      </c>
      <c r="K942" s="20">
        <f t="shared" si="196"/>
        <v>6</v>
      </c>
      <c r="L942" s="20" t="str">
        <f t="shared" si="197"/>
        <v>Se repite 6 veces</v>
      </c>
      <c r="M942" s="20" t="str">
        <f t="shared" si="198"/>
        <v>Tradiciones Andinas-T.A Emoliente / Emolient 3.5oz x 20</v>
      </c>
      <c r="N942" s="20">
        <f t="shared" si="199"/>
        <v>6</v>
      </c>
      <c r="O942" s="20" t="str">
        <f t="shared" si="200"/>
        <v>Se repite 6 veces en Tradiciones Andinas</v>
      </c>
      <c r="P942" s="20" t="str">
        <f t="shared" si="201"/>
        <v>Tradiciones Andinas-T.A Emoliente / Emolient 3.5oz x 20-19.8</v>
      </c>
      <c r="Q942" s="20">
        <f t="shared" si="202"/>
        <v>3</v>
      </c>
      <c r="R942" s="20" t="str">
        <f t="shared" si="203"/>
        <v>Se repite 3 veces el precio de 19.8</v>
      </c>
      <c r="S942" s="20" t="str">
        <f t="shared" si="204"/>
        <v>El producto T.A Emoliente / Emolient 3.5oz x 20 Se repite 6 veces en Tradiciones Andinas, Se repite 3 veces el precio de 19.8</v>
      </c>
      <c r="T942" s="20" t="str">
        <f t="shared" si="205"/>
        <v>Tradiciones Andinas</v>
      </c>
      <c r="U942" s="20" t="str">
        <f t="shared" si="206"/>
        <v>T.A Emoliente / Emolient 3.5oz x 20</v>
      </c>
      <c r="V942" s="22">
        <f t="shared" si="207"/>
        <v>19.8</v>
      </c>
      <c r="W942" t="str">
        <f t="shared" si="208"/>
        <v>Tradiciones Andinas 04/25/2025</v>
      </c>
      <c r="Z942">
        <f t="shared" si="209"/>
        <v>79.2</v>
      </c>
    </row>
    <row r="943" spans="1:26" hidden="1" x14ac:dyDescent="0.25">
      <c r="A943" s="2" t="s">
        <v>664</v>
      </c>
      <c r="B943" s="11" t="s">
        <v>1033</v>
      </c>
      <c r="C943" s="11" t="s">
        <v>4</v>
      </c>
      <c r="D943" s="11" t="s">
        <v>1034</v>
      </c>
      <c r="E943" s="11" t="s">
        <v>718</v>
      </c>
      <c r="F943" s="11" t="s">
        <v>1047</v>
      </c>
      <c r="G943" s="12">
        <v>10</v>
      </c>
      <c r="H943" s="12">
        <v>21.18</v>
      </c>
      <c r="I943" s="12">
        <v>211.8</v>
      </c>
      <c r="J943" s="12">
        <v>49148.269999999975</v>
      </c>
      <c r="K943" s="20">
        <f t="shared" si="196"/>
        <v>6</v>
      </c>
      <c r="L943" s="20" t="str">
        <f t="shared" si="197"/>
        <v>Se repite 6 veces</v>
      </c>
      <c r="M943" s="20" t="str">
        <f t="shared" si="198"/>
        <v>Tradiciones Andinas-T.A Emoliente / Emolient 3.5oz x 20</v>
      </c>
      <c r="N943" s="20">
        <f t="shared" si="199"/>
        <v>6</v>
      </c>
      <c r="O943" s="20" t="str">
        <f t="shared" si="200"/>
        <v>Se repite 6 veces en Tradiciones Andinas</v>
      </c>
      <c r="P943" s="20" t="str">
        <f t="shared" si="201"/>
        <v>Tradiciones Andinas-T.A Emoliente / Emolient 3.5oz x 20-21.18</v>
      </c>
      <c r="Q943" s="20">
        <f t="shared" si="202"/>
        <v>3</v>
      </c>
      <c r="R943" s="20" t="str">
        <f t="shared" si="203"/>
        <v>Se repite 3 veces el precio de 21.18</v>
      </c>
      <c r="S943" s="20" t="str">
        <f t="shared" si="204"/>
        <v>El producto T.A Emoliente / Emolient 3.5oz x 20 Se repite 6 veces en Tradiciones Andinas, Se repite 3 veces el precio de 21.18</v>
      </c>
      <c r="T943" s="20" t="str">
        <f t="shared" si="205"/>
        <v>Tradiciones Andinas</v>
      </c>
      <c r="U943" s="20" t="str">
        <f t="shared" si="206"/>
        <v>T.A Emoliente / Emolient 3.5oz x 20</v>
      </c>
      <c r="V943" s="22">
        <f t="shared" si="207"/>
        <v>21.18</v>
      </c>
      <c r="W943" t="str">
        <f t="shared" si="208"/>
        <v>Tradiciones Andinas 07/03/2025</v>
      </c>
      <c r="Z943">
        <f t="shared" si="209"/>
        <v>211.8</v>
      </c>
    </row>
    <row r="944" spans="1:26" hidden="1" x14ac:dyDescent="0.25">
      <c r="A944" s="2" t="s">
        <v>664</v>
      </c>
      <c r="B944" s="11" t="s">
        <v>1153</v>
      </c>
      <c r="C944" s="11" t="s">
        <v>4</v>
      </c>
      <c r="D944" s="11" t="s">
        <v>1154</v>
      </c>
      <c r="E944" s="11" t="s">
        <v>718</v>
      </c>
      <c r="F944" s="11" t="s">
        <v>1047</v>
      </c>
      <c r="G944" s="12">
        <v>3</v>
      </c>
      <c r="H944" s="12">
        <v>21.18</v>
      </c>
      <c r="I944" s="12">
        <v>63.54</v>
      </c>
      <c r="J944" s="12">
        <v>79620.419999999969</v>
      </c>
      <c r="K944" s="20">
        <f t="shared" si="196"/>
        <v>6</v>
      </c>
      <c r="L944" s="20" t="str">
        <f t="shared" si="197"/>
        <v>Se repite 6 veces</v>
      </c>
      <c r="M944" s="20" t="str">
        <f t="shared" si="198"/>
        <v>Tradiciones Andinas-T.A Emoliente / Emolient 3.5oz x 20</v>
      </c>
      <c r="N944" s="20">
        <f t="shared" si="199"/>
        <v>6</v>
      </c>
      <c r="O944" s="20" t="str">
        <f t="shared" si="200"/>
        <v>Se repite 6 veces en Tradiciones Andinas</v>
      </c>
      <c r="P944" s="20" t="str">
        <f t="shared" si="201"/>
        <v>Tradiciones Andinas-T.A Emoliente / Emolient 3.5oz x 20-21.18</v>
      </c>
      <c r="Q944" s="20">
        <f t="shared" si="202"/>
        <v>3</v>
      </c>
      <c r="R944" s="20" t="str">
        <f t="shared" si="203"/>
        <v>Se repite 3 veces el precio de 21.18</v>
      </c>
      <c r="S944" s="20" t="str">
        <f t="shared" si="204"/>
        <v>El producto T.A Emoliente / Emolient 3.5oz x 20 Se repite 6 veces en Tradiciones Andinas, Se repite 3 veces el precio de 21.18</v>
      </c>
      <c r="T944" s="20" t="str">
        <f t="shared" si="205"/>
        <v>Tradiciones Andinas</v>
      </c>
      <c r="U944" s="20" t="str">
        <f t="shared" si="206"/>
        <v>T.A Emoliente / Emolient 3.5oz x 20</v>
      </c>
      <c r="V944" s="22">
        <f t="shared" si="207"/>
        <v>21.18</v>
      </c>
      <c r="W944" t="str">
        <f t="shared" si="208"/>
        <v>Tradiciones Andinas 09/24/2025</v>
      </c>
      <c r="Z944">
        <f t="shared" si="209"/>
        <v>63.54</v>
      </c>
    </row>
    <row r="945" spans="1:26" hidden="1" x14ac:dyDescent="0.25">
      <c r="A945" s="2" t="s">
        <v>664</v>
      </c>
      <c r="B945" s="11" t="s">
        <v>1201</v>
      </c>
      <c r="C945" s="11" t="s">
        <v>4</v>
      </c>
      <c r="D945" s="11" t="s">
        <v>1202</v>
      </c>
      <c r="E945" s="11" t="s">
        <v>718</v>
      </c>
      <c r="F945" s="11" t="s">
        <v>1047</v>
      </c>
      <c r="G945" s="12">
        <v>4</v>
      </c>
      <c r="H945" s="12">
        <v>21.18</v>
      </c>
      <c r="I945" s="12">
        <v>84.72</v>
      </c>
      <c r="J945" s="12">
        <v>101760.98999999993</v>
      </c>
      <c r="K945" s="20">
        <f t="shared" si="196"/>
        <v>6</v>
      </c>
      <c r="L945" s="20" t="str">
        <f t="shared" si="197"/>
        <v>Se repite 6 veces</v>
      </c>
      <c r="M945" s="20" t="str">
        <f t="shared" si="198"/>
        <v>Tradiciones Andinas-T.A Emoliente / Emolient 3.5oz x 20</v>
      </c>
      <c r="N945" s="20">
        <f t="shared" si="199"/>
        <v>6</v>
      </c>
      <c r="O945" s="20" t="str">
        <f t="shared" si="200"/>
        <v>Se repite 6 veces en Tradiciones Andinas</v>
      </c>
      <c r="P945" s="20" t="str">
        <f t="shared" si="201"/>
        <v>Tradiciones Andinas-T.A Emoliente / Emolient 3.5oz x 20-21.18</v>
      </c>
      <c r="Q945" s="20">
        <f t="shared" si="202"/>
        <v>3</v>
      </c>
      <c r="R945" s="20" t="str">
        <f t="shared" si="203"/>
        <v>Se repite 3 veces el precio de 21.18</v>
      </c>
      <c r="S945" s="20" t="str">
        <f t="shared" si="204"/>
        <v>El producto T.A Emoliente / Emolient 3.5oz x 20 Se repite 6 veces en Tradiciones Andinas, Se repite 3 veces el precio de 21.18</v>
      </c>
      <c r="T945" s="20" t="str">
        <f t="shared" si="205"/>
        <v>Tradiciones Andinas</v>
      </c>
      <c r="U945" s="20" t="str">
        <f t="shared" si="206"/>
        <v>T.A Emoliente / Emolient 3.5oz x 20</v>
      </c>
      <c r="V945" s="22">
        <f t="shared" si="207"/>
        <v>21.18</v>
      </c>
      <c r="W945" t="str">
        <f t="shared" si="208"/>
        <v>Tradiciones Andinas 11/07/2025</v>
      </c>
      <c r="Z945">
        <f t="shared" si="209"/>
        <v>84.72</v>
      </c>
    </row>
    <row r="946" spans="1:26" hidden="1" x14ac:dyDescent="0.25">
      <c r="A946" s="2" t="s">
        <v>664</v>
      </c>
      <c r="B946" s="11" t="s">
        <v>1125</v>
      </c>
      <c r="C946" s="11" t="s">
        <v>4</v>
      </c>
      <c r="D946" s="11" t="s">
        <v>1126</v>
      </c>
      <c r="E946" s="11" t="s">
        <v>1149</v>
      </c>
      <c r="F946" s="11" t="s">
        <v>1150</v>
      </c>
      <c r="G946" s="12">
        <v>16</v>
      </c>
      <c r="H946" s="12">
        <v>18</v>
      </c>
      <c r="I946" s="12">
        <v>288</v>
      </c>
      <c r="J946" s="12">
        <v>73335.560000000012</v>
      </c>
      <c r="K946" s="20">
        <f t="shared" si="196"/>
        <v>1</v>
      </c>
      <c r="L946" s="20" t="str">
        <f t="shared" si="197"/>
        <v>No se repite</v>
      </c>
      <c r="M946" s="20" t="str">
        <f t="shared" si="198"/>
        <v>Tradiciones Andinas-T.A Guinea pig - Cuy</v>
      </c>
      <c r="N946" s="20">
        <f t="shared" si="199"/>
        <v>1</v>
      </c>
      <c r="O946" s="20" t="str">
        <f t="shared" si="200"/>
        <v>No se repite en proveedor</v>
      </c>
      <c r="P946" s="20" t="str">
        <f t="shared" si="201"/>
        <v>Tradiciones Andinas-T.A Guinea pig - Cuy-18</v>
      </c>
      <c r="Q946" s="20">
        <f t="shared" si="202"/>
        <v>1</v>
      </c>
      <c r="R946" s="20" t="str">
        <f t="shared" si="203"/>
        <v>No se repite</v>
      </c>
      <c r="S946" s="20" t="str">
        <f t="shared" si="204"/>
        <v>El producto T.A Guinea pig - Cuy No se repite en proveedor Una vez con el precio 18</v>
      </c>
      <c r="T946" s="20" t="str">
        <f t="shared" si="205"/>
        <v>Tradiciones Andinas</v>
      </c>
      <c r="U946" s="20" t="str">
        <f t="shared" si="206"/>
        <v>T.A Guinea pig - Cuy</v>
      </c>
      <c r="V946" s="22">
        <f t="shared" si="207"/>
        <v>18</v>
      </c>
      <c r="W946" t="str">
        <f t="shared" si="208"/>
        <v>Tradiciones Andinas 08/18/2025</v>
      </c>
      <c r="Z946">
        <f t="shared" si="209"/>
        <v>288</v>
      </c>
    </row>
    <row r="947" spans="1:26" hidden="1" x14ac:dyDescent="0.25">
      <c r="A947" s="2" t="s">
        <v>664</v>
      </c>
      <c r="B947" s="11" t="s">
        <v>665</v>
      </c>
      <c r="C947" s="11" t="s">
        <v>4</v>
      </c>
      <c r="D947" s="11" t="s">
        <v>666</v>
      </c>
      <c r="E947" s="11" t="s">
        <v>756</v>
      </c>
      <c r="F947" s="11" t="s">
        <v>757</v>
      </c>
      <c r="G947" s="12">
        <v>1</v>
      </c>
      <c r="H947" s="12">
        <v>12</v>
      </c>
      <c r="I947" s="12">
        <v>12</v>
      </c>
      <c r="J947" s="12">
        <v>2652.8599999999997</v>
      </c>
      <c r="K947" s="20">
        <f t="shared" si="196"/>
        <v>8</v>
      </c>
      <c r="L947" s="20" t="str">
        <f t="shared" si="197"/>
        <v>Se repite 8 veces</v>
      </c>
      <c r="M947" s="20" t="str">
        <f t="shared" si="198"/>
        <v>Tradiciones Andinas-T.A Habas Fritas Saladas/  Broad Beans Snacks 130gr x 12</v>
      </c>
      <c r="N947" s="20">
        <f t="shared" si="199"/>
        <v>8</v>
      </c>
      <c r="O947" s="20" t="str">
        <f t="shared" si="200"/>
        <v>Se repite 8 veces en Tradiciones Andinas</v>
      </c>
      <c r="P947" s="20" t="str">
        <f t="shared" si="201"/>
        <v>Tradiciones Andinas-T.A Habas Fritas Saladas/  Broad Beans Snacks 130gr x 12-12</v>
      </c>
      <c r="Q947" s="20">
        <f t="shared" si="202"/>
        <v>3</v>
      </c>
      <c r="R947" s="20" t="str">
        <f t="shared" si="203"/>
        <v>Se repite 3 veces el precio de 12</v>
      </c>
      <c r="S947" s="20" t="str">
        <f t="shared" si="204"/>
        <v>El producto T.A Habas Fritas Saladas/  Broad Beans Snacks 130gr x 12 Se repite 8 veces en Tradiciones Andinas, Se repite 3 veces el precio de 12</v>
      </c>
      <c r="T947" s="20" t="str">
        <f t="shared" si="205"/>
        <v>Tradiciones Andinas</v>
      </c>
      <c r="U947" s="20" t="str">
        <f t="shared" si="206"/>
        <v>T.A Habas Fritas Saladas/  Broad Beans Snacks 130gr x 12</v>
      </c>
      <c r="V947" s="22">
        <f t="shared" si="207"/>
        <v>12</v>
      </c>
      <c r="W947" t="str">
        <f t="shared" si="208"/>
        <v>Tradiciones Andinas 03/31/2025</v>
      </c>
      <c r="Z947">
        <f t="shared" si="209"/>
        <v>12</v>
      </c>
    </row>
    <row r="948" spans="1:26" hidden="1" x14ac:dyDescent="0.25">
      <c r="A948" s="2" t="s">
        <v>664</v>
      </c>
      <c r="B948" s="11" t="s">
        <v>398</v>
      </c>
      <c r="C948" s="11" t="s">
        <v>4</v>
      </c>
      <c r="D948" s="11" t="s">
        <v>5</v>
      </c>
      <c r="E948" s="11" t="s">
        <v>756</v>
      </c>
      <c r="F948" s="11" t="s">
        <v>757</v>
      </c>
      <c r="G948" s="12">
        <v>2</v>
      </c>
      <c r="H948" s="12">
        <v>12</v>
      </c>
      <c r="I948" s="12">
        <v>24</v>
      </c>
      <c r="J948" s="12">
        <v>5267.32</v>
      </c>
      <c r="K948" s="20">
        <f t="shared" si="196"/>
        <v>8</v>
      </c>
      <c r="L948" s="20" t="str">
        <f t="shared" si="197"/>
        <v>Se repite 8 veces</v>
      </c>
      <c r="M948" s="20" t="str">
        <f t="shared" si="198"/>
        <v>Tradiciones Andinas-T.A Habas Fritas Saladas/  Broad Beans Snacks 130gr x 12</v>
      </c>
      <c r="N948" s="20">
        <f t="shared" si="199"/>
        <v>8</v>
      </c>
      <c r="O948" s="20" t="str">
        <f t="shared" si="200"/>
        <v>Se repite 8 veces en Tradiciones Andinas</v>
      </c>
      <c r="P948" s="20" t="str">
        <f t="shared" si="201"/>
        <v>Tradiciones Andinas-T.A Habas Fritas Saladas/  Broad Beans Snacks 130gr x 12-12</v>
      </c>
      <c r="Q948" s="20">
        <f t="shared" si="202"/>
        <v>3</v>
      </c>
      <c r="R948" s="20" t="str">
        <f t="shared" si="203"/>
        <v>Se repite 3 veces el precio de 12</v>
      </c>
      <c r="S948" s="20" t="str">
        <f t="shared" si="204"/>
        <v>El producto T.A Habas Fritas Saladas/  Broad Beans Snacks 130gr x 12 Se repite 8 veces en Tradiciones Andinas, Se repite 3 veces el precio de 12</v>
      </c>
      <c r="T948" s="20" t="str">
        <f t="shared" si="205"/>
        <v>Tradiciones Andinas</v>
      </c>
      <c r="U948" s="20" t="str">
        <f t="shared" si="206"/>
        <v>T.A Habas Fritas Saladas/  Broad Beans Snacks 130gr x 12</v>
      </c>
      <c r="V948" s="22">
        <f t="shared" si="207"/>
        <v>12</v>
      </c>
      <c r="W948" t="str">
        <f t="shared" si="208"/>
        <v>Tradiciones Andinas 04/10/2025</v>
      </c>
      <c r="Z948">
        <f t="shared" si="209"/>
        <v>24</v>
      </c>
    </row>
    <row r="949" spans="1:26" hidden="1" x14ac:dyDescent="0.25">
      <c r="A949" s="2" t="s">
        <v>664</v>
      </c>
      <c r="B949" s="11" t="s">
        <v>821</v>
      </c>
      <c r="C949" s="11" t="s">
        <v>4</v>
      </c>
      <c r="D949" s="11" t="s">
        <v>822</v>
      </c>
      <c r="E949" s="11" t="s">
        <v>756</v>
      </c>
      <c r="F949" s="11" t="s">
        <v>757</v>
      </c>
      <c r="G949" s="12">
        <v>6</v>
      </c>
      <c r="H949" s="12">
        <v>12</v>
      </c>
      <c r="I949" s="12">
        <v>72</v>
      </c>
      <c r="J949" s="12">
        <v>15079.279999999999</v>
      </c>
      <c r="K949" s="20">
        <f t="shared" si="196"/>
        <v>8</v>
      </c>
      <c r="L949" s="20" t="str">
        <f t="shared" si="197"/>
        <v>Se repite 8 veces</v>
      </c>
      <c r="M949" s="20" t="str">
        <f t="shared" si="198"/>
        <v>Tradiciones Andinas-T.A Habas Fritas Saladas/  Broad Beans Snacks 130gr x 12</v>
      </c>
      <c r="N949" s="20">
        <f t="shared" si="199"/>
        <v>8</v>
      </c>
      <c r="O949" s="20" t="str">
        <f t="shared" si="200"/>
        <v>Se repite 8 veces en Tradiciones Andinas</v>
      </c>
      <c r="P949" s="20" t="str">
        <f t="shared" si="201"/>
        <v>Tradiciones Andinas-T.A Habas Fritas Saladas/  Broad Beans Snacks 130gr x 12-12</v>
      </c>
      <c r="Q949" s="20">
        <f t="shared" si="202"/>
        <v>3</v>
      </c>
      <c r="R949" s="20" t="str">
        <f t="shared" si="203"/>
        <v>Se repite 3 veces el precio de 12</v>
      </c>
      <c r="S949" s="20" t="str">
        <f t="shared" si="204"/>
        <v>El producto T.A Habas Fritas Saladas/  Broad Beans Snacks 130gr x 12 Se repite 8 veces en Tradiciones Andinas, Se repite 3 veces el precio de 12</v>
      </c>
      <c r="T949" s="20" t="str">
        <f t="shared" si="205"/>
        <v>Tradiciones Andinas</v>
      </c>
      <c r="U949" s="20" t="str">
        <f t="shared" si="206"/>
        <v>T.A Habas Fritas Saladas/  Broad Beans Snacks 130gr x 12</v>
      </c>
      <c r="V949" s="22">
        <f t="shared" si="207"/>
        <v>12</v>
      </c>
      <c r="W949" t="str">
        <f t="shared" si="208"/>
        <v>Tradiciones Andinas 04/25/2025</v>
      </c>
      <c r="Z949">
        <f t="shared" si="209"/>
        <v>72</v>
      </c>
    </row>
    <row r="950" spans="1:26" hidden="1" x14ac:dyDescent="0.25">
      <c r="A950" s="2" t="s">
        <v>664</v>
      </c>
      <c r="B950" s="11" t="s">
        <v>158</v>
      </c>
      <c r="C950" s="11" t="s">
        <v>4</v>
      </c>
      <c r="D950" s="11" t="s">
        <v>984</v>
      </c>
      <c r="E950" s="11" t="s">
        <v>756</v>
      </c>
      <c r="F950" s="11" t="s">
        <v>1003</v>
      </c>
      <c r="G950" s="12">
        <v>1</v>
      </c>
      <c r="H950" s="12">
        <v>13.2</v>
      </c>
      <c r="I950" s="12">
        <v>13.2</v>
      </c>
      <c r="J950" s="12">
        <v>38948.199999999997</v>
      </c>
      <c r="K950" s="20">
        <f t="shared" si="196"/>
        <v>8</v>
      </c>
      <c r="L950" s="20" t="str">
        <f t="shared" si="197"/>
        <v>Se repite 8 veces</v>
      </c>
      <c r="M950" s="20" t="str">
        <f t="shared" si="198"/>
        <v>Tradiciones Andinas-T.A Habas Fritas Saladas/  Broad Beans Snacks 130gr x 12</v>
      </c>
      <c r="N950" s="20">
        <f t="shared" si="199"/>
        <v>8</v>
      </c>
      <c r="O950" s="20" t="str">
        <f t="shared" si="200"/>
        <v>Se repite 8 veces en Tradiciones Andinas</v>
      </c>
      <c r="P950" s="20" t="str">
        <f t="shared" si="201"/>
        <v>Tradiciones Andinas-T.A Habas Fritas Saladas/  Broad Beans Snacks 130gr x 12-13.2</v>
      </c>
      <c r="Q950" s="20">
        <f t="shared" si="202"/>
        <v>5</v>
      </c>
      <c r="R950" s="20" t="str">
        <f t="shared" si="203"/>
        <v>Se repite 5 veces el precio de 13.2</v>
      </c>
      <c r="S950" s="20" t="str">
        <f t="shared" si="204"/>
        <v>El producto T.A Habas Fritas Saladas/  Broad Beans Snacks 130gr x 12 Se repite 8 veces en Tradiciones Andinas, Se repite 5 veces el precio de 13.2</v>
      </c>
      <c r="T950" s="20" t="str">
        <f t="shared" si="205"/>
        <v>Tradiciones Andinas</v>
      </c>
      <c r="U950" s="20" t="str">
        <f t="shared" si="206"/>
        <v>T.A Habas Fritas Saladas/  Broad Beans Snacks 130gr x 12</v>
      </c>
      <c r="V950" s="22">
        <f t="shared" si="207"/>
        <v>13.2</v>
      </c>
      <c r="W950" t="str">
        <f t="shared" si="208"/>
        <v>Tradiciones Andinas 06/12/2025</v>
      </c>
      <c r="Z950">
        <f t="shared" si="209"/>
        <v>13.2</v>
      </c>
    </row>
    <row r="951" spans="1:26" hidden="1" x14ac:dyDescent="0.25">
      <c r="A951" s="2" t="s">
        <v>664</v>
      </c>
      <c r="B951" s="11" t="s">
        <v>1029</v>
      </c>
      <c r="C951" s="11" t="s">
        <v>4</v>
      </c>
      <c r="D951" s="11" t="s">
        <v>1030</v>
      </c>
      <c r="E951" s="11" t="s">
        <v>756</v>
      </c>
      <c r="F951" s="11" t="s">
        <v>1003</v>
      </c>
      <c r="G951" s="12">
        <v>4</v>
      </c>
      <c r="H951" s="12">
        <v>13.2</v>
      </c>
      <c r="I951" s="12">
        <v>52.8</v>
      </c>
      <c r="J951" s="12">
        <v>45410.03</v>
      </c>
      <c r="K951" s="20">
        <f t="shared" si="196"/>
        <v>8</v>
      </c>
      <c r="L951" s="20" t="str">
        <f t="shared" si="197"/>
        <v>Se repite 8 veces</v>
      </c>
      <c r="M951" s="20" t="str">
        <f t="shared" si="198"/>
        <v>Tradiciones Andinas-T.A Habas Fritas Saladas/  Broad Beans Snacks 130gr x 12</v>
      </c>
      <c r="N951" s="20">
        <f t="shared" si="199"/>
        <v>8</v>
      </c>
      <c r="O951" s="20" t="str">
        <f t="shared" si="200"/>
        <v>Se repite 8 veces en Tradiciones Andinas</v>
      </c>
      <c r="P951" s="20" t="str">
        <f t="shared" si="201"/>
        <v>Tradiciones Andinas-T.A Habas Fritas Saladas/  Broad Beans Snacks 130gr x 12-13.2</v>
      </c>
      <c r="Q951" s="20">
        <f t="shared" si="202"/>
        <v>5</v>
      </c>
      <c r="R951" s="20" t="str">
        <f t="shared" si="203"/>
        <v>Se repite 5 veces el precio de 13.2</v>
      </c>
      <c r="S951" s="20" t="str">
        <f t="shared" si="204"/>
        <v>El producto T.A Habas Fritas Saladas/  Broad Beans Snacks 130gr x 12 Se repite 8 veces en Tradiciones Andinas, Se repite 5 veces el precio de 13.2</v>
      </c>
      <c r="T951" s="20" t="str">
        <f t="shared" si="205"/>
        <v>Tradiciones Andinas</v>
      </c>
      <c r="U951" s="20" t="str">
        <f t="shared" si="206"/>
        <v>T.A Habas Fritas Saladas/  Broad Beans Snacks 130gr x 12</v>
      </c>
      <c r="V951" s="22">
        <f t="shared" si="207"/>
        <v>13.2</v>
      </c>
      <c r="W951" t="str">
        <f t="shared" si="208"/>
        <v>Tradiciones Andinas 06/17/2025</v>
      </c>
      <c r="Z951">
        <f t="shared" si="209"/>
        <v>52.8</v>
      </c>
    </row>
    <row r="952" spans="1:26" hidden="1" x14ac:dyDescent="0.25">
      <c r="A952" s="2" t="s">
        <v>664</v>
      </c>
      <c r="B952" s="11" t="s">
        <v>1125</v>
      </c>
      <c r="C952" s="11" t="s">
        <v>4</v>
      </c>
      <c r="D952" s="11" t="s">
        <v>1126</v>
      </c>
      <c r="E952" s="11" t="s">
        <v>756</v>
      </c>
      <c r="F952" s="11" t="s">
        <v>1003</v>
      </c>
      <c r="G952" s="12">
        <v>4</v>
      </c>
      <c r="H952" s="12">
        <v>13.2</v>
      </c>
      <c r="I952" s="12">
        <v>52.8</v>
      </c>
      <c r="J952" s="12">
        <v>70033.770000000019</v>
      </c>
      <c r="K952" s="20">
        <f t="shared" si="196"/>
        <v>8</v>
      </c>
      <c r="L952" s="20" t="str">
        <f t="shared" si="197"/>
        <v>Se repite 8 veces</v>
      </c>
      <c r="M952" s="20" t="str">
        <f t="shared" si="198"/>
        <v>Tradiciones Andinas-T.A Habas Fritas Saladas/  Broad Beans Snacks 130gr x 12</v>
      </c>
      <c r="N952" s="20">
        <f t="shared" si="199"/>
        <v>8</v>
      </c>
      <c r="O952" s="20" t="str">
        <f t="shared" si="200"/>
        <v>Se repite 8 veces en Tradiciones Andinas</v>
      </c>
      <c r="P952" s="20" t="str">
        <f t="shared" si="201"/>
        <v>Tradiciones Andinas-T.A Habas Fritas Saladas/  Broad Beans Snacks 130gr x 12-13.2</v>
      </c>
      <c r="Q952" s="20">
        <f t="shared" si="202"/>
        <v>5</v>
      </c>
      <c r="R952" s="20" t="str">
        <f t="shared" si="203"/>
        <v>Se repite 5 veces el precio de 13.2</v>
      </c>
      <c r="S952" s="20" t="str">
        <f t="shared" si="204"/>
        <v>El producto T.A Habas Fritas Saladas/  Broad Beans Snacks 130gr x 12 Se repite 8 veces en Tradiciones Andinas, Se repite 5 veces el precio de 13.2</v>
      </c>
      <c r="T952" s="20" t="str">
        <f t="shared" si="205"/>
        <v>Tradiciones Andinas</v>
      </c>
      <c r="U952" s="20" t="str">
        <f t="shared" si="206"/>
        <v>T.A Habas Fritas Saladas/  Broad Beans Snacks 130gr x 12</v>
      </c>
      <c r="V952" s="22">
        <f t="shared" si="207"/>
        <v>13.2</v>
      </c>
      <c r="W952" t="str">
        <f t="shared" si="208"/>
        <v>Tradiciones Andinas 08/18/2025</v>
      </c>
      <c r="Z952">
        <f t="shared" si="209"/>
        <v>52.8</v>
      </c>
    </row>
    <row r="953" spans="1:26" hidden="1" x14ac:dyDescent="0.25">
      <c r="A953" s="2" t="s">
        <v>664</v>
      </c>
      <c r="B953" s="11" t="s">
        <v>1153</v>
      </c>
      <c r="C953" s="11" t="s">
        <v>4</v>
      </c>
      <c r="D953" s="11" t="s">
        <v>1154</v>
      </c>
      <c r="E953" s="11" t="s">
        <v>756</v>
      </c>
      <c r="F953" s="11" t="s">
        <v>1003</v>
      </c>
      <c r="G953" s="12">
        <v>10</v>
      </c>
      <c r="H953" s="12">
        <v>13.2</v>
      </c>
      <c r="I953" s="12">
        <v>132</v>
      </c>
      <c r="J953" s="12">
        <v>82003.229999999967</v>
      </c>
      <c r="K953" s="20">
        <f t="shared" si="196"/>
        <v>8</v>
      </c>
      <c r="L953" s="20" t="str">
        <f t="shared" si="197"/>
        <v>Se repite 8 veces</v>
      </c>
      <c r="M953" s="20" t="str">
        <f t="shared" si="198"/>
        <v>Tradiciones Andinas-T.A Habas Fritas Saladas/  Broad Beans Snacks 130gr x 12</v>
      </c>
      <c r="N953" s="20">
        <f t="shared" si="199"/>
        <v>8</v>
      </c>
      <c r="O953" s="20" t="str">
        <f t="shared" si="200"/>
        <v>Se repite 8 veces en Tradiciones Andinas</v>
      </c>
      <c r="P953" s="20" t="str">
        <f t="shared" si="201"/>
        <v>Tradiciones Andinas-T.A Habas Fritas Saladas/  Broad Beans Snacks 130gr x 12-13.2</v>
      </c>
      <c r="Q953" s="20">
        <f t="shared" si="202"/>
        <v>5</v>
      </c>
      <c r="R953" s="20" t="str">
        <f t="shared" si="203"/>
        <v>Se repite 5 veces el precio de 13.2</v>
      </c>
      <c r="S953" s="20" t="str">
        <f t="shared" si="204"/>
        <v>El producto T.A Habas Fritas Saladas/  Broad Beans Snacks 130gr x 12 Se repite 8 veces en Tradiciones Andinas, Se repite 5 veces el precio de 13.2</v>
      </c>
      <c r="T953" s="20" t="str">
        <f t="shared" si="205"/>
        <v>Tradiciones Andinas</v>
      </c>
      <c r="U953" s="20" t="str">
        <f t="shared" si="206"/>
        <v>T.A Habas Fritas Saladas/  Broad Beans Snacks 130gr x 12</v>
      </c>
      <c r="V953" s="22">
        <f t="shared" si="207"/>
        <v>13.2</v>
      </c>
      <c r="W953" t="str">
        <f t="shared" si="208"/>
        <v>Tradiciones Andinas 09/24/2025</v>
      </c>
      <c r="Z953">
        <f t="shared" si="209"/>
        <v>132</v>
      </c>
    </row>
    <row r="954" spans="1:26" hidden="1" x14ac:dyDescent="0.25">
      <c r="A954" s="2" t="s">
        <v>664</v>
      </c>
      <c r="B954" s="11" t="s">
        <v>1224</v>
      </c>
      <c r="C954" s="11" t="s">
        <v>4</v>
      </c>
      <c r="D954" s="11" t="s">
        <v>1225</v>
      </c>
      <c r="E954" s="11" t="s">
        <v>756</v>
      </c>
      <c r="F954" s="11" t="s">
        <v>1003</v>
      </c>
      <c r="G954" s="12">
        <v>6</v>
      </c>
      <c r="H954" s="12">
        <v>13.2</v>
      </c>
      <c r="I954" s="12">
        <v>79.2</v>
      </c>
      <c r="J954" s="12">
        <v>118069.31999999991</v>
      </c>
      <c r="K954" s="20">
        <f t="shared" si="196"/>
        <v>8</v>
      </c>
      <c r="L954" s="20" t="str">
        <f t="shared" si="197"/>
        <v>Se repite 8 veces</v>
      </c>
      <c r="M954" s="20" t="str">
        <f t="shared" si="198"/>
        <v>Tradiciones Andinas-T.A Habas Fritas Saladas/  Broad Beans Snacks 130gr x 12</v>
      </c>
      <c r="N954" s="20">
        <f t="shared" si="199"/>
        <v>8</v>
      </c>
      <c r="O954" s="20" t="str">
        <f t="shared" si="200"/>
        <v>Se repite 8 veces en Tradiciones Andinas</v>
      </c>
      <c r="P954" s="20" t="str">
        <f t="shared" si="201"/>
        <v>Tradiciones Andinas-T.A Habas Fritas Saladas/  Broad Beans Snacks 130gr x 12-13.2</v>
      </c>
      <c r="Q954" s="20">
        <f t="shared" si="202"/>
        <v>5</v>
      </c>
      <c r="R954" s="20" t="str">
        <f t="shared" si="203"/>
        <v>Se repite 5 veces el precio de 13.2</v>
      </c>
      <c r="S954" s="20" t="str">
        <f t="shared" si="204"/>
        <v>El producto T.A Habas Fritas Saladas/  Broad Beans Snacks 130gr x 12 Se repite 8 veces en Tradiciones Andinas, Se repite 5 veces el precio de 13.2</v>
      </c>
      <c r="T954" s="20" t="str">
        <f t="shared" si="205"/>
        <v>Tradiciones Andinas</v>
      </c>
      <c r="U954" s="20" t="str">
        <f t="shared" si="206"/>
        <v>T.A Habas Fritas Saladas/  Broad Beans Snacks 130gr x 12</v>
      </c>
      <c r="V954" s="22">
        <f t="shared" si="207"/>
        <v>13.2</v>
      </c>
      <c r="W954" t="str">
        <f t="shared" si="208"/>
        <v>Tradiciones Andinas 12/03/2025</v>
      </c>
      <c r="Z954">
        <f t="shared" si="209"/>
        <v>79.199999999999989</v>
      </c>
    </row>
    <row r="955" spans="1:26" hidden="1" x14ac:dyDescent="0.25">
      <c r="A955" s="2" t="s">
        <v>664</v>
      </c>
      <c r="B955" s="11" t="s">
        <v>1092</v>
      </c>
      <c r="C955" s="11" t="s">
        <v>4</v>
      </c>
      <c r="D955" s="11" t="s">
        <v>1093</v>
      </c>
      <c r="E955" s="11" t="s">
        <v>1123</v>
      </c>
      <c r="F955" s="11" t="s">
        <v>1124</v>
      </c>
      <c r="G955" s="12">
        <v>2</v>
      </c>
      <c r="H955" s="12">
        <v>55.8</v>
      </c>
      <c r="I955" s="12">
        <v>111.6</v>
      </c>
      <c r="J955" s="12">
        <v>63522.799999999945</v>
      </c>
      <c r="K955" s="20">
        <f t="shared" si="196"/>
        <v>3</v>
      </c>
      <c r="L955" s="20" t="str">
        <f t="shared" si="197"/>
        <v>Se repite 3 veces</v>
      </c>
      <c r="M955" s="20" t="str">
        <f t="shared" si="198"/>
        <v>Tradiciones Andinas-T.A Habas Verdes / Fava Beans 28oz x 20 bolsas</v>
      </c>
      <c r="N955" s="20">
        <f t="shared" si="199"/>
        <v>3</v>
      </c>
      <c r="O955" s="20" t="str">
        <f t="shared" si="200"/>
        <v>Se repite 3 veces en Tradiciones Andinas</v>
      </c>
      <c r="P955" s="20" t="str">
        <f t="shared" si="201"/>
        <v>Tradiciones Andinas-T.A Habas Verdes / Fava Beans 28oz x 20 bolsas-55.8</v>
      </c>
      <c r="Q955" s="20">
        <f t="shared" si="202"/>
        <v>3</v>
      </c>
      <c r="R955" s="20" t="str">
        <f t="shared" si="203"/>
        <v>Se repite 3 veces el precio de 55.8</v>
      </c>
      <c r="S955" s="20" t="str">
        <f t="shared" si="204"/>
        <v>El producto T.A Habas Verdes / Fava Beans 28oz x 20 bolsas Se repite 3 veces en Tradiciones Andinas, Se repite 3 veces el precio de 55.8</v>
      </c>
      <c r="T955" s="20" t="str">
        <f t="shared" si="205"/>
        <v>Tradiciones Andinas</v>
      </c>
      <c r="U955" s="20" t="str">
        <f t="shared" si="206"/>
        <v>T.A Habas Verdes / Fava Beans 28oz x 20 bolsas</v>
      </c>
      <c r="V955" s="22">
        <f t="shared" si="207"/>
        <v>55.8</v>
      </c>
      <c r="W955" t="str">
        <f t="shared" si="208"/>
        <v>Tradiciones Andinas 07/21/2025</v>
      </c>
      <c r="Z955">
        <f t="shared" si="209"/>
        <v>111.6</v>
      </c>
    </row>
    <row r="956" spans="1:26" hidden="1" x14ac:dyDescent="0.25">
      <c r="A956" s="2" t="s">
        <v>664</v>
      </c>
      <c r="B956" s="11" t="s">
        <v>1125</v>
      </c>
      <c r="C956" s="11" t="s">
        <v>4</v>
      </c>
      <c r="D956" s="11" t="s">
        <v>1126</v>
      </c>
      <c r="E956" s="11" t="s">
        <v>1123</v>
      </c>
      <c r="F956" s="11" t="s">
        <v>1143</v>
      </c>
      <c r="G956" s="12">
        <v>2</v>
      </c>
      <c r="H956" s="12">
        <v>55.8</v>
      </c>
      <c r="I956" s="12">
        <v>111.6</v>
      </c>
      <c r="J956" s="12">
        <v>72143.600000000006</v>
      </c>
      <c r="K956" s="20">
        <f t="shared" si="196"/>
        <v>3</v>
      </c>
      <c r="L956" s="20" t="str">
        <f t="shared" si="197"/>
        <v>Se repite 3 veces</v>
      </c>
      <c r="M956" s="20" t="str">
        <f t="shared" si="198"/>
        <v>Tradiciones Andinas-T.A Habas Verdes / Fava Beans 28oz x 20 bolsas</v>
      </c>
      <c r="N956" s="20">
        <f t="shared" si="199"/>
        <v>3</v>
      </c>
      <c r="O956" s="20" t="str">
        <f t="shared" si="200"/>
        <v>Se repite 3 veces en Tradiciones Andinas</v>
      </c>
      <c r="P956" s="20" t="str">
        <f t="shared" si="201"/>
        <v>Tradiciones Andinas-T.A Habas Verdes / Fava Beans 28oz x 20 bolsas-55.8</v>
      </c>
      <c r="Q956" s="20">
        <f t="shared" si="202"/>
        <v>3</v>
      </c>
      <c r="R956" s="20" t="str">
        <f t="shared" si="203"/>
        <v>Se repite 3 veces el precio de 55.8</v>
      </c>
      <c r="S956" s="20" t="str">
        <f t="shared" si="204"/>
        <v>El producto T.A Habas Verdes / Fava Beans 28oz x 20 bolsas Se repite 3 veces en Tradiciones Andinas, Se repite 3 veces el precio de 55.8</v>
      </c>
      <c r="T956" s="20" t="str">
        <f t="shared" si="205"/>
        <v>Tradiciones Andinas</v>
      </c>
      <c r="U956" s="20" t="str">
        <f t="shared" si="206"/>
        <v>T.A Habas Verdes / Fava Beans 28oz x 20 bolsas</v>
      </c>
      <c r="V956" s="22">
        <f t="shared" si="207"/>
        <v>55.8</v>
      </c>
      <c r="W956" t="str">
        <f t="shared" si="208"/>
        <v>Tradiciones Andinas 08/18/2025</v>
      </c>
      <c r="Z956">
        <f t="shared" si="209"/>
        <v>111.6</v>
      </c>
    </row>
    <row r="957" spans="1:26" hidden="1" x14ac:dyDescent="0.25">
      <c r="A957" s="2" t="s">
        <v>664</v>
      </c>
      <c r="B957" s="11" t="s">
        <v>1207</v>
      </c>
      <c r="C957" s="11" t="s">
        <v>4</v>
      </c>
      <c r="D957" s="11" t="s">
        <v>1208</v>
      </c>
      <c r="E957" s="11" t="s">
        <v>1123</v>
      </c>
      <c r="F957" s="11" t="s">
        <v>1143</v>
      </c>
      <c r="G957" s="12">
        <v>5</v>
      </c>
      <c r="H957" s="12">
        <v>55.8</v>
      </c>
      <c r="I957" s="12">
        <v>279</v>
      </c>
      <c r="J957" s="12">
        <v>113825.47999999988</v>
      </c>
      <c r="K957" s="20">
        <f t="shared" si="196"/>
        <v>3</v>
      </c>
      <c r="L957" s="20" t="str">
        <f t="shared" si="197"/>
        <v>Se repite 3 veces</v>
      </c>
      <c r="M957" s="20" t="str">
        <f t="shared" si="198"/>
        <v>Tradiciones Andinas-T.A Habas Verdes / Fava Beans 28oz x 20 bolsas</v>
      </c>
      <c r="N957" s="20">
        <f t="shared" si="199"/>
        <v>3</v>
      </c>
      <c r="O957" s="20" t="str">
        <f t="shared" si="200"/>
        <v>Se repite 3 veces en Tradiciones Andinas</v>
      </c>
      <c r="P957" s="20" t="str">
        <f t="shared" si="201"/>
        <v>Tradiciones Andinas-T.A Habas Verdes / Fava Beans 28oz x 20 bolsas-55.8</v>
      </c>
      <c r="Q957" s="20">
        <f t="shared" si="202"/>
        <v>3</v>
      </c>
      <c r="R957" s="20" t="str">
        <f t="shared" si="203"/>
        <v>Se repite 3 veces el precio de 55.8</v>
      </c>
      <c r="S957" s="20" t="str">
        <f t="shared" si="204"/>
        <v>El producto T.A Habas Verdes / Fava Beans 28oz x 20 bolsas Se repite 3 veces en Tradiciones Andinas, Se repite 3 veces el precio de 55.8</v>
      </c>
      <c r="T957" s="20" t="str">
        <f t="shared" si="205"/>
        <v>Tradiciones Andinas</v>
      </c>
      <c r="U957" s="20" t="str">
        <f t="shared" si="206"/>
        <v>T.A Habas Verdes / Fava Beans 28oz x 20 bolsas</v>
      </c>
      <c r="V957" s="22">
        <f t="shared" si="207"/>
        <v>55.8</v>
      </c>
      <c r="W957" t="str">
        <f t="shared" si="208"/>
        <v>Tradiciones Andinas 11/28/2025</v>
      </c>
      <c r="Z957">
        <f t="shared" si="209"/>
        <v>279</v>
      </c>
    </row>
    <row r="958" spans="1:26" hidden="1" x14ac:dyDescent="0.25">
      <c r="A958" s="2" t="s">
        <v>664</v>
      </c>
      <c r="B958" s="11" t="s">
        <v>398</v>
      </c>
      <c r="C958" s="11" t="s">
        <v>4</v>
      </c>
      <c r="D958" s="11" t="s">
        <v>5</v>
      </c>
      <c r="E958" s="11" t="s">
        <v>778</v>
      </c>
      <c r="F958" s="11" t="s">
        <v>779</v>
      </c>
      <c r="G958" s="12">
        <v>2</v>
      </c>
      <c r="H958" s="12">
        <v>28.8</v>
      </c>
      <c r="I958" s="12">
        <v>57.6</v>
      </c>
      <c r="J958" s="12">
        <v>4876.66</v>
      </c>
      <c r="K958" s="20">
        <f t="shared" si="196"/>
        <v>6</v>
      </c>
      <c r="L958" s="20" t="str">
        <f t="shared" si="197"/>
        <v>Se repite 6 veces</v>
      </c>
      <c r="M958" s="20" t="str">
        <f t="shared" si="198"/>
        <v>Tradiciones Andinas-T.A Harina de Chuño / Potato Starch Flour 12oz x 24</v>
      </c>
      <c r="N958" s="20">
        <f t="shared" si="199"/>
        <v>6</v>
      </c>
      <c r="O958" s="20" t="str">
        <f t="shared" si="200"/>
        <v>Se repite 6 veces en Tradiciones Andinas</v>
      </c>
      <c r="P958" s="20" t="str">
        <f t="shared" si="201"/>
        <v>Tradiciones Andinas-T.A Harina de Chuño / Potato Starch Flour 12oz x 24-28.8</v>
      </c>
      <c r="Q958" s="20">
        <f t="shared" si="202"/>
        <v>2</v>
      </c>
      <c r="R958" s="20" t="str">
        <f t="shared" si="203"/>
        <v>Se repite 2 veces el precio de 28.8</v>
      </c>
      <c r="S958" s="20" t="str">
        <f t="shared" si="204"/>
        <v>El producto T.A Harina de Chuño / Potato Starch Flour 12oz x 24 Se repite 6 veces en Tradiciones Andinas, Se repite 2 veces el precio de 28.8</v>
      </c>
      <c r="T958" s="20" t="str">
        <f t="shared" si="205"/>
        <v>Tradiciones Andinas</v>
      </c>
      <c r="U958" s="20" t="str">
        <f t="shared" si="206"/>
        <v>T.A Harina de Chuño / Potato Starch Flour 12oz x 24</v>
      </c>
      <c r="V958" s="22">
        <f t="shared" si="207"/>
        <v>28.8</v>
      </c>
      <c r="W958" t="str">
        <f t="shared" si="208"/>
        <v>Tradiciones Andinas 04/10/2025</v>
      </c>
      <c r="Z958">
        <f t="shared" si="209"/>
        <v>57.6</v>
      </c>
    </row>
    <row r="959" spans="1:26" hidden="1" x14ac:dyDescent="0.25">
      <c r="A959" s="2" t="s">
        <v>664</v>
      </c>
      <c r="B959" s="11" t="s">
        <v>821</v>
      </c>
      <c r="C959" s="11" t="s">
        <v>4</v>
      </c>
      <c r="D959" s="11" t="s">
        <v>822</v>
      </c>
      <c r="E959" s="11" t="s">
        <v>778</v>
      </c>
      <c r="F959" s="11" t="s">
        <v>779</v>
      </c>
      <c r="G959" s="12">
        <v>10</v>
      </c>
      <c r="H959" s="12">
        <v>28.8</v>
      </c>
      <c r="I959" s="12">
        <v>288</v>
      </c>
      <c r="J959" s="12">
        <v>12802.399999999998</v>
      </c>
      <c r="K959" s="20">
        <f t="shared" si="196"/>
        <v>6</v>
      </c>
      <c r="L959" s="20" t="str">
        <f t="shared" si="197"/>
        <v>Se repite 6 veces</v>
      </c>
      <c r="M959" s="20" t="str">
        <f t="shared" si="198"/>
        <v>Tradiciones Andinas-T.A Harina de Chuño / Potato Starch Flour 12oz x 24</v>
      </c>
      <c r="N959" s="20">
        <f t="shared" si="199"/>
        <v>6</v>
      </c>
      <c r="O959" s="20" t="str">
        <f t="shared" si="200"/>
        <v>Se repite 6 veces en Tradiciones Andinas</v>
      </c>
      <c r="P959" s="20" t="str">
        <f t="shared" si="201"/>
        <v>Tradiciones Andinas-T.A Harina de Chuño / Potato Starch Flour 12oz x 24-28.8</v>
      </c>
      <c r="Q959" s="20">
        <f t="shared" si="202"/>
        <v>2</v>
      </c>
      <c r="R959" s="20" t="str">
        <f t="shared" si="203"/>
        <v>Se repite 2 veces el precio de 28.8</v>
      </c>
      <c r="S959" s="20" t="str">
        <f t="shared" si="204"/>
        <v>El producto T.A Harina de Chuño / Potato Starch Flour 12oz x 24 Se repite 6 veces en Tradiciones Andinas, Se repite 2 veces el precio de 28.8</v>
      </c>
      <c r="T959" s="20" t="str">
        <f t="shared" si="205"/>
        <v>Tradiciones Andinas</v>
      </c>
      <c r="U959" s="20" t="str">
        <f t="shared" si="206"/>
        <v>T.A Harina de Chuño / Potato Starch Flour 12oz x 24</v>
      </c>
      <c r="V959" s="22">
        <f t="shared" si="207"/>
        <v>28.8</v>
      </c>
      <c r="W959" t="str">
        <f t="shared" si="208"/>
        <v>Tradiciones Andinas 04/25/2025</v>
      </c>
      <c r="Z959">
        <f t="shared" si="209"/>
        <v>288</v>
      </c>
    </row>
    <row r="960" spans="1:26" hidden="1" x14ac:dyDescent="0.25">
      <c r="A960" s="2" t="s">
        <v>664</v>
      </c>
      <c r="B960" s="11" t="s">
        <v>158</v>
      </c>
      <c r="C960" s="11" t="s">
        <v>4</v>
      </c>
      <c r="D960" s="11" t="s">
        <v>984</v>
      </c>
      <c r="E960" s="11" t="s">
        <v>778</v>
      </c>
      <c r="F960" s="11" t="s">
        <v>994</v>
      </c>
      <c r="G960" s="12">
        <v>3</v>
      </c>
      <c r="H960" s="12">
        <v>30.82</v>
      </c>
      <c r="I960" s="12">
        <v>92.46</v>
      </c>
      <c r="J960" s="12">
        <v>37595.47</v>
      </c>
      <c r="K960" s="20">
        <f t="shared" si="196"/>
        <v>6</v>
      </c>
      <c r="L960" s="20" t="str">
        <f t="shared" si="197"/>
        <v>Se repite 6 veces</v>
      </c>
      <c r="M960" s="20" t="str">
        <f t="shared" si="198"/>
        <v>Tradiciones Andinas-T.A Harina de Chuño / Potato Starch Flour 12oz x 24</v>
      </c>
      <c r="N960" s="20">
        <f t="shared" si="199"/>
        <v>6</v>
      </c>
      <c r="O960" s="20" t="str">
        <f t="shared" si="200"/>
        <v>Se repite 6 veces en Tradiciones Andinas</v>
      </c>
      <c r="P960" s="20" t="str">
        <f t="shared" si="201"/>
        <v>Tradiciones Andinas-T.A Harina de Chuño / Potato Starch Flour 12oz x 24-30.82</v>
      </c>
      <c r="Q960" s="20">
        <f t="shared" si="202"/>
        <v>4</v>
      </c>
      <c r="R960" s="20" t="str">
        <f t="shared" si="203"/>
        <v>Se repite 4 veces el precio de 30.82</v>
      </c>
      <c r="S960" s="20" t="str">
        <f t="shared" si="204"/>
        <v>El producto T.A Harina de Chuño / Potato Starch Flour 12oz x 24 Se repite 6 veces en Tradiciones Andinas, Se repite 4 veces el precio de 30.82</v>
      </c>
      <c r="T960" s="20" t="str">
        <f t="shared" si="205"/>
        <v>Tradiciones Andinas</v>
      </c>
      <c r="U960" s="20" t="str">
        <f t="shared" si="206"/>
        <v>T.A Harina de Chuño / Potato Starch Flour 12oz x 24</v>
      </c>
      <c r="V960" s="22">
        <f t="shared" si="207"/>
        <v>30.82</v>
      </c>
      <c r="W960" t="str">
        <f t="shared" si="208"/>
        <v>Tradiciones Andinas 06/12/2025</v>
      </c>
      <c r="Z960">
        <f t="shared" si="209"/>
        <v>92.460000000000008</v>
      </c>
    </row>
    <row r="961" spans="1:26" hidden="1" x14ac:dyDescent="0.25">
      <c r="A961" s="2" t="s">
        <v>664</v>
      </c>
      <c r="B961" s="11" t="s">
        <v>1125</v>
      </c>
      <c r="C961" s="11" t="s">
        <v>4</v>
      </c>
      <c r="D961" s="11" t="s">
        <v>1126</v>
      </c>
      <c r="E961" s="11" t="s">
        <v>778</v>
      </c>
      <c r="F961" s="11" t="s">
        <v>994</v>
      </c>
      <c r="G961" s="12">
        <v>6</v>
      </c>
      <c r="H961" s="12">
        <v>30.82</v>
      </c>
      <c r="I961" s="12">
        <v>184.92</v>
      </c>
      <c r="J961" s="12">
        <v>69326.560000000012</v>
      </c>
      <c r="K961" s="20">
        <f t="shared" si="196"/>
        <v>6</v>
      </c>
      <c r="L961" s="20" t="str">
        <f t="shared" si="197"/>
        <v>Se repite 6 veces</v>
      </c>
      <c r="M961" s="20" t="str">
        <f t="shared" si="198"/>
        <v>Tradiciones Andinas-T.A Harina de Chuño / Potato Starch Flour 12oz x 24</v>
      </c>
      <c r="N961" s="20">
        <f t="shared" si="199"/>
        <v>6</v>
      </c>
      <c r="O961" s="20" t="str">
        <f t="shared" si="200"/>
        <v>Se repite 6 veces en Tradiciones Andinas</v>
      </c>
      <c r="P961" s="20" t="str">
        <f t="shared" si="201"/>
        <v>Tradiciones Andinas-T.A Harina de Chuño / Potato Starch Flour 12oz x 24-30.82</v>
      </c>
      <c r="Q961" s="20">
        <f t="shared" si="202"/>
        <v>4</v>
      </c>
      <c r="R961" s="20" t="str">
        <f t="shared" si="203"/>
        <v>Se repite 4 veces el precio de 30.82</v>
      </c>
      <c r="S961" s="20" t="str">
        <f t="shared" si="204"/>
        <v>El producto T.A Harina de Chuño / Potato Starch Flour 12oz x 24 Se repite 6 veces en Tradiciones Andinas, Se repite 4 veces el precio de 30.82</v>
      </c>
      <c r="T961" s="20" t="str">
        <f t="shared" si="205"/>
        <v>Tradiciones Andinas</v>
      </c>
      <c r="U961" s="20" t="str">
        <f t="shared" si="206"/>
        <v>T.A Harina de Chuño / Potato Starch Flour 12oz x 24</v>
      </c>
      <c r="V961" s="22">
        <f t="shared" si="207"/>
        <v>30.82</v>
      </c>
      <c r="W961" t="str">
        <f t="shared" si="208"/>
        <v>Tradiciones Andinas 08/18/2025</v>
      </c>
      <c r="Z961">
        <f t="shared" si="209"/>
        <v>184.92000000000002</v>
      </c>
    </row>
    <row r="962" spans="1:26" hidden="1" x14ac:dyDescent="0.25">
      <c r="A962" s="2" t="s">
        <v>664</v>
      </c>
      <c r="B962" s="11" t="s">
        <v>1153</v>
      </c>
      <c r="C962" s="11" t="s">
        <v>4</v>
      </c>
      <c r="D962" s="11" t="s">
        <v>1154</v>
      </c>
      <c r="E962" s="11" t="s">
        <v>778</v>
      </c>
      <c r="F962" s="11" t="s">
        <v>994</v>
      </c>
      <c r="G962" s="12">
        <v>8</v>
      </c>
      <c r="H962" s="12">
        <v>30.82</v>
      </c>
      <c r="I962" s="12">
        <v>246.56</v>
      </c>
      <c r="J962" s="12">
        <v>79556.879999999976</v>
      </c>
      <c r="K962" s="20">
        <f t="shared" si="196"/>
        <v>6</v>
      </c>
      <c r="L962" s="20" t="str">
        <f t="shared" si="197"/>
        <v>Se repite 6 veces</v>
      </c>
      <c r="M962" s="20" t="str">
        <f t="shared" si="198"/>
        <v>Tradiciones Andinas-T.A Harina de Chuño / Potato Starch Flour 12oz x 24</v>
      </c>
      <c r="N962" s="20">
        <f t="shared" si="199"/>
        <v>6</v>
      </c>
      <c r="O962" s="20" t="str">
        <f t="shared" si="200"/>
        <v>Se repite 6 veces en Tradiciones Andinas</v>
      </c>
      <c r="P962" s="20" t="str">
        <f t="shared" si="201"/>
        <v>Tradiciones Andinas-T.A Harina de Chuño / Potato Starch Flour 12oz x 24-30.82</v>
      </c>
      <c r="Q962" s="20">
        <f t="shared" si="202"/>
        <v>4</v>
      </c>
      <c r="R962" s="20" t="str">
        <f t="shared" si="203"/>
        <v>Se repite 4 veces el precio de 30.82</v>
      </c>
      <c r="S962" s="20" t="str">
        <f t="shared" si="204"/>
        <v>El producto T.A Harina de Chuño / Potato Starch Flour 12oz x 24 Se repite 6 veces en Tradiciones Andinas, Se repite 4 veces el precio de 30.82</v>
      </c>
      <c r="T962" s="20" t="str">
        <f t="shared" si="205"/>
        <v>Tradiciones Andinas</v>
      </c>
      <c r="U962" s="20" t="str">
        <f t="shared" si="206"/>
        <v>T.A Harina de Chuño / Potato Starch Flour 12oz x 24</v>
      </c>
      <c r="V962" s="22">
        <f t="shared" si="207"/>
        <v>30.82</v>
      </c>
      <c r="W962" t="str">
        <f t="shared" si="208"/>
        <v>Tradiciones Andinas 09/24/2025</v>
      </c>
      <c r="Z962">
        <f t="shared" si="209"/>
        <v>246.56</v>
      </c>
    </row>
    <row r="963" spans="1:26" hidden="1" x14ac:dyDescent="0.25">
      <c r="A963" s="2" t="s">
        <v>664</v>
      </c>
      <c r="B963" s="11" t="s">
        <v>1201</v>
      </c>
      <c r="C963" s="11" t="s">
        <v>4</v>
      </c>
      <c r="D963" s="11" t="s">
        <v>1202</v>
      </c>
      <c r="E963" s="11" t="s">
        <v>778</v>
      </c>
      <c r="F963" s="11" t="s">
        <v>994</v>
      </c>
      <c r="G963" s="12">
        <v>2</v>
      </c>
      <c r="H963" s="12">
        <v>30.82</v>
      </c>
      <c r="I963" s="12">
        <v>61.64</v>
      </c>
      <c r="J963" s="12">
        <v>101676.26999999993</v>
      </c>
      <c r="K963" s="20">
        <f t="shared" ref="K963:K1026" si="210">COUNTIF($E$2:$E$1438,E963)</f>
        <v>6</v>
      </c>
      <c r="L963" s="20" t="str">
        <f t="shared" ref="L963:L1026" si="211">IF(K963&gt;1,_xlfn.CONCAT("Se repite ",K963," veces"),"No se repite")</f>
        <v>Se repite 6 veces</v>
      </c>
      <c r="M963" s="20" t="str">
        <f t="shared" ref="M963:M1026" si="212">_xlfn.CONCAT(A963,"-",E963)</f>
        <v>Tradiciones Andinas-T.A Harina de Chuño / Potato Starch Flour 12oz x 24</v>
      </c>
      <c r="N963" s="20">
        <f t="shared" ref="N963:N1026" si="213">COUNTIF($M$2:$M$1438,M963)</f>
        <v>6</v>
      </c>
      <c r="O963" s="20" t="str">
        <f t="shared" ref="O963:O1026" si="214">IF(N963&gt;1,_xlfn.CONCAT("Se repite ",N963," veces en ",A963),"No se repite en proveedor")</f>
        <v>Se repite 6 veces en Tradiciones Andinas</v>
      </c>
      <c r="P963" s="20" t="str">
        <f t="shared" ref="P963:P1026" si="215">_xlfn.CONCAT(A963,"-",E963,"-",H963)</f>
        <v>Tradiciones Andinas-T.A Harina de Chuño / Potato Starch Flour 12oz x 24-30.82</v>
      </c>
      <c r="Q963" s="20">
        <f t="shared" ref="Q963:Q1026" si="216">COUNTIF($P$2:$P$1438,P963)</f>
        <v>4</v>
      </c>
      <c r="R963" s="20" t="str">
        <f t="shared" ref="R963:R1026" si="217">IF(Q963&gt;1,_xlfn.CONCAT("Se repite ",Q963," veces el precio de ",H963),"No se repite")</f>
        <v>Se repite 4 veces el precio de 30.82</v>
      </c>
      <c r="S963" s="20" t="str">
        <f t="shared" ref="S963:S1026" si="218">_xlfn.CONCAT("El producto ",E963," ",O963,IF(R963="No se repite",_xlfn.CONCAT(" Una vez con el precio ",H963),_xlfn.CONCAT(", ",R963)))</f>
        <v>El producto T.A Harina de Chuño / Potato Starch Flour 12oz x 24 Se repite 6 veces en Tradiciones Andinas, Se repite 4 veces el precio de 30.82</v>
      </c>
      <c r="T963" s="20" t="str">
        <f t="shared" ref="T963:T1026" si="219">+A963</f>
        <v>Tradiciones Andinas</v>
      </c>
      <c r="U963" s="20" t="str">
        <f t="shared" ref="U963:U1026" si="220">+E963</f>
        <v>T.A Harina de Chuño / Potato Starch Flour 12oz x 24</v>
      </c>
      <c r="V963" s="22">
        <f t="shared" ref="V963:V1026" si="221">+H963</f>
        <v>30.82</v>
      </c>
      <c r="W963" t="str">
        <f t="shared" ref="W963:W1026" si="222">_xlfn.CONCAT(A963," ",B963)</f>
        <v>Tradiciones Andinas 11/07/2025</v>
      </c>
      <c r="Z963">
        <f t="shared" ref="Z963:Z1026" si="223">G963*H963</f>
        <v>61.64</v>
      </c>
    </row>
    <row r="964" spans="1:26" hidden="1" x14ac:dyDescent="0.25">
      <c r="A964" s="2" t="s">
        <v>664</v>
      </c>
      <c r="B964" s="11" t="s">
        <v>821</v>
      </c>
      <c r="C964" s="11" t="s">
        <v>4</v>
      </c>
      <c r="D964" s="11" t="s">
        <v>822</v>
      </c>
      <c r="E964" s="11" t="s">
        <v>843</v>
      </c>
      <c r="F964" s="11" t="s">
        <v>844</v>
      </c>
      <c r="G964" s="12">
        <v>1</v>
      </c>
      <c r="H964" s="12">
        <v>50.16</v>
      </c>
      <c r="I964" s="12">
        <v>50.16</v>
      </c>
      <c r="J964" s="12">
        <v>13205.24</v>
      </c>
      <c r="K964" s="20">
        <f t="shared" si="210"/>
        <v>5</v>
      </c>
      <c r="L964" s="20" t="str">
        <f t="shared" si="211"/>
        <v>Se repite 5 veces</v>
      </c>
      <c r="M964" s="20" t="str">
        <f t="shared" si="212"/>
        <v>Tradiciones Andinas-T.A Harina de Maca /Maca Flour 7oz x 24</v>
      </c>
      <c r="N964" s="20">
        <f t="shared" si="213"/>
        <v>5</v>
      </c>
      <c r="O964" s="20" t="str">
        <f t="shared" si="214"/>
        <v>Se repite 5 veces en Tradiciones Andinas</v>
      </c>
      <c r="P964" s="20" t="str">
        <f t="shared" si="215"/>
        <v>Tradiciones Andinas-T.A Harina de Maca /Maca Flour 7oz x 24-50.16</v>
      </c>
      <c r="Q964" s="20">
        <f t="shared" si="216"/>
        <v>1</v>
      </c>
      <c r="R964" s="20" t="str">
        <f t="shared" si="217"/>
        <v>No se repite</v>
      </c>
      <c r="S964" s="20" t="str">
        <f t="shared" si="218"/>
        <v>El producto T.A Harina de Maca /Maca Flour 7oz x 24 Se repite 5 veces en Tradiciones Andinas Una vez con el precio 50.16</v>
      </c>
      <c r="T964" s="20" t="str">
        <f t="shared" si="219"/>
        <v>Tradiciones Andinas</v>
      </c>
      <c r="U964" s="20" t="str">
        <f t="shared" si="220"/>
        <v>T.A Harina de Maca /Maca Flour 7oz x 24</v>
      </c>
      <c r="V964" s="22">
        <f t="shared" si="221"/>
        <v>50.16</v>
      </c>
      <c r="W964" t="str">
        <f t="shared" si="222"/>
        <v>Tradiciones Andinas 04/25/2025</v>
      </c>
      <c r="Z964">
        <f t="shared" si="223"/>
        <v>50.16</v>
      </c>
    </row>
    <row r="965" spans="1:26" hidden="1" x14ac:dyDescent="0.25">
      <c r="A965" s="2" t="s">
        <v>664</v>
      </c>
      <c r="B965" s="11" t="s">
        <v>1033</v>
      </c>
      <c r="C965" s="11" t="s">
        <v>4</v>
      </c>
      <c r="D965" s="11" t="s">
        <v>1034</v>
      </c>
      <c r="E965" s="11" t="s">
        <v>843</v>
      </c>
      <c r="F965" s="11" t="s">
        <v>1050</v>
      </c>
      <c r="G965" s="12">
        <v>2</v>
      </c>
      <c r="H965" s="12">
        <v>53.68</v>
      </c>
      <c r="I965" s="12">
        <v>107.36</v>
      </c>
      <c r="J965" s="12">
        <v>49748.629999999968</v>
      </c>
      <c r="K965" s="20">
        <f t="shared" si="210"/>
        <v>5</v>
      </c>
      <c r="L965" s="20" t="str">
        <f t="shared" si="211"/>
        <v>Se repite 5 veces</v>
      </c>
      <c r="M965" s="20" t="str">
        <f t="shared" si="212"/>
        <v>Tradiciones Andinas-T.A Harina de Maca /Maca Flour 7oz x 24</v>
      </c>
      <c r="N965" s="20">
        <f t="shared" si="213"/>
        <v>5</v>
      </c>
      <c r="O965" s="20" t="str">
        <f t="shared" si="214"/>
        <v>Se repite 5 veces en Tradiciones Andinas</v>
      </c>
      <c r="P965" s="20" t="str">
        <f t="shared" si="215"/>
        <v>Tradiciones Andinas-T.A Harina de Maca /Maca Flour 7oz x 24-53.68</v>
      </c>
      <c r="Q965" s="20">
        <f t="shared" si="216"/>
        <v>4</v>
      </c>
      <c r="R965" s="20" t="str">
        <f t="shared" si="217"/>
        <v>Se repite 4 veces el precio de 53.68</v>
      </c>
      <c r="S965" s="20" t="str">
        <f t="shared" si="218"/>
        <v>El producto T.A Harina de Maca /Maca Flour 7oz x 24 Se repite 5 veces en Tradiciones Andinas, Se repite 4 veces el precio de 53.68</v>
      </c>
      <c r="T965" s="20" t="str">
        <f t="shared" si="219"/>
        <v>Tradiciones Andinas</v>
      </c>
      <c r="U965" s="20" t="str">
        <f t="shared" si="220"/>
        <v>T.A Harina de Maca /Maca Flour 7oz x 24</v>
      </c>
      <c r="V965" s="22">
        <f t="shared" si="221"/>
        <v>53.68</v>
      </c>
      <c r="W965" t="str">
        <f t="shared" si="222"/>
        <v>Tradiciones Andinas 07/03/2025</v>
      </c>
      <c r="Z965">
        <f t="shared" si="223"/>
        <v>107.36</v>
      </c>
    </row>
    <row r="966" spans="1:26" hidden="1" x14ac:dyDescent="0.25">
      <c r="A966" s="2" t="s">
        <v>664</v>
      </c>
      <c r="B966" s="11" t="s">
        <v>1092</v>
      </c>
      <c r="C966" s="11" t="s">
        <v>4</v>
      </c>
      <c r="D966" s="11" t="s">
        <v>1093</v>
      </c>
      <c r="E966" s="11" t="s">
        <v>843</v>
      </c>
      <c r="F966" s="11" t="s">
        <v>1050</v>
      </c>
      <c r="G966" s="12">
        <v>2</v>
      </c>
      <c r="H966" s="12">
        <v>53.68</v>
      </c>
      <c r="I966" s="12">
        <v>107.36</v>
      </c>
      <c r="J966" s="12">
        <v>61809.549999999937</v>
      </c>
      <c r="K966" s="20">
        <f t="shared" si="210"/>
        <v>5</v>
      </c>
      <c r="L966" s="20" t="str">
        <f t="shared" si="211"/>
        <v>Se repite 5 veces</v>
      </c>
      <c r="M966" s="20" t="str">
        <f t="shared" si="212"/>
        <v>Tradiciones Andinas-T.A Harina de Maca /Maca Flour 7oz x 24</v>
      </c>
      <c r="N966" s="20">
        <f t="shared" si="213"/>
        <v>5</v>
      </c>
      <c r="O966" s="20" t="str">
        <f t="shared" si="214"/>
        <v>Se repite 5 veces en Tradiciones Andinas</v>
      </c>
      <c r="P966" s="20" t="str">
        <f t="shared" si="215"/>
        <v>Tradiciones Andinas-T.A Harina de Maca /Maca Flour 7oz x 24-53.68</v>
      </c>
      <c r="Q966" s="20">
        <f t="shared" si="216"/>
        <v>4</v>
      </c>
      <c r="R966" s="20" t="str">
        <f t="shared" si="217"/>
        <v>Se repite 4 veces el precio de 53.68</v>
      </c>
      <c r="S966" s="20" t="str">
        <f t="shared" si="218"/>
        <v>El producto T.A Harina de Maca /Maca Flour 7oz x 24 Se repite 5 veces en Tradiciones Andinas, Se repite 4 veces el precio de 53.68</v>
      </c>
      <c r="T966" s="20" t="str">
        <f t="shared" si="219"/>
        <v>Tradiciones Andinas</v>
      </c>
      <c r="U966" s="20" t="str">
        <f t="shared" si="220"/>
        <v>T.A Harina de Maca /Maca Flour 7oz x 24</v>
      </c>
      <c r="V966" s="22">
        <f t="shared" si="221"/>
        <v>53.68</v>
      </c>
      <c r="W966" t="str">
        <f t="shared" si="222"/>
        <v>Tradiciones Andinas 07/21/2025</v>
      </c>
      <c r="Z966">
        <f t="shared" si="223"/>
        <v>107.36</v>
      </c>
    </row>
    <row r="967" spans="1:26" hidden="1" x14ac:dyDescent="0.25">
      <c r="A967" s="2" t="s">
        <v>664</v>
      </c>
      <c r="B967" s="11" t="s">
        <v>1180</v>
      </c>
      <c r="C967" s="11" t="s">
        <v>4</v>
      </c>
      <c r="D967" s="11" t="s">
        <v>1181</v>
      </c>
      <c r="E967" s="11" t="s">
        <v>843</v>
      </c>
      <c r="F967" s="11" t="s">
        <v>1050</v>
      </c>
      <c r="G967" s="12">
        <v>2</v>
      </c>
      <c r="H967" s="12">
        <v>53.68</v>
      </c>
      <c r="I967" s="12">
        <v>107.36</v>
      </c>
      <c r="J967" s="12">
        <v>93408.189999999944</v>
      </c>
      <c r="K967" s="20">
        <f t="shared" si="210"/>
        <v>5</v>
      </c>
      <c r="L967" s="20" t="str">
        <f t="shared" si="211"/>
        <v>Se repite 5 veces</v>
      </c>
      <c r="M967" s="20" t="str">
        <f t="shared" si="212"/>
        <v>Tradiciones Andinas-T.A Harina de Maca /Maca Flour 7oz x 24</v>
      </c>
      <c r="N967" s="20">
        <f t="shared" si="213"/>
        <v>5</v>
      </c>
      <c r="O967" s="20" t="str">
        <f t="shared" si="214"/>
        <v>Se repite 5 veces en Tradiciones Andinas</v>
      </c>
      <c r="P967" s="20" t="str">
        <f t="shared" si="215"/>
        <v>Tradiciones Andinas-T.A Harina de Maca /Maca Flour 7oz x 24-53.68</v>
      </c>
      <c r="Q967" s="20">
        <f t="shared" si="216"/>
        <v>4</v>
      </c>
      <c r="R967" s="20" t="str">
        <f t="shared" si="217"/>
        <v>Se repite 4 veces el precio de 53.68</v>
      </c>
      <c r="S967" s="20" t="str">
        <f t="shared" si="218"/>
        <v>El producto T.A Harina de Maca /Maca Flour 7oz x 24 Se repite 5 veces en Tradiciones Andinas, Se repite 4 veces el precio de 53.68</v>
      </c>
      <c r="T967" s="20" t="str">
        <f t="shared" si="219"/>
        <v>Tradiciones Andinas</v>
      </c>
      <c r="U967" s="20" t="str">
        <f t="shared" si="220"/>
        <v>T.A Harina de Maca /Maca Flour 7oz x 24</v>
      </c>
      <c r="V967" s="22">
        <f t="shared" si="221"/>
        <v>53.68</v>
      </c>
      <c r="W967" t="str">
        <f t="shared" si="222"/>
        <v>Tradiciones Andinas 10/07/2025</v>
      </c>
      <c r="Z967">
        <f t="shared" si="223"/>
        <v>107.36</v>
      </c>
    </row>
    <row r="968" spans="1:26" hidden="1" x14ac:dyDescent="0.25">
      <c r="A968" s="2" t="s">
        <v>664</v>
      </c>
      <c r="B968" s="11" t="s">
        <v>1201</v>
      </c>
      <c r="C968" s="11" t="s">
        <v>4</v>
      </c>
      <c r="D968" s="11" t="s">
        <v>1202</v>
      </c>
      <c r="E968" s="11" t="s">
        <v>843</v>
      </c>
      <c r="F968" s="11" t="s">
        <v>1050</v>
      </c>
      <c r="G968" s="12">
        <v>2</v>
      </c>
      <c r="H968" s="12">
        <v>53.68</v>
      </c>
      <c r="I968" s="12">
        <v>107.36</v>
      </c>
      <c r="J968" s="12">
        <v>101984.60999999993</v>
      </c>
      <c r="K968" s="20">
        <f t="shared" si="210"/>
        <v>5</v>
      </c>
      <c r="L968" s="20" t="str">
        <f t="shared" si="211"/>
        <v>Se repite 5 veces</v>
      </c>
      <c r="M968" s="20" t="str">
        <f t="shared" si="212"/>
        <v>Tradiciones Andinas-T.A Harina de Maca /Maca Flour 7oz x 24</v>
      </c>
      <c r="N968" s="20">
        <f t="shared" si="213"/>
        <v>5</v>
      </c>
      <c r="O968" s="20" t="str">
        <f t="shared" si="214"/>
        <v>Se repite 5 veces en Tradiciones Andinas</v>
      </c>
      <c r="P968" s="20" t="str">
        <f t="shared" si="215"/>
        <v>Tradiciones Andinas-T.A Harina de Maca /Maca Flour 7oz x 24-53.68</v>
      </c>
      <c r="Q968" s="20">
        <f t="shared" si="216"/>
        <v>4</v>
      </c>
      <c r="R968" s="20" t="str">
        <f t="shared" si="217"/>
        <v>Se repite 4 veces el precio de 53.68</v>
      </c>
      <c r="S968" s="20" t="str">
        <f t="shared" si="218"/>
        <v>El producto T.A Harina de Maca /Maca Flour 7oz x 24 Se repite 5 veces en Tradiciones Andinas, Se repite 4 veces el precio de 53.68</v>
      </c>
      <c r="T968" s="20" t="str">
        <f t="shared" si="219"/>
        <v>Tradiciones Andinas</v>
      </c>
      <c r="U968" s="20" t="str">
        <f t="shared" si="220"/>
        <v>T.A Harina de Maca /Maca Flour 7oz x 24</v>
      </c>
      <c r="V968" s="22">
        <f t="shared" si="221"/>
        <v>53.68</v>
      </c>
      <c r="W968" t="str">
        <f t="shared" si="222"/>
        <v>Tradiciones Andinas 11/07/2025</v>
      </c>
      <c r="Z968">
        <f t="shared" si="223"/>
        <v>107.36</v>
      </c>
    </row>
    <row r="969" spans="1:26" hidden="1" x14ac:dyDescent="0.25">
      <c r="A969" s="2" t="s">
        <v>664</v>
      </c>
      <c r="B969" s="11" t="s">
        <v>821</v>
      </c>
      <c r="C969" s="11" t="s">
        <v>4</v>
      </c>
      <c r="D969" s="11" t="s">
        <v>822</v>
      </c>
      <c r="E969" s="11" t="s">
        <v>839</v>
      </c>
      <c r="F969" s="11" t="s">
        <v>840</v>
      </c>
      <c r="G969" s="12">
        <v>1</v>
      </c>
      <c r="H969" s="12">
        <v>28.64</v>
      </c>
      <c r="I969" s="12">
        <v>28.64</v>
      </c>
      <c r="J969" s="12">
        <v>13024.759999999998</v>
      </c>
      <c r="K969" s="20">
        <f t="shared" si="210"/>
        <v>4</v>
      </c>
      <c r="L969" s="20" t="str">
        <f t="shared" si="211"/>
        <v>Se repite 4 veces</v>
      </c>
      <c r="M969" s="20" t="str">
        <f t="shared" si="212"/>
        <v>Tradiciones Andinas-T.A Harina de Quinua /Quinua Flour (Instant) 12oz x 12</v>
      </c>
      <c r="N969" s="20">
        <f t="shared" si="213"/>
        <v>4</v>
      </c>
      <c r="O969" s="20" t="str">
        <f t="shared" si="214"/>
        <v>Se repite 4 veces en Tradiciones Andinas</v>
      </c>
      <c r="P969" s="20" t="str">
        <f t="shared" si="215"/>
        <v>Tradiciones Andinas-T.A Harina de Quinua /Quinua Flour (Instant) 12oz x 12-28.64</v>
      </c>
      <c r="Q969" s="20">
        <f t="shared" si="216"/>
        <v>1</v>
      </c>
      <c r="R969" s="20" t="str">
        <f t="shared" si="217"/>
        <v>No se repite</v>
      </c>
      <c r="S969" s="20" t="str">
        <f t="shared" si="218"/>
        <v>El producto T.A Harina de Quinua /Quinua Flour (Instant) 12oz x 12 Se repite 4 veces en Tradiciones Andinas Una vez con el precio 28.64</v>
      </c>
      <c r="T969" s="20" t="str">
        <f t="shared" si="219"/>
        <v>Tradiciones Andinas</v>
      </c>
      <c r="U969" s="20" t="str">
        <f t="shared" si="220"/>
        <v>T.A Harina de Quinua /Quinua Flour (Instant) 12oz x 12</v>
      </c>
      <c r="V969" s="22">
        <f t="shared" si="221"/>
        <v>28.64</v>
      </c>
      <c r="W969" t="str">
        <f t="shared" si="222"/>
        <v>Tradiciones Andinas 04/25/2025</v>
      </c>
      <c r="Z969">
        <f t="shared" si="223"/>
        <v>28.64</v>
      </c>
    </row>
    <row r="970" spans="1:26" hidden="1" x14ac:dyDescent="0.25">
      <c r="A970" s="2" t="s">
        <v>664</v>
      </c>
      <c r="B970" s="11" t="s">
        <v>1033</v>
      </c>
      <c r="C970" s="11" t="s">
        <v>4</v>
      </c>
      <c r="D970" s="11" t="s">
        <v>1034</v>
      </c>
      <c r="E970" s="11" t="s">
        <v>839</v>
      </c>
      <c r="F970" s="11" t="s">
        <v>1049</v>
      </c>
      <c r="G970" s="12">
        <v>2</v>
      </c>
      <c r="H970" s="12">
        <v>30.64</v>
      </c>
      <c r="I970" s="12">
        <v>61.28</v>
      </c>
      <c r="J970" s="12">
        <v>49641.269999999968</v>
      </c>
      <c r="K970" s="20">
        <f t="shared" si="210"/>
        <v>4</v>
      </c>
      <c r="L970" s="20" t="str">
        <f t="shared" si="211"/>
        <v>Se repite 4 veces</v>
      </c>
      <c r="M970" s="20" t="str">
        <f t="shared" si="212"/>
        <v>Tradiciones Andinas-T.A Harina de Quinua /Quinua Flour (Instant) 12oz x 12</v>
      </c>
      <c r="N970" s="20">
        <f t="shared" si="213"/>
        <v>4</v>
      </c>
      <c r="O970" s="20" t="str">
        <f t="shared" si="214"/>
        <v>Se repite 4 veces en Tradiciones Andinas</v>
      </c>
      <c r="P970" s="20" t="str">
        <f t="shared" si="215"/>
        <v>Tradiciones Andinas-T.A Harina de Quinua /Quinua Flour (Instant) 12oz x 12-30.64</v>
      </c>
      <c r="Q970" s="20">
        <f t="shared" si="216"/>
        <v>3</v>
      </c>
      <c r="R970" s="20" t="str">
        <f t="shared" si="217"/>
        <v>Se repite 3 veces el precio de 30.64</v>
      </c>
      <c r="S970" s="20" t="str">
        <f t="shared" si="218"/>
        <v>El producto T.A Harina de Quinua /Quinua Flour (Instant) 12oz x 12 Se repite 4 veces en Tradiciones Andinas, Se repite 3 veces el precio de 30.64</v>
      </c>
      <c r="T970" s="20" t="str">
        <f t="shared" si="219"/>
        <v>Tradiciones Andinas</v>
      </c>
      <c r="U970" s="20" t="str">
        <f t="shared" si="220"/>
        <v>T.A Harina de Quinua /Quinua Flour (Instant) 12oz x 12</v>
      </c>
      <c r="V970" s="22">
        <f t="shared" si="221"/>
        <v>30.64</v>
      </c>
      <c r="W970" t="str">
        <f t="shared" si="222"/>
        <v>Tradiciones Andinas 07/03/2025</v>
      </c>
      <c r="Z970">
        <f t="shared" si="223"/>
        <v>61.28</v>
      </c>
    </row>
    <row r="971" spans="1:26" hidden="1" x14ac:dyDescent="0.25">
      <c r="A971" s="2" t="s">
        <v>664</v>
      </c>
      <c r="B971" s="11" t="s">
        <v>1153</v>
      </c>
      <c r="C971" s="11" t="s">
        <v>4</v>
      </c>
      <c r="D971" s="11" t="s">
        <v>1154</v>
      </c>
      <c r="E971" s="11" t="s">
        <v>839</v>
      </c>
      <c r="F971" s="11" t="s">
        <v>1049</v>
      </c>
      <c r="G971" s="12">
        <v>1</v>
      </c>
      <c r="H971" s="12">
        <v>30.64</v>
      </c>
      <c r="I971" s="12">
        <v>30.64</v>
      </c>
      <c r="J971" s="12">
        <v>79742.179999999964</v>
      </c>
      <c r="K971" s="20">
        <f t="shared" si="210"/>
        <v>4</v>
      </c>
      <c r="L971" s="20" t="str">
        <f t="shared" si="211"/>
        <v>Se repite 4 veces</v>
      </c>
      <c r="M971" s="20" t="str">
        <f t="shared" si="212"/>
        <v>Tradiciones Andinas-T.A Harina de Quinua /Quinua Flour (Instant) 12oz x 12</v>
      </c>
      <c r="N971" s="20">
        <f t="shared" si="213"/>
        <v>4</v>
      </c>
      <c r="O971" s="20" t="str">
        <f t="shared" si="214"/>
        <v>Se repite 4 veces en Tradiciones Andinas</v>
      </c>
      <c r="P971" s="20" t="str">
        <f t="shared" si="215"/>
        <v>Tradiciones Andinas-T.A Harina de Quinua /Quinua Flour (Instant) 12oz x 12-30.64</v>
      </c>
      <c r="Q971" s="20">
        <f t="shared" si="216"/>
        <v>3</v>
      </c>
      <c r="R971" s="20" t="str">
        <f t="shared" si="217"/>
        <v>Se repite 3 veces el precio de 30.64</v>
      </c>
      <c r="S971" s="20" t="str">
        <f t="shared" si="218"/>
        <v>El producto T.A Harina de Quinua /Quinua Flour (Instant) 12oz x 12 Se repite 4 veces en Tradiciones Andinas, Se repite 3 veces el precio de 30.64</v>
      </c>
      <c r="T971" s="20" t="str">
        <f t="shared" si="219"/>
        <v>Tradiciones Andinas</v>
      </c>
      <c r="U971" s="20" t="str">
        <f t="shared" si="220"/>
        <v>T.A Harina de Quinua /Quinua Flour (Instant) 12oz x 12</v>
      </c>
      <c r="V971" s="22">
        <f t="shared" si="221"/>
        <v>30.64</v>
      </c>
      <c r="W971" t="str">
        <f t="shared" si="222"/>
        <v>Tradiciones Andinas 09/24/2025</v>
      </c>
      <c r="Z971">
        <f t="shared" si="223"/>
        <v>30.64</v>
      </c>
    </row>
    <row r="972" spans="1:26" hidden="1" x14ac:dyDescent="0.25">
      <c r="A972" s="2" t="s">
        <v>664</v>
      </c>
      <c r="B972" s="11" t="s">
        <v>1201</v>
      </c>
      <c r="C972" s="11" t="s">
        <v>4</v>
      </c>
      <c r="D972" s="11" t="s">
        <v>1202</v>
      </c>
      <c r="E972" s="11" t="s">
        <v>839</v>
      </c>
      <c r="F972" s="11" t="s">
        <v>1049</v>
      </c>
      <c r="G972" s="12">
        <v>2</v>
      </c>
      <c r="H972" s="12">
        <v>30.64</v>
      </c>
      <c r="I972" s="12">
        <v>61.28</v>
      </c>
      <c r="J972" s="12">
        <v>101877.24999999993</v>
      </c>
      <c r="K972" s="20">
        <f t="shared" si="210"/>
        <v>4</v>
      </c>
      <c r="L972" s="20" t="str">
        <f t="shared" si="211"/>
        <v>Se repite 4 veces</v>
      </c>
      <c r="M972" s="20" t="str">
        <f t="shared" si="212"/>
        <v>Tradiciones Andinas-T.A Harina de Quinua /Quinua Flour (Instant) 12oz x 12</v>
      </c>
      <c r="N972" s="20">
        <f t="shared" si="213"/>
        <v>4</v>
      </c>
      <c r="O972" s="20" t="str">
        <f t="shared" si="214"/>
        <v>Se repite 4 veces en Tradiciones Andinas</v>
      </c>
      <c r="P972" s="20" t="str">
        <f t="shared" si="215"/>
        <v>Tradiciones Andinas-T.A Harina de Quinua /Quinua Flour (Instant) 12oz x 12-30.64</v>
      </c>
      <c r="Q972" s="20">
        <f t="shared" si="216"/>
        <v>3</v>
      </c>
      <c r="R972" s="20" t="str">
        <f t="shared" si="217"/>
        <v>Se repite 3 veces el precio de 30.64</v>
      </c>
      <c r="S972" s="20" t="str">
        <f t="shared" si="218"/>
        <v>El producto T.A Harina de Quinua /Quinua Flour (Instant) 12oz x 12 Se repite 4 veces en Tradiciones Andinas, Se repite 3 veces el precio de 30.64</v>
      </c>
      <c r="T972" s="20" t="str">
        <f t="shared" si="219"/>
        <v>Tradiciones Andinas</v>
      </c>
      <c r="U972" s="20" t="str">
        <f t="shared" si="220"/>
        <v>T.A Harina de Quinua /Quinua Flour (Instant) 12oz x 12</v>
      </c>
      <c r="V972" s="22">
        <f t="shared" si="221"/>
        <v>30.64</v>
      </c>
      <c r="W972" t="str">
        <f t="shared" si="222"/>
        <v>Tradiciones Andinas 11/07/2025</v>
      </c>
      <c r="Z972">
        <f t="shared" si="223"/>
        <v>61.28</v>
      </c>
    </row>
    <row r="973" spans="1:26" hidden="1" x14ac:dyDescent="0.25">
      <c r="A973" s="2" t="s">
        <v>664</v>
      </c>
      <c r="B973" s="11" t="s">
        <v>821</v>
      </c>
      <c r="C973" s="11" t="s">
        <v>4</v>
      </c>
      <c r="D973" s="11" t="s">
        <v>822</v>
      </c>
      <c r="E973" s="11" t="s">
        <v>841</v>
      </c>
      <c r="F973" s="11" t="s">
        <v>842</v>
      </c>
      <c r="G973" s="12">
        <v>1</v>
      </c>
      <c r="H973" s="12">
        <v>39.6</v>
      </c>
      <c r="I973" s="12">
        <v>39.6</v>
      </c>
      <c r="J973" s="12">
        <v>13155.08</v>
      </c>
      <c r="K973" s="20">
        <f t="shared" si="210"/>
        <v>2</v>
      </c>
      <c r="L973" s="20" t="str">
        <f t="shared" si="211"/>
        <v>Se repite 2 veces</v>
      </c>
      <c r="M973" s="20" t="str">
        <f t="shared" si="212"/>
        <v>Tradiciones Andinas-T.A Harina Linaza /Flax seed Flour 7.5oz x 24</v>
      </c>
      <c r="N973" s="20">
        <f t="shared" si="213"/>
        <v>2</v>
      </c>
      <c r="O973" s="20" t="str">
        <f t="shared" si="214"/>
        <v>Se repite 2 veces en Tradiciones Andinas</v>
      </c>
      <c r="P973" s="20" t="str">
        <f t="shared" si="215"/>
        <v>Tradiciones Andinas-T.A Harina Linaza /Flax seed Flour 7.5oz x 24-39.6</v>
      </c>
      <c r="Q973" s="20">
        <f t="shared" si="216"/>
        <v>2</v>
      </c>
      <c r="R973" s="20" t="str">
        <f t="shared" si="217"/>
        <v>Se repite 2 veces el precio de 39.6</v>
      </c>
      <c r="S973" s="20" t="str">
        <f t="shared" si="218"/>
        <v>El producto T.A Harina Linaza /Flax seed Flour 7.5oz x 24 Se repite 2 veces en Tradiciones Andinas, Se repite 2 veces el precio de 39.6</v>
      </c>
      <c r="T973" s="20" t="str">
        <f t="shared" si="219"/>
        <v>Tradiciones Andinas</v>
      </c>
      <c r="U973" s="20" t="str">
        <f t="shared" si="220"/>
        <v>T.A Harina Linaza /Flax seed Flour 7.5oz x 24</v>
      </c>
      <c r="V973" s="22">
        <f t="shared" si="221"/>
        <v>39.6</v>
      </c>
      <c r="W973" t="str">
        <f t="shared" si="222"/>
        <v>Tradiciones Andinas 04/25/2025</v>
      </c>
      <c r="Z973">
        <f t="shared" si="223"/>
        <v>39.6</v>
      </c>
    </row>
    <row r="974" spans="1:26" hidden="1" x14ac:dyDescent="0.25">
      <c r="A974" s="2" t="s">
        <v>664</v>
      </c>
      <c r="B974" s="11" t="s">
        <v>1125</v>
      </c>
      <c r="C974" s="11" t="s">
        <v>4</v>
      </c>
      <c r="D974" s="11" t="s">
        <v>1126</v>
      </c>
      <c r="E974" s="11" t="s">
        <v>841</v>
      </c>
      <c r="F974" s="11" t="s">
        <v>1137</v>
      </c>
      <c r="G974" s="12">
        <v>1</v>
      </c>
      <c r="H974" s="12">
        <v>39.6</v>
      </c>
      <c r="I974" s="12">
        <v>39.6</v>
      </c>
      <c r="J974" s="12">
        <v>69639.840000000011</v>
      </c>
      <c r="K974" s="20">
        <f t="shared" si="210"/>
        <v>2</v>
      </c>
      <c r="L974" s="20" t="str">
        <f t="shared" si="211"/>
        <v>Se repite 2 veces</v>
      </c>
      <c r="M974" s="20" t="str">
        <f t="shared" si="212"/>
        <v>Tradiciones Andinas-T.A Harina Linaza /Flax seed Flour 7.5oz x 24</v>
      </c>
      <c r="N974" s="20">
        <f t="shared" si="213"/>
        <v>2</v>
      </c>
      <c r="O974" s="20" t="str">
        <f t="shared" si="214"/>
        <v>Se repite 2 veces en Tradiciones Andinas</v>
      </c>
      <c r="P974" s="20" t="str">
        <f t="shared" si="215"/>
        <v>Tradiciones Andinas-T.A Harina Linaza /Flax seed Flour 7.5oz x 24-39.6</v>
      </c>
      <c r="Q974" s="20">
        <f t="shared" si="216"/>
        <v>2</v>
      </c>
      <c r="R974" s="20" t="str">
        <f t="shared" si="217"/>
        <v>Se repite 2 veces el precio de 39.6</v>
      </c>
      <c r="S974" s="20" t="str">
        <f t="shared" si="218"/>
        <v>El producto T.A Harina Linaza /Flax seed Flour 7.5oz x 24 Se repite 2 veces en Tradiciones Andinas, Se repite 2 veces el precio de 39.6</v>
      </c>
      <c r="T974" s="20" t="str">
        <f t="shared" si="219"/>
        <v>Tradiciones Andinas</v>
      </c>
      <c r="U974" s="20" t="str">
        <f t="shared" si="220"/>
        <v>T.A Harina Linaza /Flax seed Flour 7.5oz x 24</v>
      </c>
      <c r="V974" s="22">
        <f t="shared" si="221"/>
        <v>39.6</v>
      </c>
      <c r="W974" t="str">
        <f t="shared" si="222"/>
        <v>Tradiciones Andinas 08/18/2025</v>
      </c>
      <c r="Z974">
        <f t="shared" si="223"/>
        <v>39.6</v>
      </c>
    </row>
    <row r="975" spans="1:26" hidden="1" x14ac:dyDescent="0.25">
      <c r="A975" s="2" t="s">
        <v>664</v>
      </c>
      <c r="B975" s="11" t="s">
        <v>821</v>
      </c>
      <c r="C975" s="11" t="s">
        <v>4</v>
      </c>
      <c r="D975" s="11" t="s">
        <v>822</v>
      </c>
      <c r="E975" s="11" t="s">
        <v>872</v>
      </c>
      <c r="F975" s="11" t="s">
        <v>873</v>
      </c>
      <c r="G975" s="12">
        <v>2</v>
      </c>
      <c r="H975" s="12">
        <v>25.5</v>
      </c>
      <c r="I975" s="12">
        <v>51</v>
      </c>
      <c r="J975" s="12">
        <v>17368.899999999998</v>
      </c>
      <c r="K975" s="20">
        <f t="shared" si="210"/>
        <v>6</v>
      </c>
      <c r="L975" s="20" t="str">
        <f t="shared" si="211"/>
        <v>Se repite 6 veces</v>
      </c>
      <c r="M975" s="20" t="str">
        <f t="shared" si="212"/>
        <v>Tradiciones Andinas-T.A Hierbaluisa filtrante - Lemon Grass Tea 20 x 30</v>
      </c>
      <c r="N975" s="20">
        <f t="shared" si="213"/>
        <v>6</v>
      </c>
      <c r="O975" s="20" t="str">
        <f t="shared" si="214"/>
        <v>Se repite 6 veces en Tradiciones Andinas</v>
      </c>
      <c r="P975" s="20" t="str">
        <f t="shared" si="215"/>
        <v>Tradiciones Andinas-T.A Hierbaluisa filtrante - Lemon Grass Tea 20 x 30-25.5</v>
      </c>
      <c r="Q975" s="20">
        <f t="shared" si="216"/>
        <v>1</v>
      </c>
      <c r="R975" s="20" t="str">
        <f t="shared" si="217"/>
        <v>No se repite</v>
      </c>
      <c r="S975" s="20" t="str">
        <f t="shared" si="218"/>
        <v>El producto T.A Hierbaluisa filtrante - Lemon Grass Tea 20 x 30 Se repite 6 veces en Tradiciones Andinas Una vez con el precio 25.5</v>
      </c>
      <c r="T975" s="20" t="str">
        <f t="shared" si="219"/>
        <v>Tradiciones Andinas</v>
      </c>
      <c r="U975" s="20" t="str">
        <f t="shared" si="220"/>
        <v>T.A Hierbaluisa filtrante - Lemon Grass Tea 20 x 30</v>
      </c>
      <c r="V975" s="22">
        <f t="shared" si="221"/>
        <v>25.5</v>
      </c>
      <c r="W975" t="str">
        <f t="shared" si="222"/>
        <v>Tradiciones Andinas 04/25/2025</v>
      </c>
      <c r="Z975">
        <f t="shared" si="223"/>
        <v>51</v>
      </c>
    </row>
    <row r="976" spans="1:26" hidden="1" x14ac:dyDescent="0.25">
      <c r="A976" s="2" t="s">
        <v>664</v>
      </c>
      <c r="B976" s="11" t="s">
        <v>158</v>
      </c>
      <c r="C976" s="11" t="s">
        <v>4</v>
      </c>
      <c r="D976" s="11" t="s">
        <v>984</v>
      </c>
      <c r="E976" s="11" t="s">
        <v>872</v>
      </c>
      <c r="F976" s="11" t="s">
        <v>1009</v>
      </c>
      <c r="G976" s="12">
        <v>1</v>
      </c>
      <c r="H976" s="12">
        <v>27.29</v>
      </c>
      <c r="I976" s="12">
        <v>27.29</v>
      </c>
      <c r="J976" s="12">
        <v>40378.699999999997</v>
      </c>
      <c r="K976" s="20">
        <f t="shared" si="210"/>
        <v>6</v>
      </c>
      <c r="L976" s="20" t="str">
        <f t="shared" si="211"/>
        <v>Se repite 6 veces</v>
      </c>
      <c r="M976" s="20" t="str">
        <f t="shared" si="212"/>
        <v>Tradiciones Andinas-T.A Hierbaluisa filtrante - Lemon Grass Tea 20 x 30</v>
      </c>
      <c r="N976" s="20">
        <f t="shared" si="213"/>
        <v>6</v>
      </c>
      <c r="O976" s="20" t="str">
        <f t="shared" si="214"/>
        <v>Se repite 6 veces en Tradiciones Andinas</v>
      </c>
      <c r="P976" s="20" t="str">
        <f t="shared" si="215"/>
        <v>Tradiciones Andinas-T.A Hierbaluisa filtrante - Lemon Grass Tea 20 x 30-27.29</v>
      </c>
      <c r="Q976" s="20">
        <f t="shared" si="216"/>
        <v>5</v>
      </c>
      <c r="R976" s="20" t="str">
        <f t="shared" si="217"/>
        <v>Se repite 5 veces el precio de 27.29</v>
      </c>
      <c r="S976" s="20" t="str">
        <f t="shared" si="218"/>
        <v>El producto T.A Hierbaluisa filtrante - Lemon Grass Tea 20 x 30 Se repite 6 veces en Tradiciones Andinas, Se repite 5 veces el precio de 27.29</v>
      </c>
      <c r="T976" s="20" t="str">
        <f t="shared" si="219"/>
        <v>Tradiciones Andinas</v>
      </c>
      <c r="U976" s="20" t="str">
        <f t="shared" si="220"/>
        <v>T.A Hierbaluisa filtrante - Lemon Grass Tea 20 x 30</v>
      </c>
      <c r="V976" s="22">
        <f t="shared" si="221"/>
        <v>27.29</v>
      </c>
      <c r="W976" t="str">
        <f t="shared" si="222"/>
        <v>Tradiciones Andinas 06/12/2025</v>
      </c>
      <c r="Z976">
        <f t="shared" si="223"/>
        <v>27.29</v>
      </c>
    </row>
    <row r="977" spans="1:26" hidden="1" x14ac:dyDescent="0.25">
      <c r="A977" s="2" t="s">
        <v>664</v>
      </c>
      <c r="B977" s="11" t="s">
        <v>1033</v>
      </c>
      <c r="C977" s="11" t="s">
        <v>4</v>
      </c>
      <c r="D977" s="11" t="s">
        <v>1034</v>
      </c>
      <c r="E977" s="11" t="s">
        <v>872</v>
      </c>
      <c r="F977" s="11" t="s">
        <v>1009</v>
      </c>
      <c r="G977" s="12">
        <v>1</v>
      </c>
      <c r="H977" s="12">
        <v>27.29</v>
      </c>
      <c r="I977" s="12">
        <v>27.29</v>
      </c>
      <c r="J977" s="12">
        <v>53673.619999999952</v>
      </c>
      <c r="K977" s="20">
        <f t="shared" si="210"/>
        <v>6</v>
      </c>
      <c r="L977" s="20" t="str">
        <f t="shared" si="211"/>
        <v>Se repite 6 veces</v>
      </c>
      <c r="M977" s="20" t="str">
        <f t="shared" si="212"/>
        <v>Tradiciones Andinas-T.A Hierbaluisa filtrante - Lemon Grass Tea 20 x 30</v>
      </c>
      <c r="N977" s="20">
        <f t="shared" si="213"/>
        <v>6</v>
      </c>
      <c r="O977" s="20" t="str">
        <f t="shared" si="214"/>
        <v>Se repite 6 veces en Tradiciones Andinas</v>
      </c>
      <c r="P977" s="20" t="str">
        <f t="shared" si="215"/>
        <v>Tradiciones Andinas-T.A Hierbaluisa filtrante - Lemon Grass Tea 20 x 30-27.29</v>
      </c>
      <c r="Q977" s="20">
        <f t="shared" si="216"/>
        <v>5</v>
      </c>
      <c r="R977" s="20" t="str">
        <f t="shared" si="217"/>
        <v>Se repite 5 veces el precio de 27.29</v>
      </c>
      <c r="S977" s="20" t="str">
        <f t="shared" si="218"/>
        <v>El producto T.A Hierbaluisa filtrante - Lemon Grass Tea 20 x 30 Se repite 6 veces en Tradiciones Andinas, Se repite 5 veces el precio de 27.29</v>
      </c>
      <c r="T977" s="20" t="str">
        <f t="shared" si="219"/>
        <v>Tradiciones Andinas</v>
      </c>
      <c r="U977" s="20" t="str">
        <f t="shared" si="220"/>
        <v>T.A Hierbaluisa filtrante - Lemon Grass Tea 20 x 30</v>
      </c>
      <c r="V977" s="22">
        <f t="shared" si="221"/>
        <v>27.29</v>
      </c>
      <c r="W977" t="str">
        <f t="shared" si="222"/>
        <v>Tradiciones Andinas 07/03/2025</v>
      </c>
      <c r="Z977">
        <f t="shared" si="223"/>
        <v>27.29</v>
      </c>
    </row>
    <row r="978" spans="1:26" hidden="1" x14ac:dyDescent="0.25">
      <c r="A978" s="2" t="s">
        <v>664</v>
      </c>
      <c r="B978" s="11" t="s">
        <v>1092</v>
      </c>
      <c r="C978" s="11" t="s">
        <v>4</v>
      </c>
      <c r="D978" s="11" t="s">
        <v>1093</v>
      </c>
      <c r="E978" s="11" t="s">
        <v>872</v>
      </c>
      <c r="F978" s="11" t="s">
        <v>1009</v>
      </c>
      <c r="G978" s="12">
        <v>1</v>
      </c>
      <c r="H978" s="12">
        <v>27.29</v>
      </c>
      <c r="I978" s="12">
        <v>27.29</v>
      </c>
      <c r="J978" s="12">
        <v>62173.639999999956</v>
      </c>
      <c r="K978" s="20">
        <f t="shared" si="210"/>
        <v>6</v>
      </c>
      <c r="L978" s="20" t="str">
        <f t="shared" si="211"/>
        <v>Se repite 6 veces</v>
      </c>
      <c r="M978" s="20" t="str">
        <f t="shared" si="212"/>
        <v>Tradiciones Andinas-T.A Hierbaluisa filtrante - Lemon Grass Tea 20 x 30</v>
      </c>
      <c r="N978" s="20">
        <f t="shared" si="213"/>
        <v>6</v>
      </c>
      <c r="O978" s="20" t="str">
        <f t="shared" si="214"/>
        <v>Se repite 6 veces en Tradiciones Andinas</v>
      </c>
      <c r="P978" s="20" t="str">
        <f t="shared" si="215"/>
        <v>Tradiciones Andinas-T.A Hierbaluisa filtrante - Lemon Grass Tea 20 x 30-27.29</v>
      </c>
      <c r="Q978" s="20">
        <f t="shared" si="216"/>
        <v>5</v>
      </c>
      <c r="R978" s="20" t="str">
        <f t="shared" si="217"/>
        <v>Se repite 5 veces el precio de 27.29</v>
      </c>
      <c r="S978" s="20" t="str">
        <f t="shared" si="218"/>
        <v>El producto T.A Hierbaluisa filtrante - Lemon Grass Tea 20 x 30 Se repite 6 veces en Tradiciones Andinas, Se repite 5 veces el precio de 27.29</v>
      </c>
      <c r="T978" s="20" t="str">
        <f t="shared" si="219"/>
        <v>Tradiciones Andinas</v>
      </c>
      <c r="U978" s="20" t="str">
        <f t="shared" si="220"/>
        <v>T.A Hierbaluisa filtrante - Lemon Grass Tea 20 x 30</v>
      </c>
      <c r="V978" s="22">
        <f t="shared" si="221"/>
        <v>27.29</v>
      </c>
      <c r="W978" t="str">
        <f t="shared" si="222"/>
        <v>Tradiciones Andinas 07/21/2025</v>
      </c>
      <c r="Z978">
        <f t="shared" si="223"/>
        <v>27.29</v>
      </c>
    </row>
    <row r="979" spans="1:26" hidden="1" x14ac:dyDescent="0.25">
      <c r="A979" s="2" t="s">
        <v>664</v>
      </c>
      <c r="B979" s="11" t="s">
        <v>1153</v>
      </c>
      <c r="C979" s="11" t="s">
        <v>4</v>
      </c>
      <c r="D979" s="11" t="s">
        <v>1154</v>
      </c>
      <c r="E979" s="11" t="s">
        <v>872</v>
      </c>
      <c r="F979" s="11" t="s">
        <v>1009</v>
      </c>
      <c r="G979" s="12">
        <v>3</v>
      </c>
      <c r="H979" s="12">
        <v>27.29</v>
      </c>
      <c r="I979" s="12">
        <v>81.87</v>
      </c>
      <c r="J979" s="12">
        <v>83342.069999999963</v>
      </c>
      <c r="K979" s="20">
        <f t="shared" si="210"/>
        <v>6</v>
      </c>
      <c r="L979" s="20" t="str">
        <f t="shared" si="211"/>
        <v>Se repite 6 veces</v>
      </c>
      <c r="M979" s="20" t="str">
        <f t="shared" si="212"/>
        <v>Tradiciones Andinas-T.A Hierbaluisa filtrante - Lemon Grass Tea 20 x 30</v>
      </c>
      <c r="N979" s="20">
        <f t="shared" si="213"/>
        <v>6</v>
      </c>
      <c r="O979" s="20" t="str">
        <f t="shared" si="214"/>
        <v>Se repite 6 veces en Tradiciones Andinas</v>
      </c>
      <c r="P979" s="20" t="str">
        <f t="shared" si="215"/>
        <v>Tradiciones Andinas-T.A Hierbaluisa filtrante - Lemon Grass Tea 20 x 30-27.29</v>
      </c>
      <c r="Q979" s="20">
        <f t="shared" si="216"/>
        <v>5</v>
      </c>
      <c r="R979" s="20" t="str">
        <f t="shared" si="217"/>
        <v>Se repite 5 veces el precio de 27.29</v>
      </c>
      <c r="S979" s="20" t="str">
        <f t="shared" si="218"/>
        <v>El producto T.A Hierbaluisa filtrante - Lemon Grass Tea 20 x 30 Se repite 6 veces en Tradiciones Andinas, Se repite 5 veces el precio de 27.29</v>
      </c>
      <c r="T979" s="20" t="str">
        <f t="shared" si="219"/>
        <v>Tradiciones Andinas</v>
      </c>
      <c r="U979" s="20" t="str">
        <f t="shared" si="220"/>
        <v>T.A Hierbaluisa filtrante - Lemon Grass Tea 20 x 30</v>
      </c>
      <c r="V979" s="22">
        <f t="shared" si="221"/>
        <v>27.29</v>
      </c>
      <c r="W979" t="str">
        <f t="shared" si="222"/>
        <v>Tradiciones Andinas 09/24/2025</v>
      </c>
      <c r="Z979">
        <f t="shared" si="223"/>
        <v>81.87</v>
      </c>
    </row>
    <row r="980" spans="1:26" hidden="1" x14ac:dyDescent="0.25">
      <c r="A980" s="2" t="s">
        <v>664</v>
      </c>
      <c r="B980" s="11" t="s">
        <v>1207</v>
      </c>
      <c r="C980" s="11" t="s">
        <v>4</v>
      </c>
      <c r="D980" s="11" t="s">
        <v>1208</v>
      </c>
      <c r="E980" s="11" t="s">
        <v>872</v>
      </c>
      <c r="F980" s="11" t="s">
        <v>1009</v>
      </c>
      <c r="G980" s="12">
        <v>4</v>
      </c>
      <c r="H980" s="12">
        <v>27.29</v>
      </c>
      <c r="I980" s="12">
        <v>109.16</v>
      </c>
      <c r="J980" s="12">
        <v>108989.83999999991</v>
      </c>
      <c r="K980" s="20">
        <f t="shared" si="210"/>
        <v>6</v>
      </c>
      <c r="L980" s="20" t="str">
        <f t="shared" si="211"/>
        <v>Se repite 6 veces</v>
      </c>
      <c r="M980" s="20" t="str">
        <f t="shared" si="212"/>
        <v>Tradiciones Andinas-T.A Hierbaluisa filtrante - Lemon Grass Tea 20 x 30</v>
      </c>
      <c r="N980" s="20">
        <f t="shared" si="213"/>
        <v>6</v>
      </c>
      <c r="O980" s="20" t="str">
        <f t="shared" si="214"/>
        <v>Se repite 6 veces en Tradiciones Andinas</v>
      </c>
      <c r="P980" s="20" t="str">
        <f t="shared" si="215"/>
        <v>Tradiciones Andinas-T.A Hierbaluisa filtrante - Lemon Grass Tea 20 x 30-27.29</v>
      </c>
      <c r="Q980" s="20">
        <f t="shared" si="216"/>
        <v>5</v>
      </c>
      <c r="R980" s="20" t="str">
        <f t="shared" si="217"/>
        <v>Se repite 5 veces el precio de 27.29</v>
      </c>
      <c r="S980" s="20" t="str">
        <f t="shared" si="218"/>
        <v>El producto T.A Hierbaluisa filtrante - Lemon Grass Tea 20 x 30 Se repite 6 veces en Tradiciones Andinas, Se repite 5 veces el precio de 27.29</v>
      </c>
      <c r="T980" s="20" t="str">
        <f t="shared" si="219"/>
        <v>Tradiciones Andinas</v>
      </c>
      <c r="U980" s="20" t="str">
        <f t="shared" si="220"/>
        <v>T.A Hierbaluisa filtrante - Lemon Grass Tea 20 x 30</v>
      </c>
      <c r="V980" s="22">
        <f t="shared" si="221"/>
        <v>27.29</v>
      </c>
      <c r="W980" t="str">
        <f t="shared" si="222"/>
        <v>Tradiciones Andinas 11/28/2025</v>
      </c>
      <c r="Z980">
        <f t="shared" si="223"/>
        <v>109.16</v>
      </c>
    </row>
    <row r="981" spans="1:26" hidden="1" x14ac:dyDescent="0.25">
      <c r="A981" s="2" t="s">
        <v>664</v>
      </c>
      <c r="B981" s="11" t="s">
        <v>1092</v>
      </c>
      <c r="C981" s="11" t="s">
        <v>4</v>
      </c>
      <c r="D981" s="11" t="s">
        <v>1093</v>
      </c>
      <c r="E981" s="11" t="s">
        <v>1094</v>
      </c>
      <c r="F981" s="11" t="s">
        <v>1095</v>
      </c>
      <c r="G981" s="12">
        <v>2</v>
      </c>
      <c r="H981" s="12">
        <v>31.08</v>
      </c>
      <c r="I981" s="12">
        <v>62.16</v>
      </c>
      <c r="J981" s="12">
        <v>61702.189999999937</v>
      </c>
      <c r="K981" s="20">
        <f t="shared" si="210"/>
        <v>1</v>
      </c>
      <c r="L981" s="20" t="str">
        <f t="shared" si="211"/>
        <v>No se repite</v>
      </c>
      <c r="M981" s="20" t="str">
        <f t="shared" si="212"/>
        <v>Tradiciones Andinas-T.A Hojuela de Quinua / Quinua Flakes</v>
      </c>
      <c r="N981" s="20">
        <f t="shared" si="213"/>
        <v>1</v>
      </c>
      <c r="O981" s="20" t="str">
        <f t="shared" si="214"/>
        <v>No se repite en proveedor</v>
      </c>
      <c r="P981" s="20" t="str">
        <f t="shared" si="215"/>
        <v>Tradiciones Andinas-T.A Hojuela de Quinua / Quinua Flakes-31.08</v>
      </c>
      <c r="Q981" s="20">
        <f t="shared" si="216"/>
        <v>1</v>
      </c>
      <c r="R981" s="20" t="str">
        <f t="shared" si="217"/>
        <v>No se repite</v>
      </c>
      <c r="S981" s="20" t="str">
        <f t="shared" si="218"/>
        <v>El producto T.A Hojuela de Quinua / Quinua Flakes No se repite en proveedor Una vez con el precio 31.08</v>
      </c>
      <c r="T981" s="20" t="str">
        <f t="shared" si="219"/>
        <v>Tradiciones Andinas</v>
      </c>
      <c r="U981" s="20" t="str">
        <f t="shared" si="220"/>
        <v>T.A Hojuela de Quinua / Quinua Flakes</v>
      </c>
      <c r="V981" s="22">
        <f t="shared" si="221"/>
        <v>31.08</v>
      </c>
      <c r="W981" t="str">
        <f t="shared" si="222"/>
        <v>Tradiciones Andinas 07/21/2025</v>
      </c>
      <c r="Z981">
        <f t="shared" si="223"/>
        <v>62.16</v>
      </c>
    </row>
    <row r="982" spans="1:26" hidden="1" x14ac:dyDescent="0.25">
      <c r="A982" s="2" t="s">
        <v>664</v>
      </c>
      <c r="B982" s="11" t="s">
        <v>398</v>
      </c>
      <c r="C982" s="11" t="s">
        <v>4</v>
      </c>
      <c r="D982" s="11" t="s">
        <v>5</v>
      </c>
      <c r="E982" s="11" t="s">
        <v>817</v>
      </c>
      <c r="F982" s="11" t="s">
        <v>818</v>
      </c>
      <c r="G982" s="12">
        <v>2</v>
      </c>
      <c r="H982" s="12">
        <v>43.2</v>
      </c>
      <c r="I982" s="12">
        <v>86.4</v>
      </c>
      <c r="J982" s="12">
        <v>7823.8399999999992</v>
      </c>
      <c r="K982" s="20">
        <f t="shared" si="210"/>
        <v>6</v>
      </c>
      <c r="L982" s="20" t="str">
        <f t="shared" si="211"/>
        <v>Se repite 6 veces</v>
      </c>
      <c r="M982" s="20" t="str">
        <f t="shared" si="212"/>
        <v>Tradiciones Andinas-T.A Huacatay / Black Mint 12oz x 24 FROZEN</v>
      </c>
      <c r="N982" s="20">
        <f t="shared" si="213"/>
        <v>6</v>
      </c>
      <c r="O982" s="20" t="str">
        <f t="shared" si="214"/>
        <v>Se repite 6 veces en Tradiciones Andinas</v>
      </c>
      <c r="P982" s="20" t="str">
        <f t="shared" si="215"/>
        <v>Tradiciones Andinas-T.A Huacatay / Black Mint 12oz x 24 FROZEN-43.2</v>
      </c>
      <c r="Q982" s="20">
        <f t="shared" si="216"/>
        <v>2</v>
      </c>
      <c r="R982" s="20" t="str">
        <f t="shared" si="217"/>
        <v>Se repite 2 veces el precio de 43.2</v>
      </c>
      <c r="S982" s="20" t="str">
        <f t="shared" si="218"/>
        <v>El producto T.A Huacatay / Black Mint 12oz x 24 FROZEN Se repite 6 veces en Tradiciones Andinas, Se repite 2 veces el precio de 43.2</v>
      </c>
      <c r="T982" s="20" t="str">
        <f t="shared" si="219"/>
        <v>Tradiciones Andinas</v>
      </c>
      <c r="U982" s="20" t="str">
        <f t="shared" si="220"/>
        <v>T.A Huacatay / Black Mint 12oz x 24 FROZEN</v>
      </c>
      <c r="V982" s="22">
        <f t="shared" si="221"/>
        <v>43.2</v>
      </c>
      <c r="W982" t="str">
        <f t="shared" si="222"/>
        <v>Tradiciones Andinas 04/10/2025</v>
      </c>
      <c r="Z982">
        <f t="shared" si="223"/>
        <v>86.4</v>
      </c>
    </row>
    <row r="983" spans="1:26" hidden="1" x14ac:dyDescent="0.25">
      <c r="A983" s="2" t="s">
        <v>664</v>
      </c>
      <c r="B983" s="11" t="s">
        <v>821</v>
      </c>
      <c r="C983" s="11" t="s">
        <v>4</v>
      </c>
      <c r="D983" s="11" t="s">
        <v>822</v>
      </c>
      <c r="E983" s="11" t="s">
        <v>817</v>
      </c>
      <c r="F983" s="11" t="s">
        <v>818</v>
      </c>
      <c r="G983" s="12">
        <v>2</v>
      </c>
      <c r="H983" s="12">
        <v>43.2</v>
      </c>
      <c r="I983" s="12">
        <v>86.4</v>
      </c>
      <c r="J983" s="12">
        <v>23653.140000000003</v>
      </c>
      <c r="K983" s="20">
        <f t="shared" si="210"/>
        <v>6</v>
      </c>
      <c r="L983" s="20" t="str">
        <f t="shared" si="211"/>
        <v>Se repite 6 veces</v>
      </c>
      <c r="M983" s="20" t="str">
        <f t="shared" si="212"/>
        <v>Tradiciones Andinas-T.A Huacatay / Black Mint 12oz x 24 FROZEN</v>
      </c>
      <c r="N983" s="20">
        <f t="shared" si="213"/>
        <v>6</v>
      </c>
      <c r="O983" s="20" t="str">
        <f t="shared" si="214"/>
        <v>Se repite 6 veces en Tradiciones Andinas</v>
      </c>
      <c r="P983" s="20" t="str">
        <f t="shared" si="215"/>
        <v>Tradiciones Andinas-T.A Huacatay / Black Mint 12oz x 24 FROZEN-43.2</v>
      </c>
      <c r="Q983" s="20">
        <f t="shared" si="216"/>
        <v>2</v>
      </c>
      <c r="R983" s="20" t="str">
        <f t="shared" si="217"/>
        <v>Se repite 2 veces el precio de 43.2</v>
      </c>
      <c r="S983" s="20" t="str">
        <f t="shared" si="218"/>
        <v>El producto T.A Huacatay / Black Mint 12oz x 24 FROZEN Se repite 6 veces en Tradiciones Andinas, Se repite 2 veces el precio de 43.2</v>
      </c>
      <c r="T983" s="20" t="str">
        <f t="shared" si="219"/>
        <v>Tradiciones Andinas</v>
      </c>
      <c r="U983" s="20" t="str">
        <f t="shared" si="220"/>
        <v>T.A Huacatay / Black Mint 12oz x 24 FROZEN</v>
      </c>
      <c r="V983" s="22">
        <f t="shared" si="221"/>
        <v>43.2</v>
      </c>
      <c r="W983" t="str">
        <f t="shared" si="222"/>
        <v>Tradiciones Andinas 04/25/2025</v>
      </c>
      <c r="Z983">
        <f t="shared" si="223"/>
        <v>86.4</v>
      </c>
    </row>
    <row r="984" spans="1:26" hidden="1" x14ac:dyDescent="0.25">
      <c r="A984" s="2" t="s">
        <v>664</v>
      </c>
      <c r="B984" s="11" t="s">
        <v>158</v>
      </c>
      <c r="C984" s="11" t="s">
        <v>4</v>
      </c>
      <c r="D984" s="11" t="s">
        <v>984</v>
      </c>
      <c r="E984" s="11" t="s">
        <v>817</v>
      </c>
      <c r="F984" s="11" t="s">
        <v>1025</v>
      </c>
      <c r="G984" s="12">
        <v>2</v>
      </c>
      <c r="H984" s="12">
        <v>46.22</v>
      </c>
      <c r="I984" s="12">
        <v>92.44</v>
      </c>
      <c r="J984" s="12">
        <v>43087.819999999992</v>
      </c>
      <c r="K984" s="20">
        <f t="shared" si="210"/>
        <v>6</v>
      </c>
      <c r="L984" s="20" t="str">
        <f t="shared" si="211"/>
        <v>Se repite 6 veces</v>
      </c>
      <c r="M984" s="20" t="str">
        <f t="shared" si="212"/>
        <v>Tradiciones Andinas-T.A Huacatay / Black Mint 12oz x 24 FROZEN</v>
      </c>
      <c r="N984" s="20">
        <f t="shared" si="213"/>
        <v>6</v>
      </c>
      <c r="O984" s="20" t="str">
        <f t="shared" si="214"/>
        <v>Se repite 6 veces en Tradiciones Andinas</v>
      </c>
      <c r="P984" s="20" t="str">
        <f t="shared" si="215"/>
        <v>Tradiciones Andinas-T.A Huacatay / Black Mint 12oz x 24 FROZEN-46.22</v>
      </c>
      <c r="Q984" s="20">
        <f t="shared" si="216"/>
        <v>4</v>
      </c>
      <c r="R984" s="20" t="str">
        <f t="shared" si="217"/>
        <v>Se repite 4 veces el precio de 46.22</v>
      </c>
      <c r="S984" s="20" t="str">
        <f t="shared" si="218"/>
        <v>El producto T.A Huacatay / Black Mint 12oz x 24 FROZEN Se repite 6 veces en Tradiciones Andinas, Se repite 4 veces el precio de 46.22</v>
      </c>
      <c r="T984" s="20" t="str">
        <f t="shared" si="219"/>
        <v>Tradiciones Andinas</v>
      </c>
      <c r="U984" s="20" t="str">
        <f t="shared" si="220"/>
        <v>T.A Huacatay / Black Mint 12oz x 24 FROZEN</v>
      </c>
      <c r="V984" s="22">
        <f t="shared" si="221"/>
        <v>46.22</v>
      </c>
      <c r="W984" t="str">
        <f t="shared" si="222"/>
        <v>Tradiciones Andinas 06/12/2025</v>
      </c>
      <c r="Z984">
        <f t="shared" si="223"/>
        <v>92.44</v>
      </c>
    </row>
    <row r="985" spans="1:26" hidden="1" x14ac:dyDescent="0.25">
      <c r="A985" s="2" t="s">
        <v>664</v>
      </c>
      <c r="B985" s="11" t="s">
        <v>1092</v>
      </c>
      <c r="C985" s="11" t="s">
        <v>4</v>
      </c>
      <c r="D985" s="11" t="s">
        <v>1093</v>
      </c>
      <c r="E985" s="11" t="s">
        <v>817</v>
      </c>
      <c r="F985" s="11" t="s">
        <v>1025</v>
      </c>
      <c r="G985" s="12">
        <v>3</v>
      </c>
      <c r="H985" s="12">
        <v>46.22</v>
      </c>
      <c r="I985" s="12">
        <v>138.66</v>
      </c>
      <c r="J985" s="12">
        <v>63726.939999999951</v>
      </c>
      <c r="K985" s="20">
        <f t="shared" si="210"/>
        <v>6</v>
      </c>
      <c r="L985" s="20" t="str">
        <f t="shared" si="211"/>
        <v>Se repite 6 veces</v>
      </c>
      <c r="M985" s="20" t="str">
        <f t="shared" si="212"/>
        <v>Tradiciones Andinas-T.A Huacatay / Black Mint 12oz x 24 FROZEN</v>
      </c>
      <c r="N985" s="20">
        <f t="shared" si="213"/>
        <v>6</v>
      </c>
      <c r="O985" s="20" t="str">
        <f t="shared" si="214"/>
        <v>Se repite 6 veces en Tradiciones Andinas</v>
      </c>
      <c r="P985" s="20" t="str">
        <f t="shared" si="215"/>
        <v>Tradiciones Andinas-T.A Huacatay / Black Mint 12oz x 24 FROZEN-46.22</v>
      </c>
      <c r="Q985" s="20">
        <f t="shared" si="216"/>
        <v>4</v>
      </c>
      <c r="R985" s="20" t="str">
        <f t="shared" si="217"/>
        <v>Se repite 4 veces el precio de 46.22</v>
      </c>
      <c r="S985" s="20" t="str">
        <f t="shared" si="218"/>
        <v>El producto T.A Huacatay / Black Mint 12oz x 24 FROZEN Se repite 6 veces en Tradiciones Andinas, Se repite 4 veces el precio de 46.22</v>
      </c>
      <c r="T985" s="20" t="str">
        <f t="shared" si="219"/>
        <v>Tradiciones Andinas</v>
      </c>
      <c r="U985" s="20" t="str">
        <f t="shared" si="220"/>
        <v>T.A Huacatay / Black Mint 12oz x 24 FROZEN</v>
      </c>
      <c r="V985" s="22">
        <f t="shared" si="221"/>
        <v>46.22</v>
      </c>
      <c r="W985" t="str">
        <f t="shared" si="222"/>
        <v>Tradiciones Andinas 07/21/2025</v>
      </c>
      <c r="Z985">
        <f t="shared" si="223"/>
        <v>138.66</v>
      </c>
    </row>
    <row r="986" spans="1:26" hidden="1" x14ac:dyDescent="0.25">
      <c r="A986" s="26" t="s">
        <v>664</v>
      </c>
      <c r="B986" s="11" t="s">
        <v>1092</v>
      </c>
      <c r="C986" s="11" t="s">
        <v>4</v>
      </c>
      <c r="D986" s="11" t="s">
        <v>1093</v>
      </c>
      <c r="E986" s="11" t="s">
        <v>817</v>
      </c>
      <c r="F986" s="11" t="s">
        <v>1025</v>
      </c>
      <c r="G986" s="12">
        <v>4</v>
      </c>
      <c r="H986" s="12">
        <v>46.22</v>
      </c>
      <c r="I986" s="12">
        <v>184.88</v>
      </c>
      <c r="J986" s="12">
        <v>66378.539999999979</v>
      </c>
      <c r="K986" s="20">
        <f t="shared" si="210"/>
        <v>6</v>
      </c>
      <c r="L986" s="20" t="str">
        <f t="shared" si="211"/>
        <v>Se repite 6 veces</v>
      </c>
      <c r="M986" s="20" t="str">
        <f t="shared" si="212"/>
        <v>Tradiciones Andinas-T.A Huacatay / Black Mint 12oz x 24 FROZEN</v>
      </c>
      <c r="N986" s="20">
        <f t="shared" si="213"/>
        <v>6</v>
      </c>
      <c r="O986" s="20" t="str">
        <f t="shared" si="214"/>
        <v>Se repite 6 veces en Tradiciones Andinas</v>
      </c>
      <c r="P986" s="20" t="str">
        <f t="shared" si="215"/>
        <v>Tradiciones Andinas-T.A Huacatay / Black Mint 12oz x 24 FROZEN-46.22</v>
      </c>
      <c r="Q986" s="20">
        <f t="shared" si="216"/>
        <v>4</v>
      </c>
      <c r="R986" s="20" t="str">
        <f t="shared" si="217"/>
        <v>Se repite 4 veces el precio de 46.22</v>
      </c>
      <c r="S986" s="20" t="str">
        <f t="shared" si="218"/>
        <v>El producto T.A Huacatay / Black Mint 12oz x 24 FROZEN Se repite 6 veces en Tradiciones Andinas, Se repite 4 veces el precio de 46.22</v>
      </c>
      <c r="T986" s="20" t="str">
        <f t="shared" si="219"/>
        <v>Tradiciones Andinas</v>
      </c>
      <c r="U986" s="20" t="str">
        <f t="shared" si="220"/>
        <v>T.A Huacatay / Black Mint 12oz x 24 FROZEN</v>
      </c>
      <c r="V986" s="22">
        <f t="shared" si="221"/>
        <v>46.22</v>
      </c>
      <c r="W986" t="str">
        <f t="shared" si="222"/>
        <v>Tradiciones Andinas 07/21/2025</v>
      </c>
      <c r="X986" t="s">
        <v>3349</v>
      </c>
      <c r="Z986">
        <f t="shared" si="223"/>
        <v>184.88</v>
      </c>
    </row>
    <row r="987" spans="1:26" hidden="1" x14ac:dyDescent="0.25">
      <c r="A987" s="2" t="s">
        <v>664</v>
      </c>
      <c r="B987" s="11" t="s">
        <v>1207</v>
      </c>
      <c r="C987" s="11" t="s">
        <v>4</v>
      </c>
      <c r="D987" s="11" t="s">
        <v>1208</v>
      </c>
      <c r="E987" s="11" t="s">
        <v>817</v>
      </c>
      <c r="F987" s="11" t="s">
        <v>1025</v>
      </c>
      <c r="G987" s="12">
        <v>3</v>
      </c>
      <c r="H987" s="12">
        <v>46.22</v>
      </c>
      <c r="I987" s="12">
        <v>138.66</v>
      </c>
      <c r="J987" s="12">
        <v>115366.03999999988</v>
      </c>
      <c r="K987" s="20">
        <f t="shared" si="210"/>
        <v>6</v>
      </c>
      <c r="L987" s="20" t="str">
        <f t="shared" si="211"/>
        <v>Se repite 6 veces</v>
      </c>
      <c r="M987" s="20" t="str">
        <f t="shared" si="212"/>
        <v>Tradiciones Andinas-T.A Huacatay / Black Mint 12oz x 24 FROZEN</v>
      </c>
      <c r="N987" s="20">
        <f t="shared" si="213"/>
        <v>6</v>
      </c>
      <c r="O987" s="20" t="str">
        <f t="shared" si="214"/>
        <v>Se repite 6 veces en Tradiciones Andinas</v>
      </c>
      <c r="P987" s="20" t="str">
        <f t="shared" si="215"/>
        <v>Tradiciones Andinas-T.A Huacatay / Black Mint 12oz x 24 FROZEN-46.22</v>
      </c>
      <c r="Q987" s="20">
        <f t="shared" si="216"/>
        <v>4</v>
      </c>
      <c r="R987" s="20" t="str">
        <f t="shared" si="217"/>
        <v>Se repite 4 veces el precio de 46.22</v>
      </c>
      <c r="S987" s="20" t="str">
        <f t="shared" si="218"/>
        <v>El producto T.A Huacatay / Black Mint 12oz x 24 FROZEN Se repite 6 veces en Tradiciones Andinas, Se repite 4 veces el precio de 46.22</v>
      </c>
      <c r="T987" s="20" t="str">
        <f t="shared" si="219"/>
        <v>Tradiciones Andinas</v>
      </c>
      <c r="U987" s="20" t="str">
        <f t="shared" si="220"/>
        <v>T.A Huacatay / Black Mint 12oz x 24 FROZEN</v>
      </c>
      <c r="V987" s="22">
        <f t="shared" si="221"/>
        <v>46.22</v>
      </c>
      <c r="W987" t="str">
        <f t="shared" si="222"/>
        <v>Tradiciones Andinas 11/28/2025</v>
      </c>
      <c r="Z987">
        <f t="shared" si="223"/>
        <v>138.66</v>
      </c>
    </row>
    <row r="988" spans="1:26" hidden="1" x14ac:dyDescent="0.25">
      <c r="A988" s="2" t="s">
        <v>664</v>
      </c>
      <c r="B988" s="11" t="s">
        <v>1153</v>
      </c>
      <c r="C988" s="11" t="s">
        <v>4</v>
      </c>
      <c r="D988" s="11" t="s">
        <v>1154</v>
      </c>
      <c r="E988" s="11" t="s">
        <v>1155</v>
      </c>
      <c r="F988" s="11" t="s">
        <v>1156</v>
      </c>
      <c r="G988" s="12">
        <v>3</v>
      </c>
      <c r="H988" s="12">
        <v>32.1</v>
      </c>
      <c r="I988" s="12">
        <v>96.3</v>
      </c>
      <c r="J988" s="12">
        <v>75121.259999999995</v>
      </c>
      <c r="K988" s="20">
        <f t="shared" si="210"/>
        <v>4</v>
      </c>
      <c r="L988" s="20" t="str">
        <f t="shared" si="211"/>
        <v>Se repite 4 veces</v>
      </c>
      <c r="M988" s="20" t="str">
        <f t="shared" si="212"/>
        <v>Tradiciones Andinas-T.A Huacatay Pasta / Black Mint Paste 7.5oz</v>
      </c>
      <c r="N988" s="20">
        <f t="shared" si="213"/>
        <v>4</v>
      </c>
      <c r="O988" s="20" t="str">
        <f t="shared" si="214"/>
        <v>Se repite 4 veces en Tradiciones Andinas</v>
      </c>
      <c r="P988" s="20" t="str">
        <f t="shared" si="215"/>
        <v>Tradiciones Andinas-T.A Huacatay Pasta / Black Mint Paste 7.5oz-32.1</v>
      </c>
      <c r="Q988" s="20">
        <f t="shared" si="216"/>
        <v>4</v>
      </c>
      <c r="R988" s="20" t="str">
        <f t="shared" si="217"/>
        <v>Se repite 4 veces el precio de 32.1</v>
      </c>
      <c r="S988" s="20" t="str">
        <f t="shared" si="218"/>
        <v>El producto T.A Huacatay Pasta / Black Mint Paste 7.5oz Se repite 4 veces en Tradiciones Andinas, Se repite 4 veces el precio de 32.1</v>
      </c>
      <c r="T988" s="20" t="str">
        <f t="shared" si="219"/>
        <v>Tradiciones Andinas</v>
      </c>
      <c r="U988" s="20" t="str">
        <f t="shared" si="220"/>
        <v>T.A Huacatay Pasta / Black Mint Paste 7.5oz</v>
      </c>
      <c r="V988" s="22">
        <f t="shared" si="221"/>
        <v>32.1</v>
      </c>
      <c r="W988" t="str">
        <f t="shared" si="222"/>
        <v>Tradiciones Andinas 09/24/2025</v>
      </c>
      <c r="Z988">
        <f t="shared" si="223"/>
        <v>96.300000000000011</v>
      </c>
    </row>
    <row r="989" spans="1:26" hidden="1" x14ac:dyDescent="0.25">
      <c r="A989" s="2" t="s">
        <v>664</v>
      </c>
      <c r="B989" s="11" t="s">
        <v>1180</v>
      </c>
      <c r="C989" s="11" t="s">
        <v>4</v>
      </c>
      <c r="D989" s="11" t="s">
        <v>1181</v>
      </c>
      <c r="E989" s="11" t="s">
        <v>1155</v>
      </c>
      <c r="F989" s="11" t="s">
        <v>1156</v>
      </c>
      <c r="G989" s="12">
        <v>1</v>
      </c>
      <c r="H989" s="12">
        <v>32.1</v>
      </c>
      <c r="I989" s="12">
        <v>32.1</v>
      </c>
      <c r="J989" s="12">
        <v>93239.549999999945</v>
      </c>
      <c r="K989" s="20">
        <f t="shared" si="210"/>
        <v>4</v>
      </c>
      <c r="L989" s="20" t="str">
        <f t="shared" si="211"/>
        <v>Se repite 4 veces</v>
      </c>
      <c r="M989" s="20" t="str">
        <f t="shared" si="212"/>
        <v>Tradiciones Andinas-T.A Huacatay Pasta / Black Mint Paste 7.5oz</v>
      </c>
      <c r="N989" s="20">
        <f t="shared" si="213"/>
        <v>4</v>
      </c>
      <c r="O989" s="20" t="str">
        <f t="shared" si="214"/>
        <v>Se repite 4 veces en Tradiciones Andinas</v>
      </c>
      <c r="P989" s="20" t="str">
        <f t="shared" si="215"/>
        <v>Tradiciones Andinas-T.A Huacatay Pasta / Black Mint Paste 7.5oz-32.1</v>
      </c>
      <c r="Q989" s="20">
        <f t="shared" si="216"/>
        <v>4</v>
      </c>
      <c r="R989" s="20" t="str">
        <f t="shared" si="217"/>
        <v>Se repite 4 veces el precio de 32.1</v>
      </c>
      <c r="S989" s="20" t="str">
        <f t="shared" si="218"/>
        <v>El producto T.A Huacatay Pasta / Black Mint Paste 7.5oz Se repite 4 veces en Tradiciones Andinas, Se repite 4 veces el precio de 32.1</v>
      </c>
      <c r="T989" s="20" t="str">
        <f t="shared" si="219"/>
        <v>Tradiciones Andinas</v>
      </c>
      <c r="U989" s="20" t="str">
        <f t="shared" si="220"/>
        <v>T.A Huacatay Pasta / Black Mint Paste 7.5oz</v>
      </c>
      <c r="V989" s="22">
        <f t="shared" si="221"/>
        <v>32.1</v>
      </c>
      <c r="W989" t="str">
        <f t="shared" si="222"/>
        <v>Tradiciones Andinas 10/07/2025</v>
      </c>
      <c r="Z989">
        <f t="shared" si="223"/>
        <v>32.1</v>
      </c>
    </row>
    <row r="990" spans="1:26" hidden="1" x14ac:dyDescent="0.25">
      <c r="A990" s="2" t="s">
        <v>664</v>
      </c>
      <c r="B990" s="11" t="s">
        <v>1201</v>
      </c>
      <c r="C990" s="11" t="s">
        <v>4</v>
      </c>
      <c r="D990" s="11" t="s">
        <v>1202</v>
      </c>
      <c r="E990" s="11" t="s">
        <v>1155</v>
      </c>
      <c r="F990" s="11" t="s">
        <v>1156</v>
      </c>
      <c r="G990" s="12">
        <v>4</v>
      </c>
      <c r="H990" s="12">
        <v>32.1</v>
      </c>
      <c r="I990" s="12">
        <v>128.4</v>
      </c>
      <c r="J990" s="12">
        <v>100449.98999999993</v>
      </c>
      <c r="K990" s="20">
        <f t="shared" si="210"/>
        <v>4</v>
      </c>
      <c r="L990" s="20" t="str">
        <f t="shared" si="211"/>
        <v>Se repite 4 veces</v>
      </c>
      <c r="M990" s="20" t="str">
        <f t="shared" si="212"/>
        <v>Tradiciones Andinas-T.A Huacatay Pasta / Black Mint Paste 7.5oz</v>
      </c>
      <c r="N990" s="20">
        <f t="shared" si="213"/>
        <v>4</v>
      </c>
      <c r="O990" s="20" t="str">
        <f t="shared" si="214"/>
        <v>Se repite 4 veces en Tradiciones Andinas</v>
      </c>
      <c r="P990" s="20" t="str">
        <f t="shared" si="215"/>
        <v>Tradiciones Andinas-T.A Huacatay Pasta / Black Mint Paste 7.5oz-32.1</v>
      </c>
      <c r="Q990" s="20">
        <f t="shared" si="216"/>
        <v>4</v>
      </c>
      <c r="R990" s="20" t="str">
        <f t="shared" si="217"/>
        <v>Se repite 4 veces el precio de 32.1</v>
      </c>
      <c r="S990" s="20" t="str">
        <f t="shared" si="218"/>
        <v>El producto T.A Huacatay Pasta / Black Mint Paste 7.5oz Se repite 4 veces en Tradiciones Andinas, Se repite 4 veces el precio de 32.1</v>
      </c>
      <c r="T990" s="20" t="str">
        <f t="shared" si="219"/>
        <v>Tradiciones Andinas</v>
      </c>
      <c r="U990" s="20" t="str">
        <f t="shared" si="220"/>
        <v>T.A Huacatay Pasta / Black Mint Paste 7.5oz</v>
      </c>
      <c r="V990" s="22">
        <f t="shared" si="221"/>
        <v>32.1</v>
      </c>
      <c r="W990" t="str">
        <f t="shared" si="222"/>
        <v>Tradiciones Andinas 11/07/2025</v>
      </c>
      <c r="Z990">
        <f t="shared" si="223"/>
        <v>128.4</v>
      </c>
    </row>
    <row r="991" spans="1:26" hidden="1" x14ac:dyDescent="0.25">
      <c r="A991" s="2" t="s">
        <v>664</v>
      </c>
      <c r="B991" s="11" t="s">
        <v>1207</v>
      </c>
      <c r="C991" s="11" t="s">
        <v>4</v>
      </c>
      <c r="D991" s="11" t="s">
        <v>1208</v>
      </c>
      <c r="E991" s="11" t="s">
        <v>1155</v>
      </c>
      <c r="F991" s="11" t="s">
        <v>1156</v>
      </c>
      <c r="G991" s="12">
        <v>1</v>
      </c>
      <c r="H991" s="12">
        <v>32.1</v>
      </c>
      <c r="I991" s="12">
        <v>32.1</v>
      </c>
      <c r="J991" s="12">
        <v>105519.11999999995</v>
      </c>
      <c r="K991" s="20">
        <f t="shared" si="210"/>
        <v>4</v>
      </c>
      <c r="L991" s="20" t="str">
        <f t="shared" si="211"/>
        <v>Se repite 4 veces</v>
      </c>
      <c r="M991" s="20" t="str">
        <f t="shared" si="212"/>
        <v>Tradiciones Andinas-T.A Huacatay Pasta / Black Mint Paste 7.5oz</v>
      </c>
      <c r="N991" s="20">
        <f t="shared" si="213"/>
        <v>4</v>
      </c>
      <c r="O991" s="20" t="str">
        <f t="shared" si="214"/>
        <v>Se repite 4 veces en Tradiciones Andinas</v>
      </c>
      <c r="P991" s="20" t="str">
        <f t="shared" si="215"/>
        <v>Tradiciones Andinas-T.A Huacatay Pasta / Black Mint Paste 7.5oz-32.1</v>
      </c>
      <c r="Q991" s="20">
        <f t="shared" si="216"/>
        <v>4</v>
      </c>
      <c r="R991" s="20" t="str">
        <f t="shared" si="217"/>
        <v>Se repite 4 veces el precio de 32.1</v>
      </c>
      <c r="S991" s="20" t="str">
        <f t="shared" si="218"/>
        <v>El producto T.A Huacatay Pasta / Black Mint Paste 7.5oz Se repite 4 veces en Tradiciones Andinas, Se repite 4 veces el precio de 32.1</v>
      </c>
      <c r="T991" s="20" t="str">
        <f t="shared" si="219"/>
        <v>Tradiciones Andinas</v>
      </c>
      <c r="U991" s="20" t="str">
        <f t="shared" si="220"/>
        <v>T.A Huacatay Pasta / Black Mint Paste 7.5oz</v>
      </c>
      <c r="V991" s="22">
        <f t="shared" si="221"/>
        <v>32.1</v>
      </c>
      <c r="W991" t="str">
        <f t="shared" si="222"/>
        <v>Tradiciones Andinas 11/28/2025</v>
      </c>
      <c r="Z991">
        <f t="shared" si="223"/>
        <v>32.1</v>
      </c>
    </row>
    <row r="992" spans="1:26" hidden="1" x14ac:dyDescent="0.25">
      <c r="A992" s="2" t="s">
        <v>664</v>
      </c>
      <c r="B992" s="11" t="s">
        <v>821</v>
      </c>
      <c r="C992" s="11" t="s">
        <v>4</v>
      </c>
      <c r="D992" s="11" t="s">
        <v>822</v>
      </c>
      <c r="E992" s="11" t="s">
        <v>834</v>
      </c>
      <c r="F992" s="11" t="s">
        <v>834</v>
      </c>
      <c r="G992" s="12">
        <v>3</v>
      </c>
      <c r="H992" s="12">
        <v>31.2</v>
      </c>
      <c r="I992" s="12">
        <v>93.6</v>
      </c>
      <c r="J992" s="12">
        <v>11503.399999999998</v>
      </c>
      <c r="K992" s="20">
        <f t="shared" si="210"/>
        <v>3</v>
      </c>
      <c r="L992" s="20" t="str">
        <f t="shared" si="211"/>
        <v>Se repite 3 veces</v>
      </c>
      <c r="M992" s="20" t="str">
        <f t="shared" si="212"/>
        <v>Tradiciones Andinas-T.A Linaza /Flax Seed 15oz x 24</v>
      </c>
      <c r="N992" s="20">
        <f t="shared" si="213"/>
        <v>3</v>
      </c>
      <c r="O992" s="20" t="str">
        <f t="shared" si="214"/>
        <v>Se repite 3 veces en Tradiciones Andinas</v>
      </c>
      <c r="P992" s="20" t="str">
        <f t="shared" si="215"/>
        <v>Tradiciones Andinas-T.A Linaza /Flax Seed 15oz x 24-31.2</v>
      </c>
      <c r="Q992" s="20">
        <f t="shared" si="216"/>
        <v>1</v>
      </c>
      <c r="R992" s="20" t="str">
        <f t="shared" si="217"/>
        <v>No se repite</v>
      </c>
      <c r="S992" s="20" t="str">
        <f t="shared" si="218"/>
        <v>El producto T.A Linaza /Flax Seed 15oz x 24 Se repite 3 veces en Tradiciones Andinas Una vez con el precio 31.2</v>
      </c>
      <c r="T992" s="20" t="str">
        <f t="shared" si="219"/>
        <v>Tradiciones Andinas</v>
      </c>
      <c r="U992" s="20" t="str">
        <f t="shared" si="220"/>
        <v>T.A Linaza /Flax Seed 15oz x 24</v>
      </c>
      <c r="V992" s="22">
        <f t="shared" si="221"/>
        <v>31.2</v>
      </c>
      <c r="W992" t="str">
        <f t="shared" si="222"/>
        <v>Tradiciones Andinas 04/25/2025</v>
      </c>
      <c r="Z992">
        <f t="shared" si="223"/>
        <v>93.6</v>
      </c>
    </row>
    <row r="993" spans="1:26" hidden="1" x14ac:dyDescent="0.25">
      <c r="A993" s="2" t="s">
        <v>664</v>
      </c>
      <c r="B993" s="11" t="s">
        <v>1033</v>
      </c>
      <c r="C993" s="11" t="s">
        <v>4</v>
      </c>
      <c r="D993" s="11" t="s">
        <v>1034</v>
      </c>
      <c r="E993" s="11" t="s">
        <v>834</v>
      </c>
      <c r="F993" s="11" t="s">
        <v>1045</v>
      </c>
      <c r="G993" s="12">
        <v>3</v>
      </c>
      <c r="H993" s="12">
        <v>33.380000000000003</v>
      </c>
      <c r="I993" s="12">
        <v>100.14</v>
      </c>
      <c r="J993" s="12">
        <v>48829.909999999974</v>
      </c>
      <c r="K993" s="20">
        <f t="shared" si="210"/>
        <v>3</v>
      </c>
      <c r="L993" s="20" t="str">
        <f t="shared" si="211"/>
        <v>Se repite 3 veces</v>
      </c>
      <c r="M993" s="20" t="str">
        <f t="shared" si="212"/>
        <v>Tradiciones Andinas-T.A Linaza /Flax Seed 15oz x 24</v>
      </c>
      <c r="N993" s="20">
        <f t="shared" si="213"/>
        <v>3</v>
      </c>
      <c r="O993" s="20" t="str">
        <f t="shared" si="214"/>
        <v>Se repite 3 veces en Tradiciones Andinas</v>
      </c>
      <c r="P993" s="20" t="str">
        <f t="shared" si="215"/>
        <v>Tradiciones Andinas-T.A Linaza /Flax Seed 15oz x 24-33.38</v>
      </c>
      <c r="Q993" s="20">
        <f t="shared" si="216"/>
        <v>2</v>
      </c>
      <c r="R993" s="20" t="str">
        <f t="shared" si="217"/>
        <v>Se repite 2 veces el precio de 33.38</v>
      </c>
      <c r="S993" s="20" t="str">
        <f t="shared" si="218"/>
        <v>El producto T.A Linaza /Flax Seed 15oz x 24 Se repite 3 veces en Tradiciones Andinas, Se repite 2 veces el precio de 33.38</v>
      </c>
      <c r="T993" s="20" t="str">
        <f t="shared" si="219"/>
        <v>Tradiciones Andinas</v>
      </c>
      <c r="U993" s="20" t="str">
        <f t="shared" si="220"/>
        <v>T.A Linaza /Flax Seed 15oz x 24</v>
      </c>
      <c r="V993" s="22">
        <f t="shared" si="221"/>
        <v>33.380000000000003</v>
      </c>
      <c r="W993" t="str">
        <f t="shared" si="222"/>
        <v>Tradiciones Andinas 07/03/2025</v>
      </c>
      <c r="Z993">
        <f t="shared" si="223"/>
        <v>100.14000000000001</v>
      </c>
    </row>
    <row r="994" spans="1:26" hidden="1" x14ac:dyDescent="0.25">
      <c r="A994" s="2" t="s">
        <v>664</v>
      </c>
      <c r="B994" s="11" t="s">
        <v>1201</v>
      </c>
      <c r="C994" s="11" t="s">
        <v>4</v>
      </c>
      <c r="D994" s="11" t="s">
        <v>1202</v>
      </c>
      <c r="E994" s="11" t="s">
        <v>834</v>
      </c>
      <c r="F994" s="11" t="s">
        <v>1045</v>
      </c>
      <c r="G994" s="12">
        <v>2</v>
      </c>
      <c r="H994" s="12">
        <v>33.380000000000003</v>
      </c>
      <c r="I994" s="12">
        <v>66.760000000000005</v>
      </c>
      <c r="J994" s="12">
        <v>100889.54999999993</v>
      </c>
      <c r="K994" s="20">
        <f t="shared" si="210"/>
        <v>3</v>
      </c>
      <c r="L994" s="20" t="str">
        <f t="shared" si="211"/>
        <v>Se repite 3 veces</v>
      </c>
      <c r="M994" s="20" t="str">
        <f t="shared" si="212"/>
        <v>Tradiciones Andinas-T.A Linaza /Flax Seed 15oz x 24</v>
      </c>
      <c r="N994" s="20">
        <f t="shared" si="213"/>
        <v>3</v>
      </c>
      <c r="O994" s="20" t="str">
        <f t="shared" si="214"/>
        <v>Se repite 3 veces en Tradiciones Andinas</v>
      </c>
      <c r="P994" s="20" t="str">
        <f t="shared" si="215"/>
        <v>Tradiciones Andinas-T.A Linaza /Flax Seed 15oz x 24-33.38</v>
      </c>
      <c r="Q994" s="20">
        <f t="shared" si="216"/>
        <v>2</v>
      </c>
      <c r="R994" s="20" t="str">
        <f t="shared" si="217"/>
        <v>Se repite 2 veces el precio de 33.38</v>
      </c>
      <c r="S994" s="20" t="str">
        <f t="shared" si="218"/>
        <v>El producto T.A Linaza /Flax Seed 15oz x 24 Se repite 3 veces en Tradiciones Andinas, Se repite 2 veces el precio de 33.38</v>
      </c>
      <c r="T994" s="20" t="str">
        <f t="shared" si="219"/>
        <v>Tradiciones Andinas</v>
      </c>
      <c r="U994" s="20" t="str">
        <f t="shared" si="220"/>
        <v>T.A Linaza /Flax Seed 15oz x 24</v>
      </c>
      <c r="V994" s="22">
        <f t="shared" si="221"/>
        <v>33.380000000000003</v>
      </c>
      <c r="W994" t="str">
        <f t="shared" si="222"/>
        <v>Tradiciones Andinas 11/07/2025</v>
      </c>
      <c r="Z994">
        <f t="shared" si="223"/>
        <v>66.760000000000005</v>
      </c>
    </row>
    <row r="995" spans="1:26" hidden="1" x14ac:dyDescent="0.25">
      <c r="A995" s="2" t="s">
        <v>664</v>
      </c>
      <c r="B995" s="11" t="s">
        <v>932</v>
      </c>
      <c r="C995" s="11" t="s">
        <v>4</v>
      </c>
      <c r="D995" s="11" t="s">
        <v>933</v>
      </c>
      <c r="E995" s="11" t="s">
        <v>938</v>
      </c>
      <c r="F995" s="11" t="s">
        <v>939</v>
      </c>
      <c r="G995" s="12">
        <v>1</v>
      </c>
      <c r="H995" s="12">
        <v>60</v>
      </c>
      <c r="I995" s="12">
        <v>60</v>
      </c>
      <c r="J995" s="12">
        <v>24720.82</v>
      </c>
      <c r="K995" s="20">
        <f t="shared" si="210"/>
        <v>1</v>
      </c>
      <c r="L995" s="20" t="str">
        <f t="shared" si="211"/>
        <v>No se repite</v>
      </c>
      <c r="M995" s="20" t="str">
        <f t="shared" si="212"/>
        <v>Tradiciones Andinas-T.A Lomitos de Atún en Aceite / Solid Tuna in Oil  - 3 PACK (SMALL)</v>
      </c>
      <c r="N995" s="20">
        <f t="shared" si="213"/>
        <v>1</v>
      </c>
      <c r="O995" s="20" t="str">
        <f t="shared" si="214"/>
        <v>No se repite en proveedor</v>
      </c>
      <c r="P995" s="20" t="str">
        <f t="shared" si="215"/>
        <v>Tradiciones Andinas-T.A Lomitos de Atún en Aceite / Solid Tuna in Oil  - 3 PACK (SMALL)-60</v>
      </c>
      <c r="Q995" s="20">
        <f t="shared" si="216"/>
        <v>1</v>
      </c>
      <c r="R995" s="20" t="str">
        <f t="shared" si="217"/>
        <v>No se repite</v>
      </c>
      <c r="S995" s="20" t="str">
        <f t="shared" si="218"/>
        <v>El producto T.A Lomitos de Atún en Aceite / Solid Tuna in Oil  - 3 PACK (SMALL) No se repite en proveedor Una vez con el precio 60</v>
      </c>
      <c r="T995" s="20" t="str">
        <f t="shared" si="219"/>
        <v>Tradiciones Andinas</v>
      </c>
      <c r="U995" s="20" t="str">
        <f t="shared" si="220"/>
        <v>T.A Lomitos de Atún en Aceite / Solid Tuna in Oil  - 3 PACK (SMALL)</v>
      </c>
      <c r="V995" s="22">
        <f t="shared" si="221"/>
        <v>60</v>
      </c>
      <c r="W995" t="str">
        <f t="shared" si="222"/>
        <v>Tradiciones Andinas 04/29/2025</v>
      </c>
      <c r="Z995">
        <f t="shared" si="223"/>
        <v>60</v>
      </c>
    </row>
    <row r="996" spans="1:26" hidden="1" x14ac:dyDescent="0.25">
      <c r="A996" s="2" t="s">
        <v>664</v>
      </c>
      <c r="B996" s="11" t="s">
        <v>821</v>
      </c>
      <c r="C996" s="11" t="s">
        <v>4</v>
      </c>
      <c r="D996" s="11" t="s">
        <v>822</v>
      </c>
      <c r="E996" s="11" t="s">
        <v>928</v>
      </c>
      <c r="F996" s="11" t="s">
        <v>929</v>
      </c>
      <c r="G996" s="12">
        <v>1</v>
      </c>
      <c r="H996" s="12">
        <v>62</v>
      </c>
      <c r="I996" s="12">
        <v>62</v>
      </c>
      <c r="J996" s="12">
        <v>22531.54</v>
      </c>
      <c r="K996" s="20">
        <f t="shared" si="210"/>
        <v>3</v>
      </c>
      <c r="L996" s="20" t="str">
        <f t="shared" si="211"/>
        <v>Se repite 3 veces</v>
      </c>
      <c r="M996" s="20" t="str">
        <f t="shared" si="212"/>
        <v>Tradiciones Andinas-T.A Lomitos de Atún en Aceite / Solid TUNA in Oil 5oz x 48</v>
      </c>
      <c r="N996" s="20">
        <f t="shared" si="213"/>
        <v>3</v>
      </c>
      <c r="O996" s="20" t="str">
        <f t="shared" si="214"/>
        <v>Se repite 3 veces en Tradiciones Andinas</v>
      </c>
      <c r="P996" s="20" t="str">
        <f t="shared" si="215"/>
        <v>Tradiciones Andinas-T.A Lomitos de Atún en Aceite / Solid TUNA in Oil 5oz x 48-62</v>
      </c>
      <c r="Q996" s="20">
        <f t="shared" si="216"/>
        <v>1</v>
      </c>
      <c r="R996" s="20" t="str">
        <f t="shared" si="217"/>
        <v>No se repite</v>
      </c>
      <c r="S996" s="20" t="str">
        <f t="shared" si="218"/>
        <v>El producto T.A Lomitos de Atún en Aceite / Solid TUNA in Oil 5oz x 48 Se repite 3 veces en Tradiciones Andinas Una vez con el precio 62</v>
      </c>
      <c r="T996" s="20" t="str">
        <f t="shared" si="219"/>
        <v>Tradiciones Andinas</v>
      </c>
      <c r="U996" s="20" t="str">
        <f t="shared" si="220"/>
        <v>T.A Lomitos de Atún en Aceite / Solid TUNA in Oil 5oz x 48</v>
      </c>
      <c r="V996" s="22">
        <f t="shared" si="221"/>
        <v>62</v>
      </c>
      <c r="W996" t="str">
        <f t="shared" si="222"/>
        <v>Tradiciones Andinas 04/25/2025</v>
      </c>
      <c r="Z996">
        <f t="shared" si="223"/>
        <v>62</v>
      </c>
    </row>
    <row r="997" spans="1:26" hidden="1" x14ac:dyDescent="0.25">
      <c r="A997" s="2" t="s">
        <v>664</v>
      </c>
      <c r="B997" s="11" t="s">
        <v>1033</v>
      </c>
      <c r="C997" s="11" t="s">
        <v>4</v>
      </c>
      <c r="D997" s="11" t="s">
        <v>1034</v>
      </c>
      <c r="E997" s="11" t="s">
        <v>928</v>
      </c>
      <c r="F997" s="11" t="s">
        <v>1080</v>
      </c>
      <c r="G997" s="12">
        <v>1</v>
      </c>
      <c r="H997" s="12">
        <v>66.34</v>
      </c>
      <c r="I997" s="12">
        <v>66.34</v>
      </c>
      <c r="J997" s="12">
        <v>57675.089999999938</v>
      </c>
      <c r="K997" s="20">
        <f t="shared" si="210"/>
        <v>3</v>
      </c>
      <c r="L997" s="20" t="str">
        <f t="shared" si="211"/>
        <v>Se repite 3 veces</v>
      </c>
      <c r="M997" s="20" t="str">
        <f t="shared" si="212"/>
        <v>Tradiciones Andinas-T.A Lomitos de Atún en Aceite / Solid TUNA in Oil 5oz x 48</v>
      </c>
      <c r="N997" s="20">
        <f t="shared" si="213"/>
        <v>3</v>
      </c>
      <c r="O997" s="20" t="str">
        <f t="shared" si="214"/>
        <v>Se repite 3 veces en Tradiciones Andinas</v>
      </c>
      <c r="P997" s="20" t="str">
        <f t="shared" si="215"/>
        <v>Tradiciones Andinas-T.A Lomitos de Atún en Aceite / Solid TUNA in Oil 5oz x 48-66.34</v>
      </c>
      <c r="Q997" s="20">
        <f t="shared" si="216"/>
        <v>2</v>
      </c>
      <c r="R997" s="20" t="str">
        <f t="shared" si="217"/>
        <v>Se repite 2 veces el precio de 66.34</v>
      </c>
      <c r="S997" s="20" t="str">
        <f t="shared" si="218"/>
        <v>El producto T.A Lomitos de Atún en Aceite / Solid TUNA in Oil 5oz x 48 Se repite 3 veces en Tradiciones Andinas, Se repite 2 veces el precio de 66.34</v>
      </c>
      <c r="T997" s="20" t="str">
        <f t="shared" si="219"/>
        <v>Tradiciones Andinas</v>
      </c>
      <c r="U997" s="20" t="str">
        <f t="shared" si="220"/>
        <v>T.A Lomitos de Atún en Aceite / Solid TUNA in Oil 5oz x 48</v>
      </c>
      <c r="V997" s="22">
        <f t="shared" si="221"/>
        <v>66.34</v>
      </c>
      <c r="W997" t="str">
        <f t="shared" si="222"/>
        <v>Tradiciones Andinas 07/03/2025</v>
      </c>
      <c r="Z997">
        <f t="shared" si="223"/>
        <v>66.34</v>
      </c>
    </row>
    <row r="998" spans="1:26" hidden="1" x14ac:dyDescent="0.25">
      <c r="A998" s="2" t="s">
        <v>664</v>
      </c>
      <c r="B998" s="11" t="s">
        <v>1092</v>
      </c>
      <c r="C998" s="11" t="s">
        <v>4</v>
      </c>
      <c r="D998" s="11" t="s">
        <v>1093</v>
      </c>
      <c r="E998" s="11" t="s">
        <v>928</v>
      </c>
      <c r="F998" s="11" t="s">
        <v>1080</v>
      </c>
      <c r="G998" s="12">
        <v>4</v>
      </c>
      <c r="H998" s="12">
        <v>66.34</v>
      </c>
      <c r="I998" s="12">
        <v>265.36</v>
      </c>
      <c r="J998" s="12">
        <v>62725.019999999953</v>
      </c>
      <c r="K998" s="20">
        <f t="shared" si="210"/>
        <v>3</v>
      </c>
      <c r="L998" s="20" t="str">
        <f t="shared" si="211"/>
        <v>Se repite 3 veces</v>
      </c>
      <c r="M998" s="20" t="str">
        <f t="shared" si="212"/>
        <v>Tradiciones Andinas-T.A Lomitos de Atún en Aceite / Solid TUNA in Oil 5oz x 48</v>
      </c>
      <c r="N998" s="20">
        <f t="shared" si="213"/>
        <v>3</v>
      </c>
      <c r="O998" s="20" t="str">
        <f t="shared" si="214"/>
        <v>Se repite 3 veces en Tradiciones Andinas</v>
      </c>
      <c r="P998" s="20" t="str">
        <f t="shared" si="215"/>
        <v>Tradiciones Andinas-T.A Lomitos de Atún en Aceite / Solid TUNA in Oil 5oz x 48-66.34</v>
      </c>
      <c r="Q998" s="20">
        <f t="shared" si="216"/>
        <v>2</v>
      </c>
      <c r="R998" s="20" t="str">
        <f t="shared" si="217"/>
        <v>Se repite 2 veces el precio de 66.34</v>
      </c>
      <c r="S998" s="20" t="str">
        <f t="shared" si="218"/>
        <v>El producto T.A Lomitos de Atún en Aceite / Solid TUNA in Oil 5oz x 48 Se repite 3 veces en Tradiciones Andinas, Se repite 2 veces el precio de 66.34</v>
      </c>
      <c r="T998" s="20" t="str">
        <f t="shared" si="219"/>
        <v>Tradiciones Andinas</v>
      </c>
      <c r="U998" s="20" t="str">
        <f t="shared" si="220"/>
        <v>T.A Lomitos de Atún en Aceite / Solid TUNA in Oil 5oz x 48</v>
      </c>
      <c r="V998" s="22">
        <f t="shared" si="221"/>
        <v>66.34</v>
      </c>
      <c r="W998" t="str">
        <f t="shared" si="222"/>
        <v>Tradiciones Andinas 07/21/2025</v>
      </c>
      <c r="Z998">
        <f t="shared" si="223"/>
        <v>265.36</v>
      </c>
    </row>
    <row r="999" spans="1:26" hidden="1" x14ac:dyDescent="0.25">
      <c r="A999" s="2" t="s">
        <v>664</v>
      </c>
      <c r="B999" s="11" t="s">
        <v>665</v>
      </c>
      <c r="C999" s="11" t="s">
        <v>4</v>
      </c>
      <c r="D999" s="11" t="s">
        <v>666</v>
      </c>
      <c r="E999" s="11" t="s">
        <v>724</v>
      </c>
      <c r="F999" s="11" t="s">
        <v>725</v>
      </c>
      <c r="G999" s="12">
        <v>2</v>
      </c>
      <c r="H999" s="12">
        <v>35</v>
      </c>
      <c r="I999" s="12">
        <v>70</v>
      </c>
      <c r="J999" s="12">
        <v>1802.7199999999996</v>
      </c>
      <c r="K999" s="20">
        <f t="shared" si="210"/>
        <v>2</v>
      </c>
      <c r="L999" s="20" t="str">
        <f t="shared" si="211"/>
        <v>Se repite 2 veces</v>
      </c>
      <c r="M999" s="20" t="str">
        <f t="shared" si="212"/>
        <v>Tradiciones Andinas-T.A Maiz Cancha (Family Pack) /Cancha Corn 54oz x 6</v>
      </c>
      <c r="N999" s="20">
        <f t="shared" si="213"/>
        <v>2</v>
      </c>
      <c r="O999" s="20" t="str">
        <f t="shared" si="214"/>
        <v>Se repite 2 veces en Tradiciones Andinas</v>
      </c>
      <c r="P999" s="20" t="str">
        <f t="shared" si="215"/>
        <v>Tradiciones Andinas-T.A Maiz Cancha (Family Pack) /Cancha Corn 54oz x 6-35</v>
      </c>
      <c r="Q999" s="20">
        <f t="shared" si="216"/>
        <v>2</v>
      </c>
      <c r="R999" s="20" t="str">
        <f t="shared" si="217"/>
        <v>Se repite 2 veces el precio de 35</v>
      </c>
      <c r="S999" s="20" t="str">
        <f t="shared" si="218"/>
        <v>El producto T.A Maiz Cancha (Family Pack) /Cancha Corn 54oz x 6 Se repite 2 veces en Tradiciones Andinas, Se repite 2 veces el precio de 35</v>
      </c>
      <c r="T999" s="20" t="str">
        <f t="shared" si="219"/>
        <v>Tradiciones Andinas</v>
      </c>
      <c r="U999" s="20" t="str">
        <f t="shared" si="220"/>
        <v>T.A Maiz Cancha (Family Pack) /Cancha Corn 54oz x 6</v>
      </c>
      <c r="V999" s="22">
        <f t="shared" si="221"/>
        <v>35</v>
      </c>
      <c r="W999" t="str">
        <f t="shared" si="222"/>
        <v>Tradiciones Andinas 03/31/2025</v>
      </c>
      <c r="Z999">
        <f t="shared" si="223"/>
        <v>70</v>
      </c>
    </row>
    <row r="1000" spans="1:26" hidden="1" x14ac:dyDescent="0.25">
      <c r="A1000" s="2" t="s">
        <v>664</v>
      </c>
      <c r="B1000" s="11" t="s">
        <v>1193</v>
      </c>
      <c r="C1000" s="11" t="s">
        <v>4</v>
      </c>
      <c r="D1000" s="11" t="s">
        <v>1194</v>
      </c>
      <c r="E1000" s="11" t="s">
        <v>724</v>
      </c>
      <c r="F1000" s="11" t="s">
        <v>1195</v>
      </c>
      <c r="G1000" s="12">
        <v>5</v>
      </c>
      <c r="H1000" s="12">
        <v>35</v>
      </c>
      <c r="I1000" s="12">
        <v>175</v>
      </c>
      <c r="J1000" s="12">
        <v>95836.069999999934</v>
      </c>
      <c r="K1000" s="20">
        <f t="shared" si="210"/>
        <v>2</v>
      </c>
      <c r="L1000" s="20" t="str">
        <f t="shared" si="211"/>
        <v>Se repite 2 veces</v>
      </c>
      <c r="M1000" s="20" t="str">
        <f t="shared" si="212"/>
        <v>Tradiciones Andinas-T.A Maiz Cancha (Family Pack) /Cancha Corn 54oz x 6</v>
      </c>
      <c r="N1000" s="20">
        <f t="shared" si="213"/>
        <v>2</v>
      </c>
      <c r="O1000" s="20" t="str">
        <f t="shared" si="214"/>
        <v>Se repite 2 veces en Tradiciones Andinas</v>
      </c>
      <c r="P1000" s="20" t="str">
        <f t="shared" si="215"/>
        <v>Tradiciones Andinas-T.A Maiz Cancha (Family Pack) /Cancha Corn 54oz x 6-35</v>
      </c>
      <c r="Q1000" s="20">
        <f t="shared" si="216"/>
        <v>2</v>
      </c>
      <c r="R1000" s="20" t="str">
        <f t="shared" si="217"/>
        <v>Se repite 2 veces el precio de 35</v>
      </c>
      <c r="S1000" s="20" t="str">
        <f t="shared" si="218"/>
        <v>El producto T.A Maiz Cancha (Family Pack) /Cancha Corn 54oz x 6 Se repite 2 veces en Tradiciones Andinas, Se repite 2 veces el precio de 35</v>
      </c>
      <c r="T1000" s="20" t="str">
        <f t="shared" si="219"/>
        <v>Tradiciones Andinas</v>
      </c>
      <c r="U1000" s="20" t="str">
        <f t="shared" si="220"/>
        <v>T.A Maiz Cancha (Family Pack) /Cancha Corn 54oz x 6</v>
      </c>
      <c r="V1000" s="22">
        <f t="shared" si="221"/>
        <v>35</v>
      </c>
      <c r="W1000" t="str">
        <f t="shared" si="222"/>
        <v>Tradiciones Andinas 10/30/2025</v>
      </c>
      <c r="Z1000">
        <f t="shared" si="223"/>
        <v>175</v>
      </c>
    </row>
    <row r="1001" spans="1:26" hidden="1" x14ac:dyDescent="0.25">
      <c r="A1001" s="2" t="s">
        <v>664</v>
      </c>
      <c r="B1001" s="11" t="s">
        <v>821</v>
      </c>
      <c r="C1001" s="11" t="s">
        <v>4</v>
      </c>
      <c r="D1001" s="11" t="s">
        <v>822</v>
      </c>
      <c r="E1001" s="11" t="s">
        <v>855</v>
      </c>
      <c r="F1001" s="11" t="s">
        <v>856</v>
      </c>
      <c r="G1001" s="12">
        <v>5</v>
      </c>
      <c r="H1001" s="12">
        <v>12</v>
      </c>
      <c r="I1001" s="12">
        <v>60</v>
      </c>
      <c r="J1001" s="12">
        <v>15007.279999999999</v>
      </c>
      <c r="K1001" s="20">
        <f t="shared" si="210"/>
        <v>4</v>
      </c>
      <c r="L1001" s="20" t="str">
        <f t="shared" si="211"/>
        <v>Se repite 4 veces</v>
      </c>
      <c r="M1001" s="20" t="str">
        <f t="shared" si="212"/>
        <v>Tradiciones Andinas-T.A Maiz Cancha Frito Salado / Native Corn Snack 130gr x12</v>
      </c>
      <c r="N1001" s="20">
        <f t="shared" si="213"/>
        <v>4</v>
      </c>
      <c r="O1001" s="20" t="str">
        <f t="shared" si="214"/>
        <v>Se repite 4 veces en Tradiciones Andinas</v>
      </c>
      <c r="P1001" s="20" t="str">
        <f t="shared" si="215"/>
        <v>Tradiciones Andinas-T.A Maiz Cancha Frito Salado / Native Corn Snack 130gr x12-12</v>
      </c>
      <c r="Q1001" s="20">
        <f t="shared" si="216"/>
        <v>1</v>
      </c>
      <c r="R1001" s="20" t="str">
        <f t="shared" si="217"/>
        <v>No se repite</v>
      </c>
      <c r="S1001" s="20" t="str">
        <f t="shared" si="218"/>
        <v>El producto T.A Maiz Cancha Frito Salado / Native Corn Snack 130gr x12 Se repite 4 veces en Tradiciones Andinas Una vez con el precio 12</v>
      </c>
      <c r="T1001" s="20" t="str">
        <f t="shared" si="219"/>
        <v>Tradiciones Andinas</v>
      </c>
      <c r="U1001" s="20" t="str">
        <f t="shared" si="220"/>
        <v>T.A Maiz Cancha Frito Salado / Native Corn Snack 130gr x12</v>
      </c>
      <c r="V1001" s="22">
        <f t="shared" si="221"/>
        <v>12</v>
      </c>
      <c r="W1001" t="str">
        <f t="shared" si="222"/>
        <v>Tradiciones Andinas 04/25/2025</v>
      </c>
      <c r="Z1001">
        <f t="shared" si="223"/>
        <v>60</v>
      </c>
    </row>
    <row r="1002" spans="1:26" hidden="1" x14ac:dyDescent="0.25">
      <c r="A1002" s="2" t="s">
        <v>664</v>
      </c>
      <c r="B1002" s="11" t="s">
        <v>1033</v>
      </c>
      <c r="C1002" s="11" t="s">
        <v>4</v>
      </c>
      <c r="D1002" s="11" t="s">
        <v>1034</v>
      </c>
      <c r="E1002" s="11" t="s">
        <v>855</v>
      </c>
      <c r="F1002" s="11" t="s">
        <v>1053</v>
      </c>
      <c r="G1002" s="12">
        <v>5</v>
      </c>
      <c r="H1002" s="12">
        <v>13.2</v>
      </c>
      <c r="I1002" s="12">
        <v>66</v>
      </c>
      <c r="J1002" s="12">
        <v>51070.01999999996</v>
      </c>
      <c r="K1002" s="20">
        <f t="shared" si="210"/>
        <v>4</v>
      </c>
      <c r="L1002" s="20" t="str">
        <f t="shared" si="211"/>
        <v>Se repite 4 veces</v>
      </c>
      <c r="M1002" s="20" t="str">
        <f t="shared" si="212"/>
        <v>Tradiciones Andinas-T.A Maiz Cancha Frito Salado / Native Corn Snack 130gr x12</v>
      </c>
      <c r="N1002" s="20">
        <f t="shared" si="213"/>
        <v>4</v>
      </c>
      <c r="O1002" s="20" t="str">
        <f t="shared" si="214"/>
        <v>Se repite 4 veces en Tradiciones Andinas</v>
      </c>
      <c r="P1002" s="20" t="str">
        <f t="shared" si="215"/>
        <v>Tradiciones Andinas-T.A Maiz Cancha Frito Salado / Native Corn Snack 130gr x12-13.2</v>
      </c>
      <c r="Q1002" s="20">
        <f t="shared" si="216"/>
        <v>3</v>
      </c>
      <c r="R1002" s="20" t="str">
        <f t="shared" si="217"/>
        <v>Se repite 3 veces el precio de 13.2</v>
      </c>
      <c r="S1002" s="20" t="str">
        <f t="shared" si="218"/>
        <v>El producto T.A Maiz Cancha Frito Salado / Native Corn Snack 130gr x12 Se repite 4 veces en Tradiciones Andinas, Se repite 3 veces el precio de 13.2</v>
      </c>
      <c r="T1002" s="20" t="str">
        <f t="shared" si="219"/>
        <v>Tradiciones Andinas</v>
      </c>
      <c r="U1002" s="20" t="str">
        <f t="shared" si="220"/>
        <v>T.A Maiz Cancha Frito Salado / Native Corn Snack 130gr x12</v>
      </c>
      <c r="V1002" s="22">
        <f t="shared" si="221"/>
        <v>13.2</v>
      </c>
      <c r="W1002" t="str">
        <f t="shared" si="222"/>
        <v>Tradiciones Andinas 07/03/2025</v>
      </c>
      <c r="Z1002">
        <f t="shared" si="223"/>
        <v>66</v>
      </c>
    </row>
    <row r="1003" spans="1:26" hidden="1" x14ac:dyDescent="0.25">
      <c r="A1003" s="2" t="s">
        <v>664</v>
      </c>
      <c r="B1003" s="11" t="s">
        <v>1125</v>
      </c>
      <c r="C1003" s="11" t="s">
        <v>4</v>
      </c>
      <c r="D1003" s="11" t="s">
        <v>1126</v>
      </c>
      <c r="E1003" s="11" t="s">
        <v>855</v>
      </c>
      <c r="F1003" s="11" t="s">
        <v>1053</v>
      </c>
      <c r="G1003" s="12">
        <v>2</v>
      </c>
      <c r="H1003" s="12">
        <v>13.2</v>
      </c>
      <c r="I1003" s="12">
        <v>26.4</v>
      </c>
      <c r="J1003" s="12">
        <v>69980.970000000016</v>
      </c>
      <c r="K1003" s="20">
        <f t="shared" si="210"/>
        <v>4</v>
      </c>
      <c r="L1003" s="20" t="str">
        <f t="shared" si="211"/>
        <v>Se repite 4 veces</v>
      </c>
      <c r="M1003" s="20" t="str">
        <f t="shared" si="212"/>
        <v>Tradiciones Andinas-T.A Maiz Cancha Frito Salado / Native Corn Snack 130gr x12</v>
      </c>
      <c r="N1003" s="20">
        <f t="shared" si="213"/>
        <v>4</v>
      </c>
      <c r="O1003" s="20" t="str">
        <f t="shared" si="214"/>
        <v>Se repite 4 veces en Tradiciones Andinas</v>
      </c>
      <c r="P1003" s="20" t="str">
        <f t="shared" si="215"/>
        <v>Tradiciones Andinas-T.A Maiz Cancha Frito Salado / Native Corn Snack 130gr x12-13.2</v>
      </c>
      <c r="Q1003" s="20">
        <f t="shared" si="216"/>
        <v>3</v>
      </c>
      <c r="R1003" s="20" t="str">
        <f t="shared" si="217"/>
        <v>Se repite 3 veces el precio de 13.2</v>
      </c>
      <c r="S1003" s="20" t="str">
        <f t="shared" si="218"/>
        <v>El producto T.A Maiz Cancha Frito Salado / Native Corn Snack 130gr x12 Se repite 4 veces en Tradiciones Andinas, Se repite 3 veces el precio de 13.2</v>
      </c>
      <c r="T1003" s="20" t="str">
        <f t="shared" si="219"/>
        <v>Tradiciones Andinas</v>
      </c>
      <c r="U1003" s="20" t="str">
        <f t="shared" si="220"/>
        <v>T.A Maiz Cancha Frito Salado / Native Corn Snack 130gr x12</v>
      </c>
      <c r="V1003" s="22">
        <f t="shared" si="221"/>
        <v>13.2</v>
      </c>
      <c r="W1003" t="str">
        <f t="shared" si="222"/>
        <v>Tradiciones Andinas 08/18/2025</v>
      </c>
      <c r="Z1003">
        <f t="shared" si="223"/>
        <v>26.4</v>
      </c>
    </row>
    <row r="1004" spans="1:26" hidden="1" x14ac:dyDescent="0.25">
      <c r="A1004" s="2" t="s">
        <v>664</v>
      </c>
      <c r="B1004" s="11" t="s">
        <v>1207</v>
      </c>
      <c r="C1004" s="11" t="s">
        <v>4</v>
      </c>
      <c r="D1004" s="11" t="s">
        <v>1208</v>
      </c>
      <c r="E1004" s="11" t="s">
        <v>855</v>
      </c>
      <c r="F1004" s="11" t="s">
        <v>1053</v>
      </c>
      <c r="G1004" s="12">
        <v>7</v>
      </c>
      <c r="H1004" s="12">
        <v>13.2</v>
      </c>
      <c r="I1004" s="12">
        <v>92.4</v>
      </c>
      <c r="J1004" s="12">
        <v>108177.08999999991</v>
      </c>
      <c r="K1004" s="20">
        <f t="shared" si="210"/>
        <v>4</v>
      </c>
      <c r="L1004" s="20" t="str">
        <f t="shared" si="211"/>
        <v>Se repite 4 veces</v>
      </c>
      <c r="M1004" s="20" t="str">
        <f t="shared" si="212"/>
        <v>Tradiciones Andinas-T.A Maiz Cancha Frito Salado / Native Corn Snack 130gr x12</v>
      </c>
      <c r="N1004" s="20">
        <f t="shared" si="213"/>
        <v>4</v>
      </c>
      <c r="O1004" s="20" t="str">
        <f t="shared" si="214"/>
        <v>Se repite 4 veces en Tradiciones Andinas</v>
      </c>
      <c r="P1004" s="20" t="str">
        <f t="shared" si="215"/>
        <v>Tradiciones Andinas-T.A Maiz Cancha Frito Salado / Native Corn Snack 130gr x12-13.2</v>
      </c>
      <c r="Q1004" s="20">
        <f t="shared" si="216"/>
        <v>3</v>
      </c>
      <c r="R1004" s="20" t="str">
        <f t="shared" si="217"/>
        <v>Se repite 3 veces el precio de 13.2</v>
      </c>
      <c r="S1004" s="20" t="str">
        <f t="shared" si="218"/>
        <v>El producto T.A Maiz Cancha Frito Salado / Native Corn Snack 130gr x12 Se repite 4 veces en Tradiciones Andinas, Se repite 3 veces el precio de 13.2</v>
      </c>
      <c r="T1004" s="20" t="str">
        <f t="shared" si="219"/>
        <v>Tradiciones Andinas</v>
      </c>
      <c r="U1004" s="20" t="str">
        <f t="shared" si="220"/>
        <v>T.A Maiz Cancha Frito Salado / Native Corn Snack 130gr x12</v>
      </c>
      <c r="V1004" s="22">
        <f t="shared" si="221"/>
        <v>13.2</v>
      </c>
      <c r="W1004" t="str">
        <f t="shared" si="222"/>
        <v>Tradiciones Andinas 11/28/2025</v>
      </c>
      <c r="Z1004">
        <f t="shared" si="223"/>
        <v>92.399999999999991</v>
      </c>
    </row>
    <row r="1005" spans="1:26" hidden="1" x14ac:dyDescent="0.25">
      <c r="A1005" s="2" t="s">
        <v>664</v>
      </c>
      <c r="B1005" s="11" t="s">
        <v>665</v>
      </c>
      <c r="C1005" s="11" t="s">
        <v>4</v>
      </c>
      <c r="D1005" s="11" t="s">
        <v>666</v>
      </c>
      <c r="E1005" s="11" t="s">
        <v>743</v>
      </c>
      <c r="F1005" s="11" t="s">
        <v>744</v>
      </c>
      <c r="G1005" s="12">
        <v>1</v>
      </c>
      <c r="H1005" s="12">
        <v>60</v>
      </c>
      <c r="I1005" s="12">
        <v>60</v>
      </c>
      <c r="J1005" s="12">
        <v>2216.3599999999997</v>
      </c>
      <c r="K1005" s="20">
        <f t="shared" si="210"/>
        <v>5</v>
      </c>
      <c r="L1005" s="20" t="str">
        <f t="shared" si="211"/>
        <v>Se repite 5 veces</v>
      </c>
      <c r="M1005" s="20" t="str">
        <f t="shared" si="212"/>
        <v>Tradiciones Andinas-T.A Maiz Cancha saco 50Lb</v>
      </c>
      <c r="N1005" s="20">
        <f t="shared" si="213"/>
        <v>5</v>
      </c>
      <c r="O1005" s="20" t="str">
        <f t="shared" si="214"/>
        <v>Se repite 5 veces en Tradiciones Andinas</v>
      </c>
      <c r="P1005" s="20" t="str">
        <f t="shared" si="215"/>
        <v>Tradiciones Andinas-T.A Maiz Cancha saco 50Lb-60</v>
      </c>
      <c r="Q1005" s="20">
        <f t="shared" si="216"/>
        <v>2</v>
      </c>
      <c r="R1005" s="20" t="str">
        <f t="shared" si="217"/>
        <v>Se repite 2 veces el precio de 60</v>
      </c>
      <c r="S1005" s="20" t="str">
        <f t="shared" si="218"/>
        <v>El producto T.A Maiz Cancha saco 50Lb Se repite 5 veces en Tradiciones Andinas, Se repite 2 veces el precio de 60</v>
      </c>
      <c r="T1005" s="20" t="str">
        <f t="shared" si="219"/>
        <v>Tradiciones Andinas</v>
      </c>
      <c r="U1005" s="20" t="str">
        <f t="shared" si="220"/>
        <v>T.A Maiz Cancha saco 50Lb</v>
      </c>
      <c r="V1005" s="22">
        <f t="shared" si="221"/>
        <v>60</v>
      </c>
      <c r="W1005" t="str">
        <f t="shared" si="222"/>
        <v>Tradiciones Andinas 03/31/2025</v>
      </c>
      <c r="Z1005">
        <f t="shared" si="223"/>
        <v>60</v>
      </c>
    </row>
    <row r="1006" spans="1:26" hidden="1" x14ac:dyDescent="0.25">
      <c r="A1006" s="2" t="s">
        <v>664</v>
      </c>
      <c r="B1006" s="11" t="s">
        <v>821</v>
      </c>
      <c r="C1006" s="11" t="s">
        <v>4</v>
      </c>
      <c r="D1006" s="11" t="s">
        <v>822</v>
      </c>
      <c r="E1006" s="11" t="s">
        <v>743</v>
      </c>
      <c r="F1006" s="11" t="s">
        <v>744</v>
      </c>
      <c r="G1006" s="12">
        <v>6</v>
      </c>
      <c r="H1006" s="12">
        <v>60</v>
      </c>
      <c r="I1006" s="12">
        <v>360</v>
      </c>
      <c r="J1006" s="12">
        <v>21161.299999999996</v>
      </c>
      <c r="K1006" s="20">
        <f t="shared" si="210"/>
        <v>5</v>
      </c>
      <c r="L1006" s="20" t="str">
        <f t="shared" si="211"/>
        <v>Se repite 5 veces</v>
      </c>
      <c r="M1006" s="20" t="str">
        <f t="shared" si="212"/>
        <v>Tradiciones Andinas-T.A Maiz Cancha saco 50Lb</v>
      </c>
      <c r="N1006" s="20">
        <f t="shared" si="213"/>
        <v>5</v>
      </c>
      <c r="O1006" s="20" t="str">
        <f t="shared" si="214"/>
        <v>Se repite 5 veces en Tradiciones Andinas</v>
      </c>
      <c r="P1006" s="20" t="str">
        <f t="shared" si="215"/>
        <v>Tradiciones Andinas-T.A Maiz Cancha saco 50Lb-60</v>
      </c>
      <c r="Q1006" s="20">
        <f t="shared" si="216"/>
        <v>2</v>
      </c>
      <c r="R1006" s="20" t="str">
        <f t="shared" si="217"/>
        <v>Se repite 2 veces el precio de 60</v>
      </c>
      <c r="S1006" s="20" t="str">
        <f t="shared" si="218"/>
        <v>El producto T.A Maiz Cancha saco 50Lb Se repite 5 veces en Tradiciones Andinas, Se repite 2 veces el precio de 60</v>
      </c>
      <c r="T1006" s="20" t="str">
        <f t="shared" si="219"/>
        <v>Tradiciones Andinas</v>
      </c>
      <c r="U1006" s="20" t="str">
        <f t="shared" si="220"/>
        <v>T.A Maiz Cancha saco 50Lb</v>
      </c>
      <c r="V1006" s="22">
        <f t="shared" si="221"/>
        <v>60</v>
      </c>
      <c r="W1006" t="str">
        <f t="shared" si="222"/>
        <v>Tradiciones Andinas 04/25/2025</v>
      </c>
      <c r="Z1006">
        <f t="shared" si="223"/>
        <v>360</v>
      </c>
    </row>
    <row r="1007" spans="1:26" hidden="1" x14ac:dyDescent="0.25">
      <c r="A1007" s="2" t="s">
        <v>664</v>
      </c>
      <c r="B1007" s="11" t="s">
        <v>654</v>
      </c>
      <c r="C1007" s="11" t="s">
        <v>4</v>
      </c>
      <c r="D1007" s="11" t="s">
        <v>940</v>
      </c>
      <c r="E1007" s="11" t="s">
        <v>743</v>
      </c>
      <c r="F1007" s="11" t="s">
        <v>973</v>
      </c>
      <c r="G1007" s="12">
        <v>12</v>
      </c>
      <c r="H1007" s="12">
        <v>64.2</v>
      </c>
      <c r="I1007" s="12">
        <v>770.4</v>
      </c>
      <c r="J1007" s="12">
        <v>32527.059999999998</v>
      </c>
      <c r="K1007" s="20">
        <f t="shared" si="210"/>
        <v>5</v>
      </c>
      <c r="L1007" s="20" t="str">
        <f t="shared" si="211"/>
        <v>Se repite 5 veces</v>
      </c>
      <c r="M1007" s="20" t="str">
        <f t="shared" si="212"/>
        <v>Tradiciones Andinas-T.A Maiz Cancha saco 50Lb</v>
      </c>
      <c r="N1007" s="20">
        <f t="shared" si="213"/>
        <v>5</v>
      </c>
      <c r="O1007" s="20" t="str">
        <f t="shared" si="214"/>
        <v>Se repite 5 veces en Tradiciones Andinas</v>
      </c>
      <c r="P1007" s="20" t="str">
        <f t="shared" si="215"/>
        <v>Tradiciones Andinas-T.A Maiz Cancha saco 50Lb-64.2</v>
      </c>
      <c r="Q1007" s="20">
        <f t="shared" si="216"/>
        <v>3</v>
      </c>
      <c r="R1007" s="20" t="str">
        <f t="shared" si="217"/>
        <v>Se repite 3 veces el precio de 64.2</v>
      </c>
      <c r="S1007" s="20" t="str">
        <f t="shared" si="218"/>
        <v>El producto T.A Maiz Cancha saco 50Lb Se repite 5 veces en Tradiciones Andinas, Se repite 3 veces el precio de 64.2</v>
      </c>
      <c r="T1007" s="20" t="str">
        <f t="shared" si="219"/>
        <v>Tradiciones Andinas</v>
      </c>
      <c r="U1007" s="20" t="str">
        <f t="shared" si="220"/>
        <v>T.A Maiz Cancha saco 50Lb</v>
      </c>
      <c r="V1007" s="22">
        <f t="shared" si="221"/>
        <v>64.2</v>
      </c>
      <c r="W1007" t="str">
        <f t="shared" si="222"/>
        <v>Tradiciones Andinas 05/19/2025</v>
      </c>
      <c r="Z1007">
        <f t="shared" si="223"/>
        <v>770.40000000000009</v>
      </c>
    </row>
    <row r="1008" spans="1:26" hidden="1" x14ac:dyDescent="0.25">
      <c r="A1008" s="2" t="s">
        <v>664</v>
      </c>
      <c r="B1008" s="11" t="s">
        <v>1153</v>
      </c>
      <c r="C1008" s="11" t="s">
        <v>4</v>
      </c>
      <c r="D1008" s="11" t="s">
        <v>1154</v>
      </c>
      <c r="E1008" s="11" t="s">
        <v>743</v>
      </c>
      <c r="F1008" s="11" t="s">
        <v>973</v>
      </c>
      <c r="G1008" s="12">
        <v>5</v>
      </c>
      <c r="H1008" s="12">
        <v>64.2</v>
      </c>
      <c r="I1008" s="12">
        <v>321</v>
      </c>
      <c r="J1008" s="12">
        <v>85203.129999999961</v>
      </c>
      <c r="K1008" s="20">
        <f t="shared" si="210"/>
        <v>5</v>
      </c>
      <c r="L1008" s="20" t="str">
        <f t="shared" si="211"/>
        <v>Se repite 5 veces</v>
      </c>
      <c r="M1008" s="20" t="str">
        <f t="shared" si="212"/>
        <v>Tradiciones Andinas-T.A Maiz Cancha saco 50Lb</v>
      </c>
      <c r="N1008" s="20">
        <f t="shared" si="213"/>
        <v>5</v>
      </c>
      <c r="O1008" s="20" t="str">
        <f t="shared" si="214"/>
        <v>Se repite 5 veces en Tradiciones Andinas</v>
      </c>
      <c r="P1008" s="20" t="str">
        <f t="shared" si="215"/>
        <v>Tradiciones Andinas-T.A Maiz Cancha saco 50Lb-64.2</v>
      </c>
      <c r="Q1008" s="20">
        <f t="shared" si="216"/>
        <v>3</v>
      </c>
      <c r="R1008" s="20" t="str">
        <f t="shared" si="217"/>
        <v>Se repite 3 veces el precio de 64.2</v>
      </c>
      <c r="S1008" s="20" t="str">
        <f t="shared" si="218"/>
        <v>El producto T.A Maiz Cancha saco 50Lb Se repite 5 veces en Tradiciones Andinas, Se repite 3 veces el precio de 64.2</v>
      </c>
      <c r="T1008" s="20" t="str">
        <f t="shared" si="219"/>
        <v>Tradiciones Andinas</v>
      </c>
      <c r="U1008" s="20" t="str">
        <f t="shared" si="220"/>
        <v>T.A Maiz Cancha saco 50Lb</v>
      </c>
      <c r="V1008" s="22">
        <f t="shared" si="221"/>
        <v>64.2</v>
      </c>
      <c r="W1008" t="str">
        <f t="shared" si="222"/>
        <v>Tradiciones Andinas 09/24/2025</v>
      </c>
      <c r="Z1008">
        <f t="shared" si="223"/>
        <v>321</v>
      </c>
    </row>
    <row r="1009" spans="1:26" hidden="1" x14ac:dyDescent="0.25">
      <c r="A1009" s="2" t="s">
        <v>664</v>
      </c>
      <c r="B1009" s="11" t="s">
        <v>1201</v>
      </c>
      <c r="C1009" s="11" t="s">
        <v>4</v>
      </c>
      <c r="D1009" s="11" t="s">
        <v>1202</v>
      </c>
      <c r="E1009" s="11" t="s">
        <v>743</v>
      </c>
      <c r="F1009" s="11" t="s">
        <v>973</v>
      </c>
      <c r="G1009" s="12">
        <v>4</v>
      </c>
      <c r="H1009" s="12">
        <v>64.2</v>
      </c>
      <c r="I1009" s="12">
        <v>256.8</v>
      </c>
      <c r="J1009" s="12">
        <v>103366.70999999992</v>
      </c>
      <c r="K1009" s="20">
        <f t="shared" si="210"/>
        <v>5</v>
      </c>
      <c r="L1009" s="20" t="str">
        <f t="shared" si="211"/>
        <v>Se repite 5 veces</v>
      </c>
      <c r="M1009" s="20" t="str">
        <f t="shared" si="212"/>
        <v>Tradiciones Andinas-T.A Maiz Cancha saco 50Lb</v>
      </c>
      <c r="N1009" s="20">
        <f t="shared" si="213"/>
        <v>5</v>
      </c>
      <c r="O1009" s="20" t="str">
        <f t="shared" si="214"/>
        <v>Se repite 5 veces en Tradiciones Andinas</v>
      </c>
      <c r="P1009" s="20" t="str">
        <f t="shared" si="215"/>
        <v>Tradiciones Andinas-T.A Maiz Cancha saco 50Lb-64.2</v>
      </c>
      <c r="Q1009" s="20">
        <f t="shared" si="216"/>
        <v>3</v>
      </c>
      <c r="R1009" s="20" t="str">
        <f t="shared" si="217"/>
        <v>Se repite 3 veces el precio de 64.2</v>
      </c>
      <c r="S1009" s="20" t="str">
        <f t="shared" si="218"/>
        <v>El producto T.A Maiz Cancha saco 50Lb Se repite 5 veces en Tradiciones Andinas, Se repite 3 veces el precio de 64.2</v>
      </c>
      <c r="T1009" s="20" t="str">
        <f t="shared" si="219"/>
        <v>Tradiciones Andinas</v>
      </c>
      <c r="U1009" s="20" t="str">
        <f t="shared" si="220"/>
        <v>T.A Maiz Cancha saco 50Lb</v>
      </c>
      <c r="V1009" s="22">
        <f t="shared" si="221"/>
        <v>64.2</v>
      </c>
      <c r="W1009" t="str">
        <f t="shared" si="222"/>
        <v>Tradiciones Andinas 11/07/2025</v>
      </c>
      <c r="Z1009">
        <f t="shared" si="223"/>
        <v>256.8</v>
      </c>
    </row>
    <row r="1010" spans="1:26" hidden="1" x14ac:dyDescent="0.25">
      <c r="A1010" s="2" t="s">
        <v>664</v>
      </c>
      <c r="B1010" s="11" t="s">
        <v>158</v>
      </c>
      <c r="C1010" s="11" t="s">
        <v>4</v>
      </c>
      <c r="D1010" s="11" t="s">
        <v>984</v>
      </c>
      <c r="E1010" s="11" t="s">
        <v>997</v>
      </c>
      <c r="F1010" s="11" t="s">
        <v>998</v>
      </c>
      <c r="G1010" s="12">
        <v>2</v>
      </c>
      <c r="H1010" s="12">
        <v>35</v>
      </c>
      <c r="I1010" s="12">
        <v>70</v>
      </c>
      <c r="J1010" s="12">
        <v>37785.39</v>
      </c>
      <c r="K1010" s="20">
        <f t="shared" si="210"/>
        <v>2</v>
      </c>
      <c r="L1010" s="20" t="str">
        <f t="shared" si="211"/>
        <v>Se repite 2 veces</v>
      </c>
      <c r="M1010" s="20" t="str">
        <f t="shared" si="212"/>
        <v>Tradiciones Andinas-T.A Maiz Carhuay (Family Pack) / Carhuay Corn 54oz x 6</v>
      </c>
      <c r="N1010" s="20">
        <f t="shared" si="213"/>
        <v>2</v>
      </c>
      <c r="O1010" s="20" t="str">
        <f t="shared" si="214"/>
        <v>Se repite 2 veces en Tradiciones Andinas</v>
      </c>
      <c r="P1010" s="20" t="str">
        <f t="shared" si="215"/>
        <v>Tradiciones Andinas-T.A Maiz Carhuay (Family Pack) / Carhuay Corn 54oz x 6-35</v>
      </c>
      <c r="Q1010" s="20">
        <f t="shared" si="216"/>
        <v>2</v>
      </c>
      <c r="R1010" s="20" t="str">
        <f t="shared" si="217"/>
        <v>Se repite 2 veces el precio de 35</v>
      </c>
      <c r="S1010" s="20" t="str">
        <f t="shared" si="218"/>
        <v>El producto T.A Maiz Carhuay (Family Pack) / Carhuay Corn 54oz x 6 Se repite 2 veces en Tradiciones Andinas, Se repite 2 veces el precio de 35</v>
      </c>
      <c r="T1010" s="20" t="str">
        <f t="shared" si="219"/>
        <v>Tradiciones Andinas</v>
      </c>
      <c r="U1010" s="20" t="str">
        <f t="shared" si="220"/>
        <v>T.A Maiz Carhuay (Family Pack) / Carhuay Corn 54oz x 6</v>
      </c>
      <c r="V1010" s="22">
        <f t="shared" si="221"/>
        <v>35</v>
      </c>
      <c r="W1010" t="str">
        <f t="shared" si="222"/>
        <v>Tradiciones Andinas 06/12/2025</v>
      </c>
      <c r="Z1010">
        <f t="shared" si="223"/>
        <v>70</v>
      </c>
    </row>
    <row r="1011" spans="1:26" hidden="1" x14ac:dyDescent="0.25">
      <c r="A1011" s="2" t="s">
        <v>664</v>
      </c>
      <c r="B1011" s="11" t="s">
        <v>1201</v>
      </c>
      <c r="C1011" s="11" t="s">
        <v>4</v>
      </c>
      <c r="D1011" s="11" t="s">
        <v>1202</v>
      </c>
      <c r="E1011" s="11" t="s">
        <v>997</v>
      </c>
      <c r="F1011" s="11" t="s">
        <v>1204</v>
      </c>
      <c r="G1011" s="12">
        <v>1</v>
      </c>
      <c r="H1011" s="12">
        <v>35</v>
      </c>
      <c r="I1011" s="12">
        <v>35</v>
      </c>
      <c r="J1011" s="12">
        <v>101795.98999999993</v>
      </c>
      <c r="K1011" s="20">
        <f t="shared" si="210"/>
        <v>2</v>
      </c>
      <c r="L1011" s="20" t="str">
        <f t="shared" si="211"/>
        <v>Se repite 2 veces</v>
      </c>
      <c r="M1011" s="20" t="str">
        <f t="shared" si="212"/>
        <v>Tradiciones Andinas-T.A Maiz Carhuay (Family Pack) / Carhuay Corn 54oz x 6</v>
      </c>
      <c r="N1011" s="20">
        <f t="shared" si="213"/>
        <v>2</v>
      </c>
      <c r="O1011" s="20" t="str">
        <f t="shared" si="214"/>
        <v>Se repite 2 veces en Tradiciones Andinas</v>
      </c>
      <c r="P1011" s="20" t="str">
        <f t="shared" si="215"/>
        <v>Tradiciones Andinas-T.A Maiz Carhuay (Family Pack) / Carhuay Corn 54oz x 6-35</v>
      </c>
      <c r="Q1011" s="20">
        <f t="shared" si="216"/>
        <v>2</v>
      </c>
      <c r="R1011" s="20" t="str">
        <f t="shared" si="217"/>
        <v>Se repite 2 veces el precio de 35</v>
      </c>
      <c r="S1011" s="20" t="str">
        <f t="shared" si="218"/>
        <v>El producto T.A Maiz Carhuay (Family Pack) / Carhuay Corn 54oz x 6 Se repite 2 veces en Tradiciones Andinas, Se repite 2 veces el precio de 35</v>
      </c>
      <c r="T1011" s="20" t="str">
        <f t="shared" si="219"/>
        <v>Tradiciones Andinas</v>
      </c>
      <c r="U1011" s="20" t="str">
        <f t="shared" si="220"/>
        <v>T.A Maiz Carhuay (Family Pack) / Carhuay Corn 54oz x 6</v>
      </c>
      <c r="V1011" s="22">
        <f t="shared" si="221"/>
        <v>35</v>
      </c>
      <c r="W1011" t="str">
        <f t="shared" si="222"/>
        <v>Tradiciones Andinas 11/07/2025</v>
      </c>
      <c r="Z1011">
        <f t="shared" si="223"/>
        <v>35</v>
      </c>
    </row>
    <row r="1012" spans="1:26" hidden="1" x14ac:dyDescent="0.25">
      <c r="A1012" s="2" t="s">
        <v>664</v>
      </c>
      <c r="B1012" s="11" t="s">
        <v>665</v>
      </c>
      <c r="C1012" s="11" t="s">
        <v>4</v>
      </c>
      <c r="D1012" s="11" t="s">
        <v>666</v>
      </c>
      <c r="E1012" s="11" t="s">
        <v>708</v>
      </c>
      <c r="F1012" s="11" t="s">
        <v>709</v>
      </c>
      <c r="G1012" s="12">
        <v>2</v>
      </c>
      <c r="H1012" s="12">
        <v>40.56</v>
      </c>
      <c r="I1012" s="12">
        <v>81.12</v>
      </c>
      <c r="J1012" s="12">
        <v>1301.56</v>
      </c>
      <c r="K1012" s="20">
        <f t="shared" si="210"/>
        <v>5</v>
      </c>
      <c r="L1012" s="20" t="str">
        <f t="shared" si="211"/>
        <v>Se repite 5 veces</v>
      </c>
      <c r="M1012" s="20" t="str">
        <f t="shared" si="212"/>
        <v>Tradiciones Andinas-T.A Maiz Chulpe /Chulpe Corn 15oz x 24</v>
      </c>
      <c r="N1012" s="20">
        <f t="shared" si="213"/>
        <v>5</v>
      </c>
      <c r="O1012" s="20" t="str">
        <f t="shared" si="214"/>
        <v>Se repite 5 veces en Tradiciones Andinas</v>
      </c>
      <c r="P1012" s="20" t="str">
        <f t="shared" si="215"/>
        <v>Tradiciones Andinas-T.A Maiz Chulpe /Chulpe Corn 15oz x 24-40.56</v>
      </c>
      <c r="Q1012" s="20">
        <f t="shared" si="216"/>
        <v>5</v>
      </c>
      <c r="R1012" s="20" t="str">
        <f t="shared" si="217"/>
        <v>Se repite 5 veces el precio de 40.56</v>
      </c>
      <c r="S1012" s="20" t="str">
        <f t="shared" si="218"/>
        <v>El producto T.A Maiz Chulpe /Chulpe Corn 15oz x 24 Se repite 5 veces en Tradiciones Andinas, Se repite 5 veces el precio de 40.56</v>
      </c>
      <c r="T1012" s="20" t="str">
        <f t="shared" si="219"/>
        <v>Tradiciones Andinas</v>
      </c>
      <c r="U1012" s="20" t="str">
        <f t="shared" si="220"/>
        <v>T.A Maiz Chulpe /Chulpe Corn 15oz x 24</v>
      </c>
      <c r="V1012" s="22">
        <f t="shared" si="221"/>
        <v>40.56</v>
      </c>
      <c r="W1012" t="str">
        <f t="shared" si="222"/>
        <v>Tradiciones Andinas 03/31/2025</v>
      </c>
      <c r="Z1012">
        <f t="shared" si="223"/>
        <v>81.12</v>
      </c>
    </row>
    <row r="1013" spans="1:26" hidden="1" x14ac:dyDescent="0.25">
      <c r="A1013" s="2" t="s">
        <v>664</v>
      </c>
      <c r="B1013" s="11" t="s">
        <v>398</v>
      </c>
      <c r="C1013" s="11" t="s">
        <v>4</v>
      </c>
      <c r="D1013" s="11" t="s">
        <v>5</v>
      </c>
      <c r="E1013" s="11" t="s">
        <v>708</v>
      </c>
      <c r="F1013" s="11" t="s">
        <v>709</v>
      </c>
      <c r="G1013" s="12">
        <v>2</v>
      </c>
      <c r="H1013" s="12">
        <v>40.56</v>
      </c>
      <c r="I1013" s="12">
        <v>81.12</v>
      </c>
      <c r="J1013" s="12">
        <v>4651.24</v>
      </c>
      <c r="K1013" s="20">
        <f t="shared" si="210"/>
        <v>5</v>
      </c>
      <c r="L1013" s="20" t="str">
        <f t="shared" si="211"/>
        <v>Se repite 5 veces</v>
      </c>
      <c r="M1013" s="20" t="str">
        <f t="shared" si="212"/>
        <v>Tradiciones Andinas-T.A Maiz Chulpe /Chulpe Corn 15oz x 24</v>
      </c>
      <c r="N1013" s="20">
        <f t="shared" si="213"/>
        <v>5</v>
      </c>
      <c r="O1013" s="20" t="str">
        <f t="shared" si="214"/>
        <v>Se repite 5 veces en Tradiciones Andinas</v>
      </c>
      <c r="P1013" s="20" t="str">
        <f t="shared" si="215"/>
        <v>Tradiciones Andinas-T.A Maiz Chulpe /Chulpe Corn 15oz x 24-40.56</v>
      </c>
      <c r="Q1013" s="20">
        <f t="shared" si="216"/>
        <v>5</v>
      </c>
      <c r="R1013" s="20" t="str">
        <f t="shared" si="217"/>
        <v>Se repite 5 veces el precio de 40.56</v>
      </c>
      <c r="S1013" s="20" t="str">
        <f t="shared" si="218"/>
        <v>El producto T.A Maiz Chulpe /Chulpe Corn 15oz x 24 Se repite 5 veces en Tradiciones Andinas, Se repite 5 veces el precio de 40.56</v>
      </c>
      <c r="T1013" s="20" t="str">
        <f t="shared" si="219"/>
        <v>Tradiciones Andinas</v>
      </c>
      <c r="U1013" s="20" t="str">
        <f t="shared" si="220"/>
        <v>T.A Maiz Chulpe /Chulpe Corn 15oz x 24</v>
      </c>
      <c r="V1013" s="22">
        <f t="shared" si="221"/>
        <v>40.56</v>
      </c>
      <c r="W1013" t="str">
        <f t="shared" si="222"/>
        <v>Tradiciones Andinas 04/10/2025</v>
      </c>
      <c r="Z1013">
        <f t="shared" si="223"/>
        <v>81.12</v>
      </c>
    </row>
    <row r="1014" spans="1:26" hidden="1" x14ac:dyDescent="0.25">
      <c r="A1014" s="2" t="s">
        <v>664</v>
      </c>
      <c r="B1014" s="11" t="s">
        <v>1125</v>
      </c>
      <c r="C1014" s="11" t="s">
        <v>4</v>
      </c>
      <c r="D1014" s="11" t="s">
        <v>1126</v>
      </c>
      <c r="E1014" s="11" t="s">
        <v>708</v>
      </c>
      <c r="F1014" s="11" t="s">
        <v>709</v>
      </c>
      <c r="G1014" s="12">
        <v>5</v>
      </c>
      <c r="H1014" s="12">
        <v>40.56</v>
      </c>
      <c r="I1014" s="12">
        <v>202.8</v>
      </c>
      <c r="J1014" s="12">
        <v>68852.360000000015</v>
      </c>
      <c r="K1014" s="20">
        <f t="shared" si="210"/>
        <v>5</v>
      </c>
      <c r="L1014" s="20" t="str">
        <f t="shared" si="211"/>
        <v>Se repite 5 veces</v>
      </c>
      <c r="M1014" s="20" t="str">
        <f t="shared" si="212"/>
        <v>Tradiciones Andinas-T.A Maiz Chulpe /Chulpe Corn 15oz x 24</v>
      </c>
      <c r="N1014" s="20">
        <f t="shared" si="213"/>
        <v>5</v>
      </c>
      <c r="O1014" s="20" t="str">
        <f t="shared" si="214"/>
        <v>Se repite 5 veces en Tradiciones Andinas</v>
      </c>
      <c r="P1014" s="20" t="str">
        <f t="shared" si="215"/>
        <v>Tradiciones Andinas-T.A Maiz Chulpe /Chulpe Corn 15oz x 24-40.56</v>
      </c>
      <c r="Q1014" s="20">
        <f t="shared" si="216"/>
        <v>5</v>
      </c>
      <c r="R1014" s="20" t="str">
        <f t="shared" si="217"/>
        <v>Se repite 5 veces el precio de 40.56</v>
      </c>
      <c r="S1014" s="20" t="str">
        <f t="shared" si="218"/>
        <v>El producto T.A Maiz Chulpe /Chulpe Corn 15oz x 24 Se repite 5 veces en Tradiciones Andinas, Se repite 5 veces el precio de 40.56</v>
      </c>
      <c r="T1014" s="20" t="str">
        <f t="shared" si="219"/>
        <v>Tradiciones Andinas</v>
      </c>
      <c r="U1014" s="20" t="str">
        <f t="shared" si="220"/>
        <v>T.A Maiz Chulpe /Chulpe Corn 15oz x 24</v>
      </c>
      <c r="V1014" s="22">
        <f t="shared" si="221"/>
        <v>40.56</v>
      </c>
      <c r="W1014" t="str">
        <f t="shared" si="222"/>
        <v>Tradiciones Andinas 08/18/2025</v>
      </c>
      <c r="Z1014">
        <f t="shared" si="223"/>
        <v>202.8</v>
      </c>
    </row>
    <row r="1015" spans="1:26" hidden="1" x14ac:dyDescent="0.25">
      <c r="A1015" s="2" t="s">
        <v>664</v>
      </c>
      <c r="B1015" s="11" t="s">
        <v>1153</v>
      </c>
      <c r="C1015" s="11" t="s">
        <v>4</v>
      </c>
      <c r="D1015" s="11" t="s">
        <v>1154</v>
      </c>
      <c r="E1015" s="11" t="s">
        <v>708</v>
      </c>
      <c r="F1015" s="11" t="s">
        <v>709</v>
      </c>
      <c r="G1015" s="12">
        <v>3</v>
      </c>
      <c r="H1015" s="12">
        <v>40.56</v>
      </c>
      <c r="I1015" s="12">
        <v>121.68</v>
      </c>
      <c r="J1015" s="12">
        <v>78750.89999999998</v>
      </c>
      <c r="K1015" s="20">
        <f t="shared" si="210"/>
        <v>5</v>
      </c>
      <c r="L1015" s="20" t="str">
        <f t="shared" si="211"/>
        <v>Se repite 5 veces</v>
      </c>
      <c r="M1015" s="20" t="str">
        <f t="shared" si="212"/>
        <v>Tradiciones Andinas-T.A Maiz Chulpe /Chulpe Corn 15oz x 24</v>
      </c>
      <c r="N1015" s="20">
        <f t="shared" si="213"/>
        <v>5</v>
      </c>
      <c r="O1015" s="20" t="str">
        <f t="shared" si="214"/>
        <v>Se repite 5 veces en Tradiciones Andinas</v>
      </c>
      <c r="P1015" s="20" t="str">
        <f t="shared" si="215"/>
        <v>Tradiciones Andinas-T.A Maiz Chulpe /Chulpe Corn 15oz x 24-40.56</v>
      </c>
      <c r="Q1015" s="20">
        <f t="shared" si="216"/>
        <v>5</v>
      </c>
      <c r="R1015" s="20" t="str">
        <f t="shared" si="217"/>
        <v>Se repite 5 veces el precio de 40.56</v>
      </c>
      <c r="S1015" s="20" t="str">
        <f t="shared" si="218"/>
        <v>El producto T.A Maiz Chulpe /Chulpe Corn 15oz x 24 Se repite 5 veces en Tradiciones Andinas, Se repite 5 veces el precio de 40.56</v>
      </c>
      <c r="T1015" s="20" t="str">
        <f t="shared" si="219"/>
        <v>Tradiciones Andinas</v>
      </c>
      <c r="U1015" s="20" t="str">
        <f t="shared" si="220"/>
        <v>T.A Maiz Chulpe /Chulpe Corn 15oz x 24</v>
      </c>
      <c r="V1015" s="22">
        <f t="shared" si="221"/>
        <v>40.56</v>
      </c>
      <c r="W1015" t="str">
        <f t="shared" si="222"/>
        <v>Tradiciones Andinas 09/24/2025</v>
      </c>
      <c r="Z1015">
        <f t="shared" si="223"/>
        <v>121.68</v>
      </c>
    </row>
    <row r="1016" spans="1:26" hidden="1" x14ac:dyDescent="0.25">
      <c r="A1016" s="2" t="s">
        <v>664</v>
      </c>
      <c r="B1016" s="11" t="s">
        <v>1201</v>
      </c>
      <c r="C1016" s="11" t="s">
        <v>4</v>
      </c>
      <c r="D1016" s="11" t="s">
        <v>1202</v>
      </c>
      <c r="E1016" s="11" t="s">
        <v>708</v>
      </c>
      <c r="F1016" s="11" t="s">
        <v>1203</v>
      </c>
      <c r="G1016" s="12">
        <v>8</v>
      </c>
      <c r="H1016" s="12">
        <v>40.56</v>
      </c>
      <c r="I1016" s="12">
        <v>324.48</v>
      </c>
      <c r="J1016" s="12">
        <v>101406.62999999993</v>
      </c>
      <c r="K1016" s="20">
        <f t="shared" si="210"/>
        <v>5</v>
      </c>
      <c r="L1016" s="20" t="str">
        <f t="shared" si="211"/>
        <v>Se repite 5 veces</v>
      </c>
      <c r="M1016" s="20" t="str">
        <f t="shared" si="212"/>
        <v>Tradiciones Andinas-T.A Maiz Chulpe /Chulpe Corn 15oz x 24</v>
      </c>
      <c r="N1016" s="20">
        <f t="shared" si="213"/>
        <v>5</v>
      </c>
      <c r="O1016" s="20" t="str">
        <f t="shared" si="214"/>
        <v>Se repite 5 veces en Tradiciones Andinas</v>
      </c>
      <c r="P1016" s="20" t="str">
        <f t="shared" si="215"/>
        <v>Tradiciones Andinas-T.A Maiz Chulpe /Chulpe Corn 15oz x 24-40.56</v>
      </c>
      <c r="Q1016" s="20">
        <f t="shared" si="216"/>
        <v>5</v>
      </c>
      <c r="R1016" s="20" t="str">
        <f t="shared" si="217"/>
        <v>Se repite 5 veces el precio de 40.56</v>
      </c>
      <c r="S1016" s="20" t="str">
        <f t="shared" si="218"/>
        <v>El producto T.A Maiz Chulpe /Chulpe Corn 15oz x 24 Se repite 5 veces en Tradiciones Andinas, Se repite 5 veces el precio de 40.56</v>
      </c>
      <c r="T1016" s="20" t="str">
        <f t="shared" si="219"/>
        <v>Tradiciones Andinas</v>
      </c>
      <c r="U1016" s="20" t="str">
        <f t="shared" si="220"/>
        <v>T.A Maiz Chulpe /Chulpe Corn 15oz x 24</v>
      </c>
      <c r="V1016" s="22">
        <f t="shared" si="221"/>
        <v>40.56</v>
      </c>
      <c r="W1016" t="str">
        <f t="shared" si="222"/>
        <v>Tradiciones Andinas 11/07/2025</v>
      </c>
      <c r="Z1016">
        <f t="shared" si="223"/>
        <v>324.48</v>
      </c>
    </row>
    <row r="1017" spans="1:26" hidden="1" x14ac:dyDescent="0.25">
      <c r="A1017" s="2" t="s">
        <v>664</v>
      </c>
      <c r="B1017" s="11" t="s">
        <v>665</v>
      </c>
      <c r="C1017" s="11" t="s">
        <v>4</v>
      </c>
      <c r="D1017" s="11" t="s">
        <v>666</v>
      </c>
      <c r="E1017" s="11" t="s">
        <v>748</v>
      </c>
      <c r="F1017" s="11" t="s">
        <v>749</v>
      </c>
      <c r="G1017" s="12">
        <v>1</v>
      </c>
      <c r="H1017" s="12">
        <v>73</v>
      </c>
      <c r="I1017" s="12">
        <v>73</v>
      </c>
      <c r="J1017" s="12">
        <v>2489.3599999999997</v>
      </c>
      <c r="K1017" s="20">
        <f t="shared" si="210"/>
        <v>4</v>
      </c>
      <c r="L1017" s="20" t="str">
        <f t="shared" si="211"/>
        <v>Se repite 4 veces</v>
      </c>
      <c r="M1017" s="20" t="str">
        <f t="shared" si="212"/>
        <v>Tradiciones Andinas-T.A Maiz Chulpe Saco</v>
      </c>
      <c r="N1017" s="20">
        <f t="shared" si="213"/>
        <v>4</v>
      </c>
      <c r="O1017" s="20" t="str">
        <f t="shared" si="214"/>
        <v>Se repite 4 veces en Tradiciones Andinas</v>
      </c>
      <c r="P1017" s="20" t="str">
        <f t="shared" si="215"/>
        <v>Tradiciones Andinas-T.A Maiz Chulpe Saco-73</v>
      </c>
      <c r="Q1017" s="20">
        <f t="shared" si="216"/>
        <v>1</v>
      </c>
      <c r="R1017" s="20" t="str">
        <f t="shared" si="217"/>
        <v>No se repite</v>
      </c>
      <c r="S1017" s="20" t="str">
        <f t="shared" si="218"/>
        <v>El producto T.A Maiz Chulpe Saco Se repite 4 veces en Tradiciones Andinas Una vez con el precio 73</v>
      </c>
      <c r="T1017" s="20" t="str">
        <f t="shared" si="219"/>
        <v>Tradiciones Andinas</v>
      </c>
      <c r="U1017" s="20" t="str">
        <f t="shared" si="220"/>
        <v>T.A Maiz Chulpe Saco</v>
      </c>
      <c r="V1017" s="22">
        <f t="shared" si="221"/>
        <v>73</v>
      </c>
      <c r="W1017" t="str">
        <f t="shared" si="222"/>
        <v>Tradiciones Andinas 03/31/2025</v>
      </c>
      <c r="Z1017">
        <f t="shared" si="223"/>
        <v>73</v>
      </c>
    </row>
    <row r="1018" spans="1:26" hidden="1" x14ac:dyDescent="0.25">
      <c r="A1018" s="2" t="s">
        <v>664</v>
      </c>
      <c r="B1018" s="11" t="s">
        <v>1033</v>
      </c>
      <c r="C1018" s="11" t="s">
        <v>4</v>
      </c>
      <c r="D1018" s="11" t="s">
        <v>1034</v>
      </c>
      <c r="E1018" s="11" t="s">
        <v>748</v>
      </c>
      <c r="F1018" s="11" t="s">
        <v>749</v>
      </c>
      <c r="G1018" s="12">
        <v>4</v>
      </c>
      <c r="H1018" s="12">
        <v>78</v>
      </c>
      <c r="I1018" s="12">
        <v>312</v>
      </c>
      <c r="J1018" s="12">
        <v>56070.059999999939</v>
      </c>
      <c r="K1018" s="20">
        <f t="shared" si="210"/>
        <v>4</v>
      </c>
      <c r="L1018" s="20" t="str">
        <f t="shared" si="211"/>
        <v>Se repite 4 veces</v>
      </c>
      <c r="M1018" s="20" t="str">
        <f t="shared" si="212"/>
        <v>Tradiciones Andinas-T.A Maiz Chulpe Saco</v>
      </c>
      <c r="N1018" s="20">
        <f t="shared" si="213"/>
        <v>4</v>
      </c>
      <c r="O1018" s="20" t="str">
        <f t="shared" si="214"/>
        <v>Se repite 4 veces en Tradiciones Andinas</v>
      </c>
      <c r="P1018" s="20" t="str">
        <f t="shared" si="215"/>
        <v>Tradiciones Andinas-T.A Maiz Chulpe Saco-78</v>
      </c>
      <c r="Q1018" s="20">
        <f t="shared" si="216"/>
        <v>3</v>
      </c>
      <c r="R1018" s="20" t="str">
        <f t="shared" si="217"/>
        <v>Se repite 3 veces el precio de 78</v>
      </c>
      <c r="S1018" s="20" t="str">
        <f t="shared" si="218"/>
        <v>El producto T.A Maiz Chulpe Saco Se repite 4 veces en Tradiciones Andinas, Se repite 3 veces el precio de 78</v>
      </c>
      <c r="T1018" s="20" t="str">
        <f t="shared" si="219"/>
        <v>Tradiciones Andinas</v>
      </c>
      <c r="U1018" s="20" t="str">
        <f t="shared" si="220"/>
        <v>T.A Maiz Chulpe Saco</v>
      </c>
      <c r="V1018" s="22">
        <f t="shared" si="221"/>
        <v>78</v>
      </c>
      <c r="W1018" t="str">
        <f t="shared" si="222"/>
        <v>Tradiciones Andinas 07/03/2025</v>
      </c>
      <c r="Z1018">
        <f t="shared" si="223"/>
        <v>312</v>
      </c>
    </row>
    <row r="1019" spans="1:26" hidden="1" x14ac:dyDescent="0.25">
      <c r="A1019" s="2" t="s">
        <v>664</v>
      </c>
      <c r="B1019" s="11" t="s">
        <v>1125</v>
      </c>
      <c r="C1019" s="11" t="s">
        <v>4</v>
      </c>
      <c r="D1019" s="11" t="s">
        <v>1126</v>
      </c>
      <c r="E1019" s="11" t="s">
        <v>748</v>
      </c>
      <c r="F1019" s="11" t="s">
        <v>1142</v>
      </c>
      <c r="G1019" s="12">
        <v>1</v>
      </c>
      <c r="H1019" s="12">
        <v>78</v>
      </c>
      <c r="I1019" s="12">
        <v>78</v>
      </c>
      <c r="J1019" s="12">
        <v>71773.010000000009</v>
      </c>
      <c r="K1019" s="20">
        <f t="shared" si="210"/>
        <v>4</v>
      </c>
      <c r="L1019" s="20" t="str">
        <f t="shared" si="211"/>
        <v>Se repite 4 veces</v>
      </c>
      <c r="M1019" s="20" t="str">
        <f t="shared" si="212"/>
        <v>Tradiciones Andinas-T.A Maiz Chulpe Saco</v>
      </c>
      <c r="N1019" s="20">
        <f t="shared" si="213"/>
        <v>4</v>
      </c>
      <c r="O1019" s="20" t="str">
        <f t="shared" si="214"/>
        <v>Se repite 4 veces en Tradiciones Andinas</v>
      </c>
      <c r="P1019" s="20" t="str">
        <f t="shared" si="215"/>
        <v>Tradiciones Andinas-T.A Maiz Chulpe Saco-78</v>
      </c>
      <c r="Q1019" s="20">
        <f t="shared" si="216"/>
        <v>3</v>
      </c>
      <c r="R1019" s="20" t="str">
        <f t="shared" si="217"/>
        <v>Se repite 3 veces el precio de 78</v>
      </c>
      <c r="S1019" s="20" t="str">
        <f t="shared" si="218"/>
        <v>El producto T.A Maiz Chulpe Saco Se repite 4 veces en Tradiciones Andinas, Se repite 3 veces el precio de 78</v>
      </c>
      <c r="T1019" s="20" t="str">
        <f t="shared" si="219"/>
        <v>Tradiciones Andinas</v>
      </c>
      <c r="U1019" s="20" t="str">
        <f t="shared" si="220"/>
        <v>T.A Maiz Chulpe Saco</v>
      </c>
      <c r="V1019" s="22">
        <f t="shared" si="221"/>
        <v>78</v>
      </c>
      <c r="W1019" t="str">
        <f t="shared" si="222"/>
        <v>Tradiciones Andinas 08/18/2025</v>
      </c>
      <c r="Z1019">
        <f t="shared" si="223"/>
        <v>78</v>
      </c>
    </row>
    <row r="1020" spans="1:26" hidden="1" x14ac:dyDescent="0.25">
      <c r="A1020" s="2" t="s">
        <v>664</v>
      </c>
      <c r="B1020" s="11" t="s">
        <v>1201</v>
      </c>
      <c r="C1020" s="11" t="s">
        <v>4</v>
      </c>
      <c r="D1020" s="11" t="s">
        <v>1202</v>
      </c>
      <c r="E1020" s="11" t="s">
        <v>748</v>
      </c>
      <c r="F1020" s="11" t="s">
        <v>1142</v>
      </c>
      <c r="G1020" s="12">
        <v>1</v>
      </c>
      <c r="H1020" s="12">
        <v>78</v>
      </c>
      <c r="I1020" s="12">
        <v>78</v>
      </c>
      <c r="J1020" s="12">
        <v>103829.90999999992</v>
      </c>
      <c r="K1020" s="20">
        <f t="shared" si="210"/>
        <v>4</v>
      </c>
      <c r="L1020" s="20" t="str">
        <f t="shared" si="211"/>
        <v>Se repite 4 veces</v>
      </c>
      <c r="M1020" s="20" t="str">
        <f t="shared" si="212"/>
        <v>Tradiciones Andinas-T.A Maiz Chulpe Saco</v>
      </c>
      <c r="N1020" s="20">
        <f t="shared" si="213"/>
        <v>4</v>
      </c>
      <c r="O1020" s="20" t="str">
        <f t="shared" si="214"/>
        <v>Se repite 4 veces en Tradiciones Andinas</v>
      </c>
      <c r="P1020" s="20" t="str">
        <f t="shared" si="215"/>
        <v>Tradiciones Andinas-T.A Maiz Chulpe Saco-78</v>
      </c>
      <c r="Q1020" s="20">
        <f t="shared" si="216"/>
        <v>3</v>
      </c>
      <c r="R1020" s="20" t="str">
        <f t="shared" si="217"/>
        <v>Se repite 3 veces el precio de 78</v>
      </c>
      <c r="S1020" s="20" t="str">
        <f t="shared" si="218"/>
        <v>El producto T.A Maiz Chulpe Saco Se repite 4 veces en Tradiciones Andinas, Se repite 3 veces el precio de 78</v>
      </c>
      <c r="T1020" s="20" t="str">
        <f t="shared" si="219"/>
        <v>Tradiciones Andinas</v>
      </c>
      <c r="U1020" s="20" t="str">
        <f t="shared" si="220"/>
        <v>T.A Maiz Chulpe Saco</v>
      </c>
      <c r="V1020" s="22">
        <f t="shared" si="221"/>
        <v>78</v>
      </c>
      <c r="W1020" t="str">
        <f t="shared" si="222"/>
        <v>Tradiciones Andinas 11/07/2025</v>
      </c>
      <c r="Z1020">
        <f t="shared" si="223"/>
        <v>78</v>
      </c>
    </row>
    <row r="1021" spans="1:26" hidden="1" x14ac:dyDescent="0.25">
      <c r="A1021" s="2" t="s">
        <v>664</v>
      </c>
      <c r="B1021" s="11" t="s">
        <v>821</v>
      </c>
      <c r="C1021" s="11" t="s">
        <v>4</v>
      </c>
      <c r="D1021" s="11" t="s">
        <v>822</v>
      </c>
      <c r="E1021" s="11" t="s">
        <v>853</v>
      </c>
      <c r="F1021" s="11" t="s">
        <v>854</v>
      </c>
      <c r="G1021" s="12">
        <v>6</v>
      </c>
      <c r="H1021" s="12">
        <v>12</v>
      </c>
      <c r="I1021" s="12">
        <v>72</v>
      </c>
      <c r="J1021" s="12">
        <v>14947.279999999999</v>
      </c>
      <c r="K1021" s="20">
        <f t="shared" si="210"/>
        <v>4</v>
      </c>
      <c r="L1021" s="20" t="str">
        <f t="shared" si="211"/>
        <v>Se repite 4 veces</v>
      </c>
      <c r="M1021" s="20" t="str">
        <f t="shared" si="212"/>
        <v>Tradiciones Andinas-T.A Maiz Chulpi frito Salado/ Chulpi Corn Snack 130gr x 12</v>
      </c>
      <c r="N1021" s="20">
        <f t="shared" si="213"/>
        <v>4</v>
      </c>
      <c r="O1021" s="20" t="str">
        <f t="shared" si="214"/>
        <v>Se repite 4 veces en Tradiciones Andinas</v>
      </c>
      <c r="P1021" s="20" t="str">
        <f t="shared" si="215"/>
        <v>Tradiciones Andinas-T.A Maiz Chulpi frito Salado/ Chulpi Corn Snack 130gr x 12-12</v>
      </c>
      <c r="Q1021" s="20">
        <f t="shared" si="216"/>
        <v>1</v>
      </c>
      <c r="R1021" s="20" t="str">
        <f t="shared" si="217"/>
        <v>No se repite</v>
      </c>
      <c r="S1021" s="20" t="str">
        <f t="shared" si="218"/>
        <v>El producto T.A Maiz Chulpi frito Salado/ Chulpi Corn Snack 130gr x 12 Se repite 4 veces en Tradiciones Andinas Una vez con el precio 12</v>
      </c>
      <c r="T1021" s="20" t="str">
        <f t="shared" si="219"/>
        <v>Tradiciones Andinas</v>
      </c>
      <c r="U1021" s="20" t="str">
        <f t="shared" si="220"/>
        <v>T.A Maiz Chulpi frito Salado/ Chulpi Corn Snack 130gr x 12</v>
      </c>
      <c r="V1021" s="22">
        <f t="shared" si="221"/>
        <v>12</v>
      </c>
      <c r="W1021" t="str">
        <f t="shared" si="222"/>
        <v>Tradiciones Andinas 04/25/2025</v>
      </c>
      <c r="Z1021">
        <f t="shared" si="223"/>
        <v>72</v>
      </c>
    </row>
    <row r="1022" spans="1:26" hidden="1" x14ac:dyDescent="0.25">
      <c r="A1022" s="2" t="s">
        <v>664</v>
      </c>
      <c r="B1022" s="11" t="s">
        <v>1033</v>
      </c>
      <c r="C1022" s="11" t="s">
        <v>4</v>
      </c>
      <c r="D1022" s="11" t="s">
        <v>1034</v>
      </c>
      <c r="E1022" s="11" t="s">
        <v>853</v>
      </c>
      <c r="F1022" s="11" t="s">
        <v>1052</v>
      </c>
      <c r="G1022" s="12">
        <v>6</v>
      </c>
      <c r="H1022" s="12">
        <v>13.2</v>
      </c>
      <c r="I1022" s="12">
        <v>79.2</v>
      </c>
      <c r="J1022" s="12">
        <v>51004.01999999996</v>
      </c>
      <c r="K1022" s="20">
        <f t="shared" si="210"/>
        <v>4</v>
      </c>
      <c r="L1022" s="20" t="str">
        <f t="shared" si="211"/>
        <v>Se repite 4 veces</v>
      </c>
      <c r="M1022" s="20" t="str">
        <f t="shared" si="212"/>
        <v>Tradiciones Andinas-T.A Maiz Chulpi frito Salado/ Chulpi Corn Snack 130gr x 12</v>
      </c>
      <c r="N1022" s="20">
        <f t="shared" si="213"/>
        <v>4</v>
      </c>
      <c r="O1022" s="20" t="str">
        <f t="shared" si="214"/>
        <v>Se repite 4 veces en Tradiciones Andinas</v>
      </c>
      <c r="P1022" s="20" t="str">
        <f t="shared" si="215"/>
        <v>Tradiciones Andinas-T.A Maiz Chulpi frito Salado/ Chulpi Corn Snack 130gr x 12-13.2</v>
      </c>
      <c r="Q1022" s="20">
        <f t="shared" si="216"/>
        <v>3</v>
      </c>
      <c r="R1022" s="20" t="str">
        <f t="shared" si="217"/>
        <v>Se repite 3 veces el precio de 13.2</v>
      </c>
      <c r="S1022" s="20" t="str">
        <f t="shared" si="218"/>
        <v>El producto T.A Maiz Chulpi frito Salado/ Chulpi Corn Snack 130gr x 12 Se repite 4 veces en Tradiciones Andinas, Se repite 3 veces el precio de 13.2</v>
      </c>
      <c r="T1022" s="20" t="str">
        <f t="shared" si="219"/>
        <v>Tradiciones Andinas</v>
      </c>
      <c r="U1022" s="20" t="str">
        <f t="shared" si="220"/>
        <v>T.A Maiz Chulpi frito Salado/ Chulpi Corn Snack 130gr x 12</v>
      </c>
      <c r="V1022" s="22">
        <f t="shared" si="221"/>
        <v>13.2</v>
      </c>
      <c r="W1022" t="str">
        <f t="shared" si="222"/>
        <v>Tradiciones Andinas 07/03/2025</v>
      </c>
      <c r="Z1022">
        <f t="shared" si="223"/>
        <v>79.199999999999989</v>
      </c>
    </row>
    <row r="1023" spans="1:26" hidden="1" x14ac:dyDescent="0.25">
      <c r="A1023" s="2" t="s">
        <v>664</v>
      </c>
      <c r="B1023" s="11" t="s">
        <v>1092</v>
      </c>
      <c r="C1023" s="11" t="s">
        <v>4</v>
      </c>
      <c r="D1023" s="11" t="s">
        <v>1093</v>
      </c>
      <c r="E1023" s="11" t="s">
        <v>853</v>
      </c>
      <c r="F1023" s="11" t="s">
        <v>1052</v>
      </c>
      <c r="G1023" s="12">
        <v>2</v>
      </c>
      <c r="H1023" s="12">
        <v>13.2</v>
      </c>
      <c r="I1023" s="12">
        <v>26.4</v>
      </c>
      <c r="J1023" s="12">
        <v>62037.189999999951</v>
      </c>
      <c r="K1023" s="20">
        <f t="shared" si="210"/>
        <v>4</v>
      </c>
      <c r="L1023" s="20" t="str">
        <f t="shared" si="211"/>
        <v>Se repite 4 veces</v>
      </c>
      <c r="M1023" s="20" t="str">
        <f t="shared" si="212"/>
        <v>Tradiciones Andinas-T.A Maiz Chulpi frito Salado/ Chulpi Corn Snack 130gr x 12</v>
      </c>
      <c r="N1023" s="20">
        <f t="shared" si="213"/>
        <v>4</v>
      </c>
      <c r="O1023" s="20" t="str">
        <f t="shared" si="214"/>
        <v>Se repite 4 veces en Tradiciones Andinas</v>
      </c>
      <c r="P1023" s="20" t="str">
        <f t="shared" si="215"/>
        <v>Tradiciones Andinas-T.A Maiz Chulpi frito Salado/ Chulpi Corn Snack 130gr x 12-13.2</v>
      </c>
      <c r="Q1023" s="20">
        <f t="shared" si="216"/>
        <v>3</v>
      </c>
      <c r="R1023" s="20" t="str">
        <f t="shared" si="217"/>
        <v>Se repite 3 veces el precio de 13.2</v>
      </c>
      <c r="S1023" s="20" t="str">
        <f t="shared" si="218"/>
        <v>El producto T.A Maiz Chulpi frito Salado/ Chulpi Corn Snack 130gr x 12 Se repite 4 veces en Tradiciones Andinas, Se repite 3 veces el precio de 13.2</v>
      </c>
      <c r="T1023" s="20" t="str">
        <f t="shared" si="219"/>
        <v>Tradiciones Andinas</v>
      </c>
      <c r="U1023" s="20" t="str">
        <f t="shared" si="220"/>
        <v>T.A Maiz Chulpi frito Salado/ Chulpi Corn Snack 130gr x 12</v>
      </c>
      <c r="V1023" s="22">
        <f t="shared" si="221"/>
        <v>13.2</v>
      </c>
      <c r="W1023" t="str">
        <f t="shared" si="222"/>
        <v>Tradiciones Andinas 07/21/2025</v>
      </c>
      <c r="Z1023">
        <f t="shared" si="223"/>
        <v>26.4</v>
      </c>
    </row>
    <row r="1024" spans="1:26" hidden="1" x14ac:dyDescent="0.25">
      <c r="A1024" s="2" t="s">
        <v>664</v>
      </c>
      <c r="B1024" s="11" t="s">
        <v>1207</v>
      </c>
      <c r="C1024" s="11" t="s">
        <v>4</v>
      </c>
      <c r="D1024" s="11" t="s">
        <v>1208</v>
      </c>
      <c r="E1024" s="11" t="s">
        <v>853</v>
      </c>
      <c r="F1024" s="11" t="s">
        <v>1052</v>
      </c>
      <c r="G1024" s="12">
        <v>8</v>
      </c>
      <c r="H1024" s="12">
        <v>13.2</v>
      </c>
      <c r="I1024" s="12">
        <v>105.6</v>
      </c>
      <c r="J1024" s="12">
        <v>108084.68999999992</v>
      </c>
      <c r="K1024" s="20">
        <f t="shared" si="210"/>
        <v>4</v>
      </c>
      <c r="L1024" s="20" t="str">
        <f t="shared" si="211"/>
        <v>Se repite 4 veces</v>
      </c>
      <c r="M1024" s="20" t="str">
        <f t="shared" si="212"/>
        <v>Tradiciones Andinas-T.A Maiz Chulpi frito Salado/ Chulpi Corn Snack 130gr x 12</v>
      </c>
      <c r="N1024" s="20">
        <f t="shared" si="213"/>
        <v>4</v>
      </c>
      <c r="O1024" s="20" t="str">
        <f t="shared" si="214"/>
        <v>Se repite 4 veces en Tradiciones Andinas</v>
      </c>
      <c r="P1024" s="20" t="str">
        <f t="shared" si="215"/>
        <v>Tradiciones Andinas-T.A Maiz Chulpi frito Salado/ Chulpi Corn Snack 130gr x 12-13.2</v>
      </c>
      <c r="Q1024" s="20">
        <f t="shared" si="216"/>
        <v>3</v>
      </c>
      <c r="R1024" s="20" t="str">
        <f t="shared" si="217"/>
        <v>Se repite 3 veces el precio de 13.2</v>
      </c>
      <c r="S1024" s="20" t="str">
        <f t="shared" si="218"/>
        <v>El producto T.A Maiz Chulpi frito Salado/ Chulpi Corn Snack 130gr x 12 Se repite 4 veces en Tradiciones Andinas, Se repite 3 veces el precio de 13.2</v>
      </c>
      <c r="T1024" s="20" t="str">
        <f t="shared" si="219"/>
        <v>Tradiciones Andinas</v>
      </c>
      <c r="U1024" s="20" t="str">
        <f t="shared" si="220"/>
        <v>T.A Maiz Chulpi frito Salado/ Chulpi Corn Snack 130gr x 12</v>
      </c>
      <c r="V1024" s="22">
        <f t="shared" si="221"/>
        <v>13.2</v>
      </c>
      <c r="W1024" t="str">
        <f t="shared" si="222"/>
        <v>Tradiciones Andinas 11/28/2025</v>
      </c>
      <c r="Z1024">
        <f t="shared" si="223"/>
        <v>105.6</v>
      </c>
    </row>
    <row r="1025" spans="1:26" hidden="1" x14ac:dyDescent="0.25">
      <c r="A1025" s="2" t="s">
        <v>664</v>
      </c>
      <c r="B1025" s="11" t="s">
        <v>1125</v>
      </c>
      <c r="C1025" s="11" t="s">
        <v>4</v>
      </c>
      <c r="D1025" s="11" t="s">
        <v>1126</v>
      </c>
      <c r="E1025" s="11" t="s">
        <v>1145</v>
      </c>
      <c r="F1025" s="11" t="s">
        <v>1146</v>
      </c>
      <c r="G1025" s="12">
        <v>1</v>
      </c>
      <c r="H1025" s="12">
        <v>58.5</v>
      </c>
      <c r="I1025" s="12">
        <v>58.5</v>
      </c>
      <c r="J1025" s="12">
        <v>72398.540000000008</v>
      </c>
      <c r="K1025" s="20">
        <f t="shared" si="210"/>
        <v>1</v>
      </c>
      <c r="L1025" s="20" t="str">
        <f t="shared" si="211"/>
        <v>No se repite</v>
      </c>
      <c r="M1025" s="20" t="str">
        <f t="shared" si="212"/>
        <v>Tradiciones Andinas-T.A Maiz Desgranado (INST) / Corn in Grain 48oz x13</v>
      </c>
      <c r="N1025" s="20">
        <f t="shared" si="213"/>
        <v>1</v>
      </c>
      <c r="O1025" s="20" t="str">
        <f t="shared" si="214"/>
        <v>No se repite en proveedor</v>
      </c>
      <c r="P1025" s="20" t="str">
        <f t="shared" si="215"/>
        <v>Tradiciones Andinas-T.A Maiz Desgranado (INST) / Corn in Grain 48oz x13-58.5</v>
      </c>
      <c r="Q1025" s="20">
        <f t="shared" si="216"/>
        <v>1</v>
      </c>
      <c r="R1025" s="20" t="str">
        <f t="shared" si="217"/>
        <v>No se repite</v>
      </c>
      <c r="S1025" s="20" t="str">
        <f t="shared" si="218"/>
        <v>El producto T.A Maiz Desgranado (INST) / Corn in Grain 48oz x13 No se repite en proveedor Una vez con el precio 58.5</v>
      </c>
      <c r="T1025" s="20" t="str">
        <f t="shared" si="219"/>
        <v>Tradiciones Andinas</v>
      </c>
      <c r="U1025" s="20" t="str">
        <f t="shared" si="220"/>
        <v>T.A Maiz Desgranado (INST) / Corn in Grain 48oz x13</v>
      </c>
      <c r="V1025" s="22">
        <f t="shared" si="221"/>
        <v>58.5</v>
      </c>
      <c r="W1025" t="str">
        <f t="shared" si="222"/>
        <v>Tradiciones Andinas 08/18/2025</v>
      </c>
      <c r="Z1025">
        <f t="shared" si="223"/>
        <v>58.5</v>
      </c>
    </row>
    <row r="1026" spans="1:26" hidden="1" x14ac:dyDescent="0.25">
      <c r="A1026" s="2" t="s">
        <v>664</v>
      </c>
      <c r="B1026" s="11" t="s">
        <v>1033</v>
      </c>
      <c r="C1026" s="11" t="s">
        <v>4</v>
      </c>
      <c r="D1026" s="11" t="s">
        <v>1034</v>
      </c>
      <c r="E1026" s="11" t="s">
        <v>1056</v>
      </c>
      <c r="F1026" s="11" t="s">
        <v>1057</v>
      </c>
      <c r="G1026" s="12">
        <v>2</v>
      </c>
      <c r="H1026" s="12">
        <v>13.2</v>
      </c>
      <c r="I1026" s="12">
        <v>26.4</v>
      </c>
      <c r="J1026" s="12">
        <v>51228.419999999962</v>
      </c>
      <c r="K1026" s="20">
        <f t="shared" si="210"/>
        <v>2</v>
      </c>
      <c r="L1026" s="20" t="str">
        <f t="shared" si="211"/>
        <v>Se repite 2 veces</v>
      </c>
      <c r="M1026" s="20" t="str">
        <f t="shared" si="212"/>
        <v>Tradiciones Andinas-T.A Maiz gigante frito picante - Spicy and crunchy giant corn</v>
      </c>
      <c r="N1026" s="20">
        <f t="shared" si="213"/>
        <v>2</v>
      </c>
      <c r="O1026" s="20" t="str">
        <f t="shared" si="214"/>
        <v>Se repite 2 veces en Tradiciones Andinas</v>
      </c>
      <c r="P1026" s="20" t="str">
        <f t="shared" si="215"/>
        <v>Tradiciones Andinas-T.A Maiz gigante frito picante - Spicy and crunchy giant corn-13.2</v>
      </c>
      <c r="Q1026" s="20">
        <f t="shared" si="216"/>
        <v>2</v>
      </c>
      <c r="R1026" s="20" t="str">
        <f t="shared" si="217"/>
        <v>Se repite 2 veces el precio de 13.2</v>
      </c>
      <c r="S1026" s="20" t="str">
        <f t="shared" si="218"/>
        <v>El producto T.A Maiz gigante frito picante - Spicy and crunchy giant corn Se repite 2 veces en Tradiciones Andinas, Se repite 2 veces el precio de 13.2</v>
      </c>
      <c r="T1026" s="20" t="str">
        <f t="shared" si="219"/>
        <v>Tradiciones Andinas</v>
      </c>
      <c r="U1026" s="20" t="str">
        <f t="shared" si="220"/>
        <v>T.A Maiz gigante frito picante - Spicy and crunchy giant corn</v>
      </c>
      <c r="V1026" s="22">
        <f t="shared" si="221"/>
        <v>13.2</v>
      </c>
      <c r="W1026" t="str">
        <f t="shared" si="222"/>
        <v>Tradiciones Andinas 07/03/2025</v>
      </c>
      <c r="Z1026">
        <f t="shared" si="223"/>
        <v>26.4</v>
      </c>
    </row>
    <row r="1027" spans="1:26" hidden="1" x14ac:dyDescent="0.25">
      <c r="A1027" s="2" t="s">
        <v>664</v>
      </c>
      <c r="B1027" s="11" t="s">
        <v>1125</v>
      </c>
      <c r="C1027" s="11" t="s">
        <v>4</v>
      </c>
      <c r="D1027" s="11" t="s">
        <v>1126</v>
      </c>
      <c r="E1027" s="11" t="s">
        <v>1056</v>
      </c>
      <c r="F1027" s="11" t="s">
        <v>1057</v>
      </c>
      <c r="G1027" s="12">
        <v>5</v>
      </c>
      <c r="H1027" s="12">
        <v>13.2</v>
      </c>
      <c r="I1027" s="12">
        <v>66</v>
      </c>
      <c r="J1027" s="12">
        <v>70126.170000000013</v>
      </c>
      <c r="K1027" s="20">
        <f t="shared" ref="K1027:K1090" si="224">COUNTIF($E$2:$E$1438,E1027)</f>
        <v>2</v>
      </c>
      <c r="L1027" s="20" t="str">
        <f t="shared" ref="L1027:L1090" si="225">IF(K1027&gt;1,_xlfn.CONCAT("Se repite ",K1027," veces"),"No se repite")</f>
        <v>Se repite 2 veces</v>
      </c>
      <c r="M1027" s="20" t="str">
        <f t="shared" ref="M1027:M1090" si="226">_xlfn.CONCAT(A1027,"-",E1027)</f>
        <v>Tradiciones Andinas-T.A Maiz gigante frito picante - Spicy and crunchy giant corn</v>
      </c>
      <c r="N1027" s="20">
        <f t="shared" ref="N1027:N1090" si="227">COUNTIF($M$2:$M$1438,M1027)</f>
        <v>2</v>
      </c>
      <c r="O1027" s="20" t="str">
        <f t="shared" ref="O1027:O1090" si="228">IF(N1027&gt;1,_xlfn.CONCAT("Se repite ",N1027," veces en ",A1027),"No se repite en proveedor")</f>
        <v>Se repite 2 veces en Tradiciones Andinas</v>
      </c>
      <c r="P1027" s="20" t="str">
        <f t="shared" ref="P1027:P1090" si="229">_xlfn.CONCAT(A1027,"-",E1027,"-",H1027)</f>
        <v>Tradiciones Andinas-T.A Maiz gigante frito picante - Spicy and crunchy giant corn-13.2</v>
      </c>
      <c r="Q1027" s="20">
        <f t="shared" ref="Q1027:Q1090" si="230">COUNTIF($P$2:$P$1438,P1027)</f>
        <v>2</v>
      </c>
      <c r="R1027" s="20" t="str">
        <f t="shared" ref="R1027:R1090" si="231">IF(Q1027&gt;1,_xlfn.CONCAT("Se repite ",Q1027," veces el precio de ",H1027),"No se repite")</f>
        <v>Se repite 2 veces el precio de 13.2</v>
      </c>
      <c r="S1027" s="20" t="str">
        <f t="shared" ref="S1027:S1090" si="232">_xlfn.CONCAT("El producto ",E1027," ",O1027,IF(R1027="No se repite",_xlfn.CONCAT(" Una vez con el precio ",H1027),_xlfn.CONCAT(", ",R1027)))</f>
        <v>El producto T.A Maiz gigante frito picante - Spicy and crunchy giant corn Se repite 2 veces en Tradiciones Andinas, Se repite 2 veces el precio de 13.2</v>
      </c>
      <c r="T1027" s="20" t="str">
        <f t="shared" ref="T1027:T1090" si="233">+A1027</f>
        <v>Tradiciones Andinas</v>
      </c>
      <c r="U1027" s="20" t="str">
        <f t="shared" ref="U1027:U1090" si="234">+E1027</f>
        <v>T.A Maiz gigante frito picante - Spicy and crunchy giant corn</v>
      </c>
      <c r="V1027" s="22">
        <f t="shared" ref="V1027:V1090" si="235">+H1027</f>
        <v>13.2</v>
      </c>
      <c r="W1027" t="str">
        <f t="shared" ref="W1027:W1090" si="236">_xlfn.CONCAT(A1027," ",B1027)</f>
        <v>Tradiciones Andinas 08/18/2025</v>
      </c>
      <c r="Z1027">
        <f t="shared" ref="Z1027:Z1090" si="237">G1027*H1027</f>
        <v>66</v>
      </c>
    </row>
    <row r="1028" spans="1:26" hidden="1" x14ac:dyDescent="0.25">
      <c r="A1028" s="2" t="s">
        <v>664</v>
      </c>
      <c r="B1028" s="11" t="s">
        <v>821</v>
      </c>
      <c r="C1028" s="11" t="s">
        <v>4</v>
      </c>
      <c r="D1028" s="11" t="s">
        <v>822</v>
      </c>
      <c r="E1028" s="11" t="s">
        <v>857</v>
      </c>
      <c r="F1028" s="11" t="s">
        <v>858</v>
      </c>
      <c r="G1028" s="12">
        <v>5</v>
      </c>
      <c r="H1028" s="12">
        <v>12</v>
      </c>
      <c r="I1028" s="12">
        <v>60</v>
      </c>
      <c r="J1028" s="12">
        <v>15139.279999999999</v>
      </c>
      <c r="K1028" s="20">
        <f t="shared" si="224"/>
        <v>3</v>
      </c>
      <c r="L1028" s="20" t="str">
        <f t="shared" si="225"/>
        <v>Se repite 3 veces</v>
      </c>
      <c r="M1028" s="20" t="str">
        <f t="shared" si="226"/>
        <v>Tradiciones Andinas-T.A Maiz Gigante Frito Salado/ Giant Corn Snacks 130gr x 12</v>
      </c>
      <c r="N1028" s="20">
        <f t="shared" si="227"/>
        <v>3</v>
      </c>
      <c r="O1028" s="20" t="str">
        <f t="shared" si="228"/>
        <v>Se repite 3 veces en Tradiciones Andinas</v>
      </c>
      <c r="P1028" s="20" t="str">
        <f t="shared" si="229"/>
        <v>Tradiciones Andinas-T.A Maiz Gigante Frito Salado/ Giant Corn Snacks 130gr x 12-12</v>
      </c>
      <c r="Q1028" s="20">
        <f t="shared" si="230"/>
        <v>1</v>
      </c>
      <c r="R1028" s="20" t="str">
        <f t="shared" si="231"/>
        <v>No se repite</v>
      </c>
      <c r="S1028" s="20" t="str">
        <f t="shared" si="232"/>
        <v>El producto T.A Maiz Gigante Frito Salado/ Giant Corn Snacks 130gr x 12 Se repite 3 veces en Tradiciones Andinas Una vez con el precio 12</v>
      </c>
      <c r="T1028" s="20" t="str">
        <f t="shared" si="233"/>
        <v>Tradiciones Andinas</v>
      </c>
      <c r="U1028" s="20" t="str">
        <f t="shared" si="234"/>
        <v>T.A Maiz Gigante Frito Salado/ Giant Corn Snacks 130gr x 12</v>
      </c>
      <c r="V1028" s="22">
        <f t="shared" si="235"/>
        <v>12</v>
      </c>
      <c r="W1028" t="str">
        <f t="shared" si="236"/>
        <v>Tradiciones Andinas 04/25/2025</v>
      </c>
      <c r="Z1028">
        <f t="shared" si="237"/>
        <v>60</v>
      </c>
    </row>
    <row r="1029" spans="1:26" hidden="1" x14ac:dyDescent="0.25">
      <c r="A1029" s="2" t="s">
        <v>664</v>
      </c>
      <c r="B1029" s="11" t="s">
        <v>1033</v>
      </c>
      <c r="C1029" s="11" t="s">
        <v>4</v>
      </c>
      <c r="D1029" s="11" t="s">
        <v>1034</v>
      </c>
      <c r="E1029" s="11" t="s">
        <v>857</v>
      </c>
      <c r="F1029" s="11" t="s">
        <v>1054</v>
      </c>
      <c r="G1029" s="12">
        <v>4</v>
      </c>
      <c r="H1029" s="12">
        <v>13.2</v>
      </c>
      <c r="I1029" s="12">
        <v>52.8</v>
      </c>
      <c r="J1029" s="12">
        <v>51122.819999999963</v>
      </c>
      <c r="K1029" s="20">
        <f t="shared" si="224"/>
        <v>3</v>
      </c>
      <c r="L1029" s="20" t="str">
        <f t="shared" si="225"/>
        <v>Se repite 3 veces</v>
      </c>
      <c r="M1029" s="20" t="str">
        <f t="shared" si="226"/>
        <v>Tradiciones Andinas-T.A Maiz Gigante Frito Salado/ Giant Corn Snacks 130gr x 12</v>
      </c>
      <c r="N1029" s="20">
        <f t="shared" si="227"/>
        <v>3</v>
      </c>
      <c r="O1029" s="20" t="str">
        <f t="shared" si="228"/>
        <v>Se repite 3 veces en Tradiciones Andinas</v>
      </c>
      <c r="P1029" s="20" t="str">
        <f t="shared" si="229"/>
        <v>Tradiciones Andinas-T.A Maiz Gigante Frito Salado/ Giant Corn Snacks 130gr x 12-13.2</v>
      </c>
      <c r="Q1029" s="20">
        <f t="shared" si="230"/>
        <v>2</v>
      </c>
      <c r="R1029" s="20" t="str">
        <f t="shared" si="231"/>
        <v>Se repite 2 veces el precio de 13.2</v>
      </c>
      <c r="S1029" s="20" t="str">
        <f t="shared" si="232"/>
        <v>El producto T.A Maiz Gigante Frito Salado/ Giant Corn Snacks 130gr x 12 Se repite 3 veces en Tradiciones Andinas, Se repite 2 veces el precio de 13.2</v>
      </c>
      <c r="T1029" s="20" t="str">
        <f t="shared" si="233"/>
        <v>Tradiciones Andinas</v>
      </c>
      <c r="U1029" s="20" t="str">
        <f t="shared" si="234"/>
        <v>T.A Maiz Gigante Frito Salado/ Giant Corn Snacks 130gr x 12</v>
      </c>
      <c r="V1029" s="22">
        <f t="shared" si="235"/>
        <v>13.2</v>
      </c>
      <c r="W1029" t="str">
        <f t="shared" si="236"/>
        <v>Tradiciones Andinas 07/03/2025</v>
      </c>
      <c r="Z1029">
        <f t="shared" si="237"/>
        <v>52.8</v>
      </c>
    </row>
    <row r="1030" spans="1:26" hidden="1" x14ac:dyDescent="0.25">
      <c r="A1030" s="2" t="s">
        <v>664</v>
      </c>
      <c r="B1030" s="11" t="s">
        <v>1125</v>
      </c>
      <c r="C1030" s="11" t="s">
        <v>4</v>
      </c>
      <c r="D1030" s="11" t="s">
        <v>1126</v>
      </c>
      <c r="E1030" s="11" t="s">
        <v>857</v>
      </c>
      <c r="F1030" s="11" t="s">
        <v>1054</v>
      </c>
      <c r="G1030" s="12">
        <v>2</v>
      </c>
      <c r="H1030" s="12">
        <v>13.2</v>
      </c>
      <c r="I1030" s="12">
        <v>26.4</v>
      </c>
      <c r="J1030" s="12">
        <v>70060.170000000013</v>
      </c>
      <c r="K1030" s="20">
        <f t="shared" si="224"/>
        <v>3</v>
      </c>
      <c r="L1030" s="20" t="str">
        <f t="shared" si="225"/>
        <v>Se repite 3 veces</v>
      </c>
      <c r="M1030" s="20" t="str">
        <f t="shared" si="226"/>
        <v>Tradiciones Andinas-T.A Maiz Gigante Frito Salado/ Giant Corn Snacks 130gr x 12</v>
      </c>
      <c r="N1030" s="20">
        <f t="shared" si="227"/>
        <v>3</v>
      </c>
      <c r="O1030" s="20" t="str">
        <f t="shared" si="228"/>
        <v>Se repite 3 veces en Tradiciones Andinas</v>
      </c>
      <c r="P1030" s="20" t="str">
        <f t="shared" si="229"/>
        <v>Tradiciones Andinas-T.A Maiz Gigante Frito Salado/ Giant Corn Snacks 130gr x 12-13.2</v>
      </c>
      <c r="Q1030" s="20">
        <f t="shared" si="230"/>
        <v>2</v>
      </c>
      <c r="R1030" s="20" t="str">
        <f t="shared" si="231"/>
        <v>Se repite 2 veces el precio de 13.2</v>
      </c>
      <c r="S1030" s="20" t="str">
        <f t="shared" si="232"/>
        <v>El producto T.A Maiz Gigante Frito Salado/ Giant Corn Snacks 130gr x 12 Se repite 3 veces en Tradiciones Andinas, Se repite 2 veces el precio de 13.2</v>
      </c>
      <c r="T1030" s="20" t="str">
        <f t="shared" si="233"/>
        <v>Tradiciones Andinas</v>
      </c>
      <c r="U1030" s="20" t="str">
        <f t="shared" si="234"/>
        <v>T.A Maiz Gigante Frito Salado/ Giant Corn Snacks 130gr x 12</v>
      </c>
      <c r="V1030" s="22">
        <f t="shared" si="235"/>
        <v>13.2</v>
      </c>
      <c r="W1030" t="str">
        <f t="shared" si="236"/>
        <v>Tradiciones Andinas 08/18/2025</v>
      </c>
      <c r="Z1030">
        <f t="shared" si="237"/>
        <v>26.4</v>
      </c>
    </row>
    <row r="1031" spans="1:26" hidden="1" x14ac:dyDescent="0.25">
      <c r="A1031" s="2" t="s">
        <v>664</v>
      </c>
      <c r="B1031" s="11" t="s">
        <v>665</v>
      </c>
      <c r="C1031" s="11" t="s">
        <v>4</v>
      </c>
      <c r="D1031" s="11" t="s">
        <v>666</v>
      </c>
      <c r="E1031" s="11" t="s">
        <v>720</v>
      </c>
      <c r="F1031" s="11" t="s">
        <v>721</v>
      </c>
      <c r="G1031" s="12">
        <v>2</v>
      </c>
      <c r="H1031" s="12">
        <v>22.4</v>
      </c>
      <c r="I1031" s="12">
        <v>44.8</v>
      </c>
      <c r="J1031" s="12">
        <v>1662.7199999999996</v>
      </c>
      <c r="K1031" s="20">
        <f t="shared" si="224"/>
        <v>8</v>
      </c>
      <c r="L1031" s="20" t="str">
        <f t="shared" si="225"/>
        <v>Se repite 8 veces</v>
      </c>
      <c r="M1031" s="20" t="str">
        <f t="shared" si="226"/>
        <v>Tradiciones Andinas-T.A Maiz Morado (Family Pack) /Purple Corn 40OZ X 6</v>
      </c>
      <c r="N1031" s="20">
        <f t="shared" si="227"/>
        <v>8</v>
      </c>
      <c r="O1031" s="20" t="str">
        <f t="shared" si="228"/>
        <v>Se repite 8 veces en Tradiciones Andinas</v>
      </c>
      <c r="P1031" s="20" t="str">
        <f t="shared" si="229"/>
        <v>Tradiciones Andinas-T.A Maiz Morado (Family Pack) /Purple Corn 40OZ X 6-22.4</v>
      </c>
      <c r="Q1031" s="20">
        <f t="shared" si="230"/>
        <v>1</v>
      </c>
      <c r="R1031" s="20" t="str">
        <f t="shared" si="231"/>
        <v>No se repite</v>
      </c>
      <c r="S1031" s="20" t="str">
        <f t="shared" si="232"/>
        <v>El producto T.A Maiz Morado (Family Pack) /Purple Corn 40OZ X 6 Se repite 8 veces en Tradiciones Andinas Una vez con el precio 22.4</v>
      </c>
      <c r="T1031" s="20" t="str">
        <f t="shared" si="233"/>
        <v>Tradiciones Andinas</v>
      </c>
      <c r="U1031" s="20" t="str">
        <f t="shared" si="234"/>
        <v>T.A Maiz Morado (Family Pack) /Purple Corn 40OZ X 6</v>
      </c>
      <c r="V1031" s="22">
        <f t="shared" si="235"/>
        <v>22.4</v>
      </c>
      <c r="W1031" t="str">
        <f t="shared" si="236"/>
        <v>Tradiciones Andinas 03/31/2025</v>
      </c>
      <c r="Z1031">
        <f t="shared" si="237"/>
        <v>44.8</v>
      </c>
    </row>
    <row r="1032" spans="1:26" hidden="1" x14ac:dyDescent="0.25">
      <c r="A1032" s="2" t="s">
        <v>664</v>
      </c>
      <c r="B1032" s="11" t="s">
        <v>158</v>
      </c>
      <c r="C1032" s="11" t="s">
        <v>4</v>
      </c>
      <c r="D1032" s="11" t="s">
        <v>984</v>
      </c>
      <c r="E1032" s="11" t="s">
        <v>720</v>
      </c>
      <c r="F1032" s="11" t="s">
        <v>721</v>
      </c>
      <c r="G1032" s="12">
        <v>2</v>
      </c>
      <c r="H1032" s="12">
        <v>23.96</v>
      </c>
      <c r="I1032" s="12">
        <v>47.92</v>
      </c>
      <c r="J1032" s="12">
        <v>37643.39</v>
      </c>
      <c r="K1032" s="20">
        <f t="shared" si="224"/>
        <v>8</v>
      </c>
      <c r="L1032" s="20" t="str">
        <f t="shared" si="225"/>
        <v>Se repite 8 veces</v>
      </c>
      <c r="M1032" s="20" t="str">
        <f t="shared" si="226"/>
        <v>Tradiciones Andinas-T.A Maiz Morado (Family Pack) /Purple Corn 40OZ X 6</v>
      </c>
      <c r="N1032" s="20">
        <f t="shared" si="227"/>
        <v>8</v>
      </c>
      <c r="O1032" s="20" t="str">
        <f t="shared" si="228"/>
        <v>Se repite 8 veces en Tradiciones Andinas</v>
      </c>
      <c r="P1032" s="20" t="str">
        <f t="shared" si="229"/>
        <v>Tradiciones Andinas-T.A Maiz Morado (Family Pack) /Purple Corn 40OZ X 6-23.96</v>
      </c>
      <c r="Q1032" s="20">
        <f t="shared" si="230"/>
        <v>7</v>
      </c>
      <c r="R1032" s="20" t="str">
        <f t="shared" si="231"/>
        <v>Se repite 7 veces el precio de 23.96</v>
      </c>
      <c r="S1032" s="20" t="str">
        <f t="shared" si="232"/>
        <v>El producto T.A Maiz Morado (Family Pack) /Purple Corn 40OZ X 6 Se repite 8 veces en Tradiciones Andinas, Se repite 7 veces el precio de 23.96</v>
      </c>
      <c r="T1032" s="20" t="str">
        <f t="shared" si="233"/>
        <v>Tradiciones Andinas</v>
      </c>
      <c r="U1032" s="20" t="str">
        <f t="shared" si="234"/>
        <v>T.A Maiz Morado (Family Pack) /Purple Corn 40OZ X 6</v>
      </c>
      <c r="V1032" s="22">
        <f t="shared" si="235"/>
        <v>23.96</v>
      </c>
      <c r="W1032" t="str">
        <f t="shared" si="236"/>
        <v>Tradiciones Andinas 06/12/2025</v>
      </c>
      <c r="Z1032">
        <f t="shared" si="237"/>
        <v>47.92</v>
      </c>
    </row>
    <row r="1033" spans="1:26" hidden="1" x14ac:dyDescent="0.25">
      <c r="A1033" s="2" t="s">
        <v>664</v>
      </c>
      <c r="B1033" s="11" t="s">
        <v>1033</v>
      </c>
      <c r="C1033" s="11" t="s">
        <v>4</v>
      </c>
      <c r="D1033" s="11" t="s">
        <v>1034</v>
      </c>
      <c r="E1033" s="11" t="s">
        <v>720</v>
      </c>
      <c r="F1033" s="11" t="s">
        <v>721</v>
      </c>
      <c r="G1033" s="12">
        <v>4</v>
      </c>
      <c r="H1033" s="12">
        <v>23.96</v>
      </c>
      <c r="I1033" s="12">
        <v>95.84</v>
      </c>
      <c r="J1033" s="12">
        <v>49244.109999999971</v>
      </c>
      <c r="K1033" s="20">
        <f t="shared" si="224"/>
        <v>8</v>
      </c>
      <c r="L1033" s="20" t="str">
        <f t="shared" si="225"/>
        <v>Se repite 8 veces</v>
      </c>
      <c r="M1033" s="20" t="str">
        <f t="shared" si="226"/>
        <v>Tradiciones Andinas-T.A Maiz Morado (Family Pack) /Purple Corn 40OZ X 6</v>
      </c>
      <c r="N1033" s="20">
        <f t="shared" si="227"/>
        <v>8</v>
      </c>
      <c r="O1033" s="20" t="str">
        <f t="shared" si="228"/>
        <v>Se repite 8 veces en Tradiciones Andinas</v>
      </c>
      <c r="P1033" s="20" t="str">
        <f t="shared" si="229"/>
        <v>Tradiciones Andinas-T.A Maiz Morado (Family Pack) /Purple Corn 40OZ X 6-23.96</v>
      </c>
      <c r="Q1033" s="20">
        <f t="shared" si="230"/>
        <v>7</v>
      </c>
      <c r="R1033" s="20" t="str">
        <f t="shared" si="231"/>
        <v>Se repite 7 veces el precio de 23.96</v>
      </c>
      <c r="S1033" s="20" t="str">
        <f t="shared" si="232"/>
        <v>El producto T.A Maiz Morado (Family Pack) /Purple Corn 40OZ X 6 Se repite 8 veces en Tradiciones Andinas, Se repite 7 veces el precio de 23.96</v>
      </c>
      <c r="T1033" s="20" t="str">
        <f t="shared" si="233"/>
        <v>Tradiciones Andinas</v>
      </c>
      <c r="U1033" s="20" t="str">
        <f t="shared" si="234"/>
        <v>T.A Maiz Morado (Family Pack) /Purple Corn 40OZ X 6</v>
      </c>
      <c r="V1033" s="22">
        <f t="shared" si="235"/>
        <v>23.96</v>
      </c>
      <c r="W1033" t="str">
        <f t="shared" si="236"/>
        <v>Tradiciones Andinas 07/03/2025</v>
      </c>
      <c r="Z1033">
        <f t="shared" si="237"/>
        <v>95.84</v>
      </c>
    </row>
    <row r="1034" spans="1:26" hidden="1" x14ac:dyDescent="0.25">
      <c r="A1034" s="2" t="s">
        <v>664</v>
      </c>
      <c r="B1034" s="11" t="s">
        <v>1092</v>
      </c>
      <c r="C1034" s="11" t="s">
        <v>4</v>
      </c>
      <c r="D1034" s="11" t="s">
        <v>1093</v>
      </c>
      <c r="E1034" s="11" t="s">
        <v>720</v>
      </c>
      <c r="F1034" s="11" t="s">
        <v>721</v>
      </c>
      <c r="G1034" s="12">
        <v>8</v>
      </c>
      <c r="H1034" s="12">
        <v>23.96</v>
      </c>
      <c r="I1034" s="12">
        <v>191.68</v>
      </c>
      <c r="J1034" s="12">
        <v>61640.029999999933</v>
      </c>
      <c r="K1034" s="20">
        <f t="shared" si="224"/>
        <v>8</v>
      </c>
      <c r="L1034" s="20" t="str">
        <f t="shared" si="225"/>
        <v>Se repite 8 veces</v>
      </c>
      <c r="M1034" s="20" t="str">
        <f t="shared" si="226"/>
        <v>Tradiciones Andinas-T.A Maiz Morado (Family Pack) /Purple Corn 40OZ X 6</v>
      </c>
      <c r="N1034" s="20">
        <f t="shared" si="227"/>
        <v>8</v>
      </c>
      <c r="O1034" s="20" t="str">
        <f t="shared" si="228"/>
        <v>Se repite 8 veces en Tradiciones Andinas</v>
      </c>
      <c r="P1034" s="20" t="str">
        <f t="shared" si="229"/>
        <v>Tradiciones Andinas-T.A Maiz Morado (Family Pack) /Purple Corn 40OZ X 6-23.96</v>
      </c>
      <c r="Q1034" s="20">
        <f t="shared" si="230"/>
        <v>7</v>
      </c>
      <c r="R1034" s="20" t="str">
        <f t="shared" si="231"/>
        <v>Se repite 7 veces el precio de 23.96</v>
      </c>
      <c r="S1034" s="20" t="str">
        <f t="shared" si="232"/>
        <v>El producto T.A Maiz Morado (Family Pack) /Purple Corn 40OZ X 6 Se repite 8 veces en Tradiciones Andinas, Se repite 7 veces el precio de 23.96</v>
      </c>
      <c r="T1034" s="20" t="str">
        <f t="shared" si="233"/>
        <v>Tradiciones Andinas</v>
      </c>
      <c r="U1034" s="20" t="str">
        <f t="shared" si="234"/>
        <v>T.A Maiz Morado (Family Pack) /Purple Corn 40OZ X 6</v>
      </c>
      <c r="V1034" s="22">
        <f t="shared" si="235"/>
        <v>23.96</v>
      </c>
      <c r="W1034" t="str">
        <f t="shared" si="236"/>
        <v>Tradiciones Andinas 07/21/2025</v>
      </c>
      <c r="Z1034">
        <f t="shared" si="237"/>
        <v>191.68</v>
      </c>
    </row>
    <row r="1035" spans="1:26" hidden="1" x14ac:dyDescent="0.25">
      <c r="A1035" s="2" t="s">
        <v>664</v>
      </c>
      <c r="B1035" s="11" t="s">
        <v>1125</v>
      </c>
      <c r="C1035" s="11" t="s">
        <v>4</v>
      </c>
      <c r="D1035" s="11" t="s">
        <v>1126</v>
      </c>
      <c r="E1035" s="11" t="s">
        <v>720</v>
      </c>
      <c r="F1035" s="11" t="s">
        <v>721</v>
      </c>
      <c r="G1035" s="12">
        <v>4</v>
      </c>
      <c r="H1035" s="12">
        <v>23.96</v>
      </c>
      <c r="I1035" s="12">
        <v>95.84</v>
      </c>
      <c r="J1035" s="12">
        <v>69422.400000000009</v>
      </c>
      <c r="K1035" s="20">
        <f t="shared" si="224"/>
        <v>8</v>
      </c>
      <c r="L1035" s="20" t="str">
        <f t="shared" si="225"/>
        <v>Se repite 8 veces</v>
      </c>
      <c r="M1035" s="20" t="str">
        <f t="shared" si="226"/>
        <v>Tradiciones Andinas-T.A Maiz Morado (Family Pack) /Purple Corn 40OZ X 6</v>
      </c>
      <c r="N1035" s="20">
        <f t="shared" si="227"/>
        <v>8</v>
      </c>
      <c r="O1035" s="20" t="str">
        <f t="shared" si="228"/>
        <v>Se repite 8 veces en Tradiciones Andinas</v>
      </c>
      <c r="P1035" s="20" t="str">
        <f t="shared" si="229"/>
        <v>Tradiciones Andinas-T.A Maiz Morado (Family Pack) /Purple Corn 40OZ X 6-23.96</v>
      </c>
      <c r="Q1035" s="20">
        <f t="shared" si="230"/>
        <v>7</v>
      </c>
      <c r="R1035" s="20" t="str">
        <f t="shared" si="231"/>
        <v>Se repite 7 veces el precio de 23.96</v>
      </c>
      <c r="S1035" s="20" t="str">
        <f t="shared" si="232"/>
        <v>El producto T.A Maiz Morado (Family Pack) /Purple Corn 40OZ X 6 Se repite 8 veces en Tradiciones Andinas, Se repite 7 veces el precio de 23.96</v>
      </c>
      <c r="T1035" s="20" t="str">
        <f t="shared" si="233"/>
        <v>Tradiciones Andinas</v>
      </c>
      <c r="U1035" s="20" t="str">
        <f t="shared" si="234"/>
        <v>T.A Maiz Morado (Family Pack) /Purple Corn 40OZ X 6</v>
      </c>
      <c r="V1035" s="22">
        <f t="shared" si="235"/>
        <v>23.96</v>
      </c>
      <c r="W1035" t="str">
        <f t="shared" si="236"/>
        <v>Tradiciones Andinas 08/18/2025</v>
      </c>
      <c r="Z1035">
        <f t="shared" si="237"/>
        <v>95.84</v>
      </c>
    </row>
    <row r="1036" spans="1:26" hidden="1" x14ac:dyDescent="0.25">
      <c r="A1036" s="2" t="s">
        <v>664</v>
      </c>
      <c r="B1036" s="11" t="s">
        <v>1193</v>
      </c>
      <c r="C1036" s="11" t="s">
        <v>4</v>
      </c>
      <c r="D1036" s="11" t="s">
        <v>1194</v>
      </c>
      <c r="E1036" s="11" t="s">
        <v>720</v>
      </c>
      <c r="F1036" s="11" t="s">
        <v>721</v>
      </c>
      <c r="G1036" s="12">
        <v>8</v>
      </c>
      <c r="H1036" s="12">
        <v>23.96</v>
      </c>
      <c r="I1036" s="12">
        <v>191.68</v>
      </c>
      <c r="J1036" s="12">
        <v>95661.069999999934</v>
      </c>
      <c r="K1036" s="20">
        <f t="shared" si="224"/>
        <v>8</v>
      </c>
      <c r="L1036" s="20" t="str">
        <f t="shared" si="225"/>
        <v>Se repite 8 veces</v>
      </c>
      <c r="M1036" s="20" t="str">
        <f t="shared" si="226"/>
        <v>Tradiciones Andinas-T.A Maiz Morado (Family Pack) /Purple Corn 40OZ X 6</v>
      </c>
      <c r="N1036" s="20">
        <f t="shared" si="227"/>
        <v>8</v>
      </c>
      <c r="O1036" s="20" t="str">
        <f t="shared" si="228"/>
        <v>Se repite 8 veces en Tradiciones Andinas</v>
      </c>
      <c r="P1036" s="20" t="str">
        <f t="shared" si="229"/>
        <v>Tradiciones Andinas-T.A Maiz Morado (Family Pack) /Purple Corn 40OZ X 6-23.96</v>
      </c>
      <c r="Q1036" s="20">
        <f t="shared" si="230"/>
        <v>7</v>
      </c>
      <c r="R1036" s="20" t="str">
        <f t="shared" si="231"/>
        <v>Se repite 7 veces el precio de 23.96</v>
      </c>
      <c r="S1036" s="20" t="str">
        <f t="shared" si="232"/>
        <v>El producto T.A Maiz Morado (Family Pack) /Purple Corn 40OZ X 6 Se repite 8 veces en Tradiciones Andinas, Se repite 7 veces el precio de 23.96</v>
      </c>
      <c r="T1036" s="20" t="str">
        <f t="shared" si="233"/>
        <v>Tradiciones Andinas</v>
      </c>
      <c r="U1036" s="20" t="str">
        <f t="shared" si="234"/>
        <v>T.A Maiz Morado (Family Pack) /Purple Corn 40OZ X 6</v>
      </c>
      <c r="V1036" s="22">
        <f t="shared" si="235"/>
        <v>23.96</v>
      </c>
      <c r="W1036" t="str">
        <f t="shared" si="236"/>
        <v>Tradiciones Andinas 10/30/2025</v>
      </c>
      <c r="Z1036">
        <f t="shared" si="237"/>
        <v>191.68</v>
      </c>
    </row>
    <row r="1037" spans="1:26" hidden="1" x14ac:dyDescent="0.25">
      <c r="A1037" s="2" t="s">
        <v>664</v>
      </c>
      <c r="B1037" s="11" t="s">
        <v>1207</v>
      </c>
      <c r="C1037" s="11" t="s">
        <v>4</v>
      </c>
      <c r="D1037" s="11" t="s">
        <v>1208</v>
      </c>
      <c r="E1037" s="11" t="s">
        <v>720</v>
      </c>
      <c r="F1037" s="11" t="s">
        <v>721</v>
      </c>
      <c r="G1037" s="12">
        <v>5</v>
      </c>
      <c r="H1037" s="12">
        <v>23.96</v>
      </c>
      <c r="I1037" s="12">
        <v>119.8</v>
      </c>
      <c r="J1037" s="12">
        <v>106435.63999999993</v>
      </c>
      <c r="K1037" s="20">
        <f t="shared" si="224"/>
        <v>8</v>
      </c>
      <c r="L1037" s="20" t="str">
        <f t="shared" si="225"/>
        <v>Se repite 8 veces</v>
      </c>
      <c r="M1037" s="20" t="str">
        <f t="shared" si="226"/>
        <v>Tradiciones Andinas-T.A Maiz Morado (Family Pack) /Purple Corn 40OZ X 6</v>
      </c>
      <c r="N1037" s="20">
        <f t="shared" si="227"/>
        <v>8</v>
      </c>
      <c r="O1037" s="20" t="str">
        <f t="shared" si="228"/>
        <v>Se repite 8 veces en Tradiciones Andinas</v>
      </c>
      <c r="P1037" s="20" t="str">
        <f t="shared" si="229"/>
        <v>Tradiciones Andinas-T.A Maiz Morado (Family Pack) /Purple Corn 40OZ X 6-23.96</v>
      </c>
      <c r="Q1037" s="20">
        <f t="shared" si="230"/>
        <v>7</v>
      </c>
      <c r="R1037" s="20" t="str">
        <f t="shared" si="231"/>
        <v>Se repite 7 veces el precio de 23.96</v>
      </c>
      <c r="S1037" s="20" t="str">
        <f t="shared" si="232"/>
        <v>El producto T.A Maiz Morado (Family Pack) /Purple Corn 40OZ X 6 Se repite 8 veces en Tradiciones Andinas, Se repite 7 veces el precio de 23.96</v>
      </c>
      <c r="T1037" s="20" t="str">
        <f t="shared" si="233"/>
        <v>Tradiciones Andinas</v>
      </c>
      <c r="U1037" s="20" t="str">
        <f t="shared" si="234"/>
        <v>T.A Maiz Morado (Family Pack) /Purple Corn 40OZ X 6</v>
      </c>
      <c r="V1037" s="22">
        <f t="shared" si="235"/>
        <v>23.96</v>
      </c>
      <c r="W1037" t="str">
        <f t="shared" si="236"/>
        <v>Tradiciones Andinas 11/28/2025</v>
      </c>
      <c r="Z1037">
        <f t="shared" si="237"/>
        <v>119.80000000000001</v>
      </c>
    </row>
    <row r="1038" spans="1:26" hidden="1" x14ac:dyDescent="0.25">
      <c r="A1038" s="2" t="s">
        <v>664</v>
      </c>
      <c r="B1038" s="11" t="s">
        <v>1224</v>
      </c>
      <c r="C1038" s="11" t="s">
        <v>4</v>
      </c>
      <c r="D1038" s="11" t="s">
        <v>1225</v>
      </c>
      <c r="E1038" s="11" t="s">
        <v>720</v>
      </c>
      <c r="F1038" s="11" t="s">
        <v>721</v>
      </c>
      <c r="G1038" s="12">
        <v>5</v>
      </c>
      <c r="H1038" s="12">
        <v>23.96</v>
      </c>
      <c r="I1038" s="12">
        <v>119.8</v>
      </c>
      <c r="J1038" s="12">
        <v>117773.03999999989</v>
      </c>
      <c r="K1038" s="20">
        <f t="shared" si="224"/>
        <v>8</v>
      </c>
      <c r="L1038" s="20" t="str">
        <f t="shared" si="225"/>
        <v>Se repite 8 veces</v>
      </c>
      <c r="M1038" s="20" t="str">
        <f t="shared" si="226"/>
        <v>Tradiciones Andinas-T.A Maiz Morado (Family Pack) /Purple Corn 40OZ X 6</v>
      </c>
      <c r="N1038" s="20">
        <f t="shared" si="227"/>
        <v>8</v>
      </c>
      <c r="O1038" s="20" t="str">
        <f t="shared" si="228"/>
        <v>Se repite 8 veces en Tradiciones Andinas</v>
      </c>
      <c r="P1038" s="20" t="str">
        <f t="shared" si="229"/>
        <v>Tradiciones Andinas-T.A Maiz Morado (Family Pack) /Purple Corn 40OZ X 6-23.96</v>
      </c>
      <c r="Q1038" s="20">
        <f t="shared" si="230"/>
        <v>7</v>
      </c>
      <c r="R1038" s="20" t="str">
        <f t="shared" si="231"/>
        <v>Se repite 7 veces el precio de 23.96</v>
      </c>
      <c r="S1038" s="20" t="str">
        <f t="shared" si="232"/>
        <v>El producto T.A Maiz Morado (Family Pack) /Purple Corn 40OZ X 6 Se repite 8 veces en Tradiciones Andinas, Se repite 7 veces el precio de 23.96</v>
      </c>
      <c r="T1038" s="20" t="str">
        <f t="shared" si="233"/>
        <v>Tradiciones Andinas</v>
      </c>
      <c r="U1038" s="20" t="str">
        <f t="shared" si="234"/>
        <v>T.A Maiz Morado (Family Pack) /Purple Corn 40OZ X 6</v>
      </c>
      <c r="V1038" s="22">
        <f t="shared" si="235"/>
        <v>23.96</v>
      </c>
      <c r="W1038" t="str">
        <f t="shared" si="236"/>
        <v>Tradiciones Andinas 12/03/2025</v>
      </c>
      <c r="Z1038">
        <f t="shared" si="237"/>
        <v>119.80000000000001</v>
      </c>
    </row>
    <row r="1039" spans="1:26" hidden="1" x14ac:dyDescent="0.25">
      <c r="A1039" s="2" t="s">
        <v>664</v>
      </c>
      <c r="B1039" s="11" t="s">
        <v>665</v>
      </c>
      <c r="C1039" s="11" t="s">
        <v>4</v>
      </c>
      <c r="D1039" s="11" t="s">
        <v>666</v>
      </c>
      <c r="E1039" s="11" t="s">
        <v>698</v>
      </c>
      <c r="F1039" s="11" t="s">
        <v>699</v>
      </c>
      <c r="G1039" s="12">
        <v>2</v>
      </c>
      <c r="H1039" s="12">
        <v>22.4</v>
      </c>
      <c r="I1039" s="12">
        <v>44.8</v>
      </c>
      <c r="J1039" s="12">
        <v>938.56000000000006</v>
      </c>
      <c r="K1039" s="20">
        <f t="shared" si="224"/>
        <v>5</v>
      </c>
      <c r="L1039" s="20" t="str">
        <f t="shared" si="225"/>
        <v>Se repite 5 veces</v>
      </c>
      <c r="M1039" s="20" t="str">
        <f t="shared" si="226"/>
        <v>Tradiciones Andinas-T.A Maiz Morado /Purple Corn 15oz x 16</v>
      </c>
      <c r="N1039" s="20">
        <f t="shared" si="227"/>
        <v>5</v>
      </c>
      <c r="O1039" s="20" t="str">
        <f t="shared" si="228"/>
        <v>Se repite 5 veces en Tradiciones Andinas</v>
      </c>
      <c r="P1039" s="20" t="str">
        <f t="shared" si="229"/>
        <v>Tradiciones Andinas-T.A Maiz Morado /Purple Corn 15oz x 16-22.4</v>
      </c>
      <c r="Q1039" s="20">
        <f t="shared" si="230"/>
        <v>3</v>
      </c>
      <c r="R1039" s="20" t="str">
        <f t="shared" si="231"/>
        <v>Se repite 3 veces el precio de 22.4</v>
      </c>
      <c r="S1039" s="20" t="str">
        <f t="shared" si="232"/>
        <v>El producto T.A Maiz Morado /Purple Corn 15oz x 16 Se repite 5 veces en Tradiciones Andinas, Se repite 3 veces el precio de 22.4</v>
      </c>
      <c r="T1039" s="20" t="str">
        <f t="shared" si="233"/>
        <v>Tradiciones Andinas</v>
      </c>
      <c r="U1039" s="20" t="str">
        <f t="shared" si="234"/>
        <v>T.A Maiz Morado /Purple Corn 15oz x 16</v>
      </c>
      <c r="V1039" s="22">
        <f t="shared" si="235"/>
        <v>22.4</v>
      </c>
      <c r="W1039" t="str">
        <f t="shared" si="236"/>
        <v>Tradiciones Andinas 03/31/2025</v>
      </c>
      <c r="Z1039">
        <f t="shared" si="237"/>
        <v>44.8</v>
      </c>
    </row>
    <row r="1040" spans="1:26" hidden="1" x14ac:dyDescent="0.25">
      <c r="A1040" s="2" t="s">
        <v>664</v>
      </c>
      <c r="B1040" s="11" t="s">
        <v>398</v>
      </c>
      <c r="C1040" s="11" t="s">
        <v>4</v>
      </c>
      <c r="D1040" s="11" t="s">
        <v>5</v>
      </c>
      <c r="E1040" s="11" t="s">
        <v>698</v>
      </c>
      <c r="F1040" s="11" t="s">
        <v>699</v>
      </c>
      <c r="G1040" s="12">
        <v>4</v>
      </c>
      <c r="H1040" s="12">
        <v>22.4</v>
      </c>
      <c r="I1040" s="12">
        <v>89.6</v>
      </c>
      <c r="J1040" s="12">
        <v>4251.04</v>
      </c>
      <c r="K1040" s="20">
        <f t="shared" si="224"/>
        <v>5</v>
      </c>
      <c r="L1040" s="20" t="str">
        <f t="shared" si="225"/>
        <v>Se repite 5 veces</v>
      </c>
      <c r="M1040" s="20" t="str">
        <f t="shared" si="226"/>
        <v>Tradiciones Andinas-T.A Maiz Morado /Purple Corn 15oz x 16</v>
      </c>
      <c r="N1040" s="20">
        <f t="shared" si="227"/>
        <v>5</v>
      </c>
      <c r="O1040" s="20" t="str">
        <f t="shared" si="228"/>
        <v>Se repite 5 veces en Tradiciones Andinas</v>
      </c>
      <c r="P1040" s="20" t="str">
        <f t="shared" si="229"/>
        <v>Tradiciones Andinas-T.A Maiz Morado /Purple Corn 15oz x 16-22.4</v>
      </c>
      <c r="Q1040" s="20">
        <f t="shared" si="230"/>
        <v>3</v>
      </c>
      <c r="R1040" s="20" t="str">
        <f t="shared" si="231"/>
        <v>Se repite 3 veces el precio de 22.4</v>
      </c>
      <c r="S1040" s="20" t="str">
        <f t="shared" si="232"/>
        <v>El producto T.A Maiz Morado /Purple Corn 15oz x 16 Se repite 5 veces en Tradiciones Andinas, Se repite 3 veces el precio de 22.4</v>
      </c>
      <c r="T1040" s="20" t="str">
        <f t="shared" si="233"/>
        <v>Tradiciones Andinas</v>
      </c>
      <c r="U1040" s="20" t="str">
        <f t="shared" si="234"/>
        <v>T.A Maiz Morado /Purple Corn 15oz x 16</v>
      </c>
      <c r="V1040" s="22">
        <f t="shared" si="235"/>
        <v>22.4</v>
      </c>
      <c r="W1040" t="str">
        <f t="shared" si="236"/>
        <v>Tradiciones Andinas 04/10/2025</v>
      </c>
      <c r="Z1040">
        <f t="shared" si="237"/>
        <v>89.6</v>
      </c>
    </row>
    <row r="1041" spans="1:26" hidden="1" x14ac:dyDescent="0.25">
      <c r="A1041" s="2" t="s">
        <v>664</v>
      </c>
      <c r="B1041" s="11" t="s">
        <v>821</v>
      </c>
      <c r="C1041" s="11" t="s">
        <v>4</v>
      </c>
      <c r="D1041" s="11" t="s">
        <v>822</v>
      </c>
      <c r="E1041" s="11" t="s">
        <v>698</v>
      </c>
      <c r="F1041" s="11" t="s">
        <v>699</v>
      </c>
      <c r="G1041" s="12">
        <v>10</v>
      </c>
      <c r="H1041" s="12">
        <v>22.4</v>
      </c>
      <c r="I1041" s="12">
        <v>224</v>
      </c>
      <c r="J1041" s="12">
        <v>10779.919999999996</v>
      </c>
      <c r="K1041" s="20">
        <f t="shared" si="224"/>
        <v>5</v>
      </c>
      <c r="L1041" s="20" t="str">
        <f t="shared" si="225"/>
        <v>Se repite 5 veces</v>
      </c>
      <c r="M1041" s="20" t="str">
        <f t="shared" si="226"/>
        <v>Tradiciones Andinas-T.A Maiz Morado /Purple Corn 15oz x 16</v>
      </c>
      <c r="N1041" s="20">
        <f t="shared" si="227"/>
        <v>5</v>
      </c>
      <c r="O1041" s="20" t="str">
        <f t="shared" si="228"/>
        <v>Se repite 5 veces en Tradiciones Andinas</v>
      </c>
      <c r="P1041" s="20" t="str">
        <f t="shared" si="229"/>
        <v>Tradiciones Andinas-T.A Maiz Morado /Purple Corn 15oz x 16-22.4</v>
      </c>
      <c r="Q1041" s="20">
        <f t="shared" si="230"/>
        <v>3</v>
      </c>
      <c r="R1041" s="20" t="str">
        <f t="shared" si="231"/>
        <v>Se repite 3 veces el precio de 22.4</v>
      </c>
      <c r="S1041" s="20" t="str">
        <f t="shared" si="232"/>
        <v>El producto T.A Maiz Morado /Purple Corn 15oz x 16 Se repite 5 veces en Tradiciones Andinas, Se repite 3 veces el precio de 22.4</v>
      </c>
      <c r="T1041" s="20" t="str">
        <f t="shared" si="233"/>
        <v>Tradiciones Andinas</v>
      </c>
      <c r="U1041" s="20" t="str">
        <f t="shared" si="234"/>
        <v>T.A Maiz Morado /Purple Corn 15oz x 16</v>
      </c>
      <c r="V1041" s="22">
        <f t="shared" si="235"/>
        <v>22.4</v>
      </c>
      <c r="W1041" t="str">
        <f t="shared" si="236"/>
        <v>Tradiciones Andinas 04/25/2025</v>
      </c>
      <c r="Z1041">
        <f t="shared" si="237"/>
        <v>224</v>
      </c>
    </row>
    <row r="1042" spans="1:26" hidden="1" x14ac:dyDescent="0.25">
      <c r="A1042" s="2" t="s">
        <v>664</v>
      </c>
      <c r="B1042" s="11" t="s">
        <v>158</v>
      </c>
      <c r="C1042" s="11" t="s">
        <v>4</v>
      </c>
      <c r="D1042" s="11" t="s">
        <v>984</v>
      </c>
      <c r="E1042" s="11" t="s">
        <v>698</v>
      </c>
      <c r="F1042" s="11" t="s">
        <v>991</v>
      </c>
      <c r="G1042" s="12">
        <v>50</v>
      </c>
      <c r="H1042" s="12">
        <v>23.96</v>
      </c>
      <c r="I1042" s="12">
        <v>1198</v>
      </c>
      <c r="J1042" s="12">
        <v>37042.870000000003</v>
      </c>
      <c r="K1042" s="20">
        <f t="shared" si="224"/>
        <v>5</v>
      </c>
      <c r="L1042" s="20" t="str">
        <f t="shared" si="225"/>
        <v>Se repite 5 veces</v>
      </c>
      <c r="M1042" s="20" t="str">
        <f t="shared" si="226"/>
        <v>Tradiciones Andinas-T.A Maiz Morado /Purple Corn 15oz x 16</v>
      </c>
      <c r="N1042" s="20">
        <f t="shared" si="227"/>
        <v>5</v>
      </c>
      <c r="O1042" s="20" t="str">
        <f t="shared" si="228"/>
        <v>Se repite 5 veces en Tradiciones Andinas</v>
      </c>
      <c r="P1042" s="20" t="str">
        <f t="shared" si="229"/>
        <v>Tradiciones Andinas-T.A Maiz Morado /Purple Corn 15oz x 16-23.96</v>
      </c>
      <c r="Q1042" s="20">
        <f t="shared" si="230"/>
        <v>2</v>
      </c>
      <c r="R1042" s="20" t="str">
        <f t="shared" si="231"/>
        <v>Se repite 2 veces el precio de 23.96</v>
      </c>
      <c r="S1042" s="20" t="str">
        <f t="shared" si="232"/>
        <v>El producto T.A Maiz Morado /Purple Corn 15oz x 16 Se repite 5 veces en Tradiciones Andinas, Se repite 2 veces el precio de 23.96</v>
      </c>
      <c r="T1042" s="20" t="str">
        <f t="shared" si="233"/>
        <v>Tradiciones Andinas</v>
      </c>
      <c r="U1042" s="20" t="str">
        <f t="shared" si="234"/>
        <v>T.A Maiz Morado /Purple Corn 15oz x 16</v>
      </c>
      <c r="V1042" s="22">
        <f t="shared" si="235"/>
        <v>23.96</v>
      </c>
      <c r="W1042" t="str">
        <f t="shared" si="236"/>
        <v>Tradiciones Andinas 06/12/2025</v>
      </c>
      <c r="Z1042">
        <f t="shared" si="237"/>
        <v>1198</v>
      </c>
    </row>
    <row r="1043" spans="1:26" hidden="1" x14ac:dyDescent="0.25">
      <c r="A1043" s="2" t="s">
        <v>664</v>
      </c>
      <c r="B1043" s="11" t="s">
        <v>1153</v>
      </c>
      <c r="C1043" s="11" t="s">
        <v>4</v>
      </c>
      <c r="D1043" s="11" t="s">
        <v>1154</v>
      </c>
      <c r="E1043" s="11" t="s">
        <v>698</v>
      </c>
      <c r="F1043" s="11" t="s">
        <v>991</v>
      </c>
      <c r="G1043" s="12">
        <v>50</v>
      </c>
      <c r="H1043" s="12">
        <v>23.96</v>
      </c>
      <c r="I1043" s="12">
        <v>1198</v>
      </c>
      <c r="J1043" s="12">
        <v>78041.219999999987</v>
      </c>
      <c r="K1043" s="20">
        <f t="shared" si="224"/>
        <v>5</v>
      </c>
      <c r="L1043" s="20" t="str">
        <f t="shared" si="225"/>
        <v>Se repite 5 veces</v>
      </c>
      <c r="M1043" s="20" t="str">
        <f t="shared" si="226"/>
        <v>Tradiciones Andinas-T.A Maiz Morado /Purple Corn 15oz x 16</v>
      </c>
      <c r="N1043" s="20">
        <f t="shared" si="227"/>
        <v>5</v>
      </c>
      <c r="O1043" s="20" t="str">
        <f t="shared" si="228"/>
        <v>Se repite 5 veces en Tradiciones Andinas</v>
      </c>
      <c r="P1043" s="20" t="str">
        <f t="shared" si="229"/>
        <v>Tradiciones Andinas-T.A Maiz Morado /Purple Corn 15oz x 16-23.96</v>
      </c>
      <c r="Q1043" s="20">
        <f t="shared" si="230"/>
        <v>2</v>
      </c>
      <c r="R1043" s="20" t="str">
        <f t="shared" si="231"/>
        <v>Se repite 2 veces el precio de 23.96</v>
      </c>
      <c r="S1043" s="20" t="str">
        <f t="shared" si="232"/>
        <v>El producto T.A Maiz Morado /Purple Corn 15oz x 16 Se repite 5 veces en Tradiciones Andinas, Se repite 2 veces el precio de 23.96</v>
      </c>
      <c r="T1043" s="20" t="str">
        <f t="shared" si="233"/>
        <v>Tradiciones Andinas</v>
      </c>
      <c r="U1043" s="20" t="str">
        <f t="shared" si="234"/>
        <v>T.A Maiz Morado /Purple Corn 15oz x 16</v>
      </c>
      <c r="V1043" s="22">
        <f t="shared" si="235"/>
        <v>23.96</v>
      </c>
      <c r="W1043" t="str">
        <f t="shared" si="236"/>
        <v>Tradiciones Andinas 09/24/2025</v>
      </c>
      <c r="Z1043">
        <f t="shared" si="237"/>
        <v>1198</v>
      </c>
    </row>
    <row r="1044" spans="1:26" hidden="1" x14ac:dyDescent="0.25">
      <c r="A1044" s="2" t="s">
        <v>664</v>
      </c>
      <c r="B1044" s="11" t="s">
        <v>665</v>
      </c>
      <c r="C1044" s="11" t="s">
        <v>4</v>
      </c>
      <c r="D1044" s="11" t="s">
        <v>666</v>
      </c>
      <c r="E1044" s="11" t="s">
        <v>745</v>
      </c>
      <c r="F1044" s="11" t="s">
        <v>745</v>
      </c>
      <c r="G1044" s="12">
        <v>2</v>
      </c>
      <c r="H1044" s="12">
        <v>60</v>
      </c>
      <c r="I1044" s="12">
        <v>120</v>
      </c>
      <c r="J1044" s="12">
        <v>2336.3599999999997</v>
      </c>
      <c r="K1044" s="20">
        <f t="shared" si="224"/>
        <v>5</v>
      </c>
      <c r="L1044" s="20" t="str">
        <f t="shared" si="225"/>
        <v>Se repite 5 veces</v>
      </c>
      <c r="M1044" s="20" t="str">
        <f t="shared" si="226"/>
        <v>Tradiciones Andinas-T.A Maiz Morado /Purple Corn 50Lb saco</v>
      </c>
      <c r="N1044" s="20">
        <f t="shared" si="227"/>
        <v>5</v>
      </c>
      <c r="O1044" s="20" t="str">
        <f t="shared" si="228"/>
        <v>Se repite 5 veces en Tradiciones Andinas</v>
      </c>
      <c r="P1044" s="20" t="str">
        <f t="shared" si="229"/>
        <v>Tradiciones Andinas-T.A Maiz Morado /Purple Corn 50Lb saco-60</v>
      </c>
      <c r="Q1044" s="20">
        <f t="shared" si="230"/>
        <v>2</v>
      </c>
      <c r="R1044" s="20" t="str">
        <f t="shared" si="231"/>
        <v>Se repite 2 veces el precio de 60</v>
      </c>
      <c r="S1044" s="20" t="str">
        <f t="shared" si="232"/>
        <v>El producto T.A Maiz Morado /Purple Corn 50Lb saco Se repite 5 veces en Tradiciones Andinas, Se repite 2 veces el precio de 60</v>
      </c>
      <c r="T1044" s="20" t="str">
        <f t="shared" si="233"/>
        <v>Tradiciones Andinas</v>
      </c>
      <c r="U1044" s="20" t="str">
        <f t="shared" si="234"/>
        <v>T.A Maiz Morado /Purple Corn 50Lb saco</v>
      </c>
      <c r="V1044" s="22">
        <f t="shared" si="235"/>
        <v>60</v>
      </c>
      <c r="W1044" t="str">
        <f t="shared" si="236"/>
        <v>Tradiciones Andinas 03/31/2025</v>
      </c>
      <c r="Z1044">
        <f t="shared" si="237"/>
        <v>120</v>
      </c>
    </row>
    <row r="1045" spans="1:26" hidden="1" x14ac:dyDescent="0.25">
      <c r="A1045" s="2" t="s">
        <v>664</v>
      </c>
      <c r="B1045" s="11" t="s">
        <v>821</v>
      </c>
      <c r="C1045" s="11" t="s">
        <v>4</v>
      </c>
      <c r="D1045" s="11" t="s">
        <v>822</v>
      </c>
      <c r="E1045" s="11" t="s">
        <v>745</v>
      </c>
      <c r="F1045" s="11" t="s">
        <v>745</v>
      </c>
      <c r="G1045" s="12">
        <v>6</v>
      </c>
      <c r="H1045" s="12">
        <v>60</v>
      </c>
      <c r="I1045" s="12">
        <v>360</v>
      </c>
      <c r="J1045" s="12">
        <v>21521.299999999996</v>
      </c>
      <c r="K1045" s="20">
        <f t="shared" si="224"/>
        <v>5</v>
      </c>
      <c r="L1045" s="20" t="str">
        <f t="shared" si="225"/>
        <v>Se repite 5 veces</v>
      </c>
      <c r="M1045" s="20" t="str">
        <f t="shared" si="226"/>
        <v>Tradiciones Andinas-T.A Maiz Morado /Purple Corn 50Lb saco</v>
      </c>
      <c r="N1045" s="20">
        <f t="shared" si="227"/>
        <v>5</v>
      </c>
      <c r="O1045" s="20" t="str">
        <f t="shared" si="228"/>
        <v>Se repite 5 veces en Tradiciones Andinas</v>
      </c>
      <c r="P1045" s="20" t="str">
        <f t="shared" si="229"/>
        <v>Tradiciones Andinas-T.A Maiz Morado /Purple Corn 50Lb saco-60</v>
      </c>
      <c r="Q1045" s="20">
        <f t="shared" si="230"/>
        <v>2</v>
      </c>
      <c r="R1045" s="20" t="str">
        <f t="shared" si="231"/>
        <v>Se repite 2 veces el precio de 60</v>
      </c>
      <c r="S1045" s="20" t="str">
        <f t="shared" si="232"/>
        <v>El producto T.A Maiz Morado /Purple Corn 50Lb saco Se repite 5 veces en Tradiciones Andinas, Se repite 2 veces el precio de 60</v>
      </c>
      <c r="T1045" s="20" t="str">
        <f t="shared" si="233"/>
        <v>Tradiciones Andinas</v>
      </c>
      <c r="U1045" s="20" t="str">
        <f t="shared" si="234"/>
        <v>T.A Maiz Morado /Purple Corn 50Lb saco</v>
      </c>
      <c r="V1045" s="22">
        <f t="shared" si="235"/>
        <v>60</v>
      </c>
      <c r="W1045" t="str">
        <f t="shared" si="236"/>
        <v>Tradiciones Andinas 04/25/2025</v>
      </c>
      <c r="Z1045">
        <f t="shared" si="237"/>
        <v>360</v>
      </c>
    </row>
    <row r="1046" spans="1:26" hidden="1" x14ac:dyDescent="0.25">
      <c r="A1046" s="2" t="s">
        <v>664</v>
      </c>
      <c r="B1046" s="11" t="s">
        <v>654</v>
      </c>
      <c r="C1046" s="11" t="s">
        <v>4</v>
      </c>
      <c r="D1046" s="11" t="s">
        <v>940</v>
      </c>
      <c r="E1046" s="11" t="s">
        <v>745</v>
      </c>
      <c r="F1046" s="11" t="s">
        <v>974</v>
      </c>
      <c r="G1046" s="12">
        <v>4</v>
      </c>
      <c r="H1046" s="12">
        <v>64.2</v>
      </c>
      <c r="I1046" s="12">
        <v>256.8</v>
      </c>
      <c r="J1046" s="12">
        <v>32783.86</v>
      </c>
      <c r="K1046" s="20">
        <f t="shared" si="224"/>
        <v>5</v>
      </c>
      <c r="L1046" s="20" t="str">
        <f t="shared" si="225"/>
        <v>Se repite 5 veces</v>
      </c>
      <c r="M1046" s="20" t="str">
        <f t="shared" si="226"/>
        <v>Tradiciones Andinas-T.A Maiz Morado /Purple Corn 50Lb saco</v>
      </c>
      <c r="N1046" s="20">
        <f t="shared" si="227"/>
        <v>5</v>
      </c>
      <c r="O1046" s="20" t="str">
        <f t="shared" si="228"/>
        <v>Se repite 5 veces en Tradiciones Andinas</v>
      </c>
      <c r="P1046" s="20" t="str">
        <f t="shared" si="229"/>
        <v>Tradiciones Andinas-T.A Maiz Morado /Purple Corn 50Lb saco-64.2</v>
      </c>
      <c r="Q1046" s="20">
        <f t="shared" si="230"/>
        <v>3</v>
      </c>
      <c r="R1046" s="20" t="str">
        <f t="shared" si="231"/>
        <v>Se repite 3 veces el precio de 64.2</v>
      </c>
      <c r="S1046" s="20" t="str">
        <f t="shared" si="232"/>
        <v>El producto T.A Maiz Morado /Purple Corn 50Lb saco Se repite 5 veces en Tradiciones Andinas, Se repite 3 veces el precio de 64.2</v>
      </c>
      <c r="T1046" s="20" t="str">
        <f t="shared" si="233"/>
        <v>Tradiciones Andinas</v>
      </c>
      <c r="U1046" s="20" t="str">
        <f t="shared" si="234"/>
        <v>T.A Maiz Morado /Purple Corn 50Lb saco</v>
      </c>
      <c r="V1046" s="22">
        <f t="shared" si="235"/>
        <v>64.2</v>
      </c>
      <c r="W1046" t="str">
        <f t="shared" si="236"/>
        <v>Tradiciones Andinas 05/19/2025</v>
      </c>
      <c r="Z1046">
        <f t="shared" si="237"/>
        <v>256.8</v>
      </c>
    </row>
    <row r="1047" spans="1:26" hidden="1" x14ac:dyDescent="0.25">
      <c r="A1047" s="2" t="s">
        <v>664</v>
      </c>
      <c r="B1047" s="11" t="s">
        <v>1033</v>
      </c>
      <c r="C1047" s="11" t="s">
        <v>4</v>
      </c>
      <c r="D1047" s="11" t="s">
        <v>1034</v>
      </c>
      <c r="E1047" s="11" t="s">
        <v>745</v>
      </c>
      <c r="F1047" s="11" t="s">
        <v>974</v>
      </c>
      <c r="G1047" s="12">
        <v>6</v>
      </c>
      <c r="H1047" s="12">
        <v>64.2</v>
      </c>
      <c r="I1047" s="12">
        <v>385.2</v>
      </c>
      <c r="J1047" s="12">
        <v>55672.459999999941</v>
      </c>
      <c r="K1047" s="20">
        <f t="shared" si="224"/>
        <v>5</v>
      </c>
      <c r="L1047" s="20" t="str">
        <f t="shared" si="225"/>
        <v>Se repite 5 veces</v>
      </c>
      <c r="M1047" s="20" t="str">
        <f t="shared" si="226"/>
        <v>Tradiciones Andinas-T.A Maiz Morado /Purple Corn 50Lb saco</v>
      </c>
      <c r="N1047" s="20">
        <f t="shared" si="227"/>
        <v>5</v>
      </c>
      <c r="O1047" s="20" t="str">
        <f t="shared" si="228"/>
        <v>Se repite 5 veces en Tradiciones Andinas</v>
      </c>
      <c r="P1047" s="20" t="str">
        <f t="shared" si="229"/>
        <v>Tradiciones Andinas-T.A Maiz Morado /Purple Corn 50Lb saco-64.2</v>
      </c>
      <c r="Q1047" s="20">
        <f t="shared" si="230"/>
        <v>3</v>
      </c>
      <c r="R1047" s="20" t="str">
        <f t="shared" si="231"/>
        <v>Se repite 3 veces el precio de 64.2</v>
      </c>
      <c r="S1047" s="20" t="str">
        <f t="shared" si="232"/>
        <v>El producto T.A Maiz Morado /Purple Corn 50Lb saco Se repite 5 veces en Tradiciones Andinas, Se repite 3 veces el precio de 64.2</v>
      </c>
      <c r="T1047" s="20" t="str">
        <f t="shared" si="233"/>
        <v>Tradiciones Andinas</v>
      </c>
      <c r="U1047" s="20" t="str">
        <f t="shared" si="234"/>
        <v>T.A Maiz Morado /Purple Corn 50Lb saco</v>
      </c>
      <c r="V1047" s="22">
        <f t="shared" si="235"/>
        <v>64.2</v>
      </c>
      <c r="W1047" t="str">
        <f t="shared" si="236"/>
        <v>Tradiciones Andinas 07/03/2025</v>
      </c>
      <c r="Z1047">
        <f t="shared" si="237"/>
        <v>385.20000000000005</v>
      </c>
    </row>
    <row r="1048" spans="1:26" hidden="1" x14ac:dyDescent="0.25">
      <c r="A1048" s="2" t="s">
        <v>664</v>
      </c>
      <c r="B1048" s="11" t="s">
        <v>1201</v>
      </c>
      <c r="C1048" s="11" t="s">
        <v>4</v>
      </c>
      <c r="D1048" s="11" t="s">
        <v>1202</v>
      </c>
      <c r="E1048" s="11" t="s">
        <v>745</v>
      </c>
      <c r="F1048" s="11" t="s">
        <v>974</v>
      </c>
      <c r="G1048" s="12">
        <v>6</v>
      </c>
      <c r="H1048" s="12">
        <v>64.2</v>
      </c>
      <c r="I1048" s="12">
        <v>385.2</v>
      </c>
      <c r="J1048" s="12">
        <v>103751.90999999992</v>
      </c>
      <c r="K1048" s="20">
        <f t="shared" si="224"/>
        <v>5</v>
      </c>
      <c r="L1048" s="20" t="str">
        <f t="shared" si="225"/>
        <v>Se repite 5 veces</v>
      </c>
      <c r="M1048" s="20" t="str">
        <f t="shared" si="226"/>
        <v>Tradiciones Andinas-T.A Maiz Morado /Purple Corn 50Lb saco</v>
      </c>
      <c r="N1048" s="20">
        <f t="shared" si="227"/>
        <v>5</v>
      </c>
      <c r="O1048" s="20" t="str">
        <f t="shared" si="228"/>
        <v>Se repite 5 veces en Tradiciones Andinas</v>
      </c>
      <c r="P1048" s="20" t="str">
        <f t="shared" si="229"/>
        <v>Tradiciones Andinas-T.A Maiz Morado /Purple Corn 50Lb saco-64.2</v>
      </c>
      <c r="Q1048" s="20">
        <f t="shared" si="230"/>
        <v>3</v>
      </c>
      <c r="R1048" s="20" t="str">
        <f t="shared" si="231"/>
        <v>Se repite 3 veces el precio de 64.2</v>
      </c>
      <c r="S1048" s="20" t="str">
        <f t="shared" si="232"/>
        <v>El producto T.A Maiz Morado /Purple Corn 50Lb saco Se repite 5 veces en Tradiciones Andinas, Se repite 3 veces el precio de 64.2</v>
      </c>
      <c r="T1048" s="20" t="str">
        <f t="shared" si="233"/>
        <v>Tradiciones Andinas</v>
      </c>
      <c r="U1048" s="20" t="str">
        <f t="shared" si="234"/>
        <v>T.A Maiz Morado /Purple Corn 50Lb saco</v>
      </c>
      <c r="V1048" s="22">
        <f t="shared" si="235"/>
        <v>64.2</v>
      </c>
      <c r="W1048" t="str">
        <f t="shared" si="236"/>
        <v>Tradiciones Andinas 11/07/2025</v>
      </c>
      <c r="Z1048">
        <f t="shared" si="237"/>
        <v>385.20000000000005</v>
      </c>
    </row>
    <row r="1049" spans="1:26" hidden="1" x14ac:dyDescent="0.25">
      <c r="A1049" s="2" t="s">
        <v>664</v>
      </c>
      <c r="B1049" s="11" t="s">
        <v>398</v>
      </c>
      <c r="C1049" s="11" t="s">
        <v>4</v>
      </c>
      <c r="D1049" s="11" t="s">
        <v>5</v>
      </c>
      <c r="E1049" s="11" t="s">
        <v>784</v>
      </c>
      <c r="F1049" s="11" t="s">
        <v>785</v>
      </c>
      <c r="G1049" s="12">
        <v>2</v>
      </c>
      <c r="H1049" s="12">
        <v>12</v>
      </c>
      <c r="I1049" s="12">
        <v>24</v>
      </c>
      <c r="J1049" s="12">
        <v>5291.32</v>
      </c>
      <c r="K1049" s="20">
        <f t="shared" si="224"/>
        <v>5</v>
      </c>
      <c r="L1049" s="20" t="str">
        <f t="shared" si="225"/>
        <v>Se repite 5 veces</v>
      </c>
      <c r="M1049" s="20" t="str">
        <f t="shared" si="226"/>
        <v>Tradiciones Andinas-T.A Mix Andino Snack / Andean Mix Snack 130gr x 12</v>
      </c>
      <c r="N1049" s="20">
        <f t="shared" si="227"/>
        <v>5</v>
      </c>
      <c r="O1049" s="20" t="str">
        <f t="shared" si="228"/>
        <v>Se repite 5 veces en Tradiciones Andinas</v>
      </c>
      <c r="P1049" s="20" t="str">
        <f t="shared" si="229"/>
        <v>Tradiciones Andinas-T.A Mix Andino Snack / Andean Mix Snack 130gr x 12-12</v>
      </c>
      <c r="Q1049" s="20">
        <f t="shared" si="230"/>
        <v>2</v>
      </c>
      <c r="R1049" s="20" t="str">
        <f t="shared" si="231"/>
        <v>Se repite 2 veces el precio de 12</v>
      </c>
      <c r="S1049" s="20" t="str">
        <f t="shared" si="232"/>
        <v>El producto T.A Mix Andino Snack / Andean Mix Snack 130gr x 12 Se repite 5 veces en Tradiciones Andinas, Se repite 2 veces el precio de 12</v>
      </c>
      <c r="T1049" s="20" t="str">
        <f t="shared" si="233"/>
        <v>Tradiciones Andinas</v>
      </c>
      <c r="U1049" s="20" t="str">
        <f t="shared" si="234"/>
        <v>T.A Mix Andino Snack / Andean Mix Snack 130gr x 12</v>
      </c>
      <c r="V1049" s="22">
        <f t="shared" si="235"/>
        <v>12</v>
      </c>
      <c r="W1049" t="str">
        <f t="shared" si="236"/>
        <v>Tradiciones Andinas 04/10/2025</v>
      </c>
      <c r="Z1049">
        <f t="shared" si="237"/>
        <v>24</v>
      </c>
    </row>
    <row r="1050" spans="1:26" hidden="1" x14ac:dyDescent="0.25">
      <c r="A1050" s="2" t="s">
        <v>664</v>
      </c>
      <c r="B1050" s="11" t="s">
        <v>821</v>
      </c>
      <c r="C1050" s="11" t="s">
        <v>4</v>
      </c>
      <c r="D1050" s="11" t="s">
        <v>822</v>
      </c>
      <c r="E1050" s="11" t="s">
        <v>784</v>
      </c>
      <c r="F1050" s="11" t="s">
        <v>785</v>
      </c>
      <c r="G1050" s="12">
        <v>6</v>
      </c>
      <c r="H1050" s="12">
        <v>12</v>
      </c>
      <c r="I1050" s="12">
        <v>72</v>
      </c>
      <c r="J1050" s="12">
        <v>15211.279999999999</v>
      </c>
      <c r="K1050" s="20">
        <f t="shared" si="224"/>
        <v>5</v>
      </c>
      <c r="L1050" s="20" t="str">
        <f t="shared" si="225"/>
        <v>Se repite 5 veces</v>
      </c>
      <c r="M1050" s="20" t="str">
        <f t="shared" si="226"/>
        <v>Tradiciones Andinas-T.A Mix Andino Snack / Andean Mix Snack 130gr x 12</v>
      </c>
      <c r="N1050" s="20">
        <f t="shared" si="227"/>
        <v>5</v>
      </c>
      <c r="O1050" s="20" t="str">
        <f t="shared" si="228"/>
        <v>Se repite 5 veces en Tradiciones Andinas</v>
      </c>
      <c r="P1050" s="20" t="str">
        <f t="shared" si="229"/>
        <v>Tradiciones Andinas-T.A Mix Andino Snack / Andean Mix Snack 130gr x 12-12</v>
      </c>
      <c r="Q1050" s="20">
        <f t="shared" si="230"/>
        <v>2</v>
      </c>
      <c r="R1050" s="20" t="str">
        <f t="shared" si="231"/>
        <v>Se repite 2 veces el precio de 12</v>
      </c>
      <c r="S1050" s="20" t="str">
        <f t="shared" si="232"/>
        <v>El producto T.A Mix Andino Snack / Andean Mix Snack 130gr x 12 Se repite 5 veces en Tradiciones Andinas, Se repite 2 veces el precio de 12</v>
      </c>
      <c r="T1050" s="20" t="str">
        <f t="shared" si="233"/>
        <v>Tradiciones Andinas</v>
      </c>
      <c r="U1050" s="20" t="str">
        <f t="shared" si="234"/>
        <v>T.A Mix Andino Snack / Andean Mix Snack 130gr x 12</v>
      </c>
      <c r="V1050" s="22">
        <f t="shared" si="235"/>
        <v>12</v>
      </c>
      <c r="W1050" t="str">
        <f t="shared" si="236"/>
        <v>Tradiciones Andinas 04/25/2025</v>
      </c>
      <c r="Z1050">
        <f t="shared" si="237"/>
        <v>72</v>
      </c>
    </row>
    <row r="1051" spans="1:26" hidden="1" x14ac:dyDescent="0.25">
      <c r="A1051" s="2" t="s">
        <v>664</v>
      </c>
      <c r="B1051" s="11" t="s">
        <v>1033</v>
      </c>
      <c r="C1051" s="11" t="s">
        <v>4</v>
      </c>
      <c r="D1051" s="11" t="s">
        <v>1034</v>
      </c>
      <c r="E1051" s="11" t="s">
        <v>784</v>
      </c>
      <c r="F1051" s="11" t="s">
        <v>1055</v>
      </c>
      <c r="G1051" s="12">
        <v>6</v>
      </c>
      <c r="H1051" s="12">
        <v>13.2</v>
      </c>
      <c r="I1051" s="12">
        <v>79.2</v>
      </c>
      <c r="J1051" s="12">
        <v>51202.01999999996</v>
      </c>
      <c r="K1051" s="20">
        <f t="shared" si="224"/>
        <v>5</v>
      </c>
      <c r="L1051" s="20" t="str">
        <f t="shared" si="225"/>
        <v>Se repite 5 veces</v>
      </c>
      <c r="M1051" s="20" t="str">
        <f t="shared" si="226"/>
        <v>Tradiciones Andinas-T.A Mix Andino Snack / Andean Mix Snack 130gr x 12</v>
      </c>
      <c r="N1051" s="20">
        <f t="shared" si="227"/>
        <v>5</v>
      </c>
      <c r="O1051" s="20" t="str">
        <f t="shared" si="228"/>
        <v>Se repite 5 veces en Tradiciones Andinas</v>
      </c>
      <c r="P1051" s="20" t="str">
        <f t="shared" si="229"/>
        <v>Tradiciones Andinas-T.A Mix Andino Snack / Andean Mix Snack 130gr x 12-13.2</v>
      </c>
      <c r="Q1051" s="20">
        <f t="shared" si="230"/>
        <v>3</v>
      </c>
      <c r="R1051" s="20" t="str">
        <f t="shared" si="231"/>
        <v>Se repite 3 veces el precio de 13.2</v>
      </c>
      <c r="S1051" s="20" t="str">
        <f t="shared" si="232"/>
        <v>El producto T.A Mix Andino Snack / Andean Mix Snack 130gr x 12 Se repite 5 veces en Tradiciones Andinas, Se repite 3 veces el precio de 13.2</v>
      </c>
      <c r="T1051" s="20" t="str">
        <f t="shared" si="233"/>
        <v>Tradiciones Andinas</v>
      </c>
      <c r="U1051" s="20" t="str">
        <f t="shared" si="234"/>
        <v>T.A Mix Andino Snack / Andean Mix Snack 130gr x 12</v>
      </c>
      <c r="V1051" s="22">
        <f t="shared" si="235"/>
        <v>13.2</v>
      </c>
      <c r="W1051" t="str">
        <f t="shared" si="236"/>
        <v>Tradiciones Andinas 07/03/2025</v>
      </c>
      <c r="Z1051">
        <f t="shared" si="237"/>
        <v>79.199999999999989</v>
      </c>
    </row>
    <row r="1052" spans="1:26" hidden="1" x14ac:dyDescent="0.25">
      <c r="A1052" s="2" t="s">
        <v>664</v>
      </c>
      <c r="B1052" s="11" t="s">
        <v>1153</v>
      </c>
      <c r="C1052" s="11" t="s">
        <v>4</v>
      </c>
      <c r="D1052" s="11" t="s">
        <v>1154</v>
      </c>
      <c r="E1052" s="11" t="s">
        <v>784</v>
      </c>
      <c r="F1052" s="11" t="s">
        <v>1055</v>
      </c>
      <c r="G1052" s="12">
        <v>5</v>
      </c>
      <c r="H1052" s="12">
        <v>13.2</v>
      </c>
      <c r="I1052" s="12">
        <v>66</v>
      </c>
      <c r="J1052" s="12">
        <v>82069.229999999967</v>
      </c>
      <c r="K1052" s="20">
        <f t="shared" si="224"/>
        <v>5</v>
      </c>
      <c r="L1052" s="20" t="str">
        <f t="shared" si="225"/>
        <v>Se repite 5 veces</v>
      </c>
      <c r="M1052" s="20" t="str">
        <f t="shared" si="226"/>
        <v>Tradiciones Andinas-T.A Mix Andino Snack / Andean Mix Snack 130gr x 12</v>
      </c>
      <c r="N1052" s="20">
        <f t="shared" si="227"/>
        <v>5</v>
      </c>
      <c r="O1052" s="20" t="str">
        <f t="shared" si="228"/>
        <v>Se repite 5 veces en Tradiciones Andinas</v>
      </c>
      <c r="P1052" s="20" t="str">
        <f t="shared" si="229"/>
        <v>Tradiciones Andinas-T.A Mix Andino Snack / Andean Mix Snack 130gr x 12-13.2</v>
      </c>
      <c r="Q1052" s="20">
        <f t="shared" si="230"/>
        <v>3</v>
      </c>
      <c r="R1052" s="20" t="str">
        <f t="shared" si="231"/>
        <v>Se repite 3 veces el precio de 13.2</v>
      </c>
      <c r="S1052" s="20" t="str">
        <f t="shared" si="232"/>
        <v>El producto T.A Mix Andino Snack / Andean Mix Snack 130gr x 12 Se repite 5 veces en Tradiciones Andinas, Se repite 3 veces el precio de 13.2</v>
      </c>
      <c r="T1052" s="20" t="str">
        <f t="shared" si="233"/>
        <v>Tradiciones Andinas</v>
      </c>
      <c r="U1052" s="20" t="str">
        <f t="shared" si="234"/>
        <v>T.A Mix Andino Snack / Andean Mix Snack 130gr x 12</v>
      </c>
      <c r="V1052" s="22">
        <f t="shared" si="235"/>
        <v>13.2</v>
      </c>
      <c r="W1052" t="str">
        <f t="shared" si="236"/>
        <v>Tradiciones Andinas 09/24/2025</v>
      </c>
      <c r="Z1052">
        <f t="shared" si="237"/>
        <v>66</v>
      </c>
    </row>
    <row r="1053" spans="1:26" hidden="1" x14ac:dyDescent="0.25">
      <c r="A1053" s="2" t="s">
        <v>664</v>
      </c>
      <c r="B1053" s="11" t="s">
        <v>1207</v>
      </c>
      <c r="C1053" s="11" t="s">
        <v>4</v>
      </c>
      <c r="D1053" s="11" t="s">
        <v>1208</v>
      </c>
      <c r="E1053" s="11" t="s">
        <v>784</v>
      </c>
      <c r="F1053" s="11" t="s">
        <v>1055</v>
      </c>
      <c r="G1053" s="12">
        <v>3</v>
      </c>
      <c r="H1053" s="12">
        <v>13.2</v>
      </c>
      <c r="I1053" s="12">
        <v>39.6</v>
      </c>
      <c r="J1053" s="12">
        <v>108216.68999999992</v>
      </c>
      <c r="K1053" s="20">
        <f t="shared" si="224"/>
        <v>5</v>
      </c>
      <c r="L1053" s="20" t="str">
        <f t="shared" si="225"/>
        <v>Se repite 5 veces</v>
      </c>
      <c r="M1053" s="20" t="str">
        <f t="shared" si="226"/>
        <v>Tradiciones Andinas-T.A Mix Andino Snack / Andean Mix Snack 130gr x 12</v>
      </c>
      <c r="N1053" s="20">
        <f t="shared" si="227"/>
        <v>5</v>
      </c>
      <c r="O1053" s="20" t="str">
        <f t="shared" si="228"/>
        <v>Se repite 5 veces en Tradiciones Andinas</v>
      </c>
      <c r="P1053" s="20" t="str">
        <f t="shared" si="229"/>
        <v>Tradiciones Andinas-T.A Mix Andino Snack / Andean Mix Snack 130gr x 12-13.2</v>
      </c>
      <c r="Q1053" s="20">
        <f t="shared" si="230"/>
        <v>3</v>
      </c>
      <c r="R1053" s="20" t="str">
        <f t="shared" si="231"/>
        <v>Se repite 3 veces el precio de 13.2</v>
      </c>
      <c r="S1053" s="20" t="str">
        <f t="shared" si="232"/>
        <v>El producto T.A Mix Andino Snack / Andean Mix Snack 130gr x 12 Se repite 5 veces en Tradiciones Andinas, Se repite 3 veces el precio de 13.2</v>
      </c>
      <c r="T1053" s="20" t="str">
        <f t="shared" si="233"/>
        <v>Tradiciones Andinas</v>
      </c>
      <c r="U1053" s="20" t="str">
        <f t="shared" si="234"/>
        <v>T.A Mix Andino Snack / Andean Mix Snack 130gr x 12</v>
      </c>
      <c r="V1053" s="22">
        <f t="shared" si="235"/>
        <v>13.2</v>
      </c>
      <c r="W1053" t="str">
        <f t="shared" si="236"/>
        <v>Tradiciones Andinas 11/28/2025</v>
      </c>
      <c r="Z1053">
        <f t="shared" si="237"/>
        <v>39.599999999999994</v>
      </c>
    </row>
    <row r="1054" spans="1:26" hidden="1" x14ac:dyDescent="0.25">
      <c r="A1054" s="2" t="s">
        <v>664</v>
      </c>
      <c r="B1054" s="11" t="s">
        <v>1207</v>
      </c>
      <c r="C1054" s="11" t="s">
        <v>4</v>
      </c>
      <c r="D1054" s="11" t="s">
        <v>1208</v>
      </c>
      <c r="E1054" s="11" t="s">
        <v>1213</v>
      </c>
      <c r="F1054" s="11" t="s">
        <v>1214</v>
      </c>
      <c r="G1054" s="12">
        <v>2</v>
      </c>
      <c r="H1054" s="12">
        <v>35</v>
      </c>
      <c r="I1054" s="12">
        <v>70</v>
      </c>
      <c r="J1054" s="12">
        <v>115944.73999999987</v>
      </c>
      <c r="K1054" s="20">
        <f t="shared" si="224"/>
        <v>1</v>
      </c>
      <c r="L1054" s="20" t="str">
        <f t="shared" si="225"/>
        <v>No se repite</v>
      </c>
      <c r="M1054" s="20" t="str">
        <f t="shared" si="226"/>
        <v>Tradiciones Andinas-T.A Mora en Fruta - Blackberry FROZEN 28oz x 12</v>
      </c>
      <c r="N1054" s="20">
        <f t="shared" si="227"/>
        <v>1</v>
      </c>
      <c r="O1054" s="20" t="str">
        <f t="shared" si="228"/>
        <v>No se repite en proveedor</v>
      </c>
      <c r="P1054" s="20" t="str">
        <f t="shared" si="229"/>
        <v>Tradiciones Andinas-T.A Mora en Fruta - Blackberry FROZEN 28oz x 12-35</v>
      </c>
      <c r="Q1054" s="20">
        <f t="shared" si="230"/>
        <v>1</v>
      </c>
      <c r="R1054" s="20" t="str">
        <f t="shared" si="231"/>
        <v>No se repite</v>
      </c>
      <c r="S1054" s="20" t="str">
        <f t="shared" si="232"/>
        <v>El producto T.A Mora en Fruta - Blackberry FROZEN 28oz x 12 No se repite en proveedor Una vez con el precio 35</v>
      </c>
      <c r="T1054" s="20" t="str">
        <f t="shared" si="233"/>
        <v>Tradiciones Andinas</v>
      </c>
      <c r="U1054" s="20" t="str">
        <f t="shared" si="234"/>
        <v>T.A Mora en Fruta - Blackberry FROZEN 28oz x 12</v>
      </c>
      <c r="V1054" s="22">
        <f t="shared" si="235"/>
        <v>35</v>
      </c>
      <c r="W1054" t="str">
        <f t="shared" si="236"/>
        <v>Tradiciones Andinas 11/28/2025</v>
      </c>
      <c r="Z1054">
        <f t="shared" si="237"/>
        <v>70</v>
      </c>
    </row>
    <row r="1055" spans="1:26" hidden="1" x14ac:dyDescent="0.25">
      <c r="A1055" s="2" t="s">
        <v>664</v>
      </c>
      <c r="B1055" s="11" t="s">
        <v>821</v>
      </c>
      <c r="C1055" s="11" t="s">
        <v>4</v>
      </c>
      <c r="D1055" s="11" t="s">
        <v>822</v>
      </c>
      <c r="E1055" s="11" t="s">
        <v>908</v>
      </c>
      <c r="F1055" s="11" t="s">
        <v>909</v>
      </c>
      <c r="G1055" s="12">
        <v>2</v>
      </c>
      <c r="H1055" s="12">
        <v>34.68</v>
      </c>
      <c r="I1055" s="12">
        <v>69.36</v>
      </c>
      <c r="J1055" s="12">
        <v>21795.019999999997</v>
      </c>
      <c r="K1055" s="20">
        <f t="shared" si="224"/>
        <v>2</v>
      </c>
      <c r="L1055" s="20" t="str">
        <f t="shared" si="225"/>
        <v>Se repite 2 veces</v>
      </c>
      <c r="M1055" s="20" t="str">
        <f t="shared" si="226"/>
        <v>Tradiciones Andinas-T.A Motas de Guanabana en Almibar 790gr x 12</v>
      </c>
      <c r="N1055" s="20">
        <f t="shared" si="227"/>
        <v>2</v>
      </c>
      <c r="O1055" s="20" t="str">
        <f t="shared" si="228"/>
        <v>Se repite 2 veces en Tradiciones Andinas</v>
      </c>
      <c r="P1055" s="20" t="str">
        <f t="shared" si="229"/>
        <v>Tradiciones Andinas-T.A Motas de Guanabana en Almibar 790gr x 12-34.68</v>
      </c>
      <c r="Q1055" s="20">
        <f t="shared" si="230"/>
        <v>1</v>
      </c>
      <c r="R1055" s="20" t="str">
        <f t="shared" si="231"/>
        <v>No se repite</v>
      </c>
      <c r="S1055" s="20" t="str">
        <f t="shared" si="232"/>
        <v>El producto T.A Motas de Guanabana en Almibar 790gr x 12 Se repite 2 veces en Tradiciones Andinas Una vez con el precio 34.68</v>
      </c>
      <c r="T1055" s="20" t="str">
        <f t="shared" si="233"/>
        <v>Tradiciones Andinas</v>
      </c>
      <c r="U1055" s="20" t="str">
        <f t="shared" si="234"/>
        <v>T.A Motas de Guanabana en Almibar 790gr x 12</v>
      </c>
      <c r="V1055" s="22">
        <f t="shared" si="235"/>
        <v>34.68</v>
      </c>
      <c r="W1055" t="str">
        <f t="shared" si="236"/>
        <v>Tradiciones Andinas 04/25/2025</v>
      </c>
      <c r="Z1055">
        <f t="shared" si="237"/>
        <v>69.36</v>
      </c>
    </row>
    <row r="1056" spans="1:26" hidden="1" x14ac:dyDescent="0.25">
      <c r="A1056" s="2" t="s">
        <v>664</v>
      </c>
      <c r="B1056" s="11" t="s">
        <v>654</v>
      </c>
      <c r="C1056" s="11" t="s">
        <v>4</v>
      </c>
      <c r="D1056" s="11" t="s">
        <v>940</v>
      </c>
      <c r="E1056" s="11" t="s">
        <v>908</v>
      </c>
      <c r="F1056" s="11" t="s">
        <v>975</v>
      </c>
      <c r="G1056" s="12">
        <v>2</v>
      </c>
      <c r="H1056" s="12">
        <v>37.11</v>
      </c>
      <c r="I1056" s="12">
        <v>74.22</v>
      </c>
      <c r="J1056" s="12">
        <v>32858.080000000002</v>
      </c>
      <c r="K1056" s="20">
        <f t="shared" si="224"/>
        <v>2</v>
      </c>
      <c r="L1056" s="20" t="str">
        <f t="shared" si="225"/>
        <v>Se repite 2 veces</v>
      </c>
      <c r="M1056" s="20" t="str">
        <f t="shared" si="226"/>
        <v>Tradiciones Andinas-T.A Motas de Guanabana en Almibar 790gr x 12</v>
      </c>
      <c r="N1056" s="20">
        <f t="shared" si="227"/>
        <v>2</v>
      </c>
      <c r="O1056" s="20" t="str">
        <f t="shared" si="228"/>
        <v>Se repite 2 veces en Tradiciones Andinas</v>
      </c>
      <c r="P1056" s="20" t="str">
        <f t="shared" si="229"/>
        <v>Tradiciones Andinas-T.A Motas de Guanabana en Almibar 790gr x 12-37.11</v>
      </c>
      <c r="Q1056" s="20">
        <f t="shared" si="230"/>
        <v>1</v>
      </c>
      <c r="R1056" s="20" t="str">
        <f t="shared" si="231"/>
        <v>No se repite</v>
      </c>
      <c r="S1056" s="20" t="str">
        <f t="shared" si="232"/>
        <v>El producto T.A Motas de Guanabana en Almibar 790gr x 12 Se repite 2 veces en Tradiciones Andinas Una vez con el precio 37.11</v>
      </c>
      <c r="T1056" s="20" t="str">
        <f t="shared" si="233"/>
        <v>Tradiciones Andinas</v>
      </c>
      <c r="U1056" s="20" t="str">
        <f t="shared" si="234"/>
        <v>T.A Motas de Guanabana en Almibar 790gr x 12</v>
      </c>
      <c r="V1056" s="22">
        <f t="shared" si="235"/>
        <v>37.11</v>
      </c>
      <c r="W1056" t="str">
        <f t="shared" si="236"/>
        <v>Tradiciones Andinas 05/19/2025</v>
      </c>
      <c r="Z1056">
        <f t="shared" si="237"/>
        <v>74.22</v>
      </c>
    </row>
    <row r="1057" spans="1:26" hidden="1" x14ac:dyDescent="0.25">
      <c r="A1057" s="2" t="s">
        <v>664</v>
      </c>
      <c r="B1057" s="11" t="s">
        <v>665</v>
      </c>
      <c r="C1057" s="11" t="s">
        <v>4</v>
      </c>
      <c r="D1057" s="11" t="s">
        <v>666</v>
      </c>
      <c r="E1057" s="11" t="s">
        <v>722</v>
      </c>
      <c r="F1057" s="11" t="s">
        <v>723</v>
      </c>
      <c r="G1057" s="12">
        <v>2</v>
      </c>
      <c r="H1057" s="12">
        <v>35</v>
      </c>
      <c r="I1057" s="12">
        <v>70</v>
      </c>
      <c r="J1057" s="12">
        <v>1732.7199999999996</v>
      </c>
      <c r="K1057" s="20">
        <f t="shared" si="224"/>
        <v>1</v>
      </c>
      <c r="L1057" s="20" t="str">
        <f t="shared" si="225"/>
        <v>No se repite</v>
      </c>
      <c r="M1057" s="20" t="str">
        <f t="shared" si="226"/>
        <v>Tradiciones Andinas-T.A Mote Pelado (Family Pack) /Peeled Mote Corn 54oz x 6</v>
      </c>
      <c r="N1057" s="20">
        <f t="shared" si="227"/>
        <v>1</v>
      </c>
      <c r="O1057" s="20" t="str">
        <f t="shared" si="228"/>
        <v>No se repite en proveedor</v>
      </c>
      <c r="P1057" s="20" t="str">
        <f t="shared" si="229"/>
        <v>Tradiciones Andinas-T.A Mote Pelado (Family Pack) /Peeled Mote Corn 54oz x 6-35</v>
      </c>
      <c r="Q1057" s="20">
        <f t="shared" si="230"/>
        <v>1</v>
      </c>
      <c r="R1057" s="20" t="str">
        <f t="shared" si="231"/>
        <v>No se repite</v>
      </c>
      <c r="S1057" s="20" t="str">
        <f t="shared" si="232"/>
        <v>El producto T.A Mote Pelado (Family Pack) /Peeled Mote Corn 54oz x 6 No se repite en proveedor Una vez con el precio 35</v>
      </c>
      <c r="T1057" s="20" t="str">
        <f t="shared" si="233"/>
        <v>Tradiciones Andinas</v>
      </c>
      <c r="U1057" s="20" t="str">
        <f t="shared" si="234"/>
        <v>T.A Mote Pelado (Family Pack) /Peeled Mote Corn 54oz x 6</v>
      </c>
      <c r="V1057" s="22">
        <f t="shared" si="235"/>
        <v>35</v>
      </c>
      <c r="W1057" t="str">
        <f t="shared" si="236"/>
        <v>Tradiciones Andinas 03/31/2025</v>
      </c>
      <c r="Z1057">
        <f t="shared" si="237"/>
        <v>70</v>
      </c>
    </row>
    <row r="1058" spans="1:26" hidden="1" x14ac:dyDescent="0.25">
      <c r="A1058" s="2" t="s">
        <v>664</v>
      </c>
      <c r="B1058" s="11" t="s">
        <v>665</v>
      </c>
      <c r="C1058" s="11" t="s">
        <v>4</v>
      </c>
      <c r="D1058" s="11" t="s">
        <v>666</v>
      </c>
      <c r="E1058" s="11" t="s">
        <v>746</v>
      </c>
      <c r="F1058" s="11" t="s">
        <v>747</v>
      </c>
      <c r="G1058" s="12">
        <v>1</v>
      </c>
      <c r="H1058" s="12">
        <v>80</v>
      </c>
      <c r="I1058" s="12">
        <v>80</v>
      </c>
      <c r="J1058" s="12">
        <v>2416.3599999999997</v>
      </c>
      <c r="K1058" s="20">
        <f t="shared" si="224"/>
        <v>3</v>
      </c>
      <c r="L1058" s="20" t="str">
        <f t="shared" si="225"/>
        <v>Se repite 3 veces</v>
      </c>
      <c r="M1058" s="20" t="str">
        <f t="shared" si="226"/>
        <v>Tradiciones Andinas-T.A Mote Pelado Saco 50lb</v>
      </c>
      <c r="N1058" s="20">
        <f t="shared" si="227"/>
        <v>3</v>
      </c>
      <c r="O1058" s="20" t="str">
        <f t="shared" si="228"/>
        <v>Se repite 3 veces en Tradiciones Andinas</v>
      </c>
      <c r="P1058" s="20" t="str">
        <f t="shared" si="229"/>
        <v>Tradiciones Andinas-T.A Mote Pelado Saco 50lb-80</v>
      </c>
      <c r="Q1058" s="20">
        <f t="shared" si="230"/>
        <v>1</v>
      </c>
      <c r="R1058" s="20" t="str">
        <f t="shared" si="231"/>
        <v>No se repite</v>
      </c>
      <c r="S1058" s="20" t="str">
        <f t="shared" si="232"/>
        <v>El producto T.A Mote Pelado Saco 50lb Se repite 3 veces en Tradiciones Andinas Una vez con el precio 80</v>
      </c>
      <c r="T1058" s="20" t="str">
        <f t="shared" si="233"/>
        <v>Tradiciones Andinas</v>
      </c>
      <c r="U1058" s="20" t="str">
        <f t="shared" si="234"/>
        <v>T.A Mote Pelado Saco 50lb</v>
      </c>
      <c r="V1058" s="22">
        <f t="shared" si="235"/>
        <v>80</v>
      </c>
      <c r="W1058" t="str">
        <f t="shared" si="236"/>
        <v>Tradiciones Andinas 03/31/2025</v>
      </c>
      <c r="Z1058">
        <f t="shared" si="237"/>
        <v>80</v>
      </c>
    </row>
    <row r="1059" spans="1:26" hidden="1" x14ac:dyDescent="0.25">
      <c r="A1059" s="2" t="s">
        <v>664</v>
      </c>
      <c r="B1059" s="11" t="s">
        <v>1033</v>
      </c>
      <c r="C1059" s="11" t="s">
        <v>4</v>
      </c>
      <c r="D1059" s="11" t="s">
        <v>1034</v>
      </c>
      <c r="E1059" s="11" t="s">
        <v>746</v>
      </c>
      <c r="F1059" s="11" t="s">
        <v>1071</v>
      </c>
      <c r="G1059" s="12">
        <v>1</v>
      </c>
      <c r="H1059" s="12">
        <v>85.6</v>
      </c>
      <c r="I1059" s="12">
        <v>85.6</v>
      </c>
      <c r="J1059" s="12">
        <v>55758.059999999939</v>
      </c>
      <c r="K1059" s="20">
        <f t="shared" si="224"/>
        <v>3</v>
      </c>
      <c r="L1059" s="20" t="str">
        <f t="shared" si="225"/>
        <v>Se repite 3 veces</v>
      </c>
      <c r="M1059" s="20" t="str">
        <f t="shared" si="226"/>
        <v>Tradiciones Andinas-T.A Mote Pelado Saco 50lb</v>
      </c>
      <c r="N1059" s="20">
        <f t="shared" si="227"/>
        <v>3</v>
      </c>
      <c r="O1059" s="20" t="str">
        <f t="shared" si="228"/>
        <v>Se repite 3 veces en Tradiciones Andinas</v>
      </c>
      <c r="P1059" s="20" t="str">
        <f t="shared" si="229"/>
        <v>Tradiciones Andinas-T.A Mote Pelado Saco 50lb-85.6</v>
      </c>
      <c r="Q1059" s="20">
        <f t="shared" si="230"/>
        <v>2</v>
      </c>
      <c r="R1059" s="20" t="str">
        <f t="shared" si="231"/>
        <v>Se repite 2 veces el precio de 85.6</v>
      </c>
      <c r="S1059" s="20" t="str">
        <f t="shared" si="232"/>
        <v>El producto T.A Mote Pelado Saco 50lb Se repite 3 veces en Tradiciones Andinas, Se repite 2 veces el precio de 85.6</v>
      </c>
      <c r="T1059" s="20" t="str">
        <f t="shared" si="233"/>
        <v>Tradiciones Andinas</v>
      </c>
      <c r="U1059" s="20" t="str">
        <f t="shared" si="234"/>
        <v>T.A Mote Pelado Saco 50lb</v>
      </c>
      <c r="V1059" s="22">
        <f t="shared" si="235"/>
        <v>85.6</v>
      </c>
      <c r="W1059" t="str">
        <f t="shared" si="236"/>
        <v>Tradiciones Andinas 07/03/2025</v>
      </c>
      <c r="Z1059">
        <f t="shared" si="237"/>
        <v>85.6</v>
      </c>
    </row>
    <row r="1060" spans="1:26" hidden="1" x14ac:dyDescent="0.25">
      <c r="A1060" s="2" t="s">
        <v>664</v>
      </c>
      <c r="B1060" s="11" t="s">
        <v>1201</v>
      </c>
      <c r="C1060" s="11" t="s">
        <v>4</v>
      </c>
      <c r="D1060" s="11" t="s">
        <v>1202</v>
      </c>
      <c r="E1060" s="11" t="s">
        <v>746</v>
      </c>
      <c r="F1060" s="11" t="s">
        <v>1071</v>
      </c>
      <c r="G1060" s="12">
        <v>2</v>
      </c>
      <c r="H1060" s="12">
        <v>85.6</v>
      </c>
      <c r="I1060" s="12">
        <v>171.2</v>
      </c>
      <c r="J1060" s="12">
        <v>104001.10999999991</v>
      </c>
      <c r="K1060" s="20">
        <f t="shared" si="224"/>
        <v>3</v>
      </c>
      <c r="L1060" s="20" t="str">
        <f t="shared" si="225"/>
        <v>Se repite 3 veces</v>
      </c>
      <c r="M1060" s="20" t="str">
        <f t="shared" si="226"/>
        <v>Tradiciones Andinas-T.A Mote Pelado Saco 50lb</v>
      </c>
      <c r="N1060" s="20">
        <f t="shared" si="227"/>
        <v>3</v>
      </c>
      <c r="O1060" s="20" t="str">
        <f t="shared" si="228"/>
        <v>Se repite 3 veces en Tradiciones Andinas</v>
      </c>
      <c r="P1060" s="20" t="str">
        <f t="shared" si="229"/>
        <v>Tradiciones Andinas-T.A Mote Pelado Saco 50lb-85.6</v>
      </c>
      <c r="Q1060" s="20">
        <f t="shared" si="230"/>
        <v>2</v>
      </c>
      <c r="R1060" s="20" t="str">
        <f t="shared" si="231"/>
        <v>Se repite 2 veces el precio de 85.6</v>
      </c>
      <c r="S1060" s="20" t="str">
        <f t="shared" si="232"/>
        <v>El producto T.A Mote Pelado Saco 50lb Se repite 3 veces en Tradiciones Andinas, Se repite 2 veces el precio de 85.6</v>
      </c>
      <c r="T1060" s="20" t="str">
        <f t="shared" si="233"/>
        <v>Tradiciones Andinas</v>
      </c>
      <c r="U1060" s="20" t="str">
        <f t="shared" si="234"/>
        <v>T.A Mote Pelado Saco 50lb</v>
      </c>
      <c r="V1060" s="22">
        <f t="shared" si="235"/>
        <v>85.6</v>
      </c>
      <c r="W1060" t="str">
        <f t="shared" si="236"/>
        <v>Tradiciones Andinas 11/07/2025</v>
      </c>
      <c r="Z1060">
        <f t="shared" si="237"/>
        <v>171.2</v>
      </c>
    </row>
    <row r="1061" spans="1:26" hidden="1" x14ac:dyDescent="0.25">
      <c r="A1061" s="2" t="s">
        <v>664</v>
      </c>
      <c r="B1061" s="11" t="s">
        <v>821</v>
      </c>
      <c r="C1061" s="11" t="s">
        <v>4</v>
      </c>
      <c r="D1061" s="11" t="s">
        <v>822</v>
      </c>
      <c r="E1061" s="11" t="s">
        <v>849</v>
      </c>
      <c r="F1061" s="11" t="s">
        <v>850</v>
      </c>
      <c r="G1061" s="12">
        <v>3</v>
      </c>
      <c r="H1061" s="12">
        <v>15</v>
      </c>
      <c r="I1061" s="12">
        <v>45</v>
      </c>
      <c r="J1061" s="12">
        <v>13945.279999999999</v>
      </c>
      <c r="K1061" s="20">
        <f t="shared" si="224"/>
        <v>2</v>
      </c>
      <c r="L1061" s="20" t="str">
        <f t="shared" si="225"/>
        <v>Se repite 2 veces</v>
      </c>
      <c r="M1061" s="20" t="str">
        <f t="shared" si="226"/>
        <v>Tradiciones Andinas-T.A Nectar de Maracuya bebida 16oz x 12</v>
      </c>
      <c r="N1061" s="20">
        <f t="shared" si="227"/>
        <v>2</v>
      </c>
      <c r="O1061" s="20" t="str">
        <f t="shared" si="228"/>
        <v>Se repite 2 veces en Tradiciones Andinas</v>
      </c>
      <c r="P1061" s="20" t="str">
        <f t="shared" si="229"/>
        <v>Tradiciones Andinas-T.A Nectar de Maracuya bebida 16oz x 12-15</v>
      </c>
      <c r="Q1061" s="20">
        <f t="shared" si="230"/>
        <v>1</v>
      </c>
      <c r="R1061" s="20" t="str">
        <f t="shared" si="231"/>
        <v>No se repite</v>
      </c>
      <c r="S1061" s="20" t="str">
        <f t="shared" si="232"/>
        <v>El producto T.A Nectar de Maracuya bebida 16oz x 12 Se repite 2 veces en Tradiciones Andinas Una vez con el precio 15</v>
      </c>
      <c r="T1061" s="20" t="str">
        <f t="shared" si="233"/>
        <v>Tradiciones Andinas</v>
      </c>
      <c r="U1061" s="20" t="str">
        <f t="shared" si="234"/>
        <v>T.A Nectar de Maracuya bebida 16oz x 12</v>
      </c>
      <c r="V1061" s="22">
        <f t="shared" si="235"/>
        <v>15</v>
      </c>
      <c r="W1061" t="str">
        <f t="shared" si="236"/>
        <v>Tradiciones Andinas 04/25/2025</v>
      </c>
      <c r="Z1061">
        <f t="shared" si="237"/>
        <v>45</v>
      </c>
    </row>
    <row r="1062" spans="1:26" hidden="1" x14ac:dyDescent="0.25">
      <c r="A1062" s="2" t="s">
        <v>664</v>
      </c>
      <c r="B1062" s="11" t="s">
        <v>654</v>
      </c>
      <c r="C1062" s="11" t="s">
        <v>4</v>
      </c>
      <c r="D1062" s="11" t="s">
        <v>940</v>
      </c>
      <c r="E1062" s="11" t="s">
        <v>849</v>
      </c>
      <c r="F1062" s="11" t="s">
        <v>950</v>
      </c>
      <c r="G1062" s="12">
        <v>3</v>
      </c>
      <c r="H1062" s="12">
        <v>16.05</v>
      </c>
      <c r="I1062" s="12">
        <v>48.15</v>
      </c>
      <c r="J1062" s="12">
        <v>25642.339999999997</v>
      </c>
      <c r="K1062" s="20">
        <f t="shared" si="224"/>
        <v>2</v>
      </c>
      <c r="L1062" s="20" t="str">
        <f t="shared" si="225"/>
        <v>Se repite 2 veces</v>
      </c>
      <c r="M1062" s="20" t="str">
        <f t="shared" si="226"/>
        <v>Tradiciones Andinas-T.A Nectar de Maracuya bebida 16oz x 12</v>
      </c>
      <c r="N1062" s="20">
        <f t="shared" si="227"/>
        <v>2</v>
      </c>
      <c r="O1062" s="20" t="str">
        <f t="shared" si="228"/>
        <v>Se repite 2 veces en Tradiciones Andinas</v>
      </c>
      <c r="P1062" s="20" t="str">
        <f t="shared" si="229"/>
        <v>Tradiciones Andinas-T.A Nectar de Maracuya bebida 16oz x 12-16.05</v>
      </c>
      <c r="Q1062" s="20">
        <f t="shared" si="230"/>
        <v>1</v>
      </c>
      <c r="R1062" s="20" t="str">
        <f t="shared" si="231"/>
        <v>No se repite</v>
      </c>
      <c r="S1062" s="20" t="str">
        <f t="shared" si="232"/>
        <v>El producto T.A Nectar de Maracuya bebida 16oz x 12 Se repite 2 veces en Tradiciones Andinas Una vez con el precio 16.05</v>
      </c>
      <c r="T1062" s="20" t="str">
        <f t="shared" si="233"/>
        <v>Tradiciones Andinas</v>
      </c>
      <c r="U1062" s="20" t="str">
        <f t="shared" si="234"/>
        <v>T.A Nectar de Maracuya bebida 16oz x 12</v>
      </c>
      <c r="V1062" s="22">
        <f t="shared" si="235"/>
        <v>16.05</v>
      </c>
      <c r="W1062" t="str">
        <f t="shared" si="236"/>
        <v>Tradiciones Andinas 05/19/2025</v>
      </c>
      <c r="Z1062">
        <f t="shared" si="237"/>
        <v>48.150000000000006</v>
      </c>
    </row>
    <row r="1063" spans="1:26" hidden="1" x14ac:dyDescent="0.25">
      <c r="A1063" s="2" t="s">
        <v>664</v>
      </c>
      <c r="B1063" s="11" t="s">
        <v>398</v>
      </c>
      <c r="C1063" s="11" t="s">
        <v>4</v>
      </c>
      <c r="D1063" s="11" t="s">
        <v>5</v>
      </c>
      <c r="E1063" s="11" t="s">
        <v>815</v>
      </c>
      <c r="F1063" s="11" t="s">
        <v>816</v>
      </c>
      <c r="G1063" s="12">
        <v>3</v>
      </c>
      <c r="H1063" s="12">
        <v>45</v>
      </c>
      <c r="I1063" s="12">
        <v>135</v>
      </c>
      <c r="J1063" s="12">
        <v>7737.44</v>
      </c>
      <c r="K1063" s="20">
        <f t="shared" si="224"/>
        <v>5</v>
      </c>
      <c r="L1063" s="20" t="str">
        <f t="shared" si="225"/>
        <v>Se repite 5 veces</v>
      </c>
      <c r="M1063" s="20" t="str">
        <f t="shared" si="226"/>
        <v>Tradiciones Andinas-T.A Olluco cortado / Sliced Ollucos 16oz x 20</v>
      </c>
      <c r="N1063" s="20">
        <f t="shared" si="227"/>
        <v>5</v>
      </c>
      <c r="O1063" s="20" t="str">
        <f t="shared" si="228"/>
        <v>Se repite 5 veces en Tradiciones Andinas</v>
      </c>
      <c r="P1063" s="20" t="str">
        <f t="shared" si="229"/>
        <v>Tradiciones Andinas-T.A Olluco cortado / Sliced Ollucos 16oz x 20-45</v>
      </c>
      <c r="Q1063" s="20">
        <f t="shared" si="230"/>
        <v>5</v>
      </c>
      <c r="R1063" s="20" t="str">
        <f t="shared" si="231"/>
        <v>Se repite 5 veces el precio de 45</v>
      </c>
      <c r="S1063" s="20" t="str">
        <f t="shared" si="232"/>
        <v>El producto T.A Olluco cortado / Sliced Ollucos 16oz x 20 Se repite 5 veces en Tradiciones Andinas, Se repite 5 veces el precio de 45</v>
      </c>
      <c r="T1063" s="20" t="str">
        <f t="shared" si="233"/>
        <v>Tradiciones Andinas</v>
      </c>
      <c r="U1063" s="20" t="str">
        <f t="shared" si="234"/>
        <v>T.A Olluco cortado / Sliced Ollucos 16oz x 20</v>
      </c>
      <c r="V1063" s="22">
        <f t="shared" si="235"/>
        <v>45</v>
      </c>
      <c r="W1063" t="str">
        <f t="shared" si="236"/>
        <v>Tradiciones Andinas 04/10/2025</v>
      </c>
      <c r="Z1063">
        <f t="shared" si="237"/>
        <v>135</v>
      </c>
    </row>
    <row r="1064" spans="1:26" hidden="1" x14ac:dyDescent="0.25">
      <c r="A1064" s="2" t="s">
        <v>664</v>
      </c>
      <c r="B1064" s="11" t="s">
        <v>821</v>
      </c>
      <c r="C1064" s="11" t="s">
        <v>4</v>
      </c>
      <c r="D1064" s="11" t="s">
        <v>822</v>
      </c>
      <c r="E1064" s="11" t="s">
        <v>815</v>
      </c>
      <c r="F1064" s="11" t="s">
        <v>816</v>
      </c>
      <c r="G1064" s="12">
        <v>8</v>
      </c>
      <c r="H1064" s="12">
        <v>45</v>
      </c>
      <c r="I1064" s="12">
        <v>360</v>
      </c>
      <c r="J1064" s="12">
        <v>23566.74</v>
      </c>
      <c r="K1064" s="20">
        <f t="shared" si="224"/>
        <v>5</v>
      </c>
      <c r="L1064" s="20" t="str">
        <f t="shared" si="225"/>
        <v>Se repite 5 veces</v>
      </c>
      <c r="M1064" s="20" t="str">
        <f t="shared" si="226"/>
        <v>Tradiciones Andinas-T.A Olluco cortado / Sliced Ollucos 16oz x 20</v>
      </c>
      <c r="N1064" s="20">
        <f t="shared" si="227"/>
        <v>5</v>
      </c>
      <c r="O1064" s="20" t="str">
        <f t="shared" si="228"/>
        <v>Se repite 5 veces en Tradiciones Andinas</v>
      </c>
      <c r="P1064" s="20" t="str">
        <f t="shared" si="229"/>
        <v>Tradiciones Andinas-T.A Olluco cortado / Sliced Ollucos 16oz x 20-45</v>
      </c>
      <c r="Q1064" s="20">
        <f t="shared" si="230"/>
        <v>5</v>
      </c>
      <c r="R1064" s="20" t="str">
        <f t="shared" si="231"/>
        <v>Se repite 5 veces el precio de 45</v>
      </c>
      <c r="S1064" s="20" t="str">
        <f t="shared" si="232"/>
        <v>El producto T.A Olluco cortado / Sliced Ollucos 16oz x 20 Se repite 5 veces en Tradiciones Andinas, Se repite 5 veces el precio de 45</v>
      </c>
      <c r="T1064" s="20" t="str">
        <f t="shared" si="233"/>
        <v>Tradiciones Andinas</v>
      </c>
      <c r="U1064" s="20" t="str">
        <f t="shared" si="234"/>
        <v>T.A Olluco cortado / Sliced Ollucos 16oz x 20</v>
      </c>
      <c r="V1064" s="22">
        <f t="shared" si="235"/>
        <v>45</v>
      </c>
      <c r="W1064" t="str">
        <f t="shared" si="236"/>
        <v>Tradiciones Andinas 04/25/2025</v>
      </c>
      <c r="Z1064">
        <f t="shared" si="237"/>
        <v>360</v>
      </c>
    </row>
    <row r="1065" spans="1:26" hidden="1" x14ac:dyDescent="0.25">
      <c r="A1065" s="2" t="s">
        <v>664</v>
      </c>
      <c r="B1065" s="11" t="s">
        <v>1125</v>
      </c>
      <c r="C1065" s="11" t="s">
        <v>4</v>
      </c>
      <c r="D1065" s="11" t="s">
        <v>1126</v>
      </c>
      <c r="E1065" s="11" t="s">
        <v>815</v>
      </c>
      <c r="F1065" s="11" t="s">
        <v>1148</v>
      </c>
      <c r="G1065" s="12">
        <v>2</v>
      </c>
      <c r="H1065" s="12">
        <v>45</v>
      </c>
      <c r="I1065" s="12">
        <v>90</v>
      </c>
      <c r="J1065" s="12">
        <v>72915.560000000012</v>
      </c>
      <c r="K1065" s="20">
        <f t="shared" si="224"/>
        <v>5</v>
      </c>
      <c r="L1065" s="20" t="str">
        <f t="shared" si="225"/>
        <v>Se repite 5 veces</v>
      </c>
      <c r="M1065" s="20" t="str">
        <f t="shared" si="226"/>
        <v>Tradiciones Andinas-T.A Olluco cortado / Sliced Ollucos 16oz x 20</v>
      </c>
      <c r="N1065" s="20">
        <f t="shared" si="227"/>
        <v>5</v>
      </c>
      <c r="O1065" s="20" t="str">
        <f t="shared" si="228"/>
        <v>Se repite 5 veces en Tradiciones Andinas</v>
      </c>
      <c r="P1065" s="20" t="str">
        <f t="shared" si="229"/>
        <v>Tradiciones Andinas-T.A Olluco cortado / Sliced Ollucos 16oz x 20-45</v>
      </c>
      <c r="Q1065" s="20">
        <f t="shared" si="230"/>
        <v>5</v>
      </c>
      <c r="R1065" s="20" t="str">
        <f t="shared" si="231"/>
        <v>Se repite 5 veces el precio de 45</v>
      </c>
      <c r="S1065" s="20" t="str">
        <f t="shared" si="232"/>
        <v>El producto T.A Olluco cortado / Sliced Ollucos 16oz x 20 Se repite 5 veces en Tradiciones Andinas, Se repite 5 veces el precio de 45</v>
      </c>
      <c r="T1065" s="20" t="str">
        <f t="shared" si="233"/>
        <v>Tradiciones Andinas</v>
      </c>
      <c r="U1065" s="20" t="str">
        <f t="shared" si="234"/>
        <v>T.A Olluco cortado / Sliced Ollucos 16oz x 20</v>
      </c>
      <c r="V1065" s="22">
        <f t="shared" si="235"/>
        <v>45</v>
      </c>
      <c r="W1065" t="str">
        <f t="shared" si="236"/>
        <v>Tradiciones Andinas 08/18/2025</v>
      </c>
      <c r="Z1065">
        <f t="shared" si="237"/>
        <v>90</v>
      </c>
    </row>
    <row r="1066" spans="1:26" hidden="1" x14ac:dyDescent="0.25">
      <c r="A1066" s="2" t="s">
        <v>664</v>
      </c>
      <c r="B1066" s="11" t="s">
        <v>1153</v>
      </c>
      <c r="C1066" s="11" t="s">
        <v>4</v>
      </c>
      <c r="D1066" s="11" t="s">
        <v>1154</v>
      </c>
      <c r="E1066" s="11" t="s">
        <v>815</v>
      </c>
      <c r="F1066" s="11" t="s">
        <v>1148</v>
      </c>
      <c r="G1066" s="12">
        <v>2</v>
      </c>
      <c r="H1066" s="12">
        <v>45</v>
      </c>
      <c r="I1066" s="12">
        <v>90</v>
      </c>
      <c r="J1066" s="12">
        <v>88582.559999999939</v>
      </c>
      <c r="K1066" s="20">
        <f t="shared" si="224"/>
        <v>5</v>
      </c>
      <c r="L1066" s="20" t="str">
        <f t="shared" si="225"/>
        <v>Se repite 5 veces</v>
      </c>
      <c r="M1066" s="20" t="str">
        <f t="shared" si="226"/>
        <v>Tradiciones Andinas-T.A Olluco cortado / Sliced Ollucos 16oz x 20</v>
      </c>
      <c r="N1066" s="20">
        <f t="shared" si="227"/>
        <v>5</v>
      </c>
      <c r="O1066" s="20" t="str">
        <f t="shared" si="228"/>
        <v>Se repite 5 veces en Tradiciones Andinas</v>
      </c>
      <c r="P1066" s="20" t="str">
        <f t="shared" si="229"/>
        <v>Tradiciones Andinas-T.A Olluco cortado / Sliced Ollucos 16oz x 20-45</v>
      </c>
      <c r="Q1066" s="20">
        <f t="shared" si="230"/>
        <v>5</v>
      </c>
      <c r="R1066" s="20" t="str">
        <f t="shared" si="231"/>
        <v>Se repite 5 veces el precio de 45</v>
      </c>
      <c r="S1066" s="20" t="str">
        <f t="shared" si="232"/>
        <v>El producto T.A Olluco cortado / Sliced Ollucos 16oz x 20 Se repite 5 veces en Tradiciones Andinas, Se repite 5 veces el precio de 45</v>
      </c>
      <c r="T1066" s="20" t="str">
        <f t="shared" si="233"/>
        <v>Tradiciones Andinas</v>
      </c>
      <c r="U1066" s="20" t="str">
        <f t="shared" si="234"/>
        <v>T.A Olluco cortado / Sliced Ollucos 16oz x 20</v>
      </c>
      <c r="V1066" s="22">
        <f t="shared" si="235"/>
        <v>45</v>
      </c>
      <c r="W1066" t="str">
        <f t="shared" si="236"/>
        <v>Tradiciones Andinas 09/24/2025</v>
      </c>
      <c r="Z1066">
        <f t="shared" si="237"/>
        <v>90</v>
      </c>
    </row>
    <row r="1067" spans="1:26" hidden="1" x14ac:dyDescent="0.25">
      <c r="A1067" s="2" t="s">
        <v>664</v>
      </c>
      <c r="B1067" s="11" t="s">
        <v>1207</v>
      </c>
      <c r="C1067" s="11" t="s">
        <v>4</v>
      </c>
      <c r="D1067" s="11" t="s">
        <v>1208</v>
      </c>
      <c r="E1067" s="11" t="s">
        <v>815</v>
      </c>
      <c r="F1067" s="11" t="s">
        <v>1148</v>
      </c>
      <c r="G1067" s="12">
        <v>5</v>
      </c>
      <c r="H1067" s="12">
        <v>45</v>
      </c>
      <c r="I1067" s="12">
        <v>225</v>
      </c>
      <c r="J1067" s="12">
        <v>115227.37999999987</v>
      </c>
      <c r="K1067" s="20">
        <f t="shared" si="224"/>
        <v>5</v>
      </c>
      <c r="L1067" s="20" t="str">
        <f t="shared" si="225"/>
        <v>Se repite 5 veces</v>
      </c>
      <c r="M1067" s="20" t="str">
        <f t="shared" si="226"/>
        <v>Tradiciones Andinas-T.A Olluco cortado / Sliced Ollucos 16oz x 20</v>
      </c>
      <c r="N1067" s="20">
        <f t="shared" si="227"/>
        <v>5</v>
      </c>
      <c r="O1067" s="20" t="str">
        <f t="shared" si="228"/>
        <v>Se repite 5 veces en Tradiciones Andinas</v>
      </c>
      <c r="P1067" s="20" t="str">
        <f t="shared" si="229"/>
        <v>Tradiciones Andinas-T.A Olluco cortado / Sliced Ollucos 16oz x 20-45</v>
      </c>
      <c r="Q1067" s="20">
        <f t="shared" si="230"/>
        <v>5</v>
      </c>
      <c r="R1067" s="20" t="str">
        <f t="shared" si="231"/>
        <v>Se repite 5 veces el precio de 45</v>
      </c>
      <c r="S1067" s="20" t="str">
        <f t="shared" si="232"/>
        <v>El producto T.A Olluco cortado / Sliced Ollucos 16oz x 20 Se repite 5 veces en Tradiciones Andinas, Se repite 5 veces el precio de 45</v>
      </c>
      <c r="T1067" s="20" t="str">
        <f t="shared" si="233"/>
        <v>Tradiciones Andinas</v>
      </c>
      <c r="U1067" s="20" t="str">
        <f t="shared" si="234"/>
        <v>T.A Olluco cortado / Sliced Ollucos 16oz x 20</v>
      </c>
      <c r="V1067" s="22">
        <f t="shared" si="235"/>
        <v>45</v>
      </c>
      <c r="W1067" t="str">
        <f t="shared" si="236"/>
        <v>Tradiciones Andinas 11/28/2025</v>
      </c>
      <c r="Z1067">
        <f t="shared" si="237"/>
        <v>225</v>
      </c>
    </row>
    <row r="1068" spans="1:26" hidden="1" x14ac:dyDescent="0.25">
      <c r="A1068" s="2" t="s">
        <v>664</v>
      </c>
      <c r="B1068" s="11" t="s">
        <v>1224</v>
      </c>
      <c r="C1068" s="11" t="s">
        <v>4</v>
      </c>
      <c r="D1068" s="11" t="s">
        <v>1225</v>
      </c>
      <c r="E1068" s="11" t="s">
        <v>1226</v>
      </c>
      <c r="F1068" s="11" t="s">
        <v>1227</v>
      </c>
      <c r="G1068" s="12">
        <v>2</v>
      </c>
      <c r="H1068" s="12">
        <v>51.1</v>
      </c>
      <c r="I1068" s="12">
        <v>102.2</v>
      </c>
      <c r="J1068" s="12">
        <v>117142.53999999988</v>
      </c>
      <c r="K1068" s="20">
        <f t="shared" si="224"/>
        <v>1</v>
      </c>
      <c r="L1068" s="20" t="str">
        <f t="shared" si="225"/>
        <v>No se repite</v>
      </c>
      <c r="M1068" s="20" t="str">
        <f t="shared" si="226"/>
        <v>Tradiciones Andinas-T.A Olluco en Lata /Whole Ollucus 20oz x 24</v>
      </c>
      <c r="N1068" s="20">
        <f t="shared" si="227"/>
        <v>1</v>
      </c>
      <c r="O1068" s="20" t="str">
        <f t="shared" si="228"/>
        <v>No se repite en proveedor</v>
      </c>
      <c r="P1068" s="20" t="str">
        <f t="shared" si="229"/>
        <v>Tradiciones Andinas-T.A Olluco en Lata /Whole Ollucus 20oz x 24-51.1</v>
      </c>
      <c r="Q1068" s="20">
        <f t="shared" si="230"/>
        <v>1</v>
      </c>
      <c r="R1068" s="20" t="str">
        <f t="shared" si="231"/>
        <v>No se repite</v>
      </c>
      <c r="S1068" s="20" t="str">
        <f t="shared" si="232"/>
        <v>El producto T.A Olluco en Lata /Whole Ollucus 20oz x 24 No se repite en proveedor Una vez con el precio 51.1</v>
      </c>
      <c r="T1068" s="20" t="str">
        <f t="shared" si="233"/>
        <v>Tradiciones Andinas</v>
      </c>
      <c r="U1068" s="20" t="str">
        <f t="shared" si="234"/>
        <v>T.A Olluco en Lata /Whole Ollucus 20oz x 24</v>
      </c>
      <c r="V1068" s="22">
        <f t="shared" si="235"/>
        <v>51.1</v>
      </c>
      <c r="W1068" t="str">
        <f t="shared" si="236"/>
        <v>Tradiciones Andinas 12/03/2025</v>
      </c>
      <c r="Z1068">
        <f t="shared" si="237"/>
        <v>102.2</v>
      </c>
    </row>
    <row r="1069" spans="1:26" hidden="1" x14ac:dyDescent="0.25">
      <c r="A1069" s="2" t="s">
        <v>664</v>
      </c>
      <c r="B1069" s="11" t="s">
        <v>158</v>
      </c>
      <c r="C1069" s="11" t="s">
        <v>4</v>
      </c>
      <c r="D1069" s="11" t="s">
        <v>984</v>
      </c>
      <c r="E1069" s="11" t="s">
        <v>995</v>
      </c>
      <c r="F1069" s="11" t="s">
        <v>996</v>
      </c>
      <c r="G1069" s="12">
        <v>2</v>
      </c>
      <c r="H1069" s="12">
        <v>36</v>
      </c>
      <c r="I1069" s="12">
        <v>72</v>
      </c>
      <c r="J1069" s="12">
        <v>37715.39</v>
      </c>
      <c r="K1069" s="20">
        <f t="shared" si="224"/>
        <v>2</v>
      </c>
      <c r="L1069" s="20" t="str">
        <f t="shared" si="225"/>
        <v>Se repite 2 veces</v>
      </c>
      <c r="M1069" s="20" t="str">
        <f t="shared" si="226"/>
        <v>Tradiciones Andinas-T.A Pallares /Lima Beans 15oz x 24</v>
      </c>
      <c r="N1069" s="20">
        <f t="shared" si="227"/>
        <v>2</v>
      </c>
      <c r="O1069" s="20" t="str">
        <f t="shared" si="228"/>
        <v>Se repite 2 veces en Tradiciones Andinas</v>
      </c>
      <c r="P1069" s="20" t="str">
        <f t="shared" si="229"/>
        <v>Tradiciones Andinas-T.A Pallares /Lima Beans 15oz x 24-36</v>
      </c>
      <c r="Q1069" s="20">
        <f t="shared" si="230"/>
        <v>2</v>
      </c>
      <c r="R1069" s="20" t="str">
        <f t="shared" si="231"/>
        <v>Se repite 2 veces el precio de 36</v>
      </c>
      <c r="S1069" s="20" t="str">
        <f t="shared" si="232"/>
        <v>El producto T.A Pallares /Lima Beans 15oz x 24 Se repite 2 veces en Tradiciones Andinas, Se repite 2 veces el precio de 36</v>
      </c>
      <c r="T1069" s="20" t="str">
        <f t="shared" si="233"/>
        <v>Tradiciones Andinas</v>
      </c>
      <c r="U1069" s="20" t="str">
        <f t="shared" si="234"/>
        <v>T.A Pallares /Lima Beans 15oz x 24</v>
      </c>
      <c r="V1069" s="22">
        <f t="shared" si="235"/>
        <v>36</v>
      </c>
      <c r="W1069" t="str">
        <f t="shared" si="236"/>
        <v>Tradiciones Andinas 06/12/2025</v>
      </c>
      <c r="Z1069">
        <f t="shared" si="237"/>
        <v>72</v>
      </c>
    </row>
    <row r="1070" spans="1:26" hidden="1" x14ac:dyDescent="0.25">
      <c r="A1070" s="2" t="s">
        <v>664</v>
      </c>
      <c r="B1070" s="11" t="s">
        <v>1033</v>
      </c>
      <c r="C1070" s="11" t="s">
        <v>4</v>
      </c>
      <c r="D1070" s="11" t="s">
        <v>1034</v>
      </c>
      <c r="E1070" s="11" t="s">
        <v>995</v>
      </c>
      <c r="F1070" s="11" t="s">
        <v>1048</v>
      </c>
      <c r="G1070" s="12">
        <v>6</v>
      </c>
      <c r="H1070" s="12">
        <v>36</v>
      </c>
      <c r="I1070" s="12">
        <v>216</v>
      </c>
      <c r="J1070" s="12">
        <v>49460.109999999971</v>
      </c>
      <c r="K1070" s="20">
        <f t="shared" si="224"/>
        <v>2</v>
      </c>
      <c r="L1070" s="20" t="str">
        <f t="shared" si="225"/>
        <v>Se repite 2 veces</v>
      </c>
      <c r="M1070" s="20" t="str">
        <f t="shared" si="226"/>
        <v>Tradiciones Andinas-T.A Pallares /Lima Beans 15oz x 24</v>
      </c>
      <c r="N1070" s="20">
        <f t="shared" si="227"/>
        <v>2</v>
      </c>
      <c r="O1070" s="20" t="str">
        <f t="shared" si="228"/>
        <v>Se repite 2 veces en Tradiciones Andinas</v>
      </c>
      <c r="P1070" s="20" t="str">
        <f t="shared" si="229"/>
        <v>Tradiciones Andinas-T.A Pallares /Lima Beans 15oz x 24-36</v>
      </c>
      <c r="Q1070" s="20">
        <f t="shared" si="230"/>
        <v>2</v>
      </c>
      <c r="R1070" s="20" t="str">
        <f t="shared" si="231"/>
        <v>Se repite 2 veces el precio de 36</v>
      </c>
      <c r="S1070" s="20" t="str">
        <f t="shared" si="232"/>
        <v>El producto T.A Pallares /Lima Beans 15oz x 24 Se repite 2 veces en Tradiciones Andinas, Se repite 2 veces el precio de 36</v>
      </c>
      <c r="T1070" s="20" t="str">
        <f t="shared" si="233"/>
        <v>Tradiciones Andinas</v>
      </c>
      <c r="U1070" s="20" t="str">
        <f t="shared" si="234"/>
        <v>T.A Pallares /Lima Beans 15oz x 24</v>
      </c>
      <c r="V1070" s="22">
        <f t="shared" si="235"/>
        <v>36</v>
      </c>
      <c r="W1070" t="str">
        <f t="shared" si="236"/>
        <v>Tradiciones Andinas 07/03/2025</v>
      </c>
      <c r="Z1070">
        <f t="shared" si="237"/>
        <v>216</v>
      </c>
    </row>
    <row r="1071" spans="1:26" hidden="1" x14ac:dyDescent="0.25">
      <c r="A1071" s="2" t="s">
        <v>664</v>
      </c>
      <c r="B1071" s="11" t="s">
        <v>398</v>
      </c>
      <c r="C1071" s="11" t="s">
        <v>4</v>
      </c>
      <c r="D1071" s="11" t="s">
        <v>5</v>
      </c>
      <c r="E1071" s="11" t="s">
        <v>811</v>
      </c>
      <c r="F1071" s="11" t="s">
        <v>812</v>
      </c>
      <c r="G1071" s="12">
        <v>5</v>
      </c>
      <c r="H1071" s="12">
        <v>49.8</v>
      </c>
      <c r="I1071" s="12">
        <v>249</v>
      </c>
      <c r="J1071" s="12">
        <v>7341.44</v>
      </c>
      <c r="K1071" s="20">
        <f t="shared" si="224"/>
        <v>5</v>
      </c>
      <c r="L1071" s="20" t="str">
        <f t="shared" si="225"/>
        <v>Se repite 5 veces</v>
      </c>
      <c r="M1071" s="20" t="str">
        <f t="shared" si="226"/>
        <v>Tradiciones Andinas-T.A Papa Amarilla / Yellow Potato 16oz x 20 FROZEN</v>
      </c>
      <c r="N1071" s="20">
        <f t="shared" si="227"/>
        <v>5</v>
      </c>
      <c r="O1071" s="20" t="str">
        <f t="shared" si="228"/>
        <v>Se repite 5 veces en Tradiciones Andinas</v>
      </c>
      <c r="P1071" s="20" t="str">
        <f t="shared" si="229"/>
        <v>Tradiciones Andinas-T.A Papa Amarilla / Yellow Potato 16oz x 20 FROZEN-49.8</v>
      </c>
      <c r="Q1071" s="20">
        <f t="shared" si="230"/>
        <v>5</v>
      </c>
      <c r="R1071" s="20" t="str">
        <f t="shared" si="231"/>
        <v>Se repite 5 veces el precio de 49.8</v>
      </c>
      <c r="S1071" s="20" t="str">
        <f t="shared" si="232"/>
        <v>El producto T.A Papa Amarilla / Yellow Potato 16oz x 20 FROZEN Se repite 5 veces en Tradiciones Andinas, Se repite 5 veces el precio de 49.8</v>
      </c>
      <c r="T1071" s="20" t="str">
        <f t="shared" si="233"/>
        <v>Tradiciones Andinas</v>
      </c>
      <c r="U1071" s="20" t="str">
        <f t="shared" si="234"/>
        <v>T.A Papa Amarilla / Yellow Potato 16oz x 20 FROZEN</v>
      </c>
      <c r="V1071" s="22">
        <f t="shared" si="235"/>
        <v>49.8</v>
      </c>
      <c r="W1071" t="str">
        <f t="shared" si="236"/>
        <v>Tradiciones Andinas 04/10/2025</v>
      </c>
      <c r="Z1071">
        <f t="shared" si="237"/>
        <v>249</v>
      </c>
    </row>
    <row r="1072" spans="1:26" hidden="1" x14ac:dyDescent="0.25">
      <c r="A1072" s="2" t="s">
        <v>664</v>
      </c>
      <c r="B1072" s="11" t="s">
        <v>821</v>
      </c>
      <c r="C1072" s="11" t="s">
        <v>4</v>
      </c>
      <c r="D1072" s="11" t="s">
        <v>822</v>
      </c>
      <c r="E1072" s="11" t="s">
        <v>811</v>
      </c>
      <c r="F1072" s="11" t="s">
        <v>812</v>
      </c>
      <c r="G1072" s="12">
        <v>4</v>
      </c>
      <c r="H1072" s="12">
        <v>49.8</v>
      </c>
      <c r="I1072" s="12">
        <v>199.2</v>
      </c>
      <c r="J1072" s="12">
        <v>22960.74</v>
      </c>
      <c r="K1072" s="20">
        <f t="shared" si="224"/>
        <v>5</v>
      </c>
      <c r="L1072" s="20" t="str">
        <f t="shared" si="225"/>
        <v>Se repite 5 veces</v>
      </c>
      <c r="M1072" s="20" t="str">
        <f t="shared" si="226"/>
        <v>Tradiciones Andinas-T.A Papa Amarilla / Yellow Potato 16oz x 20 FROZEN</v>
      </c>
      <c r="N1072" s="20">
        <f t="shared" si="227"/>
        <v>5</v>
      </c>
      <c r="O1072" s="20" t="str">
        <f t="shared" si="228"/>
        <v>Se repite 5 veces en Tradiciones Andinas</v>
      </c>
      <c r="P1072" s="20" t="str">
        <f t="shared" si="229"/>
        <v>Tradiciones Andinas-T.A Papa Amarilla / Yellow Potato 16oz x 20 FROZEN-49.8</v>
      </c>
      <c r="Q1072" s="20">
        <f t="shared" si="230"/>
        <v>5</v>
      </c>
      <c r="R1072" s="20" t="str">
        <f t="shared" si="231"/>
        <v>Se repite 5 veces el precio de 49.8</v>
      </c>
      <c r="S1072" s="20" t="str">
        <f t="shared" si="232"/>
        <v>El producto T.A Papa Amarilla / Yellow Potato 16oz x 20 FROZEN Se repite 5 veces en Tradiciones Andinas, Se repite 5 veces el precio de 49.8</v>
      </c>
      <c r="T1072" s="20" t="str">
        <f t="shared" si="233"/>
        <v>Tradiciones Andinas</v>
      </c>
      <c r="U1072" s="20" t="str">
        <f t="shared" si="234"/>
        <v>T.A Papa Amarilla / Yellow Potato 16oz x 20 FROZEN</v>
      </c>
      <c r="V1072" s="22">
        <f t="shared" si="235"/>
        <v>49.8</v>
      </c>
      <c r="W1072" t="str">
        <f t="shared" si="236"/>
        <v>Tradiciones Andinas 04/25/2025</v>
      </c>
      <c r="Z1072">
        <f t="shared" si="237"/>
        <v>199.2</v>
      </c>
    </row>
    <row r="1073" spans="1:26" hidden="1" x14ac:dyDescent="0.25">
      <c r="A1073" s="2" t="s">
        <v>664</v>
      </c>
      <c r="B1073" s="11" t="s">
        <v>1125</v>
      </c>
      <c r="C1073" s="11" t="s">
        <v>4</v>
      </c>
      <c r="D1073" s="11" t="s">
        <v>1126</v>
      </c>
      <c r="E1073" s="11" t="s">
        <v>811</v>
      </c>
      <c r="F1073" s="11" t="s">
        <v>1147</v>
      </c>
      <c r="G1073" s="12">
        <v>2</v>
      </c>
      <c r="H1073" s="12">
        <v>49.8</v>
      </c>
      <c r="I1073" s="12">
        <v>99.6</v>
      </c>
      <c r="J1073" s="12">
        <v>72498.140000000014</v>
      </c>
      <c r="K1073" s="20">
        <f t="shared" si="224"/>
        <v>5</v>
      </c>
      <c r="L1073" s="20" t="str">
        <f t="shared" si="225"/>
        <v>Se repite 5 veces</v>
      </c>
      <c r="M1073" s="20" t="str">
        <f t="shared" si="226"/>
        <v>Tradiciones Andinas-T.A Papa Amarilla / Yellow Potato 16oz x 20 FROZEN</v>
      </c>
      <c r="N1073" s="20">
        <f t="shared" si="227"/>
        <v>5</v>
      </c>
      <c r="O1073" s="20" t="str">
        <f t="shared" si="228"/>
        <v>Se repite 5 veces en Tradiciones Andinas</v>
      </c>
      <c r="P1073" s="20" t="str">
        <f t="shared" si="229"/>
        <v>Tradiciones Andinas-T.A Papa Amarilla / Yellow Potato 16oz x 20 FROZEN-49.8</v>
      </c>
      <c r="Q1073" s="20">
        <f t="shared" si="230"/>
        <v>5</v>
      </c>
      <c r="R1073" s="20" t="str">
        <f t="shared" si="231"/>
        <v>Se repite 5 veces el precio de 49.8</v>
      </c>
      <c r="S1073" s="20" t="str">
        <f t="shared" si="232"/>
        <v>El producto T.A Papa Amarilla / Yellow Potato 16oz x 20 FROZEN Se repite 5 veces en Tradiciones Andinas, Se repite 5 veces el precio de 49.8</v>
      </c>
      <c r="T1073" s="20" t="str">
        <f t="shared" si="233"/>
        <v>Tradiciones Andinas</v>
      </c>
      <c r="U1073" s="20" t="str">
        <f t="shared" si="234"/>
        <v>T.A Papa Amarilla / Yellow Potato 16oz x 20 FROZEN</v>
      </c>
      <c r="V1073" s="22">
        <f t="shared" si="235"/>
        <v>49.8</v>
      </c>
      <c r="W1073" t="str">
        <f t="shared" si="236"/>
        <v>Tradiciones Andinas 08/18/2025</v>
      </c>
      <c r="Z1073">
        <f t="shared" si="237"/>
        <v>99.6</v>
      </c>
    </row>
    <row r="1074" spans="1:26" hidden="1" x14ac:dyDescent="0.25">
      <c r="A1074" s="2" t="s">
        <v>664</v>
      </c>
      <c r="B1074" s="11" t="s">
        <v>1153</v>
      </c>
      <c r="C1074" s="11" t="s">
        <v>4</v>
      </c>
      <c r="D1074" s="11" t="s">
        <v>1154</v>
      </c>
      <c r="E1074" s="11" t="s">
        <v>811</v>
      </c>
      <c r="F1074" s="11" t="s">
        <v>1147</v>
      </c>
      <c r="G1074" s="12">
        <v>2</v>
      </c>
      <c r="H1074" s="12">
        <v>49.8</v>
      </c>
      <c r="I1074" s="12">
        <v>99.6</v>
      </c>
      <c r="J1074" s="12">
        <v>86943.41999999994</v>
      </c>
      <c r="K1074" s="20">
        <f t="shared" si="224"/>
        <v>5</v>
      </c>
      <c r="L1074" s="20" t="str">
        <f t="shared" si="225"/>
        <v>Se repite 5 veces</v>
      </c>
      <c r="M1074" s="20" t="str">
        <f t="shared" si="226"/>
        <v>Tradiciones Andinas-T.A Papa Amarilla / Yellow Potato 16oz x 20 FROZEN</v>
      </c>
      <c r="N1074" s="20">
        <f t="shared" si="227"/>
        <v>5</v>
      </c>
      <c r="O1074" s="20" t="str">
        <f t="shared" si="228"/>
        <v>Se repite 5 veces en Tradiciones Andinas</v>
      </c>
      <c r="P1074" s="20" t="str">
        <f t="shared" si="229"/>
        <v>Tradiciones Andinas-T.A Papa Amarilla / Yellow Potato 16oz x 20 FROZEN-49.8</v>
      </c>
      <c r="Q1074" s="20">
        <f t="shared" si="230"/>
        <v>5</v>
      </c>
      <c r="R1074" s="20" t="str">
        <f t="shared" si="231"/>
        <v>Se repite 5 veces el precio de 49.8</v>
      </c>
      <c r="S1074" s="20" t="str">
        <f t="shared" si="232"/>
        <v>El producto T.A Papa Amarilla / Yellow Potato 16oz x 20 FROZEN Se repite 5 veces en Tradiciones Andinas, Se repite 5 veces el precio de 49.8</v>
      </c>
      <c r="T1074" s="20" t="str">
        <f t="shared" si="233"/>
        <v>Tradiciones Andinas</v>
      </c>
      <c r="U1074" s="20" t="str">
        <f t="shared" si="234"/>
        <v>T.A Papa Amarilla / Yellow Potato 16oz x 20 FROZEN</v>
      </c>
      <c r="V1074" s="22">
        <f t="shared" si="235"/>
        <v>49.8</v>
      </c>
      <c r="W1074" t="str">
        <f t="shared" si="236"/>
        <v>Tradiciones Andinas 09/24/2025</v>
      </c>
      <c r="Z1074">
        <f t="shared" si="237"/>
        <v>99.6</v>
      </c>
    </row>
    <row r="1075" spans="1:26" hidden="1" x14ac:dyDescent="0.25">
      <c r="A1075" s="2" t="s">
        <v>664</v>
      </c>
      <c r="B1075" s="11" t="s">
        <v>1207</v>
      </c>
      <c r="C1075" s="11" t="s">
        <v>4</v>
      </c>
      <c r="D1075" s="11" t="s">
        <v>1208</v>
      </c>
      <c r="E1075" s="11" t="s">
        <v>811</v>
      </c>
      <c r="F1075" s="11" t="s">
        <v>1147</v>
      </c>
      <c r="G1075" s="12">
        <v>5</v>
      </c>
      <c r="H1075" s="12">
        <v>49.8</v>
      </c>
      <c r="I1075" s="12">
        <v>249</v>
      </c>
      <c r="J1075" s="12">
        <v>114674.95999999988</v>
      </c>
      <c r="K1075" s="20">
        <f t="shared" si="224"/>
        <v>5</v>
      </c>
      <c r="L1075" s="20" t="str">
        <f t="shared" si="225"/>
        <v>Se repite 5 veces</v>
      </c>
      <c r="M1075" s="20" t="str">
        <f t="shared" si="226"/>
        <v>Tradiciones Andinas-T.A Papa Amarilla / Yellow Potato 16oz x 20 FROZEN</v>
      </c>
      <c r="N1075" s="20">
        <f t="shared" si="227"/>
        <v>5</v>
      </c>
      <c r="O1075" s="20" t="str">
        <f t="shared" si="228"/>
        <v>Se repite 5 veces en Tradiciones Andinas</v>
      </c>
      <c r="P1075" s="20" t="str">
        <f t="shared" si="229"/>
        <v>Tradiciones Andinas-T.A Papa Amarilla / Yellow Potato 16oz x 20 FROZEN-49.8</v>
      </c>
      <c r="Q1075" s="20">
        <f t="shared" si="230"/>
        <v>5</v>
      </c>
      <c r="R1075" s="20" t="str">
        <f t="shared" si="231"/>
        <v>Se repite 5 veces el precio de 49.8</v>
      </c>
      <c r="S1075" s="20" t="str">
        <f t="shared" si="232"/>
        <v>El producto T.A Papa Amarilla / Yellow Potato 16oz x 20 FROZEN Se repite 5 veces en Tradiciones Andinas, Se repite 5 veces el precio de 49.8</v>
      </c>
      <c r="T1075" s="20" t="str">
        <f t="shared" si="233"/>
        <v>Tradiciones Andinas</v>
      </c>
      <c r="U1075" s="20" t="str">
        <f t="shared" si="234"/>
        <v>T.A Papa Amarilla / Yellow Potato 16oz x 20 FROZEN</v>
      </c>
      <c r="V1075" s="22">
        <f t="shared" si="235"/>
        <v>49.8</v>
      </c>
      <c r="W1075" t="str">
        <f t="shared" si="236"/>
        <v>Tradiciones Andinas 11/28/2025</v>
      </c>
      <c r="Z1075">
        <f t="shared" si="237"/>
        <v>249</v>
      </c>
    </row>
    <row r="1076" spans="1:26" hidden="1" x14ac:dyDescent="0.25">
      <c r="A1076" s="2" t="s">
        <v>664</v>
      </c>
      <c r="B1076" s="11" t="s">
        <v>1207</v>
      </c>
      <c r="C1076" s="11" t="s">
        <v>4</v>
      </c>
      <c r="D1076" s="11" t="s">
        <v>1208</v>
      </c>
      <c r="E1076" s="11" t="s">
        <v>1216</v>
      </c>
      <c r="F1076" s="11" t="s">
        <v>1217</v>
      </c>
      <c r="G1076" s="12">
        <v>2</v>
      </c>
      <c r="H1076" s="12">
        <v>45</v>
      </c>
      <c r="I1076" s="12">
        <v>90</v>
      </c>
      <c r="J1076" s="12">
        <v>116472.97999999988</v>
      </c>
      <c r="K1076" s="20">
        <f t="shared" si="224"/>
        <v>1</v>
      </c>
      <c r="L1076" s="20" t="str">
        <f t="shared" si="225"/>
        <v>No se repite</v>
      </c>
      <c r="M1076" s="20" t="str">
        <f t="shared" si="226"/>
        <v>Tradiciones Andinas-T.A Papa Criolla / Yellow Potato 2Lb x 12</v>
      </c>
      <c r="N1076" s="20">
        <f t="shared" si="227"/>
        <v>1</v>
      </c>
      <c r="O1076" s="20" t="str">
        <f t="shared" si="228"/>
        <v>No se repite en proveedor</v>
      </c>
      <c r="P1076" s="20" t="str">
        <f t="shared" si="229"/>
        <v>Tradiciones Andinas-T.A Papa Criolla / Yellow Potato 2Lb x 12-45</v>
      </c>
      <c r="Q1076" s="20">
        <f t="shared" si="230"/>
        <v>1</v>
      </c>
      <c r="R1076" s="20" t="str">
        <f t="shared" si="231"/>
        <v>No se repite</v>
      </c>
      <c r="S1076" s="20" t="str">
        <f t="shared" si="232"/>
        <v>El producto T.A Papa Criolla / Yellow Potato 2Lb x 12 No se repite en proveedor Una vez con el precio 45</v>
      </c>
      <c r="T1076" s="20" t="str">
        <f t="shared" si="233"/>
        <v>Tradiciones Andinas</v>
      </c>
      <c r="U1076" s="20" t="str">
        <f t="shared" si="234"/>
        <v>T.A Papa Criolla / Yellow Potato 2Lb x 12</v>
      </c>
      <c r="V1076" s="22">
        <f t="shared" si="235"/>
        <v>45</v>
      </c>
      <c r="W1076" t="str">
        <f t="shared" si="236"/>
        <v>Tradiciones Andinas 11/28/2025</v>
      </c>
      <c r="Z1076">
        <f t="shared" si="237"/>
        <v>90</v>
      </c>
    </row>
    <row r="1077" spans="1:26" hidden="1" x14ac:dyDescent="0.25">
      <c r="A1077" s="2" t="s">
        <v>664</v>
      </c>
      <c r="B1077" s="11" t="s">
        <v>665</v>
      </c>
      <c r="C1077" s="11" t="s">
        <v>4</v>
      </c>
      <c r="D1077" s="11" t="s">
        <v>666</v>
      </c>
      <c r="E1077" s="11" t="s">
        <v>730</v>
      </c>
      <c r="F1077" s="11" t="s">
        <v>731</v>
      </c>
      <c r="G1077" s="12">
        <v>2</v>
      </c>
      <c r="H1077" s="12">
        <v>28.62</v>
      </c>
      <c r="I1077" s="12">
        <v>57.24</v>
      </c>
      <c r="J1077" s="12">
        <v>1972.2799999999995</v>
      </c>
      <c r="K1077" s="20">
        <f t="shared" si="224"/>
        <v>5</v>
      </c>
      <c r="L1077" s="20" t="str">
        <f t="shared" si="225"/>
        <v>Se repite 5 veces</v>
      </c>
      <c r="M1077" s="20" t="str">
        <f t="shared" si="226"/>
        <v>Tradiciones Andinas-T.A Papa Seca Amarilla  / Yelow Dried Potato 15oz x 18</v>
      </c>
      <c r="N1077" s="20">
        <f t="shared" si="227"/>
        <v>5</v>
      </c>
      <c r="O1077" s="20" t="str">
        <f t="shared" si="228"/>
        <v>Se repite 5 veces en Tradiciones Andinas</v>
      </c>
      <c r="P1077" s="20" t="str">
        <f t="shared" si="229"/>
        <v>Tradiciones Andinas-T.A Papa Seca Amarilla  / Yelow Dried Potato 15oz x 18-28.62</v>
      </c>
      <c r="Q1077" s="20">
        <f t="shared" si="230"/>
        <v>3</v>
      </c>
      <c r="R1077" s="20" t="str">
        <f t="shared" si="231"/>
        <v>Se repite 3 veces el precio de 28.62</v>
      </c>
      <c r="S1077" s="20" t="str">
        <f t="shared" si="232"/>
        <v>El producto T.A Papa Seca Amarilla  / Yelow Dried Potato 15oz x 18 Se repite 5 veces en Tradiciones Andinas, Se repite 3 veces el precio de 28.62</v>
      </c>
      <c r="T1077" s="20" t="str">
        <f t="shared" si="233"/>
        <v>Tradiciones Andinas</v>
      </c>
      <c r="U1077" s="20" t="str">
        <f t="shared" si="234"/>
        <v>T.A Papa Seca Amarilla  / Yelow Dried Potato 15oz x 18</v>
      </c>
      <c r="V1077" s="22">
        <f t="shared" si="235"/>
        <v>28.62</v>
      </c>
      <c r="W1077" t="str">
        <f t="shared" si="236"/>
        <v>Tradiciones Andinas 03/31/2025</v>
      </c>
      <c r="Z1077">
        <f t="shared" si="237"/>
        <v>57.24</v>
      </c>
    </row>
    <row r="1078" spans="1:26" hidden="1" x14ac:dyDescent="0.25">
      <c r="A1078" s="2" t="s">
        <v>664</v>
      </c>
      <c r="B1078" s="11" t="s">
        <v>398</v>
      </c>
      <c r="C1078" s="11" t="s">
        <v>4</v>
      </c>
      <c r="D1078" s="11" t="s">
        <v>5</v>
      </c>
      <c r="E1078" s="11" t="s">
        <v>730</v>
      </c>
      <c r="F1078" s="11" t="s">
        <v>731</v>
      </c>
      <c r="G1078" s="12">
        <v>2</v>
      </c>
      <c r="H1078" s="12">
        <v>28.62</v>
      </c>
      <c r="I1078" s="12">
        <v>57.24</v>
      </c>
      <c r="J1078" s="12">
        <v>4973.5</v>
      </c>
      <c r="K1078" s="20">
        <f t="shared" si="224"/>
        <v>5</v>
      </c>
      <c r="L1078" s="20" t="str">
        <f t="shared" si="225"/>
        <v>Se repite 5 veces</v>
      </c>
      <c r="M1078" s="20" t="str">
        <f t="shared" si="226"/>
        <v>Tradiciones Andinas-T.A Papa Seca Amarilla  / Yelow Dried Potato 15oz x 18</v>
      </c>
      <c r="N1078" s="20">
        <f t="shared" si="227"/>
        <v>5</v>
      </c>
      <c r="O1078" s="20" t="str">
        <f t="shared" si="228"/>
        <v>Se repite 5 veces en Tradiciones Andinas</v>
      </c>
      <c r="P1078" s="20" t="str">
        <f t="shared" si="229"/>
        <v>Tradiciones Andinas-T.A Papa Seca Amarilla  / Yelow Dried Potato 15oz x 18-28.62</v>
      </c>
      <c r="Q1078" s="20">
        <f t="shared" si="230"/>
        <v>3</v>
      </c>
      <c r="R1078" s="20" t="str">
        <f t="shared" si="231"/>
        <v>Se repite 3 veces el precio de 28.62</v>
      </c>
      <c r="S1078" s="20" t="str">
        <f t="shared" si="232"/>
        <v>El producto T.A Papa Seca Amarilla  / Yelow Dried Potato 15oz x 18 Se repite 5 veces en Tradiciones Andinas, Se repite 3 veces el precio de 28.62</v>
      </c>
      <c r="T1078" s="20" t="str">
        <f t="shared" si="233"/>
        <v>Tradiciones Andinas</v>
      </c>
      <c r="U1078" s="20" t="str">
        <f t="shared" si="234"/>
        <v>T.A Papa Seca Amarilla  / Yelow Dried Potato 15oz x 18</v>
      </c>
      <c r="V1078" s="22">
        <f t="shared" si="235"/>
        <v>28.62</v>
      </c>
      <c r="W1078" t="str">
        <f t="shared" si="236"/>
        <v>Tradiciones Andinas 04/10/2025</v>
      </c>
      <c r="Z1078">
        <f t="shared" si="237"/>
        <v>57.24</v>
      </c>
    </row>
    <row r="1079" spans="1:26" hidden="1" x14ac:dyDescent="0.25">
      <c r="A1079" s="2" t="s">
        <v>664</v>
      </c>
      <c r="B1079" s="11" t="s">
        <v>821</v>
      </c>
      <c r="C1079" s="11" t="s">
        <v>4</v>
      </c>
      <c r="D1079" s="11" t="s">
        <v>822</v>
      </c>
      <c r="E1079" s="11" t="s">
        <v>730</v>
      </c>
      <c r="F1079" s="11" t="s">
        <v>731</v>
      </c>
      <c r="G1079" s="12">
        <v>2</v>
      </c>
      <c r="H1079" s="12">
        <v>28.62</v>
      </c>
      <c r="I1079" s="12">
        <v>57.24</v>
      </c>
      <c r="J1079" s="12">
        <v>12938.839999999998</v>
      </c>
      <c r="K1079" s="20">
        <f t="shared" si="224"/>
        <v>5</v>
      </c>
      <c r="L1079" s="20" t="str">
        <f t="shared" si="225"/>
        <v>Se repite 5 veces</v>
      </c>
      <c r="M1079" s="20" t="str">
        <f t="shared" si="226"/>
        <v>Tradiciones Andinas-T.A Papa Seca Amarilla  / Yelow Dried Potato 15oz x 18</v>
      </c>
      <c r="N1079" s="20">
        <f t="shared" si="227"/>
        <v>5</v>
      </c>
      <c r="O1079" s="20" t="str">
        <f t="shared" si="228"/>
        <v>Se repite 5 veces en Tradiciones Andinas</v>
      </c>
      <c r="P1079" s="20" t="str">
        <f t="shared" si="229"/>
        <v>Tradiciones Andinas-T.A Papa Seca Amarilla  / Yelow Dried Potato 15oz x 18-28.62</v>
      </c>
      <c r="Q1079" s="20">
        <f t="shared" si="230"/>
        <v>3</v>
      </c>
      <c r="R1079" s="20" t="str">
        <f t="shared" si="231"/>
        <v>Se repite 3 veces el precio de 28.62</v>
      </c>
      <c r="S1079" s="20" t="str">
        <f t="shared" si="232"/>
        <v>El producto T.A Papa Seca Amarilla  / Yelow Dried Potato 15oz x 18 Se repite 5 veces en Tradiciones Andinas, Se repite 3 veces el precio de 28.62</v>
      </c>
      <c r="T1079" s="20" t="str">
        <f t="shared" si="233"/>
        <v>Tradiciones Andinas</v>
      </c>
      <c r="U1079" s="20" t="str">
        <f t="shared" si="234"/>
        <v>T.A Papa Seca Amarilla  / Yelow Dried Potato 15oz x 18</v>
      </c>
      <c r="V1079" s="22">
        <f t="shared" si="235"/>
        <v>28.62</v>
      </c>
      <c r="W1079" t="str">
        <f t="shared" si="236"/>
        <v>Tradiciones Andinas 04/25/2025</v>
      </c>
      <c r="Z1079">
        <f t="shared" si="237"/>
        <v>57.24</v>
      </c>
    </row>
    <row r="1080" spans="1:26" hidden="1" x14ac:dyDescent="0.25">
      <c r="A1080" s="2" t="s">
        <v>664</v>
      </c>
      <c r="B1080" s="11" t="s">
        <v>1125</v>
      </c>
      <c r="C1080" s="11" t="s">
        <v>4</v>
      </c>
      <c r="D1080" s="11" t="s">
        <v>1126</v>
      </c>
      <c r="E1080" s="11" t="s">
        <v>730</v>
      </c>
      <c r="F1080" s="11" t="s">
        <v>1135</v>
      </c>
      <c r="G1080" s="12">
        <v>2</v>
      </c>
      <c r="H1080" s="12">
        <v>30.24</v>
      </c>
      <c r="I1080" s="12">
        <v>60.48</v>
      </c>
      <c r="J1080" s="12">
        <v>69554.880000000005</v>
      </c>
      <c r="K1080" s="20">
        <f t="shared" si="224"/>
        <v>5</v>
      </c>
      <c r="L1080" s="20" t="str">
        <f t="shared" si="225"/>
        <v>Se repite 5 veces</v>
      </c>
      <c r="M1080" s="20" t="str">
        <f t="shared" si="226"/>
        <v>Tradiciones Andinas-T.A Papa Seca Amarilla  / Yelow Dried Potato 15oz x 18</v>
      </c>
      <c r="N1080" s="20">
        <f t="shared" si="227"/>
        <v>5</v>
      </c>
      <c r="O1080" s="20" t="str">
        <f t="shared" si="228"/>
        <v>Se repite 5 veces en Tradiciones Andinas</v>
      </c>
      <c r="P1080" s="20" t="str">
        <f t="shared" si="229"/>
        <v>Tradiciones Andinas-T.A Papa Seca Amarilla  / Yelow Dried Potato 15oz x 18-30.24</v>
      </c>
      <c r="Q1080" s="20">
        <f t="shared" si="230"/>
        <v>2</v>
      </c>
      <c r="R1080" s="20" t="str">
        <f t="shared" si="231"/>
        <v>Se repite 2 veces el precio de 30.24</v>
      </c>
      <c r="S1080" s="20" t="str">
        <f t="shared" si="232"/>
        <v>El producto T.A Papa Seca Amarilla  / Yelow Dried Potato 15oz x 18 Se repite 5 veces en Tradiciones Andinas, Se repite 2 veces el precio de 30.24</v>
      </c>
      <c r="T1080" s="20" t="str">
        <f t="shared" si="233"/>
        <v>Tradiciones Andinas</v>
      </c>
      <c r="U1080" s="20" t="str">
        <f t="shared" si="234"/>
        <v>T.A Papa Seca Amarilla  / Yelow Dried Potato 15oz x 18</v>
      </c>
      <c r="V1080" s="22">
        <f t="shared" si="235"/>
        <v>30.24</v>
      </c>
      <c r="W1080" t="str">
        <f t="shared" si="236"/>
        <v>Tradiciones Andinas 08/18/2025</v>
      </c>
      <c r="Z1080">
        <f t="shared" si="237"/>
        <v>60.48</v>
      </c>
    </row>
    <row r="1081" spans="1:26" hidden="1" x14ac:dyDescent="0.25">
      <c r="A1081" s="2" t="s">
        <v>664</v>
      </c>
      <c r="B1081" s="11" t="s">
        <v>1153</v>
      </c>
      <c r="C1081" s="11" t="s">
        <v>4</v>
      </c>
      <c r="D1081" s="11" t="s">
        <v>1154</v>
      </c>
      <c r="E1081" s="11" t="s">
        <v>730</v>
      </c>
      <c r="F1081" s="11" t="s">
        <v>1135</v>
      </c>
      <c r="G1081" s="12">
        <v>2</v>
      </c>
      <c r="H1081" s="12">
        <v>30.24</v>
      </c>
      <c r="I1081" s="12">
        <v>60.48</v>
      </c>
      <c r="J1081" s="12">
        <v>79680.899999999965</v>
      </c>
      <c r="K1081" s="20">
        <f t="shared" si="224"/>
        <v>5</v>
      </c>
      <c r="L1081" s="20" t="str">
        <f t="shared" si="225"/>
        <v>Se repite 5 veces</v>
      </c>
      <c r="M1081" s="20" t="str">
        <f t="shared" si="226"/>
        <v>Tradiciones Andinas-T.A Papa Seca Amarilla  / Yelow Dried Potato 15oz x 18</v>
      </c>
      <c r="N1081" s="20">
        <f t="shared" si="227"/>
        <v>5</v>
      </c>
      <c r="O1081" s="20" t="str">
        <f t="shared" si="228"/>
        <v>Se repite 5 veces en Tradiciones Andinas</v>
      </c>
      <c r="P1081" s="20" t="str">
        <f t="shared" si="229"/>
        <v>Tradiciones Andinas-T.A Papa Seca Amarilla  / Yelow Dried Potato 15oz x 18-30.24</v>
      </c>
      <c r="Q1081" s="20">
        <f t="shared" si="230"/>
        <v>2</v>
      </c>
      <c r="R1081" s="20" t="str">
        <f t="shared" si="231"/>
        <v>Se repite 2 veces el precio de 30.24</v>
      </c>
      <c r="S1081" s="20" t="str">
        <f t="shared" si="232"/>
        <v>El producto T.A Papa Seca Amarilla  / Yelow Dried Potato 15oz x 18 Se repite 5 veces en Tradiciones Andinas, Se repite 2 veces el precio de 30.24</v>
      </c>
      <c r="T1081" s="20" t="str">
        <f t="shared" si="233"/>
        <v>Tradiciones Andinas</v>
      </c>
      <c r="U1081" s="20" t="str">
        <f t="shared" si="234"/>
        <v>T.A Papa Seca Amarilla  / Yelow Dried Potato 15oz x 18</v>
      </c>
      <c r="V1081" s="22">
        <f t="shared" si="235"/>
        <v>30.24</v>
      </c>
      <c r="W1081" t="str">
        <f t="shared" si="236"/>
        <v>Tradiciones Andinas 09/24/2025</v>
      </c>
      <c r="Z1081">
        <f t="shared" si="237"/>
        <v>60.48</v>
      </c>
    </row>
    <row r="1082" spans="1:26" hidden="1" x14ac:dyDescent="0.25">
      <c r="A1082" s="2" t="s">
        <v>664</v>
      </c>
      <c r="B1082" s="11" t="s">
        <v>665</v>
      </c>
      <c r="C1082" s="11" t="s">
        <v>4</v>
      </c>
      <c r="D1082" s="11" t="s">
        <v>666</v>
      </c>
      <c r="E1082" s="11" t="s">
        <v>726</v>
      </c>
      <c r="F1082" s="11" t="s">
        <v>727</v>
      </c>
      <c r="G1082" s="12">
        <v>2</v>
      </c>
      <c r="H1082" s="12">
        <v>27.54</v>
      </c>
      <c r="I1082" s="12">
        <v>55.08</v>
      </c>
      <c r="J1082" s="12">
        <v>1857.7999999999995</v>
      </c>
      <c r="K1082" s="20">
        <f t="shared" si="224"/>
        <v>2</v>
      </c>
      <c r="L1082" s="20" t="str">
        <f t="shared" si="225"/>
        <v>Se repite 2 veces</v>
      </c>
      <c r="M1082" s="20" t="str">
        <f t="shared" si="226"/>
        <v>Tradiciones Andinas-T.A Papa Seca Amarilla (Family Pack) /Yelow Dried Potato 40oz x 6</v>
      </c>
      <c r="N1082" s="20">
        <f t="shared" si="227"/>
        <v>2</v>
      </c>
      <c r="O1082" s="20" t="str">
        <f t="shared" si="228"/>
        <v>Se repite 2 veces en Tradiciones Andinas</v>
      </c>
      <c r="P1082" s="20" t="str">
        <f t="shared" si="229"/>
        <v>Tradiciones Andinas-T.A Papa Seca Amarilla (Family Pack) /Yelow Dried Potato 40oz x 6-27.54</v>
      </c>
      <c r="Q1082" s="20">
        <f t="shared" si="230"/>
        <v>1</v>
      </c>
      <c r="R1082" s="20" t="str">
        <f t="shared" si="231"/>
        <v>No se repite</v>
      </c>
      <c r="S1082" s="20" t="str">
        <f t="shared" si="232"/>
        <v>El producto T.A Papa Seca Amarilla (Family Pack) /Yelow Dried Potato 40oz x 6 Se repite 2 veces en Tradiciones Andinas Una vez con el precio 27.54</v>
      </c>
      <c r="T1082" s="20" t="str">
        <f t="shared" si="233"/>
        <v>Tradiciones Andinas</v>
      </c>
      <c r="U1082" s="20" t="str">
        <f t="shared" si="234"/>
        <v>T.A Papa Seca Amarilla (Family Pack) /Yelow Dried Potato 40oz x 6</v>
      </c>
      <c r="V1082" s="22">
        <f t="shared" si="235"/>
        <v>27.54</v>
      </c>
      <c r="W1082" t="str">
        <f t="shared" si="236"/>
        <v>Tradiciones Andinas 03/31/2025</v>
      </c>
      <c r="Z1082">
        <f t="shared" si="237"/>
        <v>55.08</v>
      </c>
    </row>
    <row r="1083" spans="1:26" hidden="1" x14ac:dyDescent="0.25">
      <c r="A1083" s="24" t="s">
        <v>664</v>
      </c>
      <c r="B1083" s="11" t="s">
        <v>665</v>
      </c>
      <c r="C1083" s="11" t="s">
        <v>4</v>
      </c>
      <c r="D1083" s="11" t="s">
        <v>666</v>
      </c>
      <c r="E1083" s="11" t="s">
        <v>726</v>
      </c>
      <c r="F1083" s="11" t="s">
        <v>727</v>
      </c>
      <c r="G1083" s="12">
        <v>1</v>
      </c>
      <c r="H1083" s="12">
        <v>28.62</v>
      </c>
      <c r="I1083" s="12">
        <v>28.62</v>
      </c>
      <c r="J1083" s="12">
        <v>2604.9799999999996</v>
      </c>
      <c r="K1083" s="20">
        <f t="shared" si="224"/>
        <v>2</v>
      </c>
      <c r="L1083" s="20" t="str">
        <f t="shared" si="225"/>
        <v>Se repite 2 veces</v>
      </c>
      <c r="M1083" s="20" t="str">
        <f t="shared" si="226"/>
        <v>Tradiciones Andinas-T.A Papa Seca Amarilla (Family Pack) /Yelow Dried Potato 40oz x 6</v>
      </c>
      <c r="N1083" s="20">
        <f t="shared" si="227"/>
        <v>2</v>
      </c>
      <c r="O1083" s="20" t="str">
        <f t="shared" si="228"/>
        <v>Se repite 2 veces en Tradiciones Andinas</v>
      </c>
      <c r="P1083" s="20" t="str">
        <f t="shared" si="229"/>
        <v>Tradiciones Andinas-T.A Papa Seca Amarilla (Family Pack) /Yelow Dried Potato 40oz x 6-28.62</v>
      </c>
      <c r="Q1083" s="20">
        <f t="shared" si="230"/>
        <v>1</v>
      </c>
      <c r="R1083" s="20" t="str">
        <f t="shared" si="231"/>
        <v>No se repite</v>
      </c>
      <c r="S1083" s="20" t="str">
        <f t="shared" si="232"/>
        <v>El producto T.A Papa Seca Amarilla (Family Pack) /Yelow Dried Potato 40oz x 6 Se repite 2 veces en Tradiciones Andinas Una vez con el precio 28.62</v>
      </c>
      <c r="T1083" s="20" t="str">
        <f t="shared" si="233"/>
        <v>Tradiciones Andinas</v>
      </c>
      <c r="U1083" s="20" t="str">
        <f t="shared" si="234"/>
        <v>T.A Papa Seca Amarilla (Family Pack) /Yelow Dried Potato 40oz x 6</v>
      </c>
      <c r="V1083" s="22">
        <f t="shared" si="235"/>
        <v>28.62</v>
      </c>
      <c r="W1083" t="str">
        <f t="shared" si="236"/>
        <v>Tradiciones Andinas 03/31/2025</v>
      </c>
      <c r="X1083" t="s">
        <v>3348</v>
      </c>
      <c r="Z1083">
        <f t="shared" si="237"/>
        <v>28.62</v>
      </c>
    </row>
    <row r="1084" spans="1:26" hidden="1" x14ac:dyDescent="0.25">
      <c r="A1084" s="2" t="s">
        <v>664</v>
      </c>
      <c r="B1084" s="11" t="s">
        <v>665</v>
      </c>
      <c r="C1084" s="11" t="s">
        <v>4</v>
      </c>
      <c r="D1084" s="11" t="s">
        <v>666</v>
      </c>
      <c r="E1084" s="11" t="s">
        <v>728</v>
      </c>
      <c r="F1084" s="11" t="s">
        <v>729</v>
      </c>
      <c r="G1084" s="12">
        <v>2</v>
      </c>
      <c r="H1084" s="12">
        <v>28.62</v>
      </c>
      <c r="I1084" s="12">
        <v>57.24</v>
      </c>
      <c r="J1084" s="12">
        <v>1915.0399999999995</v>
      </c>
      <c r="K1084" s="20">
        <f t="shared" si="224"/>
        <v>1</v>
      </c>
      <c r="L1084" s="20" t="str">
        <f t="shared" si="225"/>
        <v>No se repite</v>
      </c>
      <c r="M1084" s="20" t="str">
        <f t="shared" si="226"/>
        <v>Tradiciones Andinas-T.A Papa Seca Negra (Family Pack) / Black Dried Potato 54oz x 5</v>
      </c>
      <c r="N1084" s="20">
        <f t="shared" si="227"/>
        <v>1</v>
      </c>
      <c r="O1084" s="20" t="str">
        <f t="shared" si="228"/>
        <v>No se repite en proveedor</v>
      </c>
      <c r="P1084" s="20" t="str">
        <f t="shared" si="229"/>
        <v>Tradiciones Andinas-T.A Papa Seca Negra (Family Pack) / Black Dried Potato 54oz x 5-28.62</v>
      </c>
      <c r="Q1084" s="20">
        <f t="shared" si="230"/>
        <v>1</v>
      </c>
      <c r="R1084" s="20" t="str">
        <f t="shared" si="231"/>
        <v>No se repite</v>
      </c>
      <c r="S1084" s="20" t="str">
        <f t="shared" si="232"/>
        <v>El producto T.A Papa Seca Negra (Family Pack) / Black Dried Potato 54oz x 5 No se repite en proveedor Una vez con el precio 28.62</v>
      </c>
      <c r="T1084" s="20" t="str">
        <f t="shared" si="233"/>
        <v>Tradiciones Andinas</v>
      </c>
      <c r="U1084" s="20" t="str">
        <f t="shared" si="234"/>
        <v>T.A Papa Seca Negra (Family Pack) / Black Dried Potato 54oz x 5</v>
      </c>
      <c r="V1084" s="22">
        <f t="shared" si="235"/>
        <v>28.62</v>
      </c>
      <c r="W1084" t="str">
        <f t="shared" si="236"/>
        <v>Tradiciones Andinas 03/31/2025</v>
      </c>
      <c r="Z1084">
        <f t="shared" si="237"/>
        <v>57.24</v>
      </c>
    </row>
    <row r="1085" spans="1:26" hidden="1" x14ac:dyDescent="0.25">
      <c r="A1085" s="2" t="s">
        <v>664</v>
      </c>
      <c r="B1085" s="11" t="s">
        <v>665</v>
      </c>
      <c r="C1085" s="11" t="s">
        <v>4</v>
      </c>
      <c r="D1085" s="11" t="s">
        <v>666</v>
      </c>
      <c r="E1085" s="11" t="s">
        <v>700</v>
      </c>
      <c r="F1085" s="11" t="s">
        <v>701</v>
      </c>
      <c r="G1085" s="12">
        <v>2</v>
      </c>
      <c r="H1085" s="12">
        <v>28.62</v>
      </c>
      <c r="I1085" s="12">
        <v>57.24</v>
      </c>
      <c r="J1085" s="12">
        <v>995.80000000000007</v>
      </c>
      <c r="K1085" s="20">
        <f t="shared" si="224"/>
        <v>4</v>
      </c>
      <c r="L1085" s="20" t="str">
        <f t="shared" si="225"/>
        <v>Se repite 4 veces</v>
      </c>
      <c r="M1085" s="20" t="str">
        <f t="shared" si="226"/>
        <v>Tradiciones Andinas-T.A Papa Seca Negra / Dried Potato 15OZ X 18</v>
      </c>
      <c r="N1085" s="20">
        <f t="shared" si="227"/>
        <v>4</v>
      </c>
      <c r="O1085" s="20" t="str">
        <f t="shared" si="228"/>
        <v>Se repite 4 veces en Tradiciones Andinas</v>
      </c>
      <c r="P1085" s="20" t="str">
        <f t="shared" si="229"/>
        <v>Tradiciones Andinas-T.A Papa Seca Negra / Dried Potato 15OZ X 18-28.62</v>
      </c>
      <c r="Q1085" s="20">
        <f t="shared" si="230"/>
        <v>3</v>
      </c>
      <c r="R1085" s="20" t="str">
        <f t="shared" si="231"/>
        <v>Se repite 3 veces el precio de 28.62</v>
      </c>
      <c r="S1085" s="20" t="str">
        <f t="shared" si="232"/>
        <v>El producto T.A Papa Seca Negra / Dried Potato 15OZ X 18 Se repite 4 veces en Tradiciones Andinas, Se repite 3 veces el precio de 28.62</v>
      </c>
      <c r="T1085" s="20" t="str">
        <f t="shared" si="233"/>
        <v>Tradiciones Andinas</v>
      </c>
      <c r="U1085" s="20" t="str">
        <f t="shared" si="234"/>
        <v>T.A Papa Seca Negra / Dried Potato 15OZ X 18</v>
      </c>
      <c r="V1085" s="22">
        <f t="shared" si="235"/>
        <v>28.62</v>
      </c>
      <c r="W1085" t="str">
        <f t="shared" si="236"/>
        <v>Tradiciones Andinas 03/31/2025</v>
      </c>
      <c r="Z1085">
        <f t="shared" si="237"/>
        <v>57.24</v>
      </c>
    </row>
    <row r="1086" spans="1:26" hidden="1" x14ac:dyDescent="0.25">
      <c r="A1086" s="2" t="s">
        <v>664</v>
      </c>
      <c r="B1086" s="11" t="s">
        <v>398</v>
      </c>
      <c r="C1086" s="11" t="s">
        <v>4</v>
      </c>
      <c r="D1086" s="11" t="s">
        <v>5</v>
      </c>
      <c r="E1086" s="11" t="s">
        <v>700</v>
      </c>
      <c r="F1086" s="11" t="s">
        <v>701</v>
      </c>
      <c r="G1086" s="12">
        <v>2</v>
      </c>
      <c r="H1086" s="12">
        <v>28.62</v>
      </c>
      <c r="I1086" s="12">
        <v>57.24</v>
      </c>
      <c r="J1086" s="12">
        <v>4308.28</v>
      </c>
      <c r="K1086" s="20">
        <f t="shared" si="224"/>
        <v>4</v>
      </c>
      <c r="L1086" s="20" t="str">
        <f t="shared" si="225"/>
        <v>Se repite 4 veces</v>
      </c>
      <c r="M1086" s="20" t="str">
        <f t="shared" si="226"/>
        <v>Tradiciones Andinas-T.A Papa Seca Negra / Dried Potato 15OZ X 18</v>
      </c>
      <c r="N1086" s="20">
        <f t="shared" si="227"/>
        <v>4</v>
      </c>
      <c r="O1086" s="20" t="str">
        <f t="shared" si="228"/>
        <v>Se repite 4 veces en Tradiciones Andinas</v>
      </c>
      <c r="P1086" s="20" t="str">
        <f t="shared" si="229"/>
        <v>Tradiciones Andinas-T.A Papa Seca Negra / Dried Potato 15OZ X 18-28.62</v>
      </c>
      <c r="Q1086" s="20">
        <f t="shared" si="230"/>
        <v>3</v>
      </c>
      <c r="R1086" s="20" t="str">
        <f t="shared" si="231"/>
        <v>Se repite 3 veces el precio de 28.62</v>
      </c>
      <c r="S1086" s="20" t="str">
        <f t="shared" si="232"/>
        <v>El producto T.A Papa Seca Negra / Dried Potato 15OZ X 18 Se repite 4 veces en Tradiciones Andinas, Se repite 3 veces el precio de 28.62</v>
      </c>
      <c r="T1086" s="20" t="str">
        <f t="shared" si="233"/>
        <v>Tradiciones Andinas</v>
      </c>
      <c r="U1086" s="20" t="str">
        <f t="shared" si="234"/>
        <v>T.A Papa Seca Negra / Dried Potato 15OZ X 18</v>
      </c>
      <c r="V1086" s="22">
        <f t="shared" si="235"/>
        <v>28.62</v>
      </c>
      <c r="W1086" t="str">
        <f t="shared" si="236"/>
        <v>Tradiciones Andinas 04/10/2025</v>
      </c>
      <c r="Z1086">
        <f t="shared" si="237"/>
        <v>57.24</v>
      </c>
    </row>
    <row r="1087" spans="1:26" hidden="1" x14ac:dyDescent="0.25">
      <c r="A1087" s="2" t="s">
        <v>664</v>
      </c>
      <c r="B1087" s="11" t="s">
        <v>821</v>
      </c>
      <c r="C1087" s="11" t="s">
        <v>4</v>
      </c>
      <c r="D1087" s="11" t="s">
        <v>822</v>
      </c>
      <c r="E1087" s="11" t="s">
        <v>700</v>
      </c>
      <c r="F1087" s="11" t="s">
        <v>701</v>
      </c>
      <c r="G1087" s="12">
        <v>10</v>
      </c>
      <c r="H1087" s="12">
        <v>28.62</v>
      </c>
      <c r="I1087" s="12">
        <v>286.2</v>
      </c>
      <c r="J1087" s="12">
        <v>11066.119999999997</v>
      </c>
      <c r="K1087" s="20">
        <f t="shared" si="224"/>
        <v>4</v>
      </c>
      <c r="L1087" s="20" t="str">
        <f t="shared" si="225"/>
        <v>Se repite 4 veces</v>
      </c>
      <c r="M1087" s="20" t="str">
        <f t="shared" si="226"/>
        <v>Tradiciones Andinas-T.A Papa Seca Negra / Dried Potato 15OZ X 18</v>
      </c>
      <c r="N1087" s="20">
        <f t="shared" si="227"/>
        <v>4</v>
      </c>
      <c r="O1087" s="20" t="str">
        <f t="shared" si="228"/>
        <v>Se repite 4 veces en Tradiciones Andinas</v>
      </c>
      <c r="P1087" s="20" t="str">
        <f t="shared" si="229"/>
        <v>Tradiciones Andinas-T.A Papa Seca Negra / Dried Potato 15OZ X 18-28.62</v>
      </c>
      <c r="Q1087" s="20">
        <f t="shared" si="230"/>
        <v>3</v>
      </c>
      <c r="R1087" s="20" t="str">
        <f t="shared" si="231"/>
        <v>Se repite 3 veces el precio de 28.62</v>
      </c>
      <c r="S1087" s="20" t="str">
        <f t="shared" si="232"/>
        <v>El producto T.A Papa Seca Negra / Dried Potato 15OZ X 18 Se repite 4 veces en Tradiciones Andinas, Se repite 3 veces el precio de 28.62</v>
      </c>
      <c r="T1087" s="20" t="str">
        <f t="shared" si="233"/>
        <v>Tradiciones Andinas</v>
      </c>
      <c r="U1087" s="20" t="str">
        <f t="shared" si="234"/>
        <v>T.A Papa Seca Negra / Dried Potato 15OZ X 18</v>
      </c>
      <c r="V1087" s="22">
        <f t="shared" si="235"/>
        <v>28.62</v>
      </c>
      <c r="W1087" t="str">
        <f t="shared" si="236"/>
        <v>Tradiciones Andinas 04/25/2025</v>
      </c>
      <c r="Z1087">
        <f t="shared" si="237"/>
        <v>286.2</v>
      </c>
    </row>
    <row r="1088" spans="1:26" hidden="1" x14ac:dyDescent="0.25">
      <c r="A1088" s="2" t="s">
        <v>664</v>
      </c>
      <c r="B1088" s="11" t="s">
        <v>1125</v>
      </c>
      <c r="C1088" s="11" t="s">
        <v>4</v>
      </c>
      <c r="D1088" s="11" t="s">
        <v>1126</v>
      </c>
      <c r="E1088" s="11" t="s">
        <v>700</v>
      </c>
      <c r="F1088" s="11" t="s">
        <v>1129</v>
      </c>
      <c r="G1088" s="12">
        <v>2</v>
      </c>
      <c r="H1088" s="12">
        <v>30.24</v>
      </c>
      <c r="I1088" s="12">
        <v>60.48</v>
      </c>
      <c r="J1088" s="12">
        <v>68525.540000000008</v>
      </c>
      <c r="K1088" s="20">
        <f t="shared" si="224"/>
        <v>4</v>
      </c>
      <c r="L1088" s="20" t="str">
        <f t="shared" si="225"/>
        <v>Se repite 4 veces</v>
      </c>
      <c r="M1088" s="20" t="str">
        <f t="shared" si="226"/>
        <v>Tradiciones Andinas-T.A Papa Seca Negra / Dried Potato 15OZ X 18</v>
      </c>
      <c r="N1088" s="20">
        <f t="shared" si="227"/>
        <v>4</v>
      </c>
      <c r="O1088" s="20" t="str">
        <f t="shared" si="228"/>
        <v>Se repite 4 veces en Tradiciones Andinas</v>
      </c>
      <c r="P1088" s="20" t="str">
        <f t="shared" si="229"/>
        <v>Tradiciones Andinas-T.A Papa Seca Negra / Dried Potato 15OZ X 18-30.24</v>
      </c>
      <c r="Q1088" s="20">
        <f t="shared" si="230"/>
        <v>1</v>
      </c>
      <c r="R1088" s="20" t="str">
        <f t="shared" si="231"/>
        <v>No se repite</v>
      </c>
      <c r="S1088" s="20" t="str">
        <f t="shared" si="232"/>
        <v>El producto T.A Papa Seca Negra / Dried Potato 15OZ X 18 Se repite 4 veces en Tradiciones Andinas Una vez con el precio 30.24</v>
      </c>
      <c r="T1088" s="20" t="str">
        <f t="shared" si="233"/>
        <v>Tradiciones Andinas</v>
      </c>
      <c r="U1088" s="20" t="str">
        <f t="shared" si="234"/>
        <v>T.A Papa Seca Negra / Dried Potato 15OZ X 18</v>
      </c>
      <c r="V1088" s="22">
        <f t="shared" si="235"/>
        <v>30.24</v>
      </c>
      <c r="W1088" t="str">
        <f t="shared" si="236"/>
        <v>Tradiciones Andinas 08/18/2025</v>
      </c>
      <c r="Z1088">
        <f t="shared" si="237"/>
        <v>60.48</v>
      </c>
    </row>
    <row r="1089" spans="1:26" hidden="1" x14ac:dyDescent="0.25">
      <c r="A1089" s="2" t="s">
        <v>664</v>
      </c>
      <c r="B1089" s="11" t="s">
        <v>665</v>
      </c>
      <c r="C1089" s="11" t="s">
        <v>4</v>
      </c>
      <c r="D1089" s="11" t="s">
        <v>666</v>
      </c>
      <c r="E1089" s="11" t="s">
        <v>704</v>
      </c>
      <c r="F1089" s="11" t="s">
        <v>705</v>
      </c>
      <c r="G1089" s="12">
        <v>2</v>
      </c>
      <c r="H1089" s="12">
        <v>39.36</v>
      </c>
      <c r="I1089" s="12">
        <v>78.72</v>
      </c>
      <c r="J1089" s="12">
        <v>1160.44</v>
      </c>
      <c r="K1089" s="20">
        <f t="shared" si="224"/>
        <v>6</v>
      </c>
      <c r="L1089" s="20" t="str">
        <f t="shared" si="225"/>
        <v>Se repite 6 veces</v>
      </c>
      <c r="M1089" s="20" t="str">
        <f t="shared" si="226"/>
        <v>Tradiciones Andinas-T.A Peeled Mote Corn / Mote Pelado 15oz x 24</v>
      </c>
      <c r="N1089" s="20">
        <f t="shared" si="227"/>
        <v>6</v>
      </c>
      <c r="O1089" s="20" t="str">
        <f t="shared" si="228"/>
        <v>Se repite 6 veces en Tradiciones Andinas</v>
      </c>
      <c r="P1089" s="20" t="str">
        <f t="shared" si="229"/>
        <v>Tradiciones Andinas-T.A Peeled Mote Corn / Mote Pelado 15oz x 24-39.36</v>
      </c>
      <c r="Q1089" s="20">
        <f t="shared" si="230"/>
        <v>1</v>
      </c>
      <c r="R1089" s="20" t="str">
        <f t="shared" si="231"/>
        <v>No se repite</v>
      </c>
      <c r="S1089" s="20" t="str">
        <f t="shared" si="232"/>
        <v>El producto T.A Peeled Mote Corn / Mote Pelado 15oz x 24 Se repite 6 veces en Tradiciones Andinas Una vez con el precio 39.36</v>
      </c>
      <c r="T1089" s="20" t="str">
        <f t="shared" si="233"/>
        <v>Tradiciones Andinas</v>
      </c>
      <c r="U1089" s="20" t="str">
        <f t="shared" si="234"/>
        <v>T.A Peeled Mote Corn / Mote Pelado 15oz x 24</v>
      </c>
      <c r="V1089" s="22">
        <f t="shared" si="235"/>
        <v>39.36</v>
      </c>
      <c r="W1089" t="str">
        <f t="shared" si="236"/>
        <v>Tradiciones Andinas 03/31/2025</v>
      </c>
      <c r="Z1089">
        <f t="shared" si="237"/>
        <v>78.72</v>
      </c>
    </row>
    <row r="1090" spans="1:26" hidden="1" x14ac:dyDescent="0.25">
      <c r="A1090" s="2" t="s">
        <v>664</v>
      </c>
      <c r="B1090" s="11" t="s">
        <v>398</v>
      </c>
      <c r="C1090" s="11" t="s">
        <v>4</v>
      </c>
      <c r="D1090" s="11" t="s">
        <v>5</v>
      </c>
      <c r="E1090" s="11" t="s">
        <v>704</v>
      </c>
      <c r="F1090" s="11" t="s">
        <v>705</v>
      </c>
      <c r="G1090" s="12">
        <v>2</v>
      </c>
      <c r="H1090" s="12">
        <v>42.96</v>
      </c>
      <c r="I1090" s="12">
        <v>85.92</v>
      </c>
      <c r="J1090" s="12">
        <v>4480.12</v>
      </c>
      <c r="K1090" s="20">
        <f t="shared" si="224"/>
        <v>6</v>
      </c>
      <c r="L1090" s="20" t="str">
        <f t="shared" si="225"/>
        <v>Se repite 6 veces</v>
      </c>
      <c r="M1090" s="20" t="str">
        <f t="shared" si="226"/>
        <v>Tradiciones Andinas-T.A Peeled Mote Corn / Mote Pelado 15oz x 24</v>
      </c>
      <c r="N1090" s="20">
        <f t="shared" si="227"/>
        <v>6</v>
      </c>
      <c r="O1090" s="20" t="str">
        <f t="shared" si="228"/>
        <v>Se repite 6 veces en Tradiciones Andinas</v>
      </c>
      <c r="P1090" s="20" t="str">
        <f t="shared" si="229"/>
        <v>Tradiciones Andinas-T.A Peeled Mote Corn / Mote Pelado 15oz x 24-42.96</v>
      </c>
      <c r="Q1090" s="20">
        <f t="shared" si="230"/>
        <v>2</v>
      </c>
      <c r="R1090" s="20" t="str">
        <f t="shared" si="231"/>
        <v>Se repite 2 veces el precio de 42.96</v>
      </c>
      <c r="S1090" s="20" t="str">
        <f t="shared" si="232"/>
        <v>El producto T.A Peeled Mote Corn / Mote Pelado 15oz x 24 Se repite 6 veces en Tradiciones Andinas, Se repite 2 veces el precio de 42.96</v>
      </c>
      <c r="T1090" s="20" t="str">
        <f t="shared" si="233"/>
        <v>Tradiciones Andinas</v>
      </c>
      <c r="U1090" s="20" t="str">
        <f t="shared" si="234"/>
        <v>T.A Peeled Mote Corn / Mote Pelado 15oz x 24</v>
      </c>
      <c r="V1090" s="22">
        <f t="shared" si="235"/>
        <v>42.96</v>
      </c>
      <c r="W1090" t="str">
        <f t="shared" si="236"/>
        <v>Tradiciones Andinas 04/10/2025</v>
      </c>
      <c r="Z1090">
        <f t="shared" si="237"/>
        <v>85.92</v>
      </c>
    </row>
    <row r="1091" spans="1:26" hidden="1" x14ac:dyDescent="0.25">
      <c r="A1091" s="2" t="s">
        <v>664</v>
      </c>
      <c r="B1091" s="11" t="s">
        <v>821</v>
      </c>
      <c r="C1091" s="11" t="s">
        <v>4</v>
      </c>
      <c r="D1091" s="11" t="s">
        <v>822</v>
      </c>
      <c r="E1091" s="11" t="s">
        <v>704</v>
      </c>
      <c r="F1091" s="11" t="s">
        <v>705</v>
      </c>
      <c r="G1091" s="12">
        <v>4</v>
      </c>
      <c r="H1091" s="12">
        <v>42.96</v>
      </c>
      <c r="I1091" s="12">
        <v>171.84</v>
      </c>
      <c r="J1091" s="12">
        <v>11409.799999999997</v>
      </c>
      <c r="K1091" s="20">
        <f t="shared" ref="K1091:K1154" si="238">COUNTIF($E$2:$E$1438,E1091)</f>
        <v>6</v>
      </c>
      <c r="L1091" s="20" t="str">
        <f t="shared" ref="L1091:L1154" si="239">IF(K1091&gt;1,_xlfn.CONCAT("Se repite ",K1091," veces"),"No se repite")</f>
        <v>Se repite 6 veces</v>
      </c>
      <c r="M1091" s="20" t="str">
        <f t="shared" ref="M1091:M1154" si="240">_xlfn.CONCAT(A1091,"-",E1091)</f>
        <v>Tradiciones Andinas-T.A Peeled Mote Corn / Mote Pelado 15oz x 24</v>
      </c>
      <c r="N1091" s="20">
        <f t="shared" ref="N1091:N1154" si="241">COUNTIF($M$2:$M$1438,M1091)</f>
        <v>6</v>
      </c>
      <c r="O1091" s="20" t="str">
        <f t="shared" ref="O1091:O1154" si="242">IF(N1091&gt;1,_xlfn.CONCAT("Se repite ",N1091," veces en ",A1091),"No se repite en proveedor")</f>
        <v>Se repite 6 veces en Tradiciones Andinas</v>
      </c>
      <c r="P1091" s="20" t="str">
        <f t="shared" ref="P1091:P1154" si="243">_xlfn.CONCAT(A1091,"-",E1091,"-",H1091)</f>
        <v>Tradiciones Andinas-T.A Peeled Mote Corn / Mote Pelado 15oz x 24-42.96</v>
      </c>
      <c r="Q1091" s="20">
        <f t="shared" ref="Q1091:Q1154" si="244">COUNTIF($P$2:$P$1438,P1091)</f>
        <v>2</v>
      </c>
      <c r="R1091" s="20" t="str">
        <f t="shared" ref="R1091:R1154" si="245">IF(Q1091&gt;1,_xlfn.CONCAT("Se repite ",Q1091," veces el precio de ",H1091),"No se repite")</f>
        <v>Se repite 2 veces el precio de 42.96</v>
      </c>
      <c r="S1091" s="20" t="str">
        <f t="shared" ref="S1091:S1154" si="246">_xlfn.CONCAT("El producto ",E1091," ",O1091,IF(R1091="No se repite",_xlfn.CONCAT(" Una vez con el precio ",H1091),_xlfn.CONCAT(", ",R1091)))</f>
        <v>El producto T.A Peeled Mote Corn / Mote Pelado 15oz x 24 Se repite 6 veces en Tradiciones Andinas, Se repite 2 veces el precio de 42.96</v>
      </c>
      <c r="T1091" s="20" t="str">
        <f t="shared" ref="T1091:T1154" si="247">+A1091</f>
        <v>Tradiciones Andinas</v>
      </c>
      <c r="U1091" s="20" t="str">
        <f t="shared" ref="U1091:U1154" si="248">+E1091</f>
        <v>T.A Peeled Mote Corn / Mote Pelado 15oz x 24</v>
      </c>
      <c r="V1091" s="22">
        <f t="shared" ref="V1091:V1154" si="249">+H1091</f>
        <v>42.96</v>
      </c>
      <c r="W1091" t="str">
        <f t="shared" ref="W1091:W1154" si="250">_xlfn.CONCAT(A1091," ",B1091)</f>
        <v>Tradiciones Andinas 04/25/2025</v>
      </c>
      <c r="Z1091">
        <f t="shared" ref="Z1091:Z1154" si="251">G1091*H1091</f>
        <v>171.84</v>
      </c>
    </row>
    <row r="1092" spans="1:26" hidden="1" x14ac:dyDescent="0.25">
      <c r="A1092" s="2" t="s">
        <v>664</v>
      </c>
      <c r="B1092" s="11" t="s">
        <v>1033</v>
      </c>
      <c r="C1092" s="11" t="s">
        <v>4</v>
      </c>
      <c r="D1092" s="11" t="s">
        <v>1034</v>
      </c>
      <c r="E1092" s="11" t="s">
        <v>704</v>
      </c>
      <c r="F1092" s="11" t="s">
        <v>1044</v>
      </c>
      <c r="G1092" s="12">
        <v>2</v>
      </c>
      <c r="H1092" s="12">
        <v>45.96</v>
      </c>
      <c r="I1092" s="12">
        <v>91.92</v>
      </c>
      <c r="J1092" s="12">
        <v>48729.769999999975</v>
      </c>
      <c r="K1092" s="20">
        <f t="shared" si="238"/>
        <v>6</v>
      </c>
      <c r="L1092" s="20" t="str">
        <f t="shared" si="239"/>
        <v>Se repite 6 veces</v>
      </c>
      <c r="M1092" s="20" t="str">
        <f t="shared" si="240"/>
        <v>Tradiciones Andinas-T.A Peeled Mote Corn / Mote Pelado 15oz x 24</v>
      </c>
      <c r="N1092" s="20">
        <f t="shared" si="241"/>
        <v>6</v>
      </c>
      <c r="O1092" s="20" t="str">
        <f t="shared" si="242"/>
        <v>Se repite 6 veces en Tradiciones Andinas</v>
      </c>
      <c r="P1092" s="20" t="str">
        <f t="shared" si="243"/>
        <v>Tradiciones Andinas-T.A Peeled Mote Corn / Mote Pelado 15oz x 24-45.96</v>
      </c>
      <c r="Q1092" s="20">
        <f t="shared" si="244"/>
        <v>3</v>
      </c>
      <c r="R1092" s="20" t="str">
        <f t="shared" si="245"/>
        <v>Se repite 3 veces el precio de 45.96</v>
      </c>
      <c r="S1092" s="20" t="str">
        <f t="shared" si="246"/>
        <v>El producto T.A Peeled Mote Corn / Mote Pelado 15oz x 24 Se repite 6 veces en Tradiciones Andinas, Se repite 3 veces el precio de 45.96</v>
      </c>
      <c r="T1092" s="20" t="str">
        <f t="shared" si="247"/>
        <v>Tradiciones Andinas</v>
      </c>
      <c r="U1092" s="20" t="str">
        <f t="shared" si="248"/>
        <v>T.A Peeled Mote Corn / Mote Pelado 15oz x 24</v>
      </c>
      <c r="V1092" s="22">
        <f t="shared" si="249"/>
        <v>45.96</v>
      </c>
      <c r="W1092" t="str">
        <f t="shared" si="250"/>
        <v>Tradiciones Andinas 07/03/2025</v>
      </c>
      <c r="Z1092">
        <f t="shared" si="251"/>
        <v>91.92</v>
      </c>
    </row>
    <row r="1093" spans="1:26" hidden="1" x14ac:dyDescent="0.25">
      <c r="A1093" s="2" t="s">
        <v>664</v>
      </c>
      <c r="B1093" s="11" t="s">
        <v>1125</v>
      </c>
      <c r="C1093" s="11" t="s">
        <v>4</v>
      </c>
      <c r="D1093" s="11" t="s">
        <v>1126</v>
      </c>
      <c r="E1093" s="11" t="s">
        <v>704</v>
      </c>
      <c r="F1093" s="11" t="s">
        <v>1044</v>
      </c>
      <c r="G1093" s="12">
        <v>2</v>
      </c>
      <c r="H1093" s="12">
        <v>45.96</v>
      </c>
      <c r="I1093" s="12">
        <v>91.92</v>
      </c>
      <c r="J1093" s="12">
        <v>68617.460000000006</v>
      </c>
      <c r="K1093" s="20">
        <f t="shared" si="238"/>
        <v>6</v>
      </c>
      <c r="L1093" s="20" t="str">
        <f t="shared" si="239"/>
        <v>Se repite 6 veces</v>
      </c>
      <c r="M1093" s="20" t="str">
        <f t="shared" si="240"/>
        <v>Tradiciones Andinas-T.A Peeled Mote Corn / Mote Pelado 15oz x 24</v>
      </c>
      <c r="N1093" s="20">
        <f t="shared" si="241"/>
        <v>6</v>
      </c>
      <c r="O1093" s="20" t="str">
        <f t="shared" si="242"/>
        <v>Se repite 6 veces en Tradiciones Andinas</v>
      </c>
      <c r="P1093" s="20" t="str">
        <f t="shared" si="243"/>
        <v>Tradiciones Andinas-T.A Peeled Mote Corn / Mote Pelado 15oz x 24-45.96</v>
      </c>
      <c r="Q1093" s="20">
        <f t="shared" si="244"/>
        <v>3</v>
      </c>
      <c r="R1093" s="20" t="str">
        <f t="shared" si="245"/>
        <v>Se repite 3 veces el precio de 45.96</v>
      </c>
      <c r="S1093" s="20" t="str">
        <f t="shared" si="246"/>
        <v>El producto T.A Peeled Mote Corn / Mote Pelado 15oz x 24 Se repite 6 veces en Tradiciones Andinas, Se repite 3 veces el precio de 45.96</v>
      </c>
      <c r="T1093" s="20" t="str">
        <f t="shared" si="247"/>
        <v>Tradiciones Andinas</v>
      </c>
      <c r="U1093" s="20" t="str">
        <f t="shared" si="248"/>
        <v>T.A Peeled Mote Corn / Mote Pelado 15oz x 24</v>
      </c>
      <c r="V1093" s="22">
        <f t="shared" si="249"/>
        <v>45.96</v>
      </c>
      <c r="W1093" t="str">
        <f t="shared" si="250"/>
        <v>Tradiciones Andinas 08/18/2025</v>
      </c>
      <c r="Z1093">
        <f t="shared" si="251"/>
        <v>91.92</v>
      </c>
    </row>
    <row r="1094" spans="1:26" hidden="1" x14ac:dyDescent="0.25">
      <c r="A1094" s="2" t="s">
        <v>664</v>
      </c>
      <c r="B1094" s="11" t="s">
        <v>1201</v>
      </c>
      <c r="C1094" s="11" t="s">
        <v>4</v>
      </c>
      <c r="D1094" s="11" t="s">
        <v>1202</v>
      </c>
      <c r="E1094" s="11" t="s">
        <v>704</v>
      </c>
      <c r="F1094" s="11" t="s">
        <v>1044</v>
      </c>
      <c r="G1094" s="12">
        <v>2</v>
      </c>
      <c r="H1094" s="12">
        <v>45.96</v>
      </c>
      <c r="I1094" s="12">
        <v>91.92</v>
      </c>
      <c r="J1094" s="12">
        <v>100822.78999999994</v>
      </c>
      <c r="K1094" s="20">
        <f t="shared" si="238"/>
        <v>6</v>
      </c>
      <c r="L1094" s="20" t="str">
        <f t="shared" si="239"/>
        <v>Se repite 6 veces</v>
      </c>
      <c r="M1094" s="20" t="str">
        <f t="shared" si="240"/>
        <v>Tradiciones Andinas-T.A Peeled Mote Corn / Mote Pelado 15oz x 24</v>
      </c>
      <c r="N1094" s="20">
        <f t="shared" si="241"/>
        <v>6</v>
      </c>
      <c r="O1094" s="20" t="str">
        <f t="shared" si="242"/>
        <v>Se repite 6 veces en Tradiciones Andinas</v>
      </c>
      <c r="P1094" s="20" t="str">
        <f t="shared" si="243"/>
        <v>Tradiciones Andinas-T.A Peeled Mote Corn / Mote Pelado 15oz x 24-45.96</v>
      </c>
      <c r="Q1094" s="20">
        <f t="shared" si="244"/>
        <v>3</v>
      </c>
      <c r="R1094" s="20" t="str">
        <f t="shared" si="245"/>
        <v>Se repite 3 veces el precio de 45.96</v>
      </c>
      <c r="S1094" s="20" t="str">
        <f t="shared" si="246"/>
        <v>El producto T.A Peeled Mote Corn / Mote Pelado 15oz x 24 Se repite 6 veces en Tradiciones Andinas, Se repite 3 veces el precio de 45.96</v>
      </c>
      <c r="T1094" s="20" t="str">
        <f t="shared" si="247"/>
        <v>Tradiciones Andinas</v>
      </c>
      <c r="U1094" s="20" t="str">
        <f t="shared" si="248"/>
        <v>T.A Peeled Mote Corn / Mote Pelado 15oz x 24</v>
      </c>
      <c r="V1094" s="22">
        <f t="shared" si="249"/>
        <v>45.96</v>
      </c>
      <c r="W1094" t="str">
        <f t="shared" si="250"/>
        <v>Tradiciones Andinas 11/07/2025</v>
      </c>
      <c r="Z1094">
        <f t="shared" si="251"/>
        <v>91.92</v>
      </c>
    </row>
    <row r="1095" spans="1:26" hidden="1" x14ac:dyDescent="0.25">
      <c r="A1095" s="2" t="s">
        <v>664</v>
      </c>
      <c r="B1095" s="11" t="s">
        <v>654</v>
      </c>
      <c r="C1095" s="11" t="s">
        <v>4</v>
      </c>
      <c r="D1095" s="11" t="s">
        <v>940</v>
      </c>
      <c r="E1095" s="11" t="s">
        <v>953</v>
      </c>
      <c r="F1095" s="11" t="s">
        <v>954</v>
      </c>
      <c r="G1095" s="12">
        <v>4</v>
      </c>
      <c r="H1095" s="12">
        <v>13.2</v>
      </c>
      <c r="I1095" s="12">
        <v>52.8</v>
      </c>
      <c r="J1095" s="12">
        <v>26154.199999999993</v>
      </c>
      <c r="K1095" s="20">
        <f t="shared" si="238"/>
        <v>3</v>
      </c>
      <c r="L1095" s="20" t="str">
        <f t="shared" si="239"/>
        <v>Se repite 3 veces</v>
      </c>
      <c r="M1095" s="20" t="str">
        <f t="shared" si="240"/>
        <v>Tradiciones Andinas-T.A Platanitos fritos salados / chifles - Salted Plantain Chips</v>
      </c>
      <c r="N1095" s="20">
        <f t="shared" si="241"/>
        <v>3</v>
      </c>
      <c r="O1095" s="20" t="str">
        <f t="shared" si="242"/>
        <v>Se repite 3 veces en Tradiciones Andinas</v>
      </c>
      <c r="P1095" s="20" t="str">
        <f t="shared" si="243"/>
        <v>Tradiciones Andinas-T.A Platanitos fritos salados / chifles - Salted Plantain Chips-13.2</v>
      </c>
      <c r="Q1095" s="20">
        <f t="shared" si="244"/>
        <v>3</v>
      </c>
      <c r="R1095" s="20" t="str">
        <f t="shared" si="245"/>
        <v>Se repite 3 veces el precio de 13.2</v>
      </c>
      <c r="S1095" s="20" t="str">
        <f t="shared" si="246"/>
        <v>El producto T.A Platanitos fritos salados / chifles - Salted Plantain Chips Se repite 3 veces en Tradiciones Andinas, Se repite 3 veces el precio de 13.2</v>
      </c>
      <c r="T1095" s="20" t="str">
        <f t="shared" si="247"/>
        <v>Tradiciones Andinas</v>
      </c>
      <c r="U1095" s="20" t="str">
        <f t="shared" si="248"/>
        <v>T.A Platanitos fritos salados / chifles - Salted Plantain Chips</v>
      </c>
      <c r="V1095" s="22">
        <f t="shared" si="249"/>
        <v>13.2</v>
      </c>
      <c r="W1095" t="str">
        <f t="shared" si="250"/>
        <v>Tradiciones Andinas 05/19/2025</v>
      </c>
      <c r="Z1095">
        <f t="shared" si="251"/>
        <v>52.8</v>
      </c>
    </row>
    <row r="1096" spans="1:26" hidden="1" x14ac:dyDescent="0.25">
      <c r="A1096" s="2" t="s">
        <v>664</v>
      </c>
      <c r="B1096" s="11" t="s">
        <v>158</v>
      </c>
      <c r="C1096" s="11" t="s">
        <v>4</v>
      </c>
      <c r="D1096" s="11" t="s">
        <v>984</v>
      </c>
      <c r="E1096" s="11" t="s">
        <v>953</v>
      </c>
      <c r="F1096" s="11" t="s">
        <v>1004</v>
      </c>
      <c r="G1096" s="12">
        <v>7</v>
      </c>
      <c r="H1096" s="12">
        <v>13.2</v>
      </c>
      <c r="I1096" s="12">
        <v>92.4</v>
      </c>
      <c r="J1096" s="12">
        <v>39040.6</v>
      </c>
      <c r="K1096" s="20">
        <f t="shared" si="238"/>
        <v>3</v>
      </c>
      <c r="L1096" s="20" t="str">
        <f t="shared" si="239"/>
        <v>Se repite 3 veces</v>
      </c>
      <c r="M1096" s="20" t="str">
        <f t="shared" si="240"/>
        <v>Tradiciones Andinas-T.A Platanitos fritos salados / chifles - Salted Plantain Chips</v>
      </c>
      <c r="N1096" s="20">
        <f t="shared" si="241"/>
        <v>3</v>
      </c>
      <c r="O1096" s="20" t="str">
        <f t="shared" si="242"/>
        <v>Se repite 3 veces en Tradiciones Andinas</v>
      </c>
      <c r="P1096" s="20" t="str">
        <f t="shared" si="243"/>
        <v>Tradiciones Andinas-T.A Platanitos fritos salados / chifles - Salted Plantain Chips-13.2</v>
      </c>
      <c r="Q1096" s="20">
        <f t="shared" si="244"/>
        <v>3</v>
      </c>
      <c r="R1096" s="20" t="str">
        <f t="shared" si="245"/>
        <v>Se repite 3 veces el precio de 13.2</v>
      </c>
      <c r="S1096" s="20" t="str">
        <f t="shared" si="246"/>
        <v>El producto T.A Platanitos fritos salados / chifles - Salted Plantain Chips Se repite 3 veces en Tradiciones Andinas, Se repite 3 veces el precio de 13.2</v>
      </c>
      <c r="T1096" s="20" t="str">
        <f t="shared" si="247"/>
        <v>Tradiciones Andinas</v>
      </c>
      <c r="U1096" s="20" t="str">
        <f t="shared" si="248"/>
        <v>T.A Platanitos fritos salados / chifles - Salted Plantain Chips</v>
      </c>
      <c r="V1096" s="22">
        <f t="shared" si="249"/>
        <v>13.2</v>
      </c>
      <c r="W1096" t="str">
        <f t="shared" si="250"/>
        <v>Tradiciones Andinas 06/12/2025</v>
      </c>
      <c r="Z1096">
        <f t="shared" si="251"/>
        <v>92.399999999999991</v>
      </c>
    </row>
    <row r="1097" spans="1:26" hidden="1" x14ac:dyDescent="0.25">
      <c r="A1097" s="2" t="s">
        <v>664</v>
      </c>
      <c r="B1097" s="11" t="s">
        <v>1033</v>
      </c>
      <c r="C1097" s="11" t="s">
        <v>4</v>
      </c>
      <c r="D1097" s="11" t="s">
        <v>1034</v>
      </c>
      <c r="E1097" s="11" t="s">
        <v>953</v>
      </c>
      <c r="F1097" s="11" t="s">
        <v>1004</v>
      </c>
      <c r="G1097" s="12">
        <v>18</v>
      </c>
      <c r="H1097" s="12">
        <v>13.2</v>
      </c>
      <c r="I1097" s="12">
        <v>237.6</v>
      </c>
      <c r="J1097" s="12">
        <v>51466.01999999996</v>
      </c>
      <c r="K1097" s="20">
        <f t="shared" si="238"/>
        <v>3</v>
      </c>
      <c r="L1097" s="20" t="str">
        <f t="shared" si="239"/>
        <v>Se repite 3 veces</v>
      </c>
      <c r="M1097" s="20" t="str">
        <f t="shared" si="240"/>
        <v>Tradiciones Andinas-T.A Platanitos fritos salados / chifles - Salted Plantain Chips</v>
      </c>
      <c r="N1097" s="20">
        <f t="shared" si="241"/>
        <v>3</v>
      </c>
      <c r="O1097" s="20" t="str">
        <f t="shared" si="242"/>
        <v>Se repite 3 veces en Tradiciones Andinas</v>
      </c>
      <c r="P1097" s="20" t="str">
        <f t="shared" si="243"/>
        <v>Tradiciones Andinas-T.A Platanitos fritos salados / chifles - Salted Plantain Chips-13.2</v>
      </c>
      <c r="Q1097" s="20">
        <f t="shared" si="244"/>
        <v>3</v>
      </c>
      <c r="R1097" s="20" t="str">
        <f t="shared" si="245"/>
        <v>Se repite 3 veces el precio de 13.2</v>
      </c>
      <c r="S1097" s="20" t="str">
        <f t="shared" si="246"/>
        <v>El producto T.A Platanitos fritos salados / chifles - Salted Plantain Chips Se repite 3 veces en Tradiciones Andinas, Se repite 3 veces el precio de 13.2</v>
      </c>
      <c r="T1097" s="20" t="str">
        <f t="shared" si="247"/>
        <v>Tradiciones Andinas</v>
      </c>
      <c r="U1097" s="20" t="str">
        <f t="shared" si="248"/>
        <v>T.A Platanitos fritos salados / chifles - Salted Plantain Chips</v>
      </c>
      <c r="V1097" s="22">
        <f t="shared" si="249"/>
        <v>13.2</v>
      </c>
      <c r="W1097" t="str">
        <f t="shared" si="250"/>
        <v>Tradiciones Andinas 07/03/2025</v>
      </c>
      <c r="Z1097">
        <f t="shared" si="251"/>
        <v>237.6</v>
      </c>
    </row>
    <row r="1098" spans="1:26" hidden="1" x14ac:dyDescent="0.25">
      <c r="A1098" s="2" t="s">
        <v>664</v>
      </c>
      <c r="B1098" s="11" t="s">
        <v>654</v>
      </c>
      <c r="C1098" s="11" t="s">
        <v>4</v>
      </c>
      <c r="D1098" s="11" t="s">
        <v>940</v>
      </c>
      <c r="E1098" s="11" t="s">
        <v>982</v>
      </c>
      <c r="F1098" s="11" t="s">
        <v>983</v>
      </c>
      <c r="G1098" s="12">
        <v>3</v>
      </c>
      <c r="H1098" s="12">
        <v>28.68</v>
      </c>
      <c r="I1098" s="12">
        <v>86.04</v>
      </c>
      <c r="J1098" s="12">
        <v>34611.780000000006</v>
      </c>
      <c r="K1098" s="20">
        <f t="shared" si="238"/>
        <v>3</v>
      </c>
      <c r="L1098" s="20" t="str">
        <f t="shared" si="239"/>
        <v>Se repite 3 veces</v>
      </c>
      <c r="M1098" s="20" t="str">
        <f t="shared" si="240"/>
        <v>Tradiciones Andinas-T.A Pulpa de Guanabana / Soursop Pulpa 14oz x 12</v>
      </c>
      <c r="N1098" s="20">
        <f t="shared" si="241"/>
        <v>3</v>
      </c>
      <c r="O1098" s="20" t="str">
        <f t="shared" si="242"/>
        <v>Se repite 3 veces en Tradiciones Andinas</v>
      </c>
      <c r="P1098" s="20" t="str">
        <f t="shared" si="243"/>
        <v>Tradiciones Andinas-T.A Pulpa de Guanabana / Soursop Pulpa 14oz x 12-28.68</v>
      </c>
      <c r="Q1098" s="20">
        <f t="shared" si="244"/>
        <v>3</v>
      </c>
      <c r="R1098" s="20" t="str">
        <f t="shared" si="245"/>
        <v>Se repite 3 veces el precio de 28.68</v>
      </c>
      <c r="S1098" s="20" t="str">
        <f t="shared" si="246"/>
        <v>El producto T.A Pulpa de Guanabana / Soursop Pulpa 14oz x 12 Se repite 3 veces en Tradiciones Andinas, Se repite 3 veces el precio de 28.68</v>
      </c>
      <c r="T1098" s="20" t="str">
        <f t="shared" si="247"/>
        <v>Tradiciones Andinas</v>
      </c>
      <c r="U1098" s="20" t="str">
        <f t="shared" si="248"/>
        <v>T.A Pulpa de Guanabana / Soursop Pulpa 14oz x 12</v>
      </c>
      <c r="V1098" s="22">
        <f t="shared" si="249"/>
        <v>28.68</v>
      </c>
      <c r="W1098" t="str">
        <f t="shared" si="250"/>
        <v>Tradiciones Andinas 05/19/2025</v>
      </c>
      <c r="Z1098">
        <f t="shared" si="251"/>
        <v>86.039999999999992</v>
      </c>
    </row>
    <row r="1099" spans="1:26" hidden="1" x14ac:dyDescent="0.25">
      <c r="A1099" s="2" t="s">
        <v>664</v>
      </c>
      <c r="B1099" s="11" t="s">
        <v>1153</v>
      </c>
      <c r="C1099" s="11" t="s">
        <v>4</v>
      </c>
      <c r="D1099" s="11" t="s">
        <v>1154</v>
      </c>
      <c r="E1099" s="11" t="s">
        <v>982</v>
      </c>
      <c r="F1099" s="11" t="s">
        <v>983</v>
      </c>
      <c r="G1099" s="12">
        <v>2</v>
      </c>
      <c r="H1099" s="12">
        <v>28.68</v>
      </c>
      <c r="I1099" s="12">
        <v>57.36</v>
      </c>
      <c r="J1099" s="12">
        <v>89683.149999999936</v>
      </c>
      <c r="K1099" s="20">
        <f t="shared" si="238"/>
        <v>3</v>
      </c>
      <c r="L1099" s="20" t="str">
        <f t="shared" si="239"/>
        <v>Se repite 3 veces</v>
      </c>
      <c r="M1099" s="20" t="str">
        <f t="shared" si="240"/>
        <v>Tradiciones Andinas-T.A Pulpa de Guanabana / Soursop Pulpa 14oz x 12</v>
      </c>
      <c r="N1099" s="20">
        <f t="shared" si="241"/>
        <v>3</v>
      </c>
      <c r="O1099" s="20" t="str">
        <f t="shared" si="242"/>
        <v>Se repite 3 veces en Tradiciones Andinas</v>
      </c>
      <c r="P1099" s="20" t="str">
        <f t="shared" si="243"/>
        <v>Tradiciones Andinas-T.A Pulpa de Guanabana / Soursop Pulpa 14oz x 12-28.68</v>
      </c>
      <c r="Q1099" s="20">
        <f t="shared" si="244"/>
        <v>3</v>
      </c>
      <c r="R1099" s="20" t="str">
        <f t="shared" si="245"/>
        <v>Se repite 3 veces el precio de 28.68</v>
      </c>
      <c r="S1099" s="20" t="str">
        <f t="shared" si="246"/>
        <v>El producto T.A Pulpa de Guanabana / Soursop Pulpa 14oz x 12 Se repite 3 veces en Tradiciones Andinas, Se repite 3 veces el precio de 28.68</v>
      </c>
      <c r="T1099" s="20" t="str">
        <f t="shared" si="247"/>
        <v>Tradiciones Andinas</v>
      </c>
      <c r="U1099" s="20" t="str">
        <f t="shared" si="248"/>
        <v>T.A Pulpa de Guanabana / Soursop Pulpa 14oz x 12</v>
      </c>
      <c r="V1099" s="22">
        <f t="shared" si="249"/>
        <v>28.68</v>
      </c>
      <c r="W1099" t="str">
        <f t="shared" si="250"/>
        <v>Tradiciones Andinas 09/24/2025</v>
      </c>
      <c r="Z1099">
        <f t="shared" si="251"/>
        <v>57.36</v>
      </c>
    </row>
    <row r="1100" spans="1:26" hidden="1" x14ac:dyDescent="0.25">
      <c r="A1100" s="2" t="s">
        <v>664</v>
      </c>
      <c r="B1100" s="11" t="s">
        <v>1207</v>
      </c>
      <c r="C1100" s="11" t="s">
        <v>4</v>
      </c>
      <c r="D1100" s="11" t="s">
        <v>1208</v>
      </c>
      <c r="E1100" s="11" t="s">
        <v>982</v>
      </c>
      <c r="F1100" s="11" t="s">
        <v>1215</v>
      </c>
      <c r="G1100" s="12">
        <v>2</v>
      </c>
      <c r="H1100" s="12">
        <v>28.68</v>
      </c>
      <c r="I1100" s="12">
        <v>57.36</v>
      </c>
      <c r="J1100" s="12">
        <v>116324.17999999988</v>
      </c>
      <c r="K1100" s="20">
        <f t="shared" si="238"/>
        <v>3</v>
      </c>
      <c r="L1100" s="20" t="str">
        <f t="shared" si="239"/>
        <v>Se repite 3 veces</v>
      </c>
      <c r="M1100" s="20" t="str">
        <f t="shared" si="240"/>
        <v>Tradiciones Andinas-T.A Pulpa de Guanabana / Soursop Pulpa 14oz x 12</v>
      </c>
      <c r="N1100" s="20">
        <f t="shared" si="241"/>
        <v>3</v>
      </c>
      <c r="O1100" s="20" t="str">
        <f t="shared" si="242"/>
        <v>Se repite 3 veces en Tradiciones Andinas</v>
      </c>
      <c r="P1100" s="20" t="str">
        <f t="shared" si="243"/>
        <v>Tradiciones Andinas-T.A Pulpa de Guanabana / Soursop Pulpa 14oz x 12-28.68</v>
      </c>
      <c r="Q1100" s="20">
        <f t="shared" si="244"/>
        <v>3</v>
      </c>
      <c r="R1100" s="20" t="str">
        <f t="shared" si="245"/>
        <v>Se repite 3 veces el precio de 28.68</v>
      </c>
      <c r="S1100" s="20" t="str">
        <f t="shared" si="246"/>
        <v>El producto T.A Pulpa de Guanabana / Soursop Pulpa 14oz x 12 Se repite 3 veces en Tradiciones Andinas, Se repite 3 veces el precio de 28.68</v>
      </c>
      <c r="T1100" s="20" t="str">
        <f t="shared" si="247"/>
        <v>Tradiciones Andinas</v>
      </c>
      <c r="U1100" s="20" t="str">
        <f t="shared" si="248"/>
        <v>T.A Pulpa de Guanabana / Soursop Pulpa 14oz x 12</v>
      </c>
      <c r="V1100" s="22">
        <f t="shared" si="249"/>
        <v>28.68</v>
      </c>
      <c r="W1100" t="str">
        <f t="shared" si="250"/>
        <v>Tradiciones Andinas 11/28/2025</v>
      </c>
      <c r="Z1100">
        <f t="shared" si="251"/>
        <v>57.36</v>
      </c>
    </row>
    <row r="1101" spans="1:26" hidden="1" x14ac:dyDescent="0.25">
      <c r="A1101" s="2" t="s">
        <v>664</v>
      </c>
      <c r="B1101" s="11" t="s">
        <v>665</v>
      </c>
      <c r="C1101" s="11" t="s">
        <v>4</v>
      </c>
      <c r="D1101" s="11" t="s">
        <v>666</v>
      </c>
      <c r="E1101" s="11" t="s">
        <v>768</v>
      </c>
      <c r="F1101" s="11" t="s">
        <v>769</v>
      </c>
      <c r="G1101" s="12">
        <v>2</v>
      </c>
      <c r="H1101" s="12">
        <v>45.8</v>
      </c>
      <c r="I1101" s="12">
        <v>91.6</v>
      </c>
      <c r="J1101" s="12">
        <v>3101.2799999999997</v>
      </c>
      <c r="K1101" s="20">
        <f t="shared" si="238"/>
        <v>5</v>
      </c>
      <c r="L1101" s="20" t="str">
        <f t="shared" si="239"/>
        <v>Se repite 5 veces</v>
      </c>
      <c r="M1101" s="20" t="str">
        <f t="shared" si="240"/>
        <v>Tradiciones Andinas-T.A Pulpa De Lucuma / Lucuma  Pulp 12oz x 20</v>
      </c>
      <c r="N1101" s="20">
        <f t="shared" si="241"/>
        <v>5</v>
      </c>
      <c r="O1101" s="20" t="str">
        <f t="shared" si="242"/>
        <v>Se repite 5 veces en Tradiciones Andinas</v>
      </c>
      <c r="P1101" s="20" t="str">
        <f t="shared" si="243"/>
        <v>Tradiciones Andinas-T.A Pulpa De Lucuma / Lucuma  Pulp 12oz x 20-45.8</v>
      </c>
      <c r="Q1101" s="20">
        <f t="shared" si="244"/>
        <v>2</v>
      </c>
      <c r="R1101" s="20" t="str">
        <f t="shared" si="245"/>
        <v>Se repite 2 veces el precio de 45.8</v>
      </c>
      <c r="S1101" s="20" t="str">
        <f t="shared" si="246"/>
        <v>El producto T.A Pulpa De Lucuma / Lucuma  Pulp 12oz x 20 Se repite 5 veces en Tradiciones Andinas, Se repite 2 veces el precio de 45.8</v>
      </c>
      <c r="T1101" s="20" t="str">
        <f t="shared" si="247"/>
        <v>Tradiciones Andinas</v>
      </c>
      <c r="U1101" s="20" t="str">
        <f t="shared" si="248"/>
        <v>T.A Pulpa De Lucuma / Lucuma  Pulp 12oz x 20</v>
      </c>
      <c r="V1101" s="22">
        <f t="shared" si="249"/>
        <v>45.8</v>
      </c>
      <c r="W1101" t="str">
        <f t="shared" si="250"/>
        <v>Tradiciones Andinas 03/31/2025</v>
      </c>
      <c r="Z1101">
        <f t="shared" si="251"/>
        <v>91.6</v>
      </c>
    </row>
    <row r="1102" spans="1:26" hidden="1" x14ac:dyDescent="0.25">
      <c r="A1102" s="2" t="s">
        <v>664</v>
      </c>
      <c r="B1102" s="11" t="s">
        <v>398</v>
      </c>
      <c r="C1102" s="11" t="s">
        <v>4</v>
      </c>
      <c r="D1102" s="11" t="s">
        <v>5</v>
      </c>
      <c r="E1102" s="11" t="s">
        <v>768</v>
      </c>
      <c r="F1102" s="11" t="s">
        <v>769</v>
      </c>
      <c r="G1102" s="12">
        <v>1</v>
      </c>
      <c r="H1102" s="12">
        <v>47.8</v>
      </c>
      <c r="I1102" s="12">
        <v>47.8</v>
      </c>
      <c r="J1102" s="12">
        <v>7936.44</v>
      </c>
      <c r="K1102" s="20">
        <f t="shared" si="238"/>
        <v>5</v>
      </c>
      <c r="L1102" s="20" t="str">
        <f t="shared" si="239"/>
        <v>Se repite 5 veces</v>
      </c>
      <c r="M1102" s="20" t="str">
        <f t="shared" si="240"/>
        <v>Tradiciones Andinas-T.A Pulpa De Lucuma / Lucuma  Pulp 12oz x 20</v>
      </c>
      <c r="N1102" s="20">
        <f t="shared" si="241"/>
        <v>5</v>
      </c>
      <c r="O1102" s="20" t="str">
        <f t="shared" si="242"/>
        <v>Se repite 5 veces en Tradiciones Andinas</v>
      </c>
      <c r="P1102" s="20" t="str">
        <f t="shared" si="243"/>
        <v>Tradiciones Andinas-T.A Pulpa De Lucuma / Lucuma  Pulp 12oz x 20-47.8</v>
      </c>
      <c r="Q1102" s="20">
        <f t="shared" si="244"/>
        <v>2</v>
      </c>
      <c r="R1102" s="20" t="str">
        <f t="shared" si="245"/>
        <v>Se repite 2 veces el precio de 47.8</v>
      </c>
      <c r="S1102" s="20" t="str">
        <f t="shared" si="246"/>
        <v>El producto T.A Pulpa De Lucuma / Lucuma  Pulp 12oz x 20 Se repite 5 veces en Tradiciones Andinas, Se repite 2 veces el precio de 47.8</v>
      </c>
      <c r="T1102" s="20" t="str">
        <f t="shared" si="247"/>
        <v>Tradiciones Andinas</v>
      </c>
      <c r="U1102" s="20" t="str">
        <f t="shared" si="248"/>
        <v>T.A Pulpa De Lucuma / Lucuma  Pulp 12oz x 20</v>
      </c>
      <c r="V1102" s="22">
        <f t="shared" si="249"/>
        <v>47.8</v>
      </c>
      <c r="W1102" t="str">
        <f t="shared" si="250"/>
        <v>Tradiciones Andinas 04/10/2025</v>
      </c>
      <c r="Z1102">
        <f t="shared" si="251"/>
        <v>47.8</v>
      </c>
    </row>
    <row r="1103" spans="1:26" hidden="1" x14ac:dyDescent="0.25">
      <c r="A1103" s="2" t="s">
        <v>664</v>
      </c>
      <c r="B1103" s="11" t="s">
        <v>821</v>
      </c>
      <c r="C1103" s="11" t="s">
        <v>4</v>
      </c>
      <c r="D1103" s="11" t="s">
        <v>822</v>
      </c>
      <c r="E1103" s="11" t="s">
        <v>768</v>
      </c>
      <c r="F1103" s="11" t="s">
        <v>769</v>
      </c>
      <c r="G1103" s="12">
        <v>1</v>
      </c>
      <c r="H1103" s="12">
        <v>47.8</v>
      </c>
      <c r="I1103" s="12">
        <v>47.8</v>
      </c>
      <c r="J1103" s="12">
        <v>23765.74</v>
      </c>
      <c r="K1103" s="20">
        <f t="shared" si="238"/>
        <v>5</v>
      </c>
      <c r="L1103" s="20" t="str">
        <f t="shared" si="239"/>
        <v>Se repite 5 veces</v>
      </c>
      <c r="M1103" s="20" t="str">
        <f t="shared" si="240"/>
        <v>Tradiciones Andinas-T.A Pulpa De Lucuma / Lucuma  Pulp 12oz x 20</v>
      </c>
      <c r="N1103" s="20">
        <f t="shared" si="241"/>
        <v>5</v>
      </c>
      <c r="O1103" s="20" t="str">
        <f t="shared" si="242"/>
        <v>Se repite 5 veces en Tradiciones Andinas</v>
      </c>
      <c r="P1103" s="20" t="str">
        <f t="shared" si="243"/>
        <v>Tradiciones Andinas-T.A Pulpa De Lucuma / Lucuma  Pulp 12oz x 20-47.8</v>
      </c>
      <c r="Q1103" s="20">
        <f t="shared" si="244"/>
        <v>2</v>
      </c>
      <c r="R1103" s="20" t="str">
        <f t="shared" si="245"/>
        <v>Se repite 2 veces el precio de 47.8</v>
      </c>
      <c r="S1103" s="20" t="str">
        <f t="shared" si="246"/>
        <v>El producto T.A Pulpa De Lucuma / Lucuma  Pulp 12oz x 20 Se repite 5 veces en Tradiciones Andinas, Se repite 2 veces el precio de 47.8</v>
      </c>
      <c r="T1103" s="20" t="str">
        <f t="shared" si="247"/>
        <v>Tradiciones Andinas</v>
      </c>
      <c r="U1103" s="20" t="str">
        <f t="shared" si="248"/>
        <v>T.A Pulpa De Lucuma / Lucuma  Pulp 12oz x 20</v>
      </c>
      <c r="V1103" s="22">
        <f t="shared" si="249"/>
        <v>47.8</v>
      </c>
      <c r="W1103" t="str">
        <f t="shared" si="250"/>
        <v>Tradiciones Andinas 04/25/2025</v>
      </c>
      <c r="Z1103">
        <f t="shared" si="251"/>
        <v>47.8</v>
      </c>
    </row>
    <row r="1104" spans="1:26" hidden="1" x14ac:dyDescent="0.25">
      <c r="A1104" s="2" t="s">
        <v>664</v>
      </c>
      <c r="B1104" s="11" t="s">
        <v>654</v>
      </c>
      <c r="C1104" s="11" t="s">
        <v>4</v>
      </c>
      <c r="D1104" s="11" t="s">
        <v>940</v>
      </c>
      <c r="E1104" s="11" t="s">
        <v>768</v>
      </c>
      <c r="F1104" s="11" t="s">
        <v>980</v>
      </c>
      <c r="G1104" s="12">
        <v>6</v>
      </c>
      <c r="H1104" s="12">
        <v>51.15</v>
      </c>
      <c r="I1104" s="12">
        <v>306.89999999999998</v>
      </c>
      <c r="J1104" s="12">
        <v>34391.540000000008</v>
      </c>
      <c r="K1104" s="20">
        <f t="shared" si="238"/>
        <v>5</v>
      </c>
      <c r="L1104" s="20" t="str">
        <f t="shared" si="239"/>
        <v>Se repite 5 veces</v>
      </c>
      <c r="M1104" s="20" t="str">
        <f t="shared" si="240"/>
        <v>Tradiciones Andinas-T.A Pulpa De Lucuma / Lucuma  Pulp 12oz x 20</v>
      </c>
      <c r="N1104" s="20">
        <f t="shared" si="241"/>
        <v>5</v>
      </c>
      <c r="O1104" s="20" t="str">
        <f t="shared" si="242"/>
        <v>Se repite 5 veces en Tradiciones Andinas</v>
      </c>
      <c r="P1104" s="20" t="str">
        <f t="shared" si="243"/>
        <v>Tradiciones Andinas-T.A Pulpa De Lucuma / Lucuma  Pulp 12oz x 20-51.15</v>
      </c>
      <c r="Q1104" s="20">
        <f t="shared" si="244"/>
        <v>1</v>
      </c>
      <c r="R1104" s="20" t="str">
        <f t="shared" si="245"/>
        <v>No se repite</v>
      </c>
      <c r="S1104" s="20" t="str">
        <f t="shared" si="246"/>
        <v>El producto T.A Pulpa De Lucuma / Lucuma  Pulp 12oz x 20 Se repite 5 veces en Tradiciones Andinas Una vez con el precio 51.15</v>
      </c>
      <c r="T1104" s="20" t="str">
        <f t="shared" si="247"/>
        <v>Tradiciones Andinas</v>
      </c>
      <c r="U1104" s="20" t="str">
        <f t="shared" si="248"/>
        <v>T.A Pulpa De Lucuma / Lucuma  Pulp 12oz x 20</v>
      </c>
      <c r="V1104" s="22">
        <f t="shared" si="249"/>
        <v>51.15</v>
      </c>
      <c r="W1104" t="str">
        <f t="shared" si="250"/>
        <v>Tradiciones Andinas 05/19/2025</v>
      </c>
      <c r="Z1104">
        <f t="shared" si="251"/>
        <v>306.89999999999998</v>
      </c>
    </row>
    <row r="1105" spans="1:26" hidden="1" x14ac:dyDescent="0.25">
      <c r="A1105" s="2" t="s">
        <v>664</v>
      </c>
      <c r="B1105" s="11" t="s">
        <v>1092</v>
      </c>
      <c r="C1105" s="11" t="s">
        <v>4</v>
      </c>
      <c r="D1105" s="11" t="s">
        <v>1093</v>
      </c>
      <c r="E1105" s="11" t="s">
        <v>768</v>
      </c>
      <c r="F1105" s="11" t="s">
        <v>980</v>
      </c>
      <c r="G1105" s="12">
        <v>5</v>
      </c>
      <c r="H1105" s="12">
        <v>45.8</v>
      </c>
      <c r="I1105" s="12">
        <v>229</v>
      </c>
      <c r="J1105" s="12">
        <v>67039.539999999979</v>
      </c>
      <c r="K1105" s="20">
        <f t="shared" si="238"/>
        <v>5</v>
      </c>
      <c r="L1105" s="20" t="str">
        <f t="shared" si="239"/>
        <v>Se repite 5 veces</v>
      </c>
      <c r="M1105" s="20" t="str">
        <f t="shared" si="240"/>
        <v>Tradiciones Andinas-T.A Pulpa De Lucuma / Lucuma  Pulp 12oz x 20</v>
      </c>
      <c r="N1105" s="20">
        <f t="shared" si="241"/>
        <v>5</v>
      </c>
      <c r="O1105" s="20" t="str">
        <f t="shared" si="242"/>
        <v>Se repite 5 veces en Tradiciones Andinas</v>
      </c>
      <c r="P1105" s="20" t="str">
        <f t="shared" si="243"/>
        <v>Tradiciones Andinas-T.A Pulpa De Lucuma / Lucuma  Pulp 12oz x 20-45.8</v>
      </c>
      <c r="Q1105" s="20">
        <f t="shared" si="244"/>
        <v>2</v>
      </c>
      <c r="R1105" s="20" t="str">
        <f t="shared" si="245"/>
        <v>Se repite 2 veces el precio de 45.8</v>
      </c>
      <c r="S1105" s="20" t="str">
        <f t="shared" si="246"/>
        <v>El producto T.A Pulpa De Lucuma / Lucuma  Pulp 12oz x 20 Se repite 5 veces en Tradiciones Andinas, Se repite 2 veces el precio de 45.8</v>
      </c>
      <c r="T1105" s="20" t="str">
        <f t="shared" si="247"/>
        <v>Tradiciones Andinas</v>
      </c>
      <c r="U1105" s="20" t="str">
        <f t="shared" si="248"/>
        <v>T.A Pulpa De Lucuma / Lucuma  Pulp 12oz x 20</v>
      </c>
      <c r="V1105" s="22">
        <f t="shared" si="249"/>
        <v>45.8</v>
      </c>
      <c r="W1105" t="str">
        <f t="shared" si="250"/>
        <v>Tradiciones Andinas 07/21/2025</v>
      </c>
      <c r="Z1105">
        <f t="shared" si="251"/>
        <v>229</v>
      </c>
    </row>
    <row r="1106" spans="1:26" hidden="1" x14ac:dyDescent="0.25">
      <c r="A1106" s="2" t="s">
        <v>664</v>
      </c>
      <c r="B1106" s="11" t="s">
        <v>665</v>
      </c>
      <c r="C1106" s="11" t="s">
        <v>4</v>
      </c>
      <c r="D1106" s="11" t="s">
        <v>666</v>
      </c>
      <c r="E1106" s="11" t="s">
        <v>774</v>
      </c>
      <c r="F1106" s="11" t="s">
        <v>775</v>
      </c>
      <c r="G1106" s="12">
        <v>3</v>
      </c>
      <c r="H1106" s="12">
        <v>25.08</v>
      </c>
      <c r="I1106" s="12">
        <v>75.239999999999995</v>
      </c>
      <c r="J1106" s="12">
        <v>3292.5199999999995</v>
      </c>
      <c r="K1106" s="20">
        <f t="shared" si="238"/>
        <v>6</v>
      </c>
      <c r="L1106" s="20" t="str">
        <f t="shared" si="239"/>
        <v>Se repite 6 veces</v>
      </c>
      <c r="M1106" s="20" t="str">
        <f t="shared" si="240"/>
        <v>Tradiciones Andinas-T.A Pulpa de Maracuya / Passion Fruit pulp14oz x 12 FROZEN</v>
      </c>
      <c r="N1106" s="20">
        <f t="shared" si="241"/>
        <v>6</v>
      </c>
      <c r="O1106" s="20" t="str">
        <f t="shared" si="242"/>
        <v>Se repite 6 veces en Tradiciones Andinas</v>
      </c>
      <c r="P1106" s="20" t="str">
        <f t="shared" si="243"/>
        <v>Tradiciones Andinas-T.A Pulpa de Maracuya / Passion Fruit pulp14oz x 12 FROZEN-25.08</v>
      </c>
      <c r="Q1106" s="20">
        <f t="shared" si="244"/>
        <v>2</v>
      </c>
      <c r="R1106" s="20" t="str">
        <f t="shared" si="245"/>
        <v>Se repite 2 veces el precio de 25.08</v>
      </c>
      <c r="S1106" s="20" t="str">
        <f t="shared" si="246"/>
        <v>El producto T.A Pulpa de Maracuya / Passion Fruit pulp14oz x 12 FROZEN Se repite 6 veces en Tradiciones Andinas, Se repite 2 veces el precio de 25.08</v>
      </c>
      <c r="T1106" s="20" t="str">
        <f t="shared" si="247"/>
        <v>Tradiciones Andinas</v>
      </c>
      <c r="U1106" s="20" t="str">
        <f t="shared" si="248"/>
        <v>T.A Pulpa de Maracuya / Passion Fruit pulp14oz x 12 FROZEN</v>
      </c>
      <c r="V1106" s="22">
        <f t="shared" si="249"/>
        <v>25.08</v>
      </c>
      <c r="W1106" t="str">
        <f t="shared" si="250"/>
        <v>Tradiciones Andinas 03/31/2025</v>
      </c>
      <c r="Z1106">
        <f t="shared" si="251"/>
        <v>75.239999999999995</v>
      </c>
    </row>
    <row r="1107" spans="1:26" hidden="1" x14ac:dyDescent="0.25">
      <c r="A1107" s="2" t="s">
        <v>664</v>
      </c>
      <c r="B1107" s="11" t="s">
        <v>398</v>
      </c>
      <c r="C1107" s="11" t="s">
        <v>4</v>
      </c>
      <c r="D1107" s="11" t="s">
        <v>5</v>
      </c>
      <c r="E1107" s="11" t="s">
        <v>774</v>
      </c>
      <c r="F1107" s="11" t="s">
        <v>775</v>
      </c>
      <c r="G1107" s="12">
        <v>2</v>
      </c>
      <c r="H1107" s="12">
        <v>25.08</v>
      </c>
      <c r="I1107" s="12">
        <v>50.16</v>
      </c>
      <c r="J1107" s="12">
        <v>8091.5999999999995</v>
      </c>
      <c r="K1107" s="20">
        <f t="shared" si="238"/>
        <v>6</v>
      </c>
      <c r="L1107" s="20" t="str">
        <f t="shared" si="239"/>
        <v>Se repite 6 veces</v>
      </c>
      <c r="M1107" s="20" t="str">
        <f t="shared" si="240"/>
        <v>Tradiciones Andinas-T.A Pulpa de Maracuya / Passion Fruit pulp14oz x 12 FROZEN</v>
      </c>
      <c r="N1107" s="20">
        <f t="shared" si="241"/>
        <v>6</v>
      </c>
      <c r="O1107" s="20" t="str">
        <f t="shared" si="242"/>
        <v>Se repite 6 veces en Tradiciones Andinas</v>
      </c>
      <c r="P1107" s="20" t="str">
        <f t="shared" si="243"/>
        <v>Tradiciones Andinas-T.A Pulpa de Maracuya / Passion Fruit pulp14oz x 12 FROZEN-25.08</v>
      </c>
      <c r="Q1107" s="20">
        <f t="shared" si="244"/>
        <v>2</v>
      </c>
      <c r="R1107" s="20" t="str">
        <f t="shared" si="245"/>
        <v>Se repite 2 veces el precio de 25.08</v>
      </c>
      <c r="S1107" s="20" t="str">
        <f t="shared" si="246"/>
        <v>El producto T.A Pulpa de Maracuya / Passion Fruit pulp14oz x 12 FROZEN Se repite 6 veces en Tradiciones Andinas, Se repite 2 veces el precio de 25.08</v>
      </c>
      <c r="T1107" s="20" t="str">
        <f t="shared" si="247"/>
        <v>Tradiciones Andinas</v>
      </c>
      <c r="U1107" s="20" t="str">
        <f t="shared" si="248"/>
        <v>T.A Pulpa de Maracuya / Passion Fruit pulp14oz x 12 FROZEN</v>
      </c>
      <c r="V1107" s="22">
        <f t="shared" si="249"/>
        <v>25.08</v>
      </c>
      <c r="W1107" t="str">
        <f t="shared" si="250"/>
        <v>Tradiciones Andinas 04/10/2025</v>
      </c>
      <c r="Z1107">
        <f t="shared" si="251"/>
        <v>50.16</v>
      </c>
    </row>
    <row r="1108" spans="1:26" hidden="1" x14ac:dyDescent="0.25">
      <c r="A1108" s="2" t="s">
        <v>664</v>
      </c>
      <c r="B1108" s="11" t="s">
        <v>654</v>
      </c>
      <c r="C1108" s="11" t="s">
        <v>4</v>
      </c>
      <c r="D1108" s="11" t="s">
        <v>940</v>
      </c>
      <c r="E1108" s="11" t="s">
        <v>774</v>
      </c>
      <c r="F1108" s="11" t="s">
        <v>981</v>
      </c>
      <c r="G1108" s="12">
        <v>5</v>
      </c>
      <c r="H1108" s="12">
        <v>26.84</v>
      </c>
      <c r="I1108" s="12">
        <v>134.19999999999999</v>
      </c>
      <c r="J1108" s="12">
        <v>34525.740000000005</v>
      </c>
      <c r="K1108" s="20">
        <f t="shared" si="238"/>
        <v>6</v>
      </c>
      <c r="L1108" s="20" t="str">
        <f t="shared" si="239"/>
        <v>Se repite 6 veces</v>
      </c>
      <c r="M1108" s="20" t="str">
        <f t="shared" si="240"/>
        <v>Tradiciones Andinas-T.A Pulpa de Maracuya / Passion Fruit pulp14oz x 12 FROZEN</v>
      </c>
      <c r="N1108" s="20">
        <f t="shared" si="241"/>
        <v>6</v>
      </c>
      <c r="O1108" s="20" t="str">
        <f t="shared" si="242"/>
        <v>Se repite 6 veces en Tradiciones Andinas</v>
      </c>
      <c r="P1108" s="20" t="str">
        <f t="shared" si="243"/>
        <v>Tradiciones Andinas-T.A Pulpa de Maracuya / Passion Fruit pulp14oz x 12 FROZEN-26.84</v>
      </c>
      <c r="Q1108" s="20">
        <f t="shared" si="244"/>
        <v>3</v>
      </c>
      <c r="R1108" s="20" t="str">
        <f t="shared" si="245"/>
        <v>Se repite 3 veces el precio de 26.84</v>
      </c>
      <c r="S1108" s="20" t="str">
        <f t="shared" si="246"/>
        <v>El producto T.A Pulpa de Maracuya / Passion Fruit pulp14oz x 12 FROZEN Se repite 6 veces en Tradiciones Andinas, Se repite 3 veces el precio de 26.84</v>
      </c>
      <c r="T1108" s="20" t="str">
        <f t="shared" si="247"/>
        <v>Tradiciones Andinas</v>
      </c>
      <c r="U1108" s="20" t="str">
        <f t="shared" si="248"/>
        <v>T.A Pulpa de Maracuya / Passion Fruit pulp14oz x 12 FROZEN</v>
      </c>
      <c r="V1108" s="22">
        <f t="shared" si="249"/>
        <v>26.84</v>
      </c>
      <c r="W1108" t="str">
        <f t="shared" si="250"/>
        <v>Tradiciones Andinas 05/19/2025</v>
      </c>
      <c r="Z1108">
        <f t="shared" si="251"/>
        <v>134.19999999999999</v>
      </c>
    </row>
    <row r="1109" spans="1:26" hidden="1" x14ac:dyDescent="0.25">
      <c r="A1109" s="2" t="s">
        <v>664</v>
      </c>
      <c r="B1109" s="11" t="s">
        <v>158</v>
      </c>
      <c r="C1109" s="11" t="s">
        <v>4</v>
      </c>
      <c r="D1109" s="11" t="s">
        <v>984</v>
      </c>
      <c r="E1109" s="11" t="s">
        <v>774</v>
      </c>
      <c r="F1109" s="11" t="s">
        <v>981</v>
      </c>
      <c r="G1109" s="12">
        <v>10</v>
      </c>
      <c r="H1109" s="12">
        <v>26.84</v>
      </c>
      <c r="I1109" s="12">
        <v>268.39999999999998</v>
      </c>
      <c r="J1109" s="12">
        <v>43644.659999999996</v>
      </c>
      <c r="K1109" s="20">
        <f t="shared" si="238"/>
        <v>6</v>
      </c>
      <c r="L1109" s="20" t="str">
        <f t="shared" si="239"/>
        <v>Se repite 6 veces</v>
      </c>
      <c r="M1109" s="20" t="str">
        <f t="shared" si="240"/>
        <v>Tradiciones Andinas-T.A Pulpa de Maracuya / Passion Fruit pulp14oz x 12 FROZEN</v>
      </c>
      <c r="N1109" s="20">
        <f t="shared" si="241"/>
        <v>6</v>
      </c>
      <c r="O1109" s="20" t="str">
        <f t="shared" si="242"/>
        <v>Se repite 6 veces en Tradiciones Andinas</v>
      </c>
      <c r="P1109" s="20" t="str">
        <f t="shared" si="243"/>
        <v>Tradiciones Andinas-T.A Pulpa de Maracuya / Passion Fruit pulp14oz x 12 FROZEN-26.84</v>
      </c>
      <c r="Q1109" s="20">
        <f t="shared" si="244"/>
        <v>3</v>
      </c>
      <c r="R1109" s="20" t="str">
        <f t="shared" si="245"/>
        <v>Se repite 3 veces el precio de 26.84</v>
      </c>
      <c r="S1109" s="20" t="str">
        <f t="shared" si="246"/>
        <v>El producto T.A Pulpa de Maracuya / Passion Fruit pulp14oz x 12 FROZEN Se repite 6 veces en Tradiciones Andinas, Se repite 3 veces el precio de 26.84</v>
      </c>
      <c r="T1109" s="20" t="str">
        <f t="shared" si="247"/>
        <v>Tradiciones Andinas</v>
      </c>
      <c r="U1109" s="20" t="str">
        <f t="shared" si="248"/>
        <v>T.A Pulpa de Maracuya / Passion Fruit pulp14oz x 12 FROZEN</v>
      </c>
      <c r="V1109" s="22">
        <f t="shared" si="249"/>
        <v>26.84</v>
      </c>
      <c r="W1109" t="str">
        <f t="shared" si="250"/>
        <v>Tradiciones Andinas 06/12/2025</v>
      </c>
      <c r="Z1109">
        <f t="shared" si="251"/>
        <v>268.39999999999998</v>
      </c>
    </row>
    <row r="1110" spans="1:26" hidden="1" x14ac:dyDescent="0.25">
      <c r="A1110" s="2" t="s">
        <v>664</v>
      </c>
      <c r="B1110" s="11" t="s">
        <v>1125</v>
      </c>
      <c r="C1110" s="11" t="s">
        <v>4</v>
      </c>
      <c r="D1110" s="11" t="s">
        <v>1126</v>
      </c>
      <c r="E1110" s="11" t="s">
        <v>774</v>
      </c>
      <c r="F1110" s="11" t="s">
        <v>981</v>
      </c>
      <c r="G1110" s="12">
        <v>5</v>
      </c>
      <c r="H1110" s="12">
        <v>26.4</v>
      </c>
      <c r="I1110" s="12">
        <v>132</v>
      </c>
      <c r="J1110" s="12">
        <v>73047.560000000012</v>
      </c>
      <c r="K1110" s="20">
        <f t="shared" si="238"/>
        <v>6</v>
      </c>
      <c r="L1110" s="20" t="str">
        <f t="shared" si="239"/>
        <v>Se repite 6 veces</v>
      </c>
      <c r="M1110" s="20" t="str">
        <f t="shared" si="240"/>
        <v>Tradiciones Andinas-T.A Pulpa de Maracuya / Passion Fruit pulp14oz x 12 FROZEN</v>
      </c>
      <c r="N1110" s="20">
        <f t="shared" si="241"/>
        <v>6</v>
      </c>
      <c r="O1110" s="20" t="str">
        <f t="shared" si="242"/>
        <v>Se repite 6 veces en Tradiciones Andinas</v>
      </c>
      <c r="P1110" s="20" t="str">
        <f t="shared" si="243"/>
        <v>Tradiciones Andinas-T.A Pulpa de Maracuya / Passion Fruit pulp14oz x 12 FROZEN-26.4</v>
      </c>
      <c r="Q1110" s="20">
        <f t="shared" si="244"/>
        <v>1</v>
      </c>
      <c r="R1110" s="20" t="str">
        <f t="shared" si="245"/>
        <v>No se repite</v>
      </c>
      <c r="S1110" s="20" t="str">
        <f t="shared" si="246"/>
        <v>El producto T.A Pulpa de Maracuya / Passion Fruit pulp14oz x 12 FROZEN Se repite 6 veces en Tradiciones Andinas Una vez con el precio 26.4</v>
      </c>
      <c r="T1110" s="20" t="str">
        <f t="shared" si="247"/>
        <v>Tradiciones Andinas</v>
      </c>
      <c r="U1110" s="20" t="str">
        <f t="shared" si="248"/>
        <v>T.A Pulpa de Maracuya / Passion Fruit pulp14oz x 12 FROZEN</v>
      </c>
      <c r="V1110" s="22">
        <f t="shared" si="249"/>
        <v>26.4</v>
      </c>
      <c r="W1110" t="str">
        <f t="shared" si="250"/>
        <v>Tradiciones Andinas 08/18/2025</v>
      </c>
      <c r="Z1110">
        <f t="shared" si="251"/>
        <v>132</v>
      </c>
    </row>
    <row r="1111" spans="1:26" hidden="1" x14ac:dyDescent="0.25">
      <c r="A1111" s="2" t="s">
        <v>664</v>
      </c>
      <c r="B1111" s="11" t="s">
        <v>1207</v>
      </c>
      <c r="C1111" s="11" t="s">
        <v>4</v>
      </c>
      <c r="D1111" s="11" t="s">
        <v>1208</v>
      </c>
      <c r="E1111" s="11" t="s">
        <v>774</v>
      </c>
      <c r="F1111" s="11" t="s">
        <v>981</v>
      </c>
      <c r="G1111" s="12">
        <v>5</v>
      </c>
      <c r="H1111" s="12">
        <v>26.84</v>
      </c>
      <c r="I1111" s="12">
        <v>134.19999999999999</v>
      </c>
      <c r="J1111" s="12">
        <v>115874.73999999987</v>
      </c>
      <c r="K1111" s="20">
        <f t="shared" si="238"/>
        <v>6</v>
      </c>
      <c r="L1111" s="20" t="str">
        <f t="shared" si="239"/>
        <v>Se repite 6 veces</v>
      </c>
      <c r="M1111" s="20" t="str">
        <f t="shared" si="240"/>
        <v>Tradiciones Andinas-T.A Pulpa de Maracuya / Passion Fruit pulp14oz x 12 FROZEN</v>
      </c>
      <c r="N1111" s="20">
        <f t="shared" si="241"/>
        <v>6</v>
      </c>
      <c r="O1111" s="20" t="str">
        <f t="shared" si="242"/>
        <v>Se repite 6 veces en Tradiciones Andinas</v>
      </c>
      <c r="P1111" s="20" t="str">
        <f t="shared" si="243"/>
        <v>Tradiciones Andinas-T.A Pulpa de Maracuya / Passion Fruit pulp14oz x 12 FROZEN-26.84</v>
      </c>
      <c r="Q1111" s="20">
        <f t="shared" si="244"/>
        <v>3</v>
      </c>
      <c r="R1111" s="20" t="str">
        <f t="shared" si="245"/>
        <v>Se repite 3 veces el precio de 26.84</v>
      </c>
      <c r="S1111" s="20" t="str">
        <f t="shared" si="246"/>
        <v>El producto T.A Pulpa de Maracuya / Passion Fruit pulp14oz x 12 FROZEN Se repite 6 veces en Tradiciones Andinas, Se repite 3 veces el precio de 26.84</v>
      </c>
      <c r="T1111" s="20" t="str">
        <f t="shared" si="247"/>
        <v>Tradiciones Andinas</v>
      </c>
      <c r="U1111" s="20" t="str">
        <f t="shared" si="248"/>
        <v>T.A Pulpa de Maracuya / Passion Fruit pulp14oz x 12 FROZEN</v>
      </c>
      <c r="V1111" s="22">
        <f t="shared" si="249"/>
        <v>26.84</v>
      </c>
      <c r="W1111" t="str">
        <f t="shared" si="250"/>
        <v>Tradiciones Andinas 11/28/2025</v>
      </c>
      <c r="Z1111">
        <f t="shared" si="251"/>
        <v>134.19999999999999</v>
      </c>
    </row>
    <row r="1112" spans="1:26" hidden="1" x14ac:dyDescent="0.25">
      <c r="A1112" s="2" t="s">
        <v>664</v>
      </c>
      <c r="B1112" s="11" t="s">
        <v>1125</v>
      </c>
      <c r="C1112" s="11" t="s">
        <v>4</v>
      </c>
      <c r="D1112" s="11" t="s">
        <v>1126</v>
      </c>
      <c r="E1112" s="11" t="s">
        <v>1151</v>
      </c>
      <c r="F1112" s="11" t="s">
        <v>1152</v>
      </c>
      <c r="G1112" s="12">
        <v>6</v>
      </c>
      <c r="H1112" s="12">
        <v>26.84</v>
      </c>
      <c r="I1112" s="12">
        <v>161.04</v>
      </c>
      <c r="J1112" s="12">
        <v>74312.600000000006</v>
      </c>
      <c r="K1112" s="20">
        <f t="shared" si="238"/>
        <v>3</v>
      </c>
      <c r="L1112" s="20" t="str">
        <f t="shared" si="239"/>
        <v>Se repite 3 veces</v>
      </c>
      <c r="M1112" s="20" t="str">
        <f t="shared" si="240"/>
        <v>Tradiciones Andinas-T.A Pulpa de Maracuya con pepas / Passion fruit pulp with Seeds</v>
      </c>
      <c r="N1112" s="20">
        <f t="shared" si="241"/>
        <v>3</v>
      </c>
      <c r="O1112" s="20" t="str">
        <f t="shared" si="242"/>
        <v>Se repite 3 veces en Tradiciones Andinas</v>
      </c>
      <c r="P1112" s="20" t="str">
        <f t="shared" si="243"/>
        <v>Tradiciones Andinas-T.A Pulpa de Maracuya con pepas / Passion fruit pulp with Seeds-26.84</v>
      </c>
      <c r="Q1112" s="20">
        <f t="shared" si="244"/>
        <v>3</v>
      </c>
      <c r="R1112" s="20" t="str">
        <f t="shared" si="245"/>
        <v>Se repite 3 veces el precio de 26.84</v>
      </c>
      <c r="S1112" s="20" t="str">
        <f t="shared" si="246"/>
        <v>El producto T.A Pulpa de Maracuya con pepas / Passion fruit pulp with Seeds Se repite 3 veces en Tradiciones Andinas, Se repite 3 veces el precio de 26.84</v>
      </c>
      <c r="T1112" s="20" t="str">
        <f t="shared" si="247"/>
        <v>Tradiciones Andinas</v>
      </c>
      <c r="U1112" s="20" t="str">
        <f t="shared" si="248"/>
        <v>T.A Pulpa de Maracuya con pepas / Passion fruit pulp with Seeds</v>
      </c>
      <c r="V1112" s="22">
        <f t="shared" si="249"/>
        <v>26.84</v>
      </c>
      <c r="W1112" t="str">
        <f t="shared" si="250"/>
        <v>Tradiciones Andinas 08/18/2025</v>
      </c>
      <c r="Z1112">
        <f t="shared" si="251"/>
        <v>161.04</v>
      </c>
    </row>
    <row r="1113" spans="1:26" hidden="1" x14ac:dyDescent="0.25">
      <c r="A1113" s="2" t="s">
        <v>664</v>
      </c>
      <c r="B1113" s="11" t="s">
        <v>1153</v>
      </c>
      <c r="C1113" s="11" t="s">
        <v>4</v>
      </c>
      <c r="D1113" s="11" t="s">
        <v>1154</v>
      </c>
      <c r="E1113" s="11" t="s">
        <v>1151</v>
      </c>
      <c r="F1113" s="11" t="s">
        <v>1174</v>
      </c>
      <c r="G1113" s="12">
        <v>10</v>
      </c>
      <c r="H1113" s="12">
        <v>26.84</v>
      </c>
      <c r="I1113" s="12">
        <v>268.39999999999998</v>
      </c>
      <c r="J1113" s="12">
        <v>89625.789999999935</v>
      </c>
      <c r="K1113" s="20">
        <f t="shared" si="238"/>
        <v>3</v>
      </c>
      <c r="L1113" s="20" t="str">
        <f t="shared" si="239"/>
        <v>Se repite 3 veces</v>
      </c>
      <c r="M1113" s="20" t="str">
        <f t="shared" si="240"/>
        <v>Tradiciones Andinas-T.A Pulpa de Maracuya con pepas / Passion fruit pulp with Seeds</v>
      </c>
      <c r="N1113" s="20">
        <f t="shared" si="241"/>
        <v>3</v>
      </c>
      <c r="O1113" s="20" t="str">
        <f t="shared" si="242"/>
        <v>Se repite 3 veces en Tradiciones Andinas</v>
      </c>
      <c r="P1113" s="20" t="str">
        <f t="shared" si="243"/>
        <v>Tradiciones Andinas-T.A Pulpa de Maracuya con pepas / Passion fruit pulp with Seeds-26.84</v>
      </c>
      <c r="Q1113" s="20">
        <f t="shared" si="244"/>
        <v>3</v>
      </c>
      <c r="R1113" s="20" t="str">
        <f t="shared" si="245"/>
        <v>Se repite 3 veces el precio de 26.84</v>
      </c>
      <c r="S1113" s="20" t="str">
        <f t="shared" si="246"/>
        <v>El producto T.A Pulpa de Maracuya con pepas / Passion fruit pulp with Seeds Se repite 3 veces en Tradiciones Andinas, Se repite 3 veces el precio de 26.84</v>
      </c>
      <c r="T1113" s="20" t="str">
        <f t="shared" si="247"/>
        <v>Tradiciones Andinas</v>
      </c>
      <c r="U1113" s="20" t="str">
        <f t="shared" si="248"/>
        <v>T.A Pulpa de Maracuya con pepas / Passion fruit pulp with Seeds</v>
      </c>
      <c r="V1113" s="22">
        <f t="shared" si="249"/>
        <v>26.84</v>
      </c>
      <c r="W1113" t="str">
        <f t="shared" si="250"/>
        <v>Tradiciones Andinas 09/24/2025</v>
      </c>
      <c r="Z1113">
        <f t="shared" si="251"/>
        <v>268.39999999999998</v>
      </c>
    </row>
    <row r="1114" spans="1:26" hidden="1" x14ac:dyDescent="0.25">
      <c r="A1114" s="2" t="s">
        <v>664</v>
      </c>
      <c r="B1114" s="11" t="s">
        <v>1207</v>
      </c>
      <c r="C1114" s="11" t="s">
        <v>4</v>
      </c>
      <c r="D1114" s="11" t="s">
        <v>1208</v>
      </c>
      <c r="E1114" s="11" t="s">
        <v>1151</v>
      </c>
      <c r="F1114" s="11" t="s">
        <v>1174</v>
      </c>
      <c r="G1114" s="12">
        <v>12</v>
      </c>
      <c r="H1114" s="12">
        <v>26.84</v>
      </c>
      <c r="I1114" s="12">
        <v>322.08</v>
      </c>
      <c r="J1114" s="12">
        <v>116266.81999999988</v>
      </c>
      <c r="K1114" s="20">
        <f t="shared" si="238"/>
        <v>3</v>
      </c>
      <c r="L1114" s="20" t="str">
        <f t="shared" si="239"/>
        <v>Se repite 3 veces</v>
      </c>
      <c r="M1114" s="20" t="str">
        <f t="shared" si="240"/>
        <v>Tradiciones Andinas-T.A Pulpa de Maracuya con pepas / Passion fruit pulp with Seeds</v>
      </c>
      <c r="N1114" s="20">
        <f t="shared" si="241"/>
        <v>3</v>
      </c>
      <c r="O1114" s="20" t="str">
        <f t="shared" si="242"/>
        <v>Se repite 3 veces en Tradiciones Andinas</v>
      </c>
      <c r="P1114" s="20" t="str">
        <f t="shared" si="243"/>
        <v>Tradiciones Andinas-T.A Pulpa de Maracuya con pepas / Passion fruit pulp with Seeds-26.84</v>
      </c>
      <c r="Q1114" s="20">
        <f t="shared" si="244"/>
        <v>3</v>
      </c>
      <c r="R1114" s="20" t="str">
        <f t="shared" si="245"/>
        <v>Se repite 3 veces el precio de 26.84</v>
      </c>
      <c r="S1114" s="20" t="str">
        <f t="shared" si="246"/>
        <v>El producto T.A Pulpa de Maracuya con pepas / Passion fruit pulp with Seeds Se repite 3 veces en Tradiciones Andinas, Se repite 3 veces el precio de 26.84</v>
      </c>
      <c r="T1114" s="20" t="str">
        <f t="shared" si="247"/>
        <v>Tradiciones Andinas</v>
      </c>
      <c r="U1114" s="20" t="str">
        <f t="shared" si="248"/>
        <v>T.A Pulpa de Maracuya con pepas / Passion fruit pulp with Seeds</v>
      </c>
      <c r="V1114" s="22">
        <f t="shared" si="249"/>
        <v>26.84</v>
      </c>
      <c r="W1114" t="str">
        <f t="shared" si="250"/>
        <v>Tradiciones Andinas 11/28/2025</v>
      </c>
      <c r="Z1114">
        <f t="shared" si="251"/>
        <v>322.08</v>
      </c>
    </row>
    <row r="1115" spans="1:26" hidden="1" x14ac:dyDescent="0.25">
      <c r="A1115" s="2" t="s">
        <v>664</v>
      </c>
      <c r="B1115" s="11" t="s">
        <v>1180</v>
      </c>
      <c r="C1115" s="11" t="s">
        <v>4</v>
      </c>
      <c r="D1115" s="11" t="s">
        <v>1181</v>
      </c>
      <c r="E1115" s="11" t="s">
        <v>1182</v>
      </c>
      <c r="F1115" s="11" t="s">
        <v>1183</v>
      </c>
      <c r="G1115" s="12">
        <v>2</v>
      </c>
      <c r="H1115" s="12">
        <v>38.93</v>
      </c>
      <c r="I1115" s="12">
        <v>77.86</v>
      </c>
      <c r="J1115" s="12">
        <v>95338.749999999942</v>
      </c>
      <c r="K1115" s="20">
        <f t="shared" si="238"/>
        <v>2</v>
      </c>
      <c r="L1115" s="20" t="str">
        <f t="shared" si="239"/>
        <v>Se repite 2 veces</v>
      </c>
      <c r="M1115" s="20" t="str">
        <f t="shared" si="240"/>
        <v>Tradiciones Andinas-T.A Quinoa Blanca  /White  Quinoa</v>
      </c>
      <c r="N1115" s="20">
        <f t="shared" si="241"/>
        <v>2</v>
      </c>
      <c r="O1115" s="20" t="str">
        <f t="shared" si="242"/>
        <v>Se repite 2 veces en Tradiciones Andinas</v>
      </c>
      <c r="P1115" s="20" t="str">
        <f t="shared" si="243"/>
        <v>Tradiciones Andinas-T.A Quinoa Blanca  /White  Quinoa-38.93</v>
      </c>
      <c r="Q1115" s="20">
        <f t="shared" si="244"/>
        <v>2</v>
      </c>
      <c r="R1115" s="20" t="str">
        <f t="shared" si="245"/>
        <v>Se repite 2 veces el precio de 38.93</v>
      </c>
      <c r="S1115" s="20" t="str">
        <f t="shared" si="246"/>
        <v>El producto T.A Quinoa Blanca  /White  Quinoa Se repite 2 veces en Tradiciones Andinas, Se repite 2 veces el precio de 38.93</v>
      </c>
      <c r="T1115" s="20" t="str">
        <f t="shared" si="247"/>
        <v>Tradiciones Andinas</v>
      </c>
      <c r="U1115" s="20" t="str">
        <f t="shared" si="248"/>
        <v>T.A Quinoa Blanca  /White  Quinoa</v>
      </c>
      <c r="V1115" s="22">
        <f t="shared" si="249"/>
        <v>38.93</v>
      </c>
      <c r="W1115" t="str">
        <f t="shared" si="250"/>
        <v>Tradiciones Andinas 10/07/2025</v>
      </c>
      <c r="Z1115">
        <f t="shared" si="251"/>
        <v>77.86</v>
      </c>
    </row>
    <row r="1116" spans="1:26" hidden="1" x14ac:dyDescent="0.25">
      <c r="A1116" s="2" t="s">
        <v>664</v>
      </c>
      <c r="B1116" s="11" t="s">
        <v>1207</v>
      </c>
      <c r="C1116" s="11" t="s">
        <v>4</v>
      </c>
      <c r="D1116" s="11" t="s">
        <v>1208</v>
      </c>
      <c r="E1116" s="11" t="s">
        <v>1182</v>
      </c>
      <c r="F1116" s="11" t="s">
        <v>1183</v>
      </c>
      <c r="G1116" s="12">
        <v>1</v>
      </c>
      <c r="H1116" s="12">
        <v>38.93</v>
      </c>
      <c r="I1116" s="12">
        <v>38.93</v>
      </c>
      <c r="J1116" s="12">
        <v>106474.56999999992</v>
      </c>
      <c r="K1116" s="20">
        <f t="shared" si="238"/>
        <v>2</v>
      </c>
      <c r="L1116" s="20" t="str">
        <f t="shared" si="239"/>
        <v>Se repite 2 veces</v>
      </c>
      <c r="M1116" s="20" t="str">
        <f t="shared" si="240"/>
        <v>Tradiciones Andinas-T.A Quinoa Blanca  /White  Quinoa</v>
      </c>
      <c r="N1116" s="20">
        <f t="shared" si="241"/>
        <v>2</v>
      </c>
      <c r="O1116" s="20" t="str">
        <f t="shared" si="242"/>
        <v>Se repite 2 veces en Tradiciones Andinas</v>
      </c>
      <c r="P1116" s="20" t="str">
        <f t="shared" si="243"/>
        <v>Tradiciones Andinas-T.A Quinoa Blanca  /White  Quinoa-38.93</v>
      </c>
      <c r="Q1116" s="20">
        <f t="shared" si="244"/>
        <v>2</v>
      </c>
      <c r="R1116" s="20" t="str">
        <f t="shared" si="245"/>
        <v>Se repite 2 veces el precio de 38.93</v>
      </c>
      <c r="S1116" s="20" t="str">
        <f t="shared" si="246"/>
        <v>El producto T.A Quinoa Blanca  /White  Quinoa Se repite 2 veces en Tradiciones Andinas, Se repite 2 veces el precio de 38.93</v>
      </c>
      <c r="T1116" s="20" t="str">
        <f t="shared" si="247"/>
        <v>Tradiciones Andinas</v>
      </c>
      <c r="U1116" s="20" t="str">
        <f t="shared" si="248"/>
        <v>T.A Quinoa Blanca  /White  Quinoa</v>
      </c>
      <c r="V1116" s="22">
        <f t="shared" si="249"/>
        <v>38.93</v>
      </c>
      <c r="W1116" t="str">
        <f t="shared" si="250"/>
        <v>Tradiciones Andinas 11/28/2025</v>
      </c>
      <c r="Z1116">
        <f t="shared" si="251"/>
        <v>38.93</v>
      </c>
    </row>
    <row r="1117" spans="1:26" hidden="1" x14ac:dyDescent="0.25">
      <c r="A1117" s="2" t="s">
        <v>664</v>
      </c>
      <c r="B1117" s="11" t="s">
        <v>398</v>
      </c>
      <c r="C1117" s="11" t="s">
        <v>4</v>
      </c>
      <c r="D1117" s="11" t="s">
        <v>5</v>
      </c>
      <c r="E1117" s="11" t="s">
        <v>780</v>
      </c>
      <c r="F1117" s="11" t="s">
        <v>781</v>
      </c>
      <c r="G1117" s="12">
        <v>2</v>
      </c>
      <c r="H1117" s="12">
        <v>22.68</v>
      </c>
      <c r="I1117" s="12">
        <v>45.36</v>
      </c>
      <c r="J1117" s="12">
        <v>5018.8599999999997</v>
      </c>
      <c r="K1117" s="20">
        <f t="shared" si="238"/>
        <v>3</v>
      </c>
      <c r="L1117" s="20" t="str">
        <f t="shared" si="239"/>
        <v>Se repite 3 veces</v>
      </c>
      <c r="M1117" s="20" t="str">
        <f t="shared" si="240"/>
        <v>Tradiciones Andinas-T.A Quinoa Negra  / Black  Quinoa14oz x 12</v>
      </c>
      <c r="N1117" s="20">
        <f t="shared" si="241"/>
        <v>3</v>
      </c>
      <c r="O1117" s="20" t="str">
        <f t="shared" si="242"/>
        <v>Se repite 3 veces en Tradiciones Andinas</v>
      </c>
      <c r="P1117" s="20" t="str">
        <f t="shared" si="243"/>
        <v>Tradiciones Andinas-T.A Quinoa Negra  / Black  Quinoa14oz x 12-22.68</v>
      </c>
      <c r="Q1117" s="20">
        <f t="shared" si="244"/>
        <v>3</v>
      </c>
      <c r="R1117" s="20" t="str">
        <f t="shared" si="245"/>
        <v>Se repite 3 veces el precio de 22.68</v>
      </c>
      <c r="S1117" s="20" t="str">
        <f t="shared" si="246"/>
        <v>El producto T.A Quinoa Negra  / Black  Quinoa14oz x 12 Se repite 3 veces en Tradiciones Andinas, Se repite 3 veces el precio de 22.68</v>
      </c>
      <c r="T1117" s="20" t="str">
        <f t="shared" si="247"/>
        <v>Tradiciones Andinas</v>
      </c>
      <c r="U1117" s="20" t="str">
        <f t="shared" si="248"/>
        <v>T.A Quinoa Negra  / Black  Quinoa14oz x 12</v>
      </c>
      <c r="V1117" s="22">
        <f t="shared" si="249"/>
        <v>22.68</v>
      </c>
      <c r="W1117" t="str">
        <f t="shared" si="250"/>
        <v>Tradiciones Andinas 04/10/2025</v>
      </c>
      <c r="Z1117">
        <f t="shared" si="251"/>
        <v>45.36</v>
      </c>
    </row>
    <row r="1118" spans="1:26" hidden="1" x14ac:dyDescent="0.25">
      <c r="A1118" s="2" t="s">
        <v>664</v>
      </c>
      <c r="B1118" s="11" t="s">
        <v>821</v>
      </c>
      <c r="C1118" s="11" t="s">
        <v>4</v>
      </c>
      <c r="D1118" s="11" t="s">
        <v>822</v>
      </c>
      <c r="E1118" s="11" t="s">
        <v>780</v>
      </c>
      <c r="F1118" s="11" t="s">
        <v>781</v>
      </c>
      <c r="G1118" s="12">
        <v>2</v>
      </c>
      <c r="H1118" s="12">
        <v>22.68</v>
      </c>
      <c r="I1118" s="12">
        <v>45.36</v>
      </c>
      <c r="J1118" s="12">
        <v>13070.119999999999</v>
      </c>
      <c r="K1118" s="20">
        <f t="shared" si="238"/>
        <v>3</v>
      </c>
      <c r="L1118" s="20" t="str">
        <f t="shared" si="239"/>
        <v>Se repite 3 veces</v>
      </c>
      <c r="M1118" s="20" t="str">
        <f t="shared" si="240"/>
        <v>Tradiciones Andinas-T.A Quinoa Negra  / Black  Quinoa14oz x 12</v>
      </c>
      <c r="N1118" s="20">
        <f t="shared" si="241"/>
        <v>3</v>
      </c>
      <c r="O1118" s="20" t="str">
        <f t="shared" si="242"/>
        <v>Se repite 3 veces en Tradiciones Andinas</v>
      </c>
      <c r="P1118" s="20" t="str">
        <f t="shared" si="243"/>
        <v>Tradiciones Andinas-T.A Quinoa Negra  / Black  Quinoa14oz x 12-22.68</v>
      </c>
      <c r="Q1118" s="20">
        <f t="shared" si="244"/>
        <v>3</v>
      </c>
      <c r="R1118" s="20" t="str">
        <f t="shared" si="245"/>
        <v>Se repite 3 veces el precio de 22.68</v>
      </c>
      <c r="S1118" s="20" t="str">
        <f t="shared" si="246"/>
        <v>El producto T.A Quinoa Negra  / Black  Quinoa14oz x 12 Se repite 3 veces en Tradiciones Andinas, Se repite 3 veces el precio de 22.68</v>
      </c>
      <c r="T1118" s="20" t="str">
        <f t="shared" si="247"/>
        <v>Tradiciones Andinas</v>
      </c>
      <c r="U1118" s="20" t="str">
        <f t="shared" si="248"/>
        <v>T.A Quinoa Negra  / Black  Quinoa14oz x 12</v>
      </c>
      <c r="V1118" s="22">
        <f t="shared" si="249"/>
        <v>22.68</v>
      </c>
      <c r="W1118" t="str">
        <f t="shared" si="250"/>
        <v>Tradiciones Andinas 04/25/2025</v>
      </c>
      <c r="Z1118">
        <f t="shared" si="251"/>
        <v>45.36</v>
      </c>
    </row>
    <row r="1119" spans="1:26" hidden="1" x14ac:dyDescent="0.25">
      <c r="A1119" s="2" t="s">
        <v>664</v>
      </c>
      <c r="B1119" s="11" t="s">
        <v>1125</v>
      </c>
      <c r="C1119" s="11" t="s">
        <v>4</v>
      </c>
      <c r="D1119" s="11" t="s">
        <v>1126</v>
      </c>
      <c r="E1119" s="11" t="s">
        <v>780</v>
      </c>
      <c r="F1119" s="11" t="s">
        <v>1136</v>
      </c>
      <c r="G1119" s="12">
        <v>2</v>
      </c>
      <c r="H1119" s="12">
        <v>22.68</v>
      </c>
      <c r="I1119" s="12">
        <v>45.36</v>
      </c>
      <c r="J1119" s="12">
        <v>69600.240000000005</v>
      </c>
      <c r="K1119" s="20">
        <f t="shared" si="238"/>
        <v>3</v>
      </c>
      <c r="L1119" s="20" t="str">
        <f t="shared" si="239"/>
        <v>Se repite 3 veces</v>
      </c>
      <c r="M1119" s="20" t="str">
        <f t="shared" si="240"/>
        <v>Tradiciones Andinas-T.A Quinoa Negra  / Black  Quinoa14oz x 12</v>
      </c>
      <c r="N1119" s="20">
        <f t="shared" si="241"/>
        <v>3</v>
      </c>
      <c r="O1119" s="20" t="str">
        <f t="shared" si="242"/>
        <v>Se repite 3 veces en Tradiciones Andinas</v>
      </c>
      <c r="P1119" s="20" t="str">
        <f t="shared" si="243"/>
        <v>Tradiciones Andinas-T.A Quinoa Negra  / Black  Quinoa14oz x 12-22.68</v>
      </c>
      <c r="Q1119" s="20">
        <f t="shared" si="244"/>
        <v>3</v>
      </c>
      <c r="R1119" s="20" t="str">
        <f t="shared" si="245"/>
        <v>Se repite 3 veces el precio de 22.68</v>
      </c>
      <c r="S1119" s="20" t="str">
        <f t="shared" si="246"/>
        <v>El producto T.A Quinoa Negra  / Black  Quinoa14oz x 12 Se repite 3 veces en Tradiciones Andinas, Se repite 3 veces el precio de 22.68</v>
      </c>
      <c r="T1119" s="20" t="str">
        <f t="shared" si="247"/>
        <v>Tradiciones Andinas</v>
      </c>
      <c r="U1119" s="20" t="str">
        <f t="shared" si="248"/>
        <v>T.A Quinoa Negra  / Black  Quinoa14oz x 12</v>
      </c>
      <c r="V1119" s="22">
        <f t="shared" si="249"/>
        <v>22.68</v>
      </c>
      <c r="W1119" t="str">
        <f t="shared" si="250"/>
        <v>Tradiciones Andinas 08/18/2025</v>
      </c>
      <c r="Z1119">
        <f t="shared" si="251"/>
        <v>45.36</v>
      </c>
    </row>
    <row r="1120" spans="1:26" hidden="1" x14ac:dyDescent="0.25">
      <c r="A1120" s="2" t="s">
        <v>664</v>
      </c>
      <c r="B1120" s="11" t="s">
        <v>398</v>
      </c>
      <c r="C1120" s="11" t="s">
        <v>4</v>
      </c>
      <c r="D1120" s="11" t="s">
        <v>5</v>
      </c>
      <c r="E1120" s="11" t="s">
        <v>782</v>
      </c>
      <c r="F1120" s="11" t="s">
        <v>783</v>
      </c>
      <c r="G1120" s="12">
        <v>2</v>
      </c>
      <c r="H1120" s="12">
        <v>22.68</v>
      </c>
      <c r="I1120" s="12">
        <v>45.36</v>
      </c>
      <c r="J1120" s="12">
        <v>5064.2199999999993</v>
      </c>
      <c r="K1120" s="20">
        <f t="shared" si="238"/>
        <v>2</v>
      </c>
      <c r="L1120" s="20" t="str">
        <f t="shared" si="239"/>
        <v>Se repite 2 veces</v>
      </c>
      <c r="M1120" s="20" t="str">
        <f t="shared" si="240"/>
        <v>Tradiciones Andinas-T.A Quinoa Tricolor  / Tri-Color Quinoa14oz x 12</v>
      </c>
      <c r="N1120" s="20">
        <f t="shared" si="241"/>
        <v>2</v>
      </c>
      <c r="O1120" s="20" t="str">
        <f t="shared" si="242"/>
        <v>Se repite 2 veces en Tradiciones Andinas</v>
      </c>
      <c r="P1120" s="20" t="str">
        <f t="shared" si="243"/>
        <v>Tradiciones Andinas-T.A Quinoa Tricolor  / Tri-Color Quinoa14oz x 12-22.68</v>
      </c>
      <c r="Q1120" s="20">
        <f t="shared" si="244"/>
        <v>2</v>
      </c>
      <c r="R1120" s="20" t="str">
        <f t="shared" si="245"/>
        <v>Se repite 2 veces el precio de 22.68</v>
      </c>
      <c r="S1120" s="20" t="str">
        <f t="shared" si="246"/>
        <v>El producto T.A Quinoa Tricolor  / Tri-Color Quinoa14oz x 12 Se repite 2 veces en Tradiciones Andinas, Se repite 2 veces el precio de 22.68</v>
      </c>
      <c r="T1120" s="20" t="str">
        <f t="shared" si="247"/>
        <v>Tradiciones Andinas</v>
      </c>
      <c r="U1120" s="20" t="str">
        <f t="shared" si="248"/>
        <v>T.A Quinoa Tricolor  / Tri-Color Quinoa14oz x 12</v>
      </c>
      <c r="V1120" s="22">
        <f t="shared" si="249"/>
        <v>22.68</v>
      </c>
      <c r="W1120" t="str">
        <f t="shared" si="250"/>
        <v>Tradiciones Andinas 04/10/2025</v>
      </c>
      <c r="Z1120">
        <f t="shared" si="251"/>
        <v>45.36</v>
      </c>
    </row>
    <row r="1121" spans="1:26" hidden="1" x14ac:dyDescent="0.25">
      <c r="A1121" s="2" t="s">
        <v>664</v>
      </c>
      <c r="B1121" s="11" t="s">
        <v>821</v>
      </c>
      <c r="C1121" s="11" t="s">
        <v>4</v>
      </c>
      <c r="D1121" s="11" t="s">
        <v>822</v>
      </c>
      <c r="E1121" s="11" t="s">
        <v>782</v>
      </c>
      <c r="F1121" s="11" t="s">
        <v>783</v>
      </c>
      <c r="G1121" s="12">
        <v>2</v>
      </c>
      <c r="H1121" s="12">
        <v>22.68</v>
      </c>
      <c r="I1121" s="12">
        <v>45.36</v>
      </c>
      <c r="J1121" s="12">
        <v>13115.48</v>
      </c>
      <c r="K1121" s="20">
        <f t="shared" si="238"/>
        <v>2</v>
      </c>
      <c r="L1121" s="20" t="str">
        <f t="shared" si="239"/>
        <v>Se repite 2 veces</v>
      </c>
      <c r="M1121" s="20" t="str">
        <f t="shared" si="240"/>
        <v>Tradiciones Andinas-T.A Quinoa Tricolor  / Tri-Color Quinoa14oz x 12</v>
      </c>
      <c r="N1121" s="20">
        <f t="shared" si="241"/>
        <v>2</v>
      </c>
      <c r="O1121" s="20" t="str">
        <f t="shared" si="242"/>
        <v>Se repite 2 veces en Tradiciones Andinas</v>
      </c>
      <c r="P1121" s="20" t="str">
        <f t="shared" si="243"/>
        <v>Tradiciones Andinas-T.A Quinoa Tricolor  / Tri-Color Quinoa14oz x 12-22.68</v>
      </c>
      <c r="Q1121" s="20">
        <f t="shared" si="244"/>
        <v>2</v>
      </c>
      <c r="R1121" s="20" t="str">
        <f t="shared" si="245"/>
        <v>Se repite 2 veces el precio de 22.68</v>
      </c>
      <c r="S1121" s="20" t="str">
        <f t="shared" si="246"/>
        <v>El producto T.A Quinoa Tricolor  / Tri-Color Quinoa14oz x 12 Se repite 2 veces en Tradiciones Andinas, Se repite 2 veces el precio de 22.68</v>
      </c>
      <c r="T1121" s="20" t="str">
        <f t="shared" si="247"/>
        <v>Tradiciones Andinas</v>
      </c>
      <c r="U1121" s="20" t="str">
        <f t="shared" si="248"/>
        <v>T.A Quinoa Tricolor  / Tri-Color Quinoa14oz x 12</v>
      </c>
      <c r="V1121" s="22">
        <f t="shared" si="249"/>
        <v>22.68</v>
      </c>
      <c r="W1121" t="str">
        <f t="shared" si="250"/>
        <v>Tradiciones Andinas 04/25/2025</v>
      </c>
      <c r="Z1121">
        <f t="shared" si="251"/>
        <v>45.36</v>
      </c>
    </row>
    <row r="1122" spans="1:26" hidden="1" x14ac:dyDescent="0.25">
      <c r="A1122" s="2" t="s">
        <v>664</v>
      </c>
      <c r="B1122" s="11" t="s">
        <v>665</v>
      </c>
      <c r="C1122" s="11" t="s">
        <v>4</v>
      </c>
      <c r="D1122" s="11" t="s">
        <v>666</v>
      </c>
      <c r="E1122" s="11" t="s">
        <v>710</v>
      </c>
      <c r="F1122" s="11" t="s">
        <v>711</v>
      </c>
      <c r="G1122" s="12">
        <v>2</v>
      </c>
      <c r="H1122" s="12">
        <v>40.159999999999997</v>
      </c>
      <c r="I1122" s="12">
        <v>80.319999999999993</v>
      </c>
      <c r="J1122" s="12">
        <v>1381.8799999999999</v>
      </c>
      <c r="K1122" s="20">
        <f t="shared" si="238"/>
        <v>4</v>
      </c>
      <c r="L1122" s="20" t="str">
        <f t="shared" si="239"/>
        <v>Se repite 4 veces</v>
      </c>
      <c r="M1122" s="20" t="str">
        <f t="shared" si="240"/>
        <v>Tradiciones Andinas-T.A Quinua /Quinoa 15oz x 24</v>
      </c>
      <c r="N1122" s="20">
        <f t="shared" si="241"/>
        <v>4</v>
      </c>
      <c r="O1122" s="20" t="str">
        <f t="shared" si="242"/>
        <v>Se repite 4 veces en Tradiciones Andinas</v>
      </c>
      <c r="P1122" s="20" t="str">
        <f t="shared" si="243"/>
        <v>Tradiciones Andinas-T.A Quinua /Quinoa 15oz x 24-40.16</v>
      </c>
      <c r="Q1122" s="20">
        <f t="shared" si="244"/>
        <v>4</v>
      </c>
      <c r="R1122" s="20" t="str">
        <f t="shared" si="245"/>
        <v>Se repite 4 veces el precio de 40.16</v>
      </c>
      <c r="S1122" s="20" t="str">
        <f t="shared" si="246"/>
        <v>El producto T.A Quinua /Quinoa 15oz x 24 Se repite 4 veces en Tradiciones Andinas, Se repite 4 veces el precio de 40.16</v>
      </c>
      <c r="T1122" s="20" t="str">
        <f t="shared" si="247"/>
        <v>Tradiciones Andinas</v>
      </c>
      <c r="U1122" s="20" t="str">
        <f t="shared" si="248"/>
        <v>T.A Quinua /Quinoa 15oz x 24</v>
      </c>
      <c r="V1122" s="22">
        <f t="shared" si="249"/>
        <v>40.159999999999997</v>
      </c>
      <c r="W1122" t="str">
        <f t="shared" si="250"/>
        <v>Tradiciones Andinas 03/31/2025</v>
      </c>
      <c r="Z1122">
        <f t="shared" si="251"/>
        <v>80.319999999999993</v>
      </c>
    </row>
    <row r="1123" spans="1:26" hidden="1" x14ac:dyDescent="0.25">
      <c r="A1123" s="2" t="s">
        <v>664</v>
      </c>
      <c r="B1123" s="11" t="s">
        <v>821</v>
      </c>
      <c r="C1123" s="11" t="s">
        <v>4</v>
      </c>
      <c r="D1123" s="11" t="s">
        <v>822</v>
      </c>
      <c r="E1123" s="11" t="s">
        <v>710</v>
      </c>
      <c r="F1123" s="11" t="s">
        <v>711</v>
      </c>
      <c r="G1123" s="12">
        <v>6</v>
      </c>
      <c r="H1123" s="12">
        <v>40.159999999999997</v>
      </c>
      <c r="I1123" s="12">
        <v>240.96</v>
      </c>
      <c r="J1123" s="12">
        <v>11924.359999999997</v>
      </c>
      <c r="K1123" s="20">
        <f t="shared" si="238"/>
        <v>4</v>
      </c>
      <c r="L1123" s="20" t="str">
        <f t="shared" si="239"/>
        <v>Se repite 4 veces</v>
      </c>
      <c r="M1123" s="20" t="str">
        <f t="shared" si="240"/>
        <v>Tradiciones Andinas-T.A Quinua /Quinoa 15oz x 24</v>
      </c>
      <c r="N1123" s="20">
        <f t="shared" si="241"/>
        <v>4</v>
      </c>
      <c r="O1123" s="20" t="str">
        <f t="shared" si="242"/>
        <v>Se repite 4 veces en Tradiciones Andinas</v>
      </c>
      <c r="P1123" s="20" t="str">
        <f t="shared" si="243"/>
        <v>Tradiciones Andinas-T.A Quinua /Quinoa 15oz x 24-40.16</v>
      </c>
      <c r="Q1123" s="20">
        <f t="shared" si="244"/>
        <v>4</v>
      </c>
      <c r="R1123" s="20" t="str">
        <f t="shared" si="245"/>
        <v>Se repite 4 veces el precio de 40.16</v>
      </c>
      <c r="S1123" s="20" t="str">
        <f t="shared" si="246"/>
        <v>El producto T.A Quinua /Quinoa 15oz x 24 Se repite 4 veces en Tradiciones Andinas, Se repite 4 veces el precio de 40.16</v>
      </c>
      <c r="T1123" s="20" t="str">
        <f t="shared" si="247"/>
        <v>Tradiciones Andinas</v>
      </c>
      <c r="U1123" s="20" t="str">
        <f t="shared" si="248"/>
        <v>T.A Quinua /Quinoa 15oz x 24</v>
      </c>
      <c r="V1123" s="22">
        <f t="shared" si="249"/>
        <v>40.159999999999997</v>
      </c>
      <c r="W1123" t="str">
        <f t="shared" si="250"/>
        <v>Tradiciones Andinas 04/25/2025</v>
      </c>
      <c r="Z1123">
        <f t="shared" si="251"/>
        <v>240.95999999999998</v>
      </c>
    </row>
    <row r="1124" spans="1:26" hidden="1" x14ac:dyDescent="0.25">
      <c r="A1124" s="2" t="s">
        <v>664</v>
      </c>
      <c r="B1124" s="11" t="s">
        <v>1125</v>
      </c>
      <c r="C1124" s="11" t="s">
        <v>4</v>
      </c>
      <c r="D1124" s="11" t="s">
        <v>1126</v>
      </c>
      <c r="E1124" s="11" t="s">
        <v>710</v>
      </c>
      <c r="F1124" s="11" t="s">
        <v>1130</v>
      </c>
      <c r="G1124" s="12">
        <v>2</v>
      </c>
      <c r="H1124" s="12">
        <v>40.159999999999997</v>
      </c>
      <c r="I1124" s="12">
        <v>80.319999999999993</v>
      </c>
      <c r="J1124" s="12">
        <v>68932.680000000022</v>
      </c>
      <c r="K1124" s="20">
        <f t="shared" si="238"/>
        <v>4</v>
      </c>
      <c r="L1124" s="20" t="str">
        <f t="shared" si="239"/>
        <v>Se repite 4 veces</v>
      </c>
      <c r="M1124" s="20" t="str">
        <f t="shared" si="240"/>
        <v>Tradiciones Andinas-T.A Quinua /Quinoa 15oz x 24</v>
      </c>
      <c r="N1124" s="20">
        <f t="shared" si="241"/>
        <v>4</v>
      </c>
      <c r="O1124" s="20" t="str">
        <f t="shared" si="242"/>
        <v>Se repite 4 veces en Tradiciones Andinas</v>
      </c>
      <c r="P1124" s="20" t="str">
        <f t="shared" si="243"/>
        <v>Tradiciones Andinas-T.A Quinua /Quinoa 15oz x 24-40.16</v>
      </c>
      <c r="Q1124" s="20">
        <f t="shared" si="244"/>
        <v>4</v>
      </c>
      <c r="R1124" s="20" t="str">
        <f t="shared" si="245"/>
        <v>Se repite 4 veces el precio de 40.16</v>
      </c>
      <c r="S1124" s="20" t="str">
        <f t="shared" si="246"/>
        <v>El producto T.A Quinua /Quinoa 15oz x 24 Se repite 4 veces en Tradiciones Andinas, Se repite 4 veces el precio de 40.16</v>
      </c>
      <c r="T1124" s="20" t="str">
        <f t="shared" si="247"/>
        <v>Tradiciones Andinas</v>
      </c>
      <c r="U1124" s="20" t="str">
        <f t="shared" si="248"/>
        <v>T.A Quinua /Quinoa 15oz x 24</v>
      </c>
      <c r="V1124" s="22">
        <f t="shared" si="249"/>
        <v>40.159999999999997</v>
      </c>
      <c r="W1124" t="str">
        <f t="shared" si="250"/>
        <v>Tradiciones Andinas 08/18/2025</v>
      </c>
      <c r="Z1124">
        <f t="shared" si="251"/>
        <v>80.319999999999993</v>
      </c>
    </row>
    <row r="1125" spans="1:26" hidden="1" x14ac:dyDescent="0.25">
      <c r="A1125" s="2" t="s">
        <v>664</v>
      </c>
      <c r="B1125" s="11" t="s">
        <v>1153</v>
      </c>
      <c r="C1125" s="11" t="s">
        <v>4</v>
      </c>
      <c r="D1125" s="11" t="s">
        <v>1154</v>
      </c>
      <c r="E1125" s="11" t="s">
        <v>710</v>
      </c>
      <c r="F1125" s="11" t="s">
        <v>1130</v>
      </c>
      <c r="G1125" s="12">
        <v>2</v>
      </c>
      <c r="H1125" s="12">
        <v>40.159999999999997</v>
      </c>
      <c r="I1125" s="12">
        <v>80.319999999999993</v>
      </c>
      <c r="J1125" s="12">
        <v>78831.219999999987</v>
      </c>
      <c r="K1125" s="20">
        <f t="shared" si="238"/>
        <v>4</v>
      </c>
      <c r="L1125" s="20" t="str">
        <f t="shared" si="239"/>
        <v>Se repite 4 veces</v>
      </c>
      <c r="M1125" s="20" t="str">
        <f t="shared" si="240"/>
        <v>Tradiciones Andinas-T.A Quinua /Quinoa 15oz x 24</v>
      </c>
      <c r="N1125" s="20">
        <f t="shared" si="241"/>
        <v>4</v>
      </c>
      <c r="O1125" s="20" t="str">
        <f t="shared" si="242"/>
        <v>Se repite 4 veces en Tradiciones Andinas</v>
      </c>
      <c r="P1125" s="20" t="str">
        <f t="shared" si="243"/>
        <v>Tradiciones Andinas-T.A Quinua /Quinoa 15oz x 24-40.16</v>
      </c>
      <c r="Q1125" s="20">
        <f t="shared" si="244"/>
        <v>4</v>
      </c>
      <c r="R1125" s="20" t="str">
        <f t="shared" si="245"/>
        <v>Se repite 4 veces el precio de 40.16</v>
      </c>
      <c r="S1125" s="20" t="str">
        <f t="shared" si="246"/>
        <v>El producto T.A Quinua /Quinoa 15oz x 24 Se repite 4 veces en Tradiciones Andinas, Se repite 4 veces el precio de 40.16</v>
      </c>
      <c r="T1125" s="20" t="str">
        <f t="shared" si="247"/>
        <v>Tradiciones Andinas</v>
      </c>
      <c r="U1125" s="20" t="str">
        <f t="shared" si="248"/>
        <v>T.A Quinua /Quinoa 15oz x 24</v>
      </c>
      <c r="V1125" s="22">
        <f t="shared" si="249"/>
        <v>40.159999999999997</v>
      </c>
      <c r="W1125" t="str">
        <f t="shared" si="250"/>
        <v>Tradiciones Andinas 09/24/2025</v>
      </c>
      <c r="Z1125">
        <f t="shared" si="251"/>
        <v>80.319999999999993</v>
      </c>
    </row>
    <row r="1126" spans="1:26" hidden="1" x14ac:dyDescent="0.25">
      <c r="A1126" s="2" t="s">
        <v>664</v>
      </c>
      <c r="B1126" s="11" t="s">
        <v>1033</v>
      </c>
      <c r="C1126" s="11" t="s">
        <v>4</v>
      </c>
      <c r="D1126" s="11" t="s">
        <v>1034</v>
      </c>
      <c r="E1126" s="11" t="s">
        <v>1042</v>
      </c>
      <c r="F1126" s="11" t="s">
        <v>1043</v>
      </c>
      <c r="G1126" s="12">
        <v>2</v>
      </c>
      <c r="H1126" s="12">
        <v>51.1</v>
      </c>
      <c r="I1126" s="12">
        <v>102.2</v>
      </c>
      <c r="J1126" s="12">
        <v>48116.869999999974</v>
      </c>
      <c r="K1126" s="20">
        <f t="shared" si="238"/>
        <v>2</v>
      </c>
      <c r="L1126" s="20" t="str">
        <f t="shared" si="239"/>
        <v>Se repite 2 veces</v>
      </c>
      <c r="M1126" s="20" t="str">
        <f t="shared" si="240"/>
        <v>Tradiciones Andinas-T.A Rocoto en Lata /Red Hot Peppers Halves</v>
      </c>
      <c r="N1126" s="20">
        <f t="shared" si="241"/>
        <v>2</v>
      </c>
      <c r="O1126" s="20" t="str">
        <f t="shared" si="242"/>
        <v>Se repite 2 veces en Tradiciones Andinas</v>
      </c>
      <c r="P1126" s="20" t="str">
        <f t="shared" si="243"/>
        <v>Tradiciones Andinas-T.A Rocoto en Lata /Red Hot Peppers Halves-51.1</v>
      </c>
      <c r="Q1126" s="20">
        <f t="shared" si="244"/>
        <v>2</v>
      </c>
      <c r="R1126" s="20" t="str">
        <f t="shared" si="245"/>
        <v>Se repite 2 veces el precio de 51.1</v>
      </c>
      <c r="S1126" s="20" t="str">
        <f t="shared" si="246"/>
        <v>El producto T.A Rocoto en Lata /Red Hot Peppers Halves Se repite 2 veces en Tradiciones Andinas, Se repite 2 veces el precio de 51.1</v>
      </c>
      <c r="T1126" s="20" t="str">
        <f t="shared" si="247"/>
        <v>Tradiciones Andinas</v>
      </c>
      <c r="U1126" s="20" t="str">
        <f t="shared" si="248"/>
        <v>T.A Rocoto en Lata /Red Hot Peppers Halves</v>
      </c>
      <c r="V1126" s="22">
        <f t="shared" si="249"/>
        <v>51.1</v>
      </c>
      <c r="W1126" t="str">
        <f t="shared" si="250"/>
        <v>Tradiciones Andinas 07/03/2025</v>
      </c>
      <c r="Z1126">
        <f t="shared" si="251"/>
        <v>102.2</v>
      </c>
    </row>
    <row r="1127" spans="1:26" hidden="1" x14ac:dyDescent="0.25">
      <c r="A1127" s="2" t="s">
        <v>664</v>
      </c>
      <c r="B1127" s="11" t="s">
        <v>1125</v>
      </c>
      <c r="C1127" s="11" t="s">
        <v>4</v>
      </c>
      <c r="D1127" s="11" t="s">
        <v>1126</v>
      </c>
      <c r="E1127" s="11" t="s">
        <v>1042</v>
      </c>
      <c r="F1127" s="11" t="s">
        <v>1043</v>
      </c>
      <c r="G1127" s="12">
        <v>1</v>
      </c>
      <c r="H1127" s="12">
        <v>51.1</v>
      </c>
      <c r="I1127" s="12">
        <v>51.1</v>
      </c>
      <c r="J1127" s="12">
        <v>68465.060000000012</v>
      </c>
      <c r="K1127" s="20">
        <f t="shared" si="238"/>
        <v>2</v>
      </c>
      <c r="L1127" s="20" t="str">
        <f t="shared" si="239"/>
        <v>Se repite 2 veces</v>
      </c>
      <c r="M1127" s="20" t="str">
        <f t="shared" si="240"/>
        <v>Tradiciones Andinas-T.A Rocoto en Lata /Red Hot Peppers Halves</v>
      </c>
      <c r="N1127" s="20">
        <f t="shared" si="241"/>
        <v>2</v>
      </c>
      <c r="O1127" s="20" t="str">
        <f t="shared" si="242"/>
        <v>Se repite 2 veces en Tradiciones Andinas</v>
      </c>
      <c r="P1127" s="20" t="str">
        <f t="shared" si="243"/>
        <v>Tradiciones Andinas-T.A Rocoto en Lata /Red Hot Peppers Halves-51.1</v>
      </c>
      <c r="Q1127" s="20">
        <f t="shared" si="244"/>
        <v>2</v>
      </c>
      <c r="R1127" s="20" t="str">
        <f t="shared" si="245"/>
        <v>Se repite 2 veces el precio de 51.1</v>
      </c>
      <c r="S1127" s="20" t="str">
        <f t="shared" si="246"/>
        <v>El producto T.A Rocoto en Lata /Red Hot Peppers Halves Se repite 2 veces en Tradiciones Andinas, Se repite 2 veces el precio de 51.1</v>
      </c>
      <c r="T1127" s="20" t="str">
        <f t="shared" si="247"/>
        <v>Tradiciones Andinas</v>
      </c>
      <c r="U1127" s="20" t="str">
        <f t="shared" si="248"/>
        <v>T.A Rocoto en Lata /Red Hot Peppers Halves</v>
      </c>
      <c r="V1127" s="22">
        <f t="shared" si="249"/>
        <v>51.1</v>
      </c>
      <c r="W1127" t="str">
        <f t="shared" si="250"/>
        <v>Tradiciones Andinas 08/18/2025</v>
      </c>
      <c r="Z1127">
        <f t="shared" si="251"/>
        <v>51.1</v>
      </c>
    </row>
    <row r="1128" spans="1:26" hidden="1" x14ac:dyDescent="0.25">
      <c r="A1128" s="2" t="s">
        <v>664</v>
      </c>
      <c r="B1128" s="11" t="s">
        <v>665</v>
      </c>
      <c r="C1128" s="11" t="s">
        <v>4</v>
      </c>
      <c r="D1128" s="11" t="s">
        <v>666</v>
      </c>
      <c r="E1128" s="11" t="s">
        <v>671</v>
      </c>
      <c r="F1128" s="11" t="s">
        <v>672</v>
      </c>
      <c r="G1128" s="12">
        <v>2</v>
      </c>
      <c r="H1128" s="12">
        <v>30.96</v>
      </c>
      <c r="I1128" s="12">
        <v>61.92</v>
      </c>
      <c r="J1128" s="12">
        <v>177.12</v>
      </c>
      <c r="K1128" s="20">
        <f t="shared" si="238"/>
        <v>7</v>
      </c>
      <c r="L1128" s="20" t="str">
        <f t="shared" si="239"/>
        <v>Se repite 7 veces</v>
      </c>
      <c r="M1128" s="20" t="str">
        <f t="shared" si="240"/>
        <v>Tradiciones Andinas-T.A Rocoto en pasta 7.5oz x 24</v>
      </c>
      <c r="N1128" s="20">
        <f t="shared" si="241"/>
        <v>7</v>
      </c>
      <c r="O1128" s="20" t="str">
        <f t="shared" si="242"/>
        <v>Se repite 7 veces en Tradiciones Andinas</v>
      </c>
      <c r="P1128" s="20" t="str">
        <f t="shared" si="243"/>
        <v>Tradiciones Andinas-T.A Rocoto en pasta 7.5oz x 24-30.96</v>
      </c>
      <c r="Q1128" s="20">
        <f t="shared" si="244"/>
        <v>3</v>
      </c>
      <c r="R1128" s="20" t="str">
        <f t="shared" si="245"/>
        <v>Se repite 3 veces el precio de 30.96</v>
      </c>
      <c r="S1128" s="20" t="str">
        <f t="shared" si="246"/>
        <v>El producto T.A Rocoto en pasta 7.5oz x 24 Se repite 7 veces en Tradiciones Andinas, Se repite 3 veces el precio de 30.96</v>
      </c>
      <c r="T1128" s="20" t="str">
        <f t="shared" si="247"/>
        <v>Tradiciones Andinas</v>
      </c>
      <c r="U1128" s="20" t="str">
        <f t="shared" si="248"/>
        <v>T.A Rocoto en pasta 7.5oz x 24</v>
      </c>
      <c r="V1128" s="22">
        <f t="shared" si="249"/>
        <v>30.96</v>
      </c>
      <c r="W1128" t="str">
        <f t="shared" si="250"/>
        <v>Tradiciones Andinas 03/31/2025</v>
      </c>
      <c r="Z1128">
        <f t="shared" si="251"/>
        <v>61.92</v>
      </c>
    </row>
    <row r="1129" spans="1:26" hidden="1" x14ac:dyDescent="0.25">
      <c r="A1129" s="2" t="s">
        <v>664</v>
      </c>
      <c r="B1129" s="11" t="s">
        <v>398</v>
      </c>
      <c r="C1129" s="11" t="s">
        <v>4</v>
      </c>
      <c r="D1129" s="11" t="s">
        <v>5</v>
      </c>
      <c r="E1129" s="11" t="s">
        <v>671</v>
      </c>
      <c r="F1129" s="11" t="s">
        <v>672</v>
      </c>
      <c r="G1129" s="12">
        <v>2</v>
      </c>
      <c r="H1129" s="12">
        <v>30.96</v>
      </c>
      <c r="I1129" s="12">
        <v>61.92</v>
      </c>
      <c r="J1129" s="12">
        <v>3523.6399999999994</v>
      </c>
      <c r="K1129" s="20">
        <f t="shared" si="238"/>
        <v>7</v>
      </c>
      <c r="L1129" s="20" t="str">
        <f t="shared" si="239"/>
        <v>Se repite 7 veces</v>
      </c>
      <c r="M1129" s="20" t="str">
        <f t="shared" si="240"/>
        <v>Tradiciones Andinas-T.A Rocoto en pasta 7.5oz x 24</v>
      </c>
      <c r="N1129" s="20">
        <f t="shared" si="241"/>
        <v>7</v>
      </c>
      <c r="O1129" s="20" t="str">
        <f t="shared" si="242"/>
        <v>Se repite 7 veces en Tradiciones Andinas</v>
      </c>
      <c r="P1129" s="20" t="str">
        <f t="shared" si="243"/>
        <v>Tradiciones Andinas-T.A Rocoto en pasta 7.5oz x 24-30.96</v>
      </c>
      <c r="Q1129" s="20">
        <f t="shared" si="244"/>
        <v>3</v>
      </c>
      <c r="R1129" s="20" t="str">
        <f t="shared" si="245"/>
        <v>Se repite 3 veces el precio de 30.96</v>
      </c>
      <c r="S1129" s="20" t="str">
        <f t="shared" si="246"/>
        <v>El producto T.A Rocoto en pasta 7.5oz x 24 Se repite 7 veces en Tradiciones Andinas, Se repite 3 veces el precio de 30.96</v>
      </c>
      <c r="T1129" s="20" t="str">
        <f t="shared" si="247"/>
        <v>Tradiciones Andinas</v>
      </c>
      <c r="U1129" s="20" t="str">
        <f t="shared" si="248"/>
        <v>T.A Rocoto en pasta 7.5oz x 24</v>
      </c>
      <c r="V1129" s="22">
        <f t="shared" si="249"/>
        <v>30.96</v>
      </c>
      <c r="W1129" t="str">
        <f t="shared" si="250"/>
        <v>Tradiciones Andinas 04/10/2025</v>
      </c>
      <c r="Z1129">
        <f t="shared" si="251"/>
        <v>61.92</v>
      </c>
    </row>
    <row r="1130" spans="1:26" hidden="1" x14ac:dyDescent="0.25">
      <c r="A1130" s="2" t="s">
        <v>664</v>
      </c>
      <c r="B1130" s="11" t="s">
        <v>821</v>
      </c>
      <c r="C1130" s="11" t="s">
        <v>4</v>
      </c>
      <c r="D1130" s="11" t="s">
        <v>822</v>
      </c>
      <c r="E1130" s="11" t="s">
        <v>671</v>
      </c>
      <c r="F1130" s="11" t="s">
        <v>672</v>
      </c>
      <c r="G1130" s="12">
        <v>6</v>
      </c>
      <c r="H1130" s="12">
        <v>30.96</v>
      </c>
      <c r="I1130" s="12">
        <v>185.76</v>
      </c>
      <c r="J1130" s="12">
        <v>8677.9199999999983</v>
      </c>
      <c r="K1130" s="20">
        <f t="shared" si="238"/>
        <v>7</v>
      </c>
      <c r="L1130" s="20" t="str">
        <f t="shared" si="239"/>
        <v>Se repite 7 veces</v>
      </c>
      <c r="M1130" s="20" t="str">
        <f t="shared" si="240"/>
        <v>Tradiciones Andinas-T.A Rocoto en pasta 7.5oz x 24</v>
      </c>
      <c r="N1130" s="20">
        <f t="shared" si="241"/>
        <v>7</v>
      </c>
      <c r="O1130" s="20" t="str">
        <f t="shared" si="242"/>
        <v>Se repite 7 veces en Tradiciones Andinas</v>
      </c>
      <c r="P1130" s="20" t="str">
        <f t="shared" si="243"/>
        <v>Tradiciones Andinas-T.A Rocoto en pasta 7.5oz x 24-30.96</v>
      </c>
      <c r="Q1130" s="20">
        <f t="shared" si="244"/>
        <v>3</v>
      </c>
      <c r="R1130" s="20" t="str">
        <f t="shared" si="245"/>
        <v>Se repite 3 veces el precio de 30.96</v>
      </c>
      <c r="S1130" s="20" t="str">
        <f t="shared" si="246"/>
        <v>El producto T.A Rocoto en pasta 7.5oz x 24 Se repite 7 veces en Tradiciones Andinas, Se repite 3 veces el precio de 30.96</v>
      </c>
      <c r="T1130" s="20" t="str">
        <f t="shared" si="247"/>
        <v>Tradiciones Andinas</v>
      </c>
      <c r="U1130" s="20" t="str">
        <f t="shared" si="248"/>
        <v>T.A Rocoto en pasta 7.5oz x 24</v>
      </c>
      <c r="V1130" s="22">
        <f t="shared" si="249"/>
        <v>30.96</v>
      </c>
      <c r="W1130" t="str">
        <f t="shared" si="250"/>
        <v>Tradiciones Andinas 04/25/2025</v>
      </c>
      <c r="Z1130">
        <f t="shared" si="251"/>
        <v>185.76</v>
      </c>
    </row>
    <row r="1131" spans="1:26" hidden="1" x14ac:dyDescent="0.25">
      <c r="A1131" s="2" t="s">
        <v>664</v>
      </c>
      <c r="B1131" s="11" t="s">
        <v>1033</v>
      </c>
      <c r="C1131" s="11" t="s">
        <v>4</v>
      </c>
      <c r="D1131" s="11" t="s">
        <v>1034</v>
      </c>
      <c r="E1131" s="11" t="s">
        <v>671</v>
      </c>
      <c r="F1131" s="11" t="s">
        <v>1035</v>
      </c>
      <c r="G1131" s="12">
        <v>2</v>
      </c>
      <c r="H1131" s="12">
        <v>33.119999999999997</v>
      </c>
      <c r="I1131" s="12">
        <v>66.239999999999995</v>
      </c>
      <c r="J1131" s="12">
        <v>46171.209999999985</v>
      </c>
      <c r="K1131" s="20">
        <f t="shared" si="238"/>
        <v>7</v>
      </c>
      <c r="L1131" s="20" t="str">
        <f t="shared" si="239"/>
        <v>Se repite 7 veces</v>
      </c>
      <c r="M1131" s="20" t="str">
        <f t="shared" si="240"/>
        <v>Tradiciones Andinas-T.A Rocoto en pasta 7.5oz x 24</v>
      </c>
      <c r="N1131" s="20">
        <f t="shared" si="241"/>
        <v>7</v>
      </c>
      <c r="O1131" s="20" t="str">
        <f t="shared" si="242"/>
        <v>Se repite 7 veces en Tradiciones Andinas</v>
      </c>
      <c r="P1131" s="20" t="str">
        <f t="shared" si="243"/>
        <v>Tradiciones Andinas-T.A Rocoto en pasta 7.5oz x 24-33.12</v>
      </c>
      <c r="Q1131" s="20">
        <f t="shared" si="244"/>
        <v>4</v>
      </c>
      <c r="R1131" s="20" t="str">
        <f t="shared" si="245"/>
        <v>Se repite 4 veces el precio de 33.12</v>
      </c>
      <c r="S1131" s="20" t="str">
        <f t="shared" si="246"/>
        <v>El producto T.A Rocoto en pasta 7.5oz x 24 Se repite 7 veces en Tradiciones Andinas, Se repite 4 veces el precio de 33.12</v>
      </c>
      <c r="T1131" s="20" t="str">
        <f t="shared" si="247"/>
        <v>Tradiciones Andinas</v>
      </c>
      <c r="U1131" s="20" t="str">
        <f t="shared" si="248"/>
        <v>T.A Rocoto en pasta 7.5oz x 24</v>
      </c>
      <c r="V1131" s="22">
        <f t="shared" si="249"/>
        <v>33.119999999999997</v>
      </c>
      <c r="W1131" t="str">
        <f t="shared" si="250"/>
        <v>Tradiciones Andinas 07/03/2025</v>
      </c>
      <c r="Z1131">
        <f t="shared" si="251"/>
        <v>66.239999999999995</v>
      </c>
    </row>
    <row r="1132" spans="1:26" hidden="1" x14ac:dyDescent="0.25">
      <c r="A1132" s="2" t="s">
        <v>664</v>
      </c>
      <c r="B1132" s="11" t="s">
        <v>1125</v>
      </c>
      <c r="C1132" s="11" t="s">
        <v>4</v>
      </c>
      <c r="D1132" s="11" t="s">
        <v>1126</v>
      </c>
      <c r="E1132" s="11" t="s">
        <v>671</v>
      </c>
      <c r="F1132" s="11" t="s">
        <v>1035</v>
      </c>
      <c r="G1132" s="12">
        <v>2</v>
      </c>
      <c r="H1132" s="12">
        <v>33.119999999999997</v>
      </c>
      <c r="I1132" s="12">
        <v>66.239999999999995</v>
      </c>
      <c r="J1132" s="12">
        <v>67105.779999999984</v>
      </c>
      <c r="K1132" s="20">
        <f t="shared" si="238"/>
        <v>7</v>
      </c>
      <c r="L1132" s="20" t="str">
        <f t="shared" si="239"/>
        <v>Se repite 7 veces</v>
      </c>
      <c r="M1132" s="20" t="str">
        <f t="shared" si="240"/>
        <v>Tradiciones Andinas-T.A Rocoto en pasta 7.5oz x 24</v>
      </c>
      <c r="N1132" s="20">
        <f t="shared" si="241"/>
        <v>7</v>
      </c>
      <c r="O1132" s="20" t="str">
        <f t="shared" si="242"/>
        <v>Se repite 7 veces en Tradiciones Andinas</v>
      </c>
      <c r="P1132" s="20" t="str">
        <f t="shared" si="243"/>
        <v>Tradiciones Andinas-T.A Rocoto en pasta 7.5oz x 24-33.12</v>
      </c>
      <c r="Q1132" s="20">
        <f t="shared" si="244"/>
        <v>4</v>
      </c>
      <c r="R1132" s="20" t="str">
        <f t="shared" si="245"/>
        <v>Se repite 4 veces el precio de 33.12</v>
      </c>
      <c r="S1132" s="20" t="str">
        <f t="shared" si="246"/>
        <v>El producto T.A Rocoto en pasta 7.5oz x 24 Se repite 7 veces en Tradiciones Andinas, Se repite 4 veces el precio de 33.12</v>
      </c>
      <c r="T1132" s="20" t="str">
        <f t="shared" si="247"/>
        <v>Tradiciones Andinas</v>
      </c>
      <c r="U1132" s="20" t="str">
        <f t="shared" si="248"/>
        <v>T.A Rocoto en pasta 7.5oz x 24</v>
      </c>
      <c r="V1132" s="22">
        <f t="shared" si="249"/>
        <v>33.119999999999997</v>
      </c>
      <c r="W1132" t="str">
        <f t="shared" si="250"/>
        <v>Tradiciones Andinas 08/18/2025</v>
      </c>
      <c r="Z1132">
        <f t="shared" si="251"/>
        <v>66.239999999999995</v>
      </c>
    </row>
    <row r="1133" spans="1:26" hidden="1" x14ac:dyDescent="0.25">
      <c r="A1133" s="2" t="s">
        <v>664</v>
      </c>
      <c r="B1133" s="11" t="s">
        <v>1153</v>
      </c>
      <c r="C1133" s="11" t="s">
        <v>4</v>
      </c>
      <c r="D1133" s="11" t="s">
        <v>1154</v>
      </c>
      <c r="E1133" s="11" t="s">
        <v>671</v>
      </c>
      <c r="F1133" s="11" t="s">
        <v>1035</v>
      </c>
      <c r="G1133" s="12">
        <v>4</v>
      </c>
      <c r="H1133" s="12">
        <v>33.119999999999997</v>
      </c>
      <c r="I1133" s="12">
        <v>132.47999999999999</v>
      </c>
      <c r="J1133" s="12">
        <v>74876.56</v>
      </c>
      <c r="K1133" s="20">
        <f t="shared" si="238"/>
        <v>7</v>
      </c>
      <c r="L1133" s="20" t="str">
        <f t="shared" si="239"/>
        <v>Se repite 7 veces</v>
      </c>
      <c r="M1133" s="20" t="str">
        <f t="shared" si="240"/>
        <v>Tradiciones Andinas-T.A Rocoto en pasta 7.5oz x 24</v>
      </c>
      <c r="N1133" s="20">
        <f t="shared" si="241"/>
        <v>7</v>
      </c>
      <c r="O1133" s="20" t="str">
        <f t="shared" si="242"/>
        <v>Se repite 7 veces en Tradiciones Andinas</v>
      </c>
      <c r="P1133" s="20" t="str">
        <f t="shared" si="243"/>
        <v>Tradiciones Andinas-T.A Rocoto en pasta 7.5oz x 24-33.12</v>
      </c>
      <c r="Q1133" s="20">
        <f t="shared" si="244"/>
        <v>4</v>
      </c>
      <c r="R1133" s="20" t="str">
        <f t="shared" si="245"/>
        <v>Se repite 4 veces el precio de 33.12</v>
      </c>
      <c r="S1133" s="20" t="str">
        <f t="shared" si="246"/>
        <v>El producto T.A Rocoto en pasta 7.5oz x 24 Se repite 7 veces en Tradiciones Andinas, Se repite 4 veces el precio de 33.12</v>
      </c>
      <c r="T1133" s="20" t="str">
        <f t="shared" si="247"/>
        <v>Tradiciones Andinas</v>
      </c>
      <c r="U1133" s="20" t="str">
        <f t="shared" si="248"/>
        <v>T.A Rocoto en pasta 7.5oz x 24</v>
      </c>
      <c r="V1133" s="22">
        <f t="shared" si="249"/>
        <v>33.119999999999997</v>
      </c>
      <c r="W1133" t="str">
        <f t="shared" si="250"/>
        <v>Tradiciones Andinas 09/24/2025</v>
      </c>
      <c r="Z1133">
        <f t="shared" si="251"/>
        <v>132.47999999999999</v>
      </c>
    </row>
    <row r="1134" spans="1:26" hidden="1" x14ac:dyDescent="0.25">
      <c r="A1134" s="2" t="s">
        <v>664</v>
      </c>
      <c r="B1134" s="11" t="s">
        <v>1207</v>
      </c>
      <c r="C1134" s="11" t="s">
        <v>4</v>
      </c>
      <c r="D1134" s="11" t="s">
        <v>1208</v>
      </c>
      <c r="E1134" s="11" t="s">
        <v>671</v>
      </c>
      <c r="F1134" s="11" t="s">
        <v>1035</v>
      </c>
      <c r="G1134" s="12">
        <v>3</v>
      </c>
      <c r="H1134" s="12">
        <v>33.119999999999997</v>
      </c>
      <c r="I1134" s="12">
        <v>99.36</v>
      </c>
      <c r="J1134" s="12">
        <v>105414.09999999993</v>
      </c>
      <c r="K1134" s="20">
        <f t="shared" si="238"/>
        <v>7</v>
      </c>
      <c r="L1134" s="20" t="str">
        <f t="shared" si="239"/>
        <v>Se repite 7 veces</v>
      </c>
      <c r="M1134" s="20" t="str">
        <f t="shared" si="240"/>
        <v>Tradiciones Andinas-T.A Rocoto en pasta 7.5oz x 24</v>
      </c>
      <c r="N1134" s="20">
        <f t="shared" si="241"/>
        <v>7</v>
      </c>
      <c r="O1134" s="20" t="str">
        <f t="shared" si="242"/>
        <v>Se repite 7 veces en Tradiciones Andinas</v>
      </c>
      <c r="P1134" s="20" t="str">
        <f t="shared" si="243"/>
        <v>Tradiciones Andinas-T.A Rocoto en pasta 7.5oz x 24-33.12</v>
      </c>
      <c r="Q1134" s="20">
        <f t="shared" si="244"/>
        <v>4</v>
      </c>
      <c r="R1134" s="20" t="str">
        <f t="shared" si="245"/>
        <v>Se repite 4 veces el precio de 33.12</v>
      </c>
      <c r="S1134" s="20" t="str">
        <f t="shared" si="246"/>
        <v>El producto T.A Rocoto en pasta 7.5oz x 24 Se repite 7 veces en Tradiciones Andinas, Se repite 4 veces el precio de 33.12</v>
      </c>
      <c r="T1134" s="20" t="str">
        <f t="shared" si="247"/>
        <v>Tradiciones Andinas</v>
      </c>
      <c r="U1134" s="20" t="str">
        <f t="shared" si="248"/>
        <v>T.A Rocoto en pasta 7.5oz x 24</v>
      </c>
      <c r="V1134" s="22">
        <f t="shared" si="249"/>
        <v>33.119999999999997</v>
      </c>
      <c r="W1134" t="str">
        <f t="shared" si="250"/>
        <v>Tradiciones Andinas 11/28/2025</v>
      </c>
      <c r="Z1134">
        <f t="shared" si="251"/>
        <v>99.359999999999985</v>
      </c>
    </row>
    <row r="1135" spans="1:26" hidden="1" x14ac:dyDescent="0.25">
      <c r="A1135" s="2" t="s">
        <v>664</v>
      </c>
      <c r="B1135" s="11" t="s">
        <v>654</v>
      </c>
      <c r="C1135" s="11" t="s">
        <v>4</v>
      </c>
      <c r="D1135" s="11" t="s">
        <v>940</v>
      </c>
      <c r="E1135" s="11" t="s">
        <v>945</v>
      </c>
      <c r="F1135" s="11" t="s">
        <v>946</v>
      </c>
      <c r="G1135" s="12">
        <v>2</v>
      </c>
      <c r="H1135" s="12">
        <v>32</v>
      </c>
      <c r="I1135" s="12">
        <v>64</v>
      </c>
      <c r="J1135" s="12">
        <v>25442.669999999995</v>
      </c>
      <c r="K1135" s="20">
        <f t="shared" si="238"/>
        <v>1</v>
      </c>
      <c r="L1135" s="20" t="str">
        <f t="shared" si="239"/>
        <v>No se repite</v>
      </c>
      <c r="M1135" s="20" t="str">
        <f t="shared" si="240"/>
        <v>Tradiciones Andinas-T.A Rocoto en Salmuera /Red Hot Peppers Halves</v>
      </c>
      <c r="N1135" s="20">
        <f t="shared" si="241"/>
        <v>1</v>
      </c>
      <c r="O1135" s="20" t="str">
        <f t="shared" si="242"/>
        <v>No se repite en proveedor</v>
      </c>
      <c r="P1135" s="20" t="str">
        <f t="shared" si="243"/>
        <v>Tradiciones Andinas-T.A Rocoto en Salmuera /Red Hot Peppers Halves-32</v>
      </c>
      <c r="Q1135" s="20">
        <f t="shared" si="244"/>
        <v>1</v>
      </c>
      <c r="R1135" s="20" t="str">
        <f t="shared" si="245"/>
        <v>No se repite</v>
      </c>
      <c r="S1135" s="20" t="str">
        <f t="shared" si="246"/>
        <v>El producto T.A Rocoto en Salmuera /Red Hot Peppers Halves No se repite en proveedor Una vez con el precio 32</v>
      </c>
      <c r="T1135" s="20" t="str">
        <f t="shared" si="247"/>
        <v>Tradiciones Andinas</v>
      </c>
      <c r="U1135" s="20" t="str">
        <f t="shared" si="248"/>
        <v>T.A Rocoto en Salmuera /Red Hot Peppers Halves</v>
      </c>
      <c r="V1135" s="22">
        <f t="shared" si="249"/>
        <v>32</v>
      </c>
      <c r="W1135" t="str">
        <f t="shared" si="250"/>
        <v>Tradiciones Andinas 05/19/2025</v>
      </c>
      <c r="Z1135">
        <f t="shared" si="251"/>
        <v>64</v>
      </c>
    </row>
    <row r="1136" spans="1:26" hidden="1" x14ac:dyDescent="0.25">
      <c r="A1136" s="2" t="s">
        <v>664</v>
      </c>
      <c r="B1136" s="11" t="s">
        <v>665</v>
      </c>
      <c r="C1136" s="11" t="s">
        <v>4</v>
      </c>
      <c r="D1136" s="11" t="s">
        <v>666</v>
      </c>
      <c r="E1136" s="11" t="s">
        <v>760</v>
      </c>
      <c r="F1136" s="11" t="s">
        <v>761</v>
      </c>
      <c r="G1136" s="12">
        <v>1</v>
      </c>
      <c r="H1136" s="12">
        <v>50</v>
      </c>
      <c r="I1136" s="12">
        <v>50</v>
      </c>
      <c r="J1136" s="12">
        <v>2772.8599999999997</v>
      </c>
      <c r="K1136" s="20">
        <f t="shared" si="238"/>
        <v>6</v>
      </c>
      <c r="L1136" s="20" t="str">
        <f t="shared" si="239"/>
        <v>Se repite 6 veces</v>
      </c>
      <c r="M1136" s="20" t="str">
        <f t="shared" si="240"/>
        <v>Tradiciones Andinas-T.A Rocoto Entero / Red Hot Pepper FROZEN 16oz x 20</v>
      </c>
      <c r="N1136" s="20">
        <f t="shared" si="241"/>
        <v>6</v>
      </c>
      <c r="O1136" s="20" t="str">
        <f t="shared" si="242"/>
        <v>Se repite 6 veces en Tradiciones Andinas</v>
      </c>
      <c r="P1136" s="20" t="str">
        <f t="shared" si="243"/>
        <v>Tradiciones Andinas-T.A Rocoto Entero / Red Hot Pepper FROZEN 16oz x 20-50</v>
      </c>
      <c r="Q1136" s="20">
        <f t="shared" si="244"/>
        <v>2</v>
      </c>
      <c r="R1136" s="20" t="str">
        <f t="shared" si="245"/>
        <v>Se repite 2 veces el precio de 50</v>
      </c>
      <c r="S1136" s="20" t="str">
        <f t="shared" si="246"/>
        <v>El producto T.A Rocoto Entero / Red Hot Pepper FROZEN 16oz x 20 Se repite 6 veces en Tradiciones Andinas, Se repite 2 veces el precio de 50</v>
      </c>
      <c r="T1136" s="20" t="str">
        <f t="shared" si="247"/>
        <v>Tradiciones Andinas</v>
      </c>
      <c r="U1136" s="20" t="str">
        <f t="shared" si="248"/>
        <v>T.A Rocoto Entero / Red Hot Pepper FROZEN 16oz x 20</v>
      </c>
      <c r="V1136" s="22">
        <f t="shared" si="249"/>
        <v>50</v>
      </c>
      <c r="W1136" t="str">
        <f t="shared" si="250"/>
        <v>Tradiciones Andinas 03/31/2025</v>
      </c>
      <c r="Z1136">
        <f t="shared" si="251"/>
        <v>50</v>
      </c>
    </row>
    <row r="1137" spans="1:26" hidden="1" x14ac:dyDescent="0.25">
      <c r="A1137" s="2" t="s">
        <v>664</v>
      </c>
      <c r="B1137" s="11" t="s">
        <v>821</v>
      </c>
      <c r="C1137" s="11" t="s">
        <v>4</v>
      </c>
      <c r="D1137" s="11" t="s">
        <v>822</v>
      </c>
      <c r="E1137" s="11" t="s">
        <v>760</v>
      </c>
      <c r="F1137" s="11" t="s">
        <v>761</v>
      </c>
      <c r="G1137" s="12">
        <v>1</v>
      </c>
      <c r="H1137" s="12">
        <v>50</v>
      </c>
      <c r="I1137" s="12">
        <v>50</v>
      </c>
      <c r="J1137" s="12">
        <v>22761.54</v>
      </c>
      <c r="K1137" s="20">
        <f t="shared" si="238"/>
        <v>6</v>
      </c>
      <c r="L1137" s="20" t="str">
        <f t="shared" si="239"/>
        <v>Se repite 6 veces</v>
      </c>
      <c r="M1137" s="20" t="str">
        <f t="shared" si="240"/>
        <v>Tradiciones Andinas-T.A Rocoto Entero / Red Hot Pepper FROZEN 16oz x 20</v>
      </c>
      <c r="N1137" s="20">
        <f t="shared" si="241"/>
        <v>6</v>
      </c>
      <c r="O1137" s="20" t="str">
        <f t="shared" si="242"/>
        <v>Se repite 6 veces en Tradiciones Andinas</v>
      </c>
      <c r="P1137" s="20" t="str">
        <f t="shared" si="243"/>
        <v>Tradiciones Andinas-T.A Rocoto Entero / Red Hot Pepper FROZEN 16oz x 20-50</v>
      </c>
      <c r="Q1137" s="20">
        <f t="shared" si="244"/>
        <v>2</v>
      </c>
      <c r="R1137" s="20" t="str">
        <f t="shared" si="245"/>
        <v>Se repite 2 veces el precio de 50</v>
      </c>
      <c r="S1137" s="20" t="str">
        <f t="shared" si="246"/>
        <v>El producto T.A Rocoto Entero / Red Hot Pepper FROZEN 16oz x 20 Se repite 6 veces en Tradiciones Andinas, Se repite 2 veces el precio de 50</v>
      </c>
      <c r="T1137" s="20" t="str">
        <f t="shared" si="247"/>
        <v>Tradiciones Andinas</v>
      </c>
      <c r="U1137" s="20" t="str">
        <f t="shared" si="248"/>
        <v>T.A Rocoto Entero / Red Hot Pepper FROZEN 16oz x 20</v>
      </c>
      <c r="V1137" s="22">
        <f t="shared" si="249"/>
        <v>50</v>
      </c>
      <c r="W1137" t="str">
        <f t="shared" si="250"/>
        <v>Tradiciones Andinas 04/25/2025</v>
      </c>
      <c r="Z1137">
        <f t="shared" si="251"/>
        <v>50</v>
      </c>
    </row>
    <row r="1138" spans="1:26" hidden="1" x14ac:dyDescent="0.25">
      <c r="A1138" s="2" t="s">
        <v>664</v>
      </c>
      <c r="B1138" s="11" t="s">
        <v>654</v>
      </c>
      <c r="C1138" s="11" t="s">
        <v>4</v>
      </c>
      <c r="D1138" s="11" t="s">
        <v>940</v>
      </c>
      <c r="E1138" s="11" t="s">
        <v>760</v>
      </c>
      <c r="F1138" s="11" t="s">
        <v>979</v>
      </c>
      <c r="G1138" s="12">
        <v>8</v>
      </c>
      <c r="H1138" s="12">
        <v>53.5</v>
      </c>
      <c r="I1138" s="12">
        <v>428</v>
      </c>
      <c r="J1138" s="12">
        <v>33545.360000000008</v>
      </c>
      <c r="K1138" s="20">
        <f t="shared" si="238"/>
        <v>6</v>
      </c>
      <c r="L1138" s="20" t="str">
        <f t="shared" si="239"/>
        <v>Se repite 6 veces</v>
      </c>
      <c r="M1138" s="20" t="str">
        <f t="shared" si="240"/>
        <v>Tradiciones Andinas-T.A Rocoto Entero / Red Hot Pepper FROZEN 16oz x 20</v>
      </c>
      <c r="N1138" s="20">
        <f t="shared" si="241"/>
        <v>6</v>
      </c>
      <c r="O1138" s="20" t="str">
        <f t="shared" si="242"/>
        <v>Se repite 6 veces en Tradiciones Andinas</v>
      </c>
      <c r="P1138" s="20" t="str">
        <f t="shared" si="243"/>
        <v>Tradiciones Andinas-T.A Rocoto Entero / Red Hot Pepper FROZEN 16oz x 20-53.5</v>
      </c>
      <c r="Q1138" s="20">
        <f t="shared" si="244"/>
        <v>4</v>
      </c>
      <c r="R1138" s="20" t="str">
        <f t="shared" si="245"/>
        <v>Se repite 4 veces el precio de 53.5</v>
      </c>
      <c r="S1138" s="20" t="str">
        <f t="shared" si="246"/>
        <v>El producto T.A Rocoto Entero / Red Hot Pepper FROZEN 16oz x 20 Se repite 6 veces en Tradiciones Andinas, Se repite 4 veces el precio de 53.5</v>
      </c>
      <c r="T1138" s="20" t="str">
        <f t="shared" si="247"/>
        <v>Tradiciones Andinas</v>
      </c>
      <c r="U1138" s="20" t="str">
        <f t="shared" si="248"/>
        <v>T.A Rocoto Entero / Red Hot Pepper FROZEN 16oz x 20</v>
      </c>
      <c r="V1138" s="22">
        <f t="shared" si="249"/>
        <v>53.5</v>
      </c>
      <c r="W1138" t="str">
        <f t="shared" si="250"/>
        <v>Tradiciones Andinas 05/19/2025</v>
      </c>
      <c r="Z1138">
        <f t="shared" si="251"/>
        <v>428</v>
      </c>
    </row>
    <row r="1139" spans="1:26" hidden="1" x14ac:dyDescent="0.25">
      <c r="A1139" s="2" t="s">
        <v>664</v>
      </c>
      <c r="B1139" s="11" t="s">
        <v>158</v>
      </c>
      <c r="C1139" s="11" t="s">
        <v>4</v>
      </c>
      <c r="D1139" s="11" t="s">
        <v>984</v>
      </c>
      <c r="E1139" s="11" t="s">
        <v>760</v>
      </c>
      <c r="F1139" s="11" t="s">
        <v>979</v>
      </c>
      <c r="G1139" s="12">
        <v>10</v>
      </c>
      <c r="H1139" s="12">
        <v>53.5</v>
      </c>
      <c r="I1139" s="12">
        <v>535</v>
      </c>
      <c r="J1139" s="12">
        <v>41942.499999999993</v>
      </c>
      <c r="K1139" s="20">
        <f t="shared" si="238"/>
        <v>6</v>
      </c>
      <c r="L1139" s="20" t="str">
        <f t="shared" si="239"/>
        <v>Se repite 6 veces</v>
      </c>
      <c r="M1139" s="20" t="str">
        <f t="shared" si="240"/>
        <v>Tradiciones Andinas-T.A Rocoto Entero / Red Hot Pepper FROZEN 16oz x 20</v>
      </c>
      <c r="N1139" s="20">
        <f t="shared" si="241"/>
        <v>6</v>
      </c>
      <c r="O1139" s="20" t="str">
        <f t="shared" si="242"/>
        <v>Se repite 6 veces en Tradiciones Andinas</v>
      </c>
      <c r="P1139" s="20" t="str">
        <f t="shared" si="243"/>
        <v>Tradiciones Andinas-T.A Rocoto Entero / Red Hot Pepper FROZEN 16oz x 20-53.5</v>
      </c>
      <c r="Q1139" s="20">
        <f t="shared" si="244"/>
        <v>4</v>
      </c>
      <c r="R1139" s="20" t="str">
        <f t="shared" si="245"/>
        <v>Se repite 4 veces el precio de 53.5</v>
      </c>
      <c r="S1139" s="20" t="str">
        <f t="shared" si="246"/>
        <v>El producto T.A Rocoto Entero / Red Hot Pepper FROZEN 16oz x 20 Se repite 6 veces en Tradiciones Andinas, Se repite 4 veces el precio de 53.5</v>
      </c>
      <c r="T1139" s="20" t="str">
        <f t="shared" si="247"/>
        <v>Tradiciones Andinas</v>
      </c>
      <c r="U1139" s="20" t="str">
        <f t="shared" si="248"/>
        <v>T.A Rocoto Entero / Red Hot Pepper FROZEN 16oz x 20</v>
      </c>
      <c r="V1139" s="22">
        <f t="shared" si="249"/>
        <v>53.5</v>
      </c>
      <c r="W1139" t="str">
        <f t="shared" si="250"/>
        <v>Tradiciones Andinas 06/12/2025</v>
      </c>
      <c r="Z1139">
        <f t="shared" si="251"/>
        <v>535</v>
      </c>
    </row>
    <row r="1140" spans="1:26" hidden="1" x14ac:dyDescent="0.25">
      <c r="A1140" s="2" t="s">
        <v>664</v>
      </c>
      <c r="B1140" s="11" t="s">
        <v>1153</v>
      </c>
      <c r="C1140" s="11" t="s">
        <v>4</v>
      </c>
      <c r="D1140" s="11" t="s">
        <v>1154</v>
      </c>
      <c r="E1140" s="11" t="s">
        <v>760</v>
      </c>
      <c r="F1140" s="11" t="s">
        <v>979</v>
      </c>
      <c r="G1140" s="12">
        <v>10</v>
      </c>
      <c r="H1140" s="12">
        <v>53.5</v>
      </c>
      <c r="I1140" s="12">
        <v>535</v>
      </c>
      <c r="J1140" s="12">
        <v>86843.819999999934</v>
      </c>
      <c r="K1140" s="20">
        <f t="shared" si="238"/>
        <v>6</v>
      </c>
      <c r="L1140" s="20" t="str">
        <f t="shared" si="239"/>
        <v>Se repite 6 veces</v>
      </c>
      <c r="M1140" s="20" t="str">
        <f t="shared" si="240"/>
        <v>Tradiciones Andinas-T.A Rocoto Entero / Red Hot Pepper FROZEN 16oz x 20</v>
      </c>
      <c r="N1140" s="20">
        <f t="shared" si="241"/>
        <v>6</v>
      </c>
      <c r="O1140" s="20" t="str">
        <f t="shared" si="242"/>
        <v>Se repite 6 veces en Tradiciones Andinas</v>
      </c>
      <c r="P1140" s="20" t="str">
        <f t="shared" si="243"/>
        <v>Tradiciones Andinas-T.A Rocoto Entero / Red Hot Pepper FROZEN 16oz x 20-53.5</v>
      </c>
      <c r="Q1140" s="20">
        <f t="shared" si="244"/>
        <v>4</v>
      </c>
      <c r="R1140" s="20" t="str">
        <f t="shared" si="245"/>
        <v>Se repite 4 veces el precio de 53.5</v>
      </c>
      <c r="S1140" s="20" t="str">
        <f t="shared" si="246"/>
        <v>El producto T.A Rocoto Entero / Red Hot Pepper FROZEN 16oz x 20 Se repite 6 veces en Tradiciones Andinas, Se repite 4 veces el precio de 53.5</v>
      </c>
      <c r="T1140" s="20" t="str">
        <f t="shared" si="247"/>
        <v>Tradiciones Andinas</v>
      </c>
      <c r="U1140" s="20" t="str">
        <f t="shared" si="248"/>
        <v>T.A Rocoto Entero / Red Hot Pepper FROZEN 16oz x 20</v>
      </c>
      <c r="V1140" s="22">
        <f t="shared" si="249"/>
        <v>53.5</v>
      </c>
      <c r="W1140" t="str">
        <f t="shared" si="250"/>
        <v>Tradiciones Andinas 09/24/2025</v>
      </c>
      <c r="Z1140">
        <f t="shared" si="251"/>
        <v>535</v>
      </c>
    </row>
    <row r="1141" spans="1:26" hidden="1" x14ac:dyDescent="0.25">
      <c r="A1141" s="2" t="s">
        <v>664</v>
      </c>
      <c r="B1141" s="11" t="s">
        <v>1207</v>
      </c>
      <c r="C1141" s="11" t="s">
        <v>4</v>
      </c>
      <c r="D1141" s="11" t="s">
        <v>1208</v>
      </c>
      <c r="E1141" s="11" t="s">
        <v>760</v>
      </c>
      <c r="F1141" s="11" t="s">
        <v>979</v>
      </c>
      <c r="G1141" s="12">
        <v>10</v>
      </c>
      <c r="H1141" s="12">
        <v>53.5</v>
      </c>
      <c r="I1141" s="12">
        <v>535</v>
      </c>
      <c r="J1141" s="12">
        <v>114425.95999999988</v>
      </c>
      <c r="K1141" s="20">
        <f t="shared" si="238"/>
        <v>6</v>
      </c>
      <c r="L1141" s="20" t="str">
        <f t="shared" si="239"/>
        <v>Se repite 6 veces</v>
      </c>
      <c r="M1141" s="20" t="str">
        <f t="shared" si="240"/>
        <v>Tradiciones Andinas-T.A Rocoto Entero / Red Hot Pepper FROZEN 16oz x 20</v>
      </c>
      <c r="N1141" s="20">
        <f t="shared" si="241"/>
        <v>6</v>
      </c>
      <c r="O1141" s="20" t="str">
        <f t="shared" si="242"/>
        <v>Se repite 6 veces en Tradiciones Andinas</v>
      </c>
      <c r="P1141" s="20" t="str">
        <f t="shared" si="243"/>
        <v>Tradiciones Andinas-T.A Rocoto Entero / Red Hot Pepper FROZEN 16oz x 20-53.5</v>
      </c>
      <c r="Q1141" s="20">
        <f t="shared" si="244"/>
        <v>4</v>
      </c>
      <c r="R1141" s="20" t="str">
        <f t="shared" si="245"/>
        <v>Se repite 4 veces el precio de 53.5</v>
      </c>
      <c r="S1141" s="20" t="str">
        <f t="shared" si="246"/>
        <v>El producto T.A Rocoto Entero / Red Hot Pepper FROZEN 16oz x 20 Se repite 6 veces en Tradiciones Andinas, Se repite 4 veces el precio de 53.5</v>
      </c>
      <c r="T1141" s="20" t="str">
        <f t="shared" si="247"/>
        <v>Tradiciones Andinas</v>
      </c>
      <c r="U1141" s="20" t="str">
        <f t="shared" si="248"/>
        <v>T.A Rocoto Entero / Red Hot Pepper FROZEN 16oz x 20</v>
      </c>
      <c r="V1141" s="22">
        <f t="shared" si="249"/>
        <v>53.5</v>
      </c>
      <c r="W1141" t="str">
        <f t="shared" si="250"/>
        <v>Tradiciones Andinas 11/28/2025</v>
      </c>
      <c r="Z1141">
        <f t="shared" si="251"/>
        <v>535</v>
      </c>
    </row>
    <row r="1142" spans="1:26" hidden="1" x14ac:dyDescent="0.25">
      <c r="A1142" s="2" t="s">
        <v>664</v>
      </c>
      <c r="B1142" s="11" t="s">
        <v>665</v>
      </c>
      <c r="C1142" s="11" t="s">
        <v>4</v>
      </c>
      <c r="D1142" s="11" t="s">
        <v>666</v>
      </c>
      <c r="E1142" s="11" t="s">
        <v>681</v>
      </c>
      <c r="F1142" s="11" t="s">
        <v>682</v>
      </c>
      <c r="G1142" s="12">
        <v>1</v>
      </c>
      <c r="H1142" s="12">
        <v>23.88</v>
      </c>
      <c r="I1142" s="12">
        <v>23.88</v>
      </c>
      <c r="J1142" s="12">
        <v>405.00000000000006</v>
      </c>
      <c r="K1142" s="20">
        <f t="shared" si="238"/>
        <v>3</v>
      </c>
      <c r="L1142" s="20" t="str">
        <f t="shared" si="239"/>
        <v>Se repite 3 veces</v>
      </c>
      <c r="M1142" s="20" t="str">
        <f t="shared" si="240"/>
        <v>Tradiciones Andinas-T.A Rocoto Pasta 10.5oz x 12</v>
      </c>
      <c r="N1142" s="20">
        <f t="shared" si="241"/>
        <v>3</v>
      </c>
      <c r="O1142" s="20" t="str">
        <f t="shared" si="242"/>
        <v>Se repite 3 veces en Tradiciones Andinas</v>
      </c>
      <c r="P1142" s="20" t="str">
        <f t="shared" si="243"/>
        <v>Tradiciones Andinas-T.A Rocoto Pasta 10.5oz x 12-23.88</v>
      </c>
      <c r="Q1142" s="20">
        <f t="shared" si="244"/>
        <v>3</v>
      </c>
      <c r="R1142" s="20" t="str">
        <f t="shared" si="245"/>
        <v>Se repite 3 veces el precio de 23.88</v>
      </c>
      <c r="S1142" s="20" t="str">
        <f t="shared" si="246"/>
        <v>El producto T.A Rocoto Pasta 10.5oz x 12 Se repite 3 veces en Tradiciones Andinas, Se repite 3 veces el precio de 23.88</v>
      </c>
      <c r="T1142" s="20" t="str">
        <f t="shared" si="247"/>
        <v>Tradiciones Andinas</v>
      </c>
      <c r="U1142" s="20" t="str">
        <f t="shared" si="248"/>
        <v>T.A Rocoto Pasta 10.5oz x 12</v>
      </c>
      <c r="V1142" s="22">
        <f t="shared" si="249"/>
        <v>23.88</v>
      </c>
      <c r="W1142" t="str">
        <f t="shared" si="250"/>
        <v>Tradiciones Andinas 03/31/2025</v>
      </c>
      <c r="Z1142">
        <f t="shared" si="251"/>
        <v>23.88</v>
      </c>
    </row>
    <row r="1143" spans="1:26" hidden="1" x14ac:dyDescent="0.25">
      <c r="A1143" s="2" t="s">
        <v>664</v>
      </c>
      <c r="B1143" s="11" t="s">
        <v>398</v>
      </c>
      <c r="C1143" s="11" t="s">
        <v>4</v>
      </c>
      <c r="D1143" s="11" t="s">
        <v>5</v>
      </c>
      <c r="E1143" s="11" t="s">
        <v>681</v>
      </c>
      <c r="F1143" s="11" t="s">
        <v>682</v>
      </c>
      <c r="G1143" s="12">
        <v>2</v>
      </c>
      <c r="H1143" s="12">
        <v>23.88</v>
      </c>
      <c r="I1143" s="12">
        <v>47.76</v>
      </c>
      <c r="J1143" s="12">
        <v>3775.3999999999996</v>
      </c>
      <c r="K1143" s="20">
        <f t="shared" si="238"/>
        <v>3</v>
      </c>
      <c r="L1143" s="20" t="str">
        <f t="shared" si="239"/>
        <v>Se repite 3 veces</v>
      </c>
      <c r="M1143" s="20" t="str">
        <f t="shared" si="240"/>
        <v>Tradiciones Andinas-T.A Rocoto Pasta 10.5oz x 12</v>
      </c>
      <c r="N1143" s="20">
        <f t="shared" si="241"/>
        <v>3</v>
      </c>
      <c r="O1143" s="20" t="str">
        <f t="shared" si="242"/>
        <v>Se repite 3 veces en Tradiciones Andinas</v>
      </c>
      <c r="P1143" s="20" t="str">
        <f t="shared" si="243"/>
        <v>Tradiciones Andinas-T.A Rocoto Pasta 10.5oz x 12-23.88</v>
      </c>
      <c r="Q1143" s="20">
        <f t="shared" si="244"/>
        <v>3</v>
      </c>
      <c r="R1143" s="20" t="str">
        <f t="shared" si="245"/>
        <v>Se repite 3 veces el precio de 23.88</v>
      </c>
      <c r="S1143" s="20" t="str">
        <f t="shared" si="246"/>
        <v>El producto T.A Rocoto Pasta 10.5oz x 12 Se repite 3 veces en Tradiciones Andinas, Se repite 3 veces el precio de 23.88</v>
      </c>
      <c r="T1143" s="20" t="str">
        <f t="shared" si="247"/>
        <v>Tradiciones Andinas</v>
      </c>
      <c r="U1143" s="20" t="str">
        <f t="shared" si="248"/>
        <v>T.A Rocoto Pasta 10.5oz x 12</v>
      </c>
      <c r="V1143" s="22">
        <f t="shared" si="249"/>
        <v>23.88</v>
      </c>
      <c r="W1143" t="str">
        <f t="shared" si="250"/>
        <v>Tradiciones Andinas 04/10/2025</v>
      </c>
      <c r="Z1143">
        <f t="shared" si="251"/>
        <v>47.76</v>
      </c>
    </row>
    <row r="1144" spans="1:26" hidden="1" x14ac:dyDescent="0.25">
      <c r="A1144" s="2" t="s">
        <v>664</v>
      </c>
      <c r="B1144" s="11" t="s">
        <v>821</v>
      </c>
      <c r="C1144" s="11" t="s">
        <v>4</v>
      </c>
      <c r="D1144" s="11" t="s">
        <v>822</v>
      </c>
      <c r="E1144" s="11" t="s">
        <v>681</v>
      </c>
      <c r="F1144" s="11" t="s">
        <v>682</v>
      </c>
      <c r="G1144" s="12">
        <v>4</v>
      </c>
      <c r="H1144" s="12">
        <v>23.88</v>
      </c>
      <c r="I1144" s="12">
        <v>95.52</v>
      </c>
      <c r="J1144" s="12">
        <v>9553.1999999999971</v>
      </c>
      <c r="K1144" s="20">
        <f t="shared" si="238"/>
        <v>3</v>
      </c>
      <c r="L1144" s="20" t="str">
        <f t="shared" si="239"/>
        <v>Se repite 3 veces</v>
      </c>
      <c r="M1144" s="20" t="str">
        <f t="shared" si="240"/>
        <v>Tradiciones Andinas-T.A Rocoto Pasta 10.5oz x 12</v>
      </c>
      <c r="N1144" s="20">
        <f t="shared" si="241"/>
        <v>3</v>
      </c>
      <c r="O1144" s="20" t="str">
        <f t="shared" si="242"/>
        <v>Se repite 3 veces en Tradiciones Andinas</v>
      </c>
      <c r="P1144" s="20" t="str">
        <f t="shared" si="243"/>
        <v>Tradiciones Andinas-T.A Rocoto Pasta 10.5oz x 12-23.88</v>
      </c>
      <c r="Q1144" s="20">
        <f t="shared" si="244"/>
        <v>3</v>
      </c>
      <c r="R1144" s="20" t="str">
        <f t="shared" si="245"/>
        <v>Se repite 3 veces el precio de 23.88</v>
      </c>
      <c r="S1144" s="20" t="str">
        <f t="shared" si="246"/>
        <v>El producto T.A Rocoto Pasta 10.5oz x 12 Se repite 3 veces en Tradiciones Andinas, Se repite 3 veces el precio de 23.88</v>
      </c>
      <c r="T1144" s="20" t="str">
        <f t="shared" si="247"/>
        <v>Tradiciones Andinas</v>
      </c>
      <c r="U1144" s="20" t="str">
        <f t="shared" si="248"/>
        <v>T.A Rocoto Pasta 10.5oz x 12</v>
      </c>
      <c r="V1144" s="22">
        <f t="shared" si="249"/>
        <v>23.88</v>
      </c>
      <c r="W1144" t="str">
        <f t="shared" si="250"/>
        <v>Tradiciones Andinas 04/25/2025</v>
      </c>
      <c r="Z1144">
        <f t="shared" si="251"/>
        <v>95.52</v>
      </c>
    </row>
    <row r="1145" spans="1:26" hidden="1" x14ac:dyDescent="0.25">
      <c r="A1145" s="2" t="s">
        <v>664</v>
      </c>
      <c r="B1145" s="11" t="s">
        <v>665</v>
      </c>
      <c r="C1145" s="11" t="s">
        <v>4</v>
      </c>
      <c r="D1145" s="11" t="s">
        <v>666</v>
      </c>
      <c r="E1145" s="11" t="s">
        <v>688</v>
      </c>
      <c r="F1145" s="11" t="s">
        <v>689</v>
      </c>
      <c r="G1145" s="12">
        <v>2</v>
      </c>
      <c r="H1145" s="12">
        <v>27.48</v>
      </c>
      <c r="I1145" s="12">
        <v>54.96</v>
      </c>
      <c r="J1145" s="12">
        <v>593.88000000000011</v>
      </c>
      <c r="K1145" s="20">
        <f t="shared" si="238"/>
        <v>4</v>
      </c>
      <c r="L1145" s="20" t="str">
        <f t="shared" si="239"/>
        <v>Se repite 4 veces</v>
      </c>
      <c r="M1145" s="20" t="str">
        <f t="shared" si="240"/>
        <v>Tradiciones Andinas-T.A Rocoto Pasta 15oz X 12</v>
      </c>
      <c r="N1145" s="20">
        <f t="shared" si="241"/>
        <v>4</v>
      </c>
      <c r="O1145" s="20" t="str">
        <f t="shared" si="242"/>
        <v>Se repite 4 veces en Tradiciones Andinas</v>
      </c>
      <c r="P1145" s="20" t="str">
        <f t="shared" si="243"/>
        <v>Tradiciones Andinas-T.A Rocoto Pasta 15oz X 12-27.48</v>
      </c>
      <c r="Q1145" s="20">
        <f t="shared" si="244"/>
        <v>2</v>
      </c>
      <c r="R1145" s="20" t="str">
        <f t="shared" si="245"/>
        <v>Se repite 2 veces el precio de 27.48</v>
      </c>
      <c r="S1145" s="20" t="str">
        <f t="shared" si="246"/>
        <v>El producto T.A Rocoto Pasta 15oz X 12 Se repite 4 veces en Tradiciones Andinas, Se repite 2 veces el precio de 27.48</v>
      </c>
      <c r="T1145" s="20" t="str">
        <f t="shared" si="247"/>
        <v>Tradiciones Andinas</v>
      </c>
      <c r="U1145" s="20" t="str">
        <f t="shared" si="248"/>
        <v>T.A Rocoto Pasta 15oz X 12</v>
      </c>
      <c r="V1145" s="22">
        <f t="shared" si="249"/>
        <v>27.48</v>
      </c>
      <c r="W1145" t="str">
        <f t="shared" si="250"/>
        <v>Tradiciones Andinas 03/31/2025</v>
      </c>
      <c r="Z1145">
        <f t="shared" si="251"/>
        <v>54.96</v>
      </c>
    </row>
    <row r="1146" spans="1:26" hidden="1" x14ac:dyDescent="0.25">
      <c r="A1146" s="2" t="s">
        <v>664</v>
      </c>
      <c r="B1146" s="11" t="s">
        <v>398</v>
      </c>
      <c r="C1146" s="11" t="s">
        <v>4</v>
      </c>
      <c r="D1146" s="11" t="s">
        <v>5</v>
      </c>
      <c r="E1146" s="11" t="s">
        <v>688</v>
      </c>
      <c r="F1146" s="11" t="s">
        <v>689</v>
      </c>
      <c r="G1146" s="12">
        <v>1</v>
      </c>
      <c r="H1146" s="12">
        <v>27.48</v>
      </c>
      <c r="I1146" s="12">
        <v>27.48</v>
      </c>
      <c r="J1146" s="12">
        <v>3936.7999999999997</v>
      </c>
      <c r="K1146" s="20">
        <f t="shared" si="238"/>
        <v>4</v>
      </c>
      <c r="L1146" s="20" t="str">
        <f t="shared" si="239"/>
        <v>Se repite 4 veces</v>
      </c>
      <c r="M1146" s="20" t="str">
        <f t="shared" si="240"/>
        <v>Tradiciones Andinas-T.A Rocoto Pasta 15oz X 12</v>
      </c>
      <c r="N1146" s="20">
        <f t="shared" si="241"/>
        <v>4</v>
      </c>
      <c r="O1146" s="20" t="str">
        <f t="shared" si="242"/>
        <v>Se repite 4 veces en Tradiciones Andinas</v>
      </c>
      <c r="P1146" s="20" t="str">
        <f t="shared" si="243"/>
        <v>Tradiciones Andinas-T.A Rocoto Pasta 15oz X 12-27.48</v>
      </c>
      <c r="Q1146" s="20">
        <f t="shared" si="244"/>
        <v>2</v>
      </c>
      <c r="R1146" s="20" t="str">
        <f t="shared" si="245"/>
        <v>Se repite 2 veces el precio de 27.48</v>
      </c>
      <c r="S1146" s="20" t="str">
        <f t="shared" si="246"/>
        <v>El producto T.A Rocoto Pasta 15oz X 12 Se repite 4 veces en Tradiciones Andinas, Se repite 2 veces el precio de 27.48</v>
      </c>
      <c r="T1146" s="20" t="str">
        <f t="shared" si="247"/>
        <v>Tradiciones Andinas</v>
      </c>
      <c r="U1146" s="20" t="str">
        <f t="shared" si="248"/>
        <v>T.A Rocoto Pasta 15oz X 12</v>
      </c>
      <c r="V1146" s="22">
        <f t="shared" si="249"/>
        <v>27.48</v>
      </c>
      <c r="W1146" t="str">
        <f t="shared" si="250"/>
        <v>Tradiciones Andinas 04/10/2025</v>
      </c>
      <c r="Z1146">
        <f t="shared" si="251"/>
        <v>27.48</v>
      </c>
    </row>
    <row r="1147" spans="1:26" hidden="1" x14ac:dyDescent="0.25">
      <c r="A1147" s="2" t="s">
        <v>664</v>
      </c>
      <c r="B1147" s="11" t="s">
        <v>1033</v>
      </c>
      <c r="C1147" s="11" t="s">
        <v>4</v>
      </c>
      <c r="D1147" s="11" t="s">
        <v>1034</v>
      </c>
      <c r="E1147" s="11" t="s">
        <v>688</v>
      </c>
      <c r="F1147" s="11" t="s">
        <v>689</v>
      </c>
      <c r="G1147" s="12">
        <v>3</v>
      </c>
      <c r="H1147" s="12">
        <v>29.4</v>
      </c>
      <c r="I1147" s="12">
        <v>88.2</v>
      </c>
      <c r="J1147" s="12">
        <v>46620.669999999976</v>
      </c>
      <c r="K1147" s="20">
        <f t="shared" si="238"/>
        <v>4</v>
      </c>
      <c r="L1147" s="20" t="str">
        <f t="shared" si="239"/>
        <v>Se repite 4 veces</v>
      </c>
      <c r="M1147" s="20" t="str">
        <f t="shared" si="240"/>
        <v>Tradiciones Andinas-T.A Rocoto Pasta 15oz X 12</v>
      </c>
      <c r="N1147" s="20">
        <f t="shared" si="241"/>
        <v>4</v>
      </c>
      <c r="O1147" s="20" t="str">
        <f t="shared" si="242"/>
        <v>Se repite 4 veces en Tradiciones Andinas</v>
      </c>
      <c r="P1147" s="20" t="str">
        <f t="shared" si="243"/>
        <v>Tradiciones Andinas-T.A Rocoto Pasta 15oz X 12-29.4</v>
      </c>
      <c r="Q1147" s="20">
        <f t="shared" si="244"/>
        <v>2</v>
      </c>
      <c r="R1147" s="20" t="str">
        <f t="shared" si="245"/>
        <v>Se repite 2 veces el precio de 29.4</v>
      </c>
      <c r="S1147" s="20" t="str">
        <f t="shared" si="246"/>
        <v>El producto T.A Rocoto Pasta 15oz X 12 Se repite 4 veces en Tradiciones Andinas, Se repite 2 veces el precio de 29.4</v>
      </c>
      <c r="T1147" s="20" t="str">
        <f t="shared" si="247"/>
        <v>Tradiciones Andinas</v>
      </c>
      <c r="U1147" s="20" t="str">
        <f t="shared" si="248"/>
        <v>T.A Rocoto Pasta 15oz X 12</v>
      </c>
      <c r="V1147" s="22">
        <f t="shared" si="249"/>
        <v>29.4</v>
      </c>
      <c r="W1147" t="str">
        <f t="shared" si="250"/>
        <v>Tradiciones Andinas 07/03/2025</v>
      </c>
      <c r="Z1147">
        <f t="shared" si="251"/>
        <v>88.199999999999989</v>
      </c>
    </row>
    <row r="1148" spans="1:26" hidden="1" x14ac:dyDescent="0.25">
      <c r="A1148" s="2" t="s">
        <v>664</v>
      </c>
      <c r="B1148" s="11" t="s">
        <v>1125</v>
      </c>
      <c r="C1148" s="11" t="s">
        <v>4</v>
      </c>
      <c r="D1148" s="11" t="s">
        <v>1126</v>
      </c>
      <c r="E1148" s="11" t="s">
        <v>688</v>
      </c>
      <c r="F1148" s="11" t="s">
        <v>689</v>
      </c>
      <c r="G1148" s="12">
        <v>1</v>
      </c>
      <c r="H1148" s="12">
        <v>29.4</v>
      </c>
      <c r="I1148" s="12">
        <v>29.4</v>
      </c>
      <c r="J1148" s="12">
        <v>67966.98000000001</v>
      </c>
      <c r="K1148" s="20">
        <f t="shared" si="238"/>
        <v>4</v>
      </c>
      <c r="L1148" s="20" t="str">
        <f t="shared" si="239"/>
        <v>Se repite 4 veces</v>
      </c>
      <c r="M1148" s="20" t="str">
        <f t="shared" si="240"/>
        <v>Tradiciones Andinas-T.A Rocoto Pasta 15oz X 12</v>
      </c>
      <c r="N1148" s="20">
        <f t="shared" si="241"/>
        <v>4</v>
      </c>
      <c r="O1148" s="20" t="str">
        <f t="shared" si="242"/>
        <v>Se repite 4 veces en Tradiciones Andinas</v>
      </c>
      <c r="P1148" s="20" t="str">
        <f t="shared" si="243"/>
        <v>Tradiciones Andinas-T.A Rocoto Pasta 15oz X 12-29.4</v>
      </c>
      <c r="Q1148" s="20">
        <f t="shared" si="244"/>
        <v>2</v>
      </c>
      <c r="R1148" s="20" t="str">
        <f t="shared" si="245"/>
        <v>Se repite 2 veces el precio de 29.4</v>
      </c>
      <c r="S1148" s="20" t="str">
        <f t="shared" si="246"/>
        <v>El producto T.A Rocoto Pasta 15oz X 12 Se repite 4 veces en Tradiciones Andinas, Se repite 2 veces el precio de 29.4</v>
      </c>
      <c r="T1148" s="20" t="str">
        <f t="shared" si="247"/>
        <v>Tradiciones Andinas</v>
      </c>
      <c r="U1148" s="20" t="str">
        <f t="shared" si="248"/>
        <v>T.A Rocoto Pasta 15oz X 12</v>
      </c>
      <c r="V1148" s="22">
        <f t="shared" si="249"/>
        <v>29.4</v>
      </c>
      <c r="W1148" t="str">
        <f t="shared" si="250"/>
        <v>Tradiciones Andinas 08/18/2025</v>
      </c>
      <c r="Z1148">
        <f t="shared" si="251"/>
        <v>29.4</v>
      </c>
    </row>
    <row r="1149" spans="1:26" hidden="1" x14ac:dyDescent="0.25">
      <c r="A1149" s="2" t="s">
        <v>664</v>
      </c>
      <c r="B1149" s="11" t="s">
        <v>821</v>
      </c>
      <c r="C1149" s="11" t="s">
        <v>4</v>
      </c>
      <c r="D1149" s="11" t="s">
        <v>822</v>
      </c>
      <c r="E1149" s="11" t="s">
        <v>828</v>
      </c>
      <c r="F1149" s="11" t="s">
        <v>829</v>
      </c>
      <c r="G1149" s="12">
        <v>2</v>
      </c>
      <c r="H1149" s="12">
        <v>27</v>
      </c>
      <c r="I1149" s="12">
        <v>54</v>
      </c>
      <c r="J1149" s="12">
        <v>9794.159999999998</v>
      </c>
      <c r="K1149" s="20">
        <f t="shared" si="238"/>
        <v>5</v>
      </c>
      <c r="L1149" s="20" t="str">
        <f t="shared" si="239"/>
        <v>Se repite 5 veces</v>
      </c>
      <c r="M1149" s="20" t="str">
        <f t="shared" si="240"/>
        <v>Tradiciones Andinas-T.A Salsa Parrillera /BBQ Seasoning 15oz x 12</v>
      </c>
      <c r="N1149" s="20">
        <f t="shared" si="241"/>
        <v>5</v>
      </c>
      <c r="O1149" s="20" t="str">
        <f t="shared" si="242"/>
        <v>Se repite 5 veces en Tradiciones Andinas</v>
      </c>
      <c r="P1149" s="20" t="str">
        <f t="shared" si="243"/>
        <v>Tradiciones Andinas-T.A Salsa Parrillera /BBQ Seasoning 15oz x 12-27</v>
      </c>
      <c r="Q1149" s="20">
        <f t="shared" si="244"/>
        <v>1</v>
      </c>
      <c r="R1149" s="20" t="str">
        <f t="shared" si="245"/>
        <v>No se repite</v>
      </c>
      <c r="S1149" s="20" t="str">
        <f t="shared" si="246"/>
        <v>El producto T.A Salsa Parrillera /BBQ Seasoning 15oz x 12 Se repite 5 veces en Tradiciones Andinas Una vez con el precio 27</v>
      </c>
      <c r="T1149" s="20" t="str">
        <f t="shared" si="247"/>
        <v>Tradiciones Andinas</v>
      </c>
      <c r="U1149" s="20" t="str">
        <f t="shared" si="248"/>
        <v>T.A Salsa Parrillera /BBQ Seasoning 15oz x 12</v>
      </c>
      <c r="V1149" s="22">
        <f t="shared" si="249"/>
        <v>27</v>
      </c>
      <c r="W1149" t="str">
        <f t="shared" si="250"/>
        <v>Tradiciones Andinas 04/25/2025</v>
      </c>
      <c r="Z1149">
        <f t="shared" si="251"/>
        <v>54</v>
      </c>
    </row>
    <row r="1150" spans="1:26" hidden="1" x14ac:dyDescent="0.25">
      <c r="A1150" s="2" t="s">
        <v>664</v>
      </c>
      <c r="B1150" s="11" t="s">
        <v>158</v>
      </c>
      <c r="C1150" s="11" t="s">
        <v>4</v>
      </c>
      <c r="D1150" s="11" t="s">
        <v>984</v>
      </c>
      <c r="E1150" s="11" t="s">
        <v>828</v>
      </c>
      <c r="F1150" s="11" t="s">
        <v>987</v>
      </c>
      <c r="G1150" s="12">
        <v>3</v>
      </c>
      <c r="H1150" s="12">
        <v>28.89</v>
      </c>
      <c r="I1150" s="12">
        <v>86.67</v>
      </c>
      <c r="J1150" s="12">
        <v>35106.310000000005</v>
      </c>
      <c r="K1150" s="20">
        <f t="shared" si="238"/>
        <v>5</v>
      </c>
      <c r="L1150" s="20" t="str">
        <f t="shared" si="239"/>
        <v>Se repite 5 veces</v>
      </c>
      <c r="M1150" s="20" t="str">
        <f t="shared" si="240"/>
        <v>Tradiciones Andinas-T.A Salsa Parrillera /BBQ Seasoning 15oz x 12</v>
      </c>
      <c r="N1150" s="20">
        <f t="shared" si="241"/>
        <v>5</v>
      </c>
      <c r="O1150" s="20" t="str">
        <f t="shared" si="242"/>
        <v>Se repite 5 veces en Tradiciones Andinas</v>
      </c>
      <c r="P1150" s="20" t="str">
        <f t="shared" si="243"/>
        <v>Tradiciones Andinas-T.A Salsa Parrillera /BBQ Seasoning 15oz x 12-28.89</v>
      </c>
      <c r="Q1150" s="20">
        <f t="shared" si="244"/>
        <v>2</v>
      </c>
      <c r="R1150" s="20" t="str">
        <f t="shared" si="245"/>
        <v>Se repite 2 veces el precio de 28.89</v>
      </c>
      <c r="S1150" s="20" t="str">
        <f t="shared" si="246"/>
        <v>El producto T.A Salsa Parrillera /BBQ Seasoning 15oz x 12 Se repite 5 veces en Tradiciones Andinas, Se repite 2 veces el precio de 28.89</v>
      </c>
      <c r="T1150" s="20" t="str">
        <f t="shared" si="247"/>
        <v>Tradiciones Andinas</v>
      </c>
      <c r="U1150" s="20" t="str">
        <f t="shared" si="248"/>
        <v>T.A Salsa Parrillera /BBQ Seasoning 15oz x 12</v>
      </c>
      <c r="V1150" s="22">
        <f t="shared" si="249"/>
        <v>28.89</v>
      </c>
      <c r="W1150" t="str">
        <f t="shared" si="250"/>
        <v>Tradiciones Andinas 06/12/2025</v>
      </c>
      <c r="Z1150">
        <f t="shared" si="251"/>
        <v>86.67</v>
      </c>
    </row>
    <row r="1151" spans="1:26" hidden="1" x14ac:dyDescent="0.25">
      <c r="A1151" s="2" t="s">
        <v>664</v>
      </c>
      <c r="B1151" s="11" t="s">
        <v>1033</v>
      </c>
      <c r="C1151" s="11" t="s">
        <v>4</v>
      </c>
      <c r="D1151" s="11" t="s">
        <v>1034</v>
      </c>
      <c r="E1151" s="11" t="s">
        <v>828</v>
      </c>
      <c r="F1151" s="11" t="s">
        <v>987</v>
      </c>
      <c r="G1151" s="12">
        <v>2</v>
      </c>
      <c r="H1151" s="12">
        <v>28.88</v>
      </c>
      <c r="I1151" s="12">
        <v>57.76</v>
      </c>
      <c r="J1151" s="12">
        <v>46678.429999999978</v>
      </c>
      <c r="K1151" s="20">
        <f t="shared" si="238"/>
        <v>5</v>
      </c>
      <c r="L1151" s="20" t="str">
        <f t="shared" si="239"/>
        <v>Se repite 5 veces</v>
      </c>
      <c r="M1151" s="20" t="str">
        <f t="shared" si="240"/>
        <v>Tradiciones Andinas-T.A Salsa Parrillera /BBQ Seasoning 15oz x 12</v>
      </c>
      <c r="N1151" s="20">
        <f t="shared" si="241"/>
        <v>5</v>
      </c>
      <c r="O1151" s="20" t="str">
        <f t="shared" si="242"/>
        <v>Se repite 5 veces en Tradiciones Andinas</v>
      </c>
      <c r="P1151" s="20" t="str">
        <f t="shared" si="243"/>
        <v>Tradiciones Andinas-T.A Salsa Parrillera /BBQ Seasoning 15oz x 12-28.88</v>
      </c>
      <c r="Q1151" s="20">
        <f t="shared" si="244"/>
        <v>2</v>
      </c>
      <c r="R1151" s="20" t="str">
        <f t="shared" si="245"/>
        <v>Se repite 2 veces el precio de 28.88</v>
      </c>
      <c r="S1151" s="20" t="str">
        <f t="shared" si="246"/>
        <v>El producto T.A Salsa Parrillera /BBQ Seasoning 15oz x 12 Se repite 5 veces en Tradiciones Andinas, Se repite 2 veces el precio de 28.88</v>
      </c>
      <c r="T1151" s="20" t="str">
        <f t="shared" si="247"/>
        <v>Tradiciones Andinas</v>
      </c>
      <c r="U1151" s="20" t="str">
        <f t="shared" si="248"/>
        <v>T.A Salsa Parrillera /BBQ Seasoning 15oz x 12</v>
      </c>
      <c r="V1151" s="22">
        <f t="shared" si="249"/>
        <v>28.88</v>
      </c>
      <c r="W1151" t="str">
        <f t="shared" si="250"/>
        <v>Tradiciones Andinas 07/03/2025</v>
      </c>
      <c r="Z1151">
        <f t="shared" si="251"/>
        <v>57.76</v>
      </c>
    </row>
    <row r="1152" spans="1:26" hidden="1" x14ac:dyDescent="0.25">
      <c r="A1152" s="2" t="s">
        <v>664</v>
      </c>
      <c r="B1152" s="11" t="s">
        <v>1125</v>
      </c>
      <c r="C1152" s="11" t="s">
        <v>4</v>
      </c>
      <c r="D1152" s="11" t="s">
        <v>1126</v>
      </c>
      <c r="E1152" s="11" t="s">
        <v>828</v>
      </c>
      <c r="F1152" s="11" t="s">
        <v>987</v>
      </c>
      <c r="G1152" s="12">
        <v>2</v>
      </c>
      <c r="H1152" s="12">
        <v>28.89</v>
      </c>
      <c r="I1152" s="12">
        <v>57.78</v>
      </c>
      <c r="J1152" s="12">
        <v>68096.52</v>
      </c>
      <c r="K1152" s="20">
        <f t="shared" si="238"/>
        <v>5</v>
      </c>
      <c r="L1152" s="20" t="str">
        <f t="shared" si="239"/>
        <v>Se repite 5 veces</v>
      </c>
      <c r="M1152" s="20" t="str">
        <f t="shared" si="240"/>
        <v>Tradiciones Andinas-T.A Salsa Parrillera /BBQ Seasoning 15oz x 12</v>
      </c>
      <c r="N1152" s="20">
        <f t="shared" si="241"/>
        <v>5</v>
      </c>
      <c r="O1152" s="20" t="str">
        <f t="shared" si="242"/>
        <v>Se repite 5 veces en Tradiciones Andinas</v>
      </c>
      <c r="P1152" s="20" t="str">
        <f t="shared" si="243"/>
        <v>Tradiciones Andinas-T.A Salsa Parrillera /BBQ Seasoning 15oz x 12-28.89</v>
      </c>
      <c r="Q1152" s="20">
        <f t="shared" si="244"/>
        <v>2</v>
      </c>
      <c r="R1152" s="20" t="str">
        <f t="shared" si="245"/>
        <v>Se repite 2 veces el precio de 28.89</v>
      </c>
      <c r="S1152" s="20" t="str">
        <f t="shared" si="246"/>
        <v>El producto T.A Salsa Parrillera /BBQ Seasoning 15oz x 12 Se repite 5 veces en Tradiciones Andinas, Se repite 2 veces el precio de 28.89</v>
      </c>
      <c r="T1152" s="20" t="str">
        <f t="shared" si="247"/>
        <v>Tradiciones Andinas</v>
      </c>
      <c r="U1152" s="20" t="str">
        <f t="shared" si="248"/>
        <v>T.A Salsa Parrillera /BBQ Seasoning 15oz x 12</v>
      </c>
      <c r="V1152" s="22">
        <f t="shared" si="249"/>
        <v>28.89</v>
      </c>
      <c r="W1152" t="str">
        <f t="shared" si="250"/>
        <v>Tradiciones Andinas 08/18/2025</v>
      </c>
      <c r="Z1152">
        <f t="shared" si="251"/>
        <v>57.78</v>
      </c>
    </row>
    <row r="1153" spans="1:26" hidden="1" x14ac:dyDescent="0.25">
      <c r="A1153" s="2" t="s">
        <v>664</v>
      </c>
      <c r="B1153" s="11" t="s">
        <v>1153</v>
      </c>
      <c r="C1153" s="11" t="s">
        <v>4</v>
      </c>
      <c r="D1153" s="11" t="s">
        <v>1154</v>
      </c>
      <c r="E1153" s="11" t="s">
        <v>828</v>
      </c>
      <c r="F1153" s="11" t="s">
        <v>987</v>
      </c>
      <c r="G1153" s="12">
        <v>2</v>
      </c>
      <c r="H1153" s="12">
        <v>28.88</v>
      </c>
      <c r="I1153" s="12">
        <v>57.76</v>
      </c>
      <c r="J1153" s="12">
        <v>75707.859999999986</v>
      </c>
      <c r="K1153" s="20">
        <f t="shared" si="238"/>
        <v>5</v>
      </c>
      <c r="L1153" s="20" t="str">
        <f t="shared" si="239"/>
        <v>Se repite 5 veces</v>
      </c>
      <c r="M1153" s="20" t="str">
        <f t="shared" si="240"/>
        <v>Tradiciones Andinas-T.A Salsa Parrillera /BBQ Seasoning 15oz x 12</v>
      </c>
      <c r="N1153" s="20">
        <f t="shared" si="241"/>
        <v>5</v>
      </c>
      <c r="O1153" s="20" t="str">
        <f t="shared" si="242"/>
        <v>Se repite 5 veces en Tradiciones Andinas</v>
      </c>
      <c r="P1153" s="20" t="str">
        <f t="shared" si="243"/>
        <v>Tradiciones Andinas-T.A Salsa Parrillera /BBQ Seasoning 15oz x 12-28.88</v>
      </c>
      <c r="Q1153" s="20">
        <f t="shared" si="244"/>
        <v>2</v>
      </c>
      <c r="R1153" s="20" t="str">
        <f t="shared" si="245"/>
        <v>Se repite 2 veces el precio de 28.88</v>
      </c>
      <c r="S1153" s="20" t="str">
        <f t="shared" si="246"/>
        <v>El producto T.A Salsa Parrillera /BBQ Seasoning 15oz x 12 Se repite 5 veces en Tradiciones Andinas, Se repite 2 veces el precio de 28.88</v>
      </c>
      <c r="T1153" s="20" t="str">
        <f t="shared" si="247"/>
        <v>Tradiciones Andinas</v>
      </c>
      <c r="U1153" s="20" t="str">
        <f t="shared" si="248"/>
        <v>T.A Salsa Parrillera /BBQ Seasoning 15oz x 12</v>
      </c>
      <c r="V1153" s="22">
        <f t="shared" si="249"/>
        <v>28.88</v>
      </c>
      <c r="W1153" t="str">
        <f t="shared" si="250"/>
        <v>Tradiciones Andinas 09/24/2025</v>
      </c>
      <c r="Z1153">
        <f t="shared" si="251"/>
        <v>57.76</v>
      </c>
    </row>
    <row r="1154" spans="1:26" hidden="1" x14ac:dyDescent="0.25">
      <c r="A1154" s="2" t="s">
        <v>664</v>
      </c>
      <c r="B1154" s="11" t="s">
        <v>821</v>
      </c>
      <c r="C1154" s="11" t="s">
        <v>4</v>
      </c>
      <c r="D1154" s="11" t="s">
        <v>822</v>
      </c>
      <c r="E1154" s="11" t="s">
        <v>830</v>
      </c>
      <c r="F1154" s="11" t="s">
        <v>831</v>
      </c>
      <c r="G1154" s="12">
        <v>2</v>
      </c>
      <c r="H1154" s="12">
        <v>27</v>
      </c>
      <c r="I1154" s="12">
        <v>54</v>
      </c>
      <c r="J1154" s="12">
        <v>9998.6399999999976</v>
      </c>
      <c r="K1154" s="20">
        <f t="shared" si="238"/>
        <v>4</v>
      </c>
      <c r="L1154" s="20" t="str">
        <f t="shared" si="239"/>
        <v>Se repite 4 veces</v>
      </c>
      <c r="M1154" s="20" t="str">
        <f t="shared" si="240"/>
        <v>Tradiciones Andinas-T.A Salsa Pollo A La Brasa /Grill Chicken Seasoning 15oz x 12</v>
      </c>
      <c r="N1154" s="20">
        <f t="shared" si="241"/>
        <v>4</v>
      </c>
      <c r="O1154" s="20" t="str">
        <f t="shared" si="242"/>
        <v>Se repite 4 veces en Tradiciones Andinas</v>
      </c>
      <c r="P1154" s="20" t="str">
        <f t="shared" si="243"/>
        <v>Tradiciones Andinas-T.A Salsa Pollo A La Brasa /Grill Chicken Seasoning 15oz x 12-27</v>
      </c>
      <c r="Q1154" s="20">
        <f t="shared" si="244"/>
        <v>1</v>
      </c>
      <c r="R1154" s="20" t="str">
        <f t="shared" si="245"/>
        <v>No se repite</v>
      </c>
      <c r="S1154" s="20" t="str">
        <f t="shared" si="246"/>
        <v>El producto T.A Salsa Pollo A La Brasa /Grill Chicken Seasoning 15oz x 12 Se repite 4 veces en Tradiciones Andinas Una vez con el precio 27</v>
      </c>
      <c r="T1154" s="20" t="str">
        <f t="shared" si="247"/>
        <v>Tradiciones Andinas</v>
      </c>
      <c r="U1154" s="20" t="str">
        <f t="shared" si="248"/>
        <v>T.A Salsa Pollo A La Brasa /Grill Chicken Seasoning 15oz x 12</v>
      </c>
      <c r="V1154" s="22">
        <f t="shared" si="249"/>
        <v>27</v>
      </c>
      <c r="W1154" t="str">
        <f t="shared" si="250"/>
        <v>Tradiciones Andinas 04/25/2025</v>
      </c>
      <c r="Z1154">
        <f t="shared" si="251"/>
        <v>54</v>
      </c>
    </row>
    <row r="1155" spans="1:26" hidden="1" x14ac:dyDescent="0.25">
      <c r="A1155" s="2" t="s">
        <v>664</v>
      </c>
      <c r="B1155" s="11" t="s">
        <v>654</v>
      </c>
      <c r="C1155" s="11" t="s">
        <v>4</v>
      </c>
      <c r="D1155" s="11" t="s">
        <v>940</v>
      </c>
      <c r="E1155" s="11" t="s">
        <v>830</v>
      </c>
      <c r="F1155" s="11" t="s">
        <v>943</v>
      </c>
      <c r="G1155" s="12">
        <v>3</v>
      </c>
      <c r="H1155" s="12">
        <v>28.89</v>
      </c>
      <c r="I1155" s="12">
        <v>86.67</v>
      </c>
      <c r="J1155" s="12">
        <v>24981.869999999995</v>
      </c>
      <c r="K1155" s="20">
        <f t="shared" ref="K1155:K1218" si="252">COUNTIF($E$2:$E$1438,E1155)</f>
        <v>4</v>
      </c>
      <c r="L1155" s="20" t="str">
        <f t="shared" ref="L1155:L1218" si="253">IF(K1155&gt;1,_xlfn.CONCAT("Se repite ",K1155," veces"),"No se repite")</f>
        <v>Se repite 4 veces</v>
      </c>
      <c r="M1155" s="20" t="str">
        <f t="shared" ref="M1155:M1218" si="254">_xlfn.CONCAT(A1155,"-",E1155)</f>
        <v>Tradiciones Andinas-T.A Salsa Pollo A La Brasa /Grill Chicken Seasoning 15oz x 12</v>
      </c>
      <c r="N1155" s="20">
        <f t="shared" ref="N1155:N1218" si="255">COUNTIF($M$2:$M$1438,M1155)</f>
        <v>4</v>
      </c>
      <c r="O1155" s="20" t="str">
        <f t="shared" ref="O1155:O1218" si="256">IF(N1155&gt;1,_xlfn.CONCAT("Se repite ",N1155," veces en ",A1155),"No se repite en proveedor")</f>
        <v>Se repite 4 veces en Tradiciones Andinas</v>
      </c>
      <c r="P1155" s="20" t="str">
        <f t="shared" ref="P1155:P1218" si="257">_xlfn.CONCAT(A1155,"-",E1155,"-",H1155)</f>
        <v>Tradiciones Andinas-T.A Salsa Pollo A La Brasa /Grill Chicken Seasoning 15oz x 12-28.89</v>
      </c>
      <c r="Q1155" s="20">
        <f t="shared" ref="Q1155:Q1218" si="258">COUNTIF($P$2:$P$1438,P1155)</f>
        <v>1</v>
      </c>
      <c r="R1155" s="20" t="str">
        <f t="shared" ref="R1155:R1218" si="259">IF(Q1155&gt;1,_xlfn.CONCAT("Se repite ",Q1155," veces el precio de ",H1155),"No se repite")</f>
        <v>No se repite</v>
      </c>
      <c r="S1155" s="20" t="str">
        <f t="shared" ref="S1155:S1218" si="260">_xlfn.CONCAT("El producto ",E1155," ",O1155,IF(R1155="No se repite",_xlfn.CONCAT(" Una vez con el precio ",H1155),_xlfn.CONCAT(", ",R1155)))</f>
        <v>El producto T.A Salsa Pollo A La Brasa /Grill Chicken Seasoning 15oz x 12 Se repite 4 veces en Tradiciones Andinas Una vez con el precio 28.89</v>
      </c>
      <c r="T1155" s="20" t="str">
        <f t="shared" ref="T1155:T1218" si="261">+A1155</f>
        <v>Tradiciones Andinas</v>
      </c>
      <c r="U1155" s="20" t="str">
        <f t="shared" ref="U1155:U1218" si="262">+E1155</f>
        <v>T.A Salsa Pollo A La Brasa /Grill Chicken Seasoning 15oz x 12</v>
      </c>
      <c r="V1155" s="22">
        <f t="shared" ref="V1155:V1218" si="263">+H1155</f>
        <v>28.89</v>
      </c>
      <c r="W1155" t="str">
        <f t="shared" ref="W1155:W1218" si="264">_xlfn.CONCAT(A1155," ",B1155)</f>
        <v>Tradiciones Andinas 05/19/2025</v>
      </c>
      <c r="Z1155">
        <f t="shared" ref="Z1155:Z1218" si="265">G1155*H1155</f>
        <v>86.67</v>
      </c>
    </row>
    <row r="1156" spans="1:26" hidden="1" x14ac:dyDescent="0.25">
      <c r="A1156" s="2" t="s">
        <v>664</v>
      </c>
      <c r="B1156" s="11" t="s">
        <v>1033</v>
      </c>
      <c r="C1156" s="11" t="s">
        <v>4</v>
      </c>
      <c r="D1156" s="11" t="s">
        <v>1034</v>
      </c>
      <c r="E1156" s="11" t="s">
        <v>830</v>
      </c>
      <c r="F1156" s="11" t="s">
        <v>943</v>
      </c>
      <c r="G1156" s="12">
        <v>4</v>
      </c>
      <c r="H1156" s="12">
        <v>28.88</v>
      </c>
      <c r="I1156" s="12">
        <v>115.52</v>
      </c>
      <c r="J1156" s="12">
        <v>46793.949999999975</v>
      </c>
      <c r="K1156" s="20">
        <f t="shared" si="252"/>
        <v>4</v>
      </c>
      <c r="L1156" s="20" t="str">
        <f t="shared" si="253"/>
        <v>Se repite 4 veces</v>
      </c>
      <c r="M1156" s="20" t="str">
        <f t="shared" si="254"/>
        <v>Tradiciones Andinas-T.A Salsa Pollo A La Brasa /Grill Chicken Seasoning 15oz x 12</v>
      </c>
      <c r="N1156" s="20">
        <f t="shared" si="255"/>
        <v>4</v>
      </c>
      <c r="O1156" s="20" t="str">
        <f t="shared" si="256"/>
        <v>Se repite 4 veces en Tradiciones Andinas</v>
      </c>
      <c r="P1156" s="20" t="str">
        <f t="shared" si="257"/>
        <v>Tradiciones Andinas-T.A Salsa Pollo A La Brasa /Grill Chicken Seasoning 15oz x 12-28.88</v>
      </c>
      <c r="Q1156" s="20">
        <f t="shared" si="258"/>
        <v>2</v>
      </c>
      <c r="R1156" s="20" t="str">
        <f t="shared" si="259"/>
        <v>Se repite 2 veces el precio de 28.88</v>
      </c>
      <c r="S1156" s="20" t="str">
        <f t="shared" si="260"/>
        <v>El producto T.A Salsa Pollo A La Brasa /Grill Chicken Seasoning 15oz x 12 Se repite 4 veces en Tradiciones Andinas, Se repite 2 veces el precio de 28.88</v>
      </c>
      <c r="T1156" s="20" t="str">
        <f t="shared" si="261"/>
        <v>Tradiciones Andinas</v>
      </c>
      <c r="U1156" s="20" t="str">
        <f t="shared" si="262"/>
        <v>T.A Salsa Pollo A La Brasa /Grill Chicken Seasoning 15oz x 12</v>
      </c>
      <c r="V1156" s="22">
        <f t="shared" si="263"/>
        <v>28.88</v>
      </c>
      <c r="W1156" t="str">
        <f t="shared" si="264"/>
        <v>Tradiciones Andinas 07/03/2025</v>
      </c>
      <c r="Z1156">
        <f t="shared" si="265"/>
        <v>115.52</v>
      </c>
    </row>
    <row r="1157" spans="1:26" hidden="1" x14ac:dyDescent="0.25">
      <c r="A1157" s="2" t="s">
        <v>664</v>
      </c>
      <c r="B1157" s="11" t="s">
        <v>1153</v>
      </c>
      <c r="C1157" s="11" t="s">
        <v>4</v>
      </c>
      <c r="D1157" s="11" t="s">
        <v>1154</v>
      </c>
      <c r="E1157" s="11" t="s">
        <v>830</v>
      </c>
      <c r="F1157" s="11" t="s">
        <v>943</v>
      </c>
      <c r="G1157" s="12">
        <v>1</v>
      </c>
      <c r="H1157" s="12">
        <v>28.88</v>
      </c>
      <c r="I1157" s="12">
        <v>28.88</v>
      </c>
      <c r="J1157" s="12">
        <v>75736.739999999991</v>
      </c>
      <c r="K1157" s="20">
        <f t="shared" si="252"/>
        <v>4</v>
      </c>
      <c r="L1157" s="20" t="str">
        <f t="shared" si="253"/>
        <v>Se repite 4 veces</v>
      </c>
      <c r="M1157" s="20" t="str">
        <f t="shared" si="254"/>
        <v>Tradiciones Andinas-T.A Salsa Pollo A La Brasa /Grill Chicken Seasoning 15oz x 12</v>
      </c>
      <c r="N1157" s="20">
        <f t="shared" si="255"/>
        <v>4</v>
      </c>
      <c r="O1157" s="20" t="str">
        <f t="shared" si="256"/>
        <v>Se repite 4 veces en Tradiciones Andinas</v>
      </c>
      <c r="P1157" s="20" t="str">
        <f t="shared" si="257"/>
        <v>Tradiciones Andinas-T.A Salsa Pollo A La Brasa /Grill Chicken Seasoning 15oz x 12-28.88</v>
      </c>
      <c r="Q1157" s="20">
        <f t="shared" si="258"/>
        <v>2</v>
      </c>
      <c r="R1157" s="20" t="str">
        <f t="shared" si="259"/>
        <v>Se repite 2 veces el precio de 28.88</v>
      </c>
      <c r="S1157" s="20" t="str">
        <f t="shared" si="260"/>
        <v>El producto T.A Salsa Pollo A La Brasa /Grill Chicken Seasoning 15oz x 12 Se repite 4 veces en Tradiciones Andinas, Se repite 2 veces el precio de 28.88</v>
      </c>
      <c r="T1157" s="20" t="str">
        <f t="shared" si="261"/>
        <v>Tradiciones Andinas</v>
      </c>
      <c r="U1157" s="20" t="str">
        <f t="shared" si="262"/>
        <v>T.A Salsa Pollo A La Brasa /Grill Chicken Seasoning 15oz x 12</v>
      </c>
      <c r="V1157" s="22">
        <f t="shared" si="263"/>
        <v>28.88</v>
      </c>
      <c r="W1157" t="str">
        <f t="shared" si="264"/>
        <v>Tradiciones Andinas 09/24/2025</v>
      </c>
      <c r="Z1157">
        <f t="shared" si="265"/>
        <v>28.88</v>
      </c>
    </row>
    <row r="1158" spans="1:26" hidden="1" x14ac:dyDescent="0.25">
      <c r="A1158" s="2" t="s">
        <v>664</v>
      </c>
      <c r="B1158" s="11" t="s">
        <v>821</v>
      </c>
      <c r="C1158" s="11" t="s">
        <v>4</v>
      </c>
      <c r="D1158" s="11" t="s">
        <v>822</v>
      </c>
      <c r="E1158" s="11" t="s">
        <v>930</v>
      </c>
      <c r="F1158" s="11" t="s">
        <v>931</v>
      </c>
      <c r="G1158" s="12">
        <v>2</v>
      </c>
      <c r="H1158" s="12">
        <v>28.8</v>
      </c>
      <c r="I1158" s="12">
        <v>57.6</v>
      </c>
      <c r="J1158" s="12">
        <v>22589.14</v>
      </c>
      <c r="K1158" s="20">
        <f t="shared" si="252"/>
        <v>2</v>
      </c>
      <c r="L1158" s="20" t="str">
        <f t="shared" si="253"/>
        <v>Se repite 2 veces</v>
      </c>
      <c r="M1158" s="20" t="str">
        <f t="shared" si="254"/>
        <v>Tradiciones Andinas-T.A Sardinas en Salsa de tomate / Sardines en tomato sauce 15oz x 24</v>
      </c>
      <c r="N1158" s="20">
        <f t="shared" si="255"/>
        <v>2</v>
      </c>
      <c r="O1158" s="20" t="str">
        <f t="shared" si="256"/>
        <v>Se repite 2 veces en Tradiciones Andinas</v>
      </c>
      <c r="P1158" s="20" t="str">
        <f t="shared" si="257"/>
        <v>Tradiciones Andinas-T.A Sardinas en Salsa de tomate / Sardines en tomato sauce 15oz x 24-28.8</v>
      </c>
      <c r="Q1158" s="20">
        <f t="shared" si="258"/>
        <v>1</v>
      </c>
      <c r="R1158" s="20" t="str">
        <f t="shared" si="259"/>
        <v>No se repite</v>
      </c>
      <c r="S1158" s="20" t="str">
        <f t="shared" si="260"/>
        <v>El producto T.A Sardinas en Salsa de tomate / Sardines en tomato sauce 15oz x 24 Se repite 2 veces en Tradiciones Andinas Una vez con el precio 28.8</v>
      </c>
      <c r="T1158" s="20" t="str">
        <f t="shared" si="261"/>
        <v>Tradiciones Andinas</v>
      </c>
      <c r="U1158" s="20" t="str">
        <f t="shared" si="262"/>
        <v>T.A Sardinas en Salsa de tomate / Sardines en tomato sauce 15oz x 24</v>
      </c>
      <c r="V1158" s="22">
        <f t="shared" si="263"/>
        <v>28.8</v>
      </c>
      <c r="W1158" t="str">
        <f t="shared" si="264"/>
        <v>Tradiciones Andinas 04/25/2025</v>
      </c>
      <c r="Z1158">
        <f t="shared" si="265"/>
        <v>57.6</v>
      </c>
    </row>
    <row r="1159" spans="1:26" hidden="1" x14ac:dyDescent="0.25">
      <c r="A1159" s="2" t="s">
        <v>664</v>
      </c>
      <c r="B1159" s="11" t="s">
        <v>1092</v>
      </c>
      <c r="C1159" s="11" t="s">
        <v>4</v>
      </c>
      <c r="D1159" s="11" t="s">
        <v>1093</v>
      </c>
      <c r="E1159" s="11" t="s">
        <v>930</v>
      </c>
      <c r="F1159" s="11" t="s">
        <v>1103</v>
      </c>
      <c r="G1159" s="12">
        <v>2</v>
      </c>
      <c r="H1159" s="12">
        <v>26.4</v>
      </c>
      <c r="I1159" s="12">
        <v>52.8</v>
      </c>
      <c r="J1159" s="12">
        <v>62777.819999999956</v>
      </c>
      <c r="K1159" s="20">
        <f t="shared" si="252"/>
        <v>2</v>
      </c>
      <c r="L1159" s="20" t="str">
        <f t="shared" si="253"/>
        <v>Se repite 2 veces</v>
      </c>
      <c r="M1159" s="20" t="str">
        <f t="shared" si="254"/>
        <v>Tradiciones Andinas-T.A Sardinas en Salsa de tomate / Sardines en tomato sauce 15oz x 24</v>
      </c>
      <c r="N1159" s="20">
        <f t="shared" si="255"/>
        <v>2</v>
      </c>
      <c r="O1159" s="20" t="str">
        <f t="shared" si="256"/>
        <v>Se repite 2 veces en Tradiciones Andinas</v>
      </c>
      <c r="P1159" s="20" t="str">
        <f t="shared" si="257"/>
        <v>Tradiciones Andinas-T.A Sardinas en Salsa de tomate / Sardines en tomato sauce 15oz x 24-26.4</v>
      </c>
      <c r="Q1159" s="20">
        <f t="shared" si="258"/>
        <v>1</v>
      </c>
      <c r="R1159" s="20" t="str">
        <f t="shared" si="259"/>
        <v>No se repite</v>
      </c>
      <c r="S1159" s="20" t="str">
        <f t="shared" si="260"/>
        <v>El producto T.A Sardinas en Salsa de tomate / Sardines en tomato sauce 15oz x 24 Se repite 2 veces en Tradiciones Andinas Una vez con el precio 26.4</v>
      </c>
      <c r="T1159" s="20" t="str">
        <f t="shared" si="261"/>
        <v>Tradiciones Andinas</v>
      </c>
      <c r="U1159" s="20" t="str">
        <f t="shared" si="262"/>
        <v>T.A Sardinas en Salsa de tomate / Sardines en tomato sauce 15oz x 24</v>
      </c>
      <c r="V1159" s="22">
        <f t="shared" si="263"/>
        <v>26.4</v>
      </c>
      <c r="W1159" t="str">
        <f t="shared" si="264"/>
        <v>Tradiciones Andinas 07/21/2025</v>
      </c>
      <c r="Z1159">
        <f t="shared" si="265"/>
        <v>52.8</v>
      </c>
    </row>
    <row r="1160" spans="1:26" hidden="1" x14ac:dyDescent="0.25">
      <c r="A1160" s="2" t="s">
        <v>664</v>
      </c>
      <c r="B1160" s="11" t="s">
        <v>1092</v>
      </c>
      <c r="C1160" s="11" t="s">
        <v>4</v>
      </c>
      <c r="D1160" s="11" t="s">
        <v>1093</v>
      </c>
      <c r="E1160" s="11" t="s">
        <v>1104</v>
      </c>
      <c r="F1160" s="11" t="s">
        <v>1105</v>
      </c>
      <c r="G1160" s="12">
        <v>2</v>
      </c>
      <c r="H1160" s="12">
        <v>39.5</v>
      </c>
      <c r="I1160" s="12">
        <v>79</v>
      </c>
      <c r="J1160" s="12">
        <v>62856.819999999956</v>
      </c>
      <c r="K1160" s="20">
        <f t="shared" si="252"/>
        <v>1</v>
      </c>
      <c r="L1160" s="20" t="str">
        <f t="shared" si="253"/>
        <v>No se repite</v>
      </c>
      <c r="M1160" s="20" t="str">
        <f t="shared" si="254"/>
        <v>Tradiciones Andinas-T.A Sardinas en Salsa de Tomate Tinapa / Sardines in Tomato Sauce 5.46oz x 50</v>
      </c>
      <c r="N1160" s="20">
        <f t="shared" si="255"/>
        <v>1</v>
      </c>
      <c r="O1160" s="20" t="str">
        <f t="shared" si="256"/>
        <v>No se repite en proveedor</v>
      </c>
      <c r="P1160" s="20" t="str">
        <f t="shared" si="257"/>
        <v>Tradiciones Andinas-T.A Sardinas en Salsa de Tomate Tinapa / Sardines in Tomato Sauce 5.46oz x 50-39.5</v>
      </c>
      <c r="Q1160" s="20">
        <f t="shared" si="258"/>
        <v>1</v>
      </c>
      <c r="R1160" s="20" t="str">
        <f t="shared" si="259"/>
        <v>No se repite</v>
      </c>
      <c r="S1160" s="20" t="str">
        <f t="shared" si="260"/>
        <v>El producto T.A Sardinas en Salsa de Tomate Tinapa / Sardines in Tomato Sauce 5.46oz x 50 No se repite en proveedor Una vez con el precio 39.5</v>
      </c>
      <c r="T1160" s="20" t="str">
        <f t="shared" si="261"/>
        <v>Tradiciones Andinas</v>
      </c>
      <c r="U1160" s="20" t="str">
        <f t="shared" si="262"/>
        <v>T.A Sardinas en Salsa de Tomate Tinapa / Sardines in Tomato Sauce 5.46oz x 50</v>
      </c>
      <c r="V1160" s="22">
        <f t="shared" si="263"/>
        <v>39.5</v>
      </c>
      <c r="W1160" t="str">
        <f t="shared" si="264"/>
        <v>Tradiciones Andinas 07/21/2025</v>
      </c>
      <c r="Z1160">
        <f t="shared" si="265"/>
        <v>79</v>
      </c>
    </row>
    <row r="1161" spans="1:26" hidden="1" x14ac:dyDescent="0.25">
      <c r="A1161" s="2" t="s">
        <v>664</v>
      </c>
      <c r="B1161" s="11" t="s">
        <v>821</v>
      </c>
      <c r="C1161" s="11" t="s">
        <v>4</v>
      </c>
      <c r="D1161" s="11" t="s">
        <v>822</v>
      </c>
      <c r="E1161" s="11" t="s">
        <v>835</v>
      </c>
      <c r="F1161" s="11" t="s">
        <v>836</v>
      </c>
      <c r="G1161" s="12">
        <v>4</v>
      </c>
      <c r="H1161" s="12">
        <v>28.8</v>
      </c>
      <c r="I1161" s="12">
        <v>115.2</v>
      </c>
      <c r="J1161" s="12">
        <v>12039.559999999998</v>
      </c>
      <c r="K1161" s="20">
        <f t="shared" si="252"/>
        <v>4</v>
      </c>
      <c r="L1161" s="20" t="str">
        <f t="shared" si="253"/>
        <v>Se repite 4 veces</v>
      </c>
      <c r="M1161" s="20" t="str">
        <f t="shared" si="254"/>
        <v>Tradiciones Andinas-T.A Semola /Semolina 15oz x 24</v>
      </c>
      <c r="N1161" s="20">
        <f t="shared" si="255"/>
        <v>4</v>
      </c>
      <c r="O1161" s="20" t="str">
        <f t="shared" si="256"/>
        <v>Se repite 4 veces en Tradiciones Andinas</v>
      </c>
      <c r="P1161" s="20" t="str">
        <f t="shared" si="257"/>
        <v>Tradiciones Andinas-T.A Semola /Semolina 15oz x 24-28.8</v>
      </c>
      <c r="Q1161" s="20">
        <f t="shared" si="258"/>
        <v>1</v>
      </c>
      <c r="R1161" s="20" t="str">
        <f t="shared" si="259"/>
        <v>No se repite</v>
      </c>
      <c r="S1161" s="20" t="str">
        <f t="shared" si="260"/>
        <v>El producto T.A Semola /Semolina 15oz x 24 Se repite 4 veces en Tradiciones Andinas Una vez con el precio 28.8</v>
      </c>
      <c r="T1161" s="20" t="str">
        <f t="shared" si="261"/>
        <v>Tradiciones Andinas</v>
      </c>
      <c r="U1161" s="20" t="str">
        <f t="shared" si="262"/>
        <v>T.A Semola /Semolina 15oz x 24</v>
      </c>
      <c r="V1161" s="22">
        <f t="shared" si="263"/>
        <v>28.8</v>
      </c>
      <c r="W1161" t="str">
        <f t="shared" si="264"/>
        <v>Tradiciones Andinas 04/25/2025</v>
      </c>
      <c r="Z1161">
        <f t="shared" si="265"/>
        <v>115.2</v>
      </c>
    </row>
    <row r="1162" spans="1:26" hidden="1" x14ac:dyDescent="0.25">
      <c r="A1162" s="2" t="s">
        <v>664</v>
      </c>
      <c r="B1162" s="11" t="s">
        <v>158</v>
      </c>
      <c r="C1162" s="11" t="s">
        <v>4</v>
      </c>
      <c r="D1162" s="11" t="s">
        <v>984</v>
      </c>
      <c r="E1162" s="11" t="s">
        <v>835</v>
      </c>
      <c r="F1162" s="11" t="s">
        <v>993</v>
      </c>
      <c r="G1162" s="12">
        <v>3</v>
      </c>
      <c r="H1162" s="12">
        <v>30.82</v>
      </c>
      <c r="I1162" s="12">
        <v>92.46</v>
      </c>
      <c r="J1162" s="12">
        <v>37503.01</v>
      </c>
      <c r="K1162" s="20">
        <f t="shared" si="252"/>
        <v>4</v>
      </c>
      <c r="L1162" s="20" t="str">
        <f t="shared" si="253"/>
        <v>Se repite 4 veces</v>
      </c>
      <c r="M1162" s="20" t="str">
        <f t="shared" si="254"/>
        <v>Tradiciones Andinas-T.A Semola /Semolina 15oz x 24</v>
      </c>
      <c r="N1162" s="20">
        <f t="shared" si="255"/>
        <v>4</v>
      </c>
      <c r="O1162" s="20" t="str">
        <f t="shared" si="256"/>
        <v>Se repite 4 veces en Tradiciones Andinas</v>
      </c>
      <c r="P1162" s="20" t="str">
        <f t="shared" si="257"/>
        <v>Tradiciones Andinas-T.A Semola /Semolina 15oz x 24-30.82</v>
      </c>
      <c r="Q1162" s="20">
        <f t="shared" si="258"/>
        <v>3</v>
      </c>
      <c r="R1162" s="20" t="str">
        <f t="shared" si="259"/>
        <v>Se repite 3 veces el precio de 30.82</v>
      </c>
      <c r="S1162" s="20" t="str">
        <f t="shared" si="260"/>
        <v>El producto T.A Semola /Semolina 15oz x 24 Se repite 4 veces en Tradiciones Andinas, Se repite 3 veces el precio de 30.82</v>
      </c>
      <c r="T1162" s="20" t="str">
        <f t="shared" si="261"/>
        <v>Tradiciones Andinas</v>
      </c>
      <c r="U1162" s="20" t="str">
        <f t="shared" si="262"/>
        <v>T.A Semola /Semolina 15oz x 24</v>
      </c>
      <c r="V1162" s="22">
        <f t="shared" si="263"/>
        <v>30.82</v>
      </c>
      <c r="W1162" t="str">
        <f t="shared" si="264"/>
        <v>Tradiciones Andinas 06/12/2025</v>
      </c>
      <c r="Z1162">
        <f t="shared" si="265"/>
        <v>92.460000000000008</v>
      </c>
    </row>
    <row r="1163" spans="1:26" hidden="1" x14ac:dyDescent="0.25">
      <c r="A1163" s="2" t="s">
        <v>664</v>
      </c>
      <c r="B1163" s="11" t="s">
        <v>1125</v>
      </c>
      <c r="C1163" s="11" t="s">
        <v>4</v>
      </c>
      <c r="D1163" s="11" t="s">
        <v>1126</v>
      </c>
      <c r="E1163" s="11" t="s">
        <v>835</v>
      </c>
      <c r="F1163" s="11" t="s">
        <v>993</v>
      </c>
      <c r="G1163" s="12">
        <v>4</v>
      </c>
      <c r="H1163" s="12">
        <v>30.82</v>
      </c>
      <c r="I1163" s="12">
        <v>123.28</v>
      </c>
      <c r="J1163" s="12">
        <v>69055.960000000021</v>
      </c>
      <c r="K1163" s="20">
        <f t="shared" si="252"/>
        <v>4</v>
      </c>
      <c r="L1163" s="20" t="str">
        <f t="shared" si="253"/>
        <v>Se repite 4 veces</v>
      </c>
      <c r="M1163" s="20" t="str">
        <f t="shared" si="254"/>
        <v>Tradiciones Andinas-T.A Semola /Semolina 15oz x 24</v>
      </c>
      <c r="N1163" s="20">
        <f t="shared" si="255"/>
        <v>4</v>
      </c>
      <c r="O1163" s="20" t="str">
        <f t="shared" si="256"/>
        <v>Se repite 4 veces en Tradiciones Andinas</v>
      </c>
      <c r="P1163" s="20" t="str">
        <f t="shared" si="257"/>
        <v>Tradiciones Andinas-T.A Semola /Semolina 15oz x 24-30.82</v>
      </c>
      <c r="Q1163" s="20">
        <f t="shared" si="258"/>
        <v>3</v>
      </c>
      <c r="R1163" s="20" t="str">
        <f t="shared" si="259"/>
        <v>Se repite 3 veces el precio de 30.82</v>
      </c>
      <c r="S1163" s="20" t="str">
        <f t="shared" si="260"/>
        <v>El producto T.A Semola /Semolina 15oz x 24 Se repite 4 veces en Tradiciones Andinas, Se repite 3 veces el precio de 30.82</v>
      </c>
      <c r="T1163" s="20" t="str">
        <f t="shared" si="261"/>
        <v>Tradiciones Andinas</v>
      </c>
      <c r="U1163" s="20" t="str">
        <f t="shared" si="262"/>
        <v>T.A Semola /Semolina 15oz x 24</v>
      </c>
      <c r="V1163" s="22">
        <f t="shared" si="263"/>
        <v>30.82</v>
      </c>
      <c r="W1163" t="str">
        <f t="shared" si="264"/>
        <v>Tradiciones Andinas 08/18/2025</v>
      </c>
      <c r="Z1163">
        <f t="shared" si="265"/>
        <v>123.28</v>
      </c>
    </row>
    <row r="1164" spans="1:26" hidden="1" x14ac:dyDescent="0.25">
      <c r="A1164" s="2" t="s">
        <v>664</v>
      </c>
      <c r="B1164" s="11" t="s">
        <v>1201</v>
      </c>
      <c r="C1164" s="11" t="s">
        <v>4</v>
      </c>
      <c r="D1164" s="11" t="s">
        <v>1202</v>
      </c>
      <c r="E1164" s="11" t="s">
        <v>835</v>
      </c>
      <c r="F1164" s="11" t="s">
        <v>993</v>
      </c>
      <c r="G1164" s="12">
        <v>4</v>
      </c>
      <c r="H1164" s="12">
        <v>30.82</v>
      </c>
      <c r="I1164" s="12">
        <v>123.28</v>
      </c>
      <c r="J1164" s="12">
        <v>101529.90999999993</v>
      </c>
      <c r="K1164" s="20">
        <f t="shared" si="252"/>
        <v>4</v>
      </c>
      <c r="L1164" s="20" t="str">
        <f t="shared" si="253"/>
        <v>Se repite 4 veces</v>
      </c>
      <c r="M1164" s="20" t="str">
        <f t="shared" si="254"/>
        <v>Tradiciones Andinas-T.A Semola /Semolina 15oz x 24</v>
      </c>
      <c r="N1164" s="20">
        <f t="shared" si="255"/>
        <v>4</v>
      </c>
      <c r="O1164" s="20" t="str">
        <f t="shared" si="256"/>
        <v>Se repite 4 veces en Tradiciones Andinas</v>
      </c>
      <c r="P1164" s="20" t="str">
        <f t="shared" si="257"/>
        <v>Tradiciones Andinas-T.A Semola /Semolina 15oz x 24-30.82</v>
      </c>
      <c r="Q1164" s="20">
        <f t="shared" si="258"/>
        <v>3</v>
      </c>
      <c r="R1164" s="20" t="str">
        <f t="shared" si="259"/>
        <v>Se repite 3 veces el precio de 30.82</v>
      </c>
      <c r="S1164" s="20" t="str">
        <f t="shared" si="260"/>
        <v>El producto T.A Semola /Semolina 15oz x 24 Se repite 4 veces en Tradiciones Andinas, Se repite 3 veces el precio de 30.82</v>
      </c>
      <c r="T1164" s="20" t="str">
        <f t="shared" si="261"/>
        <v>Tradiciones Andinas</v>
      </c>
      <c r="U1164" s="20" t="str">
        <f t="shared" si="262"/>
        <v>T.A Semola /Semolina 15oz x 24</v>
      </c>
      <c r="V1164" s="22">
        <f t="shared" si="263"/>
        <v>30.82</v>
      </c>
      <c r="W1164" t="str">
        <f t="shared" si="264"/>
        <v>Tradiciones Andinas 11/07/2025</v>
      </c>
      <c r="Z1164">
        <f t="shared" si="265"/>
        <v>123.28</v>
      </c>
    </row>
    <row r="1165" spans="1:26" hidden="1" x14ac:dyDescent="0.25">
      <c r="A1165" s="2" t="s">
        <v>664</v>
      </c>
      <c r="B1165" s="11" t="s">
        <v>821</v>
      </c>
      <c r="C1165" s="11" t="s">
        <v>4</v>
      </c>
      <c r="D1165" s="11" t="s">
        <v>822</v>
      </c>
      <c r="E1165" s="11" t="s">
        <v>868</v>
      </c>
      <c r="F1165" s="11" t="s">
        <v>869</v>
      </c>
      <c r="G1165" s="12">
        <v>2</v>
      </c>
      <c r="H1165" s="12">
        <v>25.5</v>
      </c>
      <c r="I1165" s="12">
        <v>51</v>
      </c>
      <c r="J1165" s="12">
        <v>17266.899999999998</v>
      </c>
      <c r="K1165" s="20">
        <f t="shared" si="252"/>
        <v>5</v>
      </c>
      <c r="L1165" s="20" t="str">
        <f t="shared" si="253"/>
        <v>Se repite 5 veces</v>
      </c>
      <c r="M1165" s="20" t="str">
        <f t="shared" si="254"/>
        <v>Tradiciones Andinas-T.A Te con canela y clavo - Cinnamon and Clove filtrante 24gr x 20 x 30</v>
      </c>
      <c r="N1165" s="20">
        <f t="shared" si="255"/>
        <v>5</v>
      </c>
      <c r="O1165" s="20" t="str">
        <f t="shared" si="256"/>
        <v>Se repite 5 veces en Tradiciones Andinas</v>
      </c>
      <c r="P1165" s="20" t="str">
        <f t="shared" si="257"/>
        <v>Tradiciones Andinas-T.A Te con canela y clavo - Cinnamon and Clove filtrante 24gr x 20 x 30-25.5</v>
      </c>
      <c r="Q1165" s="20">
        <f t="shared" si="258"/>
        <v>1</v>
      </c>
      <c r="R1165" s="20" t="str">
        <f t="shared" si="259"/>
        <v>No se repite</v>
      </c>
      <c r="S1165" s="20" t="str">
        <f t="shared" si="260"/>
        <v>El producto T.A Te con canela y clavo - Cinnamon and Clove filtrante 24gr x 20 x 30 Se repite 5 veces en Tradiciones Andinas Una vez con el precio 25.5</v>
      </c>
      <c r="T1165" s="20" t="str">
        <f t="shared" si="261"/>
        <v>Tradiciones Andinas</v>
      </c>
      <c r="U1165" s="20" t="str">
        <f t="shared" si="262"/>
        <v>T.A Te con canela y clavo - Cinnamon and Clove filtrante 24gr x 20 x 30</v>
      </c>
      <c r="V1165" s="22">
        <f t="shared" si="263"/>
        <v>25.5</v>
      </c>
      <c r="W1165" t="str">
        <f t="shared" si="264"/>
        <v>Tradiciones Andinas 04/25/2025</v>
      </c>
      <c r="Z1165">
        <f t="shared" si="265"/>
        <v>51</v>
      </c>
    </row>
    <row r="1166" spans="1:26" hidden="1" x14ac:dyDescent="0.25">
      <c r="A1166" s="2" t="s">
        <v>664</v>
      </c>
      <c r="B1166" s="11" t="s">
        <v>158</v>
      </c>
      <c r="C1166" s="11" t="s">
        <v>4</v>
      </c>
      <c r="D1166" s="11" t="s">
        <v>984</v>
      </c>
      <c r="E1166" s="11" t="s">
        <v>868</v>
      </c>
      <c r="F1166" s="11" t="s">
        <v>1007</v>
      </c>
      <c r="G1166" s="12">
        <v>7</v>
      </c>
      <c r="H1166" s="12">
        <v>27.29</v>
      </c>
      <c r="I1166" s="12">
        <v>191.03</v>
      </c>
      <c r="J1166" s="12">
        <v>40324.119999999995</v>
      </c>
      <c r="K1166" s="20">
        <f t="shared" si="252"/>
        <v>5</v>
      </c>
      <c r="L1166" s="20" t="str">
        <f t="shared" si="253"/>
        <v>Se repite 5 veces</v>
      </c>
      <c r="M1166" s="20" t="str">
        <f t="shared" si="254"/>
        <v>Tradiciones Andinas-T.A Te con canela y clavo - Cinnamon and Clove filtrante 24gr x 20 x 30</v>
      </c>
      <c r="N1166" s="20">
        <f t="shared" si="255"/>
        <v>5</v>
      </c>
      <c r="O1166" s="20" t="str">
        <f t="shared" si="256"/>
        <v>Se repite 5 veces en Tradiciones Andinas</v>
      </c>
      <c r="P1166" s="20" t="str">
        <f t="shared" si="257"/>
        <v>Tradiciones Andinas-T.A Te con canela y clavo - Cinnamon and Clove filtrante 24gr x 20 x 30-27.29</v>
      </c>
      <c r="Q1166" s="20">
        <f t="shared" si="258"/>
        <v>4</v>
      </c>
      <c r="R1166" s="20" t="str">
        <f t="shared" si="259"/>
        <v>Se repite 4 veces el precio de 27.29</v>
      </c>
      <c r="S1166" s="20" t="str">
        <f t="shared" si="260"/>
        <v>El producto T.A Te con canela y clavo - Cinnamon and Clove filtrante 24gr x 20 x 30 Se repite 5 veces en Tradiciones Andinas, Se repite 4 veces el precio de 27.29</v>
      </c>
      <c r="T1166" s="20" t="str">
        <f t="shared" si="261"/>
        <v>Tradiciones Andinas</v>
      </c>
      <c r="U1166" s="20" t="str">
        <f t="shared" si="262"/>
        <v>T.A Te con canela y clavo - Cinnamon and Clove filtrante 24gr x 20 x 30</v>
      </c>
      <c r="V1166" s="22">
        <f t="shared" si="263"/>
        <v>27.29</v>
      </c>
      <c r="W1166" t="str">
        <f t="shared" si="264"/>
        <v>Tradiciones Andinas 06/12/2025</v>
      </c>
      <c r="Z1166">
        <f t="shared" si="265"/>
        <v>191.03</v>
      </c>
    </row>
    <row r="1167" spans="1:26" hidden="1" x14ac:dyDescent="0.25">
      <c r="A1167" s="2" t="s">
        <v>664</v>
      </c>
      <c r="B1167" s="11" t="s">
        <v>1092</v>
      </c>
      <c r="C1167" s="11" t="s">
        <v>4</v>
      </c>
      <c r="D1167" s="11" t="s">
        <v>1093</v>
      </c>
      <c r="E1167" s="11" t="s">
        <v>868</v>
      </c>
      <c r="F1167" s="11" t="s">
        <v>1007</v>
      </c>
      <c r="G1167" s="12">
        <v>2</v>
      </c>
      <c r="H1167" s="12">
        <v>27.29</v>
      </c>
      <c r="I1167" s="12">
        <v>54.58</v>
      </c>
      <c r="J1167" s="12">
        <v>62119.059999999954</v>
      </c>
      <c r="K1167" s="20">
        <f t="shared" si="252"/>
        <v>5</v>
      </c>
      <c r="L1167" s="20" t="str">
        <f t="shared" si="253"/>
        <v>Se repite 5 veces</v>
      </c>
      <c r="M1167" s="20" t="str">
        <f t="shared" si="254"/>
        <v>Tradiciones Andinas-T.A Te con canela y clavo - Cinnamon and Clove filtrante 24gr x 20 x 30</v>
      </c>
      <c r="N1167" s="20">
        <f t="shared" si="255"/>
        <v>5</v>
      </c>
      <c r="O1167" s="20" t="str">
        <f t="shared" si="256"/>
        <v>Se repite 5 veces en Tradiciones Andinas</v>
      </c>
      <c r="P1167" s="20" t="str">
        <f t="shared" si="257"/>
        <v>Tradiciones Andinas-T.A Te con canela y clavo - Cinnamon and Clove filtrante 24gr x 20 x 30-27.29</v>
      </c>
      <c r="Q1167" s="20">
        <f t="shared" si="258"/>
        <v>4</v>
      </c>
      <c r="R1167" s="20" t="str">
        <f t="shared" si="259"/>
        <v>Se repite 4 veces el precio de 27.29</v>
      </c>
      <c r="S1167" s="20" t="str">
        <f t="shared" si="260"/>
        <v>El producto T.A Te con canela y clavo - Cinnamon and Clove filtrante 24gr x 20 x 30 Se repite 5 veces en Tradiciones Andinas, Se repite 4 veces el precio de 27.29</v>
      </c>
      <c r="T1167" s="20" t="str">
        <f t="shared" si="261"/>
        <v>Tradiciones Andinas</v>
      </c>
      <c r="U1167" s="20" t="str">
        <f t="shared" si="262"/>
        <v>T.A Te con canela y clavo - Cinnamon and Clove filtrante 24gr x 20 x 30</v>
      </c>
      <c r="V1167" s="22">
        <f t="shared" si="263"/>
        <v>27.29</v>
      </c>
      <c r="W1167" t="str">
        <f t="shared" si="264"/>
        <v>Tradiciones Andinas 07/21/2025</v>
      </c>
      <c r="Z1167">
        <f t="shared" si="265"/>
        <v>54.58</v>
      </c>
    </row>
    <row r="1168" spans="1:26" hidden="1" x14ac:dyDescent="0.25">
      <c r="A1168" s="2" t="s">
        <v>664</v>
      </c>
      <c r="B1168" s="11" t="s">
        <v>1153</v>
      </c>
      <c r="C1168" s="11" t="s">
        <v>4</v>
      </c>
      <c r="D1168" s="11" t="s">
        <v>1154</v>
      </c>
      <c r="E1168" s="11" t="s">
        <v>868</v>
      </c>
      <c r="F1168" s="11" t="s">
        <v>1007</v>
      </c>
      <c r="G1168" s="12">
        <v>2</v>
      </c>
      <c r="H1168" s="12">
        <v>27.29</v>
      </c>
      <c r="I1168" s="12">
        <v>54.58</v>
      </c>
      <c r="J1168" s="12">
        <v>83151.039999999964</v>
      </c>
      <c r="K1168" s="20">
        <f t="shared" si="252"/>
        <v>5</v>
      </c>
      <c r="L1168" s="20" t="str">
        <f t="shared" si="253"/>
        <v>Se repite 5 veces</v>
      </c>
      <c r="M1168" s="20" t="str">
        <f t="shared" si="254"/>
        <v>Tradiciones Andinas-T.A Te con canela y clavo - Cinnamon and Clove filtrante 24gr x 20 x 30</v>
      </c>
      <c r="N1168" s="20">
        <f t="shared" si="255"/>
        <v>5</v>
      </c>
      <c r="O1168" s="20" t="str">
        <f t="shared" si="256"/>
        <v>Se repite 5 veces en Tradiciones Andinas</v>
      </c>
      <c r="P1168" s="20" t="str">
        <f t="shared" si="257"/>
        <v>Tradiciones Andinas-T.A Te con canela y clavo - Cinnamon and Clove filtrante 24gr x 20 x 30-27.29</v>
      </c>
      <c r="Q1168" s="20">
        <f t="shared" si="258"/>
        <v>4</v>
      </c>
      <c r="R1168" s="20" t="str">
        <f t="shared" si="259"/>
        <v>Se repite 4 veces el precio de 27.29</v>
      </c>
      <c r="S1168" s="20" t="str">
        <f t="shared" si="260"/>
        <v>El producto T.A Te con canela y clavo - Cinnamon and Clove filtrante 24gr x 20 x 30 Se repite 5 veces en Tradiciones Andinas, Se repite 4 veces el precio de 27.29</v>
      </c>
      <c r="T1168" s="20" t="str">
        <f t="shared" si="261"/>
        <v>Tradiciones Andinas</v>
      </c>
      <c r="U1168" s="20" t="str">
        <f t="shared" si="262"/>
        <v>T.A Te con canela y clavo - Cinnamon and Clove filtrante 24gr x 20 x 30</v>
      </c>
      <c r="V1168" s="22">
        <f t="shared" si="263"/>
        <v>27.29</v>
      </c>
      <c r="W1168" t="str">
        <f t="shared" si="264"/>
        <v>Tradiciones Andinas 09/24/2025</v>
      </c>
      <c r="Z1168">
        <f t="shared" si="265"/>
        <v>54.58</v>
      </c>
    </row>
    <row r="1169" spans="1:26" hidden="1" x14ac:dyDescent="0.25">
      <c r="A1169" s="2" t="s">
        <v>664</v>
      </c>
      <c r="B1169" s="11" t="s">
        <v>1207</v>
      </c>
      <c r="C1169" s="11" t="s">
        <v>4</v>
      </c>
      <c r="D1169" s="11" t="s">
        <v>1208</v>
      </c>
      <c r="E1169" s="11" t="s">
        <v>868</v>
      </c>
      <c r="F1169" s="11" t="s">
        <v>1007</v>
      </c>
      <c r="G1169" s="12">
        <v>5</v>
      </c>
      <c r="H1169" s="12">
        <v>27.29</v>
      </c>
      <c r="I1169" s="12">
        <v>136.44999999999999</v>
      </c>
      <c r="J1169" s="12">
        <v>108744.22999999991</v>
      </c>
      <c r="K1169" s="20">
        <f t="shared" si="252"/>
        <v>5</v>
      </c>
      <c r="L1169" s="20" t="str">
        <f t="shared" si="253"/>
        <v>Se repite 5 veces</v>
      </c>
      <c r="M1169" s="20" t="str">
        <f t="shared" si="254"/>
        <v>Tradiciones Andinas-T.A Te con canela y clavo - Cinnamon and Clove filtrante 24gr x 20 x 30</v>
      </c>
      <c r="N1169" s="20">
        <f t="shared" si="255"/>
        <v>5</v>
      </c>
      <c r="O1169" s="20" t="str">
        <f t="shared" si="256"/>
        <v>Se repite 5 veces en Tradiciones Andinas</v>
      </c>
      <c r="P1169" s="20" t="str">
        <f t="shared" si="257"/>
        <v>Tradiciones Andinas-T.A Te con canela y clavo - Cinnamon and Clove filtrante 24gr x 20 x 30-27.29</v>
      </c>
      <c r="Q1169" s="20">
        <f t="shared" si="258"/>
        <v>4</v>
      </c>
      <c r="R1169" s="20" t="str">
        <f t="shared" si="259"/>
        <v>Se repite 4 veces el precio de 27.29</v>
      </c>
      <c r="S1169" s="20" t="str">
        <f t="shared" si="260"/>
        <v>El producto T.A Te con canela y clavo - Cinnamon and Clove filtrante 24gr x 20 x 30 Se repite 5 veces en Tradiciones Andinas, Se repite 4 veces el precio de 27.29</v>
      </c>
      <c r="T1169" s="20" t="str">
        <f t="shared" si="261"/>
        <v>Tradiciones Andinas</v>
      </c>
      <c r="U1169" s="20" t="str">
        <f t="shared" si="262"/>
        <v>T.A Te con canela y clavo - Cinnamon and Clove filtrante 24gr x 20 x 30</v>
      </c>
      <c r="V1169" s="22">
        <f t="shared" si="263"/>
        <v>27.29</v>
      </c>
      <c r="W1169" t="str">
        <f t="shared" si="264"/>
        <v>Tradiciones Andinas 11/28/2025</v>
      </c>
      <c r="Z1169">
        <f t="shared" si="265"/>
        <v>136.44999999999999</v>
      </c>
    </row>
    <row r="1170" spans="1:26" hidden="1" x14ac:dyDescent="0.25">
      <c r="A1170" s="2" t="s">
        <v>664</v>
      </c>
      <c r="B1170" s="11" t="s">
        <v>665</v>
      </c>
      <c r="C1170" s="11" t="s">
        <v>4</v>
      </c>
      <c r="D1170" s="11" t="s">
        <v>666</v>
      </c>
      <c r="E1170" s="11" t="s">
        <v>706</v>
      </c>
      <c r="F1170" s="11" t="s">
        <v>707</v>
      </c>
      <c r="G1170" s="12">
        <v>2</v>
      </c>
      <c r="H1170" s="12">
        <v>30</v>
      </c>
      <c r="I1170" s="12">
        <v>60</v>
      </c>
      <c r="J1170" s="12">
        <v>1220.44</v>
      </c>
      <c r="K1170" s="20">
        <f t="shared" si="252"/>
        <v>3</v>
      </c>
      <c r="L1170" s="20" t="str">
        <f t="shared" si="253"/>
        <v>Se repite 3 veces</v>
      </c>
      <c r="M1170" s="20" t="str">
        <f t="shared" si="254"/>
        <v>Tradiciones Andinas-T.A Trigo  Resbalado/Hulled Wheat 15oz x 24</v>
      </c>
      <c r="N1170" s="20">
        <f t="shared" si="255"/>
        <v>3</v>
      </c>
      <c r="O1170" s="20" t="str">
        <f t="shared" si="256"/>
        <v>Se repite 3 veces en Tradiciones Andinas</v>
      </c>
      <c r="P1170" s="20" t="str">
        <f t="shared" si="257"/>
        <v>Tradiciones Andinas-T.A Trigo  Resbalado/Hulled Wheat 15oz x 24-30</v>
      </c>
      <c r="Q1170" s="20">
        <f t="shared" si="258"/>
        <v>3</v>
      </c>
      <c r="R1170" s="20" t="str">
        <f t="shared" si="259"/>
        <v>Se repite 3 veces el precio de 30</v>
      </c>
      <c r="S1170" s="20" t="str">
        <f t="shared" si="260"/>
        <v>El producto T.A Trigo  Resbalado/Hulled Wheat 15oz x 24 Se repite 3 veces en Tradiciones Andinas, Se repite 3 veces el precio de 30</v>
      </c>
      <c r="T1170" s="20" t="str">
        <f t="shared" si="261"/>
        <v>Tradiciones Andinas</v>
      </c>
      <c r="U1170" s="20" t="str">
        <f t="shared" si="262"/>
        <v>T.A Trigo  Resbalado/Hulled Wheat 15oz x 24</v>
      </c>
      <c r="V1170" s="22">
        <f t="shared" si="263"/>
        <v>30</v>
      </c>
      <c r="W1170" t="str">
        <f t="shared" si="264"/>
        <v>Tradiciones Andinas 03/31/2025</v>
      </c>
      <c r="Z1170">
        <f t="shared" si="265"/>
        <v>60</v>
      </c>
    </row>
    <row r="1171" spans="1:26" hidden="1" x14ac:dyDescent="0.25">
      <c r="A1171" s="2" t="s">
        <v>664</v>
      </c>
      <c r="B1171" s="11" t="s">
        <v>398</v>
      </c>
      <c r="C1171" s="11" t="s">
        <v>4</v>
      </c>
      <c r="D1171" s="11" t="s">
        <v>5</v>
      </c>
      <c r="E1171" s="11" t="s">
        <v>706</v>
      </c>
      <c r="F1171" s="11" t="s">
        <v>707</v>
      </c>
      <c r="G1171" s="12">
        <v>3</v>
      </c>
      <c r="H1171" s="12">
        <v>30</v>
      </c>
      <c r="I1171" s="12">
        <v>90</v>
      </c>
      <c r="J1171" s="12">
        <v>4570.12</v>
      </c>
      <c r="K1171" s="20">
        <f t="shared" si="252"/>
        <v>3</v>
      </c>
      <c r="L1171" s="20" t="str">
        <f t="shared" si="253"/>
        <v>Se repite 3 veces</v>
      </c>
      <c r="M1171" s="20" t="str">
        <f t="shared" si="254"/>
        <v>Tradiciones Andinas-T.A Trigo  Resbalado/Hulled Wheat 15oz x 24</v>
      </c>
      <c r="N1171" s="20">
        <f t="shared" si="255"/>
        <v>3</v>
      </c>
      <c r="O1171" s="20" t="str">
        <f t="shared" si="256"/>
        <v>Se repite 3 veces en Tradiciones Andinas</v>
      </c>
      <c r="P1171" s="20" t="str">
        <f t="shared" si="257"/>
        <v>Tradiciones Andinas-T.A Trigo  Resbalado/Hulled Wheat 15oz x 24-30</v>
      </c>
      <c r="Q1171" s="20">
        <f t="shared" si="258"/>
        <v>3</v>
      </c>
      <c r="R1171" s="20" t="str">
        <f t="shared" si="259"/>
        <v>Se repite 3 veces el precio de 30</v>
      </c>
      <c r="S1171" s="20" t="str">
        <f t="shared" si="260"/>
        <v>El producto T.A Trigo  Resbalado/Hulled Wheat 15oz x 24 Se repite 3 veces en Tradiciones Andinas, Se repite 3 veces el precio de 30</v>
      </c>
      <c r="T1171" s="20" t="str">
        <f t="shared" si="261"/>
        <v>Tradiciones Andinas</v>
      </c>
      <c r="U1171" s="20" t="str">
        <f t="shared" si="262"/>
        <v>T.A Trigo  Resbalado/Hulled Wheat 15oz x 24</v>
      </c>
      <c r="V1171" s="22">
        <f t="shared" si="263"/>
        <v>30</v>
      </c>
      <c r="W1171" t="str">
        <f t="shared" si="264"/>
        <v>Tradiciones Andinas 04/10/2025</v>
      </c>
      <c r="Z1171">
        <f t="shared" si="265"/>
        <v>90</v>
      </c>
    </row>
    <row r="1172" spans="1:26" hidden="1" x14ac:dyDescent="0.25">
      <c r="A1172" s="2" t="s">
        <v>664</v>
      </c>
      <c r="B1172" s="11" t="s">
        <v>821</v>
      </c>
      <c r="C1172" s="11" t="s">
        <v>4</v>
      </c>
      <c r="D1172" s="11" t="s">
        <v>822</v>
      </c>
      <c r="E1172" s="11" t="s">
        <v>706</v>
      </c>
      <c r="F1172" s="11" t="s">
        <v>707</v>
      </c>
      <c r="G1172" s="12">
        <v>6</v>
      </c>
      <c r="H1172" s="12">
        <v>30</v>
      </c>
      <c r="I1172" s="12">
        <v>180</v>
      </c>
      <c r="J1172" s="12">
        <v>12514.399999999998</v>
      </c>
      <c r="K1172" s="20">
        <f t="shared" si="252"/>
        <v>3</v>
      </c>
      <c r="L1172" s="20" t="str">
        <f t="shared" si="253"/>
        <v>Se repite 3 veces</v>
      </c>
      <c r="M1172" s="20" t="str">
        <f t="shared" si="254"/>
        <v>Tradiciones Andinas-T.A Trigo  Resbalado/Hulled Wheat 15oz x 24</v>
      </c>
      <c r="N1172" s="20">
        <f t="shared" si="255"/>
        <v>3</v>
      </c>
      <c r="O1172" s="20" t="str">
        <f t="shared" si="256"/>
        <v>Se repite 3 veces en Tradiciones Andinas</v>
      </c>
      <c r="P1172" s="20" t="str">
        <f t="shared" si="257"/>
        <v>Tradiciones Andinas-T.A Trigo  Resbalado/Hulled Wheat 15oz x 24-30</v>
      </c>
      <c r="Q1172" s="20">
        <f t="shared" si="258"/>
        <v>3</v>
      </c>
      <c r="R1172" s="20" t="str">
        <f t="shared" si="259"/>
        <v>Se repite 3 veces el precio de 30</v>
      </c>
      <c r="S1172" s="20" t="str">
        <f t="shared" si="260"/>
        <v>El producto T.A Trigo  Resbalado/Hulled Wheat 15oz x 24 Se repite 3 veces en Tradiciones Andinas, Se repite 3 veces el precio de 30</v>
      </c>
      <c r="T1172" s="20" t="str">
        <f t="shared" si="261"/>
        <v>Tradiciones Andinas</v>
      </c>
      <c r="U1172" s="20" t="str">
        <f t="shared" si="262"/>
        <v>T.A Trigo  Resbalado/Hulled Wheat 15oz x 24</v>
      </c>
      <c r="V1172" s="22">
        <f t="shared" si="263"/>
        <v>30</v>
      </c>
      <c r="W1172" t="str">
        <f t="shared" si="264"/>
        <v>Tradiciones Andinas 04/25/2025</v>
      </c>
      <c r="Z1172">
        <f t="shared" si="265"/>
        <v>180</v>
      </c>
    </row>
    <row r="1173" spans="1:26" hidden="1" x14ac:dyDescent="0.25">
      <c r="A1173" s="2" t="s">
        <v>664</v>
      </c>
      <c r="B1173" s="11" t="s">
        <v>665</v>
      </c>
      <c r="C1173" s="11" t="s">
        <v>4</v>
      </c>
      <c r="D1173" s="11" t="s">
        <v>666</v>
      </c>
      <c r="E1173" s="11" t="s">
        <v>716</v>
      </c>
      <c r="F1173" s="11" t="s">
        <v>717</v>
      </c>
      <c r="G1173" s="12">
        <v>2</v>
      </c>
      <c r="H1173" s="12">
        <v>30</v>
      </c>
      <c r="I1173" s="12">
        <v>60</v>
      </c>
      <c r="J1173" s="12">
        <v>1578.3199999999997</v>
      </c>
      <c r="K1173" s="20">
        <f t="shared" si="252"/>
        <v>7</v>
      </c>
      <c r="L1173" s="20" t="str">
        <f t="shared" si="253"/>
        <v>Se repite 7 veces</v>
      </c>
      <c r="M1173" s="20" t="str">
        <f t="shared" si="254"/>
        <v>Tradiciones Andinas-T.A Trigo Trigo Pelado/Peeled Wheat 15oz x 24</v>
      </c>
      <c r="N1173" s="20">
        <f t="shared" si="255"/>
        <v>7</v>
      </c>
      <c r="O1173" s="20" t="str">
        <f t="shared" si="256"/>
        <v>Se repite 7 veces en Tradiciones Andinas</v>
      </c>
      <c r="P1173" s="20" t="str">
        <f t="shared" si="257"/>
        <v>Tradiciones Andinas-T.A Trigo Trigo Pelado/Peeled Wheat 15oz x 24-30</v>
      </c>
      <c r="Q1173" s="20">
        <f t="shared" si="258"/>
        <v>3</v>
      </c>
      <c r="R1173" s="20" t="str">
        <f t="shared" si="259"/>
        <v>Se repite 3 veces el precio de 30</v>
      </c>
      <c r="S1173" s="20" t="str">
        <f t="shared" si="260"/>
        <v>El producto T.A Trigo Trigo Pelado/Peeled Wheat 15oz x 24 Se repite 7 veces en Tradiciones Andinas, Se repite 3 veces el precio de 30</v>
      </c>
      <c r="T1173" s="20" t="str">
        <f t="shared" si="261"/>
        <v>Tradiciones Andinas</v>
      </c>
      <c r="U1173" s="20" t="str">
        <f t="shared" si="262"/>
        <v>T.A Trigo Trigo Pelado/Peeled Wheat 15oz x 24</v>
      </c>
      <c r="V1173" s="22">
        <f t="shared" si="263"/>
        <v>30</v>
      </c>
      <c r="W1173" t="str">
        <f t="shared" si="264"/>
        <v>Tradiciones Andinas 03/31/2025</v>
      </c>
      <c r="Z1173">
        <f t="shared" si="265"/>
        <v>60</v>
      </c>
    </row>
    <row r="1174" spans="1:26" hidden="1" x14ac:dyDescent="0.25">
      <c r="A1174" s="2" t="s">
        <v>664</v>
      </c>
      <c r="B1174" s="11" t="s">
        <v>398</v>
      </c>
      <c r="C1174" s="11" t="s">
        <v>4</v>
      </c>
      <c r="D1174" s="11" t="s">
        <v>5</v>
      </c>
      <c r="E1174" s="11" t="s">
        <v>716</v>
      </c>
      <c r="F1174" s="11" t="s">
        <v>777</v>
      </c>
      <c r="G1174" s="12">
        <v>2</v>
      </c>
      <c r="H1174" s="12">
        <v>30</v>
      </c>
      <c r="I1174" s="12">
        <v>60</v>
      </c>
      <c r="J1174" s="12">
        <v>4819.0599999999995</v>
      </c>
      <c r="K1174" s="20">
        <f t="shared" si="252"/>
        <v>7</v>
      </c>
      <c r="L1174" s="20" t="str">
        <f t="shared" si="253"/>
        <v>Se repite 7 veces</v>
      </c>
      <c r="M1174" s="20" t="str">
        <f t="shared" si="254"/>
        <v>Tradiciones Andinas-T.A Trigo Trigo Pelado/Peeled Wheat 15oz x 24</v>
      </c>
      <c r="N1174" s="20">
        <f t="shared" si="255"/>
        <v>7</v>
      </c>
      <c r="O1174" s="20" t="str">
        <f t="shared" si="256"/>
        <v>Se repite 7 veces en Tradiciones Andinas</v>
      </c>
      <c r="P1174" s="20" t="str">
        <f t="shared" si="257"/>
        <v>Tradiciones Andinas-T.A Trigo Trigo Pelado/Peeled Wheat 15oz x 24-30</v>
      </c>
      <c r="Q1174" s="20">
        <f t="shared" si="258"/>
        <v>3</v>
      </c>
      <c r="R1174" s="20" t="str">
        <f t="shared" si="259"/>
        <v>Se repite 3 veces el precio de 30</v>
      </c>
      <c r="S1174" s="20" t="str">
        <f t="shared" si="260"/>
        <v>El producto T.A Trigo Trigo Pelado/Peeled Wheat 15oz x 24 Se repite 7 veces en Tradiciones Andinas, Se repite 3 veces el precio de 30</v>
      </c>
      <c r="T1174" s="20" t="str">
        <f t="shared" si="261"/>
        <v>Tradiciones Andinas</v>
      </c>
      <c r="U1174" s="20" t="str">
        <f t="shared" si="262"/>
        <v>T.A Trigo Trigo Pelado/Peeled Wheat 15oz x 24</v>
      </c>
      <c r="V1174" s="22">
        <f t="shared" si="263"/>
        <v>30</v>
      </c>
      <c r="W1174" t="str">
        <f t="shared" si="264"/>
        <v>Tradiciones Andinas 04/10/2025</v>
      </c>
      <c r="Z1174">
        <f t="shared" si="265"/>
        <v>60</v>
      </c>
    </row>
    <row r="1175" spans="1:26" hidden="1" x14ac:dyDescent="0.25">
      <c r="A1175" s="2" t="s">
        <v>664</v>
      </c>
      <c r="B1175" s="11" t="s">
        <v>821</v>
      </c>
      <c r="C1175" s="11" t="s">
        <v>4</v>
      </c>
      <c r="D1175" s="11" t="s">
        <v>822</v>
      </c>
      <c r="E1175" s="11" t="s">
        <v>716</v>
      </c>
      <c r="F1175" s="11" t="s">
        <v>717</v>
      </c>
      <c r="G1175" s="12">
        <v>6</v>
      </c>
      <c r="H1175" s="12">
        <v>30</v>
      </c>
      <c r="I1175" s="12">
        <v>180</v>
      </c>
      <c r="J1175" s="12">
        <v>11683.399999999998</v>
      </c>
      <c r="K1175" s="20">
        <f t="shared" si="252"/>
        <v>7</v>
      </c>
      <c r="L1175" s="20" t="str">
        <f t="shared" si="253"/>
        <v>Se repite 7 veces</v>
      </c>
      <c r="M1175" s="20" t="str">
        <f t="shared" si="254"/>
        <v>Tradiciones Andinas-T.A Trigo Trigo Pelado/Peeled Wheat 15oz x 24</v>
      </c>
      <c r="N1175" s="20">
        <f t="shared" si="255"/>
        <v>7</v>
      </c>
      <c r="O1175" s="20" t="str">
        <f t="shared" si="256"/>
        <v>Se repite 7 veces en Tradiciones Andinas</v>
      </c>
      <c r="P1175" s="20" t="str">
        <f t="shared" si="257"/>
        <v>Tradiciones Andinas-T.A Trigo Trigo Pelado/Peeled Wheat 15oz x 24-30</v>
      </c>
      <c r="Q1175" s="20">
        <f t="shared" si="258"/>
        <v>3</v>
      </c>
      <c r="R1175" s="20" t="str">
        <f t="shared" si="259"/>
        <v>Se repite 3 veces el precio de 30</v>
      </c>
      <c r="S1175" s="20" t="str">
        <f t="shared" si="260"/>
        <v>El producto T.A Trigo Trigo Pelado/Peeled Wheat 15oz x 24 Se repite 7 veces en Tradiciones Andinas, Se repite 3 veces el precio de 30</v>
      </c>
      <c r="T1175" s="20" t="str">
        <f t="shared" si="261"/>
        <v>Tradiciones Andinas</v>
      </c>
      <c r="U1175" s="20" t="str">
        <f t="shared" si="262"/>
        <v>T.A Trigo Trigo Pelado/Peeled Wheat 15oz x 24</v>
      </c>
      <c r="V1175" s="22">
        <f t="shared" si="263"/>
        <v>30</v>
      </c>
      <c r="W1175" t="str">
        <f t="shared" si="264"/>
        <v>Tradiciones Andinas 04/25/2025</v>
      </c>
      <c r="Z1175">
        <f t="shared" si="265"/>
        <v>180</v>
      </c>
    </row>
    <row r="1176" spans="1:26" hidden="1" x14ac:dyDescent="0.25">
      <c r="A1176" s="2" t="s">
        <v>664</v>
      </c>
      <c r="B1176" s="11" t="s">
        <v>1033</v>
      </c>
      <c r="C1176" s="11" t="s">
        <v>4</v>
      </c>
      <c r="D1176" s="11" t="s">
        <v>1034</v>
      </c>
      <c r="E1176" s="11" t="s">
        <v>716</v>
      </c>
      <c r="F1176" s="11" t="s">
        <v>777</v>
      </c>
      <c r="G1176" s="12">
        <v>2</v>
      </c>
      <c r="H1176" s="12">
        <v>32.1</v>
      </c>
      <c r="I1176" s="12">
        <v>64.2</v>
      </c>
      <c r="J1176" s="12">
        <v>48894.109999999971</v>
      </c>
      <c r="K1176" s="20">
        <f t="shared" si="252"/>
        <v>7</v>
      </c>
      <c r="L1176" s="20" t="str">
        <f t="shared" si="253"/>
        <v>Se repite 7 veces</v>
      </c>
      <c r="M1176" s="20" t="str">
        <f t="shared" si="254"/>
        <v>Tradiciones Andinas-T.A Trigo Trigo Pelado/Peeled Wheat 15oz x 24</v>
      </c>
      <c r="N1176" s="20">
        <f t="shared" si="255"/>
        <v>7</v>
      </c>
      <c r="O1176" s="20" t="str">
        <f t="shared" si="256"/>
        <v>Se repite 7 veces en Tradiciones Andinas</v>
      </c>
      <c r="P1176" s="20" t="str">
        <f t="shared" si="257"/>
        <v>Tradiciones Andinas-T.A Trigo Trigo Pelado/Peeled Wheat 15oz x 24-32.1</v>
      </c>
      <c r="Q1176" s="20">
        <f t="shared" si="258"/>
        <v>4</v>
      </c>
      <c r="R1176" s="20" t="str">
        <f t="shared" si="259"/>
        <v>Se repite 4 veces el precio de 32.1</v>
      </c>
      <c r="S1176" s="20" t="str">
        <f t="shared" si="260"/>
        <v>El producto T.A Trigo Trigo Pelado/Peeled Wheat 15oz x 24 Se repite 7 veces en Tradiciones Andinas, Se repite 4 veces el precio de 32.1</v>
      </c>
      <c r="T1176" s="20" t="str">
        <f t="shared" si="261"/>
        <v>Tradiciones Andinas</v>
      </c>
      <c r="U1176" s="20" t="str">
        <f t="shared" si="262"/>
        <v>T.A Trigo Trigo Pelado/Peeled Wheat 15oz x 24</v>
      </c>
      <c r="V1176" s="22">
        <f t="shared" si="263"/>
        <v>32.1</v>
      </c>
      <c r="W1176" t="str">
        <f t="shared" si="264"/>
        <v>Tradiciones Andinas 07/03/2025</v>
      </c>
      <c r="Z1176">
        <f t="shared" si="265"/>
        <v>64.2</v>
      </c>
    </row>
    <row r="1177" spans="1:26" hidden="1" x14ac:dyDescent="0.25">
      <c r="A1177" s="2" t="s">
        <v>664</v>
      </c>
      <c r="B1177" s="11" t="s">
        <v>1125</v>
      </c>
      <c r="C1177" s="11" t="s">
        <v>4</v>
      </c>
      <c r="D1177" s="11" t="s">
        <v>1126</v>
      </c>
      <c r="E1177" s="11" t="s">
        <v>716</v>
      </c>
      <c r="F1177" s="11" t="s">
        <v>777</v>
      </c>
      <c r="G1177" s="12">
        <v>1</v>
      </c>
      <c r="H1177" s="12">
        <v>32.1</v>
      </c>
      <c r="I1177" s="12">
        <v>32.1</v>
      </c>
      <c r="J1177" s="12">
        <v>68649.560000000012</v>
      </c>
      <c r="K1177" s="20">
        <f t="shared" si="252"/>
        <v>7</v>
      </c>
      <c r="L1177" s="20" t="str">
        <f t="shared" si="253"/>
        <v>Se repite 7 veces</v>
      </c>
      <c r="M1177" s="20" t="str">
        <f t="shared" si="254"/>
        <v>Tradiciones Andinas-T.A Trigo Trigo Pelado/Peeled Wheat 15oz x 24</v>
      </c>
      <c r="N1177" s="20">
        <f t="shared" si="255"/>
        <v>7</v>
      </c>
      <c r="O1177" s="20" t="str">
        <f t="shared" si="256"/>
        <v>Se repite 7 veces en Tradiciones Andinas</v>
      </c>
      <c r="P1177" s="20" t="str">
        <f t="shared" si="257"/>
        <v>Tradiciones Andinas-T.A Trigo Trigo Pelado/Peeled Wheat 15oz x 24-32.1</v>
      </c>
      <c r="Q1177" s="20">
        <f t="shared" si="258"/>
        <v>4</v>
      </c>
      <c r="R1177" s="20" t="str">
        <f t="shared" si="259"/>
        <v>Se repite 4 veces el precio de 32.1</v>
      </c>
      <c r="S1177" s="20" t="str">
        <f t="shared" si="260"/>
        <v>El producto T.A Trigo Trigo Pelado/Peeled Wheat 15oz x 24 Se repite 7 veces en Tradiciones Andinas, Se repite 4 veces el precio de 32.1</v>
      </c>
      <c r="T1177" s="20" t="str">
        <f t="shared" si="261"/>
        <v>Tradiciones Andinas</v>
      </c>
      <c r="U1177" s="20" t="str">
        <f t="shared" si="262"/>
        <v>T.A Trigo Trigo Pelado/Peeled Wheat 15oz x 24</v>
      </c>
      <c r="V1177" s="22">
        <f t="shared" si="263"/>
        <v>32.1</v>
      </c>
      <c r="W1177" t="str">
        <f t="shared" si="264"/>
        <v>Tradiciones Andinas 08/18/2025</v>
      </c>
      <c r="Z1177">
        <f t="shared" si="265"/>
        <v>32.1</v>
      </c>
    </row>
    <row r="1178" spans="1:26" hidden="1" x14ac:dyDescent="0.25">
      <c r="A1178" s="2" t="s">
        <v>664</v>
      </c>
      <c r="B1178" s="11" t="s">
        <v>1153</v>
      </c>
      <c r="C1178" s="11" t="s">
        <v>4</v>
      </c>
      <c r="D1178" s="11" t="s">
        <v>1154</v>
      </c>
      <c r="E1178" s="11" t="s">
        <v>716</v>
      </c>
      <c r="F1178" s="11" t="s">
        <v>777</v>
      </c>
      <c r="G1178" s="12">
        <v>4</v>
      </c>
      <c r="H1178" s="12">
        <v>32.1</v>
      </c>
      <c r="I1178" s="12">
        <v>128.4</v>
      </c>
      <c r="J1178" s="12">
        <v>78629.219999999987</v>
      </c>
      <c r="K1178" s="20">
        <f t="shared" si="252"/>
        <v>7</v>
      </c>
      <c r="L1178" s="20" t="str">
        <f t="shared" si="253"/>
        <v>Se repite 7 veces</v>
      </c>
      <c r="M1178" s="20" t="str">
        <f t="shared" si="254"/>
        <v>Tradiciones Andinas-T.A Trigo Trigo Pelado/Peeled Wheat 15oz x 24</v>
      </c>
      <c r="N1178" s="20">
        <f t="shared" si="255"/>
        <v>7</v>
      </c>
      <c r="O1178" s="20" t="str">
        <f t="shared" si="256"/>
        <v>Se repite 7 veces en Tradiciones Andinas</v>
      </c>
      <c r="P1178" s="20" t="str">
        <f t="shared" si="257"/>
        <v>Tradiciones Andinas-T.A Trigo Trigo Pelado/Peeled Wheat 15oz x 24-32.1</v>
      </c>
      <c r="Q1178" s="20">
        <f t="shared" si="258"/>
        <v>4</v>
      </c>
      <c r="R1178" s="20" t="str">
        <f t="shared" si="259"/>
        <v>Se repite 4 veces el precio de 32.1</v>
      </c>
      <c r="S1178" s="20" t="str">
        <f t="shared" si="260"/>
        <v>El producto T.A Trigo Trigo Pelado/Peeled Wheat 15oz x 24 Se repite 7 veces en Tradiciones Andinas, Se repite 4 veces el precio de 32.1</v>
      </c>
      <c r="T1178" s="20" t="str">
        <f t="shared" si="261"/>
        <v>Tradiciones Andinas</v>
      </c>
      <c r="U1178" s="20" t="str">
        <f t="shared" si="262"/>
        <v>T.A Trigo Trigo Pelado/Peeled Wheat 15oz x 24</v>
      </c>
      <c r="V1178" s="22">
        <f t="shared" si="263"/>
        <v>32.1</v>
      </c>
      <c r="W1178" t="str">
        <f t="shared" si="264"/>
        <v>Tradiciones Andinas 09/24/2025</v>
      </c>
      <c r="Z1178">
        <f t="shared" si="265"/>
        <v>128.4</v>
      </c>
    </row>
    <row r="1179" spans="1:26" hidden="1" x14ac:dyDescent="0.25">
      <c r="A1179" s="2" t="s">
        <v>664</v>
      </c>
      <c r="B1179" s="11" t="s">
        <v>1201</v>
      </c>
      <c r="C1179" s="11" t="s">
        <v>4</v>
      </c>
      <c r="D1179" s="11" t="s">
        <v>1202</v>
      </c>
      <c r="E1179" s="11" t="s">
        <v>716</v>
      </c>
      <c r="F1179" s="11" t="s">
        <v>777</v>
      </c>
      <c r="G1179" s="12">
        <v>6</v>
      </c>
      <c r="H1179" s="12">
        <v>32.1</v>
      </c>
      <c r="I1179" s="12">
        <v>192.6</v>
      </c>
      <c r="J1179" s="12">
        <v>101082.14999999994</v>
      </c>
      <c r="K1179" s="20">
        <f t="shared" si="252"/>
        <v>7</v>
      </c>
      <c r="L1179" s="20" t="str">
        <f t="shared" si="253"/>
        <v>Se repite 7 veces</v>
      </c>
      <c r="M1179" s="20" t="str">
        <f t="shared" si="254"/>
        <v>Tradiciones Andinas-T.A Trigo Trigo Pelado/Peeled Wheat 15oz x 24</v>
      </c>
      <c r="N1179" s="20">
        <f t="shared" si="255"/>
        <v>7</v>
      </c>
      <c r="O1179" s="20" t="str">
        <f t="shared" si="256"/>
        <v>Se repite 7 veces en Tradiciones Andinas</v>
      </c>
      <c r="P1179" s="20" t="str">
        <f t="shared" si="257"/>
        <v>Tradiciones Andinas-T.A Trigo Trigo Pelado/Peeled Wheat 15oz x 24-32.1</v>
      </c>
      <c r="Q1179" s="20">
        <f t="shared" si="258"/>
        <v>4</v>
      </c>
      <c r="R1179" s="20" t="str">
        <f t="shared" si="259"/>
        <v>Se repite 4 veces el precio de 32.1</v>
      </c>
      <c r="S1179" s="20" t="str">
        <f t="shared" si="260"/>
        <v>El producto T.A Trigo Trigo Pelado/Peeled Wheat 15oz x 24 Se repite 7 veces en Tradiciones Andinas, Se repite 4 veces el precio de 32.1</v>
      </c>
      <c r="T1179" s="20" t="str">
        <f t="shared" si="261"/>
        <v>Tradiciones Andinas</v>
      </c>
      <c r="U1179" s="20" t="str">
        <f t="shared" si="262"/>
        <v>T.A Trigo Trigo Pelado/Peeled Wheat 15oz x 24</v>
      </c>
      <c r="V1179" s="22">
        <f t="shared" si="263"/>
        <v>32.1</v>
      </c>
      <c r="W1179" t="str">
        <f t="shared" si="264"/>
        <v>Tradiciones Andinas 11/07/2025</v>
      </c>
      <c r="Z1179">
        <f t="shared" si="265"/>
        <v>192.60000000000002</v>
      </c>
    </row>
    <row r="1180" spans="1:26" hidden="1" x14ac:dyDescent="0.25">
      <c r="A1180" s="2" t="s">
        <v>664</v>
      </c>
      <c r="B1180" s="11" t="s">
        <v>821</v>
      </c>
      <c r="C1180" s="11" t="s">
        <v>4</v>
      </c>
      <c r="D1180" s="11" t="s">
        <v>822</v>
      </c>
      <c r="E1180" s="11" t="s">
        <v>827</v>
      </c>
      <c r="F1180" s="11" t="s">
        <v>827</v>
      </c>
      <c r="G1180" s="12">
        <v>2</v>
      </c>
      <c r="H1180" s="12">
        <v>35.880000000000003</v>
      </c>
      <c r="I1180" s="12">
        <v>71.760000000000005</v>
      </c>
      <c r="J1180" s="12">
        <v>9740.159999999998</v>
      </c>
      <c r="K1180" s="20">
        <f t="shared" si="252"/>
        <v>2</v>
      </c>
      <c r="L1180" s="20" t="str">
        <f t="shared" si="253"/>
        <v>Se repite 2 veces</v>
      </c>
      <c r="M1180" s="20" t="str">
        <f t="shared" si="254"/>
        <v>Tradiciones Andinas-T.A. Ajo Pasta - Ajo en Pasta /Garlic Paste 15oz X 12</v>
      </c>
      <c r="N1180" s="20">
        <f t="shared" si="255"/>
        <v>2</v>
      </c>
      <c r="O1180" s="20" t="str">
        <f t="shared" si="256"/>
        <v>Se repite 2 veces en Tradiciones Andinas</v>
      </c>
      <c r="P1180" s="20" t="str">
        <f t="shared" si="257"/>
        <v>Tradiciones Andinas-T.A. Ajo Pasta - Ajo en Pasta /Garlic Paste 15oz X 12-35.88</v>
      </c>
      <c r="Q1180" s="20">
        <f t="shared" si="258"/>
        <v>2</v>
      </c>
      <c r="R1180" s="20" t="str">
        <f t="shared" si="259"/>
        <v>Se repite 2 veces el precio de 35.88</v>
      </c>
      <c r="S1180" s="20" t="str">
        <f t="shared" si="260"/>
        <v>El producto T.A. Ajo Pasta - Ajo en Pasta /Garlic Paste 15oz X 12 Se repite 2 veces en Tradiciones Andinas, Se repite 2 veces el precio de 35.88</v>
      </c>
      <c r="T1180" s="20" t="str">
        <f t="shared" si="261"/>
        <v>Tradiciones Andinas</v>
      </c>
      <c r="U1180" s="20" t="str">
        <f t="shared" si="262"/>
        <v>T.A. Ajo Pasta - Ajo en Pasta /Garlic Paste 15oz X 12</v>
      </c>
      <c r="V1180" s="22">
        <f t="shared" si="263"/>
        <v>35.880000000000003</v>
      </c>
      <c r="W1180" t="str">
        <f t="shared" si="264"/>
        <v>Tradiciones Andinas 04/25/2025</v>
      </c>
      <c r="Z1180">
        <f t="shared" si="265"/>
        <v>71.760000000000005</v>
      </c>
    </row>
    <row r="1181" spans="1:26" hidden="1" x14ac:dyDescent="0.25">
      <c r="A1181" s="2" t="s">
        <v>664</v>
      </c>
      <c r="B1181" s="11" t="s">
        <v>1125</v>
      </c>
      <c r="C1181" s="11" t="s">
        <v>4</v>
      </c>
      <c r="D1181" s="11" t="s">
        <v>1126</v>
      </c>
      <c r="E1181" s="11" t="s">
        <v>827</v>
      </c>
      <c r="F1181" s="11" t="s">
        <v>1128</v>
      </c>
      <c r="G1181" s="12">
        <v>2</v>
      </c>
      <c r="H1181" s="12">
        <v>35.880000000000003</v>
      </c>
      <c r="I1181" s="12">
        <v>71.760000000000005</v>
      </c>
      <c r="J1181" s="12">
        <v>68038.740000000005</v>
      </c>
      <c r="K1181" s="20">
        <f t="shared" si="252"/>
        <v>2</v>
      </c>
      <c r="L1181" s="20" t="str">
        <f t="shared" si="253"/>
        <v>Se repite 2 veces</v>
      </c>
      <c r="M1181" s="20" t="str">
        <f t="shared" si="254"/>
        <v>Tradiciones Andinas-T.A. Ajo Pasta - Ajo en Pasta /Garlic Paste 15oz X 12</v>
      </c>
      <c r="N1181" s="20">
        <f t="shared" si="255"/>
        <v>2</v>
      </c>
      <c r="O1181" s="20" t="str">
        <f t="shared" si="256"/>
        <v>Se repite 2 veces en Tradiciones Andinas</v>
      </c>
      <c r="P1181" s="20" t="str">
        <f t="shared" si="257"/>
        <v>Tradiciones Andinas-T.A. Ajo Pasta - Ajo en Pasta /Garlic Paste 15oz X 12-35.88</v>
      </c>
      <c r="Q1181" s="20">
        <f t="shared" si="258"/>
        <v>2</v>
      </c>
      <c r="R1181" s="20" t="str">
        <f t="shared" si="259"/>
        <v>Se repite 2 veces el precio de 35.88</v>
      </c>
      <c r="S1181" s="20" t="str">
        <f t="shared" si="260"/>
        <v>El producto T.A. Ajo Pasta - Ajo en Pasta /Garlic Paste 15oz X 12 Se repite 2 veces en Tradiciones Andinas, Se repite 2 veces el precio de 35.88</v>
      </c>
      <c r="T1181" s="20" t="str">
        <f t="shared" si="261"/>
        <v>Tradiciones Andinas</v>
      </c>
      <c r="U1181" s="20" t="str">
        <f t="shared" si="262"/>
        <v>T.A. Ajo Pasta - Ajo en Pasta /Garlic Paste 15oz X 12</v>
      </c>
      <c r="V1181" s="22">
        <f t="shared" si="263"/>
        <v>35.880000000000003</v>
      </c>
      <c r="W1181" t="str">
        <f t="shared" si="264"/>
        <v>Tradiciones Andinas 08/18/2025</v>
      </c>
      <c r="Z1181">
        <f t="shared" si="265"/>
        <v>71.760000000000005</v>
      </c>
    </row>
    <row r="1182" spans="1:26" hidden="1" x14ac:dyDescent="0.25">
      <c r="A1182" s="2" t="s">
        <v>18</v>
      </c>
      <c r="B1182" s="11" t="s">
        <v>19</v>
      </c>
      <c r="C1182" s="11" t="s">
        <v>4</v>
      </c>
      <c r="D1182" s="11" t="s">
        <v>20</v>
      </c>
      <c r="E1182" s="11" t="s">
        <v>46</v>
      </c>
      <c r="F1182" s="11" t="s">
        <v>47</v>
      </c>
      <c r="G1182" s="12">
        <v>10</v>
      </c>
      <c r="H1182" s="12">
        <v>39.5</v>
      </c>
      <c r="I1182" s="12">
        <v>395</v>
      </c>
      <c r="J1182" s="12">
        <v>2439.8000000000002</v>
      </c>
      <c r="K1182" s="20">
        <f t="shared" si="252"/>
        <v>7</v>
      </c>
      <c r="L1182" s="20" t="str">
        <f t="shared" si="253"/>
        <v>Se repite 7 veces</v>
      </c>
      <c r="M1182" s="20" t="str">
        <f t="shared" si="254"/>
        <v>Belmont International Trading Corp-Tari crema de aji A la Cena17.06oz (400gr) x 12</v>
      </c>
      <c r="N1182" s="20">
        <f t="shared" si="255"/>
        <v>3</v>
      </c>
      <c r="O1182" s="20" t="str">
        <f t="shared" si="256"/>
        <v>Se repite 3 veces en Belmont International Trading Corp</v>
      </c>
      <c r="P1182" s="20" t="str">
        <f t="shared" si="257"/>
        <v>Belmont International Trading Corp-Tari crema de aji A la Cena17.06oz (400gr) x 12-39.5</v>
      </c>
      <c r="Q1182" s="20">
        <f t="shared" si="258"/>
        <v>1</v>
      </c>
      <c r="R1182" s="20" t="str">
        <f t="shared" si="259"/>
        <v>No se repite</v>
      </c>
      <c r="S1182" s="20" t="str">
        <f t="shared" si="260"/>
        <v>El producto Tari crema de aji A la Cena17.06oz (400gr) x 12 Se repite 3 veces en Belmont International Trading Corp Una vez con el precio 39.5</v>
      </c>
      <c r="T1182" s="20" t="str">
        <f t="shared" si="261"/>
        <v>Belmont International Trading Corp</v>
      </c>
      <c r="U1182" s="20" t="str">
        <f t="shared" si="262"/>
        <v>Tari crema de aji A la Cena17.06oz (400gr) x 12</v>
      </c>
      <c r="V1182" s="22">
        <f t="shared" si="263"/>
        <v>39.5</v>
      </c>
      <c r="W1182" t="str">
        <f t="shared" si="264"/>
        <v>Belmont International Trading Corp 04/28/2025</v>
      </c>
      <c r="Z1182">
        <f t="shared" si="265"/>
        <v>395</v>
      </c>
    </row>
    <row r="1183" spans="1:26" hidden="1" x14ac:dyDescent="0.25">
      <c r="A1183" s="2" t="s">
        <v>18</v>
      </c>
      <c r="B1183" s="11" t="s">
        <v>148</v>
      </c>
      <c r="C1183" s="11" t="s">
        <v>4</v>
      </c>
      <c r="D1183" s="11" t="s">
        <v>149</v>
      </c>
      <c r="E1183" s="11" t="s">
        <v>46</v>
      </c>
      <c r="F1183" s="11" t="s">
        <v>47</v>
      </c>
      <c r="G1183" s="12">
        <v>10</v>
      </c>
      <c r="H1183" s="12">
        <v>43.5</v>
      </c>
      <c r="I1183" s="12">
        <v>435</v>
      </c>
      <c r="J1183" s="12">
        <v>7843.74</v>
      </c>
      <c r="K1183" s="20">
        <f t="shared" si="252"/>
        <v>7</v>
      </c>
      <c r="L1183" s="20" t="str">
        <f t="shared" si="253"/>
        <v>Se repite 7 veces</v>
      </c>
      <c r="M1183" s="20" t="str">
        <f t="shared" si="254"/>
        <v>Belmont International Trading Corp-Tari crema de aji A la Cena17.06oz (400gr) x 12</v>
      </c>
      <c r="N1183" s="20">
        <f t="shared" si="255"/>
        <v>3</v>
      </c>
      <c r="O1183" s="20" t="str">
        <f t="shared" si="256"/>
        <v>Se repite 3 veces en Belmont International Trading Corp</v>
      </c>
      <c r="P1183" s="20" t="str">
        <f t="shared" si="257"/>
        <v>Belmont International Trading Corp-Tari crema de aji A la Cena17.06oz (400gr) x 12-43.5</v>
      </c>
      <c r="Q1183" s="20">
        <f t="shared" si="258"/>
        <v>2</v>
      </c>
      <c r="R1183" s="20" t="str">
        <f t="shared" si="259"/>
        <v>Se repite 2 veces el precio de 43.5</v>
      </c>
      <c r="S1183" s="20" t="str">
        <f t="shared" si="260"/>
        <v>El producto Tari crema de aji A la Cena17.06oz (400gr) x 12 Se repite 3 veces en Belmont International Trading Corp, Se repite 2 veces el precio de 43.5</v>
      </c>
      <c r="T1183" s="20" t="str">
        <f t="shared" si="261"/>
        <v>Belmont International Trading Corp</v>
      </c>
      <c r="U1183" s="20" t="str">
        <f t="shared" si="262"/>
        <v>Tari crema de aji A la Cena17.06oz (400gr) x 12</v>
      </c>
      <c r="V1183" s="22">
        <f t="shared" si="263"/>
        <v>43.5</v>
      </c>
      <c r="W1183" t="str">
        <f t="shared" si="264"/>
        <v>Belmont International Trading Corp 05/16/2025</v>
      </c>
      <c r="Z1183">
        <f t="shared" si="265"/>
        <v>435</v>
      </c>
    </row>
    <row r="1184" spans="1:26" hidden="1" x14ac:dyDescent="0.25">
      <c r="A1184" s="2" t="s">
        <v>18</v>
      </c>
      <c r="B1184" s="11" t="s">
        <v>158</v>
      </c>
      <c r="C1184" s="11" t="s">
        <v>4</v>
      </c>
      <c r="D1184" s="11" t="s">
        <v>159</v>
      </c>
      <c r="E1184" s="11" t="s">
        <v>46</v>
      </c>
      <c r="F1184" s="11" t="s">
        <v>47</v>
      </c>
      <c r="G1184" s="12">
        <v>5</v>
      </c>
      <c r="H1184" s="12">
        <v>43.5</v>
      </c>
      <c r="I1184" s="12">
        <v>217.5</v>
      </c>
      <c r="J1184" s="12">
        <v>13491.24</v>
      </c>
      <c r="K1184" s="20">
        <f t="shared" si="252"/>
        <v>7</v>
      </c>
      <c r="L1184" s="20" t="str">
        <f t="shared" si="253"/>
        <v>Se repite 7 veces</v>
      </c>
      <c r="M1184" s="20" t="str">
        <f t="shared" si="254"/>
        <v>Belmont International Trading Corp-Tari crema de aji A la Cena17.06oz (400gr) x 12</v>
      </c>
      <c r="N1184" s="20">
        <f t="shared" si="255"/>
        <v>3</v>
      </c>
      <c r="O1184" s="20" t="str">
        <f t="shared" si="256"/>
        <v>Se repite 3 veces en Belmont International Trading Corp</v>
      </c>
      <c r="P1184" s="20" t="str">
        <f t="shared" si="257"/>
        <v>Belmont International Trading Corp-Tari crema de aji A la Cena17.06oz (400gr) x 12-43.5</v>
      </c>
      <c r="Q1184" s="20">
        <f t="shared" si="258"/>
        <v>2</v>
      </c>
      <c r="R1184" s="20" t="str">
        <f t="shared" si="259"/>
        <v>Se repite 2 veces el precio de 43.5</v>
      </c>
      <c r="S1184" s="20" t="str">
        <f t="shared" si="260"/>
        <v>El producto Tari crema de aji A la Cena17.06oz (400gr) x 12 Se repite 3 veces en Belmont International Trading Corp, Se repite 2 veces el precio de 43.5</v>
      </c>
      <c r="T1184" s="20" t="str">
        <f t="shared" si="261"/>
        <v>Belmont International Trading Corp</v>
      </c>
      <c r="U1184" s="20" t="str">
        <f t="shared" si="262"/>
        <v>Tari crema de aji A la Cena17.06oz (400gr) x 12</v>
      </c>
      <c r="V1184" s="22">
        <f t="shared" si="263"/>
        <v>43.5</v>
      </c>
      <c r="W1184" t="str">
        <f t="shared" si="264"/>
        <v>Belmont International Trading Corp 06/12/2025</v>
      </c>
      <c r="Y1184" s="27"/>
      <c r="Z1184">
        <f t="shared" si="265"/>
        <v>217.5</v>
      </c>
    </row>
    <row r="1185" spans="1:26" hidden="1" x14ac:dyDescent="0.25">
      <c r="A1185" s="2" t="s">
        <v>272</v>
      </c>
      <c r="B1185" s="11" t="s">
        <v>563</v>
      </c>
      <c r="C1185" s="11" t="s">
        <v>4</v>
      </c>
      <c r="D1185" s="11" t="s">
        <v>564</v>
      </c>
      <c r="E1185" s="11" t="s">
        <v>46</v>
      </c>
      <c r="F1185" s="11" t="s">
        <v>47</v>
      </c>
      <c r="G1185" s="12">
        <v>3</v>
      </c>
      <c r="H1185" s="12">
        <v>35</v>
      </c>
      <c r="I1185" s="12">
        <v>105</v>
      </c>
      <c r="J1185" s="12">
        <v>22762</v>
      </c>
      <c r="K1185" s="20">
        <f t="shared" si="252"/>
        <v>7</v>
      </c>
      <c r="L1185" s="20" t="str">
        <f t="shared" si="253"/>
        <v>Se repite 7 veces</v>
      </c>
      <c r="M1185" s="20" t="str">
        <f t="shared" si="254"/>
        <v>Peru Chef-Tari crema de aji A la Cena17.06oz (400gr) x 12</v>
      </c>
      <c r="N1185" s="20">
        <f t="shared" si="255"/>
        <v>4</v>
      </c>
      <c r="O1185" s="20" t="str">
        <f t="shared" si="256"/>
        <v>Se repite 4 veces en Peru Chef</v>
      </c>
      <c r="P1185" s="20" t="str">
        <f t="shared" si="257"/>
        <v>Peru Chef-Tari crema de aji A la Cena17.06oz (400gr) x 12-35</v>
      </c>
      <c r="Q1185" s="20">
        <f t="shared" si="258"/>
        <v>4</v>
      </c>
      <c r="R1185" s="20" t="str">
        <f t="shared" si="259"/>
        <v>Se repite 4 veces el precio de 35</v>
      </c>
      <c r="S1185" s="20" t="str">
        <f t="shared" si="260"/>
        <v>El producto Tari crema de aji A la Cena17.06oz (400gr) x 12 Se repite 4 veces en Peru Chef, Se repite 4 veces el precio de 35</v>
      </c>
      <c r="T1185" s="20" t="str">
        <f t="shared" si="261"/>
        <v>Peru Chef</v>
      </c>
      <c r="U1185" s="20" t="str">
        <f t="shared" si="262"/>
        <v>Tari crema de aji A la Cena17.06oz (400gr) x 12</v>
      </c>
      <c r="V1185" s="22">
        <f t="shared" si="263"/>
        <v>35</v>
      </c>
      <c r="W1185" t="str">
        <f t="shared" si="264"/>
        <v>Peru Chef 09/11/2025</v>
      </c>
      <c r="Z1185">
        <f t="shared" si="265"/>
        <v>105</v>
      </c>
    </row>
    <row r="1186" spans="1:26" hidden="1" x14ac:dyDescent="0.25">
      <c r="A1186" s="2" t="s">
        <v>272</v>
      </c>
      <c r="B1186" s="11" t="s">
        <v>572</v>
      </c>
      <c r="C1186" s="11" t="s">
        <v>4</v>
      </c>
      <c r="D1186" s="11" t="s">
        <v>573</v>
      </c>
      <c r="E1186" s="11" t="s">
        <v>46</v>
      </c>
      <c r="F1186" s="11" t="s">
        <v>47</v>
      </c>
      <c r="G1186" s="12">
        <v>10</v>
      </c>
      <c r="H1186" s="12">
        <v>35</v>
      </c>
      <c r="I1186" s="12">
        <v>350</v>
      </c>
      <c r="J1186" s="12">
        <v>26564</v>
      </c>
      <c r="K1186" s="20">
        <f t="shared" si="252"/>
        <v>7</v>
      </c>
      <c r="L1186" s="20" t="str">
        <f t="shared" si="253"/>
        <v>Se repite 7 veces</v>
      </c>
      <c r="M1186" s="20" t="str">
        <f t="shared" si="254"/>
        <v>Peru Chef-Tari crema de aji A la Cena17.06oz (400gr) x 12</v>
      </c>
      <c r="N1186" s="20">
        <f t="shared" si="255"/>
        <v>4</v>
      </c>
      <c r="O1186" s="20" t="str">
        <f t="shared" si="256"/>
        <v>Se repite 4 veces en Peru Chef</v>
      </c>
      <c r="P1186" s="20" t="str">
        <f t="shared" si="257"/>
        <v>Peru Chef-Tari crema de aji A la Cena17.06oz (400gr) x 12-35</v>
      </c>
      <c r="Q1186" s="20">
        <f t="shared" si="258"/>
        <v>4</v>
      </c>
      <c r="R1186" s="20" t="str">
        <f t="shared" si="259"/>
        <v>Se repite 4 veces el precio de 35</v>
      </c>
      <c r="S1186" s="20" t="str">
        <f t="shared" si="260"/>
        <v>El producto Tari crema de aji A la Cena17.06oz (400gr) x 12 Se repite 4 veces en Peru Chef, Se repite 4 veces el precio de 35</v>
      </c>
      <c r="T1186" s="20" t="str">
        <f t="shared" si="261"/>
        <v>Peru Chef</v>
      </c>
      <c r="U1186" s="20" t="str">
        <f t="shared" si="262"/>
        <v>Tari crema de aji A la Cena17.06oz (400gr) x 12</v>
      </c>
      <c r="V1186" s="22">
        <f t="shared" si="263"/>
        <v>35</v>
      </c>
      <c r="W1186" t="str">
        <f t="shared" si="264"/>
        <v>Peru Chef 10/09/2025</v>
      </c>
      <c r="Z1186">
        <f t="shared" si="265"/>
        <v>350</v>
      </c>
    </row>
    <row r="1187" spans="1:26" hidden="1" x14ac:dyDescent="0.25">
      <c r="A1187" s="2" t="s">
        <v>272</v>
      </c>
      <c r="B1187" s="11" t="s">
        <v>590</v>
      </c>
      <c r="C1187" s="11" t="s">
        <v>4</v>
      </c>
      <c r="D1187" s="11" t="s">
        <v>5</v>
      </c>
      <c r="E1187" s="11" t="s">
        <v>46</v>
      </c>
      <c r="F1187" s="11" t="s">
        <v>47</v>
      </c>
      <c r="G1187" s="12">
        <v>4</v>
      </c>
      <c r="H1187" s="12">
        <v>35</v>
      </c>
      <c r="I1187" s="12">
        <v>140</v>
      </c>
      <c r="J1187" s="12">
        <v>34058.199999999997</v>
      </c>
      <c r="K1187" s="20">
        <f t="shared" si="252"/>
        <v>7</v>
      </c>
      <c r="L1187" s="20" t="str">
        <f t="shared" si="253"/>
        <v>Se repite 7 veces</v>
      </c>
      <c r="M1187" s="20" t="str">
        <f t="shared" si="254"/>
        <v>Peru Chef-Tari crema de aji A la Cena17.06oz (400gr) x 12</v>
      </c>
      <c r="N1187" s="20">
        <f t="shared" si="255"/>
        <v>4</v>
      </c>
      <c r="O1187" s="20" t="str">
        <f t="shared" si="256"/>
        <v>Se repite 4 veces en Peru Chef</v>
      </c>
      <c r="P1187" s="20" t="str">
        <f t="shared" si="257"/>
        <v>Peru Chef-Tari crema de aji A la Cena17.06oz (400gr) x 12-35</v>
      </c>
      <c r="Q1187" s="20">
        <f t="shared" si="258"/>
        <v>4</v>
      </c>
      <c r="R1187" s="20" t="str">
        <f t="shared" si="259"/>
        <v>Se repite 4 veces el precio de 35</v>
      </c>
      <c r="S1187" s="20" t="str">
        <f t="shared" si="260"/>
        <v>El producto Tari crema de aji A la Cena17.06oz (400gr) x 12 Se repite 4 veces en Peru Chef, Se repite 4 veces el precio de 35</v>
      </c>
      <c r="T1187" s="20" t="str">
        <f t="shared" si="261"/>
        <v>Peru Chef</v>
      </c>
      <c r="U1187" s="20" t="str">
        <f t="shared" si="262"/>
        <v>Tari crema de aji A la Cena17.06oz (400gr) x 12</v>
      </c>
      <c r="V1187" s="22">
        <f t="shared" si="263"/>
        <v>35</v>
      </c>
      <c r="W1187" t="str">
        <f t="shared" si="264"/>
        <v>Peru Chef 10/28/2025</v>
      </c>
      <c r="Z1187">
        <f t="shared" si="265"/>
        <v>140</v>
      </c>
    </row>
    <row r="1188" spans="1:26" hidden="1" x14ac:dyDescent="0.25">
      <c r="A1188" s="2" t="s">
        <v>272</v>
      </c>
      <c r="B1188" s="11" t="s">
        <v>619</v>
      </c>
      <c r="C1188" s="11" t="s">
        <v>4</v>
      </c>
      <c r="D1188" s="11" t="s">
        <v>620</v>
      </c>
      <c r="E1188" s="11" t="s">
        <v>46</v>
      </c>
      <c r="F1188" s="11" t="s">
        <v>47</v>
      </c>
      <c r="G1188" s="12">
        <v>8</v>
      </c>
      <c r="H1188" s="12">
        <v>35</v>
      </c>
      <c r="I1188" s="12">
        <v>280</v>
      </c>
      <c r="J1188" s="12">
        <v>38592.850000000006</v>
      </c>
      <c r="K1188" s="20">
        <f t="shared" si="252"/>
        <v>7</v>
      </c>
      <c r="L1188" s="20" t="str">
        <f t="shared" si="253"/>
        <v>Se repite 7 veces</v>
      </c>
      <c r="M1188" s="20" t="str">
        <f t="shared" si="254"/>
        <v>Peru Chef-Tari crema de aji A la Cena17.06oz (400gr) x 12</v>
      </c>
      <c r="N1188" s="20">
        <f t="shared" si="255"/>
        <v>4</v>
      </c>
      <c r="O1188" s="20" t="str">
        <f t="shared" si="256"/>
        <v>Se repite 4 veces en Peru Chef</v>
      </c>
      <c r="P1188" s="20" t="str">
        <f t="shared" si="257"/>
        <v>Peru Chef-Tari crema de aji A la Cena17.06oz (400gr) x 12-35</v>
      </c>
      <c r="Q1188" s="20">
        <f t="shared" si="258"/>
        <v>4</v>
      </c>
      <c r="R1188" s="20" t="str">
        <f t="shared" si="259"/>
        <v>Se repite 4 veces el precio de 35</v>
      </c>
      <c r="S1188" s="20" t="str">
        <f t="shared" si="260"/>
        <v>El producto Tari crema de aji A la Cena17.06oz (400gr) x 12 Se repite 4 veces en Peru Chef, Se repite 4 veces el precio de 35</v>
      </c>
      <c r="T1188" s="20" t="str">
        <f t="shared" si="261"/>
        <v>Peru Chef</v>
      </c>
      <c r="U1188" s="20" t="str">
        <f t="shared" si="262"/>
        <v>Tari crema de aji A la Cena17.06oz (400gr) x 12</v>
      </c>
      <c r="V1188" s="22">
        <f t="shared" si="263"/>
        <v>35</v>
      </c>
      <c r="W1188" t="str">
        <f t="shared" si="264"/>
        <v>Peru Chef 12/09/2025</v>
      </c>
      <c r="Z1188">
        <f t="shared" si="265"/>
        <v>280</v>
      </c>
    </row>
    <row r="1189" spans="1:26" hidden="1" x14ac:dyDescent="0.25">
      <c r="A1189" s="2" t="s">
        <v>272</v>
      </c>
      <c r="B1189" s="11" t="s">
        <v>273</v>
      </c>
      <c r="C1189" s="11" t="s">
        <v>4</v>
      </c>
      <c r="D1189" s="11" t="s">
        <v>5</v>
      </c>
      <c r="E1189" s="11" t="s">
        <v>354</v>
      </c>
      <c r="F1189" s="11" t="s">
        <v>355</v>
      </c>
      <c r="G1189" s="12">
        <v>1</v>
      </c>
      <c r="H1189" s="12">
        <v>16</v>
      </c>
      <c r="I1189" s="12">
        <v>16</v>
      </c>
      <c r="J1189" s="12">
        <v>1411.1999999999998</v>
      </c>
      <c r="K1189" s="20">
        <f t="shared" si="252"/>
        <v>5</v>
      </c>
      <c r="L1189" s="20" t="str">
        <f t="shared" si="253"/>
        <v>Se repite 5 veces</v>
      </c>
      <c r="M1189" s="20" t="str">
        <f t="shared" si="254"/>
        <v>Peru Chef-Tentacion Galleta Coco 47gr 6 x 8</v>
      </c>
      <c r="N1189" s="20">
        <f t="shared" si="255"/>
        <v>5</v>
      </c>
      <c r="O1189" s="20" t="str">
        <f t="shared" si="256"/>
        <v>Se repite 5 veces en Peru Chef</v>
      </c>
      <c r="P1189" s="20" t="str">
        <f t="shared" si="257"/>
        <v>Peru Chef-Tentacion Galleta Coco 47gr 6 x 8-16</v>
      </c>
      <c r="Q1189" s="20">
        <f t="shared" si="258"/>
        <v>2</v>
      </c>
      <c r="R1189" s="20" t="str">
        <f t="shared" si="259"/>
        <v>Se repite 2 veces el precio de 16</v>
      </c>
      <c r="S1189" s="20" t="str">
        <f t="shared" si="260"/>
        <v>El producto Tentacion Galleta Coco 47gr 6 x 8 Se repite 5 veces en Peru Chef, Se repite 2 veces el precio de 16</v>
      </c>
      <c r="T1189" s="20" t="str">
        <f t="shared" si="261"/>
        <v>Peru Chef</v>
      </c>
      <c r="U1189" s="20" t="str">
        <f t="shared" si="262"/>
        <v>Tentacion Galleta Coco 47gr 6 x 8</v>
      </c>
      <c r="V1189" s="22">
        <f t="shared" si="263"/>
        <v>16</v>
      </c>
      <c r="W1189" t="str">
        <f t="shared" si="264"/>
        <v>Peru Chef 03/26/2025</v>
      </c>
      <c r="Z1189">
        <f t="shared" si="265"/>
        <v>16</v>
      </c>
    </row>
    <row r="1190" spans="1:26" hidden="1" x14ac:dyDescent="0.25">
      <c r="A1190" s="2" t="s">
        <v>272</v>
      </c>
      <c r="B1190" s="11" t="s">
        <v>398</v>
      </c>
      <c r="C1190" s="11" t="s">
        <v>4</v>
      </c>
      <c r="D1190" s="11" t="s">
        <v>399</v>
      </c>
      <c r="E1190" s="11" t="s">
        <v>354</v>
      </c>
      <c r="F1190" s="11" t="s">
        <v>355</v>
      </c>
      <c r="G1190" s="12">
        <v>1</v>
      </c>
      <c r="H1190" s="12">
        <v>16</v>
      </c>
      <c r="I1190" s="12">
        <v>16</v>
      </c>
      <c r="J1190" s="12">
        <v>3531</v>
      </c>
      <c r="K1190" s="20">
        <f t="shared" si="252"/>
        <v>5</v>
      </c>
      <c r="L1190" s="20" t="str">
        <f t="shared" si="253"/>
        <v>Se repite 5 veces</v>
      </c>
      <c r="M1190" s="20" t="str">
        <f t="shared" si="254"/>
        <v>Peru Chef-Tentacion Galleta Coco 47gr 6 x 8</v>
      </c>
      <c r="N1190" s="20">
        <f t="shared" si="255"/>
        <v>5</v>
      </c>
      <c r="O1190" s="20" t="str">
        <f t="shared" si="256"/>
        <v>Se repite 5 veces en Peru Chef</v>
      </c>
      <c r="P1190" s="20" t="str">
        <f t="shared" si="257"/>
        <v>Peru Chef-Tentacion Galleta Coco 47gr 6 x 8-16</v>
      </c>
      <c r="Q1190" s="20">
        <f t="shared" si="258"/>
        <v>2</v>
      </c>
      <c r="R1190" s="20" t="str">
        <f t="shared" si="259"/>
        <v>Se repite 2 veces el precio de 16</v>
      </c>
      <c r="S1190" s="20" t="str">
        <f t="shared" si="260"/>
        <v>El producto Tentacion Galleta Coco 47gr 6 x 8 Se repite 5 veces en Peru Chef, Se repite 2 veces el precio de 16</v>
      </c>
      <c r="T1190" s="20" t="str">
        <f t="shared" si="261"/>
        <v>Peru Chef</v>
      </c>
      <c r="U1190" s="20" t="str">
        <f t="shared" si="262"/>
        <v>Tentacion Galleta Coco 47gr 6 x 8</v>
      </c>
      <c r="V1190" s="22">
        <f t="shared" si="263"/>
        <v>16</v>
      </c>
      <c r="W1190" t="str">
        <f t="shared" si="264"/>
        <v>Peru Chef 04/10/2025</v>
      </c>
      <c r="Z1190">
        <f t="shared" si="265"/>
        <v>16</v>
      </c>
    </row>
    <row r="1191" spans="1:26" hidden="1" x14ac:dyDescent="0.25">
      <c r="A1191" s="2" t="s">
        <v>272</v>
      </c>
      <c r="B1191" s="11" t="s">
        <v>408</v>
      </c>
      <c r="C1191" s="11" t="s">
        <v>4</v>
      </c>
      <c r="D1191" s="11" t="s">
        <v>409</v>
      </c>
      <c r="E1191" s="11" t="s">
        <v>354</v>
      </c>
      <c r="F1191" s="11" t="s">
        <v>355</v>
      </c>
      <c r="G1191" s="12">
        <v>5</v>
      </c>
      <c r="H1191" s="12">
        <v>17</v>
      </c>
      <c r="I1191" s="12">
        <v>85</v>
      </c>
      <c r="J1191" s="12">
        <v>6121.6</v>
      </c>
      <c r="K1191" s="20">
        <f t="shared" si="252"/>
        <v>5</v>
      </c>
      <c r="L1191" s="20" t="str">
        <f t="shared" si="253"/>
        <v>Se repite 5 veces</v>
      </c>
      <c r="M1191" s="20" t="str">
        <f t="shared" si="254"/>
        <v>Peru Chef-Tentacion Galleta Coco 47gr 6 x 8</v>
      </c>
      <c r="N1191" s="20">
        <f t="shared" si="255"/>
        <v>5</v>
      </c>
      <c r="O1191" s="20" t="str">
        <f t="shared" si="256"/>
        <v>Se repite 5 veces en Peru Chef</v>
      </c>
      <c r="P1191" s="20" t="str">
        <f t="shared" si="257"/>
        <v>Peru Chef-Tentacion Galleta Coco 47gr 6 x 8-17</v>
      </c>
      <c r="Q1191" s="20">
        <f t="shared" si="258"/>
        <v>1</v>
      </c>
      <c r="R1191" s="20" t="str">
        <f t="shared" si="259"/>
        <v>No se repite</v>
      </c>
      <c r="S1191" s="20" t="str">
        <f t="shared" si="260"/>
        <v>El producto Tentacion Galleta Coco 47gr 6 x 8 Se repite 5 veces en Peru Chef Una vez con el precio 17</v>
      </c>
      <c r="T1191" s="20" t="str">
        <f t="shared" si="261"/>
        <v>Peru Chef</v>
      </c>
      <c r="U1191" s="20" t="str">
        <f t="shared" si="262"/>
        <v>Tentacion Galleta Coco 47gr 6 x 8</v>
      </c>
      <c r="V1191" s="22">
        <f t="shared" si="263"/>
        <v>17</v>
      </c>
      <c r="W1191" t="str">
        <f t="shared" si="264"/>
        <v>Peru Chef 04/13/2025</v>
      </c>
      <c r="Z1191">
        <f t="shared" si="265"/>
        <v>85</v>
      </c>
    </row>
    <row r="1192" spans="1:26" hidden="1" x14ac:dyDescent="0.25">
      <c r="A1192" s="2" t="s">
        <v>272</v>
      </c>
      <c r="B1192" s="11" t="s">
        <v>590</v>
      </c>
      <c r="C1192" s="11" t="s">
        <v>4</v>
      </c>
      <c r="D1192" s="11" t="s">
        <v>591</v>
      </c>
      <c r="E1192" s="11" t="s">
        <v>354</v>
      </c>
      <c r="F1192" s="11" t="s">
        <v>355</v>
      </c>
      <c r="G1192" s="12">
        <v>4</v>
      </c>
      <c r="H1192" s="12">
        <v>15.3</v>
      </c>
      <c r="I1192" s="12">
        <v>61.2</v>
      </c>
      <c r="J1192" s="12">
        <v>30298</v>
      </c>
      <c r="K1192" s="20">
        <f t="shared" si="252"/>
        <v>5</v>
      </c>
      <c r="L1192" s="20" t="str">
        <f t="shared" si="253"/>
        <v>Se repite 5 veces</v>
      </c>
      <c r="M1192" s="20" t="str">
        <f t="shared" si="254"/>
        <v>Peru Chef-Tentacion Galleta Coco 47gr 6 x 8</v>
      </c>
      <c r="N1192" s="20">
        <f t="shared" si="255"/>
        <v>5</v>
      </c>
      <c r="O1192" s="20" t="str">
        <f t="shared" si="256"/>
        <v>Se repite 5 veces en Peru Chef</v>
      </c>
      <c r="P1192" s="20" t="str">
        <f t="shared" si="257"/>
        <v>Peru Chef-Tentacion Galleta Coco 47gr 6 x 8-15.3</v>
      </c>
      <c r="Q1192" s="20">
        <f t="shared" si="258"/>
        <v>2</v>
      </c>
      <c r="R1192" s="20" t="str">
        <f t="shared" si="259"/>
        <v>Se repite 2 veces el precio de 15.3</v>
      </c>
      <c r="S1192" s="20" t="str">
        <f t="shared" si="260"/>
        <v>El producto Tentacion Galleta Coco 47gr 6 x 8 Se repite 5 veces en Peru Chef, Se repite 2 veces el precio de 15.3</v>
      </c>
      <c r="T1192" s="20" t="str">
        <f t="shared" si="261"/>
        <v>Peru Chef</v>
      </c>
      <c r="U1192" s="20" t="str">
        <f t="shared" si="262"/>
        <v>Tentacion Galleta Coco 47gr 6 x 8</v>
      </c>
      <c r="V1192" s="22">
        <f t="shared" si="263"/>
        <v>15.3</v>
      </c>
      <c r="W1192" t="str">
        <f t="shared" si="264"/>
        <v>Peru Chef 10/28/2025</v>
      </c>
      <c r="Z1192">
        <f t="shared" si="265"/>
        <v>61.2</v>
      </c>
    </row>
    <row r="1193" spans="1:26" hidden="1" x14ac:dyDescent="0.25">
      <c r="A1193" s="2" t="s">
        <v>272</v>
      </c>
      <c r="B1193" s="11" t="s">
        <v>600</v>
      </c>
      <c r="C1193" s="11" t="s">
        <v>4</v>
      </c>
      <c r="D1193" s="11" t="s">
        <v>601</v>
      </c>
      <c r="E1193" s="11" t="s">
        <v>354</v>
      </c>
      <c r="F1193" s="11" t="s">
        <v>618</v>
      </c>
      <c r="G1193" s="12">
        <v>10</v>
      </c>
      <c r="H1193" s="12">
        <v>15.3</v>
      </c>
      <c r="I1193" s="12">
        <v>153</v>
      </c>
      <c r="J1193" s="12">
        <v>37962.850000000006</v>
      </c>
      <c r="K1193" s="20">
        <f t="shared" si="252"/>
        <v>5</v>
      </c>
      <c r="L1193" s="20" t="str">
        <f t="shared" si="253"/>
        <v>Se repite 5 veces</v>
      </c>
      <c r="M1193" s="20" t="str">
        <f t="shared" si="254"/>
        <v>Peru Chef-Tentacion Galleta Coco 47gr 6 x 8</v>
      </c>
      <c r="N1193" s="20">
        <f t="shared" si="255"/>
        <v>5</v>
      </c>
      <c r="O1193" s="20" t="str">
        <f t="shared" si="256"/>
        <v>Se repite 5 veces en Peru Chef</v>
      </c>
      <c r="P1193" s="20" t="str">
        <f t="shared" si="257"/>
        <v>Peru Chef-Tentacion Galleta Coco 47gr 6 x 8-15.3</v>
      </c>
      <c r="Q1193" s="20">
        <f t="shared" si="258"/>
        <v>2</v>
      </c>
      <c r="R1193" s="20" t="str">
        <f t="shared" si="259"/>
        <v>Se repite 2 veces el precio de 15.3</v>
      </c>
      <c r="S1193" s="20" t="str">
        <f t="shared" si="260"/>
        <v>El producto Tentacion Galleta Coco 47gr 6 x 8 Se repite 5 veces en Peru Chef, Se repite 2 veces el precio de 15.3</v>
      </c>
      <c r="T1193" s="20" t="str">
        <f t="shared" si="261"/>
        <v>Peru Chef</v>
      </c>
      <c r="U1193" s="20" t="str">
        <f t="shared" si="262"/>
        <v>Tentacion Galleta Coco 47gr 6 x 8</v>
      </c>
      <c r="V1193" s="22">
        <f t="shared" si="263"/>
        <v>15.3</v>
      </c>
      <c r="W1193" t="str">
        <f t="shared" si="264"/>
        <v>Peru Chef 11/14/2025</v>
      </c>
      <c r="Z1193">
        <f t="shared" si="265"/>
        <v>153</v>
      </c>
    </row>
    <row r="1194" spans="1:26" hidden="1" x14ac:dyDescent="0.25">
      <c r="A1194" s="2" t="s">
        <v>272</v>
      </c>
      <c r="B1194" s="11" t="s">
        <v>273</v>
      </c>
      <c r="C1194" s="11" t="s">
        <v>4</v>
      </c>
      <c r="D1194" s="11" t="s">
        <v>5</v>
      </c>
      <c r="E1194" s="11" t="s">
        <v>356</v>
      </c>
      <c r="F1194" s="11" t="s">
        <v>357</v>
      </c>
      <c r="G1194" s="12">
        <v>1</v>
      </c>
      <c r="H1194" s="12">
        <v>16</v>
      </c>
      <c r="I1194" s="12">
        <v>16</v>
      </c>
      <c r="J1194" s="12">
        <v>1427.1999999999998</v>
      </c>
      <c r="K1194" s="20">
        <f t="shared" si="252"/>
        <v>3</v>
      </c>
      <c r="L1194" s="20" t="str">
        <f t="shared" si="253"/>
        <v>Se repite 3 veces</v>
      </c>
      <c r="M1194" s="20" t="str">
        <f t="shared" si="254"/>
        <v>Peru Chef-Tentacion Galleta Vainilla 47gr 6 x 8</v>
      </c>
      <c r="N1194" s="20">
        <f t="shared" si="255"/>
        <v>3</v>
      </c>
      <c r="O1194" s="20" t="str">
        <f t="shared" si="256"/>
        <v>Se repite 3 veces en Peru Chef</v>
      </c>
      <c r="P1194" s="20" t="str">
        <f t="shared" si="257"/>
        <v>Peru Chef-Tentacion Galleta Vainilla 47gr 6 x 8-16</v>
      </c>
      <c r="Q1194" s="20">
        <f t="shared" si="258"/>
        <v>2</v>
      </c>
      <c r="R1194" s="20" t="str">
        <f t="shared" si="259"/>
        <v>Se repite 2 veces el precio de 16</v>
      </c>
      <c r="S1194" s="20" t="str">
        <f t="shared" si="260"/>
        <v>El producto Tentacion Galleta Vainilla 47gr 6 x 8 Se repite 3 veces en Peru Chef, Se repite 2 veces el precio de 16</v>
      </c>
      <c r="T1194" s="20" t="str">
        <f t="shared" si="261"/>
        <v>Peru Chef</v>
      </c>
      <c r="U1194" s="20" t="str">
        <f t="shared" si="262"/>
        <v>Tentacion Galleta Vainilla 47gr 6 x 8</v>
      </c>
      <c r="V1194" s="22">
        <f t="shared" si="263"/>
        <v>16</v>
      </c>
      <c r="W1194" t="str">
        <f t="shared" si="264"/>
        <v>Peru Chef 03/26/2025</v>
      </c>
      <c r="Z1194">
        <f t="shared" si="265"/>
        <v>16</v>
      </c>
    </row>
    <row r="1195" spans="1:26" hidden="1" x14ac:dyDescent="0.25">
      <c r="A1195" s="2" t="s">
        <v>272</v>
      </c>
      <c r="B1195" s="11" t="s">
        <v>398</v>
      </c>
      <c r="C1195" s="11" t="s">
        <v>4</v>
      </c>
      <c r="D1195" s="11" t="s">
        <v>399</v>
      </c>
      <c r="E1195" s="11" t="s">
        <v>356</v>
      </c>
      <c r="F1195" s="11" t="s">
        <v>357</v>
      </c>
      <c r="G1195" s="12">
        <v>1</v>
      </c>
      <c r="H1195" s="12">
        <v>16</v>
      </c>
      <c r="I1195" s="12">
        <v>16</v>
      </c>
      <c r="J1195" s="12">
        <v>3547</v>
      </c>
      <c r="K1195" s="20">
        <f t="shared" si="252"/>
        <v>3</v>
      </c>
      <c r="L1195" s="20" t="str">
        <f t="shared" si="253"/>
        <v>Se repite 3 veces</v>
      </c>
      <c r="M1195" s="20" t="str">
        <f t="shared" si="254"/>
        <v>Peru Chef-Tentacion Galleta Vainilla 47gr 6 x 8</v>
      </c>
      <c r="N1195" s="20">
        <f t="shared" si="255"/>
        <v>3</v>
      </c>
      <c r="O1195" s="20" t="str">
        <f t="shared" si="256"/>
        <v>Se repite 3 veces en Peru Chef</v>
      </c>
      <c r="P1195" s="20" t="str">
        <f t="shared" si="257"/>
        <v>Peru Chef-Tentacion Galleta Vainilla 47gr 6 x 8-16</v>
      </c>
      <c r="Q1195" s="20">
        <f t="shared" si="258"/>
        <v>2</v>
      </c>
      <c r="R1195" s="20" t="str">
        <f t="shared" si="259"/>
        <v>Se repite 2 veces el precio de 16</v>
      </c>
      <c r="S1195" s="20" t="str">
        <f t="shared" si="260"/>
        <v>El producto Tentacion Galleta Vainilla 47gr 6 x 8 Se repite 3 veces en Peru Chef, Se repite 2 veces el precio de 16</v>
      </c>
      <c r="T1195" s="20" t="str">
        <f t="shared" si="261"/>
        <v>Peru Chef</v>
      </c>
      <c r="U1195" s="20" t="str">
        <f t="shared" si="262"/>
        <v>Tentacion Galleta Vainilla 47gr 6 x 8</v>
      </c>
      <c r="V1195" s="22">
        <f t="shared" si="263"/>
        <v>16</v>
      </c>
      <c r="W1195" t="str">
        <f t="shared" si="264"/>
        <v>Peru Chef 04/10/2025</v>
      </c>
      <c r="Z1195">
        <f t="shared" si="265"/>
        <v>16</v>
      </c>
    </row>
    <row r="1196" spans="1:26" hidden="1" x14ac:dyDescent="0.25">
      <c r="A1196" s="2" t="s">
        <v>272</v>
      </c>
      <c r="B1196" s="11" t="s">
        <v>408</v>
      </c>
      <c r="C1196" s="11" t="s">
        <v>4</v>
      </c>
      <c r="D1196" s="11" t="s">
        <v>409</v>
      </c>
      <c r="E1196" s="11" t="s">
        <v>356</v>
      </c>
      <c r="F1196" s="11" t="s">
        <v>357</v>
      </c>
      <c r="G1196" s="12">
        <v>5</v>
      </c>
      <c r="H1196" s="12">
        <v>17</v>
      </c>
      <c r="I1196" s="12">
        <v>85</v>
      </c>
      <c r="J1196" s="12">
        <v>6206.6</v>
      </c>
      <c r="K1196" s="20">
        <f t="shared" si="252"/>
        <v>3</v>
      </c>
      <c r="L1196" s="20" t="str">
        <f t="shared" si="253"/>
        <v>Se repite 3 veces</v>
      </c>
      <c r="M1196" s="20" t="str">
        <f t="shared" si="254"/>
        <v>Peru Chef-Tentacion Galleta Vainilla 47gr 6 x 8</v>
      </c>
      <c r="N1196" s="20">
        <f t="shared" si="255"/>
        <v>3</v>
      </c>
      <c r="O1196" s="20" t="str">
        <f t="shared" si="256"/>
        <v>Se repite 3 veces en Peru Chef</v>
      </c>
      <c r="P1196" s="20" t="str">
        <f t="shared" si="257"/>
        <v>Peru Chef-Tentacion Galleta Vainilla 47gr 6 x 8-17</v>
      </c>
      <c r="Q1196" s="20">
        <f t="shared" si="258"/>
        <v>1</v>
      </c>
      <c r="R1196" s="20" t="str">
        <f t="shared" si="259"/>
        <v>No se repite</v>
      </c>
      <c r="S1196" s="20" t="str">
        <f t="shared" si="260"/>
        <v>El producto Tentacion Galleta Vainilla 47gr 6 x 8 Se repite 3 veces en Peru Chef Una vez con el precio 17</v>
      </c>
      <c r="T1196" s="20" t="str">
        <f t="shared" si="261"/>
        <v>Peru Chef</v>
      </c>
      <c r="U1196" s="20" t="str">
        <f t="shared" si="262"/>
        <v>Tentacion Galleta Vainilla 47gr 6 x 8</v>
      </c>
      <c r="V1196" s="22">
        <f t="shared" si="263"/>
        <v>17</v>
      </c>
      <c r="W1196" t="str">
        <f t="shared" si="264"/>
        <v>Peru Chef 04/13/2025</v>
      </c>
      <c r="Z1196">
        <f t="shared" si="265"/>
        <v>85</v>
      </c>
    </row>
    <row r="1197" spans="1:26" hidden="1" x14ac:dyDescent="0.25">
      <c r="A1197" s="2" t="s">
        <v>664</v>
      </c>
      <c r="B1197" s="11" t="s">
        <v>1033</v>
      </c>
      <c r="C1197" s="11" t="s">
        <v>4</v>
      </c>
      <c r="D1197" s="11" t="s">
        <v>1034</v>
      </c>
      <c r="E1197" s="11" t="s">
        <v>1051</v>
      </c>
      <c r="F1197" s="11" t="s">
        <v>1051</v>
      </c>
      <c r="G1197" s="12">
        <v>2</v>
      </c>
      <c r="H1197" s="12">
        <v>16.68</v>
      </c>
      <c r="I1197" s="12">
        <v>33.36</v>
      </c>
      <c r="J1197" s="12">
        <v>50924.819999999963</v>
      </c>
      <c r="K1197" s="20">
        <f t="shared" si="252"/>
        <v>3</v>
      </c>
      <c r="L1197" s="20" t="str">
        <f t="shared" si="253"/>
        <v>Se repite 3 veces</v>
      </c>
      <c r="M1197" s="20" t="str">
        <f t="shared" si="254"/>
        <v>Tradiciones Andinas-Tradiciones Andinas -  Pimienta Negra /Black Pepper</v>
      </c>
      <c r="N1197" s="20">
        <f t="shared" si="255"/>
        <v>3</v>
      </c>
      <c r="O1197" s="20" t="str">
        <f t="shared" si="256"/>
        <v>Se repite 3 veces en Tradiciones Andinas</v>
      </c>
      <c r="P1197" s="20" t="str">
        <f t="shared" si="257"/>
        <v>Tradiciones Andinas-Tradiciones Andinas -  Pimienta Negra /Black Pepper-16.68</v>
      </c>
      <c r="Q1197" s="20">
        <f t="shared" si="258"/>
        <v>3</v>
      </c>
      <c r="R1197" s="20" t="str">
        <f t="shared" si="259"/>
        <v>Se repite 3 veces el precio de 16.68</v>
      </c>
      <c r="S1197" s="20" t="str">
        <f t="shared" si="260"/>
        <v>El producto Tradiciones Andinas -  Pimienta Negra /Black Pepper Se repite 3 veces en Tradiciones Andinas, Se repite 3 veces el precio de 16.68</v>
      </c>
      <c r="T1197" s="20" t="str">
        <f t="shared" si="261"/>
        <v>Tradiciones Andinas</v>
      </c>
      <c r="U1197" s="20" t="str">
        <f t="shared" si="262"/>
        <v>Tradiciones Andinas -  Pimienta Negra /Black Pepper</v>
      </c>
      <c r="V1197" s="22">
        <f t="shared" si="263"/>
        <v>16.68</v>
      </c>
      <c r="W1197" t="str">
        <f t="shared" si="264"/>
        <v>Tradiciones Andinas 07/03/2025</v>
      </c>
      <c r="Z1197">
        <f t="shared" si="265"/>
        <v>33.36</v>
      </c>
    </row>
    <row r="1198" spans="1:26" hidden="1" x14ac:dyDescent="0.25">
      <c r="A1198" s="2" t="s">
        <v>664</v>
      </c>
      <c r="B1198" s="11" t="s">
        <v>1092</v>
      </c>
      <c r="C1198" s="11" t="s">
        <v>4</v>
      </c>
      <c r="D1198" s="11" t="s">
        <v>1093</v>
      </c>
      <c r="E1198" s="11" t="s">
        <v>1051</v>
      </c>
      <c r="F1198" s="11" t="s">
        <v>1051</v>
      </c>
      <c r="G1198" s="12">
        <v>3</v>
      </c>
      <c r="H1198" s="12">
        <v>16.68</v>
      </c>
      <c r="I1198" s="12">
        <v>50.04</v>
      </c>
      <c r="J1198" s="12">
        <v>61897.389999999941</v>
      </c>
      <c r="K1198" s="20">
        <f t="shared" si="252"/>
        <v>3</v>
      </c>
      <c r="L1198" s="20" t="str">
        <f t="shared" si="253"/>
        <v>Se repite 3 veces</v>
      </c>
      <c r="M1198" s="20" t="str">
        <f t="shared" si="254"/>
        <v>Tradiciones Andinas-Tradiciones Andinas -  Pimienta Negra /Black Pepper</v>
      </c>
      <c r="N1198" s="20">
        <f t="shared" si="255"/>
        <v>3</v>
      </c>
      <c r="O1198" s="20" t="str">
        <f t="shared" si="256"/>
        <v>Se repite 3 veces en Tradiciones Andinas</v>
      </c>
      <c r="P1198" s="20" t="str">
        <f t="shared" si="257"/>
        <v>Tradiciones Andinas-Tradiciones Andinas -  Pimienta Negra /Black Pepper-16.68</v>
      </c>
      <c r="Q1198" s="20">
        <f t="shared" si="258"/>
        <v>3</v>
      </c>
      <c r="R1198" s="20" t="str">
        <f t="shared" si="259"/>
        <v>Se repite 3 veces el precio de 16.68</v>
      </c>
      <c r="S1198" s="20" t="str">
        <f t="shared" si="260"/>
        <v>El producto Tradiciones Andinas -  Pimienta Negra /Black Pepper Se repite 3 veces en Tradiciones Andinas, Se repite 3 veces el precio de 16.68</v>
      </c>
      <c r="T1198" s="20" t="str">
        <f t="shared" si="261"/>
        <v>Tradiciones Andinas</v>
      </c>
      <c r="U1198" s="20" t="str">
        <f t="shared" si="262"/>
        <v>Tradiciones Andinas -  Pimienta Negra /Black Pepper</v>
      </c>
      <c r="V1198" s="22">
        <f t="shared" si="263"/>
        <v>16.68</v>
      </c>
      <c r="W1198" t="str">
        <f t="shared" si="264"/>
        <v>Tradiciones Andinas 07/21/2025</v>
      </c>
      <c r="Z1198">
        <f t="shared" si="265"/>
        <v>50.04</v>
      </c>
    </row>
    <row r="1199" spans="1:26" hidden="1" x14ac:dyDescent="0.25">
      <c r="A1199" s="2" t="s">
        <v>664</v>
      </c>
      <c r="B1199" s="11" t="s">
        <v>1153</v>
      </c>
      <c r="C1199" s="11" t="s">
        <v>4</v>
      </c>
      <c r="D1199" s="11" t="s">
        <v>1154</v>
      </c>
      <c r="E1199" s="11" t="s">
        <v>1051</v>
      </c>
      <c r="F1199" s="11" t="s">
        <v>1051</v>
      </c>
      <c r="G1199" s="12">
        <v>8</v>
      </c>
      <c r="H1199" s="12">
        <v>16.68</v>
      </c>
      <c r="I1199" s="12">
        <v>133.44</v>
      </c>
      <c r="J1199" s="12">
        <v>81522.02999999997</v>
      </c>
      <c r="K1199" s="20">
        <f t="shared" si="252"/>
        <v>3</v>
      </c>
      <c r="L1199" s="20" t="str">
        <f t="shared" si="253"/>
        <v>Se repite 3 veces</v>
      </c>
      <c r="M1199" s="20" t="str">
        <f t="shared" si="254"/>
        <v>Tradiciones Andinas-Tradiciones Andinas -  Pimienta Negra /Black Pepper</v>
      </c>
      <c r="N1199" s="20">
        <f t="shared" si="255"/>
        <v>3</v>
      </c>
      <c r="O1199" s="20" t="str">
        <f t="shared" si="256"/>
        <v>Se repite 3 veces en Tradiciones Andinas</v>
      </c>
      <c r="P1199" s="20" t="str">
        <f t="shared" si="257"/>
        <v>Tradiciones Andinas-Tradiciones Andinas -  Pimienta Negra /Black Pepper-16.68</v>
      </c>
      <c r="Q1199" s="20">
        <f t="shared" si="258"/>
        <v>3</v>
      </c>
      <c r="R1199" s="20" t="str">
        <f t="shared" si="259"/>
        <v>Se repite 3 veces el precio de 16.68</v>
      </c>
      <c r="S1199" s="20" t="str">
        <f t="shared" si="260"/>
        <v>El producto Tradiciones Andinas -  Pimienta Negra /Black Pepper Se repite 3 veces en Tradiciones Andinas, Se repite 3 veces el precio de 16.68</v>
      </c>
      <c r="T1199" s="20" t="str">
        <f t="shared" si="261"/>
        <v>Tradiciones Andinas</v>
      </c>
      <c r="U1199" s="20" t="str">
        <f t="shared" si="262"/>
        <v>Tradiciones Andinas -  Pimienta Negra /Black Pepper</v>
      </c>
      <c r="V1199" s="22">
        <f t="shared" si="263"/>
        <v>16.68</v>
      </c>
      <c r="W1199" t="str">
        <f t="shared" si="264"/>
        <v>Tradiciones Andinas 09/24/2025</v>
      </c>
      <c r="Z1199">
        <f t="shared" si="265"/>
        <v>133.44</v>
      </c>
    </row>
    <row r="1200" spans="1:26" hidden="1" x14ac:dyDescent="0.25">
      <c r="A1200" s="2" t="s">
        <v>664</v>
      </c>
      <c r="B1200" s="11" t="s">
        <v>1092</v>
      </c>
      <c r="C1200" s="11" t="s">
        <v>4</v>
      </c>
      <c r="D1200" s="11" t="s">
        <v>1093</v>
      </c>
      <c r="E1200" s="11" t="s">
        <v>1100</v>
      </c>
      <c r="F1200" s="11" t="s">
        <v>1100</v>
      </c>
      <c r="G1200" s="12">
        <v>3</v>
      </c>
      <c r="H1200" s="12">
        <v>12.6</v>
      </c>
      <c r="I1200" s="12">
        <v>37.799999999999997</v>
      </c>
      <c r="J1200" s="12">
        <v>62010.78999999995</v>
      </c>
      <c r="K1200" s="20">
        <f t="shared" si="252"/>
        <v>2</v>
      </c>
      <c r="L1200" s="20" t="str">
        <f t="shared" si="253"/>
        <v>Se repite 2 veces</v>
      </c>
      <c r="M1200" s="20" t="str">
        <f t="shared" si="254"/>
        <v>Tradiciones Andinas-Tradiciones Andinas - Ajonjoli / Sesame Seeds</v>
      </c>
      <c r="N1200" s="20">
        <f t="shared" si="255"/>
        <v>2</v>
      </c>
      <c r="O1200" s="20" t="str">
        <f t="shared" si="256"/>
        <v>Se repite 2 veces en Tradiciones Andinas</v>
      </c>
      <c r="P1200" s="20" t="str">
        <f t="shared" si="257"/>
        <v>Tradiciones Andinas-Tradiciones Andinas - Ajonjoli / Sesame Seeds-12.6</v>
      </c>
      <c r="Q1200" s="20">
        <f t="shared" si="258"/>
        <v>2</v>
      </c>
      <c r="R1200" s="20" t="str">
        <f t="shared" si="259"/>
        <v>Se repite 2 veces el precio de 12.6</v>
      </c>
      <c r="S1200" s="20" t="str">
        <f t="shared" si="260"/>
        <v>El producto Tradiciones Andinas - Ajonjoli / Sesame Seeds Se repite 2 veces en Tradiciones Andinas, Se repite 2 veces el precio de 12.6</v>
      </c>
      <c r="T1200" s="20" t="str">
        <f t="shared" si="261"/>
        <v>Tradiciones Andinas</v>
      </c>
      <c r="U1200" s="20" t="str">
        <f t="shared" si="262"/>
        <v>Tradiciones Andinas - Ajonjoli / Sesame Seeds</v>
      </c>
      <c r="V1200" s="22">
        <f t="shared" si="263"/>
        <v>12.6</v>
      </c>
      <c r="W1200" t="str">
        <f t="shared" si="264"/>
        <v>Tradiciones Andinas 07/21/2025</v>
      </c>
      <c r="Z1200">
        <f t="shared" si="265"/>
        <v>37.799999999999997</v>
      </c>
    </row>
    <row r="1201" spans="1:26" hidden="1" x14ac:dyDescent="0.25">
      <c r="A1201" s="2" t="s">
        <v>664</v>
      </c>
      <c r="B1201" s="11" t="s">
        <v>1153</v>
      </c>
      <c r="C1201" s="11" t="s">
        <v>4</v>
      </c>
      <c r="D1201" s="11" t="s">
        <v>1154</v>
      </c>
      <c r="E1201" s="11" t="s">
        <v>1100</v>
      </c>
      <c r="F1201" s="11" t="s">
        <v>1100</v>
      </c>
      <c r="G1201" s="12">
        <v>2</v>
      </c>
      <c r="H1201" s="12">
        <v>12.6</v>
      </c>
      <c r="I1201" s="12">
        <v>25.2</v>
      </c>
      <c r="J1201" s="12">
        <v>81648.02999999997</v>
      </c>
      <c r="K1201" s="20">
        <f t="shared" si="252"/>
        <v>2</v>
      </c>
      <c r="L1201" s="20" t="str">
        <f t="shared" si="253"/>
        <v>Se repite 2 veces</v>
      </c>
      <c r="M1201" s="20" t="str">
        <f t="shared" si="254"/>
        <v>Tradiciones Andinas-Tradiciones Andinas - Ajonjoli / Sesame Seeds</v>
      </c>
      <c r="N1201" s="20">
        <f t="shared" si="255"/>
        <v>2</v>
      </c>
      <c r="O1201" s="20" t="str">
        <f t="shared" si="256"/>
        <v>Se repite 2 veces en Tradiciones Andinas</v>
      </c>
      <c r="P1201" s="20" t="str">
        <f t="shared" si="257"/>
        <v>Tradiciones Andinas-Tradiciones Andinas - Ajonjoli / Sesame Seeds-12.6</v>
      </c>
      <c r="Q1201" s="20">
        <f t="shared" si="258"/>
        <v>2</v>
      </c>
      <c r="R1201" s="20" t="str">
        <f t="shared" si="259"/>
        <v>Se repite 2 veces el precio de 12.6</v>
      </c>
      <c r="S1201" s="20" t="str">
        <f t="shared" si="260"/>
        <v>El producto Tradiciones Andinas - Ajonjoli / Sesame Seeds Se repite 2 veces en Tradiciones Andinas, Se repite 2 veces el precio de 12.6</v>
      </c>
      <c r="T1201" s="20" t="str">
        <f t="shared" si="261"/>
        <v>Tradiciones Andinas</v>
      </c>
      <c r="U1201" s="20" t="str">
        <f t="shared" si="262"/>
        <v>Tradiciones Andinas - Ajonjoli / Sesame Seeds</v>
      </c>
      <c r="V1201" s="22">
        <f t="shared" si="263"/>
        <v>12.6</v>
      </c>
      <c r="W1201" t="str">
        <f t="shared" si="264"/>
        <v>Tradiciones Andinas 09/24/2025</v>
      </c>
      <c r="Z1201">
        <f t="shared" si="265"/>
        <v>25.2</v>
      </c>
    </row>
    <row r="1202" spans="1:26" hidden="1" x14ac:dyDescent="0.25">
      <c r="A1202" s="2" t="s">
        <v>664</v>
      </c>
      <c r="B1202" s="11" t="s">
        <v>158</v>
      </c>
      <c r="C1202" s="11" t="s">
        <v>4</v>
      </c>
      <c r="D1202" s="11" t="s">
        <v>984</v>
      </c>
      <c r="E1202" s="11" t="s">
        <v>1000</v>
      </c>
      <c r="F1202" s="11" t="s">
        <v>1000</v>
      </c>
      <c r="G1202" s="12">
        <v>2</v>
      </c>
      <c r="H1202" s="12">
        <v>78.959999999999994</v>
      </c>
      <c r="I1202" s="12">
        <v>157.91999999999999</v>
      </c>
      <c r="J1202" s="12">
        <v>37973.279999999999</v>
      </c>
      <c r="K1202" s="20">
        <f t="shared" si="252"/>
        <v>5</v>
      </c>
      <c r="L1202" s="20" t="str">
        <f t="shared" si="253"/>
        <v>Se repite 5 veces</v>
      </c>
      <c r="M1202" s="20" t="str">
        <f t="shared" si="254"/>
        <v>Tradiciones Andinas-Tradiciones Andinas - Algarrobina</v>
      </c>
      <c r="N1202" s="20">
        <f t="shared" si="255"/>
        <v>5</v>
      </c>
      <c r="O1202" s="20" t="str">
        <f t="shared" si="256"/>
        <v>Se repite 5 veces en Tradiciones Andinas</v>
      </c>
      <c r="P1202" s="20" t="str">
        <f t="shared" si="257"/>
        <v>Tradiciones Andinas-Tradiciones Andinas - Algarrobina-78.96</v>
      </c>
      <c r="Q1202" s="20">
        <f t="shared" si="258"/>
        <v>5</v>
      </c>
      <c r="R1202" s="20" t="str">
        <f t="shared" si="259"/>
        <v>Se repite 5 veces el precio de 78.96</v>
      </c>
      <c r="S1202" s="20" t="str">
        <f t="shared" si="260"/>
        <v>El producto Tradiciones Andinas - Algarrobina Se repite 5 veces en Tradiciones Andinas, Se repite 5 veces el precio de 78.96</v>
      </c>
      <c r="T1202" s="20" t="str">
        <f t="shared" si="261"/>
        <v>Tradiciones Andinas</v>
      </c>
      <c r="U1202" s="20" t="str">
        <f t="shared" si="262"/>
        <v>Tradiciones Andinas - Algarrobina</v>
      </c>
      <c r="V1202" s="22">
        <f t="shared" si="263"/>
        <v>78.959999999999994</v>
      </c>
      <c r="W1202" t="str">
        <f t="shared" si="264"/>
        <v>Tradiciones Andinas 06/12/2025</v>
      </c>
      <c r="Z1202">
        <f t="shared" si="265"/>
        <v>157.91999999999999</v>
      </c>
    </row>
    <row r="1203" spans="1:26" hidden="1" x14ac:dyDescent="0.25">
      <c r="A1203" s="2" t="s">
        <v>664</v>
      </c>
      <c r="B1203" s="11" t="s">
        <v>1125</v>
      </c>
      <c r="C1203" s="11" t="s">
        <v>4</v>
      </c>
      <c r="D1203" s="11" t="s">
        <v>1126</v>
      </c>
      <c r="E1203" s="11" t="s">
        <v>1000</v>
      </c>
      <c r="F1203" s="11" t="s">
        <v>1138</v>
      </c>
      <c r="G1203" s="12">
        <v>1</v>
      </c>
      <c r="H1203" s="12">
        <v>78.959999999999994</v>
      </c>
      <c r="I1203" s="12">
        <v>78.959999999999994</v>
      </c>
      <c r="J1203" s="12">
        <v>69718.800000000017</v>
      </c>
      <c r="K1203" s="20">
        <f t="shared" si="252"/>
        <v>5</v>
      </c>
      <c r="L1203" s="20" t="str">
        <f t="shared" si="253"/>
        <v>Se repite 5 veces</v>
      </c>
      <c r="M1203" s="20" t="str">
        <f t="shared" si="254"/>
        <v>Tradiciones Andinas-Tradiciones Andinas - Algarrobina</v>
      </c>
      <c r="N1203" s="20">
        <f t="shared" si="255"/>
        <v>5</v>
      </c>
      <c r="O1203" s="20" t="str">
        <f t="shared" si="256"/>
        <v>Se repite 5 veces en Tradiciones Andinas</v>
      </c>
      <c r="P1203" s="20" t="str">
        <f t="shared" si="257"/>
        <v>Tradiciones Andinas-Tradiciones Andinas - Algarrobina-78.96</v>
      </c>
      <c r="Q1203" s="20">
        <f t="shared" si="258"/>
        <v>5</v>
      </c>
      <c r="R1203" s="20" t="str">
        <f t="shared" si="259"/>
        <v>Se repite 5 veces el precio de 78.96</v>
      </c>
      <c r="S1203" s="20" t="str">
        <f t="shared" si="260"/>
        <v>El producto Tradiciones Andinas - Algarrobina Se repite 5 veces en Tradiciones Andinas, Se repite 5 veces el precio de 78.96</v>
      </c>
      <c r="T1203" s="20" t="str">
        <f t="shared" si="261"/>
        <v>Tradiciones Andinas</v>
      </c>
      <c r="U1203" s="20" t="str">
        <f t="shared" si="262"/>
        <v>Tradiciones Andinas - Algarrobina</v>
      </c>
      <c r="V1203" s="22">
        <f t="shared" si="263"/>
        <v>78.959999999999994</v>
      </c>
      <c r="W1203" t="str">
        <f t="shared" si="264"/>
        <v>Tradiciones Andinas 08/18/2025</v>
      </c>
      <c r="Z1203">
        <f t="shared" si="265"/>
        <v>78.959999999999994</v>
      </c>
    </row>
    <row r="1204" spans="1:26" hidden="1" x14ac:dyDescent="0.25">
      <c r="A1204" s="2" t="s">
        <v>664</v>
      </c>
      <c r="B1204" s="11" t="s">
        <v>1153</v>
      </c>
      <c r="C1204" s="11" t="s">
        <v>4</v>
      </c>
      <c r="D1204" s="11" t="s">
        <v>1154</v>
      </c>
      <c r="E1204" s="11" t="s">
        <v>1000</v>
      </c>
      <c r="F1204" s="11" t="s">
        <v>1138</v>
      </c>
      <c r="G1204" s="12">
        <v>1</v>
      </c>
      <c r="H1204" s="12">
        <v>78.959999999999994</v>
      </c>
      <c r="I1204" s="12">
        <v>78.959999999999994</v>
      </c>
      <c r="J1204" s="12">
        <v>79821.13999999997</v>
      </c>
      <c r="K1204" s="20">
        <f t="shared" si="252"/>
        <v>5</v>
      </c>
      <c r="L1204" s="20" t="str">
        <f t="shared" si="253"/>
        <v>Se repite 5 veces</v>
      </c>
      <c r="M1204" s="20" t="str">
        <f t="shared" si="254"/>
        <v>Tradiciones Andinas-Tradiciones Andinas - Algarrobina</v>
      </c>
      <c r="N1204" s="20">
        <f t="shared" si="255"/>
        <v>5</v>
      </c>
      <c r="O1204" s="20" t="str">
        <f t="shared" si="256"/>
        <v>Se repite 5 veces en Tradiciones Andinas</v>
      </c>
      <c r="P1204" s="20" t="str">
        <f t="shared" si="257"/>
        <v>Tradiciones Andinas-Tradiciones Andinas - Algarrobina-78.96</v>
      </c>
      <c r="Q1204" s="20">
        <f t="shared" si="258"/>
        <v>5</v>
      </c>
      <c r="R1204" s="20" t="str">
        <f t="shared" si="259"/>
        <v>Se repite 5 veces el precio de 78.96</v>
      </c>
      <c r="S1204" s="20" t="str">
        <f t="shared" si="260"/>
        <v>El producto Tradiciones Andinas - Algarrobina Se repite 5 veces en Tradiciones Andinas, Se repite 5 veces el precio de 78.96</v>
      </c>
      <c r="T1204" s="20" t="str">
        <f t="shared" si="261"/>
        <v>Tradiciones Andinas</v>
      </c>
      <c r="U1204" s="20" t="str">
        <f t="shared" si="262"/>
        <v>Tradiciones Andinas - Algarrobina</v>
      </c>
      <c r="V1204" s="22">
        <f t="shared" si="263"/>
        <v>78.959999999999994</v>
      </c>
      <c r="W1204" t="str">
        <f t="shared" si="264"/>
        <v>Tradiciones Andinas 09/24/2025</v>
      </c>
      <c r="Z1204">
        <f t="shared" si="265"/>
        <v>78.959999999999994</v>
      </c>
    </row>
    <row r="1205" spans="1:26" hidden="1" x14ac:dyDescent="0.25">
      <c r="A1205" s="2" t="s">
        <v>664</v>
      </c>
      <c r="B1205" s="11" t="s">
        <v>1207</v>
      </c>
      <c r="C1205" s="11" t="s">
        <v>4</v>
      </c>
      <c r="D1205" s="11" t="s">
        <v>1208</v>
      </c>
      <c r="E1205" s="11" t="s">
        <v>1000</v>
      </c>
      <c r="F1205" s="11" t="s">
        <v>1138</v>
      </c>
      <c r="G1205" s="12">
        <v>1</v>
      </c>
      <c r="H1205" s="12">
        <v>78.959999999999994</v>
      </c>
      <c r="I1205" s="12">
        <v>78.959999999999994</v>
      </c>
      <c r="J1205" s="12">
        <v>106553.52999999993</v>
      </c>
      <c r="K1205" s="20">
        <f t="shared" si="252"/>
        <v>5</v>
      </c>
      <c r="L1205" s="20" t="str">
        <f t="shared" si="253"/>
        <v>Se repite 5 veces</v>
      </c>
      <c r="M1205" s="20" t="str">
        <f t="shared" si="254"/>
        <v>Tradiciones Andinas-Tradiciones Andinas - Algarrobina</v>
      </c>
      <c r="N1205" s="20">
        <f t="shared" si="255"/>
        <v>5</v>
      </c>
      <c r="O1205" s="20" t="str">
        <f t="shared" si="256"/>
        <v>Se repite 5 veces en Tradiciones Andinas</v>
      </c>
      <c r="P1205" s="20" t="str">
        <f t="shared" si="257"/>
        <v>Tradiciones Andinas-Tradiciones Andinas - Algarrobina-78.96</v>
      </c>
      <c r="Q1205" s="20">
        <f t="shared" si="258"/>
        <v>5</v>
      </c>
      <c r="R1205" s="20" t="str">
        <f t="shared" si="259"/>
        <v>Se repite 5 veces el precio de 78.96</v>
      </c>
      <c r="S1205" s="20" t="str">
        <f t="shared" si="260"/>
        <v>El producto Tradiciones Andinas - Algarrobina Se repite 5 veces en Tradiciones Andinas, Se repite 5 veces el precio de 78.96</v>
      </c>
      <c r="T1205" s="20" t="str">
        <f t="shared" si="261"/>
        <v>Tradiciones Andinas</v>
      </c>
      <c r="U1205" s="20" t="str">
        <f t="shared" si="262"/>
        <v>Tradiciones Andinas - Algarrobina</v>
      </c>
      <c r="V1205" s="22">
        <f t="shared" si="263"/>
        <v>78.959999999999994</v>
      </c>
      <c r="W1205" t="str">
        <f t="shared" si="264"/>
        <v>Tradiciones Andinas 11/28/2025</v>
      </c>
      <c r="Z1205">
        <f t="shared" si="265"/>
        <v>78.959999999999994</v>
      </c>
    </row>
    <row r="1206" spans="1:26" hidden="1" x14ac:dyDescent="0.25">
      <c r="A1206" s="2" t="s">
        <v>664</v>
      </c>
      <c r="B1206" s="11" t="s">
        <v>1224</v>
      </c>
      <c r="C1206" s="11" t="s">
        <v>4</v>
      </c>
      <c r="D1206" s="11" t="s">
        <v>1225</v>
      </c>
      <c r="E1206" s="11" t="s">
        <v>1000</v>
      </c>
      <c r="F1206" s="11" t="s">
        <v>1138</v>
      </c>
      <c r="G1206" s="12">
        <v>1</v>
      </c>
      <c r="H1206" s="12">
        <v>78.959999999999994</v>
      </c>
      <c r="I1206" s="12">
        <v>78.959999999999994</v>
      </c>
      <c r="J1206" s="12">
        <v>117990.11999999991</v>
      </c>
      <c r="K1206" s="20">
        <f t="shared" si="252"/>
        <v>5</v>
      </c>
      <c r="L1206" s="20" t="str">
        <f t="shared" si="253"/>
        <v>Se repite 5 veces</v>
      </c>
      <c r="M1206" s="20" t="str">
        <f t="shared" si="254"/>
        <v>Tradiciones Andinas-Tradiciones Andinas - Algarrobina</v>
      </c>
      <c r="N1206" s="20">
        <f t="shared" si="255"/>
        <v>5</v>
      </c>
      <c r="O1206" s="20" t="str">
        <f t="shared" si="256"/>
        <v>Se repite 5 veces en Tradiciones Andinas</v>
      </c>
      <c r="P1206" s="20" t="str">
        <f t="shared" si="257"/>
        <v>Tradiciones Andinas-Tradiciones Andinas - Algarrobina-78.96</v>
      </c>
      <c r="Q1206" s="20">
        <f t="shared" si="258"/>
        <v>5</v>
      </c>
      <c r="R1206" s="20" t="str">
        <f t="shared" si="259"/>
        <v>Se repite 5 veces el precio de 78.96</v>
      </c>
      <c r="S1206" s="20" t="str">
        <f t="shared" si="260"/>
        <v>El producto Tradiciones Andinas - Algarrobina Se repite 5 veces en Tradiciones Andinas, Se repite 5 veces el precio de 78.96</v>
      </c>
      <c r="T1206" s="20" t="str">
        <f t="shared" si="261"/>
        <v>Tradiciones Andinas</v>
      </c>
      <c r="U1206" s="20" t="str">
        <f t="shared" si="262"/>
        <v>Tradiciones Andinas - Algarrobina</v>
      </c>
      <c r="V1206" s="22">
        <f t="shared" si="263"/>
        <v>78.959999999999994</v>
      </c>
      <c r="W1206" t="str">
        <f t="shared" si="264"/>
        <v>Tradiciones Andinas 12/03/2025</v>
      </c>
      <c r="Z1206">
        <f t="shared" si="265"/>
        <v>78.959999999999994</v>
      </c>
    </row>
    <row r="1207" spans="1:26" hidden="1" x14ac:dyDescent="0.25">
      <c r="A1207" s="2" t="s">
        <v>664</v>
      </c>
      <c r="B1207" s="11" t="s">
        <v>1092</v>
      </c>
      <c r="C1207" s="11" t="s">
        <v>4</v>
      </c>
      <c r="D1207" s="11" t="s">
        <v>1093</v>
      </c>
      <c r="E1207" s="11" t="s">
        <v>1099</v>
      </c>
      <c r="F1207" s="11" t="s">
        <v>1099</v>
      </c>
      <c r="G1207" s="12">
        <v>3</v>
      </c>
      <c r="H1207" s="12">
        <v>12.6</v>
      </c>
      <c r="I1207" s="12">
        <v>37.799999999999997</v>
      </c>
      <c r="J1207" s="12">
        <v>61972.989999999947</v>
      </c>
      <c r="K1207" s="20">
        <f t="shared" si="252"/>
        <v>3</v>
      </c>
      <c r="L1207" s="20" t="str">
        <f t="shared" si="253"/>
        <v>Se repite 3 veces</v>
      </c>
      <c r="M1207" s="20" t="str">
        <f t="shared" si="254"/>
        <v>Tradiciones Andinas-Tradiciones Andinas - Canela Molida / Ground Cinnamon</v>
      </c>
      <c r="N1207" s="20">
        <f t="shared" si="255"/>
        <v>3</v>
      </c>
      <c r="O1207" s="20" t="str">
        <f t="shared" si="256"/>
        <v>Se repite 3 veces en Tradiciones Andinas</v>
      </c>
      <c r="P1207" s="20" t="str">
        <f t="shared" si="257"/>
        <v>Tradiciones Andinas-Tradiciones Andinas - Canela Molida / Ground Cinnamon-12.6</v>
      </c>
      <c r="Q1207" s="20">
        <f t="shared" si="258"/>
        <v>3</v>
      </c>
      <c r="R1207" s="20" t="str">
        <f t="shared" si="259"/>
        <v>Se repite 3 veces el precio de 12.6</v>
      </c>
      <c r="S1207" s="20" t="str">
        <f t="shared" si="260"/>
        <v>El producto Tradiciones Andinas - Canela Molida / Ground Cinnamon Se repite 3 veces en Tradiciones Andinas, Se repite 3 veces el precio de 12.6</v>
      </c>
      <c r="T1207" s="20" t="str">
        <f t="shared" si="261"/>
        <v>Tradiciones Andinas</v>
      </c>
      <c r="U1207" s="20" t="str">
        <f t="shared" si="262"/>
        <v>Tradiciones Andinas - Canela Molida / Ground Cinnamon</v>
      </c>
      <c r="V1207" s="22">
        <f t="shared" si="263"/>
        <v>12.6</v>
      </c>
      <c r="W1207" t="str">
        <f t="shared" si="264"/>
        <v>Tradiciones Andinas 07/21/2025</v>
      </c>
      <c r="Z1207">
        <f t="shared" si="265"/>
        <v>37.799999999999997</v>
      </c>
    </row>
    <row r="1208" spans="1:26" hidden="1" x14ac:dyDescent="0.25">
      <c r="A1208" s="2" t="s">
        <v>664</v>
      </c>
      <c r="B1208" s="11" t="s">
        <v>1125</v>
      </c>
      <c r="C1208" s="11" t="s">
        <v>4</v>
      </c>
      <c r="D1208" s="11" t="s">
        <v>1126</v>
      </c>
      <c r="E1208" s="11" t="s">
        <v>1099</v>
      </c>
      <c r="F1208" s="11" t="s">
        <v>1099</v>
      </c>
      <c r="G1208" s="12">
        <v>2</v>
      </c>
      <c r="H1208" s="12">
        <v>12.6</v>
      </c>
      <c r="I1208" s="12">
        <v>25.2</v>
      </c>
      <c r="J1208" s="12">
        <v>69954.570000000022</v>
      </c>
      <c r="K1208" s="20">
        <f t="shared" si="252"/>
        <v>3</v>
      </c>
      <c r="L1208" s="20" t="str">
        <f t="shared" si="253"/>
        <v>Se repite 3 veces</v>
      </c>
      <c r="M1208" s="20" t="str">
        <f t="shared" si="254"/>
        <v>Tradiciones Andinas-Tradiciones Andinas - Canela Molida / Ground Cinnamon</v>
      </c>
      <c r="N1208" s="20">
        <f t="shared" si="255"/>
        <v>3</v>
      </c>
      <c r="O1208" s="20" t="str">
        <f t="shared" si="256"/>
        <v>Se repite 3 veces en Tradiciones Andinas</v>
      </c>
      <c r="P1208" s="20" t="str">
        <f t="shared" si="257"/>
        <v>Tradiciones Andinas-Tradiciones Andinas - Canela Molida / Ground Cinnamon-12.6</v>
      </c>
      <c r="Q1208" s="20">
        <f t="shared" si="258"/>
        <v>3</v>
      </c>
      <c r="R1208" s="20" t="str">
        <f t="shared" si="259"/>
        <v>Se repite 3 veces el precio de 12.6</v>
      </c>
      <c r="S1208" s="20" t="str">
        <f t="shared" si="260"/>
        <v>El producto Tradiciones Andinas - Canela Molida / Ground Cinnamon Se repite 3 veces en Tradiciones Andinas, Se repite 3 veces el precio de 12.6</v>
      </c>
      <c r="T1208" s="20" t="str">
        <f t="shared" si="261"/>
        <v>Tradiciones Andinas</v>
      </c>
      <c r="U1208" s="20" t="str">
        <f t="shared" si="262"/>
        <v>Tradiciones Andinas - Canela Molida / Ground Cinnamon</v>
      </c>
      <c r="V1208" s="22">
        <f t="shared" si="263"/>
        <v>12.6</v>
      </c>
      <c r="W1208" t="str">
        <f t="shared" si="264"/>
        <v>Tradiciones Andinas 08/18/2025</v>
      </c>
      <c r="Z1208">
        <f t="shared" si="265"/>
        <v>25.2</v>
      </c>
    </row>
    <row r="1209" spans="1:26" hidden="1" x14ac:dyDescent="0.25">
      <c r="A1209" s="2" t="s">
        <v>664</v>
      </c>
      <c r="B1209" s="11" t="s">
        <v>1153</v>
      </c>
      <c r="C1209" s="11" t="s">
        <v>4</v>
      </c>
      <c r="D1209" s="11" t="s">
        <v>1154</v>
      </c>
      <c r="E1209" s="11" t="s">
        <v>1099</v>
      </c>
      <c r="F1209" s="11" t="s">
        <v>1099</v>
      </c>
      <c r="G1209" s="12">
        <v>2</v>
      </c>
      <c r="H1209" s="12">
        <v>12.6</v>
      </c>
      <c r="I1209" s="12">
        <v>25.2</v>
      </c>
      <c r="J1209" s="12">
        <v>81622.829999999973</v>
      </c>
      <c r="K1209" s="20">
        <f t="shared" si="252"/>
        <v>3</v>
      </c>
      <c r="L1209" s="20" t="str">
        <f t="shared" si="253"/>
        <v>Se repite 3 veces</v>
      </c>
      <c r="M1209" s="20" t="str">
        <f t="shared" si="254"/>
        <v>Tradiciones Andinas-Tradiciones Andinas - Canela Molida / Ground Cinnamon</v>
      </c>
      <c r="N1209" s="20">
        <f t="shared" si="255"/>
        <v>3</v>
      </c>
      <c r="O1209" s="20" t="str">
        <f t="shared" si="256"/>
        <v>Se repite 3 veces en Tradiciones Andinas</v>
      </c>
      <c r="P1209" s="20" t="str">
        <f t="shared" si="257"/>
        <v>Tradiciones Andinas-Tradiciones Andinas - Canela Molida / Ground Cinnamon-12.6</v>
      </c>
      <c r="Q1209" s="20">
        <f t="shared" si="258"/>
        <v>3</v>
      </c>
      <c r="R1209" s="20" t="str">
        <f t="shared" si="259"/>
        <v>Se repite 3 veces el precio de 12.6</v>
      </c>
      <c r="S1209" s="20" t="str">
        <f t="shared" si="260"/>
        <v>El producto Tradiciones Andinas - Canela Molida / Ground Cinnamon Se repite 3 veces en Tradiciones Andinas, Se repite 3 veces el precio de 12.6</v>
      </c>
      <c r="T1209" s="20" t="str">
        <f t="shared" si="261"/>
        <v>Tradiciones Andinas</v>
      </c>
      <c r="U1209" s="20" t="str">
        <f t="shared" si="262"/>
        <v>Tradiciones Andinas - Canela Molida / Ground Cinnamon</v>
      </c>
      <c r="V1209" s="22">
        <f t="shared" si="263"/>
        <v>12.6</v>
      </c>
      <c r="W1209" t="str">
        <f t="shared" si="264"/>
        <v>Tradiciones Andinas 09/24/2025</v>
      </c>
      <c r="Z1209">
        <f t="shared" si="265"/>
        <v>25.2</v>
      </c>
    </row>
    <row r="1210" spans="1:26" hidden="1" x14ac:dyDescent="0.25">
      <c r="A1210" s="2" t="s">
        <v>664</v>
      </c>
      <c r="B1210" s="11" t="s">
        <v>1092</v>
      </c>
      <c r="C1210" s="11" t="s">
        <v>4</v>
      </c>
      <c r="D1210" s="11" t="s">
        <v>1093</v>
      </c>
      <c r="E1210" s="11" t="s">
        <v>1096</v>
      </c>
      <c r="F1210" s="11" t="s">
        <v>1096</v>
      </c>
      <c r="G1210" s="12">
        <v>3</v>
      </c>
      <c r="H1210" s="12">
        <v>12.6</v>
      </c>
      <c r="I1210" s="12">
        <v>37.799999999999997</v>
      </c>
      <c r="J1210" s="12">
        <v>61847.34999999994</v>
      </c>
      <c r="K1210" s="20">
        <f t="shared" si="252"/>
        <v>3</v>
      </c>
      <c r="L1210" s="20" t="str">
        <f t="shared" si="253"/>
        <v>Se repite 3 veces</v>
      </c>
      <c r="M1210" s="20" t="str">
        <f t="shared" si="254"/>
        <v>Tradiciones Andinas-Tradiciones Andinas - Comino Molido</v>
      </c>
      <c r="N1210" s="20">
        <f t="shared" si="255"/>
        <v>3</v>
      </c>
      <c r="O1210" s="20" t="str">
        <f t="shared" si="256"/>
        <v>Se repite 3 veces en Tradiciones Andinas</v>
      </c>
      <c r="P1210" s="20" t="str">
        <f t="shared" si="257"/>
        <v>Tradiciones Andinas-Tradiciones Andinas - Comino Molido-12.6</v>
      </c>
      <c r="Q1210" s="20">
        <f t="shared" si="258"/>
        <v>3</v>
      </c>
      <c r="R1210" s="20" t="str">
        <f t="shared" si="259"/>
        <v>Se repite 3 veces el precio de 12.6</v>
      </c>
      <c r="S1210" s="20" t="str">
        <f t="shared" si="260"/>
        <v>El producto Tradiciones Andinas - Comino Molido Se repite 3 veces en Tradiciones Andinas, Se repite 3 veces el precio de 12.6</v>
      </c>
      <c r="T1210" s="20" t="str">
        <f t="shared" si="261"/>
        <v>Tradiciones Andinas</v>
      </c>
      <c r="U1210" s="20" t="str">
        <f t="shared" si="262"/>
        <v>Tradiciones Andinas - Comino Molido</v>
      </c>
      <c r="V1210" s="22">
        <f t="shared" si="263"/>
        <v>12.6</v>
      </c>
      <c r="W1210" t="str">
        <f t="shared" si="264"/>
        <v>Tradiciones Andinas 07/21/2025</v>
      </c>
      <c r="Z1210">
        <f t="shared" si="265"/>
        <v>37.799999999999997</v>
      </c>
    </row>
    <row r="1211" spans="1:26" hidden="1" x14ac:dyDescent="0.25">
      <c r="A1211" s="2" t="s">
        <v>664</v>
      </c>
      <c r="B1211" s="11" t="s">
        <v>1125</v>
      </c>
      <c r="C1211" s="11" t="s">
        <v>4</v>
      </c>
      <c r="D1211" s="11" t="s">
        <v>1126</v>
      </c>
      <c r="E1211" s="11" t="s">
        <v>1096</v>
      </c>
      <c r="F1211" s="11" t="s">
        <v>1096</v>
      </c>
      <c r="G1211" s="12">
        <v>3</v>
      </c>
      <c r="H1211" s="12">
        <v>12.6</v>
      </c>
      <c r="I1211" s="12">
        <v>37.799999999999997</v>
      </c>
      <c r="J1211" s="12">
        <v>69929.370000000024</v>
      </c>
      <c r="K1211" s="20">
        <f t="shared" si="252"/>
        <v>3</v>
      </c>
      <c r="L1211" s="20" t="str">
        <f t="shared" si="253"/>
        <v>Se repite 3 veces</v>
      </c>
      <c r="M1211" s="20" t="str">
        <f t="shared" si="254"/>
        <v>Tradiciones Andinas-Tradiciones Andinas - Comino Molido</v>
      </c>
      <c r="N1211" s="20">
        <f t="shared" si="255"/>
        <v>3</v>
      </c>
      <c r="O1211" s="20" t="str">
        <f t="shared" si="256"/>
        <v>Se repite 3 veces en Tradiciones Andinas</v>
      </c>
      <c r="P1211" s="20" t="str">
        <f t="shared" si="257"/>
        <v>Tradiciones Andinas-Tradiciones Andinas - Comino Molido-12.6</v>
      </c>
      <c r="Q1211" s="20">
        <f t="shared" si="258"/>
        <v>3</v>
      </c>
      <c r="R1211" s="20" t="str">
        <f t="shared" si="259"/>
        <v>Se repite 3 veces el precio de 12.6</v>
      </c>
      <c r="S1211" s="20" t="str">
        <f t="shared" si="260"/>
        <v>El producto Tradiciones Andinas - Comino Molido Se repite 3 veces en Tradiciones Andinas, Se repite 3 veces el precio de 12.6</v>
      </c>
      <c r="T1211" s="20" t="str">
        <f t="shared" si="261"/>
        <v>Tradiciones Andinas</v>
      </c>
      <c r="U1211" s="20" t="str">
        <f t="shared" si="262"/>
        <v>Tradiciones Andinas - Comino Molido</v>
      </c>
      <c r="V1211" s="22">
        <f t="shared" si="263"/>
        <v>12.6</v>
      </c>
      <c r="W1211" t="str">
        <f t="shared" si="264"/>
        <v>Tradiciones Andinas 08/18/2025</v>
      </c>
      <c r="Z1211">
        <f t="shared" si="265"/>
        <v>37.799999999999997</v>
      </c>
    </row>
    <row r="1212" spans="1:26" hidden="1" x14ac:dyDescent="0.25">
      <c r="A1212" s="2" t="s">
        <v>664</v>
      </c>
      <c r="B1212" s="11" t="s">
        <v>1153</v>
      </c>
      <c r="C1212" s="11" t="s">
        <v>4</v>
      </c>
      <c r="D1212" s="11" t="s">
        <v>1154</v>
      </c>
      <c r="E1212" s="11" t="s">
        <v>1096</v>
      </c>
      <c r="F1212" s="11" t="s">
        <v>1096</v>
      </c>
      <c r="G1212" s="12">
        <v>6</v>
      </c>
      <c r="H1212" s="12">
        <v>12.6</v>
      </c>
      <c r="I1212" s="12">
        <v>75.599999999999994</v>
      </c>
      <c r="J1212" s="12">
        <v>81388.589999999967</v>
      </c>
      <c r="K1212" s="20">
        <f t="shared" si="252"/>
        <v>3</v>
      </c>
      <c r="L1212" s="20" t="str">
        <f t="shared" si="253"/>
        <v>Se repite 3 veces</v>
      </c>
      <c r="M1212" s="20" t="str">
        <f t="shared" si="254"/>
        <v>Tradiciones Andinas-Tradiciones Andinas - Comino Molido</v>
      </c>
      <c r="N1212" s="20">
        <f t="shared" si="255"/>
        <v>3</v>
      </c>
      <c r="O1212" s="20" t="str">
        <f t="shared" si="256"/>
        <v>Se repite 3 veces en Tradiciones Andinas</v>
      </c>
      <c r="P1212" s="20" t="str">
        <f t="shared" si="257"/>
        <v>Tradiciones Andinas-Tradiciones Andinas - Comino Molido-12.6</v>
      </c>
      <c r="Q1212" s="20">
        <f t="shared" si="258"/>
        <v>3</v>
      </c>
      <c r="R1212" s="20" t="str">
        <f t="shared" si="259"/>
        <v>Se repite 3 veces el precio de 12.6</v>
      </c>
      <c r="S1212" s="20" t="str">
        <f t="shared" si="260"/>
        <v>El producto Tradiciones Andinas - Comino Molido Se repite 3 veces en Tradiciones Andinas, Se repite 3 veces el precio de 12.6</v>
      </c>
      <c r="T1212" s="20" t="str">
        <f t="shared" si="261"/>
        <v>Tradiciones Andinas</v>
      </c>
      <c r="U1212" s="20" t="str">
        <f t="shared" si="262"/>
        <v>Tradiciones Andinas - Comino Molido</v>
      </c>
      <c r="V1212" s="22">
        <f t="shared" si="263"/>
        <v>12.6</v>
      </c>
      <c r="W1212" t="str">
        <f t="shared" si="264"/>
        <v>Tradiciones Andinas 09/24/2025</v>
      </c>
      <c r="Z1212">
        <f t="shared" si="265"/>
        <v>75.599999999999994</v>
      </c>
    </row>
    <row r="1213" spans="1:26" hidden="1" x14ac:dyDescent="0.25">
      <c r="A1213" s="2" t="s">
        <v>664</v>
      </c>
      <c r="B1213" s="11" t="s">
        <v>654</v>
      </c>
      <c r="C1213" s="11" t="s">
        <v>4</v>
      </c>
      <c r="D1213" s="11" t="s">
        <v>940</v>
      </c>
      <c r="E1213" s="11" t="s">
        <v>962</v>
      </c>
      <c r="F1213" s="11" t="s">
        <v>963</v>
      </c>
      <c r="G1213" s="12">
        <v>2</v>
      </c>
      <c r="H1213" s="12">
        <v>27.29</v>
      </c>
      <c r="I1213" s="12">
        <v>54.58</v>
      </c>
      <c r="J1213" s="12">
        <v>29609.499999999996</v>
      </c>
      <c r="K1213" s="20">
        <f t="shared" si="252"/>
        <v>6</v>
      </c>
      <c r="L1213" s="20" t="str">
        <f t="shared" si="253"/>
        <v>Se repite 6 veces</v>
      </c>
      <c r="M1213" s="20" t="str">
        <f t="shared" si="254"/>
        <v>Tradiciones Andinas-TRADICIONES ANDINAS - Manzanilla filtrante - Chamomille Tea 24gr x 20 x 30</v>
      </c>
      <c r="N1213" s="20">
        <f t="shared" si="255"/>
        <v>6</v>
      </c>
      <c r="O1213" s="20" t="str">
        <f t="shared" si="256"/>
        <v>Se repite 6 veces en Tradiciones Andinas</v>
      </c>
      <c r="P1213" s="20" t="str">
        <f t="shared" si="257"/>
        <v>Tradiciones Andinas-TRADICIONES ANDINAS - Manzanilla filtrante - Chamomille Tea 24gr x 20 x 30-27.29</v>
      </c>
      <c r="Q1213" s="20">
        <f t="shared" si="258"/>
        <v>6</v>
      </c>
      <c r="R1213" s="20" t="str">
        <f t="shared" si="259"/>
        <v>Se repite 6 veces el precio de 27.29</v>
      </c>
      <c r="S1213" s="20" t="str">
        <f t="shared" si="260"/>
        <v>El producto TRADICIONES ANDINAS - Manzanilla filtrante - Chamomille Tea 24gr x 20 x 30 Se repite 6 veces en Tradiciones Andinas, Se repite 6 veces el precio de 27.29</v>
      </c>
      <c r="T1213" s="20" t="str">
        <f t="shared" si="261"/>
        <v>Tradiciones Andinas</v>
      </c>
      <c r="U1213" s="20" t="str">
        <f t="shared" si="262"/>
        <v>TRADICIONES ANDINAS - Manzanilla filtrante - Chamomille Tea 24gr x 20 x 30</v>
      </c>
      <c r="V1213" s="22">
        <f t="shared" si="263"/>
        <v>27.29</v>
      </c>
      <c r="W1213" t="str">
        <f t="shared" si="264"/>
        <v>Tradiciones Andinas 05/19/2025</v>
      </c>
      <c r="Z1213">
        <f t="shared" si="265"/>
        <v>54.58</v>
      </c>
    </row>
    <row r="1214" spans="1:26" hidden="1" x14ac:dyDescent="0.25">
      <c r="A1214" s="2" t="s">
        <v>664</v>
      </c>
      <c r="B1214" s="11" t="s">
        <v>158</v>
      </c>
      <c r="C1214" s="11" t="s">
        <v>4</v>
      </c>
      <c r="D1214" s="11" t="s">
        <v>984</v>
      </c>
      <c r="E1214" s="11" t="s">
        <v>962</v>
      </c>
      <c r="F1214" s="11" t="s">
        <v>963</v>
      </c>
      <c r="G1214" s="12">
        <v>1</v>
      </c>
      <c r="H1214" s="12">
        <v>27.29</v>
      </c>
      <c r="I1214" s="12">
        <v>27.29</v>
      </c>
      <c r="J1214" s="12">
        <v>40133.089999999997</v>
      </c>
      <c r="K1214" s="20">
        <f t="shared" si="252"/>
        <v>6</v>
      </c>
      <c r="L1214" s="20" t="str">
        <f t="shared" si="253"/>
        <v>Se repite 6 veces</v>
      </c>
      <c r="M1214" s="20" t="str">
        <f t="shared" si="254"/>
        <v>Tradiciones Andinas-TRADICIONES ANDINAS - Manzanilla filtrante - Chamomille Tea 24gr x 20 x 30</v>
      </c>
      <c r="N1214" s="20">
        <f t="shared" si="255"/>
        <v>6</v>
      </c>
      <c r="O1214" s="20" t="str">
        <f t="shared" si="256"/>
        <v>Se repite 6 veces en Tradiciones Andinas</v>
      </c>
      <c r="P1214" s="20" t="str">
        <f t="shared" si="257"/>
        <v>Tradiciones Andinas-TRADICIONES ANDINAS - Manzanilla filtrante - Chamomille Tea 24gr x 20 x 30-27.29</v>
      </c>
      <c r="Q1214" s="20">
        <f t="shared" si="258"/>
        <v>6</v>
      </c>
      <c r="R1214" s="20" t="str">
        <f t="shared" si="259"/>
        <v>Se repite 6 veces el precio de 27.29</v>
      </c>
      <c r="S1214" s="20" t="str">
        <f t="shared" si="260"/>
        <v>El producto TRADICIONES ANDINAS - Manzanilla filtrante - Chamomille Tea 24gr x 20 x 30 Se repite 6 veces en Tradiciones Andinas, Se repite 6 veces el precio de 27.29</v>
      </c>
      <c r="T1214" s="20" t="str">
        <f t="shared" si="261"/>
        <v>Tradiciones Andinas</v>
      </c>
      <c r="U1214" s="20" t="str">
        <f t="shared" si="262"/>
        <v>TRADICIONES ANDINAS - Manzanilla filtrante - Chamomille Tea 24gr x 20 x 30</v>
      </c>
      <c r="V1214" s="22">
        <f t="shared" si="263"/>
        <v>27.29</v>
      </c>
      <c r="W1214" t="str">
        <f t="shared" si="264"/>
        <v>Tradiciones Andinas 06/12/2025</v>
      </c>
      <c r="Z1214">
        <f t="shared" si="265"/>
        <v>27.29</v>
      </c>
    </row>
    <row r="1215" spans="1:26" hidden="1" x14ac:dyDescent="0.25">
      <c r="A1215" s="2" t="s">
        <v>664</v>
      </c>
      <c r="B1215" s="11" t="s">
        <v>1033</v>
      </c>
      <c r="C1215" s="11" t="s">
        <v>4</v>
      </c>
      <c r="D1215" s="11" t="s">
        <v>1034</v>
      </c>
      <c r="E1215" s="11" t="s">
        <v>962</v>
      </c>
      <c r="F1215" s="11" t="s">
        <v>963</v>
      </c>
      <c r="G1215" s="12">
        <v>1</v>
      </c>
      <c r="H1215" s="12">
        <v>27.29</v>
      </c>
      <c r="I1215" s="12">
        <v>27.29</v>
      </c>
      <c r="J1215" s="12">
        <v>53646.329999999951</v>
      </c>
      <c r="K1215" s="20">
        <f t="shared" si="252"/>
        <v>6</v>
      </c>
      <c r="L1215" s="20" t="str">
        <f t="shared" si="253"/>
        <v>Se repite 6 veces</v>
      </c>
      <c r="M1215" s="20" t="str">
        <f t="shared" si="254"/>
        <v>Tradiciones Andinas-TRADICIONES ANDINAS - Manzanilla filtrante - Chamomille Tea 24gr x 20 x 30</v>
      </c>
      <c r="N1215" s="20">
        <f t="shared" si="255"/>
        <v>6</v>
      </c>
      <c r="O1215" s="20" t="str">
        <f t="shared" si="256"/>
        <v>Se repite 6 veces en Tradiciones Andinas</v>
      </c>
      <c r="P1215" s="20" t="str">
        <f t="shared" si="257"/>
        <v>Tradiciones Andinas-TRADICIONES ANDINAS - Manzanilla filtrante - Chamomille Tea 24gr x 20 x 30-27.29</v>
      </c>
      <c r="Q1215" s="20">
        <f t="shared" si="258"/>
        <v>6</v>
      </c>
      <c r="R1215" s="20" t="str">
        <f t="shared" si="259"/>
        <v>Se repite 6 veces el precio de 27.29</v>
      </c>
      <c r="S1215" s="20" t="str">
        <f t="shared" si="260"/>
        <v>El producto TRADICIONES ANDINAS - Manzanilla filtrante - Chamomille Tea 24gr x 20 x 30 Se repite 6 veces en Tradiciones Andinas, Se repite 6 veces el precio de 27.29</v>
      </c>
      <c r="T1215" s="20" t="str">
        <f t="shared" si="261"/>
        <v>Tradiciones Andinas</v>
      </c>
      <c r="U1215" s="20" t="str">
        <f t="shared" si="262"/>
        <v>TRADICIONES ANDINAS - Manzanilla filtrante - Chamomille Tea 24gr x 20 x 30</v>
      </c>
      <c r="V1215" s="22">
        <f t="shared" si="263"/>
        <v>27.29</v>
      </c>
      <c r="W1215" t="str">
        <f t="shared" si="264"/>
        <v>Tradiciones Andinas 07/03/2025</v>
      </c>
      <c r="Z1215">
        <f t="shared" si="265"/>
        <v>27.29</v>
      </c>
    </row>
    <row r="1216" spans="1:26" hidden="1" x14ac:dyDescent="0.25">
      <c r="A1216" s="2" t="s">
        <v>664</v>
      </c>
      <c r="B1216" s="11" t="s">
        <v>1092</v>
      </c>
      <c r="C1216" s="11" t="s">
        <v>4</v>
      </c>
      <c r="D1216" s="11" t="s">
        <v>1093</v>
      </c>
      <c r="E1216" s="11" t="s">
        <v>962</v>
      </c>
      <c r="F1216" s="11" t="s">
        <v>963</v>
      </c>
      <c r="G1216" s="12">
        <v>1</v>
      </c>
      <c r="H1216" s="12">
        <v>27.29</v>
      </c>
      <c r="I1216" s="12">
        <v>27.29</v>
      </c>
      <c r="J1216" s="12">
        <v>62064.479999999952</v>
      </c>
      <c r="K1216" s="20">
        <f t="shared" si="252"/>
        <v>6</v>
      </c>
      <c r="L1216" s="20" t="str">
        <f t="shared" si="253"/>
        <v>Se repite 6 veces</v>
      </c>
      <c r="M1216" s="20" t="str">
        <f t="shared" si="254"/>
        <v>Tradiciones Andinas-TRADICIONES ANDINAS - Manzanilla filtrante - Chamomille Tea 24gr x 20 x 30</v>
      </c>
      <c r="N1216" s="20">
        <f t="shared" si="255"/>
        <v>6</v>
      </c>
      <c r="O1216" s="20" t="str">
        <f t="shared" si="256"/>
        <v>Se repite 6 veces en Tradiciones Andinas</v>
      </c>
      <c r="P1216" s="20" t="str">
        <f t="shared" si="257"/>
        <v>Tradiciones Andinas-TRADICIONES ANDINAS - Manzanilla filtrante - Chamomille Tea 24gr x 20 x 30-27.29</v>
      </c>
      <c r="Q1216" s="20">
        <f t="shared" si="258"/>
        <v>6</v>
      </c>
      <c r="R1216" s="20" t="str">
        <f t="shared" si="259"/>
        <v>Se repite 6 veces el precio de 27.29</v>
      </c>
      <c r="S1216" s="20" t="str">
        <f t="shared" si="260"/>
        <v>El producto TRADICIONES ANDINAS - Manzanilla filtrante - Chamomille Tea 24gr x 20 x 30 Se repite 6 veces en Tradiciones Andinas, Se repite 6 veces el precio de 27.29</v>
      </c>
      <c r="T1216" s="20" t="str">
        <f t="shared" si="261"/>
        <v>Tradiciones Andinas</v>
      </c>
      <c r="U1216" s="20" t="str">
        <f t="shared" si="262"/>
        <v>TRADICIONES ANDINAS - Manzanilla filtrante - Chamomille Tea 24gr x 20 x 30</v>
      </c>
      <c r="V1216" s="22">
        <f t="shared" si="263"/>
        <v>27.29</v>
      </c>
      <c r="W1216" t="str">
        <f t="shared" si="264"/>
        <v>Tradiciones Andinas 07/21/2025</v>
      </c>
      <c r="Z1216">
        <f t="shared" si="265"/>
        <v>27.29</v>
      </c>
    </row>
    <row r="1217" spans="1:26" hidden="1" x14ac:dyDescent="0.25">
      <c r="A1217" s="2" t="s">
        <v>664</v>
      </c>
      <c r="B1217" s="11" t="s">
        <v>1153</v>
      </c>
      <c r="C1217" s="11" t="s">
        <v>4</v>
      </c>
      <c r="D1217" s="11" t="s">
        <v>1154</v>
      </c>
      <c r="E1217" s="11" t="s">
        <v>962</v>
      </c>
      <c r="F1217" s="11" t="s">
        <v>963</v>
      </c>
      <c r="G1217" s="12">
        <v>3</v>
      </c>
      <c r="H1217" s="12">
        <v>27.29</v>
      </c>
      <c r="I1217" s="12">
        <v>81.87</v>
      </c>
      <c r="J1217" s="12">
        <v>83096.459999999963</v>
      </c>
      <c r="K1217" s="20">
        <f t="shared" si="252"/>
        <v>6</v>
      </c>
      <c r="L1217" s="20" t="str">
        <f t="shared" si="253"/>
        <v>Se repite 6 veces</v>
      </c>
      <c r="M1217" s="20" t="str">
        <f t="shared" si="254"/>
        <v>Tradiciones Andinas-TRADICIONES ANDINAS - Manzanilla filtrante - Chamomille Tea 24gr x 20 x 30</v>
      </c>
      <c r="N1217" s="20">
        <f t="shared" si="255"/>
        <v>6</v>
      </c>
      <c r="O1217" s="20" t="str">
        <f t="shared" si="256"/>
        <v>Se repite 6 veces en Tradiciones Andinas</v>
      </c>
      <c r="P1217" s="20" t="str">
        <f t="shared" si="257"/>
        <v>Tradiciones Andinas-TRADICIONES ANDINAS - Manzanilla filtrante - Chamomille Tea 24gr x 20 x 30-27.29</v>
      </c>
      <c r="Q1217" s="20">
        <f t="shared" si="258"/>
        <v>6</v>
      </c>
      <c r="R1217" s="20" t="str">
        <f t="shared" si="259"/>
        <v>Se repite 6 veces el precio de 27.29</v>
      </c>
      <c r="S1217" s="20" t="str">
        <f t="shared" si="260"/>
        <v>El producto TRADICIONES ANDINAS - Manzanilla filtrante - Chamomille Tea 24gr x 20 x 30 Se repite 6 veces en Tradiciones Andinas, Se repite 6 veces el precio de 27.29</v>
      </c>
      <c r="T1217" s="20" t="str">
        <f t="shared" si="261"/>
        <v>Tradiciones Andinas</v>
      </c>
      <c r="U1217" s="20" t="str">
        <f t="shared" si="262"/>
        <v>TRADICIONES ANDINAS - Manzanilla filtrante - Chamomille Tea 24gr x 20 x 30</v>
      </c>
      <c r="V1217" s="22">
        <f t="shared" si="263"/>
        <v>27.29</v>
      </c>
      <c r="W1217" t="str">
        <f t="shared" si="264"/>
        <v>Tradiciones Andinas 09/24/2025</v>
      </c>
      <c r="Z1217">
        <f t="shared" si="265"/>
        <v>81.87</v>
      </c>
    </row>
    <row r="1218" spans="1:26" hidden="1" x14ac:dyDescent="0.25">
      <c r="A1218" s="2" t="s">
        <v>664</v>
      </c>
      <c r="B1218" s="11" t="s">
        <v>1207</v>
      </c>
      <c r="C1218" s="11" t="s">
        <v>4</v>
      </c>
      <c r="D1218" s="11" t="s">
        <v>1208</v>
      </c>
      <c r="E1218" s="11" t="s">
        <v>962</v>
      </c>
      <c r="F1218" s="11" t="s">
        <v>963</v>
      </c>
      <c r="G1218" s="12">
        <v>5</v>
      </c>
      <c r="H1218" s="12">
        <v>27.29</v>
      </c>
      <c r="I1218" s="12">
        <v>136.44999999999999</v>
      </c>
      <c r="J1218" s="12">
        <v>108607.77999999991</v>
      </c>
      <c r="K1218" s="20">
        <f t="shared" si="252"/>
        <v>6</v>
      </c>
      <c r="L1218" s="20" t="str">
        <f t="shared" si="253"/>
        <v>Se repite 6 veces</v>
      </c>
      <c r="M1218" s="20" t="str">
        <f t="shared" si="254"/>
        <v>Tradiciones Andinas-TRADICIONES ANDINAS - Manzanilla filtrante - Chamomille Tea 24gr x 20 x 30</v>
      </c>
      <c r="N1218" s="20">
        <f t="shared" si="255"/>
        <v>6</v>
      </c>
      <c r="O1218" s="20" t="str">
        <f t="shared" si="256"/>
        <v>Se repite 6 veces en Tradiciones Andinas</v>
      </c>
      <c r="P1218" s="20" t="str">
        <f t="shared" si="257"/>
        <v>Tradiciones Andinas-TRADICIONES ANDINAS - Manzanilla filtrante - Chamomille Tea 24gr x 20 x 30-27.29</v>
      </c>
      <c r="Q1218" s="20">
        <f t="shared" si="258"/>
        <v>6</v>
      </c>
      <c r="R1218" s="20" t="str">
        <f t="shared" si="259"/>
        <v>Se repite 6 veces el precio de 27.29</v>
      </c>
      <c r="S1218" s="20" t="str">
        <f t="shared" si="260"/>
        <v>El producto TRADICIONES ANDINAS - Manzanilla filtrante - Chamomille Tea 24gr x 20 x 30 Se repite 6 veces en Tradiciones Andinas, Se repite 6 veces el precio de 27.29</v>
      </c>
      <c r="T1218" s="20" t="str">
        <f t="shared" si="261"/>
        <v>Tradiciones Andinas</v>
      </c>
      <c r="U1218" s="20" t="str">
        <f t="shared" si="262"/>
        <v>TRADICIONES ANDINAS - Manzanilla filtrante - Chamomille Tea 24gr x 20 x 30</v>
      </c>
      <c r="V1218" s="22">
        <f t="shared" si="263"/>
        <v>27.29</v>
      </c>
      <c r="W1218" t="str">
        <f t="shared" si="264"/>
        <v>Tradiciones Andinas 11/28/2025</v>
      </c>
      <c r="Z1218">
        <f t="shared" si="265"/>
        <v>136.44999999999999</v>
      </c>
    </row>
    <row r="1219" spans="1:26" hidden="1" x14ac:dyDescent="0.25">
      <c r="A1219" s="2" t="s">
        <v>664</v>
      </c>
      <c r="B1219" s="11" t="s">
        <v>1224</v>
      </c>
      <c r="C1219" s="11" t="s">
        <v>4</v>
      </c>
      <c r="D1219" s="11" t="s">
        <v>1225</v>
      </c>
      <c r="E1219" s="11" t="s">
        <v>1228</v>
      </c>
      <c r="F1219" s="11" t="s">
        <v>1229</v>
      </c>
      <c r="G1219" s="12">
        <v>1</v>
      </c>
      <c r="H1219" s="12">
        <v>98.16</v>
      </c>
      <c r="I1219" s="12">
        <v>98.16</v>
      </c>
      <c r="J1219" s="12">
        <v>117911.1599999999</v>
      </c>
      <c r="K1219" s="20">
        <f t="shared" ref="K1219:K1282" si="266">COUNTIF($E$2:$E$1438,E1219)</f>
        <v>1</v>
      </c>
      <c r="L1219" s="20" t="str">
        <f t="shared" ref="L1219:L1282" si="267">IF(K1219&gt;1,_xlfn.CONCAT("Se repite ",K1219," veces"),"No se repite")</f>
        <v>No se repite</v>
      </c>
      <c r="M1219" s="20" t="str">
        <f t="shared" ref="M1219:M1282" si="268">_xlfn.CONCAT(A1219,"-",E1219)</f>
        <v>Tradiciones Andinas-Tradiciones Andinas  Miel de Abeja 500gr x 24</v>
      </c>
      <c r="N1219" s="20">
        <f t="shared" ref="N1219:N1282" si="269">COUNTIF($M$2:$M$1438,M1219)</f>
        <v>1</v>
      </c>
      <c r="O1219" s="20" t="str">
        <f t="shared" ref="O1219:O1282" si="270">IF(N1219&gt;1,_xlfn.CONCAT("Se repite ",N1219," veces en ",A1219),"No se repite en proveedor")</f>
        <v>No se repite en proveedor</v>
      </c>
      <c r="P1219" s="20" t="str">
        <f t="shared" ref="P1219:P1282" si="271">_xlfn.CONCAT(A1219,"-",E1219,"-",H1219)</f>
        <v>Tradiciones Andinas-Tradiciones Andinas  Miel de Abeja 500gr x 24-98.16</v>
      </c>
      <c r="Q1219" s="20">
        <f t="shared" ref="Q1219:Q1282" si="272">COUNTIF($P$2:$P$1438,P1219)</f>
        <v>1</v>
      </c>
      <c r="R1219" s="20" t="str">
        <f t="shared" ref="R1219:R1282" si="273">IF(Q1219&gt;1,_xlfn.CONCAT("Se repite ",Q1219," veces el precio de ",H1219),"No se repite")</f>
        <v>No se repite</v>
      </c>
      <c r="S1219" s="20" t="str">
        <f t="shared" ref="S1219:S1282" si="274">_xlfn.CONCAT("El producto ",E1219," ",O1219,IF(R1219="No se repite",_xlfn.CONCAT(" Una vez con el precio ",H1219),_xlfn.CONCAT(", ",R1219)))</f>
        <v>El producto Tradiciones Andinas  Miel de Abeja 500gr x 24 No se repite en proveedor Una vez con el precio 98.16</v>
      </c>
      <c r="T1219" s="20" t="str">
        <f t="shared" ref="T1219:T1282" si="275">+A1219</f>
        <v>Tradiciones Andinas</v>
      </c>
      <c r="U1219" s="20" t="str">
        <f t="shared" ref="U1219:U1282" si="276">+E1219</f>
        <v>Tradiciones Andinas  Miel de Abeja 500gr x 24</v>
      </c>
      <c r="V1219" s="22">
        <f t="shared" ref="V1219:V1282" si="277">+H1219</f>
        <v>98.16</v>
      </c>
      <c r="W1219" t="str">
        <f t="shared" ref="W1219:W1282" si="278">_xlfn.CONCAT(A1219," ",B1219)</f>
        <v>Tradiciones Andinas 12/03/2025</v>
      </c>
      <c r="Z1219">
        <f t="shared" ref="Z1219:Z1282" si="279">G1219*H1219</f>
        <v>98.16</v>
      </c>
    </row>
    <row r="1220" spans="1:26" hidden="1" x14ac:dyDescent="0.25">
      <c r="A1220" s="2" t="s">
        <v>664</v>
      </c>
      <c r="B1220" s="11" t="s">
        <v>1153</v>
      </c>
      <c r="C1220" s="11" t="s">
        <v>4</v>
      </c>
      <c r="D1220" s="11" t="s">
        <v>1154</v>
      </c>
      <c r="E1220" s="11" t="s">
        <v>1161</v>
      </c>
      <c r="F1220" s="11" t="s">
        <v>1162</v>
      </c>
      <c r="G1220" s="12">
        <v>12</v>
      </c>
      <c r="H1220" s="12">
        <v>18.600000000000001</v>
      </c>
      <c r="I1220" s="12">
        <v>223.2</v>
      </c>
      <c r="J1220" s="12">
        <v>81871.229999999967</v>
      </c>
      <c r="K1220" s="20">
        <f t="shared" si="266"/>
        <v>1</v>
      </c>
      <c r="L1220" s="20" t="str">
        <f t="shared" si="267"/>
        <v>No se repite</v>
      </c>
      <c r="M1220" s="20" t="str">
        <f t="shared" si="268"/>
        <v>Tradiciones Andinas-Tradiciones Andinas - Orégano Entero / Whole Oregano</v>
      </c>
      <c r="N1220" s="20">
        <f t="shared" si="269"/>
        <v>1</v>
      </c>
      <c r="O1220" s="20" t="str">
        <f t="shared" si="270"/>
        <v>No se repite en proveedor</v>
      </c>
      <c r="P1220" s="20" t="str">
        <f t="shared" si="271"/>
        <v>Tradiciones Andinas-Tradiciones Andinas - Orégano Entero / Whole Oregano-18.6</v>
      </c>
      <c r="Q1220" s="20">
        <f t="shared" si="272"/>
        <v>1</v>
      </c>
      <c r="R1220" s="20" t="str">
        <f t="shared" si="273"/>
        <v>No se repite</v>
      </c>
      <c r="S1220" s="20" t="str">
        <f t="shared" si="274"/>
        <v>El producto Tradiciones Andinas - Orégano Entero / Whole Oregano No se repite en proveedor Una vez con el precio 18.6</v>
      </c>
      <c r="T1220" s="20" t="str">
        <f t="shared" si="275"/>
        <v>Tradiciones Andinas</v>
      </c>
      <c r="U1220" s="20" t="str">
        <f t="shared" si="276"/>
        <v>Tradiciones Andinas - Orégano Entero / Whole Oregano</v>
      </c>
      <c r="V1220" s="22">
        <f t="shared" si="277"/>
        <v>18.600000000000001</v>
      </c>
      <c r="W1220" t="str">
        <f t="shared" si="278"/>
        <v>Tradiciones Andinas 09/24/2025</v>
      </c>
      <c r="Z1220">
        <f t="shared" si="279"/>
        <v>223.20000000000002</v>
      </c>
    </row>
    <row r="1221" spans="1:26" hidden="1" x14ac:dyDescent="0.25">
      <c r="A1221" s="2" t="s">
        <v>664</v>
      </c>
      <c r="B1221" s="11" t="s">
        <v>158</v>
      </c>
      <c r="C1221" s="11" t="s">
        <v>4</v>
      </c>
      <c r="D1221" s="11" t="s">
        <v>984</v>
      </c>
      <c r="E1221" s="11" t="s">
        <v>1002</v>
      </c>
      <c r="F1221" s="11" t="s">
        <v>1002</v>
      </c>
      <c r="G1221" s="12">
        <v>4</v>
      </c>
      <c r="H1221" s="12">
        <v>12.6</v>
      </c>
      <c r="I1221" s="12">
        <v>50.4</v>
      </c>
      <c r="J1221" s="12">
        <v>38935</v>
      </c>
      <c r="K1221" s="20">
        <f t="shared" si="266"/>
        <v>2</v>
      </c>
      <c r="L1221" s="20" t="str">
        <f t="shared" si="267"/>
        <v>Se repite 2 veces</v>
      </c>
      <c r="M1221" s="20" t="str">
        <f t="shared" si="268"/>
        <v>Tradiciones Andinas-Tradiciones Andinas - Palillo /Curcuma</v>
      </c>
      <c r="N1221" s="20">
        <f t="shared" si="269"/>
        <v>2</v>
      </c>
      <c r="O1221" s="20" t="str">
        <f t="shared" si="270"/>
        <v>Se repite 2 veces en Tradiciones Andinas</v>
      </c>
      <c r="P1221" s="20" t="str">
        <f t="shared" si="271"/>
        <v>Tradiciones Andinas-Tradiciones Andinas - Palillo /Curcuma-12.6</v>
      </c>
      <c r="Q1221" s="20">
        <f t="shared" si="272"/>
        <v>2</v>
      </c>
      <c r="R1221" s="20" t="str">
        <f t="shared" si="273"/>
        <v>Se repite 2 veces el precio de 12.6</v>
      </c>
      <c r="S1221" s="20" t="str">
        <f t="shared" si="274"/>
        <v>El producto Tradiciones Andinas - Palillo /Curcuma Se repite 2 veces en Tradiciones Andinas, Se repite 2 veces el precio de 12.6</v>
      </c>
      <c r="T1221" s="20" t="str">
        <f t="shared" si="275"/>
        <v>Tradiciones Andinas</v>
      </c>
      <c r="U1221" s="20" t="str">
        <f t="shared" si="276"/>
        <v>Tradiciones Andinas - Palillo /Curcuma</v>
      </c>
      <c r="V1221" s="22">
        <f t="shared" si="277"/>
        <v>12.6</v>
      </c>
      <c r="W1221" t="str">
        <f t="shared" si="278"/>
        <v>Tradiciones Andinas 06/12/2025</v>
      </c>
      <c r="Z1221">
        <f t="shared" si="279"/>
        <v>50.4</v>
      </c>
    </row>
    <row r="1222" spans="1:26" hidden="1" x14ac:dyDescent="0.25">
      <c r="A1222" s="2" t="s">
        <v>664</v>
      </c>
      <c r="B1222" s="11" t="s">
        <v>1153</v>
      </c>
      <c r="C1222" s="11" t="s">
        <v>4</v>
      </c>
      <c r="D1222" s="11" t="s">
        <v>1154</v>
      </c>
      <c r="E1222" s="11" t="s">
        <v>1002</v>
      </c>
      <c r="F1222" s="11" t="s">
        <v>1160</v>
      </c>
      <c r="G1222" s="12">
        <v>10</v>
      </c>
      <c r="H1222" s="12">
        <v>12.6</v>
      </c>
      <c r="I1222" s="12">
        <v>126</v>
      </c>
      <c r="J1222" s="12">
        <v>81312.989999999962</v>
      </c>
      <c r="K1222" s="20">
        <f t="shared" si="266"/>
        <v>2</v>
      </c>
      <c r="L1222" s="20" t="str">
        <f t="shared" si="267"/>
        <v>Se repite 2 veces</v>
      </c>
      <c r="M1222" s="20" t="str">
        <f t="shared" si="268"/>
        <v>Tradiciones Andinas-Tradiciones Andinas - Palillo /Curcuma</v>
      </c>
      <c r="N1222" s="20">
        <f t="shared" si="269"/>
        <v>2</v>
      </c>
      <c r="O1222" s="20" t="str">
        <f t="shared" si="270"/>
        <v>Se repite 2 veces en Tradiciones Andinas</v>
      </c>
      <c r="P1222" s="20" t="str">
        <f t="shared" si="271"/>
        <v>Tradiciones Andinas-Tradiciones Andinas - Palillo /Curcuma-12.6</v>
      </c>
      <c r="Q1222" s="20">
        <f t="shared" si="272"/>
        <v>2</v>
      </c>
      <c r="R1222" s="20" t="str">
        <f t="shared" si="273"/>
        <v>Se repite 2 veces el precio de 12.6</v>
      </c>
      <c r="S1222" s="20" t="str">
        <f t="shared" si="274"/>
        <v>El producto Tradiciones Andinas - Palillo /Curcuma Se repite 2 veces en Tradiciones Andinas, Se repite 2 veces el precio de 12.6</v>
      </c>
      <c r="T1222" s="20" t="str">
        <f t="shared" si="275"/>
        <v>Tradiciones Andinas</v>
      </c>
      <c r="U1222" s="20" t="str">
        <f t="shared" si="276"/>
        <v>Tradiciones Andinas - Palillo /Curcuma</v>
      </c>
      <c r="V1222" s="22">
        <f t="shared" si="277"/>
        <v>12.6</v>
      </c>
      <c r="W1222" t="str">
        <f t="shared" si="278"/>
        <v>Tradiciones Andinas 09/24/2025</v>
      </c>
      <c r="Z1222">
        <f t="shared" si="279"/>
        <v>126</v>
      </c>
    </row>
    <row r="1223" spans="1:26" hidden="1" x14ac:dyDescent="0.25">
      <c r="A1223" s="2" t="s">
        <v>664</v>
      </c>
      <c r="B1223" s="11" t="s">
        <v>1092</v>
      </c>
      <c r="C1223" s="11" t="s">
        <v>4</v>
      </c>
      <c r="D1223" s="11" t="s">
        <v>1093</v>
      </c>
      <c r="E1223" s="11" t="s">
        <v>1097</v>
      </c>
      <c r="F1223" s="11" t="s">
        <v>1098</v>
      </c>
      <c r="G1223" s="12">
        <v>3</v>
      </c>
      <c r="H1223" s="12">
        <v>12.6</v>
      </c>
      <c r="I1223" s="12">
        <v>37.799999999999997</v>
      </c>
      <c r="J1223" s="12">
        <v>61935.189999999944</v>
      </c>
      <c r="K1223" s="20">
        <f t="shared" si="266"/>
        <v>2</v>
      </c>
      <c r="L1223" s="20" t="str">
        <f t="shared" si="267"/>
        <v>Se repite 2 veces</v>
      </c>
      <c r="M1223" s="20" t="str">
        <f t="shared" si="268"/>
        <v>Tradiciones Andinas-Tradiciones Andinas Pimenton / Paprika 1.76oz x 12</v>
      </c>
      <c r="N1223" s="20">
        <f t="shared" si="269"/>
        <v>2</v>
      </c>
      <c r="O1223" s="20" t="str">
        <f t="shared" si="270"/>
        <v>Se repite 2 veces en Tradiciones Andinas</v>
      </c>
      <c r="P1223" s="20" t="str">
        <f t="shared" si="271"/>
        <v>Tradiciones Andinas-Tradiciones Andinas Pimenton / Paprika 1.76oz x 12-12.6</v>
      </c>
      <c r="Q1223" s="20">
        <f t="shared" si="272"/>
        <v>2</v>
      </c>
      <c r="R1223" s="20" t="str">
        <f t="shared" si="273"/>
        <v>Se repite 2 veces el precio de 12.6</v>
      </c>
      <c r="S1223" s="20" t="str">
        <f t="shared" si="274"/>
        <v>El producto Tradiciones Andinas Pimenton / Paprika 1.76oz x 12 Se repite 2 veces en Tradiciones Andinas, Se repite 2 veces el precio de 12.6</v>
      </c>
      <c r="T1223" s="20" t="str">
        <f t="shared" si="275"/>
        <v>Tradiciones Andinas</v>
      </c>
      <c r="U1223" s="20" t="str">
        <f t="shared" si="276"/>
        <v>Tradiciones Andinas Pimenton / Paprika 1.76oz x 12</v>
      </c>
      <c r="V1223" s="22">
        <f t="shared" si="277"/>
        <v>12.6</v>
      </c>
      <c r="W1223" t="str">
        <f t="shared" si="278"/>
        <v>Tradiciones Andinas 07/21/2025</v>
      </c>
      <c r="Z1223">
        <f t="shared" si="279"/>
        <v>37.799999999999997</v>
      </c>
    </row>
    <row r="1224" spans="1:26" hidden="1" x14ac:dyDescent="0.25">
      <c r="A1224" s="2" t="s">
        <v>664</v>
      </c>
      <c r="B1224" s="11" t="s">
        <v>1153</v>
      </c>
      <c r="C1224" s="11" t="s">
        <v>4</v>
      </c>
      <c r="D1224" s="11" t="s">
        <v>1154</v>
      </c>
      <c r="E1224" s="11" t="s">
        <v>1097</v>
      </c>
      <c r="F1224" s="11" t="s">
        <v>1098</v>
      </c>
      <c r="G1224" s="12">
        <v>6</v>
      </c>
      <c r="H1224" s="12">
        <v>12.6</v>
      </c>
      <c r="I1224" s="12">
        <v>75.599999999999994</v>
      </c>
      <c r="J1224" s="12">
        <v>81597.629999999976</v>
      </c>
      <c r="K1224" s="20">
        <f t="shared" si="266"/>
        <v>2</v>
      </c>
      <c r="L1224" s="20" t="str">
        <f t="shared" si="267"/>
        <v>Se repite 2 veces</v>
      </c>
      <c r="M1224" s="20" t="str">
        <f t="shared" si="268"/>
        <v>Tradiciones Andinas-Tradiciones Andinas Pimenton / Paprika 1.76oz x 12</v>
      </c>
      <c r="N1224" s="20">
        <f t="shared" si="269"/>
        <v>2</v>
      </c>
      <c r="O1224" s="20" t="str">
        <f t="shared" si="270"/>
        <v>Se repite 2 veces en Tradiciones Andinas</v>
      </c>
      <c r="P1224" s="20" t="str">
        <f t="shared" si="271"/>
        <v>Tradiciones Andinas-Tradiciones Andinas Pimenton / Paprika 1.76oz x 12-12.6</v>
      </c>
      <c r="Q1224" s="20">
        <f t="shared" si="272"/>
        <v>2</v>
      </c>
      <c r="R1224" s="20" t="str">
        <f t="shared" si="273"/>
        <v>Se repite 2 veces el precio de 12.6</v>
      </c>
      <c r="S1224" s="20" t="str">
        <f t="shared" si="274"/>
        <v>El producto Tradiciones Andinas Pimenton / Paprika 1.76oz x 12 Se repite 2 veces en Tradiciones Andinas, Se repite 2 veces el precio de 12.6</v>
      </c>
      <c r="T1224" s="20" t="str">
        <f t="shared" si="275"/>
        <v>Tradiciones Andinas</v>
      </c>
      <c r="U1224" s="20" t="str">
        <f t="shared" si="276"/>
        <v>Tradiciones Andinas Pimenton / Paprika 1.76oz x 12</v>
      </c>
      <c r="V1224" s="22">
        <f t="shared" si="277"/>
        <v>12.6</v>
      </c>
      <c r="W1224" t="str">
        <f t="shared" si="278"/>
        <v>Tradiciones Andinas 09/24/2025</v>
      </c>
      <c r="Z1224">
        <f t="shared" si="279"/>
        <v>75.599999999999994</v>
      </c>
    </row>
    <row r="1225" spans="1:26" hidden="1" x14ac:dyDescent="0.25">
      <c r="A1225" s="2" t="s">
        <v>664</v>
      </c>
      <c r="B1225" s="11" t="s">
        <v>1207</v>
      </c>
      <c r="C1225" s="11" t="s">
        <v>4</v>
      </c>
      <c r="D1225" s="11" t="s">
        <v>1208</v>
      </c>
      <c r="E1225" s="11" t="s">
        <v>1211</v>
      </c>
      <c r="F1225" s="11" t="s">
        <v>1212</v>
      </c>
      <c r="G1225" s="12">
        <v>2</v>
      </c>
      <c r="H1225" s="12">
        <v>22</v>
      </c>
      <c r="I1225" s="12">
        <v>44</v>
      </c>
      <c r="J1225" s="12">
        <v>112594.17999999988</v>
      </c>
      <c r="K1225" s="20">
        <f t="shared" si="266"/>
        <v>1</v>
      </c>
      <c r="L1225" s="20" t="str">
        <f t="shared" si="267"/>
        <v>No se repite</v>
      </c>
      <c r="M1225" s="20" t="str">
        <f t="shared" si="268"/>
        <v>Tradiciones Andinas-Trigo Atomico con Maca 125gr x 20</v>
      </c>
      <c r="N1225" s="20">
        <f t="shared" si="269"/>
        <v>1</v>
      </c>
      <c r="O1225" s="20" t="str">
        <f t="shared" si="270"/>
        <v>No se repite en proveedor</v>
      </c>
      <c r="P1225" s="20" t="str">
        <f t="shared" si="271"/>
        <v>Tradiciones Andinas-Trigo Atomico con Maca 125gr x 20-22</v>
      </c>
      <c r="Q1225" s="20">
        <f t="shared" si="272"/>
        <v>1</v>
      </c>
      <c r="R1225" s="20" t="str">
        <f t="shared" si="273"/>
        <v>No se repite</v>
      </c>
      <c r="S1225" s="20" t="str">
        <f t="shared" si="274"/>
        <v>El producto Trigo Atomico con Maca 125gr x 20 No se repite en proveedor Una vez con el precio 22</v>
      </c>
      <c r="T1225" s="20" t="str">
        <f t="shared" si="275"/>
        <v>Tradiciones Andinas</v>
      </c>
      <c r="U1225" s="20" t="str">
        <f t="shared" si="276"/>
        <v>Trigo Atomico con Maca 125gr x 20</v>
      </c>
      <c r="V1225" s="22">
        <f t="shared" si="277"/>
        <v>22</v>
      </c>
      <c r="W1225" t="str">
        <f t="shared" si="278"/>
        <v>Tradiciones Andinas 11/28/2025</v>
      </c>
      <c r="Z1225">
        <f t="shared" si="279"/>
        <v>44</v>
      </c>
    </row>
    <row r="1226" spans="1:26" hidden="1" x14ac:dyDescent="0.25">
      <c r="A1226" s="2" t="s">
        <v>664</v>
      </c>
      <c r="B1226" s="11" t="s">
        <v>398</v>
      </c>
      <c r="C1226" s="11" t="s">
        <v>4</v>
      </c>
      <c r="D1226" s="11" t="s">
        <v>5</v>
      </c>
      <c r="E1226" s="11" t="s">
        <v>797</v>
      </c>
      <c r="F1226" s="11" t="s">
        <v>798</v>
      </c>
      <c r="G1226" s="12">
        <v>4</v>
      </c>
      <c r="H1226" s="12">
        <v>20</v>
      </c>
      <c r="I1226" s="12">
        <v>80</v>
      </c>
      <c r="J1226" s="12">
        <v>6685.6399999999994</v>
      </c>
      <c r="K1226" s="20">
        <f t="shared" si="266"/>
        <v>3</v>
      </c>
      <c r="L1226" s="20" t="str">
        <f t="shared" si="267"/>
        <v>Se repite 3 veces</v>
      </c>
      <c r="M1226" s="20" t="str">
        <f t="shared" si="268"/>
        <v>Tradiciones Andinas-Trigo Atomico original con Miel 125gr x 20</v>
      </c>
      <c r="N1226" s="20">
        <f t="shared" si="269"/>
        <v>3</v>
      </c>
      <c r="O1226" s="20" t="str">
        <f t="shared" si="270"/>
        <v>Se repite 3 veces en Tradiciones Andinas</v>
      </c>
      <c r="P1226" s="20" t="str">
        <f t="shared" si="271"/>
        <v>Tradiciones Andinas-Trigo Atomico original con Miel 125gr x 20-20</v>
      </c>
      <c r="Q1226" s="20">
        <f t="shared" si="272"/>
        <v>1</v>
      </c>
      <c r="R1226" s="20" t="str">
        <f t="shared" si="273"/>
        <v>No se repite</v>
      </c>
      <c r="S1226" s="20" t="str">
        <f t="shared" si="274"/>
        <v>El producto Trigo Atomico original con Miel 125gr x 20 Se repite 3 veces en Tradiciones Andinas Una vez con el precio 20</v>
      </c>
      <c r="T1226" s="20" t="str">
        <f t="shared" si="275"/>
        <v>Tradiciones Andinas</v>
      </c>
      <c r="U1226" s="20" t="str">
        <f t="shared" si="276"/>
        <v>Trigo Atomico original con Miel 125gr x 20</v>
      </c>
      <c r="V1226" s="22">
        <f t="shared" si="277"/>
        <v>20</v>
      </c>
      <c r="W1226" t="str">
        <f t="shared" si="278"/>
        <v>Tradiciones Andinas 04/10/2025</v>
      </c>
      <c r="Z1226">
        <f t="shared" si="279"/>
        <v>80</v>
      </c>
    </row>
    <row r="1227" spans="1:26" hidden="1" x14ac:dyDescent="0.25">
      <c r="A1227" s="2" t="s">
        <v>664</v>
      </c>
      <c r="B1227" s="11" t="s">
        <v>158</v>
      </c>
      <c r="C1227" s="11" t="s">
        <v>4</v>
      </c>
      <c r="D1227" s="11" t="s">
        <v>984</v>
      </c>
      <c r="E1227" s="11" t="s">
        <v>797</v>
      </c>
      <c r="F1227" s="11" t="s">
        <v>1015</v>
      </c>
      <c r="G1227" s="12">
        <v>5</v>
      </c>
      <c r="H1227" s="12">
        <v>21.4</v>
      </c>
      <c r="I1227" s="12">
        <v>107</v>
      </c>
      <c r="J1227" s="12">
        <v>40792.099999999991</v>
      </c>
      <c r="K1227" s="20">
        <f t="shared" si="266"/>
        <v>3</v>
      </c>
      <c r="L1227" s="20" t="str">
        <f t="shared" si="267"/>
        <v>Se repite 3 veces</v>
      </c>
      <c r="M1227" s="20" t="str">
        <f t="shared" si="268"/>
        <v>Tradiciones Andinas-Trigo Atomico original con Miel 125gr x 20</v>
      </c>
      <c r="N1227" s="20">
        <f t="shared" si="269"/>
        <v>3</v>
      </c>
      <c r="O1227" s="20" t="str">
        <f t="shared" si="270"/>
        <v>Se repite 3 veces en Tradiciones Andinas</v>
      </c>
      <c r="P1227" s="20" t="str">
        <f t="shared" si="271"/>
        <v>Tradiciones Andinas-Trigo Atomico original con Miel 125gr x 20-21.4</v>
      </c>
      <c r="Q1227" s="20">
        <f t="shared" si="272"/>
        <v>2</v>
      </c>
      <c r="R1227" s="20" t="str">
        <f t="shared" si="273"/>
        <v>Se repite 2 veces el precio de 21.4</v>
      </c>
      <c r="S1227" s="20" t="str">
        <f t="shared" si="274"/>
        <v>El producto Trigo Atomico original con Miel 125gr x 20 Se repite 3 veces en Tradiciones Andinas, Se repite 2 veces el precio de 21.4</v>
      </c>
      <c r="T1227" s="20" t="str">
        <f t="shared" si="275"/>
        <v>Tradiciones Andinas</v>
      </c>
      <c r="U1227" s="20" t="str">
        <f t="shared" si="276"/>
        <v>Trigo Atomico original con Miel 125gr x 20</v>
      </c>
      <c r="V1227" s="22">
        <f t="shared" si="277"/>
        <v>21.4</v>
      </c>
      <c r="W1227" t="str">
        <f t="shared" si="278"/>
        <v>Tradiciones Andinas 06/12/2025</v>
      </c>
      <c r="Z1227">
        <f t="shared" si="279"/>
        <v>107</v>
      </c>
    </row>
    <row r="1228" spans="1:26" hidden="1" x14ac:dyDescent="0.25">
      <c r="A1228" s="2" t="s">
        <v>664</v>
      </c>
      <c r="B1228" s="11" t="s">
        <v>1201</v>
      </c>
      <c r="C1228" s="11" t="s">
        <v>4</v>
      </c>
      <c r="D1228" s="11" t="s">
        <v>1202</v>
      </c>
      <c r="E1228" s="11" t="s">
        <v>797</v>
      </c>
      <c r="F1228" s="11" t="s">
        <v>1015</v>
      </c>
      <c r="G1228" s="12">
        <v>5</v>
      </c>
      <c r="H1228" s="12">
        <v>21.4</v>
      </c>
      <c r="I1228" s="12">
        <v>107</v>
      </c>
      <c r="J1228" s="12">
        <v>102922.86999999992</v>
      </c>
      <c r="K1228" s="20">
        <f t="shared" si="266"/>
        <v>3</v>
      </c>
      <c r="L1228" s="20" t="str">
        <f t="shared" si="267"/>
        <v>Se repite 3 veces</v>
      </c>
      <c r="M1228" s="20" t="str">
        <f t="shared" si="268"/>
        <v>Tradiciones Andinas-Trigo Atomico original con Miel 125gr x 20</v>
      </c>
      <c r="N1228" s="20">
        <f t="shared" si="269"/>
        <v>3</v>
      </c>
      <c r="O1228" s="20" t="str">
        <f t="shared" si="270"/>
        <v>Se repite 3 veces en Tradiciones Andinas</v>
      </c>
      <c r="P1228" s="20" t="str">
        <f t="shared" si="271"/>
        <v>Tradiciones Andinas-Trigo Atomico original con Miel 125gr x 20-21.4</v>
      </c>
      <c r="Q1228" s="20">
        <f t="shared" si="272"/>
        <v>2</v>
      </c>
      <c r="R1228" s="20" t="str">
        <f t="shared" si="273"/>
        <v>Se repite 2 veces el precio de 21.4</v>
      </c>
      <c r="S1228" s="20" t="str">
        <f t="shared" si="274"/>
        <v>El producto Trigo Atomico original con Miel 125gr x 20 Se repite 3 veces en Tradiciones Andinas, Se repite 2 veces el precio de 21.4</v>
      </c>
      <c r="T1228" s="20" t="str">
        <f t="shared" si="275"/>
        <v>Tradiciones Andinas</v>
      </c>
      <c r="U1228" s="20" t="str">
        <f t="shared" si="276"/>
        <v>Trigo Atomico original con Miel 125gr x 20</v>
      </c>
      <c r="V1228" s="22">
        <f t="shared" si="277"/>
        <v>21.4</v>
      </c>
      <c r="W1228" t="str">
        <f t="shared" si="278"/>
        <v>Tradiciones Andinas 11/07/2025</v>
      </c>
      <c r="Z1228">
        <f t="shared" si="279"/>
        <v>107</v>
      </c>
    </row>
    <row r="1229" spans="1:26" hidden="1" x14ac:dyDescent="0.25">
      <c r="A1229" s="2" t="s">
        <v>18</v>
      </c>
      <c r="B1229" s="11" t="s">
        <v>19</v>
      </c>
      <c r="C1229" s="11" t="s">
        <v>4</v>
      </c>
      <c r="D1229" s="11" t="s">
        <v>20</v>
      </c>
      <c r="E1229" s="11" t="s">
        <v>50</v>
      </c>
      <c r="F1229" s="11" t="s">
        <v>51</v>
      </c>
      <c r="G1229" s="12">
        <v>10</v>
      </c>
      <c r="H1229" s="12">
        <v>39.5</v>
      </c>
      <c r="I1229" s="12">
        <v>395</v>
      </c>
      <c r="J1229" s="12">
        <v>2913.8</v>
      </c>
      <c r="K1229" s="20">
        <f t="shared" si="266"/>
        <v>7</v>
      </c>
      <c r="L1229" s="20" t="str">
        <f t="shared" si="267"/>
        <v>Se repite 7 veces</v>
      </c>
      <c r="M1229" s="20" t="str">
        <f t="shared" si="268"/>
        <v>Belmont International Trading Corp-Uchucuta A la Cena 17.06 (400gr) x 12</v>
      </c>
      <c r="N1229" s="20">
        <f t="shared" si="269"/>
        <v>3</v>
      </c>
      <c r="O1229" s="20" t="str">
        <f t="shared" si="270"/>
        <v>Se repite 3 veces en Belmont International Trading Corp</v>
      </c>
      <c r="P1229" s="20" t="str">
        <f t="shared" si="271"/>
        <v>Belmont International Trading Corp-Uchucuta A la Cena 17.06 (400gr) x 12-39.5</v>
      </c>
      <c r="Q1229" s="20">
        <f t="shared" si="272"/>
        <v>1</v>
      </c>
      <c r="R1229" s="20" t="str">
        <f t="shared" si="273"/>
        <v>No se repite</v>
      </c>
      <c r="S1229" s="20" t="str">
        <f t="shared" si="274"/>
        <v>El producto Uchucuta A la Cena 17.06 (400gr) x 12 Se repite 3 veces en Belmont International Trading Corp Una vez con el precio 39.5</v>
      </c>
      <c r="T1229" s="20" t="str">
        <f t="shared" si="275"/>
        <v>Belmont International Trading Corp</v>
      </c>
      <c r="U1229" s="20" t="str">
        <f t="shared" si="276"/>
        <v>Uchucuta A la Cena 17.06 (400gr) x 12</v>
      </c>
      <c r="V1229" s="22">
        <f t="shared" si="277"/>
        <v>39.5</v>
      </c>
      <c r="W1229" t="str">
        <f t="shared" si="278"/>
        <v>Belmont International Trading Corp 04/28/2025</v>
      </c>
      <c r="Z1229">
        <f t="shared" si="279"/>
        <v>395</v>
      </c>
    </row>
    <row r="1230" spans="1:26" hidden="1" x14ac:dyDescent="0.25">
      <c r="A1230" s="2" t="s">
        <v>18</v>
      </c>
      <c r="B1230" s="11" t="s">
        <v>148</v>
      </c>
      <c r="C1230" s="11" t="s">
        <v>4</v>
      </c>
      <c r="D1230" s="11" t="s">
        <v>149</v>
      </c>
      <c r="E1230" s="11" t="s">
        <v>50</v>
      </c>
      <c r="F1230" s="11" t="s">
        <v>51</v>
      </c>
      <c r="G1230" s="12">
        <v>12</v>
      </c>
      <c r="H1230" s="12">
        <v>43.5</v>
      </c>
      <c r="I1230" s="12">
        <v>522</v>
      </c>
      <c r="J1230" s="12">
        <v>9148.74</v>
      </c>
      <c r="K1230" s="20">
        <f t="shared" si="266"/>
        <v>7</v>
      </c>
      <c r="L1230" s="20" t="str">
        <f t="shared" si="267"/>
        <v>Se repite 7 veces</v>
      </c>
      <c r="M1230" s="20" t="str">
        <f t="shared" si="268"/>
        <v>Belmont International Trading Corp-Uchucuta A la Cena 17.06 (400gr) x 12</v>
      </c>
      <c r="N1230" s="20">
        <f t="shared" si="269"/>
        <v>3</v>
      </c>
      <c r="O1230" s="20" t="str">
        <f t="shared" si="270"/>
        <v>Se repite 3 veces en Belmont International Trading Corp</v>
      </c>
      <c r="P1230" s="20" t="str">
        <f t="shared" si="271"/>
        <v>Belmont International Trading Corp-Uchucuta A la Cena 17.06 (400gr) x 12-43.5</v>
      </c>
      <c r="Q1230" s="20">
        <f t="shared" si="272"/>
        <v>2</v>
      </c>
      <c r="R1230" s="20" t="str">
        <f t="shared" si="273"/>
        <v>Se repite 2 veces el precio de 43.5</v>
      </c>
      <c r="S1230" s="20" t="str">
        <f t="shared" si="274"/>
        <v>El producto Uchucuta A la Cena 17.06 (400gr) x 12 Se repite 3 veces en Belmont International Trading Corp, Se repite 2 veces el precio de 43.5</v>
      </c>
      <c r="T1230" s="20" t="str">
        <f t="shared" si="275"/>
        <v>Belmont International Trading Corp</v>
      </c>
      <c r="U1230" s="20" t="str">
        <f t="shared" si="276"/>
        <v>Uchucuta A la Cena 17.06 (400gr) x 12</v>
      </c>
      <c r="V1230" s="22">
        <f t="shared" si="277"/>
        <v>43.5</v>
      </c>
      <c r="W1230" t="str">
        <f t="shared" si="278"/>
        <v>Belmont International Trading Corp 05/16/2025</v>
      </c>
      <c r="Z1230">
        <f t="shared" si="279"/>
        <v>522</v>
      </c>
    </row>
    <row r="1231" spans="1:26" hidden="1" x14ac:dyDescent="0.25">
      <c r="A1231" s="2" t="s">
        <v>18</v>
      </c>
      <c r="B1231" s="11" t="s">
        <v>158</v>
      </c>
      <c r="C1231" s="11" t="s">
        <v>4</v>
      </c>
      <c r="D1231" s="11" t="s">
        <v>159</v>
      </c>
      <c r="E1231" s="11" t="s">
        <v>50</v>
      </c>
      <c r="F1231" s="11" t="s">
        <v>51</v>
      </c>
      <c r="G1231" s="12">
        <v>5</v>
      </c>
      <c r="H1231" s="12">
        <v>43.5</v>
      </c>
      <c r="I1231" s="12">
        <v>217.5</v>
      </c>
      <c r="J1231" s="12">
        <v>13708.74</v>
      </c>
      <c r="K1231" s="20">
        <f t="shared" si="266"/>
        <v>7</v>
      </c>
      <c r="L1231" s="20" t="str">
        <f t="shared" si="267"/>
        <v>Se repite 7 veces</v>
      </c>
      <c r="M1231" s="20" t="str">
        <f t="shared" si="268"/>
        <v>Belmont International Trading Corp-Uchucuta A la Cena 17.06 (400gr) x 12</v>
      </c>
      <c r="N1231" s="20">
        <f t="shared" si="269"/>
        <v>3</v>
      </c>
      <c r="O1231" s="20" t="str">
        <f t="shared" si="270"/>
        <v>Se repite 3 veces en Belmont International Trading Corp</v>
      </c>
      <c r="P1231" s="20" t="str">
        <f t="shared" si="271"/>
        <v>Belmont International Trading Corp-Uchucuta A la Cena 17.06 (400gr) x 12-43.5</v>
      </c>
      <c r="Q1231" s="20">
        <f t="shared" si="272"/>
        <v>2</v>
      </c>
      <c r="R1231" s="20" t="str">
        <f t="shared" si="273"/>
        <v>Se repite 2 veces el precio de 43.5</v>
      </c>
      <c r="S1231" s="20" t="str">
        <f t="shared" si="274"/>
        <v>El producto Uchucuta A la Cena 17.06 (400gr) x 12 Se repite 3 veces en Belmont International Trading Corp, Se repite 2 veces el precio de 43.5</v>
      </c>
      <c r="T1231" s="20" t="str">
        <f t="shared" si="275"/>
        <v>Belmont International Trading Corp</v>
      </c>
      <c r="U1231" s="20" t="str">
        <f t="shared" si="276"/>
        <v>Uchucuta A la Cena 17.06 (400gr) x 12</v>
      </c>
      <c r="V1231" s="22">
        <f t="shared" si="277"/>
        <v>43.5</v>
      </c>
      <c r="W1231" t="str">
        <f t="shared" si="278"/>
        <v>Belmont International Trading Corp 06/12/2025</v>
      </c>
      <c r="Y1231" s="27"/>
      <c r="Z1231">
        <f t="shared" si="279"/>
        <v>217.5</v>
      </c>
    </row>
    <row r="1232" spans="1:26" hidden="1" x14ac:dyDescent="0.25">
      <c r="A1232" s="2" t="s">
        <v>272</v>
      </c>
      <c r="B1232" s="11" t="s">
        <v>563</v>
      </c>
      <c r="C1232" s="11" t="s">
        <v>4</v>
      </c>
      <c r="D1232" s="11" t="s">
        <v>564</v>
      </c>
      <c r="E1232" s="11" t="s">
        <v>50</v>
      </c>
      <c r="F1232" s="11" t="s">
        <v>51</v>
      </c>
      <c r="G1232" s="12">
        <v>3</v>
      </c>
      <c r="H1232" s="12">
        <v>35</v>
      </c>
      <c r="I1232" s="12">
        <v>105</v>
      </c>
      <c r="J1232" s="12">
        <v>22657</v>
      </c>
      <c r="K1232" s="20">
        <f t="shared" si="266"/>
        <v>7</v>
      </c>
      <c r="L1232" s="20" t="str">
        <f t="shared" si="267"/>
        <v>Se repite 7 veces</v>
      </c>
      <c r="M1232" s="20" t="str">
        <f t="shared" si="268"/>
        <v>Peru Chef-Uchucuta A la Cena 17.06 (400gr) x 12</v>
      </c>
      <c r="N1232" s="20">
        <f t="shared" si="269"/>
        <v>4</v>
      </c>
      <c r="O1232" s="20" t="str">
        <f t="shared" si="270"/>
        <v>Se repite 4 veces en Peru Chef</v>
      </c>
      <c r="P1232" s="20" t="str">
        <f t="shared" si="271"/>
        <v>Peru Chef-Uchucuta A la Cena 17.06 (400gr) x 12-35</v>
      </c>
      <c r="Q1232" s="20">
        <f t="shared" si="272"/>
        <v>4</v>
      </c>
      <c r="R1232" s="20" t="str">
        <f t="shared" si="273"/>
        <v>Se repite 4 veces el precio de 35</v>
      </c>
      <c r="S1232" s="20" t="str">
        <f t="shared" si="274"/>
        <v>El producto Uchucuta A la Cena 17.06 (400gr) x 12 Se repite 4 veces en Peru Chef, Se repite 4 veces el precio de 35</v>
      </c>
      <c r="T1232" s="20" t="str">
        <f t="shared" si="275"/>
        <v>Peru Chef</v>
      </c>
      <c r="U1232" s="20" t="str">
        <f t="shared" si="276"/>
        <v>Uchucuta A la Cena 17.06 (400gr) x 12</v>
      </c>
      <c r="V1232" s="22">
        <f t="shared" si="277"/>
        <v>35</v>
      </c>
      <c r="W1232" t="str">
        <f t="shared" si="278"/>
        <v>Peru Chef 09/11/2025</v>
      </c>
      <c r="Z1232">
        <f t="shared" si="279"/>
        <v>105</v>
      </c>
    </row>
    <row r="1233" spans="1:26" hidden="1" x14ac:dyDescent="0.25">
      <c r="A1233" s="2" t="s">
        <v>272</v>
      </c>
      <c r="B1233" s="11" t="s">
        <v>572</v>
      </c>
      <c r="C1233" s="11" t="s">
        <v>4</v>
      </c>
      <c r="D1233" s="11" t="s">
        <v>573</v>
      </c>
      <c r="E1233" s="11" t="s">
        <v>50</v>
      </c>
      <c r="F1233" s="11" t="s">
        <v>51</v>
      </c>
      <c r="G1233" s="12">
        <v>10</v>
      </c>
      <c r="H1233" s="12">
        <v>35</v>
      </c>
      <c r="I1233" s="12">
        <v>350</v>
      </c>
      <c r="J1233" s="12">
        <v>26214</v>
      </c>
      <c r="K1233" s="20">
        <f t="shared" si="266"/>
        <v>7</v>
      </c>
      <c r="L1233" s="20" t="str">
        <f t="shared" si="267"/>
        <v>Se repite 7 veces</v>
      </c>
      <c r="M1233" s="20" t="str">
        <f t="shared" si="268"/>
        <v>Peru Chef-Uchucuta A la Cena 17.06 (400gr) x 12</v>
      </c>
      <c r="N1233" s="20">
        <f t="shared" si="269"/>
        <v>4</v>
      </c>
      <c r="O1233" s="20" t="str">
        <f t="shared" si="270"/>
        <v>Se repite 4 veces en Peru Chef</v>
      </c>
      <c r="P1233" s="20" t="str">
        <f t="shared" si="271"/>
        <v>Peru Chef-Uchucuta A la Cena 17.06 (400gr) x 12-35</v>
      </c>
      <c r="Q1233" s="20">
        <f t="shared" si="272"/>
        <v>4</v>
      </c>
      <c r="R1233" s="20" t="str">
        <f t="shared" si="273"/>
        <v>Se repite 4 veces el precio de 35</v>
      </c>
      <c r="S1233" s="20" t="str">
        <f t="shared" si="274"/>
        <v>El producto Uchucuta A la Cena 17.06 (400gr) x 12 Se repite 4 veces en Peru Chef, Se repite 4 veces el precio de 35</v>
      </c>
      <c r="T1233" s="20" t="str">
        <f t="shared" si="275"/>
        <v>Peru Chef</v>
      </c>
      <c r="U1233" s="20" t="str">
        <f t="shared" si="276"/>
        <v>Uchucuta A la Cena 17.06 (400gr) x 12</v>
      </c>
      <c r="V1233" s="22">
        <f t="shared" si="277"/>
        <v>35</v>
      </c>
      <c r="W1233" t="str">
        <f t="shared" si="278"/>
        <v>Peru Chef 10/09/2025</v>
      </c>
      <c r="Z1233">
        <f t="shared" si="279"/>
        <v>350</v>
      </c>
    </row>
    <row r="1234" spans="1:26" hidden="1" x14ac:dyDescent="0.25">
      <c r="A1234" s="2" t="s">
        <v>272</v>
      </c>
      <c r="B1234" s="11" t="s">
        <v>590</v>
      </c>
      <c r="C1234" s="11" t="s">
        <v>4</v>
      </c>
      <c r="D1234" s="11" t="s">
        <v>5</v>
      </c>
      <c r="E1234" s="11" t="s">
        <v>50</v>
      </c>
      <c r="F1234" s="11" t="s">
        <v>51</v>
      </c>
      <c r="G1234" s="12">
        <v>3</v>
      </c>
      <c r="H1234" s="12">
        <v>35</v>
      </c>
      <c r="I1234" s="12">
        <v>105</v>
      </c>
      <c r="J1234" s="12">
        <v>33918.199999999997</v>
      </c>
      <c r="K1234" s="20">
        <f t="shared" si="266"/>
        <v>7</v>
      </c>
      <c r="L1234" s="20" t="str">
        <f t="shared" si="267"/>
        <v>Se repite 7 veces</v>
      </c>
      <c r="M1234" s="20" t="str">
        <f t="shared" si="268"/>
        <v>Peru Chef-Uchucuta A la Cena 17.06 (400gr) x 12</v>
      </c>
      <c r="N1234" s="20">
        <f t="shared" si="269"/>
        <v>4</v>
      </c>
      <c r="O1234" s="20" t="str">
        <f t="shared" si="270"/>
        <v>Se repite 4 veces en Peru Chef</v>
      </c>
      <c r="P1234" s="20" t="str">
        <f t="shared" si="271"/>
        <v>Peru Chef-Uchucuta A la Cena 17.06 (400gr) x 12-35</v>
      </c>
      <c r="Q1234" s="20">
        <f t="shared" si="272"/>
        <v>4</v>
      </c>
      <c r="R1234" s="20" t="str">
        <f t="shared" si="273"/>
        <v>Se repite 4 veces el precio de 35</v>
      </c>
      <c r="S1234" s="20" t="str">
        <f t="shared" si="274"/>
        <v>El producto Uchucuta A la Cena 17.06 (400gr) x 12 Se repite 4 veces en Peru Chef, Se repite 4 veces el precio de 35</v>
      </c>
      <c r="T1234" s="20" t="str">
        <f t="shared" si="275"/>
        <v>Peru Chef</v>
      </c>
      <c r="U1234" s="20" t="str">
        <f t="shared" si="276"/>
        <v>Uchucuta A la Cena 17.06 (400gr) x 12</v>
      </c>
      <c r="V1234" s="22">
        <f t="shared" si="277"/>
        <v>35</v>
      </c>
      <c r="W1234" t="str">
        <f t="shared" si="278"/>
        <v>Peru Chef 10/28/2025</v>
      </c>
      <c r="Z1234">
        <f t="shared" si="279"/>
        <v>105</v>
      </c>
    </row>
    <row r="1235" spans="1:26" hidden="1" x14ac:dyDescent="0.25">
      <c r="A1235" s="2" t="s">
        <v>272</v>
      </c>
      <c r="B1235" s="11" t="s">
        <v>619</v>
      </c>
      <c r="C1235" s="11" t="s">
        <v>4</v>
      </c>
      <c r="D1235" s="11" t="s">
        <v>620</v>
      </c>
      <c r="E1235" s="11" t="s">
        <v>50</v>
      </c>
      <c r="F1235" s="11" t="s">
        <v>51</v>
      </c>
      <c r="G1235" s="12">
        <v>6</v>
      </c>
      <c r="H1235" s="12">
        <v>35</v>
      </c>
      <c r="I1235" s="12">
        <v>210</v>
      </c>
      <c r="J1235" s="12">
        <v>38312.850000000006</v>
      </c>
      <c r="K1235" s="20">
        <f t="shared" si="266"/>
        <v>7</v>
      </c>
      <c r="L1235" s="20" t="str">
        <f t="shared" si="267"/>
        <v>Se repite 7 veces</v>
      </c>
      <c r="M1235" s="20" t="str">
        <f t="shared" si="268"/>
        <v>Peru Chef-Uchucuta A la Cena 17.06 (400gr) x 12</v>
      </c>
      <c r="N1235" s="20">
        <f t="shared" si="269"/>
        <v>4</v>
      </c>
      <c r="O1235" s="20" t="str">
        <f t="shared" si="270"/>
        <v>Se repite 4 veces en Peru Chef</v>
      </c>
      <c r="P1235" s="20" t="str">
        <f t="shared" si="271"/>
        <v>Peru Chef-Uchucuta A la Cena 17.06 (400gr) x 12-35</v>
      </c>
      <c r="Q1235" s="20">
        <f t="shared" si="272"/>
        <v>4</v>
      </c>
      <c r="R1235" s="20" t="str">
        <f t="shared" si="273"/>
        <v>Se repite 4 veces el precio de 35</v>
      </c>
      <c r="S1235" s="20" t="str">
        <f t="shared" si="274"/>
        <v>El producto Uchucuta A la Cena 17.06 (400gr) x 12 Se repite 4 veces en Peru Chef, Se repite 4 veces el precio de 35</v>
      </c>
      <c r="T1235" s="20" t="str">
        <f t="shared" si="275"/>
        <v>Peru Chef</v>
      </c>
      <c r="U1235" s="20" t="str">
        <f t="shared" si="276"/>
        <v>Uchucuta A la Cena 17.06 (400gr) x 12</v>
      </c>
      <c r="V1235" s="22">
        <f t="shared" si="277"/>
        <v>35</v>
      </c>
      <c r="W1235" t="str">
        <f t="shared" si="278"/>
        <v>Peru Chef 12/09/2025</v>
      </c>
      <c r="Z1235">
        <f t="shared" si="279"/>
        <v>210</v>
      </c>
    </row>
    <row r="1236" spans="1:26" hidden="1" x14ac:dyDescent="0.25">
      <c r="A1236" s="2" t="s">
        <v>664</v>
      </c>
      <c r="B1236" s="11" t="s">
        <v>821</v>
      </c>
      <c r="C1236" s="11" t="s">
        <v>4</v>
      </c>
      <c r="D1236" s="11" t="s">
        <v>822</v>
      </c>
      <c r="E1236" s="11" t="s">
        <v>895</v>
      </c>
      <c r="F1236" s="11" t="s">
        <v>896</v>
      </c>
      <c r="G1236" s="12">
        <v>3</v>
      </c>
      <c r="H1236" s="12">
        <v>12</v>
      </c>
      <c r="I1236" s="12">
        <v>36</v>
      </c>
      <c r="J1236" s="12">
        <v>18324.179999999997</v>
      </c>
      <c r="K1236" s="20">
        <f t="shared" si="266"/>
        <v>4</v>
      </c>
      <c r="L1236" s="20" t="str">
        <f t="shared" si="267"/>
        <v>Se repite 4 veces</v>
      </c>
      <c r="M1236" s="20" t="str">
        <f t="shared" si="268"/>
        <v>Tradiciones Andinas-Universal Bicarbonato de Sodio - Baking soda 100gr x 12</v>
      </c>
      <c r="N1236" s="20">
        <f t="shared" si="269"/>
        <v>4</v>
      </c>
      <c r="O1236" s="20" t="str">
        <f t="shared" si="270"/>
        <v>Se repite 4 veces en Tradiciones Andinas</v>
      </c>
      <c r="P1236" s="20" t="str">
        <f t="shared" si="271"/>
        <v>Tradiciones Andinas-Universal Bicarbonato de Sodio - Baking soda 100gr x 12-12</v>
      </c>
      <c r="Q1236" s="20">
        <f t="shared" si="272"/>
        <v>1</v>
      </c>
      <c r="R1236" s="20" t="str">
        <f t="shared" si="273"/>
        <v>No se repite</v>
      </c>
      <c r="S1236" s="20" t="str">
        <f t="shared" si="274"/>
        <v>El producto Universal Bicarbonato de Sodio - Baking soda 100gr x 12 Se repite 4 veces en Tradiciones Andinas Una vez con el precio 12</v>
      </c>
      <c r="T1236" s="20" t="str">
        <f t="shared" si="275"/>
        <v>Tradiciones Andinas</v>
      </c>
      <c r="U1236" s="20" t="str">
        <f t="shared" si="276"/>
        <v>Universal Bicarbonato de Sodio - Baking soda 100gr x 12</v>
      </c>
      <c r="V1236" s="22">
        <f t="shared" si="277"/>
        <v>12</v>
      </c>
      <c r="W1236" t="str">
        <f t="shared" si="278"/>
        <v>Tradiciones Andinas 04/25/2025</v>
      </c>
      <c r="Z1236">
        <f t="shared" si="279"/>
        <v>36</v>
      </c>
    </row>
    <row r="1237" spans="1:26" hidden="1" x14ac:dyDescent="0.25">
      <c r="A1237" s="2" t="s">
        <v>664</v>
      </c>
      <c r="B1237" s="11" t="s">
        <v>158</v>
      </c>
      <c r="C1237" s="11" t="s">
        <v>4</v>
      </c>
      <c r="D1237" s="11" t="s">
        <v>984</v>
      </c>
      <c r="E1237" s="11" t="s">
        <v>895</v>
      </c>
      <c r="F1237" s="11" t="s">
        <v>1014</v>
      </c>
      <c r="G1237" s="12">
        <v>1</v>
      </c>
      <c r="H1237" s="12">
        <v>12.84</v>
      </c>
      <c r="I1237" s="12">
        <v>12.84</v>
      </c>
      <c r="J1237" s="12">
        <v>40505.099999999991</v>
      </c>
      <c r="K1237" s="20">
        <f t="shared" si="266"/>
        <v>4</v>
      </c>
      <c r="L1237" s="20" t="str">
        <f t="shared" si="267"/>
        <v>Se repite 4 veces</v>
      </c>
      <c r="M1237" s="20" t="str">
        <f t="shared" si="268"/>
        <v>Tradiciones Andinas-Universal Bicarbonato de Sodio - Baking soda 100gr x 12</v>
      </c>
      <c r="N1237" s="20">
        <f t="shared" si="269"/>
        <v>4</v>
      </c>
      <c r="O1237" s="20" t="str">
        <f t="shared" si="270"/>
        <v>Se repite 4 veces en Tradiciones Andinas</v>
      </c>
      <c r="P1237" s="20" t="str">
        <f t="shared" si="271"/>
        <v>Tradiciones Andinas-Universal Bicarbonato de Sodio - Baking soda 100gr x 12-12.84</v>
      </c>
      <c r="Q1237" s="20">
        <f t="shared" si="272"/>
        <v>3</v>
      </c>
      <c r="R1237" s="20" t="str">
        <f t="shared" si="273"/>
        <v>Se repite 3 veces el precio de 12.84</v>
      </c>
      <c r="S1237" s="20" t="str">
        <f t="shared" si="274"/>
        <v>El producto Universal Bicarbonato de Sodio - Baking soda 100gr x 12 Se repite 4 veces en Tradiciones Andinas, Se repite 3 veces el precio de 12.84</v>
      </c>
      <c r="T1237" s="20" t="str">
        <f t="shared" si="275"/>
        <v>Tradiciones Andinas</v>
      </c>
      <c r="U1237" s="20" t="str">
        <f t="shared" si="276"/>
        <v>Universal Bicarbonato de Sodio - Baking soda 100gr x 12</v>
      </c>
      <c r="V1237" s="22">
        <f t="shared" si="277"/>
        <v>12.84</v>
      </c>
      <c r="W1237" t="str">
        <f t="shared" si="278"/>
        <v>Tradiciones Andinas 06/12/2025</v>
      </c>
      <c r="Z1237">
        <f t="shared" si="279"/>
        <v>12.84</v>
      </c>
    </row>
    <row r="1238" spans="1:26" hidden="1" x14ac:dyDescent="0.25">
      <c r="A1238" s="2" t="s">
        <v>664</v>
      </c>
      <c r="B1238" s="11" t="s">
        <v>1029</v>
      </c>
      <c r="C1238" s="11" t="s">
        <v>4</v>
      </c>
      <c r="D1238" s="11" t="s">
        <v>1030</v>
      </c>
      <c r="E1238" s="11" t="s">
        <v>895</v>
      </c>
      <c r="F1238" s="11" t="s">
        <v>1014</v>
      </c>
      <c r="G1238" s="12">
        <v>3</v>
      </c>
      <c r="H1238" s="12">
        <v>12.84</v>
      </c>
      <c r="I1238" s="12">
        <v>38.520000000000003</v>
      </c>
      <c r="J1238" s="12">
        <v>45448.549999999996</v>
      </c>
      <c r="K1238" s="20">
        <f t="shared" si="266"/>
        <v>4</v>
      </c>
      <c r="L1238" s="20" t="str">
        <f t="shared" si="267"/>
        <v>Se repite 4 veces</v>
      </c>
      <c r="M1238" s="20" t="str">
        <f t="shared" si="268"/>
        <v>Tradiciones Andinas-Universal Bicarbonato de Sodio - Baking soda 100gr x 12</v>
      </c>
      <c r="N1238" s="20">
        <f t="shared" si="269"/>
        <v>4</v>
      </c>
      <c r="O1238" s="20" t="str">
        <f t="shared" si="270"/>
        <v>Se repite 4 veces en Tradiciones Andinas</v>
      </c>
      <c r="P1238" s="20" t="str">
        <f t="shared" si="271"/>
        <v>Tradiciones Andinas-Universal Bicarbonato de Sodio - Baking soda 100gr x 12-12.84</v>
      </c>
      <c r="Q1238" s="20">
        <f t="shared" si="272"/>
        <v>3</v>
      </c>
      <c r="R1238" s="20" t="str">
        <f t="shared" si="273"/>
        <v>Se repite 3 veces el precio de 12.84</v>
      </c>
      <c r="S1238" s="20" t="str">
        <f t="shared" si="274"/>
        <v>El producto Universal Bicarbonato de Sodio - Baking soda 100gr x 12 Se repite 4 veces en Tradiciones Andinas, Se repite 3 veces el precio de 12.84</v>
      </c>
      <c r="T1238" s="20" t="str">
        <f t="shared" si="275"/>
        <v>Tradiciones Andinas</v>
      </c>
      <c r="U1238" s="20" t="str">
        <f t="shared" si="276"/>
        <v>Universal Bicarbonato de Sodio - Baking soda 100gr x 12</v>
      </c>
      <c r="V1238" s="22">
        <f t="shared" si="277"/>
        <v>12.84</v>
      </c>
      <c r="W1238" t="str">
        <f t="shared" si="278"/>
        <v>Tradiciones Andinas 06/17/2025</v>
      </c>
      <c r="Z1238">
        <f t="shared" si="279"/>
        <v>38.519999999999996</v>
      </c>
    </row>
    <row r="1239" spans="1:26" hidden="1" x14ac:dyDescent="0.25">
      <c r="A1239" s="2" t="s">
        <v>664</v>
      </c>
      <c r="B1239" s="11" t="s">
        <v>1033</v>
      </c>
      <c r="C1239" s="11" t="s">
        <v>4</v>
      </c>
      <c r="D1239" s="11" t="s">
        <v>1034</v>
      </c>
      <c r="E1239" s="11" t="s">
        <v>895</v>
      </c>
      <c r="F1239" s="11" t="s">
        <v>1014</v>
      </c>
      <c r="G1239" s="12">
        <v>2</v>
      </c>
      <c r="H1239" s="12">
        <v>12.84</v>
      </c>
      <c r="I1239" s="12">
        <v>25.68</v>
      </c>
      <c r="J1239" s="12">
        <v>55201.659999999945</v>
      </c>
      <c r="K1239" s="20">
        <f t="shared" si="266"/>
        <v>4</v>
      </c>
      <c r="L1239" s="20" t="str">
        <f t="shared" si="267"/>
        <v>Se repite 4 veces</v>
      </c>
      <c r="M1239" s="20" t="str">
        <f t="shared" si="268"/>
        <v>Tradiciones Andinas-Universal Bicarbonato de Sodio - Baking soda 100gr x 12</v>
      </c>
      <c r="N1239" s="20">
        <f t="shared" si="269"/>
        <v>4</v>
      </c>
      <c r="O1239" s="20" t="str">
        <f t="shared" si="270"/>
        <v>Se repite 4 veces en Tradiciones Andinas</v>
      </c>
      <c r="P1239" s="20" t="str">
        <f t="shared" si="271"/>
        <v>Tradiciones Andinas-Universal Bicarbonato de Sodio - Baking soda 100gr x 12-12.84</v>
      </c>
      <c r="Q1239" s="20">
        <f t="shared" si="272"/>
        <v>3</v>
      </c>
      <c r="R1239" s="20" t="str">
        <f t="shared" si="273"/>
        <v>Se repite 3 veces el precio de 12.84</v>
      </c>
      <c r="S1239" s="20" t="str">
        <f t="shared" si="274"/>
        <v>El producto Universal Bicarbonato de Sodio - Baking soda 100gr x 12 Se repite 4 veces en Tradiciones Andinas, Se repite 3 veces el precio de 12.84</v>
      </c>
      <c r="T1239" s="20" t="str">
        <f t="shared" si="275"/>
        <v>Tradiciones Andinas</v>
      </c>
      <c r="U1239" s="20" t="str">
        <f t="shared" si="276"/>
        <v>Universal Bicarbonato de Sodio - Baking soda 100gr x 12</v>
      </c>
      <c r="V1239" s="22">
        <f t="shared" si="277"/>
        <v>12.84</v>
      </c>
      <c r="W1239" t="str">
        <f t="shared" si="278"/>
        <v>Tradiciones Andinas 07/03/2025</v>
      </c>
      <c r="Z1239">
        <f t="shared" si="279"/>
        <v>25.68</v>
      </c>
    </row>
    <row r="1240" spans="1:26" hidden="1" x14ac:dyDescent="0.25">
      <c r="A1240" s="2" t="s">
        <v>664</v>
      </c>
      <c r="B1240" s="11" t="s">
        <v>398</v>
      </c>
      <c r="C1240" s="11" t="s">
        <v>4</v>
      </c>
      <c r="D1240" s="11" t="s">
        <v>5</v>
      </c>
      <c r="E1240" s="11" t="s">
        <v>788</v>
      </c>
      <c r="F1240" s="11" t="s">
        <v>789</v>
      </c>
      <c r="G1240" s="12">
        <v>2</v>
      </c>
      <c r="H1240" s="12">
        <v>12</v>
      </c>
      <c r="I1240" s="12">
        <v>24</v>
      </c>
      <c r="J1240" s="12">
        <v>5464.6399999999994</v>
      </c>
      <c r="K1240" s="20">
        <f t="shared" si="266"/>
        <v>6</v>
      </c>
      <c r="L1240" s="20" t="str">
        <f t="shared" si="267"/>
        <v>Se repite 6 veces</v>
      </c>
      <c r="M1240" s="20" t="str">
        <f t="shared" si="268"/>
        <v>Tradiciones Andinas-Universal Chicha Morada / Purple drink instant beverage 120gr x 12</v>
      </c>
      <c r="N1240" s="20">
        <f t="shared" si="269"/>
        <v>6</v>
      </c>
      <c r="O1240" s="20" t="str">
        <f t="shared" si="270"/>
        <v>Se repite 6 veces en Tradiciones Andinas</v>
      </c>
      <c r="P1240" s="20" t="str">
        <f t="shared" si="271"/>
        <v>Tradiciones Andinas-Universal Chicha Morada / Purple drink instant beverage 120gr x 12-12</v>
      </c>
      <c r="Q1240" s="20">
        <f t="shared" si="272"/>
        <v>2</v>
      </c>
      <c r="R1240" s="20" t="str">
        <f t="shared" si="273"/>
        <v>Se repite 2 veces el precio de 12</v>
      </c>
      <c r="S1240" s="20" t="str">
        <f t="shared" si="274"/>
        <v>El producto Universal Chicha Morada / Purple drink instant beverage 120gr x 12 Se repite 6 veces en Tradiciones Andinas, Se repite 2 veces el precio de 12</v>
      </c>
      <c r="T1240" s="20" t="str">
        <f t="shared" si="275"/>
        <v>Tradiciones Andinas</v>
      </c>
      <c r="U1240" s="20" t="str">
        <f t="shared" si="276"/>
        <v>Universal Chicha Morada / Purple drink instant beverage 120gr x 12</v>
      </c>
      <c r="V1240" s="22">
        <f t="shared" si="277"/>
        <v>12</v>
      </c>
      <c r="W1240" t="str">
        <f t="shared" si="278"/>
        <v>Tradiciones Andinas 04/10/2025</v>
      </c>
      <c r="Z1240">
        <f t="shared" si="279"/>
        <v>24</v>
      </c>
    </row>
    <row r="1241" spans="1:26" hidden="1" x14ac:dyDescent="0.25">
      <c r="A1241" s="2" t="s">
        <v>664</v>
      </c>
      <c r="B1241" s="11" t="s">
        <v>821</v>
      </c>
      <c r="C1241" s="11" t="s">
        <v>4</v>
      </c>
      <c r="D1241" s="11" t="s">
        <v>822</v>
      </c>
      <c r="E1241" s="11" t="s">
        <v>788</v>
      </c>
      <c r="F1241" s="11" t="s">
        <v>789</v>
      </c>
      <c r="G1241" s="12">
        <v>12</v>
      </c>
      <c r="H1241" s="12">
        <v>12</v>
      </c>
      <c r="I1241" s="12">
        <v>144</v>
      </c>
      <c r="J1241" s="12">
        <v>17999.179999999997</v>
      </c>
      <c r="K1241" s="20">
        <f t="shared" si="266"/>
        <v>6</v>
      </c>
      <c r="L1241" s="20" t="str">
        <f t="shared" si="267"/>
        <v>Se repite 6 veces</v>
      </c>
      <c r="M1241" s="20" t="str">
        <f t="shared" si="268"/>
        <v>Tradiciones Andinas-Universal Chicha Morada / Purple drink instant beverage 120gr x 12</v>
      </c>
      <c r="N1241" s="20">
        <f t="shared" si="269"/>
        <v>6</v>
      </c>
      <c r="O1241" s="20" t="str">
        <f t="shared" si="270"/>
        <v>Se repite 6 veces en Tradiciones Andinas</v>
      </c>
      <c r="P1241" s="20" t="str">
        <f t="shared" si="271"/>
        <v>Tradiciones Andinas-Universal Chicha Morada / Purple drink instant beverage 120gr x 12-12</v>
      </c>
      <c r="Q1241" s="20">
        <f t="shared" si="272"/>
        <v>2</v>
      </c>
      <c r="R1241" s="20" t="str">
        <f t="shared" si="273"/>
        <v>Se repite 2 veces el precio de 12</v>
      </c>
      <c r="S1241" s="20" t="str">
        <f t="shared" si="274"/>
        <v>El producto Universal Chicha Morada / Purple drink instant beverage 120gr x 12 Se repite 6 veces en Tradiciones Andinas, Se repite 2 veces el precio de 12</v>
      </c>
      <c r="T1241" s="20" t="str">
        <f t="shared" si="275"/>
        <v>Tradiciones Andinas</v>
      </c>
      <c r="U1241" s="20" t="str">
        <f t="shared" si="276"/>
        <v>Universal Chicha Morada / Purple drink instant beverage 120gr x 12</v>
      </c>
      <c r="V1241" s="22">
        <f t="shared" si="277"/>
        <v>12</v>
      </c>
      <c r="W1241" t="str">
        <f t="shared" si="278"/>
        <v>Tradiciones Andinas 04/25/2025</v>
      </c>
      <c r="Z1241">
        <f t="shared" si="279"/>
        <v>144</v>
      </c>
    </row>
    <row r="1242" spans="1:26" hidden="1" x14ac:dyDescent="0.25">
      <c r="A1242" s="2" t="s">
        <v>664</v>
      </c>
      <c r="B1242" s="11" t="s">
        <v>654</v>
      </c>
      <c r="C1242" s="11" t="s">
        <v>4</v>
      </c>
      <c r="D1242" s="11" t="s">
        <v>940</v>
      </c>
      <c r="E1242" s="11" t="s">
        <v>788</v>
      </c>
      <c r="F1242" s="11" t="s">
        <v>968</v>
      </c>
      <c r="G1242" s="12">
        <v>3</v>
      </c>
      <c r="H1242" s="12">
        <v>12.84</v>
      </c>
      <c r="I1242" s="12">
        <v>38.520000000000003</v>
      </c>
      <c r="J1242" s="12">
        <v>30481.459999999995</v>
      </c>
      <c r="K1242" s="20">
        <f t="shared" si="266"/>
        <v>6</v>
      </c>
      <c r="L1242" s="20" t="str">
        <f t="shared" si="267"/>
        <v>Se repite 6 veces</v>
      </c>
      <c r="M1242" s="20" t="str">
        <f t="shared" si="268"/>
        <v>Tradiciones Andinas-Universal Chicha Morada / Purple drink instant beverage 120gr x 12</v>
      </c>
      <c r="N1242" s="20">
        <f t="shared" si="269"/>
        <v>6</v>
      </c>
      <c r="O1242" s="20" t="str">
        <f t="shared" si="270"/>
        <v>Se repite 6 veces en Tradiciones Andinas</v>
      </c>
      <c r="P1242" s="20" t="str">
        <f t="shared" si="271"/>
        <v>Tradiciones Andinas-Universal Chicha Morada / Purple drink instant beverage 120gr x 12-12.84</v>
      </c>
      <c r="Q1242" s="20">
        <f t="shared" si="272"/>
        <v>3</v>
      </c>
      <c r="R1242" s="20" t="str">
        <f t="shared" si="273"/>
        <v>Se repite 3 veces el precio de 12.84</v>
      </c>
      <c r="S1242" s="20" t="str">
        <f t="shared" si="274"/>
        <v>El producto Universal Chicha Morada / Purple drink instant beverage 120gr x 12 Se repite 6 veces en Tradiciones Andinas, Se repite 3 veces el precio de 12.84</v>
      </c>
      <c r="T1242" s="20" t="str">
        <f t="shared" si="275"/>
        <v>Tradiciones Andinas</v>
      </c>
      <c r="U1242" s="20" t="str">
        <f t="shared" si="276"/>
        <v>Universal Chicha Morada / Purple drink instant beverage 120gr x 12</v>
      </c>
      <c r="V1242" s="22">
        <f t="shared" si="277"/>
        <v>12.84</v>
      </c>
      <c r="W1242" t="str">
        <f t="shared" si="278"/>
        <v>Tradiciones Andinas 05/19/2025</v>
      </c>
      <c r="Z1242">
        <f t="shared" si="279"/>
        <v>38.519999999999996</v>
      </c>
    </row>
    <row r="1243" spans="1:26" hidden="1" x14ac:dyDescent="0.25">
      <c r="A1243" s="2" t="s">
        <v>664</v>
      </c>
      <c r="B1243" s="11" t="s">
        <v>1033</v>
      </c>
      <c r="C1243" s="11" t="s">
        <v>4</v>
      </c>
      <c r="D1243" s="11" t="s">
        <v>1034</v>
      </c>
      <c r="E1243" s="11" t="s">
        <v>788</v>
      </c>
      <c r="F1243" s="11" t="s">
        <v>968</v>
      </c>
      <c r="G1243" s="12">
        <v>15</v>
      </c>
      <c r="H1243" s="12">
        <v>12.84</v>
      </c>
      <c r="I1243" s="12">
        <v>192.6</v>
      </c>
      <c r="J1243" s="12">
        <v>54739.179999999949</v>
      </c>
      <c r="K1243" s="20">
        <f t="shared" si="266"/>
        <v>6</v>
      </c>
      <c r="L1243" s="20" t="str">
        <f t="shared" si="267"/>
        <v>Se repite 6 veces</v>
      </c>
      <c r="M1243" s="20" t="str">
        <f t="shared" si="268"/>
        <v>Tradiciones Andinas-Universal Chicha Morada / Purple drink instant beverage 120gr x 12</v>
      </c>
      <c r="N1243" s="20">
        <f t="shared" si="269"/>
        <v>6</v>
      </c>
      <c r="O1243" s="20" t="str">
        <f t="shared" si="270"/>
        <v>Se repite 6 veces en Tradiciones Andinas</v>
      </c>
      <c r="P1243" s="20" t="str">
        <f t="shared" si="271"/>
        <v>Tradiciones Andinas-Universal Chicha Morada / Purple drink instant beverage 120gr x 12-12.84</v>
      </c>
      <c r="Q1243" s="20">
        <f t="shared" si="272"/>
        <v>3</v>
      </c>
      <c r="R1243" s="20" t="str">
        <f t="shared" si="273"/>
        <v>Se repite 3 veces el precio de 12.84</v>
      </c>
      <c r="S1243" s="20" t="str">
        <f t="shared" si="274"/>
        <v>El producto Universal Chicha Morada / Purple drink instant beverage 120gr x 12 Se repite 6 veces en Tradiciones Andinas, Se repite 3 veces el precio de 12.84</v>
      </c>
      <c r="T1243" s="20" t="str">
        <f t="shared" si="275"/>
        <v>Tradiciones Andinas</v>
      </c>
      <c r="U1243" s="20" t="str">
        <f t="shared" si="276"/>
        <v>Universal Chicha Morada / Purple drink instant beverage 120gr x 12</v>
      </c>
      <c r="V1243" s="22">
        <f t="shared" si="277"/>
        <v>12.84</v>
      </c>
      <c r="W1243" t="str">
        <f t="shared" si="278"/>
        <v>Tradiciones Andinas 07/03/2025</v>
      </c>
      <c r="Z1243">
        <f t="shared" si="279"/>
        <v>192.6</v>
      </c>
    </row>
    <row r="1244" spans="1:26" hidden="1" x14ac:dyDescent="0.25">
      <c r="A1244" s="2" t="s">
        <v>664</v>
      </c>
      <c r="B1244" s="11" t="s">
        <v>1125</v>
      </c>
      <c r="C1244" s="11" t="s">
        <v>4</v>
      </c>
      <c r="D1244" s="11" t="s">
        <v>1126</v>
      </c>
      <c r="E1244" s="11" t="s">
        <v>788</v>
      </c>
      <c r="F1244" s="11" t="s">
        <v>968</v>
      </c>
      <c r="G1244" s="12">
        <v>3</v>
      </c>
      <c r="H1244" s="12">
        <v>12.84</v>
      </c>
      <c r="I1244" s="12">
        <v>38.520000000000003</v>
      </c>
      <c r="J1244" s="12">
        <v>70783.330000000016</v>
      </c>
      <c r="K1244" s="20">
        <f t="shared" si="266"/>
        <v>6</v>
      </c>
      <c r="L1244" s="20" t="str">
        <f t="shared" si="267"/>
        <v>Se repite 6 veces</v>
      </c>
      <c r="M1244" s="20" t="str">
        <f t="shared" si="268"/>
        <v>Tradiciones Andinas-Universal Chicha Morada / Purple drink instant beverage 120gr x 12</v>
      </c>
      <c r="N1244" s="20">
        <f t="shared" si="269"/>
        <v>6</v>
      </c>
      <c r="O1244" s="20" t="str">
        <f t="shared" si="270"/>
        <v>Se repite 6 veces en Tradiciones Andinas</v>
      </c>
      <c r="P1244" s="20" t="str">
        <f t="shared" si="271"/>
        <v>Tradiciones Andinas-Universal Chicha Morada / Purple drink instant beverage 120gr x 12-12.84</v>
      </c>
      <c r="Q1244" s="20">
        <f t="shared" si="272"/>
        <v>3</v>
      </c>
      <c r="R1244" s="20" t="str">
        <f t="shared" si="273"/>
        <v>Se repite 3 veces el precio de 12.84</v>
      </c>
      <c r="S1244" s="20" t="str">
        <f t="shared" si="274"/>
        <v>El producto Universal Chicha Morada / Purple drink instant beverage 120gr x 12 Se repite 6 veces en Tradiciones Andinas, Se repite 3 veces el precio de 12.84</v>
      </c>
      <c r="T1244" s="20" t="str">
        <f t="shared" si="275"/>
        <v>Tradiciones Andinas</v>
      </c>
      <c r="U1244" s="20" t="str">
        <f t="shared" si="276"/>
        <v>Universal Chicha Morada / Purple drink instant beverage 120gr x 12</v>
      </c>
      <c r="V1244" s="22">
        <f t="shared" si="277"/>
        <v>12.84</v>
      </c>
      <c r="W1244" t="str">
        <f t="shared" si="278"/>
        <v>Tradiciones Andinas 08/18/2025</v>
      </c>
      <c r="Z1244">
        <f t="shared" si="279"/>
        <v>38.519999999999996</v>
      </c>
    </row>
    <row r="1245" spans="1:26" hidden="1" x14ac:dyDescent="0.25">
      <c r="A1245" s="2" t="s">
        <v>664</v>
      </c>
      <c r="B1245" s="11" t="s">
        <v>1224</v>
      </c>
      <c r="C1245" s="11" t="s">
        <v>4</v>
      </c>
      <c r="D1245" s="11" t="s">
        <v>1225</v>
      </c>
      <c r="E1245" s="11" t="s">
        <v>788</v>
      </c>
      <c r="F1245" s="11" t="s">
        <v>968</v>
      </c>
      <c r="G1245" s="12">
        <v>2</v>
      </c>
      <c r="H1245" s="12">
        <v>12.4</v>
      </c>
      <c r="I1245" s="12">
        <v>24.8</v>
      </c>
      <c r="J1245" s="12">
        <v>118262.11999999991</v>
      </c>
      <c r="K1245" s="20">
        <f t="shared" si="266"/>
        <v>6</v>
      </c>
      <c r="L1245" s="20" t="str">
        <f t="shared" si="267"/>
        <v>Se repite 6 veces</v>
      </c>
      <c r="M1245" s="20" t="str">
        <f t="shared" si="268"/>
        <v>Tradiciones Andinas-Universal Chicha Morada / Purple drink instant beverage 120gr x 12</v>
      </c>
      <c r="N1245" s="20">
        <f t="shared" si="269"/>
        <v>6</v>
      </c>
      <c r="O1245" s="20" t="str">
        <f t="shared" si="270"/>
        <v>Se repite 6 veces en Tradiciones Andinas</v>
      </c>
      <c r="P1245" s="20" t="str">
        <f t="shared" si="271"/>
        <v>Tradiciones Andinas-Universal Chicha Morada / Purple drink instant beverage 120gr x 12-12.4</v>
      </c>
      <c r="Q1245" s="20">
        <f t="shared" si="272"/>
        <v>1</v>
      </c>
      <c r="R1245" s="20" t="str">
        <f t="shared" si="273"/>
        <v>No se repite</v>
      </c>
      <c r="S1245" s="20" t="str">
        <f t="shared" si="274"/>
        <v>El producto Universal Chicha Morada / Purple drink instant beverage 120gr x 12 Se repite 6 veces en Tradiciones Andinas Una vez con el precio 12.4</v>
      </c>
      <c r="T1245" s="20" t="str">
        <f t="shared" si="275"/>
        <v>Tradiciones Andinas</v>
      </c>
      <c r="U1245" s="20" t="str">
        <f t="shared" si="276"/>
        <v>Universal Chicha Morada / Purple drink instant beverage 120gr x 12</v>
      </c>
      <c r="V1245" s="22">
        <f t="shared" si="277"/>
        <v>12.4</v>
      </c>
      <c r="W1245" t="str">
        <f t="shared" si="278"/>
        <v>Tradiciones Andinas 12/03/2025</v>
      </c>
      <c r="Z1245">
        <f t="shared" si="279"/>
        <v>24.8</v>
      </c>
    </row>
    <row r="1246" spans="1:26" hidden="1" x14ac:dyDescent="0.25">
      <c r="A1246" s="2" t="s">
        <v>664</v>
      </c>
      <c r="B1246" s="11" t="s">
        <v>1125</v>
      </c>
      <c r="C1246" s="11" t="s">
        <v>4</v>
      </c>
      <c r="D1246" s="11" t="s">
        <v>1126</v>
      </c>
      <c r="E1246" s="11" t="s">
        <v>1139</v>
      </c>
      <c r="F1246" s="11" t="s">
        <v>1140</v>
      </c>
      <c r="G1246" s="12">
        <v>3</v>
      </c>
      <c r="H1246" s="12">
        <v>9</v>
      </c>
      <c r="I1246" s="12">
        <v>27</v>
      </c>
      <c r="J1246" s="12">
        <v>70852.330000000016</v>
      </c>
      <c r="K1246" s="20">
        <f t="shared" si="266"/>
        <v>1</v>
      </c>
      <c r="L1246" s="20" t="str">
        <f t="shared" si="267"/>
        <v>No se repite</v>
      </c>
      <c r="M1246" s="20" t="str">
        <f t="shared" si="268"/>
        <v>Tradiciones Andinas-Universal Chuño / Potato Starch 180gr x 9</v>
      </c>
      <c r="N1246" s="20">
        <f t="shared" si="269"/>
        <v>1</v>
      </c>
      <c r="O1246" s="20" t="str">
        <f t="shared" si="270"/>
        <v>No se repite en proveedor</v>
      </c>
      <c r="P1246" s="20" t="str">
        <f t="shared" si="271"/>
        <v>Tradiciones Andinas-Universal Chuño / Potato Starch 180gr x 9-9</v>
      </c>
      <c r="Q1246" s="20">
        <f t="shared" si="272"/>
        <v>1</v>
      </c>
      <c r="R1246" s="20" t="str">
        <f t="shared" si="273"/>
        <v>No se repite</v>
      </c>
      <c r="S1246" s="20" t="str">
        <f t="shared" si="274"/>
        <v>El producto Universal Chuño / Potato Starch 180gr x 9 No se repite en proveedor Una vez con el precio 9</v>
      </c>
      <c r="T1246" s="20" t="str">
        <f t="shared" si="275"/>
        <v>Tradiciones Andinas</v>
      </c>
      <c r="U1246" s="20" t="str">
        <f t="shared" si="276"/>
        <v>Universal Chuño / Potato Starch 180gr x 9</v>
      </c>
      <c r="V1246" s="22">
        <f t="shared" si="277"/>
        <v>9</v>
      </c>
      <c r="W1246" t="str">
        <f t="shared" si="278"/>
        <v>Tradiciones Andinas 08/18/2025</v>
      </c>
      <c r="Z1246">
        <f t="shared" si="279"/>
        <v>27</v>
      </c>
    </row>
    <row r="1247" spans="1:26" hidden="1" x14ac:dyDescent="0.25">
      <c r="A1247" s="2" t="s">
        <v>664</v>
      </c>
      <c r="B1247" s="11" t="s">
        <v>398</v>
      </c>
      <c r="C1247" s="11" t="s">
        <v>4</v>
      </c>
      <c r="D1247" s="11" t="s">
        <v>5</v>
      </c>
      <c r="E1247" s="11" t="s">
        <v>786</v>
      </c>
      <c r="F1247" s="11" t="s">
        <v>787</v>
      </c>
      <c r="G1247" s="12">
        <v>1</v>
      </c>
      <c r="H1247" s="12">
        <v>21.36</v>
      </c>
      <c r="I1247" s="12">
        <v>21.36</v>
      </c>
      <c r="J1247" s="12">
        <v>5440.6399999999994</v>
      </c>
      <c r="K1247" s="20">
        <f t="shared" si="266"/>
        <v>8</v>
      </c>
      <c r="L1247" s="20" t="str">
        <f t="shared" si="267"/>
        <v>Se repite 8 veces</v>
      </c>
      <c r="M1247" s="20" t="str">
        <f t="shared" si="268"/>
        <v>Tradiciones Andinas-Universal Esencia de Vainilla / Vanilla Scent 100ml x 24</v>
      </c>
      <c r="N1247" s="20">
        <f t="shared" si="269"/>
        <v>8</v>
      </c>
      <c r="O1247" s="20" t="str">
        <f t="shared" si="270"/>
        <v>Se repite 8 veces en Tradiciones Andinas</v>
      </c>
      <c r="P1247" s="20" t="str">
        <f t="shared" si="271"/>
        <v>Tradiciones Andinas-Universal Esencia de Vainilla / Vanilla Scent 100ml x 24-21.36</v>
      </c>
      <c r="Q1247" s="20">
        <f t="shared" si="272"/>
        <v>2</v>
      </c>
      <c r="R1247" s="20" t="str">
        <f t="shared" si="273"/>
        <v>Se repite 2 veces el precio de 21.36</v>
      </c>
      <c r="S1247" s="20" t="str">
        <f t="shared" si="274"/>
        <v>El producto Universal Esencia de Vainilla / Vanilla Scent 100ml x 24 Se repite 8 veces en Tradiciones Andinas, Se repite 2 veces el precio de 21.36</v>
      </c>
      <c r="T1247" s="20" t="str">
        <f t="shared" si="275"/>
        <v>Tradiciones Andinas</v>
      </c>
      <c r="U1247" s="20" t="str">
        <f t="shared" si="276"/>
        <v>Universal Esencia de Vainilla / Vanilla Scent 100ml x 24</v>
      </c>
      <c r="V1247" s="22">
        <f t="shared" si="277"/>
        <v>21.36</v>
      </c>
      <c r="W1247" t="str">
        <f t="shared" si="278"/>
        <v>Tradiciones Andinas 04/10/2025</v>
      </c>
      <c r="Z1247">
        <f t="shared" si="279"/>
        <v>21.36</v>
      </c>
    </row>
    <row r="1248" spans="1:26" hidden="1" x14ac:dyDescent="0.25">
      <c r="A1248" s="2" t="s">
        <v>664</v>
      </c>
      <c r="B1248" s="11" t="s">
        <v>821</v>
      </c>
      <c r="C1248" s="11" t="s">
        <v>4</v>
      </c>
      <c r="D1248" s="11" t="s">
        <v>822</v>
      </c>
      <c r="E1248" s="11" t="s">
        <v>786</v>
      </c>
      <c r="F1248" s="11" t="s">
        <v>884</v>
      </c>
      <c r="G1248" s="12">
        <v>3</v>
      </c>
      <c r="H1248" s="12">
        <v>21.36</v>
      </c>
      <c r="I1248" s="12">
        <v>64.08</v>
      </c>
      <c r="J1248" s="12">
        <v>17855.179999999997</v>
      </c>
      <c r="K1248" s="20">
        <f t="shared" si="266"/>
        <v>8</v>
      </c>
      <c r="L1248" s="20" t="str">
        <f t="shared" si="267"/>
        <v>Se repite 8 veces</v>
      </c>
      <c r="M1248" s="20" t="str">
        <f t="shared" si="268"/>
        <v>Tradiciones Andinas-Universal Esencia de Vainilla / Vanilla Scent 100ml x 24</v>
      </c>
      <c r="N1248" s="20">
        <f t="shared" si="269"/>
        <v>8</v>
      </c>
      <c r="O1248" s="20" t="str">
        <f t="shared" si="270"/>
        <v>Se repite 8 veces en Tradiciones Andinas</v>
      </c>
      <c r="P1248" s="20" t="str">
        <f t="shared" si="271"/>
        <v>Tradiciones Andinas-Universal Esencia de Vainilla / Vanilla Scent 100ml x 24-21.36</v>
      </c>
      <c r="Q1248" s="20">
        <f t="shared" si="272"/>
        <v>2</v>
      </c>
      <c r="R1248" s="20" t="str">
        <f t="shared" si="273"/>
        <v>Se repite 2 veces el precio de 21.36</v>
      </c>
      <c r="S1248" s="20" t="str">
        <f t="shared" si="274"/>
        <v>El producto Universal Esencia de Vainilla / Vanilla Scent 100ml x 24 Se repite 8 veces en Tradiciones Andinas, Se repite 2 veces el precio de 21.36</v>
      </c>
      <c r="T1248" s="20" t="str">
        <f t="shared" si="275"/>
        <v>Tradiciones Andinas</v>
      </c>
      <c r="U1248" s="20" t="str">
        <f t="shared" si="276"/>
        <v>Universal Esencia de Vainilla / Vanilla Scent 100ml x 24</v>
      </c>
      <c r="V1248" s="22">
        <f t="shared" si="277"/>
        <v>21.36</v>
      </c>
      <c r="W1248" t="str">
        <f t="shared" si="278"/>
        <v>Tradiciones Andinas 04/25/2025</v>
      </c>
      <c r="Z1248">
        <f t="shared" si="279"/>
        <v>64.08</v>
      </c>
    </row>
    <row r="1249" spans="1:26" hidden="1" x14ac:dyDescent="0.25">
      <c r="A1249" s="2" t="s">
        <v>664</v>
      </c>
      <c r="B1249" s="11" t="s">
        <v>654</v>
      </c>
      <c r="C1249" s="11" t="s">
        <v>4</v>
      </c>
      <c r="D1249" s="11" t="s">
        <v>940</v>
      </c>
      <c r="E1249" s="11" t="s">
        <v>786</v>
      </c>
      <c r="F1249" s="11" t="s">
        <v>967</v>
      </c>
      <c r="G1249" s="12">
        <v>4</v>
      </c>
      <c r="H1249" s="12">
        <v>22.86</v>
      </c>
      <c r="I1249" s="12">
        <v>91.44</v>
      </c>
      <c r="J1249" s="12">
        <v>30442.939999999995</v>
      </c>
      <c r="K1249" s="20">
        <f t="shared" si="266"/>
        <v>8</v>
      </c>
      <c r="L1249" s="20" t="str">
        <f t="shared" si="267"/>
        <v>Se repite 8 veces</v>
      </c>
      <c r="M1249" s="20" t="str">
        <f t="shared" si="268"/>
        <v>Tradiciones Andinas-Universal Esencia de Vainilla / Vanilla Scent 100ml x 24</v>
      </c>
      <c r="N1249" s="20">
        <f t="shared" si="269"/>
        <v>8</v>
      </c>
      <c r="O1249" s="20" t="str">
        <f t="shared" si="270"/>
        <v>Se repite 8 veces en Tradiciones Andinas</v>
      </c>
      <c r="P1249" s="20" t="str">
        <f t="shared" si="271"/>
        <v>Tradiciones Andinas-Universal Esencia de Vainilla / Vanilla Scent 100ml x 24-22.86</v>
      </c>
      <c r="Q1249" s="20">
        <f t="shared" si="272"/>
        <v>6</v>
      </c>
      <c r="R1249" s="20" t="str">
        <f t="shared" si="273"/>
        <v>Se repite 6 veces el precio de 22.86</v>
      </c>
      <c r="S1249" s="20" t="str">
        <f t="shared" si="274"/>
        <v>El producto Universal Esencia de Vainilla / Vanilla Scent 100ml x 24 Se repite 8 veces en Tradiciones Andinas, Se repite 6 veces el precio de 22.86</v>
      </c>
      <c r="T1249" s="20" t="str">
        <f t="shared" si="275"/>
        <v>Tradiciones Andinas</v>
      </c>
      <c r="U1249" s="20" t="str">
        <f t="shared" si="276"/>
        <v>Universal Esencia de Vainilla / Vanilla Scent 100ml x 24</v>
      </c>
      <c r="V1249" s="22">
        <f t="shared" si="277"/>
        <v>22.86</v>
      </c>
      <c r="W1249" t="str">
        <f t="shared" si="278"/>
        <v>Tradiciones Andinas 05/19/2025</v>
      </c>
      <c r="Z1249">
        <f t="shared" si="279"/>
        <v>91.44</v>
      </c>
    </row>
    <row r="1250" spans="1:26" hidden="1" x14ac:dyDescent="0.25">
      <c r="A1250" s="2" t="s">
        <v>664</v>
      </c>
      <c r="B1250" s="11" t="s">
        <v>158</v>
      </c>
      <c r="C1250" s="11" t="s">
        <v>4</v>
      </c>
      <c r="D1250" s="11" t="s">
        <v>984</v>
      </c>
      <c r="E1250" s="11" t="s">
        <v>786</v>
      </c>
      <c r="F1250" s="11" t="s">
        <v>967</v>
      </c>
      <c r="G1250" s="12">
        <v>2</v>
      </c>
      <c r="H1250" s="12">
        <v>22.86</v>
      </c>
      <c r="I1250" s="12">
        <v>45.72</v>
      </c>
      <c r="J1250" s="12">
        <v>40424.42</v>
      </c>
      <c r="K1250" s="20">
        <f t="shared" si="266"/>
        <v>8</v>
      </c>
      <c r="L1250" s="20" t="str">
        <f t="shared" si="267"/>
        <v>Se repite 8 veces</v>
      </c>
      <c r="M1250" s="20" t="str">
        <f t="shared" si="268"/>
        <v>Tradiciones Andinas-Universal Esencia de Vainilla / Vanilla Scent 100ml x 24</v>
      </c>
      <c r="N1250" s="20">
        <f t="shared" si="269"/>
        <v>8</v>
      </c>
      <c r="O1250" s="20" t="str">
        <f t="shared" si="270"/>
        <v>Se repite 8 veces en Tradiciones Andinas</v>
      </c>
      <c r="P1250" s="20" t="str">
        <f t="shared" si="271"/>
        <v>Tradiciones Andinas-Universal Esencia de Vainilla / Vanilla Scent 100ml x 24-22.86</v>
      </c>
      <c r="Q1250" s="20">
        <f t="shared" si="272"/>
        <v>6</v>
      </c>
      <c r="R1250" s="20" t="str">
        <f t="shared" si="273"/>
        <v>Se repite 6 veces el precio de 22.86</v>
      </c>
      <c r="S1250" s="20" t="str">
        <f t="shared" si="274"/>
        <v>El producto Universal Esencia de Vainilla / Vanilla Scent 100ml x 24 Se repite 8 veces en Tradiciones Andinas, Se repite 6 veces el precio de 22.86</v>
      </c>
      <c r="T1250" s="20" t="str">
        <f t="shared" si="275"/>
        <v>Tradiciones Andinas</v>
      </c>
      <c r="U1250" s="20" t="str">
        <f t="shared" si="276"/>
        <v>Universal Esencia de Vainilla / Vanilla Scent 100ml x 24</v>
      </c>
      <c r="V1250" s="22">
        <f t="shared" si="277"/>
        <v>22.86</v>
      </c>
      <c r="W1250" t="str">
        <f t="shared" si="278"/>
        <v>Tradiciones Andinas 06/12/2025</v>
      </c>
      <c r="Z1250">
        <f t="shared" si="279"/>
        <v>45.72</v>
      </c>
    </row>
    <row r="1251" spans="1:26" hidden="1" x14ac:dyDescent="0.25">
      <c r="A1251" s="2" t="s">
        <v>664</v>
      </c>
      <c r="B1251" s="11" t="s">
        <v>1033</v>
      </c>
      <c r="C1251" s="11" t="s">
        <v>4</v>
      </c>
      <c r="D1251" s="11" t="s">
        <v>1034</v>
      </c>
      <c r="E1251" s="11" t="s">
        <v>786</v>
      </c>
      <c r="F1251" s="11" t="s">
        <v>967</v>
      </c>
      <c r="G1251" s="12">
        <v>3</v>
      </c>
      <c r="H1251" s="12">
        <v>22.86</v>
      </c>
      <c r="I1251" s="12">
        <v>68.58</v>
      </c>
      <c r="J1251" s="12">
        <v>54546.579999999951</v>
      </c>
      <c r="K1251" s="20">
        <f t="shared" si="266"/>
        <v>8</v>
      </c>
      <c r="L1251" s="20" t="str">
        <f t="shared" si="267"/>
        <v>Se repite 8 veces</v>
      </c>
      <c r="M1251" s="20" t="str">
        <f t="shared" si="268"/>
        <v>Tradiciones Andinas-Universal Esencia de Vainilla / Vanilla Scent 100ml x 24</v>
      </c>
      <c r="N1251" s="20">
        <f t="shared" si="269"/>
        <v>8</v>
      </c>
      <c r="O1251" s="20" t="str">
        <f t="shared" si="270"/>
        <v>Se repite 8 veces en Tradiciones Andinas</v>
      </c>
      <c r="P1251" s="20" t="str">
        <f t="shared" si="271"/>
        <v>Tradiciones Andinas-Universal Esencia de Vainilla / Vanilla Scent 100ml x 24-22.86</v>
      </c>
      <c r="Q1251" s="20">
        <f t="shared" si="272"/>
        <v>6</v>
      </c>
      <c r="R1251" s="20" t="str">
        <f t="shared" si="273"/>
        <v>Se repite 6 veces el precio de 22.86</v>
      </c>
      <c r="S1251" s="20" t="str">
        <f t="shared" si="274"/>
        <v>El producto Universal Esencia de Vainilla / Vanilla Scent 100ml x 24 Se repite 8 veces en Tradiciones Andinas, Se repite 6 veces el precio de 22.86</v>
      </c>
      <c r="T1251" s="20" t="str">
        <f t="shared" si="275"/>
        <v>Tradiciones Andinas</v>
      </c>
      <c r="U1251" s="20" t="str">
        <f t="shared" si="276"/>
        <v>Universal Esencia de Vainilla / Vanilla Scent 100ml x 24</v>
      </c>
      <c r="V1251" s="22">
        <f t="shared" si="277"/>
        <v>22.86</v>
      </c>
      <c r="W1251" t="str">
        <f t="shared" si="278"/>
        <v>Tradiciones Andinas 07/03/2025</v>
      </c>
      <c r="Z1251">
        <f t="shared" si="279"/>
        <v>68.58</v>
      </c>
    </row>
    <row r="1252" spans="1:26" hidden="1" x14ac:dyDescent="0.25">
      <c r="A1252" s="2" t="s">
        <v>664</v>
      </c>
      <c r="B1252" s="11" t="s">
        <v>1153</v>
      </c>
      <c r="C1252" s="11" t="s">
        <v>4</v>
      </c>
      <c r="D1252" s="11" t="s">
        <v>1154</v>
      </c>
      <c r="E1252" s="11" t="s">
        <v>786</v>
      </c>
      <c r="F1252" s="11" t="s">
        <v>967</v>
      </c>
      <c r="G1252" s="12">
        <v>8</v>
      </c>
      <c r="H1252" s="12">
        <v>22.86</v>
      </c>
      <c r="I1252" s="12">
        <v>182.88</v>
      </c>
      <c r="J1252" s="12">
        <v>84124.469999999958</v>
      </c>
      <c r="K1252" s="20">
        <f t="shared" si="266"/>
        <v>8</v>
      </c>
      <c r="L1252" s="20" t="str">
        <f t="shared" si="267"/>
        <v>Se repite 8 veces</v>
      </c>
      <c r="M1252" s="20" t="str">
        <f t="shared" si="268"/>
        <v>Tradiciones Andinas-Universal Esencia de Vainilla / Vanilla Scent 100ml x 24</v>
      </c>
      <c r="N1252" s="20">
        <f t="shared" si="269"/>
        <v>8</v>
      </c>
      <c r="O1252" s="20" t="str">
        <f t="shared" si="270"/>
        <v>Se repite 8 veces en Tradiciones Andinas</v>
      </c>
      <c r="P1252" s="20" t="str">
        <f t="shared" si="271"/>
        <v>Tradiciones Andinas-Universal Esencia de Vainilla / Vanilla Scent 100ml x 24-22.86</v>
      </c>
      <c r="Q1252" s="20">
        <f t="shared" si="272"/>
        <v>6</v>
      </c>
      <c r="R1252" s="20" t="str">
        <f t="shared" si="273"/>
        <v>Se repite 6 veces el precio de 22.86</v>
      </c>
      <c r="S1252" s="20" t="str">
        <f t="shared" si="274"/>
        <v>El producto Universal Esencia de Vainilla / Vanilla Scent 100ml x 24 Se repite 8 veces en Tradiciones Andinas, Se repite 6 veces el precio de 22.86</v>
      </c>
      <c r="T1252" s="20" t="str">
        <f t="shared" si="275"/>
        <v>Tradiciones Andinas</v>
      </c>
      <c r="U1252" s="20" t="str">
        <f t="shared" si="276"/>
        <v>Universal Esencia de Vainilla / Vanilla Scent 100ml x 24</v>
      </c>
      <c r="V1252" s="22">
        <f t="shared" si="277"/>
        <v>22.86</v>
      </c>
      <c r="W1252" t="str">
        <f t="shared" si="278"/>
        <v>Tradiciones Andinas 09/24/2025</v>
      </c>
      <c r="Z1252">
        <f t="shared" si="279"/>
        <v>182.88</v>
      </c>
    </row>
    <row r="1253" spans="1:26" hidden="1" x14ac:dyDescent="0.25">
      <c r="A1253" s="2" t="s">
        <v>664</v>
      </c>
      <c r="B1253" s="11" t="s">
        <v>1193</v>
      </c>
      <c r="C1253" s="11" t="s">
        <v>4</v>
      </c>
      <c r="D1253" s="11" t="s">
        <v>1194</v>
      </c>
      <c r="E1253" s="11" t="s">
        <v>786</v>
      </c>
      <c r="F1253" s="11" t="s">
        <v>967</v>
      </c>
      <c r="G1253" s="12">
        <v>2</v>
      </c>
      <c r="H1253" s="12">
        <v>22.86</v>
      </c>
      <c r="I1253" s="12">
        <v>45.72</v>
      </c>
      <c r="J1253" s="12">
        <v>99717.869999999937</v>
      </c>
      <c r="K1253" s="20">
        <f t="shared" si="266"/>
        <v>8</v>
      </c>
      <c r="L1253" s="20" t="str">
        <f t="shared" si="267"/>
        <v>Se repite 8 veces</v>
      </c>
      <c r="M1253" s="20" t="str">
        <f t="shared" si="268"/>
        <v>Tradiciones Andinas-Universal Esencia de Vainilla / Vanilla Scent 100ml x 24</v>
      </c>
      <c r="N1253" s="20">
        <f t="shared" si="269"/>
        <v>8</v>
      </c>
      <c r="O1253" s="20" t="str">
        <f t="shared" si="270"/>
        <v>Se repite 8 veces en Tradiciones Andinas</v>
      </c>
      <c r="P1253" s="20" t="str">
        <f t="shared" si="271"/>
        <v>Tradiciones Andinas-Universal Esencia de Vainilla / Vanilla Scent 100ml x 24-22.86</v>
      </c>
      <c r="Q1253" s="20">
        <f t="shared" si="272"/>
        <v>6</v>
      </c>
      <c r="R1253" s="20" t="str">
        <f t="shared" si="273"/>
        <v>Se repite 6 veces el precio de 22.86</v>
      </c>
      <c r="S1253" s="20" t="str">
        <f t="shared" si="274"/>
        <v>El producto Universal Esencia de Vainilla / Vanilla Scent 100ml x 24 Se repite 8 veces en Tradiciones Andinas, Se repite 6 veces el precio de 22.86</v>
      </c>
      <c r="T1253" s="20" t="str">
        <f t="shared" si="275"/>
        <v>Tradiciones Andinas</v>
      </c>
      <c r="U1253" s="20" t="str">
        <f t="shared" si="276"/>
        <v>Universal Esencia de Vainilla / Vanilla Scent 100ml x 24</v>
      </c>
      <c r="V1253" s="22">
        <f t="shared" si="277"/>
        <v>22.86</v>
      </c>
      <c r="W1253" t="str">
        <f t="shared" si="278"/>
        <v>Tradiciones Andinas 10/30/2025</v>
      </c>
      <c r="Z1253">
        <f t="shared" si="279"/>
        <v>45.72</v>
      </c>
    </row>
    <row r="1254" spans="1:26" hidden="1" x14ac:dyDescent="0.25">
      <c r="A1254" s="2" t="s">
        <v>664</v>
      </c>
      <c r="B1254" s="11" t="s">
        <v>1201</v>
      </c>
      <c r="C1254" s="11" t="s">
        <v>4</v>
      </c>
      <c r="D1254" s="11" t="s">
        <v>1202</v>
      </c>
      <c r="E1254" s="11" t="s">
        <v>786</v>
      </c>
      <c r="F1254" s="11" t="s">
        <v>967</v>
      </c>
      <c r="G1254" s="12">
        <v>1</v>
      </c>
      <c r="H1254" s="12">
        <v>22.86</v>
      </c>
      <c r="I1254" s="12">
        <v>22.86</v>
      </c>
      <c r="J1254" s="12">
        <v>102491.74999999993</v>
      </c>
      <c r="K1254" s="20">
        <f t="shared" si="266"/>
        <v>8</v>
      </c>
      <c r="L1254" s="20" t="str">
        <f t="shared" si="267"/>
        <v>Se repite 8 veces</v>
      </c>
      <c r="M1254" s="20" t="str">
        <f t="shared" si="268"/>
        <v>Tradiciones Andinas-Universal Esencia de Vainilla / Vanilla Scent 100ml x 24</v>
      </c>
      <c r="N1254" s="20">
        <f t="shared" si="269"/>
        <v>8</v>
      </c>
      <c r="O1254" s="20" t="str">
        <f t="shared" si="270"/>
        <v>Se repite 8 veces en Tradiciones Andinas</v>
      </c>
      <c r="P1254" s="20" t="str">
        <f t="shared" si="271"/>
        <v>Tradiciones Andinas-Universal Esencia de Vainilla / Vanilla Scent 100ml x 24-22.86</v>
      </c>
      <c r="Q1254" s="20">
        <f t="shared" si="272"/>
        <v>6</v>
      </c>
      <c r="R1254" s="20" t="str">
        <f t="shared" si="273"/>
        <v>Se repite 6 veces el precio de 22.86</v>
      </c>
      <c r="S1254" s="20" t="str">
        <f t="shared" si="274"/>
        <v>El producto Universal Esencia de Vainilla / Vanilla Scent 100ml x 24 Se repite 8 veces en Tradiciones Andinas, Se repite 6 veces el precio de 22.86</v>
      </c>
      <c r="T1254" s="20" t="str">
        <f t="shared" si="275"/>
        <v>Tradiciones Andinas</v>
      </c>
      <c r="U1254" s="20" t="str">
        <f t="shared" si="276"/>
        <v>Universal Esencia de Vainilla / Vanilla Scent 100ml x 24</v>
      </c>
      <c r="V1254" s="22">
        <f t="shared" si="277"/>
        <v>22.86</v>
      </c>
      <c r="W1254" t="str">
        <f t="shared" si="278"/>
        <v>Tradiciones Andinas 11/07/2025</v>
      </c>
      <c r="Z1254">
        <f t="shared" si="279"/>
        <v>22.86</v>
      </c>
    </row>
    <row r="1255" spans="1:26" hidden="1" x14ac:dyDescent="0.25">
      <c r="A1255" s="2" t="s">
        <v>664</v>
      </c>
      <c r="B1255" s="11" t="s">
        <v>821</v>
      </c>
      <c r="C1255" s="11" t="s">
        <v>4</v>
      </c>
      <c r="D1255" s="11" t="s">
        <v>822</v>
      </c>
      <c r="E1255" s="11" t="s">
        <v>891</v>
      </c>
      <c r="F1255" s="11" t="s">
        <v>892</v>
      </c>
      <c r="G1255" s="12">
        <v>4</v>
      </c>
      <c r="H1255" s="12">
        <v>13</v>
      </c>
      <c r="I1255" s="12">
        <v>52</v>
      </c>
      <c r="J1255" s="12">
        <v>18252.179999999997</v>
      </c>
      <c r="K1255" s="20">
        <f t="shared" si="266"/>
        <v>4</v>
      </c>
      <c r="L1255" s="20" t="str">
        <f t="shared" si="267"/>
        <v>Se repite 4 veces</v>
      </c>
      <c r="M1255" s="20" t="str">
        <f t="shared" si="268"/>
        <v>Tradiciones Andinas-Universal Flan de Lucuma/ Lucuma Pudin 150gr x 12</v>
      </c>
      <c r="N1255" s="20">
        <f t="shared" si="269"/>
        <v>4</v>
      </c>
      <c r="O1255" s="20" t="str">
        <f t="shared" si="270"/>
        <v>Se repite 4 veces en Tradiciones Andinas</v>
      </c>
      <c r="P1255" s="20" t="str">
        <f t="shared" si="271"/>
        <v>Tradiciones Andinas-Universal Flan de Lucuma/ Lucuma Pudin 150gr x 12-13</v>
      </c>
      <c r="Q1255" s="20">
        <f t="shared" si="272"/>
        <v>1</v>
      </c>
      <c r="R1255" s="20" t="str">
        <f t="shared" si="273"/>
        <v>No se repite</v>
      </c>
      <c r="S1255" s="20" t="str">
        <f t="shared" si="274"/>
        <v>El producto Universal Flan de Lucuma/ Lucuma Pudin 150gr x 12 Se repite 4 veces en Tradiciones Andinas Una vez con el precio 13</v>
      </c>
      <c r="T1255" s="20" t="str">
        <f t="shared" si="275"/>
        <v>Tradiciones Andinas</v>
      </c>
      <c r="U1255" s="20" t="str">
        <f t="shared" si="276"/>
        <v>Universal Flan de Lucuma/ Lucuma Pudin 150gr x 12</v>
      </c>
      <c r="V1255" s="22">
        <f t="shared" si="277"/>
        <v>13</v>
      </c>
      <c r="W1255" t="str">
        <f t="shared" si="278"/>
        <v>Tradiciones Andinas 04/25/2025</v>
      </c>
      <c r="Z1255">
        <f t="shared" si="279"/>
        <v>52</v>
      </c>
    </row>
    <row r="1256" spans="1:26" hidden="1" x14ac:dyDescent="0.25">
      <c r="A1256" s="2" t="s">
        <v>664</v>
      </c>
      <c r="B1256" s="11" t="s">
        <v>654</v>
      </c>
      <c r="C1256" s="11" t="s">
        <v>4</v>
      </c>
      <c r="D1256" s="11" t="s">
        <v>940</v>
      </c>
      <c r="E1256" s="11" t="s">
        <v>891</v>
      </c>
      <c r="F1256" s="11" t="s">
        <v>971</v>
      </c>
      <c r="G1256" s="12">
        <v>4</v>
      </c>
      <c r="H1256" s="12">
        <v>13.91</v>
      </c>
      <c r="I1256" s="12">
        <v>55.64</v>
      </c>
      <c r="J1256" s="12">
        <v>30614.139999999996</v>
      </c>
      <c r="K1256" s="20">
        <f t="shared" si="266"/>
        <v>4</v>
      </c>
      <c r="L1256" s="20" t="str">
        <f t="shared" si="267"/>
        <v>Se repite 4 veces</v>
      </c>
      <c r="M1256" s="20" t="str">
        <f t="shared" si="268"/>
        <v>Tradiciones Andinas-Universal Flan de Lucuma/ Lucuma Pudin 150gr x 12</v>
      </c>
      <c r="N1256" s="20">
        <f t="shared" si="269"/>
        <v>4</v>
      </c>
      <c r="O1256" s="20" t="str">
        <f t="shared" si="270"/>
        <v>Se repite 4 veces en Tradiciones Andinas</v>
      </c>
      <c r="P1256" s="20" t="str">
        <f t="shared" si="271"/>
        <v>Tradiciones Andinas-Universal Flan de Lucuma/ Lucuma Pudin 150gr x 12-13.91</v>
      </c>
      <c r="Q1256" s="20">
        <f t="shared" si="272"/>
        <v>1</v>
      </c>
      <c r="R1256" s="20" t="str">
        <f t="shared" si="273"/>
        <v>No se repite</v>
      </c>
      <c r="S1256" s="20" t="str">
        <f t="shared" si="274"/>
        <v>El producto Universal Flan de Lucuma/ Lucuma Pudin 150gr x 12 Se repite 4 veces en Tradiciones Andinas Una vez con el precio 13.91</v>
      </c>
      <c r="T1256" s="20" t="str">
        <f t="shared" si="275"/>
        <v>Tradiciones Andinas</v>
      </c>
      <c r="U1256" s="20" t="str">
        <f t="shared" si="276"/>
        <v>Universal Flan de Lucuma/ Lucuma Pudin 150gr x 12</v>
      </c>
      <c r="V1256" s="22">
        <f t="shared" si="277"/>
        <v>13.91</v>
      </c>
      <c r="W1256" t="str">
        <f t="shared" si="278"/>
        <v>Tradiciones Andinas 05/19/2025</v>
      </c>
      <c r="Z1256">
        <f t="shared" si="279"/>
        <v>55.64</v>
      </c>
    </row>
    <row r="1257" spans="1:26" hidden="1" x14ac:dyDescent="0.25">
      <c r="A1257" s="2" t="s">
        <v>664</v>
      </c>
      <c r="B1257" s="11" t="s">
        <v>1033</v>
      </c>
      <c r="C1257" s="11" t="s">
        <v>4</v>
      </c>
      <c r="D1257" s="11" t="s">
        <v>1034</v>
      </c>
      <c r="E1257" s="11" t="s">
        <v>891</v>
      </c>
      <c r="F1257" s="11" t="s">
        <v>971</v>
      </c>
      <c r="G1257" s="12">
        <v>5</v>
      </c>
      <c r="H1257" s="12">
        <v>14</v>
      </c>
      <c r="I1257" s="12">
        <v>70</v>
      </c>
      <c r="J1257" s="12">
        <v>55150.299999999945</v>
      </c>
      <c r="K1257" s="20">
        <f t="shared" si="266"/>
        <v>4</v>
      </c>
      <c r="L1257" s="20" t="str">
        <f t="shared" si="267"/>
        <v>Se repite 4 veces</v>
      </c>
      <c r="M1257" s="20" t="str">
        <f t="shared" si="268"/>
        <v>Tradiciones Andinas-Universal Flan de Lucuma/ Lucuma Pudin 150gr x 12</v>
      </c>
      <c r="N1257" s="20">
        <f t="shared" si="269"/>
        <v>4</v>
      </c>
      <c r="O1257" s="20" t="str">
        <f t="shared" si="270"/>
        <v>Se repite 4 veces en Tradiciones Andinas</v>
      </c>
      <c r="P1257" s="20" t="str">
        <f t="shared" si="271"/>
        <v>Tradiciones Andinas-Universal Flan de Lucuma/ Lucuma Pudin 150gr x 12-14</v>
      </c>
      <c r="Q1257" s="20">
        <f t="shared" si="272"/>
        <v>2</v>
      </c>
      <c r="R1257" s="20" t="str">
        <f t="shared" si="273"/>
        <v>Se repite 2 veces el precio de 14</v>
      </c>
      <c r="S1257" s="20" t="str">
        <f t="shared" si="274"/>
        <v>El producto Universal Flan de Lucuma/ Lucuma Pudin 150gr x 12 Se repite 4 veces en Tradiciones Andinas, Se repite 2 veces el precio de 14</v>
      </c>
      <c r="T1257" s="20" t="str">
        <f t="shared" si="275"/>
        <v>Tradiciones Andinas</v>
      </c>
      <c r="U1257" s="20" t="str">
        <f t="shared" si="276"/>
        <v>Universal Flan de Lucuma/ Lucuma Pudin 150gr x 12</v>
      </c>
      <c r="V1257" s="22">
        <f t="shared" si="277"/>
        <v>14</v>
      </c>
      <c r="W1257" t="str">
        <f t="shared" si="278"/>
        <v>Tradiciones Andinas 07/03/2025</v>
      </c>
      <c r="Z1257">
        <f t="shared" si="279"/>
        <v>70</v>
      </c>
    </row>
    <row r="1258" spans="1:26" hidden="1" x14ac:dyDescent="0.25">
      <c r="A1258" s="2" t="s">
        <v>664</v>
      </c>
      <c r="B1258" s="11" t="s">
        <v>1193</v>
      </c>
      <c r="C1258" s="11" t="s">
        <v>4</v>
      </c>
      <c r="D1258" s="11" t="s">
        <v>1194</v>
      </c>
      <c r="E1258" s="11" t="s">
        <v>891</v>
      </c>
      <c r="F1258" s="11" t="s">
        <v>971</v>
      </c>
      <c r="G1258" s="12">
        <v>8</v>
      </c>
      <c r="H1258" s="12">
        <v>14</v>
      </c>
      <c r="I1258" s="12">
        <v>112</v>
      </c>
      <c r="J1258" s="12">
        <v>99941.869999999937</v>
      </c>
      <c r="K1258" s="20">
        <f t="shared" si="266"/>
        <v>4</v>
      </c>
      <c r="L1258" s="20" t="str">
        <f t="shared" si="267"/>
        <v>Se repite 4 veces</v>
      </c>
      <c r="M1258" s="20" t="str">
        <f t="shared" si="268"/>
        <v>Tradiciones Andinas-Universal Flan de Lucuma/ Lucuma Pudin 150gr x 12</v>
      </c>
      <c r="N1258" s="20">
        <f t="shared" si="269"/>
        <v>4</v>
      </c>
      <c r="O1258" s="20" t="str">
        <f t="shared" si="270"/>
        <v>Se repite 4 veces en Tradiciones Andinas</v>
      </c>
      <c r="P1258" s="20" t="str">
        <f t="shared" si="271"/>
        <v>Tradiciones Andinas-Universal Flan de Lucuma/ Lucuma Pudin 150gr x 12-14</v>
      </c>
      <c r="Q1258" s="20">
        <f t="shared" si="272"/>
        <v>2</v>
      </c>
      <c r="R1258" s="20" t="str">
        <f t="shared" si="273"/>
        <v>Se repite 2 veces el precio de 14</v>
      </c>
      <c r="S1258" s="20" t="str">
        <f t="shared" si="274"/>
        <v>El producto Universal Flan de Lucuma/ Lucuma Pudin 150gr x 12 Se repite 4 veces en Tradiciones Andinas, Se repite 2 veces el precio de 14</v>
      </c>
      <c r="T1258" s="20" t="str">
        <f t="shared" si="275"/>
        <v>Tradiciones Andinas</v>
      </c>
      <c r="U1258" s="20" t="str">
        <f t="shared" si="276"/>
        <v>Universal Flan de Lucuma/ Lucuma Pudin 150gr x 12</v>
      </c>
      <c r="V1258" s="22">
        <f t="shared" si="277"/>
        <v>14</v>
      </c>
      <c r="W1258" t="str">
        <f t="shared" si="278"/>
        <v>Tradiciones Andinas 10/30/2025</v>
      </c>
      <c r="Z1258">
        <f t="shared" si="279"/>
        <v>112</v>
      </c>
    </row>
    <row r="1259" spans="1:26" hidden="1" x14ac:dyDescent="0.25">
      <c r="A1259" s="2" t="s">
        <v>664</v>
      </c>
      <c r="B1259" s="11" t="s">
        <v>821</v>
      </c>
      <c r="C1259" s="11" t="s">
        <v>4</v>
      </c>
      <c r="D1259" s="11" t="s">
        <v>822</v>
      </c>
      <c r="E1259" s="11" t="s">
        <v>880</v>
      </c>
      <c r="F1259" s="11" t="s">
        <v>881</v>
      </c>
      <c r="G1259" s="12">
        <v>4</v>
      </c>
      <c r="H1259" s="12">
        <v>13.08</v>
      </c>
      <c r="I1259" s="12">
        <v>52.32</v>
      </c>
      <c r="J1259" s="12">
        <v>17686.459999999995</v>
      </c>
      <c r="K1259" s="20">
        <f t="shared" si="266"/>
        <v>6</v>
      </c>
      <c r="L1259" s="20" t="str">
        <f t="shared" si="267"/>
        <v>Se repite 6 veces</v>
      </c>
      <c r="M1259" s="20" t="str">
        <f t="shared" si="268"/>
        <v>Tradiciones Andinas-Universal Flan de Vainilla / Vanilla Flan 150gr x 12</v>
      </c>
      <c r="N1259" s="20">
        <f t="shared" si="269"/>
        <v>6</v>
      </c>
      <c r="O1259" s="20" t="str">
        <f t="shared" si="270"/>
        <v>Se repite 6 veces en Tradiciones Andinas</v>
      </c>
      <c r="P1259" s="20" t="str">
        <f t="shared" si="271"/>
        <v>Tradiciones Andinas-Universal Flan de Vainilla / Vanilla Flan 150gr x 12-13.08</v>
      </c>
      <c r="Q1259" s="20">
        <f t="shared" si="272"/>
        <v>2</v>
      </c>
      <c r="R1259" s="20" t="str">
        <f t="shared" si="273"/>
        <v>Se repite 2 veces el precio de 13.08</v>
      </c>
      <c r="S1259" s="20" t="str">
        <f t="shared" si="274"/>
        <v>El producto Universal Flan de Vainilla / Vanilla Flan 150gr x 12 Se repite 6 veces en Tradiciones Andinas, Se repite 2 veces el precio de 13.08</v>
      </c>
      <c r="T1259" s="20" t="str">
        <f t="shared" si="275"/>
        <v>Tradiciones Andinas</v>
      </c>
      <c r="U1259" s="20" t="str">
        <f t="shared" si="276"/>
        <v>Universal Flan de Vainilla / Vanilla Flan 150gr x 12</v>
      </c>
      <c r="V1259" s="22">
        <f t="shared" si="277"/>
        <v>13.08</v>
      </c>
      <c r="W1259" t="str">
        <f t="shared" si="278"/>
        <v>Tradiciones Andinas 04/25/2025</v>
      </c>
      <c r="Z1259">
        <f t="shared" si="279"/>
        <v>52.32</v>
      </c>
    </row>
    <row r="1260" spans="1:26" hidden="1" x14ac:dyDescent="0.25">
      <c r="A1260" s="2" t="s">
        <v>664</v>
      </c>
      <c r="B1260" s="11" t="s">
        <v>932</v>
      </c>
      <c r="C1260" s="11" t="s">
        <v>4</v>
      </c>
      <c r="D1260" s="11" t="s">
        <v>933</v>
      </c>
      <c r="E1260" s="11" t="s">
        <v>880</v>
      </c>
      <c r="F1260" s="11" t="s">
        <v>935</v>
      </c>
      <c r="G1260" s="12">
        <v>5</v>
      </c>
      <c r="H1260" s="12">
        <v>13.08</v>
      </c>
      <c r="I1260" s="12">
        <v>65.400000000000006</v>
      </c>
      <c r="J1260" s="12">
        <v>24476.82</v>
      </c>
      <c r="K1260" s="20">
        <f t="shared" si="266"/>
        <v>6</v>
      </c>
      <c r="L1260" s="20" t="str">
        <f t="shared" si="267"/>
        <v>Se repite 6 veces</v>
      </c>
      <c r="M1260" s="20" t="str">
        <f t="shared" si="268"/>
        <v>Tradiciones Andinas-Universal Flan de Vainilla / Vanilla Flan 150gr x 12</v>
      </c>
      <c r="N1260" s="20">
        <f t="shared" si="269"/>
        <v>6</v>
      </c>
      <c r="O1260" s="20" t="str">
        <f t="shared" si="270"/>
        <v>Se repite 6 veces en Tradiciones Andinas</v>
      </c>
      <c r="P1260" s="20" t="str">
        <f t="shared" si="271"/>
        <v>Tradiciones Andinas-Universal Flan de Vainilla / Vanilla Flan 150gr x 12-13.08</v>
      </c>
      <c r="Q1260" s="20">
        <f t="shared" si="272"/>
        <v>2</v>
      </c>
      <c r="R1260" s="20" t="str">
        <f t="shared" si="273"/>
        <v>Se repite 2 veces el precio de 13.08</v>
      </c>
      <c r="S1260" s="20" t="str">
        <f t="shared" si="274"/>
        <v>El producto Universal Flan de Vainilla / Vanilla Flan 150gr x 12 Se repite 6 veces en Tradiciones Andinas, Se repite 2 veces el precio de 13.08</v>
      </c>
      <c r="T1260" s="20" t="str">
        <f t="shared" si="275"/>
        <v>Tradiciones Andinas</v>
      </c>
      <c r="U1260" s="20" t="str">
        <f t="shared" si="276"/>
        <v>Universal Flan de Vainilla / Vanilla Flan 150gr x 12</v>
      </c>
      <c r="V1260" s="22">
        <f t="shared" si="277"/>
        <v>13.08</v>
      </c>
      <c r="W1260" t="str">
        <f t="shared" si="278"/>
        <v>Tradiciones Andinas 04/29/2025</v>
      </c>
      <c r="Z1260">
        <f t="shared" si="279"/>
        <v>65.400000000000006</v>
      </c>
    </row>
    <row r="1261" spans="1:26" hidden="1" x14ac:dyDescent="0.25">
      <c r="A1261" s="2" t="s">
        <v>664</v>
      </c>
      <c r="B1261" s="11" t="s">
        <v>654</v>
      </c>
      <c r="C1261" s="11" t="s">
        <v>4</v>
      </c>
      <c r="D1261" s="11" t="s">
        <v>940</v>
      </c>
      <c r="E1261" s="11" t="s">
        <v>880</v>
      </c>
      <c r="F1261" s="11" t="s">
        <v>935</v>
      </c>
      <c r="G1261" s="12">
        <v>2</v>
      </c>
      <c r="H1261" s="12">
        <v>14</v>
      </c>
      <c r="I1261" s="12">
        <v>28</v>
      </c>
      <c r="J1261" s="12">
        <v>30015.499999999996</v>
      </c>
      <c r="K1261" s="20">
        <f t="shared" si="266"/>
        <v>6</v>
      </c>
      <c r="L1261" s="20" t="str">
        <f t="shared" si="267"/>
        <v>Se repite 6 veces</v>
      </c>
      <c r="M1261" s="20" t="str">
        <f t="shared" si="268"/>
        <v>Tradiciones Andinas-Universal Flan de Vainilla / Vanilla Flan 150gr x 12</v>
      </c>
      <c r="N1261" s="20">
        <f t="shared" si="269"/>
        <v>6</v>
      </c>
      <c r="O1261" s="20" t="str">
        <f t="shared" si="270"/>
        <v>Se repite 6 veces en Tradiciones Andinas</v>
      </c>
      <c r="P1261" s="20" t="str">
        <f t="shared" si="271"/>
        <v>Tradiciones Andinas-Universal Flan de Vainilla / Vanilla Flan 150gr x 12-14</v>
      </c>
      <c r="Q1261" s="20">
        <f t="shared" si="272"/>
        <v>4</v>
      </c>
      <c r="R1261" s="20" t="str">
        <f t="shared" si="273"/>
        <v>Se repite 4 veces el precio de 14</v>
      </c>
      <c r="S1261" s="20" t="str">
        <f t="shared" si="274"/>
        <v>El producto Universal Flan de Vainilla / Vanilla Flan 150gr x 12 Se repite 6 veces en Tradiciones Andinas, Se repite 4 veces el precio de 14</v>
      </c>
      <c r="T1261" s="20" t="str">
        <f t="shared" si="275"/>
        <v>Tradiciones Andinas</v>
      </c>
      <c r="U1261" s="20" t="str">
        <f t="shared" si="276"/>
        <v>Universal Flan de Vainilla / Vanilla Flan 150gr x 12</v>
      </c>
      <c r="V1261" s="22">
        <f t="shared" si="277"/>
        <v>14</v>
      </c>
      <c r="W1261" t="str">
        <f t="shared" si="278"/>
        <v>Tradiciones Andinas 05/19/2025</v>
      </c>
      <c r="Z1261">
        <f t="shared" si="279"/>
        <v>28</v>
      </c>
    </row>
    <row r="1262" spans="1:26" hidden="1" x14ac:dyDescent="0.25">
      <c r="A1262" s="2" t="s">
        <v>664</v>
      </c>
      <c r="B1262" s="11" t="s">
        <v>1033</v>
      </c>
      <c r="C1262" s="11" t="s">
        <v>4</v>
      </c>
      <c r="D1262" s="11" t="s">
        <v>1034</v>
      </c>
      <c r="E1262" s="11" t="s">
        <v>880</v>
      </c>
      <c r="F1262" s="11" t="s">
        <v>935</v>
      </c>
      <c r="G1262" s="12">
        <v>12</v>
      </c>
      <c r="H1262" s="12">
        <v>14</v>
      </c>
      <c r="I1262" s="12">
        <v>168</v>
      </c>
      <c r="J1262" s="12">
        <v>54393.999999999949</v>
      </c>
      <c r="K1262" s="20">
        <f t="shared" si="266"/>
        <v>6</v>
      </c>
      <c r="L1262" s="20" t="str">
        <f t="shared" si="267"/>
        <v>Se repite 6 veces</v>
      </c>
      <c r="M1262" s="20" t="str">
        <f t="shared" si="268"/>
        <v>Tradiciones Andinas-Universal Flan de Vainilla / Vanilla Flan 150gr x 12</v>
      </c>
      <c r="N1262" s="20">
        <f t="shared" si="269"/>
        <v>6</v>
      </c>
      <c r="O1262" s="20" t="str">
        <f t="shared" si="270"/>
        <v>Se repite 6 veces en Tradiciones Andinas</v>
      </c>
      <c r="P1262" s="20" t="str">
        <f t="shared" si="271"/>
        <v>Tradiciones Andinas-Universal Flan de Vainilla / Vanilla Flan 150gr x 12-14</v>
      </c>
      <c r="Q1262" s="20">
        <f t="shared" si="272"/>
        <v>4</v>
      </c>
      <c r="R1262" s="20" t="str">
        <f t="shared" si="273"/>
        <v>Se repite 4 veces el precio de 14</v>
      </c>
      <c r="S1262" s="20" t="str">
        <f t="shared" si="274"/>
        <v>El producto Universal Flan de Vainilla / Vanilla Flan 150gr x 12 Se repite 6 veces en Tradiciones Andinas, Se repite 4 veces el precio de 14</v>
      </c>
      <c r="T1262" s="20" t="str">
        <f t="shared" si="275"/>
        <v>Tradiciones Andinas</v>
      </c>
      <c r="U1262" s="20" t="str">
        <f t="shared" si="276"/>
        <v>Universal Flan de Vainilla / Vanilla Flan 150gr x 12</v>
      </c>
      <c r="V1262" s="22">
        <f t="shared" si="277"/>
        <v>14</v>
      </c>
      <c r="W1262" t="str">
        <f t="shared" si="278"/>
        <v>Tradiciones Andinas 07/03/2025</v>
      </c>
      <c r="Z1262">
        <f t="shared" si="279"/>
        <v>168</v>
      </c>
    </row>
    <row r="1263" spans="1:26" hidden="1" x14ac:dyDescent="0.25">
      <c r="A1263" s="2" t="s">
        <v>664</v>
      </c>
      <c r="B1263" s="11" t="s">
        <v>1193</v>
      </c>
      <c r="C1263" s="11" t="s">
        <v>4</v>
      </c>
      <c r="D1263" s="11" t="s">
        <v>1194</v>
      </c>
      <c r="E1263" s="11" t="s">
        <v>880</v>
      </c>
      <c r="F1263" s="11" t="s">
        <v>935</v>
      </c>
      <c r="G1263" s="12">
        <v>18</v>
      </c>
      <c r="H1263" s="12">
        <v>14</v>
      </c>
      <c r="I1263" s="12">
        <v>252</v>
      </c>
      <c r="J1263" s="12">
        <v>99224.149999999936</v>
      </c>
      <c r="K1263" s="20">
        <f t="shared" si="266"/>
        <v>6</v>
      </c>
      <c r="L1263" s="20" t="str">
        <f t="shared" si="267"/>
        <v>Se repite 6 veces</v>
      </c>
      <c r="M1263" s="20" t="str">
        <f t="shared" si="268"/>
        <v>Tradiciones Andinas-Universal Flan de Vainilla / Vanilla Flan 150gr x 12</v>
      </c>
      <c r="N1263" s="20">
        <f t="shared" si="269"/>
        <v>6</v>
      </c>
      <c r="O1263" s="20" t="str">
        <f t="shared" si="270"/>
        <v>Se repite 6 veces en Tradiciones Andinas</v>
      </c>
      <c r="P1263" s="20" t="str">
        <f t="shared" si="271"/>
        <v>Tradiciones Andinas-Universal Flan de Vainilla / Vanilla Flan 150gr x 12-14</v>
      </c>
      <c r="Q1263" s="20">
        <f t="shared" si="272"/>
        <v>4</v>
      </c>
      <c r="R1263" s="20" t="str">
        <f t="shared" si="273"/>
        <v>Se repite 4 veces el precio de 14</v>
      </c>
      <c r="S1263" s="20" t="str">
        <f t="shared" si="274"/>
        <v>El producto Universal Flan de Vainilla / Vanilla Flan 150gr x 12 Se repite 6 veces en Tradiciones Andinas, Se repite 4 veces el precio de 14</v>
      </c>
      <c r="T1263" s="20" t="str">
        <f t="shared" si="275"/>
        <v>Tradiciones Andinas</v>
      </c>
      <c r="U1263" s="20" t="str">
        <f t="shared" si="276"/>
        <v>Universal Flan de Vainilla / Vanilla Flan 150gr x 12</v>
      </c>
      <c r="V1263" s="22">
        <f t="shared" si="277"/>
        <v>14</v>
      </c>
      <c r="W1263" t="str">
        <f t="shared" si="278"/>
        <v>Tradiciones Andinas 10/30/2025</v>
      </c>
      <c r="Z1263">
        <f t="shared" si="279"/>
        <v>252</v>
      </c>
    </row>
    <row r="1264" spans="1:26" hidden="1" x14ac:dyDescent="0.25">
      <c r="A1264" s="2" t="s">
        <v>664</v>
      </c>
      <c r="B1264" s="11" t="s">
        <v>1207</v>
      </c>
      <c r="C1264" s="11" t="s">
        <v>4</v>
      </c>
      <c r="D1264" s="11" t="s">
        <v>1208</v>
      </c>
      <c r="E1264" s="11" t="s">
        <v>880</v>
      </c>
      <c r="F1264" s="11" t="s">
        <v>935</v>
      </c>
      <c r="G1264" s="12">
        <v>32</v>
      </c>
      <c r="H1264" s="12">
        <v>14</v>
      </c>
      <c r="I1264" s="12">
        <v>448</v>
      </c>
      <c r="J1264" s="12">
        <v>109959.67999999991</v>
      </c>
      <c r="K1264" s="20">
        <f t="shared" si="266"/>
        <v>6</v>
      </c>
      <c r="L1264" s="20" t="str">
        <f t="shared" si="267"/>
        <v>Se repite 6 veces</v>
      </c>
      <c r="M1264" s="20" t="str">
        <f t="shared" si="268"/>
        <v>Tradiciones Andinas-Universal Flan de Vainilla / Vanilla Flan 150gr x 12</v>
      </c>
      <c r="N1264" s="20">
        <f t="shared" si="269"/>
        <v>6</v>
      </c>
      <c r="O1264" s="20" t="str">
        <f t="shared" si="270"/>
        <v>Se repite 6 veces en Tradiciones Andinas</v>
      </c>
      <c r="P1264" s="20" t="str">
        <f t="shared" si="271"/>
        <v>Tradiciones Andinas-Universal Flan de Vainilla / Vanilla Flan 150gr x 12-14</v>
      </c>
      <c r="Q1264" s="20">
        <f t="shared" si="272"/>
        <v>4</v>
      </c>
      <c r="R1264" s="20" t="str">
        <f t="shared" si="273"/>
        <v>Se repite 4 veces el precio de 14</v>
      </c>
      <c r="S1264" s="20" t="str">
        <f t="shared" si="274"/>
        <v>El producto Universal Flan de Vainilla / Vanilla Flan 150gr x 12 Se repite 6 veces en Tradiciones Andinas, Se repite 4 veces el precio de 14</v>
      </c>
      <c r="T1264" s="20" t="str">
        <f t="shared" si="275"/>
        <v>Tradiciones Andinas</v>
      </c>
      <c r="U1264" s="20" t="str">
        <f t="shared" si="276"/>
        <v>Universal Flan de Vainilla / Vanilla Flan 150gr x 12</v>
      </c>
      <c r="V1264" s="22">
        <f t="shared" si="277"/>
        <v>14</v>
      </c>
      <c r="W1264" t="str">
        <f t="shared" si="278"/>
        <v>Tradiciones Andinas 11/28/2025</v>
      </c>
      <c r="Z1264">
        <f t="shared" si="279"/>
        <v>448</v>
      </c>
    </row>
    <row r="1265" spans="1:26" hidden="1" x14ac:dyDescent="0.25">
      <c r="A1265" s="2" t="s">
        <v>664</v>
      </c>
      <c r="B1265" s="11" t="s">
        <v>1033</v>
      </c>
      <c r="C1265" s="11" t="s">
        <v>4</v>
      </c>
      <c r="D1265" s="11" t="s">
        <v>1034</v>
      </c>
      <c r="E1265" s="11" t="s">
        <v>1066</v>
      </c>
      <c r="F1265" s="11" t="s">
        <v>1067</v>
      </c>
      <c r="G1265" s="12">
        <v>3</v>
      </c>
      <c r="H1265" s="12">
        <v>14</v>
      </c>
      <c r="I1265" s="12">
        <v>42</v>
      </c>
      <c r="J1265" s="12">
        <v>54183.999999999949</v>
      </c>
      <c r="K1265" s="20">
        <f t="shared" si="266"/>
        <v>4</v>
      </c>
      <c r="L1265" s="20" t="str">
        <f t="shared" si="267"/>
        <v>Se repite 4 veces</v>
      </c>
      <c r="M1265" s="20" t="str">
        <f t="shared" si="268"/>
        <v>Tradiciones Andinas-Universal Gelatina Limon / Lemon Gelatin 150gr x 12</v>
      </c>
      <c r="N1265" s="20">
        <f t="shared" si="269"/>
        <v>4</v>
      </c>
      <c r="O1265" s="20" t="str">
        <f t="shared" si="270"/>
        <v>Se repite 4 veces en Tradiciones Andinas</v>
      </c>
      <c r="P1265" s="20" t="str">
        <f t="shared" si="271"/>
        <v>Tradiciones Andinas-Universal Gelatina Limon / Lemon Gelatin 150gr x 12-14</v>
      </c>
      <c r="Q1265" s="20">
        <f t="shared" si="272"/>
        <v>4</v>
      </c>
      <c r="R1265" s="20" t="str">
        <f t="shared" si="273"/>
        <v>Se repite 4 veces el precio de 14</v>
      </c>
      <c r="S1265" s="20" t="str">
        <f t="shared" si="274"/>
        <v>El producto Universal Gelatina Limon / Lemon Gelatin 150gr x 12 Se repite 4 veces en Tradiciones Andinas, Se repite 4 veces el precio de 14</v>
      </c>
      <c r="T1265" s="20" t="str">
        <f t="shared" si="275"/>
        <v>Tradiciones Andinas</v>
      </c>
      <c r="U1265" s="20" t="str">
        <f t="shared" si="276"/>
        <v>Universal Gelatina Limon / Lemon Gelatin 150gr x 12</v>
      </c>
      <c r="V1265" s="22">
        <f t="shared" si="277"/>
        <v>14</v>
      </c>
      <c r="W1265" t="str">
        <f t="shared" si="278"/>
        <v>Tradiciones Andinas 07/03/2025</v>
      </c>
      <c r="Z1265">
        <f t="shared" si="279"/>
        <v>42</v>
      </c>
    </row>
    <row r="1266" spans="1:26" hidden="1" x14ac:dyDescent="0.25">
      <c r="A1266" s="2" t="s">
        <v>664</v>
      </c>
      <c r="B1266" s="11" t="s">
        <v>1092</v>
      </c>
      <c r="C1266" s="11" t="s">
        <v>4</v>
      </c>
      <c r="D1266" s="11" t="s">
        <v>1093</v>
      </c>
      <c r="E1266" s="11" t="s">
        <v>1066</v>
      </c>
      <c r="F1266" s="11" t="s">
        <v>1067</v>
      </c>
      <c r="G1266" s="12">
        <v>4</v>
      </c>
      <c r="H1266" s="12">
        <v>14</v>
      </c>
      <c r="I1266" s="12">
        <v>56</v>
      </c>
      <c r="J1266" s="12">
        <v>62348.019999999953</v>
      </c>
      <c r="K1266" s="20">
        <f t="shared" si="266"/>
        <v>4</v>
      </c>
      <c r="L1266" s="20" t="str">
        <f t="shared" si="267"/>
        <v>Se repite 4 veces</v>
      </c>
      <c r="M1266" s="20" t="str">
        <f t="shared" si="268"/>
        <v>Tradiciones Andinas-Universal Gelatina Limon / Lemon Gelatin 150gr x 12</v>
      </c>
      <c r="N1266" s="20">
        <f t="shared" si="269"/>
        <v>4</v>
      </c>
      <c r="O1266" s="20" t="str">
        <f t="shared" si="270"/>
        <v>Se repite 4 veces en Tradiciones Andinas</v>
      </c>
      <c r="P1266" s="20" t="str">
        <f t="shared" si="271"/>
        <v>Tradiciones Andinas-Universal Gelatina Limon / Lemon Gelatin 150gr x 12-14</v>
      </c>
      <c r="Q1266" s="20">
        <f t="shared" si="272"/>
        <v>4</v>
      </c>
      <c r="R1266" s="20" t="str">
        <f t="shared" si="273"/>
        <v>Se repite 4 veces el precio de 14</v>
      </c>
      <c r="S1266" s="20" t="str">
        <f t="shared" si="274"/>
        <v>El producto Universal Gelatina Limon / Lemon Gelatin 150gr x 12 Se repite 4 veces en Tradiciones Andinas, Se repite 4 veces el precio de 14</v>
      </c>
      <c r="T1266" s="20" t="str">
        <f t="shared" si="275"/>
        <v>Tradiciones Andinas</v>
      </c>
      <c r="U1266" s="20" t="str">
        <f t="shared" si="276"/>
        <v>Universal Gelatina Limon / Lemon Gelatin 150gr x 12</v>
      </c>
      <c r="V1266" s="22">
        <f t="shared" si="277"/>
        <v>14</v>
      </c>
      <c r="W1266" t="str">
        <f t="shared" si="278"/>
        <v>Tradiciones Andinas 07/21/2025</v>
      </c>
      <c r="Z1266">
        <f t="shared" si="279"/>
        <v>56</v>
      </c>
    </row>
    <row r="1267" spans="1:26" hidden="1" x14ac:dyDescent="0.25">
      <c r="A1267" s="2" t="s">
        <v>664</v>
      </c>
      <c r="B1267" s="11" t="s">
        <v>1193</v>
      </c>
      <c r="C1267" s="11" t="s">
        <v>4</v>
      </c>
      <c r="D1267" s="11" t="s">
        <v>1194</v>
      </c>
      <c r="E1267" s="11" t="s">
        <v>1066</v>
      </c>
      <c r="F1267" s="11" t="s">
        <v>1067</v>
      </c>
      <c r="G1267" s="12">
        <v>6</v>
      </c>
      <c r="H1267" s="12">
        <v>14</v>
      </c>
      <c r="I1267" s="12">
        <v>84</v>
      </c>
      <c r="J1267" s="12">
        <v>98888.149999999936</v>
      </c>
      <c r="K1267" s="20">
        <f t="shared" si="266"/>
        <v>4</v>
      </c>
      <c r="L1267" s="20" t="str">
        <f t="shared" si="267"/>
        <v>Se repite 4 veces</v>
      </c>
      <c r="M1267" s="20" t="str">
        <f t="shared" si="268"/>
        <v>Tradiciones Andinas-Universal Gelatina Limon / Lemon Gelatin 150gr x 12</v>
      </c>
      <c r="N1267" s="20">
        <f t="shared" si="269"/>
        <v>4</v>
      </c>
      <c r="O1267" s="20" t="str">
        <f t="shared" si="270"/>
        <v>Se repite 4 veces en Tradiciones Andinas</v>
      </c>
      <c r="P1267" s="20" t="str">
        <f t="shared" si="271"/>
        <v>Tradiciones Andinas-Universal Gelatina Limon / Lemon Gelatin 150gr x 12-14</v>
      </c>
      <c r="Q1267" s="20">
        <f t="shared" si="272"/>
        <v>4</v>
      </c>
      <c r="R1267" s="20" t="str">
        <f t="shared" si="273"/>
        <v>Se repite 4 veces el precio de 14</v>
      </c>
      <c r="S1267" s="20" t="str">
        <f t="shared" si="274"/>
        <v>El producto Universal Gelatina Limon / Lemon Gelatin 150gr x 12 Se repite 4 veces en Tradiciones Andinas, Se repite 4 veces el precio de 14</v>
      </c>
      <c r="T1267" s="20" t="str">
        <f t="shared" si="275"/>
        <v>Tradiciones Andinas</v>
      </c>
      <c r="U1267" s="20" t="str">
        <f t="shared" si="276"/>
        <v>Universal Gelatina Limon / Lemon Gelatin 150gr x 12</v>
      </c>
      <c r="V1267" s="22">
        <f t="shared" si="277"/>
        <v>14</v>
      </c>
      <c r="W1267" t="str">
        <f t="shared" si="278"/>
        <v>Tradiciones Andinas 10/30/2025</v>
      </c>
      <c r="Z1267">
        <f t="shared" si="279"/>
        <v>84</v>
      </c>
    </row>
    <row r="1268" spans="1:26" hidden="1" x14ac:dyDescent="0.25">
      <c r="A1268" s="2" t="s">
        <v>664</v>
      </c>
      <c r="B1268" s="11" t="s">
        <v>1207</v>
      </c>
      <c r="C1268" s="11" t="s">
        <v>4</v>
      </c>
      <c r="D1268" s="11" t="s">
        <v>1208</v>
      </c>
      <c r="E1268" s="11" t="s">
        <v>1066</v>
      </c>
      <c r="F1268" s="11" t="s">
        <v>1067</v>
      </c>
      <c r="G1268" s="12">
        <v>2</v>
      </c>
      <c r="H1268" s="12">
        <v>14</v>
      </c>
      <c r="I1268" s="12">
        <v>28</v>
      </c>
      <c r="J1268" s="12">
        <v>109455.67999999991</v>
      </c>
      <c r="K1268" s="20">
        <f t="shared" si="266"/>
        <v>4</v>
      </c>
      <c r="L1268" s="20" t="str">
        <f t="shared" si="267"/>
        <v>Se repite 4 veces</v>
      </c>
      <c r="M1268" s="20" t="str">
        <f t="shared" si="268"/>
        <v>Tradiciones Andinas-Universal Gelatina Limon / Lemon Gelatin 150gr x 12</v>
      </c>
      <c r="N1268" s="20">
        <f t="shared" si="269"/>
        <v>4</v>
      </c>
      <c r="O1268" s="20" t="str">
        <f t="shared" si="270"/>
        <v>Se repite 4 veces en Tradiciones Andinas</v>
      </c>
      <c r="P1268" s="20" t="str">
        <f t="shared" si="271"/>
        <v>Tradiciones Andinas-Universal Gelatina Limon / Lemon Gelatin 150gr x 12-14</v>
      </c>
      <c r="Q1268" s="20">
        <f t="shared" si="272"/>
        <v>4</v>
      </c>
      <c r="R1268" s="20" t="str">
        <f t="shared" si="273"/>
        <v>Se repite 4 veces el precio de 14</v>
      </c>
      <c r="S1268" s="20" t="str">
        <f t="shared" si="274"/>
        <v>El producto Universal Gelatina Limon / Lemon Gelatin 150gr x 12 Se repite 4 veces en Tradiciones Andinas, Se repite 4 veces el precio de 14</v>
      </c>
      <c r="T1268" s="20" t="str">
        <f t="shared" si="275"/>
        <v>Tradiciones Andinas</v>
      </c>
      <c r="U1268" s="20" t="str">
        <f t="shared" si="276"/>
        <v>Universal Gelatina Limon / Lemon Gelatin 150gr x 12</v>
      </c>
      <c r="V1268" s="22">
        <f t="shared" si="277"/>
        <v>14</v>
      </c>
      <c r="W1268" t="str">
        <f t="shared" si="278"/>
        <v>Tradiciones Andinas 11/28/2025</v>
      </c>
      <c r="Z1268">
        <f t="shared" si="279"/>
        <v>28</v>
      </c>
    </row>
    <row r="1269" spans="1:26" hidden="1" x14ac:dyDescent="0.25">
      <c r="A1269" s="2" t="s">
        <v>664</v>
      </c>
      <c r="B1269" s="11" t="s">
        <v>158</v>
      </c>
      <c r="C1269" s="11" t="s">
        <v>4</v>
      </c>
      <c r="D1269" s="11" t="s">
        <v>984</v>
      </c>
      <c r="E1269" s="11" t="s">
        <v>1010</v>
      </c>
      <c r="F1269" s="11" t="s">
        <v>1011</v>
      </c>
      <c r="G1269" s="12">
        <v>2</v>
      </c>
      <c r="H1269" s="12">
        <v>14</v>
      </c>
      <c r="I1269" s="12">
        <v>28</v>
      </c>
      <c r="J1269" s="12">
        <v>40452.42</v>
      </c>
      <c r="K1269" s="20">
        <f t="shared" si="266"/>
        <v>4</v>
      </c>
      <c r="L1269" s="20" t="str">
        <f t="shared" si="267"/>
        <v>Se repite 4 veces</v>
      </c>
      <c r="M1269" s="20" t="str">
        <f t="shared" si="268"/>
        <v>Tradiciones Andinas-Universal Gelatina sin Sabor (Colapiz)</v>
      </c>
      <c r="N1269" s="20">
        <f t="shared" si="269"/>
        <v>4</v>
      </c>
      <c r="O1269" s="20" t="str">
        <f t="shared" si="270"/>
        <v>Se repite 4 veces en Tradiciones Andinas</v>
      </c>
      <c r="P1269" s="20" t="str">
        <f t="shared" si="271"/>
        <v>Tradiciones Andinas-Universal Gelatina sin Sabor (Colapiz)-14</v>
      </c>
      <c r="Q1269" s="20">
        <f t="shared" si="272"/>
        <v>4</v>
      </c>
      <c r="R1269" s="20" t="str">
        <f t="shared" si="273"/>
        <v>Se repite 4 veces el precio de 14</v>
      </c>
      <c r="S1269" s="20" t="str">
        <f t="shared" si="274"/>
        <v>El producto Universal Gelatina sin Sabor (Colapiz) Se repite 4 veces en Tradiciones Andinas, Se repite 4 veces el precio de 14</v>
      </c>
      <c r="T1269" s="20" t="str">
        <f t="shared" si="275"/>
        <v>Tradiciones Andinas</v>
      </c>
      <c r="U1269" s="20" t="str">
        <f t="shared" si="276"/>
        <v>Universal Gelatina sin Sabor (Colapiz)</v>
      </c>
      <c r="V1269" s="22">
        <f t="shared" si="277"/>
        <v>14</v>
      </c>
      <c r="W1269" t="str">
        <f t="shared" si="278"/>
        <v>Tradiciones Andinas 06/12/2025</v>
      </c>
      <c r="Z1269">
        <f t="shared" si="279"/>
        <v>28</v>
      </c>
    </row>
    <row r="1270" spans="1:26" hidden="1" x14ac:dyDescent="0.25">
      <c r="A1270" s="2" t="s">
        <v>664</v>
      </c>
      <c r="B1270" s="11" t="s">
        <v>1033</v>
      </c>
      <c r="C1270" s="11" t="s">
        <v>4</v>
      </c>
      <c r="D1270" s="11" t="s">
        <v>1034</v>
      </c>
      <c r="E1270" s="11" t="s">
        <v>1010</v>
      </c>
      <c r="F1270" s="11" t="s">
        <v>1070</v>
      </c>
      <c r="G1270" s="12">
        <v>4</v>
      </c>
      <c r="H1270" s="12">
        <v>14</v>
      </c>
      <c r="I1270" s="12">
        <v>56</v>
      </c>
      <c r="J1270" s="12">
        <v>54795.179999999949</v>
      </c>
      <c r="K1270" s="20">
        <f t="shared" si="266"/>
        <v>4</v>
      </c>
      <c r="L1270" s="20" t="str">
        <f t="shared" si="267"/>
        <v>Se repite 4 veces</v>
      </c>
      <c r="M1270" s="20" t="str">
        <f t="shared" si="268"/>
        <v>Tradiciones Andinas-Universal Gelatina sin Sabor (Colapiz)</v>
      </c>
      <c r="N1270" s="20">
        <f t="shared" si="269"/>
        <v>4</v>
      </c>
      <c r="O1270" s="20" t="str">
        <f t="shared" si="270"/>
        <v>Se repite 4 veces en Tradiciones Andinas</v>
      </c>
      <c r="P1270" s="20" t="str">
        <f t="shared" si="271"/>
        <v>Tradiciones Andinas-Universal Gelatina sin Sabor (Colapiz)-14</v>
      </c>
      <c r="Q1270" s="20">
        <f t="shared" si="272"/>
        <v>4</v>
      </c>
      <c r="R1270" s="20" t="str">
        <f t="shared" si="273"/>
        <v>Se repite 4 veces el precio de 14</v>
      </c>
      <c r="S1270" s="20" t="str">
        <f t="shared" si="274"/>
        <v>El producto Universal Gelatina sin Sabor (Colapiz) Se repite 4 veces en Tradiciones Andinas, Se repite 4 veces el precio de 14</v>
      </c>
      <c r="T1270" s="20" t="str">
        <f t="shared" si="275"/>
        <v>Tradiciones Andinas</v>
      </c>
      <c r="U1270" s="20" t="str">
        <f t="shared" si="276"/>
        <v>Universal Gelatina sin Sabor (Colapiz)</v>
      </c>
      <c r="V1270" s="22">
        <f t="shared" si="277"/>
        <v>14</v>
      </c>
      <c r="W1270" t="str">
        <f t="shared" si="278"/>
        <v>Tradiciones Andinas 07/03/2025</v>
      </c>
      <c r="Z1270">
        <f t="shared" si="279"/>
        <v>56</v>
      </c>
    </row>
    <row r="1271" spans="1:26" hidden="1" x14ac:dyDescent="0.25">
      <c r="A1271" s="2" t="s">
        <v>664</v>
      </c>
      <c r="B1271" s="11" t="s">
        <v>1125</v>
      </c>
      <c r="C1271" s="11" t="s">
        <v>4</v>
      </c>
      <c r="D1271" s="11" t="s">
        <v>1126</v>
      </c>
      <c r="E1271" s="11" t="s">
        <v>1010</v>
      </c>
      <c r="F1271" s="11" t="s">
        <v>1070</v>
      </c>
      <c r="G1271" s="12">
        <v>3</v>
      </c>
      <c r="H1271" s="12">
        <v>14</v>
      </c>
      <c r="I1271" s="12">
        <v>42</v>
      </c>
      <c r="J1271" s="12">
        <v>70825.330000000016</v>
      </c>
      <c r="K1271" s="20">
        <f t="shared" si="266"/>
        <v>4</v>
      </c>
      <c r="L1271" s="20" t="str">
        <f t="shared" si="267"/>
        <v>Se repite 4 veces</v>
      </c>
      <c r="M1271" s="20" t="str">
        <f t="shared" si="268"/>
        <v>Tradiciones Andinas-Universal Gelatina sin Sabor (Colapiz)</v>
      </c>
      <c r="N1271" s="20">
        <f t="shared" si="269"/>
        <v>4</v>
      </c>
      <c r="O1271" s="20" t="str">
        <f t="shared" si="270"/>
        <v>Se repite 4 veces en Tradiciones Andinas</v>
      </c>
      <c r="P1271" s="20" t="str">
        <f t="shared" si="271"/>
        <v>Tradiciones Andinas-Universal Gelatina sin Sabor (Colapiz)-14</v>
      </c>
      <c r="Q1271" s="20">
        <f t="shared" si="272"/>
        <v>4</v>
      </c>
      <c r="R1271" s="20" t="str">
        <f t="shared" si="273"/>
        <v>Se repite 4 veces el precio de 14</v>
      </c>
      <c r="S1271" s="20" t="str">
        <f t="shared" si="274"/>
        <v>El producto Universal Gelatina sin Sabor (Colapiz) Se repite 4 veces en Tradiciones Andinas, Se repite 4 veces el precio de 14</v>
      </c>
      <c r="T1271" s="20" t="str">
        <f t="shared" si="275"/>
        <v>Tradiciones Andinas</v>
      </c>
      <c r="U1271" s="20" t="str">
        <f t="shared" si="276"/>
        <v>Universal Gelatina sin Sabor (Colapiz)</v>
      </c>
      <c r="V1271" s="22">
        <f t="shared" si="277"/>
        <v>14</v>
      </c>
      <c r="W1271" t="str">
        <f t="shared" si="278"/>
        <v>Tradiciones Andinas 08/18/2025</v>
      </c>
      <c r="Z1271">
        <f t="shared" si="279"/>
        <v>42</v>
      </c>
    </row>
    <row r="1272" spans="1:26" hidden="1" x14ac:dyDescent="0.25">
      <c r="A1272" s="2" t="s">
        <v>664</v>
      </c>
      <c r="B1272" s="11" t="s">
        <v>1193</v>
      </c>
      <c r="C1272" s="11" t="s">
        <v>4</v>
      </c>
      <c r="D1272" s="11" t="s">
        <v>1194</v>
      </c>
      <c r="E1272" s="11" t="s">
        <v>1010</v>
      </c>
      <c r="F1272" s="11" t="s">
        <v>1070</v>
      </c>
      <c r="G1272" s="12">
        <v>8</v>
      </c>
      <c r="H1272" s="12">
        <v>14</v>
      </c>
      <c r="I1272" s="12">
        <v>112</v>
      </c>
      <c r="J1272" s="12">
        <v>99829.869999999937</v>
      </c>
      <c r="K1272" s="20">
        <f t="shared" si="266"/>
        <v>4</v>
      </c>
      <c r="L1272" s="20" t="str">
        <f t="shared" si="267"/>
        <v>Se repite 4 veces</v>
      </c>
      <c r="M1272" s="20" t="str">
        <f t="shared" si="268"/>
        <v>Tradiciones Andinas-Universal Gelatina sin Sabor (Colapiz)</v>
      </c>
      <c r="N1272" s="20">
        <f t="shared" si="269"/>
        <v>4</v>
      </c>
      <c r="O1272" s="20" t="str">
        <f t="shared" si="270"/>
        <v>Se repite 4 veces en Tradiciones Andinas</v>
      </c>
      <c r="P1272" s="20" t="str">
        <f t="shared" si="271"/>
        <v>Tradiciones Andinas-Universal Gelatina sin Sabor (Colapiz)-14</v>
      </c>
      <c r="Q1272" s="20">
        <f t="shared" si="272"/>
        <v>4</v>
      </c>
      <c r="R1272" s="20" t="str">
        <f t="shared" si="273"/>
        <v>Se repite 4 veces el precio de 14</v>
      </c>
      <c r="S1272" s="20" t="str">
        <f t="shared" si="274"/>
        <v>El producto Universal Gelatina sin Sabor (Colapiz) Se repite 4 veces en Tradiciones Andinas, Se repite 4 veces el precio de 14</v>
      </c>
      <c r="T1272" s="20" t="str">
        <f t="shared" si="275"/>
        <v>Tradiciones Andinas</v>
      </c>
      <c r="U1272" s="20" t="str">
        <f t="shared" si="276"/>
        <v>Universal Gelatina sin Sabor (Colapiz)</v>
      </c>
      <c r="V1272" s="22">
        <f t="shared" si="277"/>
        <v>14</v>
      </c>
      <c r="W1272" t="str">
        <f t="shared" si="278"/>
        <v>Tradiciones Andinas 10/30/2025</v>
      </c>
      <c r="Z1272">
        <f t="shared" si="279"/>
        <v>112</v>
      </c>
    </row>
    <row r="1273" spans="1:26" hidden="1" x14ac:dyDescent="0.25">
      <c r="A1273" s="2" t="s">
        <v>664</v>
      </c>
      <c r="B1273" s="11" t="s">
        <v>1033</v>
      </c>
      <c r="C1273" s="11" t="s">
        <v>4</v>
      </c>
      <c r="D1273" s="11" t="s">
        <v>1034</v>
      </c>
      <c r="E1273" s="11" t="s">
        <v>1068</v>
      </c>
      <c r="F1273" s="11" t="s">
        <v>1069</v>
      </c>
      <c r="G1273" s="12">
        <v>3</v>
      </c>
      <c r="H1273" s="12">
        <v>14</v>
      </c>
      <c r="I1273" s="12">
        <v>42</v>
      </c>
      <c r="J1273" s="12">
        <v>54225.999999999949</v>
      </c>
      <c r="K1273" s="20">
        <f t="shared" si="266"/>
        <v>5</v>
      </c>
      <c r="L1273" s="20" t="str">
        <f t="shared" si="267"/>
        <v>Se repite 5 veces</v>
      </c>
      <c r="M1273" s="20" t="str">
        <f t="shared" si="268"/>
        <v>Tradiciones Andinas-Universal Grape Gelatin / Gelatina Uva</v>
      </c>
      <c r="N1273" s="20">
        <f t="shared" si="269"/>
        <v>5</v>
      </c>
      <c r="O1273" s="20" t="str">
        <f t="shared" si="270"/>
        <v>Se repite 5 veces en Tradiciones Andinas</v>
      </c>
      <c r="P1273" s="20" t="str">
        <f t="shared" si="271"/>
        <v>Tradiciones Andinas-Universal Grape Gelatin / Gelatina Uva-14</v>
      </c>
      <c r="Q1273" s="20">
        <f t="shared" si="272"/>
        <v>5</v>
      </c>
      <c r="R1273" s="20" t="str">
        <f t="shared" si="273"/>
        <v>Se repite 5 veces el precio de 14</v>
      </c>
      <c r="S1273" s="20" t="str">
        <f t="shared" si="274"/>
        <v>El producto Universal Grape Gelatin / Gelatina Uva Se repite 5 veces en Tradiciones Andinas, Se repite 5 veces el precio de 14</v>
      </c>
      <c r="T1273" s="20" t="str">
        <f t="shared" si="275"/>
        <v>Tradiciones Andinas</v>
      </c>
      <c r="U1273" s="20" t="str">
        <f t="shared" si="276"/>
        <v>Universal Grape Gelatin / Gelatina Uva</v>
      </c>
      <c r="V1273" s="22">
        <f t="shared" si="277"/>
        <v>14</v>
      </c>
      <c r="W1273" t="str">
        <f t="shared" si="278"/>
        <v>Tradiciones Andinas 07/03/2025</v>
      </c>
      <c r="Z1273">
        <f t="shared" si="279"/>
        <v>42</v>
      </c>
    </row>
    <row r="1274" spans="1:26" hidden="1" x14ac:dyDescent="0.25">
      <c r="A1274" s="2" t="s">
        <v>664</v>
      </c>
      <c r="B1274" s="11" t="s">
        <v>1092</v>
      </c>
      <c r="C1274" s="11" t="s">
        <v>4</v>
      </c>
      <c r="D1274" s="11" t="s">
        <v>1093</v>
      </c>
      <c r="E1274" s="11" t="s">
        <v>1068</v>
      </c>
      <c r="F1274" s="11" t="s">
        <v>1069</v>
      </c>
      <c r="G1274" s="12">
        <v>4</v>
      </c>
      <c r="H1274" s="12">
        <v>14</v>
      </c>
      <c r="I1274" s="12">
        <v>56</v>
      </c>
      <c r="J1274" s="12">
        <v>62404.019999999953</v>
      </c>
      <c r="K1274" s="20">
        <f t="shared" si="266"/>
        <v>5</v>
      </c>
      <c r="L1274" s="20" t="str">
        <f t="shared" si="267"/>
        <v>Se repite 5 veces</v>
      </c>
      <c r="M1274" s="20" t="str">
        <f t="shared" si="268"/>
        <v>Tradiciones Andinas-Universal Grape Gelatin / Gelatina Uva</v>
      </c>
      <c r="N1274" s="20">
        <f t="shared" si="269"/>
        <v>5</v>
      </c>
      <c r="O1274" s="20" t="str">
        <f t="shared" si="270"/>
        <v>Se repite 5 veces en Tradiciones Andinas</v>
      </c>
      <c r="P1274" s="20" t="str">
        <f t="shared" si="271"/>
        <v>Tradiciones Andinas-Universal Grape Gelatin / Gelatina Uva-14</v>
      </c>
      <c r="Q1274" s="20">
        <f t="shared" si="272"/>
        <v>5</v>
      </c>
      <c r="R1274" s="20" t="str">
        <f t="shared" si="273"/>
        <v>Se repite 5 veces el precio de 14</v>
      </c>
      <c r="S1274" s="20" t="str">
        <f t="shared" si="274"/>
        <v>El producto Universal Grape Gelatin / Gelatina Uva Se repite 5 veces en Tradiciones Andinas, Se repite 5 veces el precio de 14</v>
      </c>
      <c r="T1274" s="20" t="str">
        <f t="shared" si="275"/>
        <v>Tradiciones Andinas</v>
      </c>
      <c r="U1274" s="20" t="str">
        <f t="shared" si="276"/>
        <v>Universal Grape Gelatin / Gelatina Uva</v>
      </c>
      <c r="V1274" s="22">
        <f t="shared" si="277"/>
        <v>14</v>
      </c>
      <c r="W1274" t="str">
        <f t="shared" si="278"/>
        <v>Tradiciones Andinas 07/21/2025</v>
      </c>
      <c r="Z1274">
        <f t="shared" si="279"/>
        <v>56</v>
      </c>
    </row>
    <row r="1275" spans="1:26" hidden="1" x14ac:dyDescent="0.25">
      <c r="A1275" s="2" t="s">
        <v>664</v>
      </c>
      <c r="B1275" s="11" t="s">
        <v>1125</v>
      </c>
      <c r="C1275" s="11" t="s">
        <v>4</v>
      </c>
      <c r="D1275" s="11" t="s">
        <v>1126</v>
      </c>
      <c r="E1275" s="11" t="s">
        <v>1068</v>
      </c>
      <c r="F1275" s="11" t="s">
        <v>1069</v>
      </c>
      <c r="G1275" s="12">
        <v>3</v>
      </c>
      <c r="H1275" s="12">
        <v>14</v>
      </c>
      <c r="I1275" s="12">
        <v>42</v>
      </c>
      <c r="J1275" s="12">
        <v>70744.810000000012</v>
      </c>
      <c r="K1275" s="20">
        <f t="shared" si="266"/>
        <v>5</v>
      </c>
      <c r="L1275" s="20" t="str">
        <f t="shared" si="267"/>
        <v>Se repite 5 veces</v>
      </c>
      <c r="M1275" s="20" t="str">
        <f t="shared" si="268"/>
        <v>Tradiciones Andinas-Universal Grape Gelatin / Gelatina Uva</v>
      </c>
      <c r="N1275" s="20">
        <f t="shared" si="269"/>
        <v>5</v>
      </c>
      <c r="O1275" s="20" t="str">
        <f t="shared" si="270"/>
        <v>Se repite 5 veces en Tradiciones Andinas</v>
      </c>
      <c r="P1275" s="20" t="str">
        <f t="shared" si="271"/>
        <v>Tradiciones Andinas-Universal Grape Gelatin / Gelatina Uva-14</v>
      </c>
      <c r="Q1275" s="20">
        <f t="shared" si="272"/>
        <v>5</v>
      </c>
      <c r="R1275" s="20" t="str">
        <f t="shared" si="273"/>
        <v>Se repite 5 veces el precio de 14</v>
      </c>
      <c r="S1275" s="20" t="str">
        <f t="shared" si="274"/>
        <v>El producto Universal Grape Gelatin / Gelatina Uva Se repite 5 veces en Tradiciones Andinas, Se repite 5 veces el precio de 14</v>
      </c>
      <c r="T1275" s="20" t="str">
        <f t="shared" si="275"/>
        <v>Tradiciones Andinas</v>
      </c>
      <c r="U1275" s="20" t="str">
        <f t="shared" si="276"/>
        <v>Universal Grape Gelatin / Gelatina Uva</v>
      </c>
      <c r="V1275" s="22">
        <f t="shared" si="277"/>
        <v>14</v>
      </c>
      <c r="W1275" t="str">
        <f t="shared" si="278"/>
        <v>Tradiciones Andinas 08/18/2025</v>
      </c>
      <c r="Z1275">
        <f t="shared" si="279"/>
        <v>42</v>
      </c>
    </row>
    <row r="1276" spans="1:26" hidden="1" x14ac:dyDescent="0.25">
      <c r="A1276" s="2" t="s">
        <v>664</v>
      </c>
      <c r="B1276" s="11" t="s">
        <v>1193</v>
      </c>
      <c r="C1276" s="11" t="s">
        <v>4</v>
      </c>
      <c r="D1276" s="11" t="s">
        <v>1194</v>
      </c>
      <c r="E1276" s="11" t="s">
        <v>1068</v>
      </c>
      <c r="F1276" s="11" t="s">
        <v>1069</v>
      </c>
      <c r="G1276" s="12">
        <v>6</v>
      </c>
      <c r="H1276" s="12">
        <v>14</v>
      </c>
      <c r="I1276" s="12">
        <v>84</v>
      </c>
      <c r="J1276" s="12">
        <v>98972.149999999936</v>
      </c>
      <c r="K1276" s="20">
        <f t="shared" si="266"/>
        <v>5</v>
      </c>
      <c r="L1276" s="20" t="str">
        <f t="shared" si="267"/>
        <v>Se repite 5 veces</v>
      </c>
      <c r="M1276" s="20" t="str">
        <f t="shared" si="268"/>
        <v>Tradiciones Andinas-Universal Grape Gelatin / Gelatina Uva</v>
      </c>
      <c r="N1276" s="20">
        <f t="shared" si="269"/>
        <v>5</v>
      </c>
      <c r="O1276" s="20" t="str">
        <f t="shared" si="270"/>
        <v>Se repite 5 veces en Tradiciones Andinas</v>
      </c>
      <c r="P1276" s="20" t="str">
        <f t="shared" si="271"/>
        <v>Tradiciones Andinas-Universal Grape Gelatin / Gelatina Uva-14</v>
      </c>
      <c r="Q1276" s="20">
        <f t="shared" si="272"/>
        <v>5</v>
      </c>
      <c r="R1276" s="20" t="str">
        <f t="shared" si="273"/>
        <v>Se repite 5 veces el precio de 14</v>
      </c>
      <c r="S1276" s="20" t="str">
        <f t="shared" si="274"/>
        <v>El producto Universal Grape Gelatin / Gelatina Uva Se repite 5 veces en Tradiciones Andinas, Se repite 5 veces el precio de 14</v>
      </c>
      <c r="T1276" s="20" t="str">
        <f t="shared" si="275"/>
        <v>Tradiciones Andinas</v>
      </c>
      <c r="U1276" s="20" t="str">
        <f t="shared" si="276"/>
        <v>Universal Grape Gelatin / Gelatina Uva</v>
      </c>
      <c r="V1276" s="22">
        <f t="shared" si="277"/>
        <v>14</v>
      </c>
      <c r="W1276" t="str">
        <f t="shared" si="278"/>
        <v>Tradiciones Andinas 10/30/2025</v>
      </c>
      <c r="Z1276">
        <f t="shared" si="279"/>
        <v>84</v>
      </c>
    </row>
    <row r="1277" spans="1:26" hidden="1" x14ac:dyDescent="0.25">
      <c r="A1277" s="2" t="s">
        <v>664</v>
      </c>
      <c r="B1277" s="11" t="s">
        <v>1207</v>
      </c>
      <c r="C1277" s="11" t="s">
        <v>4</v>
      </c>
      <c r="D1277" s="11" t="s">
        <v>1208</v>
      </c>
      <c r="E1277" s="11" t="s">
        <v>1068</v>
      </c>
      <c r="F1277" s="11" t="s">
        <v>1069</v>
      </c>
      <c r="G1277" s="12">
        <v>4</v>
      </c>
      <c r="H1277" s="12">
        <v>14</v>
      </c>
      <c r="I1277" s="12">
        <v>56</v>
      </c>
      <c r="J1277" s="12">
        <v>109511.67999999991</v>
      </c>
      <c r="K1277" s="20">
        <f t="shared" si="266"/>
        <v>5</v>
      </c>
      <c r="L1277" s="20" t="str">
        <f t="shared" si="267"/>
        <v>Se repite 5 veces</v>
      </c>
      <c r="M1277" s="20" t="str">
        <f t="shared" si="268"/>
        <v>Tradiciones Andinas-Universal Grape Gelatin / Gelatina Uva</v>
      </c>
      <c r="N1277" s="20">
        <f t="shared" si="269"/>
        <v>5</v>
      </c>
      <c r="O1277" s="20" t="str">
        <f t="shared" si="270"/>
        <v>Se repite 5 veces en Tradiciones Andinas</v>
      </c>
      <c r="P1277" s="20" t="str">
        <f t="shared" si="271"/>
        <v>Tradiciones Andinas-Universal Grape Gelatin / Gelatina Uva-14</v>
      </c>
      <c r="Q1277" s="20">
        <f t="shared" si="272"/>
        <v>5</v>
      </c>
      <c r="R1277" s="20" t="str">
        <f t="shared" si="273"/>
        <v>Se repite 5 veces el precio de 14</v>
      </c>
      <c r="S1277" s="20" t="str">
        <f t="shared" si="274"/>
        <v>El producto Universal Grape Gelatin / Gelatina Uva Se repite 5 veces en Tradiciones Andinas, Se repite 5 veces el precio de 14</v>
      </c>
      <c r="T1277" s="20" t="str">
        <f t="shared" si="275"/>
        <v>Tradiciones Andinas</v>
      </c>
      <c r="U1277" s="20" t="str">
        <f t="shared" si="276"/>
        <v>Universal Grape Gelatin / Gelatina Uva</v>
      </c>
      <c r="V1277" s="22">
        <f t="shared" si="277"/>
        <v>14</v>
      </c>
      <c r="W1277" t="str">
        <f t="shared" si="278"/>
        <v>Tradiciones Andinas 11/28/2025</v>
      </c>
      <c r="Z1277">
        <f t="shared" si="279"/>
        <v>56</v>
      </c>
    </row>
    <row r="1278" spans="1:26" hidden="1" x14ac:dyDescent="0.25">
      <c r="A1278" s="2" t="s">
        <v>664</v>
      </c>
      <c r="B1278" s="11" t="s">
        <v>821</v>
      </c>
      <c r="C1278" s="11" t="s">
        <v>4</v>
      </c>
      <c r="D1278" s="11" t="s">
        <v>822</v>
      </c>
      <c r="E1278" s="11" t="s">
        <v>885</v>
      </c>
      <c r="F1278" s="11" t="s">
        <v>886</v>
      </c>
      <c r="G1278" s="12">
        <v>5</v>
      </c>
      <c r="H1278" s="12">
        <v>9</v>
      </c>
      <c r="I1278" s="12">
        <v>45</v>
      </c>
      <c r="J1278" s="12">
        <v>18044.179999999997</v>
      </c>
      <c r="K1278" s="20">
        <f t="shared" si="266"/>
        <v>4</v>
      </c>
      <c r="L1278" s="20" t="str">
        <f t="shared" si="267"/>
        <v>Se repite 4 veces</v>
      </c>
      <c r="M1278" s="20" t="str">
        <f t="shared" si="268"/>
        <v>Tradiciones Andinas-Universal Maicena 180g x 7</v>
      </c>
      <c r="N1278" s="20">
        <f t="shared" si="269"/>
        <v>4</v>
      </c>
      <c r="O1278" s="20" t="str">
        <f t="shared" si="270"/>
        <v>Se repite 4 veces en Tradiciones Andinas</v>
      </c>
      <c r="P1278" s="20" t="str">
        <f t="shared" si="271"/>
        <v>Tradiciones Andinas-Universal Maicena 180g x 7-9</v>
      </c>
      <c r="Q1278" s="20">
        <f t="shared" si="272"/>
        <v>4</v>
      </c>
      <c r="R1278" s="20" t="str">
        <f t="shared" si="273"/>
        <v>Se repite 4 veces el precio de 9</v>
      </c>
      <c r="S1278" s="20" t="str">
        <f t="shared" si="274"/>
        <v>El producto Universal Maicena 180g x 7 Se repite 4 veces en Tradiciones Andinas, Se repite 4 veces el precio de 9</v>
      </c>
      <c r="T1278" s="20" t="str">
        <f t="shared" si="275"/>
        <v>Tradiciones Andinas</v>
      </c>
      <c r="U1278" s="20" t="str">
        <f t="shared" si="276"/>
        <v>Universal Maicena 180g x 7</v>
      </c>
      <c r="V1278" s="22">
        <f t="shared" si="277"/>
        <v>9</v>
      </c>
      <c r="W1278" t="str">
        <f t="shared" si="278"/>
        <v>Tradiciones Andinas 04/25/2025</v>
      </c>
      <c r="Z1278">
        <f t="shared" si="279"/>
        <v>45</v>
      </c>
    </row>
    <row r="1279" spans="1:26" hidden="1" x14ac:dyDescent="0.25">
      <c r="A1279" s="2" t="s">
        <v>664</v>
      </c>
      <c r="B1279" s="11" t="s">
        <v>158</v>
      </c>
      <c r="C1279" s="11" t="s">
        <v>4</v>
      </c>
      <c r="D1279" s="11" t="s">
        <v>984</v>
      </c>
      <c r="E1279" s="11" t="s">
        <v>885</v>
      </c>
      <c r="F1279" s="11" t="s">
        <v>1012</v>
      </c>
      <c r="G1279" s="12">
        <v>3</v>
      </c>
      <c r="H1279" s="12">
        <v>9</v>
      </c>
      <c r="I1279" s="12">
        <v>27</v>
      </c>
      <c r="J1279" s="12">
        <v>40479.42</v>
      </c>
      <c r="K1279" s="20">
        <f t="shared" si="266"/>
        <v>4</v>
      </c>
      <c r="L1279" s="20" t="str">
        <f t="shared" si="267"/>
        <v>Se repite 4 veces</v>
      </c>
      <c r="M1279" s="20" t="str">
        <f t="shared" si="268"/>
        <v>Tradiciones Andinas-Universal Maicena 180g x 7</v>
      </c>
      <c r="N1279" s="20">
        <f t="shared" si="269"/>
        <v>4</v>
      </c>
      <c r="O1279" s="20" t="str">
        <f t="shared" si="270"/>
        <v>Se repite 4 veces en Tradiciones Andinas</v>
      </c>
      <c r="P1279" s="20" t="str">
        <f t="shared" si="271"/>
        <v>Tradiciones Andinas-Universal Maicena 180g x 7-9</v>
      </c>
      <c r="Q1279" s="20">
        <f t="shared" si="272"/>
        <v>4</v>
      </c>
      <c r="R1279" s="20" t="str">
        <f t="shared" si="273"/>
        <v>Se repite 4 veces el precio de 9</v>
      </c>
      <c r="S1279" s="20" t="str">
        <f t="shared" si="274"/>
        <v>El producto Universal Maicena 180g x 7 Se repite 4 veces en Tradiciones Andinas, Se repite 4 veces el precio de 9</v>
      </c>
      <c r="T1279" s="20" t="str">
        <f t="shared" si="275"/>
        <v>Tradiciones Andinas</v>
      </c>
      <c r="U1279" s="20" t="str">
        <f t="shared" si="276"/>
        <v>Universal Maicena 180g x 7</v>
      </c>
      <c r="V1279" s="22">
        <f t="shared" si="277"/>
        <v>9</v>
      </c>
      <c r="W1279" t="str">
        <f t="shared" si="278"/>
        <v>Tradiciones Andinas 06/12/2025</v>
      </c>
      <c r="Z1279">
        <f t="shared" si="279"/>
        <v>27</v>
      </c>
    </row>
    <row r="1280" spans="1:26" hidden="1" x14ac:dyDescent="0.25">
      <c r="A1280" s="2" t="s">
        <v>664</v>
      </c>
      <c r="B1280" s="11" t="s">
        <v>1033</v>
      </c>
      <c r="C1280" s="11" t="s">
        <v>4</v>
      </c>
      <c r="D1280" s="11" t="s">
        <v>1034</v>
      </c>
      <c r="E1280" s="11" t="s">
        <v>885</v>
      </c>
      <c r="F1280" s="11" t="s">
        <v>1012</v>
      </c>
      <c r="G1280" s="12">
        <v>6</v>
      </c>
      <c r="H1280" s="12">
        <v>9</v>
      </c>
      <c r="I1280" s="12">
        <v>54</v>
      </c>
      <c r="J1280" s="12">
        <v>54849.179999999949</v>
      </c>
      <c r="K1280" s="20">
        <f t="shared" si="266"/>
        <v>4</v>
      </c>
      <c r="L1280" s="20" t="str">
        <f t="shared" si="267"/>
        <v>Se repite 4 veces</v>
      </c>
      <c r="M1280" s="20" t="str">
        <f t="shared" si="268"/>
        <v>Tradiciones Andinas-Universal Maicena 180g x 7</v>
      </c>
      <c r="N1280" s="20">
        <f t="shared" si="269"/>
        <v>4</v>
      </c>
      <c r="O1280" s="20" t="str">
        <f t="shared" si="270"/>
        <v>Se repite 4 veces en Tradiciones Andinas</v>
      </c>
      <c r="P1280" s="20" t="str">
        <f t="shared" si="271"/>
        <v>Tradiciones Andinas-Universal Maicena 180g x 7-9</v>
      </c>
      <c r="Q1280" s="20">
        <f t="shared" si="272"/>
        <v>4</v>
      </c>
      <c r="R1280" s="20" t="str">
        <f t="shared" si="273"/>
        <v>Se repite 4 veces el precio de 9</v>
      </c>
      <c r="S1280" s="20" t="str">
        <f t="shared" si="274"/>
        <v>El producto Universal Maicena 180g x 7 Se repite 4 veces en Tradiciones Andinas, Se repite 4 veces el precio de 9</v>
      </c>
      <c r="T1280" s="20" t="str">
        <f t="shared" si="275"/>
        <v>Tradiciones Andinas</v>
      </c>
      <c r="U1280" s="20" t="str">
        <f t="shared" si="276"/>
        <v>Universal Maicena 180g x 7</v>
      </c>
      <c r="V1280" s="22">
        <f t="shared" si="277"/>
        <v>9</v>
      </c>
      <c r="W1280" t="str">
        <f t="shared" si="278"/>
        <v>Tradiciones Andinas 07/03/2025</v>
      </c>
      <c r="Z1280">
        <f t="shared" si="279"/>
        <v>54</v>
      </c>
    </row>
    <row r="1281" spans="1:26" hidden="1" x14ac:dyDescent="0.25">
      <c r="A1281" s="2" t="s">
        <v>664</v>
      </c>
      <c r="B1281" s="11" t="s">
        <v>1207</v>
      </c>
      <c r="C1281" s="11" t="s">
        <v>4</v>
      </c>
      <c r="D1281" s="11" t="s">
        <v>1208</v>
      </c>
      <c r="E1281" s="11" t="s">
        <v>885</v>
      </c>
      <c r="F1281" s="11" t="s">
        <v>1012</v>
      </c>
      <c r="G1281" s="12">
        <v>3</v>
      </c>
      <c r="H1281" s="12">
        <v>9</v>
      </c>
      <c r="I1281" s="12">
        <v>27</v>
      </c>
      <c r="J1281" s="12">
        <v>109986.67999999991</v>
      </c>
      <c r="K1281" s="20">
        <f t="shared" si="266"/>
        <v>4</v>
      </c>
      <c r="L1281" s="20" t="str">
        <f t="shared" si="267"/>
        <v>Se repite 4 veces</v>
      </c>
      <c r="M1281" s="20" t="str">
        <f t="shared" si="268"/>
        <v>Tradiciones Andinas-Universal Maicena 180g x 7</v>
      </c>
      <c r="N1281" s="20">
        <f t="shared" si="269"/>
        <v>4</v>
      </c>
      <c r="O1281" s="20" t="str">
        <f t="shared" si="270"/>
        <v>Se repite 4 veces en Tradiciones Andinas</v>
      </c>
      <c r="P1281" s="20" t="str">
        <f t="shared" si="271"/>
        <v>Tradiciones Andinas-Universal Maicena 180g x 7-9</v>
      </c>
      <c r="Q1281" s="20">
        <f t="shared" si="272"/>
        <v>4</v>
      </c>
      <c r="R1281" s="20" t="str">
        <f t="shared" si="273"/>
        <v>Se repite 4 veces el precio de 9</v>
      </c>
      <c r="S1281" s="20" t="str">
        <f t="shared" si="274"/>
        <v>El producto Universal Maicena 180g x 7 Se repite 4 veces en Tradiciones Andinas, Se repite 4 veces el precio de 9</v>
      </c>
      <c r="T1281" s="20" t="str">
        <f t="shared" si="275"/>
        <v>Tradiciones Andinas</v>
      </c>
      <c r="U1281" s="20" t="str">
        <f t="shared" si="276"/>
        <v>Universal Maicena 180g x 7</v>
      </c>
      <c r="V1281" s="22">
        <f t="shared" si="277"/>
        <v>9</v>
      </c>
      <c r="W1281" t="str">
        <f t="shared" si="278"/>
        <v>Tradiciones Andinas 11/28/2025</v>
      </c>
      <c r="Z1281">
        <f t="shared" si="279"/>
        <v>27</v>
      </c>
    </row>
    <row r="1282" spans="1:26" hidden="1" x14ac:dyDescent="0.25">
      <c r="A1282" s="2" t="s">
        <v>664</v>
      </c>
      <c r="B1282" s="11" t="s">
        <v>821</v>
      </c>
      <c r="C1282" s="11" t="s">
        <v>4</v>
      </c>
      <c r="D1282" s="11" t="s">
        <v>822</v>
      </c>
      <c r="E1282" s="11" t="s">
        <v>882</v>
      </c>
      <c r="F1282" s="11" t="s">
        <v>883</v>
      </c>
      <c r="G1282" s="12">
        <v>8</v>
      </c>
      <c r="H1282" s="12">
        <v>13.08</v>
      </c>
      <c r="I1282" s="12">
        <v>104.64</v>
      </c>
      <c r="J1282" s="12">
        <v>17791.099999999995</v>
      </c>
      <c r="K1282" s="20">
        <f t="shared" si="266"/>
        <v>5</v>
      </c>
      <c r="L1282" s="20" t="str">
        <f t="shared" si="267"/>
        <v>Se repite 5 veces</v>
      </c>
      <c r="M1282" s="20" t="str">
        <f t="shared" si="268"/>
        <v>Tradiciones Andinas-Universal Mazamorra Morada /Purple Pudin 150gr x 12</v>
      </c>
      <c r="N1282" s="20">
        <f t="shared" si="269"/>
        <v>5</v>
      </c>
      <c r="O1282" s="20" t="str">
        <f t="shared" si="270"/>
        <v>Se repite 5 veces en Tradiciones Andinas</v>
      </c>
      <c r="P1282" s="20" t="str">
        <f t="shared" si="271"/>
        <v>Tradiciones Andinas-Universal Mazamorra Morada /Purple Pudin 150gr x 12-13.08</v>
      </c>
      <c r="Q1282" s="20">
        <f t="shared" si="272"/>
        <v>1</v>
      </c>
      <c r="R1282" s="20" t="str">
        <f t="shared" si="273"/>
        <v>No se repite</v>
      </c>
      <c r="S1282" s="20" t="str">
        <f t="shared" si="274"/>
        <v>El producto Universal Mazamorra Morada /Purple Pudin 150gr x 12 Se repite 5 veces en Tradiciones Andinas Una vez con el precio 13.08</v>
      </c>
      <c r="T1282" s="20" t="str">
        <f t="shared" si="275"/>
        <v>Tradiciones Andinas</v>
      </c>
      <c r="U1282" s="20" t="str">
        <f t="shared" si="276"/>
        <v>Universal Mazamorra Morada /Purple Pudin 150gr x 12</v>
      </c>
      <c r="V1282" s="22">
        <f t="shared" si="277"/>
        <v>13.08</v>
      </c>
      <c r="W1282" t="str">
        <f t="shared" si="278"/>
        <v>Tradiciones Andinas 04/25/2025</v>
      </c>
      <c r="Z1282">
        <f t="shared" si="279"/>
        <v>104.64</v>
      </c>
    </row>
    <row r="1283" spans="1:26" hidden="1" x14ac:dyDescent="0.25">
      <c r="A1283" s="2" t="s">
        <v>664</v>
      </c>
      <c r="B1283" s="11" t="s">
        <v>654</v>
      </c>
      <c r="C1283" s="11" t="s">
        <v>4</v>
      </c>
      <c r="D1283" s="11" t="s">
        <v>940</v>
      </c>
      <c r="E1283" s="11" t="s">
        <v>882</v>
      </c>
      <c r="F1283" s="11" t="s">
        <v>966</v>
      </c>
      <c r="G1283" s="12">
        <v>24</v>
      </c>
      <c r="H1283" s="12">
        <v>14</v>
      </c>
      <c r="I1283" s="12">
        <v>336</v>
      </c>
      <c r="J1283" s="12">
        <v>30351.499999999996</v>
      </c>
      <c r="K1283" s="20">
        <f t="shared" ref="K1283:K1346" si="280">COUNTIF($E$2:$E$1438,E1283)</f>
        <v>5</v>
      </c>
      <c r="L1283" s="20" t="str">
        <f t="shared" ref="L1283:L1346" si="281">IF(K1283&gt;1,_xlfn.CONCAT("Se repite ",K1283," veces"),"No se repite")</f>
        <v>Se repite 5 veces</v>
      </c>
      <c r="M1283" s="20" t="str">
        <f t="shared" ref="M1283:M1346" si="282">_xlfn.CONCAT(A1283,"-",E1283)</f>
        <v>Tradiciones Andinas-Universal Mazamorra Morada /Purple Pudin 150gr x 12</v>
      </c>
      <c r="N1283" s="20">
        <f t="shared" ref="N1283:N1346" si="283">COUNTIF($M$2:$M$1438,M1283)</f>
        <v>5</v>
      </c>
      <c r="O1283" s="20" t="str">
        <f t="shared" ref="O1283:O1346" si="284">IF(N1283&gt;1,_xlfn.CONCAT("Se repite ",N1283," veces en ",A1283),"No se repite en proveedor")</f>
        <v>Se repite 5 veces en Tradiciones Andinas</v>
      </c>
      <c r="P1283" s="20" t="str">
        <f t="shared" ref="P1283:P1346" si="285">_xlfn.CONCAT(A1283,"-",E1283,"-",H1283)</f>
        <v>Tradiciones Andinas-Universal Mazamorra Morada /Purple Pudin 150gr x 12-14</v>
      </c>
      <c r="Q1283" s="20">
        <f t="shared" ref="Q1283:Q1346" si="286">COUNTIF($P$2:$P$1438,P1283)</f>
        <v>4</v>
      </c>
      <c r="R1283" s="20" t="str">
        <f t="shared" ref="R1283:R1346" si="287">IF(Q1283&gt;1,_xlfn.CONCAT("Se repite ",Q1283," veces el precio de ",H1283),"No se repite")</f>
        <v>Se repite 4 veces el precio de 14</v>
      </c>
      <c r="S1283" s="20" t="str">
        <f t="shared" ref="S1283:S1346" si="288">_xlfn.CONCAT("El producto ",E1283," ",O1283,IF(R1283="No se repite",_xlfn.CONCAT(" Una vez con el precio ",H1283),_xlfn.CONCAT(", ",R1283)))</f>
        <v>El producto Universal Mazamorra Morada /Purple Pudin 150gr x 12 Se repite 5 veces en Tradiciones Andinas, Se repite 4 veces el precio de 14</v>
      </c>
      <c r="T1283" s="20" t="str">
        <f t="shared" ref="T1283:T1346" si="289">+A1283</f>
        <v>Tradiciones Andinas</v>
      </c>
      <c r="U1283" s="20" t="str">
        <f t="shared" ref="U1283:U1346" si="290">+E1283</f>
        <v>Universal Mazamorra Morada /Purple Pudin 150gr x 12</v>
      </c>
      <c r="V1283" s="22">
        <f t="shared" ref="V1283:V1346" si="291">+H1283</f>
        <v>14</v>
      </c>
      <c r="W1283" t="str">
        <f t="shared" ref="W1283:W1346" si="292">_xlfn.CONCAT(A1283," ",B1283)</f>
        <v>Tradiciones Andinas 05/19/2025</v>
      </c>
      <c r="Z1283">
        <f t="shared" ref="Z1283:Z1346" si="293">G1283*H1283</f>
        <v>336</v>
      </c>
    </row>
    <row r="1284" spans="1:26" hidden="1" x14ac:dyDescent="0.25">
      <c r="A1284" s="2" t="s">
        <v>664</v>
      </c>
      <c r="B1284" s="11" t="s">
        <v>1033</v>
      </c>
      <c r="C1284" s="11" t="s">
        <v>4</v>
      </c>
      <c r="D1284" s="11" t="s">
        <v>1034</v>
      </c>
      <c r="E1284" s="11" t="s">
        <v>882</v>
      </c>
      <c r="F1284" s="11" t="s">
        <v>966</v>
      </c>
      <c r="G1284" s="12">
        <v>6</v>
      </c>
      <c r="H1284" s="12">
        <v>14</v>
      </c>
      <c r="I1284" s="12">
        <v>84</v>
      </c>
      <c r="J1284" s="12">
        <v>54477.999999999949</v>
      </c>
      <c r="K1284" s="20">
        <f t="shared" si="280"/>
        <v>5</v>
      </c>
      <c r="L1284" s="20" t="str">
        <f t="shared" si="281"/>
        <v>Se repite 5 veces</v>
      </c>
      <c r="M1284" s="20" t="str">
        <f t="shared" si="282"/>
        <v>Tradiciones Andinas-Universal Mazamorra Morada /Purple Pudin 150gr x 12</v>
      </c>
      <c r="N1284" s="20">
        <f t="shared" si="283"/>
        <v>5</v>
      </c>
      <c r="O1284" s="20" t="str">
        <f t="shared" si="284"/>
        <v>Se repite 5 veces en Tradiciones Andinas</v>
      </c>
      <c r="P1284" s="20" t="str">
        <f t="shared" si="285"/>
        <v>Tradiciones Andinas-Universal Mazamorra Morada /Purple Pudin 150gr x 12-14</v>
      </c>
      <c r="Q1284" s="20">
        <f t="shared" si="286"/>
        <v>4</v>
      </c>
      <c r="R1284" s="20" t="str">
        <f t="shared" si="287"/>
        <v>Se repite 4 veces el precio de 14</v>
      </c>
      <c r="S1284" s="20" t="str">
        <f t="shared" si="288"/>
        <v>El producto Universal Mazamorra Morada /Purple Pudin 150gr x 12 Se repite 5 veces en Tradiciones Andinas, Se repite 4 veces el precio de 14</v>
      </c>
      <c r="T1284" s="20" t="str">
        <f t="shared" si="289"/>
        <v>Tradiciones Andinas</v>
      </c>
      <c r="U1284" s="20" t="str">
        <f t="shared" si="290"/>
        <v>Universal Mazamorra Morada /Purple Pudin 150gr x 12</v>
      </c>
      <c r="V1284" s="22">
        <f t="shared" si="291"/>
        <v>14</v>
      </c>
      <c r="W1284" t="str">
        <f t="shared" si="292"/>
        <v>Tradiciones Andinas 07/03/2025</v>
      </c>
      <c r="Z1284">
        <f t="shared" si="293"/>
        <v>84</v>
      </c>
    </row>
    <row r="1285" spans="1:26" hidden="1" x14ac:dyDescent="0.25">
      <c r="A1285" s="2" t="s">
        <v>664</v>
      </c>
      <c r="B1285" s="11" t="s">
        <v>1153</v>
      </c>
      <c r="C1285" s="11" t="s">
        <v>4</v>
      </c>
      <c r="D1285" s="11" t="s">
        <v>1154</v>
      </c>
      <c r="E1285" s="11" t="s">
        <v>882</v>
      </c>
      <c r="F1285" s="11" t="s">
        <v>966</v>
      </c>
      <c r="G1285" s="12">
        <v>9</v>
      </c>
      <c r="H1285" s="12">
        <v>14</v>
      </c>
      <c r="I1285" s="12">
        <v>126</v>
      </c>
      <c r="J1285" s="12">
        <v>83941.589999999953</v>
      </c>
      <c r="K1285" s="20">
        <f t="shared" si="280"/>
        <v>5</v>
      </c>
      <c r="L1285" s="20" t="str">
        <f t="shared" si="281"/>
        <v>Se repite 5 veces</v>
      </c>
      <c r="M1285" s="20" t="str">
        <f t="shared" si="282"/>
        <v>Tradiciones Andinas-Universal Mazamorra Morada /Purple Pudin 150gr x 12</v>
      </c>
      <c r="N1285" s="20">
        <f t="shared" si="283"/>
        <v>5</v>
      </c>
      <c r="O1285" s="20" t="str">
        <f t="shared" si="284"/>
        <v>Se repite 5 veces en Tradiciones Andinas</v>
      </c>
      <c r="P1285" s="20" t="str">
        <f t="shared" si="285"/>
        <v>Tradiciones Andinas-Universal Mazamorra Morada /Purple Pudin 150gr x 12-14</v>
      </c>
      <c r="Q1285" s="20">
        <f t="shared" si="286"/>
        <v>4</v>
      </c>
      <c r="R1285" s="20" t="str">
        <f t="shared" si="287"/>
        <v>Se repite 4 veces el precio de 14</v>
      </c>
      <c r="S1285" s="20" t="str">
        <f t="shared" si="288"/>
        <v>El producto Universal Mazamorra Morada /Purple Pudin 150gr x 12 Se repite 5 veces en Tradiciones Andinas, Se repite 4 veces el precio de 14</v>
      </c>
      <c r="T1285" s="20" t="str">
        <f t="shared" si="289"/>
        <v>Tradiciones Andinas</v>
      </c>
      <c r="U1285" s="20" t="str">
        <f t="shared" si="290"/>
        <v>Universal Mazamorra Morada /Purple Pudin 150gr x 12</v>
      </c>
      <c r="V1285" s="22">
        <f t="shared" si="291"/>
        <v>14</v>
      </c>
      <c r="W1285" t="str">
        <f t="shared" si="292"/>
        <v>Tradiciones Andinas 09/24/2025</v>
      </c>
      <c r="Z1285">
        <f t="shared" si="293"/>
        <v>126</v>
      </c>
    </row>
    <row r="1286" spans="1:26" hidden="1" x14ac:dyDescent="0.25">
      <c r="A1286" s="2" t="s">
        <v>664</v>
      </c>
      <c r="B1286" s="11" t="s">
        <v>1193</v>
      </c>
      <c r="C1286" s="11" t="s">
        <v>4</v>
      </c>
      <c r="D1286" s="11" t="s">
        <v>1194</v>
      </c>
      <c r="E1286" s="11" t="s">
        <v>882</v>
      </c>
      <c r="F1286" s="11" t="s">
        <v>966</v>
      </c>
      <c r="G1286" s="12">
        <v>32</v>
      </c>
      <c r="H1286" s="12">
        <v>14</v>
      </c>
      <c r="I1286" s="12">
        <v>448</v>
      </c>
      <c r="J1286" s="12">
        <v>99672.149999999936</v>
      </c>
      <c r="K1286" s="20">
        <f t="shared" si="280"/>
        <v>5</v>
      </c>
      <c r="L1286" s="20" t="str">
        <f t="shared" si="281"/>
        <v>Se repite 5 veces</v>
      </c>
      <c r="M1286" s="20" t="str">
        <f t="shared" si="282"/>
        <v>Tradiciones Andinas-Universal Mazamorra Morada /Purple Pudin 150gr x 12</v>
      </c>
      <c r="N1286" s="20">
        <f t="shared" si="283"/>
        <v>5</v>
      </c>
      <c r="O1286" s="20" t="str">
        <f t="shared" si="284"/>
        <v>Se repite 5 veces en Tradiciones Andinas</v>
      </c>
      <c r="P1286" s="20" t="str">
        <f t="shared" si="285"/>
        <v>Tradiciones Andinas-Universal Mazamorra Morada /Purple Pudin 150gr x 12-14</v>
      </c>
      <c r="Q1286" s="20">
        <f t="shared" si="286"/>
        <v>4</v>
      </c>
      <c r="R1286" s="20" t="str">
        <f t="shared" si="287"/>
        <v>Se repite 4 veces el precio de 14</v>
      </c>
      <c r="S1286" s="20" t="str">
        <f t="shared" si="288"/>
        <v>El producto Universal Mazamorra Morada /Purple Pudin 150gr x 12 Se repite 5 veces en Tradiciones Andinas, Se repite 4 veces el precio de 14</v>
      </c>
      <c r="T1286" s="20" t="str">
        <f t="shared" si="289"/>
        <v>Tradiciones Andinas</v>
      </c>
      <c r="U1286" s="20" t="str">
        <f t="shared" si="290"/>
        <v>Universal Mazamorra Morada /Purple Pudin 150gr x 12</v>
      </c>
      <c r="V1286" s="22">
        <f t="shared" si="291"/>
        <v>14</v>
      </c>
      <c r="W1286" t="str">
        <f t="shared" si="292"/>
        <v>Tradiciones Andinas 10/30/2025</v>
      </c>
      <c r="Z1286">
        <f t="shared" si="293"/>
        <v>448</v>
      </c>
    </row>
    <row r="1287" spans="1:26" hidden="1" x14ac:dyDescent="0.25">
      <c r="A1287" s="2" t="s">
        <v>664</v>
      </c>
      <c r="B1287" s="11" t="s">
        <v>821</v>
      </c>
      <c r="C1287" s="11" t="s">
        <v>4</v>
      </c>
      <c r="D1287" s="11" t="s">
        <v>822</v>
      </c>
      <c r="E1287" s="11" t="s">
        <v>899</v>
      </c>
      <c r="F1287" s="11" t="s">
        <v>900</v>
      </c>
      <c r="G1287" s="12">
        <v>3</v>
      </c>
      <c r="H1287" s="12">
        <v>13.08</v>
      </c>
      <c r="I1287" s="12">
        <v>39.24</v>
      </c>
      <c r="J1287" s="12">
        <v>18402.66</v>
      </c>
      <c r="K1287" s="20">
        <f t="shared" si="280"/>
        <v>2</v>
      </c>
      <c r="L1287" s="20" t="str">
        <f t="shared" si="281"/>
        <v>Se repite 2 veces</v>
      </c>
      <c r="M1287" s="20" t="str">
        <f t="shared" si="282"/>
        <v>Tradiciones Andinas-Universal Mazamorra sabor a Piña / Pineapple flavor pudin 150gr x 12</v>
      </c>
      <c r="N1287" s="20">
        <f t="shared" si="283"/>
        <v>2</v>
      </c>
      <c r="O1287" s="20" t="str">
        <f t="shared" si="284"/>
        <v>Se repite 2 veces en Tradiciones Andinas</v>
      </c>
      <c r="P1287" s="20" t="str">
        <f t="shared" si="285"/>
        <v>Tradiciones Andinas-Universal Mazamorra sabor a Piña / Pineapple flavor pudin 150gr x 12-13.08</v>
      </c>
      <c r="Q1287" s="20">
        <f t="shared" si="286"/>
        <v>1</v>
      </c>
      <c r="R1287" s="20" t="str">
        <f t="shared" si="287"/>
        <v>No se repite</v>
      </c>
      <c r="S1287" s="20" t="str">
        <f t="shared" si="288"/>
        <v>El producto Universal Mazamorra sabor a Piña / Pineapple flavor pudin 150gr x 12 Se repite 2 veces en Tradiciones Andinas Una vez con el precio 13.08</v>
      </c>
      <c r="T1287" s="20" t="str">
        <f t="shared" si="289"/>
        <v>Tradiciones Andinas</v>
      </c>
      <c r="U1287" s="20" t="str">
        <f t="shared" si="290"/>
        <v>Universal Mazamorra sabor a Piña / Pineapple flavor pudin 150gr x 12</v>
      </c>
      <c r="V1287" s="22">
        <f t="shared" si="291"/>
        <v>13.08</v>
      </c>
      <c r="W1287" t="str">
        <f t="shared" si="292"/>
        <v>Tradiciones Andinas 04/25/2025</v>
      </c>
      <c r="Z1287">
        <f t="shared" si="293"/>
        <v>39.24</v>
      </c>
    </row>
    <row r="1288" spans="1:26" hidden="1" x14ac:dyDescent="0.25">
      <c r="A1288" s="2" t="s">
        <v>664</v>
      </c>
      <c r="B1288" s="11" t="s">
        <v>654</v>
      </c>
      <c r="C1288" s="11" t="s">
        <v>4</v>
      </c>
      <c r="D1288" s="11" t="s">
        <v>940</v>
      </c>
      <c r="E1288" s="11" t="s">
        <v>899</v>
      </c>
      <c r="F1288" s="11" t="s">
        <v>900</v>
      </c>
      <c r="G1288" s="12">
        <v>8</v>
      </c>
      <c r="H1288" s="12">
        <v>14</v>
      </c>
      <c r="I1288" s="12">
        <v>112</v>
      </c>
      <c r="J1288" s="12">
        <v>30782.139999999996</v>
      </c>
      <c r="K1288" s="20">
        <f t="shared" si="280"/>
        <v>2</v>
      </c>
      <c r="L1288" s="20" t="str">
        <f t="shared" si="281"/>
        <v>Se repite 2 veces</v>
      </c>
      <c r="M1288" s="20" t="str">
        <f t="shared" si="282"/>
        <v>Tradiciones Andinas-Universal Mazamorra sabor a Piña / Pineapple flavor pudin 150gr x 12</v>
      </c>
      <c r="N1288" s="20">
        <f t="shared" si="283"/>
        <v>2</v>
      </c>
      <c r="O1288" s="20" t="str">
        <f t="shared" si="284"/>
        <v>Se repite 2 veces en Tradiciones Andinas</v>
      </c>
      <c r="P1288" s="20" t="str">
        <f t="shared" si="285"/>
        <v>Tradiciones Andinas-Universal Mazamorra sabor a Piña / Pineapple flavor pudin 150gr x 12-14</v>
      </c>
      <c r="Q1288" s="20">
        <f t="shared" si="286"/>
        <v>1</v>
      </c>
      <c r="R1288" s="20" t="str">
        <f t="shared" si="287"/>
        <v>No se repite</v>
      </c>
      <c r="S1288" s="20" t="str">
        <f t="shared" si="288"/>
        <v>El producto Universal Mazamorra sabor a Piña / Pineapple flavor pudin 150gr x 12 Se repite 2 veces en Tradiciones Andinas Una vez con el precio 14</v>
      </c>
      <c r="T1288" s="20" t="str">
        <f t="shared" si="289"/>
        <v>Tradiciones Andinas</v>
      </c>
      <c r="U1288" s="20" t="str">
        <f t="shared" si="290"/>
        <v>Universal Mazamorra sabor a Piña / Pineapple flavor pudin 150gr x 12</v>
      </c>
      <c r="V1288" s="22">
        <f t="shared" si="291"/>
        <v>14</v>
      </c>
      <c r="W1288" t="str">
        <f t="shared" si="292"/>
        <v>Tradiciones Andinas 05/19/2025</v>
      </c>
      <c r="Z1288">
        <f t="shared" si="293"/>
        <v>112</v>
      </c>
    </row>
    <row r="1289" spans="1:26" hidden="1" x14ac:dyDescent="0.25">
      <c r="A1289" s="2" t="s">
        <v>664</v>
      </c>
      <c r="B1289" s="11" t="s">
        <v>821</v>
      </c>
      <c r="C1289" s="11" t="s">
        <v>4</v>
      </c>
      <c r="D1289" s="11" t="s">
        <v>822</v>
      </c>
      <c r="E1289" s="11" t="s">
        <v>893</v>
      </c>
      <c r="F1289" s="11" t="s">
        <v>894</v>
      </c>
      <c r="G1289" s="12">
        <v>3</v>
      </c>
      <c r="H1289" s="12">
        <v>12</v>
      </c>
      <c r="I1289" s="12">
        <v>36</v>
      </c>
      <c r="J1289" s="12">
        <v>18288.179999999997</v>
      </c>
      <c r="K1289" s="20">
        <f t="shared" si="280"/>
        <v>5</v>
      </c>
      <c r="L1289" s="20" t="str">
        <f t="shared" si="281"/>
        <v>Se repite 5 veces</v>
      </c>
      <c r="M1289" s="20" t="str">
        <f t="shared" si="282"/>
        <v>Tradiciones Andinas-Universal Polvo de Hornear / Baking powder 100gr x 12</v>
      </c>
      <c r="N1289" s="20">
        <f t="shared" si="283"/>
        <v>5</v>
      </c>
      <c r="O1289" s="20" t="str">
        <f t="shared" si="284"/>
        <v>Se repite 5 veces en Tradiciones Andinas</v>
      </c>
      <c r="P1289" s="20" t="str">
        <f t="shared" si="285"/>
        <v>Tradiciones Andinas-Universal Polvo de Hornear / Baking powder 100gr x 12-12</v>
      </c>
      <c r="Q1289" s="20">
        <f t="shared" si="286"/>
        <v>1</v>
      </c>
      <c r="R1289" s="20" t="str">
        <f t="shared" si="287"/>
        <v>No se repite</v>
      </c>
      <c r="S1289" s="20" t="str">
        <f t="shared" si="288"/>
        <v>El producto Universal Polvo de Hornear / Baking powder 100gr x 12 Se repite 5 veces en Tradiciones Andinas Una vez con el precio 12</v>
      </c>
      <c r="T1289" s="20" t="str">
        <f t="shared" si="289"/>
        <v>Tradiciones Andinas</v>
      </c>
      <c r="U1289" s="20" t="str">
        <f t="shared" si="290"/>
        <v>Universal Polvo de Hornear / Baking powder 100gr x 12</v>
      </c>
      <c r="V1289" s="22">
        <f t="shared" si="291"/>
        <v>12</v>
      </c>
      <c r="W1289" t="str">
        <f t="shared" si="292"/>
        <v>Tradiciones Andinas 04/25/2025</v>
      </c>
      <c r="Z1289">
        <f t="shared" si="293"/>
        <v>36</v>
      </c>
    </row>
    <row r="1290" spans="1:26" hidden="1" x14ac:dyDescent="0.25">
      <c r="A1290" s="2" t="s">
        <v>664</v>
      </c>
      <c r="B1290" s="11" t="s">
        <v>158</v>
      </c>
      <c r="C1290" s="11" t="s">
        <v>4</v>
      </c>
      <c r="D1290" s="11" t="s">
        <v>984</v>
      </c>
      <c r="E1290" s="11" t="s">
        <v>893</v>
      </c>
      <c r="F1290" s="11" t="s">
        <v>1013</v>
      </c>
      <c r="G1290" s="12">
        <v>1</v>
      </c>
      <c r="H1290" s="12">
        <v>12.84</v>
      </c>
      <c r="I1290" s="12">
        <v>12.84</v>
      </c>
      <c r="J1290" s="12">
        <v>40492.259999999995</v>
      </c>
      <c r="K1290" s="20">
        <f t="shared" si="280"/>
        <v>5</v>
      </c>
      <c r="L1290" s="20" t="str">
        <f t="shared" si="281"/>
        <v>Se repite 5 veces</v>
      </c>
      <c r="M1290" s="20" t="str">
        <f t="shared" si="282"/>
        <v>Tradiciones Andinas-Universal Polvo de Hornear / Baking powder 100gr x 12</v>
      </c>
      <c r="N1290" s="20">
        <f t="shared" si="283"/>
        <v>5</v>
      </c>
      <c r="O1290" s="20" t="str">
        <f t="shared" si="284"/>
        <v>Se repite 5 veces en Tradiciones Andinas</v>
      </c>
      <c r="P1290" s="20" t="str">
        <f t="shared" si="285"/>
        <v>Tradiciones Andinas-Universal Polvo de Hornear / Baking powder 100gr x 12-12.84</v>
      </c>
      <c r="Q1290" s="20">
        <f t="shared" si="286"/>
        <v>4</v>
      </c>
      <c r="R1290" s="20" t="str">
        <f t="shared" si="287"/>
        <v>Se repite 4 veces el precio de 12.84</v>
      </c>
      <c r="S1290" s="20" t="str">
        <f t="shared" si="288"/>
        <v>El producto Universal Polvo de Hornear / Baking powder 100gr x 12 Se repite 5 veces en Tradiciones Andinas, Se repite 4 veces el precio de 12.84</v>
      </c>
      <c r="T1290" s="20" t="str">
        <f t="shared" si="289"/>
        <v>Tradiciones Andinas</v>
      </c>
      <c r="U1290" s="20" t="str">
        <f t="shared" si="290"/>
        <v>Universal Polvo de Hornear / Baking powder 100gr x 12</v>
      </c>
      <c r="V1290" s="22">
        <f t="shared" si="291"/>
        <v>12.84</v>
      </c>
      <c r="W1290" t="str">
        <f t="shared" si="292"/>
        <v>Tradiciones Andinas 06/12/2025</v>
      </c>
      <c r="Z1290">
        <f t="shared" si="293"/>
        <v>12.84</v>
      </c>
    </row>
    <row r="1291" spans="1:26" hidden="1" x14ac:dyDescent="0.25">
      <c r="A1291" s="2" t="s">
        <v>664</v>
      </c>
      <c r="B1291" s="11" t="s">
        <v>1029</v>
      </c>
      <c r="C1291" s="11" t="s">
        <v>4</v>
      </c>
      <c r="D1291" s="11" t="s">
        <v>1030</v>
      </c>
      <c r="E1291" s="11" t="s">
        <v>893</v>
      </c>
      <c r="F1291" s="11" t="s">
        <v>1013</v>
      </c>
      <c r="G1291" s="12">
        <v>3</v>
      </c>
      <c r="H1291" s="12">
        <v>12.84</v>
      </c>
      <c r="I1291" s="12">
        <v>38.520000000000003</v>
      </c>
      <c r="J1291" s="12">
        <v>45487.069999999992</v>
      </c>
      <c r="K1291" s="20">
        <f t="shared" si="280"/>
        <v>5</v>
      </c>
      <c r="L1291" s="20" t="str">
        <f t="shared" si="281"/>
        <v>Se repite 5 veces</v>
      </c>
      <c r="M1291" s="20" t="str">
        <f t="shared" si="282"/>
        <v>Tradiciones Andinas-Universal Polvo de Hornear / Baking powder 100gr x 12</v>
      </c>
      <c r="N1291" s="20">
        <f t="shared" si="283"/>
        <v>5</v>
      </c>
      <c r="O1291" s="20" t="str">
        <f t="shared" si="284"/>
        <v>Se repite 5 veces en Tradiciones Andinas</v>
      </c>
      <c r="P1291" s="20" t="str">
        <f t="shared" si="285"/>
        <v>Tradiciones Andinas-Universal Polvo de Hornear / Baking powder 100gr x 12-12.84</v>
      </c>
      <c r="Q1291" s="20">
        <f t="shared" si="286"/>
        <v>4</v>
      </c>
      <c r="R1291" s="20" t="str">
        <f t="shared" si="287"/>
        <v>Se repite 4 veces el precio de 12.84</v>
      </c>
      <c r="S1291" s="20" t="str">
        <f t="shared" si="288"/>
        <v>El producto Universal Polvo de Hornear / Baking powder 100gr x 12 Se repite 5 veces en Tradiciones Andinas, Se repite 4 veces el precio de 12.84</v>
      </c>
      <c r="T1291" s="20" t="str">
        <f t="shared" si="289"/>
        <v>Tradiciones Andinas</v>
      </c>
      <c r="U1291" s="20" t="str">
        <f t="shared" si="290"/>
        <v>Universal Polvo de Hornear / Baking powder 100gr x 12</v>
      </c>
      <c r="V1291" s="22">
        <f t="shared" si="291"/>
        <v>12.84</v>
      </c>
      <c r="W1291" t="str">
        <f t="shared" si="292"/>
        <v>Tradiciones Andinas 06/17/2025</v>
      </c>
      <c r="Z1291">
        <f t="shared" si="293"/>
        <v>38.519999999999996</v>
      </c>
    </row>
    <row r="1292" spans="1:26" hidden="1" x14ac:dyDescent="0.25">
      <c r="A1292" s="2" t="s">
        <v>664</v>
      </c>
      <c r="B1292" s="11" t="s">
        <v>1033</v>
      </c>
      <c r="C1292" s="11" t="s">
        <v>4</v>
      </c>
      <c r="D1292" s="11" t="s">
        <v>1034</v>
      </c>
      <c r="E1292" s="11" t="s">
        <v>893</v>
      </c>
      <c r="F1292" s="11" t="s">
        <v>1013</v>
      </c>
      <c r="G1292" s="12">
        <v>2</v>
      </c>
      <c r="H1292" s="12">
        <v>12.84</v>
      </c>
      <c r="I1292" s="12">
        <v>25.68</v>
      </c>
      <c r="J1292" s="12">
        <v>55175.979999999945</v>
      </c>
      <c r="K1292" s="20">
        <f t="shared" si="280"/>
        <v>5</v>
      </c>
      <c r="L1292" s="20" t="str">
        <f t="shared" si="281"/>
        <v>Se repite 5 veces</v>
      </c>
      <c r="M1292" s="20" t="str">
        <f t="shared" si="282"/>
        <v>Tradiciones Andinas-Universal Polvo de Hornear / Baking powder 100gr x 12</v>
      </c>
      <c r="N1292" s="20">
        <f t="shared" si="283"/>
        <v>5</v>
      </c>
      <c r="O1292" s="20" t="str">
        <f t="shared" si="284"/>
        <v>Se repite 5 veces en Tradiciones Andinas</v>
      </c>
      <c r="P1292" s="20" t="str">
        <f t="shared" si="285"/>
        <v>Tradiciones Andinas-Universal Polvo de Hornear / Baking powder 100gr x 12-12.84</v>
      </c>
      <c r="Q1292" s="20">
        <f t="shared" si="286"/>
        <v>4</v>
      </c>
      <c r="R1292" s="20" t="str">
        <f t="shared" si="287"/>
        <v>Se repite 4 veces el precio de 12.84</v>
      </c>
      <c r="S1292" s="20" t="str">
        <f t="shared" si="288"/>
        <v>El producto Universal Polvo de Hornear / Baking powder 100gr x 12 Se repite 5 veces en Tradiciones Andinas, Se repite 4 veces el precio de 12.84</v>
      </c>
      <c r="T1292" s="20" t="str">
        <f t="shared" si="289"/>
        <v>Tradiciones Andinas</v>
      </c>
      <c r="U1292" s="20" t="str">
        <f t="shared" si="290"/>
        <v>Universal Polvo de Hornear / Baking powder 100gr x 12</v>
      </c>
      <c r="V1292" s="22">
        <f t="shared" si="291"/>
        <v>12.84</v>
      </c>
      <c r="W1292" t="str">
        <f t="shared" si="292"/>
        <v>Tradiciones Andinas 07/03/2025</v>
      </c>
      <c r="Z1292">
        <f t="shared" si="293"/>
        <v>25.68</v>
      </c>
    </row>
    <row r="1293" spans="1:26" hidden="1" x14ac:dyDescent="0.25">
      <c r="A1293" s="2" t="s">
        <v>664</v>
      </c>
      <c r="B1293" s="11" t="s">
        <v>1207</v>
      </c>
      <c r="C1293" s="11" t="s">
        <v>4</v>
      </c>
      <c r="D1293" s="11" t="s">
        <v>1208</v>
      </c>
      <c r="E1293" s="11" t="s">
        <v>893</v>
      </c>
      <c r="F1293" s="11" t="s">
        <v>1013</v>
      </c>
      <c r="G1293" s="12">
        <v>6</v>
      </c>
      <c r="H1293" s="12">
        <v>12.84</v>
      </c>
      <c r="I1293" s="12">
        <v>77.040000000000006</v>
      </c>
      <c r="J1293" s="12">
        <v>110063.7199999999</v>
      </c>
      <c r="K1293" s="20">
        <f t="shared" si="280"/>
        <v>5</v>
      </c>
      <c r="L1293" s="20" t="str">
        <f t="shared" si="281"/>
        <v>Se repite 5 veces</v>
      </c>
      <c r="M1293" s="20" t="str">
        <f t="shared" si="282"/>
        <v>Tradiciones Andinas-Universal Polvo de Hornear / Baking powder 100gr x 12</v>
      </c>
      <c r="N1293" s="20">
        <f t="shared" si="283"/>
        <v>5</v>
      </c>
      <c r="O1293" s="20" t="str">
        <f t="shared" si="284"/>
        <v>Se repite 5 veces en Tradiciones Andinas</v>
      </c>
      <c r="P1293" s="20" t="str">
        <f t="shared" si="285"/>
        <v>Tradiciones Andinas-Universal Polvo de Hornear / Baking powder 100gr x 12-12.84</v>
      </c>
      <c r="Q1293" s="20">
        <f t="shared" si="286"/>
        <v>4</v>
      </c>
      <c r="R1293" s="20" t="str">
        <f t="shared" si="287"/>
        <v>Se repite 4 veces el precio de 12.84</v>
      </c>
      <c r="S1293" s="20" t="str">
        <f t="shared" si="288"/>
        <v>El producto Universal Polvo de Hornear / Baking powder 100gr x 12 Se repite 5 veces en Tradiciones Andinas, Se repite 4 veces el precio de 12.84</v>
      </c>
      <c r="T1293" s="20" t="str">
        <f t="shared" si="289"/>
        <v>Tradiciones Andinas</v>
      </c>
      <c r="U1293" s="20" t="str">
        <f t="shared" si="290"/>
        <v>Universal Polvo de Hornear / Baking powder 100gr x 12</v>
      </c>
      <c r="V1293" s="22">
        <f t="shared" si="291"/>
        <v>12.84</v>
      </c>
      <c r="W1293" t="str">
        <f t="shared" si="292"/>
        <v>Tradiciones Andinas 11/28/2025</v>
      </c>
      <c r="Z1293">
        <f t="shared" si="293"/>
        <v>77.039999999999992</v>
      </c>
    </row>
    <row r="1294" spans="1:26" hidden="1" x14ac:dyDescent="0.25">
      <c r="A1294" s="2" t="s">
        <v>664</v>
      </c>
      <c r="B1294" s="11" t="s">
        <v>821</v>
      </c>
      <c r="C1294" s="11" t="s">
        <v>4</v>
      </c>
      <c r="D1294" s="11" t="s">
        <v>822</v>
      </c>
      <c r="E1294" s="11" t="s">
        <v>889</v>
      </c>
      <c r="F1294" s="11" t="s">
        <v>890</v>
      </c>
      <c r="G1294" s="12">
        <v>8</v>
      </c>
      <c r="H1294" s="12">
        <v>12</v>
      </c>
      <c r="I1294" s="12">
        <v>96</v>
      </c>
      <c r="J1294" s="12">
        <v>18200.179999999997</v>
      </c>
      <c r="K1294" s="20">
        <f t="shared" si="280"/>
        <v>3</v>
      </c>
      <c r="L1294" s="20" t="str">
        <f t="shared" si="281"/>
        <v>Se repite 3 veces</v>
      </c>
      <c r="M1294" s="20" t="str">
        <f t="shared" si="282"/>
        <v>Tradiciones Andinas-Universal Refresco de Maracuya / Passion fruit instant beverage 120gr x 12</v>
      </c>
      <c r="N1294" s="20">
        <f t="shared" si="283"/>
        <v>3</v>
      </c>
      <c r="O1294" s="20" t="str">
        <f t="shared" si="284"/>
        <v>Se repite 3 veces en Tradiciones Andinas</v>
      </c>
      <c r="P1294" s="20" t="str">
        <f t="shared" si="285"/>
        <v>Tradiciones Andinas-Universal Refresco de Maracuya / Passion fruit instant beverage 120gr x 12-12</v>
      </c>
      <c r="Q1294" s="20">
        <f t="shared" si="286"/>
        <v>1</v>
      </c>
      <c r="R1294" s="20" t="str">
        <f t="shared" si="287"/>
        <v>No se repite</v>
      </c>
      <c r="S1294" s="20" t="str">
        <f t="shared" si="288"/>
        <v>El producto Universal Refresco de Maracuya / Passion fruit instant beverage 120gr x 12 Se repite 3 veces en Tradiciones Andinas Una vez con el precio 12</v>
      </c>
      <c r="T1294" s="20" t="str">
        <f t="shared" si="289"/>
        <v>Tradiciones Andinas</v>
      </c>
      <c r="U1294" s="20" t="str">
        <f t="shared" si="290"/>
        <v>Universal Refresco de Maracuya / Passion fruit instant beverage 120gr x 12</v>
      </c>
      <c r="V1294" s="22">
        <f t="shared" si="291"/>
        <v>12</v>
      </c>
      <c r="W1294" t="str">
        <f t="shared" si="292"/>
        <v>Tradiciones Andinas 04/25/2025</v>
      </c>
      <c r="Z1294">
        <f t="shared" si="293"/>
        <v>96</v>
      </c>
    </row>
    <row r="1295" spans="1:26" hidden="1" x14ac:dyDescent="0.25">
      <c r="A1295" s="2" t="s">
        <v>664</v>
      </c>
      <c r="B1295" s="11" t="s">
        <v>654</v>
      </c>
      <c r="C1295" s="11" t="s">
        <v>4</v>
      </c>
      <c r="D1295" s="11" t="s">
        <v>940</v>
      </c>
      <c r="E1295" s="11" t="s">
        <v>889</v>
      </c>
      <c r="F1295" s="11" t="s">
        <v>970</v>
      </c>
      <c r="G1295" s="12">
        <v>3</v>
      </c>
      <c r="H1295" s="12">
        <v>12.84</v>
      </c>
      <c r="I1295" s="12">
        <v>38.520000000000003</v>
      </c>
      <c r="J1295" s="12">
        <v>30558.499999999996</v>
      </c>
      <c r="K1295" s="20">
        <f t="shared" si="280"/>
        <v>3</v>
      </c>
      <c r="L1295" s="20" t="str">
        <f t="shared" si="281"/>
        <v>Se repite 3 veces</v>
      </c>
      <c r="M1295" s="20" t="str">
        <f t="shared" si="282"/>
        <v>Tradiciones Andinas-Universal Refresco de Maracuya / Passion fruit instant beverage 120gr x 12</v>
      </c>
      <c r="N1295" s="20">
        <f t="shared" si="283"/>
        <v>3</v>
      </c>
      <c r="O1295" s="20" t="str">
        <f t="shared" si="284"/>
        <v>Se repite 3 veces en Tradiciones Andinas</v>
      </c>
      <c r="P1295" s="20" t="str">
        <f t="shared" si="285"/>
        <v>Tradiciones Andinas-Universal Refresco de Maracuya / Passion fruit instant beverage 120gr x 12-12.84</v>
      </c>
      <c r="Q1295" s="20">
        <f t="shared" si="286"/>
        <v>2</v>
      </c>
      <c r="R1295" s="20" t="str">
        <f t="shared" si="287"/>
        <v>Se repite 2 veces el precio de 12.84</v>
      </c>
      <c r="S1295" s="20" t="str">
        <f t="shared" si="288"/>
        <v>El producto Universal Refresco de Maracuya / Passion fruit instant beverage 120gr x 12 Se repite 3 veces en Tradiciones Andinas, Se repite 2 veces el precio de 12.84</v>
      </c>
      <c r="T1295" s="20" t="str">
        <f t="shared" si="289"/>
        <v>Tradiciones Andinas</v>
      </c>
      <c r="U1295" s="20" t="str">
        <f t="shared" si="290"/>
        <v>Universal Refresco de Maracuya / Passion fruit instant beverage 120gr x 12</v>
      </c>
      <c r="V1295" s="22">
        <f t="shared" si="291"/>
        <v>12.84</v>
      </c>
      <c r="W1295" t="str">
        <f t="shared" si="292"/>
        <v>Tradiciones Andinas 05/19/2025</v>
      </c>
      <c r="Z1295">
        <f t="shared" si="293"/>
        <v>38.519999999999996</v>
      </c>
    </row>
    <row r="1296" spans="1:26" hidden="1" x14ac:dyDescent="0.25">
      <c r="A1296" s="2" t="s">
        <v>664</v>
      </c>
      <c r="B1296" s="11" t="s">
        <v>1033</v>
      </c>
      <c r="C1296" s="11" t="s">
        <v>4</v>
      </c>
      <c r="D1296" s="11" t="s">
        <v>1034</v>
      </c>
      <c r="E1296" s="11" t="s">
        <v>889</v>
      </c>
      <c r="F1296" s="11" t="s">
        <v>970</v>
      </c>
      <c r="G1296" s="12">
        <v>9</v>
      </c>
      <c r="H1296" s="12">
        <v>12.84</v>
      </c>
      <c r="I1296" s="12">
        <v>115.56</v>
      </c>
      <c r="J1296" s="12">
        <v>55080.299999999945</v>
      </c>
      <c r="K1296" s="20">
        <f t="shared" si="280"/>
        <v>3</v>
      </c>
      <c r="L1296" s="20" t="str">
        <f t="shared" si="281"/>
        <v>Se repite 3 veces</v>
      </c>
      <c r="M1296" s="20" t="str">
        <f t="shared" si="282"/>
        <v>Tradiciones Andinas-Universal Refresco de Maracuya / Passion fruit instant beverage 120gr x 12</v>
      </c>
      <c r="N1296" s="20">
        <f t="shared" si="283"/>
        <v>3</v>
      </c>
      <c r="O1296" s="20" t="str">
        <f t="shared" si="284"/>
        <v>Se repite 3 veces en Tradiciones Andinas</v>
      </c>
      <c r="P1296" s="20" t="str">
        <f t="shared" si="285"/>
        <v>Tradiciones Andinas-Universal Refresco de Maracuya / Passion fruit instant beverage 120gr x 12-12.84</v>
      </c>
      <c r="Q1296" s="20">
        <f t="shared" si="286"/>
        <v>2</v>
      </c>
      <c r="R1296" s="20" t="str">
        <f t="shared" si="287"/>
        <v>Se repite 2 veces el precio de 12.84</v>
      </c>
      <c r="S1296" s="20" t="str">
        <f t="shared" si="288"/>
        <v>El producto Universal Refresco de Maracuya / Passion fruit instant beverage 120gr x 12 Se repite 3 veces en Tradiciones Andinas, Se repite 2 veces el precio de 12.84</v>
      </c>
      <c r="T1296" s="20" t="str">
        <f t="shared" si="289"/>
        <v>Tradiciones Andinas</v>
      </c>
      <c r="U1296" s="20" t="str">
        <f t="shared" si="290"/>
        <v>Universal Refresco de Maracuya / Passion fruit instant beverage 120gr x 12</v>
      </c>
      <c r="V1296" s="22">
        <f t="shared" si="291"/>
        <v>12.84</v>
      </c>
      <c r="W1296" t="str">
        <f t="shared" si="292"/>
        <v>Tradiciones Andinas 07/03/2025</v>
      </c>
      <c r="Z1296">
        <f t="shared" si="293"/>
        <v>115.56</v>
      </c>
    </row>
    <row r="1297" spans="1:26" hidden="1" x14ac:dyDescent="0.25">
      <c r="A1297" s="2" t="s">
        <v>664</v>
      </c>
      <c r="B1297" s="11" t="s">
        <v>821</v>
      </c>
      <c r="C1297" s="11" t="s">
        <v>4</v>
      </c>
      <c r="D1297" s="11" t="s">
        <v>822</v>
      </c>
      <c r="E1297" s="11" t="s">
        <v>887</v>
      </c>
      <c r="F1297" s="11" t="s">
        <v>888</v>
      </c>
      <c r="G1297" s="12">
        <v>5</v>
      </c>
      <c r="H1297" s="12">
        <v>12</v>
      </c>
      <c r="I1297" s="12">
        <v>60</v>
      </c>
      <c r="J1297" s="12">
        <v>18104.179999999997</v>
      </c>
      <c r="K1297" s="20">
        <f t="shared" si="280"/>
        <v>3</v>
      </c>
      <c r="L1297" s="20" t="str">
        <f t="shared" si="281"/>
        <v>Se repite 3 veces</v>
      </c>
      <c r="M1297" s="20" t="str">
        <f t="shared" si="282"/>
        <v>Tradiciones Andinas-Universal Refresco Guanabana / Guava Instant beverage 120gr x 12</v>
      </c>
      <c r="N1297" s="20">
        <f t="shared" si="283"/>
        <v>3</v>
      </c>
      <c r="O1297" s="20" t="str">
        <f t="shared" si="284"/>
        <v>Se repite 3 veces en Tradiciones Andinas</v>
      </c>
      <c r="P1297" s="20" t="str">
        <f t="shared" si="285"/>
        <v>Tradiciones Andinas-Universal Refresco Guanabana / Guava Instant beverage 120gr x 12-12</v>
      </c>
      <c r="Q1297" s="20">
        <f t="shared" si="286"/>
        <v>1</v>
      </c>
      <c r="R1297" s="20" t="str">
        <f t="shared" si="287"/>
        <v>No se repite</v>
      </c>
      <c r="S1297" s="20" t="str">
        <f t="shared" si="288"/>
        <v>El producto Universal Refresco Guanabana / Guava Instant beverage 120gr x 12 Se repite 3 veces en Tradiciones Andinas Una vez con el precio 12</v>
      </c>
      <c r="T1297" s="20" t="str">
        <f t="shared" si="289"/>
        <v>Tradiciones Andinas</v>
      </c>
      <c r="U1297" s="20" t="str">
        <f t="shared" si="290"/>
        <v>Universal Refresco Guanabana / Guava Instant beverage 120gr x 12</v>
      </c>
      <c r="V1297" s="22">
        <f t="shared" si="291"/>
        <v>12</v>
      </c>
      <c r="W1297" t="str">
        <f t="shared" si="292"/>
        <v>Tradiciones Andinas 04/25/2025</v>
      </c>
      <c r="Z1297">
        <f t="shared" si="293"/>
        <v>60</v>
      </c>
    </row>
    <row r="1298" spans="1:26" hidden="1" x14ac:dyDescent="0.25">
      <c r="A1298" s="2" t="s">
        <v>664</v>
      </c>
      <c r="B1298" s="11" t="s">
        <v>654</v>
      </c>
      <c r="C1298" s="11" t="s">
        <v>4</v>
      </c>
      <c r="D1298" s="11" t="s">
        <v>940</v>
      </c>
      <c r="E1298" s="11" t="s">
        <v>887</v>
      </c>
      <c r="F1298" s="11" t="s">
        <v>969</v>
      </c>
      <c r="G1298" s="12">
        <v>3</v>
      </c>
      <c r="H1298" s="12">
        <v>12.84</v>
      </c>
      <c r="I1298" s="12">
        <v>38.520000000000003</v>
      </c>
      <c r="J1298" s="12">
        <v>30519.979999999996</v>
      </c>
      <c r="K1298" s="20">
        <f t="shared" si="280"/>
        <v>3</v>
      </c>
      <c r="L1298" s="20" t="str">
        <f t="shared" si="281"/>
        <v>Se repite 3 veces</v>
      </c>
      <c r="M1298" s="20" t="str">
        <f t="shared" si="282"/>
        <v>Tradiciones Andinas-Universal Refresco Guanabana / Guava Instant beverage 120gr x 12</v>
      </c>
      <c r="N1298" s="20">
        <f t="shared" si="283"/>
        <v>3</v>
      </c>
      <c r="O1298" s="20" t="str">
        <f t="shared" si="284"/>
        <v>Se repite 3 veces en Tradiciones Andinas</v>
      </c>
      <c r="P1298" s="20" t="str">
        <f t="shared" si="285"/>
        <v>Tradiciones Andinas-Universal Refresco Guanabana / Guava Instant beverage 120gr x 12-12.84</v>
      </c>
      <c r="Q1298" s="20">
        <f t="shared" si="286"/>
        <v>2</v>
      </c>
      <c r="R1298" s="20" t="str">
        <f t="shared" si="287"/>
        <v>Se repite 2 veces el precio de 12.84</v>
      </c>
      <c r="S1298" s="20" t="str">
        <f t="shared" si="288"/>
        <v>El producto Universal Refresco Guanabana / Guava Instant beverage 120gr x 12 Se repite 3 veces en Tradiciones Andinas, Se repite 2 veces el precio de 12.84</v>
      </c>
      <c r="T1298" s="20" t="str">
        <f t="shared" si="289"/>
        <v>Tradiciones Andinas</v>
      </c>
      <c r="U1298" s="20" t="str">
        <f t="shared" si="290"/>
        <v>Universal Refresco Guanabana / Guava Instant beverage 120gr x 12</v>
      </c>
      <c r="V1298" s="22">
        <f t="shared" si="291"/>
        <v>12.84</v>
      </c>
      <c r="W1298" t="str">
        <f t="shared" si="292"/>
        <v>Tradiciones Andinas 05/19/2025</v>
      </c>
      <c r="Z1298">
        <f t="shared" si="293"/>
        <v>38.519999999999996</v>
      </c>
    </row>
    <row r="1299" spans="1:26" hidden="1" x14ac:dyDescent="0.25">
      <c r="A1299" s="2" t="s">
        <v>664</v>
      </c>
      <c r="B1299" s="11" t="s">
        <v>1033</v>
      </c>
      <c r="C1299" s="11" t="s">
        <v>4</v>
      </c>
      <c r="D1299" s="11" t="s">
        <v>1034</v>
      </c>
      <c r="E1299" s="11" t="s">
        <v>887</v>
      </c>
      <c r="F1299" s="11" t="s">
        <v>969</v>
      </c>
      <c r="G1299" s="12">
        <v>9</v>
      </c>
      <c r="H1299" s="12">
        <v>12.84</v>
      </c>
      <c r="I1299" s="12">
        <v>115.56</v>
      </c>
      <c r="J1299" s="12">
        <v>54964.739999999947</v>
      </c>
      <c r="K1299" s="20">
        <f t="shared" si="280"/>
        <v>3</v>
      </c>
      <c r="L1299" s="20" t="str">
        <f t="shared" si="281"/>
        <v>Se repite 3 veces</v>
      </c>
      <c r="M1299" s="20" t="str">
        <f t="shared" si="282"/>
        <v>Tradiciones Andinas-Universal Refresco Guanabana / Guava Instant beverage 120gr x 12</v>
      </c>
      <c r="N1299" s="20">
        <f t="shared" si="283"/>
        <v>3</v>
      </c>
      <c r="O1299" s="20" t="str">
        <f t="shared" si="284"/>
        <v>Se repite 3 veces en Tradiciones Andinas</v>
      </c>
      <c r="P1299" s="20" t="str">
        <f t="shared" si="285"/>
        <v>Tradiciones Andinas-Universal Refresco Guanabana / Guava Instant beverage 120gr x 12-12.84</v>
      </c>
      <c r="Q1299" s="20">
        <f t="shared" si="286"/>
        <v>2</v>
      </c>
      <c r="R1299" s="20" t="str">
        <f t="shared" si="287"/>
        <v>Se repite 2 veces el precio de 12.84</v>
      </c>
      <c r="S1299" s="20" t="str">
        <f t="shared" si="288"/>
        <v>El producto Universal Refresco Guanabana / Guava Instant beverage 120gr x 12 Se repite 3 veces en Tradiciones Andinas, Se repite 2 veces el precio de 12.84</v>
      </c>
      <c r="T1299" s="20" t="str">
        <f t="shared" si="289"/>
        <v>Tradiciones Andinas</v>
      </c>
      <c r="U1299" s="20" t="str">
        <f t="shared" si="290"/>
        <v>Universal Refresco Guanabana / Guava Instant beverage 120gr x 12</v>
      </c>
      <c r="V1299" s="22">
        <f t="shared" si="291"/>
        <v>12.84</v>
      </c>
      <c r="W1299" t="str">
        <f t="shared" si="292"/>
        <v>Tradiciones Andinas 07/03/2025</v>
      </c>
      <c r="Z1299">
        <f t="shared" si="293"/>
        <v>115.56</v>
      </c>
    </row>
    <row r="1300" spans="1:26" hidden="1" x14ac:dyDescent="0.25">
      <c r="A1300" s="2" t="s">
        <v>664</v>
      </c>
      <c r="B1300" s="11" t="s">
        <v>665</v>
      </c>
      <c r="C1300" s="11" t="s">
        <v>4</v>
      </c>
      <c r="D1300" s="11" t="s">
        <v>666</v>
      </c>
      <c r="E1300" s="11" t="s">
        <v>752</v>
      </c>
      <c r="F1300" s="11" t="s">
        <v>753</v>
      </c>
      <c r="G1300" s="12">
        <v>1</v>
      </c>
      <c r="H1300" s="12">
        <v>35</v>
      </c>
      <c r="I1300" s="12">
        <v>35</v>
      </c>
      <c r="J1300" s="12">
        <v>2576.3599999999997</v>
      </c>
      <c r="K1300" s="20">
        <f t="shared" si="280"/>
        <v>6</v>
      </c>
      <c r="L1300" s="20" t="str">
        <f t="shared" si="281"/>
        <v>Se repite 6 veces</v>
      </c>
      <c r="M1300" s="20" t="str">
        <f t="shared" si="282"/>
        <v>Tradiciones Andinas-VALLES ANDINOS Aceite Vegetal con Achiote 440ml x 15</v>
      </c>
      <c r="N1300" s="20">
        <f t="shared" si="283"/>
        <v>6</v>
      </c>
      <c r="O1300" s="20" t="str">
        <f t="shared" si="284"/>
        <v>Se repite 6 veces en Tradiciones Andinas</v>
      </c>
      <c r="P1300" s="20" t="str">
        <f t="shared" si="285"/>
        <v>Tradiciones Andinas-VALLES ANDINOS Aceite Vegetal con Achiote 440ml x 15-35</v>
      </c>
      <c r="Q1300" s="20">
        <f t="shared" si="286"/>
        <v>2</v>
      </c>
      <c r="R1300" s="20" t="str">
        <f t="shared" si="287"/>
        <v>Se repite 2 veces el precio de 35</v>
      </c>
      <c r="S1300" s="20" t="str">
        <f t="shared" si="288"/>
        <v>El producto VALLES ANDINOS Aceite Vegetal con Achiote 440ml x 15 Se repite 6 veces en Tradiciones Andinas, Se repite 2 veces el precio de 35</v>
      </c>
      <c r="T1300" s="20" t="str">
        <f t="shared" si="289"/>
        <v>Tradiciones Andinas</v>
      </c>
      <c r="U1300" s="20" t="str">
        <f t="shared" si="290"/>
        <v>VALLES ANDINOS Aceite Vegetal con Achiote 440ml x 15</v>
      </c>
      <c r="V1300" s="22">
        <f t="shared" si="291"/>
        <v>35</v>
      </c>
      <c r="W1300" t="str">
        <f t="shared" si="292"/>
        <v>Tradiciones Andinas 03/31/2025</v>
      </c>
      <c r="Z1300">
        <f t="shared" si="293"/>
        <v>35</v>
      </c>
    </row>
    <row r="1301" spans="1:26" hidden="1" x14ac:dyDescent="0.25">
      <c r="A1301" s="2" t="s">
        <v>664</v>
      </c>
      <c r="B1301" s="11" t="s">
        <v>821</v>
      </c>
      <c r="C1301" s="11" t="s">
        <v>4</v>
      </c>
      <c r="D1301" s="11" t="s">
        <v>822</v>
      </c>
      <c r="E1301" s="11" t="s">
        <v>752</v>
      </c>
      <c r="F1301" s="11" t="s">
        <v>753</v>
      </c>
      <c r="G1301" s="12">
        <v>2</v>
      </c>
      <c r="H1301" s="12">
        <v>35</v>
      </c>
      <c r="I1301" s="12">
        <v>70</v>
      </c>
      <c r="J1301" s="12">
        <v>22469.54</v>
      </c>
      <c r="K1301" s="20">
        <f t="shared" si="280"/>
        <v>6</v>
      </c>
      <c r="L1301" s="20" t="str">
        <f t="shared" si="281"/>
        <v>Se repite 6 veces</v>
      </c>
      <c r="M1301" s="20" t="str">
        <f t="shared" si="282"/>
        <v>Tradiciones Andinas-VALLES ANDINOS Aceite Vegetal con Achiote 440ml x 15</v>
      </c>
      <c r="N1301" s="20">
        <f t="shared" si="283"/>
        <v>6</v>
      </c>
      <c r="O1301" s="20" t="str">
        <f t="shared" si="284"/>
        <v>Se repite 6 veces en Tradiciones Andinas</v>
      </c>
      <c r="P1301" s="20" t="str">
        <f t="shared" si="285"/>
        <v>Tradiciones Andinas-VALLES ANDINOS Aceite Vegetal con Achiote 440ml x 15-35</v>
      </c>
      <c r="Q1301" s="20">
        <f t="shared" si="286"/>
        <v>2</v>
      </c>
      <c r="R1301" s="20" t="str">
        <f t="shared" si="287"/>
        <v>Se repite 2 veces el precio de 35</v>
      </c>
      <c r="S1301" s="20" t="str">
        <f t="shared" si="288"/>
        <v>El producto VALLES ANDINOS Aceite Vegetal con Achiote 440ml x 15 Se repite 6 veces en Tradiciones Andinas, Se repite 2 veces el precio de 35</v>
      </c>
      <c r="T1301" s="20" t="str">
        <f t="shared" si="289"/>
        <v>Tradiciones Andinas</v>
      </c>
      <c r="U1301" s="20" t="str">
        <f t="shared" si="290"/>
        <v>VALLES ANDINOS Aceite Vegetal con Achiote 440ml x 15</v>
      </c>
      <c r="V1301" s="22">
        <f t="shared" si="291"/>
        <v>35</v>
      </c>
      <c r="W1301" t="str">
        <f t="shared" si="292"/>
        <v>Tradiciones Andinas 04/25/2025</v>
      </c>
      <c r="Z1301">
        <f t="shared" si="293"/>
        <v>70</v>
      </c>
    </row>
    <row r="1302" spans="1:26" hidden="1" x14ac:dyDescent="0.25">
      <c r="A1302" s="2" t="s">
        <v>664</v>
      </c>
      <c r="B1302" s="11" t="s">
        <v>654</v>
      </c>
      <c r="C1302" s="11" t="s">
        <v>4</v>
      </c>
      <c r="D1302" s="11" t="s">
        <v>940</v>
      </c>
      <c r="E1302" s="11" t="s">
        <v>752</v>
      </c>
      <c r="F1302" s="11" t="s">
        <v>978</v>
      </c>
      <c r="G1302" s="12">
        <v>2</v>
      </c>
      <c r="H1302" s="12">
        <v>37.450000000000003</v>
      </c>
      <c r="I1302" s="12">
        <v>74.900000000000006</v>
      </c>
      <c r="J1302" s="12">
        <v>33117.360000000008</v>
      </c>
      <c r="K1302" s="20">
        <f t="shared" si="280"/>
        <v>6</v>
      </c>
      <c r="L1302" s="20" t="str">
        <f t="shared" si="281"/>
        <v>Se repite 6 veces</v>
      </c>
      <c r="M1302" s="20" t="str">
        <f t="shared" si="282"/>
        <v>Tradiciones Andinas-VALLES ANDINOS Aceite Vegetal con Achiote 440ml x 15</v>
      </c>
      <c r="N1302" s="20">
        <f t="shared" si="283"/>
        <v>6</v>
      </c>
      <c r="O1302" s="20" t="str">
        <f t="shared" si="284"/>
        <v>Se repite 6 veces en Tradiciones Andinas</v>
      </c>
      <c r="P1302" s="20" t="str">
        <f t="shared" si="285"/>
        <v>Tradiciones Andinas-VALLES ANDINOS Aceite Vegetal con Achiote 440ml x 15-37.45</v>
      </c>
      <c r="Q1302" s="20">
        <f t="shared" si="286"/>
        <v>4</v>
      </c>
      <c r="R1302" s="20" t="str">
        <f t="shared" si="287"/>
        <v>Se repite 4 veces el precio de 37.45</v>
      </c>
      <c r="S1302" s="20" t="str">
        <f t="shared" si="288"/>
        <v>El producto VALLES ANDINOS Aceite Vegetal con Achiote 440ml x 15 Se repite 6 veces en Tradiciones Andinas, Se repite 4 veces el precio de 37.45</v>
      </c>
      <c r="T1302" s="20" t="str">
        <f t="shared" si="289"/>
        <v>Tradiciones Andinas</v>
      </c>
      <c r="U1302" s="20" t="str">
        <f t="shared" si="290"/>
        <v>VALLES ANDINOS Aceite Vegetal con Achiote 440ml x 15</v>
      </c>
      <c r="V1302" s="22">
        <f t="shared" si="291"/>
        <v>37.450000000000003</v>
      </c>
      <c r="W1302" t="str">
        <f t="shared" si="292"/>
        <v>Tradiciones Andinas 05/19/2025</v>
      </c>
      <c r="Z1302">
        <f t="shared" si="293"/>
        <v>74.900000000000006</v>
      </c>
    </row>
    <row r="1303" spans="1:26" hidden="1" x14ac:dyDescent="0.25">
      <c r="A1303" s="2" t="s">
        <v>664</v>
      </c>
      <c r="B1303" s="11" t="s">
        <v>1033</v>
      </c>
      <c r="C1303" s="11" t="s">
        <v>4</v>
      </c>
      <c r="D1303" s="11" t="s">
        <v>1034</v>
      </c>
      <c r="E1303" s="11" t="s">
        <v>752</v>
      </c>
      <c r="F1303" s="11" t="s">
        <v>978</v>
      </c>
      <c r="G1303" s="12">
        <v>5</v>
      </c>
      <c r="H1303" s="12">
        <v>37.450000000000003</v>
      </c>
      <c r="I1303" s="12">
        <v>187.25</v>
      </c>
      <c r="J1303" s="12">
        <v>57608.749999999942</v>
      </c>
      <c r="K1303" s="20">
        <f t="shared" si="280"/>
        <v>6</v>
      </c>
      <c r="L1303" s="20" t="str">
        <f t="shared" si="281"/>
        <v>Se repite 6 veces</v>
      </c>
      <c r="M1303" s="20" t="str">
        <f t="shared" si="282"/>
        <v>Tradiciones Andinas-VALLES ANDINOS Aceite Vegetal con Achiote 440ml x 15</v>
      </c>
      <c r="N1303" s="20">
        <f t="shared" si="283"/>
        <v>6</v>
      </c>
      <c r="O1303" s="20" t="str">
        <f t="shared" si="284"/>
        <v>Se repite 6 veces en Tradiciones Andinas</v>
      </c>
      <c r="P1303" s="20" t="str">
        <f t="shared" si="285"/>
        <v>Tradiciones Andinas-VALLES ANDINOS Aceite Vegetal con Achiote 440ml x 15-37.45</v>
      </c>
      <c r="Q1303" s="20">
        <f t="shared" si="286"/>
        <v>4</v>
      </c>
      <c r="R1303" s="20" t="str">
        <f t="shared" si="287"/>
        <v>Se repite 4 veces el precio de 37.45</v>
      </c>
      <c r="S1303" s="20" t="str">
        <f t="shared" si="288"/>
        <v>El producto VALLES ANDINOS Aceite Vegetal con Achiote 440ml x 15 Se repite 6 veces en Tradiciones Andinas, Se repite 4 veces el precio de 37.45</v>
      </c>
      <c r="T1303" s="20" t="str">
        <f t="shared" si="289"/>
        <v>Tradiciones Andinas</v>
      </c>
      <c r="U1303" s="20" t="str">
        <f t="shared" si="290"/>
        <v>VALLES ANDINOS Aceite Vegetal con Achiote 440ml x 15</v>
      </c>
      <c r="V1303" s="22">
        <f t="shared" si="291"/>
        <v>37.450000000000003</v>
      </c>
      <c r="W1303" t="str">
        <f t="shared" si="292"/>
        <v>Tradiciones Andinas 07/03/2025</v>
      </c>
      <c r="Z1303">
        <f t="shared" si="293"/>
        <v>187.25</v>
      </c>
    </row>
    <row r="1304" spans="1:26" hidden="1" x14ac:dyDescent="0.25">
      <c r="A1304" s="2" t="s">
        <v>664</v>
      </c>
      <c r="B1304" s="11" t="s">
        <v>1153</v>
      </c>
      <c r="C1304" s="11" t="s">
        <v>4</v>
      </c>
      <c r="D1304" s="11" t="s">
        <v>1154</v>
      </c>
      <c r="E1304" s="11" t="s">
        <v>752</v>
      </c>
      <c r="F1304" s="11" t="s">
        <v>978</v>
      </c>
      <c r="G1304" s="12">
        <v>3</v>
      </c>
      <c r="H1304" s="12">
        <v>37.450000000000003</v>
      </c>
      <c r="I1304" s="12">
        <v>112.35</v>
      </c>
      <c r="J1304" s="12">
        <v>85904.259999999951</v>
      </c>
      <c r="K1304" s="20">
        <f t="shared" si="280"/>
        <v>6</v>
      </c>
      <c r="L1304" s="20" t="str">
        <f t="shared" si="281"/>
        <v>Se repite 6 veces</v>
      </c>
      <c r="M1304" s="20" t="str">
        <f t="shared" si="282"/>
        <v>Tradiciones Andinas-VALLES ANDINOS Aceite Vegetal con Achiote 440ml x 15</v>
      </c>
      <c r="N1304" s="20">
        <f t="shared" si="283"/>
        <v>6</v>
      </c>
      <c r="O1304" s="20" t="str">
        <f t="shared" si="284"/>
        <v>Se repite 6 veces en Tradiciones Andinas</v>
      </c>
      <c r="P1304" s="20" t="str">
        <f t="shared" si="285"/>
        <v>Tradiciones Andinas-VALLES ANDINOS Aceite Vegetal con Achiote 440ml x 15-37.45</v>
      </c>
      <c r="Q1304" s="20">
        <f t="shared" si="286"/>
        <v>4</v>
      </c>
      <c r="R1304" s="20" t="str">
        <f t="shared" si="287"/>
        <v>Se repite 4 veces el precio de 37.45</v>
      </c>
      <c r="S1304" s="20" t="str">
        <f t="shared" si="288"/>
        <v>El producto VALLES ANDINOS Aceite Vegetal con Achiote 440ml x 15 Se repite 6 veces en Tradiciones Andinas, Se repite 4 veces el precio de 37.45</v>
      </c>
      <c r="T1304" s="20" t="str">
        <f t="shared" si="289"/>
        <v>Tradiciones Andinas</v>
      </c>
      <c r="U1304" s="20" t="str">
        <f t="shared" si="290"/>
        <v>VALLES ANDINOS Aceite Vegetal con Achiote 440ml x 15</v>
      </c>
      <c r="V1304" s="22">
        <f t="shared" si="291"/>
        <v>37.450000000000003</v>
      </c>
      <c r="W1304" t="str">
        <f t="shared" si="292"/>
        <v>Tradiciones Andinas 09/24/2025</v>
      </c>
      <c r="Z1304">
        <f t="shared" si="293"/>
        <v>112.35000000000001</v>
      </c>
    </row>
    <row r="1305" spans="1:26" hidden="1" x14ac:dyDescent="0.25">
      <c r="A1305" s="2" t="s">
        <v>664</v>
      </c>
      <c r="B1305" s="11" t="s">
        <v>1207</v>
      </c>
      <c r="C1305" s="11" t="s">
        <v>4</v>
      </c>
      <c r="D1305" s="11" t="s">
        <v>1208</v>
      </c>
      <c r="E1305" s="11" t="s">
        <v>752</v>
      </c>
      <c r="F1305" s="11" t="s">
        <v>978</v>
      </c>
      <c r="G1305" s="12">
        <v>2</v>
      </c>
      <c r="H1305" s="12">
        <v>37.450000000000003</v>
      </c>
      <c r="I1305" s="12">
        <v>74.900000000000006</v>
      </c>
      <c r="J1305" s="12">
        <v>113326.91999999988</v>
      </c>
      <c r="K1305" s="20">
        <f t="shared" si="280"/>
        <v>6</v>
      </c>
      <c r="L1305" s="20" t="str">
        <f t="shared" si="281"/>
        <v>Se repite 6 veces</v>
      </c>
      <c r="M1305" s="20" t="str">
        <f t="shared" si="282"/>
        <v>Tradiciones Andinas-VALLES ANDINOS Aceite Vegetal con Achiote 440ml x 15</v>
      </c>
      <c r="N1305" s="20">
        <f t="shared" si="283"/>
        <v>6</v>
      </c>
      <c r="O1305" s="20" t="str">
        <f t="shared" si="284"/>
        <v>Se repite 6 veces en Tradiciones Andinas</v>
      </c>
      <c r="P1305" s="20" t="str">
        <f t="shared" si="285"/>
        <v>Tradiciones Andinas-VALLES ANDINOS Aceite Vegetal con Achiote 440ml x 15-37.45</v>
      </c>
      <c r="Q1305" s="20">
        <f t="shared" si="286"/>
        <v>4</v>
      </c>
      <c r="R1305" s="20" t="str">
        <f t="shared" si="287"/>
        <v>Se repite 4 veces el precio de 37.45</v>
      </c>
      <c r="S1305" s="20" t="str">
        <f t="shared" si="288"/>
        <v>El producto VALLES ANDINOS Aceite Vegetal con Achiote 440ml x 15 Se repite 6 veces en Tradiciones Andinas, Se repite 4 veces el precio de 37.45</v>
      </c>
      <c r="T1305" s="20" t="str">
        <f t="shared" si="289"/>
        <v>Tradiciones Andinas</v>
      </c>
      <c r="U1305" s="20" t="str">
        <f t="shared" si="290"/>
        <v>VALLES ANDINOS Aceite Vegetal con Achiote 440ml x 15</v>
      </c>
      <c r="V1305" s="22">
        <f t="shared" si="291"/>
        <v>37.450000000000003</v>
      </c>
      <c r="W1305" t="str">
        <f t="shared" si="292"/>
        <v>Tradiciones Andinas 11/28/2025</v>
      </c>
      <c r="Z1305">
        <f t="shared" si="293"/>
        <v>74.900000000000006</v>
      </c>
    </row>
    <row r="1306" spans="1:26" hidden="1" x14ac:dyDescent="0.25">
      <c r="A1306" s="2" t="s">
        <v>664</v>
      </c>
      <c r="B1306" s="11" t="s">
        <v>821</v>
      </c>
      <c r="C1306" s="11" t="s">
        <v>4</v>
      </c>
      <c r="D1306" s="11" t="s">
        <v>822</v>
      </c>
      <c r="E1306" s="11" t="s">
        <v>916</v>
      </c>
      <c r="F1306" s="11" t="s">
        <v>917</v>
      </c>
      <c r="G1306" s="12">
        <v>2</v>
      </c>
      <c r="H1306" s="12">
        <v>42.96</v>
      </c>
      <c r="I1306" s="12">
        <v>85.92</v>
      </c>
      <c r="J1306" s="12">
        <v>22203.979999999996</v>
      </c>
      <c r="K1306" s="20">
        <f t="shared" si="280"/>
        <v>2</v>
      </c>
      <c r="L1306" s="20" t="str">
        <f t="shared" si="281"/>
        <v>Se repite 2 veces</v>
      </c>
      <c r="M1306" s="20" t="str">
        <f t="shared" si="282"/>
        <v>Tradiciones Andinas-Valles Andinos Aji Casero 6oz x 24</v>
      </c>
      <c r="N1306" s="20">
        <f t="shared" si="283"/>
        <v>2</v>
      </c>
      <c r="O1306" s="20" t="str">
        <f t="shared" si="284"/>
        <v>Se repite 2 veces en Tradiciones Andinas</v>
      </c>
      <c r="P1306" s="20" t="str">
        <f t="shared" si="285"/>
        <v>Tradiciones Andinas-Valles Andinos Aji Casero 6oz x 24-42.96</v>
      </c>
      <c r="Q1306" s="20">
        <f t="shared" si="286"/>
        <v>1</v>
      </c>
      <c r="R1306" s="20" t="str">
        <f t="shared" si="287"/>
        <v>No se repite</v>
      </c>
      <c r="S1306" s="20" t="str">
        <f t="shared" si="288"/>
        <v>El producto Valles Andinos Aji Casero 6oz x 24 Se repite 2 veces en Tradiciones Andinas Una vez con el precio 42.96</v>
      </c>
      <c r="T1306" s="20" t="str">
        <f t="shared" si="289"/>
        <v>Tradiciones Andinas</v>
      </c>
      <c r="U1306" s="20" t="str">
        <f t="shared" si="290"/>
        <v>Valles Andinos Aji Casero 6oz x 24</v>
      </c>
      <c r="V1306" s="22">
        <f t="shared" si="291"/>
        <v>42.96</v>
      </c>
      <c r="W1306" t="str">
        <f t="shared" si="292"/>
        <v>Tradiciones Andinas 04/25/2025</v>
      </c>
      <c r="Z1306">
        <f t="shared" si="293"/>
        <v>85.92</v>
      </c>
    </row>
    <row r="1307" spans="1:26" hidden="1" x14ac:dyDescent="0.25">
      <c r="A1307" s="2" t="s">
        <v>664</v>
      </c>
      <c r="B1307" s="11" t="s">
        <v>1033</v>
      </c>
      <c r="C1307" s="11" t="s">
        <v>4</v>
      </c>
      <c r="D1307" s="11" t="s">
        <v>1034</v>
      </c>
      <c r="E1307" s="11" t="s">
        <v>916</v>
      </c>
      <c r="F1307" s="11" t="s">
        <v>1074</v>
      </c>
      <c r="G1307" s="12">
        <v>5</v>
      </c>
      <c r="H1307" s="12">
        <v>45.96</v>
      </c>
      <c r="I1307" s="12">
        <v>229.8</v>
      </c>
      <c r="J1307" s="12">
        <v>56611.09999999994</v>
      </c>
      <c r="K1307" s="20">
        <f t="shared" si="280"/>
        <v>2</v>
      </c>
      <c r="L1307" s="20" t="str">
        <f t="shared" si="281"/>
        <v>Se repite 2 veces</v>
      </c>
      <c r="M1307" s="20" t="str">
        <f t="shared" si="282"/>
        <v>Tradiciones Andinas-Valles Andinos Aji Casero 6oz x 24</v>
      </c>
      <c r="N1307" s="20">
        <f t="shared" si="283"/>
        <v>2</v>
      </c>
      <c r="O1307" s="20" t="str">
        <f t="shared" si="284"/>
        <v>Se repite 2 veces en Tradiciones Andinas</v>
      </c>
      <c r="P1307" s="20" t="str">
        <f t="shared" si="285"/>
        <v>Tradiciones Andinas-Valles Andinos Aji Casero 6oz x 24-45.96</v>
      </c>
      <c r="Q1307" s="20">
        <f t="shared" si="286"/>
        <v>1</v>
      </c>
      <c r="R1307" s="20" t="str">
        <f t="shared" si="287"/>
        <v>No se repite</v>
      </c>
      <c r="S1307" s="20" t="str">
        <f t="shared" si="288"/>
        <v>El producto Valles Andinos Aji Casero 6oz x 24 Se repite 2 veces en Tradiciones Andinas Una vez con el precio 45.96</v>
      </c>
      <c r="T1307" s="20" t="str">
        <f t="shared" si="289"/>
        <v>Tradiciones Andinas</v>
      </c>
      <c r="U1307" s="20" t="str">
        <f t="shared" si="290"/>
        <v>Valles Andinos Aji Casero 6oz x 24</v>
      </c>
      <c r="V1307" s="22">
        <f t="shared" si="291"/>
        <v>45.96</v>
      </c>
      <c r="W1307" t="str">
        <f t="shared" si="292"/>
        <v>Tradiciones Andinas 07/03/2025</v>
      </c>
      <c r="Z1307">
        <f t="shared" si="293"/>
        <v>229.8</v>
      </c>
    </row>
    <row r="1308" spans="1:26" hidden="1" x14ac:dyDescent="0.25">
      <c r="A1308" s="2" t="s">
        <v>664</v>
      </c>
      <c r="B1308" s="11" t="s">
        <v>821</v>
      </c>
      <c r="C1308" s="11" t="s">
        <v>4</v>
      </c>
      <c r="D1308" s="11" t="s">
        <v>822</v>
      </c>
      <c r="E1308" s="11" t="s">
        <v>918</v>
      </c>
      <c r="F1308" s="11" t="s">
        <v>919</v>
      </c>
      <c r="G1308" s="12">
        <v>2</v>
      </c>
      <c r="H1308" s="12">
        <v>33.479999999999997</v>
      </c>
      <c r="I1308" s="12">
        <v>66.959999999999994</v>
      </c>
      <c r="J1308" s="12">
        <v>22270.939999999995</v>
      </c>
      <c r="K1308" s="20">
        <f t="shared" si="280"/>
        <v>2</v>
      </c>
      <c r="L1308" s="20" t="str">
        <f t="shared" si="281"/>
        <v>Se repite 2 veces</v>
      </c>
      <c r="M1308" s="20" t="str">
        <f t="shared" si="282"/>
        <v>Tradiciones Andinas-Valles Andinos Aji Peruano 14oz x 12</v>
      </c>
      <c r="N1308" s="20">
        <f t="shared" si="283"/>
        <v>2</v>
      </c>
      <c r="O1308" s="20" t="str">
        <f t="shared" si="284"/>
        <v>Se repite 2 veces en Tradiciones Andinas</v>
      </c>
      <c r="P1308" s="20" t="str">
        <f t="shared" si="285"/>
        <v>Tradiciones Andinas-Valles Andinos Aji Peruano 14oz x 12-33.48</v>
      </c>
      <c r="Q1308" s="20">
        <f t="shared" si="286"/>
        <v>2</v>
      </c>
      <c r="R1308" s="20" t="str">
        <f t="shared" si="287"/>
        <v>Se repite 2 veces el precio de 33.48</v>
      </c>
      <c r="S1308" s="20" t="str">
        <f t="shared" si="288"/>
        <v>El producto Valles Andinos Aji Peruano 14oz x 12 Se repite 2 veces en Tradiciones Andinas, Se repite 2 veces el precio de 33.48</v>
      </c>
      <c r="T1308" s="20" t="str">
        <f t="shared" si="289"/>
        <v>Tradiciones Andinas</v>
      </c>
      <c r="U1308" s="20" t="str">
        <f t="shared" si="290"/>
        <v>Valles Andinos Aji Peruano 14oz x 12</v>
      </c>
      <c r="V1308" s="22">
        <f t="shared" si="291"/>
        <v>33.479999999999997</v>
      </c>
      <c r="W1308" t="str">
        <f t="shared" si="292"/>
        <v>Tradiciones Andinas 04/25/2025</v>
      </c>
      <c r="Z1308">
        <f t="shared" si="293"/>
        <v>66.959999999999994</v>
      </c>
    </row>
    <row r="1309" spans="1:26" hidden="1" x14ac:dyDescent="0.25">
      <c r="A1309" s="2" t="s">
        <v>664</v>
      </c>
      <c r="B1309" s="11" t="s">
        <v>1033</v>
      </c>
      <c r="C1309" s="11" t="s">
        <v>4</v>
      </c>
      <c r="D1309" s="11" t="s">
        <v>1034</v>
      </c>
      <c r="E1309" s="11" t="s">
        <v>918</v>
      </c>
      <c r="F1309" s="11" t="s">
        <v>1075</v>
      </c>
      <c r="G1309" s="12">
        <v>5</v>
      </c>
      <c r="H1309" s="12">
        <v>33.479999999999997</v>
      </c>
      <c r="I1309" s="12">
        <v>167.4</v>
      </c>
      <c r="J1309" s="12">
        <v>56778.499999999942</v>
      </c>
      <c r="K1309" s="20">
        <f t="shared" si="280"/>
        <v>2</v>
      </c>
      <c r="L1309" s="20" t="str">
        <f t="shared" si="281"/>
        <v>Se repite 2 veces</v>
      </c>
      <c r="M1309" s="20" t="str">
        <f t="shared" si="282"/>
        <v>Tradiciones Andinas-Valles Andinos Aji Peruano 14oz x 12</v>
      </c>
      <c r="N1309" s="20">
        <f t="shared" si="283"/>
        <v>2</v>
      </c>
      <c r="O1309" s="20" t="str">
        <f t="shared" si="284"/>
        <v>Se repite 2 veces en Tradiciones Andinas</v>
      </c>
      <c r="P1309" s="20" t="str">
        <f t="shared" si="285"/>
        <v>Tradiciones Andinas-Valles Andinos Aji Peruano 14oz x 12-33.48</v>
      </c>
      <c r="Q1309" s="20">
        <f t="shared" si="286"/>
        <v>2</v>
      </c>
      <c r="R1309" s="20" t="str">
        <f t="shared" si="287"/>
        <v>Se repite 2 veces el precio de 33.48</v>
      </c>
      <c r="S1309" s="20" t="str">
        <f t="shared" si="288"/>
        <v>El producto Valles Andinos Aji Peruano 14oz x 12 Se repite 2 veces en Tradiciones Andinas, Se repite 2 veces el precio de 33.48</v>
      </c>
      <c r="T1309" s="20" t="str">
        <f t="shared" si="289"/>
        <v>Tradiciones Andinas</v>
      </c>
      <c r="U1309" s="20" t="str">
        <f t="shared" si="290"/>
        <v>Valles Andinos Aji Peruano 14oz x 12</v>
      </c>
      <c r="V1309" s="22">
        <f t="shared" si="291"/>
        <v>33.479999999999997</v>
      </c>
      <c r="W1309" t="str">
        <f t="shared" si="292"/>
        <v>Tradiciones Andinas 07/03/2025</v>
      </c>
      <c r="Z1309">
        <f t="shared" si="293"/>
        <v>167.39999999999998</v>
      </c>
    </row>
    <row r="1310" spans="1:26" hidden="1" x14ac:dyDescent="0.25">
      <c r="A1310" s="2" t="s">
        <v>664</v>
      </c>
      <c r="B1310" s="11" t="s">
        <v>821</v>
      </c>
      <c r="C1310" s="11" t="s">
        <v>4</v>
      </c>
      <c r="D1310" s="11" t="s">
        <v>822</v>
      </c>
      <c r="E1310" s="11" t="s">
        <v>920</v>
      </c>
      <c r="F1310" s="11" t="s">
        <v>921</v>
      </c>
      <c r="G1310" s="12">
        <v>1</v>
      </c>
      <c r="H1310" s="12">
        <v>32.15</v>
      </c>
      <c r="I1310" s="12">
        <v>32.15</v>
      </c>
      <c r="J1310" s="12">
        <v>22303.089999999997</v>
      </c>
      <c r="K1310" s="20">
        <f t="shared" si="280"/>
        <v>3</v>
      </c>
      <c r="L1310" s="20" t="str">
        <f t="shared" si="281"/>
        <v>Se repite 3 veces</v>
      </c>
      <c r="M1310" s="20" t="str">
        <f t="shared" si="282"/>
        <v>Tradiciones Andinas-Valles Andinos Ajo en Pasta /Garlic Paste 16.58oz x 15</v>
      </c>
      <c r="N1310" s="20">
        <f t="shared" si="283"/>
        <v>3</v>
      </c>
      <c r="O1310" s="20" t="str">
        <f t="shared" si="284"/>
        <v>Se repite 3 veces en Tradiciones Andinas</v>
      </c>
      <c r="P1310" s="20" t="str">
        <f t="shared" si="285"/>
        <v>Tradiciones Andinas-Valles Andinos Ajo en Pasta /Garlic Paste 16.58oz x 15-32.15</v>
      </c>
      <c r="Q1310" s="20">
        <f t="shared" si="286"/>
        <v>3</v>
      </c>
      <c r="R1310" s="20" t="str">
        <f t="shared" si="287"/>
        <v>Se repite 3 veces el precio de 32.15</v>
      </c>
      <c r="S1310" s="20" t="str">
        <f t="shared" si="288"/>
        <v>El producto Valles Andinos Ajo en Pasta /Garlic Paste 16.58oz x 15 Se repite 3 veces en Tradiciones Andinas, Se repite 3 veces el precio de 32.15</v>
      </c>
      <c r="T1310" s="20" t="str">
        <f t="shared" si="289"/>
        <v>Tradiciones Andinas</v>
      </c>
      <c r="U1310" s="20" t="str">
        <f t="shared" si="290"/>
        <v>Valles Andinos Ajo en Pasta /Garlic Paste 16.58oz x 15</v>
      </c>
      <c r="V1310" s="22">
        <f t="shared" si="291"/>
        <v>32.15</v>
      </c>
      <c r="W1310" t="str">
        <f t="shared" si="292"/>
        <v>Tradiciones Andinas 04/25/2025</v>
      </c>
      <c r="Z1310">
        <f t="shared" si="293"/>
        <v>32.15</v>
      </c>
    </row>
    <row r="1311" spans="1:26" hidden="1" x14ac:dyDescent="0.25">
      <c r="A1311" s="2" t="s">
        <v>664</v>
      </c>
      <c r="B1311" s="11" t="s">
        <v>1033</v>
      </c>
      <c r="C1311" s="11" t="s">
        <v>4</v>
      </c>
      <c r="D1311" s="11" t="s">
        <v>1034</v>
      </c>
      <c r="E1311" s="11" t="s">
        <v>920</v>
      </c>
      <c r="F1311" s="11" t="s">
        <v>1076</v>
      </c>
      <c r="G1311" s="12">
        <v>5</v>
      </c>
      <c r="H1311" s="12">
        <v>32.15</v>
      </c>
      <c r="I1311" s="12">
        <v>160.75</v>
      </c>
      <c r="J1311" s="12">
        <v>56939.249999999942</v>
      </c>
      <c r="K1311" s="20">
        <f t="shared" si="280"/>
        <v>3</v>
      </c>
      <c r="L1311" s="20" t="str">
        <f t="shared" si="281"/>
        <v>Se repite 3 veces</v>
      </c>
      <c r="M1311" s="20" t="str">
        <f t="shared" si="282"/>
        <v>Tradiciones Andinas-Valles Andinos Ajo en Pasta /Garlic Paste 16.58oz x 15</v>
      </c>
      <c r="N1311" s="20">
        <f t="shared" si="283"/>
        <v>3</v>
      </c>
      <c r="O1311" s="20" t="str">
        <f t="shared" si="284"/>
        <v>Se repite 3 veces en Tradiciones Andinas</v>
      </c>
      <c r="P1311" s="20" t="str">
        <f t="shared" si="285"/>
        <v>Tradiciones Andinas-Valles Andinos Ajo en Pasta /Garlic Paste 16.58oz x 15-32.15</v>
      </c>
      <c r="Q1311" s="20">
        <f t="shared" si="286"/>
        <v>3</v>
      </c>
      <c r="R1311" s="20" t="str">
        <f t="shared" si="287"/>
        <v>Se repite 3 veces el precio de 32.15</v>
      </c>
      <c r="S1311" s="20" t="str">
        <f t="shared" si="288"/>
        <v>El producto Valles Andinos Ajo en Pasta /Garlic Paste 16.58oz x 15 Se repite 3 veces en Tradiciones Andinas, Se repite 3 veces el precio de 32.15</v>
      </c>
      <c r="T1311" s="20" t="str">
        <f t="shared" si="289"/>
        <v>Tradiciones Andinas</v>
      </c>
      <c r="U1311" s="20" t="str">
        <f t="shared" si="290"/>
        <v>Valles Andinos Ajo en Pasta /Garlic Paste 16.58oz x 15</v>
      </c>
      <c r="V1311" s="22">
        <f t="shared" si="291"/>
        <v>32.15</v>
      </c>
      <c r="W1311" t="str">
        <f t="shared" si="292"/>
        <v>Tradiciones Andinas 07/03/2025</v>
      </c>
      <c r="Z1311">
        <f t="shared" si="293"/>
        <v>160.75</v>
      </c>
    </row>
    <row r="1312" spans="1:26" hidden="1" x14ac:dyDescent="0.25">
      <c r="A1312" s="2" t="s">
        <v>664</v>
      </c>
      <c r="B1312" s="11" t="s">
        <v>1153</v>
      </c>
      <c r="C1312" s="11" t="s">
        <v>4</v>
      </c>
      <c r="D1312" s="11" t="s">
        <v>1154</v>
      </c>
      <c r="E1312" s="11" t="s">
        <v>920</v>
      </c>
      <c r="F1312" s="11" t="s">
        <v>1076</v>
      </c>
      <c r="G1312" s="12">
        <v>3</v>
      </c>
      <c r="H1312" s="12">
        <v>32.15</v>
      </c>
      <c r="I1312" s="12">
        <v>96.45</v>
      </c>
      <c r="J1312" s="12">
        <v>85599.009999999951</v>
      </c>
      <c r="K1312" s="20">
        <f t="shared" si="280"/>
        <v>3</v>
      </c>
      <c r="L1312" s="20" t="str">
        <f t="shared" si="281"/>
        <v>Se repite 3 veces</v>
      </c>
      <c r="M1312" s="20" t="str">
        <f t="shared" si="282"/>
        <v>Tradiciones Andinas-Valles Andinos Ajo en Pasta /Garlic Paste 16.58oz x 15</v>
      </c>
      <c r="N1312" s="20">
        <f t="shared" si="283"/>
        <v>3</v>
      </c>
      <c r="O1312" s="20" t="str">
        <f t="shared" si="284"/>
        <v>Se repite 3 veces en Tradiciones Andinas</v>
      </c>
      <c r="P1312" s="20" t="str">
        <f t="shared" si="285"/>
        <v>Tradiciones Andinas-Valles Andinos Ajo en Pasta /Garlic Paste 16.58oz x 15-32.15</v>
      </c>
      <c r="Q1312" s="20">
        <f t="shared" si="286"/>
        <v>3</v>
      </c>
      <c r="R1312" s="20" t="str">
        <f t="shared" si="287"/>
        <v>Se repite 3 veces el precio de 32.15</v>
      </c>
      <c r="S1312" s="20" t="str">
        <f t="shared" si="288"/>
        <v>El producto Valles Andinos Ajo en Pasta /Garlic Paste 16.58oz x 15 Se repite 3 veces en Tradiciones Andinas, Se repite 3 veces el precio de 32.15</v>
      </c>
      <c r="T1312" s="20" t="str">
        <f t="shared" si="289"/>
        <v>Tradiciones Andinas</v>
      </c>
      <c r="U1312" s="20" t="str">
        <f t="shared" si="290"/>
        <v>Valles Andinos Ajo en Pasta /Garlic Paste 16.58oz x 15</v>
      </c>
      <c r="V1312" s="22">
        <f t="shared" si="291"/>
        <v>32.15</v>
      </c>
      <c r="W1312" t="str">
        <f t="shared" si="292"/>
        <v>Tradiciones Andinas 09/24/2025</v>
      </c>
      <c r="Z1312">
        <f t="shared" si="293"/>
        <v>96.449999999999989</v>
      </c>
    </row>
    <row r="1313" spans="1:26" hidden="1" x14ac:dyDescent="0.25">
      <c r="A1313" s="2" t="s">
        <v>664</v>
      </c>
      <c r="B1313" s="11" t="s">
        <v>821</v>
      </c>
      <c r="C1313" s="11" t="s">
        <v>4</v>
      </c>
      <c r="D1313" s="11" t="s">
        <v>822</v>
      </c>
      <c r="E1313" s="11" t="s">
        <v>922</v>
      </c>
      <c r="F1313" s="11" t="s">
        <v>923</v>
      </c>
      <c r="G1313" s="12">
        <v>1</v>
      </c>
      <c r="H1313" s="12">
        <v>32.15</v>
      </c>
      <c r="I1313" s="12">
        <v>32.15</v>
      </c>
      <c r="J1313" s="12">
        <v>22335.239999999998</v>
      </c>
      <c r="K1313" s="20">
        <f t="shared" si="280"/>
        <v>3</v>
      </c>
      <c r="L1313" s="20" t="str">
        <f t="shared" si="281"/>
        <v>Se repite 3 veces</v>
      </c>
      <c r="M1313" s="20" t="str">
        <f t="shared" si="282"/>
        <v>Tradiciones Andinas-Valles Andinos Aliño - Ecuatorian Seasoning 17.64oz x 15</v>
      </c>
      <c r="N1313" s="20">
        <f t="shared" si="283"/>
        <v>3</v>
      </c>
      <c r="O1313" s="20" t="str">
        <f t="shared" si="284"/>
        <v>Se repite 3 veces en Tradiciones Andinas</v>
      </c>
      <c r="P1313" s="20" t="str">
        <f t="shared" si="285"/>
        <v>Tradiciones Andinas-Valles Andinos Aliño - Ecuatorian Seasoning 17.64oz x 15-32.15</v>
      </c>
      <c r="Q1313" s="20">
        <f t="shared" si="286"/>
        <v>3</v>
      </c>
      <c r="R1313" s="20" t="str">
        <f t="shared" si="287"/>
        <v>Se repite 3 veces el precio de 32.15</v>
      </c>
      <c r="S1313" s="20" t="str">
        <f t="shared" si="288"/>
        <v>El producto Valles Andinos Aliño - Ecuatorian Seasoning 17.64oz x 15 Se repite 3 veces en Tradiciones Andinas, Se repite 3 veces el precio de 32.15</v>
      </c>
      <c r="T1313" s="20" t="str">
        <f t="shared" si="289"/>
        <v>Tradiciones Andinas</v>
      </c>
      <c r="U1313" s="20" t="str">
        <f t="shared" si="290"/>
        <v>Valles Andinos Aliño - Ecuatorian Seasoning 17.64oz x 15</v>
      </c>
      <c r="V1313" s="22">
        <f t="shared" si="291"/>
        <v>32.15</v>
      </c>
      <c r="W1313" t="str">
        <f t="shared" si="292"/>
        <v>Tradiciones Andinas 04/25/2025</v>
      </c>
      <c r="Z1313">
        <f t="shared" si="293"/>
        <v>32.15</v>
      </c>
    </row>
    <row r="1314" spans="1:26" hidden="1" x14ac:dyDescent="0.25">
      <c r="A1314" s="2" t="s">
        <v>664</v>
      </c>
      <c r="B1314" s="11" t="s">
        <v>1033</v>
      </c>
      <c r="C1314" s="11" t="s">
        <v>4</v>
      </c>
      <c r="D1314" s="11" t="s">
        <v>1034</v>
      </c>
      <c r="E1314" s="11" t="s">
        <v>922</v>
      </c>
      <c r="F1314" s="11" t="s">
        <v>1077</v>
      </c>
      <c r="G1314" s="12">
        <v>5</v>
      </c>
      <c r="H1314" s="12">
        <v>32.15</v>
      </c>
      <c r="I1314" s="12">
        <v>160.75</v>
      </c>
      <c r="J1314" s="12">
        <v>57099.999999999942</v>
      </c>
      <c r="K1314" s="20">
        <f t="shared" si="280"/>
        <v>3</v>
      </c>
      <c r="L1314" s="20" t="str">
        <f t="shared" si="281"/>
        <v>Se repite 3 veces</v>
      </c>
      <c r="M1314" s="20" t="str">
        <f t="shared" si="282"/>
        <v>Tradiciones Andinas-Valles Andinos Aliño - Ecuatorian Seasoning 17.64oz x 15</v>
      </c>
      <c r="N1314" s="20">
        <f t="shared" si="283"/>
        <v>3</v>
      </c>
      <c r="O1314" s="20" t="str">
        <f t="shared" si="284"/>
        <v>Se repite 3 veces en Tradiciones Andinas</v>
      </c>
      <c r="P1314" s="20" t="str">
        <f t="shared" si="285"/>
        <v>Tradiciones Andinas-Valles Andinos Aliño - Ecuatorian Seasoning 17.64oz x 15-32.15</v>
      </c>
      <c r="Q1314" s="20">
        <f t="shared" si="286"/>
        <v>3</v>
      </c>
      <c r="R1314" s="20" t="str">
        <f t="shared" si="287"/>
        <v>Se repite 3 veces el precio de 32.15</v>
      </c>
      <c r="S1314" s="20" t="str">
        <f t="shared" si="288"/>
        <v>El producto Valles Andinos Aliño - Ecuatorian Seasoning 17.64oz x 15 Se repite 3 veces en Tradiciones Andinas, Se repite 3 veces el precio de 32.15</v>
      </c>
      <c r="T1314" s="20" t="str">
        <f t="shared" si="289"/>
        <v>Tradiciones Andinas</v>
      </c>
      <c r="U1314" s="20" t="str">
        <f t="shared" si="290"/>
        <v>Valles Andinos Aliño - Ecuatorian Seasoning 17.64oz x 15</v>
      </c>
      <c r="V1314" s="22">
        <f t="shared" si="291"/>
        <v>32.15</v>
      </c>
      <c r="W1314" t="str">
        <f t="shared" si="292"/>
        <v>Tradiciones Andinas 07/03/2025</v>
      </c>
      <c r="Z1314">
        <f t="shared" si="293"/>
        <v>160.75</v>
      </c>
    </row>
    <row r="1315" spans="1:26" hidden="1" x14ac:dyDescent="0.25">
      <c r="A1315" s="2" t="s">
        <v>664</v>
      </c>
      <c r="B1315" s="11" t="s">
        <v>1153</v>
      </c>
      <c r="C1315" s="11" t="s">
        <v>4</v>
      </c>
      <c r="D1315" s="11" t="s">
        <v>1154</v>
      </c>
      <c r="E1315" s="11" t="s">
        <v>922</v>
      </c>
      <c r="F1315" s="11" t="s">
        <v>1077</v>
      </c>
      <c r="G1315" s="12">
        <v>3</v>
      </c>
      <c r="H1315" s="12">
        <v>32.15</v>
      </c>
      <c r="I1315" s="12">
        <v>96.45</v>
      </c>
      <c r="J1315" s="12">
        <v>85695.459999999948</v>
      </c>
      <c r="K1315" s="20">
        <f t="shared" si="280"/>
        <v>3</v>
      </c>
      <c r="L1315" s="20" t="str">
        <f t="shared" si="281"/>
        <v>Se repite 3 veces</v>
      </c>
      <c r="M1315" s="20" t="str">
        <f t="shared" si="282"/>
        <v>Tradiciones Andinas-Valles Andinos Aliño - Ecuatorian Seasoning 17.64oz x 15</v>
      </c>
      <c r="N1315" s="20">
        <f t="shared" si="283"/>
        <v>3</v>
      </c>
      <c r="O1315" s="20" t="str">
        <f t="shared" si="284"/>
        <v>Se repite 3 veces en Tradiciones Andinas</v>
      </c>
      <c r="P1315" s="20" t="str">
        <f t="shared" si="285"/>
        <v>Tradiciones Andinas-Valles Andinos Aliño - Ecuatorian Seasoning 17.64oz x 15-32.15</v>
      </c>
      <c r="Q1315" s="20">
        <f t="shared" si="286"/>
        <v>3</v>
      </c>
      <c r="R1315" s="20" t="str">
        <f t="shared" si="287"/>
        <v>Se repite 3 veces el precio de 32.15</v>
      </c>
      <c r="S1315" s="20" t="str">
        <f t="shared" si="288"/>
        <v>El producto Valles Andinos Aliño - Ecuatorian Seasoning 17.64oz x 15 Se repite 3 veces en Tradiciones Andinas, Se repite 3 veces el precio de 32.15</v>
      </c>
      <c r="T1315" s="20" t="str">
        <f t="shared" si="289"/>
        <v>Tradiciones Andinas</v>
      </c>
      <c r="U1315" s="20" t="str">
        <f t="shared" si="290"/>
        <v>Valles Andinos Aliño - Ecuatorian Seasoning 17.64oz x 15</v>
      </c>
      <c r="V1315" s="22">
        <f t="shared" si="291"/>
        <v>32.15</v>
      </c>
      <c r="W1315" t="str">
        <f t="shared" si="292"/>
        <v>Tradiciones Andinas 09/24/2025</v>
      </c>
      <c r="Z1315">
        <f t="shared" si="293"/>
        <v>96.449999999999989</v>
      </c>
    </row>
    <row r="1316" spans="1:26" hidden="1" x14ac:dyDescent="0.25">
      <c r="A1316" s="2" t="s">
        <v>664</v>
      </c>
      <c r="B1316" s="11" t="s">
        <v>1092</v>
      </c>
      <c r="C1316" s="11" t="s">
        <v>4</v>
      </c>
      <c r="D1316" s="11" t="s">
        <v>1093</v>
      </c>
      <c r="E1316" s="11" t="s">
        <v>1119</v>
      </c>
      <c r="F1316" s="11" t="s">
        <v>1120</v>
      </c>
      <c r="G1316" s="12">
        <v>1</v>
      </c>
      <c r="H1316" s="12">
        <v>25.02</v>
      </c>
      <c r="I1316" s="12">
        <v>25.02</v>
      </c>
      <c r="J1316" s="12">
        <v>63344.479999999945</v>
      </c>
      <c r="K1316" s="20">
        <f t="shared" si="280"/>
        <v>3</v>
      </c>
      <c r="L1316" s="20" t="str">
        <f t="shared" si="281"/>
        <v>Se repite 3 veces</v>
      </c>
      <c r="M1316" s="20" t="str">
        <f t="shared" si="282"/>
        <v>Tradiciones Andinas-Valles Andinos Arroz de Cebada / Barley Corn 14oz x 18</v>
      </c>
      <c r="N1316" s="20">
        <f t="shared" si="283"/>
        <v>3</v>
      </c>
      <c r="O1316" s="20" t="str">
        <f t="shared" si="284"/>
        <v>Se repite 3 veces en Tradiciones Andinas</v>
      </c>
      <c r="P1316" s="20" t="str">
        <f t="shared" si="285"/>
        <v>Tradiciones Andinas-Valles Andinos Arroz de Cebada / Barley Corn 14oz x 18-25.02</v>
      </c>
      <c r="Q1316" s="20">
        <f t="shared" si="286"/>
        <v>3</v>
      </c>
      <c r="R1316" s="20" t="str">
        <f t="shared" si="287"/>
        <v>Se repite 3 veces el precio de 25.02</v>
      </c>
      <c r="S1316" s="20" t="str">
        <f t="shared" si="288"/>
        <v>El producto Valles Andinos Arroz de Cebada / Barley Corn 14oz x 18 Se repite 3 veces en Tradiciones Andinas, Se repite 3 veces el precio de 25.02</v>
      </c>
      <c r="T1316" s="20" t="str">
        <f t="shared" si="289"/>
        <v>Tradiciones Andinas</v>
      </c>
      <c r="U1316" s="20" t="str">
        <f t="shared" si="290"/>
        <v>Valles Andinos Arroz de Cebada / Barley Corn 14oz x 18</v>
      </c>
      <c r="V1316" s="22">
        <f t="shared" si="291"/>
        <v>25.02</v>
      </c>
      <c r="W1316" t="str">
        <f t="shared" si="292"/>
        <v>Tradiciones Andinas 07/21/2025</v>
      </c>
      <c r="Z1316">
        <f t="shared" si="293"/>
        <v>25.02</v>
      </c>
    </row>
    <row r="1317" spans="1:26" hidden="1" x14ac:dyDescent="0.25">
      <c r="A1317" s="2" t="s">
        <v>664</v>
      </c>
      <c r="B1317" s="11" t="s">
        <v>1125</v>
      </c>
      <c r="C1317" s="11" t="s">
        <v>4</v>
      </c>
      <c r="D1317" s="11" t="s">
        <v>1126</v>
      </c>
      <c r="E1317" s="11" t="s">
        <v>1119</v>
      </c>
      <c r="F1317" s="11" t="s">
        <v>1120</v>
      </c>
      <c r="G1317" s="12">
        <v>2</v>
      </c>
      <c r="H1317" s="12">
        <v>25.02</v>
      </c>
      <c r="I1317" s="12">
        <v>50.04</v>
      </c>
      <c r="J1317" s="12">
        <v>71984.479999999996</v>
      </c>
      <c r="K1317" s="20">
        <f t="shared" si="280"/>
        <v>3</v>
      </c>
      <c r="L1317" s="20" t="str">
        <f t="shared" si="281"/>
        <v>Se repite 3 veces</v>
      </c>
      <c r="M1317" s="20" t="str">
        <f t="shared" si="282"/>
        <v>Tradiciones Andinas-Valles Andinos Arroz de Cebada / Barley Corn 14oz x 18</v>
      </c>
      <c r="N1317" s="20">
        <f t="shared" si="283"/>
        <v>3</v>
      </c>
      <c r="O1317" s="20" t="str">
        <f t="shared" si="284"/>
        <v>Se repite 3 veces en Tradiciones Andinas</v>
      </c>
      <c r="P1317" s="20" t="str">
        <f t="shared" si="285"/>
        <v>Tradiciones Andinas-Valles Andinos Arroz de Cebada / Barley Corn 14oz x 18-25.02</v>
      </c>
      <c r="Q1317" s="20">
        <f t="shared" si="286"/>
        <v>3</v>
      </c>
      <c r="R1317" s="20" t="str">
        <f t="shared" si="287"/>
        <v>Se repite 3 veces el precio de 25.02</v>
      </c>
      <c r="S1317" s="20" t="str">
        <f t="shared" si="288"/>
        <v>El producto Valles Andinos Arroz de Cebada / Barley Corn 14oz x 18 Se repite 3 veces en Tradiciones Andinas, Se repite 3 veces el precio de 25.02</v>
      </c>
      <c r="T1317" s="20" t="str">
        <f t="shared" si="289"/>
        <v>Tradiciones Andinas</v>
      </c>
      <c r="U1317" s="20" t="str">
        <f t="shared" si="290"/>
        <v>Valles Andinos Arroz de Cebada / Barley Corn 14oz x 18</v>
      </c>
      <c r="V1317" s="22">
        <f t="shared" si="291"/>
        <v>25.02</v>
      </c>
      <c r="W1317" t="str">
        <f t="shared" si="292"/>
        <v>Tradiciones Andinas 08/18/2025</v>
      </c>
      <c r="Z1317">
        <f t="shared" si="293"/>
        <v>50.04</v>
      </c>
    </row>
    <row r="1318" spans="1:26" hidden="1" x14ac:dyDescent="0.25">
      <c r="A1318" s="2" t="s">
        <v>664</v>
      </c>
      <c r="B1318" s="11" t="s">
        <v>1153</v>
      </c>
      <c r="C1318" s="11" t="s">
        <v>4</v>
      </c>
      <c r="D1318" s="11" t="s">
        <v>1154</v>
      </c>
      <c r="E1318" s="11" t="s">
        <v>1119</v>
      </c>
      <c r="F1318" s="11" t="s">
        <v>1120</v>
      </c>
      <c r="G1318" s="12">
        <v>2</v>
      </c>
      <c r="H1318" s="12">
        <v>25.02</v>
      </c>
      <c r="I1318" s="12">
        <v>50.04</v>
      </c>
      <c r="J1318" s="12">
        <v>86065.499999999942</v>
      </c>
      <c r="K1318" s="20">
        <f t="shared" si="280"/>
        <v>3</v>
      </c>
      <c r="L1318" s="20" t="str">
        <f t="shared" si="281"/>
        <v>Se repite 3 veces</v>
      </c>
      <c r="M1318" s="20" t="str">
        <f t="shared" si="282"/>
        <v>Tradiciones Andinas-Valles Andinos Arroz de Cebada / Barley Corn 14oz x 18</v>
      </c>
      <c r="N1318" s="20">
        <f t="shared" si="283"/>
        <v>3</v>
      </c>
      <c r="O1318" s="20" t="str">
        <f t="shared" si="284"/>
        <v>Se repite 3 veces en Tradiciones Andinas</v>
      </c>
      <c r="P1318" s="20" t="str">
        <f t="shared" si="285"/>
        <v>Tradiciones Andinas-Valles Andinos Arroz de Cebada / Barley Corn 14oz x 18-25.02</v>
      </c>
      <c r="Q1318" s="20">
        <f t="shared" si="286"/>
        <v>3</v>
      </c>
      <c r="R1318" s="20" t="str">
        <f t="shared" si="287"/>
        <v>Se repite 3 veces el precio de 25.02</v>
      </c>
      <c r="S1318" s="20" t="str">
        <f t="shared" si="288"/>
        <v>El producto Valles Andinos Arroz de Cebada / Barley Corn 14oz x 18 Se repite 3 veces en Tradiciones Andinas, Se repite 3 veces el precio de 25.02</v>
      </c>
      <c r="T1318" s="20" t="str">
        <f t="shared" si="289"/>
        <v>Tradiciones Andinas</v>
      </c>
      <c r="U1318" s="20" t="str">
        <f t="shared" si="290"/>
        <v>Valles Andinos Arroz de Cebada / Barley Corn 14oz x 18</v>
      </c>
      <c r="V1318" s="22">
        <f t="shared" si="291"/>
        <v>25.02</v>
      </c>
      <c r="W1318" t="str">
        <f t="shared" si="292"/>
        <v>Tradiciones Andinas 09/24/2025</v>
      </c>
      <c r="Z1318">
        <f t="shared" si="293"/>
        <v>50.04</v>
      </c>
    </row>
    <row r="1319" spans="1:26" hidden="1" x14ac:dyDescent="0.25">
      <c r="A1319" s="2" t="s">
        <v>664</v>
      </c>
      <c r="B1319" s="11" t="s">
        <v>1193</v>
      </c>
      <c r="C1319" s="11" t="s">
        <v>4</v>
      </c>
      <c r="D1319" s="11" t="s">
        <v>1194</v>
      </c>
      <c r="E1319" s="11" t="s">
        <v>1199</v>
      </c>
      <c r="F1319" s="11" t="s">
        <v>1200</v>
      </c>
      <c r="G1319" s="12">
        <v>2</v>
      </c>
      <c r="H1319" s="12">
        <v>18</v>
      </c>
      <c r="I1319" s="12">
        <v>36</v>
      </c>
      <c r="J1319" s="12">
        <v>100254.82999999994</v>
      </c>
      <c r="K1319" s="20">
        <f t="shared" si="280"/>
        <v>2</v>
      </c>
      <c r="L1319" s="20" t="str">
        <f t="shared" si="281"/>
        <v>Se repite 2 veces</v>
      </c>
      <c r="M1319" s="20" t="str">
        <f t="shared" si="282"/>
        <v>Tradiciones Andinas-Valles Andinos Arverjas Verdes 14oz x 24</v>
      </c>
      <c r="N1319" s="20">
        <f t="shared" si="283"/>
        <v>2</v>
      </c>
      <c r="O1319" s="20" t="str">
        <f t="shared" si="284"/>
        <v>Se repite 2 veces en Tradiciones Andinas</v>
      </c>
      <c r="P1319" s="20" t="str">
        <f t="shared" si="285"/>
        <v>Tradiciones Andinas-Valles Andinos Arverjas Verdes 14oz x 24-18</v>
      </c>
      <c r="Q1319" s="20">
        <f t="shared" si="286"/>
        <v>2</v>
      </c>
      <c r="R1319" s="20" t="str">
        <f t="shared" si="287"/>
        <v>Se repite 2 veces el precio de 18</v>
      </c>
      <c r="S1319" s="20" t="str">
        <f t="shared" si="288"/>
        <v>El producto Valles Andinos Arverjas Verdes 14oz x 24 Se repite 2 veces en Tradiciones Andinas, Se repite 2 veces el precio de 18</v>
      </c>
      <c r="T1319" s="20" t="str">
        <f t="shared" si="289"/>
        <v>Tradiciones Andinas</v>
      </c>
      <c r="U1319" s="20" t="str">
        <f t="shared" si="290"/>
        <v>Valles Andinos Arverjas Verdes 14oz x 24</v>
      </c>
      <c r="V1319" s="22">
        <f t="shared" si="291"/>
        <v>18</v>
      </c>
      <c r="W1319" t="str">
        <f t="shared" si="292"/>
        <v>Tradiciones Andinas 10/30/2025</v>
      </c>
      <c r="Z1319">
        <f t="shared" si="293"/>
        <v>36</v>
      </c>
    </row>
    <row r="1320" spans="1:26" hidden="1" x14ac:dyDescent="0.25">
      <c r="A1320" s="2" t="s">
        <v>664</v>
      </c>
      <c r="B1320" s="11" t="s">
        <v>1201</v>
      </c>
      <c r="C1320" s="11" t="s">
        <v>4</v>
      </c>
      <c r="D1320" s="11" t="s">
        <v>1202</v>
      </c>
      <c r="E1320" s="11" t="s">
        <v>1199</v>
      </c>
      <c r="F1320" s="11" t="s">
        <v>1200</v>
      </c>
      <c r="G1320" s="12">
        <v>1</v>
      </c>
      <c r="H1320" s="12">
        <v>18</v>
      </c>
      <c r="I1320" s="12">
        <v>18</v>
      </c>
      <c r="J1320" s="12">
        <v>104580.79999999993</v>
      </c>
      <c r="K1320" s="20">
        <f t="shared" si="280"/>
        <v>2</v>
      </c>
      <c r="L1320" s="20" t="str">
        <f t="shared" si="281"/>
        <v>Se repite 2 veces</v>
      </c>
      <c r="M1320" s="20" t="str">
        <f t="shared" si="282"/>
        <v>Tradiciones Andinas-Valles Andinos Arverjas Verdes 14oz x 24</v>
      </c>
      <c r="N1320" s="20">
        <f t="shared" si="283"/>
        <v>2</v>
      </c>
      <c r="O1320" s="20" t="str">
        <f t="shared" si="284"/>
        <v>Se repite 2 veces en Tradiciones Andinas</v>
      </c>
      <c r="P1320" s="20" t="str">
        <f t="shared" si="285"/>
        <v>Tradiciones Andinas-Valles Andinos Arverjas Verdes 14oz x 24-18</v>
      </c>
      <c r="Q1320" s="20">
        <f t="shared" si="286"/>
        <v>2</v>
      </c>
      <c r="R1320" s="20" t="str">
        <f t="shared" si="287"/>
        <v>Se repite 2 veces el precio de 18</v>
      </c>
      <c r="S1320" s="20" t="str">
        <f t="shared" si="288"/>
        <v>El producto Valles Andinos Arverjas Verdes 14oz x 24 Se repite 2 veces en Tradiciones Andinas, Se repite 2 veces el precio de 18</v>
      </c>
      <c r="T1320" s="20" t="str">
        <f t="shared" si="289"/>
        <v>Tradiciones Andinas</v>
      </c>
      <c r="U1320" s="20" t="str">
        <f t="shared" si="290"/>
        <v>Valles Andinos Arverjas Verdes 14oz x 24</v>
      </c>
      <c r="V1320" s="22">
        <f t="shared" si="291"/>
        <v>18</v>
      </c>
      <c r="W1320" t="str">
        <f t="shared" si="292"/>
        <v>Tradiciones Andinas 11/07/2025</v>
      </c>
      <c r="Z1320">
        <f t="shared" si="293"/>
        <v>18</v>
      </c>
    </row>
    <row r="1321" spans="1:26" hidden="1" x14ac:dyDescent="0.25">
      <c r="A1321" s="2" t="s">
        <v>664</v>
      </c>
      <c r="B1321" s="11" t="s">
        <v>1092</v>
      </c>
      <c r="C1321" s="11" t="s">
        <v>4</v>
      </c>
      <c r="D1321" s="11" t="s">
        <v>1093</v>
      </c>
      <c r="E1321" s="11" t="s">
        <v>1110</v>
      </c>
      <c r="F1321" s="11" t="s">
        <v>1111</v>
      </c>
      <c r="G1321" s="12">
        <v>3</v>
      </c>
      <c r="H1321" s="12">
        <v>23.76</v>
      </c>
      <c r="I1321" s="12">
        <v>71.28</v>
      </c>
      <c r="J1321" s="12">
        <v>63017.059999999954</v>
      </c>
      <c r="K1321" s="20">
        <f t="shared" si="280"/>
        <v>2</v>
      </c>
      <c r="L1321" s="20" t="str">
        <f t="shared" si="281"/>
        <v>Se repite 2 veces</v>
      </c>
      <c r="M1321" s="20" t="str">
        <f t="shared" si="282"/>
        <v>Tradiciones Andinas-Valles Andinos Canguil / Pop Corn</v>
      </c>
      <c r="N1321" s="20">
        <f t="shared" si="283"/>
        <v>2</v>
      </c>
      <c r="O1321" s="20" t="str">
        <f t="shared" si="284"/>
        <v>Se repite 2 veces en Tradiciones Andinas</v>
      </c>
      <c r="P1321" s="20" t="str">
        <f t="shared" si="285"/>
        <v>Tradiciones Andinas-Valles Andinos Canguil / Pop Corn-23.76</v>
      </c>
      <c r="Q1321" s="20">
        <f t="shared" si="286"/>
        <v>2</v>
      </c>
      <c r="R1321" s="20" t="str">
        <f t="shared" si="287"/>
        <v>Se repite 2 veces el precio de 23.76</v>
      </c>
      <c r="S1321" s="20" t="str">
        <f t="shared" si="288"/>
        <v>El producto Valles Andinos Canguil / Pop Corn Se repite 2 veces en Tradiciones Andinas, Se repite 2 veces el precio de 23.76</v>
      </c>
      <c r="T1321" s="20" t="str">
        <f t="shared" si="289"/>
        <v>Tradiciones Andinas</v>
      </c>
      <c r="U1321" s="20" t="str">
        <f t="shared" si="290"/>
        <v>Valles Andinos Canguil / Pop Corn</v>
      </c>
      <c r="V1321" s="22">
        <f t="shared" si="291"/>
        <v>23.76</v>
      </c>
      <c r="W1321" t="str">
        <f t="shared" si="292"/>
        <v>Tradiciones Andinas 07/21/2025</v>
      </c>
      <c r="Z1321">
        <f t="shared" si="293"/>
        <v>71.28</v>
      </c>
    </row>
    <row r="1322" spans="1:26" hidden="1" x14ac:dyDescent="0.25">
      <c r="A1322" s="2" t="s">
        <v>664</v>
      </c>
      <c r="B1322" s="11" t="s">
        <v>1125</v>
      </c>
      <c r="C1322" s="11" t="s">
        <v>4</v>
      </c>
      <c r="D1322" s="11" t="s">
        <v>1126</v>
      </c>
      <c r="E1322" s="11" t="s">
        <v>1110</v>
      </c>
      <c r="F1322" s="11" t="s">
        <v>1111</v>
      </c>
      <c r="G1322" s="12">
        <v>2</v>
      </c>
      <c r="H1322" s="12">
        <v>23.76</v>
      </c>
      <c r="I1322" s="12">
        <v>47.52</v>
      </c>
      <c r="J1322" s="12">
        <v>72032</v>
      </c>
      <c r="K1322" s="20">
        <f t="shared" si="280"/>
        <v>2</v>
      </c>
      <c r="L1322" s="20" t="str">
        <f t="shared" si="281"/>
        <v>Se repite 2 veces</v>
      </c>
      <c r="M1322" s="20" t="str">
        <f t="shared" si="282"/>
        <v>Tradiciones Andinas-Valles Andinos Canguil / Pop Corn</v>
      </c>
      <c r="N1322" s="20">
        <f t="shared" si="283"/>
        <v>2</v>
      </c>
      <c r="O1322" s="20" t="str">
        <f t="shared" si="284"/>
        <v>Se repite 2 veces en Tradiciones Andinas</v>
      </c>
      <c r="P1322" s="20" t="str">
        <f t="shared" si="285"/>
        <v>Tradiciones Andinas-Valles Andinos Canguil / Pop Corn-23.76</v>
      </c>
      <c r="Q1322" s="20">
        <f t="shared" si="286"/>
        <v>2</v>
      </c>
      <c r="R1322" s="20" t="str">
        <f t="shared" si="287"/>
        <v>Se repite 2 veces el precio de 23.76</v>
      </c>
      <c r="S1322" s="20" t="str">
        <f t="shared" si="288"/>
        <v>El producto Valles Andinos Canguil / Pop Corn Se repite 2 veces en Tradiciones Andinas, Se repite 2 veces el precio de 23.76</v>
      </c>
      <c r="T1322" s="20" t="str">
        <f t="shared" si="289"/>
        <v>Tradiciones Andinas</v>
      </c>
      <c r="U1322" s="20" t="str">
        <f t="shared" si="290"/>
        <v>Valles Andinos Canguil / Pop Corn</v>
      </c>
      <c r="V1322" s="22">
        <f t="shared" si="291"/>
        <v>23.76</v>
      </c>
      <c r="W1322" t="str">
        <f t="shared" si="292"/>
        <v>Tradiciones Andinas 08/18/2025</v>
      </c>
      <c r="Z1322">
        <f t="shared" si="293"/>
        <v>47.52</v>
      </c>
    </row>
    <row r="1323" spans="1:26" hidden="1" x14ac:dyDescent="0.25">
      <c r="A1323" s="2" t="s">
        <v>664</v>
      </c>
      <c r="B1323" s="11" t="s">
        <v>821</v>
      </c>
      <c r="C1323" s="11" t="s">
        <v>4</v>
      </c>
      <c r="D1323" s="11" t="s">
        <v>822</v>
      </c>
      <c r="E1323" s="11" t="s">
        <v>926</v>
      </c>
      <c r="F1323" s="11" t="s">
        <v>927</v>
      </c>
      <c r="G1323" s="12">
        <v>1</v>
      </c>
      <c r="H1323" s="12">
        <v>32.15</v>
      </c>
      <c r="I1323" s="12">
        <v>32.15</v>
      </c>
      <c r="J1323" s="12">
        <v>22399.54</v>
      </c>
      <c r="K1323" s="20">
        <f t="shared" si="280"/>
        <v>4</v>
      </c>
      <c r="L1323" s="20" t="str">
        <f t="shared" si="281"/>
        <v>Se repite 4 veces</v>
      </c>
      <c r="M1323" s="20" t="str">
        <f t="shared" si="282"/>
        <v>Tradiciones Andinas-Valles Andinos Chimichurri - BBQ Sauce 500gr x 15</v>
      </c>
      <c r="N1323" s="20">
        <f t="shared" si="283"/>
        <v>4</v>
      </c>
      <c r="O1323" s="20" t="str">
        <f t="shared" si="284"/>
        <v>Se repite 4 veces en Tradiciones Andinas</v>
      </c>
      <c r="P1323" s="20" t="str">
        <f t="shared" si="285"/>
        <v>Tradiciones Andinas-Valles Andinos Chimichurri - BBQ Sauce 500gr x 15-32.15</v>
      </c>
      <c r="Q1323" s="20">
        <f t="shared" si="286"/>
        <v>4</v>
      </c>
      <c r="R1323" s="20" t="str">
        <f t="shared" si="287"/>
        <v>Se repite 4 veces el precio de 32.15</v>
      </c>
      <c r="S1323" s="20" t="str">
        <f t="shared" si="288"/>
        <v>El producto Valles Andinos Chimichurri - BBQ Sauce 500gr x 15 Se repite 4 veces en Tradiciones Andinas, Se repite 4 veces el precio de 32.15</v>
      </c>
      <c r="T1323" s="20" t="str">
        <f t="shared" si="289"/>
        <v>Tradiciones Andinas</v>
      </c>
      <c r="U1323" s="20" t="str">
        <f t="shared" si="290"/>
        <v>Valles Andinos Chimichurri - BBQ Sauce 500gr x 15</v>
      </c>
      <c r="V1323" s="22">
        <f t="shared" si="291"/>
        <v>32.15</v>
      </c>
      <c r="W1323" t="str">
        <f t="shared" si="292"/>
        <v>Tradiciones Andinas 04/25/2025</v>
      </c>
      <c r="Z1323">
        <f t="shared" si="293"/>
        <v>32.15</v>
      </c>
    </row>
    <row r="1324" spans="1:26" hidden="1" x14ac:dyDescent="0.25">
      <c r="A1324" s="2" t="s">
        <v>664</v>
      </c>
      <c r="B1324" s="11" t="s">
        <v>1033</v>
      </c>
      <c r="C1324" s="11" t="s">
        <v>4</v>
      </c>
      <c r="D1324" s="11" t="s">
        <v>1034</v>
      </c>
      <c r="E1324" s="11" t="s">
        <v>926</v>
      </c>
      <c r="F1324" s="11" t="s">
        <v>1079</v>
      </c>
      <c r="G1324" s="12">
        <v>5</v>
      </c>
      <c r="H1324" s="12">
        <v>32.15</v>
      </c>
      <c r="I1324" s="12">
        <v>160.75</v>
      </c>
      <c r="J1324" s="12">
        <v>57421.499999999942</v>
      </c>
      <c r="K1324" s="20">
        <f t="shared" si="280"/>
        <v>4</v>
      </c>
      <c r="L1324" s="20" t="str">
        <f t="shared" si="281"/>
        <v>Se repite 4 veces</v>
      </c>
      <c r="M1324" s="20" t="str">
        <f t="shared" si="282"/>
        <v>Tradiciones Andinas-Valles Andinos Chimichurri - BBQ Sauce 500gr x 15</v>
      </c>
      <c r="N1324" s="20">
        <f t="shared" si="283"/>
        <v>4</v>
      </c>
      <c r="O1324" s="20" t="str">
        <f t="shared" si="284"/>
        <v>Se repite 4 veces en Tradiciones Andinas</v>
      </c>
      <c r="P1324" s="20" t="str">
        <f t="shared" si="285"/>
        <v>Tradiciones Andinas-Valles Andinos Chimichurri - BBQ Sauce 500gr x 15-32.15</v>
      </c>
      <c r="Q1324" s="20">
        <f t="shared" si="286"/>
        <v>4</v>
      </c>
      <c r="R1324" s="20" t="str">
        <f t="shared" si="287"/>
        <v>Se repite 4 veces el precio de 32.15</v>
      </c>
      <c r="S1324" s="20" t="str">
        <f t="shared" si="288"/>
        <v>El producto Valles Andinos Chimichurri - BBQ Sauce 500gr x 15 Se repite 4 veces en Tradiciones Andinas, Se repite 4 veces el precio de 32.15</v>
      </c>
      <c r="T1324" s="20" t="str">
        <f t="shared" si="289"/>
        <v>Tradiciones Andinas</v>
      </c>
      <c r="U1324" s="20" t="str">
        <f t="shared" si="290"/>
        <v>Valles Andinos Chimichurri - BBQ Sauce 500gr x 15</v>
      </c>
      <c r="V1324" s="22">
        <f t="shared" si="291"/>
        <v>32.15</v>
      </c>
      <c r="W1324" t="str">
        <f t="shared" si="292"/>
        <v>Tradiciones Andinas 07/03/2025</v>
      </c>
      <c r="Z1324">
        <f t="shared" si="293"/>
        <v>160.75</v>
      </c>
    </row>
    <row r="1325" spans="1:26" hidden="1" x14ac:dyDescent="0.25">
      <c r="A1325" s="2" t="s">
        <v>664</v>
      </c>
      <c r="B1325" s="11" t="s">
        <v>1201</v>
      </c>
      <c r="C1325" s="11" t="s">
        <v>4</v>
      </c>
      <c r="D1325" s="11" t="s">
        <v>1202</v>
      </c>
      <c r="E1325" s="11" t="s">
        <v>926</v>
      </c>
      <c r="F1325" s="11" t="s">
        <v>1079</v>
      </c>
      <c r="G1325" s="12">
        <v>4</v>
      </c>
      <c r="H1325" s="12">
        <v>32.15</v>
      </c>
      <c r="I1325" s="12">
        <v>128.6</v>
      </c>
      <c r="J1325" s="12">
        <v>104279.55999999992</v>
      </c>
      <c r="K1325" s="20">
        <f t="shared" si="280"/>
        <v>4</v>
      </c>
      <c r="L1325" s="20" t="str">
        <f t="shared" si="281"/>
        <v>Se repite 4 veces</v>
      </c>
      <c r="M1325" s="20" t="str">
        <f t="shared" si="282"/>
        <v>Tradiciones Andinas-Valles Andinos Chimichurri - BBQ Sauce 500gr x 15</v>
      </c>
      <c r="N1325" s="20">
        <f t="shared" si="283"/>
        <v>4</v>
      </c>
      <c r="O1325" s="20" t="str">
        <f t="shared" si="284"/>
        <v>Se repite 4 veces en Tradiciones Andinas</v>
      </c>
      <c r="P1325" s="20" t="str">
        <f t="shared" si="285"/>
        <v>Tradiciones Andinas-Valles Andinos Chimichurri - BBQ Sauce 500gr x 15-32.15</v>
      </c>
      <c r="Q1325" s="20">
        <f t="shared" si="286"/>
        <v>4</v>
      </c>
      <c r="R1325" s="20" t="str">
        <f t="shared" si="287"/>
        <v>Se repite 4 veces el precio de 32.15</v>
      </c>
      <c r="S1325" s="20" t="str">
        <f t="shared" si="288"/>
        <v>El producto Valles Andinos Chimichurri - BBQ Sauce 500gr x 15 Se repite 4 veces en Tradiciones Andinas, Se repite 4 veces el precio de 32.15</v>
      </c>
      <c r="T1325" s="20" t="str">
        <f t="shared" si="289"/>
        <v>Tradiciones Andinas</v>
      </c>
      <c r="U1325" s="20" t="str">
        <f t="shared" si="290"/>
        <v>Valles Andinos Chimichurri - BBQ Sauce 500gr x 15</v>
      </c>
      <c r="V1325" s="22">
        <f t="shared" si="291"/>
        <v>32.15</v>
      </c>
      <c r="W1325" t="str">
        <f t="shared" si="292"/>
        <v>Tradiciones Andinas 11/07/2025</v>
      </c>
      <c r="Z1325">
        <f t="shared" si="293"/>
        <v>128.6</v>
      </c>
    </row>
    <row r="1326" spans="1:26" hidden="1" x14ac:dyDescent="0.25">
      <c r="A1326" s="2" t="s">
        <v>664</v>
      </c>
      <c r="B1326" s="11" t="s">
        <v>1207</v>
      </c>
      <c r="C1326" s="11" t="s">
        <v>4</v>
      </c>
      <c r="D1326" s="11" t="s">
        <v>1208</v>
      </c>
      <c r="E1326" s="11" t="s">
        <v>926</v>
      </c>
      <c r="F1326" s="11" t="s">
        <v>1079</v>
      </c>
      <c r="G1326" s="12">
        <v>2</v>
      </c>
      <c r="H1326" s="12">
        <v>32.15</v>
      </c>
      <c r="I1326" s="12">
        <v>64.3</v>
      </c>
      <c r="J1326" s="12">
        <v>113252.01999999989</v>
      </c>
      <c r="K1326" s="20">
        <f t="shared" si="280"/>
        <v>4</v>
      </c>
      <c r="L1326" s="20" t="str">
        <f t="shared" si="281"/>
        <v>Se repite 4 veces</v>
      </c>
      <c r="M1326" s="20" t="str">
        <f t="shared" si="282"/>
        <v>Tradiciones Andinas-Valles Andinos Chimichurri - BBQ Sauce 500gr x 15</v>
      </c>
      <c r="N1326" s="20">
        <f t="shared" si="283"/>
        <v>4</v>
      </c>
      <c r="O1326" s="20" t="str">
        <f t="shared" si="284"/>
        <v>Se repite 4 veces en Tradiciones Andinas</v>
      </c>
      <c r="P1326" s="20" t="str">
        <f t="shared" si="285"/>
        <v>Tradiciones Andinas-Valles Andinos Chimichurri - BBQ Sauce 500gr x 15-32.15</v>
      </c>
      <c r="Q1326" s="20">
        <f t="shared" si="286"/>
        <v>4</v>
      </c>
      <c r="R1326" s="20" t="str">
        <f t="shared" si="287"/>
        <v>Se repite 4 veces el precio de 32.15</v>
      </c>
      <c r="S1326" s="20" t="str">
        <f t="shared" si="288"/>
        <v>El producto Valles Andinos Chimichurri - BBQ Sauce 500gr x 15 Se repite 4 veces en Tradiciones Andinas, Se repite 4 veces el precio de 32.15</v>
      </c>
      <c r="T1326" s="20" t="str">
        <f t="shared" si="289"/>
        <v>Tradiciones Andinas</v>
      </c>
      <c r="U1326" s="20" t="str">
        <f t="shared" si="290"/>
        <v>Valles Andinos Chimichurri - BBQ Sauce 500gr x 15</v>
      </c>
      <c r="V1326" s="22">
        <f t="shared" si="291"/>
        <v>32.15</v>
      </c>
      <c r="W1326" t="str">
        <f t="shared" si="292"/>
        <v>Tradiciones Andinas 11/28/2025</v>
      </c>
      <c r="Z1326">
        <f t="shared" si="293"/>
        <v>64.3</v>
      </c>
    </row>
    <row r="1327" spans="1:26" hidden="1" x14ac:dyDescent="0.25">
      <c r="A1327" s="2" t="s">
        <v>664</v>
      </c>
      <c r="B1327" s="11" t="s">
        <v>821</v>
      </c>
      <c r="C1327" s="11" t="s">
        <v>4</v>
      </c>
      <c r="D1327" s="11" t="s">
        <v>822</v>
      </c>
      <c r="E1327" s="11" t="s">
        <v>910</v>
      </c>
      <c r="F1327" s="11" t="s">
        <v>911</v>
      </c>
      <c r="G1327" s="12">
        <v>5</v>
      </c>
      <c r="H1327" s="12">
        <v>39.479999999999997</v>
      </c>
      <c r="I1327" s="12">
        <v>197.4</v>
      </c>
      <c r="J1327" s="12">
        <v>21992.42</v>
      </c>
      <c r="K1327" s="20">
        <f t="shared" si="280"/>
        <v>6</v>
      </c>
      <c r="L1327" s="20" t="str">
        <f t="shared" si="281"/>
        <v>Se repite 6 veces</v>
      </c>
      <c r="M1327" s="20" t="str">
        <f t="shared" si="282"/>
        <v>Tradiciones Andinas-Valles Andinos Chochos en Salmuera 15oz x 12</v>
      </c>
      <c r="N1327" s="20">
        <f t="shared" si="283"/>
        <v>6</v>
      </c>
      <c r="O1327" s="20" t="str">
        <f t="shared" si="284"/>
        <v>Se repite 6 veces en Tradiciones Andinas</v>
      </c>
      <c r="P1327" s="20" t="str">
        <f t="shared" si="285"/>
        <v>Tradiciones Andinas-Valles Andinos Chochos en Salmuera 15oz x 12-39.48</v>
      </c>
      <c r="Q1327" s="20">
        <f t="shared" si="286"/>
        <v>1</v>
      </c>
      <c r="R1327" s="20" t="str">
        <f t="shared" si="287"/>
        <v>No se repite</v>
      </c>
      <c r="S1327" s="20" t="str">
        <f t="shared" si="288"/>
        <v>El producto Valles Andinos Chochos en Salmuera 15oz x 12 Se repite 6 veces en Tradiciones Andinas Una vez con el precio 39.48</v>
      </c>
      <c r="T1327" s="20" t="str">
        <f t="shared" si="289"/>
        <v>Tradiciones Andinas</v>
      </c>
      <c r="U1327" s="20" t="str">
        <f t="shared" si="290"/>
        <v>Valles Andinos Chochos en Salmuera 15oz x 12</v>
      </c>
      <c r="V1327" s="22">
        <f t="shared" si="291"/>
        <v>39.479999999999997</v>
      </c>
      <c r="W1327" t="str">
        <f t="shared" si="292"/>
        <v>Tradiciones Andinas 04/25/2025</v>
      </c>
      <c r="Z1327">
        <f t="shared" si="293"/>
        <v>197.39999999999998</v>
      </c>
    </row>
    <row r="1328" spans="1:26" hidden="1" x14ac:dyDescent="0.25">
      <c r="A1328" s="2" t="s">
        <v>664</v>
      </c>
      <c r="B1328" s="11" t="s">
        <v>654</v>
      </c>
      <c r="C1328" s="11" t="s">
        <v>4</v>
      </c>
      <c r="D1328" s="11" t="s">
        <v>940</v>
      </c>
      <c r="E1328" s="11" t="s">
        <v>910</v>
      </c>
      <c r="F1328" s="11" t="s">
        <v>976</v>
      </c>
      <c r="G1328" s="12">
        <v>2</v>
      </c>
      <c r="H1328" s="12">
        <v>42.24</v>
      </c>
      <c r="I1328" s="12">
        <v>84.48</v>
      </c>
      <c r="J1328" s="12">
        <v>32942.560000000005</v>
      </c>
      <c r="K1328" s="20">
        <f t="shared" si="280"/>
        <v>6</v>
      </c>
      <c r="L1328" s="20" t="str">
        <f t="shared" si="281"/>
        <v>Se repite 6 veces</v>
      </c>
      <c r="M1328" s="20" t="str">
        <f t="shared" si="282"/>
        <v>Tradiciones Andinas-Valles Andinos Chochos en Salmuera 15oz x 12</v>
      </c>
      <c r="N1328" s="20">
        <f t="shared" si="283"/>
        <v>6</v>
      </c>
      <c r="O1328" s="20" t="str">
        <f t="shared" si="284"/>
        <v>Se repite 6 veces en Tradiciones Andinas</v>
      </c>
      <c r="P1328" s="20" t="str">
        <f t="shared" si="285"/>
        <v>Tradiciones Andinas-Valles Andinos Chochos en Salmuera 15oz x 12-42.24</v>
      </c>
      <c r="Q1328" s="20">
        <f t="shared" si="286"/>
        <v>5</v>
      </c>
      <c r="R1328" s="20" t="str">
        <f t="shared" si="287"/>
        <v>Se repite 5 veces el precio de 42.24</v>
      </c>
      <c r="S1328" s="20" t="str">
        <f t="shared" si="288"/>
        <v>El producto Valles Andinos Chochos en Salmuera 15oz x 12 Se repite 6 veces en Tradiciones Andinas, Se repite 5 veces el precio de 42.24</v>
      </c>
      <c r="T1328" s="20" t="str">
        <f t="shared" si="289"/>
        <v>Tradiciones Andinas</v>
      </c>
      <c r="U1328" s="20" t="str">
        <f t="shared" si="290"/>
        <v>Valles Andinos Chochos en Salmuera 15oz x 12</v>
      </c>
      <c r="V1328" s="22">
        <f t="shared" si="291"/>
        <v>42.24</v>
      </c>
      <c r="W1328" t="str">
        <f t="shared" si="292"/>
        <v>Tradiciones Andinas 05/19/2025</v>
      </c>
      <c r="Z1328">
        <f t="shared" si="293"/>
        <v>84.48</v>
      </c>
    </row>
    <row r="1329" spans="1:26" hidden="1" x14ac:dyDescent="0.25">
      <c r="A1329" s="2" t="s">
        <v>664</v>
      </c>
      <c r="B1329" s="11" t="s">
        <v>1033</v>
      </c>
      <c r="C1329" s="11" t="s">
        <v>4</v>
      </c>
      <c r="D1329" s="11" t="s">
        <v>1034</v>
      </c>
      <c r="E1329" s="11" t="s">
        <v>910</v>
      </c>
      <c r="F1329" s="11" t="s">
        <v>976</v>
      </c>
      <c r="G1329" s="12">
        <v>4</v>
      </c>
      <c r="H1329" s="12">
        <v>42.24</v>
      </c>
      <c r="I1329" s="12">
        <v>168.96</v>
      </c>
      <c r="J1329" s="12">
        <v>56381.299999999937</v>
      </c>
      <c r="K1329" s="20">
        <f t="shared" si="280"/>
        <v>6</v>
      </c>
      <c r="L1329" s="20" t="str">
        <f t="shared" si="281"/>
        <v>Se repite 6 veces</v>
      </c>
      <c r="M1329" s="20" t="str">
        <f t="shared" si="282"/>
        <v>Tradiciones Andinas-Valles Andinos Chochos en Salmuera 15oz x 12</v>
      </c>
      <c r="N1329" s="20">
        <f t="shared" si="283"/>
        <v>6</v>
      </c>
      <c r="O1329" s="20" t="str">
        <f t="shared" si="284"/>
        <v>Se repite 6 veces en Tradiciones Andinas</v>
      </c>
      <c r="P1329" s="20" t="str">
        <f t="shared" si="285"/>
        <v>Tradiciones Andinas-Valles Andinos Chochos en Salmuera 15oz x 12-42.24</v>
      </c>
      <c r="Q1329" s="20">
        <f t="shared" si="286"/>
        <v>5</v>
      </c>
      <c r="R1329" s="20" t="str">
        <f t="shared" si="287"/>
        <v>Se repite 5 veces el precio de 42.24</v>
      </c>
      <c r="S1329" s="20" t="str">
        <f t="shared" si="288"/>
        <v>El producto Valles Andinos Chochos en Salmuera 15oz x 12 Se repite 6 veces en Tradiciones Andinas, Se repite 5 veces el precio de 42.24</v>
      </c>
      <c r="T1329" s="20" t="str">
        <f t="shared" si="289"/>
        <v>Tradiciones Andinas</v>
      </c>
      <c r="U1329" s="20" t="str">
        <f t="shared" si="290"/>
        <v>Valles Andinos Chochos en Salmuera 15oz x 12</v>
      </c>
      <c r="V1329" s="22">
        <f t="shared" si="291"/>
        <v>42.24</v>
      </c>
      <c r="W1329" t="str">
        <f t="shared" si="292"/>
        <v>Tradiciones Andinas 07/03/2025</v>
      </c>
      <c r="Z1329">
        <f t="shared" si="293"/>
        <v>168.96</v>
      </c>
    </row>
    <row r="1330" spans="1:26" hidden="1" x14ac:dyDescent="0.25">
      <c r="A1330" s="2" t="s">
        <v>664</v>
      </c>
      <c r="B1330" s="11" t="s">
        <v>1125</v>
      </c>
      <c r="C1330" s="11" t="s">
        <v>4</v>
      </c>
      <c r="D1330" s="11" t="s">
        <v>1126</v>
      </c>
      <c r="E1330" s="11" t="s">
        <v>910</v>
      </c>
      <c r="F1330" s="11" t="s">
        <v>976</v>
      </c>
      <c r="G1330" s="12">
        <v>2</v>
      </c>
      <c r="H1330" s="12">
        <v>42.24</v>
      </c>
      <c r="I1330" s="12">
        <v>84.48</v>
      </c>
      <c r="J1330" s="12">
        <v>71884.490000000005</v>
      </c>
      <c r="K1330" s="20">
        <f t="shared" si="280"/>
        <v>6</v>
      </c>
      <c r="L1330" s="20" t="str">
        <f t="shared" si="281"/>
        <v>Se repite 6 veces</v>
      </c>
      <c r="M1330" s="20" t="str">
        <f t="shared" si="282"/>
        <v>Tradiciones Andinas-Valles Andinos Chochos en Salmuera 15oz x 12</v>
      </c>
      <c r="N1330" s="20">
        <f t="shared" si="283"/>
        <v>6</v>
      </c>
      <c r="O1330" s="20" t="str">
        <f t="shared" si="284"/>
        <v>Se repite 6 veces en Tradiciones Andinas</v>
      </c>
      <c r="P1330" s="20" t="str">
        <f t="shared" si="285"/>
        <v>Tradiciones Andinas-Valles Andinos Chochos en Salmuera 15oz x 12-42.24</v>
      </c>
      <c r="Q1330" s="20">
        <f t="shared" si="286"/>
        <v>5</v>
      </c>
      <c r="R1330" s="20" t="str">
        <f t="shared" si="287"/>
        <v>Se repite 5 veces el precio de 42.24</v>
      </c>
      <c r="S1330" s="20" t="str">
        <f t="shared" si="288"/>
        <v>El producto Valles Andinos Chochos en Salmuera 15oz x 12 Se repite 6 veces en Tradiciones Andinas, Se repite 5 veces el precio de 42.24</v>
      </c>
      <c r="T1330" s="20" t="str">
        <f t="shared" si="289"/>
        <v>Tradiciones Andinas</v>
      </c>
      <c r="U1330" s="20" t="str">
        <f t="shared" si="290"/>
        <v>Valles Andinos Chochos en Salmuera 15oz x 12</v>
      </c>
      <c r="V1330" s="22">
        <f t="shared" si="291"/>
        <v>42.24</v>
      </c>
      <c r="W1330" t="str">
        <f t="shared" si="292"/>
        <v>Tradiciones Andinas 08/18/2025</v>
      </c>
      <c r="Z1330">
        <f t="shared" si="293"/>
        <v>84.48</v>
      </c>
    </row>
    <row r="1331" spans="1:26" hidden="1" x14ac:dyDescent="0.25">
      <c r="A1331" s="2" t="s">
        <v>664</v>
      </c>
      <c r="B1331" s="11" t="s">
        <v>1153</v>
      </c>
      <c r="C1331" s="11" t="s">
        <v>4</v>
      </c>
      <c r="D1331" s="11" t="s">
        <v>1154</v>
      </c>
      <c r="E1331" s="11" t="s">
        <v>910</v>
      </c>
      <c r="F1331" s="11" t="s">
        <v>976</v>
      </c>
      <c r="G1331" s="12">
        <v>2</v>
      </c>
      <c r="H1331" s="12">
        <v>42.24</v>
      </c>
      <c r="I1331" s="12">
        <v>84.48</v>
      </c>
      <c r="J1331" s="12">
        <v>85452.609999999957</v>
      </c>
      <c r="K1331" s="20">
        <f t="shared" si="280"/>
        <v>6</v>
      </c>
      <c r="L1331" s="20" t="str">
        <f t="shared" si="281"/>
        <v>Se repite 6 veces</v>
      </c>
      <c r="M1331" s="20" t="str">
        <f t="shared" si="282"/>
        <v>Tradiciones Andinas-Valles Andinos Chochos en Salmuera 15oz x 12</v>
      </c>
      <c r="N1331" s="20">
        <f t="shared" si="283"/>
        <v>6</v>
      </c>
      <c r="O1331" s="20" t="str">
        <f t="shared" si="284"/>
        <v>Se repite 6 veces en Tradiciones Andinas</v>
      </c>
      <c r="P1331" s="20" t="str">
        <f t="shared" si="285"/>
        <v>Tradiciones Andinas-Valles Andinos Chochos en Salmuera 15oz x 12-42.24</v>
      </c>
      <c r="Q1331" s="20">
        <f t="shared" si="286"/>
        <v>5</v>
      </c>
      <c r="R1331" s="20" t="str">
        <f t="shared" si="287"/>
        <v>Se repite 5 veces el precio de 42.24</v>
      </c>
      <c r="S1331" s="20" t="str">
        <f t="shared" si="288"/>
        <v>El producto Valles Andinos Chochos en Salmuera 15oz x 12 Se repite 6 veces en Tradiciones Andinas, Se repite 5 veces el precio de 42.24</v>
      </c>
      <c r="T1331" s="20" t="str">
        <f t="shared" si="289"/>
        <v>Tradiciones Andinas</v>
      </c>
      <c r="U1331" s="20" t="str">
        <f t="shared" si="290"/>
        <v>Valles Andinos Chochos en Salmuera 15oz x 12</v>
      </c>
      <c r="V1331" s="22">
        <f t="shared" si="291"/>
        <v>42.24</v>
      </c>
      <c r="W1331" t="str">
        <f t="shared" si="292"/>
        <v>Tradiciones Andinas 09/24/2025</v>
      </c>
      <c r="Z1331">
        <f t="shared" si="293"/>
        <v>84.48</v>
      </c>
    </row>
    <row r="1332" spans="1:26" hidden="1" x14ac:dyDescent="0.25">
      <c r="A1332" s="2" t="s">
        <v>664</v>
      </c>
      <c r="B1332" s="11" t="s">
        <v>1193</v>
      </c>
      <c r="C1332" s="11" t="s">
        <v>4</v>
      </c>
      <c r="D1332" s="11" t="s">
        <v>1194</v>
      </c>
      <c r="E1332" s="11" t="s">
        <v>910</v>
      </c>
      <c r="F1332" s="11" t="s">
        <v>976</v>
      </c>
      <c r="G1332" s="12">
        <v>4</v>
      </c>
      <c r="H1332" s="12">
        <v>42.24</v>
      </c>
      <c r="I1332" s="12">
        <v>168.96</v>
      </c>
      <c r="J1332" s="12">
        <v>100218.82999999994</v>
      </c>
      <c r="K1332" s="20">
        <f t="shared" si="280"/>
        <v>6</v>
      </c>
      <c r="L1332" s="20" t="str">
        <f t="shared" si="281"/>
        <v>Se repite 6 veces</v>
      </c>
      <c r="M1332" s="20" t="str">
        <f t="shared" si="282"/>
        <v>Tradiciones Andinas-Valles Andinos Chochos en Salmuera 15oz x 12</v>
      </c>
      <c r="N1332" s="20">
        <f t="shared" si="283"/>
        <v>6</v>
      </c>
      <c r="O1332" s="20" t="str">
        <f t="shared" si="284"/>
        <v>Se repite 6 veces en Tradiciones Andinas</v>
      </c>
      <c r="P1332" s="20" t="str">
        <f t="shared" si="285"/>
        <v>Tradiciones Andinas-Valles Andinos Chochos en Salmuera 15oz x 12-42.24</v>
      </c>
      <c r="Q1332" s="20">
        <f t="shared" si="286"/>
        <v>5</v>
      </c>
      <c r="R1332" s="20" t="str">
        <f t="shared" si="287"/>
        <v>Se repite 5 veces el precio de 42.24</v>
      </c>
      <c r="S1332" s="20" t="str">
        <f t="shared" si="288"/>
        <v>El producto Valles Andinos Chochos en Salmuera 15oz x 12 Se repite 6 veces en Tradiciones Andinas, Se repite 5 veces el precio de 42.24</v>
      </c>
      <c r="T1332" s="20" t="str">
        <f t="shared" si="289"/>
        <v>Tradiciones Andinas</v>
      </c>
      <c r="U1332" s="20" t="str">
        <f t="shared" si="290"/>
        <v>Valles Andinos Chochos en Salmuera 15oz x 12</v>
      </c>
      <c r="V1332" s="22">
        <f t="shared" si="291"/>
        <v>42.24</v>
      </c>
      <c r="W1332" t="str">
        <f t="shared" si="292"/>
        <v>Tradiciones Andinas 10/30/2025</v>
      </c>
      <c r="Z1332">
        <f t="shared" si="293"/>
        <v>168.96</v>
      </c>
    </row>
    <row r="1333" spans="1:26" hidden="1" x14ac:dyDescent="0.25">
      <c r="A1333" s="2" t="s">
        <v>664</v>
      </c>
      <c r="B1333" s="11" t="s">
        <v>821</v>
      </c>
      <c r="C1333" s="11" t="s">
        <v>4</v>
      </c>
      <c r="D1333" s="11" t="s">
        <v>822</v>
      </c>
      <c r="E1333" s="11" t="s">
        <v>912</v>
      </c>
      <c r="F1333" s="11" t="s">
        <v>913</v>
      </c>
      <c r="G1333" s="12">
        <v>2</v>
      </c>
      <c r="H1333" s="12">
        <v>39.479999999999997</v>
      </c>
      <c r="I1333" s="12">
        <v>78.959999999999994</v>
      </c>
      <c r="J1333" s="12">
        <v>22071.379999999997</v>
      </c>
      <c r="K1333" s="20">
        <f t="shared" si="280"/>
        <v>1</v>
      </c>
      <c r="L1333" s="20" t="str">
        <f t="shared" si="281"/>
        <v>No se repite</v>
      </c>
      <c r="M1333" s="20" t="str">
        <f t="shared" si="282"/>
        <v>Tradiciones Andinas-Valles Andinos Chochos en Salmuera Picantes 17oz x 12</v>
      </c>
      <c r="N1333" s="20">
        <f t="shared" si="283"/>
        <v>1</v>
      </c>
      <c r="O1333" s="20" t="str">
        <f t="shared" si="284"/>
        <v>No se repite en proveedor</v>
      </c>
      <c r="P1333" s="20" t="str">
        <f t="shared" si="285"/>
        <v>Tradiciones Andinas-Valles Andinos Chochos en Salmuera Picantes 17oz x 12-39.48</v>
      </c>
      <c r="Q1333" s="20">
        <f t="shared" si="286"/>
        <v>1</v>
      </c>
      <c r="R1333" s="20" t="str">
        <f t="shared" si="287"/>
        <v>No se repite</v>
      </c>
      <c r="S1333" s="20" t="str">
        <f t="shared" si="288"/>
        <v>El producto Valles Andinos Chochos en Salmuera Picantes 17oz x 12 No se repite en proveedor Una vez con el precio 39.48</v>
      </c>
      <c r="T1333" s="20" t="str">
        <f t="shared" si="289"/>
        <v>Tradiciones Andinas</v>
      </c>
      <c r="U1333" s="20" t="str">
        <f t="shared" si="290"/>
        <v>Valles Andinos Chochos en Salmuera Picantes 17oz x 12</v>
      </c>
      <c r="V1333" s="22">
        <f t="shared" si="291"/>
        <v>39.479999999999997</v>
      </c>
      <c r="W1333" t="str">
        <f t="shared" si="292"/>
        <v>Tradiciones Andinas 04/25/2025</v>
      </c>
      <c r="Z1333">
        <f t="shared" si="293"/>
        <v>78.959999999999994</v>
      </c>
    </row>
    <row r="1334" spans="1:26" hidden="1" x14ac:dyDescent="0.25">
      <c r="A1334" s="2" t="s">
        <v>664</v>
      </c>
      <c r="B1334" s="11" t="s">
        <v>821</v>
      </c>
      <c r="C1334" s="11" t="s">
        <v>4</v>
      </c>
      <c r="D1334" s="11" t="s">
        <v>822</v>
      </c>
      <c r="E1334" s="11" t="s">
        <v>914</v>
      </c>
      <c r="F1334" s="11" t="s">
        <v>915</v>
      </c>
      <c r="G1334" s="12">
        <v>1</v>
      </c>
      <c r="H1334" s="12">
        <v>46.68</v>
      </c>
      <c r="I1334" s="12">
        <v>46.68</v>
      </c>
      <c r="J1334" s="12">
        <v>22118.059999999998</v>
      </c>
      <c r="K1334" s="20">
        <f t="shared" si="280"/>
        <v>5</v>
      </c>
      <c r="L1334" s="20" t="str">
        <f t="shared" si="281"/>
        <v>Se repite 5 veces</v>
      </c>
      <c r="M1334" s="20" t="str">
        <f t="shared" si="282"/>
        <v>Tradiciones Andinas-Valles Andinos Dulces de Higos 20oz X 12</v>
      </c>
      <c r="N1334" s="20">
        <f t="shared" si="283"/>
        <v>5</v>
      </c>
      <c r="O1334" s="20" t="str">
        <f t="shared" si="284"/>
        <v>Se repite 5 veces en Tradiciones Andinas</v>
      </c>
      <c r="P1334" s="20" t="str">
        <f t="shared" si="285"/>
        <v>Tradiciones Andinas-Valles Andinos Dulces de Higos 20oz X 12-46.68</v>
      </c>
      <c r="Q1334" s="20">
        <f t="shared" si="286"/>
        <v>1</v>
      </c>
      <c r="R1334" s="20" t="str">
        <f t="shared" si="287"/>
        <v>No se repite</v>
      </c>
      <c r="S1334" s="20" t="str">
        <f t="shared" si="288"/>
        <v>El producto Valles Andinos Dulces de Higos 20oz X 12 Se repite 5 veces en Tradiciones Andinas Una vez con el precio 46.68</v>
      </c>
      <c r="T1334" s="20" t="str">
        <f t="shared" si="289"/>
        <v>Tradiciones Andinas</v>
      </c>
      <c r="U1334" s="20" t="str">
        <f t="shared" si="290"/>
        <v>Valles Andinos Dulces de Higos 20oz X 12</v>
      </c>
      <c r="V1334" s="22">
        <f t="shared" si="291"/>
        <v>46.68</v>
      </c>
      <c r="W1334" t="str">
        <f t="shared" si="292"/>
        <v>Tradiciones Andinas 04/25/2025</v>
      </c>
      <c r="Z1334">
        <f t="shared" si="293"/>
        <v>46.68</v>
      </c>
    </row>
    <row r="1335" spans="1:26" hidden="1" x14ac:dyDescent="0.25">
      <c r="A1335" s="2" t="s">
        <v>664</v>
      </c>
      <c r="B1335" s="11" t="s">
        <v>654</v>
      </c>
      <c r="C1335" s="11" t="s">
        <v>4</v>
      </c>
      <c r="D1335" s="11" t="s">
        <v>940</v>
      </c>
      <c r="E1335" s="11" t="s">
        <v>914</v>
      </c>
      <c r="F1335" s="11" t="s">
        <v>977</v>
      </c>
      <c r="G1335" s="12">
        <v>2</v>
      </c>
      <c r="H1335" s="12">
        <v>49.95</v>
      </c>
      <c r="I1335" s="12">
        <v>99.9</v>
      </c>
      <c r="J1335" s="12">
        <v>33042.460000000006</v>
      </c>
      <c r="K1335" s="20">
        <f t="shared" si="280"/>
        <v>5</v>
      </c>
      <c r="L1335" s="20" t="str">
        <f t="shared" si="281"/>
        <v>Se repite 5 veces</v>
      </c>
      <c r="M1335" s="20" t="str">
        <f t="shared" si="282"/>
        <v>Tradiciones Andinas-Valles Andinos Dulces de Higos 20oz X 12</v>
      </c>
      <c r="N1335" s="20">
        <f t="shared" si="283"/>
        <v>5</v>
      </c>
      <c r="O1335" s="20" t="str">
        <f t="shared" si="284"/>
        <v>Se repite 5 veces en Tradiciones Andinas</v>
      </c>
      <c r="P1335" s="20" t="str">
        <f t="shared" si="285"/>
        <v>Tradiciones Andinas-Valles Andinos Dulces de Higos 20oz X 12-49.95</v>
      </c>
      <c r="Q1335" s="20">
        <f t="shared" si="286"/>
        <v>4</v>
      </c>
      <c r="R1335" s="20" t="str">
        <f t="shared" si="287"/>
        <v>Se repite 4 veces el precio de 49.95</v>
      </c>
      <c r="S1335" s="20" t="str">
        <f t="shared" si="288"/>
        <v>El producto Valles Andinos Dulces de Higos 20oz X 12 Se repite 5 veces en Tradiciones Andinas, Se repite 4 veces el precio de 49.95</v>
      </c>
      <c r="T1335" s="20" t="str">
        <f t="shared" si="289"/>
        <v>Tradiciones Andinas</v>
      </c>
      <c r="U1335" s="20" t="str">
        <f t="shared" si="290"/>
        <v>Valles Andinos Dulces de Higos 20oz X 12</v>
      </c>
      <c r="V1335" s="22">
        <f t="shared" si="291"/>
        <v>49.95</v>
      </c>
      <c r="W1335" t="str">
        <f t="shared" si="292"/>
        <v>Tradiciones Andinas 05/19/2025</v>
      </c>
      <c r="Z1335">
        <f t="shared" si="293"/>
        <v>99.9</v>
      </c>
    </row>
    <row r="1336" spans="1:26" hidden="1" x14ac:dyDescent="0.25">
      <c r="A1336" s="2" t="s">
        <v>664</v>
      </c>
      <c r="B1336" s="11" t="s">
        <v>1125</v>
      </c>
      <c r="C1336" s="11" t="s">
        <v>4</v>
      </c>
      <c r="D1336" s="11" t="s">
        <v>1126</v>
      </c>
      <c r="E1336" s="11" t="s">
        <v>914</v>
      </c>
      <c r="F1336" s="11" t="s">
        <v>977</v>
      </c>
      <c r="G1336" s="12">
        <v>1</v>
      </c>
      <c r="H1336" s="12">
        <v>49.95</v>
      </c>
      <c r="I1336" s="12">
        <v>49.95</v>
      </c>
      <c r="J1336" s="12">
        <v>71934.44</v>
      </c>
      <c r="K1336" s="20">
        <f t="shared" si="280"/>
        <v>5</v>
      </c>
      <c r="L1336" s="20" t="str">
        <f t="shared" si="281"/>
        <v>Se repite 5 veces</v>
      </c>
      <c r="M1336" s="20" t="str">
        <f t="shared" si="282"/>
        <v>Tradiciones Andinas-Valles Andinos Dulces de Higos 20oz X 12</v>
      </c>
      <c r="N1336" s="20">
        <f t="shared" si="283"/>
        <v>5</v>
      </c>
      <c r="O1336" s="20" t="str">
        <f t="shared" si="284"/>
        <v>Se repite 5 veces en Tradiciones Andinas</v>
      </c>
      <c r="P1336" s="20" t="str">
        <f t="shared" si="285"/>
        <v>Tradiciones Andinas-Valles Andinos Dulces de Higos 20oz X 12-49.95</v>
      </c>
      <c r="Q1336" s="20">
        <f t="shared" si="286"/>
        <v>4</v>
      </c>
      <c r="R1336" s="20" t="str">
        <f t="shared" si="287"/>
        <v>Se repite 4 veces el precio de 49.95</v>
      </c>
      <c r="S1336" s="20" t="str">
        <f t="shared" si="288"/>
        <v>El producto Valles Andinos Dulces de Higos 20oz X 12 Se repite 5 veces en Tradiciones Andinas, Se repite 4 veces el precio de 49.95</v>
      </c>
      <c r="T1336" s="20" t="str">
        <f t="shared" si="289"/>
        <v>Tradiciones Andinas</v>
      </c>
      <c r="U1336" s="20" t="str">
        <f t="shared" si="290"/>
        <v>Valles Andinos Dulces de Higos 20oz X 12</v>
      </c>
      <c r="V1336" s="22">
        <f t="shared" si="291"/>
        <v>49.95</v>
      </c>
      <c r="W1336" t="str">
        <f t="shared" si="292"/>
        <v>Tradiciones Andinas 08/18/2025</v>
      </c>
      <c r="Z1336">
        <f t="shared" si="293"/>
        <v>49.95</v>
      </c>
    </row>
    <row r="1337" spans="1:26" hidden="1" x14ac:dyDescent="0.25">
      <c r="A1337" s="2" t="s">
        <v>664</v>
      </c>
      <c r="B1337" s="11" t="s">
        <v>1153</v>
      </c>
      <c r="C1337" s="11" t="s">
        <v>4</v>
      </c>
      <c r="D1337" s="11" t="s">
        <v>1154</v>
      </c>
      <c r="E1337" s="11" t="s">
        <v>914</v>
      </c>
      <c r="F1337" s="11" t="s">
        <v>977</v>
      </c>
      <c r="G1337" s="12">
        <v>1</v>
      </c>
      <c r="H1337" s="12">
        <v>49.95</v>
      </c>
      <c r="I1337" s="12">
        <v>49.95</v>
      </c>
      <c r="J1337" s="12">
        <v>85502.559999999954</v>
      </c>
      <c r="K1337" s="20">
        <f t="shared" si="280"/>
        <v>5</v>
      </c>
      <c r="L1337" s="20" t="str">
        <f t="shared" si="281"/>
        <v>Se repite 5 veces</v>
      </c>
      <c r="M1337" s="20" t="str">
        <f t="shared" si="282"/>
        <v>Tradiciones Andinas-Valles Andinos Dulces de Higos 20oz X 12</v>
      </c>
      <c r="N1337" s="20">
        <f t="shared" si="283"/>
        <v>5</v>
      </c>
      <c r="O1337" s="20" t="str">
        <f t="shared" si="284"/>
        <v>Se repite 5 veces en Tradiciones Andinas</v>
      </c>
      <c r="P1337" s="20" t="str">
        <f t="shared" si="285"/>
        <v>Tradiciones Andinas-Valles Andinos Dulces de Higos 20oz X 12-49.95</v>
      </c>
      <c r="Q1337" s="20">
        <f t="shared" si="286"/>
        <v>4</v>
      </c>
      <c r="R1337" s="20" t="str">
        <f t="shared" si="287"/>
        <v>Se repite 4 veces el precio de 49.95</v>
      </c>
      <c r="S1337" s="20" t="str">
        <f t="shared" si="288"/>
        <v>El producto Valles Andinos Dulces de Higos 20oz X 12 Se repite 5 veces en Tradiciones Andinas, Se repite 4 veces el precio de 49.95</v>
      </c>
      <c r="T1337" s="20" t="str">
        <f t="shared" si="289"/>
        <v>Tradiciones Andinas</v>
      </c>
      <c r="U1337" s="20" t="str">
        <f t="shared" si="290"/>
        <v>Valles Andinos Dulces de Higos 20oz X 12</v>
      </c>
      <c r="V1337" s="22">
        <f t="shared" si="291"/>
        <v>49.95</v>
      </c>
      <c r="W1337" t="str">
        <f t="shared" si="292"/>
        <v>Tradiciones Andinas 09/24/2025</v>
      </c>
      <c r="Z1337">
        <f t="shared" si="293"/>
        <v>49.95</v>
      </c>
    </row>
    <row r="1338" spans="1:26" hidden="1" x14ac:dyDescent="0.25">
      <c r="A1338" s="2" t="s">
        <v>664</v>
      </c>
      <c r="B1338" s="11" t="s">
        <v>1201</v>
      </c>
      <c r="C1338" s="11" t="s">
        <v>4</v>
      </c>
      <c r="D1338" s="11" t="s">
        <v>1202</v>
      </c>
      <c r="E1338" s="11" t="s">
        <v>914</v>
      </c>
      <c r="F1338" s="11" t="s">
        <v>977</v>
      </c>
      <c r="G1338" s="12">
        <v>3</v>
      </c>
      <c r="H1338" s="12">
        <v>49.95</v>
      </c>
      <c r="I1338" s="12">
        <v>149.85</v>
      </c>
      <c r="J1338" s="12">
        <v>104150.95999999992</v>
      </c>
      <c r="K1338" s="20">
        <f t="shared" si="280"/>
        <v>5</v>
      </c>
      <c r="L1338" s="20" t="str">
        <f t="shared" si="281"/>
        <v>Se repite 5 veces</v>
      </c>
      <c r="M1338" s="20" t="str">
        <f t="shared" si="282"/>
        <v>Tradiciones Andinas-Valles Andinos Dulces de Higos 20oz X 12</v>
      </c>
      <c r="N1338" s="20">
        <f t="shared" si="283"/>
        <v>5</v>
      </c>
      <c r="O1338" s="20" t="str">
        <f t="shared" si="284"/>
        <v>Se repite 5 veces en Tradiciones Andinas</v>
      </c>
      <c r="P1338" s="20" t="str">
        <f t="shared" si="285"/>
        <v>Tradiciones Andinas-Valles Andinos Dulces de Higos 20oz X 12-49.95</v>
      </c>
      <c r="Q1338" s="20">
        <f t="shared" si="286"/>
        <v>4</v>
      </c>
      <c r="R1338" s="20" t="str">
        <f t="shared" si="287"/>
        <v>Se repite 4 veces el precio de 49.95</v>
      </c>
      <c r="S1338" s="20" t="str">
        <f t="shared" si="288"/>
        <v>El producto Valles Andinos Dulces de Higos 20oz X 12 Se repite 5 veces en Tradiciones Andinas, Se repite 4 veces el precio de 49.95</v>
      </c>
      <c r="T1338" s="20" t="str">
        <f t="shared" si="289"/>
        <v>Tradiciones Andinas</v>
      </c>
      <c r="U1338" s="20" t="str">
        <f t="shared" si="290"/>
        <v>Valles Andinos Dulces de Higos 20oz X 12</v>
      </c>
      <c r="V1338" s="22">
        <f t="shared" si="291"/>
        <v>49.95</v>
      </c>
      <c r="W1338" t="str">
        <f t="shared" si="292"/>
        <v>Tradiciones Andinas 11/07/2025</v>
      </c>
      <c r="Z1338">
        <f t="shared" si="293"/>
        <v>149.85000000000002</v>
      </c>
    </row>
    <row r="1339" spans="1:26" hidden="1" x14ac:dyDescent="0.25">
      <c r="A1339" s="2" t="s">
        <v>664</v>
      </c>
      <c r="B1339" s="11" t="s">
        <v>1033</v>
      </c>
      <c r="C1339" s="11" t="s">
        <v>4</v>
      </c>
      <c r="D1339" s="11" t="s">
        <v>1034</v>
      </c>
      <c r="E1339" s="11" t="s">
        <v>1081</v>
      </c>
      <c r="F1339" s="11" t="s">
        <v>1082</v>
      </c>
      <c r="G1339" s="12">
        <v>5</v>
      </c>
      <c r="H1339" s="12">
        <v>23.22</v>
      </c>
      <c r="I1339" s="12">
        <v>116.1</v>
      </c>
      <c r="J1339" s="12">
        <v>57791.189999999937</v>
      </c>
      <c r="K1339" s="20">
        <f t="shared" si="280"/>
        <v>2</v>
      </c>
      <c r="L1339" s="20" t="str">
        <f t="shared" si="281"/>
        <v>Se repite 2 veces</v>
      </c>
      <c r="M1339" s="20" t="str">
        <f t="shared" si="282"/>
        <v>Tradiciones Andinas-Valles Andinos Frijol Bocanegra / Black Eye Beans or Bocanegra</v>
      </c>
      <c r="N1339" s="20">
        <f t="shared" si="283"/>
        <v>2</v>
      </c>
      <c r="O1339" s="20" t="str">
        <f t="shared" si="284"/>
        <v>Se repite 2 veces en Tradiciones Andinas</v>
      </c>
      <c r="P1339" s="20" t="str">
        <f t="shared" si="285"/>
        <v>Tradiciones Andinas-Valles Andinos Frijol Bocanegra / Black Eye Beans or Bocanegra-23.22</v>
      </c>
      <c r="Q1339" s="20">
        <f t="shared" si="286"/>
        <v>2</v>
      </c>
      <c r="R1339" s="20" t="str">
        <f t="shared" si="287"/>
        <v>Se repite 2 veces el precio de 23.22</v>
      </c>
      <c r="S1339" s="20" t="str">
        <f t="shared" si="288"/>
        <v>El producto Valles Andinos Frijol Bocanegra / Black Eye Beans or Bocanegra Se repite 2 veces en Tradiciones Andinas, Se repite 2 veces el precio de 23.22</v>
      </c>
      <c r="T1339" s="20" t="str">
        <f t="shared" si="289"/>
        <v>Tradiciones Andinas</v>
      </c>
      <c r="U1339" s="20" t="str">
        <f t="shared" si="290"/>
        <v>Valles Andinos Frijol Bocanegra / Black Eye Beans or Bocanegra</v>
      </c>
      <c r="V1339" s="22">
        <f t="shared" si="291"/>
        <v>23.22</v>
      </c>
      <c r="W1339" t="str">
        <f t="shared" si="292"/>
        <v>Tradiciones Andinas 07/03/2025</v>
      </c>
      <c r="Z1339">
        <f t="shared" si="293"/>
        <v>116.1</v>
      </c>
    </row>
    <row r="1340" spans="1:26" hidden="1" x14ac:dyDescent="0.25">
      <c r="A1340" s="2" t="s">
        <v>664</v>
      </c>
      <c r="B1340" s="11" t="s">
        <v>1207</v>
      </c>
      <c r="C1340" s="11" t="s">
        <v>4</v>
      </c>
      <c r="D1340" s="11" t="s">
        <v>1208</v>
      </c>
      <c r="E1340" s="11" t="s">
        <v>1081</v>
      </c>
      <c r="F1340" s="11" t="s">
        <v>1082</v>
      </c>
      <c r="G1340" s="12">
        <v>4</v>
      </c>
      <c r="H1340" s="12">
        <v>23.22</v>
      </c>
      <c r="I1340" s="12">
        <v>92.88</v>
      </c>
      <c r="J1340" s="12">
        <v>113419.79999999989</v>
      </c>
      <c r="K1340" s="20">
        <f t="shared" si="280"/>
        <v>2</v>
      </c>
      <c r="L1340" s="20" t="str">
        <f t="shared" si="281"/>
        <v>Se repite 2 veces</v>
      </c>
      <c r="M1340" s="20" t="str">
        <f t="shared" si="282"/>
        <v>Tradiciones Andinas-Valles Andinos Frijol Bocanegra / Black Eye Beans or Bocanegra</v>
      </c>
      <c r="N1340" s="20">
        <f t="shared" si="283"/>
        <v>2</v>
      </c>
      <c r="O1340" s="20" t="str">
        <f t="shared" si="284"/>
        <v>Se repite 2 veces en Tradiciones Andinas</v>
      </c>
      <c r="P1340" s="20" t="str">
        <f t="shared" si="285"/>
        <v>Tradiciones Andinas-Valles Andinos Frijol Bocanegra / Black Eye Beans or Bocanegra-23.22</v>
      </c>
      <c r="Q1340" s="20">
        <f t="shared" si="286"/>
        <v>2</v>
      </c>
      <c r="R1340" s="20" t="str">
        <f t="shared" si="287"/>
        <v>Se repite 2 veces el precio de 23.22</v>
      </c>
      <c r="S1340" s="20" t="str">
        <f t="shared" si="288"/>
        <v>El producto Valles Andinos Frijol Bocanegra / Black Eye Beans or Bocanegra Se repite 2 veces en Tradiciones Andinas, Se repite 2 veces el precio de 23.22</v>
      </c>
      <c r="T1340" s="20" t="str">
        <f t="shared" si="289"/>
        <v>Tradiciones Andinas</v>
      </c>
      <c r="U1340" s="20" t="str">
        <f t="shared" si="290"/>
        <v>Valles Andinos Frijol Bocanegra / Black Eye Beans or Bocanegra</v>
      </c>
      <c r="V1340" s="22">
        <f t="shared" si="291"/>
        <v>23.22</v>
      </c>
      <c r="W1340" t="str">
        <f t="shared" si="292"/>
        <v>Tradiciones Andinas 11/28/2025</v>
      </c>
      <c r="Z1340">
        <f t="shared" si="293"/>
        <v>92.88</v>
      </c>
    </row>
    <row r="1341" spans="1:26" hidden="1" x14ac:dyDescent="0.25">
      <c r="A1341" s="2" t="s">
        <v>664</v>
      </c>
      <c r="B1341" s="11" t="s">
        <v>1033</v>
      </c>
      <c r="C1341" s="11" t="s">
        <v>4</v>
      </c>
      <c r="D1341" s="11" t="s">
        <v>1034</v>
      </c>
      <c r="E1341" s="11" t="s">
        <v>1085</v>
      </c>
      <c r="F1341" s="11" t="s">
        <v>1086</v>
      </c>
      <c r="G1341" s="12">
        <v>6</v>
      </c>
      <c r="H1341" s="12">
        <v>30.42</v>
      </c>
      <c r="I1341" s="12">
        <v>182.52</v>
      </c>
      <c r="J1341" s="12">
        <v>58040.429999999935</v>
      </c>
      <c r="K1341" s="20">
        <f t="shared" si="280"/>
        <v>1</v>
      </c>
      <c r="L1341" s="20" t="str">
        <f t="shared" si="281"/>
        <v>No se repite</v>
      </c>
      <c r="M1341" s="20" t="str">
        <f t="shared" si="282"/>
        <v>Tradiciones Andinas-Valles Andinos Frijol Canario / Canary Beans</v>
      </c>
      <c r="N1341" s="20">
        <f t="shared" si="283"/>
        <v>1</v>
      </c>
      <c r="O1341" s="20" t="str">
        <f t="shared" si="284"/>
        <v>No se repite en proveedor</v>
      </c>
      <c r="P1341" s="20" t="str">
        <f t="shared" si="285"/>
        <v>Tradiciones Andinas-Valles Andinos Frijol Canario / Canary Beans-30.42</v>
      </c>
      <c r="Q1341" s="20">
        <f t="shared" si="286"/>
        <v>1</v>
      </c>
      <c r="R1341" s="20" t="str">
        <f t="shared" si="287"/>
        <v>No se repite</v>
      </c>
      <c r="S1341" s="20" t="str">
        <f t="shared" si="288"/>
        <v>El producto Valles Andinos Frijol Canario / Canary Beans No se repite en proveedor Una vez con el precio 30.42</v>
      </c>
      <c r="T1341" s="20" t="str">
        <f t="shared" si="289"/>
        <v>Tradiciones Andinas</v>
      </c>
      <c r="U1341" s="20" t="str">
        <f t="shared" si="290"/>
        <v>Valles Andinos Frijol Canario / Canary Beans</v>
      </c>
      <c r="V1341" s="22">
        <f t="shared" si="291"/>
        <v>30.42</v>
      </c>
      <c r="W1341" t="str">
        <f t="shared" si="292"/>
        <v>Tradiciones Andinas 07/03/2025</v>
      </c>
      <c r="Z1341">
        <f t="shared" si="293"/>
        <v>182.52</v>
      </c>
    </row>
    <row r="1342" spans="1:26" hidden="1" x14ac:dyDescent="0.25">
      <c r="A1342" s="2" t="s">
        <v>664</v>
      </c>
      <c r="B1342" s="11" t="s">
        <v>158</v>
      </c>
      <c r="C1342" s="11" t="s">
        <v>4</v>
      </c>
      <c r="D1342" s="11" t="s">
        <v>984</v>
      </c>
      <c r="E1342" s="11" t="s">
        <v>1020</v>
      </c>
      <c r="F1342" s="11" t="s">
        <v>1021</v>
      </c>
      <c r="G1342" s="12">
        <v>4</v>
      </c>
      <c r="H1342" s="12">
        <v>20.399999999999999</v>
      </c>
      <c r="I1342" s="12">
        <v>81.599999999999994</v>
      </c>
      <c r="J1342" s="12">
        <v>41297.06</v>
      </c>
      <c r="K1342" s="20">
        <f t="shared" si="280"/>
        <v>2</v>
      </c>
      <c r="L1342" s="20" t="str">
        <f t="shared" si="281"/>
        <v>Se repite 2 veces</v>
      </c>
      <c r="M1342" s="20" t="str">
        <f t="shared" si="282"/>
        <v>Tradiciones Andinas-Valles Andinos Frijoles Negros / Black beans 14 oz x 24</v>
      </c>
      <c r="N1342" s="20">
        <f t="shared" si="283"/>
        <v>2</v>
      </c>
      <c r="O1342" s="20" t="str">
        <f t="shared" si="284"/>
        <v>Se repite 2 veces en Tradiciones Andinas</v>
      </c>
      <c r="P1342" s="20" t="str">
        <f t="shared" si="285"/>
        <v>Tradiciones Andinas-Valles Andinos Frijoles Negros / Black beans 14 oz x 24-20.4</v>
      </c>
      <c r="Q1342" s="20">
        <f t="shared" si="286"/>
        <v>2</v>
      </c>
      <c r="R1342" s="20" t="str">
        <f t="shared" si="287"/>
        <v>Se repite 2 veces el precio de 20.4</v>
      </c>
      <c r="S1342" s="20" t="str">
        <f t="shared" si="288"/>
        <v>El producto Valles Andinos Frijoles Negros / Black beans 14 oz x 24 Se repite 2 veces en Tradiciones Andinas, Se repite 2 veces el precio de 20.4</v>
      </c>
      <c r="T1342" s="20" t="str">
        <f t="shared" si="289"/>
        <v>Tradiciones Andinas</v>
      </c>
      <c r="U1342" s="20" t="str">
        <f t="shared" si="290"/>
        <v>Valles Andinos Frijoles Negros / Black beans 14 oz x 24</v>
      </c>
      <c r="V1342" s="22">
        <f t="shared" si="291"/>
        <v>20.399999999999999</v>
      </c>
      <c r="W1342" t="str">
        <f t="shared" si="292"/>
        <v>Tradiciones Andinas 06/12/2025</v>
      </c>
      <c r="Z1342">
        <f t="shared" si="293"/>
        <v>81.599999999999994</v>
      </c>
    </row>
    <row r="1343" spans="1:26" hidden="1" x14ac:dyDescent="0.25">
      <c r="A1343" s="2" t="s">
        <v>664</v>
      </c>
      <c r="B1343" s="11" t="s">
        <v>1033</v>
      </c>
      <c r="C1343" s="11" t="s">
        <v>4</v>
      </c>
      <c r="D1343" s="11" t="s">
        <v>1034</v>
      </c>
      <c r="E1343" s="11" t="s">
        <v>1020</v>
      </c>
      <c r="F1343" s="11" t="s">
        <v>1089</v>
      </c>
      <c r="G1343" s="12">
        <v>6</v>
      </c>
      <c r="H1343" s="12">
        <v>20.399999999999999</v>
      </c>
      <c r="I1343" s="12">
        <v>122.4</v>
      </c>
      <c r="J1343" s="12">
        <v>58344.749999999935</v>
      </c>
      <c r="K1343" s="20">
        <f t="shared" si="280"/>
        <v>2</v>
      </c>
      <c r="L1343" s="20" t="str">
        <f t="shared" si="281"/>
        <v>Se repite 2 veces</v>
      </c>
      <c r="M1343" s="20" t="str">
        <f t="shared" si="282"/>
        <v>Tradiciones Andinas-Valles Andinos Frijoles Negros / Black beans 14 oz x 24</v>
      </c>
      <c r="N1343" s="20">
        <f t="shared" si="283"/>
        <v>2</v>
      </c>
      <c r="O1343" s="20" t="str">
        <f t="shared" si="284"/>
        <v>Se repite 2 veces en Tradiciones Andinas</v>
      </c>
      <c r="P1343" s="20" t="str">
        <f t="shared" si="285"/>
        <v>Tradiciones Andinas-Valles Andinos Frijoles Negros / Black beans 14 oz x 24-20.4</v>
      </c>
      <c r="Q1343" s="20">
        <f t="shared" si="286"/>
        <v>2</v>
      </c>
      <c r="R1343" s="20" t="str">
        <f t="shared" si="287"/>
        <v>Se repite 2 veces el precio de 20.4</v>
      </c>
      <c r="S1343" s="20" t="str">
        <f t="shared" si="288"/>
        <v>El producto Valles Andinos Frijoles Negros / Black beans 14 oz x 24 Se repite 2 veces en Tradiciones Andinas, Se repite 2 veces el precio de 20.4</v>
      </c>
      <c r="T1343" s="20" t="str">
        <f t="shared" si="289"/>
        <v>Tradiciones Andinas</v>
      </c>
      <c r="U1343" s="20" t="str">
        <f t="shared" si="290"/>
        <v>Valles Andinos Frijoles Negros / Black beans 14 oz x 24</v>
      </c>
      <c r="V1343" s="22">
        <f t="shared" si="291"/>
        <v>20.399999999999999</v>
      </c>
      <c r="W1343" t="str">
        <f t="shared" si="292"/>
        <v>Tradiciones Andinas 07/03/2025</v>
      </c>
      <c r="Z1343">
        <f t="shared" si="293"/>
        <v>122.39999999999999</v>
      </c>
    </row>
    <row r="1344" spans="1:26" hidden="1" x14ac:dyDescent="0.25">
      <c r="A1344" s="2" t="s">
        <v>664</v>
      </c>
      <c r="B1344" s="11" t="s">
        <v>158</v>
      </c>
      <c r="C1344" s="11" t="s">
        <v>4</v>
      </c>
      <c r="D1344" s="11" t="s">
        <v>984</v>
      </c>
      <c r="E1344" s="11" t="s">
        <v>1022</v>
      </c>
      <c r="F1344" s="11" t="s">
        <v>1023</v>
      </c>
      <c r="G1344" s="12">
        <v>3</v>
      </c>
      <c r="H1344" s="12">
        <v>25.9</v>
      </c>
      <c r="I1344" s="12">
        <v>77.7</v>
      </c>
      <c r="J1344" s="12">
        <v>41374.759999999995</v>
      </c>
      <c r="K1344" s="20">
        <f t="shared" si="280"/>
        <v>2</v>
      </c>
      <c r="L1344" s="20" t="str">
        <f t="shared" si="281"/>
        <v>Se repite 2 veces</v>
      </c>
      <c r="M1344" s="20" t="str">
        <f t="shared" si="282"/>
        <v>Tradiciones Andinas-Valles Andinos Habas partidas y Peladas / Split and Peeled Fava Beans 14oz x 14</v>
      </c>
      <c r="N1344" s="20">
        <f t="shared" si="283"/>
        <v>2</v>
      </c>
      <c r="O1344" s="20" t="str">
        <f t="shared" si="284"/>
        <v>Se repite 2 veces en Tradiciones Andinas</v>
      </c>
      <c r="P1344" s="20" t="str">
        <f t="shared" si="285"/>
        <v>Tradiciones Andinas-Valles Andinos Habas partidas y Peladas / Split and Peeled Fava Beans 14oz x 14-25.9</v>
      </c>
      <c r="Q1344" s="20">
        <f t="shared" si="286"/>
        <v>2</v>
      </c>
      <c r="R1344" s="20" t="str">
        <f t="shared" si="287"/>
        <v>Se repite 2 veces el precio de 25.9</v>
      </c>
      <c r="S1344" s="20" t="str">
        <f t="shared" si="288"/>
        <v>El producto Valles Andinos Habas partidas y Peladas / Split and Peeled Fava Beans 14oz x 14 Se repite 2 veces en Tradiciones Andinas, Se repite 2 veces el precio de 25.9</v>
      </c>
      <c r="T1344" s="20" t="str">
        <f t="shared" si="289"/>
        <v>Tradiciones Andinas</v>
      </c>
      <c r="U1344" s="20" t="str">
        <f t="shared" si="290"/>
        <v>Valles Andinos Habas partidas y Peladas / Split and Peeled Fava Beans 14oz x 14</v>
      </c>
      <c r="V1344" s="22">
        <f t="shared" si="291"/>
        <v>25.9</v>
      </c>
      <c r="W1344" t="str">
        <f t="shared" si="292"/>
        <v>Tradiciones Andinas 06/12/2025</v>
      </c>
      <c r="Z1344">
        <f t="shared" si="293"/>
        <v>77.699999999999989</v>
      </c>
    </row>
    <row r="1345" spans="1:26" hidden="1" x14ac:dyDescent="0.25">
      <c r="A1345" s="2" t="s">
        <v>664</v>
      </c>
      <c r="B1345" s="11" t="s">
        <v>1033</v>
      </c>
      <c r="C1345" s="11" t="s">
        <v>4</v>
      </c>
      <c r="D1345" s="11" t="s">
        <v>1034</v>
      </c>
      <c r="E1345" s="11" t="s">
        <v>1022</v>
      </c>
      <c r="F1345" s="11" t="s">
        <v>1090</v>
      </c>
      <c r="G1345" s="12">
        <v>4</v>
      </c>
      <c r="H1345" s="12">
        <v>25.9</v>
      </c>
      <c r="I1345" s="12">
        <v>103.6</v>
      </c>
      <c r="J1345" s="12">
        <v>58448.349999999933</v>
      </c>
      <c r="K1345" s="20">
        <f t="shared" si="280"/>
        <v>2</v>
      </c>
      <c r="L1345" s="20" t="str">
        <f t="shared" si="281"/>
        <v>Se repite 2 veces</v>
      </c>
      <c r="M1345" s="20" t="str">
        <f t="shared" si="282"/>
        <v>Tradiciones Andinas-Valles Andinos Habas partidas y Peladas / Split and Peeled Fava Beans 14oz x 14</v>
      </c>
      <c r="N1345" s="20">
        <f t="shared" si="283"/>
        <v>2</v>
      </c>
      <c r="O1345" s="20" t="str">
        <f t="shared" si="284"/>
        <v>Se repite 2 veces en Tradiciones Andinas</v>
      </c>
      <c r="P1345" s="20" t="str">
        <f t="shared" si="285"/>
        <v>Tradiciones Andinas-Valles Andinos Habas partidas y Peladas / Split and Peeled Fava Beans 14oz x 14-25.9</v>
      </c>
      <c r="Q1345" s="20">
        <f t="shared" si="286"/>
        <v>2</v>
      </c>
      <c r="R1345" s="20" t="str">
        <f t="shared" si="287"/>
        <v>Se repite 2 veces el precio de 25.9</v>
      </c>
      <c r="S1345" s="20" t="str">
        <f t="shared" si="288"/>
        <v>El producto Valles Andinos Habas partidas y Peladas / Split and Peeled Fava Beans 14oz x 14 Se repite 2 veces en Tradiciones Andinas, Se repite 2 veces el precio de 25.9</v>
      </c>
      <c r="T1345" s="20" t="str">
        <f t="shared" si="289"/>
        <v>Tradiciones Andinas</v>
      </c>
      <c r="U1345" s="20" t="str">
        <f t="shared" si="290"/>
        <v>Valles Andinos Habas partidas y Peladas / Split and Peeled Fava Beans 14oz x 14</v>
      </c>
      <c r="V1345" s="22">
        <f t="shared" si="291"/>
        <v>25.9</v>
      </c>
      <c r="W1345" t="str">
        <f t="shared" si="292"/>
        <v>Tradiciones Andinas 07/03/2025</v>
      </c>
      <c r="Z1345">
        <f t="shared" si="293"/>
        <v>103.6</v>
      </c>
    </row>
    <row r="1346" spans="1:26" hidden="1" x14ac:dyDescent="0.25">
      <c r="A1346" s="2" t="s">
        <v>664</v>
      </c>
      <c r="B1346" s="11" t="s">
        <v>1092</v>
      </c>
      <c r="C1346" s="11" t="s">
        <v>4</v>
      </c>
      <c r="D1346" s="11" t="s">
        <v>1093</v>
      </c>
      <c r="E1346" s="11" t="s">
        <v>1106</v>
      </c>
      <c r="F1346" s="11" t="s">
        <v>1107</v>
      </c>
      <c r="G1346" s="12">
        <v>3</v>
      </c>
      <c r="H1346" s="12">
        <v>22.24</v>
      </c>
      <c r="I1346" s="12">
        <v>66.72</v>
      </c>
      <c r="J1346" s="12">
        <v>62923.539999999957</v>
      </c>
      <c r="K1346" s="20">
        <f t="shared" si="280"/>
        <v>2</v>
      </c>
      <c r="L1346" s="20" t="str">
        <f t="shared" si="281"/>
        <v>Se repite 2 veces</v>
      </c>
      <c r="M1346" s="20" t="str">
        <f t="shared" si="282"/>
        <v>Tradiciones Andinas-Valles Andinos Harina de Alverja / Pea Flour</v>
      </c>
      <c r="N1346" s="20">
        <f t="shared" si="283"/>
        <v>2</v>
      </c>
      <c r="O1346" s="20" t="str">
        <f t="shared" si="284"/>
        <v>Se repite 2 veces en Tradiciones Andinas</v>
      </c>
      <c r="P1346" s="20" t="str">
        <f t="shared" si="285"/>
        <v>Tradiciones Andinas-Valles Andinos Harina de Alverja / Pea Flour-22.24</v>
      </c>
      <c r="Q1346" s="20">
        <f t="shared" si="286"/>
        <v>2</v>
      </c>
      <c r="R1346" s="20" t="str">
        <f t="shared" si="287"/>
        <v>Se repite 2 veces el precio de 22.24</v>
      </c>
      <c r="S1346" s="20" t="str">
        <f t="shared" si="288"/>
        <v>El producto Valles Andinos Harina de Alverja / Pea Flour Se repite 2 veces en Tradiciones Andinas, Se repite 2 veces el precio de 22.24</v>
      </c>
      <c r="T1346" s="20" t="str">
        <f t="shared" si="289"/>
        <v>Tradiciones Andinas</v>
      </c>
      <c r="U1346" s="20" t="str">
        <f t="shared" si="290"/>
        <v>Valles Andinos Harina de Alverja / Pea Flour</v>
      </c>
      <c r="V1346" s="22">
        <f t="shared" si="291"/>
        <v>22.24</v>
      </c>
      <c r="W1346" t="str">
        <f t="shared" si="292"/>
        <v>Tradiciones Andinas 07/21/2025</v>
      </c>
      <c r="Z1346">
        <f t="shared" si="293"/>
        <v>66.72</v>
      </c>
    </row>
    <row r="1347" spans="1:26" hidden="1" x14ac:dyDescent="0.25">
      <c r="A1347" s="2" t="s">
        <v>664</v>
      </c>
      <c r="B1347" s="11" t="s">
        <v>1153</v>
      </c>
      <c r="C1347" s="11" t="s">
        <v>4</v>
      </c>
      <c r="D1347" s="11" t="s">
        <v>1154</v>
      </c>
      <c r="E1347" s="11" t="s">
        <v>1106</v>
      </c>
      <c r="F1347" s="11" t="s">
        <v>1107</v>
      </c>
      <c r="G1347" s="12">
        <v>5</v>
      </c>
      <c r="H1347" s="12">
        <v>22.24</v>
      </c>
      <c r="I1347" s="12">
        <v>111.2</v>
      </c>
      <c r="J1347" s="12">
        <v>86015.459999999948</v>
      </c>
      <c r="K1347" s="20">
        <f t="shared" ref="K1347:K1410" si="294">COUNTIF($E$2:$E$1438,E1347)</f>
        <v>2</v>
      </c>
      <c r="L1347" s="20" t="str">
        <f t="shared" ref="L1347:L1410" si="295">IF(K1347&gt;1,_xlfn.CONCAT("Se repite ",K1347," veces"),"No se repite")</f>
        <v>Se repite 2 veces</v>
      </c>
      <c r="M1347" s="20" t="str">
        <f t="shared" ref="M1347:M1410" si="296">_xlfn.CONCAT(A1347,"-",E1347)</f>
        <v>Tradiciones Andinas-Valles Andinos Harina de Alverja / Pea Flour</v>
      </c>
      <c r="N1347" s="20">
        <f t="shared" ref="N1347:N1410" si="297">COUNTIF($M$2:$M$1438,M1347)</f>
        <v>2</v>
      </c>
      <c r="O1347" s="20" t="str">
        <f t="shared" ref="O1347:O1410" si="298">IF(N1347&gt;1,_xlfn.CONCAT("Se repite ",N1347," veces en ",A1347),"No se repite en proveedor")</f>
        <v>Se repite 2 veces en Tradiciones Andinas</v>
      </c>
      <c r="P1347" s="20" t="str">
        <f t="shared" ref="P1347:P1410" si="299">_xlfn.CONCAT(A1347,"-",E1347,"-",H1347)</f>
        <v>Tradiciones Andinas-Valles Andinos Harina de Alverja / Pea Flour-22.24</v>
      </c>
      <c r="Q1347" s="20">
        <f t="shared" ref="Q1347:Q1410" si="300">COUNTIF($P$2:$P$1438,P1347)</f>
        <v>2</v>
      </c>
      <c r="R1347" s="20" t="str">
        <f t="shared" ref="R1347:R1410" si="301">IF(Q1347&gt;1,_xlfn.CONCAT("Se repite ",Q1347," veces el precio de ",H1347),"No se repite")</f>
        <v>Se repite 2 veces el precio de 22.24</v>
      </c>
      <c r="S1347" s="20" t="str">
        <f t="shared" ref="S1347:S1410" si="302">_xlfn.CONCAT("El producto ",E1347," ",O1347,IF(R1347="No se repite",_xlfn.CONCAT(" Una vez con el precio ",H1347),_xlfn.CONCAT(", ",R1347)))</f>
        <v>El producto Valles Andinos Harina de Alverja / Pea Flour Se repite 2 veces en Tradiciones Andinas, Se repite 2 veces el precio de 22.24</v>
      </c>
      <c r="T1347" s="20" t="str">
        <f t="shared" ref="T1347:T1410" si="303">+A1347</f>
        <v>Tradiciones Andinas</v>
      </c>
      <c r="U1347" s="20" t="str">
        <f t="shared" ref="U1347:U1410" si="304">+E1347</f>
        <v>Valles Andinos Harina de Alverja / Pea Flour</v>
      </c>
      <c r="V1347" s="22">
        <f t="shared" ref="V1347:V1410" si="305">+H1347</f>
        <v>22.24</v>
      </c>
      <c r="W1347" t="str">
        <f t="shared" ref="W1347:W1410" si="306">_xlfn.CONCAT(A1347," ",B1347)</f>
        <v>Tradiciones Andinas 09/24/2025</v>
      </c>
      <c r="Z1347">
        <f t="shared" ref="Z1347:Z1410" si="307">G1347*H1347</f>
        <v>111.19999999999999</v>
      </c>
    </row>
    <row r="1348" spans="1:26" hidden="1" x14ac:dyDescent="0.25">
      <c r="A1348" s="2" t="s">
        <v>664</v>
      </c>
      <c r="B1348" s="11" t="s">
        <v>1033</v>
      </c>
      <c r="C1348" s="11" t="s">
        <v>4</v>
      </c>
      <c r="D1348" s="11" t="s">
        <v>1034</v>
      </c>
      <c r="E1348" s="11" t="s">
        <v>1083</v>
      </c>
      <c r="F1348" s="11" t="s">
        <v>1084</v>
      </c>
      <c r="G1348" s="12">
        <v>3</v>
      </c>
      <c r="H1348" s="12">
        <v>22.24</v>
      </c>
      <c r="I1348" s="12">
        <v>66.72</v>
      </c>
      <c r="J1348" s="12">
        <v>57857.909999999938</v>
      </c>
      <c r="K1348" s="20">
        <f t="shared" si="294"/>
        <v>3</v>
      </c>
      <c r="L1348" s="20" t="str">
        <f t="shared" si="295"/>
        <v>Se repite 3 veces</v>
      </c>
      <c r="M1348" s="20" t="str">
        <f t="shared" si="296"/>
        <v>Tradiciones Andinas-Valles Andinos Harina de Habas / Faba Beans Flour 14oz x 18</v>
      </c>
      <c r="N1348" s="20">
        <f t="shared" si="297"/>
        <v>3</v>
      </c>
      <c r="O1348" s="20" t="str">
        <f t="shared" si="298"/>
        <v>Se repite 3 veces en Tradiciones Andinas</v>
      </c>
      <c r="P1348" s="20" t="str">
        <f t="shared" si="299"/>
        <v>Tradiciones Andinas-Valles Andinos Harina de Habas / Faba Beans Flour 14oz x 18-22.24</v>
      </c>
      <c r="Q1348" s="20">
        <f t="shared" si="300"/>
        <v>3</v>
      </c>
      <c r="R1348" s="20" t="str">
        <f t="shared" si="301"/>
        <v>Se repite 3 veces el precio de 22.24</v>
      </c>
      <c r="S1348" s="20" t="str">
        <f t="shared" si="302"/>
        <v>El producto Valles Andinos Harina de Habas / Faba Beans Flour 14oz x 18 Se repite 3 veces en Tradiciones Andinas, Se repite 3 veces el precio de 22.24</v>
      </c>
      <c r="T1348" s="20" t="str">
        <f t="shared" si="303"/>
        <v>Tradiciones Andinas</v>
      </c>
      <c r="U1348" s="20" t="str">
        <f t="shared" si="304"/>
        <v>Valles Andinos Harina de Habas / Faba Beans Flour 14oz x 18</v>
      </c>
      <c r="V1348" s="22">
        <f t="shared" si="305"/>
        <v>22.24</v>
      </c>
      <c r="W1348" t="str">
        <f t="shared" si="306"/>
        <v>Tradiciones Andinas 07/03/2025</v>
      </c>
      <c r="Z1348">
        <f t="shared" si="307"/>
        <v>66.72</v>
      </c>
    </row>
    <row r="1349" spans="1:26" hidden="1" x14ac:dyDescent="0.25">
      <c r="A1349" s="2" t="s">
        <v>664</v>
      </c>
      <c r="B1349" s="11" t="s">
        <v>1153</v>
      </c>
      <c r="C1349" s="11" t="s">
        <v>4</v>
      </c>
      <c r="D1349" s="11" t="s">
        <v>1154</v>
      </c>
      <c r="E1349" s="11" t="s">
        <v>1083</v>
      </c>
      <c r="F1349" s="11" t="s">
        <v>1167</v>
      </c>
      <c r="G1349" s="12">
        <v>2</v>
      </c>
      <c r="H1349" s="12">
        <v>22.24</v>
      </c>
      <c r="I1349" s="12">
        <v>44.48</v>
      </c>
      <c r="J1349" s="12">
        <v>86109.979999999938</v>
      </c>
      <c r="K1349" s="20">
        <f t="shared" si="294"/>
        <v>3</v>
      </c>
      <c r="L1349" s="20" t="str">
        <f t="shared" si="295"/>
        <v>Se repite 3 veces</v>
      </c>
      <c r="M1349" s="20" t="str">
        <f t="shared" si="296"/>
        <v>Tradiciones Andinas-Valles Andinos Harina de Habas / Faba Beans Flour 14oz x 18</v>
      </c>
      <c r="N1349" s="20">
        <f t="shared" si="297"/>
        <v>3</v>
      </c>
      <c r="O1349" s="20" t="str">
        <f t="shared" si="298"/>
        <v>Se repite 3 veces en Tradiciones Andinas</v>
      </c>
      <c r="P1349" s="20" t="str">
        <f t="shared" si="299"/>
        <v>Tradiciones Andinas-Valles Andinos Harina de Habas / Faba Beans Flour 14oz x 18-22.24</v>
      </c>
      <c r="Q1349" s="20">
        <f t="shared" si="300"/>
        <v>3</v>
      </c>
      <c r="R1349" s="20" t="str">
        <f t="shared" si="301"/>
        <v>Se repite 3 veces el precio de 22.24</v>
      </c>
      <c r="S1349" s="20" t="str">
        <f t="shared" si="302"/>
        <v>El producto Valles Andinos Harina de Habas / Faba Beans Flour 14oz x 18 Se repite 3 veces en Tradiciones Andinas, Se repite 3 veces el precio de 22.24</v>
      </c>
      <c r="T1349" s="20" t="str">
        <f t="shared" si="303"/>
        <v>Tradiciones Andinas</v>
      </c>
      <c r="U1349" s="20" t="str">
        <f t="shared" si="304"/>
        <v>Valles Andinos Harina de Habas / Faba Beans Flour 14oz x 18</v>
      </c>
      <c r="V1349" s="22">
        <f t="shared" si="305"/>
        <v>22.24</v>
      </c>
      <c r="W1349" t="str">
        <f t="shared" si="306"/>
        <v>Tradiciones Andinas 09/24/2025</v>
      </c>
      <c r="Z1349">
        <f t="shared" si="307"/>
        <v>44.48</v>
      </c>
    </row>
    <row r="1350" spans="1:26" hidden="1" x14ac:dyDescent="0.25">
      <c r="A1350" s="2" t="s">
        <v>664</v>
      </c>
      <c r="B1350" s="11" t="s">
        <v>1201</v>
      </c>
      <c r="C1350" s="11" t="s">
        <v>4</v>
      </c>
      <c r="D1350" s="11" t="s">
        <v>1202</v>
      </c>
      <c r="E1350" s="11" t="s">
        <v>1083</v>
      </c>
      <c r="F1350" s="11" t="s">
        <v>1167</v>
      </c>
      <c r="G1350" s="12">
        <v>1</v>
      </c>
      <c r="H1350" s="12">
        <v>22.24</v>
      </c>
      <c r="I1350" s="12">
        <v>22.24</v>
      </c>
      <c r="J1350" s="12">
        <v>104435.23999999993</v>
      </c>
      <c r="K1350" s="20">
        <f t="shared" si="294"/>
        <v>3</v>
      </c>
      <c r="L1350" s="20" t="str">
        <f t="shared" si="295"/>
        <v>Se repite 3 veces</v>
      </c>
      <c r="M1350" s="20" t="str">
        <f t="shared" si="296"/>
        <v>Tradiciones Andinas-Valles Andinos Harina de Habas / Faba Beans Flour 14oz x 18</v>
      </c>
      <c r="N1350" s="20">
        <f t="shared" si="297"/>
        <v>3</v>
      </c>
      <c r="O1350" s="20" t="str">
        <f t="shared" si="298"/>
        <v>Se repite 3 veces en Tradiciones Andinas</v>
      </c>
      <c r="P1350" s="20" t="str">
        <f t="shared" si="299"/>
        <v>Tradiciones Andinas-Valles Andinos Harina de Habas / Faba Beans Flour 14oz x 18-22.24</v>
      </c>
      <c r="Q1350" s="20">
        <f t="shared" si="300"/>
        <v>3</v>
      </c>
      <c r="R1350" s="20" t="str">
        <f t="shared" si="301"/>
        <v>Se repite 3 veces el precio de 22.24</v>
      </c>
      <c r="S1350" s="20" t="str">
        <f t="shared" si="302"/>
        <v>El producto Valles Andinos Harina de Habas / Faba Beans Flour 14oz x 18 Se repite 3 veces en Tradiciones Andinas, Se repite 3 veces el precio de 22.24</v>
      </c>
      <c r="T1350" s="20" t="str">
        <f t="shared" si="303"/>
        <v>Tradiciones Andinas</v>
      </c>
      <c r="U1350" s="20" t="str">
        <f t="shared" si="304"/>
        <v>Valles Andinos Harina de Habas / Faba Beans Flour 14oz x 18</v>
      </c>
      <c r="V1350" s="22">
        <f t="shared" si="305"/>
        <v>22.24</v>
      </c>
      <c r="W1350" t="str">
        <f t="shared" si="306"/>
        <v>Tradiciones Andinas 11/07/2025</v>
      </c>
      <c r="Z1350">
        <f t="shared" si="307"/>
        <v>22.24</v>
      </c>
    </row>
    <row r="1351" spans="1:26" hidden="1" x14ac:dyDescent="0.25">
      <c r="A1351" s="2" t="s">
        <v>664</v>
      </c>
      <c r="B1351" s="11" t="s">
        <v>1092</v>
      </c>
      <c r="C1351" s="11" t="s">
        <v>4</v>
      </c>
      <c r="D1351" s="11" t="s">
        <v>1093</v>
      </c>
      <c r="E1351" s="11" t="s">
        <v>1108</v>
      </c>
      <c r="F1351" s="11" t="s">
        <v>1109</v>
      </c>
      <c r="G1351" s="12">
        <v>1</v>
      </c>
      <c r="H1351" s="12">
        <v>22.24</v>
      </c>
      <c r="I1351" s="12">
        <v>22.24</v>
      </c>
      <c r="J1351" s="12">
        <v>62945.779999999955</v>
      </c>
      <c r="K1351" s="20">
        <f t="shared" si="294"/>
        <v>3</v>
      </c>
      <c r="L1351" s="20" t="str">
        <f t="shared" si="295"/>
        <v>Se repite 3 veces</v>
      </c>
      <c r="M1351" s="20" t="str">
        <f t="shared" si="296"/>
        <v>Tradiciones Andinas-Valles Andinos Harina de Machica / Roasted Barley Flour</v>
      </c>
      <c r="N1351" s="20">
        <f t="shared" si="297"/>
        <v>3</v>
      </c>
      <c r="O1351" s="20" t="str">
        <f t="shared" si="298"/>
        <v>Se repite 3 veces en Tradiciones Andinas</v>
      </c>
      <c r="P1351" s="20" t="str">
        <f t="shared" si="299"/>
        <v>Tradiciones Andinas-Valles Andinos Harina de Machica / Roasted Barley Flour-22.24</v>
      </c>
      <c r="Q1351" s="20">
        <f t="shared" si="300"/>
        <v>3</v>
      </c>
      <c r="R1351" s="20" t="str">
        <f t="shared" si="301"/>
        <v>Se repite 3 veces el precio de 22.24</v>
      </c>
      <c r="S1351" s="20" t="str">
        <f t="shared" si="302"/>
        <v>El producto Valles Andinos Harina de Machica / Roasted Barley Flour Se repite 3 veces en Tradiciones Andinas, Se repite 3 veces el precio de 22.24</v>
      </c>
      <c r="T1351" s="20" t="str">
        <f t="shared" si="303"/>
        <v>Tradiciones Andinas</v>
      </c>
      <c r="U1351" s="20" t="str">
        <f t="shared" si="304"/>
        <v>Valles Andinos Harina de Machica / Roasted Barley Flour</v>
      </c>
      <c r="V1351" s="22">
        <f t="shared" si="305"/>
        <v>22.24</v>
      </c>
      <c r="W1351" t="str">
        <f t="shared" si="306"/>
        <v>Tradiciones Andinas 07/21/2025</v>
      </c>
      <c r="Z1351">
        <f t="shared" si="307"/>
        <v>22.24</v>
      </c>
    </row>
    <row r="1352" spans="1:26" hidden="1" x14ac:dyDescent="0.25">
      <c r="A1352" s="2" t="s">
        <v>664</v>
      </c>
      <c r="B1352" s="11" t="s">
        <v>1184</v>
      </c>
      <c r="C1352" s="11" t="s">
        <v>4</v>
      </c>
      <c r="D1352" s="11" t="s">
        <v>1185</v>
      </c>
      <c r="E1352" s="11" t="s">
        <v>1108</v>
      </c>
      <c r="F1352" s="11" t="s">
        <v>1109</v>
      </c>
      <c r="G1352" s="12">
        <v>5</v>
      </c>
      <c r="H1352" s="12">
        <v>22.24</v>
      </c>
      <c r="I1352" s="12">
        <v>111.2</v>
      </c>
      <c r="J1352" s="12">
        <v>95449.949999999939</v>
      </c>
      <c r="K1352" s="20">
        <f t="shared" si="294"/>
        <v>3</v>
      </c>
      <c r="L1352" s="20" t="str">
        <f t="shared" si="295"/>
        <v>Se repite 3 veces</v>
      </c>
      <c r="M1352" s="20" t="str">
        <f t="shared" si="296"/>
        <v>Tradiciones Andinas-Valles Andinos Harina de Machica / Roasted Barley Flour</v>
      </c>
      <c r="N1352" s="20">
        <f t="shared" si="297"/>
        <v>3</v>
      </c>
      <c r="O1352" s="20" t="str">
        <f t="shared" si="298"/>
        <v>Se repite 3 veces en Tradiciones Andinas</v>
      </c>
      <c r="P1352" s="20" t="str">
        <f t="shared" si="299"/>
        <v>Tradiciones Andinas-Valles Andinos Harina de Machica / Roasted Barley Flour-22.24</v>
      </c>
      <c r="Q1352" s="20">
        <f t="shared" si="300"/>
        <v>3</v>
      </c>
      <c r="R1352" s="20" t="str">
        <f t="shared" si="301"/>
        <v>Se repite 3 veces el precio de 22.24</v>
      </c>
      <c r="S1352" s="20" t="str">
        <f t="shared" si="302"/>
        <v>El producto Valles Andinos Harina de Machica / Roasted Barley Flour Se repite 3 veces en Tradiciones Andinas, Se repite 3 veces el precio de 22.24</v>
      </c>
      <c r="T1352" s="20" t="str">
        <f t="shared" si="303"/>
        <v>Tradiciones Andinas</v>
      </c>
      <c r="U1352" s="20" t="str">
        <f t="shared" si="304"/>
        <v>Valles Andinos Harina de Machica / Roasted Barley Flour</v>
      </c>
      <c r="V1352" s="22">
        <f t="shared" si="305"/>
        <v>22.24</v>
      </c>
      <c r="W1352" t="str">
        <f t="shared" si="306"/>
        <v>Tradiciones Andinas 10/08/2025</v>
      </c>
      <c r="Z1352">
        <f t="shared" si="307"/>
        <v>111.19999999999999</v>
      </c>
    </row>
    <row r="1353" spans="1:26" hidden="1" x14ac:dyDescent="0.25">
      <c r="A1353" s="2" t="s">
        <v>664</v>
      </c>
      <c r="B1353" s="11" t="s">
        <v>1201</v>
      </c>
      <c r="C1353" s="11" t="s">
        <v>4</v>
      </c>
      <c r="D1353" s="11" t="s">
        <v>1202</v>
      </c>
      <c r="E1353" s="11" t="s">
        <v>1108</v>
      </c>
      <c r="F1353" s="11" t="s">
        <v>1109</v>
      </c>
      <c r="G1353" s="12">
        <v>6</v>
      </c>
      <c r="H1353" s="12">
        <v>22.24</v>
      </c>
      <c r="I1353" s="12">
        <v>133.44</v>
      </c>
      <c r="J1353" s="12">
        <v>104412.99999999993</v>
      </c>
      <c r="K1353" s="20">
        <f t="shared" si="294"/>
        <v>3</v>
      </c>
      <c r="L1353" s="20" t="str">
        <f t="shared" si="295"/>
        <v>Se repite 3 veces</v>
      </c>
      <c r="M1353" s="20" t="str">
        <f t="shared" si="296"/>
        <v>Tradiciones Andinas-Valles Andinos Harina de Machica / Roasted Barley Flour</v>
      </c>
      <c r="N1353" s="20">
        <f t="shared" si="297"/>
        <v>3</v>
      </c>
      <c r="O1353" s="20" t="str">
        <f t="shared" si="298"/>
        <v>Se repite 3 veces en Tradiciones Andinas</v>
      </c>
      <c r="P1353" s="20" t="str">
        <f t="shared" si="299"/>
        <v>Tradiciones Andinas-Valles Andinos Harina de Machica / Roasted Barley Flour-22.24</v>
      </c>
      <c r="Q1353" s="20">
        <f t="shared" si="300"/>
        <v>3</v>
      </c>
      <c r="R1353" s="20" t="str">
        <f t="shared" si="301"/>
        <v>Se repite 3 veces el precio de 22.24</v>
      </c>
      <c r="S1353" s="20" t="str">
        <f t="shared" si="302"/>
        <v>El producto Valles Andinos Harina de Machica / Roasted Barley Flour Se repite 3 veces en Tradiciones Andinas, Se repite 3 veces el precio de 22.24</v>
      </c>
      <c r="T1353" s="20" t="str">
        <f t="shared" si="303"/>
        <v>Tradiciones Andinas</v>
      </c>
      <c r="U1353" s="20" t="str">
        <f t="shared" si="304"/>
        <v>Valles Andinos Harina de Machica / Roasted Barley Flour</v>
      </c>
      <c r="V1353" s="22">
        <f t="shared" si="305"/>
        <v>22.24</v>
      </c>
      <c r="W1353" t="str">
        <f t="shared" si="306"/>
        <v>Tradiciones Andinas 11/07/2025</v>
      </c>
      <c r="Z1353">
        <f t="shared" si="307"/>
        <v>133.44</v>
      </c>
    </row>
    <row r="1354" spans="1:26" hidden="1" x14ac:dyDescent="0.25">
      <c r="A1354" s="2" t="s">
        <v>664</v>
      </c>
      <c r="B1354" s="11" t="s">
        <v>1033</v>
      </c>
      <c r="C1354" s="11" t="s">
        <v>4</v>
      </c>
      <c r="D1354" s="11" t="s">
        <v>1034</v>
      </c>
      <c r="E1354" s="11" t="s">
        <v>1087</v>
      </c>
      <c r="F1354" s="11" t="s">
        <v>1088</v>
      </c>
      <c r="G1354" s="12">
        <v>3</v>
      </c>
      <c r="H1354" s="12">
        <v>22.24</v>
      </c>
      <c r="I1354" s="12">
        <v>66.72</v>
      </c>
      <c r="J1354" s="12">
        <v>58107.149999999936</v>
      </c>
      <c r="K1354" s="20">
        <f t="shared" si="294"/>
        <v>2</v>
      </c>
      <c r="L1354" s="20" t="str">
        <f t="shared" si="295"/>
        <v>Se repite 2 veces</v>
      </c>
      <c r="M1354" s="20" t="str">
        <f t="shared" si="296"/>
        <v>Tradiciones Andinas-Valles Andinos Harina de Maiz / Corn Flour</v>
      </c>
      <c r="N1354" s="20">
        <f t="shared" si="297"/>
        <v>2</v>
      </c>
      <c r="O1354" s="20" t="str">
        <f t="shared" si="298"/>
        <v>Se repite 2 veces en Tradiciones Andinas</v>
      </c>
      <c r="P1354" s="20" t="str">
        <f t="shared" si="299"/>
        <v>Tradiciones Andinas-Valles Andinos Harina de Maiz / Corn Flour-22.24</v>
      </c>
      <c r="Q1354" s="20">
        <f t="shared" si="300"/>
        <v>2</v>
      </c>
      <c r="R1354" s="20" t="str">
        <f t="shared" si="301"/>
        <v>Se repite 2 veces el precio de 22.24</v>
      </c>
      <c r="S1354" s="20" t="str">
        <f t="shared" si="302"/>
        <v>El producto Valles Andinos Harina de Maiz / Corn Flour Se repite 2 veces en Tradiciones Andinas, Se repite 2 veces el precio de 22.24</v>
      </c>
      <c r="T1354" s="20" t="str">
        <f t="shared" si="303"/>
        <v>Tradiciones Andinas</v>
      </c>
      <c r="U1354" s="20" t="str">
        <f t="shared" si="304"/>
        <v>Valles Andinos Harina de Maiz / Corn Flour</v>
      </c>
      <c r="V1354" s="22">
        <f t="shared" si="305"/>
        <v>22.24</v>
      </c>
      <c r="W1354" t="str">
        <f t="shared" si="306"/>
        <v>Tradiciones Andinas 07/03/2025</v>
      </c>
      <c r="Z1354">
        <f t="shared" si="307"/>
        <v>66.72</v>
      </c>
    </row>
    <row r="1355" spans="1:26" hidden="1" x14ac:dyDescent="0.25">
      <c r="A1355" s="2" t="s">
        <v>664</v>
      </c>
      <c r="B1355" s="11" t="s">
        <v>1153</v>
      </c>
      <c r="C1355" s="11" t="s">
        <v>4</v>
      </c>
      <c r="D1355" s="11" t="s">
        <v>1154</v>
      </c>
      <c r="E1355" s="11" t="s">
        <v>1087</v>
      </c>
      <c r="F1355" s="11" t="s">
        <v>1170</v>
      </c>
      <c r="G1355" s="12">
        <v>3</v>
      </c>
      <c r="H1355" s="12">
        <v>22.24</v>
      </c>
      <c r="I1355" s="12">
        <v>66.72</v>
      </c>
      <c r="J1355" s="12">
        <v>86237.539999999935</v>
      </c>
      <c r="K1355" s="20">
        <f t="shared" si="294"/>
        <v>2</v>
      </c>
      <c r="L1355" s="20" t="str">
        <f t="shared" si="295"/>
        <v>Se repite 2 veces</v>
      </c>
      <c r="M1355" s="20" t="str">
        <f t="shared" si="296"/>
        <v>Tradiciones Andinas-Valles Andinos Harina de Maiz / Corn Flour</v>
      </c>
      <c r="N1355" s="20">
        <f t="shared" si="297"/>
        <v>2</v>
      </c>
      <c r="O1355" s="20" t="str">
        <f t="shared" si="298"/>
        <v>Se repite 2 veces en Tradiciones Andinas</v>
      </c>
      <c r="P1355" s="20" t="str">
        <f t="shared" si="299"/>
        <v>Tradiciones Andinas-Valles Andinos Harina de Maiz / Corn Flour-22.24</v>
      </c>
      <c r="Q1355" s="20">
        <f t="shared" si="300"/>
        <v>2</v>
      </c>
      <c r="R1355" s="20" t="str">
        <f t="shared" si="301"/>
        <v>Se repite 2 veces el precio de 22.24</v>
      </c>
      <c r="S1355" s="20" t="str">
        <f t="shared" si="302"/>
        <v>El producto Valles Andinos Harina de Maiz / Corn Flour Se repite 2 veces en Tradiciones Andinas, Se repite 2 veces el precio de 22.24</v>
      </c>
      <c r="T1355" s="20" t="str">
        <f t="shared" si="303"/>
        <v>Tradiciones Andinas</v>
      </c>
      <c r="U1355" s="20" t="str">
        <f t="shared" si="304"/>
        <v>Valles Andinos Harina de Maiz / Corn Flour</v>
      </c>
      <c r="V1355" s="22">
        <f t="shared" si="305"/>
        <v>22.24</v>
      </c>
      <c r="W1355" t="str">
        <f t="shared" si="306"/>
        <v>Tradiciones Andinas 09/24/2025</v>
      </c>
      <c r="Z1355">
        <f t="shared" si="307"/>
        <v>66.72</v>
      </c>
    </row>
    <row r="1356" spans="1:26" hidden="1" x14ac:dyDescent="0.25">
      <c r="A1356" s="2" t="s">
        <v>664</v>
      </c>
      <c r="B1356" s="11" t="s">
        <v>1092</v>
      </c>
      <c r="C1356" s="11" t="s">
        <v>4</v>
      </c>
      <c r="D1356" s="11" t="s">
        <v>1093</v>
      </c>
      <c r="E1356" s="11" t="s">
        <v>1121</v>
      </c>
      <c r="F1356" s="11" t="s">
        <v>1122</v>
      </c>
      <c r="G1356" s="12">
        <v>3</v>
      </c>
      <c r="H1356" s="12">
        <v>22.24</v>
      </c>
      <c r="I1356" s="12">
        <v>66.72</v>
      </c>
      <c r="J1356" s="12">
        <v>63411.199999999946</v>
      </c>
      <c r="K1356" s="20">
        <f t="shared" si="294"/>
        <v>1</v>
      </c>
      <c r="L1356" s="20" t="str">
        <f t="shared" si="295"/>
        <v>No se repite</v>
      </c>
      <c r="M1356" s="20" t="str">
        <f t="shared" si="296"/>
        <v>Tradiciones Andinas-Valles Andinos Harina de Platano / Plantain Flour</v>
      </c>
      <c r="N1356" s="20">
        <f t="shared" si="297"/>
        <v>1</v>
      </c>
      <c r="O1356" s="20" t="str">
        <f t="shared" si="298"/>
        <v>No se repite en proveedor</v>
      </c>
      <c r="P1356" s="20" t="str">
        <f t="shared" si="299"/>
        <v>Tradiciones Andinas-Valles Andinos Harina de Platano / Plantain Flour-22.24</v>
      </c>
      <c r="Q1356" s="20">
        <f t="shared" si="300"/>
        <v>1</v>
      </c>
      <c r="R1356" s="20" t="str">
        <f t="shared" si="301"/>
        <v>No se repite</v>
      </c>
      <c r="S1356" s="20" t="str">
        <f t="shared" si="302"/>
        <v>El producto Valles Andinos Harina de Platano / Plantain Flour No se repite en proveedor Una vez con el precio 22.24</v>
      </c>
      <c r="T1356" s="20" t="str">
        <f t="shared" si="303"/>
        <v>Tradiciones Andinas</v>
      </c>
      <c r="U1356" s="20" t="str">
        <f t="shared" si="304"/>
        <v>Valles Andinos Harina de Platano / Plantain Flour</v>
      </c>
      <c r="V1356" s="22">
        <f t="shared" si="305"/>
        <v>22.24</v>
      </c>
      <c r="W1356" t="str">
        <f t="shared" si="306"/>
        <v>Tradiciones Andinas 07/21/2025</v>
      </c>
      <c r="Z1356">
        <f t="shared" si="307"/>
        <v>66.72</v>
      </c>
    </row>
    <row r="1357" spans="1:26" hidden="1" x14ac:dyDescent="0.25">
      <c r="A1357" s="2" t="s">
        <v>664</v>
      </c>
      <c r="B1357" s="11" t="s">
        <v>1184</v>
      </c>
      <c r="C1357" s="11" t="s">
        <v>4</v>
      </c>
      <c r="D1357" s="11" t="s">
        <v>1185</v>
      </c>
      <c r="E1357" s="11" t="s">
        <v>1186</v>
      </c>
      <c r="F1357" s="11" t="s">
        <v>1187</v>
      </c>
      <c r="G1357" s="12">
        <v>1</v>
      </c>
      <c r="H1357" s="12">
        <v>22.24</v>
      </c>
      <c r="I1357" s="12">
        <v>22.24</v>
      </c>
      <c r="J1357" s="12">
        <v>95472.189999999944</v>
      </c>
      <c r="K1357" s="20">
        <f t="shared" si="294"/>
        <v>3</v>
      </c>
      <c r="L1357" s="20" t="str">
        <f t="shared" si="295"/>
        <v>Se repite 3 veces</v>
      </c>
      <c r="M1357" s="20" t="str">
        <f t="shared" si="296"/>
        <v>Tradiciones Andinas-Valles Andinos Harina Maiz Morado / Purple Corn Flour</v>
      </c>
      <c r="N1357" s="20">
        <f t="shared" si="297"/>
        <v>3</v>
      </c>
      <c r="O1357" s="20" t="str">
        <f t="shared" si="298"/>
        <v>Se repite 3 veces en Tradiciones Andinas</v>
      </c>
      <c r="P1357" s="20" t="str">
        <f t="shared" si="299"/>
        <v>Tradiciones Andinas-Valles Andinos Harina Maiz Morado / Purple Corn Flour-22.24</v>
      </c>
      <c r="Q1357" s="20">
        <f t="shared" si="300"/>
        <v>3</v>
      </c>
      <c r="R1357" s="20" t="str">
        <f t="shared" si="301"/>
        <v>Se repite 3 veces el precio de 22.24</v>
      </c>
      <c r="S1357" s="20" t="str">
        <f t="shared" si="302"/>
        <v>El producto Valles Andinos Harina Maiz Morado / Purple Corn Flour Se repite 3 veces en Tradiciones Andinas, Se repite 3 veces el precio de 22.24</v>
      </c>
      <c r="T1357" s="20" t="str">
        <f t="shared" si="303"/>
        <v>Tradiciones Andinas</v>
      </c>
      <c r="U1357" s="20" t="str">
        <f t="shared" si="304"/>
        <v>Valles Andinos Harina Maiz Morado / Purple Corn Flour</v>
      </c>
      <c r="V1357" s="22">
        <f t="shared" si="305"/>
        <v>22.24</v>
      </c>
      <c r="W1357" t="str">
        <f t="shared" si="306"/>
        <v>Tradiciones Andinas 10/08/2025</v>
      </c>
      <c r="Z1357">
        <f t="shared" si="307"/>
        <v>22.24</v>
      </c>
    </row>
    <row r="1358" spans="1:26" hidden="1" x14ac:dyDescent="0.25">
      <c r="A1358" s="2" t="s">
        <v>664</v>
      </c>
      <c r="B1358" s="11" t="s">
        <v>1201</v>
      </c>
      <c r="C1358" s="11" t="s">
        <v>4</v>
      </c>
      <c r="D1358" s="11" t="s">
        <v>1202</v>
      </c>
      <c r="E1358" s="11" t="s">
        <v>1186</v>
      </c>
      <c r="F1358" s="11" t="s">
        <v>1187</v>
      </c>
      <c r="G1358" s="12">
        <v>3</v>
      </c>
      <c r="H1358" s="12">
        <v>22.24</v>
      </c>
      <c r="I1358" s="12">
        <v>66.72</v>
      </c>
      <c r="J1358" s="12">
        <v>104501.95999999993</v>
      </c>
      <c r="K1358" s="20">
        <f t="shared" si="294"/>
        <v>3</v>
      </c>
      <c r="L1358" s="20" t="str">
        <f t="shared" si="295"/>
        <v>Se repite 3 veces</v>
      </c>
      <c r="M1358" s="20" t="str">
        <f t="shared" si="296"/>
        <v>Tradiciones Andinas-Valles Andinos Harina Maiz Morado / Purple Corn Flour</v>
      </c>
      <c r="N1358" s="20">
        <f t="shared" si="297"/>
        <v>3</v>
      </c>
      <c r="O1358" s="20" t="str">
        <f t="shared" si="298"/>
        <v>Se repite 3 veces en Tradiciones Andinas</v>
      </c>
      <c r="P1358" s="20" t="str">
        <f t="shared" si="299"/>
        <v>Tradiciones Andinas-Valles Andinos Harina Maiz Morado / Purple Corn Flour-22.24</v>
      </c>
      <c r="Q1358" s="20">
        <f t="shared" si="300"/>
        <v>3</v>
      </c>
      <c r="R1358" s="20" t="str">
        <f t="shared" si="301"/>
        <v>Se repite 3 veces el precio de 22.24</v>
      </c>
      <c r="S1358" s="20" t="str">
        <f t="shared" si="302"/>
        <v>El producto Valles Andinos Harina Maiz Morado / Purple Corn Flour Se repite 3 veces en Tradiciones Andinas, Se repite 3 veces el precio de 22.24</v>
      </c>
      <c r="T1358" s="20" t="str">
        <f t="shared" si="303"/>
        <v>Tradiciones Andinas</v>
      </c>
      <c r="U1358" s="20" t="str">
        <f t="shared" si="304"/>
        <v>Valles Andinos Harina Maiz Morado / Purple Corn Flour</v>
      </c>
      <c r="V1358" s="22">
        <f t="shared" si="305"/>
        <v>22.24</v>
      </c>
      <c r="W1358" t="str">
        <f t="shared" si="306"/>
        <v>Tradiciones Andinas 11/07/2025</v>
      </c>
      <c r="Z1358">
        <f t="shared" si="307"/>
        <v>66.72</v>
      </c>
    </row>
    <row r="1359" spans="1:26" hidden="1" x14ac:dyDescent="0.25">
      <c r="A1359" s="2" t="s">
        <v>664</v>
      </c>
      <c r="B1359" s="11" t="s">
        <v>1207</v>
      </c>
      <c r="C1359" s="11" t="s">
        <v>4</v>
      </c>
      <c r="D1359" s="11" t="s">
        <v>1208</v>
      </c>
      <c r="E1359" s="11" t="s">
        <v>1186</v>
      </c>
      <c r="F1359" s="11" t="s">
        <v>1187</v>
      </c>
      <c r="G1359" s="12">
        <v>2</v>
      </c>
      <c r="H1359" s="12">
        <v>22.24</v>
      </c>
      <c r="I1359" s="12">
        <v>44.48</v>
      </c>
      <c r="J1359" s="12">
        <v>113464.27999999988</v>
      </c>
      <c r="K1359" s="20">
        <f t="shared" si="294"/>
        <v>3</v>
      </c>
      <c r="L1359" s="20" t="str">
        <f t="shared" si="295"/>
        <v>Se repite 3 veces</v>
      </c>
      <c r="M1359" s="20" t="str">
        <f t="shared" si="296"/>
        <v>Tradiciones Andinas-Valles Andinos Harina Maiz Morado / Purple Corn Flour</v>
      </c>
      <c r="N1359" s="20">
        <f t="shared" si="297"/>
        <v>3</v>
      </c>
      <c r="O1359" s="20" t="str">
        <f t="shared" si="298"/>
        <v>Se repite 3 veces en Tradiciones Andinas</v>
      </c>
      <c r="P1359" s="20" t="str">
        <f t="shared" si="299"/>
        <v>Tradiciones Andinas-Valles Andinos Harina Maiz Morado / Purple Corn Flour-22.24</v>
      </c>
      <c r="Q1359" s="20">
        <f t="shared" si="300"/>
        <v>3</v>
      </c>
      <c r="R1359" s="20" t="str">
        <f t="shared" si="301"/>
        <v>Se repite 3 veces el precio de 22.24</v>
      </c>
      <c r="S1359" s="20" t="str">
        <f t="shared" si="302"/>
        <v>El producto Valles Andinos Harina Maiz Morado / Purple Corn Flour Se repite 3 veces en Tradiciones Andinas, Se repite 3 veces el precio de 22.24</v>
      </c>
      <c r="T1359" s="20" t="str">
        <f t="shared" si="303"/>
        <v>Tradiciones Andinas</v>
      </c>
      <c r="U1359" s="20" t="str">
        <f t="shared" si="304"/>
        <v>Valles Andinos Harina Maiz Morado / Purple Corn Flour</v>
      </c>
      <c r="V1359" s="22">
        <f t="shared" si="305"/>
        <v>22.24</v>
      </c>
      <c r="W1359" t="str">
        <f t="shared" si="306"/>
        <v>Tradiciones Andinas 11/28/2025</v>
      </c>
      <c r="Z1359">
        <f t="shared" si="307"/>
        <v>44.48</v>
      </c>
    </row>
    <row r="1360" spans="1:26" hidden="1" x14ac:dyDescent="0.25">
      <c r="A1360" s="2" t="s">
        <v>664</v>
      </c>
      <c r="B1360" s="11" t="s">
        <v>158</v>
      </c>
      <c r="C1360" s="11" t="s">
        <v>4</v>
      </c>
      <c r="D1360" s="11" t="s">
        <v>984</v>
      </c>
      <c r="E1360" s="11" t="s">
        <v>1018</v>
      </c>
      <c r="F1360" s="11" t="s">
        <v>1019</v>
      </c>
      <c r="G1360" s="12">
        <v>4</v>
      </c>
      <c r="H1360" s="12">
        <v>19.2</v>
      </c>
      <c r="I1360" s="12">
        <v>76.8</v>
      </c>
      <c r="J1360" s="12">
        <v>41215.46</v>
      </c>
      <c r="K1360" s="20">
        <f t="shared" si="294"/>
        <v>4</v>
      </c>
      <c r="L1360" s="20" t="str">
        <f t="shared" si="295"/>
        <v>Se repite 4 veces</v>
      </c>
      <c r="M1360" s="20" t="str">
        <f t="shared" si="296"/>
        <v>Tradiciones Andinas-Valles Andinos Lentejas 14oz x 24</v>
      </c>
      <c r="N1360" s="20">
        <f t="shared" si="297"/>
        <v>4</v>
      </c>
      <c r="O1360" s="20" t="str">
        <f t="shared" si="298"/>
        <v>Se repite 4 veces en Tradiciones Andinas</v>
      </c>
      <c r="P1360" s="20" t="str">
        <f t="shared" si="299"/>
        <v>Tradiciones Andinas-Valles Andinos Lentejas 14oz x 24-19.2</v>
      </c>
      <c r="Q1360" s="20">
        <f t="shared" si="300"/>
        <v>4</v>
      </c>
      <c r="R1360" s="20" t="str">
        <f t="shared" si="301"/>
        <v>Se repite 4 veces el precio de 19.2</v>
      </c>
      <c r="S1360" s="20" t="str">
        <f t="shared" si="302"/>
        <v>El producto Valles Andinos Lentejas 14oz x 24 Se repite 4 veces en Tradiciones Andinas, Se repite 4 veces el precio de 19.2</v>
      </c>
      <c r="T1360" s="20" t="str">
        <f t="shared" si="303"/>
        <v>Tradiciones Andinas</v>
      </c>
      <c r="U1360" s="20" t="str">
        <f t="shared" si="304"/>
        <v>Valles Andinos Lentejas 14oz x 24</v>
      </c>
      <c r="V1360" s="22">
        <f t="shared" si="305"/>
        <v>19.2</v>
      </c>
      <c r="W1360" t="str">
        <f t="shared" si="306"/>
        <v>Tradiciones Andinas 06/12/2025</v>
      </c>
      <c r="Z1360">
        <f t="shared" si="307"/>
        <v>76.8</v>
      </c>
    </row>
    <row r="1361" spans="1:26" hidden="1" x14ac:dyDescent="0.25">
      <c r="A1361" s="2" t="s">
        <v>664</v>
      </c>
      <c r="B1361" s="11" t="s">
        <v>1029</v>
      </c>
      <c r="C1361" s="11" t="s">
        <v>4</v>
      </c>
      <c r="D1361" s="11" t="s">
        <v>1030</v>
      </c>
      <c r="E1361" s="11" t="s">
        <v>1018</v>
      </c>
      <c r="F1361" s="11" t="s">
        <v>1032</v>
      </c>
      <c r="G1361" s="12">
        <v>1</v>
      </c>
      <c r="H1361" s="12">
        <v>19.2</v>
      </c>
      <c r="I1361" s="12">
        <v>19.2</v>
      </c>
      <c r="J1361" s="12">
        <v>44112.03</v>
      </c>
      <c r="K1361" s="20">
        <f t="shared" si="294"/>
        <v>4</v>
      </c>
      <c r="L1361" s="20" t="str">
        <f t="shared" si="295"/>
        <v>Se repite 4 veces</v>
      </c>
      <c r="M1361" s="20" t="str">
        <f t="shared" si="296"/>
        <v>Tradiciones Andinas-Valles Andinos Lentejas 14oz x 24</v>
      </c>
      <c r="N1361" s="20">
        <f t="shared" si="297"/>
        <v>4</v>
      </c>
      <c r="O1361" s="20" t="str">
        <f t="shared" si="298"/>
        <v>Se repite 4 veces en Tradiciones Andinas</v>
      </c>
      <c r="P1361" s="20" t="str">
        <f t="shared" si="299"/>
        <v>Tradiciones Andinas-Valles Andinos Lentejas 14oz x 24-19.2</v>
      </c>
      <c r="Q1361" s="20">
        <f t="shared" si="300"/>
        <v>4</v>
      </c>
      <c r="R1361" s="20" t="str">
        <f t="shared" si="301"/>
        <v>Se repite 4 veces el precio de 19.2</v>
      </c>
      <c r="S1361" s="20" t="str">
        <f t="shared" si="302"/>
        <v>El producto Valles Andinos Lentejas 14oz x 24 Se repite 4 veces en Tradiciones Andinas, Se repite 4 veces el precio de 19.2</v>
      </c>
      <c r="T1361" s="20" t="str">
        <f t="shared" si="303"/>
        <v>Tradiciones Andinas</v>
      </c>
      <c r="U1361" s="20" t="str">
        <f t="shared" si="304"/>
        <v>Valles Andinos Lentejas 14oz x 24</v>
      </c>
      <c r="V1361" s="22">
        <f t="shared" si="305"/>
        <v>19.2</v>
      </c>
      <c r="W1361" t="str">
        <f t="shared" si="306"/>
        <v>Tradiciones Andinas 06/17/2025</v>
      </c>
      <c r="Z1361">
        <f t="shared" si="307"/>
        <v>19.2</v>
      </c>
    </row>
    <row r="1362" spans="1:26" hidden="1" x14ac:dyDescent="0.25">
      <c r="A1362" s="2" t="s">
        <v>664</v>
      </c>
      <c r="B1362" s="11" t="s">
        <v>1033</v>
      </c>
      <c r="C1362" s="11" t="s">
        <v>4</v>
      </c>
      <c r="D1362" s="11" t="s">
        <v>1034</v>
      </c>
      <c r="E1362" s="11" t="s">
        <v>1018</v>
      </c>
      <c r="F1362" s="11" t="s">
        <v>1032</v>
      </c>
      <c r="G1362" s="12">
        <v>6</v>
      </c>
      <c r="H1362" s="12">
        <v>19.2</v>
      </c>
      <c r="I1362" s="12">
        <v>115.2</v>
      </c>
      <c r="J1362" s="12">
        <v>58222.349999999933</v>
      </c>
      <c r="K1362" s="20">
        <f t="shared" si="294"/>
        <v>4</v>
      </c>
      <c r="L1362" s="20" t="str">
        <f t="shared" si="295"/>
        <v>Se repite 4 veces</v>
      </c>
      <c r="M1362" s="20" t="str">
        <f t="shared" si="296"/>
        <v>Tradiciones Andinas-Valles Andinos Lentejas 14oz x 24</v>
      </c>
      <c r="N1362" s="20">
        <f t="shared" si="297"/>
        <v>4</v>
      </c>
      <c r="O1362" s="20" t="str">
        <f t="shared" si="298"/>
        <v>Se repite 4 veces en Tradiciones Andinas</v>
      </c>
      <c r="P1362" s="20" t="str">
        <f t="shared" si="299"/>
        <v>Tradiciones Andinas-Valles Andinos Lentejas 14oz x 24-19.2</v>
      </c>
      <c r="Q1362" s="20">
        <f t="shared" si="300"/>
        <v>4</v>
      </c>
      <c r="R1362" s="20" t="str">
        <f t="shared" si="301"/>
        <v>Se repite 4 veces el precio de 19.2</v>
      </c>
      <c r="S1362" s="20" t="str">
        <f t="shared" si="302"/>
        <v>El producto Valles Andinos Lentejas 14oz x 24 Se repite 4 veces en Tradiciones Andinas, Se repite 4 veces el precio de 19.2</v>
      </c>
      <c r="T1362" s="20" t="str">
        <f t="shared" si="303"/>
        <v>Tradiciones Andinas</v>
      </c>
      <c r="U1362" s="20" t="str">
        <f t="shared" si="304"/>
        <v>Valles Andinos Lentejas 14oz x 24</v>
      </c>
      <c r="V1362" s="22">
        <f t="shared" si="305"/>
        <v>19.2</v>
      </c>
      <c r="W1362" t="str">
        <f t="shared" si="306"/>
        <v>Tradiciones Andinas 07/03/2025</v>
      </c>
      <c r="Z1362">
        <f t="shared" si="307"/>
        <v>115.19999999999999</v>
      </c>
    </row>
    <row r="1363" spans="1:26" hidden="1" x14ac:dyDescent="0.25">
      <c r="A1363" s="2" t="s">
        <v>664</v>
      </c>
      <c r="B1363" s="11" t="s">
        <v>1125</v>
      </c>
      <c r="C1363" s="11" t="s">
        <v>4</v>
      </c>
      <c r="D1363" s="11" t="s">
        <v>1126</v>
      </c>
      <c r="E1363" s="11" t="s">
        <v>1018</v>
      </c>
      <c r="F1363" s="11" t="s">
        <v>1032</v>
      </c>
      <c r="G1363" s="12">
        <v>5</v>
      </c>
      <c r="H1363" s="12">
        <v>19.2</v>
      </c>
      <c r="I1363" s="12">
        <v>96</v>
      </c>
      <c r="J1363" s="12">
        <v>74151.560000000012</v>
      </c>
      <c r="K1363" s="20">
        <f t="shared" si="294"/>
        <v>4</v>
      </c>
      <c r="L1363" s="20" t="str">
        <f t="shared" si="295"/>
        <v>Se repite 4 veces</v>
      </c>
      <c r="M1363" s="20" t="str">
        <f t="shared" si="296"/>
        <v>Tradiciones Andinas-Valles Andinos Lentejas 14oz x 24</v>
      </c>
      <c r="N1363" s="20">
        <f t="shared" si="297"/>
        <v>4</v>
      </c>
      <c r="O1363" s="20" t="str">
        <f t="shared" si="298"/>
        <v>Se repite 4 veces en Tradiciones Andinas</v>
      </c>
      <c r="P1363" s="20" t="str">
        <f t="shared" si="299"/>
        <v>Tradiciones Andinas-Valles Andinos Lentejas 14oz x 24-19.2</v>
      </c>
      <c r="Q1363" s="20">
        <f t="shared" si="300"/>
        <v>4</v>
      </c>
      <c r="R1363" s="20" t="str">
        <f t="shared" si="301"/>
        <v>Se repite 4 veces el precio de 19.2</v>
      </c>
      <c r="S1363" s="20" t="str">
        <f t="shared" si="302"/>
        <v>El producto Valles Andinos Lentejas 14oz x 24 Se repite 4 veces en Tradiciones Andinas, Se repite 4 veces el precio de 19.2</v>
      </c>
      <c r="T1363" s="20" t="str">
        <f t="shared" si="303"/>
        <v>Tradiciones Andinas</v>
      </c>
      <c r="U1363" s="20" t="str">
        <f t="shared" si="304"/>
        <v>Valles Andinos Lentejas 14oz x 24</v>
      </c>
      <c r="V1363" s="22">
        <f t="shared" si="305"/>
        <v>19.2</v>
      </c>
      <c r="W1363" t="str">
        <f t="shared" si="306"/>
        <v>Tradiciones Andinas 08/18/2025</v>
      </c>
      <c r="Z1363">
        <f t="shared" si="307"/>
        <v>96</v>
      </c>
    </row>
    <row r="1364" spans="1:26" hidden="1" x14ac:dyDescent="0.25">
      <c r="A1364" s="2" t="s">
        <v>664</v>
      </c>
      <c r="B1364" s="11" t="s">
        <v>1153</v>
      </c>
      <c r="C1364" s="11" t="s">
        <v>4</v>
      </c>
      <c r="D1364" s="11" t="s">
        <v>1154</v>
      </c>
      <c r="E1364" s="11" t="s">
        <v>1168</v>
      </c>
      <c r="F1364" s="11" t="s">
        <v>1169</v>
      </c>
      <c r="G1364" s="12">
        <v>2</v>
      </c>
      <c r="H1364" s="12">
        <v>30.42</v>
      </c>
      <c r="I1364" s="12">
        <v>60.84</v>
      </c>
      <c r="J1364" s="12">
        <v>86170.819999999934</v>
      </c>
      <c r="K1364" s="20">
        <f t="shared" si="294"/>
        <v>3</v>
      </c>
      <c r="L1364" s="20" t="str">
        <f t="shared" si="295"/>
        <v>Se repite 3 veces</v>
      </c>
      <c r="M1364" s="20" t="str">
        <f t="shared" si="296"/>
        <v>Tradiciones Andinas-Valles Andinos Soya / Soy Beans 14oz x 18 bolsa</v>
      </c>
      <c r="N1364" s="20">
        <f t="shared" si="297"/>
        <v>3</v>
      </c>
      <c r="O1364" s="20" t="str">
        <f t="shared" si="298"/>
        <v>Se repite 3 veces en Tradiciones Andinas</v>
      </c>
      <c r="P1364" s="20" t="str">
        <f t="shared" si="299"/>
        <v>Tradiciones Andinas-Valles Andinos Soya / Soy Beans 14oz x 18 bolsa-30.42</v>
      </c>
      <c r="Q1364" s="20">
        <f t="shared" si="300"/>
        <v>3</v>
      </c>
      <c r="R1364" s="20" t="str">
        <f t="shared" si="301"/>
        <v>Se repite 3 veces el precio de 30.42</v>
      </c>
      <c r="S1364" s="20" t="str">
        <f t="shared" si="302"/>
        <v>El producto Valles Andinos Soya / Soy Beans 14oz x 18 bolsa Se repite 3 veces en Tradiciones Andinas, Se repite 3 veces el precio de 30.42</v>
      </c>
      <c r="T1364" s="20" t="str">
        <f t="shared" si="303"/>
        <v>Tradiciones Andinas</v>
      </c>
      <c r="U1364" s="20" t="str">
        <f t="shared" si="304"/>
        <v>Valles Andinos Soya / Soy Beans 14oz x 18 bolsa</v>
      </c>
      <c r="V1364" s="22">
        <f t="shared" si="305"/>
        <v>30.42</v>
      </c>
      <c r="W1364" t="str">
        <f t="shared" si="306"/>
        <v>Tradiciones Andinas 09/24/2025</v>
      </c>
      <c r="Z1364">
        <f t="shared" si="307"/>
        <v>60.84</v>
      </c>
    </row>
    <row r="1365" spans="1:26" hidden="1" x14ac:dyDescent="0.25">
      <c r="A1365" s="2" t="s">
        <v>664</v>
      </c>
      <c r="B1365" s="11" t="s">
        <v>1201</v>
      </c>
      <c r="C1365" s="11" t="s">
        <v>4</v>
      </c>
      <c r="D1365" s="11" t="s">
        <v>1202</v>
      </c>
      <c r="E1365" s="11" t="s">
        <v>1168</v>
      </c>
      <c r="F1365" s="11" t="s">
        <v>1206</v>
      </c>
      <c r="G1365" s="12">
        <v>2</v>
      </c>
      <c r="H1365" s="12">
        <v>30.42</v>
      </c>
      <c r="I1365" s="12">
        <v>60.84</v>
      </c>
      <c r="J1365" s="12">
        <v>104562.79999999993</v>
      </c>
      <c r="K1365" s="20">
        <f t="shared" si="294"/>
        <v>3</v>
      </c>
      <c r="L1365" s="20" t="str">
        <f t="shared" si="295"/>
        <v>Se repite 3 veces</v>
      </c>
      <c r="M1365" s="20" t="str">
        <f t="shared" si="296"/>
        <v>Tradiciones Andinas-Valles Andinos Soya / Soy Beans 14oz x 18 bolsa</v>
      </c>
      <c r="N1365" s="20">
        <f t="shared" si="297"/>
        <v>3</v>
      </c>
      <c r="O1365" s="20" t="str">
        <f t="shared" si="298"/>
        <v>Se repite 3 veces en Tradiciones Andinas</v>
      </c>
      <c r="P1365" s="20" t="str">
        <f t="shared" si="299"/>
        <v>Tradiciones Andinas-Valles Andinos Soya / Soy Beans 14oz x 18 bolsa-30.42</v>
      </c>
      <c r="Q1365" s="20">
        <f t="shared" si="300"/>
        <v>3</v>
      </c>
      <c r="R1365" s="20" t="str">
        <f t="shared" si="301"/>
        <v>Se repite 3 veces el precio de 30.42</v>
      </c>
      <c r="S1365" s="20" t="str">
        <f t="shared" si="302"/>
        <v>El producto Valles Andinos Soya / Soy Beans 14oz x 18 bolsa Se repite 3 veces en Tradiciones Andinas, Se repite 3 veces el precio de 30.42</v>
      </c>
      <c r="T1365" s="20" t="str">
        <f t="shared" si="303"/>
        <v>Tradiciones Andinas</v>
      </c>
      <c r="U1365" s="20" t="str">
        <f t="shared" si="304"/>
        <v>Valles Andinos Soya / Soy Beans 14oz x 18 bolsa</v>
      </c>
      <c r="V1365" s="22">
        <f t="shared" si="305"/>
        <v>30.42</v>
      </c>
      <c r="W1365" t="str">
        <f t="shared" si="306"/>
        <v>Tradiciones Andinas 11/07/2025</v>
      </c>
      <c r="Z1365">
        <f t="shared" si="307"/>
        <v>60.84</v>
      </c>
    </row>
    <row r="1366" spans="1:26" hidden="1" x14ac:dyDescent="0.25">
      <c r="A1366" s="2" t="s">
        <v>664</v>
      </c>
      <c r="B1366" s="11" t="s">
        <v>1207</v>
      </c>
      <c r="C1366" s="11" t="s">
        <v>4</v>
      </c>
      <c r="D1366" s="11" t="s">
        <v>1208</v>
      </c>
      <c r="E1366" s="11" t="s">
        <v>1168</v>
      </c>
      <c r="F1366" s="11" t="s">
        <v>1206</v>
      </c>
      <c r="G1366" s="12">
        <v>2</v>
      </c>
      <c r="H1366" s="12">
        <v>30.42</v>
      </c>
      <c r="I1366" s="12">
        <v>60.84</v>
      </c>
      <c r="J1366" s="12">
        <v>113525.11999999988</v>
      </c>
      <c r="K1366" s="20">
        <f t="shared" si="294"/>
        <v>3</v>
      </c>
      <c r="L1366" s="20" t="str">
        <f t="shared" si="295"/>
        <v>Se repite 3 veces</v>
      </c>
      <c r="M1366" s="20" t="str">
        <f t="shared" si="296"/>
        <v>Tradiciones Andinas-Valles Andinos Soya / Soy Beans 14oz x 18 bolsa</v>
      </c>
      <c r="N1366" s="20">
        <f t="shared" si="297"/>
        <v>3</v>
      </c>
      <c r="O1366" s="20" t="str">
        <f t="shared" si="298"/>
        <v>Se repite 3 veces en Tradiciones Andinas</v>
      </c>
      <c r="P1366" s="20" t="str">
        <f t="shared" si="299"/>
        <v>Tradiciones Andinas-Valles Andinos Soya / Soy Beans 14oz x 18 bolsa-30.42</v>
      </c>
      <c r="Q1366" s="20">
        <f t="shared" si="300"/>
        <v>3</v>
      </c>
      <c r="R1366" s="20" t="str">
        <f t="shared" si="301"/>
        <v>Se repite 3 veces el precio de 30.42</v>
      </c>
      <c r="S1366" s="20" t="str">
        <f t="shared" si="302"/>
        <v>El producto Valles Andinos Soya / Soy Beans 14oz x 18 bolsa Se repite 3 veces en Tradiciones Andinas, Se repite 3 veces el precio de 30.42</v>
      </c>
      <c r="T1366" s="20" t="str">
        <f t="shared" si="303"/>
        <v>Tradiciones Andinas</v>
      </c>
      <c r="U1366" s="20" t="str">
        <f t="shared" si="304"/>
        <v>Valles Andinos Soya / Soy Beans 14oz x 18 bolsa</v>
      </c>
      <c r="V1366" s="22">
        <f t="shared" si="305"/>
        <v>30.42</v>
      </c>
      <c r="W1366" t="str">
        <f t="shared" si="306"/>
        <v>Tradiciones Andinas 11/28/2025</v>
      </c>
      <c r="Z1366">
        <f t="shared" si="307"/>
        <v>60.84</v>
      </c>
    </row>
    <row r="1367" spans="1:26" hidden="1" x14ac:dyDescent="0.25">
      <c r="A1367" s="2" t="s">
        <v>272</v>
      </c>
      <c r="B1367" s="11" t="s">
        <v>619</v>
      </c>
      <c r="C1367" s="11" t="s">
        <v>4</v>
      </c>
      <c r="D1367" s="11" t="s">
        <v>621</v>
      </c>
      <c r="E1367" s="11" t="s">
        <v>645</v>
      </c>
      <c r="F1367" s="11" t="s">
        <v>646</v>
      </c>
      <c r="G1367" s="12">
        <v>1</v>
      </c>
      <c r="H1367" s="12">
        <v>75.599999999999994</v>
      </c>
      <c r="I1367" s="12">
        <v>75.599999999999994</v>
      </c>
      <c r="J1367" s="12">
        <v>42184.749999999985</v>
      </c>
      <c r="K1367" s="20">
        <f t="shared" si="294"/>
        <v>1</v>
      </c>
      <c r="L1367" s="20" t="str">
        <f t="shared" si="295"/>
        <v>No se repite</v>
      </c>
      <c r="M1367" s="20" t="str">
        <f t="shared" si="296"/>
        <v>Peru Chef-VARGAS CHEVALIER Jarabe de Goma 750ml x 12 fco vidrio</v>
      </c>
      <c r="N1367" s="20">
        <f t="shared" si="297"/>
        <v>1</v>
      </c>
      <c r="O1367" s="20" t="str">
        <f t="shared" si="298"/>
        <v>No se repite en proveedor</v>
      </c>
      <c r="P1367" s="20" t="str">
        <f t="shared" si="299"/>
        <v>Peru Chef-VARGAS CHEVALIER Jarabe de Goma 750ml x 12 fco vidrio-75.6</v>
      </c>
      <c r="Q1367" s="20">
        <f t="shared" si="300"/>
        <v>1</v>
      </c>
      <c r="R1367" s="20" t="str">
        <f t="shared" si="301"/>
        <v>No se repite</v>
      </c>
      <c r="S1367" s="20" t="str">
        <f t="shared" si="302"/>
        <v>El producto VARGAS CHEVALIER Jarabe de Goma 750ml x 12 fco vidrio No se repite en proveedor Una vez con el precio 75.6</v>
      </c>
      <c r="T1367" s="20" t="str">
        <f t="shared" si="303"/>
        <v>Peru Chef</v>
      </c>
      <c r="U1367" s="20" t="str">
        <f t="shared" si="304"/>
        <v>VARGAS CHEVALIER Jarabe de Goma 750ml x 12 fco vidrio</v>
      </c>
      <c r="V1367" s="22">
        <f t="shared" si="305"/>
        <v>75.599999999999994</v>
      </c>
      <c r="W1367" t="str">
        <f t="shared" si="306"/>
        <v>Peru Chef 12/09/2025</v>
      </c>
      <c r="Z1367">
        <f t="shared" si="307"/>
        <v>75.599999999999994</v>
      </c>
    </row>
    <row r="1368" spans="1:26" hidden="1" x14ac:dyDescent="0.25">
      <c r="A1368" s="2" t="s">
        <v>664</v>
      </c>
      <c r="B1368" s="11" t="s">
        <v>398</v>
      </c>
      <c r="C1368" s="11" t="s">
        <v>4</v>
      </c>
      <c r="D1368" s="11" t="s">
        <v>5</v>
      </c>
      <c r="E1368" s="11" t="s">
        <v>805</v>
      </c>
      <c r="F1368" s="11" t="s">
        <v>806</v>
      </c>
      <c r="G1368" s="12">
        <v>2</v>
      </c>
      <c r="H1368" s="12">
        <v>24</v>
      </c>
      <c r="I1368" s="12">
        <v>48</v>
      </c>
      <c r="J1368" s="12">
        <v>6925.6399999999994</v>
      </c>
      <c r="K1368" s="20">
        <f t="shared" si="294"/>
        <v>3</v>
      </c>
      <c r="L1368" s="20" t="str">
        <f t="shared" si="295"/>
        <v>Se repite 3 veces</v>
      </c>
      <c r="M1368" s="20" t="str">
        <f t="shared" si="296"/>
        <v>Tradiciones Andinas-VITAPLUSS - Arrocito con Miel 140gr x 24</v>
      </c>
      <c r="N1368" s="20">
        <f t="shared" si="297"/>
        <v>3</v>
      </c>
      <c r="O1368" s="20" t="str">
        <f t="shared" si="298"/>
        <v>Se repite 3 veces en Tradiciones Andinas</v>
      </c>
      <c r="P1368" s="20" t="str">
        <f t="shared" si="299"/>
        <v>Tradiciones Andinas-VITAPLUSS - Arrocito con Miel 140gr x 24-24</v>
      </c>
      <c r="Q1368" s="20">
        <f t="shared" si="300"/>
        <v>2</v>
      </c>
      <c r="R1368" s="20" t="str">
        <f t="shared" si="301"/>
        <v>Se repite 2 veces el precio de 24</v>
      </c>
      <c r="S1368" s="20" t="str">
        <f t="shared" si="302"/>
        <v>El producto VITAPLUSS - Arrocito con Miel 140gr x 24 Se repite 3 veces en Tradiciones Andinas, Se repite 2 veces el precio de 24</v>
      </c>
      <c r="T1368" s="20" t="str">
        <f t="shared" si="303"/>
        <v>Tradiciones Andinas</v>
      </c>
      <c r="U1368" s="20" t="str">
        <f t="shared" si="304"/>
        <v>VITAPLUSS - Arrocito con Miel 140gr x 24</v>
      </c>
      <c r="V1368" s="22">
        <f t="shared" si="305"/>
        <v>24</v>
      </c>
      <c r="W1368" t="str">
        <f t="shared" si="306"/>
        <v>Tradiciones Andinas 04/10/2025</v>
      </c>
      <c r="Z1368">
        <f t="shared" si="307"/>
        <v>48</v>
      </c>
    </row>
    <row r="1369" spans="1:26" hidden="1" x14ac:dyDescent="0.25">
      <c r="A1369" s="2" t="s">
        <v>664</v>
      </c>
      <c r="B1369" s="11" t="s">
        <v>932</v>
      </c>
      <c r="C1369" s="11" t="s">
        <v>4</v>
      </c>
      <c r="D1369" s="11" t="s">
        <v>933</v>
      </c>
      <c r="E1369" s="11" t="s">
        <v>805</v>
      </c>
      <c r="F1369" s="11" t="s">
        <v>806</v>
      </c>
      <c r="G1369" s="12">
        <v>2</v>
      </c>
      <c r="H1369" s="12">
        <v>24</v>
      </c>
      <c r="I1369" s="12">
        <v>48</v>
      </c>
      <c r="J1369" s="12">
        <v>24660.82</v>
      </c>
      <c r="K1369" s="20">
        <f t="shared" si="294"/>
        <v>3</v>
      </c>
      <c r="L1369" s="20" t="str">
        <f t="shared" si="295"/>
        <v>Se repite 3 veces</v>
      </c>
      <c r="M1369" s="20" t="str">
        <f t="shared" si="296"/>
        <v>Tradiciones Andinas-VITAPLUSS - Arrocito con Miel 140gr x 24</v>
      </c>
      <c r="N1369" s="20">
        <f t="shared" si="297"/>
        <v>3</v>
      </c>
      <c r="O1369" s="20" t="str">
        <f t="shared" si="298"/>
        <v>Se repite 3 veces en Tradiciones Andinas</v>
      </c>
      <c r="P1369" s="20" t="str">
        <f t="shared" si="299"/>
        <v>Tradiciones Andinas-VITAPLUSS - Arrocito con Miel 140gr x 24-24</v>
      </c>
      <c r="Q1369" s="20">
        <f t="shared" si="300"/>
        <v>2</v>
      </c>
      <c r="R1369" s="20" t="str">
        <f t="shared" si="301"/>
        <v>Se repite 2 veces el precio de 24</v>
      </c>
      <c r="S1369" s="20" t="str">
        <f t="shared" si="302"/>
        <v>El producto VITAPLUSS - Arrocito con Miel 140gr x 24 Se repite 3 veces en Tradiciones Andinas, Se repite 2 veces el precio de 24</v>
      </c>
      <c r="T1369" s="20" t="str">
        <f t="shared" si="303"/>
        <v>Tradiciones Andinas</v>
      </c>
      <c r="U1369" s="20" t="str">
        <f t="shared" si="304"/>
        <v>VITAPLUSS - Arrocito con Miel 140gr x 24</v>
      </c>
      <c r="V1369" s="22">
        <f t="shared" si="305"/>
        <v>24</v>
      </c>
      <c r="W1369" t="str">
        <f t="shared" si="306"/>
        <v>Tradiciones Andinas 04/29/2025</v>
      </c>
      <c r="Z1369">
        <f t="shared" si="307"/>
        <v>48</v>
      </c>
    </row>
    <row r="1370" spans="1:26" hidden="1" x14ac:dyDescent="0.25">
      <c r="A1370" s="2" t="s">
        <v>664</v>
      </c>
      <c r="B1370" s="11" t="s">
        <v>1224</v>
      </c>
      <c r="C1370" s="11" t="s">
        <v>4</v>
      </c>
      <c r="D1370" s="11" t="s">
        <v>1225</v>
      </c>
      <c r="E1370" s="11" t="s">
        <v>805</v>
      </c>
      <c r="F1370" s="11" t="s">
        <v>1230</v>
      </c>
      <c r="G1370" s="12">
        <v>2</v>
      </c>
      <c r="H1370" s="12">
        <v>26.4</v>
      </c>
      <c r="I1370" s="12">
        <v>52.8</v>
      </c>
      <c r="J1370" s="12">
        <v>118410.51999999992</v>
      </c>
      <c r="K1370" s="20">
        <f t="shared" si="294"/>
        <v>3</v>
      </c>
      <c r="L1370" s="20" t="str">
        <f t="shared" si="295"/>
        <v>Se repite 3 veces</v>
      </c>
      <c r="M1370" s="20" t="str">
        <f t="shared" si="296"/>
        <v>Tradiciones Andinas-VITAPLUSS - Arrocito con Miel 140gr x 24</v>
      </c>
      <c r="N1370" s="20">
        <f t="shared" si="297"/>
        <v>3</v>
      </c>
      <c r="O1370" s="20" t="str">
        <f t="shared" si="298"/>
        <v>Se repite 3 veces en Tradiciones Andinas</v>
      </c>
      <c r="P1370" s="20" t="str">
        <f t="shared" si="299"/>
        <v>Tradiciones Andinas-VITAPLUSS - Arrocito con Miel 140gr x 24-26.4</v>
      </c>
      <c r="Q1370" s="20">
        <f t="shared" si="300"/>
        <v>1</v>
      </c>
      <c r="R1370" s="20" t="str">
        <f t="shared" si="301"/>
        <v>No se repite</v>
      </c>
      <c r="S1370" s="20" t="str">
        <f t="shared" si="302"/>
        <v>El producto VITAPLUSS - Arrocito con Miel 140gr x 24 Se repite 3 veces en Tradiciones Andinas Una vez con el precio 26.4</v>
      </c>
      <c r="T1370" s="20" t="str">
        <f t="shared" si="303"/>
        <v>Tradiciones Andinas</v>
      </c>
      <c r="U1370" s="20" t="str">
        <f t="shared" si="304"/>
        <v>VITAPLUSS - Arrocito con Miel 140gr x 24</v>
      </c>
      <c r="V1370" s="22">
        <f t="shared" si="305"/>
        <v>26.4</v>
      </c>
      <c r="W1370" t="str">
        <f t="shared" si="306"/>
        <v>Tradiciones Andinas 12/03/2025</v>
      </c>
      <c r="Z1370">
        <f t="shared" si="307"/>
        <v>52.8</v>
      </c>
    </row>
    <row r="1371" spans="1:26" hidden="1" x14ac:dyDescent="0.25">
      <c r="A1371" s="2" t="s">
        <v>664</v>
      </c>
      <c r="B1371" s="11" t="s">
        <v>398</v>
      </c>
      <c r="C1371" s="11" t="s">
        <v>4</v>
      </c>
      <c r="D1371" s="11" t="s">
        <v>5</v>
      </c>
      <c r="E1371" s="11" t="s">
        <v>803</v>
      </c>
      <c r="F1371" s="11" t="s">
        <v>804</v>
      </c>
      <c r="G1371" s="12">
        <v>2</v>
      </c>
      <c r="H1371" s="12">
        <v>24</v>
      </c>
      <c r="I1371" s="12">
        <v>48</v>
      </c>
      <c r="J1371" s="12">
        <v>6877.6399999999994</v>
      </c>
      <c r="K1371" s="20">
        <f t="shared" si="294"/>
        <v>8</v>
      </c>
      <c r="L1371" s="20" t="str">
        <f t="shared" si="295"/>
        <v>Se repite 8 veces</v>
      </c>
      <c r="M1371" s="20" t="str">
        <f t="shared" si="296"/>
        <v>Tradiciones Andinas-VITAPLUSS - Fideos con Miel 120gr x 20</v>
      </c>
      <c r="N1371" s="20">
        <f t="shared" si="297"/>
        <v>8</v>
      </c>
      <c r="O1371" s="20" t="str">
        <f t="shared" si="298"/>
        <v>Se repite 8 veces en Tradiciones Andinas</v>
      </c>
      <c r="P1371" s="20" t="str">
        <f t="shared" si="299"/>
        <v>Tradiciones Andinas-VITAPLUSS - Fideos con Miel 120gr x 20-24</v>
      </c>
      <c r="Q1371" s="20">
        <f t="shared" si="300"/>
        <v>2</v>
      </c>
      <c r="R1371" s="20" t="str">
        <f t="shared" si="301"/>
        <v>Se repite 2 veces el precio de 24</v>
      </c>
      <c r="S1371" s="20" t="str">
        <f t="shared" si="302"/>
        <v>El producto VITAPLUSS - Fideos con Miel 120gr x 20 Se repite 8 veces en Tradiciones Andinas, Se repite 2 veces el precio de 24</v>
      </c>
      <c r="T1371" s="20" t="str">
        <f t="shared" si="303"/>
        <v>Tradiciones Andinas</v>
      </c>
      <c r="U1371" s="20" t="str">
        <f t="shared" si="304"/>
        <v>VITAPLUSS - Fideos con Miel 120gr x 20</v>
      </c>
      <c r="V1371" s="22">
        <f t="shared" si="305"/>
        <v>24</v>
      </c>
      <c r="W1371" t="str">
        <f t="shared" si="306"/>
        <v>Tradiciones Andinas 04/10/2025</v>
      </c>
      <c r="Z1371">
        <f t="shared" si="307"/>
        <v>48</v>
      </c>
    </row>
    <row r="1372" spans="1:26" hidden="1" x14ac:dyDescent="0.25">
      <c r="A1372" s="2" t="s">
        <v>664</v>
      </c>
      <c r="B1372" s="11" t="s">
        <v>932</v>
      </c>
      <c r="C1372" s="11" t="s">
        <v>4</v>
      </c>
      <c r="D1372" s="11" t="s">
        <v>933</v>
      </c>
      <c r="E1372" s="11" t="s">
        <v>803</v>
      </c>
      <c r="F1372" s="11" t="s">
        <v>804</v>
      </c>
      <c r="G1372" s="12">
        <v>2</v>
      </c>
      <c r="H1372" s="12">
        <v>24</v>
      </c>
      <c r="I1372" s="12">
        <v>48</v>
      </c>
      <c r="J1372" s="12">
        <v>24612.82</v>
      </c>
      <c r="K1372" s="20">
        <f t="shared" si="294"/>
        <v>8</v>
      </c>
      <c r="L1372" s="20" t="str">
        <f t="shared" si="295"/>
        <v>Se repite 8 veces</v>
      </c>
      <c r="M1372" s="20" t="str">
        <f t="shared" si="296"/>
        <v>Tradiciones Andinas-VITAPLUSS - Fideos con Miel 120gr x 20</v>
      </c>
      <c r="N1372" s="20">
        <f t="shared" si="297"/>
        <v>8</v>
      </c>
      <c r="O1372" s="20" t="str">
        <f t="shared" si="298"/>
        <v>Se repite 8 veces en Tradiciones Andinas</v>
      </c>
      <c r="P1372" s="20" t="str">
        <f t="shared" si="299"/>
        <v>Tradiciones Andinas-VITAPLUSS - Fideos con Miel 120gr x 20-24</v>
      </c>
      <c r="Q1372" s="20">
        <f t="shared" si="300"/>
        <v>2</v>
      </c>
      <c r="R1372" s="20" t="str">
        <f t="shared" si="301"/>
        <v>Se repite 2 veces el precio de 24</v>
      </c>
      <c r="S1372" s="20" t="str">
        <f t="shared" si="302"/>
        <v>El producto VITAPLUSS - Fideos con Miel 120gr x 20 Se repite 8 veces en Tradiciones Andinas, Se repite 2 veces el precio de 24</v>
      </c>
      <c r="T1372" s="20" t="str">
        <f t="shared" si="303"/>
        <v>Tradiciones Andinas</v>
      </c>
      <c r="U1372" s="20" t="str">
        <f t="shared" si="304"/>
        <v>VITAPLUSS - Fideos con Miel 120gr x 20</v>
      </c>
      <c r="V1372" s="22">
        <f t="shared" si="305"/>
        <v>24</v>
      </c>
      <c r="W1372" t="str">
        <f t="shared" si="306"/>
        <v>Tradiciones Andinas 04/29/2025</v>
      </c>
      <c r="Z1372">
        <f t="shared" si="307"/>
        <v>48</v>
      </c>
    </row>
    <row r="1373" spans="1:26" hidden="1" x14ac:dyDescent="0.25">
      <c r="A1373" s="2" t="s">
        <v>664</v>
      </c>
      <c r="B1373" s="11" t="s">
        <v>158</v>
      </c>
      <c r="C1373" s="11" t="s">
        <v>4</v>
      </c>
      <c r="D1373" s="11" t="s">
        <v>984</v>
      </c>
      <c r="E1373" s="11" t="s">
        <v>803</v>
      </c>
      <c r="F1373" s="11" t="s">
        <v>1016</v>
      </c>
      <c r="G1373" s="12">
        <v>6</v>
      </c>
      <c r="H1373" s="12">
        <v>21.4</v>
      </c>
      <c r="I1373" s="12">
        <v>128.4</v>
      </c>
      <c r="J1373" s="12">
        <v>40920.499999999993</v>
      </c>
      <c r="K1373" s="20">
        <f t="shared" si="294"/>
        <v>8</v>
      </c>
      <c r="L1373" s="20" t="str">
        <f t="shared" si="295"/>
        <v>Se repite 8 veces</v>
      </c>
      <c r="M1373" s="20" t="str">
        <f t="shared" si="296"/>
        <v>Tradiciones Andinas-VITAPLUSS - Fideos con Miel 120gr x 20</v>
      </c>
      <c r="N1373" s="20">
        <f t="shared" si="297"/>
        <v>8</v>
      </c>
      <c r="O1373" s="20" t="str">
        <f t="shared" si="298"/>
        <v>Se repite 8 veces en Tradiciones Andinas</v>
      </c>
      <c r="P1373" s="20" t="str">
        <f t="shared" si="299"/>
        <v>Tradiciones Andinas-VITAPLUSS - Fideos con Miel 120gr x 20-21.4</v>
      </c>
      <c r="Q1373" s="20">
        <f t="shared" si="300"/>
        <v>2</v>
      </c>
      <c r="R1373" s="20" t="str">
        <f t="shared" si="301"/>
        <v>Se repite 2 veces el precio de 21.4</v>
      </c>
      <c r="S1373" s="20" t="str">
        <f t="shared" si="302"/>
        <v>El producto VITAPLUSS - Fideos con Miel 120gr x 20 Se repite 8 veces en Tradiciones Andinas, Se repite 2 veces el precio de 21.4</v>
      </c>
      <c r="T1373" s="20" t="str">
        <f t="shared" si="303"/>
        <v>Tradiciones Andinas</v>
      </c>
      <c r="U1373" s="20" t="str">
        <f t="shared" si="304"/>
        <v>VITAPLUSS - Fideos con Miel 120gr x 20</v>
      </c>
      <c r="V1373" s="22">
        <f t="shared" si="305"/>
        <v>21.4</v>
      </c>
      <c r="W1373" t="str">
        <f t="shared" si="306"/>
        <v>Tradiciones Andinas 06/12/2025</v>
      </c>
      <c r="Z1373">
        <f t="shared" si="307"/>
        <v>128.39999999999998</v>
      </c>
    </row>
    <row r="1374" spans="1:26" hidden="1" x14ac:dyDescent="0.25">
      <c r="A1374" s="2" t="s">
        <v>664</v>
      </c>
      <c r="B1374" s="11" t="s">
        <v>1033</v>
      </c>
      <c r="C1374" s="11" t="s">
        <v>4</v>
      </c>
      <c r="D1374" s="11" t="s">
        <v>1034</v>
      </c>
      <c r="E1374" s="11" t="s">
        <v>803</v>
      </c>
      <c r="F1374" s="11" t="s">
        <v>1016</v>
      </c>
      <c r="G1374" s="12">
        <v>4</v>
      </c>
      <c r="H1374" s="12">
        <v>21.4</v>
      </c>
      <c r="I1374" s="12">
        <v>85.6</v>
      </c>
      <c r="J1374" s="12">
        <v>55287.259999999944</v>
      </c>
      <c r="K1374" s="20">
        <f t="shared" si="294"/>
        <v>8</v>
      </c>
      <c r="L1374" s="20" t="str">
        <f t="shared" si="295"/>
        <v>Se repite 8 veces</v>
      </c>
      <c r="M1374" s="20" t="str">
        <f t="shared" si="296"/>
        <v>Tradiciones Andinas-VITAPLUSS - Fideos con Miel 120gr x 20</v>
      </c>
      <c r="N1374" s="20">
        <f t="shared" si="297"/>
        <v>8</v>
      </c>
      <c r="O1374" s="20" t="str">
        <f t="shared" si="298"/>
        <v>Se repite 8 veces en Tradiciones Andinas</v>
      </c>
      <c r="P1374" s="20" t="str">
        <f t="shared" si="299"/>
        <v>Tradiciones Andinas-VITAPLUSS - Fideos con Miel 120gr x 20-21.4</v>
      </c>
      <c r="Q1374" s="20">
        <f t="shared" si="300"/>
        <v>2</v>
      </c>
      <c r="R1374" s="20" t="str">
        <f t="shared" si="301"/>
        <v>Se repite 2 veces el precio de 21.4</v>
      </c>
      <c r="S1374" s="20" t="str">
        <f t="shared" si="302"/>
        <v>El producto VITAPLUSS - Fideos con Miel 120gr x 20 Se repite 8 veces en Tradiciones Andinas, Se repite 2 veces el precio de 21.4</v>
      </c>
      <c r="T1374" s="20" t="str">
        <f t="shared" si="303"/>
        <v>Tradiciones Andinas</v>
      </c>
      <c r="U1374" s="20" t="str">
        <f t="shared" si="304"/>
        <v>VITAPLUSS - Fideos con Miel 120gr x 20</v>
      </c>
      <c r="V1374" s="22">
        <f t="shared" si="305"/>
        <v>21.4</v>
      </c>
      <c r="W1374" t="str">
        <f t="shared" si="306"/>
        <v>Tradiciones Andinas 07/03/2025</v>
      </c>
      <c r="Z1374">
        <f t="shared" si="307"/>
        <v>85.6</v>
      </c>
    </row>
    <row r="1375" spans="1:26" hidden="1" x14ac:dyDescent="0.25">
      <c r="A1375" s="2" t="s">
        <v>664</v>
      </c>
      <c r="B1375" s="11" t="s">
        <v>1125</v>
      </c>
      <c r="C1375" s="11" t="s">
        <v>4</v>
      </c>
      <c r="D1375" s="11" t="s">
        <v>1126</v>
      </c>
      <c r="E1375" s="11" t="s">
        <v>803</v>
      </c>
      <c r="F1375" s="11" t="s">
        <v>1016</v>
      </c>
      <c r="G1375" s="12">
        <v>3</v>
      </c>
      <c r="H1375" s="12">
        <v>22</v>
      </c>
      <c r="I1375" s="12">
        <v>66</v>
      </c>
      <c r="J1375" s="12">
        <v>71549.570000000007</v>
      </c>
      <c r="K1375" s="20">
        <f t="shared" si="294"/>
        <v>8</v>
      </c>
      <c r="L1375" s="20" t="str">
        <f t="shared" si="295"/>
        <v>Se repite 8 veces</v>
      </c>
      <c r="M1375" s="20" t="str">
        <f t="shared" si="296"/>
        <v>Tradiciones Andinas-VITAPLUSS - Fideos con Miel 120gr x 20</v>
      </c>
      <c r="N1375" s="20">
        <f t="shared" si="297"/>
        <v>8</v>
      </c>
      <c r="O1375" s="20" t="str">
        <f t="shared" si="298"/>
        <v>Se repite 8 veces en Tradiciones Andinas</v>
      </c>
      <c r="P1375" s="20" t="str">
        <f t="shared" si="299"/>
        <v>Tradiciones Andinas-VITAPLUSS - Fideos con Miel 120gr x 20-22</v>
      </c>
      <c r="Q1375" s="20">
        <f t="shared" si="300"/>
        <v>4</v>
      </c>
      <c r="R1375" s="20" t="str">
        <f t="shared" si="301"/>
        <v>Se repite 4 veces el precio de 22</v>
      </c>
      <c r="S1375" s="20" t="str">
        <f t="shared" si="302"/>
        <v>El producto VITAPLUSS - Fideos con Miel 120gr x 20 Se repite 8 veces en Tradiciones Andinas, Se repite 4 veces el precio de 22</v>
      </c>
      <c r="T1375" s="20" t="str">
        <f t="shared" si="303"/>
        <v>Tradiciones Andinas</v>
      </c>
      <c r="U1375" s="20" t="str">
        <f t="shared" si="304"/>
        <v>VITAPLUSS - Fideos con Miel 120gr x 20</v>
      </c>
      <c r="V1375" s="22">
        <f t="shared" si="305"/>
        <v>22</v>
      </c>
      <c r="W1375" t="str">
        <f t="shared" si="306"/>
        <v>Tradiciones Andinas 08/18/2025</v>
      </c>
      <c r="Z1375">
        <f t="shared" si="307"/>
        <v>66</v>
      </c>
    </row>
    <row r="1376" spans="1:26" hidden="1" x14ac:dyDescent="0.25">
      <c r="A1376" s="2" t="s">
        <v>664</v>
      </c>
      <c r="B1376" s="11" t="s">
        <v>1153</v>
      </c>
      <c r="C1376" s="11" t="s">
        <v>4</v>
      </c>
      <c r="D1376" s="11" t="s">
        <v>1154</v>
      </c>
      <c r="E1376" s="11" t="s">
        <v>803</v>
      </c>
      <c r="F1376" s="11" t="s">
        <v>1016</v>
      </c>
      <c r="G1376" s="12">
        <v>6</v>
      </c>
      <c r="H1376" s="12">
        <v>22</v>
      </c>
      <c r="I1376" s="12">
        <v>132</v>
      </c>
      <c r="J1376" s="12">
        <v>84882.129999999961</v>
      </c>
      <c r="K1376" s="20">
        <f t="shared" si="294"/>
        <v>8</v>
      </c>
      <c r="L1376" s="20" t="str">
        <f t="shared" si="295"/>
        <v>Se repite 8 veces</v>
      </c>
      <c r="M1376" s="20" t="str">
        <f t="shared" si="296"/>
        <v>Tradiciones Andinas-VITAPLUSS - Fideos con Miel 120gr x 20</v>
      </c>
      <c r="N1376" s="20">
        <f t="shared" si="297"/>
        <v>8</v>
      </c>
      <c r="O1376" s="20" t="str">
        <f t="shared" si="298"/>
        <v>Se repite 8 veces en Tradiciones Andinas</v>
      </c>
      <c r="P1376" s="20" t="str">
        <f t="shared" si="299"/>
        <v>Tradiciones Andinas-VITAPLUSS - Fideos con Miel 120gr x 20-22</v>
      </c>
      <c r="Q1376" s="20">
        <f t="shared" si="300"/>
        <v>4</v>
      </c>
      <c r="R1376" s="20" t="str">
        <f t="shared" si="301"/>
        <v>Se repite 4 veces el precio de 22</v>
      </c>
      <c r="S1376" s="20" t="str">
        <f t="shared" si="302"/>
        <v>El producto VITAPLUSS - Fideos con Miel 120gr x 20 Se repite 8 veces en Tradiciones Andinas, Se repite 4 veces el precio de 22</v>
      </c>
      <c r="T1376" s="20" t="str">
        <f t="shared" si="303"/>
        <v>Tradiciones Andinas</v>
      </c>
      <c r="U1376" s="20" t="str">
        <f t="shared" si="304"/>
        <v>VITAPLUSS - Fideos con Miel 120gr x 20</v>
      </c>
      <c r="V1376" s="22">
        <f t="shared" si="305"/>
        <v>22</v>
      </c>
      <c r="W1376" t="str">
        <f t="shared" si="306"/>
        <v>Tradiciones Andinas 09/24/2025</v>
      </c>
      <c r="Z1376">
        <f t="shared" si="307"/>
        <v>132</v>
      </c>
    </row>
    <row r="1377" spans="1:26" hidden="1" x14ac:dyDescent="0.25">
      <c r="A1377" s="2" t="s">
        <v>664</v>
      </c>
      <c r="B1377" s="11" t="s">
        <v>1201</v>
      </c>
      <c r="C1377" s="11" t="s">
        <v>4</v>
      </c>
      <c r="D1377" s="11" t="s">
        <v>1202</v>
      </c>
      <c r="E1377" s="11" t="s">
        <v>803</v>
      </c>
      <c r="F1377" s="11" t="s">
        <v>1016</v>
      </c>
      <c r="G1377" s="12">
        <v>5</v>
      </c>
      <c r="H1377" s="12">
        <v>22</v>
      </c>
      <c r="I1377" s="12">
        <v>110</v>
      </c>
      <c r="J1377" s="12">
        <v>103109.90999999992</v>
      </c>
      <c r="K1377" s="20">
        <f t="shared" si="294"/>
        <v>8</v>
      </c>
      <c r="L1377" s="20" t="str">
        <f t="shared" si="295"/>
        <v>Se repite 8 veces</v>
      </c>
      <c r="M1377" s="20" t="str">
        <f t="shared" si="296"/>
        <v>Tradiciones Andinas-VITAPLUSS - Fideos con Miel 120gr x 20</v>
      </c>
      <c r="N1377" s="20">
        <f t="shared" si="297"/>
        <v>8</v>
      </c>
      <c r="O1377" s="20" t="str">
        <f t="shared" si="298"/>
        <v>Se repite 8 veces en Tradiciones Andinas</v>
      </c>
      <c r="P1377" s="20" t="str">
        <f t="shared" si="299"/>
        <v>Tradiciones Andinas-VITAPLUSS - Fideos con Miel 120gr x 20-22</v>
      </c>
      <c r="Q1377" s="20">
        <f t="shared" si="300"/>
        <v>4</v>
      </c>
      <c r="R1377" s="20" t="str">
        <f t="shared" si="301"/>
        <v>Se repite 4 veces el precio de 22</v>
      </c>
      <c r="S1377" s="20" t="str">
        <f t="shared" si="302"/>
        <v>El producto VITAPLUSS - Fideos con Miel 120gr x 20 Se repite 8 veces en Tradiciones Andinas, Se repite 4 veces el precio de 22</v>
      </c>
      <c r="T1377" s="20" t="str">
        <f t="shared" si="303"/>
        <v>Tradiciones Andinas</v>
      </c>
      <c r="U1377" s="20" t="str">
        <f t="shared" si="304"/>
        <v>VITAPLUSS - Fideos con Miel 120gr x 20</v>
      </c>
      <c r="V1377" s="22">
        <f t="shared" si="305"/>
        <v>22</v>
      </c>
      <c r="W1377" t="str">
        <f t="shared" si="306"/>
        <v>Tradiciones Andinas 11/07/2025</v>
      </c>
      <c r="Z1377">
        <f t="shared" si="307"/>
        <v>110</v>
      </c>
    </row>
    <row r="1378" spans="1:26" hidden="1" x14ac:dyDescent="0.25">
      <c r="A1378" s="2" t="s">
        <v>664</v>
      </c>
      <c r="B1378" s="11" t="s">
        <v>1207</v>
      </c>
      <c r="C1378" s="11" t="s">
        <v>4</v>
      </c>
      <c r="D1378" s="11" t="s">
        <v>1208</v>
      </c>
      <c r="E1378" s="11" t="s">
        <v>803</v>
      </c>
      <c r="F1378" s="11" t="s">
        <v>1016</v>
      </c>
      <c r="G1378" s="12">
        <v>5</v>
      </c>
      <c r="H1378" s="12">
        <v>22</v>
      </c>
      <c r="I1378" s="12">
        <v>110</v>
      </c>
      <c r="J1378" s="12">
        <v>112704.17999999988</v>
      </c>
      <c r="K1378" s="20">
        <f t="shared" si="294"/>
        <v>8</v>
      </c>
      <c r="L1378" s="20" t="str">
        <f t="shared" si="295"/>
        <v>Se repite 8 veces</v>
      </c>
      <c r="M1378" s="20" t="str">
        <f t="shared" si="296"/>
        <v>Tradiciones Andinas-VITAPLUSS - Fideos con Miel 120gr x 20</v>
      </c>
      <c r="N1378" s="20">
        <f t="shared" si="297"/>
        <v>8</v>
      </c>
      <c r="O1378" s="20" t="str">
        <f t="shared" si="298"/>
        <v>Se repite 8 veces en Tradiciones Andinas</v>
      </c>
      <c r="P1378" s="20" t="str">
        <f t="shared" si="299"/>
        <v>Tradiciones Andinas-VITAPLUSS - Fideos con Miel 120gr x 20-22</v>
      </c>
      <c r="Q1378" s="20">
        <f t="shared" si="300"/>
        <v>4</v>
      </c>
      <c r="R1378" s="20" t="str">
        <f t="shared" si="301"/>
        <v>Se repite 4 veces el precio de 22</v>
      </c>
      <c r="S1378" s="20" t="str">
        <f t="shared" si="302"/>
        <v>El producto VITAPLUSS - Fideos con Miel 120gr x 20 Se repite 8 veces en Tradiciones Andinas, Se repite 4 veces el precio de 22</v>
      </c>
      <c r="T1378" s="20" t="str">
        <f t="shared" si="303"/>
        <v>Tradiciones Andinas</v>
      </c>
      <c r="U1378" s="20" t="str">
        <f t="shared" si="304"/>
        <v>VITAPLUSS - Fideos con Miel 120gr x 20</v>
      </c>
      <c r="V1378" s="22">
        <f t="shared" si="305"/>
        <v>22</v>
      </c>
      <c r="W1378" t="str">
        <f t="shared" si="306"/>
        <v>Tradiciones Andinas 11/28/2025</v>
      </c>
      <c r="Z1378">
        <f t="shared" si="307"/>
        <v>110</v>
      </c>
    </row>
    <row r="1379" spans="1:26" hidden="1" x14ac:dyDescent="0.25">
      <c r="A1379" s="2" t="s">
        <v>664</v>
      </c>
      <c r="B1379" s="11" t="s">
        <v>398</v>
      </c>
      <c r="C1379" s="11" t="s">
        <v>4</v>
      </c>
      <c r="D1379" s="11" t="s">
        <v>5</v>
      </c>
      <c r="E1379" s="11" t="s">
        <v>799</v>
      </c>
      <c r="F1379" s="11" t="s">
        <v>800</v>
      </c>
      <c r="G1379" s="12">
        <v>3</v>
      </c>
      <c r="H1379" s="12">
        <v>24</v>
      </c>
      <c r="I1379" s="12">
        <v>72</v>
      </c>
      <c r="J1379" s="12">
        <v>6757.6399999999994</v>
      </c>
      <c r="K1379" s="20">
        <f t="shared" si="294"/>
        <v>3</v>
      </c>
      <c r="L1379" s="20" t="str">
        <f t="shared" si="295"/>
        <v>Se repite 3 veces</v>
      </c>
      <c r="M1379" s="20" t="str">
        <f t="shared" si="296"/>
        <v>Tradiciones Andinas-VITAPLUSS - Maiz expandido con miel 140gr x 24</v>
      </c>
      <c r="N1379" s="20">
        <f t="shared" si="297"/>
        <v>3</v>
      </c>
      <c r="O1379" s="20" t="str">
        <f t="shared" si="298"/>
        <v>Se repite 3 veces en Tradiciones Andinas</v>
      </c>
      <c r="P1379" s="20" t="str">
        <f t="shared" si="299"/>
        <v>Tradiciones Andinas-VITAPLUSS - Maiz expandido con miel 140gr x 24-24</v>
      </c>
      <c r="Q1379" s="20">
        <f t="shared" si="300"/>
        <v>1</v>
      </c>
      <c r="R1379" s="20" t="str">
        <f t="shared" si="301"/>
        <v>No se repite</v>
      </c>
      <c r="S1379" s="20" t="str">
        <f t="shared" si="302"/>
        <v>El producto VITAPLUSS - Maiz expandido con miel 140gr x 24 Se repite 3 veces en Tradiciones Andinas Una vez con el precio 24</v>
      </c>
      <c r="T1379" s="20" t="str">
        <f t="shared" si="303"/>
        <v>Tradiciones Andinas</v>
      </c>
      <c r="U1379" s="20" t="str">
        <f t="shared" si="304"/>
        <v>VITAPLUSS - Maiz expandido con miel 140gr x 24</v>
      </c>
      <c r="V1379" s="22">
        <f t="shared" si="305"/>
        <v>24</v>
      </c>
      <c r="W1379" t="str">
        <f t="shared" si="306"/>
        <v>Tradiciones Andinas 04/10/2025</v>
      </c>
      <c r="Z1379">
        <f t="shared" si="307"/>
        <v>72</v>
      </c>
    </row>
    <row r="1380" spans="1:26" hidden="1" x14ac:dyDescent="0.25">
      <c r="A1380" s="2" t="s">
        <v>664</v>
      </c>
      <c r="B1380" s="11" t="s">
        <v>1125</v>
      </c>
      <c r="C1380" s="11" t="s">
        <v>4</v>
      </c>
      <c r="D1380" s="11" t="s">
        <v>1126</v>
      </c>
      <c r="E1380" s="11" t="s">
        <v>799</v>
      </c>
      <c r="F1380" s="11" t="s">
        <v>1141</v>
      </c>
      <c r="G1380" s="12">
        <v>5</v>
      </c>
      <c r="H1380" s="12">
        <v>26.4</v>
      </c>
      <c r="I1380" s="12">
        <v>132</v>
      </c>
      <c r="J1380" s="12">
        <v>71483.570000000007</v>
      </c>
      <c r="K1380" s="20">
        <f t="shared" si="294"/>
        <v>3</v>
      </c>
      <c r="L1380" s="20" t="str">
        <f t="shared" si="295"/>
        <v>Se repite 3 veces</v>
      </c>
      <c r="M1380" s="20" t="str">
        <f t="shared" si="296"/>
        <v>Tradiciones Andinas-VITAPLUSS - Maiz expandido con miel 140gr x 24</v>
      </c>
      <c r="N1380" s="20">
        <f t="shared" si="297"/>
        <v>3</v>
      </c>
      <c r="O1380" s="20" t="str">
        <f t="shared" si="298"/>
        <v>Se repite 3 veces en Tradiciones Andinas</v>
      </c>
      <c r="P1380" s="20" t="str">
        <f t="shared" si="299"/>
        <v>Tradiciones Andinas-VITAPLUSS - Maiz expandido con miel 140gr x 24-26.4</v>
      </c>
      <c r="Q1380" s="20">
        <f t="shared" si="300"/>
        <v>2</v>
      </c>
      <c r="R1380" s="20" t="str">
        <f t="shared" si="301"/>
        <v>Se repite 2 veces el precio de 26.4</v>
      </c>
      <c r="S1380" s="20" t="str">
        <f t="shared" si="302"/>
        <v>El producto VITAPLUSS - Maiz expandido con miel 140gr x 24 Se repite 3 veces en Tradiciones Andinas, Se repite 2 veces el precio de 26.4</v>
      </c>
      <c r="T1380" s="20" t="str">
        <f t="shared" si="303"/>
        <v>Tradiciones Andinas</v>
      </c>
      <c r="U1380" s="20" t="str">
        <f t="shared" si="304"/>
        <v>VITAPLUSS - Maiz expandido con miel 140gr x 24</v>
      </c>
      <c r="V1380" s="22">
        <f t="shared" si="305"/>
        <v>26.4</v>
      </c>
      <c r="W1380" t="str">
        <f t="shared" si="306"/>
        <v>Tradiciones Andinas 08/18/2025</v>
      </c>
      <c r="Z1380">
        <f t="shared" si="307"/>
        <v>132</v>
      </c>
    </row>
    <row r="1381" spans="1:26" hidden="1" x14ac:dyDescent="0.25">
      <c r="A1381" s="2" t="s">
        <v>664</v>
      </c>
      <c r="B1381" s="11" t="s">
        <v>1224</v>
      </c>
      <c r="C1381" s="11" t="s">
        <v>4</v>
      </c>
      <c r="D1381" s="11" t="s">
        <v>1225</v>
      </c>
      <c r="E1381" s="11" t="s">
        <v>799</v>
      </c>
      <c r="F1381" s="11" t="s">
        <v>1141</v>
      </c>
      <c r="G1381" s="12">
        <v>2</v>
      </c>
      <c r="H1381" s="12">
        <v>26.4</v>
      </c>
      <c r="I1381" s="12">
        <v>52.8</v>
      </c>
      <c r="J1381" s="12">
        <v>118357.71999999991</v>
      </c>
      <c r="K1381" s="20">
        <f t="shared" si="294"/>
        <v>3</v>
      </c>
      <c r="L1381" s="20" t="str">
        <f t="shared" si="295"/>
        <v>Se repite 3 veces</v>
      </c>
      <c r="M1381" s="20" t="str">
        <f t="shared" si="296"/>
        <v>Tradiciones Andinas-VITAPLUSS - Maiz expandido con miel 140gr x 24</v>
      </c>
      <c r="N1381" s="20">
        <f t="shared" si="297"/>
        <v>3</v>
      </c>
      <c r="O1381" s="20" t="str">
        <f t="shared" si="298"/>
        <v>Se repite 3 veces en Tradiciones Andinas</v>
      </c>
      <c r="P1381" s="20" t="str">
        <f t="shared" si="299"/>
        <v>Tradiciones Andinas-VITAPLUSS - Maiz expandido con miel 140gr x 24-26.4</v>
      </c>
      <c r="Q1381" s="20">
        <f t="shared" si="300"/>
        <v>2</v>
      </c>
      <c r="R1381" s="20" t="str">
        <f t="shared" si="301"/>
        <v>Se repite 2 veces el precio de 26.4</v>
      </c>
      <c r="S1381" s="20" t="str">
        <f t="shared" si="302"/>
        <v>El producto VITAPLUSS - Maiz expandido con miel 140gr x 24 Se repite 3 veces en Tradiciones Andinas, Se repite 2 veces el precio de 26.4</v>
      </c>
      <c r="T1381" s="20" t="str">
        <f t="shared" si="303"/>
        <v>Tradiciones Andinas</v>
      </c>
      <c r="U1381" s="20" t="str">
        <f t="shared" si="304"/>
        <v>VITAPLUSS - Maiz expandido con miel 140gr x 24</v>
      </c>
      <c r="V1381" s="22">
        <f t="shared" si="305"/>
        <v>26.4</v>
      </c>
      <c r="W1381" t="str">
        <f t="shared" si="306"/>
        <v>Tradiciones Andinas 12/03/2025</v>
      </c>
      <c r="Z1381">
        <f t="shared" si="307"/>
        <v>52.8</v>
      </c>
    </row>
    <row r="1382" spans="1:26" hidden="1" x14ac:dyDescent="0.25">
      <c r="A1382" s="2" t="s">
        <v>664</v>
      </c>
      <c r="B1382" s="11" t="s">
        <v>398</v>
      </c>
      <c r="C1382" s="11" t="s">
        <v>4</v>
      </c>
      <c r="D1382" s="11" t="s">
        <v>5</v>
      </c>
      <c r="E1382" s="11" t="s">
        <v>801</v>
      </c>
      <c r="F1382" s="11" t="s">
        <v>802</v>
      </c>
      <c r="G1382" s="12">
        <v>3</v>
      </c>
      <c r="H1382" s="12">
        <v>24</v>
      </c>
      <c r="I1382" s="12">
        <v>72</v>
      </c>
      <c r="J1382" s="12">
        <v>6829.6399999999994</v>
      </c>
      <c r="K1382" s="20">
        <f t="shared" si="294"/>
        <v>4</v>
      </c>
      <c r="L1382" s="20" t="str">
        <f t="shared" si="295"/>
        <v>Se repite 4 veces</v>
      </c>
      <c r="M1382" s="20" t="str">
        <f t="shared" si="296"/>
        <v>Tradiciones Andinas-VITAPLUSS - Trigo Expandido con Miel 140gr x 24</v>
      </c>
      <c r="N1382" s="20">
        <f t="shared" si="297"/>
        <v>4</v>
      </c>
      <c r="O1382" s="20" t="str">
        <f t="shared" si="298"/>
        <v>Se repite 4 veces en Tradiciones Andinas</v>
      </c>
      <c r="P1382" s="20" t="str">
        <f t="shared" si="299"/>
        <v>Tradiciones Andinas-VITAPLUSS - Trigo Expandido con Miel 140gr x 24-24</v>
      </c>
      <c r="Q1382" s="20">
        <f t="shared" si="300"/>
        <v>2</v>
      </c>
      <c r="R1382" s="20" t="str">
        <f t="shared" si="301"/>
        <v>Se repite 2 veces el precio de 24</v>
      </c>
      <c r="S1382" s="20" t="str">
        <f t="shared" si="302"/>
        <v>El producto VITAPLUSS - Trigo Expandido con Miel 140gr x 24 Se repite 4 veces en Tradiciones Andinas, Se repite 2 veces el precio de 24</v>
      </c>
      <c r="T1382" s="20" t="str">
        <f t="shared" si="303"/>
        <v>Tradiciones Andinas</v>
      </c>
      <c r="U1382" s="20" t="str">
        <f t="shared" si="304"/>
        <v>VITAPLUSS - Trigo Expandido con Miel 140gr x 24</v>
      </c>
      <c r="V1382" s="22">
        <f t="shared" si="305"/>
        <v>24</v>
      </c>
      <c r="W1382" t="str">
        <f t="shared" si="306"/>
        <v>Tradiciones Andinas 04/10/2025</v>
      </c>
      <c r="Z1382">
        <f t="shared" si="307"/>
        <v>72</v>
      </c>
    </row>
    <row r="1383" spans="1:26" hidden="1" x14ac:dyDescent="0.25">
      <c r="A1383" s="2" t="s">
        <v>664</v>
      </c>
      <c r="B1383" s="11" t="s">
        <v>932</v>
      </c>
      <c r="C1383" s="11" t="s">
        <v>4</v>
      </c>
      <c r="D1383" s="11" t="s">
        <v>933</v>
      </c>
      <c r="E1383" s="11" t="s">
        <v>801</v>
      </c>
      <c r="F1383" s="11" t="s">
        <v>802</v>
      </c>
      <c r="G1383" s="12">
        <v>2</v>
      </c>
      <c r="H1383" s="12">
        <v>24</v>
      </c>
      <c r="I1383" s="12">
        <v>48</v>
      </c>
      <c r="J1383" s="12">
        <v>24564.82</v>
      </c>
      <c r="K1383" s="20">
        <f t="shared" si="294"/>
        <v>4</v>
      </c>
      <c r="L1383" s="20" t="str">
        <f t="shared" si="295"/>
        <v>Se repite 4 veces</v>
      </c>
      <c r="M1383" s="20" t="str">
        <f t="shared" si="296"/>
        <v>Tradiciones Andinas-VITAPLUSS - Trigo Expandido con Miel 140gr x 24</v>
      </c>
      <c r="N1383" s="20">
        <f t="shared" si="297"/>
        <v>4</v>
      </c>
      <c r="O1383" s="20" t="str">
        <f t="shared" si="298"/>
        <v>Se repite 4 veces en Tradiciones Andinas</v>
      </c>
      <c r="P1383" s="20" t="str">
        <f t="shared" si="299"/>
        <v>Tradiciones Andinas-VITAPLUSS - Trigo Expandido con Miel 140gr x 24-24</v>
      </c>
      <c r="Q1383" s="20">
        <f t="shared" si="300"/>
        <v>2</v>
      </c>
      <c r="R1383" s="20" t="str">
        <f t="shared" si="301"/>
        <v>Se repite 2 veces el precio de 24</v>
      </c>
      <c r="S1383" s="20" t="str">
        <f t="shared" si="302"/>
        <v>El producto VITAPLUSS - Trigo Expandido con Miel 140gr x 24 Se repite 4 veces en Tradiciones Andinas, Se repite 2 veces el precio de 24</v>
      </c>
      <c r="T1383" s="20" t="str">
        <f t="shared" si="303"/>
        <v>Tradiciones Andinas</v>
      </c>
      <c r="U1383" s="20" t="str">
        <f t="shared" si="304"/>
        <v>VITAPLUSS - Trigo Expandido con Miel 140gr x 24</v>
      </c>
      <c r="V1383" s="22">
        <f t="shared" si="305"/>
        <v>24</v>
      </c>
      <c r="W1383" t="str">
        <f t="shared" si="306"/>
        <v>Tradiciones Andinas 04/29/2025</v>
      </c>
      <c r="Z1383">
        <f t="shared" si="307"/>
        <v>48</v>
      </c>
    </row>
    <row r="1384" spans="1:26" hidden="1" x14ac:dyDescent="0.25">
      <c r="A1384" s="2" t="s">
        <v>664</v>
      </c>
      <c r="B1384" s="11" t="s">
        <v>1153</v>
      </c>
      <c r="C1384" s="11" t="s">
        <v>4</v>
      </c>
      <c r="D1384" s="11" t="s">
        <v>1154</v>
      </c>
      <c r="E1384" s="11" t="s">
        <v>801</v>
      </c>
      <c r="F1384" s="11" t="s">
        <v>1164</v>
      </c>
      <c r="G1384" s="12">
        <v>5</v>
      </c>
      <c r="H1384" s="12">
        <v>25.68</v>
      </c>
      <c r="I1384" s="12">
        <v>128.4</v>
      </c>
      <c r="J1384" s="12">
        <v>84750.129999999961</v>
      </c>
      <c r="K1384" s="20">
        <f t="shared" si="294"/>
        <v>4</v>
      </c>
      <c r="L1384" s="20" t="str">
        <f t="shared" si="295"/>
        <v>Se repite 4 veces</v>
      </c>
      <c r="M1384" s="20" t="str">
        <f t="shared" si="296"/>
        <v>Tradiciones Andinas-VITAPLUSS - Trigo Expandido con Miel 140gr x 24</v>
      </c>
      <c r="N1384" s="20">
        <f t="shared" si="297"/>
        <v>4</v>
      </c>
      <c r="O1384" s="20" t="str">
        <f t="shared" si="298"/>
        <v>Se repite 4 veces en Tradiciones Andinas</v>
      </c>
      <c r="P1384" s="20" t="str">
        <f t="shared" si="299"/>
        <v>Tradiciones Andinas-VITAPLUSS - Trigo Expandido con Miel 140gr x 24-25.68</v>
      </c>
      <c r="Q1384" s="20">
        <f t="shared" si="300"/>
        <v>2</v>
      </c>
      <c r="R1384" s="20" t="str">
        <f t="shared" si="301"/>
        <v>Se repite 2 veces el precio de 25.68</v>
      </c>
      <c r="S1384" s="20" t="str">
        <f t="shared" si="302"/>
        <v>El producto VITAPLUSS - Trigo Expandido con Miel 140gr x 24 Se repite 4 veces en Tradiciones Andinas, Se repite 2 veces el precio de 25.68</v>
      </c>
      <c r="T1384" s="20" t="str">
        <f t="shared" si="303"/>
        <v>Tradiciones Andinas</v>
      </c>
      <c r="U1384" s="20" t="str">
        <f t="shared" si="304"/>
        <v>VITAPLUSS - Trigo Expandido con Miel 140gr x 24</v>
      </c>
      <c r="V1384" s="22">
        <f t="shared" si="305"/>
        <v>25.68</v>
      </c>
      <c r="W1384" t="str">
        <f t="shared" si="306"/>
        <v>Tradiciones Andinas 09/24/2025</v>
      </c>
      <c r="Z1384">
        <f t="shared" si="307"/>
        <v>128.4</v>
      </c>
    </row>
    <row r="1385" spans="1:26" hidden="1" x14ac:dyDescent="0.25">
      <c r="A1385" s="2" t="s">
        <v>664</v>
      </c>
      <c r="B1385" s="11" t="s">
        <v>1201</v>
      </c>
      <c r="C1385" s="11" t="s">
        <v>4</v>
      </c>
      <c r="D1385" s="11" t="s">
        <v>1202</v>
      </c>
      <c r="E1385" s="11" t="s">
        <v>801</v>
      </c>
      <c r="F1385" s="11" t="s">
        <v>1164</v>
      </c>
      <c r="G1385" s="12">
        <v>3</v>
      </c>
      <c r="H1385" s="12">
        <v>25.68</v>
      </c>
      <c r="I1385" s="12">
        <v>77.040000000000006</v>
      </c>
      <c r="J1385" s="12">
        <v>102999.90999999992</v>
      </c>
      <c r="K1385" s="20">
        <f t="shared" si="294"/>
        <v>4</v>
      </c>
      <c r="L1385" s="20" t="str">
        <f t="shared" si="295"/>
        <v>Se repite 4 veces</v>
      </c>
      <c r="M1385" s="20" t="str">
        <f t="shared" si="296"/>
        <v>Tradiciones Andinas-VITAPLUSS - Trigo Expandido con Miel 140gr x 24</v>
      </c>
      <c r="N1385" s="20">
        <f t="shared" si="297"/>
        <v>4</v>
      </c>
      <c r="O1385" s="20" t="str">
        <f t="shared" si="298"/>
        <v>Se repite 4 veces en Tradiciones Andinas</v>
      </c>
      <c r="P1385" s="20" t="str">
        <f t="shared" si="299"/>
        <v>Tradiciones Andinas-VITAPLUSS - Trigo Expandido con Miel 140gr x 24-25.68</v>
      </c>
      <c r="Q1385" s="20">
        <f t="shared" si="300"/>
        <v>2</v>
      </c>
      <c r="R1385" s="20" t="str">
        <f t="shared" si="301"/>
        <v>Se repite 2 veces el precio de 25.68</v>
      </c>
      <c r="S1385" s="20" t="str">
        <f t="shared" si="302"/>
        <v>El producto VITAPLUSS - Trigo Expandido con Miel 140gr x 24 Se repite 4 veces en Tradiciones Andinas, Se repite 2 veces el precio de 25.68</v>
      </c>
      <c r="T1385" s="20" t="str">
        <f t="shared" si="303"/>
        <v>Tradiciones Andinas</v>
      </c>
      <c r="U1385" s="20" t="str">
        <f t="shared" si="304"/>
        <v>VITAPLUSS - Trigo Expandido con Miel 140gr x 24</v>
      </c>
      <c r="V1385" s="22">
        <f t="shared" si="305"/>
        <v>25.68</v>
      </c>
      <c r="W1385" t="str">
        <f t="shared" si="306"/>
        <v>Tradiciones Andinas 11/07/2025</v>
      </c>
      <c r="Z1385">
        <f t="shared" si="307"/>
        <v>77.039999999999992</v>
      </c>
    </row>
    <row r="1386" spans="1:26" hidden="1" x14ac:dyDescent="0.25">
      <c r="A1386" s="2" t="s">
        <v>12</v>
      </c>
      <c r="B1386" s="11" t="s">
        <v>13</v>
      </c>
      <c r="C1386" s="11" t="s">
        <v>4</v>
      </c>
      <c r="D1386" s="11" t="s">
        <v>14</v>
      </c>
      <c r="E1386" s="11" t="s">
        <v>15</v>
      </c>
      <c r="F1386" s="11" t="s">
        <v>16</v>
      </c>
      <c r="G1386" s="12">
        <v>15</v>
      </c>
      <c r="H1386" s="12">
        <v>16.022600000000001</v>
      </c>
      <c r="I1386" s="12">
        <v>240.34</v>
      </c>
      <c r="J1386" s="12">
        <v>240.34</v>
      </c>
      <c r="K1386" s="20">
        <f t="shared" si="294"/>
        <v>1</v>
      </c>
      <c r="L1386" s="20" t="str">
        <f t="shared" si="295"/>
        <v>No se repite</v>
      </c>
      <c r="M1386" s="20" t="str">
        <f t="shared" si="296"/>
        <v>Arjo Vision Trading Company LLC-Volt yellow Guarana 16fl oz /15</v>
      </c>
      <c r="N1386" s="20">
        <f t="shared" si="297"/>
        <v>1</v>
      </c>
      <c r="O1386" s="20" t="str">
        <f t="shared" si="298"/>
        <v>No se repite en proveedor</v>
      </c>
      <c r="P1386" s="20" t="str">
        <f t="shared" si="299"/>
        <v>Arjo Vision Trading Company LLC-Volt yellow Guarana 16fl oz /15-16.0226</v>
      </c>
      <c r="Q1386" s="20">
        <f t="shared" si="300"/>
        <v>1</v>
      </c>
      <c r="R1386" s="20" t="str">
        <f t="shared" si="301"/>
        <v>No se repite</v>
      </c>
      <c r="S1386" s="20" t="str">
        <f t="shared" si="302"/>
        <v>El producto Volt yellow Guarana 16fl oz /15 No se repite en proveedor Una vez con el precio 16.0226</v>
      </c>
      <c r="T1386" s="20" t="str">
        <f t="shared" si="303"/>
        <v>Arjo Vision Trading Company LLC</v>
      </c>
      <c r="U1386" s="20" t="str">
        <f t="shared" si="304"/>
        <v>Volt yellow Guarana 16fl oz /15</v>
      </c>
      <c r="V1386" s="22">
        <f t="shared" si="305"/>
        <v>16.022600000000001</v>
      </c>
      <c r="W1386" t="str">
        <f t="shared" si="306"/>
        <v>Arjo Vision Trading Company LLC 03/19/2025</v>
      </c>
      <c r="Z1386">
        <f t="shared" si="307"/>
        <v>240.339</v>
      </c>
    </row>
    <row r="1387" spans="1:26" hidden="1" x14ac:dyDescent="0.25">
      <c r="A1387" s="2" t="s">
        <v>272</v>
      </c>
      <c r="B1387" s="11" t="s">
        <v>273</v>
      </c>
      <c r="C1387" s="11" t="s">
        <v>4</v>
      </c>
      <c r="D1387" s="11" t="s">
        <v>5</v>
      </c>
      <c r="E1387" s="11" t="s">
        <v>331</v>
      </c>
      <c r="F1387" s="11" t="s">
        <v>332</v>
      </c>
      <c r="G1387" s="12">
        <v>1</v>
      </c>
      <c r="H1387" s="12">
        <v>31.8</v>
      </c>
      <c r="I1387" s="12">
        <v>31.8</v>
      </c>
      <c r="J1387" s="12">
        <v>1016.5999999999999</v>
      </c>
      <c r="K1387" s="20">
        <f t="shared" si="294"/>
        <v>5</v>
      </c>
      <c r="L1387" s="20" t="str">
        <f t="shared" si="295"/>
        <v>Se repite 5 veces</v>
      </c>
      <c r="M1387" s="20" t="str">
        <f t="shared" si="296"/>
        <v>Peru Chef-Walibi Aceitunesa 380gr x 12</v>
      </c>
      <c r="N1387" s="20">
        <f t="shared" si="297"/>
        <v>5</v>
      </c>
      <c r="O1387" s="20" t="str">
        <f t="shared" si="298"/>
        <v>Se repite 5 veces en Peru Chef</v>
      </c>
      <c r="P1387" s="20" t="str">
        <f t="shared" si="299"/>
        <v>Peru Chef-Walibi Aceitunesa 380gr x 12-31.8</v>
      </c>
      <c r="Q1387" s="20">
        <f t="shared" si="300"/>
        <v>2</v>
      </c>
      <c r="R1387" s="20" t="str">
        <f t="shared" si="301"/>
        <v>Se repite 2 veces el precio de 31.8</v>
      </c>
      <c r="S1387" s="20" t="str">
        <f t="shared" si="302"/>
        <v>El producto Walibi Aceitunesa 380gr x 12 Se repite 5 veces en Peru Chef, Se repite 2 veces el precio de 31.8</v>
      </c>
      <c r="T1387" s="20" t="str">
        <f t="shared" si="303"/>
        <v>Peru Chef</v>
      </c>
      <c r="U1387" s="20" t="str">
        <f t="shared" si="304"/>
        <v>Walibi Aceitunesa 380gr x 12</v>
      </c>
      <c r="V1387" s="22">
        <f t="shared" si="305"/>
        <v>31.8</v>
      </c>
      <c r="W1387" t="str">
        <f t="shared" si="306"/>
        <v>Peru Chef 03/26/2025</v>
      </c>
      <c r="Z1387">
        <f t="shared" si="307"/>
        <v>31.8</v>
      </c>
    </row>
    <row r="1388" spans="1:26" hidden="1" x14ac:dyDescent="0.25">
      <c r="A1388" s="2" t="s">
        <v>272</v>
      </c>
      <c r="B1388" s="11" t="s">
        <v>444</v>
      </c>
      <c r="C1388" s="11" t="s">
        <v>4</v>
      </c>
      <c r="D1388" s="11" t="s">
        <v>445</v>
      </c>
      <c r="E1388" s="11" t="s">
        <v>331</v>
      </c>
      <c r="F1388" s="11" t="s">
        <v>462</v>
      </c>
      <c r="G1388" s="12">
        <v>3</v>
      </c>
      <c r="H1388" s="12">
        <v>31.8</v>
      </c>
      <c r="I1388" s="12">
        <v>95.4</v>
      </c>
      <c r="J1388" s="12">
        <v>9592.1</v>
      </c>
      <c r="K1388" s="20">
        <f t="shared" si="294"/>
        <v>5</v>
      </c>
      <c r="L1388" s="20" t="str">
        <f t="shared" si="295"/>
        <v>Se repite 5 veces</v>
      </c>
      <c r="M1388" s="20" t="str">
        <f t="shared" si="296"/>
        <v>Peru Chef-Walibi Aceitunesa 380gr x 12</v>
      </c>
      <c r="N1388" s="20">
        <f t="shared" si="297"/>
        <v>5</v>
      </c>
      <c r="O1388" s="20" t="str">
        <f t="shared" si="298"/>
        <v>Se repite 5 veces en Peru Chef</v>
      </c>
      <c r="P1388" s="20" t="str">
        <f t="shared" si="299"/>
        <v>Peru Chef-Walibi Aceitunesa 380gr x 12-31.8</v>
      </c>
      <c r="Q1388" s="20">
        <f t="shared" si="300"/>
        <v>2</v>
      </c>
      <c r="R1388" s="20" t="str">
        <f t="shared" si="301"/>
        <v>Se repite 2 veces el precio de 31.8</v>
      </c>
      <c r="S1388" s="20" t="str">
        <f t="shared" si="302"/>
        <v>El producto Walibi Aceitunesa 380gr x 12 Se repite 5 veces en Peru Chef, Se repite 2 veces el precio de 31.8</v>
      </c>
      <c r="T1388" s="20" t="str">
        <f t="shared" si="303"/>
        <v>Peru Chef</v>
      </c>
      <c r="U1388" s="20" t="str">
        <f t="shared" si="304"/>
        <v>Walibi Aceitunesa 380gr x 12</v>
      </c>
      <c r="V1388" s="22">
        <f t="shared" si="305"/>
        <v>31.8</v>
      </c>
      <c r="W1388" t="str">
        <f t="shared" si="306"/>
        <v>Peru Chef 04/24/2025</v>
      </c>
      <c r="Z1388">
        <f t="shared" si="307"/>
        <v>95.4</v>
      </c>
    </row>
    <row r="1389" spans="1:26" hidden="1" x14ac:dyDescent="0.25">
      <c r="A1389" s="2" t="s">
        <v>272</v>
      </c>
      <c r="B1389" s="11" t="s">
        <v>563</v>
      </c>
      <c r="C1389" s="11" t="s">
        <v>4</v>
      </c>
      <c r="D1389" s="11" t="s">
        <v>564</v>
      </c>
      <c r="E1389" s="11" t="s">
        <v>331</v>
      </c>
      <c r="F1389" s="11" t="s">
        <v>462</v>
      </c>
      <c r="G1389" s="12">
        <v>5</v>
      </c>
      <c r="H1389" s="12">
        <v>39</v>
      </c>
      <c r="I1389" s="12">
        <v>195</v>
      </c>
      <c r="J1389" s="12">
        <v>22252</v>
      </c>
      <c r="K1389" s="20">
        <f t="shared" si="294"/>
        <v>5</v>
      </c>
      <c r="L1389" s="20" t="str">
        <f t="shared" si="295"/>
        <v>Se repite 5 veces</v>
      </c>
      <c r="M1389" s="20" t="str">
        <f t="shared" si="296"/>
        <v>Peru Chef-Walibi Aceitunesa 380gr x 12</v>
      </c>
      <c r="N1389" s="20">
        <f t="shared" si="297"/>
        <v>5</v>
      </c>
      <c r="O1389" s="20" t="str">
        <f t="shared" si="298"/>
        <v>Se repite 5 veces en Peru Chef</v>
      </c>
      <c r="P1389" s="20" t="str">
        <f t="shared" si="299"/>
        <v>Peru Chef-Walibi Aceitunesa 380gr x 12-39</v>
      </c>
      <c r="Q1389" s="20">
        <f t="shared" si="300"/>
        <v>1</v>
      </c>
      <c r="R1389" s="20" t="str">
        <f t="shared" si="301"/>
        <v>No se repite</v>
      </c>
      <c r="S1389" s="20" t="str">
        <f t="shared" si="302"/>
        <v>El producto Walibi Aceitunesa 380gr x 12 Se repite 5 veces en Peru Chef Una vez con el precio 39</v>
      </c>
      <c r="T1389" s="20" t="str">
        <f t="shared" si="303"/>
        <v>Peru Chef</v>
      </c>
      <c r="U1389" s="20" t="str">
        <f t="shared" si="304"/>
        <v>Walibi Aceitunesa 380gr x 12</v>
      </c>
      <c r="V1389" s="22">
        <f t="shared" si="305"/>
        <v>39</v>
      </c>
      <c r="W1389" t="str">
        <f t="shared" si="306"/>
        <v>Peru Chef 09/11/2025</v>
      </c>
      <c r="Z1389">
        <f t="shared" si="307"/>
        <v>195</v>
      </c>
    </row>
    <row r="1390" spans="1:26" hidden="1" x14ac:dyDescent="0.25">
      <c r="A1390" s="2" t="s">
        <v>272</v>
      </c>
      <c r="B1390" s="11" t="s">
        <v>572</v>
      </c>
      <c r="C1390" s="11" t="s">
        <v>4</v>
      </c>
      <c r="D1390" s="11" t="s">
        <v>573</v>
      </c>
      <c r="E1390" s="11" t="s">
        <v>331</v>
      </c>
      <c r="F1390" s="11" t="s">
        <v>462</v>
      </c>
      <c r="G1390" s="12">
        <v>10</v>
      </c>
      <c r="H1390" s="12">
        <v>35</v>
      </c>
      <c r="I1390" s="12">
        <v>350</v>
      </c>
      <c r="J1390" s="12">
        <v>29305.5</v>
      </c>
      <c r="K1390" s="20">
        <f t="shared" si="294"/>
        <v>5</v>
      </c>
      <c r="L1390" s="20" t="str">
        <f t="shared" si="295"/>
        <v>Se repite 5 veces</v>
      </c>
      <c r="M1390" s="20" t="str">
        <f t="shared" si="296"/>
        <v>Peru Chef-Walibi Aceitunesa 380gr x 12</v>
      </c>
      <c r="N1390" s="20">
        <f t="shared" si="297"/>
        <v>5</v>
      </c>
      <c r="O1390" s="20" t="str">
        <f t="shared" si="298"/>
        <v>Se repite 5 veces en Peru Chef</v>
      </c>
      <c r="P1390" s="20" t="str">
        <f t="shared" si="299"/>
        <v>Peru Chef-Walibi Aceitunesa 380gr x 12-35</v>
      </c>
      <c r="Q1390" s="20">
        <f t="shared" si="300"/>
        <v>1</v>
      </c>
      <c r="R1390" s="20" t="str">
        <f t="shared" si="301"/>
        <v>No se repite</v>
      </c>
      <c r="S1390" s="20" t="str">
        <f t="shared" si="302"/>
        <v>El producto Walibi Aceitunesa 380gr x 12 Se repite 5 veces en Peru Chef Una vez con el precio 35</v>
      </c>
      <c r="T1390" s="20" t="str">
        <f t="shared" si="303"/>
        <v>Peru Chef</v>
      </c>
      <c r="U1390" s="20" t="str">
        <f t="shared" si="304"/>
        <v>Walibi Aceitunesa 380gr x 12</v>
      </c>
      <c r="V1390" s="22">
        <f t="shared" si="305"/>
        <v>35</v>
      </c>
      <c r="W1390" t="str">
        <f t="shared" si="306"/>
        <v>Peru Chef 10/09/2025</v>
      </c>
      <c r="Z1390">
        <f t="shared" si="307"/>
        <v>350</v>
      </c>
    </row>
    <row r="1391" spans="1:26" hidden="1" x14ac:dyDescent="0.25">
      <c r="A1391" s="2" t="s">
        <v>272</v>
      </c>
      <c r="B1391" s="11" t="s">
        <v>590</v>
      </c>
      <c r="C1391" s="11" t="s">
        <v>4</v>
      </c>
      <c r="D1391" s="11" t="s">
        <v>591</v>
      </c>
      <c r="E1391" s="11" t="s">
        <v>331</v>
      </c>
      <c r="F1391" s="11" t="s">
        <v>462</v>
      </c>
      <c r="G1391" s="12">
        <v>10</v>
      </c>
      <c r="H1391" s="12">
        <v>35.1</v>
      </c>
      <c r="I1391" s="12">
        <v>351</v>
      </c>
      <c r="J1391" s="12">
        <v>32691.999999999996</v>
      </c>
      <c r="K1391" s="20">
        <f t="shared" si="294"/>
        <v>5</v>
      </c>
      <c r="L1391" s="20" t="str">
        <f t="shared" si="295"/>
        <v>Se repite 5 veces</v>
      </c>
      <c r="M1391" s="20" t="str">
        <f t="shared" si="296"/>
        <v>Peru Chef-Walibi Aceitunesa 380gr x 12</v>
      </c>
      <c r="N1391" s="20">
        <f t="shared" si="297"/>
        <v>5</v>
      </c>
      <c r="O1391" s="20" t="str">
        <f t="shared" si="298"/>
        <v>Se repite 5 veces en Peru Chef</v>
      </c>
      <c r="P1391" s="20" t="str">
        <f t="shared" si="299"/>
        <v>Peru Chef-Walibi Aceitunesa 380gr x 12-35.1</v>
      </c>
      <c r="Q1391" s="20">
        <f t="shared" si="300"/>
        <v>1</v>
      </c>
      <c r="R1391" s="20" t="str">
        <f t="shared" si="301"/>
        <v>No se repite</v>
      </c>
      <c r="S1391" s="20" t="str">
        <f t="shared" si="302"/>
        <v>El producto Walibi Aceitunesa 380gr x 12 Se repite 5 veces en Peru Chef Una vez con el precio 35.1</v>
      </c>
      <c r="T1391" s="20" t="str">
        <f t="shared" si="303"/>
        <v>Peru Chef</v>
      </c>
      <c r="U1391" s="20" t="str">
        <f t="shared" si="304"/>
        <v>Walibi Aceitunesa 380gr x 12</v>
      </c>
      <c r="V1391" s="22">
        <f t="shared" si="305"/>
        <v>35.1</v>
      </c>
      <c r="W1391" t="str">
        <f t="shared" si="306"/>
        <v>Peru Chef 10/28/2025</v>
      </c>
      <c r="Z1391">
        <f t="shared" si="307"/>
        <v>351</v>
      </c>
    </row>
    <row r="1392" spans="1:26" hidden="1" x14ac:dyDescent="0.25">
      <c r="A1392" s="2" t="s">
        <v>272</v>
      </c>
      <c r="B1392" s="11" t="s">
        <v>273</v>
      </c>
      <c r="C1392" s="11" t="s">
        <v>4</v>
      </c>
      <c r="D1392" s="11" t="s">
        <v>5</v>
      </c>
      <c r="E1392" s="11" t="s">
        <v>333</v>
      </c>
      <c r="F1392" s="11" t="s">
        <v>334</v>
      </c>
      <c r="G1392" s="12">
        <v>1</v>
      </c>
      <c r="H1392" s="12">
        <v>31.8</v>
      </c>
      <c r="I1392" s="12">
        <v>31.8</v>
      </c>
      <c r="J1392" s="12">
        <v>1048.3999999999999</v>
      </c>
      <c r="K1392" s="20">
        <f t="shared" si="294"/>
        <v>5</v>
      </c>
      <c r="L1392" s="20" t="str">
        <f t="shared" si="295"/>
        <v>Se repite 5 veces</v>
      </c>
      <c r="M1392" s="20" t="str">
        <f t="shared" si="296"/>
        <v>Peru Chef-Walibi Crema De Rocoto 380gr x 12</v>
      </c>
      <c r="N1392" s="20">
        <f t="shared" si="297"/>
        <v>5</v>
      </c>
      <c r="O1392" s="20" t="str">
        <f t="shared" si="298"/>
        <v>Se repite 5 veces en Peru Chef</v>
      </c>
      <c r="P1392" s="20" t="str">
        <f t="shared" si="299"/>
        <v>Peru Chef-Walibi Crema De Rocoto 380gr x 12-31.8</v>
      </c>
      <c r="Q1392" s="20">
        <f t="shared" si="300"/>
        <v>2</v>
      </c>
      <c r="R1392" s="20" t="str">
        <f t="shared" si="301"/>
        <v>Se repite 2 veces el precio de 31.8</v>
      </c>
      <c r="S1392" s="20" t="str">
        <f t="shared" si="302"/>
        <v>El producto Walibi Crema De Rocoto 380gr x 12 Se repite 5 veces en Peru Chef, Se repite 2 veces el precio de 31.8</v>
      </c>
      <c r="T1392" s="20" t="str">
        <f t="shared" si="303"/>
        <v>Peru Chef</v>
      </c>
      <c r="U1392" s="20" t="str">
        <f t="shared" si="304"/>
        <v>Walibi Crema De Rocoto 380gr x 12</v>
      </c>
      <c r="V1392" s="22">
        <f t="shared" si="305"/>
        <v>31.8</v>
      </c>
      <c r="W1392" t="str">
        <f t="shared" si="306"/>
        <v>Peru Chef 03/26/2025</v>
      </c>
      <c r="Z1392">
        <f t="shared" si="307"/>
        <v>31.8</v>
      </c>
    </row>
    <row r="1393" spans="1:26" hidden="1" x14ac:dyDescent="0.25">
      <c r="A1393" s="2" t="s">
        <v>272</v>
      </c>
      <c r="B1393" s="11" t="s">
        <v>444</v>
      </c>
      <c r="C1393" s="11" t="s">
        <v>4</v>
      </c>
      <c r="D1393" s="11" t="s">
        <v>445</v>
      </c>
      <c r="E1393" s="11" t="s">
        <v>333</v>
      </c>
      <c r="F1393" s="11" t="s">
        <v>467</v>
      </c>
      <c r="G1393" s="12">
        <v>3</v>
      </c>
      <c r="H1393" s="12">
        <v>31.8</v>
      </c>
      <c r="I1393" s="12">
        <v>95.4</v>
      </c>
      <c r="J1393" s="12">
        <v>9814.7000000000007</v>
      </c>
      <c r="K1393" s="20">
        <f t="shared" si="294"/>
        <v>5</v>
      </c>
      <c r="L1393" s="20" t="str">
        <f t="shared" si="295"/>
        <v>Se repite 5 veces</v>
      </c>
      <c r="M1393" s="20" t="str">
        <f t="shared" si="296"/>
        <v>Peru Chef-Walibi Crema De Rocoto 380gr x 12</v>
      </c>
      <c r="N1393" s="20">
        <f t="shared" si="297"/>
        <v>5</v>
      </c>
      <c r="O1393" s="20" t="str">
        <f t="shared" si="298"/>
        <v>Se repite 5 veces en Peru Chef</v>
      </c>
      <c r="P1393" s="20" t="str">
        <f t="shared" si="299"/>
        <v>Peru Chef-Walibi Crema De Rocoto 380gr x 12-31.8</v>
      </c>
      <c r="Q1393" s="20">
        <f t="shared" si="300"/>
        <v>2</v>
      </c>
      <c r="R1393" s="20" t="str">
        <f t="shared" si="301"/>
        <v>Se repite 2 veces el precio de 31.8</v>
      </c>
      <c r="S1393" s="20" t="str">
        <f t="shared" si="302"/>
        <v>El producto Walibi Crema De Rocoto 380gr x 12 Se repite 5 veces en Peru Chef, Se repite 2 veces el precio de 31.8</v>
      </c>
      <c r="T1393" s="20" t="str">
        <f t="shared" si="303"/>
        <v>Peru Chef</v>
      </c>
      <c r="U1393" s="20" t="str">
        <f t="shared" si="304"/>
        <v>Walibi Crema De Rocoto 380gr x 12</v>
      </c>
      <c r="V1393" s="22">
        <f t="shared" si="305"/>
        <v>31.8</v>
      </c>
      <c r="W1393" t="str">
        <f t="shared" si="306"/>
        <v>Peru Chef 04/24/2025</v>
      </c>
      <c r="Z1393">
        <f t="shared" si="307"/>
        <v>95.4</v>
      </c>
    </row>
    <row r="1394" spans="1:26" hidden="1" x14ac:dyDescent="0.25">
      <c r="A1394" s="2" t="s">
        <v>272</v>
      </c>
      <c r="B1394" s="11" t="s">
        <v>471</v>
      </c>
      <c r="C1394" s="11" t="s">
        <v>4</v>
      </c>
      <c r="D1394" s="11" t="s">
        <v>472</v>
      </c>
      <c r="E1394" s="11" t="s">
        <v>333</v>
      </c>
      <c r="F1394" s="11" t="s">
        <v>467</v>
      </c>
      <c r="G1394" s="12">
        <v>3</v>
      </c>
      <c r="H1394" s="12">
        <v>39</v>
      </c>
      <c r="I1394" s="12">
        <v>117</v>
      </c>
      <c r="J1394" s="12">
        <v>14307.5</v>
      </c>
      <c r="K1394" s="20">
        <f t="shared" si="294"/>
        <v>5</v>
      </c>
      <c r="L1394" s="20" t="str">
        <f t="shared" si="295"/>
        <v>Se repite 5 veces</v>
      </c>
      <c r="M1394" s="20" t="str">
        <f t="shared" si="296"/>
        <v>Peru Chef-Walibi Crema De Rocoto 380gr x 12</v>
      </c>
      <c r="N1394" s="20">
        <f t="shared" si="297"/>
        <v>5</v>
      </c>
      <c r="O1394" s="20" t="str">
        <f t="shared" si="298"/>
        <v>Se repite 5 veces en Peru Chef</v>
      </c>
      <c r="P1394" s="20" t="str">
        <f t="shared" si="299"/>
        <v>Peru Chef-Walibi Crema De Rocoto 380gr x 12-39</v>
      </c>
      <c r="Q1394" s="20">
        <f t="shared" si="300"/>
        <v>1</v>
      </c>
      <c r="R1394" s="20" t="str">
        <f t="shared" si="301"/>
        <v>No se repite</v>
      </c>
      <c r="S1394" s="20" t="str">
        <f t="shared" si="302"/>
        <v>El producto Walibi Crema De Rocoto 380gr x 12 Se repite 5 veces en Peru Chef Una vez con el precio 39</v>
      </c>
      <c r="T1394" s="20" t="str">
        <f t="shared" si="303"/>
        <v>Peru Chef</v>
      </c>
      <c r="U1394" s="20" t="str">
        <f t="shared" si="304"/>
        <v>Walibi Crema De Rocoto 380gr x 12</v>
      </c>
      <c r="V1394" s="22">
        <f t="shared" si="305"/>
        <v>39</v>
      </c>
      <c r="W1394" t="str">
        <f t="shared" si="306"/>
        <v>Peru Chef 08/11/2025</v>
      </c>
      <c r="Z1394">
        <f t="shared" si="307"/>
        <v>117</v>
      </c>
    </row>
    <row r="1395" spans="1:26" hidden="1" x14ac:dyDescent="0.25">
      <c r="A1395" s="2" t="s">
        <v>272</v>
      </c>
      <c r="B1395" s="11" t="s">
        <v>590</v>
      </c>
      <c r="C1395" s="11" t="s">
        <v>4</v>
      </c>
      <c r="D1395" s="11" t="s">
        <v>591</v>
      </c>
      <c r="E1395" s="11" t="s">
        <v>333</v>
      </c>
      <c r="F1395" s="11" t="s">
        <v>467</v>
      </c>
      <c r="G1395" s="12">
        <v>6</v>
      </c>
      <c r="H1395" s="12">
        <v>35.1</v>
      </c>
      <c r="I1395" s="12">
        <v>210.6</v>
      </c>
      <c r="J1395" s="12">
        <v>33113.199999999997</v>
      </c>
      <c r="K1395" s="20">
        <f t="shared" si="294"/>
        <v>5</v>
      </c>
      <c r="L1395" s="20" t="str">
        <f t="shared" si="295"/>
        <v>Se repite 5 veces</v>
      </c>
      <c r="M1395" s="20" t="str">
        <f t="shared" si="296"/>
        <v>Peru Chef-Walibi Crema De Rocoto 380gr x 12</v>
      </c>
      <c r="N1395" s="20">
        <f t="shared" si="297"/>
        <v>5</v>
      </c>
      <c r="O1395" s="20" t="str">
        <f t="shared" si="298"/>
        <v>Se repite 5 veces en Peru Chef</v>
      </c>
      <c r="P1395" s="20" t="str">
        <f t="shared" si="299"/>
        <v>Peru Chef-Walibi Crema De Rocoto 380gr x 12-35.1</v>
      </c>
      <c r="Q1395" s="20">
        <f t="shared" si="300"/>
        <v>2</v>
      </c>
      <c r="R1395" s="20" t="str">
        <f t="shared" si="301"/>
        <v>Se repite 2 veces el precio de 35.1</v>
      </c>
      <c r="S1395" s="20" t="str">
        <f t="shared" si="302"/>
        <v>El producto Walibi Crema De Rocoto 380gr x 12 Se repite 5 veces en Peru Chef, Se repite 2 veces el precio de 35.1</v>
      </c>
      <c r="T1395" s="20" t="str">
        <f t="shared" si="303"/>
        <v>Peru Chef</v>
      </c>
      <c r="U1395" s="20" t="str">
        <f t="shared" si="304"/>
        <v>Walibi Crema De Rocoto 380gr x 12</v>
      </c>
      <c r="V1395" s="22">
        <f t="shared" si="305"/>
        <v>35.1</v>
      </c>
      <c r="W1395" t="str">
        <f t="shared" si="306"/>
        <v>Peru Chef 10/28/2025</v>
      </c>
      <c r="Z1395">
        <f t="shared" si="307"/>
        <v>210.60000000000002</v>
      </c>
    </row>
    <row r="1396" spans="1:26" hidden="1" x14ac:dyDescent="0.25">
      <c r="A1396" s="2" t="s">
        <v>272</v>
      </c>
      <c r="B1396" s="11" t="s">
        <v>600</v>
      </c>
      <c r="C1396" s="11" t="s">
        <v>4</v>
      </c>
      <c r="D1396" s="11" t="s">
        <v>601</v>
      </c>
      <c r="E1396" s="11" t="s">
        <v>333</v>
      </c>
      <c r="F1396" s="11" t="s">
        <v>467</v>
      </c>
      <c r="G1396" s="12">
        <v>4</v>
      </c>
      <c r="H1396" s="12">
        <v>35.1</v>
      </c>
      <c r="I1396" s="12">
        <v>140.4</v>
      </c>
      <c r="J1396" s="12">
        <v>35805.55000000001</v>
      </c>
      <c r="K1396" s="20">
        <f t="shared" si="294"/>
        <v>5</v>
      </c>
      <c r="L1396" s="20" t="str">
        <f t="shared" si="295"/>
        <v>Se repite 5 veces</v>
      </c>
      <c r="M1396" s="20" t="str">
        <f t="shared" si="296"/>
        <v>Peru Chef-Walibi Crema De Rocoto 380gr x 12</v>
      </c>
      <c r="N1396" s="20">
        <f t="shared" si="297"/>
        <v>5</v>
      </c>
      <c r="O1396" s="20" t="str">
        <f t="shared" si="298"/>
        <v>Se repite 5 veces en Peru Chef</v>
      </c>
      <c r="P1396" s="20" t="str">
        <f t="shared" si="299"/>
        <v>Peru Chef-Walibi Crema De Rocoto 380gr x 12-35.1</v>
      </c>
      <c r="Q1396" s="20">
        <f t="shared" si="300"/>
        <v>2</v>
      </c>
      <c r="R1396" s="20" t="str">
        <f t="shared" si="301"/>
        <v>Se repite 2 veces el precio de 35.1</v>
      </c>
      <c r="S1396" s="20" t="str">
        <f t="shared" si="302"/>
        <v>El producto Walibi Crema De Rocoto 380gr x 12 Se repite 5 veces en Peru Chef, Se repite 2 veces el precio de 35.1</v>
      </c>
      <c r="T1396" s="20" t="str">
        <f t="shared" si="303"/>
        <v>Peru Chef</v>
      </c>
      <c r="U1396" s="20" t="str">
        <f t="shared" si="304"/>
        <v>Walibi Crema De Rocoto 380gr x 12</v>
      </c>
      <c r="V1396" s="22">
        <f t="shared" si="305"/>
        <v>35.1</v>
      </c>
      <c r="W1396" t="str">
        <f t="shared" si="306"/>
        <v>Peru Chef 11/14/2025</v>
      </c>
      <c r="Z1396">
        <f t="shared" si="307"/>
        <v>140.4</v>
      </c>
    </row>
    <row r="1397" spans="1:26" hidden="1" x14ac:dyDescent="0.25">
      <c r="A1397" s="2" t="s">
        <v>272</v>
      </c>
      <c r="B1397" s="11" t="s">
        <v>444</v>
      </c>
      <c r="C1397" s="11" t="s">
        <v>4</v>
      </c>
      <c r="D1397" s="11" t="s">
        <v>445</v>
      </c>
      <c r="E1397" s="11" t="s">
        <v>463</v>
      </c>
      <c r="F1397" s="11" t="s">
        <v>464</v>
      </c>
      <c r="G1397" s="12">
        <v>2</v>
      </c>
      <c r="H1397" s="12">
        <v>31.8</v>
      </c>
      <c r="I1397" s="12">
        <v>63.6</v>
      </c>
      <c r="J1397" s="12">
        <v>9655.7000000000007</v>
      </c>
      <c r="K1397" s="20">
        <f t="shared" si="294"/>
        <v>1</v>
      </c>
      <c r="L1397" s="20" t="str">
        <f t="shared" si="295"/>
        <v>No se repite</v>
      </c>
      <c r="M1397" s="20" t="str">
        <f t="shared" si="296"/>
        <v>Peru Chef-Walibi Mayonesa</v>
      </c>
      <c r="N1397" s="20">
        <f t="shared" si="297"/>
        <v>1</v>
      </c>
      <c r="O1397" s="20" t="str">
        <f t="shared" si="298"/>
        <v>No se repite en proveedor</v>
      </c>
      <c r="P1397" s="20" t="str">
        <f t="shared" si="299"/>
        <v>Peru Chef-Walibi Mayonesa-31.8</v>
      </c>
      <c r="Q1397" s="20">
        <f t="shared" si="300"/>
        <v>1</v>
      </c>
      <c r="R1397" s="20" t="str">
        <f t="shared" si="301"/>
        <v>No se repite</v>
      </c>
      <c r="S1397" s="20" t="str">
        <f t="shared" si="302"/>
        <v>El producto Walibi Mayonesa No se repite en proveedor Una vez con el precio 31.8</v>
      </c>
      <c r="T1397" s="20" t="str">
        <f t="shared" si="303"/>
        <v>Peru Chef</v>
      </c>
      <c r="U1397" s="20" t="str">
        <f t="shared" si="304"/>
        <v>Walibi Mayonesa</v>
      </c>
      <c r="V1397" s="22">
        <f t="shared" si="305"/>
        <v>31.8</v>
      </c>
      <c r="W1397" t="str">
        <f t="shared" si="306"/>
        <v>Peru Chef 04/24/2025</v>
      </c>
      <c r="Z1397">
        <f t="shared" si="307"/>
        <v>63.6</v>
      </c>
    </row>
    <row r="1398" spans="1:26" hidden="1" x14ac:dyDescent="0.25">
      <c r="A1398" s="2" t="s">
        <v>272</v>
      </c>
      <c r="B1398" s="11" t="s">
        <v>444</v>
      </c>
      <c r="C1398" s="11" t="s">
        <v>4</v>
      </c>
      <c r="D1398" s="11" t="s">
        <v>445</v>
      </c>
      <c r="E1398" s="11" t="s">
        <v>465</v>
      </c>
      <c r="F1398" s="11" t="s">
        <v>466</v>
      </c>
      <c r="G1398" s="12">
        <v>2</v>
      </c>
      <c r="H1398" s="12">
        <v>31.8</v>
      </c>
      <c r="I1398" s="12">
        <v>63.6</v>
      </c>
      <c r="J1398" s="12">
        <v>9719.3000000000011</v>
      </c>
      <c r="K1398" s="20">
        <f t="shared" si="294"/>
        <v>6</v>
      </c>
      <c r="L1398" s="20" t="str">
        <f t="shared" si="295"/>
        <v>Se repite 6 veces</v>
      </c>
      <c r="M1398" s="20" t="str">
        <f t="shared" si="296"/>
        <v>Peru Chef-Walibi Salsa De Aji Criollo 380gr x 12</v>
      </c>
      <c r="N1398" s="20">
        <f t="shared" si="297"/>
        <v>6</v>
      </c>
      <c r="O1398" s="20" t="str">
        <f t="shared" si="298"/>
        <v>Se repite 6 veces en Peru Chef</v>
      </c>
      <c r="P1398" s="20" t="str">
        <f t="shared" si="299"/>
        <v>Peru Chef-Walibi Salsa De Aji Criollo 380gr x 12-31.8</v>
      </c>
      <c r="Q1398" s="20">
        <f t="shared" si="300"/>
        <v>1</v>
      </c>
      <c r="R1398" s="20" t="str">
        <f t="shared" si="301"/>
        <v>No se repite</v>
      </c>
      <c r="S1398" s="20" t="str">
        <f t="shared" si="302"/>
        <v>El producto Walibi Salsa De Aji Criollo 380gr x 12 Se repite 6 veces en Peru Chef Una vez con el precio 31.8</v>
      </c>
      <c r="T1398" s="20" t="str">
        <f t="shared" si="303"/>
        <v>Peru Chef</v>
      </c>
      <c r="U1398" s="20" t="str">
        <f t="shared" si="304"/>
        <v>Walibi Salsa De Aji Criollo 380gr x 12</v>
      </c>
      <c r="V1398" s="22">
        <f t="shared" si="305"/>
        <v>31.8</v>
      </c>
      <c r="W1398" t="str">
        <f t="shared" si="306"/>
        <v>Peru Chef 04/24/2025</v>
      </c>
      <c r="Z1398">
        <f t="shared" si="307"/>
        <v>63.6</v>
      </c>
    </row>
    <row r="1399" spans="1:26" hidden="1" x14ac:dyDescent="0.25">
      <c r="A1399" s="2" t="s">
        <v>272</v>
      </c>
      <c r="B1399" s="11" t="s">
        <v>563</v>
      </c>
      <c r="C1399" s="11" t="s">
        <v>4</v>
      </c>
      <c r="D1399" s="11" t="s">
        <v>564</v>
      </c>
      <c r="E1399" s="11" t="s">
        <v>465</v>
      </c>
      <c r="F1399" s="11" t="s">
        <v>466</v>
      </c>
      <c r="G1399" s="12">
        <v>5</v>
      </c>
      <c r="H1399" s="12">
        <v>39</v>
      </c>
      <c r="I1399" s="12">
        <v>195</v>
      </c>
      <c r="J1399" s="12">
        <v>22447</v>
      </c>
      <c r="K1399" s="20">
        <f t="shared" si="294"/>
        <v>6</v>
      </c>
      <c r="L1399" s="20" t="str">
        <f t="shared" si="295"/>
        <v>Se repite 6 veces</v>
      </c>
      <c r="M1399" s="20" t="str">
        <f t="shared" si="296"/>
        <v>Peru Chef-Walibi Salsa De Aji Criollo 380gr x 12</v>
      </c>
      <c r="N1399" s="20">
        <f t="shared" si="297"/>
        <v>6</v>
      </c>
      <c r="O1399" s="20" t="str">
        <f t="shared" si="298"/>
        <v>Se repite 6 veces en Peru Chef</v>
      </c>
      <c r="P1399" s="20" t="str">
        <f t="shared" si="299"/>
        <v>Peru Chef-Walibi Salsa De Aji Criollo 380gr x 12-39</v>
      </c>
      <c r="Q1399" s="20">
        <f t="shared" si="300"/>
        <v>1</v>
      </c>
      <c r="R1399" s="20" t="str">
        <f t="shared" si="301"/>
        <v>No se repite</v>
      </c>
      <c r="S1399" s="20" t="str">
        <f t="shared" si="302"/>
        <v>El producto Walibi Salsa De Aji Criollo 380gr x 12 Se repite 6 veces en Peru Chef Una vez con el precio 39</v>
      </c>
      <c r="T1399" s="20" t="str">
        <f t="shared" si="303"/>
        <v>Peru Chef</v>
      </c>
      <c r="U1399" s="20" t="str">
        <f t="shared" si="304"/>
        <v>Walibi Salsa De Aji Criollo 380gr x 12</v>
      </c>
      <c r="V1399" s="22">
        <f t="shared" si="305"/>
        <v>39</v>
      </c>
      <c r="W1399" t="str">
        <f t="shared" si="306"/>
        <v>Peru Chef 09/11/2025</v>
      </c>
      <c r="Z1399">
        <f t="shared" si="307"/>
        <v>195</v>
      </c>
    </row>
    <row r="1400" spans="1:26" hidden="1" x14ac:dyDescent="0.25">
      <c r="A1400" s="2" t="s">
        <v>272</v>
      </c>
      <c r="B1400" s="11" t="s">
        <v>572</v>
      </c>
      <c r="C1400" s="11" t="s">
        <v>4</v>
      </c>
      <c r="D1400" s="11" t="s">
        <v>573</v>
      </c>
      <c r="E1400" s="11" t="s">
        <v>465</v>
      </c>
      <c r="F1400" s="11" t="s">
        <v>466</v>
      </c>
      <c r="G1400" s="12">
        <v>8</v>
      </c>
      <c r="H1400" s="12">
        <v>35</v>
      </c>
      <c r="I1400" s="12">
        <v>280</v>
      </c>
      <c r="J1400" s="12">
        <v>29585.5</v>
      </c>
      <c r="K1400" s="20">
        <f t="shared" si="294"/>
        <v>6</v>
      </c>
      <c r="L1400" s="20" t="str">
        <f t="shared" si="295"/>
        <v>Se repite 6 veces</v>
      </c>
      <c r="M1400" s="20" t="str">
        <f t="shared" si="296"/>
        <v>Peru Chef-Walibi Salsa De Aji Criollo 380gr x 12</v>
      </c>
      <c r="N1400" s="20">
        <f t="shared" si="297"/>
        <v>6</v>
      </c>
      <c r="O1400" s="20" t="str">
        <f t="shared" si="298"/>
        <v>Se repite 6 veces en Peru Chef</v>
      </c>
      <c r="P1400" s="20" t="str">
        <f t="shared" si="299"/>
        <v>Peru Chef-Walibi Salsa De Aji Criollo 380gr x 12-35</v>
      </c>
      <c r="Q1400" s="20">
        <f t="shared" si="300"/>
        <v>1</v>
      </c>
      <c r="R1400" s="20" t="str">
        <f t="shared" si="301"/>
        <v>No se repite</v>
      </c>
      <c r="S1400" s="20" t="str">
        <f t="shared" si="302"/>
        <v>El producto Walibi Salsa De Aji Criollo 380gr x 12 Se repite 6 veces en Peru Chef Una vez con el precio 35</v>
      </c>
      <c r="T1400" s="20" t="str">
        <f t="shared" si="303"/>
        <v>Peru Chef</v>
      </c>
      <c r="U1400" s="20" t="str">
        <f t="shared" si="304"/>
        <v>Walibi Salsa De Aji Criollo 380gr x 12</v>
      </c>
      <c r="V1400" s="22">
        <f t="shared" si="305"/>
        <v>35</v>
      </c>
      <c r="W1400" t="str">
        <f t="shared" si="306"/>
        <v>Peru Chef 10/09/2025</v>
      </c>
      <c r="Z1400">
        <f t="shared" si="307"/>
        <v>280</v>
      </c>
    </row>
    <row r="1401" spans="1:26" hidden="1" x14ac:dyDescent="0.25">
      <c r="A1401" s="2" t="s">
        <v>272</v>
      </c>
      <c r="B1401" s="11" t="s">
        <v>590</v>
      </c>
      <c r="C1401" s="11" t="s">
        <v>4</v>
      </c>
      <c r="D1401" s="11" t="s">
        <v>591</v>
      </c>
      <c r="E1401" s="11" t="s">
        <v>465</v>
      </c>
      <c r="F1401" s="11" t="s">
        <v>466</v>
      </c>
      <c r="G1401" s="12">
        <v>6</v>
      </c>
      <c r="H1401" s="12">
        <v>35.1</v>
      </c>
      <c r="I1401" s="12">
        <v>210.6</v>
      </c>
      <c r="J1401" s="12">
        <v>32902.6</v>
      </c>
      <c r="K1401" s="20">
        <f t="shared" si="294"/>
        <v>6</v>
      </c>
      <c r="L1401" s="20" t="str">
        <f t="shared" si="295"/>
        <v>Se repite 6 veces</v>
      </c>
      <c r="M1401" s="20" t="str">
        <f t="shared" si="296"/>
        <v>Peru Chef-Walibi Salsa De Aji Criollo 380gr x 12</v>
      </c>
      <c r="N1401" s="20">
        <f t="shared" si="297"/>
        <v>6</v>
      </c>
      <c r="O1401" s="20" t="str">
        <f t="shared" si="298"/>
        <v>Se repite 6 veces en Peru Chef</v>
      </c>
      <c r="P1401" s="20" t="str">
        <f t="shared" si="299"/>
        <v>Peru Chef-Walibi Salsa De Aji Criollo 380gr x 12-35.1</v>
      </c>
      <c r="Q1401" s="20">
        <f t="shared" si="300"/>
        <v>3</v>
      </c>
      <c r="R1401" s="20" t="str">
        <f t="shared" si="301"/>
        <v>Se repite 3 veces el precio de 35.1</v>
      </c>
      <c r="S1401" s="20" t="str">
        <f t="shared" si="302"/>
        <v>El producto Walibi Salsa De Aji Criollo 380gr x 12 Se repite 6 veces en Peru Chef, Se repite 3 veces el precio de 35.1</v>
      </c>
      <c r="T1401" s="20" t="str">
        <f t="shared" si="303"/>
        <v>Peru Chef</v>
      </c>
      <c r="U1401" s="20" t="str">
        <f t="shared" si="304"/>
        <v>Walibi Salsa De Aji Criollo 380gr x 12</v>
      </c>
      <c r="V1401" s="22">
        <f t="shared" si="305"/>
        <v>35.1</v>
      </c>
      <c r="W1401" t="str">
        <f t="shared" si="306"/>
        <v>Peru Chef 10/28/2025</v>
      </c>
      <c r="Z1401">
        <f t="shared" si="307"/>
        <v>210.60000000000002</v>
      </c>
    </row>
    <row r="1402" spans="1:26" hidden="1" x14ac:dyDescent="0.25">
      <c r="A1402" s="2" t="s">
        <v>272</v>
      </c>
      <c r="B1402" s="11" t="s">
        <v>600</v>
      </c>
      <c r="C1402" s="11" t="s">
        <v>4</v>
      </c>
      <c r="D1402" s="11" t="s">
        <v>601</v>
      </c>
      <c r="E1402" s="11" t="s">
        <v>465</v>
      </c>
      <c r="F1402" s="11" t="s">
        <v>466</v>
      </c>
      <c r="G1402" s="12">
        <v>6</v>
      </c>
      <c r="H1402" s="12">
        <v>35.1</v>
      </c>
      <c r="I1402" s="12">
        <v>210.6</v>
      </c>
      <c r="J1402" s="12">
        <v>35665.150000000009</v>
      </c>
      <c r="K1402" s="20">
        <f t="shared" si="294"/>
        <v>6</v>
      </c>
      <c r="L1402" s="20" t="str">
        <f t="shared" si="295"/>
        <v>Se repite 6 veces</v>
      </c>
      <c r="M1402" s="20" t="str">
        <f t="shared" si="296"/>
        <v>Peru Chef-Walibi Salsa De Aji Criollo 380gr x 12</v>
      </c>
      <c r="N1402" s="20">
        <f t="shared" si="297"/>
        <v>6</v>
      </c>
      <c r="O1402" s="20" t="str">
        <f t="shared" si="298"/>
        <v>Se repite 6 veces en Peru Chef</v>
      </c>
      <c r="P1402" s="20" t="str">
        <f t="shared" si="299"/>
        <v>Peru Chef-Walibi Salsa De Aji Criollo 380gr x 12-35.1</v>
      </c>
      <c r="Q1402" s="20">
        <f t="shared" si="300"/>
        <v>3</v>
      </c>
      <c r="R1402" s="20" t="str">
        <f t="shared" si="301"/>
        <v>Se repite 3 veces el precio de 35.1</v>
      </c>
      <c r="S1402" s="20" t="str">
        <f t="shared" si="302"/>
        <v>El producto Walibi Salsa De Aji Criollo 380gr x 12 Se repite 6 veces en Peru Chef, Se repite 3 veces el precio de 35.1</v>
      </c>
      <c r="T1402" s="20" t="str">
        <f t="shared" si="303"/>
        <v>Peru Chef</v>
      </c>
      <c r="U1402" s="20" t="str">
        <f t="shared" si="304"/>
        <v>Walibi Salsa De Aji Criollo 380gr x 12</v>
      </c>
      <c r="V1402" s="22">
        <f t="shared" si="305"/>
        <v>35.1</v>
      </c>
      <c r="W1402" t="str">
        <f t="shared" si="306"/>
        <v>Peru Chef 11/14/2025</v>
      </c>
      <c r="Z1402">
        <f t="shared" si="307"/>
        <v>210.60000000000002</v>
      </c>
    </row>
    <row r="1403" spans="1:26" hidden="1" x14ac:dyDescent="0.25">
      <c r="A1403" s="2" t="s">
        <v>272</v>
      </c>
      <c r="B1403" s="11" t="s">
        <v>619</v>
      </c>
      <c r="C1403" s="11" t="s">
        <v>4</v>
      </c>
      <c r="D1403" s="11" t="s">
        <v>621</v>
      </c>
      <c r="E1403" s="11" t="s">
        <v>465</v>
      </c>
      <c r="F1403" s="11" t="s">
        <v>466</v>
      </c>
      <c r="G1403" s="12">
        <v>6</v>
      </c>
      <c r="H1403" s="12">
        <v>35.1</v>
      </c>
      <c r="I1403" s="12">
        <v>210.6</v>
      </c>
      <c r="J1403" s="12">
        <v>42487.149999999987</v>
      </c>
      <c r="K1403" s="20">
        <f t="shared" si="294"/>
        <v>6</v>
      </c>
      <c r="L1403" s="20" t="str">
        <f t="shared" si="295"/>
        <v>Se repite 6 veces</v>
      </c>
      <c r="M1403" s="20" t="str">
        <f t="shared" si="296"/>
        <v>Peru Chef-Walibi Salsa De Aji Criollo 380gr x 12</v>
      </c>
      <c r="N1403" s="20">
        <f t="shared" si="297"/>
        <v>6</v>
      </c>
      <c r="O1403" s="20" t="str">
        <f t="shared" si="298"/>
        <v>Se repite 6 veces en Peru Chef</v>
      </c>
      <c r="P1403" s="20" t="str">
        <f t="shared" si="299"/>
        <v>Peru Chef-Walibi Salsa De Aji Criollo 380gr x 12-35.1</v>
      </c>
      <c r="Q1403" s="20">
        <f t="shared" si="300"/>
        <v>3</v>
      </c>
      <c r="R1403" s="20" t="str">
        <f t="shared" si="301"/>
        <v>Se repite 3 veces el precio de 35.1</v>
      </c>
      <c r="S1403" s="20" t="str">
        <f t="shared" si="302"/>
        <v>El producto Walibi Salsa De Aji Criollo 380gr x 12 Se repite 6 veces en Peru Chef, Se repite 3 veces el precio de 35.1</v>
      </c>
      <c r="T1403" s="20" t="str">
        <f t="shared" si="303"/>
        <v>Peru Chef</v>
      </c>
      <c r="U1403" s="20" t="str">
        <f t="shared" si="304"/>
        <v>Walibi Salsa De Aji Criollo 380gr x 12</v>
      </c>
      <c r="V1403" s="22">
        <f t="shared" si="305"/>
        <v>35.1</v>
      </c>
      <c r="W1403" t="str">
        <f t="shared" si="306"/>
        <v>Peru Chef 12/09/2025</v>
      </c>
      <c r="Z1403">
        <f t="shared" si="307"/>
        <v>210.60000000000002</v>
      </c>
    </row>
    <row r="1404" spans="1:26" hidden="1" x14ac:dyDescent="0.25">
      <c r="A1404" s="2" t="s">
        <v>272</v>
      </c>
      <c r="B1404" s="11" t="s">
        <v>273</v>
      </c>
      <c r="C1404" s="11" t="s">
        <v>4</v>
      </c>
      <c r="D1404" s="11" t="s">
        <v>5</v>
      </c>
      <c r="E1404" s="11" t="s">
        <v>335</v>
      </c>
      <c r="F1404" s="11" t="s">
        <v>336</v>
      </c>
      <c r="G1404" s="12">
        <v>1</v>
      </c>
      <c r="H1404" s="12">
        <v>31.8</v>
      </c>
      <c r="I1404" s="12">
        <v>31.8</v>
      </c>
      <c r="J1404" s="12">
        <v>1080.1999999999998</v>
      </c>
      <c r="K1404" s="20">
        <f t="shared" si="294"/>
        <v>2</v>
      </c>
      <c r="L1404" s="20" t="str">
        <f t="shared" si="295"/>
        <v>Se repite 2 veces</v>
      </c>
      <c r="M1404" s="20" t="str">
        <f t="shared" si="296"/>
        <v>Peru Chef-Walibi Salsa Huancaina</v>
      </c>
      <c r="N1404" s="20">
        <f t="shared" si="297"/>
        <v>2</v>
      </c>
      <c r="O1404" s="20" t="str">
        <f t="shared" si="298"/>
        <v>Se repite 2 veces en Peru Chef</v>
      </c>
      <c r="P1404" s="20" t="str">
        <f t="shared" si="299"/>
        <v>Peru Chef-Walibi Salsa Huancaina-31.8</v>
      </c>
      <c r="Q1404" s="20">
        <f t="shared" si="300"/>
        <v>2</v>
      </c>
      <c r="R1404" s="20" t="str">
        <f t="shared" si="301"/>
        <v>Se repite 2 veces el precio de 31.8</v>
      </c>
      <c r="S1404" s="20" t="str">
        <f t="shared" si="302"/>
        <v>El producto Walibi Salsa Huancaina Se repite 2 veces en Peru Chef, Se repite 2 veces el precio de 31.8</v>
      </c>
      <c r="T1404" s="20" t="str">
        <f t="shared" si="303"/>
        <v>Peru Chef</v>
      </c>
      <c r="U1404" s="20" t="str">
        <f t="shared" si="304"/>
        <v>Walibi Salsa Huancaina</v>
      </c>
      <c r="V1404" s="22">
        <f t="shared" si="305"/>
        <v>31.8</v>
      </c>
      <c r="W1404" t="str">
        <f t="shared" si="306"/>
        <v>Peru Chef 03/26/2025</v>
      </c>
      <c r="Z1404">
        <f t="shared" si="307"/>
        <v>31.8</v>
      </c>
    </row>
    <row r="1405" spans="1:26" hidden="1" x14ac:dyDescent="0.25">
      <c r="A1405" s="2" t="s">
        <v>272</v>
      </c>
      <c r="B1405" s="11" t="s">
        <v>444</v>
      </c>
      <c r="C1405" s="11" t="s">
        <v>4</v>
      </c>
      <c r="D1405" s="11" t="s">
        <v>445</v>
      </c>
      <c r="E1405" s="11" t="s">
        <v>335</v>
      </c>
      <c r="F1405" s="11" t="s">
        <v>468</v>
      </c>
      <c r="G1405" s="12">
        <v>1</v>
      </c>
      <c r="H1405" s="12">
        <v>31.8</v>
      </c>
      <c r="I1405" s="12">
        <v>31.8</v>
      </c>
      <c r="J1405" s="12">
        <v>9846.5</v>
      </c>
      <c r="K1405" s="20">
        <f t="shared" si="294"/>
        <v>2</v>
      </c>
      <c r="L1405" s="20" t="str">
        <f t="shared" si="295"/>
        <v>Se repite 2 veces</v>
      </c>
      <c r="M1405" s="20" t="str">
        <f t="shared" si="296"/>
        <v>Peru Chef-Walibi Salsa Huancaina</v>
      </c>
      <c r="N1405" s="20">
        <f t="shared" si="297"/>
        <v>2</v>
      </c>
      <c r="O1405" s="20" t="str">
        <f t="shared" si="298"/>
        <v>Se repite 2 veces en Peru Chef</v>
      </c>
      <c r="P1405" s="20" t="str">
        <f t="shared" si="299"/>
        <v>Peru Chef-Walibi Salsa Huancaina-31.8</v>
      </c>
      <c r="Q1405" s="20">
        <f t="shared" si="300"/>
        <v>2</v>
      </c>
      <c r="R1405" s="20" t="str">
        <f t="shared" si="301"/>
        <v>Se repite 2 veces el precio de 31.8</v>
      </c>
      <c r="S1405" s="20" t="str">
        <f t="shared" si="302"/>
        <v>El producto Walibi Salsa Huancaina Se repite 2 veces en Peru Chef, Se repite 2 veces el precio de 31.8</v>
      </c>
      <c r="T1405" s="20" t="str">
        <f t="shared" si="303"/>
        <v>Peru Chef</v>
      </c>
      <c r="U1405" s="20" t="str">
        <f t="shared" si="304"/>
        <v>Walibi Salsa Huancaina</v>
      </c>
      <c r="V1405" s="22">
        <f t="shared" si="305"/>
        <v>31.8</v>
      </c>
      <c r="W1405" t="str">
        <f t="shared" si="306"/>
        <v>Peru Chef 04/24/2025</v>
      </c>
      <c r="Z1405">
        <f t="shared" si="307"/>
        <v>31.8</v>
      </c>
    </row>
    <row r="1406" spans="1:26" hidden="1" x14ac:dyDescent="0.25">
      <c r="A1406" s="2" t="s">
        <v>272</v>
      </c>
      <c r="B1406" s="11" t="s">
        <v>512</v>
      </c>
      <c r="C1406" s="11" t="s">
        <v>4</v>
      </c>
      <c r="D1406" s="11" t="s">
        <v>513</v>
      </c>
      <c r="E1406" s="11" t="s">
        <v>553</v>
      </c>
      <c r="F1406" s="11" t="s">
        <v>554</v>
      </c>
      <c r="G1406" s="12">
        <v>1</v>
      </c>
      <c r="H1406" s="12">
        <v>22</v>
      </c>
      <c r="I1406" s="12">
        <v>22</v>
      </c>
      <c r="J1406" s="12">
        <v>19079.5</v>
      </c>
      <c r="K1406" s="20">
        <f t="shared" si="294"/>
        <v>2</v>
      </c>
      <c r="L1406" s="20" t="str">
        <f t="shared" si="295"/>
        <v>Se repite 2 veces</v>
      </c>
      <c r="M1406" s="20" t="str">
        <f t="shared" si="296"/>
        <v>Peru Chef-Wasska Base Pisco Sour Chicha Morada 125gr x 9</v>
      </c>
      <c r="N1406" s="20">
        <f t="shared" si="297"/>
        <v>2</v>
      </c>
      <c r="O1406" s="20" t="str">
        <f t="shared" si="298"/>
        <v>Se repite 2 veces en Peru Chef</v>
      </c>
      <c r="P1406" s="20" t="str">
        <f t="shared" si="299"/>
        <v>Peru Chef-Wasska Base Pisco Sour Chicha Morada 125gr x 9-22</v>
      </c>
      <c r="Q1406" s="20">
        <f t="shared" si="300"/>
        <v>2</v>
      </c>
      <c r="R1406" s="20" t="str">
        <f t="shared" si="301"/>
        <v>Se repite 2 veces el precio de 22</v>
      </c>
      <c r="S1406" s="20" t="str">
        <f t="shared" si="302"/>
        <v>El producto Wasska Base Pisco Sour Chicha Morada 125gr x 9 Se repite 2 veces en Peru Chef, Se repite 2 veces el precio de 22</v>
      </c>
      <c r="T1406" s="20" t="str">
        <f t="shared" si="303"/>
        <v>Peru Chef</v>
      </c>
      <c r="U1406" s="20" t="str">
        <f t="shared" si="304"/>
        <v>Wasska Base Pisco Sour Chicha Morada 125gr x 9</v>
      </c>
      <c r="V1406" s="22">
        <f t="shared" si="305"/>
        <v>22</v>
      </c>
      <c r="W1406" t="str">
        <f t="shared" si="306"/>
        <v>Peru Chef 08/28/2025</v>
      </c>
      <c r="Z1406">
        <f t="shared" si="307"/>
        <v>22</v>
      </c>
    </row>
    <row r="1407" spans="1:26" hidden="1" x14ac:dyDescent="0.25">
      <c r="A1407" s="2" t="s">
        <v>272</v>
      </c>
      <c r="B1407" s="11" t="s">
        <v>572</v>
      </c>
      <c r="C1407" s="11" t="s">
        <v>4</v>
      </c>
      <c r="D1407" s="11" t="s">
        <v>573</v>
      </c>
      <c r="E1407" s="11" t="s">
        <v>553</v>
      </c>
      <c r="F1407" s="11" t="s">
        <v>589</v>
      </c>
      <c r="G1407" s="12">
        <v>2</v>
      </c>
      <c r="H1407" s="12">
        <v>22</v>
      </c>
      <c r="I1407" s="12">
        <v>44</v>
      </c>
      <c r="J1407" s="12">
        <v>29629.5</v>
      </c>
      <c r="K1407" s="20">
        <f t="shared" si="294"/>
        <v>2</v>
      </c>
      <c r="L1407" s="20" t="str">
        <f t="shared" si="295"/>
        <v>Se repite 2 veces</v>
      </c>
      <c r="M1407" s="20" t="str">
        <f t="shared" si="296"/>
        <v>Peru Chef-Wasska Base Pisco Sour Chicha Morada 125gr x 9</v>
      </c>
      <c r="N1407" s="20">
        <f t="shared" si="297"/>
        <v>2</v>
      </c>
      <c r="O1407" s="20" t="str">
        <f t="shared" si="298"/>
        <v>Se repite 2 veces en Peru Chef</v>
      </c>
      <c r="P1407" s="20" t="str">
        <f t="shared" si="299"/>
        <v>Peru Chef-Wasska Base Pisco Sour Chicha Morada 125gr x 9-22</v>
      </c>
      <c r="Q1407" s="20">
        <f t="shared" si="300"/>
        <v>2</v>
      </c>
      <c r="R1407" s="20" t="str">
        <f t="shared" si="301"/>
        <v>Se repite 2 veces el precio de 22</v>
      </c>
      <c r="S1407" s="20" t="str">
        <f t="shared" si="302"/>
        <v>El producto Wasska Base Pisco Sour Chicha Morada 125gr x 9 Se repite 2 veces en Peru Chef, Se repite 2 veces el precio de 22</v>
      </c>
      <c r="T1407" s="20" t="str">
        <f t="shared" si="303"/>
        <v>Peru Chef</v>
      </c>
      <c r="U1407" s="20" t="str">
        <f t="shared" si="304"/>
        <v>Wasska Base Pisco Sour Chicha Morada 125gr x 9</v>
      </c>
      <c r="V1407" s="22">
        <f t="shared" si="305"/>
        <v>22</v>
      </c>
      <c r="W1407" t="str">
        <f t="shared" si="306"/>
        <v>Peru Chef 10/09/2025</v>
      </c>
      <c r="Z1407">
        <f t="shared" si="307"/>
        <v>44</v>
      </c>
    </row>
    <row r="1408" spans="1:26" hidden="1" x14ac:dyDescent="0.25">
      <c r="A1408" s="2" t="s">
        <v>272</v>
      </c>
      <c r="B1408" s="11" t="s">
        <v>512</v>
      </c>
      <c r="C1408" s="11" t="s">
        <v>4</v>
      </c>
      <c r="D1408" s="11" t="s">
        <v>513</v>
      </c>
      <c r="E1408" s="11" t="s">
        <v>551</v>
      </c>
      <c r="F1408" s="11" t="s">
        <v>552</v>
      </c>
      <c r="G1408" s="12">
        <v>2</v>
      </c>
      <c r="H1408" s="12">
        <v>22</v>
      </c>
      <c r="I1408" s="12">
        <v>44</v>
      </c>
      <c r="J1408" s="12">
        <v>19057.5</v>
      </c>
      <c r="K1408" s="20">
        <f t="shared" si="294"/>
        <v>2</v>
      </c>
      <c r="L1408" s="20" t="str">
        <f t="shared" si="295"/>
        <v>Se repite 2 veces</v>
      </c>
      <c r="M1408" s="20" t="str">
        <f t="shared" si="296"/>
        <v>Peru Chef-Wasska Base Pisco Sour Limon 125gr x 9</v>
      </c>
      <c r="N1408" s="20">
        <f t="shared" si="297"/>
        <v>2</v>
      </c>
      <c r="O1408" s="20" t="str">
        <f t="shared" si="298"/>
        <v>Se repite 2 veces en Peru Chef</v>
      </c>
      <c r="P1408" s="20" t="str">
        <f t="shared" si="299"/>
        <v>Peru Chef-Wasska Base Pisco Sour Limon 125gr x 9-22</v>
      </c>
      <c r="Q1408" s="20">
        <f t="shared" si="300"/>
        <v>2</v>
      </c>
      <c r="R1408" s="20" t="str">
        <f t="shared" si="301"/>
        <v>Se repite 2 veces el precio de 22</v>
      </c>
      <c r="S1408" s="20" t="str">
        <f t="shared" si="302"/>
        <v>El producto Wasska Base Pisco Sour Limon 125gr x 9 Se repite 2 veces en Peru Chef, Se repite 2 veces el precio de 22</v>
      </c>
      <c r="T1408" s="20" t="str">
        <f t="shared" si="303"/>
        <v>Peru Chef</v>
      </c>
      <c r="U1408" s="20" t="str">
        <f t="shared" si="304"/>
        <v>Wasska Base Pisco Sour Limon 125gr x 9</v>
      </c>
      <c r="V1408" s="22">
        <f t="shared" si="305"/>
        <v>22</v>
      </c>
      <c r="W1408" t="str">
        <f t="shared" si="306"/>
        <v>Peru Chef 08/28/2025</v>
      </c>
      <c r="Z1408">
        <f t="shared" si="307"/>
        <v>44</v>
      </c>
    </row>
    <row r="1409" spans="1:27" hidden="1" x14ac:dyDescent="0.25">
      <c r="A1409" s="2" t="s">
        <v>272</v>
      </c>
      <c r="B1409" s="11" t="s">
        <v>563</v>
      </c>
      <c r="C1409" s="11" t="s">
        <v>4</v>
      </c>
      <c r="D1409" s="11" t="s">
        <v>564</v>
      </c>
      <c r="E1409" s="11" t="s">
        <v>551</v>
      </c>
      <c r="F1409" s="11" t="s">
        <v>566</v>
      </c>
      <c r="G1409" s="12">
        <v>2</v>
      </c>
      <c r="H1409" s="12">
        <v>22</v>
      </c>
      <c r="I1409" s="12">
        <v>44</v>
      </c>
      <c r="J1409" s="12">
        <v>22057</v>
      </c>
      <c r="K1409" s="20">
        <f t="shared" si="294"/>
        <v>2</v>
      </c>
      <c r="L1409" s="20" t="str">
        <f t="shared" si="295"/>
        <v>Se repite 2 veces</v>
      </c>
      <c r="M1409" s="20" t="str">
        <f t="shared" si="296"/>
        <v>Peru Chef-Wasska Base Pisco Sour Limon 125gr x 9</v>
      </c>
      <c r="N1409" s="20">
        <f t="shared" si="297"/>
        <v>2</v>
      </c>
      <c r="O1409" s="20" t="str">
        <f t="shared" si="298"/>
        <v>Se repite 2 veces en Peru Chef</v>
      </c>
      <c r="P1409" s="20" t="str">
        <f t="shared" si="299"/>
        <v>Peru Chef-Wasska Base Pisco Sour Limon 125gr x 9-22</v>
      </c>
      <c r="Q1409" s="20">
        <f t="shared" si="300"/>
        <v>2</v>
      </c>
      <c r="R1409" s="20" t="str">
        <f t="shared" si="301"/>
        <v>Se repite 2 veces el precio de 22</v>
      </c>
      <c r="S1409" s="20" t="str">
        <f t="shared" si="302"/>
        <v>El producto Wasska Base Pisco Sour Limon 125gr x 9 Se repite 2 veces en Peru Chef, Se repite 2 veces el precio de 22</v>
      </c>
      <c r="T1409" s="20" t="str">
        <f t="shared" si="303"/>
        <v>Peru Chef</v>
      </c>
      <c r="U1409" s="20" t="str">
        <f t="shared" si="304"/>
        <v>Wasska Base Pisco Sour Limon 125gr x 9</v>
      </c>
      <c r="V1409" s="22">
        <f t="shared" si="305"/>
        <v>22</v>
      </c>
      <c r="W1409" t="str">
        <f t="shared" si="306"/>
        <v>Peru Chef 09/11/2025</v>
      </c>
      <c r="Z1409">
        <f t="shared" si="307"/>
        <v>44</v>
      </c>
    </row>
    <row r="1410" spans="1:27" hidden="1" x14ac:dyDescent="0.25">
      <c r="A1410" s="2" t="s">
        <v>272</v>
      </c>
      <c r="B1410" s="11" t="s">
        <v>512</v>
      </c>
      <c r="C1410" s="11" t="s">
        <v>4</v>
      </c>
      <c r="D1410" s="11" t="s">
        <v>513</v>
      </c>
      <c r="E1410" s="11" t="s">
        <v>557</v>
      </c>
      <c r="F1410" s="11" t="s">
        <v>558</v>
      </c>
      <c r="G1410" s="12">
        <v>1</v>
      </c>
      <c r="H1410" s="12">
        <v>22</v>
      </c>
      <c r="I1410" s="12">
        <v>22</v>
      </c>
      <c r="J1410" s="12">
        <v>19145.5</v>
      </c>
      <c r="K1410" s="20">
        <f t="shared" si="294"/>
        <v>2</v>
      </c>
      <c r="L1410" s="20" t="str">
        <f t="shared" si="295"/>
        <v>Se repite 2 veces</v>
      </c>
      <c r="M1410" s="20" t="str">
        <f t="shared" si="296"/>
        <v>Peru Chef-Wasska Base Pisco Sour Mango Con Camucamu 125gr x 9</v>
      </c>
      <c r="N1410" s="20">
        <f t="shared" si="297"/>
        <v>2</v>
      </c>
      <c r="O1410" s="20" t="str">
        <f t="shared" si="298"/>
        <v>Se repite 2 veces en Peru Chef</v>
      </c>
      <c r="P1410" s="20" t="str">
        <f t="shared" si="299"/>
        <v>Peru Chef-Wasska Base Pisco Sour Mango Con Camucamu 125gr x 9-22</v>
      </c>
      <c r="Q1410" s="20">
        <f t="shared" si="300"/>
        <v>2</v>
      </c>
      <c r="R1410" s="20" t="str">
        <f t="shared" si="301"/>
        <v>Se repite 2 veces el precio de 22</v>
      </c>
      <c r="S1410" s="20" t="str">
        <f t="shared" si="302"/>
        <v>El producto Wasska Base Pisco Sour Mango Con Camucamu 125gr x 9 Se repite 2 veces en Peru Chef, Se repite 2 veces el precio de 22</v>
      </c>
      <c r="T1410" s="20" t="str">
        <f t="shared" si="303"/>
        <v>Peru Chef</v>
      </c>
      <c r="U1410" s="20" t="str">
        <f t="shared" si="304"/>
        <v>Wasska Base Pisco Sour Mango Con Camucamu 125gr x 9</v>
      </c>
      <c r="V1410" s="22">
        <f t="shared" si="305"/>
        <v>22</v>
      </c>
      <c r="W1410" t="str">
        <f t="shared" si="306"/>
        <v>Peru Chef 08/28/2025</v>
      </c>
      <c r="Z1410">
        <f t="shared" si="307"/>
        <v>22</v>
      </c>
    </row>
    <row r="1411" spans="1:27" hidden="1" x14ac:dyDescent="0.25">
      <c r="A1411" s="2" t="s">
        <v>272</v>
      </c>
      <c r="B1411" s="11" t="s">
        <v>572</v>
      </c>
      <c r="C1411" s="11" t="s">
        <v>4</v>
      </c>
      <c r="D1411" s="11" t="s">
        <v>573</v>
      </c>
      <c r="E1411" s="11" t="s">
        <v>557</v>
      </c>
      <c r="F1411" s="11" t="s">
        <v>558</v>
      </c>
      <c r="G1411" s="12">
        <v>4</v>
      </c>
      <c r="H1411" s="12">
        <v>22</v>
      </c>
      <c r="I1411" s="12">
        <v>88</v>
      </c>
      <c r="J1411" s="12">
        <v>29717.5</v>
      </c>
      <c r="K1411" s="20">
        <f t="shared" ref="K1411:K1438" si="308">COUNTIF($E$2:$E$1438,E1411)</f>
        <v>2</v>
      </c>
      <c r="L1411" s="20" t="str">
        <f t="shared" ref="L1411:L1438" si="309">IF(K1411&gt;1,_xlfn.CONCAT("Se repite ",K1411," veces"),"No se repite")</f>
        <v>Se repite 2 veces</v>
      </c>
      <c r="M1411" s="20" t="str">
        <f t="shared" ref="M1411:M1438" si="310">_xlfn.CONCAT(A1411,"-",E1411)</f>
        <v>Peru Chef-Wasska Base Pisco Sour Mango Con Camucamu 125gr x 9</v>
      </c>
      <c r="N1411" s="20">
        <f t="shared" ref="N1411:N1438" si="311">COUNTIF($M$2:$M$1438,M1411)</f>
        <v>2</v>
      </c>
      <c r="O1411" s="20" t="str">
        <f t="shared" ref="O1411:O1438" si="312">IF(N1411&gt;1,_xlfn.CONCAT("Se repite ",N1411," veces en ",A1411),"No se repite en proveedor")</f>
        <v>Se repite 2 veces en Peru Chef</v>
      </c>
      <c r="P1411" s="20" t="str">
        <f t="shared" ref="P1411:P1438" si="313">_xlfn.CONCAT(A1411,"-",E1411,"-",H1411)</f>
        <v>Peru Chef-Wasska Base Pisco Sour Mango Con Camucamu 125gr x 9-22</v>
      </c>
      <c r="Q1411" s="20">
        <f t="shared" ref="Q1411:Q1438" si="314">COUNTIF($P$2:$P$1438,P1411)</f>
        <v>2</v>
      </c>
      <c r="R1411" s="20" t="str">
        <f t="shared" ref="R1411:R1438" si="315">IF(Q1411&gt;1,_xlfn.CONCAT("Se repite ",Q1411," veces el precio de ",H1411),"No se repite")</f>
        <v>Se repite 2 veces el precio de 22</v>
      </c>
      <c r="S1411" s="20" t="str">
        <f t="shared" ref="S1411:S1438" si="316">_xlfn.CONCAT("El producto ",E1411," ",O1411,IF(R1411="No se repite",_xlfn.CONCAT(" Una vez con el precio ",H1411),_xlfn.CONCAT(", ",R1411)))</f>
        <v>El producto Wasska Base Pisco Sour Mango Con Camucamu 125gr x 9 Se repite 2 veces en Peru Chef, Se repite 2 veces el precio de 22</v>
      </c>
      <c r="T1411" s="20" t="str">
        <f t="shared" ref="T1411:T1438" si="317">+A1411</f>
        <v>Peru Chef</v>
      </c>
      <c r="U1411" s="20" t="str">
        <f t="shared" ref="U1411:U1438" si="318">+E1411</f>
        <v>Wasska Base Pisco Sour Mango Con Camucamu 125gr x 9</v>
      </c>
      <c r="V1411" s="22">
        <f t="shared" ref="V1411:V1438" si="319">+H1411</f>
        <v>22</v>
      </c>
      <c r="W1411" t="str">
        <f t="shared" ref="W1411:W1438" si="320">_xlfn.CONCAT(A1411," ",B1411)</f>
        <v>Peru Chef 10/09/2025</v>
      </c>
      <c r="Z1411">
        <f t="shared" ref="Z1411:Z1438" si="321">G1411*H1411</f>
        <v>88</v>
      </c>
    </row>
    <row r="1412" spans="1:27" hidden="1" x14ac:dyDescent="0.25">
      <c r="A1412" s="2" t="s">
        <v>272</v>
      </c>
      <c r="B1412" s="11" t="s">
        <v>512</v>
      </c>
      <c r="C1412" s="11" t="s">
        <v>4</v>
      </c>
      <c r="D1412" s="11" t="s">
        <v>513</v>
      </c>
      <c r="E1412" s="11" t="s">
        <v>555</v>
      </c>
      <c r="F1412" s="11" t="s">
        <v>556</v>
      </c>
      <c r="G1412" s="12">
        <v>2</v>
      </c>
      <c r="H1412" s="12">
        <v>22</v>
      </c>
      <c r="I1412" s="12">
        <v>44</v>
      </c>
      <c r="J1412" s="12">
        <v>19123.5</v>
      </c>
      <c r="K1412" s="20">
        <f t="shared" si="308"/>
        <v>2</v>
      </c>
      <c r="L1412" s="20" t="str">
        <f t="shared" si="309"/>
        <v>Se repite 2 veces</v>
      </c>
      <c r="M1412" s="20" t="str">
        <f t="shared" si="310"/>
        <v>Peru Chef-Wasska Base Pisco Sour Maracuya 125gr x 9</v>
      </c>
      <c r="N1412" s="20">
        <f t="shared" si="311"/>
        <v>2</v>
      </c>
      <c r="O1412" s="20" t="str">
        <f t="shared" si="312"/>
        <v>Se repite 2 veces en Peru Chef</v>
      </c>
      <c r="P1412" s="20" t="str">
        <f t="shared" si="313"/>
        <v>Peru Chef-Wasska Base Pisco Sour Maracuya 125gr x 9-22</v>
      </c>
      <c r="Q1412" s="20">
        <f t="shared" si="314"/>
        <v>1</v>
      </c>
      <c r="R1412" s="20" t="str">
        <f t="shared" si="315"/>
        <v>No se repite</v>
      </c>
      <c r="S1412" s="20" t="str">
        <f t="shared" si="316"/>
        <v>El producto Wasska Base Pisco Sour Maracuya 125gr x 9 Se repite 2 veces en Peru Chef Una vez con el precio 22</v>
      </c>
      <c r="T1412" s="20" t="str">
        <f t="shared" si="317"/>
        <v>Peru Chef</v>
      </c>
      <c r="U1412" s="20" t="str">
        <f t="shared" si="318"/>
        <v>Wasska Base Pisco Sour Maracuya 125gr x 9</v>
      </c>
      <c r="V1412" s="22">
        <f t="shared" si="319"/>
        <v>22</v>
      </c>
      <c r="W1412" t="str">
        <f t="shared" si="320"/>
        <v>Peru Chef 08/28/2025</v>
      </c>
      <c r="Z1412">
        <f t="shared" si="321"/>
        <v>44</v>
      </c>
    </row>
    <row r="1413" spans="1:27" hidden="1" x14ac:dyDescent="0.25">
      <c r="A1413" s="2" t="s">
        <v>272</v>
      </c>
      <c r="B1413" s="11" t="s">
        <v>590</v>
      </c>
      <c r="C1413" s="11" t="s">
        <v>4</v>
      </c>
      <c r="D1413" s="11" t="s">
        <v>591</v>
      </c>
      <c r="E1413" s="11" t="s">
        <v>555</v>
      </c>
      <c r="F1413" s="11" t="s">
        <v>599</v>
      </c>
      <c r="G1413" s="12">
        <v>2</v>
      </c>
      <c r="H1413" s="12">
        <v>19.8</v>
      </c>
      <c r="I1413" s="12">
        <v>39.6</v>
      </c>
      <c r="J1413" s="12">
        <v>32065.599999999999</v>
      </c>
      <c r="K1413" s="20">
        <f t="shared" si="308"/>
        <v>2</v>
      </c>
      <c r="L1413" s="20" t="str">
        <f t="shared" si="309"/>
        <v>Se repite 2 veces</v>
      </c>
      <c r="M1413" s="20" t="str">
        <f t="shared" si="310"/>
        <v>Peru Chef-Wasska Base Pisco Sour Maracuya 125gr x 9</v>
      </c>
      <c r="N1413" s="20">
        <f t="shared" si="311"/>
        <v>2</v>
      </c>
      <c r="O1413" s="20" t="str">
        <f t="shared" si="312"/>
        <v>Se repite 2 veces en Peru Chef</v>
      </c>
      <c r="P1413" s="20" t="str">
        <f t="shared" si="313"/>
        <v>Peru Chef-Wasska Base Pisco Sour Maracuya 125gr x 9-19.8</v>
      </c>
      <c r="Q1413" s="20">
        <f t="shared" si="314"/>
        <v>1</v>
      </c>
      <c r="R1413" s="20" t="str">
        <f t="shared" si="315"/>
        <v>No se repite</v>
      </c>
      <c r="S1413" s="20" t="str">
        <f t="shared" si="316"/>
        <v>El producto Wasska Base Pisco Sour Maracuya 125gr x 9 Se repite 2 veces en Peru Chef Una vez con el precio 19.8</v>
      </c>
      <c r="T1413" s="20" t="str">
        <f t="shared" si="317"/>
        <v>Peru Chef</v>
      </c>
      <c r="U1413" s="20" t="str">
        <f t="shared" si="318"/>
        <v>Wasska Base Pisco Sour Maracuya 125gr x 9</v>
      </c>
      <c r="V1413" s="22">
        <f t="shared" si="319"/>
        <v>19.8</v>
      </c>
      <c r="W1413" t="str">
        <f t="shared" si="320"/>
        <v>Peru Chef 10/28/2025</v>
      </c>
      <c r="Z1413">
        <f t="shared" si="321"/>
        <v>39.6</v>
      </c>
    </row>
    <row r="1414" spans="1:27" hidden="1" x14ac:dyDescent="0.25">
      <c r="A1414" s="2" t="s">
        <v>18</v>
      </c>
      <c r="B1414" s="11" t="s">
        <v>19</v>
      </c>
      <c r="C1414" s="11" t="s">
        <v>4</v>
      </c>
      <c r="D1414" s="11" t="s">
        <v>20</v>
      </c>
      <c r="E1414" s="11" t="s">
        <v>76</v>
      </c>
      <c r="F1414" s="11" t="s">
        <v>77</v>
      </c>
      <c r="G1414" s="12">
        <v>1</v>
      </c>
      <c r="H1414" s="12">
        <v>40</v>
      </c>
      <c r="I1414" s="12">
        <v>40</v>
      </c>
      <c r="J1414" s="12">
        <v>3770.7000000000003</v>
      </c>
      <c r="K1414" s="20">
        <f t="shared" si="308"/>
        <v>2</v>
      </c>
      <c r="L1414" s="20" t="str">
        <f t="shared" si="309"/>
        <v>Se repite 2 veces</v>
      </c>
      <c r="M1414" s="20" t="str">
        <f t="shared" si="310"/>
        <v>Belmont International Trading Corp-Winter Ole Ole x 60 x 15</v>
      </c>
      <c r="N1414" s="20">
        <f t="shared" si="311"/>
        <v>2</v>
      </c>
      <c r="O1414" s="20" t="str">
        <f t="shared" si="312"/>
        <v>Se repite 2 veces en Belmont International Trading Corp</v>
      </c>
      <c r="P1414" s="20" t="str">
        <f t="shared" si="313"/>
        <v>Belmont International Trading Corp-Winter Ole Ole x 60 x 15-40</v>
      </c>
      <c r="Q1414" s="20">
        <f t="shared" si="314"/>
        <v>1</v>
      </c>
      <c r="R1414" s="20" t="str">
        <f t="shared" si="315"/>
        <v>No se repite</v>
      </c>
      <c r="S1414" s="20" t="str">
        <f t="shared" si="316"/>
        <v>El producto Winter Ole Ole x 60 x 15 Se repite 2 veces en Belmont International Trading Corp Una vez con el precio 40</v>
      </c>
      <c r="T1414" s="20" t="str">
        <f t="shared" si="317"/>
        <v>Belmont International Trading Corp</v>
      </c>
      <c r="U1414" s="20" t="str">
        <f t="shared" si="318"/>
        <v>Winter Ole Ole x 60 x 15</v>
      </c>
      <c r="V1414" s="22">
        <f t="shared" si="319"/>
        <v>40</v>
      </c>
      <c r="W1414" t="str">
        <f t="shared" si="320"/>
        <v>Belmont International Trading Corp 04/28/2025</v>
      </c>
      <c r="Z1414">
        <f t="shared" si="321"/>
        <v>40</v>
      </c>
    </row>
    <row r="1415" spans="1:27" hidden="1" x14ac:dyDescent="0.25">
      <c r="A1415" s="2" t="s">
        <v>18</v>
      </c>
      <c r="B1415" s="11" t="s">
        <v>158</v>
      </c>
      <c r="C1415" s="11" t="s">
        <v>4</v>
      </c>
      <c r="D1415" s="11" t="s">
        <v>159</v>
      </c>
      <c r="E1415" s="11" t="s">
        <v>76</v>
      </c>
      <c r="F1415" s="11" t="s">
        <v>77</v>
      </c>
      <c r="G1415" s="12">
        <v>6</v>
      </c>
      <c r="H1415" s="12">
        <v>44</v>
      </c>
      <c r="I1415" s="12">
        <v>264</v>
      </c>
      <c r="J1415" s="12">
        <v>14542.64</v>
      </c>
      <c r="K1415" s="20">
        <f t="shared" si="308"/>
        <v>2</v>
      </c>
      <c r="L1415" s="20" t="str">
        <f t="shared" si="309"/>
        <v>Se repite 2 veces</v>
      </c>
      <c r="M1415" s="20" t="str">
        <f t="shared" si="310"/>
        <v>Belmont International Trading Corp-Winter Ole Ole x 60 x 15</v>
      </c>
      <c r="N1415" s="20">
        <f t="shared" si="311"/>
        <v>2</v>
      </c>
      <c r="O1415" s="20" t="str">
        <f t="shared" si="312"/>
        <v>Se repite 2 veces en Belmont International Trading Corp</v>
      </c>
      <c r="P1415" s="20" t="str">
        <f t="shared" si="313"/>
        <v>Belmont International Trading Corp-Winter Ole Ole x 60 x 15-44</v>
      </c>
      <c r="Q1415" s="20">
        <f t="shared" si="314"/>
        <v>1</v>
      </c>
      <c r="R1415" s="20" t="str">
        <f t="shared" si="315"/>
        <v>No se repite</v>
      </c>
      <c r="S1415" s="20" t="str">
        <f t="shared" si="316"/>
        <v>El producto Winter Ole Ole x 60 x 15 Se repite 2 veces en Belmont International Trading Corp Una vez con el precio 44</v>
      </c>
      <c r="T1415" s="20" t="str">
        <f t="shared" si="317"/>
        <v>Belmont International Trading Corp</v>
      </c>
      <c r="U1415" s="20" t="str">
        <f t="shared" si="318"/>
        <v>Winter Ole Ole x 60 x 15</v>
      </c>
      <c r="V1415" s="22">
        <f t="shared" si="319"/>
        <v>44</v>
      </c>
      <c r="W1415" t="str">
        <f t="shared" si="320"/>
        <v>Belmont International Trading Corp 06/12/2025</v>
      </c>
      <c r="Y1415" s="27"/>
      <c r="Z1415">
        <f t="shared" si="321"/>
        <v>264</v>
      </c>
      <c r="AA1415" s="27"/>
    </row>
    <row r="1416" spans="1:27" hidden="1" x14ac:dyDescent="0.25">
      <c r="A1416" s="2" t="s">
        <v>272</v>
      </c>
      <c r="B1416" s="11" t="s">
        <v>273</v>
      </c>
      <c r="C1416" s="11" t="s">
        <v>4</v>
      </c>
      <c r="D1416" s="11" t="s">
        <v>5</v>
      </c>
      <c r="E1416" s="11" t="s">
        <v>368</v>
      </c>
      <c r="F1416" s="11" t="s">
        <v>369</v>
      </c>
      <c r="G1416" s="12">
        <v>1</v>
      </c>
      <c r="H1416" s="12">
        <v>38</v>
      </c>
      <c r="I1416" s="12">
        <v>38</v>
      </c>
      <c r="J1416" s="12">
        <v>1568.1999999999998</v>
      </c>
      <c r="K1416" s="20">
        <f t="shared" si="308"/>
        <v>3</v>
      </c>
      <c r="L1416" s="20" t="str">
        <f t="shared" si="309"/>
        <v>Se repite 3 veces</v>
      </c>
      <c r="M1416" s="20" t="str">
        <f t="shared" si="310"/>
        <v>Peru Chef-Winters Ole Ole 225 gr x 50 x 15</v>
      </c>
      <c r="N1416" s="20">
        <f t="shared" si="311"/>
        <v>3</v>
      </c>
      <c r="O1416" s="20" t="str">
        <f t="shared" si="312"/>
        <v>Se repite 3 veces en Peru Chef</v>
      </c>
      <c r="P1416" s="20" t="str">
        <f t="shared" si="313"/>
        <v>Peru Chef-Winters Ole Ole 225 gr x 50 x 15-38</v>
      </c>
      <c r="Q1416" s="20">
        <f t="shared" si="314"/>
        <v>1</v>
      </c>
      <c r="R1416" s="20" t="str">
        <f t="shared" si="315"/>
        <v>No se repite</v>
      </c>
      <c r="S1416" s="20" t="str">
        <f t="shared" si="316"/>
        <v>El producto Winters Ole Ole 225 gr x 50 x 15 Se repite 3 veces en Peru Chef Una vez con el precio 38</v>
      </c>
      <c r="T1416" s="20" t="str">
        <f t="shared" si="317"/>
        <v>Peru Chef</v>
      </c>
      <c r="U1416" s="20" t="str">
        <f t="shared" si="318"/>
        <v>Winters Ole Ole 225 gr x 50 x 15</v>
      </c>
      <c r="V1416" s="22">
        <f t="shared" si="319"/>
        <v>38</v>
      </c>
      <c r="W1416" t="str">
        <f t="shared" si="320"/>
        <v>Peru Chef 03/26/2025</v>
      </c>
      <c r="Z1416">
        <f t="shared" si="321"/>
        <v>38</v>
      </c>
    </row>
    <row r="1417" spans="1:27" hidden="1" x14ac:dyDescent="0.25">
      <c r="A1417" s="2" t="s">
        <v>272</v>
      </c>
      <c r="B1417" s="11" t="s">
        <v>572</v>
      </c>
      <c r="C1417" s="11" t="s">
        <v>4</v>
      </c>
      <c r="D1417" s="11" t="s">
        <v>573</v>
      </c>
      <c r="E1417" s="11" t="s">
        <v>368</v>
      </c>
      <c r="F1417" s="11" t="s">
        <v>586</v>
      </c>
      <c r="G1417" s="12">
        <v>8</v>
      </c>
      <c r="H1417" s="12">
        <v>41</v>
      </c>
      <c r="I1417" s="12">
        <v>328</v>
      </c>
      <c r="J1417" s="12">
        <v>28369.5</v>
      </c>
      <c r="K1417" s="20">
        <f t="shared" si="308"/>
        <v>3</v>
      </c>
      <c r="L1417" s="20" t="str">
        <f t="shared" si="309"/>
        <v>Se repite 3 veces</v>
      </c>
      <c r="M1417" s="20" t="str">
        <f t="shared" si="310"/>
        <v>Peru Chef-Winters Ole Ole 225 gr x 50 x 15</v>
      </c>
      <c r="N1417" s="20">
        <f t="shared" si="311"/>
        <v>3</v>
      </c>
      <c r="O1417" s="20" t="str">
        <f t="shared" si="312"/>
        <v>Se repite 3 veces en Peru Chef</v>
      </c>
      <c r="P1417" s="20" t="str">
        <f t="shared" si="313"/>
        <v>Peru Chef-Winters Ole Ole 225 gr x 50 x 15-41</v>
      </c>
      <c r="Q1417" s="20">
        <f t="shared" si="314"/>
        <v>1</v>
      </c>
      <c r="R1417" s="20" t="str">
        <f t="shared" si="315"/>
        <v>No se repite</v>
      </c>
      <c r="S1417" s="20" t="str">
        <f t="shared" si="316"/>
        <v>El producto Winters Ole Ole 225 gr x 50 x 15 Se repite 3 veces en Peru Chef Una vez con el precio 41</v>
      </c>
      <c r="T1417" s="20" t="str">
        <f t="shared" si="317"/>
        <v>Peru Chef</v>
      </c>
      <c r="U1417" s="20" t="str">
        <f t="shared" si="318"/>
        <v>Winters Ole Ole 225 gr x 50 x 15</v>
      </c>
      <c r="V1417" s="22">
        <f t="shared" si="319"/>
        <v>41</v>
      </c>
      <c r="W1417" t="str">
        <f t="shared" si="320"/>
        <v>Peru Chef 10/09/2025</v>
      </c>
      <c r="Z1417">
        <f t="shared" si="321"/>
        <v>328</v>
      </c>
    </row>
    <row r="1418" spans="1:27" hidden="1" x14ac:dyDescent="0.25">
      <c r="A1418" s="2" t="s">
        <v>272</v>
      </c>
      <c r="B1418" s="11" t="s">
        <v>619</v>
      </c>
      <c r="C1418" s="11" t="s">
        <v>4</v>
      </c>
      <c r="D1418" s="11" t="s">
        <v>621</v>
      </c>
      <c r="E1418" s="11" t="s">
        <v>368</v>
      </c>
      <c r="F1418" s="11" t="s">
        <v>586</v>
      </c>
      <c r="G1418" s="12">
        <v>8</v>
      </c>
      <c r="H1418" s="12">
        <v>36.9</v>
      </c>
      <c r="I1418" s="12">
        <v>295.2</v>
      </c>
      <c r="J1418" s="12">
        <v>39993.25</v>
      </c>
      <c r="K1418" s="20">
        <f t="shared" si="308"/>
        <v>3</v>
      </c>
      <c r="L1418" s="20" t="str">
        <f t="shared" si="309"/>
        <v>Se repite 3 veces</v>
      </c>
      <c r="M1418" s="20" t="str">
        <f t="shared" si="310"/>
        <v>Peru Chef-Winters Ole Ole 225 gr x 50 x 15</v>
      </c>
      <c r="N1418" s="20">
        <f t="shared" si="311"/>
        <v>3</v>
      </c>
      <c r="O1418" s="20" t="str">
        <f t="shared" si="312"/>
        <v>Se repite 3 veces en Peru Chef</v>
      </c>
      <c r="P1418" s="20" t="str">
        <f t="shared" si="313"/>
        <v>Peru Chef-Winters Ole Ole 225 gr x 50 x 15-36.9</v>
      </c>
      <c r="Q1418" s="20">
        <f t="shared" si="314"/>
        <v>1</v>
      </c>
      <c r="R1418" s="20" t="str">
        <f t="shared" si="315"/>
        <v>No se repite</v>
      </c>
      <c r="S1418" s="20" t="str">
        <f t="shared" si="316"/>
        <v>El producto Winters Ole Ole 225 gr x 50 x 15 Se repite 3 veces en Peru Chef Una vez con el precio 36.9</v>
      </c>
      <c r="T1418" s="20" t="str">
        <f t="shared" si="317"/>
        <v>Peru Chef</v>
      </c>
      <c r="U1418" s="20" t="str">
        <f t="shared" si="318"/>
        <v>Winters Ole Ole 225 gr x 50 x 15</v>
      </c>
      <c r="V1418" s="22">
        <f t="shared" si="319"/>
        <v>36.9</v>
      </c>
      <c r="W1418" t="str">
        <f t="shared" si="320"/>
        <v>Peru Chef 12/09/2025</v>
      </c>
      <c r="Z1418">
        <f t="shared" si="321"/>
        <v>295.2</v>
      </c>
    </row>
    <row r="1419" spans="1:27" hidden="1" x14ac:dyDescent="0.25">
      <c r="A1419" s="2" t="s">
        <v>272</v>
      </c>
      <c r="B1419" s="11" t="s">
        <v>559</v>
      </c>
      <c r="C1419" s="11" t="s">
        <v>4</v>
      </c>
      <c r="D1419" s="11" t="s">
        <v>560</v>
      </c>
      <c r="E1419" s="11" t="s">
        <v>561</v>
      </c>
      <c r="F1419" s="11" t="s">
        <v>562</v>
      </c>
      <c r="G1419" s="12">
        <v>5</v>
      </c>
      <c r="H1419" s="12">
        <v>38</v>
      </c>
      <c r="I1419" s="12">
        <v>190</v>
      </c>
      <c r="J1419" s="12">
        <v>19369.5</v>
      </c>
      <c r="K1419" s="20">
        <f t="shared" si="308"/>
        <v>7</v>
      </c>
      <c r="L1419" s="20" t="str">
        <f t="shared" si="309"/>
        <v>Se repite 7 veces</v>
      </c>
      <c r="M1419" s="20" t="str">
        <f t="shared" si="310"/>
        <v>Peru Chef-WINTER'S Paneton 900gr x 6</v>
      </c>
      <c r="N1419" s="20">
        <f t="shared" si="311"/>
        <v>1</v>
      </c>
      <c r="O1419" s="20" t="str">
        <f t="shared" si="312"/>
        <v>No se repite en proveedor</v>
      </c>
      <c r="P1419" s="20" t="str">
        <f t="shared" si="313"/>
        <v>Peru Chef-WINTER'S Paneton 900gr x 6-38</v>
      </c>
      <c r="Q1419" s="20">
        <f t="shared" si="314"/>
        <v>1</v>
      </c>
      <c r="R1419" s="20" t="str">
        <f t="shared" si="315"/>
        <v>No se repite</v>
      </c>
      <c r="S1419" s="20" t="str">
        <f t="shared" si="316"/>
        <v>El producto WINTER'S Paneton 900gr x 6 No se repite en proveedor Una vez con el precio 38</v>
      </c>
      <c r="T1419" s="20" t="str">
        <f t="shared" si="317"/>
        <v>Peru Chef</v>
      </c>
      <c r="U1419" s="20" t="str">
        <f t="shared" si="318"/>
        <v>WINTER'S Paneton 900gr x 6</v>
      </c>
      <c r="V1419" s="22">
        <f t="shared" si="319"/>
        <v>38</v>
      </c>
      <c r="W1419" t="str">
        <f t="shared" si="320"/>
        <v>Peru Chef 08/29/2025</v>
      </c>
      <c r="Z1419">
        <f t="shared" si="321"/>
        <v>190</v>
      </c>
    </row>
    <row r="1420" spans="1:27" hidden="1" x14ac:dyDescent="0.25">
      <c r="A1420" s="2" t="s">
        <v>664</v>
      </c>
      <c r="B1420" s="11" t="s">
        <v>821</v>
      </c>
      <c r="C1420" s="11" t="s">
        <v>4</v>
      </c>
      <c r="D1420" s="11" t="s">
        <v>822</v>
      </c>
      <c r="E1420" s="11" t="s">
        <v>561</v>
      </c>
      <c r="F1420" s="11" t="s">
        <v>901</v>
      </c>
      <c r="G1420" s="12">
        <v>3</v>
      </c>
      <c r="H1420" s="12">
        <v>35.94</v>
      </c>
      <c r="I1420" s="12">
        <v>107.82</v>
      </c>
      <c r="J1420" s="12">
        <v>18510.48</v>
      </c>
      <c r="K1420" s="20">
        <f t="shared" si="308"/>
        <v>7</v>
      </c>
      <c r="L1420" s="20" t="str">
        <f t="shared" si="309"/>
        <v>Se repite 7 veces</v>
      </c>
      <c r="M1420" s="20" t="str">
        <f t="shared" si="310"/>
        <v>Tradiciones Andinas-WINTER'S Paneton 900gr x 6</v>
      </c>
      <c r="N1420" s="20">
        <f t="shared" si="311"/>
        <v>6</v>
      </c>
      <c r="O1420" s="20" t="str">
        <f t="shared" si="312"/>
        <v>Se repite 6 veces en Tradiciones Andinas</v>
      </c>
      <c r="P1420" s="20" t="str">
        <f t="shared" si="313"/>
        <v>Tradiciones Andinas-WINTER'S Paneton 900gr x 6-35.94</v>
      </c>
      <c r="Q1420" s="20">
        <f t="shared" si="314"/>
        <v>2</v>
      </c>
      <c r="R1420" s="20" t="str">
        <f t="shared" si="315"/>
        <v>Se repite 2 veces el precio de 35.94</v>
      </c>
      <c r="S1420" s="20" t="str">
        <f t="shared" si="316"/>
        <v>El producto WINTER'S Paneton 900gr x 6 Se repite 6 veces en Tradiciones Andinas, Se repite 2 veces el precio de 35.94</v>
      </c>
      <c r="T1420" s="20" t="str">
        <f t="shared" si="317"/>
        <v>Tradiciones Andinas</v>
      </c>
      <c r="U1420" s="20" t="str">
        <f t="shared" si="318"/>
        <v>WINTER'S Paneton 900gr x 6</v>
      </c>
      <c r="V1420" s="22">
        <f t="shared" si="319"/>
        <v>35.94</v>
      </c>
      <c r="W1420" t="str">
        <f t="shared" si="320"/>
        <v>Tradiciones Andinas 04/25/2025</v>
      </c>
      <c r="Z1420">
        <f t="shared" si="321"/>
        <v>107.82</v>
      </c>
    </row>
    <row r="1421" spans="1:27" hidden="1" x14ac:dyDescent="0.25">
      <c r="A1421" s="2" t="s">
        <v>664</v>
      </c>
      <c r="B1421" s="11" t="s">
        <v>158</v>
      </c>
      <c r="C1421" s="11" t="s">
        <v>4</v>
      </c>
      <c r="D1421" s="11" t="s">
        <v>984</v>
      </c>
      <c r="E1421" s="11" t="s">
        <v>561</v>
      </c>
      <c r="F1421" s="11" t="s">
        <v>562</v>
      </c>
      <c r="G1421" s="12">
        <v>5</v>
      </c>
      <c r="H1421" s="12">
        <v>36</v>
      </c>
      <c r="I1421" s="12">
        <v>180</v>
      </c>
      <c r="J1421" s="12">
        <v>40685.099999999991</v>
      </c>
      <c r="K1421" s="20">
        <f t="shared" si="308"/>
        <v>7</v>
      </c>
      <c r="L1421" s="20" t="str">
        <f t="shared" si="309"/>
        <v>Se repite 7 veces</v>
      </c>
      <c r="M1421" s="20" t="str">
        <f t="shared" si="310"/>
        <v>Tradiciones Andinas-WINTER'S Paneton 900gr x 6</v>
      </c>
      <c r="N1421" s="20">
        <f t="shared" si="311"/>
        <v>6</v>
      </c>
      <c r="O1421" s="20" t="str">
        <f t="shared" si="312"/>
        <v>Se repite 6 veces en Tradiciones Andinas</v>
      </c>
      <c r="P1421" s="20" t="str">
        <f t="shared" si="313"/>
        <v>Tradiciones Andinas-WINTER'S Paneton 900gr x 6-36</v>
      </c>
      <c r="Q1421" s="20">
        <f t="shared" si="314"/>
        <v>1</v>
      </c>
      <c r="R1421" s="20" t="str">
        <f t="shared" si="315"/>
        <v>No se repite</v>
      </c>
      <c r="S1421" s="20" t="str">
        <f t="shared" si="316"/>
        <v>El producto WINTER'S Paneton 900gr x 6 Se repite 6 veces en Tradiciones Andinas Una vez con el precio 36</v>
      </c>
      <c r="T1421" s="20" t="str">
        <f t="shared" si="317"/>
        <v>Tradiciones Andinas</v>
      </c>
      <c r="U1421" s="20" t="str">
        <f t="shared" si="318"/>
        <v>WINTER'S Paneton 900gr x 6</v>
      </c>
      <c r="V1421" s="22">
        <f t="shared" si="319"/>
        <v>36</v>
      </c>
      <c r="W1421" t="str">
        <f t="shared" si="320"/>
        <v>Tradiciones Andinas 06/12/2025</v>
      </c>
      <c r="Z1421">
        <f t="shared" si="321"/>
        <v>180</v>
      </c>
    </row>
    <row r="1422" spans="1:27" hidden="1" x14ac:dyDescent="0.25">
      <c r="A1422" s="2" t="s">
        <v>664</v>
      </c>
      <c r="B1422" s="11" t="s">
        <v>1029</v>
      </c>
      <c r="C1422" s="11" t="s">
        <v>4</v>
      </c>
      <c r="D1422" s="11" t="s">
        <v>1030</v>
      </c>
      <c r="E1422" s="11" t="s">
        <v>561</v>
      </c>
      <c r="F1422" s="11" t="s">
        <v>562</v>
      </c>
      <c r="G1422" s="12">
        <v>10</v>
      </c>
      <c r="H1422" s="12">
        <v>35.94</v>
      </c>
      <c r="I1422" s="12">
        <v>359.4</v>
      </c>
      <c r="J1422" s="12">
        <v>44062.86</v>
      </c>
      <c r="K1422" s="20">
        <f t="shared" si="308"/>
        <v>7</v>
      </c>
      <c r="L1422" s="20" t="str">
        <f t="shared" si="309"/>
        <v>Se repite 7 veces</v>
      </c>
      <c r="M1422" s="20" t="str">
        <f t="shared" si="310"/>
        <v>Tradiciones Andinas-WINTER'S Paneton 900gr x 6</v>
      </c>
      <c r="N1422" s="20">
        <f t="shared" si="311"/>
        <v>6</v>
      </c>
      <c r="O1422" s="20" t="str">
        <f t="shared" si="312"/>
        <v>Se repite 6 veces en Tradiciones Andinas</v>
      </c>
      <c r="P1422" s="20" t="str">
        <f t="shared" si="313"/>
        <v>Tradiciones Andinas-WINTER'S Paneton 900gr x 6-35.94</v>
      </c>
      <c r="Q1422" s="20">
        <f t="shared" si="314"/>
        <v>2</v>
      </c>
      <c r="R1422" s="20" t="str">
        <f t="shared" si="315"/>
        <v>Se repite 2 veces el precio de 35.94</v>
      </c>
      <c r="S1422" s="20" t="str">
        <f t="shared" si="316"/>
        <v>El producto WINTER'S Paneton 900gr x 6 Se repite 6 veces en Tradiciones Andinas, Se repite 2 veces el precio de 35.94</v>
      </c>
      <c r="T1422" s="20" t="str">
        <f t="shared" si="317"/>
        <v>Tradiciones Andinas</v>
      </c>
      <c r="U1422" s="20" t="str">
        <f t="shared" si="318"/>
        <v>WINTER'S Paneton 900gr x 6</v>
      </c>
      <c r="V1422" s="22">
        <f t="shared" si="319"/>
        <v>35.94</v>
      </c>
      <c r="W1422" t="str">
        <f t="shared" si="320"/>
        <v>Tradiciones Andinas 06/17/2025</v>
      </c>
      <c r="Z1422">
        <f t="shared" si="321"/>
        <v>359.4</v>
      </c>
    </row>
    <row r="1423" spans="1:27" hidden="1" x14ac:dyDescent="0.25">
      <c r="A1423" s="2" t="s">
        <v>664</v>
      </c>
      <c r="B1423" s="11" t="s">
        <v>224</v>
      </c>
      <c r="C1423" s="11" t="s">
        <v>4</v>
      </c>
      <c r="D1423" s="11" t="s">
        <v>1091</v>
      </c>
      <c r="E1423" s="11" t="s">
        <v>561</v>
      </c>
      <c r="F1423" s="11" t="s">
        <v>562</v>
      </c>
      <c r="G1423" s="12">
        <v>100</v>
      </c>
      <c r="H1423" s="12">
        <v>30</v>
      </c>
      <c r="I1423" s="12">
        <v>3000</v>
      </c>
      <c r="J1423" s="12">
        <v>61448.349999999933</v>
      </c>
      <c r="K1423" s="20">
        <f t="shared" si="308"/>
        <v>7</v>
      </c>
      <c r="L1423" s="20" t="str">
        <f t="shared" si="309"/>
        <v>Se repite 7 veces</v>
      </c>
      <c r="M1423" s="20" t="str">
        <f t="shared" si="310"/>
        <v>Tradiciones Andinas-WINTER'S Paneton 900gr x 6</v>
      </c>
      <c r="N1423" s="20">
        <f t="shared" si="311"/>
        <v>6</v>
      </c>
      <c r="O1423" s="20" t="str">
        <f t="shared" si="312"/>
        <v>Se repite 6 veces en Tradiciones Andinas</v>
      </c>
      <c r="P1423" s="20" t="str">
        <f t="shared" si="313"/>
        <v>Tradiciones Andinas-WINTER'S Paneton 900gr x 6-30</v>
      </c>
      <c r="Q1423" s="20">
        <f t="shared" si="314"/>
        <v>1</v>
      </c>
      <c r="R1423" s="20" t="str">
        <f t="shared" si="315"/>
        <v>No se repite</v>
      </c>
      <c r="S1423" s="20" t="str">
        <f t="shared" si="316"/>
        <v>El producto WINTER'S Paneton 900gr x 6 Se repite 6 veces en Tradiciones Andinas Una vez con el precio 30</v>
      </c>
      <c r="T1423" s="20" t="str">
        <f t="shared" si="317"/>
        <v>Tradiciones Andinas</v>
      </c>
      <c r="U1423" s="20" t="str">
        <f t="shared" si="318"/>
        <v>WINTER'S Paneton 900gr x 6</v>
      </c>
      <c r="V1423" s="22">
        <f t="shared" si="319"/>
        <v>30</v>
      </c>
      <c r="W1423" t="str">
        <f t="shared" si="320"/>
        <v>Tradiciones Andinas 07/08/2025</v>
      </c>
      <c r="Z1423">
        <f t="shared" si="321"/>
        <v>3000</v>
      </c>
    </row>
    <row r="1424" spans="1:27" hidden="1" x14ac:dyDescent="0.25">
      <c r="A1424" s="2" t="s">
        <v>664</v>
      </c>
      <c r="B1424" s="11" t="s">
        <v>1175</v>
      </c>
      <c r="C1424" s="11" t="s">
        <v>4</v>
      </c>
      <c r="D1424" s="11" t="s">
        <v>1176</v>
      </c>
      <c r="E1424" s="11" t="s">
        <v>561</v>
      </c>
      <c r="F1424" s="11" t="s">
        <v>1179</v>
      </c>
      <c r="G1424" s="12">
        <v>100</v>
      </c>
      <c r="H1424" s="12">
        <v>34</v>
      </c>
      <c r="I1424" s="12">
        <v>3400</v>
      </c>
      <c r="J1424" s="12">
        <v>93166.629999999932</v>
      </c>
      <c r="K1424" s="20">
        <f t="shared" si="308"/>
        <v>7</v>
      </c>
      <c r="L1424" s="20" t="str">
        <f t="shared" si="309"/>
        <v>Se repite 7 veces</v>
      </c>
      <c r="M1424" s="20" t="str">
        <f t="shared" si="310"/>
        <v>Tradiciones Andinas-WINTER'S Paneton 900gr x 6</v>
      </c>
      <c r="N1424" s="20">
        <f t="shared" si="311"/>
        <v>6</v>
      </c>
      <c r="O1424" s="20" t="str">
        <f t="shared" si="312"/>
        <v>Se repite 6 veces en Tradiciones Andinas</v>
      </c>
      <c r="P1424" s="20" t="str">
        <f t="shared" si="313"/>
        <v>Tradiciones Andinas-WINTER'S Paneton 900gr x 6-34</v>
      </c>
      <c r="Q1424" s="20">
        <f t="shared" si="314"/>
        <v>2</v>
      </c>
      <c r="R1424" s="20" t="str">
        <f t="shared" si="315"/>
        <v>Se repite 2 veces el precio de 34</v>
      </c>
      <c r="S1424" s="20" t="str">
        <f t="shared" si="316"/>
        <v>El producto WINTER'S Paneton 900gr x 6 Se repite 6 veces en Tradiciones Andinas, Se repite 2 veces el precio de 34</v>
      </c>
      <c r="T1424" s="20" t="str">
        <f t="shared" si="317"/>
        <v>Tradiciones Andinas</v>
      </c>
      <c r="U1424" s="20" t="str">
        <f t="shared" si="318"/>
        <v>WINTER'S Paneton 900gr x 6</v>
      </c>
      <c r="V1424" s="22">
        <f t="shared" si="319"/>
        <v>34</v>
      </c>
      <c r="W1424" t="str">
        <f t="shared" si="320"/>
        <v>Tradiciones Andinas 09/26/2025</v>
      </c>
      <c r="Z1424">
        <f t="shared" si="321"/>
        <v>3400</v>
      </c>
    </row>
    <row r="1425" spans="1:26" hidden="1" x14ac:dyDescent="0.25">
      <c r="A1425" s="2" t="s">
        <v>664</v>
      </c>
      <c r="B1425" s="11" t="s">
        <v>1180</v>
      </c>
      <c r="C1425" s="11" t="s">
        <v>4</v>
      </c>
      <c r="D1425" s="11" t="s">
        <v>1181</v>
      </c>
      <c r="E1425" s="11" t="s">
        <v>561</v>
      </c>
      <c r="F1425" s="11" t="s">
        <v>1179</v>
      </c>
      <c r="G1425" s="12">
        <v>50</v>
      </c>
      <c r="H1425" s="12">
        <v>34</v>
      </c>
      <c r="I1425" s="12">
        <v>1700</v>
      </c>
      <c r="J1425" s="12">
        <v>95260.889999999941</v>
      </c>
      <c r="K1425" s="20">
        <f t="shared" si="308"/>
        <v>7</v>
      </c>
      <c r="L1425" s="20" t="str">
        <f t="shared" si="309"/>
        <v>Se repite 7 veces</v>
      </c>
      <c r="M1425" s="20" t="str">
        <f t="shared" si="310"/>
        <v>Tradiciones Andinas-WINTER'S Paneton 900gr x 6</v>
      </c>
      <c r="N1425" s="20">
        <f t="shared" si="311"/>
        <v>6</v>
      </c>
      <c r="O1425" s="20" t="str">
        <f t="shared" si="312"/>
        <v>Se repite 6 veces en Tradiciones Andinas</v>
      </c>
      <c r="P1425" s="20" t="str">
        <f t="shared" si="313"/>
        <v>Tradiciones Andinas-WINTER'S Paneton 900gr x 6-34</v>
      </c>
      <c r="Q1425" s="20">
        <f t="shared" si="314"/>
        <v>2</v>
      </c>
      <c r="R1425" s="20" t="str">
        <f t="shared" si="315"/>
        <v>Se repite 2 veces el precio de 34</v>
      </c>
      <c r="S1425" s="20" t="str">
        <f t="shared" si="316"/>
        <v>El producto WINTER'S Paneton 900gr x 6 Se repite 6 veces en Tradiciones Andinas, Se repite 2 veces el precio de 34</v>
      </c>
      <c r="T1425" s="20" t="str">
        <f t="shared" si="317"/>
        <v>Tradiciones Andinas</v>
      </c>
      <c r="U1425" s="20" t="str">
        <f t="shared" si="318"/>
        <v>WINTER'S Paneton 900gr x 6</v>
      </c>
      <c r="V1425" s="22">
        <f t="shared" si="319"/>
        <v>34</v>
      </c>
      <c r="W1425" t="str">
        <f t="shared" si="320"/>
        <v>Tradiciones Andinas 10/07/2025</v>
      </c>
      <c r="Z1425">
        <f t="shared" si="321"/>
        <v>1700</v>
      </c>
    </row>
    <row r="1426" spans="1:26" hidden="1" x14ac:dyDescent="0.25">
      <c r="A1426" s="2" t="s">
        <v>18</v>
      </c>
      <c r="B1426" s="11" t="s">
        <v>19</v>
      </c>
      <c r="C1426" s="11" t="s">
        <v>4</v>
      </c>
      <c r="D1426" s="11" t="s">
        <v>20</v>
      </c>
      <c r="E1426" s="11" t="s">
        <v>78</v>
      </c>
      <c r="F1426" s="11" t="s">
        <v>79</v>
      </c>
      <c r="G1426" s="12">
        <v>1</v>
      </c>
      <c r="H1426" s="12">
        <v>60.8</v>
      </c>
      <c r="I1426" s="12">
        <v>60.8</v>
      </c>
      <c r="J1426" s="12">
        <v>3831.5000000000005</v>
      </c>
      <c r="K1426" s="20">
        <f t="shared" si="308"/>
        <v>5</v>
      </c>
      <c r="L1426" s="20" t="str">
        <f t="shared" si="309"/>
        <v>Se repite 5 veces</v>
      </c>
      <c r="M1426" s="20" t="str">
        <f t="shared" si="310"/>
        <v>Belmont International Trading Corp-Winter'S Picaras Chocolate 6 x30</v>
      </c>
      <c r="N1426" s="20">
        <f t="shared" si="311"/>
        <v>2</v>
      </c>
      <c r="O1426" s="20" t="str">
        <f t="shared" si="312"/>
        <v>Se repite 2 veces en Belmont International Trading Corp</v>
      </c>
      <c r="P1426" s="20" t="str">
        <f t="shared" si="313"/>
        <v>Belmont International Trading Corp-Winter'S Picaras Chocolate 6 x30-60.8</v>
      </c>
      <c r="Q1426" s="20">
        <f t="shared" si="314"/>
        <v>1</v>
      </c>
      <c r="R1426" s="20" t="str">
        <f t="shared" si="315"/>
        <v>No se repite</v>
      </c>
      <c r="S1426" s="20" t="str">
        <f t="shared" si="316"/>
        <v>El producto Winter'S Picaras Chocolate 6 x30 Se repite 2 veces en Belmont International Trading Corp Una vez con el precio 60.8</v>
      </c>
      <c r="T1426" s="20" t="str">
        <f t="shared" si="317"/>
        <v>Belmont International Trading Corp</v>
      </c>
      <c r="U1426" s="20" t="str">
        <f t="shared" si="318"/>
        <v>Winter'S Picaras Chocolate 6 x30</v>
      </c>
      <c r="V1426" s="22">
        <f t="shared" si="319"/>
        <v>60.8</v>
      </c>
      <c r="W1426" t="str">
        <f t="shared" si="320"/>
        <v>Belmont International Trading Corp 04/28/2025</v>
      </c>
      <c r="Z1426">
        <f t="shared" si="321"/>
        <v>60.8</v>
      </c>
    </row>
    <row r="1427" spans="1:26" hidden="1" x14ac:dyDescent="0.25">
      <c r="A1427" s="2" t="s">
        <v>18</v>
      </c>
      <c r="B1427" s="11" t="s">
        <v>148</v>
      </c>
      <c r="C1427" s="11" t="s">
        <v>4</v>
      </c>
      <c r="D1427" s="11" t="s">
        <v>149</v>
      </c>
      <c r="E1427" s="11" t="s">
        <v>78</v>
      </c>
      <c r="F1427" s="11" t="s">
        <v>79</v>
      </c>
      <c r="G1427" s="12">
        <v>10</v>
      </c>
      <c r="H1427" s="12">
        <v>66.900000000000006</v>
      </c>
      <c r="I1427" s="12">
        <v>669</v>
      </c>
      <c r="J1427" s="12">
        <v>9817.74</v>
      </c>
      <c r="K1427" s="20">
        <f t="shared" si="308"/>
        <v>5</v>
      </c>
      <c r="L1427" s="20" t="str">
        <f t="shared" si="309"/>
        <v>Se repite 5 veces</v>
      </c>
      <c r="M1427" s="20" t="str">
        <f t="shared" si="310"/>
        <v>Belmont International Trading Corp-Winter'S Picaras Chocolate 6 x30</v>
      </c>
      <c r="N1427" s="20">
        <f t="shared" si="311"/>
        <v>2</v>
      </c>
      <c r="O1427" s="20" t="str">
        <f t="shared" si="312"/>
        <v>Se repite 2 veces en Belmont International Trading Corp</v>
      </c>
      <c r="P1427" s="20" t="str">
        <f t="shared" si="313"/>
        <v>Belmont International Trading Corp-Winter'S Picaras Chocolate 6 x30-66.9</v>
      </c>
      <c r="Q1427" s="20">
        <f t="shared" si="314"/>
        <v>1</v>
      </c>
      <c r="R1427" s="20" t="str">
        <f t="shared" si="315"/>
        <v>No se repite</v>
      </c>
      <c r="S1427" s="20" t="str">
        <f t="shared" si="316"/>
        <v>El producto Winter'S Picaras Chocolate 6 x30 Se repite 2 veces en Belmont International Trading Corp Una vez con el precio 66.9</v>
      </c>
      <c r="T1427" s="20" t="str">
        <f t="shared" si="317"/>
        <v>Belmont International Trading Corp</v>
      </c>
      <c r="U1427" s="20" t="str">
        <f t="shared" si="318"/>
        <v>Winter'S Picaras Chocolate 6 x30</v>
      </c>
      <c r="V1427" s="22">
        <f t="shared" si="319"/>
        <v>66.900000000000006</v>
      </c>
      <c r="W1427" t="str">
        <f t="shared" si="320"/>
        <v>Belmont International Trading Corp 05/16/2025</v>
      </c>
      <c r="Z1427">
        <f t="shared" si="321"/>
        <v>669</v>
      </c>
    </row>
    <row r="1428" spans="1:26" hidden="1" x14ac:dyDescent="0.25">
      <c r="A1428" s="2" t="s">
        <v>272</v>
      </c>
      <c r="B1428" s="11" t="s">
        <v>408</v>
      </c>
      <c r="C1428" s="11" t="s">
        <v>4</v>
      </c>
      <c r="D1428" s="11" t="s">
        <v>409</v>
      </c>
      <c r="E1428" s="11" t="s">
        <v>78</v>
      </c>
      <c r="F1428" s="11" t="s">
        <v>79</v>
      </c>
      <c r="G1428" s="12">
        <v>2</v>
      </c>
      <c r="H1428" s="12">
        <v>69</v>
      </c>
      <c r="I1428" s="12">
        <v>138</v>
      </c>
      <c r="J1428" s="12">
        <v>6928.6</v>
      </c>
      <c r="K1428" s="20">
        <f t="shared" si="308"/>
        <v>5</v>
      </c>
      <c r="L1428" s="20" t="str">
        <f t="shared" si="309"/>
        <v>Se repite 5 veces</v>
      </c>
      <c r="M1428" s="20" t="str">
        <f t="shared" si="310"/>
        <v>Peru Chef-Winter'S Picaras Chocolate 6 x30</v>
      </c>
      <c r="N1428" s="20">
        <f t="shared" si="311"/>
        <v>3</v>
      </c>
      <c r="O1428" s="20" t="str">
        <f t="shared" si="312"/>
        <v>Se repite 3 veces en Peru Chef</v>
      </c>
      <c r="P1428" s="20" t="str">
        <f t="shared" si="313"/>
        <v>Peru Chef-Winter'S Picaras Chocolate 6 x30-69</v>
      </c>
      <c r="Q1428" s="20">
        <f t="shared" si="314"/>
        <v>1</v>
      </c>
      <c r="R1428" s="20" t="str">
        <f t="shared" si="315"/>
        <v>No se repite</v>
      </c>
      <c r="S1428" s="20" t="str">
        <f t="shared" si="316"/>
        <v>El producto Winter'S Picaras Chocolate 6 x30 Se repite 3 veces en Peru Chef Una vez con el precio 69</v>
      </c>
      <c r="T1428" s="20" t="str">
        <f t="shared" si="317"/>
        <v>Peru Chef</v>
      </c>
      <c r="U1428" s="20" t="str">
        <f t="shared" si="318"/>
        <v>Winter'S Picaras Chocolate 6 x30</v>
      </c>
      <c r="V1428" s="22">
        <f t="shared" si="319"/>
        <v>69</v>
      </c>
      <c r="W1428" t="str">
        <f t="shared" si="320"/>
        <v>Peru Chef 04/13/2025</v>
      </c>
      <c r="Z1428">
        <f t="shared" si="321"/>
        <v>138</v>
      </c>
    </row>
    <row r="1429" spans="1:26" hidden="1" x14ac:dyDescent="0.25">
      <c r="A1429" s="2" t="s">
        <v>272</v>
      </c>
      <c r="B1429" s="11" t="s">
        <v>600</v>
      </c>
      <c r="C1429" s="11" t="s">
        <v>4</v>
      </c>
      <c r="D1429" s="11" t="s">
        <v>601</v>
      </c>
      <c r="E1429" s="11" t="s">
        <v>78</v>
      </c>
      <c r="F1429" s="11" t="s">
        <v>79</v>
      </c>
      <c r="G1429" s="12">
        <v>3</v>
      </c>
      <c r="H1429" s="12">
        <v>62.1</v>
      </c>
      <c r="I1429" s="12">
        <v>186.3</v>
      </c>
      <c r="J1429" s="12">
        <v>37442.650000000009</v>
      </c>
      <c r="K1429" s="20">
        <f t="shared" si="308"/>
        <v>5</v>
      </c>
      <c r="L1429" s="20" t="str">
        <f t="shared" si="309"/>
        <v>Se repite 5 veces</v>
      </c>
      <c r="M1429" s="20" t="str">
        <f t="shared" si="310"/>
        <v>Peru Chef-Winter'S Picaras Chocolate 6 x30</v>
      </c>
      <c r="N1429" s="20">
        <f t="shared" si="311"/>
        <v>3</v>
      </c>
      <c r="O1429" s="20" t="str">
        <f t="shared" si="312"/>
        <v>Se repite 3 veces en Peru Chef</v>
      </c>
      <c r="P1429" s="20" t="str">
        <f t="shared" si="313"/>
        <v>Peru Chef-Winter'S Picaras Chocolate 6 x30-62.1</v>
      </c>
      <c r="Q1429" s="20">
        <f t="shared" si="314"/>
        <v>2</v>
      </c>
      <c r="R1429" s="20" t="str">
        <f t="shared" si="315"/>
        <v>Se repite 2 veces el precio de 62.1</v>
      </c>
      <c r="S1429" s="20" t="str">
        <f t="shared" si="316"/>
        <v>El producto Winter'S Picaras Chocolate 6 x30 Se repite 3 veces en Peru Chef, Se repite 2 veces el precio de 62.1</v>
      </c>
      <c r="T1429" s="20" t="str">
        <f t="shared" si="317"/>
        <v>Peru Chef</v>
      </c>
      <c r="U1429" s="20" t="str">
        <f t="shared" si="318"/>
        <v>Winter'S Picaras Chocolate 6 x30</v>
      </c>
      <c r="V1429" s="22">
        <f t="shared" si="319"/>
        <v>62.1</v>
      </c>
      <c r="W1429" t="str">
        <f t="shared" si="320"/>
        <v>Peru Chef 11/14/2025</v>
      </c>
      <c r="Z1429">
        <f t="shared" si="321"/>
        <v>186.3</v>
      </c>
    </row>
    <row r="1430" spans="1:26" hidden="1" x14ac:dyDescent="0.25">
      <c r="A1430" s="2" t="s">
        <v>272</v>
      </c>
      <c r="B1430" s="11" t="s">
        <v>619</v>
      </c>
      <c r="C1430" s="11" t="s">
        <v>4</v>
      </c>
      <c r="D1430" s="11" t="s">
        <v>621</v>
      </c>
      <c r="E1430" s="11" t="s">
        <v>78</v>
      </c>
      <c r="F1430" s="11" t="s">
        <v>79</v>
      </c>
      <c r="G1430" s="12">
        <v>4</v>
      </c>
      <c r="H1430" s="12">
        <v>62.1</v>
      </c>
      <c r="I1430" s="12">
        <v>248.4</v>
      </c>
      <c r="J1430" s="12">
        <v>40241.65</v>
      </c>
      <c r="K1430" s="20">
        <f t="shared" si="308"/>
        <v>5</v>
      </c>
      <c r="L1430" s="20" t="str">
        <f t="shared" si="309"/>
        <v>Se repite 5 veces</v>
      </c>
      <c r="M1430" s="20" t="str">
        <f t="shared" si="310"/>
        <v>Peru Chef-Winter'S Picaras Chocolate 6 x30</v>
      </c>
      <c r="N1430" s="20">
        <f t="shared" si="311"/>
        <v>3</v>
      </c>
      <c r="O1430" s="20" t="str">
        <f t="shared" si="312"/>
        <v>Se repite 3 veces en Peru Chef</v>
      </c>
      <c r="P1430" s="20" t="str">
        <f t="shared" si="313"/>
        <v>Peru Chef-Winter'S Picaras Chocolate 6 x30-62.1</v>
      </c>
      <c r="Q1430" s="20">
        <f t="shared" si="314"/>
        <v>2</v>
      </c>
      <c r="R1430" s="20" t="str">
        <f t="shared" si="315"/>
        <v>Se repite 2 veces el precio de 62.1</v>
      </c>
      <c r="S1430" s="20" t="str">
        <f t="shared" si="316"/>
        <v>El producto Winter'S Picaras Chocolate 6 x30 Se repite 3 veces en Peru Chef, Se repite 2 veces el precio de 62.1</v>
      </c>
      <c r="T1430" s="20" t="str">
        <f t="shared" si="317"/>
        <v>Peru Chef</v>
      </c>
      <c r="U1430" s="20" t="str">
        <f t="shared" si="318"/>
        <v>Winter'S Picaras Chocolate 6 x30</v>
      </c>
      <c r="V1430" s="22">
        <f t="shared" si="319"/>
        <v>62.1</v>
      </c>
      <c r="W1430" t="str">
        <f t="shared" si="320"/>
        <v>Peru Chef 12/09/2025</v>
      </c>
      <c r="Z1430">
        <f t="shared" si="321"/>
        <v>248.4</v>
      </c>
    </row>
    <row r="1431" spans="1:26" hidden="1" x14ac:dyDescent="0.25">
      <c r="A1431" s="2" t="s">
        <v>653</v>
      </c>
      <c r="B1431" s="11" t="s">
        <v>654</v>
      </c>
      <c r="C1431" s="11" t="s">
        <v>4</v>
      </c>
      <c r="D1431" s="11" t="s">
        <v>655</v>
      </c>
      <c r="E1431" s="11" t="s">
        <v>656</v>
      </c>
      <c r="F1431" s="11" t="s">
        <v>657</v>
      </c>
      <c r="G1431" s="12">
        <v>2.3332999999999999</v>
      </c>
      <c r="H1431" s="12">
        <v>40.5428</v>
      </c>
      <c r="I1431" s="12">
        <v>94.6</v>
      </c>
      <c r="J1431" s="12">
        <v>94.6</v>
      </c>
      <c r="K1431" s="20">
        <f t="shared" si="308"/>
        <v>8</v>
      </c>
      <c r="L1431" s="20" t="str">
        <f t="shared" si="309"/>
        <v>Se repite 8 veces</v>
      </c>
      <c r="M1431" s="20" t="str">
        <f t="shared" si="310"/>
        <v>SAVERS SUPERMERCADO COST + PLUS-Yuca Family Pack / Cassava Family Pack 5lb x 6</v>
      </c>
      <c r="N1431" s="20">
        <f t="shared" si="311"/>
        <v>5</v>
      </c>
      <c r="O1431" s="20" t="str">
        <f t="shared" si="312"/>
        <v>Se repite 5 veces en SAVERS SUPERMERCADO COST + PLUS</v>
      </c>
      <c r="P1431" s="20" t="str">
        <f t="shared" si="313"/>
        <v>SAVERS SUPERMERCADO COST + PLUS-Yuca Family Pack / Cassava Family Pack 5lb x 6-40.5428</v>
      </c>
      <c r="Q1431" s="20">
        <f t="shared" si="314"/>
        <v>1</v>
      </c>
      <c r="R1431" s="20" t="str">
        <f t="shared" si="315"/>
        <v>No se repite</v>
      </c>
      <c r="S1431" s="20" t="str">
        <f t="shared" si="316"/>
        <v>El producto Yuca Family Pack / Cassava Family Pack 5lb x 6 Se repite 5 veces en SAVERS SUPERMERCADO COST + PLUS Una vez con el precio 40.5428</v>
      </c>
      <c r="T1431" s="20" t="str">
        <f t="shared" si="317"/>
        <v>SAVERS SUPERMERCADO COST + PLUS</v>
      </c>
      <c r="U1431" s="20" t="str">
        <f t="shared" si="318"/>
        <v>Yuca Family Pack / Cassava Family Pack 5lb x 6</v>
      </c>
      <c r="V1431" s="22">
        <f t="shared" si="319"/>
        <v>40.5428</v>
      </c>
      <c r="W1431" t="str">
        <f t="shared" si="320"/>
        <v>SAVERS SUPERMERCADO COST + PLUS 05/19/2025</v>
      </c>
      <c r="Z1431">
        <f t="shared" si="321"/>
        <v>94.598515239999998</v>
      </c>
    </row>
    <row r="1432" spans="1:26" hidden="1" x14ac:dyDescent="0.25">
      <c r="A1432" s="24" t="s">
        <v>653</v>
      </c>
      <c r="B1432" s="11" t="s">
        <v>654</v>
      </c>
      <c r="C1432" s="11" t="s">
        <v>4</v>
      </c>
      <c r="D1432" s="11" t="s">
        <v>658</v>
      </c>
      <c r="E1432" s="11" t="s">
        <v>656</v>
      </c>
      <c r="F1432" s="11" t="s">
        <v>657</v>
      </c>
      <c r="G1432" s="12">
        <v>0.66669999999999996</v>
      </c>
      <c r="H1432" s="12">
        <v>42.344999999999999</v>
      </c>
      <c r="I1432" s="12">
        <v>28.23</v>
      </c>
      <c r="J1432" s="12">
        <v>122.83</v>
      </c>
      <c r="K1432" s="20">
        <f t="shared" si="308"/>
        <v>8</v>
      </c>
      <c r="L1432" s="20" t="str">
        <f t="shared" si="309"/>
        <v>Se repite 8 veces</v>
      </c>
      <c r="M1432" s="20" t="str">
        <f t="shared" si="310"/>
        <v>SAVERS SUPERMERCADO COST + PLUS-Yuca Family Pack / Cassava Family Pack 5lb x 6</v>
      </c>
      <c r="N1432" s="20">
        <f t="shared" si="311"/>
        <v>5</v>
      </c>
      <c r="O1432" s="20" t="str">
        <f t="shared" si="312"/>
        <v>Se repite 5 veces en SAVERS SUPERMERCADO COST + PLUS</v>
      </c>
      <c r="P1432" s="20" t="str">
        <f t="shared" si="313"/>
        <v>SAVERS SUPERMERCADO COST + PLUS-Yuca Family Pack / Cassava Family Pack 5lb x 6-42.345</v>
      </c>
      <c r="Q1432" s="20">
        <f t="shared" si="314"/>
        <v>1</v>
      </c>
      <c r="R1432" s="20" t="str">
        <f t="shared" si="315"/>
        <v>No se repite</v>
      </c>
      <c r="S1432" s="20" t="str">
        <f t="shared" si="316"/>
        <v>El producto Yuca Family Pack / Cassava Family Pack 5lb x 6 Se repite 5 veces en SAVERS SUPERMERCADO COST + PLUS Una vez con el precio 42.345</v>
      </c>
      <c r="T1432" s="20" t="str">
        <f t="shared" si="317"/>
        <v>SAVERS SUPERMERCADO COST + PLUS</v>
      </c>
      <c r="U1432" s="20" t="str">
        <f t="shared" si="318"/>
        <v>Yuca Family Pack / Cassava Family Pack 5lb x 6</v>
      </c>
      <c r="V1432" s="22">
        <f t="shared" si="319"/>
        <v>42.344999999999999</v>
      </c>
      <c r="W1432" t="str">
        <f t="shared" si="320"/>
        <v>SAVERS SUPERMERCADO COST + PLUS 05/19/2025</v>
      </c>
      <c r="Y1432" t="s">
        <v>3347</v>
      </c>
      <c r="Z1432">
        <f t="shared" si="321"/>
        <v>28.231411499999997</v>
      </c>
    </row>
    <row r="1433" spans="1:26" hidden="1" x14ac:dyDescent="0.25">
      <c r="A1433" s="2" t="s">
        <v>653</v>
      </c>
      <c r="B1433" s="11" t="s">
        <v>659</v>
      </c>
      <c r="C1433" s="11" t="s">
        <v>4</v>
      </c>
      <c r="D1433" s="11" t="s">
        <v>660</v>
      </c>
      <c r="E1433" s="11" t="s">
        <v>656</v>
      </c>
      <c r="F1433" s="11" t="s">
        <v>657</v>
      </c>
      <c r="G1433" s="12">
        <v>3</v>
      </c>
      <c r="H1433" s="12">
        <v>39.826000000000001</v>
      </c>
      <c r="I1433" s="12">
        <v>119.48</v>
      </c>
      <c r="J1433" s="12">
        <v>242.31</v>
      </c>
      <c r="K1433" s="20">
        <f t="shared" si="308"/>
        <v>8</v>
      </c>
      <c r="L1433" s="20" t="str">
        <f t="shared" si="309"/>
        <v>Se repite 8 veces</v>
      </c>
      <c r="M1433" s="20" t="str">
        <f t="shared" si="310"/>
        <v>SAVERS SUPERMERCADO COST + PLUS-Yuca Family Pack / Cassava Family Pack 5lb x 6</v>
      </c>
      <c r="N1433" s="20">
        <f t="shared" si="311"/>
        <v>5</v>
      </c>
      <c r="O1433" s="20" t="str">
        <f t="shared" si="312"/>
        <v>Se repite 5 veces en SAVERS SUPERMERCADO COST + PLUS</v>
      </c>
      <c r="P1433" s="20" t="str">
        <f t="shared" si="313"/>
        <v>SAVERS SUPERMERCADO COST + PLUS-Yuca Family Pack / Cassava Family Pack 5lb x 6-39.826</v>
      </c>
      <c r="Q1433" s="20">
        <f t="shared" si="314"/>
        <v>1</v>
      </c>
      <c r="R1433" s="20" t="str">
        <f t="shared" si="315"/>
        <v>No se repite</v>
      </c>
      <c r="S1433" s="20" t="str">
        <f t="shared" si="316"/>
        <v>El producto Yuca Family Pack / Cassava Family Pack 5lb x 6 Se repite 5 veces en SAVERS SUPERMERCADO COST + PLUS Una vez con el precio 39.826</v>
      </c>
      <c r="T1433" s="20" t="str">
        <f t="shared" si="317"/>
        <v>SAVERS SUPERMERCADO COST + PLUS</v>
      </c>
      <c r="U1433" s="20" t="str">
        <f t="shared" si="318"/>
        <v>Yuca Family Pack / Cassava Family Pack 5lb x 6</v>
      </c>
      <c r="V1433" s="22">
        <f t="shared" si="319"/>
        <v>39.826000000000001</v>
      </c>
      <c r="W1433" t="str">
        <f t="shared" si="320"/>
        <v>SAVERS SUPERMERCADO COST + PLUS 05/29/2025</v>
      </c>
      <c r="Z1433">
        <f t="shared" si="321"/>
        <v>119.47800000000001</v>
      </c>
    </row>
    <row r="1434" spans="1:26" hidden="1" x14ac:dyDescent="0.25">
      <c r="A1434" s="2" t="s">
        <v>653</v>
      </c>
      <c r="B1434" s="11" t="s">
        <v>158</v>
      </c>
      <c r="C1434" s="11" t="s">
        <v>4</v>
      </c>
      <c r="D1434" s="11" t="s">
        <v>661</v>
      </c>
      <c r="E1434" s="11" t="s">
        <v>656</v>
      </c>
      <c r="F1434" s="11" t="s">
        <v>657</v>
      </c>
      <c r="G1434" s="12">
        <v>3</v>
      </c>
      <c r="H1434" s="12">
        <v>49.15</v>
      </c>
      <c r="I1434" s="12">
        <v>147.44999999999999</v>
      </c>
      <c r="J1434" s="12">
        <v>389.76</v>
      </c>
      <c r="K1434" s="20">
        <f t="shared" si="308"/>
        <v>8</v>
      </c>
      <c r="L1434" s="20" t="str">
        <f t="shared" si="309"/>
        <v>Se repite 8 veces</v>
      </c>
      <c r="M1434" s="20" t="str">
        <f t="shared" si="310"/>
        <v>SAVERS SUPERMERCADO COST + PLUS-Yuca Family Pack / Cassava Family Pack 5lb x 6</v>
      </c>
      <c r="N1434" s="20">
        <f t="shared" si="311"/>
        <v>5</v>
      </c>
      <c r="O1434" s="20" t="str">
        <f t="shared" si="312"/>
        <v>Se repite 5 veces en SAVERS SUPERMERCADO COST + PLUS</v>
      </c>
      <c r="P1434" s="20" t="str">
        <f t="shared" si="313"/>
        <v>SAVERS SUPERMERCADO COST + PLUS-Yuca Family Pack / Cassava Family Pack 5lb x 6-49.15</v>
      </c>
      <c r="Q1434" s="20">
        <f t="shared" si="314"/>
        <v>2</v>
      </c>
      <c r="R1434" s="20" t="str">
        <f t="shared" si="315"/>
        <v>Se repite 2 veces el precio de 49.15</v>
      </c>
      <c r="S1434" s="20" t="str">
        <f t="shared" si="316"/>
        <v>El producto Yuca Family Pack / Cassava Family Pack 5lb x 6 Se repite 5 veces en SAVERS SUPERMERCADO COST + PLUS, Se repite 2 veces el precio de 49.15</v>
      </c>
      <c r="T1434" s="20" t="str">
        <f t="shared" si="317"/>
        <v>SAVERS SUPERMERCADO COST + PLUS</v>
      </c>
      <c r="U1434" s="20" t="str">
        <f t="shared" si="318"/>
        <v>Yuca Family Pack / Cassava Family Pack 5lb x 6</v>
      </c>
      <c r="V1434" s="22">
        <f t="shared" si="319"/>
        <v>49.15</v>
      </c>
      <c r="W1434" t="str">
        <f t="shared" si="320"/>
        <v>SAVERS SUPERMERCADO COST + PLUS 06/12/2025</v>
      </c>
      <c r="Z1434">
        <f t="shared" si="321"/>
        <v>147.44999999999999</v>
      </c>
    </row>
    <row r="1435" spans="1:26" hidden="1" x14ac:dyDescent="0.25">
      <c r="A1435" s="2" t="s">
        <v>653</v>
      </c>
      <c r="B1435" s="11" t="s">
        <v>662</v>
      </c>
      <c r="C1435" s="11" t="s">
        <v>4</v>
      </c>
      <c r="D1435" s="11" t="s">
        <v>5</v>
      </c>
      <c r="E1435" s="11" t="s">
        <v>656</v>
      </c>
      <c r="F1435" s="11" t="s">
        <v>657</v>
      </c>
      <c r="G1435" s="12">
        <v>3</v>
      </c>
      <c r="H1435" s="12">
        <v>49.15</v>
      </c>
      <c r="I1435" s="12">
        <v>147.44999999999999</v>
      </c>
      <c r="J1435" s="12">
        <v>537.21</v>
      </c>
      <c r="K1435" s="20">
        <f t="shared" si="308"/>
        <v>8</v>
      </c>
      <c r="L1435" s="20" t="str">
        <f t="shared" si="309"/>
        <v>Se repite 8 veces</v>
      </c>
      <c r="M1435" s="20" t="str">
        <f t="shared" si="310"/>
        <v>SAVERS SUPERMERCADO COST + PLUS-Yuca Family Pack / Cassava Family Pack 5lb x 6</v>
      </c>
      <c r="N1435" s="20">
        <f t="shared" si="311"/>
        <v>5</v>
      </c>
      <c r="O1435" s="20" t="str">
        <f t="shared" si="312"/>
        <v>Se repite 5 veces en SAVERS SUPERMERCADO COST + PLUS</v>
      </c>
      <c r="P1435" s="20" t="str">
        <f t="shared" si="313"/>
        <v>SAVERS SUPERMERCADO COST + PLUS-Yuca Family Pack / Cassava Family Pack 5lb x 6-49.15</v>
      </c>
      <c r="Q1435" s="20">
        <f t="shared" si="314"/>
        <v>2</v>
      </c>
      <c r="R1435" s="20" t="str">
        <f t="shared" si="315"/>
        <v>Se repite 2 veces el precio de 49.15</v>
      </c>
      <c r="S1435" s="20" t="str">
        <f t="shared" si="316"/>
        <v>El producto Yuca Family Pack / Cassava Family Pack 5lb x 6 Se repite 5 veces en SAVERS SUPERMERCADO COST + PLUS, Se repite 2 veces el precio de 49.15</v>
      </c>
      <c r="T1435" s="20" t="str">
        <f t="shared" si="317"/>
        <v>SAVERS SUPERMERCADO COST + PLUS</v>
      </c>
      <c r="U1435" s="20" t="str">
        <f t="shared" si="318"/>
        <v>Yuca Family Pack / Cassava Family Pack 5lb x 6</v>
      </c>
      <c r="V1435" s="22">
        <f t="shared" si="319"/>
        <v>49.15</v>
      </c>
      <c r="W1435" t="str">
        <f t="shared" si="320"/>
        <v>SAVERS SUPERMERCADO COST + PLUS 07/23/2025</v>
      </c>
      <c r="Z1435">
        <f t="shared" si="321"/>
        <v>147.44999999999999</v>
      </c>
    </row>
    <row r="1436" spans="1:26" hidden="1" x14ac:dyDescent="0.25">
      <c r="A1436" s="2" t="s">
        <v>664</v>
      </c>
      <c r="B1436" s="11" t="s">
        <v>665</v>
      </c>
      <c r="C1436" s="11" t="s">
        <v>4</v>
      </c>
      <c r="D1436" s="11" t="s">
        <v>666</v>
      </c>
      <c r="E1436" s="11" t="s">
        <v>656</v>
      </c>
      <c r="F1436" s="11" t="s">
        <v>776</v>
      </c>
      <c r="G1436" s="12">
        <v>2</v>
      </c>
      <c r="H1436" s="12">
        <v>27</v>
      </c>
      <c r="I1436" s="12">
        <v>54</v>
      </c>
      <c r="J1436" s="12">
        <v>3346.5199999999995</v>
      </c>
      <c r="K1436" s="20">
        <f t="shared" si="308"/>
        <v>8</v>
      </c>
      <c r="L1436" s="20" t="str">
        <f t="shared" si="309"/>
        <v>Se repite 8 veces</v>
      </c>
      <c r="M1436" s="20" t="str">
        <f t="shared" si="310"/>
        <v>Tradiciones Andinas-Yuca Family Pack / Cassava Family Pack 5lb x 6</v>
      </c>
      <c r="N1436" s="20">
        <f t="shared" si="311"/>
        <v>3</v>
      </c>
      <c r="O1436" s="20" t="str">
        <f t="shared" si="312"/>
        <v>Se repite 3 veces en Tradiciones Andinas</v>
      </c>
      <c r="P1436" s="20" t="str">
        <f t="shared" si="313"/>
        <v>Tradiciones Andinas-Yuca Family Pack / Cassava Family Pack 5lb x 6-27</v>
      </c>
      <c r="Q1436" s="20">
        <f t="shared" si="314"/>
        <v>1</v>
      </c>
      <c r="R1436" s="20" t="str">
        <f t="shared" si="315"/>
        <v>No se repite</v>
      </c>
      <c r="S1436" s="20" t="str">
        <f t="shared" si="316"/>
        <v>El producto Yuca Family Pack / Cassava Family Pack 5lb x 6 Se repite 3 veces en Tradiciones Andinas Una vez con el precio 27</v>
      </c>
      <c r="T1436" s="20" t="str">
        <f t="shared" si="317"/>
        <v>Tradiciones Andinas</v>
      </c>
      <c r="U1436" s="20" t="str">
        <f t="shared" si="318"/>
        <v>Yuca Family Pack / Cassava Family Pack 5lb x 6</v>
      </c>
      <c r="V1436" s="22">
        <f t="shared" si="319"/>
        <v>27</v>
      </c>
      <c r="W1436" t="str">
        <f t="shared" si="320"/>
        <v>Tradiciones Andinas 03/31/2025</v>
      </c>
      <c r="Z1436">
        <f t="shared" si="321"/>
        <v>54</v>
      </c>
    </row>
    <row r="1437" spans="1:26" hidden="1" x14ac:dyDescent="0.25">
      <c r="A1437" s="2" t="s">
        <v>664</v>
      </c>
      <c r="B1437" s="11" t="s">
        <v>1092</v>
      </c>
      <c r="C1437" s="11" t="s">
        <v>4</v>
      </c>
      <c r="D1437" s="11" t="s">
        <v>1093</v>
      </c>
      <c r="E1437" s="11" t="s">
        <v>656</v>
      </c>
      <c r="F1437" s="11" t="s">
        <v>657</v>
      </c>
      <c r="G1437" s="12">
        <v>12</v>
      </c>
      <c r="H1437" s="12">
        <v>36</v>
      </c>
      <c r="I1437" s="12">
        <v>432</v>
      </c>
      <c r="J1437" s="12">
        <v>66810.539999999979</v>
      </c>
      <c r="K1437" s="20">
        <f t="shared" si="308"/>
        <v>8</v>
      </c>
      <c r="L1437" s="20" t="str">
        <f t="shared" si="309"/>
        <v>Se repite 8 veces</v>
      </c>
      <c r="M1437" s="20" t="str">
        <f t="shared" si="310"/>
        <v>Tradiciones Andinas-Yuca Family Pack / Cassava Family Pack 5lb x 6</v>
      </c>
      <c r="N1437" s="20">
        <f t="shared" si="311"/>
        <v>3</v>
      </c>
      <c r="O1437" s="20" t="str">
        <f t="shared" si="312"/>
        <v>Se repite 3 veces en Tradiciones Andinas</v>
      </c>
      <c r="P1437" s="20" t="str">
        <f t="shared" si="313"/>
        <v>Tradiciones Andinas-Yuca Family Pack / Cassava Family Pack 5lb x 6-36</v>
      </c>
      <c r="Q1437" s="20">
        <f t="shared" si="314"/>
        <v>2</v>
      </c>
      <c r="R1437" s="20" t="str">
        <f t="shared" si="315"/>
        <v>Se repite 2 veces el precio de 36</v>
      </c>
      <c r="S1437" s="20" t="str">
        <f t="shared" si="316"/>
        <v>El producto Yuca Family Pack / Cassava Family Pack 5lb x 6 Se repite 3 veces en Tradiciones Andinas, Se repite 2 veces el precio de 36</v>
      </c>
      <c r="T1437" s="20" t="str">
        <f t="shared" si="317"/>
        <v>Tradiciones Andinas</v>
      </c>
      <c r="U1437" s="20" t="str">
        <f t="shared" si="318"/>
        <v>Yuca Family Pack / Cassava Family Pack 5lb x 6</v>
      </c>
      <c r="V1437" s="22">
        <f t="shared" si="319"/>
        <v>36</v>
      </c>
      <c r="W1437" t="str">
        <f t="shared" si="320"/>
        <v>Tradiciones Andinas 07/21/2025</v>
      </c>
      <c r="Z1437">
        <f t="shared" si="321"/>
        <v>432</v>
      </c>
    </row>
    <row r="1438" spans="1:26" hidden="1" x14ac:dyDescent="0.25">
      <c r="A1438" s="2" t="s">
        <v>664</v>
      </c>
      <c r="B1438" s="11" t="s">
        <v>1125</v>
      </c>
      <c r="C1438" s="11" t="s">
        <v>4</v>
      </c>
      <c r="D1438" s="11" t="s">
        <v>1126</v>
      </c>
      <c r="E1438" s="11" t="s">
        <v>656</v>
      </c>
      <c r="F1438" s="11" t="s">
        <v>657</v>
      </c>
      <c r="G1438" s="12">
        <v>20</v>
      </c>
      <c r="H1438" s="12">
        <v>36</v>
      </c>
      <c r="I1438" s="12">
        <v>720</v>
      </c>
      <c r="J1438" s="12">
        <v>74055.560000000012</v>
      </c>
      <c r="K1438" s="20">
        <f t="shared" si="308"/>
        <v>8</v>
      </c>
      <c r="L1438" s="20" t="str">
        <f t="shared" si="309"/>
        <v>Se repite 8 veces</v>
      </c>
      <c r="M1438" s="20" t="str">
        <f t="shared" si="310"/>
        <v>Tradiciones Andinas-Yuca Family Pack / Cassava Family Pack 5lb x 6</v>
      </c>
      <c r="N1438" s="20">
        <f t="shared" si="311"/>
        <v>3</v>
      </c>
      <c r="O1438" s="20" t="str">
        <f t="shared" si="312"/>
        <v>Se repite 3 veces en Tradiciones Andinas</v>
      </c>
      <c r="P1438" s="20" t="str">
        <f t="shared" si="313"/>
        <v>Tradiciones Andinas-Yuca Family Pack / Cassava Family Pack 5lb x 6-36</v>
      </c>
      <c r="Q1438" s="20">
        <f t="shared" si="314"/>
        <v>2</v>
      </c>
      <c r="R1438" s="20" t="str">
        <f t="shared" si="315"/>
        <v>Se repite 2 veces el precio de 36</v>
      </c>
      <c r="S1438" s="20" t="str">
        <f t="shared" si="316"/>
        <v>El producto Yuca Family Pack / Cassava Family Pack 5lb x 6 Se repite 3 veces en Tradiciones Andinas, Se repite 2 veces el precio de 36</v>
      </c>
      <c r="T1438" s="20" t="str">
        <f t="shared" si="317"/>
        <v>Tradiciones Andinas</v>
      </c>
      <c r="U1438" s="20" t="str">
        <f t="shared" si="318"/>
        <v>Yuca Family Pack / Cassava Family Pack 5lb x 6</v>
      </c>
      <c r="V1438" s="22">
        <f t="shared" si="319"/>
        <v>36</v>
      </c>
      <c r="W1438" t="str">
        <f t="shared" si="320"/>
        <v>Tradiciones Andinas 08/18/2025</v>
      </c>
      <c r="Z1438">
        <f t="shared" si="321"/>
        <v>720</v>
      </c>
    </row>
  </sheetData>
  <autoFilter ref="A1:Z1438" xr:uid="{D1B8624A-0D0E-4159-99BB-5F573821E771}">
    <filterColumn colId="0">
      <filters>
        <filter val="Continental Food and Beverage, inc"/>
      </filters>
    </filterColumn>
    <filterColumn colId="1">
      <filters>
        <filter val="07/08/2025"/>
      </filters>
    </filterColumn>
  </autoFilter>
  <sortState xmlns:xlrd2="http://schemas.microsoft.com/office/spreadsheetml/2017/richdata2" ref="A2:J1438">
    <sortCondition ref="E2:E1438"/>
    <sortCondition ref="A2:A1438"/>
  </sortState>
  <pageMargins left="0.7" right="0.7" top="0.75" bottom="0.75" header="0.3" footer="0.3"/>
  <pageSetup paperSize="9"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34C559-F6DF-4A50-A2DF-B8FBFFA2C4E2}">
  <dimension ref="A1:D746"/>
  <sheetViews>
    <sheetView workbookViewId="0">
      <selection activeCell="D1" sqref="D1"/>
    </sheetView>
  </sheetViews>
  <sheetFormatPr baseColWidth="10" defaultRowHeight="15.75" x14ac:dyDescent="0.25"/>
  <cols>
    <col min="1" max="1" width="101.125" style="20" bestFit="1" customWidth="1"/>
    <col min="2" max="2" width="22" style="20" bestFit="1" customWidth="1"/>
    <col min="3" max="3" width="48.5" style="20" bestFit="1" customWidth="1"/>
    <col min="4" max="4" width="6.125" style="20" bestFit="1" customWidth="1"/>
  </cols>
  <sheetData>
    <row r="1" spans="1:4" x14ac:dyDescent="0.25">
      <c r="A1" s="20" t="s">
        <v>2329</v>
      </c>
      <c r="B1" s="20" t="s">
        <v>2313</v>
      </c>
      <c r="C1" s="20" t="s">
        <v>3075</v>
      </c>
      <c r="D1" s="20" t="s">
        <v>3076</v>
      </c>
    </row>
    <row r="2" spans="1:4" x14ac:dyDescent="0.25">
      <c r="A2" s="20" t="s">
        <v>2330</v>
      </c>
      <c r="B2" s="20" t="e">
        <f>VLOOKUP(A2,'Base Sin Negativos'!S2:V1438,2,0)</f>
        <v>#N/A</v>
      </c>
      <c r="C2" s="20" t="e">
        <f>VLOOKUP(A2,'Base Sin Negativos'!S2:V1438,3,0)</f>
        <v>#N/A</v>
      </c>
      <c r="D2" s="20" t="e">
        <f>VLOOKUP(A2,'Base Sin Negativos'!S2:V1438,4,0)</f>
        <v>#N/A</v>
      </c>
    </row>
    <row r="3" spans="1:4" x14ac:dyDescent="0.25">
      <c r="A3" s="20" t="s">
        <v>2331</v>
      </c>
      <c r="B3" s="20" t="str">
        <f>VLOOKUP(A3,'Base Sin Negativos'!S3:V1439,2,0)</f>
        <v>Peru Chef</v>
      </c>
      <c r="C3" s="20" t="str">
        <f>VLOOKUP(A3,'Base Sin Negativos'!S3:V1439,3,0)</f>
        <v>Aji Panca Seco sin pepa 2.04kg</v>
      </c>
      <c r="D3" s="20">
        <f>VLOOKUP(A3,'Base Sin Negativos'!S3:V1439,4,0)</f>
        <v>180</v>
      </c>
    </row>
    <row r="4" spans="1:4" x14ac:dyDescent="0.25">
      <c r="A4" s="20" t="s">
        <v>2332</v>
      </c>
      <c r="B4" s="20" t="str">
        <f>VLOOKUP(A4,'Base Sin Negativos'!S4:V1440,2,0)</f>
        <v>Peru Chef</v>
      </c>
      <c r="C4" s="20" t="str">
        <f>VLOOKUP(A4,'Base Sin Negativos'!S4:V1440,3,0)</f>
        <v>Aji Panca Seco sin pepa 2.04kg</v>
      </c>
      <c r="D4" s="20">
        <f>VLOOKUP(A4,'Base Sin Negativos'!S4:V1440,4,0)</f>
        <v>40</v>
      </c>
    </row>
    <row r="5" spans="1:4" x14ac:dyDescent="0.25">
      <c r="A5" s="20" t="s">
        <v>2333</v>
      </c>
      <c r="B5" s="20" t="str">
        <f>VLOOKUP(A5,'Base Sin Negativos'!S5:V1441,2,0)</f>
        <v>Belmont International Trading Corp</v>
      </c>
      <c r="C5" s="20" t="str">
        <f>VLOOKUP(A5,'Base Sin Negativos'!S5:V1441,3,0)</f>
        <v>AjiNomoto Bolsa 1Kg x 18</v>
      </c>
      <c r="D5" s="20">
        <f>VLOOKUP(A5,'Base Sin Negativos'!S5:V1441,4,0)</f>
        <v>109</v>
      </c>
    </row>
    <row r="6" spans="1:4" x14ac:dyDescent="0.25">
      <c r="A6" s="20" t="s">
        <v>2334</v>
      </c>
      <c r="B6" s="20" t="str">
        <f>VLOOKUP(A6,'Base Sin Negativos'!S6:V1442,2,0)</f>
        <v>Tradiciones Andinas</v>
      </c>
      <c r="C6" s="20" t="str">
        <f>VLOOKUP(A6,'Base Sin Negativos'!S6:V1442,3,0)</f>
        <v>AjiNomoto Bolsa 1Kg x 18</v>
      </c>
      <c r="D6" s="20">
        <f>VLOOKUP(A6,'Base Sin Negativos'!S6:V1442,4,0)</f>
        <v>85</v>
      </c>
    </row>
    <row r="7" spans="1:4" x14ac:dyDescent="0.25">
      <c r="A7" s="20" t="s">
        <v>2335</v>
      </c>
      <c r="B7" s="20" t="str">
        <f>VLOOKUP(A7,'Base Sin Negativos'!S7:V1443,2,0)</f>
        <v>Belmont International Trading Corp</v>
      </c>
      <c r="C7" s="20" t="str">
        <f>VLOOKUP(A7,'Base Sin Negativos'!S7:V1443,3,0)</f>
        <v>Ajinomoto Bolsa 250gr x 60</v>
      </c>
      <c r="D7" s="20">
        <f>VLOOKUP(A7,'Base Sin Negativos'!S7:V1443,4,0)</f>
        <v>90</v>
      </c>
    </row>
    <row r="8" spans="1:4" x14ac:dyDescent="0.25">
      <c r="A8" s="20" t="s">
        <v>2336</v>
      </c>
      <c r="B8" s="20" t="str">
        <f>VLOOKUP(A8,'Base Sin Negativos'!S8:V1444,2,0)</f>
        <v>Peru Chef</v>
      </c>
      <c r="C8" s="20" t="str">
        <f>VLOOKUP(A8,'Base Sin Negativos'!S8:V1444,3,0)</f>
        <v>Ajinomoto Bolsa 250gr x 60</v>
      </c>
      <c r="D8" s="20">
        <f>VLOOKUP(A8,'Base Sin Negativos'!S8:V1444,4,0)</f>
        <v>99</v>
      </c>
    </row>
    <row r="9" spans="1:4" x14ac:dyDescent="0.25">
      <c r="A9" s="20" t="s">
        <v>2337</v>
      </c>
      <c r="B9" s="20" t="str">
        <f>VLOOKUP(A9,'Base Sin Negativos'!S9:V1445,2,0)</f>
        <v>Tradiciones Andinas</v>
      </c>
      <c r="C9" s="20" t="str">
        <f>VLOOKUP(A9,'Base Sin Negativos'!S9:V1445,3,0)</f>
        <v>Ajinomoto Bolsa 250gr x 60</v>
      </c>
      <c r="D9" s="20">
        <f>VLOOKUP(A9,'Base Sin Negativos'!S9:V1445,4,0)</f>
        <v>69</v>
      </c>
    </row>
    <row r="10" spans="1:4" x14ac:dyDescent="0.25">
      <c r="A10" s="20" t="s">
        <v>2338</v>
      </c>
      <c r="B10" s="20" t="str">
        <f>VLOOKUP(A10,'Base Sin Negativos'!S10:V1446,2,0)</f>
        <v>Tradiciones Andinas</v>
      </c>
      <c r="C10" s="20" t="str">
        <f>VLOOKUP(A10,'Base Sin Negativos'!S10:V1446,3,0)</f>
        <v>Ajinomoto Bolsa 250gr x 60</v>
      </c>
      <c r="D10" s="20">
        <f>VLOOKUP(A10,'Base Sin Negativos'!S10:V1446,4,0)</f>
        <v>73.8</v>
      </c>
    </row>
    <row r="11" spans="1:4" x14ac:dyDescent="0.25">
      <c r="A11" s="20" t="s">
        <v>2339</v>
      </c>
      <c r="B11" s="20" t="str">
        <f>VLOOKUP(A11,'Base Sin Negativos'!S11:V1447,2,0)</f>
        <v>Tradiciones Andinas</v>
      </c>
      <c r="C11" s="20" t="str">
        <f>VLOOKUP(A11,'Base Sin Negativos'!S11:V1447,3,0)</f>
        <v>AjiNomoto Bolsa 500g x 30</v>
      </c>
      <c r="D11" s="20">
        <f>VLOOKUP(A11,'Base Sin Negativos'!S11:V1447,4,0)</f>
        <v>71</v>
      </c>
    </row>
    <row r="12" spans="1:4" x14ac:dyDescent="0.25">
      <c r="A12" s="20" t="s">
        <v>2340</v>
      </c>
      <c r="B12" s="20" t="str">
        <f>VLOOKUP(A12,'Base Sin Negativos'!S12:V1448,2,0)</f>
        <v>Tradiciones Andinas</v>
      </c>
      <c r="C12" s="20" t="str">
        <f>VLOOKUP(A12,'Base Sin Negativos'!S12:V1448,3,0)</f>
        <v>AjiNomoto Bolsa 500g x 30</v>
      </c>
      <c r="D12" s="20">
        <f>VLOOKUP(A12,'Base Sin Negativos'!S12:V1448,4,0)</f>
        <v>75.97</v>
      </c>
    </row>
    <row r="13" spans="1:4" x14ac:dyDescent="0.25">
      <c r="A13" s="20" t="s">
        <v>2341</v>
      </c>
      <c r="B13" s="20" t="str">
        <f>VLOOKUP(A13,'Base Sin Negativos'!S13:V1449,2,0)</f>
        <v>Belmont International Trading Corp</v>
      </c>
      <c r="C13" s="20" t="str">
        <f>VLOOKUP(A13,'Base Sin Negativos'!S13:V1449,3,0)</f>
        <v>AJINOSIYAO 500ml x 24</v>
      </c>
      <c r="D13" s="20">
        <f>VLOOKUP(A13,'Base Sin Negativos'!S13:V1449,4,0)</f>
        <v>50.4</v>
      </c>
    </row>
    <row r="14" spans="1:4" x14ac:dyDescent="0.25">
      <c r="A14" s="20" t="s">
        <v>2342</v>
      </c>
      <c r="B14" s="20" t="str">
        <f>VLOOKUP(A14,'Base Sin Negativos'!S14:V1450,2,0)</f>
        <v>Peru Chef</v>
      </c>
      <c r="C14" s="20" t="str">
        <f>VLOOKUP(A14,'Base Sin Negativos'!S14:V1450,3,0)</f>
        <v>AJINOSIYAO 500ml x 24</v>
      </c>
      <c r="D14" s="20">
        <f>VLOOKUP(A14,'Base Sin Negativos'!S14:V1450,4,0)</f>
        <v>45</v>
      </c>
    </row>
    <row r="15" spans="1:4" x14ac:dyDescent="0.25">
      <c r="A15" s="20" t="s">
        <v>2343</v>
      </c>
      <c r="B15" s="20" t="str">
        <f>VLOOKUP(A15,'Base Sin Negativos'!S15:V1451,2,0)</f>
        <v>Tradiciones Andinas</v>
      </c>
      <c r="C15" s="20" t="str">
        <f>VLOOKUP(A15,'Base Sin Negativos'!S15:V1451,3,0)</f>
        <v>AJINOSIYAO 500ml x 24</v>
      </c>
      <c r="D15" s="20">
        <f>VLOOKUP(A15,'Base Sin Negativos'!S15:V1451,4,0)</f>
        <v>28.8</v>
      </c>
    </row>
    <row r="16" spans="1:4" x14ac:dyDescent="0.25">
      <c r="A16" s="20" t="s">
        <v>2344</v>
      </c>
      <c r="B16" s="20" t="str">
        <f>VLOOKUP(A16,'Base Sin Negativos'!S16:V1452,2,0)</f>
        <v>Tradiciones Andinas</v>
      </c>
      <c r="C16" s="20" t="str">
        <f>VLOOKUP(A16,'Base Sin Negativos'!S16:V1452,3,0)</f>
        <v>Arrocito Atomico 150gr x 20 (5.3oz)  x 20</v>
      </c>
      <c r="D16" s="20">
        <f>VLOOKUP(A16,'Base Sin Negativos'!S16:V1452,4,0)</f>
        <v>20</v>
      </c>
    </row>
    <row r="17" spans="1:4" x14ac:dyDescent="0.25">
      <c r="A17" s="20" t="s">
        <v>2345</v>
      </c>
      <c r="B17" s="20" t="str">
        <f>VLOOKUP(A17,'Base Sin Negativos'!S17:V1453,2,0)</f>
        <v>Tradiciones Andinas</v>
      </c>
      <c r="C17" s="20" t="str">
        <f>VLOOKUP(A17,'Base Sin Negativos'!S17:V1453,3,0)</f>
        <v>Arrocito Atomico 150gr x 20 (5.3oz)  x 20</v>
      </c>
      <c r="D17" s="20">
        <f>VLOOKUP(A17,'Base Sin Negativos'!S17:V1453,4,0)</f>
        <v>21.4</v>
      </c>
    </row>
    <row r="18" spans="1:4" x14ac:dyDescent="0.25">
      <c r="A18" s="20" t="s">
        <v>2346</v>
      </c>
      <c r="B18" s="20" t="str">
        <f>VLOOKUP(A18,'Base Sin Negativos'!S18:V1454,2,0)</f>
        <v>Peru Chef</v>
      </c>
      <c r="C18" s="20" t="str">
        <f>VLOOKUP(A18,'Base Sin Negativos'!S18:V1454,3,0)</f>
        <v>Atun Florida Solido en aceite 6 oz X 48</v>
      </c>
      <c r="D18" s="20">
        <f>VLOOKUP(A18,'Base Sin Negativos'!S18:V1454,4,0)</f>
        <v>82.5</v>
      </c>
    </row>
    <row r="19" spans="1:4" x14ac:dyDescent="0.25">
      <c r="A19" s="20" t="s">
        <v>2347</v>
      </c>
      <c r="B19" s="20" t="str">
        <f>VLOOKUP(A19,'Base Sin Negativos'!S19:V1455,2,0)</f>
        <v>Peru Chef</v>
      </c>
      <c r="C19" s="20" t="str">
        <f>VLOOKUP(A19,'Base Sin Negativos'!S19:V1455,3,0)</f>
        <v>Atun Florida Solido en aceite 6 oz X 48</v>
      </c>
      <c r="D19" s="20">
        <f>VLOOKUP(A19,'Base Sin Negativos'!S19:V1455,4,0)</f>
        <v>82</v>
      </c>
    </row>
    <row r="20" spans="1:4" x14ac:dyDescent="0.25">
      <c r="A20" s="20" t="s">
        <v>2348</v>
      </c>
      <c r="B20" s="20" t="str">
        <f>VLOOKUP(A20,'Base Sin Negativos'!S20:V1456,2,0)</f>
        <v>Peru Chef</v>
      </c>
      <c r="C20" s="20" t="str">
        <f>VLOOKUP(A20,'Base Sin Negativos'!S20:V1456,3,0)</f>
        <v>Atun Florida Solido en aceite 6 oz X 48</v>
      </c>
      <c r="D20" s="20">
        <f>VLOOKUP(A20,'Base Sin Negativos'!S20:V1456,4,0)</f>
        <v>81</v>
      </c>
    </row>
    <row r="21" spans="1:4" x14ac:dyDescent="0.25">
      <c r="A21" s="20" t="s">
        <v>2349</v>
      </c>
      <c r="B21" s="20" t="str">
        <f>VLOOKUP(A21,'Base Sin Negativos'!S21:V1457,2,0)</f>
        <v>Belmont International Trading Corp</v>
      </c>
      <c r="C21" s="20" t="str">
        <f>VLOOKUP(A21,'Base Sin Negativos'!S21:V1457,3,0)</f>
        <v>Belmont Aceituna Bidon 104oz x 6</v>
      </c>
      <c r="D21" s="20">
        <f>VLOOKUP(A21,'Base Sin Negativos'!S21:V1457,4,0)</f>
        <v>106</v>
      </c>
    </row>
    <row r="22" spans="1:4" x14ac:dyDescent="0.25">
      <c r="A22" s="20" t="s">
        <v>2350</v>
      </c>
      <c r="B22" s="20" t="str">
        <f>VLOOKUP(A22,'Base Sin Negativos'!S22:V1458,2,0)</f>
        <v>Belmont International Trading Corp</v>
      </c>
      <c r="C22" s="20" t="str">
        <f>VLOOKUP(A22,'Base Sin Negativos'!S22:V1458,3,0)</f>
        <v>Belmont Aceituna Botija 20oz x 12</v>
      </c>
      <c r="D22" s="20">
        <f>VLOOKUP(A22,'Base Sin Negativos'!S22:V1458,4,0)</f>
        <v>39</v>
      </c>
    </row>
    <row r="23" spans="1:4" x14ac:dyDescent="0.25">
      <c r="A23" s="20" t="s">
        <v>2351</v>
      </c>
      <c r="B23" s="20" t="str">
        <f>VLOOKUP(A23,'Base Sin Negativos'!S23:V1459,2,0)</f>
        <v>Belmont International Trading Corp</v>
      </c>
      <c r="C23" s="20" t="str">
        <f>VLOOKUP(A23,'Base Sin Negativos'!S23:V1459,3,0)</f>
        <v>Belmont Aderezo de Anticucho 16oz x 12</v>
      </c>
      <c r="D23" s="20">
        <f>VLOOKUP(A23,'Base Sin Negativos'!S23:V1459,4,0)</f>
        <v>41</v>
      </c>
    </row>
    <row r="24" spans="1:4" x14ac:dyDescent="0.25">
      <c r="A24" s="20" t="s">
        <v>2352</v>
      </c>
      <c r="B24" s="20" t="str">
        <f>VLOOKUP(A24,'Base Sin Negativos'!S24:V1460,2,0)</f>
        <v>Belmont International Trading Corp</v>
      </c>
      <c r="C24" s="20" t="str">
        <f>VLOOKUP(A24,'Base Sin Negativos'!S24:V1460,3,0)</f>
        <v>Belmont Aderezo de Anticucho 16oz x 12</v>
      </c>
      <c r="D24" s="20">
        <f>VLOOKUP(A24,'Base Sin Negativos'!S24:V1460,4,0)</f>
        <v>45</v>
      </c>
    </row>
    <row r="25" spans="1:4" x14ac:dyDescent="0.25">
      <c r="A25" s="20" t="s">
        <v>2353</v>
      </c>
      <c r="B25" s="20" t="str">
        <f>VLOOKUP(A25,'Base Sin Negativos'!S25:V1461,2,0)</f>
        <v>Belmont International Trading Corp</v>
      </c>
      <c r="C25" s="20" t="str">
        <f>VLOOKUP(A25,'Base Sin Negativos'!S25:V1461,3,0)</f>
        <v>Belmont Aji Amarillo desvenado FROZEN  12oz  x 10</v>
      </c>
      <c r="D25" s="20">
        <f>VLOOKUP(A25,'Base Sin Negativos'!S25:V1461,4,0)</f>
        <v>30.9</v>
      </c>
    </row>
    <row r="26" spans="1:4" x14ac:dyDescent="0.25">
      <c r="A26" s="20" t="s">
        <v>2354</v>
      </c>
      <c r="B26" s="20" t="str">
        <f>VLOOKUP(A26,'Base Sin Negativos'!S26:V1462,2,0)</f>
        <v>Belmont International Trading Corp</v>
      </c>
      <c r="C26" s="20" t="str">
        <f>VLOOKUP(A26,'Base Sin Negativos'!S26:V1462,3,0)</f>
        <v>Belmont Aji Amarillo desvenado FROZEN  2Lb x 8</v>
      </c>
      <c r="D26" s="20">
        <f>VLOOKUP(A26,'Base Sin Negativos'!S26:V1462,4,0)</f>
        <v>56</v>
      </c>
    </row>
    <row r="27" spans="1:4" x14ac:dyDescent="0.25">
      <c r="A27" s="20" t="s">
        <v>2355</v>
      </c>
      <c r="B27" s="20" t="str">
        <f>VLOOKUP(A27,'Base Sin Negativos'!S27:V1463,2,0)</f>
        <v>Belmont International Trading Corp</v>
      </c>
      <c r="C27" s="20" t="str">
        <f>VLOOKUP(A27,'Base Sin Negativos'!S27:V1463,3,0)</f>
        <v>Belmont Aji Amarillo en Salmuera 20oz x 12</v>
      </c>
      <c r="D27" s="20">
        <f>VLOOKUP(A27,'Base Sin Negativos'!S27:V1463,4,0)</f>
        <v>36.75</v>
      </c>
    </row>
    <row r="28" spans="1:4" x14ac:dyDescent="0.25">
      <c r="A28" s="20" t="s">
        <v>2356</v>
      </c>
      <c r="B28" s="20" t="str">
        <f>VLOOKUP(A28,'Base Sin Negativos'!S28:V1464,2,0)</f>
        <v>Belmont International Trading Corp</v>
      </c>
      <c r="C28" s="20" t="str">
        <f>VLOOKUP(A28,'Base Sin Negativos'!S28:V1464,3,0)</f>
        <v>Belmont Aji Amarillo entero 1Lb x 18 FROZEN</v>
      </c>
      <c r="D28" s="20">
        <f>VLOOKUP(A28,'Base Sin Negativos'!S28:V1464,4,0)</f>
        <v>45</v>
      </c>
    </row>
    <row r="29" spans="1:4" x14ac:dyDescent="0.25">
      <c r="A29" s="20" t="s">
        <v>2357</v>
      </c>
      <c r="B29" s="20" t="str">
        <f>VLOOKUP(A29,'Base Sin Negativos'!S29:V1465,2,0)</f>
        <v>Belmont International Trading Corp</v>
      </c>
      <c r="C29" s="20" t="str">
        <f>VLOOKUP(A29,'Base Sin Negativos'!S29:V1465,3,0)</f>
        <v>Belmont Aji Amarillo pasta 16oz x 12</v>
      </c>
      <c r="D29" s="20">
        <f>VLOOKUP(A29,'Base Sin Negativos'!S29:V1465,4,0)</f>
        <v>44</v>
      </c>
    </row>
    <row r="30" spans="1:4" x14ac:dyDescent="0.25">
      <c r="A30" s="20" t="s">
        <v>2358</v>
      </c>
      <c r="B30" s="20" t="str">
        <f>VLOOKUP(A30,'Base Sin Negativos'!S30:V1466,2,0)</f>
        <v>Belmont International Trading Corp</v>
      </c>
      <c r="C30" s="20" t="str">
        <f>VLOOKUP(A30,'Base Sin Negativos'!S30:V1466,3,0)</f>
        <v>Belmont Aji Amarillo pasta 8oz x 12</v>
      </c>
      <c r="D30" s="20">
        <f>VLOOKUP(A30,'Base Sin Negativos'!S30:V1466,4,0)</f>
        <v>23.5</v>
      </c>
    </row>
    <row r="31" spans="1:4" x14ac:dyDescent="0.25">
      <c r="A31" s="20" t="s">
        <v>2359</v>
      </c>
      <c r="B31" s="20" t="str">
        <f>VLOOKUP(A31,'Base Sin Negativos'!S31:V1467,2,0)</f>
        <v>Belmont International Trading Corp</v>
      </c>
      <c r="C31" s="20" t="str">
        <f>VLOOKUP(A31,'Base Sin Negativos'!S31:V1467,3,0)</f>
        <v>Belmont Aji Limo 14oz x 9 FROZEN</v>
      </c>
      <c r="D31" s="20">
        <f>VLOOKUP(A31,'Base Sin Negativos'!S31:V1467,4,0)</f>
        <v>20.9</v>
      </c>
    </row>
    <row r="32" spans="1:4" x14ac:dyDescent="0.25">
      <c r="A32" s="20" t="s">
        <v>2360</v>
      </c>
      <c r="B32" s="20" t="str">
        <f>VLOOKUP(A32,'Base Sin Negativos'!S32:V1468,2,0)</f>
        <v>Belmont International Trading Corp</v>
      </c>
      <c r="C32" s="20" t="str">
        <f>VLOOKUP(A32,'Base Sin Negativos'!S32:V1468,3,0)</f>
        <v>Belmont Aji Panca pasta 16Oz x 12</v>
      </c>
      <c r="D32" s="20">
        <f>VLOOKUP(A32,'Base Sin Negativos'!S32:V1468,4,0)</f>
        <v>44</v>
      </c>
    </row>
    <row r="33" spans="1:4" x14ac:dyDescent="0.25">
      <c r="A33" s="20" t="s">
        <v>2361</v>
      </c>
      <c r="B33" s="20" t="str">
        <f>VLOOKUP(A33,'Base Sin Negativos'!S33:V1469,2,0)</f>
        <v>Belmont International Trading Corp</v>
      </c>
      <c r="C33" s="20" t="str">
        <f>VLOOKUP(A33,'Base Sin Negativos'!S33:V1469,3,0)</f>
        <v>Belmont Aji Panca pasta 8oz x 12</v>
      </c>
      <c r="D33" s="20">
        <f>VLOOKUP(A33,'Base Sin Negativos'!S33:V1469,4,0)</f>
        <v>23.5</v>
      </c>
    </row>
    <row r="34" spans="1:4" x14ac:dyDescent="0.25">
      <c r="A34" s="20" t="s">
        <v>2362</v>
      </c>
      <c r="B34" s="20" t="str">
        <f>VLOOKUP(A34,'Base Sin Negativos'!S34:V1470,2,0)</f>
        <v>Belmont International Trading Corp</v>
      </c>
      <c r="C34" s="20" t="str">
        <f>VLOOKUP(A34,'Base Sin Negativos'!S34:V1470,3,0)</f>
        <v>Belmont Aji Panca pasta Bidon 7Lb</v>
      </c>
      <c r="D34" s="20">
        <f>VLOOKUP(A34,'Base Sin Negativos'!S34:V1470,4,0)</f>
        <v>20.166599999999999</v>
      </c>
    </row>
    <row r="35" spans="1:4" x14ac:dyDescent="0.25">
      <c r="A35" s="20" t="s">
        <v>2363</v>
      </c>
      <c r="B35" s="20" t="str">
        <f>VLOOKUP(A35,'Base Sin Negativos'!S35:V1471,2,0)</f>
        <v>Belmont International Trading Corp</v>
      </c>
      <c r="C35" s="20" t="str">
        <f>VLOOKUP(A35,'Base Sin Negativos'!S35:V1471,3,0)</f>
        <v>Belmont Chicha de Jora</v>
      </c>
      <c r="D35" s="20">
        <f>VLOOKUP(A35,'Base Sin Negativos'!S35:V1471,4,0)</f>
        <v>35.9</v>
      </c>
    </row>
    <row r="36" spans="1:4" x14ac:dyDescent="0.25">
      <c r="A36" s="20" t="s">
        <v>2364</v>
      </c>
      <c r="B36" s="20" t="str">
        <f>VLOOKUP(A36,'Base Sin Negativos'!S36:V1472,2,0)</f>
        <v>Belmont International Trading Corp</v>
      </c>
      <c r="C36" s="20" t="str">
        <f>VLOOKUP(A36,'Base Sin Negativos'!S36:V1472,3,0)</f>
        <v>Belmont Chicha Morada 16oz x 12</v>
      </c>
      <c r="D36" s="20">
        <f>VLOOKUP(A36,'Base Sin Negativos'!S36:V1472,4,0)</f>
        <v>12.5</v>
      </c>
    </row>
    <row r="37" spans="1:4" x14ac:dyDescent="0.25">
      <c r="A37" s="20" t="s">
        <v>2365</v>
      </c>
      <c r="B37" s="20" t="str">
        <f>VLOOKUP(A37,'Base Sin Negativos'!S37:V1473,2,0)</f>
        <v>Belmont International Trading Corp</v>
      </c>
      <c r="C37" s="20" t="str">
        <f>VLOOKUP(A37,'Base Sin Negativos'!S37:V1473,3,0)</f>
        <v>Belmont Chicha Morada 1Lt x 6</v>
      </c>
      <c r="D37" s="20">
        <f>VLOOKUP(A37,'Base Sin Negativos'!S37:V1473,4,0)</f>
        <v>12</v>
      </c>
    </row>
    <row r="38" spans="1:4" x14ac:dyDescent="0.25">
      <c r="A38" s="20" t="s">
        <v>2366</v>
      </c>
      <c r="B38" s="20" t="str">
        <f>VLOOKUP(A38,'Base Sin Negativos'!S38:V1474,2,0)</f>
        <v>Belmont International Trading Corp</v>
      </c>
      <c r="C38" s="20" t="str">
        <f>VLOOKUP(A38,'Base Sin Negativos'!S38:V1474,3,0)</f>
        <v>Belmont Chifles Piuranos 125gr x 20</v>
      </c>
      <c r="D38" s="20">
        <f>VLOOKUP(A38,'Base Sin Negativos'!S38:V1474,4,0)</f>
        <v>37.5</v>
      </c>
    </row>
    <row r="39" spans="1:4" x14ac:dyDescent="0.25">
      <c r="A39" s="20" t="s">
        <v>2367</v>
      </c>
      <c r="B39" s="20" t="str">
        <f>VLOOKUP(A39,'Base Sin Negativos'!S39:V1475,2,0)</f>
        <v>Belmont International Trading Corp</v>
      </c>
      <c r="C39" s="20" t="str">
        <f>VLOOKUP(A39,'Base Sin Negativos'!S39:V1475,3,0)</f>
        <v>Belmont Chifles Piuranos 250gr x 10</v>
      </c>
      <c r="D39" s="20">
        <f>VLOOKUP(A39,'Base Sin Negativos'!S39:V1475,4,0)</f>
        <v>36.5</v>
      </c>
    </row>
    <row r="40" spans="1:4" x14ac:dyDescent="0.25">
      <c r="A40" s="20" t="s">
        <v>2368</v>
      </c>
      <c r="B40" s="20" t="str">
        <f>VLOOKUP(A40,'Base Sin Negativos'!S40:V1476,2,0)</f>
        <v>Belmont International Trading Corp</v>
      </c>
      <c r="C40" s="20" t="str">
        <f>VLOOKUP(A40,'Base Sin Negativos'!S40:V1476,3,0)</f>
        <v>Belmont Chirimoya pulpa 14oz x 20</v>
      </c>
      <c r="D40" s="20">
        <f>VLOOKUP(A40,'Base Sin Negativos'!S40:V1476,4,0)</f>
        <v>48</v>
      </c>
    </row>
    <row r="41" spans="1:4" x14ac:dyDescent="0.25">
      <c r="A41" s="20" t="s">
        <v>2369</v>
      </c>
      <c r="B41" s="20" t="str">
        <f>VLOOKUP(A41,'Base Sin Negativos'!S41:V1477,2,0)</f>
        <v>Belmont International Trading Corp</v>
      </c>
      <c r="C41" s="20" t="str">
        <f>VLOOKUP(A41,'Base Sin Negativos'!S41:V1477,3,0)</f>
        <v>Belmont Chirimoya pulpa 14oz x 20</v>
      </c>
      <c r="D41" s="20">
        <f>VLOOKUP(A41,'Base Sin Negativos'!S41:V1477,4,0)</f>
        <v>52.9</v>
      </c>
    </row>
    <row r="42" spans="1:4" x14ac:dyDescent="0.25">
      <c r="A42" s="20" t="s">
        <v>2370</v>
      </c>
      <c r="B42" s="20" t="str">
        <f>VLOOKUP(A42,'Base Sin Negativos'!S42:V1478,2,0)</f>
        <v>Belmont International Trading Corp</v>
      </c>
      <c r="C42" s="20" t="str">
        <f>VLOOKUP(A42,'Base Sin Negativos'!S42:V1478,3,0)</f>
        <v>Belmont Choclo desgranado 1Lb x 30 FROZEN</v>
      </c>
      <c r="D42" s="20">
        <f>VLOOKUP(A42,'Base Sin Negativos'!S42:V1478,4,0)</f>
        <v>72.5</v>
      </c>
    </row>
    <row r="43" spans="1:4" x14ac:dyDescent="0.25">
      <c r="A43" s="20" t="s">
        <v>2371</v>
      </c>
      <c r="B43" s="20" t="str">
        <f>VLOOKUP(A43,'Base Sin Negativos'!S43:V1479,2,0)</f>
        <v>Belmont International Trading Corp</v>
      </c>
      <c r="C43" s="20" t="str">
        <f>VLOOKUP(A43,'Base Sin Negativos'!S43:V1479,3,0)</f>
        <v>Belmont Choclo Desgranado 3Lb x 10</v>
      </c>
      <c r="D43" s="20">
        <f>VLOOKUP(A43,'Base Sin Negativos'!S43:V1479,4,0)</f>
        <v>72.5</v>
      </c>
    </row>
    <row r="44" spans="1:4" x14ac:dyDescent="0.25">
      <c r="A44" s="20" t="s">
        <v>2372</v>
      </c>
      <c r="B44" s="20" t="str">
        <f>VLOOKUP(A44,'Base Sin Negativos'!S44:V1480,2,0)</f>
        <v>Belmont International Trading Corp</v>
      </c>
      <c r="C44" s="20" t="str">
        <f>VLOOKUP(A44,'Base Sin Negativos'!S44:V1480,3,0)</f>
        <v>Belmont Concentrado Chicha Morada  64oz x 6</v>
      </c>
      <c r="D44" s="20">
        <f>VLOOKUP(A44,'Base Sin Negativos'!S44:V1480,4,0)</f>
        <v>35.5</v>
      </c>
    </row>
    <row r="45" spans="1:4" x14ac:dyDescent="0.25">
      <c r="A45" s="20" t="s">
        <v>2373</v>
      </c>
      <c r="B45" s="20" t="str">
        <f>VLOOKUP(A45,'Base Sin Negativos'!S45:V1481,2,0)</f>
        <v>Belmont International Trading Corp</v>
      </c>
      <c r="C45" s="20" t="str">
        <f>VLOOKUP(A45,'Base Sin Negativos'!S45:V1481,3,0)</f>
        <v>Belmont Concentrado Chicha Morada  64oz x 6</v>
      </c>
      <c r="D45" s="20">
        <f>VLOOKUP(A45,'Base Sin Negativos'!S45:V1481,4,0)</f>
        <v>41.9</v>
      </c>
    </row>
    <row r="46" spans="1:4" x14ac:dyDescent="0.25">
      <c r="A46" s="20" t="s">
        <v>2374</v>
      </c>
      <c r="B46" s="20" t="str">
        <f>VLOOKUP(A46,'Base Sin Negativos'!S46:V1482,2,0)</f>
        <v>Belmont International Trading Corp</v>
      </c>
      <c r="C46" s="20" t="str">
        <f>VLOOKUP(A46,'Base Sin Negativos'!S46:V1482,3,0)</f>
        <v>Belmont Culantro pasta 8oz x 12</v>
      </c>
      <c r="D46" s="20">
        <f>VLOOKUP(A46,'Base Sin Negativos'!S46:V1482,4,0)</f>
        <v>23.5</v>
      </c>
    </row>
    <row r="47" spans="1:4" x14ac:dyDescent="0.25">
      <c r="A47" s="20" t="s">
        <v>2375</v>
      </c>
      <c r="B47" s="20" t="str">
        <f>VLOOKUP(A47,'Base Sin Negativos'!S47:V1483,2,0)</f>
        <v>Belmont International Trading Corp</v>
      </c>
      <c r="C47" s="20" t="str">
        <f>VLOOKUP(A47,'Base Sin Negativos'!S47:V1483,3,0)</f>
        <v>Belmont Emoliente bebida 16oz x 12</v>
      </c>
      <c r="D47" s="20">
        <f>VLOOKUP(A47,'Base Sin Negativos'!S47:V1483,4,0)</f>
        <v>12.5</v>
      </c>
    </row>
    <row r="48" spans="1:4" x14ac:dyDescent="0.25">
      <c r="A48" s="20" t="s">
        <v>2376</v>
      </c>
      <c r="B48" s="20" t="str">
        <f>VLOOKUP(A48,'Base Sin Negativos'!S48:V1484,2,0)</f>
        <v>Belmont International Trading Corp</v>
      </c>
      <c r="C48" s="20" t="str">
        <f>VLOOKUP(A48,'Base Sin Negativos'!S48:V1484,3,0)</f>
        <v>Belmont Galleta Cream Crackers 258gr x 24</v>
      </c>
      <c r="D48" s="20">
        <f>VLOOKUP(A48,'Base Sin Negativos'!S48:V1484,4,0)</f>
        <v>48</v>
      </c>
    </row>
    <row r="49" spans="1:4" x14ac:dyDescent="0.25">
      <c r="A49" s="20" t="s">
        <v>2377</v>
      </c>
      <c r="B49" s="20" t="str">
        <f>VLOOKUP(A49,'Base Sin Negativos'!S49:V1485,2,0)</f>
        <v>Belmont International Trading Corp</v>
      </c>
      <c r="C49" s="20" t="str">
        <f>VLOOKUP(A49,'Base Sin Negativos'!S49:V1485,3,0)</f>
        <v>Belmont Habas Secas Peladas 15oz x 12</v>
      </c>
      <c r="D49" s="20">
        <f>VLOOKUP(A49,'Base Sin Negativos'!S49:V1485,4,0)</f>
        <v>25</v>
      </c>
    </row>
    <row r="50" spans="1:4" x14ac:dyDescent="0.25">
      <c r="A50" s="20" t="s">
        <v>2378</v>
      </c>
      <c r="B50" s="20" t="str">
        <f>VLOOKUP(A50,'Base Sin Negativos'!S50:V1486,2,0)</f>
        <v>Belmont International Trading Corp</v>
      </c>
      <c r="C50" s="20" t="str">
        <f>VLOOKUP(A50,'Base Sin Negativos'!S50:V1486,3,0)</f>
        <v>Belmont Harina de Camote 15oz x 12</v>
      </c>
      <c r="D50" s="20">
        <f>VLOOKUP(A50,'Base Sin Negativos'!S50:V1486,4,0)</f>
        <v>22</v>
      </c>
    </row>
    <row r="51" spans="1:4" x14ac:dyDescent="0.25">
      <c r="A51" s="20" t="s">
        <v>2379</v>
      </c>
      <c r="B51" s="20" t="str">
        <f>VLOOKUP(A51,'Base Sin Negativos'!S51:V1487,2,0)</f>
        <v>Belmont International Trading Corp</v>
      </c>
      <c r="C51" s="20" t="str">
        <f>VLOOKUP(A51,'Base Sin Negativos'!S51:V1487,3,0)</f>
        <v>Belmont jugo de Maracuya 16oz x 12</v>
      </c>
      <c r="D51" s="20">
        <f>VLOOKUP(A51,'Base Sin Negativos'!S51:V1487,4,0)</f>
        <v>12.5</v>
      </c>
    </row>
    <row r="52" spans="1:4" x14ac:dyDescent="0.25">
      <c r="A52" s="20" t="s">
        <v>2380</v>
      </c>
      <c r="B52" s="20" t="str">
        <f>VLOOKUP(A52,'Base Sin Negativos'!S52:V1488,2,0)</f>
        <v>Belmont International Trading Corp</v>
      </c>
      <c r="C52" s="20" t="str">
        <f>VLOOKUP(A52,'Base Sin Negativos'!S52:V1488,3,0)</f>
        <v>Belmont jugo de Maracuya 1Lt x 6</v>
      </c>
      <c r="D52" s="20">
        <f>VLOOKUP(A52,'Base Sin Negativos'!S52:V1488,4,0)</f>
        <v>12</v>
      </c>
    </row>
    <row r="53" spans="1:4" x14ac:dyDescent="0.25">
      <c r="A53" s="20" t="s">
        <v>2381</v>
      </c>
      <c r="B53" s="20" t="str">
        <f>VLOOKUP(A53,'Base Sin Negativos'!S53:V1489,2,0)</f>
        <v>Belmont International Trading Corp</v>
      </c>
      <c r="C53" s="20" t="str">
        <f>VLOOKUP(A53,'Base Sin Negativos'!S53:V1489,3,0)</f>
        <v>Belmont Maiz Cancha 15oz x 12</v>
      </c>
      <c r="D53" s="20">
        <f>VLOOKUP(A53,'Base Sin Negativos'!S53:V1489,4,0)</f>
        <v>22</v>
      </c>
    </row>
    <row r="54" spans="1:4" x14ac:dyDescent="0.25">
      <c r="A54" s="20" t="s">
        <v>2382</v>
      </c>
      <c r="B54" s="20" t="str">
        <f>VLOOKUP(A54,'Base Sin Negativos'!S54:V1490,2,0)</f>
        <v>Belmont International Trading Corp</v>
      </c>
      <c r="C54" s="20" t="str">
        <f>VLOOKUP(A54,'Base Sin Negativos'!S54:V1490,3,0)</f>
        <v>Belmont Maiz Chulpe 15oz x 12</v>
      </c>
      <c r="D54" s="20">
        <f>VLOOKUP(A54,'Base Sin Negativos'!S54:V1490,4,0)</f>
        <v>29</v>
      </c>
    </row>
    <row r="55" spans="1:4" x14ac:dyDescent="0.25">
      <c r="A55" s="20" t="s">
        <v>2383</v>
      </c>
      <c r="B55" s="20" t="str">
        <f>VLOOKUP(A55,'Base Sin Negativos'!S55:V1491,2,0)</f>
        <v>Belmont International Trading Corp</v>
      </c>
      <c r="C55" s="20" t="str">
        <f>VLOOKUP(A55,'Base Sin Negativos'!S55:V1491,3,0)</f>
        <v>Belmont Maiz Morado x 15oz</v>
      </c>
      <c r="D55" s="20">
        <f>VLOOKUP(A55,'Base Sin Negativos'!S55:V1491,4,0)</f>
        <v>27.9</v>
      </c>
    </row>
    <row r="56" spans="1:4" x14ac:dyDescent="0.25">
      <c r="A56" s="20" t="s">
        <v>2384</v>
      </c>
      <c r="B56" s="20" t="str">
        <f>VLOOKUP(A56,'Base Sin Negativos'!S56:V1492,2,0)</f>
        <v>Belmont International Trading Corp</v>
      </c>
      <c r="C56" s="20" t="str">
        <f>VLOOKUP(A56,'Base Sin Negativos'!S56:V1492,3,0)</f>
        <v>Belmont Mango Nectar</v>
      </c>
      <c r="D56" s="20">
        <f>VLOOKUP(A56,'Base Sin Negativos'!S56:V1492,4,0)</f>
        <v>12.5</v>
      </c>
    </row>
    <row r="57" spans="1:4" x14ac:dyDescent="0.25">
      <c r="A57" s="20" t="s">
        <v>2385</v>
      </c>
      <c r="B57" s="20" t="str">
        <f>VLOOKUP(A57,'Base Sin Negativos'!S57:V1493,2,0)</f>
        <v>Belmont International Trading Corp</v>
      </c>
      <c r="C57" s="20" t="str">
        <f>VLOOKUP(A57,'Base Sin Negativos'!S57:V1493,3,0)</f>
        <v>Belmont Mango nectar 1Lt x 6</v>
      </c>
      <c r="D57" s="20">
        <f>VLOOKUP(A57,'Base Sin Negativos'!S57:V1493,4,0)</f>
        <v>12</v>
      </c>
    </row>
    <row r="58" spans="1:4" x14ac:dyDescent="0.25">
      <c r="A58" s="20" t="s">
        <v>2386</v>
      </c>
      <c r="B58" s="20" t="str">
        <f>VLOOKUP(A58,'Base Sin Negativos'!S58:V1494,2,0)</f>
        <v>Belmont International Trading Corp</v>
      </c>
      <c r="C58" s="20" t="str">
        <f>VLOOKUP(A58,'Base Sin Negativos'!S58:V1494,3,0)</f>
        <v>Belmont Maracuya con pepas FROZEN 1Kg x 16</v>
      </c>
      <c r="D58" s="20">
        <f>VLOOKUP(A58,'Base Sin Negativos'!S58:V1494,4,0)</f>
        <v>79.5</v>
      </c>
    </row>
    <row r="59" spans="1:4" x14ac:dyDescent="0.25">
      <c r="A59" s="20" t="s">
        <v>2387</v>
      </c>
      <c r="B59" s="20" t="str">
        <f>VLOOKUP(A59,'Base Sin Negativos'!S59:V1495,2,0)</f>
        <v>Belmont International Trading Corp</v>
      </c>
      <c r="C59" s="20" t="str">
        <f>VLOOKUP(A59,'Base Sin Negativos'!S59:V1495,3,0)</f>
        <v>Belmont Pallares 15oz x 14</v>
      </c>
      <c r="D59" s="20">
        <f>VLOOKUP(A59,'Base Sin Negativos'!S59:V1495,4,0)</f>
        <v>29.9</v>
      </c>
    </row>
    <row r="60" spans="1:4" x14ac:dyDescent="0.25">
      <c r="A60" s="20" t="s">
        <v>2388</v>
      </c>
      <c r="B60" s="20" t="str">
        <f>VLOOKUP(A60,'Base Sin Negativos'!S60:V1496,2,0)</f>
        <v>Belmont International Trading Corp</v>
      </c>
      <c r="C60" s="20" t="str">
        <f>VLOOKUP(A60,'Base Sin Negativos'!S60:V1496,3,0)</f>
        <v>Belmont Pulpa de Lucuma</v>
      </c>
      <c r="D60" s="20">
        <f>VLOOKUP(A60,'Base Sin Negativos'!S60:V1496,4,0)</f>
        <v>62.9</v>
      </c>
    </row>
    <row r="61" spans="1:4" x14ac:dyDescent="0.25">
      <c r="A61" s="20" t="s">
        <v>2389</v>
      </c>
      <c r="B61" s="20" t="str">
        <f>VLOOKUP(A61,'Base Sin Negativos'!S61:V1497,2,0)</f>
        <v>Belmont International Trading Corp</v>
      </c>
      <c r="C61" s="20" t="str">
        <f>VLOOKUP(A61,'Base Sin Negativos'!S61:V1497,3,0)</f>
        <v>Belmont Pulpa de Maracuya 14oz x 20</v>
      </c>
      <c r="D61" s="20">
        <f>VLOOKUP(A61,'Base Sin Negativos'!S61:V1497,4,0)</f>
        <v>48.5</v>
      </c>
    </row>
    <row r="62" spans="1:4" x14ac:dyDescent="0.25">
      <c r="A62" s="20" t="s">
        <v>2390</v>
      </c>
      <c r="B62" s="20" t="str">
        <f>VLOOKUP(A62,'Base Sin Negativos'!S62:V1498,2,0)</f>
        <v>Belmont International Trading Corp</v>
      </c>
      <c r="C62" s="20" t="str">
        <f>VLOOKUP(A62,'Base Sin Negativos'!S62:V1498,3,0)</f>
        <v>Belmont Rocoto Desvenado limpio FROZEN 2lb x 10</v>
      </c>
      <c r="D62" s="20">
        <f>VLOOKUP(A62,'Base Sin Negativos'!S62:V1498,4,0)</f>
        <v>66.5</v>
      </c>
    </row>
    <row r="63" spans="1:4" x14ac:dyDescent="0.25">
      <c r="A63" s="20" t="s">
        <v>2391</v>
      </c>
      <c r="B63" s="20" t="str">
        <f>VLOOKUP(A63,'Base Sin Negativos'!S63:V1499,2,0)</f>
        <v>Belmont International Trading Corp</v>
      </c>
      <c r="C63" s="20" t="str">
        <f>VLOOKUP(A63,'Base Sin Negativos'!S63:V1499,3,0)</f>
        <v>Belmont Rocoto en salmuera 20oz x 12</v>
      </c>
      <c r="D63" s="20">
        <f>VLOOKUP(A63,'Base Sin Negativos'!S63:V1499,4,0)</f>
        <v>39.9</v>
      </c>
    </row>
    <row r="64" spans="1:4" x14ac:dyDescent="0.25">
      <c r="A64" s="20" t="s">
        <v>2392</v>
      </c>
      <c r="B64" s="20" t="str">
        <f>VLOOKUP(A64,'Base Sin Negativos'!S64:V1500,2,0)</f>
        <v>Belmont International Trading Corp</v>
      </c>
      <c r="C64" s="20" t="str">
        <f>VLOOKUP(A64,'Base Sin Negativos'!S64:V1500,3,0)</f>
        <v>Belmont Rocoto entero FROZEN</v>
      </c>
      <c r="D64" s="20">
        <f>VLOOKUP(A64,'Base Sin Negativos'!S64:V1500,4,0)</f>
        <v>51</v>
      </c>
    </row>
    <row r="65" spans="1:4" x14ac:dyDescent="0.25">
      <c r="A65" s="20" t="s">
        <v>2393</v>
      </c>
      <c r="B65" s="20" t="str">
        <f>VLOOKUP(A65,'Base Sin Negativos'!S65:V1501,2,0)</f>
        <v>Belmont International Trading Corp</v>
      </c>
      <c r="C65" s="20" t="str">
        <f>VLOOKUP(A65,'Base Sin Negativos'!S65:V1501,3,0)</f>
        <v>Belmont Yuyo Marino FROZEN 2.2lb x 8</v>
      </c>
      <c r="D65" s="20">
        <f>VLOOKUP(A65,'Base Sin Negativos'!S65:V1501,4,0)</f>
        <v>54</v>
      </c>
    </row>
    <row r="66" spans="1:4" x14ac:dyDescent="0.25">
      <c r="A66" s="20" t="s">
        <v>2394</v>
      </c>
      <c r="B66" s="20" t="str">
        <f>VLOOKUP(A66,'Base Sin Negativos'!S66:V1502,2,0)</f>
        <v>Belmont International Trading Corp</v>
      </c>
      <c r="C66" s="20" t="str">
        <f>VLOOKUP(A66,'Base Sin Negativos'!S66:V1502,3,0)</f>
        <v>Belmont Yuyo Marino FROZEN 2.2lb x 8</v>
      </c>
      <c r="D66" s="20">
        <f>VLOOKUP(A66,'Base Sin Negativos'!S66:V1502,4,0)</f>
        <v>59.9</v>
      </c>
    </row>
    <row r="67" spans="1:4" x14ac:dyDescent="0.25">
      <c r="A67" s="20" t="s">
        <v>2395</v>
      </c>
      <c r="B67" s="20" t="str">
        <f>VLOOKUP(A67,'Base Sin Negativos'!S67:V1503,2,0)</f>
        <v>Belmont International Trading Corp</v>
      </c>
      <c r="C67" s="20" t="str">
        <f>VLOOKUP(A67,'Base Sin Negativos'!S67:V1503,3,0)</f>
        <v>CASINO Galleta Chocolate 51gr x 6 x 8</v>
      </c>
      <c r="D67" s="20">
        <f>VLOOKUP(A67,'Base Sin Negativos'!S67:V1503,4,0)</f>
        <v>16</v>
      </c>
    </row>
    <row r="68" spans="1:4" x14ac:dyDescent="0.25">
      <c r="A68" s="20" t="s">
        <v>2396</v>
      </c>
      <c r="B68" s="20" t="str">
        <f>VLOOKUP(A68,'Base Sin Negativos'!S68:V1504,2,0)</f>
        <v>Belmont International Trading Corp</v>
      </c>
      <c r="C68" s="20" t="str">
        <f>VLOOKUP(A68,'Base Sin Negativos'!S68:V1504,3,0)</f>
        <v>CASINO Galleta Chocolate 51gr x 6 x 8</v>
      </c>
      <c r="D68" s="20">
        <f>VLOOKUP(A68,'Base Sin Negativos'!S68:V1504,4,0)</f>
        <v>17.600000000000001</v>
      </c>
    </row>
    <row r="69" spans="1:4" x14ac:dyDescent="0.25">
      <c r="A69" s="20" t="s">
        <v>2397</v>
      </c>
      <c r="B69" s="20" t="str">
        <f>VLOOKUP(A69,'Base Sin Negativos'!S69:V1505,2,0)</f>
        <v>Peru Chef</v>
      </c>
      <c r="C69" s="20" t="str">
        <f>VLOOKUP(A69,'Base Sin Negativos'!S69:V1505,3,0)</f>
        <v>CASINO Galleta Chocolate 51gr x 6 x 8</v>
      </c>
      <c r="D69" s="20">
        <f>VLOOKUP(A69,'Base Sin Negativos'!S69:V1505,4,0)</f>
        <v>15.5</v>
      </c>
    </row>
    <row r="70" spans="1:4" x14ac:dyDescent="0.25">
      <c r="A70" s="20" t="s">
        <v>2398</v>
      </c>
      <c r="B70" s="20" t="str">
        <f>VLOOKUP(A70,'Base Sin Negativos'!S70:V1506,2,0)</f>
        <v>Peru Chef</v>
      </c>
      <c r="C70" s="20" t="str">
        <f>VLOOKUP(A70,'Base Sin Negativos'!S70:V1506,3,0)</f>
        <v>CASINO Galleta Chocolate 51gr x 6 x 8</v>
      </c>
      <c r="D70" s="20">
        <f>VLOOKUP(A70,'Base Sin Negativos'!S70:V1506,4,0)</f>
        <v>17</v>
      </c>
    </row>
    <row r="71" spans="1:4" x14ac:dyDescent="0.25">
      <c r="A71" s="20" t="s">
        <v>2399</v>
      </c>
      <c r="B71" s="20" t="str">
        <f>VLOOKUP(A71,'Base Sin Negativos'!S71:V1507,2,0)</f>
        <v>Peru Chef</v>
      </c>
      <c r="C71" s="20" t="str">
        <f>VLOOKUP(A71,'Base Sin Negativos'!S71:V1507,3,0)</f>
        <v>CASINO Galleta Chocolate 51gr x 6 x 8</v>
      </c>
      <c r="D71" s="20">
        <f>VLOOKUP(A71,'Base Sin Negativos'!S71:V1507,4,0)</f>
        <v>15.3</v>
      </c>
    </row>
    <row r="72" spans="1:4" x14ac:dyDescent="0.25">
      <c r="A72" s="20" t="s">
        <v>2400</v>
      </c>
      <c r="B72" s="20" t="str">
        <f>VLOOKUP(A72,'Base Sin Negativos'!S72:V1508,2,0)</f>
        <v>Belmont International Trading Corp</v>
      </c>
      <c r="C72" s="20" t="str">
        <f>VLOOKUP(A72,'Base Sin Negativos'!S72:V1508,3,0)</f>
        <v>CASINO Galleta Fresa  51gr x 6 x 8</v>
      </c>
      <c r="D72" s="20">
        <f>VLOOKUP(A72,'Base Sin Negativos'!S72:V1508,4,0)</f>
        <v>16</v>
      </c>
    </row>
    <row r="73" spans="1:4" x14ac:dyDescent="0.25">
      <c r="A73" s="20" t="s">
        <v>2401</v>
      </c>
      <c r="B73" s="20" t="str">
        <f>VLOOKUP(A73,'Base Sin Negativos'!S73:V1509,2,0)</f>
        <v>Belmont International Trading Corp</v>
      </c>
      <c r="C73" s="20" t="str">
        <f>VLOOKUP(A73,'Base Sin Negativos'!S73:V1509,3,0)</f>
        <v>CASINO Galleta Fresa  51gr x 6 x 8</v>
      </c>
      <c r="D73" s="20">
        <f>VLOOKUP(A73,'Base Sin Negativos'!S73:V1509,4,0)</f>
        <v>17.600000000000001</v>
      </c>
    </row>
    <row r="74" spans="1:4" x14ac:dyDescent="0.25">
      <c r="A74" s="20" t="s">
        <v>2402</v>
      </c>
      <c r="B74" s="20" t="str">
        <f>VLOOKUP(A74,'Base Sin Negativos'!S74:V1510,2,0)</f>
        <v>Peru Chef</v>
      </c>
      <c r="C74" s="20" t="str">
        <f>VLOOKUP(A74,'Base Sin Negativos'!S74:V1510,3,0)</f>
        <v>CASINO Galleta Fresa  51gr x 6 x 8</v>
      </c>
      <c r="D74" s="20">
        <f>VLOOKUP(A74,'Base Sin Negativos'!S74:V1510,4,0)</f>
        <v>17</v>
      </c>
    </row>
    <row r="75" spans="1:4" x14ac:dyDescent="0.25">
      <c r="A75" s="20" t="s">
        <v>2403</v>
      </c>
      <c r="B75" s="20" t="str">
        <f>VLOOKUP(A75,'Base Sin Negativos'!S75:V1511,2,0)</f>
        <v>Tradiciones Andinas</v>
      </c>
      <c r="C75" s="20" t="str">
        <f>VLOOKUP(A75,'Base Sin Negativos'!S75:V1511,3,0)</f>
        <v>CASINO Galleta Fresa  51gr x 6 x 8</v>
      </c>
      <c r="D75" s="20">
        <f>VLOOKUP(A75,'Base Sin Negativos'!S75:V1511,4,0)</f>
        <v>18.32</v>
      </c>
    </row>
    <row r="76" spans="1:4" x14ac:dyDescent="0.25">
      <c r="A76" s="20" t="s">
        <v>2404</v>
      </c>
      <c r="B76" s="20" t="str">
        <f>VLOOKUP(A76,'Base Sin Negativos'!S76:V1512,2,0)</f>
        <v>Belmont International Trading Corp</v>
      </c>
      <c r="C76" s="20" t="str">
        <f>VLOOKUP(A76,'Base Sin Negativos'!S76:V1512,3,0)</f>
        <v>CASINO Galleta Lucuma 51gr x 6 x 8</v>
      </c>
      <c r="D76" s="20">
        <f>VLOOKUP(A76,'Base Sin Negativos'!S76:V1512,4,0)</f>
        <v>16</v>
      </c>
    </row>
    <row r="77" spans="1:4" x14ac:dyDescent="0.25">
      <c r="A77" s="20" t="s">
        <v>2405</v>
      </c>
      <c r="B77" s="20" t="str">
        <f>VLOOKUP(A77,'Base Sin Negativos'!S77:V1513,2,0)</f>
        <v>Peru Chef</v>
      </c>
      <c r="C77" s="20" t="str">
        <f>VLOOKUP(A77,'Base Sin Negativos'!S77:V1513,3,0)</f>
        <v>CASINO Galleta Lucuma 51gr x 6 x 8</v>
      </c>
      <c r="D77" s="20">
        <f>VLOOKUP(A77,'Base Sin Negativos'!S77:V1513,4,0)</f>
        <v>17</v>
      </c>
    </row>
    <row r="78" spans="1:4" x14ac:dyDescent="0.25">
      <c r="A78" s="20" t="s">
        <v>2406</v>
      </c>
      <c r="B78" s="20" t="str">
        <f>VLOOKUP(A78,'Base Sin Negativos'!S78:V1514,2,0)</f>
        <v>Peru Chef</v>
      </c>
      <c r="C78" s="20" t="str">
        <f>VLOOKUP(A78,'Base Sin Negativos'!S78:V1514,3,0)</f>
        <v>CASINO Galleta Lucuma 51gr x 6 x 8</v>
      </c>
      <c r="D78" s="20">
        <f>VLOOKUP(A78,'Base Sin Negativos'!S78:V1514,4,0)</f>
        <v>15.3</v>
      </c>
    </row>
    <row r="79" spans="1:4" x14ac:dyDescent="0.25">
      <c r="A79" s="20" t="s">
        <v>2407</v>
      </c>
      <c r="B79" s="20" t="str">
        <f>VLOOKUP(A79,'Base Sin Negativos'!S79:V1515,2,0)</f>
        <v>Belmont International Trading Corp</v>
      </c>
      <c r="C79" s="20" t="str">
        <f>VLOOKUP(A79,'Base Sin Negativos'!S79:V1515,3,0)</f>
        <v>CASINO Galleta Menta 51gr x 6 x 8</v>
      </c>
      <c r="D79" s="20">
        <f>VLOOKUP(A79,'Base Sin Negativos'!S79:V1515,4,0)</f>
        <v>16</v>
      </c>
    </row>
    <row r="80" spans="1:4" x14ac:dyDescent="0.25">
      <c r="A80" s="20" t="s">
        <v>2408</v>
      </c>
      <c r="B80" s="20" t="str">
        <f>VLOOKUP(A80,'Base Sin Negativos'!S80:V1516,2,0)</f>
        <v>Belmont International Trading Corp</v>
      </c>
      <c r="C80" s="20" t="str">
        <f>VLOOKUP(A80,'Base Sin Negativos'!S80:V1516,3,0)</f>
        <v>CASINO Galleta Menta 51gr x 6 x 8</v>
      </c>
      <c r="D80" s="20">
        <f>VLOOKUP(A80,'Base Sin Negativos'!S80:V1516,4,0)</f>
        <v>17.600000000000001</v>
      </c>
    </row>
    <row r="81" spans="1:4" x14ac:dyDescent="0.25">
      <c r="A81" s="20" t="s">
        <v>2409</v>
      </c>
      <c r="B81" s="20" t="str">
        <f>VLOOKUP(A81,'Base Sin Negativos'!S81:V1517,2,0)</f>
        <v>Peru Chef</v>
      </c>
      <c r="C81" s="20" t="str">
        <f>VLOOKUP(A81,'Base Sin Negativos'!S81:V1517,3,0)</f>
        <v>CASINO Galleta Menta 51gr x 6 x 8</v>
      </c>
      <c r="D81" s="20">
        <f>VLOOKUP(A81,'Base Sin Negativos'!S81:V1517,4,0)</f>
        <v>15.5</v>
      </c>
    </row>
    <row r="82" spans="1:4" x14ac:dyDescent="0.25">
      <c r="A82" s="20" t="s">
        <v>2410</v>
      </c>
      <c r="B82" s="20" t="str">
        <f>VLOOKUP(A82,'Base Sin Negativos'!S82:V1518,2,0)</f>
        <v>Peru Chef</v>
      </c>
      <c r="C82" s="20" t="str">
        <f>VLOOKUP(A82,'Base Sin Negativos'!S82:V1518,3,0)</f>
        <v>CASINO Galleta Menta 51gr x 6 x 8</v>
      </c>
      <c r="D82" s="20">
        <f>VLOOKUP(A82,'Base Sin Negativos'!S82:V1518,4,0)</f>
        <v>17</v>
      </c>
    </row>
    <row r="83" spans="1:4" x14ac:dyDescent="0.25">
      <c r="A83" s="20" t="s">
        <v>2411</v>
      </c>
      <c r="B83" s="20" t="str">
        <f>VLOOKUP(A83,'Base Sin Negativos'!S83:V1519,2,0)</f>
        <v>Peru Chef</v>
      </c>
      <c r="C83" s="20" t="str">
        <f>VLOOKUP(A83,'Base Sin Negativos'!S83:V1519,3,0)</f>
        <v>CASINO Galleta Menta 51gr x 6 x 8</v>
      </c>
      <c r="D83" s="20">
        <f>VLOOKUP(A83,'Base Sin Negativos'!S83:V1519,4,0)</f>
        <v>15.3</v>
      </c>
    </row>
    <row r="84" spans="1:4" x14ac:dyDescent="0.25">
      <c r="A84" s="20" t="s">
        <v>2412</v>
      </c>
      <c r="B84" s="20" t="str">
        <f>VLOOKUP(A84,'Base Sin Negativos'!S84:V1520,2,0)</f>
        <v>Belmont International Trading Corp</v>
      </c>
      <c r="C84" s="20" t="str">
        <f>VLOOKUP(A84,'Base Sin Negativos'!S84:V1520,3,0)</f>
        <v>Chocman 30G 6 x 14</v>
      </c>
      <c r="D84" s="20">
        <f>VLOOKUP(A84,'Base Sin Negativos'!S84:V1520,4,0)</f>
        <v>21.5</v>
      </c>
    </row>
    <row r="85" spans="1:4" x14ac:dyDescent="0.25">
      <c r="A85" s="20" t="s">
        <v>2413</v>
      </c>
      <c r="B85" s="20" t="str">
        <f>VLOOKUP(A85,'Base Sin Negativos'!S85:V1521,2,0)</f>
        <v>Peru Chef</v>
      </c>
      <c r="C85" s="20" t="str">
        <f>VLOOKUP(A85,'Base Sin Negativos'!S85:V1521,3,0)</f>
        <v>Chocman 30G 6 x 14</v>
      </c>
      <c r="D85" s="20">
        <f>VLOOKUP(A85,'Base Sin Negativos'!S85:V1521,4,0)</f>
        <v>27</v>
      </c>
    </row>
    <row r="86" spans="1:4" x14ac:dyDescent="0.25">
      <c r="A86" s="20" t="s">
        <v>2414</v>
      </c>
      <c r="B86" s="20" t="str">
        <f>VLOOKUP(A86,'Base Sin Negativos'!S86:V1522,2,0)</f>
        <v>Peru Chef</v>
      </c>
      <c r="C86" s="20" t="str">
        <f>VLOOKUP(A86,'Base Sin Negativos'!S86:V1522,3,0)</f>
        <v>Chocman Doble Manjar 53gr x 8 x 6</v>
      </c>
      <c r="D86" s="20">
        <f>VLOOKUP(A86,'Base Sin Negativos'!S86:V1522,4,0)</f>
        <v>22</v>
      </c>
    </row>
    <row r="87" spans="1:4" x14ac:dyDescent="0.25">
      <c r="A87" s="20" t="s">
        <v>2415</v>
      </c>
      <c r="B87" s="20" t="str">
        <f>VLOOKUP(A87,'Base Sin Negativos'!S87:V1523,2,0)</f>
        <v>Peru Chef</v>
      </c>
      <c r="C87" s="20" t="str">
        <f>VLOOKUP(A87,'Base Sin Negativos'!S87:V1523,3,0)</f>
        <v>Chocman Doble Manjar 53gr x 8 x 6</v>
      </c>
      <c r="D87" s="20">
        <f>VLOOKUP(A87,'Base Sin Negativos'!S87:V1523,4,0)</f>
        <v>19.8</v>
      </c>
    </row>
    <row r="88" spans="1:4" x14ac:dyDescent="0.25">
      <c r="A88" s="20" t="s">
        <v>2416</v>
      </c>
      <c r="B88" s="20" t="str">
        <f>VLOOKUP(A88,'Base Sin Negativos'!S88:V1524,2,0)</f>
        <v>Belmont International Trading Corp</v>
      </c>
      <c r="C88" s="20" t="str">
        <f>VLOOKUP(A88,'Base Sin Negativos'!S88:V1524,3,0)</f>
        <v>Chocolate Cuzco con canela y clavo  4 x 12</v>
      </c>
      <c r="D88" s="20">
        <f>VLOOKUP(A88,'Base Sin Negativos'!S88:V1524,4,0)</f>
        <v>30</v>
      </c>
    </row>
    <row r="89" spans="1:4" x14ac:dyDescent="0.25">
      <c r="A89" s="20" t="s">
        <v>2417</v>
      </c>
      <c r="B89" s="20" t="str">
        <f>VLOOKUP(A89,'Base Sin Negativos'!S89:V1525,2,0)</f>
        <v>Belmont International Trading Corp</v>
      </c>
      <c r="C89" s="20" t="str">
        <f>VLOOKUP(A89,'Base Sin Negativos'!S89:V1525,3,0)</f>
        <v>Chocolate Cuzco regular  4 x 12</v>
      </c>
      <c r="D89" s="20">
        <f>VLOOKUP(A89,'Base Sin Negativos'!S89:V1525,4,0)</f>
        <v>30</v>
      </c>
    </row>
    <row r="90" spans="1:4" x14ac:dyDescent="0.25">
      <c r="A90" s="20" t="s">
        <v>2418</v>
      </c>
      <c r="B90" s="20" t="str">
        <f>VLOOKUP(A90,'Base Sin Negativos'!S90:V1526,2,0)</f>
        <v>Belmont International Trading Corp</v>
      </c>
      <c r="C90" s="20" t="str">
        <f>VLOOKUP(A90,'Base Sin Negativos'!S90:V1526,3,0)</f>
        <v>Chocolate Cuzco regular  4 x 12</v>
      </c>
      <c r="D90" s="20">
        <f>VLOOKUP(A90,'Base Sin Negativos'!S90:V1526,4,0)</f>
        <v>4</v>
      </c>
    </row>
    <row r="91" spans="1:4" x14ac:dyDescent="0.25">
      <c r="A91" s="20" t="s">
        <v>2419</v>
      </c>
      <c r="B91" s="20" t="str">
        <f>VLOOKUP(A91,'Base Sin Negativos'!S91:V1527,2,0)</f>
        <v>Peru Chef</v>
      </c>
      <c r="C91" s="20" t="str">
        <f>VLOOKUP(A91,'Base Sin Negativos'!S91:V1527,3,0)</f>
        <v>Chocolate Triangulo x 22</v>
      </c>
      <c r="D91" s="20">
        <f>VLOOKUP(A91,'Base Sin Negativos'!S91:V1527,4,0)</f>
        <v>15.5</v>
      </c>
    </row>
    <row r="92" spans="1:4" x14ac:dyDescent="0.25">
      <c r="A92" s="20" t="s">
        <v>2420</v>
      </c>
      <c r="B92" s="20" t="str">
        <f>VLOOKUP(A92,'Base Sin Negativos'!S92:V1528,2,0)</f>
        <v>Peru Chef</v>
      </c>
      <c r="C92" s="20" t="str">
        <f>VLOOKUP(A92,'Base Sin Negativos'!S92:V1528,3,0)</f>
        <v>Chocolate Triangulo x 22</v>
      </c>
      <c r="D92" s="20">
        <f>VLOOKUP(A92,'Base Sin Negativos'!S92:V1528,4,0)</f>
        <v>13.95</v>
      </c>
    </row>
    <row r="93" spans="1:4" x14ac:dyDescent="0.25">
      <c r="A93" s="20" t="s">
        <v>2421</v>
      </c>
      <c r="B93" s="20" t="str">
        <f>VLOOKUP(A93,'Base Sin Negativos'!S93:V1529,2,0)</f>
        <v>Tradiciones Andinas</v>
      </c>
      <c r="C93" s="20" t="str">
        <f>VLOOKUP(A93,'Base Sin Negativos'!S93:V1529,3,0)</f>
        <v>Coco Milk Drink with Nata de Coco MANGO</v>
      </c>
      <c r="D93" s="20">
        <f>VLOOKUP(A93,'Base Sin Negativos'!S93:V1529,4,0)</f>
        <v>23.76</v>
      </c>
    </row>
    <row r="94" spans="1:4" x14ac:dyDescent="0.25">
      <c r="A94" s="20" t="s">
        <v>2422</v>
      </c>
      <c r="B94" s="20" t="str">
        <f>VLOOKUP(A94,'Base Sin Negativos'!S94:V1530,2,0)</f>
        <v>Tradiciones Andinas</v>
      </c>
      <c r="C94" s="20" t="str">
        <f>VLOOKUP(A94,'Base Sin Negativos'!S94:V1530,3,0)</f>
        <v>Coco Milk Drink with Nata de Coco ORIGINAL</v>
      </c>
      <c r="D94" s="20">
        <f>VLOOKUP(A94,'Base Sin Negativos'!S94:V1530,4,0)</f>
        <v>23.76</v>
      </c>
    </row>
    <row r="95" spans="1:4" x14ac:dyDescent="0.25">
      <c r="A95" s="20" t="s">
        <v>2423</v>
      </c>
      <c r="B95" s="20" t="str">
        <f>VLOOKUP(A95,'Base Sin Negativos'!S95:V1531,2,0)</f>
        <v>Tradiciones Andinas</v>
      </c>
      <c r="C95" s="20" t="str">
        <f>VLOOKUP(A95,'Base Sin Negativos'!S95:V1531,3,0)</f>
        <v>Coco Milk Drink with Nata de Coco STRAWBERRY</v>
      </c>
      <c r="D95" s="20">
        <f>VLOOKUP(A95,'Base Sin Negativos'!S95:V1531,4,0)</f>
        <v>23.76</v>
      </c>
    </row>
    <row r="96" spans="1:4" x14ac:dyDescent="0.25">
      <c r="A96" s="20" t="s">
        <v>2424</v>
      </c>
      <c r="B96" s="20" t="str">
        <f>VLOOKUP(A96,'Base Sin Negativos'!S96:V1532,2,0)</f>
        <v>La Sorpresa Store</v>
      </c>
      <c r="C96" s="20" t="str">
        <f>VLOOKUP(A96,'Base Sin Negativos'!S96:V1532,3,0)</f>
        <v>Conaprole - Dulce de Leche - Milk Caramel Spread</v>
      </c>
      <c r="D96" s="20">
        <f>VLOOKUP(A96,'Base Sin Negativos'!S96:V1532,4,0)</f>
        <v>148</v>
      </c>
    </row>
    <row r="97" spans="1:4" x14ac:dyDescent="0.25">
      <c r="A97" s="20" t="s">
        <v>2425</v>
      </c>
      <c r="B97" s="20" t="str">
        <f>VLOOKUP(A97,'Base Sin Negativos'!S97:V1533,2,0)</f>
        <v>Belmont International Trading Corp</v>
      </c>
      <c r="C97" s="20" t="str">
        <f>VLOOKUP(A97,'Base Sin Negativos'!S97:V1533,3,0)</f>
        <v>CORONITA - Galleta de Chocolate x 6 x 28</v>
      </c>
      <c r="D97" s="20">
        <f>VLOOKUP(A97,'Base Sin Negativos'!S97:V1533,4,0)</f>
        <v>56</v>
      </c>
    </row>
    <row r="98" spans="1:4" x14ac:dyDescent="0.25">
      <c r="A98" s="20" t="s">
        <v>2426</v>
      </c>
      <c r="B98" s="20" t="str">
        <f>VLOOKUP(A98,'Base Sin Negativos'!S98:V1534,2,0)</f>
        <v>Belmont International Trading Corp</v>
      </c>
      <c r="C98" s="20" t="str">
        <f>VLOOKUP(A98,'Base Sin Negativos'!S98:V1534,3,0)</f>
        <v>CORONITA - Galleta de Chocolate x 6 x 28</v>
      </c>
      <c r="D98" s="20">
        <f>VLOOKUP(A98,'Base Sin Negativos'!S98:V1534,4,0)</f>
        <v>61.6</v>
      </c>
    </row>
    <row r="99" spans="1:4" x14ac:dyDescent="0.25">
      <c r="A99" s="20" t="s">
        <v>2427</v>
      </c>
      <c r="B99" s="20" t="str">
        <f>VLOOKUP(A99,'Base Sin Negativos'!S99:V1535,2,0)</f>
        <v>Belmont International Trading Corp</v>
      </c>
      <c r="C99" s="20" t="str">
        <f>VLOOKUP(A99,'Base Sin Negativos'!S99:V1535,3,0)</f>
        <v>Cua Cua 9 x 24</v>
      </c>
      <c r="D99" s="20">
        <f>VLOOKUP(A99,'Base Sin Negativos'!S99:V1535,4,0)</f>
        <v>63</v>
      </c>
    </row>
    <row r="100" spans="1:4" x14ac:dyDescent="0.25">
      <c r="A100" s="20" t="s">
        <v>2428</v>
      </c>
      <c r="B100" s="20" t="str">
        <f>VLOOKUP(A100,'Base Sin Negativos'!S100:V1536,2,0)</f>
        <v>Peru Chef</v>
      </c>
      <c r="C100" s="20" t="str">
        <f>VLOOKUP(A100,'Base Sin Negativos'!S100:V1536,3,0)</f>
        <v>Cua Cua 9 x 24</v>
      </c>
      <c r="D100" s="20">
        <f>VLOOKUP(A100,'Base Sin Negativos'!S100:V1536,4,0)</f>
        <v>68</v>
      </c>
    </row>
    <row r="101" spans="1:4" x14ac:dyDescent="0.25">
      <c r="A101" s="20" t="s">
        <v>2429</v>
      </c>
      <c r="B101" s="20" t="str">
        <f>VLOOKUP(A101,'Base Sin Negativos'!S101:V1537,2,0)</f>
        <v>Tradiciones Andinas</v>
      </c>
      <c r="C101" s="20" t="str">
        <f>VLOOKUP(A101,'Base Sin Negativos'!S101:V1537,3,0)</f>
        <v>Cua Cua 9 x 24</v>
      </c>
      <c r="D101" s="20">
        <f>VLOOKUP(A101,'Base Sin Negativos'!S101:V1537,4,0)</f>
        <v>47.76</v>
      </c>
    </row>
    <row r="102" spans="1:4" x14ac:dyDescent="0.25">
      <c r="A102" s="20" t="s">
        <v>2430</v>
      </c>
      <c r="B102" s="20" t="str">
        <f>VLOOKUP(A102,'Base Sin Negativos'!S102:V1538,2,0)</f>
        <v>Tradiciones Andinas</v>
      </c>
      <c r="C102" s="20" t="str">
        <f>VLOOKUP(A102,'Base Sin Negativos'!S102:V1538,3,0)</f>
        <v>Cua Cua 9 x 24</v>
      </c>
      <c r="D102" s="20">
        <f>VLOOKUP(A102,'Base Sin Negativos'!S102:V1538,4,0)</f>
        <v>51.1</v>
      </c>
    </row>
    <row r="103" spans="1:4" x14ac:dyDescent="0.25">
      <c r="A103" s="20" t="s">
        <v>2431</v>
      </c>
      <c r="B103" s="20" t="str">
        <f>VLOOKUP(A103,'Base Sin Negativos'!S103:V1539,2,0)</f>
        <v>Tradiciones Andinas</v>
      </c>
      <c r="C103" s="20" t="str">
        <f>VLOOKUP(A103,'Base Sin Negativos'!S103:V1539,3,0)</f>
        <v>Cua Cua 9 x 24</v>
      </c>
      <c r="D103" s="20">
        <f>VLOOKUP(A103,'Base Sin Negativos'!S103:V1539,4,0)</f>
        <v>54.96</v>
      </c>
    </row>
    <row r="104" spans="1:4" x14ac:dyDescent="0.25">
      <c r="A104" s="20" t="s">
        <v>2432</v>
      </c>
      <c r="B104" s="20" t="str">
        <f>VLOOKUP(A104,'Base Sin Negativos'!S104:V1540,2,0)</f>
        <v>Tradiciones Andinas</v>
      </c>
      <c r="C104" s="20" t="str">
        <f>VLOOKUP(A104,'Base Sin Negativos'!S104:V1540,3,0)</f>
        <v>DEL VALLE - Boldo Filtrante 25gr x 25 x 32</v>
      </c>
      <c r="D104" s="20">
        <f>VLOOKUP(A104,'Base Sin Negativos'!S104:V1540,4,0)</f>
        <v>39.46</v>
      </c>
    </row>
    <row r="105" spans="1:4" x14ac:dyDescent="0.25">
      <c r="A105" s="20" t="s">
        <v>2433</v>
      </c>
      <c r="B105" s="20" t="str">
        <f>VLOOKUP(A105,'Base Sin Negativos'!S105:V1541,2,0)</f>
        <v>Tradiciones Andinas</v>
      </c>
      <c r="C105" s="20" t="str">
        <f>VLOOKUP(A105,'Base Sin Negativos'!S105:V1541,3,0)</f>
        <v>DEL VALLE - Chancapiedra filtrante 25 x 32</v>
      </c>
      <c r="D105" s="20">
        <f>VLOOKUP(A105,'Base Sin Negativos'!S105:V1541,4,0)</f>
        <v>36.880000000000003</v>
      </c>
    </row>
    <row r="106" spans="1:4" x14ac:dyDescent="0.25">
      <c r="A106" s="20" t="s">
        <v>2434</v>
      </c>
      <c r="B106" s="20" t="str">
        <f>VLOOKUP(A106,'Base Sin Negativos'!S106:V1542,2,0)</f>
        <v>Tradiciones Andinas</v>
      </c>
      <c r="C106" s="20" t="str">
        <f>VLOOKUP(A106,'Base Sin Negativos'!S106:V1542,3,0)</f>
        <v>DEL VALLE - Chancapiedra filtrante 25 x 32</v>
      </c>
      <c r="D106" s="20">
        <f>VLOOKUP(A106,'Base Sin Negativos'!S106:V1542,4,0)</f>
        <v>39.46</v>
      </c>
    </row>
    <row r="107" spans="1:4" x14ac:dyDescent="0.25">
      <c r="A107" s="20" t="s">
        <v>2435</v>
      </c>
      <c r="B107" s="20" t="str">
        <f>VLOOKUP(A107,'Base Sin Negativos'!S107:V1543,2,0)</f>
        <v>Tradiciones Andinas</v>
      </c>
      <c r="C107" s="20" t="str">
        <f>VLOOKUP(A107,'Base Sin Negativos'!S107:V1543,3,0)</f>
        <v>DEL VALLE  Una de Gato filtrante 25 x 32</v>
      </c>
      <c r="D107" s="20">
        <f>VLOOKUP(A107,'Base Sin Negativos'!S107:V1543,4,0)</f>
        <v>36.880000000000003</v>
      </c>
    </row>
    <row r="108" spans="1:4" x14ac:dyDescent="0.25">
      <c r="A108" s="20" t="s">
        <v>2436</v>
      </c>
      <c r="B108" s="20" t="str">
        <f>VLOOKUP(A108,'Base Sin Negativos'!S108:V1544,2,0)</f>
        <v>Tradiciones Andinas</v>
      </c>
      <c r="C108" s="20" t="str">
        <f>VLOOKUP(A108,'Base Sin Negativos'!S108:V1544,3,0)</f>
        <v>DEL VALLE  Una de Gato filtrante 25 x 32</v>
      </c>
      <c r="D108" s="20">
        <f>VLOOKUP(A108,'Base Sin Negativos'!S108:V1544,4,0)</f>
        <v>39.46</v>
      </c>
    </row>
    <row r="109" spans="1:4" x14ac:dyDescent="0.25">
      <c r="A109" s="20" t="s">
        <v>2437</v>
      </c>
      <c r="B109" s="20" t="str">
        <f>VLOOKUP(A109,'Base Sin Negativos'!S109:V1545,2,0)</f>
        <v>Amazon</v>
      </c>
      <c r="C109" s="20" t="str">
        <f>VLOOKUP(A109,'Base Sin Negativos'!S109:V1545,3,0)</f>
        <v>Display Strip</v>
      </c>
      <c r="D109" s="20">
        <f>VLOOKUP(A109,'Base Sin Negativos'!S109:V1545,4,0)</f>
        <v>5.41</v>
      </c>
    </row>
    <row r="110" spans="1:4" x14ac:dyDescent="0.25">
      <c r="A110" s="20" t="s">
        <v>2438</v>
      </c>
      <c r="B110" s="20" t="str">
        <f>VLOOKUP(A110,'Base Sin Negativos'!S110:V1546,2,0)</f>
        <v>Belmont International Trading Corp</v>
      </c>
      <c r="C110" s="20" t="str">
        <f>VLOOKUP(A110,'Base Sin Negativos'!S110:V1546,3,0)</f>
        <v>Doña Pepa 23gr 6 x 36</v>
      </c>
      <c r="D110" s="20">
        <f>VLOOKUP(A110,'Base Sin Negativos'!S110:V1546,4,0)</f>
        <v>70</v>
      </c>
    </row>
    <row r="111" spans="1:4" x14ac:dyDescent="0.25">
      <c r="A111" s="20" t="s">
        <v>2439</v>
      </c>
      <c r="B111" s="20" t="str">
        <f>VLOOKUP(A111,'Base Sin Negativos'!S111:V1547,2,0)</f>
        <v>Tradiciones Andinas</v>
      </c>
      <c r="C111" s="20" t="str">
        <f>VLOOKUP(A111,'Base Sin Negativos'!S111:V1547,3,0)</f>
        <v>Doña Pepa 23gr 6 x 36</v>
      </c>
      <c r="D111" s="20">
        <f>VLOOKUP(A111,'Base Sin Negativos'!S111:V1547,4,0)</f>
        <v>53.64</v>
      </c>
    </row>
    <row r="112" spans="1:4" x14ac:dyDescent="0.25">
      <c r="A112" s="20" t="s">
        <v>2440</v>
      </c>
      <c r="B112" s="20" t="str">
        <f>VLOOKUP(A112,'Base Sin Negativos'!S112:V1548,2,0)</f>
        <v>Tradiciones Andinas</v>
      </c>
      <c r="C112" s="20" t="str">
        <f>VLOOKUP(A112,'Base Sin Negativos'!S112:V1548,3,0)</f>
        <v>Doña Pepa 23gr 6 x 36</v>
      </c>
      <c r="D112" s="20">
        <f>VLOOKUP(A112,'Base Sin Negativos'!S112:V1548,4,0)</f>
        <v>57.39</v>
      </c>
    </row>
    <row r="113" spans="1:4" x14ac:dyDescent="0.25">
      <c r="A113" s="20" t="s">
        <v>2441</v>
      </c>
      <c r="B113" s="20" t="str">
        <f>VLOOKUP(A113,'Base Sin Negativos'!S113:V1549,2,0)</f>
        <v>Tradiciones Andinas</v>
      </c>
      <c r="C113" s="20" t="str">
        <f>VLOOKUP(A113,'Base Sin Negativos'!S113:V1549,3,0)</f>
        <v>Doña Pepa 23gr 6 x 36</v>
      </c>
      <c r="D113" s="20">
        <f>VLOOKUP(A113,'Base Sin Negativos'!S113:V1549,4,0)</f>
        <v>60.84</v>
      </c>
    </row>
    <row r="114" spans="1:4" x14ac:dyDescent="0.25">
      <c r="A114" s="20" t="s">
        <v>2442</v>
      </c>
      <c r="B114" s="20" t="str">
        <f>VLOOKUP(A114,'Base Sin Negativos'!S114:V1550,2,0)</f>
        <v>Belmont International Trading Corp</v>
      </c>
      <c r="C114" s="20" t="str">
        <f>VLOOKUP(A114,'Base Sin Negativos'!S114:V1550,3,0)</f>
        <v>D'Onofrio Chocolate Sublime 26 G x 24</v>
      </c>
      <c r="D114" s="20">
        <f>VLOOKUP(A114,'Base Sin Negativos'!S114:V1550,4,0)</f>
        <v>12.25</v>
      </c>
    </row>
    <row r="115" spans="1:4" x14ac:dyDescent="0.25">
      <c r="A115" s="20" t="s">
        <v>2443</v>
      </c>
      <c r="B115" s="20" t="str">
        <f>VLOOKUP(A115,'Base Sin Negativos'!S115:V1551,2,0)</f>
        <v>Belmont International Trading Corp</v>
      </c>
      <c r="C115" s="20" t="str">
        <f>VLOOKUP(A115,'Base Sin Negativos'!S115:V1551,3,0)</f>
        <v>D'Onofrio Chocolate Sublime 26 G x 24</v>
      </c>
      <c r="D115" s="20">
        <f>VLOOKUP(A115,'Base Sin Negativos'!S115:V1551,4,0)</f>
        <v>13.5</v>
      </c>
    </row>
    <row r="116" spans="1:4" x14ac:dyDescent="0.25">
      <c r="A116" s="20" t="s">
        <v>2444</v>
      </c>
      <c r="B116" s="20" t="str">
        <f>VLOOKUP(A116,'Base Sin Negativos'!S116:V1552,2,0)</f>
        <v>Peru Chef</v>
      </c>
      <c r="C116" s="20" t="str">
        <f>VLOOKUP(A116,'Base Sin Negativos'!S116:V1552,3,0)</f>
        <v>D'Onofrio Chocolate Sublime 26 G x 24</v>
      </c>
      <c r="D116" s="20">
        <f>VLOOKUP(A116,'Base Sin Negativos'!S116:V1552,4,0)</f>
        <v>15</v>
      </c>
    </row>
    <row r="117" spans="1:4" x14ac:dyDescent="0.25">
      <c r="A117" s="20" t="s">
        <v>2445</v>
      </c>
      <c r="B117" s="20" t="str">
        <f>VLOOKUP(A117,'Base Sin Negativos'!S117:V1553,2,0)</f>
        <v>Peru Chef</v>
      </c>
      <c r="C117" s="20" t="str">
        <f>VLOOKUP(A117,'Base Sin Negativos'!S117:V1553,3,0)</f>
        <v>D'Onofrio Chocolate Sublime 26 G x 24</v>
      </c>
      <c r="D117" s="20">
        <f>VLOOKUP(A117,'Base Sin Negativos'!S117:V1553,4,0)</f>
        <v>13.5</v>
      </c>
    </row>
    <row r="118" spans="1:4" x14ac:dyDescent="0.25">
      <c r="A118" s="20" t="s">
        <v>2446</v>
      </c>
      <c r="B118" s="20" t="str">
        <f>VLOOKUP(A118,'Base Sin Negativos'!S118:V1554,2,0)</f>
        <v>Peru Chef</v>
      </c>
      <c r="C118" s="20" t="str">
        <f>VLOOKUP(A118,'Base Sin Negativos'!S118:V1554,3,0)</f>
        <v>ECCO - Café instantaneo de Cebada -Barley Instant Coffee</v>
      </c>
      <c r="D118" s="20">
        <f>VLOOKUP(A118,'Base Sin Negativos'!S118:V1554,4,0)</f>
        <v>54</v>
      </c>
    </row>
    <row r="119" spans="1:4" x14ac:dyDescent="0.25">
      <c r="A119" s="20" t="s">
        <v>2447</v>
      </c>
      <c r="B119" s="20" t="str">
        <f>VLOOKUP(A119,'Base Sin Negativos'!S119:V1555,2,0)</f>
        <v>Peru Chef</v>
      </c>
      <c r="C119" s="20" t="str">
        <f>VLOOKUP(A119,'Base Sin Negativos'!S119:V1555,3,0)</f>
        <v>ECCO - Café instantaneo de Cebada -Barley Instant Coffee</v>
      </c>
      <c r="D119" s="20">
        <f>VLOOKUP(A119,'Base Sin Negativos'!S119:V1555,4,0)</f>
        <v>61</v>
      </c>
    </row>
    <row r="120" spans="1:4" x14ac:dyDescent="0.25">
      <c r="A120" s="20" t="s">
        <v>2448</v>
      </c>
      <c r="B120" s="20" t="str">
        <f>VLOOKUP(A120,'Base Sin Negativos'!S120:V1556,2,0)</f>
        <v>Peru Chef</v>
      </c>
      <c r="C120" s="20" t="str">
        <f>VLOOKUP(A120,'Base Sin Negativos'!S120:V1556,3,0)</f>
        <v>EL TRIUNFO Fideo Chino - Chinese Noodles 250gr x 30</v>
      </c>
      <c r="D120" s="20">
        <f>VLOOKUP(A120,'Base Sin Negativos'!S120:V1556,4,0)</f>
        <v>36</v>
      </c>
    </row>
    <row r="121" spans="1:4" x14ac:dyDescent="0.25">
      <c r="A121" s="20" t="s">
        <v>2449</v>
      </c>
      <c r="B121" s="20" t="str">
        <f>VLOOKUP(A121,'Base Sin Negativos'!S121:V1557,2,0)</f>
        <v>Peru Chef</v>
      </c>
      <c r="C121" s="20" t="str">
        <f>VLOOKUP(A121,'Base Sin Negativos'!S121:V1557,3,0)</f>
        <v>EL TRIUNFO Fideo Chino - Chinese Noodles 250gr x 30</v>
      </c>
      <c r="D121" s="20">
        <f>VLOOKUP(A121,'Base Sin Negativos'!S121:V1557,4,0)</f>
        <v>39</v>
      </c>
    </row>
    <row r="122" spans="1:4" x14ac:dyDescent="0.25">
      <c r="A122" s="20" t="s">
        <v>2450</v>
      </c>
      <c r="B122" s="20" t="str">
        <f>VLOOKUP(A122,'Base Sin Negativos'!S122:V1558,2,0)</f>
        <v>Peru Chef</v>
      </c>
      <c r="C122" s="20" t="str">
        <f>VLOOKUP(A122,'Base Sin Negativos'!S122:V1558,3,0)</f>
        <v>EL TRIUNFO Fideo Chino - Chinese Noodles 250gr x 30</v>
      </c>
      <c r="D122" s="20">
        <f>VLOOKUP(A122,'Base Sin Negativos'!S122:V1558,4,0)</f>
        <v>9</v>
      </c>
    </row>
    <row r="123" spans="1:4" x14ac:dyDescent="0.25">
      <c r="A123" s="20" t="s">
        <v>2451</v>
      </c>
      <c r="B123" s="20" t="str">
        <f>VLOOKUP(A123,'Base Sin Negativos'!S123:V1559,2,0)</f>
        <v>Tradiciones Andinas</v>
      </c>
      <c r="C123" s="20" t="str">
        <f>VLOOKUP(A123,'Base Sin Negativos'!S123:V1559,3,0)</f>
        <v>EL TRIUNFO Fideo Chino - Chinese Noodles 250gr x 30</v>
      </c>
      <c r="D123" s="20">
        <f>VLOOKUP(A123,'Base Sin Negativos'!S123:V1559,4,0)</f>
        <v>30</v>
      </c>
    </row>
    <row r="124" spans="1:4" x14ac:dyDescent="0.25">
      <c r="A124" s="20" t="s">
        <v>2452</v>
      </c>
      <c r="B124" s="20" t="str">
        <f>VLOOKUP(A124,'Base Sin Negativos'!S124:V1560,2,0)</f>
        <v>Peru Chef</v>
      </c>
      <c r="C124" s="20" t="str">
        <f>VLOOKUP(A124,'Base Sin Negativos'!S124:V1560,3,0)</f>
        <v>Fideos San Jorge Cabello De Angel 250gr x 40</v>
      </c>
      <c r="D124" s="20">
        <f>VLOOKUP(A124,'Base Sin Negativos'!S124:V1560,4,0)</f>
        <v>22</v>
      </c>
    </row>
    <row r="125" spans="1:4" x14ac:dyDescent="0.25">
      <c r="A125" s="20" t="s">
        <v>2453</v>
      </c>
      <c r="B125" s="20" t="str">
        <f>VLOOKUP(A125,'Base Sin Negativos'!S125:V1561,2,0)</f>
        <v>Peru Chef</v>
      </c>
      <c r="C125" s="20" t="str">
        <f>VLOOKUP(A125,'Base Sin Negativos'!S125:V1561,3,0)</f>
        <v>Fideos San Jorge Caracol 250gr x 20</v>
      </c>
      <c r="D125" s="20">
        <f>VLOOKUP(A125,'Base Sin Negativos'!S125:V1561,4,0)</f>
        <v>13</v>
      </c>
    </row>
    <row r="126" spans="1:4" x14ac:dyDescent="0.25">
      <c r="A126" s="20" t="s">
        <v>2454</v>
      </c>
      <c r="B126" s="20" t="str">
        <f>VLOOKUP(A126,'Base Sin Negativos'!S126:V1562,2,0)</f>
        <v>Peru Chef</v>
      </c>
      <c r="C126" s="20" t="str">
        <f>VLOOKUP(A126,'Base Sin Negativos'!S126:V1562,3,0)</f>
        <v>Fideos San Jorge Letras y Numeros 250gr x 20</v>
      </c>
      <c r="D126" s="20">
        <f>VLOOKUP(A126,'Base Sin Negativos'!S126:V1562,4,0)</f>
        <v>13</v>
      </c>
    </row>
    <row r="127" spans="1:4" x14ac:dyDescent="0.25">
      <c r="A127" s="20" t="s">
        <v>2455</v>
      </c>
      <c r="B127" s="20" t="str">
        <f>VLOOKUP(A127,'Base Sin Negativos'!S127:V1563,2,0)</f>
        <v>Peru Chef</v>
      </c>
      <c r="C127" s="20" t="str">
        <f>VLOOKUP(A127,'Base Sin Negativos'!S127:V1563,3,0)</f>
        <v>Fideos San Jorge Spaguetti 500 G X 20</v>
      </c>
      <c r="D127" s="20">
        <f>VLOOKUP(A127,'Base Sin Negativos'!S127:V1563,4,0)</f>
        <v>22</v>
      </c>
    </row>
    <row r="128" spans="1:4" x14ac:dyDescent="0.25">
      <c r="A128" s="20" t="s">
        <v>2456</v>
      </c>
      <c r="B128" s="20" t="str">
        <f>VLOOKUP(A128,'Base Sin Negativos'!S128:V1564,2,0)</f>
        <v>Peru Chef</v>
      </c>
      <c r="C128" s="20" t="str">
        <f>VLOOKUP(A128,'Base Sin Negativos'!S128:V1564,3,0)</f>
        <v>Fideos San Jorge Spaguetti 500 G X 20</v>
      </c>
      <c r="D128" s="20">
        <f>VLOOKUP(A128,'Base Sin Negativos'!S128:V1564,4,0)</f>
        <v>19.8</v>
      </c>
    </row>
    <row r="129" spans="1:4" x14ac:dyDescent="0.25">
      <c r="A129" s="20" t="s">
        <v>2457</v>
      </c>
      <c r="B129" s="20" t="str">
        <f>VLOOKUP(A129,'Base Sin Negativos'!S129:V1565,2,0)</f>
        <v>Peru Chef</v>
      </c>
      <c r="C129" s="20" t="str">
        <f>VLOOKUP(A129,'Base Sin Negativos'!S129:V1565,3,0)</f>
        <v>Fideos San Jorge Tallarin 500gr x  20</v>
      </c>
      <c r="D129" s="20">
        <f>VLOOKUP(A129,'Base Sin Negativos'!S129:V1565,4,0)</f>
        <v>22</v>
      </c>
    </row>
    <row r="130" spans="1:4" x14ac:dyDescent="0.25">
      <c r="A130" s="20" t="s">
        <v>2458</v>
      </c>
      <c r="B130" s="20" t="str">
        <f>VLOOKUP(A130,'Base Sin Negativos'!S130:V1566,2,0)</f>
        <v>Peru Chef</v>
      </c>
      <c r="C130" s="20" t="str">
        <f>VLOOKUP(A130,'Base Sin Negativos'!S130:V1566,3,0)</f>
        <v>Fideos San Jorge Tallarin 500gr x  20</v>
      </c>
      <c r="D130" s="20">
        <f>VLOOKUP(A130,'Base Sin Negativos'!S130:V1566,4,0)</f>
        <v>19.8</v>
      </c>
    </row>
    <row r="131" spans="1:4" x14ac:dyDescent="0.25">
      <c r="A131" s="20" t="s">
        <v>2459</v>
      </c>
      <c r="B131" s="20" t="str">
        <f>VLOOKUP(A131,'Base Sin Negativos'!S131:V1567,2,0)</f>
        <v>Belmont International Trading Corp</v>
      </c>
      <c r="C131" s="20" t="str">
        <f>VLOOKUP(A131,'Base Sin Negativos'!S131:V1567,3,0)</f>
        <v>FIELD - Chocosoda Galletas 6 x 32</v>
      </c>
      <c r="D131" s="20">
        <f>VLOOKUP(A131,'Base Sin Negativos'!S131:V1567,4,0)</f>
        <v>77</v>
      </c>
    </row>
    <row r="132" spans="1:4" x14ac:dyDescent="0.25">
      <c r="A132" s="20" t="s">
        <v>2460</v>
      </c>
      <c r="B132" s="20" t="str">
        <f>VLOOKUP(A132,'Base Sin Negativos'!S132:V1568,2,0)</f>
        <v>Belmont International Trading Corp</v>
      </c>
      <c r="C132" s="20" t="str">
        <f>VLOOKUP(A132,'Base Sin Negativos'!S132:V1568,3,0)</f>
        <v>FIELD - Chocosoda Galletas 6 x 32</v>
      </c>
      <c r="D132" s="20">
        <f>VLOOKUP(A132,'Base Sin Negativos'!S132:V1568,4,0)</f>
        <v>84.9</v>
      </c>
    </row>
    <row r="133" spans="1:4" x14ac:dyDescent="0.25">
      <c r="A133" s="20" t="s">
        <v>2461</v>
      </c>
      <c r="B133" s="20" t="str">
        <f>VLOOKUP(A133,'Base Sin Negativos'!S133:V1569,2,0)</f>
        <v>Peru Chef</v>
      </c>
      <c r="C133" s="20" t="str">
        <f>VLOOKUP(A133,'Base Sin Negativos'!S133:V1569,3,0)</f>
        <v>FIELD - Chocosoda Galletas 6 x 32</v>
      </c>
      <c r="D133" s="20">
        <f>VLOOKUP(A133,'Base Sin Negativos'!S133:V1569,4,0)</f>
        <v>79.5</v>
      </c>
    </row>
    <row r="134" spans="1:4" x14ac:dyDescent="0.25">
      <c r="A134" s="20" t="s">
        <v>2462</v>
      </c>
      <c r="B134" s="20" t="str">
        <f>VLOOKUP(A134,'Base Sin Negativos'!S134:V1570,2,0)</f>
        <v>Tradiciones Andinas</v>
      </c>
      <c r="C134" s="20" t="str">
        <f>VLOOKUP(A134,'Base Sin Negativos'!S134:V1570,3,0)</f>
        <v>FIELD - Chocosoda Galletas 6 x 32</v>
      </c>
      <c r="D134" s="20">
        <f>VLOOKUP(A134,'Base Sin Negativos'!S134:V1570,4,0)</f>
        <v>66.88</v>
      </c>
    </row>
    <row r="135" spans="1:4" x14ac:dyDescent="0.25">
      <c r="A135" s="20" t="s">
        <v>2463</v>
      </c>
      <c r="B135" s="20" t="str">
        <f>VLOOKUP(A135,'Base Sin Negativos'!S135:V1571,2,0)</f>
        <v>Belmont International Trading Corp</v>
      </c>
      <c r="C135" s="20" t="str">
        <f>VLOOKUP(A135,'Base Sin Negativos'!S135:V1571,3,0)</f>
        <v>FIELD - Galletas de Soda 34gr x 6 x 36</v>
      </c>
      <c r="D135" s="20">
        <f>VLOOKUP(A135,'Base Sin Negativos'!S135:V1571,4,0)</f>
        <v>50.4</v>
      </c>
    </row>
    <row r="136" spans="1:4" x14ac:dyDescent="0.25">
      <c r="A136" s="20" t="s">
        <v>2464</v>
      </c>
      <c r="B136" s="20" t="str">
        <f>VLOOKUP(A136,'Base Sin Negativos'!S136:V1572,2,0)</f>
        <v>Tradiciones Andinas</v>
      </c>
      <c r="C136" s="20" t="str">
        <f>VLOOKUP(A136,'Base Sin Negativos'!S136:V1572,3,0)</f>
        <v>FIELD - Galletas de Soda 34gr x 6 x 36</v>
      </c>
      <c r="D136" s="20">
        <f>VLOOKUP(A136,'Base Sin Negativos'!S136:V1572,4,0)</f>
        <v>46.44</v>
      </c>
    </row>
    <row r="137" spans="1:4" x14ac:dyDescent="0.25">
      <c r="A137" s="20" t="s">
        <v>2465</v>
      </c>
      <c r="B137" s="20" t="str">
        <f>VLOOKUP(A137,'Base Sin Negativos'!S137:V1573,2,0)</f>
        <v>Belmont International Trading Corp</v>
      </c>
      <c r="C137" s="20" t="str">
        <f>VLOOKUP(A137,'Base Sin Negativos'!S137:V1573,3,0)</f>
        <v>FIELD - Galletas de Vainilla 37 gr x 6 x 24</v>
      </c>
      <c r="D137" s="20">
        <f>VLOOKUP(A137,'Base Sin Negativos'!S137:V1573,4,0)</f>
        <v>49</v>
      </c>
    </row>
    <row r="138" spans="1:4" x14ac:dyDescent="0.25">
      <c r="A138" s="20" t="s">
        <v>2466</v>
      </c>
      <c r="B138" s="20" t="str">
        <f>VLOOKUP(A138,'Base Sin Negativos'!S138:V1574,2,0)</f>
        <v>Tradiciones Andinas</v>
      </c>
      <c r="C138" s="20" t="str">
        <f>VLOOKUP(A138,'Base Sin Negativos'!S138:V1574,3,0)</f>
        <v>FIELD - Galletas de Vainilla 37 gr x 6 x 24</v>
      </c>
      <c r="D138" s="20">
        <f>VLOOKUP(A138,'Base Sin Negativos'!S138:V1574,4,0)</f>
        <v>47.56</v>
      </c>
    </row>
    <row r="139" spans="1:4" x14ac:dyDescent="0.25">
      <c r="A139" s="20" t="s">
        <v>2467</v>
      </c>
      <c r="B139" s="20" t="str">
        <f>VLOOKUP(A139,'Base Sin Negativos'!S139:V1575,2,0)</f>
        <v>Tradiciones Andinas</v>
      </c>
      <c r="C139" s="20" t="str">
        <f>VLOOKUP(A139,'Base Sin Negativos'!S139:V1575,3,0)</f>
        <v>FIELD - Galletas de Vainilla 37 gr x 6 x 24</v>
      </c>
      <c r="D139" s="20">
        <f>VLOOKUP(A139,'Base Sin Negativos'!S139:V1575,4,0)</f>
        <v>50.9</v>
      </c>
    </row>
    <row r="140" spans="1:4" x14ac:dyDescent="0.25">
      <c r="A140" s="20" t="s">
        <v>2468</v>
      </c>
      <c r="B140" s="20" t="str">
        <f>VLOOKUP(A140,'Base Sin Negativos'!S140:V1576,2,0)</f>
        <v>Peru Chef</v>
      </c>
      <c r="C140" s="20" t="str">
        <f>VLOOKUP(A140,'Base Sin Negativos'!S140:V1576,3,0)</f>
        <v>Galleta Charada Field 40gr x 6 x 28</v>
      </c>
      <c r="D140" s="20">
        <f>VLOOKUP(A140,'Base Sin Negativos'!S140:V1576,4,0)</f>
        <v>58</v>
      </c>
    </row>
    <row r="141" spans="1:4" x14ac:dyDescent="0.25">
      <c r="A141" s="20" t="s">
        <v>2469</v>
      </c>
      <c r="B141" s="20" t="str">
        <f>VLOOKUP(A141,'Base Sin Negativos'!S141:V1577,2,0)</f>
        <v>Peru Chef</v>
      </c>
      <c r="C141" s="20" t="str">
        <f>VLOOKUP(A141,'Base Sin Negativos'!S141:V1577,3,0)</f>
        <v>Galleta Chomp Naranja Victoria 42gr x 6 x 8</v>
      </c>
      <c r="D141" s="20">
        <f>VLOOKUP(A141,'Base Sin Negativos'!S141:V1577,4,0)</f>
        <v>16</v>
      </c>
    </row>
    <row r="142" spans="1:4" x14ac:dyDescent="0.25">
      <c r="A142" s="20" t="s">
        <v>2470</v>
      </c>
      <c r="B142" s="20" t="str">
        <f>VLOOKUP(A142,'Base Sin Negativos'!S142:V1578,2,0)</f>
        <v>Peru Chef</v>
      </c>
      <c r="C142" s="20" t="str">
        <f>VLOOKUP(A142,'Base Sin Negativos'!S142:V1578,3,0)</f>
        <v>Galleta Chomp Naranja Victoria 42gr x 6 x 8</v>
      </c>
      <c r="D142" s="20">
        <f>VLOOKUP(A142,'Base Sin Negativos'!S142:V1578,4,0)</f>
        <v>17</v>
      </c>
    </row>
    <row r="143" spans="1:4" x14ac:dyDescent="0.25">
      <c r="A143" s="20" t="s">
        <v>2471</v>
      </c>
      <c r="B143" s="20" t="str">
        <f>VLOOKUP(A143,'Base Sin Negativos'!S143:V1579,2,0)</f>
        <v>Tradiciones Andinas</v>
      </c>
      <c r="C143" s="20" t="str">
        <f>VLOOKUP(A143,'Base Sin Negativos'!S143:V1579,3,0)</f>
        <v>Galleta Chomp Naranja Victoria 42gr x 6 x 8</v>
      </c>
      <c r="D143" s="20">
        <f>VLOOKUP(A143,'Base Sin Negativos'!S143:V1579,4,0)</f>
        <v>18.32</v>
      </c>
    </row>
    <row r="144" spans="1:4" x14ac:dyDescent="0.25">
      <c r="A144" s="20" t="s">
        <v>2472</v>
      </c>
      <c r="B144" s="20" t="str">
        <f>VLOOKUP(A144,'Base Sin Negativos'!S144:V1580,2,0)</f>
        <v>Belmont International Trading Corp</v>
      </c>
      <c r="C144" s="20" t="str">
        <f>VLOOKUP(A144,'Base Sin Negativos'!S144:V1580,3,0)</f>
        <v>Galleta Club Social 6 x 32</v>
      </c>
      <c r="D144" s="20">
        <f>VLOOKUP(A144,'Base Sin Negativos'!S144:V1580,4,0)</f>
        <v>55</v>
      </c>
    </row>
    <row r="145" spans="1:4" x14ac:dyDescent="0.25">
      <c r="A145" s="20" t="s">
        <v>2473</v>
      </c>
      <c r="B145" s="20" t="str">
        <f>VLOOKUP(A145,'Base Sin Negativos'!S145:V1581,2,0)</f>
        <v>Belmont International Trading Corp</v>
      </c>
      <c r="C145" s="20" t="str">
        <f>VLOOKUP(A145,'Base Sin Negativos'!S145:V1581,3,0)</f>
        <v>Galleta Club Social 6 x 32</v>
      </c>
      <c r="D145" s="20">
        <f>VLOOKUP(A145,'Base Sin Negativos'!S145:V1581,4,0)</f>
        <v>60.5</v>
      </c>
    </row>
    <row r="146" spans="1:4" x14ac:dyDescent="0.25">
      <c r="A146" s="20" t="s">
        <v>2474</v>
      </c>
      <c r="B146" s="20" t="str">
        <f>VLOOKUP(A146,'Base Sin Negativos'!S146:V1582,2,0)</f>
        <v>Belmont International Trading Corp</v>
      </c>
      <c r="C146" s="20" t="str">
        <f>VLOOKUP(A146,'Base Sin Negativos'!S146:V1582,3,0)</f>
        <v>Galleta Municion San Jorge 1.94oz (55gr) x 25</v>
      </c>
      <c r="D146" s="20">
        <f>VLOOKUP(A146,'Base Sin Negativos'!S146:V1582,4,0)</f>
        <v>9.5</v>
      </c>
    </row>
    <row r="147" spans="1:4" x14ac:dyDescent="0.25">
      <c r="A147" s="20" t="s">
        <v>2475</v>
      </c>
      <c r="B147" s="20" t="str">
        <f>VLOOKUP(A147,'Base Sin Negativos'!S147:V1583,2,0)</f>
        <v>Peru Chef</v>
      </c>
      <c r="C147" s="20" t="str">
        <f>VLOOKUP(A147,'Base Sin Negativos'!S147:V1583,3,0)</f>
        <v>Galletas Chomp Chocolate 42gr x 6 x 8</v>
      </c>
      <c r="D147" s="20">
        <f>VLOOKUP(A147,'Base Sin Negativos'!S147:V1583,4,0)</f>
        <v>16</v>
      </c>
    </row>
    <row r="148" spans="1:4" x14ac:dyDescent="0.25">
      <c r="A148" s="20" t="s">
        <v>2476</v>
      </c>
      <c r="B148" s="20" t="str">
        <f>VLOOKUP(A148,'Base Sin Negativos'!S148:V1584,2,0)</f>
        <v>Peru Chef</v>
      </c>
      <c r="C148" s="20" t="str">
        <f>VLOOKUP(A148,'Base Sin Negativos'!S148:V1584,3,0)</f>
        <v>Galletas Chomp Chocolate 42gr x 6 x 8</v>
      </c>
      <c r="D148" s="20">
        <f>VLOOKUP(A148,'Base Sin Negativos'!S148:V1584,4,0)</f>
        <v>17</v>
      </c>
    </row>
    <row r="149" spans="1:4" x14ac:dyDescent="0.25">
      <c r="A149" s="20" t="s">
        <v>2477</v>
      </c>
      <c r="B149" s="20" t="str">
        <f>VLOOKUP(A149,'Base Sin Negativos'!S149:V1585,2,0)</f>
        <v>Peru Chef</v>
      </c>
      <c r="C149" s="20" t="str">
        <f>VLOOKUP(A149,'Base Sin Negativos'!S149:V1585,3,0)</f>
        <v>Galletas Chomp Chocolate 42gr x 6 x 8</v>
      </c>
      <c r="D149" s="20">
        <f>VLOOKUP(A149,'Base Sin Negativos'!S149:V1585,4,0)</f>
        <v>15.3</v>
      </c>
    </row>
    <row r="150" spans="1:4" x14ac:dyDescent="0.25">
      <c r="A150" s="20" t="s">
        <v>2478</v>
      </c>
      <c r="B150" s="20" t="str">
        <f>VLOOKUP(A150,'Base Sin Negativos'!S150:V1586,2,0)</f>
        <v>Belmont International Trading Corp</v>
      </c>
      <c r="C150" s="20" t="str">
        <f>VLOOKUP(A150,'Base Sin Negativos'!S150:V1586,3,0)</f>
        <v>Galletas Margarita Sayon 6 x 8 pack</v>
      </c>
      <c r="D150" s="20">
        <f>VLOOKUP(A150,'Base Sin Negativos'!S150:V1586,4,0)</f>
        <v>16</v>
      </c>
    </row>
    <row r="151" spans="1:4" x14ac:dyDescent="0.25">
      <c r="A151" s="20" t="s">
        <v>2479</v>
      </c>
      <c r="B151" s="20" t="str">
        <f>VLOOKUP(A151,'Base Sin Negativos'!S151:V1587,2,0)</f>
        <v>Peru Chef</v>
      </c>
      <c r="C151" s="20" t="str">
        <f>VLOOKUP(A151,'Base Sin Negativos'!S151:V1587,3,0)</f>
        <v>Galletas Margarita Sayon 6 x 8 pack</v>
      </c>
      <c r="D151" s="20">
        <f>VLOOKUP(A151,'Base Sin Negativos'!S151:V1587,4,0)</f>
        <v>17</v>
      </c>
    </row>
    <row r="152" spans="1:4" x14ac:dyDescent="0.25">
      <c r="A152" s="20" t="s">
        <v>2480</v>
      </c>
      <c r="B152" s="20" t="str">
        <f>VLOOKUP(A152,'Base Sin Negativos'!S152:V1588,2,0)</f>
        <v>Tradiciones Andinas</v>
      </c>
      <c r="C152" s="20" t="str">
        <f>VLOOKUP(A152,'Base Sin Negativos'!S152:V1588,3,0)</f>
        <v>Galletas Margarita Sayon 6 x 8 pack</v>
      </c>
      <c r="D152" s="20">
        <f>VLOOKUP(A152,'Base Sin Negativos'!S152:V1588,4,0)</f>
        <v>12.8</v>
      </c>
    </row>
    <row r="153" spans="1:4" x14ac:dyDescent="0.25">
      <c r="A153" s="20" t="s">
        <v>2481</v>
      </c>
      <c r="B153" s="20" t="str">
        <f>VLOOKUP(A153,'Base Sin Negativos'!S153:V1589,2,0)</f>
        <v>Tradiciones Andinas</v>
      </c>
      <c r="C153" s="20" t="str">
        <f>VLOOKUP(A153,'Base Sin Negativos'!S153:V1589,3,0)</f>
        <v>Galletas Margarita Sayon 6 x 8 pack</v>
      </c>
      <c r="D153" s="20">
        <f>VLOOKUP(A153,'Base Sin Negativos'!S153:V1589,4,0)</f>
        <v>13.57</v>
      </c>
    </row>
    <row r="154" spans="1:4" x14ac:dyDescent="0.25">
      <c r="A154" s="20" t="s">
        <v>2482</v>
      </c>
      <c r="B154" s="20" t="str">
        <f>VLOOKUP(A154,'Base Sin Negativos'!S154:V1590,2,0)</f>
        <v>Tradiciones Andinas</v>
      </c>
      <c r="C154" s="20" t="str">
        <f>VLOOKUP(A154,'Base Sin Negativos'!S154:V1590,3,0)</f>
        <v>Galletas Morochas 30gr 12 x 22</v>
      </c>
      <c r="D154" s="20">
        <f>VLOOKUP(A154,'Base Sin Negativos'!S154:V1590,4,0)</f>
        <v>67.98</v>
      </c>
    </row>
    <row r="155" spans="1:4" x14ac:dyDescent="0.25">
      <c r="A155" s="20" t="s">
        <v>2483</v>
      </c>
      <c r="B155" s="20" t="str">
        <f>VLOOKUP(A155,'Base Sin Negativos'!S155:V1591,2,0)</f>
        <v>Tradiciones Andinas</v>
      </c>
      <c r="C155" s="20" t="str">
        <f>VLOOKUP(A155,'Base Sin Negativos'!S155:V1591,3,0)</f>
        <v>Galletas Morochas 30gr 12 x 22</v>
      </c>
      <c r="D155" s="20">
        <f>VLOOKUP(A155,'Base Sin Negativos'!S155:V1591,4,0)</f>
        <v>72.72</v>
      </c>
    </row>
    <row r="156" spans="1:4" x14ac:dyDescent="0.25">
      <c r="A156" s="20" t="s">
        <v>2484</v>
      </c>
      <c r="B156" s="20" t="str">
        <f>VLOOKUP(A156,'Base Sin Negativos'!S156:V1592,2,0)</f>
        <v>Belmont International Trading Corp</v>
      </c>
      <c r="C156" s="20" t="str">
        <f>VLOOKUP(A156,'Base Sin Negativos'!S156:V1592,3,0)</f>
        <v>Galletas Morochas 30gr 6x 30</v>
      </c>
      <c r="D156" s="20">
        <f>VLOOKUP(A156,'Base Sin Negativos'!S156:V1592,4,0)</f>
        <v>58</v>
      </c>
    </row>
    <row r="157" spans="1:4" x14ac:dyDescent="0.25">
      <c r="A157" s="20" t="s">
        <v>2485</v>
      </c>
      <c r="B157" s="20" t="str">
        <f>VLOOKUP(A157,'Base Sin Negativos'!S157:V1593,2,0)</f>
        <v>Belmont International Trading Corp</v>
      </c>
      <c r="C157" s="20" t="str">
        <f>VLOOKUP(A157,'Base Sin Negativos'!S157:V1593,3,0)</f>
        <v>Galletas Morochas 30gr 6x 30</v>
      </c>
      <c r="D157" s="20">
        <f>VLOOKUP(A157,'Base Sin Negativos'!S157:V1593,4,0)</f>
        <v>63.9</v>
      </c>
    </row>
    <row r="158" spans="1:4" x14ac:dyDescent="0.25">
      <c r="A158" s="20" t="s">
        <v>2486</v>
      </c>
      <c r="B158" s="20" t="str">
        <f>VLOOKUP(A158,'Base Sin Negativos'!S158:V1594,2,0)</f>
        <v>Peru Chef</v>
      </c>
      <c r="C158" s="20" t="str">
        <f>VLOOKUP(A158,'Base Sin Negativos'!S158:V1594,3,0)</f>
        <v>Galletas Morochas 30gr 6x 30</v>
      </c>
      <c r="D158" s="20">
        <f>VLOOKUP(A158,'Base Sin Negativos'!S158:V1594,4,0)</f>
        <v>78</v>
      </c>
    </row>
    <row r="159" spans="1:4" x14ac:dyDescent="0.25">
      <c r="A159" s="20" t="s">
        <v>2487</v>
      </c>
      <c r="B159" s="20" t="str">
        <f>VLOOKUP(A159,'Base Sin Negativos'!S159:V1595,2,0)</f>
        <v>Tradiciones Andinas</v>
      </c>
      <c r="C159" s="20" t="str">
        <f>VLOOKUP(A159,'Base Sin Negativos'!S159:V1595,3,0)</f>
        <v>Gelatina Universal Durazno / Peach Gelatin 150gr x 12</v>
      </c>
      <c r="D159" s="20">
        <f>VLOOKUP(A159,'Base Sin Negativos'!S159:V1595,4,0)</f>
        <v>13.08</v>
      </c>
    </row>
    <row r="160" spans="1:4" x14ac:dyDescent="0.25">
      <c r="A160" s="20" t="s">
        <v>2488</v>
      </c>
      <c r="B160" s="20" t="str">
        <f>VLOOKUP(A160,'Base Sin Negativos'!S160:V1596,2,0)</f>
        <v>Tradiciones Andinas</v>
      </c>
      <c r="C160" s="20" t="str">
        <f>VLOOKUP(A160,'Base Sin Negativos'!S160:V1596,3,0)</f>
        <v>Gelatina Universal Durazno / Peach Gelatin 150gr x 12</v>
      </c>
      <c r="D160" s="20">
        <f>VLOOKUP(A160,'Base Sin Negativos'!S160:V1596,4,0)</f>
        <v>14</v>
      </c>
    </row>
    <row r="161" spans="1:4" x14ac:dyDescent="0.25">
      <c r="A161" s="20" t="s">
        <v>2489</v>
      </c>
      <c r="B161" s="20" t="str">
        <f>VLOOKUP(A161,'Base Sin Negativos'!S161:V1597,2,0)</f>
        <v>Tradiciones Andinas</v>
      </c>
      <c r="C161" s="20" t="str">
        <f>VLOOKUP(A161,'Base Sin Negativos'!S161:V1597,3,0)</f>
        <v>Gelatina Universal Fresa / Strawberry Gelatin 150gr x 12</v>
      </c>
      <c r="D161" s="20">
        <f>VLOOKUP(A161,'Base Sin Negativos'!S161:V1597,4,0)</f>
        <v>13.08</v>
      </c>
    </row>
    <row r="162" spans="1:4" x14ac:dyDescent="0.25">
      <c r="A162" s="20" t="s">
        <v>2490</v>
      </c>
      <c r="B162" s="20" t="str">
        <f>VLOOKUP(A162,'Base Sin Negativos'!S162:V1598,2,0)</f>
        <v>Tradiciones Andinas</v>
      </c>
      <c r="C162" s="20" t="str">
        <f>VLOOKUP(A162,'Base Sin Negativos'!S162:V1598,3,0)</f>
        <v>Gelatina Universal Fresa / Strawberry Gelatin 150gr x 12</v>
      </c>
      <c r="D162" s="20">
        <f>VLOOKUP(A162,'Base Sin Negativos'!S162:V1598,4,0)</f>
        <v>14</v>
      </c>
    </row>
    <row r="163" spans="1:4" x14ac:dyDescent="0.25">
      <c r="A163" s="20" t="s">
        <v>2491</v>
      </c>
      <c r="B163" s="20" t="str">
        <f>VLOOKUP(A163,'Base Sin Negativos'!S163:V1599,2,0)</f>
        <v>Tradiciones Andinas</v>
      </c>
      <c r="C163" s="20" t="str">
        <f>VLOOKUP(A163,'Base Sin Negativos'!S163:V1599,3,0)</f>
        <v>Gelatina Universal Naranja / Orange Gelatin 150gr x 12</v>
      </c>
      <c r="D163" s="20">
        <f>VLOOKUP(A163,'Base Sin Negativos'!S163:V1599,4,0)</f>
        <v>13.08</v>
      </c>
    </row>
    <row r="164" spans="1:4" x14ac:dyDescent="0.25">
      <c r="A164" s="20" t="s">
        <v>2492</v>
      </c>
      <c r="B164" s="20" t="str">
        <f>VLOOKUP(A164,'Base Sin Negativos'!S164:V1600,2,0)</f>
        <v>Tradiciones Andinas</v>
      </c>
      <c r="C164" s="20" t="str">
        <f>VLOOKUP(A164,'Base Sin Negativos'!S164:V1600,3,0)</f>
        <v>Gelatina Universal Naranja / Orange Gelatin 150gr x 12</v>
      </c>
      <c r="D164" s="20">
        <f>VLOOKUP(A164,'Base Sin Negativos'!S164:V1600,4,0)</f>
        <v>14</v>
      </c>
    </row>
    <row r="165" spans="1:4" x14ac:dyDescent="0.25">
      <c r="A165" s="20" t="s">
        <v>2493</v>
      </c>
      <c r="B165" s="20" t="str">
        <f>VLOOKUP(A165,'Base Sin Negativos'!S165:V1601,2,0)</f>
        <v>Tradiciones Andinas</v>
      </c>
      <c r="C165" s="20" t="str">
        <f>VLOOKUP(A165,'Base Sin Negativos'!S165:V1601,3,0)</f>
        <v>Gelatina Universal Piña / Pineapple Gelatin 150gr x 12</v>
      </c>
      <c r="D165" s="20">
        <f>VLOOKUP(A165,'Base Sin Negativos'!S165:V1601,4,0)</f>
        <v>13.08</v>
      </c>
    </row>
    <row r="166" spans="1:4" x14ac:dyDescent="0.25">
      <c r="A166" s="20" t="s">
        <v>2494</v>
      </c>
      <c r="B166" s="20" t="str">
        <f>VLOOKUP(A166,'Base Sin Negativos'!S166:V1602,2,0)</f>
        <v>Tradiciones Andinas</v>
      </c>
      <c r="C166" s="20" t="str">
        <f>VLOOKUP(A166,'Base Sin Negativos'!S166:V1602,3,0)</f>
        <v>Gelatina Universal Piña / Pineapple Gelatin 150gr x 12</v>
      </c>
      <c r="D166" s="20">
        <f>VLOOKUP(A166,'Base Sin Negativos'!S166:V1602,4,0)</f>
        <v>14</v>
      </c>
    </row>
    <row r="167" spans="1:4" x14ac:dyDescent="0.25">
      <c r="A167" s="20" t="s">
        <v>2495</v>
      </c>
      <c r="B167" s="20" t="str">
        <f>VLOOKUP(A167,'Base Sin Negativos'!S167:V1603,2,0)</f>
        <v>Peru Chef</v>
      </c>
      <c r="C167" s="20" t="str">
        <f>VLOOKUP(A167,'Base Sin Negativos'!S167:V1603,3,0)</f>
        <v>Glacitas Chocolate 32gr 6 x 8</v>
      </c>
      <c r="D167" s="20">
        <f>VLOOKUP(A167,'Base Sin Negativos'!S167:V1603,4,0)</f>
        <v>17</v>
      </c>
    </row>
    <row r="168" spans="1:4" x14ac:dyDescent="0.25">
      <c r="A168" s="20" t="s">
        <v>2496</v>
      </c>
      <c r="B168" s="20" t="str">
        <f>VLOOKUP(A168,'Base Sin Negativos'!S168:V1604,2,0)</f>
        <v>Peru Chef</v>
      </c>
      <c r="C168" s="20" t="str">
        <f>VLOOKUP(A168,'Base Sin Negativos'!S168:V1604,3,0)</f>
        <v>Glacitas Choconieve 32gr 6 x 8</v>
      </c>
      <c r="D168" s="20">
        <f>VLOOKUP(A168,'Base Sin Negativos'!S168:V1604,4,0)</f>
        <v>17</v>
      </c>
    </row>
    <row r="169" spans="1:4" x14ac:dyDescent="0.25">
      <c r="A169" s="20" t="s">
        <v>2497</v>
      </c>
      <c r="B169" s="20" t="str">
        <f>VLOOKUP(A169,'Base Sin Negativos'!S169:V1605,2,0)</f>
        <v>Peru Chef</v>
      </c>
      <c r="C169" s="20" t="str">
        <f>VLOOKUP(A169,'Base Sin Negativos'!S169:V1605,3,0)</f>
        <v>Glacitas Choconieve 32gr 6 x 8</v>
      </c>
      <c r="D169" s="20">
        <f>VLOOKUP(A169,'Base Sin Negativos'!S169:V1605,4,0)</f>
        <v>15.3</v>
      </c>
    </row>
    <row r="170" spans="1:4" x14ac:dyDescent="0.25">
      <c r="A170" s="20" t="s">
        <v>2498</v>
      </c>
      <c r="B170" s="20" t="str">
        <f>VLOOKUP(A170,'Base Sin Negativos'!S170:V1606,2,0)</f>
        <v>Peru Chef</v>
      </c>
      <c r="C170" s="20" t="str">
        <f>VLOOKUP(A170,'Base Sin Negativos'!S170:V1606,3,0)</f>
        <v>Glacitas Fresa 32gr 6 x 8</v>
      </c>
      <c r="D170" s="20">
        <f>VLOOKUP(A170,'Base Sin Negativos'!S170:V1606,4,0)</f>
        <v>17</v>
      </c>
    </row>
    <row r="171" spans="1:4" x14ac:dyDescent="0.25">
      <c r="A171" s="20" t="s">
        <v>2499</v>
      </c>
      <c r="B171" s="20" t="str">
        <f>VLOOKUP(A171,'Base Sin Negativos'!S171:V1607,2,0)</f>
        <v>Peru Chef</v>
      </c>
      <c r="C171" s="20" t="str">
        <f>VLOOKUP(A171,'Base Sin Negativos'!S171:V1607,3,0)</f>
        <v>Glacitas Fresa 32gr 6 x 8</v>
      </c>
      <c r="D171" s="20">
        <f>VLOOKUP(A171,'Base Sin Negativos'!S171:V1607,4,0)</f>
        <v>15.3</v>
      </c>
    </row>
    <row r="172" spans="1:4" x14ac:dyDescent="0.25">
      <c r="A172" s="20" t="s">
        <v>2500</v>
      </c>
      <c r="B172" s="20" t="str">
        <f>VLOOKUP(A172,'Base Sin Negativos'!S172:V1608,2,0)</f>
        <v>Peru Chef</v>
      </c>
      <c r="C172" s="20" t="str">
        <f>VLOOKUP(A172,'Base Sin Negativos'!S172:V1608,3,0)</f>
        <v>Glacitas Toffee 32gr 6 x 8</v>
      </c>
      <c r="D172" s="20">
        <f>VLOOKUP(A172,'Base Sin Negativos'!S172:V1608,4,0)</f>
        <v>17</v>
      </c>
    </row>
    <row r="173" spans="1:4" x14ac:dyDescent="0.25">
      <c r="A173" s="20" t="s">
        <v>2501</v>
      </c>
      <c r="B173" s="20" t="str">
        <f>VLOOKUP(A173,'Base Sin Negativos'!S173:V1609,2,0)</f>
        <v>Peru Chef</v>
      </c>
      <c r="C173" s="20" t="str">
        <f>VLOOKUP(A173,'Base Sin Negativos'!S173:V1609,3,0)</f>
        <v>Glacitas Toffee 32gr 6 x 8</v>
      </c>
      <c r="D173" s="20">
        <f>VLOOKUP(A173,'Base Sin Negativos'!S173:V1609,4,0)</f>
        <v>15.3</v>
      </c>
    </row>
    <row r="174" spans="1:4" x14ac:dyDescent="0.25">
      <c r="A174" s="20" t="s">
        <v>2502</v>
      </c>
      <c r="B174" s="20" t="str">
        <f>VLOOKUP(A174,'Base Sin Negativos'!S174:V1610,2,0)</f>
        <v>Belmont International Trading Corp</v>
      </c>
      <c r="C174" s="20" t="str">
        <f>VLOOKUP(A174,'Base Sin Negativos'!S174:V1610,3,0)</f>
        <v>Gloria Chicha Morada 1Lt x 12 TETRAPACK</v>
      </c>
      <c r="D174" s="20">
        <f>VLOOKUP(A174,'Base Sin Negativos'!S174:V1610,4,0)</f>
        <v>15.9</v>
      </c>
    </row>
    <row r="175" spans="1:4" x14ac:dyDescent="0.25">
      <c r="A175" s="20" t="s">
        <v>2503</v>
      </c>
      <c r="B175" s="20" t="str">
        <f>VLOOKUP(A175,'Base Sin Negativos'!S175:V1611,2,0)</f>
        <v>Peru Chef</v>
      </c>
      <c r="C175" s="20" t="str">
        <f>VLOOKUP(A175,'Base Sin Negativos'!S175:V1611,3,0)</f>
        <v>Gn Rellenitas Choco y Fresa x 8 x 5</v>
      </c>
      <c r="D175" s="20">
        <f>VLOOKUP(A175,'Base Sin Negativos'!S175:V1611,4,0)</f>
        <v>8.1</v>
      </c>
    </row>
    <row r="176" spans="1:4" x14ac:dyDescent="0.25">
      <c r="A176" s="20" t="s">
        <v>2504</v>
      </c>
      <c r="B176" s="20" t="str">
        <f>VLOOKUP(A176,'Base Sin Negativos'!S176:V1612,2,0)</f>
        <v>Peru Chef</v>
      </c>
      <c r="C176" s="20" t="str">
        <f>VLOOKUP(A176,'Base Sin Negativos'!S176:V1612,3,0)</f>
        <v>Gn Rellenitas Choco y Menta x 8 x 5</v>
      </c>
      <c r="D176" s="20">
        <f>VLOOKUP(A176,'Base Sin Negativos'!S176:V1612,4,0)</f>
        <v>8.1</v>
      </c>
    </row>
    <row r="177" spans="1:4" x14ac:dyDescent="0.25">
      <c r="A177" s="20" t="s">
        <v>2505</v>
      </c>
      <c r="B177" s="20" t="str">
        <f>VLOOKUP(A177,'Base Sin Negativos'!S177:V1613,2,0)</f>
        <v>Peru Chef</v>
      </c>
      <c r="C177" s="20" t="str">
        <f>VLOOKUP(A177,'Base Sin Negativos'!S177:V1613,3,0)</f>
        <v>Gn Rellenitas Coco x 8 x 5</v>
      </c>
      <c r="D177" s="20">
        <f>VLOOKUP(A177,'Base Sin Negativos'!S177:V1613,4,0)</f>
        <v>9</v>
      </c>
    </row>
    <row r="178" spans="1:4" x14ac:dyDescent="0.25">
      <c r="A178" s="20" t="s">
        <v>2506</v>
      </c>
      <c r="B178" s="20" t="str">
        <f>VLOOKUP(A178,'Base Sin Negativos'!S178:V1614,2,0)</f>
        <v>Peru Chef</v>
      </c>
      <c r="C178" s="20" t="str">
        <f>VLOOKUP(A178,'Base Sin Negativos'!S178:V1614,3,0)</f>
        <v>Gn Rellenitas Fresa x 8 x 5 pack</v>
      </c>
      <c r="D178" s="20">
        <f>VLOOKUP(A178,'Base Sin Negativos'!S178:V1614,4,0)</f>
        <v>9</v>
      </c>
    </row>
    <row r="179" spans="1:4" x14ac:dyDescent="0.25">
      <c r="A179" s="20" t="s">
        <v>2507</v>
      </c>
      <c r="B179" s="20" t="str">
        <f>VLOOKUP(A179,'Base Sin Negativos'!S179:V1615,2,0)</f>
        <v>Peru Chef</v>
      </c>
      <c r="C179" s="20" t="str">
        <f>VLOOKUP(A179,'Base Sin Negativos'!S179:V1615,3,0)</f>
        <v>Gn Rellenitas Fresa x 8 x 5 pack</v>
      </c>
      <c r="D179" s="20">
        <f>VLOOKUP(A179,'Base Sin Negativos'!S179:V1615,4,0)</f>
        <v>8.1</v>
      </c>
    </row>
    <row r="180" spans="1:4" x14ac:dyDescent="0.25">
      <c r="A180" s="20" t="s">
        <v>2508</v>
      </c>
      <c r="B180" s="20" t="str">
        <f>VLOOKUP(A180,'Base Sin Negativos'!S180:V1616,2,0)</f>
        <v>Peru Chef</v>
      </c>
      <c r="C180" s="20" t="str">
        <f>VLOOKUP(A180,'Base Sin Negativos'!S180:V1616,3,0)</f>
        <v>Gn Rellenitas Limon x 8 x 5 pack</v>
      </c>
      <c r="D180" s="20">
        <f>VLOOKUP(A180,'Base Sin Negativos'!S180:V1616,4,0)</f>
        <v>8.1</v>
      </c>
    </row>
    <row r="181" spans="1:4" x14ac:dyDescent="0.25">
      <c r="A181" s="20" t="s">
        <v>2509</v>
      </c>
      <c r="B181" s="20" t="str">
        <f>VLOOKUP(A181,'Base Sin Negativos'!S181:V1617,2,0)</f>
        <v>Peru Chef</v>
      </c>
      <c r="C181" s="20" t="str">
        <f>VLOOKUP(A181,'Base Sin Negativos'!S181:V1617,3,0)</f>
        <v>Gn Rellenitas Lucuma x 8 x 5</v>
      </c>
      <c r="D181" s="20">
        <f>VLOOKUP(A181,'Base Sin Negativos'!S181:V1617,4,0)</f>
        <v>8.1</v>
      </c>
    </row>
    <row r="182" spans="1:4" x14ac:dyDescent="0.25">
      <c r="A182" s="20" t="s">
        <v>2510</v>
      </c>
      <c r="B182" s="20" t="str">
        <f>VLOOKUP(A182,'Base Sin Negativos'!S182:V1618,2,0)</f>
        <v>Belmont International Trading Corp</v>
      </c>
      <c r="C182" s="20" t="str">
        <f>VLOOKUP(A182,'Base Sin Negativos'!S182:V1618,3,0)</f>
        <v>Huancaina A la Cena 17.06oz (400gr) x 12</v>
      </c>
      <c r="D182" s="20">
        <f>VLOOKUP(A182,'Base Sin Negativos'!S182:V1618,4,0)</f>
        <v>39.5</v>
      </c>
    </row>
    <row r="183" spans="1:4" x14ac:dyDescent="0.25">
      <c r="A183" s="20" t="s">
        <v>2511</v>
      </c>
      <c r="B183" s="20" t="str">
        <f>VLOOKUP(A183,'Base Sin Negativos'!S183:V1619,2,0)</f>
        <v>Belmont International Trading Corp</v>
      </c>
      <c r="C183" s="20" t="str">
        <f>VLOOKUP(A183,'Base Sin Negativos'!S183:V1619,3,0)</f>
        <v>Huancaina A la Cena 17.06oz (400gr) x 12</v>
      </c>
      <c r="D183" s="20">
        <f>VLOOKUP(A183,'Base Sin Negativos'!S183:V1619,4,0)</f>
        <v>43.5</v>
      </c>
    </row>
    <row r="184" spans="1:4" x14ac:dyDescent="0.25">
      <c r="A184" s="20" t="s">
        <v>2512</v>
      </c>
      <c r="B184" s="20" t="str">
        <f>VLOOKUP(A184,'Base Sin Negativos'!S184:V1620,2,0)</f>
        <v>Peru Chef</v>
      </c>
      <c r="C184" s="20" t="str">
        <f>VLOOKUP(A184,'Base Sin Negativos'!S184:V1620,3,0)</f>
        <v>Huancaina A la Cena 17.06oz (400gr) x 12</v>
      </c>
      <c r="D184" s="20">
        <f>VLOOKUP(A184,'Base Sin Negativos'!S184:V1620,4,0)</f>
        <v>35</v>
      </c>
    </row>
    <row r="185" spans="1:4" x14ac:dyDescent="0.25">
      <c r="A185" s="20" t="s">
        <v>2513</v>
      </c>
      <c r="B185" s="20" t="str">
        <f>VLOOKUP(A185,'Base Sin Negativos'!S185:V1621,2,0)</f>
        <v>Continental Food and Beverage, inc</v>
      </c>
      <c r="C185" s="20" t="str">
        <f>VLOOKUP(A185,'Base Sin Negativos'!S185:V1621,3,0)</f>
        <v>Inca Kola Diet Lata 12oz x 24</v>
      </c>
      <c r="D185" s="20">
        <f>VLOOKUP(A185,'Base Sin Negativos'!S185:V1621,4,0)</f>
        <v>11.94</v>
      </c>
    </row>
    <row r="186" spans="1:4" x14ac:dyDescent="0.25">
      <c r="A186" s="20" t="s">
        <v>2514</v>
      </c>
      <c r="B186" s="20" t="str">
        <f>VLOOKUP(A186,'Base Sin Negativos'!S186:V1622,2,0)</f>
        <v>Continental Food and Beverage, inc</v>
      </c>
      <c r="C186" s="20" t="str">
        <f>VLOOKUP(A186,'Base Sin Negativos'!S186:V1622,3,0)</f>
        <v>Inca Kola Diet Lata 12oz x 24</v>
      </c>
      <c r="D186" s="20">
        <f>VLOOKUP(A186,'Base Sin Negativos'!S186:V1622,4,0)</f>
        <v>12.44</v>
      </c>
    </row>
    <row r="187" spans="1:4" x14ac:dyDescent="0.25">
      <c r="A187" s="20" t="s">
        <v>2515</v>
      </c>
      <c r="B187" s="20" t="str">
        <f>VLOOKUP(A187,'Base Sin Negativos'!S187:V1623,2,0)</f>
        <v>Continental Food and Beverage, inc</v>
      </c>
      <c r="C187" s="20" t="str">
        <f>VLOOKUP(A187,'Base Sin Negativos'!S187:V1623,3,0)</f>
        <v>Inca Kola Plastico 2Lt x 8</v>
      </c>
      <c r="D187" s="20">
        <f>VLOOKUP(A187,'Base Sin Negativos'!S187:V1623,4,0)</f>
        <v>12.73</v>
      </c>
    </row>
    <row r="188" spans="1:4" x14ac:dyDescent="0.25">
      <c r="A188" s="20" t="s">
        <v>2516</v>
      </c>
      <c r="B188" s="20" t="str">
        <f>VLOOKUP(A188,'Base Sin Negativos'!S188:V1624,2,0)</f>
        <v>Continental Food and Beverage, inc</v>
      </c>
      <c r="C188" s="20" t="str">
        <f>VLOOKUP(A188,'Base Sin Negativos'!S188:V1624,3,0)</f>
        <v>Inca Kola Plastico 2Lt x 8</v>
      </c>
      <c r="D188" s="20">
        <f>VLOOKUP(A188,'Base Sin Negativos'!S188:V1624,4,0)</f>
        <v>13.28</v>
      </c>
    </row>
    <row r="189" spans="1:4" x14ac:dyDescent="0.25">
      <c r="A189" s="20" t="s">
        <v>2517</v>
      </c>
      <c r="B189" s="20" t="str">
        <f>VLOOKUP(A189,'Base Sin Negativos'!S189:V1625,2,0)</f>
        <v>Continental Food and Beverage, inc</v>
      </c>
      <c r="C189" s="20" t="str">
        <f>VLOOKUP(A189,'Base Sin Negativos'!S189:V1625,3,0)</f>
        <v>Inca Kola Regular  x 24 Latas</v>
      </c>
      <c r="D189" s="20">
        <f>VLOOKUP(A189,'Base Sin Negativos'!S189:V1625,4,0)</f>
        <v>10.06</v>
      </c>
    </row>
    <row r="190" spans="1:4" x14ac:dyDescent="0.25">
      <c r="A190" s="20" t="s">
        <v>2518</v>
      </c>
      <c r="B190" s="20" t="str">
        <f>VLOOKUP(A190,'Base Sin Negativos'!S190:V1626,2,0)</f>
        <v>Continental Food and Beverage, inc</v>
      </c>
      <c r="C190" s="20" t="str">
        <f>VLOOKUP(A190,'Base Sin Negativos'!S190:V1626,3,0)</f>
        <v>Inca Kola Regular  x 24 Latas</v>
      </c>
      <c r="D190" s="20">
        <f>VLOOKUP(A190,'Base Sin Negativos'!S190:V1626,4,0)</f>
        <v>12.44</v>
      </c>
    </row>
    <row r="191" spans="1:4" x14ac:dyDescent="0.25">
      <c r="A191" s="20" t="s">
        <v>2519</v>
      </c>
      <c r="B191" s="20" t="str">
        <f>VLOOKUP(A191,'Base Sin Negativos'!S191:V1627,2,0)</f>
        <v>Continental Food and Beverage, inc</v>
      </c>
      <c r="C191" s="20" t="str">
        <f>VLOOKUP(A191,'Base Sin Negativos'!S191:V1627,3,0)</f>
        <v>Inca Kola Regular  x 24 Latas</v>
      </c>
      <c r="D191" s="20">
        <f>VLOOKUP(A191,'Base Sin Negativos'!S191:V1627,4,0)</f>
        <v>10.56</v>
      </c>
    </row>
    <row r="192" spans="1:4" x14ac:dyDescent="0.25">
      <c r="A192" s="20" t="s">
        <v>2520</v>
      </c>
      <c r="B192" s="20" t="e">
        <f>VLOOKUP(A192,'Base Sin Negativos'!S192:V1628,2,0)</f>
        <v>#N/A</v>
      </c>
      <c r="C192" s="20" t="e">
        <f>VLOOKUP(A192,'Base Sin Negativos'!S192:V1628,3,0)</f>
        <v>#N/A</v>
      </c>
      <c r="D192" s="20" t="e">
        <f>VLOOKUP(A192,'Base Sin Negativos'!S192:V1628,4,0)</f>
        <v>#N/A</v>
      </c>
    </row>
    <row r="193" spans="1:4" x14ac:dyDescent="0.25">
      <c r="A193" s="20" t="s">
        <v>2521</v>
      </c>
      <c r="B193" s="20" t="str">
        <f>VLOOKUP(A193,'Base Sin Negativos'!S193:V1629,2,0)</f>
        <v>Continental Food and Beverage, inc</v>
      </c>
      <c r="C193" s="20" t="str">
        <f>VLOOKUP(A193,'Base Sin Negativos'!S193:V1629,3,0)</f>
        <v>Inca Kola Regular x 12 latas</v>
      </c>
      <c r="D193" s="20">
        <f>VLOOKUP(A193,'Base Sin Negativos'!S193:V1629,4,0)</f>
        <v>5.2350000000000003</v>
      </c>
    </row>
    <row r="194" spans="1:4" x14ac:dyDescent="0.25">
      <c r="A194" s="20" t="s">
        <v>2522</v>
      </c>
      <c r="B194" s="20" t="str">
        <f>VLOOKUP(A194,'Base Sin Negativos'!S194:V1630,2,0)</f>
        <v>Continental Food and Beverage, inc</v>
      </c>
      <c r="C194" s="20" t="str">
        <f>VLOOKUP(A194,'Base Sin Negativos'!S194:V1630,3,0)</f>
        <v>Inca Kola Vidrio x 24</v>
      </c>
      <c r="D194" s="20">
        <f>VLOOKUP(A194,'Base Sin Negativos'!S194:V1630,4,0)</f>
        <v>22.5</v>
      </c>
    </row>
    <row r="195" spans="1:4" x14ac:dyDescent="0.25">
      <c r="A195" s="20" t="s">
        <v>2523</v>
      </c>
      <c r="B195" s="20" t="str">
        <f>VLOOKUP(A195,'Base Sin Negativos'!S195:V1631,2,0)</f>
        <v>Continental Food and Beverage, inc</v>
      </c>
      <c r="C195" s="20" t="str">
        <f>VLOOKUP(A195,'Base Sin Negativos'!S195:V1631,3,0)</f>
        <v>Inca Kola Vidrio x 24</v>
      </c>
      <c r="D195" s="20">
        <f>VLOOKUP(A195,'Base Sin Negativos'!S195:V1631,4,0)</f>
        <v>24.25</v>
      </c>
    </row>
    <row r="196" spans="1:4" x14ac:dyDescent="0.25">
      <c r="A196" s="20" t="s">
        <v>2524</v>
      </c>
      <c r="B196" s="20" t="str">
        <f>VLOOKUP(A196,'Base Sin Negativos'!S196:V1632,2,0)</f>
        <v>Peru Chef</v>
      </c>
      <c r="C196" s="20" t="str">
        <f>VLOOKUP(A196,'Base Sin Negativos'!S196:V1632,3,0)</f>
        <v>Kikko Siyau 500ml x 30</v>
      </c>
      <c r="D196" s="20">
        <f>VLOOKUP(A196,'Base Sin Negativos'!S196:V1632,4,0)</f>
        <v>39</v>
      </c>
    </row>
    <row r="197" spans="1:4" x14ac:dyDescent="0.25">
      <c r="A197" s="20" t="s">
        <v>2525</v>
      </c>
      <c r="B197" s="20" t="str">
        <f>VLOOKUP(A197,'Base Sin Negativos'!S197:V1633,2,0)</f>
        <v>Tradiciones Andinas</v>
      </c>
      <c r="C197" s="20" t="str">
        <f>VLOOKUP(A197,'Base Sin Negativos'!S197:V1633,3,0)</f>
        <v>Kikko Siyau 500ml x 30</v>
      </c>
      <c r="D197" s="20">
        <f>VLOOKUP(A197,'Base Sin Negativos'!S197:V1633,4,0)</f>
        <v>29.7</v>
      </c>
    </row>
    <row r="198" spans="1:4" x14ac:dyDescent="0.25">
      <c r="A198" s="20" t="s">
        <v>2526</v>
      </c>
      <c r="B198" s="20" t="str">
        <f>VLOOKUP(A198,'Base Sin Negativos'!S198:V1634,2,0)</f>
        <v>Tradiciones Andinas</v>
      </c>
      <c r="C198" s="20" t="str">
        <f>VLOOKUP(A198,'Base Sin Negativos'!S198:V1634,3,0)</f>
        <v>Kikko Siyau 500ml x 30</v>
      </c>
      <c r="D198" s="20">
        <f>VLOOKUP(A198,'Base Sin Negativos'!S198:V1634,4,0)</f>
        <v>31.8</v>
      </c>
    </row>
    <row r="199" spans="1:4" x14ac:dyDescent="0.25">
      <c r="A199" s="20" t="s">
        <v>2527</v>
      </c>
      <c r="B199" s="20" t="str">
        <f>VLOOKUP(A199,'Base Sin Negativos'!S199:V1635,2,0)</f>
        <v>Peru Chef</v>
      </c>
      <c r="C199" s="20" t="str">
        <f>VLOOKUP(A199,'Base Sin Negativos'!S199:V1635,3,0)</f>
        <v>Kikko Siyau 5L</v>
      </c>
      <c r="D199" s="20">
        <f>VLOOKUP(A199,'Base Sin Negativos'!S199:V1635,4,0)</f>
        <v>11.25</v>
      </c>
    </row>
    <row r="200" spans="1:4" x14ac:dyDescent="0.25">
      <c r="A200" s="20" t="s">
        <v>2528</v>
      </c>
      <c r="B200" s="20" t="str">
        <f>VLOOKUP(A200,'Base Sin Negativos'!S200:V1636,2,0)</f>
        <v>Peru Chef</v>
      </c>
      <c r="C200" s="20" t="str">
        <f>VLOOKUP(A200,'Base Sin Negativos'!S200:V1636,3,0)</f>
        <v>Kikko Siyau 5L</v>
      </c>
      <c r="D200" s="20">
        <f>VLOOKUP(A200,'Base Sin Negativos'!S200:V1636,4,0)</f>
        <v>10.125</v>
      </c>
    </row>
    <row r="201" spans="1:4" x14ac:dyDescent="0.25">
      <c r="A201" s="20" t="s">
        <v>2529</v>
      </c>
      <c r="B201" s="20" t="str">
        <f>VLOOKUP(A201,'Base Sin Negativos'!S201:V1637,2,0)</f>
        <v>Peru Chef</v>
      </c>
      <c r="C201" s="20" t="str">
        <f>VLOOKUP(A201,'Base Sin Negativos'!S201:V1637,3,0)</f>
        <v>KIRMA - Café Instantaneo - Instant Coffee</v>
      </c>
      <c r="D201" s="20">
        <f>VLOOKUP(A201,'Base Sin Negativos'!S201:V1637,4,0)</f>
        <v>115</v>
      </c>
    </row>
    <row r="202" spans="1:4" x14ac:dyDescent="0.25">
      <c r="A202" s="20" t="s">
        <v>2530</v>
      </c>
      <c r="B202" s="20" t="str">
        <f>VLOOKUP(A202,'Base Sin Negativos'!S202:V1638,2,0)</f>
        <v>Peru Chef</v>
      </c>
      <c r="C202" s="20" t="str">
        <f>VLOOKUP(A202,'Base Sin Negativos'!S202:V1638,3,0)</f>
        <v>KIRMA - Café Instantaneo - Instant Coffee</v>
      </c>
      <c r="D202" s="20">
        <f>VLOOKUP(A202,'Base Sin Negativos'!S202:V1638,4,0)</f>
        <v>125</v>
      </c>
    </row>
    <row r="203" spans="1:4" x14ac:dyDescent="0.25">
      <c r="A203" s="20" t="s">
        <v>2531</v>
      </c>
      <c r="B203" s="20" t="str">
        <f>VLOOKUP(A203,'Base Sin Negativos'!S203:V1639,2,0)</f>
        <v>Continental Food and Beverage, inc</v>
      </c>
      <c r="C203" s="20" t="str">
        <f>VLOOKUP(A203,'Base Sin Negativos'!S203:V1639,3,0)</f>
        <v>Kola Inglesa 12oz x 24</v>
      </c>
      <c r="D203" s="20">
        <f>VLOOKUP(A203,'Base Sin Negativos'!S203:V1639,4,0)</f>
        <v>16</v>
      </c>
    </row>
    <row r="204" spans="1:4" x14ac:dyDescent="0.25">
      <c r="A204" s="20" t="s">
        <v>2532</v>
      </c>
      <c r="B204" s="20" t="str">
        <f>VLOOKUP(A204,'Base Sin Negativos'!S204:V1640,2,0)</f>
        <v>Lam's Foods Inc.</v>
      </c>
      <c r="C204" s="20" t="str">
        <f>VLOOKUP(A204,'Base Sin Negativos'!S204:V1640,3,0)</f>
        <v>Lam's Chifles dulce en tiras 2.1oz x 24</v>
      </c>
      <c r="D204" s="20">
        <f>VLOOKUP(A204,'Base Sin Negativos'!S204:V1640,4,0)</f>
        <v>30</v>
      </c>
    </row>
    <row r="205" spans="1:4" x14ac:dyDescent="0.25">
      <c r="A205" s="20" t="s">
        <v>2533</v>
      </c>
      <c r="B205" s="20" t="str">
        <f>VLOOKUP(A205,'Base Sin Negativos'!S205:V1641,2,0)</f>
        <v>Lam's Foods Inc.</v>
      </c>
      <c r="C205" s="20" t="str">
        <f>VLOOKUP(A205,'Base Sin Negativos'!S205:V1641,3,0)</f>
        <v>Lam's Chifles salado en tiras 2.5oz x 24</v>
      </c>
      <c r="D205" s="20">
        <f>VLOOKUP(A205,'Base Sin Negativos'!S205:V1641,4,0)</f>
        <v>30</v>
      </c>
    </row>
    <row r="206" spans="1:4" x14ac:dyDescent="0.25">
      <c r="A206" s="20" t="s">
        <v>2534</v>
      </c>
      <c r="B206" s="20" t="str">
        <f>VLOOKUP(A206,'Base Sin Negativos'!S206:V1642,2,0)</f>
        <v>Lam's Foods Inc.</v>
      </c>
      <c r="C206" s="20" t="str">
        <f>VLOOKUP(A206,'Base Sin Negativos'!S206:V1642,3,0)</f>
        <v>Lam's Patacones / Tostones Dulce 4oz x 24</v>
      </c>
      <c r="D206" s="20">
        <f>VLOOKUP(A206,'Base Sin Negativos'!S206:V1642,4,0)</f>
        <v>36</v>
      </c>
    </row>
    <row r="207" spans="1:4" x14ac:dyDescent="0.25">
      <c r="A207" s="20" t="s">
        <v>2535</v>
      </c>
      <c r="B207" s="20" t="str">
        <f>VLOOKUP(A207,'Base Sin Negativos'!S207:V1643,2,0)</f>
        <v>Lam's Foods Inc.</v>
      </c>
      <c r="C207" s="20" t="str">
        <f>VLOOKUP(A207,'Base Sin Negativos'!S207:V1643,3,0)</f>
        <v>Lam's Patacones / Tostones picante 4oz x 24</v>
      </c>
      <c r="D207" s="20">
        <f>VLOOKUP(A207,'Base Sin Negativos'!S207:V1643,4,0)</f>
        <v>36</v>
      </c>
    </row>
    <row r="208" spans="1:4" x14ac:dyDescent="0.25">
      <c r="A208" s="20" t="s">
        <v>2536</v>
      </c>
      <c r="B208" s="20" t="str">
        <f>VLOOKUP(A208,'Base Sin Negativos'!S208:V1644,2,0)</f>
        <v>Lam's Foods Inc.</v>
      </c>
      <c r="C208" s="20" t="str">
        <f>VLOOKUP(A208,'Base Sin Negativos'!S208:V1644,3,0)</f>
        <v>Lam's Patacones / Tostones Regular 4oz x 24</v>
      </c>
      <c r="D208" s="20">
        <f>VLOOKUP(A208,'Base Sin Negativos'!S208:V1644,4,0)</f>
        <v>36</v>
      </c>
    </row>
    <row r="209" spans="1:4" x14ac:dyDescent="0.25">
      <c r="A209" s="20" t="s">
        <v>2537</v>
      </c>
      <c r="B209" s="20" t="str">
        <f>VLOOKUP(A209,'Base Sin Negativos'!S209:V1645,2,0)</f>
        <v>Belmont International Trading Corp</v>
      </c>
      <c r="C209" s="20" t="str">
        <f>VLOOKUP(A209,'Base Sin Negativos'!S209:V1645,3,0)</f>
        <v>Leche condensada BONLE lata 14oz x 24</v>
      </c>
      <c r="D209" s="20">
        <f>VLOOKUP(A209,'Base Sin Negativos'!S209:V1645,4,0)</f>
        <v>25.5</v>
      </c>
    </row>
    <row r="210" spans="1:4" x14ac:dyDescent="0.25">
      <c r="A210" s="20" t="s">
        <v>2538</v>
      </c>
      <c r="B210" s="20" t="str">
        <f>VLOOKUP(A210,'Base Sin Negativos'!S210:V1646,2,0)</f>
        <v>Belmont International Trading Corp</v>
      </c>
      <c r="C210" s="20" t="str">
        <f>VLOOKUP(A210,'Base Sin Negativos'!S210:V1646,3,0)</f>
        <v>Leche evaporada BONLE 12oz x 24</v>
      </c>
      <c r="D210" s="20">
        <f>VLOOKUP(A210,'Base Sin Negativos'!S210:V1646,4,0)</f>
        <v>25.5</v>
      </c>
    </row>
    <row r="211" spans="1:4" x14ac:dyDescent="0.25">
      <c r="A211" s="20" t="s">
        <v>2539</v>
      </c>
      <c r="B211" s="20" t="str">
        <f>VLOOKUP(A211,'Base Sin Negativos'!S211:V1647,2,0)</f>
        <v>Belmont International Trading Corp</v>
      </c>
      <c r="C211" s="20" t="str">
        <f>VLOOKUP(A211,'Base Sin Negativos'!S211:V1647,3,0)</f>
        <v>Leche evaporada Gloria 13oz Lata x 24</v>
      </c>
      <c r="D211" s="20">
        <f>VLOOKUP(A211,'Base Sin Negativos'!S211:V1647,4,0)</f>
        <v>29.9</v>
      </c>
    </row>
    <row r="212" spans="1:4" x14ac:dyDescent="0.25">
      <c r="A212" s="20" t="s">
        <v>2540</v>
      </c>
      <c r="B212" s="20" t="str">
        <f>VLOOKUP(A212,'Base Sin Negativos'!S212:V1648,2,0)</f>
        <v>Belmont International Trading Corp</v>
      </c>
      <c r="C212" s="20" t="str">
        <f>VLOOKUP(A212,'Base Sin Negativos'!S212:V1648,3,0)</f>
        <v>Leche evaporada Gloria 13oz Lata x 24</v>
      </c>
      <c r="D212" s="20">
        <f>VLOOKUP(A212,'Base Sin Negativos'!S212:V1648,4,0)</f>
        <v>25.9</v>
      </c>
    </row>
    <row r="213" spans="1:4" x14ac:dyDescent="0.25">
      <c r="A213" s="20" t="s">
        <v>2541</v>
      </c>
      <c r="B213" s="20" t="str">
        <f>VLOOKUP(A213,'Base Sin Negativos'!S213:V1649,2,0)</f>
        <v>La Sorpresa Store</v>
      </c>
      <c r="C213" s="20" t="str">
        <f>VLOOKUP(A213,'Base Sin Negativos'!S213:V1649,3,0)</f>
        <v>Los Nietitos - Dulce de Leche</v>
      </c>
      <c r="D213" s="20">
        <f>VLOOKUP(A213,'Base Sin Negativos'!S213:V1649,4,0)</f>
        <v>75</v>
      </c>
    </row>
    <row r="214" spans="1:4" x14ac:dyDescent="0.25">
      <c r="A214" s="20" t="s">
        <v>2542</v>
      </c>
      <c r="B214" s="20" t="str">
        <f>VLOOKUP(A214,'Base Sin Negativos'!S214:V1650,2,0)</f>
        <v>Tradiciones Andinas</v>
      </c>
      <c r="C214" s="20" t="str">
        <f>VLOOKUP(A214,'Base Sin Negativos'!S214:V1650,3,0)</f>
        <v>Maiz Atomico con Maca 125gr x 20 bolsas</v>
      </c>
      <c r="D214" s="20">
        <f>VLOOKUP(A214,'Base Sin Negativos'!S214:V1650,4,0)</f>
        <v>20</v>
      </c>
    </row>
    <row r="215" spans="1:4" x14ac:dyDescent="0.25">
      <c r="A215" s="20" t="s">
        <v>2543</v>
      </c>
      <c r="B215" s="20" t="str">
        <f>VLOOKUP(A215,'Base Sin Negativos'!S215:V1651,2,0)</f>
        <v>Tradiciones Andinas</v>
      </c>
      <c r="C215" s="20" t="str">
        <f>VLOOKUP(A215,'Base Sin Negativos'!S215:V1651,3,0)</f>
        <v>Maiz Atomico con Maca 125gr x 20 bolsas</v>
      </c>
      <c r="D215" s="20">
        <f>VLOOKUP(A215,'Base Sin Negativos'!S215:V1651,4,0)</f>
        <v>21.4</v>
      </c>
    </row>
    <row r="216" spans="1:4" x14ac:dyDescent="0.25">
      <c r="A216" s="20" t="s">
        <v>2544</v>
      </c>
      <c r="B216" s="20" t="str">
        <f>VLOOKUP(A216,'Base Sin Negativos'!S216:V1652,2,0)</f>
        <v>Tradiciones Andinas</v>
      </c>
      <c r="C216" s="20" t="str">
        <f>VLOOKUP(A216,'Base Sin Negativos'!S216:V1652,3,0)</f>
        <v>Maiz Atomico Imperial con Miel 125gr x 20 bolsas</v>
      </c>
      <c r="D216" s="20">
        <f>VLOOKUP(A216,'Base Sin Negativos'!S216:V1652,4,0)</f>
        <v>20</v>
      </c>
    </row>
    <row r="217" spans="1:4" x14ac:dyDescent="0.25">
      <c r="A217" s="20" t="s">
        <v>2545</v>
      </c>
      <c r="B217" s="20" t="str">
        <f>VLOOKUP(A217,'Base Sin Negativos'!S217:V1653,2,0)</f>
        <v>Tradiciones Andinas</v>
      </c>
      <c r="C217" s="20" t="str">
        <f>VLOOKUP(A217,'Base Sin Negativos'!S217:V1653,3,0)</f>
        <v>Maiz Atomico Imperial con Miel 125gr x 20 bolsas</v>
      </c>
      <c r="D217" s="20">
        <f>VLOOKUP(A217,'Base Sin Negativos'!S217:V1653,4,0)</f>
        <v>21.4</v>
      </c>
    </row>
    <row r="218" spans="1:4" x14ac:dyDescent="0.25">
      <c r="A218" s="20" t="s">
        <v>2546</v>
      </c>
      <c r="B218" s="20" t="str">
        <f>VLOOKUP(A218,'Base Sin Negativos'!S218:V1654,2,0)</f>
        <v>Belmont International Trading Corp</v>
      </c>
      <c r="C218" s="20" t="str">
        <f>VLOOKUP(A218,'Base Sin Negativos'!S218:V1654,3,0)</f>
        <v>Mani Confitado Belmont x 25</v>
      </c>
      <c r="D218" s="20">
        <f>VLOOKUP(A218,'Base Sin Negativos'!S218:V1654,4,0)</f>
        <v>29.9</v>
      </c>
    </row>
    <row r="219" spans="1:4" x14ac:dyDescent="0.25">
      <c r="A219" s="20" t="s">
        <v>2547</v>
      </c>
      <c r="B219" s="20" t="str">
        <f>VLOOKUP(A219,'Base Sin Negativos'!S219:V1655,2,0)</f>
        <v>Belmont International Trading Corp</v>
      </c>
      <c r="C219" s="20" t="str">
        <f>VLOOKUP(A219,'Base Sin Negativos'!S219:V1655,3,0)</f>
        <v>Mayonesa a la Cena 17.06oz (400gr) x 12</v>
      </c>
      <c r="D219" s="20">
        <f>VLOOKUP(A219,'Base Sin Negativos'!S219:V1655,4,0)</f>
        <v>39.5</v>
      </c>
    </row>
    <row r="220" spans="1:4" x14ac:dyDescent="0.25">
      <c r="A220" s="20" t="s">
        <v>2548</v>
      </c>
      <c r="B220" s="20" t="str">
        <f>VLOOKUP(A220,'Base Sin Negativos'!S220:V1656,2,0)</f>
        <v>Belmont International Trading Corp</v>
      </c>
      <c r="C220" s="20" t="str">
        <f>VLOOKUP(A220,'Base Sin Negativos'!S220:V1656,3,0)</f>
        <v>Mayonesa a la Cena 17.06oz (400gr) x 12</v>
      </c>
      <c r="D220" s="20">
        <f>VLOOKUP(A220,'Base Sin Negativos'!S220:V1656,4,0)</f>
        <v>43.5</v>
      </c>
    </row>
    <row r="221" spans="1:4" x14ac:dyDescent="0.25">
      <c r="A221" s="20" t="s">
        <v>2549</v>
      </c>
      <c r="B221" s="20" t="str">
        <f>VLOOKUP(A221,'Base Sin Negativos'!S221:V1657,2,0)</f>
        <v>Peru Chef</v>
      </c>
      <c r="C221" s="20" t="str">
        <f>VLOOKUP(A221,'Base Sin Negativos'!S221:V1657,3,0)</f>
        <v>Mayonesa a la Cena 17.06oz (400gr) x 12</v>
      </c>
      <c r="D221" s="20">
        <f>VLOOKUP(A221,'Base Sin Negativos'!S221:V1657,4,0)</f>
        <v>35</v>
      </c>
    </row>
    <row r="222" spans="1:4" x14ac:dyDescent="0.25">
      <c r="A222" s="20" t="s">
        <v>2550</v>
      </c>
      <c r="B222" s="20" t="str">
        <f>VLOOKUP(A222,'Base Sin Negativos'!S222:V1658,2,0)</f>
        <v>Tradiciones Andinas</v>
      </c>
      <c r="C222" s="20" t="str">
        <f>VLOOKUP(A222,'Base Sin Negativos'!S222:V1658,3,0)</f>
        <v>Morocho Partido / Granulated White Corn</v>
      </c>
      <c r="D222" s="20">
        <f>VLOOKUP(A222,'Base Sin Negativos'!S222:V1658,4,0)</f>
        <v>23.76</v>
      </c>
    </row>
    <row r="223" spans="1:4" x14ac:dyDescent="0.25">
      <c r="A223" s="20" t="s">
        <v>2551</v>
      </c>
      <c r="B223" s="20" t="str">
        <f>VLOOKUP(A223,'Base Sin Negativos'!S223:V1659,2,0)</f>
        <v>Tradiciones Andinas</v>
      </c>
      <c r="C223" s="20" t="str">
        <f>VLOOKUP(A223,'Base Sin Negativos'!S223:V1659,3,0)</f>
        <v>Panela Redonda</v>
      </c>
      <c r="D223" s="20">
        <f>VLOOKUP(A223,'Base Sin Negativos'!S223:V1659,4,0)</f>
        <v>28</v>
      </c>
    </row>
    <row r="224" spans="1:4" x14ac:dyDescent="0.25">
      <c r="A224" s="20" t="s">
        <v>2552</v>
      </c>
      <c r="B224" s="20" t="str">
        <f>VLOOKUP(A224,'Base Sin Negativos'!S224:V1660,2,0)</f>
        <v>Fiesta Mart #60</v>
      </c>
      <c r="C224" s="20" t="str">
        <f>VLOOKUP(A224,'Base Sin Negativos'!S224:V1660,3,0)</f>
        <v>Paneton Donofrio 6/31.04 oz</v>
      </c>
      <c r="D224" s="20">
        <f>VLOOKUP(A224,'Base Sin Negativos'!S224:V1660,4,0)</f>
        <v>65.94</v>
      </c>
    </row>
    <row r="225" spans="1:4" x14ac:dyDescent="0.25">
      <c r="A225" s="20" t="s">
        <v>2553</v>
      </c>
      <c r="B225" s="20" t="str">
        <f>VLOOKUP(A225,'Base Sin Negativos'!S225:V1661,2,0)</f>
        <v>Fiesta Mart #60</v>
      </c>
      <c r="C225" s="20" t="str">
        <f>VLOOKUP(A225,'Base Sin Negativos'!S225:V1661,3,0)</f>
        <v>Paneton Donofrio 6/31.04 oz</v>
      </c>
      <c r="D225" s="20">
        <f>VLOOKUP(A225,'Base Sin Negativos'!S225:V1661,4,0)</f>
        <v>47.94</v>
      </c>
    </row>
    <row r="226" spans="1:4" x14ac:dyDescent="0.25">
      <c r="A226" s="20" t="s">
        <v>2554</v>
      </c>
      <c r="B226" s="20" t="str">
        <f>VLOOKUP(A226,'Base Sin Negativos'!S226:V1662,2,0)</f>
        <v>GUIXENS FOOD GROUP, INC.</v>
      </c>
      <c r="C226" s="20" t="str">
        <f>VLOOKUP(A226,'Base Sin Negativos'!S226:V1662,3,0)</f>
        <v>Paneton Donofrio 6/31.04 oz</v>
      </c>
      <c r="D226" s="20">
        <f>VLOOKUP(A226,'Base Sin Negativos'!S226:V1662,4,0)</f>
        <v>50.153500000000001</v>
      </c>
    </row>
    <row r="227" spans="1:4" x14ac:dyDescent="0.25">
      <c r="A227" s="20" t="s">
        <v>2555</v>
      </c>
      <c r="B227" s="20" t="str">
        <f>VLOOKUP(A227,'Base Sin Negativos'!S227:V1663,2,0)</f>
        <v>Continental Food and Beverage, inc</v>
      </c>
      <c r="C227" s="20" t="str">
        <f>VLOOKUP(A227,'Base Sin Negativos'!S227:V1663,3,0)</f>
        <v>Paneton TODINNO 900gr x 6</v>
      </c>
      <c r="D227" s="20">
        <f>VLOOKUP(A227,'Base Sin Negativos'!S227:V1663,4,0)</f>
        <v>38</v>
      </c>
    </row>
    <row r="228" spans="1:4" x14ac:dyDescent="0.25">
      <c r="A228" s="20" t="s">
        <v>2556</v>
      </c>
      <c r="B228" s="20" t="str">
        <f>VLOOKUP(A228,'Base Sin Negativos'!S228:V1664,2,0)</f>
        <v>Peru Chef</v>
      </c>
      <c r="C228" s="20" t="str">
        <f>VLOOKUP(A228,'Base Sin Negativos'!S228:V1664,3,0)</f>
        <v>Peru Chef Aceituna Verde Despepitada 11.83 Oz</v>
      </c>
      <c r="D228" s="20">
        <f>VLOOKUP(A228,'Base Sin Negativos'!S228:V1664,4,0)</f>
        <v>27</v>
      </c>
    </row>
    <row r="229" spans="1:4" x14ac:dyDescent="0.25">
      <c r="A229" s="20" t="s">
        <v>2557</v>
      </c>
      <c r="B229" s="20" t="str">
        <f>VLOOKUP(A229,'Base Sin Negativos'!S229:V1665,2,0)</f>
        <v>Peru Chef</v>
      </c>
      <c r="C229" s="20" t="str">
        <f>VLOOKUP(A229,'Base Sin Negativos'!S229:V1665,3,0)</f>
        <v>Peru Chef Aceitunas Botija Sin Pepa 20 Oz X 12</v>
      </c>
      <c r="D229" s="20">
        <f>VLOOKUP(A229,'Base Sin Negativos'!S229:V1665,4,0)</f>
        <v>42</v>
      </c>
    </row>
    <row r="230" spans="1:4" x14ac:dyDescent="0.25">
      <c r="A230" s="20" t="s">
        <v>2558</v>
      </c>
      <c r="B230" s="20" t="str">
        <f>VLOOKUP(A230,'Base Sin Negativos'!S230:V1666,2,0)</f>
        <v>Peru Chef</v>
      </c>
      <c r="C230" s="20" t="str">
        <f>VLOOKUP(A230,'Base Sin Negativos'!S230:V1666,3,0)</f>
        <v>Peru Chef Aceitunas Negras 20 Oz X 12</v>
      </c>
      <c r="D230" s="20">
        <f>VLOOKUP(A230,'Base Sin Negativos'!S230:V1666,4,0)</f>
        <v>39</v>
      </c>
    </row>
    <row r="231" spans="1:4" x14ac:dyDescent="0.25">
      <c r="A231" s="20" t="s">
        <v>2559</v>
      </c>
      <c r="B231" s="20" t="str">
        <f>VLOOKUP(A231,'Base Sin Negativos'!S231:V1667,2,0)</f>
        <v>Peru Chef</v>
      </c>
      <c r="C231" s="20" t="str">
        <f>VLOOKUP(A231,'Base Sin Negativos'!S231:V1667,3,0)</f>
        <v>Peru Chef Aderezo Papa Pollada 10.5 Oz X12</v>
      </c>
      <c r="D231" s="20">
        <f>VLOOKUP(A231,'Base Sin Negativos'!S231:V1667,4,0)</f>
        <v>42</v>
      </c>
    </row>
    <row r="232" spans="1:4" x14ac:dyDescent="0.25">
      <c r="A232" s="20" t="s">
        <v>2560</v>
      </c>
      <c r="B232" s="20" t="str">
        <f>VLOOKUP(A232,'Base Sin Negativos'!S232:V1668,2,0)</f>
        <v>Peru Chef</v>
      </c>
      <c r="C232" s="20" t="str">
        <f>VLOOKUP(A232,'Base Sin Negativos'!S232:V1668,3,0)</f>
        <v>Peru Chef Aderezo Para Pachamanca 10 5 Oz x 12 frascos</v>
      </c>
      <c r="D232" s="20">
        <f>VLOOKUP(A232,'Base Sin Negativos'!S232:V1668,4,0)</f>
        <v>36</v>
      </c>
    </row>
    <row r="233" spans="1:4" x14ac:dyDescent="0.25">
      <c r="A233" s="20" t="s">
        <v>2561</v>
      </c>
      <c r="B233" s="20" t="str">
        <f>VLOOKUP(A233,'Base Sin Negativos'!S233:V1669,2,0)</f>
        <v>Peru Chef</v>
      </c>
      <c r="C233" s="20" t="str">
        <f>VLOOKUP(A233,'Base Sin Negativos'!S233:V1669,3,0)</f>
        <v>Peru Chef Aderezo Para Pachamanca 10 5 Oz x 12 frascos</v>
      </c>
      <c r="D233" s="20">
        <f>VLOOKUP(A233,'Base Sin Negativos'!S233:V1669,4,0)</f>
        <v>39</v>
      </c>
    </row>
    <row r="234" spans="1:4" x14ac:dyDescent="0.25">
      <c r="A234" s="20" t="s">
        <v>2562</v>
      </c>
      <c r="B234" s="20" t="str">
        <f>VLOOKUP(A234,'Base Sin Negativos'!S234:V1670,2,0)</f>
        <v>Peru Chef</v>
      </c>
      <c r="C234" s="20" t="str">
        <f>VLOOKUP(A234,'Base Sin Negativos'!S234:V1670,3,0)</f>
        <v>Peru Chef Aderezo Para Pavo 10.5 Oz X 12</v>
      </c>
      <c r="D234" s="20">
        <f>VLOOKUP(A234,'Base Sin Negativos'!S234:V1670,4,0)</f>
        <v>46</v>
      </c>
    </row>
    <row r="235" spans="1:4" x14ac:dyDescent="0.25">
      <c r="A235" s="20" t="s">
        <v>2563</v>
      </c>
      <c r="B235" s="20" t="str">
        <f>VLOOKUP(A235,'Base Sin Negativos'!S235:V1671,2,0)</f>
        <v>Peru Chef</v>
      </c>
      <c r="C235" s="20" t="str">
        <f>VLOOKUP(A235,'Base Sin Negativos'!S235:V1671,3,0)</f>
        <v>Peru Chef Adobo De Cerdo 10.5 Oz x 12 frascos</v>
      </c>
      <c r="D235" s="20">
        <f>VLOOKUP(A235,'Base Sin Negativos'!S235:V1671,4,0)</f>
        <v>39</v>
      </c>
    </row>
    <row r="236" spans="1:4" x14ac:dyDescent="0.25">
      <c r="A236" s="20" t="s">
        <v>2564</v>
      </c>
      <c r="B236" s="20" t="str">
        <f>VLOOKUP(A236,'Base Sin Negativos'!S236:V1672,2,0)</f>
        <v>Peru Chef</v>
      </c>
      <c r="C236" s="20" t="str">
        <f>VLOOKUP(A236,'Base Sin Negativos'!S236:V1672,3,0)</f>
        <v>Peru Chef Aji Amarillo 1 Lb X 18</v>
      </c>
      <c r="D236" s="20">
        <f>VLOOKUP(A236,'Base Sin Negativos'!S236:V1672,4,0)</f>
        <v>46</v>
      </c>
    </row>
    <row r="237" spans="1:4" x14ac:dyDescent="0.25">
      <c r="A237" s="20" t="s">
        <v>2565</v>
      </c>
      <c r="B237" s="20" t="str">
        <f>VLOOKUP(A237,'Base Sin Negativos'!S237:V1673,2,0)</f>
        <v>Peru Chef</v>
      </c>
      <c r="C237" s="20" t="str">
        <f>VLOOKUP(A237,'Base Sin Negativos'!S237:V1673,3,0)</f>
        <v>Peru Chef Aji Limo 1 Lb X 15 FROZEN</v>
      </c>
      <c r="D237" s="20">
        <f>VLOOKUP(A237,'Base Sin Negativos'!S237:V1673,4,0)</f>
        <v>39</v>
      </c>
    </row>
    <row r="238" spans="1:4" x14ac:dyDescent="0.25">
      <c r="A238" s="20" t="s">
        <v>2566</v>
      </c>
      <c r="B238" s="20" t="str">
        <f>VLOOKUP(A238,'Base Sin Negativos'!S238:V1674,2,0)</f>
        <v>Peru Chef</v>
      </c>
      <c r="C238" s="20" t="str">
        <f>VLOOKUP(A238,'Base Sin Negativos'!S238:V1674,3,0)</f>
        <v>Peru Chef Aji Limo 1 Lb X 15 FROZEN</v>
      </c>
      <c r="D238" s="20">
        <f>VLOOKUP(A238,'Base Sin Negativos'!S238:V1674,4,0)</f>
        <v>43</v>
      </c>
    </row>
    <row r="239" spans="1:4" x14ac:dyDescent="0.25">
      <c r="A239" s="20" t="s">
        <v>2567</v>
      </c>
      <c r="B239" s="20" t="str">
        <f>VLOOKUP(A239,'Base Sin Negativos'!S239:V1675,2,0)</f>
        <v>Peru Chef</v>
      </c>
      <c r="C239" s="20" t="str">
        <f>VLOOKUP(A239,'Base Sin Negativos'!S239:V1675,3,0)</f>
        <v>Peru Chef Aji Mirasol 3 oz x 12</v>
      </c>
      <c r="D239" s="20">
        <f>VLOOKUP(A239,'Base Sin Negativos'!S239:V1675,4,0)</f>
        <v>12.6</v>
      </c>
    </row>
    <row r="240" spans="1:4" x14ac:dyDescent="0.25">
      <c r="A240" s="20" t="s">
        <v>2568</v>
      </c>
      <c r="B240" s="20" t="str">
        <f>VLOOKUP(A240,'Base Sin Negativos'!S240:V1676,2,0)</f>
        <v>Peru Chef</v>
      </c>
      <c r="C240" s="20" t="str">
        <f>VLOOKUP(A240,'Base Sin Negativos'!S240:V1676,3,0)</f>
        <v>Peru Chef Aji Panca Molido 70 G X 12</v>
      </c>
      <c r="D240" s="20">
        <f>VLOOKUP(A240,'Base Sin Negativos'!S240:V1676,4,0)</f>
        <v>26</v>
      </c>
    </row>
    <row r="241" spans="1:4" x14ac:dyDescent="0.25">
      <c r="A241" s="20" t="s">
        <v>2569</v>
      </c>
      <c r="B241" s="20" t="str">
        <f>VLOOKUP(A241,'Base Sin Negativos'!S241:V1677,2,0)</f>
        <v>Peru Chef</v>
      </c>
      <c r="C241" s="20" t="str">
        <f>VLOOKUP(A241,'Base Sin Negativos'!S241:V1677,3,0)</f>
        <v>Peru Chef Aji Parrillero 11oz x 12</v>
      </c>
      <c r="D241" s="20">
        <f>VLOOKUP(A241,'Base Sin Negativos'!S241:V1677,4,0)</f>
        <v>39</v>
      </c>
    </row>
    <row r="242" spans="1:4" x14ac:dyDescent="0.25">
      <c r="A242" s="20" t="s">
        <v>2570</v>
      </c>
      <c r="B242" s="20" t="str">
        <f>VLOOKUP(A242,'Base Sin Negativos'!S242:V1678,2,0)</f>
        <v>Peru Chef</v>
      </c>
      <c r="C242" s="20" t="str">
        <f>VLOOKUP(A242,'Base Sin Negativos'!S242:V1678,3,0)</f>
        <v>Peru Chef Algarrobina17oz x 12</v>
      </c>
      <c r="D242" s="20">
        <f>VLOOKUP(A242,'Base Sin Negativos'!S242:V1678,4,0)</f>
        <v>72</v>
      </c>
    </row>
    <row r="243" spans="1:4" x14ac:dyDescent="0.25">
      <c r="A243" s="20" t="s">
        <v>2571</v>
      </c>
      <c r="B243" s="20" t="str">
        <f>VLOOKUP(A243,'Base Sin Negativos'!S243:V1679,2,0)</f>
        <v>Peru Chef</v>
      </c>
      <c r="C243" s="20" t="str">
        <f>VLOOKUP(A243,'Base Sin Negativos'!S243:V1679,3,0)</f>
        <v>Peru Chef Base Para Arroz C/ Mariscos 11 Oz X 12</v>
      </c>
      <c r="D243" s="20">
        <f>VLOOKUP(A243,'Base Sin Negativos'!S243:V1679,4,0)</f>
        <v>39</v>
      </c>
    </row>
    <row r="244" spans="1:4" x14ac:dyDescent="0.25">
      <c r="A244" s="20" t="s">
        <v>2572</v>
      </c>
      <c r="B244" s="20" t="str">
        <f>VLOOKUP(A244,'Base Sin Negativos'!S244:V1680,2,0)</f>
        <v>Peru Chef</v>
      </c>
      <c r="C244" s="20" t="str">
        <f>VLOOKUP(A244,'Base Sin Negativos'!S244:V1680,3,0)</f>
        <v>Peru Chef Cebada Tostada 15oz x 10</v>
      </c>
      <c r="D244" s="20">
        <f>VLOOKUP(A244,'Base Sin Negativos'!S244:V1680,4,0)</f>
        <v>13</v>
      </c>
    </row>
    <row r="245" spans="1:4" x14ac:dyDescent="0.25">
      <c r="A245" s="20" t="s">
        <v>2573</v>
      </c>
      <c r="B245" s="20" t="str">
        <f>VLOOKUP(A245,'Base Sin Negativos'!S245:V1681,2,0)</f>
        <v>Peru Chef</v>
      </c>
      <c r="C245" s="20" t="str">
        <f>VLOOKUP(A245,'Base Sin Negativos'!S245:V1681,3,0)</f>
        <v>Peru Chef Cebada Tostada 15oz x 10</v>
      </c>
      <c r="D245" s="20">
        <f>VLOOKUP(A245,'Base Sin Negativos'!S245:V1681,4,0)</f>
        <v>14</v>
      </c>
    </row>
    <row r="246" spans="1:4" x14ac:dyDescent="0.25">
      <c r="A246" s="20" t="s">
        <v>2574</v>
      </c>
      <c r="B246" s="20" t="str">
        <f>VLOOKUP(A246,'Base Sin Negativos'!S246:V1682,2,0)</f>
        <v>Peru Chef</v>
      </c>
      <c r="C246" s="20" t="str">
        <f>VLOOKUP(A246,'Base Sin Negativos'!S246:V1682,3,0)</f>
        <v>Peru Chef Cedron filtrante X 20</v>
      </c>
      <c r="D246" s="20">
        <f>VLOOKUP(A246,'Base Sin Negativos'!S246:V1682,4,0)</f>
        <v>21.5</v>
      </c>
    </row>
    <row r="247" spans="1:4" x14ac:dyDescent="0.25">
      <c r="A247" s="20" t="s">
        <v>2575</v>
      </c>
      <c r="B247" s="20" t="str">
        <f>VLOOKUP(A247,'Base Sin Negativos'!S247:V1683,2,0)</f>
        <v>Peru Chef</v>
      </c>
      <c r="C247" s="20" t="str">
        <f>VLOOKUP(A247,'Base Sin Negativos'!S247:V1683,3,0)</f>
        <v>Peru Chef Chancapiedra 1.41 Oz X 12</v>
      </c>
      <c r="D247" s="20">
        <f>VLOOKUP(A247,'Base Sin Negativos'!S247:V1683,4,0)</f>
        <v>23.4</v>
      </c>
    </row>
    <row r="248" spans="1:4" x14ac:dyDescent="0.25">
      <c r="A248" s="20" t="s">
        <v>2576</v>
      </c>
      <c r="B248" s="20" t="str">
        <f>VLOOKUP(A248,'Base Sin Negativos'!S248:V1684,2,0)</f>
        <v>Peru Chef</v>
      </c>
      <c r="C248" s="20" t="str">
        <f>VLOOKUP(A248,'Base Sin Negativos'!S248:V1684,3,0)</f>
        <v>Peru Chef Chicha De Jora 1 L X 12</v>
      </c>
      <c r="D248" s="20">
        <f>VLOOKUP(A248,'Base Sin Negativos'!S248:V1684,4,0)</f>
        <v>39</v>
      </c>
    </row>
    <row r="249" spans="1:4" x14ac:dyDescent="0.25">
      <c r="A249" s="20" t="s">
        <v>2577</v>
      </c>
      <c r="B249" s="20" t="str">
        <f>VLOOKUP(A249,'Base Sin Negativos'!S249:V1685,2,0)</f>
        <v>Peru Chef</v>
      </c>
      <c r="C249" s="20" t="str">
        <f>VLOOKUP(A249,'Base Sin Negativos'!S249:V1685,3,0)</f>
        <v>Peru Chef Chicha Morada display 20gr x 12 sobres</v>
      </c>
      <c r="D249" s="20">
        <f>VLOOKUP(A249,'Base Sin Negativos'!S249:V1685,4,0)</f>
        <v>12.5</v>
      </c>
    </row>
    <row r="250" spans="1:4" x14ac:dyDescent="0.25">
      <c r="A250" s="20" t="s">
        <v>2578</v>
      </c>
      <c r="B250" s="20" t="str">
        <f>VLOOKUP(A250,'Base Sin Negativos'!S250:V1686,2,0)</f>
        <v>Peru Chef</v>
      </c>
      <c r="C250" s="20" t="str">
        <f>VLOOKUP(A250,'Base Sin Negativos'!S250:V1686,3,0)</f>
        <v>Peru Chef Choclo Desgranado 1 Lb X 30 FROZEN</v>
      </c>
      <c r="D250" s="20">
        <f>VLOOKUP(A250,'Base Sin Negativos'!S250:V1686,4,0)</f>
        <v>66</v>
      </c>
    </row>
    <row r="251" spans="1:4" x14ac:dyDescent="0.25">
      <c r="A251" s="20" t="s">
        <v>2579</v>
      </c>
      <c r="B251" s="20" t="str">
        <f>VLOOKUP(A251,'Base Sin Negativos'!S251:V1687,2,0)</f>
        <v>Peru Chef</v>
      </c>
      <c r="C251" s="20" t="str">
        <f>VLOOKUP(A251,'Base Sin Negativos'!S251:V1687,3,0)</f>
        <v>Peru Chef Choclo Desgranado 1 Lb X 30 FROZEN</v>
      </c>
      <c r="D251" s="20">
        <f>VLOOKUP(A251,'Base Sin Negativos'!S251:V1687,4,0)</f>
        <v>64.349999999999994</v>
      </c>
    </row>
    <row r="252" spans="1:4" x14ac:dyDescent="0.25">
      <c r="A252" s="20" t="s">
        <v>2580</v>
      </c>
      <c r="B252" s="20" t="str">
        <f>VLOOKUP(A252,'Base Sin Negativos'!S252:V1688,2,0)</f>
        <v>Peru Chef</v>
      </c>
      <c r="C252" s="20" t="str">
        <f>VLOOKUP(A252,'Base Sin Negativos'!S252:V1688,3,0)</f>
        <v>Peru Chef Choclo Desgranado 3 Lb X 10 FROZEN</v>
      </c>
      <c r="D252" s="20">
        <f>VLOOKUP(A252,'Base Sin Negativos'!S252:V1688,4,0)</f>
        <v>70.5</v>
      </c>
    </row>
    <row r="253" spans="1:4" x14ac:dyDescent="0.25">
      <c r="A253" s="20" t="s">
        <v>2581</v>
      </c>
      <c r="B253" s="20" t="str">
        <f>VLOOKUP(A253,'Base Sin Negativos'!S253:V1689,2,0)</f>
        <v>Peru Chef</v>
      </c>
      <c r="C253" s="20" t="str">
        <f>VLOOKUP(A253,'Base Sin Negativos'!S253:V1689,3,0)</f>
        <v>Peru Chef Choclo Desgranado 3 Lb X 10 FROZEN</v>
      </c>
      <c r="D253" s="20">
        <f>VLOOKUP(A253,'Base Sin Negativos'!S253:V1689,4,0)</f>
        <v>63.45</v>
      </c>
    </row>
    <row r="254" spans="1:4" x14ac:dyDescent="0.25">
      <c r="A254" s="20" t="s">
        <v>2582</v>
      </c>
      <c r="B254" s="20" t="str">
        <f>VLOOKUP(A254,'Base Sin Negativos'!S254:V1690,2,0)</f>
        <v>Peru Chef</v>
      </c>
      <c r="C254" s="20" t="str">
        <f>VLOOKUP(A254,'Base Sin Negativos'!S254:V1690,3,0)</f>
        <v>Peru Chef Chuño Blanco Entero 15 Oz X 8</v>
      </c>
      <c r="D254" s="20">
        <f>VLOOKUP(A254,'Base Sin Negativos'!S254:V1690,4,0)</f>
        <v>22</v>
      </c>
    </row>
    <row r="255" spans="1:4" x14ac:dyDescent="0.25">
      <c r="A255" s="20" t="s">
        <v>2583</v>
      </c>
      <c r="B255" s="20" t="str">
        <f>VLOOKUP(A255,'Base Sin Negativos'!S255:V1691,2,0)</f>
        <v>Peru Chef</v>
      </c>
      <c r="C255" s="20" t="str">
        <f>VLOOKUP(A255,'Base Sin Negativos'!S255:V1691,3,0)</f>
        <v>Peru Chef Chuño Blanco Entero 15 Oz X 8</v>
      </c>
      <c r="D255" s="20">
        <f>VLOOKUP(A255,'Base Sin Negativos'!S255:V1691,4,0)</f>
        <v>24</v>
      </c>
    </row>
    <row r="256" spans="1:4" x14ac:dyDescent="0.25">
      <c r="A256" s="20" t="s">
        <v>2584</v>
      </c>
      <c r="B256" s="20" t="str">
        <f>VLOOKUP(A256,'Base Sin Negativos'!S256:V1692,2,0)</f>
        <v>Peru Chef</v>
      </c>
      <c r="C256" s="20" t="str">
        <f>VLOOKUP(A256,'Base Sin Negativos'!S256:V1692,3,0)</f>
        <v>Peru Chef Chuño Blanco Entero 15 Oz X 8</v>
      </c>
      <c r="D256" s="20">
        <f>VLOOKUP(A256,'Base Sin Negativos'!S256:V1692,4,0)</f>
        <v>21.6</v>
      </c>
    </row>
    <row r="257" spans="1:4" x14ac:dyDescent="0.25">
      <c r="A257" s="20" t="s">
        <v>2585</v>
      </c>
      <c r="B257" s="20" t="str">
        <f>VLOOKUP(A257,'Base Sin Negativos'!S257:V1693,2,0)</f>
        <v>Peru Chef</v>
      </c>
      <c r="C257" s="20" t="str">
        <f>VLOOKUP(A257,'Base Sin Negativos'!S257:V1693,3,0)</f>
        <v>Peru Chef Crema De Aji P/Ceviche 10.5 oz x 12</v>
      </c>
      <c r="D257" s="20">
        <f>VLOOKUP(A257,'Base Sin Negativos'!S257:V1693,4,0)</f>
        <v>36</v>
      </c>
    </row>
    <row r="258" spans="1:4" x14ac:dyDescent="0.25">
      <c r="A258" s="20" t="s">
        <v>2586</v>
      </c>
      <c r="B258" s="20" t="str">
        <f>VLOOKUP(A258,'Base Sin Negativos'!S258:V1694,2,0)</f>
        <v>Peru Chef</v>
      </c>
      <c r="C258" s="20" t="str">
        <f>VLOOKUP(A258,'Base Sin Negativos'!S258:V1694,3,0)</f>
        <v>Peru Chef Crema De Aji P/Ceviche 10.5 oz x 12</v>
      </c>
      <c r="D258" s="20">
        <f>VLOOKUP(A258,'Base Sin Negativos'!S258:V1694,4,0)</f>
        <v>39</v>
      </c>
    </row>
    <row r="259" spans="1:4" x14ac:dyDescent="0.25">
      <c r="A259" s="20" t="s">
        <v>2587</v>
      </c>
      <c r="B259" s="20" t="str">
        <f>VLOOKUP(A259,'Base Sin Negativos'!S259:V1695,2,0)</f>
        <v>Peru Chef</v>
      </c>
      <c r="C259" s="20" t="str">
        <f>VLOOKUP(A259,'Base Sin Negativos'!S259:V1695,3,0)</f>
        <v>Peru Chef Digestivo x 20 filtrante</v>
      </c>
      <c r="D259" s="20">
        <f>VLOOKUP(A259,'Base Sin Negativos'!S259:V1695,4,0)</f>
        <v>19.350000000000001</v>
      </c>
    </row>
    <row r="260" spans="1:4" x14ac:dyDescent="0.25">
      <c r="A260" s="20" t="s">
        <v>2588</v>
      </c>
      <c r="B260" s="20" t="str">
        <f>VLOOKUP(A260,'Base Sin Negativos'!S260:V1696,2,0)</f>
        <v>Peru Chef</v>
      </c>
      <c r="C260" s="20" t="str">
        <f>VLOOKUP(A260,'Base Sin Negativos'!S260:V1696,3,0)</f>
        <v>Peru Chef display Mazamorra Morada 150 G x 12</v>
      </c>
      <c r="D260" s="20">
        <f>VLOOKUP(A260,'Base Sin Negativos'!S260:V1696,4,0)</f>
        <v>19</v>
      </c>
    </row>
    <row r="261" spans="1:4" x14ac:dyDescent="0.25">
      <c r="A261" s="20" t="s">
        <v>2589</v>
      </c>
      <c r="B261" s="20" t="str">
        <f>VLOOKUP(A261,'Base Sin Negativos'!S261:V1697,2,0)</f>
        <v>Peru Chef</v>
      </c>
      <c r="C261" s="20" t="str">
        <f>VLOOKUP(A261,'Base Sin Negativos'!S261:V1697,3,0)</f>
        <v>Peru Chef Emoliente 5.3 Oz X 12</v>
      </c>
      <c r="D261" s="20">
        <f>VLOOKUP(A261,'Base Sin Negativos'!S261:V1697,4,0)</f>
        <v>30</v>
      </c>
    </row>
    <row r="262" spans="1:4" x14ac:dyDescent="0.25">
      <c r="A262" s="20" t="s">
        <v>2590</v>
      </c>
      <c r="B262" s="20" t="str">
        <f>VLOOKUP(A262,'Base Sin Negativos'!S262:V1698,2,0)</f>
        <v>Peru Chef</v>
      </c>
      <c r="C262" s="20" t="str">
        <f>VLOOKUP(A262,'Base Sin Negativos'!S262:V1698,3,0)</f>
        <v>Peru Chef Emoliente 5.3 Oz X 12</v>
      </c>
      <c r="D262" s="20">
        <f>VLOOKUP(A262,'Base Sin Negativos'!S262:V1698,4,0)</f>
        <v>29.7</v>
      </c>
    </row>
    <row r="263" spans="1:4" x14ac:dyDescent="0.25">
      <c r="A263" s="20" t="s">
        <v>2591</v>
      </c>
      <c r="B263" s="20" t="str">
        <f>VLOOKUP(A263,'Base Sin Negativos'!S263:V1699,2,0)</f>
        <v>Peru Chef</v>
      </c>
      <c r="C263" s="20" t="str">
        <f>VLOOKUP(A263,'Base Sin Negativos'!S263:V1699,3,0)</f>
        <v>Peru Chef Emoliente bebida 1Lt x 12</v>
      </c>
      <c r="D263" s="20">
        <f>VLOOKUP(A263,'Base Sin Negativos'!S263:V1699,4,0)</f>
        <v>30</v>
      </c>
    </row>
    <row r="264" spans="1:4" x14ac:dyDescent="0.25">
      <c r="A264" s="20" t="s">
        <v>2592</v>
      </c>
      <c r="B264" s="20" t="str">
        <f>VLOOKUP(A264,'Base Sin Negativos'!S264:V1700,2,0)</f>
        <v>Peru Chef</v>
      </c>
      <c r="C264" s="20" t="str">
        <f>VLOOKUP(A264,'Base Sin Negativos'!S264:V1700,3,0)</f>
        <v>Peru Chef Emoliente bebida 1Lt x 12</v>
      </c>
      <c r="D264" s="20">
        <f>VLOOKUP(A264,'Base Sin Negativos'!S264:V1700,4,0)</f>
        <v>33</v>
      </c>
    </row>
    <row r="265" spans="1:4" x14ac:dyDescent="0.25">
      <c r="A265" s="20" t="s">
        <v>2593</v>
      </c>
      <c r="B265" s="20" t="str">
        <f>VLOOKUP(A265,'Base Sin Negativos'!S265:V1701,2,0)</f>
        <v>Peru Chef</v>
      </c>
      <c r="C265" s="20" t="str">
        <f>VLOOKUP(A265,'Base Sin Negativos'!S265:V1701,3,0)</f>
        <v>Peru Chef Esencia De Vainilla 100ml x 24</v>
      </c>
      <c r="D265" s="20">
        <f>VLOOKUP(A265,'Base Sin Negativos'!S265:V1701,4,0)</f>
        <v>21</v>
      </c>
    </row>
    <row r="266" spans="1:4" x14ac:dyDescent="0.25">
      <c r="A266" s="20" t="s">
        <v>2594</v>
      </c>
      <c r="B266" s="20" t="str">
        <f>VLOOKUP(A266,'Base Sin Negativos'!S266:V1702,2,0)</f>
        <v>Peru Chef</v>
      </c>
      <c r="C266" s="20" t="str">
        <f>VLOOKUP(A266,'Base Sin Negativos'!S266:V1702,3,0)</f>
        <v>Peru Chef Eucalipto filtrante x 20</v>
      </c>
      <c r="D266" s="20">
        <f>VLOOKUP(A266,'Base Sin Negativos'!S266:V1702,4,0)</f>
        <v>19.350000000000001</v>
      </c>
    </row>
    <row r="267" spans="1:4" x14ac:dyDescent="0.25">
      <c r="A267" s="20" t="s">
        <v>2595</v>
      </c>
      <c r="B267" s="20" t="str">
        <f>VLOOKUP(A267,'Base Sin Negativos'!S267:V1703,2,0)</f>
        <v>Peru Chef</v>
      </c>
      <c r="C267" s="20" t="str">
        <f>VLOOKUP(A267,'Base Sin Negativos'!S267:V1703,3,0)</f>
        <v>Peru Chef filtrante Manzanilla x 20</v>
      </c>
      <c r="D267" s="20">
        <f>VLOOKUP(A267,'Base Sin Negativos'!S267:V1703,4,0)</f>
        <v>19.5</v>
      </c>
    </row>
    <row r="268" spans="1:4" x14ac:dyDescent="0.25">
      <c r="A268" s="20" t="s">
        <v>2596</v>
      </c>
      <c r="B268" s="20" t="str">
        <f>VLOOKUP(A268,'Base Sin Negativos'!S268:V1704,2,0)</f>
        <v>Peru Chef</v>
      </c>
      <c r="C268" s="20" t="str">
        <f>VLOOKUP(A268,'Base Sin Negativos'!S268:V1704,3,0)</f>
        <v>Peru Chef filtrante Sen x 20</v>
      </c>
      <c r="D268" s="20">
        <f>VLOOKUP(A268,'Base Sin Negativos'!S268:V1704,4,0)</f>
        <v>21.5</v>
      </c>
    </row>
    <row r="269" spans="1:4" x14ac:dyDescent="0.25">
      <c r="A269" s="20" t="s">
        <v>2597</v>
      </c>
      <c r="B269" s="20" t="str">
        <f>VLOOKUP(A269,'Base Sin Negativos'!S269:V1705,2,0)</f>
        <v>Peru Chef</v>
      </c>
      <c r="C269" s="20" t="str">
        <f>VLOOKUP(A269,'Base Sin Negativos'!S269:V1705,3,0)</f>
        <v>Peru Chef filtrante Sueño Profundo x 20</v>
      </c>
      <c r="D269" s="20">
        <f>VLOOKUP(A269,'Base Sin Negativos'!S269:V1705,4,0)</f>
        <v>21.5</v>
      </c>
    </row>
    <row r="270" spans="1:4" x14ac:dyDescent="0.25">
      <c r="A270" s="20" t="s">
        <v>2598</v>
      </c>
      <c r="B270" s="20" t="str">
        <f>VLOOKUP(A270,'Base Sin Negativos'!S270:V1706,2,0)</f>
        <v>Peru Chef</v>
      </c>
      <c r="C270" s="20" t="str">
        <f>VLOOKUP(A270,'Base Sin Negativos'!S270:V1706,3,0)</f>
        <v>Peru Chef filtrante Sueño Profundo x 20</v>
      </c>
      <c r="D270" s="20">
        <f>VLOOKUP(A270,'Base Sin Negativos'!S270:V1706,4,0)</f>
        <v>19.350000000000001</v>
      </c>
    </row>
    <row r="271" spans="1:4" x14ac:dyDescent="0.25">
      <c r="A271" s="20" t="s">
        <v>2599</v>
      </c>
      <c r="B271" s="20" t="str">
        <f>VLOOKUP(A271,'Base Sin Negativos'!S271:V1707,2,0)</f>
        <v>Peru Chef</v>
      </c>
      <c r="C271" s="20" t="str">
        <f>VLOOKUP(A271,'Base Sin Negativos'!S271:V1707,3,0)</f>
        <v>Peru Chef filtrante Te Verde Con Piña x 20</v>
      </c>
      <c r="D271" s="20">
        <f>VLOOKUP(A271,'Base Sin Negativos'!S271:V1707,4,0)</f>
        <v>26.5</v>
      </c>
    </row>
    <row r="272" spans="1:4" x14ac:dyDescent="0.25">
      <c r="A272" s="20" t="s">
        <v>2600</v>
      </c>
      <c r="B272" s="20" t="str">
        <f>VLOOKUP(A272,'Base Sin Negativos'!S272:V1708,2,0)</f>
        <v>Peru Chef</v>
      </c>
      <c r="C272" s="20" t="str">
        <f>VLOOKUP(A272,'Base Sin Negativos'!S272:V1708,3,0)</f>
        <v>Peru Chef filtrante Te Verde Con Piña x 20</v>
      </c>
      <c r="D272" s="20">
        <f>VLOOKUP(A272,'Base Sin Negativos'!S272:V1708,4,0)</f>
        <v>23.85</v>
      </c>
    </row>
    <row r="273" spans="1:4" x14ac:dyDescent="0.25">
      <c r="A273" s="20" t="s">
        <v>2601</v>
      </c>
      <c r="B273" s="20" t="str">
        <f>VLOOKUP(A273,'Base Sin Negativos'!S273:V1709,2,0)</f>
        <v>Peru Chef</v>
      </c>
      <c r="C273" s="20" t="str">
        <f>VLOOKUP(A273,'Base Sin Negativos'!S273:V1709,3,0)</f>
        <v>Peru Chef filtrante Toronjil x 20</v>
      </c>
      <c r="D273" s="20">
        <f>VLOOKUP(A273,'Base Sin Negativos'!S273:V1709,4,0)</f>
        <v>21.5</v>
      </c>
    </row>
    <row r="274" spans="1:4" x14ac:dyDescent="0.25">
      <c r="A274" s="20" t="s">
        <v>2602</v>
      </c>
      <c r="B274" s="20" t="str">
        <f>VLOOKUP(A274,'Base Sin Negativos'!S274:V1710,2,0)</f>
        <v>Peru Chef</v>
      </c>
      <c r="C274" s="20" t="str">
        <f>VLOOKUP(A274,'Base Sin Negativos'!S274:V1710,3,0)</f>
        <v>Peru Chef Frijol Castilla 15oz x 12</v>
      </c>
      <c r="D274" s="20">
        <f>VLOOKUP(A274,'Base Sin Negativos'!S274:V1710,4,0)</f>
        <v>22</v>
      </c>
    </row>
    <row r="275" spans="1:4" x14ac:dyDescent="0.25">
      <c r="A275" s="20" t="s">
        <v>2603</v>
      </c>
      <c r="B275" s="20" t="str">
        <f>VLOOKUP(A275,'Base Sin Negativos'!S275:V1711,2,0)</f>
        <v>Peru Chef</v>
      </c>
      <c r="C275" s="20" t="str">
        <f>VLOOKUP(A275,'Base Sin Negativos'!S275:V1711,3,0)</f>
        <v>Peru Chef Frijol Panamito 15oz x 12</v>
      </c>
      <c r="D275" s="20">
        <f>VLOOKUP(A275,'Base Sin Negativos'!S275:V1711,4,0)</f>
        <v>19.8</v>
      </c>
    </row>
    <row r="276" spans="1:4" x14ac:dyDescent="0.25">
      <c r="A276" s="20" t="s">
        <v>2604</v>
      </c>
      <c r="B276" s="20" t="str">
        <f>VLOOKUP(A276,'Base Sin Negativos'!S276:V1712,2,0)</f>
        <v>Peru Chef</v>
      </c>
      <c r="C276" s="20" t="str">
        <f>VLOOKUP(A276,'Base Sin Negativos'!S276:V1712,3,0)</f>
        <v>Peru Chef Habas Peladas 15 Oz X 12 bolsas</v>
      </c>
      <c r="D276" s="20">
        <f>VLOOKUP(A276,'Base Sin Negativos'!S276:V1712,4,0)</f>
        <v>24</v>
      </c>
    </row>
    <row r="277" spans="1:4" x14ac:dyDescent="0.25">
      <c r="A277" s="20" t="s">
        <v>2605</v>
      </c>
      <c r="B277" s="20" t="str">
        <f>VLOOKUP(A277,'Base Sin Negativos'!S277:V1713,2,0)</f>
        <v>Peru Chef</v>
      </c>
      <c r="C277" s="20" t="str">
        <f>VLOOKUP(A277,'Base Sin Negativos'!S277:V1713,3,0)</f>
        <v>Peru Chef Harina De Arverja 15 Oz X 12</v>
      </c>
      <c r="D277" s="20">
        <f>VLOOKUP(A277,'Base Sin Negativos'!S277:V1713,4,0)</f>
        <v>15.6</v>
      </c>
    </row>
    <row r="278" spans="1:4" x14ac:dyDescent="0.25">
      <c r="A278" s="20" t="s">
        <v>2606</v>
      </c>
      <c r="B278" s="20" t="str">
        <f>VLOOKUP(A278,'Base Sin Negativos'!S278:V1714,2,0)</f>
        <v>Peru Chef</v>
      </c>
      <c r="C278" s="20" t="str">
        <f>VLOOKUP(A278,'Base Sin Negativos'!S278:V1714,3,0)</f>
        <v>Peru Chef Harina de Chuño 15 Oz X 12</v>
      </c>
      <c r="D278" s="20">
        <f>VLOOKUP(A278,'Base Sin Negativos'!S278:V1714,4,0)</f>
        <v>25</v>
      </c>
    </row>
    <row r="279" spans="1:4" x14ac:dyDescent="0.25">
      <c r="A279" s="20" t="s">
        <v>2607</v>
      </c>
      <c r="B279" s="20" t="str">
        <f>VLOOKUP(A279,'Base Sin Negativos'!S279:V1715,2,0)</f>
        <v>Peru Chef</v>
      </c>
      <c r="C279" s="20" t="str">
        <f>VLOOKUP(A279,'Base Sin Negativos'!S279:V1715,3,0)</f>
        <v>Peru Chef Harina de Chuño 15 Oz X 12</v>
      </c>
      <c r="D279" s="20">
        <f>VLOOKUP(A279,'Base Sin Negativos'!S279:V1715,4,0)</f>
        <v>24.75</v>
      </c>
    </row>
    <row r="280" spans="1:4" x14ac:dyDescent="0.25">
      <c r="A280" s="20" t="s">
        <v>2608</v>
      </c>
      <c r="B280" s="20" t="str">
        <f>VLOOKUP(A280,'Base Sin Negativos'!S280:V1716,2,0)</f>
        <v>Peru Chef</v>
      </c>
      <c r="C280" s="20" t="str">
        <f>VLOOKUP(A280,'Base Sin Negativos'!S280:V1716,3,0)</f>
        <v>Peru Chef Hierba Luisa x 20 filtrante x 12 cajas</v>
      </c>
      <c r="D280" s="20">
        <f>VLOOKUP(A280,'Base Sin Negativos'!S280:V1716,4,0)</f>
        <v>19.5</v>
      </c>
    </row>
    <row r="281" spans="1:4" x14ac:dyDescent="0.25">
      <c r="A281" s="20" t="s">
        <v>2609</v>
      </c>
      <c r="B281" s="20" t="str">
        <f>VLOOKUP(A281,'Base Sin Negativos'!S281:V1717,2,0)</f>
        <v>Peru Chef</v>
      </c>
      <c r="C281" s="20" t="str">
        <f>VLOOKUP(A281,'Base Sin Negativos'!S281:V1717,3,0)</f>
        <v>Peru Chef Hongos Y Laurel 1.57oz x 12</v>
      </c>
      <c r="D281" s="20">
        <f>VLOOKUP(A281,'Base Sin Negativos'!S281:V1717,4,0)</f>
        <v>36</v>
      </c>
    </row>
    <row r="282" spans="1:4" x14ac:dyDescent="0.25">
      <c r="A282" s="20" t="s">
        <v>2610</v>
      </c>
      <c r="B282" s="20" t="str">
        <f>VLOOKUP(A282,'Base Sin Negativos'!S282:V1718,2,0)</f>
        <v>Peru Chef</v>
      </c>
      <c r="C282" s="20" t="str">
        <f>VLOOKUP(A282,'Base Sin Negativos'!S282:V1718,3,0)</f>
        <v>Peru Chef Hongos Y Laurel 1.57oz x 12</v>
      </c>
      <c r="D282" s="20">
        <f>VLOOKUP(A282,'Base Sin Negativos'!S282:V1718,4,0)</f>
        <v>39</v>
      </c>
    </row>
    <row r="283" spans="1:4" x14ac:dyDescent="0.25">
      <c r="A283" s="20" t="s">
        <v>2611</v>
      </c>
      <c r="B283" s="20" t="str">
        <f>VLOOKUP(A283,'Base Sin Negativos'!S283:V1719,2,0)</f>
        <v>Peru Chef</v>
      </c>
      <c r="C283" s="20" t="str">
        <f>VLOOKUP(A283,'Base Sin Negativos'!S283:V1719,3,0)</f>
        <v>Peru Chef Hongos Y Laurel 1.57oz x 12</v>
      </c>
      <c r="D283" s="20">
        <f>VLOOKUP(A283,'Base Sin Negativos'!S283:V1719,4,0)</f>
        <v>35.1</v>
      </c>
    </row>
    <row r="284" spans="1:4" x14ac:dyDescent="0.25">
      <c r="A284" s="20" t="s">
        <v>2612</v>
      </c>
      <c r="B284" s="20" t="str">
        <f>VLOOKUP(A284,'Base Sin Negativos'!S284:V1720,2,0)</f>
        <v>Peru Chef</v>
      </c>
      <c r="C284" s="20" t="str">
        <f>VLOOKUP(A284,'Base Sin Negativos'!S284:V1720,3,0)</f>
        <v>Peru Chef Jarabe De Goma 17oz x 12</v>
      </c>
      <c r="D284" s="20">
        <f>VLOOKUP(A284,'Base Sin Negativos'!S284:V1720,4,0)</f>
        <v>55</v>
      </c>
    </row>
    <row r="285" spans="1:4" x14ac:dyDescent="0.25">
      <c r="A285" s="20" t="s">
        <v>2613</v>
      </c>
      <c r="B285" s="20" t="str">
        <f>VLOOKUP(A285,'Base Sin Negativos'!S285:V1721,2,0)</f>
        <v>Peru Chef</v>
      </c>
      <c r="C285" s="20" t="str">
        <f>VLOOKUP(A285,'Base Sin Negativos'!S285:V1721,3,0)</f>
        <v>Peru chef Kion Molido 60 G X 12</v>
      </c>
      <c r="D285" s="20">
        <f>VLOOKUP(A285,'Base Sin Negativos'!S285:V1721,4,0)</f>
        <v>28</v>
      </c>
    </row>
    <row r="286" spans="1:4" x14ac:dyDescent="0.25">
      <c r="A286" s="20" t="s">
        <v>2614</v>
      </c>
      <c r="B286" s="20" t="str">
        <f>VLOOKUP(A286,'Base Sin Negativos'!S286:V1722,2,0)</f>
        <v>Peru Chef</v>
      </c>
      <c r="C286" s="20" t="str">
        <f>VLOOKUP(A286,'Base Sin Negativos'!S286:V1722,3,0)</f>
        <v>Peru Chef Kiwicha 15oz x 12</v>
      </c>
      <c r="D286" s="20">
        <f>VLOOKUP(A286,'Base Sin Negativos'!S286:V1722,4,0)</f>
        <v>32</v>
      </c>
    </row>
    <row r="287" spans="1:4" x14ac:dyDescent="0.25">
      <c r="A287" s="20" t="s">
        <v>2615</v>
      </c>
      <c r="B287" s="20" t="str">
        <f>VLOOKUP(A287,'Base Sin Negativos'!S287:V1723,2,0)</f>
        <v>Peru Chef</v>
      </c>
      <c r="C287" s="20" t="str">
        <f>VLOOKUP(A287,'Base Sin Negativos'!S287:V1723,3,0)</f>
        <v>Peru Chef Kiwicha 15oz x 12</v>
      </c>
      <c r="D287" s="20">
        <f>VLOOKUP(A287,'Base Sin Negativos'!S287:V1723,4,0)</f>
        <v>28.8</v>
      </c>
    </row>
    <row r="288" spans="1:4" x14ac:dyDescent="0.25">
      <c r="A288" s="20" t="s">
        <v>2616</v>
      </c>
      <c r="B288" s="20" t="str">
        <f>VLOOKUP(A288,'Base Sin Negativos'!S288:V1724,2,0)</f>
        <v>Peru Chef</v>
      </c>
      <c r="C288" s="20" t="str">
        <f>VLOOKUP(A288,'Base Sin Negativos'!S288:V1724,3,0)</f>
        <v>Peru Chef Maiz Cancha Montaña15 Oz X 10</v>
      </c>
      <c r="D288" s="20">
        <f>VLOOKUP(A288,'Base Sin Negativos'!S288:V1724,4,0)</f>
        <v>28</v>
      </c>
    </row>
    <row r="289" spans="1:4" x14ac:dyDescent="0.25">
      <c r="A289" s="20" t="s">
        <v>2617</v>
      </c>
      <c r="B289" s="20" t="str">
        <f>VLOOKUP(A289,'Base Sin Negativos'!S289:V1725,2,0)</f>
        <v>Peru Chef</v>
      </c>
      <c r="C289" s="20" t="str">
        <f>VLOOKUP(A289,'Base Sin Negativos'!S289:V1725,3,0)</f>
        <v>Peru Chef Maiz Cancha Montaña15 Oz X 10</v>
      </c>
      <c r="D289" s="20">
        <f>VLOOKUP(A289,'Base Sin Negativos'!S289:V1725,4,0)</f>
        <v>27</v>
      </c>
    </row>
    <row r="290" spans="1:4" x14ac:dyDescent="0.25">
      <c r="A290" s="20" t="s">
        <v>2618</v>
      </c>
      <c r="B290" s="20" t="str">
        <f>VLOOKUP(A290,'Base Sin Negativos'!S290:V1726,2,0)</f>
        <v>Peru Chef</v>
      </c>
      <c r="C290" s="20" t="str">
        <f>VLOOKUP(A290,'Base Sin Negativos'!S290:V1726,3,0)</f>
        <v>PERU CHEF Maiz Chulpe 15oz x 12</v>
      </c>
      <c r="D290" s="20">
        <f>VLOOKUP(A290,'Base Sin Negativos'!S290:V1726,4,0)</f>
        <v>28</v>
      </c>
    </row>
    <row r="291" spans="1:4" x14ac:dyDescent="0.25">
      <c r="A291" s="20" t="s">
        <v>2619</v>
      </c>
      <c r="B291" s="20" t="str">
        <f>VLOOKUP(A291,'Base Sin Negativos'!S291:V1727,2,0)</f>
        <v>Peru Chef</v>
      </c>
      <c r="C291" s="20" t="str">
        <f>VLOOKUP(A291,'Base Sin Negativos'!S291:V1727,3,0)</f>
        <v>PERU CHEF Maiz Chulpe 15oz x 12</v>
      </c>
      <c r="D291" s="20">
        <f>VLOOKUP(A291,'Base Sin Negativos'!S291:V1727,4,0)</f>
        <v>30</v>
      </c>
    </row>
    <row r="292" spans="1:4" x14ac:dyDescent="0.25">
      <c r="A292" s="20" t="s">
        <v>2620</v>
      </c>
      <c r="B292" s="20" t="str">
        <f>VLOOKUP(A292,'Base Sin Negativos'!S292:V1728,2,0)</f>
        <v>Peru Chef</v>
      </c>
      <c r="C292" s="20" t="str">
        <f>VLOOKUP(A292,'Base Sin Negativos'!S292:V1728,3,0)</f>
        <v>PERU CHEF Maiz Chulpe 15oz x 12</v>
      </c>
      <c r="D292" s="20">
        <f>VLOOKUP(A292,'Base Sin Negativos'!S292:V1728,4,0)</f>
        <v>27</v>
      </c>
    </row>
    <row r="293" spans="1:4" x14ac:dyDescent="0.25">
      <c r="A293" s="20" t="s">
        <v>2621</v>
      </c>
      <c r="B293" s="20" t="str">
        <f>VLOOKUP(A293,'Base Sin Negativos'!S293:V1729,2,0)</f>
        <v>Peru Chef</v>
      </c>
      <c r="C293" s="20" t="str">
        <f>VLOOKUP(A293,'Base Sin Negativos'!S293:V1729,3,0)</f>
        <v>Peru Chef Maiz Morado 15 Oz X 22</v>
      </c>
      <c r="D293" s="20">
        <f>VLOOKUP(A293,'Base Sin Negativos'!S293:V1729,4,0)</f>
        <v>48</v>
      </c>
    </row>
    <row r="294" spans="1:4" x14ac:dyDescent="0.25">
      <c r="A294" s="20" t="s">
        <v>2622</v>
      </c>
      <c r="B294" s="20" t="str">
        <f>VLOOKUP(A294,'Base Sin Negativos'!S294:V1730,2,0)</f>
        <v>Peru Chef</v>
      </c>
      <c r="C294" s="20" t="str">
        <f>VLOOKUP(A294,'Base Sin Negativos'!S294:V1730,3,0)</f>
        <v>Peru Chef Maiz Mote Pelado 15 Oz X 12</v>
      </c>
      <c r="D294" s="20">
        <f>VLOOKUP(A294,'Base Sin Negativos'!S294:V1730,4,0)</f>
        <v>30</v>
      </c>
    </row>
    <row r="295" spans="1:4" x14ac:dyDescent="0.25">
      <c r="A295" s="20" t="s">
        <v>2623</v>
      </c>
      <c r="B295" s="20" t="str">
        <f>VLOOKUP(A295,'Base Sin Negativos'!S295:V1731,2,0)</f>
        <v>Peru Chef</v>
      </c>
      <c r="C295" s="20" t="str">
        <f>VLOOKUP(A295,'Base Sin Negativos'!S295:V1731,3,0)</f>
        <v>Peru Chef Maiz Mote Pelado 15 Oz X 12</v>
      </c>
      <c r="D295" s="20">
        <f>VLOOKUP(A295,'Base Sin Negativos'!S295:V1731,4,0)</f>
        <v>36</v>
      </c>
    </row>
    <row r="296" spans="1:4" x14ac:dyDescent="0.25">
      <c r="A296" s="20" t="s">
        <v>2624</v>
      </c>
      <c r="B296" s="20" t="str">
        <f>VLOOKUP(A296,'Base Sin Negativos'!S296:V1732,2,0)</f>
        <v>Peru Chef</v>
      </c>
      <c r="C296" s="20" t="str">
        <f>VLOOKUP(A296,'Base Sin Negativos'!S296:V1732,3,0)</f>
        <v>Peru Chef Maracuya jugo / Passion friut juice 1Lt x 12</v>
      </c>
      <c r="D296" s="20">
        <f>VLOOKUP(A296,'Base Sin Negativos'!S296:V1732,4,0)</f>
        <v>32.5</v>
      </c>
    </row>
    <row r="297" spans="1:4" x14ac:dyDescent="0.25">
      <c r="A297" s="20" t="s">
        <v>2625</v>
      </c>
      <c r="B297" s="20" t="str">
        <f>VLOOKUP(A297,'Base Sin Negativos'!S297:V1733,2,0)</f>
        <v>Peru Chef</v>
      </c>
      <c r="C297" s="20" t="str">
        <f>VLOOKUP(A297,'Base Sin Negativos'!S297:V1733,3,0)</f>
        <v>Peru Chef Miel de Chancaca 17oz x 12</v>
      </c>
      <c r="D297" s="20">
        <f>VLOOKUP(A297,'Base Sin Negativos'!S297:V1733,4,0)</f>
        <v>50</v>
      </c>
    </row>
    <row r="298" spans="1:4" x14ac:dyDescent="0.25">
      <c r="A298" s="20" t="s">
        <v>2626</v>
      </c>
      <c r="B298" s="20" t="str">
        <f>VLOOKUP(A298,'Base Sin Negativos'!S298:V1734,2,0)</f>
        <v>Peru Chef</v>
      </c>
      <c r="C298" s="20" t="str">
        <f>VLOOKUP(A298,'Base Sin Negativos'!S298:V1734,3,0)</f>
        <v>Peru Chef Miel de Chancaca 17oz x 12</v>
      </c>
      <c r="D298" s="20">
        <f>VLOOKUP(A298,'Base Sin Negativos'!S298:V1734,4,0)</f>
        <v>58</v>
      </c>
    </row>
    <row r="299" spans="1:4" x14ac:dyDescent="0.25">
      <c r="A299" s="20" t="s">
        <v>2627</v>
      </c>
      <c r="B299" s="20" t="str">
        <f>VLOOKUP(A299,'Base Sin Negativos'!S299:V1735,2,0)</f>
        <v>Peru Chef</v>
      </c>
      <c r="C299" s="20" t="str">
        <f>VLOOKUP(A299,'Base Sin Negativos'!S299:V1735,3,0)</f>
        <v>Peru Chef Miel de Chancaca 17oz x 12</v>
      </c>
      <c r="D299" s="20">
        <f>VLOOKUP(A299,'Base Sin Negativos'!S299:V1735,4,0)</f>
        <v>52.2</v>
      </c>
    </row>
    <row r="300" spans="1:4" x14ac:dyDescent="0.25">
      <c r="A300" s="20" t="s">
        <v>2628</v>
      </c>
      <c r="B300" s="20" t="str">
        <f>VLOOKUP(A300,'Base Sin Negativos'!S300:V1736,2,0)</f>
        <v>Peru Chef</v>
      </c>
      <c r="C300" s="20" t="str">
        <f>VLOOKUP(A300,'Base Sin Negativos'!S300:V1736,3,0)</f>
        <v>PERU CHEF Muña x 20 filtrante</v>
      </c>
      <c r="D300" s="20">
        <f>VLOOKUP(A300,'Base Sin Negativos'!S300:V1736,4,0)</f>
        <v>21.5</v>
      </c>
    </row>
    <row r="301" spans="1:4" x14ac:dyDescent="0.25">
      <c r="A301" s="20" t="s">
        <v>2629</v>
      </c>
      <c r="B301" s="20" t="str">
        <f>VLOOKUP(A301,'Base Sin Negativos'!S301:V1737,2,0)</f>
        <v>Peru Chef</v>
      </c>
      <c r="C301" s="20" t="str">
        <f>VLOOKUP(A301,'Base Sin Negativos'!S301:V1737,3,0)</f>
        <v>Peru Chef Olluco Cortado 1 Lb X 20</v>
      </c>
      <c r="D301" s="20">
        <f>VLOOKUP(A301,'Base Sin Negativos'!S301:V1737,4,0)</f>
        <v>80</v>
      </c>
    </row>
    <row r="302" spans="1:4" x14ac:dyDescent="0.25">
      <c r="A302" s="20" t="s">
        <v>2630</v>
      </c>
      <c r="B302" s="20" t="str">
        <f>VLOOKUP(A302,'Base Sin Negativos'!S302:V1738,2,0)</f>
        <v>Peru Chef</v>
      </c>
      <c r="C302" s="20" t="str">
        <f>VLOOKUP(A302,'Base Sin Negativos'!S302:V1738,3,0)</f>
        <v>Peru Chef Oregano Entero 30 G X 12</v>
      </c>
      <c r="D302" s="20">
        <f>VLOOKUP(A302,'Base Sin Negativos'!S302:V1738,4,0)</f>
        <v>30</v>
      </c>
    </row>
    <row r="303" spans="1:4" x14ac:dyDescent="0.25">
      <c r="A303" s="20" t="s">
        <v>2631</v>
      </c>
      <c r="B303" s="20" t="str">
        <f>VLOOKUP(A303,'Base Sin Negativos'!S303:V1739,2,0)</f>
        <v>Peru Chef</v>
      </c>
      <c r="C303" s="20" t="str">
        <f>VLOOKUP(A303,'Base Sin Negativos'!S303:V1739,3,0)</f>
        <v>Peru Chef Palillo Molido75gr x 12</v>
      </c>
      <c r="D303" s="20">
        <f>VLOOKUP(A303,'Base Sin Negativos'!S303:V1739,4,0)</f>
        <v>24</v>
      </c>
    </row>
    <row r="304" spans="1:4" x14ac:dyDescent="0.25">
      <c r="A304" s="20" t="s">
        <v>2632</v>
      </c>
      <c r="B304" s="20" t="str">
        <f>VLOOKUP(A304,'Base Sin Negativos'!S304:V1740,2,0)</f>
        <v>Peru Chef</v>
      </c>
      <c r="C304" s="20" t="str">
        <f>VLOOKUP(A304,'Base Sin Negativos'!S304:V1740,3,0)</f>
        <v>Peru Chef Pallares 15oz x 12</v>
      </c>
      <c r="D304" s="20">
        <f>VLOOKUP(A304,'Base Sin Negativos'!S304:V1740,4,0)</f>
        <v>24</v>
      </c>
    </row>
    <row r="305" spans="1:4" x14ac:dyDescent="0.25">
      <c r="A305" s="20" t="s">
        <v>2633</v>
      </c>
      <c r="B305" s="20" t="str">
        <f>VLOOKUP(A305,'Base Sin Negativos'!S305:V1741,2,0)</f>
        <v>Peru Chef</v>
      </c>
      <c r="C305" s="20" t="str">
        <f>VLOOKUP(A305,'Base Sin Negativos'!S305:V1741,3,0)</f>
        <v>Peru Chef Pallares 15oz x 12</v>
      </c>
      <c r="D305" s="20">
        <f>VLOOKUP(A305,'Base Sin Negativos'!S305:V1741,4,0)</f>
        <v>26</v>
      </c>
    </row>
    <row r="306" spans="1:4" x14ac:dyDescent="0.25">
      <c r="A306" s="20" t="s">
        <v>2634</v>
      </c>
      <c r="B306" s="20" t="str">
        <f>VLOOKUP(A306,'Base Sin Negativos'!S306:V1742,2,0)</f>
        <v>Peru Chef</v>
      </c>
      <c r="C306" s="20" t="str">
        <f>VLOOKUP(A306,'Base Sin Negativos'!S306:V1742,3,0)</f>
        <v>Peru Chef Pallares 15oz x 12</v>
      </c>
      <c r="D306" s="20">
        <f>VLOOKUP(A306,'Base Sin Negativos'!S306:V1742,4,0)</f>
        <v>23.4</v>
      </c>
    </row>
    <row r="307" spans="1:4" x14ac:dyDescent="0.25">
      <c r="A307" s="20" t="s">
        <v>2635</v>
      </c>
      <c r="B307" s="20" t="str">
        <f>VLOOKUP(A307,'Base Sin Negativos'!S307:V1743,2,0)</f>
        <v>Peru Chef</v>
      </c>
      <c r="C307" s="20" t="str">
        <f>VLOOKUP(A307,'Base Sin Negativos'!S307:V1743,3,0)</f>
        <v>Peru Chef Paneton 900 G X 6</v>
      </c>
      <c r="D307" s="20">
        <f>VLOOKUP(A307,'Base Sin Negativos'!S307:V1743,4,0)</f>
        <v>38</v>
      </c>
    </row>
    <row r="308" spans="1:4" x14ac:dyDescent="0.25">
      <c r="A308" s="20" t="s">
        <v>2636</v>
      </c>
      <c r="B308" s="20" t="str">
        <f>VLOOKUP(A308,'Base Sin Negativos'!S308:V1744,2,0)</f>
        <v>Peru Chef</v>
      </c>
      <c r="C308" s="20" t="str">
        <f>VLOOKUP(A308,'Base Sin Negativos'!S308:V1744,3,0)</f>
        <v>Peru Chef Paneton 900 G X 6</v>
      </c>
      <c r="D308" s="20">
        <f>VLOOKUP(A308,'Base Sin Negativos'!S308:V1744,4,0)</f>
        <v>42</v>
      </c>
    </row>
    <row r="309" spans="1:4" x14ac:dyDescent="0.25">
      <c r="A309" s="20" t="s">
        <v>2637</v>
      </c>
      <c r="B309" s="20" t="str">
        <f>VLOOKUP(A309,'Base Sin Negativos'!S309:V1745,2,0)</f>
        <v>Peru Chef</v>
      </c>
      <c r="C309" s="20" t="str">
        <f>VLOOKUP(A309,'Base Sin Negativos'!S309:V1745,3,0)</f>
        <v>Peru Chef Paneton 900 G X 6</v>
      </c>
      <c r="D309" s="20">
        <f>VLOOKUP(A309,'Base Sin Negativos'!S309:V1745,4,0)</f>
        <v>36</v>
      </c>
    </row>
    <row r="310" spans="1:4" x14ac:dyDescent="0.25">
      <c r="A310" s="20" t="s">
        <v>2638</v>
      </c>
      <c r="B310" s="20" t="str">
        <f>VLOOKUP(A310,'Base Sin Negativos'!S310:V1746,2,0)</f>
        <v>Peru Chef</v>
      </c>
      <c r="C310" s="20" t="str">
        <f>VLOOKUP(A310,'Base Sin Negativos'!S310:V1746,3,0)</f>
        <v>Peru Chef Papa Amarilla 1 Lb X 26 FROZEN</v>
      </c>
      <c r="D310" s="20">
        <f>VLOOKUP(A310,'Base Sin Negativos'!S310:V1746,4,0)</f>
        <v>78</v>
      </c>
    </row>
    <row r="311" spans="1:4" x14ac:dyDescent="0.25">
      <c r="A311" s="20" t="s">
        <v>2639</v>
      </c>
      <c r="B311" s="20" t="str">
        <f>VLOOKUP(A311,'Base Sin Negativos'!S311:V1747,2,0)</f>
        <v>Peru Chef</v>
      </c>
      <c r="C311" s="20" t="str">
        <f>VLOOKUP(A311,'Base Sin Negativos'!S311:V1747,3,0)</f>
        <v>Peru Chef Papa Huayro 2Lb</v>
      </c>
      <c r="D311" s="20">
        <f>VLOOKUP(A311,'Base Sin Negativos'!S311:V1747,4,0)</f>
        <v>4.5</v>
      </c>
    </row>
    <row r="312" spans="1:4" x14ac:dyDescent="0.25">
      <c r="A312" s="20" t="s">
        <v>2640</v>
      </c>
      <c r="B312" s="20" t="str">
        <f>VLOOKUP(A312,'Base Sin Negativos'!S312:V1748,2,0)</f>
        <v>Peru Chef</v>
      </c>
      <c r="C312" s="20" t="str">
        <f>VLOOKUP(A312,'Base Sin Negativos'!S312:V1748,3,0)</f>
        <v>Peru Chef Papa Seca Amarilla 12oz x 8</v>
      </c>
      <c r="D312" s="20">
        <f>VLOOKUP(A312,'Base Sin Negativos'!S312:V1748,4,0)</f>
        <v>17</v>
      </c>
    </row>
    <row r="313" spans="1:4" x14ac:dyDescent="0.25">
      <c r="A313" s="20" t="s">
        <v>2641</v>
      </c>
      <c r="B313" s="20" t="str">
        <f>VLOOKUP(A313,'Base Sin Negativos'!S313:V1749,2,0)</f>
        <v>Peru Chef</v>
      </c>
      <c r="C313" s="20" t="str">
        <f>VLOOKUP(A313,'Base Sin Negativos'!S313:V1749,3,0)</f>
        <v>Peru Chef Papa Seca Amarilla 12oz x 8</v>
      </c>
      <c r="D313" s="20">
        <f>VLOOKUP(A313,'Base Sin Negativos'!S313:V1749,4,0)</f>
        <v>19</v>
      </c>
    </row>
    <row r="314" spans="1:4" x14ac:dyDescent="0.25">
      <c r="A314" s="20" t="s">
        <v>2642</v>
      </c>
      <c r="B314" s="20" t="str">
        <f>VLOOKUP(A314,'Base Sin Negativos'!S314:V1750,2,0)</f>
        <v>Peru Chef</v>
      </c>
      <c r="C314" s="20" t="str">
        <f>VLOOKUP(A314,'Base Sin Negativos'!S314:V1750,3,0)</f>
        <v>Peru Chef Papa Seca Amarilla 12oz x 8</v>
      </c>
      <c r="D314" s="20">
        <f>VLOOKUP(A314,'Base Sin Negativos'!S314:V1750,4,0)</f>
        <v>17.100000000000001</v>
      </c>
    </row>
    <row r="315" spans="1:4" x14ac:dyDescent="0.25">
      <c r="A315" s="20" t="s">
        <v>2643</v>
      </c>
      <c r="B315" s="20" t="str">
        <f>VLOOKUP(A315,'Base Sin Negativos'!S315:V1751,2,0)</f>
        <v>Peru Chef</v>
      </c>
      <c r="C315" s="20" t="str">
        <f>VLOOKUP(A315,'Base Sin Negativos'!S315:V1751,3,0)</f>
        <v>Peru Chef Papa Seca Serrana 15 Oz X 10</v>
      </c>
      <c r="D315" s="20">
        <f>VLOOKUP(A315,'Base Sin Negativos'!S315:V1751,4,0)</f>
        <v>19</v>
      </c>
    </row>
    <row r="316" spans="1:4" x14ac:dyDescent="0.25">
      <c r="A316" s="20" t="s">
        <v>2644</v>
      </c>
      <c r="B316" s="20" t="str">
        <f>VLOOKUP(A316,'Base Sin Negativos'!S316:V1752,2,0)</f>
        <v>Peru Chef</v>
      </c>
      <c r="C316" s="20" t="str">
        <f>VLOOKUP(A316,'Base Sin Negativos'!S316:V1752,3,0)</f>
        <v>Peru Chef Papa Seca Serrana 15 Oz X 10</v>
      </c>
      <c r="D316" s="20">
        <f>VLOOKUP(A316,'Base Sin Negativos'!S316:V1752,4,0)</f>
        <v>21</v>
      </c>
    </row>
    <row r="317" spans="1:4" x14ac:dyDescent="0.25">
      <c r="A317" s="20" t="s">
        <v>2645</v>
      </c>
      <c r="B317" s="20" t="str">
        <f>VLOOKUP(A317,'Base Sin Negativos'!S317:V1753,2,0)</f>
        <v>Peru Chef</v>
      </c>
      <c r="C317" s="20" t="str">
        <f>VLOOKUP(A317,'Base Sin Negativos'!S317:V1753,3,0)</f>
        <v>Peru Chef Papa Seca Serrana 15 Oz X 10</v>
      </c>
      <c r="D317" s="20">
        <f>VLOOKUP(A317,'Base Sin Negativos'!S317:V1753,4,0)</f>
        <v>18.899999999999999</v>
      </c>
    </row>
    <row r="318" spans="1:4" x14ac:dyDescent="0.25">
      <c r="A318" s="20" t="s">
        <v>2646</v>
      </c>
      <c r="B318" s="20" t="str">
        <f>VLOOKUP(A318,'Base Sin Negativos'!S318:V1754,2,0)</f>
        <v>Peru Chef</v>
      </c>
      <c r="C318" s="20" t="str">
        <f>VLOOKUP(A318,'Base Sin Negativos'!S318:V1754,3,0)</f>
        <v>Peru Chef Pasta Aji Amarillo 116 oz</v>
      </c>
      <c r="D318" s="20">
        <f>VLOOKUP(A318,'Base Sin Negativos'!S318:V1754,4,0)</f>
        <v>18</v>
      </c>
    </row>
    <row r="319" spans="1:4" x14ac:dyDescent="0.25">
      <c r="A319" s="20" t="s">
        <v>2647</v>
      </c>
      <c r="B319" s="20" t="str">
        <f>VLOOKUP(A319,'Base Sin Negativos'!S319:V1755,2,0)</f>
        <v>Peru Chef</v>
      </c>
      <c r="C319" s="20" t="str">
        <f>VLOOKUP(A319,'Base Sin Negativos'!S319:V1755,3,0)</f>
        <v>Peru Chef Pasta Aji Amarillo 16 oz x 12</v>
      </c>
      <c r="D319" s="20">
        <f>VLOOKUP(A319,'Base Sin Negativos'!S319:V1755,4,0)</f>
        <v>36</v>
      </c>
    </row>
    <row r="320" spans="1:4" x14ac:dyDescent="0.25">
      <c r="A320" s="20" t="s">
        <v>2648</v>
      </c>
      <c r="B320" s="20" t="str">
        <f>VLOOKUP(A320,'Base Sin Negativos'!S320:V1756,2,0)</f>
        <v>Peru Chef</v>
      </c>
      <c r="C320" s="20" t="str">
        <f>VLOOKUP(A320,'Base Sin Negativos'!S320:V1756,3,0)</f>
        <v>Peru Chef Pasta Aji Amarillo 16 oz x 12</v>
      </c>
      <c r="D320" s="20">
        <f>VLOOKUP(A320,'Base Sin Negativos'!S320:V1756,4,0)</f>
        <v>40</v>
      </c>
    </row>
    <row r="321" spans="1:4" x14ac:dyDescent="0.25">
      <c r="A321" s="20" t="s">
        <v>2649</v>
      </c>
      <c r="B321" s="20" t="str">
        <f>VLOOKUP(A321,'Base Sin Negativos'!S321:V1757,2,0)</f>
        <v>Peru Chef</v>
      </c>
      <c r="C321" s="20" t="str">
        <f>VLOOKUP(A321,'Base Sin Negativos'!S321:V1757,3,0)</f>
        <v>Peru Chef Pasta Aji Amarillo Poco Pic 16oz X 12</v>
      </c>
      <c r="D321" s="20">
        <f>VLOOKUP(A321,'Base Sin Negativos'!S321:V1757,4,0)</f>
        <v>40</v>
      </c>
    </row>
    <row r="322" spans="1:4" x14ac:dyDescent="0.25">
      <c r="A322" s="20" t="s">
        <v>2650</v>
      </c>
      <c r="B322" s="20" t="str">
        <f>VLOOKUP(A322,'Base Sin Negativos'!S322:V1758,2,0)</f>
        <v>Peru Chef</v>
      </c>
      <c r="C322" s="20" t="str">
        <f>VLOOKUP(A322,'Base Sin Negativos'!S322:V1758,3,0)</f>
        <v>Peru Chef Pasta Aji Amarillo Poco Picante 116oz</v>
      </c>
      <c r="D322" s="20">
        <f>VLOOKUP(A322,'Base Sin Negativos'!S322:V1758,4,0)</f>
        <v>18</v>
      </c>
    </row>
    <row r="323" spans="1:4" x14ac:dyDescent="0.25">
      <c r="A323" s="20" t="s">
        <v>2651</v>
      </c>
      <c r="B323" s="20" t="str">
        <f>VLOOKUP(A323,'Base Sin Negativos'!S323:V1759,2,0)</f>
        <v>Peru Chef</v>
      </c>
      <c r="C323" s="20" t="str">
        <f>VLOOKUP(A323,'Base Sin Negativos'!S323:V1759,3,0)</f>
        <v>Peru Chef Pasta Aji Amarillo Poco Picante11oz x 12</v>
      </c>
      <c r="D323" s="20">
        <f>VLOOKUP(A323,'Base Sin Negativos'!S323:V1759,4,0)</f>
        <v>29.7</v>
      </c>
    </row>
    <row r="324" spans="1:4" x14ac:dyDescent="0.25">
      <c r="A324" s="20" t="s">
        <v>2652</v>
      </c>
      <c r="B324" s="20" t="str">
        <f>VLOOKUP(A324,'Base Sin Negativos'!S324:V1760,2,0)</f>
        <v>Peru Chef</v>
      </c>
      <c r="C324" s="20" t="str">
        <f>VLOOKUP(A324,'Base Sin Negativos'!S324:V1760,3,0)</f>
        <v>Peru Chef Pasta Aji Panca 16 oz x 12</v>
      </c>
      <c r="D324" s="20">
        <f>VLOOKUP(A324,'Base Sin Negativos'!S324:V1760,4,0)</f>
        <v>40</v>
      </c>
    </row>
    <row r="325" spans="1:4" x14ac:dyDescent="0.25">
      <c r="A325" s="20" t="s">
        <v>2653</v>
      </c>
      <c r="B325" s="20" t="str">
        <f>VLOOKUP(A325,'Base Sin Negativos'!S325:V1761,2,0)</f>
        <v>Peru Chef</v>
      </c>
      <c r="C325" s="20" t="str">
        <f>VLOOKUP(A325,'Base Sin Negativos'!S325:V1761,3,0)</f>
        <v>Peru Chef Pasta Aji Panca 16 oz x 12</v>
      </c>
      <c r="D325" s="20">
        <f>VLOOKUP(A325,'Base Sin Negativos'!S325:V1761,4,0)</f>
        <v>44</v>
      </c>
    </row>
    <row r="326" spans="1:4" x14ac:dyDescent="0.25">
      <c r="A326" s="20" t="s">
        <v>2654</v>
      </c>
      <c r="B326" s="20" t="str">
        <f>VLOOKUP(A326,'Base Sin Negativos'!S326:V1762,2,0)</f>
        <v>Peru Chef</v>
      </c>
      <c r="C326" s="20" t="str">
        <f>VLOOKUP(A326,'Base Sin Negativos'!S326:V1762,3,0)</f>
        <v>Peru Chef Pasta Aji Panca 16 oz x 12</v>
      </c>
      <c r="D326" s="20">
        <f>VLOOKUP(A326,'Base Sin Negativos'!S326:V1762,4,0)</f>
        <v>39.6</v>
      </c>
    </row>
    <row r="327" spans="1:4" x14ac:dyDescent="0.25">
      <c r="A327" s="20" t="s">
        <v>2655</v>
      </c>
      <c r="B327" s="20" t="str">
        <f>VLOOKUP(A327,'Base Sin Negativos'!S327:V1763,2,0)</f>
        <v>Peru Chef</v>
      </c>
      <c r="C327" s="20" t="str">
        <f>VLOOKUP(A327,'Base Sin Negativos'!S327:V1763,3,0)</f>
        <v>Peru Chef Pasta Aji Panca 8 Oz X 12</v>
      </c>
      <c r="D327" s="20">
        <f>VLOOKUP(A327,'Base Sin Negativos'!S327:V1763,4,0)</f>
        <v>24</v>
      </c>
    </row>
    <row r="328" spans="1:4" x14ac:dyDescent="0.25">
      <c r="A328" s="20" t="s">
        <v>2656</v>
      </c>
      <c r="B328" s="20" t="str">
        <f>VLOOKUP(A328,'Base Sin Negativos'!S328:V1764,2,0)</f>
        <v>Peru Chef</v>
      </c>
      <c r="C328" s="20" t="str">
        <f>VLOOKUP(A328,'Base Sin Negativos'!S328:V1764,3,0)</f>
        <v>Peru Chef Pasta Aji Panca Poco Pic 16 Oz X 12</v>
      </c>
      <c r="D328" s="20">
        <f>VLOOKUP(A328,'Base Sin Negativos'!S328:V1764,4,0)</f>
        <v>48</v>
      </c>
    </row>
    <row r="329" spans="1:4" x14ac:dyDescent="0.25">
      <c r="A329" s="20" t="s">
        <v>2657</v>
      </c>
      <c r="B329" s="20" t="str">
        <f>VLOOKUP(A329,'Base Sin Negativos'!S329:V1765,2,0)</f>
        <v>Peru Chef</v>
      </c>
      <c r="C329" s="20" t="str">
        <f>VLOOKUP(A329,'Base Sin Negativos'!S329:V1765,3,0)</f>
        <v>Peru Chef Pasta Aji Panca Poco Picante 11 oz x 12</v>
      </c>
      <c r="D329" s="20">
        <f>VLOOKUP(A329,'Base Sin Negativos'!S329:V1765,4,0)</f>
        <v>32.4</v>
      </c>
    </row>
    <row r="330" spans="1:4" x14ac:dyDescent="0.25">
      <c r="A330" s="20" t="s">
        <v>2658</v>
      </c>
      <c r="B330" s="20" t="str">
        <f>VLOOKUP(A330,'Base Sin Negativos'!S330:V1766,2,0)</f>
        <v>Peru Chef</v>
      </c>
      <c r="C330" s="20" t="str">
        <f>VLOOKUP(A330,'Base Sin Negativos'!S330:V1766,3,0)</f>
        <v>Peru Chef Pasta Aji Panca Poco Picante 116 oz</v>
      </c>
      <c r="D330" s="20">
        <f>VLOOKUP(A330,'Base Sin Negativos'!S330:V1766,4,0)</f>
        <v>18</v>
      </c>
    </row>
    <row r="331" spans="1:4" x14ac:dyDescent="0.25">
      <c r="A331" s="20" t="s">
        <v>2659</v>
      </c>
      <c r="B331" s="20" t="str">
        <f>VLOOKUP(A331,'Base Sin Negativos'!S331:V1767,2,0)</f>
        <v>Peru Chef</v>
      </c>
      <c r="C331" s="20" t="str">
        <f>VLOOKUP(A331,'Base Sin Negativos'!S331:V1767,3,0)</f>
        <v>Peru Chef Pasta Ajos 16oz x 12</v>
      </c>
      <c r="D331" s="20">
        <f>VLOOKUP(A331,'Base Sin Negativos'!S331:V1767,4,0)</f>
        <v>60</v>
      </c>
    </row>
    <row r="332" spans="1:4" x14ac:dyDescent="0.25">
      <c r="A332" s="20" t="s">
        <v>2660</v>
      </c>
      <c r="B332" s="20" t="str">
        <f>VLOOKUP(A332,'Base Sin Negativos'!S332:V1768,2,0)</f>
        <v>Peru Chef</v>
      </c>
      <c r="C332" s="20" t="str">
        <f>VLOOKUP(A332,'Base Sin Negativos'!S332:V1768,3,0)</f>
        <v>Peru Chef Pasta Ajos 16oz x 12</v>
      </c>
      <c r="D332" s="20">
        <f>VLOOKUP(A332,'Base Sin Negativos'!S332:V1768,4,0)</f>
        <v>66</v>
      </c>
    </row>
    <row r="333" spans="1:4" x14ac:dyDescent="0.25">
      <c r="A333" s="20" t="s">
        <v>2661</v>
      </c>
      <c r="B333" s="20" t="str">
        <f>VLOOKUP(A333,'Base Sin Negativos'!S333:V1769,2,0)</f>
        <v>Peru Chef</v>
      </c>
      <c r="C333" s="20" t="str">
        <f>VLOOKUP(A333,'Base Sin Negativos'!S333:V1769,3,0)</f>
        <v>Peru Chef Pasta Rocoto 116 oz</v>
      </c>
      <c r="D333" s="20">
        <f>VLOOKUP(A333,'Base Sin Negativos'!S333:V1769,4,0)</f>
        <v>18</v>
      </c>
    </row>
    <row r="334" spans="1:4" x14ac:dyDescent="0.25">
      <c r="A334" s="20" t="s">
        <v>2662</v>
      </c>
      <c r="B334" s="20" t="str">
        <f>VLOOKUP(A334,'Base Sin Negativos'!S334:V1770,2,0)</f>
        <v>Peru Chef</v>
      </c>
      <c r="C334" s="20" t="str">
        <f>VLOOKUP(A334,'Base Sin Negativos'!S334:V1770,3,0)</f>
        <v>Peru Chef Pasta Rocoto 16 Oz X 12</v>
      </c>
      <c r="D334" s="20">
        <f>VLOOKUP(A334,'Base Sin Negativos'!S334:V1770,4,0)</f>
        <v>48</v>
      </c>
    </row>
    <row r="335" spans="1:4" x14ac:dyDescent="0.25">
      <c r="A335" s="20" t="s">
        <v>2663</v>
      </c>
      <c r="B335" s="20" t="str">
        <f>VLOOKUP(A335,'Base Sin Negativos'!S335:V1771,2,0)</f>
        <v>Peru Chef</v>
      </c>
      <c r="C335" s="20" t="str">
        <f>VLOOKUP(A335,'Base Sin Negativos'!S335:V1771,3,0)</f>
        <v>Peru Chef Pasta Rocoto 8 Oz X 12</v>
      </c>
      <c r="D335" s="20">
        <f>VLOOKUP(A335,'Base Sin Negativos'!S335:V1771,4,0)</f>
        <v>30</v>
      </c>
    </row>
    <row r="336" spans="1:4" x14ac:dyDescent="0.25">
      <c r="A336" s="20" t="s">
        <v>2664</v>
      </c>
      <c r="B336" s="20" t="str">
        <f>VLOOKUP(A336,'Base Sin Negativos'!S336:V1772,2,0)</f>
        <v>Peru Chef</v>
      </c>
      <c r="C336" s="20" t="str">
        <f>VLOOKUP(A336,'Base Sin Negativos'!S336:V1772,3,0)</f>
        <v>Peru Chef Quinua Real 15oz x 12</v>
      </c>
      <c r="D336" s="20">
        <f>VLOOKUP(A336,'Base Sin Negativos'!S336:V1772,4,0)</f>
        <v>28</v>
      </c>
    </row>
    <row r="337" spans="1:4" x14ac:dyDescent="0.25">
      <c r="A337" s="20" t="s">
        <v>2665</v>
      </c>
      <c r="B337" s="20" t="str">
        <f>VLOOKUP(A337,'Base Sin Negativos'!S337:V1773,2,0)</f>
        <v>Peru Chef</v>
      </c>
      <c r="C337" s="20" t="str">
        <f>VLOOKUP(A337,'Base Sin Negativos'!S337:V1773,3,0)</f>
        <v>Peru Chef Quinua Real 15oz x 12</v>
      </c>
      <c r="D337" s="20">
        <f>VLOOKUP(A337,'Base Sin Negativos'!S337:V1773,4,0)</f>
        <v>30</v>
      </c>
    </row>
    <row r="338" spans="1:4" x14ac:dyDescent="0.25">
      <c r="A338" s="20" t="s">
        <v>2666</v>
      </c>
      <c r="B338" s="20" t="str">
        <f>VLOOKUP(A338,'Base Sin Negativos'!S338:V1774,2,0)</f>
        <v>Peru Chef</v>
      </c>
      <c r="C338" s="20" t="str">
        <f>VLOOKUP(A338,'Base Sin Negativos'!S338:V1774,3,0)</f>
        <v>Peru Chef Quinua Real 15oz x 12</v>
      </c>
      <c r="D338" s="20">
        <f>VLOOKUP(A338,'Base Sin Negativos'!S338:V1774,4,0)</f>
        <v>27</v>
      </c>
    </row>
    <row r="339" spans="1:4" x14ac:dyDescent="0.25">
      <c r="A339" s="20" t="s">
        <v>2667</v>
      </c>
      <c r="B339" s="20" t="str">
        <f>VLOOKUP(A339,'Base Sin Negativos'!S339:V1775,2,0)</f>
        <v>Peru Chef</v>
      </c>
      <c r="C339" s="20" t="str">
        <f>VLOOKUP(A339,'Base Sin Negativos'!S339:V1775,3,0)</f>
        <v>Peru Chef Rocoto En Mitades lata 20oz x12</v>
      </c>
      <c r="D339" s="20">
        <f>VLOOKUP(A339,'Base Sin Negativos'!S339:V1775,4,0)</f>
        <v>36</v>
      </c>
    </row>
    <row r="340" spans="1:4" x14ac:dyDescent="0.25">
      <c r="A340" s="20" t="s">
        <v>2668</v>
      </c>
      <c r="B340" s="20" t="str">
        <f>VLOOKUP(A340,'Base Sin Negativos'!S340:V1776,2,0)</f>
        <v>Peru Chef</v>
      </c>
      <c r="C340" s="20" t="str">
        <f>VLOOKUP(A340,'Base Sin Negativos'!S340:V1776,3,0)</f>
        <v>Peru Chef Rocoto En Salmuera 20oz x 12</v>
      </c>
      <c r="D340" s="20">
        <f>VLOOKUP(A340,'Base Sin Negativos'!S340:V1776,4,0)</f>
        <v>46.8</v>
      </c>
    </row>
    <row r="341" spans="1:4" x14ac:dyDescent="0.25">
      <c r="A341" s="20" t="s">
        <v>2669</v>
      </c>
      <c r="B341" s="20" t="str">
        <f>VLOOKUP(A341,'Base Sin Negativos'!S341:V1777,2,0)</f>
        <v>Peru Chef</v>
      </c>
      <c r="C341" s="20" t="str">
        <f>VLOOKUP(A341,'Base Sin Negativos'!S341:V1777,3,0)</f>
        <v>Peru Chef Rocoto FROZEN 1 Lb X 18</v>
      </c>
      <c r="D341" s="20">
        <f>VLOOKUP(A341,'Base Sin Negativos'!S341:V1777,4,0)</f>
        <v>55</v>
      </c>
    </row>
    <row r="342" spans="1:4" x14ac:dyDescent="0.25">
      <c r="A342" s="20" t="s">
        <v>2670</v>
      </c>
      <c r="B342" s="20" t="str">
        <f>VLOOKUP(A342,'Base Sin Negativos'!S342:V1778,2,0)</f>
        <v>Peru Chef</v>
      </c>
      <c r="C342" s="20" t="str">
        <f>VLOOKUP(A342,'Base Sin Negativos'!S342:V1778,3,0)</f>
        <v>Peru Chef Rocoto FROZEN 1 Lb X 18</v>
      </c>
      <c r="D342" s="20">
        <f>VLOOKUP(A342,'Base Sin Negativos'!S342:V1778,4,0)</f>
        <v>59.5</v>
      </c>
    </row>
    <row r="343" spans="1:4" x14ac:dyDescent="0.25">
      <c r="A343" s="20" t="s">
        <v>2671</v>
      </c>
      <c r="B343" s="20" t="str">
        <f>VLOOKUP(A343,'Base Sin Negativos'!S343:V1779,2,0)</f>
        <v>Peru Chef</v>
      </c>
      <c r="C343" s="20" t="str">
        <f>VLOOKUP(A343,'Base Sin Negativos'!S343:V1779,3,0)</f>
        <v>Peru Chef Rocoto FROZEN 1 Lb X 18</v>
      </c>
      <c r="D343" s="20">
        <f>VLOOKUP(A343,'Base Sin Negativos'!S343:V1779,4,0)</f>
        <v>53.55</v>
      </c>
    </row>
    <row r="344" spans="1:4" x14ac:dyDescent="0.25">
      <c r="A344" s="20" t="s">
        <v>2672</v>
      </c>
      <c r="B344" s="20" t="str">
        <f>VLOOKUP(A344,'Base Sin Negativos'!S344:V1780,2,0)</f>
        <v>Peru Chef</v>
      </c>
      <c r="C344" s="20" t="str">
        <f>VLOOKUP(A344,'Base Sin Negativos'!S344:V1780,3,0)</f>
        <v>Peru Chef Salsa Aji Amarillo 10.5oz x 12</v>
      </c>
      <c r="D344" s="20">
        <f>VLOOKUP(A344,'Base Sin Negativos'!S344:V1780,4,0)</f>
        <v>42</v>
      </c>
    </row>
    <row r="345" spans="1:4" x14ac:dyDescent="0.25">
      <c r="A345" s="20" t="s">
        <v>2673</v>
      </c>
      <c r="B345" s="20" t="str">
        <f>VLOOKUP(A345,'Base Sin Negativos'!S345:V1781,2,0)</f>
        <v>Peru Chef</v>
      </c>
      <c r="C345" s="20" t="str">
        <f>VLOOKUP(A345,'Base Sin Negativos'!S345:V1781,3,0)</f>
        <v>Peru Chef Salsa Aji Amarillo C/Huacatay 10.5 Oz X 12</v>
      </c>
      <c r="D345" s="20">
        <f>VLOOKUP(A345,'Base Sin Negativos'!S345:V1781,4,0)</f>
        <v>39</v>
      </c>
    </row>
    <row r="346" spans="1:4" x14ac:dyDescent="0.25">
      <c r="A346" s="20" t="s">
        <v>2674</v>
      </c>
      <c r="B346" s="20" t="str">
        <f>VLOOKUP(A346,'Base Sin Negativos'!S346:V1782,2,0)</f>
        <v>Peru Chef</v>
      </c>
      <c r="C346" s="20" t="str">
        <f>VLOOKUP(A346,'Base Sin Negativos'!S346:V1782,3,0)</f>
        <v>Peru Chef Salsa Aji Criollo 10.5 oz x 12</v>
      </c>
      <c r="D346" s="20">
        <f>VLOOKUP(A346,'Base Sin Negativos'!S346:V1782,4,0)</f>
        <v>39</v>
      </c>
    </row>
    <row r="347" spans="1:4" x14ac:dyDescent="0.25">
      <c r="A347" s="20" t="s">
        <v>2675</v>
      </c>
      <c r="B347" s="20" t="str">
        <f>VLOOKUP(A347,'Base Sin Negativos'!S347:V1783,2,0)</f>
        <v>Peru Chef</v>
      </c>
      <c r="C347" s="20" t="str">
        <f>VLOOKUP(A347,'Base Sin Negativos'!S347:V1783,3,0)</f>
        <v>Peru Chef Salsa De Aji Charapita 11oz x 12</v>
      </c>
      <c r="D347" s="20">
        <f>VLOOKUP(A347,'Base Sin Negativos'!S347:V1783,4,0)</f>
        <v>60</v>
      </c>
    </row>
    <row r="348" spans="1:4" x14ac:dyDescent="0.25">
      <c r="A348" s="20" t="s">
        <v>2676</v>
      </c>
      <c r="B348" s="20" t="str">
        <f>VLOOKUP(A348,'Base Sin Negativos'!S348:V1784,2,0)</f>
        <v>Peru Chef</v>
      </c>
      <c r="C348" s="20" t="str">
        <f>VLOOKUP(A348,'Base Sin Negativos'!S348:V1784,3,0)</f>
        <v>Peru Chef Salsa De Aji Limo 11oz x 12</v>
      </c>
      <c r="D348" s="20">
        <f>VLOOKUP(A348,'Base Sin Negativos'!S348:V1784,4,0)</f>
        <v>49.5</v>
      </c>
    </row>
    <row r="349" spans="1:4" x14ac:dyDescent="0.25">
      <c r="A349" s="20" t="s">
        <v>2677</v>
      </c>
      <c r="B349" s="20" t="str">
        <f>VLOOKUP(A349,'Base Sin Negativos'!S349:V1785,2,0)</f>
        <v>Peru Chef</v>
      </c>
      <c r="C349" s="20" t="str">
        <f>VLOOKUP(A349,'Base Sin Negativos'!S349:V1785,3,0)</f>
        <v>Peru Chef Salsa de Aji Limo con Rocoto 10.5oz x 12</v>
      </c>
      <c r="D349" s="20">
        <f>VLOOKUP(A349,'Base Sin Negativos'!S349:V1785,4,0)</f>
        <v>45</v>
      </c>
    </row>
    <row r="350" spans="1:4" x14ac:dyDescent="0.25">
      <c r="A350" s="20" t="s">
        <v>2678</v>
      </c>
      <c r="B350" s="20" t="str">
        <f>VLOOKUP(A350,'Base Sin Negativos'!S350:V1786,2,0)</f>
        <v>Peru Chef</v>
      </c>
      <c r="C350" s="20" t="str">
        <f>VLOOKUP(A350,'Base Sin Negativos'!S350:V1786,3,0)</f>
        <v>Peru Chef Salsa de Aji Limo con Rocoto 10.5oz x 12</v>
      </c>
      <c r="D350" s="20">
        <f>VLOOKUP(A350,'Base Sin Negativos'!S350:V1786,4,0)</f>
        <v>49.5</v>
      </c>
    </row>
    <row r="351" spans="1:4" x14ac:dyDescent="0.25">
      <c r="A351" s="20" t="s">
        <v>2679</v>
      </c>
      <c r="B351" s="20" t="str">
        <f>VLOOKUP(A351,'Base Sin Negativos'!S351:V1787,2,0)</f>
        <v>Peru Chef</v>
      </c>
      <c r="C351" s="20" t="str">
        <f>VLOOKUP(A351,'Base Sin Negativos'!S351:V1787,3,0)</f>
        <v>Peru Chef Salsa de Aji Limo con Rocoto 10.5oz x 12</v>
      </c>
      <c r="D351" s="20">
        <f>VLOOKUP(A351,'Base Sin Negativos'!S351:V1787,4,0)</f>
        <v>44.55</v>
      </c>
    </row>
    <row r="352" spans="1:4" x14ac:dyDescent="0.25">
      <c r="A352" s="20" t="s">
        <v>2680</v>
      </c>
      <c r="B352" s="20" t="str">
        <f>VLOOKUP(A352,'Base Sin Negativos'!S352:V1788,2,0)</f>
        <v>Peru Chef</v>
      </c>
      <c r="C352" s="20" t="str">
        <f>VLOOKUP(A352,'Base Sin Negativos'!S352:V1788,3,0)</f>
        <v>Peru Chef Salsa Rocoto 10.5 Oz X 12</v>
      </c>
      <c r="D352" s="20">
        <f>VLOOKUP(A352,'Base Sin Negativos'!S352:V1788,4,0)</f>
        <v>57</v>
      </c>
    </row>
    <row r="353" spans="1:4" x14ac:dyDescent="0.25">
      <c r="A353" s="20" t="s">
        <v>2681</v>
      </c>
      <c r="B353" s="20" t="str">
        <f>VLOOKUP(A353,'Base Sin Negativos'!S353:V1789,2,0)</f>
        <v>Peru Chef</v>
      </c>
      <c r="C353" s="20" t="str">
        <f>VLOOKUP(A353,'Base Sin Negativos'!S353:V1789,3,0)</f>
        <v>Peru Chef Semola 15oz x 12</v>
      </c>
      <c r="D353" s="20">
        <f>VLOOKUP(A353,'Base Sin Negativos'!S353:V1789,4,0)</f>
        <v>18</v>
      </c>
    </row>
    <row r="354" spans="1:4" x14ac:dyDescent="0.25">
      <c r="A354" s="20" t="s">
        <v>2682</v>
      </c>
      <c r="B354" s="20" t="str">
        <f>VLOOKUP(A354,'Base Sin Negativos'!S354:V1790,2,0)</f>
        <v>Peru Chef</v>
      </c>
      <c r="C354" s="20" t="str">
        <f>VLOOKUP(A354,'Base Sin Negativos'!S354:V1790,3,0)</f>
        <v>Peru Chef Semola 15oz x 12</v>
      </c>
      <c r="D354" s="20">
        <f>VLOOKUP(A354,'Base Sin Negativos'!S354:V1790,4,0)</f>
        <v>16.2</v>
      </c>
    </row>
    <row r="355" spans="1:4" x14ac:dyDescent="0.25">
      <c r="A355" s="20" t="s">
        <v>2683</v>
      </c>
      <c r="B355" s="20" t="str">
        <f>VLOOKUP(A355,'Base Sin Negativos'!S355:V1791,2,0)</f>
        <v>Peru Chef</v>
      </c>
      <c r="C355" s="20" t="str">
        <f>VLOOKUP(A355,'Base Sin Negativos'!S355:V1791,3,0)</f>
        <v>Peru Chef Snack Cancha Chulpi Salada 100gr x 20</v>
      </c>
      <c r="D355" s="20">
        <f>VLOOKUP(A355,'Base Sin Negativos'!S355:V1791,4,0)</f>
        <v>30</v>
      </c>
    </row>
    <row r="356" spans="1:4" x14ac:dyDescent="0.25">
      <c r="A356" s="20" t="s">
        <v>2684</v>
      </c>
      <c r="B356" s="20" t="str">
        <f>VLOOKUP(A356,'Base Sin Negativos'!S356:V1792,2,0)</f>
        <v>Peru Chef</v>
      </c>
      <c r="C356" s="20" t="str">
        <f>VLOOKUP(A356,'Base Sin Negativos'!S356:V1792,3,0)</f>
        <v>Peru Chef Snack Cancha Serrana Salada 100gr x 20 bolsas</v>
      </c>
      <c r="D356" s="20">
        <f>VLOOKUP(A356,'Base Sin Negativos'!S356:V1792,4,0)</f>
        <v>30</v>
      </c>
    </row>
    <row r="357" spans="1:4" x14ac:dyDescent="0.25">
      <c r="A357" s="20" t="s">
        <v>2685</v>
      </c>
      <c r="B357" s="20" t="str">
        <f>VLOOKUP(A357,'Base Sin Negativos'!S357:V1793,2,0)</f>
        <v>Peru Chef</v>
      </c>
      <c r="C357" s="20" t="str">
        <f>VLOOKUP(A357,'Base Sin Negativos'!S357:V1793,3,0)</f>
        <v>Peru Chef Snack Habas Saladas 100gr x 20 bolsas</v>
      </c>
      <c r="D357" s="20">
        <f>VLOOKUP(A357,'Base Sin Negativos'!S357:V1793,4,0)</f>
        <v>30</v>
      </c>
    </row>
    <row r="358" spans="1:4" x14ac:dyDescent="0.25">
      <c r="A358" s="20" t="s">
        <v>2686</v>
      </c>
      <c r="B358" s="20" t="str">
        <f>VLOOKUP(A358,'Base Sin Negativos'!S358:V1794,2,0)</f>
        <v>Peru Chef</v>
      </c>
      <c r="C358" s="20" t="str">
        <f>VLOOKUP(A358,'Base Sin Negativos'!S358:V1794,3,0)</f>
        <v>Peru Chef Trigo Pelado 15 Oz X 12</v>
      </c>
      <c r="D358" s="20">
        <f>VLOOKUP(A358,'Base Sin Negativos'!S358:V1794,4,0)</f>
        <v>19.8</v>
      </c>
    </row>
    <row r="359" spans="1:4" x14ac:dyDescent="0.25">
      <c r="A359" s="20" t="s">
        <v>2687</v>
      </c>
      <c r="B359" s="20" t="str">
        <f>VLOOKUP(A359,'Base Sin Negativos'!S359:V1795,2,0)</f>
        <v>Peru Chef</v>
      </c>
      <c r="C359" s="20" t="str">
        <f>VLOOKUP(A359,'Base Sin Negativos'!S359:V1795,3,0)</f>
        <v>Peru Chef Trigo Pelado 15 Oz X 12</v>
      </c>
      <c r="D359" s="20">
        <f>VLOOKUP(A359,'Base Sin Negativos'!S359:V1795,4,0)</f>
        <v>21</v>
      </c>
    </row>
    <row r="360" spans="1:4" x14ac:dyDescent="0.25">
      <c r="A360" s="20" t="s">
        <v>2688</v>
      </c>
      <c r="B360" s="20" t="str">
        <f>VLOOKUP(A360,'Base Sin Negativos'!S360:V1796,2,0)</f>
        <v>Peru Chef</v>
      </c>
      <c r="C360" s="20" t="str">
        <f>VLOOKUP(A360,'Base Sin Negativos'!S360:V1796,3,0)</f>
        <v>Peru Chef Tuco 70gr x 12</v>
      </c>
      <c r="D360" s="20">
        <f>VLOOKUP(A360,'Base Sin Negativos'!S360:V1796,4,0)</f>
        <v>24</v>
      </c>
    </row>
    <row r="361" spans="1:4" x14ac:dyDescent="0.25">
      <c r="A361" s="20" t="s">
        <v>2689</v>
      </c>
      <c r="B361" s="20" t="str">
        <f>VLOOKUP(A361,'Base Sin Negativos'!S361:V1797,2,0)</f>
        <v>Peru Chef</v>
      </c>
      <c r="C361" s="20" t="str">
        <f>VLOOKUP(A361,'Base Sin Negativos'!S361:V1797,3,0)</f>
        <v>Peru Chef Turron De Doña Pepa 500gr</v>
      </c>
      <c r="D361" s="20">
        <f>VLOOKUP(A361,'Base Sin Negativos'!S361:V1797,4,0)</f>
        <v>5.5</v>
      </c>
    </row>
    <row r="362" spans="1:4" x14ac:dyDescent="0.25">
      <c r="A362" s="20" t="s">
        <v>2690</v>
      </c>
      <c r="B362" s="20" t="str">
        <f>VLOOKUP(A362,'Base Sin Negativos'!S362:V1798,2,0)</f>
        <v>Peru Chef</v>
      </c>
      <c r="C362" s="20" t="str">
        <f>VLOOKUP(A362,'Base Sin Negativos'!S362:V1798,3,0)</f>
        <v>Peru Chef Turron De Doña Pepa 500gr</v>
      </c>
      <c r="D362" s="20">
        <f>VLOOKUP(A362,'Base Sin Negativos'!S362:V1798,4,0)</f>
        <v>4.95</v>
      </c>
    </row>
    <row r="363" spans="1:4" x14ac:dyDescent="0.25">
      <c r="A363" s="20" t="s">
        <v>2691</v>
      </c>
      <c r="B363" s="20" t="str">
        <f>VLOOKUP(A363,'Base Sin Negativos'!S363:V1799,2,0)</f>
        <v>Peru Chef</v>
      </c>
      <c r="C363" s="20" t="str">
        <f>VLOOKUP(A363,'Base Sin Negativos'!S363:V1799,3,0)</f>
        <v>Peru Chef Yuca Amarilla 1.5Lb x 18 bolsas</v>
      </c>
      <c r="D363" s="20">
        <f>VLOOKUP(A363,'Base Sin Negativos'!S363:V1799,4,0)</f>
        <v>72</v>
      </c>
    </row>
    <row r="364" spans="1:4" x14ac:dyDescent="0.25">
      <c r="A364" s="20" t="s">
        <v>2692</v>
      </c>
      <c r="B364" s="20" t="str">
        <f>VLOOKUP(A364,'Base Sin Negativos'!S364:V1800,2,0)</f>
        <v>Peru Chef</v>
      </c>
      <c r="C364" s="20" t="str">
        <f>VLOOKUP(A364,'Base Sin Negativos'!S364:V1800,3,0)</f>
        <v>Peru Chef Zapallo Loche 1Lb</v>
      </c>
      <c r="D364" s="20">
        <f>VLOOKUP(A364,'Base Sin Negativos'!S364:V1800,4,0)</f>
        <v>5.625</v>
      </c>
    </row>
    <row r="365" spans="1:4" x14ac:dyDescent="0.25">
      <c r="A365" s="20" t="s">
        <v>2693</v>
      </c>
      <c r="B365" s="20" t="str">
        <f>VLOOKUP(A365,'Base Sin Negativos'!S365:V1801,2,0)</f>
        <v>Belmont International Trading Corp</v>
      </c>
      <c r="C365" s="20" t="str">
        <f>VLOOKUP(A365,'Base Sin Negativos'!S365:V1801,3,0)</f>
        <v>Provenzal Aji De Gallina 100gr x 10</v>
      </c>
      <c r="D365" s="20">
        <f>VLOOKUP(A365,'Base Sin Negativos'!S365:V1801,4,0)</f>
        <v>19.690000000000001</v>
      </c>
    </row>
    <row r="366" spans="1:4" x14ac:dyDescent="0.25">
      <c r="A366" s="20" t="s">
        <v>2694</v>
      </c>
      <c r="B366" s="20" t="str">
        <f>VLOOKUP(A366,'Base Sin Negativos'!S366:V1802,2,0)</f>
        <v>Belmont International Trading Corp</v>
      </c>
      <c r="C366" s="20" t="str">
        <f>VLOOKUP(A366,'Base Sin Negativos'!S366:V1802,3,0)</f>
        <v>Provenzal Aji De Gallina 100gr x 10</v>
      </c>
      <c r="D366" s="20">
        <f>VLOOKUP(A366,'Base Sin Negativos'!S366:V1802,4,0)</f>
        <v>21.9</v>
      </c>
    </row>
    <row r="367" spans="1:4" x14ac:dyDescent="0.25">
      <c r="A367" s="20" t="s">
        <v>2695</v>
      </c>
      <c r="B367" s="20" t="str">
        <f>VLOOKUP(A367,'Base Sin Negativos'!S367:V1803,2,0)</f>
        <v>Belmont International Trading Corp</v>
      </c>
      <c r="C367" s="20" t="str">
        <f>VLOOKUP(A367,'Base Sin Negativos'!S367:V1803,3,0)</f>
        <v>Provenzal Arroz Con Pollo/Seco/Aguadito 58 gr x 10</v>
      </c>
      <c r="D367" s="20">
        <f>VLOOKUP(A367,'Base Sin Negativos'!S367:V1803,4,0)</f>
        <v>23.63</v>
      </c>
    </row>
    <row r="368" spans="1:4" x14ac:dyDescent="0.25">
      <c r="A368" s="20" t="s">
        <v>2696</v>
      </c>
      <c r="B368" s="20" t="str">
        <f>VLOOKUP(A368,'Base Sin Negativos'!S368:V1804,2,0)</f>
        <v>Belmont International Trading Corp</v>
      </c>
      <c r="C368" s="20" t="str">
        <f>VLOOKUP(A368,'Base Sin Negativos'!S368:V1804,3,0)</f>
        <v>Provenzal Arroz Con Pollo/Seco/Aguadito 58 gr x 10</v>
      </c>
      <c r="D368" s="20">
        <f>VLOOKUP(A368,'Base Sin Negativos'!S368:V1804,4,0)</f>
        <v>25.9</v>
      </c>
    </row>
    <row r="369" spans="1:4" x14ac:dyDescent="0.25">
      <c r="A369" s="20" t="s">
        <v>2697</v>
      </c>
      <c r="B369" s="20" t="str">
        <f>VLOOKUP(A369,'Base Sin Negativos'!S369:V1805,2,0)</f>
        <v>Belmont International Trading Corp</v>
      </c>
      <c r="C369" s="20" t="str">
        <f>VLOOKUP(A369,'Base Sin Negativos'!S369:V1805,3,0)</f>
        <v>Provenzal Carapulcra 150gr x 6</v>
      </c>
      <c r="D369" s="20">
        <f>VLOOKUP(A369,'Base Sin Negativos'!S369:V1805,4,0)</f>
        <v>12.5</v>
      </c>
    </row>
    <row r="370" spans="1:4" x14ac:dyDescent="0.25">
      <c r="A370" s="20" t="s">
        <v>2698</v>
      </c>
      <c r="B370" s="20" t="str">
        <f>VLOOKUP(A370,'Base Sin Negativos'!S370:V1806,2,0)</f>
        <v>Belmont International Trading Corp</v>
      </c>
      <c r="C370" s="20" t="str">
        <f>VLOOKUP(A370,'Base Sin Negativos'!S370:V1806,3,0)</f>
        <v>Provenzal Carapulcra 150gr x 6</v>
      </c>
      <c r="D370" s="20">
        <f>VLOOKUP(A370,'Base Sin Negativos'!S370:V1806,4,0)</f>
        <v>13.9</v>
      </c>
    </row>
    <row r="371" spans="1:4" x14ac:dyDescent="0.25">
      <c r="A371" s="20" t="s">
        <v>2699</v>
      </c>
      <c r="B371" s="20" t="str">
        <f>VLOOKUP(A371,'Base Sin Negativos'!S371:V1807,2,0)</f>
        <v>Peru Chef</v>
      </c>
      <c r="C371" s="20" t="str">
        <f>VLOOKUP(A371,'Base Sin Negativos'!S371:V1807,3,0)</f>
        <v>Provenzal Carapulcra 150gr x 6</v>
      </c>
      <c r="D371" s="20">
        <f>VLOOKUP(A371,'Base Sin Negativos'!S371:V1807,4,0)</f>
        <v>18</v>
      </c>
    </row>
    <row r="372" spans="1:4" x14ac:dyDescent="0.25">
      <c r="A372" s="20" t="s">
        <v>2700</v>
      </c>
      <c r="B372" s="20" t="str">
        <f>VLOOKUP(A372,'Base Sin Negativos'!S372:V1808,2,0)</f>
        <v>Belmont International Trading Corp</v>
      </c>
      <c r="C372" s="20" t="str">
        <f>VLOOKUP(A372,'Base Sin Negativos'!S372:V1808,3,0)</f>
        <v>Provenzal Cau Cau 60gr x 12</v>
      </c>
      <c r="D372" s="20">
        <f>VLOOKUP(A372,'Base Sin Negativos'!S372:V1808,4,0)</f>
        <v>23.63</v>
      </c>
    </row>
    <row r="373" spans="1:4" x14ac:dyDescent="0.25">
      <c r="A373" s="20" t="s">
        <v>2701</v>
      </c>
      <c r="B373" s="20" t="str">
        <f>VLOOKUP(A373,'Base Sin Negativos'!S373:V1809,2,0)</f>
        <v>Belmont International Trading Corp</v>
      </c>
      <c r="C373" s="20" t="str">
        <f>VLOOKUP(A373,'Base Sin Negativos'!S373:V1809,3,0)</f>
        <v>Provenzal Cau Cau 60gr x 12</v>
      </c>
      <c r="D373" s="20">
        <f>VLOOKUP(A373,'Base Sin Negativos'!S373:V1809,4,0)</f>
        <v>25.9</v>
      </c>
    </row>
    <row r="374" spans="1:4" x14ac:dyDescent="0.25">
      <c r="A374" s="20" t="s">
        <v>2702</v>
      </c>
      <c r="B374" s="20" t="str">
        <f>VLOOKUP(A374,'Base Sin Negativos'!S374:V1810,2,0)</f>
        <v>Peru Chef</v>
      </c>
      <c r="C374" s="20" t="str">
        <f>VLOOKUP(A374,'Base Sin Negativos'!S374:V1810,3,0)</f>
        <v>Provenzal Cau Cau 60gr x 12</v>
      </c>
      <c r="D374" s="20">
        <f>VLOOKUP(A374,'Base Sin Negativos'!S374:V1810,4,0)</f>
        <v>26</v>
      </c>
    </row>
    <row r="375" spans="1:4" x14ac:dyDescent="0.25">
      <c r="A375" s="20" t="s">
        <v>2703</v>
      </c>
      <c r="B375" s="20" t="str">
        <f>VLOOKUP(A375,'Base Sin Negativos'!S375:V1811,2,0)</f>
        <v>Peru Chef</v>
      </c>
      <c r="C375" s="20" t="str">
        <f>VLOOKUP(A375,'Base Sin Negativos'!S375:V1811,3,0)</f>
        <v>Provenzal Cau Cau 60gr x 12</v>
      </c>
      <c r="D375" s="20">
        <f>VLOOKUP(A375,'Base Sin Negativos'!S375:V1811,4,0)</f>
        <v>23.4</v>
      </c>
    </row>
    <row r="376" spans="1:4" x14ac:dyDescent="0.25">
      <c r="A376" s="20" t="s">
        <v>2704</v>
      </c>
      <c r="B376" s="20" t="str">
        <f>VLOOKUP(A376,'Base Sin Negativos'!S376:V1812,2,0)</f>
        <v>Belmont International Trading Corp</v>
      </c>
      <c r="C376" s="20" t="str">
        <f>VLOOKUP(A376,'Base Sin Negativos'!S376:V1812,3,0)</f>
        <v>Provenzal Ceviche Base 30gr x 20</v>
      </c>
      <c r="D376" s="20">
        <f>VLOOKUP(A376,'Base Sin Negativos'!S376:V1812,4,0)</f>
        <v>42.08</v>
      </c>
    </row>
    <row r="377" spans="1:4" x14ac:dyDescent="0.25">
      <c r="A377" s="20" t="s">
        <v>2705</v>
      </c>
      <c r="B377" s="20" t="str">
        <f>VLOOKUP(A377,'Base Sin Negativos'!S377:V1813,2,0)</f>
        <v>Belmont International Trading Corp</v>
      </c>
      <c r="C377" s="20" t="str">
        <f>VLOOKUP(A377,'Base Sin Negativos'!S377:V1813,3,0)</f>
        <v>Provenzal Ceviche Base 30gr x 20</v>
      </c>
      <c r="D377" s="20">
        <f>VLOOKUP(A377,'Base Sin Negativos'!S377:V1813,4,0)</f>
        <v>46.5</v>
      </c>
    </row>
    <row r="378" spans="1:4" x14ac:dyDescent="0.25">
      <c r="A378" s="20" t="s">
        <v>2706</v>
      </c>
      <c r="B378" s="20" t="str">
        <f>VLOOKUP(A378,'Base Sin Negativos'!S378:V1814,2,0)</f>
        <v>Belmont International Trading Corp</v>
      </c>
      <c r="C378" s="20" t="str">
        <f>VLOOKUP(A378,'Base Sin Negativos'!S378:V1814,3,0)</f>
        <v>Provenzal Huancaina 64gr x 12</v>
      </c>
      <c r="D378" s="20">
        <f>VLOOKUP(A378,'Base Sin Negativos'!S378:V1814,4,0)</f>
        <v>23.63</v>
      </c>
    </row>
    <row r="379" spans="1:4" x14ac:dyDescent="0.25">
      <c r="A379" s="20" t="s">
        <v>2707</v>
      </c>
      <c r="B379" s="20" t="str">
        <f>VLOOKUP(A379,'Base Sin Negativos'!S379:V1815,2,0)</f>
        <v>Belmont International Trading Corp</v>
      </c>
      <c r="C379" s="20" t="str">
        <f>VLOOKUP(A379,'Base Sin Negativos'!S379:V1815,3,0)</f>
        <v>Provenzal Huancaina 64gr x 12</v>
      </c>
      <c r="D379" s="20">
        <f>VLOOKUP(A379,'Base Sin Negativos'!S379:V1815,4,0)</f>
        <v>25.9</v>
      </c>
    </row>
    <row r="380" spans="1:4" x14ac:dyDescent="0.25">
      <c r="A380" s="20" t="s">
        <v>2708</v>
      </c>
      <c r="B380" s="20" t="str">
        <f>VLOOKUP(A380,'Base Sin Negativos'!S380:V1816,2,0)</f>
        <v>Peru Chef</v>
      </c>
      <c r="C380" s="20" t="str">
        <f>VLOOKUP(A380,'Base Sin Negativos'!S380:V1816,3,0)</f>
        <v>Provenzal Huancaina 64gr x 12</v>
      </c>
      <c r="D380" s="20">
        <f>VLOOKUP(A380,'Base Sin Negativos'!S380:V1816,4,0)</f>
        <v>28</v>
      </c>
    </row>
    <row r="381" spans="1:4" x14ac:dyDescent="0.25">
      <c r="A381" s="20" t="s">
        <v>2709</v>
      </c>
      <c r="B381" s="20" t="str">
        <f>VLOOKUP(A381,'Base Sin Negativos'!S381:V1817,2,0)</f>
        <v>Peru Chef</v>
      </c>
      <c r="C381" s="20" t="str">
        <f>VLOOKUP(A381,'Base Sin Negativos'!S381:V1817,3,0)</f>
        <v>Provenzal Huancaina 64gr x 12</v>
      </c>
      <c r="D381" s="20">
        <f>VLOOKUP(A381,'Base Sin Negativos'!S381:V1817,4,0)</f>
        <v>25.2</v>
      </c>
    </row>
    <row r="382" spans="1:4" x14ac:dyDescent="0.25">
      <c r="A382" s="20" t="s">
        <v>2710</v>
      </c>
      <c r="B382" s="20" t="str">
        <f>VLOOKUP(A382,'Base Sin Negativos'!S382:V1818,2,0)</f>
        <v>Belmont International Trading Corp</v>
      </c>
      <c r="C382" s="20" t="str">
        <f>VLOOKUP(A382,'Base Sin Negativos'!S382:V1818,3,0)</f>
        <v>Provenzal Ocopa 70gr x 12</v>
      </c>
      <c r="D382" s="20">
        <f>VLOOKUP(A382,'Base Sin Negativos'!S382:V1818,4,0)</f>
        <v>23.63</v>
      </c>
    </row>
    <row r="383" spans="1:4" x14ac:dyDescent="0.25">
      <c r="A383" s="20" t="s">
        <v>2711</v>
      </c>
      <c r="B383" s="20" t="str">
        <f>VLOOKUP(A383,'Base Sin Negativos'!S383:V1819,2,0)</f>
        <v>Peru Chef</v>
      </c>
      <c r="C383" s="20" t="str">
        <f>VLOOKUP(A383,'Base Sin Negativos'!S383:V1819,3,0)</f>
        <v>Provenzal Ocopa 70gr x 12</v>
      </c>
      <c r="D383" s="20">
        <f>VLOOKUP(A383,'Base Sin Negativos'!S383:V1819,4,0)</f>
        <v>28</v>
      </c>
    </row>
    <row r="384" spans="1:4" x14ac:dyDescent="0.25">
      <c r="A384" s="20" t="s">
        <v>2712</v>
      </c>
      <c r="B384" s="20" t="str">
        <f>VLOOKUP(A384,'Base Sin Negativos'!S384:V1820,2,0)</f>
        <v>Peru Chef</v>
      </c>
      <c r="C384" s="20" t="str">
        <f>VLOOKUP(A384,'Base Sin Negativos'!S384:V1820,3,0)</f>
        <v>Provenzal Ocopa 70gr x 12</v>
      </c>
      <c r="D384" s="20">
        <f>VLOOKUP(A384,'Base Sin Negativos'!S384:V1820,4,0)</f>
        <v>25.2</v>
      </c>
    </row>
    <row r="385" spans="1:4" x14ac:dyDescent="0.25">
      <c r="A385" s="20" t="s">
        <v>2713</v>
      </c>
      <c r="B385" s="20" t="str">
        <f>VLOOKUP(A385,'Base Sin Negativos'!S385:V1821,2,0)</f>
        <v>Belmont International Trading Corp</v>
      </c>
      <c r="C385" s="20" t="str">
        <f>VLOOKUP(A385,'Base Sin Negativos'!S385:V1821,3,0)</f>
        <v>Provenzal Olluquito 78gr x 6</v>
      </c>
      <c r="D385" s="20">
        <f>VLOOKUP(A385,'Base Sin Negativos'!S385:V1821,4,0)</f>
        <v>17.5</v>
      </c>
    </row>
    <row r="386" spans="1:4" x14ac:dyDescent="0.25">
      <c r="A386" s="20" t="s">
        <v>2714</v>
      </c>
      <c r="B386" s="20" t="str">
        <f>VLOOKUP(A386,'Base Sin Negativos'!S386:V1822,2,0)</f>
        <v>Belmont International Trading Corp</v>
      </c>
      <c r="C386" s="20" t="str">
        <f>VLOOKUP(A386,'Base Sin Negativos'!S386:V1822,3,0)</f>
        <v>Provenzal Olluquito 78gr x 6</v>
      </c>
      <c r="D386" s="20">
        <f>VLOOKUP(A386,'Base Sin Negativos'!S386:V1822,4,0)</f>
        <v>19.5</v>
      </c>
    </row>
    <row r="387" spans="1:4" x14ac:dyDescent="0.25">
      <c r="A387" s="20" t="s">
        <v>2715</v>
      </c>
      <c r="B387" s="20" t="str">
        <f>VLOOKUP(A387,'Base Sin Negativos'!S387:V1823,2,0)</f>
        <v>Peru Chef</v>
      </c>
      <c r="C387" s="20" t="str">
        <f>VLOOKUP(A387,'Base Sin Negativos'!S387:V1823,3,0)</f>
        <v>Provenzal Olluquito 78gr x 6</v>
      </c>
      <c r="D387" s="20">
        <f>VLOOKUP(A387,'Base Sin Negativos'!S387:V1823,4,0)</f>
        <v>22</v>
      </c>
    </row>
    <row r="388" spans="1:4" x14ac:dyDescent="0.25">
      <c r="A388" s="20" t="s">
        <v>2716</v>
      </c>
      <c r="B388" s="20" t="str">
        <f>VLOOKUP(A388,'Base Sin Negativos'!S388:V1824,2,0)</f>
        <v>Peru Chef</v>
      </c>
      <c r="C388" s="20" t="str">
        <f>VLOOKUP(A388,'Base Sin Negativos'!S388:V1824,3,0)</f>
        <v>Provenzal Olluquito 78gr x 6</v>
      </c>
      <c r="D388" s="20">
        <f>VLOOKUP(A388,'Base Sin Negativos'!S388:V1824,4,0)</f>
        <v>19.8</v>
      </c>
    </row>
    <row r="389" spans="1:4" x14ac:dyDescent="0.25">
      <c r="A389" s="20" t="s">
        <v>2717</v>
      </c>
      <c r="B389" s="20" t="str">
        <f>VLOOKUP(A389,'Base Sin Negativos'!S389:V1825,2,0)</f>
        <v>Belmont International Trading Corp</v>
      </c>
      <c r="C389" s="20" t="str">
        <f>VLOOKUP(A389,'Base Sin Negativos'!S389:V1825,3,0)</f>
        <v>Provenzal Picarones Con Miel 165gr x 12</v>
      </c>
      <c r="D389" s="20">
        <f>VLOOKUP(A389,'Base Sin Negativos'!S389:V1825,4,0)</f>
        <v>34.4</v>
      </c>
    </row>
    <row r="390" spans="1:4" x14ac:dyDescent="0.25">
      <c r="A390" s="20" t="s">
        <v>2718</v>
      </c>
      <c r="B390" s="20" t="str">
        <f>VLOOKUP(A390,'Base Sin Negativos'!S390:V1826,2,0)</f>
        <v>Peru Chef</v>
      </c>
      <c r="C390" s="20" t="str">
        <f>VLOOKUP(A390,'Base Sin Negativos'!S390:V1826,3,0)</f>
        <v>Provenzal Picarones Con Miel 165gr x 12</v>
      </c>
      <c r="D390" s="20">
        <f>VLOOKUP(A390,'Base Sin Negativos'!S390:V1826,4,0)</f>
        <v>40</v>
      </c>
    </row>
    <row r="391" spans="1:4" x14ac:dyDescent="0.25">
      <c r="A391" s="20" t="s">
        <v>2719</v>
      </c>
      <c r="B391" s="20" t="str">
        <f>VLOOKUP(A391,'Base Sin Negativos'!S391:V1827,2,0)</f>
        <v>Belmont International Trading Corp</v>
      </c>
      <c r="C391" s="20" t="str">
        <f>VLOOKUP(A391,'Base Sin Negativos'!S391:V1827,3,0)</f>
        <v>Provenzal Sopa A La Minuta 78gr x 10</v>
      </c>
      <c r="D391" s="20">
        <f>VLOOKUP(A391,'Base Sin Negativos'!S391:V1827,4,0)</f>
        <v>19.7</v>
      </c>
    </row>
    <row r="392" spans="1:4" x14ac:dyDescent="0.25">
      <c r="A392" s="20" t="s">
        <v>2720</v>
      </c>
      <c r="B392" s="20" t="str">
        <f>VLOOKUP(A392,'Base Sin Negativos'!S392:V1828,2,0)</f>
        <v>Tradiciones Andinas</v>
      </c>
      <c r="C392" s="20" t="str">
        <f>VLOOKUP(A392,'Base Sin Negativos'!S392:V1828,3,0)</f>
        <v>Quick Oats / Avena</v>
      </c>
      <c r="D392" s="20">
        <f>VLOOKUP(A392,'Base Sin Negativos'!S392:V1828,4,0)</f>
        <v>9.99</v>
      </c>
    </row>
    <row r="393" spans="1:4" x14ac:dyDescent="0.25">
      <c r="A393" s="20" t="s">
        <v>2721</v>
      </c>
      <c r="B393" s="20" t="str">
        <f>VLOOKUP(A393,'Base Sin Negativos'!S393:V1829,2,0)</f>
        <v>Peru Chef</v>
      </c>
      <c r="C393" s="20" t="str">
        <f>VLOOKUP(A393,'Base Sin Negativos'!S393:V1829,3,0)</f>
        <v>San Jorge Galleta Soda  40gr  x 7 x 4</v>
      </c>
      <c r="D393" s="20">
        <f>VLOOKUP(A393,'Base Sin Negativos'!S393:V1829,4,0)</f>
        <v>8</v>
      </c>
    </row>
    <row r="394" spans="1:4" x14ac:dyDescent="0.25">
      <c r="A394" s="20" t="s">
        <v>2722</v>
      </c>
      <c r="B394" s="20" t="str">
        <f>VLOOKUP(A394,'Base Sin Negativos'!S394:V1830,2,0)</f>
        <v>Peru Chef</v>
      </c>
      <c r="C394" s="20" t="str">
        <f>VLOOKUP(A394,'Base Sin Negativos'!S394:V1830,3,0)</f>
        <v>San Jorge Galleta Soda  40gr  x 7 x 4</v>
      </c>
      <c r="D394" s="20">
        <f>VLOOKUP(A394,'Base Sin Negativos'!S394:V1830,4,0)</f>
        <v>7.2</v>
      </c>
    </row>
    <row r="395" spans="1:4" x14ac:dyDescent="0.25">
      <c r="A395" s="20" t="s">
        <v>2723</v>
      </c>
      <c r="B395" s="20" t="str">
        <f>VLOOKUP(A395,'Base Sin Negativos'!S395:V1831,2,0)</f>
        <v>Peru Chef</v>
      </c>
      <c r="C395" s="20" t="str">
        <f>VLOOKUP(A395,'Base Sin Negativos'!S395:V1831,3,0)</f>
        <v>San Jorge Municion 450gr x 6</v>
      </c>
      <c r="D395" s="20">
        <f>VLOOKUP(A395,'Base Sin Negativos'!S395:V1831,4,0)</f>
        <v>15</v>
      </c>
    </row>
    <row r="396" spans="1:4" x14ac:dyDescent="0.25">
      <c r="A396" s="20" t="s">
        <v>2724</v>
      </c>
      <c r="B396" s="20" t="str">
        <f>VLOOKUP(A396,'Base Sin Negativos'!S396:V1832,2,0)</f>
        <v>Peru Chef</v>
      </c>
      <c r="C396" s="20" t="str">
        <f>VLOOKUP(A396,'Base Sin Negativos'!S396:V1832,3,0)</f>
        <v>San Jorge Municion 450gr x 6</v>
      </c>
      <c r="D396" s="20">
        <f>VLOOKUP(A396,'Base Sin Negativos'!S396:V1832,4,0)</f>
        <v>13.5</v>
      </c>
    </row>
    <row r="397" spans="1:4" x14ac:dyDescent="0.25">
      <c r="A397" s="20" t="s">
        <v>2725</v>
      </c>
      <c r="B397" s="20" t="str">
        <f>VLOOKUP(A397,'Base Sin Negativos'!S397:V1833,2,0)</f>
        <v>Peru Chef</v>
      </c>
      <c r="C397" s="20" t="str">
        <f>VLOOKUP(A397,'Base Sin Negativos'!S397:V1833,3,0)</f>
        <v>San Jose Turron De Doña Pepa x 500gr</v>
      </c>
      <c r="D397" s="20">
        <f>VLOOKUP(A397,'Base Sin Negativos'!S397:V1833,4,0)</f>
        <v>5.5</v>
      </c>
    </row>
    <row r="398" spans="1:4" x14ac:dyDescent="0.25">
      <c r="A398" s="20" t="s">
        <v>2726</v>
      </c>
      <c r="B398" s="20" t="str">
        <f>VLOOKUP(A398,'Base Sin Negativos'!S398:V1834,2,0)</f>
        <v>Tradiciones Andinas</v>
      </c>
      <c r="C398" s="20" t="str">
        <f>VLOOKUP(A398,'Base Sin Negativos'!S398:V1834,3,0)</f>
        <v>Sancocho Colombiano / Vegetables Mix 2Lb x 6</v>
      </c>
      <c r="D398" s="20">
        <f>VLOOKUP(A398,'Base Sin Negativos'!S398:V1834,4,0)</f>
        <v>27.5</v>
      </c>
    </row>
    <row r="399" spans="1:4" x14ac:dyDescent="0.25">
      <c r="A399" s="20" t="s">
        <v>2727</v>
      </c>
      <c r="B399" s="20" t="str">
        <f>VLOOKUP(A399,'Base Sin Negativos'!S399:V1835,2,0)</f>
        <v>Peru Chef</v>
      </c>
      <c r="C399" s="20" t="str">
        <f>VLOOKUP(A399,'Base Sin Negativos'!S399:V1835,3,0)</f>
        <v>Sayon Galletas Tejanas 480gr x 8</v>
      </c>
      <c r="D399" s="20">
        <f>VLOOKUP(A399,'Base Sin Negativos'!S399:V1835,4,0)</f>
        <v>35</v>
      </c>
    </row>
    <row r="400" spans="1:4" x14ac:dyDescent="0.25">
      <c r="A400" s="20" t="s">
        <v>2728</v>
      </c>
      <c r="B400" s="20" t="str">
        <f>VLOOKUP(A400,'Base Sin Negativos'!S400:V1836,2,0)</f>
        <v>Peru Chef</v>
      </c>
      <c r="C400" s="20" t="str">
        <f>VLOOKUP(A400,'Base Sin Negativos'!S400:V1836,3,0)</f>
        <v>Sayon Galletas Tejanas 480gr x 8</v>
      </c>
      <c r="D400" s="20">
        <f>VLOOKUP(A400,'Base Sin Negativos'!S400:V1836,4,0)</f>
        <v>37</v>
      </c>
    </row>
    <row r="401" spans="1:4" x14ac:dyDescent="0.25">
      <c r="A401" s="20" t="s">
        <v>2729</v>
      </c>
      <c r="B401" s="20" t="str">
        <f>VLOOKUP(A401,'Base Sin Negativos'!S401:V1837,2,0)</f>
        <v>Peru Chef</v>
      </c>
      <c r="C401" s="20" t="str">
        <f>VLOOKUP(A401,'Base Sin Negativos'!S401:V1837,3,0)</f>
        <v>Sayon Galletas Tejanas 480gr x 8</v>
      </c>
      <c r="D401" s="20">
        <f>VLOOKUP(A401,'Base Sin Negativos'!S401:V1837,4,0)</f>
        <v>33.299999999999997</v>
      </c>
    </row>
    <row r="402" spans="1:4" x14ac:dyDescent="0.25">
      <c r="A402" s="20" t="s">
        <v>2730</v>
      </c>
      <c r="B402" s="20" t="str">
        <f>VLOOKUP(A402,'Base Sin Negativos'!S402:V1838,2,0)</f>
        <v>Tradiciones Andinas</v>
      </c>
      <c r="C402" s="20" t="str">
        <f>VLOOKUP(A402,'Base Sin Negativos'!S402:V1838,3,0)</f>
        <v>Sazon Completo - Complete Seasoning 500gr x 15</v>
      </c>
      <c r="D402" s="20">
        <f>VLOOKUP(A402,'Base Sin Negativos'!S402:V1838,4,0)</f>
        <v>32.15</v>
      </c>
    </row>
    <row r="403" spans="1:4" x14ac:dyDescent="0.25">
      <c r="A403" s="20" t="s">
        <v>2731</v>
      </c>
      <c r="B403" s="20" t="str">
        <f>VLOOKUP(A403,'Base Sin Negativos'!S403:V1839,2,0)</f>
        <v>Tradiciones Andinas</v>
      </c>
      <c r="C403" s="20" t="str">
        <f>VLOOKUP(A403,'Base Sin Negativos'!S403:V1839,3,0)</f>
        <v>SIBARITA - Aji Panca Sazonador sin picante  6 sobres x 50</v>
      </c>
      <c r="D403" s="20">
        <f>VLOOKUP(A403,'Base Sin Negativos'!S403:V1839,4,0)</f>
        <v>42.5</v>
      </c>
    </row>
    <row r="404" spans="1:4" x14ac:dyDescent="0.25">
      <c r="A404" s="20" t="s">
        <v>2732</v>
      </c>
      <c r="B404" s="20" t="str">
        <f>VLOOKUP(A404,'Base Sin Negativos'!S404:V1840,2,0)</f>
        <v>Tradiciones Andinas</v>
      </c>
      <c r="C404" s="20" t="str">
        <f>VLOOKUP(A404,'Base Sin Negativos'!S404:V1840,3,0)</f>
        <v>SIBARITA - Aji Panca Sazonador sin picante  6 sobres x 50</v>
      </c>
      <c r="D404" s="20">
        <f>VLOOKUP(A404,'Base Sin Negativos'!S404:V1840,4,0)</f>
        <v>45</v>
      </c>
    </row>
    <row r="405" spans="1:4" x14ac:dyDescent="0.25">
      <c r="A405" s="20" t="s">
        <v>2733</v>
      </c>
      <c r="B405" s="20" t="str">
        <f>VLOOKUP(A405,'Base Sin Negativos'!S405:V1841,2,0)</f>
        <v>Tradiciones Andinas</v>
      </c>
      <c r="C405" s="20" t="str">
        <f>VLOOKUP(A405,'Base Sin Negativos'!S405:V1841,3,0)</f>
        <v>SIBARITA - Ajo / Garlic 8.8oz x 12</v>
      </c>
      <c r="D405" s="20">
        <f>VLOOKUP(A405,'Base Sin Negativos'!S405:V1841,4,0)</f>
        <v>39</v>
      </c>
    </row>
    <row r="406" spans="1:4" x14ac:dyDescent="0.25">
      <c r="A406" s="20" t="s">
        <v>2734</v>
      </c>
      <c r="B406" s="20" t="str">
        <f>VLOOKUP(A406,'Base Sin Negativos'!S406:V1842,2,0)</f>
        <v>Tradiciones Andinas</v>
      </c>
      <c r="C406" s="20" t="str">
        <f>VLOOKUP(A406,'Base Sin Negativos'!S406:V1842,3,0)</f>
        <v>SIBARITA - Ajo / Garlic Family Pack 19.4oz x 12</v>
      </c>
      <c r="D406" s="20">
        <f>VLOOKUP(A406,'Base Sin Negativos'!S406:V1842,4,0)</f>
        <v>49.08</v>
      </c>
    </row>
    <row r="407" spans="1:4" x14ac:dyDescent="0.25">
      <c r="A407" s="20" t="s">
        <v>2735</v>
      </c>
      <c r="B407" s="20" t="str">
        <f>VLOOKUP(A407,'Base Sin Negativos'!S407:V1843,2,0)</f>
        <v>Tradiciones Andinas</v>
      </c>
      <c r="C407" s="20" t="str">
        <f>VLOOKUP(A407,'Base Sin Negativos'!S407:V1843,3,0)</f>
        <v>SIBARITA - Ajo / Garlic Family Pack 19.4oz x 12</v>
      </c>
      <c r="D407" s="20">
        <f>VLOOKUP(A407,'Base Sin Negativos'!S407:V1843,4,0)</f>
        <v>52.52</v>
      </c>
    </row>
    <row r="408" spans="1:4" x14ac:dyDescent="0.25">
      <c r="A408" s="20" t="s">
        <v>2736</v>
      </c>
      <c r="B408" s="20" t="str">
        <f>VLOOKUP(A408,'Base Sin Negativos'!S408:V1844,2,0)</f>
        <v>Tradiciones Andinas</v>
      </c>
      <c r="C408" s="20" t="str">
        <f>VLOOKUP(A408,'Base Sin Negativos'!S408:V1844,3,0)</f>
        <v>SIBARITA - Amarillin Doypack  19.4oz x 12</v>
      </c>
      <c r="D408" s="20">
        <f>VLOOKUP(A408,'Base Sin Negativos'!S408:V1844,4,0)</f>
        <v>49.08</v>
      </c>
    </row>
    <row r="409" spans="1:4" x14ac:dyDescent="0.25">
      <c r="A409" s="20" t="s">
        <v>2737</v>
      </c>
      <c r="B409" s="20" t="str">
        <f>VLOOKUP(A409,'Base Sin Negativos'!S409:V1845,2,0)</f>
        <v>Tradiciones Andinas</v>
      </c>
      <c r="C409" s="20" t="str">
        <f>VLOOKUP(A409,'Base Sin Negativos'!S409:V1845,3,0)</f>
        <v>SIBARITA - Amarillin Doypack  19.4oz x 12</v>
      </c>
      <c r="D409" s="20">
        <f>VLOOKUP(A409,'Base Sin Negativos'!S409:V1845,4,0)</f>
        <v>52.52</v>
      </c>
    </row>
    <row r="410" spans="1:4" x14ac:dyDescent="0.25">
      <c r="A410" s="20" t="s">
        <v>2738</v>
      </c>
      <c r="B410" s="20" t="str">
        <f>VLOOKUP(A410,'Base Sin Negativos'!S410:V1846,2,0)</f>
        <v>Tradiciones Andinas</v>
      </c>
      <c r="C410" s="20" t="str">
        <f>VLOOKUP(A410,'Base Sin Negativos'!S410:V1846,3,0)</f>
        <v>SIBARITA - Amarillin Doypack  19.4oz x 12</v>
      </c>
      <c r="D410" s="20">
        <f>VLOOKUP(A410,'Base Sin Negativos'!S410:V1846,4,0)</f>
        <v>49.52</v>
      </c>
    </row>
    <row r="411" spans="1:4" x14ac:dyDescent="0.25">
      <c r="A411" s="20" t="s">
        <v>2739</v>
      </c>
      <c r="B411" s="20" t="str">
        <f>VLOOKUP(A411,'Base Sin Negativos'!S411:V1847,2,0)</f>
        <v>Tradiciones Andinas</v>
      </c>
      <c r="C411" s="20" t="str">
        <f>VLOOKUP(A411,'Base Sin Negativos'!S411:V1847,3,0)</f>
        <v>SIBARITA - Amarillin Doypack 8.8oz x 12</v>
      </c>
      <c r="D411" s="20">
        <f>VLOOKUP(A411,'Base Sin Negativos'!S411:V1847,4,0)</f>
        <v>42</v>
      </c>
    </row>
    <row r="412" spans="1:4" x14ac:dyDescent="0.25">
      <c r="A412" s="20" t="s">
        <v>2740</v>
      </c>
      <c r="B412" s="20" t="str">
        <f>VLOOKUP(A412,'Base Sin Negativos'!S412:V1848,2,0)</f>
        <v>Tradiciones Andinas</v>
      </c>
      <c r="C412" s="20" t="str">
        <f>VLOOKUP(A412,'Base Sin Negativos'!S412:V1848,3,0)</f>
        <v>SIBARITA - Amarillin Doypack 8.8oz x 12</v>
      </c>
      <c r="D412" s="20">
        <f>VLOOKUP(A412,'Base Sin Negativos'!S412:V1848,4,0)</f>
        <v>39</v>
      </c>
    </row>
    <row r="413" spans="1:4" x14ac:dyDescent="0.25">
      <c r="A413" s="20" t="s">
        <v>2741</v>
      </c>
      <c r="B413" s="20" t="str">
        <f>VLOOKUP(A413,'Base Sin Negativos'!S413:V1849,2,0)</f>
        <v>Tradiciones Andinas</v>
      </c>
      <c r="C413" s="20" t="str">
        <f>VLOOKUP(A413,'Base Sin Negativos'!S413:V1849,3,0)</f>
        <v>SIBARITA - Panquita Doypack 12 x 19.4 oz</v>
      </c>
      <c r="D413" s="20">
        <f>VLOOKUP(A413,'Base Sin Negativos'!S413:V1849,4,0)</f>
        <v>49.08</v>
      </c>
    </row>
    <row r="414" spans="1:4" x14ac:dyDescent="0.25">
      <c r="A414" s="20" t="s">
        <v>2742</v>
      </c>
      <c r="B414" s="20" t="str">
        <f>VLOOKUP(A414,'Base Sin Negativos'!S414:V1850,2,0)</f>
        <v>Tradiciones Andinas</v>
      </c>
      <c r="C414" s="20" t="str">
        <f>VLOOKUP(A414,'Base Sin Negativos'!S414:V1850,3,0)</f>
        <v>SIBARITA - Panquita Doypack 12 x 19.4 oz</v>
      </c>
      <c r="D414" s="20">
        <f>VLOOKUP(A414,'Base Sin Negativos'!S414:V1850,4,0)</f>
        <v>52.52</v>
      </c>
    </row>
    <row r="415" spans="1:4" x14ac:dyDescent="0.25">
      <c r="A415" s="20" t="s">
        <v>2743</v>
      </c>
      <c r="B415" s="20" t="str">
        <f>VLOOKUP(A415,'Base Sin Negativos'!S415:V1851,2,0)</f>
        <v>Tradiciones Andinas</v>
      </c>
      <c r="C415" s="20" t="str">
        <f>VLOOKUP(A415,'Base Sin Negativos'!S415:V1851,3,0)</f>
        <v>SIBARITA - Panquita Doypack 12 x 19.4 oz</v>
      </c>
      <c r="D415" s="20">
        <f>VLOOKUP(A415,'Base Sin Negativos'!S415:V1851,4,0)</f>
        <v>49.52</v>
      </c>
    </row>
    <row r="416" spans="1:4" x14ac:dyDescent="0.25">
      <c r="A416" s="20" t="s">
        <v>2744</v>
      </c>
      <c r="B416" s="20" t="str">
        <f>VLOOKUP(A416,'Base Sin Negativos'!S416:V1852,2,0)</f>
        <v>Tradiciones Andinas</v>
      </c>
      <c r="C416" s="20" t="str">
        <f>VLOOKUP(A416,'Base Sin Negativos'!S416:V1852,3,0)</f>
        <v>SIBARITA - Panquita Doypack 8.8oz x 12</v>
      </c>
      <c r="D416" s="20">
        <f>VLOOKUP(A416,'Base Sin Negativos'!S416:V1852,4,0)</f>
        <v>42</v>
      </c>
    </row>
    <row r="417" spans="1:4" x14ac:dyDescent="0.25">
      <c r="A417" s="20" t="s">
        <v>2745</v>
      </c>
      <c r="B417" s="20" t="str">
        <f>VLOOKUP(A417,'Base Sin Negativos'!S417:V1853,2,0)</f>
        <v>Tradiciones Andinas</v>
      </c>
      <c r="C417" s="20" t="str">
        <f>VLOOKUP(A417,'Base Sin Negativos'!S417:V1853,3,0)</f>
        <v>SIBARITA - Panquita Doypack 8.8oz x 12</v>
      </c>
      <c r="D417" s="20">
        <f>VLOOKUP(A417,'Base Sin Negativos'!S417:V1853,4,0)</f>
        <v>39</v>
      </c>
    </row>
    <row r="418" spans="1:4" x14ac:dyDescent="0.25">
      <c r="A418" s="20" t="s">
        <v>2746</v>
      </c>
      <c r="B418" s="20" t="str">
        <f>VLOOKUP(A418,'Base Sin Negativos'!S418:V1854,2,0)</f>
        <v>Tradiciones Andinas</v>
      </c>
      <c r="C418" s="20" t="str">
        <f>VLOOKUP(A418,'Base Sin Negativos'!S418:V1854,3,0)</f>
        <v>SIBARITA - Tuco Tallarin 6 sobres x 50 / 1.64oz x 50</v>
      </c>
      <c r="D418" s="20">
        <f>VLOOKUP(A418,'Base Sin Negativos'!S418:V1854,4,0)</f>
        <v>42.5</v>
      </c>
    </row>
    <row r="419" spans="1:4" x14ac:dyDescent="0.25">
      <c r="A419" s="20" t="s">
        <v>2747</v>
      </c>
      <c r="B419" s="20" t="str">
        <f>VLOOKUP(A419,'Base Sin Negativos'!S419:V1855,2,0)</f>
        <v>Tradiciones Andinas</v>
      </c>
      <c r="C419" s="20" t="str">
        <f>VLOOKUP(A419,'Base Sin Negativos'!S419:V1855,3,0)</f>
        <v>SIBARITA - Tuco Tallarin 6 sobres x 50 / 1.64oz x 50</v>
      </c>
      <c r="D419" s="20">
        <f>VLOOKUP(A419,'Base Sin Negativos'!S419:V1855,4,0)</f>
        <v>45</v>
      </c>
    </row>
    <row r="420" spans="1:4" x14ac:dyDescent="0.25">
      <c r="A420" s="20" t="s">
        <v>2748</v>
      </c>
      <c r="B420" s="20" t="str">
        <f>VLOOKUP(A420,'Base Sin Negativos'!S420:V1856,2,0)</f>
        <v>Tradiciones Andinas</v>
      </c>
      <c r="C420" s="20" t="str">
        <f>VLOOKUP(A420,'Base Sin Negativos'!S420:V1856,3,0)</f>
        <v>SIBARITA - Vinagre Blanco - White Vinegar 16.91oz x 12</v>
      </c>
      <c r="D420" s="20">
        <f>VLOOKUP(A420,'Base Sin Negativos'!S420:V1856,4,0)</f>
        <v>9.48</v>
      </c>
    </row>
    <row r="421" spans="1:4" x14ac:dyDescent="0.25">
      <c r="A421" s="20" t="s">
        <v>2749</v>
      </c>
      <c r="B421" s="20" t="str">
        <f>VLOOKUP(A421,'Base Sin Negativos'!S421:V1857,2,0)</f>
        <v>Tradiciones Andinas</v>
      </c>
      <c r="C421" s="20" t="str">
        <f>VLOOKUP(A421,'Base Sin Negativos'!S421:V1857,3,0)</f>
        <v>SIBARITA - Vinagre Blanco - White Vinegar 16.91oz x 12</v>
      </c>
      <c r="D421" s="20">
        <f>VLOOKUP(A421,'Base Sin Negativos'!S421:V1857,4,0)</f>
        <v>8.48</v>
      </c>
    </row>
    <row r="422" spans="1:4" x14ac:dyDescent="0.25">
      <c r="A422" s="20" t="s">
        <v>2750</v>
      </c>
      <c r="B422" s="20" t="str">
        <f>VLOOKUP(A422,'Base Sin Negativos'!S422:V1858,2,0)</f>
        <v>Tradiciones Andinas</v>
      </c>
      <c r="C422" s="20" t="str">
        <f>VLOOKUP(A422,'Base Sin Negativos'!S422:V1858,3,0)</f>
        <v>SIBARITA - Vinagre Blanco - White Vinegar 16.91oz x 12</v>
      </c>
      <c r="D422" s="20">
        <f>VLOOKUP(A422,'Base Sin Negativos'!S422:V1858,4,0)</f>
        <v>9.07</v>
      </c>
    </row>
    <row r="423" spans="1:4" x14ac:dyDescent="0.25">
      <c r="A423" s="20" t="s">
        <v>2751</v>
      </c>
      <c r="B423" s="20" t="str">
        <f>VLOOKUP(A423,'Base Sin Negativos'!S423:V1859,2,0)</f>
        <v>Tradiciones Andinas</v>
      </c>
      <c r="C423" s="20" t="str">
        <f>VLOOKUP(A423,'Base Sin Negativos'!S423:V1859,3,0)</f>
        <v>SIBARITA - Vinagre Blanco - White Vinegar 1L x 12</v>
      </c>
      <c r="D423" s="20">
        <f>VLOOKUP(A423,'Base Sin Negativos'!S423:V1859,4,0)</f>
        <v>11.88</v>
      </c>
    </row>
    <row r="424" spans="1:4" x14ac:dyDescent="0.25">
      <c r="A424" s="20" t="s">
        <v>2752</v>
      </c>
      <c r="B424" s="20" t="str">
        <f>VLOOKUP(A424,'Base Sin Negativos'!S424:V1860,2,0)</f>
        <v>Tradiciones Andinas</v>
      </c>
      <c r="C424" s="20" t="str">
        <f>VLOOKUP(A424,'Base Sin Negativos'!S424:V1860,3,0)</f>
        <v>SIBARITA - Vinagre Blanco - White Vinegar 1L x 12</v>
      </c>
      <c r="D424" s="20">
        <f>VLOOKUP(A424,'Base Sin Negativos'!S424:V1860,4,0)</f>
        <v>12.7</v>
      </c>
    </row>
    <row r="425" spans="1:4" x14ac:dyDescent="0.25">
      <c r="A425" s="20" t="s">
        <v>2753</v>
      </c>
      <c r="B425" s="20" t="str">
        <f>VLOOKUP(A425,'Base Sin Negativos'!S425:V1861,2,0)</f>
        <v>Tradiciones Andinas</v>
      </c>
      <c r="C425" s="20" t="str">
        <f>VLOOKUP(A425,'Base Sin Negativos'!S425:V1861,3,0)</f>
        <v>SIBARITA - Vinagre Tinto - Red Vinegar 1L x 12</v>
      </c>
      <c r="D425" s="20">
        <f>VLOOKUP(A425,'Base Sin Negativos'!S425:V1861,4,0)</f>
        <v>11.88</v>
      </c>
    </row>
    <row r="426" spans="1:4" x14ac:dyDescent="0.25">
      <c r="A426" s="20" t="s">
        <v>2754</v>
      </c>
      <c r="B426" s="20" t="str">
        <f>VLOOKUP(A426,'Base Sin Negativos'!S426:V1862,2,0)</f>
        <v>Tradiciones Andinas</v>
      </c>
      <c r="C426" s="20" t="str">
        <f>VLOOKUP(A426,'Base Sin Negativos'!S426:V1862,3,0)</f>
        <v>SIBARITA Vinagre Tinto - Red Vinegar 16.91oz  x 12 botella</v>
      </c>
      <c r="D426" s="20">
        <f>VLOOKUP(A426,'Base Sin Negativos'!S426:V1862,4,0)</f>
        <v>9.48</v>
      </c>
    </row>
    <row r="427" spans="1:4" x14ac:dyDescent="0.25">
      <c r="A427" s="20" t="s">
        <v>2755</v>
      </c>
      <c r="B427" s="20" t="str">
        <f>VLOOKUP(A427,'Base Sin Negativos'!S427:V1863,2,0)</f>
        <v>Tradiciones Andinas</v>
      </c>
      <c r="C427" s="20" t="str">
        <f>VLOOKUP(A427,'Base Sin Negativos'!S427:V1863,3,0)</f>
        <v>SIBARITA Vinagre Tinto - Red Vinegar 16.91oz  x 12 botella</v>
      </c>
      <c r="D427" s="20">
        <f>VLOOKUP(A427,'Base Sin Negativos'!S427:V1863,4,0)</f>
        <v>8.48</v>
      </c>
    </row>
    <row r="428" spans="1:4" x14ac:dyDescent="0.25">
      <c r="A428" s="20" t="s">
        <v>2756</v>
      </c>
      <c r="B428" s="20" t="str">
        <f>VLOOKUP(A428,'Base Sin Negativos'!S428:V1864,2,0)</f>
        <v>Tradiciones Andinas</v>
      </c>
      <c r="C428" s="20" t="str">
        <f>VLOOKUP(A428,'Base Sin Negativos'!S428:V1864,3,0)</f>
        <v>SIBARITA Vinagre Tinto - Red Vinegar 16.91oz  x 12 botella</v>
      </c>
      <c r="D428" s="20">
        <f>VLOOKUP(A428,'Base Sin Negativos'!S428:V1864,4,0)</f>
        <v>9.07</v>
      </c>
    </row>
    <row r="429" spans="1:4" x14ac:dyDescent="0.25">
      <c r="A429" s="20" t="s">
        <v>2757</v>
      </c>
      <c r="B429" s="20" t="str">
        <f>VLOOKUP(A429,'Base Sin Negativos'!S429:V1865,2,0)</f>
        <v>Tradiciones Andinas</v>
      </c>
      <c r="C429" s="20" t="str">
        <f>VLOOKUP(A429,'Base Sin Negativos'!S429:V1865,3,0)</f>
        <v>SOL DEL CUZCO Tableta sabor a chocolate con canela y clavo para taza 12 x 90gr</v>
      </c>
      <c r="D429" s="20">
        <f>VLOOKUP(A429,'Base Sin Negativos'!S429:V1865,4,0)</f>
        <v>10.68</v>
      </c>
    </row>
    <row r="430" spans="1:4" x14ac:dyDescent="0.25">
      <c r="A430" s="20" t="s">
        <v>2758</v>
      </c>
      <c r="B430" s="20" t="str">
        <f>VLOOKUP(A430,'Base Sin Negativos'!S430:V1866,2,0)</f>
        <v>Tradiciones Andinas</v>
      </c>
      <c r="C430" s="20" t="str">
        <f>VLOOKUP(A430,'Base Sin Negativos'!S430:V1866,3,0)</f>
        <v>SOL DEL CUZCO Tableta sabor a chocolate para taza 12 x 90gr</v>
      </c>
      <c r="D430" s="20">
        <f>VLOOKUP(A430,'Base Sin Negativos'!S430:V1866,4,0)</f>
        <v>10.68</v>
      </c>
    </row>
    <row r="431" spans="1:4" x14ac:dyDescent="0.25">
      <c r="A431" s="20" t="s">
        <v>2759</v>
      </c>
      <c r="B431" s="20" t="str">
        <f>VLOOKUP(A431,'Base Sin Negativos'!S431:V1867,2,0)</f>
        <v>Tradiciones Andinas</v>
      </c>
      <c r="C431" s="20" t="str">
        <f>VLOOKUP(A431,'Base Sin Negativos'!S431:V1867,3,0)</f>
        <v>T.A  Ajo pasta 7.5oz x 24</v>
      </c>
      <c r="D431" s="20">
        <f>VLOOKUP(A431,'Base Sin Negativos'!S431:V1867,4,0)</f>
        <v>38.159999999999997</v>
      </c>
    </row>
    <row r="432" spans="1:4" x14ac:dyDescent="0.25">
      <c r="A432" s="20" t="s">
        <v>2760</v>
      </c>
      <c r="B432" s="20" t="str">
        <f>VLOOKUP(A432,'Base Sin Negativos'!S432:V1868,2,0)</f>
        <v>Tradiciones Andinas</v>
      </c>
      <c r="C432" s="20" t="str">
        <f>VLOOKUP(A432,'Base Sin Negativos'!S432:V1868,3,0)</f>
        <v>T.A  Ajo pasta 7.5oz x 24</v>
      </c>
      <c r="D432" s="20">
        <f>VLOOKUP(A432,'Base Sin Negativos'!S432:V1868,4,0)</f>
        <v>40.82</v>
      </c>
    </row>
    <row r="433" spans="1:4" x14ac:dyDescent="0.25">
      <c r="A433" s="20" t="s">
        <v>2761</v>
      </c>
      <c r="B433" s="20" t="str">
        <f>VLOOKUP(A433,'Base Sin Negativos'!S433:V1869,2,0)</f>
        <v>Tradiciones Andinas</v>
      </c>
      <c r="C433" s="20" t="str">
        <f>VLOOKUP(A433,'Base Sin Negativos'!S433:V1869,3,0)</f>
        <v>T.A  Choclo Entero / Corn on the Cob 4 x 10 FROZEN</v>
      </c>
      <c r="D433" s="20">
        <f>VLOOKUP(A433,'Base Sin Negativos'!S433:V1869,4,0)</f>
        <v>37</v>
      </c>
    </row>
    <row r="434" spans="1:4" x14ac:dyDescent="0.25">
      <c r="A434" s="20" t="s">
        <v>2762</v>
      </c>
      <c r="B434" s="20" t="str">
        <f>VLOOKUP(A434,'Base Sin Negativos'!S434:V1870,2,0)</f>
        <v>Tradiciones Andinas</v>
      </c>
      <c r="C434" s="20" t="str">
        <f>VLOOKUP(A434,'Base Sin Negativos'!S434:V1870,3,0)</f>
        <v>T.A  Choclo Entero / Corn on the Cob 4 x 10 FROZEN</v>
      </c>
      <c r="D434" s="20">
        <f>VLOOKUP(A434,'Base Sin Negativos'!S434:V1870,4,0)</f>
        <v>35</v>
      </c>
    </row>
    <row r="435" spans="1:4" x14ac:dyDescent="0.25">
      <c r="A435" s="20" t="s">
        <v>2763</v>
      </c>
      <c r="B435" s="20" t="str">
        <f>VLOOKUP(A435,'Base Sin Negativos'!S435:V1871,2,0)</f>
        <v>Tradiciones Andinas</v>
      </c>
      <c r="C435" s="20" t="str">
        <f>VLOOKUP(A435,'Base Sin Negativos'!S435:V1871,3,0)</f>
        <v>T.A  Choclo Entero / Corn on the Cob 4 x 10 FROZEN</v>
      </c>
      <c r="D435" s="20">
        <f>VLOOKUP(A435,'Base Sin Negativos'!S435:V1871,4,0)</f>
        <v>37.450000000000003</v>
      </c>
    </row>
    <row r="436" spans="1:4" x14ac:dyDescent="0.25">
      <c r="A436" s="20" t="s">
        <v>2764</v>
      </c>
      <c r="B436" s="20" t="str">
        <f>VLOOKUP(A436,'Base Sin Negativos'!S436:V1872,2,0)</f>
        <v>Tradiciones Andinas</v>
      </c>
      <c r="C436" s="20" t="str">
        <f>VLOOKUP(A436,'Base Sin Negativos'!S436:V1872,3,0)</f>
        <v>T.A Aceituna Botija /Alfonso Olives con pepa 20oz x 12</v>
      </c>
      <c r="D436" s="20">
        <f>VLOOKUP(A436,'Base Sin Negativos'!S436:V1872,4,0)</f>
        <v>37.08</v>
      </c>
    </row>
    <row r="437" spans="1:4" x14ac:dyDescent="0.25">
      <c r="A437" s="20" t="s">
        <v>2765</v>
      </c>
      <c r="B437" s="20" t="str">
        <f>VLOOKUP(A437,'Base Sin Negativos'!S437:V1873,2,0)</f>
        <v>Tradiciones Andinas</v>
      </c>
      <c r="C437" s="20" t="str">
        <f>VLOOKUP(A437,'Base Sin Negativos'!S437:V1873,3,0)</f>
        <v>T.A Aceituna Botija /Alfonso Olives con pepa 20oz x 12</v>
      </c>
      <c r="D437" s="20">
        <f>VLOOKUP(A437,'Base Sin Negativos'!S437:V1873,4,0)</f>
        <v>39.68</v>
      </c>
    </row>
    <row r="438" spans="1:4" x14ac:dyDescent="0.25">
      <c r="A438" s="20" t="s">
        <v>2766</v>
      </c>
      <c r="B438" s="20" t="str">
        <f>VLOOKUP(A438,'Base Sin Negativos'!S438:V1874,2,0)</f>
        <v>Tradiciones Andinas</v>
      </c>
      <c r="C438" s="20" t="str">
        <f>VLOOKUP(A438,'Base Sin Negativos'!S438:V1874,3,0)</f>
        <v>T.A Aceituna Botija sin Pepa /Pitted Alfonso Olives 20oz x 12</v>
      </c>
      <c r="D438" s="20">
        <f>VLOOKUP(A438,'Base Sin Negativos'!S438:V1874,4,0)</f>
        <v>37.08</v>
      </c>
    </row>
    <row r="439" spans="1:4" x14ac:dyDescent="0.25">
      <c r="A439" s="20" t="s">
        <v>2767</v>
      </c>
      <c r="B439" s="20" t="str">
        <f>VLOOKUP(A439,'Base Sin Negativos'!S439:V1875,2,0)</f>
        <v>Tradiciones Andinas</v>
      </c>
      <c r="C439" s="20" t="str">
        <f>VLOOKUP(A439,'Base Sin Negativos'!S439:V1875,3,0)</f>
        <v>T.A Aceituna Botija sin Pepa /Pitted Alfonso Olives 20oz x 12</v>
      </c>
      <c r="D439" s="20">
        <f>VLOOKUP(A439,'Base Sin Negativos'!S439:V1875,4,0)</f>
        <v>39.68</v>
      </c>
    </row>
    <row r="440" spans="1:4" x14ac:dyDescent="0.25">
      <c r="A440" s="20" t="s">
        <v>2768</v>
      </c>
      <c r="B440" s="20" t="str">
        <f>VLOOKUP(A440,'Base Sin Negativos'!S440:V1876,2,0)</f>
        <v>Tradiciones Andinas</v>
      </c>
      <c r="C440" s="20" t="str">
        <f>VLOOKUP(A440,'Base Sin Negativos'!S440:V1876,3,0)</f>
        <v>T.A Achocha / Caigua 16oz x 12 FROZEN</v>
      </c>
      <c r="D440" s="20">
        <f>VLOOKUP(A440,'Base Sin Negativos'!S440:V1876,4,0)</f>
        <v>27.48</v>
      </c>
    </row>
    <row r="441" spans="1:4" x14ac:dyDescent="0.25">
      <c r="A441" s="20" t="s">
        <v>2769</v>
      </c>
      <c r="B441" s="20" t="str">
        <f>VLOOKUP(A441,'Base Sin Negativos'!S441:V1877,2,0)</f>
        <v>Tradiciones Andinas</v>
      </c>
      <c r="C441" s="20" t="str">
        <f>VLOOKUP(A441,'Base Sin Negativos'!S441:V1877,3,0)</f>
        <v>T.A Achocha / Caigua 16oz x 12 FROZEN</v>
      </c>
      <c r="D441" s="20">
        <f>VLOOKUP(A441,'Base Sin Negativos'!S441:V1877,4,0)</f>
        <v>29.4</v>
      </c>
    </row>
    <row r="442" spans="1:4" x14ac:dyDescent="0.25">
      <c r="A442" s="20" t="s">
        <v>2770</v>
      </c>
      <c r="B442" s="20" t="str">
        <f>VLOOKUP(A442,'Base Sin Negativos'!S442:V1878,2,0)</f>
        <v>Tradiciones Andinas</v>
      </c>
      <c r="C442" s="20" t="str">
        <f>VLOOKUP(A442,'Base Sin Negativos'!S442:V1878,3,0)</f>
        <v>T.A Aji Amarillo Balde 7.5Lb</v>
      </c>
      <c r="D442" s="20">
        <f>VLOOKUP(A442,'Base Sin Negativos'!S442:V1878,4,0)</f>
        <v>52</v>
      </c>
    </row>
    <row r="443" spans="1:4" x14ac:dyDescent="0.25">
      <c r="A443" s="20" t="s">
        <v>2771</v>
      </c>
      <c r="B443" s="20" t="str">
        <f>VLOOKUP(A443,'Base Sin Negativos'!S443:V1879,2,0)</f>
        <v>Tradiciones Andinas</v>
      </c>
      <c r="C443" s="20" t="str">
        <f>VLOOKUP(A443,'Base Sin Negativos'!S443:V1879,3,0)</f>
        <v>T.A Aji Amarillo Balde 7.5Lb</v>
      </c>
      <c r="D443" s="20">
        <f>VLOOKUP(A443,'Base Sin Negativos'!S443:V1879,4,0)</f>
        <v>13.91</v>
      </c>
    </row>
    <row r="444" spans="1:4" x14ac:dyDescent="0.25">
      <c r="A444" s="20" t="s">
        <v>2772</v>
      </c>
      <c r="B444" s="20" t="str">
        <f>VLOOKUP(A444,'Base Sin Negativos'!S444:V1880,2,0)</f>
        <v>Tradiciones Andinas</v>
      </c>
      <c r="C444" s="20" t="str">
        <f>VLOOKUP(A444,'Base Sin Negativos'!S444:V1880,3,0)</f>
        <v>T.A Aji Amarillo con Huacatay 7.5oz x 24</v>
      </c>
      <c r="D444" s="20">
        <f>VLOOKUP(A444,'Base Sin Negativos'!S444:V1880,4,0)</f>
        <v>30</v>
      </c>
    </row>
    <row r="445" spans="1:4" x14ac:dyDescent="0.25">
      <c r="A445" s="20" t="s">
        <v>2773</v>
      </c>
      <c r="B445" s="20" t="str">
        <f>VLOOKUP(A445,'Base Sin Negativos'!S445:V1881,2,0)</f>
        <v>Tradiciones Andinas</v>
      </c>
      <c r="C445" s="20" t="str">
        <f>VLOOKUP(A445,'Base Sin Negativos'!S445:V1881,3,0)</f>
        <v>T.A Aji Amarillo en Lata /Whole Yellow Hot Pepper</v>
      </c>
      <c r="D445" s="20">
        <f>VLOOKUP(A445,'Base Sin Negativos'!S445:V1881,4,0)</f>
        <v>47.76</v>
      </c>
    </row>
    <row r="446" spans="1:4" x14ac:dyDescent="0.25">
      <c r="A446" s="20" t="s">
        <v>2774</v>
      </c>
      <c r="B446" s="20" t="str">
        <f>VLOOKUP(A446,'Base Sin Negativos'!S446:V1882,2,0)</f>
        <v>Tradiciones Andinas</v>
      </c>
      <c r="C446" s="20" t="str">
        <f>VLOOKUP(A446,'Base Sin Negativos'!S446:V1882,3,0)</f>
        <v>T.A Aji Amarillo en Lata /Whole Yellow Hot Pepper</v>
      </c>
      <c r="D446" s="20">
        <f>VLOOKUP(A446,'Base Sin Negativos'!S446:V1882,4,0)</f>
        <v>51.1</v>
      </c>
    </row>
    <row r="447" spans="1:4" x14ac:dyDescent="0.25">
      <c r="A447" s="20" t="s">
        <v>2775</v>
      </c>
      <c r="B447" s="20" t="str">
        <f>VLOOKUP(A447,'Base Sin Negativos'!S447:V1883,2,0)</f>
        <v>Tradiciones Andinas</v>
      </c>
      <c r="C447" s="20" t="str">
        <f>VLOOKUP(A447,'Base Sin Negativos'!S447:V1883,3,0)</f>
        <v>T.A Aji Amarillo FROZEN 16oz x 20</v>
      </c>
      <c r="D447" s="20">
        <f>VLOOKUP(A447,'Base Sin Negativos'!S447:V1883,4,0)</f>
        <v>36</v>
      </c>
    </row>
    <row r="448" spans="1:4" x14ac:dyDescent="0.25">
      <c r="A448" s="20" t="s">
        <v>2776</v>
      </c>
      <c r="B448" s="20" t="str">
        <f>VLOOKUP(A448,'Base Sin Negativos'!S448:V1884,2,0)</f>
        <v>Tradiciones Andinas</v>
      </c>
      <c r="C448" s="20" t="str">
        <f>VLOOKUP(A448,'Base Sin Negativos'!S448:V1884,3,0)</f>
        <v>T.A Aji Amarillo FROZEN 16oz x 20</v>
      </c>
      <c r="D448" s="20">
        <f>VLOOKUP(A448,'Base Sin Negativos'!S448:V1884,4,0)</f>
        <v>38.520000000000003</v>
      </c>
    </row>
    <row r="449" spans="1:4" x14ac:dyDescent="0.25">
      <c r="A449" s="20" t="s">
        <v>2777</v>
      </c>
      <c r="B449" s="20" t="str">
        <f>VLOOKUP(A449,'Base Sin Negativos'!S449:V1885,2,0)</f>
        <v>Tradiciones Andinas</v>
      </c>
      <c r="C449" s="20" t="str">
        <f>VLOOKUP(A449,'Base Sin Negativos'!S449:V1885,3,0)</f>
        <v>T.A Aji Amarillo Pasta 10.5oz X 12</v>
      </c>
      <c r="D449" s="20">
        <f>VLOOKUP(A449,'Base Sin Negativos'!S449:V1885,4,0)</f>
        <v>19.8</v>
      </c>
    </row>
    <row r="450" spans="1:4" x14ac:dyDescent="0.25">
      <c r="A450" s="20" t="s">
        <v>2778</v>
      </c>
      <c r="B450" s="20" t="str">
        <f>VLOOKUP(A450,'Base Sin Negativos'!S450:V1886,2,0)</f>
        <v>Tradiciones Andinas</v>
      </c>
      <c r="C450" s="20" t="str">
        <f>VLOOKUP(A450,'Base Sin Negativos'!S450:V1886,3,0)</f>
        <v>T.A Aji Amarillo Pasta 15oz X 12</v>
      </c>
      <c r="D450" s="20">
        <f>VLOOKUP(A450,'Base Sin Negativos'!S450:V1886,4,0)</f>
        <v>23.88</v>
      </c>
    </row>
    <row r="451" spans="1:4" x14ac:dyDescent="0.25">
      <c r="A451" s="20" t="s">
        <v>2779</v>
      </c>
      <c r="B451" s="20" t="str">
        <f>VLOOKUP(A451,'Base Sin Negativos'!S451:V1887,2,0)</f>
        <v>Tradiciones Andinas</v>
      </c>
      <c r="C451" s="20" t="str">
        <f>VLOOKUP(A451,'Base Sin Negativos'!S451:V1887,3,0)</f>
        <v>T.A Aji Amarillo Pasta 15oz X 12</v>
      </c>
      <c r="D451" s="20">
        <f>VLOOKUP(A451,'Base Sin Negativos'!S451:V1887,4,0)</f>
        <v>25.55</v>
      </c>
    </row>
    <row r="452" spans="1:4" x14ac:dyDescent="0.25">
      <c r="A452" s="20" t="s">
        <v>2780</v>
      </c>
      <c r="B452" s="20" t="str">
        <f>VLOOKUP(A452,'Base Sin Negativos'!S452:V1888,2,0)</f>
        <v>Tradiciones Andinas</v>
      </c>
      <c r="C452" s="20" t="str">
        <f>VLOOKUP(A452,'Base Sin Negativos'!S452:V1888,3,0)</f>
        <v>T.A Aji Amarillo Pasta 15oz X 12</v>
      </c>
      <c r="D452" s="20">
        <f>VLOOKUP(A452,'Base Sin Negativos'!S452:V1888,4,0)</f>
        <v>25.54</v>
      </c>
    </row>
    <row r="453" spans="1:4" x14ac:dyDescent="0.25">
      <c r="A453" s="20" t="s">
        <v>2781</v>
      </c>
      <c r="B453" s="20" t="str">
        <f>VLOOKUP(A453,'Base Sin Negativos'!S453:V1889,2,0)</f>
        <v>Tradiciones Andinas</v>
      </c>
      <c r="C453" s="20" t="str">
        <f>VLOOKUP(A453,'Base Sin Negativos'!S453:V1889,3,0)</f>
        <v>T.A Aji Amarillo Pasta 7.5oz x 24</v>
      </c>
      <c r="D453" s="20">
        <f>VLOOKUP(A453,'Base Sin Negativos'!S453:V1889,4,0)</f>
        <v>28.8</v>
      </c>
    </row>
    <row r="454" spans="1:4" x14ac:dyDescent="0.25">
      <c r="A454" s="20" t="s">
        <v>2782</v>
      </c>
      <c r="B454" s="20" t="str">
        <f>VLOOKUP(A454,'Base Sin Negativos'!S454:V1890,2,0)</f>
        <v>Tradiciones Andinas</v>
      </c>
      <c r="C454" s="20" t="str">
        <f>VLOOKUP(A454,'Base Sin Negativos'!S454:V1890,3,0)</f>
        <v>T.A Aji Amarillo Pasta 7.5oz x 24</v>
      </c>
      <c r="D454" s="20">
        <f>VLOOKUP(A454,'Base Sin Negativos'!S454:V1890,4,0)</f>
        <v>30.82</v>
      </c>
    </row>
    <row r="455" spans="1:4" x14ac:dyDescent="0.25">
      <c r="A455" s="20" t="s">
        <v>2783</v>
      </c>
      <c r="B455" s="20" t="str">
        <f>VLOOKUP(A455,'Base Sin Negativos'!S455:V1891,2,0)</f>
        <v>Tradiciones Andinas</v>
      </c>
      <c r="C455" s="20" t="str">
        <f>VLOOKUP(A455,'Base Sin Negativos'!S455:V1891,3,0)</f>
        <v>T.A Aji Amarillo Salmuera /Whole Yellow Hot Pepper 12oz x 20</v>
      </c>
      <c r="D455" s="20">
        <f>VLOOKUP(A455,'Base Sin Negativos'!S455:V1891,4,0)</f>
        <v>32</v>
      </c>
    </row>
    <row r="456" spans="1:4" x14ac:dyDescent="0.25">
      <c r="A456" s="20" t="s">
        <v>2784</v>
      </c>
      <c r="B456" s="20" t="str">
        <f>VLOOKUP(A456,'Base Sin Negativos'!S456:V1892,2,0)</f>
        <v>Tradiciones Andinas</v>
      </c>
      <c r="C456" s="20" t="str">
        <f>VLOOKUP(A456,'Base Sin Negativos'!S456:V1892,3,0)</f>
        <v>T.A Aji Amarillo sin Pepas 2Lb x 8</v>
      </c>
      <c r="D456" s="20">
        <f>VLOOKUP(A456,'Base Sin Negativos'!S456:V1892,4,0)</f>
        <v>42</v>
      </c>
    </row>
    <row r="457" spans="1:4" x14ac:dyDescent="0.25">
      <c r="A457" s="20" t="s">
        <v>2785</v>
      </c>
      <c r="B457" s="20" t="str">
        <f>VLOOKUP(A457,'Base Sin Negativos'!S457:V1893,2,0)</f>
        <v>Tradiciones Andinas</v>
      </c>
      <c r="C457" s="20" t="str">
        <f>VLOOKUP(A457,'Base Sin Negativos'!S457:V1893,3,0)</f>
        <v>T.A Aji Amarillo sin Picante 15oz x 12</v>
      </c>
      <c r="D457" s="20">
        <f>VLOOKUP(A457,'Base Sin Negativos'!S457:V1893,4,0)</f>
        <v>31.08</v>
      </c>
    </row>
    <row r="458" spans="1:4" x14ac:dyDescent="0.25">
      <c r="A458" s="20" t="s">
        <v>2786</v>
      </c>
      <c r="B458" s="20" t="str">
        <f>VLOOKUP(A458,'Base Sin Negativos'!S458:V1894,2,0)</f>
        <v>Tradiciones Andinas</v>
      </c>
      <c r="C458" s="20" t="str">
        <f>VLOOKUP(A458,'Base Sin Negativos'!S458:V1894,3,0)</f>
        <v>T.A Aji Amarillo sin Picante 7.5oz x 24</v>
      </c>
      <c r="D458" s="20">
        <f>VLOOKUP(A458,'Base Sin Negativos'!S458:V1894,4,0)</f>
        <v>38.159999999999997</v>
      </c>
    </row>
    <row r="459" spans="1:4" x14ac:dyDescent="0.25">
      <c r="A459" s="20" t="s">
        <v>2787</v>
      </c>
      <c r="B459" s="20" t="str">
        <f>VLOOKUP(A459,'Base Sin Negativos'!S459:V1895,2,0)</f>
        <v>Tradiciones Andinas</v>
      </c>
      <c r="C459" s="20" t="str">
        <f>VLOOKUP(A459,'Base Sin Negativos'!S459:V1895,3,0)</f>
        <v>T.A Aji Ambateno / Whole Pepper FROZEN 10oz x 16</v>
      </c>
      <c r="D459" s="20">
        <f>VLOOKUP(A459,'Base Sin Negativos'!S459:V1895,4,0)</f>
        <v>27.04</v>
      </c>
    </row>
    <row r="460" spans="1:4" x14ac:dyDescent="0.25">
      <c r="A460" s="20" t="s">
        <v>2788</v>
      </c>
      <c r="B460" s="20" t="str">
        <f>VLOOKUP(A460,'Base Sin Negativos'!S460:V1896,2,0)</f>
        <v>Tradiciones Andinas</v>
      </c>
      <c r="C460" s="20" t="str">
        <f>VLOOKUP(A460,'Base Sin Negativos'!S460:V1896,3,0)</f>
        <v>T.A Aji Limo / Limo Pepper16oz x 18</v>
      </c>
      <c r="D460" s="20">
        <f>VLOOKUP(A460,'Base Sin Negativos'!S460:V1896,4,0)</f>
        <v>44.82</v>
      </c>
    </row>
    <row r="461" spans="1:4" x14ac:dyDescent="0.25">
      <c r="A461" s="20" t="s">
        <v>2789</v>
      </c>
      <c r="B461" s="20" t="str">
        <f>VLOOKUP(A461,'Base Sin Negativos'!S461:V1897,2,0)</f>
        <v>Tradiciones Andinas</v>
      </c>
      <c r="C461" s="20" t="str">
        <f>VLOOKUP(A461,'Base Sin Negativos'!S461:V1897,3,0)</f>
        <v>T.A Aji Limo / Limo Pepper16oz x 18</v>
      </c>
      <c r="D461" s="20">
        <f>VLOOKUP(A461,'Base Sin Negativos'!S461:V1897,4,0)</f>
        <v>32.4</v>
      </c>
    </row>
    <row r="462" spans="1:4" x14ac:dyDescent="0.25">
      <c r="A462" s="20" t="s">
        <v>2790</v>
      </c>
      <c r="B462" s="20" t="str">
        <f>VLOOKUP(A462,'Base Sin Negativos'!S462:V1898,2,0)</f>
        <v>Tradiciones Andinas</v>
      </c>
      <c r="C462" s="20" t="str">
        <f>VLOOKUP(A462,'Base Sin Negativos'!S462:V1898,3,0)</f>
        <v>T.A Aji Limo / Limo Pepper16oz x 18</v>
      </c>
      <c r="D462" s="20">
        <f>VLOOKUP(A462,'Base Sin Negativos'!S462:V1898,4,0)</f>
        <v>34.659999999999997</v>
      </c>
    </row>
    <row r="463" spans="1:4" x14ac:dyDescent="0.25">
      <c r="A463" s="20" t="s">
        <v>2791</v>
      </c>
      <c r="B463" s="20" t="str">
        <f>VLOOKUP(A463,'Base Sin Negativos'!S463:V1899,2,0)</f>
        <v>Tradiciones Andinas</v>
      </c>
      <c r="C463" s="20" t="str">
        <f>VLOOKUP(A463,'Base Sin Negativos'!S463:V1899,3,0)</f>
        <v>T.A Aji Mirasol Pasta 7.5oz x 24</v>
      </c>
      <c r="D463" s="20">
        <f>VLOOKUP(A463,'Base Sin Negativos'!S463:V1899,4,0)</f>
        <v>31.2</v>
      </c>
    </row>
    <row r="464" spans="1:4" x14ac:dyDescent="0.25">
      <c r="A464" s="20" t="s">
        <v>2792</v>
      </c>
      <c r="B464" s="20" t="str">
        <f>VLOOKUP(A464,'Base Sin Negativos'!S464:V1900,2,0)</f>
        <v>Tradiciones Andinas</v>
      </c>
      <c r="C464" s="20" t="str">
        <f>VLOOKUP(A464,'Base Sin Negativos'!S464:V1900,3,0)</f>
        <v>T.A Aji Mirasol Pasta 7.5oz x 24</v>
      </c>
      <c r="D464" s="20">
        <f>VLOOKUP(A464,'Base Sin Negativos'!S464:V1900,4,0)</f>
        <v>33.380000000000003</v>
      </c>
    </row>
    <row r="465" spans="1:4" x14ac:dyDescent="0.25">
      <c r="A465" s="20" t="s">
        <v>2793</v>
      </c>
      <c r="B465" s="20" t="str">
        <f>VLOOKUP(A465,'Base Sin Negativos'!S465:V1901,2,0)</f>
        <v>Tradiciones Andinas</v>
      </c>
      <c r="C465" s="20" t="str">
        <f>VLOOKUP(A465,'Base Sin Negativos'!S465:V1901,3,0)</f>
        <v>T.A Aji Mirasol Seco / Dried Yellow Pepper 2oz x 24</v>
      </c>
      <c r="D465" s="20">
        <f>VLOOKUP(A465,'Base Sin Negativos'!S465:V1901,4,0)</f>
        <v>28.56</v>
      </c>
    </row>
    <row r="466" spans="1:4" x14ac:dyDescent="0.25">
      <c r="A466" s="20" t="s">
        <v>2794</v>
      </c>
      <c r="B466" s="20" t="str">
        <f>VLOOKUP(A466,'Base Sin Negativos'!S466:V1902,2,0)</f>
        <v>Tradiciones Andinas</v>
      </c>
      <c r="C466" s="20" t="str">
        <f>VLOOKUP(A466,'Base Sin Negativos'!S466:V1902,3,0)</f>
        <v>T.A Aji Panca en Pasta "Poco Picante" 7.5oz x 24</v>
      </c>
      <c r="D466" s="20">
        <f>VLOOKUP(A466,'Base Sin Negativos'!S466:V1902,4,0)</f>
        <v>31.2</v>
      </c>
    </row>
    <row r="467" spans="1:4" x14ac:dyDescent="0.25">
      <c r="A467" s="20" t="s">
        <v>2795</v>
      </c>
      <c r="B467" s="20" t="str">
        <f>VLOOKUP(A467,'Base Sin Negativos'!S467:V1903,2,0)</f>
        <v>Tradiciones Andinas</v>
      </c>
      <c r="C467" s="20" t="str">
        <f>VLOOKUP(A467,'Base Sin Negativos'!S467:V1903,3,0)</f>
        <v>T.A Aji Panca Pasta "Poco Picante" 10.5oz x 12</v>
      </c>
      <c r="D467" s="20">
        <f>VLOOKUP(A467,'Base Sin Negativos'!S467:V1903,4,0)</f>
        <v>19.2</v>
      </c>
    </row>
    <row r="468" spans="1:4" x14ac:dyDescent="0.25">
      <c r="A468" s="20" t="s">
        <v>2796</v>
      </c>
      <c r="B468" s="20" t="str">
        <f>VLOOKUP(A468,'Base Sin Negativos'!S468:V1904,2,0)</f>
        <v>Tradiciones Andinas</v>
      </c>
      <c r="C468" s="20" t="str">
        <f>VLOOKUP(A468,'Base Sin Negativos'!S468:V1904,3,0)</f>
        <v>T.A Aji Panca Pasta "Poco Picante" 15oz x 12</v>
      </c>
      <c r="D468" s="20">
        <f>VLOOKUP(A468,'Base Sin Negativos'!S468:V1904,4,0)</f>
        <v>25.08</v>
      </c>
    </row>
    <row r="469" spans="1:4" x14ac:dyDescent="0.25">
      <c r="A469" s="20" t="s">
        <v>2797</v>
      </c>
      <c r="B469" s="20" t="str">
        <f>VLOOKUP(A469,'Base Sin Negativos'!S469:V1905,2,0)</f>
        <v>Tradiciones Andinas</v>
      </c>
      <c r="C469" s="20" t="str">
        <f>VLOOKUP(A469,'Base Sin Negativos'!S469:V1905,3,0)</f>
        <v>T.A Aji Panca Pasta "Poco Picante" 15oz x 12</v>
      </c>
      <c r="D469" s="20">
        <f>VLOOKUP(A469,'Base Sin Negativos'!S469:V1905,4,0)</f>
        <v>26.84</v>
      </c>
    </row>
    <row r="470" spans="1:4" x14ac:dyDescent="0.25">
      <c r="A470" s="20" t="s">
        <v>2798</v>
      </c>
      <c r="B470" s="20" t="str">
        <f>VLOOKUP(A470,'Base Sin Negativos'!S470:V1906,2,0)</f>
        <v>Tradiciones Andinas</v>
      </c>
      <c r="C470" s="20" t="str">
        <f>VLOOKUP(A470,'Base Sin Negativos'!S470:V1906,3,0)</f>
        <v>T.A Aji Panca Pasta /Panca Pepper Paste 15oz x 12</v>
      </c>
      <c r="D470" s="20">
        <f>VLOOKUP(A470,'Base Sin Negativos'!S470:V1906,4,0)</f>
        <v>23.88</v>
      </c>
    </row>
    <row r="471" spans="1:4" x14ac:dyDescent="0.25">
      <c r="A471" s="20" t="s">
        <v>2799</v>
      </c>
      <c r="B471" s="20" t="str">
        <f>VLOOKUP(A471,'Base Sin Negativos'!S471:V1907,2,0)</f>
        <v>Tradiciones Andinas</v>
      </c>
      <c r="C471" s="20" t="str">
        <f>VLOOKUP(A471,'Base Sin Negativos'!S471:V1907,3,0)</f>
        <v>T.A Aji Panca Pasta /Panca Pepper Paste 15oz x 12</v>
      </c>
      <c r="D471" s="20">
        <f>VLOOKUP(A471,'Base Sin Negativos'!S471:V1907,4,0)</f>
        <v>25.54</v>
      </c>
    </row>
    <row r="472" spans="1:4" x14ac:dyDescent="0.25">
      <c r="A472" s="20" t="s">
        <v>2800</v>
      </c>
      <c r="B472" s="20" t="str">
        <f>VLOOKUP(A472,'Base Sin Negativos'!S472:V1908,2,0)</f>
        <v>Tradiciones Andinas</v>
      </c>
      <c r="C472" s="20" t="str">
        <f>VLOOKUP(A472,'Base Sin Negativos'!S472:V1908,3,0)</f>
        <v>T.A Aji Panca Pasta 10.5oz x 12</v>
      </c>
      <c r="D472" s="20">
        <f>VLOOKUP(A472,'Base Sin Negativos'!S472:V1908,4,0)</f>
        <v>19.8</v>
      </c>
    </row>
    <row r="473" spans="1:4" x14ac:dyDescent="0.25">
      <c r="A473" s="20" t="s">
        <v>2801</v>
      </c>
      <c r="B473" s="20" t="str">
        <f>VLOOKUP(A473,'Base Sin Negativos'!S473:V1909,2,0)</f>
        <v>Tradiciones Andinas</v>
      </c>
      <c r="C473" s="20" t="str">
        <f>VLOOKUP(A473,'Base Sin Negativos'!S473:V1909,3,0)</f>
        <v>T.A Aji Panca Pasta 7.5oz x 24</v>
      </c>
      <c r="D473" s="20">
        <f>VLOOKUP(A473,'Base Sin Negativos'!S473:V1909,4,0)</f>
        <v>28.8</v>
      </c>
    </row>
    <row r="474" spans="1:4" x14ac:dyDescent="0.25">
      <c r="A474" s="20" t="s">
        <v>2802</v>
      </c>
      <c r="B474" s="20" t="str">
        <f>VLOOKUP(A474,'Base Sin Negativos'!S474:V1910,2,0)</f>
        <v>Tradiciones Andinas</v>
      </c>
      <c r="C474" s="20" t="str">
        <f>VLOOKUP(A474,'Base Sin Negativos'!S474:V1910,3,0)</f>
        <v>T.A Aji Panca Pasta 7.5oz x 24</v>
      </c>
      <c r="D474" s="20">
        <f>VLOOKUP(A474,'Base Sin Negativos'!S474:V1910,4,0)</f>
        <v>30.82</v>
      </c>
    </row>
    <row r="475" spans="1:4" x14ac:dyDescent="0.25">
      <c r="A475" s="20" t="s">
        <v>2803</v>
      </c>
      <c r="B475" s="20" t="str">
        <f>VLOOKUP(A475,'Base Sin Negativos'!S475:V1911,2,0)</f>
        <v>Tradiciones Andinas</v>
      </c>
      <c r="C475" s="20" t="str">
        <f>VLOOKUP(A475,'Base Sin Negativos'!S475:V1911,3,0)</f>
        <v>T.A Aji Panca Seco / Dried Panca Pepper</v>
      </c>
      <c r="D475" s="20">
        <f>VLOOKUP(A475,'Base Sin Negativos'!S475:V1911,4,0)</f>
        <v>28.56</v>
      </c>
    </row>
    <row r="476" spans="1:4" x14ac:dyDescent="0.25">
      <c r="A476" s="20" t="s">
        <v>2804</v>
      </c>
      <c r="B476" s="20" t="str">
        <f>VLOOKUP(A476,'Base Sin Negativos'!S476:V1912,2,0)</f>
        <v>Tradiciones Andinas</v>
      </c>
      <c r="C476" s="20" t="str">
        <f>VLOOKUP(A476,'Base Sin Negativos'!S476:V1912,3,0)</f>
        <v>T.A Albahaca Pasta /Basil Paste 7.5oz x 24</v>
      </c>
      <c r="D476" s="20">
        <f>VLOOKUP(A476,'Base Sin Negativos'!S476:V1912,4,0)</f>
        <v>30</v>
      </c>
    </row>
    <row r="477" spans="1:4" x14ac:dyDescent="0.25">
      <c r="A477" s="20" t="s">
        <v>2805</v>
      </c>
      <c r="B477" s="20" t="str">
        <f>VLOOKUP(A477,'Base Sin Negativos'!S477:V1913,2,0)</f>
        <v>Tradiciones Andinas</v>
      </c>
      <c r="C477" s="20" t="str">
        <f>VLOOKUP(A477,'Base Sin Negativos'!S477:V1913,3,0)</f>
        <v>T.A Albahaca Pasta /Basil Paste 7.5oz x 24</v>
      </c>
      <c r="D477" s="20">
        <f>VLOOKUP(A477,'Base Sin Negativos'!S477:V1913,4,0)</f>
        <v>32.1</v>
      </c>
    </row>
    <row r="478" spans="1:4" x14ac:dyDescent="0.25">
      <c r="A478" s="20" t="s">
        <v>2806</v>
      </c>
      <c r="B478" s="20" t="str">
        <f>VLOOKUP(A478,'Base Sin Negativos'!S478:V1914,2,0)</f>
        <v>Tradiciones Andinas</v>
      </c>
      <c r="C478" s="20" t="str">
        <f>VLOOKUP(A478,'Base Sin Negativos'!S478:V1914,3,0)</f>
        <v>T.A Anis FILTRANTE 20saq x 30</v>
      </c>
      <c r="D478" s="20">
        <f>VLOOKUP(A478,'Base Sin Negativos'!S478:V1914,4,0)</f>
        <v>25.5</v>
      </c>
    </row>
    <row r="479" spans="1:4" x14ac:dyDescent="0.25">
      <c r="A479" s="20" t="s">
        <v>2807</v>
      </c>
      <c r="B479" s="20" t="str">
        <f>VLOOKUP(A479,'Base Sin Negativos'!S479:V1915,2,0)</f>
        <v>Tradiciones Andinas</v>
      </c>
      <c r="C479" s="20" t="str">
        <f>VLOOKUP(A479,'Base Sin Negativos'!S479:V1915,3,0)</f>
        <v>T.A Anis FILTRANTE 20saq x 30</v>
      </c>
      <c r="D479" s="20">
        <f>VLOOKUP(A479,'Base Sin Negativos'!S479:V1915,4,0)</f>
        <v>27.29</v>
      </c>
    </row>
    <row r="480" spans="1:4" x14ac:dyDescent="0.25">
      <c r="A480" s="20" t="s">
        <v>2808</v>
      </c>
      <c r="B480" s="20" t="str">
        <f>VLOOKUP(A480,'Base Sin Negativos'!S480:V1916,2,0)</f>
        <v>Tradiciones Andinas</v>
      </c>
      <c r="C480" s="20" t="str">
        <f>VLOOKUP(A480,'Base Sin Negativos'!S480:V1916,3,0)</f>
        <v>T.A Arracacha / Yellow Cassava FROZEN 16oz x 16</v>
      </c>
      <c r="D480" s="20">
        <f>VLOOKUP(A480,'Base Sin Negativos'!S480:V1916,4,0)</f>
        <v>37.5</v>
      </c>
    </row>
    <row r="481" spans="1:4" x14ac:dyDescent="0.25">
      <c r="A481" s="20" t="s">
        <v>2809</v>
      </c>
      <c r="B481" s="20" t="str">
        <f>VLOOKUP(A481,'Base Sin Negativos'!S481:V1917,2,0)</f>
        <v>Tradiciones Andinas</v>
      </c>
      <c r="C481" s="20" t="str">
        <f>VLOOKUP(A481,'Base Sin Negativos'!S481:V1917,3,0)</f>
        <v>T.A Arroz de Cebada/ Barley Rice 15oz x 24</v>
      </c>
      <c r="D481" s="20">
        <f>VLOOKUP(A481,'Base Sin Negativos'!S481:V1917,4,0)</f>
        <v>31.2</v>
      </c>
    </row>
    <row r="482" spans="1:4" x14ac:dyDescent="0.25">
      <c r="A482" s="20" t="s">
        <v>2810</v>
      </c>
      <c r="B482" s="20" t="str">
        <f>VLOOKUP(A482,'Base Sin Negativos'!S482:V1918,2,0)</f>
        <v>Tradiciones Andinas</v>
      </c>
      <c r="C482" s="20" t="str">
        <f>VLOOKUP(A482,'Base Sin Negativos'!S482:V1918,3,0)</f>
        <v>T.A Brevas en Almibar 28oz x 12</v>
      </c>
      <c r="D482" s="20">
        <f>VLOOKUP(A482,'Base Sin Negativos'!S482:V1918,4,0)</f>
        <v>34.68</v>
      </c>
    </row>
    <row r="483" spans="1:4" x14ac:dyDescent="0.25">
      <c r="A483" s="20" t="s">
        <v>2811</v>
      </c>
      <c r="B483" s="20" t="str">
        <f>VLOOKUP(A483,'Base Sin Negativos'!S483:V1919,2,0)</f>
        <v>Tradiciones Andinas</v>
      </c>
      <c r="C483" s="20" t="str">
        <f>VLOOKUP(A483,'Base Sin Negativos'!S483:V1919,3,0)</f>
        <v>T.A Cancha Corn / Maiz Cancha 15oz x 24</v>
      </c>
      <c r="D483" s="20">
        <f>VLOOKUP(A483,'Base Sin Negativos'!S483:V1919,4,0)</f>
        <v>42.96</v>
      </c>
    </row>
    <row r="484" spans="1:4" x14ac:dyDescent="0.25">
      <c r="A484" s="20" t="s">
        <v>2812</v>
      </c>
      <c r="B484" s="20" t="str">
        <f>VLOOKUP(A484,'Base Sin Negativos'!S484:V1920,2,0)</f>
        <v>Tradiciones Andinas</v>
      </c>
      <c r="C484" s="20" t="str">
        <f>VLOOKUP(A484,'Base Sin Negativos'!S484:V1920,3,0)</f>
        <v>T.A Cancha Corn / Maiz Cancha 15oz x 24</v>
      </c>
      <c r="D484" s="20">
        <f>VLOOKUP(A484,'Base Sin Negativos'!S484:V1920,4,0)</f>
        <v>45.96</v>
      </c>
    </row>
    <row r="485" spans="1:4" x14ac:dyDescent="0.25">
      <c r="A485" s="20" t="s">
        <v>2813</v>
      </c>
      <c r="B485" s="20" t="str">
        <f>VLOOKUP(A485,'Base Sin Negativos'!S485:V1921,2,0)</f>
        <v>Tradiciones Andinas</v>
      </c>
      <c r="C485" s="20" t="str">
        <f>VLOOKUP(A485,'Base Sin Negativos'!S485:V1921,3,0)</f>
        <v>T.A Cebada Tostada /Toasted Barley 15oz x 18</v>
      </c>
      <c r="D485" s="20">
        <f>VLOOKUP(A485,'Base Sin Negativos'!S485:V1921,4,0)</f>
        <v>19.8</v>
      </c>
    </row>
    <row r="486" spans="1:4" x14ac:dyDescent="0.25">
      <c r="A486" s="20" t="s">
        <v>2814</v>
      </c>
      <c r="B486" s="20" t="str">
        <f>VLOOKUP(A486,'Base Sin Negativos'!S486:V1922,2,0)</f>
        <v>Tradiciones Andinas</v>
      </c>
      <c r="C486" s="20" t="str">
        <f>VLOOKUP(A486,'Base Sin Negativos'!S486:V1922,3,0)</f>
        <v>T.A Cebada Tostada /Toasted Barley 15oz x 18</v>
      </c>
      <c r="D486" s="20">
        <f>VLOOKUP(A486,'Base Sin Negativos'!S486:V1922,4,0)</f>
        <v>21.18</v>
      </c>
    </row>
    <row r="487" spans="1:4" x14ac:dyDescent="0.25">
      <c r="A487" s="20" t="s">
        <v>2815</v>
      </c>
      <c r="B487" s="20" t="str">
        <f>VLOOKUP(A487,'Base Sin Negativos'!S487:V1923,2,0)</f>
        <v>Tradiciones Andinas</v>
      </c>
      <c r="C487" s="20" t="str">
        <f>VLOOKUP(A487,'Base Sin Negativos'!S487:V1923,3,0)</f>
        <v>T.A Chia /Chia Seeds 12oz x 16</v>
      </c>
      <c r="D487" s="20">
        <f>VLOOKUP(A487,'Base Sin Negativos'!S487:V1923,4,0)</f>
        <v>28.64</v>
      </c>
    </row>
    <row r="488" spans="1:4" x14ac:dyDescent="0.25">
      <c r="A488" s="20" t="s">
        <v>2816</v>
      </c>
      <c r="B488" s="20" t="str">
        <f>VLOOKUP(A488,'Base Sin Negativos'!S488:V1924,2,0)</f>
        <v>Tradiciones Andinas</v>
      </c>
      <c r="C488" s="20" t="str">
        <f>VLOOKUP(A488,'Base Sin Negativos'!S488:V1924,3,0)</f>
        <v>T.A Chia /Chia Seeds 12oz x 16</v>
      </c>
      <c r="D488" s="20">
        <f>VLOOKUP(A488,'Base Sin Negativos'!S488:V1924,4,0)</f>
        <v>30.64</v>
      </c>
    </row>
    <row r="489" spans="1:4" x14ac:dyDescent="0.25">
      <c r="A489" s="20" t="s">
        <v>2817</v>
      </c>
      <c r="B489" s="20" t="str">
        <f>VLOOKUP(A489,'Base Sin Negativos'!S489:V1925,2,0)</f>
        <v>Tradiciones Andinas</v>
      </c>
      <c r="C489" s="20" t="str">
        <f>VLOOKUP(A489,'Base Sin Negativos'!S489:V1925,3,0)</f>
        <v>T.A Chicha de Jora /Jora Seasoning</v>
      </c>
      <c r="D489" s="20">
        <f>VLOOKUP(A489,'Base Sin Negativos'!S489:V1925,4,0)</f>
        <v>35.880000000000003</v>
      </c>
    </row>
    <row r="490" spans="1:4" x14ac:dyDescent="0.25">
      <c r="A490" s="20" t="s">
        <v>2818</v>
      </c>
      <c r="B490" s="20" t="str">
        <f>VLOOKUP(A490,'Base Sin Negativos'!S490:V1926,2,0)</f>
        <v>Tradiciones Andinas</v>
      </c>
      <c r="C490" s="20" t="str">
        <f>VLOOKUP(A490,'Base Sin Negativos'!S490:V1926,3,0)</f>
        <v>T.A Chicha de Jora /Jora Seasoning</v>
      </c>
      <c r="D490" s="20">
        <f>VLOOKUP(A490,'Base Sin Negativos'!S490:V1926,4,0)</f>
        <v>38.39</v>
      </c>
    </row>
    <row r="491" spans="1:4" x14ac:dyDescent="0.25">
      <c r="A491" s="20" t="s">
        <v>2819</v>
      </c>
      <c r="B491" s="20" t="str">
        <f>VLOOKUP(A491,'Base Sin Negativos'!S491:V1927,2,0)</f>
        <v>Tradiciones Andinas</v>
      </c>
      <c r="C491" s="20" t="str">
        <f>VLOOKUP(A491,'Base Sin Negativos'!S491:V1927,3,0)</f>
        <v>T.A Chicha de Jora /Jora Seasoning</v>
      </c>
      <c r="D491" s="20">
        <f>VLOOKUP(A491,'Base Sin Negativos'!S491:V1927,4,0)</f>
        <v>38.380000000000003</v>
      </c>
    </row>
    <row r="492" spans="1:4" x14ac:dyDescent="0.25">
      <c r="A492" s="20" t="s">
        <v>2820</v>
      </c>
      <c r="B492" s="20" t="str">
        <f>VLOOKUP(A492,'Base Sin Negativos'!S492:V1928,2,0)</f>
        <v>Tradiciones Andinas</v>
      </c>
      <c r="C492" s="20" t="str">
        <f>VLOOKUP(A492,'Base Sin Negativos'!S492:V1928,3,0)</f>
        <v>T.A Chicha Morada bebida / Purple Corn Drink 1L x 12</v>
      </c>
      <c r="D492" s="20">
        <f>VLOOKUP(A492,'Base Sin Negativos'!S492:V1928,4,0)</f>
        <v>18.600000000000001</v>
      </c>
    </row>
    <row r="493" spans="1:4" x14ac:dyDescent="0.25">
      <c r="A493" s="20" t="s">
        <v>2821</v>
      </c>
      <c r="B493" s="20" t="str">
        <f>VLOOKUP(A493,'Base Sin Negativos'!S493:V1929,2,0)</f>
        <v>Tradiciones Andinas</v>
      </c>
      <c r="C493" s="20" t="str">
        <f>VLOOKUP(A493,'Base Sin Negativos'!S493:V1929,3,0)</f>
        <v>T.A Chicha Morada bebida / Purple Corn Drink 1L x 12</v>
      </c>
      <c r="D493" s="20">
        <f>VLOOKUP(A493,'Base Sin Negativos'!S493:V1929,4,0)</f>
        <v>19.899999999999999</v>
      </c>
    </row>
    <row r="494" spans="1:4" x14ac:dyDescent="0.25">
      <c r="A494" s="20" t="s">
        <v>2822</v>
      </c>
      <c r="B494" s="20" t="str">
        <f>VLOOKUP(A494,'Base Sin Negativos'!S494:V1930,2,0)</f>
        <v>Tradiciones Andinas</v>
      </c>
      <c r="C494" s="20" t="str">
        <f>VLOOKUP(A494,'Base Sin Negativos'!S494:V1930,3,0)</f>
        <v>T.A Chicha Morada bebida /Purple Corn Drink botella16oz x 12</v>
      </c>
      <c r="D494" s="20">
        <f>VLOOKUP(A494,'Base Sin Negativos'!S494:V1930,4,0)</f>
        <v>13.08</v>
      </c>
    </row>
    <row r="495" spans="1:4" x14ac:dyDescent="0.25">
      <c r="A495" s="20" t="s">
        <v>2823</v>
      </c>
      <c r="B495" s="20" t="str">
        <f>VLOOKUP(A495,'Base Sin Negativos'!S495:V1931,2,0)</f>
        <v>Tradiciones Andinas</v>
      </c>
      <c r="C495" s="20" t="str">
        <f>VLOOKUP(A495,'Base Sin Negativos'!S495:V1931,3,0)</f>
        <v>T.A Chicha Morada bebida /Purple Corn Drink botella16oz x 12</v>
      </c>
      <c r="D495" s="20">
        <f>VLOOKUP(A495,'Base Sin Negativos'!S495:V1931,4,0)</f>
        <v>14</v>
      </c>
    </row>
    <row r="496" spans="1:4" x14ac:dyDescent="0.25">
      <c r="A496" s="20" t="s">
        <v>2824</v>
      </c>
      <c r="B496" s="20" t="str">
        <f>VLOOKUP(A496,'Base Sin Negativos'!S496:V1932,2,0)</f>
        <v>Tradiciones Andinas</v>
      </c>
      <c r="C496" s="20" t="str">
        <f>VLOOKUP(A496,'Base Sin Negativos'!S496:V1932,3,0)</f>
        <v>T.A Choclo desgranado / Corn in Grain 16oz x 30 FROZEN</v>
      </c>
      <c r="D496" s="20">
        <f>VLOOKUP(A496,'Base Sin Negativos'!S496:V1932,4,0)</f>
        <v>51</v>
      </c>
    </row>
    <row r="497" spans="1:4" x14ac:dyDescent="0.25">
      <c r="A497" s="20" t="s">
        <v>2825</v>
      </c>
      <c r="B497" s="20" t="str">
        <f>VLOOKUP(A497,'Base Sin Negativos'!S497:V1933,2,0)</f>
        <v>Tradiciones Andinas</v>
      </c>
      <c r="C497" s="20" t="str">
        <f>VLOOKUP(A497,'Base Sin Negativos'!S497:V1933,3,0)</f>
        <v>T.A Choclo desgranado / Corn in Grain 16oz x 30 FROZEN</v>
      </c>
      <c r="D497" s="20">
        <f>VLOOKUP(A497,'Base Sin Negativos'!S497:V1933,4,0)</f>
        <v>54.57</v>
      </c>
    </row>
    <row r="498" spans="1:4" x14ac:dyDescent="0.25">
      <c r="A498" s="20" t="s">
        <v>2826</v>
      </c>
      <c r="B498" s="20" t="str">
        <f>VLOOKUP(A498,'Base Sin Negativos'!S498:V1934,2,0)</f>
        <v>Tradiciones Andinas</v>
      </c>
      <c r="C498" s="20" t="str">
        <f>VLOOKUP(A498,'Base Sin Negativos'!S498:V1934,3,0)</f>
        <v>T.A Choclo desgranado / Corn in Grain FROZEN  4Lb x 10</v>
      </c>
      <c r="D498" s="20">
        <f>VLOOKUP(A498,'Base Sin Negativos'!S498:V1934,4,0)</f>
        <v>60</v>
      </c>
    </row>
    <row r="499" spans="1:4" x14ac:dyDescent="0.25">
      <c r="A499" s="20" t="s">
        <v>2827</v>
      </c>
      <c r="B499" s="20" t="str">
        <f>VLOOKUP(A499,'Base Sin Negativos'!S499:V1935,2,0)</f>
        <v>Tradiciones Andinas</v>
      </c>
      <c r="C499" s="20" t="str">
        <f>VLOOKUP(A499,'Base Sin Negativos'!S499:V1935,3,0)</f>
        <v>T.A Choclo desgranado / Corn in Grain FROZEN  4Lb x 10</v>
      </c>
      <c r="D499" s="20">
        <f>VLOOKUP(A499,'Base Sin Negativos'!S499:V1935,4,0)</f>
        <v>64.2</v>
      </c>
    </row>
    <row r="500" spans="1:4" x14ac:dyDescent="0.25">
      <c r="A500" s="20" t="s">
        <v>2828</v>
      </c>
      <c r="B500" s="20" t="str">
        <f>VLOOKUP(A500,'Base Sin Negativos'!S500:V1936,2,0)</f>
        <v>Tradiciones Andinas</v>
      </c>
      <c r="C500" s="20" t="str">
        <f>VLOOKUP(A500,'Base Sin Negativos'!S500:V1936,3,0)</f>
        <v>T.A Choclo Entero / Corn on the Cob 2 x 18 FROZEN</v>
      </c>
      <c r="D500" s="20">
        <f>VLOOKUP(A500,'Base Sin Negativos'!S500:V1936,4,0)</f>
        <v>30.6</v>
      </c>
    </row>
    <row r="501" spans="1:4" x14ac:dyDescent="0.25">
      <c r="A501" s="20" t="s">
        <v>2829</v>
      </c>
      <c r="B501" s="20" t="str">
        <f>VLOOKUP(A501,'Base Sin Negativos'!S501:V1937,2,0)</f>
        <v>Tradiciones Andinas</v>
      </c>
      <c r="C501" s="20" t="str">
        <f>VLOOKUP(A501,'Base Sin Negativos'!S501:V1937,3,0)</f>
        <v>T.A Choclo Entero / Corn on the Cob 2 x 18 FROZEN</v>
      </c>
      <c r="D501" s="20">
        <f>VLOOKUP(A501,'Base Sin Negativos'!S501:V1937,4,0)</f>
        <v>32.74</v>
      </c>
    </row>
    <row r="502" spans="1:4" x14ac:dyDescent="0.25">
      <c r="A502" s="20" t="s">
        <v>2830</v>
      </c>
      <c r="B502" s="20" t="str">
        <f>VLOOKUP(A502,'Base Sin Negativos'!S502:V1938,2,0)</f>
        <v>Tradiciones Andinas</v>
      </c>
      <c r="C502" s="20" t="str">
        <f>VLOOKUP(A502,'Base Sin Negativos'!S502:V1938,3,0)</f>
        <v>T.A Choclo Entero / Corn on the Cob x 6 x 7 FROZEN</v>
      </c>
      <c r="D502" s="20">
        <f>VLOOKUP(A502,'Base Sin Negativos'!S502:V1938,4,0)</f>
        <v>35</v>
      </c>
    </row>
    <row r="503" spans="1:4" x14ac:dyDescent="0.25">
      <c r="A503" s="20" t="s">
        <v>2831</v>
      </c>
      <c r="B503" s="20" t="str">
        <f>VLOOKUP(A503,'Base Sin Negativos'!S503:V1939,2,0)</f>
        <v>Tradiciones Andinas</v>
      </c>
      <c r="C503" s="20" t="str">
        <f>VLOOKUP(A503,'Base Sin Negativos'!S503:V1939,3,0)</f>
        <v>T.A Chulpe Corn / Maiz Chulpe (Family Pack) 54OZ X 6</v>
      </c>
      <c r="D503" s="20">
        <f>VLOOKUP(A503,'Base Sin Negativos'!S503:V1939,4,0)</f>
        <v>36</v>
      </c>
    </row>
    <row r="504" spans="1:4" x14ac:dyDescent="0.25">
      <c r="A504" s="20" t="s">
        <v>2832</v>
      </c>
      <c r="B504" s="20" t="str">
        <f>VLOOKUP(A504,'Base Sin Negativos'!S504:V1940,2,0)</f>
        <v>Tradiciones Andinas</v>
      </c>
      <c r="C504" s="20" t="str">
        <f>VLOOKUP(A504,'Base Sin Negativos'!S504:V1940,3,0)</f>
        <v>T.A Chuño Entero Blanco / White Potato Starch 15oz x 18</v>
      </c>
      <c r="D504" s="20">
        <f>VLOOKUP(A504,'Base Sin Negativos'!S504:V1940,4,0)</f>
        <v>48.42</v>
      </c>
    </row>
    <row r="505" spans="1:4" x14ac:dyDescent="0.25">
      <c r="A505" s="20" t="s">
        <v>2833</v>
      </c>
      <c r="B505" s="20" t="str">
        <f>VLOOKUP(A505,'Base Sin Negativos'!S505:V1941,2,0)</f>
        <v>Tradiciones Andinas</v>
      </c>
      <c r="C505" s="20" t="str">
        <f>VLOOKUP(A505,'Base Sin Negativos'!S505:V1941,3,0)</f>
        <v>T.A Chuño Entero Blanco / White Potato Starch 15oz x 18</v>
      </c>
      <c r="D505" s="20">
        <f>VLOOKUP(A505,'Base Sin Negativos'!S505:V1941,4,0)</f>
        <v>51.8</v>
      </c>
    </row>
    <row r="506" spans="1:4" x14ac:dyDescent="0.25">
      <c r="A506" s="20" t="s">
        <v>2834</v>
      </c>
      <c r="B506" s="20" t="str">
        <f>VLOOKUP(A506,'Base Sin Negativos'!S506:V1942,2,0)</f>
        <v>Tradiciones Andinas</v>
      </c>
      <c r="C506" s="20" t="str">
        <f>VLOOKUP(A506,'Base Sin Negativos'!S506:V1942,3,0)</f>
        <v>T.A Culantro Pasta / Coriander Paste 7.5oz x 24</v>
      </c>
      <c r="D506" s="20">
        <f>VLOOKUP(A506,'Base Sin Negativos'!S506:V1942,4,0)</f>
        <v>32.1</v>
      </c>
    </row>
    <row r="507" spans="1:4" x14ac:dyDescent="0.25">
      <c r="A507" s="20" t="s">
        <v>2835</v>
      </c>
      <c r="B507" s="20" t="str">
        <f>VLOOKUP(A507,'Base Sin Negativos'!S507:V1943,2,0)</f>
        <v>Tradiciones Andinas</v>
      </c>
      <c r="C507" s="20" t="str">
        <f>VLOOKUP(A507,'Base Sin Negativos'!S507:V1943,3,0)</f>
        <v>T.A Discos de Yuca / Cassava Dough 13.75oz x 24</v>
      </c>
      <c r="D507" s="20">
        <f>VLOOKUP(A507,'Base Sin Negativos'!S507:V1943,4,0)</f>
        <v>40.56</v>
      </c>
    </row>
    <row r="508" spans="1:4" x14ac:dyDescent="0.25">
      <c r="A508" s="20" t="s">
        <v>2836</v>
      </c>
      <c r="B508" s="20" t="str">
        <f>VLOOKUP(A508,'Base Sin Negativos'!S508:V1944,2,0)</f>
        <v>Tradiciones Andinas</v>
      </c>
      <c r="C508" s="20" t="str">
        <f>VLOOKUP(A508,'Base Sin Negativos'!S508:V1944,3,0)</f>
        <v>T.A Durazno en Almibar / Peach Halves in heavy Syrup 290z x 12</v>
      </c>
      <c r="D508" s="20">
        <f>VLOOKUP(A508,'Base Sin Negativos'!S508:V1944,4,0)</f>
        <v>27</v>
      </c>
    </row>
    <row r="509" spans="1:4" x14ac:dyDescent="0.25">
      <c r="A509" s="20" t="s">
        <v>2837</v>
      </c>
      <c r="B509" s="20" t="str">
        <f>VLOOKUP(A509,'Base Sin Negativos'!S509:V1945,2,0)</f>
        <v>Tradiciones Andinas</v>
      </c>
      <c r="C509" s="20" t="str">
        <f>VLOOKUP(A509,'Base Sin Negativos'!S509:V1945,3,0)</f>
        <v>T.A Durazno en Almibar / Peach Halves in heavy Syrup 290z x 12</v>
      </c>
      <c r="D509" s="20">
        <f>VLOOKUP(A509,'Base Sin Negativos'!S509:V1945,4,0)</f>
        <v>28.88</v>
      </c>
    </row>
    <row r="510" spans="1:4" x14ac:dyDescent="0.25">
      <c r="A510" s="20" t="s">
        <v>2838</v>
      </c>
      <c r="B510" s="20" t="str">
        <f>VLOOKUP(A510,'Base Sin Negativos'!S510:V1946,2,0)</f>
        <v>Tradiciones Andinas</v>
      </c>
      <c r="C510" s="20" t="str">
        <f>VLOOKUP(A510,'Base Sin Negativos'!S510:V1946,3,0)</f>
        <v>T.A Emoliente / Emolient 3.5oz x 20</v>
      </c>
      <c r="D510" s="20">
        <f>VLOOKUP(A510,'Base Sin Negativos'!S510:V1946,4,0)</f>
        <v>19.8</v>
      </c>
    </row>
    <row r="511" spans="1:4" x14ac:dyDescent="0.25">
      <c r="A511" s="20" t="s">
        <v>2839</v>
      </c>
      <c r="B511" s="20" t="str">
        <f>VLOOKUP(A511,'Base Sin Negativos'!S511:V1947,2,0)</f>
        <v>Tradiciones Andinas</v>
      </c>
      <c r="C511" s="20" t="str">
        <f>VLOOKUP(A511,'Base Sin Negativos'!S511:V1947,3,0)</f>
        <v>T.A Emoliente / Emolient 3.5oz x 20</v>
      </c>
      <c r="D511" s="20">
        <f>VLOOKUP(A511,'Base Sin Negativos'!S511:V1947,4,0)</f>
        <v>21.18</v>
      </c>
    </row>
    <row r="512" spans="1:4" x14ac:dyDescent="0.25">
      <c r="A512" s="20" t="s">
        <v>2840</v>
      </c>
      <c r="B512" s="20" t="str">
        <f>VLOOKUP(A512,'Base Sin Negativos'!S512:V1948,2,0)</f>
        <v>Tradiciones Andinas</v>
      </c>
      <c r="C512" s="20" t="str">
        <f>VLOOKUP(A512,'Base Sin Negativos'!S512:V1948,3,0)</f>
        <v>T.A Guinea pig - Cuy</v>
      </c>
      <c r="D512" s="20">
        <f>VLOOKUP(A512,'Base Sin Negativos'!S512:V1948,4,0)</f>
        <v>18</v>
      </c>
    </row>
    <row r="513" spans="1:4" x14ac:dyDescent="0.25">
      <c r="A513" s="20" t="s">
        <v>2841</v>
      </c>
      <c r="B513" s="20" t="str">
        <f>VLOOKUP(A513,'Base Sin Negativos'!S513:V1949,2,0)</f>
        <v>Tradiciones Andinas</v>
      </c>
      <c r="C513" s="20" t="str">
        <f>VLOOKUP(A513,'Base Sin Negativos'!S513:V1949,3,0)</f>
        <v>T.A Habas Fritas Saladas/  Broad Beans Snacks 130gr x 12</v>
      </c>
      <c r="D513" s="20">
        <f>VLOOKUP(A513,'Base Sin Negativos'!S513:V1949,4,0)</f>
        <v>12</v>
      </c>
    </row>
    <row r="514" spans="1:4" x14ac:dyDescent="0.25">
      <c r="A514" s="20" t="s">
        <v>2842</v>
      </c>
      <c r="B514" s="20" t="str">
        <f>VLOOKUP(A514,'Base Sin Negativos'!S514:V1950,2,0)</f>
        <v>Tradiciones Andinas</v>
      </c>
      <c r="C514" s="20" t="str">
        <f>VLOOKUP(A514,'Base Sin Negativos'!S514:V1950,3,0)</f>
        <v>T.A Habas Fritas Saladas/  Broad Beans Snacks 130gr x 12</v>
      </c>
      <c r="D514" s="20">
        <f>VLOOKUP(A514,'Base Sin Negativos'!S514:V1950,4,0)</f>
        <v>13.2</v>
      </c>
    </row>
    <row r="515" spans="1:4" x14ac:dyDescent="0.25">
      <c r="A515" s="20" t="s">
        <v>2843</v>
      </c>
      <c r="B515" s="20" t="str">
        <f>VLOOKUP(A515,'Base Sin Negativos'!S515:V1951,2,0)</f>
        <v>Tradiciones Andinas</v>
      </c>
      <c r="C515" s="20" t="str">
        <f>VLOOKUP(A515,'Base Sin Negativos'!S515:V1951,3,0)</f>
        <v>T.A Habas Verdes / Fava Beans 28oz x 20 bolsas</v>
      </c>
      <c r="D515" s="20">
        <f>VLOOKUP(A515,'Base Sin Negativos'!S515:V1951,4,0)</f>
        <v>55.8</v>
      </c>
    </row>
    <row r="516" spans="1:4" x14ac:dyDescent="0.25">
      <c r="A516" s="20" t="s">
        <v>2844</v>
      </c>
      <c r="B516" s="20" t="str">
        <f>VLOOKUP(A516,'Base Sin Negativos'!S516:V1952,2,0)</f>
        <v>Tradiciones Andinas</v>
      </c>
      <c r="C516" s="20" t="str">
        <f>VLOOKUP(A516,'Base Sin Negativos'!S516:V1952,3,0)</f>
        <v>T.A Harina de Chuño / Potato Starch Flour 12oz x 24</v>
      </c>
      <c r="D516" s="20">
        <f>VLOOKUP(A516,'Base Sin Negativos'!S516:V1952,4,0)</f>
        <v>28.8</v>
      </c>
    </row>
    <row r="517" spans="1:4" x14ac:dyDescent="0.25">
      <c r="A517" s="20" t="s">
        <v>2845</v>
      </c>
      <c r="B517" s="20" t="str">
        <f>VLOOKUP(A517,'Base Sin Negativos'!S517:V1953,2,0)</f>
        <v>Tradiciones Andinas</v>
      </c>
      <c r="C517" s="20" t="str">
        <f>VLOOKUP(A517,'Base Sin Negativos'!S517:V1953,3,0)</f>
        <v>T.A Harina de Chuño / Potato Starch Flour 12oz x 24</v>
      </c>
      <c r="D517" s="20">
        <f>VLOOKUP(A517,'Base Sin Negativos'!S517:V1953,4,0)</f>
        <v>30.82</v>
      </c>
    </row>
    <row r="518" spans="1:4" x14ac:dyDescent="0.25">
      <c r="A518" s="20" t="s">
        <v>2846</v>
      </c>
      <c r="B518" s="20" t="str">
        <f>VLOOKUP(A518,'Base Sin Negativos'!S518:V1954,2,0)</f>
        <v>Tradiciones Andinas</v>
      </c>
      <c r="C518" s="20" t="str">
        <f>VLOOKUP(A518,'Base Sin Negativos'!S518:V1954,3,0)</f>
        <v>T.A Harina de Maca /Maca Flour 7oz x 24</v>
      </c>
      <c r="D518" s="20">
        <f>VLOOKUP(A518,'Base Sin Negativos'!S518:V1954,4,0)</f>
        <v>50.16</v>
      </c>
    </row>
    <row r="519" spans="1:4" x14ac:dyDescent="0.25">
      <c r="A519" s="20" t="s">
        <v>2847</v>
      </c>
      <c r="B519" s="20" t="str">
        <f>VLOOKUP(A519,'Base Sin Negativos'!S519:V1955,2,0)</f>
        <v>Tradiciones Andinas</v>
      </c>
      <c r="C519" s="20" t="str">
        <f>VLOOKUP(A519,'Base Sin Negativos'!S519:V1955,3,0)</f>
        <v>T.A Harina de Maca /Maca Flour 7oz x 24</v>
      </c>
      <c r="D519" s="20">
        <f>VLOOKUP(A519,'Base Sin Negativos'!S519:V1955,4,0)</f>
        <v>53.68</v>
      </c>
    </row>
    <row r="520" spans="1:4" x14ac:dyDescent="0.25">
      <c r="A520" s="20" t="s">
        <v>2848</v>
      </c>
      <c r="B520" s="20" t="str">
        <f>VLOOKUP(A520,'Base Sin Negativos'!S520:V1956,2,0)</f>
        <v>Tradiciones Andinas</v>
      </c>
      <c r="C520" s="20" t="str">
        <f>VLOOKUP(A520,'Base Sin Negativos'!S520:V1956,3,0)</f>
        <v>T.A Harina de Quinua /Quinua Flour (Instant) 12oz x 12</v>
      </c>
      <c r="D520" s="20">
        <f>VLOOKUP(A520,'Base Sin Negativos'!S520:V1956,4,0)</f>
        <v>28.64</v>
      </c>
    </row>
    <row r="521" spans="1:4" x14ac:dyDescent="0.25">
      <c r="A521" s="20" t="s">
        <v>2849</v>
      </c>
      <c r="B521" s="20" t="str">
        <f>VLOOKUP(A521,'Base Sin Negativos'!S521:V1957,2,0)</f>
        <v>Tradiciones Andinas</v>
      </c>
      <c r="C521" s="20" t="str">
        <f>VLOOKUP(A521,'Base Sin Negativos'!S521:V1957,3,0)</f>
        <v>T.A Harina de Quinua /Quinua Flour (Instant) 12oz x 12</v>
      </c>
      <c r="D521" s="20">
        <f>VLOOKUP(A521,'Base Sin Negativos'!S521:V1957,4,0)</f>
        <v>30.64</v>
      </c>
    </row>
    <row r="522" spans="1:4" x14ac:dyDescent="0.25">
      <c r="A522" s="20" t="s">
        <v>2850</v>
      </c>
      <c r="B522" s="20" t="str">
        <f>VLOOKUP(A522,'Base Sin Negativos'!S522:V1958,2,0)</f>
        <v>Tradiciones Andinas</v>
      </c>
      <c r="C522" s="20" t="str">
        <f>VLOOKUP(A522,'Base Sin Negativos'!S522:V1958,3,0)</f>
        <v>T.A Harina Linaza /Flax seed Flour 7.5oz x 24</v>
      </c>
      <c r="D522" s="20">
        <f>VLOOKUP(A522,'Base Sin Negativos'!S522:V1958,4,0)</f>
        <v>39.6</v>
      </c>
    </row>
    <row r="523" spans="1:4" x14ac:dyDescent="0.25">
      <c r="A523" s="20" t="s">
        <v>2851</v>
      </c>
      <c r="B523" s="20" t="str">
        <f>VLOOKUP(A523,'Base Sin Negativos'!S523:V1959,2,0)</f>
        <v>Tradiciones Andinas</v>
      </c>
      <c r="C523" s="20" t="str">
        <f>VLOOKUP(A523,'Base Sin Negativos'!S523:V1959,3,0)</f>
        <v>T.A Hierbaluisa filtrante - Lemon Grass Tea 20 x 30</v>
      </c>
      <c r="D523" s="20">
        <f>VLOOKUP(A523,'Base Sin Negativos'!S523:V1959,4,0)</f>
        <v>25.5</v>
      </c>
    </row>
    <row r="524" spans="1:4" x14ac:dyDescent="0.25">
      <c r="A524" s="20" t="s">
        <v>2852</v>
      </c>
      <c r="B524" s="20" t="str">
        <f>VLOOKUP(A524,'Base Sin Negativos'!S524:V1960,2,0)</f>
        <v>Tradiciones Andinas</v>
      </c>
      <c r="C524" s="20" t="str">
        <f>VLOOKUP(A524,'Base Sin Negativos'!S524:V1960,3,0)</f>
        <v>T.A Hierbaluisa filtrante - Lemon Grass Tea 20 x 30</v>
      </c>
      <c r="D524" s="20">
        <f>VLOOKUP(A524,'Base Sin Negativos'!S524:V1960,4,0)</f>
        <v>27.29</v>
      </c>
    </row>
    <row r="525" spans="1:4" x14ac:dyDescent="0.25">
      <c r="A525" s="20" t="s">
        <v>2853</v>
      </c>
      <c r="B525" s="20" t="str">
        <f>VLOOKUP(A525,'Base Sin Negativos'!S525:V1961,2,0)</f>
        <v>Tradiciones Andinas</v>
      </c>
      <c r="C525" s="20" t="str">
        <f>VLOOKUP(A525,'Base Sin Negativos'!S525:V1961,3,0)</f>
        <v>T.A Hojuela de Quinua / Quinua Flakes</v>
      </c>
      <c r="D525" s="20">
        <f>VLOOKUP(A525,'Base Sin Negativos'!S525:V1961,4,0)</f>
        <v>31.08</v>
      </c>
    </row>
    <row r="526" spans="1:4" x14ac:dyDescent="0.25">
      <c r="A526" s="20" t="s">
        <v>2854</v>
      </c>
      <c r="B526" s="20" t="str">
        <f>VLOOKUP(A526,'Base Sin Negativos'!S526:V1962,2,0)</f>
        <v>Tradiciones Andinas</v>
      </c>
      <c r="C526" s="20" t="str">
        <f>VLOOKUP(A526,'Base Sin Negativos'!S526:V1962,3,0)</f>
        <v>T.A Huacatay / Black Mint 12oz x 24 FROZEN</v>
      </c>
      <c r="D526" s="20">
        <f>VLOOKUP(A526,'Base Sin Negativos'!S526:V1962,4,0)</f>
        <v>43.2</v>
      </c>
    </row>
    <row r="527" spans="1:4" x14ac:dyDescent="0.25">
      <c r="A527" s="20" t="s">
        <v>2855</v>
      </c>
      <c r="B527" s="20" t="str">
        <f>VLOOKUP(A527,'Base Sin Negativos'!S527:V1963,2,0)</f>
        <v>Tradiciones Andinas</v>
      </c>
      <c r="C527" s="20" t="str">
        <f>VLOOKUP(A527,'Base Sin Negativos'!S527:V1963,3,0)</f>
        <v>T.A Huacatay / Black Mint 12oz x 24 FROZEN</v>
      </c>
      <c r="D527" s="20">
        <f>VLOOKUP(A527,'Base Sin Negativos'!S527:V1963,4,0)</f>
        <v>46.22</v>
      </c>
    </row>
    <row r="528" spans="1:4" x14ac:dyDescent="0.25">
      <c r="A528" s="20" t="s">
        <v>2856</v>
      </c>
      <c r="B528" s="20" t="str">
        <f>VLOOKUP(A528,'Base Sin Negativos'!S528:V1964,2,0)</f>
        <v>Tradiciones Andinas</v>
      </c>
      <c r="C528" s="20" t="str">
        <f>VLOOKUP(A528,'Base Sin Negativos'!S528:V1964,3,0)</f>
        <v>T.A Huacatay Pasta / Black Mint Paste 7.5oz</v>
      </c>
      <c r="D528" s="20">
        <f>VLOOKUP(A528,'Base Sin Negativos'!S528:V1964,4,0)</f>
        <v>32.1</v>
      </c>
    </row>
    <row r="529" spans="1:4" x14ac:dyDescent="0.25">
      <c r="A529" s="20" t="s">
        <v>2857</v>
      </c>
      <c r="B529" s="20" t="str">
        <f>VLOOKUP(A529,'Base Sin Negativos'!S529:V1965,2,0)</f>
        <v>Tradiciones Andinas</v>
      </c>
      <c r="C529" s="20" t="str">
        <f>VLOOKUP(A529,'Base Sin Negativos'!S529:V1965,3,0)</f>
        <v>T.A Linaza /Flax Seed 15oz x 24</v>
      </c>
      <c r="D529" s="20">
        <f>VLOOKUP(A529,'Base Sin Negativos'!S529:V1965,4,0)</f>
        <v>31.2</v>
      </c>
    </row>
    <row r="530" spans="1:4" x14ac:dyDescent="0.25">
      <c r="A530" s="20" t="s">
        <v>2858</v>
      </c>
      <c r="B530" s="20" t="str">
        <f>VLOOKUP(A530,'Base Sin Negativos'!S530:V1966,2,0)</f>
        <v>Tradiciones Andinas</v>
      </c>
      <c r="C530" s="20" t="str">
        <f>VLOOKUP(A530,'Base Sin Negativos'!S530:V1966,3,0)</f>
        <v>T.A Linaza /Flax Seed 15oz x 24</v>
      </c>
      <c r="D530" s="20">
        <f>VLOOKUP(A530,'Base Sin Negativos'!S530:V1966,4,0)</f>
        <v>33.380000000000003</v>
      </c>
    </row>
    <row r="531" spans="1:4" x14ac:dyDescent="0.25">
      <c r="A531" s="20" t="s">
        <v>2859</v>
      </c>
      <c r="B531" s="20" t="str">
        <f>VLOOKUP(A531,'Base Sin Negativos'!S531:V1967,2,0)</f>
        <v>Tradiciones Andinas</v>
      </c>
      <c r="C531" s="20" t="str">
        <f>VLOOKUP(A531,'Base Sin Negativos'!S531:V1967,3,0)</f>
        <v>T.A Lomitos de Atún en Aceite / Solid Tuna in Oil  - 3 PACK (SMALL)</v>
      </c>
      <c r="D531" s="20">
        <f>VLOOKUP(A531,'Base Sin Negativos'!S531:V1967,4,0)</f>
        <v>60</v>
      </c>
    </row>
    <row r="532" spans="1:4" x14ac:dyDescent="0.25">
      <c r="A532" s="20" t="s">
        <v>2860</v>
      </c>
      <c r="B532" s="20" t="str">
        <f>VLOOKUP(A532,'Base Sin Negativos'!S532:V1968,2,0)</f>
        <v>Tradiciones Andinas</v>
      </c>
      <c r="C532" s="20" t="str">
        <f>VLOOKUP(A532,'Base Sin Negativos'!S532:V1968,3,0)</f>
        <v>T.A Lomitos de Atún en Aceite / Solid TUNA in Oil 5oz x 48</v>
      </c>
      <c r="D532" s="20">
        <f>VLOOKUP(A532,'Base Sin Negativos'!S532:V1968,4,0)</f>
        <v>62</v>
      </c>
    </row>
    <row r="533" spans="1:4" x14ac:dyDescent="0.25">
      <c r="A533" s="20" t="s">
        <v>2861</v>
      </c>
      <c r="B533" s="20" t="str">
        <f>VLOOKUP(A533,'Base Sin Negativos'!S533:V1969,2,0)</f>
        <v>Tradiciones Andinas</v>
      </c>
      <c r="C533" s="20" t="str">
        <f>VLOOKUP(A533,'Base Sin Negativos'!S533:V1969,3,0)</f>
        <v>T.A Lomitos de Atún en Aceite / Solid TUNA in Oil 5oz x 48</v>
      </c>
      <c r="D533" s="20">
        <f>VLOOKUP(A533,'Base Sin Negativos'!S533:V1969,4,0)</f>
        <v>66.34</v>
      </c>
    </row>
    <row r="534" spans="1:4" x14ac:dyDescent="0.25">
      <c r="A534" s="20" t="s">
        <v>2862</v>
      </c>
      <c r="B534" s="20" t="str">
        <f>VLOOKUP(A534,'Base Sin Negativos'!S534:V1970,2,0)</f>
        <v>Tradiciones Andinas</v>
      </c>
      <c r="C534" s="20" t="str">
        <f>VLOOKUP(A534,'Base Sin Negativos'!S534:V1970,3,0)</f>
        <v>T.A Maiz Cancha (Family Pack) /Cancha Corn 54oz x 6</v>
      </c>
      <c r="D534" s="20">
        <f>VLOOKUP(A534,'Base Sin Negativos'!S534:V1970,4,0)</f>
        <v>35</v>
      </c>
    </row>
    <row r="535" spans="1:4" x14ac:dyDescent="0.25">
      <c r="A535" s="20" t="s">
        <v>2863</v>
      </c>
      <c r="B535" s="20" t="str">
        <f>VLOOKUP(A535,'Base Sin Negativos'!S535:V1971,2,0)</f>
        <v>Tradiciones Andinas</v>
      </c>
      <c r="C535" s="20" t="str">
        <f>VLOOKUP(A535,'Base Sin Negativos'!S535:V1971,3,0)</f>
        <v>T.A Maiz Cancha Frito Salado / Native Corn Snack 130gr x12</v>
      </c>
      <c r="D535" s="20">
        <f>VLOOKUP(A535,'Base Sin Negativos'!S535:V1971,4,0)</f>
        <v>12</v>
      </c>
    </row>
    <row r="536" spans="1:4" x14ac:dyDescent="0.25">
      <c r="A536" s="20" t="s">
        <v>2864</v>
      </c>
      <c r="B536" s="20" t="str">
        <f>VLOOKUP(A536,'Base Sin Negativos'!S536:V1972,2,0)</f>
        <v>Tradiciones Andinas</v>
      </c>
      <c r="C536" s="20" t="str">
        <f>VLOOKUP(A536,'Base Sin Negativos'!S536:V1972,3,0)</f>
        <v>T.A Maiz Cancha Frito Salado / Native Corn Snack 130gr x12</v>
      </c>
      <c r="D536" s="20">
        <f>VLOOKUP(A536,'Base Sin Negativos'!S536:V1972,4,0)</f>
        <v>13.2</v>
      </c>
    </row>
    <row r="537" spans="1:4" x14ac:dyDescent="0.25">
      <c r="A537" s="20" t="s">
        <v>2865</v>
      </c>
      <c r="B537" s="20" t="str">
        <f>VLOOKUP(A537,'Base Sin Negativos'!S537:V1973,2,0)</f>
        <v>Tradiciones Andinas</v>
      </c>
      <c r="C537" s="20" t="str">
        <f>VLOOKUP(A537,'Base Sin Negativos'!S537:V1973,3,0)</f>
        <v>T.A Maiz Cancha saco 50Lb</v>
      </c>
      <c r="D537" s="20">
        <f>VLOOKUP(A537,'Base Sin Negativos'!S537:V1973,4,0)</f>
        <v>60</v>
      </c>
    </row>
    <row r="538" spans="1:4" x14ac:dyDescent="0.25">
      <c r="A538" s="20" t="s">
        <v>2866</v>
      </c>
      <c r="B538" s="20" t="str">
        <f>VLOOKUP(A538,'Base Sin Negativos'!S538:V1974,2,0)</f>
        <v>Tradiciones Andinas</v>
      </c>
      <c r="C538" s="20" t="str">
        <f>VLOOKUP(A538,'Base Sin Negativos'!S538:V1974,3,0)</f>
        <v>T.A Maiz Cancha saco 50Lb</v>
      </c>
      <c r="D538" s="20">
        <f>VLOOKUP(A538,'Base Sin Negativos'!S538:V1974,4,0)</f>
        <v>64.2</v>
      </c>
    </row>
    <row r="539" spans="1:4" x14ac:dyDescent="0.25">
      <c r="A539" s="20" t="s">
        <v>2867</v>
      </c>
      <c r="B539" s="20" t="str">
        <f>VLOOKUP(A539,'Base Sin Negativos'!S539:V1975,2,0)</f>
        <v>Tradiciones Andinas</v>
      </c>
      <c r="C539" s="20" t="str">
        <f>VLOOKUP(A539,'Base Sin Negativos'!S539:V1975,3,0)</f>
        <v>T.A Maiz Carhuay (Family Pack) / Carhuay Corn 54oz x 6</v>
      </c>
      <c r="D539" s="20">
        <f>VLOOKUP(A539,'Base Sin Negativos'!S539:V1975,4,0)</f>
        <v>35</v>
      </c>
    </row>
    <row r="540" spans="1:4" x14ac:dyDescent="0.25">
      <c r="A540" s="20" t="s">
        <v>2868</v>
      </c>
      <c r="B540" s="20" t="str">
        <f>VLOOKUP(A540,'Base Sin Negativos'!S540:V1976,2,0)</f>
        <v>Tradiciones Andinas</v>
      </c>
      <c r="C540" s="20" t="str">
        <f>VLOOKUP(A540,'Base Sin Negativos'!S540:V1976,3,0)</f>
        <v>T.A Maiz Chulpe /Chulpe Corn 15oz x 24</v>
      </c>
      <c r="D540" s="20">
        <f>VLOOKUP(A540,'Base Sin Negativos'!S540:V1976,4,0)</f>
        <v>40.56</v>
      </c>
    </row>
    <row r="541" spans="1:4" x14ac:dyDescent="0.25">
      <c r="A541" s="20" t="s">
        <v>2869</v>
      </c>
      <c r="B541" s="20" t="str">
        <f>VLOOKUP(A541,'Base Sin Negativos'!S541:V1977,2,0)</f>
        <v>Tradiciones Andinas</v>
      </c>
      <c r="C541" s="20" t="str">
        <f>VLOOKUP(A541,'Base Sin Negativos'!S541:V1977,3,0)</f>
        <v>T.A Maiz Chulpe Saco</v>
      </c>
      <c r="D541" s="20">
        <f>VLOOKUP(A541,'Base Sin Negativos'!S541:V1977,4,0)</f>
        <v>73</v>
      </c>
    </row>
    <row r="542" spans="1:4" x14ac:dyDescent="0.25">
      <c r="A542" s="20" t="s">
        <v>2870</v>
      </c>
      <c r="B542" s="20" t="str">
        <f>VLOOKUP(A542,'Base Sin Negativos'!S542:V1978,2,0)</f>
        <v>Tradiciones Andinas</v>
      </c>
      <c r="C542" s="20" t="str">
        <f>VLOOKUP(A542,'Base Sin Negativos'!S542:V1978,3,0)</f>
        <v>T.A Maiz Chulpe Saco</v>
      </c>
      <c r="D542" s="20">
        <f>VLOOKUP(A542,'Base Sin Negativos'!S542:V1978,4,0)</f>
        <v>78</v>
      </c>
    </row>
    <row r="543" spans="1:4" x14ac:dyDescent="0.25">
      <c r="A543" s="20" t="s">
        <v>2871</v>
      </c>
      <c r="B543" s="20" t="str">
        <f>VLOOKUP(A543,'Base Sin Negativos'!S543:V1979,2,0)</f>
        <v>Tradiciones Andinas</v>
      </c>
      <c r="C543" s="20" t="str">
        <f>VLOOKUP(A543,'Base Sin Negativos'!S543:V1979,3,0)</f>
        <v>T.A Maiz Chulpi frito Salado/ Chulpi Corn Snack 130gr x 12</v>
      </c>
      <c r="D543" s="20">
        <f>VLOOKUP(A543,'Base Sin Negativos'!S543:V1979,4,0)</f>
        <v>12</v>
      </c>
    </row>
    <row r="544" spans="1:4" x14ac:dyDescent="0.25">
      <c r="A544" s="20" t="s">
        <v>2872</v>
      </c>
      <c r="B544" s="20" t="str">
        <f>VLOOKUP(A544,'Base Sin Negativos'!S544:V1980,2,0)</f>
        <v>Tradiciones Andinas</v>
      </c>
      <c r="C544" s="20" t="str">
        <f>VLOOKUP(A544,'Base Sin Negativos'!S544:V1980,3,0)</f>
        <v>T.A Maiz Chulpi frito Salado/ Chulpi Corn Snack 130gr x 12</v>
      </c>
      <c r="D544" s="20">
        <f>VLOOKUP(A544,'Base Sin Negativos'!S544:V1980,4,0)</f>
        <v>13.2</v>
      </c>
    </row>
    <row r="545" spans="1:4" x14ac:dyDescent="0.25">
      <c r="A545" s="20" t="s">
        <v>2873</v>
      </c>
      <c r="B545" s="20" t="str">
        <f>VLOOKUP(A545,'Base Sin Negativos'!S545:V1981,2,0)</f>
        <v>Tradiciones Andinas</v>
      </c>
      <c r="C545" s="20" t="str">
        <f>VLOOKUP(A545,'Base Sin Negativos'!S545:V1981,3,0)</f>
        <v>T.A Maiz Desgranado (INST) / Corn in Grain 48oz x13</v>
      </c>
      <c r="D545" s="20">
        <f>VLOOKUP(A545,'Base Sin Negativos'!S545:V1981,4,0)</f>
        <v>58.5</v>
      </c>
    </row>
    <row r="546" spans="1:4" x14ac:dyDescent="0.25">
      <c r="A546" s="20" t="s">
        <v>2874</v>
      </c>
      <c r="B546" s="20" t="str">
        <f>VLOOKUP(A546,'Base Sin Negativos'!S546:V1982,2,0)</f>
        <v>Tradiciones Andinas</v>
      </c>
      <c r="C546" s="20" t="str">
        <f>VLOOKUP(A546,'Base Sin Negativos'!S546:V1982,3,0)</f>
        <v>T.A Maiz gigante frito picante - Spicy and crunchy giant corn</v>
      </c>
      <c r="D546" s="20">
        <f>VLOOKUP(A546,'Base Sin Negativos'!S546:V1982,4,0)</f>
        <v>13.2</v>
      </c>
    </row>
    <row r="547" spans="1:4" x14ac:dyDescent="0.25">
      <c r="A547" s="20" t="s">
        <v>2875</v>
      </c>
      <c r="B547" s="20" t="str">
        <f>VLOOKUP(A547,'Base Sin Negativos'!S547:V1983,2,0)</f>
        <v>Tradiciones Andinas</v>
      </c>
      <c r="C547" s="20" t="str">
        <f>VLOOKUP(A547,'Base Sin Negativos'!S547:V1983,3,0)</f>
        <v>T.A Maiz Gigante Frito Salado/ Giant Corn Snacks 130gr x 12</v>
      </c>
      <c r="D547" s="20">
        <f>VLOOKUP(A547,'Base Sin Negativos'!S547:V1983,4,0)</f>
        <v>12</v>
      </c>
    </row>
    <row r="548" spans="1:4" x14ac:dyDescent="0.25">
      <c r="A548" s="20" t="s">
        <v>2876</v>
      </c>
      <c r="B548" s="20" t="str">
        <f>VLOOKUP(A548,'Base Sin Negativos'!S548:V1984,2,0)</f>
        <v>Tradiciones Andinas</v>
      </c>
      <c r="C548" s="20" t="str">
        <f>VLOOKUP(A548,'Base Sin Negativos'!S548:V1984,3,0)</f>
        <v>T.A Maiz Gigante Frito Salado/ Giant Corn Snacks 130gr x 12</v>
      </c>
      <c r="D548" s="20">
        <f>VLOOKUP(A548,'Base Sin Negativos'!S548:V1984,4,0)</f>
        <v>13.2</v>
      </c>
    </row>
    <row r="549" spans="1:4" x14ac:dyDescent="0.25">
      <c r="A549" s="20" t="s">
        <v>2877</v>
      </c>
      <c r="B549" s="20" t="str">
        <f>VLOOKUP(A549,'Base Sin Negativos'!S549:V1985,2,0)</f>
        <v>Tradiciones Andinas</v>
      </c>
      <c r="C549" s="20" t="str">
        <f>VLOOKUP(A549,'Base Sin Negativos'!S549:V1985,3,0)</f>
        <v>T.A Maiz Morado (Family Pack) /Purple Corn 40OZ X 6</v>
      </c>
      <c r="D549" s="20">
        <f>VLOOKUP(A549,'Base Sin Negativos'!S549:V1985,4,0)</f>
        <v>22.4</v>
      </c>
    </row>
    <row r="550" spans="1:4" x14ac:dyDescent="0.25">
      <c r="A550" s="20" t="s">
        <v>2878</v>
      </c>
      <c r="B550" s="20" t="str">
        <f>VLOOKUP(A550,'Base Sin Negativos'!S550:V1986,2,0)</f>
        <v>Tradiciones Andinas</v>
      </c>
      <c r="C550" s="20" t="str">
        <f>VLOOKUP(A550,'Base Sin Negativos'!S550:V1986,3,0)</f>
        <v>T.A Maiz Morado (Family Pack) /Purple Corn 40OZ X 6</v>
      </c>
      <c r="D550" s="20">
        <f>VLOOKUP(A550,'Base Sin Negativos'!S550:V1986,4,0)</f>
        <v>23.96</v>
      </c>
    </row>
    <row r="551" spans="1:4" x14ac:dyDescent="0.25">
      <c r="A551" s="20" t="s">
        <v>2879</v>
      </c>
      <c r="B551" s="20" t="str">
        <f>VLOOKUP(A551,'Base Sin Negativos'!S551:V1987,2,0)</f>
        <v>Tradiciones Andinas</v>
      </c>
      <c r="C551" s="20" t="str">
        <f>VLOOKUP(A551,'Base Sin Negativos'!S551:V1987,3,0)</f>
        <v>T.A Maiz Morado /Purple Corn 15oz x 16</v>
      </c>
      <c r="D551" s="20">
        <f>VLOOKUP(A551,'Base Sin Negativos'!S551:V1987,4,0)</f>
        <v>22.4</v>
      </c>
    </row>
    <row r="552" spans="1:4" x14ac:dyDescent="0.25">
      <c r="A552" s="20" t="s">
        <v>2880</v>
      </c>
      <c r="B552" s="20" t="str">
        <f>VLOOKUP(A552,'Base Sin Negativos'!S552:V1988,2,0)</f>
        <v>Tradiciones Andinas</v>
      </c>
      <c r="C552" s="20" t="str">
        <f>VLOOKUP(A552,'Base Sin Negativos'!S552:V1988,3,0)</f>
        <v>T.A Maiz Morado /Purple Corn 15oz x 16</v>
      </c>
      <c r="D552" s="20">
        <f>VLOOKUP(A552,'Base Sin Negativos'!S552:V1988,4,0)</f>
        <v>23.96</v>
      </c>
    </row>
    <row r="553" spans="1:4" x14ac:dyDescent="0.25">
      <c r="A553" s="20" t="s">
        <v>2881</v>
      </c>
      <c r="B553" s="20" t="str">
        <f>VLOOKUP(A553,'Base Sin Negativos'!S553:V1989,2,0)</f>
        <v>Tradiciones Andinas</v>
      </c>
      <c r="C553" s="20" t="str">
        <f>VLOOKUP(A553,'Base Sin Negativos'!S553:V1989,3,0)</f>
        <v>T.A Maiz Morado /Purple Corn 50Lb saco</v>
      </c>
      <c r="D553" s="20">
        <f>VLOOKUP(A553,'Base Sin Negativos'!S553:V1989,4,0)</f>
        <v>60</v>
      </c>
    </row>
    <row r="554" spans="1:4" x14ac:dyDescent="0.25">
      <c r="A554" s="20" t="s">
        <v>2882</v>
      </c>
      <c r="B554" s="20" t="str">
        <f>VLOOKUP(A554,'Base Sin Negativos'!S554:V1990,2,0)</f>
        <v>Tradiciones Andinas</v>
      </c>
      <c r="C554" s="20" t="str">
        <f>VLOOKUP(A554,'Base Sin Negativos'!S554:V1990,3,0)</f>
        <v>T.A Maiz Morado /Purple Corn 50Lb saco</v>
      </c>
      <c r="D554" s="20">
        <f>VLOOKUP(A554,'Base Sin Negativos'!S554:V1990,4,0)</f>
        <v>64.2</v>
      </c>
    </row>
    <row r="555" spans="1:4" x14ac:dyDescent="0.25">
      <c r="A555" s="20" t="s">
        <v>2883</v>
      </c>
      <c r="B555" s="20" t="str">
        <f>VLOOKUP(A555,'Base Sin Negativos'!S555:V1991,2,0)</f>
        <v>Tradiciones Andinas</v>
      </c>
      <c r="C555" s="20" t="str">
        <f>VLOOKUP(A555,'Base Sin Negativos'!S555:V1991,3,0)</f>
        <v>T.A Mix Andino Snack / Andean Mix Snack 130gr x 12</v>
      </c>
      <c r="D555" s="20">
        <f>VLOOKUP(A555,'Base Sin Negativos'!S555:V1991,4,0)</f>
        <v>12</v>
      </c>
    </row>
    <row r="556" spans="1:4" x14ac:dyDescent="0.25">
      <c r="A556" s="20" t="s">
        <v>2884</v>
      </c>
      <c r="B556" s="20" t="str">
        <f>VLOOKUP(A556,'Base Sin Negativos'!S556:V1992,2,0)</f>
        <v>Tradiciones Andinas</v>
      </c>
      <c r="C556" s="20" t="str">
        <f>VLOOKUP(A556,'Base Sin Negativos'!S556:V1992,3,0)</f>
        <v>T.A Mix Andino Snack / Andean Mix Snack 130gr x 12</v>
      </c>
      <c r="D556" s="20">
        <f>VLOOKUP(A556,'Base Sin Negativos'!S556:V1992,4,0)</f>
        <v>13.2</v>
      </c>
    </row>
    <row r="557" spans="1:4" x14ac:dyDescent="0.25">
      <c r="A557" s="20" t="s">
        <v>2885</v>
      </c>
      <c r="B557" s="20" t="str">
        <f>VLOOKUP(A557,'Base Sin Negativos'!S557:V1993,2,0)</f>
        <v>Tradiciones Andinas</v>
      </c>
      <c r="C557" s="20" t="str">
        <f>VLOOKUP(A557,'Base Sin Negativos'!S557:V1993,3,0)</f>
        <v>T.A Mora en Fruta - Blackberry FROZEN 28oz x 12</v>
      </c>
      <c r="D557" s="20">
        <f>VLOOKUP(A557,'Base Sin Negativos'!S557:V1993,4,0)</f>
        <v>35</v>
      </c>
    </row>
    <row r="558" spans="1:4" x14ac:dyDescent="0.25">
      <c r="A558" s="20" t="s">
        <v>2886</v>
      </c>
      <c r="B558" s="20" t="str">
        <f>VLOOKUP(A558,'Base Sin Negativos'!S558:V1994,2,0)</f>
        <v>Tradiciones Andinas</v>
      </c>
      <c r="C558" s="20" t="str">
        <f>VLOOKUP(A558,'Base Sin Negativos'!S558:V1994,3,0)</f>
        <v>T.A Motas de Guanabana en Almibar 790gr x 12</v>
      </c>
      <c r="D558" s="20">
        <f>VLOOKUP(A558,'Base Sin Negativos'!S558:V1994,4,0)</f>
        <v>34.68</v>
      </c>
    </row>
    <row r="559" spans="1:4" x14ac:dyDescent="0.25">
      <c r="A559" s="20" t="s">
        <v>2887</v>
      </c>
      <c r="B559" s="20" t="str">
        <f>VLOOKUP(A559,'Base Sin Negativos'!S559:V1995,2,0)</f>
        <v>Tradiciones Andinas</v>
      </c>
      <c r="C559" s="20" t="str">
        <f>VLOOKUP(A559,'Base Sin Negativos'!S559:V1995,3,0)</f>
        <v>T.A Motas de Guanabana en Almibar 790gr x 12</v>
      </c>
      <c r="D559" s="20">
        <f>VLOOKUP(A559,'Base Sin Negativos'!S559:V1995,4,0)</f>
        <v>37.11</v>
      </c>
    </row>
    <row r="560" spans="1:4" x14ac:dyDescent="0.25">
      <c r="A560" s="20" t="s">
        <v>2888</v>
      </c>
      <c r="B560" s="20" t="str">
        <f>VLOOKUP(A560,'Base Sin Negativos'!S560:V1996,2,0)</f>
        <v>Tradiciones Andinas</v>
      </c>
      <c r="C560" s="20" t="str">
        <f>VLOOKUP(A560,'Base Sin Negativos'!S560:V1996,3,0)</f>
        <v>T.A Mote Pelado (Family Pack) /Peeled Mote Corn 54oz x 6</v>
      </c>
      <c r="D560" s="20">
        <f>VLOOKUP(A560,'Base Sin Negativos'!S560:V1996,4,0)</f>
        <v>35</v>
      </c>
    </row>
    <row r="561" spans="1:4" x14ac:dyDescent="0.25">
      <c r="A561" s="20" t="s">
        <v>2889</v>
      </c>
      <c r="B561" s="20" t="str">
        <f>VLOOKUP(A561,'Base Sin Negativos'!S561:V1997,2,0)</f>
        <v>Tradiciones Andinas</v>
      </c>
      <c r="C561" s="20" t="str">
        <f>VLOOKUP(A561,'Base Sin Negativos'!S561:V1997,3,0)</f>
        <v>T.A Mote Pelado Saco 50lb</v>
      </c>
      <c r="D561" s="20">
        <f>VLOOKUP(A561,'Base Sin Negativos'!S561:V1997,4,0)</f>
        <v>80</v>
      </c>
    </row>
    <row r="562" spans="1:4" x14ac:dyDescent="0.25">
      <c r="A562" s="20" t="s">
        <v>2890</v>
      </c>
      <c r="B562" s="20" t="str">
        <f>VLOOKUP(A562,'Base Sin Negativos'!S562:V1998,2,0)</f>
        <v>Tradiciones Andinas</v>
      </c>
      <c r="C562" s="20" t="str">
        <f>VLOOKUP(A562,'Base Sin Negativos'!S562:V1998,3,0)</f>
        <v>T.A Mote Pelado Saco 50lb</v>
      </c>
      <c r="D562" s="20">
        <f>VLOOKUP(A562,'Base Sin Negativos'!S562:V1998,4,0)</f>
        <v>85.6</v>
      </c>
    </row>
    <row r="563" spans="1:4" x14ac:dyDescent="0.25">
      <c r="A563" s="20" t="s">
        <v>2891</v>
      </c>
      <c r="B563" s="20" t="str">
        <f>VLOOKUP(A563,'Base Sin Negativos'!S563:V1999,2,0)</f>
        <v>Tradiciones Andinas</v>
      </c>
      <c r="C563" s="20" t="str">
        <f>VLOOKUP(A563,'Base Sin Negativos'!S563:V1999,3,0)</f>
        <v>T.A Nectar de Maracuya bebida 16oz x 12</v>
      </c>
      <c r="D563" s="20">
        <f>VLOOKUP(A563,'Base Sin Negativos'!S563:V1999,4,0)</f>
        <v>15</v>
      </c>
    </row>
    <row r="564" spans="1:4" x14ac:dyDescent="0.25">
      <c r="A564" s="20" t="s">
        <v>2892</v>
      </c>
      <c r="B564" s="20" t="str">
        <f>VLOOKUP(A564,'Base Sin Negativos'!S564:V2000,2,0)</f>
        <v>Tradiciones Andinas</v>
      </c>
      <c r="C564" s="20" t="str">
        <f>VLOOKUP(A564,'Base Sin Negativos'!S564:V2000,3,0)</f>
        <v>T.A Nectar de Maracuya bebida 16oz x 12</v>
      </c>
      <c r="D564" s="20">
        <f>VLOOKUP(A564,'Base Sin Negativos'!S564:V2000,4,0)</f>
        <v>16.05</v>
      </c>
    </row>
    <row r="565" spans="1:4" x14ac:dyDescent="0.25">
      <c r="A565" s="20" t="s">
        <v>2893</v>
      </c>
      <c r="B565" s="20" t="str">
        <f>VLOOKUP(A565,'Base Sin Negativos'!S565:V2001,2,0)</f>
        <v>Tradiciones Andinas</v>
      </c>
      <c r="C565" s="20" t="str">
        <f>VLOOKUP(A565,'Base Sin Negativos'!S565:V2001,3,0)</f>
        <v>T.A Olluco cortado / Sliced Ollucos 16oz x 20</v>
      </c>
      <c r="D565" s="20">
        <f>VLOOKUP(A565,'Base Sin Negativos'!S565:V2001,4,0)</f>
        <v>45</v>
      </c>
    </row>
    <row r="566" spans="1:4" x14ac:dyDescent="0.25">
      <c r="A566" s="20" t="s">
        <v>2894</v>
      </c>
      <c r="B566" s="20" t="str">
        <f>VLOOKUP(A566,'Base Sin Negativos'!S566:V2002,2,0)</f>
        <v>Tradiciones Andinas</v>
      </c>
      <c r="C566" s="20" t="str">
        <f>VLOOKUP(A566,'Base Sin Negativos'!S566:V2002,3,0)</f>
        <v>T.A Olluco en Lata /Whole Ollucus 20oz x 24</v>
      </c>
      <c r="D566" s="20">
        <f>VLOOKUP(A566,'Base Sin Negativos'!S566:V2002,4,0)</f>
        <v>51.1</v>
      </c>
    </row>
    <row r="567" spans="1:4" x14ac:dyDescent="0.25">
      <c r="A567" s="20" t="s">
        <v>2895</v>
      </c>
      <c r="B567" s="20" t="str">
        <f>VLOOKUP(A567,'Base Sin Negativos'!S567:V2003,2,0)</f>
        <v>Tradiciones Andinas</v>
      </c>
      <c r="C567" s="20" t="str">
        <f>VLOOKUP(A567,'Base Sin Negativos'!S567:V2003,3,0)</f>
        <v>T.A Pallares /Lima Beans 15oz x 24</v>
      </c>
      <c r="D567" s="20">
        <f>VLOOKUP(A567,'Base Sin Negativos'!S567:V2003,4,0)</f>
        <v>36</v>
      </c>
    </row>
    <row r="568" spans="1:4" x14ac:dyDescent="0.25">
      <c r="A568" s="20" t="s">
        <v>2896</v>
      </c>
      <c r="B568" s="20" t="str">
        <f>VLOOKUP(A568,'Base Sin Negativos'!S568:V2004,2,0)</f>
        <v>Tradiciones Andinas</v>
      </c>
      <c r="C568" s="20" t="str">
        <f>VLOOKUP(A568,'Base Sin Negativos'!S568:V2004,3,0)</f>
        <v>T.A Papa Amarilla / Yellow Potato 16oz x 20 FROZEN</v>
      </c>
      <c r="D568" s="20">
        <f>VLOOKUP(A568,'Base Sin Negativos'!S568:V2004,4,0)</f>
        <v>49.8</v>
      </c>
    </row>
    <row r="569" spans="1:4" x14ac:dyDescent="0.25">
      <c r="A569" s="20" t="s">
        <v>2897</v>
      </c>
      <c r="B569" s="20" t="str">
        <f>VLOOKUP(A569,'Base Sin Negativos'!S569:V2005,2,0)</f>
        <v>Tradiciones Andinas</v>
      </c>
      <c r="C569" s="20" t="str">
        <f>VLOOKUP(A569,'Base Sin Negativos'!S569:V2005,3,0)</f>
        <v>T.A Papa Criolla / Yellow Potato 2Lb x 12</v>
      </c>
      <c r="D569" s="20">
        <f>VLOOKUP(A569,'Base Sin Negativos'!S569:V2005,4,0)</f>
        <v>45</v>
      </c>
    </row>
    <row r="570" spans="1:4" x14ac:dyDescent="0.25">
      <c r="A570" s="20" t="s">
        <v>2898</v>
      </c>
      <c r="B570" s="20" t="str">
        <f>VLOOKUP(A570,'Base Sin Negativos'!S570:V2006,2,0)</f>
        <v>Tradiciones Andinas</v>
      </c>
      <c r="C570" s="20" t="str">
        <f>VLOOKUP(A570,'Base Sin Negativos'!S570:V2006,3,0)</f>
        <v>T.A Papa Seca Amarilla  / Yelow Dried Potato 15oz x 18</v>
      </c>
      <c r="D570" s="20">
        <f>VLOOKUP(A570,'Base Sin Negativos'!S570:V2006,4,0)</f>
        <v>28.62</v>
      </c>
    </row>
    <row r="571" spans="1:4" x14ac:dyDescent="0.25">
      <c r="A571" s="20" t="s">
        <v>2899</v>
      </c>
      <c r="B571" s="20" t="str">
        <f>VLOOKUP(A571,'Base Sin Negativos'!S571:V2007,2,0)</f>
        <v>Tradiciones Andinas</v>
      </c>
      <c r="C571" s="20" t="str">
        <f>VLOOKUP(A571,'Base Sin Negativos'!S571:V2007,3,0)</f>
        <v>T.A Papa Seca Amarilla  / Yelow Dried Potato 15oz x 18</v>
      </c>
      <c r="D571" s="20">
        <f>VLOOKUP(A571,'Base Sin Negativos'!S571:V2007,4,0)</f>
        <v>30.24</v>
      </c>
    </row>
    <row r="572" spans="1:4" x14ac:dyDescent="0.25">
      <c r="A572" s="20" t="s">
        <v>2900</v>
      </c>
      <c r="B572" s="20" t="str">
        <f>VLOOKUP(A572,'Base Sin Negativos'!S572:V2008,2,0)</f>
        <v>Tradiciones Andinas</v>
      </c>
      <c r="C572" s="20" t="str">
        <f>VLOOKUP(A572,'Base Sin Negativos'!S572:V2008,3,0)</f>
        <v>T.A Papa Seca Amarilla (Family Pack) /Yelow Dried Potato 40oz x 6</v>
      </c>
      <c r="D572" s="20">
        <f>VLOOKUP(A572,'Base Sin Negativos'!S572:V2008,4,0)</f>
        <v>27.54</v>
      </c>
    </row>
    <row r="573" spans="1:4" x14ac:dyDescent="0.25">
      <c r="A573" s="20" t="s">
        <v>2901</v>
      </c>
      <c r="B573" s="20" t="str">
        <f>VLOOKUP(A573,'Base Sin Negativos'!S573:V2009,2,0)</f>
        <v>Tradiciones Andinas</v>
      </c>
      <c r="C573" s="20" t="str">
        <f>VLOOKUP(A573,'Base Sin Negativos'!S573:V2009,3,0)</f>
        <v>T.A Papa Seca Amarilla (Family Pack) /Yelow Dried Potato 40oz x 6</v>
      </c>
      <c r="D573" s="20">
        <f>VLOOKUP(A573,'Base Sin Negativos'!S573:V2009,4,0)</f>
        <v>28.62</v>
      </c>
    </row>
    <row r="574" spans="1:4" x14ac:dyDescent="0.25">
      <c r="A574" s="20" t="s">
        <v>2902</v>
      </c>
      <c r="B574" s="20" t="str">
        <f>VLOOKUP(A574,'Base Sin Negativos'!S574:V2010,2,0)</f>
        <v>Tradiciones Andinas</v>
      </c>
      <c r="C574" s="20" t="str">
        <f>VLOOKUP(A574,'Base Sin Negativos'!S574:V2010,3,0)</f>
        <v>T.A Papa Seca Negra (Family Pack) / Black Dried Potato 54oz x 5</v>
      </c>
      <c r="D574" s="20">
        <f>VLOOKUP(A574,'Base Sin Negativos'!S574:V2010,4,0)</f>
        <v>28.62</v>
      </c>
    </row>
    <row r="575" spans="1:4" x14ac:dyDescent="0.25">
      <c r="A575" s="20" t="s">
        <v>2903</v>
      </c>
      <c r="B575" s="20" t="str">
        <f>VLOOKUP(A575,'Base Sin Negativos'!S575:V2011,2,0)</f>
        <v>Tradiciones Andinas</v>
      </c>
      <c r="C575" s="20" t="str">
        <f>VLOOKUP(A575,'Base Sin Negativos'!S575:V2011,3,0)</f>
        <v>T.A Papa Seca Negra / Dried Potato 15OZ X 18</v>
      </c>
      <c r="D575" s="20">
        <f>VLOOKUP(A575,'Base Sin Negativos'!S575:V2011,4,0)</f>
        <v>28.62</v>
      </c>
    </row>
    <row r="576" spans="1:4" x14ac:dyDescent="0.25">
      <c r="A576" s="20" t="s">
        <v>2904</v>
      </c>
      <c r="B576" s="20" t="str">
        <f>VLOOKUP(A576,'Base Sin Negativos'!S576:V2012,2,0)</f>
        <v>Tradiciones Andinas</v>
      </c>
      <c r="C576" s="20" t="str">
        <f>VLOOKUP(A576,'Base Sin Negativos'!S576:V2012,3,0)</f>
        <v>T.A Papa Seca Negra / Dried Potato 15OZ X 18</v>
      </c>
      <c r="D576" s="20">
        <f>VLOOKUP(A576,'Base Sin Negativos'!S576:V2012,4,0)</f>
        <v>30.24</v>
      </c>
    </row>
    <row r="577" spans="1:4" x14ac:dyDescent="0.25">
      <c r="A577" s="20" t="s">
        <v>2905</v>
      </c>
      <c r="B577" s="20" t="str">
        <f>VLOOKUP(A577,'Base Sin Negativos'!S577:V2013,2,0)</f>
        <v>Tradiciones Andinas</v>
      </c>
      <c r="C577" s="20" t="str">
        <f>VLOOKUP(A577,'Base Sin Negativos'!S577:V2013,3,0)</f>
        <v>T.A Peeled Mote Corn / Mote Pelado 15oz x 24</v>
      </c>
      <c r="D577" s="20">
        <f>VLOOKUP(A577,'Base Sin Negativos'!S577:V2013,4,0)</f>
        <v>39.36</v>
      </c>
    </row>
    <row r="578" spans="1:4" x14ac:dyDescent="0.25">
      <c r="A578" s="20" t="s">
        <v>2906</v>
      </c>
      <c r="B578" s="20" t="str">
        <f>VLOOKUP(A578,'Base Sin Negativos'!S578:V2014,2,0)</f>
        <v>Tradiciones Andinas</v>
      </c>
      <c r="C578" s="20" t="str">
        <f>VLOOKUP(A578,'Base Sin Negativos'!S578:V2014,3,0)</f>
        <v>T.A Peeled Mote Corn / Mote Pelado 15oz x 24</v>
      </c>
      <c r="D578" s="20">
        <f>VLOOKUP(A578,'Base Sin Negativos'!S578:V2014,4,0)</f>
        <v>42.96</v>
      </c>
    </row>
    <row r="579" spans="1:4" x14ac:dyDescent="0.25">
      <c r="A579" s="20" t="s">
        <v>2907</v>
      </c>
      <c r="B579" s="20" t="str">
        <f>VLOOKUP(A579,'Base Sin Negativos'!S579:V2015,2,0)</f>
        <v>Tradiciones Andinas</v>
      </c>
      <c r="C579" s="20" t="str">
        <f>VLOOKUP(A579,'Base Sin Negativos'!S579:V2015,3,0)</f>
        <v>T.A Peeled Mote Corn / Mote Pelado 15oz x 24</v>
      </c>
      <c r="D579" s="20">
        <f>VLOOKUP(A579,'Base Sin Negativos'!S579:V2015,4,0)</f>
        <v>45.96</v>
      </c>
    </row>
    <row r="580" spans="1:4" x14ac:dyDescent="0.25">
      <c r="A580" s="20" t="s">
        <v>2908</v>
      </c>
      <c r="B580" s="20" t="str">
        <f>VLOOKUP(A580,'Base Sin Negativos'!S580:V2016,2,0)</f>
        <v>Tradiciones Andinas</v>
      </c>
      <c r="C580" s="20" t="str">
        <f>VLOOKUP(A580,'Base Sin Negativos'!S580:V2016,3,0)</f>
        <v>T.A Platanitos fritos salados / chifles - Salted Plantain Chips</v>
      </c>
      <c r="D580" s="20">
        <f>VLOOKUP(A580,'Base Sin Negativos'!S580:V2016,4,0)</f>
        <v>13.2</v>
      </c>
    </row>
    <row r="581" spans="1:4" x14ac:dyDescent="0.25">
      <c r="A581" s="20" t="s">
        <v>2909</v>
      </c>
      <c r="B581" s="20" t="str">
        <f>VLOOKUP(A581,'Base Sin Negativos'!S581:V2017,2,0)</f>
        <v>Tradiciones Andinas</v>
      </c>
      <c r="C581" s="20" t="str">
        <f>VLOOKUP(A581,'Base Sin Negativos'!S581:V2017,3,0)</f>
        <v>T.A Pulpa de Guanabana / Soursop Pulpa 14oz x 12</v>
      </c>
      <c r="D581" s="20">
        <f>VLOOKUP(A581,'Base Sin Negativos'!S581:V2017,4,0)</f>
        <v>28.68</v>
      </c>
    </row>
    <row r="582" spans="1:4" x14ac:dyDescent="0.25">
      <c r="A582" s="20" t="s">
        <v>2910</v>
      </c>
      <c r="B582" s="20" t="str">
        <f>VLOOKUP(A582,'Base Sin Negativos'!S582:V2018,2,0)</f>
        <v>Tradiciones Andinas</v>
      </c>
      <c r="C582" s="20" t="str">
        <f>VLOOKUP(A582,'Base Sin Negativos'!S582:V2018,3,0)</f>
        <v>T.A Pulpa De Lucuma / Lucuma  Pulp 12oz x 20</v>
      </c>
      <c r="D582" s="20">
        <f>VLOOKUP(A582,'Base Sin Negativos'!S582:V2018,4,0)</f>
        <v>45.8</v>
      </c>
    </row>
    <row r="583" spans="1:4" x14ac:dyDescent="0.25">
      <c r="A583" s="20" t="s">
        <v>2911</v>
      </c>
      <c r="B583" s="20" t="str">
        <f>VLOOKUP(A583,'Base Sin Negativos'!S583:V2019,2,0)</f>
        <v>Tradiciones Andinas</v>
      </c>
      <c r="C583" s="20" t="str">
        <f>VLOOKUP(A583,'Base Sin Negativos'!S583:V2019,3,0)</f>
        <v>T.A Pulpa De Lucuma / Lucuma  Pulp 12oz x 20</v>
      </c>
      <c r="D583" s="20">
        <f>VLOOKUP(A583,'Base Sin Negativos'!S583:V2019,4,0)</f>
        <v>47.8</v>
      </c>
    </row>
    <row r="584" spans="1:4" x14ac:dyDescent="0.25">
      <c r="A584" s="20" t="s">
        <v>2912</v>
      </c>
      <c r="B584" s="20" t="str">
        <f>VLOOKUP(A584,'Base Sin Negativos'!S584:V2020,2,0)</f>
        <v>Tradiciones Andinas</v>
      </c>
      <c r="C584" s="20" t="str">
        <f>VLOOKUP(A584,'Base Sin Negativos'!S584:V2020,3,0)</f>
        <v>T.A Pulpa De Lucuma / Lucuma  Pulp 12oz x 20</v>
      </c>
      <c r="D584" s="20">
        <f>VLOOKUP(A584,'Base Sin Negativos'!S584:V2020,4,0)</f>
        <v>51.15</v>
      </c>
    </row>
    <row r="585" spans="1:4" x14ac:dyDescent="0.25">
      <c r="A585" s="20" t="s">
        <v>2913</v>
      </c>
      <c r="B585" s="20" t="str">
        <f>VLOOKUP(A585,'Base Sin Negativos'!S585:V2021,2,0)</f>
        <v>Tradiciones Andinas</v>
      </c>
      <c r="C585" s="20" t="str">
        <f>VLOOKUP(A585,'Base Sin Negativos'!S585:V2021,3,0)</f>
        <v>T.A Pulpa de Maracuya / Passion Fruit pulp14oz x 12 FROZEN</v>
      </c>
      <c r="D585" s="20">
        <f>VLOOKUP(A585,'Base Sin Negativos'!S585:V2021,4,0)</f>
        <v>25.08</v>
      </c>
    </row>
    <row r="586" spans="1:4" x14ac:dyDescent="0.25">
      <c r="A586" s="20" t="s">
        <v>2914</v>
      </c>
      <c r="B586" s="20" t="str">
        <f>VLOOKUP(A586,'Base Sin Negativos'!S586:V2022,2,0)</f>
        <v>Tradiciones Andinas</v>
      </c>
      <c r="C586" s="20" t="str">
        <f>VLOOKUP(A586,'Base Sin Negativos'!S586:V2022,3,0)</f>
        <v>T.A Pulpa de Maracuya / Passion Fruit pulp14oz x 12 FROZEN</v>
      </c>
      <c r="D586" s="20">
        <f>VLOOKUP(A586,'Base Sin Negativos'!S586:V2022,4,0)</f>
        <v>26.84</v>
      </c>
    </row>
    <row r="587" spans="1:4" x14ac:dyDescent="0.25">
      <c r="A587" s="20" t="s">
        <v>2915</v>
      </c>
      <c r="B587" s="20" t="str">
        <f>VLOOKUP(A587,'Base Sin Negativos'!S587:V2023,2,0)</f>
        <v>Tradiciones Andinas</v>
      </c>
      <c r="C587" s="20" t="str">
        <f>VLOOKUP(A587,'Base Sin Negativos'!S587:V2023,3,0)</f>
        <v>T.A Pulpa de Maracuya / Passion Fruit pulp14oz x 12 FROZEN</v>
      </c>
      <c r="D587" s="20">
        <f>VLOOKUP(A587,'Base Sin Negativos'!S587:V2023,4,0)</f>
        <v>26.4</v>
      </c>
    </row>
    <row r="588" spans="1:4" x14ac:dyDescent="0.25">
      <c r="A588" s="20" t="s">
        <v>2916</v>
      </c>
      <c r="B588" s="20" t="str">
        <f>VLOOKUP(A588,'Base Sin Negativos'!S588:V2024,2,0)</f>
        <v>Tradiciones Andinas</v>
      </c>
      <c r="C588" s="20" t="str">
        <f>VLOOKUP(A588,'Base Sin Negativos'!S588:V2024,3,0)</f>
        <v>T.A Pulpa de Maracuya con pepas / Passion fruit pulp with Seeds</v>
      </c>
      <c r="D588" s="20">
        <f>VLOOKUP(A588,'Base Sin Negativos'!S588:V2024,4,0)</f>
        <v>26.84</v>
      </c>
    </row>
    <row r="589" spans="1:4" x14ac:dyDescent="0.25">
      <c r="A589" s="20" t="s">
        <v>2917</v>
      </c>
      <c r="B589" s="20" t="str">
        <f>VLOOKUP(A589,'Base Sin Negativos'!S589:V2025,2,0)</f>
        <v>Tradiciones Andinas</v>
      </c>
      <c r="C589" s="20" t="str">
        <f>VLOOKUP(A589,'Base Sin Negativos'!S589:V2025,3,0)</f>
        <v>T.A Quinoa Blanca  /White  Quinoa</v>
      </c>
      <c r="D589" s="20">
        <f>VLOOKUP(A589,'Base Sin Negativos'!S589:V2025,4,0)</f>
        <v>38.93</v>
      </c>
    </row>
    <row r="590" spans="1:4" x14ac:dyDescent="0.25">
      <c r="A590" s="20" t="s">
        <v>2918</v>
      </c>
      <c r="B590" s="20" t="str">
        <f>VLOOKUP(A590,'Base Sin Negativos'!S590:V2026,2,0)</f>
        <v>Tradiciones Andinas</v>
      </c>
      <c r="C590" s="20" t="str">
        <f>VLOOKUP(A590,'Base Sin Negativos'!S590:V2026,3,0)</f>
        <v>T.A Quinoa Negra  / Black  Quinoa14oz x 12</v>
      </c>
      <c r="D590" s="20">
        <f>VLOOKUP(A590,'Base Sin Negativos'!S590:V2026,4,0)</f>
        <v>22.68</v>
      </c>
    </row>
    <row r="591" spans="1:4" x14ac:dyDescent="0.25">
      <c r="A591" s="20" t="s">
        <v>2919</v>
      </c>
      <c r="B591" s="20" t="str">
        <f>VLOOKUP(A591,'Base Sin Negativos'!S591:V2027,2,0)</f>
        <v>Tradiciones Andinas</v>
      </c>
      <c r="C591" s="20" t="str">
        <f>VLOOKUP(A591,'Base Sin Negativos'!S591:V2027,3,0)</f>
        <v>T.A Quinoa Tricolor  / Tri-Color Quinoa14oz x 12</v>
      </c>
      <c r="D591" s="20">
        <f>VLOOKUP(A591,'Base Sin Negativos'!S591:V2027,4,0)</f>
        <v>22.68</v>
      </c>
    </row>
    <row r="592" spans="1:4" x14ac:dyDescent="0.25">
      <c r="A592" s="20" t="s">
        <v>2920</v>
      </c>
      <c r="B592" s="20" t="str">
        <f>VLOOKUP(A592,'Base Sin Negativos'!S592:V2028,2,0)</f>
        <v>Tradiciones Andinas</v>
      </c>
      <c r="C592" s="20" t="str">
        <f>VLOOKUP(A592,'Base Sin Negativos'!S592:V2028,3,0)</f>
        <v>T.A Quinua /Quinoa 15oz x 24</v>
      </c>
      <c r="D592" s="20">
        <f>VLOOKUP(A592,'Base Sin Negativos'!S592:V2028,4,0)</f>
        <v>40.159999999999997</v>
      </c>
    </row>
    <row r="593" spans="1:4" x14ac:dyDescent="0.25">
      <c r="A593" s="20" t="s">
        <v>2921</v>
      </c>
      <c r="B593" s="20" t="str">
        <f>VLOOKUP(A593,'Base Sin Negativos'!S593:V2029,2,0)</f>
        <v>Tradiciones Andinas</v>
      </c>
      <c r="C593" s="20" t="str">
        <f>VLOOKUP(A593,'Base Sin Negativos'!S593:V2029,3,0)</f>
        <v>T.A Rocoto en Lata /Red Hot Peppers Halves</v>
      </c>
      <c r="D593" s="20">
        <f>VLOOKUP(A593,'Base Sin Negativos'!S593:V2029,4,0)</f>
        <v>51.1</v>
      </c>
    </row>
    <row r="594" spans="1:4" x14ac:dyDescent="0.25">
      <c r="A594" s="20" t="s">
        <v>2922</v>
      </c>
      <c r="B594" s="20" t="str">
        <f>VLOOKUP(A594,'Base Sin Negativos'!S594:V2030,2,0)</f>
        <v>Tradiciones Andinas</v>
      </c>
      <c r="C594" s="20" t="str">
        <f>VLOOKUP(A594,'Base Sin Negativos'!S594:V2030,3,0)</f>
        <v>T.A Rocoto en pasta 7.5oz x 24</v>
      </c>
      <c r="D594" s="20">
        <f>VLOOKUP(A594,'Base Sin Negativos'!S594:V2030,4,0)</f>
        <v>30.96</v>
      </c>
    </row>
    <row r="595" spans="1:4" x14ac:dyDescent="0.25">
      <c r="A595" s="20" t="s">
        <v>2923</v>
      </c>
      <c r="B595" s="20" t="str">
        <f>VLOOKUP(A595,'Base Sin Negativos'!S595:V2031,2,0)</f>
        <v>Tradiciones Andinas</v>
      </c>
      <c r="C595" s="20" t="str">
        <f>VLOOKUP(A595,'Base Sin Negativos'!S595:V2031,3,0)</f>
        <v>T.A Rocoto en pasta 7.5oz x 24</v>
      </c>
      <c r="D595" s="20">
        <f>VLOOKUP(A595,'Base Sin Negativos'!S595:V2031,4,0)</f>
        <v>33.119999999999997</v>
      </c>
    </row>
    <row r="596" spans="1:4" x14ac:dyDescent="0.25">
      <c r="A596" s="20" t="s">
        <v>2924</v>
      </c>
      <c r="B596" s="20" t="str">
        <f>VLOOKUP(A596,'Base Sin Negativos'!S596:V2032,2,0)</f>
        <v>Tradiciones Andinas</v>
      </c>
      <c r="C596" s="20" t="str">
        <f>VLOOKUP(A596,'Base Sin Negativos'!S596:V2032,3,0)</f>
        <v>T.A Rocoto en Salmuera /Red Hot Peppers Halves</v>
      </c>
      <c r="D596" s="20">
        <f>VLOOKUP(A596,'Base Sin Negativos'!S596:V2032,4,0)</f>
        <v>32</v>
      </c>
    </row>
    <row r="597" spans="1:4" x14ac:dyDescent="0.25">
      <c r="A597" s="20" t="s">
        <v>2925</v>
      </c>
      <c r="B597" s="20" t="str">
        <f>VLOOKUP(A597,'Base Sin Negativos'!S597:V2033,2,0)</f>
        <v>Tradiciones Andinas</v>
      </c>
      <c r="C597" s="20" t="str">
        <f>VLOOKUP(A597,'Base Sin Negativos'!S597:V2033,3,0)</f>
        <v>T.A Rocoto Entero / Red Hot Pepper FROZEN 16oz x 20</v>
      </c>
      <c r="D597" s="20">
        <f>VLOOKUP(A597,'Base Sin Negativos'!S597:V2033,4,0)</f>
        <v>50</v>
      </c>
    </row>
    <row r="598" spans="1:4" x14ac:dyDescent="0.25">
      <c r="A598" s="20" t="s">
        <v>2926</v>
      </c>
      <c r="B598" s="20" t="str">
        <f>VLOOKUP(A598,'Base Sin Negativos'!S598:V2034,2,0)</f>
        <v>Tradiciones Andinas</v>
      </c>
      <c r="C598" s="20" t="str">
        <f>VLOOKUP(A598,'Base Sin Negativos'!S598:V2034,3,0)</f>
        <v>T.A Rocoto Entero / Red Hot Pepper FROZEN 16oz x 20</v>
      </c>
      <c r="D598" s="20">
        <f>VLOOKUP(A598,'Base Sin Negativos'!S598:V2034,4,0)</f>
        <v>53.5</v>
      </c>
    </row>
    <row r="599" spans="1:4" x14ac:dyDescent="0.25">
      <c r="A599" s="20" t="s">
        <v>2927</v>
      </c>
      <c r="B599" s="20" t="str">
        <f>VLOOKUP(A599,'Base Sin Negativos'!S599:V2035,2,0)</f>
        <v>Tradiciones Andinas</v>
      </c>
      <c r="C599" s="20" t="str">
        <f>VLOOKUP(A599,'Base Sin Negativos'!S599:V2035,3,0)</f>
        <v>T.A Rocoto Pasta 10.5oz x 12</v>
      </c>
      <c r="D599" s="20">
        <f>VLOOKUP(A599,'Base Sin Negativos'!S599:V2035,4,0)</f>
        <v>23.88</v>
      </c>
    </row>
    <row r="600" spans="1:4" x14ac:dyDescent="0.25">
      <c r="A600" s="20" t="s">
        <v>2928</v>
      </c>
      <c r="B600" s="20" t="str">
        <f>VLOOKUP(A600,'Base Sin Negativos'!S600:V2036,2,0)</f>
        <v>Tradiciones Andinas</v>
      </c>
      <c r="C600" s="20" t="str">
        <f>VLOOKUP(A600,'Base Sin Negativos'!S600:V2036,3,0)</f>
        <v>T.A Rocoto Pasta 15oz X 12</v>
      </c>
      <c r="D600" s="20">
        <f>VLOOKUP(A600,'Base Sin Negativos'!S600:V2036,4,0)</f>
        <v>27.48</v>
      </c>
    </row>
    <row r="601" spans="1:4" x14ac:dyDescent="0.25">
      <c r="A601" s="20" t="s">
        <v>2929</v>
      </c>
      <c r="B601" s="20" t="str">
        <f>VLOOKUP(A601,'Base Sin Negativos'!S601:V2037,2,0)</f>
        <v>Tradiciones Andinas</v>
      </c>
      <c r="C601" s="20" t="str">
        <f>VLOOKUP(A601,'Base Sin Negativos'!S601:V2037,3,0)</f>
        <v>T.A Rocoto Pasta 15oz X 12</v>
      </c>
      <c r="D601" s="20">
        <f>VLOOKUP(A601,'Base Sin Negativos'!S601:V2037,4,0)</f>
        <v>29.4</v>
      </c>
    </row>
    <row r="602" spans="1:4" x14ac:dyDescent="0.25">
      <c r="A602" s="20" t="s">
        <v>2930</v>
      </c>
      <c r="B602" s="20" t="str">
        <f>VLOOKUP(A602,'Base Sin Negativos'!S602:V2038,2,0)</f>
        <v>Tradiciones Andinas</v>
      </c>
      <c r="C602" s="20" t="str">
        <f>VLOOKUP(A602,'Base Sin Negativos'!S602:V2038,3,0)</f>
        <v>T.A Salsa Parrillera /BBQ Seasoning 15oz x 12</v>
      </c>
      <c r="D602" s="20">
        <f>VLOOKUP(A602,'Base Sin Negativos'!S602:V2038,4,0)</f>
        <v>27</v>
      </c>
    </row>
    <row r="603" spans="1:4" x14ac:dyDescent="0.25">
      <c r="A603" s="20" t="s">
        <v>2931</v>
      </c>
      <c r="B603" s="20" t="str">
        <f>VLOOKUP(A603,'Base Sin Negativos'!S603:V2039,2,0)</f>
        <v>Tradiciones Andinas</v>
      </c>
      <c r="C603" s="20" t="str">
        <f>VLOOKUP(A603,'Base Sin Negativos'!S603:V2039,3,0)</f>
        <v>T.A Salsa Parrillera /BBQ Seasoning 15oz x 12</v>
      </c>
      <c r="D603" s="20">
        <f>VLOOKUP(A603,'Base Sin Negativos'!S603:V2039,4,0)</f>
        <v>28.89</v>
      </c>
    </row>
    <row r="604" spans="1:4" x14ac:dyDescent="0.25">
      <c r="A604" s="20" t="s">
        <v>2932</v>
      </c>
      <c r="B604" s="20" t="str">
        <f>VLOOKUP(A604,'Base Sin Negativos'!S604:V2040,2,0)</f>
        <v>Tradiciones Andinas</v>
      </c>
      <c r="C604" s="20" t="str">
        <f>VLOOKUP(A604,'Base Sin Negativos'!S604:V2040,3,0)</f>
        <v>T.A Salsa Parrillera /BBQ Seasoning 15oz x 12</v>
      </c>
      <c r="D604" s="20">
        <f>VLOOKUP(A604,'Base Sin Negativos'!S604:V2040,4,0)</f>
        <v>28.88</v>
      </c>
    </row>
    <row r="605" spans="1:4" x14ac:dyDescent="0.25">
      <c r="A605" s="20" t="s">
        <v>2933</v>
      </c>
      <c r="B605" s="20" t="str">
        <f>VLOOKUP(A605,'Base Sin Negativos'!S605:V2041,2,0)</f>
        <v>Tradiciones Andinas</v>
      </c>
      <c r="C605" s="20" t="str">
        <f>VLOOKUP(A605,'Base Sin Negativos'!S605:V2041,3,0)</f>
        <v>T.A Salsa Pollo A La Brasa /Grill Chicken Seasoning 15oz x 12</v>
      </c>
      <c r="D605" s="20">
        <f>VLOOKUP(A605,'Base Sin Negativos'!S605:V2041,4,0)</f>
        <v>27</v>
      </c>
    </row>
    <row r="606" spans="1:4" x14ac:dyDescent="0.25">
      <c r="A606" s="20" t="s">
        <v>2934</v>
      </c>
      <c r="B606" s="20" t="str">
        <f>VLOOKUP(A606,'Base Sin Negativos'!S606:V2042,2,0)</f>
        <v>Tradiciones Andinas</v>
      </c>
      <c r="C606" s="20" t="str">
        <f>VLOOKUP(A606,'Base Sin Negativos'!S606:V2042,3,0)</f>
        <v>T.A Salsa Pollo A La Brasa /Grill Chicken Seasoning 15oz x 12</v>
      </c>
      <c r="D606" s="20">
        <f>VLOOKUP(A606,'Base Sin Negativos'!S606:V2042,4,0)</f>
        <v>28.89</v>
      </c>
    </row>
    <row r="607" spans="1:4" x14ac:dyDescent="0.25">
      <c r="A607" s="20" t="s">
        <v>2935</v>
      </c>
      <c r="B607" s="20" t="str">
        <f>VLOOKUP(A607,'Base Sin Negativos'!S607:V2043,2,0)</f>
        <v>Tradiciones Andinas</v>
      </c>
      <c r="C607" s="20" t="str">
        <f>VLOOKUP(A607,'Base Sin Negativos'!S607:V2043,3,0)</f>
        <v>T.A Salsa Pollo A La Brasa /Grill Chicken Seasoning 15oz x 12</v>
      </c>
      <c r="D607" s="20">
        <f>VLOOKUP(A607,'Base Sin Negativos'!S607:V2043,4,0)</f>
        <v>28.88</v>
      </c>
    </row>
    <row r="608" spans="1:4" x14ac:dyDescent="0.25">
      <c r="A608" s="20" t="s">
        <v>2936</v>
      </c>
      <c r="B608" s="20" t="str">
        <f>VLOOKUP(A608,'Base Sin Negativos'!S608:V2044,2,0)</f>
        <v>Tradiciones Andinas</v>
      </c>
      <c r="C608" s="20" t="str">
        <f>VLOOKUP(A608,'Base Sin Negativos'!S608:V2044,3,0)</f>
        <v>T.A Sardinas en Salsa de tomate / Sardines en tomato sauce 15oz x 24</v>
      </c>
      <c r="D608" s="20">
        <f>VLOOKUP(A608,'Base Sin Negativos'!S608:V2044,4,0)</f>
        <v>28.8</v>
      </c>
    </row>
    <row r="609" spans="1:4" x14ac:dyDescent="0.25">
      <c r="A609" s="20" t="s">
        <v>2937</v>
      </c>
      <c r="B609" s="20" t="str">
        <f>VLOOKUP(A609,'Base Sin Negativos'!S609:V2045,2,0)</f>
        <v>Tradiciones Andinas</v>
      </c>
      <c r="C609" s="20" t="str">
        <f>VLOOKUP(A609,'Base Sin Negativos'!S609:V2045,3,0)</f>
        <v>T.A Sardinas en Salsa de tomate / Sardines en tomato sauce 15oz x 24</v>
      </c>
      <c r="D609" s="20">
        <f>VLOOKUP(A609,'Base Sin Negativos'!S609:V2045,4,0)</f>
        <v>26.4</v>
      </c>
    </row>
    <row r="610" spans="1:4" x14ac:dyDescent="0.25">
      <c r="A610" s="20" t="s">
        <v>2938</v>
      </c>
      <c r="B610" s="20" t="str">
        <f>VLOOKUP(A610,'Base Sin Negativos'!S610:V2046,2,0)</f>
        <v>Tradiciones Andinas</v>
      </c>
      <c r="C610" s="20" t="str">
        <f>VLOOKUP(A610,'Base Sin Negativos'!S610:V2046,3,0)</f>
        <v>T.A Sardinas en Salsa de Tomate Tinapa / Sardines in Tomato Sauce 5.46oz x 50</v>
      </c>
      <c r="D610" s="20">
        <f>VLOOKUP(A610,'Base Sin Negativos'!S610:V2046,4,0)</f>
        <v>39.5</v>
      </c>
    </row>
    <row r="611" spans="1:4" x14ac:dyDescent="0.25">
      <c r="A611" s="20" t="s">
        <v>2939</v>
      </c>
      <c r="B611" s="20" t="str">
        <f>VLOOKUP(A611,'Base Sin Negativos'!S611:V2047,2,0)</f>
        <v>Tradiciones Andinas</v>
      </c>
      <c r="C611" s="20" t="str">
        <f>VLOOKUP(A611,'Base Sin Negativos'!S611:V2047,3,0)</f>
        <v>T.A Semola /Semolina 15oz x 24</v>
      </c>
      <c r="D611" s="20">
        <f>VLOOKUP(A611,'Base Sin Negativos'!S611:V2047,4,0)</f>
        <v>28.8</v>
      </c>
    </row>
    <row r="612" spans="1:4" x14ac:dyDescent="0.25">
      <c r="A612" s="20" t="s">
        <v>2940</v>
      </c>
      <c r="B612" s="20" t="str">
        <f>VLOOKUP(A612,'Base Sin Negativos'!S612:V2048,2,0)</f>
        <v>Tradiciones Andinas</v>
      </c>
      <c r="C612" s="20" t="str">
        <f>VLOOKUP(A612,'Base Sin Negativos'!S612:V2048,3,0)</f>
        <v>T.A Semola /Semolina 15oz x 24</v>
      </c>
      <c r="D612" s="20">
        <f>VLOOKUP(A612,'Base Sin Negativos'!S612:V2048,4,0)</f>
        <v>30.82</v>
      </c>
    </row>
    <row r="613" spans="1:4" x14ac:dyDescent="0.25">
      <c r="A613" s="20" t="s">
        <v>2941</v>
      </c>
      <c r="B613" s="20" t="str">
        <f>VLOOKUP(A613,'Base Sin Negativos'!S613:V2049,2,0)</f>
        <v>Tradiciones Andinas</v>
      </c>
      <c r="C613" s="20" t="str">
        <f>VLOOKUP(A613,'Base Sin Negativos'!S613:V2049,3,0)</f>
        <v>T.A Te con canela y clavo - Cinnamon and Clove filtrante 24gr x 20 x 30</v>
      </c>
      <c r="D613" s="20">
        <f>VLOOKUP(A613,'Base Sin Negativos'!S613:V2049,4,0)</f>
        <v>25.5</v>
      </c>
    </row>
    <row r="614" spans="1:4" x14ac:dyDescent="0.25">
      <c r="A614" s="20" t="s">
        <v>2942</v>
      </c>
      <c r="B614" s="20" t="str">
        <f>VLOOKUP(A614,'Base Sin Negativos'!S614:V2050,2,0)</f>
        <v>Tradiciones Andinas</v>
      </c>
      <c r="C614" s="20" t="str">
        <f>VLOOKUP(A614,'Base Sin Negativos'!S614:V2050,3,0)</f>
        <v>T.A Te con canela y clavo - Cinnamon and Clove filtrante 24gr x 20 x 30</v>
      </c>
      <c r="D614" s="20">
        <f>VLOOKUP(A614,'Base Sin Negativos'!S614:V2050,4,0)</f>
        <v>27.29</v>
      </c>
    </row>
    <row r="615" spans="1:4" x14ac:dyDescent="0.25">
      <c r="A615" s="20" t="s">
        <v>2943</v>
      </c>
      <c r="B615" s="20" t="str">
        <f>VLOOKUP(A615,'Base Sin Negativos'!S615:V2051,2,0)</f>
        <v>Tradiciones Andinas</v>
      </c>
      <c r="C615" s="20" t="str">
        <f>VLOOKUP(A615,'Base Sin Negativos'!S615:V2051,3,0)</f>
        <v>T.A Trigo  Resbalado/Hulled Wheat 15oz x 24</v>
      </c>
      <c r="D615" s="20">
        <f>VLOOKUP(A615,'Base Sin Negativos'!S615:V2051,4,0)</f>
        <v>30</v>
      </c>
    </row>
    <row r="616" spans="1:4" x14ac:dyDescent="0.25">
      <c r="A616" s="20" t="s">
        <v>2944</v>
      </c>
      <c r="B616" s="20" t="str">
        <f>VLOOKUP(A616,'Base Sin Negativos'!S616:V2052,2,0)</f>
        <v>Tradiciones Andinas</v>
      </c>
      <c r="C616" s="20" t="str">
        <f>VLOOKUP(A616,'Base Sin Negativos'!S616:V2052,3,0)</f>
        <v>T.A Trigo Trigo Pelado/Peeled Wheat 15oz x 24</v>
      </c>
      <c r="D616" s="20">
        <f>VLOOKUP(A616,'Base Sin Negativos'!S616:V2052,4,0)</f>
        <v>30</v>
      </c>
    </row>
    <row r="617" spans="1:4" x14ac:dyDescent="0.25">
      <c r="A617" s="20" t="s">
        <v>2945</v>
      </c>
      <c r="B617" s="20" t="str">
        <f>VLOOKUP(A617,'Base Sin Negativos'!S617:V2053,2,0)</f>
        <v>Tradiciones Andinas</v>
      </c>
      <c r="C617" s="20" t="str">
        <f>VLOOKUP(A617,'Base Sin Negativos'!S617:V2053,3,0)</f>
        <v>T.A Trigo Trigo Pelado/Peeled Wheat 15oz x 24</v>
      </c>
      <c r="D617" s="20">
        <f>VLOOKUP(A617,'Base Sin Negativos'!S617:V2053,4,0)</f>
        <v>32.1</v>
      </c>
    </row>
    <row r="618" spans="1:4" x14ac:dyDescent="0.25">
      <c r="A618" s="20" t="s">
        <v>2946</v>
      </c>
      <c r="B618" s="20" t="str">
        <f>VLOOKUP(A618,'Base Sin Negativos'!S618:V2054,2,0)</f>
        <v>Tradiciones Andinas</v>
      </c>
      <c r="C618" s="20" t="str">
        <f>VLOOKUP(A618,'Base Sin Negativos'!S618:V2054,3,0)</f>
        <v>T.A. Ajo Pasta - Ajo en Pasta /Garlic Paste 15oz X 12</v>
      </c>
      <c r="D618" s="20">
        <f>VLOOKUP(A618,'Base Sin Negativos'!S618:V2054,4,0)</f>
        <v>35.880000000000003</v>
      </c>
    </row>
    <row r="619" spans="1:4" x14ac:dyDescent="0.25">
      <c r="A619" s="20" t="s">
        <v>2947</v>
      </c>
      <c r="B619" s="20" t="str">
        <f>VLOOKUP(A619,'Base Sin Negativos'!S619:V2055,2,0)</f>
        <v>Belmont International Trading Corp</v>
      </c>
      <c r="C619" s="20" t="str">
        <f>VLOOKUP(A619,'Base Sin Negativos'!S619:V2055,3,0)</f>
        <v>Tari crema de aji A la Cena17.06oz (400gr) x 12</v>
      </c>
      <c r="D619" s="20">
        <f>VLOOKUP(A619,'Base Sin Negativos'!S619:V2055,4,0)</f>
        <v>39.5</v>
      </c>
    </row>
    <row r="620" spans="1:4" x14ac:dyDescent="0.25">
      <c r="A620" s="20" t="s">
        <v>2948</v>
      </c>
      <c r="B620" s="20" t="str">
        <f>VLOOKUP(A620,'Base Sin Negativos'!S620:V2056,2,0)</f>
        <v>Belmont International Trading Corp</v>
      </c>
      <c r="C620" s="20" t="str">
        <f>VLOOKUP(A620,'Base Sin Negativos'!S620:V2056,3,0)</f>
        <v>Tari crema de aji A la Cena17.06oz (400gr) x 12</v>
      </c>
      <c r="D620" s="20">
        <f>VLOOKUP(A620,'Base Sin Negativos'!S620:V2056,4,0)</f>
        <v>43.5</v>
      </c>
    </row>
    <row r="621" spans="1:4" x14ac:dyDescent="0.25">
      <c r="A621" s="20" t="s">
        <v>2949</v>
      </c>
      <c r="B621" s="20" t="str">
        <f>VLOOKUP(A621,'Base Sin Negativos'!S621:V2057,2,0)</f>
        <v>Peru Chef</v>
      </c>
      <c r="C621" s="20" t="str">
        <f>VLOOKUP(A621,'Base Sin Negativos'!S621:V2057,3,0)</f>
        <v>Tari crema de aji A la Cena17.06oz (400gr) x 12</v>
      </c>
      <c r="D621" s="20">
        <f>VLOOKUP(A621,'Base Sin Negativos'!S621:V2057,4,0)</f>
        <v>35</v>
      </c>
    </row>
    <row r="622" spans="1:4" x14ac:dyDescent="0.25">
      <c r="A622" s="20" t="s">
        <v>2950</v>
      </c>
      <c r="B622" s="20" t="str">
        <f>VLOOKUP(A622,'Base Sin Negativos'!S622:V2058,2,0)</f>
        <v>Peru Chef</v>
      </c>
      <c r="C622" s="20" t="str">
        <f>VLOOKUP(A622,'Base Sin Negativos'!S622:V2058,3,0)</f>
        <v>Tentacion Galleta Coco 47gr 6 x 8</v>
      </c>
      <c r="D622" s="20">
        <f>VLOOKUP(A622,'Base Sin Negativos'!S622:V2058,4,0)</f>
        <v>16</v>
      </c>
    </row>
    <row r="623" spans="1:4" x14ac:dyDescent="0.25">
      <c r="A623" s="20" t="s">
        <v>2951</v>
      </c>
      <c r="B623" s="20" t="str">
        <f>VLOOKUP(A623,'Base Sin Negativos'!S623:V2059,2,0)</f>
        <v>Peru Chef</v>
      </c>
      <c r="C623" s="20" t="str">
        <f>VLOOKUP(A623,'Base Sin Negativos'!S623:V2059,3,0)</f>
        <v>Tentacion Galleta Coco 47gr 6 x 8</v>
      </c>
      <c r="D623" s="20">
        <f>VLOOKUP(A623,'Base Sin Negativos'!S623:V2059,4,0)</f>
        <v>17</v>
      </c>
    </row>
    <row r="624" spans="1:4" x14ac:dyDescent="0.25">
      <c r="A624" s="20" t="s">
        <v>2952</v>
      </c>
      <c r="B624" s="20" t="str">
        <f>VLOOKUP(A624,'Base Sin Negativos'!S624:V2060,2,0)</f>
        <v>Peru Chef</v>
      </c>
      <c r="C624" s="20" t="str">
        <f>VLOOKUP(A624,'Base Sin Negativos'!S624:V2060,3,0)</f>
        <v>Tentacion Galleta Coco 47gr 6 x 8</v>
      </c>
      <c r="D624" s="20">
        <f>VLOOKUP(A624,'Base Sin Negativos'!S624:V2060,4,0)</f>
        <v>15.3</v>
      </c>
    </row>
    <row r="625" spans="1:4" x14ac:dyDescent="0.25">
      <c r="A625" s="20" t="s">
        <v>2953</v>
      </c>
      <c r="B625" s="20" t="str">
        <f>VLOOKUP(A625,'Base Sin Negativos'!S625:V2061,2,0)</f>
        <v>Peru Chef</v>
      </c>
      <c r="C625" s="20" t="str">
        <f>VLOOKUP(A625,'Base Sin Negativos'!S625:V2061,3,0)</f>
        <v>Tentacion Galleta Vainilla 47gr 6 x 8</v>
      </c>
      <c r="D625" s="20">
        <f>VLOOKUP(A625,'Base Sin Negativos'!S625:V2061,4,0)</f>
        <v>16</v>
      </c>
    </row>
    <row r="626" spans="1:4" x14ac:dyDescent="0.25">
      <c r="A626" s="20" t="s">
        <v>2954</v>
      </c>
      <c r="B626" s="20" t="str">
        <f>VLOOKUP(A626,'Base Sin Negativos'!S626:V2062,2,0)</f>
        <v>Peru Chef</v>
      </c>
      <c r="C626" s="20" t="str">
        <f>VLOOKUP(A626,'Base Sin Negativos'!S626:V2062,3,0)</f>
        <v>Tentacion Galleta Vainilla 47gr 6 x 8</v>
      </c>
      <c r="D626" s="20">
        <f>VLOOKUP(A626,'Base Sin Negativos'!S626:V2062,4,0)</f>
        <v>17</v>
      </c>
    </row>
    <row r="627" spans="1:4" x14ac:dyDescent="0.25">
      <c r="A627" s="20" t="s">
        <v>2955</v>
      </c>
      <c r="B627" s="20" t="str">
        <f>VLOOKUP(A627,'Base Sin Negativos'!S627:V2063,2,0)</f>
        <v>Tradiciones Andinas</v>
      </c>
      <c r="C627" s="20" t="str">
        <f>VLOOKUP(A627,'Base Sin Negativos'!S627:V2063,3,0)</f>
        <v>Tradiciones Andinas -  Pimienta Negra /Black Pepper</v>
      </c>
      <c r="D627" s="20">
        <f>VLOOKUP(A627,'Base Sin Negativos'!S627:V2063,4,0)</f>
        <v>16.68</v>
      </c>
    </row>
    <row r="628" spans="1:4" x14ac:dyDescent="0.25">
      <c r="A628" s="20" t="s">
        <v>2956</v>
      </c>
      <c r="B628" s="20" t="str">
        <f>VLOOKUP(A628,'Base Sin Negativos'!S628:V2064,2,0)</f>
        <v>Tradiciones Andinas</v>
      </c>
      <c r="C628" s="20" t="str">
        <f>VLOOKUP(A628,'Base Sin Negativos'!S628:V2064,3,0)</f>
        <v>Tradiciones Andinas - Ajonjoli / Sesame Seeds</v>
      </c>
      <c r="D628" s="20">
        <f>VLOOKUP(A628,'Base Sin Negativos'!S628:V2064,4,0)</f>
        <v>12.6</v>
      </c>
    </row>
    <row r="629" spans="1:4" x14ac:dyDescent="0.25">
      <c r="A629" s="20" t="s">
        <v>2957</v>
      </c>
      <c r="B629" s="20" t="str">
        <f>VLOOKUP(A629,'Base Sin Negativos'!S629:V2065,2,0)</f>
        <v>Tradiciones Andinas</v>
      </c>
      <c r="C629" s="20" t="str">
        <f>VLOOKUP(A629,'Base Sin Negativos'!S629:V2065,3,0)</f>
        <v>Tradiciones Andinas - Algarrobina</v>
      </c>
      <c r="D629" s="20">
        <f>VLOOKUP(A629,'Base Sin Negativos'!S629:V2065,4,0)</f>
        <v>78.959999999999994</v>
      </c>
    </row>
    <row r="630" spans="1:4" x14ac:dyDescent="0.25">
      <c r="A630" s="20" t="s">
        <v>2958</v>
      </c>
      <c r="B630" s="20" t="str">
        <f>VLOOKUP(A630,'Base Sin Negativos'!S630:V2066,2,0)</f>
        <v>Tradiciones Andinas</v>
      </c>
      <c r="C630" s="20" t="str">
        <f>VLOOKUP(A630,'Base Sin Negativos'!S630:V2066,3,0)</f>
        <v>Tradiciones Andinas - Canela Molida / Ground Cinnamon</v>
      </c>
      <c r="D630" s="20">
        <f>VLOOKUP(A630,'Base Sin Negativos'!S630:V2066,4,0)</f>
        <v>12.6</v>
      </c>
    </row>
    <row r="631" spans="1:4" x14ac:dyDescent="0.25">
      <c r="A631" s="20" t="s">
        <v>2959</v>
      </c>
      <c r="B631" s="20" t="str">
        <f>VLOOKUP(A631,'Base Sin Negativos'!S631:V2067,2,0)</f>
        <v>Tradiciones Andinas</v>
      </c>
      <c r="C631" s="20" t="str">
        <f>VLOOKUP(A631,'Base Sin Negativos'!S631:V2067,3,0)</f>
        <v>Tradiciones Andinas - Comino Molido</v>
      </c>
      <c r="D631" s="20">
        <f>VLOOKUP(A631,'Base Sin Negativos'!S631:V2067,4,0)</f>
        <v>12.6</v>
      </c>
    </row>
    <row r="632" spans="1:4" x14ac:dyDescent="0.25">
      <c r="A632" s="20" t="s">
        <v>2960</v>
      </c>
      <c r="B632" s="20" t="str">
        <f>VLOOKUP(A632,'Base Sin Negativos'!S632:V2068,2,0)</f>
        <v>Tradiciones Andinas</v>
      </c>
      <c r="C632" s="20" t="str">
        <f>VLOOKUP(A632,'Base Sin Negativos'!S632:V2068,3,0)</f>
        <v>TRADICIONES ANDINAS - Manzanilla filtrante - Chamomille Tea 24gr x 20 x 30</v>
      </c>
      <c r="D632" s="20">
        <f>VLOOKUP(A632,'Base Sin Negativos'!S632:V2068,4,0)</f>
        <v>27.29</v>
      </c>
    </row>
    <row r="633" spans="1:4" x14ac:dyDescent="0.25">
      <c r="A633" s="20" t="s">
        <v>2961</v>
      </c>
      <c r="B633" s="20" t="str">
        <f>VLOOKUP(A633,'Base Sin Negativos'!S633:V2069,2,0)</f>
        <v>Tradiciones Andinas</v>
      </c>
      <c r="C633" s="20" t="str">
        <f>VLOOKUP(A633,'Base Sin Negativos'!S633:V2069,3,0)</f>
        <v>Tradiciones Andinas  Miel de Abeja 500gr x 24</v>
      </c>
      <c r="D633" s="20">
        <f>VLOOKUP(A633,'Base Sin Negativos'!S633:V2069,4,0)</f>
        <v>98.16</v>
      </c>
    </row>
    <row r="634" spans="1:4" x14ac:dyDescent="0.25">
      <c r="A634" s="20" t="s">
        <v>2962</v>
      </c>
      <c r="B634" s="20" t="str">
        <f>VLOOKUP(A634,'Base Sin Negativos'!S634:V2070,2,0)</f>
        <v>Tradiciones Andinas</v>
      </c>
      <c r="C634" s="20" t="str">
        <f>VLOOKUP(A634,'Base Sin Negativos'!S634:V2070,3,0)</f>
        <v>Tradiciones Andinas - Orégano Entero / Whole Oregano</v>
      </c>
      <c r="D634" s="20">
        <f>VLOOKUP(A634,'Base Sin Negativos'!S634:V2070,4,0)</f>
        <v>18.600000000000001</v>
      </c>
    </row>
    <row r="635" spans="1:4" x14ac:dyDescent="0.25">
      <c r="A635" s="20" t="s">
        <v>2963</v>
      </c>
      <c r="B635" s="20" t="str">
        <f>VLOOKUP(A635,'Base Sin Negativos'!S635:V2071,2,0)</f>
        <v>Tradiciones Andinas</v>
      </c>
      <c r="C635" s="20" t="str">
        <f>VLOOKUP(A635,'Base Sin Negativos'!S635:V2071,3,0)</f>
        <v>Tradiciones Andinas - Palillo /Curcuma</v>
      </c>
      <c r="D635" s="20">
        <f>VLOOKUP(A635,'Base Sin Negativos'!S635:V2071,4,0)</f>
        <v>12.6</v>
      </c>
    </row>
    <row r="636" spans="1:4" x14ac:dyDescent="0.25">
      <c r="A636" s="20" t="s">
        <v>2964</v>
      </c>
      <c r="B636" s="20" t="str">
        <f>VLOOKUP(A636,'Base Sin Negativos'!S636:V2072,2,0)</f>
        <v>Tradiciones Andinas</v>
      </c>
      <c r="C636" s="20" t="str">
        <f>VLOOKUP(A636,'Base Sin Negativos'!S636:V2072,3,0)</f>
        <v>Tradiciones Andinas Pimenton / Paprika 1.76oz x 12</v>
      </c>
      <c r="D636" s="20">
        <f>VLOOKUP(A636,'Base Sin Negativos'!S636:V2072,4,0)</f>
        <v>12.6</v>
      </c>
    </row>
    <row r="637" spans="1:4" x14ac:dyDescent="0.25">
      <c r="A637" s="20" t="s">
        <v>2965</v>
      </c>
      <c r="B637" s="20" t="str">
        <f>VLOOKUP(A637,'Base Sin Negativos'!S637:V2073,2,0)</f>
        <v>Tradiciones Andinas</v>
      </c>
      <c r="C637" s="20" t="str">
        <f>VLOOKUP(A637,'Base Sin Negativos'!S637:V2073,3,0)</f>
        <v>Trigo Atomico con Maca 125gr x 20</v>
      </c>
      <c r="D637" s="20">
        <f>VLOOKUP(A637,'Base Sin Negativos'!S637:V2073,4,0)</f>
        <v>22</v>
      </c>
    </row>
    <row r="638" spans="1:4" x14ac:dyDescent="0.25">
      <c r="A638" s="20" t="s">
        <v>2966</v>
      </c>
      <c r="B638" s="20" t="str">
        <f>VLOOKUP(A638,'Base Sin Negativos'!S638:V2074,2,0)</f>
        <v>Tradiciones Andinas</v>
      </c>
      <c r="C638" s="20" t="str">
        <f>VLOOKUP(A638,'Base Sin Negativos'!S638:V2074,3,0)</f>
        <v>Trigo Atomico original con Miel 125gr x 20</v>
      </c>
      <c r="D638" s="20">
        <f>VLOOKUP(A638,'Base Sin Negativos'!S638:V2074,4,0)</f>
        <v>20</v>
      </c>
    </row>
    <row r="639" spans="1:4" x14ac:dyDescent="0.25">
      <c r="A639" s="20" t="s">
        <v>2967</v>
      </c>
      <c r="B639" s="20" t="str">
        <f>VLOOKUP(A639,'Base Sin Negativos'!S639:V2075,2,0)</f>
        <v>Tradiciones Andinas</v>
      </c>
      <c r="C639" s="20" t="str">
        <f>VLOOKUP(A639,'Base Sin Negativos'!S639:V2075,3,0)</f>
        <v>Trigo Atomico original con Miel 125gr x 20</v>
      </c>
      <c r="D639" s="20">
        <f>VLOOKUP(A639,'Base Sin Negativos'!S639:V2075,4,0)</f>
        <v>21.4</v>
      </c>
    </row>
    <row r="640" spans="1:4" x14ac:dyDescent="0.25">
      <c r="A640" s="20" t="s">
        <v>2968</v>
      </c>
      <c r="B640" s="20" t="str">
        <f>VLOOKUP(A640,'Base Sin Negativos'!S640:V2076,2,0)</f>
        <v>Belmont International Trading Corp</v>
      </c>
      <c r="C640" s="20" t="str">
        <f>VLOOKUP(A640,'Base Sin Negativos'!S640:V2076,3,0)</f>
        <v>Uchucuta A la Cena 17.06 (400gr) x 12</v>
      </c>
      <c r="D640" s="20">
        <f>VLOOKUP(A640,'Base Sin Negativos'!S640:V2076,4,0)</f>
        <v>39.5</v>
      </c>
    </row>
    <row r="641" spans="1:4" x14ac:dyDescent="0.25">
      <c r="A641" s="20" t="s">
        <v>2969</v>
      </c>
      <c r="B641" s="20" t="str">
        <f>VLOOKUP(A641,'Base Sin Negativos'!S641:V2077,2,0)</f>
        <v>Belmont International Trading Corp</v>
      </c>
      <c r="C641" s="20" t="str">
        <f>VLOOKUP(A641,'Base Sin Negativos'!S641:V2077,3,0)</f>
        <v>Uchucuta A la Cena 17.06 (400gr) x 12</v>
      </c>
      <c r="D641" s="20">
        <f>VLOOKUP(A641,'Base Sin Negativos'!S641:V2077,4,0)</f>
        <v>43.5</v>
      </c>
    </row>
    <row r="642" spans="1:4" x14ac:dyDescent="0.25">
      <c r="A642" s="20" t="s">
        <v>2970</v>
      </c>
      <c r="B642" s="20" t="str">
        <f>VLOOKUP(A642,'Base Sin Negativos'!S642:V2078,2,0)</f>
        <v>Peru Chef</v>
      </c>
      <c r="C642" s="20" t="str">
        <f>VLOOKUP(A642,'Base Sin Negativos'!S642:V2078,3,0)</f>
        <v>Uchucuta A la Cena 17.06 (400gr) x 12</v>
      </c>
      <c r="D642" s="20">
        <f>VLOOKUP(A642,'Base Sin Negativos'!S642:V2078,4,0)</f>
        <v>35</v>
      </c>
    </row>
    <row r="643" spans="1:4" x14ac:dyDescent="0.25">
      <c r="A643" s="20" t="s">
        <v>2971</v>
      </c>
      <c r="B643" s="20" t="str">
        <f>VLOOKUP(A643,'Base Sin Negativos'!S643:V2079,2,0)</f>
        <v>Tradiciones Andinas</v>
      </c>
      <c r="C643" s="20" t="str">
        <f>VLOOKUP(A643,'Base Sin Negativos'!S643:V2079,3,0)</f>
        <v>Universal Bicarbonato de Sodio - Baking soda 100gr x 12</v>
      </c>
      <c r="D643" s="20">
        <f>VLOOKUP(A643,'Base Sin Negativos'!S643:V2079,4,0)</f>
        <v>12</v>
      </c>
    </row>
    <row r="644" spans="1:4" x14ac:dyDescent="0.25">
      <c r="A644" s="20" t="s">
        <v>2972</v>
      </c>
      <c r="B644" s="20" t="str">
        <f>VLOOKUP(A644,'Base Sin Negativos'!S644:V2080,2,0)</f>
        <v>Tradiciones Andinas</v>
      </c>
      <c r="C644" s="20" t="str">
        <f>VLOOKUP(A644,'Base Sin Negativos'!S644:V2080,3,0)</f>
        <v>Universal Bicarbonato de Sodio - Baking soda 100gr x 12</v>
      </c>
      <c r="D644" s="20">
        <f>VLOOKUP(A644,'Base Sin Negativos'!S644:V2080,4,0)</f>
        <v>12.84</v>
      </c>
    </row>
    <row r="645" spans="1:4" x14ac:dyDescent="0.25">
      <c r="A645" s="20" t="s">
        <v>2973</v>
      </c>
      <c r="B645" s="20" t="str">
        <f>VLOOKUP(A645,'Base Sin Negativos'!S645:V2081,2,0)</f>
        <v>Tradiciones Andinas</v>
      </c>
      <c r="C645" s="20" t="str">
        <f>VLOOKUP(A645,'Base Sin Negativos'!S645:V2081,3,0)</f>
        <v>Universal Chicha Morada / Purple drink instant beverage 120gr x 12</v>
      </c>
      <c r="D645" s="20">
        <f>VLOOKUP(A645,'Base Sin Negativos'!S645:V2081,4,0)</f>
        <v>12</v>
      </c>
    </row>
    <row r="646" spans="1:4" x14ac:dyDescent="0.25">
      <c r="A646" s="20" t="s">
        <v>2974</v>
      </c>
      <c r="B646" s="20" t="str">
        <f>VLOOKUP(A646,'Base Sin Negativos'!S646:V2082,2,0)</f>
        <v>Tradiciones Andinas</v>
      </c>
      <c r="C646" s="20" t="str">
        <f>VLOOKUP(A646,'Base Sin Negativos'!S646:V2082,3,0)</f>
        <v>Universal Chicha Morada / Purple drink instant beverage 120gr x 12</v>
      </c>
      <c r="D646" s="20">
        <f>VLOOKUP(A646,'Base Sin Negativos'!S646:V2082,4,0)</f>
        <v>12.84</v>
      </c>
    </row>
    <row r="647" spans="1:4" x14ac:dyDescent="0.25">
      <c r="A647" s="20" t="s">
        <v>2975</v>
      </c>
      <c r="B647" s="20" t="str">
        <f>VLOOKUP(A647,'Base Sin Negativos'!S647:V2083,2,0)</f>
        <v>Tradiciones Andinas</v>
      </c>
      <c r="C647" s="20" t="str">
        <f>VLOOKUP(A647,'Base Sin Negativos'!S647:V2083,3,0)</f>
        <v>Universal Chicha Morada / Purple drink instant beverage 120gr x 12</v>
      </c>
      <c r="D647" s="20">
        <f>VLOOKUP(A647,'Base Sin Negativos'!S647:V2083,4,0)</f>
        <v>12.4</v>
      </c>
    </row>
    <row r="648" spans="1:4" x14ac:dyDescent="0.25">
      <c r="A648" s="20" t="s">
        <v>2976</v>
      </c>
      <c r="B648" s="20" t="str">
        <f>VLOOKUP(A648,'Base Sin Negativos'!S648:V2084,2,0)</f>
        <v>Tradiciones Andinas</v>
      </c>
      <c r="C648" s="20" t="str">
        <f>VLOOKUP(A648,'Base Sin Negativos'!S648:V2084,3,0)</f>
        <v>Universal Chuño / Potato Starch 180gr x 9</v>
      </c>
      <c r="D648" s="20">
        <f>VLOOKUP(A648,'Base Sin Negativos'!S648:V2084,4,0)</f>
        <v>9</v>
      </c>
    </row>
    <row r="649" spans="1:4" x14ac:dyDescent="0.25">
      <c r="A649" s="20" t="s">
        <v>2977</v>
      </c>
      <c r="B649" s="20" t="str">
        <f>VLOOKUP(A649,'Base Sin Negativos'!S649:V2085,2,0)</f>
        <v>Tradiciones Andinas</v>
      </c>
      <c r="C649" s="20" t="str">
        <f>VLOOKUP(A649,'Base Sin Negativos'!S649:V2085,3,0)</f>
        <v>Universal Esencia de Vainilla / Vanilla Scent 100ml x 24</v>
      </c>
      <c r="D649" s="20">
        <f>VLOOKUP(A649,'Base Sin Negativos'!S649:V2085,4,0)</f>
        <v>21.36</v>
      </c>
    </row>
    <row r="650" spans="1:4" x14ac:dyDescent="0.25">
      <c r="A650" s="20" t="s">
        <v>2978</v>
      </c>
      <c r="B650" s="20" t="str">
        <f>VLOOKUP(A650,'Base Sin Negativos'!S650:V2086,2,0)</f>
        <v>Tradiciones Andinas</v>
      </c>
      <c r="C650" s="20" t="str">
        <f>VLOOKUP(A650,'Base Sin Negativos'!S650:V2086,3,0)</f>
        <v>Universal Esencia de Vainilla / Vanilla Scent 100ml x 24</v>
      </c>
      <c r="D650" s="20">
        <f>VLOOKUP(A650,'Base Sin Negativos'!S650:V2086,4,0)</f>
        <v>22.86</v>
      </c>
    </row>
    <row r="651" spans="1:4" x14ac:dyDescent="0.25">
      <c r="A651" s="20" t="s">
        <v>2979</v>
      </c>
      <c r="B651" s="20" t="str">
        <f>VLOOKUP(A651,'Base Sin Negativos'!S651:V2087,2,0)</f>
        <v>Tradiciones Andinas</v>
      </c>
      <c r="C651" s="20" t="str">
        <f>VLOOKUP(A651,'Base Sin Negativos'!S651:V2087,3,0)</f>
        <v>Universal Flan de Lucuma/ Lucuma Pudin 150gr x 12</v>
      </c>
      <c r="D651" s="20">
        <f>VLOOKUP(A651,'Base Sin Negativos'!S651:V2087,4,0)</f>
        <v>13</v>
      </c>
    </row>
    <row r="652" spans="1:4" x14ac:dyDescent="0.25">
      <c r="A652" s="20" t="s">
        <v>2980</v>
      </c>
      <c r="B652" s="20" t="str">
        <f>VLOOKUP(A652,'Base Sin Negativos'!S652:V2088,2,0)</f>
        <v>Tradiciones Andinas</v>
      </c>
      <c r="C652" s="20" t="str">
        <f>VLOOKUP(A652,'Base Sin Negativos'!S652:V2088,3,0)</f>
        <v>Universal Flan de Lucuma/ Lucuma Pudin 150gr x 12</v>
      </c>
      <c r="D652" s="20">
        <f>VLOOKUP(A652,'Base Sin Negativos'!S652:V2088,4,0)</f>
        <v>13.91</v>
      </c>
    </row>
    <row r="653" spans="1:4" x14ac:dyDescent="0.25">
      <c r="A653" s="20" t="s">
        <v>2981</v>
      </c>
      <c r="B653" s="20" t="str">
        <f>VLOOKUP(A653,'Base Sin Negativos'!S653:V2089,2,0)</f>
        <v>Tradiciones Andinas</v>
      </c>
      <c r="C653" s="20" t="str">
        <f>VLOOKUP(A653,'Base Sin Negativos'!S653:V2089,3,0)</f>
        <v>Universal Flan de Lucuma/ Lucuma Pudin 150gr x 12</v>
      </c>
      <c r="D653" s="20">
        <f>VLOOKUP(A653,'Base Sin Negativos'!S653:V2089,4,0)</f>
        <v>14</v>
      </c>
    </row>
    <row r="654" spans="1:4" x14ac:dyDescent="0.25">
      <c r="A654" s="20" t="s">
        <v>2982</v>
      </c>
      <c r="B654" s="20" t="str">
        <f>VLOOKUP(A654,'Base Sin Negativos'!S654:V2090,2,0)</f>
        <v>Tradiciones Andinas</v>
      </c>
      <c r="C654" s="20" t="str">
        <f>VLOOKUP(A654,'Base Sin Negativos'!S654:V2090,3,0)</f>
        <v>Universal Flan de Vainilla / Vanilla Flan 150gr x 12</v>
      </c>
      <c r="D654" s="20">
        <f>VLOOKUP(A654,'Base Sin Negativos'!S654:V2090,4,0)</f>
        <v>13.08</v>
      </c>
    </row>
    <row r="655" spans="1:4" x14ac:dyDescent="0.25">
      <c r="A655" s="20" t="s">
        <v>2983</v>
      </c>
      <c r="B655" s="20" t="str">
        <f>VLOOKUP(A655,'Base Sin Negativos'!S655:V2091,2,0)</f>
        <v>Tradiciones Andinas</v>
      </c>
      <c r="C655" s="20" t="str">
        <f>VLOOKUP(A655,'Base Sin Negativos'!S655:V2091,3,0)</f>
        <v>Universal Flan de Vainilla / Vanilla Flan 150gr x 12</v>
      </c>
      <c r="D655" s="20">
        <f>VLOOKUP(A655,'Base Sin Negativos'!S655:V2091,4,0)</f>
        <v>14</v>
      </c>
    </row>
    <row r="656" spans="1:4" x14ac:dyDescent="0.25">
      <c r="A656" s="20" t="s">
        <v>2984</v>
      </c>
      <c r="B656" s="20" t="str">
        <f>VLOOKUP(A656,'Base Sin Negativos'!S656:V2092,2,0)</f>
        <v>Tradiciones Andinas</v>
      </c>
      <c r="C656" s="20" t="str">
        <f>VLOOKUP(A656,'Base Sin Negativos'!S656:V2092,3,0)</f>
        <v>Universal Gelatina Limon / Lemon Gelatin 150gr x 12</v>
      </c>
      <c r="D656" s="20">
        <f>VLOOKUP(A656,'Base Sin Negativos'!S656:V2092,4,0)</f>
        <v>14</v>
      </c>
    </row>
    <row r="657" spans="1:4" x14ac:dyDescent="0.25">
      <c r="A657" s="20" t="s">
        <v>2985</v>
      </c>
      <c r="B657" s="20" t="str">
        <f>VLOOKUP(A657,'Base Sin Negativos'!S657:V2093,2,0)</f>
        <v>Tradiciones Andinas</v>
      </c>
      <c r="C657" s="20" t="str">
        <f>VLOOKUP(A657,'Base Sin Negativos'!S657:V2093,3,0)</f>
        <v>Universal Gelatina sin Sabor (Colapiz)</v>
      </c>
      <c r="D657" s="20">
        <f>VLOOKUP(A657,'Base Sin Negativos'!S657:V2093,4,0)</f>
        <v>14</v>
      </c>
    </row>
    <row r="658" spans="1:4" x14ac:dyDescent="0.25">
      <c r="A658" s="20" t="s">
        <v>2986</v>
      </c>
      <c r="B658" s="20" t="str">
        <f>VLOOKUP(A658,'Base Sin Negativos'!S658:V2094,2,0)</f>
        <v>Tradiciones Andinas</v>
      </c>
      <c r="C658" s="20" t="str">
        <f>VLOOKUP(A658,'Base Sin Negativos'!S658:V2094,3,0)</f>
        <v>Universal Grape Gelatin / Gelatina Uva</v>
      </c>
      <c r="D658" s="20">
        <f>VLOOKUP(A658,'Base Sin Negativos'!S658:V2094,4,0)</f>
        <v>14</v>
      </c>
    </row>
    <row r="659" spans="1:4" x14ac:dyDescent="0.25">
      <c r="A659" s="20" t="s">
        <v>2987</v>
      </c>
      <c r="B659" s="20" t="str">
        <f>VLOOKUP(A659,'Base Sin Negativos'!S659:V2095,2,0)</f>
        <v>Tradiciones Andinas</v>
      </c>
      <c r="C659" s="20" t="str">
        <f>VLOOKUP(A659,'Base Sin Negativos'!S659:V2095,3,0)</f>
        <v>Universal Maicena 180g x 7</v>
      </c>
      <c r="D659" s="20">
        <f>VLOOKUP(A659,'Base Sin Negativos'!S659:V2095,4,0)</f>
        <v>9</v>
      </c>
    </row>
    <row r="660" spans="1:4" x14ac:dyDescent="0.25">
      <c r="A660" s="20" t="s">
        <v>2988</v>
      </c>
      <c r="B660" s="20" t="str">
        <f>VLOOKUP(A660,'Base Sin Negativos'!S660:V2096,2,0)</f>
        <v>Tradiciones Andinas</v>
      </c>
      <c r="C660" s="20" t="str">
        <f>VLOOKUP(A660,'Base Sin Negativos'!S660:V2096,3,0)</f>
        <v>Universal Mazamorra Morada /Purple Pudin 150gr x 12</v>
      </c>
      <c r="D660" s="20">
        <f>VLOOKUP(A660,'Base Sin Negativos'!S660:V2096,4,0)</f>
        <v>13.08</v>
      </c>
    </row>
    <row r="661" spans="1:4" x14ac:dyDescent="0.25">
      <c r="A661" s="20" t="s">
        <v>2989</v>
      </c>
      <c r="B661" s="20" t="str">
        <f>VLOOKUP(A661,'Base Sin Negativos'!S661:V2097,2,0)</f>
        <v>Tradiciones Andinas</v>
      </c>
      <c r="C661" s="20" t="str">
        <f>VLOOKUP(A661,'Base Sin Negativos'!S661:V2097,3,0)</f>
        <v>Universal Mazamorra Morada /Purple Pudin 150gr x 12</v>
      </c>
      <c r="D661" s="20">
        <f>VLOOKUP(A661,'Base Sin Negativos'!S661:V2097,4,0)</f>
        <v>14</v>
      </c>
    </row>
    <row r="662" spans="1:4" x14ac:dyDescent="0.25">
      <c r="A662" s="20" t="s">
        <v>2990</v>
      </c>
      <c r="B662" s="20" t="str">
        <f>VLOOKUP(A662,'Base Sin Negativos'!S662:V2098,2,0)</f>
        <v>Tradiciones Andinas</v>
      </c>
      <c r="C662" s="20" t="str">
        <f>VLOOKUP(A662,'Base Sin Negativos'!S662:V2098,3,0)</f>
        <v>Universal Mazamorra sabor a Piña / Pineapple flavor pudin 150gr x 12</v>
      </c>
      <c r="D662" s="20">
        <f>VLOOKUP(A662,'Base Sin Negativos'!S662:V2098,4,0)</f>
        <v>13.08</v>
      </c>
    </row>
    <row r="663" spans="1:4" x14ac:dyDescent="0.25">
      <c r="A663" s="20" t="s">
        <v>2991</v>
      </c>
      <c r="B663" s="20" t="str">
        <f>VLOOKUP(A663,'Base Sin Negativos'!S663:V2099,2,0)</f>
        <v>Tradiciones Andinas</v>
      </c>
      <c r="C663" s="20" t="str">
        <f>VLOOKUP(A663,'Base Sin Negativos'!S663:V2099,3,0)</f>
        <v>Universal Mazamorra sabor a Piña / Pineapple flavor pudin 150gr x 12</v>
      </c>
      <c r="D663" s="20">
        <f>VLOOKUP(A663,'Base Sin Negativos'!S663:V2099,4,0)</f>
        <v>14</v>
      </c>
    </row>
    <row r="664" spans="1:4" x14ac:dyDescent="0.25">
      <c r="A664" s="20" t="s">
        <v>2992</v>
      </c>
      <c r="B664" s="20" t="str">
        <f>VLOOKUP(A664,'Base Sin Negativos'!S664:V2100,2,0)</f>
        <v>Tradiciones Andinas</v>
      </c>
      <c r="C664" s="20" t="str">
        <f>VLOOKUP(A664,'Base Sin Negativos'!S664:V2100,3,0)</f>
        <v>Universal Polvo de Hornear / Baking powder 100gr x 12</v>
      </c>
      <c r="D664" s="20">
        <f>VLOOKUP(A664,'Base Sin Negativos'!S664:V2100,4,0)</f>
        <v>12</v>
      </c>
    </row>
    <row r="665" spans="1:4" x14ac:dyDescent="0.25">
      <c r="A665" s="20" t="s">
        <v>2993</v>
      </c>
      <c r="B665" s="20" t="str">
        <f>VLOOKUP(A665,'Base Sin Negativos'!S665:V2101,2,0)</f>
        <v>Tradiciones Andinas</v>
      </c>
      <c r="C665" s="20" t="str">
        <f>VLOOKUP(A665,'Base Sin Negativos'!S665:V2101,3,0)</f>
        <v>Universal Polvo de Hornear / Baking powder 100gr x 12</v>
      </c>
      <c r="D665" s="20">
        <f>VLOOKUP(A665,'Base Sin Negativos'!S665:V2101,4,0)</f>
        <v>12.84</v>
      </c>
    </row>
    <row r="666" spans="1:4" x14ac:dyDescent="0.25">
      <c r="A666" s="20" t="s">
        <v>2994</v>
      </c>
      <c r="B666" s="20" t="str">
        <f>VLOOKUP(A666,'Base Sin Negativos'!S666:V2102,2,0)</f>
        <v>Tradiciones Andinas</v>
      </c>
      <c r="C666" s="20" t="str">
        <f>VLOOKUP(A666,'Base Sin Negativos'!S666:V2102,3,0)</f>
        <v>Universal Refresco de Maracuya / Passion fruit instant beverage 120gr x 12</v>
      </c>
      <c r="D666" s="20">
        <f>VLOOKUP(A666,'Base Sin Negativos'!S666:V2102,4,0)</f>
        <v>12</v>
      </c>
    </row>
    <row r="667" spans="1:4" x14ac:dyDescent="0.25">
      <c r="A667" s="20" t="s">
        <v>2995</v>
      </c>
      <c r="B667" s="20" t="str">
        <f>VLOOKUP(A667,'Base Sin Negativos'!S667:V2103,2,0)</f>
        <v>Tradiciones Andinas</v>
      </c>
      <c r="C667" s="20" t="str">
        <f>VLOOKUP(A667,'Base Sin Negativos'!S667:V2103,3,0)</f>
        <v>Universal Refresco de Maracuya / Passion fruit instant beverage 120gr x 12</v>
      </c>
      <c r="D667" s="20">
        <f>VLOOKUP(A667,'Base Sin Negativos'!S667:V2103,4,0)</f>
        <v>12.84</v>
      </c>
    </row>
    <row r="668" spans="1:4" x14ac:dyDescent="0.25">
      <c r="A668" s="20" t="s">
        <v>2996</v>
      </c>
      <c r="B668" s="20" t="str">
        <f>VLOOKUP(A668,'Base Sin Negativos'!S668:V2104,2,0)</f>
        <v>Tradiciones Andinas</v>
      </c>
      <c r="C668" s="20" t="str">
        <f>VLOOKUP(A668,'Base Sin Negativos'!S668:V2104,3,0)</f>
        <v>Universal Refresco Guanabana / Guava Instant beverage 120gr x 12</v>
      </c>
      <c r="D668" s="20">
        <f>VLOOKUP(A668,'Base Sin Negativos'!S668:V2104,4,0)</f>
        <v>12</v>
      </c>
    </row>
    <row r="669" spans="1:4" x14ac:dyDescent="0.25">
      <c r="A669" s="20" t="s">
        <v>2997</v>
      </c>
      <c r="B669" s="20" t="str">
        <f>VLOOKUP(A669,'Base Sin Negativos'!S669:V2105,2,0)</f>
        <v>Tradiciones Andinas</v>
      </c>
      <c r="C669" s="20" t="str">
        <f>VLOOKUP(A669,'Base Sin Negativos'!S669:V2105,3,0)</f>
        <v>Universal Refresco Guanabana / Guava Instant beverage 120gr x 12</v>
      </c>
      <c r="D669" s="20">
        <f>VLOOKUP(A669,'Base Sin Negativos'!S669:V2105,4,0)</f>
        <v>12.84</v>
      </c>
    </row>
    <row r="670" spans="1:4" x14ac:dyDescent="0.25">
      <c r="A670" s="20" t="s">
        <v>2998</v>
      </c>
      <c r="B670" s="20" t="str">
        <f>VLOOKUP(A670,'Base Sin Negativos'!S670:V2106,2,0)</f>
        <v>Tradiciones Andinas</v>
      </c>
      <c r="C670" s="20" t="str">
        <f>VLOOKUP(A670,'Base Sin Negativos'!S670:V2106,3,0)</f>
        <v>VALLES ANDINOS Aceite Vegetal con Achiote 440ml x 15</v>
      </c>
      <c r="D670" s="20">
        <f>VLOOKUP(A670,'Base Sin Negativos'!S670:V2106,4,0)</f>
        <v>35</v>
      </c>
    </row>
    <row r="671" spans="1:4" x14ac:dyDescent="0.25">
      <c r="A671" s="20" t="s">
        <v>2999</v>
      </c>
      <c r="B671" s="20" t="str">
        <f>VLOOKUP(A671,'Base Sin Negativos'!S671:V2107,2,0)</f>
        <v>Tradiciones Andinas</v>
      </c>
      <c r="C671" s="20" t="str">
        <f>VLOOKUP(A671,'Base Sin Negativos'!S671:V2107,3,0)</f>
        <v>VALLES ANDINOS Aceite Vegetal con Achiote 440ml x 15</v>
      </c>
      <c r="D671" s="20">
        <f>VLOOKUP(A671,'Base Sin Negativos'!S671:V2107,4,0)</f>
        <v>37.450000000000003</v>
      </c>
    </row>
    <row r="672" spans="1:4" x14ac:dyDescent="0.25">
      <c r="A672" s="20" t="s">
        <v>3000</v>
      </c>
      <c r="B672" s="20" t="str">
        <f>VLOOKUP(A672,'Base Sin Negativos'!S672:V2108,2,0)</f>
        <v>Tradiciones Andinas</v>
      </c>
      <c r="C672" s="20" t="str">
        <f>VLOOKUP(A672,'Base Sin Negativos'!S672:V2108,3,0)</f>
        <v>Valles Andinos Aji Casero 6oz x 24</v>
      </c>
      <c r="D672" s="20">
        <f>VLOOKUP(A672,'Base Sin Negativos'!S672:V2108,4,0)</f>
        <v>42.96</v>
      </c>
    </row>
    <row r="673" spans="1:4" x14ac:dyDescent="0.25">
      <c r="A673" s="20" t="s">
        <v>3001</v>
      </c>
      <c r="B673" s="20" t="str">
        <f>VLOOKUP(A673,'Base Sin Negativos'!S673:V2109,2,0)</f>
        <v>Tradiciones Andinas</v>
      </c>
      <c r="C673" s="20" t="str">
        <f>VLOOKUP(A673,'Base Sin Negativos'!S673:V2109,3,0)</f>
        <v>Valles Andinos Aji Casero 6oz x 24</v>
      </c>
      <c r="D673" s="20">
        <f>VLOOKUP(A673,'Base Sin Negativos'!S673:V2109,4,0)</f>
        <v>45.96</v>
      </c>
    </row>
    <row r="674" spans="1:4" x14ac:dyDescent="0.25">
      <c r="A674" s="20" t="s">
        <v>3002</v>
      </c>
      <c r="B674" s="20" t="str">
        <f>VLOOKUP(A674,'Base Sin Negativos'!S674:V2110,2,0)</f>
        <v>Tradiciones Andinas</v>
      </c>
      <c r="C674" s="20" t="str">
        <f>VLOOKUP(A674,'Base Sin Negativos'!S674:V2110,3,0)</f>
        <v>Valles Andinos Aji Peruano 14oz x 12</v>
      </c>
      <c r="D674" s="20">
        <f>VLOOKUP(A674,'Base Sin Negativos'!S674:V2110,4,0)</f>
        <v>33.479999999999997</v>
      </c>
    </row>
    <row r="675" spans="1:4" x14ac:dyDescent="0.25">
      <c r="A675" s="20" t="s">
        <v>3003</v>
      </c>
      <c r="B675" s="20" t="str">
        <f>VLOOKUP(A675,'Base Sin Negativos'!S675:V2111,2,0)</f>
        <v>Tradiciones Andinas</v>
      </c>
      <c r="C675" s="20" t="str">
        <f>VLOOKUP(A675,'Base Sin Negativos'!S675:V2111,3,0)</f>
        <v>Valles Andinos Ajo en Pasta /Garlic Paste 16.58oz x 15</v>
      </c>
      <c r="D675" s="20">
        <f>VLOOKUP(A675,'Base Sin Negativos'!S675:V2111,4,0)</f>
        <v>32.15</v>
      </c>
    </row>
    <row r="676" spans="1:4" x14ac:dyDescent="0.25">
      <c r="A676" s="20" t="s">
        <v>3004</v>
      </c>
      <c r="B676" s="20" t="str">
        <f>VLOOKUP(A676,'Base Sin Negativos'!S676:V2112,2,0)</f>
        <v>Tradiciones Andinas</v>
      </c>
      <c r="C676" s="20" t="str">
        <f>VLOOKUP(A676,'Base Sin Negativos'!S676:V2112,3,0)</f>
        <v>Valles Andinos Aliño - Ecuatorian Seasoning 17.64oz x 15</v>
      </c>
      <c r="D676" s="20">
        <f>VLOOKUP(A676,'Base Sin Negativos'!S676:V2112,4,0)</f>
        <v>32.15</v>
      </c>
    </row>
    <row r="677" spans="1:4" x14ac:dyDescent="0.25">
      <c r="A677" s="20" t="s">
        <v>3005</v>
      </c>
      <c r="B677" s="20" t="str">
        <f>VLOOKUP(A677,'Base Sin Negativos'!S677:V2113,2,0)</f>
        <v>Tradiciones Andinas</v>
      </c>
      <c r="C677" s="20" t="str">
        <f>VLOOKUP(A677,'Base Sin Negativos'!S677:V2113,3,0)</f>
        <v>Valles Andinos Arroz de Cebada / Barley Corn 14oz x 18</v>
      </c>
      <c r="D677" s="20">
        <f>VLOOKUP(A677,'Base Sin Negativos'!S677:V2113,4,0)</f>
        <v>25.02</v>
      </c>
    </row>
    <row r="678" spans="1:4" x14ac:dyDescent="0.25">
      <c r="A678" s="20" t="s">
        <v>3006</v>
      </c>
      <c r="B678" s="20" t="str">
        <f>VLOOKUP(A678,'Base Sin Negativos'!S678:V2114,2,0)</f>
        <v>Tradiciones Andinas</v>
      </c>
      <c r="C678" s="20" t="str">
        <f>VLOOKUP(A678,'Base Sin Negativos'!S678:V2114,3,0)</f>
        <v>Valles Andinos Arverjas Verdes 14oz x 24</v>
      </c>
      <c r="D678" s="20">
        <f>VLOOKUP(A678,'Base Sin Negativos'!S678:V2114,4,0)</f>
        <v>18</v>
      </c>
    </row>
    <row r="679" spans="1:4" x14ac:dyDescent="0.25">
      <c r="A679" s="20" t="s">
        <v>3007</v>
      </c>
      <c r="B679" s="20" t="str">
        <f>VLOOKUP(A679,'Base Sin Negativos'!S679:V2115,2,0)</f>
        <v>Tradiciones Andinas</v>
      </c>
      <c r="C679" s="20" t="str">
        <f>VLOOKUP(A679,'Base Sin Negativos'!S679:V2115,3,0)</f>
        <v>Valles Andinos Canguil / Pop Corn</v>
      </c>
      <c r="D679" s="20">
        <f>VLOOKUP(A679,'Base Sin Negativos'!S679:V2115,4,0)</f>
        <v>23.76</v>
      </c>
    </row>
    <row r="680" spans="1:4" x14ac:dyDescent="0.25">
      <c r="A680" s="20" t="s">
        <v>3008</v>
      </c>
      <c r="B680" s="20" t="str">
        <f>VLOOKUP(A680,'Base Sin Negativos'!S680:V2116,2,0)</f>
        <v>Tradiciones Andinas</v>
      </c>
      <c r="C680" s="20" t="str">
        <f>VLOOKUP(A680,'Base Sin Negativos'!S680:V2116,3,0)</f>
        <v>Valles Andinos Chimichurri - BBQ Sauce 500gr x 15</v>
      </c>
      <c r="D680" s="20">
        <f>VLOOKUP(A680,'Base Sin Negativos'!S680:V2116,4,0)</f>
        <v>32.15</v>
      </c>
    </row>
    <row r="681" spans="1:4" x14ac:dyDescent="0.25">
      <c r="A681" s="20" t="s">
        <v>3009</v>
      </c>
      <c r="B681" s="20" t="str">
        <f>VLOOKUP(A681,'Base Sin Negativos'!S681:V2117,2,0)</f>
        <v>Tradiciones Andinas</v>
      </c>
      <c r="C681" s="20" t="str">
        <f>VLOOKUP(A681,'Base Sin Negativos'!S681:V2117,3,0)</f>
        <v>Valles Andinos Chochos en Salmuera 15oz x 12</v>
      </c>
      <c r="D681" s="20">
        <f>VLOOKUP(A681,'Base Sin Negativos'!S681:V2117,4,0)</f>
        <v>39.479999999999997</v>
      </c>
    </row>
    <row r="682" spans="1:4" x14ac:dyDescent="0.25">
      <c r="A682" s="20" t="s">
        <v>3010</v>
      </c>
      <c r="B682" s="20" t="str">
        <f>VLOOKUP(A682,'Base Sin Negativos'!S682:V2118,2,0)</f>
        <v>Tradiciones Andinas</v>
      </c>
      <c r="C682" s="20" t="str">
        <f>VLOOKUP(A682,'Base Sin Negativos'!S682:V2118,3,0)</f>
        <v>Valles Andinos Chochos en Salmuera 15oz x 12</v>
      </c>
      <c r="D682" s="20">
        <f>VLOOKUP(A682,'Base Sin Negativos'!S682:V2118,4,0)</f>
        <v>42.24</v>
      </c>
    </row>
    <row r="683" spans="1:4" x14ac:dyDescent="0.25">
      <c r="A683" s="20" t="s">
        <v>3011</v>
      </c>
      <c r="B683" s="20" t="str">
        <f>VLOOKUP(A683,'Base Sin Negativos'!S683:V2119,2,0)</f>
        <v>Tradiciones Andinas</v>
      </c>
      <c r="C683" s="20" t="str">
        <f>VLOOKUP(A683,'Base Sin Negativos'!S683:V2119,3,0)</f>
        <v>Valles Andinos Chochos en Salmuera Picantes 17oz x 12</v>
      </c>
      <c r="D683" s="20">
        <f>VLOOKUP(A683,'Base Sin Negativos'!S683:V2119,4,0)</f>
        <v>39.479999999999997</v>
      </c>
    </row>
    <row r="684" spans="1:4" x14ac:dyDescent="0.25">
      <c r="A684" s="20" t="s">
        <v>3012</v>
      </c>
      <c r="B684" s="20" t="str">
        <f>VLOOKUP(A684,'Base Sin Negativos'!S684:V2120,2,0)</f>
        <v>Tradiciones Andinas</v>
      </c>
      <c r="C684" s="20" t="str">
        <f>VLOOKUP(A684,'Base Sin Negativos'!S684:V2120,3,0)</f>
        <v>Valles Andinos Dulces de Higos 20oz X 12</v>
      </c>
      <c r="D684" s="20">
        <f>VLOOKUP(A684,'Base Sin Negativos'!S684:V2120,4,0)</f>
        <v>46.68</v>
      </c>
    </row>
    <row r="685" spans="1:4" x14ac:dyDescent="0.25">
      <c r="A685" s="20" t="s">
        <v>3013</v>
      </c>
      <c r="B685" s="20" t="str">
        <f>VLOOKUP(A685,'Base Sin Negativos'!S685:V2121,2,0)</f>
        <v>Tradiciones Andinas</v>
      </c>
      <c r="C685" s="20" t="str">
        <f>VLOOKUP(A685,'Base Sin Negativos'!S685:V2121,3,0)</f>
        <v>Valles Andinos Dulces de Higos 20oz X 12</v>
      </c>
      <c r="D685" s="20">
        <f>VLOOKUP(A685,'Base Sin Negativos'!S685:V2121,4,0)</f>
        <v>49.95</v>
      </c>
    </row>
    <row r="686" spans="1:4" x14ac:dyDescent="0.25">
      <c r="A686" s="20" t="s">
        <v>3014</v>
      </c>
      <c r="B686" s="20" t="str">
        <f>VLOOKUP(A686,'Base Sin Negativos'!S686:V2122,2,0)</f>
        <v>Tradiciones Andinas</v>
      </c>
      <c r="C686" s="20" t="str">
        <f>VLOOKUP(A686,'Base Sin Negativos'!S686:V2122,3,0)</f>
        <v>Valles Andinos Frijol Bocanegra / Black Eye Beans or Bocanegra</v>
      </c>
      <c r="D686" s="20">
        <f>VLOOKUP(A686,'Base Sin Negativos'!S686:V2122,4,0)</f>
        <v>23.22</v>
      </c>
    </row>
    <row r="687" spans="1:4" x14ac:dyDescent="0.25">
      <c r="A687" s="20" t="s">
        <v>3015</v>
      </c>
      <c r="B687" s="20" t="str">
        <f>VLOOKUP(A687,'Base Sin Negativos'!S687:V2123,2,0)</f>
        <v>Tradiciones Andinas</v>
      </c>
      <c r="C687" s="20" t="str">
        <f>VLOOKUP(A687,'Base Sin Negativos'!S687:V2123,3,0)</f>
        <v>Valles Andinos Frijol Canario / Canary Beans</v>
      </c>
      <c r="D687" s="20">
        <f>VLOOKUP(A687,'Base Sin Negativos'!S687:V2123,4,0)</f>
        <v>30.42</v>
      </c>
    </row>
    <row r="688" spans="1:4" x14ac:dyDescent="0.25">
      <c r="A688" s="20" t="s">
        <v>3016</v>
      </c>
      <c r="B688" s="20" t="str">
        <f>VLOOKUP(A688,'Base Sin Negativos'!S688:V2124,2,0)</f>
        <v>Tradiciones Andinas</v>
      </c>
      <c r="C688" s="20" t="str">
        <f>VLOOKUP(A688,'Base Sin Negativos'!S688:V2124,3,0)</f>
        <v>Valles Andinos Frijoles Negros / Black beans 14 oz x 24</v>
      </c>
      <c r="D688" s="20">
        <f>VLOOKUP(A688,'Base Sin Negativos'!S688:V2124,4,0)</f>
        <v>20.399999999999999</v>
      </c>
    </row>
    <row r="689" spans="1:4" x14ac:dyDescent="0.25">
      <c r="A689" s="20" t="s">
        <v>3017</v>
      </c>
      <c r="B689" s="20" t="str">
        <f>VLOOKUP(A689,'Base Sin Negativos'!S689:V2125,2,0)</f>
        <v>Tradiciones Andinas</v>
      </c>
      <c r="C689" s="20" t="str">
        <f>VLOOKUP(A689,'Base Sin Negativos'!S689:V2125,3,0)</f>
        <v>Valles Andinos Habas partidas y Peladas / Split and Peeled Fava Beans 14oz x 14</v>
      </c>
      <c r="D689" s="20">
        <f>VLOOKUP(A689,'Base Sin Negativos'!S689:V2125,4,0)</f>
        <v>25.9</v>
      </c>
    </row>
    <row r="690" spans="1:4" x14ac:dyDescent="0.25">
      <c r="A690" s="20" t="s">
        <v>3018</v>
      </c>
      <c r="B690" s="20" t="str">
        <f>VLOOKUP(A690,'Base Sin Negativos'!S690:V2126,2,0)</f>
        <v>Tradiciones Andinas</v>
      </c>
      <c r="C690" s="20" t="str">
        <f>VLOOKUP(A690,'Base Sin Negativos'!S690:V2126,3,0)</f>
        <v>Valles Andinos Harina de Alverja / Pea Flour</v>
      </c>
      <c r="D690" s="20">
        <f>VLOOKUP(A690,'Base Sin Negativos'!S690:V2126,4,0)</f>
        <v>22.24</v>
      </c>
    </row>
    <row r="691" spans="1:4" x14ac:dyDescent="0.25">
      <c r="A691" s="20" t="s">
        <v>3019</v>
      </c>
      <c r="B691" s="20" t="str">
        <f>VLOOKUP(A691,'Base Sin Negativos'!S691:V2127,2,0)</f>
        <v>Tradiciones Andinas</v>
      </c>
      <c r="C691" s="20" t="str">
        <f>VLOOKUP(A691,'Base Sin Negativos'!S691:V2127,3,0)</f>
        <v>Valles Andinos Harina de Habas / Faba Beans Flour 14oz x 18</v>
      </c>
      <c r="D691" s="20">
        <f>VLOOKUP(A691,'Base Sin Negativos'!S691:V2127,4,0)</f>
        <v>22.24</v>
      </c>
    </row>
    <row r="692" spans="1:4" x14ac:dyDescent="0.25">
      <c r="A692" s="20" t="s">
        <v>3020</v>
      </c>
      <c r="B692" s="20" t="str">
        <f>VLOOKUP(A692,'Base Sin Negativos'!S692:V2128,2,0)</f>
        <v>Tradiciones Andinas</v>
      </c>
      <c r="C692" s="20" t="str">
        <f>VLOOKUP(A692,'Base Sin Negativos'!S692:V2128,3,0)</f>
        <v>Valles Andinos Harina de Machica / Roasted Barley Flour</v>
      </c>
      <c r="D692" s="20">
        <f>VLOOKUP(A692,'Base Sin Negativos'!S692:V2128,4,0)</f>
        <v>22.24</v>
      </c>
    </row>
    <row r="693" spans="1:4" x14ac:dyDescent="0.25">
      <c r="A693" s="20" t="s">
        <v>3021</v>
      </c>
      <c r="B693" s="20" t="str">
        <f>VLOOKUP(A693,'Base Sin Negativos'!S693:V2129,2,0)</f>
        <v>Tradiciones Andinas</v>
      </c>
      <c r="C693" s="20" t="str">
        <f>VLOOKUP(A693,'Base Sin Negativos'!S693:V2129,3,0)</f>
        <v>Valles Andinos Harina de Maiz / Corn Flour</v>
      </c>
      <c r="D693" s="20">
        <f>VLOOKUP(A693,'Base Sin Negativos'!S693:V2129,4,0)</f>
        <v>22.24</v>
      </c>
    </row>
    <row r="694" spans="1:4" x14ac:dyDescent="0.25">
      <c r="A694" s="20" t="s">
        <v>3022</v>
      </c>
      <c r="B694" s="20" t="str">
        <f>VLOOKUP(A694,'Base Sin Negativos'!S694:V2130,2,0)</f>
        <v>Tradiciones Andinas</v>
      </c>
      <c r="C694" s="20" t="str">
        <f>VLOOKUP(A694,'Base Sin Negativos'!S694:V2130,3,0)</f>
        <v>Valles Andinos Harina de Platano / Plantain Flour</v>
      </c>
      <c r="D694" s="20">
        <f>VLOOKUP(A694,'Base Sin Negativos'!S694:V2130,4,0)</f>
        <v>22.24</v>
      </c>
    </row>
    <row r="695" spans="1:4" x14ac:dyDescent="0.25">
      <c r="A695" s="20" t="s">
        <v>3023</v>
      </c>
      <c r="B695" s="20" t="str">
        <f>VLOOKUP(A695,'Base Sin Negativos'!S695:V2131,2,0)</f>
        <v>Tradiciones Andinas</v>
      </c>
      <c r="C695" s="20" t="str">
        <f>VLOOKUP(A695,'Base Sin Negativos'!S695:V2131,3,0)</f>
        <v>Valles Andinos Harina Maiz Morado / Purple Corn Flour</v>
      </c>
      <c r="D695" s="20">
        <f>VLOOKUP(A695,'Base Sin Negativos'!S695:V2131,4,0)</f>
        <v>22.24</v>
      </c>
    </row>
    <row r="696" spans="1:4" x14ac:dyDescent="0.25">
      <c r="A696" s="20" t="s">
        <v>3024</v>
      </c>
      <c r="B696" s="20" t="str">
        <f>VLOOKUP(A696,'Base Sin Negativos'!S696:V2132,2,0)</f>
        <v>Tradiciones Andinas</v>
      </c>
      <c r="C696" s="20" t="str">
        <f>VLOOKUP(A696,'Base Sin Negativos'!S696:V2132,3,0)</f>
        <v>Valles Andinos Lentejas 14oz x 24</v>
      </c>
      <c r="D696" s="20">
        <f>VLOOKUP(A696,'Base Sin Negativos'!S696:V2132,4,0)</f>
        <v>19.2</v>
      </c>
    </row>
    <row r="697" spans="1:4" x14ac:dyDescent="0.25">
      <c r="A697" s="20" t="s">
        <v>3025</v>
      </c>
      <c r="B697" s="20" t="str">
        <f>VLOOKUP(A697,'Base Sin Negativos'!S697:V2133,2,0)</f>
        <v>Tradiciones Andinas</v>
      </c>
      <c r="C697" s="20" t="str">
        <f>VLOOKUP(A697,'Base Sin Negativos'!S697:V2133,3,0)</f>
        <v>Valles Andinos Soya / Soy Beans 14oz x 18 bolsa</v>
      </c>
      <c r="D697" s="20">
        <f>VLOOKUP(A697,'Base Sin Negativos'!S697:V2133,4,0)</f>
        <v>30.42</v>
      </c>
    </row>
    <row r="698" spans="1:4" x14ac:dyDescent="0.25">
      <c r="A698" s="20" t="s">
        <v>3026</v>
      </c>
      <c r="B698" s="20" t="str">
        <f>VLOOKUP(A698,'Base Sin Negativos'!S698:V2134,2,0)</f>
        <v>Peru Chef</v>
      </c>
      <c r="C698" s="20" t="str">
        <f>VLOOKUP(A698,'Base Sin Negativos'!S698:V2134,3,0)</f>
        <v>VARGAS CHEVALIER Jarabe de Goma 750ml x 12 fco vidrio</v>
      </c>
      <c r="D698" s="20">
        <f>VLOOKUP(A698,'Base Sin Negativos'!S698:V2134,4,0)</f>
        <v>75.599999999999994</v>
      </c>
    </row>
    <row r="699" spans="1:4" x14ac:dyDescent="0.25">
      <c r="A699" s="20" t="s">
        <v>3027</v>
      </c>
      <c r="B699" s="20" t="str">
        <f>VLOOKUP(A699,'Base Sin Negativos'!S699:V2135,2,0)</f>
        <v>Tradiciones Andinas</v>
      </c>
      <c r="C699" s="20" t="str">
        <f>VLOOKUP(A699,'Base Sin Negativos'!S699:V2135,3,0)</f>
        <v>VITAPLUSS - Arrocito con Miel 140gr x 24</v>
      </c>
      <c r="D699" s="20">
        <f>VLOOKUP(A699,'Base Sin Negativos'!S699:V2135,4,0)</f>
        <v>24</v>
      </c>
    </row>
    <row r="700" spans="1:4" x14ac:dyDescent="0.25">
      <c r="A700" s="20" t="s">
        <v>3028</v>
      </c>
      <c r="B700" s="20" t="str">
        <f>VLOOKUP(A700,'Base Sin Negativos'!S700:V2136,2,0)</f>
        <v>Tradiciones Andinas</v>
      </c>
      <c r="C700" s="20" t="str">
        <f>VLOOKUP(A700,'Base Sin Negativos'!S700:V2136,3,0)</f>
        <v>VITAPLUSS - Arrocito con Miel 140gr x 24</v>
      </c>
      <c r="D700" s="20">
        <f>VLOOKUP(A700,'Base Sin Negativos'!S700:V2136,4,0)</f>
        <v>26.4</v>
      </c>
    </row>
    <row r="701" spans="1:4" x14ac:dyDescent="0.25">
      <c r="A701" s="20" t="s">
        <v>3029</v>
      </c>
      <c r="B701" s="20" t="str">
        <f>VLOOKUP(A701,'Base Sin Negativos'!S701:V2137,2,0)</f>
        <v>Tradiciones Andinas</v>
      </c>
      <c r="C701" s="20" t="str">
        <f>VLOOKUP(A701,'Base Sin Negativos'!S701:V2137,3,0)</f>
        <v>VITAPLUSS - Fideos con Miel 120gr x 20</v>
      </c>
      <c r="D701" s="20">
        <f>VLOOKUP(A701,'Base Sin Negativos'!S701:V2137,4,0)</f>
        <v>24</v>
      </c>
    </row>
    <row r="702" spans="1:4" x14ac:dyDescent="0.25">
      <c r="A702" s="20" t="s">
        <v>3030</v>
      </c>
      <c r="B702" s="20" t="str">
        <f>VLOOKUP(A702,'Base Sin Negativos'!S702:V2138,2,0)</f>
        <v>Tradiciones Andinas</v>
      </c>
      <c r="C702" s="20" t="str">
        <f>VLOOKUP(A702,'Base Sin Negativos'!S702:V2138,3,0)</f>
        <v>VITAPLUSS - Fideos con Miel 120gr x 20</v>
      </c>
      <c r="D702" s="20">
        <f>VLOOKUP(A702,'Base Sin Negativos'!S702:V2138,4,0)</f>
        <v>21.4</v>
      </c>
    </row>
    <row r="703" spans="1:4" x14ac:dyDescent="0.25">
      <c r="A703" s="20" t="s">
        <v>3031</v>
      </c>
      <c r="B703" s="20" t="str">
        <f>VLOOKUP(A703,'Base Sin Negativos'!S703:V2139,2,0)</f>
        <v>Tradiciones Andinas</v>
      </c>
      <c r="C703" s="20" t="str">
        <f>VLOOKUP(A703,'Base Sin Negativos'!S703:V2139,3,0)</f>
        <v>VITAPLUSS - Fideos con Miel 120gr x 20</v>
      </c>
      <c r="D703" s="20">
        <f>VLOOKUP(A703,'Base Sin Negativos'!S703:V2139,4,0)</f>
        <v>22</v>
      </c>
    </row>
    <row r="704" spans="1:4" x14ac:dyDescent="0.25">
      <c r="A704" s="20" t="s">
        <v>3032</v>
      </c>
      <c r="B704" s="20" t="str">
        <f>VLOOKUP(A704,'Base Sin Negativos'!S704:V2140,2,0)</f>
        <v>Tradiciones Andinas</v>
      </c>
      <c r="C704" s="20" t="str">
        <f>VLOOKUP(A704,'Base Sin Negativos'!S704:V2140,3,0)</f>
        <v>VITAPLUSS - Maiz expandido con miel 140gr x 24</v>
      </c>
      <c r="D704" s="20">
        <f>VLOOKUP(A704,'Base Sin Negativos'!S704:V2140,4,0)</f>
        <v>24</v>
      </c>
    </row>
    <row r="705" spans="1:4" x14ac:dyDescent="0.25">
      <c r="A705" s="20" t="s">
        <v>3033</v>
      </c>
      <c r="B705" s="20" t="str">
        <f>VLOOKUP(A705,'Base Sin Negativos'!S705:V2141,2,0)</f>
        <v>Tradiciones Andinas</v>
      </c>
      <c r="C705" s="20" t="str">
        <f>VLOOKUP(A705,'Base Sin Negativos'!S705:V2141,3,0)</f>
        <v>VITAPLUSS - Maiz expandido con miel 140gr x 24</v>
      </c>
      <c r="D705" s="20">
        <f>VLOOKUP(A705,'Base Sin Negativos'!S705:V2141,4,0)</f>
        <v>26.4</v>
      </c>
    </row>
    <row r="706" spans="1:4" x14ac:dyDescent="0.25">
      <c r="A706" s="20" t="s">
        <v>3034</v>
      </c>
      <c r="B706" s="20" t="str">
        <f>VLOOKUP(A706,'Base Sin Negativos'!S706:V2142,2,0)</f>
        <v>Tradiciones Andinas</v>
      </c>
      <c r="C706" s="20" t="str">
        <f>VLOOKUP(A706,'Base Sin Negativos'!S706:V2142,3,0)</f>
        <v>VITAPLUSS - Trigo Expandido con Miel 140gr x 24</v>
      </c>
      <c r="D706" s="20">
        <f>VLOOKUP(A706,'Base Sin Negativos'!S706:V2142,4,0)</f>
        <v>24</v>
      </c>
    </row>
    <row r="707" spans="1:4" x14ac:dyDescent="0.25">
      <c r="A707" s="20" t="s">
        <v>3035</v>
      </c>
      <c r="B707" s="20" t="str">
        <f>VLOOKUP(A707,'Base Sin Negativos'!S707:V2143,2,0)</f>
        <v>Tradiciones Andinas</v>
      </c>
      <c r="C707" s="20" t="str">
        <f>VLOOKUP(A707,'Base Sin Negativos'!S707:V2143,3,0)</f>
        <v>VITAPLUSS - Trigo Expandido con Miel 140gr x 24</v>
      </c>
      <c r="D707" s="20">
        <f>VLOOKUP(A707,'Base Sin Negativos'!S707:V2143,4,0)</f>
        <v>25.68</v>
      </c>
    </row>
    <row r="708" spans="1:4" x14ac:dyDescent="0.25">
      <c r="A708" s="20" t="s">
        <v>3036</v>
      </c>
      <c r="B708" s="20" t="str">
        <f>VLOOKUP(A708,'Base Sin Negativos'!S708:V2144,2,0)</f>
        <v>Arjo Vision Trading Company LLC</v>
      </c>
      <c r="C708" s="20" t="str">
        <f>VLOOKUP(A708,'Base Sin Negativos'!S708:V2144,3,0)</f>
        <v>Volt yellow Guarana 16fl oz /15</v>
      </c>
      <c r="D708" s="20">
        <f>VLOOKUP(A708,'Base Sin Negativos'!S708:V2144,4,0)</f>
        <v>16.022600000000001</v>
      </c>
    </row>
    <row r="709" spans="1:4" x14ac:dyDescent="0.25">
      <c r="A709" s="20" t="s">
        <v>3037</v>
      </c>
      <c r="B709" s="20" t="str">
        <f>VLOOKUP(A709,'Base Sin Negativos'!S709:V2145,2,0)</f>
        <v>Peru Chef</v>
      </c>
      <c r="C709" s="20" t="str">
        <f>VLOOKUP(A709,'Base Sin Negativos'!S709:V2145,3,0)</f>
        <v>Walibi Aceitunesa 380gr x 12</v>
      </c>
      <c r="D709" s="20">
        <f>VLOOKUP(A709,'Base Sin Negativos'!S709:V2145,4,0)</f>
        <v>31.8</v>
      </c>
    </row>
    <row r="710" spans="1:4" x14ac:dyDescent="0.25">
      <c r="A710" s="20" t="s">
        <v>3038</v>
      </c>
      <c r="B710" s="20" t="str">
        <f>VLOOKUP(A710,'Base Sin Negativos'!S710:V2146,2,0)</f>
        <v>Peru Chef</v>
      </c>
      <c r="C710" s="20" t="str">
        <f>VLOOKUP(A710,'Base Sin Negativos'!S710:V2146,3,0)</f>
        <v>Walibi Aceitunesa 380gr x 12</v>
      </c>
      <c r="D710" s="20">
        <f>VLOOKUP(A710,'Base Sin Negativos'!S710:V2146,4,0)</f>
        <v>39</v>
      </c>
    </row>
    <row r="711" spans="1:4" x14ac:dyDescent="0.25">
      <c r="A711" s="20" t="s">
        <v>3039</v>
      </c>
      <c r="B711" s="20" t="str">
        <f>VLOOKUP(A711,'Base Sin Negativos'!S711:V2147,2,0)</f>
        <v>Peru Chef</v>
      </c>
      <c r="C711" s="20" t="str">
        <f>VLOOKUP(A711,'Base Sin Negativos'!S711:V2147,3,0)</f>
        <v>Walibi Aceitunesa 380gr x 12</v>
      </c>
      <c r="D711" s="20">
        <f>VLOOKUP(A711,'Base Sin Negativos'!S711:V2147,4,0)</f>
        <v>35</v>
      </c>
    </row>
    <row r="712" spans="1:4" x14ac:dyDescent="0.25">
      <c r="A712" s="20" t="s">
        <v>3040</v>
      </c>
      <c r="B712" s="20" t="str">
        <f>VLOOKUP(A712,'Base Sin Negativos'!S712:V2148,2,0)</f>
        <v>Peru Chef</v>
      </c>
      <c r="C712" s="20" t="str">
        <f>VLOOKUP(A712,'Base Sin Negativos'!S712:V2148,3,0)</f>
        <v>Walibi Aceitunesa 380gr x 12</v>
      </c>
      <c r="D712" s="20">
        <f>VLOOKUP(A712,'Base Sin Negativos'!S712:V2148,4,0)</f>
        <v>35.1</v>
      </c>
    </row>
    <row r="713" spans="1:4" x14ac:dyDescent="0.25">
      <c r="A713" s="20" t="s">
        <v>3041</v>
      </c>
      <c r="B713" s="20" t="str">
        <f>VLOOKUP(A713,'Base Sin Negativos'!S713:V2149,2,0)</f>
        <v>Peru Chef</v>
      </c>
      <c r="C713" s="20" t="str">
        <f>VLOOKUP(A713,'Base Sin Negativos'!S713:V2149,3,0)</f>
        <v>Walibi Crema De Rocoto 380gr x 12</v>
      </c>
      <c r="D713" s="20">
        <f>VLOOKUP(A713,'Base Sin Negativos'!S713:V2149,4,0)</f>
        <v>31.8</v>
      </c>
    </row>
    <row r="714" spans="1:4" x14ac:dyDescent="0.25">
      <c r="A714" s="20" t="s">
        <v>3042</v>
      </c>
      <c r="B714" s="20" t="str">
        <f>VLOOKUP(A714,'Base Sin Negativos'!S714:V2150,2,0)</f>
        <v>Peru Chef</v>
      </c>
      <c r="C714" s="20" t="str">
        <f>VLOOKUP(A714,'Base Sin Negativos'!S714:V2150,3,0)</f>
        <v>Walibi Crema De Rocoto 380gr x 12</v>
      </c>
      <c r="D714" s="20">
        <f>VLOOKUP(A714,'Base Sin Negativos'!S714:V2150,4,0)</f>
        <v>39</v>
      </c>
    </row>
    <row r="715" spans="1:4" x14ac:dyDescent="0.25">
      <c r="A715" s="20" t="s">
        <v>3043</v>
      </c>
      <c r="B715" s="20" t="str">
        <f>VLOOKUP(A715,'Base Sin Negativos'!S715:V2151,2,0)</f>
        <v>Peru Chef</v>
      </c>
      <c r="C715" s="20" t="str">
        <f>VLOOKUP(A715,'Base Sin Negativos'!S715:V2151,3,0)</f>
        <v>Walibi Crema De Rocoto 380gr x 12</v>
      </c>
      <c r="D715" s="20">
        <f>VLOOKUP(A715,'Base Sin Negativos'!S715:V2151,4,0)</f>
        <v>35.1</v>
      </c>
    </row>
    <row r="716" spans="1:4" x14ac:dyDescent="0.25">
      <c r="A716" s="20" t="s">
        <v>3044</v>
      </c>
      <c r="B716" s="20" t="str">
        <f>VLOOKUP(A716,'Base Sin Negativos'!S716:V2152,2,0)</f>
        <v>Peru Chef</v>
      </c>
      <c r="C716" s="20" t="str">
        <f>VLOOKUP(A716,'Base Sin Negativos'!S716:V2152,3,0)</f>
        <v>Walibi Mayonesa</v>
      </c>
      <c r="D716" s="20">
        <f>VLOOKUP(A716,'Base Sin Negativos'!S716:V2152,4,0)</f>
        <v>31.8</v>
      </c>
    </row>
    <row r="717" spans="1:4" x14ac:dyDescent="0.25">
      <c r="A717" s="20" t="s">
        <v>3045</v>
      </c>
      <c r="B717" s="20" t="str">
        <f>VLOOKUP(A717,'Base Sin Negativos'!S717:V2153,2,0)</f>
        <v>Peru Chef</v>
      </c>
      <c r="C717" s="20" t="str">
        <f>VLOOKUP(A717,'Base Sin Negativos'!S717:V2153,3,0)</f>
        <v>Walibi Salsa De Aji Criollo 380gr x 12</v>
      </c>
      <c r="D717" s="20">
        <f>VLOOKUP(A717,'Base Sin Negativos'!S717:V2153,4,0)</f>
        <v>31.8</v>
      </c>
    </row>
    <row r="718" spans="1:4" x14ac:dyDescent="0.25">
      <c r="A718" s="20" t="s">
        <v>3046</v>
      </c>
      <c r="B718" s="20" t="str">
        <f>VLOOKUP(A718,'Base Sin Negativos'!S718:V2154,2,0)</f>
        <v>Peru Chef</v>
      </c>
      <c r="C718" s="20" t="str">
        <f>VLOOKUP(A718,'Base Sin Negativos'!S718:V2154,3,0)</f>
        <v>Walibi Salsa De Aji Criollo 380gr x 12</v>
      </c>
      <c r="D718" s="20">
        <f>VLOOKUP(A718,'Base Sin Negativos'!S718:V2154,4,0)</f>
        <v>39</v>
      </c>
    </row>
    <row r="719" spans="1:4" x14ac:dyDescent="0.25">
      <c r="A719" s="20" t="s">
        <v>3047</v>
      </c>
      <c r="B719" s="20" t="str">
        <f>VLOOKUP(A719,'Base Sin Negativos'!S719:V2155,2,0)</f>
        <v>Peru Chef</v>
      </c>
      <c r="C719" s="20" t="str">
        <f>VLOOKUP(A719,'Base Sin Negativos'!S719:V2155,3,0)</f>
        <v>Walibi Salsa De Aji Criollo 380gr x 12</v>
      </c>
      <c r="D719" s="20">
        <f>VLOOKUP(A719,'Base Sin Negativos'!S719:V2155,4,0)</f>
        <v>35</v>
      </c>
    </row>
    <row r="720" spans="1:4" x14ac:dyDescent="0.25">
      <c r="A720" s="20" t="s">
        <v>3048</v>
      </c>
      <c r="B720" s="20" t="str">
        <f>VLOOKUP(A720,'Base Sin Negativos'!S720:V2156,2,0)</f>
        <v>Peru Chef</v>
      </c>
      <c r="C720" s="20" t="str">
        <f>VLOOKUP(A720,'Base Sin Negativos'!S720:V2156,3,0)</f>
        <v>Walibi Salsa De Aji Criollo 380gr x 12</v>
      </c>
      <c r="D720" s="20">
        <f>VLOOKUP(A720,'Base Sin Negativos'!S720:V2156,4,0)</f>
        <v>35.1</v>
      </c>
    </row>
    <row r="721" spans="1:4" x14ac:dyDescent="0.25">
      <c r="A721" s="20" t="s">
        <v>3049</v>
      </c>
      <c r="B721" s="20" t="str">
        <f>VLOOKUP(A721,'Base Sin Negativos'!S721:V2157,2,0)</f>
        <v>Peru Chef</v>
      </c>
      <c r="C721" s="20" t="str">
        <f>VLOOKUP(A721,'Base Sin Negativos'!S721:V2157,3,0)</f>
        <v>Walibi Salsa Huancaina</v>
      </c>
      <c r="D721" s="20">
        <f>VLOOKUP(A721,'Base Sin Negativos'!S721:V2157,4,0)</f>
        <v>31.8</v>
      </c>
    </row>
    <row r="722" spans="1:4" x14ac:dyDescent="0.25">
      <c r="A722" s="20" t="s">
        <v>3050</v>
      </c>
      <c r="B722" s="20" t="str">
        <f>VLOOKUP(A722,'Base Sin Negativos'!S722:V2158,2,0)</f>
        <v>Peru Chef</v>
      </c>
      <c r="C722" s="20" t="str">
        <f>VLOOKUP(A722,'Base Sin Negativos'!S722:V2158,3,0)</f>
        <v>Wasska Base Pisco Sour Chicha Morada 125gr x 9</v>
      </c>
      <c r="D722" s="20">
        <f>VLOOKUP(A722,'Base Sin Negativos'!S722:V2158,4,0)</f>
        <v>22</v>
      </c>
    </row>
    <row r="723" spans="1:4" x14ac:dyDescent="0.25">
      <c r="A723" s="20" t="s">
        <v>3051</v>
      </c>
      <c r="B723" s="20" t="str">
        <f>VLOOKUP(A723,'Base Sin Negativos'!S723:V2159,2,0)</f>
        <v>Peru Chef</v>
      </c>
      <c r="C723" s="20" t="str">
        <f>VLOOKUP(A723,'Base Sin Negativos'!S723:V2159,3,0)</f>
        <v>Wasska Base Pisco Sour Limon 125gr x 9</v>
      </c>
      <c r="D723" s="20">
        <f>VLOOKUP(A723,'Base Sin Negativos'!S723:V2159,4,0)</f>
        <v>22</v>
      </c>
    </row>
    <row r="724" spans="1:4" x14ac:dyDescent="0.25">
      <c r="A724" s="20" t="s">
        <v>3052</v>
      </c>
      <c r="B724" s="20" t="str">
        <f>VLOOKUP(A724,'Base Sin Negativos'!S724:V2160,2,0)</f>
        <v>Peru Chef</v>
      </c>
      <c r="C724" s="20" t="str">
        <f>VLOOKUP(A724,'Base Sin Negativos'!S724:V2160,3,0)</f>
        <v>Wasska Base Pisco Sour Mango Con Camucamu 125gr x 9</v>
      </c>
      <c r="D724" s="20">
        <f>VLOOKUP(A724,'Base Sin Negativos'!S724:V2160,4,0)</f>
        <v>22</v>
      </c>
    </row>
    <row r="725" spans="1:4" x14ac:dyDescent="0.25">
      <c r="A725" s="20" t="s">
        <v>3053</v>
      </c>
      <c r="B725" s="20" t="str">
        <f>VLOOKUP(A725,'Base Sin Negativos'!S725:V2161,2,0)</f>
        <v>Peru Chef</v>
      </c>
      <c r="C725" s="20" t="str">
        <f>VLOOKUP(A725,'Base Sin Negativos'!S725:V2161,3,0)</f>
        <v>Wasska Base Pisco Sour Maracuya 125gr x 9</v>
      </c>
      <c r="D725" s="20">
        <f>VLOOKUP(A725,'Base Sin Negativos'!S725:V2161,4,0)</f>
        <v>22</v>
      </c>
    </row>
    <row r="726" spans="1:4" x14ac:dyDescent="0.25">
      <c r="A726" s="20" t="s">
        <v>3054</v>
      </c>
      <c r="B726" s="20" t="str">
        <f>VLOOKUP(A726,'Base Sin Negativos'!S726:V2162,2,0)</f>
        <v>Peru Chef</v>
      </c>
      <c r="C726" s="20" t="str">
        <f>VLOOKUP(A726,'Base Sin Negativos'!S726:V2162,3,0)</f>
        <v>Wasska Base Pisco Sour Maracuya 125gr x 9</v>
      </c>
      <c r="D726" s="20">
        <f>VLOOKUP(A726,'Base Sin Negativos'!S726:V2162,4,0)</f>
        <v>19.8</v>
      </c>
    </row>
    <row r="727" spans="1:4" x14ac:dyDescent="0.25">
      <c r="A727" s="20" t="s">
        <v>3055</v>
      </c>
      <c r="B727" s="20" t="str">
        <f>VLOOKUP(A727,'Base Sin Negativos'!S727:V2163,2,0)</f>
        <v>Belmont International Trading Corp</v>
      </c>
      <c r="C727" s="20" t="str">
        <f>VLOOKUP(A727,'Base Sin Negativos'!S727:V2163,3,0)</f>
        <v>Winter Ole Ole x 60 x 15</v>
      </c>
      <c r="D727" s="20">
        <f>VLOOKUP(A727,'Base Sin Negativos'!S727:V2163,4,0)</f>
        <v>40</v>
      </c>
    </row>
    <row r="728" spans="1:4" x14ac:dyDescent="0.25">
      <c r="A728" s="20" t="s">
        <v>3056</v>
      </c>
      <c r="B728" s="20" t="str">
        <f>VLOOKUP(A728,'Base Sin Negativos'!S728:V2164,2,0)</f>
        <v>Belmont International Trading Corp</v>
      </c>
      <c r="C728" s="20" t="str">
        <f>VLOOKUP(A728,'Base Sin Negativos'!S728:V2164,3,0)</f>
        <v>Winter Ole Ole x 60 x 15</v>
      </c>
      <c r="D728" s="20">
        <f>VLOOKUP(A728,'Base Sin Negativos'!S728:V2164,4,0)</f>
        <v>44</v>
      </c>
    </row>
    <row r="729" spans="1:4" x14ac:dyDescent="0.25">
      <c r="A729" s="20" t="s">
        <v>3057</v>
      </c>
      <c r="B729" s="20" t="str">
        <f>VLOOKUP(A729,'Base Sin Negativos'!S729:V2165,2,0)</f>
        <v>Peru Chef</v>
      </c>
      <c r="C729" s="20" t="str">
        <f>VLOOKUP(A729,'Base Sin Negativos'!S729:V2165,3,0)</f>
        <v>Winters Ole Ole 225 gr x 50 x 15</v>
      </c>
      <c r="D729" s="20">
        <f>VLOOKUP(A729,'Base Sin Negativos'!S729:V2165,4,0)</f>
        <v>38</v>
      </c>
    </row>
    <row r="730" spans="1:4" x14ac:dyDescent="0.25">
      <c r="A730" s="20" t="s">
        <v>3058</v>
      </c>
      <c r="B730" s="20" t="str">
        <f>VLOOKUP(A730,'Base Sin Negativos'!S730:V2166,2,0)</f>
        <v>Peru Chef</v>
      </c>
      <c r="C730" s="20" t="str">
        <f>VLOOKUP(A730,'Base Sin Negativos'!S730:V2166,3,0)</f>
        <v>Winters Ole Ole 225 gr x 50 x 15</v>
      </c>
      <c r="D730" s="20">
        <f>VLOOKUP(A730,'Base Sin Negativos'!S730:V2166,4,0)</f>
        <v>41</v>
      </c>
    </row>
    <row r="731" spans="1:4" x14ac:dyDescent="0.25">
      <c r="A731" s="20" t="s">
        <v>3059</v>
      </c>
      <c r="B731" s="20" t="str">
        <f>VLOOKUP(A731,'Base Sin Negativos'!S731:V2167,2,0)</f>
        <v>Peru Chef</v>
      </c>
      <c r="C731" s="20" t="str">
        <f>VLOOKUP(A731,'Base Sin Negativos'!S731:V2167,3,0)</f>
        <v>Winters Ole Ole 225 gr x 50 x 15</v>
      </c>
      <c r="D731" s="20">
        <f>VLOOKUP(A731,'Base Sin Negativos'!S731:V2167,4,0)</f>
        <v>36.9</v>
      </c>
    </row>
    <row r="732" spans="1:4" x14ac:dyDescent="0.25">
      <c r="A732" s="20" t="s">
        <v>3060</v>
      </c>
      <c r="B732" s="20" t="str">
        <f>VLOOKUP(A732,'Base Sin Negativos'!S732:V2168,2,0)</f>
        <v>Peru Chef</v>
      </c>
      <c r="C732" s="20" t="str">
        <f>VLOOKUP(A732,'Base Sin Negativos'!S732:V2168,3,0)</f>
        <v>WINTER'S Paneton 900gr x 6</v>
      </c>
      <c r="D732" s="20">
        <f>VLOOKUP(A732,'Base Sin Negativos'!S732:V2168,4,0)</f>
        <v>38</v>
      </c>
    </row>
    <row r="733" spans="1:4" x14ac:dyDescent="0.25">
      <c r="A733" s="20" t="s">
        <v>3061</v>
      </c>
      <c r="B733" s="20" t="str">
        <f>VLOOKUP(A733,'Base Sin Negativos'!S733:V2169,2,0)</f>
        <v>Tradiciones Andinas</v>
      </c>
      <c r="C733" s="20" t="str">
        <f>VLOOKUP(A733,'Base Sin Negativos'!S733:V2169,3,0)</f>
        <v>WINTER'S Paneton 900gr x 6</v>
      </c>
      <c r="D733" s="20">
        <f>VLOOKUP(A733,'Base Sin Negativos'!S733:V2169,4,0)</f>
        <v>35.94</v>
      </c>
    </row>
    <row r="734" spans="1:4" x14ac:dyDescent="0.25">
      <c r="A734" s="20" t="s">
        <v>3062</v>
      </c>
      <c r="B734" s="20" t="str">
        <f>VLOOKUP(A734,'Base Sin Negativos'!S734:V2170,2,0)</f>
        <v>Tradiciones Andinas</v>
      </c>
      <c r="C734" s="20" t="str">
        <f>VLOOKUP(A734,'Base Sin Negativos'!S734:V2170,3,0)</f>
        <v>WINTER'S Paneton 900gr x 6</v>
      </c>
      <c r="D734" s="20">
        <f>VLOOKUP(A734,'Base Sin Negativos'!S734:V2170,4,0)</f>
        <v>36</v>
      </c>
    </row>
    <row r="735" spans="1:4" x14ac:dyDescent="0.25">
      <c r="A735" s="20" t="s">
        <v>3063</v>
      </c>
      <c r="B735" s="20" t="str">
        <f>VLOOKUP(A735,'Base Sin Negativos'!S735:V2171,2,0)</f>
        <v>Tradiciones Andinas</v>
      </c>
      <c r="C735" s="20" t="str">
        <f>VLOOKUP(A735,'Base Sin Negativos'!S735:V2171,3,0)</f>
        <v>WINTER'S Paneton 900gr x 6</v>
      </c>
      <c r="D735" s="20">
        <f>VLOOKUP(A735,'Base Sin Negativos'!S735:V2171,4,0)</f>
        <v>30</v>
      </c>
    </row>
    <row r="736" spans="1:4" x14ac:dyDescent="0.25">
      <c r="A736" s="20" t="s">
        <v>3064</v>
      </c>
      <c r="B736" s="20" t="str">
        <f>VLOOKUP(A736,'Base Sin Negativos'!S736:V2172,2,0)</f>
        <v>Tradiciones Andinas</v>
      </c>
      <c r="C736" s="20" t="str">
        <f>VLOOKUP(A736,'Base Sin Negativos'!S736:V2172,3,0)</f>
        <v>WINTER'S Paneton 900gr x 6</v>
      </c>
      <c r="D736" s="20">
        <f>VLOOKUP(A736,'Base Sin Negativos'!S736:V2172,4,0)</f>
        <v>34</v>
      </c>
    </row>
    <row r="737" spans="1:4" x14ac:dyDescent="0.25">
      <c r="A737" s="20" t="s">
        <v>3065</v>
      </c>
      <c r="B737" s="20" t="str">
        <f>VLOOKUP(A737,'Base Sin Negativos'!S737:V2173,2,0)</f>
        <v>Belmont International Trading Corp</v>
      </c>
      <c r="C737" s="20" t="str">
        <f>VLOOKUP(A737,'Base Sin Negativos'!S737:V2173,3,0)</f>
        <v>Winter'S Picaras Chocolate 6 x30</v>
      </c>
      <c r="D737" s="20">
        <f>VLOOKUP(A737,'Base Sin Negativos'!S737:V2173,4,0)</f>
        <v>60.8</v>
      </c>
    </row>
    <row r="738" spans="1:4" x14ac:dyDescent="0.25">
      <c r="A738" s="20" t="s">
        <v>3066</v>
      </c>
      <c r="B738" s="20" t="str">
        <f>VLOOKUP(A738,'Base Sin Negativos'!S738:V2174,2,0)</f>
        <v>Belmont International Trading Corp</v>
      </c>
      <c r="C738" s="20" t="str">
        <f>VLOOKUP(A738,'Base Sin Negativos'!S738:V2174,3,0)</f>
        <v>Winter'S Picaras Chocolate 6 x30</v>
      </c>
      <c r="D738" s="20">
        <f>VLOOKUP(A738,'Base Sin Negativos'!S738:V2174,4,0)</f>
        <v>66.900000000000006</v>
      </c>
    </row>
    <row r="739" spans="1:4" x14ac:dyDescent="0.25">
      <c r="A739" s="20" t="s">
        <v>3067</v>
      </c>
      <c r="B739" s="20" t="str">
        <f>VLOOKUP(A739,'Base Sin Negativos'!S739:V2175,2,0)</f>
        <v>Peru Chef</v>
      </c>
      <c r="C739" s="20" t="str">
        <f>VLOOKUP(A739,'Base Sin Negativos'!S739:V2175,3,0)</f>
        <v>Winter'S Picaras Chocolate 6 x30</v>
      </c>
      <c r="D739" s="20">
        <f>VLOOKUP(A739,'Base Sin Negativos'!S739:V2175,4,0)</f>
        <v>69</v>
      </c>
    </row>
    <row r="740" spans="1:4" x14ac:dyDescent="0.25">
      <c r="A740" s="20" t="s">
        <v>3068</v>
      </c>
      <c r="B740" s="20" t="str">
        <f>VLOOKUP(A740,'Base Sin Negativos'!S740:V2176,2,0)</f>
        <v>Peru Chef</v>
      </c>
      <c r="C740" s="20" t="str">
        <f>VLOOKUP(A740,'Base Sin Negativos'!S740:V2176,3,0)</f>
        <v>Winter'S Picaras Chocolate 6 x30</v>
      </c>
      <c r="D740" s="20">
        <f>VLOOKUP(A740,'Base Sin Negativos'!S740:V2176,4,0)</f>
        <v>62.1</v>
      </c>
    </row>
    <row r="741" spans="1:4" x14ac:dyDescent="0.25">
      <c r="A741" s="20" t="s">
        <v>3069</v>
      </c>
      <c r="B741" s="20" t="str">
        <f>VLOOKUP(A741,'Base Sin Negativos'!S741:V2177,2,0)</f>
        <v>SAVERS SUPERMERCADO COST + PLUS</v>
      </c>
      <c r="C741" s="20" t="str">
        <f>VLOOKUP(A741,'Base Sin Negativos'!S741:V2177,3,0)</f>
        <v>Yuca Family Pack / Cassava Family Pack 5lb x 6</v>
      </c>
      <c r="D741" s="20">
        <f>VLOOKUP(A741,'Base Sin Negativos'!S741:V2177,4,0)</f>
        <v>40.5428</v>
      </c>
    </row>
    <row r="742" spans="1:4" x14ac:dyDescent="0.25">
      <c r="A742" s="20" t="s">
        <v>3070</v>
      </c>
      <c r="B742" s="20" t="str">
        <f>VLOOKUP(A742,'Base Sin Negativos'!S742:V2178,2,0)</f>
        <v>SAVERS SUPERMERCADO COST + PLUS</v>
      </c>
      <c r="C742" s="20" t="str">
        <f>VLOOKUP(A742,'Base Sin Negativos'!S742:V2178,3,0)</f>
        <v>Yuca Family Pack / Cassava Family Pack 5lb x 6</v>
      </c>
      <c r="D742" s="20">
        <f>VLOOKUP(A742,'Base Sin Negativos'!S742:V2178,4,0)</f>
        <v>42.344999999999999</v>
      </c>
    </row>
    <row r="743" spans="1:4" x14ac:dyDescent="0.25">
      <c r="A743" s="20" t="s">
        <v>3071</v>
      </c>
      <c r="B743" s="20" t="str">
        <f>VLOOKUP(A743,'Base Sin Negativos'!S743:V2179,2,0)</f>
        <v>SAVERS SUPERMERCADO COST + PLUS</v>
      </c>
      <c r="C743" s="20" t="str">
        <f>VLOOKUP(A743,'Base Sin Negativos'!S743:V2179,3,0)</f>
        <v>Yuca Family Pack / Cassava Family Pack 5lb x 6</v>
      </c>
      <c r="D743" s="20">
        <f>VLOOKUP(A743,'Base Sin Negativos'!S743:V2179,4,0)</f>
        <v>39.826000000000001</v>
      </c>
    </row>
    <row r="744" spans="1:4" x14ac:dyDescent="0.25">
      <c r="A744" s="20" t="s">
        <v>3072</v>
      </c>
      <c r="B744" s="20" t="str">
        <f>VLOOKUP(A744,'Base Sin Negativos'!S744:V2180,2,0)</f>
        <v>SAVERS SUPERMERCADO COST + PLUS</v>
      </c>
      <c r="C744" s="20" t="str">
        <f>VLOOKUP(A744,'Base Sin Negativos'!S744:V2180,3,0)</f>
        <v>Yuca Family Pack / Cassava Family Pack 5lb x 6</v>
      </c>
      <c r="D744" s="20">
        <f>VLOOKUP(A744,'Base Sin Negativos'!S744:V2180,4,0)</f>
        <v>49.15</v>
      </c>
    </row>
    <row r="745" spans="1:4" x14ac:dyDescent="0.25">
      <c r="A745" s="20" t="s">
        <v>3073</v>
      </c>
      <c r="B745" s="20" t="str">
        <f>VLOOKUP(A745,'Base Sin Negativos'!S745:V2181,2,0)</f>
        <v>Tradiciones Andinas</v>
      </c>
      <c r="C745" s="20" t="str">
        <f>VLOOKUP(A745,'Base Sin Negativos'!S745:V2181,3,0)</f>
        <v>Yuca Family Pack / Cassava Family Pack 5lb x 6</v>
      </c>
      <c r="D745" s="20">
        <f>VLOOKUP(A745,'Base Sin Negativos'!S745:V2181,4,0)</f>
        <v>27</v>
      </c>
    </row>
    <row r="746" spans="1:4" x14ac:dyDescent="0.25">
      <c r="A746" s="20" t="s">
        <v>3074</v>
      </c>
      <c r="B746" s="20" t="str">
        <f>VLOOKUP(A746,'Base Sin Negativos'!S746:V2182,2,0)</f>
        <v>Tradiciones Andinas</v>
      </c>
      <c r="C746" s="20" t="str">
        <f>VLOOKUP(A746,'Base Sin Negativos'!S746:V2182,3,0)</f>
        <v>Yuca Family Pack / Cassava Family Pack 5lb x 6</v>
      </c>
      <c r="D746" s="20">
        <f>VLOOKUP(A746,'Base Sin Negativos'!S746:V2182,4,0)</f>
        <v>36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39739-82E6-48CC-B149-5B49FF34B203}">
  <dimension ref="A1:D746"/>
  <sheetViews>
    <sheetView workbookViewId="0">
      <selection activeCell="D1" sqref="D1"/>
    </sheetView>
  </sheetViews>
  <sheetFormatPr baseColWidth="10" defaultRowHeight="15.75" x14ac:dyDescent="0.25"/>
  <cols>
    <col min="1" max="1" width="22" bestFit="1" customWidth="1"/>
    <col min="2" max="2" width="48.5" bestFit="1" customWidth="1"/>
    <col min="3" max="3" width="6.125" bestFit="1" customWidth="1"/>
  </cols>
  <sheetData>
    <row r="1" spans="1:4" x14ac:dyDescent="0.25">
      <c r="A1" s="20" t="s">
        <v>2313</v>
      </c>
      <c r="B1" s="20" t="s">
        <v>3075</v>
      </c>
      <c r="C1" s="20" t="s">
        <v>3076</v>
      </c>
      <c r="D1" s="20" t="s">
        <v>2323</v>
      </c>
    </row>
    <row r="2" spans="1:4" x14ac:dyDescent="0.25">
      <c r="A2" s="20" t="s">
        <v>2</v>
      </c>
      <c r="B2" s="20" t="s">
        <v>6</v>
      </c>
      <c r="C2" s="20">
        <v>5.41</v>
      </c>
      <c r="D2">
        <f t="shared" ref="D2:D65" si="0">COUNTIF($B$2:$B$746,B2)</f>
        <v>1</v>
      </c>
    </row>
    <row r="3" spans="1:4" x14ac:dyDescent="0.25">
      <c r="A3" s="20" t="s">
        <v>12</v>
      </c>
      <c r="B3" s="20" t="s">
        <v>15</v>
      </c>
      <c r="C3" s="20">
        <v>16.022600000000001</v>
      </c>
      <c r="D3">
        <f t="shared" si="0"/>
        <v>1</v>
      </c>
    </row>
    <row r="4" spans="1:4" x14ac:dyDescent="0.25">
      <c r="A4" s="20" t="s">
        <v>18</v>
      </c>
      <c r="B4" s="20" t="s">
        <v>146</v>
      </c>
      <c r="C4" s="20">
        <v>106</v>
      </c>
      <c r="D4">
        <f t="shared" si="0"/>
        <v>1</v>
      </c>
    </row>
    <row r="5" spans="1:4" x14ac:dyDescent="0.25">
      <c r="A5" s="20" t="s">
        <v>18</v>
      </c>
      <c r="B5" s="20" t="s">
        <v>110</v>
      </c>
      <c r="C5" s="20">
        <v>39</v>
      </c>
      <c r="D5">
        <f t="shared" si="0"/>
        <v>1</v>
      </c>
    </row>
    <row r="6" spans="1:4" x14ac:dyDescent="0.25">
      <c r="A6" s="20" t="s">
        <v>18</v>
      </c>
      <c r="B6" s="20" t="s">
        <v>181</v>
      </c>
      <c r="C6" s="20">
        <v>30.9</v>
      </c>
      <c r="D6">
        <f t="shared" si="0"/>
        <v>1</v>
      </c>
    </row>
    <row r="7" spans="1:4" x14ac:dyDescent="0.25">
      <c r="A7" s="20" t="s">
        <v>18</v>
      </c>
      <c r="B7" s="20" t="s">
        <v>179</v>
      </c>
      <c r="C7" s="20">
        <v>56</v>
      </c>
      <c r="D7">
        <f t="shared" si="0"/>
        <v>1</v>
      </c>
    </row>
    <row r="8" spans="1:4" x14ac:dyDescent="0.25">
      <c r="A8" s="20" t="s">
        <v>18</v>
      </c>
      <c r="B8" s="20" t="s">
        <v>144</v>
      </c>
      <c r="C8" s="20">
        <v>36.75</v>
      </c>
      <c r="D8">
        <f t="shared" si="0"/>
        <v>1</v>
      </c>
    </row>
    <row r="9" spans="1:4" x14ac:dyDescent="0.25">
      <c r="A9" s="20" t="s">
        <v>18</v>
      </c>
      <c r="B9" s="20" t="s">
        <v>25</v>
      </c>
      <c r="C9" s="20">
        <v>45</v>
      </c>
      <c r="D9">
        <f t="shared" si="0"/>
        <v>1</v>
      </c>
    </row>
    <row r="10" spans="1:4" x14ac:dyDescent="0.25">
      <c r="A10" s="20" t="s">
        <v>18</v>
      </c>
      <c r="B10" s="20" t="s">
        <v>185</v>
      </c>
      <c r="C10" s="20">
        <v>44</v>
      </c>
      <c r="D10">
        <f t="shared" si="0"/>
        <v>1</v>
      </c>
    </row>
    <row r="11" spans="1:4" x14ac:dyDescent="0.25">
      <c r="A11" s="20" t="s">
        <v>18</v>
      </c>
      <c r="B11" s="20" t="s">
        <v>31</v>
      </c>
      <c r="C11" s="20">
        <v>23.5</v>
      </c>
      <c r="D11">
        <f t="shared" si="0"/>
        <v>1</v>
      </c>
    </row>
    <row r="12" spans="1:4" x14ac:dyDescent="0.25">
      <c r="A12" s="20" t="s">
        <v>18</v>
      </c>
      <c r="B12" s="20" t="s">
        <v>29</v>
      </c>
      <c r="C12" s="20">
        <v>20.9</v>
      </c>
      <c r="D12">
        <f t="shared" si="0"/>
        <v>1</v>
      </c>
    </row>
    <row r="13" spans="1:4" x14ac:dyDescent="0.25">
      <c r="A13" s="20" t="s">
        <v>18</v>
      </c>
      <c r="B13" s="20" t="s">
        <v>187</v>
      </c>
      <c r="C13" s="20">
        <v>44</v>
      </c>
      <c r="D13">
        <f t="shared" si="0"/>
        <v>1</v>
      </c>
    </row>
    <row r="14" spans="1:4" x14ac:dyDescent="0.25">
      <c r="A14" s="20" t="s">
        <v>18</v>
      </c>
      <c r="B14" s="20" t="s">
        <v>33</v>
      </c>
      <c r="C14" s="20">
        <v>23.5</v>
      </c>
      <c r="D14">
        <f t="shared" si="0"/>
        <v>1</v>
      </c>
    </row>
    <row r="15" spans="1:4" x14ac:dyDescent="0.25">
      <c r="A15" s="20" t="s">
        <v>18</v>
      </c>
      <c r="B15" s="20" t="s">
        <v>166</v>
      </c>
      <c r="C15" s="20">
        <v>20.166599999999999</v>
      </c>
      <c r="D15">
        <f t="shared" si="0"/>
        <v>1</v>
      </c>
    </row>
    <row r="16" spans="1:4" x14ac:dyDescent="0.25">
      <c r="A16" s="20" t="s">
        <v>18</v>
      </c>
      <c r="B16" s="20" t="s">
        <v>154</v>
      </c>
      <c r="C16" s="20">
        <v>35.9</v>
      </c>
      <c r="D16">
        <f t="shared" si="0"/>
        <v>1</v>
      </c>
    </row>
    <row r="17" spans="1:4" x14ac:dyDescent="0.25">
      <c r="A17" s="20" t="s">
        <v>18</v>
      </c>
      <c r="B17" s="20" t="s">
        <v>98</v>
      </c>
      <c r="C17" s="20">
        <v>12.5</v>
      </c>
      <c r="D17">
        <f t="shared" si="0"/>
        <v>1</v>
      </c>
    </row>
    <row r="18" spans="1:4" x14ac:dyDescent="0.25">
      <c r="A18" s="20" t="s">
        <v>18</v>
      </c>
      <c r="B18" s="20" t="s">
        <v>104</v>
      </c>
      <c r="C18" s="20">
        <v>12</v>
      </c>
      <c r="D18">
        <f t="shared" si="0"/>
        <v>1</v>
      </c>
    </row>
    <row r="19" spans="1:4" x14ac:dyDescent="0.25">
      <c r="A19" s="20" t="s">
        <v>18</v>
      </c>
      <c r="B19" s="20" t="s">
        <v>138</v>
      </c>
      <c r="C19" s="20">
        <v>37.5</v>
      </c>
      <c r="D19">
        <f t="shared" si="0"/>
        <v>1</v>
      </c>
    </row>
    <row r="20" spans="1:4" x14ac:dyDescent="0.25">
      <c r="A20" s="20" t="s">
        <v>18</v>
      </c>
      <c r="B20" s="20" t="s">
        <v>136</v>
      </c>
      <c r="C20" s="20">
        <v>36.5</v>
      </c>
      <c r="D20">
        <f t="shared" si="0"/>
        <v>1</v>
      </c>
    </row>
    <row r="21" spans="1:4" x14ac:dyDescent="0.25">
      <c r="A21" s="20" t="s">
        <v>18</v>
      </c>
      <c r="B21" s="20" t="s">
        <v>27</v>
      </c>
      <c r="C21" s="20">
        <v>72.5</v>
      </c>
      <c r="D21">
        <f t="shared" si="0"/>
        <v>1</v>
      </c>
    </row>
    <row r="22" spans="1:4" x14ac:dyDescent="0.25">
      <c r="A22" s="20" t="s">
        <v>18</v>
      </c>
      <c r="B22" s="20" t="s">
        <v>160</v>
      </c>
      <c r="C22" s="20">
        <v>72.5</v>
      </c>
      <c r="D22">
        <f t="shared" si="0"/>
        <v>1</v>
      </c>
    </row>
    <row r="23" spans="1:4" x14ac:dyDescent="0.25">
      <c r="A23" s="20" t="s">
        <v>18</v>
      </c>
      <c r="B23" s="20" t="s">
        <v>112</v>
      </c>
      <c r="C23" s="20">
        <v>23.5</v>
      </c>
      <c r="D23">
        <f t="shared" si="0"/>
        <v>1</v>
      </c>
    </row>
    <row r="24" spans="1:4" x14ac:dyDescent="0.25">
      <c r="A24" s="20" t="s">
        <v>18</v>
      </c>
      <c r="B24" s="20" t="s">
        <v>102</v>
      </c>
      <c r="C24" s="20">
        <v>12.5</v>
      </c>
      <c r="D24">
        <f t="shared" si="0"/>
        <v>1</v>
      </c>
    </row>
    <row r="25" spans="1:4" x14ac:dyDescent="0.25">
      <c r="A25" s="20" t="s">
        <v>18</v>
      </c>
      <c r="B25" s="20" t="s">
        <v>66</v>
      </c>
      <c r="C25" s="20">
        <v>48</v>
      </c>
      <c r="D25">
        <f t="shared" si="0"/>
        <v>1</v>
      </c>
    </row>
    <row r="26" spans="1:4" x14ac:dyDescent="0.25">
      <c r="A26" s="20" t="s">
        <v>18</v>
      </c>
      <c r="B26" s="20" t="s">
        <v>192</v>
      </c>
      <c r="C26" s="20">
        <v>25</v>
      </c>
      <c r="D26">
        <f t="shared" si="0"/>
        <v>1</v>
      </c>
    </row>
    <row r="27" spans="1:4" x14ac:dyDescent="0.25">
      <c r="A27" s="20" t="s">
        <v>18</v>
      </c>
      <c r="B27" s="20" t="s">
        <v>174</v>
      </c>
      <c r="C27" s="20">
        <v>22</v>
      </c>
      <c r="D27">
        <f t="shared" si="0"/>
        <v>1</v>
      </c>
    </row>
    <row r="28" spans="1:4" x14ac:dyDescent="0.25">
      <c r="A28" s="20" t="s">
        <v>18</v>
      </c>
      <c r="B28" s="20" t="s">
        <v>100</v>
      </c>
      <c r="C28" s="20">
        <v>12.5</v>
      </c>
      <c r="D28">
        <f t="shared" si="0"/>
        <v>1</v>
      </c>
    </row>
    <row r="29" spans="1:4" x14ac:dyDescent="0.25">
      <c r="A29" s="20" t="s">
        <v>18</v>
      </c>
      <c r="B29" s="20" t="s">
        <v>172</v>
      </c>
      <c r="C29" s="20">
        <v>12</v>
      </c>
      <c r="D29">
        <f t="shared" si="0"/>
        <v>1</v>
      </c>
    </row>
    <row r="30" spans="1:4" x14ac:dyDescent="0.25">
      <c r="A30" s="20" t="s">
        <v>18</v>
      </c>
      <c r="B30" s="20" t="s">
        <v>140</v>
      </c>
      <c r="C30" s="20">
        <v>22</v>
      </c>
      <c r="D30">
        <f t="shared" si="0"/>
        <v>1</v>
      </c>
    </row>
    <row r="31" spans="1:4" x14ac:dyDescent="0.25">
      <c r="A31" s="20" t="s">
        <v>18</v>
      </c>
      <c r="B31" s="20" t="s">
        <v>142</v>
      </c>
      <c r="C31" s="20">
        <v>29</v>
      </c>
      <c r="D31">
        <f t="shared" si="0"/>
        <v>1</v>
      </c>
    </row>
    <row r="32" spans="1:4" x14ac:dyDescent="0.25">
      <c r="A32" s="20" t="s">
        <v>18</v>
      </c>
      <c r="B32" s="20" t="s">
        <v>156</v>
      </c>
      <c r="C32" s="20">
        <v>27.9</v>
      </c>
      <c r="D32">
        <f t="shared" si="0"/>
        <v>1</v>
      </c>
    </row>
    <row r="33" spans="1:4" x14ac:dyDescent="0.25">
      <c r="A33" s="20" t="s">
        <v>18</v>
      </c>
      <c r="B33" s="20" t="s">
        <v>170</v>
      </c>
      <c r="C33" s="20">
        <v>12.5</v>
      </c>
      <c r="D33">
        <f t="shared" si="0"/>
        <v>1</v>
      </c>
    </row>
    <row r="34" spans="1:4" x14ac:dyDescent="0.25">
      <c r="A34" s="20" t="s">
        <v>18</v>
      </c>
      <c r="B34" s="20" t="s">
        <v>106</v>
      </c>
      <c r="C34" s="20">
        <v>12</v>
      </c>
      <c r="D34">
        <f t="shared" si="0"/>
        <v>1</v>
      </c>
    </row>
    <row r="35" spans="1:4" x14ac:dyDescent="0.25">
      <c r="A35" s="20" t="s">
        <v>18</v>
      </c>
      <c r="B35" s="20" t="s">
        <v>183</v>
      </c>
      <c r="C35" s="20">
        <v>79.5</v>
      </c>
      <c r="D35">
        <f t="shared" si="0"/>
        <v>1</v>
      </c>
    </row>
    <row r="36" spans="1:4" x14ac:dyDescent="0.25">
      <c r="A36" s="20" t="s">
        <v>18</v>
      </c>
      <c r="B36" s="20" t="s">
        <v>194</v>
      </c>
      <c r="C36" s="20">
        <v>29.9</v>
      </c>
      <c r="D36">
        <f t="shared" si="0"/>
        <v>1</v>
      </c>
    </row>
    <row r="37" spans="1:4" x14ac:dyDescent="0.25">
      <c r="A37" s="20" t="s">
        <v>18</v>
      </c>
      <c r="B37" s="20" t="s">
        <v>150</v>
      </c>
      <c r="C37" s="20">
        <v>62.9</v>
      </c>
      <c r="D37">
        <f t="shared" si="0"/>
        <v>1</v>
      </c>
    </row>
    <row r="38" spans="1:4" x14ac:dyDescent="0.25">
      <c r="A38" s="20" t="s">
        <v>18</v>
      </c>
      <c r="B38" s="20" t="s">
        <v>162</v>
      </c>
      <c r="C38" s="20">
        <v>48.5</v>
      </c>
      <c r="D38">
        <f t="shared" si="0"/>
        <v>1</v>
      </c>
    </row>
    <row r="39" spans="1:4" x14ac:dyDescent="0.25">
      <c r="A39" s="20" t="s">
        <v>18</v>
      </c>
      <c r="B39" s="20" t="s">
        <v>164</v>
      </c>
      <c r="C39" s="20">
        <v>66.5</v>
      </c>
      <c r="D39">
        <f t="shared" si="0"/>
        <v>1</v>
      </c>
    </row>
    <row r="40" spans="1:4" x14ac:dyDescent="0.25">
      <c r="A40" s="20" t="s">
        <v>18</v>
      </c>
      <c r="B40" s="20" t="s">
        <v>190</v>
      </c>
      <c r="C40" s="20">
        <v>39.9</v>
      </c>
      <c r="D40">
        <f t="shared" si="0"/>
        <v>1</v>
      </c>
    </row>
    <row r="41" spans="1:4" x14ac:dyDescent="0.25">
      <c r="A41" s="20" t="s">
        <v>18</v>
      </c>
      <c r="B41" s="20" t="s">
        <v>152</v>
      </c>
      <c r="C41" s="20">
        <v>51</v>
      </c>
      <c r="D41">
        <f t="shared" si="0"/>
        <v>1</v>
      </c>
    </row>
    <row r="42" spans="1:4" x14ac:dyDescent="0.25">
      <c r="A42" s="20" t="s">
        <v>18</v>
      </c>
      <c r="B42" s="20" t="s">
        <v>39</v>
      </c>
      <c r="C42" s="20">
        <v>30</v>
      </c>
      <c r="D42">
        <f t="shared" si="0"/>
        <v>1</v>
      </c>
    </row>
    <row r="43" spans="1:4" x14ac:dyDescent="0.25">
      <c r="A43" s="20" t="s">
        <v>18</v>
      </c>
      <c r="B43" s="20" t="s">
        <v>68</v>
      </c>
      <c r="C43" s="20">
        <v>9.5</v>
      </c>
      <c r="D43">
        <f t="shared" si="0"/>
        <v>1</v>
      </c>
    </row>
    <row r="44" spans="1:4" x14ac:dyDescent="0.25">
      <c r="A44" s="20" t="s">
        <v>18</v>
      </c>
      <c r="B44" s="20" t="s">
        <v>94</v>
      </c>
      <c r="C44" s="20">
        <v>15.9</v>
      </c>
      <c r="D44">
        <f t="shared" si="0"/>
        <v>1</v>
      </c>
    </row>
    <row r="45" spans="1:4" x14ac:dyDescent="0.25">
      <c r="A45" s="20" t="s">
        <v>18</v>
      </c>
      <c r="B45" s="20" t="s">
        <v>54</v>
      </c>
      <c r="C45" s="20">
        <v>25.5</v>
      </c>
      <c r="D45">
        <f t="shared" si="0"/>
        <v>1</v>
      </c>
    </row>
    <row r="46" spans="1:4" x14ac:dyDescent="0.25">
      <c r="A46" s="20" t="s">
        <v>18</v>
      </c>
      <c r="B46" s="20" t="s">
        <v>52</v>
      </c>
      <c r="C46" s="20">
        <v>25.5</v>
      </c>
      <c r="D46">
        <f t="shared" si="0"/>
        <v>1</v>
      </c>
    </row>
    <row r="47" spans="1:4" x14ac:dyDescent="0.25">
      <c r="A47" s="20" t="s">
        <v>18</v>
      </c>
      <c r="B47" s="20" t="s">
        <v>70</v>
      </c>
      <c r="C47" s="20">
        <v>29.9</v>
      </c>
      <c r="D47">
        <f t="shared" si="0"/>
        <v>1</v>
      </c>
    </row>
    <row r="48" spans="1:4" x14ac:dyDescent="0.25">
      <c r="A48" s="20" t="s">
        <v>18</v>
      </c>
      <c r="B48" s="20" t="s">
        <v>134</v>
      </c>
      <c r="C48" s="20">
        <v>19.7</v>
      </c>
      <c r="D48">
        <f t="shared" si="0"/>
        <v>1</v>
      </c>
    </row>
    <row r="49" spans="1:4" x14ac:dyDescent="0.25">
      <c r="A49" s="20" t="s">
        <v>201</v>
      </c>
      <c r="B49" s="20" t="s">
        <v>221</v>
      </c>
      <c r="C49" s="20">
        <v>16</v>
      </c>
      <c r="D49">
        <f t="shared" si="0"/>
        <v>1</v>
      </c>
    </row>
    <row r="50" spans="1:4" x14ac:dyDescent="0.25">
      <c r="A50" s="20" t="s">
        <v>201</v>
      </c>
      <c r="B50" s="20" t="s">
        <v>234</v>
      </c>
      <c r="C50" s="20">
        <v>38</v>
      </c>
      <c r="D50">
        <f t="shared" si="0"/>
        <v>1</v>
      </c>
    </row>
    <row r="51" spans="1:4" x14ac:dyDescent="0.25">
      <c r="A51" s="20" t="s">
        <v>266</v>
      </c>
      <c r="B51" s="20" t="s">
        <v>270</v>
      </c>
      <c r="C51" s="20">
        <v>148</v>
      </c>
      <c r="D51">
        <f t="shared" si="0"/>
        <v>1</v>
      </c>
    </row>
    <row r="52" spans="1:4" x14ac:dyDescent="0.25">
      <c r="A52" s="20" t="s">
        <v>266</v>
      </c>
      <c r="B52" s="20" t="s">
        <v>268</v>
      </c>
      <c r="C52" s="20">
        <v>75</v>
      </c>
      <c r="D52">
        <f t="shared" si="0"/>
        <v>1</v>
      </c>
    </row>
    <row r="53" spans="1:4" x14ac:dyDescent="0.25">
      <c r="A53" s="20" t="s">
        <v>257</v>
      </c>
      <c r="B53" s="20" t="s">
        <v>261</v>
      </c>
      <c r="C53" s="20">
        <v>30</v>
      </c>
      <c r="D53">
        <f t="shared" si="0"/>
        <v>1</v>
      </c>
    </row>
    <row r="54" spans="1:4" x14ac:dyDescent="0.25">
      <c r="A54" s="20" t="s">
        <v>257</v>
      </c>
      <c r="B54" s="20" t="s">
        <v>260</v>
      </c>
      <c r="C54" s="20">
        <v>30</v>
      </c>
      <c r="D54">
        <f t="shared" si="0"/>
        <v>1</v>
      </c>
    </row>
    <row r="55" spans="1:4" x14ac:dyDescent="0.25">
      <c r="A55" s="20" t="s">
        <v>257</v>
      </c>
      <c r="B55" s="20" t="s">
        <v>264</v>
      </c>
      <c r="C55" s="20">
        <v>36</v>
      </c>
      <c r="D55">
        <f t="shared" si="0"/>
        <v>1</v>
      </c>
    </row>
    <row r="56" spans="1:4" x14ac:dyDescent="0.25">
      <c r="A56" s="20" t="s">
        <v>257</v>
      </c>
      <c r="B56" s="20" t="s">
        <v>262</v>
      </c>
      <c r="C56" s="20">
        <v>36</v>
      </c>
      <c r="D56">
        <f t="shared" si="0"/>
        <v>1</v>
      </c>
    </row>
    <row r="57" spans="1:4" x14ac:dyDescent="0.25">
      <c r="A57" s="20" t="s">
        <v>257</v>
      </c>
      <c r="B57" s="20" t="s">
        <v>263</v>
      </c>
      <c r="C57" s="20">
        <v>36</v>
      </c>
      <c r="D57">
        <f t="shared" si="0"/>
        <v>1</v>
      </c>
    </row>
    <row r="58" spans="1:4" x14ac:dyDescent="0.25">
      <c r="A58" s="20" t="s">
        <v>272</v>
      </c>
      <c r="B58" s="20" t="s">
        <v>506</v>
      </c>
      <c r="C58" s="20">
        <v>22</v>
      </c>
      <c r="D58">
        <f t="shared" si="0"/>
        <v>1</v>
      </c>
    </row>
    <row r="59" spans="1:4" x14ac:dyDescent="0.25">
      <c r="A59" s="20" t="s">
        <v>272</v>
      </c>
      <c r="B59" s="20" t="s">
        <v>498</v>
      </c>
      <c r="C59" s="20">
        <v>13</v>
      </c>
      <c r="D59">
        <f t="shared" si="0"/>
        <v>1</v>
      </c>
    </row>
    <row r="60" spans="1:4" x14ac:dyDescent="0.25">
      <c r="A60" s="20" t="s">
        <v>272</v>
      </c>
      <c r="B60" s="20" t="s">
        <v>500</v>
      </c>
      <c r="C60" s="20">
        <v>13</v>
      </c>
      <c r="D60">
        <f t="shared" si="0"/>
        <v>1</v>
      </c>
    </row>
    <row r="61" spans="1:4" x14ac:dyDescent="0.25">
      <c r="A61" s="20" t="s">
        <v>272</v>
      </c>
      <c r="B61" s="20" t="s">
        <v>438</v>
      </c>
      <c r="C61" s="20">
        <v>58</v>
      </c>
      <c r="D61">
        <f t="shared" si="0"/>
        <v>1</v>
      </c>
    </row>
    <row r="62" spans="1:4" x14ac:dyDescent="0.25">
      <c r="A62" s="20" t="s">
        <v>272</v>
      </c>
      <c r="B62" s="20" t="s">
        <v>364</v>
      </c>
      <c r="C62" s="20">
        <v>17</v>
      </c>
      <c r="D62">
        <f t="shared" si="0"/>
        <v>1</v>
      </c>
    </row>
    <row r="63" spans="1:4" x14ac:dyDescent="0.25">
      <c r="A63" s="20" t="s">
        <v>272</v>
      </c>
      <c r="B63" s="20" t="s">
        <v>612</v>
      </c>
      <c r="C63" s="20">
        <v>8.1</v>
      </c>
      <c r="D63">
        <f t="shared" si="0"/>
        <v>1</v>
      </c>
    </row>
    <row r="64" spans="1:4" x14ac:dyDescent="0.25">
      <c r="A64" s="20" t="s">
        <v>272</v>
      </c>
      <c r="B64" s="20" t="s">
        <v>610</v>
      </c>
      <c r="C64" s="20">
        <v>8.1</v>
      </c>
      <c r="D64">
        <f t="shared" si="0"/>
        <v>1</v>
      </c>
    </row>
    <row r="65" spans="1:4" x14ac:dyDescent="0.25">
      <c r="A65" s="20" t="s">
        <v>272</v>
      </c>
      <c r="B65" s="20" t="s">
        <v>442</v>
      </c>
      <c r="C65" s="20">
        <v>9</v>
      </c>
      <c r="D65">
        <f t="shared" si="0"/>
        <v>1</v>
      </c>
    </row>
    <row r="66" spans="1:4" x14ac:dyDescent="0.25">
      <c r="A66" s="20" t="s">
        <v>272</v>
      </c>
      <c r="B66" s="20" t="s">
        <v>614</v>
      </c>
      <c r="C66" s="20">
        <v>8.1</v>
      </c>
      <c r="D66">
        <f t="shared" ref="D66:D129" si="1">COUNTIF($B$2:$B$746,B66)</f>
        <v>1</v>
      </c>
    </row>
    <row r="67" spans="1:4" x14ac:dyDescent="0.25">
      <c r="A67" s="20" t="s">
        <v>272</v>
      </c>
      <c r="B67" s="20" t="s">
        <v>608</v>
      </c>
      <c r="C67" s="20">
        <v>8.1</v>
      </c>
      <c r="D67">
        <f t="shared" si="1"/>
        <v>1</v>
      </c>
    </row>
    <row r="68" spans="1:4" x14ac:dyDescent="0.25">
      <c r="A68" s="20" t="s">
        <v>272</v>
      </c>
      <c r="B68" s="20" t="s">
        <v>508</v>
      </c>
      <c r="C68" s="20">
        <v>27</v>
      </c>
      <c r="D68">
        <f t="shared" si="1"/>
        <v>1</v>
      </c>
    </row>
    <row r="69" spans="1:4" x14ac:dyDescent="0.25">
      <c r="A69" s="20" t="s">
        <v>272</v>
      </c>
      <c r="B69" s="20" t="s">
        <v>339</v>
      </c>
      <c r="C69" s="20">
        <v>42</v>
      </c>
      <c r="D69">
        <f t="shared" si="1"/>
        <v>1</v>
      </c>
    </row>
    <row r="70" spans="1:4" x14ac:dyDescent="0.25">
      <c r="A70" s="20" t="s">
        <v>272</v>
      </c>
      <c r="B70" s="20" t="s">
        <v>337</v>
      </c>
      <c r="C70" s="20">
        <v>39</v>
      </c>
      <c r="D70">
        <f t="shared" si="1"/>
        <v>1</v>
      </c>
    </row>
    <row r="71" spans="1:4" x14ac:dyDescent="0.25">
      <c r="A71" s="20" t="s">
        <v>272</v>
      </c>
      <c r="B71" s="20" t="s">
        <v>537</v>
      </c>
      <c r="C71" s="20">
        <v>42</v>
      </c>
      <c r="D71">
        <f t="shared" si="1"/>
        <v>1</v>
      </c>
    </row>
    <row r="72" spans="1:4" x14ac:dyDescent="0.25">
      <c r="A72" s="20" t="s">
        <v>272</v>
      </c>
      <c r="B72" s="20" t="s">
        <v>541</v>
      </c>
      <c r="C72" s="20">
        <v>46</v>
      </c>
      <c r="D72">
        <f t="shared" si="1"/>
        <v>1</v>
      </c>
    </row>
    <row r="73" spans="1:4" x14ac:dyDescent="0.25">
      <c r="A73" s="20" t="s">
        <v>272</v>
      </c>
      <c r="B73" s="20" t="s">
        <v>539</v>
      </c>
      <c r="C73" s="20">
        <v>39</v>
      </c>
      <c r="D73">
        <f t="shared" si="1"/>
        <v>1</v>
      </c>
    </row>
    <row r="74" spans="1:4" x14ac:dyDescent="0.25">
      <c r="A74" s="20" t="s">
        <v>272</v>
      </c>
      <c r="B74" s="20" t="s">
        <v>386</v>
      </c>
      <c r="C74" s="20">
        <v>46</v>
      </c>
      <c r="D74">
        <f t="shared" si="1"/>
        <v>1</v>
      </c>
    </row>
    <row r="75" spans="1:4" x14ac:dyDescent="0.25">
      <c r="A75" s="20" t="s">
        <v>272</v>
      </c>
      <c r="B75" s="20" t="s">
        <v>635</v>
      </c>
      <c r="C75" s="20">
        <v>12.6</v>
      </c>
      <c r="D75">
        <f t="shared" si="1"/>
        <v>1</v>
      </c>
    </row>
    <row r="76" spans="1:4" x14ac:dyDescent="0.25">
      <c r="A76" s="20" t="s">
        <v>272</v>
      </c>
      <c r="B76" s="20" t="s">
        <v>324</v>
      </c>
      <c r="C76" s="20">
        <v>26</v>
      </c>
      <c r="D76">
        <f t="shared" si="1"/>
        <v>1</v>
      </c>
    </row>
    <row r="77" spans="1:4" x14ac:dyDescent="0.25">
      <c r="A77" s="20" t="s">
        <v>272</v>
      </c>
      <c r="B77" s="20" t="s">
        <v>481</v>
      </c>
      <c r="C77" s="20">
        <v>39</v>
      </c>
      <c r="D77">
        <f t="shared" si="1"/>
        <v>1</v>
      </c>
    </row>
    <row r="78" spans="1:4" x14ac:dyDescent="0.25">
      <c r="A78" s="20" t="s">
        <v>272</v>
      </c>
      <c r="B78" s="20" t="s">
        <v>414</v>
      </c>
      <c r="C78" s="20">
        <v>72</v>
      </c>
      <c r="D78">
        <f t="shared" si="1"/>
        <v>1</v>
      </c>
    </row>
    <row r="79" spans="1:4" x14ac:dyDescent="0.25">
      <c r="A79" s="20" t="s">
        <v>272</v>
      </c>
      <c r="B79" s="20" t="s">
        <v>532</v>
      </c>
      <c r="C79" s="20">
        <v>39</v>
      </c>
      <c r="D79">
        <f t="shared" si="1"/>
        <v>1</v>
      </c>
    </row>
    <row r="80" spans="1:4" x14ac:dyDescent="0.25">
      <c r="A80" s="20" t="s">
        <v>272</v>
      </c>
      <c r="B80" s="20" t="s">
        <v>574</v>
      </c>
      <c r="C80" s="20">
        <v>21.5</v>
      </c>
      <c r="D80">
        <f t="shared" si="1"/>
        <v>1</v>
      </c>
    </row>
    <row r="81" spans="1:4" x14ac:dyDescent="0.25">
      <c r="A81" s="20" t="s">
        <v>272</v>
      </c>
      <c r="B81" s="20" t="s">
        <v>605</v>
      </c>
      <c r="C81" s="20">
        <v>23.4</v>
      </c>
      <c r="D81">
        <f t="shared" si="1"/>
        <v>1</v>
      </c>
    </row>
    <row r="82" spans="1:4" x14ac:dyDescent="0.25">
      <c r="A82" s="20" t="s">
        <v>272</v>
      </c>
      <c r="B82" s="20" t="s">
        <v>341</v>
      </c>
      <c r="C82" s="20">
        <v>39</v>
      </c>
      <c r="D82">
        <f t="shared" si="1"/>
        <v>1</v>
      </c>
    </row>
    <row r="83" spans="1:4" x14ac:dyDescent="0.25">
      <c r="A83" s="20" t="s">
        <v>272</v>
      </c>
      <c r="B83" s="20" t="s">
        <v>378</v>
      </c>
      <c r="C83" s="20">
        <v>12.5</v>
      </c>
      <c r="D83">
        <f t="shared" si="1"/>
        <v>1</v>
      </c>
    </row>
    <row r="84" spans="1:4" x14ac:dyDescent="0.25">
      <c r="A84" s="20" t="s">
        <v>272</v>
      </c>
      <c r="B84" s="20" t="s">
        <v>624</v>
      </c>
      <c r="C84" s="20">
        <v>19.350000000000001</v>
      </c>
      <c r="D84">
        <f t="shared" si="1"/>
        <v>1</v>
      </c>
    </row>
    <row r="85" spans="1:4" x14ac:dyDescent="0.25">
      <c r="A85" s="20" t="s">
        <v>272</v>
      </c>
      <c r="B85" s="20" t="s">
        <v>376</v>
      </c>
      <c r="C85" s="20">
        <v>19</v>
      </c>
      <c r="D85">
        <f t="shared" si="1"/>
        <v>1</v>
      </c>
    </row>
    <row r="86" spans="1:4" x14ac:dyDescent="0.25">
      <c r="A86" s="20" t="s">
        <v>272</v>
      </c>
      <c r="B86" s="20" t="s">
        <v>382</v>
      </c>
      <c r="C86" s="20">
        <v>21</v>
      </c>
      <c r="D86">
        <f t="shared" si="1"/>
        <v>1</v>
      </c>
    </row>
    <row r="87" spans="1:4" x14ac:dyDescent="0.25">
      <c r="A87" s="20" t="s">
        <v>272</v>
      </c>
      <c r="B87" s="20" t="s">
        <v>626</v>
      </c>
      <c r="C87" s="20">
        <v>19.350000000000001</v>
      </c>
      <c r="D87">
        <f t="shared" si="1"/>
        <v>1</v>
      </c>
    </row>
    <row r="88" spans="1:4" x14ac:dyDescent="0.25">
      <c r="A88" s="20" t="s">
        <v>272</v>
      </c>
      <c r="B88" s="20" t="s">
        <v>434</v>
      </c>
      <c r="C88" s="20">
        <v>19.5</v>
      </c>
      <c r="D88">
        <f t="shared" si="1"/>
        <v>1</v>
      </c>
    </row>
    <row r="89" spans="1:4" x14ac:dyDescent="0.25">
      <c r="A89" s="20" t="s">
        <v>272</v>
      </c>
      <c r="B89" s="20" t="s">
        <v>582</v>
      </c>
      <c r="C89" s="20">
        <v>21.5</v>
      </c>
      <c r="D89">
        <f t="shared" si="1"/>
        <v>1</v>
      </c>
    </row>
    <row r="90" spans="1:4" x14ac:dyDescent="0.25">
      <c r="A90" s="20" t="s">
        <v>272</v>
      </c>
      <c r="B90" s="20" t="s">
        <v>584</v>
      </c>
      <c r="C90" s="20">
        <v>21.5</v>
      </c>
      <c r="D90">
        <f t="shared" si="1"/>
        <v>1</v>
      </c>
    </row>
    <row r="91" spans="1:4" x14ac:dyDescent="0.25">
      <c r="A91" s="20" t="s">
        <v>272</v>
      </c>
      <c r="B91" s="20" t="s">
        <v>487</v>
      </c>
      <c r="C91" s="20">
        <v>22</v>
      </c>
      <c r="D91">
        <f t="shared" si="1"/>
        <v>1</v>
      </c>
    </row>
    <row r="92" spans="1:4" x14ac:dyDescent="0.25">
      <c r="A92" s="20" t="s">
        <v>272</v>
      </c>
      <c r="B92" s="20" t="s">
        <v>633</v>
      </c>
      <c r="C92" s="20">
        <v>19.8</v>
      </c>
      <c r="D92">
        <f t="shared" si="1"/>
        <v>1</v>
      </c>
    </row>
    <row r="93" spans="1:4" x14ac:dyDescent="0.25">
      <c r="A93" s="20" t="s">
        <v>272</v>
      </c>
      <c r="B93" s="20" t="s">
        <v>316</v>
      </c>
      <c r="C93" s="20">
        <v>24</v>
      </c>
      <c r="D93">
        <f t="shared" si="1"/>
        <v>1</v>
      </c>
    </row>
    <row r="94" spans="1:4" x14ac:dyDescent="0.25">
      <c r="A94" s="20" t="s">
        <v>272</v>
      </c>
      <c r="B94" s="20" t="s">
        <v>410</v>
      </c>
      <c r="C94" s="20">
        <v>15.6</v>
      </c>
      <c r="D94">
        <f t="shared" si="1"/>
        <v>1</v>
      </c>
    </row>
    <row r="95" spans="1:4" x14ac:dyDescent="0.25">
      <c r="A95" s="20" t="s">
        <v>272</v>
      </c>
      <c r="B95" s="20" t="s">
        <v>436</v>
      </c>
      <c r="C95" s="20">
        <v>19.5</v>
      </c>
      <c r="D95">
        <f t="shared" si="1"/>
        <v>1</v>
      </c>
    </row>
    <row r="96" spans="1:4" x14ac:dyDescent="0.25">
      <c r="A96" s="20" t="s">
        <v>272</v>
      </c>
      <c r="B96" s="20" t="s">
        <v>416</v>
      </c>
      <c r="C96" s="20">
        <v>55</v>
      </c>
      <c r="D96">
        <f t="shared" si="1"/>
        <v>1</v>
      </c>
    </row>
    <row r="97" spans="1:4" x14ac:dyDescent="0.25">
      <c r="A97" s="20" t="s">
        <v>272</v>
      </c>
      <c r="B97" s="20" t="s">
        <v>326</v>
      </c>
      <c r="C97" s="20">
        <v>28</v>
      </c>
      <c r="D97">
        <f t="shared" si="1"/>
        <v>1</v>
      </c>
    </row>
    <row r="98" spans="1:4" x14ac:dyDescent="0.25">
      <c r="A98" s="20" t="s">
        <v>272</v>
      </c>
      <c r="B98" s="20" t="s">
        <v>288</v>
      </c>
      <c r="C98" s="20">
        <v>48</v>
      </c>
      <c r="D98">
        <f t="shared" si="1"/>
        <v>1</v>
      </c>
    </row>
    <row r="99" spans="1:4" x14ac:dyDescent="0.25">
      <c r="A99" s="20" t="s">
        <v>272</v>
      </c>
      <c r="B99" s="20" t="s">
        <v>274</v>
      </c>
      <c r="C99" s="20">
        <v>32.5</v>
      </c>
      <c r="D99">
        <f t="shared" si="1"/>
        <v>1</v>
      </c>
    </row>
    <row r="100" spans="1:4" x14ac:dyDescent="0.25">
      <c r="A100" s="20" t="s">
        <v>272</v>
      </c>
      <c r="B100" s="20" t="s">
        <v>576</v>
      </c>
      <c r="C100" s="20">
        <v>21.5</v>
      </c>
      <c r="D100">
        <f t="shared" si="1"/>
        <v>1</v>
      </c>
    </row>
    <row r="101" spans="1:4" x14ac:dyDescent="0.25">
      <c r="A101" s="20" t="s">
        <v>272</v>
      </c>
      <c r="B101" s="20" t="s">
        <v>392</v>
      </c>
      <c r="C101" s="20">
        <v>80</v>
      </c>
      <c r="D101">
        <f t="shared" si="1"/>
        <v>1</v>
      </c>
    </row>
    <row r="102" spans="1:4" x14ac:dyDescent="0.25">
      <c r="A102" s="20" t="s">
        <v>272</v>
      </c>
      <c r="B102" s="20" t="s">
        <v>318</v>
      </c>
      <c r="C102" s="20">
        <v>30</v>
      </c>
      <c r="D102">
        <f t="shared" si="1"/>
        <v>1</v>
      </c>
    </row>
    <row r="103" spans="1:4" x14ac:dyDescent="0.25">
      <c r="A103" s="20" t="s">
        <v>272</v>
      </c>
      <c r="B103" s="20" t="s">
        <v>322</v>
      </c>
      <c r="C103" s="20">
        <v>24</v>
      </c>
      <c r="D103">
        <f t="shared" si="1"/>
        <v>1</v>
      </c>
    </row>
    <row r="104" spans="1:4" x14ac:dyDescent="0.25">
      <c r="A104" s="20" t="s">
        <v>272</v>
      </c>
      <c r="B104" s="20" t="s">
        <v>394</v>
      </c>
      <c r="C104" s="20">
        <v>78</v>
      </c>
      <c r="D104">
        <f t="shared" si="1"/>
        <v>1</v>
      </c>
    </row>
    <row r="105" spans="1:4" x14ac:dyDescent="0.25">
      <c r="A105" s="20" t="s">
        <v>272</v>
      </c>
      <c r="B105" s="20" t="s">
        <v>604</v>
      </c>
      <c r="C105" s="20">
        <v>4.5</v>
      </c>
      <c r="D105">
        <f t="shared" si="1"/>
        <v>1</v>
      </c>
    </row>
    <row r="106" spans="1:4" x14ac:dyDescent="0.25">
      <c r="A106" s="20" t="s">
        <v>272</v>
      </c>
      <c r="B106" s="20" t="s">
        <v>629</v>
      </c>
      <c r="C106" s="20">
        <v>18</v>
      </c>
      <c r="D106">
        <f t="shared" si="1"/>
        <v>1</v>
      </c>
    </row>
    <row r="107" spans="1:4" x14ac:dyDescent="0.25">
      <c r="A107" s="20" t="s">
        <v>272</v>
      </c>
      <c r="B107" s="20" t="s">
        <v>447</v>
      </c>
      <c r="C107" s="20">
        <v>40</v>
      </c>
      <c r="D107">
        <f t="shared" si="1"/>
        <v>1</v>
      </c>
    </row>
    <row r="108" spans="1:4" x14ac:dyDescent="0.25">
      <c r="A108" s="20" t="s">
        <v>272</v>
      </c>
      <c r="B108" s="20" t="s">
        <v>595</v>
      </c>
      <c r="C108" s="20">
        <v>18</v>
      </c>
      <c r="D108">
        <f t="shared" si="1"/>
        <v>1</v>
      </c>
    </row>
    <row r="109" spans="1:4" x14ac:dyDescent="0.25">
      <c r="A109" s="20" t="s">
        <v>272</v>
      </c>
      <c r="B109" s="20" t="s">
        <v>639</v>
      </c>
      <c r="C109" s="20">
        <v>29.7</v>
      </c>
      <c r="D109">
        <f t="shared" si="1"/>
        <v>1</v>
      </c>
    </row>
    <row r="110" spans="1:4" x14ac:dyDescent="0.25">
      <c r="A110" s="20" t="s">
        <v>272</v>
      </c>
      <c r="B110" s="20" t="s">
        <v>431</v>
      </c>
      <c r="C110" s="20">
        <v>24</v>
      </c>
      <c r="D110">
        <f t="shared" si="1"/>
        <v>1</v>
      </c>
    </row>
    <row r="111" spans="1:4" x14ac:dyDescent="0.25">
      <c r="A111" s="20" t="s">
        <v>272</v>
      </c>
      <c r="B111" s="20" t="s">
        <v>449</v>
      </c>
      <c r="C111" s="20">
        <v>48</v>
      </c>
      <c r="D111">
        <f t="shared" si="1"/>
        <v>1</v>
      </c>
    </row>
    <row r="112" spans="1:4" x14ac:dyDescent="0.25">
      <c r="A112" s="20" t="s">
        <v>272</v>
      </c>
      <c r="B112" s="20" t="s">
        <v>641</v>
      </c>
      <c r="C112" s="20">
        <v>32.4</v>
      </c>
      <c r="D112">
        <f t="shared" si="1"/>
        <v>1</v>
      </c>
    </row>
    <row r="113" spans="1:4" x14ac:dyDescent="0.25">
      <c r="A113" s="20" t="s">
        <v>272</v>
      </c>
      <c r="B113" s="20" t="s">
        <v>593</v>
      </c>
      <c r="C113" s="20">
        <v>18</v>
      </c>
      <c r="D113">
        <f t="shared" si="1"/>
        <v>1</v>
      </c>
    </row>
    <row r="114" spans="1:4" x14ac:dyDescent="0.25">
      <c r="A114" s="20" t="s">
        <v>272</v>
      </c>
      <c r="B114" s="20" t="s">
        <v>597</v>
      </c>
      <c r="C114" s="20">
        <v>18</v>
      </c>
      <c r="D114">
        <f t="shared" si="1"/>
        <v>1</v>
      </c>
    </row>
    <row r="115" spans="1:4" x14ac:dyDescent="0.25">
      <c r="A115" s="20" t="s">
        <v>272</v>
      </c>
      <c r="B115" s="20" t="s">
        <v>522</v>
      </c>
      <c r="C115" s="20">
        <v>48</v>
      </c>
      <c r="D115">
        <f t="shared" si="1"/>
        <v>1</v>
      </c>
    </row>
    <row r="116" spans="1:4" x14ac:dyDescent="0.25">
      <c r="A116" s="20" t="s">
        <v>272</v>
      </c>
      <c r="B116" s="20" t="s">
        <v>429</v>
      </c>
      <c r="C116" s="20">
        <v>30</v>
      </c>
      <c r="D116">
        <f t="shared" si="1"/>
        <v>1</v>
      </c>
    </row>
    <row r="117" spans="1:4" x14ac:dyDescent="0.25">
      <c r="A117" s="20" t="s">
        <v>272</v>
      </c>
      <c r="B117" s="20" t="s">
        <v>420</v>
      </c>
      <c r="C117" s="20">
        <v>36</v>
      </c>
      <c r="D117">
        <f t="shared" si="1"/>
        <v>1</v>
      </c>
    </row>
    <row r="118" spans="1:4" x14ac:dyDescent="0.25">
      <c r="A118" s="20" t="s">
        <v>272</v>
      </c>
      <c r="B118" s="20" t="s">
        <v>631</v>
      </c>
      <c r="C118" s="20">
        <v>46.8</v>
      </c>
      <c r="D118">
        <f t="shared" si="1"/>
        <v>1</v>
      </c>
    </row>
    <row r="119" spans="1:4" x14ac:dyDescent="0.25">
      <c r="A119" s="20" t="s">
        <v>272</v>
      </c>
      <c r="B119" s="20" t="s">
        <v>475</v>
      </c>
      <c r="C119" s="20">
        <v>42</v>
      </c>
      <c r="D119">
        <f t="shared" si="1"/>
        <v>1</v>
      </c>
    </row>
    <row r="120" spans="1:4" x14ac:dyDescent="0.25">
      <c r="A120" s="20" t="s">
        <v>272</v>
      </c>
      <c r="B120" s="20" t="s">
        <v>526</v>
      </c>
      <c r="C120" s="20">
        <v>39</v>
      </c>
      <c r="D120">
        <f t="shared" si="1"/>
        <v>1</v>
      </c>
    </row>
    <row r="121" spans="1:4" x14ac:dyDescent="0.25">
      <c r="A121" s="20" t="s">
        <v>272</v>
      </c>
      <c r="B121" s="20" t="s">
        <v>477</v>
      </c>
      <c r="C121" s="20">
        <v>39</v>
      </c>
      <c r="D121">
        <f t="shared" si="1"/>
        <v>1</v>
      </c>
    </row>
    <row r="122" spans="1:4" x14ac:dyDescent="0.25">
      <c r="A122" s="20" t="s">
        <v>272</v>
      </c>
      <c r="B122" s="20" t="s">
        <v>483</v>
      </c>
      <c r="C122" s="20">
        <v>60</v>
      </c>
      <c r="D122">
        <f t="shared" si="1"/>
        <v>1</v>
      </c>
    </row>
    <row r="123" spans="1:4" x14ac:dyDescent="0.25">
      <c r="A123" s="20" t="s">
        <v>272</v>
      </c>
      <c r="B123" s="20" t="s">
        <v>479</v>
      </c>
      <c r="C123" s="20">
        <v>49.5</v>
      </c>
      <c r="D123">
        <f t="shared" si="1"/>
        <v>1</v>
      </c>
    </row>
    <row r="124" spans="1:4" x14ac:dyDescent="0.25">
      <c r="A124" s="20" t="s">
        <v>272</v>
      </c>
      <c r="B124" s="20" t="s">
        <v>530</v>
      </c>
      <c r="C124" s="20">
        <v>57</v>
      </c>
      <c r="D124">
        <f t="shared" si="1"/>
        <v>1</v>
      </c>
    </row>
    <row r="125" spans="1:4" x14ac:dyDescent="0.25">
      <c r="A125" s="20" t="s">
        <v>272</v>
      </c>
      <c r="B125" s="20" t="s">
        <v>402</v>
      </c>
      <c r="C125" s="20">
        <v>30</v>
      </c>
      <c r="D125">
        <f t="shared" si="1"/>
        <v>1</v>
      </c>
    </row>
    <row r="126" spans="1:4" x14ac:dyDescent="0.25">
      <c r="A126" s="20" t="s">
        <v>272</v>
      </c>
      <c r="B126" s="20" t="s">
        <v>404</v>
      </c>
      <c r="C126" s="20">
        <v>30</v>
      </c>
      <c r="D126">
        <f t="shared" si="1"/>
        <v>1</v>
      </c>
    </row>
    <row r="127" spans="1:4" x14ac:dyDescent="0.25">
      <c r="A127" s="20" t="s">
        <v>272</v>
      </c>
      <c r="B127" s="20" t="s">
        <v>406</v>
      </c>
      <c r="C127" s="20">
        <v>30</v>
      </c>
      <c r="D127">
        <f t="shared" si="1"/>
        <v>1</v>
      </c>
    </row>
    <row r="128" spans="1:4" x14ac:dyDescent="0.25">
      <c r="A128" s="20" t="s">
        <v>272</v>
      </c>
      <c r="B128" s="20" t="s">
        <v>320</v>
      </c>
      <c r="C128" s="20">
        <v>24</v>
      </c>
      <c r="D128">
        <f t="shared" si="1"/>
        <v>1</v>
      </c>
    </row>
    <row r="129" spans="1:4" x14ac:dyDescent="0.25">
      <c r="A129" s="20" t="s">
        <v>272</v>
      </c>
      <c r="B129" s="20" t="s">
        <v>396</v>
      </c>
      <c r="C129" s="20">
        <v>72</v>
      </c>
      <c r="D129">
        <f t="shared" si="1"/>
        <v>1</v>
      </c>
    </row>
    <row r="130" spans="1:4" x14ac:dyDescent="0.25">
      <c r="A130" s="20" t="s">
        <v>272</v>
      </c>
      <c r="B130" s="20" t="s">
        <v>603</v>
      </c>
      <c r="C130" s="20">
        <v>5.625</v>
      </c>
      <c r="D130">
        <f t="shared" ref="D130:D193" si="2">COUNTIF($B$2:$B$746,B130)</f>
        <v>1</v>
      </c>
    </row>
    <row r="131" spans="1:4" x14ac:dyDescent="0.25">
      <c r="A131" s="20" t="s">
        <v>272</v>
      </c>
      <c r="B131" s="20" t="s">
        <v>494</v>
      </c>
      <c r="C131" s="20">
        <v>5.5</v>
      </c>
      <c r="D131">
        <f t="shared" si="2"/>
        <v>1</v>
      </c>
    </row>
    <row r="132" spans="1:4" x14ac:dyDescent="0.25">
      <c r="A132" s="20" t="s">
        <v>272</v>
      </c>
      <c r="B132" s="20" t="s">
        <v>645</v>
      </c>
      <c r="C132" s="20">
        <v>75.599999999999994</v>
      </c>
      <c r="D132">
        <f t="shared" si="2"/>
        <v>1</v>
      </c>
    </row>
    <row r="133" spans="1:4" x14ac:dyDescent="0.25">
      <c r="A133" s="20" t="s">
        <v>272</v>
      </c>
      <c r="B133" s="20" t="s">
        <v>463</v>
      </c>
      <c r="C133" s="20">
        <v>31.8</v>
      </c>
      <c r="D133">
        <f t="shared" si="2"/>
        <v>1</v>
      </c>
    </row>
    <row r="134" spans="1:4" x14ac:dyDescent="0.25">
      <c r="A134" s="20" t="s">
        <v>272</v>
      </c>
      <c r="B134" s="20" t="s">
        <v>335</v>
      </c>
      <c r="C134" s="20">
        <v>31.8</v>
      </c>
      <c r="D134">
        <f t="shared" si="2"/>
        <v>1</v>
      </c>
    </row>
    <row r="135" spans="1:4" x14ac:dyDescent="0.25">
      <c r="A135" s="20" t="s">
        <v>272</v>
      </c>
      <c r="B135" s="20" t="s">
        <v>553</v>
      </c>
      <c r="C135" s="20">
        <v>22</v>
      </c>
      <c r="D135">
        <f t="shared" si="2"/>
        <v>1</v>
      </c>
    </row>
    <row r="136" spans="1:4" x14ac:dyDescent="0.25">
      <c r="A136" s="20" t="s">
        <v>272</v>
      </c>
      <c r="B136" s="20" t="s">
        <v>551</v>
      </c>
      <c r="C136" s="20">
        <v>22</v>
      </c>
      <c r="D136">
        <f t="shared" si="2"/>
        <v>1</v>
      </c>
    </row>
    <row r="137" spans="1:4" x14ac:dyDescent="0.25">
      <c r="A137" s="20" t="s">
        <v>272</v>
      </c>
      <c r="B137" s="20" t="s">
        <v>557</v>
      </c>
      <c r="C137" s="20">
        <v>22</v>
      </c>
      <c r="D137">
        <f t="shared" si="2"/>
        <v>1</v>
      </c>
    </row>
    <row r="138" spans="1:4" x14ac:dyDescent="0.25">
      <c r="A138" s="20" t="s">
        <v>648</v>
      </c>
      <c r="B138" s="20" t="s">
        <v>650</v>
      </c>
      <c r="C138" s="20">
        <v>7.98</v>
      </c>
      <c r="D138">
        <f t="shared" si="2"/>
        <v>1</v>
      </c>
    </row>
    <row r="139" spans="1:4" x14ac:dyDescent="0.25">
      <c r="A139" s="20" t="s">
        <v>664</v>
      </c>
      <c r="B139" s="20" t="s">
        <v>1114</v>
      </c>
      <c r="C139" s="20">
        <v>23.76</v>
      </c>
      <c r="D139">
        <f t="shared" si="2"/>
        <v>1</v>
      </c>
    </row>
    <row r="140" spans="1:4" x14ac:dyDescent="0.25">
      <c r="A140" s="20" t="s">
        <v>664</v>
      </c>
      <c r="B140" s="20" t="s">
        <v>1112</v>
      </c>
      <c r="C140" s="20">
        <v>23.76</v>
      </c>
      <c r="D140">
        <f t="shared" si="2"/>
        <v>1</v>
      </c>
    </row>
    <row r="141" spans="1:4" x14ac:dyDescent="0.25">
      <c r="A141" s="20" t="s">
        <v>664</v>
      </c>
      <c r="B141" s="20" t="s">
        <v>1113</v>
      </c>
      <c r="C141" s="20">
        <v>23.76</v>
      </c>
      <c r="D141">
        <f t="shared" si="2"/>
        <v>1</v>
      </c>
    </row>
    <row r="142" spans="1:4" x14ac:dyDescent="0.25">
      <c r="A142" s="20" t="s">
        <v>664</v>
      </c>
      <c r="B142" s="20" t="s">
        <v>1062</v>
      </c>
      <c r="C142" s="20">
        <v>39.46</v>
      </c>
      <c r="D142">
        <f t="shared" si="2"/>
        <v>1</v>
      </c>
    </row>
    <row r="143" spans="1:4" x14ac:dyDescent="0.25">
      <c r="A143" s="20" t="s">
        <v>664</v>
      </c>
      <c r="B143" s="20" t="s">
        <v>1171</v>
      </c>
      <c r="C143" s="20">
        <v>23.76</v>
      </c>
      <c r="D143">
        <f t="shared" si="2"/>
        <v>1</v>
      </c>
    </row>
    <row r="144" spans="1:4" x14ac:dyDescent="0.25">
      <c r="A144" s="20" t="s">
        <v>664</v>
      </c>
      <c r="B144" s="20" t="s">
        <v>1165</v>
      </c>
      <c r="C144" s="20">
        <v>28</v>
      </c>
      <c r="D144">
        <f t="shared" si="2"/>
        <v>1</v>
      </c>
    </row>
    <row r="145" spans="1:4" x14ac:dyDescent="0.25">
      <c r="A145" s="20" t="s">
        <v>664</v>
      </c>
      <c r="B145" s="20" t="s">
        <v>999</v>
      </c>
      <c r="C145" s="20">
        <v>9.99</v>
      </c>
      <c r="D145">
        <f t="shared" si="2"/>
        <v>1</v>
      </c>
    </row>
    <row r="146" spans="1:4" x14ac:dyDescent="0.25">
      <c r="A146" s="20" t="s">
        <v>664</v>
      </c>
      <c r="B146" s="20" t="s">
        <v>1218</v>
      </c>
      <c r="C146" s="20">
        <v>27.5</v>
      </c>
      <c r="D146">
        <f t="shared" si="2"/>
        <v>1</v>
      </c>
    </row>
    <row r="147" spans="1:4" x14ac:dyDescent="0.25">
      <c r="A147" s="20" t="s">
        <v>664</v>
      </c>
      <c r="B147" s="20" t="s">
        <v>924</v>
      </c>
      <c r="C147" s="20">
        <v>32.15</v>
      </c>
      <c r="D147">
        <f t="shared" si="2"/>
        <v>1</v>
      </c>
    </row>
    <row r="148" spans="1:4" x14ac:dyDescent="0.25">
      <c r="A148" s="20" t="s">
        <v>664</v>
      </c>
      <c r="B148" s="20" t="s">
        <v>1058</v>
      </c>
      <c r="C148" s="20">
        <v>39</v>
      </c>
      <c r="D148">
        <f t="shared" si="2"/>
        <v>1</v>
      </c>
    </row>
    <row r="149" spans="1:4" x14ac:dyDescent="0.25">
      <c r="A149" s="20" t="s">
        <v>664</v>
      </c>
      <c r="B149" s="20" t="s">
        <v>734</v>
      </c>
      <c r="C149" s="20">
        <v>11.88</v>
      </c>
      <c r="D149">
        <f t="shared" si="2"/>
        <v>1</v>
      </c>
    </row>
    <row r="150" spans="1:4" x14ac:dyDescent="0.25">
      <c r="A150" s="20" t="s">
        <v>664</v>
      </c>
      <c r="B150" s="20" t="s">
        <v>1232</v>
      </c>
      <c r="C150" s="20">
        <v>10.68</v>
      </c>
      <c r="D150">
        <f t="shared" si="2"/>
        <v>1</v>
      </c>
    </row>
    <row r="151" spans="1:4" x14ac:dyDescent="0.25">
      <c r="A151" s="20" t="s">
        <v>664</v>
      </c>
      <c r="B151" s="20" t="s">
        <v>1190</v>
      </c>
      <c r="C151" s="20">
        <v>10.68</v>
      </c>
      <c r="D151">
        <f t="shared" si="2"/>
        <v>1</v>
      </c>
    </row>
    <row r="152" spans="1:4" x14ac:dyDescent="0.25">
      <c r="A152" s="20" t="s">
        <v>664</v>
      </c>
      <c r="B152" s="20" t="s">
        <v>1115</v>
      </c>
      <c r="C152" s="20">
        <v>30</v>
      </c>
      <c r="D152">
        <f t="shared" si="2"/>
        <v>1</v>
      </c>
    </row>
    <row r="153" spans="1:4" x14ac:dyDescent="0.25">
      <c r="A153" s="20" t="s">
        <v>664</v>
      </c>
      <c r="B153" s="20" t="s">
        <v>679</v>
      </c>
      <c r="C153" s="20">
        <v>19.8</v>
      </c>
      <c r="D153">
        <f t="shared" si="2"/>
        <v>1</v>
      </c>
    </row>
    <row r="154" spans="1:4" x14ac:dyDescent="0.25">
      <c r="A154" s="20" t="s">
        <v>664</v>
      </c>
      <c r="B154" s="20" t="s">
        <v>989</v>
      </c>
      <c r="C154" s="20">
        <v>32</v>
      </c>
      <c r="D154">
        <f t="shared" si="2"/>
        <v>1</v>
      </c>
    </row>
    <row r="155" spans="1:4" x14ac:dyDescent="0.25">
      <c r="A155" s="20" t="s">
        <v>664</v>
      </c>
      <c r="B155" s="20" t="s">
        <v>772</v>
      </c>
      <c r="C155" s="20">
        <v>42</v>
      </c>
      <c r="D155">
        <f t="shared" si="2"/>
        <v>1</v>
      </c>
    </row>
    <row r="156" spans="1:4" x14ac:dyDescent="0.25">
      <c r="A156" s="20" t="s">
        <v>664</v>
      </c>
      <c r="B156" s="20" t="s">
        <v>696</v>
      </c>
      <c r="C156" s="20">
        <v>31.08</v>
      </c>
      <c r="D156">
        <f t="shared" si="2"/>
        <v>1</v>
      </c>
    </row>
    <row r="157" spans="1:4" x14ac:dyDescent="0.25">
      <c r="A157" s="20" t="s">
        <v>664</v>
      </c>
      <c r="B157" s="20" t="s">
        <v>694</v>
      </c>
      <c r="C157" s="20">
        <v>38.159999999999997</v>
      </c>
      <c r="D157">
        <f t="shared" si="2"/>
        <v>1</v>
      </c>
    </row>
    <row r="158" spans="1:4" x14ac:dyDescent="0.25">
      <c r="A158" s="20" t="s">
        <v>664</v>
      </c>
      <c r="B158" s="20" t="s">
        <v>1177</v>
      </c>
      <c r="C158" s="20">
        <v>27.04</v>
      </c>
      <c r="D158">
        <f t="shared" si="2"/>
        <v>1</v>
      </c>
    </row>
    <row r="159" spans="1:4" x14ac:dyDescent="0.25">
      <c r="A159" s="20" t="s">
        <v>664</v>
      </c>
      <c r="B159" s="20" t="s">
        <v>1117</v>
      </c>
      <c r="C159" s="20">
        <v>28.56</v>
      </c>
      <c r="D159">
        <f t="shared" si="2"/>
        <v>1</v>
      </c>
    </row>
    <row r="160" spans="1:4" x14ac:dyDescent="0.25">
      <c r="A160" s="20" t="s">
        <v>664</v>
      </c>
      <c r="B160" s="20" t="s">
        <v>675</v>
      </c>
      <c r="C160" s="20">
        <v>31.2</v>
      </c>
      <c r="D160">
        <f t="shared" si="2"/>
        <v>1</v>
      </c>
    </row>
    <row r="161" spans="1:4" x14ac:dyDescent="0.25">
      <c r="A161" s="20" t="s">
        <v>664</v>
      </c>
      <c r="B161" s="20" t="s">
        <v>683</v>
      </c>
      <c r="C161" s="20">
        <v>19.2</v>
      </c>
      <c r="D161">
        <f t="shared" si="2"/>
        <v>1</v>
      </c>
    </row>
    <row r="162" spans="1:4" x14ac:dyDescent="0.25">
      <c r="A162" s="20" t="s">
        <v>664</v>
      </c>
      <c r="B162" s="20" t="s">
        <v>677</v>
      </c>
      <c r="C162" s="20">
        <v>19.8</v>
      </c>
      <c r="D162">
        <f t="shared" si="2"/>
        <v>1</v>
      </c>
    </row>
    <row r="163" spans="1:4" x14ac:dyDescent="0.25">
      <c r="A163" s="20" t="s">
        <v>664</v>
      </c>
      <c r="B163" s="20" t="s">
        <v>1131</v>
      </c>
      <c r="C163" s="20">
        <v>28.56</v>
      </c>
      <c r="D163">
        <f t="shared" si="2"/>
        <v>1</v>
      </c>
    </row>
    <row r="164" spans="1:4" x14ac:dyDescent="0.25">
      <c r="A164" s="20" t="s">
        <v>664</v>
      </c>
      <c r="B164" s="20" t="s">
        <v>1220</v>
      </c>
      <c r="C164" s="20">
        <v>37.5</v>
      </c>
      <c r="D164">
        <f t="shared" si="2"/>
        <v>1</v>
      </c>
    </row>
    <row r="165" spans="1:4" x14ac:dyDescent="0.25">
      <c r="A165" s="20" t="s">
        <v>664</v>
      </c>
      <c r="B165" s="20" t="s">
        <v>1157</v>
      </c>
      <c r="C165" s="20">
        <v>31.2</v>
      </c>
      <c r="D165">
        <f t="shared" si="2"/>
        <v>1</v>
      </c>
    </row>
    <row r="166" spans="1:4" x14ac:dyDescent="0.25">
      <c r="A166" s="20" t="s">
        <v>664</v>
      </c>
      <c r="B166" s="20" t="s">
        <v>906</v>
      </c>
      <c r="C166" s="20">
        <v>34.68</v>
      </c>
      <c r="D166">
        <f t="shared" si="2"/>
        <v>1</v>
      </c>
    </row>
    <row r="167" spans="1:4" x14ac:dyDescent="0.25">
      <c r="A167" s="20" t="s">
        <v>664</v>
      </c>
      <c r="B167" s="20" t="s">
        <v>758</v>
      </c>
      <c r="C167" s="20">
        <v>35</v>
      </c>
      <c r="D167">
        <f t="shared" si="2"/>
        <v>1</v>
      </c>
    </row>
    <row r="168" spans="1:4" x14ac:dyDescent="0.25">
      <c r="A168" s="20" t="s">
        <v>664</v>
      </c>
      <c r="B168" s="20" t="s">
        <v>1133</v>
      </c>
      <c r="C168" s="20">
        <v>36</v>
      </c>
      <c r="D168">
        <f t="shared" si="2"/>
        <v>1</v>
      </c>
    </row>
    <row r="169" spans="1:4" x14ac:dyDescent="0.25">
      <c r="A169" s="20" t="s">
        <v>664</v>
      </c>
      <c r="B169" s="20" t="s">
        <v>1038</v>
      </c>
      <c r="C169" s="20">
        <v>32.1</v>
      </c>
      <c r="D169">
        <f t="shared" si="2"/>
        <v>1</v>
      </c>
    </row>
    <row r="170" spans="1:4" x14ac:dyDescent="0.25">
      <c r="A170" s="20" t="s">
        <v>664</v>
      </c>
      <c r="B170" s="20" t="s">
        <v>1222</v>
      </c>
      <c r="C170" s="20">
        <v>40.56</v>
      </c>
      <c r="D170">
        <f t="shared" si="2"/>
        <v>1</v>
      </c>
    </row>
    <row r="171" spans="1:4" x14ac:dyDescent="0.25">
      <c r="A171" s="20" t="s">
        <v>664</v>
      </c>
      <c r="B171" s="20" t="s">
        <v>1149</v>
      </c>
      <c r="C171" s="20">
        <v>18</v>
      </c>
      <c r="D171">
        <f t="shared" si="2"/>
        <v>1</v>
      </c>
    </row>
    <row r="172" spans="1:4" x14ac:dyDescent="0.25">
      <c r="A172" s="20" t="s">
        <v>664</v>
      </c>
      <c r="B172" s="20" t="s">
        <v>1123</v>
      </c>
      <c r="C172" s="20">
        <v>55.8</v>
      </c>
      <c r="D172">
        <f t="shared" si="2"/>
        <v>1</v>
      </c>
    </row>
    <row r="173" spans="1:4" x14ac:dyDescent="0.25">
      <c r="A173" s="20" t="s">
        <v>664</v>
      </c>
      <c r="B173" s="20" t="s">
        <v>841</v>
      </c>
      <c r="C173" s="20">
        <v>39.6</v>
      </c>
      <c r="D173">
        <f t="shared" si="2"/>
        <v>1</v>
      </c>
    </row>
    <row r="174" spans="1:4" x14ac:dyDescent="0.25">
      <c r="A174" s="20" t="s">
        <v>664</v>
      </c>
      <c r="B174" s="20" t="s">
        <v>1094</v>
      </c>
      <c r="C174" s="20">
        <v>31.08</v>
      </c>
      <c r="D174">
        <f t="shared" si="2"/>
        <v>1</v>
      </c>
    </row>
    <row r="175" spans="1:4" x14ac:dyDescent="0.25">
      <c r="A175" s="20" t="s">
        <v>664</v>
      </c>
      <c r="B175" s="20" t="s">
        <v>1155</v>
      </c>
      <c r="C175" s="20">
        <v>32.1</v>
      </c>
      <c r="D175">
        <f t="shared" si="2"/>
        <v>1</v>
      </c>
    </row>
    <row r="176" spans="1:4" x14ac:dyDescent="0.25">
      <c r="A176" s="20" t="s">
        <v>664</v>
      </c>
      <c r="B176" s="20" t="s">
        <v>938</v>
      </c>
      <c r="C176" s="20">
        <v>60</v>
      </c>
      <c r="D176">
        <f t="shared" si="2"/>
        <v>1</v>
      </c>
    </row>
    <row r="177" spans="1:4" x14ac:dyDescent="0.25">
      <c r="A177" s="20" t="s">
        <v>664</v>
      </c>
      <c r="B177" s="20" t="s">
        <v>724</v>
      </c>
      <c r="C177" s="20">
        <v>35</v>
      </c>
      <c r="D177">
        <f t="shared" si="2"/>
        <v>1</v>
      </c>
    </row>
    <row r="178" spans="1:4" x14ac:dyDescent="0.25">
      <c r="A178" s="20" t="s">
        <v>664</v>
      </c>
      <c r="B178" s="20" t="s">
        <v>997</v>
      </c>
      <c r="C178" s="20">
        <v>35</v>
      </c>
      <c r="D178">
        <f t="shared" si="2"/>
        <v>1</v>
      </c>
    </row>
    <row r="179" spans="1:4" x14ac:dyDescent="0.25">
      <c r="A179" s="20" t="s">
        <v>664</v>
      </c>
      <c r="B179" s="20" t="s">
        <v>708</v>
      </c>
      <c r="C179" s="20">
        <v>40.56</v>
      </c>
      <c r="D179">
        <f t="shared" si="2"/>
        <v>1</v>
      </c>
    </row>
    <row r="180" spans="1:4" x14ac:dyDescent="0.25">
      <c r="A180" s="20" t="s">
        <v>664</v>
      </c>
      <c r="B180" s="20" t="s">
        <v>1145</v>
      </c>
      <c r="C180" s="20">
        <v>58.5</v>
      </c>
      <c r="D180">
        <f t="shared" si="2"/>
        <v>1</v>
      </c>
    </row>
    <row r="181" spans="1:4" x14ac:dyDescent="0.25">
      <c r="A181" s="20" t="s">
        <v>664</v>
      </c>
      <c r="B181" s="20" t="s">
        <v>1056</v>
      </c>
      <c r="C181" s="20">
        <v>13.2</v>
      </c>
      <c r="D181">
        <f t="shared" si="2"/>
        <v>1</v>
      </c>
    </row>
    <row r="182" spans="1:4" x14ac:dyDescent="0.25">
      <c r="A182" s="20" t="s">
        <v>664</v>
      </c>
      <c r="B182" s="20" t="s">
        <v>1213</v>
      </c>
      <c r="C182" s="20">
        <v>35</v>
      </c>
      <c r="D182">
        <f t="shared" si="2"/>
        <v>1</v>
      </c>
    </row>
    <row r="183" spans="1:4" x14ac:dyDescent="0.25">
      <c r="A183" s="20" t="s">
        <v>664</v>
      </c>
      <c r="B183" s="20" t="s">
        <v>722</v>
      </c>
      <c r="C183" s="20">
        <v>35</v>
      </c>
      <c r="D183">
        <f t="shared" si="2"/>
        <v>1</v>
      </c>
    </row>
    <row r="184" spans="1:4" x14ac:dyDescent="0.25">
      <c r="A184" s="20" t="s">
        <v>664</v>
      </c>
      <c r="B184" s="20" t="s">
        <v>815</v>
      </c>
      <c r="C184" s="20">
        <v>45</v>
      </c>
      <c r="D184">
        <f t="shared" si="2"/>
        <v>1</v>
      </c>
    </row>
    <row r="185" spans="1:4" x14ac:dyDescent="0.25">
      <c r="A185" s="20" t="s">
        <v>664</v>
      </c>
      <c r="B185" s="20" t="s">
        <v>1226</v>
      </c>
      <c r="C185" s="20">
        <v>51.1</v>
      </c>
      <c r="D185">
        <f t="shared" si="2"/>
        <v>1</v>
      </c>
    </row>
    <row r="186" spans="1:4" x14ac:dyDescent="0.25">
      <c r="A186" s="20" t="s">
        <v>664</v>
      </c>
      <c r="B186" s="20" t="s">
        <v>995</v>
      </c>
      <c r="C186" s="20">
        <v>36</v>
      </c>
      <c r="D186">
        <f t="shared" si="2"/>
        <v>1</v>
      </c>
    </row>
    <row r="187" spans="1:4" x14ac:dyDescent="0.25">
      <c r="A187" s="20" t="s">
        <v>664</v>
      </c>
      <c r="B187" s="20" t="s">
        <v>811</v>
      </c>
      <c r="C187" s="20">
        <v>49.8</v>
      </c>
      <c r="D187">
        <f t="shared" si="2"/>
        <v>1</v>
      </c>
    </row>
    <row r="188" spans="1:4" x14ac:dyDescent="0.25">
      <c r="A188" s="20" t="s">
        <v>664</v>
      </c>
      <c r="B188" s="20" t="s">
        <v>1216</v>
      </c>
      <c r="C188" s="20">
        <v>45</v>
      </c>
      <c r="D188">
        <f t="shared" si="2"/>
        <v>1</v>
      </c>
    </row>
    <row r="189" spans="1:4" x14ac:dyDescent="0.25">
      <c r="A189" s="20" t="s">
        <v>664</v>
      </c>
      <c r="B189" s="20" t="s">
        <v>728</v>
      </c>
      <c r="C189" s="20">
        <v>28.62</v>
      </c>
      <c r="D189">
        <f t="shared" si="2"/>
        <v>1</v>
      </c>
    </row>
    <row r="190" spans="1:4" x14ac:dyDescent="0.25">
      <c r="A190" s="20" t="s">
        <v>664</v>
      </c>
      <c r="B190" s="20" t="s">
        <v>953</v>
      </c>
      <c r="C190" s="20">
        <v>13.2</v>
      </c>
      <c r="D190">
        <f t="shared" si="2"/>
        <v>1</v>
      </c>
    </row>
    <row r="191" spans="1:4" x14ac:dyDescent="0.25">
      <c r="A191" s="20" t="s">
        <v>664</v>
      </c>
      <c r="B191" s="20" t="s">
        <v>982</v>
      </c>
      <c r="C191" s="20">
        <v>28.68</v>
      </c>
      <c r="D191">
        <f t="shared" si="2"/>
        <v>1</v>
      </c>
    </row>
    <row r="192" spans="1:4" x14ac:dyDescent="0.25">
      <c r="A192" s="20" t="s">
        <v>664</v>
      </c>
      <c r="B192" s="20" t="s">
        <v>1151</v>
      </c>
      <c r="C192" s="20">
        <v>26.84</v>
      </c>
      <c r="D192">
        <f t="shared" si="2"/>
        <v>1</v>
      </c>
    </row>
    <row r="193" spans="1:4" x14ac:dyDescent="0.25">
      <c r="A193" s="20" t="s">
        <v>664</v>
      </c>
      <c r="B193" s="20" t="s">
        <v>1182</v>
      </c>
      <c r="C193" s="20">
        <v>38.93</v>
      </c>
      <c r="D193">
        <f t="shared" si="2"/>
        <v>1</v>
      </c>
    </row>
    <row r="194" spans="1:4" x14ac:dyDescent="0.25">
      <c r="A194" s="20" t="s">
        <v>664</v>
      </c>
      <c r="B194" s="20" t="s">
        <v>780</v>
      </c>
      <c r="C194" s="20">
        <v>22.68</v>
      </c>
      <c r="D194">
        <f t="shared" ref="D194:D257" si="3">COUNTIF($B$2:$B$746,B194)</f>
        <v>1</v>
      </c>
    </row>
    <row r="195" spans="1:4" x14ac:dyDescent="0.25">
      <c r="A195" s="20" t="s">
        <v>664</v>
      </c>
      <c r="B195" s="20" t="s">
        <v>782</v>
      </c>
      <c r="C195" s="20">
        <v>22.68</v>
      </c>
      <c r="D195">
        <f t="shared" si="3"/>
        <v>1</v>
      </c>
    </row>
    <row r="196" spans="1:4" x14ac:dyDescent="0.25">
      <c r="A196" s="20" t="s">
        <v>664</v>
      </c>
      <c r="B196" s="20" t="s">
        <v>710</v>
      </c>
      <c r="C196" s="20">
        <v>40.159999999999997</v>
      </c>
      <c r="D196">
        <f t="shared" si="3"/>
        <v>1</v>
      </c>
    </row>
    <row r="197" spans="1:4" x14ac:dyDescent="0.25">
      <c r="A197" s="20" t="s">
        <v>664</v>
      </c>
      <c r="B197" s="20" t="s">
        <v>1042</v>
      </c>
      <c r="C197" s="20">
        <v>51.1</v>
      </c>
      <c r="D197">
        <f t="shared" si="3"/>
        <v>1</v>
      </c>
    </row>
    <row r="198" spans="1:4" x14ac:dyDescent="0.25">
      <c r="A198" s="20" t="s">
        <v>664</v>
      </c>
      <c r="B198" s="20" t="s">
        <v>945</v>
      </c>
      <c r="C198" s="20">
        <v>32</v>
      </c>
      <c r="D198">
        <f t="shared" si="3"/>
        <v>1</v>
      </c>
    </row>
    <row r="199" spans="1:4" x14ac:dyDescent="0.25">
      <c r="A199" s="20" t="s">
        <v>664</v>
      </c>
      <c r="B199" s="20" t="s">
        <v>681</v>
      </c>
      <c r="C199" s="20">
        <v>23.88</v>
      </c>
      <c r="D199">
        <f t="shared" si="3"/>
        <v>1</v>
      </c>
    </row>
    <row r="200" spans="1:4" x14ac:dyDescent="0.25">
      <c r="A200" s="20" t="s">
        <v>664</v>
      </c>
      <c r="B200" s="20" t="s">
        <v>1104</v>
      </c>
      <c r="C200" s="20">
        <v>39.5</v>
      </c>
      <c r="D200">
        <f t="shared" si="3"/>
        <v>1</v>
      </c>
    </row>
    <row r="201" spans="1:4" x14ac:dyDescent="0.25">
      <c r="A201" s="20" t="s">
        <v>664</v>
      </c>
      <c r="B201" s="20" t="s">
        <v>706</v>
      </c>
      <c r="C201" s="20">
        <v>30</v>
      </c>
      <c r="D201">
        <f t="shared" si="3"/>
        <v>1</v>
      </c>
    </row>
    <row r="202" spans="1:4" x14ac:dyDescent="0.25">
      <c r="A202" s="20" t="s">
        <v>664</v>
      </c>
      <c r="B202" s="20" t="s">
        <v>827</v>
      </c>
      <c r="C202" s="20">
        <v>35.880000000000003</v>
      </c>
      <c r="D202">
        <f t="shared" si="3"/>
        <v>1</v>
      </c>
    </row>
    <row r="203" spans="1:4" x14ac:dyDescent="0.25">
      <c r="A203" s="20" t="s">
        <v>664</v>
      </c>
      <c r="B203" s="20" t="s">
        <v>1051</v>
      </c>
      <c r="C203" s="20">
        <v>16.68</v>
      </c>
      <c r="D203">
        <f t="shared" si="3"/>
        <v>1</v>
      </c>
    </row>
    <row r="204" spans="1:4" x14ac:dyDescent="0.25">
      <c r="A204" s="20" t="s">
        <v>664</v>
      </c>
      <c r="B204" s="20" t="s">
        <v>1100</v>
      </c>
      <c r="C204" s="20">
        <v>12.6</v>
      </c>
      <c r="D204">
        <f t="shared" si="3"/>
        <v>1</v>
      </c>
    </row>
    <row r="205" spans="1:4" x14ac:dyDescent="0.25">
      <c r="A205" s="20" t="s">
        <v>664</v>
      </c>
      <c r="B205" s="20" t="s">
        <v>1000</v>
      </c>
      <c r="C205" s="20">
        <v>78.959999999999994</v>
      </c>
      <c r="D205">
        <f t="shared" si="3"/>
        <v>1</v>
      </c>
    </row>
    <row r="206" spans="1:4" x14ac:dyDescent="0.25">
      <c r="A206" s="20" t="s">
        <v>664</v>
      </c>
      <c r="B206" s="20" t="s">
        <v>1099</v>
      </c>
      <c r="C206" s="20">
        <v>12.6</v>
      </c>
      <c r="D206">
        <f t="shared" si="3"/>
        <v>1</v>
      </c>
    </row>
    <row r="207" spans="1:4" x14ac:dyDescent="0.25">
      <c r="A207" s="20" t="s">
        <v>664</v>
      </c>
      <c r="B207" s="20" t="s">
        <v>1096</v>
      </c>
      <c r="C207" s="20">
        <v>12.6</v>
      </c>
      <c r="D207">
        <f t="shared" si="3"/>
        <v>1</v>
      </c>
    </row>
    <row r="208" spans="1:4" x14ac:dyDescent="0.25">
      <c r="A208" s="20" t="s">
        <v>664</v>
      </c>
      <c r="B208" s="20" t="s">
        <v>962</v>
      </c>
      <c r="C208" s="20">
        <v>27.29</v>
      </c>
      <c r="D208">
        <f t="shared" si="3"/>
        <v>1</v>
      </c>
    </row>
    <row r="209" spans="1:4" x14ac:dyDescent="0.25">
      <c r="A209" s="20" t="s">
        <v>664</v>
      </c>
      <c r="B209" s="20" t="s">
        <v>1228</v>
      </c>
      <c r="C209" s="20">
        <v>98.16</v>
      </c>
      <c r="D209">
        <f t="shared" si="3"/>
        <v>1</v>
      </c>
    </row>
    <row r="210" spans="1:4" x14ac:dyDescent="0.25">
      <c r="A210" s="20" t="s">
        <v>664</v>
      </c>
      <c r="B210" s="20" t="s">
        <v>1161</v>
      </c>
      <c r="C210" s="20">
        <v>18.600000000000001</v>
      </c>
      <c r="D210">
        <f t="shared" si="3"/>
        <v>1</v>
      </c>
    </row>
    <row r="211" spans="1:4" x14ac:dyDescent="0.25">
      <c r="A211" s="20" t="s">
        <v>664</v>
      </c>
      <c r="B211" s="20" t="s">
        <v>1002</v>
      </c>
      <c r="C211" s="20">
        <v>12.6</v>
      </c>
      <c r="D211">
        <f t="shared" si="3"/>
        <v>1</v>
      </c>
    </row>
    <row r="212" spans="1:4" x14ac:dyDescent="0.25">
      <c r="A212" s="20" t="s">
        <v>664</v>
      </c>
      <c r="B212" s="20" t="s">
        <v>1097</v>
      </c>
      <c r="C212" s="20">
        <v>12.6</v>
      </c>
      <c r="D212">
        <f t="shared" si="3"/>
        <v>1</v>
      </c>
    </row>
    <row r="213" spans="1:4" x14ac:dyDescent="0.25">
      <c r="A213" s="20" t="s">
        <v>664</v>
      </c>
      <c r="B213" s="20" t="s">
        <v>1211</v>
      </c>
      <c r="C213" s="20">
        <v>22</v>
      </c>
      <c r="D213">
        <f t="shared" si="3"/>
        <v>1</v>
      </c>
    </row>
    <row r="214" spans="1:4" x14ac:dyDescent="0.25">
      <c r="A214" s="20" t="s">
        <v>664</v>
      </c>
      <c r="B214" s="20" t="s">
        <v>1139</v>
      </c>
      <c r="C214" s="20">
        <v>9</v>
      </c>
      <c r="D214">
        <f t="shared" si="3"/>
        <v>1</v>
      </c>
    </row>
    <row r="215" spans="1:4" x14ac:dyDescent="0.25">
      <c r="A215" s="20" t="s">
        <v>664</v>
      </c>
      <c r="B215" s="20" t="s">
        <v>1066</v>
      </c>
      <c r="C215" s="20">
        <v>14</v>
      </c>
      <c r="D215">
        <f t="shared" si="3"/>
        <v>1</v>
      </c>
    </row>
    <row r="216" spans="1:4" x14ac:dyDescent="0.25">
      <c r="A216" s="20" t="s">
        <v>664</v>
      </c>
      <c r="B216" s="20" t="s">
        <v>1010</v>
      </c>
      <c r="C216" s="20">
        <v>14</v>
      </c>
      <c r="D216">
        <f t="shared" si="3"/>
        <v>1</v>
      </c>
    </row>
    <row r="217" spans="1:4" x14ac:dyDescent="0.25">
      <c r="A217" s="20" t="s">
        <v>664</v>
      </c>
      <c r="B217" s="20" t="s">
        <v>1068</v>
      </c>
      <c r="C217" s="20">
        <v>14</v>
      </c>
      <c r="D217">
        <f t="shared" si="3"/>
        <v>1</v>
      </c>
    </row>
    <row r="218" spans="1:4" x14ac:dyDescent="0.25">
      <c r="A218" s="20" t="s">
        <v>664</v>
      </c>
      <c r="B218" s="20" t="s">
        <v>885</v>
      </c>
      <c r="C218" s="20">
        <v>9</v>
      </c>
      <c r="D218">
        <f t="shared" si="3"/>
        <v>1</v>
      </c>
    </row>
    <row r="219" spans="1:4" x14ac:dyDescent="0.25">
      <c r="A219" s="20" t="s">
        <v>664</v>
      </c>
      <c r="B219" s="20" t="s">
        <v>918</v>
      </c>
      <c r="C219" s="20">
        <v>33.479999999999997</v>
      </c>
      <c r="D219">
        <f t="shared" si="3"/>
        <v>1</v>
      </c>
    </row>
    <row r="220" spans="1:4" x14ac:dyDescent="0.25">
      <c r="A220" s="20" t="s">
        <v>664</v>
      </c>
      <c r="B220" s="20" t="s">
        <v>920</v>
      </c>
      <c r="C220" s="20">
        <v>32.15</v>
      </c>
      <c r="D220">
        <f t="shared" si="3"/>
        <v>1</v>
      </c>
    </row>
    <row r="221" spans="1:4" x14ac:dyDescent="0.25">
      <c r="A221" s="20" t="s">
        <v>664</v>
      </c>
      <c r="B221" s="20" t="s">
        <v>922</v>
      </c>
      <c r="C221" s="20">
        <v>32.15</v>
      </c>
      <c r="D221">
        <f t="shared" si="3"/>
        <v>1</v>
      </c>
    </row>
    <row r="222" spans="1:4" x14ac:dyDescent="0.25">
      <c r="A222" s="20" t="s">
        <v>664</v>
      </c>
      <c r="B222" s="20" t="s">
        <v>1119</v>
      </c>
      <c r="C222" s="20">
        <v>25.02</v>
      </c>
      <c r="D222">
        <f t="shared" si="3"/>
        <v>1</v>
      </c>
    </row>
    <row r="223" spans="1:4" x14ac:dyDescent="0.25">
      <c r="A223" s="20" t="s">
        <v>664</v>
      </c>
      <c r="B223" s="20" t="s">
        <v>1199</v>
      </c>
      <c r="C223" s="20">
        <v>18</v>
      </c>
      <c r="D223">
        <f t="shared" si="3"/>
        <v>1</v>
      </c>
    </row>
    <row r="224" spans="1:4" x14ac:dyDescent="0.25">
      <c r="A224" s="20" t="s">
        <v>664</v>
      </c>
      <c r="B224" s="20" t="s">
        <v>1110</v>
      </c>
      <c r="C224" s="20">
        <v>23.76</v>
      </c>
      <c r="D224">
        <f t="shared" si="3"/>
        <v>1</v>
      </c>
    </row>
    <row r="225" spans="1:4" x14ac:dyDescent="0.25">
      <c r="A225" s="20" t="s">
        <v>664</v>
      </c>
      <c r="B225" s="20" t="s">
        <v>926</v>
      </c>
      <c r="C225" s="20">
        <v>32.15</v>
      </c>
      <c r="D225">
        <f t="shared" si="3"/>
        <v>1</v>
      </c>
    </row>
    <row r="226" spans="1:4" x14ac:dyDescent="0.25">
      <c r="A226" s="20" t="s">
        <v>664</v>
      </c>
      <c r="B226" s="20" t="s">
        <v>912</v>
      </c>
      <c r="C226" s="20">
        <v>39.479999999999997</v>
      </c>
      <c r="D226">
        <f t="shared" si="3"/>
        <v>1</v>
      </c>
    </row>
    <row r="227" spans="1:4" x14ac:dyDescent="0.25">
      <c r="A227" s="20" t="s">
        <v>664</v>
      </c>
      <c r="B227" s="20" t="s">
        <v>1081</v>
      </c>
      <c r="C227" s="20">
        <v>23.22</v>
      </c>
      <c r="D227">
        <f t="shared" si="3"/>
        <v>1</v>
      </c>
    </row>
    <row r="228" spans="1:4" x14ac:dyDescent="0.25">
      <c r="A228" s="20" t="s">
        <v>664</v>
      </c>
      <c r="B228" s="20" t="s">
        <v>1085</v>
      </c>
      <c r="C228" s="20">
        <v>30.42</v>
      </c>
      <c r="D228">
        <f t="shared" si="3"/>
        <v>1</v>
      </c>
    </row>
    <row r="229" spans="1:4" x14ac:dyDescent="0.25">
      <c r="A229" s="20" t="s">
        <v>664</v>
      </c>
      <c r="B229" s="20" t="s">
        <v>1020</v>
      </c>
      <c r="C229" s="20">
        <v>20.399999999999999</v>
      </c>
      <c r="D229">
        <f t="shared" si="3"/>
        <v>1</v>
      </c>
    </row>
    <row r="230" spans="1:4" x14ac:dyDescent="0.25">
      <c r="A230" s="20" t="s">
        <v>664</v>
      </c>
      <c r="B230" s="20" t="s">
        <v>1022</v>
      </c>
      <c r="C230" s="20">
        <v>25.9</v>
      </c>
      <c r="D230">
        <f t="shared" si="3"/>
        <v>1</v>
      </c>
    </row>
    <row r="231" spans="1:4" x14ac:dyDescent="0.25">
      <c r="A231" s="20" t="s">
        <v>664</v>
      </c>
      <c r="B231" s="20" t="s">
        <v>1106</v>
      </c>
      <c r="C231" s="20">
        <v>22.24</v>
      </c>
      <c r="D231">
        <f t="shared" si="3"/>
        <v>1</v>
      </c>
    </row>
    <row r="232" spans="1:4" x14ac:dyDescent="0.25">
      <c r="A232" s="20" t="s">
        <v>664</v>
      </c>
      <c r="B232" s="20" t="s">
        <v>1083</v>
      </c>
      <c r="C232" s="20">
        <v>22.24</v>
      </c>
      <c r="D232">
        <f t="shared" si="3"/>
        <v>1</v>
      </c>
    </row>
    <row r="233" spans="1:4" x14ac:dyDescent="0.25">
      <c r="A233" s="20" t="s">
        <v>664</v>
      </c>
      <c r="B233" s="20" t="s">
        <v>1108</v>
      </c>
      <c r="C233" s="20">
        <v>22.24</v>
      </c>
      <c r="D233">
        <f t="shared" si="3"/>
        <v>1</v>
      </c>
    </row>
    <row r="234" spans="1:4" x14ac:dyDescent="0.25">
      <c r="A234" s="20" t="s">
        <v>664</v>
      </c>
      <c r="B234" s="20" t="s">
        <v>1087</v>
      </c>
      <c r="C234" s="20">
        <v>22.24</v>
      </c>
      <c r="D234">
        <f t="shared" si="3"/>
        <v>1</v>
      </c>
    </row>
    <row r="235" spans="1:4" x14ac:dyDescent="0.25">
      <c r="A235" s="20" t="s">
        <v>664</v>
      </c>
      <c r="B235" s="20" t="s">
        <v>1121</v>
      </c>
      <c r="C235" s="20">
        <v>22.24</v>
      </c>
      <c r="D235">
        <f t="shared" si="3"/>
        <v>1</v>
      </c>
    </row>
    <row r="236" spans="1:4" x14ac:dyDescent="0.25">
      <c r="A236" s="20" t="s">
        <v>664</v>
      </c>
      <c r="B236" s="20" t="s">
        <v>1186</v>
      </c>
      <c r="C236" s="20">
        <v>22.24</v>
      </c>
      <c r="D236">
        <f t="shared" si="3"/>
        <v>1</v>
      </c>
    </row>
    <row r="237" spans="1:4" x14ac:dyDescent="0.25">
      <c r="A237" s="20" t="s">
        <v>664</v>
      </c>
      <c r="B237" s="20" t="s">
        <v>1018</v>
      </c>
      <c r="C237" s="20">
        <v>19.2</v>
      </c>
      <c r="D237">
        <f t="shared" si="3"/>
        <v>1</v>
      </c>
    </row>
    <row r="238" spans="1:4" x14ac:dyDescent="0.25">
      <c r="A238" s="20" t="s">
        <v>664</v>
      </c>
      <c r="B238" s="20" t="s">
        <v>1168</v>
      </c>
      <c r="C238" s="20">
        <v>30.42</v>
      </c>
      <c r="D238">
        <f t="shared" si="3"/>
        <v>1</v>
      </c>
    </row>
    <row r="239" spans="1:4" x14ac:dyDescent="0.25">
      <c r="A239" s="20" t="s">
        <v>18</v>
      </c>
      <c r="B239" s="20" t="s">
        <v>42</v>
      </c>
      <c r="C239" s="20">
        <v>109</v>
      </c>
      <c r="D239">
        <f t="shared" si="3"/>
        <v>2</v>
      </c>
    </row>
    <row r="240" spans="1:4" x14ac:dyDescent="0.25">
      <c r="A240" s="20" t="s">
        <v>18</v>
      </c>
      <c r="B240" s="20" t="s">
        <v>114</v>
      </c>
      <c r="C240" s="20">
        <v>41</v>
      </c>
      <c r="D240">
        <f t="shared" si="3"/>
        <v>2</v>
      </c>
    </row>
    <row r="241" spans="1:4" x14ac:dyDescent="0.25">
      <c r="A241" s="20" t="s">
        <v>18</v>
      </c>
      <c r="B241" s="20" t="s">
        <v>114</v>
      </c>
      <c r="C241" s="20">
        <v>45</v>
      </c>
      <c r="D241">
        <f t="shared" si="3"/>
        <v>2</v>
      </c>
    </row>
    <row r="242" spans="1:4" x14ac:dyDescent="0.25">
      <c r="A242" s="20" t="s">
        <v>18</v>
      </c>
      <c r="B242" s="20" t="s">
        <v>23</v>
      </c>
      <c r="C242" s="20">
        <v>48</v>
      </c>
      <c r="D242">
        <f t="shared" si="3"/>
        <v>2</v>
      </c>
    </row>
    <row r="243" spans="1:4" x14ac:dyDescent="0.25">
      <c r="A243" s="20" t="s">
        <v>18</v>
      </c>
      <c r="B243" s="20" t="s">
        <v>23</v>
      </c>
      <c r="C243" s="20">
        <v>52.9</v>
      </c>
      <c r="D243">
        <f t="shared" si="3"/>
        <v>2</v>
      </c>
    </row>
    <row r="244" spans="1:4" x14ac:dyDescent="0.25">
      <c r="A244" s="20" t="s">
        <v>18</v>
      </c>
      <c r="B244" s="20" t="s">
        <v>108</v>
      </c>
      <c r="C244" s="20">
        <v>35.5</v>
      </c>
      <c r="D244">
        <f t="shared" si="3"/>
        <v>2</v>
      </c>
    </row>
    <row r="245" spans="1:4" x14ac:dyDescent="0.25">
      <c r="A245" s="20" t="s">
        <v>18</v>
      </c>
      <c r="B245" s="20" t="s">
        <v>108</v>
      </c>
      <c r="C245" s="20">
        <v>41.9</v>
      </c>
      <c r="D245">
        <f t="shared" si="3"/>
        <v>2</v>
      </c>
    </row>
    <row r="246" spans="1:4" x14ac:dyDescent="0.25">
      <c r="A246" s="20" t="s">
        <v>18</v>
      </c>
      <c r="B246" s="20" t="s">
        <v>21</v>
      </c>
      <c r="C246" s="20">
        <v>54</v>
      </c>
      <c r="D246">
        <f t="shared" si="3"/>
        <v>2</v>
      </c>
    </row>
    <row r="247" spans="1:4" x14ac:dyDescent="0.25">
      <c r="A247" s="20" t="s">
        <v>18</v>
      </c>
      <c r="B247" s="20" t="s">
        <v>21</v>
      </c>
      <c r="C247" s="20">
        <v>59.9</v>
      </c>
      <c r="D247">
        <f t="shared" si="3"/>
        <v>2</v>
      </c>
    </row>
    <row r="248" spans="1:4" x14ac:dyDescent="0.25">
      <c r="A248" s="20" t="s">
        <v>18</v>
      </c>
      <c r="B248" s="20" t="s">
        <v>175</v>
      </c>
      <c r="C248" s="20">
        <v>21.5</v>
      </c>
      <c r="D248">
        <f t="shared" si="3"/>
        <v>2</v>
      </c>
    </row>
    <row r="249" spans="1:4" x14ac:dyDescent="0.25">
      <c r="A249" s="20" t="s">
        <v>18</v>
      </c>
      <c r="B249" s="20" t="s">
        <v>40</v>
      </c>
      <c r="C249" s="20">
        <v>4</v>
      </c>
      <c r="D249">
        <f t="shared" si="3"/>
        <v>2</v>
      </c>
    </row>
    <row r="250" spans="1:4" x14ac:dyDescent="0.25">
      <c r="A250" s="20" t="s">
        <v>18</v>
      </c>
      <c r="B250" s="20" t="s">
        <v>40</v>
      </c>
      <c r="C250" s="20">
        <v>30</v>
      </c>
      <c r="D250">
        <f t="shared" si="3"/>
        <v>2</v>
      </c>
    </row>
    <row r="251" spans="1:4" x14ac:dyDescent="0.25">
      <c r="A251" s="20" t="s">
        <v>18</v>
      </c>
      <c r="B251" s="20" t="s">
        <v>60</v>
      </c>
      <c r="C251" s="20">
        <v>56</v>
      </c>
      <c r="D251">
        <f t="shared" si="3"/>
        <v>2</v>
      </c>
    </row>
    <row r="252" spans="1:4" x14ac:dyDescent="0.25">
      <c r="A252" s="20" t="s">
        <v>18</v>
      </c>
      <c r="B252" s="20" t="s">
        <v>60</v>
      </c>
      <c r="C252" s="20">
        <v>61.6</v>
      </c>
      <c r="D252">
        <f t="shared" si="3"/>
        <v>2</v>
      </c>
    </row>
    <row r="253" spans="1:4" x14ac:dyDescent="0.25">
      <c r="A253" s="20" t="s">
        <v>18</v>
      </c>
      <c r="B253" s="20" t="s">
        <v>84</v>
      </c>
      <c r="C253" s="20">
        <v>50.4</v>
      </c>
      <c r="D253">
        <f t="shared" si="3"/>
        <v>2</v>
      </c>
    </row>
    <row r="254" spans="1:4" x14ac:dyDescent="0.25">
      <c r="A254" s="20" t="s">
        <v>18</v>
      </c>
      <c r="B254" s="20" t="s">
        <v>74</v>
      </c>
      <c r="C254" s="20">
        <v>55</v>
      </c>
      <c r="D254">
        <f t="shared" si="3"/>
        <v>2</v>
      </c>
    </row>
    <row r="255" spans="1:4" x14ac:dyDescent="0.25">
      <c r="A255" s="20" t="s">
        <v>18</v>
      </c>
      <c r="B255" s="20" t="s">
        <v>74</v>
      </c>
      <c r="C255" s="20">
        <v>60.5</v>
      </c>
      <c r="D255">
        <f t="shared" si="3"/>
        <v>2</v>
      </c>
    </row>
    <row r="256" spans="1:4" x14ac:dyDescent="0.25">
      <c r="A256" s="20" t="s">
        <v>18</v>
      </c>
      <c r="B256" s="20" t="s">
        <v>96</v>
      </c>
      <c r="C256" s="20">
        <v>25.9</v>
      </c>
      <c r="D256">
        <f t="shared" si="3"/>
        <v>2</v>
      </c>
    </row>
    <row r="257" spans="1:4" x14ac:dyDescent="0.25">
      <c r="A257" s="20" t="s">
        <v>18</v>
      </c>
      <c r="B257" s="20" t="s">
        <v>96</v>
      </c>
      <c r="C257" s="20">
        <v>29.9</v>
      </c>
      <c r="D257">
        <f t="shared" si="3"/>
        <v>2</v>
      </c>
    </row>
    <row r="258" spans="1:4" x14ac:dyDescent="0.25">
      <c r="A258" s="20" t="s">
        <v>18</v>
      </c>
      <c r="B258" s="20" t="s">
        <v>116</v>
      </c>
      <c r="C258" s="20">
        <v>19.690000000000001</v>
      </c>
      <c r="D258">
        <f t="shared" ref="D258:D321" si="4">COUNTIF($B$2:$B$746,B258)</f>
        <v>2</v>
      </c>
    </row>
    <row r="259" spans="1:4" x14ac:dyDescent="0.25">
      <c r="A259" s="20" t="s">
        <v>18</v>
      </c>
      <c r="B259" s="20" t="s">
        <v>116</v>
      </c>
      <c r="C259" s="20">
        <v>21.9</v>
      </c>
      <c r="D259">
        <f t="shared" si="4"/>
        <v>2</v>
      </c>
    </row>
    <row r="260" spans="1:4" x14ac:dyDescent="0.25">
      <c r="A260" s="20" t="s">
        <v>18</v>
      </c>
      <c r="B260" s="20" t="s">
        <v>118</v>
      </c>
      <c r="C260" s="20">
        <v>23.63</v>
      </c>
      <c r="D260">
        <f t="shared" si="4"/>
        <v>2</v>
      </c>
    </row>
    <row r="261" spans="1:4" x14ac:dyDescent="0.25">
      <c r="A261" s="20" t="s">
        <v>18</v>
      </c>
      <c r="B261" s="20" t="s">
        <v>118</v>
      </c>
      <c r="C261" s="20">
        <v>25.9</v>
      </c>
      <c r="D261">
        <f t="shared" si="4"/>
        <v>2</v>
      </c>
    </row>
    <row r="262" spans="1:4" x14ac:dyDescent="0.25">
      <c r="A262" s="20" t="s">
        <v>18</v>
      </c>
      <c r="B262" s="20" t="s">
        <v>124</v>
      </c>
      <c r="C262" s="20">
        <v>42.08</v>
      </c>
      <c r="D262">
        <f t="shared" si="4"/>
        <v>2</v>
      </c>
    </row>
    <row r="263" spans="1:4" x14ac:dyDescent="0.25">
      <c r="A263" s="20" t="s">
        <v>18</v>
      </c>
      <c r="B263" s="20" t="s">
        <v>124</v>
      </c>
      <c r="C263" s="20">
        <v>46.5</v>
      </c>
      <c r="D263">
        <f t="shared" si="4"/>
        <v>2</v>
      </c>
    </row>
    <row r="264" spans="1:4" x14ac:dyDescent="0.25">
      <c r="A264" s="20" t="s">
        <v>18</v>
      </c>
      <c r="B264" s="20" t="s">
        <v>132</v>
      </c>
      <c r="C264" s="20">
        <v>34.4</v>
      </c>
      <c r="D264">
        <f t="shared" si="4"/>
        <v>2</v>
      </c>
    </row>
    <row r="265" spans="1:4" x14ac:dyDescent="0.25">
      <c r="A265" s="20" t="s">
        <v>18</v>
      </c>
      <c r="B265" s="20" t="s">
        <v>76</v>
      </c>
      <c r="C265" s="20">
        <v>40</v>
      </c>
      <c r="D265">
        <f t="shared" si="4"/>
        <v>2</v>
      </c>
    </row>
    <row r="266" spans="1:4" x14ac:dyDescent="0.25">
      <c r="A266" s="20" t="s">
        <v>18</v>
      </c>
      <c r="B266" s="20" t="s">
        <v>76</v>
      </c>
      <c r="C266" s="20">
        <v>44</v>
      </c>
      <c r="D266">
        <f t="shared" si="4"/>
        <v>2</v>
      </c>
    </row>
    <row r="267" spans="1:4" x14ac:dyDescent="0.25">
      <c r="A267" s="20" t="s">
        <v>201</v>
      </c>
      <c r="B267" s="20" t="s">
        <v>211</v>
      </c>
      <c r="C267" s="20">
        <v>11.94</v>
      </c>
      <c r="D267">
        <f t="shared" si="4"/>
        <v>2</v>
      </c>
    </row>
    <row r="268" spans="1:4" x14ac:dyDescent="0.25">
      <c r="A268" s="20" t="s">
        <v>201</v>
      </c>
      <c r="B268" s="20" t="s">
        <v>211</v>
      </c>
      <c r="C268" s="20">
        <v>12.44</v>
      </c>
      <c r="D268">
        <f t="shared" si="4"/>
        <v>2</v>
      </c>
    </row>
    <row r="269" spans="1:4" x14ac:dyDescent="0.25">
      <c r="A269" s="20" t="s">
        <v>201</v>
      </c>
      <c r="B269" s="20" t="s">
        <v>203</v>
      </c>
      <c r="C269" s="20">
        <v>12.73</v>
      </c>
      <c r="D269">
        <f t="shared" si="4"/>
        <v>2</v>
      </c>
    </row>
    <row r="270" spans="1:4" x14ac:dyDescent="0.25">
      <c r="A270" s="20" t="s">
        <v>201</v>
      </c>
      <c r="B270" s="20" t="s">
        <v>203</v>
      </c>
      <c r="C270" s="20">
        <v>13.28</v>
      </c>
      <c r="D270">
        <f t="shared" si="4"/>
        <v>2</v>
      </c>
    </row>
    <row r="271" spans="1:4" x14ac:dyDescent="0.25">
      <c r="A271" s="20" t="s">
        <v>201</v>
      </c>
      <c r="B271" s="20" t="s">
        <v>209</v>
      </c>
      <c r="C271" s="20">
        <v>4.9850000000000003</v>
      </c>
      <c r="D271">
        <f t="shared" si="4"/>
        <v>2</v>
      </c>
    </row>
    <row r="272" spans="1:4" x14ac:dyDescent="0.25">
      <c r="A272" s="20" t="s">
        <v>201</v>
      </c>
      <c r="B272" s="20" t="s">
        <v>209</v>
      </c>
      <c r="C272" s="20">
        <v>5.2350000000000003</v>
      </c>
      <c r="D272">
        <f t="shared" si="4"/>
        <v>2</v>
      </c>
    </row>
    <row r="273" spans="1:4" x14ac:dyDescent="0.25">
      <c r="A273" s="20" t="s">
        <v>201</v>
      </c>
      <c r="B273" s="20" t="s">
        <v>207</v>
      </c>
      <c r="C273" s="20">
        <v>22.5</v>
      </c>
      <c r="D273">
        <f t="shared" si="4"/>
        <v>2</v>
      </c>
    </row>
    <row r="274" spans="1:4" x14ac:dyDescent="0.25">
      <c r="A274" s="20" t="s">
        <v>201</v>
      </c>
      <c r="B274" s="20" t="s">
        <v>207</v>
      </c>
      <c r="C274" s="20">
        <v>24.25</v>
      </c>
      <c r="D274">
        <f t="shared" si="4"/>
        <v>2</v>
      </c>
    </row>
    <row r="275" spans="1:4" x14ac:dyDescent="0.25">
      <c r="A275" s="20" t="s">
        <v>272</v>
      </c>
      <c r="B275" s="20" t="s">
        <v>569</v>
      </c>
      <c r="C275" s="20">
        <v>40</v>
      </c>
      <c r="D275">
        <f t="shared" si="4"/>
        <v>2</v>
      </c>
    </row>
    <row r="276" spans="1:4" x14ac:dyDescent="0.25">
      <c r="A276" s="20" t="s">
        <v>272</v>
      </c>
      <c r="B276" s="20" t="s">
        <v>569</v>
      </c>
      <c r="C276" s="20">
        <v>180</v>
      </c>
      <c r="D276">
        <f t="shared" si="4"/>
        <v>2</v>
      </c>
    </row>
    <row r="277" spans="1:4" x14ac:dyDescent="0.25">
      <c r="A277" s="20" t="s">
        <v>272</v>
      </c>
      <c r="B277" s="20" t="s">
        <v>175</v>
      </c>
      <c r="C277" s="20">
        <v>27</v>
      </c>
      <c r="D277">
        <f t="shared" si="4"/>
        <v>2</v>
      </c>
    </row>
    <row r="278" spans="1:4" x14ac:dyDescent="0.25">
      <c r="A278" s="20" t="s">
        <v>272</v>
      </c>
      <c r="B278" s="20" t="s">
        <v>496</v>
      </c>
      <c r="C278" s="20">
        <v>19.8</v>
      </c>
      <c r="D278">
        <f t="shared" si="4"/>
        <v>2</v>
      </c>
    </row>
    <row r="279" spans="1:4" x14ac:dyDescent="0.25">
      <c r="A279" s="20" t="s">
        <v>272</v>
      </c>
      <c r="B279" s="20" t="s">
        <v>496</v>
      </c>
      <c r="C279" s="20">
        <v>22</v>
      </c>
      <c r="D279">
        <f t="shared" si="4"/>
        <v>2</v>
      </c>
    </row>
    <row r="280" spans="1:4" x14ac:dyDescent="0.25">
      <c r="A280" s="20" t="s">
        <v>272</v>
      </c>
      <c r="B280" s="20" t="s">
        <v>424</v>
      </c>
      <c r="C280" s="20">
        <v>13.95</v>
      </c>
      <c r="D280">
        <f t="shared" si="4"/>
        <v>2</v>
      </c>
    </row>
    <row r="281" spans="1:4" x14ac:dyDescent="0.25">
      <c r="A281" s="20" t="s">
        <v>272</v>
      </c>
      <c r="B281" s="20" t="s">
        <v>424</v>
      </c>
      <c r="C281" s="20">
        <v>15.5</v>
      </c>
      <c r="D281">
        <f t="shared" si="4"/>
        <v>2</v>
      </c>
    </row>
    <row r="282" spans="1:4" x14ac:dyDescent="0.25">
      <c r="A282" s="20" t="s">
        <v>272</v>
      </c>
      <c r="B282" s="20" t="s">
        <v>380</v>
      </c>
      <c r="C282" s="20">
        <v>54</v>
      </c>
      <c r="D282">
        <f t="shared" si="4"/>
        <v>2</v>
      </c>
    </row>
    <row r="283" spans="1:4" x14ac:dyDescent="0.25">
      <c r="A283" s="20" t="s">
        <v>272</v>
      </c>
      <c r="B283" s="20" t="s">
        <v>380</v>
      </c>
      <c r="C283" s="20">
        <v>61</v>
      </c>
      <c r="D283">
        <f t="shared" si="4"/>
        <v>2</v>
      </c>
    </row>
    <row r="284" spans="1:4" x14ac:dyDescent="0.25">
      <c r="A284" s="20" t="s">
        <v>272</v>
      </c>
      <c r="B284" s="20" t="s">
        <v>502</v>
      </c>
      <c r="C284" s="20">
        <v>19.8</v>
      </c>
      <c r="D284">
        <f t="shared" si="4"/>
        <v>2</v>
      </c>
    </row>
    <row r="285" spans="1:4" x14ac:dyDescent="0.25">
      <c r="A285" s="20" t="s">
        <v>272</v>
      </c>
      <c r="B285" s="20" t="s">
        <v>502</v>
      </c>
      <c r="C285" s="20">
        <v>22</v>
      </c>
      <c r="D285">
        <f t="shared" si="4"/>
        <v>2</v>
      </c>
    </row>
    <row r="286" spans="1:4" x14ac:dyDescent="0.25">
      <c r="A286" s="20" t="s">
        <v>272</v>
      </c>
      <c r="B286" s="20" t="s">
        <v>504</v>
      </c>
      <c r="C286" s="20">
        <v>19.8</v>
      </c>
      <c r="D286">
        <f t="shared" si="4"/>
        <v>2</v>
      </c>
    </row>
    <row r="287" spans="1:4" x14ac:dyDescent="0.25">
      <c r="A287" s="20" t="s">
        <v>272</v>
      </c>
      <c r="B287" s="20" t="s">
        <v>504</v>
      </c>
      <c r="C287" s="20">
        <v>22</v>
      </c>
      <c r="D287">
        <f t="shared" si="4"/>
        <v>2</v>
      </c>
    </row>
    <row r="288" spans="1:4" x14ac:dyDescent="0.25">
      <c r="A288" s="20" t="s">
        <v>272</v>
      </c>
      <c r="B288" s="20" t="s">
        <v>360</v>
      </c>
      <c r="C288" s="20">
        <v>15.3</v>
      </c>
      <c r="D288">
        <f t="shared" si="4"/>
        <v>2</v>
      </c>
    </row>
    <row r="289" spans="1:4" x14ac:dyDescent="0.25">
      <c r="A289" s="20" t="s">
        <v>272</v>
      </c>
      <c r="B289" s="20" t="s">
        <v>360</v>
      </c>
      <c r="C289" s="20">
        <v>17</v>
      </c>
      <c r="D289">
        <f t="shared" si="4"/>
        <v>2</v>
      </c>
    </row>
    <row r="290" spans="1:4" x14ac:dyDescent="0.25">
      <c r="A290" s="20" t="s">
        <v>272</v>
      </c>
      <c r="B290" s="20" t="s">
        <v>358</v>
      </c>
      <c r="C290" s="20">
        <v>15.3</v>
      </c>
      <c r="D290">
        <f t="shared" si="4"/>
        <v>2</v>
      </c>
    </row>
    <row r="291" spans="1:4" x14ac:dyDescent="0.25">
      <c r="A291" s="20" t="s">
        <v>272</v>
      </c>
      <c r="B291" s="20" t="s">
        <v>358</v>
      </c>
      <c r="C291" s="20">
        <v>17</v>
      </c>
      <c r="D291">
        <f t="shared" si="4"/>
        <v>2</v>
      </c>
    </row>
    <row r="292" spans="1:4" x14ac:dyDescent="0.25">
      <c r="A292" s="20" t="s">
        <v>272</v>
      </c>
      <c r="B292" s="20" t="s">
        <v>362</v>
      </c>
      <c r="C292" s="20">
        <v>15.3</v>
      </c>
      <c r="D292">
        <f t="shared" si="4"/>
        <v>2</v>
      </c>
    </row>
    <row r="293" spans="1:4" x14ac:dyDescent="0.25">
      <c r="A293" s="20" t="s">
        <v>272</v>
      </c>
      <c r="B293" s="20" t="s">
        <v>362</v>
      </c>
      <c r="C293" s="20">
        <v>17</v>
      </c>
      <c r="D293">
        <f t="shared" si="4"/>
        <v>2</v>
      </c>
    </row>
    <row r="294" spans="1:4" x14ac:dyDescent="0.25">
      <c r="A294" s="20" t="s">
        <v>272</v>
      </c>
      <c r="B294" s="20" t="s">
        <v>440</v>
      </c>
      <c r="C294" s="20">
        <v>8.1</v>
      </c>
      <c r="D294">
        <f t="shared" si="4"/>
        <v>2</v>
      </c>
    </row>
    <row r="295" spans="1:4" x14ac:dyDescent="0.25">
      <c r="A295" s="20" t="s">
        <v>272</v>
      </c>
      <c r="B295" s="20" t="s">
        <v>440</v>
      </c>
      <c r="C295" s="20">
        <v>9</v>
      </c>
      <c r="D295">
        <f t="shared" si="4"/>
        <v>2</v>
      </c>
    </row>
    <row r="296" spans="1:4" x14ac:dyDescent="0.25">
      <c r="A296" s="20" t="s">
        <v>272</v>
      </c>
      <c r="B296" s="20" t="s">
        <v>587</v>
      </c>
      <c r="C296" s="20">
        <v>10.125</v>
      </c>
      <c r="D296">
        <f t="shared" si="4"/>
        <v>2</v>
      </c>
    </row>
    <row r="297" spans="1:4" x14ac:dyDescent="0.25">
      <c r="A297" s="20" t="s">
        <v>272</v>
      </c>
      <c r="B297" s="20" t="s">
        <v>587</v>
      </c>
      <c r="C297" s="20">
        <v>11.25</v>
      </c>
      <c r="D297">
        <f t="shared" si="4"/>
        <v>2</v>
      </c>
    </row>
    <row r="298" spans="1:4" x14ac:dyDescent="0.25">
      <c r="A298" s="20" t="s">
        <v>272</v>
      </c>
      <c r="B298" s="20" t="s">
        <v>381</v>
      </c>
      <c r="C298" s="20">
        <v>115</v>
      </c>
      <c r="D298">
        <f t="shared" si="4"/>
        <v>2</v>
      </c>
    </row>
    <row r="299" spans="1:4" x14ac:dyDescent="0.25">
      <c r="A299" s="20" t="s">
        <v>272</v>
      </c>
      <c r="B299" s="20" t="s">
        <v>381</v>
      </c>
      <c r="C299" s="20">
        <v>125</v>
      </c>
      <c r="D299">
        <f t="shared" si="4"/>
        <v>2</v>
      </c>
    </row>
    <row r="300" spans="1:4" x14ac:dyDescent="0.25">
      <c r="A300" s="20" t="s">
        <v>272</v>
      </c>
      <c r="B300" s="20" t="s">
        <v>412</v>
      </c>
      <c r="C300" s="20">
        <v>36</v>
      </c>
      <c r="D300">
        <f t="shared" si="4"/>
        <v>2</v>
      </c>
    </row>
    <row r="301" spans="1:4" x14ac:dyDescent="0.25">
      <c r="A301" s="20" t="s">
        <v>272</v>
      </c>
      <c r="B301" s="20" t="s">
        <v>412</v>
      </c>
      <c r="C301" s="20">
        <v>39</v>
      </c>
      <c r="D301">
        <f t="shared" si="4"/>
        <v>2</v>
      </c>
    </row>
    <row r="302" spans="1:4" x14ac:dyDescent="0.25">
      <c r="A302" s="20" t="s">
        <v>272</v>
      </c>
      <c r="B302" s="20" t="s">
        <v>390</v>
      </c>
      <c r="C302" s="20">
        <v>39</v>
      </c>
      <c r="D302">
        <f t="shared" si="4"/>
        <v>2</v>
      </c>
    </row>
    <row r="303" spans="1:4" x14ac:dyDescent="0.25">
      <c r="A303" s="20" t="s">
        <v>272</v>
      </c>
      <c r="B303" s="20" t="s">
        <v>390</v>
      </c>
      <c r="C303" s="20">
        <v>43</v>
      </c>
      <c r="D303">
        <f t="shared" si="4"/>
        <v>2</v>
      </c>
    </row>
    <row r="304" spans="1:4" x14ac:dyDescent="0.25">
      <c r="A304" s="20" t="s">
        <v>272</v>
      </c>
      <c r="B304" s="20" t="s">
        <v>304</v>
      </c>
      <c r="C304" s="20">
        <v>13</v>
      </c>
      <c r="D304">
        <f t="shared" si="4"/>
        <v>2</v>
      </c>
    </row>
    <row r="305" spans="1:4" x14ac:dyDescent="0.25">
      <c r="A305" s="20" t="s">
        <v>272</v>
      </c>
      <c r="B305" s="20" t="s">
        <v>304</v>
      </c>
      <c r="C305" s="20">
        <v>14</v>
      </c>
      <c r="D305">
        <f t="shared" si="4"/>
        <v>2</v>
      </c>
    </row>
    <row r="306" spans="1:4" x14ac:dyDescent="0.25">
      <c r="A306" s="20" t="s">
        <v>272</v>
      </c>
      <c r="B306" s="20" t="s">
        <v>384</v>
      </c>
      <c r="C306" s="20">
        <v>64.349999999999994</v>
      </c>
      <c r="D306">
        <f t="shared" si="4"/>
        <v>2</v>
      </c>
    </row>
    <row r="307" spans="1:4" x14ac:dyDescent="0.25">
      <c r="A307" s="20" t="s">
        <v>272</v>
      </c>
      <c r="B307" s="20" t="s">
        <v>384</v>
      </c>
      <c r="C307" s="20">
        <v>66</v>
      </c>
      <c r="D307">
        <f t="shared" si="4"/>
        <v>2</v>
      </c>
    </row>
    <row r="308" spans="1:4" x14ac:dyDescent="0.25">
      <c r="A308" s="20" t="s">
        <v>272</v>
      </c>
      <c r="B308" s="20" t="s">
        <v>473</v>
      </c>
      <c r="C308" s="20">
        <v>63.45</v>
      </c>
      <c r="D308">
        <f t="shared" si="4"/>
        <v>2</v>
      </c>
    </row>
    <row r="309" spans="1:4" x14ac:dyDescent="0.25">
      <c r="A309" s="20" t="s">
        <v>272</v>
      </c>
      <c r="B309" s="20" t="s">
        <v>473</v>
      </c>
      <c r="C309" s="20">
        <v>70.5</v>
      </c>
      <c r="D309">
        <f t="shared" si="4"/>
        <v>2</v>
      </c>
    </row>
    <row r="310" spans="1:4" x14ac:dyDescent="0.25">
      <c r="A310" s="20" t="s">
        <v>272</v>
      </c>
      <c r="B310" s="20" t="s">
        <v>284</v>
      </c>
      <c r="C310" s="20">
        <v>36</v>
      </c>
      <c r="D310">
        <f t="shared" si="4"/>
        <v>2</v>
      </c>
    </row>
    <row r="311" spans="1:4" x14ac:dyDescent="0.25">
      <c r="A311" s="20" t="s">
        <v>272</v>
      </c>
      <c r="B311" s="20" t="s">
        <v>284</v>
      </c>
      <c r="C311" s="20">
        <v>39</v>
      </c>
      <c r="D311">
        <f t="shared" si="4"/>
        <v>2</v>
      </c>
    </row>
    <row r="312" spans="1:4" x14ac:dyDescent="0.25">
      <c r="A312" s="20" t="s">
        <v>272</v>
      </c>
      <c r="B312" s="20" t="s">
        <v>306</v>
      </c>
      <c r="C312" s="20">
        <v>29.7</v>
      </c>
      <c r="D312">
        <f t="shared" si="4"/>
        <v>2</v>
      </c>
    </row>
    <row r="313" spans="1:4" x14ac:dyDescent="0.25">
      <c r="A313" s="20" t="s">
        <v>272</v>
      </c>
      <c r="B313" s="20" t="s">
        <v>306</v>
      </c>
      <c r="C313" s="20">
        <v>30</v>
      </c>
      <c r="D313">
        <f t="shared" si="4"/>
        <v>2</v>
      </c>
    </row>
    <row r="314" spans="1:4" x14ac:dyDescent="0.25">
      <c r="A314" s="20" t="s">
        <v>272</v>
      </c>
      <c r="B314" s="20" t="s">
        <v>276</v>
      </c>
      <c r="C314" s="20">
        <v>30</v>
      </c>
      <c r="D314">
        <f t="shared" si="4"/>
        <v>2</v>
      </c>
    </row>
    <row r="315" spans="1:4" x14ac:dyDescent="0.25">
      <c r="A315" s="20" t="s">
        <v>272</v>
      </c>
      <c r="B315" s="20" t="s">
        <v>276</v>
      </c>
      <c r="C315" s="20">
        <v>33</v>
      </c>
      <c r="D315">
        <f t="shared" si="4"/>
        <v>2</v>
      </c>
    </row>
    <row r="316" spans="1:4" x14ac:dyDescent="0.25">
      <c r="A316" s="20" t="s">
        <v>272</v>
      </c>
      <c r="B316" s="20" t="s">
        <v>578</v>
      </c>
      <c r="C316" s="20">
        <v>19.350000000000001</v>
      </c>
      <c r="D316">
        <f t="shared" si="4"/>
        <v>2</v>
      </c>
    </row>
    <row r="317" spans="1:4" x14ac:dyDescent="0.25">
      <c r="A317" s="20" t="s">
        <v>272</v>
      </c>
      <c r="B317" s="20" t="s">
        <v>578</v>
      </c>
      <c r="C317" s="20">
        <v>21.5</v>
      </c>
      <c r="D317">
        <f t="shared" si="4"/>
        <v>2</v>
      </c>
    </row>
    <row r="318" spans="1:4" x14ac:dyDescent="0.25">
      <c r="A318" s="20" t="s">
        <v>272</v>
      </c>
      <c r="B318" s="20" t="s">
        <v>580</v>
      </c>
      <c r="C318" s="20">
        <v>23.85</v>
      </c>
      <c r="D318">
        <f t="shared" si="4"/>
        <v>2</v>
      </c>
    </row>
    <row r="319" spans="1:4" x14ac:dyDescent="0.25">
      <c r="A319" s="20" t="s">
        <v>272</v>
      </c>
      <c r="B319" s="20" t="s">
        <v>580</v>
      </c>
      <c r="C319" s="20">
        <v>26.5</v>
      </c>
      <c r="D319">
        <f t="shared" si="4"/>
        <v>2</v>
      </c>
    </row>
    <row r="320" spans="1:4" x14ac:dyDescent="0.25">
      <c r="A320" s="20" t="s">
        <v>272</v>
      </c>
      <c r="B320" s="20" t="s">
        <v>308</v>
      </c>
      <c r="C320" s="20">
        <v>24.75</v>
      </c>
      <c r="D320">
        <f t="shared" si="4"/>
        <v>2</v>
      </c>
    </row>
    <row r="321" spans="1:4" x14ac:dyDescent="0.25">
      <c r="A321" s="20" t="s">
        <v>272</v>
      </c>
      <c r="B321" s="20" t="s">
        <v>308</v>
      </c>
      <c r="C321" s="20">
        <v>25</v>
      </c>
      <c r="D321">
        <f t="shared" si="4"/>
        <v>2</v>
      </c>
    </row>
    <row r="322" spans="1:4" x14ac:dyDescent="0.25">
      <c r="A322" s="20" t="s">
        <v>272</v>
      </c>
      <c r="B322" s="20" t="s">
        <v>492</v>
      </c>
      <c r="C322" s="20">
        <v>28.8</v>
      </c>
      <c r="D322">
        <f t="shared" ref="D322:D385" si="5">COUNTIF($B$2:$B$746,B322)</f>
        <v>2</v>
      </c>
    </row>
    <row r="323" spans="1:4" x14ac:dyDescent="0.25">
      <c r="A323" s="20" t="s">
        <v>272</v>
      </c>
      <c r="B323" s="20" t="s">
        <v>492</v>
      </c>
      <c r="C323" s="20">
        <v>32</v>
      </c>
      <c r="D323">
        <f t="shared" si="5"/>
        <v>2</v>
      </c>
    </row>
    <row r="324" spans="1:4" x14ac:dyDescent="0.25">
      <c r="A324" s="20" t="s">
        <v>272</v>
      </c>
      <c r="B324" s="20" t="s">
        <v>292</v>
      </c>
      <c r="C324" s="20">
        <v>27</v>
      </c>
      <c r="D324">
        <f t="shared" si="5"/>
        <v>2</v>
      </c>
    </row>
    <row r="325" spans="1:4" x14ac:dyDescent="0.25">
      <c r="A325" s="20" t="s">
        <v>272</v>
      </c>
      <c r="B325" s="20" t="s">
        <v>292</v>
      </c>
      <c r="C325" s="20">
        <v>28</v>
      </c>
      <c r="D325">
        <f t="shared" si="5"/>
        <v>2</v>
      </c>
    </row>
    <row r="326" spans="1:4" x14ac:dyDescent="0.25">
      <c r="A326" s="20" t="s">
        <v>272</v>
      </c>
      <c r="B326" s="20" t="s">
        <v>294</v>
      </c>
      <c r="C326" s="20">
        <v>30</v>
      </c>
      <c r="D326">
        <f t="shared" si="5"/>
        <v>2</v>
      </c>
    </row>
    <row r="327" spans="1:4" x14ac:dyDescent="0.25">
      <c r="A327" s="20" t="s">
        <v>272</v>
      </c>
      <c r="B327" s="20" t="s">
        <v>294</v>
      </c>
      <c r="C327" s="20">
        <v>36</v>
      </c>
      <c r="D327">
        <f t="shared" si="5"/>
        <v>2</v>
      </c>
    </row>
    <row r="328" spans="1:4" x14ac:dyDescent="0.25">
      <c r="A328" s="20" t="s">
        <v>272</v>
      </c>
      <c r="B328" s="20" t="s">
        <v>278</v>
      </c>
      <c r="C328" s="20">
        <v>36</v>
      </c>
      <c r="D328">
        <f t="shared" si="5"/>
        <v>2</v>
      </c>
    </row>
    <row r="329" spans="1:4" x14ac:dyDescent="0.25">
      <c r="A329" s="20" t="s">
        <v>272</v>
      </c>
      <c r="B329" s="20" t="s">
        <v>278</v>
      </c>
      <c r="C329" s="20">
        <v>40</v>
      </c>
      <c r="D329">
        <f t="shared" si="5"/>
        <v>2</v>
      </c>
    </row>
    <row r="330" spans="1:4" x14ac:dyDescent="0.25">
      <c r="A330" s="20" t="s">
        <v>272</v>
      </c>
      <c r="B330" s="20" t="s">
        <v>282</v>
      </c>
      <c r="C330" s="20">
        <v>60</v>
      </c>
      <c r="D330">
        <f t="shared" si="5"/>
        <v>2</v>
      </c>
    </row>
    <row r="331" spans="1:4" x14ac:dyDescent="0.25">
      <c r="A331" s="20" t="s">
        <v>272</v>
      </c>
      <c r="B331" s="20" t="s">
        <v>282</v>
      </c>
      <c r="C331" s="20">
        <v>66</v>
      </c>
      <c r="D331">
        <f t="shared" si="5"/>
        <v>2</v>
      </c>
    </row>
    <row r="332" spans="1:4" x14ac:dyDescent="0.25">
      <c r="A332" s="20" t="s">
        <v>272</v>
      </c>
      <c r="B332" s="20" t="s">
        <v>490</v>
      </c>
      <c r="C332" s="20">
        <v>16.2</v>
      </c>
      <c r="D332">
        <f t="shared" si="5"/>
        <v>2</v>
      </c>
    </row>
    <row r="333" spans="1:4" x14ac:dyDescent="0.25">
      <c r="A333" s="20" t="s">
        <v>272</v>
      </c>
      <c r="B333" s="20" t="s">
        <v>490</v>
      </c>
      <c r="C333" s="20">
        <v>18</v>
      </c>
      <c r="D333">
        <f t="shared" si="5"/>
        <v>2</v>
      </c>
    </row>
    <row r="334" spans="1:4" x14ac:dyDescent="0.25">
      <c r="A334" s="20" t="s">
        <v>272</v>
      </c>
      <c r="B334" s="20" t="s">
        <v>300</v>
      </c>
      <c r="C334" s="20">
        <v>19.8</v>
      </c>
      <c r="D334">
        <f t="shared" si="5"/>
        <v>2</v>
      </c>
    </row>
    <row r="335" spans="1:4" x14ac:dyDescent="0.25">
      <c r="A335" s="20" t="s">
        <v>272</v>
      </c>
      <c r="B335" s="20" t="s">
        <v>300</v>
      </c>
      <c r="C335" s="20">
        <v>21</v>
      </c>
      <c r="D335">
        <f t="shared" si="5"/>
        <v>2</v>
      </c>
    </row>
    <row r="336" spans="1:4" x14ac:dyDescent="0.25">
      <c r="A336" s="20" t="s">
        <v>272</v>
      </c>
      <c r="B336" s="20" t="s">
        <v>567</v>
      </c>
      <c r="C336" s="20">
        <v>4.95</v>
      </c>
      <c r="D336">
        <f t="shared" si="5"/>
        <v>2</v>
      </c>
    </row>
    <row r="337" spans="1:4" x14ac:dyDescent="0.25">
      <c r="A337" s="20" t="s">
        <v>272</v>
      </c>
      <c r="B337" s="20" t="s">
        <v>567</v>
      </c>
      <c r="C337" s="20">
        <v>5.5</v>
      </c>
      <c r="D337">
        <f t="shared" si="5"/>
        <v>2</v>
      </c>
    </row>
    <row r="338" spans="1:4" x14ac:dyDescent="0.25">
      <c r="A338" s="20" t="s">
        <v>272</v>
      </c>
      <c r="B338" s="20" t="s">
        <v>132</v>
      </c>
      <c r="C338" s="20">
        <v>40</v>
      </c>
      <c r="D338">
        <f t="shared" si="5"/>
        <v>2</v>
      </c>
    </row>
    <row r="339" spans="1:4" x14ac:dyDescent="0.25">
      <c r="A339" s="20" t="s">
        <v>272</v>
      </c>
      <c r="B339" s="20" t="s">
        <v>370</v>
      </c>
      <c r="C339" s="20">
        <v>7.2</v>
      </c>
      <c r="D339">
        <f t="shared" si="5"/>
        <v>2</v>
      </c>
    </row>
    <row r="340" spans="1:4" x14ac:dyDescent="0.25">
      <c r="A340" s="20" t="s">
        <v>272</v>
      </c>
      <c r="B340" s="20" t="s">
        <v>370</v>
      </c>
      <c r="C340" s="20">
        <v>8</v>
      </c>
      <c r="D340">
        <f t="shared" si="5"/>
        <v>2</v>
      </c>
    </row>
    <row r="341" spans="1:4" x14ac:dyDescent="0.25">
      <c r="A341" s="20" t="s">
        <v>272</v>
      </c>
      <c r="B341" s="20" t="s">
        <v>426</v>
      </c>
      <c r="C341" s="20">
        <v>13.5</v>
      </c>
      <c r="D341">
        <f t="shared" si="5"/>
        <v>2</v>
      </c>
    </row>
    <row r="342" spans="1:4" x14ac:dyDescent="0.25">
      <c r="A342" s="20" t="s">
        <v>272</v>
      </c>
      <c r="B342" s="20" t="s">
        <v>426</v>
      </c>
      <c r="C342" s="20">
        <v>15</v>
      </c>
      <c r="D342">
        <f t="shared" si="5"/>
        <v>2</v>
      </c>
    </row>
    <row r="343" spans="1:4" x14ac:dyDescent="0.25">
      <c r="A343" s="20" t="s">
        <v>272</v>
      </c>
      <c r="B343" s="20" t="s">
        <v>356</v>
      </c>
      <c r="C343" s="20">
        <v>16</v>
      </c>
      <c r="D343">
        <f t="shared" si="5"/>
        <v>2</v>
      </c>
    </row>
    <row r="344" spans="1:4" x14ac:dyDescent="0.25">
      <c r="A344" s="20" t="s">
        <v>272</v>
      </c>
      <c r="B344" s="20" t="s">
        <v>356</v>
      </c>
      <c r="C344" s="20">
        <v>17</v>
      </c>
      <c r="D344">
        <f t="shared" si="5"/>
        <v>2</v>
      </c>
    </row>
    <row r="345" spans="1:4" x14ac:dyDescent="0.25">
      <c r="A345" s="20" t="s">
        <v>272</v>
      </c>
      <c r="B345" s="20" t="s">
        <v>555</v>
      </c>
      <c r="C345" s="20">
        <v>19.8</v>
      </c>
      <c r="D345">
        <f t="shared" si="5"/>
        <v>2</v>
      </c>
    </row>
    <row r="346" spans="1:4" x14ac:dyDescent="0.25">
      <c r="A346" s="20" t="s">
        <v>272</v>
      </c>
      <c r="B346" s="20" t="s">
        <v>555</v>
      </c>
      <c r="C346" s="20">
        <v>22</v>
      </c>
      <c r="D346">
        <f t="shared" si="5"/>
        <v>2</v>
      </c>
    </row>
    <row r="347" spans="1:4" x14ac:dyDescent="0.25">
      <c r="A347" s="20" t="s">
        <v>664</v>
      </c>
      <c r="B347" s="20" t="s">
        <v>42</v>
      </c>
      <c r="C347" s="20">
        <v>85</v>
      </c>
      <c r="D347">
        <f t="shared" si="5"/>
        <v>2</v>
      </c>
    </row>
    <row r="348" spans="1:4" x14ac:dyDescent="0.25">
      <c r="A348" s="20" t="s">
        <v>664</v>
      </c>
      <c r="B348" s="20" t="s">
        <v>851</v>
      </c>
      <c r="C348" s="20">
        <v>71</v>
      </c>
      <c r="D348">
        <f t="shared" si="5"/>
        <v>2</v>
      </c>
    </row>
    <row r="349" spans="1:4" x14ac:dyDescent="0.25">
      <c r="A349" s="20" t="s">
        <v>664</v>
      </c>
      <c r="B349" s="20" t="s">
        <v>851</v>
      </c>
      <c r="C349" s="20">
        <v>75.97</v>
      </c>
      <c r="D349">
        <f t="shared" si="5"/>
        <v>2</v>
      </c>
    </row>
    <row r="350" spans="1:4" x14ac:dyDescent="0.25">
      <c r="A350" s="20" t="s">
        <v>664</v>
      </c>
      <c r="B350" s="20" t="s">
        <v>807</v>
      </c>
      <c r="C350" s="20">
        <v>20</v>
      </c>
      <c r="D350">
        <f t="shared" si="5"/>
        <v>2</v>
      </c>
    </row>
    <row r="351" spans="1:4" x14ac:dyDescent="0.25">
      <c r="A351" s="20" t="s">
        <v>664</v>
      </c>
      <c r="B351" s="20" t="s">
        <v>807</v>
      </c>
      <c r="C351" s="20">
        <v>21.4</v>
      </c>
      <c r="D351">
        <f t="shared" si="5"/>
        <v>2</v>
      </c>
    </row>
    <row r="352" spans="1:4" x14ac:dyDescent="0.25">
      <c r="A352" s="20" t="s">
        <v>664</v>
      </c>
      <c r="B352" s="20" t="s">
        <v>876</v>
      </c>
      <c r="C352" s="20">
        <v>36.880000000000003</v>
      </c>
      <c r="D352">
        <f t="shared" si="5"/>
        <v>2</v>
      </c>
    </row>
    <row r="353" spans="1:4" x14ac:dyDescent="0.25">
      <c r="A353" s="20" t="s">
        <v>664</v>
      </c>
      <c r="B353" s="20" t="s">
        <v>876</v>
      </c>
      <c r="C353" s="20">
        <v>39.46</v>
      </c>
      <c r="D353">
        <f t="shared" si="5"/>
        <v>2</v>
      </c>
    </row>
    <row r="354" spans="1:4" x14ac:dyDescent="0.25">
      <c r="A354" s="20" t="s">
        <v>664</v>
      </c>
      <c r="B354" s="20" t="s">
        <v>874</v>
      </c>
      <c r="C354" s="20">
        <v>36.880000000000003</v>
      </c>
      <c r="D354">
        <f t="shared" si="5"/>
        <v>2</v>
      </c>
    </row>
    <row r="355" spans="1:4" x14ac:dyDescent="0.25">
      <c r="A355" s="20" t="s">
        <v>664</v>
      </c>
      <c r="B355" s="20" t="s">
        <v>874</v>
      </c>
      <c r="C355" s="20">
        <v>39.46</v>
      </c>
      <c r="D355">
        <f t="shared" si="5"/>
        <v>2</v>
      </c>
    </row>
    <row r="356" spans="1:4" x14ac:dyDescent="0.25">
      <c r="A356" s="20" t="s">
        <v>664</v>
      </c>
      <c r="B356" s="20" t="s">
        <v>84</v>
      </c>
      <c r="C356" s="20">
        <v>46.44</v>
      </c>
      <c r="D356">
        <f t="shared" si="5"/>
        <v>2</v>
      </c>
    </row>
    <row r="357" spans="1:4" x14ac:dyDescent="0.25">
      <c r="A357" s="20" t="s">
        <v>664</v>
      </c>
      <c r="B357" s="20" t="s">
        <v>902</v>
      </c>
      <c r="C357" s="20">
        <v>67.98</v>
      </c>
      <c r="D357">
        <f t="shared" si="5"/>
        <v>2</v>
      </c>
    </row>
    <row r="358" spans="1:4" x14ac:dyDescent="0.25">
      <c r="A358" s="20" t="s">
        <v>664</v>
      </c>
      <c r="B358" s="20" t="s">
        <v>902</v>
      </c>
      <c r="C358" s="20">
        <v>72.72</v>
      </c>
      <c r="D358">
        <f t="shared" si="5"/>
        <v>2</v>
      </c>
    </row>
    <row r="359" spans="1:4" x14ac:dyDescent="0.25">
      <c r="A359" s="20" t="s">
        <v>664</v>
      </c>
      <c r="B359" s="20" t="s">
        <v>897</v>
      </c>
      <c r="C359" s="20">
        <v>13.08</v>
      </c>
      <c r="D359">
        <f t="shared" si="5"/>
        <v>2</v>
      </c>
    </row>
    <row r="360" spans="1:4" x14ac:dyDescent="0.25">
      <c r="A360" s="20" t="s">
        <v>664</v>
      </c>
      <c r="B360" s="20" t="s">
        <v>897</v>
      </c>
      <c r="C360" s="20">
        <v>14</v>
      </c>
      <c r="D360">
        <f t="shared" si="5"/>
        <v>2</v>
      </c>
    </row>
    <row r="361" spans="1:4" x14ac:dyDescent="0.25">
      <c r="A361" s="20" t="s">
        <v>664</v>
      </c>
      <c r="B361" s="20" t="s">
        <v>739</v>
      </c>
      <c r="C361" s="20">
        <v>13.08</v>
      </c>
      <c r="D361">
        <f t="shared" si="5"/>
        <v>2</v>
      </c>
    </row>
    <row r="362" spans="1:4" x14ac:dyDescent="0.25">
      <c r="A362" s="20" t="s">
        <v>664</v>
      </c>
      <c r="B362" s="20" t="s">
        <v>739</v>
      </c>
      <c r="C362" s="20">
        <v>14</v>
      </c>
      <c r="D362">
        <f t="shared" si="5"/>
        <v>2</v>
      </c>
    </row>
    <row r="363" spans="1:4" x14ac:dyDescent="0.25">
      <c r="A363" s="20" t="s">
        <v>664</v>
      </c>
      <c r="B363" s="20" t="s">
        <v>741</v>
      </c>
      <c r="C363" s="20">
        <v>13.08</v>
      </c>
      <c r="D363">
        <f t="shared" si="5"/>
        <v>2</v>
      </c>
    </row>
    <row r="364" spans="1:4" x14ac:dyDescent="0.25">
      <c r="A364" s="20" t="s">
        <v>664</v>
      </c>
      <c r="B364" s="20" t="s">
        <v>741</v>
      </c>
      <c r="C364" s="20">
        <v>14</v>
      </c>
      <c r="D364">
        <f t="shared" si="5"/>
        <v>2</v>
      </c>
    </row>
    <row r="365" spans="1:4" x14ac:dyDescent="0.25">
      <c r="A365" s="20" t="s">
        <v>664</v>
      </c>
      <c r="B365" s="20" t="s">
        <v>878</v>
      </c>
      <c r="C365" s="20">
        <v>13.08</v>
      </c>
      <c r="D365">
        <f t="shared" si="5"/>
        <v>2</v>
      </c>
    </row>
    <row r="366" spans="1:4" x14ac:dyDescent="0.25">
      <c r="A366" s="20" t="s">
        <v>664</v>
      </c>
      <c r="B366" s="20" t="s">
        <v>878</v>
      </c>
      <c r="C366" s="20">
        <v>14</v>
      </c>
      <c r="D366">
        <f t="shared" si="5"/>
        <v>2</v>
      </c>
    </row>
    <row r="367" spans="1:4" x14ac:dyDescent="0.25">
      <c r="A367" s="20" t="s">
        <v>664</v>
      </c>
      <c r="B367" s="20" t="s">
        <v>936</v>
      </c>
      <c r="C367" s="20">
        <v>20</v>
      </c>
      <c r="D367">
        <f t="shared" si="5"/>
        <v>2</v>
      </c>
    </row>
    <row r="368" spans="1:4" x14ac:dyDescent="0.25">
      <c r="A368" s="20" t="s">
        <v>664</v>
      </c>
      <c r="B368" s="20" t="s">
        <v>936</v>
      </c>
      <c r="C368" s="20">
        <v>21.4</v>
      </c>
      <c r="D368">
        <f t="shared" si="5"/>
        <v>2</v>
      </c>
    </row>
    <row r="369" spans="1:4" x14ac:dyDescent="0.25">
      <c r="A369" s="20" t="s">
        <v>664</v>
      </c>
      <c r="B369" s="20" t="s">
        <v>795</v>
      </c>
      <c r="C369" s="20">
        <v>20</v>
      </c>
      <c r="D369">
        <f t="shared" si="5"/>
        <v>2</v>
      </c>
    </row>
    <row r="370" spans="1:4" x14ac:dyDescent="0.25">
      <c r="A370" s="20" t="s">
        <v>664</v>
      </c>
      <c r="B370" s="20" t="s">
        <v>795</v>
      </c>
      <c r="C370" s="20">
        <v>21.4</v>
      </c>
      <c r="D370">
        <f t="shared" si="5"/>
        <v>2</v>
      </c>
    </row>
    <row r="371" spans="1:4" x14ac:dyDescent="0.25">
      <c r="A371" s="20" t="s">
        <v>664</v>
      </c>
      <c r="B371" s="20" t="s">
        <v>861</v>
      </c>
      <c r="C371" s="20">
        <v>42.5</v>
      </c>
      <c r="D371">
        <f t="shared" si="5"/>
        <v>2</v>
      </c>
    </row>
    <row r="372" spans="1:4" x14ac:dyDescent="0.25">
      <c r="A372" s="20" t="s">
        <v>664</v>
      </c>
      <c r="B372" s="20" t="s">
        <v>861</v>
      </c>
      <c r="C372" s="20">
        <v>45</v>
      </c>
      <c r="D372">
        <f t="shared" si="5"/>
        <v>2</v>
      </c>
    </row>
    <row r="373" spans="1:4" x14ac:dyDescent="0.25">
      <c r="A373" s="20" t="s">
        <v>664</v>
      </c>
      <c r="B373" s="20" t="s">
        <v>866</v>
      </c>
      <c r="C373" s="20">
        <v>49.08</v>
      </c>
      <c r="D373">
        <f t="shared" si="5"/>
        <v>2</v>
      </c>
    </row>
    <row r="374" spans="1:4" x14ac:dyDescent="0.25">
      <c r="A374" s="20" t="s">
        <v>664</v>
      </c>
      <c r="B374" s="20" t="s">
        <v>866</v>
      </c>
      <c r="C374" s="20">
        <v>52.52</v>
      </c>
      <c r="D374">
        <f t="shared" si="5"/>
        <v>2</v>
      </c>
    </row>
    <row r="375" spans="1:4" x14ac:dyDescent="0.25">
      <c r="A375" s="20" t="s">
        <v>664</v>
      </c>
      <c r="B375" s="20" t="s">
        <v>957</v>
      </c>
      <c r="C375" s="20">
        <v>39</v>
      </c>
      <c r="D375">
        <f t="shared" si="5"/>
        <v>2</v>
      </c>
    </row>
    <row r="376" spans="1:4" x14ac:dyDescent="0.25">
      <c r="A376" s="20" t="s">
        <v>664</v>
      </c>
      <c r="B376" s="20" t="s">
        <v>957</v>
      </c>
      <c r="C376" s="20">
        <v>42</v>
      </c>
      <c r="D376">
        <f t="shared" si="5"/>
        <v>2</v>
      </c>
    </row>
    <row r="377" spans="1:4" x14ac:dyDescent="0.25">
      <c r="A377" s="20" t="s">
        <v>664</v>
      </c>
      <c r="B377" s="20" t="s">
        <v>955</v>
      </c>
      <c r="C377" s="20">
        <v>39</v>
      </c>
      <c r="D377">
        <f t="shared" si="5"/>
        <v>2</v>
      </c>
    </row>
    <row r="378" spans="1:4" x14ac:dyDescent="0.25">
      <c r="A378" s="20" t="s">
        <v>664</v>
      </c>
      <c r="B378" s="20" t="s">
        <v>955</v>
      </c>
      <c r="C378" s="20">
        <v>42</v>
      </c>
      <c r="D378">
        <f t="shared" si="5"/>
        <v>2</v>
      </c>
    </row>
    <row r="379" spans="1:4" x14ac:dyDescent="0.25">
      <c r="A379" s="20" t="s">
        <v>664</v>
      </c>
      <c r="B379" s="20" t="s">
        <v>859</v>
      </c>
      <c r="C379" s="20">
        <v>42.5</v>
      </c>
      <c r="D379">
        <f t="shared" si="5"/>
        <v>2</v>
      </c>
    </row>
    <row r="380" spans="1:4" x14ac:dyDescent="0.25">
      <c r="A380" s="20" t="s">
        <v>664</v>
      </c>
      <c r="B380" s="20" t="s">
        <v>859</v>
      </c>
      <c r="C380" s="20">
        <v>45</v>
      </c>
      <c r="D380">
        <f t="shared" si="5"/>
        <v>2</v>
      </c>
    </row>
    <row r="381" spans="1:4" x14ac:dyDescent="0.25">
      <c r="A381" s="20" t="s">
        <v>664</v>
      </c>
      <c r="B381" s="20" t="s">
        <v>732</v>
      </c>
      <c r="C381" s="20">
        <v>11.88</v>
      </c>
      <c r="D381">
        <f t="shared" si="5"/>
        <v>2</v>
      </c>
    </row>
    <row r="382" spans="1:4" x14ac:dyDescent="0.25">
      <c r="A382" s="20" t="s">
        <v>664</v>
      </c>
      <c r="B382" s="20" t="s">
        <v>732</v>
      </c>
      <c r="C382" s="20">
        <v>12.7</v>
      </c>
      <c r="D382">
        <f t="shared" si="5"/>
        <v>2</v>
      </c>
    </row>
    <row r="383" spans="1:4" x14ac:dyDescent="0.25">
      <c r="A383" s="20" t="s">
        <v>664</v>
      </c>
      <c r="B383" s="20" t="s">
        <v>823</v>
      </c>
      <c r="C383" s="20">
        <v>38.159999999999997</v>
      </c>
      <c r="D383">
        <f t="shared" si="5"/>
        <v>2</v>
      </c>
    </row>
    <row r="384" spans="1:4" x14ac:dyDescent="0.25">
      <c r="A384" s="20" t="s">
        <v>664</v>
      </c>
      <c r="B384" s="20" t="s">
        <v>823</v>
      </c>
      <c r="C384" s="20">
        <v>40.82</v>
      </c>
      <c r="D384">
        <f t="shared" si="5"/>
        <v>2</v>
      </c>
    </row>
    <row r="385" spans="1:4" x14ac:dyDescent="0.25">
      <c r="A385" s="20" t="s">
        <v>664</v>
      </c>
      <c r="B385" s="20" t="s">
        <v>692</v>
      </c>
      <c r="C385" s="20">
        <v>37.08</v>
      </c>
      <c r="D385">
        <f t="shared" si="5"/>
        <v>2</v>
      </c>
    </row>
    <row r="386" spans="1:4" x14ac:dyDescent="0.25">
      <c r="A386" s="20" t="s">
        <v>664</v>
      </c>
      <c r="B386" s="20" t="s">
        <v>692</v>
      </c>
      <c r="C386" s="20">
        <v>39.68</v>
      </c>
      <c r="D386">
        <f t="shared" ref="D386:D449" si="6">COUNTIF($B$2:$B$746,B386)</f>
        <v>2</v>
      </c>
    </row>
    <row r="387" spans="1:4" x14ac:dyDescent="0.25">
      <c r="A387" s="20" t="s">
        <v>664</v>
      </c>
      <c r="B387" s="20" t="s">
        <v>832</v>
      </c>
      <c r="C387" s="20">
        <v>37.08</v>
      </c>
      <c r="D387">
        <f t="shared" si="6"/>
        <v>2</v>
      </c>
    </row>
    <row r="388" spans="1:4" x14ac:dyDescent="0.25">
      <c r="A388" s="20" t="s">
        <v>664</v>
      </c>
      <c r="B388" s="20" t="s">
        <v>832</v>
      </c>
      <c r="C388" s="20">
        <v>39.68</v>
      </c>
      <c r="D388">
        <f t="shared" si="6"/>
        <v>2</v>
      </c>
    </row>
    <row r="389" spans="1:4" x14ac:dyDescent="0.25">
      <c r="A389" s="20" t="s">
        <v>664</v>
      </c>
      <c r="B389" s="20" t="s">
        <v>819</v>
      </c>
      <c r="C389" s="20">
        <v>27.48</v>
      </c>
      <c r="D389">
        <f t="shared" si="6"/>
        <v>2</v>
      </c>
    </row>
    <row r="390" spans="1:4" x14ac:dyDescent="0.25">
      <c r="A390" s="20" t="s">
        <v>664</v>
      </c>
      <c r="B390" s="20" t="s">
        <v>819</v>
      </c>
      <c r="C390" s="20">
        <v>29.4</v>
      </c>
      <c r="D390">
        <f t="shared" si="6"/>
        <v>2</v>
      </c>
    </row>
    <row r="391" spans="1:4" x14ac:dyDescent="0.25">
      <c r="A391" s="20" t="s">
        <v>664</v>
      </c>
      <c r="B391" s="20" t="s">
        <v>750</v>
      </c>
      <c r="C391" s="20">
        <v>13.91</v>
      </c>
      <c r="D391">
        <f t="shared" si="6"/>
        <v>2</v>
      </c>
    </row>
    <row r="392" spans="1:4" x14ac:dyDescent="0.25">
      <c r="A392" s="20" t="s">
        <v>664</v>
      </c>
      <c r="B392" s="20" t="s">
        <v>750</v>
      </c>
      <c r="C392" s="20">
        <v>52</v>
      </c>
      <c r="D392">
        <f t="shared" si="6"/>
        <v>2</v>
      </c>
    </row>
    <row r="393" spans="1:4" x14ac:dyDescent="0.25">
      <c r="A393" s="20" t="s">
        <v>664</v>
      </c>
      <c r="B393" s="20" t="s">
        <v>947</v>
      </c>
      <c r="C393" s="20">
        <v>47.76</v>
      </c>
      <c r="D393">
        <f t="shared" si="6"/>
        <v>2</v>
      </c>
    </row>
    <row r="394" spans="1:4" x14ac:dyDescent="0.25">
      <c r="A394" s="20" t="s">
        <v>664</v>
      </c>
      <c r="B394" s="20" t="s">
        <v>947</v>
      </c>
      <c r="C394" s="20">
        <v>51.1</v>
      </c>
      <c r="D394">
        <f t="shared" si="6"/>
        <v>2</v>
      </c>
    </row>
    <row r="395" spans="1:4" x14ac:dyDescent="0.25">
      <c r="A395" s="20" t="s">
        <v>664</v>
      </c>
      <c r="B395" s="20" t="s">
        <v>762</v>
      </c>
      <c r="C395" s="20">
        <v>36</v>
      </c>
      <c r="D395">
        <f t="shared" si="6"/>
        <v>2</v>
      </c>
    </row>
    <row r="396" spans="1:4" x14ac:dyDescent="0.25">
      <c r="A396" s="20" t="s">
        <v>664</v>
      </c>
      <c r="B396" s="20" t="s">
        <v>762</v>
      </c>
      <c r="C396" s="20">
        <v>38.520000000000003</v>
      </c>
      <c r="D396">
        <f t="shared" si="6"/>
        <v>2</v>
      </c>
    </row>
    <row r="397" spans="1:4" x14ac:dyDescent="0.25">
      <c r="A397" s="20" t="s">
        <v>664</v>
      </c>
      <c r="B397" s="20" t="s">
        <v>669</v>
      </c>
      <c r="C397" s="20">
        <v>28.8</v>
      </c>
      <c r="D397">
        <f t="shared" si="6"/>
        <v>2</v>
      </c>
    </row>
    <row r="398" spans="1:4" x14ac:dyDescent="0.25">
      <c r="A398" s="20" t="s">
        <v>664</v>
      </c>
      <c r="B398" s="20" t="s">
        <v>669</v>
      </c>
      <c r="C398" s="20">
        <v>30.82</v>
      </c>
      <c r="D398">
        <f t="shared" si="6"/>
        <v>2</v>
      </c>
    </row>
    <row r="399" spans="1:4" x14ac:dyDescent="0.25">
      <c r="A399" s="20" t="s">
        <v>664</v>
      </c>
      <c r="B399" s="20" t="s">
        <v>673</v>
      </c>
      <c r="C399" s="20">
        <v>31.2</v>
      </c>
      <c r="D399">
        <f t="shared" si="6"/>
        <v>2</v>
      </c>
    </row>
    <row r="400" spans="1:4" x14ac:dyDescent="0.25">
      <c r="A400" s="20" t="s">
        <v>664</v>
      </c>
      <c r="B400" s="20" t="s">
        <v>673</v>
      </c>
      <c r="C400" s="20">
        <v>33.380000000000003</v>
      </c>
      <c r="D400">
        <f t="shared" si="6"/>
        <v>2</v>
      </c>
    </row>
    <row r="401" spans="1:4" x14ac:dyDescent="0.25">
      <c r="A401" s="20" t="s">
        <v>664</v>
      </c>
      <c r="B401" s="20" t="s">
        <v>690</v>
      </c>
      <c r="C401" s="20">
        <v>25.08</v>
      </c>
      <c r="D401">
        <f t="shared" si="6"/>
        <v>2</v>
      </c>
    </row>
    <row r="402" spans="1:4" x14ac:dyDescent="0.25">
      <c r="A402" s="20" t="s">
        <v>664</v>
      </c>
      <c r="B402" s="20" t="s">
        <v>690</v>
      </c>
      <c r="C402" s="20">
        <v>26.84</v>
      </c>
      <c r="D402">
        <f t="shared" si="6"/>
        <v>2</v>
      </c>
    </row>
    <row r="403" spans="1:4" x14ac:dyDescent="0.25">
      <c r="A403" s="20" t="s">
        <v>664</v>
      </c>
      <c r="B403" s="20" t="s">
        <v>685</v>
      </c>
      <c r="C403" s="20">
        <v>23.88</v>
      </c>
      <c r="D403">
        <f t="shared" si="6"/>
        <v>2</v>
      </c>
    </row>
    <row r="404" spans="1:4" x14ac:dyDescent="0.25">
      <c r="A404" s="20" t="s">
        <v>664</v>
      </c>
      <c r="B404" s="20" t="s">
        <v>685</v>
      </c>
      <c r="C404" s="20">
        <v>25.54</v>
      </c>
      <c r="D404">
        <f t="shared" si="6"/>
        <v>2</v>
      </c>
    </row>
    <row r="405" spans="1:4" x14ac:dyDescent="0.25">
      <c r="A405" s="20" t="s">
        <v>664</v>
      </c>
      <c r="B405" s="20" t="s">
        <v>667</v>
      </c>
      <c r="C405" s="20">
        <v>28.8</v>
      </c>
      <c r="D405">
        <f t="shared" si="6"/>
        <v>2</v>
      </c>
    </row>
    <row r="406" spans="1:4" x14ac:dyDescent="0.25">
      <c r="A406" s="20" t="s">
        <v>664</v>
      </c>
      <c r="B406" s="20" t="s">
        <v>667</v>
      </c>
      <c r="C406" s="20">
        <v>30.82</v>
      </c>
      <c r="D406">
        <f t="shared" si="6"/>
        <v>2</v>
      </c>
    </row>
    <row r="407" spans="1:4" x14ac:dyDescent="0.25">
      <c r="A407" s="20" t="s">
        <v>664</v>
      </c>
      <c r="B407" s="20" t="s">
        <v>825</v>
      </c>
      <c r="C407" s="20">
        <v>30</v>
      </c>
      <c r="D407">
        <f t="shared" si="6"/>
        <v>2</v>
      </c>
    </row>
    <row r="408" spans="1:4" x14ac:dyDescent="0.25">
      <c r="A408" s="20" t="s">
        <v>664</v>
      </c>
      <c r="B408" s="20" t="s">
        <v>825</v>
      </c>
      <c r="C408" s="20">
        <v>32.1</v>
      </c>
      <c r="D408">
        <f t="shared" si="6"/>
        <v>2</v>
      </c>
    </row>
    <row r="409" spans="1:4" x14ac:dyDescent="0.25">
      <c r="A409" s="20" t="s">
        <v>664</v>
      </c>
      <c r="B409" s="20" t="s">
        <v>870</v>
      </c>
      <c r="C409" s="20">
        <v>25.5</v>
      </c>
      <c r="D409">
        <f t="shared" si="6"/>
        <v>2</v>
      </c>
    </row>
    <row r="410" spans="1:4" x14ac:dyDescent="0.25">
      <c r="A410" s="20" t="s">
        <v>664</v>
      </c>
      <c r="B410" s="20" t="s">
        <v>870</v>
      </c>
      <c r="C410" s="20">
        <v>27.29</v>
      </c>
      <c r="D410">
        <f t="shared" si="6"/>
        <v>2</v>
      </c>
    </row>
    <row r="411" spans="1:4" x14ac:dyDescent="0.25">
      <c r="A411" s="20" t="s">
        <v>664</v>
      </c>
      <c r="B411" s="20" t="s">
        <v>702</v>
      </c>
      <c r="C411" s="20">
        <v>42.96</v>
      </c>
      <c r="D411">
        <f t="shared" si="6"/>
        <v>2</v>
      </c>
    </row>
    <row r="412" spans="1:4" x14ac:dyDescent="0.25">
      <c r="A412" s="20" t="s">
        <v>664</v>
      </c>
      <c r="B412" s="20" t="s">
        <v>702</v>
      </c>
      <c r="C412" s="20">
        <v>45.96</v>
      </c>
      <c r="D412">
        <f t="shared" si="6"/>
        <v>2</v>
      </c>
    </row>
    <row r="413" spans="1:4" x14ac:dyDescent="0.25">
      <c r="A413" s="20" t="s">
        <v>664</v>
      </c>
      <c r="B413" s="20" t="s">
        <v>712</v>
      </c>
      <c r="C413" s="20">
        <v>19.8</v>
      </c>
      <c r="D413">
        <f t="shared" si="6"/>
        <v>2</v>
      </c>
    </row>
    <row r="414" spans="1:4" x14ac:dyDescent="0.25">
      <c r="A414" s="20" t="s">
        <v>664</v>
      </c>
      <c r="B414" s="20" t="s">
        <v>712</v>
      </c>
      <c r="C414" s="20">
        <v>21.18</v>
      </c>
      <c r="D414">
        <f t="shared" si="6"/>
        <v>2</v>
      </c>
    </row>
    <row r="415" spans="1:4" x14ac:dyDescent="0.25">
      <c r="A415" s="20" t="s">
        <v>664</v>
      </c>
      <c r="B415" s="20" t="s">
        <v>837</v>
      </c>
      <c r="C415" s="20">
        <v>28.64</v>
      </c>
      <c r="D415">
        <f t="shared" si="6"/>
        <v>2</v>
      </c>
    </row>
    <row r="416" spans="1:4" x14ac:dyDescent="0.25">
      <c r="A416" s="20" t="s">
        <v>664</v>
      </c>
      <c r="B416" s="20" t="s">
        <v>837</v>
      </c>
      <c r="C416" s="20">
        <v>30.64</v>
      </c>
      <c r="D416">
        <f t="shared" si="6"/>
        <v>2</v>
      </c>
    </row>
    <row r="417" spans="1:4" x14ac:dyDescent="0.25">
      <c r="A417" s="20" t="s">
        <v>664</v>
      </c>
      <c r="B417" s="20" t="s">
        <v>845</v>
      </c>
      <c r="C417" s="20">
        <v>18.600000000000001</v>
      </c>
      <c r="D417">
        <f t="shared" si="6"/>
        <v>2</v>
      </c>
    </row>
    <row r="418" spans="1:4" x14ac:dyDescent="0.25">
      <c r="A418" s="20" t="s">
        <v>664</v>
      </c>
      <c r="B418" s="20" t="s">
        <v>845</v>
      </c>
      <c r="C418" s="20">
        <v>19.899999999999999</v>
      </c>
      <c r="D418">
        <f t="shared" si="6"/>
        <v>2</v>
      </c>
    </row>
    <row r="419" spans="1:4" x14ac:dyDescent="0.25">
      <c r="A419" s="20" t="s">
        <v>664</v>
      </c>
      <c r="B419" s="20" t="s">
        <v>847</v>
      </c>
      <c r="C419" s="20">
        <v>13.08</v>
      </c>
      <c r="D419">
        <f t="shared" si="6"/>
        <v>2</v>
      </c>
    </row>
    <row r="420" spans="1:4" x14ac:dyDescent="0.25">
      <c r="A420" s="20" t="s">
        <v>664</v>
      </c>
      <c r="B420" s="20" t="s">
        <v>847</v>
      </c>
      <c r="C420" s="20">
        <v>14</v>
      </c>
      <c r="D420">
        <f t="shared" si="6"/>
        <v>2</v>
      </c>
    </row>
    <row r="421" spans="1:4" x14ac:dyDescent="0.25">
      <c r="A421" s="20" t="s">
        <v>664</v>
      </c>
      <c r="B421" s="20" t="s">
        <v>813</v>
      </c>
      <c r="C421" s="20">
        <v>51</v>
      </c>
      <c r="D421">
        <f t="shared" si="6"/>
        <v>2</v>
      </c>
    </row>
    <row r="422" spans="1:4" x14ac:dyDescent="0.25">
      <c r="A422" s="20" t="s">
        <v>664</v>
      </c>
      <c r="B422" s="20" t="s">
        <v>813</v>
      </c>
      <c r="C422" s="20">
        <v>54.57</v>
      </c>
      <c r="D422">
        <f t="shared" si="6"/>
        <v>2</v>
      </c>
    </row>
    <row r="423" spans="1:4" x14ac:dyDescent="0.25">
      <c r="A423" s="20" t="s">
        <v>664</v>
      </c>
      <c r="B423" s="20" t="s">
        <v>766</v>
      </c>
      <c r="C423" s="20">
        <v>60</v>
      </c>
      <c r="D423">
        <f t="shared" si="6"/>
        <v>2</v>
      </c>
    </row>
    <row r="424" spans="1:4" x14ac:dyDescent="0.25">
      <c r="A424" s="20" t="s">
        <v>664</v>
      </c>
      <c r="B424" s="20" t="s">
        <v>766</v>
      </c>
      <c r="C424" s="20">
        <v>64.2</v>
      </c>
      <c r="D424">
        <f t="shared" si="6"/>
        <v>2</v>
      </c>
    </row>
    <row r="425" spans="1:4" x14ac:dyDescent="0.25">
      <c r="A425" s="20" t="s">
        <v>664</v>
      </c>
      <c r="B425" s="20" t="s">
        <v>809</v>
      </c>
      <c r="C425" s="20">
        <v>30.6</v>
      </c>
      <c r="D425">
        <f t="shared" si="6"/>
        <v>2</v>
      </c>
    </row>
    <row r="426" spans="1:4" x14ac:dyDescent="0.25">
      <c r="A426" s="20" t="s">
        <v>664</v>
      </c>
      <c r="B426" s="20" t="s">
        <v>809</v>
      </c>
      <c r="C426" s="20">
        <v>32.74</v>
      </c>
      <c r="D426">
        <f t="shared" si="6"/>
        <v>2</v>
      </c>
    </row>
    <row r="427" spans="1:4" x14ac:dyDescent="0.25">
      <c r="A427" s="20" t="s">
        <v>664</v>
      </c>
      <c r="B427" s="20" t="s">
        <v>714</v>
      </c>
      <c r="C427" s="20">
        <v>48.42</v>
      </c>
      <c r="D427">
        <f t="shared" si="6"/>
        <v>2</v>
      </c>
    </row>
    <row r="428" spans="1:4" x14ac:dyDescent="0.25">
      <c r="A428" s="20" t="s">
        <v>664</v>
      </c>
      <c r="B428" s="20" t="s">
        <v>714</v>
      </c>
      <c r="C428" s="20">
        <v>51.8</v>
      </c>
      <c r="D428">
        <f t="shared" si="6"/>
        <v>2</v>
      </c>
    </row>
    <row r="429" spans="1:4" x14ac:dyDescent="0.25">
      <c r="A429" s="20" t="s">
        <v>664</v>
      </c>
      <c r="B429" s="20" t="s">
        <v>904</v>
      </c>
      <c r="C429" s="20">
        <v>27</v>
      </c>
      <c r="D429">
        <f t="shared" si="6"/>
        <v>2</v>
      </c>
    </row>
    <row r="430" spans="1:4" x14ac:dyDescent="0.25">
      <c r="A430" s="20" t="s">
        <v>664</v>
      </c>
      <c r="B430" s="20" t="s">
        <v>904</v>
      </c>
      <c r="C430" s="20">
        <v>28.88</v>
      </c>
      <c r="D430">
        <f t="shared" si="6"/>
        <v>2</v>
      </c>
    </row>
    <row r="431" spans="1:4" x14ac:dyDescent="0.25">
      <c r="A431" s="20" t="s">
        <v>664</v>
      </c>
      <c r="B431" s="20" t="s">
        <v>718</v>
      </c>
      <c r="C431" s="20">
        <v>19.8</v>
      </c>
      <c r="D431">
        <f t="shared" si="6"/>
        <v>2</v>
      </c>
    </row>
    <row r="432" spans="1:4" x14ac:dyDescent="0.25">
      <c r="A432" s="20" t="s">
        <v>664</v>
      </c>
      <c r="B432" s="20" t="s">
        <v>718</v>
      </c>
      <c r="C432" s="20">
        <v>21.18</v>
      </c>
      <c r="D432">
        <f t="shared" si="6"/>
        <v>2</v>
      </c>
    </row>
    <row r="433" spans="1:4" x14ac:dyDescent="0.25">
      <c r="A433" s="20" t="s">
        <v>664</v>
      </c>
      <c r="B433" s="20" t="s">
        <v>756</v>
      </c>
      <c r="C433" s="20">
        <v>12</v>
      </c>
      <c r="D433">
        <f t="shared" si="6"/>
        <v>2</v>
      </c>
    </row>
    <row r="434" spans="1:4" x14ac:dyDescent="0.25">
      <c r="A434" s="20" t="s">
        <v>664</v>
      </c>
      <c r="B434" s="20" t="s">
        <v>756</v>
      </c>
      <c r="C434" s="20">
        <v>13.2</v>
      </c>
      <c r="D434">
        <f t="shared" si="6"/>
        <v>2</v>
      </c>
    </row>
    <row r="435" spans="1:4" x14ac:dyDescent="0.25">
      <c r="A435" s="20" t="s">
        <v>664</v>
      </c>
      <c r="B435" s="20" t="s">
        <v>778</v>
      </c>
      <c r="C435" s="20">
        <v>28.8</v>
      </c>
      <c r="D435">
        <f t="shared" si="6"/>
        <v>2</v>
      </c>
    </row>
    <row r="436" spans="1:4" x14ac:dyDescent="0.25">
      <c r="A436" s="20" t="s">
        <v>664</v>
      </c>
      <c r="B436" s="20" t="s">
        <v>778</v>
      </c>
      <c r="C436" s="20">
        <v>30.82</v>
      </c>
      <c r="D436">
        <f t="shared" si="6"/>
        <v>2</v>
      </c>
    </row>
    <row r="437" spans="1:4" x14ac:dyDescent="0.25">
      <c r="A437" s="20" t="s">
        <v>664</v>
      </c>
      <c r="B437" s="20" t="s">
        <v>843</v>
      </c>
      <c r="C437" s="20">
        <v>50.16</v>
      </c>
      <c r="D437">
        <f t="shared" si="6"/>
        <v>2</v>
      </c>
    </row>
    <row r="438" spans="1:4" x14ac:dyDescent="0.25">
      <c r="A438" s="20" t="s">
        <v>664</v>
      </c>
      <c r="B438" s="20" t="s">
        <v>843</v>
      </c>
      <c r="C438" s="20">
        <v>53.68</v>
      </c>
      <c r="D438">
        <f t="shared" si="6"/>
        <v>2</v>
      </c>
    </row>
    <row r="439" spans="1:4" x14ac:dyDescent="0.25">
      <c r="A439" s="20" t="s">
        <v>664</v>
      </c>
      <c r="B439" s="20" t="s">
        <v>839</v>
      </c>
      <c r="C439" s="20">
        <v>28.64</v>
      </c>
      <c r="D439">
        <f t="shared" si="6"/>
        <v>2</v>
      </c>
    </row>
    <row r="440" spans="1:4" x14ac:dyDescent="0.25">
      <c r="A440" s="20" t="s">
        <v>664</v>
      </c>
      <c r="B440" s="20" t="s">
        <v>839</v>
      </c>
      <c r="C440" s="20">
        <v>30.64</v>
      </c>
      <c r="D440">
        <f t="shared" si="6"/>
        <v>2</v>
      </c>
    </row>
    <row r="441" spans="1:4" x14ac:dyDescent="0.25">
      <c r="A441" s="20" t="s">
        <v>664</v>
      </c>
      <c r="B441" s="20" t="s">
        <v>872</v>
      </c>
      <c r="C441" s="20">
        <v>25.5</v>
      </c>
      <c r="D441">
        <f t="shared" si="6"/>
        <v>2</v>
      </c>
    </row>
    <row r="442" spans="1:4" x14ac:dyDescent="0.25">
      <c r="A442" s="20" t="s">
        <v>664</v>
      </c>
      <c r="B442" s="20" t="s">
        <v>872</v>
      </c>
      <c r="C442" s="20">
        <v>27.29</v>
      </c>
      <c r="D442">
        <f t="shared" si="6"/>
        <v>2</v>
      </c>
    </row>
    <row r="443" spans="1:4" x14ac:dyDescent="0.25">
      <c r="A443" s="20" t="s">
        <v>664</v>
      </c>
      <c r="B443" s="20" t="s">
        <v>817</v>
      </c>
      <c r="C443" s="20">
        <v>43.2</v>
      </c>
      <c r="D443">
        <f t="shared" si="6"/>
        <v>2</v>
      </c>
    </row>
    <row r="444" spans="1:4" x14ac:dyDescent="0.25">
      <c r="A444" s="20" t="s">
        <v>664</v>
      </c>
      <c r="B444" s="20" t="s">
        <v>817</v>
      </c>
      <c r="C444" s="20">
        <v>46.22</v>
      </c>
      <c r="D444">
        <f t="shared" si="6"/>
        <v>2</v>
      </c>
    </row>
    <row r="445" spans="1:4" x14ac:dyDescent="0.25">
      <c r="A445" s="20" t="s">
        <v>664</v>
      </c>
      <c r="B445" s="20" t="s">
        <v>834</v>
      </c>
      <c r="C445" s="20">
        <v>31.2</v>
      </c>
      <c r="D445">
        <f t="shared" si="6"/>
        <v>2</v>
      </c>
    </row>
    <row r="446" spans="1:4" x14ac:dyDescent="0.25">
      <c r="A446" s="20" t="s">
        <v>664</v>
      </c>
      <c r="B446" s="20" t="s">
        <v>834</v>
      </c>
      <c r="C446" s="20">
        <v>33.380000000000003</v>
      </c>
      <c r="D446">
        <f t="shared" si="6"/>
        <v>2</v>
      </c>
    </row>
    <row r="447" spans="1:4" x14ac:dyDescent="0.25">
      <c r="A447" s="20" t="s">
        <v>664</v>
      </c>
      <c r="B447" s="20" t="s">
        <v>928</v>
      </c>
      <c r="C447" s="20">
        <v>62</v>
      </c>
      <c r="D447">
        <f t="shared" si="6"/>
        <v>2</v>
      </c>
    </row>
    <row r="448" spans="1:4" x14ac:dyDescent="0.25">
      <c r="A448" s="20" t="s">
        <v>664</v>
      </c>
      <c r="B448" s="20" t="s">
        <v>928</v>
      </c>
      <c r="C448" s="20">
        <v>66.34</v>
      </c>
      <c r="D448">
        <f t="shared" si="6"/>
        <v>2</v>
      </c>
    </row>
    <row r="449" spans="1:4" x14ac:dyDescent="0.25">
      <c r="A449" s="20" t="s">
        <v>664</v>
      </c>
      <c r="B449" s="20" t="s">
        <v>855</v>
      </c>
      <c r="C449" s="20">
        <v>12</v>
      </c>
      <c r="D449">
        <f t="shared" si="6"/>
        <v>2</v>
      </c>
    </row>
    <row r="450" spans="1:4" x14ac:dyDescent="0.25">
      <c r="A450" s="20" t="s">
        <v>664</v>
      </c>
      <c r="B450" s="20" t="s">
        <v>855</v>
      </c>
      <c r="C450" s="20">
        <v>13.2</v>
      </c>
      <c r="D450">
        <f t="shared" ref="D450:D513" si="7">COUNTIF($B$2:$B$746,B450)</f>
        <v>2</v>
      </c>
    </row>
    <row r="451" spans="1:4" x14ac:dyDescent="0.25">
      <c r="A451" s="20" t="s">
        <v>664</v>
      </c>
      <c r="B451" s="20" t="s">
        <v>743</v>
      </c>
      <c r="C451" s="20">
        <v>60</v>
      </c>
      <c r="D451">
        <f t="shared" si="7"/>
        <v>2</v>
      </c>
    </row>
    <row r="452" spans="1:4" x14ac:dyDescent="0.25">
      <c r="A452" s="20" t="s">
        <v>664</v>
      </c>
      <c r="B452" s="20" t="s">
        <v>743</v>
      </c>
      <c r="C452" s="20">
        <v>64.2</v>
      </c>
      <c r="D452">
        <f t="shared" si="7"/>
        <v>2</v>
      </c>
    </row>
    <row r="453" spans="1:4" x14ac:dyDescent="0.25">
      <c r="A453" s="20" t="s">
        <v>664</v>
      </c>
      <c r="B453" s="20" t="s">
        <v>748</v>
      </c>
      <c r="C453" s="20">
        <v>73</v>
      </c>
      <c r="D453">
        <f t="shared" si="7"/>
        <v>2</v>
      </c>
    </row>
    <row r="454" spans="1:4" x14ac:dyDescent="0.25">
      <c r="A454" s="20" t="s">
        <v>664</v>
      </c>
      <c r="B454" s="20" t="s">
        <v>748</v>
      </c>
      <c r="C454" s="20">
        <v>78</v>
      </c>
      <c r="D454">
        <f t="shared" si="7"/>
        <v>2</v>
      </c>
    </row>
    <row r="455" spans="1:4" x14ac:dyDescent="0.25">
      <c r="A455" s="20" t="s">
        <v>664</v>
      </c>
      <c r="B455" s="20" t="s">
        <v>853</v>
      </c>
      <c r="C455" s="20">
        <v>12</v>
      </c>
      <c r="D455">
        <f t="shared" si="7"/>
        <v>2</v>
      </c>
    </row>
    <row r="456" spans="1:4" x14ac:dyDescent="0.25">
      <c r="A456" s="20" t="s">
        <v>664</v>
      </c>
      <c r="B456" s="20" t="s">
        <v>853</v>
      </c>
      <c r="C456" s="20">
        <v>13.2</v>
      </c>
      <c r="D456">
        <f t="shared" si="7"/>
        <v>2</v>
      </c>
    </row>
    <row r="457" spans="1:4" x14ac:dyDescent="0.25">
      <c r="A457" s="20" t="s">
        <v>664</v>
      </c>
      <c r="B457" s="20" t="s">
        <v>857</v>
      </c>
      <c r="C457" s="20">
        <v>12</v>
      </c>
      <c r="D457">
        <f t="shared" si="7"/>
        <v>2</v>
      </c>
    </row>
    <row r="458" spans="1:4" x14ac:dyDescent="0.25">
      <c r="A458" s="20" t="s">
        <v>664</v>
      </c>
      <c r="B458" s="20" t="s">
        <v>857</v>
      </c>
      <c r="C458" s="20">
        <v>13.2</v>
      </c>
      <c r="D458">
        <f t="shared" si="7"/>
        <v>2</v>
      </c>
    </row>
    <row r="459" spans="1:4" x14ac:dyDescent="0.25">
      <c r="A459" s="20" t="s">
        <v>664</v>
      </c>
      <c r="B459" s="20" t="s">
        <v>720</v>
      </c>
      <c r="C459" s="20">
        <v>22.4</v>
      </c>
      <c r="D459">
        <f t="shared" si="7"/>
        <v>2</v>
      </c>
    </row>
    <row r="460" spans="1:4" x14ac:dyDescent="0.25">
      <c r="A460" s="20" t="s">
        <v>664</v>
      </c>
      <c r="B460" s="20" t="s">
        <v>720</v>
      </c>
      <c r="C460" s="20">
        <v>23.96</v>
      </c>
      <c r="D460">
        <f t="shared" si="7"/>
        <v>2</v>
      </c>
    </row>
    <row r="461" spans="1:4" x14ac:dyDescent="0.25">
      <c r="A461" s="20" t="s">
        <v>664</v>
      </c>
      <c r="B461" s="20" t="s">
        <v>698</v>
      </c>
      <c r="C461" s="20">
        <v>22.4</v>
      </c>
      <c r="D461">
        <f t="shared" si="7"/>
        <v>2</v>
      </c>
    </row>
    <row r="462" spans="1:4" x14ac:dyDescent="0.25">
      <c r="A462" s="20" t="s">
        <v>664</v>
      </c>
      <c r="B462" s="20" t="s">
        <v>698</v>
      </c>
      <c r="C462" s="20">
        <v>23.96</v>
      </c>
      <c r="D462">
        <f t="shared" si="7"/>
        <v>2</v>
      </c>
    </row>
    <row r="463" spans="1:4" x14ac:dyDescent="0.25">
      <c r="A463" s="20" t="s">
        <v>664</v>
      </c>
      <c r="B463" s="20" t="s">
        <v>745</v>
      </c>
      <c r="C463" s="20">
        <v>60</v>
      </c>
      <c r="D463">
        <f t="shared" si="7"/>
        <v>2</v>
      </c>
    </row>
    <row r="464" spans="1:4" x14ac:dyDescent="0.25">
      <c r="A464" s="20" t="s">
        <v>664</v>
      </c>
      <c r="B464" s="20" t="s">
        <v>745</v>
      </c>
      <c r="C464" s="20">
        <v>64.2</v>
      </c>
      <c r="D464">
        <f t="shared" si="7"/>
        <v>2</v>
      </c>
    </row>
    <row r="465" spans="1:4" x14ac:dyDescent="0.25">
      <c r="A465" s="20" t="s">
        <v>664</v>
      </c>
      <c r="B465" s="20" t="s">
        <v>784</v>
      </c>
      <c r="C465" s="20">
        <v>12</v>
      </c>
      <c r="D465">
        <f t="shared" si="7"/>
        <v>2</v>
      </c>
    </row>
    <row r="466" spans="1:4" x14ac:dyDescent="0.25">
      <c r="A466" s="20" t="s">
        <v>664</v>
      </c>
      <c r="B466" s="20" t="s">
        <v>784</v>
      </c>
      <c r="C466" s="20">
        <v>13.2</v>
      </c>
      <c r="D466">
        <f t="shared" si="7"/>
        <v>2</v>
      </c>
    </row>
    <row r="467" spans="1:4" x14ac:dyDescent="0.25">
      <c r="A467" s="20" t="s">
        <v>664</v>
      </c>
      <c r="B467" s="20" t="s">
        <v>908</v>
      </c>
      <c r="C467" s="20">
        <v>34.68</v>
      </c>
      <c r="D467">
        <f t="shared" si="7"/>
        <v>2</v>
      </c>
    </row>
    <row r="468" spans="1:4" x14ac:dyDescent="0.25">
      <c r="A468" s="20" t="s">
        <v>664</v>
      </c>
      <c r="B468" s="20" t="s">
        <v>908</v>
      </c>
      <c r="C468" s="20">
        <v>37.11</v>
      </c>
      <c r="D468">
        <f t="shared" si="7"/>
        <v>2</v>
      </c>
    </row>
    <row r="469" spans="1:4" x14ac:dyDescent="0.25">
      <c r="A469" s="20" t="s">
        <v>664</v>
      </c>
      <c r="B469" s="20" t="s">
        <v>746</v>
      </c>
      <c r="C469" s="20">
        <v>80</v>
      </c>
      <c r="D469">
        <f t="shared" si="7"/>
        <v>2</v>
      </c>
    </row>
    <row r="470" spans="1:4" x14ac:dyDescent="0.25">
      <c r="A470" s="20" t="s">
        <v>664</v>
      </c>
      <c r="B470" s="20" t="s">
        <v>746</v>
      </c>
      <c r="C470" s="20">
        <v>85.6</v>
      </c>
      <c r="D470">
        <f t="shared" si="7"/>
        <v>2</v>
      </c>
    </row>
    <row r="471" spans="1:4" x14ac:dyDescent="0.25">
      <c r="A471" s="20" t="s">
        <v>664</v>
      </c>
      <c r="B471" s="20" t="s">
        <v>849</v>
      </c>
      <c r="C471" s="20">
        <v>15</v>
      </c>
      <c r="D471">
        <f t="shared" si="7"/>
        <v>2</v>
      </c>
    </row>
    <row r="472" spans="1:4" x14ac:dyDescent="0.25">
      <c r="A472" s="20" t="s">
        <v>664</v>
      </c>
      <c r="B472" s="20" t="s">
        <v>849</v>
      </c>
      <c r="C472" s="20">
        <v>16.05</v>
      </c>
      <c r="D472">
        <f t="shared" si="7"/>
        <v>2</v>
      </c>
    </row>
    <row r="473" spans="1:4" x14ac:dyDescent="0.25">
      <c r="A473" s="20" t="s">
        <v>664</v>
      </c>
      <c r="B473" s="20" t="s">
        <v>730</v>
      </c>
      <c r="C473" s="20">
        <v>28.62</v>
      </c>
      <c r="D473">
        <f t="shared" si="7"/>
        <v>2</v>
      </c>
    </row>
    <row r="474" spans="1:4" x14ac:dyDescent="0.25">
      <c r="A474" s="20" t="s">
        <v>664</v>
      </c>
      <c r="B474" s="20" t="s">
        <v>730</v>
      </c>
      <c r="C474" s="20">
        <v>30.24</v>
      </c>
      <c r="D474">
        <f t="shared" si="7"/>
        <v>2</v>
      </c>
    </row>
    <row r="475" spans="1:4" x14ac:dyDescent="0.25">
      <c r="A475" s="20" t="s">
        <v>664</v>
      </c>
      <c r="B475" s="20" t="s">
        <v>726</v>
      </c>
      <c r="C475" s="20">
        <v>27.54</v>
      </c>
      <c r="D475">
        <f t="shared" si="7"/>
        <v>2</v>
      </c>
    </row>
    <row r="476" spans="1:4" x14ac:dyDescent="0.25">
      <c r="A476" s="20" t="s">
        <v>664</v>
      </c>
      <c r="B476" s="20" t="s">
        <v>726</v>
      </c>
      <c r="C476" s="20">
        <v>28.62</v>
      </c>
      <c r="D476">
        <f t="shared" si="7"/>
        <v>2</v>
      </c>
    </row>
    <row r="477" spans="1:4" x14ac:dyDescent="0.25">
      <c r="A477" s="20" t="s">
        <v>664</v>
      </c>
      <c r="B477" s="20" t="s">
        <v>700</v>
      </c>
      <c r="C477" s="20">
        <v>28.62</v>
      </c>
      <c r="D477">
        <f t="shared" si="7"/>
        <v>2</v>
      </c>
    </row>
    <row r="478" spans="1:4" x14ac:dyDescent="0.25">
      <c r="A478" s="20" t="s">
        <v>664</v>
      </c>
      <c r="B478" s="20" t="s">
        <v>700</v>
      </c>
      <c r="C478" s="20">
        <v>30.24</v>
      </c>
      <c r="D478">
        <f t="shared" si="7"/>
        <v>2</v>
      </c>
    </row>
    <row r="479" spans="1:4" x14ac:dyDescent="0.25">
      <c r="A479" s="20" t="s">
        <v>664</v>
      </c>
      <c r="B479" s="20" t="s">
        <v>671</v>
      </c>
      <c r="C479" s="20">
        <v>30.96</v>
      </c>
      <c r="D479">
        <f t="shared" si="7"/>
        <v>2</v>
      </c>
    </row>
    <row r="480" spans="1:4" x14ac:dyDescent="0.25">
      <c r="A480" s="20" t="s">
        <v>664</v>
      </c>
      <c r="B480" s="20" t="s">
        <v>671</v>
      </c>
      <c r="C480" s="20">
        <v>33.119999999999997</v>
      </c>
      <c r="D480">
        <f t="shared" si="7"/>
        <v>2</v>
      </c>
    </row>
    <row r="481" spans="1:4" x14ac:dyDescent="0.25">
      <c r="A481" s="20" t="s">
        <v>664</v>
      </c>
      <c r="B481" s="20" t="s">
        <v>760</v>
      </c>
      <c r="C481" s="20">
        <v>50</v>
      </c>
      <c r="D481">
        <f t="shared" si="7"/>
        <v>2</v>
      </c>
    </row>
    <row r="482" spans="1:4" x14ac:dyDescent="0.25">
      <c r="A482" s="20" t="s">
        <v>664</v>
      </c>
      <c r="B482" s="20" t="s">
        <v>760</v>
      </c>
      <c r="C482" s="20">
        <v>53.5</v>
      </c>
      <c r="D482">
        <f t="shared" si="7"/>
        <v>2</v>
      </c>
    </row>
    <row r="483" spans="1:4" x14ac:dyDescent="0.25">
      <c r="A483" s="20" t="s">
        <v>664</v>
      </c>
      <c r="B483" s="20" t="s">
        <v>688</v>
      </c>
      <c r="C483" s="20">
        <v>27.48</v>
      </c>
      <c r="D483">
        <f t="shared" si="7"/>
        <v>2</v>
      </c>
    </row>
    <row r="484" spans="1:4" x14ac:dyDescent="0.25">
      <c r="A484" s="20" t="s">
        <v>664</v>
      </c>
      <c r="B484" s="20" t="s">
        <v>688</v>
      </c>
      <c r="C484" s="20">
        <v>29.4</v>
      </c>
      <c r="D484">
        <f t="shared" si="7"/>
        <v>2</v>
      </c>
    </row>
    <row r="485" spans="1:4" x14ac:dyDescent="0.25">
      <c r="A485" s="20" t="s">
        <v>664</v>
      </c>
      <c r="B485" s="20" t="s">
        <v>930</v>
      </c>
      <c r="C485" s="20">
        <v>26.4</v>
      </c>
      <c r="D485">
        <f t="shared" si="7"/>
        <v>2</v>
      </c>
    </row>
    <row r="486" spans="1:4" x14ac:dyDescent="0.25">
      <c r="A486" s="20" t="s">
        <v>664</v>
      </c>
      <c r="B486" s="20" t="s">
        <v>930</v>
      </c>
      <c r="C486" s="20">
        <v>28.8</v>
      </c>
      <c r="D486">
        <f t="shared" si="7"/>
        <v>2</v>
      </c>
    </row>
    <row r="487" spans="1:4" x14ac:dyDescent="0.25">
      <c r="A487" s="20" t="s">
        <v>664</v>
      </c>
      <c r="B487" s="20" t="s">
        <v>835</v>
      </c>
      <c r="C487" s="20">
        <v>28.8</v>
      </c>
      <c r="D487">
        <f t="shared" si="7"/>
        <v>2</v>
      </c>
    </row>
    <row r="488" spans="1:4" x14ac:dyDescent="0.25">
      <c r="A488" s="20" t="s">
        <v>664</v>
      </c>
      <c r="B488" s="20" t="s">
        <v>835</v>
      </c>
      <c r="C488" s="20">
        <v>30.82</v>
      </c>
      <c r="D488">
        <f t="shared" si="7"/>
        <v>2</v>
      </c>
    </row>
    <row r="489" spans="1:4" x14ac:dyDescent="0.25">
      <c r="A489" s="20" t="s">
        <v>664</v>
      </c>
      <c r="B489" s="20" t="s">
        <v>868</v>
      </c>
      <c r="C489" s="20">
        <v>25.5</v>
      </c>
      <c r="D489">
        <f t="shared" si="7"/>
        <v>2</v>
      </c>
    </row>
    <row r="490" spans="1:4" x14ac:dyDescent="0.25">
      <c r="A490" s="20" t="s">
        <v>664</v>
      </c>
      <c r="B490" s="20" t="s">
        <v>868</v>
      </c>
      <c r="C490" s="20">
        <v>27.29</v>
      </c>
      <c r="D490">
        <f t="shared" si="7"/>
        <v>2</v>
      </c>
    </row>
    <row r="491" spans="1:4" x14ac:dyDescent="0.25">
      <c r="A491" s="20" t="s">
        <v>664</v>
      </c>
      <c r="B491" s="20" t="s">
        <v>716</v>
      </c>
      <c r="C491" s="20">
        <v>30</v>
      </c>
      <c r="D491">
        <f t="shared" si="7"/>
        <v>2</v>
      </c>
    </row>
    <row r="492" spans="1:4" x14ac:dyDescent="0.25">
      <c r="A492" s="20" t="s">
        <v>664</v>
      </c>
      <c r="B492" s="20" t="s">
        <v>716</v>
      </c>
      <c r="C492" s="20">
        <v>32.1</v>
      </c>
      <c r="D492">
        <f t="shared" si="7"/>
        <v>2</v>
      </c>
    </row>
    <row r="493" spans="1:4" x14ac:dyDescent="0.25">
      <c r="A493" s="20" t="s">
        <v>664</v>
      </c>
      <c r="B493" s="20" t="s">
        <v>797</v>
      </c>
      <c r="C493" s="20">
        <v>20</v>
      </c>
      <c r="D493">
        <f t="shared" si="7"/>
        <v>2</v>
      </c>
    </row>
    <row r="494" spans="1:4" x14ac:dyDescent="0.25">
      <c r="A494" s="20" t="s">
        <v>664</v>
      </c>
      <c r="B494" s="20" t="s">
        <v>797</v>
      </c>
      <c r="C494" s="20">
        <v>21.4</v>
      </c>
      <c r="D494">
        <f t="shared" si="7"/>
        <v>2</v>
      </c>
    </row>
    <row r="495" spans="1:4" x14ac:dyDescent="0.25">
      <c r="A495" s="20" t="s">
        <v>664</v>
      </c>
      <c r="B495" s="20" t="s">
        <v>895</v>
      </c>
      <c r="C495" s="20">
        <v>12</v>
      </c>
      <c r="D495">
        <f t="shared" si="7"/>
        <v>2</v>
      </c>
    </row>
    <row r="496" spans="1:4" x14ac:dyDescent="0.25">
      <c r="A496" s="20" t="s">
        <v>664</v>
      </c>
      <c r="B496" s="20" t="s">
        <v>895</v>
      </c>
      <c r="C496" s="20">
        <v>12.84</v>
      </c>
      <c r="D496">
        <f t="shared" si="7"/>
        <v>2</v>
      </c>
    </row>
    <row r="497" spans="1:4" x14ac:dyDescent="0.25">
      <c r="A497" s="20" t="s">
        <v>664</v>
      </c>
      <c r="B497" s="20" t="s">
        <v>786</v>
      </c>
      <c r="C497" s="20">
        <v>21.36</v>
      </c>
      <c r="D497">
        <f t="shared" si="7"/>
        <v>2</v>
      </c>
    </row>
    <row r="498" spans="1:4" x14ac:dyDescent="0.25">
      <c r="A498" s="20" t="s">
        <v>664</v>
      </c>
      <c r="B498" s="20" t="s">
        <v>786</v>
      </c>
      <c r="C498" s="20">
        <v>22.86</v>
      </c>
      <c r="D498">
        <f t="shared" si="7"/>
        <v>2</v>
      </c>
    </row>
    <row r="499" spans="1:4" x14ac:dyDescent="0.25">
      <c r="A499" s="20" t="s">
        <v>664</v>
      </c>
      <c r="B499" s="20" t="s">
        <v>880</v>
      </c>
      <c r="C499" s="20">
        <v>13.08</v>
      </c>
      <c r="D499">
        <f t="shared" si="7"/>
        <v>2</v>
      </c>
    </row>
    <row r="500" spans="1:4" x14ac:dyDescent="0.25">
      <c r="A500" s="20" t="s">
        <v>664</v>
      </c>
      <c r="B500" s="20" t="s">
        <v>880</v>
      </c>
      <c r="C500" s="20">
        <v>14</v>
      </c>
      <c r="D500">
        <f t="shared" si="7"/>
        <v>2</v>
      </c>
    </row>
    <row r="501" spans="1:4" x14ac:dyDescent="0.25">
      <c r="A501" s="20" t="s">
        <v>664</v>
      </c>
      <c r="B501" s="20" t="s">
        <v>882</v>
      </c>
      <c r="C501" s="20">
        <v>13.08</v>
      </c>
      <c r="D501">
        <f t="shared" si="7"/>
        <v>2</v>
      </c>
    </row>
    <row r="502" spans="1:4" x14ac:dyDescent="0.25">
      <c r="A502" s="20" t="s">
        <v>664</v>
      </c>
      <c r="B502" s="20" t="s">
        <v>882</v>
      </c>
      <c r="C502" s="20">
        <v>14</v>
      </c>
      <c r="D502">
        <f t="shared" si="7"/>
        <v>2</v>
      </c>
    </row>
    <row r="503" spans="1:4" x14ac:dyDescent="0.25">
      <c r="A503" s="20" t="s">
        <v>664</v>
      </c>
      <c r="B503" s="20" t="s">
        <v>899</v>
      </c>
      <c r="C503" s="20">
        <v>13.08</v>
      </c>
      <c r="D503">
        <f t="shared" si="7"/>
        <v>2</v>
      </c>
    </row>
    <row r="504" spans="1:4" x14ac:dyDescent="0.25">
      <c r="A504" s="20" t="s">
        <v>664</v>
      </c>
      <c r="B504" s="20" t="s">
        <v>899</v>
      </c>
      <c r="C504" s="20">
        <v>14</v>
      </c>
      <c r="D504">
        <f t="shared" si="7"/>
        <v>2</v>
      </c>
    </row>
    <row r="505" spans="1:4" x14ac:dyDescent="0.25">
      <c r="A505" s="20" t="s">
        <v>664</v>
      </c>
      <c r="B505" s="20" t="s">
        <v>893</v>
      </c>
      <c r="C505" s="20">
        <v>12</v>
      </c>
      <c r="D505">
        <f t="shared" si="7"/>
        <v>2</v>
      </c>
    </row>
    <row r="506" spans="1:4" x14ac:dyDescent="0.25">
      <c r="A506" s="20" t="s">
        <v>664</v>
      </c>
      <c r="B506" s="20" t="s">
        <v>893</v>
      </c>
      <c r="C506" s="20">
        <v>12.84</v>
      </c>
      <c r="D506">
        <f t="shared" si="7"/>
        <v>2</v>
      </c>
    </row>
    <row r="507" spans="1:4" x14ac:dyDescent="0.25">
      <c r="A507" s="20" t="s">
        <v>664</v>
      </c>
      <c r="B507" s="20" t="s">
        <v>889</v>
      </c>
      <c r="C507" s="20">
        <v>12</v>
      </c>
      <c r="D507">
        <f t="shared" si="7"/>
        <v>2</v>
      </c>
    </row>
    <row r="508" spans="1:4" x14ac:dyDescent="0.25">
      <c r="A508" s="20" t="s">
        <v>664</v>
      </c>
      <c r="B508" s="20" t="s">
        <v>889</v>
      </c>
      <c r="C508" s="20">
        <v>12.84</v>
      </c>
      <c r="D508">
        <f t="shared" si="7"/>
        <v>2</v>
      </c>
    </row>
    <row r="509" spans="1:4" x14ac:dyDescent="0.25">
      <c r="A509" s="20" t="s">
        <v>664</v>
      </c>
      <c r="B509" s="20" t="s">
        <v>887</v>
      </c>
      <c r="C509" s="20">
        <v>12</v>
      </c>
      <c r="D509">
        <f t="shared" si="7"/>
        <v>2</v>
      </c>
    </row>
    <row r="510" spans="1:4" x14ac:dyDescent="0.25">
      <c r="A510" s="20" t="s">
        <v>664</v>
      </c>
      <c r="B510" s="20" t="s">
        <v>887</v>
      </c>
      <c r="C510" s="20">
        <v>12.84</v>
      </c>
      <c r="D510">
        <f t="shared" si="7"/>
        <v>2</v>
      </c>
    </row>
    <row r="511" spans="1:4" x14ac:dyDescent="0.25">
      <c r="A511" s="20" t="s">
        <v>664</v>
      </c>
      <c r="B511" s="20" t="s">
        <v>752</v>
      </c>
      <c r="C511" s="20">
        <v>35</v>
      </c>
      <c r="D511">
        <f t="shared" si="7"/>
        <v>2</v>
      </c>
    </row>
    <row r="512" spans="1:4" x14ac:dyDescent="0.25">
      <c r="A512" s="20" t="s">
        <v>664</v>
      </c>
      <c r="B512" s="20" t="s">
        <v>752</v>
      </c>
      <c r="C512" s="20">
        <v>37.450000000000003</v>
      </c>
      <c r="D512">
        <f t="shared" si="7"/>
        <v>2</v>
      </c>
    </row>
    <row r="513" spans="1:4" x14ac:dyDescent="0.25">
      <c r="A513" s="20" t="s">
        <v>664</v>
      </c>
      <c r="B513" s="20" t="s">
        <v>916</v>
      </c>
      <c r="C513" s="20">
        <v>42.96</v>
      </c>
      <c r="D513">
        <f t="shared" si="7"/>
        <v>2</v>
      </c>
    </row>
    <row r="514" spans="1:4" x14ac:dyDescent="0.25">
      <c r="A514" s="20" t="s">
        <v>664</v>
      </c>
      <c r="B514" s="20" t="s">
        <v>916</v>
      </c>
      <c r="C514" s="20">
        <v>45.96</v>
      </c>
      <c r="D514">
        <f t="shared" ref="D514:D577" si="8">COUNTIF($B$2:$B$746,B514)</f>
        <v>2</v>
      </c>
    </row>
    <row r="515" spans="1:4" x14ac:dyDescent="0.25">
      <c r="A515" s="20" t="s">
        <v>664</v>
      </c>
      <c r="B515" s="20" t="s">
        <v>910</v>
      </c>
      <c r="C515" s="20">
        <v>39.479999999999997</v>
      </c>
      <c r="D515">
        <f t="shared" si="8"/>
        <v>2</v>
      </c>
    </row>
    <row r="516" spans="1:4" x14ac:dyDescent="0.25">
      <c r="A516" s="20" t="s">
        <v>664</v>
      </c>
      <c r="B516" s="20" t="s">
        <v>910</v>
      </c>
      <c r="C516" s="20">
        <v>42.24</v>
      </c>
      <c r="D516">
        <f t="shared" si="8"/>
        <v>2</v>
      </c>
    </row>
    <row r="517" spans="1:4" x14ac:dyDescent="0.25">
      <c r="A517" s="20" t="s">
        <v>664</v>
      </c>
      <c r="B517" s="20" t="s">
        <v>914</v>
      </c>
      <c r="C517" s="20">
        <v>46.68</v>
      </c>
      <c r="D517">
        <f t="shared" si="8"/>
        <v>2</v>
      </c>
    </row>
    <row r="518" spans="1:4" x14ac:dyDescent="0.25">
      <c r="A518" s="20" t="s">
        <v>664</v>
      </c>
      <c r="B518" s="20" t="s">
        <v>914</v>
      </c>
      <c r="C518" s="20">
        <v>49.95</v>
      </c>
      <c r="D518">
        <f t="shared" si="8"/>
        <v>2</v>
      </c>
    </row>
    <row r="519" spans="1:4" x14ac:dyDescent="0.25">
      <c r="A519" s="20" t="s">
        <v>664</v>
      </c>
      <c r="B519" s="20" t="s">
        <v>805</v>
      </c>
      <c r="C519" s="20">
        <v>24</v>
      </c>
      <c r="D519">
        <f t="shared" si="8"/>
        <v>2</v>
      </c>
    </row>
    <row r="520" spans="1:4" x14ac:dyDescent="0.25">
      <c r="A520" s="20" t="s">
        <v>664</v>
      </c>
      <c r="B520" s="20" t="s">
        <v>805</v>
      </c>
      <c r="C520" s="20">
        <v>26.4</v>
      </c>
      <c r="D520">
        <f t="shared" si="8"/>
        <v>2</v>
      </c>
    </row>
    <row r="521" spans="1:4" x14ac:dyDescent="0.25">
      <c r="A521" s="20" t="s">
        <v>664</v>
      </c>
      <c r="B521" s="20" t="s">
        <v>799</v>
      </c>
      <c r="C521" s="20">
        <v>24</v>
      </c>
      <c r="D521">
        <f t="shared" si="8"/>
        <v>2</v>
      </c>
    </row>
    <row r="522" spans="1:4" x14ac:dyDescent="0.25">
      <c r="A522" s="20" t="s">
        <v>664</v>
      </c>
      <c r="B522" s="20" t="s">
        <v>799</v>
      </c>
      <c r="C522" s="20">
        <v>26.4</v>
      </c>
      <c r="D522">
        <f t="shared" si="8"/>
        <v>2</v>
      </c>
    </row>
    <row r="523" spans="1:4" x14ac:dyDescent="0.25">
      <c r="A523" s="20" t="s">
        <v>664</v>
      </c>
      <c r="B523" s="20" t="s">
        <v>801</v>
      </c>
      <c r="C523" s="20">
        <v>24</v>
      </c>
      <c r="D523">
        <f t="shared" si="8"/>
        <v>2</v>
      </c>
    </row>
    <row r="524" spans="1:4" x14ac:dyDescent="0.25">
      <c r="A524" s="20" t="s">
        <v>664</v>
      </c>
      <c r="B524" s="20" t="s">
        <v>801</v>
      </c>
      <c r="C524" s="20">
        <v>25.68</v>
      </c>
      <c r="D524">
        <f t="shared" si="8"/>
        <v>2</v>
      </c>
    </row>
    <row r="525" spans="1:4" x14ac:dyDescent="0.25">
      <c r="A525" s="20" t="s">
        <v>18</v>
      </c>
      <c r="B525" s="20" t="s">
        <v>35</v>
      </c>
      <c r="C525" s="20">
        <v>50.4</v>
      </c>
      <c r="D525">
        <f t="shared" si="8"/>
        <v>3</v>
      </c>
    </row>
    <row r="526" spans="1:4" x14ac:dyDescent="0.25">
      <c r="A526" s="20" t="s">
        <v>18</v>
      </c>
      <c r="B526" s="20" t="s">
        <v>92</v>
      </c>
      <c r="C526" s="20">
        <v>16</v>
      </c>
      <c r="D526">
        <f t="shared" si="8"/>
        <v>3</v>
      </c>
    </row>
    <row r="527" spans="1:4" x14ac:dyDescent="0.25">
      <c r="A527" s="20" t="s">
        <v>18</v>
      </c>
      <c r="B527" s="20" t="s">
        <v>64</v>
      </c>
      <c r="C527" s="20">
        <v>49</v>
      </c>
      <c r="D527">
        <f t="shared" si="8"/>
        <v>3</v>
      </c>
    </row>
    <row r="528" spans="1:4" x14ac:dyDescent="0.25">
      <c r="A528" s="20" t="s">
        <v>18</v>
      </c>
      <c r="B528" s="20" t="s">
        <v>82</v>
      </c>
      <c r="C528" s="20">
        <v>58</v>
      </c>
      <c r="D528">
        <f t="shared" si="8"/>
        <v>3</v>
      </c>
    </row>
    <row r="529" spans="1:4" x14ac:dyDescent="0.25">
      <c r="A529" s="20" t="s">
        <v>18</v>
      </c>
      <c r="B529" s="20" t="s">
        <v>82</v>
      </c>
      <c r="C529" s="20">
        <v>63.9</v>
      </c>
      <c r="D529">
        <f t="shared" si="8"/>
        <v>3</v>
      </c>
    </row>
    <row r="530" spans="1:4" x14ac:dyDescent="0.25">
      <c r="A530" s="20" t="s">
        <v>18</v>
      </c>
      <c r="B530" s="20" t="s">
        <v>48</v>
      </c>
      <c r="C530" s="20">
        <v>39.5</v>
      </c>
      <c r="D530">
        <f t="shared" si="8"/>
        <v>3</v>
      </c>
    </row>
    <row r="531" spans="1:4" x14ac:dyDescent="0.25">
      <c r="A531" s="20" t="s">
        <v>18</v>
      </c>
      <c r="B531" s="20" t="s">
        <v>48</v>
      </c>
      <c r="C531" s="20">
        <v>43.5</v>
      </c>
      <c r="D531">
        <f t="shared" si="8"/>
        <v>3</v>
      </c>
    </row>
    <row r="532" spans="1:4" x14ac:dyDescent="0.25">
      <c r="A532" s="20" t="s">
        <v>18</v>
      </c>
      <c r="B532" s="20" t="s">
        <v>44</v>
      </c>
      <c r="C532" s="20">
        <v>39.5</v>
      </c>
      <c r="D532">
        <f t="shared" si="8"/>
        <v>3</v>
      </c>
    </row>
    <row r="533" spans="1:4" x14ac:dyDescent="0.25">
      <c r="A533" s="20" t="s">
        <v>18</v>
      </c>
      <c r="B533" s="20" t="s">
        <v>44</v>
      </c>
      <c r="C533" s="20">
        <v>43.5</v>
      </c>
      <c r="D533">
        <f t="shared" si="8"/>
        <v>3</v>
      </c>
    </row>
    <row r="534" spans="1:4" x14ac:dyDescent="0.25">
      <c r="A534" s="20" t="s">
        <v>18</v>
      </c>
      <c r="B534" s="20" t="s">
        <v>120</v>
      </c>
      <c r="C534" s="20">
        <v>12.5</v>
      </c>
      <c r="D534">
        <f t="shared" si="8"/>
        <v>3</v>
      </c>
    </row>
    <row r="535" spans="1:4" x14ac:dyDescent="0.25">
      <c r="A535" s="20" t="s">
        <v>18</v>
      </c>
      <c r="B535" s="20" t="s">
        <v>120</v>
      </c>
      <c r="C535" s="20">
        <v>13.9</v>
      </c>
      <c r="D535">
        <f t="shared" si="8"/>
        <v>3</v>
      </c>
    </row>
    <row r="536" spans="1:4" x14ac:dyDescent="0.25">
      <c r="A536" s="20" t="s">
        <v>18</v>
      </c>
      <c r="B536" s="20" t="s">
        <v>128</v>
      </c>
      <c r="C536" s="20">
        <v>23.63</v>
      </c>
      <c r="D536">
        <f t="shared" si="8"/>
        <v>3</v>
      </c>
    </row>
    <row r="537" spans="1:4" x14ac:dyDescent="0.25">
      <c r="A537" s="20" t="s">
        <v>18</v>
      </c>
      <c r="B537" s="20" t="s">
        <v>46</v>
      </c>
      <c r="C537" s="20">
        <v>39.5</v>
      </c>
      <c r="D537">
        <f t="shared" si="8"/>
        <v>3</v>
      </c>
    </row>
    <row r="538" spans="1:4" x14ac:dyDescent="0.25">
      <c r="A538" s="20" t="s">
        <v>18</v>
      </c>
      <c r="B538" s="20" t="s">
        <v>46</v>
      </c>
      <c r="C538" s="20">
        <v>43.5</v>
      </c>
      <c r="D538">
        <f t="shared" si="8"/>
        <v>3</v>
      </c>
    </row>
    <row r="539" spans="1:4" x14ac:dyDescent="0.25">
      <c r="A539" s="20" t="s">
        <v>18</v>
      </c>
      <c r="B539" s="20" t="s">
        <v>50</v>
      </c>
      <c r="C539" s="20">
        <v>39.5</v>
      </c>
      <c r="D539">
        <f t="shared" si="8"/>
        <v>3</v>
      </c>
    </row>
    <row r="540" spans="1:4" x14ac:dyDescent="0.25">
      <c r="A540" s="20" t="s">
        <v>18</v>
      </c>
      <c r="B540" s="20" t="s">
        <v>50</v>
      </c>
      <c r="C540" s="20">
        <v>43.5</v>
      </c>
      <c r="D540">
        <f t="shared" si="8"/>
        <v>3</v>
      </c>
    </row>
    <row r="541" spans="1:4" x14ac:dyDescent="0.25">
      <c r="A541" s="20" t="s">
        <v>201</v>
      </c>
      <c r="B541" s="20" t="s">
        <v>205</v>
      </c>
      <c r="C541" s="20">
        <v>10.06</v>
      </c>
      <c r="D541">
        <f t="shared" si="8"/>
        <v>3</v>
      </c>
    </row>
    <row r="542" spans="1:4" x14ac:dyDescent="0.25">
      <c r="A542" s="20" t="s">
        <v>201</v>
      </c>
      <c r="B542" s="20" t="s">
        <v>205</v>
      </c>
      <c r="C542" s="20">
        <v>10.56</v>
      </c>
      <c r="D542">
        <f t="shared" si="8"/>
        <v>3</v>
      </c>
    </row>
    <row r="543" spans="1:4" x14ac:dyDescent="0.25">
      <c r="A543" s="20" t="s">
        <v>201</v>
      </c>
      <c r="B543" s="20" t="s">
        <v>205</v>
      </c>
      <c r="C543" s="20">
        <v>12.44</v>
      </c>
      <c r="D543">
        <f t="shared" si="8"/>
        <v>3</v>
      </c>
    </row>
    <row r="544" spans="1:4" x14ac:dyDescent="0.25">
      <c r="A544" s="20" t="s">
        <v>247</v>
      </c>
      <c r="B544" s="20" t="s">
        <v>250</v>
      </c>
      <c r="C544" s="20">
        <v>47.94</v>
      </c>
      <c r="D544">
        <f t="shared" si="8"/>
        <v>3</v>
      </c>
    </row>
    <row r="545" spans="1:4" x14ac:dyDescent="0.25">
      <c r="A545" s="20" t="s">
        <v>247</v>
      </c>
      <c r="B545" s="20" t="s">
        <v>250</v>
      </c>
      <c r="C545" s="20">
        <v>65.94</v>
      </c>
      <c r="D545">
        <f t="shared" si="8"/>
        <v>3</v>
      </c>
    </row>
    <row r="546" spans="1:4" x14ac:dyDescent="0.25">
      <c r="A546" s="20" t="s">
        <v>253</v>
      </c>
      <c r="B546" s="20" t="s">
        <v>250</v>
      </c>
      <c r="C546" s="20">
        <v>50.153500000000001</v>
      </c>
      <c r="D546">
        <f t="shared" si="8"/>
        <v>3</v>
      </c>
    </row>
    <row r="547" spans="1:4" x14ac:dyDescent="0.25">
      <c r="A547" s="20" t="s">
        <v>272</v>
      </c>
      <c r="B547" s="20" t="s">
        <v>35</v>
      </c>
      <c r="C547" s="20">
        <v>45</v>
      </c>
      <c r="D547">
        <f t="shared" si="8"/>
        <v>3</v>
      </c>
    </row>
    <row r="548" spans="1:4" x14ac:dyDescent="0.25">
      <c r="A548" s="20" t="s">
        <v>272</v>
      </c>
      <c r="B548" s="20" t="s">
        <v>328</v>
      </c>
      <c r="C548" s="20">
        <v>81</v>
      </c>
      <c r="D548">
        <f t="shared" si="8"/>
        <v>3</v>
      </c>
    </row>
    <row r="549" spans="1:4" x14ac:dyDescent="0.25">
      <c r="A549" s="20" t="s">
        <v>272</v>
      </c>
      <c r="B549" s="20" t="s">
        <v>328</v>
      </c>
      <c r="C549" s="20">
        <v>82</v>
      </c>
      <c r="D549">
        <f t="shared" si="8"/>
        <v>3</v>
      </c>
    </row>
    <row r="550" spans="1:4" x14ac:dyDescent="0.25">
      <c r="A550" s="20" t="s">
        <v>272</v>
      </c>
      <c r="B550" s="20" t="s">
        <v>328</v>
      </c>
      <c r="C550" s="20">
        <v>82.5</v>
      </c>
      <c r="D550">
        <f t="shared" si="8"/>
        <v>3</v>
      </c>
    </row>
    <row r="551" spans="1:4" x14ac:dyDescent="0.25">
      <c r="A551" s="20" t="s">
        <v>272</v>
      </c>
      <c r="B551" s="20" t="s">
        <v>92</v>
      </c>
      <c r="C551" s="20">
        <v>15.3</v>
      </c>
      <c r="D551">
        <f t="shared" si="8"/>
        <v>3</v>
      </c>
    </row>
    <row r="552" spans="1:4" x14ac:dyDescent="0.25">
      <c r="A552" s="20" t="s">
        <v>272</v>
      </c>
      <c r="B552" s="20" t="s">
        <v>92</v>
      </c>
      <c r="C552" s="20">
        <v>17</v>
      </c>
      <c r="D552">
        <f t="shared" si="8"/>
        <v>3</v>
      </c>
    </row>
    <row r="553" spans="1:4" x14ac:dyDescent="0.25">
      <c r="A553" s="20" t="s">
        <v>272</v>
      </c>
      <c r="B553" s="20" t="s">
        <v>348</v>
      </c>
      <c r="C553" s="20">
        <v>16</v>
      </c>
      <c r="D553">
        <f t="shared" si="8"/>
        <v>3</v>
      </c>
    </row>
    <row r="554" spans="1:4" x14ac:dyDescent="0.25">
      <c r="A554" s="20" t="s">
        <v>272</v>
      </c>
      <c r="B554" s="20" t="s">
        <v>348</v>
      </c>
      <c r="C554" s="20">
        <v>17</v>
      </c>
      <c r="D554">
        <f t="shared" si="8"/>
        <v>3</v>
      </c>
    </row>
    <row r="555" spans="1:4" x14ac:dyDescent="0.25">
      <c r="A555" s="20" t="s">
        <v>272</v>
      </c>
      <c r="B555" s="20" t="s">
        <v>350</v>
      </c>
      <c r="C555" s="20">
        <v>15.3</v>
      </c>
      <c r="D555">
        <f t="shared" si="8"/>
        <v>3</v>
      </c>
    </row>
    <row r="556" spans="1:4" x14ac:dyDescent="0.25">
      <c r="A556" s="20" t="s">
        <v>272</v>
      </c>
      <c r="B556" s="20" t="s">
        <v>350</v>
      </c>
      <c r="C556" s="20">
        <v>16</v>
      </c>
      <c r="D556">
        <f t="shared" si="8"/>
        <v>3</v>
      </c>
    </row>
    <row r="557" spans="1:4" x14ac:dyDescent="0.25">
      <c r="A557" s="20" t="s">
        <v>272</v>
      </c>
      <c r="B557" s="20" t="s">
        <v>350</v>
      </c>
      <c r="C557" s="20">
        <v>17</v>
      </c>
      <c r="D557">
        <f t="shared" si="8"/>
        <v>3</v>
      </c>
    </row>
    <row r="558" spans="1:4" x14ac:dyDescent="0.25">
      <c r="A558" s="20" t="s">
        <v>272</v>
      </c>
      <c r="B558" s="20" t="s">
        <v>82</v>
      </c>
      <c r="C558" s="20">
        <v>78</v>
      </c>
      <c r="D558">
        <f t="shared" si="8"/>
        <v>3</v>
      </c>
    </row>
    <row r="559" spans="1:4" x14ac:dyDescent="0.25">
      <c r="A559" s="20" t="s">
        <v>272</v>
      </c>
      <c r="B559" s="20" t="s">
        <v>48</v>
      </c>
      <c r="C559" s="20">
        <v>35</v>
      </c>
      <c r="D559">
        <f t="shared" si="8"/>
        <v>3</v>
      </c>
    </row>
    <row r="560" spans="1:4" x14ac:dyDescent="0.25">
      <c r="A560" s="20" t="s">
        <v>272</v>
      </c>
      <c r="B560" s="20" t="s">
        <v>374</v>
      </c>
      <c r="C560" s="20">
        <v>39</v>
      </c>
      <c r="D560">
        <f t="shared" si="8"/>
        <v>3</v>
      </c>
    </row>
    <row r="561" spans="1:4" x14ac:dyDescent="0.25">
      <c r="A561" s="20" t="s">
        <v>272</v>
      </c>
      <c r="B561" s="20" t="s">
        <v>44</v>
      </c>
      <c r="C561" s="20">
        <v>35</v>
      </c>
      <c r="D561">
        <f t="shared" si="8"/>
        <v>3</v>
      </c>
    </row>
    <row r="562" spans="1:4" x14ac:dyDescent="0.25">
      <c r="A562" s="20" t="s">
        <v>272</v>
      </c>
      <c r="B562" s="20" t="s">
        <v>310</v>
      </c>
      <c r="C562" s="20">
        <v>21.6</v>
      </c>
      <c r="D562">
        <f t="shared" si="8"/>
        <v>3</v>
      </c>
    </row>
    <row r="563" spans="1:4" x14ac:dyDescent="0.25">
      <c r="A563" s="20" t="s">
        <v>272</v>
      </c>
      <c r="B563" s="20" t="s">
        <v>310</v>
      </c>
      <c r="C563" s="20">
        <v>22</v>
      </c>
      <c r="D563">
        <f t="shared" si="8"/>
        <v>3</v>
      </c>
    </row>
    <row r="564" spans="1:4" x14ac:dyDescent="0.25">
      <c r="A564" s="20" t="s">
        <v>272</v>
      </c>
      <c r="B564" s="20" t="s">
        <v>310</v>
      </c>
      <c r="C564" s="20">
        <v>24</v>
      </c>
      <c r="D564">
        <f t="shared" si="8"/>
        <v>3</v>
      </c>
    </row>
    <row r="565" spans="1:4" x14ac:dyDescent="0.25">
      <c r="A565" s="20" t="s">
        <v>272</v>
      </c>
      <c r="B565" s="20" t="s">
        <v>314</v>
      </c>
      <c r="C565" s="20">
        <v>35.1</v>
      </c>
      <c r="D565">
        <f t="shared" si="8"/>
        <v>3</v>
      </c>
    </row>
    <row r="566" spans="1:4" x14ac:dyDescent="0.25">
      <c r="A566" s="20" t="s">
        <v>272</v>
      </c>
      <c r="B566" s="20" t="s">
        <v>314</v>
      </c>
      <c r="C566" s="20">
        <v>36</v>
      </c>
      <c r="D566">
        <f t="shared" si="8"/>
        <v>3</v>
      </c>
    </row>
    <row r="567" spans="1:4" x14ac:dyDescent="0.25">
      <c r="A567" s="20" t="s">
        <v>272</v>
      </c>
      <c r="B567" s="20" t="s">
        <v>314</v>
      </c>
      <c r="C567" s="20">
        <v>39</v>
      </c>
      <c r="D567">
        <f t="shared" si="8"/>
        <v>3</v>
      </c>
    </row>
    <row r="568" spans="1:4" x14ac:dyDescent="0.25">
      <c r="A568" s="20" t="s">
        <v>272</v>
      </c>
      <c r="B568" s="20" t="s">
        <v>290</v>
      </c>
      <c r="C568" s="20">
        <v>27</v>
      </c>
      <c r="D568">
        <f t="shared" si="8"/>
        <v>3</v>
      </c>
    </row>
    <row r="569" spans="1:4" x14ac:dyDescent="0.25">
      <c r="A569" s="20" t="s">
        <v>272</v>
      </c>
      <c r="B569" s="20" t="s">
        <v>290</v>
      </c>
      <c r="C569" s="20">
        <v>28</v>
      </c>
      <c r="D569">
        <f t="shared" si="8"/>
        <v>3</v>
      </c>
    </row>
    <row r="570" spans="1:4" x14ac:dyDescent="0.25">
      <c r="A570" s="20" t="s">
        <v>272</v>
      </c>
      <c r="B570" s="20" t="s">
        <v>290</v>
      </c>
      <c r="C570" s="20">
        <v>30</v>
      </c>
      <c r="D570">
        <f t="shared" si="8"/>
        <v>3</v>
      </c>
    </row>
    <row r="571" spans="1:4" x14ac:dyDescent="0.25">
      <c r="A571" s="20" t="s">
        <v>272</v>
      </c>
      <c r="B571" s="20" t="s">
        <v>343</v>
      </c>
      <c r="C571" s="20">
        <v>50</v>
      </c>
      <c r="D571">
        <f t="shared" si="8"/>
        <v>3</v>
      </c>
    </row>
    <row r="572" spans="1:4" x14ac:dyDescent="0.25">
      <c r="A572" s="20" t="s">
        <v>272</v>
      </c>
      <c r="B572" s="20" t="s">
        <v>343</v>
      </c>
      <c r="C572" s="20">
        <v>52.2</v>
      </c>
      <c r="D572">
        <f t="shared" si="8"/>
        <v>3</v>
      </c>
    </row>
    <row r="573" spans="1:4" x14ac:dyDescent="0.25">
      <c r="A573" s="20" t="s">
        <v>272</v>
      </c>
      <c r="B573" s="20" t="s">
        <v>343</v>
      </c>
      <c r="C573" s="20">
        <v>58</v>
      </c>
      <c r="D573">
        <f t="shared" si="8"/>
        <v>3</v>
      </c>
    </row>
    <row r="574" spans="1:4" x14ac:dyDescent="0.25">
      <c r="A574" s="20" t="s">
        <v>272</v>
      </c>
      <c r="B574" s="20" t="s">
        <v>312</v>
      </c>
      <c r="C574" s="20">
        <v>23.4</v>
      </c>
      <c r="D574">
        <f t="shared" si="8"/>
        <v>3</v>
      </c>
    </row>
    <row r="575" spans="1:4" x14ac:dyDescent="0.25">
      <c r="A575" s="20" t="s">
        <v>272</v>
      </c>
      <c r="B575" s="20" t="s">
        <v>312</v>
      </c>
      <c r="C575" s="20">
        <v>24</v>
      </c>
      <c r="D575">
        <f t="shared" si="8"/>
        <v>3</v>
      </c>
    </row>
    <row r="576" spans="1:4" x14ac:dyDescent="0.25">
      <c r="A576" s="20" t="s">
        <v>272</v>
      </c>
      <c r="B576" s="20" t="s">
        <v>312</v>
      </c>
      <c r="C576" s="20">
        <v>26</v>
      </c>
      <c r="D576">
        <f t="shared" si="8"/>
        <v>3</v>
      </c>
    </row>
    <row r="577" spans="1:4" x14ac:dyDescent="0.25">
      <c r="A577" s="20" t="s">
        <v>272</v>
      </c>
      <c r="B577" s="20" t="s">
        <v>469</v>
      </c>
      <c r="C577" s="20">
        <v>36</v>
      </c>
      <c r="D577">
        <f t="shared" si="8"/>
        <v>3</v>
      </c>
    </row>
    <row r="578" spans="1:4" x14ac:dyDescent="0.25">
      <c r="A578" s="20" t="s">
        <v>272</v>
      </c>
      <c r="B578" s="20" t="s">
        <v>469</v>
      </c>
      <c r="C578" s="20">
        <v>38</v>
      </c>
      <c r="D578">
        <f t="shared" ref="D578:D641" si="9">COUNTIF($B$2:$B$746,B578)</f>
        <v>3</v>
      </c>
    </row>
    <row r="579" spans="1:4" x14ac:dyDescent="0.25">
      <c r="A579" s="20" t="s">
        <v>272</v>
      </c>
      <c r="B579" s="20" t="s">
        <v>469</v>
      </c>
      <c r="C579" s="20">
        <v>42</v>
      </c>
      <c r="D579">
        <f t="shared" si="9"/>
        <v>3</v>
      </c>
    </row>
    <row r="580" spans="1:4" x14ac:dyDescent="0.25">
      <c r="A580" s="20" t="s">
        <v>272</v>
      </c>
      <c r="B580" s="20" t="s">
        <v>298</v>
      </c>
      <c r="C580" s="20">
        <v>17</v>
      </c>
      <c r="D580">
        <f t="shared" si="9"/>
        <v>3</v>
      </c>
    </row>
    <row r="581" spans="1:4" x14ac:dyDescent="0.25">
      <c r="A581" s="20" t="s">
        <v>272</v>
      </c>
      <c r="B581" s="20" t="s">
        <v>298</v>
      </c>
      <c r="C581" s="20">
        <v>17.100000000000001</v>
      </c>
      <c r="D581">
        <f t="shared" si="9"/>
        <v>3</v>
      </c>
    </row>
    <row r="582" spans="1:4" x14ac:dyDescent="0.25">
      <c r="A582" s="20" t="s">
        <v>272</v>
      </c>
      <c r="B582" s="20" t="s">
        <v>298</v>
      </c>
      <c r="C582" s="20">
        <v>19</v>
      </c>
      <c r="D582">
        <f t="shared" si="9"/>
        <v>3</v>
      </c>
    </row>
    <row r="583" spans="1:4" x14ac:dyDescent="0.25">
      <c r="A583" s="20" t="s">
        <v>272</v>
      </c>
      <c r="B583" s="20" t="s">
        <v>296</v>
      </c>
      <c r="C583" s="20">
        <v>18.899999999999999</v>
      </c>
      <c r="D583">
        <f t="shared" si="9"/>
        <v>3</v>
      </c>
    </row>
    <row r="584" spans="1:4" x14ac:dyDescent="0.25">
      <c r="A584" s="20" t="s">
        <v>272</v>
      </c>
      <c r="B584" s="20" t="s">
        <v>296</v>
      </c>
      <c r="C584" s="20">
        <v>19</v>
      </c>
      <c r="D584">
        <f t="shared" si="9"/>
        <v>3</v>
      </c>
    </row>
    <row r="585" spans="1:4" x14ac:dyDescent="0.25">
      <c r="A585" s="20" t="s">
        <v>272</v>
      </c>
      <c r="B585" s="20" t="s">
        <v>296</v>
      </c>
      <c r="C585" s="20">
        <v>21</v>
      </c>
      <c r="D585">
        <f t="shared" si="9"/>
        <v>3</v>
      </c>
    </row>
    <row r="586" spans="1:4" x14ac:dyDescent="0.25">
      <c r="A586" s="20" t="s">
        <v>272</v>
      </c>
      <c r="B586" s="20" t="s">
        <v>280</v>
      </c>
      <c r="C586" s="20">
        <v>39.6</v>
      </c>
      <c r="D586">
        <f t="shared" si="9"/>
        <v>3</v>
      </c>
    </row>
    <row r="587" spans="1:4" x14ac:dyDescent="0.25">
      <c r="A587" s="20" t="s">
        <v>272</v>
      </c>
      <c r="B587" s="20" t="s">
        <v>280</v>
      </c>
      <c r="C587" s="20">
        <v>40</v>
      </c>
      <c r="D587">
        <f t="shared" si="9"/>
        <v>3</v>
      </c>
    </row>
    <row r="588" spans="1:4" x14ac:dyDescent="0.25">
      <c r="A588" s="20" t="s">
        <v>272</v>
      </c>
      <c r="B588" s="20" t="s">
        <v>280</v>
      </c>
      <c r="C588" s="20">
        <v>44</v>
      </c>
      <c r="D588">
        <f t="shared" si="9"/>
        <v>3</v>
      </c>
    </row>
    <row r="589" spans="1:4" x14ac:dyDescent="0.25">
      <c r="A589" s="20" t="s">
        <v>272</v>
      </c>
      <c r="B589" s="20" t="s">
        <v>302</v>
      </c>
      <c r="C589" s="20">
        <v>27</v>
      </c>
      <c r="D589">
        <f t="shared" si="9"/>
        <v>3</v>
      </c>
    </row>
    <row r="590" spans="1:4" x14ac:dyDescent="0.25">
      <c r="A590" s="20" t="s">
        <v>272</v>
      </c>
      <c r="B590" s="20" t="s">
        <v>302</v>
      </c>
      <c r="C590" s="20">
        <v>28</v>
      </c>
      <c r="D590">
        <f t="shared" si="9"/>
        <v>3</v>
      </c>
    </row>
    <row r="591" spans="1:4" x14ac:dyDescent="0.25">
      <c r="A591" s="20" t="s">
        <v>272</v>
      </c>
      <c r="B591" s="20" t="s">
        <v>302</v>
      </c>
      <c r="C591" s="20">
        <v>30</v>
      </c>
      <c r="D591">
        <f t="shared" si="9"/>
        <v>3</v>
      </c>
    </row>
    <row r="592" spans="1:4" x14ac:dyDescent="0.25">
      <c r="A592" s="20" t="s">
        <v>272</v>
      </c>
      <c r="B592" s="20" t="s">
        <v>388</v>
      </c>
      <c r="C592" s="20">
        <v>53.55</v>
      </c>
      <c r="D592">
        <f t="shared" si="9"/>
        <v>3</v>
      </c>
    </row>
    <row r="593" spans="1:4" x14ac:dyDescent="0.25">
      <c r="A593" s="20" t="s">
        <v>272</v>
      </c>
      <c r="B593" s="20" t="s">
        <v>388</v>
      </c>
      <c r="C593" s="20">
        <v>55</v>
      </c>
      <c r="D593">
        <f t="shared" si="9"/>
        <v>3</v>
      </c>
    </row>
    <row r="594" spans="1:4" x14ac:dyDescent="0.25">
      <c r="A594" s="20" t="s">
        <v>272</v>
      </c>
      <c r="B594" s="20" t="s">
        <v>388</v>
      </c>
      <c r="C594" s="20">
        <v>59.5</v>
      </c>
      <c r="D594">
        <f t="shared" si="9"/>
        <v>3</v>
      </c>
    </row>
    <row r="595" spans="1:4" x14ac:dyDescent="0.25">
      <c r="A595" s="20" t="s">
        <v>272</v>
      </c>
      <c r="B595" s="20" t="s">
        <v>286</v>
      </c>
      <c r="C595" s="20">
        <v>44.55</v>
      </c>
      <c r="D595">
        <f t="shared" si="9"/>
        <v>3</v>
      </c>
    </row>
    <row r="596" spans="1:4" x14ac:dyDescent="0.25">
      <c r="A596" s="20" t="s">
        <v>272</v>
      </c>
      <c r="B596" s="20" t="s">
        <v>286</v>
      </c>
      <c r="C596" s="20">
        <v>45</v>
      </c>
      <c r="D596">
        <f t="shared" si="9"/>
        <v>3</v>
      </c>
    </row>
    <row r="597" spans="1:4" x14ac:dyDescent="0.25">
      <c r="A597" s="20" t="s">
        <v>272</v>
      </c>
      <c r="B597" s="20" t="s">
        <v>286</v>
      </c>
      <c r="C597" s="20">
        <v>49.5</v>
      </c>
      <c r="D597">
        <f t="shared" si="9"/>
        <v>3</v>
      </c>
    </row>
    <row r="598" spans="1:4" x14ac:dyDescent="0.25">
      <c r="A598" s="20" t="s">
        <v>272</v>
      </c>
      <c r="B598" s="20" t="s">
        <v>120</v>
      </c>
      <c r="C598" s="20">
        <v>18</v>
      </c>
      <c r="D598">
        <f t="shared" si="9"/>
        <v>3</v>
      </c>
    </row>
    <row r="599" spans="1:4" x14ac:dyDescent="0.25">
      <c r="A599" s="20" t="s">
        <v>272</v>
      </c>
      <c r="B599" s="20" t="s">
        <v>128</v>
      </c>
      <c r="C599" s="20">
        <v>25.2</v>
      </c>
      <c r="D599">
        <f t="shared" si="9"/>
        <v>3</v>
      </c>
    </row>
    <row r="600" spans="1:4" x14ac:dyDescent="0.25">
      <c r="A600" s="20" t="s">
        <v>272</v>
      </c>
      <c r="B600" s="20" t="s">
        <v>128</v>
      </c>
      <c r="C600" s="20">
        <v>28</v>
      </c>
      <c r="D600">
        <f t="shared" si="9"/>
        <v>3</v>
      </c>
    </row>
    <row r="601" spans="1:4" x14ac:dyDescent="0.25">
      <c r="A601" s="20" t="s">
        <v>272</v>
      </c>
      <c r="B601" s="20" t="s">
        <v>366</v>
      </c>
      <c r="C601" s="20">
        <v>33.299999999999997</v>
      </c>
      <c r="D601">
        <f t="shared" si="9"/>
        <v>3</v>
      </c>
    </row>
    <row r="602" spans="1:4" x14ac:dyDescent="0.25">
      <c r="A602" s="20" t="s">
        <v>272</v>
      </c>
      <c r="B602" s="20" t="s">
        <v>366</v>
      </c>
      <c r="C602" s="20">
        <v>35</v>
      </c>
      <c r="D602">
        <f t="shared" si="9"/>
        <v>3</v>
      </c>
    </row>
    <row r="603" spans="1:4" x14ac:dyDescent="0.25">
      <c r="A603" s="20" t="s">
        <v>272</v>
      </c>
      <c r="B603" s="20" t="s">
        <v>366</v>
      </c>
      <c r="C603" s="20">
        <v>37</v>
      </c>
      <c r="D603">
        <f t="shared" si="9"/>
        <v>3</v>
      </c>
    </row>
    <row r="604" spans="1:4" x14ac:dyDescent="0.25">
      <c r="A604" s="20" t="s">
        <v>272</v>
      </c>
      <c r="B604" s="20" t="s">
        <v>46</v>
      </c>
      <c r="C604" s="20">
        <v>35</v>
      </c>
      <c r="D604">
        <f t="shared" si="9"/>
        <v>3</v>
      </c>
    </row>
    <row r="605" spans="1:4" x14ac:dyDescent="0.25">
      <c r="A605" s="20" t="s">
        <v>272</v>
      </c>
      <c r="B605" s="20" t="s">
        <v>354</v>
      </c>
      <c r="C605" s="20">
        <v>15.3</v>
      </c>
      <c r="D605">
        <f t="shared" si="9"/>
        <v>3</v>
      </c>
    </row>
    <row r="606" spans="1:4" x14ac:dyDescent="0.25">
      <c r="A606" s="20" t="s">
        <v>272</v>
      </c>
      <c r="B606" s="20" t="s">
        <v>354</v>
      </c>
      <c r="C606" s="20">
        <v>16</v>
      </c>
      <c r="D606">
        <f t="shared" si="9"/>
        <v>3</v>
      </c>
    </row>
    <row r="607" spans="1:4" x14ac:dyDescent="0.25">
      <c r="A607" s="20" t="s">
        <v>272</v>
      </c>
      <c r="B607" s="20" t="s">
        <v>354</v>
      </c>
      <c r="C607" s="20">
        <v>17</v>
      </c>
      <c r="D607">
        <f t="shared" si="9"/>
        <v>3</v>
      </c>
    </row>
    <row r="608" spans="1:4" x14ac:dyDescent="0.25">
      <c r="A608" s="20" t="s">
        <v>272</v>
      </c>
      <c r="B608" s="20" t="s">
        <v>50</v>
      </c>
      <c r="C608" s="20">
        <v>35</v>
      </c>
      <c r="D608">
        <f t="shared" si="9"/>
        <v>3</v>
      </c>
    </row>
    <row r="609" spans="1:4" x14ac:dyDescent="0.25">
      <c r="A609" s="20" t="s">
        <v>272</v>
      </c>
      <c r="B609" s="20" t="s">
        <v>333</v>
      </c>
      <c r="C609" s="20">
        <v>31.8</v>
      </c>
      <c r="D609">
        <f t="shared" si="9"/>
        <v>3</v>
      </c>
    </row>
    <row r="610" spans="1:4" x14ac:dyDescent="0.25">
      <c r="A610" s="20" t="s">
        <v>272</v>
      </c>
      <c r="B610" s="20" t="s">
        <v>333</v>
      </c>
      <c r="C610" s="20">
        <v>35.1</v>
      </c>
      <c r="D610">
        <f t="shared" si="9"/>
        <v>3</v>
      </c>
    </row>
    <row r="611" spans="1:4" x14ac:dyDescent="0.25">
      <c r="A611" s="20" t="s">
        <v>272</v>
      </c>
      <c r="B611" s="20" t="s">
        <v>333</v>
      </c>
      <c r="C611" s="20">
        <v>39</v>
      </c>
      <c r="D611">
        <f t="shared" si="9"/>
        <v>3</v>
      </c>
    </row>
    <row r="612" spans="1:4" x14ac:dyDescent="0.25">
      <c r="A612" s="20" t="s">
        <v>272</v>
      </c>
      <c r="B612" s="20" t="s">
        <v>368</v>
      </c>
      <c r="C612" s="20">
        <v>36.9</v>
      </c>
      <c r="D612">
        <f t="shared" si="9"/>
        <v>3</v>
      </c>
    </row>
    <row r="613" spans="1:4" x14ac:dyDescent="0.25">
      <c r="A613" s="20" t="s">
        <v>272</v>
      </c>
      <c r="B613" s="20" t="s">
        <v>368</v>
      </c>
      <c r="C613" s="20">
        <v>38</v>
      </c>
      <c r="D613">
        <f t="shared" si="9"/>
        <v>3</v>
      </c>
    </row>
    <row r="614" spans="1:4" x14ac:dyDescent="0.25">
      <c r="A614" s="20" t="s">
        <v>272</v>
      </c>
      <c r="B614" s="20" t="s">
        <v>368</v>
      </c>
      <c r="C614" s="20">
        <v>41</v>
      </c>
      <c r="D614">
        <f t="shared" si="9"/>
        <v>3</v>
      </c>
    </row>
    <row r="615" spans="1:4" x14ac:dyDescent="0.25">
      <c r="A615" s="20" t="s">
        <v>664</v>
      </c>
      <c r="B615" s="20" t="s">
        <v>35</v>
      </c>
      <c r="C615" s="20">
        <v>28.8</v>
      </c>
      <c r="D615">
        <f t="shared" si="9"/>
        <v>3</v>
      </c>
    </row>
    <row r="616" spans="1:4" x14ac:dyDescent="0.25">
      <c r="A616" s="20" t="s">
        <v>664</v>
      </c>
      <c r="B616" s="20" t="s">
        <v>64</v>
      </c>
      <c r="C616" s="20">
        <v>47.56</v>
      </c>
      <c r="D616">
        <f t="shared" si="9"/>
        <v>3</v>
      </c>
    </row>
    <row r="617" spans="1:4" x14ac:dyDescent="0.25">
      <c r="A617" s="20" t="s">
        <v>664</v>
      </c>
      <c r="B617" s="20" t="s">
        <v>64</v>
      </c>
      <c r="C617" s="20">
        <v>50.9</v>
      </c>
      <c r="D617">
        <f t="shared" si="9"/>
        <v>3</v>
      </c>
    </row>
    <row r="618" spans="1:4" x14ac:dyDescent="0.25">
      <c r="A618" s="20" t="s">
        <v>664</v>
      </c>
      <c r="B618" s="20" t="s">
        <v>348</v>
      </c>
      <c r="C618" s="20">
        <v>18.32</v>
      </c>
      <c r="D618">
        <f t="shared" si="9"/>
        <v>3</v>
      </c>
    </row>
    <row r="619" spans="1:4" x14ac:dyDescent="0.25">
      <c r="A619" s="20" t="s">
        <v>664</v>
      </c>
      <c r="B619" s="20" t="s">
        <v>374</v>
      </c>
      <c r="C619" s="20">
        <v>29.7</v>
      </c>
      <c r="D619">
        <f t="shared" si="9"/>
        <v>3</v>
      </c>
    </row>
    <row r="620" spans="1:4" x14ac:dyDescent="0.25">
      <c r="A620" s="20" t="s">
        <v>664</v>
      </c>
      <c r="B620" s="20" t="s">
        <v>374</v>
      </c>
      <c r="C620" s="20">
        <v>31.8</v>
      </c>
      <c r="D620">
        <f t="shared" si="9"/>
        <v>3</v>
      </c>
    </row>
    <row r="621" spans="1:4" x14ac:dyDescent="0.25">
      <c r="A621" s="20" t="s">
        <v>664</v>
      </c>
      <c r="B621" s="20" t="s">
        <v>865</v>
      </c>
      <c r="C621" s="20">
        <v>49.08</v>
      </c>
      <c r="D621">
        <f t="shared" si="9"/>
        <v>3</v>
      </c>
    </row>
    <row r="622" spans="1:4" x14ac:dyDescent="0.25">
      <c r="A622" s="20" t="s">
        <v>664</v>
      </c>
      <c r="B622" s="20" t="s">
        <v>865</v>
      </c>
      <c r="C622" s="20">
        <v>49.52</v>
      </c>
      <c r="D622">
        <f t="shared" si="9"/>
        <v>3</v>
      </c>
    </row>
    <row r="623" spans="1:4" x14ac:dyDescent="0.25">
      <c r="A623" s="20" t="s">
        <v>664</v>
      </c>
      <c r="B623" s="20" t="s">
        <v>865</v>
      </c>
      <c r="C623" s="20">
        <v>52.52</v>
      </c>
      <c r="D623">
        <f t="shared" si="9"/>
        <v>3</v>
      </c>
    </row>
    <row r="624" spans="1:4" x14ac:dyDescent="0.25">
      <c r="A624" s="20" t="s">
        <v>664</v>
      </c>
      <c r="B624" s="20" t="s">
        <v>863</v>
      </c>
      <c r="C624" s="20">
        <v>49.08</v>
      </c>
      <c r="D624">
        <f t="shared" si="9"/>
        <v>3</v>
      </c>
    </row>
    <row r="625" spans="1:4" x14ac:dyDescent="0.25">
      <c r="A625" s="20" t="s">
        <v>664</v>
      </c>
      <c r="B625" s="20" t="s">
        <v>863</v>
      </c>
      <c r="C625" s="20">
        <v>49.52</v>
      </c>
      <c r="D625">
        <f t="shared" si="9"/>
        <v>3</v>
      </c>
    </row>
    <row r="626" spans="1:4" x14ac:dyDescent="0.25">
      <c r="A626" s="20" t="s">
        <v>664</v>
      </c>
      <c r="B626" s="20" t="s">
        <v>863</v>
      </c>
      <c r="C626" s="20">
        <v>52.52</v>
      </c>
      <c r="D626">
        <f t="shared" si="9"/>
        <v>3</v>
      </c>
    </row>
    <row r="627" spans="1:4" x14ac:dyDescent="0.25">
      <c r="A627" s="20" t="s">
        <v>664</v>
      </c>
      <c r="B627" s="20" t="s">
        <v>736</v>
      </c>
      <c r="C627" s="20">
        <v>8.48</v>
      </c>
      <c r="D627">
        <f t="shared" si="9"/>
        <v>3</v>
      </c>
    </row>
    <row r="628" spans="1:4" x14ac:dyDescent="0.25">
      <c r="A628" s="20" t="s">
        <v>664</v>
      </c>
      <c r="B628" s="20" t="s">
        <v>736</v>
      </c>
      <c r="C628" s="20">
        <v>9.07</v>
      </c>
      <c r="D628">
        <f t="shared" si="9"/>
        <v>3</v>
      </c>
    </row>
    <row r="629" spans="1:4" x14ac:dyDescent="0.25">
      <c r="A629" s="20" t="s">
        <v>664</v>
      </c>
      <c r="B629" s="20" t="s">
        <v>736</v>
      </c>
      <c r="C629" s="20">
        <v>9.48</v>
      </c>
      <c r="D629">
        <f t="shared" si="9"/>
        <v>3</v>
      </c>
    </row>
    <row r="630" spans="1:4" x14ac:dyDescent="0.25">
      <c r="A630" s="20" t="s">
        <v>664</v>
      </c>
      <c r="B630" s="20" t="s">
        <v>738</v>
      </c>
      <c r="C630" s="20">
        <v>8.48</v>
      </c>
      <c r="D630">
        <f t="shared" si="9"/>
        <v>3</v>
      </c>
    </row>
    <row r="631" spans="1:4" x14ac:dyDescent="0.25">
      <c r="A631" s="20" t="s">
        <v>664</v>
      </c>
      <c r="B631" s="20" t="s">
        <v>738</v>
      </c>
      <c r="C631" s="20">
        <v>9.07</v>
      </c>
      <c r="D631">
        <f t="shared" si="9"/>
        <v>3</v>
      </c>
    </row>
    <row r="632" spans="1:4" x14ac:dyDescent="0.25">
      <c r="A632" s="20" t="s">
        <v>664</v>
      </c>
      <c r="B632" s="20" t="s">
        <v>738</v>
      </c>
      <c r="C632" s="20">
        <v>9.48</v>
      </c>
      <c r="D632">
        <f t="shared" si="9"/>
        <v>3</v>
      </c>
    </row>
    <row r="633" spans="1:4" x14ac:dyDescent="0.25">
      <c r="A633" s="20" t="s">
        <v>664</v>
      </c>
      <c r="B633" s="20" t="s">
        <v>770</v>
      </c>
      <c r="C633" s="20">
        <v>35</v>
      </c>
      <c r="D633">
        <f t="shared" si="9"/>
        <v>3</v>
      </c>
    </row>
    <row r="634" spans="1:4" x14ac:dyDescent="0.25">
      <c r="A634" s="20" t="s">
        <v>664</v>
      </c>
      <c r="B634" s="20" t="s">
        <v>770</v>
      </c>
      <c r="C634" s="20">
        <v>37</v>
      </c>
      <c r="D634">
        <f t="shared" si="9"/>
        <v>3</v>
      </c>
    </row>
    <row r="635" spans="1:4" x14ac:dyDescent="0.25">
      <c r="A635" s="20" t="s">
        <v>664</v>
      </c>
      <c r="B635" s="20" t="s">
        <v>770</v>
      </c>
      <c r="C635" s="20">
        <v>37.450000000000003</v>
      </c>
      <c r="D635">
        <f t="shared" si="9"/>
        <v>3</v>
      </c>
    </row>
    <row r="636" spans="1:4" x14ac:dyDescent="0.25">
      <c r="A636" s="20" t="s">
        <v>664</v>
      </c>
      <c r="B636" s="20" t="s">
        <v>686</v>
      </c>
      <c r="C636" s="20">
        <v>23.88</v>
      </c>
      <c r="D636">
        <f t="shared" si="9"/>
        <v>3</v>
      </c>
    </row>
    <row r="637" spans="1:4" x14ac:dyDescent="0.25">
      <c r="A637" s="20" t="s">
        <v>664</v>
      </c>
      <c r="B637" s="20" t="s">
        <v>686</v>
      </c>
      <c r="C637" s="20">
        <v>25.54</v>
      </c>
      <c r="D637">
        <f t="shared" si="9"/>
        <v>3</v>
      </c>
    </row>
    <row r="638" spans="1:4" x14ac:dyDescent="0.25">
      <c r="A638" s="20" t="s">
        <v>664</v>
      </c>
      <c r="B638" s="20" t="s">
        <v>686</v>
      </c>
      <c r="C638" s="20">
        <v>25.55</v>
      </c>
      <c r="D638">
        <f t="shared" si="9"/>
        <v>3</v>
      </c>
    </row>
    <row r="639" spans="1:4" x14ac:dyDescent="0.25">
      <c r="A639" s="20" t="s">
        <v>664</v>
      </c>
      <c r="B639" s="20" t="s">
        <v>764</v>
      </c>
      <c r="C639" s="20">
        <v>32.4</v>
      </c>
      <c r="D639">
        <f t="shared" si="9"/>
        <v>3</v>
      </c>
    </row>
    <row r="640" spans="1:4" x14ac:dyDescent="0.25">
      <c r="A640" s="20" t="s">
        <v>664</v>
      </c>
      <c r="B640" s="20" t="s">
        <v>764</v>
      </c>
      <c r="C640" s="20">
        <v>34.659999999999997</v>
      </c>
      <c r="D640">
        <f t="shared" si="9"/>
        <v>3</v>
      </c>
    </row>
    <row r="641" spans="1:4" x14ac:dyDescent="0.25">
      <c r="A641" s="20" t="s">
        <v>664</v>
      </c>
      <c r="B641" s="20" t="s">
        <v>764</v>
      </c>
      <c r="C641" s="20">
        <v>44.82</v>
      </c>
      <c r="D641">
        <f t="shared" si="9"/>
        <v>3</v>
      </c>
    </row>
    <row r="642" spans="1:4" x14ac:dyDescent="0.25">
      <c r="A642" s="20" t="s">
        <v>664</v>
      </c>
      <c r="B642" s="20" t="s">
        <v>754</v>
      </c>
      <c r="C642" s="20">
        <v>35.880000000000003</v>
      </c>
      <c r="D642">
        <f t="shared" ref="D642:D705" si="10">COUNTIF($B$2:$B$746,B642)</f>
        <v>3</v>
      </c>
    </row>
    <row r="643" spans="1:4" x14ac:dyDescent="0.25">
      <c r="A643" s="20" t="s">
        <v>664</v>
      </c>
      <c r="B643" s="20" t="s">
        <v>754</v>
      </c>
      <c r="C643" s="20">
        <v>38.380000000000003</v>
      </c>
      <c r="D643">
        <f t="shared" si="10"/>
        <v>3</v>
      </c>
    </row>
    <row r="644" spans="1:4" x14ac:dyDescent="0.25">
      <c r="A644" s="20" t="s">
        <v>664</v>
      </c>
      <c r="B644" s="20" t="s">
        <v>754</v>
      </c>
      <c r="C644" s="20">
        <v>38.39</v>
      </c>
      <c r="D644">
        <f t="shared" si="10"/>
        <v>3</v>
      </c>
    </row>
    <row r="645" spans="1:4" x14ac:dyDescent="0.25">
      <c r="A645" s="20" t="s">
        <v>664</v>
      </c>
      <c r="B645" s="20" t="s">
        <v>704</v>
      </c>
      <c r="C645" s="20">
        <v>39.36</v>
      </c>
      <c r="D645">
        <f t="shared" si="10"/>
        <v>3</v>
      </c>
    </row>
    <row r="646" spans="1:4" x14ac:dyDescent="0.25">
      <c r="A646" s="20" t="s">
        <v>664</v>
      </c>
      <c r="B646" s="20" t="s">
        <v>704</v>
      </c>
      <c r="C646" s="20">
        <v>42.96</v>
      </c>
      <c r="D646">
        <f t="shared" si="10"/>
        <v>3</v>
      </c>
    </row>
    <row r="647" spans="1:4" x14ac:dyDescent="0.25">
      <c r="A647" s="20" t="s">
        <v>664</v>
      </c>
      <c r="B647" s="20" t="s">
        <v>704</v>
      </c>
      <c r="C647" s="20">
        <v>45.96</v>
      </c>
      <c r="D647">
        <f t="shared" si="10"/>
        <v>3</v>
      </c>
    </row>
    <row r="648" spans="1:4" x14ac:dyDescent="0.25">
      <c r="A648" s="20" t="s">
        <v>664</v>
      </c>
      <c r="B648" s="20" t="s">
        <v>768</v>
      </c>
      <c r="C648" s="20">
        <v>45.8</v>
      </c>
      <c r="D648">
        <f t="shared" si="10"/>
        <v>3</v>
      </c>
    </row>
    <row r="649" spans="1:4" x14ac:dyDescent="0.25">
      <c r="A649" s="20" t="s">
        <v>664</v>
      </c>
      <c r="B649" s="20" t="s">
        <v>768</v>
      </c>
      <c r="C649" s="20">
        <v>47.8</v>
      </c>
      <c r="D649">
        <f t="shared" si="10"/>
        <v>3</v>
      </c>
    </row>
    <row r="650" spans="1:4" x14ac:dyDescent="0.25">
      <c r="A650" s="20" t="s">
        <v>664</v>
      </c>
      <c r="B650" s="20" t="s">
        <v>768</v>
      </c>
      <c r="C650" s="20">
        <v>51.15</v>
      </c>
      <c r="D650">
        <f t="shared" si="10"/>
        <v>3</v>
      </c>
    </row>
    <row r="651" spans="1:4" x14ac:dyDescent="0.25">
      <c r="A651" s="20" t="s">
        <v>664</v>
      </c>
      <c r="B651" s="20" t="s">
        <v>774</v>
      </c>
      <c r="C651" s="20">
        <v>25.08</v>
      </c>
      <c r="D651">
        <f t="shared" si="10"/>
        <v>3</v>
      </c>
    </row>
    <row r="652" spans="1:4" x14ac:dyDescent="0.25">
      <c r="A652" s="20" t="s">
        <v>664</v>
      </c>
      <c r="B652" s="20" t="s">
        <v>774</v>
      </c>
      <c r="C652" s="20">
        <v>26.4</v>
      </c>
      <c r="D652">
        <f t="shared" si="10"/>
        <v>3</v>
      </c>
    </row>
    <row r="653" spans="1:4" x14ac:dyDescent="0.25">
      <c r="A653" s="20" t="s">
        <v>664</v>
      </c>
      <c r="B653" s="20" t="s">
        <v>774</v>
      </c>
      <c r="C653" s="20">
        <v>26.84</v>
      </c>
      <c r="D653">
        <f t="shared" si="10"/>
        <v>3</v>
      </c>
    </row>
    <row r="654" spans="1:4" x14ac:dyDescent="0.25">
      <c r="A654" s="20" t="s">
        <v>664</v>
      </c>
      <c r="B654" s="20" t="s">
        <v>828</v>
      </c>
      <c r="C654" s="20">
        <v>27</v>
      </c>
      <c r="D654">
        <f t="shared" si="10"/>
        <v>3</v>
      </c>
    </row>
    <row r="655" spans="1:4" x14ac:dyDescent="0.25">
      <c r="A655" s="20" t="s">
        <v>664</v>
      </c>
      <c r="B655" s="20" t="s">
        <v>828</v>
      </c>
      <c r="C655" s="20">
        <v>28.88</v>
      </c>
      <c r="D655">
        <f t="shared" si="10"/>
        <v>3</v>
      </c>
    </row>
    <row r="656" spans="1:4" x14ac:dyDescent="0.25">
      <c r="A656" s="20" t="s">
        <v>664</v>
      </c>
      <c r="B656" s="20" t="s">
        <v>828</v>
      </c>
      <c r="C656" s="20">
        <v>28.89</v>
      </c>
      <c r="D656">
        <f t="shared" si="10"/>
        <v>3</v>
      </c>
    </row>
    <row r="657" spans="1:4" x14ac:dyDescent="0.25">
      <c r="A657" s="20" t="s">
        <v>664</v>
      </c>
      <c r="B657" s="20" t="s">
        <v>830</v>
      </c>
      <c r="C657" s="20">
        <v>27</v>
      </c>
      <c r="D657">
        <f t="shared" si="10"/>
        <v>3</v>
      </c>
    </row>
    <row r="658" spans="1:4" x14ac:dyDescent="0.25">
      <c r="A658" s="20" t="s">
        <v>664</v>
      </c>
      <c r="B658" s="20" t="s">
        <v>830</v>
      </c>
      <c r="C658" s="20">
        <v>28.88</v>
      </c>
      <c r="D658">
        <f t="shared" si="10"/>
        <v>3</v>
      </c>
    </row>
    <row r="659" spans="1:4" x14ac:dyDescent="0.25">
      <c r="A659" s="20" t="s">
        <v>664</v>
      </c>
      <c r="B659" s="20" t="s">
        <v>830</v>
      </c>
      <c r="C659" s="20">
        <v>28.89</v>
      </c>
      <c r="D659">
        <f t="shared" si="10"/>
        <v>3</v>
      </c>
    </row>
    <row r="660" spans="1:4" x14ac:dyDescent="0.25">
      <c r="A660" s="20" t="s">
        <v>664</v>
      </c>
      <c r="B660" s="20" t="s">
        <v>788</v>
      </c>
      <c r="C660" s="20">
        <v>12</v>
      </c>
      <c r="D660">
        <f t="shared" si="10"/>
        <v>3</v>
      </c>
    </row>
    <row r="661" spans="1:4" x14ac:dyDescent="0.25">
      <c r="A661" s="20" t="s">
        <v>664</v>
      </c>
      <c r="B661" s="20" t="s">
        <v>788</v>
      </c>
      <c r="C661" s="20">
        <v>12.4</v>
      </c>
      <c r="D661">
        <f t="shared" si="10"/>
        <v>3</v>
      </c>
    </row>
    <row r="662" spans="1:4" x14ac:dyDescent="0.25">
      <c r="A662" s="20" t="s">
        <v>664</v>
      </c>
      <c r="B662" s="20" t="s">
        <v>788</v>
      </c>
      <c r="C662" s="20">
        <v>12.84</v>
      </c>
      <c r="D662">
        <f t="shared" si="10"/>
        <v>3</v>
      </c>
    </row>
    <row r="663" spans="1:4" x14ac:dyDescent="0.25">
      <c r="A663" s="20" t="s">
        <v>664</v>
      </c>
      <c r="B663" s="20" t="s">
        <v>891</v>
      </c>
      <c r="C663" s="20">
        <v>13</v>
      </c>
      <c r="D663">
        <f t="shared" si="10"/>
        <v>3</v>
      </c>
    </row>
    <row r="664" spans="1:4" x14ac:dyDescent="0.25">
      <c r="A664" s="20" t="s">
        <v>664</v>
      </c>
      <c r="B664" s="20" t="s">
        <v>891</v>
      </c>
      <c r="C664" s="20">
        <v>13.91</v>
      </c>
      <c r="D664">
        <f t="shared" si="10"/>
        <v>3</v>
      </c>
    </row>
    <row r="665" spans="1:4" x14ac:dyDescent="0.25">
      <c r="A665" s="20" t="s">
        <v>664</v>
      </c>
      <c r="B665" s="20" t="s">
        <v>891</v>
      </c>
      <c r="C665" s="20">
        <v>14</v>
      </c>
      <c r="D665">
        <f t="shared" si="10"/>
        <v>3</v>
      </c>
    </row>
    <row r="666" spans="1:4" x14ac:dyDescent="0.25">
      <c r="A666" s="20" t="s">
        <v>664</v>
      </c>
      <c r="B666" s="20" t="s">
        <v>803</v>
      </c>
      <c r="C666" s="20">
        <v>21.4</v>
      </c>
      <c r="D666">
        <f t="shared" si="10"/>
        <v>3</v>
      </c>
    </row>
    <row r="667" spans="1:4" x14ac:dyDescent="0.25">
      <c r="A667" s="20" t="s">
        <v>664</v>
      </c>
      <c r="B667" s="20" t="s">
        <v>803</v>
      </c>
      <c r="C667" s="20">
        <v>22</v>
      </c>
      <c r="D667">
        <f t="shared" si="10"/>
        <v>3</v>
      </c>
    </row>
    <row r="668" spans="1:4" x14ac:dyDescent="0.25">
      <c r="A668" s="20" t="s">
        <v>664</v>
      </c>
      <c r="B668" s="20" t="s">
        <v>803</v>
      </c>
      <c r="C668" s="20">
        <v>24</v>
      </c>
      <c r="D668">
        <f t="shared" si="10"/>
        <v>3</v>
      </c>
    </row>
    <row r="669" spans="1:4" x14ac:dyDescent="0.25">
      <c r="A669" s="20" t="s">
        <v>18</v>
      </c>
      <c r="B669" s="20" t="s">
        <v>37</v>
      </c>
      <c r="C669" s="20">
        <v>90</v>
      </c>
      <c r="D669">
        <f t="shared" si="10"/>
        <v>4</v>
      </c>
    </row>
    <row r="670" spans="1:4" x14ac:dyDescent="0.25">
      <c r="A670" s="20" t="s">
        <v>18</v>
      </c>
      <c r="B670" s="20" t="s">
        <v>88</v>
      </c>
      <c r="C670" s="20">
        <v>16</v>
      </c>
      <c r="D670">
        <f t="shared" si="10"/>
        <v>4</v>
      </c>
    </row>
    <row r="671" spans="1:4" x14ac:dyDescent="0.25">
      <c r="A671" s="20" t="s">
        <v>18</v>
      </c>
      <c r="B671" s="20" t="s">
        <v>88</v>
      </c>
      <c r="C671" s="20">
        <v>17.600000000000001</v>
      </c>
      <c r="D671">
        <f t="shared" si="10"/>
        <v>4</v>
      </c>
    </row>
    <row r="672" spans="1:4" x14ac:dyDescent="0.25">
      <c r="A672" s="20" t="s">
        <v>18</v>
      </c>
      <c r="B672" s="20" t="s">
        <v>58</v>
      </c>
      <c r="C672" s="20">
        <v>70</v>
      </c>
      <c r="D672">
        <f t="shared" si="10"/>
        <v>4</v>
      </c>
    </row>
    <row r="673" spans="1:4" x14ac:dyDescent="0.25">
      <c r="A673" s="20" t="s">
        <v>18</v>
      </c>
      <c r="B673" s="20" t="s">
        <v>80</v>
      </c>
      <c r="C673" s="20">
        <v>12.25</v>
      </c>
      <c r="D673">
        <f t="shared" si="10"/>
        <v>4</v>
      </c>
    </row>
    <row r="674" spans="1:4" x14ac:dyDescent="0.25">
      <c r="A674" s="20" t="s">
        <v>18</v>
      </c>
      <c r="B674" s="20" t="s">
        <v>80</v>
      </c>
      <c r="C674" s="20">
        <v>13.5</v>
      </c>
      <c r="D674">
        <f t="shared" si="10"/>
        <v>4</v>
      </c>
    </row>
    <row r="675" spans="1:4" x14ac:dyDescent="0.25">
      <c r="A675" s="20" t="s">
        <v>18</v>
      </c>
      <c r="B675" s="20" t="s">
        <v>72</v>
      </c>
      <c r="C675" s="20">
        <v>77</v>
      </c>
      <c r="D675">
        <f t="shared" si="10"/>
        <v>4</v>
      </c>
    </row>
    <row r="676" spans="1:4" x14ac:dyDescent="0.25">
      <c r="A676" s="20" t="s">
        <v>18</v>
      </c>
      <c r="B676" s="20" t="s">
        <v>72</v>
      </c>
      <c r="C676" s="20">
        <v>84.9</v>
      </c>
      <c r="D676">
        <f t="shared" si="10"/>
        <v>4</v>
      </c>
    </row>
    <row r="677" spans="1:4" x14ac:dyDescent="0.25">
      <c r="A677" s="20" t="s">
        <v>18</v>
      </c>
      <c r="B677" s="20" t="s">
        <v>62</v>
      </c>
      <c r="C677" s="20">
        <v>16</v>
      </c>
      <c r="D677">
        <f t="shared" si="10"/>
        <v>4</v>
      </c>
    </row>
    <row r="678" spans="1:4" x14ac:dyDescent="0.25">
      <c r="A678" s="20" t="s">
        <v>18</v>
      </c>
      <c r="B678" s="20" t="s">
        <v>122</v>
      </c>
      <c r="C678" s="20">
        <v>23.63</v>
      </c>
      <c r="D678">
        <f t="shared" si="10"/>
        <v>4</v>
      </c>
    </row>
    <row r="679" spans="1:4" x14ac:dyDescent="0.25">
      <c r="A679" s="20" t="s">
        <v>18</v>
      </c>
      <c r="B679" s="20" t="s">
        <v>122</v>
      </c>
      <c r="C679" s="20">
        <v>25.9</v>
      </c>
      <c r="D679">
        <f t="shared" si="10"/>
        <v>4</v>
      </c>
    </row>
    <row r="680" spans="1:4" x14ac:dyDescent="0.25">
      <c r="A680" s="20" t="s">
        <v>18</v>
      </c>
      <c r="B680" s="20" t="s">
        <v>126</v>
      </c>
      <c r="C680" s="20">
        <v>23.63</v>
      </c>
      <c r="D680">
        <f t="shared" si="10"/>
        <v>4</v>
      </c>
    </row>
    <row r="681" spans="1:4" x14ac:dyDescent="0.25">
      <c r="A681" s="20" t="s">
        <v>18</v>
      </c>
      <c r="B681" s="20" t="s">
        <v>126</v>
      </c>
      <c r="C681" s="20">
        <v>25.9</v>
      </c>
      <c r="D681">
        <f t="shared" si="10"/>
        <v>4</v>
      </c>
    </row>
    <row r="682" spans="1:4" x14ac:dyDescent="0.25">
      <c r="A682" s="20" t="s">
        <v>18</v>
      </c>
      <c r="B682" s="20" t="s">
        <v>130</v>
      </c>
      <c r="C682" s="20">
        <v>17.5</v>
      </c>
      <c r="D682">
        <f t="shared" si="10"/>
        <v>4</v>
      </c>
    </row>
    <row r="683" spans="1:4" x14ac:dyDescent="0.25">
      <c r="A683" s="20" t="s">
        <v>18</v>
      </c>
      <c r="B683" s="20" t="s">
        <v>130</v>
      </c>
      <c r="C683" s="20">
        <v>19.5</v>
      </c>
      <c r="D683">
        <f t="shared" si="10"/>
        <v>4</v>
      </c>
    </row>
    <row r="684" spans="1:4" x14ac:dyDescent="0.25">
      <c r="A684" s="20" t="s">
        <v>18</v>
      </c>
      <c r="B684" s="20" t="s">
        <v>78</v>
      </c>
      <c r="C684" s="20">
        <v>60.8</v>
      </c>
      <c r="D684">
        <f t="shared" si="10"/>
        <v>4</v>
      </c>
    </row>
    <row r="685" spans="1:4" x14ac:dyDescent="0.25">
      <c r="A685" s="20" t="s">
        <v>18</v>
      </c>
      <c r="B685" s="20" t="s">
        <v>78</v>
      </c>
      <c r="C685" s="20">
        <v>66.900000000000006</v>
      </c>
      <c r="D685">
        <f t="shared" si="10"/>
        <v>4</v>
      </c>
    </row>
    <row r="686" spans="1:4" x14ac:dyDescent="0.25">
      <c r="A686" s="20" t="s">
        <v>272</v>
      </c>
      <c r="B686" s="20" t="s">
        <v>37</v>
      </c>
      <c r="C686" s="20">
        <v>99</v>
      </c>
      <c r="D686">
        <f t="shared" si="10"/>
        <v>4</v>
      </c>
    </row>
    <row r="687" spans="1:4" x14ac:dyDescent="0.25">
      <c r="A687" s="20" t="s">
        <v>272</v>
      </c>
      <c r="B687" s="20" t="s">
        <v>88</v>
      </c>
      <c r="C687" s="20">
        <v>17</v>
      </c>
      <c r="D687">
        <f t="shared" si="10"/>
        <v>4</v>
      </c>
    </row>
    <row r="688" spans="1:4" x14ac:dyDescent="0.25">
      <c r="A688" s="20" t="s">
        <v>272</v>
      </c>
      <c r="B688" s="20" t="s">
        <v>80</v>
      </c>
      <c r="C688" s="20">
        <v>13.5</v>
      </c>
      <c r="D688">
        <f t="shared" si="10"/>
        <v>4</v>
      </c>
    </row>
    <row r="689" spans="1:4" x14ac:dyDescent="0.25">
      <c r="A689" s="20" t="s">
        <v>272</v>
      </c>
      <c r="B689" s="20" t="s">
        <v>80</v>
      </c>
      <c r="C689" s="20">
        <v>15</v>
      </c>
      <c r="D689">
        <f t="shared" si="10"/>
        <v>4</v>
      </c>
    </row>
    <row r="690" spans="1:4" x14ac:dyDescent="0.25">
      <c r="A690" s="20" t="s">
        <v>272</v>
      </c>
      <c r="B690" s="20" t="s">
        <v>372</v>
      </c>
      <c r="C690" s="20">
        <v>9</v>
      </c>
      <c r="D690">
        <f t="shared" si="10"/>
        <v>4</v>
      </c>
    </row>
    <row r="691" spans="1:4" x14ac:dyDescent="0.25">
      <c r="A691" s="20" t="s">
        <v>272</v>
      </c>
      <c r="B691" s="20" t="s">
        <v>372</v>
      </c>
      <c r="C691" s="20">
        <v>36</v>
      </c>
      <c r="D691">
        <f t="shared" si="10"/>
        <v>4</v>
      </c>
    </row>
    <row r="692" spans="1:4" x14ac:dyDescent="0.25">
      <c r="A692" s="20" t="s">
        <v>272</v>
      </c>
      <c r="B692" s="20" t="s">
        <v>372</v>
      </c>
      <c r="C692" s="20">
        <v>39</v>
      </c>
      <c r="D692">
        <f t="shared" si="10"/>
        <v>4</v>
      </c>
    </row>
    <row r="693" spans="1:4" x14ac:dyDescent="0.25">
      <c r="A693" s="20" t="s">
        <v>272</v>
      </c>
      <c r="B693" s="20" t="s">
        <v>72</v>
      </c>
      <c r="C693" s="20">
        <v>79.5</v>
      </c>
      <c r="D693">
        <f t="shared" si="10"/>
        <v>4</v>
      </c>
    </row>
    <row r="694" spans="1:4" x14ac:dyDescent="0.25">
      <c r="A694" s="20" t="s">
        <v>272</v>
      </c>
      <c r="B694" s="20" t="s">
        <v>62</v>
      </c>
      <c r="C694" s="20">
        <v>17</v>
      </c>
      <c r="D694">
        <f t="shared" si="10"/>
        <v>4</v>
      </c>
    </row>
    <row r="695" spans="1:4" x14ac:dyDescent="0.25">
      <c r="A695" s="20" t="s">
        <v>272</v>
      </c>
      <c r="B695" s="20" t="s">
        <v>122</v>
      </c>
      <c r="C695" s="20">
        <v>23.4</v>
      </c>
      <c r="D695">
        <f t="shared" si="10"/>
        <v>4</v>
      </c>
    </row>
    <row r="696" spans="1:4" x14ac:dyDescent="0.25">
      <c r="A696" s="20" t="s">
        <v>272</v>
      </c>
      <c r="B696" s="20" t="s">
        <v>122</v>
      </c>
      <c r="C696" s="20">
        <v>26</v>
      </c>
      <c r="D696">
        <f t="shared" si="10"/>
        <v>4</v>
      </c>
    </row>
    <row r="697" spans="1:4" x14ac:dyDescent="0.25">
      <c r="A697" s="20" t="s">
        <v>272</v>
      </c>
      <c r="B697" s="20" t="s">
        <v>126</v>
      </c>
      <c r="C697" s="20">
        <v>25.2</v>
      </c>
      <c r="D697">
        <f t="shared" si="10"/>
        <v>4</v>
      </c>
    </row>
    <row r="698" spans="1:4" x14ac:dyDescent="0.25">
      <c r="A698" s="20" t="s">
        <v>272</v>
      </c>
      <c r="B698" s="20" t="s">
        <v>126</v>
      </c>
      <c r="C698" s="20">
        <v>28</v>
      </c>
      <c r="D698">
        <f t="shared" si="10"/>
        <v>4</v>
      </c>
    </row>
    <row r="699" spans="1:4" x14ac:dyDescent="0.25">
      <c r="A699" s="20" t="s">
        <v>272</v>
      </c>
      <c r="B699" s="20" t="s">
        <v>130</v>
      </c>
      <c r="C699" s="20">
        <v>19.8</v>
      </c>
      <c r="D699">
        <f t="shared" si="10"/>
        <v>4</v>
      </c>
    </row>
    <row r="700" spans="1:4" x14ac:dyDescent="0.25">
      <c r="A700" s="20" t="s">
        <v>272</v>
      </c>
      <c r="B700" s="20" t="s">
        <v>130</v>
      </c>
      <c r="C700" s="20">
        <v>22</v>
      </c>
      <c r="D700">
        <f t="shared" si="10"/>
        <v>4</v>
      </c>
    </row>
    <row r="701" spans="1:4" x14ac:dyDescent="0.25">
      <c r="A701" s="20" t="s">
        <v>272</v>
      </c>
      <c r="B701" s="20" t="s">
        <v>331</v>
      </c>
      <c r="C701" s="20">
        <v>31.8</v>
      </c>
      <c r="D701">
        <f t="shared" si="10"/>
        <v>4</v>
      </c>
    </row>
    <row r="702" spans="1:4" x14ac:dyDescent="0.25">
      <c r="A702" s="20" t="s">
        <v>272</v>
      </c>
      <c r="B702" s="20" t="s">
        <v>331</v>
      </c>
      <c r="C702" s="20">
        <v>35</v>
      </c>
      <c r="D702">
        <f t="shared" si="10"/>
        <v>4</v>
      </c>
    </row>
    <row r="703" spans="1:4" x14ac:dyDescent="0.25">
      <c r="A703" s="20" t="s">
        <v>272</v>
      </c>
      <c r="B703" s="20" t="s">
        <v>331</v>
      </c>
      <c r="C703" s="20">
        <v>35.1</v>
      </c>
      <c r="D703">
        <f t="shared" si="10"/>
        <v>4</v>
      </c>
    </row>
    <row r="704" spans="1:4" x14ac:dyDescent="0.25">
      <c r="A704" s="20" t="s">
        <v>272</v>
      </c>
      <c r="B704" s="20" t="s">
        <v>331</v>
      </c>
      <c r="C704" s="20">
        <v>39</v>
      </c>
      <c r="D704">
        <f t="shared" si="10"/>
        <v>4</v>
      </c>
    </row>
    <row r="705" spans="1:4" x14ac:dyDescent="0.25">
      <c r="A705" s="20" t="s">
        <v>272</v>
      </c>
      <c r="B705" s="20" t="s">
        <v>465</v>
      </c>
      <c r="C705" s="20">
        <v>31.8</v>
      </c>
      <c r="D705">
        <f t="shared" si="10"/>
        <v>4</v>
      </c>
    </row>
    <row r="706" spans="1:4" x14ac:dyDescent="0.25">
      <c r="A706" s="20" t="s">
        <v>272</v>
      </c>
      <c r="B706" s="20" t="s">
        <v>465</v>
      </c>
      <c r="C706" s="20">
        <v>35</v>
      </c>
      <c r="D706">
        <f t="shared" ref="D706:D746" si="11">COUNTIF($B$2:$B$746,B706)</f>
        <v>4</v>
      </c>
    </row>
    <row r="707" spans="1:4" x14ac:dyDescent="0.25">
      <c r="A707" s="20" t="s">
        <v>272</v>
      </c>
      <c r="B707" s="20" t="s">
        <v>465</v>
      </c>
      <c r="C707" s="20">
        <v>35.1</v>
      </c>
      <c r="D707">
        <f t="shared" si="11"/>
        <v>4</v>
      </c>
    </row>
    <row r="708" spans="1:4" x14ac:dyDescent="0.25">
      <c r="A708" s="20" t="s">
        <v>272</v>
      </c>
      <c r="B708" s="20" t="s">
        <v>465</v>
      </c>
      <c r="C708" s="20">
        <v>39</v>
      </c>
      <c r="D708">
        <f t="shared" si="11"/>
        <v>4</v>
      </c>
    </row>
    <row r="709" spans="1:4" x14ac:dyDescent="0.25">
      <c r="A709" s="20" t="s">
        <v>272</v>
      </c>
      <c r="B709" s="20" t="s">
        <v>78</v>
      </c>
      <c r="C709" s="20">
        <v>62.1</v>
      </c>
      <c r="D709">
        <f t="shared" si="11"/>
        <v>4</v>
      </c>
    </row>
    <row r="710" spans="1:4" x14ac:dyDescent="0.25">
      <c r="A710" s="20" t="s">
        <v>272</v>
      </c>
      <c r="B710" s="20" t="s">
        <v>78</v>
      </c>
      <c r="C710" s="20">
        <v>69</v>
      </c>
      <c r="D710">
        <f t="shared" si="11"/>
        <v>4</v>
      </c>
    </row>
    <row r="711" spans="1:4" x14ac:dyDescent="0.25">
      <c r="A711" s="20" t="s">
        <v>664</v>
      </c>
      <c r="B711" s="20" t="s">
        <v>37</v>
      </c>
      <c r="C711" s="20">
        <v>69</v>
      </c>
      <c r="D711">
        <f t="shared" si="11"/>
        <v>4</v>
      </c>
    </row>
    <row r="712" spans="1:4" x14ac:dyDescent="0.25">
      <c r="A712" s="20" t="s">
        <v>664</v>
      </c>
      <c r="B712" s="20" t="s">
        <v>37</v>
      </c>
      <c r="C712" s="20">
        <v>73.8</v>
      </c>
      <c r="D712">
        <f t="shared" si="11"/>
        <v>4</v>
      </c>
    </row>
    <row r="713" spans="1:4" x14ac:dyDescent="0.25">
      <c r="A713" s="20" t="s">
        <v>664</v>
      </c>
      <c r="B713" s="20" t="s">
        <v>88</v>
      </c>
      <c r="C713" s="20">
        <v>18.32</v>
      </c>
      <c r="D713">
        <f t="shared" si="11"/>
        <v>4</v>
      </c>
    </row>
    <row r="714" spans="1:4" x14ac:dyDescent="0.25">
      <c r="A714" s="20" t="s">
        <v>664</v>
      </c>
      <c r="B714" s="20" t="s">
        <v>58</v>
      </c>
      <c r="C714" s="20">
        <v>53.64</v>
      </c>
      <c r="D714">
        <f t="shared" si="11"/>
        <v>4</v>
      </c>
    </row>
    <row r="715" spans="1:4" x14ac:dyDescent="0.25">
      <c r="A715" s="20" t="s">
        <v>664</v>
      </c>
      <c r="B715" s="20" t="s">
        <v>58</v>
      </c>
      <c r="C715" s="20">
        <v>57.39</v>
      </c>
      <c r="D715">
        <f t="shared" si="11"/>
        <v>4</v>
      </c>
    </row>
    <row r="716" spans="1:4" x14ac:dyDescent="0.25">
      <c r="A716" s="20" t="s">
        <v>664</v>
      </c>
      <c r="B716" s="20" t="s">
        <v>58</v>
      </c>
      <c r="C716" s="20">
        <v>60.84</v>
      </c>
      <c r="D716">
        <f t="shared" si="11"/>
        <v>4</v>
      </c>
    </row>
    <row r="717" spans="1:4" x14ac:dyDescent="0.25">
      <c r="A717" s="20" t="s">
        <v>664</v>
      </c>
      <c r="B717" s="20" t="s">
        <v>372</v>
      </c>
      <c r="C717" s="20">
        <v>30</v>
      </c>
      <c r="D717">
        <f t="shared" si="11"/>
        <v>4</v>
      </c>
    </row>
    <row r="718" spans="1:4" x14ac:dyDescent="0.25">
      <c r="A718" s="20" t="s">
        <v>664</v>
      </c>
      <c r="B718" s="20" t="s">
        <v>72</v>
      </c>
      <c r="C718" s="20">
        <v>66.88</v>
      </c>
      <c r="D718">
        <f t="shared" si="11"/>
        <v>4</v>
      </c>
    </row>
    <row r="719" spans="1:4" x14ac:dyDescent="0.25">
      <c r="A719" s="20" t="s">
        <v>664</v>
      </c>
      <c r="B719" s="20" t="s">
        <v>62</v>
      </c>
      <c r="C719" s="20">
        <v>12.8</v>
      </c>
      <c r="D719">
        <f t="shared" si="11"/>
        <v>4</v>
      </c>
    </row>
    <row r="720" spans="1:4" x14ac:dyDescent="0.25">
      <c r="A720" s="20" t="s">
        <v>664</v>
      </c>
      <c r="B720" s="20" t="s">
        <v>62</v>
      </c>
      <c r="C720" s="20">
        <v>13.57</v>
      </c>
      <c r="D720">
        <f t="shared" si="11"/>
        <v>4</v>
      </c>
    </row>
    <row r="721" spans="1:4" x14ac:dyDescent="0.25">
      <c r="A721" s="20" t="s">
        <v>18</v>
      </c>
      <c r="B721" s="20" t="s">
        <v>90</v>
      </c>
      <c r="C721" s="20">
        <v>16</v>
      </c>
      <c r="D721">
        <f t="shared" si="11"/>
        <v>5</v>
      </c>
    </row>
    <row r="722" spans="1:4" x14ac:dyDescent="0.25">
      <c r="A722" s="20" t="s">
        <v>18</v>
      </c>
      <c r="B722" s="20" t="s">
        <v>90</v>
      </c>
      <c r="C722" s="20">
        <v>17.600000000000001</v>
      </c>
      <c r="D722">
        <f t="shared" si="11"/>
        <v>5</v>
      </c>
    </row>
    <row r="723" spans="1:4" x14ac:dyDescent="0.25">
      <c r="A723" s="20" t="s">
        <v>18</v>
      </c>
      <c r="B723" s="20" t="s">
        <v>86</v>
      </c>
      <c r="C723" s="20">
        <v>16</v>
      </c>
      <c r="D723">
        <f t="shared" si="11"/>
        <v>5</v>
      </c>
    </row>
    <row r="724" spans="1:4" x14ac:dyDescent="0.25">
      <c r="A724" s="20" t="s">
        <v>18</v>
      </c>
      <c r="B724" s="20" t="s">
        <v>86</v>
      </c>
      <c r="C724" s="20">
        <v>17.600000000000001</v>
      </c>
      <c r="D724">
        <f t="shared" si="11"/>
        <v>5</v>
      </c>
    </row>
    <row r="725" spans="1:4" x14ac:dyDescent="0.25">
      <c r="A725" s="20" t="s">
        <v>18</v>
      </c>
      <c r="B725" s="20" t="s">
        <v>56</v>
      </c>
      <c r="C725" s="20">
        <v>63</v>
      </c>
      <c r="D725">
        <f t="shared" si="11"/>
        <v>5</v>
      </c>
    </row>
    <row r="726" spans="1:4" x14ac:dyDescent="0.25">
      <c r="A726" s="20" t="s">
        <v>272</v>
      </c>
      <c r="B726" s="20" t="s">
        <v>90</v>
      </c>
      <c r="C726" s="20">
        <v>15.3</v>
      </c>
      <c r="D726">
        <f t="shared" si="11"/>
        <v>5</v>
      </c>
    </row>
    <row r="727" spans="1:4" x14ac:dyDescent="0.25">
      <c r="A727" s="20" t="s">
        <v>272</v>
      </c>
      <c r="B727" s="20" t="s">
        <v>90</v>
      </c>
      <c r="C727" s="20">
        <v>15.5</v>
      </c>
      <c r="D727">
        <f t="shared" si="11"/>
        <v>5</v>
      </c>
    </row>
    <row r="728" spans="1:4" x14ac:dyDescent="0.25">
      <c r="A728" s="20" t="s">
        <v>272</v>
      </c>
      <c r="B728" s="20" t="s">
        <v>90</v>
      </c>
      <c r="C728" s="20">
        <v>17</v>
      </c>
      <c r="D728">
        <f t="shared" si="11"/>
        <v>5</v>
      </c>
    </row>
    <row r="729" spans="1:4" x14ac:dyDescent="0.25">
      <c r="A729" s="20" t="s">
        <v>272</v>
      </c>
      <c r="B729" s="20" t="s">
        <v>86</v>
      </c>
      <c r="C729" s="20">
        <v>15.3</v>
      </c>
      <c r="D729">
        <f t="shared" si="11"/>
        <v>5</v>
      </c>
    </row>
    <row r="730" spans="1:4" x14ac:dyDescent="0.25">
      <c r="A730" s="20" t="s">
        <v>272</v>
      </c>
      <c r="B730" s="20" t="s">
        <v>86</v>
      </c>
      <c r="C730" s="20">
        <v>15.5</v>
      </c>
      <c r="D730">
        <f t="shared" si="11"/>
        <v>5</v>
      </c>
    </row>
    <row r="731" spans="1:4" x14ac:dyDescent="0.25">
      <c r="A731" s="20" t="s">
        <v>272</v>
      </c>
      <c r="B731" s="20" t="s">
        <v>86</v>
      </c>
      <c r="C731" s="20">
        <v>17</v>
      </c>
      <c r="D731">
        <f t="shared" si="11"/>
        <v>5</v>
      </c>
    </row>
    <row r="732" spans="1:4" x14ac:dyDescent="0.25">
      <c r="A732" s="20" t="s">
        <v>272</v>
      </c>
      <c r="B732" s="20" t="s">
        <v>56</v>
      </c>
      <c r="C732" s="20">
        <v>68</v>
      </c>
      <c r="D732">
        <f t="shared" si="11"/>
        <v>5</v>
      </c>
    </row>
    <row r="733" spans="1:4" x14ac:dyDescent="0.25">
      <c r="A733" s="20" t="s">
        <v>272</v>
      </c>
      <c r="B733" s="20" t="s">
        <v>561</v>
      </c>
      <c r="C733" s="20">
        <v>38</v>
      </c>
      <c r="D733">
        <f t="shared" si="11"/>
        <v>5</v>
      </c>
    </row>
    <row r="734" spans="1:4" x14ac:dyDescent="0.25">
      <c r="A734" s="20" t="s">
        <v>664</v>
      </c>
      <c r="B734" s="20" t="s">
        <v>56</v>
      </c>
      <c r="C734" s="20">
        <v>47.76</v>
      </c>
      <c r="D734">
        <f t="shared" si="11"/>
        <v>5</v>
      </c>
    </row>
    <row r="735" spans="1:4" x14ac:dyDescent="0.25">
      <c r="A735" s="20" t="s">
        <v>664</v>
      </c>
      <c r="B735" s="20" t="s">
        <v>56</v>
      </c>
      <c r="C735" s="20">
        <v>51.1</v>
      </c>
      <c r="D735">
        <f t="shared" si="11"/>
        <v>5</v>
      </c>
    </row>
    <row r="736" spans="1:4" x14ac:dyDescent="0.25">
      <c r="A736" s="20" t="s">
        <v>664</v>
      </c>
      <c r="B736" s="20" t="s">
        <v>56</v>
      </c>
      <c r="C736" s="20">
        <v>54.96</v>
      </c>
      <c r="D736">
        <f t="shared" si="11"/>
        <v>5</v>
      </c>
    </row>
    <row r="737" spans="1:4" x14ac:dyDescent="0.25">
      <c r="A737" s="20" t="s">
        <v>664</v>
      </c>
      <c r="B737" s="20" t="s">
        <v>561</v>
      </c>
      <c r="C737" s="20">
        <v>30</v>
      </c>
      <c r="D737">
        <f t="shared" si="11"/>
        <v>5</v>
      </c>
    </row>
    <row r="738" spans="1:4" x14ac:dyDescent="0.25">
      <c r="A738" s="20" t="s">
        <v>664</v>
      </c>
      <c r="B738" s="20" t="s">
        <v>561</v>
      </c>
      <c r="C738" s="20">
        <v>34</v>
      </c>
      <c r="D738">
        <f t="shared" si="11"/>
        <v>5</v>
      </c>
    </row>
    <row r="739" spans="1:4" x14ac:dyDescent="0.25">
      <c r="A739" s="20" t="s">
        <v>664</v>
      </c>
      <c r="B739" s="20" t="s">
        <v>561</v>
      </c>
      <c r="C739" s="20">
        <v>35.94</v>
      </c>
      <c r="D739">
        <f t="shared" si="11"/>
        <v>5</v>
      </c>
    </row>
    <row r="740" spans="1:4" x14ac:dyDescent="0.25">
      <c r="A740" s="20" t="s">
        <v>664</v>
      </c>
      <c r="B740" s="20" t="s">
        <v>561</v>
      </c>
      <c r="C740" s="20">
        <v>36</v>
      </c>
      <c r="D740">
        <f t="shared" si="11"/>
        <v>5</v>
      </c>
    </row>
    <row r="741" spans="1:4" x14ac:dyDescent="0.25">
      <c r="A741" s="20" t="s">
        <v>653</v>
      </c>
      <c r="B741" s="20" t="s">
        <v>656</v>
      </c>
      <c r="C741" s="20">
        <v>39.826000000000001</v>
      </c>
      <c r="D741">
        <f t="shared" si="11"/>
        <v>6</v>
      </c>
    </row>
    <row r="742" spans="1:4" x14ac:dyDescent="0.25">
      <c r="A742" s="20" t="s">
        <v>653</v>
      </c>
      <c r="B742" s="20" t="s">
        <v>656</v>
      </c>
      <c r="C742" s="20">
        <v>40.5428</v>
      </c>
      <c r="D742">
        <f t="shared" si="11"/>
        <v>6</v>
      </c>
    </row>
    <row r="743" spans="1:4" x14ac:dyDescent="0.25">
      <c r="A743" s="20" t="s">
        <v>653</v>
      </c>
      <c r="B743" s="20" t="s">
        <v>656</v>
      </c>
      <c r="C743" s="20">
        <v>42.344999999999999</v>
      </c>
      <c r="D743">
        <f t="shared" si="11"/>
        <v>6</v>
      </c>
    </row>
    <row r="744" spans="1:4" x14ac:dyDescent="0.25">
      <c r="A744" s="20" t="s">
        <v>653</v>
      </c>
      <c r="B744" s="20" t="s">
        <v>656</v>
      </c>
      <c r="C744" s="20">
        <v>49.15</v>
      </c>
      <c r="D744">
        <f t="shared" si="11"/>
        <v>6</v>
      </c>
    </row>
    <row r="745" spans="1:4" x14ac:dyDescent="0.25">
      <c r="A745" s="20" t="s">
        <v>664</v>
      </c>
      <c r="B745" s="20" t="s">
        <v>656</v>
      </c>
      <c r="C745" s="20">
        <v>27</v>
      </c>
      <c r="D745">
        <f t="shared" si="11"/>
        <v>6</v>
      </c>
    </row>
    <row r="746" spans="1:4" x14ac:dyDescent="0.25">
      <c r="A746" s="20" t="s">
        <v>664</v>
      </c>
      <c r="B746" s="20" t="s">
        <v>656</v>
      </c>
      <c r="C746" s="20">
        <v>36</v>
      </c>
      <c r="D746">
        <f t="shared" si="11"/>
        <v>6</v>
      </c>
    </row>
  </sheetData>
  <sortState xmlns:xlrd2="http://schemas.microsoft.com/office/spreadsheetml/2017/richdata2" ref="A2:D746">
    <sortCondition ref="D1:D746"/>
  </sortState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04A44B-3C40-4FA9-8073-DDE18418AE79}">
  <dimension ref="A1:F7"/>
  <sheetViews>
    <sheetView topLeftCell="A2" zoomScale="80" zoomScaleNormal="80" workbookViewId="0">
      <selection activeCell="B26" sqref="B26"/>
    </sheetView>
  </sheetViews>
  <sheetFormatPr baseColWidth="10" defaultRowHeight="15.75" x14ac:dyDescent="0.25"/>
  <cols>
    <col min="1" max="1" width="17.25" bestFit="1" customWidth="1"/>
    <col min="2" max="2" width="35.5" bestFit="1" customWidth="1"/>
    <col min="3" max="3" width="26.125" bestFit="1" customWidth="1"/>
    <col min="4" max="4" width="16.5" bestFit="1" customWidth="1"/>
    <col min="5" max="5" width="11.875" bestFit="1" customWidth="1"/>
    <col min="6" max="6" width="12.125" bestFit="1" customWidth="1"/>
    <col min="7" max="19" width="4.375" bestFit="1" customWidth="1"/>
    <col min="20" max="308" width="5.375" bestFit="1" customWidth="1"/>
    <col min="309" max="314" width="6.375" bestFit="1" customWidth="1"/>
    <col min="315" max="315" width="12.125" bestFit="1" customWidth="1"/>
  </cols>
  <sheetData>
    <row r="1" spans="1:6" hidden="1" x14ac:dyDescent="0.25"/>
    <row r="3" spans="1:6" x14ac:dyDescent="0.25">
      <c r="D3" s="14" t="s">
        <v>2317</v>
      </c>
    </row>
    <row r="4" spans="1:6" x14ac:dyDescent="0.25">
      <c r="A4" s="14" t="s">
        <v>2303</v>
      </c>
      <c r="B4" s="14" t="s">
        <v>2313</v>
      </c>
      <c r="C4" s="14" t="s">
        <v>2306</v>
      </c>
      <c r="D4" t="s">
        <v>3146</v>
      </c>
      <c r="E4" t="s">
        <v>2316</v>
      </c>
      <c r="F4" t="s">
        <v>2318</v>
      </c>
    </row>
    <row r="5" spans="1:6" x14ac:dyDescent="0.25">
      <c r="A5" t="s">
        <v>3</v>
      </c>
      <c r="B5" t="s">
        <v>2</v>
      </c>
      <c r="C5" t="s">
        <v>6</v>
      </c>
      <c r="D5" s="15">
        <v>8</v>
      </c>
      <c r="E5" s="15">
        <v>5.41</v>
      </c>
      <c r="F5" s="15">
        <v>5.41</v>
      </c>
    </row>
    <row r="6" spans="1:6" x14ac:dyDescent="0.25">
      <c r="A6" t="s">
        <v>8</v>
      </c>
      <c r="B6" t="s">
        <v>2</v>
      </c>
      <c r="C6" t="s">
        <v>6</v>
      </c>
      <c r="D6" s="15">
        <v>8</v>
      </c>
      <c r="E6" s="15">
        <v>5.41</v>
      </c>
      <c r="F6" s="15">
        <v>5.41</v>
      </c>
    </row>
    <row r="7" spans="1:6" x14ac:dyDescent="0.25">
      <c r="A7" t="s">
        <v>2315</v>
      </c>
      <c r="D7" s="15">
        <v>16</v>
      </c>
      <c r="E7" s="15">
        <v>5.41</v>
      </c>
      <c r="F7" s="15">
        <v>5.41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B7D7C-86A8-43DA-A4A6-CCC3A2019238}">
  <dimension ref="A1:K1438"/>
  <sheetViews>
    <sheetView workbookViewId="0">
      <selection activeCell="J1" sqref="J1"/>
    </sheetView>
  </sheetViews>
  <sheetFormatPr baseColWidth="10" defaultRowHeight="15.75" x14ac:dyDescent="0.25"/>
  <cols>
    <col min="1" max="1" width="43" customWidth="1"/>
    <col min="2" max="2" width="3.875" bestFit="1" customWidth="1"/>
    <col min="3" max="3" width="6.25" customWidth="1"/>
    <col min="4" max="4" width="26" bestFit="1" customWidth="1"/>
    <col min="5" max="5" width="2.875" bestFit="1" customWidth="1"/>
    <col min="6" max="6" width="6.25" customWidth="1"/>
    <col min="7" max="7" width="26" bestFit="1" customWidth="1"/>
    <col min="8" max="8" width="2.875" bestFit="1" customWidth="1"/>
    <col min="9" max="9" width="6.25" customWidth="1"/>
    <col min="10" max="10" width="29.5" bestFit="1" customWidth="1"/>
    <col min="11" max="11" width="2.875" bestFit="1" customWidth="1"/>
    <col min="12" max="12" width="6.25" customWidth="1"/>
  </cols>
  <sheetData>
    <row r="1" spans="1:11" x14ac:dyDescent="0.25">
      <c r="A1" s="21" t="s">
        <v>3077</v>
      </c>
      <c r="B1">
        <f>COUNTA(A2:A4471)</f>
        <v>446</v>
      </c>
      <c r="D1" s="11" t="s">
        <v>3078</v>
      </c>
      <c r="E1">
        <f>COUNTA(D2:D4471)</f>
        <v>12</v>
      </c>
      <c r="G1" s="11" t="s">
        <v>3138</v>
      </c>
      <c r="H1">
        <f>COUNTA(G2:G4471)</f>
        <v>12</v>
      </c>
      <c r="J1" s="20" t="s">
        <v>3139</v>
      </c>
      <c r="K1">
        <f>COUNTA(J2:J4471)</f>
        <v>59</v>
      </c>
    </row>
    <row r="2" spans="1:11" x14ac:dyDescent="0.25">
      <c r="A2" s="11" t="s">
        <v>650</v>
      </c>
      <c r="D2" s="2" t="s">
        <v>648</v>
      </c>
      <c r="G2" s="2" t="s">
        <v>648</v>
      </c>
      <c r="J2" s="20" t="s">
        <v>3109</v>
      </c>
    </row>
    <row r="3" spans="1:11" x14ac:dyDescent="0.25">
      <c r="A3" s="11" t="s">
        <v>569</v>
      </c>
      <c r="D3" s="2" t="s">
        <v>272</v>
      </c>
      <c r="G3" s="2" t="s">
        <v>272</v>
      </c>
      <c r="J3" s="20" t="s">
        <v>3110</v>
      </c>
    </row>
    <row r="4" spans="1:11" x14ac:dyDescent="0.25">
      <c r="A4" s="11" t="s">
        <v>42</v>
      </c>
      <c r="D4" s="2" t="s">
        <v>18</v>
      </c>
      <c r="G4" s="2" t="s">
        <v>18</v>
      </c>
      <c r="J4" s="20" t="s">
        <v>3131</v>
      </c>
    </row>
    <row r="5" spans="1:11" x14ac:dyDescent="0.25">
      <c r="A5" s="11" t="s">
        <v>37</v>
      </c>
      <c r="D5" s="2" t="s">
        <v>664</v>
      </c>
      <c r="G5" s="2" t="s">
        <v>664</v>
      </c>
      <c r="J5" s="20" t="s">
        <v>3082</v>
      </c>
    </row>
    <row r="6" spans="1:11" x14ac:dyDescent="0.25">
      <c r="A6" s="11" t="s">
        <v>851</v>
      </c>
      <c r="D6" s="2" t="s">
        <v>266</v>
      </c>
      <c r="G6" s="2" t="s">
        <v>266</v>
      </c>
      <c r="J6" s="20" t="s">
        <v>3099</v>
      </c>
    </row>
    <row r="7" spans="1:11" x14ac:dyDescent="0.25">
      <c r="A7" s="11" t="s">
        <v>35</v>
      </c>
      <c r="D7" s="2" t="s">
        <v>2</v>
      </c>
      <c r="G7" s="2" t="s">
        <v>2</v>
      </c>
      <c r="J7" s="20" t="s">
        <v>3101</v>
      </c>
    </row>
    <row r="8" spans="1:11" x14ac:dyDescent="0.25">
      <c r="A8" s="11" t="s">
        <v>807</v>
      </c>
      <c r="D8" s="2" t="s">
        <v>201</v>
      </c>
      <c r="G8" s="2" t="s">
        <v>201</v>
      </c>
      <c r="J8" s="20" t="s">
        <v>3102</v>
      </c>
    </row>
    <row r="9" spans="1:11" x14ac:dyDescent="0.25">
      <c r="A9" s="11" t="s">
        <v>328</v>
      </c>
      <c r="D9" s="2" t="s">
        <v>257</v>
      </c>
      <c r="G9" s="2" t="s">
        <v>257</v>
      </c>
      <c r="J9" s="20" t="s">
        <v>3100</v>
      </c>
    </row>
    <row r="10" spans="1:11" x14ac:dyDescent="0.25">
      <c r="A10" s="11" t="s">
        <v>146</v>
      </c>
      <c r="D10" s="2" t="s">
        <v>247</v>
      </c>
      <c r="G10" s="2" t="s">
        <v>247</v>
      </c>
      <c r="J10" s="20" t="s">
        <v>3103</v>
      </c>
    </row>
    <row r="11" spans="1:11" x14ac:dyDescent="0.25">
      <c r="A11" s="11" t="s">
        <v>110</v>
      </c>
      <c r="D11" s="2" t="s">
        <v>253</v>
      </c>
      <c r="G11" s="2" t="s">
        <v>253</v>
      </c>
      <c r="J11" s="20" t="s">
        <v>3116</v>
      </c>
    </row>
    <row r="12" spans="1:11" x14ac:dyDescent="0.25">
      <c r="A12" s="11" t="s">
        <v>114</v>
      </c>
      <c r="D12" s="2" t="s">
        <v>12</v>
      </c>
      <c r="G12" s="2" t="s">
        <v>12</v>
      </c>
      <c r="J12" s="20" t="s">
        <v>3122</v>
      </c>
    </row>
    <row r="13" spans="1:11" x14ac:dyDescent="0.25">
      <c r="A13" s="11" t="s">
        <v>181</v>
      </c>
      <c r="D13" s="2" t="s">
        <v>653</v>
      </c>
      <c r="G13" s="2" t="s">
        <v>653</v>
      </c>
      <c r="J13" s="20" t="s">
        <v>3117</v>
      </c>
    </row>
    <row r="14" spans="1:11" x14ac:dyDescent="0.25">
      <c r="A14" s="11" t="s">
        <v>179</v>
      </c>
      <c r="J14" s="20" t="s">
        <v>3119</v>
      </c>
    </row>
    <row r="15" spans="1:11" x14ac:dyDescent="0.25">
      <c r="A15" s="11" t="s">
        <v>144</v>
      </c>
      <c r="J15" s="20" t="s">
        <v>3118</v>
      </c>
    </row>
    <row r="16" spans="1:11" x14ac:dyDescent="0.25">
      <c r="A16" s="11" t="s">
        <v>25</v>
      </c>
      <c r="J16" s="20" t="s">
        <v>3120</v>
      </c>
    </row>
    <row r="17" spans="1:10" x14ac:dyDescent="0.25">
      <c r="A17" s="11" t="s">
        <v>185</v>
      </c>
      <c r="J17" s="20" t="s">
        <v>3121</v>
      </c>
    </row>
    <row r="18" spans="1:10" x14ac:dyDescent="0.25">
      <c r="A18" s="11" t="s">
        <v>31</v>
      </c>
      <c r="J18" s="20" t="s">
        <v>3124</v>
      </c>
    </row>
    <row r="19" spans="1:10" x14ac:dyDescent="0.25">
      <c r="A19" s="11" t="s">
        <v>29</v>
      </c>
      <c r="J19" s="20" t="s">
        <v>3125</v>
      </c>
    </row>
    <row r="20" spans="1:10" x14ac:dyDescent="0.25">
      <c r="A20" s="11" t="s">
        <v>187</v>
      </c>
      <c r="J20" s="20" t="s">
        <v>3126</v>
      </c>
    </row>
    <row r="21" spans="1:10" x14ac:dyDescent="0.25">
      <c r="A21" s="11" t="s">
        <v>33</v>
      </c>
      <c r="J21" s="20" t="s">
        <v>3107</v>
      </c>
    </row>
    <row r="22" spans="1:10" x14ac:dyDescent="0.25">
      <c r="A22" s="11" t="s">
        <v>166</v>
      </c>
      <c r="J22" s="20" t="s">
        <v>3123</v>
      </c>
    </row>
    <row r="23" spans="1:10" x14ac:dyDescent="0.25">
      <c r="A23" s="11" t="s">
        <v>154</v>
      </c>
      <c r="J23" s="20" t="s">
        <v>3087</v>
      </c>
    </row>
    <row r="24" spans="1:10" x14ac:dyDescent="0.25">
      <c r="A24" s="11" t="s">
        <v>98</v>
      </c>
      <c r="J24" s="20" t="s">
        <v>3088</v>
      </c>
    </row>
    <row r="25" spans="1:10" x14ac:dyDescent="0.25">
      <c r="A25" s="11" t="s">
        <v>104</v>
      </c>
      <c r="J25" s="20" t="s">
        <v>3105</v>
      </c>
    </row>
    <row r="26" spans="1:10" x14ac:dyDescent="0.25">
      <c r="A26" s="11" t="s">
        <v>138</v>
      </c>
      <c r="J26" s="20" t="s">
        <v>3095</v>
      </c>
    </row>
    <row r="27" spans="1:10" x14ac:dyDescent="0.25">
      <c r="A27" s="11" t="s">
        <v>136</v>
      </c>
      <c r="J27" s="20" t="s">
        <v>3091</v>
      </c>
    </row>
    <row r="28" spans="1:10" x14ac:dyDescent="0.25">
      <c r="A28" s="11" t="s">
        <v>23</v>
      </c>
      <c r="J28" s="20" t="s">
        <v>3111</v>
      </c>
    </row>
    <row r="29" spans="1:10" x14ac:dyDescent="0.25">
      <c r="A29" s="11" t="s">
        <v>27</v>
      </c>
      <c r="J29" s="20" t="s">
        <v>3104</v>
      </c>
    </row>
    <row r="30" spans="1:10" x14ac:dyDescent="0.25">
      <c r="A30" s="11" t="s">
        <v>160</v>
      </c>
      <c r="J30" s="20" t="s">
        <v>3132</v>
      </c>
    </row>
    <row r="31" spans="1:10" x14ac:dyDescent="0.25">
      <c r="A31" s="11" t="s">
        <v>108</v>
      </c>
      <c r="J31" s="20" t="s">
        <v>3080</v>
      </c>
    </row>
    <row r="32" spans="1:10" x14ac:dyDescent="0.25">
      <c r="A32" s="11" t="s">
        <v>112</v>
      </c>
      <c r="J32" s="20" t="s">
        <v>3081</v>
      </c>
    </row>
    <row r="33" spans="1:10" x14ac:dyDescent="0.25">
      <c r="A33" s="11" t="s">
        <v>102</v>
      </c>
      <c r="J33" s="20" t="s">
        <v>3096</v>
      </c>
    </row>
    <row r="34" spans="1:10" x14ac:dyDescent="0.25">
      <c r="A34" s="11" t="s">
        <v>66</v>
      </c>
      <c r="J34" s="20" t="s">
        <v>3097</v>
      </c>
    </row>
    <row r="35" spans="1:10" x14ac:dyDescent="0.25">
      <c r="A35" s="11" t="s">
        <v>192</v>
      </c>
      <c r="J35" s="20" t="s">
        <v>3098</v>
      </c>
    </row>
    <row r="36" spans="1:10" x14ac:dyDescent="0.25">
      <c r="A36" s="11" t="s">
        <v>174</v>
      </c>
      <c r="J36" s="20" t="s">
        <v>3079</v>
      </c>
    </row>
    <row r="37" spans="1:10" x14ac:dyDescent="0.25">
      <c r="A37" s="11" t="s">
        <v>100</v>
      </c>
      <c r="J37" s="20" t="s">
        <v>3134</v>
      </c>
    </row>
    <row r="38" spans="1:10" x14ac:dyDescent="0.25">
      <c r="A38" s="11" t="s">
        <v>172</v>
      </c>
      <c r="J38" s="20" t="s">
        <v>3135</v>
      </c>
    </row>
    <row r="39" spans="1:10" x14ac:dyDescent="0.25">
      <c r="A39" s="11" t="s">
        <v>140</v>
      </c>
      <c r="J39" s="20" t="s">
        <v>3136</v>
      </c>
    </row>
    <row r="40" spans="1:10" x14ac:dyDescent="0.25">
      <c r="A40" s="11" t="s">
        <v>142</v>
      </c>
      <c r="J40" s="20" t="s">
        <v>3137</v>
      </c>
    </row>
    <row r="41" spans="1:10" x14ac:dyDescent="0.25">
      <c r="A41" s="11" t="s">
        <v>156</v>
      </c>
      <c r="J41" s="20" t="s">
        <v>3114</v>
      </c>
    </row>
    <row r="42" spans="1:10" x14ac:dyDescent="0.25">
      <c r="A42" s="11" t="s">
        <v>170</v>
      </c>
      <c r="J42" s="20" t="s">
        <v>3093</v>
      </c>
    </row>
    <row r="43" spans="1:10" x14ac:dyDescent="0.25">
      <c r="A43" s="11" t="s">
        <v>106</v>
      </c>
      <c r="J43" s="20" t="s">
        <v>3089</v>
      </c>
    </row>
    <row r="44" spans="1:10" x14ac:dyDescent="0.25">
      <c r="A44" s="11" t="s">
        <v>183</v>
      </c>
      <c r="J44" s="20" t="s">
        <v>3112</v>
      </c>
    </row>
    <row r="45" spans="1:10" x14ac:dyDescent="0.25">
      <c r="A45" s="11" t="s">
        <v>194</v>
      </c>
      <c r="J45" s="20" t="s">
        <v>3090</v>
      </c>
    </row>
    <row r="46" spans="1:10" x14ac:dyDescent="0.25">
      <c r="A46" s="11" t="s">
        <v>150</v>
      </c>
      <c r="J46" s="20" t="s">
        <v>3083</v>
      </c>
    </row>
    <row r="47" spans="1:10" x14ac:dyDescent="0.25">
      <c r="A47" s="11" t="s">
        <v>162</v>
      </c>
      <c r="J47" s="20" t="s">
        <v>3127</v>
      </c>
    </row>
    <row r="48" spans="1:10" x14ac:dyDescent="0.25">
      <c r="A48" s="11" t="s">
        <v>164</v>
      </c>
      <c r="J48" s="20" t="s">
        <v>3084</v>
      </c>
    </row>
    <row r="49" spans="1:10" x14ac:dyDescent="0.25">
      <c r="A49" s="11" t="s">
        <v>190</v>
      </c>
      <c r="J49" s="20" t="s">
        <v>3133</v>
      </c>
    </row>
    <row r="50" spans="1:10" x14ac:dyDescent="0.25">
      <c r="A50" s="11" t="s">
        <v>152</v>
      </c>
      <c r="J50" s="20" t="s">
        <v>3106</v>
      </c>
    </row>
    <row r="51" spans="1:10" x14ac:dyDescent="0.25">
      <c r="A51" s="11" t="s">
        <v>21</v>
      </c>
      <c r="J51" s="20" t="s">
        <v>3092</v>
      </c>
    </row>
    <row r="52" spans="1:10" x14ac:dyDescent="0.25">
      <c r="A52" s="11" t="s">
        <v>90</v>
      </c>
      <c r="J52" s="20" t="s">
        <v>3085</v>
      </c>
    </row>
    <row r="53" spans="1:10" x14ac:dyDescent="0.25">
      <c r="A53" s="11" t="s">
        <v>88</v>
      </c>
      <c r="J53" s="20" t="s">
        <v>3129</v>
      </c>
    </row>
    <row r="54" spans="1:10" x14ac:dyDescent="0.25">
      <c r="A54" s="11" t="s">
        <v>92</v>
      </c>
      <c r="J54" s="20" t="s">
        <v>3113</v>
      </c>
    </row>
    <row r="55" spans="1:10" x14ac:dyDescent="0.25">
      <c r="A55" s="11" t="s">
        <v>86</v>
      </c>
      <c r="J55" s="20" t="s">
        <v>3130</v>
      </c>
    </row>
    <row r="56" spans="1:10" x14ac:dyDescent="0.25">
      <c r="A56" s="11" t="s">
        <v>175</v>
      </c>
      <c r="J56" s="20" t="s">
        <v>3128</v>
      </c>
    </row>
    <row r="57" spans="1:10" x14ac:dyDescent="0.25">
      <c r="A57" s="11" t="s">
        <v>496</v>
      </c>
      <c r="J57" s="20" t="s">
        <v>3115</v>
      </c>
    </row>
    <row r="58" spans="1:10" x14ac:dyDescent="0.25">
      <c r="A58" s="11" t="s">
        <v>39</v>
      </c>
      <c r="J58" s="20" t="s">
        <v>3108</v>
      </c>
    </row>
    <row r="59" spans="1:10" x14ac:dyDescent="0.25">
      <c r="A59" s="11" t="s">
        <v>40</v>
      </c>
      <c r="J59" s="20" t="s">
        <v>3086</v>
      </c>
    </row>
    <row r="60" spans="1:10" x14ac:dyDescent="0.25">
      <c r="A60" s="11" t="s">
        <v>424</v>
      </c>
      <c r="J60" s="20" t="s">
        <v>3094</v>
      </c>
    </row>
    <row r="61" spans="1:10" x14ac:dyDescent="0.25">
      <c r="A61" s="11" t="s">
        <v>1114</v>
      </c>
      <c r="G61" s="20"/>
      <c r="J61" s="11"/>
    </row>
    <row r="62" spans="1:10" x14ac:dyDescent="0.25">
      <c r="A62" s="11" t="s">
        <v>1112</v>
      </c>
      <c r="J62" s="11"/>
    </row>
    <row r="63" spans="1:10" x14ac:dyDescent="0.25">
      <c r="A63" s="11" t="s">
        <v>1113</v>
      </c>
      <c r="J63" s="11"/>
    </row>
    <row r="64" spans="1:10" x14ac:dyDescent="0.25">
      <c r="A64" s="11" t="s">
        <v>270</v>
      </c>
      <c r="J64" s="11"/>
    </row>
    <row r="65" spans="1:10" x14ac:dyDescent="0.25">
      <c r="A65" s="11" t="s">
        <v>60</v>
      </c>
      <c r="J65" s="11"/>
    </row>
    <row r="66" spans="1:10" x14ac:dyDescent="0.25">
      <c r="A66" s="11" t="s">
        <v>56</v>
      </c>
      <c r="J66" s="11"/>
    </row>
    <row r="67" spans="1:10" x14ac:dyDescent="0.25">
      <c r="A67" s="11" t="s">
        <v>1062</v>
      </c>
      <c r="J67" s="11"/>
    </row>
    <row r="68" spans="1:10" x14ac:dyDescent="0.25">
      <c r="A68" s="11" t="s">
        <v>876</v>
      </c>
      <c r="J68" s="11"/>
    </row>
    <row r="69" spans="1:10" x14ac:dyDescent="0.25">
      <c r="A69" s="11" t="s">
        <v>874</v>
      </c>
      <c r="J69" s="11"/>
    </row>
    <row r="70" spans="1:10" x14ac:dyDescent="0.25">
      <c r="A70" s="11" t="s">
        <v>6</v>
      </c>
      <c r="J70" s="11"/>
    </row>
    <row r="71" spans="1:10" x14ac:dyDescent="0.25">
      <c r="A71" s="11" t="s">
        <v>58</v>
      </c>
      <c r="J71" s="11"/>
    </row>
    <row r="72" spans="1:10" x14ac:dyDescent="0.25">
      <c r="A72" s="11" t="s">
        <v>80</v>
      </c>
      <c r="J72" s="11"/>
    </row>
    <row r="73" spans="1:10" x14ac:dyDescent="0.25">
      <c r="A73" s="11" t="s">
        <v>380</v>
      </c>
      <c r="J73" s="11"/>
    </row>
    <row r="74" spans="1:10" x14ac:dyDescent="0.25">
      <c r="A74" s="11" t="s">
        <v>372</v>
      </c>
      <c r="J74" s="11"/>
    </row>
    <row r="75" spans="1:10" x14ac:dyDescent="0.25">
      <c r="A75" s="11" t="s">
        <v>506</v>
      </c>
      <c r="J75" s="11"/>
    </row>
    <row r="76" spans="1:10" x14ac:dyDescent="0.25">
      <c r="A76" s="11" t="s">
        <v>498</v>
      </c>
      <c r="J76" s="11"/>
    </row>
    <row r="77" spans="1:10" x14ac:dyDescent="0.25">
      <c r="A77" s="11" t="s">
        <v>500</v>
      </c>
      <c r="J77" s="11"/>
    </row>
    <row r="78" spans="1:10" x14ac:dyDescent="0.25">
      <c r="A78" s="11" t="s">
        <v>502</v>
      </c>
      <c r="J78" s="11"/>
    </row>
    <row r="79" spans="1:10" x14ac:dyDescent="0.25">
      <c r="A79" s="11" t="s">
        <v>504</v>
      </c>
      <c r="J79" s="11"/>
    </row>
    <row r="80" spans="1:10" x14ac:dyDescent="0.25">
      <c r="A80" s="11" t="s">
        <v>72</v>
      </c>
      <c r="J80" s="11"/>
    </row>
    <row r="81" spans="1:10" x14ac:dyDescent="0.25">
      <c r="A81" s="11" t="s">
        <v>84</v>
      </c>
      <c r="J81" s="11"/>
    </row>
    <row r="82" spans="1:10" x14ac:dyDescent="0.25">
      <c r="A82" s="11" t="s">
        <v>64</v>
      </c>
      <c r="J82" s="11"/>
    </row>
    <row r="83" spans="1:10" x14ac:dyDescent="0.25">
      <c r="A83" s="11" t="s">
        <v>438</v>
      </c>
      <c r="J83" s="11"/>
    </row>
    <row r="84" spans="1:10" x14ac:dyDescent="0.25">
      <c r="A84" s="11" t="s">
        <v>348</v>
      </c>
      <c r="J84" s="11"/>
    </row>
    <row r="85" spans="1:10" x14ac:dyDescent="0.25">
      <c r="A85" s="11" t="s">
        <v>74</v>
      </c>
      <c r="J85" s="11"/>
    </row>
    <row r="86" spans="1:10" x14ac:dyDescent="0.25">
      <c r="A86" s="11" t="s">
        <v>68</v>
      </c>
      <c r="J86" s="11"/>
    </row>
    <row r="87" spans="1:10" x14ac:dyDescent="0.25">
      <c r="A87" s="11" t="s">
        <v>350</v>
      </c>
      <c r="J87" s="11"/>
    </row>
    <row r="88" spans="1:10" x14ac:dyDescent="0.25">
      <c r="A88" s="11" t="s">
        <v>62</v>
      </c>
      <c r="J88" s="11"/>
    </row>
    <row r="89" spans="1:10" x14ac:dyDescent="0.25">
      <c r="A89" s="11" t="s">
        <v>902</v>
      </c>
      <c r="J89" s="11"/>
    </row>
    <row r="90" spans="1:10" x14ac:dyDescent="0.25">
      <c r="A90" s="11" t="s">
        <v>82</v>
      </c>
      <c r="J90" s="11"/>
    </row>
    <row r="91" spans="1:10" x14ac:dyDescent="0.25">
      <c r="A91" s="11" t="s">
        <v>897</v>
      </c>
      <c r="J91" s="11"/>
    </row>
    <row r="92" spans="1:10" x14ac:dyDescent="0.25">
      <c r="A92" s="11" t="s">
        <v>739</v>
      </c>
      <c r="J92" s="11"/>
    </row>
    <row r="93" spans="1:10" x14ac:dyDescent="0.25">
      <c r="A93" s="11" t="s">
        <v>741</v>
      </c>
      <c r="J93" s="11"/>
    </row>
    <row r="94" spans="1:10" x14ac:dyDescent="0.25">
      <c r="A94" s="11" t="s">
        <v>878</v>
      </c>
      <c r="J94" s="11"/>
    </row>
    <row r="95" spans="1:10" x14ac:dyDescent="0.25">
      <c r="A95" s="11" t="s">
        <v>364</v>
      </c>
      <c r="J95" s="11"/>
    </row>
    <row r="96" spans="1:10" x14ac:dyDescent="0.25">
      <c r="A96" s="11" t="s">
        <v>360</v>
      </c>
      <c r="J96" s="11"/>
    </row>
    <row r="97" spans="1:10" x14ac:dyDescent="0.25">
      <c r="A97" s="11" t="s">
        <v>358</v>
      </c>
      <c r="J97" s="11"/>
    </row>
    <row r="98" spans="1:10" x14ac:dyDescent="0.25">
      <c r="A98" s="11" t="s">
        <v>362</v>
      </c>
      <c r="J98" s="11"/>
    </row>
    <row r="99" spans="1:10" x14ac:dyDescent="0.25">
      <c r="A99" s="11" t="s">
        <v>94</v>
      </c>
      <c r="J99" s="11"/>
    </row>
    <row r="100" spans="1:10" x14ac:dyDescent="0.25">
      <c r="A100" s="11" t="s">
        <v>612</v>
      </c>
      <c r="J100" s="11"/>
    </row>
    <row r="101" spans="1:10" x14ac:dyDescent="0.25">
      <c r="A101" s="11" t="s">
        <v>610</v>
      </c>
      <c r="J101" s="11"/>
    </row>
    <row r="102" spans="1:10" x14ac:dyDescent="0.25">
      <c r="A102" s="11" t="s">
        <v>442</v>
      </c>
      <c r="J102" s="11"/>
    </row>
    <row r="103" spans="1:10" x14ac:dyDescent="0.25">
      <c r="A103" s="11" t="s">
        <v>440</v>
      </c>
      <c r="J103" s="11"/>
    </row>
    <row r="104" spans="1:10" x14ac:dyDescent="0.25">
      <c r="A104" s="11" t="s">
        <v>614</v>
      </c>
      <c r="J104" s="11"/>
    </row>
    <row r="105" spans="1:10" x14ac:dyDescent="0.25">
      <c r="A105" s="11" t="s">
        <v>608</v>
      </c>
      <c r="J105" s="11"/>
    </row>
    <row r="106" spans="1:10" x14ac:dyDescent="0.25">
      <c r="A106" s="11" t="s">
        <v>48</v>
      </c>
      <c r="J106" s="11"/>
    </row>
    <row r="107" spans="1:10" x14ac:dyDescent="0.25">
      <c r="A107" s="11" t="s">
        <v>211</v>
      </c>
      <c r="J107" s="11"/>
    </row>
    <row r="108" spans="1:10" x14ac:dyDescent="0.25">
      <c r="A108" s="11" t="s">
        <v>203</v>
      </c>
      <c r="J108" s="11"/>
    </row>
    <row r="109" spans="1:10" x14ac:dyDescent="0.25">
      <c r="A109" s="11" t="s">
        <v>205</v>
      </c>
      <c r="J109" s="11"/>
    </row>
    <row r="110" spans="1:10" x14ac:dyDescent="0.25">
      <c r="A110" s="11" t="s">
        <v>209</v>
      </c>
      <c r="J110" s="11"/>
    </row>
    <row r="111" spans="1:10" x14ac:dyDescent="0.25">
      <c r="A111" s="11" t="s">
        <v>207</v>
      </c>
      <c r="J111" s="11"/>
    </row>
    <row r="112" spans="1:10" x14ac:dyDescent="0.25">
      <c r="A112" s="11" t="s">
        <v>374</v>
      </c>
      <c r="J112" s="11"/>
    </row>
    <row r="113" spans="1:10" x14ac:dyDescent="0.25">
      <c r="A113" s="11" t="s">
        <v>587</v>
      </c>
      <c r="J113" s="11"/>
    </row>
    <row r="114" spans="1:10" x14ac:dyDescent="0.25">
      <c r="A114" s="11" t="s">
        <v>381</v>
      </c>
      <c r="J114" s="11"/>
    </row>
    <row r="115" spans="1:10" x14ac:dyDescent="0.25">
      <c r="A115" s="11" t="s">
        <v>221</v>
      </c>
      <c r="J115" s="11"/>
    </row>
    <row r="116" spans="1:10" x14ac:dyDescent="0.25">
      <c r="A116" s="11" t="s">
        <v>261</v>
      </c>
      <c r="J116" s="11"/>
    </row>
    <row r="117" spans="1:10" x14ac:dyDescent="0.25">
      <c r="A117" s="11" t="s">
        <v>260</v>
      </c>
      <c r="J117" s="11"/>
    </row>
    <row r="118" spans="1:10" x14ac:dyDescent="0.25">
      <c r="A118" s="11" t="s">
        <v>264</v>
      </c>
      <c r="J118" s="11"/>
    </row>
    <row r="119" spans="1:10" x14ac:dyDescent="0.25">
      <c r="A119" s="11" t="s">
        <v>262</v>
      </c>
      <c r="J119" s="11"/>
    </row>
    <row r="120" spans="1:10" x14ac:dyDescent="0.25">
      <c r="A120" s="11" t="s">
        <v>263</v>
      </c>
      <c r="J120" s="11"/>
    </row>
    <row r="121" spans="1:10" x14ac:dyDescent="0.25">
      <c r="A121" s="11" t="s">
        <v>54</v>
      </c>
      <c r="J121" s="11"/>
    </row>
    <row r="122" spans="1:10" x14ac:dyDescent="0.25">
      <c r="A122" s="11" t="s">
        <v>52</v>
      </c>
      <c r="J122" s="11"/>
    </row>
    <row r="123" spans="1:10" x14ac:dyDescent="0.25">
      <c r="A123" s="11" t="s">
        <v>96</v>
      </c>
      <c r="J123" s="11"/>
    </row>
    <row r="124" spans="1:10" x14ac:dyDescent="0.25">
      <c r="A124" s="11" t="s">
        <v>268</v>
      </c>
      <c r="J124" s="11"/>
    </row>
    <row r="125" spans="1:10" x14ac:dyDescent="0.25">
      <c r="A125" s="11" t="s">
        <v>936</v>
      </c>
      <c r="J125" s="11"/>
    </row>
    <row r="126" spans="1:10" x14ac:dyDescent="0.25">
      <c r="A126" s="11" t="s">
        <v>795</v>
      </c>
      <c r="J126" s="11"/>
    </row>
    <row r="127" spans="1:10" x14ac:dyDescent="0.25">
      <c r="A127" s="11" t="s">
        <v>70</v>
      </c>
      <c r="J127" s="11"/>
    </row>
    <row r="128" spans="1:10" x14ac:dyDescent="0.25">
      <c r="A128" s="11" t="s">
        <v>44</v>
      </c>
      <c r="J128" s="11"/>
    </row>
    <row r="129" spans="1:10" x14ac:dyDescent="0.25">
      <c r="A129" s="11" t="s">
        <v>1171</v>
      </c>
      <c r="J129" s="11"/>
    </row>
    <row r="130" spans="1:10" x14ac:dyDescent="0.25">
      <c r="A130" s="11" t="s">
        <v>1165</v>
      </c>
      <c r="J130" s="11"/>
    </row>
    <row r="131" spans="1:10" x14ac:dyDescent="0.25">
      <c r="A131" s="11" t="s">
        <v>250</v>
      </c>
      <c r="J131" s="11"/>
    </row>
    <row r="132" spans="1:10" x14ac:dyDescent="0.25">
      <c r="A132" s="11" t="s">
        <v>234</v>
      </c>
      <c r="J132" s="11"/>
    </row>
    <row r="133" spans="1:10" x14ac:dyDescent="0.25">
      <c r="A133" s="11" t="s">
        <v>508</v>
      </c>
      <c r="J133" s="11"/>
    </row>
    <row r="134" spans="1:10" x14ac:dyDescent="0.25">
      <c r="A134" s="11" t="s">
        <v>339</v>
      </c>
      <c r="J134" s="11"/>
    </row>
    <row r="135" spans="1:10" x14ac:dyDescent="0.25">
      <c r="A135" s="11" t="s">
        <v>337</v>
      </c>
      <c r="J135" s="11"/>
    </row>
    <row r="136" spans="1:10" x14ac:dyDescent="0.25">
      <c r="A136" s="11" t="s">
        <v>537</v>
      </c>
      <c r="J136" s="11"/>
    </row>
    <row r="137" spans="1:10" x14ac:dyDescent="0.25">
      <c r="A137" s="11" t="s">
        <v>412</v>
      </c>
      <c r="J137" s="11"/>
    </row>
    <row r="138" spans="1:10" x14ac:dyDescent="0.25">
      <c r="A138" s="11" t="s">
        <v>541</v>
      </c>
      <c r="J138" s="11"/>
    </row>
    <row r="139" spans="1:10" x14ac:dyDescent="0.25">
      <c r="A139" s="11" t="s">
        <v>539</v>
      </c>
      <c r="J139" s="11"/>
    </row>
    <row r="140" spans="1:10" x14ac:dyDescent="0.25">
      <c r="A140" s="11" t="s">
        <v>386</v>
      </c>
      <c r="J140" s="11"/>
    </row>
    <row r="141" spans="1:10" x14ac:dyDescent="0.25">
      <c r="A141" s="11" t="s">
        <v>390</v>
      </c>
      <c r="J141" s="11"/>
    </row>
    <row r="142" spans="1:10" x14ac:dyDescent="0.25">
      <c r="A142" s="11" t="s">
        <v>635</v>
      </c>
      <c r="J142" s="11"/>
    </row>
    <row r="143" spans="1:10" x14ac:dyDescent="0.25">
      <c r="A143" s="11" t="s">
        <v>324</v>
      </c>
      <c r="J143" s="11"/>
    </row>
    <row r="144" spans="1:10" x14ac:dyDescent="0.25">
      <c r="A144" s="11" t="s">
        <v>481</v>
      </c>
      <c r="J144" s="11"/>
    </row>
    <row r="145" spans="1:10" x14ac:dyDescent="0.25">
      <c r="A145" s="11" t="s">
        <v>414</v>
      </c>
      <c r="J145" s="11"/>
    </row>
    <row r="146" spans="1:10" x14ac:dyDescent="0.25">
      <c r="A146" s="11" t="s">
        <v>532</v>
      </c>
      <c r="J146" s="11"/>
    </row>
    <row r="147" spans="1:10" x14ac:dyDescent="0.25">
      <c r="A147" s="11" t="s">
        <v>304</v>
      </c>
      <c r="J147" s="11"/>
    </row>
    <row r="148" spans="1:10" x14ac:dyDescent="0.25">
      <c r="A148" s="11" t="s">
        <v>574</v>
      </c>
      <c r="J148" s="11"/>
    </row>
    <row r="149" spans="1:10" x14ac:dyDescent="0.25">
      <c r="A149" s="11" t="s">
        <v>605</v>
      </c>
      <c r="J149" s="11"/>
    </row>
    <row r="150" spans="1:10" x14ac:dyDescent="0.25">
      <c r="A150" s="11" t="s">
        <v>341</v>
      </c>
      <c r="J150" s="11"/>
    </row>
    <row r="151" spans="1:10" x14ac:dyDescent="0.25">
      <c r="A151" s="11" t="s">
        <v>378</v>
      </c>
      <c r="J151" s="11"/>
    </row>
    <row r="152" spans="1:10" x14ac:dyDescent="0.25">
      <c r="A152" s="11" t="s">
        <v>384</v>
      </c>
      <c r="J152" s="11"/>
    </row>
    <row r="153" spans="1:10" x14ac:dyDescent="0.25">
      <c r="A153" s="11" t="s">
        <v>473</v>
      </c>
      <c r="J153" s="11"/>
    </row>
    <row r="154" spans="1:10" x14ac:dyDescent="0.25">
      <c r="A154" s="11" t="s">
        <v>310</v>
      </c>
      <c r="J154" s="11"/>
    </row>
    <row r="155" spans="1:10" x14ac:dyDescent="0.25">
      <c r="A155" s="11" t="s">
        <v>284</v>
      </c>
      <c r="J155" s="11"/>
    </row>
    <row r="156" spans="1:10" x14ac:dyDescent="0.25">
      <c r="A156" s="11" t="s">
        <v>624</v>
      </c>
      <c r="J156" s="11"/>
    </row>
    <row r="157" spans="1:10" x14ac:dyDescent="0.25">
      <c r="A157" s="11" t="s">
        <v>376</v>
      </c>
      <c r="J157" s="11"/>
    </row>
    <row r="158" spans="1:10" x14ac:dyDescent="0.25">
      <c r="A158" s="11" t="s">
        <v>306</v>
      </c>
      <c r="J158" s="11"/>
    </row>
    <row r="159" spans="1:10" x14ac:dyDescent="0.25">
      <c r="A159" s="11" t="s">
        <v>276</v>
      </c>
      <c r="J159" s="11"/>
    </row>
    <row r="160" spans="1:10" x14ac:dyDescent="0.25">
      <c r="A160" s="11" t="s">
        <v>382</v>
      </c>
      <c r="J160" s="11"/>
    </row>
    <row r="161" spans="1:10" x14ac:dyDescent="0.25">
      <c r="A161" s="11" t="s">
        <v>626</v>
      </c>
      <c r="J161" s="11"/>
    </row>
    <row r="162" spans="1:10" x14ac:dyDescent="0.25">
      <c r="A162" s="11" t="s">
        <v>434</v>
      </c>
      <c r="J162" s="11"/>
    </row>
    <row r="163" spans="1:10" x14ac:dyDescent="0.25">
      <c r="A163" s="11" t="s">
        <v>582</v>
      </c>
      <c r="J163" s="11"/>
    </row>
    <row r="164" spans="1:10" x14ac:dyDescent="0.25">
      <c r="A164" s="11" t="s">
        <v>578</v>
      </c>
      <c r="J164" s="11"/>
    </row>
    <row r="165" spans="1:10" x14ac:dyDescent="0.25">
      <c r="A165" s="11" t="s">
        <v>580</v>
      </c>
      <c r="J165" s="11"/>
    </row>
    <row r="166" spans="1:10" x14ac:dyDescent="0.25">
      <c r="A166" s="11" t="s">
        <v>584</v>
      </c>
      <c r="J166" s="11"/>
    </row>
    <row r="167" spans="1:10" x14ac:dyDescent="0.25">
      <c r="A167" s="11" t="s">
        <v>487</v>
      </c>
      <c r="J167" s="11"/>
    </row>
    <row r="168" spans="1:10" x14ac:dyDescent="0.25">
      <c r="A168" s="11" t="s">
        <v>633</v>
      </c>
      <c r="J168" s="11"/>
    </row>
    <row r="169" spans="1:10" x14ac:dyDescent="0.25">
      <c r="A169" s="11" t="s">
        <v>316</v>
      </c>
      <c r="J169" s="11"/>
    </row>
    <row r="170" spans="1:10" x14ac:dyDescent="0.25">
      <c r="A170" s="11" t="s">
        <v>410</v>
      </c>
      <c r="J170" s="11"/>
    </row>
    <row r="171" spans="1:10" x14ac:dyDescent="0.25">
      <c r="A171" s="11" t="s">
        <v>308</v>
      </c>
      <c r="J171" s="11"/>
    </row>
    <row r="172" spans="1:10" x14ac:dyDescent="0.25">
      <c r="A172" s="11" t="s">
        <v>436</v>
      </c>
      <c r="J172" s="11"/>
    </row>
    <row r="173" spans="1:10" x14ac:dyDescent="0.25">
      <c r="A173" s="11" t="s">
        <v>314</v>
      </c>
      <c r="J173" s="11"/>
    </row>
    <row r="174" spans="1:10" x14ac:dyDescent="0.25">
      <c r="A174" s="11" t="s">
        <v>416</v>
      </c>
      <c r="J174" s="11"/>
    </row>
    <row r="175" spans="1:10" x14ac:dyDescent="0.25">
      <c r="A175" s="11" t="s">
        <v>326</v>
      </c>
      <c r="J175" s="11"/>
    </row>
    <row r="176" spans="1:10" x14ac:dyDescent="0.25">
      <c r="A176" s="11" t="s">
        <v>492</v>
      </c>
      <c r="J176" s="11"/>
    </row>
    <row r="177" spans="1:10" x14ac:dyDescent="0.25">
      <c r="A177" s="11" t="s">
        <v>292</v>
      </c>
      <c r="J177" s="11"/>
    </row>
    <row r="178" spans="1:10" x14ac:dyDescent="0.25">
      <c r="A178" s="11" t="s">
        <v>290</v>
      </c>
      <c r="J178" s="11"/>
    </row>
    <row r="179" spans="1:10" x14ac:dyDescent="0.25">
      <c r="A179" s="11" t="s">
        <v>288</v>
      </c>
      <c r="J179" s="11"/>
    </row>
    <row r="180" spans="1:10" x14ac:dyDescent="0.25">
      <c r="A180" s="11" t="s">
        <v>294</v>
      </c>
      <c r="J180" s="11"/>
    </row>
    <row r="181" spans="1:10" x14ac:dyDescent="0.25">
      <c r="A181" s="11" t="s">
        <v>274</v>
      </c>
      <c r="J181" s="11"/>
    </row>
    <row r="182" spans="1:10" x14ac:dyDescent="0.25">
      <c r="A182" s="11" t="s">
        <v>343</v>
      </c>
      <c r="J182" s="11"/>
    </row>
    <row r="183" spans="1:10" x14ac:dyDescent="0.25">
      <c r="A183" s="11" t="s">
        <v>576</v>
      </c>
      <c r="J183" s="11"/>
    </row>
    <row r="184" spans="1:10" x14ac:dyDescent="0.25">
      <c r="A184" s="11" t="s">
        <v>392</v>
      </c>
      <c r="J184" s="11"/>
    </row>
    <row r="185" spans="1:10" x14ac:dyDescent="0.25">
      <c r="A185" s="11" t="s">
        <v>318</v>
      </c>
      <c r="J185" s="11"/>
    </row>
    <row r="186" spans="1:10" x14ac:dyDescent="0.25">
      <c r="A186" s="11" t="s">
        <v>322</v>
      </c>
      <c r="J186" s="11"/>
    </row>
    <row r="187" spans="1:10" x14ac:dyDescent="0.25">
      <c r="A187" s="11" t="s">
        <v>312</v>
      </c>
      <c r="J187" s="11"/>
    </row>
    <row r="188" spans="1:10" x14ac:dyDescent="0.25">
      <c r="A188" s="11" t="s">
        <v>469</v>
      </c>
      <c r="J188" s="11"/>
    </row>
    <row r="189" spans="1:10" x14ac:dyDescent="0.25">
      <c r="A189" s="11" t="s">
        <v>394</v>
      </c>
      <c r="J189" s="11"/>
    </row>
    <row r="190" spans="1:10" x14ac:dyDescent="0.25">
      <c r="A190" s="11" t="s">
        <v>604</v>
      </c>
      <c r="J190" s="11"/>
    </row>
    <row r="191" spans="1:10" x14ac:dyDescent="0.25">
      <c r="A191" s="11" t="s">
        <v>298</v>
      </c>
      <c r="J191" s="11"/>
    </row>
    <row r="192" spans="1:10" x14ac:dyDescent="0.25">
      <c r="A192" s="11" t="s">
        <v>296</v>
      </c>
      <c r="J192" s="11"/>
    </row>
    <row r="193" spans="1:10" x14ac:dyDescent="0.25">
      <c r="A193" s="11" t="s">
        <v>629</v>
      </c>
      <c r="J193" s="11"/>
    </row>
    <row r="194" spans="1:10" x14ac:dyDescent="0.25">
      <c r="A194" s="11" t="s">
        <v>278</v>
      </c>
      <c r="J194" s="11"/>
    </row>
    <row r="195" spans="1:10" x14ac:dyDescent="0.25">
      <c r="A195" s="11" t="s">
        <v>447</v>
      </c>
      <c r="J195" s="11"/>
    </row>
    <row r="196" spans="1:10" x14ac:dyDescent="0.25">
      <c r="A196" s="11" t="s">
        <v>595</v>
      </c>
      <c r="J196" s="11"/>
    </row>
    <row r="197" spans="1:10" x14ac:dyDescent="0.25">
      <c r="A197" s="11" t="s">
        <v>639</v>
      </c>
      <c r="J197" s="11"/>
    </row>
    <row r="198" spans="1:10" x14ac:dyDescent="0.25">
      <c r="A198" s="11" t="s">
        <v>280</v>
      </c>
      <c r="J198" s="11"/>
    </row>
    <row r="199" spans="1:10" x14ac:dyDescent="0.25">
      <c r="A199" s="11" t="s">
        <v>431</v>
      </c>
      <c r="J199" s="11"/>
    </row>
    <row r="200" spans="1:10" x14ac:dyDescent="0.25">
      <c r="A200" s="11" t="s">
        <v>449</v>
      </c>
      <c r="J200" s="11"/>
    </row>
    <row r="201" spans="1:10" x14ac:dyDescent="0.25">
      <c r="A201" s="11" t="s">
        <v>641</v>
      </c>
      <c r="J201" s="11"/>
    </row>
    <row r="202" spans="1:10" x14ac:dyDescent="0.25">
      <c r="A202" s="11" t="s">
        <v>593</v>
      </c>
      <c r="J202" s="11"/>
    </row>
    <row r="203" spans="1:10" x14ac:dyDescent="0.25">
      <c r="A203" s="11" t="s">
        <v>282</v>
      </c>
      <c r="J203" s="11"/>
    </row>
    <row r="204" spans="1:10" x14ac:dyDescent="0.25">
      <c r="A204" s="11" t="s">
        <v>597</v>
      </c>
      <c r="J204" s="11"/>
    </row>
    <row r="205" spans="1:10" x14ac:dyDescent="0.25">
      <c r="A205" s="11" t="s">
        <v>522</v>
      </c>
      <c r="J205" s="11"/>
    </row>
    <row r="206" spans="1:10" x14ac:dyDescent="0.25">
      <c r="A206" s="11" t="s">
        <v>429</v>
      </c>
      <c r="J206" s="11"/>
    </row>
    <row r="207" spans="1:10" x14ac:dyDescent="0.25">
      <c r="A207" s="11" t="s">
        <v>302</v>
      </c>
      <c r="J207" s="11"/>
    </row>
    <row r="208" spans="1:10" x14ac:dyDescent="0.25">
      <c r="A208" s="11" t="s">
        <v>420</v>
      </c>
      <c r="J208" s="11"/>
    </row>
    <row r="209" spans="1:10" x14ac:dyDescent="0.25">
      <c r="A209" s="11" t="s">
        <v>631</v>
      </c>
      <c r="J209" s="11"/>
    </row>
    <row r="210" spans="1:10" x14ac:dyDescent="0.25">
      <c r="A210" s="11" t="s">
        <v>388</v>
      </c>
      <c r="J210" s="11"/>
    </row>
    <row r="211" spans="1:10" x14ac:dyDescent="0.25">
      <c r="A211" s="11" t="s">
        <v>475</v>
      </c>
      <c r="J211" s="11"/>
    </row>
    <row r="212" spans="1:10" x14ac:dyDescent="0.25">
      <c r="A212" s="11" t="s">
        <v>526</v>
      </c>
      <c r="J212" s="11"/>
    </row>
    <row r="213" spans="1:10" x14ac:dyDescent="0.25">
      <c r="A213" s="11" t="s">
        <v>477</v>
      </c>
      <c r="J213" s="11"/>
    </row>
    <row r="214" spans="1:10" x14ac:dyDescent="0.25">
      <c r="A214" s="11" t="s">
        <v>483</v>
      </c>
      <c r="J214" s="11"/>
    </row>
    <row r="215" spans="1:10" x14ac:dyDescent="0.25">
      <c r="A215" s="11" t="s">
        <v>479</v>
      </c>
      <c r="J215" s="11"/>
    </row>
    <row r="216" spans="1:10" x14ac:dyDescent="0.25">
      <c r="A216" s="11" t="s">
        <v>286</v>
      </c>
      <c r="J216" s="11"/>
    </row>
    <row r="217" spans="1:10" x14ac:dyDescent="0.25">
      <c r="A217" s="11" t="s">
        <v>530</v>
      </c>
      <c r="J217" s="11"/>
    </row>
    <row r="218" spans="1:10" x14ac:dyDescent="0.25">
      <c r="A218" s="11" t="s">
        <v>490</v>
      </c>
      <c r="J218" s="11"/>
    </row>
    <row r="219" spans="1:10" x14ac:dyDescent="0.25">
      <c r="A219" s="11" t="s">
        <v>402</v>
      </c>
      <c r="J219" s="11"/>
    </row>
    <row r="220" spans="1:10" x14ac:dyDescent="0.25">
      <c r="A220" s="11" t="s">
        <v>404</v>
      </c>
      <c r="J220" s="11"/>
    </row>
    <row r="221" spans="1:10" x14ac:dyDescent="0.25">
      <c r="A221" s="11" t="s">
        <v>406</v>
      </c>
      <c r="J221" s="11"/>
    </row>
    <row r="222" spans="1:10" x14ac:dyDescent="0.25">
      <c r="A222" s="11" t="s">
        <v>300</v>
      </c>
      <c r="J222" s="11"/>
    </row>
    <row r="223" spans="1:10" x14ac:dyDescent="0.25">
      <c r="A223" s="11" t="s">
        <v>320</v>
      </c>
      <c r="J223" s="11"/>
    </row>
    <row r="224" spans="1:10" x14ac:dyDescent="0.25">
      <c r="A224" s="11" t="s">
        <v>567</v>
      </c>
      <c r="J224" s="11"/>
    </row>
    <row r="225" spans="1:10" x14ac:dyDescent="0.25">
      <c r="A225" s="11" t="s">
        <v>396</v>
      </c>
      <c r="J225" s="11"/>
    </row>
    <row r="226" spans="1:10" x14ac:dyDescent="0.25">
      <c r="A226" s="11" t="s">
        <v>603</v>
      </c>
      <c r="J226" s="11"/>
    </row>
    <row r="227" spans="1:10" x14ac:dyDescent="0.25">
      <c r="A227" s="11" t="s">
        <v>116</v>
      </c>
      <c r="J227" s="11"/>
    </row>
    <row r="228" spans="1:10" x14ac:dyDescent="0.25">
      <c r="A228" s="11" t="s">
        <v>118</v>
      </c>
      <c r="J228" s="11"/>
    </row>
    <row r="229" spans="1:10" x14ac:dyDescent="0.25">
      <c r="A229" s="11" t="s">
        <v>120</v>
      </c>
      <c r="J229" s="11"/>
    </row>
    <row r="230" spans="1:10" x14ac:dyDescent="0.25">
      <c r="A230" s="11" t="s">
        <v>122</v>
      </c>
      <c r="J230" s="11"/>
    </row>
    <row r="231" spans="1:10" x14ac:dyDescent="0.25">
      <c r="A231" s="11" t="s">
        <v>124</v>
      </c>
      <c r="J231" s="11"/>
    </row>
    <row r="232" spans="1:10" x14ac:dyDescent="0.25">
      <c r="A232" s="11" t="s">
        <v>126</v>
      </c>
      <c r="J232" s="11"/>
    </row>
    <row r="233" spans="1:10" x14ac:dyDescent="0.25">
      <c r="A233" s="11" t="s">
        <v>128</v>
      </c>
      <c r="J233" s="11"/>
    </row>
    <row r="234" spans="1:10" x14ac:dyDescent="0.25">
      <c r="A234" s="11" t="s">
        <v>130</v>
      </c>
      <c r="J234" s="11"/>
    </row>
    <row r="235" spans="1:10" x14ac:dyDescent="0.25">
      <c r="A235" s="11" t="s">
        <v>132</v>
      </c>
      <c r="J235" s="11"/>
    </row>
    <row r="236" spans="1:10" x14ac:dyDescent="0.25">
      <c r="A236" s="11" t="s">
        <v>134</v>
      </c>
      <c r="J236" s="11"/>
    </row>
    <row r="237" spans="1:10" x14ac:dyDescent="0.25">
      <c r="A237" s="11" t="s">
        <v>999</v>
      </c>
      <c r="J237" s="11"/>
    </row>
    <row r="238" spans="1:10" x14ac:dyDescent="0.25">
      <c r="A238" s="11" t="s">
        <v>370</v>
      </c>
      <c r="J238" s="11"/>
    </row>
    <row r="239" spans="1:10" x14ac:dyDescent="0.25">
      <c r="A239" s="11" t="s">
        <v>426</v>
      </c>
      <c r="J239" s="11"/>
    </row>
    <row r="240" spans="1:10" x14ac:dyDescent="0.25">
      <c r="A240" s="11" t="s">
        <v>494</v>
      </c>
      <c r="J240" s="11"/>
    </row>
    <row r="241" spans="1:10" x14ac:dyDescent="0.25">
      <c r="A241" s="11" t="s">
        <v>1218</v>
      </c>
      <c r="J241" s="11"/>
    </row>
    <row r="242" spans="1:10" x14ac:dyDescent="0.25">
      <c r="A242" s="11" t="s">
        <v>366</v>
      </c>
      <c r="J242" s="11"/>
    </row>
    <row r="243" spans="1:10" x14ac:dyDescent="0.25">
      <c r="A243" s="11" t="s">
        <v>924</v>
      </c>
      <c r="J243" s="11"/>
    </row>
    <row r="244" spans="1:10" x14ac:dyDescent="0.25">
      <c r="A244" s="11" t="s">
        <v>861</v>
      </c>
      <c r="J244" s="11"/>
    </row>
    <row r="245" spans="1:10" x14ac:dyDescent="0.25">
      <c r="A245" s="11" t="s">
        <v>1058</v>
      </c>
      <c r="J245" s="11"/>
    </row>
    <row r="246" spans="1:10" x14ac:dyDescent="0.25">
      <c r="A246" s="11" t="s">
        <v>866</v>
      </c>
      <c r="J246" s="11"/>
    </row>
    <row r="247" spans="1:10" x14ac:dyDescent="0.25">
      <c r="A247" s="11" t="s">
        <v>865</v>
      </c>
      <c r="J247" s="11"/>
    </row>
    <row r="248" spans="1:10" x14ac:dyDescent="0.25">
      <c r="A248" s="11" t="s">
        <v>957</v>
      </c>
      <c r="J248" s="11"/>
    </row>
    <row r="249" spans="1:10" x14ac:dyDescent="0.25">
      <c r="A249" s="11" t="s">
        <v>863</v>
      </c>
      <c r="J249" s="11"/>
    </row>
    <row r="250" spans="1:10" x14ac:dyDescent="0.25">
      <c r="A250" s="11" t="s">
        <v>955</v>
      </c>
      <c r="J250" s="11"/>
    </row>
    <row r="251" spans="1:10" x14ac:dyDescent="0.25">
      <c r="A251" s="11" t="s">
        <v>859</v>
      </c>
      <c r="J251" s="11"/>
    </row>
    <row r="252" spans="1:10" x14ac:dyDescent="0.25">
      <c r="A252" s="11" t="s">
        <v>736</v>
      </c>
      <c r="J252" s="11"/>
    </row>
    <row r="253" spans="1:10" x14ac:dyDescent="0.25">
      <c r="A253" s="11" t="s">
        <v>732</v>
      </c>
      <c r="J253" s="11"/>
    </row>
    <row r="254" spans="1:10" x14ac:dyDescent="0.25">
      <c r="A254" s="11" t="s">
        <v>734</v>
      </c>
      <c r="J254" s="11"/>
    </row>
    <row r="255" spans="1:10" x14ac:dyDescent="0.25">
      <c r="A255" s="11" t="s">
        <v>738</v>
      </c>
      <c r="J255" s="11"/>
    </row>
    <row r="256" spans="1:10" x14ac:dyDescent="0.25">
      <c r="A256" s="11" t="s">
        <v>1232</v>
      </c>
      <c r="J256" s="11"/>
    </row>
    <row r="257" spans="1:10" x14ac:dyDescent="0.25">
      <c r="A257" s="11" t="s">
        <v>1190</v>
      </c>
      <c r="J257" s="11"/>
    </row>
    <row r="258" spans="1:10" x14ac:dyDescent="0.25">
      <c r="A258" s="11" t="s">
        <v>823</v>
      </c>
      <c r="J258" s="11"/>
    </row>
    <row r="259" spans="1:10" x14ac:dyDescent="0.25">
      <c r="A259" s="11" t="s">
        <v>770</v>
      </c>
      <c r="J259" s="11"/>
    </row>
    <row r="260" spans="1:10" x14ac:dyDescent="0.25">
      <c r="A260" s="11" t="s">
        <v>692</v>
      </c>
      <c r="J260" s="11"/>
    </row>
    <row r="261" spans="1:10" x14ac:dyDescent="0.25">
      <c r="A261" s="11" t="s">
        <v>832</v>
      </c>
      <c r="J261" s="11"/>
    </row>
    <row r="262" spans="1:10" x14ac:dyDescent="0.25">
      <c r="A262" s="11" t="s">
        <v>819</v>
      </c>
      <c r="J262" s="11"/>
    </row>
    <row r="263" spans="1:10" x14ac:dyDescent="0.25">
      <c r="A263" s="11" t="s">
        <v>750</v>
      </c>
      <c r="J263" s="11"/>
    </row>
    <row r="264" spans="1:10" x14ac:dyDescent="0.25">
      <c r="A264" s="11" t="s">
        <v>1115</v>
      </c>
      <c r="J264" s="11"/>
    </row>
    <row r="265" spans="1:10" x14ac:dyDescent="0.25">
      <c r="A265" s="11" t="s">
        <v>947</v>
      </c>
      <c r="J265" s="11"/>
    </row>
    <row r="266" spans="1:10" x14ac:dyDescent="0.25">
      <c r="A266" s="11" t="s">
        <v>762</v>
      </c>
      <c r="J266" s="11"/>
    </row>
    <row r="267" spans="1:10" x14ac:dyDescent="0.25">
      <c r="A267" s="11" t="s">
        <v>679</v>
      </c>
      <c r="J267" s="11"/>
    </row>
    <row r="268" spans="1:10" x14ac:dyDescent="0.25">
      <c r="A268" s="11" t="s">
        <v>686</v>
      </c>
      <c r="J268" s="11"/>
    </row>
    <row r="269" spans="1:10" x14ac:dyDescent="0.25">
      <c r="A269" s="11" t="s">
        <v>669</v>
      </c>
      <c r="J269" s="11"/>
    </row>
    <row r="270" spans="1:10" x14ac:dyDescent="0.25">
      <c r="A270" s="11" t="s">
        <v>989</v>
      </c>
      <c r="J270" s="11"/>
    </row>
    <row r="271" spans="1:10" x14ac:dyDescent="0.25">
      <c r="A271" s="11" t="s">
        <v>772</v>
      </c>
      <c r="J271" s="11"/>
    </row>
    <row r="272" spans="1:10" x14ac:dyDescent="0.25">
      <c r="A272" s="11" t="s">
        <v>696</v>
      </c>
      <c r="J272" s="11"/>
    </row>
    <row r="273" spans="1:10" x14ac:dyDescent="0.25">
      <c r="A273" s="11" t="s">
        <v>694</v>
      </c>
      <c r="J273" s="11"/>
    </row>
    <row r="274" spans="1:10" x14ac:dyDescent="0.25">
      <c r="A274" s="11" t="s">
        <v>1177</v>
      </c>
      <c r="J274" s="11"/>
    </row>
    <row r="275" spans="1:10" x14ac:dyDescent="0.25">
      <c r="A275" s="11" t="s">
        <v>764</v>
      </c>
      <c r="J275" s="11"/>
    </row>
    <row r="276" spans="1:10" x14ac:dyDescent="0.25">
      <c r="A276" s="11" t="s">
        <v>673</v>
      </c>
      <c r="J276" s="11"/>
    </row>
    <row r="277" spans="1:10" x14ac:dyDescent="0.25">
      <c r="A277" s="11" t="s">
        <v>1117</v>
      </c>
      <c r="J277" s="11"/>
    </row>
    <row r="278" spans="1:10" x14ac:dyDescent="0.25">
      <c r="A278" s="11" t="s">
        <v>675</v>
      </c>
      <c r="J278" s="11"/>
    </row>
    <row r="279" spans="1:10" x14ac:dyDescent="0.25">
      <c r="A279" s="11" t="s">
        <v>683</v>
      </c>
      <c r="J279" s="11"/>
    </row>
    <row r="280" spans="1:10" x14ac:dyDescent="0.25">
      <c r="A280" s="11" t="s">
        <v>690</v>
      </c>
      <c r="J280" s="11"/>
    </row>
    <row r="281" spans="1:10" x14ac:dyDescent="0.25">
      <c r="A281" s="11" t="s">
        <v>685</v>
      </c>
      <c r="J281" s="11"/>
    </row>
    <row r="282" spans="1:10" x14ac:dyDescent="0.25">
      <c r="A282" s="11" t="s">
        <v>677</v>
      </c>
      <c r="J282" s="11"/>
    </row>
    <row r="283" spans="1:10" x14ac:dyDescent="0.25">
      <c r="A283" s="11" t="s">
        <v>667</v>
      </c>
      <c r="J283" s="11"/>
    </row>
    <row r="284" spans="1:10" x14ac:dyDescent="0.25">
      <c r="A284" s="11" t="s">
        <v>1131</v>
      </c>
      <c r="J284" s="11"/>
    </row>
    <row r="285" spans="1:10" x14ac:dyDescent="0.25">
      <c r="A285" s="11" t="s">
        <v>825</v>
      </c>
      <c r="J285" s="11"/>
    </row>
    <row r="286" spans="1:10" x14ac:dyDescent="0.25">
      <c r="A286" s="11" t="s">
        <v>870</v>
      </c>
      <c r="J286" s="11"/>
    </row>
    <row r="287" spans="1:10" x14ac:dyDescent="0.25">
      <c r="A287" s="11" t="s">
        <v>1220</v>
      </c>
      <c r="J287" s="11"/>
    </row>
    <row r="288" spans="1:10" x14ac:dyDescent="0.25">
      <c r="A288" s="11" t="s">
        <v>1157</v>
      </c>
      <c r="J288" s="11"/>
    </row>
    <row r="289" spans="1:10" x14ac:dyDescent="0.25">
      <c r="A289" s="11" t="s">
        <v>906</v>
      </c>
      <c r="J289" s="11"/>
    </row>
    <row r="290" spans="1:10" x14ac:dyDescent="0.25">
      <c r="A290" s="11" t="s">
        <v>702</v>
      </c>
      <c r="J290" s="11"/>
    </row>
    <row r="291" spans="1:10" x14ac:dyDescent="0.25">
      <c r="A291" s="11" t="s">
        <v>712</v>
      </c>
      <c r="J291" s="11"/>
    </row>
    <row r="292" spans="1:10" x14ac:dyDescent="0.25">
      <c r="A292" s="11" t="s">
        <v>837</v>
      </c>
      <c r="J292" s="11"/>
    </row>
    <row r="293" spans="1:10" x14ac:dyDescent="0.25">
      <c r="A293" s="11" t="s">
        <v>754</v>
      </c>
      <c r="J293" s="11"/>
    </row>
    <row r="294" spans="1:10" x14ac:dyDescent="0.25">
      <c r="A294" s="11" t="s">
        <v>845</v>
      </c>
      <c r="J294" s="11"/>
    </row>
    <row r="295" spans="1:10" x14ac:dyDescent="0.25">
      <c r="A295" s="11" t="s">
        <v>847</v>
      </c>
      <c r="J295" s="11"/>
    </row>
    <row r="296" spans="1:10" x14ac:dyDescent="0.25">
      <c r="A296" s="11" t="s">
        <v>813</v>
      </c>
      <c r="J296" s="11"/>
    </row>
    <row r="297" spans="1:10" x14ac:dyDescent="0.25">
      <c r="A297" s="11" t="s">
        <v>766</v>
      </c>
      <c r="J297" s="11"/>
    </row>
    <row r="298" spans="1:10" x14ac:dyDescent="0.25">
      <c r="A298" s="11" t="s">
        <v>809</v>
      </c>
      <c r="J298" s="11"/>
    </row>
    <row r="299" spans="1:10" x14ac:dyDescent="0.25">
      <c r="A299" s="11" t="s">
        <v>758</v>
      </c>
      <c r="J299" s="11"/>
    </row>
    <row r="300" spans="1:10" x14ac:dyDescent="0.25">
      <c r="A300" s="11" t="s">
        <v>1133</v>
      </c>
      <c r="J300" s="11"/>
    </row>
    <row r="301" spans="1:10" x14ac:dyDescent="0.25">
      <c r="A301" s="11" t="s">
        <v>714</v>
      </c>
      <c r="J301" s="11"/>
    </row>
    <row r="302" spans="1:10" x14ac:dyDescent="0.25">
      <c r="A302" s="11" t="s">
        <v>1038</v>
      </c>
      <c r="J302" s="11"/>
    </row>
    <row r="303" spans="1:10" x14ac:dyDescent="0.25">
      <c r="A303" s="11" t="s">
        <v>1222</v>
      </c>
      <c r="J303" s="11"/>
    </row>
    <row r="304" spans="1:10" x14ac:dyDescent="0.25">
      <c r="A304" s="11" t="s">
        <v>904</v>
      </c>
      <c r="J304" s="11"/>
    </row>
    <row r="305" spans="1:10" x14ac:dyDescent="0.25">
      <c r="A305" s="11" t="s">
        <v>718</v>
      </c>
      <c r="J305" s="11"/>
    </row>
    <row r="306" spans="1:10" x14ac:dyDescent="0.25">
      <c r="A306" s="11" t="s">
        <v>1149</v>
      </c>
      <c r="J306" s="11"/>
    </row>
    <row r="307" spans="1:10" x14ac:dyDescent="0.25">
      <c r="A307" s="11" t="s">
        <v>756</v>
      </c>
      <c r="J307" s="11"/>
    </row>
    <row r="308" spans="1:10" x14ac:dyDescent="0.25">
      <c r="A308" s="11" t="s">
        <v>1123</v>
      </c>
      <c r="J308" s="11"/>
    </row>
    <row r="309" spans="1:10" x14ac:dyDescent="0.25">
      <c r="A309" s="11" t="s">
        <v>778</v>
      </c>
      <c r="J309" s="11"/>
    </row>
    <row r="310" spans="1:10" x14ac:dyDescent="0.25">
      <c r="A310" s="11" t="s">
        <v>843</v>
      </c>
      <c r="J310" s="11"/>
    </row>
    <row r="311" spans="1:10" x14ac:dyDescent="0.25">
      <c r="A311" s="11" t="s">
        <v>839</v>
      </c>
      <c r="J311" s="11"/>
    </row>
    <row r="312" spans="1:10" x14ac:dyDescent="0.25">
      <c r="A312" s="11" t="s">
        <v>841</v>
      </c>
      <c r="J312" s="11"/>
    </row>
    <row r="313" spans="1:10" x14ac:dyDescent="0.25">
      <c r="A313" s="11" t="s">
        <v>872</v>
      </c>
      <c r="J313" s="11"/>
    </row>
    <row r="314" spans="1:10" x14ac:dyDescent="0.25">
      <c r="A314" s="11" t="s">
        <v>1094</v>
      </c>
      <c r="J314" s="11"/>
    </row>
    <row r="315" spans="1:10" x14ac:dyDescent="0.25">
      <c r="A315" s="11" t="s">
        <v>817</v>
      </c>
      <c r="J315" s="11"/>
    </row>
    <row r="316" spans="1:10" x14ac:dyDescent="0.25">
      <c r="A316" s="11" t="s">
        <v>1155</v>
      </c>
      <c r="J316" s="11"/>
    </row>
    <row r="317" spans="1:10" x14ac:dyDescent="0.25">
      <c r="A317" s="11" t="s">
        <v>834</v>
      </c>
      <c r="J317" s="11"/>
    </row>
    <row r="318" spans="1:10" x14ac:dyDescent="0.25">
      <c r="A318" s="11" t="s">
        <v>938</v>
      </c>
      <c r="J318" s="11"/>
    </row>
    <row r="319" spans="1:10" x14ac:dyDescent="0.25">
      <c r="A319" s="11" t="s">
        <v>928</v>
      </c>
      <c r="J319" s="11"/>
    </row>
    <row r="320" spans="1:10" x14ac:dyDescent="0.25">
      <c r="A320" s="11" t="s">
        <v>724</v>
      </c>
      <c r="J320" s="11"/>
    </row>
    <row r="321" spans="1:10" x14ac:dyDescent="0.25">
      <c r="A321" s="11" t="s">
        <v>855</v>
      </c>
      <c r="J321" s="11"/>
    </row>
    <row r="322" spans="1:10" x14ac:dyDescent="0.25">
      <c r="A322" s="11" t="s">
        <v>743</v>
      </c>
      <c r="J322" s="11"/>
    </row>
    <row r="323" spans="1:10" x14ac:dyDescent="0.25">
      <c r="A323" s="11" t="s">
        <v>997</v>
      </c>
      <c r="J323" s="11"/>
    </row>
    <row r="324" spans="1:10" x14ac:dyDescent="0.25">
      <c r="A324" s="11" t="s">
        <v>708</v>
      </c>
      <c r="J324" s="11"/>
    </row>
    <row r="325" spans="1:10" x14ac:dyDescent="0.25">
      <c r="A325" s="11" t="s">
        <v>748</v>
      </c>
      <c r="J325" s="11"/>
    </row>
    <row r="326" spans="1:10" x14ac:dyDescent="0.25">
      <c r="A326" s="11" t="s">
        <v>853</v>
      </c>
      <c r="J326" s="11"/>
    </row>
    <row r="327" spans="1:10" x14ac:dyDescent="0.25">
      <c r="A327" s="11" t="s">
        <v>1145</v>
      </c>
      <c r="J327" s="11"/>
    </row>
    <row r="328" spans="1:10" x14ac:dyDescent="0.25">
      <c r="A328" s="11" t="s">
        <v>1056</v>
      </c>
      <c r="J328" s="11"/>
    </row>
    <row r="329" spans="1:10" x14ac:dyDescent="0.25">
      <c r="A329" s="11" t="s">
        <v>857</v>
      </c>
      <c r="J329" s="11"/>
    </row>
    <row r="330" spans="1:10" x14ac:dyDescent="0.25">
      <c r="A330" s="11" t="s">
        <v>720</v>
      </c>
      <c r="J330" s="11"/>
    </row>
    <row r="331" spans="1:10" x14ac:dyDescent="0.25">
      <c r="A331" s="11" t="s">
        <v>698</v>
      </c>
      <c r="J331" s="11"/>
    </row>
    <row r="332" spans="1:10" x14ac:dyDescent="0.25">
      <c r="A332" s="11" t="s">
        <v>745</v>
      </c>
      <c r="J332" s="11"/>
    </row>
    <row r="333" spans="1:10" x14ac:dyDescent="0.25">
      <c r="A333" s="11" t="s">
        <v>784</v>
      </c>
      <c r="J333" s="17"/>
    </row>
    <row r="334" spans="1:10" x14ac:dyDescent="0.25">
      <c r="A334" s="11" t="s">
        <v>1213</v>
      </c>
      <c r="J334" s="11"/>
    </row>
    <row r="335" spans="1:10" x14ac:dyDescent="0.25">
      <c r="A335" s="11" t="s">
        <v>908</v>
      </c>
      <c r="J335" s="11"/>
    </row>
    <row r="336" spans="1:10" x14ac:dyDescent="0.25">
      <c r="A336" s="11" t="s">
        <v>722</v>
      </c>
      <c r="J336" s="11"/>
    </row>
    <row r="337" spans="1:10" x14ac:dyDescent="0.25">
      <c r="A337" s="11" t="s">
        <v>746</v>
      </c>
      <c r="J337" s="11"/>
    </row>
    <row r="338" spans="1:10" x14ac:dyDescent="0.25">
      <c r="A338" s="11" t="s">
        <v>849</v>
      </c>
      <c r="J338" s="11"/>
    </row>
    <row r="339" spans="1:10" x14ac:dyDescent="0.25">
      <c r="A339" s="11" t="s">
        <v>815</v>
      </c>
      <c r="J339" s="11"/>
    </row>
    <row r="340" spans="1:10" x14ac:dyDescent="0.25">
      <c r="A340" s="11" t="s">
        <v>1226</v>
      </c>
      <c r="J340" s="11"/>
    </row>
    <row r="341" spans="1:10" x14ac:dyDescent="0.25">
      <c r="A341" s="11" t="s">
        <v>995</v>
      </c>
      <c r="J341" s="11"/>
    </row>
    <row r="342" spans="1:10" x14ac:dyDescent="0.25">
      <c r="A342" s="11" t="s">
        <v>811</v>
      </c>
      <c r="J342" s="11"/>
    </row>
    <row r="343" spans="1:10" x14ac:dyDescent="0.25">
      <c r="A343" s="11" t="s">
        <v>1216</v>
      </c>
      <c r="J343" s="11"/>
    </row>
    <row r="344" spans="1:10" x14ac:dyDescent="0.25">
      <c r="A344" s="11" t="s">
        <v>730</v>
      </c>
      <c r="J344" s="11"/>
    </row>
    <row r="345" spans="1:10" x14ac:dyDescent="0.25">
      <c r="A345" s="11" t="s">
        <v>726</v>
      </c>
      <c r="J345" s="11"/>
    </row>
    <row r="346" spans="1:10" x14ac:dyDescent="0.25">
      <c r="A346" s="11" t="s">
        <v>728</v>
      </c>
      <c r="J346" s="11"/>
    </row>
    <row r="347" spans="1:10" x14ac:dyDescent="0.25">
      <c r="A347" s="11" t="s">
        <v>700</v>
      </c>
      <c r="J347" s="11"/>
    </row>
    <row r="348" spans="1:10" x14ac:dyDescent="0.25">
      <c r="A348" s="11" t="s">
        <v>704</v>
      </c>
      <c r="J348" s="11"/>
    </row>
    <row r="349" spans="1:10" x14ac:dyDescent="0.25">
      <c r="A349" s="11" t="s">
        <v>953</v>
      </c>
      <c r="J349" s="11"/>
    </row>
    <row r="350" spans="1:10" x14ac:dyDescent="0.25">
      <c r="A350" s="11" t="s">
        <v>982</v>
      </c>
      <c r="J350" s="11"/>
    </row>
    <row r="351" spans="1:10" x14ac:dyDescent="0.25">
      <c r="A351" s="11" t="s">
        <v>768</v>
      </c>
      <c r="J351" s="11"/>
    </row>
    <row r="352" spans="1:10" x14ac:dyDescent="0.25">
      <c r="A352" s="11" t="s">
        <v>774</v>
      </c>
      <c r="J352" s="11"/>
    </row>
    <row r="353" spans="1:10" x14ac:dyDescent="0.25">
      <c r="A353" s="11" t="s">
        <v>1151</v>
      </c>
      <c r="J353" s="11"/>
    </row>
    <row r="354" spans="1:10" x14ac:dyDescent="0.25">
      <c r="A354" s="11" t="s">
        <v>1182</v>
      </c>
      <c r="J354" s="11"/>
    </row>
    <row r="355" spans="1:10" x14ac:dyDescent="0.25">
      <c r="A355" s="11" t="s">
        <v>780</v>
      </c>
      <c r="J355" s="11"/>
    </row>
    <row r="356" spans="1:10" x14ac:dyDescent="0.25">
      <c r="A356" s="11" t="s">
        <v>782</v>
      </c>
      <c r="J356" s="11"/>
    </row>
    <row r="357" spans="1:10" x14ac:dyDescent="0.25">
      <c r="A357" s="11" t="s">
        <v>710</v>
      </c>
      <c r="J357" s="11"/>
    </row>
    <row r="358" spans="1:10" x14ac:dyDescent="0.25">
      <c r="A358" s="11" t="s">
        <v>1042</v>
      </c>
      <c r="J358" s="11"/>
    </row>
    <row r="359" spans="1:10" x14ac:dyDescent="0.25">
      <c r="A359" s="11" t="s">
        <v>671</v>
      </c>
      <c r="J359" s="11"/>
    </row>
    <row r="360" spans="1:10" x14ac:dyDescent="0.25">
      <c r="A360" s="11" t="s">
        <v>945</v>
      </c>
      <c r="J360" s="11"/>
    </row>
    <row r="361" spans="1:10" x14ac:dyDescent="0.25">
      <c r="A361" s="11" t="s">
        <v>760</v>
      </c>
      <c r="J361" s="11"/>
    </row>
    <row r="362" spans="1:10" x14ac:dyDescent="0.25">
      <c r="A362" s="11" t="s">
        <v>681</v>
      </c>
      <c r="J362" s="11"/>
    </row>
    <row r="363" spans="1:10" x14ac:dyDescent="0.25">
      <c r="A363" s="11" t="s">
        <v>688</v>
      </c>
      <c r="J363" s="11"/>
    </row>
    <row r="364" spans="1:10" x14ac:dyDescent="0.25">
      <c r="A364" s="11" t="s">
        <v>828</v>
      </c>
      <c r="J364" s="11"/>
    </row>
    <row r="365" spans="1:10" x14ac:dyDescent="0.25">
      <c r="A365" s="11" t="s">
        <v>830</v>
      </c>
      <c r="J365" s="11"/>
    </row>
    <row r="366" spans="1:10" x14ac:dyDescent="0.25">
      <c r="A366" s="11" t="s">
        <v>930</v>
      </c>
      <c r="J366" s="11"/>
    </row>
    <row r="367" spans="1:10" x14ac:dyDescent="0.25">
      <c r="A367" s="11" t="s">
        <v>1104</v>
      </c>
      <c r="J367" s="11"/>
    </row>
    <row r="368" spans="1:10" x14ac:dyDescent="0.25">
      <c r="A368" s="11" t="s">
        <v>835</v>
      </c>
      <c r="J368" s="11"/>
    </row>
    <row r="369" spans="1:10" x14ac:dyDescent="0.25">
      <c r="A369" s="11" t="s">
        <v>868</v>
      </c>
      <c r="J369" s="11"/>
    </row>
    <row r="370" spans="1:10" x14ac:dyDescent="0.25">
      <c r="A370" s="11" t="s">
        <v>706</v>
      </c>
      <c r="J370" s="11"/>
    </row>
    <row r="371" spans="1:10" x14ac:dyDescent="0.25">
      <c r="A371" s="11" t="s">
        <v>716</v>
      </c>
      <c r="J371" s="11"/>
    </row>
    <row r="372" spans="1:10" x14ac:dyDescent="0.25">
      <c r="A372" s="11" t="s">
        <v>827</v>
      </c>
      <c r="J372" s="11"/>
    </row>
    <row r="373" spans="1:10" x14ac:dyDescent="0.25">
      <c r="A373" s="11" t="s">
        <v>46</v>
      </c>
      <c r="J373" s="11"/>
    </row>
    <row r="374" spans="1:10" x14ac:dyDescent="0.25">
      <c r="A374" s="11" t="s">
        <v>354</v>
      </c>
      <c r="J374" s="11"/>
    </row>
    <row r="375" spans="1:10" x14ac:dyDescent="0.25">
      <c r="A375" s="11" t="s">
        <v>356</v>
      </c>
      <c r="J375" s="11"/>
    </row>
    <row r="376" spans="1:10" x14ac:dyDescent="0.25">
      <c r="A376" s="11" t="s">
        <v>1051</v>
      </c>
      <c r="J376" s="11"/>
    </row>
    <row r="377" spans="1:10" x14ac:dyDescent="0.25">
      <c r="A377" s="11" t="s">
        <v>1100</v>
      </c>
      <c r="J377" s="11"/>
    </row>
    <row r="378" spans="1:10" x14ac:dyDescent="0.25">
      <c r="A378" s="11" t="s">
        <v>1000</v>
      </c>
      <c r="J378" s="11"/>
    </row>
    <row r="379" spans="1:10" x14ac:dyDescent="0.25">
      <c r="A379" s="11" t="s">
        <v>1099</v>
      </c>
      <c r="J379" s="11"/>
    </row>
    <row r="380" spans="1:10" x14ac:dyDescent="0.25">
      <c r="A380" s="11" t="s">
        <v>1096</v>
      </c>
      <c r="J380" s="11"/>
    </row>
    <row r="381" spans="1:10" x14ac:dyDescent="0.25">
      <c r="A381" s="11" t="s">
        <v>962</v>
      </c>
      <c r="J381" s="11"/>
    </row>
    <row r="382" spans="1:10" x14ac:dyDescent="0.25">
      <c r="A382" s="11" t="s">
        <v>1228</v>
      </c>
      <c r="J382" s="11"/>
    </row>
    <row r="383" spans="1:10" x14ac:dyDescent="0.25">
      <c r="A383" s="11" t="s">
        <v>1161</v>
      </c>
      <c r="J383" s="11"/>
    </row>
    <row r="384" spans="1:10" x14ac:dyDescent="0.25">
      <c r="A384" s="11" t="s">
        <v>1002</v>
      </c>
      <c r="J384" s="11"/>
    </row>
    <row r="385" spans="1:10" x14ac:dyDescent="0.25">
      <c r="A385" s="11" t="s">
        <v>1097</v>
      </c>
      <c r="J385" s="11"/>
    </row>
    <row r="386" spans="1:10" x14ac:dyDescent="0.25">
      <c r="A386" s="11" t="s">
        <v>1211</v>
      </c>
      <c r="J386" s="11"/>
    </row>
    <row r="387" spans="1:10" x14ac:dyDescent="0.25">
      <c r="A387" s="11" t="s">
        <v>797</v>
      </c>
      <c r="J387" s="11"/>
    </row>
    <row r="388" spans="1:10" x14ac:dyDescent="0.25">
      <c r="A388" s="11" t="s">
        <v>50</v>
      </c>
      <c r="J388" s="11"/>
    </row>
    <row r="389" spans="1:10" x14ac:dyDescent="0.25">
      <c r="A389" s="11" t="s">
        <v>895</v>
      </c>
      <c r="J389" s="11"/>
    </row>
    <row r="390" spans="1:10" x14ac:dyDescent="0.25">
      <c r="A390" s="11" t="s">
        <v>788</v>
      </c>
      <c r="J390" s="11"/>
    </row>
    <row r="391" spans="1:10" x14ac:dyDescent="0.25">
      <c r="A391" s="11" t="s">
        <v>1139</v>
      </c>
      <c r="J391" s="11"/>
    </row>
    <row r="392" spans="1:10" x14ac:dyDescent="0.25">
      <c r="A392" s="11" t="s">
        <v>786</v>
      </c>
      <c r="J392" s="11"/>
    </row>
    <row r="393" spans="1:10" x14ac:dyDescent="0.25">
      <c r="A393" s="11" t="s">
        <v>891</v>
      </c>
      <c r="J393" s="11"/>
    </row>
    <row r="394" spans="1:10" x14ac:dyDescent="0.25">
      <c r="A394" s="11" t="s">
        <v>880</v>
      </c>
      <c r="J394" s="11"/>
    </row>
    <row r="395" spans="1:10" x14ac:dyDescent="0.25">
      <c r="A395" s="11" t="s">
        <v>1066</v>
      </c>
      <c r="J395" s="11"/>
    </row>
    <row r="396" spans="1:10" x14ac:dyDescent="0.25">
      <c r="A396" s="11" t="s">
        <v>1010</v>
      </c>
      <c r="J396" s="11"/>
    </row>
    <row r="397" spans="1:10" x14ac:dyDescent="0.25">
      <c r="A397" s="11" t="s">
        <v>1068</v>
      </c>
      <c r="J397" s="11"/>
    </row>
    <row r="398" spans="1:10" x14ac:dyDescent="0.25">
      <c r="A398" s="11" t="s">
        <v>885</v>
      </c>
      <c r="J398" s="11"/>
    </row>
    <row r="399" spans="1:10" x14ac:dyDescent="0.25">
      <c r="A399" s="11" t="s">
        <v>882</v>
      </c>
      <c r="J399" s="11"/>
    </row>
    <row r="400" spans="1:10" x14ac:dyDescent="0.25">
      <c r="A400" s="11" t="s">
        <v>899</v>
      </c>
      <c r="J400" s="11"/>
    </row>
    <row r="401" spans="1:10" x14ac:dyDescent="0.25">
      <c r="A401" s="11" t="s">
        <v>893</v>
      </c>
      <c r="J401" s="11"/>
    </row>
    <row r="402" spans="1:10" x14ac:dyDescent="0.25">
      <c r="A402" s="11" t="s">
        <v>889</v>
      </c>
      <c r="J402" s="11"/>
    </row>
    <row r="403" spans="1:10" x14ac:dyDescent="0.25">
      <c r="A403" s="11" t="s">
        <v>887</v>
      </c>
      <c r="J403" s="11"/>
    </row>
    <row r="404" spans="1:10" x14ac:dyDescent="0.25">
      <c r="A404" s="11" t="s">
        <v>752</v>
      </c>
      <c r="J404" s="11"/>
    </row>
    <row r="405" spans="1:10" x14ac:dyDescent="0.25">
      <c r="A405" s="11" t="s">
        <v>916</v>
      </c>
      <c r="J405" s="11"/>
    </row>
    <row r="406" spans="1:10" x14ac:dyDescent="0.25">
      <c r="A406" s="11" t="s">
        <v>918</v>
      </c>
      <c r="J406" s="11"/>
    </row>
    <row r="407" spans="1:10" x14ac:dyDescent="0.25">
      <c r="A407" s="11" t="s">
        <v>920</v>
      </c>
      <c r="J407" s="11"/>
    </row>
    <row r="408" spans="1:10" x14ac:dyDescent="0.25">
      <c r="A408" s="11" t="s">
        <v>922</v>
      </c>
      <c r="J408" s="11"/>
    </row>
    <row r="409" spans="1:10" x14ac:dyDescent="0.25">
      <c r="A409" s="11" t="s">
        <v>1119</v>
      </c>
      <c r="J409" s="11"/>
    </row>
    <row r="410" spans="1:10" x14ac:dyDescent="0.25">
      <c r="A410" s="11" t="s">
        <v>1199</v>
      </c>
      <c r="J410" s="11"/>
    </row>
    <row r="411" spans="1:10" x14ac:dyDescent="0.25">
      <c r="A411" s="11" t="s">
        <v>1110</v>
      </c>
      <c r="J411" s="11"/>
    </row>
    <row r="412" spans="1:10" x14ac:dyDescent="0.25">
      <c r="A412" s="11" t="s">
        <v>926</v>
      </c>
      <c r="J412" s="11"/>
    </row>
    <row r="413" spans="1:10" x14ac:dyDescent="0.25">
      <c r="A413" s="11" t="s">
        <v>910</v>
      </c>
      <c r="J413" s="11"/>
    </row>
    <row r="414" spans="1:10" x14ac:dyDescent="0.25">
      <c r="A414" s="11" t="s">
        <v>912</v>
      </c>
      <c r="J414" s="11"/>
    </row>
    <row r="415" spans="1:10" x14ac:dyDescent="0.25">
      <c r="A415" s="11" t="s">
        <v>914</v>
      </c>
      <c r="J415" s="11"/>
    </row>
    <row r="416" spans="1:10" x14ac:dyDescent="0.25">
      <c r="A416" s="11" t="s">
        <v>1081</v>
      </c>
      <c r="J416" s="11"/>
    </row>
    <row r="417" spans="1:10" x14ac:dyDescent="0.25">
      <c r="A417" s="11" t="s">
        <v>1085</v>
      </c>
      <c r="J417" s="11"/>
    </row>
    <row r="418" spans="1:10" x14ac:dyDescent="0.25">
      <c r="A418" s="11" t="s">
        <v>1020</v>
      </c>
      <c r="J418" s="11"/>
    </row>
    <row r="419" spans="1:10" x14ac:dyDescent="0.25">
      <c r="A419" s="11" t="s">
        <v>1022</v>
      </c>
      <c r="J419" s="11"/>
    </row>
    <row r="420" spans="1:10" x14ac:dyDescent="0.25">
      <c r="A420" s="11" t="s">
        <v>1106</v>
      </c>
      <c r="J420" s="11"/>
    </row>
    <row r="421" spans="1:10" x14ac:dyDescent="0.25">
      <c r="A421" s="11" t="s">
        <v>1083</v>
      </c>
      <c r="J421" s="11"/>
    </row>
    <row r="422" spans="1:10" x14ac:dyDescent="0.25">
      <c r="A422" s="11" t="s">
        <v>1108</v>
      </c>
      <c r="J422" s="11"/>
    </row>
    <row r="423" spans="1:10" x14ac:dyDescent="0.25">
      <c r="A423" s="11" t="s">
        <v>1087</v>
      </c>
      <c r="J423" s="11"/>
    </row>
    <row r="424" spans="1:10" x14ac:dyDescent="0.25">
      <c r="A424" s="11" t="s">
        <v>1121</v>
      </c>
      <c r="J424" s="11"/>
    </row>
    <row r="425" spans="1:10" x14ac:dyDescent="0.25">
      <c r="A425" s="11" t="s">
        <v>1186</v>
      </c>
      <c r="J425" s="11"/>
    </row>
    <row r="426" spans="1:10" x14ac:dyDescent="0.25">
      <c r="A426" s="11" t="s">
        <v>1018</v>
      </c>
      <c r="J426" s="11"/>
    </row>
    <row r="427" spans="1:10" x14ac:dyDescent="0.25">
      <c r="A427" s="11" t="s">
        <v>1168</v>
      </c>
      <c r="J427" s="11"/>
    </row>
    <row r="428" spans="1:10" x14ac:dyDescent="0.25">
      <c r="A428" s="11" t="s">
        <v>645</v>
      </c>
      <c r="J428" s="11"/>
    </row>
    <row r="429" spans="1:10" x14ac:dyDescent="0.25">
      <c r="A429" s="11" t="s">
        <v>805</v>
      </c>
      <c r="J429" s="11"/>
    </row>
    <row r="430" spans="1:10" x14ac:dyDescent="0.25">
      <c r="A430" s="11" t="s">
        <v>803</v>
      </c>
      <c r="J430" s="11"/>
    </row>
    <row r="431" spans="1:10" x14ac:dyDescent="0.25">
      <c r="A431" s="11" t="s">
        <v>799</v>
      </c>
      <c r="J431" s="11"/>
    </row>
    <row r="432" spans="1:10" x14ac:dyDescent="0.25">
      <c r="A432" s="11" t="s">
        <v>801</v>
      </c>
      <c r="J432" s="11"/>
    </row>
    <row r="433" spans="1:10" x14ac:dyDescent="0.25">
      <c r="A433" s="11" t="s">
        <v>15</v>
      </c>
      <c r="J433" s="11"/>
    </row>
    <row r="434" spans="1:10" x14ac:dyDescent="0.25">
      <c r="A434" s="11" t="s">
        <v>331</v>
      </c>
      <c r="J434" s="11"/>
    </row>
    <row r="435" spans="1:10" x14ac:dyDescent="0.25">
      <c r="A435" s="11" t="s">
        <v>333</v>
      </c>
      <c r="J435" s="11"/>
    </row>
    <row r="436" spans="1:10" x14ac:dyDescent="0.25">
      <c r="A436" s="11" t="s">
        <v>463</v>
      </c>
      <c r="J436" s="11"/>
    </row>
    <row r="437" spans="1:10" x14ac:dyDescent="0.25">
      <c r="A437" s="11" t="s">
        <v>465</v>
      </c>
      <c r="J437" s="11"/>
    </row>
    <row r="438" spans="1:10" x14ac:dyDescent="0.25">
      <c r="A438" s="11" t="s">
        <v>335</v>
      </c>
      <c r="J438" s="11"/>
    </row>
    <row r="439" spans="1:10" x14ac:dyDescent="0.25">
      <c r="A439" s="11" t="s">
        <v>553</v>
      </c>
      <c r="J439" s="11"/>
    </row>
    <row r="440" spans="1:10" x14ac:dyDescent="0.25">
      <c r="A440" s="11" t="s">
        <v>551</v>
      </c>
      <c r="J440" s="11"/>
    </row>
    <row r="441" spans="1:10" x14ac:dyDescent="0.25">
      <c r="A441" s="11" t="s">
        <v>557</v>
      </c>
      <c r="J441" s="11"/>
    </row>
    <row r="442" spans="1:10" x14ac:dyDescent="0.25">
      <c r="A442" s="11" t="s">
        <v>555</v>
      </c>
      <c r="J442" s="11"/>
    </row>
    <row r="443" spans="1:10" x14ac:dyDescent="0.25">
      <c r="A443" s="11" t="s">
        <v>76</v>
      </c>
      <c r="J443" s="11"/>
    </row>
    <row r="444" spans="1:10" x14ac:dyDescent="0.25">
      <c r="A444" s="11" t="s">
        <v>368</v>
      </c>
      <c r="J444" s="11"/>
    </row>
    <row r="445" spans="1:10" x14ac:dyDescent="0.25">
      <c r="A445" s="11" t="s">
        <v>561</v>
      </c>
      <c r="J445" s="11"/>
    </row>
    <row r="446" spans="1:10" x14ac:dyDescent="0.25">
      <c r="A446" s="11" t="s">
        <v>78</v>
      </c>
      <c r="J446" s="11"/>
    </row>
    <row r="447" spans="1:10" x14ac:dyDescent="0.25">
      <c r="A447" s="11" t="s">
        <v>656</v>
      </c>
      <c r="J447" s="11"/>
    </row>
    <row r="448" spans="1:10" x14ac:dyDescent="0.25">
      <c r="J448" s="11"/>
    </row>
    <row r="449" spans="10:10" x14ac:dyDescent="0.25">
      <c r="J449" s="11"/>
    </row>
    <row r="450" spans="10:10" x14ac:dyDescent="0.25">
      <c r="J450" s="11"/>
    </row>
    <row r="451" spans="10:10" x14ac:dyDescent="0.25">
      <c r="J451" s="11"/>
    </row>
    <row r="452" spans="10:10" x14ac:dyDescent="0.25">
      <c r="J452" s="11"/>
    </row>
    <row r="453" spans="10:10" x14ac:dyDescent="0.25">
      <c r="J453" s="11"/>
    </row>
    <row r="454" spans="10:10" x14ac:dyDescent="0.25">
      <c r="J454" s="11"/>
    </row>
    <row r="455" spans="10:10" x14ac:dyDescent="0.25">
      <c r="J455" s="11"/>
    </row>
    <row r="456" spans="10:10" x14ac:dyDescent="0.25">
      <c r="J456" s="11"/>
    </row>
    <row r="457" spans="10:10" x14ac:dyDescent="0.25">
      <c r="J457" s="11"/>
    </row>
    <row r="458" spans="10:10" x14ac:dyDescent="0.25">
      <c r="J458" s="11"/>
    </row>
    <row r="459" spans="10:10" x14ac:dyDescent="0.25">
      <c r="J459" s="11"/>
    </row>
    <row r="460" spans="10:10" x14ac:dyDescent="0.25">
      <c r="J460" s="11"/>
    </row>
    <row r="461" spans="10:10" x14ac:dyDescent="0.25">
      <c r="J461" s="11"/>
    </row>
    <row r="462" spans="10:10" x14ac:dyDescent="0.25">
      <c r="J462" s="11"/>
    </row>
    <row r="463" spans="10:10" x14ac:dyDescent="0.25">
      <c r="J463" s="11"/>
    </row>
    <row r="464" spans="10:10" x14ac:dyDescent="0.25">
      <c r="J464" s="11"/>
    </row>
    <row r="465" spans="10:10" x14ac:dyDescent="0.25">
      <c r="J465" s="11"/>
    </row>
    <row r="466" spans="10:10" x14ac:dyDescent="0.25">
      <c r="J466" s="11"/>
    </row>
    <row r="467" spans="10:10" x14ac:dyDescent="0.25">
      <c r="J467" s="11"/>
    </row>
    <row r="468" spans="10:10" x14ac:dyDescent="0.25">
      <c r="J468" s="11"/>
    </row>
    <row r="469" spans="10:10" x14ac:dyDescent="0.25">
      <c r="J469" s="11"/>
    </row>
    <row r="470" spans="10:10" x14ac:dyDescent="0.25">
      <c r="J470" s="11"/>
    </row>
    <row r="471" spans="10:10" x14ac:dyDescent="0.25">
      <c r="J471" s="11"/>
    </row>
    <row r="472" spans="10:10" x14ac:dyDescent="0.25">
      <c r="J472" s="11"/>
    </row>
    <row r="473" spans="10:10" x14ac:dyDescent="0.25">
      <c r="J473" s="11"/>
    </row>
    <row r="474" spans="10:10" x14ac:dyDescent="0.25">
      <c r="J474" s="11"/>
    </row>
    <row r="475" spans="10:10" x14ac:dyDescent="0.25">
      <c r="J475" s="11"/>
    </row>
    <row r="476" spans="10:10" x14ac:dyDescent="0.25">
      <c r="J476" s="11"/>
    </row>
    <row r="477" spans="10:10" x14ac:dyDescent="0.25">
      <c r="J477" s="11"/>
    </row>
    <row r="478" spans="10:10" x14ac:dyDescent="0.25">
      <c r="J478" s="11"/>
    </row>
    <row r="479" spans="10:10" x14ac:dyDescent="0.25">
      <c r="J479" s="11"/>
    </row>
    <row r="480" spans="10:10" x14ac:dyDescent="0.25">
      <c r="J480" s="11"/>
    </row>
    <row r="481" spans="10:10" x14ac:dyDescent="0.25">
      <c r="J481" s="11"/>
    </row>
    <row r="482" spans="10:10" x14ac:dyDescent="0.25">
      <c r="J482" s="11"/>
    </row>
    <row r="483" spans="10:10" x14ac:dyDescent="0.25">
      <c r="J483" s="11"/>
    </row>
    <row r="484" spans="10:10" x14ac:dyDescent="0.25">
      <c r="J484" s="11"/>
    </row>
    <row r="485" spans="10:10" x14ac:dyDescent="0.25">
      <c r="J485" s="11"/>
    </row>
    <row r="486" spans="10:10" x14ac:dyDescent="0.25">
      <c r="J486" s="11"/>
    </row>
    <row r="487" spans="10:10" x14ac:dyDescent="0.25">
      <c r="J487" s="11"/>
    </row>
    <row r="488" spans="10:10" x14ac:dyDescent="0.25">
      <c r="J488" s="11"/>
    </row>
    <row r="489" spans="10:10" x14ac:dyDescent="0.25">
      <c r="J489" s="11"/>
    </row>
    <row r="490" spans="10:10" x14ac:dyDescent="0.25">
      <c r="J490" s="11"/>
    </row>
    <row r="491" spans="10:10" x14ac:dyDescent="0.25">
      <c r="J491" s="11"/>
    </row>
    <row r="492" spans="10:10" x14ac:dyDescent="0.25">
      <c r="J492" s="11"/>
    </row>
    <row r="493" spans="10:10" x14ac:dyDescent="0.25">
      <c r="J493" s="11"/>
    </row>
    <row r="494" spans="10:10" x14ac:dyDescent="0.25">
      <c r="J494" s="11"/>
    </row>
    <row r="495" spans="10:10" x14ac:dyDescent="0.25">
      <c r="J495" s="11"/>
    </row>
    <row r="496" spans="10:10" x14ac:dyDescent="0.25">
      <c r="J496" s="11"/>
    </row>
    <row r="497" spans="10:10" x14ac:dyDescent="0.25">
      <c r="J497" s="11"/>
    </row>
    <row r="498" spans="10:10" x14ac:dyDescent="0.25">
      <c r="J498" s="11"/>
    </row>
    <row r="499" spans="10:10" x14ac:dyDescent="0.25">
      <c r="J499" s="11"/>
    </row>
    <row r="500" spans="10:10" x14ac:dyDescent="0.25">
      <c r="J500" s="11"/>
    </row>
    <row r="501" spans="10:10" x14ac:dyDescent="0.25">
      <c r="J501" s="11"/>
    </row>
    <row r="502" spans="10:10" x14ac:dyDescent="0.25">
      <c r="J502" s="11"/>
    </row>
    <row r="503" spans="10:10" x14ac:dyDescent="0.25">
      <c r="J503" s="11"/>
    </row>
    <row r="504" spans="10:10" x14ac:dyDescent="0.25">
      <c r="J504" s="11"/>
    </row>
    <row r="505" spans="10:10" x14ac:dyDescent="0.25">
      <c r="J505" s="11"/>
    </row>
    <row r="506" spans="10:10" x14ac:dyDescent="0.25">
      <c r="J506" s="11"/>
    </row>
    <row r="507" spans="10:10" x14ac:dyDescent="0.25">
      <c r="J507" s="11"/>
    </row>
    <row r="508" spans="10:10" x14ac:dyDescent="0.25">
      <c r="J508" s="11"/>
    </row>
    <row r="509" spans="10:10" x14ac:dyDescent="0.25">
      <c r="J509" s="11"/>
    </row>
    <row r="510" spans="10:10" x14ac:dyDescent="0.25">
      <c r="J510" s="11"/>
    </row>
    <row r="511" spans="10:10" x14ac:dyDescent="0.25">
      <c r="J511" s="11"/>
    </row>
    <row r="512" spans="10:10" x14ac:dyDescent="0.25">
      <c r="J512" s="11"/>
    </row>
    <row r="513" spans="10:10" x14ac:dyDescent="0.25">
      <c r="J513" s="11"/>
    </row>
    <row r="514" spans="10:10" x14ac:dyDescent="0.25">
      <c r="J514" s="11"/>
    </row>
    <row r="515" spans="10:10" x14ac:dyDescent="0.25">
      <c r="J515" s="11"/>
    </row>
    <row r="516" spans="10:10" x14ac:dyDescent="0.25">
      <c r="J516" s="11"/>
    </row>
    <row r="517" spans="10:10" x14ac:dyDescent="0.25">
      <c r="J517" s="11"/>
    </row>
    <row r="518" spans="10:10" x14ac:dyDescent="0.25">
      <c r="J518" s="11"/>
    </row>
    <row r="519" spans="10:10" x14ac:dyDescent="0.25">
      <c r="J519" s="11"/>
    </row>
    <row r="520" spans="10:10" x14ac:dyDescent="0.25">
      <c r="J520" s="11"/>
    </row>
    <row r="521" spans="10:10" x14ac:dyDescent="0.25">
      <c r="J521" s="11"/>
    </row>
    <row r="522" spans="10:10" x14ac:dyDescent="0.25">
      <c r="J522" s="11"/>
    </row>
    <row r="523" spans="10:10" x14ac:dyDescent="0.25">
      <c r="J523" s="11"/>
    </row>
    <row r="524" spans="10:10" x14ac:dyDescent="0.25">
      <c r="J524" s="11"/>
    </row>
    <row r="525" spans="10:10" x14ac:dyDescent="0.25">
      <c r="J525" s="11"/>
    </row>
    <row r="526" spans="10:10" x14ac:dyDescent="0.25">
      <c r="J526" s="11"/>
    </row>
    <row r="527" spans="10:10" x14ac:dyDescent="0.25">
      <c r="J527" s="11"/>
    </row>
    <row r="528" spans="10:10" x14ac:dyDescent="0.25">
      <c r="J528" s="11"/>
    </row>
    <row r="529" spans="10:10" x14ac:dyDescent="0.25">
      <c r="J529" s="11"/>
    </row>
    <row r="530" spans="10:10" x14ac:dyDescent="0.25">
      <c r="J530" s="11"/>
    </row>
    <row r="531" spans="10:10" x14ac:dyDescent="0.25">
      <c r="J531" s="11"/>
    </row>
    <row r="532" spans="10:10" x14ac:dyDescent="0.25">
      <c r="J532" s="11"/>
    </row>
    <row r="533" spans="10:10" x14ac:dyDescent="0.25">
      <c r="J533" s="11"/>
    </row>
    <row r="534" spans="10:10" x14ac:dyDescent="0.25">
      <c r="J534" s="11"/>
    </row>
    <row r="535" spans="10:10" x14ac:dyDescent="0.25">
      <c r="J535" s="11"/>
    </row>
    <row r="536" spans="10:10" x14ac:dyDescent="0.25">
      <c r="J536" s="11"/>
    </row>
    <row r="537" spans="10:10" x14ac:dyDescent="0.25">
      <c r="J537" s="11"/>
    </row>
    <row r="538" spans="10:10" x14ac:dyDescent="0.25">
      <c r="J538" s="11"/>
    </row>
    <row r="539" spans="10:10" x14ac:dyDescent="0.25">
      <c r="J539" s="11"/>
    </row>
    <row r="540" spans="10:10" x14ac:dyDescent="0.25">
      <c r="J540" s="11"/>
    </row>
    <row r="541" spans="10:10" x14ac:dyDescent="0.25">
      <c r="J541" s="11"/>
    </row>
    <row r="542" spans="10:10" x14ac:dyDescent="0.25">
      <c r="J542" s="11"/>
    </row>
    <row r="543" spans="10:10" x14ac:dyDescent="0.25">
      <c r="J543" s="11"/>
    </row>
    <row r="544" spans="10:10" x14ac:dyDescent="0.25">
      <c r="J544" s="11"/>
    </row>
    <row r="545" spans="10:10" x14ac:dyDescent="0.25">
      <c r="J545" s="11"/>
    </row>
    <row r="546" spans="10:10" x14ac:dyDescent="0.25">
      <c r="J546" s="11"/>
    </row>
    <row r="547" spans="10:10" x14ac:dyDescent="0.25">
      <c r="J547" s="11"/>
    </row>
    <row r="548" spans="10:10" x14ac:dyDescent="0.25">
      <c r="J548" s="11"/>
    </row>
    <row r="549" spans="10:10" x14ac:dyDescent="0.25">
      <c r="J549" s="11"/>
    </row>
    <row r="550" spans="10:10" x14ac:dyDescent="0.25">
      <c r="J550" s="11"/>
    </row>
    <row r="551" spans="10:10" x14ac:dyDescent="0.25">
      <c r="J551" s="11"/>
    </row>
    <row r="552" spans="10:10" x14ac:dyDescent="0.25">
      <c r="J552" s="11"/>
    </row>
    <row r="553" spans="10:10" x14ac:dyDescent="0.25">
      <c r="J553" s="11"/>
    </row>
    <row r="554" spans="10:10" x14ac:dyDescent="0.25">
      <c r="J554" s="11"/>
    </row>
    <row r="555" spans="10:10" x14ac:dyDescent="0.25">
      <c r="J555" s="11"/>
    </row>
    <row r="556" spans="10:10" x14ac:dyDescent="0.25">
      <c r="J556" s="11"/>
    </row>
    <row r="557" spans="10:10" x14ac:dyDescent="0.25">
      <c r="J557" s="11"/>
    </row>
    <row r="558" spans="10:10" x14ac:dyDescent="0.25">
      <c r="J558" s="11"/>
    </row>
    <row r="559" spans="10:10" x14ac:dyDescent="0.25">
      <c r="J559" s="11"/>
    </row>
    <row r="560" spans="10:10" x14ac:dyDescent="0.25">
      <c r="J560" s="11"/>
    </row>
    <row r="561" spans="10:10" x14ac:dyDescent="0.25">
      <c r="J561" s="11"/>
    </row>
    <row r="562" spans="10:10" x14ac:dyDescent="0.25">
      <c r="J562" s="11"/>
    </row>
    <row r="563" spans="10:10" x14ac:dyDescent="0.25">
      <c r="J563" s="11"/>
    </row>
    <row r="564" spans="10:10" x14ac:dyDescent="0.25">
      <c r="J564" s="11"/>
    </row>
    <row r="565" spans="10:10" x14ac:dyDescent="0.25">
      <c r="J565" s="11"/>
    </row>
    <row r="566" spans="10:10" x14ac:dyDescent="0.25">
      <c r="J566" s="11"/>
    </row>
    <row r="567" spans="10:10" x14ac:dyDescent="0.25">
      <c r="J567" s="11"/>
    </row>
    <row r="568" spans="10:10" x14ac:dyDescent="0.25">
      <c r="J568" s="11"/>
    </row>
    <row r="569" spans="10:10" x14ac:dyDescent="0.25">
      <c r="J569" s="11"/>
    </row>
    <row r="570" spans="10:10" x14ac:dyDescent="0.25">
      <c r="J570" s="11"/>
    </row>
    <row r="571" spans="10:10" x14ac:dyDescent="0.25">
      <c r="J571" s="11"/>
    </row>
    <row r="572" spans="10:10" x14ac:dyDescent="0.25">
      <c r="J572" s="11"/>
    </row>
    <row r="573" spans="10:10" x14ac:dyDescent="0.25">
      <c r="J573" s="11"/>
    </row>
    <row r="574" spans="10:10" x14ac:dyDescent="0.25">
      <c r="J574" s="11"/>
    </row>
    <row r="575" spans="10:10" x14ac:dyDescent="0.25">
      <c r="J575" s="11"/>
    </row>
    <row r="576" spans="10:10" x14ac:dyDescent="0.25">
      <c r="J576" s="11"/>
    </row>
    <row r="577" spans="10:10" x14ac:dyDescent="0.25">
      <c r="J577" s="11"/>
    </row>
    <row r="578" spans="10:10" x14ac:dyDescent="0.25">
      <c r="J578" s="11"/>
    </row>
    <row r="579" spans="10:10" x14ac:dyDescent="0.25">
      <c r="J579" s="11"/>
    </row>
    <row r="580" spans="10:10" x14ac:dyDescent="0.25">
      <c r="J580" s="11"/>
    </row>
    <row r="581" spans="10:10" x14ac:dyDescent="0.25">
      <c r="J581" s="11"/>
    </row>
    <row r="582" spans="10:10" x14ac:dyDescent="0.25">
      <c r="J582" s="11"/>
    </row>
    <row r="583" spans="10:10" x14ac:dyDescent="0.25">
      <c r="J583" s="11"/>
    </row>
    <row r="584" spans="10:10" x14ac:dyDescent="0.25">
      <c r="J584" s="11"/>
    </row>
    <row r="585" spans="10:10" x14ac:dyDescent="0.25">
      <c r="J585" s="11"/>
    </row>
    <row r="586" spans="10:10" x14ac:dyDescent="0.25">
      <c r="J586" s="11"/>
    </row>
    <row r="587" spans="10:10" x14ac:dyDescent="0.25">
      <c r="J587" s="11"/>
    </row>
    <row r="588" spans="10:10" x14ac:dyDescent="0.25">
      <c r="J588" s="11"/>
    </row>
    <row r="589" spans="10:10" x14ac:dyDescent="0.25">
      <c r="J589" s="11"/>
    </row>
    <row r="590" spans="10:10" x14ac:dyDescent="0.25">
      <c r="J590" s="11"/>
    </row>
    <row r="591" spans="10:10" x14ac:dyDescent="0.25">
      <c r="J591" s="11"/>
    </row>
    <row r="592" spans="10:10" x14ac:dyDescent="0.25">
      <c r="J592" s="11"/>
    </row>
    <row r="593" spans="10:10" x14ac:dyDescent="0.25">
      <c r="J593" s="11"/>
    </row>
    <row r="594" spans="10:10" x14ac:dyDescent="0.25">
      <c r="J594" s="11"/>
    </row>
    <row r="595" spans="10:10" x14ac:dyDescent="0.25">
      <c r="J595" s="11"/>
    </row>
    <row r="596" spans="10:10" x14ac:dyDescent="0.25">
      <c r="J596" s="11"/>
    </row>
    <row r="597" spans="10:10" x14ac:dyDescent="0.25">
      <c r="J597" s="11"/>
    </row>
    <row r="598" spans="10:10" x14ac:dyDescent="0.25">
      <c r="J598" s="11"/>
    </row>
    <row r="599" spans="10:10" x14ac:dyDescent="0.25">
      <c r="J599" s="11"/>
    </row>
    <row r="600" spans="10:10" x14ac:dyDescent="0.25">
      <c r="J600" s="11"/>
    </row>
    <row r="601" spans="10:10" x14ac:dyDescent="0.25">
      <c r="J601" s="11"/>
    </row>
    <row r="602" spans="10:10" x14ac:dyDescent="0.25">
      <c r="J602" s="11"/>
    </row>
    <row r="603" spans="10:10" x14ac:dyDescent="0.25">
      <c r="J603" s="11"/>
    </row>
    <row r="604" spans="10:10" x14ac:dyDescent="0.25">
      <c r="J604" s="11"/>
    </row>
    <row r="605" spans="10:10" x14ac:dyDescent="0.25">
      <c r="J605" s="11"/>
    </row>
    <row r="606" spans="10:10" x14ac:dyDescent="0.25">
      <c r="J606" s="11"/>
    </row>
    <row r="607" spans="10:10" x14ac:dyDescent="0.25">
      <c r="J607" s="11"/>
    </row>
    <row r="608" spans="10:10" x14ac:dyDescent="0.25">
      <c r="J608" s="11"/>
    </row>
    <row r="609" spans="10:10" x14ac:dyDescent="0.25">
      <c r="J609" s="11"/>
    </row>
    <row r="610" spans="10:10" x14ac:dyDescent="0.25">
      <c r="J610" s="11"/>
    </row>
    <row r="611" spans="10:10" x14ac:dyDescent="0.25">
      <c r="J611" s="11"/>
    </row>
    <row r="612" spans="10:10" x14ac:dyDescent="0.25">
      <c r="J612" s="11"/>
    </row>
    <row r="613" spans="10:10" x14ac:dyDescent="0.25">
      <c r="J613" s="11"/>
    </row>
    <row r="614" spans="10:10" x14ac:dyDescent="0.25">
      <c r="J614" s="11"/>
    </row>
    <row r="615" spans="10:10" x14ac:dyDescent="0.25">
      <c r="J615" s="11"/>
    </row>
    <row r="616" spans="10:10" x14ac:dyDescent="0.25">
      <c r="J616" s="11"/>
    </row>
    <row r="617" spans="10:10" x14ac:dyDescent="0.25">
      <c r="J617" s="11"/>
    </row>
    <row r="618" spans="10:10" x14ac:dyDescent="0.25">
      <c r="J618" s="11"/>
    </row>
    <row r="619" spans="10:10" x14ac:dyDescent="0.25">
      <c r="J619" s="11"/>
    </row>
    <row r="620" spans="10:10" x14ac:dyDescent="0.25">
      <c r="J620" s="11"/>
    </row>
    <row r="621" spans="10:10" x14ac:dyDescent="0.25">
      <c r="J621" s="11"/>
    </row>
    <row r="622" spans="10:10" x14ac:dyDescent="0.25">
      <c r="J622" s="11"/>
    </row>
    <row r="623" spans="10:10" x14ac:dyDescent="0.25">
      <c r="J623" s="11"/>
    </row>
    <row r="624" spans="10:10" x14ac:dyDescent="0.25">
      <c r="J624" s="11"/>
    </row>
    <row r="625" spans="10:10" x14ac:dyDescent="0.25">
      <c r="J625" s="11"/>
    </row>
    <row r="626" spans="10:10" x14ac:dyDescent="0.25">
      <c r="J626" s="11"/>
    </row>
    <row r="627" spans="10:10" x14ac:dyDescent="0.25">
      <c r="J627" s="11"/>
    </row>
    <row r="628" spans="10:10" x14ac:dyDescent="0.25">
      <c r="J628" s="11"/>
    </row>
    <row r="629" spans="10:10" x14ac:dyDescent="0.25">
      <c r="J629" s="11"/>
    </row>
    <row r="630" spans="10:10" x14ac:dyDescent="0.25">
      <c r="J630" s="11"/>
    </row>
    <row r="631" spans="10:10" x14ac:dyDescent="0.25">
      <c r="J631" s="11"/>
    </row>
    <row r="632" spans="10:10" x14ac:dyDescent="0.25">
      <c r="J632" s="11"/>
    </row>
    <row r="633" spans="10:10" x14ac:dyDescent="0.25">
      <c r="J633" s="11"/>
    </row>
    <row r="634" spans="10:10" x14ac:dyDescent="0.25">
      <c r="J634" s="11"/>
    </row>
    <row r="635" spans="10:10" x14ac:dyDescent="0.25">
      <c r="J635" s="11"/>
    </row>
    <row r="636" spans="10:10" x14ac:dyDescent="0.25">
      <c r="J636" s="11"/>
    </row>
    <row r="637" spans="10:10" x14ac:dyDescent="0.25">
      <c r="J637" s="11"/>
    </row>
    <row r="638" spans="10:10" x14ac:dyDescent="0.25">
      <c r="J638" s="11"/>
    </row>
    <row r="639" spans="10:10" x14ac:dyDescent="0.25">
      <c r="J639" s="11"/>
    </row>
    <row r="640" spans="10:10" x14ac:dyDescent="0.25">
      <c r="J640" s="11"/>
    </row>
    <row r="641" spans="10:10" x14ac:dyDescent="0.25">
      <c r="J641" s="11"/>
    </row>
    <row r="642" spans="10:10" x14ac:dyDescent="0.25">
      <c r="J642" s="11"/>
    </row>
    <row r="643" spans="10:10" x14ac:dyDescent="0.25">
      <c r="J643" s="11"/>
    </row>
    <row r="644" spans="10:10" x14ac:dyDescent="0.25">
      <c r="J644" s="11"/>
    </row>
    <row r="645" spans="10:10" x14ac:dyDescent="0.25">
      <c r="J645" s="11"/>
    </row>
    <row r="646" spans="10:10" x14ac:dyDescent="0.25">
      <c r="J646" s="11"/>
    </row>
    <row r="647" spans="10:10" x14ac:dyDescent="0.25">
      <c r="J647" s="11"/>
    </row>
    <row r="648" spans="10:10" x14ac:dyDescent="0.25">
      <c r="J648" s="11"/>
    </row>
    <row r="649" spans="10:10" x14ac:dyDescent="0.25">
      <c r="J649" s="11"/>
    </row>
    <row r="650" spans="10:10" x14ac:dyDescent="0.25">
      <c r="J650" s="11"/>
    </row>
    <row r="651" spans="10:10" x14ac:dyDescent="0.25">
      <c r="J651" s="11"/>
    </row>
    <row r="652" spans="10:10" x14ac:dyDescent="0.25">
      <c r="J652" s="11"/>
    </row>
    <row r="653" spans="10:10" x14ac:dyDescent="0.25">
      <c r="J653" s="11"/>
    </row>
    <row r="654" spans="10:10" x14ac:dyDescent="0.25">
      <c r="J654" s="11"/>
    </row>
    <row r="655" spans="10:10" x14ac:dyDescent="0.25">
      <c r="J655" s="11"/>
    </row>
    <row r="656" spans="10:10" x14ac:dyDescent="0.25">
      <c r="J656" s="11"/>
    </row>
    <row r="657" spans="10:10" x14ac:dyDescent="0.25">
      <c r="J657" s="11"/>
    </row>
    <row r="658" spans="10:10" x14ac:dyDescent="0.25">
      <c r="J658" s="11"/>
    </row>
    <row r="659" spans="10:10" x14ac:dyDescent="0.25">
      <c r="J659" s="11"/>
    </row>
    <row r="660" spans="10:10" x14ac:dyDescent="0.25">
      <c r="J660" s="11"/>
    </row>
    <row r="661" spans="10:10" x14ac:dyDescent="0.25">
      <c r="J661" s="11"/>
    </row>
    <row r="662" spans="10:10" x14ac:dyDescent="0.25">
      <c r="J662" s="11"/>
    </row>
    <row r="663" spans="10:10" x14ac:dyDescent="0.25">
      <c r="J663" s="11"/>
    </row>
    <row r="664" spans="10:10" x14ac:dyDescent="0.25">
      <c r="J664" s="11"/>
    </row>
    <row r="665" spans="10:10" x14ac:dyDescent="0.25">
      <c r="J665" s="11"/>
    </row>
    <row r="666" spans="10:10" x14ac:dyDescent="0.25">
      <c r="J666" s="11"/>
    </row>
    <row r="667" spans="10:10" x14ac:dyDescent="0.25">
      <c r="J667" s="11"/>
    </row>
    <row r="668" spans="10:10" x14ac:dyDescent="0.25">
      <c r="J668" s="11"/>
    </row>
    <row r="669" spans="10:10" x14ac:dyDescent="0.25">
      <c r="J669" s="11"/>
    </row>
    <row r="670" spans="10:10" x14ac:dyDescent="0.25">
      <c r="J670" s="11"/>
    </row>
    <row r="671" spans="10:10" x14ac:dyDescent="0.25">
      <c r="J671" s="11"/>
    </row>
    <row r="672" spans="10:10" x14ac:dyDescent="0.25">
      <c r="J672" s="11"/>
    </row>
    <row r="673" spans="10:10" x14ac:dyDescent="0.25">
      <c r="J673" s="11"/>
    </row>
    <row r="674" spans="10:10" x14ac:dyDescent="0.25">
      <c r="J674" s="11"/>
    </row>
    <row r="675" spans="10:10" x14ac:dyDescent="0.25">
      <c r="J675" s="11"/>
    </row>
    <row r="676" spans="10:10" x14ac:dyDescent="0.25">
      <c r="J676" s="11"/>
    </row>
    <row r="677" spans="10:10" x14ac:dyDescent="0.25">
      <c r="J677" s="11"/>
    </row>
    <row r="678" spans="10:10" x14ac:dyDescent="0.25">
      <c r="J678" s="11"/>
    </row>
    <row r="679" spans="10:10" x14ac:dyDescent="0.25">
      <c r="J679" s="11"/>
    </row>
    <row r="680" spans="10:10" x14ac:dyDescent="0.25">
      <c r="J680" s="11"/>
    </row>
    <row r="681" spans="10:10" x14ac:dyDescent="0.25">
      <c r="J681" s="11"/>
    </row>
    <row r="682" spans="10:10" x14ac:dyDescent="0.25">
      <c r="J682" s="11"/>
    </row>
    <row r="683" spans="10:10" x14ac:dyDescent="0.25">
      <c r="J683" s="11"/>
    </row>
    <row r="684" spans="10:10" x14ac:dyDescent="0.25">
      <c r="J684" s="11"/>
    </row>
    <row r="685" spans="10:10" x14ac:dyDescent="0.25">
      <c r="J685" s="11"/>
    </row>
    <row r="686" spans="10:10" x14ac:dyDescent="0.25">
      <c r="J686" s="11"/>
    </row>
    <row r="687" spans="10:10" x14ac:dyDescent="0.25">
      <c r="J687" s="11"/>
    </row>
    <row r="688" spans="10:10" x14ac:dyDescent="0.25">
      <c r="J688" s="11"/>
    </row>
    <row r="689" spans="10:10" x14ac:dyDescent="0.25">
      <c r="J689" s="11"/>
    </row>
    <row r="690" spans="10:10" x14ac:dyDescent="0.25">
      <c r="J690" s="11"/>
    </row>
    <row r="691" spans="10:10" x14ac:dyDescent="0.25">
      <c r="J691" s="11"/>
    </row>
    <row r="692" spans="10:10" x14ac:dyDescent="0.25">
      <c r="J692" s="11"/>
    </row>
    <row r="693" spans="10:10" x14ac:dyDescent="0.25">
      <c r="J693" s="11"/>
    </row>
    <row r="694" spans="10:10" x14ac:dyDescent="0.25">
      <c r="J694" s="11"/>
    </row>
    <row r="695" spans="10:10" x14ac:dyDescent="0.25">
      <c r="J695" s="11"/>
    </row>
    <row r="696" spans="10:10" x14ac:dyDescent="0.25">
      <c r="J696" s="11"/>
    </row>
    <row r="697" spans="10:10" x14ac:dyDescent="0.25">
      <c r="J697" s="11"/>
    </row>
    <row r="698" spans="10:10" x14ac:dyDescent="0.25">
      <c r="J698" s="11"/>
    </row>
    <row r="699" spans="10:10" x14ac:dyDescent="0.25">
      <c r="J699" s="11"/>
    </row>
    <row r="700" spans="10:10" x14ac:dyDescent="0.25">
      <c r="J700" s="11"/>
    </row>
    <row r="701" spans="10:10" x14ac:dyDescent="0.25">
      <c r="J701" s="11"/>
    </row>
    <row r="702" spans="10:10" x14ac:dyDescent="0.25">
      <c r="J702" s="11"/>
    </row>
    <row r="703" spans="10:10" x14ac:dyDescent="0.25">
      <c r="J703" s="11"/>
    </row>
    <row r="704" spans="10:10" x14ac:dyDescent="0.25">
      <c r="J704" s="11"/>
    </row>
    <row r="705" spans="10:10" x14ac:dyDescent="0.25">
      <c r="J705" s="11"/>
    </row>
    <row r="706" spans="10:10" x14ac:dyDescent="0.25">
      <c r="J706" s="11"/>
    </row>
    <row r="707" spans="10:10" x14ac:dyDescent="0.25">
      <c r="J707" s="11"/>
    </row>
    <row r="708" spans="10:10" x14ac:dyDescent="0.25">
      <c r="J708" s="11"/>
    </row>
    <row r="709" spans="10:10" x14ac:dyDescent="0.25">
      <c r="J709" s="11"/>
    </row>
    <row r="710" spans="10:10" x14ac:dyDescent="0.25">
      <c r="J710" s="11"/>
    </row>
    <row r="711" spans="10:10" x14ac:dyDescent="0.25">
      <c r="J711" s="11"/>
    </row>
    <row r="712" spans="10:10" x14ac:dyDescent="0.25">
      <c r="J712" s="11"/>
    </row>
    <row r="713" spans="10:10" x14ac:dyDescent="0.25">
      <c r="J713" s="11"/>
    </row>
    <row r="714" spans="10:10" x14ac:dyDescent="0.25">
      <c r="J714" s="11"/>
    </row>
    <row r="715" spans="10:10" x14ac:dyDescent="0.25">
      <c r="J715" s="11"/>
    </row>
    <row r="716" spans="10:10" x14ac:dyDescent="0.25">
      <c r="J716" s="11"/>
    </row>
    <row r="717" spans="10:10" x14ac:dyDescent="0.25">
      <c r="J717" s="11"/>
    </row>
    <row r="718" spans="10:10" x14ac:dyDescent="0.25">
      <c r="J718" s="11"/>
    </row>
    <row r="719" spans="10:10" x14ac:dyDescent="0.25">
      <c r="J719" s="11"/>
    </row>
    <row r="720" spans="10:10" x14ac:dyDescent="0.25">
      <c r="J720" s="11"/>
    </row>
    <row r="721" spans="10:10" x14ac:dyDescent="0.25">
      <c r="J721" s="11"/>
    </row>
    <row r="722" spans="10:10" x14ac:dyDescent="0.25">
      <c r="J722" s="11"/>
    </row>
    <row r="723" spans="10:10" x14ac:dyDescent="0.25">
      <c r="J723" s="11"/>
    </row>
    <row r="724" spans="10:10" x14ac:dyDescent="0.25">
      <c r="J724" s="11"/>
    </row>
    <row r="725" spans="10:10" x14ac:dyDescent="0.25">
      <c r="J725" s="11"/>
    </row>
    <row r="726" spans="10:10" x14ac:dyDescent="0.25">
      <c r="J726" s="11"/>
    </row>
    <row r="727" spans="10:10" x14ac:dyDescent="0.25">
      <c r="J727" s="11"/>
    </row>
    <row r="728" spans="10:10" x14ac:dyDescent="0.25">
      <c r="J728" s="11"/>
    </row>
    <row r="729" spans="10:10" x14ac:dyDescent="0.25">
      <c r="J729" s="11"/>
    </row>
    <row r="730" spans="10:10" x14ac:dyDescent="0.25">
      <c r="J730" s="11"/>
    </row>
    <row r="731" spans="10:10" x14ac:dyDescent="0.25">
      <c r="J731" s="11"/>
    </row>
    <row r="732" spans="10:10" x14ac:dyDescent="0.25">
      <c r="J732" s="11"/>
    </row>
    <row r="733" spans="10:10" x14ac:dyDescent="0.25">
      <c r="J733" s="11"/>
    </row>
    <row r="734" spans="10:10" x14ac:dyDescent="0.25">
      <c r="J734" s="11"/>
    </row>
    <row r="735" spans="10:10" x14ac:dyDescent="0.25">
      <c r="J735" s="11"/>
    </row>
    <row r="736" spans="10:10" x14ac:dyDescent="0.25">
      <c r="J736" s="11"/>
    </row>
    <row r="737" spans="10:10" x14ac:dyDescent="0.25">
      <c r="J737" s="11"/>
    </row>
    <row r="738" spans="10:10" x14ac:dyDescent="0.25">
      <c r="J738" s="11"/>
    </row>
    <row r="739" spans="10:10" x14ac:dyDescent="0.25">
      <c r="J739" s="11"/>
    </row>
    <row r="740" spans="10:10" x14ac:dyDescent="0.25">
      <c r="J740" s="11"/>
    </row>
    <row r="741" spans="10:10" x14ac:dyDescent="0.25">
      <c r="J741" s="11"/>
    </row>
    <row r="742" spans="10:10" x14ac:dyDescent="0.25">
      <c r="J742" s="11"/>
    </row>
    <row r="743" spans="10:10" x14ac:dyDescent="0.25">
      <c r="J743" s="11"/>
    </row>
    <row r="744" spans="10:10" x14ac:dyDescent="0.25">
      <c r="J744" s="11"/>
    </row>
    <row r="745" spans="10:10" x14ac:dyDescent="0.25">
      <c r="J745" s="11"/>
    </row>
    <row r="746" spans="10:10" x14ac:dyDescent="0.25">
      <c r="J746" s="11"/>
    </row>
    <row r="747" spans="10:10" x14ac:dyDescent="0.25">
      <c r="J747" s="11"/>
    </row>
    <row r="748" spans="10:10" x14ac:dyDescent="0.25">
      <c r="J748" s="11"/>
    </row>
    <row r="749" spans="10:10" x14ac:dyDescent="0.25">
      <c r="J749" s="11"/>
    </row>
    <row r="750" spans="10:10" x14ac:dyDescent="0.25">
      <c r="J750" s="11"/>
    </row>
    <row r="751" spans="10:10" x14ac:dyDescent="0.25">
      <c r="J751" s="11"/>
    </row>
    <row r="752" spans="10:10" x14ac:dyDescent="0.25">
      <c r="J752" s="11"/>
    </row>
    <row r="753" spans="10:10" x14ac:dyDescent="0.25">
      <c r="J753" s="11"/>
    </row>
    <row r="754" spans="10:10" x14ac:dyDescent="0.25">
      <c r="J754" s="11"/>
    </row>
    <row r="755" spans="10:10" x14ac:dyDescent="0.25">
      <c r="J755" s="11"/>
    </row>
    <row r="756" spans="10:10" x14ac:dyDescent="0.25">
      <c r="J756" s="11"/>
    </row>
    <row r="757" spans="10:10" x14ac:dyDescent="0.25">
      <c r="J757" s="11"/>
    </row>
    <row r="758" spans="10:10" x14ac:dyDescent="0.25">
      <c r="J758" s="11"/>
    </row>
    <row r="759" spans="10:10" x14ac:dyDescent="0.25">
      <c r="J759" s="11"/>
    </row>
    <row r="760" spans="10:10" x14ac:dyDescent="0.25">
      <c r="J760" s="11"/>
    </row>
    <row r="761" spans="10:10" x14ac:dyDescent="0.25">
      <c r="J761" s="11"/>
    </row>
    <row r="762" spans="10:10" x14ac:dyDescent="0.25">
      <c r="J762" s="11"/>
    </row>
    <row r="763" spans="10:10" x14ac:dyDescent="0.25">
      <c r="J763" s="11"/>
    </row>
    <row r="764" spans="10:10" x14ac:dyDescent="0.25">
      <c r="J764" s="11"/>
    </row>
    <row r="765" spans="10:10" x14ac:dyDescent="0.25">
      <c r="J765" s="11"/>
    </row>
    <row r="766" spans="10:10" x14ac:dyDescent="0.25">
      <c r="J766" s="11"/>
    </row>
    <row r="767" spans="10:10" x14ac:dyDescent="0.25">
      <c r="J767" s="11"/>
    </row>
    <row r="768" spans="10:10" x14ac:dyDescent="0.25">
      <c r="J768" s="11"/>
    </row>
    <row r="769" spans="10:10" x14ac:dyDescent="0.25">
      <c r="J769" s="11"/>
    </row>
    <row r="770" spans="10:10" x14ac:dyDescent="0.25">
      <c r="J770" s="11"/>
    </row>
    <row r="771" spans="10:10" x14ac:dyDescent="0.25">
      <c r="J771" s="11"/>
    </row>
    <row r="772" spans="10:10" x14ac:dyDescent="0.25">
      <c r="J772" s="11"/>
    </row>
    <row r="773" spans="10:10" x14ac:dyDescent="0.25">
      <c r="J773" s="11"/>
    </row>
    <row r="774" spans="10:10" x14ac:dyDescent="0.25">
      <c r="J774" s="11"/>
    </row>
    <row r="775" spans="10:10" x14ac:dyDescent="0.25">
      <c r="J775" s="11"/>
    </row>
    <row r="776" spans="10:10" x14ac:dyDescent="0.25">
      <c r="J776" s="11"/>
    </row>
    <row r="777" spans="10:10" x14ac:dyDescent="0.25">
      <c r="J777" s="11"/>
    </row>
    <row r="778" spans="10:10" x14ac:dyDescent="0.25">
      <c r="J778" s="11"/>
    </row>
    <row r="779" spans="10:10" x14ac:dyDescent="0.25">
      <c r="J779" s="11"/>
    </row>
    <row r="780" spans="10:10" x14ac:dyDescent="0.25">
      <c r="J780" s="11"/>
    </row>
    <row r="781" spans="10:10" x14ac:dyDescent="0.25">
      <c r="J781" s="11"/>
    </row>
    <row r="782" spans="10:10" x14ac:dyDescent="0.25">
      <c r="J782" s="11"/>
    </row>
    <row r="783" spans="10:10" x14ac:dyDescent="0.25">
      <c r="J783" s="11"/>
    </row>
    <row r="784" spans="10:10" x14ac:dyDescent="0.25">
      <c r="J784" s="11"/>
    </row>
    <row r="785" spans="10:10" x14ac:dyDescent="0.25">
      <c r="J785" s="11"/>
    </row>
    <row r="786" spans="10:10" x14ac:dyDescent="0.25">
      <c r="J786" s="11"/>
    </row>
    <row r="787" spans="10:10" x14ac:dyDescent="0.25">
      <c r="J787" s="11"/>
    </row>
    <row r="788" spans="10:10" x14ac:dyDescent="0.25">
      <c r="J788" s="11"/>
    </row>
    <row r="789" spans="10:10" x14ac:dyDescent="0.25">
      <c r="J789" s="11"/>
    </row>
    <row r="790" spans="10:10" x14ac:dyDescent="0.25">
      <c r="J790" s="11"/>
    </row>
    <row r="791" spans="10:10" x14ac:dyDescent="0.25">
      <c r="J791" s="11"/>
    </row>
    <row r="792" spans="10:10" x14ac:dyDescent="0.25">
      <c r="J792" s="11"/>
    </row>
    <row r="793" spans="10:10" x14ac:dyDescent="0.25">
      <c r="J793" s="11"/>
    </row>
    <row r="794" spans="10:10" x14ac:dyDescent="0.25">
      <c r="J794" s="11"/>
    </row>
    <row r="795" spans="10:10" x14ac:dyDescent="0.25">
      <c r="J795" s="11"/>
    </row>
    <row r="796" spans="10:10" x14ac:dyDescent="0.25">
      <c r="J796" s="11"/>
    </row>
    <row r="797" spans="10:10" x14ac:dyDescent="0.25">
      <c r="J797" s="11"/>
    </row>
    <row r="798" spans="10:10" x14ac:dyDescent="0.25">
      <c r="J798" s="11"/>
    </row>
    <row r="799" spans="10:10" x14ac:dyDescent="0.25">
      <c r="J799" s="11"/>
    </row>
    <row r="800" spans="10:10" x14ac:dyDescent="0.25">
      <c r="J800" s="11"/>
    </row>
    <row r="801" spans="10:10" x14ac:dyDescent="0.25">
      <c r="J801" s="11"/>
    </row>
    <row r="802" spans="10:10" x14ac:dyDescent="0.25">
      <c r="J802" s="11"/>
    </row>
    <row r="803" spans="10:10" x14ac:dyDescent="0.25">
      <c r="J803" s="11"/>
    </row>
    <row r="804" spans="10:10" x14ac:dyDescent="0.25">
      <c r="J804" s="11"/>
    </row>
    <row r="805" spans="10:10" x14ac:dyDescent="0.25">
      <c r="J805" s="11"/>
    </row>
    <row r="806" spans="10:10" x14ac:dyDescent="0.25">
      <c r="J806" s="11"/>
    </row>
    <row r="807" spans="10:10" x14ac:dyDescent="0.25">
      <c r="J807" s="11"/>
    </row>
    <row r="808" spans="10:10" x14ac:dyDescent="0.25">
      <c r="J808" s="11"/>
    </row>
    <row r="809" spans="10:10" x14ac:dyDescent="0.25">
      <c r="J809" s="11"/>
    </row>
    <row r="810" spans="10:10" x14ac:dyDescent="0.25">
      <c r="J810" s="11"/>
    </row>
    <row r="811" spans="10:10" x14ac:dyDescent="0.25">
      <c r="J811" s="11"/>
    </row>
    <row r="812" spans="10:10" x14ac:dyDescent="0.25">
      <c r="J812" s="11"/>
    </row>
    <row r="813" spans="10:10" x14ac:dyDescent="0.25">
      <c r="J813" s="11"/>
    </row>
    <row r="814" spans="10:10" x14ac:dyDescent="0.25">
      <c r="J814" s="11"/>
    </row>
    <row r="815" spans="10:10" x14ac:dyDescent="0.25">
      <c r="J815" s="11"/>
    </row>
    <row r="816" spans="10:10" x14ac:dyDescent="0.25">
      <c r="J816" s="11"/>
    </row>
    <row r="817" spans="10:10" x14ac:dyDescent="0.25">
      <c r="J817" s="11"/>
    </row>
    <row r="818" spans="10:10" x14ac:dyDescent="0.25">
      <c r="J818" s="11"/>
    </row>
    <row r="819" spans="10:10" x14ac:dyDescent="0.25">
      <c r="J819" s="11"/>
    </row>
    <row r="820" spans="10:10" x14ac:dyDescent="0.25">
      <c r="J820" s="11"/>
    </row>
    <row r="821" spans="10:10" x14ac:dyDescent="0.25">
      <c r="J821" s="11"/>
    </row>
    <row r="822" spans="10:10" x14ac:dyDescent="0.25">
      <c r="J822" s="11"/>
    </row>
    <row r="823" spans="10:10" x14ac:dyDescent="0.25">
      <c r="J823" s="11"/>
    </row>
    <row r="824" spans="10:10" x14ac:dyDescent="0.25">
      <c r="J824" s="11"/>
    </row>
    <row r="825" spans="10:10" x14ac:dyDescent="0.25">
      <c r="J825" s="11"/>
    </row>
    <row r="826" spans="10:10" x14ac:dyDescent="0.25">
      <c r="J826" s="11"/>
    </row>
    <row r="827" spans="10:10" x14ac:dyDescent="0.25">
      <c r="J827" s="11"/>
    </row>
    <row r="828" spans="10:10" x14ac:dyDescent="0.25">
      <c r="J828" s="11"/>
    </row>
    <row r="829" spans="10:10" x14ac:dyDescent="0.25">
      <c r="J829" s="11"/>
    </row>
    <row r="830" spans="10:10" x14ac:dyDescent="0.25">
      <c r="J830" s="11"/>
    </row>
    <row r="831" spans="10:10" x14ac:dyDescent="0.25">
      <c r="J831" s="11"/>
    </row>
    <row r="832" spans="10:10" x14ac:dyDescent="0.25">
      <c r="J832" s="11"/>
    </row>
    <row r="833" spans="10:10" x14ac:dyDescent="0.25">
      <c r="J833" s="11"/>
    </row>
    <row r="834" spans="10:10" x14ac:dyDescent="0.25">
      <c r="J834" s="11"/>
    </row>
    <row r="835" spans="10:10" x14ac:dyDescent="0.25">
      <c r="J835" s="11"/>
    </row>
    <row r="836" spans="10:10" x14ac:dyDescent="0.25">
      <c r="J836" s="11"/>
    </row>
    <row r="837" spans="10:10" x14ac:dyDescent="0.25">
      <c r="J837" s="11"/>
    </row>
    <row r="838" spans="10:10" x14ac:dyDescent="0.25">
      <c r="J838" s="11"/>
    </row>
    <row r="839" spans="10:10" x14ac:dyDescent="0.25">
      <c r="J839" s="11"/>
    </row>
    <row r="840" spans="10:10" x14ac:dyDescent="0.25">
      <c r="J840" s="11"/>
    </row>
    <row r="841" spans="10:10" x14ac:dyDescent="0.25">
      <c r="J841" s="11"/>
    </row>
    <row r="842" spans="10:10" x14ac:dyDescent="0.25">
      <c r="J842" s="11"/>
    </row>
    <row r="843" spans="10:10" x14ac:dyDescent="0.25">
      <c r="J843" s="11"/>
    </row>
    <row r="844" spans="10:10" x14ac:dyDescent="0.25">
      <c r="J844" s="11"/>
    </row>
    <row r="845" spans="10:10" x14ac:dyDescent="0.25">
      <c r="J845" s="11"/>
    </row>
    <row r="846" spans="10:10" x14ac:dyDescent="0.25">
      <c r="J846" s="11"/>
    </row>
    <row r="847" spans="10:10" x14ac:dyDescent="0.25">
      <c r="J847" s="11"/>
    </row>
    <row r="848" spans="10:10" x14ac:dyDescent="0.25">
      <c r="J848" s="11"/>
    </row>
    <row r="849" spans="10:10" x14ac:dyDescent="0.25">
      <c r="J849" s="11"/>
    </row>
    <row r="850" spans="10:10" x14ac:dyDescent="0.25">
      <c r="J850" s="11"/>
    </row>
    <row r="851" spans="10:10" x14ac:dyDescent="0.25">
      <c r="J851" s="11"/>
    </row>
    <row r="852" spans="10:10" x14ac:dyDescent="0.25">
      <c r="J852" s="11"/>
    </row>
    <row r="853" spans="10:10" x14ac:dyDescent="0.25">
      <c r="J853" s="11"/>
    </row>
    <row r="854" spans="10:10" x14ac:dyDescent="0.25">
      <c r="J854" s="11"/>
    </row>
    <row r="855" spans="10:10" x14ac:dyDescent="0.25">
      <c r="J855" s="11"/>
    </row>
    <row r="856" spans="10:10" x14ac:dyDescent="0.25">
      <c r="J856" s="11"/>
    </row>
    <row r="857" spans="10:10" x14ac:dyDescent="0.25">
      <c r="J857" s="11"/>
    </row>
    <row r="858" spans="10:10" x14ac:dyDescent="0.25">
      <c r="J858" s="11"/>
    </row>
    <row r="859" spans="10:10" x14ac:dyDescent="0.25">
      <c r="J859" s="11"/>
    </row>
    <row r="860" spans="10:10" x14ac:dyDescent="0.25">
      <c r="J860" s="11"/>
    </row>
    <row r="861" spans="10:10" x14ac:dyDescent="0.25">
      <c r="J861" s="11"/>
    </row>
    <row r="862" spans="10:10" x14ac:dyDescent="0.25">
      <c r="J862" s="11"/>
    </row>
    <row r="863" spans="10:10" x14ac:dyDescent="0.25">
      <c r="J863" s="11"/>
    </row>
    <row r="864" spans="10:10" x14ac:dyDescent="0.25">
      <c r="J864" s="11"/>
    </row>
    <row r="865" spans="10:10" x14ac:dyDescent="0.25">
      <c r="J865" s="11"/>
    </row>
    <row r="866" spans="10:10" x14ac:dyDescent="0.25">
      <c r="J866" s="11"/>
    </row>
    <row r="867" spans="10:10" x14ac:dyDescent="0.25">
      <c r="J867" s="11"/>
    </row>
    <row r="868" spans="10:10" x14ac:dyDescent="0.25">
      <c r="J868" s="11"/>
    </row>
    <row r="869" spans="10:10" x14ac:dyDescent="0.25">
      <c r="J869" s="11"/>
    </row>
    <row r="870" spans="10:10" x14ac:dyDescent="0.25">
      <c r="J870" s="11"/>
    </row>
    <row r="871" spans="10:10" x14ac:dyDescent="0.25">
      <c r="J871" s="11"/>
    </row>
    <row r="872" spans="10:10" x14ac:dyDescent="0.25">
      <c r="J872" s="11"/>
    </row>
    <row r="873" spans="10:10" x14ac:dyDescent="0.25">
      <c r="J873" s="11"/>
    </row>
    <row r="874" spans="10:10" x14ac:dyDescent="0.25">
      <c r="J874" s="11"/>
    </row>
    <row r="875" spans="10:10" x14ac:dyDescent="0.25">
      <c r="J875" s="11"/>
    </row>
    <row r="876" spans="10:10" x14ac:dyDescent="0.25">
      <c r="J876" s="11"/>
    </row>
    <row r="877" spans="10:10" x14ac:dyDescent="0.25">
      <c r="J877" s="11"/>
    </row>
    <row r="878" spans="10:10" x14ac:dyDescent="0.25">
      <c r="J878" s="11"/>
    </row>
    <row r="879" spans="10:10" x14ac:dyDescent="0.25">
      <c r="J879" s="11"/>
    </row>
    <row r="880" spans="10:10" x14ac:dyDescent="0.25">
      <c r="J880" s="11"/>
    </row>
    <row r="881" spans="10:10" x14ac:dyDescent="0.25">
      <c r="J881" s="11"/>
    </row>
    <row r="882" spans="10:10" x14ac:dyDescent="0.25">
      <c r="J882" s="11"/>
    </row>
    <row r="883" spans="10:10" x14ac:dyDescent="0.25">
      <c r="J883" s="11"/>
    </row>
    <row r="884" spans="10:10" x14ac:dyDescent="0.25">
      <c r="J884" s="11"/>
    </row>
    <row r="885" spans="10:10" x14ac:dyDescent="0.25">
      <c r="J885" s="11"/>
    </row>
    <row r="886" spans="10:10" x14ac:dyDescent="0.25">
      <c r="J886" s="11"/>
    </row>
    <row r="887" spans="10:10" x14ac:dyDescent="0.25">
      <c r="J887" s="11"/>
    </row>
    <row r="888" spans="10:10" x14ac:dyDescent="0.25">
      <c r="J888" s="11"/>
    </row>
    <row r="889" spans="10:10" x14ac:dyDescent="0.25">
      <c r="J889" s="11"/>
    </row>
    <row r="890" spans="10:10" x14ac:dyDescent="0.25">
      <c r="J890" s="11"/>
    </row>
    <row r="891" spans="10:10" x14ac:dyDescent="0.25">
      <c r="J891" s="11"/>
    </row>
    <row r="892" spans="10:10" x14ac:dyDescent="0.25">
      <c r="J892" s="11"/>
    </row>
    <row r="893" spans="10:10" x14ac:dyDescent="0.25">
      <c r="J893" s="11"/>
    </row>
    <row r="894" spans="10:10" x14ac:dyDescent="0.25">
      <c r="J894" s="11"/>
    </row>
    <row r="895" spans="10:10" x14ac:dyDescent="0.25">
      <c r="J895" s="11"/>
    </row>
    <row r="896" spans="10:10" x14ac:dyDescent="0.25">
      <c r="J896" s="11"/>
    </row>
    <row r="897" spans="10:10" x14ac:dyDescent="0.25">
      <c r="J897" s="11"/>
    </row>
    <row r="898" spans="10:10" x14ac:dyDescent="0.25">
      <c r="J898" s="11"/>
    </row>
    <row r="899" spans="10:10" x14ac:dyDescent="0.25">
      <c r="J899" s="11"/>
    </row>
    <row r="900" spans="10:10" x14ac:dyDescent="0.25">
      <c r="J900" s="11"/>
    </row>
    <row r="901" spans="10:10" x14ac:dyDescent="0.25">
      <c r="J901" s="11"/>
    </row>
    <row r="902" spans="10:10" x14ac:dyDescent="0.25">
      <c r="J902" s="11"/>
    </row>
    <row r="903" spans="10:10" x14ac:dyDescent="0.25">
      <c r="J903" s="11"/>
    </row>
    <row r="904" spans="10:10" x14ac:dyDescent="0.25">
      <c r="J904" s="11"/>
    </row>
    <row r="905" spans="10:10" x14ac:dyDescent="0.25">
      <c r="J905" s="11"/>
    </row>
    <row r="906" spans="10:10" x14ac:dyDescent="0.25">
      <c r="J906" s="11"/>
    </row>
    <row r="907" spans="10:10" x14ac:dyDescent="0.25">
      <c r="J907" s="11"/>
    </row>
    <row r="908" spans="10:10" x14ac:dyDescent="0.25">
      <c r="J908" s="11"/>
    </row>
    <row r="909" spans="10:10" x14ac:dyDescent="0.25">
      <c r="J909" s="11"/>
    </row>
    <row r="910" spans="10:10" x14ac:dyDescent="0.25">
      <c r="J910" s="11"/>
    </row>
    <row r="911" spans="10:10" x14ac:dyDescent="0.25">
      <c r="J911" s="11"/>
    </row>
    <row r="912" spans="10:10" x14ac:dyDescent="0.25">
      <c r="J912" s="11"/>
    </row>
    <row r="913" spans="10:10" x14ac:dyDescent="0.25">
      <c r="J913" s="11"/>
    </row>
    <row r="914" spans="10:10" x14ac:dyDescent="0.25">
      <c r="J914" s="11"/>
    </row>
    <row r="915" spans="10:10" x14ac:dyDescent="0.25">
      <c r="J915" s="11"/>
    </row>
    <row r="916" spans="10:10" x14ac:dyDescent="0.25">
      <c r="J916" s="11"/>
    </row>
    <row r="917" spans="10:10" x14ac:dyDescent="0.25">
      <c r="J917" s="11"/>
    </row>
    <row r="918" spans="10:10" x14ac:dyDescent="0.25">
      <c r="J918" s="11"/>
    </row>
    <row r="919" spans="10:10" x14ac:dyDescent="0.25">
      <c r="J919" s="11"/>
    </row>
    <row r="920" spans="10:10" x14ac:dyDescent="0.25">
      <c r="J920" s="11"/>
    </row>
    <row r="921" spans="10:10" x14ac:dyDescent="0.25">
      <c r="J921" s="11"/>
    </row>
    <row r="922" spans="10:10" x14ac:dyDescent="0.25">
      <c r="J922" s="11"/>
    </row>
    <row r="923" spans="10:10" x14ac:dyDescent="0.25">
      <c r="J923" s="11"/>
    </row>
    <row r="924" spans="10:10" x14ac:dyDescent="0.25">
      <c r="J924" s="11"/>
    </row>
    <row r="925" spans="10:10" x14ac:dyDescent="0.25">
      <c r="J925" s="11"/>
    </row>
    <row r="926" spans="10:10" x14ac:dyDescent="0.25">
      <c r="J926" s="11"/>
    </row>
    <row r="927" spans="10:10" x14ac:dyDescent="0.25">
      <c r="J927" s="11"/>
    </row>
    <row r="928" spans="10:10" x14ac:dyDescent="0.25">
      <c r="J928" s="11"/>
    </row>
    <row r="929" spans="10:10" x14ac:dyDescent="0.25">
      <c r="J929" s="11"/>
    </row>
    <row r="930" spans="10:10" x14ac:dyDescent="0.25">
      <c r="J930" s="11"/>
    </row>
    <row r="931" spans="10:10" x14ac:dyDescent="0.25">
      <c r="J931" s="11"/>
    </row>
    <row r="932" spans="10:10" x14ac:dyDescent="0.25">
      <c r="J932" s="11"/>
    </row>
    <row r="933" spans="10:10" x14ac:dyDescent="0.25">
      <c r="J933" s="11"/>
    </row>
    <row r="934" spans="10:10" x14ac:dyDescent="0.25">
      <c r="J934" s="11"/>
    </row>
    <row r="935" spans="10:10" x14ac:dyDescent="0.25">
      <c r="J935" s="11"/>
    </row>
    <row r="936" spans="10:10" x14ac:dyDescent="0.25">
      <c r="J936" s="11"/>
    </row>
    <row r="937" spans="10:10" x14ac:dyDescent="0.25">
      <c r="J937" s="11"/>
    </row>
    <row r="938" spans="10:10" x14ac:dyDescent="0.25">
      <c r="J938" s="11"/>
    </row>
    <row r="939" spans="10:10" x14ac:dyDescent="0.25">
      <c r="J939" s="11"/>
    </row>
    <row r="940" spans="10:10" x14ac:dyDescent="0.25">
      <c r="J940" s="11"/>
    </row>
    <row r="941" spans="10:10" x14ac:dyDescent="0.25">
      <c r="J941" s="11"/>
    </row>
    <row r="942" spans="10:10" x14ac:dyDescent="0.25">
      <c r="J942" s="11"/>
    </row>
    <row r="943" spans="10:10" x14ac:dyDescent="0.25">
      <c r="J943" s="11"/>
    </row>
    <row r="944" spans="10:10" x14ac:dyDescent="0.25">
      <c r="J944" s="11"/>
    </row>
    <row r="945" spans="10:10" x14ac:dyDescent="0.25">
      <c r="J945" s="11"/>
    </row>
    <row r="946" spans="10:10" x14ac:dyDescent="0.25">
      <c r="J946" s="11"/>
    </row>
    <row r="947" spans="10:10" x14ac:dyDescent="0.25">
      <c r="J947" s="11"/>
    </row>
    <row r="948" spans="10:10" x14ac:dyDescent="0.25">
      <c r="J948" s="11"/>
    </row>
    <row r="949" spans="10:10" x14ac:dyDescent="0.25">
      <c r="J949" s="11"/>
    </row>
    <row r="950" spans="10:10" x14ac:dyDescent="0.25">
      <c r="J950" s="11"/>
    </row>
    <row r="951" spans="10:10" x14ac:dyDescent="0.25">
      <c r="J951" s="11"/>
    </row>
    <row r="952" spans="10:10" x14ac:dyDescent="0.25">
      <c r="J952" s="11"/>
    </row>
    <row r="953" spans="10:10" x14ac:dyDescent="0.25">
      <c r="J953" s="11"/>
    </row>
    <row r="954" spans="10:10" x14ac:dyDescent="0.25">
      <c r="J954" s="11"/>
    </row>
    <row r="955" spans="10:10" x14ac:dyDescent="0.25">
      <c r="J955" s="11"/>
    </row>
    <row r="956" spans="10:10" x14ac:dyDescent="0.25">
      <c r="J956" s="11"/>
    </row>
    <row r="957" spans="10:10" x14ac:dyDescent="0.25">
      <c r="J957" s="11"/>
    </row>
    <row r="958" spans="10:10" x14ac:dyDescent="0.25">
      <c r="J958" s="11"/>
    </row>
    <row r="959" spans="10:10" x14ac:dyDescent="0.25">
      <c r="J959" s="11"/>
    </row>
    <row r="960" spans="10:10" x14ac:dyDescent="0.25">
      <c r="J960" s="11"/>
    </row>
    <row r="961" spans="10:10" x14ac:dyDescent="0.25">
      <c r="J961" s="11"/>
    </row>
    <row r="962" spans="10:10" x14ac:dyDescent="0.25">
      <c r="J962" s="11"/>
    </row>
    <row r="963" spans="10:10" x14ac:dyDescent="0.25">
      <c r="J963" s="11"/>
    </row>
    <row r="964" spans="10:10" x14ac:dyDescent="0.25">
      <c r="J964" s="11"/>
    </row>
    <row r="965" spans="10:10" x14ac:dyDescent="0.25">
      <c r="J965" s="11"/>
    </row>
    <row r="966" spans="10:10" x14ac:dyDescent="0.25">
      <c r="J966" s="11"/>
    </row>
    <row r="967" spans="10:10" x14ac:dyDescent="0.25">
      <c r="J967" s="11"/>
    </row>
    <row r="968" spans="10:10" x14ac:dyDescent="0.25">
      <c r="J968" s="11"/>
    </row>
    <row r="969" spans="10:10" x14ac:dyDescent="0.25">
      <c r="J969" s="11"/>
    </row>
    <row r="970" spans="10:10" x14ac:dyDescent="0.25">
      <c r="J970" s="11"/>
    </row>
    <row r="971" spans="10:10" x14ac:dyDescent="0.25">
      <c r="J971" s="11"/>
    </row>
    <row r="972" spans="10:10" x14ac:dyDescent="0.25">
      <c r="J972" s="11"/>
    </row>
    <row r="973" spans="10:10" x14ac:dyDescent="0.25">
      <c r="J973" s="11"/>
    </row>
    <row r="974" spans="10:10" x14ac:dyDescent="0.25">
      <c r="J974" s="11"/>
    </row>
    <row r="975" spans="10:10" x14ac:dyDescent="0.25">
      <c r="J975" s="11"/>
    </row>
    <row r="976" spans="10:10" x14ac:dyDescent="0.25">
      <c r="J976" s="11"/>
    </row>
    <row r="977" spans="10:10" x14ac:dyDescent="0.25">
      <c r="J977" s="11"/>
    </row>
    <row r="978" spans="10:10" x14ac:dyDescent="0.25">
      <c r="J978" s="11"/>
    </row>
    <row r="979" spans="10:10" x14ac:dyDescent="0.25">
      <c r="J979" s="11"/>
    </row>
    <row r="980" spans="10:10" x14ac:dyDescent="0.25">
      <c r="J980" s="11"/>
    </row>
    <row r="981" spans="10:10" x14ac:dyDescent="0.25">
      <c r="J981" s="11"/>
    </row>
    <row r="982" spans="10:10" x14ac:dyDescent="0.25">
      <c r="J982" s="11"/>
    </row>
    <row r="983" spans="10:10" x14ac:dyDescent="0.25">
      <c r="J983" s="11"/>
    </row>
    <row r="984" spans="10:10" x14ac:dyDescent="0.25">
      <c r="J984" s="11"/>
    </row>
    <row r="985" spans="10:10" x14ac:dyDescent="0.25">
      <c r="J985" s="11"/>
    </row>
    <row r="986" spans="10:10" x14ac:dyDescent="0.25">
      <c r="J986" s="11"/>
    </row>
    <row r="987" spans="10:10" x14ac:dyDescent="0.25">
      <c r="J987" s="11"/>
    </row>
    <row r="988" spans="10:10" x14ac:dyDescent="0.25">
      <c r="J988" s="11"/>
    </row>
    <row r="989" spans="10:10" x14ac:dyDescent="0.25">
      <c r="J989" s="11"/>
    </row>
    <row r="990" spans="10:10" x14ac:dyDescent="0.25">
      <c r="J990" s="11"/>
    </row>
    <row r="991" spans="10:10" x14ac:dyDescent="0.25">
      <c r="J991" s="11"/>
    </row>
    <row r="992" spans="10:10" x14ac:dyDescent="0.25">
      <c r="J992" s="11"/>
    </row>
    <row r="993" spans="10:10" x14ac:dyDescent="0.25">
      <c r="J993" s="11"/>
    </row>
    <row r="994" spans="10:10" x14ac:dyDescent="0.25">
      <c r="J994" s="11"/>
    </row>
    <row r="995" spans="10:10" x14ac:dyDescent="0.25">
      <c r="J995" s="11"/>
    </row>
    <row r="996" spans="10:10" x14ac:dyDescent="0.25">
      <c r="J996" s="11"/>
    </row>
    <row r="997" spans="10:10" x14ac:dyDescent="0.25">
      <c r="J997" s="11"/>
    </row>
    <row r="998" spans="10:10" x14ac:dyDescent="0.25">
      <c r="J998" s="11"/>
    </row>
    <row r="999" spans="10:10" x14ac:dyDescent="0.25">
      <c r="J999" s="11"/>
    </row>
    <row r="1000" spans="10:10" x14ac:dyDescent="0.25">
      <c r="J1000" s="11"/>
    </row>
    <row r="1001" spans="10:10" x14ac:dyDescent="0.25">
      <c r="J1001" s="11"/>
    </row>
    <row r="1002" spans="10:10" x14ac:dyDescent="0.25">
      <c r="J1002" s="11"/>
    </row>
    <row r="1003" spans="10:10" x14ac:dyDescent="0.25">
      <c r="J1003" s="11"/>
    </row>
    <row r="1004" spans="10:10" x14ac:dyDescent="0.25">
      <c r="J1004" s="11"/>
    </row>
    <row r="1005" spans="10:10" x14ac:dyDescent="0.25">
      <c r="J1005" s="11"/>
    </row>
    <row r="1006" spans="10:10" x14ac:dyDescent="0.25">
      <c r="J1006" s="11"/>
    </row>
    <row r="1007" spans="10:10" x14ac:dyDescent="0.25">
      <c r="J1007" s="11"/>
    </row>
    <row r="1008" spans="10:10" x14ac:dyDescent="0.25">
      <c r="J1008" s="11"/>
    </row>
    <row r="1009" spans="10:10" x14ac:dyDescent="0.25">
      <c r="J1009" s="11"/>
    </row>
    <row r="1010" spans="10:10" x14ac:dyDescent="0.25">
      <c r="J1010" s="11"/>
    </row>
    <row r="1011" spans="10:10" x14ac:dyDescent="0.25">
      <c r="J1011" s="11"/>
    </row>
    <row r="1012" spans="10:10" x14ac:dyDescent="0.25">
      <c r="J1012" s="11"/>
    </row>
    <row r="1013" spans="10:10" x14ac:dyDescent="0.25">
      <c r="J1013" s="11"/>
    </row>
    <row r="1014" spans="10:10" x14ac:dyDescent="0.25">
      <c r="J1014" s="11"/>
    </row>
    <row r="1015" spans="10:10" x14ac:dyDescent="0.25">
      <c r="J1015" s="11"/>
    </row>
    <row r="1016" spans="10:10" x14ac:dyDescent="0.25">
      <c r="J1016" s="11"/>
    </row>
    <row r="1017" spans="10:10" x14ac:dyDescent="0.25">
      <c r="J1017" s="11"/>
    </row>
    <row r="1018" spans="10:10" x14ac:dyDescent="0.25">
      <c r="J1018" s="11"/>
    </row>
    <row r="1019" spans="10:10" x14ac:dyDescent="0.25">
      <c r="J1019" s="11"/>
    </row>
    <row r="1020" spans="10:10" x14ac:dyDescent="0.25">
      <c r="J1020" s="11"/>
    </row>
    <row r="1021" spans="10:10" x14ac:dyDescent="0.25">
      <c r="J1021" s="11"/>
    </row>
    <row r="1022" spans="10:10" x14ac:dyDescent="0.25">
      <c r="J1022" s="11"/>
    </row>
    <row r="1023" spans="10:10" x14ac:dyDescent="0.25">
      <c r="J1023" s="11"/>
    </row>
    <row r="1024" spans="10:10" x14ac:dyDescent="0.25">
      <c r="J1024" s="11"/>
    </row>
    <row r="1025" spans="10:10" x14ac:dyDescent="0.25">
      <c r="J1025" s="11"/>
    </row>
    <row r="1026" spans="10:10" x14ac:dyDescent="0.25">
      <c r="J1026" s="11"/>
    </row>
    <row r="1027" spans="10:10" x14ac:dyDescent="0.25">
      <c r="J1027" s="11"/>
    </row>
    <row r="1028" spans="10:10" x14ac:dyDescent="0.25">
      <c r="J1028" s="11"/>
    </row>
    <row r="1029" spans="10:10" x14ac:dyDescent="0.25">
      <c r="J1029" s="11"/>
    </row>
    <row r="1030" spans="10:10" x14ac:dyDescent="0.25">
      <c r="J1030" s="11"/>
    </row>
    <row r="1031" spans="10:10" x14ac:dyDescent="0.25">
      <c r="J1031" s="11"/>
    </row>
    <row r="1032" spans="10:10" x14ac:dyDescent="0.25">
      <c r="J1032" s="11"/>
    </row>
    <row r="1033" spans="10:10" x14ac:dyDescent="0.25">
      <c r="J1033" s="11"/>
    </row>
    <row r="1034" spans="10:10" x14ac:dyDescent="0.25">
      <c r="J1034" s="11"/>
    </row>
    <row r="1035" spans="10:10" x14ac:dyDescent="0.25">
      <c r="J1035" s="11"/>
    </row>
    <row r="1036" spans="10:10" x14ac:dyDescent="0.25">
      <c r="J1036" s="11"/>
    </row>
    <row r="1037" spans="10:10" x14ac:dyDescent="0.25">
      <c r="J1037" s="11"/>
    </row>
    <row r="1038" spans="10:10" x14ac:dyDescent="0.25">
      <c r="J1038" s="11"/>
    </row>
    <row r="1039" spans="10:10" x14ac:dyDescent="0.25">
      <c r="J1039" s="11"/>
    </row>
    <row r="1040" spans="10:10" x14ac:dyDescent="0.25">
      <c r="J1040" s="11"/>
    </row>
    <row r="1041" spans="10:10" x14ac:dyDescent="0.25">
      <c r="J1041" s="11"/>
    </row>
    <row r="1042" spans="10:10" x14ac:dyDescent="0.25">
      <c r="J1042" s="11"/>
    </row>
    <row r="1043" spans="10:10" x14ac:dyDescent="0.25">
      <c r="J1043" s="11"/>
    </row>
    <row r="1044" spans="10:10" x14ac:dyDescent="0.25">
      <c r="J1044" s="11"/>
    </row>
    <row r="1045" spans="10:10" x14ac:dyDescent="0.25">
      <c r="J1045" s="11"/>
    </row>
    <row r="1046" spans="10:10" x14ac:dyDescent="0.25">
      <c r="J1046" s="11"/>
    </row>
    <row r="1047" spans="10:10" x14ac:dyDescent="0.25">
      <c r="J1047" s="11"/>
    </row>
    <row r="1048" spans="10:10" x14ac:dyDescent="0.25">
      <c r="J1048" s="11"/>
    </row>
    <row r="1049" spans="10:10" x14ac:dyDescent="0.25">
      <c r="J1049" s="11"/>
    </row>
    <row r="1050" spans="10:10" x14ac:dyDescent="0.25">
      <c r="J1050" s="11"/>
    </row>
    <row r="1051" spans="10:10" x14ac:dyDescent="0.25">
      <c r="J1051" s="11"/>
    </row>
    <row r="1052" spans="10:10" x14ac:dyDescent="0.25">
      <c r="J1052" s="11"/>
    </row>
    <row r="1053" spans="10:10" x14ac:dyDescent="0.25">
      <c r="J1053" s="11"/>
    </row>
    <row r="1054" spans="10:10" x14ac:dyDescent="0.25">
      <c r="J1054" s="11"/>
    </row>
    <row r="1055" spans="10:10" x14ac:dyDescent="0.25">
      <c r="J1055" s="11"/>
    </row>
    <row r="1056" spans="10:10" x14ac:dyDescent="0.25">
      <c r="J1056" s="11"/>
    </row>
    <row r="1057" spans="10:10" x14ac:dyDescent="0.25">
      <c r="J1057" s="11"/>
    </row>
    <row r="1058" spans="10:10" x14ac:dyDescent="0.25">
      <c r="J1058" s="11"/>
    </row>
    <row r="1059" spans="10:10" x14ac:dyDescent="0.25">
      <c r="J1059" s="11"/>
    </row>
    <row r="1060" spans="10:10" x14ac:dyDescent="0.25">
      <c r="J1060" s="11"/>
    </row>
    <row r="1061" spans="10:10" x14ac:dyDescent="0.25">
      <c r="J1061" s="11"/>
    </row>
    <row r="1062" spans="10:10" x14ac:dyDescent="0.25">
      <c r="J1062" s="11"/>
    </row>
    <row r="1063" spans="10:10" x14ac:dyDescent="0.25">
      <c r="J1063" s="11"/>
    </row>
    <row r="1064" spans="10:10" x14ac:dyDescent="0.25">
      <c r="J1064" s="11"/>
    </row>
    <row r="1065" spans="10:10" x14ac:dyDescent="0.25">
      <c r="J1065" s="11"/>
    </row>
    <row r="1066" spans="10:10" x14ac:dyDescent="0.25">
      <c r="J1066" s="11"/>
    </row>
    <row r="1067" spans="10:10" x14ac:dyDescent="0.25">
      <c r="J1067" s="11"/>
    </row>
    <row r="1068" spans="10:10" x14ac:dyDescent="0.25">
      <c r="J1068" s="11"/>
    </row>
    <row r="1069" spans="10:10" x14ac:dyDescent="0.25">
      <c r="J1069" s="11"/>
    </row>
    <row r="1070" spans="10:10" x14ac:dyDescent="0.25">
      <c r="J1070" s="11"/>
    </row>
    <row r="1071" spans="10:10" x14ac:dyDescent="0.25">
      <c r="J1071" s="11"/>
    </row>
    <row r="1072" spans="10:10" x14ac:dyDescent="0.25">
      <c r="J1072" s="11"/>
    </row>
    <row r="1073" spans="10:10" x14ac:dyDescent="0.25">
      <c r="J1073" s="11"/>
    </row>
    <row r="1074" spans="10:10" x14ac:dyDescent="0.25">
      <c r="J1074" s="11"/>
    </row>
    <row r="1075" spans="10:10" x14ac:dyDescent="0.25">
      <c r="J1075" s="11"/>
    </row>
    <row r="1076" spans="10:10" x14ac:dyDescent="0.25">
      <c r="J1076" s="11"/>
    </row>
    <row r="1077" spans="10:10" x14ac:dyDescent="0.25">
      <c r="J1077" s="11"/>
    </row>
    <row r="1078" spans="10:10" x14ac:dyDescent="0.25">
      <c r="J1078" s="11"/>
    </row>
    <row r="1079" spans="10:10" x14ac:dyDescent="0.25">
      <c r="J1079" s="11"/>
    </row>
    <row r="1080" spans="10:10" x14ac:dyDescent="0.25">
      <c r="J1080" s="11"/>
    </row>
    <row r="1081" spans="10:10" x14ac:dyDescent="0.25">
      <c r="J1081" s="11"/>
    </row>
    <row r="1082" spans="10:10" x14ac:dyDescent="0.25">
      <c r="J1082" s="11"/>
    </row>
    <row r="1083" spans="10:10" x14ac:dyDescent="0.25">
      <c r="J1083" s="11"/>
    </row>
    <row r="1084" spans="10:10" x14ac:dyDescent="0.25">
      <c r="J1084" s="11"/>
    </row>
    <row r="1085" spans="10:10" x14ac:dyDescent="0.25">
      <c r="J1085" s="11"/>
    </row>
    <row r="1086" spans="10:10" x14ac:dyDescent="0.25">
      <c r="J1086" s="11"/>
    </row>
    <row r="1087" spans="10:10" x14ac:dyDescent="0.25">
      <c r="J1087" s="11"/>
    </row>
    <row r="1088" spans="10:10" x14ac:dyDescent="0.25">
      <c r="J1088" s="11"/>
    </row>
    <row r="1089" spans="10:10" x14ac:dyDescent="0.25">
      <c r="J1089" s="11"/>
    </row>
    <row r="1090" spans="10:10" x14ac:dyDescent="0.25">
      <c r="J1090" s="11"/>
    </row>
    <row r="1091" spans="10:10" x14ac:dyDescent="0.25">
      <c r="J1091" s="11"/>
    </row>
    <row r="1092" spans="10:10" x14ac:dyDescent="0.25">
      <c r="J1092" s="11"/>
    </row>
    <row r="1093" spans="10:10" x14ac:dyDescent="0.25">
      <c r="J1093" s="11"/>
    </row>
    <row r="1094" spans="10:10" x14ac:dyDescent="0.25">
      <c r="J1094" s="11"/>
    </row>
    <row r="1095" spans="10:10" x14ac:dyDescent="0.25">
      <c r="J1095" s="11"/>
    </row>
    <row r="1096" spans="10:10" x14ac:dyDescent="0.25">
      <c r="J1096" s="11"/>
    </row>
    <row r="1097" spans="10:10" x14ac:dyDescent="0.25">
      <c r="J1097" s="11"/>
    </row>
    <row r="1098" spans="10:10" x14ac:dyDescent="0.25">
      <c r="J1098" s="11"/>
    </row>
    <row r="1099" spans="10:10" x14ac:dyDescent="0.25">
      <c r="J1099" s="11"/>
    </row>
    <row r="1100" spans="10:10" x14ac:dyDescent="0.25">
      <c r="J1100" s="11"/>
    </row>
    <row r="1101" spans="10:10" x14ac:dyDescent="0.25">
      <c r="J1101" s="11"/>
    </row>
    <row r="1102" spans="10:10" x14ac:dyDescent="0.25">
      <c r="J1102" s="11"/>
    </row>
    <row r="1103" spans="10:10" x14ac:dyDescent="0.25">
      <c r="J1103" s="11"/>
    </row>
    <row r="1104" spans="10:10" x14ac:dyDescent="0.25">
      <c r="J1104" s="11"/>
    </row>
    <row r="1105" spans="10:10" x14ac:dyDescent="0.25">
      <c r="J1105" s="11"/>
    </row>
    <row r="1106" spans="10:10" x14ac:dyDescent="0.25">
      <c r="J1106" s="11"/>
    </row>
    <row r="1107" spans="10:10" x14ac:dyDescent="0.25">
      <c r="J1107" s="11"/>
    </row>
    <row r="1108" spans="10:10" x14ac:dyDescent="0.25">
      <c r="J1108" s="11"/>
    </row>
    <row r="1109" spans="10:10" x14ac:dyDescent="0.25">
      <c r="J1109" s="11"/>
    </row>
    <row r="1110" spans="10:10" x14ac:dyDescent="0.25">
      <c r="J1110" s="11"/>
    </row>
    <row r="1111" spans="10:10" x14ac:dyDescent="0.25">
      <c r="J1111" s="11"/>
    </row>
    <row r="1112" spans="10:10" x14ac:dyDescent="0.25">
      <c r="J1112" s="11"/>
    </row>
    <row r="1113" spans="10:10" x14ac:dyDescent="0.25">
      <c r="J1113" s="11"/>
    </row>
    <row r="1114" spans="10:10" x14ac:dyDescent="0.25">
      <c r="J1114" s="11"/>
    </row>
    <row r="1115" spans="10:10" x14ac:dyDescent="0.25">
      <c r="J1115" s="11"/>
    </row>
    <row r="1116" spans="10:10" x14ac:dyDescent="0.25">
      <c r="J1116" s="11"/>
    </row>
    <row r="1117" spans="10:10" x14ac:dyDescent="0.25">
      <c r="J1117" s="11"/>
    </row>
    <row r="1118" spans="10:10" x14ac:dyDescent="0.25">
      <c r="J1118" s="11"/>
    </row>
    <row r="1119" spans="10:10" x14ac:dyDescent="0.25">
      <c r="J1119" s="11"/>
    </row>
    <row r="1120" spans="10:10" x14ac:dyDescent="0.25">
      <c r="J1120" s="11"/>
    </row>
    <row r="1121" spans="10:10" x14ac:dyDescent="0.25">
      <c r="J1121" s="11"/>
    </row>
    <row r="1122" spans="10:10" x14ac:dyDescent="0.25">
      <c r="J1122" s="11"/>
    </row>
    <row r="1123" spans="10:10" x14ac:dyDescent="0.25">
      <c r="J1123" s="11"/>
    </row>
    <row r="1124" spans="10:10" x14ac:dyDescent="0.25">
      <c r="J1124" s="11"/>
    </row>
    <row r="1125" spans="10:10" x14ac:dyDescent="0.25">
      <c r="J1125" s="11"/>
    </row>
    <row r="1126" spans="10:10" x14ac:dyDescent="0.25">
      <c r="J1126" s="11"/>
    </row>
    <row r="1127" spans="10:10" x14ac:dyDescent="0.25">
      <c r="J1127" s="11"/>
    </row>
    <row r="1128" spans="10:10" x14ac:dyDescent="0.25">
      <c r="J1128" s="11"/>
    </row>
    <row r="1129" spans="10:10" x14ac:dyDescent="0.25">
      <c r="J1129" s="11"/>
    </row>
    <row r="1130" spans="10:10" x14ac:dyDescent="0.25">
      <c r="J1130" s="11"/>
    </row>
    <row r="1131" spans="10:10" x14ac:dyDescent="0.25">
      <c r="J1131" s="11"/>
    </row>
    <row r="1132" spans="10:10" x14ac:dyDescent="0.25">
      <c r="J1132" s="11"/>
    </row>
    <row r="1133" spans="10:10" x14ac:dyDescent="0.25">
      <c r="J1133" s="11"/>
    </row>
    <row r="1134" spans="10:10" x14ac:dyDescent="0.25">
      <c r="J1134" s="11"/>
    </row>
    <row r="1135" spans="10:10" x14ac:dyDescent="0.25">
      <c r="J1135" s="11"/>
    </row>
    <row r="1136" spans="10:10" x14ac:dyDescent="0.25">
      <c r="J1136" s="11"/>
    </row>
    <row r="1137" spans="10:10" x14ac:dyDescent="0.25">
      <c r="J1137" s="11"/>
    </row>
    <row r="1138" spans="10:10" x14ac:dyDescent="0.25">
      <c r="J1138" s="11"/>
    </row>
    <row r="1139" spans="10:10" x14ac:dyDescent="0.25">
      <c r="J1139" s="11"/>
    </row>
    <row r="1140" spans="10:10" x14ac:dyDescent="0.25">
      <c r="J1140" s="11"/>
    </row>
    <row r="1141" spans="10:10" x14ac:dyDescent="0.25">
      <c r="J1141" s="11"/>
    </row>
    <row r="1142" spans="10:10" x14ac:dyDescent="0.25">
      <c r="J1142" s="11"/>
    </row>
    <row r="1143" spans="10:10" x14ac:dyDescent="0.25">
      <c r="J1143" s="11"/>
    </row>
    <row r="1144" spans="10:10" x14ac:dyDescent="0.25">
      <c r="J1144" s="11"/>
    </row>
    <row r="1145" spans="10:10" x14ac:dyDescent="0.25">
      <c r="J1145" s="11"/>
    </row>
    <row r="1146" spans="10:10" x14ac:dyDescent="0.25">
      <c r="J1146" s="11"/>
    </row>
    <row r="1147" spans="10:10" x14ac:dyDescent="0.25">
      <c r="J1147" s="11"/>
    </row>
    <row r="1148" spans="10:10" x14ac:dyDescent="0.25">
      <c r="J1148" s="11"/>
    </row>
    <row r="1149" spans="10:10" x14ac:dyDescent="0.25">
      <c r="J1149" s="11"/>
    </row>
    <row r="1150" spans="10:10" x14ac:dyDescent="0.25">
      <c r="J1150" s="11"/>
    </row>
    <row r="1151" spans="10:10" x14ac:dyDescent="0.25">
      <c r="J1151" s="11"/>
    </row>
    <row r="1152" spans="10:10" x14ac:dyDescent="0.25">
      <c r="J1152" s="11"/>
    </row>
    <row r="1153" spans="10:10" x14ac:dyDescent="0.25">
      <c r="J1153" s="11"/>
    </row>
    <row r="1154" spans="10:10" x14ac:dyDescent="0.25">
      <c r="J1154" s="11"/>
    </row>
    <row r="1155" spans="10:10" x14ac:dyDescent="0.25">
      <c r="J1155" s="11"/>
    </row>
    <row r="1156" spans="10:10" x14ac:dyDescent="0.25">
      <c r="J1156" s="11"/>
    </row>
    <row r="1157" spans="10:10" x14ac:dyDescent="0.25">
      <c r="J1157" s="11"/>
    </row>
    <row r="1158" spans="10:10" x14ac:dyDescent="0.25">
      <c r="J1158" s="11"/>
    </row>
    <row r="1159" spans="10:10" x14ac:dyDescent="0.25">
      <c r="J1159" s="11"/>
    </row>
    <row r="1160" spans="10:10" x14ac:dyDescent="0.25">
      <c r="J1160" s="11"/>
    </row>
    <row r="1161" spans="10:10" x14ac:dyDescent="0.25">
      <c r="J1161" s="11"/>
    </row>
    <row r="1162" spans="10:10" x14ac:dyDescent="0.25">
      <c r="J1162" s="11"/>
    </row>
    <row r="1163" spans="10:10" x14ac:dyDescent="0.25">
      <c r="J1163" s="11"/>
    </row>
    <row r="1164" spans="10:10" x14ac:dyDescent="0.25">
      <c r="J1164" s="11"/>
    </row>
    <row r="1165" spans="10:10" x14ac:dyDescent="0.25">
      <c r="J1165" s="11"/>
    </row>
    <row r="1166" spans="10:10" x14ac:dyDescent="0.25">
      <c r="J1166" s="11"/>
    </row>
    <row r="1167" spans="10:10" x14ac:dyDescent="0.25">
      <c r="J1167" s="11"/>
    </row>
    <row r="1168" spans="10:10" x14ac:dyDescent="0.25">
      <c r="J1168" s="11"/>
    </row>
    <row r="1169" spans="10:10" x14ac:dyDescent="0.25">
      <c r="J1169" s="11"/>
    </row>
    <row r="1170" spans="10:10" x14ac:dyDescent="0.25">
      <c r="J1170" s="11"/>
    </row>
    <row r="1171" spans="10:10" x14ac:dyDescent="0.25">
      <c r="J1171" s="11"/>
    </row>
    <row r="1172" spans="10:10" x14ac:dyDescent="0.25">
      <c r="J1172" s="11"/>
    </row>
    <row r="1173" spans="10:10" x14ac:dyDescent="0.25">
      <c r="J1173" s="11"/>
    </row>
    <row r="1174" spans="10:10" x14ac:dyDescent="0.25">
      <c r="J1174" s="11"/>
    </row>
    <row r="1175" spans="10:10" x14ac:dyDescent="0.25">
      <c r="J1175" s="11"/>
    </row>
    <row r="1176" spans="10:10" x14ac:dyDescent="0.25">
      <c r="J1176" s="11"/>
    </row>
    <row r="1177" spans="10:10" x14ac:dyDescent="0.25">
      <c r="J1177" s="11"/>
    </row>
    <row r="1178" spans="10:10" x14ac:dyDescent="0.25">
      <c r="J1178" s="11"/>
    </row>
    <row r="1179" spans="10:10" x14ac:dyDescent="0.25">
      <c r="J1179" s="11"/>
    </row>
    <row r="1180" spans="10:10" x14ac:dyDescent="0.25">
      <c r="J1180" s="11"/>
    </row>
    <row r="1181" spans="10:10" x14ac:dyDescent="0.25">
      <c r="J1181" s="11"/>
    </row>
    <row r="1182" spans="10:10" x14ac:dyDescent="0.25">
      <c r="J1182" s="11"/>
    </row>
    <row r="1183" spans="10:10" x14ac:dyDescent="0.25">
      <c r="J1183" s="11"/>
    </row>
    <row r="1184" spans="10:10" x14ac:dyDescent="0.25">
      <c r="J1184" s="11"/>
    </row>
    <row r="1185" spans="10:10" x14ac:dyDescent="0.25">
      <c r="J1185" s="11"/>
    </row>
    <row r="1186" spans="10:10" x14ac:dyDescent="0.25">
      <c r="J1186" s="11"/>
    </row>
    <row r="1187" spans="10:10" x14ac:dyDescent="0.25">
      <c r="J1187" s="11"/>
    </row>
    <row r="1188" spans="10:10" x14ac:dyDescent="0.25">
      <c r="J1188" s="11"/>
    </row>
    <row r="1189" spans="10:10" x14ac:dyDescent="0.25">
      <c r="J1189" s="11"/>
    </row>
    <row r="1190" spans="10:10" x14ac:dyDescent="0.25">
      <c r="J1190" s="11"/>
    </row>
    <row r="1191" spans="10:10" x14ac:dyDescent="0.25">
      <c r="J1191" s="11"/>
    </row>
    <row r="1192" spans="10:10" x14ac:dyDescent="0.25">
      <c r="J1192" s="11"/>
    </row>
    <row r="1193" spans="10:10" x14ac:dyDescent="0.25">
      <c r="J1193" s="11"/>
    </row>
    <row r="1194" spans="10:10" x14ac:dyDescent="0.25">
      <c r="J1194" s="11"/>
    </row>
    <row r="1195" spans="10:10" x14ac:dyDescent="0.25">
      <c r="J1195" s="11"/>
    </row>
    <row r="1196" spans="10:10" x14ac:dyDescent="0.25">
      <c r="J1196" s="11"/>
    </row>
    <row r="1197" spans="10:10" x14ac:dyDescent="0.25">
      <c r="J1197" s="11"/>
    </row>
    <row r="1198" spans="10:10" x14ac:dyDescent="0.25">
      <c r="J1198" s="11"/>
    </row>
    <row r="1199" spans="10:10" x14ac:dyDescent="0.25">
      <c r="J1199" s="11"/>
    </row>
    <row r="1200" spans="10:10" x14ac:dyDescent="0.25">
      <c r="J1200" s="11"/>
    </row>
    <row r="1201" spans="10:10" x14ac:dyDescent="0.25">
      <c r="J1201" s="11"/>
    </row>
    <row r="1202" spans="10:10" x14ac:dyDescent="0.25">
      <c r="J1202" s="11"/>
    </row>
    <row r="1203" spans="10:10" x14ac:dyDescent="0.25">
      <c r="J1203" s="11"/>
    </row>
    <row r="1204" spans="10:10" x14ac:dyDescent="0.25">
      <c r="J1204" s="11"/>
    </row>
    <row r="1205" spans="10:10" x14ac:dyDescent="0.25">
      <c r="J1205" s="11"/>
    </row>
    <row r="1206" spans="10:10" x14ac:dyDescent="0.25">
      <c r="J1206" s="11"/>
    </row>
    <row r="1207" spans="10:10" x14ac:dyDescent="0.25">
      <c r="J1207" s="11"/>
    </row>
    <row r="1208" spans="10:10" x14ac:dyDescent="0.25">
      <c r="J1208" s="11"/>
    </row>
    <row r="1209" spans="10:10" x14ac:dyDescent="0.25">
      <c r="J1209" s="11"/>
    </row>
    <row r="1210" spans="10:10" x14ac:dyDescent="0.25">
      <c r="J1210" s="11"/>
    </row>
    <row r="1211" spans="10:10" x14ac:dyDescent="0.25">
      <c r="J1211" s="11"/>
    </row>
    <row r="1212" spans="10:10" x14ac:dyDescent="0.25">
      <c r="J1212" s="11"/>
    </row>
    <row r="1213" spans="10:10" x14ac:dyDescent="0.25">
      <c r="J1213" s="11"/>
    </row>
    <row r="1214" spans="10:10" x14ac:dyDescent="0.25">
      <c r="J1214" s="11"/>
    </row>
    <row r="1215" spans="10:10" x14ac:dyDescent="0.25">
      <c r="J1215" s="11"/>
    </row>
    <row r="1216" spans="10:10" x14ac:dyDescent="0.25">
      <c r="J1216" s="11"/>
    </row>
    <row r="1217" spans="10:10" x14ac:dyDescent="0.25">
      <c r="J1217" s="11"/>
    </row>
    <row r="1218" spans="10:10" x14ac:dyDescent="0.25">
      <c r="J1218" s="11"/>
    </row>
    <row r="1219" spans="10:10" x14ac:dyDescent="0.25">
      <c r="J1219" s="11"/>
    </row>
    <row r="1220" spans="10:10" x14ac:dyDescent="0.25">
      <c r="J1220" s="11"/>
    </row>
    <row r="1221" spans="10:10" x14ac:dyDescent="0.25">
      <c r="J1221" s="11"/>
    </row>
    <row r="1222" spans="10:10" x14ac:dyDescent="0.25">
      <c r="J1222" s="11"/>
    </row>
    <row r="1223" spans="10:10" x14ac:dyDescent="0.25">
      <c r="J1223" s="11"/>
    </row>
    <row r="1224" spans="10:10" x14ac:dyDescent="0.25">
      <c r="J1224" s="11"/>
    </row>
    <row r="1225" spans="10:10" x14ac:dyDescent="0.25">
      <c r="J1225" s="11"/>
    </row>
    <row r="1226" spans="10:10" x14ac:dyDescent="0.25">
      <c r="J1226" s="11"/>
    </row>
    <row r="1227" spans="10:10" x14ac:dyDescent="0.25">
      <c r="J1227" s="11"/>
    </row>
    <row r="1228" spans="10:10" x14ac:dyDescent="0.25">
      <c r="J1228" s="11"/>
    </row>
    <row r="1229" spans="10:10" x14ac:dyDescent="0.25">
      <c r="J1229" s="11"/>
    </row>
    <row r="1230" spans="10:10" x14ac:dyDescent="0.25">
      <c r="J1230" s="11"/>
    </row>
    <row r="1231" spans="10:10" x14ac:dyDescent="0.25">
      <c r="J1231" s="11"/>
    </row>
    <row r="1232" spans="10:10" x14ac:dyDescent="0.25">
      <c r="J1232" s="11"/>
    </row>
    <row r="1233" spans="10:10" x14ac:dyDescent="0.25">
      <c r="J1233" s="11"/>
    </row>
    <row r="1234" spans="10:10" x14ac:dyDescent="0.25">
      <c r="J1234" s="11"/>
    </row>
    <row r="1235" spans="10:10" x14ac:dyDescent="0.25">
      <c r="J1235" s="11"/>
    </row>
    <row r="1236" spans="10:10" x14ac:dyDescent="0.25">
      <c r="J1236" s="11"/>
    </row>
    <row r="1237" spans="10:10" x14ac:dyDescent="0.25">
      <c r="J1237" s="11"/>
    </row>
    <row r="1238" spans="10:10" x14ac:dyDescent="0.25">
      <c r="J1238" s="11"/>
    </row>
    <row r="1239" spans="10:10" x14ac:dyDescent="0.25">
      <c r="J1239" s="11"/>
    </row>
    <row r="1240" spans="10:10" x14ac:dyDescent="0.25">
      <c r="J1240" s="11"/>
    </row>
    <row r="1241" spans="10:10" x14ac:dyDescent="0.25">
      <c r="J1241" s="11"/>
    </row>
    <row r="1242" spans="10:10" x14ac:dyDescent="0.25">
      <c r="J1242" s="11"/>
    </row>
    <row r="1243" spans="10:10" x14ac:dyDescent="0.25">
      <c r="J1243" s="11"/>
    </row>
    <row r="1244" spans="10:10" x14ac:dyDescent="0.25">
      <c r="J1244" s="11"/>
    </row>
    <row r="1245" spans="10:10" x14ac:dyDescent="0.25">
      <c r="J1245" s="11"/>
    </row>
    <row r="1246" spans="10:10" x14ac:dyDescent="0.25">
      <c r="J1246" s="11"/>
    </row>
    <row r="1247" spans="10:10" x14ac:dyDescent="0.25">
      <c r="J1247" s="11"/>
    </row>
    <row r="1248" spans="10:10" x14ac:dyDescent="0.25">
      <c r="J1248" s="11"/>
    </row>
    <row r="1249" spans="10:10" x14ac:dyDescent="0.25">
      <c r="J1249" s="11"/>
    </row>
    <row r="1250" spans="10:10" x14ac:dyDescent="0.25">
      <c r="J1250" s="11"/>
    </row>
    <row r="1251" spans="10:10" x14ac:dyDescent="0.25">
      <c r="J1251" s="11"/>
    </row>
    <row r="1252" spans="10:10" x14ac:dyDescent="0.25">
      <c r="J1252" s="11"/>
    </row>
    <row r="1253" spans="10:10" x14ac:dyDescent="0.25">
      <c r="J1253" s="11"/>
    </row>
    <row r="1254" spans="10:10" x14ac:dyDescent="0.25">
      <c r="J1254" s="11"/>
    </row>
    <row r="1255" spans="10:10" x14ac:dyDescent="0.25">
      <c r="J1255" s="11"/>
    </row>
    <row r="1256" spans="10:10" x14ac:dyDescent="0.25">
      <c r="J1256" s="11"/>
    </row>
    <row r="1257" spans="10:10" x14ac:dyDescent="0.25">
      <c r="J1257" s="11"/>
    </row>
    <row r="1258" spans="10:10" x14ac:dyDescent="0.25">
      <c r="J1258" s="11"/>
    </row>
    <row r="1259" spans="10:10" x14ac:dyDescent="0.25">
      <c r="J1259" s="11"/>
    </row>
    <row r="1260" spans="10:10" x14ac:dyDescent="0.25">
      <c r="J1260" s="11"/>
    </row>
    <row r="1261" spans="10:10" x14ac:dyDescent="0.25">
      <c r="J1261" s="11"/>
    </row>
    <row r="1262" spans="10:10" x14ac:dyDescent="0.25">
      <c r="J1262" s="11"/>
    </row>
    <row r="1263" spans="10:10" x14ac:dyDescent="0.25">
      <c r="J1263" s="11"/>
    </row>
    <row r="1264" spans="10:10" x14ac:dyDescent="0.25">
      <c r="J1264" s="11"/>
    </row>
    <row r="1265" spans="10:10" x14ac:dyDescent="0.25">
      <c r="J1265" s="11"/>
    </row>
    <row r="1266" spans="10:10" x14ac:dyDescent="0.25">
      <c r="J1266" s="11"/>
    </row>
    <row r="1267" spans="10:10" x14ac:dyDescent="0.25">
      <c r="J1267" s="11"/>
    </row>
    <row r="1268" spans="10:10" x14ac:dyDescent="0.25">
      <c r="J1268" s="11"/>
    </row>
    <row r="1269" spans="10:10" x14ac:dyDescent="0.25">
      <c r="J1269" s="11"/>
    </row>
    <row r="1270" spans="10:10" x14ac:dyDescent="0.25">
      <c r="J1270" s="11"/>
    </row>
    <row r="1271" spans="10:10" x14ac:dyDescent="0.25">
      <c r="J1271" s="11"/>
    </row>
    <row r="1272" spans="10:10" x14ac:dyDescent="0.25">
      <c r="J1272" s="11"/>
    </row>
    <row r="1273" spans="10:10" x14ac:dyDescent="0.25">
      <c r="J1273" s="11"/>
    </row>
    <row r="1274" spans="10:10" x14ac:dyDescent="0.25">
      <c r="J1274" s="11"/>
    </row>
    <row r="1275" spans="10:10" x14ac:dyDescent="0.25">
      <c r="J1275" s="11"/>
    </row>
    <row r="1276" spans="10:10" x14ac:dyDescent="0.25">
      <c r="J1276" s="11"/>
    </row>
    <row r="1277" spans="10:10" x14ac:dyDescent="0.25">
      <c r="J1277" s="11"/>
    </row>
    <row r="1278" spans="10:10" x14ac:dyDescent="0.25">
      <c r="J1278" s="11"/>
    </row>
    <row r="1279" spans="10:10" x14ac:dyDescent="0.25">
      <c r="J1279" s="11"/>
    </row>
    <row r="1280" spans="10:10" x14ac:dyDescent="0.25">
      <c r="J1280" s="11"/>
    </row>
    <row r="1281" spans="10:10" x14ac:dyDescent="0.25">
      <c r="J1281" s="11"/>
    </row>
    <row r="1282" spans="10:10" x14ac:dyDescent="0.25">
      <c r="J1282" s="11"/>
    </row>
    <row r="1283" spans="10:10" x14ac:dyDescent="0.25">
      <c r="J1283" s="11"/>
    </row>
    <row r="1284" spans="10:10" x14ac:dyDescent="0.25">
      <c r="J1284" s="11"/>
    </row>
    <row r="1285" spans="10:10" x14ac:dyDescent="0.25">
      <c r="J1285" s="11"/>
    </row>
    <row r="1286" spans="10:10" x14ac:dyDescent="0.25">
      <c r="J1286" s="11"/>
    </row>
    <row r="1287" spans="10:10" x14ac:dyDescent="0.25">
      <c r="J1287" s="11"/>
    </row>
    <row r="1288" spans="10:10" x14ac:dyDescent="0.25">
      <c r="J1288" s="11"/>
    </row>
    <row r="1289" spans="10:10" x14ac:dyDescent="0.25">
      <c r="J1289" s="11"/>
    </row>
    <row r="1290" spans="10:10" x14ac:dyDescent="0.25">
      <c r="J1290" s="11"/>
    </row>
    <row r="1291" spans="10:10" x14ac:dyDescent="0.25">
      <c r="J1291" s="11"/>
    </row>
    <row r="1292" spans="10:10" x14ac:dyDescent="0.25">
      <c r="J1292" s="11"/>
    </row>
    <row r="1293" spans="10:10" x14ac:dyDescent="0.25">
      <c r="J1293" s="11"/>
    </row>
    <row r="1294" spans="10:10" x14ac:dyDescent="0.25">
      <c r="J1294" s="11"/>
    </row>
    <row r="1295" spans="10:10" x14ac:dyDescent="0.25">
      <c r="J1295" s="11"/>
    </row>
    <row r="1296" spans="10:10" x14ac:dyDescent="0.25">
      <c r="J1296" s="11"/>
    </row>
    <row r="1297" spans="10:10" x14ac:dyDescent="0.25">
      <c r="J1297" s="11"/>
    </row>
    <row r="1298" spans="10:10" x14ac:dyDescent="0.25">
      <c r="J1298" s="11"/>
    </row>
    <row r="1299" spans="10:10" x14ac:dyDescent="0.25">
      <c r="J1299" s="11"/>
    </row>
    <row r="1300" spans="10:10" x14ac:dyDescent="0.25">
      <c r="J1300" s="11"/>
    </row>
    <row r="1301" spans="10:10" x14ac:dyDescent="0.25">
      <c r="J1301" s="11"/>
    </row>
    <row r="1302" spans="10:10" x14ac:dyDescent="0.25">
      <c r="J1302" s="11"/>
    </row>
    <row r="1303" spans="10:10" x14ac:dyDescent="0.25">
      <c r="J1303" s="11"/>
    </row>
    <row r="1304" spans="10:10" x14ac:dyDescent="0.25">
      <c r="J1304" s="11"/>
    </row>
    <row r="1305" spans="10:10" x14ac:dyDescent="0.25">
      <c r="J1305" s="11"/>
    </row>
    <row r="1306" spans="10:10" x14ac:dyDescent="0.25">
      <c r="J1306" s="11"/>
    </row>
    <row r="1307" spans="10:10" x14ac:dyDescent="0.25">
      <c r="J1307" s="11"/>
    </row>
    <row r="1308" spans="10:10" x14ac:dyDescent="0.25">
      <c r="J1308" s="11"/>
    </row>
    <row r="1309" spans="10:10" x14ac:dyDescent="0.25">
      <c r="J1309" s="11"/>
    </row>
    <row r="1310" spans="10:10" x14ac:dyDescent="0.25">
      <c r="J1310" s="11"/>
    </row>
    <row r="1311" spans="10:10" x14ac:dyDescent="0.25">
      <c r="J1311" s="11"/>
    </row>
    <row r="1312" spans="10:10" x14ac:dyDescent="0.25">
      <c r="J1312" s="11"/>
    </row>
    <row r="1313" spans="10:10" x14ac:dyDescent="0.25">
      <c r="J1313" s="11"/>
    </row>
    <row r="1314" spans="10:10" x14ac:dyDescent="0.25">
      <c r="J1314" s="11"/>
    </row>
    <row r="1315" spans="10:10" x14ac:dyDescent="0.25">
      <c r="J1315" s="11"/>
    </row>
    <row r="1316" spans="10:10" x14ac:dyDescent="0.25">
      <c r="J1316" s="11"/>
    </row>
    <row r="1317" spans="10:10" x14ac:dyDescent="0.25">
      <c r="J1317" s="11"/>
    </row>
    <row r="1318" spans="10:10" x14ac:dyDescent="0.25">
      <c r="J1318" s="11"/>
    </row>
    <row r="1319" spans="10:10" x14ac:dyDescent="0.25">
      <c r="J1319" s="11"/>
    </row>
    <row r="1320" spans="10:10" x14ac:dyDescent="0.25">
      <c r="J1320" s="11"/>
    </row>
    <row r="1321" spans="10:10" x14ac:dyDescent="0.25">
      <c r="J1321" s="11"/>
    </row>
    <row r="1322" spans="10:10" x14ac:dyDescent="0.25">
      <c r="J1322" s="11"/>
    </row>
    <row r="1323" spans="10:10" x14ac:dyDescent="0.25">
      <c r="J1323" s="11"/>
    </row>
    <row r="1324" spans="10:10" x14ac:dyDescent="0.25">
      <c r="J1324" s="11"/>
    </row>
    <row r="1325" spans="10:10" x14ac:dyDescent="0.25">
      <c r="J1325" s="11"/>
    </row>
    <row r="1326" spans="10:10" x14ac:dyDescent="0.25">
      <c r="J1326" s="11"/>
    </row>
    <row r="1327" spans="10:10" x14ac:dyDescent="0.25">
      <c r="J1327" s="11"/>
    </row>
    <row r="1328" spans="10:10" x14ac:dyDescent="0.25">
      <c r="J1328" s="11"/>
    </row>
    <row r="1329" spans="10:10" x14ac:dyDescent="0.25">
      <c r="J1329" s="11"/>
    </row>
    <row r="1330" spans="10:10" x14ac:dyDescent="0.25">
      <c r="J1330" s="11"/>
    </row>
    <row r="1331" spans="10:10" x14ac:dyDescent="0.25">
      <c r="J1331" s="11"/>
    </row>
    <row r="1332" spans="10:10" x14ac:dyDescent="0.25">
      <c r="J1332" s="11"/>
    </row>
    <row r="1333" spans="10:10" x14ac:dyDescent="0.25">
      <c r="J1333" s="11"/>
    </row>
    <row r="1334" spans="10:10" x14ac:dyDescent="0.25">
      <c r="J1334" s="11"/>
    </row>
    <row r="1335" spans="10:10" x14ac:dyDescent="0.25">
      <c r="J1335" s="11"/>
    </row>
    <row r="1336" spans="10:10" x14ac:dyDescent="0.25">
      <c r="J1336" s="11"/>
    </row>
    <row r="1337" spans="10:10" x14ac:dyDescent="0.25">
      <c r="J1337" s="11"/>
    </row>
    <row r="1338" spans="10:10" x14ac:dyDescent="0.25">
      <c r="J1338" s="11"/>
    </row>
    <row r="1339" spans="10:10" x14ac:dyDescent="0.25">
      <c r="J1339" s="11"/>
    </row>
    <row r="1340" spans="10:10" x14ac:dyDescent="0.25">
      <c r="J1340" s="11"/>
    </row>
    <row r="1341" spans="10:10" x14ac:dyDescent="0.25">
      <c r="J1341" s="11"/>
    </row>
    <row r="1342" spans="10:10" x14ac:dyDescent="0.25">
      <c r="J1342" s="11"/>
    </row>
    <row r="1343" spans="10:10" x14ac:dyDescent="0.25">
      <c r="J1343" s="11"/>
    </row>
    <row r="1344" spans="10:10" x14ac:dyDescent="0.25">
      <c r="J1344" s="11"/>
    </row>
    <row r="1345" spans="10:10" x14ac:dyDescent="0.25">
      <c r="J1345" s="11"/>
    </row>
    <row r="1346" spans="10:10" x14ac:dyDescent="0.25">
      <c r="J1346" s="11"/>
    </row>
    <row r="1347" spans="10:10" x14ac:dyDescent="0.25">
      <c r="J1347" s="11"/>
    </row>
    <row r="1348" spans="10:10" x14ac:dyDescent="0.25">
      <c r="J1348" s="11"/>
    </row>
    <row r="1349" spans="10:10" x14ac:dyDescent="0.25">
      <c r="J1349" s="11"/>
    </row>
    <row r="1350" spans="10:10" x14ac:dyDescent="0.25">
      <c r="J1350" s="11"/>
    </row>
    <row r="1351" spans="10:10" x14ac:dyDescent="0.25">
      <c r="J1351" s="11"/>
    </row>
    <row r="1352" spans="10:10" x14ac:dyDescent="0.25">
      <c r="J1352" s="11"/>
    </row>
    <row r="1353" spans="10:10" x14ac:dyDescent="0.25">
      <c r="J1353" s="11"/>
    </row>
    <row r="1354" spans="10:10" x14ac:dyDescent="0.25">
      <c r="J1354" s="11"/>
    </row>
    <row r="1355" spans="10:10" x14ac:dyDescent="0.25">
      <c r="J1355" s="11"/>
    </row>
    <row r="1356" spans="10:10" x14ac:dyDescent="0.25">
      <c r="J1356" s="11"/>
    </row>
    <row r="1357" spans="10:10" x14ac:dyDescent="0.25">
      <c r="J1357" s="11"/>
    </row>
    <row r="1358" spans="10:10" x14ac:dyDescent="0.25">
      <c r="J1358" s="11"/>
    </row>
    <row r="1359" spans="10:10" x14ac:dyDescent="0.25">
      <c r="J1359" s="11"/>
    </row>
    <row r="1360" spans="10:10" x14ac:dyDescent="0.25">
      <c r="J1360" s="11"/>
    </row>
    <row r="1361" spans="10:10" x14ac:dyDescent="0.25">
      <c r="J1361" s="11"/>
    </row>
    <row r="1362" spans="10:10" x14ac:dyDescent="0.25">
      <c r="J1362" s="11"/>
    </row>
    <row r="1363" spans="10:10" x14ac:dyDescent="0.25">
      <c r="J1363" s="11"/>
    </row>
    <row r="1364" spans="10:10" x14ac:dyDescent="0.25">
      <c r="J1364" s="11"/>
    </row>
    <row r="1365" spans="10:10" x14ac:dyDescent="0.25">
      <c r="J1365" s="11"/>
    </row>
    <row r="1366" spans="10:10" x14ac:dyDescent="0.25">
      <c r="J1366" s="11"/>
    </row>
    <row r="1367" spans="10:10" x14ac:dyDescent="0.25">
      <c r="J1367" s="11"/>
    </row>
    <row r="1368" spans="10:10" x14ac:dyDescent="0.25">
      <c r="J1368" s="11"/>
    </row>
    <row r="1369" spans="10:10" x14ac:dyDescent="0.25">
      <c r="J1369" s="11"/>
    </row>
    <row r="1370" spans="10:10" x14ac:dyDescent="0.25">
      <c r="J1370" s="11"/>
    </row>
    <row r="1371" spans="10:10" x14ac:dyDescent="0.25">
      <c r="J1371" s="11"/>
    </row>
    <row r="1372" spans="10:10" x14ac:dyDescent="0.25">
      <c r="J1372" s="11"/>
    </row>
    <row r="1373" spans="10:10" x14ac:dyDescent="0.25">
      <c r="J1373" s="11"/>
    </row>
    <row r="1374" spans="10:10" x14ac:dyDescent="0.25">
      <c r="J1374" s="11"/>
    </row>
    <row r="1375" spans="10:10" x14ac:dyDescent="0.25">
      <c r="J1375" s="11"/>
    </row>
    <row r="1376" spans="10:10" x14ac:dyDescent="0.25">
      <c r="J1376" s="11"/>
    </row>
    <row r="1377" spans="10:10" x14ac:dyDescent="0.25">
      <c r="J1377" s="11"/>
    </row>
    <row r="1378" spans="10:10" x14ac:dyDescent="0.25">
      <c r="J1378" s="11"/>
    </row>
    <row r="1379" spans="10:10" x14ac:dyDescent="0.25">
      <c r="J1379" s="11"/>
    </row>
    <row r="1380" spans="10:10" x14ac:dyDescent="0.25">
      <c r="J1380" s="11"/>
    </row>
    <row r="1381" spans="10:10" x14ac:dyDescent="0.25">
      <c r="J1381" s="11"/>
    </row>
    <row r="1382" spans="10:10" x14ac:dyDescent="0.25">
      <c r="J1382" s="11"/>
    </row>
    <row r="1383" spans="10:10" x14ac:dyDescent="0.25">
      <c r="J1383" s="11"/>
    </row>
    <row r="1384" spans="10:10" x14ac:dyDescent="0.25">
      <c r="J1384" s="11"/>
    </row>
    <row r="1385" spans="10:10" x14ac:dyDescent="0.25">
      <c r="J1385" s="11"/>
    </row>
    <row r="1386" spans="10:10" x14ac:dyDescent="0.25">
      <c r="J1386" s="11"/>
    </row>
    <row r="1387" spans="10:10" x14ac:dyDescent="0.25">
      <c r="J1387" s="11"/>
    </row>
    <row r="1388" spans="10:10" x14ac:dyDescent="0.25">
      <c r="J1388" s="11"/>
    </row>
    <row r="1389" spans="10:10" x14ac:dyDescent="0.25">
      <c r="J1389" s="11"/>
    </row>
    <row r="1390" spans="10:10" x14ac:dyDescent="0.25">
      <c r="J1390" s="11"/>
    </row>
    <row r="1391" spans="10:10" x14ac:dyDescent="0.25">
      <c r="J1391" s="11"/>
    </row>
    <row r="1392" spans="10:10" x14ac:dyDescent="0.25">
      <c r="J1392" s="11"/>
    </row>
    <row r="1393" spans="10:10" x14ac:dyDescent="0.25">
      <c r="J1393" s="11"/>
    </row>
    <row r="1394" spans="10:10" x14ac:dyDescent="0.25">
      <c r="J1394" s="11"/>
    </row>
    <row r="1395" spans="10:10" x14ac:dyDescent="0.25">
      <c r="J1395" s="11"/>
    </row>
    <row r="1396" spans="10:10" x14ac:dyDescent="0.25">
      <c r="J1396" s="11"/>
    </row>
    <row r="1397" spans="10:10" x14ac:dyDescent="0.25">
      <c r="J1397" s="11"/>
    </row>
    <row r="1398" spans="10:10" x14ac:dyDescent="0.25">
      <c r="J1398" s="11"/>
    </row>
    <row r="1399" spans="10:10" x14ac:dyDescent="0.25">
      <c r="J1399" s="11"/>
    </row>
    <row r="1400" spans="10:10" x14ac:dyDescent="0.25">
      <c r="J1400" s="11"/>
    </row>
    <row r="1401" spans="10:10" x14ac:dyDescent="0.25">
      <c r="J1401" s="11"/>
    </row>
    <row r="1402" spans="10:10" x14ac:dyDescent="0.25">
      <c r="J1402" s="11"/>
    </row>
    <row r="1403" spans="10:10" x14ac:dyDescent="0.25">
      <c r="J1403" s="11"/>
    </row>
    <row r="1404" spans="10:10" x14ac:dyDescent="0.25">
      <c r="J1404" s="11"/>
    </row>
    <row r="1405" spans="10:10" x14ac:dyDescent="0.25">
      <c r="J1405" s="11"/>
    </row>
    <row r="1406" spans="10:10" x14ac:dyDescent="0.25">
      <c r="J1406" s="11"/>
    </row>
    <row r="1407" spans="10:10" x14ac:dyDescent="0.25">
      <c r="J1407" s="11"/>
    </row>
    <row r="1408" spans="10:10" x14ac:dyDescent="0.25">
      <c r="J1408" s="11"/>
    </row>
    <row r="1409" spans="10:10" x14ac:dyDescent="0.25">
      <c r="J1409" s="11"/>
    </row>
    <row r="1410" spans="10:10" x14ac:dyDescent="0.25">
      <c r="J1410" s="11"/>
    </row>
    <row r="1411" spans="10:10" x14ac:dyDescent="0.25">
      <c r="J1411" s="11"/>
    </row>
    <row r="1412" spans="10:10" x14ac:dyDescent="0.25">
      <c r="J1412" s="11"/>
    </row>
    <row r="1413" spans="10:10" x14ac:dyDescent="0.25">
      <c r="J1413" s="11"/>
    </row>
    <row r="1414" spans="10:10" x14ac:dyDescent="0.25">
      <c r="J1414" s="11"/>
    </row>
    <row r="1415" spans="10:10" x14ac:dyDescent="0.25">
      <c r="J1415" s="11"/>
    </row>
    <row r="1416" spans="10:10" x14ac:dyDescent="0.25">
      <c r="J1416" s="11"/>
    </row>
    <row r="1417" spans="10:10" x14ac:dyDescent="0.25">
      <c r="J1417" s="11"/>
    </row>
    <row r="1418" spans="10:10" x14ac:dyDescent="0.25">
      <c r="J1418" s="11"/>
    </row>
    <row r="1419" spans="10:10" x14ac:dyDescent="0.25">
      <c r="J1419" s="11"/>
    </row>
    <row r="1420" spans="10:10" x14ac:dyDescent="0.25">
      <c r="J1420" s="11"/>
    </row>
    <row r="1421" spans="10:10" x14ac:dyDescent="0.25">
      <c r="J1421" s="11"/>
    </row>
    <row r="1422" spans="10:10" x14ac:dyDescent="0.25">
      <c r="J1422" s="11"/>
    </row>
    <row r="1423" spans="10:10" x14ac:dyDescent="0.25">
      <c r="J1423" s="11"/>
    </row>
    <row r="1424" spans="10:10" x14ac:dyDescent="0.25">
      <c r="J1424" s="11"/>
    </row>
    <row r="1425" spans="10:10" x14ac:dyDescent="0.25">
      <c r="J1425" s="11"/>
    </row>
    <row r="1426" spans="10:10" x14ac:dyDescent="0.25">
      <c r="J1426" s="11"/>
    </row>
    <row r="1427" spans="10:10" x14ac:dyDescent="0.25">
      <c r="J1427" s="11"/>
    </row>
    <row r="1428" spans="10:10" x14ac:dyDescent="0.25">
      <c r="J1428" s="11"/>
    </row>
    <row r="1429" spans="10:10" x14ac:dyDescent="0.25">
      <c r="J1429" s="11"/>
    </row>
    <row r="1430" spans="10:10" x14ac:dyDescent="0.25">
      <c r="J1430" s="11"/>
    </row>
    <row r="1431" spans="10:10" x14ac:dyDescent="0.25">
      <c r="J1431" s="11"/>
    </row>
    <row r="1432" spans="10:10" x14ac:dyDescent="0.25">
      <c r="J1432" s="11"/>
    </row>
    <row r="1433" spans="10:10" x14ac:dyDescent="0.25">
      <c r="J1433" s="11"/>
    </row>
    <row r="1434" spans="10:10" x14ac:dyDescent="0.25">
      <c r="J1434" s="11"/>
    </row>
    <row r="1435" spans="10:10" x14ac:dyDescent="0.25">
      <c r="J1435" s="11"/>
    </row>
    <row r="1436" spans="10:10" x14ac:dyDescent="0.25">
      <c r="J1436" s="11"/>
    </row>
    <row r="1437" spans="10:10" x14ac:dyDescent="0.25">
      <c r="J1437" s="11"/>
    </row>
    <row r="1438" spans="10:10" x14ac:dyDescent="0.25">
      <c r="J1438" s="11"/>
    </row>
  </sheetData>
  <sortState xmlns:xlrd2="http://schemas.microsoft.com/office/spreadsheetml/2017/richdata2" ref="G2:G61">
    <sortCondition ref="G2:G61"/>
  </sortState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910C0F-CE74-4A28-9283-22AF70347710}">
  <dimension ref="A1:H447"/>
  <sheetViews>
    <sheetView zoomScaleNormal="100" workbookViewId="0">
      <selection activeCell="D9" sqref="D9"/>
    </sheetView>
  </sheetViews>
  <sheetFormatPr baseColWidth="10" defaultRowHeight="15.75" x14ac:dyDescent="0.25"/>
  <cols>
    <col min="1" max="1" width="16.125" bestFit="1" customWidth="1"/>
    <col min="2" max="2" width="52.125" bestFit="1" customWidth="1"/>
    <col min="6" max="6" width="39.375" bestFit="1" customWidth="1"/>
  </cols>
  <sheetData>
    <row r="1" spans="1:8" x14ac:dyDescent="0.25">
      <c r="A1" t="s">
        <v>3142</v>
      </c>
      <c r="B1" s="21" t="s">
        <v>3140</v>
      </c>
      <c r="C1" t="s">
        <v>3141</v>
      </c>
      <c r="D1" t="s">
        <v>3143</v>
      </c>
    </row>
    <row r="2" spans="1:8" x14ac:dyDescent="0.25">
      <c r="A2" t="s">
        <v>3148</v>
      </c>
      <c r="B2" s="11" t="s">
        <v>650</v>
      </c>
      <c r="C2" s="11" t="s">
        <v>650</v>
      </c>
      <c r="D2">
        <v>77867428</v>
      </c>
      <c r="H2" s="11"/>
    </row>
    <row r="3" spans="1:8" x14ac:dyDescent="0.25">
      <c r="A3" t="s">
        <v>569</v>
      </c>
      <c r="B3" s="11" t="s">
        <v>569</v>
      </c>
      <c r="C3" s="11" t="s">
        <v>569</v>
      </c>
      <c r="D3">
        <v>77687079</v>
      </c>
      <c r="H3" s="11"/>
    </row>
    <row r="4" spans="1:8" x14ac:dyDescent="0.25">
      <c r="A4" t="s">
        <v>42</v>
      </c>
      <c r="B4" s="11" t="s">
        <v>42</v>
      </c>
      <c r="C4" s="11" t="s">
        <v>42</v>
      </c>
      <c r="D4">
        <v>77732377</v>
      </c>
      <c r="H4" s="11"/>
    </row>
    <row r="5" spans="1:8" x14ac:dyDescent="0.25">
      <c r="A5" t="s">
        <v>37</v>
      </c>
      <c r="B5" s="11" t="s">
        <v>37</v>
      </c>
      <c r="C5" s="11" t="s">
        <v>37</v>
      </c>
      <c r="D5">
        <v>77164391</v>
      </c>
      <c r="H5" s="11"/>
    </row>
    <row r="6" spans="1:8" x14ac:dyDescent="0.25">
      <c r="A6" t="s">
        <v>851</v>
      </c>
      <c r="B6" s="11" t="s">
        <v>851</v>
      </c>
      <c r="C6" s="11" t="s">
        <v>851</v>
      </c>
      <c r="D6">
        <v>77755049</v>
      </c>
      <c r="H6" s="11"/>
    </row>
    <row r="7" spans="1:8" x14ac:dyDescent="0.25">
      <c r="A7" t="s">
        <v>35</v>
      </c>
      <c r="B7" s="11" t="s">
        <v>35</v>
      </c>
      <c r="C7" s="11" t="s">
        <v>35</v>
      </c>
      <c r="D7">
        <v>77739024</v>
      </c>
      <c r="H7" s="11"/>
    </row>
    <row r="8" spans="1:8" x14ac:dyDescent="0.25">
      <c r="A8" t="s">
        <v>3149</v>
      </c>
      <c r="B8" s="11" t="s">
        <v>807</v>
      </c>
      <c r="C8" s="11" t="s">
        <v>807</v>
      </c>
      <c r="D8">
        <v>77177011</v>
      </c>
      <c r="H8" s="11"/>
    </row>
    <row r="9" spans="1:8" x14ac:dyDescent="0.25">
      <c r="A9" t="s">
        <v>328</v>
      </c>
      <c r="B9" s="11" t="s">
        <v>328</v>
      </c>
      <c r="C9" s="11" t="s">
        <v>328</v>
      </c>
      <c r="D9">
        <v>77917115</v>
      </c>
      <c r="H9" s="11"/>
    </row>
    <row r="10" spans="1:8" x14ac:dyDescent="0.25">
      <c r="A10" t="s">
        <v>146</v>
      </c>
      <c r="B10" s="11" t="s">
        <v>146</v>
      </c>
      <c r="C10" s="11" t="s">
        <v>146</v>
      </c>
      <c r="D10">
        <v>77401688</v>
      </c>
      <c r="H10" s="11"/>
    </row>
    <row r="11" spans="1:8" x14ac:dyDescent="0.25">
      <c r="A11" t="s">
        <v>110</v>
      </c>
      <c r="B11" s="11" t="s">
        <v>110</v>
      </c>
      <c r="C11" s="11" t="s">
        <v>110</v>
      </c>
      <c r="D11">
        <v>77185650</v>
      </c>
      <c r="H11" s="11"/>
    </row>
    <row r="12" spans="1:8" x14ac:dyDescent="0.25">
      <c r="A12" t="s">
        <v>114</v>
      </c>
      <c r="B12" s="11" t="s">
        <v>114</v>
      </c>
      <c r="C12" s="11" t="s">
        <v>114</v>
      </c>
      <c r="D12">
        <v>77268225</v>
      </c>
      <c r="H12" s="11"/>
    </row>
    <row r="13" spans="1:8" x14ac:dyDescent="0.25">
      <c r="A13" t="s">
        <v>3150</v>
      </c>
      <c r="B13" s="11" t="s">
        <v>181</v>
      </c>
      <c r="C13" s="11" t="s">
        <v>181</v>
      </c>
      <c r="D13">
        <v>77808222</v>
      </c>
      <c r="H13" s="11"/>
    </row>
    <row r="14" spans="1:8" x14ac:dyDescent="0.25">
      <c r="A14" t="s">
        <v>3151</v>
      </c>
      <c r="B14" s="11" t="s">
        <v>179</v>
      </c>
      <c r="C14" s="11" t="s">
        <v>179</v>
      </c>
      <c r="D14">
        <v>77585457</v>
      </c>
      <c r="H14" s="11"/>
    </row>
    <row r="15" spans="1:8" x14ac:dyDescent="0.25">
      <c r="A15" t="s">
        <v>3152</v>
      </c>
      <c r="B15" s="11" t="s">
        <v>144</v>
      </c>
      <c r="C15" s="11" t="s">
        <v>144</v>
      </c>
      <c r="D15">
        <v>77230643</v>
      </c>
      <c r="H15" s="11"/>
    </row>
    <row r="16" spans="1:8" x14ac:dyDescent="0.25">
      <c r="A16" t="s">
        <v>3153</v>
      </c>
      <c r="B16" s="11" t="s">
        <v>25</v>
      </c>
      <c r="C16" s="11" t="s">
        <v>25</v>
      </c>
      <c r="D16">
        <v>77912822</v>
      </c>
      <c r="H16" s="11"/>
    </row>
    <row r="17" spans="1:8" x14ac:dyDescent="0.25">
      <c r="A17" t="s">
        <v>185</v>
      </c>
      <c r="B17" s="11" t="s">
        <v>185</v>
      </c>
      <c r="C17" s="11" t="s">
        <v>185</v>
      </c>
      <c r="D17">
        <v>77383655</v>
      </c>
      <c r="H17" s="11"/>
    </row>
    <row r="18" spans="1:8" x14ac:dyDescent="0.25">
      <c r="A18" t="s">
        <v>31</v>
      </c>
      <c r="B18" s="11" t="s">
        <v>31</v>
      </c>
      <c r="C18" s="11" t="s">
        <v>31</v>
      </c>
      <c r="D18">
        <v>77792334</v>
      </c>
      <c r="H18" s="11"/>
    </row>
    <row r="19" spans="1:8" x14ac:dyDescent="0.25">
      <c r="A19" t="s">
        <v>29</v>
      </c>
      <c r="B19" s="11" t="s">
        <v>29</v>
      </c>
      <c r="C19" s="11" t="s">
        <v>29</v>
      </c>
      <c r="D19">
        <v>77858770</v>
      </c>
      <c r="H19" s="11"/>
    </row>
    <row r="20" spans="1:8" x14ac:dyDescent="0.25">
      <c r="A20" t="s">
        <v>187</v>
      </c>
      <c r="B20" s="11" t="s">
        <v>187</v>
      </c>
      <c r="C20" s="11" t="s">
        <v>187</v>
      </c>
      <c r="D20">
        <v>77234173</v>
      </c>
      <c r="H20" s="11"/>
    </row>
    <row r="21" spans="1:8" x14ac:dyDescent="0.25">
      <c r="A21" t="s">
        <v>33</v>
      </c>
      <c r="B21" s="11" t="s">
        <v>33</v>
      </c>
      <c r="C21" s="11" t="s">
        <v>33</v>
      </c>
      <c r="D21">
        <v>77299032</v>
      </c>
      <c r="H21" s="11"/>
    </row>
    <row r="22" spans="1:8" x14ac:dyDescent="0.25">
      <c r="A22" t="s">
        <v>166</v>
      </c>
      <c r="B22" s="11" t="s">
        <v>166</v>
      </c>
      <c r="C22" s="11" t="s">
        <v>166</v>
      </c>
      <c r="D22">
        <v>77066651</v>
      </c>
      <c r="H22" s="11"/>
    </row>
    <row r="23" spans="1:8" x14ac:dyDescent="0.25">
      <c r="A23" t="s">
        <v>154</v>
      </c>
      <c r="B23" s="11" t="s">
        <v>154</v>
      </c>
      <c r="C23" s="11" t="s">
        <v>154</v>
      </c>
      <c r="D23">
        <v>77015025</v>
      </c>
      <c r="H23" s="11"/>
    </row>
    <row r="24" spans="1:8" x14ac:dyDescent="0.25">
      <c r="A24" t="s">
        <v>98</v>
      </c>
      <c r="B24" s="11" t="s">
        <v>98</v>
      </c>
      <c r="C24" s="11" t="s">
        <v>98</v>
      </c>
      <c r="D24">
        <v>77987282</v>
      </c>
      <c r="H24" s="11"/>
    </row>
    <row r="25" spans="1:8" x14ac:dyDescent="0.25">
      <c r="A25" t="s">
        <v>104</v>
      </c>
      <c r="B25" s="11" t="s">
        <v>104</v>
      </c>
      <c r="C25" s="11" t="s">
        <v>104</v>
      </c>
      <c r="D25">
        <v>77774778</v>
      </c>
      <c r="H25" s="11"/>
    </row>
    <row r="26" spans="1:8" x14ac:dyDescent="0.25">
      <c r="A26" t="s">
        <v>138</v>
      </c>
      <c r="B26" s="11" t="s">
        <v>138</v>
      </c>
      <c r="C26" s="11" t="s">
        <v>138</v>
      </c>
      <c r="D26">
        <v>77884633</v>
      </c>
      <c r="H26" s="11"/>
    </row>
    <row r="27" spans="1:8" x14ac:dyDescent="0.25">
      <c r="A27" t="s">
        <v>136</v>
      </c>
      <c r="B27" s="11" t="s">
        <v>136</v>
      </c>
      <c r="C27" s="11" t="s">
        <v>136</v>
      </c>
      <c r="D27">
        <v>77890953</v>
      </c>
      <c r="H27" s="11"/>
    </row>
    <row r="28" spans="1:8" x14ac:dyDescent="0.25">
      <c r="A28" t="s">
        <v>23</v>
      </c>
      <c r="B28" s="11" t="s">
        <v>23</v>
      </c>
      <c r="C28" s="11" t="s">
        <v>23</v>
      </c>
      <c r="D28">
        <v>77093109</v>
      </c>
      <c r="H28" s="11"/>
    </row>
    <row r="29" spans="1:8" x14ac:dyDescent="0.25">
      <c r="A29" t="s">
        <v>3154</v>
      </c>
      <c r="B29" s="11" t="s">
        <v>27</v>
      </c>
      <c r="C29" s="11" t="s">
        <v>27</v>
      </c>
      <c r="D29">
        <v>77953164</v>
      </c>
      <c r="H29" s="11"/>
    </row>
    <row r="30" spans="1:8" x14ac:dyDescent="0.25">
      <c r="A30" t="s">
        <v>160</v>
      </c>
      <c r="B30" s="11" t="s">
        <v>160</v>
      </c>
      <c r="C30" s="11" t="s">
        <v>160</v>
      </c>
      <c r="D30">
        <v>77132996</v>
      </c>
      <c r="H30" s="11"/>
    </row>
    <row r="31" spans="1:8" x14ac:dyDescent="0.25">
      <c r="A31" t="s">
        <v>3155</v>
      </c>
      <c r="B31" s="11" t="s">
        <v>108</v>
      </c>
      <c r="C31" s="11" t="s">
        <v>108</v>
      </c>
      <c r="D31">
        <v>77193730</v>
      </c>
      <c r="H31" s="11"/>
    </row>
    <row r="32" spans="1:8" x14ac:dyDescent="0.25">
      <c r="A32" t="s">
        <v>112</v>
      </c>
      <c r="B32" s="11" t="s">
        <v>112</v>
      </c>
      <c r="C32" s="11" t="s">
        <v>112</v>
      </c>
      <c r="D32">
        <v>77931436</v>
      </c>
      <c r="H32" s="11"/>
    </row>
    <row r="33" spans="1:8" x14ac:dyDescent="0.25">
      <c r="A33" t="s">
        <v>102</v>
      </c>
      <c r="B33" s="11" t="s">
        <v>102</v>
      </c>
      <c r="C33" s="11" t="s">
        <v>102</v>
      </c>
      <c r="D33">
        <v>77262722</v>
      </c>
      <c r="H33" s="11"/>
    </row>
    <row r="34" spans="1:8" x14ac:dyDescent="0.25">
      <c r="A34" t="s">
        <v>3156</v>
      </c>
      <c r="B34" s="11" t="s">
        <v>66</v>
      </c>
      <c r="C34" s="11" t="s">
        <v>66</v>
      </c>
      <c r="D34">
        <v>77126562</v>
      </c>
      <c r="H34" s="11"/>
    </row>
    <row r="35" spans="1:8" x14ac:dyDescent="0.25">
      <c r="A35" t="s">
        <v>192</v>
      </c>
      <c r="B35" s="11" t="s">
        <v>192</v>
      </c>
      <c r="C35" s="11" t="s">
        <v>192</v>
      </c>
      <c r="D35">
        <v>77735944</v>
      </c>
      <c r="H35" s="11"/>
    </row>
    <row r="36" spans="1:8" x14ac:dyDescent="0.25">
      <c r="A36" t="s">
        <v>174</v>
      </c>
      <c r="B36" s="11" t="s">
        <v>174</v>
      </c>
      <c r="C36" s="11" t="s">
        <v>174</v>
      </c>
      <c r="D36">
        <v>77886962</v>
      </c>
      <c r="H36" s="11"/>
    </row>
    <row r="37" spans="1:8" x14ac:dyDescent="0.25">
      <c r="A37" t="s">
        <v>100</v>
      </c>
      <c r="B37" s="11" t="s">
        <v>100</v>
      </c>
      <c r="C37" s="11" t="s">
        <v>100</v>
      </c>
      <c r="D37">
        <v>77889656</v>
      </c>
      <c r="H37" s="11"/>
    </row>
    <row r="38" spans="1:8" x14ac:dyDescent="0.25">
      <c r="A38" t="s">
        <v>172</v>
      </c>
      <c r="B38" s="11" t="s">
        <v>172</v>
      </c>
      <c r="C38" s="11" t="s">
        <v>172</v>
      </c>
      <c r="D38">
        <v>77590489</v>
      </c>
      <c r="H38" s="11"/>
    </row>
    <row r="39" spans="1:8" x14ac:dyDescent="0.25">
      <c r="A39" t="s">
        <v>140</v>
      </c>
      <c r="B39" s="11" t="s">
        <v>140</v>
      </c>
      <c r="C39" s="11" t="s">
        <v>140</v>
      </c>
      <c r="D39">
        <v>77819465</v>
      </c>
      <c r="H39" s="11"/>
    </row>
    <row r="40" spans="1:8" x14ac:dyDescent="0.25">
      <c r="A40" t="s">
        <v>142</v>
      </c>
      <c r="B40" s="11" t="s">
        <v>142</v>
      </c>
      <c r="C40" s="11" t="s">
        <v>142</v>
      </c>
      <c r="D40">
        <v>77343148</v>
      </c>
      <c r="H40" s="11"/>
    </row>
    <row r="41" spans="1:8" x14ac:dyDescent="0.25">
      <c r="A41" t="s">
        <v>156</v>
      </c>
      <c r="B41" s="11" t="s">
        <v>156</v>
      </c>
      <c r="C41" s="11" t="s">
        <v>156</v>
      </c>
      <c r="D41">
        <v>77062002</v>
      </c>
      <c r="H41" s="11"/>
    </row>
    <row r="42" spans="1:8" x14ac:dyDescent="0.25">
      <c r="A42" t="s">
        <v>170</v>
      </c>
      <c r="B42" s="11" t="s">
        <v>170</v>
      </c>
      <c r="C42" s="11" t="s">
        <v>170</v>
      </c>
      <c r="D42">
        <v>77966116</v>
      </c>
      <c r="H42" s="11"/>
    </row>
    <row r="43" spans="1:8" x14ac:dyDescent="0.25">
      <c r="A43" t="s">
        <v>106</v>
      </c>
      <c r="B43" s="11" t="s">
        <v>106</v>
      </c>
      <c r="C43" s="11" t="s">
        <v>106</v>
      </c>
      <c r="D43">
        <v>77946707</v>
      </c>
      <c r="H43" s="11"/>
    </row>
    <row r="44" spans="1:8" x14ac:dyDescent="0.25">
      <c r="A44" t="s">
        <v>3157</v>
      </c>
      <c r="B44" s="11" t="s">
        <v>183</v>
      </c>
      <c r="C44" s="11" t="s">
        <v>183</v>
      </c>
      <c r="D44">
        <v>77479820</v>
      </c>
      <c r="H44" s="11"/>
    </row>
    <row r="45" spans="1:8" x14ac:dyDescent="0.25">
      <c r="A45" t="s">
        <v>194</v>
      </c>
      <c r="B45" s="11" t="s">
        <v>194</v>
      </c>
      <c r="C45" s="11" t="s">
        <v>194</v>
      </c>
      <c r="D45">
        <v>77328954</v>
      </c>
      <c r="H45" s="11"/>
    </row>
    <row r="46" spans="1:8" x14ac:dyDescent="0.25">
      <c r="A46" t="s">
        <v>150</v>
      </c>
      <c r="B46" s="11" t="s">
        <v>150</v>
      </c>
      <c r="C46" s="11" t="s">
        <v>150</v>
      </c>
      <c r="D46">
        <v>77696783</v>
      </c>
      <c r="H46" s="11"/>
    </row>
    <row r="47" spans="1:8" x14ac:dyDescent="0.25">
      <c r="A47" t="s">
        <v>162</v>
      </c>
      <c r="B47" s="11" t="s">
        <v>162</v>
      </c>
      <c r="C47" s="11" t="s">
        <v>162</v>
      </c>
      <c r="D47">
        <v>77155035</v>
      </c>
      <c r="H47" s="11"/>
    </row>
    <row r="48" spans="1:8" x14ac:dyDescent="0.25">
      <c r="A48" t="s">
        <v>3158</v>
      </c>
      <c r="B48" s="11" t="s">
        <v>164</v>
      </c>
      <c r="C48" s="11" t="s">
        <v>164</v>
      </c>
      <c r="D48">
        <v>77783727</v>
      </c>
      <c r="H48" s="11"/>
    </row>
    <row r="49" spans="1:8" x14ac:dyDescent="0.25">
      <c r="A49" t="s">
        <v>190</v>
      </c>
      <c r="B49" s="11" t="s">
        <v>190</v>
      </c>
      <c r="C49" s="11" t="s">
        <v>190</v>
      </c>
      <c r="D49">
        <v>77278600</v>
      </c>
      <c r="H49" s="11"/>
    </row>
    <row r="50" spans="1:8" x14ac:dyDescent="0.25">
      <c r="A50" t="s">
        <v>152</v>
      </c>
      <c r="B50" s="11" t="s">
        <v>152</v>
      </c>
      <c r="C50" s="11" t="s">
        <v>152</v>
      </c>
      <c r="D50">
        <v>77197430</v>
      </c>
      <c r="H50" s="11"/>
    </row>
    <row r="51" spans="1:8" x14ac:dyDescent="0.25">
      <c r="A51" t="s">
        <v>21</v>
      </c>
      <c r="B51" s="11" t="s">
        <v>21</v>
      </c>
      <c r="C51" s="11" t="s">
        <v>21</v>
      </c>
      <c r="D51">
        <v>77014921</v>
      </c>
      <c r="H51" s="11"/>
    </row>
    <row r="52" spans="1:8" x14ac:dyDescent="0.25">
      <c r="A52" t="s">
        <v>90</v>
      </c>
      <c r="B52" s="11" t="s">
        <v>90</v>
      </c>
      <c r="C52" s="11" t="s">
        <v>90</v>
      </c>
      <c r="D52">
        <v>77497498</v>
      </c>
      <c r="H52" s="11"/>
    </row>
    <row r="53" spans="1:8" x14ac:dyDescent="0.25">
      <c r="A53" t="s">
        <v>88</v>
      </c>
      <c r="B53" s="11" t="s">
        <v>88</v>
      </c>
      <c r="C53" s="11" t="s">
        <v>88</v>
      </c>
      <c r="D53">
        <v>77471467</v>
      </c>
      <c r="H53" s="11"/>
    </row>
    <row r="54" spans="1:8" x14ac:dyDescent="0.25">
      <c r="A54" t="s">
        <v>92</v>
      </c>
      <c r="B54" s="11" t="s">
        <v>92</v>
      </c>
      <c r="C54" s="11" t="s">
        <v>92</v>
      </c>
      <c r="D54">
        <v>77931598</v>
      </c>
      <c r="H54" s="11"/>
    </row>
    <row r="55" spans="1:8" x14ac:dyDescent="0.25">
      <c r="A55" t="s">
        <v>86</v>
      </c>
      <c r="B55" s="11" t="s">
        <v>86</v>
      </c>
      <c r="C55" s="11" t="s">
        <v>86</v>
      </c>
      <c r="D55">
        <v>77686563</v>
      </c>
      <c r="H55" s="11"/>
    </row>
    <row r="56" spans="1:8" x14ac:dyDescent="0.25">
      <c r="A56" t="s">
        <v>175</v>
      </c>
      <c r="B56" s="11" t="s">
        <v>175</v>
      </c>
      <c r="C56" s="11" t="s">
        <v>175</v>
      </c>
      <c r="D56">
        <v>77773364</v>
      </c>
      <c r="H56" s="11"/>
    </row>
    <row r="57" spans="1:8" x14ac:dyDescent="0.25">
      <c r="A57" t="s">
        <v>496</v>
      </c>
      <c r="B57" s="11" t="s">
        <v>496</v>
      </c>
      <c r="C57" s="11" t="s">
        <v>496</v>
      </c>
      <c r="D57">
        <v>77294447</v>
      </c>
      <c r="H57" s="11"/>
    </row>
    <row r="58" spans="1:8" x14ac:dyDescent="0.25">
      <c r="A58" t="s">
        <v>3159</v>
      </c>
      <c r="B58" s="11" t="s">
        <v>39</v>
      </c>
      <c r="C58" s="11" t="s">
        <v>39</v>
      </c>
      <c r="D58">
        <v>77158450</v>
      </c>
      <c r="H58" s="11"/>
    </row>
    <row r="59" spans="1:8" x14ac:dyDescent="0.25">
      <c r="A59" t="s">
        <v>40</v>
      </c>
      <c r="B59" s="11" t="s">
        <v>40</v>
      </c>
      <c r="C59" s="11" t="s">
        <v>40</v>
      </c>
      <c r="D59">
        <v>77229020</v>
      </c>
      <c r="H59" s="11"/>
    </row>
    <row r="60" spans="1:8" x14ac:dyDescent="0.25">
      <c r="A60" t="s">
        <v>424</v>
      </c>
      <c r="B60" s="11" t="s">
        <v>424</v>
      </c>
      <c r="C60" s="11" t="s">
        <v>424</v>
      </c>
      <c r="D60">
        <v>77866063</v>
      </c>
      <c r="H60" s="11"/>
    </row>
    <row r="61" spans="1:8" x14ac:dyDescent="0.25">
      <c r="A61" t="s">
        <v>1114</v>
      </c>
      <c r="B61" s="11" t="s">
        <v>1114</v>
      </c>
      <c r="C61" s="11" t="s">
        <v>1114</v>
      </c>
      <c r="D61">
        <v>77008964</v>
      </c>
      <c r="H61" s="11"/>
    </row>
    <row r="62" spans="1:8" x14ac:dyDescent="0.25">
      <c r="A62" t="s">
        <v>3160</v>
      </c>
      <c r="B62" s="11" t="s">
        <v>1112</v>
      </c>
      <c r="C62" s="11" t="s">
        <v>1112</v>
      </c>
      <c r="D62">
        <v>77151841</v>
      </c>
      <c r="H62" s="11"/>
    </row>
    <row r="63" spans="1:8" x14ac:dyDescent="0.25">
      <c r="A63" t="s">
        <v>3161</v>
      </c>
      <c r="B63" s="11" t="s">
        <v>1113</v>
      </c>
      <c r="C63" s="11" t="s">
        <v>1113</v>
      </c>
      <c r="D63">
        <v>77545223</v>
      </c>
      <c r="H63" s="11"/>
    </row>
    <row r="64" spans="1:8" x14ac:dyDescent="0.25">
      <c r="A64" t="s">
        <v>3162</v>
      </c>
      <c r="B64" s="11" t="s">
        <v>270</v>
      </c>
      <c r="C64" s="11" t="s">
        <v>270</v>
      </c>
      <c r="D64">
        <v>77985222</v>
      </c>
      <c r="H64" s="11"/>
    </row>
    <row r="65" spans="1:8" x14ac:dyDescent="0.25">
      <c r="A65" t="s">
        <v>60</v>
      </c>
      <c r="B65" s="11" t="s">
        <v>60</v>
      </c>
      <c r="C65" s="11" t="s">
        <v>60</v>
      </c>
      <c r="D65">
        <v>77393737</v>
      </c>
      <c r="H65" s="11"/>
    </row>
    <row r="66" spans="1:8" x14ac:dyDescent="0.25">
      <c r="A66" t="s">
        <v>56</v>
      </c>
      <c r="B66" s="11" t="s">
        <v>56</v>
      </c>
      <c r="C66" s="11" t="s">
        <v>56</v>
      </c>
      <c r="D66">
        <v>77956138</v>
      </c>
      <c r="H66" s="11"/>
    </row>
    <row r="67" spans="1:8" x14ac:dyDescent="0.25">
      <c r="A67" t="s">
        <v>3163</v>
      </c>
      <c r="B67" s="11" t="s">
        <v>1062</v>
      </c>
      <c r="C67" s="11" t="s">
        <v>1062</v>
      </c>
      <c r="D67">
        <v>77096542</v>
      </c>
      <c r="H67" s="11"/>
    </row>
    <row r="68" spans="1:8" x14ac:dyDescent="0.25">
      <c r="A68" t="s">
        <v>3164</v>
      </c>
      <c r="B68" s="11" t="s">
        <v>876</v>
      </c>
      <c r="C68" s="11" t="s">
        <v>876</v>
      </c>
      <c r="D68">
        <v>77818740</v>
      </c>
      <c r="H68" s="11"/>
    </row>
    <row r="69" spans="1:8" x14ac:dyDescent="0.25">
      <c r="A69" t="s">
        <v>874</v>
      </c>
      <c r="B69" s="11" t="s">
        <v>874</v>
      </c>
      <c r="C69" s="11" t="s">
        <v>874</v>
      </c>
      <c r="D69">
        <v>77297950</v>
      </c>
      <c r="H69" s="11"/>
    </row>
    <row r="70" spans="1:8" x14ac:dyDescent="0.25">
      <c r="A70" t="s">
        <v>6</v>
      </c>
      <c r="B70" s="11" t="s">
        <v>6</v>
      </c>
      <c r="C70" s="11" t="s">
        <v>6</v>
      </c>
      <c r="D70">
        <v>77937535</v>
      </c>
      <c r="H70" s="11"/>
    </row>
    <row r="71" spans="1:8" x14ac:dyDescent="0.25">
      <c r="A71" t="s">
        <v>58</v>
      </c>
      <c r="B71" s="11" t="s">
        <v>58</v>
      </c>
      <c r="C71" s="11" t="s">
        <v>58</v>
      </c>
      <c r="D71">
        <v>77579366</v>
      </c>
      <c r="H71" s="11"/>
    </row>
    <row r="72" spans="1:8" x14ac:dyDescent="0.25">
      <c r="A72" t="s">
        <v>80</v>
      </c>
      <c r="B72" s="11" t="s">
        <v>80</v>
      </c>
      <c r="C72" s="11" t="s">
        <v>80</v>
      </c>
      <c r="D72">
        <v>77175298</v>
      </c>
      <c r="H72" s="11"/>
    </row>
    <row r="73" spans="1:8" x14ac:dyDescent="0.25">
      <c r="A73" t="s">
        <v>3165</v>
      </c>
      <c r="B73" s="11" t="s">
        <v>380</v>
      </c>
      <c r="C73" s="11" t="s">
        <v>380</v>
      </c>
      <c r="D73">
        <v>77840570</v>
      </c>
      <c r="H73" s="11"/>
    </row>
    <row r="74" spans="1:8" x14ac:dyDescent="0.25">
      <c r="A74" t="s">
        <v>3166</v>
      </c>
      <c r="B74" s="11" t="s">
        <v>372</v>
      </c>
      <c r="C74" s="11" t="s">
        <v>372</v>
      </c>
      <c r="D74">
        <v>77917050</v>
      </c>
      <c r="H74" s="11"/>
    </row>
    <row r="75" spans="1:8" x14ac:dyDescent="0.25">
      <c r="A75" t="s">
        <v>3167</v>
      </c>
      <c r="B75" s="11" t="s">
        <v>506</v>
      </c>
      <c r="C75" s="11" t="s">
        <v>506</v>
      </c>
      <c r="D75">
        <v>77410315</v>
      </c>
      <c r="H75" s="11"/>
    </row>
    <row r="76" spans="1:8" x14ac:dyDescent="0.25">
      <c r="A76" t="s">
        <v>498</v>
      </c>
      <c r="B76" s="11" t="s">
        <v>498</v>
      </c>
      <c r="C76" s="11" t="s">
        <v>498</v>
      </c>
      <c r="D76">
        <v>77488568</v>
      </c>
      <c r="H76" s="11"/>
    </row>
    <row r="77" spans="1:8" x14ac:dyDescent="0.25">
      <c r="A77" t="s">
        <v>3168</v>
      </c>
      <c r="B77" s="11" t="s">
        <v>500</v>
      </c>
      <c r="C77" s="11" t="s">
        <v>500</v>
      </c>
      <c r="D77">
        <v>77054041</v>
      </c>
      <c r="H77" s="11"/>
    </row>
    <row r="78" spans="1:8" x14ac:dyDescent="0.25">
      <c r="A78" t="s">
        <v>502</v>
      </c>
      <c r="B78" s="11" t="s">
        <v>502</v>
      </c>
      <c r="C78" s="11" t="s">
        <v>502</v>
      </c>
      <c r="D78">
        <v>77409119</v>
      </c>
      <c r="H78" s="11"/>
    </row>
    <row r="79" spans="1:8" x14ac:dyDescent="0.25">
      <c r="A79" t="s">
        <v>504</v>
      </c>
      <c r="B79" s="11" t="s">
        <v>504</v>
      </c>
      <c r="C79" s="11" t="s">
        <v>504</v>
      </c>
      <c r="D79">
        <v>77351214</v>
      </c>
      <c r="H79" s="11"/>
    </row>
    <row r="80" spans="1:8" x14ac:dyDescent="0.25">
      <c r="A80" t="s">
        <v>72</v>
      </c>
      <c r="B80" s="11" t="s">
        <v>72</v>
      </c>
      <c r="C80" s="11" t="s">
        <v>72</v>
      </c>
      <c r="D80">
        <v>77337392</v>
      </c>
      <c r="H80" s="11"/>
    </row>
    <row r="81" spans="1:8" x14ac:dyDescent="0.25">
      <c r="A81" t="s">
        <v>84</v>
      </c>
      <c r="B81" s="11" t="s">
        <v>84</v>
      </c>
      <c r="C81" s="11" t="s">
        <v>84</v>
      </c>
      <c r="D81">
        <v>77306404</v>
      </c>
      <c r="H81" s="11"/>
    </row>
    <row r="82" spans="1:8" x14ac:dyDescent="0.25">
      <c r="A82" t="s">
        <v>3169</v>
      </c>
      <c r="B82" s="11" t="s">
        <v>64</v>
      </c>
      <c r="C82" s="11" t="s">
        <v>64</v>
      </c>
      <c r="D82">
        <v>77595718</v>
      </c>
      <c r="H82" s="11"/>
    </row>
    <row r="83" spans="1:8" x14ac:dyDescent="0.25">
      <c r="A83" t="s">
        <v>438</v>
      </c>
      <c r="B83" s="11" t="s">
        <v>438</v>
      </c>
      <c r="C83" s="11" t="s">
        <v>438</v>
      </c>
      <c r="D83">
        <v>77567210</v>
      </c>
      <c r="H83" s="11"/>
    </row>
    <row r="84" spans="1:8" x14ac:dyDescent="0.25">
      <c r="A84" t="s">
        <v>3170</v>
      </c>
      <c r="B84" s="11" t="s">
        <v>348</v>
      </c>
      <c r="C84" s="11" t="s">
        <v>348</v>
      </c>
      <c r="D84">
        <v>77493894</v>
      </c>
      <c r="H84" s="11"/>
    </row>
    <row r="85" spans="1:8" x14ac:dyDescent="0.25">
      <c r="A85" t="s">
        <v>74</v>
      </c>
      <c r="B85" s="11" t="s">
        <v>74</v>
      </c>
      <c r="C85" s="11" t="s">
        <v>74</v>
      </c>
      <c r="D85">
        <v>77363659</v>
      </c>
      <c r="H85" s="11"/>
    </row>
    <row r="86" spans="1:8" x14ac:dyDescent="0.25">
      <c r="A86" t="s">
        <v>3171</v>
      </c>
      <c r="B86" s="11" t="s">
        <v>68</v>
      </c>
      <c r="C86" s="11" t="s">
        <v>68</v>
      </c>
      <c r="D86">
        <v>77647860</v>
      </c>
      <c r="H86" s="11"/>
    </row>
    <row r="87" spans="1:8" x14ac:dyDescent="0.25">
      <c r="A87" t="s">
        <v>350</v>
      </c>
      <c r="B87" s="11" t="s">
        <v>350</v>
      </c>
      <c r="C87" s="11" t="s">
        <v>350</v>
      </c>
      <c r="D87">
        <v>77545744</v>
      </c>
      <c r="H87" s="11"/>
    </row>
    <row r="88" spans="1:8" x14ac:dyDescent="0.25">
      <c r="A88" t="s">
        <v>62</v>
      </c>
      <c r="B88" s="11" t="s">
        <v>62</v>
      </c>
      <c r="C88" s="11" t="s">
        <v>62</v>
      </c>
      <c r="D88">
        <v>77792914</v>
      </c>
      <c r="H88" s="11"/>
    </row>
    <row r="89" spans="1:8" x14ac:dyDescent="0.25">
      <c r="A89" t="s">
        <v>902</v>
      </c>
      <c r="B89" s="11" t="s">
        <v>902</v>
      </c>
      <c r="C89" s="11" t="s">
        <v>902</v>
      </c>
      <c r="D89">
        <v>77082499</v>
      </c>
      <c r="H89" s="11"/>
    </row>
    <row r="90" spans="1:8" x14ac:dyDescent="0.25">
      <c r="A90" t="s">
        <v>82</v>
      </c>
      <c r="B90" s="11" t="s">
        <v>82</v>
      </c>
      <c r="C90" s="11" t="s">
        <v>82</v>
      </c>
      <c r="D90">
        <v>77391978</v>
      </c>
      <c r="H90" s="11"/>
    </row>
    <row r="91" spans="1:8" x14ac:dyDescent="0.25">
      <c r="A91" t="s">
        <v>3172</v>
      </c>
      <c r="B91" s="11" t="s">
        <v>897</v>
      </c>
      <c r="C91" s="11" t="s">
        <v>897</v>
      </c>
      <c r="D91">
        <v>77461643</v>
      </c>
      <c r="H91" s="11"/>
    </row>
    <row r="92" spans="1:8" x14ac:dyDescent="0.25">
      <c r="A92" t="s">
        <v>3173</v>
      </c>
      <c r="B92" s="11" t="s">
        <v>739</v>
      </c>
      <c r="C92" s="11" t="s">
        <v>739</v>
      </c>
      <c r="D92">
        <v>77493976</v>
      </c>
      <c r="H92" s="11"/>
    </row>
    <row r="93" spans="1:8" x14ac:dyDescent="0.25">
      <c r="A93" t="s">
        <v>3174</v>
      </c>
      <c r="B93" s="11" t="s">
        <v>741</v>
      </c>
      <c r="C93" s="11" t="s">
        <v>741</v>
      </c>
      <c r="D93">
        <v>77605367</v>
      </c>
      <c r="H93" s="11"/>
    </row>
    <row r="94" spans="1:8" x14ac:dyDescent="0.25">
      <c r="A94" t="s">
        <v>3175</v>
      </c>
      <c r="B94" s="11" t="s">
        <v>878</v>
      </c>
      <c r="C94" s="11" t="s">
        <v>878</v>
      </c>
      <c r="D94">
        <v>77476018</v>
      </c>
      <c r="H94" s="11"/>
    </row>
    <row r="95" spans="1:8" x14ac:dyDescent="0.25">
      <c r="A95" t="s">
        <v>364</v>
      </c>
      <c r="B95" s="11" t="s">
        <v>364</v>
      </c>
      <c r="C95" s="11" t="s">
        <v>364</v>
      </c>
      <c r="D95">
        <v>77555032</v>
      </c>
      <c r="H95" s="11"/>
    </row>
    <row r="96" spans="1:8" x14ac:dyDescent="0.25">
      <c r="A96" t="s">
        <v>360</v>
      </c>
      <c r="B96" s="11" t="s">
        <v>360</v>
      </c>
      <c r="C96" s="11" t="s">
        <v>360</v>
      </c>
      <c r="D96">
        <v>77306968</v>
      </c>
      <c r="H96" s="11"/>
    </row>
    <row r="97" spans="1:8" x14ac:dyDescent="0.25">
      <c r="A97" t="s">
        <v>358</v>
      </c>
      <c r="B97" s="11" t="s">
        <v>358</v>
      </c>
      <c r="C97" s="11" t="s">
        <v>358</v>
      </c>
      <c r="D97">
        <v>77337420</v>
      </c>
      <c r="H97" s="11"/>
    </row>
    <row r="98" spans="1:8" x14ac:dyDescent="0.25">
      <c r="A98" t="s">
        <v>362</v>
      </c>
      <c r="B98" s="11" t="s">
        <v>362</v>
      </c>
      <c r="C98" s="11" t="s">
        <v>362</v>
      </c>
      <c r="D98">
        <v>77133726</v>
      </c>
      <c r="H98" s="11"/>
    </row>
    <row r="99" spans="1:8" x14ac:dyDescent="0.25">
      <c r="A99" t="s">
        <v>94</v>
      </c>
      <c r="B99" s="11" t="s">
        <v>94</v>
      </c>
      <c r="C99" s="11" t="s">
        <v>94</v>
      </c>
      <c r="D99">
        <v>77451962</v>
      </c>
      <c r="H99" s="11"/>
    </row>
    <row r="100" spans="1:8" x14ac:dyDescent="0.25">
      <c r="A100" t="s">
        <v>612</v>
      </c>
      <c r="B100" s="11" t="s">
        <v>612</v>
      </c>
      <c r="C100" s="11" t="s">
        <v>612</v>
      </c>
      <c r="D100">
        <v>77881063</v>
      </c>
      <c r="H100" s="11"/>
    </row>
    <row r="101" spans="1:8" x14ac:dyDescent="0.25">
      <c r="A101" t="s">
        <v>610</v>
      </c>
      <c r="B101" s="11" t="s">
        <v>610</v>
      </c>
      <c r="C101" s="11" t="s">
        <v>610</v>
      </c>
      <c r="D101">
        <v>77541833</v>
      </c>
      <c r="H101" s="11"/>
    </row>
    <row r="102" spans="1:8" x14ac:dyDescent="0.25">
      <c r="A102" t="s">
        <v>442</v>
      </c>
      <c r="B102" s="11" t="s">
        <v>442</v>
      </c>
      <c r="C102" s="11" t="s">
        <v>442</v>
      </c>
      <c r="D102">
        <v>77967711</v>
      </c>
      <c r="H102" s="11"/>
    </row>
    <row r="103" spans="1:8" x14ac:dyDescent="0.25">
      <c r="A103" t="s">
        <v>440</v>
      </c>
      <c r="B103" s="11" t="s">
        <v>440</v>
      </c>
      <c r="C103" s="11" t="s">
        <v>440</v>
      </c>
      <c r="D103">
        <v>77323583</v>
      </c>
      <c r="H103" s="11"/>
    </row>
    <row r="104" spans="1:8" x14ac:dyDescent="0.25">
      <c r="A104" t="s">
        <v>614</v>
      </c>
      <c r="B104" s="11" t="s">
        <v>614</v>
      </c>
      <c r="C104" s="11" t="s">
        <v>614</v>
      </c>
      <c r="D104">
        <v>77587586</v>
      </c>
      <c r="H104" s="11"/>
    </row>
    <row r="105" spans="1:8" x14ac:dyDescent="0.25">
      <c r="A105" t="s">
        <v>608</v>
      </c>
      <c r="B105" s="11" t="s">
        <v>608</v>
      </c>
      <c r="C105" s="11" t="s">
        <v>608</v>
      </c>
      <c r="D105">
        <v>77053314</v>
      </c>
      <c r="H105" s="11"/>
    </row>
    <row r="106" spans="1:8" x14ac:dyDescent="0.25">
      <c r="A106" t="s">
        <v>48</v>
      </c>
      <c r="B106" s="11" t="s">
        <v>48</v>
      </c>
      <c r="C106" s="11" t="s">
        <v>48</v>
      </c>
      <c r="D106">
        <v>77167619</v>
      </c>
      <c r="H106" s="11"/>
    </row>
    <row r="107" spans="1:8" x14ac:dyDescent="0.25">
      <c r="A107" t="s">
        <v>211</v>
      </c>
      <c r="B107" s="11" t="s">
        <v>211</v>
      </c>
      <c r="C107" s="11" t="s">
        <v>211</v>
      </c>
      <c r="D107">
        <v>77068550</v>
      </c>
      <c r="H107" s="11"/>
    </row>
    <row r="108" spans="1:8" x14ac:dyDescent="0.25">
      <c r="A108" t="s">
        <v>203</v>
      </c>
      <c r="B108" s="11" t="s">
        <v>203</v>
      </c>
      <c r="C108" s="11" t="s">
        <v>203</v>
      </c>
      <c r="D108">
        <v>77086604</v>
      </c>
      <c r="H108" s="11"/>
    </row>
    <row r="109" spans="1:8" x14ac:dyDescent="0.25">
      <c r="A109" t="s">
        <v>205</v>
      </c>
      <c r="B109" s="11" t="s">
        <v>205</v>
      </c>
      <c r="C109" s="11" t="s">
        <v>205</v>
      </c>
      <c r="D109">
        <v>77345927</v>
      </c>
      <c r="H109" s="11"/>
    </row>
    <row r="110" spans="1:8" x14ac:dyDescent="0.25">
      <c r="A110" t="s">
        <v>209</v>
      </c>
      <c r="B110" s="11" t="s">
        <v>209</v>
      </c>
      <c r="C110" s="11" t="s">
        <v>209</v>
      </c>
      <c r="D110">
        <v>77557873</v>
      </c>
      <c r="H110" s="11"/>
    </row>
    <row r="111" spans="1:8" x14ac:dyDescent="0.25">
      <c r="A111" t="s">
        <v>207</v>
      </c>
      <c r="B111" s="11" t="s">
        <v>207</v>
      </c>
      <c r="C111" s="11" t="s">
        <v>207</v>
      </c>
      <c r="D111">
        <v>77828376</v>
      </c>
      <c r="H111" s="11"/>
    </row>
    <row r="112" spans="1:8" x14ac:dyDescent="0.25">
      <c r="A112" t="s">
        <v>374</v>
      </c>
      <c r="B112" s="11" t="s">
        <v>374</v>
      </c>
      <c r="C112" s="11" t="s">
        <v>374</v>
      </c>
      <c r="D112">
        <v>77391025</v>
      </c>
      <c r="H112" s="11"/>
    </row>
    <row r="113" spans="1:8" x14ac:dyDescent="0.25">
      <c r="A113" t="s">
        <v>587</v>
      </c>
      <c r="B113" s="11" t="s">
        <v>587</v>
      </c>
      <c r="C113" s="11" t="s">
        <v>587</v>
      </c>
      <c r="D113">
        <v>77738811</v>
      </c>
      <c r="H113" s="11"/>
    </row>
    <row r="114" spans="1:8" x14ac:dyDescent="0.25">
      <c r="A114" t="s">
        <v>3176</v>
      </c>
      <c r="B114" s="11" t="s">
        <v>381</v>
      </c>
      <c r="C114" s="11" t="s">
        <v>381</v>
      </c>
      <c r="D114">
        <v>77778052</v>
      </c>
      <c r="H114" s="11"/>
    </row>
    <row r="115" spans="1:8" x14ac:dyDescent="0.25">
      <c r="A115" t="s">
        <v>221</v>
      </c>
      <c r="B115" s="11" t="s">
        <v>221</v>
      </c>
      <c r="C115" s="11" t="s">
        <v>221</v>
      </c>
      <c r="D115">
        <v>77416748</v>
      </c>
      <c r="H115" s="11"/>
    </row>
    <row r="116" spans="1:8" x14ac:dyDescent="0.25">
      <c r="A116" t="s">
        <v>261</v>
      </c>
      <c r="B116" s="11" t="s">
        <v>261</v>
      </c>
      <c r="C116" s="11" t="s">
        <v>261</v>
      </c>
      <c r="D116">
        <v>77430211</v>
      </c>
      <c r="H116" s="11"/>
    </row>
    <row r="117" spans="1:8" x14ac:dyDescent="0.25">
      <c r="A117" t="s">
        <v>260</v>
      </c>
      <c r="B117" s="11" t="s">
        <v>260</v>
      </c>
      <c r="C117" s="11" t="s">
        <v>260</v>
      </c>
      <c r="D117">
        <v>77140956</v>
      </c>
      <c r="H117" s="11"/>
    </row>
    <row r="118" spans="1:8" x14ac:dyDescent="0.25">
      <c r="A118" t="s">
        <v>3177</v>
      </c>
      <c r="B118" s="11" t="s">
        <v>264</v>
      </c>
      <c r="C118" s="11" t="s">
        <v>264</v>
      </c>
      <c r="D118">
        <v>77944171</v>
      </c>
      <c r="H118" s="11"/>
    </row>
    <row r="119" spans="1:8" x14ac:dyDescent="0.25">
      <c r="A119" t="s">
        <v>3178</v>
      </c>
      <c r="B119" s="11" t="s">
        <v>262</v>
      </c>
      <c r="C119" s="11" t="s">
        <v>262</v>
      </c>
      <c r="D119">
        <v>77911685</v>
      </c>
      <c r="H119" s="11"/>
    </row>
    <row r="120" spans="1:8" x14ac:dyDescent="0.25">
      <c r="A120" t="s">
        <v>3179</v>
      </c>
      <c r="B120" s="11" t="s">
        <v>263</v>
      </c>
      <c r="C120" s="11" t="s">
        <v>263</v>
      </c>
      <c r="D120">
        <v>77263143</v>
      </c>
      <c r="H120" s="11"/>
    </row>
    <row r="121" spans="1:8" x14ac:dyDescent="0.25">
      <c r="A121" t="s">
        <v>54</v>
      </c>
      <c r="B121" s="11" t="s">
        <v>54</v>
      </c>
      <c r="C121" s="11" t="s">
        <v>54</v>
      </c>
      <c r="D121">
        <v>77442939</v>
      </c>
      <c r="H121" s="11"/>
    </row>
    <row r="122" spans="1:8" x14ac:dyDescent="0.25">
      <c r="A122" t="s">
        <v>52</v>
      </c>
      <c r="B122" s="11" t="s">
        <v>52</v>
      </c>
      <c r="C122" s="11" t="s">
        <v>52</v>
      </c>
      <c r="D122">
        <v>77266610</v>
      </c>
      <c r="H122" s="11"/>
    </row>
    <row r="123" spans="1:8" x14ac:dyDescent="0.25">
      <c r="A123" t="s">
        <v>96</v>
      </c>
      <c r="B123" s="11" t="s">
        <v>96</v>
      </c>
      <c r="C123" s="11" t="s">
        <v>96</v>
      </c>
      <c r="D123">
        <v>77941767</v>
      </c>
      <c r="H123" s="11"/>
    </row>
    <row r="124" spans="1:8" x14ac:dyDescent="0.25">
      <c r="A124" t="s">
        <v>268</v>
      </c>
      <c r="B124" s="11" t="s">
        <v>268</v>
      </c>
      <c r="C124" s="11" t="s">
        <v>268</v>
      </c>
      <c r="D124">
        <v>77580365</v>
      </c>
      <c r="H124" s="11"/>
    </row>
    <row r="125" spans="1:8" x14ac:dyDescent="0.25">
      <c r="A125" t="s">
        <v>936</v>
      </c>
      <c r="B125" s="11" t="s">
        <v>936</v>
      </c>
      <c r="C125" s="11" t="s">
        <v>936</v>
      </c>
      <c r="D125">
        <v>77823755</v>
      </c>
      <c r="H125" s="11"/>
    </row>
    <row r="126" spans="1:8" x14ac:dyDescent="0.25">
      <c r="A126" t="s">
        <v>3180</v>
      </c>
      <c r="B126" s="11" t="s">
        <v>795</v>
      </c>
      <c r="C126" s="11" t="s">
        <v>795</v>
      </c>
      <c r="D126">
        <v>77292077</v>
      </c>
      <c r="H126" s="11"/>
    </row>
    <row r="127" spans="1:8" x14ac:dyDescent="0.25">
      <c r="A127" t="s">
        <v>70</v>
      </c>
      <c r="B127" s="11" t="s">
        <v>70</v>
      </c>
      <c r="C127" s="11" t="s">
        <v>70</v>
      </c>
      <c r="D127">
        <v>77427042</v>
      </c>
      <c r="H127" s="11"/>
    </row>
    <row r="128" spans="1:8" x14ac:dyDescent="0.25">
      <c r="A128" t="s">
        <v>44</v>
      </c>
      <c r="B128" s="11" t="s">
        <v>44</v>
      </c>
      <c r="C128" s="11" t="s">
        <v>44</v>
      </c>
      <c r="D128">
        <v>77441611</v>
      </c>
      <c r="H128" s="11"/>
    </row>
    <row r="129" spans="1:8" x14ac:dyDescent="0.25">
      <c r="A129" t="s">
        <v>1171</v>
      </c>
      <c r="B129" s="11" t="s">
        <v>1171</v>
      </c>
      <c r="C129" s="11" t="s">
        <v>1171</v>
      </c>
      <c r="D129">
        <v>77640050</v>
      </c>
      <c r="H129" s="11"/>
    </row>
    <row r="130" spans="1:8" x14ac:dyDescent="0.25">
      <c r="A130" t="s">
        <v>1165</v>
      </c>
      <c r="B130" s="11" t="s">
        <v>1165</v>
      </c>
      <c r="C130" s="11" t="s">
        <v>1165</v>
      </c>
      <c r="D130">
        <v>77658592</v>
      </c>
      <c r="H130" s="11"/>
    </row>
    <row r="131" spans="1:8" x14ac:dyDescent="0.25">
      <c r="A131" t="s">
        <v>250</v>
      </c>
      <c r="B131" s="11" t="s">
        <v>250</v>
      </c>
      <c r="C131" s="11" t="s">
        <v>250</v>
      </c>
      <c r="D131">
        <v>77664773</v>
      </c>
      <c r="H131" s="11"/>
    </row>
    <row r="132" spans="1:8" x14ac:dyDescent="0.25">
      <c r="A132" t="s">
        <v>234</v>
      </c>
      <c r="B132" s="11" t="s">
        <v>234</v>
      </c>
      <c r="C132" s="11" t="s">
        <v>234</v>
      </c>
      <c r="D132">
        <v>77361783</v>
      </c>
      <c r="H132" s="11"/>
    </row>
    <row r="133" spans="1:8" x14ac:dyDescent="0.25">
      <c r="A133" t="s">
        <v>3181</v>
      </c>
      <c r="B133" s="11" t="s">
        <v>508</v>
      </c>
      <c r="C133" s="11" t="s">
        <v>508</v>
      </c>
      <c r="D133">
        <v>77009529</v>
      </c>
      <c r="H133" s="11"/>
    </row>
    <row r="134" spans="1:8" x14ac:dyDescent="0.25">
      <c r="A134" t="s">
        <v>3182</v>
      </c>
      <c r="B134" s="11" t="s">
        <v>339</v>
      </c>
      <c r="C134" s="11" t="s">
        <v>339</v>
      </c>
      <c r="D134">
        <v>77122510</v>
      </c>
      <c r="H134" s="11"/>
    </row>
    <row r="135" spans="1:8" x14ac:dyDescent="0.25">
      <c r="A135" t="s">
        <v>337</v>
      </c>
      <c r="B135" s="11" t="s">
        <v>337</v>
      </c>
      <c r="C135" s="11" t="s">
        <v>337</v>
      </c>
      <c r="D135">
        <v>77568993</v>
      </c>
      <c r="H135" s="11"/>
    </row>
    <row r="136" spans="1:8" x14ac:dyDescent="0.25">
      <c r="A136" t="s">
        <v>3183</v>
      </c>
      <c r="B136" s="11" t="s">
        <v>537</v>
      </c>
      <c r="C136" s="11" t="s">
        <v>537</v>
      </c>
      <c r="D136">
        <v>77896165</v>
      </c>
      <c r="H136" s="11"/>
    </row>
    <row r="137" spans="1:8" x14ac:dyDescent="0.25">
      <c r="A137" t="s">
        <v>3184</v>
      </c>
      <c r="B137" s="11" t="s">
        <v>412</v>
      </c>
      <c r="C137" s="11" t="s">
        <v>412</v>
      </c>
      <c r="D137">
        <v>77042607</v>
      </c>
      <c r="H137" s="11"/>
    </row>
    <row r="138" spans="1:8" x14ac:dyDescent="0.25">
      <c r="A138" t="s">
        <v>541</v>
      </c>
      <c r="B138" s="11" t="s">
        <v>541</v>
      </c>
      <c r="C138" s="11" t="s">
        <v>541</v>
      </c>
      <c r="D138">
        <v>77461257</v>
      </c>
      <c r="H138" s="11"/>
    </row>
    <row r="139" spans="1:8" x14ac:dyDescent="0.25">
      <c r="A139" t="s">
        <v>3185</v>
      </c>
      <c r="B139" s="11" t="s">
        <v>539</v>
      </c>
      <c r="C139" s="11" t="s">
        <v>539</v>
      </c>
      <c r="D139">
        <v>77348167</v>
      </c>
      <c r="H139" s="11"/>
    </row>
    <row r="140" spans="1:8" x14ac:dyDescent="0.25">
      <c r="A140" t="s">
        <v>386</v>
      </c>
      <c r="B140" s="11" t="s">
        <v>386</v>
      </c>
      <c r="C140" s="11" t="s">
        <v>386</v>
      </c>
      <c r="D140">
        <v>77699993</v>
      </c>
      <c r="H140" s="11"/>
    </row>
    <row r="141" spans="1:8" x14ac:dyDescent="0.25">
      <c r="A141" t="s">
        <v>390</v>
      </c>
      <c r="B141" s="11" t="s">
        <v>390</v>
      </c>
      <c r="C141" s="11" t="s">
        <v>390</v>
      </c>
      <c r="D141">
        <v>77853547</v>
      </c>
      <c r="H141" s="11"/>
    </row>
    <row r="142" spans="1:8" x14ac:dyDescent="0.25">
      <c r="A142" t="s">
        <v>635</v>
      </c>
      <c r="B142" s="11" t="s">
        <v>635</v>
      </c>
      <c r="C142" s="11" t="s">
        <v>635</v>
      </c>
      <c r="D142">
        <v>77452331</v>
      </c>
      <c r="H142" s="11"/>
    </row>
    <row r="143" spans="1:8" x14ac:dyDescent="0.25">
      <c r="A143" t="s">
        <v>324</v>
      </c>
      <c r="B143" s="11" t="s">
        <v>324</v>
      </c>
      <c r="C143" s="11" t="s">
        <v>324</v>
      </c>
      <c r="D143">
        <v>77875761</v>
      </c>
      <c r="H143" s="11"/>
    </row>
    <row r="144" spans="1:8" x14ac:dyDescent="0.25">
      <c r="A144" t="s">
        <v>481</v>
      </c>
      <c r="B144" s="11" t="s">
        <v>481</v>
      </c>
      <c r="C144" s="11" t="s">
        <v>481</v>
      </c>
      <c r="D144">
        <v>77283793</v>
      </c>
      <c r="H144" s="11"/>
    </row>
    <row r="145" spans="1:8" x14ac:dyDescent="0.25">
      <c r="A145" t="s">
        <v>414</v>
      </c>
      <c r="B145" s="11" t="s">
        <v>414</v>
      </c>
      <c r="C145" s="11" t="s">
        <v>414</v>
      </c>
      <c r="D145">
        <v>77430754</v>
      </c>
      <c r="H145" s="11"/>
    </row>
    <row r="146" spans="1:8" x14ac:dyDescent="0.25">
      <c r="A146" t="s">
        <v>3186</v>
      </c>
      <c r="B146" s="11" t="s">
        <v>532</v>
      </c>
      <c r="C146" s="11" t="s">
        <v>532</v>
      </c>
      <c r="D146">
        <v>77230292</v>
      </c>
      <c r="H146" s="11"/>
    </row>
    <row r="147" spans="1:8" x14ac:dyDescent="0.25">
      <c r="A147" t="s">
        <v>304</v>
      </c>
      <c r="B147" s="11" t="s">
        <v>304</v>
      </c>
      <c r="C147" s="11" t="s">
        <v>304</v>
      </c>
      <c r="D147">
        <v>77225588</v>
      </c>
      <c r="H147" s="11"/>
    </row>
    <row r="148" spans="1:8" x14ac:dyDescent="0.25">
      <c r="A148" t="s">
        <v>574</v>
      </c>
      <c r="B148" s="11" t="s">
        <v>574</v>
      </c>
      <c r="C148" s="11" t="s">
        <v>574</v>
      </c>
      <c r="D148">
        <v>77102396</v>
      </c>
      <c r="H148" s="11"/>
    </row>
    <row r="149" spans="1:8" x14ac:dyDescent="0.25">
      <c r="A149" t="s">
        <v>605</v>
      </c>
      <c r="B149" s="11" t="s">
        <v>605</v>
      </c>
      <c r="C149" s="11" t="s">
        <v>605</v>
      </c>
      <c r="D149">
        <v>77366629</v>
      </c>
      <c r="H149" s="11"/>
    </row>
    <row r="150" spans="1:8" x14ac:dyDescent="0.25">
      <c r="A150" t="s">
        <v>341</v>
      </c>
      <c r="B150" s="11" t="s">
        <v>341</v>
      </c>
      <c r="C150" s="11" t="s">
        <v>341</v>
      </c>
      <c r="D150">
        <v>77036546</v>
      </c>
      <c r="H150" s="11"/>
    </row>
    <row r="151" spans="1:8" x14ac:dyDescent="0.25">
      <c r="A151" t="s">
        <v>3187</v>
      </c>
      <c r="B151" s="11" t="s">
        <v>378</v>
      </c>
      <c r="C151" s="11" t="s">
        <v>378</v>
      </c>
      <c r="D151">
        <v>77110025</v>
      </c>
      <c r="H151" s="11"/>
    </row>
    <row r="152" spans="1:8" x14ac:dyDescent="0.25">
      <c r="A152" t="s">
        <v>3188</v>
      </c>
      <c r="B152" s="11" t="s">
        <v>384</v>
      </c>
      <c r="C152" s="11" t="s">
        <v>384</v>
      </c>
      <c r="D152">
        <v>77838324</v>
      </c>
      <c r="H152" s="11"/>
    </row>
    <row r="153" spans="1:8" x14ac:dyDescent="0.25">
      <c r="A153" t="s">
        <v>3189</v>
      </c>
      <c r="B153" s="11" t="s">
        <v>473</v>
      </c>
      <c r="C153" s="11" t="s">
        <v>473</v>
      </c>
      <c r="D153">
        <v>77720302</v>
      </c>
      <c r="H153" s="11"/>
    </row>
    <row r="154" spans="1:8" x14ac:dyDescent="0.25">
      <c r="A154" t="s">
        <v>310</v>
      </c>
      <c r="B154" s="11" t="s">
        <v>310</v>
      </c>
      <c r="C154" s="11" t="s">
        <v>310</v>
      </c>
      <c r="D154">
        <v>77677492</v>
      </c>
      <c r="H154" s="11"/>
    </row>
    <row r="155" spans="1:8" x14ac:dyDescent="0.25">
      <c r="A155" t="s">
        <v>3190</v>
      </c>
      <c r="B155" s="11" t="s">
        <v>284</v>
      </c>
      <c r="C155" s="11" t="s">
        <v>284</v>
      </c>
      <c r="D155">
        <v>77334067</v>
      </c>
      <c r="H155" s="11"/>
    </row>
    <row r="156" spans="1:8" x14ac:dyDescent="0.25">
      <c r="A156" t="s">
        <v>624</v>
      </c>
      <c r="B156" s="11" t="s">
        <v>624</v>
      </c>
      <c r="C156" s="11" t="s">
        <v>624</v>
      </c>
      <c r="D156">
        <v>77663579</v>
      </c>
      <c r="H156" s="11"/>
    </row>
    <row r="157" spans="1:8" x14ac:dyDescent="0.25">
      <c r="A157" t="s">
        <v>3191</v>
      </c>
      <c r="B157" s="11" t="s">
        <v>376</v>
      </c>
      <c r="C157" s="11" t="s">
        <v>376</v>
      </c>
      <c r="D157">
        <v>77770663</v>
      </c>
      <c r="H157" s="11"/>
    </row>
    <row r="158" spans="1:8" x14ac:dyDescent="0.25">
      <c r="A158" t="s">
        <v>306</v>
      </c>
      <c r="B158" s="11" t="s">
        <v>306</v>
      </c>
      <c r="C158" s="11" t="s">
        <v>306</v>
      </c>
      <c r="D158">
        <v>77316781</v>
      </c>
      <c r="H158" s="11"/>
    </row>
    <row r="159" spans="1:8" x14ac:dyDescent="0.25">
      <c r="A159" t="s">
        <v>276</v>
      </c>
      <c r="B159" s="11" t="s">
        <v>276</v>
      </c>
      <c r="C159" s="11" t="s">
        <v>276</v>
      </c>
      <c r="D159">
        <v>77464433</v>
      </c>
      <c r="H159" s="11"/>
    </row>
    <row r="160" spans="1:8" x14ac:dyDescent="0.25">
      <c r="A160" t="s">
        <v>382</v>
      </c>
      <c r="B160" s="11" t="s">
        <v>382</v>
      </c>
      <c r="C160" s="11" t="s">
        <v>382</v>
      </c>
      <c r="D160">
        <v>77207945</v>
      </c>
      <c r="H160" s="11"/>
    </row>
    <row r="161" spans="1:8" x14ac:dyDescent="0.25">
      <c r="A161" t="s">
        <v>626</v>
      </c>
      <c r="B161" s="11" t="s">
        <v>626</v>
      </c>
      <c r="C161" s="11" t="s">
        <v>626</v>
      </c>
      <c r="D161">
        <v>77792431</v>
      </c>
      <c r="H161" s="11"/>
    </row>
    <row r="162" spans="1:8" x14ac:dyDescent="0.25">
      <c r="A162" t="s">
        <v>434</v>
      </c>
      <c r="B162" s="11" t="s">
        <v>434</v>
      </c>
      <c r="C162" s="11" t="s">
        <v>434</v>
      </c>
      <c r="D162">
        <v>77272889</v>
      </c>
      <c r="H162" s="11"/>
    </row>
    <row r="163" spans="1:8" x14ac:dyDescent="0.25">
      <c r="A163" t="s">
        <v>582</v>
      </c>
      <c r="B163" s="11" t="s">
        <v>582</v>
      </c>
      <c r="C163" s="11" t="s">
        <v>582</v>
      </c>
      <c r="D163">
        <v>77505677</v>
      </c>
      <c r="H163" s="11"/>
    </row>
    <row r="164" spans="1:8" x14ac:dyDescent="0.25">
      <c r="A164" t="s">
        <v>578</v>
      </c>
      <c r="B164" s="11" t="s">
        <v>578</v>
      </c>
      <c r="C164" s="11" t="s">
        <v>578</v>
      </c>
      <c r="D164">
        <v>77630491</v>
      </c>
      <c r="H164" s="11"/>
    </row>
    <row r="165" spans="1:8" x14ac:dyDescent="0.25">
      <c r="A165" t="s">
        <v>3192</v>
      </c>
      <c r="B165" s="11" t="s">
        <v>580</v>
      </c>
      <c r="C165" s="11" t="s">
        <v>580</v>
      </c>
      <c r="D165">
        <v>77056766</v>
      </c>
      <c r="H165" s="11"/>
    </row>
    <row r="166" spans="1:8" x14ac:dyDescent="0.25">
      <c r="A166" t="s">
        <v>584</v>
      </c>
      <c r="B166" s="11" t="s">
        <v>584</v>
      </c>
      <c r="C166" s="11" t="s">
        <v>584</v>
      </c>
      <c r="D166">
        <v>77776946</v>
      </c>
      <c r="H166" s="11"/>
    </row>
    <row r="167" spans="1:8" x14ac:dyDescent="0.25">
      <c r="A167" t="s">
        <v>487</v>
      </c>
      <c r="B167" s="11" t="s">
        <v>487</v>
      </c>
      <c r="C167" s="11" t="s">
        <v>487</v>
      </c>
      <c r="D167">
        <v>77677636</v>
      </c>
      <c r="H167" s="11"/>
    </row>
    <row r="168" spans="1:8" x14ac:dyDescent="0.25">
      <c r="A168" t="s">
        <v>633</v>
      </c>
      <c r="B168" s="11" t="s">
        <v>633</v>
      </c>
      <c r="C168" s="11" t="s">
        <v>633</v>
      </c>
      <c r="D168">
        <v>77063278</v>
      </c>
      <c r="H168" s="11"/>
    </row>
    <row r="169" spans="1:8" x14ac:dyDescent="0.25">
      <c r="A169" t="s">
        <v>3193</v>
      </c>
      <c r="B169" s="11" t="s">
        <v>316</v>
      </c>
      <c r="C169" s="11" t="s">
        <v>316</v>
      </c>
      <c r="D169">
        <v>77437684</v>
      </c>
      <c r="H169" s="11"/>
    </row>
    <row r="170" spans="1:8" x14ac:dyDescent="0.25">
      <c r="A170" t="s">
        <v>410</v>
      </c>
      <c r="B170" s="11" t="s">
        <v>410</v>
      </c>
      <c r="C170" s="11" t="s">
        <v>410</v>
      </c>
      <c r="D170">
        <v>77061883</v>
      </c>
      <c r="H170" s="11"/>
    </row>
    <row r="171" spans="1:8" x14ac:dyDescent="0.25">
      <c r="A171" t="s">
        <v>308</v>
      </c>
      <c r="B171" s="11" t="s">
        <v>308</v>
      </c>
      <c r="C171" s="11" t="s">
        <v>308</v>
      </c>
      <c r="D171">
        <v>77968618</v>
      </c>
      <c r="H171" s="11"/>
    </row>
    <row r="172" spans="1:8" x14ac:dyDescent="0.25">
      <c r="A172" t="s">
        <v>3194</v>
      </c>
      <c r="B172" s="11" t="s">
        <v>436</v>
      </c>
      <c r="C172" s="11" t="s">
        <v>436</v>
      </c>
      <c r="D172">
        <v>77793653</v>
      </c>
      <c r="H172" s="11"/>
    </row>
    <row r="173" spans="1:8" x14ac:dyDescent="0.25">
      <c r="A173" t="s">
        <v>314</v>
      </c>
      <c r="B173" s="11" t="s">
        <v>314</v>
      </c>
      <c r="C173" s="11" t="s">
        <v>314</v>
      </c>
      <c r="D173">
        <v>77212654</v>
      </c>
      <c r="H173" s="11"/>
    </row>
    <row r="174" spans="1:8" x14ac:dyDescent="0.25">
      <c r="A174" t="s">
        <v>416</v>
      </c>
      <c r="B174" s="11" t="s">
        <v>416</v>
      </c>
      <c r="C174" s="11" t="s">
        <v>416</v>
      </c>
      <c r="D174">
        <v>77959027</v>
      </c>
      <c r="H174" s="11"/>
    </row>
    <row r="175" spans="1:8" x14ac:dyDescent="0.25">
      <c r="A175" t="s">
        <v>326</v>
      </c>
      <c r="B175" s="11" t="s">
        <v>326</v>
      </c>
      <c r="C175" s="11" t="s">
        <v>326</v>
      </c>
      <c r="D175">
        <v>77741186</v>
      </c>
      <c r="H175" s="11"/>
    </row>
    <row r="176" spans="1:8" x14ac:dyDescent="0.25">
      <c r="A176" t="s">
        <v>492</v>
      </c>
      <c r="B176" s="11" t="s">
        <v>492</v>
      </c>
      <c r="C176" s="11" t="s">
        <v>492</v>
      </c>
      <c r="D176">
        <v>77836577</v>
      </c>
      <c r="H176" s="11"/>
    </row>
    <row r="177" spans="1:8" x14ac:dyDescent="0.25">
      <c r="A177" t="s">
        <v>292</v>
      </c>
      <c r="B177" s="11" t="s">
        <v>292</v>
      </c>
      <c r="C177" s="11" t="s">
        <v>292</v>
      </c>
      <c r="D177">
        <v>77335156</v>
      </c>
      <c r="H177" s="11"/>
    </row>
    <row r="178" spans="1:8" x14ac:dyDescent="0.25">
      <c r="A178" t="s">
        <v>290</v>
      </c>
      <c r="B178" s="11" t="s">
        <v>290</v>
      </c>
      <c r="C178" s="11" t="s">
        <v>290</v>
      </c>
      <c r="D178">
        <v>77112802</v>
      </c>
      <c r="H178" s="11"/>
    </row>
    <row r="179" spans="1:8" x14ac:dyDescent="0.25">
      <c r="A179" t="s">
        <v>288</v>
      </c>
      <c r="B179" s="11" t="s">
        <v>288</v>
      </c>
      <c r="C179" s="11" t="s">
        <v>288</v>
      </c>
      <c r="D179">
        <v>77336615</v>
      </c>
      <c r="H179" s="11"/>
    </row>
    <row r="180" spans="1:8" x14ac:dyDescent="0.25">
      <c r="A180" t="s">
        <v>294</v>
      </c>
      <c r="B180" s="11" t="s">
        <v>294</v>
      </c>
      <c r="C180" s="11" t="s">
        <v>294</v>
      </c>
      <c r="D180">
        <v>77466568</v>
      </c>
      <c r="H180" s="11"/>
    </row>
    <row r="181" spans="1:8" x14ac:dyDescent="0.25">
      <c r="A181" t="s">
        <v>3195</v>
      </c>
      <c r="B181" s="11" t="s">
        <v>274</v>
      </c>
      <c r="C181" s="11" t="s">
        <v>274</v>
      </c>
      <c r="D181">
        <v>77004464</v>
      </c>
      <c r="H181" s="11"/>
    </row>
    <row r="182" spans="1:8" x14ac:dyDescent="0.25">
      <c r="A182" t="s">
        <v>343</v>
      </c>
      <c r="B182" s="11" t="s">
        <v>343</v>
      </c>
      <c r="C182" s="11" t="s">
        <v>343</v>
      </c>
      <c r="D182">
        <v>77619444</v>
      </c>
      <c r="H182" s="11"/>
    </row>
    <row r="183" spans="1:8" x14ac:dyDescent="0.25">
      <c r="A183" t="s">
        <v>576</v>
      </c>
      <c r="B183" s="11" t="s">
        <v>576</v>
      </c>
      <c r="C183" s="11" t="s">
        <v>576</v>
      </c>
      <c r="D183">
        <v>77691847</v>
      </c>
      <c r="H183" s="11"/>
    </row>
    <row r="184" spans="1:8" x14ac:dyDescent="0.25">
      <c r="A184" t="s">
        <v>392</v>
      </c>
      <c r="B184" s="11" t="s">
        <v>392</v>
      </c>
      <c r="C184" s="11" t="s">
        <v>392</v>
      </c>
      <c r="D184">
        <v>77888199</v>
      </c>
      <c r="H184" s="11"/>
    </row>
    <row r="185" spans="1:8" x14ac:dyDescent="0.25">
      <c r="A185" t="s">
        <v>318</v>
      </c>
      <c r="B185" s="11" t="s">
        <v>318</v>
      </c>
      <c r="C185" s="11" t="s">
        <v>318</v>
      </c>
      <c r="D185">
        <v>77351533</v>
      </c>
      <c r="H185" s="11"/>
    </row>
    <row r="186" spans="1:8" x14ac:dyDescent="0.25">
      <c r="A186" t="s">
        <v>322</v>
      </c>
      <c r="B186" s="11" t="s">
        <v>322</v>
      </c>
      <c r="C186" s="11" t="s">
        <v>322</v>
      </c>
      <c r="D186">
        <v>77763322</v>
      </c>
      <c r="H186" s="11"/>
    </row>
    <row r="187" spans="1:8" x14ac:dyDescent="0.25">
      <c r="A187" t="s">
        <v>312</v>
      </c>
      <c r="B187" s="11" t="s">
        <v>312</v>
      </c>
      <c r="C187" s="11" t="s">
        <v>312</v>
      </c>
      <c r="D187">
        <v>77226743</v>
      </c>
      <c r="H187" s="11"/>
    </row>
    <row r="188" spans="1:8" x14ac:dyDescent="0.25">
      <c r="A188" t="s">
        <v>469</v>
      </c>
      <c r="B188" s="11" t="s">
        <v>469</v>
      </c>
      <c r="C188" s="11" t="s">
        <v>469</v>
      </c>
      <c r="D188">
        <v>77983750</v>
      </c>
      <c r="H188" s="11"/>
    </row>
    <row r="189" spans="1:8" x14ac:dyDescent="0.25">
      <c r="A189" t="s">
        <v>394</v>
      </c>
      <c r="B189" s="11" t="s">
        <v>394</v>
      </c>
      <c r="C189" s="11" t="s">
        <v>394</v>
      </c>
      <c r="D189">
        <v>77820934</v>
      </c>
      <c r="H189" s="11"/>
    </row>
    <row r="190" spans="1:8" x14ac:dyDescent="0.25">
      <c r="A190" t="s">
        <v>604</v>
      </c>
      <c r="B190" s="11" t="s">
        <v>604</v>
      </c>
      <c r="C190" s="11" t="s">
        <v>604</v>
      </c>
      <c r="D190">
        <v>77172526</v>
      </c>
      <c r="H190" s="11"/>
    </row>
    <row r="191" spans="1:8" x14ac:dyDescent="0.25">
      <c r="A191" t="s">
        <v>298</v>
      </c>
      <c r="B191" s="11" t="s">
        <v>298</v>
      </c>
      <c r="C191" s="11" t="s">
        <v>298</v>
      </c>
      <c r="D191">
        <v>77672173</v>
      </c>
      <c r="H191" s="11"/>
    </row>
    <row r="192" spans="1:8" x14ac:dyDescent="0.25">
      <c r="A192" t="s">
        <v>296</v>
      </c>
      <c r="B192" s="11" t="s">
        <v>296</v>
      </c>
      <c r="C192" s="11" t="s">
        <v>296</v>
      </c>
      <c r="D192">
        <v>77899570</v>
      </c>
      <c r="H192" s="11"/>
    </row>
    <row r="193" spans="1:8" x14ac:dyDescent="0.25">
      <c r="A193" t="s">
        <v>629</v>
      </c>
      <c r="B193" s="11" t="s">
        <v>629</v>
      </c>
      <c r="C193" s="11" t="s">
        <v>629</v>
      </c>
      <c r="D193">
        <v>77476918</v>
      </c>
      <c r="H193" s="11"/>
    </row>
    <row r="194" spans="1:8" x14ac:dyDescent="0.25">
      <c r="A194" t="s">
        <v>278</v>
      </c>
      <c r="B194" s="11" t="s">
        <v>278</v>
      </c>
      <c r="C194" s="11" t="s">
        <v>278</v>
      </c>
      <c r="D194">
        <v>77722008</v>
      </c>
      <c r="H194" s="11"/>
    </row>
    <row r="195" spans="1:8" x14ac:dyDescent="0.25">
      <c r="A195" t="s">
        <v>3196</v>
      </c>
      <c r="B195" s="11" t="s">
        <v>447</v>
      </c>
      <c r="C195" s="11" t="s">
        <v>447</v>
      </c>
      <c r="D195">
        <v>77161813</v>
      </c>
      <c r="H195" s="11"/>
    </row>
    <row r="196" spans="1:8" x14ac:dyDescent="0.25">
      <c r="A196" t="s">
        <v>3340</v>
      </c>
      <c r="B196" s="11" t="s">
        <v>595</v>
      </c>
      <c r="C196" s="11" t="s">
        <v>595</v>
      </c>
      <c r="D196">
        <v>77342867</v>
      </c>
      <c r="H196" s="11"/>
    </row>
    <row r="197" spans="1:8" x14ac:dyDescent="0.25">
      <c r="A197" t="s">
        <v>3341</v>
      </c>
      <c r="B197" s="11" t="s">
        <v>639</v>
      </c>
      <c r="C197" s="11" t="s">
        <v>639</v>
      </c>
      <c r="D197">
        <v>77726493</v>
      </c>
      <c r="H197" s="11"/>
    </row>
    <row r="198" spans="1:8" x14ac:dyDescent="0.25">
      <c r="A198" t="s">
        <v>280</v>
      </c>
      <c r="B198" s="11" t="s">
        <v>280</v>
      </c>
      <c r="C198" s="11" t="s">
        <v>280</v>
      </c>
      <c r="D198">
        <v>77761390</v>
      </c>
      <c r="H198" s="11"/>
    </row>
    <row r="199" spans="1:8" x14ac:dyDescent="0.25">
      <c r="A199" t="s">
        <v>431</v>
      </c>
      <c r="B199" s="11" t="s">
        <v>431</v>
      </c>
      <c r="C199" s="11" t="s">
        <v>431</v>
      </c>
      <c r="D199">
        <v>77096627</v>
      </c>
      <c r="H199" s="11"/>
    </row>
    <row r="200" spans="1:8" x14ac:dyDescent="0.25">
      <c r="A200" t="s">
        <v>3197</v>
      </c>
      <c r="B200" s="11" t="s">
        <v>449</v>
      </c>
      <c r="C200" s="11" t="s">
        <v>449</v>
      </c>
      <c r="D200">
        <v>77888344</v>
      </c>
      <c r="H200" s="11"/>
    </row>
    <row r="201" spans="1:8" x14ac:dyDescent="0.25">
      <c r="A201" t="s">
        <v>3335</v>
      </c>
      <c r="B201" s="11" t="s">
        <v>641</v>
      </c>
      <c r="C201" s="11" t="s">
        <v>641</v>
      </c>
      <c r="D201">
        <v>77568733</v>
      </c>
      <c r="H201" s="11"/>
    </row>
    <row r="202" spans="1:8" x14ac:dyDescent="0.25">
      <c r="A202" t="s">
        <v>3336</v>
      </c>
      <c r="B202" s="11" t="s">
        <v>593</v>
      </c>
      <c r="C202" s="11" t="s">
        <v>593</v>
      </c>
      <c r="D202">
        <v>77879989</v>
      </c>
      <c r="H202" s="11"/>
    </row>
    <row r="203" spans="1:8" x14ac:dyDescent="0.25">
      <c r="A203" t="s">
        <v>282</v>
      </c>
      <c r="B203" s="11" t="s">
        <v>282</v>
      </c>
      <c r="C203" s="11" t="s">
        <v>282</v>
      </c>
      <c r="D203">
        <v>77141400</v>
      </c>
      <c r="H203" s="11"/>
    </row>
    <row r="204" spans="1:8" x14ac:dyDescent="0.25">
      <c r="A204" t="s">
        <v>597</v>
      </c>
      <c r="B204" s="11" t="s">
        <v>597</v>
      </c>
      <c r="C204" s="11" t="s">
        <v>597</v>
      </c>
      <c r="D204">
        <v>77593058</v>
      </c>
      <c r="H204" s="11"/>
    </row>
    <row r="205" spans="1:8" x14ac:dyDescent="0.25">
      <c r="A205" t="s">
        <v>522</v>
      </c>
      <c r="B205" s="11" t="s">
        <v>522</v>
      </c>
      <c r="C205" s="11" t="s">
        <v>522</v>
      </c>
      <c r="D205">
        <v>77973355</v>
      </c>
      <c r="H205" s="11"/>
    </row>
    <row r="206" spans="1:8" x14ac:dyDescent="0.25">
      <c r="A206" t="s">
        <v>429</v>
      </c>
      <c r="B206" s="11" t="s">
        <v>429</v>
      </c>
      <c r="C206" s="11" t="s">
        <v>429</v>
      </c>
      <c r="D206">
        <v>77541648</v>
      </c>
      <c r="H206" s="11"/>
    </row>
    <row r="207" spans="1:8" x14ac:dyDescent="0.25">
      <c r="A207" t="s">
        <v>302</v>
      </c>
      <c r="B207" s="11" t="s">
        <v>302</v>
      </c>
      <c r="C207" s="11" t="s">
        <v>302</v>
      </c>
      <c r="D207">
        <v>77396543</v>
      </c>
      <c r="H207" s="11"/>
    </row>
    <row r="208" spans="1:8" x14ac:dyDescent="0.25">
      <c r="A208" t="s">
        <v>3198</v>
      </c>
      <c r="B208" s="11" t="s">
        <v>420</v>
      </c>
      <c r="C208" s="11" t="s">
        <v>420</v>
      </c>
      <c r="D208">
        <v>77674121</v>
      </c>
      <c r="H208" s="11"/>
    </row>
    <row r="209" spans="1:8" x14ac:dyDescent="0.25">
      <c r="A209" t="s">
        <v>631</v>
      </c>
      <c r="B209" s="11" t="s">
        <v>631</v>
      </c>
      <c r="C209" s="11" t="s">
        <v>631</v>
      </c>
      <c r="D209">
        <v>77322944</v>
      </c>
      <c r="H209" s="11"/>
    </row>
    <row r="210" spans="1:8" x14ac:dyDescent="0.25">
      <c r="A210" t="s">
        <v>388</v>
      </c>
      <c r="B210" s="11" t="s">
        <v>388</v>
      </c>
      <c r="C210" s="11" t="s">
        <v>388</v>
      </c>
      <c r="D210">
        <v>77171967</v>
      </c>
      <c r="H210" s="11"/>
    </row>
    <row r="211" spans="1:8" x14ac:dyDescent="0.25">
      <c r="A211" t="s">
        <v>475</v>
      </c>
      <c r="B211" s="11" t="s">
        <v>475</v>
      </c>
      <c r="C211" s="11" t="s">
        <v>475</v>
      </c>
      <c r="D211">
        <v>77696460</v>
      </c>
      <c r="H211" s="11"/>
    </row>
    <row r="212" spans="1:8" x14ac:dyDescent="0.25">
      <c r="A212" t="s">
        <v>3199</v>
      </c>
      <c r="B212" s="11" t="s">
        <v>526</v>
      </c>
      <c r="C212" s="11" t="s">
        <v>526</v>
      </c>
      <c r="D212">
        <v>77198370</v>
      </c>
      <c r="H212" s="11"/>
    </row>
    <row r="213" spans="1:8" x14ac:dyDescent="0.25">
      <c r="A213" t="s">
        <v>477</v>
      </c>
      <c r="B213" s="11" t="s">
        <v>477</v>
      </c>
      <c r="C213" s="11" t="s">
        <v>477</v>
      </c>
      <c r="D213">
        <v>77041123</v>
      </c>
      <c r="H213" s="11"/>
    </row>
    <row r="214" spans="1:8" x14ac:dyDescent="0.25">
      <c r="A214" t="s">
        <v>3200</v>
      </c>
      <c r="B214" s="11" t="s">
        <v>483</v>
      </c>
      <c r="C214" s="11" t="s">
        <v>483</v>
      </c>
      <c r="D214">
        <v>77189696</v>
      </c>
      <c r="H214" s="11"/>
    </row>
    <row r="215" spans="1:8" x14ac:dyDescent="0.25">
      <c r="A215" t="s">
        <v>479</v>
      </c>
      <c r="B215" s="11" t="s">
        <v>479</v>
      </c>
      <c r="C215" s="11" t="s">
        <v>479</v>
      </c>
      <c r="D215">
        <v>77460434</v>
      </c>
      <c r="H215" s="11"/>
    </row>
    <row r="216" spans="1:8" x14ac:dyDescent="0.25">
      <c r="A216" t="s">
        <v>3201</v>
      </c>
      <c r="B216" s="11" t="s">
        <v>286</v>
      </c>
      <c r="C216" s="11" t="s">
        <v>286</v>
      </c>
      <c r="D216">
        <v>77724672</v>
      </c>
      <c r="H216" s="11"/>
    </row>
    <row r="217" spans="1:8" x14ac:dyDescent="0.25">
      <c r="A217" t="s">
        <v>530</v>
      </c>
      <c r="B217" s="11" t="s">
        <v>530</v>
      </c>
      <c r="C217" s="11" t="s">
        <v>530</v>
      </c>
      <c r="D217">
        <v>77569454</v>
      </c>
      <c r="H217" s="11"/>
    </row>
    <row r="218" spans="1:8" x14ac:dyDescent="0.25">
      <c r="A218" t="s">
        <v>490</v>
      </c>
      <c r="B218" s="11" t="s">
        <v>490</v>
      </c>
      <c r="C218" s="11" t="s">
        <v>490</v>
      </c>
      <c r="D218">
        <v>77942005</v>
      </c>
      <c r="H218" s="11"/>
    </row>
    <row r="219" spans="1:8" x14ac:dyDescent="0.25">
      <c r="A219" t="s">
        <v>3202</v>
      </c>
      <c r="B219" s="11" t="s">
        <v>402</v>
      </c>
      <c r="C219" s="11" t="s">
        <v>402</v>
      </c>
      <c r="D219">
        <v>77236842</v>
      </c>
      <c r="H219" s="11"/>
    </row>
    <row r="220" spans="1:8" x14ac:dyDescent="0.25">
      <c r="A220" t="s">
        <v>3203</v>
      </c>
      <c r="B220" s="11" t="s">
        <v>404</v>
      </c>
      <c r="C220" s="11" t="s">
        <v>404</v>
      </c>
      <c r="D220">
        <v>77901151</v>
      </c>
      <c r="H220" s="11"/>
    </row>
    <row r="221" spans="1:8" x14ac:dyDescent="0.25">
      <c r="A221" t="s">
        <v>3204</v>
      </c>
      <c r="B221" s="11" t="s">
        <v>406</v>
      </c>
      <c r="C221" s="11" t="s">
        <v>406</v>
      </c>
      <c r="D221">
        <v>77025429</v>
      </c>
      <c r="H221" s="11"/>
    </row>
    <row r="222" spans="1:8" x14ac:dyDescent="0.25">
      <c r="A222" t="s">
        <v>300</v>
      </c>
      <c r="B222" s="11" t="s">
        <v>300</v>
      </c>
      <c r="C222" s="11" t="s">
        <v>300</v>
      </c>
      <c r="D222">
        <v>77024448</v>
      </c>
      <c r="H222" s="11"/>
    </row>
    <row r="223" spans="1:8" x14ac:dyDescent="0.25">
      <c r="A223" t="s">
        <v>320</v>
      </c>
      <c r="B223" s="11" t="s">
        <v>320</v>
      </c>
      <c r="C223" s="11" t="s">
        <v>320</v>
      </c>
      <c r="D223">
        <v>77649420</v>
      </c>
      <c r="H223" s="11"/>
    </row>
    <row r="224" spans="1:8" x14ac:dyDescent="0.25">
      <c r="A224" t="s">
        <v>567</v>
      </c>
      <c r="B224" s="11" t="s">
        <v>567</v>
      </c>
      <c r="C224" s="11" t="s">
        <v>567</v>
      </c>
      <c r="D224">
        <v>77065888</v>
      </c>
      <c r="H224" s="11"/>
    </row>
    <row r="225" spans="1:8" x14ac:dyDescent="0.25">
      <c r="A225" t="s">
        <v>3205</v>
      </c>
      <c r="B225" s="11" t="s">
        <v>396</v>
      </c>
      <c r="C225" s="11" t="s">
        <v>396</v>
      </c>
      <c r="D225">
        <v>77066863</v>
      </c>
      <c r="H225" s="11"/>
    </row>
    <row r="226" spans="1:8" x14ac:dyDescent="0.25">
      <c r="A226" t="s">
        <v>603</v>
      </c>
      <c r="B226" s="11" t="s">
        <v>603</v>
      </c>
      <c r="C226" s="11" t="s">
        <v>603</v>
      </c>
      <c r="D226">
        <v>77957250</v>
      </c>
      <c r="H226" s="11"/>
    </row>
    <row r="227" spans="1:8" x14ac:dyDescent="0.25">
      <c r="A227" t="s">
        <v>116</v>
      </c>
      <c r="B227" s="11" t="s">
        <v>116</v>
      </c>
      <c r="C227" s="11" t="s">
        <v>116</v>
      </c>
      <c r="D227">
        <v>77488824</v>
      </c>
      <c r="H227" s="11"/>
    </row>
    <row r="228" spans="1:8" x14ac:dyDescent="0.25">
      <c r="A228" t="s">
        <v>3206</v>
      </c>
      <c r="B228" s="11" t="s">
        <v>118</v>
      </c>
      <c r="C228" s="11" t="s">
        <v>118</v>
      </c>
      <c r="D228">
        <v>77216991</v>
      </c>
      <c r="H228" s="11"/>
    </row>
    <row r="229" spans="1:8" x14ac:dyDescent="0.25">
      <c r="A229" t="s">
        <v>120</v>
      </c>
      <c r="B229" s="11" t="s">
        <v>120</v>
      </c>
      <c r="C229" s="11" t="s">
        <v>120</v>
      </c>
      <c r="D229">
        <v>77285170</v>
      </c>
      <c r="H229" s="11"/>
    </row>
    <row r="230" spans="1:8" x14ac:dyDescent="0.25">
      <c r="A230" t="s">
        <v>122</v>
      </c>
      <c r="B230" s="11" t="s">
        <v>122</v>
      </c>
      <c r="C230" s="11" t="s">
        <v>122</v>
      </c>
      <c r="D230">
        <v>77969034</v>
      </c>
      <c r="H230" s="11"/>
    </row>
    <row r="231" spans="1:8" x14ac:dyDescent="0.25">
      <c r="A231" t="s">
        <v>124</v>
      </c>
      <c r="B231" s="11" t="s">
        <v>124</v>
      </c>
      <c r="C231" s="11" t="s">
        <v>124</v>
      </c>
      <c r="D231">
        <v>77782874</v>
      </c>
      <c r="H231" s="11"/>
    </row>
    <row r="232" spans="1:8" x14ac:dyDescent="0.25">
      <c r="A232" t="s">
        <v>126</v>
      </c>
      <c r="B232" s="11" t="s">
        <v>126</v>
      </c>
      <c r="C232" s="11" t="s">
        <v>126</v>
      </c>
      <c r="D232">
        <v>77803975</v>
      </c>
      <c r="H232" s="11"/>
    </row>
    <row r="233" spans="1:8" x14ac:dyDescent="0.25">
      <c r="A233" t="s">
        <v>128</v>
      </c>
      <c r="B233" s="11" t="s">
        <v>128</v>
      </c>
      <c r="C233" s="11" t="s">
        <v>128</v>
      </c>
      <c r="D233">
        <v>77424552</v>
      </c>
      <c r="H233" s="11"/>
    </row>
    <row r="234" spans="1:8" x14ac:dyDescent="0.25">
      <c r="A234" t="s">
        <v>130</v>
      </c>
      <c r="B234" s="11" t="s">
        <v>130</v>
      </c>
      <c r="C234" s="11" t="s">
        <v>130</v>
      </c>
      <c r="D234">
        <v>77176193</v>
      </c>
      <c r="H234" s="11"/>
    </row>
    <row r="235" spans="1:8" x14ac:dyDescent="0.25">
      <c r="A235" t="s">
        <v>132</v>
      </c>
      <c r="B235" s="11" t="s">
        <v>132</v>
      </c>
      <c r="C235" s="11" t="s">
        <v>132</v>
      </c>
      <c r="D235">
        <v>77027865</v>
      </c>
      <c r="H235" s="11"/>
    </row>
    <row r="236" spans="1:8" x14ac:dyDescent="0.25">
      <c r="A236" t="s">
        <v>134</v>
      </c>
      <c r="B236" s="11" t="s">
        <v>134</v>
      </c>
      <c r="C236" s="11" t="s">
        <v>134</v>
      </c>
      <c r="D236">
        <v>77349307</v>
      </c>
      <c r="H236" s="11"/>
    </row>
    <row r="237" spans="1:8" x14ac:dyDescent="0.25">
      <c r="A237" t="s">
        <v>999</v>
      </c>
      <c r="B237" s="11" t="s">
        <v>999</v>
      </c>
      <c r="C237" s="11" t="s">
        <v>999</v>
      </c>
      <c r="D237">
        <v>77640515</v>
      </c>
      <c r="H237" s="11"/>
    </row>
    <row r="238" spans="1:8" x14ac:dyDescent="0.25">
      <c r="A238" t="s">
        <v>370</v>
      </c>
      <c r="B238" s="11" t="s">
        <v>370</v>
      </c>
      <c r="C238" s="11" t="s">
        <v>370</v>
      </c>
      <c r="D238">
        <v>77215173</v>
      </c>
      <c r="H238" s="11"/>
    </row>
    <row r="239" spans="1:8" x14ac:dyDescent="0.25">
      <c r="A239" t="s">
        <v>426</v>
      </c>
      <c r="B239" s="11" t="s">
        <v>426</v>
      </c>
      <c r="C239" s="11" t="s">
        <v>426</v>
      </c>
      <c r="D239">
        <v>77272306</v>
      </c>
      <c r="H239" s="11"/>
    </row>
    <row r="240" spans="1:8" x14ac:dyDescent="0.25">
      <c r="A240" t="s">
        <v>494</v>
      </c>
      <c r="B240" s="11" t="s">
        <v>494</v>
      </c>
      <c r="C240" s="11" t="s">
        <v>494</v>
      </c>
      <c r="D240">
        <v>77790905</v>
      </c>
      <c r="H240" s="11"/>
    </row>
    <row r="241" spans="1:8" x14ac:dyDescent="0.25">
      <c r="A241" t="s">
        <v>3207</v>
      </c>
      <c r="B241" s="11" t="s">
        <v>1218</v>
      </c>
      <c r="C241" s="11" t="s">
        <v>1218</v>
      </c>
      <c r="D241">
        <v>77626609</v>
      </c>
      <c r="H241" s="11"/>
    </row>
    <row r="242" spans="1:8" x14ac:dyDescent="0.25">
      <c r="A242" t="s">
        <v>366</v>
      </c>
      <c r="B242" s="11" t="s">
        <v>366</v>
      </c>
      <c r="C242" s="11" t="s">
        <v>366</v>
      </c>
      <c r="D242">
        <v>77706615</v>
      </c>
      <c r="H242" s="11"/>
    </row>
    <row r="243" spans="1:8" x14ac:dyDescent="0.25">
      <c r="A243" t="s">
        <v>3208</v>
      </c>
      <c r="B243" s="11" t="s">
        <v>924</v>
      </c>
      <c r="C243" s="11" t="s">
        <v>924</v>
      </c>
      <c r="D243">
        <v>77014587</v>
      </c>
      <c r="H243" s="11"/>
    </row>
    <row r="244" spans="1:8" x14ac:dyDescent="0.25">
      <c r="A244" t="s">
        <v>3209</v>
      </c>
      <c r="B244" s="11" t="s">
        <v>861</v>
      </c>
      <c r="C244" s="11" t="s">
        <v>861</v>
      </c>
      <c r="D244">
        <v>77391480</v>
      </c>
      <c r="H244" s="11"/>
    </row>
    <row r="245" spans="1:8" x14ac:dyDescent="0.25">
      <c r="A245" t="s">
        <v>1058</v>
      </c>
      <c r="B245" s="11" t="s">
        <v>1058</v>
      </c>
      <c r="C245" s="11" t="s">
        <v>1058</v>
      </c>
      <c r="D245">
        <v>77232429</v>
      </c>
      <c r="H245" s="11"/>
    </row>
    <row r="246" spans="1:8" x14ac:dyDescent="0.25">
      <c r="A246" t="s">
        <v>3210</v>
      </c>
      <c r="B246" s="11" t="s">
        <v>866</v>
      </c>
      <c r="C246" s="11" t="s">
        <v>866</v>
      </c>
      <c r="D246">
        <v>77437159</v>
      </c>
      <c r="H246" s="11"/>
    </row>
    <row r="247" spans="1:8" x14ac:dyDescent="0.25">
      <c r="A247" t="s">
        <v>3211</v>
      </c>
      <c r="B247" s="11" t="s">
        <v>865</v>
      </c>
      <c r="C247" s="11" t="s">
        <v>865</v>
      </c>
      <c r="D247">
        <v>77026457</v>
      </c>
      <c r="H247" s="11"/>
    </row>
    <row r="248" spans="1:8" x14ac:dyDescent="0.25">
      <c r="A248" t="s">
        <v>957</v>
      </c>
      <c r="B248" s="11" t="s">
        <v>957</v>
      </c>
      <c r="C248" s="11" t="s">
        <v>957</v>
      </c>
      <c r="D248">
        <v>77045716</v>
      </c>
      <c r="H248" s="11"/>
    </row>
    <row r="249" spans="1:8" x14ac:dyDescent="0.25">
      <c r="A249" t="s">
        <v>863</v>
      </c>
      <c r="B249" s="11" t="s">
        <v>863</v>
      </c>
      <c r="C249" s="11" t="s">
        <v>863</v>
      </c>
      <c r="D249">
        <v>77452402</v>
      </c>
      <c r="H249" s="11"/>
    </row>
    <row r="250" spans="1:8" x14ac:dyDescent="0.25">
      <c r="A250" t="s">
        <v>955</v>
      </c>
      <c r="B250" s="11" t="s">
        <v>955</v>
      </c>
      <c r="C250" s="11" t="s">
        <v>955</v>
      </c>
      <c r="D250">
        <v>77132690</v>
      </c>
      <c r="H250" s="11"/>
    </row>
    <row r="251" spans="1:8" x14ac:dyDescent="0.25">
      <c r="A251" t="s">
        <v>3212</v>
      </c>
      <c r="B251" s="11" t="s">
        <v>859</v>
      </c>
      <c r="C251" s="11" t="s">
        <v>859</v>
      </c>
      <c r="D251">
        <v>77568218</v>
      </c>
      <c r="H251" s="11"/>
    </row>
    <row r="252" spans="1:8" x14ac:dyDescent="0.25">
      <c r="A252" t="s">
        <v>3337</v>
      </c>
      <c r="B252" s="11" t="s">
        <v>736</v>
      </c>
      <c r="C252" s="11" t="s">
        <v>736</v>
      </c>
      <c r="D252">
        <v>77420247</v>
      </c>
      <c r="H252" s="11"/>
    </row>
    <row r="253" spans="1:8" x14ac:dyDescent="0.25">
      <c r="A253" t="s">
        <v>3338</v>
      </c>
      <c r="B253" s="11" t="s">
        <v>732</v>
      </c>
      <c r="C253" s="11" t="s">
        <v>732</v>
      </c>
      <c r="D253">
        <v>77020521</v>
      </c>
      <c r="H253" s="11"/>
    </row>
    <row r="254" spans="1:8" x14ac:dyDescent="0.25">
      <c r="A254" t="s">
        <v>3213</v>
      </c>
      <c r="B254" s="11" t="s">
        <v>734</v>
      </c>
      <c r="C254" s="11" t="s">
        <v>734</v>
      </c>
      <c r="D254">
        <v>77366315</v>
      </c>
      <c r="H254" s="11"/>
    </row>
    <row r="255" spans="1:8" x14ac:dyDescent="0.25">
      <c r="A255" t="s">
        <v>3214</v>
      </c>
      <c r="B255" s="11" t="s">
        <v>738</v>
      </c>
      <c r="C255" s="11" t="s">
        <v>738</v>
      </c>
      <c r="D255">
        <v>77742413</v>
      </c>
      <c r="H255" s="11"/>
    </row>
    <row r="256" spans="1:8" x14ac:dyDescent="0.25">
      <c r="A256" t="s">
        <v>3339</v>
      </c>
      <c r="B256" s="11" t="s">
        <v>1232</v>
      </c>
      <c r="C256" s="11" t="s">
        <v>1232</v>
      </c>
      <c r="D256">
        <v>77375050</v>
      </c>
      <c r="H256" s="11"/>
    </row>
    <row r="257" spans="1:8" x14ac:dyDescent="0.25">
      <c r="A257" t="s">
        <v>3215</v>
      </c>
      <c r="B257" s="11" t="s">
        <v>1190</v>
      </c>
      <c r="C257" s="11" t="s">
        <v>1190</v>
      </c>
      <c r="D257">
        <v>77801429</v>
      </c>
      <c r="H257" s="11"/>
    </row>
    <row r="258" spans="1:8" x14ac:dyDescent="0.25">
      <c r="A258" t="s">
        <v>823</v>
      </c>
      <c r="B258" s="11" t="s">
        <v>823</v>
      </c>
      <c r="C258" s="11" t="s">
        <v>823</v>
      </c>
      <c r="D258">
        <v>77096881</v>
      </c>
      <c r="H258" s="11"/>
    </row>
    <row r="259" spans="1:8" x14ac:dyDescent="0.25">
      <c r="A259" t="s">
        <v>3216</v>
      </c>
      <c r="B259" s="11" t="s">
        <v>770</v>
      </c>
      <c r="C259" s="11" t="s">
        <v>770</v>
      </c>
      <c r="D259">
        <v>77803197</v>
      </c>
      <c r="H259" s="11"/>
    </row>
    <row r="260" spans="1:8" x14ac:dyDescent="0.25">
      <c r="A260" t="s">
        <v>3217</v>
      </c>
      <c r="B260" s="11" t="s">
        <v>692</v>
      </c>
      <c r="C260" s="11" t="s">
        <v>692</v>
      </c>
      <c r="D260">
        <v>77384992</v>
      </c>
      <c r="H260" s="11"/>
    </row>
    <row r="261" spans="1:8" x14ac:dyDescent="0.25">
      <c r="A261" t="s">
        <v>3218</v>
      </c>
      <c r="B261" s="11" t="s">
        <v>832</v>
      </c>
      <c r="C261" s="11" t="s">
        <v>832</v>
      </c>
      <c r="D261">
        <v>77956518</v>
      </c>
      <c r="H261" s="11"/>
    </row>
    <row r="262" spans="1:8" x14ac:dyDescent="0.25">
      <c r="A262" t="s">
        <v>819</v>
      </c>
      <c r="B262" s="11" t="s">
        <v>819</v>
      </c>
      <c r="C262" s="11" t="s">
        <v>819</v>
      </c>
      <c r="D262">
        <v>77311378</v>
      </c>
      <c r="H262" s="11"/>
    </row>
    <row r="263" spans="1:8" x14ac:dyDescent="0.25">
      <c r="A263" t="s">
        <v>750</v>
      </c>
      <c r="B263" s="11" t="s">
        <v>750</v>
      </c>
      <c r="C263" s="11" t="s">
        <v>750</v>
      </c>
      <c r="D263">
        <v>77769722</v>
      </c>
      <c r="H263" s="11"/>
    </row>
    <row r="264" spans="1:8" x14ac:dyDescent="0.25">
      <c r="A264" t="s">
        <v>1115</v>
      </c>
      <c r="B264" s="11" t="s">
        <v>1115</v>
      </c>
      <c r="C264" s="11" t="s">
        <v>1115</v>
      </c>
      <c r="D264">
        <v>77045230</v>
      </c>
      <c r="H264" s="11"/>
    </row>
    <row r="265" spans="1:8" x14ac:dyDescent="0.25">
      <c r="A265" t="s">
        <v>3219</v>
      </c>
      <c r="B265" s="11" t="s">
        <v>947</v>
      </c>
      <c r="C265" s="11" t="s">
        <v>947</v>
      </c>
      <c r="D265">
        <v>77014961</v>
      </c>
      <c r="H265" s="11"/>
    </row>
    <row r="266" spans="1:8" x14ac:dyDescent="0.25">
      <c r="A266" t="s">
        <v>762</v>
      </c>
      <c r="B266" s="11" t="s">
        <v>762</v>
      </c>
      <c r="C266" s="11" t="s">
        <v>762</v>
      </c>
      <c r="D266">
        <v>77691111</v>
      </c>
      <c r="H266" s="11"/>
    </row>
    <row r="267" spans="1:8" x14ac:dyDescent="0.25">
      <c r="A267" t="s">
        <v>679</v>
      </c>
      <c r="B267" s="11" t="s">
        <v>679</v>
      </c>
      <c r="C267" s="11" t="s">
        <v>679</v>
      </c>
      <c r="D267">
        <v>77840110</v>
      </c>
      <c r="H267" s="11"/>
    </row>
    <row r="268" spans="1:8" x14ac:dyDescent="0.25">
      <c r="A268" t="s">
        <v>686</v>
      </c>
      <c r="B268" s="11" t="s">
        <v>686</v>
      </c>
      <c r="C268" s="11" t="s">
        <v>686</v>
      </c>
      <c r="D268">
        <v>77872598</v>
      </c>
      <c r="H268" s="11"/>
    </row>
    <row r="269" spans="1:8" x14ac:dyDescent="0.25">
      <c r="A269" t="s">
        <v>669</v>
      </c>
      <c r="B269" s="11" t="s">
        <v>669</v>
      </c>
      <c r="C269" s="11" t="s">
        <v>669</v>
      </c>
      <c r="D269">
        <v>77913221</v>
      </c>
      <c r="H269" s="11"/>
    </row>
    <row r="270" spans="1:8" x14ac:dyDescent="0.25">
      <c r="A270" t="s">
        <v>3220</v>
      </c>
      <c r="B270" s="11" t="s">
        <v>989</v>
      </c>
      <c r="C270" s="11" t="s">
        <v>989</v>
      </c>
      <c r="D270">
        <v>77765506</v>
      </c>
      <c r="H270" s="11"/>
    </row>
    <row r="271" spans="1:8" x14ac:dyDescent="0.25">
      <c r="A271" t="s">
        <v>772</v>
      </c>
      <c r="B271" s="11" t="s">
        <v>772</v>
      </c>
      <c r="C271" s="11" t="s">
        <v>772</v>
      </c>
      <c r="D271">
        <v>77548274</v>
      </c>
      <c r="H271" s="11"/>
    </row>
    <row r="272" spans="1:8" x14ac:dyDescent="0.25">
      <c r="A272" t="s">
        <v>696</v>
      </c>
      <c r="B272" s="11" t="s">
        <v>696</v>
      </c>
      <c r="C272" s="11" t="s">
        <v>696</v>
      </c>
      <c r="D272">
        <v>77218478</v>
      </c>
      <c r="H272" s="11"/>
    </row>
    <row r="273" spans="1:8" x14ac:dyDescent="0.25">
      <c r="A273" t="s">
        <v>694</v>
      </c>
      <c r="B273" s="11" t="s">
        <v>694</v>
      </c>
      <c r="C273" s="11" t="s">
        <v>694</v>
      </c>
      <c r="D273">
        <v>77449005</v>
      </c>
      <c r="H273" s="11"/>
    </row>
    <row r="274" spans="1:8" x14ac:dyDescent="0.25">
      <c r="A274" t="s">
        <v>3221</v>
      </c>
      <c r="B274" s="11" t="s">
        <v>1177</v>
      </c>
      <c r="C274" s="11" t="s">
        <v>1177</v>
      </c>
      <c r="D274">
        <v>77361472</v>
      </c>
      <c r="H274" s="11"/>
    </row>
    <row r="275" spans="1:8" x14ac:dyDescent="0.25">
      <c r="A275" t="s">
        <v>764</v>
      </c>
      <c r="B275" s="11" t="s">
        <v>764</v>
      </c>
      <c r="C275" s="11" t="s">
        <v>764</v>
      </c>
      <c r="D275">
        <v>77346771</v>
      </c>
      <c r="H275" s="11"/>
    </row>
    <row r="276" spans="1:8" x14ac:dyDescent="0.25">
      <c r="A276" t="s">
        <v>673</v>
      </c>
      <c r="B276" s="11" t="s">
        <v>673</v>
      </c>
      <c r="C276" s="11" t="s">
        <v>673</v>
      </c>
      <c r="D276">
        <v>77373261</v>
      </c>
      <c r="H276" s="11"/>
    </row>
    <row r="277" spans="1:8" x14ac:dyDescent="0.25">
      <c r="A277" t="s">
        <v>3222</v>
      </c>
      <c r="B277" s="11" t="s">
        <v>1117</v>
      </c>
      <c r="C277" s="11" t="s">
        <v>1117</v>
      </c>
      <c r="D277">
        <v>77463601</v>
      </c>
      <c r="H277" s="11"/>
    </row>
    <row r="278" spans="1:8" x14ac:dyDescent="0.25">
      <c r="A278" t="s">
        <v>3223</v>
      </c>
      <c r="B278" s="11" t="s">
        <v>675</v>
      </c>
      <c r="C278" s="11" t="s">
        <v>675</v>
      </c>
      <c r="D278">
        <v>77309324</v>
      </c>
      <c r="H278" s="11"/>
    </row>
    <row r="279" spans="1:8" x14ac:dyDescent="0.25">
      <c r="A279" t="s">
        <v>3224</v>
      </c>
      <c r="B279" s="11" t="s">
        <v>683</v>
      </c>
      <c r="C279" s="11" t="s">
        <v>683</v>
      </c>
      <c r="D279">
        <v>77568717</v>
      </c>
      <c r="H279" s="11"/>
    </row>
    <row r="280" spans="1:8" x14ac:dyDescent="0.25">
      <c r="A280" t="s">
        <v>3225</v>
      </c>
      <c r="B280" s="11" t="s">
        <v>690</v>
      </c>
      <c r="C280" s="11" t="s">
        <v>690</v>
      </c>
      <c r="D280">
        <v>77681020</v>
      </c>
      <c r="H280" s="11"/>
    </row>
    <row r="281" spans="1:8" x14ac:dyDescent="0.25">
      <c r="A281" t="s">
        <v>3226</v>
      </c>
      <c r="B281" s="11" t="s">
        <v>685</v>
      </c>
      <c r="C281" s="11" t="s">
        <v>685</v>
      </c>
      <c r="D281">
        <v>77606738</v>
      </c>
      <c r="H281" s="11"/>
    </row>
    <row r="282" spans="1:8" x14ac:dyDescent="0.25">
      <c r="A282" t="s">
        <v>677</v>
      </c>
      <c r="B282" s="11" t="s">
        <v>677</v>
      </c>
      <c r="C282" s="11" t="s">
        <v>677</v>
      </c>
      <c r="D282">
        <v>77516231</v>
      </c>
      <c r="H282" s="11"/>
    </row>
    <row r="283" spans="1:8" x14ac:dyDescent="0.25">
      <c r="A283" t="s">
        <v>667</v>
      </c>
      <c r="B283" s="11" t="s">
        <v>667</v>
      </c>
      <c r="C283" s="11" t="s">
        <v>667</v>
      </c>
      <c r="D283">
        <v>77679856</v>
      </c>
      <c r="H283" s="11"/>
    </row>
    <row r="284" spans="1:8" x14ac:dyDescent="0.25">
      <c r="A284" t="s">
        <v>1131</v>
      </c>
      <c r="B284" s="11" t="s">
        <v>1131</v>
      </c>
      <c r="C284" s="11" t="s">
        <v>1131</v>
      </c>
      <c r="D284">
        <v>77094582</v>
      </c>
      <c r="H284" s="11"/>
    </row>
    <row r="285" spans="1:8" x14ac:dyDescent="0.25">
      <c r="A285" t="s">
        <v>3227</v>
      </c>
      <c r="B285" s="11" t="s">
        <v>825</v>
      </c>
      <c r="C285" s="11" t="s">
        <v>825</v>
      </c>
      <c r="D285">
        <v>77094792</v>
      </c>
      <c r="H285" s="11"/>
    </row>
    <row r="286" spans="1:8" x14ac:dyDescent="0.25">
      <c r="A286" t="s">
        <v>870</v>
      </c>
      <c r="B286" s="11" t="s">
        <v>870</v>
      </c>
      <c r="C286" s="11" t="s">
        <v>870</v>
      </c>
      <c r="D286">
        <v>77538611</v>
      </c>
      <c r="H286" s="11"/>
    </row>
    <row r="287" spans="1:8" x14ac:dyDescent="0.25">
      <c r="A287" t="s">
        <v>3228</v>
      </c>
      <c r="B287" s="11" t="s">
        <v>1220</v>
      </c>
      <c r="C287" s="11" t="s">
        <v>1220</v>
      </c>
      <c r="D287">
        <v>77230888</v>
      </c>
      <c r="H287" s="11"/>
    </row>
    <row r="288" spans="1:8" x14ac:dyDescent="0.25">
      <c r="A288" t="s">
        <v>3229</v>
      </c>
      <c r="B288" s="11" t="s">
        <v>1157</v>
      </c>
      <c r="C288" s="11" t="s">
        <v>1157</v>
      </c>
      <c r="D288">
        <v>77621296</v>
      </c>
      <c r="H288" s="11"/>
    </row>
    <row r="289" spans="1:8" x14ac:dyDescent="0.25">
      <c r="A289" t="s">
        <v>906</v>
      </c>
      <c r="B289" s="11" t="s">
        <v>906</v>
      </c>
      <c r="C289" s="11" t="s">
        <v>906</v>
      </c>
      <c r="D289">
        <v>77124282</v>
      </c>
      <c r="H289" s="11"/>
    </row>
    <row r="290" spans="1:8" x14ac:dyDescent="0.25">
      <c r="A290" t="s">
        <v>702</v>
      </c>
      <c r="B290" s="11" t="s">
        <v>702</v>
      </c>
      <c r="C290" s="11" t="s">
        <v>702</v>
      </c>
      <c r="D290">
        <v>77168007</v>
      </c>
      <c r="H290" s="11"/>
    </row>
    <row r="291" spans="1:8" x14ac:dyDescent="0.25">
      <c r="A291" t="s">
        <v>3230</v>
      </c>
      <c r="B291" s="11" t="s">
        <v>712</v>
      </c>
      <c r="C291" s="11" t="s">
        <v>712</v>
      </c>
      <c r="D291">
        <v>77923680</v>
      </c>
      <c r="H291" s="11"/>
    </row>
    <row r="292" spans="1:8" x14ac:dyDescent="0.25">
      <c r="A292" t="s">
        <v>837</v>
      </c>
      <c r="B292" s="11" t="s">
        <v>837</v>
      </c>
      <c r="C292" s="11" t="s">
        <v>837</v>
      </c>
      <c r="D292">
        <v>77011077</v>
      </c>
      <c r="H292" s="11"/>
    </row>
    <row r="293" spans="1:8" x14ac:dyDescent="0.25">
      <c r="A293" t="s">
        <v>754</v>
      </c>
      <c r="B293" s="11" t="s">
        <v>754</v>
      </c>
      <c r="C293" s="11" t="s">
        <v>754</v>
      </c>
      <c r="D293">
        <v>77054545</v>
      </c>
      <c r="H293" s="11"/>
    </row>
    <row r="294" spans="1:8" x14ac:dyDescent="0.25">
      <c r="A294" t="s">
        <v>3231</v>
      </c>
      <c r="B294" s="11" t="s">
        <v>845</v>
      </c>
      <c r="C294" s="11" t="s">
        <v>845</v>
      </c>
      <c r="D294">
        <v>77765782</v>
      </c>
      <c r="H294" s="11"/>
    </row>
    <row r="295" spans="1:8" x14ac:dyDescent="0.25">
      <c r="A295" t="s">
        <v>3232</v>
      </c>
      <c r="B295" s="11" t="s">
        <v>847</v>
      </c>
      <c r="C295" s="11" t="s">
        <v>847</v>
      </c>
      <c r="D295">
        <v>77885147</v>
      </c>
      <c r="H295" s="11"/>
    </row>
    <row r="296" spans="1:8" x14ac:dyDescent="0.25">
      <c r="A296" t="s">
        <v>3233</v>
      </c>
      <c r="B296" s="11" t="s">
        <v>813</v>
      </c>
      <c r="C296" s="11" t="s">
        <v>813</v>
      </c>
      <c r="D296">
        <v>77394762</v>
      </c>
      <c r="H296" s="11"/>
    </row>
    <row r="297" spans="1:8" x14ac:dyDescent="0.25">
      <c r="A297" t="s">
        <v>3234</v>
      </c>
      <c r="B297" s="11" t="s">
        <v>766</v>
      </c>
      <c r="C297" s="11" t="s">
        <v>766</v>
      </c>
      <c r="D297">
        <v>77011685</v>
      </c>
      <c r="H297" s="11"/>
    </row>
    <row r="298" spans="1:8" x14ac:dyDescent="0.25">
      <c r="A298" t="s">
        <v>3235</v>
      </c>
      <c r="B298" s="11" t="s">
        <v>809</v>
      </c>
      <c r="C298" s="11" t="s">
        <v>809</v>
      </c>
      <c r="D298">
        <v>77534898</v>
      </c>
      <c r="H298" s="11"/>
    </row>
    <row r="299" spans="1:8" x14ac:dyDescent="0.25">
      <c r="A299" t="s">
        <v>3236</v>
      </c>
      <c r="B299" s="11" t="s">
        <v>758</v>
      </c>
      <c r="C299" s="11" t="s">
        <v>758</v>
      </c>
      <c r="D299">
        <v>77400093</v>
      </c>
      <c r="H299" s="11"/>
    </row>
    <row r="300" spans="1:8" x14ac:dyDescent="0.25">
      <c r="A300" t="s">
        <v>3237</v>
      </c>
      <c r="B300" s="11" t="s">
        <v>1133</v>
      </c>
      <c r="C300" s="11" t="s">
        <v>1133</v>
      </c>
      <c r="D300">
        <v>77536586</v>
      </c>
      <c r="H300" s="11"/>
    </row>
    <row r="301" spans="1:8" x14ac:dyDescent="0.25">
      <c r="A301" t="s">
        <v>3238</v>
      </c>
      <c r="B301" s="11" t="s">
        <v>714</v>
      </c>
      <c r="C301" s="11" t="s">
        <v>714</v>
      </c>
      <c r="D301">
        <v>77615179</v>
      </c>
      <c r="H301" s="11"/>
    </row>
    <row r="302" spans="1:8" x14ac:dyDescent="0.25">
      <c r="A302" t="s">
        <v>3239</v>
      </c>
      <c r="B302" s="11" t="s">
        <v>1038</v>
      </c>
      <c r="C302" s="11" t="s">
        <v>1038</v>
      </c>
      <c r="D302">
        <v>77274340</v>
      </c>
      <c r="H302" s="11"/>
    </row>
    <row r="303" spans="1:8" x14ac:dyDescent="0.25">
      <c r="A303" t="s">
        <v>3240</v>
      </c>
      <c r="B303" s="11" t="s">
        <v>1222</v>
      </c>
      <c r="C303" s="11" t="s">
        <v>1222</v>
      </c>
      <c r="D303">
        <v>77485909</v>
      </c>
      <c r="H303" s="11"/>
    </row>
    <row r="304" spans="1:8" x14ac:dyDescent="0.25">
      <c r="A304" t="s">
        <v>3241</v>
      </c>
      <c r="B304" s="11" t="s">
        <v>904</v>
      </c>
      <c r="C304" s="11" t="s">
        <v>904</v>
      </c>
      <c r="D304">
        <v>77502849</v>
      </c>
      <c r="H304" s="11"/>
    </row>
    <row r="305" spans="1:8" x14ac:dyDescent="0.25">
      <c r="A305" t="s">
        <v>718</v>
      </c>
      <c r="B305" s="11" t="s">
        <v>718</v>
      </c>
      <c r="C305" s="11" t="s">
        <v>718</v>
      </c>
      <c r="D305">
        <v>77055993</v>
      </c>
      <c r="H305" s="11"/>
    </row>
    <row r="306" spans="1:8" x14ac:dyDescent="0.25">
      <c r="A306" t="s">
        <v>1149</v>
      </c>
      <c r="B306" s="11" t="s">
        <v>1149</v>
      </c>
      <c r="C306" s="11" t="s">
        <v>1149</v>
      </c>
      <c r="D306">
        <v>77122323</v>
      </c>
      <c r="H306" s="11"/>
    </row>
    <row r="307" spans="1:8" x14ac:dyDescent="0.25">
      <c r="A307" t="s">
        <v>3242</v>
      </c>
      <c r="B307" s="11" t="s">
        <v>756</v>
      </c>
      <c r="C307" s="11" t="s">
        <v>756</v>
      </c>
      <c r="D307">
        <v>77834483</v>
      </c>
      <c r="H307" s="11"/>
    </row>
    <row r="308" spans="1:8" x14ac:dyDescent="0.25">
      <c r="A308" t="s">
        <v>3243</v>
      </c>
      <c r="B308" s="11" t="s">
        <v>1123</v>
      </c>
      <c r="C308" s="11" t="s">
        <v>1123</v>
      </c>
      <c r="D308">
        <v>77207046</v>
      </c>
      <c r="H308" s="11"/>
    </row>
    <row r="309" spans="1:8" x14ac:dyDescent="0.25">
      <c r="A309" t="s">
        <v>3244</v>
      </c>
      <c r="B309" s="11" t="s">
        <v>778</v>
      </c>
      <c r="C309" s="11" t="s">
        <v>778</v>
      </c>
      <c r="D309">
        <v>77345317</v>
      </c>
      <c r="H309" s="11"/>
    </row>
    <row r="310" spans="1:8" x14ac:dyDescent="0.25">
      <c r="A310" t="s">
        <v>843</v>
      </c>
      <c r="B310" s="11" t="s">
        <v>843</v>
      </c>
      <c r="C310" s="11" t="s">
        <v>843</v>
      </c>
      <c r="D310">
        <v>77306937</v>
      </c>
      <c r="H310" s="11"/>
    </row>
    <row r="311" spans="1:8" x14ac:dyDescent="0.25">
      <c r="A311" t="s">
        <v>3245</v>
      </c>
      <c r="B311" s="11" t="s">
        <v>839</v>
      </c>
      <c r="C311" s="11" t="s">
        <v>839</v>
      </c>
      <c r="D311">
        <v>77446265</v>
      </c>
      <c r="H311" s="11"/>
    </row>
    <row r="312" spans="1:8" x14ac:dyDescent="0.25">
      <c r="A312" t="s">
        <v>3246</v>
      </c>
      <c r="B312" s="11" t="s">
        <v>841</v>
      </c>
      <c r="C312" s="11" t="s">
        <v>841</v>
      </c>
      <c r="D312">
        <v>77031639</v>
      </c>
      <c r="H312" s="11"/>
    </row>
    <row r="313" spans="1:8" x14ac:dyDescent="0.25">
      <c r="A313" t="s">
        <v>3247</v>
      </c>
      <c r="B313" s="11" t="s">
        <v>872</v>
      </c>
      <c r="C313" s="11" t="s">
        <v>872</v>
      </c>
      <c r="D313">
        <v>77259130</v>
      </c>
      <c r="H313" s="11"/>
    </row>
    <row r="314" spans="1:8" x14ac:dyDescent="0.25">
      <c r="A314" t="s">
        <v>1094</v>
      </c>
      <c r="B314" s="11" t="s">
        <v>1094</v>
      </c>
      <c r="C314" s="11" t="s">
        <v>1094</v>
      </c>
      <c r="D314">
        <v>77808155</v>
      </c>
      <c r="H314" s="11"/>
    </row>
    <row r="315" spans="1:8" x14ac:dyDescent="0.25">
      <c r="A315" t="s">
        <v>3248</v>
      </c>
      <c r="B315" s="11" t="s">
        <v>817</v>
      </c>
      <c r="C315" s="11" t="s">
        <v>817</v>
      </c>
      <c r="D315">
        <v>77871106</v>
      </c>
      <c r="H315" s="11"/>
    </row>
    <row r="316" spans="1:8" x14ac:dyDescent="0.25">
      <c r="A316" t="s">
        <v>3249</v>
      </c>
      <c r="B316" s="11" t="s">
        <v>1155</v>
      </c>
      <c r="C316" s="11" t="s">
        <v>1155</v>
      </c>
      <c r="D316">
        <v>77057116</v>
      </c>
      <c r="H316" s="11"/>
    </row>
    <row r="317" spans="1:8" x14ac:dyDescent="0.25">
      <c r="A317" t="s">
        <v>834</v>
      </c>
      <c r="B317" s="11" t="s">
        <v>834</v>
      </c>
      <c r="C317" s="11" t="s">
        <v>834</v>
      </c>
      <c r="D317">
        <v>77418557</v>
      </c>
      <c r="H317" s="11"/>
    </row>
    <row r="318" spans="1:8" x14ac:dyDescent="0.25">
      <c r="A318" t="s">
        <v>3342</v>
      </c>
      <c r="B318" s="11" t="s">
        <v>938</v>
      </c>
      <c r="C318" s="11" t="s">
        <v>938</v>
      </c>
      <c r="D318">
        <v>77033478</v>
      </c>
      <c r="H318" s="11"/>
    </row>
    <row r="319" spans="1:8" x14ac:dyDescent="0.25">
      <c r="A319" t="s">
        <v>3343</v>
      </c>
      <c r="B319" s="11" t="s">
        <v>928</v>
      </c>
      <c r="C319" s="11" t="s">
        <v>928</v>
      </c>
      <c r="D319">
        <v>77930941</v>
      </c>
      <c r="H319" s="11"/>
    </row>
    <row r="320" spans="1:8" x14ac:dyDescent="0.25">
      <c r="A320" t="s">
        <v>3250</v>
      </c>
      <c r="B320" s="11" t="s">
        <v>724</v>
      </c>
      <c r="C320" s="11" t="s">
        <v>724</v>
      </c>
      <c r="D320">
        <v>77752308</v>
      </c>
      <c r="H320" s="11"/>
    </row>
    <row r="321" spans="1:8" x14ac:dyDescent="0.25">
      <c r="A321" t="s">
        <v>3251</v>
      </c>
      <c r="B321" s="11" t="s">
        <v>855</v>
      </c>
      <c r="C321" s="11" t="s">
        <v>855</v>
      </c>
      <c r="D321">
        <v>77179768</v>
      </c>
      <c r="H321" s="11"/>
    </row>
    <row r="322" spans="1:8" x14ac:dyDescent="0.25">
      <c r="A322" t="s">
        <v>743</v>
      </c>
      <c r="B322" s="11" t="s">
        <v>743</v>
      </c>
      <c r="C322" s="11" t="s">
        <v>743</v>
      </c>
      <c r="D322">
        <v>77251119</v>
      </c>
      <c r="H322" s="11"/>
    </row>
    <row r="323" spans="1:8" x14ac:dyDescent="0.25">
      <c r="A323" t="s">
        <v>3252</v>
      </c>
      <c r="B323" s="11" t="s">
        <v>997</v>
      </c>
      <c r="C323" s="11" t="s">
        <v>997</v>
      </c>
      <c r="D323">
        <v>77984971</v>
      </c>
      <c r="H323" s="11"/>
    </row>
    <row r="324" spans="1:8" x14ac:dyDescent="0.25">
      <c r="A324" t="s">
        <v>708</v>
      </c>
      <c r="B324" s="11" t="s">
        <v>708</v>
      </c>
      <c r="C324" s="11" t="s">
        <v>708</v>
      </c>
      <c r="D324">
        <v>77774365</v>
      </c>
      <c r="H324" s="11"/>
    </row>
    <row r="325" spans="1:8" x14ac:dyDescent="0.25">
      <c r="A325" t="s">
        <v>748</v>
      </c>
      <c r="B325" s="11" t="s">
        <v>748</v>
      </c>
      <c r="C325" s="11" t="s">
        <v>748</v>
      </c>
      <c r="D325">
        <v>77419991</v>
      </c>
      <c r="H325" s="11"/>
    </row>
    <row r="326" spans="1:8" x14ac:dyDescent="0.25">
      <c r="A326" t="s">
        <v>3253</v>
      </c>
      <c r="B326" s="11" t="s">
        <v>853</v>
      </c>
      <c r="C326" s="11" t="s">
        <v>853</v>
      </c>
      <c r="D326">
        <v>77507506</v>
      </c>
      <c r="H326" s="11"/>
    </row>
    <row r="327" spans="1:8" x14ac:dyDescent="0.25">
      <c r="A327" t="s">
        <v>3254</v>
      </c>
      <c r="B327" s="11" t="s">
        <v>1145</v>
      </c>
      <c r="C327" s="11" t="s">
        <v>1145</v>
      </c>
      <c r="D327">
        <v>77178426</v>
      </c>
      <c r="H327" s="11"/>
    </row>
    <row r="328" spans="1:8" x14ac:dyDescent="0.25">
      <c r="A328" t="s">
        <v>3255</v>
      </c>
      <c r="B328" s="11" t="s">
        <v>1056</v>
      </c>
      <c r="C328" s="11" t="s">
        <v>1056</v>
      </c>
      <c r="D328">
        <v>77185876</v>
      </c>
      <c r="H328" s="11"/>
    </row>
    <row r="329" spans="1:8" x14ac:dyDescent="0.25">
      <c r="A329" t="s">
        <v>3256</v>
      </c>
      <c r="B329" s="11" t="s">
        <v>857</v>
      </c>
      <c r="C329" s="11" t="s">
        <v>857</v>
      </c>
      <c r="D329">
        <v>77202445</v>
      </c>
      <c r="H329" s="11"/>
    </row>
    <row r="330" spans="1:8" x14ac:dyDescent="0.25">
      <c r="A330" t="s">
        <v>3257</v>
      </c>
      <c r="B330" s="11" t="s">
        <v>720</v>
      </c>
      <c r="C330" s="11" t="s">
        <v>720</v>
      </c>
      <c r="D330">
        <v>77827208</v>
      </c>
      <c r="H330" s="11"/>
    </row>
    <row r="331" spans="1:8" x14ac:dyDescent="0.25">
      <c r="A331" t="s">
        <v>698</v>
      </c>
      <c r="B331" s="11" t="s">
        <v>698</v>
      </c>
      <c r="C331" s="11" t="s">
        <v>698</v>
      </c>
      <c r="D331">
        <v>77685337</v>
      </c>
      <c r="H331" s="11"/>
    </row>
    <row r="332" spans="1:8" x14ac:dyDescent="0.25">
      <c r="A332" t="s">
        <v>745</v>
      </c>
      <c r="B332" s="11" t="s">
        <v>745</v>
      </c>
      <c r="C332" s="11" t="s">
        <v>745</v>
      </c>
      <c r="D332">
        <v>77273703</v>
      </c>
      <c r="H332" s="11"/>
    </row>
    <row r="333" spans="1:8" x14ac:dyDescent="0.25">
      <c r="A333" t="s">
        <v>3258</v>
      </c>
      <c r="B333" s="11" t="s">
        <v>784</v>
      </c>
      <c r="C333" s="11" t="s">
        <v>784</v>
      </c>
      <c r="D333">
        <v>77079171</v>
      </c>
      <c r="H333" s="11"/>
    </row>
    <row r="334" spans="1:8" x14ac:dyDescent="0.25">
      <c r="A334" t="s">
        <v>3259</v>
      </c>
      <c r="B334" s="11" t="s">
        <v>1213</v>
      </c>
      <c r="C334" s="11" t="s">
        <v>1213</v>
      </c>
      <c r="D334">
        <v>77813510</v>
      </c>
      <c r="H334" s="11"/>
    </row>
    <row r="335" spans="1:8" x14ac:dyDescent="0.25">
      <c r="A335" t="s">
        <v>3260</v>
      </c>
      <c r="B335" s="11" t="s">
        <v>908</v>
      </c>
      <c r="C335" s="11" t="s">
        <v>908</v>
      </c>
      <c r="D335">
        <v>77519620</v>
      </c>
      <c r="H335" s="11"/>
    </row>
    <row r="336" spans="1:8" x14ac:dyDescent="0.25">
      <c r="A336" t="s">
        <v>3261</v>
      </c>
      <c r="B336" s="11" t="s">
        <v>722</v>
      </c>
      <c r="C336" s="11" t="s">
        <v>722</v>
      </c>
      <c r="D336">
        <v>77388970</v>
      </c>
      <c r="H336" s="11"/>
    </row>
    <row r="337" spans="1:8" x14ac:dyDescent="0.25">
      <c r="A337" t="s">
        <v>746</v>
      </c>
      <c r="B337" s="11" t="s">
        <v>746</v>
      </c>
      <c r="C337" s="11" t="s">
        <v>746</v>
      </c>
      <c r="D337">
        <v>77029192</v>
      </c>
      <c r="H337" s="11"/>
    </row>
    <row r="338" spans="1:8" x14ac:dyDescent="0.25">
      <c r="A338" t="s">
        <v>849</v>
      </c>
      <c r="B338" s="11" t="s">
        <v>849</v>
      </c>
      <c r="C338" s="11" t="s">
        <v>849</v>
      </c>
      <c r="D338">
        <v>77975592</v>
      </c>
      <c r="H338" s="11"/>
    </row>
    <row r="339" spans="1:8" x14ac:dyDescent="0.25">
      <c r="A339" t="s">
        <v>3262</v>
      </c>
      <c r="B339" s="11" t="s">
        <v>815</v>
      </c>
      <c r="C339" s="11" t="s">
        <v>815</v>
      </c>
      <c r="D339">
        <v>77933813</v>
      </c>
      <c r="H339" s="11"/>
    </row>
    <row r="340" spans="1:8" x14ac:dyDescent="0.25">
      <c r="A340" t="s">
        <v>3263</v>
      </c>
      <c r="B340" s="11" t="s">
        <v>1226</v>
      </c>
      <c r="C340" s="11" t="s">
        <v>1226</v>
      </c>
      <c r="D340">
        <v>77122183</v>
      </c>
      <c r="H340" s="11"/>
    </row>
    <row r="341" spans="1:8" x14ac:dyDescent="0.25">
      <c r="A341" t="s">
        <v>995</v>
      </c>
      <c r="B341" s="11" t="s">
        <v>995</v>
      </c>
      <c r="C341" s="11" t="s">
        <v>995</v>
      </c>
      <c r="D341">
        <v>77266819</v>
      </c>
      <c r="H341" s="11"/>
    </row>
    <row r="342" spans="1:8" x14ac:dyDescent="0.25">
      <c r="A342" t="s">
        <v>3264</v>
      </c>
      <c r="B342" s="11" t="s">
        <v>811</v>
      </c>
      <c r="C342" s="11" t="s">
        <v>811</v>
      </c>
      <c r="D342">
        <v>77190217</v>
      </c>
      <c r="H342" s="11"/>
    </row>
    <row r="343" spans="1:8" x14ac:dyDescent="0.25">
      <c r="A343" t="s">
        <v>3265</v>
      </c>
      <c r="B343" s="11" t="s">
        <v>1216</v>
      </c>
      <c r="C343" s="11" t="s">
        <v>1216</v>
      </c>
      <c r="D343">
        <v>77883297</v>
      </c>
      <c r="H343" s="11"/>
    </row>
    <row r="344" spans="1:8" x14ac:dyDescent="0.25">
      <c r="A344" t="s">
        <v>3266</v>
      </c>
      <c r="B344" s="11" t="s">
        <v>730</v>
      </c>
      <c r="C344" s="11" t="s">
        <v>730</v>
      </c>
      <c r="D344">
        <v>77694885</v>
      </c>
      <c r="H344" s="11"/>
    </row>
    <row r="345" spans="1:8" x14ac:dyDescent="0.25">
      <c r="A345" t="s">
        <v>3267</v>
      </c>
      <c r="B345" s="11" t="s">
        <v>726</v>
      </c>
      <c r="C345" s="11" t="s">
        <v>726</v>
      </c>
      <c r="D345">
        <v>77104622</v>
      </c>
      <c r="H345" s="11"/>
    </row>
    <row r="346" spans="1:8" x14ac:dyDescent="0.25">
      <c r="A346" t="s">
        <v>3268</v>
      </c>
      <c r="B346" s="11" t="s">
        <v>728</v>
      </c>
      <c r="C346" s="11" t="s">
        <v>728</v>
      </c>
      <c r="D346">
        <v>77641445</v>
      </c>
      <c r="H346" s="11"/>
    </row>
    <row r="347" spans="1:8" x14ac:dyDescent="0.25">
      <c r="A347" t="s">
        <v>3269</v>
      </c>
      <c r="B347" s="11" t="s">
        <v>700</v>
      </c>
      <c r="C347" s="11" t="s">
        <v>700</v>
      </c>
      <c r="D347">
        <v>77446638</v>
      </c>
      <c r="H347" s="11"/>
    </row>
    <row r="348" spans="1:8" x14ac:dyDescent="0.25">
      <c r="A348" t="s">
        <v>3270</v>
      </c>
      <c r="B348" s="11" t="s">
        <v>704</v>
      </c>
      <c r="C348" s="11" t="s">
        <v>704</v>
      </c>
      <c r="D348">
        <v>77811791</v>
      </c>
      <c r="H348" s="11"/>
    </row>
    <row r="349" spans="1:8" x14ac:dyDescent="0.25">
      <c r="A349" t="s">
        <v>3271</v>
      </c>
      <c r="B349" s="11" t="s">
        <v>953</v>
      </c>
      <c r="C349" s="11" t="s">
        <v>953</v>
      </c>
      <c r="D349">
        <v>77694511</v>
      </c>
      <c r="H349" s="11"/>
    </row>
    <row r="350" spans="1:8" x14ac:dyDescent="0.25">
      <c r="A350" t="s">
        <v>3272</v>
      </c>
      <c r="B350" s="11" t="s">
        <v>982</v>
      </c>
      <c r="C350" s="11" t="s">
        <v>982</v>
      </c>
      <c r="D350">
        <v>77769061</v>
      </c>
      <c r="H350" s="11"/>
    </row>
    <row r="351" spans="1:8" x14ac:dyDescent="0.25">
      <c r="A351" t="s">
        <v>3273</v>
      </c>
      <c r="B351" s="11" t="s">
        <v>768</v>
      </c>
      <c r="C351" s="11" t="s">
        <v>768</v>
      </c>
      <c r="D351">
        <v>77320665</v>
      </c>
      <c r="H351" s="11"/>
    </row>
    <row r="352" spans="1:8" x14ac:dyDescent="0.25">
      <c r="A352" t="s">
        <v>3274</v>
      </c>
      <c r="B352" s="11" t="s">
        <v>774</v>
      </c>
      <c r="C352" s="11" t="s">
        <v>774</v>
      </c>
      <c r="D352">
        <v>77061183</v>
      </c>
      <c r="H352" s="11"/>
    </row>
    <row r="353" spans="1:8" x14ac:dyDescent="0.25">
      <c r="A353" t="s">
        <v>3275</v>
      </c>
      <c r="B353" s="11" t="s">
        <v>1151</v>
      </c>
      <c r="C353" s="11" t="s">
        <v>1151</v>
      </c>
      <c r="D353">
        <v>77168666</v>
      </c>
      <c r="H353" s="11"/>
    </row>
    <row r="354" spans="1:8" x14ac:dyDescent="0.25">
      <c r="A354" t="s">
        <v>1182</v>
      </c>
      <c r="B354" s="11" t="s">
        <v>1182</v>
      </c>
      <c r="C354" s="11" t="s">
        <v>1182</v>
      </c>
      <c r="D354">
        <v>77722931</v>
      </c>
      <c r="H354" s="11"/>
    </row>
    <row r="355" spans="1:8" x14ac:dyDescent="0.25">
      <c r="A355" t="s">
        <v>3276</v>
      </c>
      <c r="B355" s="11" t="s">
        <v>780</v>
      </c>
      <c r="C355" s="11" t="s">
        <v>780</v>
      </c>
      <c r="D355">
        <v>77962967</v>
      </c>
      <c r="H355" s="11"/>
    </row>
    <row r="356" spans="1:8" x14ac:dyDescent="0.25">
      <c r="A356" t="s">
        <v>3277</v>
      </c>
      <c r="B356" s="11" t="s">
        <v>782</v>
      </c>
      <c r="C356" s="11" t="s">
        <v>782</v>
      </c>
      <c r="D356">
        <v>77408148</v>
      </c>
      <c r="H356" s="11"/>
    </row>
    <row r="357" spans="1:8" x14ac:dyDescent="0.25">
      <c r="A357" t="s">
        <v>710</v>
      </c>
      <c r="B357" s="11" t="s">
        <v>710</v>
      </c>
      <c r="C357" s="11" t="s">
        <v>710</v>
      </c>
      <c r="D357">
        <v>77516268</v>
      </c>
      <c r="H357" s="11"/>
    </row>
    <row r="358" spans="1:8" x14ac:dyDescent="0.25">
      <c r="A358" t="s">
        <v>3278</v>
      </c>
      <c r="B358" s="11" t="s">
        <v>1042</v>
      </c>
      <c r="C358" s="11" t="s">
        <v>1042</v>
      </c>
      <c r="D358">
        <v>77350202</v>
      </c>
      <c r="H358" s="11"/>
    </row>
    <row r="359" spans="1:8" x14ac:dyDescent="0.25">
      <c r="A359" t="s">
        <v>671</v>
      </c>
      <c r="B359" s="11" t="s">
        <v>671</v>
      </c>
      <c r="C359" s="11" t="s">
        <v>671</v>
      </c>
      <c r="D359">
        <v>77015086</v>
      </c>
      <c r="H359" s="11"/>
    </row>
    <row r="360" spans="1:8" x14ac:dyDescent="0.25">
      <c r="A360" t="s">
        <v>3279</v>
      </c>
      <c r="B360" s="11" t="s">
        <v>945</v>
      </c>
      <c r="C360" s="11" t="s">
        <v>945</v>
      </c>
      <c r="D360">
        <v>77068461</v>
      </c>
      <c r="H360" s="11"/>
    </row>
    <row r="361" spans="1:8" x14ac:dyDescent="0.25">
      <c r="A361" t="s">
        <v>3280</v>
      </c>
      <c r="B361" s="11" t="s">
        <v>760</v>
      </c>
      <c r="C361" s="11" t="s">
        <v>760</v>
      </c>
      <c r="D361">
        <v>77093475</v>
      </c>
      <c r="H361" s="11"/>
    </row>
    <row r="362" spans="1:8" x14ac:dyDescent="0.25">
      <c r="A362" t="s">
        <v>681</v>
      </c>
      <c r="B362" s="11" t="s">
        <v>681</v>
      </c>
      <c r="C362" s="11" t="s">
        <v>681</v>
      </c>
      <c r="D362">
        <v>77661188</v>
      </c>
      <c r="H362" s="11"/>
    </row>
    <row r="363" spans="1:8" x14ac:dyDescent="0.25">
      <c r="A363" t="s">
        <v>688</v>
      </c>
      <c r="B363" s="11" t="s">
        <v>688</v>
      </c>
      <c r="C363" s="11" t="s">
        <v>688</v>
      </c>
      <c r="D363">
        <v>77027029</v>
      </c>
      <c r="H363" s="11"/>
    </row>
    <row r="364" spans="1:8" x14ac:dyDescent="0.25">
      <c r="A364" t="s">
        <v>3281</v>
      </c>
      <c r="B364" s="11" t="s">
        <v>828</v>
      </c>
      <c r="C364" s="11" t="s">
        <v>828</v>
      </c>
      <c r="D364">
        <v>77226127</v>
      </c>
      <c r="H364" s="11"/>
    </row>
    <row r="365" spans="1:8" x14ac:dyDescent="0.25">
      <c r="A365" t="s">
        <v>3282</v>
      </c>
      <c r="B365" s="11" t="s">
        <v>830</v>
      </c>
      <c r="C365" s="11" t="s">
        <v>830</v>
      </c>
      <c r="D365">
        <v>77368834</v>
      </c>
      <c r="H365" s="11"/>
    </row>
    <row r="366" spans="1:8" x14ac:dyDescent="0.25">
      <c r="A366" t="s">
        <v>3283</v>
      </c>
      <c r="B366" s="11" t="s">
        <v>930</v>
      </c>
      <c r="C366" s="11" t="s">
        <v>930</v>
      </c>
      <c r="D366">
        <v>77328189</v>
      </c>
      <c r="H366" s="11"/>
    </row>
    <row r="367" spans="1:8" x14ac:dyDescent="0.25">
      <c r="A367" t="s">
        <v>3284</v>
      </c>
      <c r="B367" s="11" t="s">
        <v>1104</v>
      </c>
      <c r="C367" s="11" t="s">
        <v>1104</v>
      </c>
      <c r="D367">
        <v>77107577</v>
      </c>
      <c r="H367" s="11"/>
    </row>
    <row r="368" spans="1:8" x14ac:dyDescent="0.25">
      <c r="A368" t="s">
        <v>835</v>
      </c>
      <c r="B368" s="11" t="s">
        <v>835</v>
      </c>
      <c r="C368" s="11" t="s">
        <v>835</v>
      </c>
      <c r="D368">
        <v>77871175</v>
      </c>
      <c r="H368" s="11"/>
    </row>
    <row r="369" spans="1:8" x14ac:dyDescent="0.25">
      <c r="A369" t="s">
        <v>3285</v>
      </c>
      <c r="B369" s="11" t="s">
        <v>868</v>
      </c>
      <c r="C369" s="11" t="s">
        <v>868</v>
      </c>
      <c r="D369">
        <v>77758003</v>
      </c>
      <c r="H369" s="11"/>
    </row>
    <row r="370" spans="1:8" x14ac:dyDescent="0.25">
      <c r="A370" t="s">
        <v>3286</v>
      </c>
      <c r="B370" s="11" t="s">
        <v>706</v>
      </c>
      <c r="C370" s="11" t="s">
        <v>706</v>
      </c>
      <c r="D370">
        <v>77491673</v>
      </c>
      <c r="H370" s="11"/>
    </row>
    <row r="371" spans="1:8" x14ac:dyDescent="0.25">
      <c r="A371" t="s">
        <v>3287</v>
      </c>
      <c r="B371" s="11" t="s">
        <v>716</v>
      </c>
      <c r="C371" s="11" t="s">
        <v>716</v>
      </c>
      <c r="D371">
        <v>77722076</v>
      </c>
      <c r="H371" s="11"/>
    </row>
    <row r="372" spans="1:8" x14ac:dyDescent="0.25">
      <c r="A372" t="s">
        <v>3288</v>
      </c>
      <c r="B372" s="11" t="s">
        <v>827</v>
      </c>
      <c r="C372" s="11" t="s">
        <v>827</v>
      </c>
      <c r="D372">
        <v>77263277</v>
      </c>
      <c r="H372" s="11"/>
    </row>
    <row r="373" spans="1:8" x14ac:dyDescent="0.25">
      <c r="A373" t="s">
        <v>3289</v>
      </c>
      <c r="B373" s="11" t="s">
        <v>46</v>
      </c>
      <c r="C373" s="11" t="s">
        <v>46</v>
      </c>
      <c r="D373">
        <v>77894912</v>
      </c>
      <c r="H373" s="11"/>
    </row>
    <row r="374" spans="1:8" x14ac:dyDescent="0.25">
      <c r="A374" t="s">
        <v>354</v>
      </c>
      <c r="B374" s="11" t="s">
        <v>354</v>
      </c>
      <c r="C374" s="11" t="s">
        <v>354</v>
      </c>
      <c r="D374">
        <v>77336100</v>
      </c>
      <c r="H374" s="11"/>
    </row>
    <row r="375" spans="1:8" x14ac:dyDescent="0.25">
      <c r="A375" t="s">
        <v>356</v>
      </c>
      <c r="B375" s="11" t="s">
        <v>356</v>
      </c>
      <c r="C375" s="11" t="s">
        <v>356</v>
      </c>
      <c r="D375">
        <v>77305567</v>
      </c>
      <c r="H375" s="11"/>
    </row>
    <row r="376" spans="1:8" x14ac:dyDescent="0.25">
      <c r="A376" t="s">
        <v>3290</v>
      </c>
      <c r="B376" s="11" t="s">
        <v>1051</v>
      </c>
      <c r="C376" s="11" t="s">
        <v>1051</v>
      </c>
      <c r="D376">
        <v>77110510</v>
      </c>
      <c r="H376" s="11"/>
    </row>
    <row r="377" spans="1:8" x14ac:dyDescent="0.25">
      <c r="A377" t="s">
        <v>3291</v>
      </c>
      <c r="B377" s="11" t="s">
        <v>1100</v>
      </c>
      <c r="C377" s="11" t="s">
        <v>1100</v>
      </c>
      <c r="D377">
        <v>77074897</v>
      </c>
      <c r="H377" s="11"/>
    </row>
    <row r="378" spans="1:8" x14ac:dyDescent="0.25">
      <c r="A378" t="s">
        <v>1000</v>
      </c>
      <c r="B378" s="11" t="s">
        <v>1000</v>
      </c>
      <c r="C378" s="11" t="s">
        <v>1000</v>
      </c>
      <c r="D378">
        <v>77779260</v>
      </c>
      <c r="H378" s="11"/>
    </row>
    <row r="379" spans="1:8" x14ac:dyDescent="0.25">
      <c r="A379" t="s">
        <v>3292</v>
      </c>
      <c r="B379" s="11" t="s">
        <v>1099</v>
      </c>
      <c r="C379" s="11" t="s">
        <v>1099</v>
      </c>
      <c r="D379">
        <v>77835053</v>
      </c>
      <c r="H379" s="11"/>
    </row>
    <row r="380" spans="1:8" x14ac:dyDescent="0.25">
      <c r="A380" t="s">
        <v>1096</v>
      </c>
      <c r="B380" s="11" t="s">
        <v>1096</v>
      </c>
      <c r="C380" s="11" t="s">
        <v>1096</v>
      </c>
      <c r="D380">
        <v>77196087</v>
      </c>
      <c r="H380" s="11"/>
    </row>
    <row r="381" spans="1:8" x14ac:dyDescent="0.25">
      <c r="A381" t="s">
        <v>3293</v>
      </c>
      <c r="B381" s="11" t="s">
        <v>962</v>
      </c>
      <c r="C381" s="11" t="s">
        <v>962</v>
      </c>
      <c r="D381">
        <v>77648935</v>
      </c>
      <c r="H381" s="11"/>
    </row>
    <row r="382" spans="1:8" x14ac:dyDescent="0.25">
      <c r="A382" t="s">
        <v>3294</v>
      </c>
      <c r="B382" s="11" t="s">
        <v>1228</v>
      </c>
      <c r="C382" s="11" t="s">
        <v>1228</v>
      </c>
      <c r="D382">
        <v>77231948</v>
      </c>
      <c r="H382" s="11"/>
    </row>
    <row r="383" spans="1:8" x14ac:dyDescent="0.25">
      <c r="A383" t="s">
        <v>3295</v>
      </c>
      <c r="B383" s="11" t="s">
        <v>1161</v>
      </c>
      <c r="C383" s="11" t="s">
        <v>1161</v>
      </c>
      <c r="D383">
        <v>77688197</v>
      </c>
      <c r="H383" s="11"/>
    </row>
    <row r="384" spans="1:8" x14ac:dyDescent="0.25">
      <c r="A384" t="s">
        <v>1002</v>
      </c>
      <c r="B384" s="11" t="s">
        <v>1002</v>
      </c>
      <c r="C384" s="11" t="s">
        <v>1002</v>
      </c>
      <c r="D384">
        <v>77071097</v>
      </c>
      <c r="H384" s="11"/>
    </row>
    <row r="385" spans="1:8" x14ac:dyDescent="0.25">
      <c r="A385" t="s">
        <v>3296</v>
      </c>
      <c r="B385" s="11" t="s">
        <v>1097</v>
      </c>
      <c r="C385" s="11" t="s">
        <v>1097</v>
      </c>
      <c r="D385">
        <v>77431967</v>
      </c>
      <c r="H385" s="11"/>
    </row>
    <row r="386" spans="1:8" x14ac:dyDescent="0.25">
      <c r="A386" t="s">
        <v>1211</v>
      </c>
      <c r="B386" s="11" t="s">
        <v>1211</v>
      </c>
      <c r="C386" s="11" t="s">
        <v>1211</v>
      </c>
      <c r="D386">
        <v>77385035</v>
      </c>
      <c r="H386" s="11"/>
    </row>
    <row r="387" spans="1:8" x14ac:dyDescent="0.25">
      <c r="A387" t="s">
        <v>3297</v>
      </c>
      <c r="B387" s="11" t="s">
        <v>797</v>
      </c>
      <c r="C387" s="11" t="s">
        <v>797</v>
      </c>
      <c r="D387">
        <v>77846422</v>
      </c>
      <c r="H387" s="11"/>
    </row>
    <row r="388" spans="1:8" x14ac:dyDescent="0.25">
      <c r="A388" t="s">
        <v>50</v>
      </c>
      <c r="B388" s="11" t="s">
        <v>50</v>
      </c>
      <c r="C388" s="11" t="s">
        <v>50</v>
      </c>
      <c r="D388">
        <v>77793824</v>
      </c>
      <c r="H388" s="11"/>
    </row>
    <row r="389" spans="1:8" x14ac:dyDescent="0.25">
      <c r="A389" t="s">
        <v>3298</v>
      </c>
      <c r="B389" s="11" t="s">
        <v>895</v>
      </c>
      <c r="C389" s="11" t="s">
        <v>895</v>
      </c>
      <c r="D389">
        <v>77393173</v>
      </c>
      <c r="H389" s="11"/>
    </row>
    <row r="390" spans="1:8" x14ac:dyDescent="0.25">
      <c r="A390" t="s">
        <v>3299</v>
      </c>
      <c r="B390" s="11" t="s">
        <v>788</v>
      </c>
      <c r="C390" s="11" t="s">
        <v>788</v>
      </c>
      <c r="D390">
        <v>77264192</v>
      </c>
      <c r="H390" s="11"/>
    </row>
    <row r="391" spans="1:8" x14ac:dyDescent="0.25">
      <c r="A391" t="s">
        <v>3300</v>
      </c>
      <c r="B391" s="11" t="s">
        <v>1139</v>
      </c>
      <c r="C391" s="11" t="s">
        <v>1139</v>
      </c>
      <c r="D391">
        <v>77359761</v>
      </c>
      <c r="H391" s="11"/>
    </row>
    <row r="392" spans="1:8" x14ac:dyDescent="0.25">
      <c r="A392" t="s">
        <v>3301</v>
      </c>
      <c r="B392" s="11" t="s">
        <v>786</v>
      </c>
      <c r="C392" s="11" t="s">
        <v>786</v>
      </c>
      <c r="D392">
        <v>77795624</v>
      </c>
      <c r="H392" s="11"/>
    </row>
    <row r="393" spans="1:8" x14ac:dyDescent="0.25">
      <c r="A393" t="s">
        <v>3302</v>
      </c>
      <c r="B393" s="11" t="s">
        <v>891</v>
      </c>
      <c r="C393" s="11" t="s">
        <v>891</v>
      </c>
      <c r="D393">
        <v>77105269</v>
      </c>
      <c r="H393" s="11"/>
    </row>
    <row r="394" spans="1:8" x14ac:dyDescent="0.25">
      <c r="A394" t="s">
        <v>3303</v>
      </c>
      <c r="B394" s="11" t="s">
        <v>880</v>
      </c>
      <c r="C394" s="11" t="s">
        <v>880</v>
      </c>
      <c r="D394">
        <v>77945406</v>
      </c>
      <c r="H394" s="11"/>
    </row>
    <row r="395" spans="1:8" x14ac:dyDescent="0.25">
      <c r="A395" t="s">
        <v>3304</v>
      </c>
      <c r="B395" s="11" t="s">
        <v>1066</v>
      </c>
      <c r="C395" s="11" t="s">
        <v>1066</v>
      </c>
      <c r="D395">
        <v>77512838</v>
      </c>
      <c r="H395" s="11"/>
    </row>
    <row r="396" spans="1:8" x14ac:dyDescent="0.25">
      <c r="A396" t="s">
        <v>1010</v>
      </c>
      <c r="B396" s="11" t="s">
        <v>1010</v>
      </c>
      <c r="C396" s="11" t="s">
        <v>1010</v>
      </c>
      <c r="D396">
        <v>77816922</v>
      </c>
      <c r="H396" s="11"/>
    </row>
    <row r="397" spans="1:8" x14ac:dyDescent="0.25">
      <c r="A397" t="s">
        <v>1068</v>
      </c>
      <c r="B397" s="11" t="s">
        <v>1068</v>
      </c>
      <c r="C397" s="11" t="s">
        <v>1068</v>
      </c>
      <c r="D397">
        <v>77602044</v>
      </c>
      <c r="H397" s="11"/>
    </row>
    <row r="398" spans="1:8" x14ac:dyDescent="0.25">
      <c r="A398" t="s">
        <v>885</v>
      </c>
      <c r="B398" s="11" t="s">
        <v>885</v>
      </c>
      <c r="C398" s="11" t="s">
        <v>885</v>
      </c>
      <c r="D398">
        <v>77828942</v>
      </c>
      <c r="H398" s="11"/>
    </row>
    <row r="399" spans="1:8" x14ac:dyDescent="0.25">
      <c r="A399" t="s">
        <v>3305</v>
      </c>
      <c r="B399" s="11" t="s">
        <v>882</v>
      </c>
      <c r="C399" s="11" t="s">
        <v>882</v>
      </c>
      <c r="D399">
        <v>77705873</v>
      </c>
      <c r="H399" s="11"/>
    </row>
    <row r="400" spans="1:8" x14ac:dyDescent="0.25">
      <c r="A400" t="s">
        <v>3306</v>
      </c>
      <c r="B400" s="11" t="s">
        <v>899</v>
      </c>
      <c r="C400" s="11" t="s">
        <v>899</v>
      </c>
      <c r="D400">
        <v>77937229</v>
      </c>
      <c r="H400" s="11"/>
    </row>
    <row r="401" spans="1:8" x14ac:dyDescent="0.25">
      <c r="A401" t="s">
        <v>3307</v>
      </c>
      <c r="B401" s="11" t="s">
        <v>893</v>
      </c>
      <c r="C401" s="11" t="s">
        <v>893</v>
      </c>
      <c r="D401">
        <v>77984000</v>
      </c>
      <c r="H401" s="11"/>
    </row>
    <row r="402" spans="1:8" x14ac:dyDescent="0.25">
      <c r="A402" t="s">
        <v>3308</v>
      </c>
      <c r="B402" s="11" t="s">
        <v>889</v>
      </c>
      <c r="C402" s="11" t="s">
        <v>889</v>
      </c>
      <c r="D402">
        <v>77274871</v>
      </c>
      <c r="H402" s="11"/>
    </row>
    <row r="403" spans="1:8" x14ac:dyDescent="0.25">
      <c r="A403" t="s">
        <v>3309</v>
      </c>
      <c r="B403" s="11" t="s">
        <v>887</v>
      </c>
      <c r="C403" s="11" t="s">
        <v>887</v>
      </c>
      <c r="D403">
        <v>77113712</v>
      </c>
      <c r="H403" s="11"/>
    </row>
    <row r="404" spans="1:8" x14ac:dyDescent="0.25">
      <c r="A404" t="s">
        <v>3310</v>
      </c>
      <c r="B404" s="11" t="s">
        <v>752</v>
      </c>
      <c r="C404" s="11" t="s">
        <v>752</v>
      </c>
      <c r="D404">
        <v>77449833</v>
      </c>
      <c r="H404" s="11"/>
    </row>
    <row r="405" spans="1:8" x14ac:dyDescent="0.25">
      <c r="A405" t="s">
        <v>916</v>
      </c>
      <c r="B405" s="11" t="s">
        <v>916</v>
      </c>
      <c r="C405" s="11" t="s">
        <v>916</v>
      </c>
      <c r="D405">
        <v>77346859</v>
      </c>
      <c r="H405" s="11"/>
    </row>
    <row r="406" spans="1:8" x14ac:dyDescent="0.25">
      <c r="A406" t="s">
        <v>918</v>
      </c>
      <c r="B406" s="11" t="s">
        <v>918</v>
      </c>
      <c r="C406" s="11" t="s">
        <v>918</v>
      </c>
      <c r="D406">
        <v>77585625</v>
      </c>
      <c r="H406" s="11"/>
    </row>
    <row r="407" spans="1:8" x14ac:dyDescent="0.25">
      <c r="A407" t="s">
        <v>3311</v>
      </c>
      <c r="B407" s="11" t="s">
        <v>920</v>
      </c>
      <c r="C407" s="11" t="s">
        <v>920</v>
      </c>
      <c r="D407">
        <v>77869879</v>
      </c>
      <c r="H407" s="11"/>
    </row>
    <row r="408" spans="1:8" x14ac:dyDescent="0.25">
      <c r="A408" t="s">
        <v>3312</v>
      </c>
      <c r="B408" s="11" t="s">
        <v>922</v>
      </c>
      <c r="C408" s="11" t="s">
        <v>922</v>
      </c>
      <c r="D408">
        <v>77928509</v>
      </c>
      <c r="H408" s="11"/>
    </row>
    <row r="409" spans="1:8" x14ac:dyDescent="0.25">
      <c r="A409" t="s">
        <v>3313</v>
      </c>
      <c r="B409" s="11" t="s">
        <v>1119</v>
      </c>
      <c r="C409" s="11" t="s">
        <v>1119</v>
      </c>
      <c r="D409">
        <v>77059649</v>
      </c>
      <c r="H409" s="11"/>
    </row>
    <row r="410" spans="1:8" x14ac:dyDescent="0.25">
      <c r="A410" t="s">
        <v>1199</v>
      </c>
      <c r="B410" s="11" t="s">
        <v>1199</v>
      </c>
      <c r="C410" s="11" t="s">
        <v>1199</v>
      </c>
      <c r="D410">
        <v>77029359</v>
      </c>
      <c r="H410" s="11"/>
    </row>
    <row r="411" spans="1:8" x14ac:dyDescent="0.25">
      <c r="A411" t="s">
        <v>1110</v>
      </c>
      <c r="B411" s="11" t="s">
        <v>1110</v>
      </c>
      <c r="C411" s="11" t="s">
        <v>1110</v>
      </c>
      <c r="D411">
        <v>77268604</v>
      </c>
      <c r="H411" s="11"/>
    </row>
    <row r="412" spans="1:8" x14ac:dyDescent="0.25">
      <c r="A412" t="s">
        <v>3314</v>
      </c>
      <c r="B412" s="11" t="s">
        <v>926</v>
      </c>
      <c r="C412" s="11" t="s">
        <v>926</v>
      </c>
      <c r="D412">
        <v>77901820</v>
      </c>
      <c r="H412" s="11"/>
    </row>
    <row r="413" spans="1:8" x14ac:dyDescent="0.25">
      <c r="A413" t="s">
        <v>3315</v>
      </c>
      <c r="B413" s="11" t="s">
        <v>910</v>
      </c>
      <c r="C413" s="11" t="s">
        <v>910</v>
      </c>
      <c r="D413">
        <v>77725633</v>
      </c>
      <c r="H413" s="11"/>
    </row>
    <row r="414" spans="1:8" x14ac:dyDescent="0.25">
      <c r="A414" t="s">
        <v>3316</v>
      </c>
      <c r="B414" s="11" t="s">
        <v>912</v>
      </c>
      <c r="C414" s="11" t="s">
        <v>912</v>
      </c>
      <c r="D414">
        <v>77102265</v>
      </c>
      <c r="H414" s="11"/>
    </row>
    <row r="415" spans="1:8" x14ac:dyDescent="0.25">
      <c r="A415" t="s">
        <v>914</v>
      </c>
      <c r="B415" s="11" t="s">
        <v>914</v>
      </c>
      <c r="C415" s="11" t="s">
        <v>914</v>
      </c>
      <c r="D415">
        <v>77852326</v>
      </c>
      <c r="H415" s="11"/>
    </row>
    <row r="416" spans="1:8" x14ac:dyDescent="0.25">
      <c r="A416" t="s">
        <v>3317</v>
      </c>
      <c r="B416" s="11" t="s">
        <v>1081</v>
      </c>
      <c r="C416" s="11" t="s">
        <v>1081</v>
      </c>
      <c r="D416">
        <v>77609876</v>
      </c>
      <c r="H416" s="11"/>
    </row>
    <row r="417" spans="1:8" x14ac:dyDescent="0.25">
      <c r="A417" t="s">
        <v>3318</v>
      </c>
      <c r="B417" s="11" t="s">
        <v>1085</v>
      </c>
      <c r="C417" s="11" t="s">
        <v>1085</v>
      </c>
      <c r="D417">
        <v>77767064</v>
      </c>
      <c r="H417" s="11"/>
    </row>
    <row r="418" spans="1:8" x14ac:dyDescent="0.25">
      <c r="A418" t="s">
        <v>3319</v>
      </c>
      <c r="B418" s="11" t="s">
        <v>1020</v>
      </c>
      <c r="C418" s="11" t="s">
        <v>1020</v>
      </c>
      <c r="D418">
        <v>77166074</v>
      </c>
      <c r="H418" s="11"/>
    </row>
    <row r="419" spans="1:8" x14ac:dyDescent="0.25">
      <c r="A419" t="s">
        <v>3320</v>
      </c>
      <c r="B419" s="11" t="s">
        <v>1022</v>
      </c>
      <c r="C419" s="11" t="s">
        <v>1022</v>
      </c>
      <c r="D419">
        <v>77479821</v>
      </c>
      <c r="H419" s="11"/>
    </row>
    <row r="420" spans="1:8" x14ac:dyDescent="0.25">
      <c r="A420" t="s">
        <v>3321</v>
      </c>
      <c r="B420" s="11" t="s">
        <v>1106</v>
      </c>
      <c r="C420" s="11" t="s">
        <v>1106</v>
      </c>
      <c r="D420">
        <v>77705827</v>
      </c>
      <c r="H420" s="11"/>
    </row>
    <row r="421" spans="1:8" x14ac:dyDescent="0.25">
      <c r="A421" t="s">
        <v>3322</v>
      </c>
      <c r="B421" s="11" t="s">
        <v>1083</v>
      </c>
      <c r="C421" s="11" t="s">
        <v>1083</v>
      </c>
      <c r="D421">
        <v>77748874</v>
      </c>
      <c r="H421" s="11"/>
    </row>
    <row r="422" spans="1:8" x14ac:dyDescent="0.25">
      <c r="A422" t="s">
        <v>3323</v>
      </c>
      <c r="B422" s="11" t="s">
        <v>1108</v>
      </c>
      <c r="C422" s="11" t="s">
        <v>1108</v>
      </c>
      <c r="D422">
        <v>77358125</v>
      </c>
      <c r="H422" s="11"/>
    </row>
    <row r="423" spans="1:8" x14ac:dyDescent="0.25">
      <c r="A423" t="s">
        <v>3324</v>
      </c>
      <c r="B423" s="11" t="s">
        <v>1087</v>
      </c>
      <c r="C423" s="11" t="s">
        <v>1087</v>
      </c>
      <c r="D423">
        <v>77774445</v>
      </c>
      <c r="H423" s="11"/>
    </row>
    <row r="424" spans="1:8" x14ac:dyDescent="0.25">
      <c r="A424" t="s">
        <v>3325</v>
      </c>
      <c r="B424" s="11" t="s">
        <v>1121</v>
      </c>
      <c r="C424" s="11" t="s">
        <v>1121</v>
      </c>
      <c r="D424">
        <v>77137308</v>
      </c>
      <c r="H424" s="11"/>
    </row>
    <row r="425" spans="1:8" x14ac:dyDescent="0.25">
      <c r="A425" t="s">
        <v>3326</v>
      </c>
      <c r="B425" s="11" t="s">
        <v>1186</v>
      </c>
      <c r="C425" s="11" t="s">
        <v>1186</v>
      </c>
      <c r="D425">
        <v>77908625</v>
      </c>
      <c r="H425" s="11"/>
    </row>
    <row r="426" spans="1:8" x14ac:dyDescent="0.25">
      <c r="A426" t="s">
        <v>1018</v>
      </c>
      <c r="B426" s="11" t="s">
        <v>1018</v>
      </c>
      <c r="C426" s="11" t="s">
        <v>1018</v>
      </c>
      <c r="D426">
        <v>77881147</v>
      </c>
      <c r="H426" s="11"/>
    </row>
    <row r="427" spans="1:8" x14ac:dyDescent="0.25">
      <c r="A427" t="s">
        <v>3327</v>
      </c>
      <c r="B427" s="11" t="s">
        <v>1168</v>
      </c>
      <c r="C427" s="11" t="s">
        <v>1168</v>
      </c>
      <c r="D427">
        <v>77255546</v>
      </c>
      <c r="H427" s="11"/>
    </row>
    <row r="428" spans="1:8" x14ac:dyDescent="0.25">
      <c r="A428" t="s">
        <v>3328</v>
      </c>
      <c r="B428" s="11" t="s">
        <v>645</v>
      </c>
      <c r="C428" s="11" t="s">
        <v>645</v>
      </c>
      <c r="D428">
        <v>77883004</v>
      </c>
      <c r="H428" s="11"/>
    </row>
    <row r="429" spans="1:8" x14ac:dyDescent="0.25">
      <c r="A429" t="s">
        <v>805</v>
      </c>
      <c r="B429" s="11" t="s">
        <v>805</v>
      </c>
      <c r="C429" s="11" t="s">
        <v>805</v>
      </c>
      <c r="D429">
        <v>77687922</v>
      </c>
      <c r="H429" s="11"/>
    </row>
    <row r="430" spans="1:8" x14ac:dyDescent="0.25">
      <c r="A430" t="s">
        <v>803</v>
      </c>
      <c r="B430" s="11" t="s">
        <v>803</v>
      </c>
      <c r="C430" s="11" t="s">
        <v>803</v>
      </c>
      <c r="D430">
        <v>77538890</v>
      </c>
      <c r="H430" s="11"/>
    </row>
    <row r="431" spans="1:8" x14ac:dyDescent="0.25">
      <c r="A431" t="s">
        <v>3329</v>
      </c>
      <c r="B431" s="11" t="s">
        <v>799</v>
      </c>
      <c r="C431" s="11" t="s">
        <v>799</v>
      </c>
      <c r="D431">
        <v>77745696</v>
      </c>
      <c r="H431" s="11"/>
    </row>
    <row r="432" spans="1:8" x14ac:dyDescent="0.25">
      <c r="A432" t="s">
        <v>3330</v>
      </c>
      <c r="B432" s="11" t="s">
        <v>801</v>
      </c>
      <c r="C432" s="11" t="s">
        <v>801</v>
      </c>
      <c r="D432">
        <v>77620279</v>
      </c>
      <c r="H432" s="11"/>
    </row>
    <row r="433" spans="1:8" x14ac:dyDescent="0.25">
      <c r="A433" t="s">
        <v>15</v>
      </c>
      <c r="B433" s="11" t="s">
        <v>15</v>
      </c>
      <c r="C433" s="11" t="s">
        <v>15</v>
      </c>
      <c r="D433">
        <v>77556705</v>
      </c>
      <c r="H433" s="11"/>
    </row>
    <row r="434" spans="1:8" x14ac:dyDescent="0.25">
      <c r="A434" t="s">
        <v>331</v>
      </c>
      <c r="B434" s="11" t="s">
        <v>331</v>
      </c>
      <c r="C434" s="11" t="s">
        <v>331</v>
      </c>
      <c r="D434">
        <v>77608574</v>
      </c>
      <c r="H434" s="11"/>
    </row>
    <row r="435" spans="1:8" x14ac:dyDescent="0.25">
      <c r="A435" t="s">
        <v>333</v>
      </c>
      <c r="B435" s="11" t="s">
        <v>333</v>
      </c>
      <c r="C435" s="11" t="s">
        <v>333</v>
      </c>
      <c r="D435">
        <v>77379229</v>
      </c>
      <c r="H435" s="11"/>
    </row>
    <row r="436" spans="1:8" x14ac:dyDescent="0.25">
      <c r="A436" t="s">
        <v>463</v>
      </c>
      <c r="B436" s="11" t="s">
        <v>463</v>
      </c>
      <c r="C436" s="11" t="s">
        <v>463</v>
      </c>
      <c r="D436">
        <v>77372072</v>
      </c>
      <c r="H436" s="11"/>
    </row>
    <row r="437" spans="1:8" x14ac:dyDescent="0.25">
      <c r="A437" t="s">
        <v>465</v>
      </c>
      <c r="B437" s="11" t="s">
        <v>465</v>
      </c>
      <c r="C437" s="11" t="s">
        <v>465</v>
      </c>
      <c r="D437">
        <v>77924008</v>
      </c>
      <c r="H437" s="11"/>
    </row>
    <row r="438" spans="1:8" x14ac:dyDescent="0.25">
      <c r="A438" t="s">
        <v>335</v>
      </c>
      <c r="B438" s="11" t="s">
        <v>335</v>
      </c>
      <c r="C438" s="11" t="s">
        <v>335</v>
      </c>
      <c r="D438">
        <v>77463061</v>
      </c>
      <c r="H438" s="11"/>
    </row>
    <row r="439" spans="1:8" x14ac:dyDescent="0.25">
      <c r="A439" t="s">
        <v>3331</v>
      </c>
      <c r="B439" s="11" t="s">
        <v>553</v>
      </c>
      <c r="C439" s="11" t="s">
        <v>553</v>
      </c>
      <c r="D439">
        <v>77330655</v>
      </c>
      <c r="H439" s="11"/>
    </row>
    <row r="440" spans="1:8" x14ac:dyDescent="0.25">
      <c r="A440" t="s">
        <v>551</v>
      </c>
      <c r="B440" s="11" t="s">
        <v>551</v>
      </c>
      <c r="C440" s="11" t="s">
        <v>551</v>
      </c>
      <c r="D440">
        <v>77354476</v>
      </c>
      <c r="H440" s="11"/>
    </row>
    <row r="441" spans="1:8" x14ac:dyDescent="0.25">
      <c r="A441" t="s">
        <v>3332</v>
      </c>
      <c r="B441" s="11" t="s">
        <v>557</v>
      </c>
      <c r="C441" s="11" t="s">
        <v>557</v>
      </c>
      <c r="D441">
        <v>77344794</v>
      </c>
      <c r="H441" s="11"/>
    </row>
    <row r="442" spans="1:8" x14ac:dyDescent="0.25">
      <c r="A442" t="s">
        <v>3333</v>
      </c>
      <c r="B442" s="11" t="s">
        <v>555</v>
      </c>
      <c r="C442" s="11" t="s">
        <v>555</v>
      </c>
      <c r="D442">
        <v>77930705</v>
      </c>
      <c r="H442" s="11"/>
    </row>
    <row r="443" spans="1:8" x14ac:dyDescent="0.25">
      <c r="A443" t="s">
        <v>76</v>
      </c>
      <c r="B443" s="11" t="s">
        <v>76</v>
      </c>
      <c r="C443" s="11" t="s">
        <v>76</v>
      </c>
      <c r="D443">
        <v>77514542</v>
      </c>
      <c r="H443" s="11"/>
    </row>
    <row r="444" spans="1:8" x14ac:dyDescent="0.25">
      <c r="A444" t="s">
        <v>368</v>
      </c>
      <c r="B444" s="11" t="s">
        <v>368</v>
      </c>
      <c r="C444" s="11" t="s">
        <v>368</v>
      </c>
      <c r="D444">
        <v>77760127</v>
      </c>
      <c r="H444" s="11"/>
    </row>
    <row r="445" spans="1:8" x14ac:dyDescent="0.25">
      <c r="A445" t="s">
        <v>561</v>
      </c>
      <c r="B445" s="11" t="s">
        <v>561</v>
      </c>
      <c r="C445" s="11" t="s">
        <v>561</v>
      </c>
      <c r="D445">
        <v>77135337</v>
      </c>
      <c r="H445" s="11"/>
    </row>
    <row r="446" spans="1:8" x14ac:dyDescent="0.25">
      <c r="A446" t="s">
        <v>78</v>
      </c>
      <c r="B446" s="11" t="s">
        <v>78</v>
      </c>
      <c r="C446" s="11" t="s">
        <v>78</v>
      </c>
      <c r="D446">
        <v>77290658</v>
      </c>
      <c r="H446" s="11"/>
    </row>
    <row r="447" spans="1:8" x14ac:dyDescent="0.25">
      <c r="A447" t="s">
        <v>3334</v>
      </c>
      <c r="B447" s="11" t="s">
        <v>656</v>
      </c>
      <c r="C447" s="11" t="s">
        <v>656</v>
      </c>
      <c r="D447">
        <v>77617585</v>
      </c>
      <c r="H447" s="11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A87E06-0827-4E1C-B523-9B899AF0B2A7}">
  <dimension ref="A1:B13"/>
  <sheetViews>
    <sheetView workbookViewId="0">
      <selection activeCell="A5" sqref="A5"/>
    </sheetView>
  </sheetViews>
  <sheetFormatPr baseColWidth="10" defaultRowHeight="15.75" x14ac:dyDescent="0.25"/>
  <sheetData>
    <row r="1" spans="1:2" x14ac:dyDescent="0.25">
      <c r="A1" s="11" t="s">
        <v>3144</v>
      </c>
      <c r="B1" t="s">
        <v>3145</v>
      </c>
    </row>
    <row r="2" spans="1:2" x14ac:dyDescent="0.25">
      <c r="A2" s="2" t="s">
        <v>648</v>
      </c>
      <c r="B2">
        <v>100</v>
      </c>
    </row>
    <row r="3" spans="1:2" x14ac:dyDescent="0.25">
      <c r="A3" s="2" t="s">
        <v>272</v>
      </c>
      <c r="B3">
        <v>100</v>
      </c>
    </row>
    <row r="4" spans="1:2" x14ac:dyDescent="0.25">
      <c r="A4" s="2" t="s">
        <v>18</v>
      </c>
      <c r="B4">
        <v>100</v>
      </c>
    </row>
    <row r="5" spans="1:2" x14ac:dyDescent="0.25">
      <c r="A5" s="2" t="s">
        <v>664</v>
      </c>
      <c r="B5">
        <v>100</v>
      </c>
    </row>
    <row r="6" spans="1:2" x14ac:dyDescent="0.25">
      <c r="A6" s="2" t="s">
        <v>266</v>
      </c>
      <c r="B6">
        <v>100</v>
      </c>
    </row>
    <row r="7" spans="1:2" x14ac:dyDescent="0.25">
      <c r="A7" s="2" t="s">
        <v>2</v>
      </c>
      <c r="B7">
        <v>100</v>
      </c>
    </row>
    <row r="8" spans="1:2" x14ac:dyDescent="0.25">
      <c r="A8" s="2" t="s">
        <v>201</v>
      </c>
      <c r="B8">
        <v>100</v>
      </c>
    </row>
    <row r="9" spans="1:2" x14ac:dyDescent="0.25">
      <c r="A9" s="2" t="s">
        <v>257</v>
      </c>
      <c r="B9">
        <v>100</v>
      </c>
    </row>
    <row r="10" spans="1:2" x14ac:dyDescent="0.25">
      <c r="A10" s="2" t="s">
        <v>247</v>
      </c>
      <c r="B10">
        <v>100</v>
      </c>
    </row>
    <row r="11" spans="1:2" x14ac:dyDescent="0.25">
      <c r="A11" s="2" t="s">
        <v>253</v>
      </c>
      <c r="B11">
        <v>100</v>
      </c>
    </row>
    <row r="12" spans="1:2" x14ac:dyDescent="0.25">
      <c r="A12" s="2" t="s">
        <v>12</v>
      </c>
      <c r="B12">
        <v>100</v>
      </c>
    </row>
    <row r="13" spans="1:2" x14ac:dyDescent="0.25">
      <c r="A13" s="2" t="s">
        <v>653</v>
      </c>
      <c r="B13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12</vt:i4>
      </vt:variant>
    </vt:vector>
  </HeadingPairs>
  <TitlesOfParts>
    <vt:vector size="12" baseType="lpstr">
      <vt:lpstr>Sheet1</vt:lpstr>
      <vt:lpstr>Hoja1</vt:lpstr>
      <vt:lpstr>Productos</vt:lpstr>
      <vt:lpstr>Proveedores</vt:lpstr>
      <vt:lpstr>Base Limpia</vt:lpstr>
      <vt:lpstr>Base Sin Negativos</vt:lpstr>
      <vt:lpstr>Base para lista de precios</vt:lpstr>
      <vt:lpstr>Lista de precios Versiones</vt:lpstr>
      <vt:lpstr>Tabla</vt:lpstr>
      <vt:lpstr>Resumen</vt:lpstr>
      <vt:lpstr>Products</vt:lpstr>
      <vt:lpstr>Price List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Martin Solari</cp:lastModifiedBy>
  <dcterms:created xsi:type="dcterms:W3CDTF">2022-03-24T08:55:57Z</dcterms:created>
  <dcterms:modified xsi:type="dcterms:W3CDTF">2026-01-08T04:07:13Z</dcterms:modified>
  <cp:category/>
</cp:coreProperties>
</file>